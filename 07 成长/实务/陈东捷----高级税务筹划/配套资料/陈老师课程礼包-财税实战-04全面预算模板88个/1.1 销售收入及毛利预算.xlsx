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程研发\06战略预算\预算研发-1022\JC-预算-04-编制工具\编制\"/>
    </mc:Choice>
  </mc:AlternateContent>
  <xr:revisionPtr revIDLastSave="0" documentId="13_ncr:1_{B4147452-0E27-48E8-97F5-6F19A1175CB4}" xr6:coauthVersionLast="47" xr6:coauthVersionMax="47" xr10:uidLastSave="{00000000-0000-0000-0000-000000000000}"/>
  <bookViews>
    <workbookView xWindow="-110" yWindow="-110" windowWidth="19420" windowHeight="10560" tabRatio="849" firstSheet="10" activeTab="17" xr2:uid="{F6185364-4559-448B-B45E-A266F7403DDF}"/>
  </bookViews>
  <sheets>
    <sheet name="主页" sheetId="14" r:id="rId1"/>
    <sheet name="上年标准成本" sheetId="22" r:id="rId2"/>
    <sheet name="上年实际" sheetId="17" r:id="rId3"/>
    <sheet name="当年实际" sheetId="7" r:id="rId4"/>
    <sheet name="当年估计 渠道" sheetId="8" r:id="rId5"/>
    <sheet name="当年估计 业务员" sheetId="9" r:id="rId6"/>
    <sheet name="当年估计 客户" sheetId="10" r:id="rId7"/>
    <sheet name="当年标准成本" sheetId="16" r:id="rId8"/>
    <sheet name="当年估计 产品" sheetId="11" r:id="rId9"/>
    <sheet name="下年预算 渠道" sheetId="5" r:id="rId10"/>
    <sheet name="下年预算 业务员" sheetId="4" r:id="rId11"/>
    <sheet name="下年预算 客户" sheetId="1" r:id="rId12"/>
    <sheet name="下年标准成本" sheetId="23" r:id="rId13"/>
    <sheet name="下年预算 产品" sheetId="2" r:id="rId14"/>
    <sheet name="下年预算分月" sheetId="6" r:id="rId15"/>
    <sheet name="预算校准" sheetId="3" r:id="rId16"/>
    <sheet name="销售对比分析底稿" sheetId="13" r:id="rId17"/>
    <sheet name="产品销售及毛利影响因素分析" sheetId="15" r:id="rId18"/>
  </sheets>
  <definedNames>
    <definedName name="_xlchart.v1.0" hidden="1">产品销售及毛利影响因素分析!$E$23:$E$29</definedName>
    <definedName name="_xlchart.v1.1" hidden="1">产品销售及毛利影响因素分析!$G$23:$G$29</definedName>
    <definedName name="_xlchart.v1.2" hidden="1">产品销售及毛利影响因素分析!$K$23:$K$29</definedName>
    <definedName name="_xlchart.v1.3" hidden="1">产品销售及毛利影响因素分析!$L$23:$L$29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3" l="1"/>
  <c r="K11" i="3"/>
  <c r="H8" i="13"/>
  <c r="G8" i="13"/>
  <c r="F8" i="13"/>
  <c r="H7" i="13"/>
  <c r="G7" i="13"/>
  <c r="F7" i="13"/>
  <c r="H6" i="13"/>
  <c r="G6" i="13"/>
  <c r="F6" i="13"/>
  <c r="H5" i="13"/>
  <c r="G5" i="13"/>
  <c r="F5" i="13"/>
  <c r="H4" i="13"/>
  <c r="G4" i="13"/>
  <c r="F4" i="13"/>
  <c r="AF5" i="13"/>
  <c r="AF6" i="13"/>
  <c r="AF7" i="13"/>
  <c r="AF8" i="13"/>
  <c r="AF4" i="13"/>
  <c r="B11" i="6"/>
  <c r="B8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N3" i="6"/>
  <c r="M3" i="6"/>
  <c r="L3" i="6"/>
  <c r="K3" i="6"/>
  <c r="J3" i="6"/>
  <c r="I3" i="6"/>
  <c r="H3" i="6"/>
  <c r="G3" i="6"/>
  <c r="F3" i="6"/>
  <c r="E3" i="6"/>
  <c r="D3" i="6"/>
  <c r="C3" i="6"/>
  <c r="B3" i="6"/>
  <c r="O7" i="6"/>
  <c r="H10" i="2"/>
  <c r="I10" i="2" s="1"/>
  <c r="J10" i="2"/>
  <c r="K10" i="2" s="1"/>
  <c r="L10" i="2" s="1"/>
  <c r="M10" i="2" s="1"/>
  <c r="H11" i="2"/>
  <c r="I11" i="2" s="1"/>
  <c r="J11" i="2"/>
  <c r="K11" i="2" s="1"/>
  <c r="L11" i="2" s="1"/>
  <c r="M11" i="2" s="1"/>
  <c r="H12" i="2"/>
  <c r="I12" i="2" s="1"/>
  <c r="J12" i="2"/>
  <c r="K12" i="2" s="1"/>
  <c r="L12" i="2"/>
  <c r="M12" i="2" s="1"/>
  <c r="H13" i="2"/>
  <c r="I13" i="2" s="1"/>
  <c r="J13" i="2"/>
  <c r="K13" i="2" s="1"/>
  <c r="L13" i="2" s="1"/>
  <c r="M13" i="2" s="1"/>
  <c r="H14" i="2"/>
  <c r="I14" i="2" s="1"/>
  <c r="J14" i="2"/>
  <c r="K14" i="2" s="1"/>
  <c r="L14" i="2" s="1"/>
  <c r="M14" i="2" s="1"/>
  <c r="H15" i="2"/>
  <c r="I15" i="2" s="1"/>
  <c r="J15" i="2"/>
  <c r="K15" i="2" s="1"/>
  <c r="L15" i="2" s="1"/>
  <c r="M15" i="2" s="1"/>
  <c r="H16" i="2"/>
  <c r="I16" i="2" s="1"/>
  <c r="J16" i="2"/>
  <c r="K16" i="2" s="1"/>
  <c r="L16" i="2" s="1"/>
  <c r="M16" i="2" s="1"/>
  <c r="H17" i="2"/>
  <c r="I17" i="2" s="1"/>
  <c r="J17" i="2"/>
  <c r="K17" i="2" s="1"/>
  <c r="L17" i="2" s="1"/>
  <c r="M17" i="2" s="1"/>
  <c r="H18" i="2"/>
  <c r="I18" i="2" s="1"/>
  <c r="J18" i="2"/>
  <c r="K18" i="2" s="1"/>
  <c r="L18" i="2" s="1"/>
  <c r="M18" i="2" s="1"/>
  <c r="H19" i="2"/>
  <c r="I19" i="2" s="1"/>
  <c r="J19" i="2"/>
  <c r="K19" i="2" s="1"/>
  <c r="L19" i="2" s="1"/>
  <c r="M19" i="2" s="1"/>
  <c r="H20" i="2"/>
  <c r="I20" i="2" s="1"/>
  <c r="J20" i="2"/>
  <c r="K20" i="2" s="1"/>
  <c r="L20" i="2" s="1"/>
  <c r="M20" i="2" s="1"/>
  <c r="H21" i="2"/>
  <c r="I21" i="2" s="1"/>
  <c r="J21" i="2"/>
  <c r="K21" i="2" s="1"/>
  <c r="L21" i="2" s="1"/>
  <c r="M21" i="2" s="1"/>
  <c r="H22" i="2"/>
  <c r="I22" i="2" s="1"/>
  <c r="J22" i="2"/>
  <c r="K22" i="2" s="1"/>
  <c r="L22" i="2" s="1"/>
  <c r="M22" i="2" s="1"/>
  <c r="H23" i="2"/>
  <c r="I23" i="2" s="1"/>
  <c r="J23" i="2"/>
  <c r="K23" i="2" s="1"/>
  <c r="L23" i="2" s="1"/>
  <c r="M23" i="2" s="1"/>
  <c r="H24" i="2"/>
  <c r="I24" i="2" s="1"/>
  <c r="J24" i="2"/>
  <c r="K24" i="2" s="1"/>
  <c r="L24" i="2" s="1"/>
  <c r="M24" i="2" s="1"/>
  <c r="H25" i="2"/>
  <c r="I25" i="2" s="1"/>
  <c r="J25" i="2"/>
  <c r="K25" i="2" s="1"/>
  <c r="L25" i="2" s="1"/>
  <c r="M25" i="2" s="1"/>
  <c r="H26" i="2"/>
  <c r="I26" i="2" s="1"/>
  <c r="J26" i="2"/>
  <c r="K26" i="2" s="1"/>
  <c r="L26" i="2" s="1"/>
  <c r="M26" i="2" s="1"/>
  <c r="H27" i="2"/>
  <c r="I27" i="2" s="1"/>
  <c r="J27" i="2"/>
  <c r="K27" i="2" s="1"/>
  <c r="L27" i="2" s="1"/>
  <c r="M27" i="2" s="1"/>
  <c r="H28" i="2"/>
  <c r="I28" i="2"/>
  <c r="J28" i="2"/>
  <c r="K28" i="2" s="1"/>
  <c r="L28" i="2"/>
  <c r="M28" i="2" s="1"/>
  <c r="H29" i="2"/>
  <c r="I29" i="2" s="1"/>
  <c r="J29" i="2"/>
  <c r="K29" i="2" s="1"/>
  <c r="L29" i="2" s="1"/>
  <c r="M29" i="2" s="1"/>
  <c r="H30" i="2"/>
  <c r="I30" i="2" s="1"/>
  <c r="J30" i="2"/>
  <c r="K30" i="2" s="1"/>
  <c r="L30" i="2" s="1"/>
  <c r="M30" i="2" s="1"/>
  <c r="H31" i="2"/>
  <c r="I31" i="2" s="1"/>
  <c r="J31" i="2"/>
  <c r="K31" i="2" s="1"/>
  <c r="L31" i="2" s="1"/>
  <c r="M31" i="2" s="1"/>
  <c r="H32" i="2"/>
  <c r="I32" i="2"/>
  <c r="J32" i="2"/>
  <c r="K32" i="2" s="1"/>
  <c r="L32" i="2" s="1"/>
  <c r="M32" i="2" s="1"/>
  <c r="H33" i="2"/>
  <c r="I33" i="2" s="1"/>
  <c r="J33" i="2"/>
  <c r="K33" i="2" s="1"/>
  <c r="L33" i="2" s="1"/>
  <c r="M33" i="2" s="1"/>
  <c r="H34" i="2"/>
  <c r="I34" i="2" s="1"/>
  <c r="J34" i="2"/>
  <c r="K34" i="2" s="1"/>
  <c r="L34" i="2" s="1"/>
  <c r="M34" i="2" s="1"/>
  <c r="H35" i="2"/>
  <c r="I35" i="2" s="1"/>
  <c r="J35" i="2"/>
  <c r="K35" i="2" s="1"/>
  <c r="L35" i="2" s="1"/>
  <c r="M35" i="2" s="1"/>
  <c r="H36" i="2"/>
  <c r="I36" i="2" s="1"/>
  <c r="J36" i="2"/>
  <c r="K36" i="2" s="1"/>
  <c r="L36" i="2" s="1"/>
  <c r="M36" i="2" s="1"/>
  <c r="H37" i="2"/>
  <c r="I37" i="2" s="1"/>
  <c r="J37" i="2"/>
  <c r="K37" i="2" s="1"/>
  <c r="L37" i="2" s="1"/>
  <c r="M37" i="2" s="1"/>
  <c r="H38" i="2"/>
  <c r="I38" i="2" s="1"/>
  <c r="J38" i="2"/>
  <c r="K38" i="2" s="1"/>
  <c r="L38" i="2"/>
  <c r="M38" i="2" s="1"/>
  <c r="H39" i="2"/>
  <c r="I39" i="2" s="1"/>
  <c r="J39" i="2"/>
  <c r="K39" i="2" s="1"/>
  <c r="L39" i="2" s="1"/>
  <c r="M39" i="2" s="1"/>
  <c r="H40" i="2"/>
  <c r="I40" i="2" s="1"/>
  <c r="J40" i="2"/>
  <c r="K40" i="2" s="1"/>
  <c r="L40" i="2" s="1"/>
  <c r="M40" i="2" s="1"/>
  <c r="H41" i="2"/>
  <c r="I41" i="2" s="1"/>
  <c r="J41" i="2"/>
  <c r="K41" i="2" s="1"/>
  <c r="L41" i="2" s="1"/>
  <c r="M41" i="2" s="1"/>
  <c r="H42" i="2"/>
  <c r="I42" i="2" s="1"/>
  <c r="J42" i="2"/>
  <c r="K42" i="2" s="1"/>
  <c r="L42" i="2" s="1"/>
  <c r="M42" i="2" s="1"/>
  <c r="H43" i="2"/>
  <c r="I43" i="2" s="1"/>
  <c r="J43" i="2"/>
  <c r="K43" i="2" s="1"/>
  <c r="L43" i="2" s="1"/>
  <c r="M43" i="2" s="1"/>
  <c r="H44" i="2"/>
  <c r="I44" i="2" s="1"/>
  <c r="J44" i="2"/>
  <c r="K44" i="2" s="1"/>
  <c r="L44" i="2" s="1"/>
  <c r="M44" i="2" s="1"/>
  <c r="H45" i="2"/>
  <c r="I45" i="2" s="1"/>
  <c r="J45" i="2"/>
  <c r="K45" i="2" s="1"/>
  <c r="L45" i="2" s="1"/>
  <c r="M45" i="2" s="1"/>
  <c r="H46" i="2"/>
  <c r="I46" i="2" s="1"/>
  <c r="J46" i="2"/>
  <c r="K46" i="2" s="1"/>
  <c r="L46" i="2" s="1"/>
  <c r="M46" i="2" s="1"/>
  <c r="H47" i="2"/>
  <c r="I47" i="2" s="1"/>
  <c r="J47" i="2"/>
  <c r="K47" i="2" s="1"/>
  <c r="L47" i="2"/>
  <c r="M47" i="2" s="1"/>
  <c r="H48" i="2"/>
  <c r="I48" i="2" s="1"/>
  <c r="J48" i="2"/>
  <c r="K48" i="2" s="1"/>
  <c r="L48" i="2"/>
  <c r="M48" i="2" s="1"/>
  <c r="H49" i="2"/>
  <c r="I49" i="2" s="1"/>
  <c r="J49" i="2"/>
  <c r="K49" i="2" s="1"/>
  <c r="L49" i="2" s="1"/>
  <c r="M49" i="2" s="1"/>
  <c r="H50" i="2"/>
  <c r="I50" i="2" s="1"/>
  <c r="J50" i="2"/>
  <c r="K50" i="2" s="1"/>
  <c r="L50" i="2" s="1"/>
  <c r="M50" i="2"/>
  <c r="H51" i="2"/>
  <c r="I51" i="2" s="1"/>
  <c r="J51" i="2"/>
  <c r="K51" i="2" s="1"/>
  <c r="L51" i="2" s="1"/>
  <c r="M51" i="2" s="1"/>
  <c r="H52" i="2"/>
  <c r="I52" i="2" s="1"/>
  <c r="J52" i="2"/>
  <c r="K52" i="2" s="1"/>
  <c r="L52" i="2" s="1"/>
  <c r="M52" i="2" s="1"/>
  <c r="H53" i="2"/>
  <c r="I53" i="2" s="1"/>
  <c r="J53" i="2"/>
  <c r="K53" i="2" s="1"/>
  <c r="L53" i="2" s="1"/>
  <c r="M53" i="2" s="1"/>
  <c r="H54" i="2"/>
  <c r="I54" i="2" s="1"/>
  <c r="J54" i="2"/>
  <c r="K54" i="2" s="1"/>
  <c r="L54" i="2"/>
  <c r="M54" i="2" s="1"/>
  <c r="H55" i="2"/>
  <c r="I55" i="2" s="1"/>
  <c r="J55" i="2"/>
  <c r="K55" i="2" s="1"/>
  <c r="L55" i="2"/>
  <c r="M55" i="2" s="1"/>
  <c r="H56" i="2"/>
  <c r="I56" i="2" s="1"/>
  <c r="J56" i="2"/>
  <c r="K56" i="2" s="1"/>
  <c r="L56" i="2" s="1"/>
  <c r="M56" i="2" s="1"/>
  <c r="H57" i="2"/>
  <c r="I57" i="2" s="1"/>
  <c r="J57" i="2"/>
  <c r="K57" i="2" s="1"/>
  <c r="L57" i="2" s="1"/>
  <c r="M57" i="2" s="1"/>
  <c r="H58" i="2"/>
  <c r="I58" i="2" s="1"/>
  <c r="J58" i="2"/>
  <c r="K58" i="2" s="1"/>
  <c r="L58" i="2" s="1"/>
  <c r="M58" i="2" s="1"/>
  <c r="H59" i="2"/>
  <c r="I59" i="2" s="1"/>
  <c r="J59" i="2"/>
  <c r="K59" i="2" s="1"/>
  <c r="L59" i="2" s="1"/>
  <c r="M59" i="2" s="1"/>
  <c r="H60" i="2"/>
  <c r="I60" i="2" s="1"/>
  <c r="J60" i="2"/>
  <c r="K60" i="2" s="1"/>
  <c r="L60" i="2" s="1"/>
  <c r="M60" i="2" s="1"/>
  <c r="H61" i="2"/>
  <c r="I61" i="2" s="1"/>
  <c r="J61" i="2"/>
  <c r="K61" i="2" s="1"/>
  <c r="L61" i="2" s="1"/>
  <c r="M61" i="2" s="1"/>
  <c r="H62" i="2"/>
  <c r="I62" i="2" s="1"/>
  <c r="J62" i="2"/>
  <c r="K62" i="2" s="1"/>
  <c r="L62" i="2" s="1"/>
  <c r="M62" i="2" s="1"/>
  <c r="H63" i="2"/>
  <c r="I63" i="2" s="1"/>
  <c r="J63" i="2"/>
  <c r="K63" i="2" s="1"/>
  <c r="L63" i="2"/>
  <c r="M63" i="2" s="1"/>
  <c r="H64" i="2"/>
  <c r="I64" i="2" s="1"/>
  <c r="J64" i="2"/>
  <c r="K64" i="2" s="1"/>
  <c r="L64" i="2" s="1"/>
  <c r="M64" i="2" s="1"/>
  <c r="H65" i="2"/>
  <c r="I65" i="2"/>
  <c r="J65" i="2"/>
  <c r="K65" i="2"/>
  <c r="L65" i="2" s="1"/>
  <c r="M65" i="2" s="1"/>
  <c r="H66" i="2"/>
  <c r="I66" i="2" s="1"/>
  <c r="J66" i="2"/>
  <c r="K66" i="2"/>
  <c r="L66" i="2" s="1"/>
  <c r="M66" i="2" s="1"/>
  <c r="H67" i="2"/>
  <c r="I67" i="2" s="1"/>
  <c r="J67" i="2"/>
  <c r="K67" i="2" s="1"/>
  <c r="L67" i="2" s="1"/>
  <c r="M67" i="2" s="1"/>
  <c r="H68" i="2"/>
  <c r="I68" i="2" s="1"/>
  <c r="J68" i="2"/>
  <c r="K68" i="2" s="1"/>
  <c r="L68" i="2" s="1"/>
  <c r="M68" i="2" s="1"/>
  <c r="H69" i="2"/>
  <c r="I69" i="2"/>
  <c r="J69" i="2"/>
  <c r="K69" i="2" s="1"/>
  <c r="L69" i="2" s="1"/>
  <c r="M69" i="2" s="1"/>
  <c r="H70" i="2"/>
  <c r="I70" i="2" s="1"/>
  <c r="J70" i="2"/>
  <c r="K70" i="2"/>
  <c r="L70" i="2" s="1"/>
  <c r="M70" i="2" s="1"/>
  <c r="H71" i="2"/>
  <c r="I71" i="2" s="1"/>
  <c r="J71" i="2"/>
  <c r="K71" i="2" s="1"/>
  <c r="L71" i="2" s="1"/>
  <c r="M71" i="2" s="1"/>
  <c r="H72" i="2"/>
  <c r="I72" i="2" s="1"/>
  <c r="J72" i="2"/>
  <c r="K72" i="2" s="1"/>
  <c r="L72" i="2"/>
  <c r="M72" i="2" s="1"/>
  <c r="H73" i="2"/>
  <c r="I73" i="2"/>
  <c r="J73" i="2"/>
  <c r="K73" i="2" s="1"/>
  <c r="L73" i="2" s="1"/>
  <c r="M73" i="2" s="1"/>
  <c r="H74" i="2"/>
  <c r="I74" i="2" s="1"/>
  <c r="J74" i="2"/>
  <c r="K74" i="2"/>
  <c r="L74" i="2" s="1"/>
  <c r="M74" i="2" s="1"/>
  <c r="H75" i="2"/>
  <c r="I75" i="2" s="1"/>
  <c r="J75" i="2"/>
  <c r="K75" i="2" s="1"/>
  <c r="L75" i="2" s="1"/>
  <c r="M75" i="2" s="1"/>
  <c r="H76" i="2"/>
  <c r="I76" i="2" s="1"/>
  <c r="J76" i="2"/>
  <c r="K76" i="2" s="1"/>
  <c r="L76" i="2"/>
  <c r="M76" i="2" s="1"/>
  <c r="H77" i="2"/>
  <c r="I77" i="2"/>
  <c r="J77" i="2"/>
  <c r="K77" i="2" s="1"/>
  <c r="L77" i="2" s="1"/>
  <c r="M77" i="2" s="1"/>
  <c r="H78" i="2"/>
  <c r="I78" i="2" s="1"/>
  <c r="J78" i="2"/>
  <c r="K78" i="2" s="1"/>
  <c r="L78" i="2" s="1"/>
  <c r="M78" i="2" s="1"/>
  <c r="H79" i="2"/>
  <c r="I79" i="2" s="1"/>
  <c r="J79" i="2"/>
  <c r="K79" i="2" s="1"/>
  <c r="L79" i="2" s="1"/>
  <c r="M79" i="2" s="1"/>
  <c r="H80" i="2"/>
  <c r="I80" i="2"/>
  <c r="J80" i="2"/>
  <c r="K80" i="2" s="1"/>
  <c r="L80" i="2"/>
  <c r="M80" i="2" s="1"/>
  <c r="H81" i="2"/>
  <c r="I81" i="2" s="1"/>
  <c r="J81" i="2"/>
  <c r="K81" i="2" s="1"/>
  <c r="L81" i="2" s="1"/>
  <c r="M81" i="2" s="1"/>
  <c r="H82" i="2"/>
  <c r="I82" i="2" s="1"/>
  <c r="J82" i="2"/>
  <c r="K82" i="2" s="1"/>
  <c r="L82" i="2" s="1"/>
  <c r="M82" i="2" s="1"/>
  <c r="H83" i="2"/>
  <c r="I83" i="2" s="1"/>
  <c r="J83" i="2"/>
  <c r="K83" i="2" s="1"/>
  <c r="L83" i="2" s="1"/>
  <c r="M83" i="2" s="1"/>
  <c r="H84" i="2"/>
  <c r="I84" i="2" s="1"/>
  <c r="J84" i="2"/>
  <c r="K84" i="2" s="1"/>
  <c r="L84" i="2"/>
  <c r="M84" i="2" s="1"/>
  <c r="H85" i="2"/>
  <c r="I85" i="2"/>
  <c r="J85" i="2"/>
  <c r="K85" i="2" s="1"/>
  <c r="L85" i="2" s="1"/>
  <c r="M85" i="2" s="1"/>
  <c r="H86" i="2"/>
  <c r="I86" i="2" s="1"/>
  <c r="J86" i="2"/>
  <c r="K86" i="2"/>
  <c r="L86" i="2" s="1"/>
  <c r="M86" i="2" s="1"/>
  <c r="H87" i="2"/>
  <c r="I87" i="2" s="1"/>
  <c r="J87" i="2"/>
  <c r="K87" i="2" s="1"/>
  <c r="L87" i="2"/>
  <c r="M87" i="2" s="1"/>
  <c r="H88" i="2"/>
  <c r="I88" i="2"/>
  <c r="J88" i="2"/>
  <c r="K88" i="2" s="1"/>
  <c r="L88" i="2" s="1"/>
  <c r="M88" i="2" s="1"/>
  <c r="H89" i="2"/>
  <c r="I89" i="2" s="1"/>
  <c r="J89" i="2"/>
  <c r="K89" i="2" s="1"/>
  <c r="L89" i="2" s="1"/>
  <c r="M89" i="2" s="1"/>
  <c r="H90" i="2"/>
  <c r="I90" i="2" s="1"/>
  <c r="J90" i="2"/>
  <c r="K90" i="2"/>
  <c r="L90" i="2" s="1"/>
  <c r="M90" i="2" s="1"/>
  <c r="H91" i="2"/>
  <c r="I91" i="2" s="1"/>
  <c r="J91" i="2"/>
  <c r="K91" i="2" s="1"/>
  <c r="L91" i="2" s="1"/>
  <c r="M91" i="2" s="1"/>
  <c r="H92" i="2"/>
  <c r="I92" i="2" s="1"/>
  <c r="J92" i="2"/>
  <c r="K92" i="2" s="1"/>
  <c r="L92" i="2"/>
  <c r="M92" i="2" s="1"/>
  <c r="H93" i="2"/>
  <c r="I93" i="2" s="1"/>
  <c r="J93" i="2"/>
  <c r="K93" i="2" s="1"/>
  <c r="L93" i="2" s="1"/>
  <c r="M93" i="2" s="1"/>
  <c r="H94" i="2"/>
  <c r="I94" i="2" s="1"/>
  <c r="J94" i="2"/>
  <c r="K94" i="2" s="1"/>
  <c r="L94" i="2" s="1"/>
  <c r="M94" i="2" s="1"/>
  <c r="H95" i="2"/>
  <c r="I95" i="2" s="1"/>
  <c r="J95" i="2"/>
  <c r="K95" i="2" s="1"/>
  <c r="L95" i="2" s="1"/>
  <c r="M95" i="2" s="1"/>
  <c r="H96" i="2"/>
  <c r="I96" i="2" s="1"/>
  <c r="J96" i="2"/>
  <c r="K96" i="2" s="1"/>
  <c r="L96" i="2" s="1"/>
  <c r="M96" i="2" s="1"/>
  <c r="H97" i="2"/>
  <c r="I97" i="2" s="1"/>
  <c r="J97" i="2"/>
  <c r="K97" i="2"/>
  <c r="L97" i="2" s="1"/>
  <c r="M97" i="2" s="1"/>
  <c r="H98" i="2"/>
  <c r="I98" i="2" s="1"/>
  <c r="J98" i="2"/>
  <c r="K98" i="2" s="1"/>
  <c r="L98" i="2" s="1"/>
  <c r="M98" i="2" s="1"/>
  <c r="H99" i="2"/>
  <c r="I99" i="2" s="1"/>
  <c r="J99" i="2"/>
  <c r="K99" i="2" s="1"/>
  <c r="L99" i="2" s="1"/>
  <c r="M99" i="2" s="1"/>
  <c r="H100" i="2"/>
  <c r="I100" i="2" s="1"/>
  <c r="J100" i="2"/>
  <c r="K100" i="2" s="1"/>
  <c r="L100" i="2"/>
  <c r="M100" i="2" s="1"/>
  <c r="H101" i="2"/>
  <c r="I101" i="2"/>
  <c r="J101" i="2"/>
  <c r="K101" i="2" s="1"/>
  <c r="L101" i="2" s="1"/>
  <c r="M101" i="2" s="1"/>
  <c r="H102" i="2"/>
  <c r="I102" i="2" s="1"/>
  <c r="J102" i="2"/>
  <c r="K102" i="2" s="1"/>
  <c r="L102" i="2" s="1"/>
  <c r="M102" i="2" s="1"/>
  <c r="H103" i="2"/>
  <c r="I103" i="2" s="1"/>
  <c r="J103" i="2"/>
  <c r="K103" i="2" s="1"/>
  <c r="L103" i="2"/>
  <c r="M103" i="2" s="1"/>
  <c r="H104" i="2"/>
  <c r="I104" i="2" s="1"/>
  <c r="J104" i="2"/>
  <c r="K104" i="2" s="1"/>
  <c r="L104" i="2" s="1"/>
  <c r="M104" i="2" s="1"/>
  <c r="H105" i="2"/>
  <c r="I105" i="2" s="1"/>
  <c r="J105" i="2"/>
  <c r="K105" i="2" s="1"/>
  <c r="L105" i="2" s="1"/>
  <c r="M105" i="2" s="1"/>
  <c r="H106" i="2"/>
  <c r="I106" i="2" s="1"/>
  <c r="J106" i="2"/>
  <c r="K106" i="2" s="1"/>
  <c r="L106" i="2" s="1"/>
  <c r="M106" i="2" s="1"/>
  <c r="H107" i="2"/>
  <c r="I107" i="2" s="1"/>
  <c r="J107" i="2"/>
  <c r="K107" i="2" s="1"/>
  <c r="L107" i="2"/>
  <c r="M107" i="2" s="1"/>
  <c r="H108" i="2"/>
  <c r="I108" i="2"/>
  <c r="J108" i="2"/>
  <c r="K108" i="2" s="1"/>
  <c r="L108" i="2"/>
  <c r="M108" i="2" s="1"/>
  <c r="H109" i="2"/>
  <c r="I109" i="2" s="1"/>
  <c r="J109" i="2"/>
  <c r="K109" i="2" s="1"/>
  <c r="L109" i="2" s="1"/>
  <c r="M109" i="2" s="1"/>
  <c r="H110" i="2"/>
  <c r="I110" i="2" s="1"/>
  <c r="J110" i="2"/>
  <c r="K110" i="2" s="1"/>
  <c r="L110" i="2" s="1"/>
  <c r="M110" i="2" s="1"/>
  <c r="H111" i="2"/>
  <c r="I111" i="2" s="1"/>
  <c r="J111" i="2"/>
  <c r="K111" i="2" s="1"/>
  <c r="L111" i="2" s="1"/>
  <c r="M111" i="2" s="1"/>
  <c r="H112" i="2"/>
  <c r="I112" i="2" s="1"/>
  <c r="J112" i="2"/>
  <c r="K112" i="2" s="1"/>
  <c r="L112" i="2" s="1"/>
  <c r="M112" i="2" s="1"/>
  <c r="H113" i="2"/>
  <c r="I113" i="2" s="1"/>
  <c r="J113" i="2"/>
  <c r="K113" i="2"/>
  <c r="L113" i="2" s="1"/>
  <c r="M113" i="2" s="1"/>
  <c r="H114" i="2"/>
  <c r="I114" i="2" s="1"/>
  <c r="J114" i="2"/>
  <c r="K114" i="2" s="1"/>
  <c r="L114" i="2" s="1"/>
  <c r="M114" i="2" s="1"/>
  <c r="H115" i="2"/>
  <c r="I115" i="2" s="1"/>
  <c r="J115" i="2"/>
  <c r="K115" i="2" s="1"/>
  <c r="L115" i="2" s="1"/>
  <c r="M115" i="2" s="1"/>
  <c r="H116" i="2"/>
  <c r="I116" i="2" s="1"/>
  <c r="J116" i="2"/>
  <c r="K116" i="2" s="1"/>
  <c r="L116" i="2" s="1"/>
  <c r="M116" i="2" s="1"/>
  <c r="H117" i="2"/>
  <c r="I117" i="2" s="1"/>
  <c r="J117" i="2"/>
  <c r="K117" i="2" s="1"/>
  <c r="L117" i="2" s="1"/>
  <c r="M117" i="2" s="1"/>
  <c r="H118" i="2"/>
  <c r="I118" i="2" s="1"/>
  <c r="J118" i="2"/>
  <c r="K118" i="2" s="1"/>
  <c r="L118" i="2" s="1"/>
  <c r="M118" i="2" s="1"/>
  <c r="H119" i="2"/>
  <c r="I119" i="2" s="1"/>
  <c r="J119" i="2"/>
  <c r="K119" i="2" s="1"/>
  <c r="L119" i="2" s="1"/>
  <c r="M119" i="2" s="1"/>
  <c r="H120" i="2"/>
  <c r="I120" i="2" s="1"/>
  <c r="J120" i="2"/>
  <c r="K120" i="2" s="1"/>
  <c r="L120" i="2" s="1"/>
  <c r="M120" i="2" s="1"/>
  <c r="H121" i="2"/>
  <c r="I121" i="2" s="1"/>
  <c r="J121" i="2"/>
  <c r="K121" i="2" s="1"/>
  <c r="L121" i="2" s="1"/>
  <c r="M121" i="2" s="1"/>
  <c r="H122" i="2"/>
  <c r="I122" i="2" s="1"/>
  <c r="J122" i="2"/>
  <c r="K122" i="2"/>
  <c r="L122" i="2" s="1"/>
  <c r="M122" i="2" s="1"/>
  <c r="H123" i="2"/>
  <c r="I123" i="2" s="1"/>
  <c r="J123" i="2"/>
  <c r="K123" i="2"/>
  <c r="L123" i="2" s="1"/>
  <c r="M123" i="2" s="1"/>
  <c r="H124" i="2"/>
  <c r="I124" i="2" s="1"/>
  <c r="J124" i="2"/>
  <c r="K124" i="2" s="1"/>
  <c r="L124" i="2" s="1"/>
  <c r="M124" i="2" s="1"/>
  <c r="H125" i="2"/>
  <c r="I125" i="2"/>
  <c r="J125" i="2"/>
  <c r="K125" i="2" s="1"/>
  <c r="L125" i="2" s="1"/>
  <c r="M125" i="2" s="1"/>
  <c r="H126" i="2"/>
  <c r="I126" i="2"/>
  <c r="J126" i="2"/>
  <c r="K126" i="2"/>
  <c r="L126" i="2" s="1"/>
  <c r="M126" i="2" s="1"/>
  <c r="H127" i="2"/>
  <c r="I127" i="2" s="1"/>
  <c r="J127" i="2"/>
  <c r="K127" i="2" s="1"/>
  <c r="L127" i="2" s="1"/>
  <c r="M127" i="2" s="1"/>
  <c r="H128" i="2"/>
  <c r="I128" i="2" s="1"/>
  <c r="J128" i="2"/>
  <c r="K128" i="2" s="1"/>
  <c r="L128" i="2" s="1"/>
  <c r="M128" i="2" s="1"/>
  <c r="H129" i="2"/>
  <c r="I129" i="2" s="1"/>
  <c r="J129" i="2"/>
  <c r="K129" i="2" s="1"/>
  <c r="L129" i="2" s="1"/>
  <c r="M129" i="2" s="1"/>
  <c r="H130" i="2"/>
  <c r="I130" i="2" s="1"/>
  <c r="J130" i="2"/>
  <c r="K130" i="2"/>
  <c r="L130" i="2" s="1"/>
  <c r="M130" i="2" s="1"/>
  <c r="H131" i="2"/>
  <c r="I131" i="2"/>
  <c r="J131" i="2"/>
  <c r="K131" i="2" s="1"/>
  <c r="L131" i="2" s="1"/>
  <c r="M131" i="2" s="1"/>
  <c r="H132" i="2"/>
  <c r="I132" i="2" s="1"/>
  <c r="J132" i="2"/>
  <c r="K132" i="2"/>
  <c r="L132" i="2" s="1"/>
  <c r="M132" i="2" s="1"/>
  <c r="H133" i="2"/>
  <c r="I133" i="2" s="1"/>
  <c r="J133" i="2"/>
  <c r="K133" i="2" s="1"/>
  <c r="L133" i="2" s="1"/>
  <c r="M133" i="2" s="1"/>
  <c r="H134" i="2"/>
  <c r="I134" i="2" s="1"/>
  <c r="J134" i="2"/>
  <c r="K134" i="2" s="1"/>
  <c r="L134" i="2" s="1"/>
  <c r="M134" i="2" s="1"/>
  <c r="H135" i="2"/>
  <c r="I135" i="2" s="1"/>
  <c r="J135" i="2"/>
  <c r="K135" i="2"/>
  <c r="L135" i="2" s="1"/>
  <c r="M135" i="2" s="1"/>
  <c r="H136" i="2"/>
  <c r="I136" i="2" s="1"/>
  <c r="J136" i="2"/>
  <c r="K136" i="2"/>
  <c r="L136" i="2" s="1"/>
  <c r="M136" i="2" s="1"/>
  <c r="H137" i="2"/>
  <c r="I137" i="2"/>
  <c r="J137" i="2"/>
  <c r="K137" i="2" s="1"/>
  <c r="L137" i="2" s="1"/>
  <c r="M137" i="2" s="1"/>
  <c r="H138" i="2"/>
  <c r="I138" i="2"/>
  <c r="J138" i="2"/>
  <c r="K138" i="2"/>
  <c r="L138" i="2" s="1"/>
  <c r="M138" i="2" s="1"/>
  <c r="H139" i="2"/>
  <c r="I139" i="2"/>
  <c r="J139" i="2"/>
  <c r="K139" i="2" s="1"/>
  <c r="L139" i="2" s="1"/>
  <c r="M139" i="2" s="1"/>
  <c r="H140" i="2"/>
  <c r="I140" i="2" s="1"/>
  <c r="J140" i="2"/>
  <c r="K140" i="2"/>
  <c r="L140" i="2" s="1"/>
  <c r="M140" i="2" s="1"/>
  <c r="H141" i="2"/>
  <c r="I141" i="2" s="1"/>
  <c r="J141" i="2"/>
  <c r="K141" i="2" s="1"/>
  <c r="L141" i="2" s="1"/>
  <c r="M141" i="2" s="1"/>
  <c r="H142" i="2"/>
  <c r="I142" i="2" s="1"/>
  <c r="J142" i="2"/>
  <c r="K142" i="2" s="1"/>
  <c r="L142" i="2" s="1"/>
  <c r="M142" i="2" s="1"/>
  <c r="H143" i="2"/>
  <c r="I143" i="2" s="1"/>
  <c r="J143" i="2"/>
  <c r="K143" i="2" s="1"/>
  <c r="L143" i="2" s="1"/>
  <c r="M143" i="2"/>
  <c r="H144" i="2"/>
  <c r="I144" i="2" s="1"/>
  <c r="J144" i="2"/>
  <c r="K144" i="2"/>
  <c r="L144" i="2" s="1"/>
  <c r="M144" i="2" s="1"/>
  <c r="H145" i="2"/>
  <c r="I145" i="2"/>
  <c r="J145" i="2"/>
  <c r="K145" i="2" s="1"/>
  <c r="L145" i="2" s="1"/>
  <c r="M145" i="2" s="1"/>
  <c r="H146" i="2"/>
  <c r="I146" i="2" s="1"/>
  <c r="J146" i="2"/>
  <c r="K146" i="2"/>
  <c r="L146" i="2" s="1"/>
  <c r="M146" i="2" s="1"/>
  <c r="H147" i="2"/>
  <c r="I147" i="2" s="1"/>
  <c r="J147" i="2"/>
  <c r="K147" i="2" s="1"/>
  <c r="L147" i="2" s="1"/>
  <c r="M147" i="2" s="1"/>
  <c r="H148" i="2"/>
  <c r="I148" i="2" s="1"/>
  <c r="J148" i="2"/>
  <c r="K148" i="2"/>
  <c r="L148" i="2" s="1"/>
  <c r="M148" i="2" s="1"/>
  <c r="H149" i="2"/>
  <c r="I149" i="2"/>
  <c r="J149" i="2"/>
  <c r="K149" i="2"/>
  <c r="L149" i="2" s="1"/>
  <c r="M149" i="2" s="1"/>
  <c r="H150" i="2"/>
  <c r="I150" i="2" s="1"/>
  <c r="J150" i="2"/>
  <c r="K150" i="2" s="1"/>
  <c r="L150" i="2" s="1"/>
  <c r="M150" i="2" s="1"/>
  <c r="H151" i="2"/>
  <c r="I151" i="2" s="1"/>
  <c r="J151" i="2"/>
  <c r="K151" i="2" s="1"/>
  <c r="L151" i="2" s="1"/>
  <c r="M151" i="2" s="1"/>
  <c r="H152" i="2"/>
  <c r="I152" i="2" s="1"/>
  <c r="J152" i="2"/>
  <c r="K152" i="2" s="1"/>
  <c r="L152" i="2" s="1"/>
  <c r="M152" i="2" s="1"/>
  <c r="H153" i="2"/>
  <c r="I153" i="2" s="1"/>
  <c r="J153" i="2"/>
  <c r="K153" i="2" s="1"/>
  <c r="L153" i="2" s="1"/>
  <c r="M153" i="2" s="1"/>
  <c r="H154" i="2"/>
  <c r="I154" i="2" s="1"/>
  <c r="J154" i="2"/>
  <c r="K154" i="2"/>
  <c r="L154" i="2" s="1"/>
  <c r="M154" i="2" s="1"/>
  <c r="H155" i="2"/>
  <c r="I155" i="2" s="1"/>
  <c r="J155" i="2"/>
  <c r="K155" i="2" s="1"/>
  <c r="L155" i="2" s="1"/>
  <c r="M155" i="2" s="1"/>
  <c r="H156" i="2"/>
  <c r="I156" i="2" s="1"/>
  <c r="J156" i="2"/>
  <c r="K156" i="2" s="1"/>
  <c r="L156" i="2" s="1"/>
  <c r="M156" i="2" s="1"/>
  <c r="H157" i="2"/>
  <c r="I157" i="2" s="1"/>
  <c r="J157" i="2"/>
  <c r="K157" i="2" s="1"/>
  <c r="L157" i="2" s="1"/>
  <c r="M157" i="2" s="1"/>
  <c r="H158" i="2"/>
  <c r="I158" i="2" s="1"/>
  <c r="J158" i="2"/>
  <c r="K158" i="2" s="1"/>
  <c r="L158" i="2" s="1"/>
  <c r="M158" i="2" s="1"/>
  <c r="H159" i="2"/>
  <c r="I159" i="2" s="1"/>
  <c r="J159" i="2"/>
  <c r="K159" i="2" s="1"/>
  <c r="L159" i="2" s="1"/>
  <c r="M159" i="2" s="1"/>
  <c r="H160" i="2"/>
  <c r="I160" i="2" s="1"/>
  <c r="J160" i="2"/>
  <c r="K160" i="2" s="1"/>
  <c r="L160" i="2" s="1"/>
  <c r="M160" i="2" s="1"/>
  <c r="H161" i="2"/>
  <c r="I161" i="2" s="1"/>
  <c r="J161" i="2"/>
  <c r="K161" i="2" s="1"/>
  <c r="L161" i="2" s="1"/>
  <c r="M161" i="2" s="1"/>
  <c r="H162" i="2"/>
  <c r="I162" i="2" s="1"/>
  <c r="J162" i="2"/>
  <c r="K162" i="2" s="1"/>
  <c r="L162" i="2" s="1"/>
  <c r="M162" i="2" s="1"/>
  <c r="H163" i="2"/>
  <c r="I163" i="2" s="1"/>
  <c r="J163" i="2"/>
  <c r="K163" i="2" s="1"/>
  <c r="L163" i="2" s="1"/>
  <c r="M163" i="2" s="1"/>
  <c r="H164" i="2"/>
  <c r="I164" i="2" s="1"/>
  <c r="J164" i="2"/>
  <c r="K164" i="2" s="1"/>
  <c r="L164" i="2" s="1"/>
  <c r="M164" i="2" s="1"/>
  <c r="H165" i="2"/>
  <c r="I165" i="2" s="1"/>
  <c r="J165" i="2"/>
  <c r="K165" i="2" s="1"/>
  <c r="L165" i="2" s="1"/>
  <c r="M165" i="2" s="1"/>
  <c r="H166" i="2"/>
  <c r="I166" i="2" s="1"/>
  <c r="J166" i="2"/>
  <c r="K166" i="2" s="1"/>
  <c r="L166" i="2" s="1"/>
  <c r="M166" i="2" s="1"/>
  <c r="H167" i="2"/>
  <c r="I167" i="2"/>
  <c r="J167" i="2"/>
  <c r="K167" i="2" s="1"/>
  <c r="L167" i="2" s="1"/>
  <c r="M167" i="2" s="1"/>
  <c r="H168" i="2"/>
  <c r="I168" i="2" s="1"/>
  <c r="J168" i="2"/>
  <c r="K168" i="2" s="1"/>
  <c r="L168" i="2"/>
  <c r="M168" i="2" s="1"/>
  <c r="H169" i="2"/>
  <c r="I169" i="2" s="1"/>
  <c r="J169" i="2"/>
  <c r="K169" i="2" s="1"/>
  <c r="L169" i="2" s="1"/>
  <c r="M169" i="2" s="1"/>
  <c r="H170" i="2"/>
  <c r="I170" i="2" s="1"/>
  <c r="J170" i="2"/>
  <c r="K170" i="2" s="1"/>
  <c r="L170" i="2" s="1"/>
  <c r="M170" i="2" s="1"/>
  <c r="H171" i="2"/>
  <c r="I171" i="2" s="1"/>
  <c r="J171" i="2"/>
  <c r="K171" i="2" s="1"/>
  <c r="L171" i="2" s="1"/>
  <c r="M171" i="2"/>
  <c r="H172" i="2"/>
  <c r="I172" i="2" s="1"/>
  <c r="J172" i="2"/>
  <c r="K172" i="2" s="1"/>
  <c r="L172" i="2" s="1"/>
  <c r="M172" i="2" s="1"/>
  <c r="H173" i="2"/>
  <c r="I173" i="2" s="1"/>
  <c r="J173" i="2"/>
  <c r="K173" i="2" s="1"/>
  <c r="L173" i="2" s="1"/>
  <c r="M173" i="2" s="1"/>
  <c r="H174" i="2"/>
  <c r="I174" i="2" s="1"/>
  <c r="J174" i="2"/>
  <c r="K174" i="2"/>
  <c r="L174" i="2" s="1"/>
  <c r="M174" i="2" s="1"/>
  <c r="H175" i="2"/>
  <c r="I175" i="2" s="1"/>
  <c r="J175" i="2"/>
  <c r="K175" i="2" s="1"/>
  <c r="L175" i="2" s="1"/>
  <c r="M175" i="2" s="1"/>
  <c r="H176" i="2"/>
  <c r="I176" i="2" s="1"/>
  <c r="J176" i="2"/>
  <c r="K176" i="2"/>
  <c r="L176" i="2" s="1"/>
  <c r="M176" i="2" s="1"/>
  <c r="H177" i="2"/>
  <c r="I177" i="2"/>
  <c r="J177" i="2"/>
  <c r="K177" i="2"/>
  <c r="L177" i="2" s="1"/>
  <c r="M177" i="2" s="1"/>
  <c r="H178" i="2"/>
  <c r="I178" i="2" s="1"/>
  <c r="J178" i="2"/>
  <c r="K178" i="2" s="1"/>
  <c r="L178" i="2" s="1"/>
  <c r="M178" i="2" s="1"/>
  <c r="H179" i="2"/>
  <c r="I179" i="2" s="1"/>
  <c r="J179" i="2"/>
  <c r="K179" i="2" s="1"/>
  <c r="L179" i="2" s="1"/>
  <c r="M179" i="2" s="1"/>
  <c r="H180" i="2"/>
  <c r="I180" i="2" s="1"/>
  <c r="J180" i="2"/>
  <c r="K180" i="2" s="1"/>
  <c r="L180" i="2" s="1"/>
  <c r="M180" i="2" s="1"/>
  <c r="H181" i="2"/>
  <c r="I181" i="2" s="1"/>
  <c r="J181" i="2"/>
  <c r="K181" i="2" s="1"/>
  <c r="L181" i="2" s="1"/>
  <c r="M181" i="2" s="1"/>
  <c r="H182" i="2"/>
  <c r="I182" i="2" s="1"/>
  <c r="J182" i="2"/>
  <c r="K182" i="2" s="1"/>
  <c r="L182" i="2" s="1"/>
  <c r="M182" i="2" s="1"/>
  <c r="H183" i="2"/>
  <c r="I183" i="2" s="1"/>
  <c r="J183" i="2"/>
  <c r="K183" i="2" s="1"/>
  <c r="L183" i="2"/>
  <c r="M183" i="2" s="1"/>
  <c r="H184" i="2"/>
  <c r="I184" i="2" s="1"/>
  <c r="J184" i="2"/>
  <c r="K184" i="2" s="1"/>
  <c r="L184" i="2" s="1"/>
  <c r="M184" i="2" s="1"/>
  <c r="H185" i="2"/>
  <c r="I185" i="2" s="1"/>
  <c r="J185" i="2"/>
  <c r="K185" i="2" s="1"/>
  <c r="L185" i="2" s="1"/>
  <c r="M185" i="2" s="1"/>
  <c r="H186" i="2"/>
  <c r="I186" i="2" s="1"/>
  <c r="J186" i="2"/>
  <c r="K186" i="2" s="1"/>
  <c r="L186" i="2" s="1"/>
  <c r="M186" i="2" s="1"/>
  <c r="H187" i="2"/>
  <c r="I187" i="2" s="1"/>
  <c r="J187" i="2"/>
  <c r="K187" i="2" s="1"/>
  <c r="L187" i="2" s="1"/>
  <c r="M187" i="2"/>
  <c r="H188" i="2"/>
  <c r="I188" i="2"/>
  <c r="J188" i="2"/>
  <c r="K188" i="2"/>
  <c r="L188" i="2" s="1"/>
  <c r="M188" i="2" s="1"/>
  <c r="H189" i="2"/>
  <c r="I189" i="2" s="1"/>
  <c r="J189" i="2"/>
  <c r="K189" i="2" s="1"/>
  <c r="L189" i="2"/>
  <c r="M189" i="2" s="1"/>
  <c r="H190" i="2"/>
  <c r="I190" i="2" s="1"/>
  <c r="J190" i="2"/>
  <c r="K190" i="2" s="1"/>
  <c r="L190" i="2" s="1"/>
  <c r="M190" i="2" s="1"/>
  <c r="H191" i="2"/>
  <c r="I191" i="2"/>
  <c r="J191" i="2"/>
  <c r="K191" i="2" s="1"/>
  <c r="L191" i="2" s="1"/>
  <c r="M191" i="2" s="1"/>
  <c r="H192" i="2"/>
  <c r="I192" i="2" s="1"/>
  <c r="J192" i="2"/>
  <c r="K192" i="2" s="1"/>
  <c r="L192" i="2" s="1"/>
  <c r="M192" i="2" s="1"/>
  <c r="H193" i="2"/>
  <c r="I193" i="2" s="1"/>
  <c r="J193" i="2"/>
  <c r="K193" i="2" s="1"/>
  <c r="L193" i="2" s="1"/>
  <c r="M193" i="2" s="1"/>
  <c r="H194" i="2"/>
  <c r="I194" i="2" s="1"/>
  <c r="J194" i="2"/>
  <c r="K194" i="2" s="1"/>
  <c r="L194" i="2" s="1"/>
  <c r="M194" i="2" s="1"/>
  <c r="H195" i="2"/>
  <c r="I195" i="2" s="1"/>
  <c r="J195" i="2"/>
  <c r="K195" i="2" s="1"/>
  <c r="L195" i="2" s="1"/>
  <c r="M195" i="2" s="1"/>
  <c r="H196" i="2"/>
  <c r="I196" i="2"/>
  <c r="J196" i="2"/>
  <c r="K196" i="2" s="1"/>
  <c r="L196" i="2" s="1"/>
  <c r="M196" i="2" s="1"/>
  <c r="H197" i="2"/>
  <c r="I197" i="2" s="1"/>
  <c r="J197" i="2"/>
  <c r="K197" i="2" s="1"/>
  <c r="L197" i="2" s="1"/>
  <c r="M197" i="2" s="1"/>
  <c r="H198" i="2"/>
  <c r="I198" i="2" s="1"/>
  <c r="J198" i="2"/>
  <c r="K198" i="2" s="1"/>
  <c r="L198" i="2" s="1"/>
  <c r="M198" i="2" s="1"/>
  <c r="H199" i="2"/>
  <c r="I199" i="2"/>
  <c r="J199" i="2"/>
  <c r="K199" i="2" s="1"/>
  <c r="L199" i="2" s="1"/>
  <c r="M199" i="2" s="1"/>
  <c r="H200" i="2"/>
  <c r="I200" i="2" s="1"/>
  <c r="J200" i="2"/>
  <c r="K200" i="2" s="1"/>
  <c r="L200" i="2" s="1"/>
  <c r="M200" i="2" s="1"/>
  <c r="H201" i="2"/>
  <c r="I201" i="2" s="1"/>
  <c r="J201" i="2"/>
  <c r="K201" i="2" s="1"/>
  <c r="L201" i="2" s="1"/>
  <c r="M201" i="2" s="1"/>
  <c r="H202" i="2"/>
  <c r="I202" i="2" s="1"/>
  <c r="J202" i="2"/>
  <c r="K202" i="2"/>
  <c r="L202" i="2" s="1"/>
  <c r="M202" i="2" s="1"/>
  <c r="H203" i="2"/>
  <c r="I203" i="2" s="1"/>
  <c r="J203" i="2"/>
  <c r="K203" i="2" s="1"/>
  <c r="L203" i="2" s="1"/>
  <c r="M203" i="2" s="1"/>
  <c r="H204" i="2"/>
  <c r="I204" i="2"/>
  <c r="J204" i="2"/>
  <c r="K204" i="2"/>
  <c r="L204" i="2" s="1"/>
  <c r="M204" i="2" s="1"/>
  <c r="H205" i="2"/>
  <c r="I205" i="2" s="1"/>
  <c r="J205" i="2"/>
  <c r="K205" i="2" s="1"/>
  <c r="L205" i="2" s="1"/>
  <c r="M205" i="2" s="1"/>
  <c r="H206" i="2"/>
  <c r="I206" i="2" s="1"/>
  <c r="J206" i="2"/>
  <c r="K206" i="2"/>
  <c r="L206" i="2"/>
  <c r="M206" i="2" s="1"/>
  <c r="H207" i="2"/>
  <c r="I207" i="2" s="1"/>
  <c r="J207" i="2"/>
  <c r="K207" i="2" s="1"/>
  <c r="L207" i="2" s="1"/>
  <c r="M207" i="2" s="1"/>
  <c r="H208" i="2"/>
  <c r="I208" i="2" s="1"/>
  <c r="J208" i="2"/>
  <c r="K208" i="2" s="1"/>
  <c r="L208" i="2" s="1"/>
  <c r="M208" i="2" s="1"/>
  <c r="H209" i="2"/>
  <c r="I209" i="2"/>
  <c r="J209" i="2"/>
  <c r="K209" i="2" s="1"/>
  <c r="L209" i="2" s="1"/>
  <c r="M209" i="2" s="1"/>
  <c r="H210" i="2"/>
  <c r="I210" i="2" s="1"/>
  <c r="J210" i="2"/>
  <c r="K210" i="2" s="1"/>
  <c r="L210" i="2" s="1"/>
  <c r="M210" i="2" s="1"/>
  <c r="H211" i="2"/>
  <c r="I211" i="2" s="1"/>
  <c r="J211" i="2"/>
  <c r="K211" i="2" s="1"/>
  <c r="L211" i="2" s="1"/>
  <c r="M211" i="2" s="1"/>
  <c r="H212" i="2"/>
  <c r="I212" i="2"/>
  <c r="J212" i="2"/>
  <c r="K212" i="2"/>
  <c r="L212" i="2" s="1"/>
  <c r="M212" i="2" s="1"/>
  <c r="H213" i="2"/>
  <c r="I213" i="2" s="1"/>
  <c r="J213" i="2"/>
  <c r="K213" i="2" s="1"/>
  <c r="L213" i="2" s="1"/>
  <c r="M213" i="2" s="1"/>
  <c r="H214" i="2"/>
  <c r="I214" i="2" s="1"/>
  <c r="J214" i="2"/>
  <c r="K214" i="2" s="1"/>
  <c r="L214" i="2" s="1"/>
  <c r="M214" i="2" s="1"/>
  <c r="H215" i="2"/>
  <c r="I215" i="2" s="1"/>
  <c r="J215" i="2"/>
  <c r="K215" i="2" s="1"/>
  <c r="L215" i="2" s="1"/>
  <c r="M215" i="2" s="1"/>
  <c r="H216" i="2"/>
  <c r="I216" i="2" s="1"/>
  <c r="J216" i="2"/>
  <c r="K216" i="2" s="1"/>
  <c r="L216" i="2" s="1"/>
  <c r="M216" i="2" s="1"/>
  <c r="H217" i="2"/>
  <c r="I217" i="2"/>
  <c r="J217" i="2"/>
  <c r="K217" i="2" s="1"/>
  <c r="L217" i="2" s="1"/>
  <c r="M217" i="2" s="1"/>
  <c r="H218" i="2"/>
  <c r="I218" i="2" s="1"/>
  <c r="J218" i="2"/>
  <c r="K218" i="2" s="1"/>
  <c r="L218" i="2"/>
  <c r="M218" i="2" s="1"/>
  <c r="H219" i="2"/>
  <c r="I219" i="2" s="1"/>
  <c r="J219" i="2"/>
  <c r="K219" i="2" s="1"/>
  <c r="L219" i="2" s="1"/>
  <c r="M219" i="2"/>
  <c r="H220" i="2"/>
  <c r="I220" i="2" s="1"/>
  <c r="J220" i="2"/>
  <c r="K220" i="2" s="1"/>
  <c r="L220" i="2" s="1"/>
  <c r="M220" i="2" s="1"/>
  <c r="H221" i="2"/>
  <c r="I221" i="2" s="1"/>
  <c r="J221" i="2"/>
  <c r="K221" i="2" s="1"/>
  <c r="L221" i="2" s="1"/>
  <c r="M221" i="2" s="1"/>
  <c r="H222" i="2"/>
  <c r="I222" i="2" s="1"/>
  <c r="J222" i="2"/>
  <c r="K222" i="2" s="1"/>
  <c r="L222" i="2" s="1"/>
  <c r="M222" i="2" s="1"/>
  <c r="H223" i="2"/>
  <c r="I223" i="2" s="1"/>
  <c r="J223" i="2"/>
  <c r="K223" i="2" s="1"/>
  <c r="L223" i="2" s="1"/>
  <c r="M223" i="2" s="1"/>
  <c r="H224" i="2"/>
  <c r="I224" i="2" s="1"/>
  <c r="J224" i="2"/>
  <c r="K224" i="2" s="1"/>
  <c r="L224" i="2"/>
  <c r="M224" i="2" s="1"/>
  <c r="H225" i="2"/>
  <c r="I225" i="2"/>
  <c r="J225" i="2"/>
  <c r="K225" i="2" s="1"/>
  <c r="L225" i="2" s="1"/>
  <c r="M225" i="2" s="1"/>
  <c r="H226" i="2"/>
  <c r="I226" i="2" s="1"/>
  <c r="J226" i="2"/>
  <c r="K226" i="2" s="1"/>
  <c r="L226" i="2" s="1"/>
  <c r="M226" i="2" s="1"/>
  <c r="H227" i="2"/>
  <c r="I227" i="2" s="1"/>
  <c r="J227" i="2"/>
  <c r="K227" i="2" s="1"/>
  <c r="L227" i="2" s="1"/>
  <c r="M227" i="2" s="1"/>
  <c r="H228" i="2"/>
  <c r="I228" i="2" s="1"/>
  <c r="J228" i="2"/>
  <c r="K228" i="2" s="1"/>
  <c r="L228" i="2"/>
  <c r="M228" i="2" s="1"/>
  <c r="H229" i="2"/>
  <c r="I229" i="2" s="1"/>
  <c r="J229" i="2"/>
  <c r="K229" i="2" s="1"/>
  <c r="L229" i="2" s="1"/>
  <c r="M229" i="2" s="1"/>
  <c r="H230" i="2"/>
  <c r="I230" i="2" s="1"/>
  <c r="J230" i="2"/>
  <c r="K230" i="2"/>
  <c r="L230" i="2" s="1"/>
  <c r="M230" i="2" s="1"/>
  <c r="H231" i="2"/>
  <c r="I231" i="2" s="1"/>
  <c r="J231" i="2"/>
  <c r="K231" i="2" s="1"/>
  <c r="L231" i="2" s="1"/>
  <c r="M231" i="2" s="1"/>
  <c r="H232" i="2"/>
  <c r="I232" i="2" s="1"/>
  <c r="J232" i="2"/>
  <c r="K232" i="2" s="1"/>
  <c r="L232" i="2"/>
  <c r="M232" i="2" s="1"/>
  <c r="H233" i="2"/>
  <c r="I233" i="2" s="1"/>
  <c r="J233" i="2"/>
  <c r="K233" i="2" s="1"/>
  <c r="L233" i="2" s="1"/>
  <c r="M233" i="2" s="1"/>
  <c r="H234" i="2"/>
  <c r="I234" i="2"/>
  <c r="J234" i="2"/>
  <c r="K234" i="2" s="1"/>
  <c r="L234" i="2" s="1"/>
  <c r="M234" i="2" s="1"/>
  <c r="H235" i="2"/>
  <c r="I235" i="2" s="1"/>
  <c r="J235" i="2"/>
  <c r="K235" i="2" s="1"/>
  <c r="L235" i="2" s="1"/>
  <c r="M235" i="2" s="1"/>
  <c r="H236" i="2"/>
  <c r="I236" i="2" s="1"/>
  <c r="J236" i="2"/>
  <c r="K236" i="2" s="1"/>
  <c r="L236" i="2"/>
  <c r="M236" i="2" s="1"/>
  <c r="H237" i="2"/>
  <c r="I237" i="2" s="1"/>
  <c r="J237" i="2"/>
  <c r="K237" i="2" s="1"/>
  <c r="L237" i="2" s="1"/>
  <c r="M237" i="2" s="1"/>
  <c r="H238" i="2"/>
  <c r="I238" i="2" s="1"/>
  <c r="J238" i="2"/>
  <c r="K238" i="2" s="1"/>
  <c r="L238" i="2" s="1"/>
  <c r="M238" i="2" s="1"/>
  <c r="H239" i="2"/>
  <c r="I239" i="2" s="1"/>
  <c r="J239" i="2"/>
  <c r="K239" i="2"/>
  <c r="L239" i="2" s="1"/>
  <c r="M239" i="2" s="1"/>
  <c r="H240" i="2"/>
  <c r="I240" i="2" s="1"/>
  <c r="J240" i="2"/>
  <c r="K240" i="2" s="1"/>
  <c r="L240" i="2"/>
  <c r="M240" i="2" s="1"/>
  <c r="H241" i="2"/>
  <c r="I241" i="2"/>
  <c r="J241" i="2"/>
  <c r="K241" i="2" s="1"/>
  <c r="L241" i="2" s="1"/>
  <c r="M241" i="2" s="1"/>
  <c r="H242" i="2"/>
  <c r="I242" i="2" s="1"/>
  <c r="J242" i="2"/>
  <c r="K242" i="2" s="1"/>
  <c r="L242" i="2" s="1"/>
  <c r="M242" i="2" s="1"/>
  <c r="H243" i="2"/>
  <c r="I243" i="2" s="1"/>
  <c r="J243" i="2"/>
  <c r="K243" i="2" s="1"/>
  <c r="L243" i="2" s="1"/>
  <c r="M243" i="2" s="1"/>
  <c r="H244" i="2"/>
  <c r="I244" i="2" s="1"/>
  <c r="J244" i="2"/>
  <c r="K244" i="2" s="1"/>
  <c r="L244" i="2"/>
  <c r="M244" i="2" s="1"/>
  <c r="H245" i="2"/>
  <c r="I245" i="2" s="1"/>
  <c r="J245" i="2"/>
  <c r="K245" i="2" s="1"/>
  <c r="L245" i="2" s="1"/>
  <c r="M245" i="2" s="1"/>
  <c r="H246" i="2"/>
  <c r="I246" i="2" s="1"/>
  <c r="J246" i="2"/>
  <c r="K246" i="2" s="1"/>
  <c r="L246" i="2" s="1"/>
  <c r="M246" i="2" s="1"/>
  <c r="H247" i="2"/>
  <c r="I247" i="2" s="1"/>
  <c r="J247" i="2"/>
  <c r="K247" i="2" s="1"/>
  <c r="L247" i="2" s="1"/>
  <c r="M247" i="2" s="1"/>
  <c r="H248" i="2"/>
  <c r="I248" i="2" s="1"/>
  <c r="J248" i="2"/>
  <c r="K248" i="2" s="1"/>
  <c r="L248" i="2" s="1"/>
  <c r="M248" i="2" s="1"/>
  <c r="H249" i="2"/>
  <c r="I249" i="2" s="1"/>
  <c r="J249" i="2"/>
  <c r="K249" i="2" s="1"/>
  <c r="L249" i="2" s="1"/>
  <c r="M249" i="2" s="1"/>
  <c r="H250" i="2"/>
  <c r="I250" i="2" s="1"/>
  <c r="J250" i="2"/>
  <c r="K250" i="2" s="1"/>
  <c r="L250" i="2" s="1"/>
  <c r="M250" i="2" s="1"/>
  <c r="H251" i="2"/>
  <c r="I251" i="2" s="1"/>
  <c r="J251" i="2"/>
  <c r="K251" i="2" s="1"/>
  <c r="L251" i="2" s="1"/>
  <c r="M251" i="2" s="1"/>
  <c r="H252" i="2"/>
  <c r="I252" i="2" s="1"/>
  <c r="J252" i="2"/>
  <c r="K252" i="2" s="1"/>
  <c r="L252" i="2" s="1"/>
  <c r="M252" i="2" s="1"/>
  <c r="H253" i="2"/>
  <c r="I253" i="2" s="1"/>
  <c r="J253" i="2"/>
  <c r="K253" i="2" s="1"/>
  <c r="L253" i="2" s="1"/>
  <c r="M253" i="2" s="1"/>
  <c r="H254" i="2"/>
  <c r="I254" i="2" s="1"/>
  <c r="J254" i="2"/>
  <c r="K254" i="2" s="1"/>
  <c r="L254" i="2" s="1"/>
  <c r="M254" i="2" s="1"/>
  <c r="H255" i="2"/>
  <c r="I255" i="2" s="1"/>
  <c r="J255" i="2"/>
  <c r="K255" i="2"/>
  <c r="L255" i="2" s="1"/>
  <c r="M255" i="2" s="1"/>
  <c r="H256" i="2"/>
  <c r="I256" i="2" s="1"/>
  <c r="J256" i="2"/>
  <c r="K256" i="2" s="1"/>
  <c r="L256" i="2"/>
  <c r="M256" i="2" s="1"/>
  <c r="H257" i="2"/>
  <c r="I257" i="2" s="1"/>
  <c r="J257" i="2"/>
  <c r="K257" i="2" s="1"/>
  <c r="L257" i="2" s="1"/>
  <c r="M257" i="2" s="1"/>
  <c r="H258" i="2"/>
  <c r="I258" i="2" s="1"/>
  <c r="J258" i="2"/>
  <c r="K258" i="2" s="1"/>
  <c r="L258" i="2" s="1"/>
  <c r="M258" i="2" s="1"/>
  <c r="H259" i="2"/>
  <c r="I259" i="2" s="1"/>
  <c r="J259" i="2"/>
  <c r="K259" i="2" s="1"/>
  <c r="L259" i="2" s="1"/>
  <c r="M259" i="2" s="1"/>
  <c r="H260" i="2"/>
  <c r="I260" i="2" s="1"/>
  <c r="J260" i="2"/>
  <c r="K260" i="2" s="1"/>
  <c r="L260" i="2" s="1"/>
  <c r="M260" i="2" s="1"/>
  <c r="H261" i="2"/>
  <c r="I261" i="2" s="1"/>
  <c r="J261" i="2"/>
  <c r="K261" i="2" s="1"/>
  <c r="L261" i="2" s="1"/>
  <c r="M261" i="2" s="1"/>
  <c r="H262" i="2"/>
  <c r="I262" i="2" s="1"/>
  <c r="J262" i="2"/>
  <c r="K262" i="2"/>
  <c r="L262" i="2" s="1"/>
  <c r="M262" i="2" s="1"/>
  <c r="H263" i="2"/>
  <c r="I263" i="2" s="1"/>
  <c r="J263" i="2"/>
  <c r="K263" i="2" s="1"/>
  <c r="L263" i="2" s="1"/>
  <c r="M263" i="2" s="1"/>
  <c r="H264" i="2"/>
  <c r="I264" i="2" s="1"/>
  <c r="J264" i="2"/>
  <c r="K264" i="2" s="1"/>
  <c r="L264" i="2"/>
  <c r="M264" i="2" s="1"/>
  <c r="H265" i="2"/>
  <c r="I265" i="2" s="1"/>
  <c r="J265" i="2"/>
  <c r="K265" i="2" s="1"/>
  <c r="L265" i="2" s="1"/>
  <c r="M265" i="2" s="1"/>
  <c r="H266" i="2"/>
  <c r="I266" i="2" s="1"/>
  <c r="J266" i="2"/>
  <c r="K266" i="2" s="1"/>
  <c r="L266" i="2" s="1"/>
  <c r="M266" i="2" s="1"/>
  <c r="H267" i="2"/>
  <c r="I267" i="2" s="1"/>
  <c r="J267" i="2"/>
  <c r="K267" i="2" s="1"/>
  <c r="L267" i="2" s="1"/>
  <c r="M267" i="2" s="1"/>
  <c r="H268" i="2"/>
  <c r="I268" i="2" s="1"/>
  <c r="J268" i="2"/>
  <c r="K268" i="2" s="1"/>
  <c r="L268" i="2"/>
  <c r="M268" i="2" s="1"/>
  <c r="H269" i="2"/>
  <c r="I269" i="2" s="1"/>
  <c r="J269" i="2"/>
  <c r="K269" i="2" s="1"/>
  <c r="L269" i="2" s="1"/>
  <c r="M269" i="2" s="1"/>
  <c r="H270" i="2"/>
  <c r="I270" i="2" s="1"/>
  <c r="J270" i="2"/>
  <c r="K270" i="2" s="1"/>
  <c r="L270" i="2" s="1"/>
  <c r="M270" i="2" s="1"/>
  <c r="H271" i="2"/>
  <c r="I271" i="2" s="1"/>
  <c r="J271" i="2"/>
  <c r="K271" i="2"/>
  <c r="L271" i="2" s="1"/>
  <c r="M271" i="2" s="1"/>
  <c r="H272" i="2"/>
  <c r="I272" i="2" s="1"/>
  <c r="J272" i="2"/>
  <c r="K272" i="2" s="1"/>
  <c r="L272" i="2" s="1"/>
  <c r="M272" i="2" s="1"/>
  <c r="H273" i="2"/>
  <c r="I273" i="2"/>
  <c r="J273" i="2"/>
  <c r="K273" i="2" s="1"/>
  <c r="L273" i="2" s="1"/>
  <c r="M273" i="2" s="1"/>
  <c r="H274" i="2"/>
  <c r="I274" i="2" s="1"/>
  <c r="J274" i="2"/>
  <c r="K274" i="2" s="1"/>
  <c r="L274" i="2" s="1"/>
  <c r="M274" i="2" s="1"/>
  <c r="H275" i="2"/>
  <c r="I275" i="2" s="1"/>
  <c r="J275" i="2"/>
  <c r="K275" i="2" s="1"/>
  <c r="L275" i="2" s="1"/>
  <c r="M275" i="2" s="1"/>
  <c r="H276" i="2"/>
  <c r="I276" i="2" s="1"/>
  <c r="J276" i="2"/>
  <c r="K276" i="2" s="1"/>
  <c r="L276" i="2"/>
  <c r="M276" i="2"/>
  <c r="H277" i="2"/>
  <c r="I277" i="2" s="1"/>
  <c r="J277" i="2"/>
  <c r="K277" i="2" s="1"/>
  <c r="L277" i="2" s="1"/>
  <c r="M277" i="2" s="1"/>
  <c r="H278" i="2"/>
  <c r="I278" i="2" s="1"/>
  <c r="J278" i="2"/>
  <c r="K278" i="2" s="1"/>
  <c r="L278" i="2" s="1"/>
  <c r="M278" i="2" s="1"/>
  <c r="H279" i="2"/>
  <c r="I279" i="2" s="1"/>
  <c r="J279" i="2"/>
  <c r="K279" i="2" s="1"/>
  <c r="L279" i="2" s="1"/>
  <c r="M279" i="2" s="1"/>
  <c r="H280" i="2"/>
  <c r="I280" i="2" s="1"/>
  <c r="J280" i="2"/>
  <c r="K280" i="2" s="1"/>
  <c r="L280" i="2" s="1"/>
  <c r="M280" i="2" s="1"/>
  <c r="H281" i="2"/>
  <c r="I281" i="2" s="1"/>
  <c r="J281" i="2"/>
  <c r="K281" i="2" s="1"/>
  <c r="L281" i="2" s="1"/>
  <c r="M281" i="2" s="1"/>
  <c r="H282" i="2"/>
  <c r="I282" i="2" s="1"/>
  <c r="J282" i="2"/>
  <c r="K282" i="2" s="1"/>
  <c r="L282" i="2" s="1"/>
  <c r="M282" i="2" s="1"/>
  <c r="H283" i="2"/>
  <c r="I283" i="2" s="1"/>
  <c r="J283" i="2"/>
  <c r="K283" i="2" s="1"/>
  <c r="L283" i="2" s="1"/>
  <c r="M283" i="2" s="1"/>
  <c r="H284" i="2"/>
  <c r="I284" i="2" s="1"/>
  <c r="J284" i="2"/>
  <c r="K284" i="2" s="1"/>
  <c r="L284" i="2" s="1"/>
  <c r="M284" i="2" s="1"/>
  <c r="H285" i="2"/>
  <c r="I285" i="2" s="1"/>
  <c r="J285" i="2"/>
  <c r="K285" i="2" s="1"/>
  <c r="L285" i="2"/>
  <c r="M285" i="2" s="1"/>
  <c r="H286" i="2"/>
  <c r="I286" i="2"/>
  <c r="J286" i="2"/>
  <c r="K286" i="2"/>
  <c r="L286" i="2" s="1"/>
  <c r="M286" i="2" s="1"/>
  <c r="H287" i="2"/>
  <c r="I287" i="2" s="1"/>
  <c r="J287" i="2"/>
  <c r="K287" i="2" s="1"/>
  <c r="L287" i="2" s="1"/>
  <c r="M287" i="2" s="1"/>
  <c r="H288" i="2"/>
  <c r="I288" i="2"/>
  <c r="J288" i="2"/>
  <c r="K288" i="2" s="1"/>
  <c r="L288" i="2" s="1"/>
  <c r="M288" i="2" s="1"/>
  <c r="H289" i="2"/>
  <c r="I289" i="2"/>
  <c r="J289" i="2"/>
  <c r="K289" i="2"/>
  <c r="L289" i="2" s="1"/>
  <c r="M289" i="2" s="1"/>
  <c r="H290" i="2"/>
  <c r="I290" i="2"/>
  <c r="J290" i="2"/>
  <c r="K290" i="2" s="1"/>
  <c r="L290" i="2" s="1"/>
  <c r="M290" i="2" s="1"/>
  <c r="H291" i="2"/>
  <c r="I291" i="2" s="1"/>
  <c r="J291" i="2"/>
  <c r="K291" i="2" s="1"/>
  <c r="L291" i="2" s="1"/>
  <c r="M291" i="2" s="1"/>
  <c r="H292" i="2"/>
  <c r="I292" i="2" s="1"/>
  <c r="J292" i="2"/>
  <c r="K292" i="2" s="1"/>
  <c r="L292" i="2" s="1"/>
  <c r="M292" i="2" s="1"/>
  <c r="H293" i="2"/>
  <c r="I293" i="2" s="1"/>
  <c r="J293" i="2"/>
  <c r="K293" i="2" s="1"/>
  <c r="L293" i="2" s="1"/>
  <c r="M293" i="2" s="1"/>
  <c r="H294" i="2"/>
  <c r="I294" i="2"/>
  <c r="J294" i="2"/>
  <c r="K294" i="2"/>
  <c r="L294" i="2" s="1"/>
  <c r="M294" i="2" s="1"/>
  <c r="H295" i="2"/>
  <c r="I295" i="2" s="1"/>
  <c r="J295" i="2"/>
  <c r="K295" i="2" s="1"/>
  <c r="L295" i="2" s="1"/>
  <c r="M295" i="2" s="1"/>
  <c r="H296" i="2"/>
  <c r="I296" i="2" s="1"/>
  <c r="J296" i="2"/>
  <c r="K296" i="2" s="1"/>
  <c r="L296" i="2" s="1"/>
  <c r="M296" i="2" s="1"/>
  <c r="H297" i="2"/>
  <c r="I297" i="2"/>
  <c r="J297" i="2"/>
  <c r="K297" i="2"/>
  <c r="L297" i="2" s="1"/>
  <c r="M297" i="2" s="1"/>
  <c r="H298" i="2"/>
  <c r="I298" i="2" s="1"/>
  <c r="J298" i="2"/>
  <c r="K298" i="2" s="1"/>
  <c r="L298" i="2" s="1"/>
  <c r="M298" i="2" s="1"/>
  <c r="H299" i="2"/>
  <c r="I299" i="2" s="1"/>
  <c r="J299" i="2"/>
  <c r="K299" i="2"/>
  <c r="L299" i="2" s="1"/>
  <c r="M299" i="2" s="1"/>
  <c r="H300" i="2"/>
  <c r="I300" i="2"/>
  <c r="J300" i="2"/>
  <c r="K300" i="2" s="1"/>
  <c r="L300" i="2" s="1"/>
  <c r="M300" i="2" s="1"/>
  <c r="H301" i="2"/>
  <c r="I301" i="2" s="1"/>
  <c r="J301" i="2"/>
  <c r="K301" i="2" s="1"/>
  <c r="L301" i="2" s="1"/>
  <c r="M301" i="2" s="1"/>
  <c r="H302" i="2"/>
  <c r="I302" i="2" s="1"/>
  <c r="J302" i="2"/>
  <c r="K302" i="2" s="1"/>
  <c r="L302" i="2" s="1"/>
  <c r="M302" i="2" s="1"/>
  <c r="H303" i="2"/>
  <c r="I303" i="2" s="1"/>
  <c r="J303" i="2"/>
  <c r="K303" i="2" s="1"/>
  <c r="L303" i="2" s="1"/>
  <c r="M303" i="2" s="1"/>
  <c r="H304" i="2"/>
  <c r="I304" i="2" s="1"/>
  <c r="J304" i="2"/>
  <c r="K304" i="2" s="1"/>
  <c r="L304" i="2" s="1"/>
  <c r="M304" i="2" s="1"/>
  <c r="H305" i="2"/>
  <c r="I305" i="2"/>
  <c r="J305" i="2"/>
  <c r="K305" i="2"/>
  <c r="L305" i="2" s="1"/>
  <c r="M305" i="2" s="1"/>
  <c r="H306" i="2"/>
  <c r="I306" i="2"/>
  <c r="J306" i="2"/>
  <c r="K306" i="2"/>
  <c r="L306" i="2" s="1"/>
  <c r="M306" i="2" s="1"/>
  <c r="H307" i="2"/>
  <c r="I307" i="2" s="1"/>
  <c r="J307" i="2"/>
  <c r="K307" i="2" s="1"/>
  <c r="L307" i="2" s="1"/>
  <c r="M307" i="2" s="1"/>
  <c r="H308" i="2"/>
  <c r="I308" i="2"/>
  <c r="J308" i="2"/>
  <c r="K308" i="2" s="1"/>
  <c r="L308" i="2" s="1"/>
  <c r="M308" i="2" s="1"/>
  <c r="H309" i="2"/>
  <c r="I309" i="2"/>
  <c r="J309" i="2"/>
  <c r="K309" i="2"/>
  <c r="L309" i="2" s="1"/>
  <c r="M309" i="2" s="1"/>
  <c r="H310" i="2"/>
  <c r="I310" i="2"/>
  <c r="J310" i="2"/>
  <c r="K310" i="2" s="1"/>
  <c r="L310" i="2" s="1"/>
  <c r="M310" i="2" s="1"/>
  <c r="H311" i="2"/>
  <c r="I311" i="2" s="1"/>
  <c r="J311" i="2"/>
  <c r="K311" i="2"/>
  <c r="L311" i="2" s="1"/>
  <c r="M311" i="2" s="1"/>
  <c r="H312" i="2"/>
  <c r="I312" i="2" s="1"/>
  <c r="J312" i="2"/>
  <c r="K312" i="2" s="1"/>
  <c r="L312" i="2" s="1"/>
  <c r="M312" i="2" s="1"/>
  <c r="H313" i="2"/>
  <c r="I313" i="2"/>
  <c r="J313" i="2"/>
  <c r="K313" i="2"/>
  <c r="L313" i="2" s="1"/>
  <c r="M313" i="2" s="1"/>
  <c r="H314" i="2"/>
  <c r="I314" i="2" s="1"/>
  <c r="J314" i="2"/>
  <c r="K314" i="2"/>
  <c r="L314" i="2" s="1"/>
  <c r="M314" i="2" s="1"/>
  <c r="H315" i="2"/>
  <c r="I315" i="2" s="1"/>
  <c r="J315" i="2"/>
  <c r="K315" i="2" s="1"/>
  <c r="L315" i="2" s="1"/>
  <c r="M315" i="2" s="1"/>
  <c r="H316" i="2"/>
  <c r="I316" i="2" s="1"/>
  <c r="J316" i="2"/>
  <c r="K316" i="2" s="1"/>
  <c r="L316" i="2" s="1"/>
  <c r="M316" i="2" s="1"/>
  <c r="H317" i="2"/>
  <c r="I317" i="2" s="1"/>
  <c r="J317" i="2"/>
  <c r="K317" i="2" s="1"/>
  <c r="L317" i="2" s="1"/>
  <c r="M317" i="2" s="1"/>
  <c r="H318" i="2"/>
  <c r="I318" i="2"/>
  <c r="J318" i="2"/>
  <c r="K318" i="2"/>
  <c r="L318" i="2" s="1"/>
  <c r="M318" i="2" s="1"/>
  <c r="H319" i="2"/>
  <c r="I319" i="2" s="1"/>
  <c r="J319" i="2"/>
  <c r="K319" i="2" s="1"/>
  <c r="L319" i="2" s="1"/>
  <c r="M319" i="2" s="1"/>
  <c r="H320" i="2"/>
  <c r="I320" i="2" s="1"/>
  <c r="J320" i="2"/>
  <c r="K320" i="2" s="1"/>
  <c r="L320" i="2" s="1"/>
  <c r="M320" i="2" s="1"/>
  <c r="H321" i="2"/>
  <c r="I321" i="2" s="1"/>
  <c r="J321" i="2"/>
  <c r="K321" i="2" s="1"/>
  <c r="L321" i="2" s="1"/>
  <c r="M321" i="2" s="1"/>
  <c r="H322" i="2"/>
  <c r="I322" i="2"/>
  <c r="J322" i="2"/>
  <c r="K322" i="2" s="1"/>
  <c r="L322" i="2"/>
  <c r="M322" i="2" s="1"/>
  <c r="H323" i="2"/>
  <c r="I323" i="2" s="1"/>
  <c r="J323" i="2"/>
  <c r="K323" i="2" s="1"/>
  <c r="L323" i="2" s="1"/>
  <c r="M323" i="2" s="1"/>
  <c r="H324" i="2"/>
  <c r="I324" i="2" s="1"/>
  <c r="J324" i="2"/>
  <c r="K324" i="2" s="1"/>
  <c r="L324" i="2" s="1"/>
  <c r="M324" i="2" s="1"/>
  <c r="H325" i="2"/>
  <c r="I325" i="2" s="1"/>
  <c r="J325" i="2"/>
  <c r="K325" i="2" s="1"/>
  <c r="L325" i="2" s="1"/>
  <c r="M325" i="2" s="1"/>
  <c r="H326" i="2"/>
  <c r="I326" i="2" s="1"/>
  <c r="J326" i="2"/>
  <c r="K326" i="2" s="1"/>
  <c r="L326" i="2" s="1"/>
  <c r="M326" i="2" s="1"/>
  <c r="H327" i="2"/>
  <c r="I327" i="2" s="1"/>
  <c r="J327" i="2"/>
  <c r="K327" i="2"/>
  <c r="L327" i="2" s="1"/>
  <c r="M327" i="2" s="1"/>
  <c r="H328" i="2"/>
  <c r="I328" i="2" s="1"/>
  <c r="J328" i="2"/>
  <c r="K328" i="2" s="1"/>
  <c r="L328" i="2" s="1"/>
  <c r="M328" i="2" s="1"/>
  <c r="H329" i="2"/>
  <c r="I329" i="2" s="1"/>
  <c r="J329" i="2"/>
  <c r="K329" i="2" s="1"/>
  <c r="L329" i="2" s="1"/>
  <c r="M329" i="2" s="1"/>
  <c r="H330" i="2"/>
  <c r="I330" i="2" s="1"/>
  <c r="J330" i="2"/>
  <c r="K330" i="2" s="1"/>
  <c r="L330" i="2" s="1"/>
  <c r="M330" i="2" s="1"/>
  <c r="H331" i="2"/>
  <c r="I331" i="2" s="1"/>
  <c r="J331" i="2"/>
  <c r="K331" i="2" s="1"/>
  <c r="L331" i="2" s="1"/>
  <c r="M331" i="2" s="1"/>
  <c r="H332" i="2"/>
  <c r="I332" i="2" s="1"/>
  <c r="J332" i="2"/>
  <c r="K332" i="2" s="1"/>
  <c r="L332" i="2" s="1"/>
  <c r="M332" i="2" s="1"/>
  <c r="H333" i="2"/>
  <c r="I333" i="2" s="1"/>
  <c r="J333" i="2"/>
  <c r="K333" i="2" s="1"/>
  <c r="L333" i="2" s="1"/>
  <c r="M333" i="2" s="1"/>
  <c r="H334" i="2"/>
  <c r="I334" i="2"/>
  <c r="J334" i="2"/>
  <c r="K334" i="2"/>
  <c r="L334" i="2" s="1"/>
  <c r="M334" i="2" s="1"/>
  <c r="H335" i="2"/>
  <c r="I335" i="2" s="1"/>
  <c r="J335" i="2"/>
  <c r="K335" i="2" s="1"/>
  <c r="L335" i="2" s="1"/>
  <c r="M335" i="2" s="1"/>
  <c r="H336" i="2"/>
  <c r="I336" i="2" s="1"/>
  <c r="J336" i="2"/>
  <c r="K336" i="2" s="1"/>
  <c r="L336" i="2" s="1"/>
  <c r="M336" i="2" s="1"/>
  <c r="H337" i="2"/>
  <c r="I337" i="2" s="1"/>
  <c r="J337" i="2"/>
  <c r="K337" i="2" s="1"/>
  <c r="L337" i="2" s="1"/>
  <c r="M337" i="2" s="1"/>
  <c r="H338" i="2"/>
  <c r="I338" i="2"/>
  <c r="J338" i="2"/>
  <c r="K338" i="2"/>
  <c r="L338" i="2" s="1"/>
  <c r="M338" i="2" s="1"/>
  <c r="H339" i="2"/>
  <c r="I339" i="2" s="1"/>
  <c r="J339" i="2"/>
  <c r="K339" i="2" s="1"/>
  <c r="L339" i="2" s="1"/>
  <c r="M339" i="2" s="1"/>
  <c r="H340" i="2"/>
  <c r="I340" i="2" s="1"/>
  <c r="J340" i="2"/>
  <c r="K340" i="2" s="1"/>
  <c r="L340" i="2" s="1"/>
  <c r="M340" i="2" s="1"/>
  <c r="H341" i="2"/>
  <c r="I341" i="2" s="1"/>
  <c r="J341" i="2"/>
  <c r="K341" i="2" s="1"/>
  <c r="L341" i="2" s="1"/>
  <c r="M341" i="2" s="1"/>
  <c r="H342" i="2"/>
  <c r="I342" i="2"/>
  <c r="J342" i="2"/>
  <c r="K342" i="2"/>
  <c r="L342" i="2" s="1"/>
  <c r="M342" i="2" s="1"/>
  <c r="H343" i="2"/>
  <c r="I343" i="2" s="1"/>
  <c r="J343" i="2"/>
  <c r="K343" i="2"/>
  <c r="L343" i="2" s="1"/>
  <c r="M343" i="2" s="1"/>
  <c r="H344" i="2"/>
  <c r="I344" i="2" s="1"/>
  <c r="J344" i="2"/>
  <c r="K344" i="2" s="1"/>
  <c r="L344" i="2" s="1"/>
  <c r="M344" i="2" s="1"/>
  <c r="H345" i="2"/>
  <c r="I345" i="2"/>
  <c r="J345" i="2"/>
  <c r="K345" i="2" s="1"/>
  <c r="L345" i="2" s="1"/>
  <c r="M345" i="2" s="1"/>
  <c r="H346" i="2"/>
  <c r="I346" i="2" s="1"/>
  <c r="J346" i="2"/>
  <c r="K346" i="2" s="1"/>
  <c r="L346" i="2"/>
  <c r="M346" i="2" s="1"/>
  <c r="H347" i="2"/>
  <c r="I347" i="2" s="1"/>
  <c r="J347" i="2"/>
  <c r="K347" i="2" s="1"/>
  <c r="L347" i="2" s="1"/>
  <c r="M347" i="2" s="1"/>
  <c r="H348" i="2"/>
  <c r="I348" i="2" s="1"/>
  <c r="J348" i="2"/>
  <c r="K348" i="2" s="1"/>
  <c r="L348" i="2" s="1"/>
  <c r="M348" i="2" s="1"/>
  <c r="H349" i="2"/>
  <c r="I349" i="2" s="1"/>
  <c r="J349" i="2"/>
  <c r="K349" i="2" s="1"/>
  <c r="L349" i="2" s="1"/>
  <c r="M349" i="2" s="1"/>
  <c r="H350" i="2"/>
  <c r="I350" i="2"/>
  <c r="J350" i="2"/>
  <c r="K350" i="2"/>
  <c r="L350" i="2" s="1"/>
  <c r="M350" i="2" s="1"/>
  <c r="H351" i="2"/>
  <c r="I351" i="2" s="1"/>
  <c r="J351" i="2"/>
  <c r="K351" i="2"/>
  <c r="L351" i="2" s="1"/>
  <c r="M351" i="2" s="1"/>
  <c r="H352" i="2"/>
  <c r="I352" i="2" s="1"/>
  <c r="J352" i="2"/>
  <c r="K352" i="2" s="1"/>
  <c r="L352" i="2" s="1"/>
  <c r="M352" i="2" s="1"/>
  <c r="H353" i="2"/>
  <c r="I353" i="2"/>
  <c r="J353" i="2"/>
  <c r="K353" i="2" s="1"/>
  <c r="L353" i="2" s="1"/>
  <c r="M353" i="2" s="1"/>
  <c r="H354" i="2"/>
  <c r="I354" i="2" s="1"/>
  <c r="J354" i="2"/>
  <c r="K354" i="2" s="1"/>
  <c r="L354" i="2" s="1"/>
  <c r="M354" i="2" s="1"/>
  <c r="H355" i="2"/>
  <c r="I355" i="2" s="1"/>
  <c r="J355" i="2"/>
  <c r="K355" i="2"/>
  <c r="L355" i="2" s="1"/>
  <c r="M355" i="2" s="1"/>
  <c r="H356" i="2"/>
  <c r="I356" i="2" s="1"/>
  <c r="J356" i="2"/>
  <c r="K356" i="2" s="1"/>
  <c r="L356" i="2" s="1"/>
  <c r="M356" i="2" s="1"/>
  <c r="H357" i="2"/>
  <c r="I357" i="2" s="1"/>
  <c r="J357" i="2"/>
  <c r="K357" i="2" s="1"/>
  <c r="L357" i="2" s="1"/>
  <c r="M357" i="2" s="1"/>
  <c r="H358" i="2"/>
  <c r="I358" i="2"/>
  <c r="J358" i="2"/>
  <c r="K358" i="2"/>
  <c r="L358" i="2" s="1"/>
  <c r="M358" i="2" s="1"/>
  <c r="H359" i="2"/>
  <c r="I359" i="2" s="1"/>
  <c r="J359" i="2"/>
  <c r="K359" i="2"/>
  <c r="L359" i="2" s="1"/>
  <c r="M359" i="2" s="1"/>
  <c r="H360" i="2"/>
  <c r="I360" i="2" s="1"/>
  <c r="J360" i="2"/>
  <c r="K360" i="2" s="1"/>
  <c r="L360" i="2" s="1"/>
  <c r="M360" i="2" s="1"/>
  <c r="H361" i="2"/>
  <c r="I361" i="2"/>
  <c r="J361" i="2"/>
  <c r="K361" i="2" s="1"/>
  <c r="L361" i="2" s="1"/>
  <c r="M361" i="2" s="1"/>
  <c r="H362" i="2"/>
  <c r="I362" i="2" s="1"/>
  <c r="J362" i="2"/>
  <c r="K362" i="2"/>
  <c r="L362" i="2" s="1"/>
  <c r="M362" i="2" s="1"/>
  <c r="H363" i="2"/>
  <c r="I363" i="2" s="1"/>
  <c r="J363" i="2"/>
  <c r="K363" i="2"/>
  <c r="L363" i="2" s="1"/>
  <c r="M363" i="2" s="1"/>
  <c r="H364" i="2"/>
  <c r="I364" i="2" s="1"/>
  <c r="J364" i="2"/>
  <c r="K364" i="2" s="1"/>
  <c r="L364" i="2" s="1"/>
  <c r="M364" i="2" s="1"/>
  <c r="H365" i="2"/>
  <c r="I365" i="2"/>
  <c r="J365" i="2"/>
  <c r="K365" i="2" s="1"/>
  <c r="L365" i="2" s="1"/>
  <c r="M365" i="2" s="1"/>
  <c r="H366" i="2"/>
  <c r="I366" i="2" s="1"/>
  <c r="J366" i="2"/>
  <c r="K366" i="2" s="1"/>
  <c r="L366" i="2" s="1"/>
  <c r="M366" i="2" s="1"/>
  <c r="H367" i="2"/>
  <c r="I367" i="2" s="1"/>
  <c r="J367" i="2"/>
  <c r="K367" i="2" s="1"/>
  <c r="L367" i="2" s="1"/>
  <c r="M367" i="2" s="1"/>
  <c r="H368" i="2"/>
  <c r="I368" i="2" s="1"/>
  <c r="J368" i="2"/>
  <c r="K368" i="2" s="1"/>
  <c r="L368" i="2" s="1"/>
  <c r="M368" i="2" s="1"/>
  <c r="H369" i="2"/>
  <c r="I369" i="2"/>
  <c r="J369" i="2"/>
  <c r="K369" i="2" s="1"/>
  <c r="L369" i="2"/>
  <c r="M369" i="2" s="1"/>
  <c r="H370" i="2"/>
  <c r="I370" i="2" s="1"/>
  <c r="J370" i="2"/>
  <c r="K370" i="2"/>
  <c r="L370" i="2" s="1"/>
  <c r="M370" i="2" s="1"/>
  <c r="H371" i="2"/>
  <c r="I371" i="2" s="1"/>
  <c r="J371" i="2"/>
  <c r="K371" i="2" s="1"/>
  <c r="L371" i="2" s="1"/>
  <c r="M371" i="2" s="1"/>
  <c r="H372" i="2"/>
  <c r="I372" i="2" s="1"/>
  <c r="J372" i="2"/>
  <c r="K372" i="2" s="1"/>
  <c r="L372" i="2" s="1"/>
  <c r="M372" i="2" s="1"/>
  <c r="H373" i="2"/>
  <c r="I373" i="2"/>
  <c r="J373" i="2"/>
  <c r="K373" i="2" s="1"/>
  <c r="L373" i="2"/>
  <c r="M373" i="2" s="1"/>
  <c r="H374" i="2"/>
  <c r="I374" i="2"/>
  <c r="J374" i="2"/>
  <c r="K374" i="2" s="1"/>
  <c r="L374" i="2"/>
  <c r="M374" i="2" s="1"/>
  <c r="H375" i="2"/>
  <c r="I375" i="2"/>
  <c r="J375" i="2"/>
  <c r="K375" i="2"/>
  <c r="L375" i="2" s="1"/>
  <c r="M375" i="2" s="1"/>
  <c r="H376" i="2"/>
  <c r="I376" i="2" s="1"/>
  <c r="J376" i="2"/>
  <c r="K376" i="2" s="1"/>
  <c r="L376" i="2" s="1"/>
  <c r="M376" i="2" s="1"/>
  <c r="H377" i="2"/>
  <c r="I377" i="2"/>
  <c r="J377" i="2"/>
  <c r="K377" i="2" s="1"/>
  <c r="L377" i="2" s="1"/>
  <c r="M377" i="2" s="1"/>
  <c r="H378" i="2"/>
  <c r="I378" i="2" s="1"/>
  <c r="J378" i="2"/>
  <c r="K378" i="2" s="1"/>
  <c r="L378" i="2" s="1"/>
  <c r="M378" i="2" s="1"/>
  <c r="H379" i="2"/>
  <c r="I379" i="2" s="1"/>
  <c r="J379" i="2"/>
  <c r="K379" i="2"/>
  <c r="L379" i="2" s="1"/>
  <c r="M379" i="2" s="1"/>
  <c r="H380" i="2"/>
  <c r="I380" i="2" s="1"/>
  <c r="J380" i="2"/>
  <c r="K380" i="2" s="1"/>
  <c r="L380" i="2" s="1"/>
  <c r="M380" i="2" s="1"/>
  <c r="H381" i="2"/>
  <c r="I381" i="2" s="1"/>
  <c r="J381" i="2"/>
  <c r="K381" i="2" s="1"/>
  <c r="L381" i="2"/>
  <c r="M381" i="2" s="1"/>
  <c r="H382" i="2"/>
  <c r="I382" i="2" s="1"/>
  <c r="J382" i="2"/>
  <c r="K382" i="2" s="1"/>
  <c r="L382" i="2" s="1"/>
  <c r="M382" i="2" s="1"/>
  <c r="H383" i="2"/>
  <c r="I383" i="2" s="1"/>
  <c r="J383" i="2"/>
  <c r="K383" i="2"/>
  <c r="L383" i="2" s="1"/>
  <c r="M383" i="2" s="1"/>
  <c r="H384" i="2"/>
  <c r="I384" i="2" s="1"/>
  <c r="J384" i="2"/>
  <c r="K384" i="2" s="1"/>
  <c r="L384" i="2" s="1"/>
  <c r="M384" i="2" s="1"/>
  <c r="H385" i="2"/>
  <c r="I385" i="2" s="1"/>
  <c r="J385" i="2"/>
  <c r="K385" i="2" s="1"/>
  <c r="L385" i="2" s="1"/>
  <c r="M385" i="2" s="1"/>
  <c r="H386" i="2"/>
  <c r="I386" i="2" s="1"/>
  <c r="J386" i="2"/>
  <c r="K386" i="2" s="1"/>
  <c r="L386" i="2" s="1"/>
  <c r="M386" i="2" s="1"/>
  <c r="H387" i="2"/>
  <c r="I387" i="2" s="1"/>
  <c r="J387" i="2"/>
  <c r="K387" i="2"/>
  <c r="L387" i="2" s="1"/>
  <c r="M387" i="2" s="1"/>
  <c r="H388" i="2"/>
  <c r="I388" i="2" s="1"/>
  <c r="J388" i="2"/>
  <c r="K388" i="2" s="1"/>
  <c r="L388" i="2" s="1"/>
  <c r="M388" i="2" s="1"/>
  <c r="H389" i="2"/>
  <c r="I389" i="2"/>
  <c r="J389" i="2"/>
  <c r="K389" i="2" s="1"/>
  <c r="L389" i="2" s="1"/>
  <c r="M389" i="2" s="1"/>
  <c r="H390" i="2"/>
  <c r="I390" i="2" s="1"/>
  <c r="J390" i="2"/>
  <c r="K390" i="2" s="1"/>
  <c r="L390" i="2"/>
  <c r="M390" i="2" s="1"/>
  <c r="H391" i="2"/>
  <c r="I391" i="2" s="1"/>
  <c r="J391" i="2"/>
  <c r="K391" i="2" s="1"/>
  <c r="L391" i="2" s="1"/>
  <c r="M391" i="2" s="1"/>
  <c r="H392" i="2"/>
  <c r="I392" i="2" s="1"/>
  <c r="J392" i="2"/>
  <c r="K392" i="2"/>
  <c r="L392" i="2" s="1"/>
  <c r="M392" i="2" s="1"/>
  <c r="H393" i="2"/>
  <c r="I393" i="2"/>
  <c r="J393" i="2"/>
  <c r="K393" i="2" s="1"/>
  <c r="L393" i="2" s="1"/>
  <c r="M393" i="2" s="1"/>
  <c r="H394" i="2"/>
  <c r="I394" i="2" s="1"/>
  <c r="J394" i="2"/>
  <c r="K394" i="2" s="1"/>
  <c r="L394" i="2" s="1"/>
  <c r="M394" i="2" s="1"/>
  <c r="H395" i="2"/>
  <c r="I395" i="2" s="1"/>
  <c r="J395" i="2"/>
  <c r="K395" i="2" s="1"/>
  <c r="L395" i="2" s="1"/>
  <c r="M395" i="2" s="1"/>
  <c r="H396" i="2"/>
  <c r="I396" i="2" s="1"/>
  <c r="J396" i="2"/>
  <c r="K396" i="2" s="1"/>
  <c r="L396" i="2" s="1"/>
  <c r="M396" i="2" s="1"/>
  <c r="H397" i="2"/>
  <c r="I397" i="2" s="1"/>
  <c r="J397" i="2"/>
  <c r="K397" i="2" s="1"/>
  <c r="L397" i="2"/>
  <c r="M397" i="2" s="1"/>
  <c r="H398" i="2"/>
  <c r="I398" i="2" s="1"/>
  <c r="J398" i="2"/>
  <c r="K398" i="2" s="1"/>
  <c r="L398" i="2" s="1"/>
  <c r="M398" i="2" s="1"/>
  <c r="H399" i="2"/>
  <c r="I399" i="2" s="1"/>
  <c r="J399" i="2"/>
  <c r="K399" i="2" s="1"/>
  <c r="L399" i="2" s="1"/>
  <c r="M399" i="2" s="1"/>
  <c r="H400" i="2"/>
  <c r="I400" i="2" s="1"/>
  <c r="J400" i="2"/>
  <c r="K400" i="2" s="1"/>
  <c r="L400" i="2" s="1"/>
  <c r="M400" i="2" s="1"/>
  <c r="H401" i="2"/>
  <c r="I401" i="2" s="1"/>
  <c r="J401" i="2"/>
  <c r="K401" i="2" s="1"/>
  <c r="L401" i="2"/>
  <c r="M401" i="2" s="1"/>
  <c r="H402" i="2"/>
  <c r="I402" i="2" s="1"/>
  <c r="J402" i="2"/>
  <c r="K402" i="2" s="1"/>
  <c r="L402" i="2" s="1"/>
  <c r="M402" i="2" s="1"/>
  <c r="H403" i="2"/>
  <c r="I403" i="2"/>
  <c r="J403" i="2"/>
  <c r="K403" i="2" s="1"/>
  <c r="L403" i="2" s="1"/>
  <c r="M403" i="2" s="1"/>
  <c r="H404" i="2"/>
  <c r="I404" i="2" s="1"/>
  <c r="J404" i="2"/>
  <c r="K404" i="2" s="1"/>
  <c r="L404" i="2" s="1"/>
  <c r="M404" i="2" s="1"/>
  <c r="H405" i="2"/>
  <c r="I405" i="2" s="1"/>
  <c r="J405" i="2"/>
  <c r="K405" i="2" s="1"/>
  <c r="L405" i="2" s="1"/>
  <c r="M405" i="2" s="1"/>
  <c r="H406" i="2"/>
  <c r="I406" i="2"/>
  <c r="J406" i="2"/>
  <c r="K406" i="2" s="1"/>
  <c r="L406" i="2" s="1"/>
  <c r="M406" i="2" s="1"/>
  <c r="H407" i="2"/>
  <c r="I407" i="2" s="1"/>
  <c r="J407" i="2"/>
  <c r="K407" i="2" s="1"/>
  <c r="L407" i="2" s="1"/>
  <c r="M407" i="2"/>
  <c r="H408" i="2"/>
  <c r="I408" i="2"/>
  <c r="J408" i="2"/>
  <c r="K408" i="2" s="1"/>
  <c r="L408" i="2" s="1"/>
  <c r="M408" i="2" s="1"/>
  <c r="H409" i="2"/>
  <c r="I409" i="2"/>
  <c r="J409" i="2"/>
  <c r="K409" i="2" s="1"/>
  <c r="L409" i="2" s="1"/>
  <c r="M409" i="2" s="1"/>
  <c r="H410" i="2"/>
  <c r="I410" i="2" s="1"/>
  <c r="J410" i="2"/>
  <c r="K410" i="2" s="1"/>
  <c r="L410" i="2" s="1"/>
  <c r="M410" i="2" s="1"/>
  <c r="H411" i="2"/>
  <c r="I411" i="2" s="1"/>
  <c r="J411" i="2"/>
  <c r="K411" i="2" s="1"/>
  <c r="L411" i="2" s="1"/>
  <c r="M411" i="2" s="1"/>
  <c r="H412" i="2"/>
  <c r="I412" i="2" s="1"/>
  <c r="J412" i="2"/>
  <c r="K412" i="2" s="1"/>
  <c r="L412" i="2"/>
  <c r="M412" i="2" s="1"/>
  <c r="H413" i="2"/>
  <c r="I413" i="2" s="1"/>
  <c r="J413" i="2"/>
  <c r="K413" i="2" s="1"/>
  <c r="L413" i="2" s="1"/>
  <c r="M413" i="2" s="1"/>
  <c r="H414" i="2"/>
  <c r="I414" i="2" s="1"/>
  <c r="J414" i="2"/>
  <c r="K414" i="2" s="1"/>
  <c r="L414" i="2" s="1"/>
  <c r="M414" i="2" s="1"/>
  <c r="H415" i="2"/>
  <c r="I415" i="2" s="1"/>
  <c r="J415" i="2"/>
  <c r="K415" i="2" s="1"/>
  <c r="L415" i="2" s="1"/>
  <c r="M415" i="2" s="1"/>
  <c r="H416" i="2"/>
  <c r="I416" i="2" s="1"/>
  <c r="J416" i="2"/>
  <c r="K416" i="2" s="1"/>
  <c r="L416" i="2" s="1"/>
  <c r="M416" i="2" s="1"/>
  <c r="H417" i="2"/>
  <c r="I417" i="2" s="1"/>
  <c r="J417" i="2"/>
  <c r="K417" i="2" s="1"/>
  <c r="L417" i="2" s="1"/>
  <c r="M417" i="2" s="1"/>
  <c r="H418" i="2"/>
  <c r="I418" i="2" s="1"/>
  <c r="J418" i="2"/>
  <c r="K418" i="2" s="1"/>
  <c r="L418" i="2" s="1"/>
  <c r="M418" i="2" s="1"/>
  <c r="H419" i="2"/>
  <c r="I419" i="2" s="1"/>
  <c r="J419" i="2"/>
  <c r="K419" i="2" s="1"/>
  <c r="L419" i="2" s="1"/>
  <c r="M419" i="2" s="1"/>
  <c r="H420" i="2"/>
  <c r="I420" i="2" s="1"/>
  <c r="J420" i="2"/>
  <c r="K420" i="2" s="1"/>
  <c r="L420" i="2" s="1"/>
  <c r="M420" i="2" s="1"/>
  <c r="H421" i="2"/>
  <c r="I421" i="2"/>
  <c r="J421" i="2"/>
  <c r="K421" i="2" s="1"/>
  <c r="L421" i="2" s="1"/>
  <c r="M421" i="2" s="1"/>
  <c r="H422" i="2"/>
  <c r="I422" i="2" s="1"/>
  <c r="J422" i="2"/>
  <c r="K422" i="2" s="1"/>
  <c r="L422" i="2" s="1"/>
  <c r="M422" i="2" s="1"/>
  <c r="H423" i="2"/>
  <c r="I423" i="2" s="1"/>
  <c r="J423" i="2"/>
  <c r="K423" i="2" s="1"/>
  <c r="L423" i="2" s="1"/>
  <c r="M423" i="2" s="1"/>
  <c r="H424" i="2"/>
  <c r="I424" i="2" s="1"/>
  <c r="J424" i="2"/>
  <c r="K424" i="2" s="1"/>
  <c r="L424" i="2" s="1"/>
  <c r="M424" i="2" s="1"/>
  <c r="H425" i="2"/>
  <c r="I425" i="2"/>
  <c r="J425" i="2"/>
  <c r="K425" i="2" s="1"/>
  <c r="L425" i="2" s="1"/>
  <c r="M425" i="2" s="1"/>
  <c r="H426" i="2"/>
  <c r="I426" i="2" s="1"/>
  <c r="J426" i="2"/>
  <c r="K426" i="2" s="1"/>
  <c r="L426" i="2" s="1"/>
  <c r="M426" i="2" s="1"/>
  <c r="H427" i="2"/>
  <c r="I427" i="2" s="1"/>
  <c r="J427" i="2"/>
  <c r="K427" i="2" s="1"/>
  <c r="L427" i="2" s="1"/>
  <c r="M427" i="2"/>
  <c r="H428" i="2"/>
  <c r="I428" i="2" s="1"/>
  <c r="J428" i="2"/>
  <c r="K428" i="2" s="1"/>
  <c r="L428" i="2"/>
  <c r="M428" i="2" s="1"/>
  <c r="H429" i="2"/>
  <c r="I429" i="2" s="1"/>
  <c r="J429" i="2"/>
  <c r="K429" i="2" s="1"/>
  <c r="L429" i="2" s="1"/>
  <c r="M429" i="2" s="1"/>
  <c r="H430" i="2"/>
  <c r="I430" i="2" s="1"/>
  <c r="J430" i="2"/>
  <c r="K430" i="2"/>
  <c r="L430" i="2" s="1"/>
  <c r="M430" i="2" s="1"/>
  <c r="H431" i="2"/>
  <c r="I431" i="2" s="1"/>
  <c r="J431" i="2"/>
  <c r="K431" i="2" s="1"/>
  <c r="L431" i="2" s="1"/>
  <c r="M431" i="2" s="1"/>
  <c r="H432" i="2"/>
  <c r="I432" i="2" s="1"/>
  <c r="J432" i="2"/>
  <c r="K432" i="2" s="1"/>
  <c r="L432" i="2" s="1"/>
  <c r="M432" i="2" s="1"/>
  <c r="H433" i="2"/>
  <c r="I433" i="2"/>
  <c r="J433" i="2"/>
  <c r="K433" i="2" s="1"/>
  <c r="L433" i="2" s="1"/>
  <c r="M433" i="2" s="1"/>
  <c r="H434" i="2"/>
  <c r="I434" i="2" s="1"/>
  <c r="J434" i="2"/>
  <c r="K434" i="2" s="1"/>
  <c r="L434" i="2" s="1"/>
  <c r="M434" i="2" s="1"/>
  <c r="H435" i="2"/>
  <c r="I435" i="2" s="1"/>
  <c r="J435" i="2"/>
  <c r="K435" i="2" s="1"/>
  <c r="L435" i="2" s="1"/>
  <c r="M435" i="2" s="1"/>
  <c r="H436" i="2"/>
  <c r="I436" i="2" s="1"/>
  <c r="J436" i="2"/>
  <c r="K436" i="2" s="1"/>
  <c r="L436" i="2" s="1"/>
  <c r="M436" i="2" s="1"/>
  <c r="H437" i="2"/>
  <c r="I437" i="2"/>
  <c r="J437" i="2"/>
  <c r="K437" i="2" s="1"/>
  <c r="L437" i="2" s="1"/>
  <c r="M437" i="2" s="1"/>
  <c r="H438" i="2"/>
  <c r="I438" i="2" s="1"/>
  <c r="J438" i="2"/>
  <c r="K438" i="2"/>
  <c r="L438" i="2" s="1"/>
  <c r="M438" i="2" s="1"/>
  <c r="H439" i="2"/>
  <c r="I439" i="2" s="1"/>
  <c r="J439" i="2"/>
  <c r="K439" i="2" s="1"/>
  <c r="L439" i="2" s="1"/>
  <c r="M439" i="2"/>
  <c r="H440" i="2"/>
  <c r="I440" i="2" s="1"/>
  <c r="J440" i="2"/>
  <c r="K440" i="2" s="1"/>
  <c r="L440" i="2" s="1"/>
  <c r="M440" i="2" s="1"/>
  <c r="H441" i="2"/>
  <c r="I441" i="2" s="1"/>
  <c r="J441" i="2"/>
  <c r="K441" i="2" s="1"/>
  <c r="L441" i="2" s="1"/>
  <c r="M441" i="2" s="1"/>
  <c r="H442" i="2"/>
  <c r="I442" i="2" s="1"/>
  <c r="J442" i="2"/>
  <c r="K442" i="2" s="1"/>
  <c r="L442" i="2" s="1"/>
  <c r="M442" i="2" s="1"/>
  <c r="H443" i="2"/>
  <c r="I443" i="2" s="1"/>
  <c r="J443" i="2"/>
  <c r="K443" i="2" s="1"/>
  <c r="L443" i="2" s="1"/>
  <c r="M443" i="2" s="1"/>
  <c r="H444" i="2"/>
  <c r="I444" i="2" s="1"/>
  <c r="J444" i="2"/>
  <c r="K444" i="2" s="1"/>
  <c r="L444" i="2" s="1"/>
  <c r="M444" i="2" s="1"/>
  <c r="H445" i="2"/>
  <c r="I445" i="2" s="1"/>
  <c r="J445" i="2"/>
  <c r="K445" i="2" s="1"/>
  <c r="L445" i="2" s="1"/>
  <c r="M445" i="2" s="1"/>
  <c r="H446" i="2"/>
  <c r="I446" i="2" s="1"/>
  <c r="J446" i="2"/>
  <c r="K446" i="2" s="1"/>
  <c r="L446" i="2"/>
  <c r="M446" i="2" s="1"/>
  <c r="H447" i="2"/>
  <c r="I447" i="2" s="1"/>
  <c r="J447" i="2"/>
  <c r="K447" i="2" s="1"/>
  <c r="L447" i="2" s="1"/>
  <c r="M447" i="2"/>
  <c r="H448" i="2"/>
  <c r="I448" i="2" s="1"/>
  <c r="J448" i="2"/>
  <c r="K448" i="2" s="1"/>
  <c r="L448" i="2" s="1"/>
  <c r="M448" i="2" s="1"/>
  <c r="H449" i="2"/>
  <c r="I449" i="2" s="1"/>
  <c r="J449" i="2"/>
  <c r="K449" i="2" s="1"/>
  <c r="L449" i="2" s="1"/>
  <c r="M449" i="2" s="1"/>
  <c r="H450" i="2"/>
  <c r="I450" i="2" s="1"/>
  <c r="J450" i="2"/>
  <c r="K450" i="2" s="1"/>
  <c r="L450" i="2" s="1"/>
  <c r="M450" i="2" s="1"/>
  <c r="H451" i="2"/>
  <c r="I451" i="2" s="1"/>
  <c r="J451" i="2"/>
  <c r="K451" i="2" s="1"/>
  <c r="L451" i="2" s="1"/>
  <c r="M451" i="2" s="1"/>
  <c r="H452" i="2"/>
  <c r="I452" i="2" s="1"/>
  <c r="J452" i="2"/>
  <c r="K452" i="2" s="1"/>
  <c r="L452" i="2" s="1"/>
  <c r="M452" i="2" s="1"/>
  <c r="H453" i="2"/>
  <c r="I453" i="2"/>
  <c r="J453" i="2"/>
  <c r="K453" i="2" s="1"/>
  <c r="L453" i="2" s="1"/>
  <c r="M453" i="2" s="1"/>
  <c r="H454" i="2"/>
  <c r="I454" i="2" s="1"/>
  <c r="J454" i="2"/>
  <c r="K454" i="2"/>
  <c r="L454" i="2" s="1"/>
  <c r="M454" i="2" s="1"/>
  <c r="H455" i="2"/>
  <c r="I455" i="2" s="1"/>
  <c r="J455" i="2"/>
  <c r="K455" i="2" s="1"/>
  <c r="L455" i="2" s="1"/>
  <c r="M455" i="2"/>
  <c r="H456" i="2"/>
  <c r="I456" i="2" s="1"/>
  <c r="J456" i="2"/>
  <c r="K456" i="2" s="1"/>
  <c r="L456" i="2" s="1"/>
  <c r="M456" i="2" s="1"/>
  <c r="H457" i="2"/>
  <c r="I457" i="2" s="1"/>
  <c r="J457" i="2"/>
  <c r="K457" i="2" s="1"/>
  <c r="L457" i="2" s="1"/>
  <c r="M457" i="2" s="1"/>
  <c r="H458" i="2"/>
  <c r="I458" i="2" s="1"/>
  <c r="J458" i="2"/>
  <c r="K458" i="2"/>
  <c r="L458" i="2" s="1"/>
  <c r="M458" i="2" s="1"/>
  <c r="H459" i="2"/>
  <c r="I459" i="2" s="1"/>
  <c r="J459" i="2"/>
  <c r="K459" i="2" s="1"/>
  <c r="L459" i="2" s="1"/>
  <c r="M459" i="2"/>
  <c r="H460" i="2"/>
  <c r="I460" i="2" s="1"/>
  <c r="J460" i="2"/>
  <c r="K460" i="2" s="1"/>
  <c r="L460" i="2" s="1"/>
  <c r="M460" i="2" s="1"/>
  <c r="H461" i="2"/>
  <c r="I461" i="2" s="1"/>
  <c r="J461" i="2"/>
  <c r="K461" i="2" s="1"/>
  <c r="L461" i="2" s="1"/>
  <c r="M461" i="2" s="1"/>
  <c r="H462" i="2"/>
  <c r="I462" i="2" s="1"/>
  <c r="J462" i="2"/>
  <c r="K462" i="2"/>
  <c r="L462" i="2" s="1"/>
  <c r="M462" i="2" s="1"/>
  <c r="H463" i="2"/>
  <c r="I463" i="2" s="1"/>
  <c r="J463" i="2"/>
  <c r="K463" i="2" s="1"/>
  <c r="L463" i="2" s="1"/>
  <c r="M463" i="2" s="1"/>
  <c r="H464" i="2"/>
  <c r="I464" i="2" s="1"/>
  <c r="J464" i="2"/>
  <c r="K464" i="2"/>
  <c r="L464" i="2" s="1"/>
  <c r="M464" i="2" s="1"/>
  <c r="H465" i="2"/>
  <c r="I465" i="2"/>
  <c r="J465" i="2"/>
  <c r="K465" i="2" s="1"/>
  <c r="L465" i="2"/>
  <c r="M465" i="2" s="1"/>
  <c r="H466" i="2"/>
  <c r="I466" i="2" s="1"/>
  <c r="J466" i="2"/>
  <c r="K466" i="2"/>
  <c r="L466" i="2" s="1"/>
  <c r="M466" i="2" s="1"/>
  <c r="H467" i="2"/>
  <c r="I467" i="2" s="1"/>
  <c r="J467" i="2"/>
  <c r="K467" i="2" s="1"/>
  <c r="L467" i="2" s="1"/>
  <c r="M467" i="2" s="1"/>
  <c r="H468" i="2"/>
  <c r="I468" i="2" s="1"/>
  <c r="J468" i="2"/>
  <c r="K468" i="2" s="1"/>
  <c r="L468" i="2" s="1"/>
  <c r="M468" i="2" s="1"/>
  <c r="H469" i="2"/>
  <c r="I469" i="2" s="1"/>
  <c r="J469" i="2"/>
  <c r="K469" i="2" s="1"/>
  <c r="L469" i="2" s="1"/>
  <c r="M469" i="2" s="1"/>
  <c r="H470" i="2"/>
  <c r="I470" i="2" s="1"/>
  <c r="J470" i="2"/>
  <c r="K470" i="2" s="1"/>
  <c r="L470" i="2" s="1"/>
  <c r="M470" i="2" s="1"/>
  <c r="H471" i="2"/>
  <c r="I471" i="2"/>
  <c r="J471" i="2"/>
  <c r="K471" i="2" s="1"/>
  <c r="L471" i="2" s="1"/>
  <c r="M471" i="2" s="1"/>
  <c r="H472" i="2"/>
  <c r="I472" i="2" s="1"/>
  <c r="J472" i="2"/>
  <c r="K472" i="2" s="1"/>
  <c r="L472" i="2" s="1"/>
  <c r="M472" i="2" s="1"/>
  <c r="H473" i="2"/>
  <c r="I473" i="2"/>
  <c r="J473" i="2"/>
  <c r="K473" i="2" s="1"/>
  <c r="L473" i="2"/>
  <c r="M473" i="2" s="1"/>
  <c r="H474" i="2"/>
  <c r="I474" i="2" s="1"/>
  <c r="J474" i="2"/>
  <c r="K474" i="2"/>
  <c r="L474" i="2" s="1"/>
  <c r="M474" i="2" s="1"/>
  <c r="H475" i="2"/>
  <c r="I475" i="2" s="1"/>
  <c r="J475" i="2"/>
  <c r="K475" i="2" s="1"/>
  <c r="L475" i="2" s="1"/>
  <c r="M475" i="2" s="1"/>
  <c r="H476" i="2"/>
  <c r="I476" i="2" s="1"/>
  <c r="J476" i="2"/>
  <c r="K476" i="2" s="1"/>
  <c r="L476" i="2" s="1"/>
  <c r="M476" i="2" s="1"/>
  <c r="H477" i="2"/>
  <c r="I477" i="2"/>
  <c r="J477" i="2"/>
  <c r="K477" i="2" s="1"/>
  <c r="L477" i="2" s="1"/>
  <c r="M477" i="2" s="1"/>
  <c r="H478" i="2"/>
  <c r="I478" i="2" s="1"/>
  <c r="J478" i="2"/>
  <c r="K478" i="2"/>
  <c r="L478" i="2" s="1"/>
  <c r="M478" i="2" s="1"/>
  <c r="H479" i="2"/>
  <c r="I479" i="2"/>
  <c r="J479" i="2"/>
  <c r="K479" i="2" s="1"/>
  <c r="L479" i="2" s="1"/>
  <c r="M479" i="2" s="1"/>
  <c r="H480" i="2"/>
  <c r="I480" i="2" s="1"/>
  <c r="J480" i="2"/>
  <c r="K480" i="2" s="1"/>
  <c r="L480" i="2" s="1"/>
  <c r="M480" i="2" s="1"/>
  <c r="H481" i="2"/>
  <c r="I481" i="2"/>
  <c r="J481" i="2"/>
  <c r="K481" i="2" s="1"/>
  <c r="L481" i="2" s="1"/>
  <c r="M481" i="2" s="1"/>
  <c r="H482" i="2"/>
  <c r="I482" i="2" s="1"/>
  <c r="J482" i="2"/>
  <c r="K482" i="2"/>
  <c r="L482" i="2" s="1"/>
  <c r="M482" i="2" s="1"/>
  <c r="H483" i="2"/>
  <c r="I483" i="2" s="1"/>
  <c r="J483" i="2"/>
  <c r="K483" i="2" s="1"/>
  <c r="L483" i="2" s="1"/>
  <c r="M483" i="2" s="1"/>
  <c r="H484" i="2"/>
  <c r="I484" i="2" s="1"/>
  <c r="J484" i="2"/>
  <c r="K484" i="2" s="1"/>
  <c r="L484" i="2" s="1"/>
  <c r="M484" i="2" s="1"/>
  <c r="H485" i="2"/>
  <c r="I485" i="2"/>
  <c r="J485" i="2"/>
  <c r="K485" i="2" s="1"/>
  <c r="L485" i="2" s="1"/>
  <c r="M485" i="2" s="1"/>
  <c r="H486" i="2"/>
  <c r="I486" i="2" s="1"/>
  <c r="J486" i="2"/>
  <c r="K486" i="2" s="1"/>
  <c r="L486" i="2" s="1"/>
  <c r="M486" i="2" s="1"/>
  <c r="H487" i="2"/>
  <c r="I487" i="2" s="1"/>
  <c r="J487" i="2"/>
  <c r="K487" i="2" s="1"/>
  <c r="L487" i="2"/>
  <c r="M487" i="2" s="1"/>
  <c r="H488" i="2"/>
  <c r="I488" i="2" s="1"/>
  <c r="J488" i="2"/>
  <c r="K488" i="2"/>
  <c r="L488" i="2" s="1"/>
  <c r="M488" i="2" s="1"/>
  <c r="H489" i="2"/>
  <c r="I489" i="2" s="1"/>
  <c r="J489" i="2"/>
  <c r="K489" i="2" s="1"/>
  <c r="L489" i="2" s="1"/>
  <c r="M489" i="2" s="1"/>
  <c r="H490" i="2"/>
  <c r="I490" i="2" s="1"/>
  <c r="J490" i="2"/>
  <c r="K490" i="2"/>
  <c r="L490" i="2" s="1"/>
  <c r="M490" i="2" s="1"/>
  <c r="H491" i="2"/>
  <c r="I491" i="2"/>
  <c r="J491" i="2"/>
  <c r="K491" i="2" s="1"/>
  <c r="L491" i="2"/>
  <c r="M491" i="2" s="1"/>
  <c r="H492" i="2"/>
  <c r="I492" i="2" s="1"/>
  <c r="J492" i="2"/>
  <c r="K492" i="2" s="1"/>
  <c r="L492" i="2" s="1"/>
  <c r="M492" i="2" s="1"/>
  <c r="H493" i="2"/>
  <c r="I493" i="2"/>
  <c r="J493" i="2"/>
  <c r="K493" i="2" s="1"/>
  <c r="L493" i="2"/>
  <c r="M493" i="2" s="1"/>
  <c r="H494" i="2"/>
  <c r="I494" i="2" s="1"/>
  <c r="J494" i="2"/>
  <c r="K494" i="2" s="1"/>
  <c r="L494" i="2" s="1"/>
  <c r="M494" i="2" s="1"/>
  <c r="H495" i="2"/>
  <c r="I495" i="2"/>
  <c r="J495" i="2"/>
  <c r="K495" i="2" s="1"/>
  <c r="L495" i="2" s="1"/>
  <c r="M495" i="2" s="1"/>
  <c r="H496" i="2"/>
  <c r="I496" i="2" s="1"/>
  <c r="J496" i="2"/>
  <c r="K496" i="2" s="1"/>
  <c r="L496" i="2" s="1"/>
  <c r="M496" i="2" s="1"/>
  <c r="H497" i="2"/>
  <c r="I497" i="2" s="1"/>
  <c r="J497" i="2"/>
  <c r="K497" i="2" s="1"/>
  <c r="L497" i="2" s="1"/>
  <c r="M497" i="2" s="1"/>
  <c r="H498" i="2"/>
  <c r="I498" i="2"/>
  <c r="J498" i="2"/>
  <c r="K498" i="2" s="1"/>
  <c r="L498" i="2" s="1"/>
  <c r="M498" i="2" s="1"/>
  <c r="H499" i="2"/>
  <c r="I499" i="2" s="1"/>
  <c r="J499" i="2"/>
  <c r="K499" i="2" s="1"/>
  <c r="L499" i="2" s="1"/>
  <c r="M499" i="2" s="1"/>
  <c r="H500" i="2"/>
  <c r="I500" i="2" s="1"/>
  <c r="J500" i="2"/>
  <c r="K500" i="2"/>
  <c r="L500" i="2" s="1"/>
  <c r="M500" i="2"/>
  <c r="H501" i="2"/>
  <c r="I501" i="2"/>
  <c r="J501" i="2"/>
  <c r="K501" i="2" s="1"/>
  <c r="L501" i="2" s="1"/>
  <c r="M501" i="2" s="1"/>
  <c r="H502" i="2"/>
  <c r="I502" i="2" s="1"/>
  <c r="J502" i="2"/>
  <c r="K502" i="2" s="1"/>
  <c r="L502" i="2" s="1"/>
  <c r="M502" i="2" s="1"/>
  <c r="H503" i="2"/>
  <c r="I503" i="2" s="1"/>
  <c r="J503" i="2"/>
  <c r="K503" i="2" s="1"/>
  <c r="L503" i="2" s="1"/>
  <c r="M503" i="2" s="1"/>
  <c r="H504" i="2"/>
  <c r="I504" i="2" s="1"/>
  <c r="J504" i="2"/>
  <c r="K504" i="2" s="1"/>
  <c r="L504" i="2" s="1"/>
  <c r="M504" i="2" s="1"/>
  <c r="H505" i="2"/>
  <c r="I505" i="2" s="1"/>
  <c r="J505" i="2"/>
  <c r="K505" i="2" s="1"/>
  <c r="L505" i="2" s="1"/>
  <c r="M505" i="2" s="1"/>
  <c r="H506" i="2"/>
  <c r="I506" i="2" s="1"/>
  <c r="J506" i="2"/>
  <c r="K506" i="2"/>
  <c r="L506" i="2" s="1"/>
  <c r="M506" i="2" s="1"/>
  <c r="H507" i="2"/>
  <c r="I507" i="2" s="1"/>
  <c r="J507" i="2"/>
  <c r="K507" i="2"/>
  <c r="L507" i="2" s="1"/>
  <c r="M507" i="2" s="1"/>
  <c r="H508" i="2"/>
  <c r="I508" i="2" s="1"/>
  <c r="J508" i="2"/>
  <c r="K508" i="2" s="1"/>
  <c r="L508" i="2" s="1"/>
  <c r="M508" i="2" s="1"/>
  <c r="H509" i="2"/>
  <c r="I509" i="2" s="1"/>
  <c r="J509" i="2"/>
  <c r="K509" i="2" s="1"/>
  <c r="L509" i="2" s="1"/>
  <c r="M509" i="2" s="1"/>
  <c r="H510" i="2"/>
  <c r="I510" i="2" s="1"/>
  <c r="J510" i="2"/>
  <c r="K510" i="2" s="1"/>
  <c r="L510" i="2" s="1"/>
  <c r="M510" i="2" s="1"/>
  <c r="H511" i="2"/>
  <c r="I511" i="2" s="1"/>
  <c r="J511" i="2"/>
  <c r="K511" i="2" s="1"/>
  <c r="L511" i="2" s="1"/>
  <c r="M511" i="2" s="1"/>
  <c r="H512" i="2"/>
  <c r="I512" i="2" s="1"/>
  <c r="J512" i="2"/>
  <c r="K512" i="2" s="1"/>
  <c r="L512" i="2" s="1"/>
  <c r="M512" i="2" s="1"/>
  <c r="H513" i="2"/>
  <c r="I513" i="2" s="1"/>
  <c r="J513" i="2"/>
  <c r="K513" i="2" s="1"/>
  <c r="L513" i="2"/>
  <c r="M513" i="2" s="1"/>
  <c r="H514" i="2"/>
  <c r="I514" i="2"/>
  <c r="J514" i="2"/>
  <c r="K514" i="2" s="1"/>
  <c r="L514" i="2" s="1"/>
  <c r="M514" i="2" s="1"/>
  <c r="H515" i="2"/>
  <c r="I515" i="2" s="1"/>
  <c r="J515" i="2"/>
  <c r="K515" i="2" s="1"/>
  <c r="L515" i="2" s="1"/>
  <c r="M515" i="2" s="1"/>
  <c r="H516" i="2"/>
  <c r="I516" i="2" s="1"/>
  <c r="J516" i="2"/>
  <c r="K516" i="2" s="1"/>
  <c r="L516" i="2" s="1"/>
  <c r="M516" i="2" s="1"/>
  <c r="H517" i="2"/>
  <c r="I517" i="2" s="1"/>
  <c r="J517" i="2"/>
  <c r="K517" i="2" s="1"/>
  <c r="L517" i="2" s="1"/>
  <c r="M517" i="2" s="1"/>
  <c r="H518" i="2"/>
  <c r="I518" i="2" s="1"/>
  <c r="J518" i="2"/>
  <c r="K518" i="2" s="1"/>
  <c r="L518" i="2" s="1"/>
  <c r="M518" i="2" s="1"/>
  <c r="H519" i="2"/>
  <c r="I519" i="2" s="1"/>
  <c r="J519" i="2"/>
  <c r="K519" i="2" s="1"/>
  <c r="L519" i="2" s="1"/>
  <c r="M519" i="2" s="1"/>
  <c r="H520" i="2"/>
  <c r="I520" i="2" s="1"/>
  <c r="J520" i="2"/>
  <c r="K520" i="2" s="1"/>
  <c r="L520" i="2" s="1"/>
  <c r="M520" i="2" s="1"/>
  <c r="H521" i="2"/>
  <c r="I521" i="2" s="1"/>
  <c r="J521" i="2"/>
  <c r="K521" i="2" s="1"/>
  <c r="L521" i="2" s="1"/>
  <c r="M521" i="2"/>
  <c r="H522" i="2"/>
  <c r="I522" i="2"/>
  <c r="J522" i="2"/>
  <c r="K522" i="2"/>
  <c r="L522" i="2"/>
  <c r="M522" i="2" s="1"/>
  <c r="H523" i="2"/>
  <c r="I523" i="2" s="1"/>
  <c r="J523" i="2"/>
  <c r="K523" i="2" s="1"/>
  <c r="L523" i="2"/>
  <c r="M523" i="2" s="1"/>
  <c r="H524" i="2"/>
  <c r="I524" i="2" s="1"/>
  <c r="J524" i="2"/>
  <c r="K524" i="2" s="1"/>
  <c r="L524" i="2" s="1"/>
  <c r="M524" i="2" s="1"/>
  <c r="H525" i="2"/>
  <c r="I525" i="2" s="1"/>
  <c r="J525" i="2"/>
  <c r="K525" i="2"/>
  <c r="L525" i="2"/>
  <c r="M525" i="2" s="1"/>
  <c r="H526" i="2"/>
  <c r="I526" i="2" s="1"/>
  <c r="J526" i="2"/>
  <c r="K526" i="2" s="1"/>
  <c r="L526" i="2" s="1"/>
  <c r="M526" i="2" s="1"/>
  <c r="H527" i="2"/>
  <c r="I527" i="2" s="1"/>
  <c r="J527" i="2"/>
  <c r="K527" i="2" s="1"/>
  <c r="L527" i="2"/>
  <c r="M527" i="2" s="1"/>
  <c r="H528" i="2"/>
  <c r="I528" i="2" s="1"/>
  <c r="J528" i="2"/>
  <c r="K528" i="2" s="1"/>
  <c r="L528" i="2" s="1"/>
  <c r="M528" i="2" s="1"/>
  <c r="H529" i="2"/>
  <c r="I529" i="2" s="1"/>
  <c r="J529" i="2"/>
  <c r="K529" i="2" s="1"/>
  <c r="L529" i="2" s="1"/>
  <c r="M529" i="2" s="1"/>
  <c r="H530" i="2"/>
  <c r="I530" i="2" s="1"/>
  <c r="J530" i="2"/>
  <c r="K530" i="2" s="1"/>
  <c r="L530" i="2"/>
  <c r="M530" i="2"/>
  <c r="H531" i="2"/>
  <c r="I531" i="2" s="1"/>
  <c r="J531" i="2"/>
  <c r="K531" i="2" s="1"/>
  <c r="L531" i="2" s="1"/>
  <c r="M531" i="2" s="1"/>
  <c r="H532" i="2"/>
  <c r="I532" i="2" s="1"/>
  <c r="J532" i="2"/>
  <c r="K532" i="2" s="1"/>
  <c r="L532" i="2" s="1"/>
  <c r="M532" i="2" s="1"/>
  <c r="H533" i="2"/>
  <c r="I533" i="2" s="1"/>
  <c r="J533" i="2"/>
  <c r="K533" i="2"/>
  <c r="L533" i="2" s="1"/>
  <c r="M533" i="2" s="1"/>
  <c r="H534" i="2"/>
  <c r="I534" i="2" s="1"/>
  <c r="J534" i="2"/>
  <c r="K534" i="2" s="1"/>
  <c r="L534" i="2" s="1"/>
  <c r="M534" i="2" s="1"/>
  <c r="H535" i="2"/>
  <c r="I535" i="2" s="1"/>
  <c r="J535" i="2"/>
  <c r="K535" i="2" s="1"/>
  <c r="L535" i="2"/>
  <c r="M535" i="2" s="1"/>
  <c r="H536" i="2"/>
  <c r="I536" i="2"/>
  <c r="J536" i="2"/>
  <c r="K536" i="2" s="1"/>
  <c r="L536" i="2" s="1"/>
  <c r="M536" i="2" s="1"/>
  <c r="H537" i="2"/>
  <c r="I537" i="2" s="1"/>
  <c r="J537" i="2"/>
  <c r="K537" i="2" s="1"/>
  <c r="L537" i="2" s="1"/>
  <c r="M537" i="2" s="1"/>
  <c r="H538" i="2"/>
  <c r="I538" i="2" s="1"/>
  <c r="J538" i="2"/>
  <c r="K538" i="2" s="1"/>
  <c r="L538" i="2" s="1"/>
  <c r="M538" i="2" s="1"/>
  <c r="H539" i="2"/>
  <c r="I539" i="2" s="1"/>
  <c r="J539" i="2"/>
  <c r="K539" i="2" s="1"/>
  <c r="L539" i="2"/>
  <c r="M539" i="2"/>
  <c r="H540" i="2"/>
  <c r="I540" i="2" s="1"/>
  <c r="J540" i="2"/>
  <c r="K540" i="2" s="1"/>
  <c r="L540" i="2" s="1"/>
  <c r="M540" i="2" s="1"/>
  <c r="H541" i="2"/>
  <c r="I541" i="2" s="1"/>
  <c r="J541" i="2"/>
  <c r="K541" i="2"/>
  <c r="L541" i="2" s="1"/>
  <c r="M541" i="2" s="1"/>
  <c r="H542" i="2"/>
  <c r="I542" i="2" s="1"/>
  <c r="J542" i="2"/>
  <c r="K542" i="2" s="1"/>
  <c r="L542" i="2" s="1"/>
  <c r="M542" i="2" s="1"/>
  <c r="H543" i="2"/>
  <c r="I543" i="2" s="1"/>
  <c r="J543" i="2"/>
  <c r="K543" i="2" s="1"/>
  <c r="L543" i="2" s="1"/>
  <c r="M543" i="2" s="1"/>
  <c r="H544" i="2"/>
  <c r="I544" i="2" s="1"/>
  <c r="J544" i="2"/>
  <c r="K544" i="2" s="1"/>
  <c r="L544" i="2" s="1"/>
  <c r="M544" i="2" s="1"/>
  <c r="H545" i="2"/>
  <c r="I545" i="2"/>
  <c r="J545" i="2"/>
  <c r="K545" i="2" s="1"/>
  <c r="L545" i="2" s="1"/>
  <c r="M545" i="2" s="1"/>
  <c r="H546" i="2"/>
  <c r="I546" i="2" s="1"/>
  <c r="J546" i="2"/>
  <c r="K546" i="2" s="1"/>
  <c r="L546" i="2" s="1"/>
  <c r="M546" i="2" s="1"/>
  <c r="H547" i="2"/>
  <c r="I547" i="2" s="1"/>
  <c r="J547" i="2"/>
  <c r="K547" i="2" s="1"/>
  <c r="L547" i="2"/>
  <c r="M547" i="2" s="1"/>
  <c r="H548" i="2"/>
  <c r="I548" i="2" s="1"/>
  <c r="J548" i="2"/>
  <c r="K548" i="2" s="1"/>
  <c r="L548" i="2" s="1"/>
  <c r="M548" i="2" s="1"/>
  <c r="H549" i="2"/>
  <c r="I549" i="2" s="1"/>
  <c r="J549" i="2"/>
  <c r="K549" i="2" s="1"/>
  <c r="L549" i="2" s="1"/>
  <c r="M549" i="2" s="1"/>
  <c r="H550" i="2"/>
  <c r="I550" i="2" s="1"/>
  <c r="J550" i="2"/>
  <c r="K550" i="2" s="1"/>
  <c r="L550" i="2" s="1"/>
  <c r="M550" i="2" s="1"/>
  <c r="H551" i="2"/>
  <c r="I551" i="2" s="1"/>
  <c r="J551" i="2"/>
  <c r="K551" i="2" s="1"/>
  <c r="L551" i="2" s="1"/>
  <c r="M551" i="2" s="1"/>
  <c r="H552" i="2"/>
  <c r="I552" i="2" s="1"/>
  <c r="J552" i="2"/>
  <c r="K552" i="2" s="1"/>
  <c r="L552" i="2" s="1"/>
  <c r="M552" i="2" s="1"/>
  <c r="H553" i="2"/>
  <c r="I553" i="2" s="1"/>
  <c r="J553" i="2"/>
  <c r="K553" i="2" s="1"/>
  <c r="L553" i="2" s="1"/>
  <c r="M553" i="2" s="1"/>
  <c r="H554" i="2"/>
  <c r="I554" i="2" s="1"/>
  <c r="J554" i="2"/>
  <c r="K554" i="2" s="1"/>
  <c r="L554" i="2" s="1"/>
  <c r="M554" i="2" s="1"/>
  <c r="H555" i="2"/>
  <c r="I555" i="2" s="1"/>
  <c r="J555" i="2"/>
  <c r="K555" i="2" s="1"/>
  <c r="L555" i="2" s="1"/>
  <c r="M555" i="2" s="1"/>
  <c r="H556" i="2"/>
  <c r="I556" i="2" s="1"/>
  <c r="J556" i="2"/>
  <c r="K556" i="2" s="1"/>
  <c r="L556" i="2" s="1"/>
  <c r="M556" i="2" s="1"/>
  <c r="H557" i="2"/>
  <c r="I557" i="2" s="1"/>
  <c r="J557" i="2"/>
  <c r="K557" i="2" s="1"/>
  <c r="L557" i="2" s="1"/>
  <c r="M557" i="2" s="1"/>
  <c r="H558" i="2"/>
  <c r="I558" i="2" s="1"/>
  <c r="J558" i="2"/>
  <c r="K558" i="2" s="1"/>
  <c r="L558" i="2" s="1"/>
  <c r="M558" i="2" s="1"/>
  <c r="H559" i="2"/>
  <c r="I559" i="2" s="1"/>
  <c r="J559" i="2"/>
  <c r="K559" i="2" s="1"/>
  <c r="L559" i="2" s="1"/>
  <c r="M559" i="2" s="1"/>
  <c r="H560" i="2"/>
  <c r="I560" i="2" s="1"/>
  <c r="J560" i="2"/>
  <c r="K560" i="2" s="1"/>
  <c r="L560" i="2" s="1"/>
  <c r="M560" i="2" s="1"/>
  <c r="H561" i="2"/>
  <c r="I561" i="2" s="1"/>
  <c r="J561" i="2"/>
  <c r="K561" i="2" s="1"/>
  <c r="L561" i="2" s="1"/>
  <c r="M561" i="2" s="1"/>
  <c r="H562" i="2"/>
  <c r="I562" i="2" s="1"/>
  <c r="J562" i="2"/>
  <c r="K562" i="2" s="1"/>
  <c r="L562" i="2" s="1"/>
  <c r="M562" i="2" s="1"/>
  <c r="H563" i="2"/>
  <c r="I563" i="2" s="1"/>
  <c r="J563" i="2"/>
  <c r="K563" i="2" s="1"/>
  <c r="L563" i="2"/>
  <c r="M563" i="2" s="1"/>
  <c r="H564" i="2"/>
  <c r="I564" i="2" s="1"/>
  <c r="J564" i="2"/>
  <c r="K564" i="2" s="1"/>
  <c r="L564" i="2"/>
  <c r="M564" i="2" s="1"/>
  <c r="H565" i="2"/>
  <c r="I565" i="2" s="1"/>
  <c r="J565" i="2"/>
  <c r="K565" i="2" s="1"/>
  <c r="L565" i="2" s="1"/>
  <c r="M565" i="2" s="1"/>
  <c r="H566" i="2"/>
  <c r="I566" i="2" s="1"/>
  <c r="J566" i="2"/>
  <c r="K566" i="2"/>
  <c r="L566" i="2" s="1"/>
  <c r="M566" i="2" s="1"/>
  <c r="H567" i="2"/>
  <c r="I567" i="2" s="1"/>
  <c r="J567" i="2"/>
  <c r="K567" i="2" s="1"/>
  <c r="L567" i="2"/>
  <c r="M567" i="2" s="1"/>
  <c r="H568" i="2"/>
  <c r="I568" i="2"/>
  <c r="J568" i="2"/>
  <c r="K568" i="2" s="1"/>
  <c r="L568" i="2" s="1"/>
  <c r="M568" i="2" s="1"/>
  <c r="H569" i="2"/>
  <c r="I569" i="2" s="1"/>
  <c r="J569" i="2"/>
  <c r="K569" i="2" s="1"/>
  <c r="L569" i="2" s="1"/>
  <c r="M569" i="2" s="1"/>
  <c r="H570" i="2"/>
  <c r="I570" i="2" s="1"/>
  <c r="J570" i="2"/>
  <c r="K570" i="2" s="1"/>
  <c r="L570" i="2" s="1"/>
  <c r="M570" i="2" s="1"/>
  <c r="H571" i="2"/>
  <c r="I571" i="2" s="1"/>
  <c r="J571" i="2"/>
  <c r="K571" i="2" s="1"/>
  <c r="L571" i="2"/>
  <c r="M571" i="2" s="1"/>
  <c r="H572" i="2"/>
  <c r="I572" i="2" s="1"/>
  <c r="J572" i="2"/>
  <c r="K572" i="2" s="1"/>
  <c r="L572" i="2" s="1"/>
  <c r="M572" i="2" s="1"/>
  <c r="H573" i="2"/>
  <c r="I573" i="2" s="1"/>
  <c r="J573" i="2"/>
  <c r="K573" i="2"/>
  <c r="L573" i="2" s="1"/>
  <c r="M573" i="2" s="1"/>
  <c r="H574" i="2"/>
  <c r="I574" i="2" s="1"/>
  <c r="J574" i="2"/>
  <c r="K574" i="2" s="1"/>
  <c r="L574" i="2" s="1"/>
  <c r="M574" i="2" s="1"/>
  <c r="H575" i="2"/>
  <c r="I575" i="2" s="1"/>
  <c r="J575" i="2"/>
  <c r="K575" i="2" s="1"/>
  <c r="L575" i="2" s="1"/>
  <c r="M575" i="2" s="1"/>
  <c r="H576" i="2"/>
  <c r="I576" i="2" s="1"/>
  <c r="J576" i="2"/>
  <c r="K576" i="2" s="1"/>
  <c r="L576" i="2" s="1"/>
  <c r="M576" i="2" s="1"/>
  <c r="H577" i="2"/>
  <c r="I577" i="2"/>
  <c r="J577" i="2"/>
  <c r="K577" i="2" s="1"/>
  <c r="L577" i="2" s="1"/>
  <c r="M577" i="2" s="1"/>
  <c r="H578" i="2"/>
  <c r="I578" i="2" s="1"/>
  <c r="J578" i="2"/>
  <c r="K578" i="2" s="1"/>
  <c r="L578" i="2" s="1"/>
  <c r="M578" i="2" s="1"/>
  <c r="H579" i="2"/>
  <c r="I579" i="2" s="1"/>
  <c r="J579" i="2"/>
  <c r="K579" i="2" s="1"/>
  <c r="L579" i="2"/>
  <c r="M579" i="2" s="1"/>
  <c r="H580" i="2"/>
  <c r="I580" i="2" s="1"/>
  <c r="J580" i="2"/>
  <c r="K580" i="2" s="1"/>
  <c r="L580" i="2" s="1"/>
  <c r="M580" i="2" s="1"/>
  <c r="H581" i="2"/>
  <c r="I581" i="2" s="1"/>
  <c r="J581" i="2"/>
  <c r="K581" i="2" s="1"/>
  <c r="L581" i="2" s="1"/>
  <c r="M581" i="2" s="1"/>
  <c r="H582" i="2"/>
  <c r="I582" i="2" s="1"/>
  <c r="J582" i="2"/>
  <c r="K582" i="2"/>
  <c r="L582" i="2" s="1"/>
  <c r="M582" i="2" s="1"/>
  <c r="H583" i="2"/>
  <c r="I583" i="2" s="1"/>
  <c r="J583" i="2"/>
  <c r="K583" i="2" s="1"/>
  <c r="L583" i="2" s="1"/>
  <c r="M583" i="2" s="1"/>
  <c r="H584" i="2"/>
  <c r="I584" i="2" s="1"/>
  <c r="J584" i="2"/>
  <c r="K584" i="2" s="1"/>
  <c r="L584" i="2" s="1"/>
  <c r="M584" i="2" s="1"/>
  <c r="H585" i="2"/>
  <c r="I585" i="2" s="1"/>
  <c r="J585" i="2"/>
  <c r="K585" i="2" s="1"/>
  <c r="L585" i="2" s="1"/>
  <c r="M585" i="2" s="1"/>
  <c r="H586" i="2"/>
  <c r="I586" i="2" s="1"/>
  <c r="J586" i="2"/>
  <c r="K586" i="2" s="1"/>
  <c r="L586" i="2" s="1"/>
  <c r="M586" i="2" s="1"/>
  <c r="H587" i="2"/>
  <c r="I587" i="2" s="1"/>
  <c r="J587" i="2"/>
  <c r="K587" i="2" s="1"/>
  <c r="L587" i="2" s="1"/>
  <c r="M587" i="2" s="1"/>
  <c r="H588" i="2"/>
  <c r="I588" i="2" s="1"/>
  <c r="J588" i="2"/>
  <c r="K588" i="2" s="1"/>
  <c r="L588" i="2" s="1"/>
  <c r="M588" i="2" s="1"/>
  <c r="H589" i="2"/>
  <c r="I589" i="2" s="1"/>
  <c r="J589" i="2"/>
  <c r="K589" i="2" s="1"/>
  <c r="L589" i="2" s="1"/>
  <c r="M589" i="2" s="1"/>
  <c r="H590" i="2"/>
  <c r="I590" i="2" s="1"/>
  <c r="J590" i="2"/>
  <c r="K590" i="2" s="1"/>
  <c r="L590" i="2" s="1"/>
  <c r="M590" i="2" s="1"/>
  <c r="H591" i="2"/>
  <c r="I591" i="2" s="1"/>
  <c r="J591" i="2"/>
  <c r="K591" i="2" s="1"/>
  <c r="L591" i="2" s="1"/>
  <c r="M591" i="2" s="1"/>
  <c r="H592" i="2"/>
  <c r="I592" i="2" s="1"/>
  <c r="J592" i="2"/>
  <c r="K592" i="2" s="1"/>
  <c r="L592" i="2" s="1"/>
  <c r="M592" i="2" s="1"/>
  <c r="H593" i="2"/>
  <c r="I593" i="2" s="1"/>
  <c r="J593" i="2"/>
  <c r="K593" i="2" s="1"/>
  <c r="L593" i="2" s="1"/>
  <c r="M593" i="2" s="1"/>
  <c r="H594" i="2"/>
  <c r="I594" i="2" s="1"/>
  <c r="J594" i="2"/>
  <c r="K594" i="2" s="1"/>
  <c r="L594" i="2" s="1"/>
  <c r="M594" i="2"/>
  <c r="H595" i="2"/>
  <c r="I595" i="2" s="1"/>
  <c r="J595" i="2"/>
  <c r="K595" i="2" s="1"/>
  <c r="L595" i="2"/>
  <c r="M595" i="2" s="1"/>
  <c r="H596" i="2"/>
  <c r="I596" i="2" s="1"/>
  <c r="J596" i="2"/>
  <c r="K596" i="2" s="1"/>
  <c r="L596" i="2" s="1"/>
  <c r="M596" i="2" s="1"/>
  <c r="H597" i="2"/>
  <c r="I597" i="2" s="1"/>
  <c r="J597" i="2"/>
  <c r="K597" i="2" s="1"/>
  <c r="L597" i="2" s="1"/>
  <c r="M597" i="2" s="1"/>
  <c r="H598" i="2"/>
  <c r="I598" i="2" s="1"/>
  <c r="J598" i="2"/>
  <c r="K598" i="2" s="1"/>
  <c r="L598" i="2" s="1"/>
  <c r="M598" i="2" s="1"/>
  <c r="H599" i="2"/>
  <c r="I599" i="2" s="1"/>
  <c r="J599" i="2"/>
  <c r="K599" i="2" s="1"/>
  <c r="L599" i="2" s="1"/>
  <c r="M599" i="2" s="1"/>
  <c r="H600" i="2"/>
  <c r="I600" i="2" s="1"/>
  <c r="J600" i="2"/>
  <c r="K600" i="2" s="1"/>
  <c r="L600" i="2" s="1"/>
  <c r="M600" i="2" s="1"/>
  <c r="H601" i="2"/>
  <c r="I601" i="2" s="1"/>
  <c r="J601" i="2"/>
  <c r="K601" i="2"/>
  <c r="L601" i="2" s="1"/>
  <c r="M601" i="2" s="1"/>
  <c r="H602" i="2"/>
  <c r="I602" i="2" s="1"/>
  <c r="J602" i="2"/>
  <c r="K602" i="2" s="1"/>
  <c r="L602" i="2" s="1"/>
  <c r="M602" i="2" s="1"/>
  <c r="H603" i="2"/>
  <c r="I603" i="2" s="1"/>
  <c r="J603" i="2"/>
  <c r="K603" i="2" s="1"/>
  <c r="L603" i="2"/>
  <c r="M603" i="2" s="1"/>
  <c r="H604" i="2"/>
  <c r="I604" i="2" s="1"/>
  <c r="J604" i="2"/>
  <c r="K604" i="2"/>
  <c r="L604" i="2" s="1"/>
  <c r="M604" i="2" s="1"/>
  <c r="H605" i="2"/>
  <c r="I605" i="2" s="1"/>
  <c r="J605" i="2"/>
  <c r="K605" i="2" s="1"/>
  <c r="L605" i="2" s="1"/>
  <c r="M605" i="2" s="1"/>
  <c r="H606" i="2"/>
  <c r="I606" i="2" s="1"/>
  <c r="J606" i="2"/>
  <c r="K606" i="2" s="1"/>
  <c r="L606" i="2" s="1"/>
  <c r="M606" i="2" s="1"/>
  <c r="H607" i="2"/>
  <c r="I607" i="2"/>
  <c r="J607" i="2"/>
  <c r="K607" i="2"/>
  <c r="L607" i="2" s="1"/>
  <c r="M607" i="2" s="1"/>
  <c r="H608" i="2"/>
  <c r="I608" i="2" s="1"/>
  <c r="J608" i="2"/>
  <c r="K608" i="2" s="1"/>
  <c r="L608" i="2" s="1"/>
  <c r="M608" i="2" s="1"/>
  <c r="H609" i="2"/>
  <c r="I609" i="2" s="1"/>
  <c r="J609" i="2"/>
  <c r="K609" i="2" s="1"/>
  <c r="L609" i="2" s="1"/>
  <c r="M609" i="2" s="1"/>
  <c r="H610" i="2"/>
  <c r="I610" i="2" s="1"/>
  <c r="J610" i="2"/>
  <c r="K610" i="2" s="1"/>
  <c r="L610" i="2" s="1"/>
  <c r="M610" i="2" s="1"/>
  <c r="H611" i="2"/>
  <c r="I611" i="2" s="1"/>
  <c r="J611" i="2"/>
  <c r="K611" i="2"/>
  <c r="L611" i="2"/>
  <c r="M611" i="2" s="1"/>
  <c r="H612" i="2"/>
  <c r="I612" i="2"/>
  <c r="J612" i="2"/>
  <c r="K612" i="2"/>
  <c r="L612" i="2" s="1"/>
  <c r="M612" i="2" s="1"/>
  <c r="H613" i="2"/>
  <c r="I613" i="2" s="1"/>
  <c r="J613" i="2"/>
  <c r="K613" i="2"/>
  <c r="L613" i="2" s="1"/>
  <c r="M613" i="2" s="1"/>
  <c r="H614" i="2"/>
  <c r="I614" i="2" s="1"/>
  <c r="J614" i="2"/>
  <c r="K614" i="2" s="1"/>
  <c r="L614" i="2" s="1"/>
  <c r="M614" i="2" s="1"/>
  <c r="H615" i="2"/>
  <c r="I615" i="2" s="1"/>
  <c r="J615" i="2"/>
  <c r="K615" i="2" s="1"/>
  <c r="L615" i="2" s="1"/>
  <c r="M615" i="2" s="1"/>
  <c r="H616" i="2"/>
  <c r="I616" i="2" s="1"/>
  <c r="J616" i="2"/>
  <c r="K616" i="2" s="1"/>
  <c r="L616" i="2" s="1"/>
  <c r="M616" i="2" s="1"/>
  <c r="H617" i="2"/>
  <c r="I617" i="2" s="1"/>
  <c r="J617" i="2"/>
  <c r="K617" i="2" s="1"/>
  <c r="L617" i="2" s="1"/>
  <c r="M617" i="2" s="1"/>
  <c r="H618" i="2"/>
  <c r="I618" i="2"/>
  <c r="J618" i="2"/>
  <c r="K618" i="2" s="1"/>
  <c r="L618" i="2" s="1"/>
  <c r="M618" i="2" s="1"/>
  <c r="H619" i="2"/>
  <c r="I619" i="2" s="1"/>
  <c r="J619" i="2"/>
  <c r="K619" i="2"/>
  <c r="L619" i="2" s="1"/>
  <c r="M619" i="2" s="1"/>
  <c r="H620" i="2"/>
  <c r="I620" i="2"/>
  <c r="J620" i="2"/>
  <c r="K620" i="2"/>
  <c r="L620" i="2" s="1"/>
  <c r="M620" i="2" s="1"/>
  <c r="H621" i="2"/>
  <c r="I621" i="2" s="1"/>
  <c r="J621" i="2"/>
  <c r="K621" i="2"/>
  <c r="L621" i="2" s="1"/>
  <c r="M621" i="2" s="1"/>
  <c r="H622" i="2"/>
  <c r="I622" i="2"/>
  <c r="J622" i="2"/>
  <c r="K622" i="2" s="1"/>
  <c r="L622" i="2" s="1"/>
  <c r="M622" i="2" s="1"/>
  <c r="H623" i="2"/>
  <c r="I623" i="2"/>
  <c r="J623" i="2"/>
  <c r="K623" i="2" s="1"/>
  <c r="L623" i="2"/>
  <c r="M623" i="2" s="1"/>
  <c r="H624" i="2"/>
  <c r="I624" i="2" s="1"/>
  <c r="J624" i="2"/>
  <c r="K624" i="2"/>
  <c r="L624" i="2" s="1"/>
  <c r="M624" i="2" s="1"/>
  <c r="H625" i="2"/>
  <c r="I625" i="2" s="1"/>
  <c r="J625" i="2"/>
  <c r="K625" i="2" s="1"/>
  <c r="L625" i="2" s="1"/>
  <c r="M625" i="2" s="1"/>
  <c r="H626" i="2"/>
  <c r="I626" i="2"/>
  <c r="J626" i="2"/>
  <c r="K626" i="2" s="1"/>
  <c r="L626" i="2" s="1"/>
  <c r="M626" i="2" s="1"/>
  <c r="H627" i="2"/>
  <c r="I627" i="2"/>
  <c r="J627" i="2"/>
  <c r="K627" i="2" s="1"/>
  <c r="L627" i="2" s="1"/>
  <c r="M627" i="2" s="1"/>
  <c r="H628" i="2"/>
  <c r="I628" i="2" s="1"/>
  <c r="J628" i="2"/>
  <c r="K628" i="2" s="1"/>
  <c r="L628" i="2" s="1"/>
  <c r="M628" i="2" s="1"/>
  <c r="H629" i="2"/>
  <c r="I629" i="2" s="1"/>
  <c r="J629" i="2"/>
  <c r="K629" i="2"/>
  <c r="L629" i="2" s="1"/>
  <c r="M629" i="2" s="1"/>
  <c r="H630" i="2"/>
  <c r="I630" i="2"/>
  <c r="J630" i="2"/>
  <c r="K630" i="2" s="1"/>
  <c r="L630" i="2" s="1"/>
  <c r="M630" i="2" s="1"/>
  <c r="H631" i="2"/>
  <c r="I631" i="2" s="1"/>
  <c r="J631" i="2"/>
  <c r="K631" i="2"/>
  <c r="L631" i="2" s="1"/>
  <c r="M631" i="2" s="1"/>
  <c r="H632" i="2"/>
  <c r="I632" i="2" s="1"/>
  <c r="J632" i="2"/>
  <c r="K632" i="2"/>
  <c r="L632" i="2" s="1"/>
  <c r="M632" i="2" s="1"/>
  <c r="H633" i="2"/>
  <c r="I633" i="2" s="1"/>
  <c r="J633" i="2"/>
  <c r="K633" i="2" s="1"/>
  <c r="L633" i="2" s="1"/>
  <c r="M633" i="2" s="1"/>
  <c r="H634" i="2"/>
  <c r="I634" i="2"/>
  <c r="J634" i="2"/>
  <c r="K634" i="2" s="1"/>
  <c r="L634" i="2" s="1"/>
  <c r="M634" i="2" s="1"/>
  <c r="H635" i="2"/>
  <c r="I635" i="2"/>
  <c r="J635" i="2"/>
  <c r="K635" i="2"/>
  <c r="L635" i="2" s="1"/>
  <c r="M635" i="2" s="1"/>
  <c r="H636" i="2"/>
  <c r="I636" i="2"/>
  <c r="J636" i="2"/>
  <c r="K636" i="2"/>
  <c r="L636" i="2" s="1"/>
  <c r="M636" i="2" s="1"/>
  <c r="H637" i="2"/>
  <c r="I637" i="2" s="1"/>
  <c r="J637" i="2"/>
  <c r="K637" i="2"/>
  <c r="L637" i="2" s="1"/>
  <c r="M637" i="2" s="1"/>
  <c r="H638" i="2"/>
  <c r="I638" i="2" s="1"/>
  <c r="J638" i="2"/>
  <c r="K638" i="2" s="1"/>
  <c r="L638" i="2" s="1"/>
  <c r="M638" i="2" s="1"/>
  <c r="H639" i="2"/>
  <c r="I639" i="2"/>
  <c r="J639" i="2"/>
  <c r="K639" i="2" s="1"/>
  <c r="L639" i="2" s="1"/>
  <c r="M639" i="2" s="1"/>
  <c r="H640" i="2"/>
  <c r="I640" i="2" s="1"/>
  <c r="J640" i="2"/>
  <c r="K640" i="2" s="1"/>
  <c r="L640" i="2" s="1"/>
  <c r="M640" i="2" s="1"/>
  <c r="H641" i="2"/>
  <c r="I641" i="2" s="1"/>
  <c r="J641" i="2"/>
  <c r="K641" i="2"/>
  <c r="L641" i="2" s="1"/>
  <c r="M641" i="2" s="1"/>
  <c r="H642" i="2"/>
  <c r="I642" i="2"/>
  <c r="J642" i="2"/>
  <c r="K642" i="2" s="1"/>
  <c r="L642" i="2" s="1"/>
  <c r="M642" i="2" s="1"/>
  <c r="H643" i="2"/>
  <c r="I643" i="2" s="1"/>
  <c r="J643" i="2"/>
  <c r="K643" i="2"/>
  <c r="L643" i="2" s="1"/>
  <c r="M643" i="2" s="1"/>
  <c r="H644" i="2"/>
  <c r="I644" i="2" s="1"/>
  <c r="J644" i="2"/>
  <c r="K644" i="2"/>
  <c r="L644" i="2" s="1"/>
  <c r="M644" i="2" s="1"/>
  <c r="H645" i="2"/>
  <c r="I645" i="2" s="1"/>
  <c r="J645" i="2"/>
  <c r="K645" i="2"/>
  <c r="L645" i="2" s="1"/>
  <c r="M645" i="2" s="1"/>
  <c r="H646" i="2"/>
  <c r="I646" i="2"/>
  <c r="J646" i="2"/>
  <c r="K646" i="2" s="1"/>
  <c r="L646" i="2" s="1"/>
  <c r="M646" i="2" s="1"/>
  <c r="H647" i="2"/>
  <c r="I647" i="2"/>
  <c r="J647" i="2"/>
  <c r="K647" i="2"/>
  <c r="L647" i="2"/>
  <c r="M647" i="2" s="1"/>
  <c r="H648" i="2"/>
  <c r="I648" i="2"/>
  <c r="J648" i="2"/>
  <c r="K648" i="2"/>
  <c r="L648" i="2" s="1"/>
  <c r="M648" i="2" s="1"/>
  <c r="H649" i="2"/>
  <c r="I649" i="2" s="1"/>
  <c r="J649" i="2"/>
  <c r="K649" i="2"/>
  <c r="L649" i="2" s="1"/>
  <c r="M649" i="2" s="1"/>
  <c r="H650" i="2"/>
  <c r="I650" i="2" s="1"/>
  <c r="J650" i="2"/>
  <c r="K650" i="2" s="1"/>
  <c r="L650" i="2" s="1"/>
  <c r="M650" i="2" s="1"/>
  <c r="H651" i="2"/>
  <c r="I651" i="2"/>
  <c r="J651" i="2"/>
  <c r="K651" i="2" s="1"/>
  <c r="L651" i="2" s="1"/>
  <c r="M651" i="2" s="1"/>
  <c r="H652" i="2"/>
  <c r="I652" i="2" s="1"/>
  <c r="J652" i="2"/>
  <c r="K652" i="2"/>
  <c r="L652" i="2" s="1"/>
  <c r="M652" i="2" s="1"/>
  <c r="H653" i="2"/>
  <c r="I653" i="2" s="1"/>
  <c r="J653" i="2"/>
  <c r="K653" i="2" s="1"/>
  <c r="L653" i="2" s="1"/>
  <c r="M653" i="2" s="1"/>
  <c r="H654" i="2"/>
  <c r="I654" i="2" s="1"/>
  <c r="J654" i="2"/>
  <c r="K654" i="2" s="1"/>
  <c r="L654" i="2" s="1"/>
  <c r="M654" i="2" s="1"/>
  <c r="H655" i="2"/>
  <c r="I655" i="2" s="1"/>
  <c r="J655" i="2"/>
  <c r="K655" i="2" s="1"/>
  <c r="L655" i="2" s="1"/>
  <c r="M655" i="2" s="1"/>
  <c r="H656" i="2"/>
  <c r="I656" i="2"/>
  <c r="J656" i="2"/>
  <c r="K656" i="2"/>
  <c r="L656" i="2" s="1"/>
  <c r="M656" i="2" s="1"/>
  <c r="H657" i="2"/>
  <c r="I657" i="2" s="1"/>
  <c r="J657" i="2"/>
  <c r="K657" i="2"/>
  <c r="L657" i="2" s="1"/>
  <c r="M657" i="2" s="1"/>
  <c r="H658" i="2"/>
  <c r="I658" i="2"/>
  <c r="J658" i="2"/>
  <c r="K658" i="2" s="1"/>
  <c r="L658" i="2" s="1"/>
  <c r="M658" i="2" s="1"/>
  <c r="H659" i="2"/>
  <c r="I659" i="2"/>
  <c r="J659" i="2"/>
  <c r="K659" i="2" s="1"/>
  <c r="L659" i="2" s="1"/>
  <c r="M659" i="2" s="1"/>
  <c r="H660" i="2"/>
  <c r="I660" i="2"/>
  <c r="J660" i="2"/>
  <c r="K660" i="2" s="1"/>
  <c r="L660" i="2" s="1"/>
  <c r="M660" i="2" s="1"/>
  <c r="H661" i="2"/>
  <c r="I661" i="2" s="1"/>
  <c r="J661" i="2"/>
  <c r="K661" i="2" s="1"/>
  <c r="L661" i="2" s="1"/>
  <c r="M661" i="2" s="1"/>
  <c r="H662" i="2"/>
  <c r="I662" i="2" s="1"/>
  <c r="J662" i="2"/>
  <c r="K662" i="2" s="1"/>
  <c r="L662" i="2" s="1"/>
  <c r="M662" i="2" s="1"/>
  <c r="H663" i="2"/>
  <c r="I663" i="2"/>
  <c r="J663" i="2"/>
  <c r="K663" i="2"/>
  <c r="L663" i="2"/>
  <c r="M663" i="2" s="1"/>
  <c r="H664" i="2"/>
  <c r="I664" i="2" s="1"/>
  <c r="J664" i="2"/>
  <c r="K664" i="2" s="1"/>
  <c r="L664" i="2" s="1"/>
  <c r="M664" i="2" s="1"/>
  <c r="H665" i="2"/>
  <c r="I665" i="2" s="1"/>
  <c r="J665" i="2"/>
  <c r="K665" i="2" s="1"/>
  <c r="L665" i="2" s="1"/>
  <c r="M665" i="2" s="1"/>
  <c r="H666" i="2"/>
  <c r="I666" i="2" s="1"/>
  <c r="J666" i="2"/>
  <c r="K666" i="2" s="1"/>
  <c r="L666" i="2" s="1"/>
  <c r="M666" i="2" s="1"/>
  <c r="H667" i="2"/>
  <c r="I667" i="2" s="1"/>
  <c r="J667" i="2"/>
  <c r="K667" i="2"/>
  <c r="L667" i="2" s="1"/>
  <c r="M667" i="2" s="1"/>
  <c r="H668" i="2"/>
  <c r="I668" i="2" s="1"/>
  <c r="J668" i="2"/>
  <c r="K668" i="2"/>
  <c r="L668" i="2" s="1"/>
  <c r="M668" i="2" s="1"/>
  <c r="H669" i="2"/>
  <c r="I669" i="2" s="1"/>
  <c r="J669" i="2"/>
  <c r="K669" i="2" s="1"/>
  <c r="L669" i="2" s="1"/>
  <c r="M669" i="2" s="1"/>
  <c r="H670" i="2"/>
  <c r="I670" i="2"/>
  <c r="J670" i="2"/>
  <c r="K670" i="2" s="1"/>
  <c r="L670" i="2" s="1"/>
  <c r="M670" i="2" s="1"/>
  <c r="H671" i="2"/>
  <c r="I671" i="2"/>
  <c r="J671" i="2"/>
  <c r="K671" i="2"/>
  <c r="L671" i="2" s="1"/>
  <c r="M671" i="2" s="1"/>
  <c r="H672" i="2"/>
  <c r="I672" i="2"/>
  <c r="J672" i="2"/>
  <c r="K672" i="2" s="1"/>
  <c r="L672" i="2" s="1"/>
  <c r="M672" i="2" s="1"/>
  <c r="H673" i="2"/>
  <c r="I673" i="2" s="1"/>
  <c r="J673" i="2"/>
  <c r="K673" i="2" s="1"/>
  <c r="L673" i="2" s="1"/>
  <c r="M673" i="2" s="1"/>
  <c r="H674" i="2"/>
  <c r="I674" i="2"/>
  <c r="J674" i="2"/>
  <c r="K674" i="2" s="1"/>
  <c r="L674" i="2" s="1"/>
  <c r="M674" i="2" s="1"/>
  <c r="H675" i="2"/>
  <c r="I675" i="2" s="1"/>
  <c r="J675" i="2"/>
  <c r="K675" i="2" s="1"/>
  <c r="L675" i="2" s="1"/>
  <c r="M675" i="2" s="1"/>
  <c r="H676" i="2"/>
  <c r="I676" i="2"/>
  <c r="J676" i="2"/>
  <c r="K676" i="2" s="1"/>
  <c r="L676" i="2" s="1"/>
  <c r="M676" i="2" s="1"/>
  <c r="H677" i="2"/>
  <c r="I677" i="2" s="1"/>
  <c r="J677" i="2"/>
  <c r="K677" i="2" s="1"/>
  <c r="L677" i="2" s="1"/>
  <c r="M677" i="2" s="1"/>
  <c r="H678" i="2"/>
  <c r="I678" i="2" s="1"/>
  <c r="J678" i="2"/>
  <c r="K678" i="2" s="1"/>
  <c r="L678" i="2" s="1"/>
  <c r="M678" i="2" s="1"/>
  <c r="H679" i="2"/>
  <c r="I679" i="2"/>
  <c r="J679" i="2"/>
  <c r="K679" i="2" s="1"/>
  <c r="L679" i="2" s="1"/>
  <c r="M679" i="2" s="1"/>
  <c r="H680" i="2"/>
  <c r="I680" i="2" s="1"/>
  <c r="J680" i="2"/>
  <c r="K680" i="2" s="1"/>
  <c r="L680" i="2" s="1"/>
  <c r="M680" i="2" s="1"/>
  <c r="H681" i="2"/>
  <c r="I681" i="2" s="1"/>
  <c r="J681" i="2"/>
  <c r="K681" i="2"/>
  <c r="L681" i="2" s="1"/>
  <c r="M681" i="2" s="1"/>
  <c r="H682" i="2"/>
  <c r="I682" i="2" s="1"/>
  <c r="J682" i="2"/>
  <c r="K682" i="2" s="1"/>
  <c r="L682" i="2" s="1"/>
  <c r="M682" i="2" s="1"/>
  <c r="H683" i="2"/>
  <c r="I683" i="2"/>
  <c r="J683" i="2"/>
  <c r="K683" i="2"/>
  <c r="L683" i="2" s="1"/>
  <c r="M683" i="2" s="1"/>
  <c r="H684" i="2"/>
  <c r="I684" i="2" s="1"/>
  <c r="J684" i="2"/>
  <c r="K684" i="2" s="1"/>
  <c r="L684" i="2" s="1"/>
  <c r="M684" i="2" s="1"/>
  <c r="H685" i="2"/>
  <c r="I685" i="2" s="1"/>
  <c r="J685" i="2"/>
  <c r="K685" i="2" s="1"/>
  <c r="L685" i="2" s="1"/>
  <c r="M685" i="2" s="1"/>
  <c r="H686" i="2"/>
  <c r="I686" i="2"/>
  <c r="J686" i="2"/>
  <c r="K686" i="2" s="1"/>
  <c r="L686" i="2" s="1"/>
  <c r="M686" i="2"/>
  <c r="H687" i="2"/>
  <c r="I687" i="2"/>
  <c r="J687" i="2"/>
  <c r="K687" i="2" s="1"/>
  <c r="L687" i="2" s="1"/>
  <c r="M687" i="2" s="1"/>
  <c r="H688" i="2"/>
  <c r="I688" i="2" s="1"/>
  <c r="J688" i="2"/>
  <c r="K688" i="2" s="1"/>
  <c r="L688" i="2" s="1"/>
  <c r="M688" i="2" s="1"/>
  <c r="H689" i="2"/>
  <c r="I689" i="2" s="1"/>
  <c r="J689" i="2"/>
  <c r="K689" i="2"/>
  <c r="L689" i="2" s="1"/>
  <c r="M689" i="2" s="1"/>
  <c r="H690" i="2"/>
  <c r="I690" i="2"/>
  <c r="J690" i="2"/>
  <c r="K690" i="2" s="1"/>
  <c r="L690" i="2" s="1"/>
  <c r="M690" i="2" s="1"/>
  <c r="H691" i="2"/>
  <c r="I691" i="2" s="1"/>
  <c r="J691" i="2"/>
  <c r="K691" i="2"/>
  <c r="L691" i="2" s="1"/>
  <c r="M691" i="2" s="1"/>
  <c r="H692" i="2"/>
  <c r="I692" i="2"/>
  <c r="J692" i="2"/>
  <c r="K692" i="2" s="1"/>
  <c r="L692" i="2" s="1"/>
  <c r="M692" i="2" s="1"/>
  <c r="H693" i="2"/>
  <c r="I693" i="2" s="1"/>
  <c r="J693" i="2"/>
  <c r="K693" i="2" s="1"/>
  <c r="L693" i="2" s="1"/>
  <c r="M693" i="2" s="1"/>
  <c r="H694" i="2"/>
  <c r="I694" i="2" s="1"/>
  <c r="J694" i="2"/>
  <c r="K694" i="2" s="1"/>
  <c r="L694" i="2" s="1"/>
  <c r="M694" i="2"/>
  <c r="H695" i="2"/>
  <c r="I695" i="2" s="1"/>
  <c r="J695" i="2"/>
  <c r="K695" i="2" s="1"/>
  <c r="L695" i="2" s="1"/>
  <c r="M695" i="2" s="1"/>
  <c r="H696" i="2"/>
  <c r="I696" i="2" s="1"/>
  <c r="J696" i="2"/>
  <c r="K696" i="2" s="1"/>
  <c r="L696" i="2"/>
  <c r="M696" i="2" s="1"/>
  <c r="H697" i="2"/>
  <c r="I697" i="2" s="1"/>
  <c r="J697" i="2"/>
  <c r="K697" i="2"/>
  <c r="L697" i="2" s="1"/>
  <c r="M697" i="2" s="1"/>
  <c r="H698" i="2"/>
  <c r="I698" i="2" s="1"/>
  <c r="J698" i="2"/>
  <c r="K698" i="2" s="1"/>
  <c r="L698" i="2" s="1"/>
  <c r="M698" i="2"/>
  <c r="H699" i="2"/>
  <c r="I699" i="2" s="1"/>
  <c r="J699" i="2"/>
  <c r="K699" i="2" s="1"/>
  <c r="L699" i="2" s="1"/>
  <c r="M699" i="2" s="1"/>
  <c r="H700" i="2"/>
  <c r="I700" i="2" s="1"/>
  <c r="J700" i="2"/>
  <c r="K700" i="2" s="1"/>
  <c r="L700" i="2" s="1"/>
  <c r="M700" i="2" s="1"/>
  <c r="H701" i="2"/>
  <c r="I701" i="2" s="1"/>
  <c r="J701" i="2"/>
  <c r="K701" i="2" s="1"/>
  <c r="L701" i="2" s="1"/>
  <c r="M701" i="2" s="1"/>
  <c r="H702" i="2"/>
  <c r="I702" i="2"/>
  <c r="J702" i="2"/>
  <c r="K702" i="2" s="1"/>
  <c r="L702" i="2"/>
  <c r="M702" i="2" s="1"/>
  <c r="H703" i="2"/>
  <c r="I703" i="2" s="1"/>
  <c r="J703" i="2"/>
  <c r="K703" i="2" s="1"/>
  <c r="L703" i="2" s="1"/>
  <c r="M703" i="2" s="1"/>
  <c r="H704" i="2"/>
  <c r="I704" i="2" s="1"/>
  <c r="J704" i="2"/>
  <c r="K704" i="2"/>
  <c r="L704" i="2" s="1"/>
  <c r="M704" i="2" s="1"/>
  <c r="H705" i="2"/>
  <c r="I705" i="2" s="1"/>
  <c r="J705" i="2"/>
  <c r="K705" i="2" s="1"/>
  <c r="L705" i="2" s="1"/>
  <c r="M705" i="2" s="1"/>
  <c r="H706" i="2"/>
  <c r="I706" i="2" s="1"/>
  <c r="J706" i="2"/>
  <c r="K706" i="2" s="1"/>
  <c r="L706" i="2" s="1"/>
  <c r="M706" i="2" s="1"/>
  <c r="H707" i="2"/>
  <c r="I707" i="2" s="1"/>
  <c r="J707" i="2"/>
  <c r="K707" i="2" s="1"/>
  <c r="L707" i="2" s="1"/>
  <c r="M707" i="2" s="1"/>
  <c r="H708" i="2"/>
  <c r="I708" i="2" s="1"/>
  <c r="J708" i="2"/>
  <c r="K708" i="2" s="1"/>
  <c r="L708" i="2" s="1"/>
  <c r="M708" i="2" s="1"/>
  <c r="H709" i="2"/>
  <c r="I709" i="2" s="1"/>
  <c r="J709" i="2"/>
  <c r="K709" i="2" s="1"/>
  <c r="L709" i="2" s="1"/>
  <c r="M709" i="2" s="1"/>
  <c r="H710" i="2"/>
  <c r="I710" i="2" s="1"/>
  <c r="J710" i="2"/>
  <c r="K710" i="2" s="1"/>
  <c r="L710" i="2" s="1"/>
  <c r="M710" i="2" s="1"/>
  <c r="H711" i="2"/>
  <c r="I711" i="2" s="1"/>
  <c r="J711" i="2"/>
  <c r="K711" i="2" s="1"/>
  <c r="L711" i="2"/>
  <c r="M711" i="2" s="1"/>
  <c r="H712" i="2"/>
  <c r="I712" i="2"/>
  <c r="J712" i="2"/>
  <c r="K712" i="2"/>
  <c r="L712" i="2" s="1"/>
  <c r="M712" i="2" s="1"/>
  <c r="H713" i="2"/>
  <c r="I713" i="2" s="1"/>
  <c r="J713" i="2"/>
  <c r="K713" i="2" s="1"/>
  <c r="L713" i="2"/>
  <c r="M713" i="2" s="1"/>
  <c r="H714" i="2"/>
  <c r="I714" i="2" s="1"/>
  <c r="J714" i="2"/>
  <c r="K714" i="2" s="1"/>
  <c r="L714" i="2" s="1"/>
  <c r="M714" i="2" s="1"/>
  <c r="H715" i="2"/>
  <c r="I715" i="2"/>
  <c r="J715" i="2"/>
  <c r="K715" i="2" s="1"/>
  <c r="L715" i="2" s="1"/>
  <c r="M715" i="2" s="1"/>
  <c r="H716" i="2"/>
  <c r="I716" i="2" s="1"/>
  <c r="J716" i="2"/>
  <c r="K716" i="2" s="1"/>
  <c r="L716" i="2" s="1"/>
  <c r="M716" i="2" s="1"/>
  <c r="H717" i="2"/>
  <c r="I717" i="2" s="1"/>
  <c r="J717" i="2"/>
  <c r="K717" i="2" s="1"/>
  <c r="L717" i="2" s="1"/>
  <c r="M717" i="2" s="1"/>
  <c r="H718" i="2"/>
  <c r="I718" i="2"/>
  <c r="J718" i="2"/>
  <c r="K718" i="2" s="1"/>
  <c r="L718" i="2"/>
  <c r="M718" i="2" s="1"/>
  <c r="H719" i="2"/>
  <c r="I719" i="2" s="1"/>
  <c r="J719" i="2"/>
  <c r="K719" i="2" s="1"/>
  <c r="L719" i="2"/>
  <c r="M719" i="2" s="1"/>
  <c r="H720" i="2"/>
  <c r="I720" i="2"/>
  <c r="J720" i="2"/>
  <c r="K720" i="2" s="1"/>
  <c r="L720" i="2" s="1"/>
  <c r="M720" i="2" s="1"/>
  <c r="H721" i="2"/>
  <c r="I721" i="2" s="1"/>
  <c r="J721" i="2"/>
  <c r="K721" i="2" s="1"/>
  <c r="L721" i="2" s="1"/>
  <c r="M721" i="2" s="1"/>
  <c r="H722" i="2"/>
  <c r="I722" i="2" s="1"/>
  <c r="J722" i="2"/>
  <c r="K722" i="2" s="1"/>
  <c r="L722" i="2" s="1"/>
  <c r="M722" i="2" s="1"/>
  <c r="H723" i="2"/>
  <c r="I723" i="2"/>
  <c r="J723" i="2"/>
  <c r="K723" i="2"/>
  <c r="L723" i="2" s="1"/>
  <c r="M723" i="2" s="1"/>
  <c r="H724" i="2"/>
  <c r="I724" i="2" s="1"/>
  <c r="J724" i="2"/>
  <c r="K724" i="2" s="1"/>
  <c r="L724" i="2" s="1"/>
  <c r="M724" i="2" s="1"/>
  <c r="H725" i="2"/>
  <c r="I725" i="2" s="1"/>
  <c r="J725" i="2"/>
  <c r="K725" i="2"/>
  <c r="L725" i="2" s="1"/>
  <c r="M725" i="2" s="1"/>
  <c r="H726" i="2"/>
  <c r="I726" i="2" s="1"/>
  <c r="J726" i="2"/>
  <c r="K726" i="2" s="1"/>
  <c r="L726" i="2"/>
  <c r="M726" i="2" s="1"/>
  <c r="H727" i="2"/>
  <c r="I727" i="2" s="1"/>
  <c r="J727" i="2"/>
  <c r="K727" i="2" s="1"/>
  <c r="L727" i="2" s="1"/>
  <c r="M727" i="2" s="1"/>
  <c r="H728" i="2"/>
  <c r="I728" i="2"/>
  <c r="J728" i="2"/>
  <c r="K728" i="2" s="1"/>
  <c r="L728" i="2" s="1"/>
  <c r="M728" i="2" s="1"/>
  <c r="H729" i="2"/>
  <c r="I729" i="2" s="1"/>
  <c r="J729" i="2"/>
  <c r="K729" i="2" s="1"/>
  <c r="L729" i="2" s="1"/>
  <c r="M729" i="2" s="1"/>
  <c r="H730" i="2"/>
  <c r="I730" i="2" s="1"/>
  <c r="J730" i="2"/>
  <c r="K730" i="2" s="1"/>
  <c r="L730" i="2" s="1"/>
  <c r="M730" i="2" s="1"/>
  <c r="H731" i="2"/>
  <c r="I731" i="2"/>
  <c r="J731" i="2"/>
  <c r="K731" i="2"/>
  <c r="L731" i="2" s="1"/>
  <c r="M731" i="2" s="1"/>
  <c r="H732" i="2"/>
  <c r="I732" i="2" s="1"/>
  <c r="J732" i="2"/>
  <c r="K732" i="2" s="1"/>
  <c r="L732" i="2"/>
  <c r="M732" i="2" s="1"/>
  <c r="H733" i="2"/>
  <c r="I733" i="2" s="1"/>
  <c r="J733" i="2"/>
  <c r="K733" i="2"/>
  <c r="L733" i="2" s="1"/>
  <c r="M733" i="2" s="1"/>
  <c r="H734" i="2"/>
  <c r="I734" i="2"/>
  <c r="J734" i="2"/>
  <c r="K734" i="2" s="1"/>
  <c r="L734" i="2" s="1"/>
  <c r="M734" i="2" s="1"/>
  <c r="H735" i="2"/>
  <c r="I735" i="2" s="1"/>
  <c r="J735" i="2"/>
  <c r="K735" i="2" s="1"/>
  <c r="L735" i="2" s="1"/>
  <c r="M735" i="2" s="1"/>
  <c r="H736" i="2"/>
  <c r="I736" i="2" s="1"/>
  <c r="J736" i="2"/>
  <c r="K736" i="2"/>
  <c r="L736" i="2" s="1"/>
  <c r="M736" i="2" s="1"/>
  <c r="H737" i="2"/>
  <c r="I737" i="2" s="1"/>
  <c r="J737" i="2"/>
  <c r="K737" i="2" s="1"/>
  <c r="L737" i="2" s="1"/>
  <c r="M737" i="2" s="1"/>
  <c r="H738" i="2"/>
  <c r="I738" i="2" s="1"/>
  <c r="J738" i="2"/>
  <c r="K738" i="2" s="1"/>
  <c r="L738" i="2" s="1"/>
  <c r="M738" i="2" s="1"/>
  <c r="H739" i="2"/>
  <c r="I739" i="2" s="1"/>
  <c r="J739" i="2"/>
  <c r="K739" i="2"/>
  <c r="L739" i="2" s="1"/>
  <c r="M739" i="2" s="1"/>
  <c r="H740" i="2"/>
  <c r="I740" i="2" s="1"/>
  <c r="J740" i="2"/>
  <c r="K740" i="2" s="1"/>
  <c r="L740" i="2"/>
  <c r="M740" i="2" s="1"/>
  <c r="H741" i="2"/>
  <c r="I741" i="2" s="1"/>
  <c r="J741" i="2"/>
  <c r="K741" i="2" s="1"/>
  <c r="L741" i="2" s="1"/>
  <c r="M741" i="2" s="1"/>
  <c r="H742" i="2"/>
  <c r="I742" i="2" s="1"/>
  <c r="J742" i="2"/>
  <c r="K742" i="2" s="1"/>
  <c r="L742" i="2"/>
  <c r="M742" i="2" s="1"/>
  <c r="H743" i="2"/>
  <c r="I743" i="2" s="1"/>
  <c r="J743" i="2"/>
  <c r="K743" i="2" s="1"/>
  <c r="L743" i="2" s="1"/>
  <c r="M743" i="2" s="1"/>
  <c r="H744" i="2"/>
  <c r="I744" i="2" s="1"/>
  <c r="J744" i="2"/>
  <c r="K744" i="2"/>
  <c r="L744" i="2" s="1"/>
  <c r="M744" i="2" s="1"/>
  <c r="H745" i="2"/>
  <c r="I745" i="2" s="1"/>
  <c r="J745" i="2"/>
  <c r="K745" i="2" s="1"/>
  <c r="L745" i="2" s="1"/>
  <c r="M745" i="2" s="1"/>
  <c r="H746" i="2"/>
  <c r="I746" i="2" s="1"/>
  <c r="J746" i="2"/>
  <c r="K746" i="2" s="1"/>
  <c r="L746" i="2" s="1"/>
  <c r="M746" i="2" s="1"/>
  <c r="H747" i="2"/>
  <c r="I747" i="2"/>
  <c r="J747" i="2"/>
  <c r="K747" i="2" s="1"/>
  <c r="L747" i="2" s="1"/>
  <c r="M747" i="2" s="1"/>
  <c r="H748" i="2"/>
  <c r="I748" i="2" s="1"/>
  <c r="J748" i="2"/>
  <c r="K748" i="2" s="1"/>
  <c r="L748" i="2"/>
  <c r="M748" i="2" s="1"/>
  <c r="H749" i="2"/>
  <c r="I749" i="2" s="1"/>
  <c r="J749" i="2"/>
  <c r="K749" i="2"/>
  <c r="L749" i="2" s="1"/>
  <c r="M749" i="2" s="1"/>
  <c r="H750" i="2"/>
  <c r="I750" i="2" s="1"/>
  <c r="J750" i="2"/>
  <c r="K750" i="2" s="1"/>
  <c r="L750" i="2" s="1"/>
  <c r="M750" i="2" s="1"/>
  <c r="H751" i="2"/>
  <c r="I751" i="2" s="1"/>
  <c r="J751" i="2"/>
  <c r="K751" i="2" s="1"/>
  <c r="L751" i="2"/>
  <c r="M751" i="2" s="1"/>
  <c r="H752" i="2"/>
  <c r="I752" i="2" s="1"/>
  <c r="J752" i="2"/>
  <c r="K752" i="2"/>
  <c r="L752" i="2" s="1"/>
  <c r="M752" i="2" s="1"/>
  <c r="H753" i="2"/>
  <c r="I753" i="2" s="1"/>
  <c r="J753" i="2"/>
  <c r="K753" i="2" s="1"/>
  <c r="L753" i="2" s="1"/>
  <c r="M753" i="2" s="1"/>
  <c r="H754" i="2"/>
  <c r="I754" i="2" s="1"/>
  <c r="J754" i="2"/>
  <c r="K754" i="2" s="1"/>
  <c r="L754" i="2" s="1"/>
  <c r="M754" i="2" s="1"/>
  <c r="H755" i="2"/>
  <c r="I755" i="2"/>
  <c r="J755" i="2"/>
  <c r="K755" i="2"/>
  <c r="L755" i="2" s="1"/>
  <c r="M755" i="2" s="1"/>
  <c r="H756" i="2"/>
  <c r="I756" i="2" s="1"/>
  <c r="J756" i="2"/>
  <c r="K756" i="2" s="1"/>
  <c r="L756" i="2"/>
  <c r="M756" i="2" s="1"/>
  <c r="H757" i="2"/>
  <c r="I757" i="2" s="1"/>
  <c r="J757" i="2"/>
  <c r="K757" i="2"/>
  <c r="L757" i="2" s="1"/>
  <c r="M757" i="2" s="1"/>
  <c r="H758" i="2"/>
  <c r="I758" i="2"/>
  <c r="J758" i="2"/>
  <c r="K758" i="2" s="1"/>
  <c r="L758" i="2" s="1"/>
  <c r="M758" i="2" s="1"/>
  <c r="H759" i="2"/>
  <c r="I759" i="2" s="1"/>
  <c r="J759" i="2"/>
  <c r="K759" i="2" s="1"/>
  <c r="L759" i="2" s="1"/>
  <c r="M759" i="2" s="1"/>
  <c r="H760" i="2"/>
  <c r="I760" i="2" s="1"/>
  <c r="J760" i="2"/>
  <c r="K760" i="2" s="1"/>
  <c r="L760" i="2" s="1"/>
  <c r="M760" i="2" s="1"/>
  <c r="H761" i="2"/>
  <c r="I761" i="2" s="1"/>
  <c r="J761" i="2"/>
  <c r="K761" i="2" s="1"/>
  <c r="L761" i="2" s="1"/>
  <c r="M761" i="2" s="1"/>
  <c r="H762" i="2"/>
  <c r="I762" i="2" s="1"/>
  <c r="J762" i="2"/>
  <c r="K762" i="2" s="1"/>
  <c r="L762" i="2" s="1"/>
  <c r="M762" i="2"/>
  <c r="H763" i="2"/>
  <c r="I763" i="2" s="1"/>
  <c r="J763" i="2"/>
  <c r="K763" i="2"/>
  <c r="L763" i="2" s="1"/>
  <c r="M763" i="2" s="1"/>
  <c r="H764" i="2"/>
  <c r="I764" i="2" s="1"/>
  <c r="J764" i="2"/>
  <c r="K764" i="2" s="1"/>
  <c r="L764" i="2" s="1"/>
  <c r="M764" i="2" s="1"/>
  <c r="H765" i="2"/>
  <c r="I765" i="2" s="1"/>
  <c r="J765" i="2"/>
  <c r="K765" i="2"/>
  <c r="L765" i="2" s="1"/>
  <c r="M765" i="2" s="1"/>
  <c r="H766" i="2"/>
  <c r="I766" i="2" s="1"/>
  <c r="J766" i="2"/>
  <c r="K766" i="2" s="1"/>
  <c r="L766" i="2" s="1"/>
  <c r="M766" i="2" s="1"/>
  <c r="H767" i="2"/>
  <c r="I767" i="2" s="1"/>
  <c r="J767" i="2"/>
  <c r="K767" i="2" s="1"/>
  <c r="L767" i="2"/>
  <c r="M767" i="2" s="1"/>
  <c r="H768" i="2"/>
  <c r="I768" i="2"/>
  <c r="J768" i="2"/>
  <c r="K768" i="2" s="1"/>
  <c r="L768" i="2" s="1"/>
  <c r="M768" i="2" s="1"/>
  <c r="H769" i="2"/>
  <c r="I769" i="2" s="1"/>
  <c r="J769" i="2"/>
  <c r="K769" i="2" s="1"/>
  <c r="L769" i="2" s="1"/>
  <c r="M769" i="2" s="1"/>
  <c r="H770" i="2"/>
  <c r="I770" i="2" s="1"/>
  <c r="J770" i="2"/>
  <c r="K770" i="2" s="1"/>
  <c r="L770" i="2" s="1"/>
  <c r="M770" i="2" s="1"/>
  <c r="H771" i="2"/>
  <c r="I771" i="2" s="1"/>
  <c r="J771" i="2"/>
  <c r="K771" i="2"/>
  <c r="L771" i="2" s="1"/>
  <c r="M771" i="2" s="1"/>
  <c r="H772" i="2"/>
  <c r="I772" i="2" s="1"/>
  <c r="J772" i="2"/>
  <c r="K772" i="2" s="1"/>
  <c r="L772" i="2"/>
  <c r="M772" i="2" s="1"/>
  <c r="H773" i="2"/>
  <c r="I773" i="2" s="1"/>
  <c r="J773" i="2"/>
  <c r="K773" i="2" s="1"/>
  <c r="L773" i="2" s="1"/>
  <c r="M773" i="2" s="1"/>
  <c r="H774" i="2"/>
  <c r="I774" i="2" s="1"/>
  <c r="J774" i="2"/>
  <c r="K774" i="2" s="1"/>
  <c r="L774" i="2" s="1"/>
  <c r="M774" i="2" s="1"/>
  <c r="H775" i="2"/>
  <c r="I775" i="2" s="1"/>
  <c r="J775" i="2"/>
  <c r="K775" i="2" s="1"/>
  <c r="L775" i="2" s="1"/>
  <c r="M775" i="2" s="1"/>
  <c r="H776" i="2"/>
  <c r="I776" i="2" s="1"/>
  <c r="J776" i="2"/>
  <c r="K776" i="2" s="1"/>
  <c r="L776" i="2" s="1"/>
  <c r="M776" i="2" s="1"/>
  <c r="H777" i="2"/>
  <c r="I777" i="2" s="1"/>
  <c r="J777" i="2"/>
  <c r="K777" i="2" s="1"/>
  <c r="L777" i="2" s="1"/>
  <c r="M777" i="2" s="1"/>
  <c r="H778" i="2"/>
  <c r="I778" i="2" s="1"/>
  <c r="J778" i="2"/>
  <c r="K778" i="2" s="1"/>
  <c r="L778" i="2" s="1"/>
  <c r="M778" i="2" s="1"/>
  <c r="H779" i="2"/>
  <c r="I779" i="2" s="1"/>
  <c r="J779" i="2"/>
  <c r="K779" i="2" s="1"/>
  <c r="L779" i="2" s="1"/>
  <c r="M779" i="2" s="1"/>
  <c r="H780" i="2"/>
  <c r="I780" i="2" s="1"/>
  <c r="J780" i="2"/>
  <c r="K780" i="2" s="1"/>
  <c r="L780" i="2" s="1"/>
  <c r="M780" i="2" s="1"/>
  <c r="H781" i="2"/>
  <c r="I781" i="2" s="1"/>
  <c r="J781" i="2"/>
  <c r="K781" i="2"/>
  <c r="L781" i="2" s="1"/>
  <c r="M781" i="2" s="1"/>
  <c r="H782" i="2"/>
  <c r="I782" i="2" s="1"/>
  <c r="J782" i="2"/>
  <c r="K782" i="2" s="1"/>
  <c r="L782" i="2"/>
  <c r="M782" i="2" s="1"/>
  <c r="H783" i="2"/>
  <c r="I783" i="2" s="1"/>
  <c r="J783" i="2"/>
  <c r="K783" i="2" s="1"/>
  <c r="L783" i="2"/>
  <c r="M783" i="2" s="1"/>
  <c r="H784" i="2"/>
  <c r="I784" i="2"/>
  <c r="J784" i="2"/>
  <c r="K784" i="2" s="1"/>
  <c r="L784" i="2" s="1"/>
  <c r="M784" i="2" s="1"/>
  <c r="H785" i="2"/>
  <c r="I785" i="2" s="1"/>
  <c r="J785" i="2"/>
  <c r="K785" i="2" s="1"/>
  <c r="L785" i="2" s="1"/>
  <c r="M785" i="2" s="1"/>
  <c r="H786" i="2"/>
  <c r="I786" i="2" s="1"/>
  <c r="J786" i="2"/>
  <c r="K786" i="2" s="1"/>
  <c r="L786" i="2" s="1"/>
  <c r="M786" i="2" s="1"/>
  <c r="H787" i="2"/>
  <c r="I787" i="2"/>
  <c r="J787" i="2"/>
  <c r="K787" i="2" s="1"/>
  <c r="L787" i="2" s="1"/>
  <c r="M787" i="2" s="1"/>
  <c r="H788" i="2"/>
  <c r="I788" i="2" s="1"/>
  <c r="J788" i="2"/>
  <c r="K788" i="2" s="1"/>
  <c r="L788" i="2" s="1"/>
  <c r="M788" i="2" s="1"/>
  <c r="H789" i="2"/>
  <c r="I789" i="2" s="1"/>
  <c r="J789" i="2"/>
  <c r="K789" i="2" s="1"/>
  <c r="L789" i="2" s="1"/>
  <c r="M789" i="2" s="1"/>
  <c r="H790" i="2"/>
  <c r="I790" i="2" s="1"/>
  <c r="J790" i="2"/>
  <c r="K790" i="2" s="1"/>
  <c r="L790" i="2" s="1"/>
  <c r="M790" i="2" s="1"/>
  <c r="H791" i="2"/>
  <c r="I791" i="2" s="1"/>
  <c r="J791" i="2"/>
  <c r="K791" i="2" s="1"/>
  <c r="L791" i="2" s="1"/>
  <c r="M791" i="2" s="1"/>
  <c r="H792" i="2"/>
  <c r="I792" i="2"/>
  <c r="J792" i="2"/>
  <c r="K792" i="2" s="1"/>
  <c r="L792" i="2" s="1"/>
  <c r="M792" i="2" s="1"/>
  <c r="H793" i="2"/>
  <c r="I793" i="2" s="1"/>
  <c r="J793" i="2"/>
  <c r="K793" i="2" s="1"/>
  <c r="L793" i="2" s="1"/>
  <c r="M793" i="2" s="1"/>
  <c r="H794" i="2"/>
  <c r="I794" i="2" s="1"/>
  <c r="J794" i="2"/>
  <c r="K794" i="2" s="1"/>
  <c r="L794" i="2" s="1"/>
  <c r="M794" i="2" s="1"/>
  <c r="H795" i="2"/>
  <c r="I795" i="2" s="1"/>
  <c r="J795" i="2"/>
  <c r="K795" i="2"/>
  <c r="L795" i="2" s="1"/>
  <c r="M795" i="2" s="1"/>
  <c r="H796" i="2"/>
  <c r="I796" i="2" s="1"/>
  <c r="J796" i="2"/>
  <c r="K796" i="2" s="1"/>
  <c r="L796" i="2" s="1"/>
  <c r="M796" i="2" s="1"/>
  <c r="H797" i="2"/>
  <c r="I797" i="2" s="1"/>
  <c r="J797" i="2"/>
  <c r="K797" i="2"/>
  <c r="L797" i="2" s="1"/>
  <c r="M797" i="2" s="1"/>
  <c r="H798" i="2"/>
  <c r="I798" i="2" s="1"/>
  <c r="J798" i="2"/>
  <c r="K798" i="2" s="1"/>
  <c r="L798" i="2" s="1"/>
  <c r="M798" i="2" s="1"/>
  <c r="H799" i="2"/>
  <c r="I799" i="2" s="1"/>
  <c r="J799" i="2"/>
  <c r="K799" i="2" s="1"/>
  <c r="L799" i="2" s="1"/>
  <c r="M799" i="2" s="1"/>
  <c r="H800" i="2"/>
  <c r="I800" i="2" s="1"/>
  <c r="J800" i="2"/>
  <c r="K800" i="2" s="1"/>
  <c r="L800" i="2" s="1"/>
  <c r="M800" i="2" s="1"/>
  <c r="H801" i="2"/>
  <c r="I801" i="2" s="1"/>
  <c r="J801" i="2"/>
  <c r="K801" i="2" s="1"/>
  <c r="L801" i="2" s="1"/>
  <c r="M801" i="2" s="1"/>
  <c r="H802" i="2"/>
  <c r="I802" i="2" s="1"/>
  <c r="J802" i="2"/>
  <c r="K802" i="2" s="1"/>
  <c r="L802" i="2" s="1"/>
  <c r="M802" i="2"/>
  <c r="H803" i="2"/>
  <c r="I803" i="2"/>
  <c r="J803" i="2"/>
  <c r="K803" i="2" s="1"/>
  <c r="L803" i="2" s="1"/>
  <c r="M803" i="2" s="1"/>
  <c r="H804" i="2"/>
  <c r="I804" i="2" s="1"/>
  <c r="J804" i="2"/>
  <c r="K804" i="2" s="1"/>
  <c r="L804" i="2" s="1"/>
  <c r="M804" i="2" s="1"/>
  <c r="H805" i="2"/>
  <c r="I805" i="2" s="1"/>
  <c r="J805" i="2"/>
  <c r="K805" i="2" s="1"/>
  <c r="L805" i="2" s="1"/>
  <c r="M805" i="2" s="1"/>
  <c r="H806" i="2"/>
  <c r="I806" i="2" s="1"/>
  <c r="J806" i="2"/>
  <c r="K806" i="2" s="1"/>
  <c r="L806" i="2" s="1"/>
  <c r="M806" i="2" s="1"/>
  <c r="H807" i="2"/>
  <c r="I807" i="2" s="1"/>
  <c r="J807" i="2"/>
  <c r="K807" i="2" s="1"/>
  <c r="L807" i="2" s="1"/>
  <c r="M807" i="2" s="1"/>
  <c r="H808" i="2"/>
  <c r="I808" i="2" s="1"/>
  <c r="J808" i="2"/>
  <c r="K808" i="2" s="1"/>
  <c r="L808" i="2" s="1"/>
  <c r="M808" i="2" s="1"/>
  <c r="H809" i="2"/>
  <c r="I809" i="2" s="1"/>
  <c r="J809" i="2"/>
  <c r="K809" i="2" s="1"/>
  <c r="L809" i="2" s="1"/>
  <c r="M809" i="2" s="1"/>
  <c r="H810" i="2"/>
  <c r="I810" i="2" s="1"/>
  <c r="J810" i="2"/>
  <c r="K810" i="2" s="1"/>
  <c r="L810" i="2"/>
  <c r="M810" i="2" s="1"/>
  <c r="H811" i="2"/>
  <c r="I811" i="2"/>
  <c r="J811" i="2"/>
  <c r="K811" i="2" s="1"/>
  <c r="L811" i="2" s="1"/>
  <c r="M811" i="2" s="1"/>
  <c r="H812" i="2"/>
  <c r="I812" i="2" s="1"/>
  <c r="J812" i="2"/>
  <c r="K812" i="2" s="1"/>
  <c r="L812" i="2" s="1"/>
  <c r="M812" i="2" s="1"/>
  <c r="H813" i="2"/>
  <c r="I813" i="2" s="1"/>
  <c r="J813" i="2"/>
  <c r="K813" i="2" s="1"/>
  <c r="L813" i="2" s="1"/>
  <c r="M813" i="2" s="1"/>
  <c r="H814" i="2"/>
  <c r="I814" i="2" s="1"/>
  <c r="J814" i="2"/>
  <c r="K814" i="2" s="1"/>
  <c r="L814" i="2" s="1"/>
  <c r="M814" i="2" s="1"/>
  <c r="H815" i="2"/>
  <c r="I815" i="2" s="1"/>
  <c r="J815" i="2"/>
  <c r="K815" i="2" s="1"/>
  <c r="L815" i="2" s="1"/>
  <c r="M815" i="2" s="1"/>
  <c r="H816" i="2"/>
  <c r="I816" i="2" s="1"/>
  <c r="J816" i="2"/>
  <c r="K816" i="2" s="1"/>
  <c r="L816" i="2" s="1"/>
  <c r="M816" i="2" s="1"/>
  <c r="H817" i="2"/>
  <c r="I817" i="2" s="1"/>
  <c r="J817" i="2"/>
  <c r="K817" i="2" s="1"/>
  <c r="L817" i="2" s="1"/>
  <c r="M817" i="2" s="1"/>
  <c r="H818" i="2"/>
  <c r="I818" i="2" s="1"/>
  <c r="J818" i="2"/>
  <c r="K818" i="2" s="1"/>
  <c r="L818" i="2" s="1"/>
  <c r="M818" i="2" s="1"/>
  <c r="H819" i="2"/>
  <c r="I819" i="2"/>
  <c r="J819" i="2"/>
  <c r="K819" i="2" s="1"/>
  <c r="L819" i="2"/>
  <c r="M819" i="2" s="1"/>
  <c r="H820" i="2"/>
  <c r="I820" i="2" s="1"/>
  <c r="J820" i="2"/>
  <c r="K820" i="2"/>
  <c r="L820" i="2" s="1"/>
  <c r="M820" i="2" s="1"/>
  <c r="H821" i="2"/>
  <c r="I821" i="2" s="1"/>
  <c r="J821" i="2"/>
  <c r="K821" i="2" s="1"/>
  <c r="L821" i="2" s="1"/>
  <c r="M821" i="2" s="1"/>
  <c r="H822" i="2"/>
  <c r="I822" i="2" s="1"/>
  <c r="J822" i="2"/>
  <c r="K822" i="2" s="1"/>
  <c r="L822" i="2"/>
  <c r="M822" i="2" s="1"/>
  <c r="H823" i="2"/>
  <c r="I823" i="2" s="1"/>
  <c r="J823" i="2"/>
  <c r="K823" i="2" s="1"/>
  <c r="L823" i="2" s="1"/>
  <c r="M823" i="2" s="1"/>
  <c r="H824" i="2"/>
  <c r="I824" i="2" s="1"/>
  <c r="J824" i="2"/>
  <c r="K824" i="2" s="1"/>
  <c r="L824" i="2" s="1"/>
  <c r="M824" i="2" s="1"/>
  <c r="H825" i="2"/>
  <c r="I825" i="2" s="1"/>
  <c r="J825" i="2"/>
  <c r="K825" i="2" s="1"/>
  <c r="L825" i="2"/>
  <c r="M825" i="2" s="1"/>
  <c r="H826" i="2"/>
  <c r="I826" i="2" s="1"/>
  <c r="J826" i="2"/>
  <c r="K826" i="2" s="1"/>
  <c r="L826" i="2" s="1"/>
  <c r="M826" i="2" s="1"/>
  <c r="H827" i="2"/>
  <c r="I827" i="2" s="1"/>
  <c r="J827" i="2"/>
  <c r="K827" i="2" s="1"/>
  <c r="L827" i="2" s="1"/>
  <c r="M827" i="2" s="1"/>
  <c r="H828" i="2"/>
  <c r="I828" i="2" s="1"/>
  <c r="J828" i="2"/>
  <c r="K828" i="2" s="1"/>
  <c r="L828" i="2" s="1"/>
  <c r="M828" i="2" s="1"/>
  <c r="H829" i="2"/>
  <c r="I829" i="2" s="1"/>
  <c r="J829" i="2"/>
  <c r="K829" i="2" s="1"/>
  <c r="L829" i="2" s="1"/>
  <c r="M829" i="2" s="1"/>
  <c r="H830" i="2"/>
  <c r="I830" i="2" s="1"/>
  <c r="J830" i="2"/>
  <c r="K830" i="2" s="1"/>
  <c r="L830" i="2" s="1"/>
  <c r="M830" i="2" s="1"/>
  <c r="H831" i="2"/>
  <c r="I831" i="2" s="1"/>
  <c r="J831" i="2"/>
  <c r="K831" i="2" s="1"/>
  <c r="L831" i="2" s="1"/>
  <c r="M831" i="2" s="1"/>
  <c r="H832" i="2"/>
  <c r="I832" i="2" s="1"/>
  <c r="J832" i="2"/>
  <c r="K832" i="2"/>
  <c r="L832" i="2" s="1"/>
  <c r="M832" i="2" s="1"/>
  <c r="H833" i="2"/>
  <c r="I833" i="2" s="1"/>
  <c r="J833" i="2"/>
  <c r="K833" i="2" s="1"/>
  <c r="L833" i="2" s="1"/>
  <c r="M833" i="2" s="1"/>
  <c r="H834" i="2"/>
  <c r="I834" i="2" s="1"/>
  <c r="J834" i="2"/>
  <c r="K834" i="2" s="1"/>
  <c r="L834" i="2"/>
  <c r="M834" i="2" s="1"/>
  <c r="H835" i="2"/>
  <c r="I835" i="2" s="1"/>
  <c r="J835" i="2"/>
  <c r="K835" i="2" s="1"/>
  <c r="L835" i="2" s="1"/>
  <c r="M835" i="2" s="1"/>
  <c r="H836" i="2"/>
  <c r="I836" i="2" s="1"/>
  <c r="J836" i="2"/>
  <c r="K836" i="2" s="1"/>
  <c r="L836" i="2" s="1"/>
  <c r="M836" i="2" s="1"/>
  <c r="H837" i="2"/>
  <c r="I837" i="2" s="1"/>
  <c r="J837" i="2"/>
  <c r="K837" i="2" s="1"/>
  <c r="L837" i="2"/>
  <c r="M837" i="2" s="1"/>
  <c r="H838" i="2"/>
  <c r="I838" i="2" s="1"/>
  <c r="J838" i="2"/>
  <c r="K838" i="2" s="1"/>
  <c r="L838" i="2" s="1"/>
  <c r="M838" i="2" s="1"/>
  <c r="H839" i="2"/>
  <c r="I839" i="2" s="1"/>
  <c r="J839" i="2"/>
  <c r="K839" i="2" s="1"/>
  <c r="L839" i="2" s="1"/>
  <c r="M839" i="2" s="1"/>
  <c r="H840" i="2"/>
  <c r="I840" i="2" s="1"/>
  <c r="J840" i="2"/>
  <c r="K840" i="2"/>
  <c r="L840" i="2" s="1"/>
  <c r="M840" i="2" s="1"/>
  <c r="H841" i="2"/>
  <c r="I841" i="2" s="1"/>
  <c r="J841" i="2"/>
  <c r="K841" i="2" s="1"/>
  <c r="L841" i="2"/>
  <c r="M841" i="2" s="1"/>
  <c r="H842" i="2"/>
  <c r="I842" i="2" s="1"/>
  <c r="J842" i="2"/>
  <c r="K842" i="2" s="1"/>
  <c r="L842" i="2"/>
  <c r="M842" i="2" s="1"/>
  <c r="H843" i="2"/>
  <c r="I843" i="2"/>
  <c r="J843" i="2"/>
  <c r="K843" i="2" s="1"/>
  <c r="L843" i="2" s="1"/>
  <c r="M843" i="2" s="1"/>
  <c r="H844" i="2"/>
  <c r="I844" i="2" s="1"/>
  <c r="J844" i="2"/>
  <c r="K844" i="2" s="1"/>
  <c r="L844" i="2" s="1"/>
  <c r="M844" i="2" s="1"/>
  <c r="H845" i="2"/>
  <c r="I845" i="2" s="1"/>
  <c r="J845" i="2"/>
  <c r="K845" i="2" s="1"/>
  <c r="L845" i="2" s="1"/>
  <c r="M845" i="2" s="1"/>
  <c r="H846" i="2"/>
  <c r="I846" i="2" s="1"/>
  <c r="J846" i="2"/>
  <c r="K846" i="2" s="1"/>
  <c r="L846" i="2" s="1"/>
  <c r="M846" i="2" s="1"/>
  <c r="H847" i="2"/>
  <c r="I847" i="2" s="1"/>
  <c r="J847" i="2"/>
  <c r="K847" i="2" s="1"/>
  <c r="L847" i="2" s="1"/>
  <c r="M847" i="2" s="1"/>
  <c r="H848" i="2"/>
  <c r="I848" i="2" s="1"/>
  <c r="J848" i="2"/>
  <c r="K848" i="2" s="1"/>
  <c r="L848" i="2" s="1"/>
  <c r="M848" i="2" s="1"/>
  <c r="H849" i="2"/>
  <c r="I849" i="2" s="1"/>
  <c r="J849" i="2"/>
  <c r="K849" i="2" s="1"/>
  <c r="L849" i="2" s="1"/>
  <c r="M849" i="2" s="1"/>
  <c r="H850" i="2"/>
  <c r="I850" i="2" s="1"/>
  <c r="J850" i="2"/>
  <c r="K850" i="2" s="1"/>
  <c r="L850" i="2" s="1"/>
  <c r="M850" i="2" s="1"/>
  <c r="H851" i="2"/>
  <c r="I851" i="2" s="1"/>
  <c r="J851" i="2"/>
  <c r="K851" i="2" s="1"/>
  <c r="L851" i="2" s="1"/>
  <c r="M851" i="2" s="1"/>
  <c r="H852" i="2"/>
  <c r="I852" i="2" s="1"/>
  <c r="J852" i="2"/>
  <c r="K852" i="2" s="1"/>
  <c r="L852" i="2" s="1"/>
  <c r="M852" i="2" s="1"/>
  <c r="H853" i="2"/>
  <c r="I853" i="2" s="1"/>
  <c r="J853" i="2"/>
  <c r="K853" i="2" s="1"/>
  <c r="L853" i="2"/>
  <c r="M853" i="2" s="1"/>
  <c r="H854" i="2"/>
  <c r="I854" i="2" s="1"/>
  <c r="J854" i="2"/>
  <c r="K854" i="2" s="1"/>
  <c r="L854" i="2" s="1"/>
  <c r="M854" i="2" s="1"/>
  <c r="H855" i="2"/>
  <c r="I855" i="2" s="1"/>
  <c r="J855" i="2"/>
  <c r="K855" i="2" s="1"/>
  <c r="L855" i="2"/>
  <c r="M855" i="2" s="1"/>
  <c r="H856" i="2"/>
  <c r="I856" i="2" s="1"/>
  <c r="J856" i="2"/>
  <c r="K856" i="2" s="1"/>
  <c r="L856" i="2" s="1"/>
  <c r="M856" i="2" s="1"/>
  <c r="H857" i="2"/>
  <c r="I857" i="2" s="1"/>
  <c r="J857" i="2"/>
  <c r="K857" i="2" s="1"/>
  <c r="L857" i="2" s="1"/>
  <c r="M857" i="2" s="1"/>
  <c r="H858" i="2"/>
  <c r="I858" i="2" s="1"/>
  <c r="J858" i="2"/>
  <c r="K858" i="2"/>
  <c r="L858" i="2" s="1"/>
  <c r="M858" i="2" s="1"/>
  <c r="H859" i="2"/>
  <c r="I859" i="2" s="1"/>
  <c r="J859" i="2"/>
  <c r="K859" i="2" s="1"/>
  <c r="L859" i="2" s="1"/>
  <c r="M859" i="2" s="1"/>
  <c r="H860" i="2"/>
  <c r="I860" i="2" s="1"/>
  <c r="J860" i="2"/>
  <c r="K860" i="2" s="1"/>
  <c r="L860" i="2" s="1"/>
  <c r="M860" i="2" s="1"/>
  <c r="H861" i="2"/>
  <c r="I861" i="2" s="1"/>
  <c r="J861" i="2"/>
  <c r="K861" i="2" s="1"/>
  <c r="L861" i="2"/>
  <c r="M861" i="2" s="1"/>
  <c r="H862" i="2"/>
  <c r="I862" i="2" s="1"/>
  <c r="J862" i="2"/>
  <c r="K862" i="2"/>
  <c r="L862" i="2" s="1"/>
  <c r="M862" i="2" s="1"/>
  <c r="H863" i="2"/>
  <c r="I863" i="2" s="1"/>
  <c r="J863" i="2"/>
  <c r="K863" i="2" s="1"/>
  <c r="L863" i="2" s="1"/>
  <c r="M863" i="2" s="1"/>
  <c r="H864" i="2"/>
  <c r="I864" i="2" s="1"/>
  <c r="J864" i="2"/>
  <c r="K864" i="2" s="1"/>
  <c r="L864" i="2" s="1"/>
  <c r="M864" i="2" s="1"/>
  <c r="H865" i="2"/>
  <c r="I865" i="2"/>
  <c r="J865" i="2"/>
  <c r="K865" i="2" s="1"/>
  <c r="L865" i="2" s="1"/>
  <c r="M865" i="2" s="1"/>
  <c r="H866" i="2"/>
  <c r="I866" i="2" s="1"/>
  <c r="J866" i="2"/>
  <c r="K866" i="2" s="1"/>
  <c r="L866" i="2" s="1"/>
  <c r="M866" i="2" s="1"/>
  <c r="H867" i="2"/>
  <c r="I867" i="2" s="1"/>
  <c r="J867" i="2"/>
  <c r="K867" i="2" s="1"/>
  <c r="L867" i="2" s="1"/>
  <c r="M867" i="2" s="1"/>
  <c r="H868" i="2"/>
  <c r="I868" i="2" s="1"/>
  <c r="J868" i="2"/>
  <c r="K868" i="2" s="1"/>
  <c r="L868" i="2" s="1"/>
  <c r="M868" i="2" s="1"/>
  <c r="H869" i="2"/>
  <c r="I869" i="2" s="1"/>
  <c r="J869" i="2"/>
  <c r="K869" i="2" s="1"/>
  <c r="L869" i="2" s="1"/>
  <c r="M869" i="2" s="1"/>
  <c r="H870" i="2"/>
  <c r="I870" i="2" s="1"/>
  <c r="J870" i="2"/>
  <c r="K870" i="2"/>
  <c r="L870" i="2" s="1"/>
  <c r="M870" i="2" s="1"/>
  <c r="H871" i="2"/>
  <c r="I871" i="2" s="1"/>
  <c r="J871" i="2"/>
  <c r="K871" i="2" s="1"/>
  <c r="L871" i="2"/>
  <c r="M871" i="2" s="1"/>
  <c r="H872" i="2"/>
  <c r="I872" i="2" s="1"/>
  <c r="J872" i="2"/>
  <c r="K872" i="2" s="1"/>
  <c r="L872" i="2" s="1"/>
  <c r="M872" i="2" s="1"/>
  <c r="H873" i="2"/>
  <c r="I873" i="2" s="1"/>
  <c r="J873" i="2"/>
  <c r="K873" i="2" s="1"/>
  <c r="L873" i="2" s="1"/>
  <c r="M873" i="2" s="1"/>
  <c r="H874" i="2"/>
  <c r="I874" i="2" s="1"/>
  <c r="J874" i="2"/>
  <c r="K874" i="2"/>
  <c r="L874" i="2" s="1"/>
  <c r="M874" i="2" s="1"/>
  <c r="H875" i="2"/>
  <c r="I875" i="2"/>
  <c r="J875" i="2"/>
  <c r="K875" i="2" s="1"/>
  <c r="L875" i="2" s="1"/>
  <c r="M875" i="2" s="1"/>
  <c r="H876" i="2"/>
  <c r="I876" i="2" s="1"/>
  <c r="J876" i="2"/>
  <c r="K876" i="2" s="1"/>
  <c r="L876" i="2" s="1"/>
  <c r="M876" i="2" s="1"/>
  <c r="H877" i="2"/>
  <c r="I877" i="2" s="1"/>
  <c r="J877" i="2"/>
  <c r="K877" i="2" s="1"/>
  <c r="L877" i="2"/>
  <c r="M877" i="2" s="1"/>
  <c r="H878" i="2"/>
  <c r="I878" i="2" s="1"/>
  <c r="J878" i="2"/>
  <c r="K878" i="2" s="1"/>
  <c r="L878" i="2" s="1"/>
  <c r="M878" i="2" s="1"/>
  <c r="H879" i="2"/>
  <c r="I879" i="2" s="1"/>
  <c r="J879" i="2"/>
  <c r="K879" i="2" s="1"/>
  <c r="L879" i="2" s="1"/>
  <c r="M879" i="2" s="1"/>
  <c r="H880" i="2"/>
  <c r="I880" i="2" s="1"/>
  <c r="J880" i="2"/>
  <c r="K880" i="2" s="1"/>
  <c r="L880" i="2" s="1"/>
  <c r="M880" i="2" s="1"/>
  <c r="H881" i="2"/>
  <c r="I881" i="2" s="1"/>
  <c r="J881" i="2"/>
  <c r="K881" i="2" s="1"/>
  <c r="L881" i="2"/>
  <c r="M881" i="2" s="1"/>
  <c r="H882" i="2"/>
  <c r="I882" i="2" s="1"/>
  <c r="J882" i="2"/>
  <c r="K882" i="2" s="1"/>
  <c r="L882" i="2" s="1"/>
  <c r="M882" i="2" s="1"/>
  <c r="H883" i="2"/>
  <c r="I883" i="2" s="1"/>
  <c r="J883" i="2"/>
  <c r="K883" i="2" s="1"/>
  <c r="L883" i="2" s="1"/>
  <c r="M883" i="2" s="1"/>
  <c r="H884" i="2"/>
  <c r="I884" i="2" s="1"/>
  <c r="J884" i="2"/>
  <c r="K884" i="2" s="1"/>
  <c r="L884" i="2" s="1"/>
  <c r="M884" i="2" s="1"/>
  <c r="H885" i="2"/>
  <c r="I885" i="2"/>
  <c r="J885" i="2"/>
  <c r="K885" i="2" s="1"/>
  <c r="L885" i="2" s="1"/>
  <c r="M885" i="2" s="1"/>
  <c r="H886" i="2"/>
  <c r="I886" i="2" s="1"/>
  <c r="J886" i="2"/>
  <c r="K886" i="2" s="1"/>
  <c r="L886" i="2" s="1"/>
  <c r="M886" i="2" s="1"/>
  <c r="H887" i="2"/>
  <c r="I887" i="2" s="1"/>
  <c r="J887" i="2"/>
  <c r="K887" i="2" s="1"/>
  <c r="L887" i="2" s="1"/>
  <c r="M887" i="2" s="1"/>
  <c r="H888" i="2"/>
  <c r="I888" i="2" s="1"/>
  <c r="J888" i="2"/>
  <c r="K888" i="2" s="1"/>
  <c r="L888" i="2" s="1"/>
  <c r="M888" i="2" s="1"/>
  <c r="H889" i="2"/>
  <c r="I889" i="2"/>
  <c r="J889" i="2"/>
  <c r="K889" i="2" s="1"/>
  <c r="L889" i="2" s="1"/>
  <c r="M889" i="2" s="1"/>
  <c r="H890" i="2"/>
  <c r="I890" i="2" s="1"/>
  <c r="J890" i="2"/>
  <c r="K890" i="2" s="1"/>
  <c r="L890" i="2" s="1"/>
  <c r="M890" i="2" s="1"/>
  <c r="H891" i="2"/>
  <c r="I891" i="2" s="1"/>
  <c r="J891" i="2"/>
  <c r="K891" i="2" s="1"/>
  <c r="L891" i="2" s="1"/>
  <c r="M891" i="2" s="1"/>
  <c r="H892" i="2"/>
  <c r="I892" i="2" s="1"/>
  <c r="J892" i="2"/>
  <c r="K892" i="2" s="1"/>
  <c r="L892" i="2"/>
  <c r="M892" i="2" s="1"/>
  <c r="H893" i="2"/>
  <c r="I893" i="2" s="1"/>
  <c r="J893" i="2"/>
  <c r="K893" i="2" s="1"/>
  <c r="L893" i="2" s="1"/>
  <c r="M893" i="2" s="1"/>
  <c r="H894" i="2"/>
  <c r="I894" i="2" s="1"/>
  <c r="J894" i="2"/>
  <c r="K894" i="2" s="1"/>
  <c r="L894" i="2" s="1"/>
  <c r="M894" i="2" s="1"/>
  <c r="H895" i="2"/>
  <c r="I895" i="2" s="1"/>
  <c r="J895" i="2"/>
  <c r="K895" i="2" s="1"/>
  <c r="L895" i="2" s="1"/>
  <c r="M895" i="2" s="1"/>
  <c r="H896" i="2"/>
  <c r="I896" i="2" s="1"/>
  <c r="J896" i="2"/>
  <c r="K896" i="2" s="1"/>
  <c r="L896" i="2" s="1"/>
  <c r="M896" i="2" s="1"/>
  <c r="H897" i="2"/>
  <c r="I897" i="2"/>
  <c r="J897" i="2"/>
  <c r="K897" i="2" s="1"/>
  <c r="L897" i="2"/>
  <c r="M897" i="2" s="1"/>
  <c r="H898" i="2"/>
  <c r="I898" i="2" s="1"/>
  <c r="J898" i="2"/>
  <c r="K898" i="2" s="1"/>
  <c r="L898" i="2" s="1"/>
  <c r="M898" i="2" s="1"/>
  <c r="H899" i="2"/>
  <c r="I899" i="2" s="1"/>
  <c r="J899" i="2"/>
  <c r="K899" i="2" s="1"/>
  <c r="L899" i="2" s="1"/>
  <c r="M899" i="2" s="1"/>
  <c r="H900" i="2"/>
  <c r="I900" i="2" s="1"/>
  <c r="J900" i="2"/>
  <c r="K900" i="2" s="1"/>
  <c r="L900" i="2" s="1"/>
  <c r="M900" i="2" s="1"/>
  <c r="H901" i="2"/>
  <c r="I901" i="2"/>
  <c r="J901" i="2"/>
  <c r="K901" i="2" s="1"/>
  <c r="L901" i="2"/>
  <c r="M901" i="2" s="1"/>
  <c r="H902" i="2"/>
  <c r="I902" i="2" s="1"/>
  <c r="J902" i="2"/>
  <c r="K902" i="2" s="1"/>
  <c r="L902" i="2" s="1"/>
  <c r="M902" i="2" s="1"/>
  <c r="H903" i="2"/>
  <c r="I903" i="2" s="1"/>
  <c r="J903" i="2"/>
  <c r="K903" i="2" s="1"/>
  <c r="L903" i="2" s="1"/>
  <c r="M903" i="2" s="1"/>
  <c r="H904" i="2"/>
  <c r="I904" i="2" s="1"/>
  <c r="J904" i="2"/>
  <c r="K904" i="2" s="1"/>
  <c r="L904" i="2" s="1"/>
  <c r="M904" i="2" s="1"/>
  <c r="H905" i="2"/>
  <c r="I905" i="2" s="1"/>
  <c r="J905" i="2"/>
  <c r="K905" i="2" s="1"/>
  <c r="L905" i="2" s="1"/>
  <c r="M905" i="2" s="1"/>
  <c r="H906" i="2"/>
  <c r="I906" i="2" s="1"/>
  <c r="J906" i="2"/>
  <c r="K906" i="2"/>
  <c r="L906" i="2" s="1"/>
  <c r="M906" i="2" s="1"/>
  <c r="H907" i="2"/>
  <c r="I907" i="2" s="1"/>
  <c r="J907" i="2"/>
  <c r="K907" i="2" s="1"/>
  <c r="L907" i="2" s="1"/>
  <c r="M907" i="2" s="1"/>
  <c r="H908" i="2"/>
  <c r="I908" i="2" s="1"/>
  <c r="J908" i="2"/>
  <c r="K908" i="2" s="1"/>
  <c r="L908" i="2" s="1"/>
  <c r="M908" i="2" s="1"/>
  <c r="H909" i="2"/>
  <c r="I909" i="2" s="1"/>
  <c r="J909" i="2"/>
  <c r="K909" i="2" s="1"/>
  <c r="L909" i="2"/>
  <c r="M909" i="2" s="1"/>
  <c r="H910" i="2"/>
  <c r="I910" i="2" s="1"/>
  <c r="J910" i="2"/>
  <c r="K910" i="2"/>
  <c r="L910" i="2" s="1"/>
  <c r="M910" i="2" s="1"/>
  <c r="H911" i="2"/>
  <c r="I911" i="2" s="1"/>
  <c r="J911" i="2"/>
  <c r="K911" i="2" s="1"/>
  <c r="L911" i="2" s="1"/>
  <c r="M911" i="2" s="1"/>
  <c r="H912" i="2"/>
  <c r="I912" i="2" s="1"/>
  <c r="J912" i="2"/>
  <c r="K912" i="2" s="1"/>
  <c r="L912" i="2" s="1"/>
  <c r="M912" i="2" s="1"/>
  <c r="H913" i="2"/>
  <c r="I913" i="2" s="1"/>
  <c r="J913" i="2"/>
  <c r="K913" i="2" s="1"/>
  <c r="L913" i="2" s="1"/>
  <c r="M913" i="2" s="1"/>
  <c r="H914" i="2"/>
  <c r="I914" i="2" s="1"/>
  <c r="J914" i="2"/>
  <c r="K914" i="2" s="1"/>
  <c r="L914" i="2" s="1"/>
  <c r="M914" i="2" s="1"/>
  <c r="H915" i="2"/>
  <c r="I915" i="2" s="1"/>
  <c r="J915" i="2"/>
  <c r="K915" i="2" s="1"/>
  <c r="L915" i="2" s="1"/>
  <c r="M915" i="2" s="1"/>
  <c r="H916" i="2"/>
  <c r="I916" i="2" s="1"/>
  <c r="J916" i="2"/>
  <c r="K916" i="2" s="1"/>
  <c r="L916" i="2" s="1"/>
  <c r="M916" i="2" s="1"/>
  <c r="H917" i="2"/>
  <c r="I917" i="2"/>
  <c r="J917" i="2"/>
  <c r="K917" i="2" s="1"/>
  <c r="L917" i="2" s="1"/>
  <c r="M917" i="2" s="1"/>
  <c r="H918" i="2"/>
  <c r="I918" i="2" s="1"/>
  <c r="J918" i="2"/>
  <c r="K918" i="2" s="1"/>
  <c r="L918" i="2" s="1"/>
  <c r="M918" i="2" s="1"/>
  <c r="H919" i="2"/>
  <c r="I919" i="2" s="1"/>
  <c r="J919" i="2"/>
  <c r="K919" i="2" s="1"/>
  <c r="L919" i="2"/>
  <c r="M919" i="2" s="1"/>
  <c r="H920" i="2"/>
  <c r="I920" i="2" s="1"/>
  <c r="J920" i="2"/>
  <c r="K920" i="2" s="1"/>
  <c r="L920" i="2"/>
  <c r="M920" i="2" s="1"/>
  <c r="H921" i="2"/>
  <c r="I921" i="2" s="1"/>
  <c r="J921" i="2"/>
  <c r="K921" i="2" s="1"/>
  <c r="L921" i="2" s="1"/>
  <c r="M921" i="2" s="1"/>
  <c r="H922" i="2"/>
  <c r="I922" i="2" s="1"/>
  <c r="J922" i="2"/>
  <c r="K922" i="2"/>
  <c r="L922" i="2" s="1"/>
  <c r="M922" i="2" s="1"/>
  <c r="H923" i="2"/>
  <c r="I923" i="2"/>
  <c r="J923" i="2"/>
  <c r="K923" i="2" s="1"/>
  <c r="L923" i="2" s="1"/>
  <c r="M923" i="2" s="1"/>
  <c r="H924" i="2"/>
  <c r="I924" i="2" s="1"/>
  <c r="J924" i="2"/>
  <c r="K924" i="2" s="1"/>
  <c r="L924" i="2" s="1"/>
  <c r="M924" i="2" s="1"/>
  <c r="H925" i="2"/>
  <c r="I925" i="2" s="1"/>
  <c r="J925" i="2"/>
  <c r="K925" i="2" s="1"/>
  <c r="L925" i="2" s="1"/>
  <c r="M925" i="2" s="1"/>
  <c r="H926" i="2"/>
  <c r="I926" i="2" s="1"/>
  <c r="J926" i="2"/>
  <c r="K926" i="2" s="1"/>
  <c r="L926" i="2" s="1"/>
  <c r="M926" i="2" s="1"/>
  <c r="H927" i="2"/>
  <c r="I927" i="2" s="1"/>
  <c r="J927" i="2"/>
  <c r="K927" i="2" s="1"/>
  <c r="L927" i="2" s="1"/>
  <c r="M927" i="2" s="1"/>
  <c r="H928" i="2"/>
  <c r="I928" i="2" s="1"/>
  <c r="J928" i="2"/>
  <c r="K928" i="2" s="1"/>
  <c r="L928" i="2" s="1"/>
  <c r="M928" i="2" s="1"/>
  <c r="H929" i="2"/>
  <c r="I929" i="2"/>
  <c r="J929" i="2"/>
  <c r="K929" i="2" s="1"/>
  <c r="L929" i="2" s="1"/>
  <c r="M929" i="2" s="1"/>
  <c r="H930" i="2"/>
  <c r="I930" i="2" s="1"/>
  <c r="J930" i="2"/>
  <c r="K930" i="2" s="1"/>
  <c r="L930" i="2" s="1"/>
  <c r="M930" i="2" s="1"/>
  <c r="H931" i="2"/>
  <c r="I931" i="2" s="1"/>
  <c r="J931" i="2"/>
  <c r="K931" i="2" s="1"/>
  <c r="L931" i="2" s="1"/>
  <c r="M931" i="2" s="1"/>
  <c r="H932" i="2"/>
  <c r="I932" i="2" s="1"/>
  <c r="J932" i="2"/>
  <c r="K932" i="2" s="1"/>
  <c r="L932" i="2" s="1"/>
  <c r="M932" i="2" s="1"/>
  <c r="H933" i="2"/>
  <c r="I933" i="2" s="1"/>
  <c r="J933" i="2"/>
  <c r="K933" i="2" s="1"/>
  <c r="L933" i="2"/>
  <c r="M933" i="2" s="1"/>
  <c r="H934" i="2"/>
  <c r="I934" i="2" s="1"/>
  <c r="J934" i="2"/>
  <c r="K934" i="2" s="1"/>
  <c r="L934" i="2" s="1"/>
  <c r="M934" i="2" s="1"/>
  <c r="H935" i="2"/>
  <c r="I935" i="2" s="1"/>
  <c r="J935" i="2"/>
  <c r="K935" i="2" s="1"/>
  <c r="L935" i="2"/>
  <c r="M935" i="2" s="1"/>
  <c r="H936" i="2"/>
  <c r="I936" i="2" s="1"/>
  <c r="J936" i="2"/>
  <c r="K936" i="2" s="1"/>
  <c r="L936" i="2" s="1"/>
  <c r="M936" i="2" s="1"/>
  <c r="H937" i="2"/>
  <c r="I937" i="2" s="1"/>
  <c r="J937" i="2"/>
  <c r="K937" i="2" s="1"/>
  <c r="L937" i="2" s="1"/>
  <c r="M937" i="2" s="1"/>
  <c r="H938" i="2"/>
  <c r="I938" i="2" s="1"/>
  <c r="J938" i="2"/>
  <c r="K938" i="2"/>
  <c r="L938" i="2" s="1"/>
  <c r="M938" i="2" s="1"/>
  <c r="H939" i="2"/>
  <c r="I939" i="2" s="1"/>
  <c r="J939" i="2"/>
  <c r="K939" i="2" s="1"/>
  <c r="L939" i="2" s="1"/>
  <c r="M939" i="2"/>
  <c r="H940" i="2"/>
  <c r="I940" i="2" s="1"/>
  <c r="J940" i="2"/>
  <c r="K940" i="2" s="1"/>
  <c r="L940" i="2"/>
  <c r="M940" i="2" s="1"/>
  <c r="H941" i="2"/>
  <c r="I941" i="2" s="1"/>
  <c r="J941" i="2"/>
  <c r="K941" i="2" s="1"/>
  <c r="L941" i="2"/>
  <c r="M941" i="2" s="1"/>
  <c r="H942" i="2"/>
  <c r="I942" i="2" s="1"/>
  <c r="J942" i="2"/>
  <c r="K942" i="2" s="1"/>
  <c r="L942" i="2" s="1"/>
  <c r="M942" i="2" s="1"/>
  <c r="H943" i="2"/>
  <c r="I943" i="2" s="1"/>
  <c r="J943" i="2"/>
  <c r="K943" i="2" s="1"/>
  <c r="L943" i="2" s="1"/>
  <c r="M943" i="2"/>
  <c r="H944" i="2"/>
  <c r="I944" i="2" s="1"/>
  <c r="J944" i="2"/>
  <c r="K944" i="2"/>
  <c r="L944" i="2" s="1"/>
  <c r="M944" i="2" s="1"/>
  <c r="H945" i="2"/>
  <c r="I945" i="2" s="1"/>
  <c r="J945" i="2"/>
  <c r="K945" i="2" s="1"/>
  <c r="L945" i="2" s="1"/>
  <c r="M945" i="2" s="1"/>
  <c r="H946" i="2"/>
  <c r="I946" i="2" s="1"/>
  <c r="J946" i="2"/>
  <c r="K946" i="2" s="1"/>
  <c r="L946" i="2" s="1"/>
  <c r="M946" i="2" s="1"/>
  <c r="H947" i="2"/>
  <c r="I947" i="2" s="1"/>
  <c r="J947" i="2"/>
  <c r="K947" i="2" s="1"/>
  <c r="L947" i="2" s="1"/>
  <c r="M947" i="2" s="1"/>
  <c r="H948" i="2"/>
  <c r="I948" i="2" s="1"/>
  <c r="J948" i="2"/>
  <c r="K948" i="2" s="1"/>
  <c r="L948" i="2" s="1"/>
  <c r="M948" i="2" s="1"/>
  <c r="H949" i="2"/>
  <c r="I949" i="2" s="1"/>
  <c r="J949" i="2"/>
  <c r="K949" i="2" s="1"/>
  <c r="L949" i="2"/>
  <c r="M949" i="2" s="1"/>
  <c r="H950" i="2"/>
  <c r="I950" i="2" s="1"/>
  <c r="J950" i="2"/>
  <c r="K950" i="2" s="1"/>
  <c r="L950" i="2" s="1"/>
  <c r="M950" i="2" s="1"/>
  <c r="H951" i="2"/>
  <c r="I951" i="2" s="1"/>
  <c r="J951" i="2"/>
  <c r="K951" i="2" s="1"/>
  <c r="L951" i="2" s="1"/>
  <c r="M951" i="2" s="1"/>
  <c r="H952" i="2"/>
  <c r="I952" i="2" s="1"/>
  <c r="J952" i="2"/>
  <c r="K952" i="2" s="1"/>
  <c r="L952" i="2" s="1"/>
  <c r="M952" i="2" s="1"/>
  <c r="H953" i="2"/>
  <c r="I953" i="2" s="1"/>
  <c r="J953" i="2"/>
  <c r="K953" i="2" s="1"/>
  <c r="L953" i="2" s="1"/>
  <c r="M953" i="2" s="1"/>
  <c r="H954" i="2"/>
  <c r="I954" i="2" s="1"/>
  <c r="J954" i="2"/>
  <c r="K954" i="2" s="1"/>
  <c r="L954" i="2"/>
  <c r="M954" i="2" s="1"/>
  <c r="H955" i="2"/>
  <c r="I955" i="2" s="1"/>
  <c r="J955" i="2"/>
  <c r="K955" i="2"/>
  <c r="L955" i="2" s="1"/>
  <c r="M955" i="2" s="1"/>
  <c r="H956" i="2"/>
  <c r="I956" i="2" s="1"/>
  <c r="J956" i="2"/>
  <c r="K956" i="2"/>
  <c r="L956" i="2" s="1"/>
  <c r="M956" i="2" s="1"/>
  <c r="H957" i="2"/>
  <c r="I957" i="2" s="1"/>
  <c r="J957" i="2"/>
  <c r="K957" i="2" s="1"/>
  <c r="L957" i="2" s="1"/>
  <c r="M957" i="2"/>
  <c r="H958" i="2"/>
  <c r="I958" i="2" s="1"/>
  <c r="J958" i="2"/>
  <c r="K958" i="2" s="1"/>
  <c r="L958" i="2" s="1"/>
  <c r="M958" i="2" s="1"/>
  <c r="H959" i="2"/>
  <c r="I959" i="2" s="1"/>
  <c r="J959" i="2"/>
  <c r="K959" i="2" s="1"/>
  <c r="L959" i="2" s="1"/>
  <c r="M959" i="2" s="1"/>
  <c r="H960" i="2"/>
  <c r="I960" i="2" s="1"/>
  <c r="J960" i="2"/>
  <c r="K960" i="2" s="1"/>
  <c r="L960" i="2" s="1"/>
  <c r="M960" i="2" s="1"/>
  <c r="H961" i="2"/>
  <c r="I961" i="2" s="1"/>
  <c r="J961" i="2"/>
  <c r="K961" i="2" s="1"/>
  <c r="L961" i="2" s="1"/>
  <c r="M961" i="2" s="1"/>
  <c r="H962" i="2"/>
  <c r="I962" i="2" s="1"/>
  <c r="J962" i="2"/>
  <c r="K962" i="2"/>
  <c r="L962" i="2" s="1"/>
  <c r="M962" i="2" s="1"/>
  <c r="H963" i="2"/>
  <c r="I963" i="2" s="1"/>
  <c r="J963" i="2"/>
  <c r="K963" i="2" s="1"/>
  <c r="L963" i="2" s="1"/>
  <c r="M963" i="2" s="1"/>
  <c r="H964" i="2"/>
  <c r="I964" i="2" s="1"/>
  <c r="J964" i="2"/>
  <c r="K964" i="2" s="1"/>
  <c r="L964" i="2"/>
  <c r="M964" i="2" s="1"/>
  <c r="H965" i="2"/>
  <c r="I965" i="2" s="1"/>
  <c r="J965" i="2"/>
  <c r="K965" i="2" s="1"/>
  <c r="L965" i="2"/>
  <c r="M965" i="2" s="1"/>
  <c r="H966" i="2"/>
  <c r="I966" i="2" s="1"/>
  <c r="J966" i="2"/>
  <c r="K966" i="2" s="1"/>
  <c r="L966" i="2" s="1"/>
  <c r="M966" i="2" s="1"/>
  <c r="H967" i="2"/>
  <c r="I967" i="2"/>
  <c r="J967" i="2"/>
  <c r="K967" i="2" s="1"/>
  <c r="L967" i="2"/>
  <c r="M967" i="2" s="1"/>
  <c r="H968" i="2"/>
  <c r="I968" i="2" s="1"/>
  <c r="J968" i="2"/>
  <c r="K968" i="2"/>
  <c r="L968" i="2" s="1"/>
  <c r="M968" i="2" s="1"/>
  <c r="H969" i="2"/>
  <c r="I969" i="2"/>
  <c r="J969" i="2"/>
  <c r="K969" i="2" s="1"/>
  <c r="L969" i="2" s="1"/>
  <c r="M969" i="2" s="1"/>
  <c r="H970" i="2"/>
  <c r="I970" i="2" s="1"/>
  <c r="J970" i="2"/>
  <c r="K970" i="2" s="1"/>
  <c r="L970" i="2" s="1"/>
  <c r="M970" i="2" s="1"/>
  <c r="H971" i="2"/>
  <c r="I971" i="2" s="1"/>
  <c r="J971" i="2"/>
  <c r="K971" i="2"/>
  <c r="L971" i="2" s="1"/>
  <c r="M971" i="2" s="1"/>
  <c r="H972" i="2"/>
  <c r="I972" i="2" s="1"/>
  <c r="J972" i="2"/>
  <c r="K972" i="2" s="1"/>
  <c r="L972" i="2" s="1"/>
  <c r="M972" i="2" s="1"/>
  <c r="H973" i="2"/>
  <c r="I973" i="2" s="1"/>
  <c r="J973" i="2"/>
  <c r="K973" i="2" s="1"/>
  <c r="L973" i="2" s="1"/>
  <c r="M973" i="2" s="1"/>
  <c r="H974" i="2"/>
  <c r="I974" i="2"/>
  <c r="J974" i="2"/>
  <c r="K974" i="2"/>
  <c r="L974" i="2" s="1"/>
  <c r="M974" i="2" s="1"/>
  <c r="H975" i="2"/>
  <c r="I975" i="2" s="1"/>
  <c r="J975" i="2"/>
  <c r="K975" i="2" s="1"/>
  <c r="L975" i="2" s="1"/>
  <c r="M975" i="2" s="1"/>
  <c r="H976" i="2"/>
  <c r="I976" i="2" s="1"/>
  <c r="J976" i="2"/>
  <c r="K976" i="2" s="1"/>
  <c r="L976" i="2" s="1"/>
  <c r="M976" i="2" s="1"/>
  <c r="H977" i="2"/>
  <c r="I977" i="2" s="1"/>
  <c r="J977" i="2"/>
  <c r="K977" i="2" s="1"/>
  <c r="L977" i="2"/>
  <c r="M977" i="2" s="1"/>
  <c r="H978" i="2"/>
  <c r="I978" i="2" s="1"/>
  <c r="J978" i="2"/>
  <c r="K978" i="2" s="1"/>
  <c r="L978" i="2" s="1"/>
  <c r="M978" i="2" s="1"/>
  <c r="H979" i="2"/>
  <c r="I979" i="2" s="1"/>
  <c r="J979" i="2"/>
  <c r="K979" i="2" s="1"/>
  <c r="L979" i="2" s="1"/>
  <c r="M979" i="2" s="1"/>
  <c r="H980" i="2"/>
  <c r="I980" i="2" s="1"/>
  <c r="J980" i="2"/>
  <c r="K980" i="2" s="1"/>
  <c r="L980" i="2" s="1"/>
  <c r="M980" i="2" s="1"/>
  <c r="H981" i="2"/>
  <c r="I981" i="2" s="1"/>
  <c r="J981" i="2"/>
  <c r="K981" i="2" s="1"/>
  <c r="L981" i="2" s="1"/>
  <c r="M981" i="2"/>
  <c r="H982" i="2"/>
  <c r="I982" i="2"/>
  <c r="J982" i="2"/>
  <c r="K982" i="2" s="1"/>
  <c r="L982" i="2" s="1"/>
  <c r="M982" i="2" s="1"/>
  <c r="H983" i="2"/>
  <c r="I983" i="2" s="1"/>
  <c r="J983" i="2"/>
  <c r="K983" i="2" s="1"/>
  <c r="L983" i="2" s="1"/>
  <c r="M983" i="2" s="1"/>
  <c r="H984" i="2"/>
  <c r="I984" i="2" s="1"/>
  <c r="J984" i="2"/>
  <c r="K984" i="2"/>
  <c r="L984" i="2" s="1"/>
  <c r="M984" i="2" s="1"/>
  <c r="H985" i="2"/>
  <c r="I985" i="2"/>
  <c r="J985" i="2"/>
  <c r="K985" i="2" s="1"/>
  <c r="L985" i="2" s="1"/>
  <c r="M985" i="2" s="1"/>
  <c r="H986" i="2"/>
  <c r="I986" i="2" s="1"/>
  <c r="J986" i="2"/>
  <c r="K986" i="2" s="1"/>
  <c r="L986" i="2"/>
  <c r="M986" i="2" s="1"/>
  <c r="H987" i="2"/>
  <c r="I987" i="2" s="1"/>
  <c r="J987" i="2"/>
  <c r="K987" i="2" s="1"/>
  <c r="L987" i="2" s="1"/>
  <c r="M987" i="2" s="1"/>
  <c r="H988" i="2"/>
  <c r="I988" i="2" s="1"/>
  <c r="J988" i="2"/>
  <c r="K988" i="2"/>
  <c r="L988" i="2" s="1"/>
  <c r="M988" i="2" s="1"/>
  <c r="H989" i="2"/>
  <c r="I989" i="2" s="1"/>
  <c r="J989" i="2"/>
  <c r="K989" i="2" s="1"/>
  <c r="L989" i="2" s="1"/>
  <c r="M989" i="2" s="1"/>
  <c r="H990" i="2"/>
  <c r="I990" i="2" s="1"/>
  <c r="J990" i="2"/>
  <c r="K990" i="2" s="1"/>
  <c r="L990" i="2" s="1"/>
  <c r="M990" i="2" s="1"/>
  <c r="H991" i="2"/>
  <c r="I991" i="2" s="1"/>
  <c r="J991" i="2"/>
  <c r="K991" i="2"/>
  <c r="L991" i="2" s="1"/>
  <c r="M991" i="2" s="1"/>
  <c r="H992" i="2"/>
  <c r="I992" i="2" s="1"/>
  <c r="J992" i="2"/>
  <c r="K992" i="2"/>
  <c r="L992" i="2" s="1"/>
  <c r="M992" i="2" s="1"/>
  <c r="H993" i="2"/>
  <c r="I993" i="2"/>
  <c r="J993" i="2"/>
  <c r="K993" i="2" s="1"/>
  <c r="L993" i="2"/>
  <c r="M993" i="2" s="1"/>
  <c r="H994" i="2"/>
  <c r="I994" i="2" s="1"/>
  <c r="J994" i="2"/>
  <c r="K994" i="2"/>
  <c r="L994" i="2" s="1"/>
  <c r="M994" i="2" s="1"/>
  <c r="H995" i="2"/>
  <c r="I995" i="2"/>
  <c r="J995" i="2"/>
  <c r="K995" i="2"/>
  <c r="L995" i="2" s="1"/>
  <c r="M995" i="2" s="1"/>
  <c r="H996" i="2"/>
  <c r="I996" i="2" s="1"/>
  <c r="J996" i="2"/>
  <c r="K996" i="2" s="1"/>
  <c r="L996" i="2" s="1"/>
  <c r="M996" i="2" s="1"/>
  <c r="H997" i="2"/>
  <c r="I997" i="2" s="1"/>
  <c r="J997" i="2"/>
  <c r="K997" i="2" s="1"/>
  <c r="L997" i="2"/>
  <c r="M997" i="2" s="1"/>
  <c r="H998" i="2"/>
  <c r="I998" i="2"/>
  <c r="J998" i="2"/>
  <c r="K998" i="2" s="1"/>
  <c r="L998" i="2" s="1"/>
  <c r="M998" i="2" s="1"/>
  <c r="H999" i="2"/>
  <c r="I999" i="2" s="1"/>
  <c r="J999" i="2"/>
  <c r="K999" i="2" s="1"/>
  <c r="L999" i="2" s="1"/>
  <c r="M999" i="2" s="1"/>
  <c r="H1000" i="2"/>
  <c r="I1000" i="2" s="1"/>
  <c r="J1000" i="2"/>
  <c r="K1000" i="2"/>
  <c r="L1000" i="2" s="1"/>
  <c r="M1000" i="2" s="1"/>
  <c r="H1001" i="2"/>
  <c r="I1001" i="2" s="1"/>
  <c r="J1001" i="2"/>
  <c r="K1001" i="2" s="1"/>
  <c r="L1001" i="2" s="1"/>
  <c r="M1001" i="2" s="1"/>
  <c r="H1002" i="2"/>
  <c r="I1002" i="2"/>
  <c r="J1002" i="2"/>
  <c r="K1002" i="2" s="1"/>
  <c r="L1002" i="2" s="1"/>
  <c r="M1002" i="2" s="1"/>
  <c r="H1003" i="2"/>
  <c r="I1003" i="2" s="1"/>
  <c r="J1003" i="2"/>
  <c r="K1003" i="2"/>
  <c r="L1003" i="2" s="1"/>
  <c r="M1003" i="2" s="1"/>
  <c r="H1004" i="2"/>
  <c r="I1004" i="2" s="1"/>
  <c r="J1004" i="2"/>
  <c r="K1004" i="2" s="1"/>
  <c r="L1004" i="2"/>
  <c r="M1004" i="2" s="1"/>
  <c r="H1005" i="2"/>
  <c r="I1005" i="2" s="1"/>
  <c r="J1005" i="2"/>
  <c r="K1005" i="2" s="1"/>
  <c r="L1005" i="2" s="1"/>
  <c r="M1005" i="2" s="1"/>
  <c r="H1006" i="2"/>
  <c r="I1006" i="2" s="1"/>
  <c r="J1006" i="2"/>
  <c r="K1006" i="2" s="1"/>
  <c r="L1006" i="2" s="1"/>
  <c r="M1006" i="2" s="1"/>
  <c r="H1007" i="2"/>
  <c r="I1007" i="2" s="1"/>
  <c r="J1007" i="2"/>
  <c r="K1007" i="2" s="1"/>
  <c r="L1007" i="2" s="1"/>
  <c r="M1007" i="2" s="1"/>
  <c r="H1008" i="2"/>
  <c r="I1008" i="2" s="1"/>
  <c r="J1008" i="2"/>
  <c r="K1008" i="2" s="1"/>
  <c r="L1008" i="2" s="1"/>
  <c r="M1008" i="2" s="1"/>
  <c r="H1009" i="2"/>
  <c r="I1009" i="2"/>
  <c r="J1009" i="2"/>
  <c r="K1009" i="2" s="1"/>
  <c r="L1009" i="2" s="1"/>
  <c r="M1009" i="2" s="1"/>
  <c r="H1010" i="2"/>
  <c r="I1010" i="2" s="1"/>
  <c r="J1010" i="2"/>
  <c r="K1010" i="2" s="1"/>
  <c r="L1010" i="2" s="1"/>
  <c r="M1010" i="2" s="1"/>
  <c r="H1011" i="2"/>
  <c r="I1011" i="2"/>
  <c r="J1011" i="2"/>
  <c r="K1011" i="2" s="1"/>
  <c r="L1011" i="2" s="1"/>
  <c r="M1011" i="2" s="1"/>
  <c r="H1012" i="2"/>
  <c r="I1012" i="2" s="1"/>
  <c r="J1012" i="2"/>
  <c r="K1012" i="2" s="1"/>
  <c r="L1012" i="2" s="1"/>
  <c r="M1012" i="2" s="1"/>
  <c r="H1013" i="2"/>
  <c r="I1013" i="2" s="1"/>
  <c r="J1013" i="2"/>
  <c r="K1013" i="2" s="1"/>
  <c r="L1013" i="2" s="1"/>
  <c r="M1013" i="2" s="1"/>
  <c r="H1014" i="2"/>
  <c r="I1014" i="2" s="1"/>
  <c r="J1014" i="2"/>
  <c r="K1014" i="2"/>
  <c r="L1014" i="2" s="1"/>
  <c r="M1014" i="2" s="1"/>
  <c r="H1015" i="2"/>
  <c r="I1015" i="2" s="1"/>
  <c r="J1015" i="2"/>
  <c r="K1015" i="2" s="1"/>
  <c r="L1015" i="2" s="1"/>
  <c r="M1015" i="2" s="1"/>
  <c r="H1016" i="2"/>
  <c r="I1016" i="2" s="1"/>
  <c r="J1016" i="2"/>
  <c r="K1016" i="2" s="1"/>
  <c r="L1016" i="2" s="1"/>
  <c r="M1016" i="2" s="1"/>
  <c r="H1017" i="2"/>
  <c r="I1017" i="2" s="1"/>
  <c r="J1017" i="2"/>
  <c r="K1017" i="2" s="1"/>
  <c r="L1017" i="2" s="1"/>
  <c r="M1017" i="2" s="1"/>
  <c r="H1018" i="2"/>
  <c r="I1018" i="2" s="1"/>
  <c r="J1018" i="2"/>
  <c r="K1018" i="2" s="1"/>
  <c r="L1018" i="2" s="1"/>
  <c r="M1018" i="2" s="1"/>
  <c r="H1019" i="2"/>
  <c r="I1019" i="2" s="1"/>
  <c r="J1019" i="2"/>
  <c r="K1019" i="2"/>
  <c r="L1019" i="2" s="1"/>
  <c r="M1019" i="2" s="1"/>
  <c r="H1020" i="2"/>
  <c r="I1020" i="2" s="1"/>
  <c r="J1020" i="2"/>
  <c r="K1020" i="2" s="1"/>
  <c r="L1020" i="2" s="1"/>
  <c r="M1020" i="2" s="1"/>
  <c r="H1021" i="2"/>
  <c r="I1021" i="2" s="1"/>
  <c r="J1021" i="2"/>
  <c r="K1021" i="2" s="1"/>
  <c r="L1021" i="2" s="1"/>
  <c r="M1021" i="2"/>
  <c r="H1022" i="2"/>
  <c r="I1022" i="2" s="1"/>
  <c r="J1022" i="2"/>
  <c r="K1022" i="2" s="1"/>
  <c r="L1022" i="2" s="1"/>
  <c r="M1022" i="2" s="1"/>
  <c r="H1023" i="2"/>
  <c r="I1023" i="2" s="1"/>
  <c r="J1023" i="2"/>
  <c r="K1023" i="2" s="1"/>
  <c r="L1023" i="2" s="1"/>
  <c r="M1023" i="2" s="1"/>
  <c r="H1024" i="2"/>
  <c r="I1024" i="2" s="1"/>
  <c r="J1024" i="2"/>
  <c r="K1024" i="2" s="1"/>
  <c r="L1024" i="2" s="1"/>
  <c r="M1024" i="2" s="1"/>
  <c r="H1025" i="2"/>
  <c r="I1025" i="2"/>
  <c r="J1025" i="2"/>
  <c r="K1025" i="2" s="1"/>
  <c r="L1025" i="2"/>
  <c r="M1025" i="2" s="1"/>
  <c r="H1026" i="2"/>
  <c r="I1026" i="2" s="1"/>
  <c r="J1026" i="2"/>
  <c r="K1026" i="2" s="1"/>
  <c r="L1026" i="2" s="1"/>
  <c r="M1026" i="2" s="1"/>
  <c r="H1027" i="2"/>
  <c r="I1027" i="2" s="1"/>
  <c r="J1027" i="2"/>
  <c r="K1027" i="2"/>
  <c r="L1027" i="2" s="1"/>
  <c r="M1027" i="2" s="1"/>
  <c r="H1028" i="2"/>
  <c r="I1028" i="2" s="1"/>
  <c r="J1028" i="2"/>
  <c r="K1028" i="2" s="1"/>
  <c r="L1028" i="2" s="1"/>
  <c r="M1028" i="2" s="1"/>
  <c r="H1029" i="2"/>
  <c r="I1029" i="2" s="1"/>
  <c r="J1029" i="2"/>
  <c r="K1029" i="2" s="1"/>
  <c r="L1029" i="2" s="1"/>
  <c r="M1029" i="2" s="1"/>
  <c r="H1030" i="2"/>
  <c r="I1030" i="2" s="1"/>
  <c r="J1030" i="2"/>
  <c r="K1030" i="2" s="1"/>
  <c r="L1030" i="2" s="1"/>
  <c r="M1030" i="2" s="1"/>
  <c r="H1031" i="2"/>
  <c r="I1031" i="2" s="1"/>
  <c r="J1031" i="2"/>
  <c r="K1031" i="2" s="1"/>
  <c r="L1031" i="2" s="1"/>
  <c r="M1031" i="2" s="1"/>
  <c r="H1032" i="2"/>
  <c r="I1032" i="2" s="1"/>
  <c r="J1032" i="2"/>
  <c r="K1032" i="2" s="1"/>
  <c r="L1032" i="2" s="1"/>
  <c r="M1032" i="2" s="1"/>
  <c r="H1033" i="2"/>
  <c r="I1033" i="2" s="1"/>
  <c r="J1033" i="2"/>
  <c r="K1033" i="2" s="1"/>
  <c r="L1033" i="2" s="1"/>
  <c r="M1033" i="2" s="1"/>
  <c r="H1034" i="2"/>
  <c r="I1034" i="2" s="1"/>
  <c r="J1034" i="2"/>
  <c r="K1034" i="2" s="1"/>
  <c r="L1034" i="2" s="1"/>
  <c r="M1034" i="2" s="1"/>
  <c r="H1035" i="2"/>
  <c r="I1035" i="2"/>
  <c r="J1035" i="2"/>
  <c r="K1035" i="2" s="1"/>
  <c r="L1035" i="2" s="1"/>
  <c r="M1035" i="2" s="1"/>
  <c r="H1036" i="2"/>
  <c r="I1036" i="2" s="1"/>
  <c r="J1036" i="2"/>
  <c r="K1036" i="2" s="1"/>
  <c r="L1036" i="2" s="1"/>
  <c r="M1036" i="2" s="1"/>
  <c r="H1037" i="2"/>
  <c r="I1037" i="2"/>
  <c r="J1037" i="2"/>
  <c r="K1037" i="2" s="1"/>
  <c r="L1037" i="2" s="1"/>
  <c r="M1037" i="2" s="1"/>
  <c r="H1038" i="2"/>
  <c r="I1038" i="2" s="1"/>
  <c r="J1038" i="2"/>
  <c r="K1038" i="2" s="1"/>
  <c r="L1038" i="2" s="1"/>
  <c r="M1038" i="2" s="1"/>
  <c r="H1039" i="2"/>
  <c r="I1039" i="2" s="1"/>
  <c r="J1039" i="2"/>
  <c r="K1039" i="2" s="1"/>
  <c r="L1039" i="2" s="1"/>
  <c r="M1039" i="2" s="1"/>
  <c r="H1040" i="2"/>
  <c r="I1040" i="2" s="1"/>
  <c r="J1040" i="2"/>
  <c r="K1040" i="2" s="1"/>
  <c r="L1040" i="2" s="1"/>
  <c r="M1040" i="2" s="1"/>
  <c r="H1041" i="2"/>
  <c r="I1041" i="2" s="1"/>
  <c r="J1041" i="2"/>
  <c r="K1041" i="2" s="1"/>
  <c r="L1041" i="2" s="1"/>
  <c r="M1041" i="2" s="1"/>
  <c r="H1042" i="2"/>
  <c r="I1042" i="2" s="1"/>
  <c r="J1042" i="2"/>
  <c r="K1042" i="2" s="1"/>
  <c r="L1042" i="2" s="1"/>
  <c r="M1042" i="2" s="1"/>
  <c r="H1043" i="2"/>
  <c r="I1043" i="2" s="1"/>
  <c r="J1043" i="2"/>
  <c r="K1043" i="2" s="1"/>
  <c r="L1043" i="2" s="1"/>
  <c r="M1043" i="2" s="1"/>
  <c r="H1044" i="2"/>
  <c r="I1044" i="2" s="1"/>
  <c r="J1044" i="2"/>
  <c r="K1044" i="2"/>
  <c r="L1044" i="2" s="1"/>
  <c r="M1044" i="2" s="1"/>
  <c r="H1045" i="2"/>
  <c r="I1045" i="2" s="1"/>
  <c r="J1045" i="2"/>
  <c r="K1045" i="2" s="1"/>
  <c r="L1045" i="2" s="1"/>
  <c r="M1045" i="2" s="1"/>
  <c r="H1046" i="2"/>
  <c r="I1046" i="2" s="1"/>
  <c r="J1046" i="2"/>
  <c r="K1046" i="2" s="1"/>
  <c r="L1046" i="2" s="1"/>
  <c r="M1046" i="2" s="1"/>
  <c r="H1047" i="2"/>
  <c r="I1047" i="2" s="1"/>
  <c r="J1047" i="2"/>
  <c r="K1047" i="2"/>
  <c r="L1047" i="2" s="1"/>
  <c r="M1047" i="2" s="1"/>
  <c r="H1048" i="2"/>
  <c r="I1048" i="2" s="1"/>
  <c r="J1048" i="2"/>
  <c r="K1048" i="2" s="1"/>
  <c r="L1048" i="2" s="1"/>
  <c r="M1048" i="2" s="1"/>
  <c r="H1049" i="2"/>
  <c r="I1049" i="2" s="1"/>
  <c r="J1049" i="2"/>
  <c r="K1049" i="2" s="1"/>
  <c r="L1049" i="2" s="1"/>
  <c r="M1049" i="2" s="1"/>
  <c r="H1050" i="2"/>
  <c r="I1050" i="2" s="1"/>
  <c r="J1050" i="2"/>
  <c r="K1050" i="2" s="1"/>
  <c r="L1050" i="2" s="1"/>
  <c r="M1050" i="2" s="1"/>
  <c r="H1051" i="2"/>
  <c r="I1051" i="2" s="1"/>
  <c r="J1051" i="2"/>
  <c r="K1051" i="2" s="1"/>
  <c r="L1051" i="2" s="1"/>
  <c r="M1051" i="2" s="1"/>
  <c r="H1052" i="2"/>
  <c r="I1052" i="2" s="1"/>
  <c r="J1052" i="2"/>
  <c r="K1052" i="2" s="1"/>
  <c r="L1052" i="2" s="1"/>
  <c r="M1052" i="2" s="1"/>
  <c r="H1053" i="2"/>
  <c r="I1053" i="2" s="1"/>
  <c r="J1053" i="2"/>
  <c r="K1053" i="2" s="1"/>
  <c r="L1053" i="2" s="1"/>
  <c r="M1053" i="2" s="1"/>
  <c r="H1054" i="2"/>
  <c r="I1054" i="2" s="1"/>
  <c r="J1054" i="2"/>
  <c r="K1054" i="2" s="1"/>
  <c r="L1054" i="2" s="1"/>
  <c r="M1054" i="2" s="1"/>
  <c r="H1055" i="2"/>
  <c r="I1055" i="2"/>
  <c r="J1055" i="2"/>
  <c r="K1055" i="2" s="1"/>
  <c r="L1055" i="2" s="1"/>
  <c r="M1055" i="2" s="1"/>
  <c r="H1056" i="2"/>
  <c r="I1056" i="2" s="1"/>
  <c r="J1056" i="2"/>
  <c r="K1056" i="2"/>
  <c r="L1056" i="2"/>
  <c r="M1056" i="2" s="1"/>
  <c r="H1057" i="2"/>
  <c r="I1057" i="2" s="1"/>
  <c r="J1057" i="2"/>
  <c r="K1057" i="2" s="1"/>
  <c r="L1057" i="2" s="1"/>
  <c r="M1057" i="2" s="1"/>
  <c r="H1058" i="2"/>
  <c r="I1058" i="2" s="1"/>
  <c r="J1058" i="2"/>
  <c r="K1058" i="2" s="1"/>
  <c r="L1058" i="2" s="1"/>
  <c r="M1058" i="2" s="1"/>
  <c r="H1059" i="2"/>
  <c r="I1059" i="2" s="1"/>
  <c r="J1059" i="2"/>
  <c r="K1059" i="2" s="1"/>
  <c r="L1059" i="2" s="1"/>
  <c r="M1059" i="2" s="1"/>
  <c r="H1060" i="2"/>
  <c r="I1060" i="2" s="1"/>
  <c r="J1060" i="2"/>
  <c r="K1060" i="2"/>
  <c r="L1060" i="2" s="1"/>
  <c r="M1060" i="2" s="1"/>
  <c r="H1061" i="2"/>
  <c r="I1061" i="2"/>
  <c r="J1061" i="2"/>
  <c r="K1061" i="2" s="1"/>
  <c r="L1061" i="2" s="1"/>
  <c r="M1061" i="2" s="1"/>
  <c r="H1062" i="2"/>
  <c r="I1062" i="2" s="1"/>
  <c r="J1062" i="2"/>
  <c r="K1062" i="2" s="1"/>
  <c r="L1062" i="2" s="1"/>
  <c r="M1062" i="2" s="1"/>
  <c r="H1063" i="2"/>
  <c r="I1063" i="2" s="1"/>
  <c r="J1063" i="2"/>
  <c r="K1063" i="2" s="1"/>
  <c r="L1063" i="2" s="1"/>
  <c r="M1063" i="2" s="1"/>
  <c r="H1064" i="2"/>
  <c r="I1064" i="2" s="1"/>
  <c r="J1064" i="2"/>
  <c r="K1064" i="2" s="1"/>
  <c r="L1064" i="2" s="1"/>
  <c r="M1064" i="2" s="1"/>
  <c r="H1065" i="2"/>
  <c r="I1065" i="2"/>
  <c r="J1065" i="2"/>
  <c r="K1065" i="2"/>
  <c r="L1065" i="2" s="1"/>
  <c r="M1065" i="2" s="1"/>
  <c r="H1066" i="2"/>
  <c r="I1066" i="2" s="1"/>
  <c r="J1066" i="2"/>
  <c r="K1066" i="2"/>
  <c r="L1066" i="2" s="1"/>
  <c r="M1066" i="2" s="1"/>
  <c r="H1067" i="2"/>
  <c r="I1067" i="2" s="1"/>
  <c r="J1067" i="2"/>
  <c r="K1067" i="2" s="1"/>
  <c r="L1067" i="2" s="1"/>
  <c r="M1067" i="2" s="1"/>
  <c r="H1068" i="2"/>
  <c r="I1068" i="2"/>
  <c r="J1068" i="2"/>
  <c r="K1068" i="2" s="1"/>
  <c r="L1068" i="2" s="1"/>
  <c r="M1068" i="2" s="1"/>
  <c r="H1069" i="2"/>
  <c r="I1069" i="2" s="1"/>
  <c r="J1069" i="2"/>
  <c r="K1069" i="2"/>
  <c r="L1069" i="2" s="1"/>
  <c r="M1069" i="2" s="1"/>
  <c r="H1070" i="2"/>
  <c r="I1070" i="2" s="1"/>
  <c r="J1070" i="2"/>
  <c r="K1070" i="2"/>
  <c r="L1070" i="2" s="1"/>
  <c r="M1070" i="2" s="1"/>
  <c r="H1071" i="2"/>
  <c r="I1071" i="2"/>
  <c r="J1071" i="2"/>
  <c r="K1071" i="2" s="1"/>
  <c r="L1071" i="2" s="1"/>
  <c r="M1071" i="2" s="1"/>
  <c r="H1072" i="2"/>
  <c r="I1072" i="2"/>
  <c r="J1072" i="2"/>
  <c r="K1072" i="2"/>
  <c r="L1072" i="2" s="1"/>
  <c r="M1072" i="2" s="1"/>
  <c r="H1073" i="2"/>
  <c r="I1073" i="2" s="1"/>
  <c r="J1073" i="2"/>
  <c r="K1073" i="2" s="1"/>
  <c r="L1073" i="2" s="1"/>
  <c r="M1073" i="2" s="1"/>
  <c r="H1074" i="2"/>
  <c r="I1074" i="2" s="1"/>
  <c r="J1074" i="2"/>
  <c r="K1074" i="2" s="1"/>
  <c r="L1074" i="2" s="1"/>
  <c r="M1074" i="2" s="1"/>
  <c r="H1075" i="2"/>
  <c r="I1075" i="2"/>
  <c r="J1075" i="2"/>
  <c r="K1075" i="2" s="1"/>
  <c r="L1075" i="2" s="1"/>
  <c r="M1075" i="2" s="1"/>
  <c r="H1076" i="2"/>
  <c r="I1076" i="2" s="1"/>
  <c r="J1076" i="2"/>
  <c r="K1076" i="2"/>
  <c r="L1076" i="2" s="1"/>
  <c r="M1076" i="2" s="1"/>
  <c r="H1077" i="2"/>
  <c r="I1077" i="2"/>
  <c r="J1077" i="2"/>
  <c r="K1077" i="2" s="1"/>
  <c r="L1077" i="2" s="1"/>
  <c r="M1077" i="2" s="1"/>
  <c r="H1078" i="2"/>
  <c r="I1078" i="2" s="1"/>
  <c r="J1078" i="2"/>
  <c r="K1078" i="2" s="1"/>
  <c r="L1078" i="2" s="1"/>
  <c r="M1078" i="2" s="1"/>
  <c r="H1079" i="2"/>
  <c r="I1079" i="2" s="1"/>
  <c r="J1079" i="2"/>
  <c r="K1079" i="2" s="1"/>
  <c r="L1079" i="2" s="1"/>
  <c r="M1079" i="2" s="1"/>
  <c r="H1080" i="2"/>
  <c r="I1080" i="2" s="1"/>
  <c r="J1080" i="2"/>
  <c r="K1080" i="2" s="1"/>
  <c r="L1080" i="2" s="1"/>
  <c r="M1080" i="2" s="1"/>
  <c r="H1081" i="2"/>
  <c r="I1081" i="2"/>
  <c r="J1081" i="2"/>
  <c r="K1081" i="2"/>
  <c r="L1081" i="2" s="1"/>
  <c r="M1081" i="2" s="1"/>
  <c r="H1082" i="2"/>
  <c r="I1082" i="2" s="1"/>
  <c r="J1082" i="2"/>
  <c r="K1082" i="2"/>
  <c r="L1082" i="2" s="1"/>
  <c r="M1082" i="2" s="1"/>
  <c r="H1083" i="2"/>
  <c r="I1083" i="2" s="1"/>
  <c r="J1083" i="2"/>
  <c r="K1083" i="2" s="1"/>
  <c r="L1083" i="2" s="1"/>
  <c r="M1083" i="2" s="1"/>
  <c r="H1084" i="2"/>
  <c r="I1084" i="2"/>
  <c r="J1084" i="2"/>
  <c r="K1084" i="2" s="1"/>
  <c r="L1084" i="2" s="1"/>
  <c r="M1084" i="2" s="1"/>
  <c r="H1085" i="2"/>
  <c r="I1085" i="2" s="1"/>
  <c r="J1085" i="2"/>
  <c r="K1085" i="2"/>
  <c r="L1085" i="2" s="1"/>
  <c r="M1085" i="2" s="1"/>
  <c r="H1086" i="2"/>
  <c r="I1086" i="2" s="1"/>
  <c r="J1086" i="2"/>
  <c r="K1086" i="2"/>
  <c r="L1086" i="2" s="1"/>
  <c r="M1086" i="2" s="1"/>
  <c r="H1087" i="2"/>
  <c r="I1087" i="2"/>
  <c r="J1087" i="2"/>
  <c r="K1087" i="2" s="1"/>
  <c r="L1087" i="2" s="1"/>
  <c r="M1087" i="2" s="1"/>
  <c r="H1088" i="2"/>
  <c r="I1088" i="2"/>
  <c r="J1088" i="2"/>
  <c r="K1088" i="2"/>
  <c r="L1088" i="2" s="1"/>
  <c r="M1088" i="2" s="1"/>
  <c r="H1089" i="2"/>
  <c r="I1089" i="2" s="1"/>
  <c r="J1089" i="2"/>
  <c r="K1089" i="2" s="1"/>
  <c r="L1089" i="2" s="1"/>
  <c r="M1089" i="2" s="1"/>
  <c r="H1090" i="2"/>
  <c r="I1090" i="2" s="1"/>
  <c r="J1090" i="2"/>
  <c r="K1090" i="2" s="1"/>
  <c r="L1090" i="2" s="1"/>
  <c r="M1090" i="2" s="1"/>
  <c r="H1091" i="2"/>
  <c r="I1091" i="2"/>
  <c r="J1091" i="2"/>
  <c r="K1091" i="2" s="1"/>
  <c r="L1091" i="2" s="1"/>
  <c r="M1091" i="2" s="1"/>
  <c r="H1092" i="2"/>
  <c r="I1092" i="2" s="1"/>
  <c r="J1092" i="2"/>
  <c r="K1092" i="2"/>
  <c r="L1092" i="2" s="1"/>
  <c r="M1092" i="2" s="1"/>
  <c r="H1093" i="2"/>
  <c r="I1093" i="2"/>
  <c r="J1093" i="2"/>
  <c r="K1093" i="2" s="1"/>
  <c r="L1093" i="2" s="1"/>
  <c r="M1093" i="2" s="1"/>
  <c r="H1094" i="2"/>
  <c r="I1094" i="2" s="1"/>
  <c r="J1094" i="2"/>
  <c r="K1094" i="2" s="1"/>
  <c r="L1094" i="2" s="1"/>
  <c r="M1094" i="2" s="1"/>
  <c r="H1095" i="2"/>
  <c r="I1095" i="2" s="1"/>
  <c r="J1095" i="2"/>
  <c r="K1095" i="2" s="1"/>
  <c r="L1095" i="2" s="1"/>
  <c r="M1095" i="2" s="1"/>
  <c r="H1096" i="2"/>
  <c r="I1096" i="2" s="1"/>
  <c r="J1096" i="2"/>
  <c r="K1096" i="2" s="1"/>
  <c r="L1096" i="2" s="1"/>
  <c r="M1096" i="2" s="1"/>
  <c r="H1097" i="2"/>
  <c r="I1097" i="2"/>
  <c r="J1097" i="2"/>
  <c r="K1097" i="2"/>
  <c r="L1097" i="2" s="1"/>
  <c r="M1097" i="2" s="1"/>
  <c r="H1098" i="2"/>
  <c r="I1098" i="2" s="1"/>
  <c r="J1098" i="2"/>
  <c r="K1098" i="2"/>
  <c r="L1098" i="2" s="1"/>
  <c r="M1098" i="2" s="1"/>
  <c r="H1099" i="2"/>
  <c r="I1099" i="2" s="1"/>
  <c r="J1099" i="2"/>
  <c r="K1099" i="2" s="1"/>
  <c r="L1099" i="2" s="1"/>
  <c r="M1099" i="2" s="1"/>
  <c r="H1100" i="2"/>
  <c r="I1100" i="2"/>
  <c r="J1100" i="2"/>
  <c r="K1100" i="2" s="1"/>
  <c r="L1100" i="2" s="1"/>
  <c r="M1100" i="2" s="1"/>
  <c r="H1101" i="2"/>
  <c r="I1101" i="2" s="1"/>
  <c r="J1101" i="2"/>
  <c r="K1101" i="2"/>
  <c r="L1101" i="2" s="1"/>
  <c r="M1101" i="2" s="1"/>
  <c r="H1102" i="2"/>
  <c r="I1102" i="2" s="1"/>
  <c r="J1102" i="2"/>
  <c r="K1102" i="2"/>
  <c r="L1102" i="2" s="1"/>
  <c r="M1102" i="2" s="1"/>
  <c r="H1103" i="2"/>
  <c r="I1103" i="2"/>
  <c r="J1103" i="2"/>
  <c r="K1103" i="2" s="1"/>
  <c r="L1103" i="2" s="1"/>
  <c r="M1103" i="2" s="1"/>
  <c r="H1104" i="2"/>
  <c r="I1104" i="2"/>
  <c r="J1104" i="2"/>
  <c r="K1104" i="2"/>
  <c r="L1104" i="2" s="1"/>
  <c r="M1104" i="2" s="1"/>
  <c r="H1105" i="2"/>
  <c r="I1105" i="2" s="1"/>
  <c r="J1105" i="2"/>
  <c r="K1105" i="2" s="1"/>
  <c r="L1105" i="2" s="1"/>
  <c r="M1105" i="2" s="1"/>
  <c r="H1106" i="2"/>
  <c r="I1106" i="2" s="1"/>
  <c r="J1106" i="2"/>
  <c r="K1106" i="2" s="1"/>
  <c r="L1106" i="2" s="1"/>
  <c r="M1106" i="2" s="1"/>
  <c r="H1107" i="2"/>
  <c r="I1107" i="2"/>
  <c r="J1107" i="2"/>
  <c r="K1107" i="2" s="1"/>
  <c r="L1107" i="2" s="1"/>
  <c r="M1107" i="2" s="1"/>
  <c r="H1108" i="2"/>
  <c r="I1108" i="2" s="1"/>
  <c r="J1108" i="2"/>
  <c r="K1108" i="2"/>
  <c r="L1108" i="2" s="1"/>
  <c r="M1108" i="2" s="1"/>
  <c r="H1109" i="2"/>
  <c r="I1109" i="2"/>
  <c r="J1109" i="2"/>
  <c r="K1109" i="2" s="1"/>
  <c r="L1109" i="2" s="1"/>
  <c r="M1109" i="2" s="1"/>
  <c r="H1110" i="2"/>
  <c r="I1110" i="2" s="1"/>
  <c r="J1110" i="2"/>
  <c r="K1110" i="2" s="1"/>
  <c r="L1110" i="2" s="1"/>
  <c r="M1110" i="2" s="1"/>
  <c r="H1111" i="2"/>
  <c r="I1111" i="2" s="1"/>
  <c r="J1111" i="2"/>
  <c r="K1111" i="2" s="1"/>
  <c r="L1111" i="2" s="1"/>
  <c r="M1111" i="2" s="1"/>
  <c r="H1112" i="2"/>
  <c r="I1112" i="2" s="1"/>
  <c r="J1112" i="2"/>
  <c r="K1112" i="2" s="1"/>
  <c r="L1112" i="2" s="1"/>
  <c r="M1112" i="2" s="1"/>
  <c r="H1113" i="2"/>
  <c r="I1113" i="2"/>
  <c r="J1113" i="2"/>
  <c r="K1113" i="2"/>
  <c r="L1113" i="2" s="1"/>
  <c r="M1113" i="2" s="1"/>
  <c r="H1114" i="2"/>
  <c r="I1114" i="2" s="1"/>
  <c r="J1114" i="2"/>
  <c r="K1114" i="2"/>
  <c r="L1114" i="2" s="1"/>
  <c r="M1114" i="2" s="1"/>
  <c r="H1115" i="2"/>
  <c r="I1115" i="2" s="1"/>
  <c r="J1115" i="2"/>
  <c r="K1115" i="2" s="1"/>
  <c r="L1115" i="2" s="1"/>
  <c r="M1115" i="2" s="1"/>
  <c r="H1116" i="2"/>
  <c r="I1116" i="2"/>
  <c r="J1116" i="2"/>
  <c r="K1116" i="2" s="1"/>
  <c r="L1116" i="2" s="1"/>
  <c r="M1116" i="2" s="1"/>
  <c r="H1117" i="2"/>
  <c r="I1117" i="2" s="1"/>
  <c r="J1117" i="2"/>
  <c r="K1117" i="2"/>
  <c r="L1117" i="2" s="1"/>
  <c r="M1117" i="2" s="1"/>
  <c r="H1118" i="2"/>
  <c r="I1118" i="2" s="1"/>
  <c r="J1118" i="2"/>
  <c r="K1118" i="2"/>
  <c r="L1118" i="2" s="1"/>
  <c r="M1118" i="2" s="1"/>
  <c r="H1119" i="2"/>
  <c r="I1119" i="2"/>
  <c r="J1119" i="2"/>
  <c r="K1119" i="2" s="1"/>
  <c r="L1119" i="2" s="1"/>
  <c r="M1119" i="2" s="1"/>
  <c r="H1120" i="2"/>
  <c r="I1120" i="2"/>
  <c r="J1120" i="2"/>
  <c r="K1120" i="2"/>
  <c r="L1120" i="2" s="1"/>
  <c r="M1120" i="2" s="1"/>
  <c r="H1121" i="2"/>
  <c r="I1121" i="2" s="1"/>
  <c r="J1121" i="2"/>
  <c r="K1121" i="2" s="1"/>
  <c r="L1121" i="2" s="1"/>
  <c r="M1121" i="2" s="1"/>
  <c r="H1122" i="2"/>
  <c r="I1122" i="2" s="1"/>
  <c r="J1122" i="2"/>
  <c r="K1122" i="2" s="1"/>
  <c r="L1122" i="2" s="1"/>
  <c r="M1122" i="2" s="1"/>
  <c r="H1123" i="2"/>
  <c r="I1123" i="2"/>
  <c r="J1123" i="2"/>
  <c r="K1123" i="2" s="1"/>
  <c r="L1123" i="2" s="1"/>
  <c r="M1123" i="2" s="1"/>
  <c r="H1124" i="2"/>
  <c r="I1124" i="2" s="1"/>
  <c r="J1124" i="2"/>
  <c r="K1124" i="2"/>
  <c r="L1124" i="2" s="1"/>
  <c r="M1124" i="2" s="1"/>
  <c r="H1125" i="2"/>
  <c r="I1125" i="2"/>
  <c r="J1125" i="2"/>
  <c r="K1125" i="2" s="1"/>
  <c r="L1125" i="2" s="1"/>
  <c r="M1125" i="2" s="1"/>
  <c r="H1126" i="2"/>
  <c r="I1126" i="2" s="1"/>
  <c r="J1126" i="2"/>
  <c r="K1126" i="2" s="1"/>
  <c r="L1126" i="2" s="1"/>
  <c r="M1126" i="2" s="1"/>
  <c r="H1127" i="2"/>
  <c r="I1127" i="2" s="1"/>
  <c r="J1127" i="2"/>
  <c r="K1127" i="2" s="1"/>
  <c r="L1127" i="2" s="1"/>
  <c r="M1127" i="2" s="1"/>
  <c r="H1128" i="2"/>
  <c r="I1128" i="2" s="1"/>
  <c r="J1128" i="2"/>
  <c r="K1128" i="2" s="1"/>
  <c r="L1128" i="2" s="1"/>
  <c r="M1128" i="2" s="1"/>
  <c r="H1129" i="2"/>
  <c r="I1129" i="2"/>
  <c r="J1129" i="2"/>
  <c r="K1129" i="2"/>
  <c r="L1129" i="2" s="1"/>
  <c r="M1129" i="2" s="1"/>
  <c r="H1130" i="2"/>
  <c r="I1130" i="2" s="1"/>
  <c r="J1130" i="2"/>
  <c r="K1130" i="2"/>
  <c r="L1130" i="2" s="1"/>
  <c r="M1130" i="2" s="1"/>
  <c r="H1131" i="2"/>
  <c r="I1131" i="2" s="1"/>
  <c r="J1131" i="2"/>
  <c r="K1131" i="2" s="1"/>
  <c r="L1131" i="2" s="1"/>
  <c r="M1131" i="2" s="1"/>
  <c r="H1132" i="2"/>
  <c r="I1132" i="2"/>
  <c r="J1132" i="2"/>
  <c r="K1132" i="2" s="1"/>
  <c r="L1132" i="2" s="1"/>
  <c r="M1132" i="2" s="1"/>
  <c r="H1133" i="2"/>
  <c r="I1133" i="2" s="1"/>
  <c r="J1133" i="2"/>
  <c r="K1133" i="2"/>
  <c r="L1133" i="2" s="1"/>
  <c r="M1133" i="2" s="1"/>
  <c r="H1134" i="2"/>
  <c r="I1134" i="2" s="1"/>
  <c r="J1134" i="2"/>
  <c r="K1134" i="2"/>
  <c r="L1134" i="2" s="1"/>
  <c r="M1134" i="2" s="1"/>
  <c r="H1135" i="2"/>
  <c r="I1135" i="2"/>
  <c r="J1135" i="2"/>
  <c r="K1135" i="2" s="1"/>
  <c r="L1135" i="2" s="1"/>
  <c r="M1135" i="2" s="1"/>
  <c r="H1136" i="2"/>
  <c r="I1136" i="2"/>
  <c r="J1136" i="2"/>
  <c r="K1136" i="2"/>
  <c r="L1136" i="2" s="1"/>
  <c r="M1136" i="2" s="1"/>
  <c r="H1137" i="2"/>
  <c r="I1137" i="2" s="1"/>
  <c r="J1137" i="2"/>
  <c r="K1137" i="2" s="1"/>
  <c r="L1137" i="2" s="1"/>
  <c r="M1137" i="2" s="1"/>
  <c r="H1138" i="2"/>
  <c r="I1138" i="2" s="1"/>
  <c r="J1138" i="2"/>
  <c r="K1138" i="2" s="1"/>
  <c r="L1138" i="2" s="1"/>
  <c r="M1138" i="2" s="1"/>
  <c r="H1139" i="2"/>
  <c r="I1139" i="2"/>
  <c r="J1139" i="2"/>
  <c r="K1139" i="2" s="1"/>
  <c r="L1139" i="2" s="1"/>
  <c r="M1139" i="2" s="1"/>
  <c r="H1140" i="2"/>
  <c r="I1140" i="2" s="1"/>
  <c r="J1140" i="2"/>
  <c r="K1140" i="2"/>
  <c r="L1140" i="2" s="1"/>
  <c r="M1140" i="2" s="1"/>
  <c r="H1141" i="2"/>
  <c r="I1141" i="2"/>
  <c r="J1141" i="2"/>
  <c r="K1141" i="2" s="1"/>
  <c r="L1141" i="2" s="1"/>
  <c r="M1141" i="2" s="1"/>
  <c r="H1142" i="2"/>
  <c r="I1142" i="2" s="1"/>
  <c r="J1142" i="2"/>
  <c r="K1142" i="2" s="1"/>
  <c r="L1142" i="2" s="1"/>
  <c r="M1142" i="2" s="1"/>
  <c r="H1143" i="2"/>
  <c r="I1143" i="2" s="1"/>
  <c r="J1143" i="2"/>
  <c r="K1143" i="2" s="1"/>
  <c r="L1143" i="2" s="1"/>
  <c r="M1143" i="2" s="1"/>
  <c r="H1144" i="2"/>
  <c r="I1144" i="2" s="1"/>
  <c r="J1144" i="2"/>
  <c r="K1144" i="2" s="1"/>
  <c r="L1144" i="2" s="1"/>
  <c r="M1144" i="2" s="1"/>
  <c r="H1145" i="2"/>
  <c r="I1145" i="2"/>
  <c r="J1145" i="2"/>
  <c r="K1145" i="2"/>
  <c r="L1145" i="2" s="1"/>
  <c r="M1145" i="2" s="1"/>
  <c r="H1146" i="2"/>
  <c r="I1146" i="2" s="1"/>
  <c r="J1146" i="2"/>
  <c r="K1146" i="2"/>
  <c r="L1146" i="2" s="1"/>
  <c r="M1146" i="2" s="1"/>
  <c r="H1147" i="2"/>
  <c r="I1147" i="2" s="1"/>
  <c r="J1147" i="2"/>
  <c r="K1147" i="2" s="1"/>
  <c r="L1147" i="2" s="1"/>
  <c r="M1147" i="2" s="1"/>
  <c r="H1148" i="2"/>
  <c r="I1148" i="2"/>
  <c r="J1148" i="2"/>
  <c r="K1148" i="2" s="1"/>
  <c r="L1148" i="2" s="1"/>
  <c r="M1148" i="2" s="1"/>
  <c r="H1149" i="2"/>
  <c r="I1149" i="2" s="1"/>
  <c r="J1149" i="2"/>
  <c r="K1149" i="2"/>
  <c r="L1149" i="2" s="1"/>
  <c r="M1149" i="2" s="1"/>
  <c r="H1150" i="2"/>
  <c r="I1150" i="2" s="1"/>
  <c r="J1150" i="2"/>
  <c r="K1150" i="2"/>
  <c r="L1150" i="2" s="1"/>
  <c r="M1150" i="2" s="1"/>
  <c r="H1151" i="2"/>
  <c r="I1151" i="2"/>
  <c r="J1151" i="2"/>
  <c r="K1151" i="2" s="1"/>
  <c r="L1151" i="2" s="1"/>
  <c r="M1151" i="2" s="1"/>
  <c r="H1152" i="2"/>
  <c r="I1152" i="2"/>
  <c r="J1152" i="2"/>
  <c r="K1152" i="2"/>
  <c r="L1152" i="2" s="1"/>
  <c r="M1152" i="2" s="1"/>
  <c r="H1153" i="2"/>
  <c r="I1153" i="2" s="1"/>
  <c r="J1153" i="2"/>
  <c r="K1153" i="2" s="1"/>
  <c r="L1153" i="2" s="1"/>
  <c r="M1153" i="2" s="1"/>
  <c r="H1154" i="2"/>
  <c r="I1154" i="2" s="1"/>
  <c r="J1154" i="2"/>
  <c r="K1154" i="2" s="1"/>
  <c r="L1154" i="2" s="1"/>
  <c r="M1154" i="2" s="1"/>
  <c r="H1155" i="2"/>
  <c r="I1155" i="2"/>
  <c r="J1155" i="2"/>
  <c r="K1155" i="2" s="1"/>
  <c r="L1155" i="2" s="1"/>
  <c r="M1155" i="2" s="1"/>
  <c r="H1156" i="2"/>
  <c r="I1156" i="2" s="1"/>
  <c r="J1156" i="2"/>
  <c r="K1156" i="2"/>
  <c r="L1156" i="2" s="1"/>
  <c r="M1156" i="2" s="1"/>
  <c r="H1157" i="2"/>
  <c r="I1157" i="2"/>
  <c r="J1157" i="2"/>
  <c r="K1157" i="2" s="1"/>
  <c r="L1157" i="2" s="1"/>
  <c r="M1157" i="2" s="1"/>
  <c r="H1158" i="2"/>
  <c r="I1158" i="2" s="1"/>
  <c r="J1158" i="2"/>
  <c r="K1158" i="2" s="1"/>
  <c r="L1158" i="2" s="1"/>
  <c r="M1158" i="2" s="1"/>
  <c r="H1159" i="2"/>
  <c r="I1159" i="2" s="1"/>
  <c r="J1159" i="2"/>
  <c r="K1159" i="2" s="1"/>
  <c r="L1159" i="2" s="1"/>
  <c r="M1159" i="2" s="1"/>
  <c r="H1160" i="2"/>
  <c r="I1160" i="2" s="1"/>
  <c r="J1160" i="2"/>
  <c r="K1160" i="2" s="1"/>
  <c r="L1160" i="2" s="1"/>
  <c r="M1160" i="2" s="1"/>
  <c r="H1161" i="2"/>
  <c r="I1161" i="2"/>
  <c r="J1161" i="2"/>
  <c r="K1161" i="2"/>
  <c r="L1161" i="2" s="1"/>
  <c r="M1161" i="2" s="1"/>
  <c r="H1162" i="2"/>
  <c r="I1162" i="2" s="1"/>
  <c r="J1162" i="2"/>
  <c r="K1162" i="2"/>
  <c r="L1162" i="2" s="1"/>
  <c r="M1162" i="2" s="1"/>
  <c r="H1163" i="2"/>
  <c r="I1163" i="2" s="1"/>
  <c r="J1163" i="2"/>
  <c r="K1163" i="2" s="1"/>
  <c r="L1163" i="2" s="1"/>
  <c r="M1163" i="2" s="1"/>
  <c r="H1164" i="2"/>
  <c r="I1164" i="2"/>
  <c r="J1164" i="2"/>
  <c r="K1164" i="2" s="1"/>
  <c r="L1164" i="2" s="1"/>
  <c r="M1164" i="2" s="1"/>
  <c r="H1165" i="2"/>
  <c r="I1165" i="2" s="1"/>
  <c r="J1165" i="2"/>
  <c r="K1165" i="2"/>
  <c r="L1165" i="2" s="1"/>
  <c r="M1165" i="2" s="1"/>
  <c r="H1166" i="2"/>
  <c r="I1166" i="2" s="1"/>
  <c r="J1166" i="2"/>
  <c r="K1166" i="2"/>
  <c r="L1166" i="2" s="1"/>
  <c r="M1166" i="2" s="1"/>
  <c r="H1167" i="2"/>
  <c r="I1167" i="2"/>
  <c r="J1167" i="2"/>
  <c r="K1167" i="2" s="1"/>
  <c r="L1167" i="2" s="1"/>
  <c r="M1167" i="2" s="1"/>
  <c r="H1168" i="2"/>
  <c r="I1168" i="2"/>
  <c r="J1168" i="2"/>
  <c r="K1168" i="2"/>
  <c r="L1168" i="2" s="1"/>
  <c r="M1168" i="2" s="1"/>
  <c r="H1169" i="2"/>
  <c r="I1169" i="2" s="1"/>
  <c r="J1169" i="2"/>
  <c r="K1169" i="2" s="1"/>
  <c r="L1169" i="2" s="1"/>
  <c r="M1169" i="2" s="1"/>
  <c r="H1170" i="2"/>
  <c r="I1170" i="2" s="1"/>
  <c r="J1170" i="2"/>
  <c r="K1170" i="2" s="1"/>
  <c r="L1170" i="2" s="1"/>
  <c r="M1170" i="2" s="1"/>
  <c r="H1171" i="2"/>
  <c r="I1171" i="2"/>
  <c r="J1171" i="2"/>
  <c r="K1171" i="2" s="1"/>
  <c r="L1171" i="2" s="1"/>
  <c r="M1171" i="2" s="1"/>
  <c r="H1172" i="2"/>
  <c r="I1172" i="2" s="1"/>
  <c r="J1172" i="2"/>
  <c r="K1172" i="2"/>
  <c r="L1172" i="2" s="1"/>
  <c r="M1172" i="2" s="1"/>
  <c r="H1173" i="2"/>
  <c r="I1173" i="2"/>
  <c r="J1173" i="2"/>
  <c r="K1173" i="2" s="1"/>
  <c r="L1173" i="2" s="1"/>
  <c r="M1173" i="2" s="1"/>
  <c r="H1174" i="2"/>
  <c r="I1174" i="2" s="1"/>
  <c r="J1174" i="2"/>
  <c r="K1174" i="2" s="1"/>
  <c r="L1174" i="2" s="1"/>
  <c r="M1174" i="2" s="1"/>
  <c r="H1175" i="2"/>
  <c r="I1175" i="2" s="1"/>
  <c r="J1175" i="2"/>
  <c r="K1175" i="2" s="1"/>
  <c r="L1175" i="2" s="1"/>
  <c r="M1175" i="2" s="1"/>
  <c r="H1176" i="2"/>
  <c r="I1176" i="2" s="1"/>
  <c r="J1176" i="2"/>
  <c r="K1176" i="2" s="1"/>
  <c r="L1176" i="2" s="1"/>
  <c r="M1176" i="2" s="1"/>
  <c r="H1177" i="2"/>
  <c r="I1177" i="2"/>
  <c r="J1177" i="2"/>
  <c r="K1177" i="2"/>
  <c r="L1177" i="2" s="1"/>
  <c r="M1177" i="2" s="1"/>
  <c r="H1178" i="2"/>
  <c r="I1178" i="2" s="1"/>
  <c r="J1178" i="2"/>
  <c r="K1178" i="2"/>
  <c r="L1178" i="2" s="1"/>
  <c r="M1178" i="2" s="1"/>
  <c r="H1179" i="2"/>
  <c r="I1179" i="2" s="1"/>
  <c r="J1179" i="2"/>
  <c r="K1179" i="2" s="1"/>
  <c r="L1179" i="2" s="1"/>
  <c r="M1179" i="2" s="1"/>
  <c r="H1180" i="2"/>
  <c r="I1180" i="2"/>
  <c r="J1180" i="2"/>
  <c r="K1180" i="2" s="1"/>
  <c r="L1180" i="2" s="1"/>
  <c r="M1180" i="2" s="1"/>
  <c r="H1181" i="2"/>
  <c r="I1181" i="2" s="1"/>
  <c r="J1181" i="2"/>
  <c r="K1181" i="2"/>
  <c r="L1181" i="2" s="1"/>
  <c r="M1181" i="2" s="1"/>
  <c r="H1182" i="2"/>
  <c r="I1182" i="2" s="1"/>
  <c r="J1182" i="2"/>
  <c r="K1182" i="2"/>
  <c r="L1182" i="2" s="1"/>
  <c r="M1182" i="2" s="1"/>
  <c r="H1183" i="2"/>
  <c r="I1183" i="2"/>
  <c r="J1183" i="2"/>
  <c r="K1183" i="2" s="1"/>
  <c r="L1183" i="2" s="1"/>
  <c r="M1183" i="2" s="1"/>
  <c r="H1184" i="2"/>
  <c r="I1184" i="2"/>
  <c r="J1184" i="2"/>
  <c r="K1184" i="2"/>
  <c r="L1184" i="2" s="1"/>
  <c r="M1184" i="2" s="1"/>
  <c r="H1185" i="2"/>
  <c r="I1185" i="2" s="1"/>
  <c r="J1185" i="2"/>
  <c r="K1185" i="2" s="1"/>
  <c r="L1185" i="2" s="1"/>
  <c r="M1185" i="2" s="1"/>
  <c r="H1186" i="2"/>
  <c r="I1186" i="2" s="1"/>
  <c r="J1186" i="2"/>
  <c r="K1186" i="2" s="1"/>
  <c r="L1186" i="2" s="1"/>
  <c r="M1186" i="2" s="1"/>
  <c r="H1187" i="2"/>
  <c r="I1187" i="2"/>
  <c r="J1187" i="2"/>
  <c r="K1187" i="2" s="1"/>
  <c r="L1187" i="2" s="1"/>
  <c r="M1187" i="2" s="1"/>
  <c r="H1188" i="2"/>
  <c r="I1188" i="2" s="1"/>
  <c r="J1188" i="2"/>
  <c r="K1188" i="2"/>
  <c r="L1188" i="2" s="1"/>
  <c r="M1188" i="2" s="1"/>
  <c r="H1189" i="2"/>
  <c r="I1189" i="2"/>
  <c r="J1189" i="2"/>
  <c r="K1189" i="2" s="1"/>
  <c r="L1189" i="2" s="1"/>
  <c r="M1189" i="2" s="1"/>
  <c r="H1190" i="2"/>
  <c r="I1190" i="2" s="1"/>
  <c r="J1190" i="2"/>
  <c r="K1190" i="2" s="1"/>
  <c r="L1190" i="2" s="1"/>
  <c r="M1190" i="2" s="1"/>
  <c r="H1191" i="2"/>
  <c r="I1191" i="2" s="1"/>
  <c r="J1191" i="2"/>
  <c r="K1191" i="2" s="1"/>
  <c r="L1191" i="2" s="1"/>
  <c r="M1191" i="2" s="1"/>
  <c r="H1192" i="2"/>
  <c r="I1192" i="2" s="1"/>
  <c r="J1192" i="2"/>
  <c r="K1192" i="2" s="1"/>
  <c r="L1192" i="2" s="1"/>
  <c r="M1192" i="2" s="1"/>
  <c r="H1193" i="2"/>
  <c r="I1193" i="2"/>
  <c r="J1193" i="2"/>
  <c r="K1193" i="2"/>
  <c r="L1193" i="2" s="1"/>
  <c r="M1193" i="2" s="1"/>
  <c r="H1194" i="2"/>
  <c r="I1194" i="2" s="1"/>
  <c r="J1194" i="2"/>
  <c r="K1194" i="2"/>
  <c r="L1194" i="2" s="1"/>
  <c r="M1194" i="2" s="1"/>
  <c r="H1195" i="2"/>
  <c r="I1195" i="2" s="1"/>
  <c r="J1195" i="2"/>
  <c r="K1195" i="2" s="1"/>
  <c r="L1195" i="2" s="1"/>
  <c r="M1195" i="2" s="1"/>
  <c r="H1196" i="2"/>
  <c r="I1196" i="2"/>
  <c r="J1196" i="2"/>
  <c r="K1196" i="2" s="1"/>
  <c r="L1196" i="2" s="1"/>
  <c r="M1196" i="2" s="1"/>
  <c r="H1197" i="2"/>
  <c r="I1197" i="2" s="1"/>
  <c r="J1197" i="2"/>
  <c r="K1197" i="2"/>
  <c r="L1197" i="2" s="1"/>
  <c r="M1197" i="2" s="1"/>
  <c r="H1198" i="2"/>
  <c r="I1198" i="2" s="1"/>
  <c r="J1198" i="2"/>
  <c r="K1198" i="2"/>
  <c r="L1198" i="2" s="1"/>
  <c r="M1198" i="2" s="1"/>
  <c r="H1199" i="2"/>
  <c r="I1199" i="2"/>
  <c r="J1199" i="2"/>
  <c r="K1199" i="2" s="1"/>
  <c r="L1199" i="2" s="1"/>
  <c r="M1199" i="2" s="1"/>
  <c r="H1200" i="2"/>
  <c r="I1200" i="2"/>
  <c r="J1200" i="2"/>
  <c r="K1200" i="2"/>
  <c r="L1200" i="2" s="1"/>
  <c r="M1200" i="2" s="1"/>
  <c r="H9" i="2"/>
  <c r="I9" i="2" s="1"/>
  <c r="J9" i="2"/>
  <c r="K9" i="2" s="1"/>
  <c r="L9" i="2" s="1"/>
  <c r="M9" i="2" s="1"/>
  <c r="H8" i="2"/>
  <c r="I8" i="2" s="1"/>
  <c r="J3" i="2"/>
  <c r="J4" i="2"/>
  <c r="J5" i="2"/>
  <c r="K5" i="2" s="1"/>
  <c r="L5" i="2" s="1"/>
  <c r="M5" i="2" s="1"/>
  <c r="J6" i="2"/>
  <c r="J7" i="2"/>
  <c r="K7" i="2" s="1"/>
  <c r="L7" i="2" s="1"/>
  <c r="M7" i="2" s="1"/>
  <c r="J8" i="2"/>
  <c r="K8" i="2" s="1"/>
  <c r="L8" i="2" s="1"/>
  <c r="M8" i="2" s="1"/>
  <c r="J2" i="2"/>
  <c r="K2" i="2" s="1"/>
  <c r="L2" i="2" s="1"/>
  <c r="M2" i="2" s="1"/>
  <c r="H3" i="2"/>
  <c r="I3" i="2" s="1"/>
  <c r="K3" i="2"/>
  <c r="L3" i="2" s="1"/>
  <c r="M3" i="2" s="1"/>
  <c r="H4" i="2"/>
  <c r="I4" i="2" s="1"/>
  <c r="K4" i="2"/>
  <c r="L4" i="2" s="1"/>
  <c r="M4" i="2" s="1"/>
  <c r="H5" i="2"/>
  <c r="I5" i="2"/>
  <c r="H6" i="2"/>
  <c r="I6" i="2" s="1"/>
  <c r="K6" i="2"/>
  <c r="L6" i="2" s="1"/>
  <c r="M6" i="2" s="1"/>
  <c r="H7" i="2"/>
  <c r="I7" i="2" s="1"/>
  <c r="H2" i="2"/>
  <c r="I2" i="2" s="1"/>
  <c r="I8" i="23"/>
  <c r="I7" i="23"/>
  <c r="I6" i="23"/>
  <c r="I5" i="23"/>
  <c r="I4" i="23"/>
  <c r="I3" i="23"/>
  <c r="I2" i="23"/>
  <c r="G7" i="1"/>
  <c r="H7" i="1" s="1"/>
  <c r="J7" i="1"/>
  <c r="G8" i="1"/>
  <c r="H8" i="1"/>
  <c r="J8" i="1"/>
  <c r="G9" i="1"/>
  <c r="H9" i="1" s="1"/>
  <c r="J9" i="1"/>
  <c r="G10" i="1"/>
  <c r="H10" i="1"/>
  <c r="J10" i="1"/>
  <c r="G11" i="1"/>
  <c r="H11" i="1" s="1"/>
  <c r="J11" i="1"/>
  <c r="G12" i="1"/>
  <c r="H12" i="1"/>
  <c r="J12" i="1"/>
  <c r="G13" i="1"/>
  <c r="H13" i="1" s="1"/>
  <c r="J13" i="1"/>
  <c r="G14" i="1"/>
  <c r="H14" i="1"/>
  <c r="J14" i="1"/>
  <c r="G15" i="1"/>
  <c r="H15" i="1" s="1"/>
  <c r="J15" i="1"/>
  <c r="G16" i="1"/>
  <c r="H16" i="1"/>
  <c r="J16" i="1"/>
  <c r="G17" i="1"/>
  <c r="H17" i="1" s="1"/>
  <c r="J17" i="1"/>
  <c r="G18" i="1"/>
  <c r="H18" i="1"/>
  <c r="J18" i="1"/>
  <c r="G19" i="1"/>
  <c r="H19" i="1" s="1"/>
  <c r="J19" i="1"/>
  <c r="G20" i="1"/>
  <c r="H20" i="1"/>
  <c r="J20" i="1"/>
  <c r="G21" i="1"/>
  <c r="H21" i="1" s="1"/>
  <c r="J21" i="1"/>
  <c r="G22" i="1"/>
  <c r="H22" i="1"/>
  <c r="J22" i="1"/>
  <c r="G23" i="1"/>
  <c r="H23" i="1" s="1"/>
  <c r="J23" i="1"/>
  <c r="G24" i="1"/>
  <c r="H24" i="1"/>
  <c r="J24" i="1"/>
  <c r="G25" i="1"/>
  <c r="H25" i="1" s="1"/>
  <c r="J25" i="1"/>
  <c r="G26" i="1"/>
  <c r="H26" i="1"/>
  <c r="J26" i="1"/>
  <c r="G27" i="1"/>
  <c r="H27" i="1" s="1"/>
  <c r="J27" i="1"/>
  <c r="G28" i="1"/>
  <c r="H28" i="1"/>
  <c r="J28" i="1"/>
  <c r="G29" i="1"/>
  <c r="H29" i="1" s="1"/>
  <c r="J29" i="1"/>
  <c r="G30" i="1"/>
  <c r="H30" i="1"/>
  <c r="J30" i="1"/>
  <c r="G31" i="1"/>
  <c r="H31" i="1" s="1"/>
  <c r="J31" i="1"/>
  <c r="G32" i="1"/>
  <c r="H32" i="1"/>
  <c r="J32" i="1"/>
  <c r="G33" i="1"/>
  <c r="H33" i="1" s="1"/>
  <c r="J33" i="1"/>
  <c r="G34" i="1"/>
  <c r="H34" i="1"/>
  <c r="J34" i="1"/>
  <c r="G35" i="1"/>
  <c r="H35" i="1" s="1"/>
  <c r="J35" i="1"/>
  <c r="G36" i="1"/>
  <c r="H36" i="1"/>
  <c r="J36" i="1"/>
  <c r="G37" i="1"/>
  <c r="H37" i="1" s="1"/>
  <c r="J37" i="1"/>
  <c r="G38" i="1"/>
  <c r="H38" i="1"/>
  <c r="J38" i="1"/>
  <c r="G39" i="1"/>
  <c r="H39" i="1" s="1"/>
  <c r="J39" i="1"/>
  <c r="G40" i="1"/>
  <c r="H40" i="1"/>
  <c r="J40" i="1"/>
  <c r="G41" i="1"/>
  <c r="H41" i="1" s="1"/>
  <c r="J41" i="1"/>
  <c r="G42" i="1"/>
  <c r="H42" i="1"/>
  <c r="J42" i="1"/>
  <c r="G43" i="1"/>
  <c r="H43" i="1" s="1"/>
  <c r="J43" i="1"/>
  <c r="G44" i="1"/>
  <c r="H44" i="1"/>
  <c r="J44" i="1"/>
  <c r="G45" i="1"/>
  <c r="H45" i="1" s="1"/>
  <c r="J45" i="1"/>
  <c r="G46" i="1"/>
  <c r="H46" i="1"/>
  <c r="J46" i="1"/>
  <c r="G47" i="1"/>
  <c r="H47" i="1" s="1"/>
  <c r="J47" i="1"/>
  <c r="G48" i="1"/>
  <c r="H48" i="1"/>
  <c r="J48" i="1"/>
  <c r="G49" i="1"/>
  <c r="H49" i="1" s="1"/>
  <c r="J49" i="1"/>
  <c r="G50" i="1"/>
  <c r="H50" i="1"/>
  <c r="J50" i="1"/>
  <c r="G51" i="1"/>
  <c r="H51" i="1" s="1"/>
  <c r="J51" i="1"/>
  <c r="G52" i="1"/>
  <c r="H52" i="1"/>
  <c r="J52" i="1"/>
  <c r="G53" i="1"/>
  <c r="H53" i="1" s="1"/>
  <c r="J53" i="1"/>
  <c r="G54" i="1"/>
  <c r="H54" i="1"/>
  <c r="J54" i="1"/>
  <c r="G55" i="1"/>
  <c r="H55" i="1" s="1"/>
  <c r="J55" i="1"/>
  <c r="G56" i="1"/>
  <c r="H56" i="1"/>
  <c r="J56" i="1"/>
  <c r="G57" i="1"/>
  <c r="H57" i="1" s="1"/>
  <c r="J57" i="1"/>
  <c r="G58" i="1"/>
  <c r="H58" i="1"/>
  <c r="J58" i="1"/>
  <c r="G59" i="1"/>
  <c r="H59" i="1" s="1"/>
  <c r="J59" i="1"/>
  <c r="G60" i="1"/>
  <c r="H60" i="1"/>
  <c r="J60" i="1"/>
  <c r="G61" i="1"/>
  <c r="H61" i="1" s="1"/>
  <c r="J61" i="1"/>
  <c r="G62" i="1"/>
  <c r="H62" i="1"/>
  <c r="J62" i="1"/>
  <c r="G63" i="1"/>
  <c r="H63" i="1" s="1"/>
  <c r="J63" i="1"/>
  <c r="G64" i="1"/>
  <c r="H64" i="1"/>
  <c r="J64" i="1"/>
  <c r="G65" i="1"/>
  <c r="H65" i="1" s="1"/>
  <c r="J65" i="1"/>
  <c r="G66" i="1"/>
  <c r="H66" i="1"/>
  <c r="J66" i="1"/>
  <c r="G67" i="1"/>
  <c r="H67" i="1" s="1"/>
  <c r="J67" i="1"/>
  <c r="G68" i="1"/>
  <c r="H68" i="1"/>
  <c r="J68" i="1"/>
  <c r="G69" i="1"/>
  <c r="H69" i="1" s="1"/>
  <c r="J69" i="1"/>
  <c r="G70" i="1"/>
  <c r="H70" i="1"/>
  <c r="J70" i="1"/>
  <c r="G71" i="1"/>
  <c r="H71" i="1" s="1"/>
  <c r="J71" i="1"/>
  <c r="G72" i="1"/>
  <c r="H72" i="1"/>
  <c r="J72" i="1"/>
  <c r="G73" i="1"/>
  <c r="H73" i="1" s="1"/>
  <c r="J73" i="1"/>
  <c r="G74" i="1"/>
  <c r="H74" i="1"/>
  <c r="J74" i="1"/>
  <c r="G75" i="1"/>
  <c r="J75" i="1"/>
  <c r="G76" i="1"/>
  <c r="H76" i="1"/>
  <c r="J76" i="1"/>
  <c r="G77" i="1"/>
  <c r="J77" i="1"/>
  <c r="G78" i="1"/>
  <c r="H78" i="1"/>
  <c r="J78" i="1"/>
  <c r="G79" i="1"/>
  <c r="J79" i="1"/>
  <c r="G80" i="1"/>
  <c r="H80" i="1"/>
  <c r="J80" i="1"/>
  <c r="G81" i="1"/>
  <c r="J81" i="1"/>
  <c r="G82" i="1"/>
  <c r="H82" i="1"/>
  <c r="J82" i="1"/>
  <c r="G83" i="1"/>
  <c r="J83" i="1"/>
  <c r="G84" i="1"/>
  <c r="H84" i="1"/>
  <c r="J84" i="1"/>
  <c r="G85" i="1"/>
  <c r="J85" i="1"/>
  <c r="G86" i="1"/>
  <c r="H86" i="1"/>
  <c r="J86" i="1"/>
  <c r="G87" i="1"/>
  <c r="J87" i="1"/>
  <c r="G88" i="1"/>
  <c r="H88" i="1"/>
  <c r="J88" i="1"/>
  <c r="G89" i="1"/>
  <c r="J89" i="1"/>
  <c r="G90" i="1"/>
  <c r="H90" i="1"/>
  <c r="J90" i="1"/>
  <c r="G91" i="1"/>
  <c r="J91" i="1"/>
  <c r="G92" i="1"/>
  <c r="H92" i="1"/>
  <c r="J92" i="1"/>
  <c r="G93" i="1"/>
  <c r="J93" i="1"/>
  <c r="G94" i="1"/>
  <c r="H94" i="1"/>
  <c r="J94" i="1"/>
  <c r="G95" i="1"/>
  <c r="J95" i="1"/>
  <c r="G96" i="1"/>
  <c r="H96" i="1"/>
  <c r="J96" i="1"/>
  <c r="G97" i="1"/>
  <c r="J97" i="1"/>
  <c r="G98" i="1"/>
  <c r="H98" i="1"/>
  <c r="J98" i="1"/>
  <c r="G99" i="1"/>
  <c r="J99" i="1"/>
  <c r="G100" i="1"/>
  <c r="H100" i="1"/>
  <c r="J100" i="1"/>
  <c r="G101" i="1"/>
  <c r="H75" i="1" s="1"/>
  <c r="J101" i="1"/>
  <c r="G102" i="1"/>
  <c r="H102" i="1"/>
  <c r="J102" i="1"/>
  <c r="G103" i="1"/>
  <c r="J103" i="1"/>
  <c r="G104" i="1"/>
  <c r="H104" i="1"/>
  <c r="J104" i="1"/>
  <c r="G105" i="1"/>
  <c r="J105" i="1"/>
  <c r="G106" i="1"/>
  <c r="H106" i="1"/>
  <c r="J106" i="1"/>
  <c r="G107" i="1"/>
  <c r="J107" i="1"/>
  <c r="G108" i="1"/>
  <c r="H108" i="1"/>
  <c r="J108" i="1"/>
  <c r="G109" i="1"/>
  <c r="J109" i="1"/>
  <c r="G110" i="1"/>
  <c r="H110" i="1"/>
  <c r="J110" i="1"/>
  <c r="G111" i="1"/>
  <c r="J111" i="1"/>
  <c r="G112" i="1"/>
  <c r="H112" i="1"/>
  <c r="J112" i="1"/>
  <c r="G113" i="1"/>
  <c r="J113" i="1"/>
  <c r="G114" i="1"/>
  <c r="H114" i="1"/>
  <c r="J114" i="1"/>
  <c r="G115" i="1"/>
  <c r="J115" i="1"/>
  <c r="G116" i="1"/>
  <c r="H116" i="1"/>
  <c r="J116" i="1"/>
  <c r="G117" i="1"/>
  <c r="J117" i="1"/>
  <c r="G118" i="1"/>
  <c r="H118" i="1"/>
  <c r="J118" i="1"/>
  <c r="G119" i="1"/>
  <c r="H77" i="1" s="1"/>
  <c r="H119" i="1"/>
  <c r="J119" i="1"/>
  <c r="G120" i="1"/>
  <c r="H120" i="1"/>
  <c r="J120" i="1"/>
  <c r="G121" i="1"/>
  <c r="H121" i="1"/>
  <c r="J121" i="1"/>
  <c r="G122" i="1"/>
  <c r="H122" i="1"/>
  <c r="J122" i="1"/>
  <c r="G123" i="1"/>
  <c r="H123" i="1"/>
  <c r="J123" i="1"/>
  <c r="G124" i="1"/>
  <c r="H124" i="1"/>
  <c r="J124" i="1"/>
  <c r="G125" i="1"/>
  <c r="H125" i="1"/>
  <c r="J125" i="1"/>
  <c r="G126" i="1"/>
  <c r="H126" i="1"/>
  <c r="J126" i="1"/>
  <c r="G127" i="1"/>
  <c r="H127" i="1"/>
  <c r="J127" i="1"/>
  <c r="G128" i="1"/>
  <c r="H128" i="1"/>
  <c r="J128" i="1"/>
  <c r="G129" i="1"/>
  <c r="H129" i="1"/>
  <c r="J129" i="1"/>
  <c r="G130" i="1"/>
  <c r="H130" i="1"/>
  <c r="J130" i="1"/>
  <c r="G131" i="1"/>
  <c r="H131" i="1"/>
  <c r="J131" i="1"/>
  <c r="G132" i="1"/>
  <c r="H132" i="1"/>
  <c r="J132" i="1"/>
  <c r="G133" i="1"/>
  <c r="H133" i="1"/>
  <c r="J133" i="1"/>
  <c r="G134" i="1"/>
  <c r="H134" i="1"/>
  <c r="J134" i="1"/>
  <c r="G135" i="1"/>
  <c r="H79" i="1" s="1"/>
  <c r="H135" i="1"/>
  <c r="J135" i="1"/>
  <c r="G136" i="1"/>
  <c r="H136" i="1"/>
  <c r="J136" i="1"/>
  <c r="G137" i="1"/>
  <c r="H137" i="1"/>
  <c r="J137" i="1"/>
  <c r="G138" i="1"/>
  <c r="H138" i="1"/>
  <c r="J138" i="1"/>
  <c r="G139" i="1"/>
  <c r="H139" i="1"/>
  <c r="J139" i="1"/>
  <c r="G140" i="1"/>
  <c r="H140" i="1"/>
  <c r="J140" i="1"/>
  <c r="G141" i="1"/>
  <c r="H141" i="1"/>
  <c r="J141" i="1"/>
  <c r="G142" i="1"/>
  <c r="H142" i="1"/>
  <c r="J142" i="1"/>
  <c r="G143" i="1"/>
  <c r="H143" i="1"/>
  <c r="J143" i="1"/>
  <c r="G144" i="1"/>
  <c r="H144" i="1"/>
  <c r="J144" i="1"/>
  <c r="G145" i="1"/>
  <c r="H145" i="1"/>
  <c r="J145" i="1"/>
  <c r="G146" i="1"/>
  <c r="H146" i="1"/>
  <c r="J146" i="1"/>
  <c r="G147" i="1"/>
  <c r="H147" i="1"/>
  <c r="J147" i="1"/>
  <c r="G148" i="1"/>
  <c r="H148" i="1"/>
  <c r="J148" i="1"/>
  <c r="G149" i="1"/>
  <c r="H81" i="1" s="1"/>
  <c r="H149" i="1"/>
  <c r="J149" i="1"/>
  <c r="G150" i="1"/>
  <c r="H150" i="1"/>
  <c r="J150" i="1"/>
  <c r="G151" i="1"/>
  <c r="H151" i="1"/>
  <c r="J151" i="1"/>
  <c r="G152" i="1"/>
  <c r="H152" i="1"/>
  <c r="J152" i="1"/>
  <c r="G153" i="1"/>
  <c r="H153" i="1"/>
  <c r="J153" i="1"/>
  <c r="G154" i="1"/>
  <c r="H154" i="1"/>
  <c r="J154" i="1"/>
  <c r="G155" i="1"/>
  <c r="H155" i="1"/>
  <c r="J155" i="1"/>
  <c r="G156" i="1"/>
  <c r="H156" i="1"/>
  <c r="J156" i="1"/>
  <c r="G157" i="1"/>
  <c r="H157" i="1"/>
  <c r="J157" i="1"/>
  <c r="G158" i="1"/>
  <c r="H158" i="1"/>
  <c r="J158" i="1"/>
  <c r="G159" i="1"/>
  <c r="H159" i="1"/>
  <c r="J159" i="1"/>
  <c r="G160" i="1"/>
  <c r="H160" i="1"/>
  <c r="J160" i="1"/>
  <c r="G161" i="1"/>
  <c r="H161" i="1"/>
  <c r="J161" i="1"/>
  <c r="G162" i="1"/>
  <c r="H162" i="1"/>
  <c r="J162" i="1"/>
  <c r="G163" i="1"/>
  <c r="H163" i="1"/>
  <c r="J163" i="1"/>
  <c r="G164" i="1"/>
  <c r="H164" i="1"/>
  <c r="J164" i="1"/>
  <c r="G165" i="1"/>
  <c r="H165" i="1"/>
  <c r="J165" i="1"/>
  <c r="G166" i="1"/>
  <c r="H166" i="1"/>
  <c r="J166" i="1"/>
  <c r="G167" i="1"/>
  <c r="H83" i="1" s="1"/>
  <c r="H167" i="1"/>
  <c r="J167" i="1"/>
  <c r="G168" i="1"/>
  <c r="H168" i="1"/>
  <c r="J168" i="1"/>
  <c r="G169" i="1"/>
  <c r="H169" i="1"/>
  <c r="J169" i="1"/>
  <c r="G170" i="1"/>
  <c r="H170" i="1"/>
  <c r="J170" i="1"/>
  <c r="G171" i="1"/>
  <c r="H171" i="1"/>
  <c r="J171" i="1"/>
  <c r="G172" i="1"/>
  <c r="H172" i="1"/>
  <c r="J172" i="1"/>
  <c r="G173" i="1"/>
  <c r="H173" i="1"/>
  <c r="J173" i="1"/>
  <c r="G174" i="1"/>
  <c r="H174" i="1"/>
  <c r="J174" i="1"/>
  <c r="G175" i="1"/>
  <c r="H175" i="1"/>
  <c r="J175" i="1"/>
  <c r="G176" i="1"/>
  <c r="H176" i="1"/>
  <c r="J176" i="1"/>
  <c r="G177" i="1"/>
  <c r="H177" i="1"/>
  <c r="J177" i="1"/>
  <c r="G178" i="1"/>
  <c r="H178" i="1"/>
  <c r="J178" i="1"/>
  <c r="G179" i="1"/>
  <c r="H179" i="1"/>
  <c r="J179" i="1"/>
  <c r="G180" i="1"/>
  <c r="H180" i="1"/>
  <c r="J180" i="1"/>
  <c r="G181" i="1"/>
  <c r="H181" i="1"/>
  <c r="J181" i="1"/>
  <c r="G182" i="1"/>
  <c r="H182" i="1"/>
  <c r="J182" i="1"/>
  <c r="G183" i="1"/>
  <c r="H183" i="1"/>
  <c r="J183" i="1"/>
  <c r="G184" i="1"/>
  <c r="H184" i="1"/>
  <c r="J184" i="1"/>
  <c r="G185" i="1"/>
  <c r="H185" i="1"/>
  <c r="J185" i="1"/>
  <c r="G186" i="1"/>
  <c r="H186" i="1"/>
  <c r="J186" i="1"/>
  <c r="G187" i="1"/>
  <c r="H85" i="1" s="1"/>
  <c r="H187" i="1"/>
  <c r="J187" i="1"/>
  <c r="G188" i="1"/>
  <c r="H188" i="1"/>
  <c r="J188" i="1"/>
  <c r="G189" i="1"/>
  <c r="H189" i="1"/>
  <c r="J189" i="1"/>
  <c r="G190" i="1"/>
  <c r="H190" i="1"/>
  <c r="J190" i="1"/>
  <c r="G191" i="1"/>
  <c r="H191" i="1"/>
  <c r="J191" i="1"/>
  <c r="G192" i="1"/>
  <c r="H192" i="1"/>
  <c r="J192" i="1"/>
  <c r="G193" i="1"/>
  <c r="H193" i="1"/>
  <c r="J193" i="1"/>
  <c r="G194" i="1"/>
  <c r="H194" i="1"/>
  <c r="J194" i="1"/>
  <c r="G195" i="1"/>
  <c r="H195" i="1"/>
  <c r="J195" i="1"/>
  <c r="G196" i="1"/>
  <c r="H196" i="1"/>
  <c r="J196" i="1"/>
  <c r="G197" i="1"/>
  <c r="H197" i="1"/>
  <c r="J197" i="1"/>
  <c r="G198" i="1"/>
  <c r="H198" i="1"/>
  <c r="J198" i="1"/>
  <c r="G199" i="1"/>
  <c r="H199" i="1"/>
  <c r="J199" i="1"/>
  <c r="G200" i="1"/>
  <c r="H200" i="1"/>
  <c r="J200" i="1"/>
  <c r="G201" i="1"/>
  <c r="H201" i="1"/>
  <c r="J201" i="1"/>
  <c r="G202" i="1"/>
  <c r="H202" i="1"/>
  <c r="J202" i="1"/>
  <c r="G203" i="1"/>
  <c r="H203" i="1"/>
  <c r="J203" i="1"/>
  <c r="G204" i="1"/>
  <c r="H204" i="1"/>
  <c r="J204" i="1"/>
  <c r="G205" i="1"/>
  <c r="H205" i="1"/>
  <c r="J205" i="1"/>
  <c r="G206" i="1"/>
  <c r="H206" i="1"/>
  <c r="J206" i="1"/>
  <c r="G207" i="1"/>
  <c r="H87" i="1" s="1"/>
  <c r="H207" i="1"/>
  <c r="J207" i="1"/>
  <c r="G208" i="1"/>
  <c r="H208" i="1"/>
  <c r="J208" i="1"/>
  <c r="G209" i="1"/>
  <c r="H209" i="1"/>
  <c r="J209" i="1"/>
  <c r="G210" i="1"/>
  <c r="H210" i="1"/>
  <c r="J210" i="1"/>
  <c r="G211" i="1"/>
  <c r="H211" i="1"/>
  <c r="J211" i="1"/>
  <c r="G212" i="1"/>
  <c r="H212" i="1"/>
  <c r="J212" i="1"/>
  <c r="G213" i="1"/>
  <c r="H213" i="1"/>
  <c r="J213" i="1"/>
  <c r="G214" i="1"/>
  <c r="H214" i="1"/>
  <c r="J214" i="1"/>
  <c r="G215" i="1"/>
  <c r="H215" i="1"/>
  <c r="J215" i="1"/>
  <c r="G216" i="1"/>
  <c r="H216" i="1"/>
  <c r="J216" i="1"/>
  <c r="G217" i="1"/>
  <c r="H217" i="1"/>
  <c r="J217" i="1"/>
  <c r="G218" i="1"/>
  <c r="H218" i="1"/>
  <c r="J218" i="1"/>
  <c r="G219" i="1"/>
  <c r="H219" i="1"/>
  <c r="J219" i="1"/>
  <c r="G220" i="1"/>
  <c r="H220" i="1"/>
  <c r="J220" i="1"/>
  <c r="G221" i="1"/>
  <c r="H221" i="1"/>
  <c r="J221" i="1"/>
  <c r="G222" i="1"/>
  <c r="H222" i="1"/>
  <c r="J222" i="1"/>
  <c r="G223" i="1"/>
  <c r="H223" i="1"/>
  <c r="J223" i="1"/>
  <c r="G224" i="1"/>
  <c r="H224" i="1"/>
  <c r="J224" i="1"/>
  <c r="G225" i="1"/>
  <c r="H225" i="1"/>
  <c r="J225" i="1"/>
  <c r="G226" i="1"/>
  <c r="H226" i="1"/>
  <c r="J226" i="1"/>
  <c r="G227" i="1"/>
  <c r="H227" i="1"/>
  <c r="J227" i="1"/>
  <c r="G228" i="1"/>
  <c r="H228" i="1"/>
  <c r="J228" i="1"/>
  <c r="G229" i="1"/>
  <c r="H89" i="1" s="1"/>
  <c r="H229" i="1"/>
  <c r="J229" i="1"/>
  <c r="G230" i="1"/>
  <c r="H230" i="1"/>
  <c r="J230" i="1"/>
  <c r="G231" i="1"/>
  <c r="H231" i="1"/>
  <c r="J231" i="1"/>
  <c r="G232" i="1"/>
  <c r="H232" i="1"/>
  <c r="J232" i="1"/>
  <c r="G233" i="1"/>
  <c r="H233" i="1"/>
  <c r="J233" i="1"/>
  <c r="G234" i="1"/>
  <c r="H234" i="1"/>
  <c r="J234" i="1"/>
  <c r="G235" i="1"/>
  <c r="H235" i="1"/>
  <c r="J235" i="1"/>
  <c r="G236" i="1"/>
  <c r="H236" i="1"/>
  <c r="J236" i="1"/>
  <c r="G237" i="1"/>
  <c r="H237" i="1"/>
  <c r="J237" i="1"/>
  <c r="G238" i="1"/>
  <c r="H238" i="1"/>
  <c r="J238" i="1"/>
  <c r="G239" i="1"/>
  <c r="H239" i="1"/>
  <c r="J239" i="1"/>
  <c r="G240" i="1"/>
  <c r="H240" i="1"/>
  <c r="J240" i="1"/>
  <c r="G241" i="1"/>
  <c r="H241" i="1"/>
  <c r="J241" i="1"/>
  <c r="G242" i="1"/>
  <c r="H242" i="1"/>
  <c r="J242" i="1"/>
  <c r="G243" i="1"/>
  <c r="H243" i="1"/>
  <c r="J243" i="1"/>
  <c r="G244" i="1"/>
  <c r="H244" i="1"/>
  <c r="J244" i="1"/>
  <c r="G245" i="1"/>
  <c r="H245" i="1"/>
  <c r="J245" i="1"/>
  <c r="G246" i="1"/>
  <c r="H246" i="1"/>
  <c r="J246" i="1"/>
  <c r="G247" i="1"/>
  <c r="H247" i="1"/>
  <c r="J247" i="1"/>
  <c r="G248" i="1"/>
  <c r="H248" i="1"/>
  <c r="J248" i="1"/>
  <c r="G249" i="1"/>
  <c r="H249" i="1"/>
  <c r="J249" i="1"/>
  <c r="G250" i="1"/>
  <c r="H250" i="1"/>
  <c r="J250" i="1"/>
  <c r="G251" i="1"/>
  <c r="H251" i="1"/>
  <c r="J251" i="1"/>
  <c r="G252" i="1"/>
  <c r="H252" i="1"/>
  <c r="J252" i="1"/>
  <c r="G253" i="1"/>
  <c r="H91" i="1" s="1"/>
  <c r="H253" i="1"/>
  <c r="J253" i="1"/>
  <c r="G254" i="1"/>
  <c r="H254" i="1"/>
  <c r="J254" i="1"/>
  <c r="G255" i="1"/>
  <c r="H255" i="1"/>
  <c r="J255" i="1"/>
  <c r="G256" i="1"/>
  <c r="H256" i="1"/>
  <c r="J256" i="1"/>
  <c r="G257" i="1"/>
  <c r="H257" i="1"/>
  <c r="J257" i="1"/>
  <c r="G258" i="1"/>
  <c r="H258" i="1"/>
  <c r="J258" i="1"/>
  <c r="G259" i="1"/>
  <c r="H259" i="1"/>
  <c r="J259" i="1"/>
  <c r="G260" i="1"/>
  <c r="H260" i="1"/>
  <c r="J260" i="1"/>
  <c r="G261" i="1"/>
  <c r="H261" i="1"/>
  <c r="J261" i="1"/>
  <c r="G262" i="1"/>
  <c r="H262" i="1"/>
  <c r="J262" i="1"/>
  <c r="G263" i="1"/>
  <c r="H263" i="1"/>
  <c r="J263" i="1"/>
  <c r="G264" i="1"/>
  <c r="H264" i="1"/>
  <c r="J264" i="1"/>
  <c r="G265" i="1"/>
  <c r="H265" i="1"/>
  <c r="J265" i="1"/>
  <c r="G266" i="1"/>
  <c r="H266" i="1"/>
  <c r="J266" i="1"/>
  <c r="G267" i="1"/>
  <c r="H267" i="1"/>
  <c r="J267" i="1"/>
  <c r="G268" i="1"/>
  <c r="H268" i="1"/>
  <c r="J268" i="1"/>
  <c r="G269" i="1"/>
  <c r="H269" i="1"/>
  <c r="J269" i="1"/>
  <c r="G270" i="1"/>
  <c r="H270" i="1"/>
  <c r="J270" i="1"/>
  <c r="G271" i="1"/>
  <c r="H271" i="1"/>
  <c r="J271" i="1"/>
  <c r="G272" i="1"/>
  <c r="H272" i="1"/>
  <c r="J272" i="1"/>
  <c r="G273" i="1"/>
  <c r="H273" i="1"/>
  <c r="J273" i="1"/>
  <c r="G274" i="1"/>
  <c r="H274" i="1"/>
  <c r="J274" i="1"/>
  <c r="G275" i="1"/>
  <c r="H275" i="1"/>
  <c r="J275" i="1"/>
  <c r="G276" i="1"/>
  <c r="H276" i="1"/>
  <c r="J276" i="1"/>
  <c r="G277" i="1"/>
  <c r="H277" i="1"/>
  <c r="J277" i="1"/>
  <c r="G278" i="1"/>
  <c r="H278" i="1"/>
  <c r="J278" i="1"/>
  <c r="G279" i="1"/>
  <c r="H279" i="1"/>
  <c r="J279" i="1"/>
  <c r="G280" i="1"/>
  <c r="H280" i="1"/>
  <c r="J280" i="1"/>
  <c r="G281" i="1"/>
  <c r="H281" i="1"/>
  <c r="J281" i="1"/>
  <c r="G282" i="1"/>
  <c r="H282" i="1"/>
  <c r="J282" i="1"/>
  <c r="G283" i="1"/>
  <c r="H93" i="1" s="1"/>
  <c r="H283" i="1"/>
  <c r="J283" i="1"/>
  <c r="G284" i="1"/>
  <c r="H284" i="1"/>
  <c r="J284" i="1"/>
  <c r="G285" i="1"/>
  <c r="H285" i="1"/>
  <c r="J285" i="1"/>
  <c r="G286" i="1"/>
  <c r="H286" i="1"/>
  <c r="J286" i="1"/>
  <c r="G287" i="1"/>
  <c r="H287" i="1"/>
  <c r="J287" i="1"/>
  <c r="G288" i="1"/>
  <c r="H288" i="1"/>
  <c r="J288" i="1"/>
  <c r="G289" i="1"/>
  <c r="H289" i="1"/>
  <c r="J289" i="1"/>
  <c r="G290" i="1"/>
  <c r="H290" i="1"/>
  <c r="J290" i="1"/>
  <c r="G291" i="1"/>
  <c r="H291" i="1"/>
  <c r="J291" i="1"/>
  <c r="G292" i="1"/>
  <c r="H292" i="1"/>
  <c r="J292" i="1"/>
  <c r="G293" i="1"/>
  <c r="H293" i="1"/>
  <c r="J293" i="1"/>
  <c r="G294" i="1"/>
  <c r="H294" i="1"/>
  <c r="J294" i="1"/>
  <c r="G295" i="1"/>
  <c r="H295" i="1"/>
  <c r="J295" i="1"/>
  <c r="G296" i="1"/>
  <c r="H296" i="1"/>
  <c r="J296" i="1"/>
  <c r="G297" i="1"/>
  <c r="H297" i="1"/>
  <c r="J297" i="1"/>
  <c r="G298" i="1"/>
  <c r="H298" i="1"/>
  <c r="J298" i="1"/>
  <c r="G299" i="1"/>
  <c r="H299" i="1"/>
  <c r="J299" i="1"/>
  <c r="G300" i="1"/>
  <c r="H300" i="1"/>
  <c r="J300" i="1"/>
  <c r="G301" i="1"/>
  <c r="H301" i="1"/>
  <c r="J301" i="1"/>
  <c r="G302" i="1"/>
  <c r="H302" i="1"/>
  <c r="J302" i="1"/>
  <c r="G303" i="1"/>
  <c r="H303" i="1"/>
  <c r="J303" i="1"/>
  <c r="G304" i="1"/>
  <c r="H304" i="1"/>
  <c r="J304" i="1"/>
  <c r="G305" i="1"/>
  <c r="H305" i="1"/>
  <c r="J305" i="1"/>
  <c r="G306" i="1"/>
  <c r="H306" i="1"/>
  <c r="J306" i="1"/>
  <c r="G307" i="1"/>
  <c r="H307" i="1"/>
  <c r="J307" i="1"/>
  <c r="G308" i="1"/>
  <c r="H308" i="1"/>
  <c r="J308" i="1"/>
  <c r="G309" i="1"/>
  <c r="H309" i="1"/>
  <c r="J309" i="1"/>
  <c r="G310" i="1"/>
  <c r="H310" i="1"/>
  <c r="J310" i="1"/>
  <c r="G311" i="1"/>
  <c r="H311" i="1"/>
  <c r="J311" i="1"/>
  <c r="G312" i="1"/>
  <c r="H312" i="1"/>
  <c r="J312" i="1"/>
  <c r="G313" i="1"/>
  <c r="H313" i="1"/>
  <c r="J313" i="1"/>
  <c r="G314" i="1"/>
  <c r="H314" i="1"/>
  <c r="J314" i="1"/>
  <c r="G315" i="1"/>
  <c r="H315" i="1"/>
  <c r="J315" i="1"/>
  <c r="G316" i="1"/>
  <c r="H316" i="1"/>
  <c r="J316" i="1"/>
  <c r="G317" i="1"/>
  <c r="H95" i="1" s="1"/>
  <c r="H317" i="1"/>
  <c r="J317" i="1"/>
  <c r="G318" i="1"/>
  <c r="H318" i="1"/>
  <c r="J318" i="1"/>
  <c r="G319" i="1"/>
  <c r="H319" i="1"/>
  <c r="J319" i="1"/>
  <c r="G320" i="1"/>
  <c r="H320" i="1"/>
  <c r="J320" i="1"/>
  <c r="G321" i="1"/>
  <c r="H321" i="1"/>
  <c r="J321" i="1"/>
  <c r="G322" i="1"/>
  <c r="H322" i="1"/>
  <c r="J322" i="1"/>
  <c r="G323" i="1"/>
  <c r="H323" i="1"/>
  <c r="J323" i="1"/>
  <c r="G324" i="1"/>
  <c r="H324" i="1"/>
  <c r="J324" i="1"/>
  <c r="G325" i="1"/>
  <c r="H325" i="1"/>
  <c r="J325" i="1"/>
  <c r="G326" i="1"/>
  <c r="H326" i="1"/>
  <c r="J326" i="1"/>
  <c r="G327" i="1"/>
  <c r="H327" i="1"/>
  <c r="J327" i="1"/>
  <c r="G328" i="1"/>
  <c r="H328" i="1"/>
  <c r="J328" i="1"/>
  <c r="G329" i="1"/>
  <c r="H329" i="1"/>
  <c r="J329" i="1"/>
  <c r="G330" i="1"/>
  <c r="H330" i="1"/>
  <c r="J330" i="1"/>
  <c r="G331" i="1"/>
  <c r="H331" i="1"/>
  <c r="J331" i="1"/>
  <c r="G332" i="1"/>
  <c r="H332" i="1"/>
  <c r="J332" i="1"/>
  <c r="G333" i="1"/>
  <c r="H333" i="1"/>
  <c r="J333" i="1"/>
  <c r="G334" i="1"/>
  <c r="H334" i="1"/>
  <c r="J334" i="1"/>
  <c r="G335" i="1"/>
  <c r="H335" i="1"/>
  <c r="J335" i="1"/>
  <c r="G336" i="1"/>
  <c r="H336" i="1"/>
  <c r="J336" i="1"/>
  <c r="G337" i="1"/>
  <c r="H337" i="1"/>
  <c r="J337" i="1"/>
  <c r="G338" i="1"/>
  <c r="H338" i="1"/>
  <c r="J338" i="1"/>
  <c r="G339" i="1"/>
  <c r="H339" i="1"/>
  <c r="J339" i="1"/>
  <c r="G340" i="1"/>
  <c r="H340" i="1"/>
  <c r="J340" i="1"/>
  <c r="G341" i="1"/>
  <c r="H341" i="1"/>
  <c r="J341" i="1"/>
  <c r="G342" i="1"/>
  <c r="H342" i="1"/>
  <c r="J342" i="1"/>
  <c r="G343" i="1"/>
  <c r="H343" i="1"/>
  <c r="J343" i="1"/>
  <c r="G344" i="1"/>
  <c r="H344" i="1"/>
  <c r="J344" i="1"/>
  <c r="G345" i="1"/>
  <c r="H345" i="1"/>
  <c r="J345" i="1"/>
  <c r="G346" i="1"/>
  <c r="H346" i="1"/>
  <c r="J346" i="1"/>
  <c r="G347" i="1"/>
  <c r="H347" i="1"/>
  <c r="J347" i="1"/>
  <c r="G348" i="1"/>
  <c r="H348" i="1"/>
  <c r="J348" i="1"/>
  <c r="G349" i="1"/>
  <c r="H349" i="1"/>
  <c r="J349" i="1"/>
  <c r="G350" i="1"/>
  <c r="H350" i="1"/>
  <c r="J350" i="1"/>
  <c r="G351" i="1"/>
  <c r="H351" i="1"/>
  <c r="J351" i="1"/>
  <c r="G352" i="1"/>
  <c r="H352" i="1"/>
  <c r="J352" i="1"/>
  <c r="G353" i="1"/>
  <c r="H353" i="1"/>
  <c r="J353" i="1"/>
  <c r="G354" i="1"/>
  <c r="H354" i="1"/>
  <c r="J354" i="1"/>
  <c r="G355" i="1"/>
  <c r="H97" i="1" s="1"/>
  <c r="H355" i="1"/>
  <c r="J355" i="1"/>
  <c r="G356" i="1"/>
  <c r="H356" i="1"/>
  <c r="J356" i="1"/>
  <c r="G357" i="1"/>
  <c r="H357" i="1"/>
  <c r="J357" i="1"/>
  <c r="G358" i="1"/>
  <c r="H358" i="1"/>
  <c r="J358" i="1"/>
  <c r="G359" i="1"/>
  <c r="H359" i="1"/>
  <c r="J359" i="1"/>
  <c r="G360" i="1"/>
  <c r="H360" i="1"/>
  <c r="J360" i="1"/>
  <c r="G361" i="1"/>
  <c r="H361" i="1"/>
  <c r="J361" i="1"/>
  <c r="G362" i="1"/>
  <c r="H362" i="1"/>
  <c r="J362" i="1"/>
  <c r="G363" i="1"/>
  <c r="H363" i="1"/>
  <c r="J363" i="1"/>
  <c r="G364" i="1"/>
  <c r="H364" i="1"/>
  <c r="J364" i="1"/>
  <c r="G365" i="1"/>
  <c r="H365" i="1"/>
  <c r="J365" i="1"/>
  <c r="G366" i="1"/>
  <c r="H366" i="1"/>
  <c r="J366" i="1"/>
  <c r="G367" i="1"/>
  <c r="H367" i="1"/>
  <c r="J367" i="1"/>
  <c r="G368" i="1"/>
  <c r="H368" i="1"/>
  <c r="J368" i="1"/>
  <c r="G369" i="1"/>
  <c r="H369" i="1"/>
  <c r="J369" i="1"/>
  <c r="G370" i="1"/>
  <c r="H370" i="1"/>
  <c r="J370" i="1"/>
  <c r="G371" i="1"/>
  <c r="H371" i="1"/>
  <c r="J371" i="1"/>
  <c r="G372" i="1"/>
  <c r="H372" i="1"/>
  <c r="J372" i="1"/>
  <c r="G373" i="1"/>
  <c r="H373" i="1"/>
  <c r="J373" i="1"/>
  <c r="G374" i="1"/>
  <c r="H374" i="1"/>
  <c r="J374" i="1"/>
  <c r="G375" i="1"/>
  <c r="H375" i="1"/>
  <c r="J375" i="1"/>
  <c r="G376" i="1"/>
  <c r="H376" i="1"/>
  <c r="J376" i="1"/>
  <c r="G377" i="1"/>
  <c r="H377" i="1"/>
  <c r="J377" i="1"/>
  <c r="G378" i="1"/>
  <c r="H378" i="1"/>
  <c r="J378" i="1"/>
  <c r="G379" i="1"/>
  <c r="H379" i="1"/>
  <c r="J379" i="1"/>
  <c r="G380" i="1"/>
  <c r="H380" i="1"/>
  <c r="J380" i="1"/>
  <c r="G381" i="1"/>
  <c r="H381" i="1"/>
  <c r="J381" i="1"/>
  <c r="G382" i="1"/>
  <c r="H382" i="1"/>
  <c r="J382" i="1"/>
  <c r="G383" i="1"/>
  <c r="H383" i="1"/>
  <c r="J383" i="1"/>
  <c r="G384" i="1"/>
  <c r="H384" i="1"/>
  <c r="J384" i="1"/>
  <c r="G385" i="1"/>
  <c r="H385" i="1"/>
  <c r="J385" i="1"/>
  <c r="G386" i="1"/>
  <c r="H386" i="1"/>
  <c r="J386" i="1"/>
  <c r="G387" i="1"/>
  <c r="H387" i="1"/>
  <c r="J387" i="1"/>
  <c r="G388" i="1"/>
  <c r="H388" i="1"/>
  <c r="J388" i="1"/>
  <c r="G389" i="1"/>
  <c r="H389" i="1"/>
  <c r="J389" i="1"/>
  <c r="G390" i="1"/>
  <c r="H390" i="1"/>
  <c r="J390" i="1"/>
  <c r="G391" i="1"/>
  <c r="H391" i="1"/>
  <c r="J391" i="1"/>
  <c r="G392" i="1"/>
  <c r="H392" i="1"/>
  <c r="J392" i="1"/>
  <c r="G393" i="1"/>
  <c r="H393" i="1"/>
  <c r="J393" i="1"/>
  <c r="G394" i="1"/>
  <c r="H394" i="1"/>
  <c r="J394" i="1"/>
  <c r="G395" i="1"/>
  <c r="H395" i="1"/>
  <c r="J395" i="1"/>
  <c r="G396" i="1"/>
  <c r="H396" i="1"/>
  <c r="J396" i="1"/>
  <c r="G397" i="1"/>
  <c r="H99" i="1" s="1"/>
  <c r="H397" i="1"/>
  <c r="J397" i="1"/>
  <c r="G398" i="1"/>
  <c r="H398" i="1"/>
  <c r="J398" i="1"/>
  <c r="G399" i="1"/>
  <c r="H399" i="1"/>
  <c r="J399" i="1"/>
  <c r="G400" i="1"/>
  <c r="H400" i="1"/>
  <c r="J400" i="1"/>
  <c r="G401" i="1"/>
  <c r="H401" i="1"/>
  <c r="J401" i="1"/>
  <c r="G402" i="1"/>
  <c r="H402" i="1"/>
  <c r="J402" i="1"/>
  <c r="G403" i="1"/>
  <c r="H403" i="1"/>
  <c r="J403" i="1"/>
  <c r="G404" i="1"/>
  <c r="H404" i="1"/>
  <c r="J404" i="1"/>
  <c r="G405" i="1"/>
  <c r="H405" i="1"/>
  <c r="J405" i="1"/>
  <c r="G406" i="1"/>
  <c r="H406" i="1"/>
  <c r="J406" i="1"/>
  <c r="G407" i="1"/>
  <c r="H407" i="1"/>
  <c r="J407" i="1"/>
  <c r="G408" i="1"/>
  <c r="H408" i="1"/>
  <c r="J408" i="1"/>
  <c r="G409" i="1"/>
  <c r="H409" i="1"/>
  <c r="J409" i="1"/>
  <c r="G410" i="1"/>
  <c r="H410" i="1"/>
  <c r="J410" i="1"/>
  <c r="G411" i="1"/>
  <c r="H411" i="1"/>
  <c r="J411" i="1"/>
  <c r="G412" i="1"/>
  <c r="H412" i="1"/>
  <c r="J412" i="1"/>
  <c r="G413" i="1"/>
  <c r="H413" i="1"/>
  <c r="J413" i="1"/>
  <c r="G414" i="1"/>
  <c r="H414" i="1"/>
  <c r="J414" i="1"/>
  <c r="G415" i="1"/>
  <c r="H415" i="1"/>
  <c r="J415" i="1"/>
  <c r="G416" i="1"/>
  <c r="H416" i="1"/>
  <c r="J416" i="1"/>
  <c r="G417" i="1"/>
  <c r="H417" i="1"/>
  <c r="J417" i="1"/>
  <c r="G418" i="1"/>
  <c r="H418" i="1"/>
  <c r="J418" i="1"/>
  <c r="G419" i="1"/>
  <c r="H419" i="1"/>
  <c r="J419" i="1"/>
  <c r="G420" i="1"/>
  <c r="H420" i="1"/>
  <c r="J420" i="1"/>
  <c r="G421" i="1"/>
  <c r="H421" i="1"/>
  <c r="J421" i="1"/>
  <c r="G422" i="1"/>
  <c r="H422" i="1"/>
  <c r="J422" i="1"/>
  <c r="G423" i="1"/>
  <c r="H423" i="1"/>
  <c r="J423" i="1"/>
  <c r="G424" i="1"/>
  <c r="H424" i="1"/>
  <c r="J424" i="1"/>
  <c r="G425" i="1"/>
  <c r="H425" i="1"/>
  <c r="J425" i="1"/>
  <c r="G426" i="1"/>
  <c r="H426" i="1"/>
  <c r="J426" i="1"/>
  <c r="G427" i="1"/>
  <c r="H427" i="1"/>
  <c r="J427" i="1"/>
  <c r="G428" i="1"/>
  <c r="H428" i="1"/>
  <c r="J428" i="1"/>
  <c r="G429" i="1"/>
  <c r="H429" i="1"/>
  <c r="J429" i="1"/>
  <c r="G430" i="1"/>
  <c r="H430" i="1"/>
  <c r="J430" i="1"/>
  <c r="G431" i="1"/>
  <c r="H431" i="1"/>
  <c r="J431" i="1"/>
  <c r="G432" i="1"/>
  <c r="H432" i="1"/>
  <c r="J432" i="1"/>
  <c r="G433" i="1"/>
  <c r="H433" i="1"/>
  <c r="J433" i="1"/>
  <c r="G434" i="1"/>
  <c r="H434" i="1"/>
  <c r="J434" i="1"/>
  <c r="G435" i="1"/>
  <c r="H435" i="1"/>
  <c r="J435" i="1"/>
  <c r="G436" i="1"/>
  <c r="H436" i="1"/>
  <c r="J436" i="1"/>
  <c r="G437" i="1"/>
  <c r="H437" i="1"/>
  <c r="J437" i="1"/>
  <c r="G438" i="1"/>
  <c r="H438" i="1"/>
  <c r="J438" i="1"/>
  <c r="G439" i="1"/>
  <c r="H439" i="1"/>
  <c r="J439" i="1"/>
  <c r="G440" i="1"/>
  <c r="H440" i="1"/>
  <c r="J440" i="1"/>
  <c r="G441" i="1"/>
  <c r="H441" i="1"/>
  <c r="J441" i="1"/>
  <c r="G442" i="1"/>
  <c r="H442" i="1"/>
  <c r="J442" i="1"/>
  <c r="G443" i="1"/>
  <c r="H101" i="1" s="1"/>
  <c r="H443" i="1"/>
  <c r="J443" i="1"/>
  <c r="G444" i="1"/>
  <c r="H444" i="1"/>
  <c r="J444" i="1"/>
  <c r="G445" i="1"/>
  <c r="H445" i="1"/>
  <c r="J445" i="1"/>
  <c r="G446" i="1"/>
  <c r="H446" i="1"/>
  <c r="J446" i="1"/>
  <c r="G447" i="1"/>
  <c r="H447" i="1"/>
  <c r="J447" i="1"/>
  <c r="G448" i="1"/>
  <c r="H448" i="1"/>
  <c r="J448" i="1"/>
  <c r="G449" i="1"/>
  <c r="H449" i="1"/>
  <c r="J449" i="1"/>
  <c r="G450" i="1"/>
  <c r="H450" i="1"/>
  <c r="J450" i="1"/>
  <c r="G451" i="1"/>
  <c r="H451" i="1"/>
  <c r="J451" i="1"/>
  <c r="G452" i="1"/>
  <c r="H452" i="1"/>
  <c r="J452" i="1"/>
  <c r="G453" i="1"/>
  <c r="H453" i="1"/>
  <c r="J453" i="1"/>
  <c r="G454" i="1"/>
  <c r="H454" i="1"/>
  <c r="J454" i="1"/>
  <c r="G455" i="1"/>
  <c r="H455" i="1"/>
  <c r="J455" i="1"/>
  <c r="G456" i="1"/>
  <c r="H456" i="1"/>
  <c r="J456" i="1"/>
  <c r="G457" i="1"/>
  <c r="H457" i="1"/>
  <c r="J457" i="1"/>
  <c r="G458" i="1"/>
  <c r="H458" i="1"/>
  <c r="J458" i="1"/>
  <c r="G459" i="1"/>
  <c r="H459" i="1"/>
  <c r="J459" i="1"/>
  <c r="G460" i="1"/>
  <c r="H460" i="1"/>
  <c r="J460" i="1"/>
  <c r="G461" i="1"/>
  <c r="H461" i="1"/>
  <c r="J461" i="1"/>
  <c r="G462" i="1"/>
  <c r="H462" i="1"/>
  <c r="J462" i="1"/>
  <c r="G463" i="1"/>
  <c r="H463" i="1"/>
  <c r="J463" i="1"/>
  <c r="G464" i="1"/>
  <c r="H464" i="1"/>
  <c r="J464" i="1"/>
  <c r="G465" i="1"/>
  <c r="H465" i="1"/>
  <c r="J465" i="1"/>
  <c r="G466" i="1"/>
  <c r="H466" i="1"/>
  <c r="J466" i="1"/>
  <c r="G467" i="1"/>
  <c r="H467" i="1"/>
  <c r="J467" i="1"/>
  <c r="G468" i="1"/>
  <c r="H468" i="1"/>
  <c r="J468" i="1"/>
  <c r="G469" i="1"/>
  <c r="H469" i="1"/>
  <c r="J469" i="1"/>
  <c r="G470" i="1"/>
  <c r="H470" i="1"/>
  <c r="J470" i="1"/>
  <c r="G471" i="1"/>
  <c r="H471" i="1"/>
  <c r="J471" i="1"/>
  <c r="G472" i="1"/>
  <c r="H472" i="1"/>
  <c r="J472" i="1"/>
  <c r="G473" i="1"/>
  <c r="H473" i="1"/>
  <c r="J473" i="1"/>
  <c r="G474" i="1"/>
  <c r="H474" i="1"/>
  <c r="J474" i="1"/>
  <c r="G475" i="1"/>
  <c r="H475" i="1"/>
  <c r="J475" i="1"/>
  <c r="G476" i="1"/>
  <c r="H476" i="1"/>
  <c r="J476" i="1"/>
  <c r="G477" i="1"/>
  <c r="H477" i="1"/>
  <c r="J477" i="1"/>
  <c r="G478" i="1"/>
  <c r="H478" i="1"/>
  <c r="J478" i="1"/>
  <c r="G479" i="1"/>
  <c r="H479" i="1"/>
  <c r="J479" i="1"/>
  <c r="G480" i="1"/>
  <c r="H480" i="1"/>
  <c r="J480" i="1"/>
  <c r="G481" i="1"/>
  <c r="H481" i="1"/>
  <c r="J481" i="1"/>
  <c r="G482" i="1"/>
  <c r="H482" i="1"/>
  <c r="J482" i="1"/>
  <c r="G483" i="1"/>
  <c r="H483" i="1"/>
  <c r="J483" i="1"/>
  <c r="G484" i="1"/>
  <c r="H484" i="1"/>
  <c r="J484" i="1"/>
  <c r="G485" i="1"/>
  <c r="H485" i="1"/>
  <c r="J485" i="1"/>
  <c r="G486" i="1"/>
  <c r="H486" i="1"/>
  <c r="J486" i="1"/>
  <c r="G487" i="1"/>
  <c r="H487" i="1"/>
  <c r="J487" i="1"/>
  <c r="G488" i="1"/>
  <c r="H488" i="1"/>
  <c r="J488" i="1"/>
  <c r="G489" i="1"/>
  <c r="H489" i="1"/>
  <c r="J489" i="1"/>
  <c r="G490" i="1"/>
  <c r="H490" i="1"/>
  <c r="J490" i="1"/>
  <c r="G491" i="1"/>
  <c r="H491" i="1"/>
  <c r="J491" i="1"/>
  <c r="G492" i="1"/>
  <c r="H492" i="1"/>
  <c r="J492" i="1"/>
  <c r="G493" i="1"/>
  <c r="H493" i="1"/>
  <c r="J493" i="1"/>
  <c r="G494" i="1"/>
  <c r="H494" i="1"/>
  <c r="J494" i="1"/>
  <c r="G495" i="1"/>
  <c r="H495" i="1"/>
  <c r="J495" i="1"/>
  <c r="G496" i="1"/>
  <c r="H496" i="1"/>
  <c r="J496" i="1"/>
  <c r="G497" i="1"/>
  <c r="H497" i="1"/>
  <c r="J497" i="1"/>
  <c r="G498" i="1"/>
  <c r="H498" i="1"/>
  <c r="J498" i="1"/>
  <c r="G499" i="1"/>
  <c r="H103" i="1" s="1"/>
  <c r="H499" i="1"/>
  <c r="J499" i="1"/>
  <c r="G500" i="1"/>
  <c r="H500" i="1"/>
  <c r="J500" i="1"/>
  <c r="G501" i="1"/>
  <c r="H501" i="1"/>
  <c r="J501" i="1"/>
  <c r="G502" i="1"/>
  <c r="H502" i="1"/>
  <c r="J502" i="1"/>
  <c r="G503" i="1"/>
  <c r="H503" i="1"/>
  <c r="J503" i="1"/>
  <c r="G504" i="1"/>
  <c r="H504" i="1"/>
  <c r="J504" i="1"/>
  <c r="G505" i="1"/>
  <c r="H505" i="1"/>
  <c r="J505" i="1"/>
  <c r="G506" i="1"/>
  <c r="H506" i="1"/>
  <c r="J506" i="1"/>
  <c r="G507" i="1"/>
  <c r="H507" i="1"/>
  <c r="J507" i="1"/>
  <c r="G508" i="1"/>
  <c r="H508" i="1"/>
  <c r="J508" i="1"/>
  <c r="G509" i="1"/>
  <c r="H509" i="1"/>
  <c r="J509" i="1"/>
  <c r="G510" i="1"/>
  <c r="H510" i="1"/>
  <c r="J510" i="1"/>
  <c r="G511" i="1"/>
  <c r="H511" i="1"/>
  <c r="J511" i="1"/>
  <c r="G512" i="1"/>
  <c r="H512" i="1"/>
  <c r="J512" i="1"/>
  <c r="G513" i="1"/>
  <c r="H513" i="1"/>
  <c r="J513" i="1"/>
  <c r="G514" i="1"/>
  <c r="H514" i="1"/>
  <c r="J514" i="1"/>
  <c r="G515" i="1"/>
  <c r="H515" i="1"/>
  <c r="J515" i="1"/>
  <c r="G516" i="1"/>
  <c r="H516" i="1"/>
  <c r="J516" i="1"/>
  <c r="G517" i="1"/>
  <c r="H517" i="1"/>
  <c r="J517" i="1"/>
  <c r="G518" i="1"/>
  <c r="H518" i="1"/>
  <c r="J518" i="1"/>
  <c r="G519" i="1"/>
  <c r="H519" i="1"/>
  <c r="J519" i="1"/>
  <c r="G520" i="1"/>
  <c r="H520" i="1"/>
  <c r="J520" i="1"/>
  <c r="G521" i="1"/>
  <c r="H521" i="1"/>
  <c r="J521" i="1"/>
  <c r="G522" i="1"/>
  <c r="H522" i="1"/>
  <c r="J522" i="1"/>
  <c r="G523" i="1"/>
  <c r="H523" i="1"/>
  <c r="J523" i="1"/>
  <c r="G524" i="1"/>
  <c r="H524" i="1"/>
  <c r="J524" i="1"/>
  <c r="G525" i="1"/>
  <c r="H525" i="1"/>
  <c r="J525" i="1"/>
  <c r="G526" i="1"/>
  <c r="H526" i="1"/>
  <c r="J526" i="1"/>
  <c r="G527" i="1"/>
  <c r="H527" i="1"/>
  <c r="J527" i="1"/>
  <c r="G528" i="1"/>
  <c r="H528" i="1"/>
  <c r="J528" i="1"/>
  <c r="G529" i="1"/>
  <c r="H529" i="1"/>
  <c r="J529" i="1"/>
  <c r="G530" i="1"/>
  <c r="H530" i="1"/>
  <c r="J530" i="1"/>
  <c r="G531" i="1"/>
  <c r="H531" i="1"/>
  <c r="J531" i="1"/>
  <c r="G532" i="1"/>
  <c r="H532" i="1"/>
  <c r="J532" i="1"/>
  <c r="G533" i="1"/>
  <c r="H533" i="1"/>
  <c r="J533" i="1"/>
  <c r="G534" i="1"/>
  <c r="H534" i="1"/>
  <c r="J534" i="1"/>
  <c r="G535" i="1"/>
  <c r="H535" i="1"/>
  <c r="J535" i="1"/>
  <c r="G536" i="1"/>
  <c r="H536" i="1"/>
  <c r="J536" i="1"/>
  <c r="G537" i="1"/>
  <c r="H537" i="1"/>
  <c r="J537" i="1"/>
  <c r="G538" i="1"/>
  <c r="H538" i="1"/>
  <c r="J538" i="1"/>
  <c r="G539" i="1"/>
  <c r="H539" i="1"/>
  <c r="J539" i="1"/>
  <c r="G540" i="1"/>
  <c r="H540" i="1"/>
  <c r="J540" i="1"/>
  <c r="G541" i="1"/>
  <c r="H541" i="1"/>
  <c r="J541" i="1"/>
  <c r="G542" i="1"/>
  <c r="H542" i="1"/>
  <c r="J542" i="1"/>
  <c r="G543" i="1"/>
  <c r="H543" i="1"/>
  <c r="J543" i="1"/>
  <c r="G544" i="1"/>
  <c r="H544" i="1"/>
  <c r="J544" i="1"/>
  <c r="G545" i="1"/>
  <c r="H545" i="1"/>
  <c r="J545" i="1"/>
  <c r="G546" i="1"/>
  <c r="H546" i="1"/>
  <c r="J546" i="1"/>
  <c r="G547" i="1"/>
  <c r="H547" i="1"/>
  <c r="J547" i="1"/>
  <c r="G548" i="1"/>
  <c r="H548" i="1"/>
  <c r="J548" i="1"/>
  <c r="G549" i="1"/>
  <c r="H549" i="1"/>
  <c r="J549" i="1"/>
  <c r="G550" i="1"/>
  <c r="H550" i="1"/>
  <c r="J550" i="1"/>
  <c r="G551" i="1"/>
  <c r="H551" i="1"/>
  <c r="J551" i="1"/>
  <c r="G552" i="1"/>
  <c r="H552" i="1"/>
  <c r="J552" i="1"/>
  <c r="G553" i="1"/>
  <c r="H553" i="1"/>
  <c r="J553" i="1"/>
  <c r="G554" i="1"/>
  <c r="H554" i="1"/>
  <c r="J554" i="1"/>
  <c r="G555" i="1"/>
  <c r="H555" i="1"/>
  <c r="J555" i="1"/>
  <c r="G556" i="1"/>
  <c r="H556" i="1"/>
  <c r="J556" i="1"/>
  <c r="G557" i="1"/>
  <c r="H557" i="1"/>
  <c r="J557" i="1"/>
  <c r="G558" i="1"/>
  <c r="H558" i="1"/>
  <c r="J558" i="1"/>
  <c r="G559" i="1"/>
  <c r="H559" i="1"/>
  <c r="J559" i="1"/>
  <c r="G560" i="1"/>
  <c r="H560" i="1"/>
  <c r="J560" i="1"/>
  <c r="G561" i="1"/>
  <c r="H105" i="1" s="1"/>
  <c r="H561" i="1"/>
  <c r="J561" i="1"/>
  <c r="G562" i="1"/>
  <c r="H562" i="1"/>
  <c r="J562" i="1"/>
  <c r="G563" i="1"/>
  <c r="H563" i="1"/>
  <c r="J563" i="1"/>
  <c r="G564" i="1"/>
  <c r="H564" i="1"/>
  <c r="J564" i="1"/>
  <c r="G565" i="1"/>
  <c r="H565" i="1"/>
  <c r="J565" i="1"/>
  <c r="G566" i="1"/>
  <c r="H566" i="1"/>
  <c r="J566" i="1"/>
  <c r="G567" i="1"/>
  <c r="H567" i="1"/>
  <c r="J567" i="1"/>
  <c r="G568" i="1"/>
  <c r="H568" i="1"/>
  <c r="J568" i="1"/>
  <c r="G569" i="1"/>
  <c r="H569" i="1"/>
  <c r="J569" i="1"/>
  <c r="G570" i="1"/>
  <c r="H570" i="1"/>
  <c r="J570" i="1"/>
  <c r="G571" i="1"/>
  <c r="H571" i="1"/>
  <c r="J571" i="1"/>
  <c r="G572" i="1"/>
  <c r="H572" i="1"/>
  <c r="J572" i="1"/>
  <c r="G573" i="1"/>
  <c r="H573" i="1"/>
  <c r="J573" i="1"/>
  <c r="G574" i="1"/>
  <c r="H574" i="1"/>
  <c r="J574" i="1"/>
  <c r="G575" i="1"/>
  <c r="H575" i="1"/>
  <c r="J575" i="1"/>
  <c r="G576" i="1"/>
  <c r="H576" i="1"/>
  <c r="J576" i="1"/>
  <c r="G577" i="1"/>
  <c r="H577" i="1"/>
  <c r="J577" i="1"/>
  <c r="G578" i="1"/>
  <c r="H578" i="1"/>
  <c r="J578" i="1"/>
  <c r="G579" i="1"/>
  <c r="H579" i="1"/>
  <c r="J579" i="1"/>
  <c r="G580" i="1"/>
  <c r="H580" i="1"/>
  <c r="J580" i="1"/>
  <c r="G581" i="1"/>
  <c r="H581" i="1"/>
  <c r="J581" i="1"/>
  <c r="G582" i="1"/>
  <c r="H582" i="1"/>
  <c r="J582" i="1"/>
  <c r="G583" i="1"/>
  <c r="H583" i="1"/>
  <c r="J583" i="1"/>
  <c r="G584" i="1"/>
  <c r="H584" i="1"/>
  <c r="J584" i="1"/>
  <c r="G585" i="1"/>
  <c r="H585" i="1"/>
  <c r="J585" i="1"/>
  <c r="G586" i="1"/>
  <c r="H586" i="1"/>
  <c r="J586" i="1"/>
  <c r="G587" i="1"/>
  <c r="H587" i="1"/>
  <c r="J587" i="1"/>
  <c r="G588" i="1"/>
  <c r="H588" i="1"/>
  <c r="J588" i="1"/>
  <c r="G589" i="1"/>
  <c r="H589" i="1"/>
  <c r="J589" i="1"/>
  <c r="G590" i="1"/>
  <c r="H590" i="1"/>
  <c r="J590" i="1"/>
  <c r="G591" i="1"/>
  <c r="H591" i="1"/>
  <c r="J591" i="1"/>
  <c r="G592" i="1"/>
  <c r="H592" i="1"/>
  <c r="J592" i="1"/>
  <c r="G593" i="1"/>
  <c r="H593" i="1"/>
  <c r="J593" i="1"/>
  <c r="G594" i="1"/>
  <c r="H594" i="1"/>
  <c r="J594" i="1"/>
  <c r="G595" i="1"/>
  <c r="H595" i="1"/>
  <c r="J595" i="1"/>
  <c r="G596" i="1"/>
  <c r="H596" i="1"/>
  <c r="J596" i="1"/>
  <c r="G597" i="1"/>
  <c r="H597" i="1"/>
  <c r="J597" i="1"/>
  <c r="G598" i="1"/>
  <c r="H598" i="1"/>
  <c r="J598" i="1"/>
  <c r="G599" i="1"/>
  <c r="H599" i="1"/>
  <c r="J599" i="1"/>
  <c r="G600" i="1"/>
  <c r="H600" i="1"/>
  <c r="J600" i="1"/>
  <c r="G601" i="1"/>
  <c r="H601" i="1"/>
  <c r="J601" i="1"/>
  <c r="G602" i="1"/>
  <c r="H602" i="1"/>
  <c r="J602" i="1"/>
  <c r="G603" i="1"/>
  <c r="H603" i="1"/>
  <c r="J603" i="1"/>
  <c r="G604" i="1"/>
  <c r="H604" i="1"/>
  <c r="J604" i="1"/>
  <c r="G605" i="1"/>
  <c r="H605" i="1"/>
  <c r="J605" i="1"/>
  <c r="G606" i="1"/>
  <c r="H606" i="1"/>
  <c r="J606" i="1"/>
  <c r="G607" i="1"/>
  <c r="H607" i="1"/>
  <c r="J607" i="1"/>
  <c r="G608" i="1"/>
  <c r="H608" i="1"/>
  <c r="J608" i="1"/>
  <c r="G609" i="1"/>
  <c r="H609" i="1"/>
  <c r="J609" i="1"/>
  <c r="G610" i="1"/>
  <c r="H610" i="1"/>
  <c r="J610" i="1"/>
  <c r="G611" i="1"/>
  <c r="H611" i="1"/>
  <c r="J611" i="1"/>
  <c r="G612" i="1"/>
  <c r="H612" i="1"/>
  <c r="J612" i="1"/>
  <c r="G613" i="1"/>
  <c r="H613" i="1"/>
  <c r="J613" i="1"/>
  <c r="G614" i="1"/>
  <c r="H614" i="1"/>
  <c r="J614" i="1"/>
  <c r="G615" i="1"/>
  <c r="H615" i="1"/>
  <c r="J615" i="1"/>
  <c r="G616" i="1"/>
  <c r="H616" i="1"/>
  <c r="J616" i="1"/>
  <c r="G617" i="1"/>
  <c r="H617" i="1"/>
  <c r="J617" i="1"/>
  <c r="G618" i="1"/>
  <c r="H618" i="1"/>
  <c r="J618" i="1"/>
  <c r="G619" i="1"/>
  <c r="H619" i="1"/>
  <c r="J619" i="1"/>
  <c r="G620" i="1"/>
  <c r="H620" i="1"/>
  <c r="J620" i="1"/>
  <c r="G621" i="1"/>
  <c r="H621" i="1"/>
  <c r="J621" i="1"/>
  <c r="G622" i="1"/>
  <c r="H622" i="1"/>
  <c r="J622" i="1"/>
  <c r="G623" i="1"/>
  <c r="H623" i="1"/>
  <c r="J623" i="1"/>
  <c r="G624" i="1"/>
  <c r="H624" i="1"/>
  <c r="J624" i="1"/>
  <c r="G625" i="1"/>
  <c r="H625" i="1"/>
  <c r="J625" i="1"/>
  <c r="G626" i="1"/>
  <c r="H626" i="1"/>
  <c r="J626" i="1"/>
  <c r="G627" i="1"/>
  <c r="H627" i="1"/>
  <c r="J627" i="1"/>
  <c r="G628" i="1"/>
  <c r="H628" i="1"/>
  <c r="J628" i="1"/>
  <c r="G629" i="1"/>
  <c r="H629" i="1"/>
  <c r="J629" i="1"/>
  <c r="G630" i="1"/>
  <c r="H630" i="1"/>
  <c r="J630" i="1"/>
  <c r="G631" i="1"/>
  <c r="H631" i="1"/>
  <c r="J631" i="1"/>
  <c r="G632" i="1"/>
  <c r="H632" i="1"/>
  <c r="J632" i="1"/>
  <c r="G633" i="1"/>
  <c r="H107" i="1" s="1"/>
  <c r="H633" i="1"/>
  <c r="J633" i="1"/>
  <c r="G634" i="1"/>
  <c r="H634" i="1"/>
  <c r="J634" i="1"/>
  <c r="G635" i="1"/>
  <c r="H635" i="1"/>
  <c r="J635" i="1"/>
  <c r="G636" i="1"/>
  <c r="H636" i="1"/>
  <c r="J636" i="1"/>
  <c r="G637" i="1"/>
  <c r="H637" i="1"/>
  <c r="J637" i="1"/>
  <c r="G638" i="1"/>
  <c r="H638" i="1"/>
  <c r="J638" i="1"/>
  <c r="G639" i="1"/>
  <c r="H639" i="1"/>
  <c r="J639" i="1"/>
  <c r="G640" i="1"/>
  <c r="H640" i="1"/>
  <c r="J640" i="1"/>
  <c r="G641" i="1"/>
  <c r="H641" i="1"/>
  <c r="J641" i="1"/>
  <c r="G642" i="1"/>
  <c r="H642" i="1"/>
  <c r="J642" i="1"/>
  <c r="G643" i="1"/>
  <c r="H643" i="1"/>
  <c r="J643" i="1"/>
  <c r="G644" i="1"/>
  <c r="H644" i="1"/>
  <c r="J644" i="1"/>
  <c r="G645" i="1"/>
  <c r="H645" i="1"/>
  <c r="J645" i="1"/>
  <c r="G646" i="1"/>
  <c r="H646" i="1"/>
  <c r="J646" i="1"/>
  <c r="G647" i="1"/>
  <c r="H647" i="1"/>
  <c r="J647" i="1"/>
  <c r="G648" i="1"/>
  <c r="H648" i="1"/>
  <c r="J648" i="1"/>
  <c r="G649" i="1"/>
  <c r="H649" i="1"/>
  <c r="J649" i="1"/>
  <c r="G650" i="1"/>
  <c r="H650" i="1"/>
  <c r="J650" i="1"/>
  <c r="G651" i="1"/>
  <c r="H651" i="1"/>
  <c r="J651" i="1"/>
  <c r="G652" i="1"/>
  <c r="H652" i="1"/>
  <c r="J652" i="1"/>
  <c r="G653" i="1"/>
  <c r="H653" i="1"/>
  <c r="J653" i="1"/>
  <c r="G654" i="1"/>
  <c r="H654" i="1"/>
  <c r="J654" i="1"/>
  <c r="G655" i="1"/>
  <c r="H655" i="1"/>
  <c r="J655" i="1"/>
  <c r="G656" i="1"/>
  <c r="H656" i="1"/>
  <c r="J656" i="1"/>
  <c r="G657" i="1"/>
  <c r="H657" i="1"/>
  <c r="J657" i="1"/>
  <c r="G658" i="1"/>
  <c r="H658" i="1"/>
  <c r="J658" i="1"/>
  <c r="G659" i="1"/>
  <c r="H659" i="1"/>
  <c r="J659" i="1"/>
  <c r="G660" i="1"/>
  <c r="H660" i="1"/>
  <c r="J660" i="1"/>
  <c r="G661" i="1"/>
  <c r="H661" i="1"/>
  <c r="J661" i="1"/>
  <c r="G662" i="1"/>
  <c r="H662" i="1"/>
  <c r="J662" i="1"/>
  <c r="G663" i="1"/>
  <c r="H663" i="1"/>
  <c r="J663" i="1"/>
  <c r="G664" i="1"/>
  <c r="H664" i="1"/>
  <c r="J664" i="1"/>
  <c r="G665" i="1"/>
  <c r="H665" i="1"/>
  <c r="J665" i="1"/>
  <c r="G666" i="1"/>
  <c r="H666" i="1"/>
  <c r="J666" i="1"/>
  <c r="G667" i="1"/>
  <c r="H667" i="1"/>
  <c r="J667" i="1"/>
  <c r="G668" i="1"/>
  <c r="H668" i="1"/>
  <c r="J668" i="1"/>
  <c r="G669" i="1"/>
  <c r="H669" i="1"/>
  <c r="J669" i="1"/>
  <c r="G670" i="1"/>
  <c r="H670" i="1"/>
  <c r="J670" i="1"/>
  <c r="G671" i="1"/>
  <c r="H671" i="1"/>
  <c r="J671" i="1"/>
  <c r="G672" i="1"/>
  <c r="H672" i="1"/>
  <c r="J672" i="1"/>
  <c r="G673" i="1"/>
  <c r="H673" i="1"/>
  <c r="J673" i="1"/>
  <c r="G674" i="1"/>
  <c r="H674" i="1"/>
  <c r="J674" i="1"/>
  <c r="G675" i="1"/>
  <c r="H675" i="1"/>
  <c r="J675" i="1"/>
  <c r="G676" i="1"/>
  <c r="H676" i="1"/>
  <c r="J676" i="1"/>
  <c r="G677" i="1"/>
  <c r="H677" i="1"/>
  <c r="J677" i="1"/>
  <c r="G678" i="1"/>
  <c r="H678" i="1"/>
  <c r="J678" i="1"/>
  <c r="G679" i="1"/>
  <c r="H679" i="1"/>
  <c r="J679" i="1"/>
  <c r="G680" i="1"/>
  <c r="H680" i="1"/>
  <c r="J680" i="1"/>
  <c r="G681" i="1"/>
  <c r="H681" i="1"/>
  <c r="J681" i="1"/>
  <c r="G682" i="1"/>
  <c r="H682" i="1"/>
  <c r="J682" i="1"/>
  <c r="G683" i="1"/>
  <c r="H683" i="1"/>
  <c r="J683" i="1"/>
  <c r="G684" i="1"/>
  <c r="H684" i="1"/>
  <c r="J684" i="1"/>
  <c r="G685" i="1"/>
  <c r="H685" i="1"/>
  <c r="J685" i="1"/>
  <c r="G686" i="1"/>
  <c r="H686" i="1"/>
  <c r="J686" i="1"/>
  <c r="G687" i="1"/>
  <c r="H687" i="1"/>
  <c r="J687" i="1"/>
  <c r="G688" i="1"/>
  <c r="H688" i="1"/>
  <c r="J688" i="1"/>
  <c r="G689" i="1"/>
  <c r="H689" i="1"/>
  <c r="J689" i="1"/>
  <c r="G690" i="1"/>
  <c r="H690" i="1"/>
  <c r="J690" i="1"/>
  <c r="G691" i="1"/>
  <c r="H691" i="1"/>
  <c r="J691" i="1"/>
  <c r="G692" i="1"/>
  <c r="H692" i="1"/>
  <c r="J692" i="1"/>
  <c r="G693" i="1"/>
  <c r="H693" i="1"/>
  <c r="J693" i="1"/>
  <c r="G694" i="1"/>
  <c r="H694" i="1"/>
  <c r="J694" i="1"/>
  <c r="G695" i="1"/>
  <c r="H695" i="1"/>
  <c r="J695" i="1"/>
  <c r="G696" i="1"/>
  <c r="H696" i="1"/>
  <c r="J696" i="1"/>
  <c r="G697" i="1"/>
  <c r="H697" i="1"/>
  <c r="J697" i="1"/>
  <c r="G698" i="1"/>
  <c r="H698" i="1"/>
  <c r="J698" i="1"/>
  <c r="G699" i="1"/>
  <c r="H699" i="1"/>
  <c r="J699" i="1"/>
  <c r="G700" i="1"/>
  <c r="H700" i="1"/>
  <c r="J700" i="1"/>
  <c r="G701" i="1"/>
  <c r="H701" i="1"/>
  <c r="J701" i="1"/>
  <c r="G702" i="1"/>
  <c r="H702" i="1"/>
  <c r="J702" i="1"/>
  <c r="G703" i="1"/>
  <c r="H703" i="1"/>
  <c r="J703" i="1"/>
  <c r="G704" i="1"/>
  <c r="H704" i="1"/>
  <c r="J704" i="1"/>
  <c r="G705" i="1"/>
  <c r="H705" i="1"/>
  <c r="J705" i="1"/>
  <c r="G706" i="1"/>
  <c r="H706" i="1"/>
  <c r="J706" i="1"/>
  <c r="G707" i="1"/>
  <c r="H707" i="1"/>
  <c r="J707" i="1"/>
  <c r="G708" i="1"/>
  <c r="H708" i="1"/>
  <c r="J708" i="1"/>
  <c r="G709" i="1"/>
  <c r="H709" i="1"/>
  <c r="J709" i="1"/>
  <c r="G710" i="1"/>
  <c r="H710" i="1"/>
  <c r="J710" i="1"/>
  <c r="G711" i="1"/>
  <c r="H109" i="1" s="1"/>
  <c r="H711" i="1"/>
  <c r="J711" i="1"/>
  <c r="G712" i="1"/>
  <c r="H712" i="1"/>
  <c r="J712" i="1"/>
  <c r="G713" i="1"/>
  <c r="H713" i="1"/>
  <c r="J713" i="1"/>
  <c r="G714" i="1"/>
  <c r="H714" i="1"/>
  <c r="J714" i="1"/>
  <c r="G715" i="1"/>
  <c r="H715" i="1"/>
  <c r="J715" i="1"/>
  <c r="G716" i="1"/>
  <c r="H716" i="1"/>
  <c r="J716" i="1"/>
  <c r="G717" i="1"/>
  <c r="H717" i="1"/>
  <c r="J717" i="1"/>
  <c r="G718" i="1"/>
  <c r="H718" i="1"/>
  <c r="J718" i="1"/>
  <c r="G719" i="1"/>
  <c r="H719" i="1"/>
  <c r="J719" i="1"/>
  <c r="G720" i="1"/>
  <c r="H720" i="1"/>
  <c r="J720" i="1"/>
  <c r="G721" i="1"/>
  <c r="H721" i="1"/>
  <c r="J721" i="1"/>
  <c r="G722" i="1"/>
  <c r="H722" i="1"/>
  <c r="J722" i="1"/>
  <c r="G723" i="1"/>
  <c r="H723" i="1"/>
  <c r="J723" i="1"/>
  <c r="G724" i="1"/>
  <c r="H724" i="1"/>
  <c r="J724" i="1"/>
  <c r="G725" i="1"/>
  <c r="H725" i="1"/>
  <c r="J725" i="1"/>
  <c r="G726" i="1"/>
  <c r="H726" i="1"/>
  <c r="J726" i="1"/>
  <c r="G727" i="1"/>
  <c r="H727" i="1"/>
  <c r="J727" i="1"/>
  <c r="G728" i="1"/>
  <c r="H728" i="1"/>
  <c r="J728" i="1"/>
  <c r="G729" i="1"/>
  <c r="H729" i="1"/>
  <c r="J729" i="1"/>
  <c r="G730" i="1"/>
  <c r="H730" i="1"/>
  <c r="J730" i="1"/>
  <c r="G731" i="1"/>
  <c r="H731" i="1"/>
  <c r="J731" i="1"/>
  <c r="G732" i="1"/>
  <c r="H732" i="1"/>
  <c r="J732" i="1"/>
  <c r="G733" i="1"/>
  <c r="H733" i="1"/>
  <c r="J733" i="1"/>
  <c r="G734" i="1"/>
  <c r="H734" i="1"/>
  <c r="J734" i="1"/>
  <c r="G735" i="1"/>
  <c r="H735" i="1"/>
  <c r="J735" i="1"/>
  <c r="G736" i="1"/>
  <c r="H736" i="1"/>
  <c r="J736" i="1"/>
  <c r="G737" i="1"/>
  <c r="H737" i="1"/>
  <c r="J737" i="1"/>
  <c r="G738" i="1"/>
  <c r="H738" i="1"/>
  <c r="J738" i="1"/>
  <c r="G739" i="1"/>
  <c r="H739" i="1"/>
  <c r="J739" i="1"/>
  <c r="G740" i="1"/>
  <c r="H740" i="1"/>
  <c r="J740" i="1"/>
  <c r="G741" i="1"/>
  <c r="H741" i="1"/>
  <c r="J741" i="1"/>
  <c r="G742" i="1"/>
  <c r="H742" i="1"/>
  <c r="J742" i="1"/>
  <c r="G743" i="1"/>
  <c r="H743" i="1"/>
  <c r="J743" i="1"/>
  <c r="G744" i="1"/>
  <c r="H744" i="1"/>
  <c r="J744" i="1"/>
  <c r="G745" i="1"/>
  <c r="H745" i="1"/>
  <c r="J745" i="1"/>
  <c r="G746" i="1"/>
  <c r="H746" i="1"/>
  <c r="J746" i="1"/>
  <c r="G747" i="1"/>
  <c r="H747" i="1"/>
  <c r="J747" i="1"/>
  <c r="G748" i="1"/>
  <c r="H748" i="1"/>
  <c r="J748" i="1"/>
  <c r="G749" i="1"/>
  <c r="H749" i="1"/>
  <c r="J749" i="1"/>
  <c r="G750" i="1"/>
  <c r="H750" i="1"/>
  <c r="J750" i="1"/>
  <c r="G751" i="1"/>
  <c r="H751" i="1"/>
  <c r="J751" i="1"/>
  <c r="G752" i="1"/>
  <c r="H752" i="1"/>
  <c r="J752" i="1"/>
  <c r="G753" i="1"/>
  <c r="H753" i="1"/>
  <c r="J753" i="1"/>
  <c r="G754" i="1"/>
  <c r="H754" i="1"/>
  <c r="J754" i="1"/>
  <c r="G755" i="1"/>
  <c r="H755" i="1"/>
  <c r="J755" i="1"/>
  <c r="G756" i="1"/>
  <c r="H756" i="1"/>
  <c r="J756" i="1"/>
  <c r="G757" i="1"/>
  <c r="H757" i="1"/>
  <c r="J757" i="1"/>
  <c r="G758" i="1"/>
  <c r="H758" i="1"/>
  <c r="J758" i="1"/>
  <c r="G759" i="1"/>
  <c r="H759" i="1"/>
  <c r="J759" i="1"/>
  <c r="G760" i="1"/>
  <c r="H760" i="1"/>
  <c r="J760" i="1"/>
  <c r="G761" i="1"/>
  <c r="H761" i="1"/>
  <c r="J761" i="1"/>
  <c r="G762" i="1"/>
  <c r="H762" i="1"/>
  <c r="J762" i="1"/>
  <c r="G763" i="1"/>
  <c r="H763" i="1"/>
  <c r="J763" i="1"/>
  <c r="G764" i="1"/>
  <c r="H764" i="1"/>
  <c r="J764" i="1"/>
  <c r="G765" i="1"/>
  <c r="H765" i="1"/>
  <c r="J765" i="1"/>
  <c r="G766" i="1"/>
  <c r="H766" i="1"/>
  <c r="J766" i="1"/>
  <c r="G767" i="1"/>
  <c r="H767" i="1"/>
  <c r="J767" i="1"/>
  <c r="G768" i="1"/>
  <c r="H768" i="1"/>
  <c r="J768" i="1"/>
  <c r="G769" i="1"/>
  <c r="H769" i="1"/>
  <c r="J769" i="1"/>
  <c r="G770" i="1"/>
  <c r="H770" i="1"/>
  <c r="J770" i="1"/>
  <c r="G771" i="1"/>
  <c r="H771" i="1"/>
  <c r="J771" i="1"/>
  <c r="G772" i="1"/>
  <c r="H772" i="1"/>
  <c r="J772" i="1"/>
  <c r="G773" i="1"/>
  <c r="H773" i="1"/>
  <c r="J773" i="1"/>
  <c r="G774" i="1"/>
  <c r="H774" i="1"/>
  <c r="J774" i="1"/>
  <c r="G775" i="1"/>
  <c r="H775" i="1"/>
  <c r="J775" i="1"/>
  <c r="G776" i="1"/>
  <c r="H776" i="1"/>
  <c r="J776" i="1"/>
  <c r="G777" i="1"/>
  <c r="H777" i="1"/>
  <c r="J777" i="1"/>
  <c r="G778" i="1"/>
  <c r="H778" i="1"/>
  <c r="J778" i="1"/>
  <c r="G779" i="1"/>
  <c r="H779" i="1"/>
  <c r="J779" i="1"/>
  <c r="G780" i="1"/>
  <c r="H780" i="1"/>
  <c r="J780" i="1"/>
  <c r="G781" i="1"/>
  <c r="H781" i="1"/>
  <c r="J781" i="1"/>
  <c r="G782" i="1"/>
  <c r="H782" i="1"/>
  <c r="J782" i="1"/>
  <c r="G783" i="1"/>
  <c r="H783" i="1"/>
  <c r="J783" i="1"/>
  <c r="G784" i="1"/>
  <c r="H784" i="1"/>
  <c r="J784" i="1"/>
  <c r="G785" i="1"/>
  <c r="H785" i="1"/>
  <c r="J785" i="1"/>
  <c r="G786" i="1"/>
  <c r="H786" i="1"/>
  <c r="J786" i="1"/>
  <c r="G787" i="1"/>
  <c r="H787" i="1"/>
  <c r="J787" i="1"/>
  <c r="G788" i="1"/>
  <c r="H788" i="1"/>
  <c r="J788" i="1"/>
  <c r="G789" i="1"/>
  <c r="H789" i="1"/>
  <c r="J789" i="1"/>
  <c r="G790" i="1"/>
  <c r="H790" i="1"/>
  <c r="J790" i="1"/>
  <c r="G791" i="1"/>
  <c r="H791" i="1"/>
  <c r="J791" i="1"/>
  <c r="G792" i="1"/>
  <c r="H792" i="1"/>
  <c r="J792" i="1"/>
  <c r="G793" i="1"/>
  <c r="H793" i="1"/>
  <c r="J793" i="1"/>
  <c r="G794" i="1"/>
  <c r="H794" i="1"/>
  <c r="J794" i="1"/>
  <c r="G795" i="1"/>
  <c r="H795" i="1"/>
  <c r="J795" i="1"/>
  <c r="G796" i="1"/>
  <c r="H796" i="1"/>
  <c r="J796" i="1"/>
  <c r="G797" i="1"/>
  <c r="H111" i="1" s="1"/>
  <c r="H797" i="1"/>
  <c r="J797" i="1"/>
  <c r="G798" i="1"/>
  <c r="H798" i="1"/>
  <c r="J798" i="1"/>
  <c r="G799" i="1"/>
  <c r="H799" i="1"/>
  <c r="J799" i="1"/>
  <c r="G800" i="1"/>
  <c r="H800" i="1"/>
  <c r="J800" i="1"/>
  <c r="G801" i="1"/>
  <c r="H801" i="1"/>
  <c r="J801" i="1"/>
  <c r="G802" i="1"/>
  <c r="H802" i="1"/>
  <c r="J802" i="1"/>
  <c r="G803" i="1"/>
  <c r="H803" i="1"/>
  <c r="J803" i="1"/>
  <c r="G804" i="1"/>
  <c r="H804" i="1"/>
  <c r="J804" i="1"/>
  <c r="G805" i="1"/>
  <c r="H805" i="1"/>
  <c r="J805" i="1"/>
  <c r="G806" i="1"/>
  <c r="H806" i="1"/>
  <c r="J806" i="1"/>
  <c r="G807" i="1"/>
  <c r="H807" i="1"/>
  <c r="J807" i="1"/>
  <c r="G808" i="1"/>
  <c r="H808" i="1"/>
  <c r="J808" i="1"/>
  <c r="G809" i="1"/>
  <c r="H809" i="1"/>
  <c r="J809" i="1"/>
  <c r="G810" i="1"/>
  <c r="H810" i="1"/>
  <c r="J810" i="1"/>
  <c r="G811" i="1"/>
  <c r="H811" i="1"/>
  <c r="J811" i="1"/>
  <c r="G812" i="1"/>
  <c r="H812" i="1"/>
  <c r="J812" i="1"/>
  <c r="G813" i="1"/>
  <c r="H813" i="1"/>
  <c r="J813" i="1"/>
  <c r="G814" i="1"/>
  <c r="H814" i="1"/>
  <c r="J814" i="1"/>
  <c r="G815" i="1"/>
  <c r="H815" i="1"/>
  <c r="J815" i="1"/>
  <c r="G816" i="1"/>
  <c r="H816" i="1"/>
  <c r="J816" i="1"/>
  <c r="G817" i="1"/>
  <c r="H817" i="1"/>
  <c r="J817" i="1"/>
  <c r="G818" i="1"/>
  <c r="H818" i="1"/>
  <c r="J818" i="1"/>
  <c r="G819" i="1"/>
  <c r="H819" i="1"/>
  <c r="J819" i="1"/>
  <c r="G820" i="1"/>
  <c r="H820" i="1"/>
  <c r="J820" i="1"/>
  <c r="G821" i="1"/>
  <c r="H821" i="1"/>
  <c r="J821" i="1"/>
  <c r="G822" i="1"/>
  <c r="H822" i="1"/>
  <c r="J822" i="1"/>
  <c r="G823" i="1"/>
  <c r="H823" i="1"/>
  <c r="J823" i="1"/>
  <c r="G824" i="1"/>
  <c r="H824" i="1"/>
  <c r="J824" i="1"/>
  <c r="G825" i="1"/>
  <c r="H825" i="1"/>
  <c r="J825" i="1"/>
  <c r="G826" i="1"/>
  <c r="H826" i="1"/>
  <c r="J826" i="1"/>
  <c r="G827" i="1"/>
  <c r="H827" i="1"/>
  <c r="J827" i="1"/>
  <c r="G828" i="1"/>
  <c r="H828" i="1"/>
  <c r="J828" i="1"/>
  <c r="G829" i="1"/>
  <c r="H829" i="1"/>
  <c r="J829" i="1"/>
  <c r="G830" i="1"/>
  <c r="H830" i="1"/>
  <c r="J830" i="1"/>
  <c r="G831" i="1"/>
  <c r="H831" i="1"/>
  <c r="J831" i="1"/>
  <c r="G832" i="1"/>
  <c r="H832" i="1"/>
  <c r="J832" i="1"/>
  <c r="G833" i="1"/>
  <c r="H833" i="1"/>
  <c r="J833" i="1"/>
  <c r="G834" i="1"/>
  <c r="H834" i="1"/>
  <c r="J834" i="1"/>
  <c r="G835" i="1"/>
  <c r="H835" i="1"/>
  <c r="J835" i="1"/>
  <c r="G836" i="1"/>
  <c r="H836" i="1"/>
  <c r="J836" i="1"/>
  <c r="G837" i="1"/>
  <c r="H837" i="1"/>
  <c r="J837" i="1"/>
  <c r="G838" i="1"/>
  <c r="H838" i="1"/>
  <c r="J838" i="1"/>
  <c r="G839" i="1"/>
  <c r="H839" i="1"/>
  <c r="J839" i="1"/>
  <c r="G840" i="1"/>
  <c r="H840" i="1"/>
  <c r="J840" i="1"/>
  <c r="G841" i="1"/>
  <c r="H841" i="1"/>
  <c r="J841" i="1"/>
  <c r="G842" i="1"/>
  <c r="H842" i="1"/>
  <c r="J842" i="1"/>
  <c r="G843" i="1"/>
  <c r="H843" i="1"/>
  <c r="J843" i="1"/>
  <c r="G844" i="1"/>
  <c r="H844" i="1"/>
  <c r="J844" i="1"/>
  <c r="G845" i="1"/>
  <c r="H845" i="1"/>
  <c r="J845" i="1"/>
  <c r="G846" i="1"/>
  <c r="H846" i="1"/>
  <c r="J846" i="1"/>
  <c r="G847" i="1"/>
  <c r="H847" i="1"/>
  <c r="J847" i="1"/>
  <c r="G848" i="1"/>
  <c r="H848" i="1"/>
  <c r="J848" i="1"/>
  <c r="G849" i="1"/>
  <c r="H849" i="1"/>
  <c r="J849" i="1"/>
  <c r="G850" i="1"/>
  <c r="H850" i="1"/>
  <c r="J850" i="1"/>
  <c r="G851" i="1"/>
  <c r="H851" i="1"/>
  <c r="J851" i="1"/>
  <c r="G852" i="1"/>
  <c r="H852" i="1"/>
  <c r="J852" i="1"/>
  <c r="G853" i="1"/>
  <c r="H853" i="1"/>
  <c r="J853" i="1"/>
  <c r="G854" i="1"/>
  <c r="H854" i="1"/>
  <c r="J854" i="1"/>
  <c r="G855" i="1"/>
  <c r="H855" i="1"/>
  <c r="J855" i="1"/>
  <c r="G856" i="1"/>
  <c r="H856" i="1"/>
  <c r="J856" i="1"/>
  <c r="G857" i="1"/>
  <c r="H857" i="1"/>
  <c r="J857" i="1"/>
  <c r="G858" i="1"/>
  <c r="H858" i="1"/>
  <c r="J858" i="1"/>
  <c r="G859" i="1"/>
  <c r="H859" i="1"/>
  <c r="J859" i="1"/>
  <c r="G860" i="1"/>
  <c r="H860" i="1"/>
  <c r="J860" i="1"/>
  <c r="G861" i="1"/>
  <c r="H861" i="1"/>
  <c r="J861" i="1"/>
  <c r="G862" i="1"/>
  <c r="H862" i="1"/>
  <c r="J862" i="1"/>
  <c r="G863" i="1"/>
  <c r="H863" i="1"/>
  <c r="J863" i="1"/>
  <c r="G864" i="1"/>
  <c r="H864" i="1"/>
  <c r="J864" i="1"/>
  <c r="G865" i="1"/>
  <c r="H865" i="1"/>
  <c r="J865" i="1"/>
  <c r="G866" i="1"/>
  <c r="H866" i="1"/>
  <c r="J866" i="1"/>
  <c r="G867" i="1"/>
  <c r="H867" i="1"/>
  <c r="J867" i="1"/>
  <c r="G868" i="1"/>
  <c r="H868" i="1"/>
  <c r="J868" i="1"/>
  <c r="G869" i="1"/>
  <c r="H869" i="1"/>
  <c r="J869" i="1"/>
  <c r="G870" i="1"/>
  <c r="H870" i="1"/>
  <c r="J870" i="1"/>
  <c r="G871" i="1"/>
  <c r="H871" i="1"/>
  <c r="J871" i="1"/>
  <c r="G872" i="1"/>
  <c r="H872" i="1"/>
  <c r="J872" i="1"/>
  <c r="G873" i="1"/>
  <c r="H873" i="1"/>
  <c r="J873" i="1"/>
  <c r="G874" i="1"/>
  <c r="H874" i="1"/>
  <c r="J874" i="1"/>
  <c r="G875" i="1"/>
  <c r="H875" i="1"/>
  <c r="J875" i="1"/>
  <c r="G876" i="1"/>
  <c r="H876" i="1"/>
  <c r="J876" i="1"/>
  <c r="G877" i="1"/>
  <c r="H877" i="1"/>
  <c r="J877" i="1"/>
  <c r="G878" i="1"/>
  <c r="H878" i="1"/>
  <c r="J878" i="1"/>
  <c r="G879" i="1"/>
  <c r="H879" i="1"/>
  <c r="J879" i="1"/>
  <c r="G880" i="1"/>
  <c r="H880" i="1"/>
  <c r="J880" i="1"/>
  <c r="G881" i="1"/>
  <c r="H881" i="1"/>
  <c r="J881" i="1"/>
  <c r="G882" i="1"/>
  <c r="H882" i="1"/>
  <c r="J882" i="1"/>
  <c r="G883" i="1"/>
  <c r="H883" i="1"/>
  <c r="J883" i="1"/>
  <c r="G884" i="1"/>
  <c r="H884" i="1"/>
  <c r="J884" i="1"/>
  <c r="G885" i="1"/>
  <c r="H885" i="1"/>
  <c r="J885" i="1"/>
  <c r="G886" i="1"/>
  <c r="H886" i="1"/>
  <c r="J886" i="1"/>
  <c r="G887" i="1"/>
  <c r="H887" i="1"/>
  <c r="J887" i="1"/>
  <c r="G888" i="1"/>
  <c r="H888" i="1"/>
  <c r="J888" i="1"/>
  <c r="G889" i="1"/>
  <c r="H889" i="1"/>
  <c r="J889" i="1"/>
  <c r="G890" i="1"/>
  <c r="H890" i="1"/>
  <c r="J890" i="1"/>
  <c r="G891" i="1"/>
  <c r="H891" i="1"/>
  <c r="J891" i="1"/>
  <c r="G892" i="1"/>
  <c r="H892" i="1"/>
  <c r="J892" i="1"/>
  <c r="G893" i="1"/>
  <c r="H893" i="1"/>
  <c r="J893" i="1"/>
  <c r="G894" i="1"/>
  <c r="H894" i="1"/>
  <c r="J894" i="1"/>
  <c r="G895" i="1"/>
  <c r="H895" i="1"/>
  <c r="J895" i="1"/>
  <c r="G896" i="1"/>
  <c r="H896" i="1"/>
  <c r="J896" i="1"/>
  <c r="G897" i="1"/>
  <c r="H897" i="1"/>
  <c r="J897" i="1"/>
  <c r="G898" i="1"/>
  <c r="H898" i="1"/>
  <c r="J898" i="1"/>
  <c r="G899" i="1"/>
  <c r="H899" i="1"/>
  <c r="J899" i="1"/>
  <c r="G900" i="1"/>
  <c r="H900" i="1"/>
  <c r="J900" i="1"/>
  <c r="G901" i="1"/>
  <c r="H901" i="1"/>
  <c r="J901" i="1"/>
  <c r="G902" i="1"/>
  <c r="H902" i="1"/>
  <c r="J902" i="1"/>
  <c r="G903" i="1"/>
  <c r="H903" i="1"/>
  <c r="J903" i="1"/>
  <c r="G904" i="1"/>
  <c r="H904" i="1"/>
  <c r="J904" i="1"/>
  <c r="G905" i="1"/>
  <c r="H905" i="1"/>
  <c r="J905" i="1"/>
  <c r="G906" i="1"/>
  <c r="H906" i="1"/>
  <c r="J906" i="1"/>
  <c r="G907" i="1"/>
  <c r="H907" i="1"/>
  <c r="J907" i="1"/>
  <c r="G908" i="1"/>
  <c r="H908" i="1"/>
  <c r="J908" i="1"/>
  <c r="G909" i="1"/>
  <c r="H113" i="1" s="1"/>
  <c r="H909" i="1"/>
  <c r="J909" i="1"/>
  <c r="G910" i="1"/>
  <c r="H910" i="1"/>
  <c r="J910" i="1"/>
  <c r="G911" i="1"/>
  <c r="H911" i="1"/>
  <c r="J911" i="1"/>
  <c r="G912" i="1"/>
  <c r="H912" i="1"/>
  <c r="J912" i="1"/>
  <c r="G913" i="1"/>
  <c r="H913" i="1"/>
  <c r="J913" i="1"/>
  <c r="G914" i="1"/>
  <c r="H914" i="1"/>
  <c r="J914" i="1"/>
  <c r="G915" i="1"/>
  <c r="H915" i="1"/>
  <c r="J915" i="1"/>
  <c r="G916" i="1"/>
  <c r="H916" i="1"/>
  <c r="J916" i="1"/>
  <c r="G917" i="1"/>
  <c r="H917" i="1"/>
  <c r="J917" i="1"/>
  <c r="G918" i="1"/>
  <c r="H918" i="1"/>
  <c r="J918" i="1"/>
  <c r="G919" i="1"/>
  <c r="H919" i="1"/>
  <c r="J919" i="1"/>
  <c r="G920" i="1"/>
  <c r="H920" i="1"/>
  <c r="J920" i="1"/>
  <c r="G921" i="1"/>
  <c r="H921" i="1"/>
  <c r="J921" i="1"/>
  <c r="G922" i="1"/>
  <c r="H922" i="1"/>
  <c r="J922" i="1"/>
  <c r="G923" i="1"/>
  <c r="H923" i="1"/>
  <c r="J923" i="1"/>
  <c r="G924" i="1"/>
  <c r="H924" i="1"/>
  <c r="J924" i="1"/>
  <c r="G925" i="1"/>
  <c r="H925" i="1"/>
  <c r="J925" i="1"/>
  <c r="G926" i="1"/>
  <c r="H926" i="1"/>
  <c r="J926" i="1"/>
  <c r="G927" i="1"/>
  <c r="H927" i="1"/>
  <c r="J927" i="1"/>
  <c r="G928" i="1"/>
  <c r="H928" i="1"/>
  <c r="J928" i="1"/>
  <c r="G929" i="1"/>
  <c r="H929" i="1"/>
  <c r="J929" i="1"/>
  <c r="G930" i="1"/>
  <c r="H930" i="1"/>
  <c r="J930" i="1"/>
  <c r="G931" i="1"/>
  <c r="H931" i="1"/>
  <c r="J931" i="1"/>
  <c r="G932" i="1"/>
  <c r="H932" i="1"/>
  <c r="J932" i="1"/>
  <c r="G933" i="1"/>
  <c r="H933" i="1"/>
  <c r="J933" i="1"/>
  <c r="G934" i="1"/>
  <c r="H934" i="1"/>
  <c r="J934" i="1"/>
  <c r="G935" i="1"/>
  <c r="H935" i="1"/>
  <c r="J935" i="1"/>
  <c r="G936" i="1"/>
  <c r="H936" i="1"/>
  <c r="J936" i="1"/>
  <c r="G937" i="1"/>
  <c r="H937" i="1"/>
  <c r="J937" i="1"/>
  <c r="G938" i="1"/>
  <c r="H938" i="1"/>
  <c r="J938" i="1"/>
  <c r="G939" i="1"/>
  <c r="H939" i="1"/>
  <c r="J939" i="1"/>
  <c r="G940" i="1"/>
  <c r="H940" i="1"/>
  <c r="J940" i="1"/>
  <c r="G941" i="1"/>
  <c r="H941" i="1"/>
  <c r="J941" i="1"/>
  <c r="G942" i="1"/>
  <c r="H942" i="1"/>
  <c r="J942" i="1"/>
  <c r="G943" i="1"/>
  <c r="H943" i="1"/>
  <c r="J943" i="1"/>
  <c r="G944" i="1"/>
  <c r="H944" i="1"/>
  <c r="J944" i="1"/>
  <c r="G945" i="1"/>
  <c r="H945" i="1"/>
  <c r="J945" i="1"/>
  <c r="G946" i="1"/>
  <c r="H946" i="1"/>
  <c r="J946" i="1"/>
  <c r="G947" i="1"/>
  <c r="H947" i="1"/>
  <c r="J947" i="1"/>
  <c r="G948" i="1"/>
  <c r="H948" i="1"/>
  <c r="J948" i="1"/>
  <c r="G949" i="1"/>
  <c r="H949" i="1"/>
  <c r="J949" i="1"/>
  <c r="G950" i="1"/>
  <c r="H950" i="1"/>
  <c r="J950" i="1"/>
  <c r="G951" i="1"/>
  <c r="H951" i="1"/>
  <c r="J951" i="1"/>
  <c r="G952" i="1"/>
  <c r="H952" i="1"/>
  <c r="J952" i="1"/>
  <c r="G953" i="1"/>
  <c r="H953" i="1"/>
  <c r="J953" i="1"/>
  <c r="G954" i="1"/>
  <c r="H954" i="1"/>
  <c r="J954" i="1"/>
  <c r="G955" i="1"/>
  <c r="H955" i="1"/>
  <c r="J955" i="1"/>
  <c r="G956" i="1"/>
  <c r="H956" i="1"/>
  <c r="J956" i="1"/>
  <c r="G957" i="1"/>
  <c r="H957" i="1"/>
  <c r="J957" i="1"/>
  <c r="G958" i="1"/>
  <c r="H958" i="1"/>
  <c r="J958" i="1"/>
  <c r="G959" i="1"/>
  <c r="H959" i="1"/>
  <c r="J959" i="1"/>
  <c r="G960" i="1"/>
  <c r="H960" i="1"/>
  <c r="J960" i="1"/>
  <c r="G961" i="1"/>
  <c r="H961" i="1"/>
  <c r="J961" i="1"/>
  <c r="G962" i="1"/>
  <c r="H962" i="1"/>
  <c r="J962" i="1"/>
  <c r="G963" i="1"/>
  <c r="H963" i="1"/>
  <c r="J963" i="1"/>
  <c r="G964" i="1"/>
  <c r="H964" i="1"/>
  <c r="J964" i="1"/>
  <c r="G965" i="1"/>
  <c r="H965" i="1"/>
  <c r="J965" i="1"/>
  <c r="G966" i="1"/>
  <c r="H966" i="1"/>
  <c r="J966" i="1"/>
  <c r="G967" i="1"/>
  <c r="H967" i="1"/>
  <c r="J967" i="1"/>
  <c r="G968" i="1"/>
  <c r="H968" i="1"/>
  <c r="J968" i="1"/>
  <c r="G969" i="1"/>
  <c r="H969" i="1"/>
  <c r="J969" i="1"/>
  <c r="G970" i="1"/>
  <c r="H970" i="1"/>
  <c r="J970" i="1"/>
  <c r="G971" i="1"/>
  <c r="H971" i="1"/>
  <c r="J971" i="1"/>
  <c r="G972" i="1"/>
  <c r="H972" i="1"/>
  <c r="J972" i="1"/>
  <c r="G973" i="1"/>
  <c r="H973" i="1"/>
  <c r="J973" i="1"/>
  <c r="G974" i="1"/>
  <c r="H974" i="1"/>
  <c r="J974" i="1"/>
  <c r="G975" i="1"/>
  <c r="H975" i="1"/>
  <c r="J975" i="1"/>
  <c r="G976" i="1"/>
  <c r="H976" i="1"/>
  <c r="J976" i="1"/>
  <c r="G977" i="1"/>
  <c r="H977" i="1"/>
  <c r="J977" i="1"/>
  <c r="G978" i="1"/>
  <c r="H978" i="1"/>
  <c r="J978" i="1"/>
  <c r="G979" i="1"/>
  <c r="H979" i="1"/>
  <c r="J979" i="1"/>
  <c r="G980" i="1"/>
  <c r="H980" i="1"/>
  <c r="J980" i="1"/>
  <c r="G981" i="1"/>
  <c r="H981" i="1"/>
  <c r="J981" i="1"/>
  <c r="G982" i="1"/>
  <c r="H982" i="1"/>
  <c r="J982" i="1"/>
  <c r="G983" i="1"/>
  <c r="H983" i="1"/>
  <c r="J983" i="1"/>
  <c r="G984" i="1"/>
  <c r="H984" i="1"/>
  <c r="J984" i="1"/>
  <c r="G985" i="1"/>
  <c r="H985" i="1"/>
  <c r="J985" i="1"/>
  <c r="G986" i="1"/>
  <c r="H986" i="1"/>
  <c r="J986" i="1"/>
  <c r="G987" i="1"/>
  <c r="H987" i="1"/>
  <c r="J987" i="1"/>
  <c r="G988" i="1"/>
  <c r="H988" i="1"/>
  <c r="J988" i="1"/>
  <c r="G989" i="1"/>
  <c r="H989" i="1"/>
  <c r="J989" i="1"/>
  <c r="G990" i="1"/>
  <c r="H990" i="1"/>
  <c r="J990" i="1"/>
  <c r="G991" i="1"/>
  <c r="H991" i="1"/>
  <c r="J991" i="1"/>
  <c r="G992" i="1"/>
  <c r="H992" i="1"/>
  <c r="J992" i="1"/>
  <c r="G993" i="1"/>
  <c r="H993" i="1"/>
  <c r="J993" i="1"/>
  <c r="G994" i="1"/>
  <c r="H994" i="1"/>
  <c r="J994" i="1"/>
  <c r="G995" i="1"/>
  <c r="H995" i="1"/>
  <c r="J995" i="1"/>
  <c r="G996" i="1"/>
  <c r="H996" i="1"/>
  <c r="J996" i="1"/>
  <c r="G997" i="1"/>
  <c r="H997" i="1"/>
  <c r="J997" i="1"/>
  <c r="G998" i="1"/>
  <c r="H998" i="1"/>
  <c r="J998" i="1"/>
  <c r="G999" i="1"/>
  <c r="H999" i="1"/>
  <c r="J999" i="1"/>
  <c r="G1000" i="1"/>
  <c r="H1000" i="1"/>
  <c r="J1000" i="1"/>
  <c r="G1001" i="1"/>
  <c r="H1001" i="1"/>
  <c r="J1001" i="1"/>
  <c r="G1002" i="1"/>
  <c r="H1002" i="1"/>
  <c r="J1002" i="1"/>
  <c r="G1003" i="1"/>
  <c r="H1003" i="1"/>
  <c r="J1003" i="1"/>
  <c r="G1004" i="1"/>
  <c r="H1004" i="1"/>
  <c r="J1004" i="1"/>
  <c r="G1005" i="1"/>
  <c r="H1005" i="1"/>
  <c r="J1005" i="1"/>
  <c r="G1006" i="1"/>
  <c r="H1006" i="1"/>
  <c r="J1006" i="1"/>
  <c r="G1007" i="1"/>
  <c r="H1007" i="1"/>
  <c r="J1007" i="1"/>
  <c r="G1008" i="1"/>
  <c r="H1008" i="1"/>
  <c r="J1008" i="1"/>
  <c r="G1009" i="1"/>
  <c r="H1009" i="1"/>
  <c r="J1009" i="1"/>
  <c r="G1010" i="1"/>
  <c r="H1010" i="1"/>
  <c r="J1010" i="1"/>
  <c r="G1011" i="1"/>
  <c r="H1011" i="1"/>
  <c r="J1011" i="1"/>
  <c r="G1012" i="1"/>
  <c r="H1012" i="1"/>
  <c r="J1012" i="1"/>
  <c r="G1013" i="1"/>
  <c r="H1013" i="1"/>
  <c r="J1013" i="1"/>
  <c r="G1014" i="1"/>
  <c r="H1014" i="1"/>
  <c r="J1014" i="1"/>
  <c r="G1015" i="1"/>
  <c r="H1015" i="1"/>
  <c r="J1015" i="1"/>
  <c r="G1016" i="1"/>
  <c r="H1016" i="1"/>
  <c r="J1016" i="1"/>
  <c r="G1017" i="1"/>
  <c r="H1017" i="1"/>
  <c r="J1017" i="1"/>
  <c r="G1018" i="1"/>
  <c r="H1018" i="1"/>
  <c r="J1018" i="1"/>
  <c r="G1019" i="1"/>
  <c r="H1019" i="1"/>
  <c r="J1019" i="1"/>
  <c r="G1020" i="1"/>
  <c r="H1020" i="1"/>
  <c r="J1020" i="1"/>
  <c r="G1021" i="1"/>
  <c r="H1021" i="1"/>
  <c r="J1021" i="1"/>
  <c r="G1022" i="1"/>
  <c r="H1022" i="1"/>
  <c r="J1022" i="1"/>
  <c r="G1023" i="1"/>
  <c r="H115" i="1" s="1"/>
  <c r="H1023" i="1"/>
  <c r="J1023" i="1"/>
  <c r="G1024" i="1"/>
  <c r="H1024" i="1"/>
  <c r="J1024" i="1"/>
  <c r="G1025" i="1"/>
  <c r="H1025" i="1"/>
  <c r="J1025" i="1"/>
  <c r="G1026" i="1"/>
  <c r="H1026" i="1"/>
  <c r="J1026" i="1"/>
  <c r="G1027" i="1"/>
  <c r="H1027" i="1"/>
  <c r="J1027" i="1"/>
  <c r="G1028" i="1"/>
  <c r="H1028" i="1"/>
  <c r="J1028" i="1"/>
  <c r="G1029" i="1"/>
  <c r="H1029" i="1"/>
  <c r="J1029" i="1"/>
  <c r="G1030" i="1"/>
  <c r="H1030" i="1"/>
  <c r="J1030" i="1"/>
  <c r="G1031" i="1"/>
  <c r="H1031" i="1"/>
  <c r="J1031" i="1"/>
  <c r="G1032" i="1"/>
  <c r="H1032" i="1"/>
  <c r="J1032" i="1"/>
  <c r="G1033" i="1"/>
  <c r="H1033" i="1"/>
  <c r="J1033" i="1"/>
  <c r="G1034" i="1"/>
  <c r="H1034" i="1"/>
  <c r="J1034" i="1"/>
  <c r="G1035" i="1"/>
  <c r="H1035" i="1"/>
  <c r="J1035" i="1"/>
  <c r="G1036" i="1"/>
  <c r="H1036" i="1"/>
  <c r="J1036" i="1"/>
  <c r="G1037" i="1"/>
  <c r="H1037" i="1"/>
  <c r="J1037" i="1"/>
  <c r="G1038" i="1"/>
  <c r="H1038" i="1"/>
  <c r="J1038" i="1"/>
  <c r="G1039" i="1"/>
  <c r="H1039" i="1"/>
  <c r="J1039" i="1"/>
  <c r="G1040" i="1"/>
  <c r="H1040" i="1"/>
  <c r="J1040" i="1"/>
  <c r="G1041" i="1"/>
  <c r="H1041" i="1"/>
  <c r="J1041" i="1"/>
  <c r="G1042" i="1"/>
  <c r="H1042" i="1"/>
  <c r="J1042" i="1"/>
  <c r="G1043" i="1"/>
  <c r="H1043" i="1"/>
  <c r="J1043" i="1"/>
  <c r="G1044" i="1"/>
  <c r="H1044" i="1"/>
  <c r="J1044" i="1"/>
  <c r="G1045" i="1"/>
  <c r="H1045" i="1"/>
  <c r="J1045" i="1"/>
  <c r="G1046" i="1"/>
  <c r="H1046" i="1"/>
  <c r="J1046" i="1"/>
  <c r="G1047" i="1"/>
  <c r="H1047" i="1"/>
  <c r="J1047" i="1"/>
  <c r="G1048" i="1"/>
  <c r="H1048" i="1"/>
  <c r="J1048" i="1"/>
  <c r="G1049" i="1"/>
  <c r="H1049" i="1"/>
  <c r="J1049" i="1"/>
  <c r="G1050" i="1"/>
  <c r="H1050" i="1"/>
  <c r="J1050" i="1"/>
  <c r="G1051" i="1"/>
  <c r="H1051" i="1"/>
  <c r="J1051" i="1"/>
  <c r="G1052" i="1"/>
  <c r="H1052" i="1"/>
  <c r="J1052" i="1"/>
  <c r="G1053" i="1"/>
  <c r="H1053" i="1"/>
  <c r="J1053" i="1"/>
  <c r="G1054" i="1"/>
  <c r="H1054" i="1"/>
  <c r="J1054" i="1"/>
  <c r="G1055" i="1"/>
  <c r="H1055" i="1"/>
  <c r="J1055" i="1"/>
  <c r="G1056" i="1"/>
  <c r="H1056" i="1"/>
  <c r="J1056" i="1"/>
  <c r="G1057" i="1"/>
  <c r="H1057" i="1"/>
  <c r="J1057" i="1"/>
  <c r="G1058" i="1"/>
  <c r="H1058" i="1"/>
  <c r="J1058" i="1"/>
  <c r="G1059" i="1"/>
  <c r="H1059" i="1"/>
  <c r="J1059" i="1"/>
  <c r="G1060" i="1"/>
  <c r="H1060" i="1"/>
  <c r="J1060" i="1"/>
  <c r="G1061" i="1"/>
  <c r="H1061" i="1"/>
  <c r="J1061" i="1"/>
  <c r="G1062" i="1"/>
  <c r="H1062" i="1"/>
  <c r="J1062" i="1"/>
  <c r="G1063" i="1"/>
  <c r="H1063" i="1"/>
  <c r="J1063" i="1"/>
  <c r="G1064" i="1"/>
  <c r="H1064" i="1"/>
  <c r="J1064" i="1"/>
  <c r="G1065" i="1"/>
  <c r="H1065" i="1"/>
  <c r="J1065" i="1"/>
  <c r="G1066" i="1"/>
  <c r="H1066" i="1"/>
  <c r="J1066" i="1"/>
  <c r="G1067" i="1"/>
  <c r="H1067" i="1"/>
  <c r="J1067" i="1"/>
  <c r="G1068" i="1"/>
  <c r="H1068" i="1"/>
  <c r="J1068" i="1"/>
  <c r="G1069" i="1"/>
  <c r="H1069" i="1"/>
  <c r="J1069" i="1"/>
  <c r="G1070" i="1"/>
  <c r="H1070" i="1"/>
  <c r="J1070" i="1"/>
  <c r="G1071" i="1"/>
  <c r="H1071" i="1"/>
  <c r="J1071" i="1"/>
  <c r="G1072" i="1"/>
  <c r="H1072" i="1"/>
  <c r="J1072" i="1"/>
  <c r="G1073" i="1"/>
  <c r="H1073" i="1"/>
  <c r="J1073" i="1"/>
  <c r="G1074" i="1"/>
  <c r="H1074" i="1"/>
  <c r="J1074" i="1"/>
  <c r="G1075" i="1"/>
  <c r="H1075" i="1"/>
  <c r="J1075" i="1"/>
  <c r="G1076" i="1"/>
  <c r="H1076" i="1"/>
  <c r="J1076" i="1"/>
  <c r="G1077" i="1"/>
  <c r="H1077" i="1"/>
  <c r="J1077" i="1"/>
  <c r="G1078" i="1"/>
  <c r="H1078" i="1"/>
  <c r="J1078" i="1"/>
  <c r="G1079" i="1"/>
  <c r="H1079" i="1"/>
  <c r="J1079" i="1"/>
  <c r="G1080" i="1"/>
  <c r="H1080" i="1"/>
  <c r="J1080" i="1"/>
  <c r="G1081" i="1"/>
  <c r="H1081" i="1"/>
  <c r="J1081" i="1"/>
  <c r="G1082" i="1"/>
  <c r="H1082" i="1"/>
  <c r="J1082" i="1"/>
  <c r="G1083" i="1"/>
  <c r="H1083" i="1"/>
  <c r="J1083" i="1"/>
  <c r="G1084" i="1"/>
  <c r="H1084" i="1"/>
  <c r="J1084" i="1"/>
  <c r="G1085" i="1"/>
  <c r="H1085" i="1"/>
  <c r="J1085" i="1"/>
  <c r="G1086" i="1"/>
  <c r="H1086" i="1"/>
  <c r="J1086" i="1"/>
  <c r="G1087" i="1"/>
  <c r="H1087" i="1"/>
  <c r="J1087" i="1"/>
  <c r="G1088" i="1"/>
  <c r="H1088" i="1"/>
  <c r="J1088" i="1"/>
  <c r="G1089" i="1"/>
  <c r="H1089" i="1"/>
  <c r="J1089" i="1"/>
  <c r="G1090" i="1"/>
  <c r="H1090" i="1"/>
  <c r="J1090" i="1"/>
  <c r="G1091" i="1"/>
  <c r="H1091" i="1"/>
  <c r="J1091" i="1"/>
  <c r="G1092" i="1"/>
  <c r="H1092" i="1"/>
  <c r="J1092" i="1"/>
  <c r="G1093" i="1"/>
  <c r="H1093" i="1"/>
  <c r="J1093" i="1"/>
  <c r="G1094" i="1"/>
  <c r="H1094" i="1"/>
  <c r="J1094" i="1"/>
  <c r="G1095" i="1"/>
  <c r="H1095" i="1"/>
  <c r="J1095" i="1"/>
  <c r="G1096" i="1"/>
  <c r="H1096" i="1"/>
  <c r="J1096" i="1"/>
  <c r="G1097" i="1"/>
  <c r="H1097" i="1"/>
  <c r="J1097" i="1"/>
  <c r="G1098" i="1"/>
  <c r="H1098" i="1"/>
  <c r="J1098" i="1"/>
  <c r="G1099" i="1"/>
  <c r="H1099" i="1"/>
  <c r="J1099" i="1"/>
  <c r="G1100" i="1"/>
  <c r="H1100" i="1"/>
  <c r="J1100" i="1"/>
  <c r="G1101" i="1"/>
  <c r="H1101" i="1"/>
  <c r="J1101" i="1"/>
  <c r="G1102" i="1"/>
  <c r="H1102" i="1"/>
  <c r="J1102" i="1"/>
  <c r="G1103" i="1"/>
  <c r="H1103" i="1"/>
  <c r="J1103" i="1"/>
  <c r="G1104" i="1"/>
  <c r="H1104" i="1"/>
  <c r="J1104" i="1"/>
  <c r="G1105" i="1"/>
  <c r="H1105" i="1"/>
  <c r="J1105" i="1"/>
  <c r="G1106" i="1"/>
  <c r="H1106" i="1"/>
  <c r="J1106" i="1"/>
  <c r="G1107" i="1"/>
  <c r="H1107" i="1"/>
  <c r="J1107" i="1"/>
  <c r="G1108" i="1"/>
  <c r="H1108" i="1"/>
  <c r="J1108" i="1"/>
  <c r="G1109" i="1"/>
  <c r="H1109" i="1"/>
  <c r="J1109" i="1"/>
  <c r="G1110" i="1"/>
  <c r="H1110" i="1"/>
  <c r="J1110" i="1"/>
  <c r="G1111" i="1"/>
  <c r="H1111" i="1"/>
  <c r="J1111" i="1"/>
  <c r="G1112" i="1"/>
  <c r="H1112" i="1"/>
  <c r="J1112" i="1"/>
  <c r="G1113" i="1"/>
  <c r="H1113" i="1"/>
  <c r="J1113" i="1"/>
  <c r="G1114" i="1"/>
  <c r="H1114" i="1"/>
  <c r="J1114" i="1"/>
  <c r="G1115" i="1"/>
  <c r="H1115" i="1"/>
  <c r="J1115" i="1"/>
  <c r="G1116" i="1"/>
  <c r="H1116" i="1"/>
  <c r="J1116" i="1"/>
  <c r="G1117" i="1"/>
  <c r="H1117" i="1"/>
  <c r="J1117" i="1"/>
  <c r="G1118" i="1"/>
  <c r="H1118" i="1"/>
  <c r="J1118" i="1"/>
  <c r="G1119" i="1"/>
  <c r="H1119" i="1"/>
  <c r="J1119" i="1"/>
  <c r="G1120" i="1"/>
  <c r="H1120" i="1"/>
  <c r="J1120" i="1"/>
  <c r="G1121" i="1"/>
  <c r="H1121" i="1"/>
  <c r="J1121" i="1"/>
  <c r="G1122" i="1"/>
  <c r="H1122" i="1"/>
  <c r="J1122" i="1"/>
  <c r="G1123" i="1"/>
  <c r="H1123" i="1"/>
  <c r="J1123" i="1"/>
  <c r="G1124" i="1"/>
  <c r="H1124" i="1"/>
  <c r="J1124" i="1"/>
  <c r="G1125" i="1"/>
  <c r="H1125" i="1"/>
  <c r="J1125" i="1"/>
  <c r="G1126" i="1"/>
  <c r="H1126" i="1"/>
  <c r="J1126" i="1"/>
  <c r="G1127" i="1"/>
  <c r="H1127" i="1"/>
  <c r="J1127" i="1"/>
  <c r="G1128" i="1"/>
  <c r="H1128" i="1"/>
  <c r="J1128" i="1"/>
  <c r="G1129" i="1"/>
  <c r="H1129" i="1"/>
  <c r="J1129" i="1"/>
  <c r="G1130" i="1"/>
  <c r="H1130" i="1"/>
  <c r="J1130" i="1"/>
  <c r="G1131" i="1"/>
  <c r="H1131" i="1"/>
  <c r="J1131" i="1"/>
  <c r="G1132" i="1"/>
  <c r="H1132" i="1"/>
  <c r="J1132" i="1"/>
  <c r="G1133" i="1"/>
  <c r="H1133" i="1"/>
  <c r="J1133" i="1"/>
  <c r="G1134" i="1"/>
  <c r="H1134" i="1"/>
  <c r="J1134" i="1"/>
  <c r="G1135" i="1"/>
  <c r="H1135" i="1"/>
  <c r="J1135" i="1"/>
  <c r="G1136" i="1"/>
  <c r="H1136" i="1"/>
  <c r="J1136" i="1"/>
  <c r="G1137" i="1"/>
  <c r="H1137" i="1"/>
  <c r="J1137" i="1"/>
  <c r="G1138" i="1"/>
  <c r="H1138" i="1"/>
  <c r="J1138" i="1"/>
  <c r="G1139" i="1"/>
  <c r="H1139" i="1"/>
  <c r="J1139" i="1"/>
  <c r="G1140" i="1"/>
  <c r="H1140" i="1"/>
  <c r="J1140" i="1"/>
  <c r="G1141" i="1"/>
  <c r="H1141" i="1"/>
  <c r="J1141" i="1"/>
  <c r="G1142" i="1"/>
  <c r="H1142" i="1"/>
  <c r="J1142" i="1"/>
  <c r="G1143" i="1"/>
  <c r="H1143" i="1"/>
  <c r="J1143" i="1"/>
  <c r="G1144" i="1"/>
  <c r="H1144" i="1"/>
  <c r="J1144" i="1"/>
  <c r="G1145" i="1"/>
  <c r="H1145" i="1"/>
  <c r="J1145" i="1"/>
  <c r="G1146" i="1"/>
  <c r="H1146" i="1"/>
  <c r="J1146" i="1"/>
  <c r="G1147" i="1"/>
  <c r="H1147" i="1"/>
  <c r="J1147" i="1"/>
  <c r="G1148" i="1"/>
  <c r="H1148" i="1"/>
  <c r="J1148" i="1"/>
  <c r="G1149" i="1"/>
  <c r="H1149" i="1"/>
  <c r="J1149" i="1"/>
  <c r="G1150" i="1"/>
  <c r="H1150" i="1"/>
  <c r="J1150" i="1"/>
  <c r="G1151" i="1"/>
  <c r="H1151" i="1"/>
  <c r="J1151" i="1"/>
  <c r="G1152" i="1"/>
  <c r="H1152" i="1"/>
  <c r="J1152" i="1"/>
  <c r="G1153" i="1"/>
  <c r="H1153" i="1"/>
  <c r="J1153" i="1"/>
  <c r="G1154" i="1"/>
  <c r="H1154" i="1"/>
  <c r="J1154" i="1"/>
  <c r="G1155" i="1"/>
  <c r="H1155" i="1"/>
  <c r="J1155" i="1"/>
  <c r="G1156" i="1"/>
  <c r="H1156" i="1"/>
  <c r="J1156" i="1"/>
  <c r="G1157" i="1"/>
  <c r="H1157" i="1"/>
  <c r="J1157" i="1"/>
  <c r="G1158" i="1"/>
  <c r="H1158" i="1"/>
  <c r="J1158" i="1"/>
  <c r="G1159" i="1"/>
  <c r="H117" i="1" s="1"/>
  <c r="H1159" i="1"/>
  <c r="J1159" i="1"/>
  <c r="G1160" i="1"/>
  <c r="H1160" i="1"/>
  <c r="J1160" i="1"/>
  <c r="G1161" i="1"/>
  <c r="H1161" i="1"/>
  <c r="J1161" i="1"/>
  <c r="G1162" i="1"/>
  <c r="H1162" i="1"/>
  <c r="J1162" i="1"/>
  <c r="G1163" i="1"/>
  <c r="H1163" i="1"/>
  <c r="J1163" i="1"/>
  <c r="G1164" i="1"/>
  <c r="H1164" i="1"/>
  <c r="J1164" i="1"/>
  <c r="G1165" i="1"/>
  <c r="H1165" i="1"/>
  <c r="J1165" i="1"/>
  <c r="G1166" i="1"/>
  <c r="H1166" i="1"/>
  <c r="J1166" i="1"/>
  <c r="G1167" i="1"/>
  <c r="H1167" i="1"/>
  <c r="J1167" i="1"/>
  <c r="G1168" i="1"/>
  <c r="H1168" i="1"/>
  <c r="J1168" i="1"/>
  <c r="G1169" i="1"/>
  <c r="H1169" i="1"/>
  <c r="J1169" i="1"/>
  <c r="G1170" i="1"/>
  <c r="H1170" i="1"/>
  <c r="J1170" i="1"/>
  <c r="G1171" i="1"/>
  <c r="H1171" i="1"/>
  <c r="J1171" i="1"/>
  <c r="G1172" i="1"/>
  <c r="H1172" i="1"/>
  <c r="J1172" i="1"/>
  <c r="G1173" i="1"/>
  <c r="H1173" i="1"/>
  <c r="J1173" i="1"/>
  <c r="G1174" i="1"/>
  <c r="H1174" i="1"/>
  <c r="J1174" i="1"/>
  <c r="G1175" i="1"/>
  <c r="H1175" i="1"/>
  <c r="J1175" i="1"/>
  <c r="G1176" i="1"/>
  <c r="H1176" i="1"/>
  <c r="J1176" i="1"/>
  <c r="G1177" i="1"/>
  <c r="H1177" i="1"/>
  <c r="J1177" i="1"/>
  <c r="G1178" i="1"/>
  <c r="H1178" i="1"/>
  <c r="J1178" i="1"/>
  <c r="G1179" i="1"/>
  <c r="H1179" i="1"/>
  <c r="J1179" i="1"/>
  <c r="G1180" i="1"/>
  <c r="H1180" i="1"/>
  <c r="J1180" i="1"/>
  <c r="G1181" i="1"/>
  <c r="H1181" i="1"/>
  <c r="J1181" i="1"/>
  <c r="G1182" i="1"/>
  <c r="H1182" i="1"/>
  <c r="J1182" i="1"/>
  <c r="G1183" i="1"/>
  <c r="H1183" i="1"/>
  <c r="J1183" i="1"/>
  <c r="G1184" i="1"/>
  <c r="H1184" i="1"/>
  <c r="J1184" i="1"/>
  <c r="G1185" i="1"/>
  <c r="H1185" i="1"/>
  <c r="J1185" i="1"/>
  <c r="G1186" i="1"/>
  <c r="H1186" i="1"/>
  <c r="J1186" i="1"/>
  <c r="G1187" i="1"/>
  <c r="H1187" i="1"/>
  <c r="J1187" i="1"/>
  <c r="G1188" i="1"/>
  <c r="H1188" i="1"/>
  <c r="J1188" i="1"/>
  <c r="G1189" i="1"/>
  <c r="H1189" i="1"/>
  <c r="J1189" i="1"/>
  <c r="G1190" i="1"/>
  <c r="H1190" i="1"/>
  <c r="J1190" i="1"/>
  <c r="G1191" i="1"/>
  <c r="H1191" i="1"/>
  <c r="J1191" i="1"/>
  <c r="G1192" i="1"/>
  <c r="H1192" i="1"/>
  <c r="J1192" i="1"/>
  <c r="G1193" i="1"/>
  <c r="H1193" i="1"/>
  <c r="J1193" i="1"/>
  <c r="G1194" i="1"/>
  <c r="H1194" i="1"/>
  <c r="J1194" i="1"/>
  <c r="G1195" i="1"/>
  <c r="H1195" i="1"/>
  <c r="J1195" i="1"/>
  <c r="G1196" i="1"/>
  <c r="H1196" i="1"/>
  <c r="J1196" i="1"/>
  <c r="G1197" i="1"/>
  <c r="H1197" i="1"/>
  <c r="J1197" i="1"/>
  <c r="G1198" i="1"/>
  <c r="H1198" i="1"/>
  <c r="J1198" i="1"/>
  <c r="G1199" i="1"/>
  <c r="H1199" i="1"/>
  <c r="J1199" i="1"/>
  <c r="G1200" i="1"/>
  <c r="H1200" i="1"/>
  <c r="J1200" i="1"/>
  <c r="G1201" i="1"/>
  <c r="H1201" i="1"/>
  <c r="J1201" i="1"/>
  <c r="G1202" i="1"/>
  <c r="H1202" i="1"/>
  <c r="J1202" i="1"/>
  <c r="G1203" i="1"/>
  <c r="H1203" i="1"/>
  <c r="J1203" i="1"/>
  <c r="G1204" i="1"/>
  <c r="H1204" i="1"/>
  <c r="J1204" i="1"/>
  <c r="G1205" i="1"/>
  <c r="H1205" i="1"/>
  <c r="J1205" i="1"/>
  <c r="G1206" i="1"/>
  <c r="H1206" i="1"/>
  <c r="J1206" i="1"/>
  <c r="G1207" i="1"/>
  <c r="H1207" i="1"/>
  <c r="J1207" i="1"/>
  <c r="G1208" i="1"/>
  <c r="H1208" i="1"/>
  <c r="J1208" i="1"/>
  <c r="G1209" i="1"/>
  <c r="H1209" i="1"/>
  <c r="J1209" i="1"/>
  <c r="G1210" i="1"/>
  <c r="H1210" i="1"/>
  <c r="J1210" i="1"/>
  <c r="G1211" i="1"/>
  <c r="H1211" i="1"/>
  <c r="J1211" i="1"/>
  <c r="G1212" i="1"/>
  <c r="H1212" i="1"/>
  <c r="J1212" i="1"/>
  <c r="G1213" i="1"/>
  <c r="H1213" i="1"/>
  <c r="J1213" i="1"/>
  <c r="G1214" i="1"/>
  <c r="H1214" i="1"/>
  <c r="J1214" i="1"/>
  <c r="G1215" i="1"/>
  <c r="H1215" i="1"/>
  <c r="J1215" i="1"/>
  <c r="G1216" i="1"/>
  <c r="H1216" i="1"/>
  <c r="J1216" i="1"/>
  <c r="G1217" i="1"/>
  <c r="H1217" i="1"/>
  <c r="J1217" i="1"/>
  <c r="G1218" i="1"/>
  <c r="H1218" i="1"/>
  <c r="J1218" i="1"/>
  <c r="G1219" i="1"/>
  <c r="H1219" i="1"/>
  <c r="J1219" i="1"/>
  <c r="G1220" i="1"/>
  <c r="H1220" i="1"/>
  <c r="J1220" i="1"/>
  <c r="G1221" i="1"/>
  <c r="H1221" i="1"/>
  <c r="J1221" i="1"/>
  <c r="G1222" i="1"/>
  <c r="H1222" i="1"/>
  <c r="J1222" i="1"/>
  <c r="G1223" i="1"/>
  <c r="H1223" i="1"/>
  <c r="J1223" i="1"/>
  <c r="G1224" i="1"/>
  <c r="H1224" i="1"/>
  <c r="J1224" i="1"/>
  <c r="G1225" i="1"/>
  <c r="H1225" i="1"/>
  <c r="J1225" i="1"/>
  <c r="G1226" i="1"/>
  <c r="H1226" i="1"/>
  <c r="J1226" i="1"/>
  <c r="G1227" i="1"/>
  <c r="H1227" i="1"/>
  <c r="J1227" i="1"/>
  <c r="G1228" i="1"/>
  <c r="H1228" i="1"/>
  <c r="J1228" i="1"/>
  <c r="G1229" i="1"/>
  <c r="H1229" i="1"/>
  <c r="J1229" i="1"/>
  <c r="G1230" i="1"/>
  <c r="H1230" i="1"/>
  <c r="J1230" i="1"/>
  <c r="G4" i="1"/>
  <c r="J4" i="1"/>
  <c r="G5" i="1"/>
  <c r="J5" i="1"/>
  <c r="G6" i="1"/>
  <c r="J6" i="1"/>
  <c r="G3" i="1"/>
  <c r="J1" i="1"/>
  <c r="D1" i="1"/>
  <c r="E829" i="1" s="1"/>
  <c r="G7" i="4"/>
  <c r="H7" i="4" s="1"/>
  <c r="J7" i="4"/>
  <c r="G8" i="4"/>
  <c r="H8" i="4"/>
  <c r="J8" i="4"/>
  <c r="G9" i="4"/>
  <c r="H9" i="4" s="1"/>
  <c r="J9" i="4"/>
  <c r="G10" i="4"/>
  <c r="H10" i="4"/>
  <c r="J10" i="4"/>
  <c r="G11" i="4"/>
  <c r="H11" i="4" s="1"/>
  <c r="J11" i="4"/>
  <c r="G12" i="4"/>
  <c r="H12" i="4"/>
  <c r="J12" i="4"/>
  <c r="G13" i="4"/>
  <c r="H13" i="4" s="1"/>
  <c r="J13" i="4"/>
  <c r="G14" i="4"/>
  <c r="H14" i="4"/>
  <c r="J14" i="4"/>
  <c r="G15" i="4"/>
  <c r="H15" i="4" s="1"/>
  <c r="J15" i="4"/>
  <c r="G16" i="4"/>
  <c r="H16" i="4"/>
  <c r="J16" i="4"/>
  <c r="G17" i="4"/>
  <c r="H17" i="4" s="1"/>
  <c r="J17" i="4"/>
  <c r="G18" i="4"/>
  <c r="H18" i="4"/>
  <c r="J18" i="4"/>
  <c r="G19" i="4"/>
  <c r="H19" i="4" s="1"/>
  <c r="J19" i="4"/>
  <c r="G20" i="4"/>
  <c r="H20" i="4"/>
  <c r="J20" i="4"/>
  <c r="G21" i="4"/>
  <c r="H21" i="4" s="1"/>
  <c r="J21" i="4"/>
  <c r="G22" i="4"/>
  <c r="H22" i="4"/>
  <c r="J22" i="4"/>
  <c r="G23" i="4"/>
  <c r="H23" i="4" s="1"/>
  <c r="J23" i="4"/>
  <c r="G24" i="4"/>
  <c r="H24" i="4"/>
  <c r="J24" i="4"/>
  <c r="G25" i="4"/>
  <c r="H25" i="4" s="1"/>
  <c r="J25" i="4"/>
  <c r="G26" i="4"/>
  <c r="H26" i="4"/>
  <c r="J26" i="4"/>
  <c r="G27" i="4"/>
  <c r="H27" i="4" s="1"/>
  <c r="J27" i="4"/>
  <c r="G28" i="4"/>
  <c r="H28" i="4"/>
  <c r="J28" i="4"/>
  <c r="G29" i="4"/>
  <c r="H29" i="4" s="1"/>
  <c r="J29" i="4"/>
  <c r="G30" i="4"/>
  <c r="H30" i="4"/>
  <c r="J30" i="4"/>
  <c r="G31" i="4"/>
  <c r="H31" i="4" s="1"/>
  <c r="J31" i="4"/>
  <c r="G32" i="4"/>
  <c r="H32" i="4"/>
  <c r="J32" i="4"/>
  <c r="G33" i="4"/>
  <c r="H33" i="4" s="1"/>
  <c r="J33" i="4"/>
  <c r="G34" i="4"/>
  <c r="H34" i="4"/>
  <c r="J34" i="4"/>
  <c r="G35" i="4"/>
  <c r="H35" i="4" s="1"/>
  <c r="J35" i="4"/>
  <c r="G36" i="4"/>
  <c r="H36" i="4"/>
  <c r="J36" i="4"/>
  <c r="G37" i="4"/>
  <c r="H37" i="4" s="1"/>
  <c r="J37" i="4"/>
  <c r="G38" i="4"/>
  <c r="H38" i="4"/>
  <c r="J38" i="4"/>
  <c r="G39" i="4"/>
  <c r="H39" i="4" s="1"/>
  <c r="J39" i="4"/>
  <c r="G40" i="4"/>
  <c r="H40" i="4"/>
  <c r="J40" i="4"/>
  <c r="G41" i="4"/>
  <c r="H41" i="4"/>
  <c r="J41" i="4"/>
  <c r="G42" i="4"/>
  <c r="H42" i="4"/>
  <c r="J42" i="4"/>
  <c r="G43" i="4"/>
  <c r="H43" i="4"/>
  <c r="J43" i="4"/>
  <c r="G44" i="4"/>
  <c r="H44" i="4"/>
  <c r="J44" i="4"/>
  <c r="G45" i="4"/>
  <c r="H45" i="4"/>
  <c r="J45" i="4"/>
  <c r="G46" i="4"/>
  <c r="H46" i="4"/>
  <c r="J46" i="4"/>
  <c r="G47" i="4"/>
  <c r="H47" i="4"/>
  <c r="J47" i="4"/>
  <c r="G48" i="4"/>
  <c r="H48" i="4"/>
  <c r="J48" i="4"/>
  <c r="G49" i="4"/>
  <c r="H49" i="4"/>
  <c r="J49" i="4"/>
  <c r="G50" i="4"/>
  <c r="H50" i="4"/>
  <c r="J50" i="4"/>
  <c r="G51" i="4"/>
  <c r="H51" i="4"/>
  <c r="J51" i="4"/>
  <c r="G52" i="4"/>
  <c r="H52" i="4"/>
  <c r="J52" i="4"/>
  <c r="G53" i="4"/>
  <c r="H53" i="4"/>
  <c r="J53" i="4"/>
  <c r="G54" i="4"/>
  <c r="H54" i="4"/>
  <c r="J54" i="4"/>
  <c r="G55" i="4"/>
  <c r="H55" i="4"/>
  <c r="J55" i="4"/>
  <c r="G56" i="4"/>
  <c r="H56" i="4"/>
  <c r="J56" i="4"/>
  <c r="G57" i="4"/>
  <c r="H57" i="4"/>
  <c r="J57" i="4"/>
  <c r="G58" i="4"/>
  <c r="H58" i="4"/>
  <c r="J58" i="4"/>
  <c r="G59" i="4"/>
  <c r="H59" i="4"/>
  <c r="J59" i="4"/>
  <c r="G60" i="4"/>
  <c r="H60" i="4"/>
  <c r="J60" i="4"/>
  <c r="G61" i="4"/>
  <c r="H61" i="4"/>
  <c r="J61" i="4"/>
  <c r="G62" i="4"/>
  <c r="H62" i="4"/>
  <c r="J62" i="4"/>
  <c r="G63" i="4"/>
  <c r="H63" i="4"/>
  <c r="J63" i="4"/>
  <c r="G64" i="4"/>
  <c r="H64" i="4"/>
  <c r="J64" i="4"/>
  <c r="G65" i="4"/>
  <c r="H65" i="4"/>
  <c r="J65" i="4"/>
  <c r="G66" i="4"/>
  <c r="H66" i="4"/>
  <c r="J66" i="4"/>
  <c r="G67" i="4"/>
  <c r="H67" i="4"/>
  <c r="J67" i="4"/>
  <c r="G68" i="4"/>
  <c r="H68" i="4"/>
  <c r="J68" i="4"/>
  <c r="G69" i="4"/>
  <c r="H69" i="4"/>
  <c r="J69" i="4"/>
  <c r="G70" i="4"/>
  <c r="H70" i="4"/>
  <c r="J70" i="4"/>
  <c r="G71" i="4"/>
  <c r="H71" i="4"/>
  <c r="J71" i="4"/>
  <c r="G72" i="4"/>
  <c r="H72" i="4"/>
  <c r="J72" i="4"/>
  <c r="G73" i="4"/>
  <c r="H73" i="4"/>
  <c r="J73" i="4"/>
  <c r="G74" i="4"/>
  <c r="H74" i="4"/>
  <c r="J74" i="4"/>
  <c r="G75" i="4"/>
  <c r="H75" i="4"/>
  <c r="J75" i="4"/>
  <c r="G76" i="4"/>
  <c r="H76" i="4"/>
  <c r="J76" i="4"/>
  <c r="G77" i="4"/>
  <c r="H77" i="4"/>
  <c r="J77" i="4"/>
  <c r="G78" i="4"/>
  <c r="H78" i="4"/>
  <c r="J78" i="4"/>
  <c r="G79" i="4"/>
  <c r="H79" i="4"/>
  <c r="J79" i="4"/>
  <c r="G80" i="4"/>
  <c r="H80" i="4"/>
  <c r="J80" i="4"/>
  <c r="G81" i="4"/>
  <c r="H81" i="4"/>
  <c r="J81" i="4"/>
  <c r="G82" i="4"/>
  <c r="H82" i="4"/>
  <c r="J82" i="4"/>
  <c r="G83" i="4"/>
  <c r="H83" i="4"/>
  <c r="J83" i="4"/>
  <c r="G84" i="4"/>
  <c r="H84" i="4"/>
  <c r="J84" i="4"/>
  <c r="G85" i="4"/>
  <c r="H85" i="4"/>
  <c r="J85" i="4"/>
  <c r="G86" i="4"/>
  <c r="H86" i="4"/>
  <c r="J86" i="4"/>
  <c r="G87" i="4"/>
  <c r="H87" i="4"/>
  <c r="J87" i="4"/>
  <c r="G88" i="4"/>
  <c r="H88" i="4"/>
  <c r="J88" i="4"/>
  <c r="G89" i="4"/>
  <c r="H89" i="4"/>
  <c r="J89" i="4"/>
  <c r="G90" i="4"/>
  <c r="H90" i="4"/>
  <c r="J90" i="4"/>
  <c r="G91" i="4"/>
  <c r="H91" i="4"/>
  <c r="J91" i="4"/>
  <c r="G92" i="4"/>
  <c r="H92" i="4"/>
  <c r="J92" i="4"/>
  <c r="G93" i="4"/>
  <c r="H93" i="4"/>
  <c r="J93" i="4"/>
  <c r="G94" i="4"/>
  <c r="H94" i="4"/>
  <c r="J94" i="4"/>
  <c r="G95" i="4"/>
  <c r="H95" i="4"/>
  <c r="J95" i="4"/>
  <c r="G96" i="4"/>
  <c r="H96" i="4"/>
  <c r="J96" i="4"/>
  <c r="G97" i="4"/>
  <c r="H97" i="4"/>
  <c r="J97" i="4"/>
  <c r="G98" i="4"/>
  <c r="H98" i="4"/>
  <c r="J98" i="4"/>
  <c r="G99" i="4"/>
  <c r="H99" i="4"/>
  <c r="J99" i="4"/>
  <c r="G100" i="4"/>
  <c r="H100" i="4"/>
  <c r="J100" i="4"/>
  <c r="G101" i="4"/>
  <c r="H101" i="4"/>
  <c r="J101" i="4"/>
  <c r="G102" i="4"/>
  <c r="H102" i="4"/>
  <c r="J102" i="4"/>
  <c r="G103" i="4"/>
  <c r="H103" i="4"/>
  <c r="J103" i="4"/>
  <c r="G104" i="4"/>
  <c r="H104" i="4"/>
  <c r="J104" i="4"/>
  <c r="G105" i="4"/>
  <c r="H105" i="4"/>
  <c r="J105" i="4"/>
  <c r="G106" i="4"/>
  <c r="H106" i="4"/>
  <c r="J106" i="4"/>
  <c r="G107" i="4"/>
  <c r="H107" i="4"/>
  <c r="J107" i="4"/>
  <c r="G108" i="4"/>
  <c r="H108" i="4"/>
  <c r="J108" i="4"/>
  <c r="G109" i="4"/>
  <c r="H109" i="4"/>
  <c r="J109" i="4"/>
  <c r="G110" i="4"/>
  <c r="H110" i="4"/>
  <c r="J110" i="4"/>
  <c r="G111" i="4"/>
  <c r="H111" i="4"/>
  <c r="J111" i="4"/>
  <c r="G112" i="4"/>
  <c r="H112" i="4"/>
  <c r="J112" i="4"/>
  <c r="G113" i="4"/>
  <c r="H113" i="4"/>
  <c r="J113" i="4"/>
  <c r="G114" i="4"/>
  <c r="H114" i="4"/>
  <c r="J114" i="4"/>
  <c r="G115" i="4"/>
  <c r="H115" i="4"/>
  <c r="J115" i="4"/>
  <c r="G116" i="4"/>
  <c r="H116" i="4"/>
  <c r="J116" i="4"/>
  <c r="G117" i="4"/>
  <c r="H117" i="4"/>
  <c r="J117" i="4"/>
  <c r="G118" i="4"/>
  <c r="H118" i="4"/>
  <c r="J118" i="4"/>
  <c r="G119" i="4"/>
  <c r="H119" i="4"/>
  <c r="J119" i="4"/>
  <c r="G120" i="4"/>
  <c r="H120" i="4"/>
  <c r="J120" i="4"/>
  <c r="G121" i="4"/>
  <c r="H121" i="4"/>
  <c r="J121" i="4"/>
  <c r="G122" i="4"/>
  <c r="H122" i="4"/>
  <c r="J122" i="4"/>
  <c r="G123" i="4"/>
  <c r="H123" i="4"/>
  <c r="J123" i="4"/>
  <c r="G124" i="4"/>
  <c r="H124" i="4"/>
  <c r="J124" i="4"/>
  <c r="G125" i="4"/>
  <c r="H125" i="4"/>
  <c r="J125" i="4"/>
  <c r="G126" i="4"/>
  <c r="H126" i="4"/>
  <c r="J126" i="4"/>
  <c r="G127" i="4"/>
  <c r="H127" i="4"/>
  <c r="J127" i="4"/>
  <c r="G128" i="4"/>
  <c r="H128" i="4"/>
  <c r="J128" i="4"/>
  <c r="G129" i="4"/>
  <c r="H129" i="4"/>
  <c r="J129" i="4"/>
  <c r="G130" i="4"/>
  <c r="H130" i="4"/>
  <c r="J130" i="4"/>
  <c r="G131" i="4"/>
  <c r="H131" i="4"/>
  <c r="J131" i="4"/>
  <c r="G132" i="4"/>
  <c r="H132" i="4"/>
  <c r="J132" i="4"/>
  <c r="G133" i="4"/>
  <c r="H133" i="4"/>
  <c r="J133" i="4"/>
  <c r="G134" i="4"/>
  <c r="H134" i="4"/>
  <c r="J134" i="4"/>
  <c r="G135" i="4"/>
  <c r="H135" i="4"/>
  <c r="J135" i="4"/>
  <c r="G136" i="4"/>
  <c r="H136" i="4"/>
  <c r="J136" i="4"/>
  <c r="G137" i="4"/>
  <c r="H137" i="4"/>
  <c r="J137" i="4"/>
  <c r="G138" i="4"/>
  <c r="H138" i="4"/>
  <c r="J138" i="4"/>
  <c r="G139" i="4"/>
  <c r="H139" i="4"/>
  <c r="J139" i="4"/>
  <c r="G140" i="4"/>
  <c r="H140" i="4"/>
  <c r="J140" i="4"/>
  <c r="G141" i="4"/>
  <c r="H141" i="4"/>
  <c r="J141" i="4"/>
  <c r="G142" i="4"/>
  <c r="H142" i="4"/>
  <c r="J142" i="4"/>
  <c r="G143" i="4"/>
  <c r="H143" i="4"/>
  <c r="J143" i="4"/>
  <c r="G144" i="4"/>
  <c r="H144" i="4"/>
  <c r="J144" i="4"/>
  <c r="G145" i="4"/>
  <c r="H145" i="4"/>
  <c r="J145" i="4"/>
  <c r="G146" i="4"/>
  <c r="H146" i="4"/>
  <c r="J146" i="4"/>
  <c r="G147" i="4"/>
  <c r="H147" i="4"/>
  <c r="J147" i="4"/>
  <c r="G148" i="4"/>
  <c r="H148" i="4"/>
  <c r="J148" i="4"/>
  <c r="G149" i="4"/>
  <c r="H149" i="4"/>
  <c r="J149" i="4"/>
  <c r="G150" i="4"/>
  <c r="H150" i="4"/>
  <c r="J150" i="4"/>
  <c r="G6" i="4"/>
  <c r="J6" i="4"/>
  <c r="J1" i="4"/>
  <c r="D1" i="4"/>
  <c r="E23" i="4" s="1"/>
  <c r="J1" i="5"/>
  <c r="D1" i="5"/>
  <c r="E312" i="5" s="1"/>
  <c r="J1" i="8"/>
  <c r="D1" i="8"/>
  <c r="J1" i="9"/>
  <c r="D1" i="9"/>
  <c r="J1" i="10"/>
  <c r="D1" i="10"/>
  <c r="E3" i="10" s="1"/>
  <c r="J3" i="4"/>
  <c r="J5" i="4"/>
  <c r="G5" i="4"/>
  <c r="J4" i="4"/>
  <c r="G4" i="4"/>
  <c r="G3" i="4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G4" i="5"/>
  <c r="J4" i="5"/>
  <c r="G5" i="5"/>
  <c r="J3" i="5"/>
  <c r="G3" i="5"/>
  <c r="J3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J5" i="8"/>
  <c r="J4" i="8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U124" i="17" s="1"/>
  <c r="V124" i="17" s="1"/>
  <c r="W124" i="17" s="1"/>
  <c r="T125" i="17"/>
  <c r="T126" i="17"/>
  <c r="T127" i="17"/>
  <c r="T128" i="17"/>
  <c r="T129" i="17"/>
  <c r="U129" i="17" s="1"/>
  <c r="V129" i="17" s="1"/>
  <c r="W129" i="17" s="1"/>
  <c r="T130" i="17"/>
  <c r="T131" i="17"/>
  <c r="T132" i="17"/>
  <c r="U132" i="17" s="1"/>
  <c r="V132" i="17" s="1"/>
  <c r="W132" i="17" s="1"/>
  <c r="T133" i="17"/>
  <c r="T134" i="17"/>
  <c r="T135" i="17"/>
  <c r="T136" i="17"/>
  <c r="T137" i="17"/>
  <c r="T138" i="17"/>
  <c r="T139" i="17"/>
  <c r="T140" i="17"/>
  <c r="U140" i="17" s="1"/>
  <c r="V140" i="17" s="1"/>
  <c r="W140" i="17" s="1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U164" i="17" s="1"/>
  <c r="V164" i="17" s="1"/>
  <c r="W164" i="17" s="1"/>
  <c r="T165" i="17"/>
  <c r="T166" i="17"/>
  <c r="T167" i="17"/>
  <c r="T168" i="17"/>
  <c r="T169" i="17"/>
  <c r="U169" i="17" s="1"/>
  <c r="V169" i="17" s="1"/>
  <c r="W169" i="17" s="1"/>
  <c r="T170" i="17"/>
  <c r="T171" i="17"/>
  <c r="T172" i="17"/>
  <c r="U172" i="17" s="1"/>
  <c r="V172" i="17" s="1"/>
  <c r="W172" i="17" s="1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U193" i="17" s="1"/>
  <c r="V193" i="17" s="1"/>
  <c r="W193" i="17" s="1"/>
  <c r="T194" i="17"/>
  <c r="T195" i="17"/>
  <c r="T196" i="17"/>
  <c r="U196" i="17" s="1"/>
  <c r="V196" i="17" s="1"/>
  <c r="W196" i="17" s="1"/>
  <c r="T197" i="17"/>
  <c r="T198" i="17"/>
  <c r="T199" i="17"/>
  <c r="T200" i="17"/>
  <c r="T201" i="17"/>
  <c r="U201" i="17" s="1"/>
  <c r="V201" i="17" s="1"/>
  <c r="W201" i="17" s="1"/>
  <c r="T202" i="17"/>
  <c r="T203" i="17"/>
  <c r="T204" i="17"/>
  <c r="U204" i="17" s="1"/>
  <c r="V204" i="17" s="1"/>
  <c r="W204" i="17" s="1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U225" i="17" s="1"/>
  <c r="V225" i="17" s="1"/>
  <c r="W225" i="17" s="1"/>
  <c r="T226" i="17"/>
  <c r="T227" i="17"/>
  <c r="T228" i="17"/>
  <c r="U228" i="17" s="1"/>
  <c r="V228" i="17" s="1"/>
  <c r="W228" i="17" s="1"/>
  <c r="T229" i="17"/>
  <c r="T230" i="17"/>
  <c r="T231" i="17"/>
  <c r="T232" i="17"/>
  <c r="T233" i="17"/>
  <c r="U233" i="17" s="1"/>
  <c r="V233" i="17" s="1"/>
  <c r="W233" i="17" s="1"/>
  <c r="T234" i="17"/>
  <c r="T235" i="17"/>
  <c r="T236" i="17"/>
  <c r="U236" i="17" s="1"/>
  <c r="V236" i="17" s="1"/>
  <c r="W236" i="17" s="1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U257" i="17" s="1"/>
  <c r="V257" i="17" s="1"/>
  <c r="W257" i="17" s="1"/>
  <c r="T258" i="17"/>
  <c r="T259" i="17"/>
  <c r="T260" i="17"/>
  <c r="U260" i="17" s="1"/>
  <c r="V260" i="17" s="1"/>
  <c r="W260" i="17" s="1"/>
  <c r="T261" i="17"/>
  <c r="T262" i="17"/>
  <c r="T263" i="17"/>
  <c r="T264" i="17"/>
  <c r="T265" i="17"/>
  <c r="U265" i="17" s="1"/>
  <c r="V265" i="17" s="1"/>
  <c r="W265" i="17" s="1"/>
  <c r="T266" i="17"/>
  <c r="T267" i="17"/>
  <c r="T268" i="17"/>
  <c r="U268" i="17" s="1"/>
  <c r="V268" i="17" s="1"/>
  <c r="W268" i="17" s="1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U289" i="17" s="1"/>
  <c r="V289" i="17" s="1"/>
  <c r="W289" i="17" s="1"/>
  <c r="T290" i="17"/>
  <c r="T291" i="17"/>
  <c r="T292" i="17"/>
  <c r="U292" i="17" s="1"/>
  <c r="V292" i="17" s="1"/>
  <c r="W292" i="17" s="1"/>
  <c r="T293" i="17"/>
  <c r="T294" i="17"/>
  <c r="T295" i="17"/>
  <c r="T296" i="17"/>
  <c r="T297" i="17"/>
  <c r="U297" i="17" s="1"/>
  <c r="V297" i="17" s="1"/>
  <c r="W297" i="17" s="1"/>
  <c r="T298" i="17"/>
  <c r="T299" i="17"/>
  <c r="T300" i="17"/>
  <c r="U300" i="17" s="1"/>
  <c r="V300" i="17" s="1"/>
  <c r="W300" i="17" s="1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U321" i="17" s="1"/>
  <c r="V321" i="17" s="1"/>
  <c r="W321" i="17" s="1"/>
  <c r="T322" i="17"/>
  <c r="T323" i="17"/>
  <c r="T324" i="17"/>
  <c r="U324" i="17" s="1"/>
  <c r="V324" i="17" s="1"/>
  <c r="W324" i="17" s="1"/>
  <c r="T325" i="17"/>
  <c r="T326" i="17"/>
  <c r="T327" i="17"/>
  <c r="T328" i="17"/>
  <c r="T329" i="17"/>
  <c r="U329" i="17" s="1"/>
  <c r="V329" i="17" s="1"/>
  <c r="W329" i="17" s="1"/>
  <c r="T330" i="17"/>
  <c r="T331" i="17"/>
  <c r="T332" i="17"/>
  <c r="U332" i="17" s="1"/>
  <c r="V332" i="17" s="1"/>
  <c r="W332" i="17" s="1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U348" i="17" s="1"/>
  <c r="V348" i="17" s="1"/>
  <c r="W348" i="17" s="1"/>
  <c r="T349" i="17"/>
  <c r="T350" i="17"/>
  <c r="T351" i="17"/>
  <c r="T352" i="17"/>
  <c r="T353" i="17"/>
  <c r="U353" i="17" s="1"/>
  <c r="V353" i="17" s="1"/>
  <c r="W353" i="17" s="1"/>
  <c r="T354" i="17"/>
  <c r="T355" i="17"/>
  <c r="T356" i="17"/>
  <c r="U356" i="17" s="1"/>
  <c r="V356" i="17" s="1"/>
  <c r="W356" i="17" s="1"/>
  <c r="T357" i="17"/>
  <c r="T358" i="17"/>
  <c r="T359" i="17"/>
  <c r="T360" i="17"/>
  <c r="T361" i="17"/>
  <c r="U361" i="17" s="1"/>
  <c r="V361" i="17" s="1"/>
  <c r="W361" i="17" s="1"/>
  <c r="T362" i="17"/>
  <c r="T363" i="17"/>
  <c r="T364" i="17"/>
  <c r="U364" i="17" s="1"/>
  <c r="V364" i="17" s="1"/>
  <c r="W364" i="17" s="1"/>
  <c r="T365" i="17"/>
  <c r="T366" i="17"/>
  <c r="T367" i="17"/>
  <c r="T368" i="17"/>
  <c r="T369" i="17"/>
  <c r="U369" i="17" s="1"/>
  <c r="V369" i="17" s="1"/>
  <c r="W369" i="17" s="1"/>
  <c r="T370" i="17"/>
  <c r="T371" i="17"/>
  <c r="T372" i="17"/>
  <c r="U372" i="17" s="1"/>
  <c r="V372" i="17" s="1"/>
  <c r="W372" i="17" s="1"/>
  <c r="T373" i="17"/>
  <c r="T374" i="17"/>
  <c r="T375" i="17"/>
  <c r="T376" i="17"/>
  <c r="T377" i="17"/>
  <c r="U377" i="17" s="1"/>
  <c r="V377" i="17" s="1"/>
  <c r="W377" i="17" s="1"/>
  <c r="T378" i="17"/>
  <c r="T379" i="17"/>
  <c r="T380" i="17"/>
  <c r="U380" i="17" s="1"/>
  <c r="V380" i="17" s="1"/>
  <c r="W380" i="17" s="1"/>
  <c r="T381" i="17"/>
  <c r="T382" i="17"/>
  <c r="T383" i="17"/>
  <c r="T384" i="17"/>
  <c r="T385" i="17"/>
  <c r="U385" i="17" s="1"/>
  <c r="V385" i="17" s="1"/>
  <c r="W385" i="17" s="1"/>
  <c r="T386" i="17"/>
  <c r="T387" i="17"/>
  <c r="T388" i="17"/>
  <c r="U388" i="17" s="1"/>
  <c r="V388" i="17" s="1"/>
  <c r="W388" i="17" s="1"/>
  <c r="T389" i="17"/>
  <c r="T390" i="17"/>
  <c r="T391" i="17"/>
  <c r="T392" i="17"/>
  <c r="T393" i="17"/>
  <c r="U393" i="17" s="1"/>
  <c r="V393" i="17" s="1"/>
  <c r="W393" i="17" s="1"/>
  <c r="T394" i="17"/>
  <c r="T395" i="17"/>
  <c r="T396" i="17"/>
  <c r="U396" i="17" s="1"/>
  <c r="V396" i="17" s="1"/>
  <c r="W396" i="17" s="1"/>
  <c r="T397" i="17"/>
  <c r="T398" i="17"/>
  <c r="T399" i="17"/>
  <c r="T400" i="17"/>
  <c r="T401" i="17"/>
  <c r="U401" i="17" s="1"/>
  <c r="V401" i="17" s="1"/>
  <c r="W401" i="17" s="1"/>
  <c r="T402" i="17"/>
  <c r="T403" i="17"/>
  <c r="T404" i="17"/>
  <c r="T405" i="17"/>
  <c r="T406" i="17"/>
  <c r="T407" i="17"/>
  <c r="T408" i="17"/>
  <c r="T409" i="17"/>
  <c r="T410" i="17"/>
  <c r="T411" i="17"/>
  <c r="T412" i="17"/>
  <c r="U412" i="17" s="1"/>
  <c r="V412" i="17" s="1"/>
  <c r="W412" i="17" s="1"/>
  <c r="T413" i="17"/>
  <c r="T414" i="17"/>
  <c r="T415" i="17"/>
  <c r="T416" i="17"/>
  <c r="T417" i="17"/>
  <c r="U417" i="17" s="1"/>
  <c r="V417" i="17" s="1"/>
  <c r="W417" i="17" s="1"/>
  <c r="T418" i="17"/>
  <c r="T419" i="17"/>
  <c r="T420" i="17"/>
  <c r="U420" i="17" s="1"/>
  <c r="V420" i="17" s="1"/>
  <c r="W420" i="17" s="1"/>
  <c r="T421" i="17"/>
  <c r="T422" i="17"/>
  <c r="T423" i="17"/>
  <c r="T424" i="17"/>
  <c r="T425" i="17"/>
  <c r="U425" i="17" s="1"/>
  <c r="V425" i="17" s="1"/>
  <c r="W425" i="17" s="1"/>
  <c r="T426" i="17"/>
  <c r="T427" i="17"/>
  <c r="T428" i="17"/>
  <c r="T429" i="17"/>
  <c r="T430" i="17"/>
  <c r="T431" i="17"/>
  <c r="T432" i="17"/>
  <c r="T433" i="17"/>
  <c r="T434" i="17"/>
  <c r="T435" i="17"/>
  <c r="T436" i="17"/>
  <c r="U436" i="17" s="1"/>
  <c r="V436" i="17" s="1"/>
  <c r="W436" i="17" s="1"/>
  <c r="T437" i="17"/>
  <c r="T438" i="17"/>
  <c r="T439" i="17"/>
  <c r="T440" i="17"/>
  <c r="T441" i="17"/>
  <c r="U441" i="17" s="1"/>
  <c r="V441" i="17" s="1"/>
  <c r="W441" i="17" s="1"/>
  <c r="T442" i="17"/>
  <c r="T443" i="17"/>
  <c r="U443" i="17" s="1"/>
  <c r="V443" i="17" s="1"/>
  <c r="W443" i="17" s="1"/>
  <c r="T444" i="17"/>
  <c r="U444" i="17" s="1"/>
  <c r="V444" i="17" s="1"/>
  <c r="W444" i="17" s="1"/>
  <c r="T445" i="17"/>
  <c r="T446" i="17"/>
  <c r="T447" i="17"/>
  <c r="T448" i="17"/>
  <c r="T449" i="17"/>
  <c r="U449" i="17" s="1"/>
  <c r="V449" i="17" s="1"/>
  <c r="W449" i="17" s="1"/>
  <c r="T450" i="17"/>
  <c r="T451" i="17"/>
  <c r="T452" i="17"/>
  <c r="T453" i="17"/>
  <c r="T454" i="17"/>
  <c r="T455" i="17"/>
  <c r="T456" i="17"/>
  <c r="T457" i="17"/>
  <c r="U457" i="17" s="1"/>
  <c r="V457" i="17" s="1"/>
  <c r="W457" i="17" s="1"/>
  <c r="T458" i="17"/>
  <c r="T459" i="17"/>
  <c r="T460" i="17"/>
  <c r="U460" i="17" s="1"/>
  <c r="V460" i="17" s="1"/>
  <c r="W460" i="17" s="1"/>
  <c r="T461" i="17"/>
  <c r="T462" i="17"/>
  <c r="T463" i="17"/>
  <c r="T464" i="17"/>
  <c r="T465" i="17"/>
  <c r="U465" i="17" s="1"/>
  <c r="V465" i="17" s="1"/>
  <c r="W465" i="17" s="1"/>
  <c r="T466" i="17"/>
  <c r="T467" i="17"/>
  <c r="T468" i="17"/>
  <c r="U468" i="17" s="1"/>
  <c r="V468" i="17" s="1"/>
  <c r="W468" i="17" s="1"/>
  <c r="T469" i="17"/>
  <c r="T470" i="17"/>
  <c r="T471" i="17"/>
  <c r="T472" i="17"/>
  <c r="T473" i="17"/>
  <c r="U473" i="17" s="1"/>
  <c r="V473" i="17" s="1"/>
  <c r="W473" i="17" s="1"/>
  <c r="T474" i="17"/>
  <c r="T475" i="17"/>
  <c r="U475" i="17" s="1"/>
  <c r="V475" i="17" s="1"/>
  <c r="W475" i="17" s="1"/>
  <c r="T476" i="17"/>
  <c r="U476" i="17" s="1"/>
  <c r="V476" i="17" s="1"/>
  <c r="W476" i="17" s="1"/>
  <c r="T477" i="17"/>
  <c r="T478" i="17"/>
  <c r="T479" i="17"/>
  <c r="T480" i="17"/>
  <c r="T481" i="17"/>
  <c r="T482" i="17"/>
  <c r="T483" i="17"/>
  <c r="U483" i="17" s="1"/>
  <c r="V483" i="17" s="1"/>
  <c r="W483" i="17" s="1"/>
  <c r="T484" i="17"/>
  <c r="U484" i="17" s="1"/>
  <c r="V484" i="17" s="1"/>
  <c r="W484" i="17" s="1"/>
  <c r="T485" i="17"/>
  <c r="T486" i="17"/>
  <c r="T487" i="17"/>
  <c r="T488" i="17"/>
  <c r="T489" i="17"/>
  <c r="U489" i="17" s="1"/>
  <c r="V489" i="17" s="1"/>
  <c r="W489" i="17" s="1"/>
  <c r="T490" i="17"/>
  <c r="T491" i="17"/>
  <c r="T492" i="17"/>
  <c r="U492" i="17" s="1"/>
  <c r="V492" i="17" s="1"/>
  <c r="W492" i="17" s="1"/>
  <c r="T493" i="17"/>
  <c r="T494" i="17"/>
  <c r="T495" i="17"/>
  <c r="T496" i="17"/>
  <c r="T497" i="17"/>
  <c r="U497" i="17" s="1"/>
  <c r="V497" i="17" s="1"/>
  <c r="W497" i="17" s="1"/>
  <c r="T498" i="17"/>
  <c r="T499" i="17"/>
  <c r="T500" i="17"/>
  <c r="U500" i="17" s="1"/>
  <c r="V500" i="17" s="1"/>
  <c r="W500" i="17" s="1"/>
  <c r="T501" i="17"/>
  <c r="T502" i="17"/>
  <c r="T503" i="17"/>
  <c r="T504" i="17"/>
  <c r="T505" i="17"/>
  <c r="T506" i="17"/>
  <c r="T507" i="17"/>
  <c r="T508" i="17"/>
  <c r="U508" i="17" s="1"/>
  <c r="V508" i="17" s="1"/>
  <c r="W508" i="17" s="1"/>
  <c r="T509" i="17"/>
  <c r="T510" i="17"/>
  <c r="T511" i="17"/>
  <c r="T512" i="17"/>
  <c r="T513" i="17"/>
  <c r="T514" i="17"/>
  <c r="T515" i="17"/>
  <c r="U515" i="17" s="1"/>
  <c r="V515" i="17" s="1"/>
  <c r="W515" i="17" s="1"/>
  <c r="T516" i="17"/>
  <c r="U516" i="17" s="1"/>
  <c r="V516" i="17" s="1"/>
  <c r="W516" i="17" s="1"/>
  <c r="T517" i="17"/>
  <c r="T518" i="17"/>
  <c r="T519" i="17"/>
  <c r="T520" i="17"/>
  <c r="T521" i="17"/>
  <c r="U521" i="17" s="1"/>
  <c r="V521" i="17" s="1"/>
  <c r="W521" i="17" s="1"/>
  <c r="T522" i="17"/>
  <c r="T523" i="17"/>
  <c r="T524" i="17"/>
  <c r="U524" i="17" s="1"/>
  <c r="V524" i="17" s="1"/>
  <c r="W524" i="17" s="1"/>
  <c r="T525" i="17"/>
  <c r="T526" i="17"/>
  <c r="T527" i="17"/>
  <c r="T528" i="17"/>
  <c r="T529" i="17"/>
  <c r="T530" i="17"/>
  <c r="T531" i="17"/>
  <c r="U531" i="17" s="1"/>
  <c r="V531" i="17" s="1"/>
  <c r="W531" i="17" s="1"/>
  <c r="T532" i="17"/>
  <c r="U532" i="17" s="1"/>
  <c r="V532" i="17" s="1"/>
  <c r="W532" i="17" s="1"/>
  <c r="T533" i="17"/>
  <c r="T534" i="17"/>
  <c r="T535" i="17"/>
  <c r="T536" i="17"/>
  <c r="T537" i="17"/>
  <c r="U537" i="17" s="1"/>
  <c r="V537" i="17" s="1"/>
  <c r="W537" i="17" s="1"/>
  <c r="T538" i="17"/>
  <c r="T539" i="17"/>
  <c r="U539" i="17" s="1"/>
  <c r="V539" i="17" s="1"/>
  <c r="W539" i="17" s="1"/>
  <c r="T540" i="17"/>
  <c r="U540" i="17" s="1"/>
  <c r="V540" i="17" s="1"/>
  <c r="W540" i="17" s="1"/>
  <c r="T541" i="17"/>
  <c r="T542" i="17"/>
  <c r="T543" i="17"/>
  <c r="T544" i="17"/>
  <c r="T545" i="17"/>
  <c r="U545" i="17" s="1"/>
  <c r="V545" i="17" s="1"/>
  <c r="W545" i="17" s="1"/>
  <c r="T546" i="17"/>
  <c r="T547" i="17"/>
  <c r="T548" i="17"/>
  <c r="U548" i="17" s="1"/>
  <c r="V548" i="17" s="1"/>
  <c r="W548" i="17" s="1"/>
  <c r="T549" i="17"/>
  <c r="T550" i="17"/>
  <c r="T551" i="17"/>
  <c r="T552" i="17"/>
  <c r="T553" i="17"/>
  <c r="U553" i="17" s="1"/>
  <c r="V553" i="17" s="1"/>
  <c r="W553" i="17" s="1"/>
  <c r="T554" i="17"/>
  <c r="T555" i="17"/>
  <c r="T556" i="17"/>
  <c r="U556" i="17" s="1"/>
  <c r="V556" i="17" s="1"/>
  <c r="W556" i="17" s="1"/>
  <c r="T557" i="17"/>
  <c r="T558" i="17"/>
  <c r="T559" i="17"/>
  <c r="T560" i="17"/>
  <c r="T561" i="17"/>
  <c r="U561" i="17" s="1"/>
  <c r="V561" i="17" s="1"/>
  <c r="W561" i="17" s="1"/>
  <c r="T562" i="17"/>
  <c r="T563" i="17"/>
  <c r="T564" i="17"/>
  <c r="U564" i="17" s="1"/>
  <c r="V564" i="17" s="1"/>
  <c r="W564" i="17" s="1"/>
  <c r="T565" i="17"/>
  <c r="T566" i="17"/>
  <c r="T567" i="17"/>
  <c r="T568" i="17"/>
  <c r="T569" i="17"/>
  <c r="U569" i="17" s="1"/>
  <c r="V569" i="17" s="1"/>
  <c r="W569" i="17" s="1"/>
  <c r="T570" i="17"/>
  <c r="T571" i="17"/>
  <c r="T572" i="17"/>
  <c r="T573" i="17"/>
  <c r="T574" i="17"/>
  <c r="T575" i="17"/>
  <c r="T576" i="17"/>
  <c r="T577" i="17"/>
  <c r="T578" i="17"/>
  <c r="T579" i="17"/>
  <c r="U579" i="17" s="1"/>
  <c r="V579" i="17" s="1"/>
  <c r="W579" i="17" s="1"/>
  <c r="T580" i="17"/>
  <c r="U580" i="17" s="1"/>
  <c r="V580" i="17" s="1"/>
  <c r="W580" i="17" s="1"/>
  <c r="T581" i="17"/>
  <c r="T582" i="17"/>
  <c r="T583" i="17"/>
  <c r="T584" i="17"/>
  <c r="T585" i="17"/>
  <c r="T586" i="17"/>
  <c r="T587" i="17"/>
  <c r="T588" i="17"/>
  <c r="U588" i="17" s="1"/>
  <c r="V588" i="17" s="1"/>
  <c r="W588" i="17" s="1"/>
  <c r="T589" i="17"/>
  <c r="T590" i="17"/>
  <c r="T591" i="17"/>
  <c r="T592" i="17"/>
  <c r="T593" i="17"/>
  <c r="U593" i="17" s="1"/>
  <c r="V593" i="17" s="1"/>
  <c r="W593" i="17" s="1"/>
  <c r="T594" i="17"/>
  <c r="T595" i="17"/>
  <c r="U595" i="17" s="1"/>
  <c r="V595" i="17" s="1"/>
  <c r="W595" i="17" s="1"/>
  <c r="T596" i="17"/>
  <c r="U596" i="17" s="1"/>
  <c r="V596" i="17" s="1"/>
  <c r="W596" i="17" s="1"/>
  <c r="T597" i="17"/>
  <c r="T598" i="17"/>
  <c r="T599" i="17"/>
  <c r="T600" i="17"/>
  <c r="T601" i="17"/>
  <c r="U601" i="17" s="1"/>
  <c r="V601" i="17" s="1"/>
  <c r="W601" i="17" s="1"/>
  <c r="T602" i="17"/>
  <c r="T603" i="17"/>
  <c r="U603" i="17" s="1"/>
  <c r="V603" i="17" s="1"/>
  <c r="W603" i="17" s="1"/>
  <c r="T604" i="17"/>
  <c r="U604" i="17" s="1"/>
  <c r="V604" i="17" s="1"/>
  <c r="W604" i="17" s="1"/>
  <c r="T605" i="17"/>
  <c r="T606" i="17"/>
  <c r="T607" i="17"/>
  <c r="T608" i="17"/>
  <c r="T609" i="17"/>
  <c r="U609" i="17" s="1"/>
  <c r="V609" i="17" s="1"/>
  <c r="W609" i="17" s="1"/>
  <c r="T610" i="17"/>
  <c r="T611" i="17"/>
  <c r="T612" i="17"/>
  <c r="U612" i="17" s="1"/>
  <c r="V612" i="17" s="1"/>
  <c r="W612" i="17" s="1"/>
  <c r="T613" i="17"/>
  <c r="T614" i="17"/>
  <c r="T615" i="17"/>
  <c r="T616" i="17"/>
  <c r="T617" i="17"/>
  <c r="U617" i="17" s="1"/>
  <c r="V617" i="17" s="1"/>
  <c r="W617" i="17" s="1"/>
  <c r="T618" i="17"/>
  <c r="T619" i="17"/>
  <c r="T620" i="17"/>
  <c r="U620" i="17" s="1"/>
  <c r="V620" i="17" s="1"/>
  <c r="W620" i="17" s="1"/>
  <c r="T621" i="17"/>
  <c r="T622" i="17"/>
  <c r="T623" i="17"/>
  <c r="T624" i="17"/>
  <c r="T625" i="17"/>
  <c r="U625" i="17" s="1"/>
  <c r="V625" i="17" s="1"/>
  <c r="W625" i="17" s="1"/>
  <c r="T626" i="17"/>
  <c r="T627" i="17"/>
  <c r="U627" i="17" s="1"/>
  <c r="V627" i="17" s="1"/>
  <c r="W627" i="17" s="1"/>
  <c r="T628" i="17"/>
  <c r="U628" i="17" s="1"/>
  <c r="V628" i="17" s="1"/>
  <c r="W628" i="17" s="1"/>
  <c r="T629" i="17"/>
  <c r="T630" i="17"/>
  <c r="T631" i="17"/>
  <c r="T632" i="17"/>
  <c r="T633" i="17"/>
  <c r="T634" i="17"/>
  <c r="T635" i="17"/>
  <c r="U635" i="17" s="1"/>
  <c r="V635" i="17" s="1"/>
  <c r="W635" i="17" s="1"/>
  <c r="T636" i="17"/>
  <c r="U636" i="17" s="1"/>
  <c r="V636" i="17" s="1"/>
  <c r="W636" i="17" s="1"/>
  <c r="T637" i="17"/>
  <c r="T638" i="17"/>
  <c r="T639" i="17"/>
  <c r="T640" i="17"/>
  <c r="T641" i="17"/>
  <c r="U641" i="17" s="1"/>
  <c r="V641" i="17" s="1"/>
  <c r="W641" i="17" s="1"/>
  <c r="T642" i="17"/>
  <c r="T643" i="17"/>
  <c r="T644" i="17"/>
  <c r="U644" i="17" s="1"/>
  <c r="V644" i="17" s="1"/>
  <c r="W644" i="17" s="1"/>
  <c r="T645" i="17"/>
  <c r="T646" i="17"/>
  <c r="T647" i="17"/>
  <c r="T648" i="17"/>
  <c r="T649" i="17"/>
  <c r="U649" i="17" s="1"/>
  <c r="V649" i="17" s="1"/>
  <c r="W649" i="17" s="1"/>
  <c r="T650" i="17"/>
  <c r="T651" i="17"/>
  <c r="T652" i="17"/>
  <c r="U652" i="17" s="1"/>
  <c r="V652" i="17" s="1"/>
  <c r="W652" i="17" s="1"/>
  <c r="T653" i="17"/>
  <c r="T654" i="17"/>
  <c r="T655" i="17"/>
  <c r="T656" i="17"/>
  <c r="T657" i="17"/>
  <c r="U657" i="17" s="1"/>
  <c r="V657" i="17" s="1"/>
  <c r="W657" i="17" s="1"/>
  <c r="T658" i="17"/>
  <c r="T659" i="17"/>
  <c r="U659" i="17" s="1"/>
  <c r="V659" i="17" s="1"/>
  <c r="W659" i="17" s="1"/>
  <c r="T660" i="17"/>
  <c r="U660" i="17" s="1"/>
  <c r="V660" i="17" s="1"/>
  <c r="W660" i="17" s="1"/>
  <c r="T661" i="17"/>
  <c r="T662" i="17"/>
  <c r="T663" i="17"/>
  <c r="T664" i="17"/>
  <c r="T665" i="17"/>
  <c r="U665" i="17" s="1"/>
  <c r="V665" i="17" s="1"/>
  <c r="W665" i="17" s="1"/>
  <c r="T666" i="17"/>
  <c r="T667" i="17"/>
  <c r="T668" i="17"/>
  <c r="U668" i="17" s="1"/>
  <c r="V668" i="17" s="1"/>
  <c r="W668" i="17" s="1"/>
  <c r="T669" i="17"/>
  <c r="T670" i="17"/>
  <c r="T671" i="17"/>
  <c r="T672" i="17"/>
  <c r="T673" i="17"/>
  <c r="U673" i="17" s="1"/>
  <c r="V673" i="17" s="1"/>
  <c r="W673" i="17" s="1"/>
  <c r="T674" i="17"/>
  <c r="T675" i="17"/>
  <c r="T676" i="17"/>
  <c r="U676" i="17" s="1"/>
  <c r="V676" i="17" s="1"/>
  <c r="W676" i="17" s="1"/>
  <c r="T677" i="17"/>
  <c r="T678" i="17"/>
  <c r="T679" i="17"/>
  <c r="T680" i="17"/>
  <c r="T681" i="17"/>
  <c r="U681" i="17" s="1"/>
  <c r="V681" i="17" s="1"/>
  <c r="W681" i="17" s="1"/>
  <c r="T682" i="17"/>
  <c r="T683" i="17"/>
  <c r="U683" i="17" s="1"/>
  <c r="V683" i="17" s="1"/>
  <c r="W683" i="17" s="1"/>
  <c r="T684" i="17"/>
  <c r="U684" i="17" s="1"/>
  <c r="V684" i="17" s="1"/>
  <c r="W684" i="17" s="1"/>
  <c r="T685" i="17"/>
  <c r="T686" i="17"/>
  <c r="T687" i="17"/>
  <c r="T688" i="17"/>
  <c r="T689" i="17"/>
  <c r="U689" i="17" s="1"/>
  <c r="V689" i="17" s="1"/>
  <c r="W689" i="17" s="1"/>
  <c r="T690" i="17"/>
  <c r="T691" i="17"/>
  <c r="U691" i="17" s="1"/>
  <c r="V691" i="17" s="1"/>
  <c r="W691" i="17" s="1"/>
  <c r="T692" i="17"/>
  <c r="U692" i="17" s="1"/>
  <c r="V692" i="17" s="1"/>
  <c r="W692" i="17" s="1"/>
  <c r="T693" i="17"/>
  <c r="T694" i="17"/>
  <c r="T695" i="17"/>
  <c r="T696" i="17"/>
  <c r="T697" i="17"/>
  <c r="U697" i="17" s="1"/>
  <c r="V697" i="17" s="1"/>
  <c r="W697" i="17" s="1"/>
  <c r="T698" i="17"/>
  <c r="T699" i="17"/>
  <c r="T700" i="17"/>
  <c r="T701" i="17"/>
  <c r="T702" i="17"/>
  <c r="T703" i="17"/>
  <c r="T704" i="17"/>
  <c r="T705" i="17"/>
  <c r="T706" i="17"/>
  <c r="T707" i="17"/>
  <c r="U707" i="17" s="1"/>
  <c r="V707" i="17" s="1"/>
  <c r="W707" i="17" s="1"/>
  <c r="T708" i="17"/>
  <c r="U708" i="17" s="1"/>
  <c r="V708" i="17" s="1"/>
  <c r="W708" i="17" s="1"/>
  <c r="T709" i="17"/>
  <c r="T710" i="17"/>
  <c r="T711" i="17"/>
  <c r="T712" i="17"/>
  <c r="T713" i="17"/>
  <c r="T714" i="17"/>
  <c r="T715" i="17"/>
  <c r="T716" i="17"/>
  <c r="U716" i="17" s="1"/>
  <c r="V716" i="17" s="1"/>
  <c r="W716" i="17" s="1"/>
  <c r="T717" i="17"/>
  <c r="T718" i="17"/>
  <c r="T719" i="17"/>
  <c r="T720" i="17"/>
  <c r="T721" i="17"/>
  <c r="U721" i="17" s="1"/>
  <c r="V721" i="17" s="1"/>
  <c r="W721" i="17" s="1"/>
  <c r="T722" i="17"/>
  <c r="T723" i="17"/>
  <c r="U723" i="17" s="1"/>
  <c r="V723" i="17" s="1"/>
  <c r="W723" i="17" s="1"/>
  <c r="T724" i="17"/>
  <c r="U724" i="17" s="1"/>
  <c r="V724" i="17" s="1"/>
  <c r="W724" i="17" s="1"/>
  <c r="T725" i="17"/>
  <c r="T726" i="17"/>
  <c r="T727" i="17"/>
  <c r="T728" i="17"/>
  <c r="T729" i="17"/>
  <c r="U729" i="17" s="1"/>
  <c r="V729" i="17" s="1"/>
  <c r="W729" i="17" s="1"/>
  <c r="T730" i="17"/>
  <c r="T731" i="17"/>
  <c r="T732" i="17"/>
  <c r="U732" i="17" s="1"/>
  <c r="V732" i="17" s="1"/>
  <c r="W732" i="17" s="1"/>
  <c r="T733" i="17"/>
  <c r="T734" i="17"/>
  <c r="T735" i="17"/>
  <c r="T736" i="17"/>
  <c r="T737" i="17"/>
  <c r="U737" i="17" s="1"/>
  <c r="V737" i="17" s="1"/>
  <c r="W737" i="17" s="1"/>
  <c r="T738" i="17"/>
  <c r="T739" i="17"/>
  <c r="T740" i="17"/>
  <c r="U740" i="17" s="1"/>
  <c r="V740" i="17" s="1"/>
  <c r="W740" i="17" s="1"/>
  <c r="T741" i="17"/>
  <c r="T742" i="17"/>
  <c r="U742" i="17" s="1"/>
  <c r="V742" i="17" s="1"/>
  <c r="W742" i="17" s="1"/>
  <c r="T743" i="17"/>
  <c r="T744" i="17"/>
  <c r="T745" i="17"/>
  <c r="U745" i="17" s="1"/>
  <c r="V745" i="17" s="1"/>
  <c r="W745" i="17" s="1"/>
  <c r="T746" i="17"/>
  <c r="T747" i="17"/>
  <c r="U747" i="17" s="1"/>
  <c r="V747" i="17" s="1"/>
  <c r="W747" i="17" s="1"/>
  <c r="T748" i="17"/>
  <c r="U748" i="17" s="1"/>
  <c r="V748" i="17" s="1"/>
  <c r="W748" i="17" s="1"/>
  <c r="T749" i="17"/>
  <c r="T750" i="17"/>
  <c r="T751" i="17"/>
  <c r="T752" i="17"/>
  <c r="T753" i="17"/>
  <c r="U753" i="17" s="1"/>
  <c r="V753" i="17" s="1"/>
  <c r="W753" i="17" s="1"/>
  <c r="T754" i="17"/>
  <c r="T755" i="17"/>
  <c r="U755" i="17" s="1"/>
  <c r="V755" i="17" s="1"/>
  <c r="W755" i="17" s="1"/>
  <c r="T756" i="17"/>
  <c r="U756" i="17" s="1"/>
  <c r="V756" i="17" s="1"/>
  <c r="W756" i="17" s="1"/>
  <c r="T757" i="17"/>
  <c r="T758" i="17"/>
  <c r="U758" i="17" s="1"/>
  <c r="V758" i="17" s="1"/>
  <c r="W758" i="17" s="1"/>
  <c r="T759" i="17"/>
  <c r="T760" i="17"/>
  <c r="T761" i="17"/>
  <c r="U761" i="17" s="1"/>
  <c r="V761" i="17" s="1"/>
  <c r="W761" i="17" s="1"/>
  <c r="T762" i="17"/>
  <c r="T763" i="17"/>
  <c r="T764" i="17"/>
  <c r="T765" i="17"/>
  <c r="T766" i="17"/>
  <c r="T767" i="17"/>
  <c r="T768" i="17"/>
  <c r="T769" i="17"/>
  <c r="T770" i="17"/>
  <c r="T771" i="17"/>
  <c r="U771" i="17" s="1"/>
  <c r="V771" i="17" s="1"/>
  <c r="W771" i="17" s="1"/>
  <c r="T772" i="17"/>
  <c r="U772" i="17" s="1"/>
  <c r="V772" i="17" s="1"/>
  <c r="W772" i="17" s="1"/>
  <c r="T773" i="17"/>
  <c r="T774" i="17"/>
  <c r="T775" i="17"/>
  <c r="T776" i="17"/>
  <c r="T777" i="17"/>
  <c r="T778" i="17"/>
  <c r="T779" i="17"/>
  <c r="T780" i="17"/>
  <c r="U780" i="17" s="1"/>
  <c r="V780" i="17" s="1"/>
  <c r="W780" i="17" s="1"/>
  <c r="T781" i="17"/>
  <c r="T782" i="17"/>
  <c r="T783" i="17"/>
  <c r="T784" i="17"/>
  <c r="T785" i="17"/>
  <c r="U785" i="17" s="1"/>
  <c r="V785" i="17" s="1"/>
  <c r="W785" i="17" s="1"/>
  <c r="T786" i="17"/>
  <c r="T787" i="17"/>
  <c r="U787" i="17" s="1"/>
  <c r="V787" i="17" s="1"/>
  <c r="W787" i="17" s="1"/>
  <c r="T788" i="17"/>
  <c r="U788" i="17" s="1"/>
  <c r="V788" i="17" s="1"/>
  <c r="W788" i="17" s="1"/>
  <c r="T789" i="17"/>
  <c r="T790" i="17"/>
  <c r="T791" i="17"/>
  <c r="T792" i="17"/>
  <c r="T793" i="17"/>
  <c r="U793" i="17" s="1"/>
  <c r="V793" i="17" s="1"/>
  <c r="W793" i="17" s="1"/>
  <c r="T794" i="17"/>
  <c r="T795" i="17"/>
  <c r="T796" i="17"/>
  <c r="U796" i="17" s="1"/>
  <c r="V796" i="17" s="1"/>
  <c r="W796" i="17" s="1"/>
  <c r="T797" i="17"/>
  <c r="T798" i="17"/>
  <c r="T799" i="17"/>
  <c r="T800" i="17"/>
  <c r="T801" i="17"/>
  <c r="U801" i="17" s="1"/>
  <c r="V801" i="17" s="1"/>
  <c r="W801" i="17" s="1"/>
  <c r="T802" i="17"/>
  <c r="T803" i="17"/>
  <c r="T804" i="17"/>
  <c r="U804" i="17" s="1"/>
  <c r="V804" i="17" s="1"/>
  <c r="W804" i="17" s="1"/>
  <c r="T805" i="17"/>
  <c r="T806" i="17"/>
  <c r="U806" i="17" s="1"/>
  <c r="V806" i="17" s="1"/>
  <c r="W806" i="17" s="1"/>
  <c r="T807" i="17"/>
  <c r="T808" i="17"/>
  <c r="T809" i="17"/>
  <c r="U809" i="17" s="1"/>
  <c r="V809" i="17" s="1"/>
  <c r="W809" i="17" s="1"/>
  <c r="T810" i="17"/>
  <c r="T811" i="17"/>
  <c r="U811" i="17" s="1"/>
  <c r="V811" i="17" s="1"/>
  <c r="W811" i="17" s="1"/>
  <c r="T812" i="17"/>
  <c r="U812" i="17" s="1"/>
  <c r="V812" i="17" s="1"/>
  <c r="W812" i="17" s="1"/>
  <c r="T813" i="17"/>
  <c r="T814" i="17"/>
  <c r="T815" i="17"/>
  <c r="T816" i="17"/>
  <c r="T817" i="17"/>
  <c r="U817" i="17" s="1"/>
  <c r="V817" i="17" s="1"/>
  <c r="W817" i="17" s="1"/>
  <c r="T818" i="17"/>
  <c r="T819" i="17"/>
  <c r="U819" i="17" s="1"/>
  <c r="V819" i="17" s="1"/>
  <c r="W819" i="17" s="1"/>
  <c r="T820" i="17"/>
  <c r="U820" i="17" s="1"/>
  <c r="V820" i="17" s="1"/>
  <c r="W820" i="17" s="1"/>
  <c r="T821" i="17"/>
  <c r="T822" i="17"/>
  <c r="U822" i="17" s="1"/>
  <c r="V822" i="17" s="1"/>
  <c r="W822" i="17" s="1"/>
  <c r="T823" i="17"/>
  <c r="T824" i="17"/>
  <c r="T825" i="17"/>
  <c r="U825" i="17" s="1"/>
  <c r="V825" i="17" s="1"/>
  <c r="W825" i="17" s="1"/>
  <c r="T826" i="17"/>
  <c r="T827" i="17"/>
  <c r="U827" i="17" s="1"/>
  <c r="V827" i="17" s="1"/>
  <c r="W827" i="17" s="1"/>
  <c r="T828" i="17"/>
  <c r="U828" i="17" s="1"/>
  <c r="V828" i="17" s="1"/>
  <c r="W828" i="17" s="1"/>
  <c r="T829" i="17"/>
  <c r="T830" i="17"/>
  <c r="T831" i="17"/>
  <c r="T832" i="17"/>
  <c r="T833" i="17"/>
  <c r="U833" i="17" s="1"/>
  <c r="V833" i="17" s="1"/>
  <c r="W833" i="17" s="1"/>
  <c r="T834" i="17"/>
  <c r="T835" i="17"/>
  <c r="T836" i="17"/>
  <c r="U836" i="17" s="1"/>
  <c r="V836" i="17" s="1"/>
  <c r="W836" i="17" s="1"/>
  <c r="T837" i="17"/>
  <c r="T838" i="17"/>
  <c r="U838" i="17" s="1"/>
  <c r="V838" i="17" s="1"/>
  <c r="W838" i="17" s="1"/>
  <c r="T839" i="17"/>
  <c r="T840" i="17"/>
  <c r="T841" i="17"/>
  <c r="U841" i="17" s="1"/>
  <c r="V841" i="17" s="1"/>
  <c r="W841" i="17" s="1"/>
  <c r="T842" i="17"/>
  <c r="T843" i="17"/>
  <c r="U843" i="17" s="1"/>
  <c r="V843" i="17" s="1"/>
  <c r="W843" i="17" s="1"/>
  <c r="T844" i="17"/>
  <c r="U844" i="17" s="1"/>
  <c r="V844" i="17" s="1"/>
  <c r="W844" i="17" s="1"/>
  <c r="T845" i="17"/>
  <c r="T846" i="17"/>
  <c r="T847" i="17"/>
  <c r="T848" i="17"/>
  <c r="T849" i="17"/>
  <c r="T850" i="17"/>
  <c r="T851" i="17"/>
  <c r="U851" i="17" s="1"/>
  <c r="V851" i="17" s="1"/>
  <c r="W851" i="17" s="1"/>
  <c r="T852" i="17"/>
  <c r="T853" i="17"/>
  <c r="T854" i="17"/>
  <c r="U854" i="17" s="1"/>
  <c r="V854" i="17" s="1"/>
  <c r="W854" i="17" s="1"/>
  <c r="T855" i="17"/>
  <c r="T856" i="17"/>
  <c r="T857" i="17"/>
  <c r="T858" i="17"/>
  <c r="T859" i="17"/>
  <c r="U859" i="17" s="1"/>
  <c r="V859" i="17" s="1"/>
  <c r="W859" i="17" s="1"/>
  <c r="T860" i="17"/>
  <c r="U860" i="17" s="1"/>
  <c r="V860" i="17" s="1"/>
  <c r="W860" i="17" s="1"/>
  <c r="T861" i="17"/>
  <c r="T862" i="17"/>
  <c r="T863" i="17"/>
  <c r="T864" i="17"/>
  <c r="T865" i="17"/>
  <c r="U865" i="17" s="1"/>
  <c r="V865" i="17" s="1"/>
  <c r="W865" i="17" s="1"/>
  <c r="T866" i="17"/>
  <c r="T867" i="17"/>
  <c r="T868" i="17"/>
  <c r="U868" i="17" s="1"/>
  <c r="V868" i="17" s="1"/>
  <c r="W868" i="17" s="1"/>
  <c r="T869" i="17"/>
  <c r="T870" i="17"/>
  <c r="T871" i="17"/>
  <c r="T872" i="17"/>
  <c r="T873" i="17"/>
  <c r="U873" i="17" s="1"/>
  <c r="V873" i="17" s="1"/>
  <c r="W873" i="17" s="1"/>
  <c r="T874" i="17"/>
  <c r="T875" i="17"/>
  <c r="T876" i="17"/>
  <c r="U876" i="17" s="1"/>
  <c r="V876" i="17" s="1"/>
  <c r="W876" i="17" s="1"/>
  <c r="T877" i="17"/>
  <c r="T878" i="17"/>
  <c r="T879" i="17"/>
  <c r="T880" i="17"/>
  <c r="T881" i="17"/>
  <c r="T882" i="17"/>
  <c r="T883" i="17"/>
  <c r="U883" i="17" s="1"/>
  <c r="V883" i="17" s="1"/>
  <c r="W883" i="17" s="1"/>
  <c r="T884" i="17"/>
  <c r="U884" i="17" s="1"/>
  <c r="V884" i="17" s="1"/>
  <c r="W884" i="17" s="1"/>
  <c r="T885" i="17"/>
  <c r="T886" i="17"/>
  <c r="T887" i="17"/>
  <c r="T888" i="17"/>
  <c r="T889" i="17"/>
  <c r="U889" i="17" s="1"/>
  <c r="V889" i="17" s="1"/>
  <c r="W889" i="17" s="1"/>
  <c r="T890" i="17"/>
  <c r="U890" i="17" s="1"/>
  <c r="V890" i="17" s="1"/>
  <c r="W890" i="17" s="1"/>
  <c r="T891" i="17"/>
  <c r="U891" i="17" s="1"/>
  <c r="V891" i="17" s="1"/>
  <c r="W891" i="17" s="1"/>
  <c r="T892" i="17"/>
  <c r="T893" i="17"/>
  <c r="T894" i="17"/>
  <c r="U894" i="17" s="1"/>
  <c r="V894" i="17" s="1"/>
  <c r="W894" i="17" s="1"/>
  <c r="T895" i="17"/>
  <c r="U895" i="17" s="1"/>
  <c r="V895" i="17" s="1"/>
  <c r="W895" i="17" s="1"/>
  <c r="T896" i="17"/>
  <c r="T897" i="17"/>
  <c r="U897" i="17" s="1"/>
  <c r="V897" i="17" s="1"/>
  <c r="W897" i="17" s="1"/>
  <c r="T898" i="17"/>
  <c r="T899" i="17"/>
  <c r="T900" i="17"/>
  <c r="U900" i="17" s="1"/>
  <c r="V900" i="17" s="1"/>
  <c r="W900" i="17" s="1"/>
  <c r="T901" i="17"/>
  <c r="T902" i="17"/>
  <c r="U902" i="17" s="1"/>
  <c r="V902" i="17" s="1"/>
  <c r="W902" i="17" s="1"/>
  <c r="T903" i="17"/>
  <c r="T904" i="17"/>
  <c r="T905" i="17"/>
  <c r="U905" i="17" s="1"/>
  <c r="V905" i="17" s="1"/>
  <c r="W905" i="17" s="1"/>
  <c r="T906" i="17"/>
  <c r="T907" i="17"/>
  <c r="T908" i="17"/>
  <c r="U908" i="17" s="1"/>
  <c r="V908" i="17" s="1"/>
  <c r="W908" i="17" s="1"/>
  <c r="T909" i="17"/>
  <c r="T910" i="17"/>
  <c r="T911" i="17"/>
  <c r="U911" i="17" s="1"/>
  <c r="V911" i="17" s="1"/>
  <c r="W911" i="17" s="1"/>
  <c r="T912" i="17"/>
  <c r="T913" i="17"/>
  <c r="T914" i="17"/>
  <c r="T915" i="17"/>
  <c r="U915" i="17" s="1"/>
  <c r="V915" i="17" s="1"/>
  <c r="W915" i="17" s="1"/>
  <c r="T916" i="17"/>
  <c r="U916" i="17" s="1"/>
  <c r="V916" i="17" s="1"/>
  <c r="W916" i="17" s="1"/>
  <c r="T917" i="17"/>
  <c r="T918" i="17"/>
  <c r="T919" i="17"/>
  <c r="T920" i="17"/>
  <c r="T921" i="17"/>
  <c r="T922" i="17"/>
  <c r="T923" i="17"/>
  <c r="U923" i="17" s="1"/>
  <c r="V923" i="17" s="1"/>
  <c r="W923" i="17" s="1"/>
  <c r="T924" i="17"/>
  <c r="U924" i="17" s="1"/>
  <c r="V924" i="17" s="1"/>
  <c r="W924" i="17" s="1"/>
  <c r="T925" i="17"/>
  <c r="T926" i="17"/>
  <c r="T927" i="17"/>
  <c r="T928" i="17"/>
  <c r="T929" i="17"/>
  <c r="U929" i="17" s="1"/>
  <c r="V929" i="17" s="1"/>
  <c r="W929" i="17" s="1"/>
  <c r="T930" i="17"/>
  <c r="T931" i="17"/>
  <c r="U931" i="17" s="1"/>
  <c r="V931" i="17" s="1"/>
  <c r="W931" i="17" s="1"/>
  <c r="T932" i="17"/>
  <c r="U932" i="17" s="1"/>
  <c r="V932" i="17" s="1"/>
  <c r="W932" i="17" s="1"/>
  <c r="T933" i="17"/>
  <c r="T934" i="17"/>
  <c r="T935" i="17"/>
  <c r="T936" i="17"/>
  <c r="T937" i="17"/>
  <c r="U937" i="17" s="1"/>
  <c r="V937" i="17" s="1"/>
  <c r="W937" i="17" s="1"/>
  <c r="T938" i="17"/>
  <c r="T939" i="17"/>
  <c r="T940" i="17"/>
  <c r="U940" i="17" s="1"/>
  <c r="V940" i="17" s="1"/>
  <c r="W940" i="17" s="1"/>
  <c r="T941" i="17"/>
  <c r="T942" i="17"/>
  <c r="T943" i="17"/>
  <c r="T944" i="17"/>
  <c r="T945" i="17"/>
  <c r="T946" i="17"/>
  <c r="T947" i="17"/>
  <c r="U947" i="17" s="1"/>
  <c r="V947" i="17" s="1"/>
  <c r="W947" i="17" s="1"/>
  <c r="T948" i="17"/>
  <c r="U948" i="17" s="1"/>
  <c r="V948" i="17" s="1"/>
  <c r="W948" i="17" s="1"/>
  <c r="T949" i="17"/>
  <c r="T950" i="17"/>
  <c r="T951" i="17"/>
  <c r="T952" i="17"/>
  <c r="T953" i="17"/>
  <c r="T954" i="17"/>
  <c r="T955" i="17"/>
  <c r="U955" i="17" s="1"/>
  <c r="V955" i="17" s="1"/>
  <c r="W955" i="17" s="1"/>
  <c r="T956" i="17"/>
  <c r="U956" i="17" s="1"/>
  <c r="V956" i="17" s="1"/>
  <c r="W956" i="17" s="1"/>
  <c r="T957" i="17"/>
  <c r="T958" i="17"/>
  <c r="T959" i="17"/>
  <c r="T960" i="17"/>
  <c r="T961" i="17"/>
  <c r="U961" i="17" s="1"/>
  <c r="V961" i="17" s="1"/>
  <c r="W961" i="17" s="1"/>
  <c r="T962" i="17"/>
  <c r="T963" i="17"/>
  <c r="T964" i="17"/>
  <c r="U964" i="17" s="1"/>
  <c r="V964" i="17" s="1"/>
  <c r="W964" i="17" s="1"/>
  <c r="T965" i="17"/>
  <c r="U965" i="17" s="1"/>
  <c r="V965" i="17" s="1"/>
  <c r="W965" i="17" s="1"/>
  <c r="T966" i="17"/>
  <c r="T967" i="17"/>
  <c r="T968" i="17"/>
  <c r="T969" i="17"/>
  <c r="U969" i="17" s="1"/>
  <c r="V969" i="17" s="1"/>
  <c r="W969" i="17" s="1"/>
  <c r="T970" i="17"/>
  <c r="U970" i="17" s="1"/>
  <c r="V970" i="17" s="1"/>
  <c r="W970" i="17" s="1"/>
  <c r="T971" i="17"/>
  <c r="U971" i="17" s="1"/>
  <c r="V971" i="17" s="1"/>
  <c r="W971" i="17" s="1"/>
  <c r="T972" i="17"/>
  <c r="U972" i="17" s="1"/>
  <c r="V972" i="17" s="1"/>
  <c r="W972" i="17" s="1"/>
  <c r="T973" i="17"/>
  <c r="T974" i="17"/>
  <c r="U974" i="17" s="1"/>
  <c r="V974" i="17" s="1"/>
  <c r="W974" i="17" s="1"/>
  <c r="T975" i="17"/>
  <c r="T976" i="17"/>
  <c r="T977" i="17"/>
  <c r="U977" i="17" s="1"/>
  <c r="V977" i="17" s="1"/>
  <c r="W977" i="17" s="1"/>
  <c r="T978" i="17"/>
  <c r="U978" i="17" s="1"/>
  <c r="V978" i="17" s="1"/>
  <c r="W978" i="17" s="1"/>
  <c r="T979" i="17"/>
  <c r="U979" i="17" s="1"/>
  <c r="V979" i="17" s="1"/>
  <c r="W979" i="17" s="1"/>
  <c r="T980" i="17"/>
  <c r="U980" i="17" s="1"/>
  <c r="V980" i="17" s="1"/>
  <c r="W980" i="17" s="1"/>
  <c r="T981" i="17"/>
  <c r="U981" i="17" s="1"/>
  <c r="V981" i="17" s="1"/>
  <c r="W981" i="17" s="1"/>
  <c r="T982" i="17"/>
  <c r="T983" i="17"/>
  <c r="T984" i="17"/>
  <c r="T985" i="17"/>
  <c r="U985" i="17" s="1"/>
  <c r="V985" i="17" s="1"/>
  <c r="W985" i="17" s="1"/>
  <c r="T986" i="17"/>
  <c r="U986" i="17" s="1"/>
  <c r="V986" i="17" s="1"/>
  <c r="W986" i="17" s="1"/>
  <c r="T987" i="17"/>
  <c r="T988" i="17"/>
  <c r="U988" i="17" s="1"/>
  <c r="V988" i="17" s="1"/>
  <c r="W988" i="17" s="1"/>
  <c r="T989" i="17"/>
  <c r="T990" i="17"/>
  <c r="T991" i="17"/>
  <c r="T992" i="17"/>
  <c r="T993" i="17"/>
  <c r="U993" i="17" s="1"/>
  <c r="V993" i="17" s="1"/>
  <c r="W993" i="17" s="1"/>
  <c r="T994" i="17"/>
  <c r="T995" i="17"/>
  <c r="T996" i="17"/>
  <c r="U996" i="17" s="1"/>
  <c r="V996" i="17" s="1"/>
  <c r="W996" i="17" s="1"/>
  <c r="T997" i="17"/>
  <c r="T998" i="17"/>
  <c r="T999" i="17"/>
  <c r="T2" i="17"/>
  <c r="I8" i="22"/>
  <c r="I7" i="22"/>
  <c r="I6" i="22"/>
  <c r="I5" i="22"/>
  <c r="I4" i="22"/>
  <c r="I3" i="22"/>
  <c r="I2" i="22"/>
  <c r="I8" i="16"/>
  <c r="I7" i="16"/>
  <c r="I6" i="16"/>
  <c r="I4" i="16"/>
  <c r="I3" i="16"/>
  <c r="I2" i="16"/>
  <c r="I5" i="16"/>
  <c r="U999" i="17"/>
  <c r="V999" i="17" s="1"/>
  <c r="W999" i="17" s="1"/>
  <c r="R999" i="17"/>
  <c r="S999" i="17" s="1"/>
  <c r="U998" i="17"/>
  <c r="V998" i="17" s="1"/>
  <c r="W998" i="17" s="1"/>
  <c r="R998" i="17"/>
  <c r="S998" i="17" s="1"/>
  <c r="U997" i="17"/>
  <c r="V997" i="17" s="1"/>
  <c r="W997" i="17" s="1"/>
  <c r="S997" i="17"/>
  <c r="R997" i="17"/>
  <c r="S996" i="17"/>
  <c r="R996" i="17"/>
  <c r="U995" i="17"/>
  <c r="V995" i="17" s="1"/>
  <c r="W995" i="17" s="1"/>
  <c r="S995" i="17"/>
  <c r="R995" i="17"/>
  <c r="U994" i="17"/>
  <c r="V994" i="17" s="1"/>
  <c r="W994" i="17" s="1"/>
  <c r="R994" i="17"/>
  <c r="S994" i="17" s="1"/>
  <c r="R993" i="17"/>
  <c r="S993" i="17" s="1"/>
  <c r="U992" i="17"/>
  <c r="V992" i="17" s="1"/>
  <c r="W992" i="17" s="1"/>
  <c r="R992" i="17"/>
  <c r="S992" i="17" s="1"/>
  <c r="U991" i="17"/>
  <c r="V991" i="17" s="1"/>
  <c r="W991" i="17" s="1"/>
  <c r="R991" i="17"/>
  <c r="S991" i="17" s="1"/>
  <c r="U990" i="17"/>
  <c r="V990" i="17" s="1"/>
  <c r="W990" i="17" s="1"/>
  <c r="R990" i="17"/>
  <c r="S990" i="17" s="1"/>
  <c r="U989" i="17"/>
  <c r="V989" i="17" s="1"/>
  <c r="W989" i="17" s="1"/>
  <c r="S989" i="17"/>
  <c r="R989" i="17"/>
  <c r="R988" i="17"/>
  <c r="S988" i="17" s="1"/>
  <c r="U987" i="17"/>
  <c r="V987" i="17" s="1"/>
  <c r="W987" i="17" s="1"/>
  <c r="R987" i="17"/>
  <c r="S987" i="17" s="1"/>
  <c r="R986" i="17"/>
  <c r="S986" i="17" s="1"/>
  <c r="R985" i="17"/>
  <c r="S985" i="17" s="1"/>
  <c r="U984" i="17"/>
  <c r="V984" i="17" s="1"/>
  <c r="W984" i="17" s="1"/>
  <c r="R984" i="17"/>
  <c r="S984" i="17" s="1"/>
  <c r="U983" i="17"/>
  <c r="V983" i="17" s="1"/>
  <c r="W983" i="17" s="1"/>
  <c r="S983" i="17"/>
  <c r="R983" i="17"/>
  <c r="U982" i="17"/>
  <c r="V982" i="17" s="1"/>
  <c r="W982" i="17" s="1"/>
  <c r="R982" i="17"/>
  <c r="S982" i="17" s="1"/>
  <c r="S981" i="17"/>
  <c r="R981" i="17"/>
  <c r="S980" i="17"/>
  <c r="R980" i="17"/>
  <c r="R979" i="17"/>
  <c r="S979" i="17" s="1"/>
  <c r="R978" i="17"/>
  <c r="S978" i="17" s="1"/>
  <c r="S977" i="17"/>
  <c r="R977" i="17"/>
  <c r="U976" i="17"/>
  <c r="V976" i="17" s="1"/>
  <c r="W976" i="17" s="1"/>
  <c r="R976" i="17"/>
  <c r="S976" i="17" s="1"/>
  <c r="U975" i="17"/>
  <c r="V975" i="17" s="1"/>
  <c r="W975" i="17" s="1"/>
  <c r="S975" i="17"/>
  <c r="R975" i="17"/>
  <c r="R974" i="17"/>
  <c r="S974" i="17" s="1"/>
  <c r="U973" i="17"/>
  <c r="V973" i="17" s="1"/>
  <c r="W973" i="17" s="1"/>
  <c r="S973" i="17"/>
  <c r="R973" i="17"/>
  <c r="S972" i="17"/>
  <c r="R972" i="17"/>
  <c r="S971" i="17"/>
  <c r="R971" i="17"/>
  <c r="R970" i="17"/>
  <c r="S970" i="17" s="1"/>
  <c r="R969" i="17"/>
  <c r="S969" i="17" s="1"/>
  <c r="U968" i="17"/>
  <c r="V968" i="17" s="1"/>
  <c r="W968" i="17" s="1"/>
  <c r="R968" i="17"/>
  <c r="S968" i="17" s="1"/>
  <c r="U967" i="17"/>
  <c r="V967" i="17" s="1"/>
  <c r="W967" i="17" s="1"/>
  <c r="S967" i="17"/>
  <c r="R967" i="17"/>
  <c r="U966" i="17"/>
  <c r="V966" i="17" s="1"/>
  <c r="W966" i="17" s="1"/>
  <c r="R966" i="17"/>
  <c r="S966" i="17" s="1"/>
  <c r="R965" i="17"/>
  <c r="S965" i="17" s="1"/>
  <c r="R964" i="17"/>
  <c r="S964" i="17" s="1"/>
  <c r="U963" i="17"/>
  <c r="V963" i="17" s="1"/>
  <c r="W963" i="17" s="1"/>
  <c r="R963" i="17"/>
  <c r="S963" i="17" s="1"/>
  <c r="U962" i="17"/>
  <c r="V962" i="17" s="1"/>
  <c r="W962" i="17" s="1"/>
  <c r="R962" i="17"/>
  <c r="S962" i="17" s="1"/>
  <c r="R961" i="17"/>
  <c r="S961" i="17" s="1"/>
  <c r="U960" i="17"/>
  <c r="V960" i="17" s="1"/>
  <c r="W960" i="17" s="1"/>
  <c r="R960" i="17"/>
  <c r="S960" i="17" s="1"/>
  <c r="U959" i="17"/>
  <c r="V959" i="17" s="1"/>
  <c r="W959" i="17" s="1"/>
  <c r="R959" i="17"/>
  <c r="S959" i="17" s="1"/>
  <c r="U958" i="17"/>
  <c r="V958" i="17" s="1"/>
  <c r="W958" i="17" s="1"/>
  <c r="R958" i="17"/>
  <c r="S958" i="17" s="1"/>
  <c r="U957" i="17"/>
  <c r="V957" i="17" s="1"/>
  <c r="W957" i="17" s="1"/>
  <c r="R957" i="17"/>
  <c r="S957" i="17" s="1"/>
  <c r="S956" i="17"/>
  <c r="R956" i="17"/>
  <c r="R955" i="17"/>
  <c r="S955" i="17" s="1"/>
  <c r="U954" i="17"/>
  <c r="V954" i="17" s="1"/>
  <c r="W954" i="17" s="1"/>
  <c r="R954" i="17"/>
  <c r="S954" i="17" s="1"/>
  <c r="U953" i="17"/>
  <c r="V953" i="17" s="1"/>
  <c r="W953" i="17" s="1"/>
  <c r="S953" i="17"/>
  <c r="R953" i="17"/>
  <c r="U952" i="17"/>
  <c r="V952" i="17" s="1"/>
  <c r="W952" i="17" s="1"/>
  <c r="R952" i="17"/>
  <c r="S952" i="17" s="1"/>
  <c r="U951" i="17"/>
  <c r="V951" i="17" s="1"/>
  <c r="W951" i="17" s="1"/>
  <c r="S951" i="17"/>
  <c r="R951" i="17"/>
  <c r="U950" i="17"/>
  <c r="V950" i="17" s="1"/>
  <c r="W950" i="17" s="1"/>
  <c r="R950" i="17"/>
  <c r="S950" i="17" s="1"/>
  <c r="U949" i="17"/>
  <c r="V949" i="17" s="1"/>
  <c r="W949" i="17" s="1"/>
  <c r="R949" i="17"/>
  <c r="S949" i="17" s="1"/>
  <c r="R948" i="17"/>
  <c r="S948" i="17" s="1"/>
  <c r="S947" i="17"/>
  <c r="R947" i="17"/>
  <c r="U946" i="17"/>
  <c r="V946" i="17" s="1"/>
  <c r="W946" i="17" s="1"/>
  <c r="R946" i="17"/>
  <c r="S946" i="17" s="1"/>
  <c r="U945" i="17"/>
  <c r="V945" i="17" s="1"/>
  <c r="W945" i="17" s="1"/>
  <c r="S945" i="17"/>
  <c r="R945" i="17"/>
  <c r="U944" i="17"/>
  <c r="V944" i="17" s="1"/>
  <c r="W944" i="17" s="1"/>
  <c r="R944" i="17"/>
  <c r="S944" i="17" s="1"/>
  <c r="U943" i="17"/>
  <c r="V943" i="17" s="1"/>
  <c r="W943" i="17" s="1"/>
  <c r="R943" i="17"/>
  <c r="S943" i="17" s="1"/>
  <c r="U942" i="17"/>
  <c r="V942" i="17" s="1"/>
  <c r="W942" i="17" s="1"/>
  <c r="R942" i="17"/>
  <c r="S942" i="17" s="1"/>
  <c r="U941" i="17"/>
  <c r="V941" i="17" s="1"/>
  <c r="W941" i="17" s="1"/>
  <c r="R941" i="17"/>
  <c r="S941" i="17" s="1"/>
  <c r="R940" i="17"/>
  <c r="S940" i="17" s="1"/>
  <c r="U939" i="17"/>
  <c r="V939" i="17" s="1"/>
  <c r="W939" i="17" s="1"/>
  <c r="R939" i="17"/>
  <c r="S939" i="17" s="1"/>
  <c r="U938" i="17"/>
  <c r="V938" i="17" s="1"/>
  <c r="W938" i="17" s="1"/>
  <c r="R938" i="17"/>
  <c r="S938" i="17" s="1"/>
  <c r="R937" i="17"/>
  <c r="S937" i="17" s="1"/>
  <c r="U936" i="17"/>
  <c r="V936" i="17" s="1"/>
  <c r="W936" i="17" s="1"/>
  <c r="R936" i="17"/>
  <c r="S936" i="17" s="1"/>
  <c r="U935" i="17"/>
  <c r="V935" i="17" s="1"/>
  <c r="W935" i="17" s="1"/>
  <c r="S935" i="17"/>
  <c r="R935" i="17"/>
  <c r="U934" i="17"/>
  <c r="V934" i="17" s="1"/>
  <c r="W934" i="17" s="1"/>
  <c r="R934" i="17"/>
  <c r="S934" i="17" s="1"/>
  <c r="U933" i="17"/>
  <c r="V933" i="17" s="1"/>
  <c r="W933" i="17" s="1"/>
  <c r="R933" i="17"/>
  <c r="S933" i="17" s="1"/>
  <c r="R932" i="17"/>
  <c r="S932" i="17" s="1"/>
  <c r="R931" i="17"/>
  <c r="S931" i="17" s="1"/>
  <c r="U930" i="17"/>
  <c r="V930" i="17" s="1"/>
  <c r="W930" i="17" s="1"/>
  <c r="R930" i="17"/>
  <c r="S930" i="17" s="1"/>
  <c r="S929" i="17"/>
  <c r="R929" i="17"/>
  <c r="U928" i="17"/>
  <c r="V928" i="17" s="1"/>
  <c r="W928" i="17" s="1"/>
  <c r="R928" i="17"/>
  <c r="S928" i="17" s="1"/>
  <c r="U927" i="17"/>
  <c r="V927" i="17" s="1"/>
  <c r="W927" i="17" s="1"/>
  <c r="S927" i="17"/>
  <c r="R927" i="17"/>
  <c r="U926" i="17"/>
  <c r="V926" i="17" s="1"/>
  <c r="W926" i="17" s="1"/>
  <c r="R926" i="17"/>
  <c r="S926" i="17" s="1"/>
  <c r="U925" i="17"/>
  <c r="V925" i="17" s="1"/>
  <c r="W925" i="17" s="1"/>
  <c r="S925" i="17"/>
  <c r="R925" i="17"/>
  <c r="R924" i="17"/>
  <c r="S924" i="17" s="1"/>
  <c r="R923" i="17"/>
  <c r="S923" i="17" s="1"/>
  <c r="U922" i="17"/>
  <c r="V922" i="17" s="1"/>
  <c r="W922" i="17" s="1"/>
  <c r="R922" i="17"/>
  <c r="S922" i="17" s="1"/>
  <c r="U921" i="17"/>
  <c r="V921" i="17" s="1"/>
  <c r="W921" i="17" s="1"/>
  <c r="S921" i="17"/>
  <c r="R921" i="17"/>
  <c r="U920" i="17"/>
  <c r="V920" i="17" s="1"/>
  <c r="W920" i="17" s="1"/>
  <c r="R920" i="17"/>
  <c r="S920" i="17" s="1"/>
  <c r="U919" i="17"/>
  <c r="V919" i="17" s="1"/>
  <c r="W919" i="17" s="1"/>
  <c r="S919" i="17"/>
  <c r="R919" i="17"/>
  <c r="U918" i="17"/>
  <c r="V918" i="17" s="1"/>
  <c r="W918" i="17" s="1"/>
  <c r="R918" i="17"/>
  <c r="S918" i="17" s="1"/>
  <c r="U917" i="17"/>
  <c r="V917" i="17" s="1"/>
  <c r="W917" i="17" s="1"/>
  <c r="R917" i="17"/>
  <c r="S917" i="17" s="1"/>
  <c r="S916" i="17"/>
  <c r="R916" i="17"/>
  <c r="R915" i="17"/>
  <c r="S915" i="17" s="1"/>
  <c r="U914" i="17"/>
  <c r="V914" i="17" s="1"/>
  <c r="W914" i="17" s="1"/>
  <c r="R914" i="17"/>
  <c r="S914" i="17" s="1"/>
  <c r="U913" i="17"/>
  <c r="V913" i="17" s="1"/>
  <c r="W913" i="17" s="1"/>
  <c r="R913" i="17"/>
  <c r="S913" i="17" s="1"/>
  <c r="U912" i="17"/>
  <c r="V912" i="17" s="1"/>
  <c r="W912" i="17" s="1"/>
  <c r="R912" i="17"/>
  <c r="S912" i="17" s="1"/>
  <c r="S911" i="17"/>
  <c r="R911" i="17"/>
  <c r="U910" i="17"/>
  <c r="V910" i="17" s="1"/>
  <c r="W910" i="17" s="1"/>
  <c r="R910" i="17"/>
  <c r="S910" i="17" s="1"/>
  <c r="U909" i="17"/>
  <c r="V909" i="17" s="1"/>
  <c r="W909" i="17" s="1"/>
  <c r="R909" i="17"/>
  <c r="S909" i="17" s="1"/>
  <c r="R908" i="17"/>
  <c r="S908" i="17" s="1"/>
  <c r="U907" i="17"/>
  <c r="V907" i="17" s="1"/>
  <c r="W907" i="17" s="1"/>
  <c r="R907" i="17"/>
  <c r="S907" i="17" s="1"/>
  <c r="U906" i="17"/>
  <c r="V906" i="17" s="1"/>
  <c r="W906" i="17" s="1"/>
  <c r="R906" i="17"/>
  <c r="S906" i="17" s="1"/>
  <c r="S905" i="17"/>
  <c r="R905" i="17"/>
  <c r="U904" i="17"/>
  <c r="V904" i="17" s="1"/>
  <c r="W904" i="17" s="1"/>
  <c r="R904" i="17"/>
  <c r="S904" i="17" s="1"/>
  <c r="U903" i="17"/>
  <c r="V903" i="17" s="1"/>
  <c r="W903" i="17" s="1"/>
  <c r="S903" i="17"/>
  <c r="R903" i="17"/>
  <c r="R902" i="17"/>
  <c r="S902" i="17" s="1"/>
  <c r="U901" i="17"/>
  <c r="V901" i="17" s="1"/>
  <c r="W901" i="17" s="1"/>
  <c r="S901" i="17"/>
  <c r="R901" i="17"/>
  <c r="R900" i="17"/>
  <c r="S900" i="17" s="1"/>
  <c r="U899" i="17"/>
  <c r="V899" i="17" s="1"/>
  <c r="W899" i="17" s="1"/>
  <c r="R899" i="17"/>
  <c r="S899" i="17" s="1"/>
  <c r="U898" i="17"/>
  <c r="V898" i="17" s="1"/>
  <c r="W898" i="17" s="1"/>
  <c r="R898" i="17"/>
  <c r="S898" i="17" s="1"/>
  <c r="S897" i="17"/>
  <c r="R897" i="17"/>
  <c r="U896" i="17"/>
  <c r="V896" i="17" s="1"/>
  <c r="W896" i="17" s="1"/>
  <c r="R896" i="17"/>
  <c r="S896" i="17" s="1"/>
  <c r="S895" i="17"/>
  <c r="R895" i="17"/>
  <c r="R894" i="17"/>
  <c r="S894" i="17" s="1"/>
  <c r="U893" i="17"/>
  <c r="V893" i="17" s="1"/>
  <c r="W893" i="17" s="1"/>
  <c r="R893" i="17"/>
  <c r="S893" i="17" s="1"/>
  <c r="U892" i="17"/>
  <c r="V892" i="17" s="1"/>
  <c r="W892" i="17" s="1"/>
  <c r="R892" i="17"/>
  <c r="S892" i="17" s="1"/>
  <c r="R891" i="17"/>
  <c r="S891" i="17" s="1"/>
  <c r="R890" i="17"/>
  <c r="S890" i="17" s="1"/>
  <c r="S889" i="17"/>
  <c r="R889" i="17"/>
  <c r="U888" i="17"/>
  <c r="V888" i="17" s="1"/>
  <c r="W888" i="17" s="1"/>
  <c r="R888" i="17"/>
  <c r="S888" i="17" s="1"/>
  <c r="U887" i="17"/>
  <c r="V887" i="17" s="1"/>
  <c r="W887" i="17" s="1"/>
  <c r="R887" i="17"/>
  <c r="S887" i="17" s="1"/>
  <c r="U886" i="17"/>
  <c r="V886" i="17" s="1"/>
  <c r="W886" i="17" s="1"/>
  <c r="R886" i="17"/>
  <c r="S886" i="17" s="1"/>
  <c r="U885" i="17"/>
  <c r="V885" i="17" s="1"/>
  <c r="W885" i="17" s="1"/>
  <c r="S885" i="17"/>
  <c r="R885" i="17"/>
  <c r="R884" i="17"/>
  <c r="S884" i="17" s="1"/>
  <c r="R883" i="17"/>
  <c r="S883" i="17" s="1"/>
  <c r="U882" i="17"/>
  <c r="V882" i="17" s="1"/>
  <c r="W882" i="17" s="1"/>
  <c r="R882" i="17"/>
  <c r="S882" i="17" s="1"/>
  <c r="U881" i="17"/>
  <c r="V881" i="17" s="1"/>
  <c r="W881" i="17" s="1"/>
  <c r="S881" i="17"/>
  <c r="R881" i="17"/>
  <c r="U880" i="17"/>
  <c r="V880" i="17" s="1"/>
  <c r="W880" i="17" s="1"/>
  <c r="R880" i="17"/>
  <c r="S880" i="17" s="1"/>
  <c r="U879" i="17"/>
  <c r="V879" i="17" s="1"/>
  <c r="W879" i="17" s="1"/>
  <c r="R879" i="17"/>
  <c r="S879" i="17" s="1"/>
  <c r="U878" i="17"/>
  <c r="V878" i="17" s="1"/>
  <c r="W878" i="17" s="1"/>
  <c r="R878" i="17"/>
  <c r="S878" i="17" s="1"/>
  <c r="U877" i="17"/>
  <c r="V877" i="17" s="1"/>
  <c r="W877" i="17" s="1"/>
  <c r="R877" i="17"/>
  <c r="S877" i="17" s="1"/>
  <c r="R876" i="17"/>
  <c r="S876" i="17" s="1"/>
  <c r="U875" i="17"/>
  <c r="V875" i="17" s="1"/>
  <c r="W875" i="17" s="1"/>
  <c r="R875" i="17"/>
  <c r="S875" i="17" s="1"/>
  <c r="U874" i="17"/>
  <c r="V874" i="17" s="1"/>
  <c r="W874" i="17" s="1"/>
  <c r="R874" i="17"/>
  <c r="S874" i="17" s="1"/>
  <c r="S873" i="17"/>
  <c r="R873" i="17"/>
  <c r="U872" i="17"/>
  <c r="V872" i="17" s="1"/>
  <c r="W872" i="17" s="1"/>
  <c r="R872" i="17"/>
  <c r="S872" i="17" s="1"/>
  <c r="U871" i="17"/>
  <c r="V871" i="17" s="1"/>
  <c r="W871" i="17" s="1"/>
  <c r="R871" i="17"/>
  <c r="S871" i="17" s="1"/>
  <c r="U870" i="17"/>
  <c r="V870" i="17" s="1"/>
  <c r="W870" i="17" s="1"/>
  <c r="R870" i="17"/>
  <c r="S870" i="17" s="1"/>
  <c r="U869" i="17"/>
  <c r="V869" i="17" s="1"/>
  <c r="W869" i="17" s="1"/>
  <c r="R869" i="17"/>
  <c r="S869" i="17" s="1"/>
  <c r="S868" i="17"/>
  <c r="R868" i="17"/>
  <c r="U867" i="17"/>
  <c r="V867" i="17" s="1"/>
  <c r="W867" i="17" s="1"/>
  <c r="R867" i="17"/>
  <c r="S867" i="17" s="1"/>
  <c r="U866" i="17"/>
  <c r="V866" i="17" s="1"/>
  <c r="W866" i="17" s="1"/>
  <c r="R866" i="17"/>
  <c r="S866" i="17" s="1"/>
  <c r="S865" i="17"/>
  <c r="R865" i="17"/>
  <c r="U864" i="17"/>
  <c r="V864" i="17" s="1"/>
  <c r="W864" i="17" s="1"/>
  <c r="R864" i="17"/>
  <c r="S864" i="17" s="1"/>
  <c r="U863" i="17"/>
  <c r="V863" i="17" s="1"/>
  <c r="W863" i="17" s="1"/>
  <c r="R863" i="17"/>
  <c r="S863" i="17" s="1"/>
  <c r="U862" i="17"/>
  <c r="V862" i="17" s="1"/>
  <c r="W862" i="17" s="1"/>
  <c r="R862" i="17"/>
  <c r="S862" i="17" s="1"/>
  <c r="U861" i="17"/>
  <c r="V861" i="17" s="1"/>
  <c r="W861" i="17" s="1"/>
  <c r="S861" i="17"/>
  <c r="R861" i="17"/>
  <c r="R860" i="17"/>
  <c r="S860" i="17" s="1"/>
  <c r="R859" i="17"/>
  <c r="S859" i="17" s="1"/>
  <c r="U858" i="17"/>
  <c r="V858" i="17" s="1"/>
  <c r="W858" i="17" s="1"/>
  <c r="R858" i="17"/>
  <c r="S858" i="17" s="1"/>
  <c r="U857" i="17"/>
  <c r="V857" i="17" s="1"/>
  <c r="W857" i="17" s="1"/>
  <c r="R857" i="17"/>
  <c r="S857" i="17" s="1"/>
  <c r="U856" i="17"/>
  <c r="V856" i="17" s="1"/>
  <c r="W856" i="17" s="1"/>
  <c r="R856" i="17"/>
  <c r="S856" i="17" s="1"/>
  <c r="U855" i="17"/>
  <c r="V855" i="17" s="1"/>
  <c r="W855" i="17" s="1"/>
  <c r="S855" i="17"/>
  <c r="R855" i="17"/>
  <c r="R854" i="17"/>
  <c r="S854" i="17" s="1"/>
  <c r="U853" i="17"/>
  <c r="V853" i="17" s="1"/>
  <c r="W853" i="17" s="1"/>
  <c r="R853" i="17"/>
  <c r="S853" i="17" s="1"/>
  <c r="U852" i="17"/>
  <c r="V852" i="17" s="1"/>
  <c r="W852" i="17" s="1"/>
  <c r="R852" i="17"/>
  <c r="S852" i="17" s="1"/>
  <c r="S851" i="17"/>
  <c r="R851" i="17"/>
  <c r="U850" i="17"/>
  <c r="V850" i="17" s="1"/>
  <c r="W850" i="17" s="1"/>
  <c r="S850" i="17"/>
  <c r="R850" i="17"/>
  <c r="U849" i="17"/>
  <c r="V849" i="17" s="1"/>
  <c r="W849" i="17" s="1"/>
  <c r="R849" i="17"/>
  <c r="S849" i="17" s="1"/>
  <c r="U848" i="17"/>
  <c r="V848" i="17" s="1"/>
  <c r="W848" i="17" s="1"/>
  <c r="R848" i="17"/>
  <c r="S848" i="17" s="1"/>
  <c r="U847" i="17"/>
  <c r="V847" i="17" s="1"/>
  <c r="W847" i="17" s="1"/>
  <c r="S847" i="17"/>
  <c r="R847" i="17"/>
  <c r="U846" i="17"/>
  <c r="V846" i="17" s="1"/>
  <c r="W846" i="17" s="1"/>
  <c r="R846" i="17"/>
  <c r="S846" i="17" s="1"/>
  <c r="U845" i="17"/>
  <c r="V845" i="17" s="1"/>
  <c r="W845" i="17" s="1"/>
  <c r="S845" i="17"/>
  <c r="R845" i="17"/>
  <c r="R844" i="17"/>
  <c r="S844" i="17" s="1"/>
  <c r="R843" i="17"/>
  <c r="S843" i="17" s="1"/>
  <c r="U842" i="17"/>
  <c r="V842" i="17" s="1"/>
  <c r="W842" i="17" s="1"/>
  <c r="S842" i="17"/>
  <c r="R842" i="17"/>
  <c r="R841" i="17"/>
  <c r="S841" i="17" s="1"/>
  <c r="U840" i="17"/>
  <c r="V840" i="17" s="1"/>
  <c r="W840" i="17" s="1"/>
  <c r="R840" i="17"/>
  <c r="S840" i="17" s="1"/>
  <c r="U839" i="17"/>
  <c r="V839" i="17" s="1"/>
  <c r="W839" i="17" s="1"/>
  <c r="R839" i="17"/>
  <c r="S839" i="17" s="1"/>
  <c r="R838" i="17"/>
  <c r="S838" i="17" s="1"/>
  <c r="U837" i="17"/>
  <c r="V837" i="17" s="1"/>
  <c r="W837" i="17" s="1"/>
  <c r="S837" i="17"/>
  <c r="R837" i="17"/>
  <c r="R836" i="17"/>
  <c r="S836" i="17" s="1"/>
  <c r="U835" i="17"/>
  <c r="V835" i="17" s="1"/>
  <c r="W835" i="17" s="1"/>
  <c r="R835" i="17"/>
  <c r="S835" i="17" s="1"/>
  <c r="U834" i="17"/>
  <c r="V834" i="17" s="1"/>
  <c r="W834" i="17" s="1"/>
  <c r="R834" i="17"/>
  <c r="S834" i="17" s="1"/>
  <c r="R833" i="17"/>
  <c r="S833" i="17" s="1"/>
  <c r="U832" i="17"/>
  <c r="V832" i="17" s="1"/>
  <c r="W832" i="17" s="1"/>
  <c r="R832" i="17"/>
  <c r="S832" i="17" s="1"/>
  <c r="U831" i="17"/>
  <c r="V831" i="17" s="1"/>
  <c r="W831" i="17" s="1"/>
  <c r="R831" i="17"/>
  <c r="S831" i="17" s="1"/>
  <c r="U830" i="17"/>
  <c r="V830" i="17" s="1"/>
  <c r="W830" i="17" s="1"/>
  <c r="R830" i="17"/>
  <c r="S830" i="17" s="1"/>
  <c r="U829" i="17"/>
  <c r="V829" i="17" s="1"/>
  <c r="W829" i="17" s="1"/>
  <c r="S829" i="17"/>
  <c r="R829" i="17"/>
  <c r="S828" i="17"/>
  <c r="R828" i="17"/>
  <c r="R827" i="17"/>
  <c r="S827" i="17" s="1"/>
  <c r="U826" i="17"/>
  <c r="V826" i="17" s="1"/>
  <c r="W826" i="17" s="1"/>
  <c r="R826" i="17"/>
  <c r="S826" i="17" s="1"/>
  <c r="R825" i="17"/>
  <c r="S825" i="17" s="1"/>
  <c r="U824" i="17"/>
  <c r="V824" i="17" s="1"/>
  <c r="W824" i="17" s="1"/>
  <c r="R824" i="17"/>
  <c r="S824" i="17" s="1"/>
  <c r="U823" i="17"/>
  <c r="V823" i="17" s="1"/>
  <c r="W823" i="17" s="1"/>
  <c r="R823" i="17"/>
  <c r="S823" i="17" s="1"/>
  <c r="R822" i="17"/>
  <c r="S822" i="17" s="1"/>
  <c r="U821" i="17"/>
  <c r="V821" i="17" s="1"/>
  <c r="W821" i="17" s="1"/>
  <c r="S821" i="17"/>
  <c r="R821" i="17"/>
  <c r="R820" i="17"/>
  <c r="S820" i="17" s="1"/>
  <c r="S819" i="17"/>
  <c r="R819" i="17"/>
  <c r="U818" i="17"/>
  <c r="V818" i="17" s="1"/>
  <c r="W818" i="17" s="1"/>
  <c r="S818" i="17"/>
  <c r="R818" i="17"/>
  <c r="R817" i="17"/>
  <c r="S817" i="17" s="1"/>
  <c r="U816" i="17"/>
  <c r="V816" i="17" s="1"/>
  <c r="W816" i="17" s="1"/>
  <c r="R816" i="17"/>
  <c r="S816" i="17" s="1"/>
  <c r="U815" i="17"/>
  <c r="V815" i="17" s="1"/>
  <c r="W815" i="17" s="1"/>
  <c r="R815" i="17"/>
  <c r="S815" i="17" s="1"/>
  <c r="U814" i="17"/>
  <c r="V814" i="17" s="1"/>
  <c r="W814" i="17" s="1"/>
  <c r="R814" i="17"/>
  <c r="S814" i="17" s="1"/>
  <c r="U813" i="17"/>
  <c r="V813" i="17" s="1"/>
  <c r="W813" i="17" s="1"/>
  <c r="S813" i="17"/>
  <c r="R813" i="17"/>
  <c r="R812" i="17"/>
  <c r="S812" i="17" s="1"/>
  <c r="R811" i="17"/>
  <c r="S811" i="17" s="1"/>
  <c r="U810" i="17"/>
  <c r="V810" i="17" s="1"/>
  <c r="W810" i="17" s="1"/>
  <c r="R810" i="17"/>
  <c r="S810" i="17" s="1"/>
  <c r="R809" i="17"/>
  <c r="S809" i="17" s="1"/>
  <c r="U808" i="17"/>
  <c r="V808" i="17" s="1"/>
  <c r="W808" i="17" s="1"/>
  <c r="R808" i="17"/>
  <c r="S808" i="17" s="1"/>
  <c r="U807" i="17"/>
  <c r="V807" i="17" s="1"/>
  <c r="W807" i="17" s="1"/>
  <c r="S807" i="17"/>
  <c r="R807" i="17"/>
  <c r="R806" i="17"/>
  <c r="S806" i="17" s="1"/>
  <c r="U805" i="17"/>
  <c r="V805" i="17" s="1"/>
  <c r="W805" i="17" s="1"/>
  <c r="S805" i="17"/>
  <c r="R805" i="17"/>
  <c r="R804" i="17"/>
  <c r="S804" i="17" s="1"/>
  <c r="U803" i="17"/>
  <c r="V803" i="17" s="1"/>
  <c r="W803" i="17" s="1"/>
  <c r="R803" i="17"/>
  <c r="S803" i="17" s="1"/>
  <c r="U802" i="17"/>
  <c r="V802" i="17" s="1"/>
  <c r="W802" i="17" s="1"/>
  <c r="R802" i="17"/>
  <c r="S802" i="17" s="1"/>
  <c r="R801" i="17"/>
  <c r="S801" i="17" s="1"/>
  <c r="U800" i="17"/>
  <c r="V800" i="17" s="1"/>
  <c r="W800" i="17" s="1"/>
  <c r="R800" i="17"/>
  <c r="S800" i="17" s="1"/>
  <c r="U799" i="17"/>
  <c r="V799" i="17" s="1"/>
  <c r="W799" i="17" s="1"/>
  <c r="S799" i="17"/>
  <c r="R799" i="17"/>
  <c r="U798" i="17"/>
  <c r="V798" i="17" s="1"/>
  <c r="W798" i="17" s="1"/>
  <c r="R798" i="17"/>
  <c r="S798" i="17" s="1"/>
  <c r="U797" i="17"/>
  <c r="V797" i="17" s="1"/>
  <c r="W797" i="17" s="1"/>
  <c r="R797" i="17"/>
  <c r="S797" i="17" s="1"/>
  <c r="S796" i="17"/>
  <c r="R796" i="17"/>
  <c r="U795" i="17"/>
  <c r="V795" i="17" s="1"/>
  <c r="W795" i="17" s="1"/>
  <c r="S795" i="17"/>
  <c r="R795" i="17"/>
  <c r="U794" i="17"/>
  <c r="V794" i="17" s="1"/>
  <c r="W794" i="17" s="1"/>
  <c r="R794" i="17"/>
  <c r="S794" i="17" s="1"/>
  <c r="S793" i="17"/>
  <c r="R793" i="17"/>
  <c r="U792" i="17"/>
  <c r="V792" i="17" s="1"/>
  <c r="W792" i="17" s="1"/>
  <c r="R792" i="17"/>
  <c r="S792" i="17" s="1"/>
  <c r="U791" i="17"/>
  <c r="V791" i="17" s="1"/>
  <c r="W791" i="17" s="1"/>
  <c r="S791" i="17"/>
  <c r="R791" i="17"/>
  <c r="U790" i="17"/>
  <c r="V790" i="17" s="1"/>
  <c r="W790" i="17" s="1"/>
  <c r="R790" i="17"/>
  <c r="S790" i="17" s="1"/>
  <c r="U789" i="17"/>
  <c r="V789" i="17" s="1"/>
  <c r="W789" i="17" s="1"/>
  <c r="R789" i="17"/>
  <c r="S789" i="17" s="1"/>
  <c r="S788" i="17"/>
  <c r="R788" i="17"/>
  <c r="R787" i="17"/>
  <c r="S787" i="17" s="1"/>
  <c r="U786" i="17"/>
  <c r="V786" i="17" s="1"/>
  <c r="W786" i="17" s="1"/>
  <c r="R786" i="17"/>
  <c r="S786" i="17" s="1"/>
  <c r="S785" i="17"/>
  <c r="R785" i="17"/>
  <c r="U784" i="17"/>
  <c r="V784" i="17" s="1"/>
  <c r="W784" i="17" s="1"/>
  <c r="R784" i="17"/>
  <c r="S784" i="17" s="1"/>
  <c r="U783" i="17"/>
  <c r="V783" i="17" s="1"/>
  <c r="W783" i="17" s="1"/>
  <c r="S783" i="17"/>
  <c r="R783" i="17"/>
  <c r="U782" i="17"/>
  <c r="V782" i="17" s="1"/>
  <c r="W782" i="17" s="1"/>
  <c r="R782" i="17"/>
  <c r="S782" i="17" s="1"/>
  <c r="U781" i="17"/>
  <c r="V781" i="17" s="1"/>
  <c r="W781" i="17" s="1"/>
  <c r="R781" i="17"/>
  <c r="S781" i="17" s="1"/>
  <c r="R780" i="17"/>
  <c r="S780" i="17" s="1"/>
  <c r="U779" i="17"/>
  <c r="V779" i="17" s="1"/>
  <c r="W779" i="17" s="1"/>
  <c r="R779" i="17"/>
  <c r="S779" i="17" s="1"/>
  <c r="U778" i="17"/>
  <c r="V778" i="17" s="1"/>
  <c r="W778" i="17" s="1"/>
  <c r="S778" i="17"/>
  <c r="R778" i="17"/>
  <c r="U777" i="17"/>
  <c r="V777" i="17" s="1"/>
  <c r="W777" i="17" s="1"/>
  <c r="R777" i="17"/>
  <c r="S777" i="17" s="1"/>
  <c r="U776" i="17"/>
  <c r="V776" i="17" s="1"/>
  <c r="W776" i="17" s="1"/>
  <c r="R776" i="17"/>
  <c r="S776" i="17" s="1"/>
  <c r="U775" i="17"/>
  <c r="V775" i="17" s="1"/>
  <c r="W775" i="17" s="1"/>
  <c r="R775" i="17"/>
  <c r="S775" i="17" s="1"/>
  <c r="U774" i="17"/>
  <c r="V774" i="17" s="1"/>
  <c r="W774" i="17" s="1"/>
  <c r="R774" i="17"/>
  <c r="S774" i="17" s="1"/>
  <c r="U773" i="17"/>
  <c r="V773" i="17" s="1"/>
  <c r="W773" i="17" s="1"/>
  <c r="R773" i="17"/>
  <c r="S773" i="17" s="1"/>
  <c r="R772" i="17"/>
  <c r="S772" i="17" s="1"/>
  <c r="R771" i="17"/>
  <c r="S771" i="17" s="1"/>
  <c r="U770" i="17"/>
  <c r="V770" i="17" s="1"/>
  <c r="W770" i="17" s="1"/>
  <c r="R770" i="17"/>
  <c r="S770" i="17" s="1"/>
  <c r="U769" i="17"/>
  <c r="V769" i="17" s="1"/>
  <c r="W769" i="17" s="1"/>
  <c r="R769" i="17"/>
  <c r="S769" i="17" s="1"/>
  <c r="U768" i="17"/>
  <c r="V768" i="17" s="1"/>
  <c r="W768" i="17" s="1"/>
  <c r="R768" i="17"/>
  <c r="S768" i="17" s="1"/>
  <c r="U767" i="17"/>
  <c r="V767" i="17" s="1"/>
  <c r="W767" i="17" s="1"/>
  <c r="R767" i="17"/>
  <c r="S767" i="17" s="1"/>
  <c r="U766" i="17"/>
  <c r="V766" i="17" s="1"/>
  <c r="W766" i="17" s="1"/>
  <c r="R766" i="17"/>
  <c r="S766" i="17" s="1"/>
  <c r="U765" i="17"/>
  <c r="V765" i="17" s="1"/>
  <c r="W765" i="17" s="1"/>
  <c r="S765" i="17"/>
  <c r="R765" i="17"/>
  <c r="U764" i="17"/>
  <c r="V764" i="17" s="1"/>
  <c r="W764" i="17" s="1"/>
  <c r="R764" i="17"/>
  <c r="S764" i="17" s="1"/>
  <c r="U763" i="17"/>
  <c r="V763" i="17" s="1"/>
  <c r="W763" i="17" s="1"/>
  <c r="R763" i="17"/>
  <c r="S763" i="17" s="1"/>
  <c r="U762" i="17"/>
  <c r="V762" i="17" s="1"/>
  <c r="W762" i="17" s="1"/>
  <c r="R762" i="17"/>
  <c r="S762" i="17" s="1"/>
  <c r="R761" i="17"/>
  <c r="S761" i="17" s="1"/>
  <c r="U760" i="17"/>
  <c r="V760" i="17" s="1"/>
  <c r="W760" i="17" s="1"/>
  <c r="R760" i="17"/>
  <c r="S760" i="17" s="1"/>
  <c r="U759" i="17"/>
  <c r="V759" i="17" s="1"/>
  <c r="W759" i="17" s="1"/>
  <c r="R759" i="17"/>
  <c r="S759" i="17" s="1"/>
  <c r="R758" i="17"/>
  <c r="S758" i="17" s="1"/>
  <c r="U757" i="17"/>
  <c r="V757" i="17" s="1"/>
  <c r="W757" i="17" s="1"/>
  <c r="S757" i="17"/>
  <c r="R757" i="17"/>
  <c r="R756" i="17"/>
  <c r="S756" i="17" s="1"/>
  <c r="S755" i="17"/>
  <c r="R755" i="17"/>
  <c r="U754" i="17"/>
  <c r="V754" i="17" s="1"/>
  <c r="W754" i="17" s="1"/>
  <c r="S754" i="17"/>
  <c r="R754" i="17"/>
  <c r="R753" i="17"/>
  <c r="S753" i="17" s="1"/>
  <c r="U752" i="17"/>
  <c r="V752" i="17" s="1"/>
  <c r="W752" i="17" s="1"/>
  <c r="R752" i="17"/>
  <c r="S752" i="17" s="1"/>
  <c r="U751" i="17"/>
  <c r="V751" i="17" s="1"/>
  <c r="W751" i="17" s="1"/>
  <c r="R751" i="17"/>
  <c r="S751" i="17" s="1"/>
  <c r="U750" i="17"/>
  <c r="V750" i="17" s="1"/>
  <c r="W750" i="17" s="1"/>
  <c r="R750" i="17"/>
  <c r="S750" i="17" s="1"/>
  <c r="U749" i="17"/>
  <c r="V749" i="17" s="1"/>
  <c r="W749" i="17" s="1"/>
  <c r="S749" i="17"/>
  <c r="R749" i="17"/>
  <c r="R748" i="17"/>
  <c r="S748" i="17" s="1"/>
  <c r="R747" i="17"/>
  <c r="S747" i="17" s="1"/>
  <c r="U746" i="17"/>
  <c r="V746" i="17" s="1"/>
  <c r="W746" i="17" s="1"/>
  <c r="R746" i="17"/>
  <c r="S746" i="17" s="1"/>
  <c r="R745" i="17"/>
  <c r="S745" i="17" s="1"/>
  <c r="U744" i="17"/>
  <c r="V744" i="17" s="1"/>
  <c r="W744" i="17" s="1"/>
  <c r="R744" i="17"/>
  <c r="S744" i="17" s="1"/>
  <c r="U743" i="17"/>
  <c r="V743" i="17" s="1"/>
  <c r="W743" i="17" s="1"/>
  <c r="S743" i="17"/>
  <c r="R743" i="17"/>
  <c r="R742" i="17"/>
  <c r="S742" i="17" s="1"/>
  <c r="U741" i="17"/>
  <c r="V741" i="17" s="1"/>
  <c r="W741" i="17" s="1"/>
  <c r="S741" i="17"/>
  <c r="R741" i="17"/>
  <c r="R740" i="17"/>
  <c r="S740" i="17" s="1"/>
  <c r="U739" i="17"/>
  <c r="V739" i="17" s="1"/>
  <c r="W739" i="17" s="1"/>
  <c r="R739" i="17"/>
  <c r="S739" i="17" s="1"/>
  <c r="U738" i="17"/>
  <c r="V738" i="17" s="1"/>
  <c r="W738" i="17" s="1"/>
  <c r="R738" i="17"/>
  <c r="S738" i="17" s="1"/>
  <c r="R737" i="17"/>
  <c r="S737" i="17" s="1"/>
  <c r="U736" i="17"/>
  <c r="V736" i="17" s="1"/>
  <c r="W736" i="17" s="1"/>
  <c r="R736" i="17"/>
  <c r="S736" i="17" s="1"/>
  <c r="U735" i="17"/>
  <c r="V735" i="17" s="1"/>
  <c r="W735" i="17" s="1"/>
  <c r="S735" i="17"/>
  <c r="R735" i="17"/>
  <c r="U734" i="17"/>
  <c r="V734" i="17" s="1"/>
  <c r="W734" i="17" s="1"/>
  <c r="R734" i="17"/>
  <c r="S734" i="17" s="1"/>
  <c r="U733" i="17"/>
  <c r="V733" i="17" s="1"/>
  <c r="W733" i="17" s="1"/>
  <c r="R733" i="17"/>
  <c r="S733" i="17" s="1"/>
  <c r="S732" i="17"/>
  <c r="R732" i="17"/>
  <c r="U731" i="17"/>
  <c r="V731" i="17" s="1"/>
  <c r="W731" i="17" s="1"/>
  <c r="S731" i="17"/>
  <c r="R731" i="17"/>
  <c r="U730" i="17"/>
  <c r="V730" i="17" s="1"/>
  <c r="W730" i="17" s="1"/>
  <c r="R730" i="17"/>
  <c r="S730" i="17" s="1"/>
  <c r="S729" i="17"/>
  <c r="R729" i="17"/>
  <c r="U728" i="17"/>
  <c r="V728" i="17" s="1"/>
  <c r="W728" i="17" s="1"/>
  <c r="R728" i="17"/>
  <c r="S728" i="17" s="1"/>
  <c r="U727" i="17"/>
  <c r="V727" i="17" s="1"/>
  <c r="W727" i="17" s="1"/>
  <c r="S727" i="17"/>
  <c r="R727" i="17"/>
  <c r="U726" i="17"/>
  <c r="V726" i="17" s="1"/>
  <c r="W726" i="17" s="1"/>
  <c r="R726" i="17"/>
  <c r="S726" i="17" s="1"/>
  <c r="U725" i="17"/>
  <c r="V725" i="17" s="1"/>
  <c r="W725" i="17" s="1"/>
  <c r="R725" i="17"/>
  <c r="S725" i="17" s="1"/>
  <c r="S724" i="17"/>
  <c r="R724" i="17"/>
  <c r="R723" i="17"/>
  <c r="S723" i="17" s="1"/>
  <c r="U722" i="17"/>
  <c r="V722" i="17" s="1"/>
  <c r="W722" i="17" s="1"/>
  <c r="R722" i="17"/>
  <c r="S722" i="17" s="1"/>
  <c r="S721" i="17"/>
  <c r="R721" i="17"/>
  <c r="U720" i="17"/>
  <c r="V720" i="17" s="1"/>
  <c r="W720" i="17" s="1"/>
  <c r="R720" i="17"/>
  <c r="S720" i="17" s="1"/>
  <c r="U719" i="17"/>
  <c r="V719" i="17" s="1"/>
  <c r="W719" i="17" s="1"/>
  <c r="S719" i="17"/>
  <c r="R719" i="17"/>
  <c r="U718" i="17"/>
  <c r="V718" i="17" s="1"/>
  <c r="W718" i="17" s="1"/>
  <c r="R718" i="17"/>
  <c r="S718" i="17" s="1"/>
  <c r="U717" i="17"/>
  <c r="V717" i="17" s="1"/>
  <c r="W717" i="17" s="1"/>
  <c r="R717" i="17"/>
  <c r="S717" i="17" s="1"/>
  <c r="R716" i="17"/>
  <c r="S716" i="17" s="1"/>
  <c r="U715" i="17"/>
  <c r="V715" i="17" s="1"/>
  <c r="W715" i="17" s="1"/>
  <c r="R715" i="17"/>
  <c r="S715" i="17" s="1"/>
  <c r="U714" i="17"/>
  <c r="V714" i="17" s="1"/>
  <c r="W714" i="17" s="1"/>
  <c r="S714" i="17"/>
  <c r="R714" i="17"/>
  <c r="U713" i="17"/>
  <c r="V713" i="17" s="1"/>
  <c r="W713" i="17" s="1"/>
  <c r="R713" i="17"/>
  <c r="S713" i="17" s="1"/>
  <c r="U712" i="17"/>
  <c r="V712" i="17" s="1"/>
  <c r="W712" i="17" s="1"/>
  <c r="R712" i="17"/>
  <c r="S712" i="17" s="1"/>
  <c r="U711" i="17"/>
  <c r="V711" i="17" s="1"/>
  <c r="W711" i="17" s="1"/>
  <c r="R711" i="17"/>
  <c r="S711" i="17" s="1"/>
  <c r="U710" i="17"/>
  <c r="V710" i="17" s="1"/>
  <c r="W710" i="17" s="1"/>
  <c r="R710" i="17"/>
  <c r="S710" i="17" s="1"/>
  <c r="U709" i="17"/>
  <c r="V709" i="17" s="1"/>
  <c r="W709" i="17" s="1"/>
  <c r="R709" i="17"/>
  <c r="S709" i="17" s="1"/>
  <c r="R708" i="17"/>
  <c r="S708" i="17" s="1"/>
  <c r="R707" i="17"/>
  <c r="S707" i="17" s="1"/>
  <c r="U706" i="17"/>
  <c r="V706" i="17" s="1"/>
  <c r="W706" i="17" s="1"/>
  <c r="R706" i="17"/>
  <c r="S706" i="17" s="1"/>
  <c r="U705" i="17"/>
  <c r="V705" i="17" s="1"/>
  <c r="W705" i="17" s="1"/>
  <c r="R705" i="17"/>
  <c r="S705" i="17" s="1"/>
  <c r="U704" i="17"/>
  <c r="V704" i="17" s="1"/>
  <c r="W704" i="17" s="1"/>
  <c r="R704" i="17"/>
  <c r="S704" i="17" s="1"/>
  <c r="U703" i="17"/>
  <c r="V703" i="17" s="1"/>
  <c r="W703" i="17" s="1"/>
  <c r="R703" i="17"/>
  <c r="S703" i="17" s="1"/>
  <c r="U702" i="17"/>
  <c r="V702" i="17" s="1"/>
  <c r="W702" i="17" s="1"/>
  <c r="R702" i="17"/>
  <c r="S702" i="17" s="1"/>
  <c r="U701" i="17"/>
  <c r="V701" i="17" s="1"/>
  <c r="W701" i="17" s="1"/>
  <c r="S701" i="17"/>
  <c r="R701" i="17"/>
  <c r="U700" i="17"/>
  <c r="V700" i="17" s="1"/>
  <c r="W700" i="17" s="1"/>
  <c r="R700" i="17"/>
  <c r="S700" i="17" s="1"/>
  <c r="U699" i="17"/>
  <c r="V699" i="17" s="1"/>
  <c r="W699" i="17" s="1"/>
  <c r="R699" i="17"/>
  <c r="S699" i="17" s="1"/>
  <c r="U698" i="17"/>
  <c r="V698" i="17" s="1"/>
  <c r="W698" i="17" s="1"/>
  <c r="R698" i="17"/>
  <c r="S698" i="17" s="1"/>
  <c r="R697" i="17"/>
  <c r="S697" i="17" s="1"/>
  <c r="U696" i="17"/>
  <c r="V696" i="17" s="1"/>
  <c r="W696" i="17" s="1"/>
  <c r="R696" i="17"/>
  <c r="S696" i="17" s="1"/>
  <c r="U695" i="17"/>
  <c r="V695" i="17" s="1"/>
  <c r="W695" i="17" s="1"/>
  <c r="R695" i="17"/>
  <c r="S695" i="17" s="1"/>
  <c r="U694" i="17"/>
  <c r="V694" i="17" s="1"/>
  <c r="W694" i="17" s="1"/>
  <c r="R694" i="17"/>
  <c r="S694" i="17" s="1"/>
  <c r="U693" i="17"/>
  <c r="V693" i="17" s="1"/>
  <c r="W693" i="17" s="1"/>
  <c r="S693" i="17"/>
  <c r="R693" i="17"/>
  <c r="R692" i="17"/>
  <c r="S692" i="17" s="1"/>
  <c r="S691" i="17"/>
  <c r="R691" i="17"/>
  <c r="U690" i="17"/>
  <c r="V690" i="17" s="1"/>
  <c r="W690" i="17" s="1"/>
  <c r="S690" i="17"/>
  <c r="R690" i="17"/>
  <c r="R689" i="17"/>
  <c r="S689" i="17" s="1"/>
  <c r="U688" i="17"/>
  <c r="V688" i="17" s="1"/>
  <c r="W688" i="17" s="1"/>
  <c r="R688" i="17"/>
  <c r="S688" i="17" s="1"/>
  <c r="U687" i="17"/>
  <c r="V687" i="17" s="1"/>
  <c r="W687" i="17" s="1"/>
  <c r="R687" i="17"/>
  <c r="S687" i="17" s="1"/>
  <c r="U686" i="17"/>
  <c r="V686" i="17" s="1"/>
  <c r="W686" i="17" s="1"/>
  <c r="R686" i="17"/>
  <c r="S686" i="17" s="1"/>
  <c r="U685" i="17"/>
  <c r="V685" i="17" s="1"/>
  <c r="W685" i="17" s="1"/>
  <c r="S685" i="17"/>
  <c r="R685" i="17"/>
  <c r="R684" i="17"/>
  <c r="S684" i="17" s="1"/>
  <c r="R683" i="17"/>
  <c r="S683" i="17" s="1"/>
  <c r="U682" i="17"/>
  <c r="V682" i="17" s="1"/>
  <c r="W682" i="17" s="1"/>
  <c r="R682" i="17"/>
  <c r="S682" i="17" s="1"/>
  <c r="R681" i="17"/>
  <c r="S681" i="17" s="1"/>
  <c r="U680" i="17"/>
  <c r="V680" i="17" s="1"/>
  <c r="W680" i="17" s="1"/>
  <c r="R680" i="17"/>
  <c r="S680" i="17" s="1"/>
  <c r="U679" i="17"/>
  <c r="V679" i="17" s="1"/>
  <c r="W679" i="17" s="1"/>
  <c r="S679" i="17"/>
  <c r="R679" i="17"/>
  <c r="U678" i="17"/>
  <c r="V678" i="17" s="1"/>
  <c r="W678" i="17" s="1"/>
  <c r="R678" i="17"/>
  <c r="S678" i="17" s="1"/>
  <c r="U677" i="17"/>
  <c r="V677" i="17" s="1"/>
  <c r="W677" i="17" s="1"/>
  <c r="S677" i="17"/>
  <c r="R677" i="17"/>
  <c r="R676" i="17"/>
  <c r="S676" i="17" s="1"/>
  <c r="U675" i="17"/>
  <c r="V675" i="17" s="1"/>
  <c r="W675" i="17" s="1"/>
  <c r="R675" i="17"/>
  <c r="S675" i="17" s="1"/>
  <c r="U674" i="17"/>
  <c r="V674" i="17" s="1"/>
  <c r="W674" i="17" s="1"/>
  <c r="R674" i="17"/>
  <c r="S674" i="17" s="1"/>
  <c r="R673" i="17"/>
  <c r="S673" i="17" s="1"/>
  <c r="U672" i="17"/>
  <c r="V672" i="17" s="1"/>
  <c r="W672" i="17" s="1"/>
  <c r="R672" i="17"/>
  <c r="S672" i="17" s="1"/>
  <c r="U671" i="17"/>
  <c r="V671" i="17" s="1"/>
  <c r="W671" i="17" s="1"/>
  <c r="S671" i="17"/>
  <c r="R671" i="17"/>
  <c r="U670" i="17"/>
  <c r="V670" i="17" s="1"/>
  <c r="W670" i="17" s="1"/>
  <c r="R670" i="17"/>
  <c r="S670" i="17" s="1"/>
  <c r="U669" i="17"/>
  <c r="V669" i="17" s="1"/>
  <c r="W669" i="17" s="1"/>
  <c r="R669" i="17"/>
  <c r="S669" i="17" s="1"/>
  <c r="S668" i="17"/>
  <c r="R668" i="17"/>
  <c r="U667" i="17"/>
  <c r="V667" i="17" s="1"/>
  <c r="W667" i="17" s="1"/>
  <c r="S667" i="17"/>
  <c r="R667" i="17"/>
  <c r="U666" i="17"/>
  <c r="V666" i="17" s="1"/>
  <c r="W666" i="17" s="1"/>
  <c r="R666" i="17"/>
  <c r="S666" i="17" s="1"/>
  <c r="S665" i="17"/>
  <c r="R665" i="17"/>
  <c r="U664" i="17"/>
  <c r="V664" i="17" s="1"/>
  <c r="W664" i="17" s="1"/>
  <c r="R664" i="17"/>
  <c r="S664" i="17" s="1"/>
  <c r="U663" i="17"/>
  <c r="V663" i="17" s="1"/>
  <c r="W663" i="17" s="1"/>
  <c r="S663" i="17"/>
  <c r="R663" i="17"/>
  <c r="U662" i="17"/>
  <c r="V662" i="17" s="1"/>
  <c r="W662" i="17" s="1"/>
  <c r="R662" i="17"/>
  <c r="S662" i="17" s="1"/>
  <c r="U661" i="17"/>
  <c r="V661" i="17" s="1"/>
  <c r="W661" i="17" s="1"/>
  <c r="R661" i="17"/>
  <c r="S661" i="17" s="1"/>
  <c r="S660" i="17"/>
  <c r="R660" i="17"/>
  <c r="R659" i="17"/>
  <c r="S659" i="17" s="1"/>
  <c r="U658" i="17"/>
  <c r="V658" i="17" s="1"/>
  <c r="W658" i="17" s="1"/>
  <c r="R658" i="17"/>
  <c r="S658" i="17" s="1"/>
  <c r="S657" i="17"/>
  <c r="R657" i="17"/>
  <c r="U656" i="17"/>
  <c r="V656" i="17" s="1"/>
  <c r="W656" i="17" s="1"/>
  <c r="R656" i="17"/>
  <c r="S656" i="17" s="1"/>
  <c r="U655" i="17"/>
  <c r="V655" i="17" s="1"/>
  <c r="W655" i="17" s="1"/>
  <c r="R655" i="17"/>
  <c r="S655" i="17" s="1"/>
  <c r="U654" i="17"/>
  <c r="V654" i="17" s="1"/>
  <c r="W654" i="17" s="1"/>
  <c r="R654" i="17"/>
  <c r="S654" i="17" s="1"/>
  <c r="U653" i="17"/>
  <c r="V653" i="17" s="1"/>
  <c r="W653" i="17" s="1"/>
  <c r="R653" i="17"/>
  <c r="S653" i="17" s="1"/>
  <c r="R652" i="17"/>
  <c r="S652" i="17" s="1"/>
  <c r="U651" i="17"/>
  <c r="V651" i="17" s="1"/>
  <c r="W651" i="17" s="1"/>
  <c r="R651" i="17"/>
  <c r="S651" i="17" s="1"/>
  <c r="U650" i="17"/>
  <c r="V650" i="17" s="1"/>
  <c r="W650" i="17" s="1"/>
  <c r="S650" i="17"/>
  <c r="R650" i="17"/>
  <c r="R649" i="17"/>
  <c r="S649" i="17" s="1"/>
  <c r="U648" i="17"/>
  <c r="V648" i="17" s="1"/>
  <c r="W648" i="17" s="1"/>
  <c r="R648" i="17"/>
  <c r="S648" i="17" s="1"/>
  <c r="U647" i="17"/>
  <c r="V647" i="17" s="1"/>
  <c r="W647" i="17" s="1"/>
  <c r="R647" i="17"/>
  <c r="S647" i="17" s="1"/>
  <c r="U646" i="17"/>
  <c r="V646" i="17" s="1"/>
  <c r="W646" i="17" s="1"/>
  <c r="R646" i="17"/>
  <c r="S646" i="17" s="1"/>
  <c r="U645" i="17"/>
  <c r="V645" i="17" s="1"/>
  <c r="W645" i="17" s="1"/>
  <c r="R645" i="17"/>
  <c r="S645" i="17" s="1"/>
  <c r="R644" i="17"/>
  <c r="S644" i="17" s="1"/>
  <c r="U643" i="17"/>
  <c r="V643" i="17" s="1"/>
  <c r="W643" i="17" s="1"/>
  <c r="R643" i="17"/>
  <c r="S643" i="17" s="1"/>
  <c r="U642" i="17"/>
  <c r="V642" i="17" s="1"/>
  <c r="W642" i="17" s="1"/>
  <c r="R642" i="17"/>
  <c r="S642" i="17" s="1"/>
  <c r="R641" i="17"/>
  <c r="S641" i="17" s="1"/>
  <c r="U640" i="17"/>
  <c r="V640" i="17" s="1"/>
  <c r="W640" i="17" s="1"/>
  <c r="R640" i="17"/>
  <c r="S640" i="17" s="1"/>
  <c r="U639" i="17"/>
  <c r="V639" i="17" s="1"/>
  <c r="W639" i="17" s="1"/>
  <c r="R639" i="17"/>
  <c r="S639" i="17" s="1"/>
  <c r="U638" i="17"/>
  <c r="V638" i="17" s="1"/>
  <c r="W638" i="17" s="1"/>
  <c r="R638" i="17"/>
  <c r="S638" i="17" s="1"/>
  <c r="U637" i="17"/>
  <c r="V637" i="17" s="1"/>
  <c r="W637" i="17" s="1"/>
  <c r="S637" i="17"/>
  <c r="R637" i="17"/>
  <c r="R636" i="17"/>
  <c r="S636" i="17" s="1"/>
  <c r="R635" i="17"/>
  <c r="S635" i="17" s="1"/>
  <c r="U634" i="17"/>
  <c r="V634" i="17" s="1"/>
  <c r="W634" i="17" s="1"/>
  <c r="R634" i="17"/>
  <c r="S634" i="17" s="1"/>
  <c r="U633" i="17"/>
  <c r="V633" i="17" s="1"/>
  <c r="W633" i="17" s="1"/>
  <c r="S633" i="17"/>
  <c r="R633" i="17"/>
  <c r="U632" i="17"/>
  <c r="V632" i="17" s="1"/>
  <c r="W632" i="17" s="1"/>
  <c r="R632" i="17"/>
  <c r="S632" i="17" s="1"/>
  <c r="U631" i="17"/>
  <c r="V631" i="17" s="1"/>
  <c r="W631" i="17" s="1"/>
  <c r="R631" i="17"/>
  <c r="S631" i="17" s="1"/>
  <c r="U630" i="17"/>
  <c r="V630" i="17" s="1"/>
  <c r="W630" i="17" s="1"/>
  <c r="R630" i="17"/>
  <c r="S630" i="17" s="1"/>
  <c r="U629" i="17"/>
  <c r="V629" i="17" s="1"/>
  <c r="W629" i="17" s="1"/>
  <c r="S629" i="17"/>
  <c r="R629" i="17"/>
  <c r="R628" i="17"/>
  <c r="S628" i="17" s="1"/>
  <c r="S627" i="17"/>
  <c r="R627" i="17"/>
  <c r="U626" i="17"/>
  <c r="V626" i="17" s="1"/>
  <c r="W626" i="17" s="1"/>
  <c r="S626" i="17"/>
  <c r="R626" i="17"/>
  <c r="R625" i="17"/>
  <c r="S625" i="17" s="1"/>
  <c r="U624" i="17"/>
  <c r="V624" i="17" s="1"/>
  <c r="W624" i="17" s="1"/>
  <c r="R624" i="17"/>
  <c r="S624" i="17" s="1"/>
  <c r="U623" i="17"/>
  <c r="V623" i="17" s="1"/>
  <c r="W623" i="17" s="1"/>
  <c r="R623" i="17"/>
  <c r="S623" i="17" s="1"/>
  <c r="U622" i="17"/>
  <c r="V622" i="17" s="1"/>
  <c r="W622" i="17" s="1"/>
  <c r="R622" i="17"/>
  <c r="S622" i="17" s="1"/>
  <c r="U621" i="17"/>
  <c r="V621" i="17" s="1"/>
  <c r="W621" i="17" s="1"/>
  <c r="R621" i="17"/>
  <c r="S621" i="17" s="1"/>
  <c r="R620" i="17"/>
  <c r="S620" i="17" s="1"/>
  <c r="U619" i="17"/>
  <c r="V619" i="17" s="1"/>
  <c r="W619" i="17" s="1"/>
  <c r="R619" i="17"/>
  <c r="S619" i="17" s="1"/>
  <c r="U618" i="17"/>
  <c r="V618" i="17" s="1"/>
  <c r="W618" i="17" s="1"/>
  <c r="R618" i="17"/>
  <c r="S618" i="17" s="1"/>
  <c r="R617" i="17"/>
  <c r="S617" i="17" s="1"/>
  <c r="U616" i="17"/>
  <c r="V616" i="17" s="1"/>
  <c r="W616" i="17" s="1"/>
  <c r="R616" i="17"/>
  <c r="S616" i="17" s="1"/>
  <c r="U615" i="17"/>
  <c r="V615" i="17" s="1"/>
  <c r="W615" i="17" s="1"/>
  <c r="S615" i="17"/>
  <c r="R615" i="17"/>
  <c r="U614" i="17"/>
  <c r="V614" i="17" s="1"/>
  <c r="W614" i="17" s="1"/>
  <c r="R614" i="17"/>
  <c r="S614" i="17" s="1"/>
  <c r="U613" i="17"/>
  <c r="V613" i="17" s="1"/>
  <c r="W613" i="17" s="1"/>
  <c r="S613" i="17"/>
  <c r="R613" i="17"/>
  <c r="R612" i="17"/>
  <c r="S612" i="17" s="1"/>
  <c r="U611" i="17"/>
  <c r="V611" i="17" s="1"/>
  <c r="W611" i="17" s="1"/>
  <c r="R611" i="17"/>
  <c r="S611" i="17" s="1"/>
  <c r="U610" i="17"/>
  <c r="V610" i="17" s="1"/>
  <c r="W610" i="17" s="1"/>
  <c r="R610" i="17"/>
  <c r="S610" i="17" s="1"/>
  <c r="R609" i="17"/>
  <c r="S609" i="17" s="1"/>
  <c r="U608" i="17"/>
  <c r="V608" i="17" s="1"/>
  <c r="W608" i="17" s="1"/>
  <c r="R608" i="17"/>
  <c r="S608" i="17" s="1"/>
  <c r="U607" i="17"/>
  <c r="V607" i="17" s="1"/>
  <c r="W607" i="17" s="1"/>
  <c r="S607" i="17"/>
  <c r="R607" i="17"/>
  <c r="U606" i="17"/>
  <c r="V606" i="17" s="1"/>
  <c r="W606" i="17" s="1"/>
  <c r="R606" i="17"/>
  <c r="S606" i="17" s="1"/>
  <c r="U605" i="17"/>
  <c r="V605" i="17" s="1"/>
  <c r="W605" i="17" s="1"/>
  <c r="R605" i="17"/>
  <c r="S605" i="17" s="1"/>
  <c r="S604" i="17"/>
  <c r="R604" i="17"/>
  <c r="S603" i="17"/>
  <c r="R603" i="17"/>
  <c r="U602" i="17"/>
  <c r="V602" i="17" s="1"/>
  <c r="W602" i="17" s="1"/>
  <c r="R602" i="17"/>
  <c r="S602" i="17" s="1"/>
  <c r="S601" i="17"/>
  <c r="R601" i="17"/>
  <c r="U600" i="17"/>
  <c r="V600" i="17" s="1"/>
  <c r="W600" i="17" s="1"/>
  <c r="R600" i="17"/>
  <c r="S600" i="17" s="1"/>
  <c r="U599" i="17"/>
  <c r="V599" i="17" s="1"/>
  <c r="W599" i="17" s="1"/>
  <c r="S599" i="17"/>
  <c r="R599" i="17"/>
  <c r="U598" i="17"/>
  <c r="V598" i="17" s="1"/>
  <c r="W598" i="17" s="1"/>
  <c r="R598" i="17"/>
  <c r="S598" i="17" s="1"/>
  <c r="U597" i="17"/>
  <c r="V597" i="17" s="1"/>
  <c r="W597" i="17" s="1"/>
  <c r="S597" i="17"/>
  <c r="R597" i="17"/>
  <c r="S596" i="17"/>
  <c r="R596" i="17"/>
  <c r="R595" i="17"/>
  <c r="S595" i="17" s="1"/>
  <c r="U594" i="17"/>
  <c r="V594" i="17" s="1"/>
  <c r="W594" i="17" s="1"/>
  <c r="R594" i="17"/>
  <c r="S594" i="17" s="1"/>
  <c r="S593" i="17"/>
  <c r="R593" i="17"/>
  <c r="U592" i="17"/>
  <c r="V592" i="17" s="1"/>
  <c r="W592" i="17" s="1"/>
  <c r="R592" i="17"/>
  <c r="S592" i="17" s="1"/>
  <c r="U591" i="17"/>
  <c r="V591" i="17" s="1"/>
  <c r="W591" i="17" s="1"/>
  <c r="S591" i="17"/>
  <c r="R591" i="17"/>
  <c r="U590" i="17"/>
  <c r="V590" i="17" s="1"/>
  <c r="W590" i="17" s="1"/>
  <c r="R590" i="17"/>
  <c r="S590" i="17" s="1"/>
  <c r="U589" i="17"/>
  <c r="V589" i="17" s="1"/>
  <c r="W589" i="17" s="1"/>
  <c r="R589" i="17"/>
  <c r="S589" i="17" s="1"/>
  <c r="R588" i="17"/>
  <c r="S588" i="17" s="1"/>
  <c r="U587" i="17"/>
  <c r="V587" i="17" s="1"/>
  <c r="W587" i="17" s="1"/>
  <c r="R587" i="17"/>
  <c r="S587" i="17" s="1"/>
  <c r="U586" i="17"/>
  <c r="V586" i="17" s="1"/>
  <c r="W586" i="17" s="1"/>
  <c r="S586" i="17"/>
  <c r="R586" i="17"/>
  <c r="U585" i="17"/>
  <c r="V585" i="17" s="1"/>
  <c r="W585" i="17" s="1"/>
  <c r="R585" i="17"/>
  <c r="S585" i="17" s="1"/>
  <c r="U584" i="17"/>
  <c r="V584" i="17" s="1"/>
  <c r="W584" i="17" s="1"/>
  <c r="R584" i="17"/>
  <c r="S584" i="17" s="1"/>
  <c r="U583" i="17"/>
  <c r="V583" i="17" s="1"/>
  <c r="W583" i="17" s="1"/>
  <c r="R583" i="17"/>
  <c r="S583" i="17" s="1"/>
  <c r="U582" i="17"/>
  <c r="V582" i="17" s="1"/>
  <c r="W582" i="17" s="1"/>
  <c r="R582" i="17"/>
  <c r="S582" i="17" s="1"/>
  <c r="U581" i="17"/>
  <c r="V581" i="17" s="1"/>
  <c r="W581" i="17" s="1"/>
  <c r="R581" i="17"/>
  <c r="S581" i="17" s="1"/>
  <c r="R580" i="17"/>
  <c r="S580" i="17" s="1"/>
  <c r="R579" i="17"/>
  <c r="S579" i="17" s="1"/>
  <c r="U578" i="17"/>
  <c r="V578" i="17" s="1"/>
  <c r="W578" i="17" s="1"/>
  <c r="R578" i="17"/>
  <c r="S578" i="17" s="1"/>
  <c r="U577" i="17"/>
  <c r="V577" i="17" s="1"/>
  <c r="W577" i="17" s="1"/>
  <c r="R577" i="17"/>
  <c r="S577" i="17" s="1"/>
  <c r="U576" i="17"/>
  <c r="V576" i="17" s="1"/>
  <c r="W576" i="17" s="1"/>
  <c r="R576" i="17"/>
  <c r="S576" i="17" s="1"/>
  <c r="U575" i="17"/>
  <c r="V575" i="17" s="1"/>
  <c r="W575" i="17" s="1"/>
  <c r="R575" i="17"/>
  <c r="S575" i="17" s="1"/>
  <c r="U574" i="17"/>
  <c r="V574" i="17" s="1"/>
  <c r="W574" i="17" s="1"/>
  <c r="R574" i="17"/>
  <c r="S574" i="17" s="1"/>
  <c r="U573" i="17"/>
  <c r="V573" i="17" s="1"/>
  <c r="W573" i="17" s="1"/>
  <c r="S573" i="17"/>
  <c r="R573" i="17"/>
  <c r="U572" i="17"/>
  <c r="V572" i="17" s="1"/>
  <c r="W572" i="17" s="1"/>
  <c r="R572" i="17"/>
  <c r="S572" i="17" s="1"/>
  <c r="U571" i="17"/>
  <c r="V571" i="17" s="1"/>
  <c r="W571" i="17" s="1"/>
  <c r="R571" i="17"/>
  <c r="S571" i="17" s="1"/>
  <c r="U570" i="17"/>
  <c r="V570" i="17" s="1"/>
  <c r="W570" i="17" s="1"/>
  <c r="R570" i="17"/>
  <c r="S570" i="17" s="1"/>
  <c r="R569" i="17"/>
  <c r="S569" i="17" s="1"/>
  <c r="U568" i="17"/>
  <c r="V568" i="17" s="1"/>
  <c r="W568" i="17" s="1"/>
  <c r="R568" i="17"/>
  <c r="S568" i="17" s="1"/>
  <c r="U567" i="17"/>
  <c r="V567" i="17" s="1"/>
  <c r="W567" i="17" s="1"/>
  <c r="R567" i="17"/>
  <c r="S567" i="17" s="1"/>
  <c r="U566" i="17"/>
  <c r="V566" i="17" s="1"/>
  <c r="W566" i="17" s="1"/>
  <c r="R566" i="17"/>
  <c r="S566" i="17" s="1"/>
  <c r="U565" i="17"/>
  <c r="V565" i="17" s="1"/>
  <c r="W565" i="17" s="1"/>
  <c r="S565" i="17"/>
  <c r="R565" i="17"/>
  <c r="R564" i="17"/>
  <c r="S564" i="17" s="1"/>
  <c r="U563" i="17"/>
  <c r="V563" i="17" s="1"/>
  <c r="W563" i="17" s="1"/>
  <c r="S563" i="17"/>
  <c r="R563" i="17"/>
  <c r="U562" i="17"/>
  <c r="V562" i="17" s="1"/>
  <c r="W562" i="17" s="1"/>
  <c r="S562" i="17"/>
  <c r="R562" i="17"/>
  <c r="R561" i="17"/>
  <c r="S561" i="17" s="1"/>
  <c r="U560" i="17"/>
  <c r="V560" i="17" s="1"/>
  <c r="W560" i="17" s="1"/>
  <c r="R560" i="17"/>
  <c r="S560" i="17" s="1"/>
  <c r="U559" i="17"/>
  <c r="V559" i="17" s="1"/>
  <c r="W559" i="17" s="1"/>
  <c r="S559" i="17"/>
  <c r="R559" i="17"/>
  <c r="U558" i="17"/>
  <c r="V558" i="17" s="1"/>
  <c r="W558" i="17" s="1"/>
  <c r="R558" i="17"/>
  <c r="S558" i="17" s="1"/>
  <c r="U557" i="17"/>
  <c r="V557" i="17" s="1"/>
  <c r="W557" i="17" s="1"/>
  <c r="S557" i="17"/>
  <c r="R557" i="17"/>
  <c r="R556" i="17"/>
  <c r="S556" i="17" s="1"/>
  <c r="U555" i="17"/>
  <c r="V555" i="17" s="1"/>
  <c r="W555" i="17" s="1"/>
  <c r="R555" i="17"/>
  <c r="S555" i="17" s="1"/>
  <c r="U554" i="17"/>
  <c r="V554" i="17" s="1"/>
  <c r="W554" i="17" s="1"/>
  <c r="R554" i="17"/>
  <c r="S554" i="17" s="1"/>
  <c r="R553" i="17"/>
  <c r="S553" i="17" s="1"/>
  <c r="U552" i="17"/>
  <c r="V552" i="17" s="1"/>
  <c r="W552" i="17" s="1"/>
  <c r="R552" i="17"/>
  <c r="S552" i="17" s="1"/>
  <c r="U551" i="17"/>
  <c r="V551" i="17" s="1"/>
  <c r="W551" i="17" s="1"/>
  <c r="R551" i="17"/>
  <c r="S551" i="17" s="1"/>
  <c r="U550" i="17"/>
  <c r="V550" i="17" s="1"/>
  <c r="W550" i="17" s="1"/>
  <c r="R550" i="17"/>
  <c r="S550" i="17" s="1"/>
  <c r="U549" i="17"/>
  <c r="V549" i="17" s="1"/>
  <c r="W549" i="17" s="1"/>
  <c r="R549" i="17"/>
  <c r="S549" i="17" s="1"/>
  <c r="R548" i="17"/>
  <c r="S548" i="17" s="1"/>
  <c r="U547" i="17"/>
  <c r="V547" i="17" s="1"/>
  <c r="W547" i="17" s="1"/>
  <c r="R547" i="17"/>
  <c r="S547" i="17" s="1"/>
  <c r="U546" i="17"/>
  <c r="V546" i="17" s="1"/>
  <c r="W546" i="17" s="1"/>
  <c r="R546" i="17"/>
  <c r="S546" i="17" s="1"/>
  <c r="S545" i="17"/>
  <c r="R545" i="17"/>
  <c r="U544" i="17"/>
  <c r="V544" i="17" s="1"/>
  <c r="W544" i="17" s="1"/>
  <c r="R544" i="17"/>
  <c r="S544" i="17" s="1"/>
  <c r="U543" i="17"/>
  <c r="V543" i="17" s="1"/>
  <c r="W543" i="17" s="1"/>
  <c r="S543" i="17"/>
  <c r="R543" i="17"/>
  <c r="U542" i="17"/>
  <c r="V542" i="17" s="1"/>
  <c r="W542" i="17" s="1"/>
  <c r="R542" i="17"/>
  <c r="S542" i="17" s="1"/>
  <c r="U541" i="17"/>
  <c r="V541" i="17" s="1"/>
  <c r="W541" i="17" s="1"/>
  <c r="R541" i="17"/>
  <c r="S541" i="17" s="1"/>
  <c r="R540" i="17"/>
  <c r="S540" i="17" s="1"/>
  <c r="S539" i="17"/>
  <c r="R539" i="17"/>
  <c r="U538" i="17"/>
  <c r="V538" i="17" s="1"/>
  <c r="W538" i="17" s="1"/>
  <c r="R538" i="17"/>
  <c r="S538" i="17" s="1"/>
  <c r="R537" i="17"/>
  <c r="S537" i="17" s="1"/>
  <c r="U536" i="17"/>
  <c r="V536" i="17" s="1"/>
  <c r="W536" i="17" s="1"/>
  <c r="R536" i="17"/>
  <c r="S536" i="17" s="1"/>
  <c r="U535" i="17"/>
  <c r="V535" i="17" s="1"/>
  <c r="W535" i="17" s="1"/>
  <c r="S535" i="17"/>
  <c r="R535" i="17"/>
  <c r="U534" i="17"/>
  <c r="V534" i="17" s="1"/>
  <c r="W534" i="17" s="1"/>
  <c r="R534" i="17"/>
  <c r="S534" i="17" s="1"/>
  <c r="U533" i="17"/>
  <c r="V533" i="17" s="1"/>
  <c r="W533" i="17" s="1"/>
  <c r="R533" i="17"/>
  <c r="S533" i="17" s="1"/>
  <c r="S532" i="17"/>
  <c r="R532" i="17"/>
  <c r="R531" i="17"/>
  <c r="S531" i="17" s="1"/>
  <c r="U530" i="17"/>
  <c r="V530" i="17" s="1"/>
  <c r="W530" i="17" s="1"/>
  <c r="R530" i="17"/>
  <c r="S530" i="17" s="1"/>
  <c r="U529" i="17"/>
  <c r="V529" i="17" s="1"/>
  <c r="W529" i="17" s="1"/>
  <c r="S529" i="17"/>
  <c r="R529" i="17"/>
  <c r="U528" i="17"/>
  <c r="V528" i="17" s="1"/>
  <c r="W528" i="17" s="1"/>
  <c r="R528" i="17"/>
  <c r="S528" i="17" s="1"/>
  <c r="U527" i="17"/>
  <c r="V527" i="17" s="1"/>
  <c r="W527" i="17" s="1"/>
  <c r="R527" i="17"/>
  <c r="S527" i="17" s="1"/>
  <c r="U526" i="17"/>
  <c r="V526" i="17" s="1"/>
  <c r="W526" i="17" s="1"/>
  <c r="R526" i="17"/>
  <c r="S526" i="17" s="1"/>
  <c r="U525" i="17"/>
  <c r="V525" i="17" s="1"/>
  <c r="W525" i="17" s="1"/>
  <c r="R525" i="17"/>
  <c r="S525" i="17" s="1"/>
  <c r="S524" i="17"/>
  <c r="R524" i="17"/>
  <c r="U523" i="17"/>
  <c r="V523" i="17" s="1"/>
  <c r="W523" i="17" s="1"/>
  <c r="R523" i="17"/>
  <c r="S523" i="17" s="1"/>
  <c r="U522" i="17"/>
  <c r="V522" i="17" s="1"/>
  <c r="W522" i="17" s="1"/>
  <c r="R522" i="17"/>
  <c r="S522" i="17" s="1"/>
  <c r="S521" i="17"/>
  <c r="R521" i="17"/>
  <c r="U520" i="17"/>
  <c r="V520" i="17" s="1"/>
  <c r="W520" i="17" s="1"/>
  <c r="R520" i="17"/>
  <c r="S520" i="17" s="1"/>
  <c r="U519" i="17"/>
  <c r="V519" i="17" s="1"/>
  <c r="W519" i="17" s="1"/>
  <c r="S519" i="17"/>
  <c r="R519" i="17"/>
  <c r="U518" i="17"/>
  <c r="V518" i="17" s="1"/>
  <c r="W518" i="17" s="1"/>
  <c r="R518" i="17"/>
  <c r="S518" i="17" s="1"/>
  <c r="U517" i="17"/>
  <c r="V517" i="17" s="1"/>
  <c r="W517" i="17" s="1"/>
  <c r="S517" i="17"/>
  <c r="R517" i="17"/>
  <c r="R516" i="17"/>
  <c r="S516" i="17" s="1"/>
  <c r="R515" i="17"/>
  <c r="S515" i="17" s="1"/>
  <c r="U514" i="17"/>
  <c r="V514" i="17" s="1"/>
  <c r="W514" i="17" s="1"/>
  <c r="R514" i="17"/>
  <c r="S514" i="17" s="1"/>
  <c r="U513" i="17"/>
  <c r="V513" i="17" s="1"/>
  <c r="W513" i="17" s="1"/>
  <c r="R513" i="17"/>
  <c r="S513" i="17" s="1"/>
  <c r="U512" i="17"/>
  <c r="V512" i="17" s="1"/>
  <c r="W512" i="17" s="1"/>
  <c r="R512" i="17"/>
  <c r="S512" i="17" s="1"/>
  <c r="U511" i="17"/>
  <c r="V511" i="17" s="1"/>
  <c r="W511" i="17" s="1"/>
  <c r="S511" i="17"/>
  <c r="R511" i="17"/>
  <c r="U510" i="17"/>
  <c r="V510" i="17" s="1"/>
  <c r="W510" i="17" s="1"/>
  <c r="S510" i="17"/>
  <c r="R510" i="17"/>
  <c r="U509" i="17"/>
  <c r="V509" i="17" s="1"/>
  <c r="W509" i="17" s="1"/>
  <c r="R509" i="17"/>
  <c r="S509" i="17" s="1"/>
  <c r="R508" i="17"/>
  <c r="S508" i="17" s="1"/>
  <c r="U507" i="17"/>
  <c r="V507" i="17" s="1"/>
  <c r="W507" i="17" s="1"/>
  <c r="R507" i="17"/>
  <c r="S507" i="17" s="1"/>
  <c r="U506" i="17"/>
  <c r="V506" i="17" s="1"/>
  <c r="W506" i="17" s="1"/>
  <c r="S506" i="17"/>
  <c r="R506" i="17"/>
  <c r="U505" i="17"/>
  <c r="V505" i="17" s="1"/>
  <c r="W505" i="17" s="1"/>
  <c r="R505" i="17"/>
  <c r="S505" i="17" s="1"/>
  <c r="U504" i="17"/>
  <c r="V504" i="17" s="1"/>
  <c r="W504" i="17" s="1"/>
  <c r="R504" i="17"/>
  <c r="S504" i="17" s="1"/>
  <c r="U503" i="17"/>
  <c r="V503" i="17" s="1"/>
  <c r="W503" i="17" s="1"/>
  <c r="S503" i="17"/>
  <c r="R503" i="17"/>
  <c r="U502" i="17"/>
  <c r="V502" i="17" s="1"/>
  <c r="W502" i="17" s="1"/>
  <c r="R502" i="17"/>
  <c r="S502" i="17" s="1"/>
  <c r="U501" i="17"/>
  <c r="V501" i="17" s="1"/>
  <c r="W501" i="17" s="1"/>
  <c r="S501" i="17"/>
  <c r="R501" i="17"/>
  <c r="R500" i="17"/>
  <c r="S500" i="17" s="1"/>
  <c r="U499" i="17"/>
  <c r="V499" i="17" s="1"/>
  <c r="W499" i="17" s="1"/>
  <c r="R499" i="17"/>
  <c r="S499" i="17" s="1"/>
  <c r="U498" i="17"/>
  <c r="V498" i="17" s="1"/>
  <c r="W498" i="17" s="1"/>
  <c r="R498" i="17"/>
  <c r="S498" i="17" s="1"/>
  <c r="R497" i="17"/>
  <c r="S497" i="17" s="1"/>
  <c r="U496" i="17"/>
  <c r="V496" i="17" s="1"/>
  <c r="W496" i="17" s="1"/>
  <c r="R496" i="17"/>
  <c r="S496" i="17" s="1"/>
  <c r="U495" i="17"/>
  <c r="V495" i="17" s="1"/>
  <c r="W495" i="17" s="1"/>
  <c r="R495" i="17"/>
  <c r="S495" i="17" s="1"/>
  <c r="U494" i="17"/>
  <c r="V494" i="17" s="1"/>
  <c r="W494" i="17" s="1"/>
  <c r="R494" i="17"/>
  <c r="S494" i="17" s="1"/>
  <c r="U493" i="17"/>
  <c r="V493" i="17" s="1"/>
  <c r="W493" i="17" s="1"/>
  <c r="R493" i="17"/>
  <c r="S493" i="17" s="1"/>
  <c r="R492" i="17"/>
  <c r="S492" i="17" s="1"/>
  <c r="U491" i="17"/>
  <c r="V491" i="17" s="1"/>
  <c r="W491" i="17" s="1"/>
  <c r="S491" i="17"/>
  <c r="R491" i="17"/>
  <c r="U490" i="17"/>
  <c r="V490" i="17" s="1"/>
  <c r="W490" i="17" s="1"/>
  <c r="R490" i="17"/>
  <c r="S490" i="17" s="1"/>
  <c r="R489" i="17"/>
  <c r="S489" i="17" s="1"/>
  <c r="U488" i="17"/>
  <c r="V488" i="17" s="1"/>
  <c r="W488" i="17" s="1"/>
  <c r="R488" i="17"/>
  <c r="S488" i="17" s="1"/>
  <c r="U487" i="17"/>
  <c r="V487" i="17" s="1"/>
  <c r="W487" i="17" s="1"/>
  <c r="S487" i="17"/>
  <c r="R487" i="17"/>
  <c r="U486" i="17"/>
  <c r="V486" i="17" s="1"/>
  <c r="W486" i="17" s="1"/>
  <c r="S486" i="17"/>
  <c r="R486" i="17"/>
  <c r="U485" i="17"/>
  <c r="V485" i="17" s="1"/>
  <c r="W485" i="17" s="1"/>
  <c r="R485" i="17"/>
  <c r="S485" i="17" s="1"/>
  <c r="R484" i="17"/>
  <c r="S484" i="17" s="1"/>
  <c r="R483" i="17"/>
  <c r="S483" i="17" s="1"/>
  <c r="U482" i="17"/>
  <c r="V482" i="17" s="1"/>
  <c r="W482" i="17" s="1"/>
  <c r="R482" i="17"/>
  <c r="S482" i="17" s="1"/>
  <c r="U481" i="17"/>
  <c r="V481" i="17" s="1"/>
  <c r="W481" i="17" s="1"/>
  <c r="S481" i="17"/>
  <c r="R481" i="17"/>
  <c r="U480" i="17"/>
  <c r="V480" i="17" s="1"/>
  <c r="W480" i="17" s="1"/>
  <c r="R480" i="17"/>
  <c r="S480" i="17" s="1"/>
  <c r="U479" i="17"/>
  <c r="V479" i="17" s="1"/>
  <c r="W479" i="17" s="1"/>
  <c r="S479" i="17"/>
  <c r="R479" i="17"/>
  <c r="U478" i="17"/>
  <c r="V478" i="17" s="1"/>
  <c r="W478" i="17" s="1"/>
  <c r="R478" i="17"/>
  <c r="S478" i="17" s="1"/>
  <c r="U477" i="17"/>
  <c r="V477" i="17" s="1"/>
  <c r="W477" i="17" s="1"/>
  <c r="R477" i="17"/>
  <c r="S477" i="17" s="1"/>
  <c r="S476" i="17"/>
  <c r="R476" i="17"/>
  <c r="S475" i="17"/>
  <c r="R475" i="17"/>
  <c r="U474" i="17"/>
  <c r="V474" i="17" s="1"/>
  <c r="W474" i="17" s="1"/>
  <c r="R474" i="17"/>
  <c r="S474" i="17" s="1"/>
  <c r="R473" i="17"/>
  <c r="S473" i="17" s="1"/>
  <c r="U472" i="17"/>
  <c r="V472" i="17" s="1"/>
  <c r="W472" i="17" s="1"/>
  <c r="R472" i="17"/>
  <c r="S472" i="17" s="1"/>
  <c r="U471" i="17"/>
  <c r="V471" i="17" s="1"/>
  <c r="W471" i="17" s="1"/>
  <c r="S471" i="17"/>
  <c r="R471" i="17"/>
  <c r="U470" i="17"/>
  <c r="V470" i="17" s="1"/>
  <c r="W470" i="17" s="1"/>
  <c r="R470" i="17"/>
  <c r="S470" i="17" s="1"/>
  <c r="U469" i="17"/>
  <c r="V469" i="17" s="1"/>
  <c r="W469" i="17" s="1"/>
  <c r="R469" i="17"/>
  <c r="S469" i="17" s="1"/>
  <c r="S468" i="17"/>
  <c r="R468" i="17"/>
  <c r="U467" i="17"/>
  <c r="V467" i="17" s="1"/>
  <c r="W467" i="17" s="1"/>
  <c r="R467" i="17"/>
  <c r="S467" i="17" s="1"/>
  <c r="U466" i="17"/>
  <c r="V466" i="17" s="1"/>
  <c r="W466" i="17" s="1"/>
  <c r="R466" i="17"/>
  <c r="S466" i="17" s="1"/>
  <c r="S465" i="17"/>
  <c r="R465" i="17"/>
  <c r="U464" i="17"/>
  <c r="V464" i="17" s="1"/>
  <c r="W464" i="17" s="1"/>
  <c r="R464" i="17"/>
  <c r="S464" i="17" s="1"/>
  <c r="U463" i="17"/>
  <c r="V463" i="17" s="1"/>
  <c r="W463" i="17" s="1"/>
  <c r="R463" i="17"/>
  <c r="S463" i="17" s="1"/>
  <c r="U462" i="17"/>
  <c r="V462" i="17" s="1"/>
  <c r="W462" i="17" s="1"/>
  <c r="R462" i="17"/>
  <c r="S462" i="17" s="1"/>
  <c r="U461" i="17"/>
  <c r="V461" i="17" s="1"/>
  <c r="W461" i="17" s="1"/>
  <c r="R461" i="17"/>
  <c r="S461" i="17" s="1"/>
  <c r="R460" i="17"/>
  <c r="S460" i="17" s="1"/>
  <c r="U459" i="17"/>
  <c r="V459" i="17" s="1"/>
  <c r="W459" i="17" s="1"/>
  <c r="R459" i="17"/>
  <c r="S459" i="17" s="1"/>
  <c r="U458" i="17"/>
  <c r="V458" i="17" s="1"/>
  <c r="W458" i="17" s="1"/>
  <c r="R458" i="17"/>
  <c r="S458" i="17" s="1"/>
  <c r="S457" i="17"/>
  <c r="R457" i="17"/>
  <c r="U456" i="17"/>
  <c r="V456" i="17" s="1"/>
  <c r="W456" i="17" s="1"/>
  <c r="R456" i="17"/>
  <c r="S456" i="17" s="1"/>
  <c r="U455" i="17"/>
  <c r="V455" i="17" s="1"/>
  <c r="W455" i="17" s="1"/>
  <c r="R455" i="17"/>
  <c r="S455" i="17" s="1"/>
  <c r="U454" i="17"/>
  <c r="V454" i="17" s="1"/>
  <c r="W454" i="17" s="1"/>
  <c r="R454" i="17"/>
  <c r="S454" i="17" s="1"/>
  <c r="U453" i="17"/>
  <c r="V453" i="17" s="1"/>
  <c r="W453" i="17" s="1"/>
  <c r="S453" i="17"/>
  <c r="R453" i="17"/>
  <c r="U452" i="17"/>
  <c r="V452" i="17" s="1"/>
  <c r="W452" i="17" s="1"/>
  <c r="R452" i="17"/>
  <c r="S452" i="17" s="1"/>
  <c r="U451" i="17"/>
  <c r="V451" i="17" s="1"/>
  <c r="W451" i="17" s="1"/>
  <c r="R451" i="17"/>
  <c r="S451" i="17" s="1"/>
  <c r="U450" i="17"/>
  <c r="V450" i="17" s="1"/>
  <c r="W450" i="17" s="1"/>
  <c r="R450" i="17"/>
  <c r="S450" i="17" s="1"/>
  <c r="R449" i="17"/>
  <c r="S449" i="17" s="1"/>
  <c r="U448" i="17"/>
  <c r="V448" i="17" s="1"/>
  <c r="W448" i="17" s="1"/>
  <c r="R448" i="17"/>
  <c r="S448" i="17" s="1"/>
  <c r="U447" i="17"/>
  <c r="V447" i="17" s="1"/>
  <c r="W447" i="17" s="1"/>
  <c r="S447" i="17"/>
  <c r="R447" i="17"/>
  <c r="U446" i="17"/>
  <c r="V446" i="17" s="1"/>
  <c r="W446" i="17" s="1"/>
  <c r="S446" i="17"/>
  <c r="R446" i="17"/>
  <c r="U445" i="17"/>
  <c r="V445" i="17" s="1"/>
  <c r="W445" i="17" s="1"/>
  <c r="R445" i="17"/>
  <c r="S445" i="17" s="1"/>
  <c r="R444" i="17"/>
  <c r="S444" i="17" s="1"/>
  <c r="R443" i="17"/>
  <c r="S443" i="17" s="1"/>
  <c r="U442" i="17"/>
  <c r="V442" i="17" s="1"/>
  <c r="W442" i="17" s="1"/>
  <c r="S442" i="17"/>
  <c r="R442" i="17"/>
  <c r="R441" i="17"/>
  <c r="S441" i="17" s="1"/>
  <c r="U440" i="17"/>
  <c r="V440" i="17" s="1"/>
  <c r="W440" i="17" s="1"/>
  <c r="R440" i="17"/>
  <c r="S440" i="17" s="1"/>
  <c r="U439" i="17"/>
  <c r="V439" i="17" s="1"/>
  <c r="W439" i="17" s="1"/>
  <c r="S439" i="17"/>
  <c r="R439" i="17"/>
  <c r="U438" i="17"/>
  <c r="V438" i="17" s="1"/>
  <c r="W438" i="17" s="1"/>
  <c r="S438" i="17"/>
  <c r="R438" i="17"/>
  <c r="U437" i="17"/>
  <c r="V437" i="17" s="1"/>
  <c r="W437" i="17" s="1"/>
  <c r="S437" i="17"/>
  <c r="R437" i="17"/>
  <c r="R436" i="17"/>
  <c r="S436" i="17" s="1"/>
  <c r="U435" i="17"/>
  <c r="V435" i="17" s="1"/>
  <c r="W435" i="17" s="1"/>
  <c r="R435" i="17"/>
  <c r="S435" i="17" s="1"/>
  <c r="U434" i="17"/>
  <c r="V434" i="17" s="1"/>
  <c r="W434" i="17" s="1"/>
  <c r="S434" i="17"/>
  <c r="R434" i="17"/>
  <c r="U433" i="17"/>
  <c r="V433" i="17" s="1"/>
  <c r="W433" i="17" s="1"/>
  <c r="R433" i="17"/>
  <c r="S433" i="17" s="1"/>
  <c r="U432" i="17"/>
  <c r="V432" i="17" s="1"/>
  <c r="W432" i="17" s="1"/>
  <c r="R432" i="17"/>
  <c r="S432" i="17" s="1"/>
  <c r="U431" i="17"/>
  <c r="V431" i="17" s="1"/>
  <c r="W431" i="17" s="1"/>
  <c r="S431" i="17"/>
  <c r="R431" i="17"/>
  <c r="U430" i="17"/>
  <c r="V430" i="17" s="1"/>
  <c r="W430" i="17" s="1"/>
  <c r="R430" i="17"/>
  <c r="S430" i="17" s="1"/>
  <c r="U429" i="17"/>
  <c r="V429" i="17" s="1"/>
  <c r="W429" i="17" s="1"/>
  <c r="R429" i="17"/>
  <c r="S429" i="17" s="1"/>
  <c r="U428" i="17"/>
  <c r="V428" i="17" s="1"/>
  <c r="W428" i="17" s="1"/>
  <c r="R428" i="17"/>
  <c r="S428" i="17" s="1"/>
  <c r="U427" i="17"/>
  <c r="V427" i="17" s="1"/>
  <c r="W427" i="17" s="1"/>
  <c r="S427" i="17"/>
  <c r="R427" i="17"/>
  <c r="U426" i="17"/>
  <c r="V426" i="17" s="1"/>
  <c r="W426" i="17" s="1"/>
  <c r="R426" i="17"/>
  <c r="S426" i="17" s="1"/>
  <c r="R425" i="17"/>
  <c r="S425" i="17" s="1"/>
  <c r="U424" i="17"/>
  <c r="V424" i="17" s="1"/>
  <c r="W424" i="17" s="1"/>
  <c r="R424" i="17"/>
  <c r="S424" i="17" s="1"/>
  <c r="U423" i="17"/>
  <c r="V423" i="17" s="1"/>
  <c r="W423" i="17" s="1"/>
  <c r="S423" i="17"/>
  <c r="R423" i="17"/>
  <c r="U422" i="17"/>
  <c r="V422" i="17" s="1"/>
  <c r="W422" i="17" s="1"/>
  <c r="S422" i="17"/>
  <c r="R422" i="17"/>
  <c r="U421" i="17"/>
  <c r="V421" i="17" s="1"/>
  <c r="W421" i="17" s="1"/>
  <c r="R421" i="17"/>
  <c r="S421" i="17" s="1"/>
  <c r="R420" i="17"/>
  <c r="S420" i="17" s="1"/>
  <c r="U419" i="17"/>
  <c r="V419" i="17" s="1"/>
  <c r="W419" i="17" s="1"/>
  <c r="R419" i="17"/>
  <c r="S419" i="17" s="1"/>
  <c r="U418" i="17"/>
  <c r="V418" i="17" s="1"/>
  <c r="W418" i="17" s="1"/>
  <c r="S418" i="17"/>
  <c r="R418" i="17"/>
  <c r="S417" i="17"/>
  <c r="R417" i="17"/>
  <c r="U416" i="17"/>
  <c r="V416" i="17" s="1"/>
  <c r="W416" i="17" s="1"/>
  <c r="R416" i="17"/>
  <c r="S416" i="17" s="1"/>
  <c r="U415" i="17"/>
  <c r="V415" i="17" s="1"/>
  <c r="W415" i="17" s="1"/>
  <c r="S415" i="17"/>
  <c r="R415" i="17"/>
  <c r="U414" i="17"/>
  <c r="V414" i="17" s="1"/>
  <c r="W414" i="17" s="1"/>
  <c r="R414" i="17"/>
  <c r="S414" i="17" s="1"/>
  <c r="U413" i="17"/>
  <c r="V413" i="17" s="1"/>
  <c r="W413" i="17" s="1"/>
  <c r="R413" i="17"/>
  <c r="S413" i="17" s="1"/>
  <c r="R412" i="17"/>
  <c r="S412" i="17" s="1"/>
  <c r="U411" i="17"/>
  <c r="V411" i="17" s="1"/>
  <c r="W411" i="17" s="1"/>
  <c r="S411" i="17"/>
  <c r="R411" i="17"/>
  <c r="U410" i="17"/>
  <c r="V410" i="17" s="1"/>
  <c r="W410" i="17" s="1"/>
  <c r="R410" i="17"/>
  <c r="S410" i="17" s="1"/>
  <c r="U409" i="17"/>
  <c r="V409" i="17" s="1"/>
  <c r="W409" i="17" s="1"/>
  <c r="R409" i="17"/>
  <c r="S409" i="17" s="1"/>
  <c r="U408" i="17"/>
  <c r="V408" i="17" s="1"/>
  <c r="W408" i="17" s="1"/>
  <c r="R408" i="17"/>
  <c r="S408" i="17" s="1"/>
  <c r="U407" i="17"/>
  <c r="V407" i="17" s="1"/>
  <c r="W407" i="17" s="1"/>
  <c r="S407" i="17"/>
  <c r="R407" i="17"/>
  <c r="U406" i="17"/>
  <c r="V406" i="17" s="1"/>
  <c r="W406" i="17" s="1"/>
  <c r="R406" i="17"/>
  <c r="S406" i="17" s="1"/>
  <c r="U405" i="17"/>
  <c r="V405" i="17" s="1"/>
  <c r="W405" i="17" s="1"/>
  <c r="R405" i="17"/>
  <c r="S405" i="17" s="1"/>
  <c r="U404" i="17"/>
  <c r="V404" i="17" s="1"/>
  <c r="W404" i="17" s="1"/>
  <c r="S404" i="17"/>
  <c r="R404" i="17"/>
  <c r="U403" i="17"/>
  <c r="V403" i="17" s="1"/>
  <c r="W403" i="17" s="1"/>
  <c r="R403" i="17"/>
  <c r="S403" i="17" s="1"/>
  <c r="U402" i="17"/>
  <c r="V402" i="17" s="1"/>
  <c r="W402" i="17" s="1"/>
  <c r="R402" i="17"/>
  <c r="S402" i="17" s="1"/>
  <c r="R401" i="17"/>
  <c r="S401" i="17" s="1"/>
  <c r="U400" i="17"/>
  <c r="V400" i="17" s="1"/>
  <c r="W400" i="17" s="1"/>
  <c r="R400" i="17"/>
  <c r="S400" i="17" s="1"/>
  <c r="U399" i="17"/>
  <c r="V399" i="17" s="1"/>
  <c r="W399" i="17" s="1"/>
  <c r="R399" i="17"/>
  <c r="S399" i="17" s="1"/>
  <c r="U398" i="17"/>
  <c r="V398" i="17" s="1"/>
  <c r="W398" i="17" s="1"/>
  <c r="R398" i="17"/>
  <c r="S398" i="17" s="1"/>
  <c r="U397" i="17"/>
  <c r="V397" i="17" s="1"/>
  <c r="W397" i="17" s="1"/>
  <c r="S397" i="17"/>
  <c r="R397" i="17"/>
  <c r="R396" i="17"/>
  <c r="S396" i="17" s="1"/>
  <c r="U395" i="17"/>
  <c r="V395" i="17" s="1"/>
  <c r="W395" i="17" s="1"/>
  <c r="R395" i="17"/>
  <c r="S395" i="17" s="1"/>
  <c r="U394" i="17"/>
  <c r="V394" i="17" s="1"/>
  <c r="W394" i="17" s="1"/>
  <c r="S394" i="17"/>
  <c r="R394" i="17"/>
  <c r="R393" i="17"/>
  <c r="S393" i="17" s="1"/>
  <c r="U392" i="17"/>
  <c r="V392" i="17" s="1"/>
  <c r="W392" i="17" s="1"/>
  <c r="S392" i="17"/>
  <c r="R392" i="17"/>
  <c r="U391" i="17"/>
  <c r="V391" i="17" s="1"/>
  <c r="W391" i="17" s="1"/>
  <c r="R391" i="17"/>
  <c r="S391" i="17" s="1"/>
  <c r="U390" i="17"/>
  <c r="V390" i="17" s="1"/>
  <c r="W390" i="17" s="1"/>
  <c r="R390" i="17"/>
  <c r="S390" i="17" s="1"/>
  <c r="U389" i="17"/>
  <c r="V389" i="17" s="1"/>
  <c r="W389" i="17" s="1"/>
  <c r="S389" i="17"/>
  <c r="R389" i="17"/>
  <c r="R388" i="17"/>
  <c r="S388" i="17" s="1"/>
  <c r="U387" i="17"/>
  <c r="V387" i="17" s="1"/>
  <c r="W387" i="17" s="1"/>
  <c r="R387" i="17"/>
  <c r="S387" i="17" s="1"/>
  <c r="U386" i="17"/>
  <c r="V386" i="17" s="1"/>
  <c r="W386" i="17" s="1"/>
  <c r="R386" i="17"/>
  <c r="S386" i="17" s="1"/>
  <c r="R385" i="17"/>
  <c r="S385" i="17" s="1"/>
  <c r="U384" i="17"/>
  <c r="V384" i="17" s="1"/>
  <c r="W384" i="17" s="1"/>
  <c r="R384" i="17"/>
  <c r="S384" i="17" s="1"/>
  <c r="U383" i="17"/>
  <c r="V383" i="17" s="1"/>
  <c r="W383" i="17" s="1"/>
  <c r="R383" i="17"/>
  <c r="S383" i="17" s="1"/>
  <c r="U382" i="17"/>
  <c r="V382" i="17" s="1"/>
  <c r="W382" i="17" s="1"/>
  <c r="R382" i="17"/>
  <c r="S382" i="17" s="1"/>
  <c r="U381" i="17"/>
  <c r="V381" i="17" s="1"/>
  <c r="W381" i="17" s="1"/>
  <c r="S381" i="17"/>
  <c r="R381" i="17"/>
  <c r="R380" i="17"/>
  <c r="S380" i="17" s="1"/>
  <c r="U379" i="17"/>
  <c r="V379" i="17" s="1"/>
  <c r="W379" i="17" s="1"/>
  <c r="R379" i="17"/>
  <c r="S379" i="17" s="1"/>
  <c r="U378" i="17"/>
  <c r="V378" i="17" s="1"/>
  <c r="W378" i="17" s="1"/>
  <c r="R378" i="17"/>
  <c r="S378" i="17" s="1"/>
  <c r="R377" i="17"/>
  <c r="S377" i="17" s="1"/>
  <c r="U376" i="17"/>
  <c r="V376" i="17" s="1"/>
  <c r="W376" i="17" s="1"/>
  <c r="S376" i="17"/>
  <c r="R376" i="17"/>
  <c r="U375" i="17"/>
  <c r="V375" i="17" s="1"/>
  <c r="W375" i="17" s="1"/>
  <c r="R375" i="17"/>
  <c r="S375" i="17" s="1"/>
  <c r="U374" i="17"/>
  <c r="V374" i="17" s="1"/>
  <c r="W374" i="17" s="1"/>
  <c r="R374" i="17"/>
  <c r="S374" i="17" s="1"/>
  <c r="U373" i="17"/>
  <c r="V373" i="17" s="1"/>
  <c r="W373" i="17" s="1"/>
  <c r="R373" i="17"/>
  <c r="S373" i="17" s="1"/>
  <c r="R372" i="17"/>
  <c r="S372" i="17" s="1"/>
  <c r="U371" i="17"/>
  <c r="V371" i="17" s="1"/>
  <c r="W371" i="17" s="1"/>
  <c r="R371" i="17"/>
  <c r="S371" i="17" s="1"/>
  <c r="U370" i="17"/>
  <c r="V370" i="17" s="1"/>
  <c r="W370" i="17" s="1"/>
  <c r="S370" i="17"/>
  <c r="R370" i="17"/>
  <c r="R369" i="17"/>
  <c r="S369" i="17" s="1"/>
  <c r="U368" i="17"/>
  <c r="V368" i="17" s="1"/>
  <c r="W368" i="17" s="1"/>
  <c r="S368" i="17"/>
  <c r="R368" i="17"/>
  <c r="U367" i="17"/>
  <c r="V367" i="17" s="1"/>
  <c r="W367" i="17" s="1"/>
  <c r="R367" i="17"/>
  <c r="S367" i="17" s="1"/>
  <c r="U366" i="17"/>
  <c r="V366" i="17" s="1"/>
  <c r="W366" i="17" s="1"/>
  <c r="R366" i="17"/>
  <c r="S366" i="17" s="1"/>
  <c r="U365" i="17"/>
  <c r="V365" i="17" s="1"/>
  <c r="W365" i="17" s="1"/>
  <c r="S365" i="17"/>
  <c r="R365" i="17"/>
  <c r="R364" i="17"/>
  <c r="S364" i="17" s="1"/>
  <c r="U363" i="17"/>
  <c r="V363" i="17" s="1"/>
  <c r="W363" i="17" s="1"/>
  <c r="S363" i="17"/>
  <c r="R363" i="17"/>
  <c r="U362" i="17"/>
  <c r="V362" i="17" s="1"/>
  <c r="W362" i="17" s="1"/>
  <c r="R362" i="17"/>
  <c r="S362" i="17" s="1"/>
  <c r="R361" i="17"/>
  <c r="S361" i="17" s="1"/>
  <c r="U360" i="17"/>
  <c r="V360" i="17" s="1"/>
  <c r="W360" i="17" s="1"/>
  <c r="R360" i="17"/>
  <c r="S360" i="17" s="1"/>
  <c r="U359" i="17"/>
  <c r="V359" i="17" s="1"/>
  <c r="W359" i="17" s="1"/>
  <c r="R359" i="17"/>
  <c r="S359" i="17" s="1"/>
  <c r="U358" i="17"/>
  <c r="V358" i="17" s="1"/>
  <c r="W358" i="17" s="1"/>
  <c r="R358" i="17"/>
  <c r="S358" i="17" s="1"/>
  <c r="U357" i="17"/>
  <c r="V357" i="17" s="1"/>
  <c r="W357" i="17" s="1"/>
  <c r="R357" i="17"/>
  <c r="S357" i="17" s="1"/>
  <c r="R356" i="17"/>
  <c r="S356" i="17" s="1"/>
  <c r="U355" i="17"/>
  <c r="V355" i="17" s="1"/>
  <c r="W355" i="17" s="1"/>
  <c r="R355" i="17"/>
  <c r="S355" i="17" s="1"/>
  <c r="U354" i="17"/>
  <c r="V354" i="17" s="1"/>
  <c r="W354" i="17" s="1"/>
  <c r="S354" i="17"/>
  <c r="R354" i="17"/>
  <c r="R353" i="17"/>
  <c r="S353" i="17" s="1"/>
  <c r="U352" i="17"/>
  <c r="V352" i="17" s="1"/>
  <c r="W352" i="17" s="1"/>
  <c r="S352" i="17"/>
  <c r="R352" i="17"/>
  <c r="U351" i="17"/>
  <c r="V351" i="17" s="1"/>
  <c r="W351" i="17" s="1"/>
  <c r="R351" i="17"/>
  <c r="S351" i="17" s="1"/>
  <c r="U350" i="17"/>
  <c r="V350" i="17" s="1"/>
  <c r="W350" i="17" s="1"/>
  <c r="R350" i="17"/>
  <c r="S350" i="17" s="1"/>
  <c r="U349" i="17"/>
  <c r="V349" i="17" s="1"/>
  <c r="W349" i="17" s="1"/>
  <c r="R349" i="17"/>
  <c r="S349" i="17" s="1"/>
  <c r="R348" i="17"/>
  <c r="S348" i="17" s="1"/>
  <c r="U347" i="17"/>
  <c r="V347" i="17" s="1"/>
  <c r="W347" i="17" s="1"/>
  <c r="S347" i="17"/>
  <c r="R347" i="17"/>
  <c r="U346" i="17"/>
  <c r="V346" i="17" s="1"/>
  <c r="W346" i="17" s="1"/>
  <c r="S346" i="17"/>
  <c r="R346" i="17"/>
  <c r="U345" i="17"/>
  <c r="V345" i="17" s="1"/>
  <c r="W345" i="17" s="1"/>
  <c r="R345" i="17"/>
  <c r="S345" i="17" s="1"/>
  <c r="U344" i="17"/>
  <c r="V344" i="17" s="1"/>
  <c r="W344" i="17" s="1"/>
  <c r="S344" i="17"/>
  <c r="R344" i="17"/>
  <c r="U343" i="17"/>
  <c r="V343" i="17" s="1"/>
  <c r="W343" i="17" s="1"/>
  <c r="R343" i="17"/>
  <c r="S343" i="17" s="1"/>
  <c r="U342" i="17"/>
  <c r="V342" i="17" s="1"/>
  <c r="W342" i="17" s="1"/>
  <c r="R342" i="17"/>
  <c r="S342" i="17" s="1"/>
  <c r="U341" i="17"/>
  <c r="V341" i="17" s="1"/>
  <c r="W341" i="17" s="1"/>
  <c r="R341" i="17"/>
  <c r="S341" i="17" s="1"/>
  <c r="U340" i="17"/>
  <c r="V340" i="17" s="1"/>
  <c r="W340" i="17" s="1"/>
  <c r="R340" i="17"/>
  <c r="S340" i="17" s="1"/>
  <c r="U339" i="17"/>
  <c r="V339" i="17" s="1"/>
  <c r="W339" i="17" s="1"/>
  <c r="S339" i="17"/>
  <c r="R339" i="17"/>
  <c r="U338" i="17"/>
  <c r="V338" i="17" s="1"/>
  <c r="W338" i="17" s="1"/>
  <c r="S338" i="17"/>
  <c r="R338" i="17"/>
  <c r="U337" i="17"/>
  <c r="V337" i="17" s="1"/>
  <c r="W337" i="17" s="1"/>
  <c r="R337" i="17"/>
  <c r="S337" i="17" s="1"/>
  <c r="U336" i="17"/>
  <c r="V336" i="17" s="1"/>
  <c r="W336" i="17" s="1"/>
  <c r="R336" i="17"/>
  <c r="S336" i="17" s="1"/>
  <c r="U335" i="17"/>
  <c r="V335" i="17" s="1"/>
  <c r="W335" i="17" s="1"/>
  <c r="R335" i="17"/>
  <c r="S335" i="17" s="1"/>
  <c r="U334" i="17"/>
  <c r="V334" i="17" s="1"/>
  <c r="W334" i="17" s="1"/>
  <c r="R334" i="17"/>
  <c r="S334" i="17" s="1"/>
  <c r="U333" i="17"/>
  <c r="V333" i="17" s="1"/>
  <c r="W333" i="17" s="1"/>
  <c r="S333" i="17"/>
  <c r="R333" i="17"/>
  <c r="R332" i="17"/>
  <c r="S332" i="17" s="1"/>
  <c r="U331" i="17"/>
  <c r="V331" i="17" s="1"/>
  <c r="W331" i="17" s="1"/>
  <c r="R331" i="17"/>
  <c r="S331" i="17" s="1"/>
  <c r="U330" i="17"/>
  <c r="V330" i="17" s="1"/>
  <c r="W330" i="17" s="1"/>
  <c r="R330" i="17"/>
  <c r="S330" i="17" s="1"/>
  <c r="R329" i="17"/>
  <c r="S329" i="17" s="1"/>
  <c r="U328" i="17"/>
  <c r="V328" i="17" s="1"/>
  <c r="W328" i="17" s="1"/>
  <c r="R328" i="17"/>
  <c r="S328" i="17" s="1"/>
  <c r="U327" i="17"/>
  <c r="V327" i="17" s="1"/>
  <c r="W327" i="17" s="1"/>
  <c r="R327" i="17"/>
  <c r="S327" i="17" s="1"/>
  <c r="U326" i="17"/>
  <c r="V326" i="17" s="1"/>
  <c r="W326" i="17" s="1"/>
  <c r="R326" i="17"/>
  <c r="S326" i="17" s="1"/>
  <c r="U325" i="17"/>
  <c r="V325" i="17" s="1"/>
  <c r="W325" i="17" s="1"/>
  <c r="S325" i="17"/>
  <c r="R325" i="17"/>
  <c r="R324" i="17"/>
  <c r="S324" i="17" s="1"/>
  <c r="U323" i="17"/>
  <c r="V323" i="17" s="1"/>
  <c r="W323" i="17" s="1"/>
  <c r="R323" i="17"/>
  <c r="S323" i="17" s="1"/>
  <c r="U322" i="17"/>
  <c r="V322" i="17" s="1"/>
  <c r="W322" i="17" s="1"/>
  <c r="R322" i="17"/>
  <c r="S322" i="17" s="1"/>
  <c r="R321" i="17"/>
  <c r="S321" i="17" s="1"/>
  <c r="U320" i="17"/>
  <c r="V320" i="17" s="1"/>
  <c r="W320" i="17" s="1"/>
  <c r="S320" i="17"/>
  <c r="R320" i="17"/>
  <c r="U319" i="17"/>
  <c r="V319" i="17" s="1"/>
  <c r="W319" i="17" s="1"/>
  <c r="R319" i="17"/>
  <c r="S319" i="17" s="1"/>
  <c r="U318" i="17"/>
  <c r="V318" i="17" s="1"/>
  <c r="W318" i="17" s="1"/>
  <c r="R318" i="17"/>
  <c r="S318" i="17" s="1"/>
  <c r="U317" i="17"/>
  <c r="V317" i="17" s="1"/>
  <c r="W317" i="17" s="1"/>
  <c r="R317" i="17"/>
  <c r="S317" i="17" s="1"/>
  <c r="U316" i="17"/>
  <c r="V316" i="17" s="1"/>
  <c r="W316" i="17" s="1"/>
  <c r="R316" i="17"/>
  <c r="S316" i="17" s="1"/>
  <c r="U315" i="17"/>
  <c r="V315" i="17" s="1"/>
  <c r="W315" i="17" s="1"/>
  <c r="S315" i="17"/>
  <c r="R315" i="17"/>
  <c r="U314" i="17"/>
  <c r="V314" i="17" s="1"/>
  <c r="W314" i="17" s="1"/>
  <c r="S314" i="17"/>
  <c r="R314" i="17"/>
  <c r="U313" i="17"/>
  <c r="V313" i="17" s="1"/>
  <c r="W313" i="17" s="1"/>
  <c r="R313" i="17"/>
  <c r="S313" i="17" s="1"/>
  <c r="U312" i="17"/>
  <c r="V312" i="17" s="1"/>
  <c r="W312" i="17" s="1"/>
  <c r="S312" i="17"/>
  <c r="R312" i="17"/>
  <c r="U311" i="17"/>
  <c r="V311" i="17" s="1"/>
  <c r="W311" i="17" s="1"/>
  <c r="R311" i="17"/>
  <c r="S311" i="17" s="1"/>
  <c r="U310" i="17"/>
  <c r="V310" i="17" s="1"/>
  <c r="W310" i="17" s="1"/>
  <c r="R310" i="17"/>
  <c r="S310" i="17" s="1"/>
  <c r="U309" i="17"/>
  <c r="V309" i="17" s="1"/>
  <c r="W309" i="17" s="1"/>
  <c r="R309" i="17"/>
  <c r="S309" i="17" s="1"/>
  <c r="U308" i="17"/>
  <c r="V308" i="17" s="1"/>
  <c r="W308" i="17" s="1"/>
  <c r="R308" i="17"/>
  <c r="S308" i="17" s="1"/>
  <c r="U307" i="17"/>
  <c r="V307" i="17" s="1"/>
  <c r="W307" i="17" s="1"/>
  <c r="S307" i="17"/>
  <c r="R307" i="17"/>
  <c r="U306" i="17"/>
  <c r="V306" i="17" s="1"/>
  <c r="W306" i="17" s="1"/>
  <c r="S306" i="17"/>
  <c r="R306" i="17"/>
  <c r="U305" i="17"/>
  <c r="V305" i="17" s="1"/>
  <c r="W305" i="17" s="1"/>
  <c r="R305" i="17"/>
  <c r="S305" i="17" s="1"/>
  <c r="U304" i="17"/>
  <c r="V304" i="17" s="1"/>
  <c r="W304" i="17" s="1"/>
  <c r="R304" i="17"/>
  <c r="S304" i="17" s="1"/>
  <c r="U303" i="17"/>
  <c r="V303" i="17" s="1"/>
  <c r="W303" i="17" s="1"/>
  <c r="R303" i="17"/>
  <c r="S303" i="17" s="1"/>
  <c r="U302" i="17"/>
  <c r="V302" i="17" s="1"/>
  <c r="W302" i="17" s="1"/>
  <c r="R302" i="17"/>
  <c r="S302" i="17" s="1"/>
  <c r="U301" i="17"/>
  <c r="V301" i="17" s="1"/>
  <c r="W301" i="17" s="1"/>
  <c r="S301" i="17"/>
  <c r="R301" i="17"/>
  <c r="R300" i="17"/>
  <c r="S300" i="17" s="1"/>
  <c r="U299" i="17"/>
  <c r="V299" i="17" s="1"/>
  <c r="W299" i="17" s="1"/>
  <c r="R299" i="17"/>
  <c r="S299" i="17" s="1"/>
  <c r="U298" i="17"/>
  <c r="V298" i="17" s="1"/>
  <c r="W298" i="17" s="1"/>
  <c r="R298" i="17"/>
  <c r="S298" i="17" s="1"/>
  <c r="R297" i="17"/>
  <c r="S297" i="17" s="1"/>
  <c r="U296" i="17"/>
  <c r="V296" i="17" s="1"/>
  <c r="W296" i="17" s="1"/>
  <c r="R296" i="17"/>
  <c r="S296" i="17" s="1"/>
  <c r="U295" i="17"/>
  <c r="V295" i="17" s="1"/>
  <c r="W295" i="17" s="1"/>
  <c r="R295" i="17"/>
  <c r="S295" i="17" s="1"/>
  <c r="U294" i="17"/>
  <c r="V294" i="17" s="1"/>
  <c r="W294" i="17" s="1"/>
  <c r="R294" i="17"/>
  <c r="S294" i="17" s="1"/>
  <c r="U293" i="17"/>
  <c r="V293" i="17" s="1"/>
  <c r="W293" i="17" s="1"/>
  <c r="S293" i="17"/>
  <c r="R293" i="17"/>
  <c r="R292" i="17"/>
  <c r="S292" i="17" s="1"/>
  <c r="U291" i="17"/>
  <c r="V291" i="17" s="1"/>
  <c r="W291" i="17" s="1"/>
  <c r="R291" i="17"/>
  <c r="S291" i="17" s="1"/>
  <c r="U290" i="17"/>
  <c r="V290" i="17" s="1"/>
  <c r="W290" i="17" s="1"/>
  <c r="R290" i="17"/>
  <c r="S290" i="17" s="1"/>
  <c r="R289" i="17"/>
  <c r="S289" i="17" s="1"/>
  <c r="U288" i="17"/>
  <c r="V288" i="17" s="1"/>
  <c r="W288" i="17" s="1"/>
  <c r="S288" i="17"/>
  <c r="R288" i="17"/>
  <c r="U287" i="17"/>
  <c r="V287" i="17" s="1"/>
  <c r="W287" i="17" s="1"/>
  <c r="R287" i="17"/>
  <c r="S287" i="17" s="1"/>
  <c r="U286" i="17"/>
  <c r="V286" i="17" s="1"/>
  <c r="W286" i="17" s="1"/>
  <c r="R286" i="17"/>
  <c r="S286" i="17" s="1"/>
  <c r="U285" i="17"/>
  <c r="V285" i="17" s="1"/>
  <c r="W285" i="17" s="1"/>
  <c r="R285" i="17"/>
  <c r="S285" i="17" s="1"/>
  <c r="U284" i="17"/>
  <c r="V284" i="17" s="1"/>
  <c r="W284" i="17" s="1"/>
  <c r="R284" i="17"/>
  <c r="S284" i="17" s="1"/>
  <c r="U283" i="17"/>
  <c r="V283" i="17" s="1"/>
  <c r="W283" i="17" s="1"/>
  <c r="S283" i="17"/>
  <c r="R283" i="17"/>
  <c r="U282" i="17"/>
  <c r="V282" i="17" s="1"/>
  <c r="W282" i="17" s="1"/>
  <c r="S282" i="17"/>
  <c r="R282" i="17"/>
  <c r="U281" i="17"/>
  <c r="V281" i="17" s="1"/>
  <c r="W281" i="17" s="1"/>
  <c r="R281" i="17"/>
  <c r="S281" i="17" s="1"/>
  <c r="U280" i="17"/>
  <c r="V280" i="17" s="1"/>
  <c r="W280" i="17" s="1"/>
  <c r="S280" i="17"/>
  <c r="R280" i="17"/>
  <c r="U279" i="17"/>
  <c r="V279" i="17" s="1"/>
  <c r="W279" i="17" s="1"/>
  <c r="R279" i="17"/>
  <c r="S279" i="17" s="1"/>
  <c r="U278" i="17"/>
  <c r="V278" i="17" s="1"/>
  <c r="W278" i="17" s="1"/>
  <c r="R278" i="17"/>
  <c r="S278" i="17" s="1"/>
  <c r="U277" i="17"/>
  <c r="V277" i="17" s="1"/>
  <c r="W277" i="17" s="1"/>
  <c r="R277" i="17"/>
  <c r="S277" i="17" s="1"/>
  <c r="U276" i="17"/>
  <c r="V276" i="17" s="1"/>
  <c r="W276" i="17" s="1"/>
  <c r="R276" i="17"/>
  <c r="S276" i="17" s="1"/>
  <c r="U275" i="17"/>
  <c r="V275" i="17" s="1"/>
  <c r="W275" i="17" s="1"/>
  <c r="S275" i="17"/>
  <c r="R275" i="17"/>
  <c r="U274" i="17"/>
  <c r="V274" i="17" s="1"/>
  <c r="W274" i="17" s="1"/>
  <c r="S274" i="17"/>
  <c r="R274" i="17"/>
  <c r="U273" i="17"/>
  <c r="V273" i="17" s="1"/>
  <c r="W273" i="17" s="1"/>
  <c r="R273" i="17"/>
  <c r="S273" i="17" s="1"/>
  <c r="U272" i="17"/>
  <c r="V272" i="17" s="1"/>
  <c r="W272" i="17" s="1"/>
  <c r="R272" i="17"/>
  <c r="S272" i="17" s="1"/>
  <c r="U271" i="17"/>
  <c r="V271" i="17" s="1"/>
  <c r="W271" i="17" s="1"/>
  <c r="R271" i="17"/>
  <c r="S271" i="17" s="1"/>
  <c r="U270" i="17"/>
  <c r="V270" i="17" s="1"/>
  <c r="W270" i="17" s="1"/>
  <c r="R270" i="17"/>
  <c r="S270" i="17" s="1"/>
  <c r="U269" i="17"/>
  <c r="V269" i="17" s="1"/>
  <c r="W269" i="17" s="1"/>
  <c r="S269" i="17"/>
  <c r="R269" i="17"/>
  <c r="R268" i="17"/>
  <c r="S268" i="17" s="1"/>
  <c r="U267" i="17"/>
  <c r="V267" i="17" s="1"/>
  <c r="W267" i="17" s="1"/>
  <c r="R267" i="17"/>
  <c r="S267" i="17" s="1"/>
  <c r="U266" i="17"/>
  <c r="V266" i="17" s="1"/>
  <c r="W266" i="17" s="1"/>
  <c r="R266" i="17"/>
  <c r="S266" i="17" s="1"/>
  <c r="R265" i="17"/>
  <c r="S265" i="17" s="1"/>
  <c r="U264" i="17"/>
  <c r="V264" i="17" s="1"/>
  <c r="W264" i="17" s="1"/>
  <c r="R264" i="17"/>
  <c r="S264" i="17" s="1"/>
  <c r="U263" i="17"/>
  <c r="V263" i="17" s="1"/>
  <c r="W263" i="17" s="1"/>
  <c r="R263" i="17"/>
  <c r="S263" i="17" s="1"/>
  <c r="U262" i="17"/>
  <c r="V262" i="17" s="1"/>
  <c r="W262" i="17" s="1"/>
  <c r="R262" i="17"/>
  <c r="S262" i="17" s="1"/>
  <c r="U261" i="17"/>
  <c r="V261" i="17" s="1"/>
  <c r="W261" i="17" s="1"/>
  <c r="S261" i="17"/>
  <c r="R261" i="17"/>
  <c r="R260" i="17"/>
  <c r="S260" i="17" s="1"/>
  <c r="U259" i="17"/>
  <c r="V259" i="17" s="1"/>
  <c r="W259" i="17" s="1"/>
  <c r="R259" i="17"/>
  <c r="S259" i="17" s="1"/>
  <c r="U258" i="17"/>
  <c r="V258" i="17" s="1"/>
  <c r="W258" i="17" s="1"/>
  <c r="R258" i="17"/>
  <c r="S258" i="17" s="1"/>
  <c r="R257" i="17"/>
  <c r="S257" i="17" s="1"/>
  <c r="U256" i="17"/>
  <c r="V256" i="17" s="1"/>
  <c r="W256" i="17" s="1"/>
  <c r="S256" i="17"/>
  <c r="R256" i="17"/>
  <c r="U255" i="17"/>
  <c r="V255" i="17" s="1"/>
  <c r="W255" i="17" s="1"/>
  <c r="R255" i="17"/>
  <c r="S255" i="17" s="1"/>
  <c r="U254" i="17"/>
  <c r="V254" i="17" s="1"/>
  <c r="W254" i="17" s="1"/>
  <c r="R254" i="17"/>
  <c r="S254" i="17" s="1"/>
  <c r="U253" i="17"/>
  <c r="V253" i="17" s="1"/>
  <c r="W253" i="17" s="1"/>
  <c r="R253" i="17"/>
  <c r="S253" i="17" s="1"/>
  <c r="U252" i="17"/>
  <c r="V252" i="17" s="1"/>
  <c r="W252" i="17" s="1"/>
  <c r="R252" i="17"/>
  <c r="S252" i="17" s="1"/>
  <c r="U251" i="17"/>
  <c r="V251" i="17" s="1"/>
  <c r="W251" i="17" s="1"/>
  <c r="S251" i="17"/>
  <c r="R251" i="17"/>
  <c r="U250" i="17"/>
  <c r="V250" i="17" s="1"/>
  <c r="W250" i="17" s="1"/>
  <c r="S250" i="17"/>
  <c r="R250" i="17"/>
  <c r="U249" i="17"/>
  <c r="V249" i="17" s="1"/>
  <c r="W249" i="17" s="1"/>
  <c r="R249" i="17"/>
  <c r="S249" i="17" s="1"/>
  <c r="U248" i="17"/>
  <c r="V248" i="17" s="1"/>
  <c r="W248" i="17" s="1"/>
  <c r="S248" i="17"/>
  <c r="R248" i="17"/>
  <c r="U247" i="17"/>
  <c r="V247" i="17" s="1"/>
  <c r="W247" i="17" s="1"/>
  <c r="R247" i="17"/>
  <c r="S247" i="17" s="1"/>
  <c r="U246" i="17"/>
  <c r="V246" i="17" s="1"/>
  <c r="W246" i="17" s="1"/>
  <c r="R246" i="17"/>
  <c r="S246" i="17" s="1"/>
  <c r="U245" i="17"/>
  <c r="V245" i="17" s="1"/>
  <c r="W245" i="17" s="1"/>
  <c r="R245" i="17"/>
  <c r="S245" i="17" s="1"/>
  <c r="U244" i="17"/>
  <c r="V244" i="17" s="1"/>
  <c r="W244" i="17" s="1"/>
  <c r="R244" i="17"/>
  <c r="S244" i="17" s="1"/>
  <c r="U243" i="17"/>
  <c r="V243" i="17" s="1"/>
  <c r="W243" i="17" s="1"/>
  <c r="S243" i="17"/>
  <c r="R243" i="17"/>
  <c r="U242" i="17"/>
  <c r="V242" i="17" s="1"/>
  <c r="W242" i="17" s="1"/>
  <c r="S242" i="17"/>
  <c r="R242" i="17"/>
  <c r="U241" i="17"/>
  <c r="V241" i="17" s="1"/>
  <c r="W241" i="17" s="1"/>
  <c r="R241" i="17"/>
  <c r="S241" i="17" s="1"/>
  <c r="U240" i="17"/>
  <c r="V240" i="17" s="1"/>
  <c r="W240" i="17" s="1"/>
  <c r="R240" i="17"/>
  <c r="S240" i="17" s="1"/>
  <c r="U239" i="17"/>
  <c r="V239" i="17" s="1"/>
  <c r="W239" i="17" s="1"/>
  <c r="R239" i="17"/>
  <c r="S239" i="17" s="1"/>
  <c r="U238" i="17"/>
  <c r="V238" i="17" s="1"/>
  <c r="W238" i="17" s="1"/>
  <c r="R238" i="17"/>
  <c r="S238" i="17" s="1"/>
  <c r="U237" i="17"/>
  <c r="V237" i="17" s="1"/>
  <c r="W237" i="17" s="1"/>
  <c r="S237" i="17"/>
  <c r="R237" i="17"/>
  <c r="R236" i="17"/>
  <c r="S236" i="17" s="1"/>
  <c r="U235" i="17"/>
  <c r="V235" i="17" s="1"/>
  <c r="W235" i="17" s="1"/>
  <c r="R235" i="17"/>
  <c r="S235" i="17" s="1"/>
  <c r="U234" i="17"/>
  <c r="V234" i="17" s="1"/>
  <c r="W234" i="17" s="1"/>
  <c r="R234" i="17"/>
  <c r="S234" i="17" s="1"/>
  <c r="R233" i="17"/>
  <c r="S233" i="17" s="1"/>
  <c r="U232" i="17"/>
  <c r="V232" i="17" s="1"/>
  <c r="W232" i="17" s="1"/>
  <c r="R232" i="17"/>
  <c r="S232" i="17" s="1"/>
  <c r="U231" i="17"/>
  <c r="V231" i="17" s="1"/>
  <c r="W231" i="17" s="1"/>
  <c r="R231" i="17"/>
  <c r="S231" i="17" s="1"/>
  <c r="U230" i="17"/>
  <c r="V230" i="17" s="1"/>
  <c r="W230" i="17" s="1"/>
  <c r="R230" i="17"/>
  <c r="S230" i="17" s="1"/>
  <c r="U229" i="17"/>
  <c r="V229" i="17" s="1"/>
  <c r="W229" i="17" s="1"/>
  <c r="S229" i="17"/>
  <c r="R229" i="17"/>
  <c r="R228" i="17"/>
  <c r="S228" i="17" s="1"/>
  <c r="U227" i="17"/>
  <c r="V227" i="17" s="1"/>
  <c r="W227" i="17" s="1"/>
  <c r="R227" i="17"/>
  <c r="S227" i="17" s="1"/>
  <c r="U226" i="17"/>
  <c r="V226" i="17" s="1"/>
  <c r="W226" i="17" s="1"/>
  <c r="R226" i="17"/>
  <c r="S226" i="17" s="1"/>
  <c r="R225" i="17"/>
  <c r="S225" i="17" s="1"/>
  <c r="U224" i="17"/>
  <c r="V224" i="17" s="1"/>
  <c r="W224" i="17" s="1"/>
  <c r="S224" i="17"/>
  <c r="R224" i="17"/>
  <c r="U223" i="17"/>
  <c r="V223" i="17" s="1"/>
  <c r="W223" i="17" s="1"/>
  <c r="R223" i="17"/>
  <c r="S223" i="17" s="1"/>
  <c r="U222" i="17"/>
  <c r="V222" i="17" s="1"/>
  <c r="W222" i="17" s="1"/>
  <c r="R222" i="17"/>
  <c r="S222" i="17" s="1"/>
  <c r="U221" i="17"/>
  <c r="V221" i="17" s="1"/>
  <c r="W221" i="17" s="1"/>
  <c r="R221" i="17"/>
  <c r="S221" i="17" s="1"/>
  <c r="U220" i="17"/>
  <c r="V220" i="17" s="1"/>
  <c r="W220" i="17" s="1"/>
  <c r="R220" i="17"/>
  <c r="S220" i="17" s="1"/>
  <c r="U219" i="17"/>
  <c r="V219" i="17" s="1"/>
  <c r="W219" i="17" s="1"/>
  <c r="S219" i="17"/>
  <c r="R219" i="17"/>
  <c r="U218" i="17"/>
  <c r="V218" i="17" s="1"/>
  <c r="W218" i="17" s="1"/>
  <c r="S218" i="17"/>
  <c r="R218" i="17"/>
  <c r="U217" i="17"/>
  <c r="V217" i="17" s="1"/>
  <c r="W217" i="17" s="1"/>
  <c r="R217" i="17"/>
  <c r="S217" i="17" s="1"/>
  <c r="U216" i="17"/>
  <c r="V216" i="17" s="1"/>
  <c r="W216" i="17" s="1"/>
  <c r="S216" i="17"/>
  <c r="R216" i="17"/>
  <c r="U215" i="17"/>
  <c r="V215" i="17" s="1"/>
  <c r="W215" i="17" s="1"/>
  <c r="R215" i="17"/>
  <c r="S215" i="17" s="1"/>
  <c r="U214" i="17"/>
  <c r="V214" i="17" s="1"/>
  <c r="W214" i="17" s="1"/>
  <c r="R214" i="17"/>
  <c r="S214" i="17" s="1"/>
  <c r="U213" i="17"/>
  <c r="V213" i="17" s="1"/>
  <c r="W213" i="17" s="1"/>
  <c r="R213" i="17"/>
  <c r="S213" i="17" s="1"/>
  <c r="U212" i="17"/>
  <c r="V212" i="17" s="1"/>
  <c r="W212" i="17" s="1"/>
  <c r="R212" i="17"/>
  <c r="S212" i="17" s="1"/>
  <c r="U211" i="17"/>
  <c r="V211" i="17" s="1"/>
  <c r="W211" i="17" s="1"/>
  <c r="S211" i="17"/>
  <c r="R211" i="17"/>
  <c r="U210" i="17"/>
  <c r="V210" i="17" s="1"/>
  <c r="W210" i="17" s="1"/>
  <c r="S210" i="17"/>
  <c r="R210" i="17"/>
  <c r="U209" i="17"/>
  <c r="V209" i="17" s="1"/>
  <c r="W209" i="17" s="1"/>
  <c r="R209" i="17"/>
  <c r="S209" i="17" s="1"/>
  <c r="U208" i="17"/>
  <c r="V208" i="17" s="1"/>
  <c r="W208" i="17" s="1"/>
  <c r="R208" i="17"/>
  <c r="S208" i="17" s="1"/>
  <c r="U207" i="17"/>
  <c r="V207" i="17" s="1"/>
  <c r="W207" i="17" s="1"/>
  <c r="R207" i="17"/>
  <c r="S207" i="17" s="1"/>
  <c r="U206" i="17"/>
  <c r="V206" i="17" s="1"/>
  <c r="W206" i="17" s="1"/>
  <c r="R206" i="17"/>
  <c r="S206" i="17" s="1"/>
  <c r="U205" i="17"/>
  <c r="V205" i="17" s="1"/>
  <c r="W205" i="17" s="1"/>
  <c r="S205" i="17"/>
  <c r="R205" i="17"/>
  <c r="R204" i="17"/>
  <c r="S204" i="17" s="1"/>
  <c r="U203" i="17"/>
  <c r="V203" i="17" s="1"/>
  <c r="W203" i="17" s="1"/>
  <c r="R203" i="17"/>
  <c r="S203" i="17" s="1"/>
  <c r="U202" i="17"/>
  <c r="V202" i="17" s="1"/>
  <c r="W202" i="17" s="1"/>
  <c r="R202" i="17"/>
  <c r="S202" i="17" s="1"/>
  <c r="R201" i="17"/>
  <c r="S201" i="17" s="1"/>
  <c r="U200" i="17"/>
  <c r="V200" i="17" s="1"/>
  <c r="W200" i="17" s="1"/>
  <c r="R200" i="17"/>
  <c r="S200" i="17" s="1"/>
  <c r="U199" i="17"/>
  <c r="V199" i="17" s="1"/>
  <c r="W199" i="17" s="1"/>
  <c r="R199" i="17"/>
  <c r="S199" i="17" s="1"/>
  <c r="U198" i="17"/>
  <c r="V198" i="17" s="1"/>
  <c r="W198" i="17" s="1"/>
  <c r="R198" i="17"/>
  <c r="S198" i="17" s="1"/>
  <c r="U197" i="17"/>
  <c r="V197" i="17" s="1"/>
  <c r="W197" i="17" s="1"/>
  <c r="S197" i="17"/>
  <c r="R197" i="17"/>
  <c r="R196" i="17"/>
  <c r="S196" i="17" s="1"/>
  <c r="U195" i="17"/>
  <c r="V195" i="17" s="1"/>
  <c r="W195" i="17" s="1"/>
  <c r="R195" i="17"/>
  <c r="S195" i="17" s="1"/>
  <c r="U194" i="17"/>
  <c r="V194" i="17" s="1"/>
  <c r="W194" i="17" s="1"/>
  <c r="R194" i="17"/>
  <c r="S194" i="17" s="1"/>
  <c r="R193" i="17"/>
  <c r="S193" i="17" s="1"/>
  <c r="U192" i="17"/>
  <c r="V192" i="17" s="1"/>
  <c r="W192" i="17" s="1"/>
  <c r="S192" i="17"/>
  <c r="R192" i="17"/>
  <c r="U191" i="17"/>
  <c r="V191" i="17" s="1"/>
  <c r="W191" i="17" s="1"/>
  <c r="R191" i="17"/>
  <c r="S191" i="17" s="1"/>
  <c r="U190" i="17"/>
  <c r="V190" i="17" s="1"/>
  <c r="W190" i="17" s="1"/>
  <c r="R190" i="17"/>
  <c r="S190" i="17" s="1"/>
  <c r="U189" i="17"/>
  <c r="V189" i="17" s="1"/>
  <c r="W189" i="17" s="1"/>
  <c r="R189" i="17"/>
  <c r="S189" i="17" s="1"/>
  <c r="U188" i="17"/>
  <c r="V188" i="17" s="1"/>
  <c r="W188" i="17" s="1"/>
  <c r="R188" i="17"/>
  <c r="S188" i="17" s="1"/>
  <c r="U187" i="17"/>
  <c r="V187" i="17" s="1"/>
  <c r="W187" i="17" s="1"/>
  <c r="S187" i="17"/>
  <c r="R187" i="17"/>
  <c r="U186" i="17"/>
  <c r="V186" i="17" s="1"/>
  <c r="W186" i="17" s="1"/>
  <c r="S186" i="17"/>
  <c r="R186" i="17"/>
  <c r="U185" i="17"/>
  <c r="V185" i="17" s="1"/>
  <c r="W185" i="17" s="1"/>
  <c r="R185" i="17"/>
  <c r="S185" i="17" s="1"/>
  <c r="U184" i="17"/>
  <c r="V184" i="17" s="1"/>
  <c r="W184" i="17" s="1"/>
  <c r="S184" i="17"/>
  <c r="R184" i="17"/>
  <c r="U183" i="17"/>
  <c r="V183" i="17" s="1"/>
  <c r="W183" i="17" s="1"/>
  <c r="R183" i="17"/>
  <c r="S183" i="17" s="1"/>
  <c r="U182" i="17"/>
  <c r="V182" i="17" s="1"/>
  <c r="W182" i="17" s="1"/>
  <c r="R182" i="17"/>
  <c r="S182" i="17" s="1"/>
  <c r="U181" i="17"/>
  <c r="V181" i="17" s="1"/>
  <c r="W181" i="17" s="1"/>
  <c r="R181" i="17"/>
  <c r="S181" i="17" s="1"/>
  <c r="U180" i="17"/>
  <c r="V180" i="17" s="1"/>
  <c r="W180" i="17" s="1"/>
  <c r="R180" i="17"/>
  <c r="S180" i="17" s="1"/>
  <c r="U179" i="17"/>
  <c r="V179" i="17" s="1"/>
  <c r="W179" i="17" s="1"/>
  <c r="S179" i="17"/>
  <c r="R179" i="17"/>
  <c r="U178" i="17"/>
  <c r="V178" i="17" s="1"/>
  <c r="W178" i="17" s="1"/>
  <c r="S178" i="17"/>
  <c r="R178" i="17"/>
  <c r="U177" i="17"/>
  <c r="V177" i="17" s="1"/>
  <c r="W177" i="17" s="1"/>
  <c r="R177" i="17"/>
  <c r="S177" i="17" s="1"/>
  <c r="U176" i="17"/>
  <c r="V176" i="17" s="1"/>
  <c r="W176" i="17" s="1"/>
  <c r="R176" i="17"/>
  <c r="S176" i="17" s="1"/>
  <c r="U175" i="17"/>
  <c r="V175" i="17" s="1"/>
  <c r="W175" i="17" s="1"/>
  <c r="R175" i="17"/>
  <c r="S175" i="17" s="1"/>
  <c r="U174" i="17"/>
  <c r="V174" i="17" s="1"/>
  <c r="W174" i="17" s="1"/>
  <c r="R174" i="17"/>
  <c r="S174" i="17" s="1"/>
  <c r="U173" i="17"/>
  <c r="V173" i="17" s="1"/>
  <c r="W173" i="17" s="1"/>
  <c r="S173" i="17"/>
  <c r="R173" i="17"/>
  <c r="R172" i="17"/>
  <c r="S172" i="17" s="1"/>
  <c r="U171" i="17"/>
  <c r="V171" i="17" s="1"/>
  <c r="W171" i="17" s="1"/>
  <c r="R171" i="17"/>
  <c r="S171" i="17" s="1"/>
  <c r="U170" i="17"/>
  <c r="V170" i="17" s="1"/>
  <c r="W170" i="17" s="1"/>
  <c r="R170" i="17"/>
  <c r="S170" i="17" s="1"/>
  <c r="R169" i="17"/>
  <c r="S169" i="17" s="1"/>
  <c r="U168" i="17"/>
  <c r="V168" i="17" s="1"/>
  <c r="W168" i="17" s="1"/>
  <c r="R168" i="17"/>
  <c r="S168" i="17" s="1"/>
  <c r="U167" i="17"/>
  <c r="V167" i="17" s="1"/>
  <c r="W167" i="17" s="1"/>
  <c r="R167" i="17"/>
  <c r="S167" i="17" s="1"/>
  <c r="U166" i="17"/>
  <c r="V166" i="17" s="1"/>
  <c r="W166" i="17" s="1"/>
  <c r="R166" i="17"/>
  <c r="S166" i="17" s="1"/>
  <c r="U165" i="17"/>
  <c r="V165" i="17" s="1"/>
  <c r="W165" i="17" s="1"/>
  <c r="S165" i="17"/>
  <c r="R165" i="17"/>
  <c r="R164" i="17"/>
  <c r="S164" i="17" s="1"/>
  <c r="U163" i="17"/>
  <c r="V163" i="17" s="1"/>
  <c r="W163" i="17" s="1"/>
  <c r="R163" i="17"/>
  <c r="S163" i="17" s="1"/>
  <c r="U162" i="17"/>
  <c r="V162" i="17" s="1"/>
  <c r="W162" i="17" s="1"/>
  <c r="R162" i="17"/>
  <c r="S162" i="17" s="1"/>
  <c r="U161" i="17"/>
  <c r="V161" i="17" s="1"/>
  <c r="W161" i="17" s="1"/>
  <c r="R161" i="17"/>
  <c r="S161" i="17" s="1"/>
  <c r="U160" i="17"/>
  <c r="V160" i="17" s="1"/>
  <c r="W160" i="17" s="1"/>
  <c r="S160" i="17"/>
  <c r="R160" i="17"/>
  <c r="U159" i="17"/>
  <c r="V159" i="17" s="1"/>
  <c r="W159" i="17" s="1"/>
  <c r="R159" i="17"/>
  <c r="S159" i="17" s="1"/>
  <c r="U158" i="17"/>
  <c r="V158" i="17" s="1"/>
  <c r="W158" i="17" s="1"/>
  <c r="R158" i="17"/>
  <c r="S158" i="17" s="1"/>
  <c r="U157" i="17"/>
  <c r="V157" i="17" s="1"/>
  <c r="W157" i="17" s="1"/>
  <c r="R157" i="17"/>
  <c r="S157" i="17" s="1"/>
  <c r="U156" i="17"/>
  <c r="V156" i="17" s="1"/>
  <c r="W156" i="17" s="1"/>
  <c r="R156" i="17"/>
  <c r="S156" i="17" s="1"/>
  <c r="U155" i="17"/>
  <c r="V155" i="17" s="1"/>
  <c r="W155" i="17" s="1"/>
  <c r="S155" i="17"/>
  <c r="R155" i="17"/>
  <c r="U154" i="17"/>
  <c r="V154" i="17" s="1"/>
  <c r="W154" i="17" s="1"/>
  <c r="S154" i="17"/>
  <c r="R154" i="17"/>
  <c r="U153" i="17"/>
  <c r="V153" i="17" s="1"/>
  <c r="W153" i="17" s="1"/>
  <c r="R153" i="17"/>
  <c r="S153" i="17" s="1"/>
  <c r="U152" i="17"/>
  <c r="V152" i="17" s="1"/>
  <c r="W152" i="17" s="1"/>
  <c r="S152" i="17"/>
  <c r="R152" i="17"/>
  <c r="U151" i="17"/>
  <c r="V151" i="17" s="1"/>
  <c r="W151" i="17" s="1"/>
  <c r="R151" i="17"/>
  <c r="S151" i="17" s="1"/>
  <c r="U150" i="17"/>
  <c r="V150" i="17" s="1"/>
  <c r="W150" i="17" s="1"/>
  <c r="R150" i="17"/>
  <c r="S150" i="17" s="1"/>
  <c r="U149" i="17"/>
  <c r="V149" i="17" s="1"/>
  <c r="W149" i="17" s="1"/>
  <c r="R149" i="17"/>
  <c r="S149" i="17" s="1"/>
  <c r="U148" i="17"/>
  <c r="V148" i="17" s="1"/>
  <c r="W148" i="17" s="1"/>
  <c r="R148" i="17"/>
  <c r="S148" i="17" s="1"/>
  <c r="U147" i="17"/>
  <c r="V147" i="17" s="1"/>
  <c r="W147" i="17" s="1"/>
  <c r="S147" i="17"/>
  <c r="R147" i="17"/>
  <c r="U146" i="17"/>
  <c r="V146" i="17" s="1"/>
  <c r="W146" i="17" s="1"/>
  <c r="S146" i="17"/>
  <c r="R146" i="17"/>
  <c r="U145" i="17"/>
  <c r="V145" i="17" s="1"/>
  <c r="W145" i="17" s="1"/>
  <c r="R145" i="17"/>
  <c r="S145" i="17" s="1"/>
  <c r="U144" i="17"/>
  <c r="V144" i="17" s="1"/>
  <c r="W144" i="17" s="1"/>
  <c r="R144" i="17"/>
  <c r="S144" i="17" s="1"/>
  <c r="U143" i="17"/>
  <c r="V143" i="17" s="1"/>
  <c r="W143" i="17" s="1"/>
  <c r="R143" i="17"/>
  <c r="S143" i="17" s="1"/>
  <c r="U142" i="17"/>
  <c r="V142" i="17" s="1"/>
  <c r="W142" i="17" s="1"/>
  <c r="R142" i="17"/>
  <c r="S142" i="17" s="1"/>
  <c r="U141" i="17"/>
  <c r="V141" i="17" s="1"/>
  <c r="W141" i="17" s="1"/>
  <c r="S141" i="17"/>
  <c r="R141" i="17"/>
  <c r="R140" i="17"/>
  <c r="S140" i="17" s="1"/>
  <c r="U139" i="17"/>
  <c r="V139" i="17" s="1"/>
  <c r="W139" i="17" s="1"/>
  <c r="R139" i="17"/>
  <c r="S139" i="17" s="1"/>
  <c r="U138" i="17"/>
  <c r="V138" i="17" s="1"/>
  <c r="W138" i="17" s="1"/>
  <c r="S138" i="17"/>
  <c r="R138" i="17"/>
  <c r="U137" i="17"/>
  <c r="V137" i="17" s="1"/>
  <c r="W137" i="17" s="1"/>
  <c r="R137" i="17"/>
  <c r="S137" i="17" s="1"/>
  <c r="U136" i="17"/>
  <c r="V136" i="17" s="1"/>
  <c r="W136" i="17" s="1"/>
  <c r="R136" i="17"/>
  <c r="S136" i="17" s="1"/>
  <c r="U135" i="17"/>
  <c r="V135" i="17" s="1"/>
  <c r="W135" i="17" s="1"/>
  <c r="R135" i="17"/>
  <c r="S135" i="17" s="1"/>
  <c r="U134" i="17"/>
  <c r="V134" i="17" s="1"/>
  <c r="W134" i="17" s="1"/>
  <c r="R134" i="17"/>
  <c r="S134" i="17" s="1"/>
  <c r="U133" i="17"/>
  <c r="V133" i="17" s="1"/>
  <c r="W133" i="17" s="1"/>
  <c r="S133" i="17"/>
  <c r="R133" i="17"/>
  <c r="R132" i="17"/>
  <c r="S132" i="17" s="1"/>
  <c r="U131" i="17"/>
  <c r="V131" i="17" s="1"/>
  <c r="W131" i="17" s="1"/>
  <c r="R131" i="17"/>
  <c r="S131" i="17" s="1"/>
  <c r="U130" i="17"/>
  <c r="V130" i="17" s="1"/>
  <c r="W130" i="17" s="1"/>
  <c r="R130" i="17"/>
  <c r="S130" i="17" s="1"/>
  <c r="R129" i="17"/>
  <c r="S129" i="17" s="1"/>
  <c r="U128" i="17"/>
  <c r="V128" i="17" s="1"/>
  <c r="W128" i="17" s="1"/>
  <c r="S128" i="17"/>
  <c r="R128" i="17"/>
  <c r="U127" i="17"/>
  <c r="V127" i="17" s="1"/>
  <c r="W127" i="17" s="1"/>
  <c r="R127" i="17"/>
  <c r="S127" i="17" s="1"/>
  <c r="U126" i="17"/>
  <c r="V126" i="17" s="1"/>
  <c r="W126" i="17" s="1"/>
  <c r="R126" i="17"/>
  <c r="S126" i="17" s="1"/>
  <c r="U125" i="17"/>
  <c r="V125" i="17" s="1"/>
  <c r="W125" i="17" s="1"/>
  <c r="S125" i="17"/>
  <c r="R125" i="17"/>
  <c r="R124" i="17"/>
  <c r="S124" i="17" s="1"/>
  <c r="U123" i="17"/>
  <c r="V123" i="17" s="1"/>
  <c r="W123" i="17" s="1"/>
  <c r="S123" i="17"/>
  <c r="R123" i="17"/>
  <c r="U122" i="17"/>
  <c r="V122" i="17" s="1"/>
  <c r="W122" i="17" s="1"/>
  <c r="S122" i="17"/>
  <c r="R122" i="17"/>
  <c r="U121" i="17"/>
  <c r="V121" i="17" s="1"/>
  <c r="W121" i="17" s="1"/>
  <c r="R121" i="17"/>
  <c r="S121" i="17" s="1"/>
  <c r="U120" i="17"/>
  <c r="V120" i="17" s="1"/>
  <c r="W120" i="17" s="1"/>
  <c r="S120" i="17"/>
  <c r="R120" i="17"/>
  <c r="U119" i="17"/>
  <c r="V119" i="17" s="1"/>
  <c r="W119" i="17" s="1"/>
  <c r="R119" i="17"/>
  <c r="S119" i="17" s="1"/>
  <c r="U118" i="17"/>
  <c r="V118" i="17" s="1"/>
  <c r="W118" i="17" s="1"/>
  <c r="R118" i="17"/>
  <c r="S118" i="17" s="1"/>
  <c r="U117" i="17"/>
  <c r="V117" i="17" s="1"/>
  <c r="W117" i="17" s="1"/>
  <c r="R117" i="17"/>
  <c r="S117" i="17" s="1"/>
  <c r="U116" i="17"/>
  <c r="V116" i="17" s="1"/>
  <c r="W116" i="17" s="1"/>
  <c r="R116" i="17"/>
  <c r="S116" i="17" s="1"/>
  <c r="U115" i="17"/>
  <c r="V115" i="17" s="1"/>
  <c r="W115" i="17" s="1"/>
  <c r="S115" i="17"/>
  <c r="R115" i="17"/>
  <c r="U114" i="17"/>
  <c r="V114" i="17" s="1"/>
  <c r="W114" i="17" s="1"/>
  <c r="S114" i="17"/>
  <c r="R114" i="17"/>
  <c r="U113" i="17"/>
  <c r="V113" i="17" s="1"/>
  <c r="W113" i="17" s="1"/>
  <c r="R113" i="17"/>
  <c r="S113" i="17" s="1"/>
  <c r="U112" i="17"/>
  <c r="V112" i="17" s="1"/>
  <c r="W112" i="17" s="1"/>
  <c r="S112" i="17"/>
  <c r="R112" i="17"/>
  <c r="U111" i="17"/>
  <c r="V111" i="17" s="1"/>
  <c r="W111" i="17" s="1"/>
  <c r="R111" i="17"/>
  <c r="S111" i="17" s="1"/>
  <c r="U110" i="17"/>
  <c r="V110" i="17" s="1"/>
  <c r="W110" i="17" s="1"/>
  <c r="R110" i="17"/>
  <c r="S110" i="17" s="1"/>
  <c r="U109" i="17"/>
  <c r="V109" i="17" s="1"/>
  <c r="W109" i="17" s="1"/>
  <c r="S109" i="17"/>
  <c r="R109" i="17"/>
  <c r="U108" i="17"/>
  <c r="V108" i="17" s="1"/>
  <c r="W108" i="17" s="1"/>
  <c r="R108" i="17"/>
  <c r="S108" i="17" s="1"/>
  <c r="U107" i="17"/>
  <c r="V107" i="17" s="1"/>
  <c r="W107" i="17" s="1"/>
  <c r="S107" i="17"/>
  <c r="R107" i="17"/>
  <c r="U106" i="17"/>
  <c r="V106" i="17" s="1"/>
  <c r="W106" i="17" s="1"/>
  <c r="R106" i="17"/>
  <c r="S106" i="17" s="1"/>
  <c r="U105" i="17"/>
  <c r="V105" i="17" s="1"/>
  <c r="W105" i="17" s="1"/>
  <c r="R105" i="17"/>
  <c r="S105" i="17" s="1"/>
  <c r="U104" i="17"/>
  <c r="V104" i="17" s="1"/>
  <c r="W104" i="17" s="1"/>
  <c r="R104" i="17"/>
  <c r="S104" i="17" s="1"/>
  <c r="U103" i="17"/>
  <c r="V103" i="17" s="1"/>
  <c r="W103" i="17" s="1"/>
  <c r="R103" i="17"/>
  <c r="S103" i="17" s="1"/>
  <c r="U102" i="17"/>
  <c r="V102" i="17" s="1"/>
  <c r="W102" i="17" s="1"/>
  <c r="R102" i="17"/>
  <c r="S102" i="17" s="1"/>
  <c r="U101" i="17"/>
  <c r="V101" i="17" s="1"/>
  <c r="W101" i="17" s="1"/>
  <c r="S101" i="17"/>
  <c r="R101" i="17"/>
  <c r="U100" i="17"/>
  <c r="V100" i="17" s="1"/>
  <c r="W100" i="17" s="1"/>
  <c r="R100" i="17"/>
  <c r="S100" i="17" s="1"/>
  <c r="U99" i="17"/>
  <c r="V99" i="17" s="1"/>
  <c r="W99" i="17" s="1"/>
  <c r="R99" i="17"/>
  <c r="S99" i="17" s="1"/>
  <c r="U98" i="17"/>
  <c r="V98" i="17" s="1"/>
  <c r="W98" i="17" s="1"/>
  <c r="R98" i="17"/>
  <c r="S98" i="17" s="1"/>
  <c r="U97" i="17"/>
  <c r="V97" i="17" s="1"/>
  <c r="W97" i="17" s="1"/>
  <c r="R97" i="17"/>
  <c r="S97" i="17" s="1"/>
  <c r="U96" i="17"/>
  <c r="V96" i="17" s="1"/>
  <c r="W96" i="17" s="1"/>
  <c r="S96" i="17"/>
  <c r="R96" i="17"/>
  <c r="U95" i="17"/>
  <c r="V95" i="17" s="1"/>
  <c r="W95" i="17" s="1"/>
  <c r="R95" i="17"/>
  <c r="S95" i="17" s="1"/>
  <c r="U94" i="17"/>
  <c r="V94" i="17" s="1"/>
  <c r="W94" i="17" s="1"/>
  <c r="R94" i="17"/>
  <c r="S94" i="17" s="1"/>
  <c r="U93" i="17"/>
  <c r="V93" i="17" s="1"/>
  <c r="W93" i="17" s="1"/>
  <c r="R93" i="17"/>
  <c r="S93" i="17" s="1"/>
  <c r="U92" i="17"/>
  <c r="V92" i="17" s="1"/>
  <c r="W92" i="17" s="1"/>
  <c r="R92" i="17"/>
  <c r="S92" i="17" s="1"/>
  <c r="U91" i="17"/>
  <c r="V91" i="17" s="1"/>
  <c r="W91" i="17" s="1"/>
  <c r="S91" i="17"/>
  <c r="R91" i="17"/>
  <c r="U90" i="17"/>
  <c r="V90" i="17" s="1"/>
  <c r="W90" i="17" s="1"/>
  <c r="S90" i="17"/>
  <c r="R90" i="17"/>
  <c r="U89" i="17"/>
  <c r="V89" i="17" s="1"/>
  <c r="W89" i="17" s="1"/>
  <c r="R89" i="17"/>
  <c r="S89" i="17" s="1"/>
  <c r="U88" i="17"/>
  <c r="V88" i="17" s="1"/>
  <c r="W88" i="17" s="1"/>
  <c r="S88" i="17"/>
  <c r="R88" i="17"/>
  <c r="U87" i="17"/>
  <c r="V87" i="17" s="1"/>
  <c r="W87" i="17" s="1"/>
  <c r="R87" i="17"/>
  <c r="S87" i="17" s="1"/>
  <c r="U86" i="17"/>
  <c r="V86" i="17" s="1"/>
  <c r="W86" i="17" s="1"/>
  <c r="R86" i="17"/>
  <c r="S86" i="17" s="1"/>
  <c r="U85" i="17"/>
  <c r="V85" i="17" s="1"/>
  <c r="W85" i="17" s="1"/>
  <c r="R85" i="17"/>
  <c r="S85" i="17" s="1"/>
  <c r="U84" i="17"/>
  <c r="V84" i="17" s="1"/>
  <c r="W84" i="17" s="1"/>
  <c r="R84" i="17"/>
  <c r="S84" i="17" s="1"/>
  <c r="U83" i="17"/>
  <c r="V83" i="17" s="1"/>
  <c r="W83" i="17" s="1"/>
  <c r="S83" i="17"/>
  <c r="R83" i="17"/>
  <c r="U82" i="17"/>
  <c r="V82" i="17" s="1"/>
  <c r="W82" i="17" s="1"/>
  <c r="S82" i="17"/>
  <c r="R82" i="17"/>
  <c r="U81" i="17"/>
  <c r="V81" i="17" s="1"/>
  <c r="W81" i="17" s="1"/>
  <c r="R81" i="17"/>
  <c r="S81" i="17" s="1"/>
  <c r="U80" i="17"/>
  <c r="V80" i="17" s="1"/>
  <c r="W80" i="17" s="1"/>
  <c r="R80" i="17"/>
  <c r="S80" i="17" s="1"/>
  <c r="U79" i="17"/>
  <c r="V79" i="17" s="1"/>
  <c r="W79" i="17" s="1"/>
  <c r="R79" i="17"/>
  <c r="S79" i="17" s="1"/>
  <c r="U78" i="17"/>
  <c r="V78" i="17" s="1"/>
  <c r="W78" i="17" s="1"/>
  <c r="R78" i="17"/>
  <c r="S78" i="17" s="1"/>
  <c r="U77" i="17"/>
  <c r="V77" i="17" s="1"/>
  <c r="W77" i="17" s="1"/>
  <c r="S77" i="17"/>
  <c r="R77" i="17"/>
  <c r="U76" i="17"/>
  <c r="V76" i="17" s="1"/>
  <c r="W76" i="17" s="1"/>
  <c r="R76" i="17"/>
  <c r="S76" i="17" s="1"/>
  <c r="U75" i="17"/>
  <c r="V75" i="17" s="1"/>
  <c r="W75" i="17" s="1"/>
  <c r="R75" i="17"/>
  <c r="S75" i="17" s="1"/>
  <c r="U74" i="17"/>
  <c r="V74" i="17" s="1"/>
  <c r="W74" i="17" s="1"/>
  <c r="S74" i="17"/>
  <c r="R74" i="17"/>
  <c r="U73" i="17"/>
  <c r="V73" i="17" s="1"/>
  <c r="W73" i="17" s="1"/>
  <c r="R73" i="17"/>
  <c r="S73" i="17" s="1"/>
  <c r="U72" i="17"/>
  <c r="V72" i="17" s="1"/>
  <c r="W72" i="17" s="1"/>
  <c r="R72" i="17"/>
  <c r="S72" i="17" s="1"/>
  <c r="U71" i="17"/>
  <c r="V71" i="17" s="1"/>
  <c r="W71" i="17" s="1"/>
  <c r="R71" i="17"/>
  <c r="S71" i="17" s="1"/>
  <c r="U70" i="17"/>
  <c r="V70" i="17" s="1"/>
  <c r="W70" i="17" s="1"/>
  <c r="R70" i="17"/>
  <c r="S70" i="17" s="1"/>
  <c r="U69" i="17"/>
  <c r="V69" i="17" s="1"/>
  <c r="W69" i="17" s="1"/>
  <c r="S69" i="17"/>
  <c r="R69" i="17"/>
  <c r="U68" i="17"/>
  <c r="V68" i="17" s="1"/>
  <c r="W68" i="17" s="1"/>
  <c r="R68" i="17"/>
  <c r="S68" i="17" s="1"/>
  <c r="U67" i="17"/>
  <c r="V67" i="17" s="1"/>
  <c r="W67" i="17" s="1"/>
  <c r="R67" i="17"/>
  <c r="S67" i="17" s="1"/>
  <c r="U66" i="17"/>
  <c r="V66" i="17" s="1"/>
  <c r="W66" i="17" s="1"/>
  <c r="R66" i="17"/>
  <c r="S66" i="17" s="1"/>
  <c r="U65" i="17"/>
  <c r="V65" i="17" s="1"/>
  <c r="W65" i="17" s="1"/>
  <c r="R65" i="17"/>
  <c r="S65" i="17" s="1"/>
  <c r="U64" i="17"/>
  <c r="V64" i="17" s="1"/>
  <c r="W64" i="17" s="1"/>
  <c r="S64" i="17"/>
  <c r="R64" i="17"/>
  <c r="U63" i="17"/>
  <c r="V63" i="17" s="1"/>
  <c r="W63" i="17" s="1"/>
  <c r="R63" i="17"/>
  <c r="S63" i="17" s="1"/>
  <c r="U62" i="17"/>
  <c r="V62" i="17" s="1"/>
  <c r="W62" i="17" s="1"/>
  <c r="R62" i="17"/>
  <c r="S62" i="17" s="1"/>
  <c r="U61" i="17"/>
  <c r="V61" i="17" s="1"/>
  <c r="W61" i="17" s="1"/>
  <c r="S61" i="17"/>
  <c r="R61" i="17"/>
  <c r="U60" i="17"/>
  <c r="V60" i="17" s="1"/>
  <c r="W60" i="17" s="1"/>
  <c r="R60" i="17"/>
  <c r="S60" i="17" s="1"/>
  <c r="U59" i="17"/>
  <c r="V59" i="17" s="1"/>
  <c r="W59" i="17" s="1"/>
  <c r="S59" i="17"/>
  <c r="R59" i="17"/>
  <c r="U58" i="17"/>
  <c r="V58" i="17" s="1"/>
  <c r="W58" i="17" s="1"/>
  <c r="S58" i="17"/>
  <c r="R58" i="17"/>
  <c r="U57" i="17"/>
  <c r="V57" i="17" s="1"/>
  <c r="W57" i="17" s="1"/>
  <c r="R57" i="17"/>
  <c r="S57" i="17" s="1"/>
  <c r="U56" i="17"/>
  <c r="V56" i="17" s="1"/>
  <c r="W56" i="17" s="1"/>
  <c r="S56" i="17"/>
  <c r="R56" i="17"/>
  <c r="U55" i="17"/>
  <c r="V55" i="17" s="1"/>
  <c r="W55" i="17" s="1"/>
  <c r="R55" i="17"/>
  <c r="S55" i="17" s="1"/>
  <c r="U54" i="17"/>
  <c r="V54" i="17" s="1"/>
  <c r="W54" i="17" s="1"/>
  <c r="R54" i="17"/>
  <c r="S54" i="17" s="1"/>
  <c r="U53" i="17"/>
  <c r="V53" i="17" s="1"/>
  <c r="W53" i="17" s="1"/>
  <c r="R53" i="17"/>
  <c r="S53" i="17" s="1"/>
  <c r="U52" i="17"/>
  <c r="V52" i="17" s="1"/>
  <c r="W52" i="17" s="1"/>
  <c r="R52" i="17"/>
  <c r="S52" i="17" s="1"/>
  <c r="U51" i="17"/>
  <c r="V51" i="17" s="1"/>
  <c r="W51" i="17" s="1"/>
  <c r="S51" i="17"/>
  <c r="R51" i="17"/>
  <c r="U50" i="17"/>
  <c r="V50" i="17" s="1"/>
  <c r="W50" i="17" s="1"/>
  <c r="S50" i="17"/>
  <c r="R50" i="17"/>
  <c r="U49" i="17"/>
  <c r="V49" i="17" s="1"/>
  <c r="W49" i="17" s="1"/>
  <c r="R49" i="17"/>
  <c r="S49" i="17" s="1"/>
  <c r="U48" i="17"/>
  <c r="V48" i="17" s="1"/>
  <c r="W48" i="17" s="1"/>
  <c r="S48" i="17"/>
  <c r="R48" i="17"/>
  <c r="U47" i="17"/>
  <c r="V47" i="17" s="1"/>
  <c r="W47" i="17" s="1"/>
  <c r="R47" i="17"/>
  <c r="S47" i="17" s="1"/>
  <c r="U46" i="17"/>
  <c r="V46" i="17" s="1"/>
  <c r="W46" i="17" s="1"/>
  <c r="R46" i="17"/>
  <c r="S46" i="17" s="1"/>
  <c r="U45" i="17"/>
  <c r="V45" i="17" s="1"/>
  <c r="W45" i="17" s="1"/>
  <c r="S45" i="17"/>
  <c r="R45" i="17"/>
  <c r="U44" i="17"/>
  <c r="V44" i="17" s="1"/>
  <c r="W44" i="17" s="1"/>
  <c r="R44" i="17"/>
  <c r="S44" i="17" s="1"/>
  <c r="U43" i="17"/>
  <c r="V43" i="17" s="1"/>
  <c r="W43" i="17" s="1"/>
  <c r="S43" i="17"/>
  <c r="R43" i="17"/>
  <c r="U42" i="17"/>
  <c r="V42" i="17" s="1"/>
  <c r="W42" i="17" s="1"/>
  <c r="R42" i="17"/>
  <c r="S42" i="17" s="1"/>
  <c r="U41" i="17"/>
  <c r="V41" i="17" s="1"/>
  <c r="W41" i="17" s="1"/>
  <c r="R41" i="17"/>
  <c r="S41" i="17" s="1"/>
  <c r="U40" i="17"/>
  <c r="V40" i="17" s="1"/>
  <c r="W40" i="17" s="1"/>
  <c r="R40" i="17"/>
  <c r="S40" i="17" s="1"/>
  <c r="U39" i="17"/>
  <c r="V39" i="17" s="1"/>
  <c r="W39" i="17" s="1"/>
  <c r="R39" i="17"/>
  <c r="S39" i="17" s="1"/>
  <c r="U38" i="17"/>
  <c r="V38" i="17" s="1"/>
  <c r="W38" i="17" s="1"/>
  <c r="R38" i="17"/>
  <c r="S38" i="17" s="1"/>
  <c r="U37" i="17"/>
  <c r="V37" i="17" s="1"/>
  <c r="W37" i="17" s="1"/>
  <c r="S37" i="17"/>
  <c r="R37" i="17"/>
  <c r="U36" i="17"/>
  <c r="V36" i="17" s="1"/>
  <c r="W36" i="17" s="1"/>
  <c r="R36" i="17"/>
  <c r="S36" i="17" s="1"/>
  <c r="U35" i="17"/>
  <c r="V35" i="17" s="1"/>
  <c r="W35" i="17" s="1"/>
  <c r="R35" i="17"/>
  <c r="S35" i="17" s="1"/>
  <c r="U34" i="17"/>
  <c r="V34" i="17" s="1"/>
  <c r="W34" i="17" s="1"/>
  <c r="R34" i="17"/>
  <c r="S34" i="17" s="1"/>
  <c r="U33" i="17"/>
  <c r="V33" i="17" s="1"/>
  <c r="W33" i="17" s="1"/>
  <c r="R33" i="17"/>
  <c r="S33" i="17" s="1"/>
  <c r="U32" i="17"/>
  <c r="V32" i="17" s="1"/>
  <c r="W32" i="17" s="1"/>
  <c r="S32" i="17"/>
  <c r="R32" i="17"/>
  <c r="U31" i="17"/>
  <c r="V31" i="17" s="1"/>
  <c r="W31" i="17" s="1"/>
  <c r="R31" i="17"/>
  <c r="S31" i="17" s="1"/>
  <c r="U30" i="17"/>
  <c r="V30" i="17" s="1"/>
  <c r="W30" i="17" s="1"/>
  <c r="R30" i="17"/>
  <c r="S30" i="17" s="1"/>
  <c r="U29" i="17"/>
  <c r="V29" i="17" s="1"/>
  <c r="W29" i="17" s="1"/>
  <c r="R29" i="17"/>
  <c r="S29" i="17" s="1"/>
  <c r="U28" i="17"/>
  <c r="V28" i="17" s="1"/>
  <c r="W28" i="17" s="1"/>
  <c r="R28" i="17"/>
  <c r="S28" i="17" s="1"/>
  <c r="U27" i="17"/>
  <c r="V27" i="17" s="1"/>
  <c r="W27" i="17" s="1"/>
  <c r="S27" i="17"/>
  <c r="R27" i="17"/>
  <c r="U26" i="17"/>
  <c r="V26" i="17" s="1"/>
  <c r="W26" i="17" s="1"/>
  <c r="S26" i="17"/>
  <c r="R26" i="17"/>
  <c r="U25" i="17"/>
  <c r="V25" i="17" s="1"/>
  <c r="W25" i="17" s="1"/>
  <c r="R25" i="17"/>
  <c r="S25" i="17" s="1"/>
  <c r="U24" i="17"/>
  <c r="V24" i="17" s="1"/>
  <c r="W24" i="17" s="1"/>
  <c r="S24" i="17"/>
  <c r="R24" i="17"/>
  <c r="U23" i="17"/>
  <c r="V23" i="17" s="1"/>
  <c r="W23" i="17" s="1"/>
  <c r="R23" i="17"/>
  <c r="S23" i="17" s="1"/>
  <c r="U22" i="17"/>
  <c r="V22" i="17" s="1"/>
  <c r="W22" i="17" s="1"/>
  <c r="R22" i="17"/>
  <c r="S22" i="17" s="1"/>
  <c r="U21" i="17"/>
  <c r="V21" i="17" s="1"/>
  <c r="W21" i="17" s="1"/>
  <c r="R21" i="17"/>
  <c r="S21" i="17" s="1"/>
  <c r="U20" i="17"/>
  <c r="V20" i="17" s="1"/>
  <c r="W20" i="17" s="1"/>
  <c r="R20" i="17"/>
  <c r="S20" i="17" s="1"/>
  <c r="U19" i="17"/>
  <c r="V19" i="17" s="1"/>
  <c r="W19" i="17" s="1"/>
  <c r="S19" i="17"/>
  <c r="R19" i="17"/>
  <c r="U18" i="17"/>
  <c r="V18" i="17" s="1"/>
  <c r="W18" i="17" s="1"/>
  <c r="S18" i="17"/>
  <c r="R18" i="17"/>
  <c r="U17" i="17"/>
  <c r="V17" i="17" s="1"/>
  <c r="W17" i="17" s="1"/>
  <c r="R17" i="17"/>
  <c r="S17" i="17" s="1"/>
  <c r="U16" i="17"/>
  <c r="V16" i="17" s="1"/>
  <c r="W16" i="17" s="1"/>
  <c r="R16" i="17"/>
  <c r="S16" i="17" s="1"/>
  <c r="U15" i="17"/>
  <c r="V15" i="17" s="1"/>
  <c r="W15" i="17" s="1"/>
  <c r="R15" i="17"/>
  <c r="S15" i="17" s="1"/>
  <c r="U14" i="17"/>
  <c r="V14" i="17" s="1"/>
  <c r="W14" i="17" s="1"/>
  <c r="R14" i="17"/>
  <c r="S14" i="17" s="1"/>
  <c r="U13" i="17"/>
  <c r="V13" i="17" s="1"/>
  <c r="W13" i="17" s="1"/>
  <c r="S13" i="17"/>
  <c r="R13" i="17"/>
  <c r="U12" i="17"/>
  <c r="V12" i="17" s="1"/>
  <c r="W12" i="17" s="1"/>
  <c r="R12" i="17"/>
  <c r="S12" i="17" s="1"/>
  <c r="U11" i="17"/>
  <c r="V11" i="17" s="1"/>
  <c r="W11" i="17" s="1"/>
  <c r="R11" i="17"/>
  <c r="S11" i="17" s="1"/>
  <c r="U10" i="17"/>
  <c r="V10" i="17" s="1"/>
  <c r="W10" i="17" s="1"/>
  <c r="S10" i="17"/>
  <c r="R10" i="17"/>
  <c r="U9" i="17"/>
  <c r="V9" i="17" s="1"/>
  <c r="W9" i="17" s="1"/>
  <c r="R9" i="17"/>
  <c r="S9" i="17" s="1"/>
  <c r="U8" i="17"/>
  <c r="V8" i="17" s="1"/>
  <c r="W8" i="17" s="1"/>
  <c r="R8" i="17"/>
  <c r="S8" i="17" s="1"/>
  <c r="U7" i="17"/>
  <c r="V7" i="17" s="1"/>
  <c r="W7" i="17" s="1"/>
  <c r="R7" i="17"/>
  <c r="S7" i="17" s="1"/>
  <c r="U6" i="17"/>
  <c r="V6" i="17" s="1"/>
  <c r="W6" i="17" s="1"/>
  <c r="R6" i="17"/>
  <c r="S6" i="17" s="1"/>
  <c r="U5" i="17"/>
  <c r="V5" i="17" s="1"/>
  <c r="W5" i="17" s="1"/>
  <c r="S5" i="17"/>
  <c r="R5" i="17"/>
  <c r="U4" i="17"/>
  <c r="V4" i="17" s="1"/>
  <c r="W4" i="17" s="1"/>
  <c r="R4" i="17"/>
  <c r="S4" i="17" s="1"/>
  <c r="U3" i="17"/>
  <c r="V3" i="17" s="1"/>
  <c r="W3" i="17" s="1"/>
  <c r="R3" i="17"/>
  <c r="S3" i="17" s="1"/>
  <c r="U2" i="17"/>
  <c r="V2" i="17" s="1"/>
  <c r="W2" i="17" s="1"/>
  <c r="R2" i="17"/>
  <c r="S2" i="17" s="1"/>
  <c r="R10" i="7"/>
  <c r="S10" i="7" s="1"/>
  <c r="T10" i="7"/>
  <c r="U10" i="7" s="1"/>
  <c r="V10" i="7" s="1"/>
  <c r="W10" i="7" s="1"/>
  <c r="R11" i="7"/>
  <c r="S11" i="7" s="1"/>
  <c r="T11" i="7"/>
  <c r="U11" i="7" s="1"/>
  <c r="V11" i="7" s="1"/>
  <c r="W11" i="7" s="1"/>
  <c r="R12" i="7"/>
  <c r="S12" i="7" s="1"/>
  <c r="T12" i="7"/>
  <c r="U12" i="7" s="1"/>
  <c r="V12" i="7" s="1"/>
  <c r="W12" i="7" s="1"/>
  <c r="R13" i="7"/>
  <c r="S13" i="7" s="1"/>
  <c r="T13" i="7"/>
  <c r="U13" i="7" s="1"/>
  <c r="V13" i="7" s="1"/>
  <c r="W13" i="7" s="1"/>
  <c r="R14" i="7"/>
  <c r="S14" i="7" s="1"/>
  <c r="T14" i="7"/>
  <c r="U14" i="7" s="1"/>
  <c r="V14" i="7" s="1"/>
  <c r="W14" i="7" s="1"/>
  <c r="R15" i="7"/>
  <c r="S15" i="7" s="1"/>
  <c r="T15" i="7"/>
  <c r="U15" i="7" s="1"/>
  <c r="V15" i="7" s="1"/>
  <c r="W15" i="7" s="1"/>
  <c r="R16" i="7"/>
  <c r="S16" i="7" s="1"/>
  <c r="T16" i="7"/>
  <c r="U16" i="7" s="1"/>
  <c r="V16" i="7" s="1"/>
  <c r="W16" i="7" s="1"/>
  <c r="R17" i="7"/>
  <c r="S17" i="7"/>
  <c r="T17" i="7"/>
  <c r="U17" i="7" s="1"/>
  <c r="V17" i="7" s="1"/>
  <c r="W17" i="7" s="1"/>
  <c r="R18" i="7"/>
  <c r="S18" i="7" s="1"/>
  <c r="T18" i="7"/>
  <c r="U18" i="7" s="1"/>
  <c r="V18" i="7" s="1"/>
  <c r="W18" i="7" s="1"/>
  <c r="R19" i="7"/>
  <c r="S19" i="7"/>
  <c r="T19" i="7"/>
  <c r="U19" i="7" s="1"/>
  <c r="V19" i="7" s="1"/>
  <c r="W19" i="7" s="1"/>
  <c r="R20" i="7"/>
  <c r="S20" i="7" s="1"/>
  <c r="T20" i="7"/>
  <c r="U20" i="7" s="1"/>
  <c r="V20" i="7" s="1"/>
  <c r="W20" i="7" s="1"/>
  <c r="R21" i="7"/>
  <c r="S21" i="7"/>
  <c r="T21" i="7"/>
  <c r="U21" i="7" s="1"/>
  <c r="V21" i="7" s="1"/>
  <c r="W21" i="7" s="1"/>
  <c r="R22" i="7"/>
  <c r="S22" i="7" s="1"/>
  <c r="T22" i="7"/>
  <c r="U22" i="7" s="1"/>
  <c r="V22" i="7" s="1"/>
  <c r="W22" i="7" s="1"/>
  <c r="R23" i="7"/>
  <c r="S23" i="7" s="1"/>
  <c r="T23" i="7"/>
  <c r="U23" i="7" s="1"/>
  <c r="V23" i="7" s="1"/>
  <c r="W23" i="7" s="1"/>
  <c r="R24" i="7"/>
  <c r="S24" i="7" s="1"/>
  <c r="T24" i="7"/>
  <c r="U24" i="7" s="1"/>
  <c r="V24" i="7" s="1"/>
  <c r="W24" i="7" s="1"/>
  <c r="R25" i="7"/>
  <c r="S25" i="7"/>
  <c r="T25" i="7"/>
  <c r="U25" i="7" s="1"/>
  <c r="V25" i="7" s="1"/>
  <c r="W25" i="7" s="1"/>
  <c r="R26" i="7"/>
  <c r="S26" i="7" s="1"/>
  <c r="T26" i="7"/>
  <c r="U26" i="7" s="1"/>
  <c r="V26" i="7" s="1"/>
  <c r="W26" i="7" s="1"/>
  <c r="R27" i="7"/>
  <c r="S27" i="7"/>
  <c r="T27" i="7"/>
  <c r="U27" i="7" s="1"/>
  <c r="V27" i="7" s="1"/>
  <c r="W27" i="7" s="1"/>
  <c r="R28" i="7"/>
  <c r="S28" i="7" s="1"/>
  <c r="T28" i="7"/>
  <c r="U28" i="7" s="1"/>
  <c r="V28" i="7" s="1"/>
  <c r="W28" i="7" s="1"/>
  <c r="R29" i="7"/>
  <c r="S29" i="7"/>
  <c r="T29" i="7"/>
  <c r="U29" i="7" s="1"/>
  <c r="V29" i="7" s="1"/>
  <c r="W29" i="7" s="1"/>
  <c r="R30" i="7"/>
  <c r="S30" i="7" s="1"/>
  <c r="T30" i="7"/>
  <c r="U30" i="7" s="1"/>
  <c r="V30" i="7" s="1"/>
  <c r="W30" i="7" s="1"/>
  <c r="R31" i="7"/>
  <c r="S31" i="7" s="1"/>
  <c r="T31" i="7"/>
  <c r="U31" i="7" s="1"/>
  <c r="V31" i="7" s="1"/>
  <c r="W31" i="7" s="1"/>
  <c r="R32" i="7"/>
  <c r="S32" i="7" s="1"/>
  <c r="T32" i="7"/>
  <c r="U32" i="7" s="1"/>
  <c r="V32" i="7" s="1"/>
  <c r="W32" i="7" s="1"/>
  <c r="R33" i="7"/>
  <c r="S33" i="7"/>
  <c r="T33" i="7"/>
  <c r="U33" i="7" s="1"/>
  <c r="V33" i="7" s="1"/>
  <c r="W33" i="7" s="1"/>
  <c r="R34" i="7"/>
  <c r="S34" i="7" s="1"/>
  <c r="T34" i="7"/>
  <c r="U34" i="7" s="1"/>
  <c r="V34" i="7" s="1"/>
  <c r="W34" i="7" s="1"/>
  <c r="R35" i="7"/>
  <c r="S35" i="7"/>
  <c r="T35" i="7"/>
  <c r="U35" i="7" s="1"/>
  <c r="V35" i="7" s="1"/>
  <c r="W35" i="7" s="1"/>
  <c r="R36" i="7"/>
  <c r="S36" i="7" s="1"/>
  <c r="T36" i="7"/>
  <c r="U36" i="7" s="1"/>
  <c r="V36" i="7" s="1"/>
  <c r="W36" i="7" s="1"/>
  <c r="R37" i="7"/>
  <c r="S37" i="7"/>
  <c r="T37" i="7"/>
  <c r="U37" i="7" s="1"/>
  <c r="V37" i="7" s="1"/>
  <c r="W37" i="7" s="1"/>
  <c r="R38" i="7"/>
  <c r="S38" i="7" s="1"/>
  <c r="T38" i="7"/>
  <c r="U38" i="7" s="1"/>
  <c r="V38" i="7" s="1"/>
  <c r="W38" i="7" s="1"/>
  <c r="R39" i="7"/>
  <c r="S39" i="7" s="1"/>
  <c r="T39" i="7"/>
  <c r="U39" i="7" s="1"/>
  <c r="V39" i="7" s="1"/>
  <c r="W39" i="7" s="1"/>
  <c r="R40" i="7"/>
  <c r="S40" i="7" s="1"/>
  <c r="T40" i="7"/>
  <c r="U40" i="7" s="1"/>
  <c r="V40" i="7" s="1"/>
  <c r="W40" i="7" s="1"/>
  <c r="R41" i="7"/>
  <c r="S41" i="7"/>
  <c r="T41" i="7"/>
  <c r="U41" i="7" s="1"/>
  <c r="V41" i="7" s="1"/>
  <c r="W41" i="7" s="1"/>
  <c r="R42" i="7"/>
  <c r="S42" i="7" s="1"/>
  <c r="T42" i="7"/>
  <c r="U42" i="7" s="1"/>
  <c r="V42" i="7" s="1"/>
  <c r="W42" i="7" s="1"/>
  <c r="R43" i="7"/>
  <c r="S43" i="7"/>
  <c r="T43" i="7"/>
  <c r="U43" i="7" s="1"/>
  <c r="V43" i="7" s="1"/>
  <c r="W43" i="7" s="1"/>
  <c r="R44" i="7"/>
  <c r="S44" i="7" s="1"/>
  <c r="T44" i="7"/>
  <c r="U44" i="7" s="1"/>
  <c r="V44" i="7" s="1"/>
  <c r="W44" i="7" s="1"/>
  <c r="R45" i="7"/>
  <c r="S45" i="7"/>
  <c r="T45" i="7"/>
  <c r="U45" i="7" s="1"/>
  <c r="V45" i="7" s="1"/>
  <c r="W45" i="7" s="1"/>
  <c r="R46" i="7"/>
  <c r="S46" i="7" s="1"/>
  <c r="T46" i="7"/>
  <c r="U46" i="7" s="1"/>
  <c r="V46" i="7" s="1"/>
  <c r="W46" i="7" s="1"/>
  <c r="R47" i="7"/>
  <c r="S47" i="7" s="1"/>
  <c r="T47" i="7"/>
  <c r="U47" i="7" s="1"/>
  <c r="V47" i="7" s="1"/>
  <c r="W47" i="7" s="1"/>
  <c r="R48" i="7"/>
  <c r="S48" i="7" s="1"/>
  <c r="T48" i="7"/>
  <c r="U48" i="7" s="1"/>
  <c r="V48" i="7" s="1"/>
  <c r="W48" i="7" s="1"/>
  <c r="R49" i="7"/>
  <c r="S49" i="7"/>
  <c r="T49" i="7"/>
  <c r="U49" i="7" s="1"/>
  <c r="V49" i="7" s="1"/>
  <c r="W49" i="7" s="1"/>
  <c r="R50" i="7"/>
  <c r="S50" i="7" s="1"/>
  <c r="T50" i="7"/>
  <c r="U50" i="7" s="1"/>
  <c r="V50" i="7" s="1"/>
  <c r="W50" i="7" s="1"/>
  <c r="R51" i="7"/>
  <c r="S51" i="7"/>
  <c r="T51" i="7"/>
  <c r="U51" i="7" s="1"/>
  <c r="V51" i="7" s="1"/>
  <c r="W51" i="7" s="1"/>
  <c r="R52" i="7"/>
  <c r="S52" i="7" s="1"/>
  <c r="T52" i="7"/>
  <c r="U52" i="7" s="1"/>
  <c r="V52" i="7" s="1"/>
  <c r="W52" i="7" s="1"/>
  <c r="R53" i="7"/>
  <c r="S53" i="7"/>
  <c r="T53" i="7"/>
  <c r="U53" i="7" s="1"/>
  <c r="V53" i="7" s="1"/>
  <c r="W53" i="7" s="1"/>
  <c r="R54" i="7"/>
  <c r="S54" i="7" s="1"/>
  <c r="T54" i="7"/>
  <c r="U54" i="7" s="1"/>
  <c r="V54" i="7" s="1"/>
  <c r="W54" i="7" s="1"/>
  <c r="R55" i="7"/>
  <c r="S55" i="7" s="1"/>
  <c r="T55" i="7"/>
  <c r="U55" i="7" s="1"/>
  <c r="V55" i="7" s="1"/>
  <c r="W55" i="7" s="1"/>
  <c r="R56" i="7"/>
  <c r="S56" i="7" s="1"/>
  <c r="T56" i="7"/>
  <c r="U56" i="7" s="1"/>
  <c r="V56" i="7" s="1"/>
  <c r="W56" i="7" s="1"/>
  <c r="R57" i="7"/>
  <c r="S57" i="7"/>
  <c r="T57" i="7"/>
  <c r="U57" i="7" s="1"/>
  <c r="V57" i="7" s="1"/>
  <c r="W57" i="7" s="1"/>
  <c r="R58" i="7"/>
  <c r="S58" i="7" s="1"/>
  <c r="T58" i="7"/>
  <c r="U58" i="7" s="1"/>
  <c r="V58" i="7" s="1"/>
  <c r="W58" i="7" s="1"/>
  <c r="R59" i="7"/>
  <c r="S59" i="7"/>
  <c r="T59" i="7"/>
  <c r="U59" i="7" s="1"/>
  <c r="V59" i="7" s="1"/>
  <c r="W59" i="7" s="1"/>
  <c r="R60" i="7"/>
  <c r="S60" i="7" s="1"/>
  <c r="T60" i="7"/>
  <c r="U60" i="7" s="1"/>
  <c r="V60" i="7" s="1"/>
  <c r="W60" i="7" s="1"/>
  <c r="R61" i="7"/>
  <c r="S61" i="7"/>
  <c r="T61" i="7"/>
  <c r="U61" i="7" s="1"/>
  <c r="V61" i="7" s="1"/>
  <c r="W61" i="7" s="1"/>
  <c r="R62" i="7"/>
  <c r="S62" i="7" s="1"/>
  <c r="T62" i="7"/>
  <c r="U62" i="7" s="1"/>
  <c r="V62" i="7" s="1"/>
  <c r="W62" i="7" s="1"/>
  <c r="R63" i="7"/>
  <c r="S63" i="7" s="1"/>
  <c r="T63" i="7"/>
  <c r="U63" i="7" s="1"/>
  <c r="V63" i="7" s="1"/>
  <c r="W63" i="7" s="1"/>
  <c r="R64" i="7"/>
  <c r="S64" i="7" s="1"/>
  <c r="T64" i="7"/>
  <c r="U64" i="7" s="1"/>
  <c r="V64" i="7" s="1"/>
  <c r="W64" i="7" s="1"/>
  <c r="R65" i="7"/>
  <c r="S65" i="7"/>
  <c r="T65" i="7"/>
  <c r="U65" i="7" s="1"/>
  <c r="V65" i="7" s="1"/>
  <c r="W65" i="7" s="1"/>
  <c r="R66" i="7"/>
  <c r="S66" i="7" s="1"/>
  <c r="T66" i="7"/>
  <c r="U66" i="7" s="1"/>
  <c r="V66" i="7" s="1"/>
  <c r="W66" i="7" s="1"/>
  <c r="R67" i="7"/>
  <c r="S67" i="7"/>
  <c r="T67" i="7"/>
  <c r="U67" i="7" s="1"/>
  <c r="V67" i="7" s="1"/>
  <c r="W67" i="7" s="1"/>
  <c r="R68" i="7"/>
  <c r="S68" i="7" s="1"/>
  <c r="T68" i="7"/>
  <c r="U68" i="7" s="1"/>
  <c r="V68" i="7" s="1"/>
  <c r="W68" i="7" s="1"/>
  <c r="R69" i="7"/>
  <c r="S69" i="7"/>
  <c r="T69" i="7"/>
  <c r="U69" i="7" s="1"/>
  <c r="V69" i="7" s="1"/>
  <c r="W69" i="7" s="1"/>
  <c r="R70" i="7"/>
  <c r="S70" i="7" s="1"/>
  <c r="T70" i="7"/>
  <c r="U70" i="7" s="1"/>
  <c r="V70" i="7" s="1"/>
  <c r="W70" i="7" s="1"/>
  <c r="R71" i="7"/>
  <c r="S71" i="7" s="1"/>
  <c r="T71" i="7"/>
  <c r="U71" i="7" s="1"/>
  <c r="V71" i="7" s="1"/>
  <c r="W71" i="7" s="1"/>
  <c r="R72" i="7"/>
  <c r="S72" i="7" s="1"/>
  <c r="T72" i="7"/>
  <c r="U72" i="7" s="1"/>
  <c r="V72" i="7" s="1"/>
  <c r="W72" i="7" s="1"/>
  <c r="R73" i="7"/>
  <c r="S73" i="7"/>
  <c r="T73" i="7"/>
  <c r="U73" i="7" s="1"/>
  <c r="V73" i="7" s="1"/>
  <c r="W73" i="7" s="1"/>
  <c r="R74" i="7"/>
  <c r="S74" i="7" s="1"/>
  <c r="T74" i="7"/>
  <c r="U74" i="7" s="1"/>
  <c r="V74" i="7" s="1"/>
  <c r="W74" i="7" s="1"/>
  <c r="R75" i="7"/>
  <c r="S75" i="7"/>
  <c r="T75" i="7"/>
  <c r="U75" i="7" s="1"/>
  <c r="V75" i="7" s="1"/>
  <c r="W75" i="7" s="1"/>
  <c r="R76" i="7"/>
  <c r="S76" i="7" s="1"/>
  <c r="T76" i="7"/>
  <c r="U76" i="7" s="1"/>
  <c r="V76" i="7" s="1"/>
  <c r="W76" i="7" s="1"/>
  <c r="R77" i="7"/>
  <c r="S77" i="7"/>
  <c r="T77" i="7"/>
  <c r="U77" i="7" s="1"/>
  <c r="V77" i="7" s="1"/>
  <c r="W77" i="7" s="1"/>
  <c r="R78" i="7"/>
  <c r="S78" i="7" s="1"/>
  <c r="T78" i="7"/>
  <c r="U78" i="7" s="1"/>
  <c r="V78" i="7" s="1"/>
  <c r="W78" i="7" s="1"/>
  <c r="R79" i="7"/>
  <c r="S79" i="7" s="1"/>
  <c r="T79" i="7"/>
  <c r="U79" i="7" s="1"/>
  <c r="V79" i="7" s="1"/>
  <c r="W79" i="7" s="1"/>
  <c r="R80" i="7"/>
  <c r="S80" i="7" s="1"/>
  <c r="T80" i="7"/>
  <c r="U80" i="7" s="1"/>
  <c r="V80" i="7" s="1"/>
  <c r="W80" i="7" s="1"/>
  <c r="R81" i="7"/>
  <c r="S81" i="7"/>
  <c r="T81" i="7"/>
  <c r="U81" i="7" s="1"/>
  <c r="V81" i="7" s="1"/>
  <c r="W81" i="7" s="1"/>
  <c r="R82" i="7"/>
  <c r="S82" i="7" s="1"/>
  <c r="T82" i="7"/>
  <c r="U82" i="7" s="1"/>
  <c r="V82" i="7" s="1"/>
  <c r="W82" i="7" s="1"/>
  <c r="R83" i="7"/>
  <c r="S83" i="7"/>
  <c r="T83" i="7"/>
  <c r="U83" i="7" s="1"/>
  <c r="V83" i="7" s="1"/>
  <c r="W83" i="7" s="1"/>
  <c r="R84" i="7"/>
  <c r="S84" i="7" s="1"/>
  <c r="T84" i="7"/>
  <c r="U84" i="7" s="1"/>
  <c r="V84" i="7" s="1"/>
  <c r="W84" i="7" s="1"/>
  <c r="R85" i="7"/>
  <c r="S85" i="7"/>
  <c r="T85" i="7"/>
  <c r="U85" i="7" s="1"/>
  <c r="V85" i="7" s="1"/>
  <c r="W85" i="7" s="1"/>
  <c r="R86" i="7"/>
  <c r="S86" i="7" s="1"/>
  <c r="T86" i="7"/>
  <c r="U86" i="7" s="1"/>
  <c r="V86" i="7" s="1"/>
  <c r="W86" i="7" s="1"/>
  <c r="R87" i="7"/>
  <c r="S87" i="7" s="1"/>
  <c r="T87" i="7"/>
  <c r="U87" i="7" s="1"/>
  <c r="V87" i="7" s="1"/>
  <c r="W87" i="7" s="1"/>
  <c r="R88" i="7"/>
  <c r="S88" i="7" s="1"/>
  <c r="T88" i="7"/>
  <c r="U88" i="7" s="1"/>
  <c r="V88" i="7" s="1"/>
  <c r="W88" i="7" s="1"/>
  <c r="R89" i="7"/>
  <c r="S89" i="7"/>
  <c r="T89" i="7"/>
  <c r="U89" i="7" s="1"/>
  <c r="V89" i="7" s="1"/>
  <c r="W89" i="7" s="1"/>
  <c r="R90" i="7"/>
  <c r="S90" i="7" s="1"/>
  <c r="T90" i="7"/>
  <c r="U90" i="7" s="1"/>
  <c r="V90" i="7" s="1"/>
  <c r="W90" i="7" s="1"/>
  <c r="R91" i="7"/>
  <c r="S91" i="7"/>
  <c r="T91" i="7"/>
  <c r="U91" i="7" s="1"/>
  <c r="V91" i="7" s="1"/>
  <c r="W91" i="7" s="1"/>
  <c r="R92" i="7"/>
  <c r="S92" i="7" s="1"/>
  <c r="T92" i="7"/>
  <c r="U92" i="7" s="1"/>
  <c r="V92" i="7" s="1"/>
  <c r="W92" i="7" s="1"/>
  <c r="R93" i="7"/>
  <c r="S93" i="7"/>
  <c r="T93" i="7"/>
  <c r="U93" i="7" s="1"/>
  <c r="V93" i="7" s="1"/>
  <c r="W93" i="7" s="1"/>
  <c r="R94" i="7"/>
  <c r="S94" i="7" s="1"/>
  <c r="T94" i="7"/>
  <c r="U94" i="7" s="1"/>
  <c r="V94" i="7" s="1"/>
  <c r="W94" i="7" s="1"/>
  <c r="R95" i="7"/>
  <c r="S95" i="7" s="1"/>
  <c r="T95" i="7"/>
  <c r="U95" i="7" s="1"/>
  <c r="V95" i="7" s="1"/>
  <c r="W95" i="7" s="1"/>
  <c r="R96" i="7"/>
  <c r="S96" i="7" s="1"/>
  <c r="T96" i="7"/>
  <c r="U96" i="7" s="1"/>
  <c r="V96" i="7" s="1"/>
  <c r="W96" i="7" s="1"/>
  <c r="R97" i="7"/>
  <c r="S97" i="7"/>
  <c r="T97" i="7"/>
  <c r="U97" i="7" s="1"/>
  <c r="V97" i="7" s="1"/>
  <c r="W97" i="7" s="1"/>
  <c r="R98" i="7"/>
  <c r="S98" i="7" s="1"/>
  <c r="T98" i="7"/>
  <c r="U98" i="7" s="1"/>
  <c r="V98" i="7" s="1"/>
  <c r="W98" i="7" s="1"/>
  <c r="R99" i="7"/>
  <c r="S99" i="7"/>
  <c r="T99" i="7"/>
  <c r="U99" i="7" s="1"/>
  <c r="V99" i="7" s="1"/>
  <c r="W99" i="7" s="1"/>
  <c r="R100" i="7"/>
  <c r="S100" i="7" s="1"/>
  <c r="T100" i="7"/>
  <c r="U100" i="7" s="1"/>
  <c r="V100" i="7" s="1"/>
  <c r="W100" i="7" s="1"/>
  <c r="R101" i="7"/>
  <c r="S101" i="7"/>
  <c r="T101" i="7"/>
  <c r="U101" i="7" s="1"/>
  <c r="V101" i="7" s="1"/>
  <c r="W101" i="7" s="1"/>
  <c r="R102" i="7"/>
  <c r="S102" i="7" s="1"/>
  <c r="T102" i="7"/>
  <c r="U102" i="7" s="1"/>
  <c r="V102" i="7" s="1"/>
  <c r="W102" i="7" s="1"/>
  <c r="R103" i="7"/>
  <c r="S103" i="7" s="1"/>
  <c r="T103" i="7"/>
  <c r="U103" i="7" s="1"/>
  <c r="V103" i="7" s="1"/>
  <c r="W103" i="7" s="1"/>
  <c r="R104" i="7"/>
  <c r="S104" i="7" s="1"/>
  <c r="T104" i="7"/>
  <c r="U104" i="7" s="1"/>
  <c r="V104" i="7" s="1"/>
  <c r="W104" i="7" s="1"/>
  <c r="R105" i="7"/>
  <c r="S105" i="7"/>
  <c r="T105" i="7"/>
  <c r="U105" i="7" s="1"/>
  <c r="V105" i="7" s="1"/>
  <c r="W105" i="7" s="1"/>
  <c r="R106" i="7"/>
  <c r="S106" i="7" s="1"/>
  <c r="T106" i="7"/>
  <c r="U106" i="7" s="1"/>
  <c r="V106" i="7" s="1"/>
  <c r="W106" i="7" s="1"/>
  <c r="R107" i="7"/>
  <c r="S107" i="7"/>
  <c r="T107" i="7"/>
  <c r="U107" i="7" s="1"/>
  <c r="V107" i="7" s="1"/>
  <c r="W107" i="7" s="1"/>
  <c r="R108" i="7"/>
  <c r="S108" i="7" s="1"/>
  <c r="T108" i="7"/>
  <c r="U108" i="7" s="1"/>
  <c r="V108" i="7" s="1"/>
  <c r="W108" i="7" s="1"/>
  <c r="R109" i="7"/>
  <c r="S109" i="7"/>
  <c r="T109" i="7"/>
  <c r="U109" i="7" s="1"/>
  <c r="V109" i="7" s="1"/>
  <c r="W109" i="7" s="1"/>
  <c r="R110" i="7"/>
  <c r="S110" i="7" s="1"/>
  <c r="T110" i="7"/>
  <c r="U110" i="7" s="1"/>
  <c r="V110" i="7" s="1"/>
  <c r="W110" i="7" s="1"/>
  <c r="R111" i="7"/>
  <c r="S111" i="7" s="1"/>
  <c r="T111" i="7"/>
  <c r="U111" i="7" s="1"/>
  <c r="V111" i="7" s="1"/>
  <c r="W111" i="7" s="1"/>
  <c r="R112" i="7"/>
  <c r="S112" i="7" s="1"/>
  <c r="T112" i="7"/>
  <c r="U112" i="7" s="1"/>
  <c r="V112" i="7" s="1"/>
  <c r="W112" i="7" s="1"/>
  <c r="R113" i="7"/>
  <c r="S113" i="7"/>
  <c r="T113" i="7"/>
  <c r="U113" i="7" s="1"/>
  <c r="V113" i="7" s="1"/>
  <c r="W113" i="7" s="1"/>
  <c r="R114" i="7"/>
  <c r="S114" i="7" s="1"/>
  <c r="T114" i="7"/>
  <c r="U114" i="7" s="1"/>
  <c r="V114" i="7" s="1"/>
  <c r="W114" i="7" s="1"/>
  <c r="R115" i="7"/>
  <c r="S115" i="7"/>
  <c r="T115" i="7"/>
  <c r="U115" i="7" s="1"/>
  <c r="V115" i="7" s="1"/>
  <c r="W115" i="7" s="1"/>
  <c r="R116" i="7"/>
  <c r="S116" i="7" s="1"/>
  <c r="T116" i="7"/>
  <c r="U116" i="7" s="1"/>
  <c r="V116" i="7" s="1"/>
  <c r="W116" i="7" s="1"/>
  <c r="R117" i="7"/>
  <c r="S117" i="7"/>
  <c r="T117" i="7"/>
  <c r="U117" i="7" s="1"/>
  <c r="V117" i="7" s="1"/>
  <c r="W117" i="7" s="1"/>
  <c r="R118" i="7"/>
  <c r="S118" i="7" s="1"/>
  <c r="T118" i="7"/>
  <c r="U118" i="7" s="1"/>
  <c r="V118" i="7" s="1"/>
  <c r="W118" i="7" s="1"/>
  <c r="R119" i="7"/>
  <c r="S119" i="7" s="1"/>
  <c r="T119" i="7"/>
  <c r="U119" i="7" s="1"/>
  <c r="V119" i="7" s="1"/>
  <c r="W119" i="7" s="1"/>
  <c r="R120" i="7"/>
  <c r="S120" i="7" s="1"/>
  <c r="T120" i="7"/>
  <c r="U120" i="7" s="1"/>
  <c r="V120" i="7" s="1"/>
  <c r="W120" i="7" s="1"/>
  <c r="R121" i="7"/>
  <c r="S121" i="7"/>
  <c r="T121" i="7"/>
  <c r="U121" i="7" s="1"/>
  <c r="V121" i="7" s="1"/>
  <c r="W121" i="7" s="1"/>
  <c r="R122" i="7"/>
  <c r="S122" i="7" s="1"/>
  <c r="T122" i="7"/>
  <c r="U122" i="7" s="1"/>
  <c r="V122" i="7" s="1"/>
  <c r="W122" i="7" s="1"/>
  <c r="R123" i="7"/>
  <c r="S123" i="7"/>
  <c r="T123" i="7"/>
  <c r="U123" i="7" s="1"/>
  <c r="V123" i="7" s="1"/>
  <c r="W123" i="7" s="1"/>
  <c r="R124" i="7"/>
  <c r="S124" i="7" s="1"/>
  <c r="T124" i="7"/>
  <c r="U124" i="7" s="1"/>
  <c r="V124" i="7" s="1"/>
  <c r="W124" i="7" s="1"/>
  <c r="R125" i="7"/>
  <c r="S125" i="7"/>
  <c r="T125" i="7"/>
  <c r="U125" i="7" s="1"/>
  <c r="V125" i="7" s="1"/>
  <c r="W125" i="7" s="1"/>
  <c r="R126" i="7"/>
  <c r="S126" i="7" s="1"/>
  <c r="T126" i="7"/>
  <c r="U126" i="7" s="1"/>
  <c r="V126" i="7" s="1"/>
  <c r="W126" i="7" s="1"/>
  <c r="R127" i="7"/>
  <c r="S127" i="7" s="1"/>
  <c r="T127" i="7"/>
  <c r="U127" i="7" s="1"/>
  <c r="V127" i="7" s="1"/>
  <c r="W127" i="7" s="1"/>
  <c r="R128" i="7"/>
  <c r="S128" i="7" s="1"/>
  <c r="T128" i="7"/>
  <c r="U128" i="7" s="1"/>
  <c r="V128" i="7" s="1"/>
  <c r="W128" i="7" s="1"/>
  <c r="R129" i="7"/>
  <c r="S129" i="7"/>
  <c r="T129" i="7"/>
  <c r="U129" i="7" s="1"/>
  <c r="V129" i="7" s="1"/>
  <c r="W129" i="7" s="1"/>
  <c r="R130" i="7"/>
  <c r="S130" i="7" s="1"/>
  <c r="T130" i="7"/>
  <c r="U130" i="7" s="1"/>
  <c r="V130" i="7" s="1"/>
  <c r="W130" i="7" s="1"/>
  <c r="R131" i="7"/>
  <c r="S131" i="7"/>
  <c r="T131" i="7"/>
  <c r="U131" i="7" s="1"/>
  <c r="V131" i="7" s="1"/>
  <c r="W131" i="7" s="1"/>
  <c r="R132" i="7"/>
  <c r="S132" i="7" s="1"/>
  <c r="T132" i="7"/>
  <c r="U132" i="7" s="1"/>
  <c r="V132" i="7" s="1"/>
  <c r="W132" i="7" s="1"/>
  <c r="R133" i="7"/>
  <c r="S133" i="7"/>
  <c r="T133" i="7"/>
  <c r="U133" i="7" s="1"/>
  <c r="V133" i="7" s="1"/>
  <c r="W133" i="7" s="1"/>
  <c r="R134" i="7"/>
  <c r="S134" i="7" s="1"/>
  <c r="T134" i="7"/>
  <c r="U134" i="7" s="1"/>
  <c r="V134" i="7" s="1"/>
  <c r="W134" i="7" s="1"/>
  <c r="R135" i="7"/>
  <c r="S135" i="7"/>
  <c r="T135" i="7"/>
  <c r="U135" i="7" s="1"/>
  <c r="V135" i="7" s="1"/>
  <c r="W135" i="7" s="1"/>
  <c r="R136" i="7"/>
  <c r="S136" i="7" s="1"/>
  <c r="T136" i="7"/>
  <c r="U136" i="7" s="1"/>
  <c r="V136" i="7" s="1"/>
  <c r="W136" i="7" s="1"/>
  <c r="R137" i="7"/>
  <c r="S137" i="7" s="1"/>
  <c r="T137" i="7"/>
  <c r="U137" i="7" s="1"/>
  <c r="V137" i="7" s="1"/>
  <c r="W137" i="7" s="1"/>
  <c r="R138" i="7"/>
  <c r="S138" i="7"/>
  <c r="T138" i="7"/>
  <c r="U138" i="7" s="1"/>
  <c r="V138" i="7" s="1"/>
  <c r="W138" i="7" s="1"/>
  <c r="R139" i="7"/>
  <c r="S139" i="7" s="1"/>
  <c r="T139" i="7"/>
  <c r="U139" i="7" s="1"/>
  <c r="V139" i="7" s="1"/>
  <c r="W139" i="7" s="1"/>
  <c r="R140" i="7"/>
  <c r="S140" i="7"/>
  <c r="T140" i="7"/>
  <c r="U140" i="7" s="1"/>
  <c r="V140" i="7" s="1"/>
  <c r="W140" i="7" s="1"/>
  <c r="R141" i="7"/>
  <c r="S141" i="7" s="1"/>
  <c r="T141" i="7"/>
  <c r="U141" i="7" s="1"/>
  <c r="V141" i="7" s="1"/>
  <c r="W141" i="7" s="1"/>
  <c r="R142" i="7"/>
  <c r="S142" i="7"/>
  <c r="T142" i="7"/>
  <c r="U142" i="7" s="1"/>
  <c r="V142" i="7" s="1"/>
  <c r="W142" i="7" s="1"/>
  <c r="R143" i="7"/>
  <c r="S143" i="7"/>
  <c r="T143" i="7"/>
  <c r="U143" i="7" s="1"/>
  <c r="V143" i="7" s="1"/>
  <c r="W143" i="7" s="1"/>
  <c r="R144" i="7"/>
  <c r="S144" i="7" s="1"/>
  <c r="T144" i="7"/>
  <c r="U144" i="7" s="1"/>
  <c r="V144" i="7" s="1"/>
  <c r="W144" i="7" s="1"/>
  <c r="R145" i="7"/>
  <c r="S145" i="7"/>
  <c r="T145" i="7"/>
  <c r="U145" i="7" s="1"/>
  <c r="V145" i="7" s="1"/>
  <c r="W145" i="7" s="1"/>
  <c r="R146" i="7"/>
  <c r="S146" i="7" s="1"/>
  <c r="T146" i="7"/>
  <c r="U146" i="7" s="1"/>
  <c r="V146" i="7" s="1"/>
  <c r="W146" i="7" s="1"/>
  <c r="R147" i="7"/>
  <c r="S147" i="7" s="1"/>
  <c r="T147" i="7"/>
  <c r="U147" i="7" s="1"/>
  <c r="V147" i="7" s="1"/>
  <c r="W147" i="7" s="1"/>
  <c r="R148" i="7"/>
  <c r="S148" i="7" s="1"/>
  <c r="T148" i="7"/>
  <c r="U148" i="7" s="1"/>
  <c r="V148" i="7" s="1"/>
  <c r="W148" i="7" s="1"/>
  <c r="R149" i="7"/>
  <c r="S149" i="7"/>
  <c r="T149" i="7"/>
  <c r="U149" i="7" s="1"/>
  <c r="V149" i="7" s="1"/>
  <c r="W149" i="7" s="1"/>
  <c r="R150" i="7"/>
  <c r="S150" i="7" s="1"/>
  <c r="T150" i="7"/>
  <c r="U150" i="7" s="1"/>
  <c r="V150" i="7" s="1"/>
  <c r="W150" i="7" s="1"/>
  <c r="R151" i="7"/>
  <c r="S151" i="7" s="1"/>
  <c r="T151" i="7"/>
  <c r="U151" i="7" s="1"/>
  <c r="V151" i="7" s="1"/>
  <c r="W151" i="7" s="1"/>
  <c r="R152" i="7"/>
  <c r="S152" i="7" s="1"/>
  <c r="T152" i="7"/>
  <c r="U152" i="7" s="1"/>
  <c r="V152" i="7" s="1"/>
  <c r="W152" i="7" s="1"/>
  <c r="R153" i="7"/>
  <c r="S153" i="7"/>
  <c r="T153" i="7"/>
  <c r="U153" i="7" s="1"/>
  <c r="V153" i="7" s="1"/>
  <c r="W153" i="7" s="1"/>
  <c r="R154" i="7"/>
  <c r="S154" i="7" s="1"/>
  <c r="T154" i="7"/>
  <c r="U154" i="7" s="1"/>
  <c r="V154" i="7" s="1"/>
  <c r="W154" i="7" s="1"/>
  <c r="R155" i="7"/>
  <c r="S155" i="7"/>
  <c r="T155" i="7"/>
  <c r="U155" i="7" s="1"/>
  <c r="V155" i="7" s="1"/>
  <c r="W155" i="7" s="1"/>
  <c r="R156" i="7"/>
  <c r="S156" i="7" s="1"/>
  <c r="T156" i="7"/>
  <c r="U156" i="7" s="1"/>
  <c r="V156" i="7" s="1"/>
  <c r="W156" i="7" s="1"/>
  <c r="R157" i="7"/>
  <c r="S157" i="7" s="1"/>
  <c r="T157" i="7"/>
  <c r="U157" i="7" s="1"/>
  <c r="V157" i="7" s="1"/>
  <c r="W157" i="7" s="1"/>
  <c r="R158" i="7"/>
  <c r="S158" i="7" s="1"/>
  <c r="T158" i="7"/>
  <c r="U158" i="7" s="1"/>
  <c r="V158" i="7" s="1"/>
  <c r="W158" i="7" s="1"/>
  <c r="R159" i="7"/>
  <c r="S159" i="7"/>
  <c r="T159" i="7"/>
  <c r="U159" i="7" s="1"/>
  <c r="V159" i="7" s="1"/>
  <c r="W159" i="7" s="1"/>
  <c r="R160" i="7"/>
  <c r="S160" i="7" s="1"/>
  <c r="T160" i="7"/>
  <c r="U160" i="7" s="1"/>
  <c r="V160" i="7" s="1"/>
  <c r="W160" i="7" s="1"/>
  <c r="R161" i="7"/>
  <c r="S161" i="7" s="1"/>
  <c r="T161" i="7"/>
  <c r="U161" i="7" s="1"/>
  <c r="V161" i="7" s="1"/>
  <c r="W161" i="7" s="1"/>
  <c r="R162" i="7"/>
  <c r="S162" i="7" s="1"/>
  <c r="T162" i="7"/>
  <c r="U162" i="7" s="1"/>
  <c r="V162" i="7" s="1"/>
  <c r="W162" i="7" s="1"/>
  <c r="R163" i="7"/>
  <c r="S163" i="7"/>
  <c r="T163" i="7"/>
  <c r="U163" i="7" s="1"/>
  <c r="V163" i="7" s="1"/>
  <c r="W163" i="7" s="1"/>
  <c r="R164" i="7"/>
  <c r="S164" i="7" s="1"/>
  <c r="T164" i="7"/>
  <c r="U164" i="7" s="1"/>
  <c r="V164" i="7" s="1"/>
  <c r="W164" i="7" s="1"/>
  <c r="R165" i="7"/>
  <c r="S165" i="7"/>
  <c r="T165" i="7"/>
  <c r="U165" i="7" s="1"/>
  <c r="V165" i="7" s="1"/>
  <c r="W165" i="7" s="1"/>
  <c r="R166" i="7"/>
  <c r="S166" i="7" s="1"/>
  <c r="T166" i="7"/>
  <c r="U166" i="7" s="1"/>
  <c r="V166" i="7" s="1"/>
  <c r="W166" i="7" s="1"/>
  <c r="R167" i="7"/>
  <c r="S167" i="7"/>
  <c r="T167" i="7"/>
  <c r="U167" i="7" s="1"/>
  <c r="V167" i="7" s="1"/>
  <c r="W167" i="7" s="1"/>
  <c r="R168" i="7"/>
  <c r="S168" i="7" s="1"/>
  <c r="T168" i="7"/>
  <c r="U168" i="7" s="1"/>
  <c r="V168" i="7" s="1"/>
  <c r="W168" i="7" s="1"/>
  <c r="R169" i="7"/>
  <c r="S169" i="7" s="1"/>
  <c r="T169" i="7"/>
  <c r="U169" i="7" s="1"/>
  <c r="V169" i="7" s="1"/>
  <c r="W169" i="7" s="1"/>
  <c r="R170" i="7"/>
  <c r="S170" i="7" s="1"/>
  <c r="T170" i="7"/>
  <c r="U170" i="7" s="1"/>
  <c r="V170" i="7" s="1"/>
  <c r="W170" i="7" s="1"/>
  <c r="R171" i="7"/>
  <c r="S171" i="7"/>
  <c r="T171" i="7"/>
  <c r="U171" i="7" s="1"/>
  <c r="V171" i="7" s="1"/>
  <c r="W171" i="7" s="1"/>
  <c r="R172" i="7"/>
  <c r="S172" i="7" s="1"/>
  <c r="T172" i="7"/>
  <c r="U172" i="7" s="1"/>
  <c r="V172" i="7" s="1"/>
  <c r="W172" i="7" s="1"/>
  <c r="R173" i="7"/>
  <c r="S173" i="7" s="1"/>
  <c r="T173" i="7"/>
  <c r="U173" i="7" s="1"/>
  <c r="V173" i="7" s="1"/>
  <c r="W173" i="7" s="1"/>
  <c r="R174" i="7"/>
  <c r="S174" i="7" s="1"/>
  <c r="T174" i="7"/>
  <c r="U174" i="7" s="1"/>
  <c r="V174" i="7" s="1"/>
  <c r="W174" i="7" s="1"/>
  <c r="R175" i="7"/>
  <c r="S175" i="7"/>
  <c r="T175" i="7"/>
  <c r="U175" i="7" s="1"/>
  <c r="V175" i="7" s="1"/>
  <c r="W175" i="7" s="1"/>
  <c r="R176" i="7"/>
  <c r="S176" i="7" s="1"/>
  <c r="T176" i="7"/>
  <c r="U176" i="7" s="1"/>
  <c r="V176" i="7" s="1"/>
  <c r="W176" i="7" s="1"/>
  <c r="R177" i="7"/>
  <c r="S177" i="7" s="1"/>
  <c r="T177" i="7"/>
  <c r="U177" i="7" s="1"/>
  <c r="V177" i="7" s="1"/>
  <c r="W177" i="7" s="1"/>
  <c r="R178" i="7"/>
  <c r="S178" i="7" s="1"/>
  <c r="T178" i="7"/>
  <c r="U178" i="7" s="1"/>
  <c r="V178" i="7" s="1"/>
  <c r="W178" i="7" s="1"/>
  <c r="R179" i="7"/>
  <c r="S179" i="7"/>
  <c r="T179" i="7"/>
  <c r="U179" i="7" s="1"/>
  <c r="V179" i="7" s="1"/>
  <c r="W179" i="7" s="1"/>
  <c r="R180" i="7"/>
  <c r="S180" i="7" s="1"/>
  <c r="T180" i="7"/>
  <c r="U180" i="7" s="1"/>
  <c r="V180" i="7" s="1"/>
  <c r="W180" i="7" s="1"/>
  <c r="R181" i="7"/>
  <c r="S181" i="7"/>
  <c r="T181" i="7"/>
  <c r="U181" i="7" s="1"/>
  <c r="V181" i="7" s="1"/>
  <c r="W181" i="7" s="1"/>
  <c r="R182" i="7"/>
  <c r="S182" i="7" s="1"/>
  <c r="T182" i="7"/>
  <c r="U182" i="7" s="1"/>
  <c r="V182" i="7" s="1"/>
  <c r="W182" i="7" s="1"/>
  <c r="R183" i="7"/>
  <c r="S183" i="7" s="1"/>
  <c r="T183" i="7"/>
  <c r="U183" i="7" s="1"/>
  <c r="V183" i="7" s="1"/>
  <c r="W183" i="7" s="1"/>
  <c r="R184" i="7"/>
  <c r="S184" i="7" s="1"/>
  <c r="T184" i="7"/>
  <c r="U184" i="7" s="1"/>
  <c r="V184" i="7" s="1"/>
  <c r="W184" i="7" s="1"/>
  <c r="R185" i="7"/>
  <c r="S185" i="7"/>
  <c r="T185" i="7"/>
  <c r="U185" i="7" s="1"/>
  <c r="V185" i="7" s="1"/>
  <c r="W185" i="7" s="1"/>
  <c r="R186" i="7"/>
  <c r="S186" i="7" s="1"/>
  <c r="T186" i="7"/>
  <c r="U186" i="7" s="1"/>
  <c r="V186" i="7" s="1"/>
  <c r="W186" i="7" s="1"/>
  <c r="R187" i="7"/>
  <c r="S187" i="7"/>
  <c r="T187" i="7"/>
  <c r="U187" i="7" s="1"/>
  <c r="V187" i="7" s="1"/>
  <c r="W187" i="7" s="1"/>
  <c r="R188" i="7"/>
  <c r="S188" i="7" s="1"/>
  <c r="T188" i="7"/>
  <c r="U188" i="7" s="1"/>
  <c r="V188" i="7" s="1"/>
  <c r="W188" i="7" s="1"/>
  <c r="R189" i="7"/>
  <c r="S189" i="7" s="1"/>
  <c r="T189" i="7"/>
  <c r="U189" i="7" s="1"/>
  <c r="V189" i="7" s="1"/>
  <c r="W189" i="7" s="1"/>
  <c r="R190" i="7"/>
  <c r="S190" i="7" s="1"/>
  <c r="T190" i="7"/>
  <c r="U190" i="7" s="1"/>
  <c r="V190" i="7" s="1"/>
  <c r="W190" i="7" s="1"/>
  <c r="R191" i="7"/>
  <c r="S191" i="7"/>
  <c r="T191" i="7"/>
  <c r="U191" i="7" s="1"/>
  <c r="V191" i="7" s="1"/>
  <c r="W191" i="7" s="1"/>
  <c r="R192" i="7"/>
  <c r="S192" i="7" s="1"/>
  <c r="T192" i="7"/>
  <c r="U192" i="7" s="1"/>
  <c r="V192" i="7" s="1"/>
  <c r="W192" i="7" s="1"/>
  <c r="R193" i="7"/>
  <c r="S193" i="7" s="1"/>
  <c r="T193" i="7"/>
  <c r="U193" i="7" s="1"/>
  <c r="V193" i="7" s="1"/>
  <c r="W193" i="7" s="1"/>
  <c r="R194" i="7"/>
  <c r="S194" i="7" s="1"/>
  <c r="T194" i="7"/>
  <c r="U194" i="7" s="1"/>
  <c r="V194" i="7" s="1"/>
  <c r="W194" i="7" s="1"/>
  <c r="R195" i="7"/>
  <c r="S195" i="7" s="1"/>
  <c r="T195" i="7"/>
  <c r="U195" i="7" s="1"/>
  <c r="V195" i="7" s="1"/>
  <c r="W195" i="7" s="1"/>
  <c r="R196" i="7"/>
  <c r="S196" i="7" s="1"/>
  <c r="T196" i="7"/>
  <c r="U196" i="7" s="1"/>
  <c r="V196" i="7" s="1"/>
  <c r="W196" i="7" s="1"/>
  <c r="R197" i="7"/>
  <c r="S197" i="7"/>
  <c r="T197" i="7"/>
  <c r="U197" i="7" s="1"/>
  <c r="V197" i="7" s="1"/>
  <c r="W197" i="7" s="1"/>
  <c r="R198" i="7"/>
  <c r="S198" i="7" s="1"/>
  <c r="T198" i="7"/>
  <c r="U198" i="7" s="1"/>
  <c r="V198" i="7" s="1"/>
  <c r="W198" i="7" s="1"/>
  <c r="R199" i="7"/>
  <c r="S199" i="7" s="1"/>
  <c r="T199" i="7"/>
  <c r="U199" i="7" s="1"/>
  <c r="V199" i="7" s="1"/>
  <c r="W199" i="7" s="1"/>
  <c r="R200" i="7"/>
  <c r="S200" i="7" s="1"/>
  <c r="T200" i="7"/>
  <c r="U200" i="7" s="1"/>
  <c r="V200" i="7" s="1"/>
  <c r="W200" i="7" s="1"/>
  <c r="R201" i="7"/>
  <c r="S201" i="7" s="1"/>
  <c r="T201" i="7"/>
  <c r="U201" i="7" s="1"/>
  <c r="V201" i="7" s="1"/>
  <c r="W201" i="7" s="1"/>
  <c r="R202" i="7"/>
  <c r="S202" i="7" s="1"/>
  <c r="T202" i="7"/>
  <c r="U202" i="7" s="1"/>
  <c r="V202" i="7" s="1"/>
  <c r="W202" i="7" s="1"/>
  <c r="R203" i="7"/>
  <c r="S203" i="7"/>
  <c r="T203" i="7"/>
  <c r="U203" i="7" s="1"/>
  <c r="V203" i="7" s="1"/>
  <c r="W203" i="7" s="1"/>
  <c r="R204" i="7"/>
  <c r="S204" i="7" s="1"/>
  <c r="T204" i="7"/>
  <c r="U204" i="7" s="1"/>
  <c r="V204" i="7" s="1"/>
  <c r="W204" i="7" s="1"/>
  <c r="R205" i="7"/>
  <c r="S205" i="7" s="1"/>
  <c r="T205" i="7"/>
  <c r="U205" i="7" s="1"/>
  <c r="V205" i="7" s="1"/>
  <c r="W205" i="7" s="1"/>
  <c r="R206" i="7"/>
  <c r="S206" i="7" s="1"/>
  <c r="T206" i="7"/>
  <c r="U206" i="7" s="1"/>
  <c r="V206" i="7" s="1"/>
  <c r="W206" i="7" s="1"/>
  <c r="R207" i="7"/>
  <c r="S207" i="7" s="1"/>
  <c r="T207" i="7"/>
  <c r="U207" i="7" s="1"/>
  <c r="V207" i="7" s="1"/>
  <c r="W207" i="7" s="1"/>
  <c r="R208" i="7"/>
  <c r="S208" i="7" s="1"/>
  <c r="T208" i="7"/>
  <c r="U208" i="7" s="1"/>
  <c r="V208" i="7" s="1"/>
  <c r="W208" i="7" s="1"/>
  <c r="R209" i="7"/>
  <c r="S209" i="7"/>
  <c r="T209" i="7"/>
  <c r="U209" i="7" s="1"/>
  <c r="V209" i="7" s="1"/>
  <c r="W209" i="7" s="1"/>
  <c r="R210" i="7"/>
  <c r="S210" i="7" s="1"/>
  <c r="T210" i="7"/>
  <c r="U210" i="7" s="1"/>
  <c r="V210" i="7" s="1"/>
  <c r="W210" i="7" s="1"/>
  <c r="R211" i="7"/>
  <c r="S211" i="7" s="1"/>
  <c r="T211" i="7"/>
  <c r="U211" i="7" s="1"/>
  <c r="V211" i="7" s="1"/>
  <c r="W211" i="7" s="1"/>
  <c r="R212" i="7"/>
  <c r="S212" i="7" s="1"/>
  <c r="T212" i="7"/>
  <c r="U212" i="7" s="1"/>
  <c r="V212" i="7" s="1"/>
  <c r="W212" i="7" s="1"/>
  <c r="R213" i="7"/>
  <c r="S213" i="7"/>
  <c r="T213" i="7"/>
  <c r="U213" i="7" s="1"/>
  <c r="V213" i="7" s="1"/>
  <c r="W213" i="7" s="1"/>
  <c r="R214" i="7"/>
  <c r="S214" i="7" s="1"/>
  <c r="T214" i="7"/>
  <c r="U214" i="7" s="1"/>
  <c r="V214" i="7" s="1"/>
  <c r="W214" i="7" s="1"/>
  <c r="R215" i="7"/>
  <c r="S215" i="7" s="1"/>
  <c r="T215" i="7"/>
  <c r="U215" i="7" s="1"/>
  <c r="V215" i="7" s="1"/>
  <c r="W215" i="7" s="1"/>
  <c r="R216" i="7"/>
  <c r="S216" i="7" s="1"/>
  <c r="T216" i="7"/>
  <c r="U216" i="7" s="1"/>
  <c r="V216" i="7" s="1"/>
  <c r="W216" i="7" s="1"/>
  <c r="R217" i="7"/>
  <c r="S217" i="7"/>
  <c r="T217" i="7"/>
  <c r="U217" i="7" s="1"/>
  <c r="V217" i="7" s="1"/>
  <c r="W217" i="7" s="1"/>
  <c r="R218" i="7"/>
  <c r="S218" i="7" s="1"/>
  <c r="T218" i="7"/>
  <c r="U218" i="7" s="1"/>
  <c r="V218" i="7" s="1"/>
  <c r="W218" i="7" s="1"/>
  <c r="R219" i="7"/>
  <c r="S219" i="7"/>
  <c r="T219" i="7"/>
  <c r="U219" i="7" s="1"/>
  <c r="V219" i="7" s="1"/>
  <c r="W219" i="7" s="1"/>
  <c r="R220" i="7"/>
  <c r="S220" i="7" s="1"/>
  <c r="T220" i="7"/>
  <c r="U220" i="7" s="1"/>
  <c r="V220" i="7" s="1"/>
  <c r="W220" i="7" s="1"/>
  <c r="R221" i="7"/>
  <c r="S221" i="7" s="1"/>
  <c r="T221" i="7"/>
  <c r="U221" i="7" s="1"/>
  <c r="V221" i="7" s="1"/>
  <c r="W221" i="7" s="1"/>
  <c r="R222" i="7"/>
  <c r="S222" i="7" s="1"/>
  <c r="T222" i="7"/>
  <c r="U222" i="7" s="1"/>
  <c r="V222" i="7" s="1"/>
  <c r="W222" i="7" s="1"/>
  <c r="R223" i="7"/>
  <c r="S223" i="7" s="1"/>
  <c r="T223" i="7"/>
  <c r="U223" i="7" s="1"/>
  <c r="V223" i="7" s="1"/>
  <c r="W223" i="7" s="1"/>
  <c r="R224" i="7"/>
  <c r="S224" i="7" s="1"/>
  <c r="T224" i="7"/>
  <c r="U224" i="7" s="1"/>
  <c r="V224" i="7" s="1"/>
  <c r="W224" i="7" s="1"/>
  <c r="R225" i="7"/>
  <c r="S225" i="7" s="1"/>
  <c r="T225" i="7"/>
  <c r="U225" i="7" s="1"/>
  <c r="V225" i="7" s="1"/>
  <c r="W225" i="7" s="1"/>
  <c r="R226" i="7"/>
  <c r="S226" i="7" s="1"/>
  <c r="T226" i="7"/>
  <c r="U226" i="7" s="1"/>
  <c r="V226" i="7" s="1"/>
  <c r="W226" i="7" s="1"/>
  <c r="R227" i="7"/>
  <c r="S227" i="7" s="1"/>
  <c r="T227" i="7"/>
  <c r="U227" i="7" s="1"/>
  <c r="V227" i="7" s="1"/>
  <c r="W227" i="7" s="1"/>
  <c r="R228" i="7"/>
  <c r="S228" i="7" s="1"/>
  <c r="T228" i="7"/>
  <c r="U228" i="7" s="1"/>
  <c r="V228" i="7" s="1"/>
  <c r="W228" i="7" s="1"/>
  <c r="R229" i="7"/>
  <c r="S229" i="7" s="1"/>
  <c r="T229" i="7"/>
  <c r="U229" i="7" s="1"/>
  <c r="V229" i="7" s="1"/>
  <c r="W229" i="7" s="1"/>
  <c r="R230" i="7"/>
  <c r="S230" i="7" s="1"/>
  <c r="T230" i="7"/>
  <c r="U230" i="7" s="1"/>
  <c r="V230" i="7" s="1"/>
  <c r="W230" i="7" s="1"/>
  <c r="R231" i="7"/>
  <c r="S231" i="7"/>
  <c r="T231" i="7"/>
  <c r="U231" i="7" s="1"/>
  <c r="V231" i="7" s="1"/>
  <c r="W231" i="7" s="1"/>
  <c r="R232" i="7"/>
  <c r="S232" i="7" s="1"/>
  <c r="T232" i="7"/>
  <c r="U232" i="7" s="1"/>
  <c r="V232" i="7" s="1"/>
  <c r="W232" i="7" s="1"/>
  <c r="R233" i="7"/>
  <c r="S233" i="7"/>
  <c r="T233" i="7"/>
  <c r="U233" i="7" s="1"/>
  <c r="V233" i="7" s="1"/>
  <c r="W233" i="7" s="1"/>
  <c r="R234" i="7"/>
  <c r="S234" i="7" s="1"/>
  <c r="T234" i="7"/>
  <c r="U234" i="7" s="1"/>
  <c r="V234" i="7" s="1"/>
  <c r="W234" i="7" s="1"/>
  <c r="R235" i="7"/>
  <c r="S235" i="7"/>
  <c r="T235" i="7"/>
  <c r="U235" i="7" s="1"/>
  <c r="V235" i="7" s="1"/>
  <c r="W235" i="7" s="1"/>
  <c r="R236" i="7"/>
  <c r="S236" i="7" s="1"/>
  <c r="T236" i="7"/>
  <c r="U236" i="7" s="1"/>
  <c r="V236" i="7" s="1"/>
  <c r="W236" i="7" s="1"/>
  <c r="R237" i="7"/>
  <c r="S237" i="7" s="1"/>
  <c r="T237" i="7"/>
  <c r="U237" i="7" s="1"/>
  <c r="V237" i="7" s="1"/>
  <c r="W237" i="7" s="1"/>
  <c r="R238" i="7"/>
  <c r="S238" i="7" s="1"/>
  <c r="T238" i="7"/>
  <c r="U238" i="7" s="1"/>
  <c r="V238" i="7" s="1"/>
  <c r="W238" i="7" s="1"/>
  <c r="R239" i="7"/>
  <c r="S239" i="7" s="1"/>
  <c r="T239" i="7"/>
  <c r="U239" i="7" s="1"/>
  <c r="V239" i="7" s="1"/>
  <c r="W239" i="7" s="1"/>
  <c r="R240" i="7"/>
  <c r="S240" i="7" s="1"/>
  <c r="T240" i="7"/>
  <c r="U240" i="7" s="1"/>
  <c r="V240" i="7" s="1"/>
  <c r="W240" i="7" s="1"/>
  <c r="R241" i="7"/>
  <c r="S241" i="7"/>
  <c r="T241" i="7"/>
  <c r="U241" i="7" s="1"/>
  <c r="V241" i="7" s="1"/>
  <c r="W241" i="7" s="1"/>
  <c r="R242" i="7"/>
  <c r="S242" i="7" s="1"/>
  <c r="T242" i="7"/>
  <c r="U242" i="7" s="1"/>
  <c r="V242" i="7" s="1"/>
  <c r="W242" i="7" s="1"/>
  <c r="R243" i="7"/>
  <c r="S243" i="7"/>
  <c r="T243" i="7"/>
  <c r="U243" i="7" s="1"/>
  <c r="V243" i="7" s="1"/>
  <c r="W243" i="7" s="1"/>
  <c r="R244" i="7"/>
  <c r="S244" i="7" s="1"/>
  <c r="T244" i="7"/>
  <c r="U244" i="7" s="1"/>
  <c r="V244" i="7" s="1"/>
  <c r="W244" i="7" s="1"/>
  <c r="R245" i="7"/>
  <c r="S245" i="7"/>
  <c r="T245" i="7"/>
  <c r="U245" i="7" s="1"/>
  <c r="V245" i="7" s="1"/>
  <c r="W245" i="7" s="1"/>
  <c r="R246" i="7"/>
  <c r="S246" i="7" s="1"/>
  <c r="T246" i="7"/>
  <c r="U246" i="7" s="1"/>
  <c r="V246" i="7" s="1"/>
  <c r="W246" i="7" s="1"/>
  <c r="R247" i="7"/>
  <c r="S247" i="7" s="1"/>
  <c r="T247" i="7"/>
  <c r="U247" i="7" s="1"/>
  <c r="V247" i="7" s="1"/>
  <c r="W247" i="7" s="1"/>
  <c r="R248" i="7"/>
  <c r="S248" i="7" s="1"/>
  <c r="T248" i="7"/>
  <c r="U248" i="7" s="1"/>
  <c r="V248" i="7" s="1"/>
  <c r="W248" i="7" s="1"/>
  <c r="R249" i="7"/>
  <c r="S249" i="7"/>
  <c r="T249" i="7"/>
  <c r="U249" i="7" s="1"/>
  <c r="V249" i="7" s="1"/>
  <c r="W249" i="7" s="1"/>
  <c r="R250" i="7"/>
  <c r="S250" i="7" s="1"/>
  <c r="T250" i="7"/>
  <c r="U250" i="7" s="1"/>
  <c r="V250" i="7" s="1"/>
  <c r="W250" i="7" s="1"/>
  <c r="R251" i="7"/>
  <c r="S251" i="7"/>
  <c r="T251" i="7"/>
  <c r="U251" i="7" s="1"/>
  <c r="V251" i="7" s="1"/>
  <c r="W251" i="7" s="1"/>
  <c r="R252" i="7"/>
  <c r="S252" i="7" s="1"/>
  <c r="T252" i="7"/>
  <c r="U252" i="7" s="1"/>
  <c r="V252" i="7" s="1"/>
  <c r="W252" i="7" s="1"/>
  <c r="R253" i="7"/>
  <c r="S253" i="7" s="1"/>
  <c r="T253" i="7"/>
  <c r="U253" i="7" s="1"/>
  <c r="V253" i="7" s="1"/>
  <c r="W253" i="7" s="1"/>
  <c r="R254" i="7"/>
  <c r="S254" i="7" s="1"/>
  <c r="T254" i="7"/>
  <c r="U254" i="7" s="1"/>
  <c r="V254" i="7" s="1"/>
  <c r="W254" i="7" s="1"/>
  <c r="R255" i="7"/>
  <c r="S255" i="7"/>
  <c r="T255" i="7"/>
  <c r="U255" i="7" s="1"/>
  <c r="V255" i="7" s="1"/>
  <c r="W255" i="7" s="1"/>
  <c r="R256" i="7"/>
  <c r="S256" i="7" s="1"/>
  <c r="T256" i="7"/>
  <c r="U256" i="7" s="1"/>
  <c r="V256" i="7" s="1"/>
  <c r="W256" i="7" s="1"/>
  <c r="R257" i="7"/>
  <c r="S257" i="7"/>
  <c r="T257" i="7"/>
  <c r="U257" i="7" s="1"/>
  <c r="V257" i="7" s="1"/>
  <c r="W257" i="7" s="1"/>
  <c r="R258" i="7"/>
  <c r="S258" i="7" s="1"/>
  <c r="T258" i="7"/>
  <c r="U258" i="7" s="1"/>
  <c r="V258" i="7" s="1"/>
  <c r="W258" i="7" s="1"/>
  <c r="R259" i="7"/>
  <c r="S259" i="7" s="1"/>
  <c r="T259" i="7"/>
  <c r="U259" i="7" s="1"/>
  <c r="V259" i="7" s="1"/>
  <c r="W259" i="7" s="1"/>
  <c r="R260" i="7"/>
  <c r="S260" i="7" s="1"/>
  <c r="T260" i="7"/>
  <c r="U260" i="7" s="1"/>
  <c r="V260" i="7" s="1"/>
  <c r="W260" i="7" s="1"/>
  <c r="R261" i="7"/>
  <c r="S261" i="7" s="1"/>
  <c r="T261" i="7"/>
  <c r="U261" i="7" s="1"/>
  <c r="V261" i="7" s="1"/>
  <c r="W261" i="7" s="1"/>
  <c r="R262" i="7"/>
  <c r="S262" i="7" s="1"/>
  <c r="T262" i="7"/>
  <c r="U262" i="7" s="1"/>
  <c r="V262" i="7" s="1"/>
  <c r="W262" i="7" s="1"/>
  <c r="R263" i="7"/>
  <c r="S263" i="7"/>
  <c r="T263" i="7"/>
  <c r="U263" i="7" s="1"/>
  <c r="V263" i="7" s="1"/>
  <c r="W263" i="7" s="1"/>
  <c r="R264" i="7"/>
  <c r="S264" i="7" s="1"/>
  <c r="T264" i="7"/>
  <c r="U264" i="7" s="1"/>
  <c r="V264" i="7" s="1"/>
  <c r="W264" i="7" s="1"/>
  <c r="R265" i="7"/>
  <c r="S265" i="7" s="1"/>
  <c r="T265" i="7"/>
  <c r="U265" i="7" s="1"/>
  <c r="V265" i="7" s="1"/>
  <c r="W265" i="7" s="1"/>
  <c r="R266" i="7"/>
  <c r="S266" i="7" s="1"/>
  <c r="T266" i="7"/>
  <c r="U266" i="7" s="1"/>
  <c r="V266" i="7" s="1"/>
  <c r="W266" i="7" s="1"/>
  <c r="R267" i="7"/>
  <c r="S267" i="7"/>
  <c r="T267" i="7"/>
  <c r="U267" i="7" s="1"/>
  <c r="V267" i="7" s="1"/>
  <c r="W267" i="7" s="1"/>
  <c r="R268" i="7"/>
  <c r="S268" i="7" s="1"/>
  <c r="T268" i="7"/>
  <c r="U268" i="7" s="1"/>
  <c r="V268" i="7" s="1"/>
  <c r="W268" i="7" s="1"/>
  <c r="R269" i="7"/>
  <c r="S269" i="7" s="1"/>
  <c r="T269" i="7"/>
  <c r="U269" i="7" s="1"/>
  <c r="V269" i="7" s="1"/>
  <c r="W269" i="7" s="1"/>
  <c r="R270" i="7"/>
  <c r="S270" i="7" s="1"/>
  <c r="T270" i="7"/>
  <c r="U270" i="7" s="1"/>
  <c r="V270" i="7" s="1"/>
  <c r="W270" i="7" s="1"/>
  <c r="R271" i="7"/>
  <c r="S271" i="7" s="1"/>
  <c r="T271" i="7"/>
  <c r="U271" i="7" s="1"/>
  <c r="V271" i="7" s="1"/>
  <c r="W271" i="7" s="1"/>
  <c r="R272" i="7"/>
  <c r="S272" i="7" s="1"/>
  <c r="T272" i="7"/>
  <c r="U272" i="7" s="1"/>
  <c r="V272" i="7" s="1"/>
  <c r="W272" i="7" s="1"/>
  <c r="R273" i="7"/>
  <c r="S273" i="7" s="1"/>
  <c r="T273" i="7"/>
  <c r="U273" i="7" s="1"/>
  <c r="V273" i="7" s="1"/>
  <c r="W273" i="7" s="1"/>
  <c r="R274" i="7"/>
  <c r="S274" i="7" s="1"/>
  <c r="T274" i="7"/>
  <c r="U274" i="7" s="1"/>
  <c r="V274" i="7" s="1"/>
  <c r="W274" i="7" s="1"/>
  <c r="R275" i="7"/>
  <c r="S275" i="7"/>
  <c r="T275" i="7"/>
  <c r="U275" i="7" s="1"/>
  <c r="V275" i="7" s="1"/>
  <c r="W275" i="7" s="1"/>
  <c r="R276" i="7"/>
  <c r="S276" i="7" s="1"/>
  <c r="T276" i="7"/>
  <c r="U276" i="7" s="1"/>
  <c r="V276" i="7" s="1"/>
  <c r="W276" i="7" s="1"/>
  <c r="R277" i="7"/>
  <c r="S277" i="7"/>
  <c r="T277" i="7"/>
  <c r="U277" i="7" s="1"/>
  <c r="V277" i="7" s="1"/>
  <c r="W277" i="7" s="1"/>
  <c r="R278" i="7"/>
  <c r="S278" i="7" s="1"/>
  <c r="T278" i="7"/>
  <c r="U278" i="7" s="1"/>
  <c r="V278" i="7" s="1"/>
  <c r="W278" i="7" s="1"/>
  <c r="R279" i="7"/>
  <c r="S279" i="7"/>
  <c r="T279" i="7"/>
  <c r="U279" i="7" s="1"/>
  <c r="V279" i="7" s="1"/>
  <c r="W279" i="7" s="1"/>
  <c r="R280" i="7"/>
  <c r="S280" i="7" s="1"/>
  <c r="T280" i="7"/>
  <c r="U280" i="7" s="1"/>
  <c r="V280" i="7" s="1"/>
  <c r="W280" i="7" s="1"/>
  <c r="R281" i="7"/>
  <c r="S281" i="7" s="1"/>
  <c r="T281" i="7"/>
  <c r="U281" i="7" s="1"/>
  <c r="V281" i="7" s="1"/>
  <c r="W281" i="7" s="1"/>
  <c r="R282" i="7"/>
  <c r="S282" i="7" s="1"/>
  <c r="T282" i="7"/>
  <c r="U282" i="7" s="1"/>
  <c r="V282" i="7" s="1"/>
  <c r="W282" i="7" s="1"/>
  <c r="R283" i="7"/>
  <c r="S283" i="7" s="1"/>
  <c r="T283" i="7"/>
  <c r="U283" i="7" s="1"/>
  <c r="V283" i="7" s="1"/>
  <c r="W283" i="7" s="1"/>
  <c r="R284" i="7"/>
  <c r="S284" i="7" s="1"/>
  <c r="T284" i="7"/>
  <c r="U284" i="7" s="1"/>
  <c r="V284" i="7" s="1"/>
  <c r="W284" i="7" s="1"/>
  <c r="R285" i="7"/>
  <c r="S285" i="7"/>
  <c r="T285" i="7"/>
  <c r="U285" i="7" s="1"/>
  <c r="V285" i="7" s="1"/>
  <c r="W285" i="7" s="1"/>
  <c r="R286" i="7"/>
  <c r="S286" i="7" s="1"/>
  <c r="T286" i="7"/>
  <c r="U286" i="7" s="1"/>
  <c r="V286" i="7" s="1"/>
  <c r="W286" i="7" s="1"/>
  <c r="R287" i="7"/>
  <c r="S287" i="7"/>
  <c r="T287" i="7"/>
  <c r="U287" i="7" s="1"/>
  <c r="V287" i="7" s="1"/>
  <c r="W287" i="7" s="1"/>
  <c r="R288" i="7"/>
  <c r="S288" i="7" s="1"/>
  <c r="T288" i="7"/>
  <c r="U288" i="7" s="1"/>
  <c r="V288" i="7" s="1"/>
  <c r="W288" i="7" s="1"/>
  <c r="R289" i="7"/>
  <c r="S289" i="7"/>
  <c r="T289" i="7"/>
  <c r="U289" i="7" s="1"/>
  <c r="V289" i="7" s="1"/>
  <c r="W289" i="7" s="1"/>
  <c r="R290" i="7"/>
  <c r="S290" i="7" s="1"/>
  <c r="T290" i="7"/>
  <c r="U290" i="7" s="1"/>
  <c r="V290" i="7" s="1"/>
  <c r="W290" i="7" s="1"/>
  <c r="R291" i="7"/>
  <c r="S291" i="7" s="1"/>
  <c r="T291" i="7"/>
  <c r="U291" i="7" s="1"/>
  <c r="V291" i="7" s="1"/>
  <c r="W291" i="7" s="1"/>
  <c r="R292" i="7"/>
  <c r="S292" i="7" s="1"/>
  <c r="T292" i="7"/>
  <c r="U292" i="7" s="1"/>
  <c r="V292" i="7" s="1"/>
  <c r="W292" i="7" s="1"/>
  <c r="R293" i="7"/>
  <c r="S293" i="7"/>
  <c r="T293" i="7"/>
  <c r="U293" i="7" s="1"/>
  <c r="V293" i="7" s="1"/>
  <c r="W293" i="7" s="1"/>
  <c r="R294" i="7"/>
  <c r="S294" i="7" s="1"/>
  <c r="T294" i="7"/>
  <c r="U294" i="7" s="1"/>
  <c r="V294" i="7" s="1"/>
  <c r="W294" i="7" s="1"/>
  <c r="R295" i="7"/>
  <c r="S295" i="7"/>
  <c r="T295" i="7"/>
  <c r="U295" i="7" s="1"/>
  <c r="V295" i="7" s="1"/>
  <c r="W295" i="7" s="1"/>
  <c r="R296" i="7"/>
  <c r="S296" i="7" s="1"/>
  <c r="T296" i="7"/>
  <c r="U296" i="7" s="1"/>
  <c r="V296" i="7" s="1"/>
  <c r="W296" i="7" s="1"/>
  <c r="R297" i="7"/>
  <c r="S297" i="7" s="1"/>
  <c r="T297" i="7"/>
  <c r="U297" i="7" s="1"/>
  <c r="V297" i="7" s="1"/>
  <c r="W297" i="7" s="1"/>
  <c r="R298" i="7"/>
  <c r="S298" i="7" s="1"/>
  <c r="T298" i="7"/>
  <c r="U298" i="7" s="1"/>
  <c r="V298" i="7" s="1"/>
  <c r="W298" i="7" s="1"/>
  <c r="R299" i="7"/>
  <c r="S299" i="7"/>
  <c r="T299" i="7"/>
  <c r="U299" i="7" s="1"/>
  <c r="V299" i="7" s="1"/>
  <c r="W299" i="7" s="1"/>
  <c r="R300" i="7"/>
  <c r="S300" i="7" s="1"/>
  <c r="T300" i="7"/>
  <c r="U300" i="7" s="1"/>
  <c r="V300" i="7" s="1"/>
  <c r="W300" i="7" s="1"/>
  <c r="R301" i="7"/>
  <c r="S301" i="7"/>
  <c r="T301" i="7"/>
  <c r="U301" i="7" s="1"/>
  <c r="V301" i="7" s="1"/>
  <c r="W301" i="7" s="1"/>
  <c r="R302" i="7"/>
  <c r="S302" i="7" s="1"/>
  <c r="T302" i="7"/>
  <c r="U302" i="7" s="1"/>
  <c r="V302" i="7" s="1"/>
  <c r="W302" i="7" s="1"/>
  <c r="R303" i="7"/>
  <c r="S303" i="7" s="1"/>
  <c r="T303" i="7"/>
  <c r="U303" i="7" s="1"/>
  <c r="V303" i="7" s="1"/>
  <c r="W303" i="7" s="1"/>
  <c r="R304" i="7"/>
  <c r="S304" i="7" s="1"/>
  <c r="T304" i="7"/>
  <c r="U304" i="7" s="1"/>
  <c r="V304" i="7" s="1"/>
  <c r="W304" i="7" s="1"/>
  <c r="R305" i="7"/>
  <c r="S305" i="7" s="1"/>
  <c r="T305" i="7"/>
  <c r="U305" i="7" s="1"/>
  <c r="V305" i="7" s="1"/>
  <c r="W305" i="7" s="1"/>
  <c r="R306" i="7"/>
  <c r="S306" i="7" s="1"/>
  <c r="T306" i="7"/>
  <c r="U306" i="7" s="1"/>
  <c r="V306" i="7" s="1"/>
  <c r="W306" i="7" s="1"/>
  <c r="R307" i="7"/>
  <c r="S307" i="7"/>
  <c r="T307" i="7"/>
  <c r="U307" i="7" s="1"/>
  <c r="V307" i="7" s="1"/>
  <c r="W307" i="7" s="1"/>
  <c r="R308" i="7"/>
  <c r="S308" i="7" s="1"/>
  <c r="T308" i="7"/>
  <c r="U308" i="7" s="1"/>
  <c r="V308" i="7" s="1"/>
  <c r="W308" i="7" s="1"/>
  <c r="R309" i="7"/>
  <c r="S309" i="7" s="1"/>
  <c r="T309" i="7"/>
  <c r="U309" i="7" s="1"/>
  <c r="V309" i="7" s="1"/>
  <c r="W309" i="7" s="1"/>
  <c r="R310" i="7"/>
  <c r="S310" i="7" s="1"/>
  <c r="T310" i="7"/>
  <c r="U310" i="7" s="1"/>
  <c r="V310" i="7" s="1"/>
  <c r="W310" i="7" s="1"/>
  <c r="R311" i="7"/>
  <c r="S311" i="7"/>
  <c r="T311" i="7"/>
  <c r="U311" i="7"/>
  <c r="V311" i="7" s="1"/>
  <c r="W311" i="7" s="1"/>
  <c r="R312" i="7"/>
  <c r="S312" i="7" s="1"/>
  <c r="T312" i="7"/>
  <c r="U312" i="7" s="1"/>
  <c r="V312" i="7" s="1"/>
  <c r="W312" i="7" s="1"/>
  <c r="R313" i="7"/>
  <c r="S313" i="7" s="1"/>
  <c r="T313" i="7"/>
  <c r="U313" i="7" s="1"/>
  <c r="V313" i="7" s="1"/>
  <c r="W313" i="7" s="1"/>
  <c r="R314" i="7"/>
  <c r="S314" i="7" s="1"/>
  <c r="T314" i="7"/>
  <c r="U314" i="7" s="1"/>
  <c r="V314" i="7" s="1"/>
  <c r="W314" i="7" s="1"/>
  <c r="R315" i="7"/>
  <c r="S315" i="7" s="1"/>
  <c r="T315" i="7"/>
  <c r="U315" i="7" s="1"/>
  <c r="V315" i="7" s="1"/>
  <c r="W315" i="7" s="1"/>
  <c r="R316" i="7"/>
  <c r="S316" i="7" s="1"/>
  <c r="T316" i="7"/>
  <c r="U316" i="7" s="1"/>
  <c r="V316" i="7" s="1"/>
  <c r="W316" i="7" s="1"/>
  <c r="R317" i="7"/>
  <c r="S317" i="7"/>
  <c r="T317" i="7"/>
  <c r="U317" i="7" s="1"/>
  <c r="V317" i="7" s="1"/>
  <c r="W317" i="7" s="1"/>
  <c r="R318" i="7"/>
  <c r="S318" i="7" s="1"/>
  <c r="T318" i="7"/>
  <c r="U318" i="7" s="1"/>
  <c r="V318" i="7" s="1"/>
  <c r="W318" i="7" s="1"/>
  <c r="R319" i="7"/>
  <c r="S319" i="7"/>
  <c r="T319" i="7"/>
  <c r="U319" i="7" s="1"/>
  <c r="V319" i="7" s="1"/>
  <c r="W319" i="7" s="1"/>
  <c r="R320" i="7"/>
  <c r="S320" i="7" s="1"/>
  <c r="T320" i="7"/>
  <c r="U320" i="7" s="1"/>
  <c r="V320" i="7" s="1"/>
  <c r="W320" i="7" s="1"/>
  <c r="R321" i="7"/>
  <c r="S321" i="7"/>
  <c r="T321" i="7"/>
  <c r="U321" i="7" s="1"/>
  <c r="V321" i="7" s="1"/>
  <c r="W321" i="7" s="1"/>
  <c r="R322" i="7"/>
  <c r="S322" i="7" s="1"/>
  <c r="T322" i="7"/>
  <c r="U322" i="7" s="1"/>
  <c r="V322" i="7" s="1"/>
  <c r="W322" i="7" s="1"/>
  <c r="R323" i="7"/>
  <c r="S323" i="7"/>
  <c r="T323" i="7"/>
  <c r="U323" i="7" s="1"/>
  <c r="V323" i="7" s="1"/>
  <c r="W323" i="7" s="1"/>
  <c r="R324" i="7"/>
  <c r="S324" i="7" s="1"/>
  <c r="T324" i="7"/>
  <c r="U324" i="7" s="1"/>
  <c r="V324" i="7" s="1"/>
  <c r="W324" i="7" s="1"/>
  <c r="R325" i="7"/>
  <c r="S325" i="7"/>
  <c r="T325" i="7"/>
  <c r="U325" i="7" s="1"/>
  <c r="V325" i="7" s="1"/>
  <c r="W325" i="7" s="1"/>
  <c r="R326" i="7"/>
  <c r="S326" i="7" s="1"/>
  <c r="T326" i="7"/>
  <c r="U326" i="7" s="1"/>
  <c r="V326" i="7" s="1"/>
  <c r="W326" i="7" s="1"/>
  <c r="R327" i="7"/>
  <c r="S327" i="7"/>
  <c r="T327" i="7"/>
  <c r="U327" i="7" s="1"/>
  <c r="V327" i="7" s="1"/>
  <c r="W327" i="7" s="1"/>
  <c r="R328" i="7"/>
  <c r="S328" i="7" s="1"/>
  <c r="T328" i="7"/>
  <c r="U328" i="7" s="1"/>
  <c r="V328" i="7" s="1"/>
  <c r="W328" i="7" s="1"/>
  <c r="R329" i="7"/>
  <c r="S329" i="7" s="1"/>
  <c r="T329" i="7"/>
  <c r="U329" i="7" s="1"/>
  <c r="V329" i="7" s="1"/>
  <c r="W329" i="7" s="1"/>
  <c r="R330" i="7"/>
  <c r="S330" i="7" s="1"/>
  <c r="T330" i="7"/>
  <c r="U330" i="7" s="1"/>
  <c r="V330" i="7" s="1"/>
  <c r="W330" i="7" s="1"/>
  <c r="R331" i="7"/>
  <c r="S331" i="7"/>
  <c r="T331" i="7"/>
  <c r="U331" i="7" s="1"/>
  <c r="V331" i="7" s="1"/>
  <c r="W331" i="7" s="1"/>
  <c r="R332" i="7"/>
  <c r="S332" i="7" s="1"/>
  <c r="T332" i="7"/>
  <c r="U332" i="7" s="1"/>
  <c r="V332" i="7" s="1"/>
  <c r="W332" i="7" s="1"/>
  <c r="R333" i="7"/>
  <c r="S333" i="7" s="1"/>
  <c r="T333" i="7"/>
  <c r="U333" i="7" s="1"/>
  <c r="V333" i="7" s="1"/>
  <c r="W333" i="7" s="1"/>
  <c r="R334" i="7"/>
  <c r="S334" i="7" s="1"/>
  <c r="T334" i="7"/>
  <c r="U334" i="7" s="1"/>
  <c r="V334" i="7" s="1"/>
  <c r="W334" i="7" s="1"/>
  <c r="R335" i="7"/>
  <c r="S335" i="7"/>
  <c r="T335" i="7"/>
  <c r="U335" i="7" s="1"/>
  <c r="V335" i="7" s="1"/>
  <c r="W335" i="7" s="1"/>
  <c r="R336" i="7"/>
  <c r="S336" i="7" s="1"/>
  <c r="T336" i="7"/>
  <c r="U336" i="7" s="1"/>
  <c r="V336" i="7" s="1"/>
  <c r="W336" i="7" s="1"/>
  <c r="R337" i="7"/>
  <c r="S337" i="7" s="1"/>
  <c r="T337" i="7"/>
  <c r="U337" i="7" s="1"/>
  <c r="V337" i="7" s="1"/>
  <c r="W337" i="7" s="1"/>
  <c r="R338" i="7"/>
  <c r="S338" i="7" s="1"/>
  <c r="T338" i="7"/>
  <c r="U338" i="7" s="1"/>
  <c r="V338" i="7" s="1"/>
  <c r="W338" i="7" s="1"/>
  <c r="R339" i="7"/>
  <c r="S339" i="7" s="1"/>
  <c r="T339" i="7"/>
  <c r="U339" i="7" s="1"/>
  <c r="V339" i="7" s="1"/>
  <c r="W339" i="7" s="1"/>
  <c r="R340" i="7"/>
  <c r="S340" i="7" s="1"/>
  <c r="T340" i="7"/>
  <c r="U340" i="7" s="1"/>
  <c r="V340" i="7" s="1"/>
  <c r="W340" i="7" s="1"/>
  <c r="R341" i="7"/>
  <c r="S341" i="7" s="1"/>
  <c r="T341" i="7"/>
  <c r="U341" i="7" s="1"/>
  <c r="V341" i="7" s="1"/>
  <c r="W341" i="7" s="1"/>
  <c r="R342" i="7"/>
  <c r="S342" i="7"/>
  <c r="T342" i="7"/>
  <c r="U342" i="7" s="1"/>
  <c r="V342" i="7" s="1"/>
  <c r="W342" i="7" s="1"/>
  <c r="R343" i="7"/>
  <c r="S343" i="7" s="1"/>
  <c r="T343" i="7"/>
  <c r="U343" i="7" s="1"/>
  <c r="V343" i="7" s="1"/>
  <c r="W343" i="7" s="1"/>
  <c r="R344" i="7"/>
  <c r="S344" i="7" s="1"/>
  <c r="T344" i="7"/>
  <c r="U344" i="7" s="1"/>
  <c r="V344" i="7" s="1"/>
  <c r="W344" i="7" s="1"/>
  <c r="R345" i="7"/>
  <c r="S345" i="7"/>
  <c r="T345" i="7"/>
  <c r="U345" i="7" s="1"/>
  <c r="V345" i="7" s="1"/>
  <c r="W345" i="7" s="1"/>
  <c r="R346" i="7"/>
  <c r="S346" i="7" s="1"/>
  <c r="T346" i="7"/>
  <c r="U346" i="7" s="1"/>
  <c r="V346" i="7" s="1"/>
  <c r="W346" i="7" s="1"/>
  <c r="R347" i="7"/>
  <c r="S347" i="7"/>
  <c r="T347" i="7"/>
  <c r="U347" i="7" s="1"/>
  <c r="V347" i="7" s="1"/>
  <c r="W347" i="7" s="1"/>
  <c r="R348" i="7"/>
  <c r="S348" i="7" s="1"/>
  <c r="T348" i="7"/>
  <c r="U348" i="7" s="1"/>
  <c r="V348" i="7" s="1"/>
  <c r="W348" i="7" s="1"/>
  <c r="R349" i="7"/>
  <c r="S349" i="7" s="1"/>
  <c r="T349" i="7"/>
  <c r="U349" i="7" s="1"/>
  <c r="V349" i="7" s="1"/>
  <c r="W349" i="7" s="1"/>
  <c r="R350" i="7"/>
  <c r="S350" i="7" s="1"/>
  <c r="T350" i="7"/>
  <c r="U350" i="7" s="1"/>
  <c r="V350" i="7" s="1"/>
  <c r="W350" i="7" s="1"/>
  <c r="R351" i="7"/>
  <c r="S351" i="7"/>
  <c r="T351" i="7"/>
  <c r="U351" i="7" s="1"/>
  <c r="V351" i="7" s="1"/>
  <c r="W351" i="7" s="1"/>
  <c r="R352" i="7"/>
  <c r="S352" i="7" s="1"/>
  <c r="T352" i="7"/>
  <c r="U352" i="7" s="1"/>
  <c r="V352" i="7" s="1"/>
  <c r="W352" i="7" s="1"/>
  <c r="R353" i="7"/>
  <c r="S353" i="7" s="1"/>
  <c r="T353" i="7"/>
  <c r="U353" i="7" s="1"/>
  <c r="V353" i="7" s="1"/>
  <c r="W353" i="7" s="1"/>
  <c r="R354" i="7"/>
  <c r="S354" i="7" s="1"/>
  <c r="T354" i="7"/>
  <c r="U354" i="7" s="1"/>
  <c r="V354" i="7" s="1"/>
  <c r="W354" i="7" s="1"/>
  <c r="R355" i="7"/>
  <c r="S355" i="7" s="1"/>
  <c r="T355" i="7"/>
  <c r="U355" i="7" s="1"/>
  <c r="V355" i="7" s="1"/>
  <c r="W355" i="7" s="1"/>
  <c r="R356" i="7"/>
  <c r="S356" i="7"/>
  <c r="T356" i="7"/>
  <c r="U356" i="7" s="1"/>
  <c r="V356" i="7" s="1"/>
  <c r="W356" i="7" s="1"/>
  <c r="R357" i="7"/>
  <c r="S357" i="7"/>
  <c r="T357" i="7"/>
  <c r="U357" i="7" s="1"/>
  <c r="V357" i="7" s="1"/>
  <c r="W357" i="7" s="1"/>
  <c r="R358" i="7"/>
  <c r="S358" i="7"/>
  <c r="T358" i="7"/>
  <c r="U358" i="7" s="1"/>
  <c r="V358" i="7" s="1"/>
  <c r="W358" i="7" s="1"/>
  <c r="R359" i="7"/>
  <c r="S359" i="7"/>
  <c r="T359" i="7"/>
  <c r="U359" i="7" s="1"/>
  <c r="V359" i="7" s="1"/>
  <c r="W359" i="7" s="1"/>
  <c r="R360" i="7"/>
  <c r="S360" i="7" s="1"/>
  <c r="T360" i="7"/>
  <c r="U360" i="7" s="1"/>
  <c r="V360" i="7" s="1"/>
  <c r="W360" i="7" s="1"/>
  <c r="R361" i="7"/>
  <c r="S361" i="7" s="1"/>
  <c r="T361" i="7"/>
  <c r="U361" i="7" s="1"/>
  <c r="V361" i="7" s="1"/>
  <c r="W361" i="7" s="1"/>
  <c r="R362" i="7"/>
  <c r="S362" i="7" s="1"/>
  <c r="T362" i="7"/>
  <c r="U362" i="7" s="1"/>
  <c r="V362" i="7" s="1"/>
  <c r="W362" i="7"/>
  <c r="R363" i="7"/>
  <c r="S363" i="7" s="1"/>
  <c r="T363" i="7"/>
  <c r="U363" i="7" s="1"/>
  <c r="V363" i="7" s="1"/>
  <c r="W363" i="7" s="1"/>
  <c r="R364" i="7"/>
  <c r="S364" i="7" s="1"/>
  <c r="T364" i="7"/>
  <c r="U364" i="7" s="1"/>
  <c r="V364" i="7" s="1"/>
  <c r="W364" i="7" s="1"/>
  <c r="R365" i="7"/>
  <c r="S365" i="7" s="1"/>
  <c r="T365" i="7"/>
  <c r="U365" i="7" s="1"/>
  <c r="V365" i="7" s="1"/>
  <c r="W365" i="7" s="1"/>
  <c r="R366" i="7"/>
  <c r="S366" i="7"/>
  <c r="T366" i="7"/>
  <c r="U366" i="7" s="1"/>
  <c r="V366" i="7" s="1"/>
  <c r="W366" i="7" s="1"/>
  <c r="R367" i="7"/>
  <c r="S367" i="7" s="1"/>
  <c r="T367" i="7"/>
  <c r="U367" i="7" s="1"/>
  <c r="V367" i="7" s="1"/>
  <c r="W367" i="7" s="1"/>
  <c r="R368" i="7"/>
  <c r="S368" i="7"/>
  <c r="T368" i="7"/>
  <c r="U368" i="7" s="1"/>
  <c r="V368" i="7" s="1"/>
  <c r="W368" i="7" s="1"/>
  <c r="R369" i="7"/>
  <c r="S369" i="7" s="1"/>
  <c r="T369" i="7"/>
  <c r="U369" i="7" s="1"/>
  <c r="V369" i="7" s="1"/>
  <c r="W369" i="7" s="1"/>
  <c r="R370" i="7"/>
  <c r="S370" i="7" s="1"/>
  <c r="T370" i="7"/>
  <c r="U370" i="7" s="1"/>
  <c r="V370" i="7" s="1"/>
  <c r="W370" i="7" s="1"/>
  <c r="R371" i="7"/>
  <c r="S371" i="7" s="1"/>
  <c r="T371" i="7"/>
  <c r="U371" i="7" s="1"/>
  <c r="V371" i="7" s="1"/>
  <c r="W371" i="7" s="1"/>
  <c r="R372" i="7"/>
  <c r="S372" i="7" s="1"/>
  <c r="T372" i="7"/>
  <c r="U372" i="7" s="1"/>
  <c r="V372" i="7" s="1"/>
  <c r="W372" i="7" s="1"/>
  <c r="R373" i="7"/>
  <c r="S373" i="7" s="1"/>
  <c r="T373" i="7"/>
  <c r="U373" i="7" s="1"/>
  <c r="V373" i="7" s="1"/>
  <c r="W373" i="7" s="1"/>
  <c r="R374" i="7"/>
  <c r="S374" i="7"/>
  <c r="T374" i="7"/>
  <c r="U374" i="7" s="1"/>
  <c r="V374" i="7" s="1"/>
  <c r="W374" i="7" s="1"/>
  <c r="R375" i="7"/>
  <c r="S375" i="7" s="1"/>
  <c r="T375" i="7"/>
  <c r="U375" i="7" s="1"/>
  <c r="V375" i="7" s="1"/>
  <c r="W375" i="7" s="1"/>
  <c r="R376" i="7"/>
  <c r="S376" i="7"/>
  <c r="T376" i="7"/>
  <c r="U376" i="7" s="1"/>
  <c r="V376" i="7" s="1"/>
  <c r="W376" i="7" s="1"/>
  <c r="R377" i="7"/>
  <c r="S377" i="7" s="1"/>
  <c r="T377" i="7"/>
  <c r="U377" i="7" s="1"/>
  <c r="V377" i="7" s="1"/>
  <c r="W377" i="7" s="1"/>
  <c r="R378" i="7"/>
  <c r="S378" i="7"/>
  <c r="T378" i="7"/>
  <c r="U378" i="7" s="1"/>
  <c r="V378" i="7" s="1"/>
  <c r="W378" i="7" s="1"/>
  <c r="R379" i="7"/>
  <c r="S379" i="7" s="1"/>
  <c r="T379" i="7"/>
  <c r="U379" i="7" s="1"/>
  <c r="V379" i="7" s="1"/>
  <c r="W379" i="7" s="1"/>
  <c r="R380" i="7"/>
  <c r="S380" i="7" s="1"/>
  <c r="T380" i="7"/>
  <c r="U380" i="7" s="1"/>
  <c r="V380" i="7" s="1"/>
  <c r="W380" i="7" s="1"/>
  <c r="R381" i="7"/>
  <c r="S381" i="7" s="1"/>
  <c r="T381" i="7"/>
  <c r="U381" i="7" s="1"/>
  <c r="V381" i="7" s="1"/>
  <c r="W381" i="7" s="1"/>
  <c r="R382" i="7"/>
  <c r="S382" i="7"/>
  <c r="T382" i="7"/>
  <c r="U382" i="7" s="1"/>
  <c r="V382" i="7" s="1"/>
  <c r="W382" i="7" s="1"/>
  <c r="R383" i="7"/>
  <c r="S383" i="7" s="1"/>
  <c r="T383" i="7"/>
  <c r="U383" i="7" s="1"/>
  <c r="V383" i="7" s="1"/>
  <c r="W383" i="7" s="1"/>
  <c r="R384" i="7"/>
  <c r="S384" i="7"/>
  <c r="T384" i="7"/>
  <c r="U384" i="7" s="1"/>
  <c r="V384" i="7" s="1"/>
  <c r="W384" i="7" s="1"/>
  <c r="R385" i="7"/>
  <c r="S385" i="7" s="1"/>
  <c r="T385" i="7"/>
  <c r="U385" i="7" s="1"/>
  <c r="V385" i="7" s="1"/>
  <c r="W385" i="7" s="1"/>
  <c r="R386" i="7"/>
  <c r="S386" i="7" s="1"/>
  <c r="T386" i="7"/>
  <c r="U386" i="7" s="1"/>
  <c r="V386" i="7" s="1"/>
  <c r="W386" i="7" s="1"/>
  <c r="R387" i="7"/>
  <c r="S387" i="7" s="1"/>
  <c r="T387" i="7"/>
  <c r="U387" i="7" s="1"/>
  <c r="V387" i="7" s="1"/>
  <c r="W387" i="7" s="1"/>
  <c r="R388" i="7"/>
  <c r="S388" i="7"/>
  <c r="T388" i="7"/>
  <c r="U388" i="7" s="1"/>
  <c r="V388" i="7" s="1"/>
  <c r="W388" i="7" s="1"/>
  <c r="R389" i="7"/>
  <c r="S389" i="7" s="1"/>
  <c r="T389" i="7"/>
  <c r="U389" i="7" s="1"/>
  <c r="V389" i="7" s="1"/>
  <c r="W389" i="7" s="1"/>
  <c r="R390" i="7"/>
  <c r="S390" i="7"/>
  <c r="T390" i="7"/>
  <c r="U390" i="7" s="1"/>
  <c r="V390" i="7" s="1"/>
  <c r="W390" i="7" s="1"/>
  <c r="R391" i="7"/>
  <c r="S391" i="7" s="1"/>
  <c r="T391" i="7"/>
  <c r="U391" i="7" s="1"/>
  <c r="V391" i="7" s="1"/>
  <c r="W391" i="7" s="1"/>
  <c r="R392" i="7"/>
  <c r="S392" i="7" s="1"/>
  <c r="T392" i="7"/>
  <c r="U392" i="7" s="1"/>
  <c r="V392" i="7" s="1"/>
  <c r="W392" i="7" s="1"/>
  <c r="R393" i="7"/>
  <c r="S393" i="7" s="1"/>
  <c r="T393" i="7"/>
  <c r="U393" i="7" s="1"/>
  <c r="V393" i="7" s="1"/>
  <c r="W393" i="7" s="1"/>
  <c r="R394" i="7"/>
  <c r="S394" i="7" s="1"/>
  <c r="T394" i="7"/>
  <c r="U394" i="7" s="1"/>
  <c r="V394" i="7" s="1"/>
  <c r="W394" i="7" s="1"/>
  <c r="R395" i="7"/>
  <c r="S395" i="7" s="1"/>
  <c r="T395" i="7"/>
  <c r="U395" i="7" s="1"/>
  <c r="V395" i="7" s="1"/>
  <c r="W395" i="7" s="1"/>
  <c r="R396" i="7"/>
  <c r="S396" i="7"/>
  <c r="T396" i="7"/>
  <c r="U396" i="7" s="1"/>
  <c r="V396" i="7" s="1"/>
  <c r="W396" i="7" s="1"/>
  <c r="R397" i="7"/>
  <c r="S397" i="7" s="1"/>
  <c r="T397" i="7"/>
  <c r="U397" i="7" s="1"/>
  <c r="V397" i="7" s="1"/>
  <c r="W397" i="7" s="1"/>
  <c r="R398" i="7"/>
  <c r="S398" i="7" s="1"/>
  <c r="T398" i="7"/>
  <c r="U398" i="7" s="1"/>
  <c r="V398" i="7" s="1"/>
  <c r="W398" i="7" s="1"/>
  <c r="R399" i="7"/>
  <c r="S399" i="7" s="1"/>
  <c r="T399" i="7"/>
  <c r="U399" i="7" s="1"/>
  <c r="V399" i="7" s="1"/>
  <c r="W399" i="7" s="1"/>
  <c r="R400" i="7"/>
  <c r="S400" i="7"/>
  <c r="T400" i="7"/>
  <c r="U400" i="7" s="1"/>
  <c r="V400" i="7" s="1"/>
  <c r="W400" i="7" s="1"/>
  <c r="R401" i="7"/>
  <c r="S401" i="7" s="1"/>
  <c r="T401" i="7"/>
  <c r="U401" i="7" s="1"/>
  <c r="V401" i="7" s="1"/>
  <c r="W401" i="7" s="1"/>
  <c r="R402" i="7"/>
  <c r="S402" i="7" s="1"/>
  <c r="T402" i="7"/>
  <c r="U402" i="7" s="1"/>
  <c r="V402" i="7" s="1"/>
  <c r="W402" i="7" s="1"/>
  <c r="R403" i="7"/>
  <c r="S403" i="7" s="1"/>
  <c r="T403" i="7"/>
  <c r="U403" i="7" s="1"/>
  <c r="V403" i="7" s="1"/>
  <c r="W403" i="7" s="1"/>
  <c r="R404" i="7"/>
  <c r="S404" i="7" s="1"/>
  <c r="T404" i="7"/>
  <c r="U404" i="7" s="1"/>
  <c r="V404" i="7" s="1"/>
  <c r="W404" i="7" s="1"/>
  <c r="R405" i="7"/>
  <c r="S405" i="7" s="1"/>
  <c r="T405" i="7"/>
  <c r="U405" i="7" s="1"/>
  <c r="V405" i="7" s="1"/>
  <c r="W405" i="7" s="1"/>
  <c r="R406" i="7"/>
  <c r="S406" i="7"/>
  <c r="T406" i="7"/>
  <c r="U406" i="7" s="1"/>
  <c r="V406" i="7" s="1"/>
  <c r="W406" i="7" s="1"/>
  <c r="R407" i="7"/>
  <c r="S407" i="7" s="1"/>
  <c r="T407" i="7"/>
  <c r="U407" i="7" s="1"/>
  <c r="V407" i="7" s="1"/>
  <c r="W407" i="7" s="1"/>
  <c r="R408" i="7"/>
  <c r="S408" i="7"/>
  <c r="T408" i="7"/>
  <c r="U408" i="7" s="1"/>
  <c r="V408" i="7" s="1"/>
  <c r="W408" i="7" s="1"/>
  <c r="R409" i="7"/>
  <c r="S409" i="7" s="1"/>
  <c r="T409" i="7"/>
  <c r="U409" i="7" s="1"/>
  <c r="V409" i="7" s="1"/>
  <c r="W409" i="7" s="1"/>
  <c r="R410" i="7"/>
  <c r="S410" i="7"/>
  <c r="T410" i="7"/>
  <c r="U410" i="7" s="1"/>
  <c r="V410" i="7" s="1"/>
  <c r="W410" i="7" s="1"/>
  <c r="R411" i="7"/>
  <c r="S411" i="7" s="1"/>
  <c r="T411" i="7"/>
  <c r="U411" i="7" s="1"/>
  <c r="V411" i="7" s="1"/>
  <c r="W411" i="7" s="1"/>
  <c r="R412" i="7"/>
  <c r="S412" i="7"/>
  <c r="T412" i="7"/>
  <c r="U412" i="7" s="1"/>
  <c r="V412" i="7" s="1"/>
  <c r="W412" i="7" s="1"/>
  <c r="R413" i="7"/>
  <c r="S413" i="7" s="1"/>
  <c r="T413" i="7"/>
  <c r="U413" i="7" s="1"/>
  <c r="V413" i="7" s="1"/>
  <c r="W413" i="7" s="1"/>
  <c r="R414" i="7"/>
  <c r="S414" i="7"/>
  <c r="T414" i="7"/>
  <c r="U414" i="7" s="1"/>
  <c r="V414" i="7" s="1"/>
  <c r="W414" i="7" s="1"/>
  <c r="R415" i="7"/>
  <c r="S415" i="7" s="1"/>
  <c r="T415" i="7"/>
  <c r="U415" i="7" s="1"/>
  <c r="V415" i="7" s="1"/>
  <c r="W415" i="7" s="1"/>
  <c r="R416" i="7"/>
  <c r="S416" i="7"/>
  <c r="T416" i="7"/>
  <c r="U416" i="7" s="1"/>
  <c r="V416" i="7" s="1"/>
  <c r="W416" i="7" s="1"/>
  <c r="R417" i="7"/>
  <c r="S417" i="7"/>
  <c r="T417" i="7"/>
  <c r="U417" i="7" s="1"/>
  <c r="V417" i="7" s="1"/>
  <c r="W417" i="7" s="1"/>
  <c r="R418" i="7"/>
  <c r="S418" i="7" s="1"/>
  <c r="T418" i="7"/>
  <c r="U418" i="7" s="1"/>
  <c r="V418" i="7" s="1"/>
  <c r="W418" i="7" s="1"/>
  <c r="R419" i="7"/>
  <c r="S419" i="7" s="1"/>
  <c r="T419" i="7"/>
  <c r="U419" i="7" s="1"/>
  <c r="V419" i="7" s="1"/>
  <c r="W419" i="7" s="1"/>
  <c r="R420" i="7"/>
  <c r="S420" i="7" s="1"/>
  <c r="T420" i="7"/>
  <c r="U420" i="7" s="1"/>
  <c r="V420" i="7" s="1"/>
  <c r="W420" i="7" s="1"/>
  <c r="R421" i="7"/>
  <c r="S421" i="7" s="1"/>
  <c r="T421" i="7"/>
  <c r="U421" i="7" s="1"/>
  <c r="V421" i="7" s="1"/>
  <c r="W421" i="7" s="1"/>
  <c r="R422" i="7"/>
  <c r="S422" i="7"/>
  <c r="T422" i="7"/>
  <c r="U422" i="7" s="1"/>
  <c r="V422" i="7" s="1"/>
  <c r="W422" i="7" s="1"/>
  <c r="R423" i="7"/>
  <c r="S423" i="7" s="1"/>
  <c r="T423" i="7"/>
  <c r="U423" i="7" s="1"/>
  <c r="V423" i="7" s="1"/>
  <c r="W423" i="7" s="1"/>
  <c r="R424" i="7"/>
  <c r="S424" i="7" s="1"/>
  <c r="T424" i="7"/>
  <c r="U424" i="7" s="1"/>
  <c r="V424" i="7" s="1"/>
  <c r="W424" i="7" s="1"/>
  <c r="R425" i="7"/>
  <c r="S425" i="7" s="1"/>
  <c r="T425" i="7"/>
  <c r="U425" i="7" s="1"/>
  <c r="V425" i="7" s="1"/>
  <c r="W425" i="7" s="1"/>
  <c r="R426" i="7"/>
  <c r="S426" i="7"/>
  <c r="T426" i="7"/>
  <c r="U426" i="7" s="1"/>
  <c r="V426" i="7" s="1"/>
  <c r="W426" i="7" s="1"/>
  <c r="R427" i="7"/>
  <c r="S427" i="7" s="1"/>
  <c r="T427" i="7"/>
  <c r="U427" i="7" s="1"/>
  <c r="V427" i="7" s="1"/>
  <c r="W427" i="7" s="1"/>
  <c r="R428" i="7"/>
  <c r="S428" i="7" s="1"/>
  <c r="T428" i="7"/>
  <c r="U428" i="7" s="1"/>
  <c r="V428" i="7" s="1"/>
  <c r="W428" i="7" s="1"/>
  <c r="R429" i="7"/>
  <c r="S429" i="7" s="1"/>
  <c r="T429" i="7"/>
  <c r="U429" i="7" s="1"/>
  <c r="V429" i="7" s="1"/>
  <c r="W429" i="7" s="1"/>
  <c r="R430" i="7"/>
  <c r="S430" i="7"/>
  <c r="T430" i="7"/>
  <c r="U430" i="7" s="1"/>
  <c r="V430" i="7" s="1"/>
  <c r="W430" i="7" s="1"/>
  <c r="R431" i="7"/>
  <c r="S431" i="7" s="1"/>
  <c r="T431" i="7"/>
  <c r="U431" i="7" s="1"/>
  <c r="V431" i="7" s="1"/>
  <c r="W431" i="7"/>
  <c r="R432" i="7"/>
  <c r="S432" i="7" s="1"/>
  <c r="T432" i="7"/>
  <c r="U432" i="7" s="1"/>
  <c r="V432" i="7" s="1"/>
  <c r="W432" i="7" s="1"/>
  <c r="R433" i="7"/>
  <c r="S433" i="7"/>
  <c r="T433" i="7"/>
  <c r="U433" i="7" s="1"/>
  <c r="V433" i="7" s="1"/>
  <c r="W433" i="7" s="1"/>
  <c r="R434" i="7"/>
  <c r="S434" i="7"/>
  <c r="T434" i="7"/>
  <c r="U434" i="7" s="1"/>
  <c r="V434" i="7" s="1"/>
  <c r="W434" i="7" s="1"/>
  <c r="R435" i="7"/>
  <c r="S435" i="7"/>
  <c r="T435" i="7"/>
  <c r="U435" i="7" s="1"/>
  <c r="V435" i="7" s="1"/>
  <c r="W435" i="7" s="1"/>
  <c r="R436" i="7"/>
  <c r="S436" i="7"/>
  <c r="T436" i="7"/>
  <c r="U436" i="7" s="1"/>
  <c r="V436" i="7" s="1"/>
  <c r="W436" i="7" s="1"/>
  <c r="R437" i="7"/>
  <c r="S437" i="7"/>
  <c r="T437" i="7"/>
  <c r="U437" i="7" s="1"/>
  <c r="V437" i="7" s="1"/>
  <c r="W437" i="7" s="1"/>
  <c r="R438" i="7"/>
  <c r="S438" i="7" s="1"/>
  <c r="T438" i="7"/>
  <c r="U438" i="7" s="1"/>
  <c r="V438" i="7" s="1"/>
  <c r="W438" i="7" s="1"/>
  <c r="R439" i="7"/>
  <c r="S439" i="7" s="1"/>
  <c r="T439" i="7"/>
  <c r="U439" i="7" s="1"/>
  <c r="V439" i="7" s="1"/>
  <c r="W439" i="7" s="1"/>
  <c r="R440" i="7"/>
  <c r="S440" i="7" s="1"/>
  <c r="T440" i="7"/>
  <c r="U440" i="7" s="1"/>
  <c r="V440" i="7" s="1"/>
  <c r="W440" i="7" s="1"/>
  <c r="R441" i="7"/>
  <c r="S441" i="7" s="1"/>
  <c r="T441" i="7"/>
  <c r="U441" i="7" s="1"/>
  <c r="V441" i="7" s="1"/>
  <c r="W441" i="7" s="1"/>
  <c r="R442" i="7"/>
  <c r="S442" i="7" s="1"/>
  <c r="T442" i="7"/>
  <c r="U442" i="7" s="1"/>
  <c r="V442" i="7" s="1"/>
  <c r="W442" i="7" s="1"/>
  <c r="R443" i="7"/>
  <c r="S443" i="7" s="1"/>
  <c r="T443" i="7"/>
  <c r="U443" i="7" s="1"/>
  <c r="V443" i="7" s="1"/>
  <c r="W443" i="7" s="1"/>
  <c r="R444" i="7"/>
  <c r="S444" i="7" s="1"/>
  <c r="T444" i="7"/>
  <c r="U444" i="7" s="1"/>
  <c r="V444" i="7" s="1"/>
  <c r="W444" i="7" s="1"/>
  <c r="R445" i="7"/>
  <c r="S445" i="7"/>
  <c r="T445" i="7"/>
  <c r="U445" i="7" s="1"/>
  <c r="V445" i="7" s="1"/>
  <c r="W445" i="7" s="1"/>
  <c r="R446" i="7"/>
  <c r="S446" i="7" s="1"/>
  <c r="T446" i="7"/>
  <c r="U446" i="7" s="1"/>
  <c r="V446" i="7" s="1"/>
  <c r="W446" i="7" s="1"/>
  <c r="R447" i="7"/>
  <c r="S447" i="7"/>
  <c r="T447" i="7"/>
  <c r="U447" i="7" s="1"/>
  <c r="V447" i="7" s="1"/>
  <c r="W447" i="7" s="1"/>
  <c r="R448" i="7"/>
  <c r="S448" i="7" s="1"/>
  <c r="T448" i="7"/>
  <c r="U448" i="7" s="1"/>
  <c r="V448" i="7" s="1"/>
  <c r="W448" i="7" s="1"/>
  <c r="R449" i="7"/>
  <c r="S449" i="7"/>
  <c r="T449" i="7"/>
  <c r="U449" i="7" s="1"/>
  <c r="V449" i="7" s="1"/>
  <c r="W449" i="7" s="1"/>
  <c r="R450" i="7"/>
  <c r="S450" i="7" s="1"/>
  <c r="T450" i="7"/>
  <c r="U450" i="7" s="1"/>
  <c r="V450" i="7" s="1"/>
  <c r="W450" i="7" s="1"/>
  <c r="R451" i="7"/>
  <c r="S451" i="7" s="1"/>
  <c r="T451" i="7"/>
  <c r="U451" i="7" s="1"/>
  <c r="V451" i="7" s="1"/>
  <c r="W451" i="7" s="1"/>
  <c r="R452" i="7"/>
  <c r="S452" i="7" s="1"/>
  <c r="T452" i="7"/>
  <c r="U452" i="7" s="1"/>
  <c r="V452" i="7" s="1"/>
  <c r="W452" i="7" s="1"/>
  <c r="R453" i="7"/>
  <c r="S453" i="7" s="1"/>
  <c r="T453" i="7"/>
  <c r="U453" i="7" s="1"/>
  <c r="V453" i="7" s="1"/>
  <c r="W453" i="7" s="1"/>
  <c r="R454" i="7"/>
  <c r="S454" i="7" s="1"/>
  <c r="T454" i="7"/>
  <c r="U454" i="7" s="1"/>
  <c r="V454" i="7" s="1"/>
  <c r="W454" i="7" s="1"/>
  <c r="R455" i="7"/>
  <c r="S455" i="7"/>
  <c r="T455" i="7"/>
  <c r="U455" i="7" s="1"/>
  <c r="V455" i="7" s="1"/>
  <c r="W455" i="7" s="1"/>
  <c r="R456" i="7"/>
  <c r="S456" i="7" s="1"/>
  <c r="T456" i="7"/>
  <c r="U456" i="7" s="1"/>
  <c r="V456" i="7" s="1"/>
  <c r="W456" i="7" s="1"/>
  <c r="R457" i="7"/>
  <c r="S457" i="7"/>
  <c r="T457" i="7"/>
  <c r="U457" i="7" s="1"/>
  <c r="V457" i="7" s="1"/>
  <c r="W457" i="7" s="1"/>
  <c r="R458" i="7"/>
  <c r="S458" i="7" s="1"/>
  <c r="T458" i="7"/>
  <c r="U458" i="7" s="1"/>
  <c r="V458" i="7" s="1"/>
  <c r="W458" i="7" s="1"/>
  <c r="R459" i="7"/>
  <c r="S459" i="7"/>
  <c r="T459" i="7"/>
  <c r="U459" i="7" s="1"/>
  <c r="V459" i="7" s="1"/>
  <c r="W459" i="7" s="1"/>
  <c r="R460" i="7"/>
  <c r="S460" i="7" s="1"/>
  <c r="T460" i="7"/>
  <c r="U460" i="7" s="1"/>
  <c r="V460" i="7" s="1"/>
  <c r="W460" i="7" s="1"/>
  <c r="R461" i="7"/>
  <c r="S461" i="7" s="1"/>
  <c r="T461" i="7"/>
  <c r="U461" i="7" s="1"/>
  <c r="V461" i="7" s="1"/>
  <c r="W461" i="7" s="1"/>
  <c r="R462" i="7"/>
  <c r="S462" i="7" s="1"/>
  <c r="T462" i="7"/>
  <c r="U462" i="7" s="1"/>
  <c r="V462" i="7" s="1"/>
  <c r="W462" i="7" s="1"/>
  <c r="R463" i="7"/>
  <c r="S463" i="7"/>
  <c r="T463" i="7"/>
  <c r="U463" i="7" s="1"/>
  <c r="V463" i="7" s="1"/>
  <c r="W463" i="7" s="1"/>
  <c r="R464" i="7"/>
  <c r="S464" i="7" s="1"/>
  <c r="T464" i="7"/>
  <c r="U464" i="7" s="1"/>
  <c r="V464" i="7" s="1"/>
  <c r="W464" i="7" s="1"/>
  <c r="R465" i="7"/>
  <c r="S465" i="7"/>
  <c r="T465" i="7"/>
  <c r="U465" i="7" s="1"/>
  <c r="V465" i="7" s="1"/>
  <c r="W465" i="7" s="1"/>
  <c r="R466" i="7"/>
  <c r="S466" i="7" s="1"/>
  <c r="T466" i="7"/>
  <c r="U466" i="7" s="1"/>
  <c r="V466" i="7" s="1"/>
  <c r="W466" i="7" s="1"/>
  <c r="R467" i="7"/>
  <c r="S467" i="7" s="1"/>
  <c r="T467" i="7"/>
  <c r="U467" i="7" s="1"/>
  <c r="V467" i="7" s="1"/>
  <c r="W467" i="7" s="1"/>
  <c r="R468" i="7"/>
  <c r="S468" i="7" s="1"/>
  <c r="T468" i="7"/>
  <c r="U468" i="7" s="1"/>
  <c r="V468" i="7" s="1"/>
  <c r="W468" i="7" s="1"/>
  <c r="R469" i="7"/>
  <c r="S469" i="7"/>
  <c r="T469" i="7"/>
  <c r="U469" i="7" s="1"/>
  <c r="V469" i="7" s="1"/>
  <c r="W469" i="7" s="1"/>
  <c r="R470" i="7"/>
  <c r="S470" i="7" s="1"/>
  <c r="T470" i="7"/>
  <c r="U470" i="7" s="1"/>
  <c r="V470" i="7" s="1"/>
  <c r="W470" i="7" s="1"/>
  <c r="R471" i="7"/>
  <c r="S471" i="7"/>
  <c r="T471" i="7"/>
  <c r="U471" i="7" s="1"/>
  <c r="V471" i="7" s="1"/>
  <c r="W471" i="7" s="1"/>
  <c r="R472" i="7"/>
  <c r="S472" i="7" s="1"/>
  <c r="T472" i="7"/>
  <c r="U472" i="7" s="1"/>
  <c r="V472" i="7" s="1"/>
  <c r="W472" i="7" s="1"/>
  <c r="R473" i="7"/>
  <c r="S473" i="7" s="1"/>
  <c r="T473" i="7"/>
  <c r="U473" i="7" s="1"/>
  <c r="V473" i="7" s="1"/>
  <c r="W473" i="7" s="1"/>
  <c r="R474" i="7"/>
  <c r="S474" i="7" s="1"/>
  <c r="T474" i="7"/>
  <c r="U474" i="7" s="1"/>
  <c r="V474" i="7" s="1"/>
  <c r="W474" i="7" s="1"/>
  <c r="R475" i="7"/>
  <c r="S475" i="7" s="1"/>
  <c r="T475" i="7"/>
  <c r="U475" i="7" s="1"/>
  <c r="V475" i="7" s="1"/>
  <c r="W475" i="7" s="1"/>
  <c r="R476" i="7"/>
  <c r="S476" i="7" s="1"/>
  <c r="T476" i="7"/>
  <c r="U476" i="7" s="1"/>
  <c r="V476" i="7" s="1"/>
  <c r="W476" i="7" s="1"/>
  <c r="R477" i="7"/>
  <c r="S477" i="7"/>
  <c r="T477" i="7"/>
  <c r="U477" i="7" s="1"/>
  <c r="V477" i="7" s="1"/>
  <c r="W477" i="7" s="1"/>
  <c r="R478" i="7"/>
  <c r="S478" i="7" s="1"/>
  <c r="T478" i="7"/>
  <c r="U478" i="7" s="1"/>
  <c r="V478" i="7" s="1"/>
  <c r="W478" i="7" s="1"/>
  <c r="R479" i="7"/>
  <c r="S479" i="7" s="1"/>
  <c r="T479" i="7"/>
  <c r="U479" i="7" s="1"/>
  <c r="V479" i="7" s="1"/>
  <c r="W479" i="7" s="1"/>
  <c r="R480" i="7"/>
  <c r="S480" i="7" s="1"/>
  <c r="T480" i="7"/>
  <c r="U480" i="7" s="1"/>
  <c r="V480" i="7" s="1"/>
  <c r="W480" i="7" s="1"/>
  <c r="R481" i="7"/>
  <c r="S481" i="7"/>
  <c r="T481" i="7"/>
  <c r="U481" i="7" s="1"/>
  <c r="V481" i="7" s="1"/>
  <c r="W481" i="7" s="1"/>
  <c r="R482" i="7"/>
  <c r="S482" i="7" s="1"/>
  <c r="T482" i="7"/>
  <c r="U482" i="7" s="1"/>
  <c r="V482" i="7" s="1"/>
  <c r="W482" i="7" s="1"/>
  <c r="R483" i="7"/>
  <c r="S483" i="7" s="1"/>
  <c r="T483" i="7"/>
  <c r="U483" i="7" s="1"/>
  <c r="V483" i="7" s="1"/>
  <c r="W483" i="7" s="1"/>
  <c r="R484" i="7"/>
  <c r="S484" i="7" s="1"/>
  <c r="T484" i="7"/>
  <c r="U484" i="7" s="1"/>
  <c r="V484" i="7" s="1"/>
  <c r="W484" i="7" s="1"/>
  <c r="R485" i="7"/>
  <c r="S485" i="7" s="1"/>
  <c r="T485" i="7"/>
  <c r="U485" i="7" s="1"/>
  <c r="V485" i="7" s="1"/>
  <c r="W485" i="7" s="1"/>
  <c r="R486" i="7"/>
  <c r="S486" i="7" s="1"/>
  <c r="T486" i="7"/>
  <c r="U486" i="7" s="1"/>
  <c r="V486" i="7" s="1"/>
  <c r="W486" i="7" s="1"/>
  <c r="R487" i="7"/>
  <c r="S487" i="7"/>
  <c r="T487" i="7"/>
  <c r="U487" i="7" s="1"/>
  <c r="V487" i="7" s="1"/>
  <c r="W487" i="7" s="1"/>
  <c r="R488" i="7"/>
  <c r="S488" i="7" s="1"/>
  <c r="T488" i="7"/>
  <c r="U488" i="7" s="1"/>
  <c r="V488" i="7" s="1"/>
  <c r="W488" i="7" s="1"/>
  <c r="R489" i="7"/>
  <c r="S489" i="7"/>
  <c r="T489" i="7"/>
  <c r="U489" i="7" s="1"/>
  <c r="V489" i="7" s="1"/>
  <c r="W489" i="7" s="1"/>
  <c r="R490" i="7"/>
  <c r="S490" i="7" s="1"/>
  <c r="T490" i="7"/>
  <c r="U490" i="7" s="1"/>
  <c r="V490" i="7" s="1"/>
  <c r="W490" i="7" s="1"/>
  <c r="R491" i="7"/>
  <c r="S491" i="7"/>
  <c r="T491" i="7"/>
  <c r="U491" i="7" s="1"/>
  <c r="V491" i="7" s="1"/>
  <c r="W491" i="7" s="1"/>
  <c r="R492" i="7"/>
  <c r="S492" i="7" s="1"/>
  <c r="T492" i="7"/>
  <c r="U492" i="7" s="1"/>
  <c r="V492" i="7" s="1"/>
  <c r="W492" i="7" s="1"/>
  <c r="R493" i="7"/>
  <c r="S493" i="7"/>
  <c r="T493" i="7"/>
  <c r="U493" i="7" s="1"/>
  <c r="V493" i="7" s="1"/>
  <c r="W493" i="7" s="1"/>
  <c r="R494" i="7"/>
  <c r="S494" i="7" s="1"/>
  <c r="T494" i="7"/>
  <c r="U494" i="7" s="1"/>
  <c r="V494" i="7" s="1"/>
  <c r="W494" i="7" s="1"/>
  <c r="R495" i="7"/>
  <c r="S495" i="7"/>
  <c r="T495" i="7"/>
  <c r="U495" i="7" s="1"/>
  <c r="V495" i="7" s="1"/>
  <c r="W495" i="7" s="1"/>
  <c r="R496" i="7"/>
  <c r="S496" i="7" s="1"/>
  <c r="T496" i="7"/>
  <c r="U496" i="7" s="1"/>
  <c r="V496" i="7" s="1"/>
  <c r="W496" i="7" s="1"/>
  <c r="R497" i="7"/>
  <c r="S497" i="7"/>
  <c r="T497" i="7"/>
  <c r="U497" i="7" s="1"/>
  <c r="V497" i="7" s="1"/>
  <c r="W497" i="7" s="1"/>
  <c r="R498" i="7"/>
  <c r="S498" i="7" s="1"/>
  <c r="T498" i="7"/>
  <c r="U498" i="7" s="1"/>
  <c r="V498" i="7" s="1"/>
  <c r="W498" i="7" s="1"/>
  <c r="R499" i="7"/>
  <c r="S499" i="7" s="1"/>
  <c r="T499" i="7"/>
  <c r="U499" i="7" s="1"/>
  <c r="V499" i="7" s="1"/>
  <c r="W499" i="7" s="1"/>
  <c r="R500" i="7"/>
  <c r="S500" i="7" s="1"/>
  <c r="T500" i="7"/>
  <c r="U500" i="7" s="1"/>
  <c r="V500" i="7"/>
  <c r="W500" i="7" s="1"/>
  <c r="R501" i="7"/>
  <c r="S501" i="7"/>
  <c r="T501" i="7"/>
  <c r="U501" i="7" s="1"/>
  <c r="V501" i="7" s="1"/>
  <c r="W501" i="7" s="1"/>
  <c r="R502" i="7"/>
  <c r="S502" i="7" s="1"/>
  <c r="T502" i="7"/>
  <c r="U502" i="7" s="1"/>
  <c r="V502" i="7" s="1"/>
  <c r="W502" i="7" s="1"/>
  <c r="R503" i="7"/>
  <c r="S503" i="7" s="1"/>
  <c r="T503" i="7"/>
  <c r="U503" i="7" s="1"/>
  <c r="V503" i="7" s="1"/>
  <c r="W503" i="7" s="1"/>
  <c r="R504" i="7"/>
  <c r="S504" i="7" s="1"/>
  <c r="T504" i="7"/>
  <c r="U504" i="7" s="1"/>
  <c r="V504" i="7" s="1"/>
  <c r="W504" i="7" s="1"/>
  <c r="R505" i="7"/>
  <c r="S505" i="7"/>
  <c r="T505" i="7"/>
  <c r="U505" i="7" s="1"/>
  <c r="V505" i="7" s="1"/>
  <c r="W505" i="7" s="1"/>
  <c r="R506" i="7"/>
  <c r="S506" i="7" s="1"/>
  <c r="T506" i="7"/>
  <c r="U506" i="7" s="1"/>
  <c r="V506" i="7" s="1"/>
  <c r="W506" i="7" s="1"/>
  <c r="R507" i="7"/>
  <c r="S507" i="7" s="1"/>
  <c r="T507" i="7"/>
  <c r="U507" i="7" s="1"/>
  <c r="V507" i="7" s="1"/>
  <c r="W507" i="7" s="1"/>
  <c r="R508" i="7"/>
  <c r="S508" i="7" s="1"/>
  <c r="T508" i="7"/>
  <c r="U508" i="7" s="1"/>
  <c r="V508" i="7" s="1"/>
  <c r="W508" i="7" s="1"/>
  <c r="R509" i="7"/>
  <c r="S509" i="7"/>
  <c r="T509" i="7"/>
  <c r="U509" i="7" s="1"/>
  <c r="V509" i="7" s="1"/>
  <c r="W509" i="7" s="1"/>
  <c r="R510" i="7"/>
  <c r="S510" i="7" s="1"/>
  <c r="T510" i="7"/>
  <c r="U510" i="7" s="1"/>
  <c r="V510" i="7" s="1"/>
  <c r="W510" i="7" s="1"/>
  <c r="R511" i="7"/>
  <c r="S511" i="7" s="1"/>
  <c r="T511" i="7"/>
  <c r="U511" i="7" s="1"/>
  <c r="V511" i="7" s="1"/>
  <c r="W511" i="7" s="1"/>
  <c r="R512" i="7"/>
  <c r="S512" i="7" s="1"/>
  <c r="T512" i="7"/>
  <c r="U512" i="7" s="1"/>
  <c r="V512" i="7" s="1"/>
  <c r="W512" i="7" s="1"/>
  <c r="R513" i="7"/>
  <c r="S513" i="7"/>
  <c r="T513" i="7"/>
  <c r="U513" i="7" s="1"/>
  <c r="V513" i="7" s="1"/>
  <c r="W513" i="7" s="1"/>
  <c r="R514" i="7"/>
  <c r="S514" i="7" s="1"/>
  <c r="T514" i="7"/>
  <c r="U514" i="7" s="1"/>
  <c r="V514" i="7" s="1"/>
  <c r="W514" i="7" s="1"/>
  <c r="R515" i="7"/>
  <c r="S515" i="7" s="1"/>
  <c r="T515" i="7"/>
  <c r="U515" i="7" s="1"/>
  <c r="V515" i="7" s="1"/>
  <c r="W515" i="7" s="1"/>
  <c r="R516" i="7"/>
  <c r="S516" i="7" s="1"/>
  <c r="T516" i="7"/>
  <c r="U516" i="7" s="1"/>
  <c r="V516" i="7" s="1"/>
  <c r="W516" i="7" s="1"/>
  <c r="R517" i="7"/>
  <c r="S517" i="7"/>
  <c r="T517" i="7"/>
  <c r="U517" i="7"/>
  <c r="V517" i="7" s="1"/>
  <c r="W517" i="7" s="1"/>
  <c r="R518" i="7"/>
  <c r="S518" i="7" s="1"/>
  <c r="T518" i="7"/>
  <c r="U518" i="7" s="1"/>
  <c r="V518" i="7" s="1"/>
  <c r="W518" i="7" s="1"/>
  <c r="R519" i="7"/>
  <c r="S519" i="7"/>
  <c r="T519" i="7"/>
  <c r="U519" i="7" s="1"/>
  <c r="V519" i="7" s="1"/>
  <c r="W519" i="7" s="1"/>
  <c r="R520" i="7"/>
  <c r="S520" i="7" s="1"/>
  <c r="T520" i="7"/>
  <c r="U520" i="7" s="1"/>
  <c r="V520" i="7" s="1"/>
  <c r="W520" i="7" s="1"/>
  <c r="R521" i="7"/>
  <c r="S521" i="7"/>
  <c r="T521" i="7"/>
  <c r="U521" i="7" s="1"/>
  <c r="V521" i="7" s="1"/>
  <c r="W521" i="7" s="1"/>
  <c r="R522" i="7"/>
  <c r="S522" i="7" s="1"/>
  <c r="T522" i="7"/>
  <c r="U522" i="7" s="1"/>
  <c r="V522" i="7" s="1"/>
  <c r="W522" i="7" s="1"/>
  <c r="R523" i="7"/>
  <c r="S523" i="7" s="1"/>
  <c r="T523" i="7"/>
  <c r="U523" i="7" s="1"/>
  <c r="V523" i="7" s="1"/>
  <c r="W523" i="7" s="1"/>
  <c r="R524" i="7"/>
  <c r="S524" i="7" s="1"/>
  <c r="T524" i="7"/>
  <c r="U524" i="7" s="1"/>
  <c r="V524" i="7" s="1"/>
  <c r="W524" i="7" s="1"/>
  <c r="R525" i="7"/>
  <c r="S525" i="7" s="1"/>
  <c r="T525" i="7"/>
  <c r="U525" i="7" s="1"/>
  <c r="V525" i="7" s="1"/>
  <c r="W525" i="7" s="1"/>
  <c r="R526" i="7"/>
  <c r="S526" i="7" s="1"/>
  <c r="T526" i="7"/>
  <c r="U526" i="7" s="1"/>
  <c r="V526" i="7" s="1"/>
  <c r="W526" i="7" s="1"/>
  <c r="R527" i="7"/>
  <c r="S527" i="7" s="1"/>
  <c r="T527" i="7"/>
  <c r="U527" i="7" s="1"/>
  <c r="V527" i="7" s="1"/>
  <c r="W527" i="7" s="1"/>
  <c r="R528" i="7"/>
  <c r="S528" i="7" s="1"/>
  <c r="T528" i="7"/>
  <c r="U528" i="7" s="1"/>
  <c r="V528" i="7" s="1"/>
  <c r="W528" i="7" s="1"/>
  <c r="R529" i="7"/>
  <c r="S529" i="7"/>
  <c r="T529" i="7"/>
  <c r="U529" i="7" s="1"/>
  <c r="V529" i="7" s="1"/>
  <c r="W529" i="7" s="1"/>
  <c r="R530" i="7"/>
  <c r="S530" i="7" s="1"/>
  <c r="T530" i="7"/>
  <c r="U530" i="7" s="1"/>
  <c r="V530" i="7" s="1"/>
  <c r="W530" i="7" s="1"/>
  <c r="R531" i="7"/>
  <c r="S531" i="7" s="1"/>
  <c r="T531" i="7"/>
  <c r="U531" i="7" s="1"/>
  <c r="V531" i="7" s="1"/>
  <c r="W531" i="7" s="1"/>
  <c r="R532" i="7"/>
  <c r="S532" i="7"/>
  <c r="T532" i="7"/>
  <c r="U532" i="7" s="1"/>
  <c r="V532" i="7" s="1"/>
  <c r="W532" i="7" s="1"/>
  <c r="R533" i="7"/>
  <c r="S533" i="7" s="1"/>
  <c r="T533" i="7"/>
  <c r="U533" i="7" s="1"/>
  <c r="V533" i="7" s="1"/>
  <c r="W533" i="7" s="1"/>
  <c r="R534" i="7"/>
  <c r="S534" i="7" s="1"/>
  <c r="T534" i="7"/>
  <c r="U534" i="7" s="1"/>
  <c r="V534" i="7" s="1"/>
  <c r="W534" i="7" s="1"/>
  <c r="R535" i="7"/>
  <c r="S535" i="7" s="1"/>
  <c r="T535" i="7"/>
  <c r="U535" i="7" s="1"/>
  <c r="V535" i="7" s="1"/>
  <c r="W535" i="7" s="1"/>
  <c r="R536" i="7"/>
  <c r="S536" i="7"/>
  <c r="T536" i="7"/>
  <c r="U536" i="7" s="1"/>
  <c r="V536" i="7" s="1"/>
  <c r="W536" i="7" s="1"/>
  <c r="R537" i="7"/>
  <c r="S537" i="7" s="1"/>
  <c r="T537" i="7"/>
  <c r="U537" i="7" s="1"/>
  <c r="V537" i="7" s="1"/>
  <c r="W537" i="7" s="1"/>
  <c r="R538" i="7"/>
  <c r="S538" i="7"/>
  <c r="T538" i="7"/>
  <c r="U538" i="7" s="1"/>
  <c r="V538" i="7" s="1"/>
  <c r="W538" i="7" s="1"/>
  <c r="R539" i="7"/>
  <c r="S539" i="7" s="1"/>
  <c r="T539" i="7"/>
  <c r="U539" i="7" s="1"/>
  <c r="V539" i="7" s="1"/>
  <c r="W539" i="7" s="1"/>
  <c r="R540" i="7"/>
  <c r="S540" i="7" s="1"/>
  <c r="T540" i="7"/>
  <c r="U540" i="7" s="1"/>
  <c r="V540" i="7" s="1"/>
  <c r="W540" i="7" s="1"/>
  <c r="R541" i="7"/>
  <c r="S541" i="7" s="1"/>
  <c r="T541" i="7"/>
  <c r="U541" i="7" s="1"/>
  <c r="V541" i="7" s="1"/>
  <c r="W541" i="7" s="1"/>
  <c r="R542" i="7"/>
  <c r="S542" i="7"/>
  <c r="T542" i="7"/>
  <c r="U542" i="7" s="1"/>
  <c r="V542" i="7" s="1"/>
  <c r="W542" i="7" s="1"/>
  <c r="R543" i="7"/>
  <c r="S543" i="7" s="1"/>
  <c r="T543" i="7"/>
  <c r="U543" i="7" s="1"/>
  <c r="V543" i="7" s="1"/>
  <c r="W543" i="7" s="1"/>
  <c r="R544" i="7"/>
  <c r="S544" i="7" s="1"/>
  <c r="T544" i="7"/>
  <c r="U544" i="7" s="1"/>
  <c r="V544" i="7" s="1"/>
  <c r="W544" i="7" s="1"/>
  <c r="R545" i="7"/>
  <c r="S545" i="7" s="1"/>
  <c r="T545" i="7"/>
  <c r="U545" i="7" s="1"/>
  <c r="V545" i="7" s="1"/>
  <c r="W545" i="7" s="1"/>
  <c r="R546" i="7"/>
  <c r="S546" i="7" s="1"/>
  <c r="T546" i="7"/>
  <c r="U546" i="7" s="1"/>
  <c r="V546" i="7" s="1"/>
  <c r="W546" i="7" s="1"/>
  <c r="R547" i="7"/>
  <c r="S547" i="7" s="1"/>
  <c r="T547" i="7"/>
  <c r="U547" i="7" s="1"/>
  <c r="V547" i="7" s="1"/>
  <c r="W547" i="7" s="1"/>
  <c r="R548" i="7"/>
  <c r="S548" i="7"/>
  <c r="T548" i="7"/>
  <c r="U548" i="7" s="1"/>
  <c r="V548" i="7" s="1"/>
  <c r="W548" i="7" s="1"/>
  <c r="R549" i="7"/>
  <c r="S549" i="7" s="1"/>
  <c r="T549" i="7"/>
  <c r="U549" i="7" s="1"/>
  <c r="V549" i="7" s="1"/>
  <c r="W549" i="7" s="1"/>
  <c r="R550" i="7"/>
  <c r="S550" i="7"/>
  <c r="T550" i="7"/>
  <c r="U550" i="7" s="1"/>
  <c r="V550" i="7" s="1"/>
  <c r="W550" i="7" s="1"/>
  <c r="R551" i="7"/>
  <c r="S551" i="7" s="1"/>
  <c r="T551" i="7"/>
  <c r="U551" i="7" s="1"/>
  <c r="V551" i="7" s="1"/>
  <c r="W551" i="7" s="1"/>
  <c r="R552" i="7"/>
  <c r="S552" i="7" s="1"/>
  <c r="T552" i="7"/>
  <c r="U552" i="7" s="1"/>
  <c r="V552" i="7" s="1"/>
  <c r="W552" i="7" s="1"/>
  <c r="R553" i="7"/>
  <c r="S553" i="7" s="1"/>
  <c r="T553" i="7"/>
  <c r="U553" i="7" s="1"/>
  <c r="V553" i="7" s="1"/>
  <c r="W553" i="7" s="1"/>
  <c r="R554" i="7"/>
  <c r="S554" i="7"/>
  <c r="T554" i="7"/>
  <c r="U554" i="7" s="1"/>
  <c r="V554" i="7" s="1"/>
  <c r="W554" i="7" s="1"/>
  <c r="R555" i="7"/>
  <c r="S555" i="7" s="1"/>
  <c r="T555" i="7"/>
  <c r="U555" i="7" s="1"/>
  <c r="V555" i="7" s="1"/>
  <c r="W555" i="7" s="1"/>
  <c r="R556" i="7"/>
  <c r="S556" i="7" s="1"/>
  <c r="T556" i="7"/>
  <c r="U556" i="7" s="1"/>
  <c r="V556" i="7" s="1"/>
  <c r="W556" i="7" s="1"/>
  <c r="R557" i="7"/>
  <c r="S557" i="7" s="1"/>
  <c r="T557" i="7"/>
  <c r="U557" i="7" s="1"/>
  <c r="V557" i="7" s="1"/>
  <c r="W557" i="7" s="1"/>
  <c r="R558" i="7"/>
  <c r="S558" i="7" s="1"/>
  <c r="T558" i="7"/>
  <c r="U558" i="7" s="1"/>
  <c r="V558" i="7" s="1"/>
  <c r="W558" i="7" s="1"/>
  <c r="R559" i="7"/>
  <c r="S559" i="7" s="1"/>
  <c r="T559" i="7"/>
  <c r="U559" i="7" s="1"/>
  <c r="V559" i="7" s="1"/>
  <c r="W559" i="7" s="1"/>
  <c r="R560" i="7"/>
  <c r="S560" i="7"/>
  <c r="T560" i="7"/>
  <c r="U560" i="7" s="1"/>
  <c r="V560" i="7" s="1"/>
  <c r="W560" i="7" s="1"/>
  <c r="R561" i="7"/>
  <c r="S561" i="7" s="1"/>
  <c r="T561" i="7"/>
  <c r="U561" i="7" s="1"/>
  <c r="V561" i="7" s="1"/>
  <c r="W561" i="7" s="1"/>
  <c r="R562" i="7"/>
  <c r="S562" i="7"/>
  <c r="T562" i="7"/>
  <c r="U562" i="7" s="1"/>
  <c r="V562" i="7" s="1"/>
  <c r="W562" i="7" s="1"/>
  <c r="R563" i="7"/>
  <c r="S563" i="7" s="1"/>
  <c r="T563" i="7"/>
  <c r="U563" i="7" s="1"/>
  <c r="V563" i="7" s="1"/>
  <c r="W563" i="7" s="1"/>
  <c r="R564" i="7"/>
  <c r="S564" i="7" s="1"/>
  <c r="T564" i="7"/>
  <c r="U564" i="7" s="1"/>
  <c r="V564" i="7" s="1"/>
  <c r="W564" i="7" s="1"/>
  <c r="R565" i="7"/>
  <c r="S565" i="7" s="1"/>
  <c r="T565" i="7"/>
  <c r="U565" i="7" s="1"/>
  <c r="V565" i="7" s="1"/>
  <c r="W565" i="7" s="1"/>
  <c r="R566" i="7"/>
  <c r="S566" i="7"/>
  <c r="T566" i="7"/>
  <c r="U566" i="7" s="1"/>
  <c r="V566" i="7" s="1"/>
  <c r="W566" i="7" s="1"/>
  <c r="R567" i="7"/>
  <c r="S567" i="7" s="1"/>
  <c r="T567" i="7"/>
  <c r="U567" i="7" s="1"/>
  <c r="V567" i="7" s="1"/>
  <c r="W567" i="7" s="1"/>
  <c r="R568" i="7"/>
  <c r="S568" i="7" s="1"/>
  <c r="T568" i="7"/>
  <c r="U568" i="7" s="1"/>
  <c r="V568" i="7" s="1"/>
  <c r="W568" i="7" s="1"/>
  <c r="R569" i="7"/>
  <c r="S569" i="7" s="1"/>
  <c r="T569" i="7"/>
  <c r="U569" i="7" s="1"/>
  <c r="V569" i="7" s="1"/>
  <c r="W569" i="7" s="1"/>
  <c r="R570" i="7"/>
  <c r="S570" i="7"/>
  <c r="T570" i="7"/>
  <c r="U570" i="7" s="1"/>
  <c r="V570" i="7" s="1"/>
  <c r="W570" i="7" s="1"/>
  <c r="R571" i="7"/>
  <c r="S571" i="7" s="1"/>
  <c r="T571" i="7"/>
  <c r="U571" i="7" s="1"/>
  <c r="V571" i="7" s="1"/>
  <c r="W571" i="7" s="1"/>
  <c r="R572" i="7"/>
  <c r="S572" i="7"/>
  <c r="T572" i="7"/>
  <c r="U572" i="7" s="1"/>
  <c r="V572" i="7" s="1"/>
  <c r="W572" i="7" s="1"/>
  <c r="R573" i="7"/>
  <c r="S573" i="7" s="1"/>
  <c r="T573" i="7"/>
  <c r="U573" i="7" s="1"/>
  <c r="V573" i="7" s="1"/>
  <c r="W573" i="7" s="1"/>
  <c r="R574" i="7"/>
  <c r="S574" i="7" s="1"/>
  <c r="T574" i="7"/>
  <c r="U574" i="7" s="1"/>
  <c r="V574" i="7" s="1"/>
  <c r="W574" i="7" s="1"/>
  <c r="R575" i="7"/>
  <c r="S575" i="7" s="1"/>
  <c r="T575" i="7"/>
  <c r="U575" i="7" s="1"/>
  <c r="V575" i="7" s="1"/>
  <c r="W575" i="7" s="1"/>
  <c r="R576" i="7"/>
  <c r="S576" i="7"/>
  <c r="T576" i="7"/>
  <c r="U576" i="7" s="1"/>
  <c r="V576" i="7" s="1"/>
  <c r="W576" i="7" s="1"/>
  <c r="R577" i="7"/>
  <c r="S577" i="7" s="1"/>
  <c r="T577" i="7"/>
  <c r="U577" i="7" s="1"/>
  <c r="V577" i="7" s="1"/>
  <c r="W577" i="7" s="1"/>
  <c r="R578" i="7"/>
  <c r="S578" i="7"/>
  <c r="T578" i="7"/>
  <c r="U578" i="7" s="1"/>
  <c r="V578" i="7" s="1"/>
  <c r="W578" i="7" s="1"/>
  <c r="R579" i="7"/>
  <c r="S579" i="7" s="1"/>
  <c r="T579" i="7"/>
  <c r="U579" i="7" s="1"/>
  <c r="V579" i="7" s="1"/>
  <c r="W579" i="7" s="1"/>
  <c r="R580" i="7"/>
  <c r="S580" i="7"/>
  <c r="T580" i="7"/>
  <c r="U580" i="7" s="1"/>
  <c r="V580" i="7" s="1"/>
  <c r="W580" i="7" s="1"/>
  <c r="R581" i="7"/>
  <c r="S581" i="7" s="1"/>
  <c r="T581" i="7"/>
  <c r="U581" i="7" s="1"/>
  <c r="V581" i="7" s="1"/>
  <c r="W581" i="7" s="1"/>
  <c r="R582" i="7"/>
  <c r="S582" i="7" s="1"/>
  <c r="T582" i="7"/>
  <c r="U582" i="7" s="1"/>
  <c r="V582" i="7" s="1"/>
  <c r="W582" i="7" s="1"/>
  <c r="R583" i="7"/>
  <c r="S583" i="7" s="1"/>
  <c r="T583" i="7"/>
  <c r="U583" i="7" s="1"/>
  <c r="V583" i="7" s="1"/>
  <c r="W583" i="7" s="1"/>
  <c r="R584" i="7"/>
  <c r="S584" i="7" s="1"/>
  <c r="T584" i="7"/>
  <c r="U584" i="7" s="1"/>
  <c r="V584" i="7" s="1"/>
  <c r="W584" i="7" s="1"/>
  <c r="R585" i="7"/>
  <c r="S585" i="7"/>
  <c r="T585" i="7"/>
  <c r="U585" i="7" s="1"/>
  <c r="V585" i="7" s="1"/>
  <c r="W585" i="7" s="1"/>
  <c r="R586" i="7"/>
  <c r="S586" i="7"/>
  <c r="T586" i="7"/>
  <c r="U586" i="7" s="1"/>
  <c r="V586" i="7" s="1"/>
  <c r="W586" i="7"/>
  <c r="R587" i="7"/>
  <c r="S587" i="7" s="1"/>
  <c r="T587" i="7"/>
  <c r="U587" i="7" s="1"/>
  <c r="V587" i="7" s="1"/>
  <c r="W587" i="7" s="1"/>
  <c r="R588" i="7"/>
  <c r="S588" i="7" s="1"/>
  <c r="T588" i="7"/>
  <c r="U588" i="7" s="1"/>
  <c r="V588" i="7" s="1"/>
  <c r="W588" i="7" s="1"/>
  <c r="R589" i="7"/>
  <c r="S589" i="7" s="1"/>
  <c r="T589" i="7"/>
  <c r="U589" i="7" s="1"/>
  <c r="V589" i="7" s="1"/>
  <c r="W589" i="7" s="1"/>
  <c r="R590" i="7"/>
  <c r="S590" i="7" s="1"/>
  <c r="T590" i="7"/>
  <c r="U590" i="7" s="1"/>
  <c r="V590" i="7" s="1"/>
  <c r="W590" i="7" s="1"/>
  <c r="R591" i="7"/>
  <c r="S591" i="7" s="1"/>
  <c r="T591" i="7"/>
  <c r="U591" i="7" s="1"/>
  <c r="V591" i="7" s="1"/>
  <c r="W591" i="7" s="1"/>
  <c r="R592" i="7"/>
  <c r="S592" i="7" s="1"/>
  <c r="T592" i="7"/>
  <c r="U592" i="7" s="1"/>
  <c r="V592" i="7" s="1"/>
  <c r="W592" i="7" s="1"/>
  <c r="R593" i="7"/>
  <c r="S593" i="7" s="1"/>
  <c r="T593" i="7"/>
  <c r="U593" i="7" s="1"/>
  <c r="V593" i="7" s="1"/>
  <c r="W593" i="7" s="1"/>
  <c r="R594" i="7"/>
  <c r="S594" i="7" s="1"/>
  <c r="T594" i="7"/>
  <c r="U594" i="7" s="1"/>
  <c r="V594" i="7" s="1"/>
  <c r="W594" i="7" s="1"/>
  <c r="R595" i="7"/>
  <c r="S595" i="7" s="1"/>
  <c r="T595" i="7"/>
  <c r="U595" i="7" s="1"/>
  <c r="V595" i="7" s="1"/>
  <c r="W595" i="7" s="1"/>
  <c r="R596" i="7"/>
  <c r="S596" i="7"/>
  <c r="T596" i="7"/>
  <c r="U596" i="7" s="1"/>
  <c r="V596" i="7" s="1"/>
  <c r="W596" i="7" s="1"/>
  <c r="R597" i="7"/>
  <c r="S597" i="7" s="1"/>
  <c r="T597" i="7"/>
  <c r="U597" i="7" s="1"/>
  <c r="V597" i="7" s="1"/>
  <c r="W597" i="7" s="1"/>
  <c r="R598" i="7"/>
  <c r="S598" i="7"/>
  <c r="T598" i="7"/>
  <c r="U598" i="7" s="1"/>
  <c r="V598" i="7" s="1"/>
  <c r="W598" i="7" s="1"/>
  <c r="R599" i="7"/>
  <c r="S599" i="7" s="1"/>
  <c r="T599" i="7"/>
  <c r="U599" i="7" s="1"/>
  <c r="V599" i="7" s="1"/>
  <c r="W599" i="7" s="1"/>
  <c r="R600" i="7"/>
  <c r="S600" i="7" s="1"/>
  <c r="T600" i="7"/>
  <c r="U600" i="7" s="1"/>
  <c r="V600" i="7" s="1"/>
  <c r="W600" i="7" s="1"/>
  <c r="R601" i="7"/>
  <c r="S601" i="7" s="1"/>
  <c r="T601" i="7"/>
  <c r="U601" i="7" s="1"/>
  <c r="V601" i="7" s="1"/>
  <c r="W601" i="7" s="1"/>
  <c r="R602" i="7"/>
  <c r="S602" i="7"/>
  <c r="T602" i="7"/>
  <c r="U602" i="7" s="1"/>
  <c r="V602" i="7" s="1"/>
  <c r="W602" i="7"/>
  <c r="R603" i="7"/>
  <c r="S603" i="7" s="1"/>
  <c r="T603" i="7"/>
  <c r="U603" i="7" s="1"/>
  <c r="V603" i="7" s="1"/>
  <c r="W603" i="7" s="1"/>
  <c r="R604" i="7"/>
  <c r="S604" i="7"/>
  <c r="T604" i="7"/>
  <c r="U604" i="7" s="1"/>
  <c r="V604" i="7" s="1"/>
  <c r="W604" i="7" s="1"/>
  <c r="R605" i="7"/>
  <c r="S605" i="7" s="1"/>
  <c r="T605" i="7"/>
  <c r="U605" i="7" s="1"/>
  <c r="V605" i="7" s="1"/>
  <c r="W605" i="7" s="1"/>
  <c r="R606" i="7"/>
  <c r="S606" i="7"/>
  <c r="T606" i="7"/>
  <c r="U606" i="7" s="1"/>
  <c r="V606" i="7" s="1"/>
  <c r="W606" i="7" s="1"/>
  <c r="R607" i="7"/>
  <c r="S607" i="7"/>
  <c r="T607" i="7"/>
  <c r="U607" i="7" s="1"/>
  <c r="V607" i="7" s="1"/>
  <c r="W607" i="7" s="1"/>
  <c r="R608" i="7"/>
  <c r="S608" i="7" s="1"/>
  <c r="T608" i="7"/>
  <c r="U608" i="7" s="1"/>
  <c r="V608" i="7" s="1"/>
  <c r="W608" i="7" s="1"/>
  <c r="R609" i="7"/>
  <c r="S609" i="7" s="1"/>
  <c r="T609" i="7"/>
  <c r="U609" i="7" s="1"/>
  <c r="V609" i="7" s="1"/>
  <c r="W609" i="7" s="1"/>
  <c r="R610" i="7"/>
  <c r="S610" i="7" s="1"/>
  <c r="T610" i="7"/>
  <c r="U610" i="7" s="1"/>
  <c r="V610" i="7" s="1"/>
  <c r="W610" i="7" s="1"/>
  <c r="R611" i="7"/>
  <c r="S611" i="7" s="1"/>
  <c r="T611" i="7"/>
  <c r="U611" i="7" s="1"/>
  <c r="V611" i="7" s="1"/>
  <c r="W611" i="7" s="1"/>
  <c r="R612" i="7"/>
  <c r="S612" i="7" s="1"/>
  <c r="T612" i="7"/>
  <c r="U612" i="7" s="1"/>
  <c r="V612" i="7" s="1"/>
  <c r="W612" i="7" s="1"/>
  <c r="R613" i="7"/>
  <c r="S613" i="7" s="1"/>
  <c r="T613" i="7"/>
  <c r="U613" i="7" s="1"/>
  <c r="V613" i="7" s="1"/>
  <c r="W613" i="7" s="1"/>
  <c r="R614" i="7"/>
  <c r="S614" i="7"/>
  <c r="T614" i="7"/>
  <c r="U614" i="7" s="1"/>
  <c r="V614" i="7" s="1"/>
  <c r="W614" i="7" s="1"/>
  <c r="R615" i="7"/>
  <c r="S615" i="7" s="1"/>
  <c r="T615" i="7"/>
  <c r="U615" i="7" s="1"/>
  <c r="V615" i="7" s="1"/>
  <c r="W615" i="7" s="1"/>
  <c r="R616" i="7"/>
  <c r="S616" i="7" s="1"/>
  <c r="T616" i="7"/>
  <c r="U616" i="7" s="1"/>
  <c r="V616" i="7" s="1"/>
  <c r="W616" i="7" s="1"/>
  <c r="R617" i="7"/>
  <c r="S617" i="7"/>
  <c r="T617" i="7"/>
  <c r="U617" i="7" s="1"/>
  <c r="V617" i="7" s="1"/>
  <c r="W617" i="7" s="1"/>
  <c r="R618" i="7"/>
  <c r="S618" i="7"/>
  <c r="T618" i="7"/>
  <c r="U618" i="7" s="1"/>
  <c r="V618" i="7" s="1"/>
  <c r="W618" i="7" s="1"/>
  <c r="R619" i="7"/>
  <c r="S619" i="7" s="1"/>
  <c r="T619" i="7"/>
  <c r="U619" i="7" s="1"/>
  <c r="V619" i="7" s="1"/>
  <c r="W619" i="7" s="1"/>
  <c r="R620" i="7"/>
  <c r="S620" i="7" s="1"/>
  <c r="T620" i="7"/>
  <c r="U620" i="7" s="1"/>
  <c r="V620" i="7" s="1"/>
  <c r="W620" i="7" s="1"/>
  <c r="R621" i="7"/>
  <c r="S621" i="7" s="1"/>
  <c r="T621" i="7"/>
  <c r="U621" i="7" s="1"/>
  <c r="V621" i="7" s="1"/>
  <c r="W621" i="7" s="1"/>
  <c r="R622" i="7"/>
  <c r="S622" i="7"/>
  <c r="T622" i="7"/>
  <c r="U622" i="7" s="1"/>
  <c r="V622" i="7" s="1"/>
  <c r="W622" i="7" s="1"/>
  <c r="R623" i="7"/>
  <c r="S623" i="7" s="1"/>
  <c r="T623" i="7"/>
  <c r="U623" i="7" s="1"/>
  <c r="V623" i="7" s="1"/>
  <c r="W623" i="7" s="1"/>
  <c r="R624" i="7"/>
  <c r="S624" i="7" s="1"/>
  <c r="T624" i="7"/>
  <c r="U624" i="7" s="1"/>
  <c r="V624" i="7" s="1"/>
  <c r="W624" i="7" s="1"/>
  <c r="R625" i="7"/>
  <c r="S625" i="7" s="1"/>
  <c r="T625" i="7"/>
  <c r="U625" i="7" s="1"/>
  <c r="V625" i="7" s="1"/>
  <c r="W625" i="7" s="1"/>
  <c r="R626" i="7"/>
  <c r="S626" i="7" s="1"/>
  <c r="T626" i="7"/>
  <c r="U626" i="7" s="1"/>
  <c r="V626" i="7" s="1"/>
  <c r="W626" i="7" s="1"/>
  <c r="R627" i="7"/>
  <c r="S627" i="7"/>
  <c r="T627" i="7"/>
  <c r="U627" i="7" s="1"/>
  <c r="V627" i="7" s="1"/>
  <c r="W627" i="7" s="1"/>
  <c r="R628" i="7"/>
  <c r="S628" i="7" s="1"/>
  <c r="T628" i="7"/>
  <c r="U628" i="7" s="1"/>
  <c r="V628" i="7" s="1"/>
  <c r="W628" i="7" s="1"/>
  <c r="R629" i="7"/>
  <c r="S629" i="7"/>
  <c r="T629" i="7"/>
  <c r="U629" i="7" s="1"/>
  <c r="V629" i="7" s="1"/>
  <c r="W629" i="7" s="1"/>
  <c r="R630" i="7"/>
  <c r="S630" i="7" s="1"/>
  <c r="T630" i="7"/>
  <c r="U630" i="7" s="1"/>
  <c r="V630" i="7" s="1"/>
  <c r="W630" i="7" s="1"/>
  <c r="R631" i="7"/>
  <c r="S631" i="7" s="1"/>
  <c r="T631" i="7"/>
  <c r="U631" i="7" s="1"/>
  <c r="V631" i="7" s="1"/>
  <c r="W631" i="7" s="1"/>
  <c r="R632" i="7"/>
  <c r="S632" i="7" s="1"/>
  <c r="T632" i="7"/>
  <c r="U632" i="7" s="1"/>
  <c r="V632" i="7" s="1"/>
  <c r="W632" i="7" s="1"/>
  <c r="R633" i="7"/>
  <c r="S633" i="7"/>
  <c r="T633" i="7"/>
  <c r="U633" i="7" s="1"/>
  <c r="V633" i="7" s="1"/>
  <c r="W633" i="7" s="1"/>
  <c r="R634" i="7"/>
  <c r="S634" i="7" s="1"/>
  <c r="T634" i="7"/>
  <c r="U634" i="7" s="1"/>
  <c r="V634" i="7" s="1"/>
  <c r="W634" i="7" s="1"/>
  <c r="R635" i="7"/>
  <c r="S635" i="7"/>
  <c r="T635" i="7"/>
  <c r="U635" i="7" s="1"/>
  <c r="V635" i="7" s="1"/>
  <c r="W635" i="7" s="1"/>
  <c r="R636" i="7"/>
  <c r="S636" i="7" s="1"/>
  <c r="T636" i="7"/>
  <c r="U636" i="7" s="1"/>
  <c r="V636" i="7" s="1"/>
  <c r="W636" i="7" s="1"/>
  <c r="R637" i="7"/>
  <c r="S637" i="7"/>
  <c r="T637" i="7"/>
  <c r="U637" i="7" s="1"/>
  <c r="V637" i="7" s="1"/>
  <c r="W637" i="7" s="1"/>
  <c r="R638" i="7"/>
  <c r="S638" i="7" s="1"/>
  <c r="T638" i="7"/>
  <c r="U638" i="7" s="1"/>
  <c r="V638" i="7" s="1"/>
  <c r="W638" i="7" s="1"/>
  <c r="R639" i="7"/>
  <c r="S639" i="7" s="1"/>
  <c r="T639" i="7"/>
  <c r="U639" i="7" s="1"/>
  <c r="V639" i="7" s="1"/>
  <c r="W639" i="7" s="1"/>
  <c r="R640" i="7"/>
  <c r="S640" i="7"/>
  <c r="T640" i="7"/>
  <c r="U640" i="7" s="1"/>
  <c r="V640" i="7" s="1"/>
  <c r="W640" i="7" s="1"/>
  <c r="R641" i="7"/>
  <c r="S641" i="7" s="1"/>
  <c r="T641" i="7"/>
  <c r="U641" i="7" s="1"/>
  <c r="V641" i="7" s="1"/>
  <c r="W641" i="7" s="1"/>
  <c r="R642" i="7"/>
  <c r="S642" i="7" s="1"/>
  <c r="T642" i="7"/>
  <c r="U642" i="7" s="1"/>
  <c r="V642" i="7" s="1"/>
  <c r="W642" i="7" s="1"/>
  <c r="R643" i="7"/>
  <c r="S643" i="7"/>
  <c r="T643" i="7"/>
  <c r="U643" i="7" s="1"/>
  <c r="V643" i="7" s="1"/>
  <c r="W643" i="7" s="1"/>
  <c r="R644" i="7"/>
  <c r="S644" i="7" s="1"/>
  <c r="T644" i="7"/>
  <c r="U644" i="7" s="1"/>
  <c r="V644" i="7" s="1"/>
  <c r="W644" i="7" s="1"/>
  <c r="R645" i="7"/>
  <c r="S645" i="7"/>
  <c r="T645" i="7"/>
  <c r="U645" i="7" s="1"/>
  <c r="V645" i="7" s="1"/>
  <c r="W645" i="7" s="1"/>
  <c r="R646" i="7"/>
  <c r="S646" i="7" s="1"/>
  <c r="T646" i="7"/>
  <c r="U646" i="7" s="1"/>
  <c r="V646" i="7" s="1"/>
  <c r="W646" i="7" s="1"/>
  <c r="R647" i="7"/>
  <c r="S647" i="7" s="1"/>
  <c r="T647" i="7"/>
  <c r="U647" i="7" s="1"/>
  <c r="V647" i="7" s="1"/>
  <c r="W647" i="7" s="1"/>
  <c r="R648" i="7"/>
  <c r="S648" i="7" s="1"/>
  <c r="T648" i="7"/>
  <c r="U648" i="7" s="1"/>
  <c r="V648" i="7" s="1"/>
  <c r="W648" i="7" s="1"/>
  <c r="R649" i="7"/>
  <c r="S649" i="7" s="1"/>
  <c r="T649" i="7"/>
  <c r="U649" i="7" s="1"/>
  <c r="V649" i="7" s="1"/>
  <c r="W649" i="7" s="1"/>
  <c r="R650" i="7"/>
  <c r="S650" i="7" s="1"/>
  <c r="T650" i="7"/>
  <c r="U650" i="7" s="1"/>
  <c r="V650" i="7" s="1"/>
  <c r="W650" i="7" s="1"/>
  <c r="R651" i="7"/>
  <c r="S651" i="7" s="1"/>
  <c r="T651" i="7"/>
  <c r="U651" i="7" s="1"/>
  <c r="V651" i="7" s="1"/>
  <c r="W651" i="7" s="1"/>
  <c r="R652" i="7"/>
  <c r="S652" i="7" s="1"/>
  <c r="T652" i="7"/>
  <c r="U652" i="7" s="1"/>
  <c r="V652" i="7" s="1"/>
  <c r="W652" i="7" s="1"/>
  <c r="R653" i="7"/>
  <c r="S653" i="7" s="1"/>
  <c r="T653" i="7"/>
  <c r="U653" i="7" s="1"/>
  <c r="V653" i="7" s="1"/>
  <c r="W653" i="7" s="1"/>
  <c r="R654" i="7"/>
  <c r="S654" i="7" s="1"/>
  <c r="T654" i="7"/>
  <c r="U654" i="7" s="1"/>
  <c r="V654" i="7" s="1"/>
  <c r="W654" i="7" s="1"/>
  <c r="R655" i="7"/>
  <c r="S655" i="7"/>
  <c r="T655" i="7"/>
  <c r="U655" i="7" s="1"/>
  <c r="V655" i="7" s="1"/>
  <c r="W655" i="7" s="1"/>
  <c r="R656" i="7"/>
  <c r="S656" i="7" s="1"/>
  <c r="T656" i="7"/>
  <c r="U656" i="7" s="1"/>
  <c r="V656" i="7" s="1"/>
  <c r="W656" i="7" s="1"/>
  <c r="R657" i="7"/>
  <c r="S657" i="7" s="1"/>
  <c r="T657" i="7"/>
  <c r="U657" i="7" s="1"/>
  <c r="V657" i="7" s="1"/>
  <c r="W657" i="7" s="1"/>
  <c r="R658" i="7"/>
  <c r="S658" i="7" s="1"/>
  <c r="T658" i="7"/>
  <c r="U658" i="7" s="1"/>
  <c r="V658" i="7" s="1"/>
  <c r="W658" i="7" s="1"/>
  <c r="R659" i="7"/>
  <c r="S659" i="7"/>
  <c r="T659" i="7"/>
  <c r="U659" i="7" s="1"/>
  <c r="V659" i="7" s="1"/>
  <c r="W659" i="7" s="1"/>
  <c r="R660" i="7"/>
  <c r="S660" i="7" s="1"/>
  <c r="T660" i="7"/>
  <c r="U660" i="7" s="1"/>
  <c r="V660" i="7" s="1"/>
  <c r="W660" i="7" s="1"/>
  <c r="R661" i="7"/>
  <c r="S661" i="7" s="1"/>
  <c r="T661" i="7"/>
  <c r="U661" i="7" s="1"/>
  <c r="V661" i="7" s="1"/>
  <c r="W661" i="7" s="1"/>
  <c r="R662" i="7"/>
  <c r="S662" i="7" s="1"/>
  <c r="T662" i="7"/>
  <c r="U662" i="7" s="1"/>
  <c r="V662" i="7" s="1"/>
  <c r="W662" i="7" s="1"/>
  <c r="R663" i="7"/>
  <c r="S663" i="7"/>
  <c r="T663" i="7"/>
  <c r="U663" i="7" s="1"/>
  <c r="V663" i="7" s="1"/>
  <c r="W663" i="7" s="1"/>
  <c r="R664" i="7"/>
  <c r="S664" i="7"/>
  <c r="T664" i="7"/>
  <c r="U664" i="7" s="1"/>
  <c r="V664" i="7" s="1"/>
  <c r="W664" i="7" s="1"/>
  <c r="R665" i="7"/>
  <c r="S665" i="7"/>
  <c r="T665" i="7"/>
  <c r="U665" i="7" s="1"/>
  <c r="V665" i="7" s="1"/>
  <c r="W665" i="7" s="1"/>
  <c r="R666" i="7"/>
  <c r="S666" i="7" s="1"/>
  <c r="T666" i="7"/>
  <c r="U666" i="7" s="1"/>
  <c r="V666" i="7" s="1"/>
  <c r="W666" i="7" s="1"/>
  <c r="R667" i="7"/>
  <c r="S667" i="7"/>
  <c r="T667" i="7"/>
  <c r="U667" i="7" s="1"/>
  <c r="V667" i="7" s="1"/>
  <c r="W667" i="7" s="1"/>
  <c r="R668" i="7"/>
  <c r="S668" i="7" s="1"/>
  <c r="T668" i="7"/>
  <c r="U668" i="7" s="1"/>
  <c r="V668" i="7" s="1"/>
  <c r="W668" i="7" s="1"/>
  <c r="R669" i="7"/>
  <c r="S669" i="7"/>
  <c r="T669" i="7"/>
  <c r="U669" i="7" s="1"/>
  <c r="V669" i="7" s="1"/>
  <c r="W669" i="7" s="1"/>
  <c r="R670" i="7"/>
  <c r="S670" i="7" s="1"/>
  <c r="T670" i="7"/>
  <c r="U670" i="7" s="1"/>
  <c r="V670" i="7" s="1"/>
  <c r="W670" i="7" s="1"/>
  <c r="R671" i="7"/>
  <c r="S671" i="7" s="1"/>
  <c r="T671" i="7"/>
  <c r="U671" i="7" s="1"/>
  <c r="V671" i="7" s="1"/>
  <c r="W671" i="7" s="1"/>
  <c r="R672" i="7"/>
  <c r="S672" i="7" s="1"/>
  <c r="T672" i="7"/>
  <c r="U672" i="7" s="1"/>
  <c r="V672" i="7" s="1"/>
  <c r="W672" i="7" s="1"/>
  <c r="R673" i="7"/>
  <c r="S673" i="7" s="1"/>
  <c r="T673" i="7"/>
  <c r="U673" i="7" s="1"/>
  <c r="V673" i="7" s="1"/>
  <c r="W673" i="7" s="1"/>
  <c r="R674" i="7"/>
  <c r="S674" i="7" s="1"/>
  <c r="T674" i="7"/>
  <c r="U674" i="7" s="1"/>
  <c r="V674" i="7" s="1"/>
  <c r="W674" i="7" s="1"/>
  <c r="R675" i="7"/>
  <c r="S675" i="7" s="1"/>
  <c r="T675" i="7"/>
  <c r="U675" i="7" s="1"/>
  <c r="V675" i="7" s="1"/>
  <c r="W675" i="7" s="1"/>
  <c r="R676" i="7"/>
  <c r="S676" i="7" s="1"/>
  <c r="T676" i="7"/>
  <c r="U676" i="7" s="1"/>
  <c r="V676" i="7" s="1"/>
  <c r="W676" i="7" s="1"/>
  <c r="R677" i="7"/>
  <c r="S677" i="7" s="1"/>
  <c r="T677" i="7"/>
  <c r="U677" i="7" s="1"/>
  <c r="V677" i="7" s="1"/>
  <c r="W677" i="7" s="1"/>
  <c r="R678" i="7"/>
  <c r="S678" i="7" s="1"/>
  <c r="T678" i="7"/>
  <c r="U678" i="7" s="1"/>
  <c r="V678" i="7" s="1"/>
  <c r="W678" i="7" s="1"/>
  <c r="R679" i="7"/>
  <c r="S679" i="7" s="1"/>
  <c r="T679" i="7"/>
  <c r="U679" i="7"/>
  <c r="V679" i="7" s="1"/>
  <c r="W679" i="7" s="1"/>
  <c r="R680" i="7"/>
  <c r="S680" i="7" s="1"/>
  <c r="T680" i="7"/>
  <c r="U680" i="7" s="1"/>
  <c r="V680" i="7" s="1"/>
  <c r="W680" i="7" s="1"/>
  <c r="R681" i="7"/>
  <c r="S681" i="7"/>
  <c r="T681" i="7"/>
  <c r="U681" i="7" s="1"/>
  <c r="V681" i="7" s="1"/>
  <c r="W681" i="7" s="1"/>
  <c r="R682" i="7"/>
  <c r="S682" i="7" s="1"/>
  <c r="T682" i="7"/>
  <c r="U682" i="7" s="1"/>
  <c r="V682" i="7" s="1"/>
  <c r="W682" i="7" s="1"/>
  <c r="R683" i="7"/>
  <c r="S683" i="7"/>
  <c r="T683" i="7"/>
  <c r="U683" i="7" s="1"/>
  <c r="V683" i="7" s="1"/>
  <c r="W683" i="7" s="1"/>
  <c r="R684" i="7"/>
  <c r="S684" i="7" s="1"/>
  <c r="T684" i="7"/>
  <c r="U684" i="7" s="1"/>
  <c r="V684" i="7" s="1"/>
  <c r="W684" i="7" s="1"/>
  <c r="R685" i="7"/>
  <c r="S685" i="7"/>
  <c r="T685" i="7"/>
  <c r="U685" i="7" s="1"/>
  <c r="V685" i="7" s="1"/>
  <c r="W685" i="7" s="1"/>
  <c r="R686" i="7"/>
  <c r="S686" i="7" s="1"/>
  <c r="T686" i="7"/>
  <c r="U686" i="7" s="1"/>
  <c r="V686" i="7" s="1"/>
  <c r="W686" i="7" s="1"/>
  <c r="R687" i="7"/>
  <c r="S687" i="7" s="1"/>
  <c r="T687" i="7"/>
  <c r="U687" i="7" s="1"/>
  <c r="V687" i="7" s="1"/>
  <c r="W687" i="7" s="1"/>
  <c r="R688" i="7"/>
  <c r="S688" i="7"/>
  <c r="T688" i="7"/>
  <c r="U688" i="7" s="1"/>
  <c r="V688" i="7" s="1"/>
  <c r="W688" i="7" s="1"/>
  <c r="R689" i="7"/>
  <c r="S689" i="7" s="1"/>
  <c r="T689" i="7"/>
  <c r="U689" i="7" s="1"/>
  <c r="V689" i="7" s="1"/>
  <c r="W689" i="7" s="1"/>
  <c r="R690" i="7"/>
  <c r="S690" i="7" s="1"/>
  <c r="T690" i="7"/>
  <c r="U690" i="7" s="1"/>
  <c r="V690" i="7" s="1"/>
  <c r="W690" i="7" s="1"/>
  <c r="R691" i="7"/>
  <c r="S691" i="7"/>
  <c r="T691" i="7"/>
  <c r="U691" i="7" s="1"/>
  <c r="V691" i="7" s="1"/>
  <c r="W691" i="7" s="1"/>
  <c r="R692" i="7"/>
  <c r="S692" i="7" s="1"/>
  <c r="T692" i="7"/>
  <c r="U692" i="7" s="1"/>
  <c r="V692" i="7" s="1"/>
  <c r="W692" i="7" s="1"/>
  <c r="R693" i="7"/>
  <c r="S693" i="7" s="1"/>
  <c r="T693" i="7"/>
  <c r="U693" i="7" s="1"/>
  <c r="V693" i="7" s="1"/>
  <c r="W693" i="7" s="1"/>
  <c r="R694" i="7"/>
  <c r="S694" i="7" s="1"/>
  <c r="T694" i="7"/>
  <c r="U694" i="7" s="1"/>
  <c r="V694" i="7" s="1"/>
  <c r="W694" i="7" s="1"/>
  <c r="R695" i="7"/>
  <c r="S695" i="7" s="1"/>
  <c r="T695" i="7"/>
  <c r="U695" i="7" s="1"/>
  <c r="V695" i="7" s="1"/>
  <c r="W695" i="7" s="1"/>
  <c r="R696" i="7"/>
  <c r="S696" i="7" s="1"/>
  <c r="T696" i="7"/>
  <c r="U696" i="7" s="1"/>
  <c r="V696" i="7" s="1"/>
  <c r="W696" i="7" s="1"/>
  <c r="R697" i="7"/>
  <c r="S697" i="7"/>
  <c r="T697" i="7"/>
  <c r="U697" i="7" s="1"/>
  <c r="V697" i="7" s="1"/>
  <c r="W697" i="7" s="1"/>
  <c r="R698" i="7"/>
  <c r="S698" i="7" s="1"/>
  <c r="T698" i="7"/>
  <c r="U698" i="7" s="1"/>
  <c r="V698" i="7" s="1"/>
  <c r="W698" i="7" s="1"/>
  <c r="R699" i="7"/>
  <c r="S699" i="7" s="1"/>
  <c r="T699" i="7"/>
  <c r="U699" i="7" s="1"/>
  <c r="V699" i="7" s="1"/>
  <c r="W699" i="7" s="1"/>
  <c r="R700" i="7"/>
  <c r="S700" i="7" s="1"/>
  <c r="T700" i="7"/>
  <c r="U700" i="7" s="1"/>
  <c r="V700" i="7" s="1"/>
  <c r="W700" i="7" s="1"/>
  <c r="R701" i="7"/>
  <c r="S701" i="7" s="1"/>
  <c r="T701" i="7"/>
  <c r="U701" i="7" s="1"/>
  <c r="V701" i="7" s="1"/>
  <c r="W701" i="7" s="1"/>
  <c r="R702" i="7"/>
  <c r="S702" i="7" s="1"/>
  <c r="T702" i="7"/>
  <c r="U702" i="7" s="1"/>
  <c r="V702" i="7" s="1"/>
  <c r="W702" i="7" s="1"/>
  <c r="R703" i="7"/>
  <c r="S703" i="7"/>
  <c r="T703" i="7"/>
  <c r="U703" i="7" s="1"/>
  <c r="V703" i="7" s="1"/>
  <c r="W703" i="7" s="1"/>
  <c r="R704" i="7"/>
  <c r="S704" i="7" s="1"/>
  <c r="T704" i="7"/>
  <c r="U704" i="7" s="1"/>
  <c r="V704" i="7" s="1"/>
  <c r="W704" i="7" s="1"/>
  <c r="R705" i="7"/>
  <c r="S705" i="7"/>
  <c r="T705" i="7"/>
  <c r="U705" i="7" s="1"/>
  <c r="V705" i="7" s="1"/>
  <c r="W705" i="7" s="1"/>
  <c r="R706" i="7"/>
  <c r="S706" i="7" s="1"/>
  <c r="T706" i="7"/>
  <c r="U706" i="7" s="1"/>
  <c r="V706" i="7" s="1"/>
  <c r="W706" i="7" s="1"/>
  <c r="R707" i="7"/>
  <c r="S707" i="7" s="1"/>
  <c r="T707" i="7"/>
  <c r="U707" i="7" s="1"/>
  <c r="V707" i="7" s="1"/>
  <c r="W707" i="7" s="1"/>
  <c r="R708" i="7"/>
  <c r="S708" i="7" s="1"/>
  <c r="T708" i="7"/>
  <c r="U708" i="7" s="1"/>
  <c r="V708" i="7" s="1"/>
  <c r="W708" i="7" s="1"/>
  <c r="R709" i="7"/>
  <c r="S709" i="7"/>
  <c r="T709" i="7"/>
  <c r="U709" i="7" s="1"/>
  <c r="V709" i="7" s="1"/>
  <c r="W709" i="7" s="1"/>
  <c r="R710" i="7"/>
  <c r="S710" i="7" s="1"/>
  <c r="T710" i="7"/>
  <c r="U710" i="7" s="1"/>
  <c r="V710" i="7" s="1"/>
  <c r="W710" i="7" s="1"/>
  <c r="R711" i="7"/>
  <c r="S711" i="7" s="1"/>
  <c r="T711" i="7"/>
  <c r="U711" i="7" s="1"/>
  <c r="V711" i="7" s="1"/>
  <c r="W711" i="7" s="1"/>
  <c r="R712" i="7"/>
  <c r="S712" i="7" s="1"/>
  <c r="T712" i="7"/>
  <c r="U712" i="7" s="1"/>
  <c r="V712" i="7" s="1"/>
  <c r="W712" i="7" s="1"/>
  <c r="R713" i="7"/>
  <c r="S713" i="7" s="1"/>
  <c r="T713" i="7"/>
  <c r="U713" i="7" s="1"/>
  <c r="V713" i="7" s="1"/>
  <c r="W713" i="7" s="1"/>
  <c r="R714" i="7"/>
  <c r="S714" i="7" s="1"/>
  <c r="T714" i="7"/>
  <c r="U714" i="7" s="1"/>
  <c r="V714" i="7" s="1"/>
  <c r="W714" i="7" s="1"/>
  <c r="R715" i="7"/>
  <c r="S715" i="7"/>
  <c r="T715" i="7"/>
  <c r="U715" i="7" s="1"/>
  <c r="V715" i="7" s="1"/>
  <c r="W715" i="7" s="1"/>
  <c r="R716" i="7"/>
  <c r="S716" i="7" s="1"/>
  <c r="T716" i="7"/>
  <c r="U716" i="7" s="1"/>
  <c r="V716" i="7" s="1"/>
  <c r="W716" i="7" s="1"/>
  <c r="R717" i="7"/>
  <c r="S717" i="7"/>
  <c r="T717" i="7"/>
  <c r="U717" i="7" s="1"/>
  <c r="V717" i="7" s="1"/>
  <c r="W717" i="7" s="1"/>
  <c r="R718" i="7"/>
  <c r="S718" i="7" s="1"/>
  <c r="T718" i="7"/>
  <c r="U718" i="7" s="1"/>
  <c r="V718" i="7" s="1"/>
  <c r="W718" i="7" s="1"/>
  <c r="R719" i="7"/>
  <c r="S719" i="7" s="1"/>
  <c r="T719" i="7"/>
  <c r="U719" i="7" s="1"/>
  <c r="V719" i="7" s="1"/>
  <c r="W719" i="7" s="1"/>
  <c r="R720" i="7"/>
  <c r="S720" i="7" s="1"/>
  <c r="T720" i="7"/>
  <c r="U720" i="7" s="1"/>
  <c r="V720" i="7" s="1"/>
  <c r="W720" i="7" s="1"/>
  <c r="R721" i="7"/>
  <c r="S721" i="7" s="1"/>
  <c r="T721" i="7"/>
  <c r="U721" i="7" s="1"/>
  <c r="V721" i="7" s="1"/>
  <c r="W721" i="7" s="1"/>
  <c r="R722" i="7"/>
  <c r="S722" i="7" s="1"/>
  <c r="T722" i="7"/>
  <c r="U722" i="7" s="1"/>
  <c r="V722" i="7" s="1"/>
  <c r="W722" i="7" s="1"/>
  <c r="R723" i="7"/>
  <c r="S723" i="7"/>
  <c r="T723" i="7"/>
  <c r="U723" i="7" s="1"/>
  <c r="V723" i="7" s="1"/>
  <c r="W723" i="7" s="1"/>
  <c r="R724" i="7"/>
  <c r="S724" i="7" s="1"/>
  <c r="T724" i="7"/>
  <c r="U724" i="7" s="1"/>
  <c r="V724" i="7" s="1"/>
  <c r="W724" i="7" s="1"/>
  <c r="R725" i="7"/>
  <c r="S725" i="7"/>
  <c r="T725" i="7"/>
  <c r="U725" i="7" s="1"/>
  <c r="V725" i="7" s="1"/>
  <c r="W725" i="7" s="1"/>
  <c r="R726" i="7"/>
  <c r="S726" i="7" s="1"/>
  <c r="T726" i="7"/>
  <c r="U726" i="7" s="1"/>
  <c r="V726" i="7" s="1"/>
  <c r="W726" i="7" s="1"/>
  <c r="R727" i="7"/>
  <c r="S727" i="7"/>
  <c r="T727" i="7"/>
  <c r="U727" i="7" s="1"/>
  <c r="V727" i="7" s="1"/>
  <c r="W727" i="7" s="1"/>
  <c r="R728" i="7"/>
  <c r="S728" i="7" s="1"/>
  <c r="T728" i="7"/>
  <c r="U728" i="7" s="1"/>
  <c r="V728" i="7" s="1"/>
  <c r="W728" i="7" s="1"/>
  <c r="R729" i="7"/>
  <c r="S729" i="7" s="1"/>
  <c r="T729" i="7"/>
  <c r="U729" i="7" s="1"/>
  <c r="V729" i="7" s="1"/>
  <c r="W729" i="7" s="1"/>
  <c r="R730" i="7"/>
  <c r="S730" i="7"/>
  <c r="T730" i="7"/>
  <c r="U730" i="7" s="1"/>
  <c r="V730" i="7" s="1"/>
  <c r="W730" i="7" s="1"/>
  <c r="R731" i="7"/>
  <c r="S731" i="7" s="1"/>
  <c r="T731" i="7"/>
  <c r="U731" i="7"/>
  <c r="V731" i="7" s="1"/>
  <c r="W731" i="7" s="1"/>
  <c r="R732" i="7"/>
  <c r="S732" i="7" s="1"/>
  <c r="T732" i="7"/>
  <c r="U732" i="7" s="1"/>
  <c r="V732" i="7" s="1"/>
  <c r="W732" i="7" s="1"/>
  <c r="R733" i="7"/>
  <c r="S733" i="7" s="1"/>
  <c r="T733" i="7"/>
  <c r="U733" i="7" s="1"/>
  <c r="V733" i="7" s="1"/>
  <c r="W733" i="7" s="1"/>
  <c r="R734" i="7"/>
  <c r="S734" i="7" s="1"/>
  <c r="T734" i="7"/>
  <c r="U734" i="7" s="1"/>
  <c r="V734" i="7" s="1"/>
  <c r="W734" i="7" s="1"/>
  <c r="R735" i="7"/>
  <c r="S735" i="7"/>
  <c r="T735" i="7"/>
  <c r="U735" i="7" s="1"/>
  <c r="V735" i="7" s="1"/>
  <c r="W735" i="7" s="1"/>
  <c r="R736" i="7"/>
  <c r="S736" i="7" s="1"/>
  <c r="T736" i="7"/>
  <c r="U736" i="7" s="1"/>
  <c r="V736" i="7" s="1"/>
  <c r="W736" i="7" s="1"/>
  <c r="R737" i="7"/>
  <c r="S737" i="7"/>
  <c r="T737" i="7"/>
  <c r="U737" i="7" s="1"/>
  <c r="V737" i="7" s="1"/>
  <c r="W737" i="7" s="1"/>
  <c r="R738" i="7"/>
  <c r="S738" i="7"/>
  <c r="T738" i="7"/>
  <c r="U738" i="7" s="1"/>
  <c r="V738" i="7" s="1"/>
  <c r="W738" i="7" s="1"/>
  <c r="R739" i="7"/>
  <c r="S739" i="7"/>
  <c r="T739" i="7"/>
  <c r="U739" i="7" s="1"/>
  <c r="V739" i="7" s="1"/>
  <c r="W739" i="7" s="1"/>
  <c r="R740" i="7"/>
  <c r="S740" i="7" s="1"/>
  <c r="T740" i="7"/>
  <c r="U740" i="7" s="1"/>
  <c r="V740" i="7" s="1"/>
  <c r="W740" i="7" s="1"/>
  <c r="R741" i="7"/>
  <c r="S741" i="7"/>
  <c r="T741" i="7"/>
  <c r="U741" i="7" s="1"/>
  <c r="V741" i="7" s="1"/>
  <c r="W741" i="7" s="1"/>
  <c r="R742" i="7"/>
  <c r="S742" i="7" s="1"/>
  <c r="T742" i="7"/>
  <c r="U742" i="7" s="1"/>
  <c r="V742" i="7" s="1"/>
  <c r="W742" i="7" s="1"/>
  <c r="R743" i="7"/>
  <c r="S743" i="7" s="1"/>
  <c r="T743" i="7"/>
  <c r="U743" i="7" s="1"/>
  <c r="V743" i="7" s="1"/>
  <c r="W743" i="7" s="1"/>
  <c r="R744" i="7"/>
  <c r="S744" i="7" s="1"/>
  <c r="T744" i="7"/>
  <c r="U744" i="7" s="1"/>
  <c r="V744" i="7" s="1"/>
  <c r="W744" i="7" s="1"/>
  <c r="R745" i="7"/>
  <c r="S745" i="7" s="1"/>
  <c r="T745" i="7"/>
  <c r="U745" i="7" s="1"/>
  <c r="V745" i="7" s="1"/>
  <c r="W745" i="7" s="1"/>
  <c r="R746" i="7"/>
  <c r="S746" i="7" s="1"/>
  <c r="T746" i="7"/>
  <c r="U746" i="7" s="1"/>
  <c r="V746" i="7" s="1"/>
  <c r="W746" i="7" s="1"/>
  <c r="R747" i="7"/>
  <c r="S747" i="7" s="1"/>
  <c r="T747" i="7"/>
  <c r="U747" i="7" s="1"/>
  <c r="V747" i="7" s="1"/>
  <c r="W747" i="7" s="1"/>
  <c r="R748" i="7"/>
  <c r="S748" i="7" s="1"/>
  <c r="T748" i="7"/>
  <c r="U748" i="7" s="1"/>
  <c r="V748" i="7" s="1"/>
  <c r="W748" i="7" s="1"/>
  <c r="R749" i="7"/>
  <c r="S749" i="7"/>
  <c r="T749" i="7"/>
  <c r="U749" i="7" s="1"/>
  <c r="V749" i="7" s="1"/>
  <c r="W749" i="7" s="1"/>
  <c r="R750" i="7"/>
  <c r="S750" i="7" s="1"/>
  <c r="T750" i="7"/>
  <c r="U750" i="7" s="1"/>
  <c r="V750" i="7" s="1"/>
  <c r="W750" i="7" s="1"/>
  <c r="R751" i="7"/>
  <c r="S751" i="7" s="1"/>
  <c r="T751" i="7"/>
  <c r="U751" i="7" s="1"/>
  <c r="V751" i="7" s="1"/>
  <c r="W751" i="7" s="1"/>
  <c r="R752" i="7"/>
  <c r="S752" i="7" s="1"/>
  <c r="T752" i="7"/>
  <c r="U752" i="7" s="1"/>
  <c r="V752" i="7" s="1"/>
  <c r="W752" i="7" s="1"/>
  <c r="R753" i="7"/>
  <c r="S753" i="7" s="1"/>
  <c r="T753" i="7"/>
  <c r="U753" i="7" s="1"/>
  <c r="V753" i="7" s="1"/>
  <c r="W753" i="7" s="1"/>
  <c r="R754" i="7"/>
  <c r="S754" i="7" s="1"/>
  <c r="T754" i="7"/>
  <c r="U754" i="7" s="1"/>
  <c r="V754" i="7" s="1"/>
  <c r="W754" i="7" s="1"/>
  <c r="R755" i="7"/>
  <c r="S755" i="7" s="1"/>
  <c r="T755" i="7"/>
  <c r="U755" i="7" s="1"/>
  <c r="V755" i="7" s="1"/>
  <c r="W755" i="7" s="1"/>
  <c r="R756" i="7"/>
  <c r="S756" i="7" s="1"/>
  <c r="T756" i="7"/>
  <c r="U756" i="7" s="1"/>
  <c r="V756" i="7" s="1"/>
  <c r="W756" i="7" s="1"/>
  <c r="R757" i="7"/>
  <c r="S757" i="7" s="1"/>
  <c r="T757" i="7"/>
  <c r="U757" i="7" s="1"/>
  <c r="V757" i="7" s="1"/>
  <c r="W757" i="7" s="1"/>
  <c r="R758" i="7"/>
  <c r="S758" i="7"/>
  <c r="T758" i="7"/>
  <c r="U758" i="7" s="1"/>
  <c r="V758" i="7" s="1"/>
  <c r="W758" i="7" s="1"/>
  <c r="R759" i="7"/>
  <c r="S759" i="7" s="1"/>
  <c r="T759" i="7"/>
  <c r="U759" i="7" s="1"/>
  <c r="V759" i="7" s="1"/>
  <c r="W759" i="7" s="1"/>
  <c r="R760" i="7"/>
  <c r="S760" i="7" s="1"/>
  <c r="T760" i="7"/>
  <c r="U760" i="7" s="1"/>
  <c r="V760" i="7" s="1"/>
  <c r="W760" i="7" s="1"/>
  <c r="R761" i="7"/>
  <c r="S761" i="7"/>
  <c r="T761" i="7"/>
  <c r="U761" i="7" s="1"/>
  <c r="V761" i="7" s="1"/>
  <c r="W761" i="7" s="1"/>
  <c r="R762" i="7"/>
  <c r="S762" i="7" s="1"/>
  <c r="T762" i="7"/>
  <c r="U762" i="7" s="1"/>
  <c r="V762" i="7" s="1"/>
  <c r="W762" i="7" s="1"/>
  <c r="R763" i="7"/>
  <c r="S763" i="7" s="1"/>
  <c r="T763" i="7"/>
  <c r="U763" i="7" s="1"/>
  <c r="V763" i="7" s="1"/>
  <c r="W763" i="7" s="1"/>
  <c r="R764" i="7"/>
  <c r="S764" i="7" s="1"/>
  <c r="T764" i="7"/>
  <c r="U764" i="7" s="1"/>
  <c r="V764" i="7" s="1"/>
  <c r="W764" i="7" s="1"/>
  <c r="R765" i="7"/>
  <c r="S765" i="7" s="1"/>
  <c r="T765" i="7"/>
  <c r="U765" i="7" s="1"/>
  <c r="V765" i="7" s="1"/>
  <c r="W765" i="7" s="1"/>
  <c r="R766" i="7"/>
  <c r="S766" i="7"/>
  <c r="T766" i="7"/>
  <c r="U766" i="7" s="1"/>
  <c r="V766" i="7" s="1"/>
  <c r="W766" i="7" s="1"/>
  <c r="R767" i="7"/>
  <c r="S767" i="7" s="1"/>
  <c r="T767" i="7"/>
  <c r="U767" i="7" s="1"/>
  <c r="V767" i="7" s="1"/>
  <c r="W767" i="7" s="1"/>
  <c r="R768" i="7"/>
  <c r="S768" i="7" s="1"/>
  <c r="T768" i="7"/>
  <c r="U768" i="7" s="1"/>
  <c r="V768" i="7" s="1"/>
  <c r="W768" i="7" s="1"/>
  <c r="R769" i="7"/>
  <c r="S769" i="7" s="1"/>
  <c r="T769" i="7"/>
  <c r="U769" i="7" s="1"/>
  <c r="V769" i="7" s="1"/>
  <c r="W769" i="7" s="1"/>
  <c r="R770" i="7"/>
  <c r="S770" i="7" s="1"/>
  <c r="T770" i="7"/>
  <c r="U770" i="7" s="1"/>
  <c r="V770" i="7" s="1"/>
  <c r="W770" i="7" s="1"/>
  <c r="R771" i="7"/>
  <c r="S771" i="7" s="1"/>
  <c r="T771" i="7"/>
  <c r="U771" i="7" s="1"/>
  <c r="V771" i="7" s="1"/>
  <c r="W771" i="7" s="1"/>
  <c r="R772" i="7"/>
  <c r="S772" i="7" s="1"/>
  <c r="T772" i="7"/>
  <c r="U772" i="7" s="1"/>
  <c r="V772" i="7" s="1"/>
  <c r="W772" i="7" s="1"/>
  <c r="R773" i="7"/>
  <c r="S773" i="7" s="1"/>
  <c r="T773" i="7"/>
  <c r="U773" i="7" s="1"/>
  <c r="V773" i="7" s="1"/>
  <c r="W773" i="7" s="1"/>
  <c r="R774" i="7"/>
  <c r="S774" i="7" s="1"/>
  <c r="T774" i="7"/>
  <c r="U774" i="7" s="1"/>
  <c r="V774" i="7" s="1"/>
  <c r="W774" i="7" s="1"/>
  <c r="R775" i="7"/>
  <c r="S775" i="7" s="1"/>
  <c r="T775" i="7"/>
  <c r="U775" i="7" s="1"/>
  <c r="V775" i="7" s="1"/>
  <c r="W775" i="7" s="1"/>
  <c r="R776" i="7"/>
  <c r="S776" i="7"/>
  <c r="T776" i="7"/>
  <c r="U776" i="7" s="1"/>
  <c r="V776" i="7" s="1"/>
  <c r="W776" i="7" s="1"/>
  <c r="R777" i="7"/>
  <c r="S777" i="7" s="1"/>
  <c r="T777" i="7"/>
  <c r="U777" i="7" s="1"/>
  <c r="V777" i="7" s="1"/>
  <c r="W777" i="7" s="1"/>
  <c r="R778" i="7"/>
  <c r="S778" i="7"/>
  <c r="T778" i="7"/>
  <c r="U778" i="7" s="1"/>
  <c r="V778" i="7" s="1"/>
  <c r="W778" i="7" s="1"/>
  <c r="R779" i="7"/>
  <c r="S779" i="7" s="1"/>
  <c r="T779" i="7"/>
  <c r="U779" i="7" s="1"/>
  <c r="V779" i="7" s="1"/>
  <c r="W779" i="7" s="1"/>
  <c r="R780" i="7"/>
  <c r="S780" i="7" s="1"/>
  <c r="T780" i="7"/>
  <c r="U780" i="7" s="1"/>
  <c r="V780" i="7" s="1"/>
  <c r="W780" i="7" s="1"/>
  <c r="R781" i="7"/>
  <c r="S781" i="7" s="1"/>
  <c r="T781" i="7"/>
  <c r="U781" i="7" s="1"/>
  <c r="V781" i="7" s="1"/>
  <c r="W781" i="7" s="1"/>
  <c r="R782" i="7"/>
  <c r="S782" i="7"/>
  <c r="T782" i="7"/>
  <c r="U782" i="7" s="1"/>
  <c r="V782" i="7" s="1"/>
  <c r="W782" i="7" s="1"/>
  <c r="R783" i="7"/>
  <c r="S783" i="7" s="1"/>
  <c r="T783" i="7"/>
  <c r="U783" i="7" s="1"/>
  <c r="V783" i="7" s="1"/>
  <c r="W783" i="7" s="1"/>
  <c r="R784" i="7"/>
  <c r="S784" i="7"/>
  <c r="T784" i="7"/>
  <c r="U784" i="7" s="1"/>
  <c r="V784" i="7" s="1"/>
  <c r="W784" i="7" s="1"/>
  <c r="R785" i="7"/>
  <c r="S785" i="7" s="1"/>
  <c r="T785" i="7"/>
  <c r="U785" i="7" s="1"/>
  <c r="V785" i="7" s="1"/>
  <c r="W785" i="7" s="1"/>
  <c r="R786" i="7"/>
  <c r="S786" i="7" s="1"/>
  <c r="T786" i="7"/>
  <c r="U786" i="7" s="1"/>
  <c r="V786" i="7" s="1"/>
  <c r="W786" i="7" s="1"/>
  <c r="R787" i="7"/>
  <c r="S787" i="7" s="1"/>
  <c r="T787" i="7"/>
  <c r="U787" i="7" s="1"/>
  <c r="V787" i="7" s="1"/>
  <c r="W787" i="7" s="1"/>
  <c r="R788" i="7"/>
  <c r="S788" i="7" s="1"/>
  <c r="T788" i="7"/>
  <c r="U788" i="7" s="1"/>
  <c r="V788" i="7" s="1"/>
  <c r="W788" i="7" s="1"/>
  <c r="R789" i="7"/>
  <c r="S789" i="7" s="1"/>
  <c r="T789" i="7"/>
  <c r="U789" i="7" s="1"/>
  <c r="V789" i="7" s="1"/>
  <c r="W789" i="7" s="1"/>
  <c r="R790" i="7"/>
  <c r="S790" i="7" s="1"/>
  <c r="T790" i="7"/>
  <c r="U790" i="7" s="1"/>
  <c r="V790" i="7" s="1"/>
  <c r="W790" i="7" s="1"/>
  <c r="R791" i="7"/>
  <c r="S791" i="7" s="1"/>
  <c r="T791" i="7"/>
  <c r="U791" i="7" s="1"/>
  <c r="V791" i="7" s="1"/>
  <c r="W791" i="7" s="1"/>
  <c r="R792" i="7"/>
  <c r="S792" i="7"/>
  <c r="T792" i="7"/>
  <c r="U792" i="7" s="1"/>
  <c r="V792" i="7" s="1"/>
  <c r="W792" i="7" s="1"/>
  <c r="R793" i="7"/>
  <c r="S793" i="7" s="1"/>
  <c r="T793" i="7"/>
  <c r="U793" i="7" s="1"/>
  <c r="V793" i="7" s="1"/>
  <c r="W793" i="7" s="1"/>
  <c r="R794" i="7"/>
  <c r="S794" i="7"/>
  <c r="T794" i="7"/>
  <c r="U794" i="7" s="1"/>
  <c r="V794" i="7" s="1"/>
  <c r="W794" i="7" s="1"/>
  <c r="R795" i="7"/>
  <c r="S795" i="7" s="1"/>
  <c r="T795" i="7"/>
  <c r="U795" i="7" s="1"/>
  <c r="V795" i="7" s="1"/>
  <c r="W795" i="7" s="1"/>
  <c r="R796" i="7"/>
  <c r="S796" i="7"/>
  <c r="T796" i="7"/>
  <c r="U796" i="7" s="1"/>
  <c r="V796" i="7" s="1"/>
  <c r="W796" i="7" s="1"/>
  <c r="R797" i="7"/>
  <c r="S797" i="7" s="1"/>
  <c r="T797" i="7"/>
  <c r="U797" i="7" s="1"/>
  <c r="V797" i="7" s="1"/>
  <c r="W797" i="7" s="1"/>
  <c r="R798" i="7"/>
  <c r="S798" i="7"/>
  <c r="T798" i="7"/>
  <c r="U798" i="7" s="1"/>
  <c r="V798" i="7" s="1"/>
  <c r="W798" i="7" s="1"/>
  <c r="R799" i="7"/>
  <c r="S799" i="7" s="1"/>
  <c r="T799" i="7"/>
  <c r="U799" i="7" s="1"/>
  <c r="V799" i="7" s="1"/>
  <c r="W799" i="7" s="1"/>
  <c r="R800" i="7"/>
  <c r="S800" i="7"/>
  <c r="T800" i="7"/>
  <c r="U800" i="7" s="1"/>
  <c r="V800" i="7" s="1"/>
  <c r="W800" i="7" s="1"/>
  <c r="R801" i="7"/>
  <c r="S801" i="7" s="1"/>
  <c r="T801" i="7"/>
  <c r="U801" i="7" s="1"/>
  <c r="V801" i="7" s="1"/>
  <c r="W801" i="7" s="1"/>
  <c r="R802" i="7"/>
  <c r="S802" i="7" s="1"/>
  <c r="T802" i="7"/>
  <c r="U802" i="7" s="1"/>
  <c r="V802" i="7" s="1"/>
  <c r="W802" i="7" s="1"/>
  <c r="R803" i="7"/>
  <c r="S803" i="7"/>
  <c r="T803" i="7"/>
  <c r="U803" i="7" s="1"/>
  <c r="V803" i="7" s="1"/>
  <c r="W803" i="7" s="1"/>
  <c r="R804" i="7"/>
  <c r="S804" i="7" s="1"/>
  <c r="T804" i="7"/>
  <c r="U804" i="7" s="1"/>
  <c r="V804" i="7" s="1"/>
  <c r="W804" i="7" s="1"/>
  <c r="R805" i="7"/>
  <c r="S805" i="7" s="1"/>
  <c r="T805" i="7"/>
  <c r="U805" i="7" s="1"/>
  <c r="V805" i="7" s="1"/>
  <c r="W805" i="7" s="1"/>
  <c r="R806" i="7"/>
  <c r="S806" i="7"/>
  <c r="T806" i="7"/>
  <c r="U806" i="7" s="1"/>
  <c r="V806" i="7" s="1"/>
  <c r="W806" i="7" s="1"/>
  <c r="R807" i="7"/>
  <c r="S807" i="7" s="1"/>
  <c r="T807" i="7"/>
  <c r="U807" i="7" s="1"/>
  <c r="V807" i="7" s="1"/>
  <c r="W807" i="7" s="1"/>
  <c r="R808" i="7"/>
  <c r="S808" i="7"/>
  <c r="T808" i="7"/>
  <c r="U808" i="7" s="1"/>
  <c r="V808" i="7" s="1"/>
  <c r="W808" i="7" s="1"/>
  <c r="R809" i="7"/>
  <c r="S809" i="7" s="1"/>
  <c r="T809" i="7"/>
  <c r="U809" i="7" s="1"/>
  <c r="V809" i="7" s="1"/>
  <c r="W809" i="7" s="1"/>
  <c r="R810" i="7"/>
  <c r="S810" i="7" s="1"/>
  <c r="T810" i="7"/>
  <c r="U810" i="7" s="1"/>
  <c r="V810" i="7" s="1"/>
  <c r="W810" i="7" s="1"/>
  <c r="R811" i="7"/>
  <c r="S811" i="7" s="1"/>
  <c r="T811" i="7"/>
  <c r="U811" i="7" s="1"/>
  <c r="V811" i="7" s="1"/>
  <c r="W811" i="7" s="1"/>
  <c r="R812" i="7"/>
  <c r="S812" i="7" s="1"/>
  <c r="T812" i="7"/>
  <c r="U812" i="7" s="1"/>
  <c r="V812" i="7" s="1"/>
  <c r="W812" i="7" s="1"/>
  <c r="R813" i="7"/>
  <c r="S813" i="7" s="1"/>
  <c r="T813" i="7"/>
  <c r="U813" i="7" s="1"/>
  <c r="V813" i="7" s="1"/>
  <c r="W813" i="7" s="1"/>
  <c r="R814" i="7"/>
  <c r="S814" i="7"/>
  <c r="T814" i="7"/>
  <c r="U814" i="7" s="1"/>
  <c r="V814" i="7" s="1"/>
  <c r="W814" i="7" s="1"/>
  <c r="R815" i="7"/>
  <c r="S815" i="7" s="1"/>
  <c r="T815" i="7"/>
  <c r="U815" i="7" s="1"/>
  <c r="V815" i="7" s="1"/>
  <c r="W815" i="7" s="1"/>
  <c r="R816" i="7"/>
  <c r="S816" i="7" s="1"/>
  <c r="T816" i="7"/>
  <c r="U816" i="7" s="1"/>
  <c r="V816" i="7" s="1"/>
  <c r="W816" i="7" s="1"/>
  <c r="R817" i="7"/>
  <c r="S817" i="7" s="1"/>
  <c r="T817" i="7"/>
  <c r="U817" i="7" s="1"/>
  <c r="V817" i="7" s="1"/>
  <c r="W817" i="7" s="1"/>
  <c r="R818" i="7"/>
  <c r="S818" i="7"/>
  <c r="T818" i="7"/>
  <c r="U818" i="7" s="1"/>
  <c r="V818" i="7" s="1"/>
  <c r="W818" i="7" s="1"/>
  <c r="R819" i="7"/>
  <c r="S819" i="7" s="1"/>
  <c r="T819" i="7"/>
  <c r="U819" i="7" s="1"/>
  <c r="V819" i="7" s="1"/>
  <c r="W819" i="7" s="1"/>
  <c r="R820" i="7"/>
  <c r="S820" i="7" s="1"/>
  <c r="T820" i="7"/>
  <c r="U820" i="7" s="1"/>
  <c r="V820" i="7" s="1"/>
  <c r="W820" i="7" s="1"/>
  <c r="R821" i="7"/>
  <c r="S821" i="7"/>
  <c r="T821" i="7"/>
  <c r="U821" i="7" s="1"/>
  <c r="V821" i="7" s="1"/>
  <c r="W821" i="7" s="1"/>
  <c r="R822" i="7"/>
  <c r="S822" i="7"/>
  <c r="T822" i="7"/>
  <c r="U822" i="7" s="1"/>
  <c r="V822" i="7" s="1"/>
  <c r="W822" i="7" s="1"/>
  <c r="R823" i="7"/>
  <c r="S823" i="7"/>
  <c r="T823" i="7"/>
  <c r="U823" i="7" s="1"/>
  <c r="V823" i="7" s="1"/>
  <c r="W823" i="7" s="1"/>
  <c r="R824" i="7"/>
  <c r="S824" i="7"/>
  <c r="T824" i="7"/>
  <c r="U824" i="7" s="1"/>
  <c r="V824" i="7" s="1"/>
  <c r="W824" i="7" s="1"/>
  <c r="R825" i="7"/>
  <c r="S825" i="7" s="1"/>
  <c r="T825" i="7"/>
  <c r="U825" i="7" s="1"/>
  <c r="V825" i="7" s="1"/>
  <c r="W825" i="7" s="1"/>
  <c r="R826" i="7"/>
  <c r="S826" i="7" s="1"/>
  <c r="T826" i="7"/>
  <c r="U826" i="7" s="1"/>
  <c r="V826" i="7" s="1"/>
  <c r="W826" i="7" s="1"/>
  <c r="R827" i="7"/>
  <c r="S827" i="7" s="1"/>
  <c r="T827" i="7"/>
  <c r="U827" i="7" s="1"/>
  <c r="V827" i="7" s="1"/>
  <c r="W827" i="7" s="1"/>
  <c r="R828" i="7"/>
  <c r="S828" i="7"/>
  <c r="T828" i="7"/>
  <c r="U828" i="7" s="1"/>
  <c r="V828" i="7" s="1"/>
  <c r="W828" i="7" s="1"/>
  <c r="R829" i="7"/>
  <c r="S829" i="7" s="1"/>
  <c r="T829" i="7"/>
  <c r="U829" i="7" s="1"/>
  <c r="V829" i="7" s="1"/>
  <c r="W829" i="7" s="1"/>
  <c r="R830" i="7"/>
  <c r="S830" i="7" s="1"/>
  <c r="T830" i="7"/>
  <c r="U830" i="7" s="1"/>
  <c r="V830" i="7" s="1"/>
  <c r="W830" i="7" s="1"/>
  <c r="R831" i="7"/>
  <c r="S831" i="7" s="1"/>
  <c r="T831" i="7"/>
  <c r="U831" i="7" s="1"/>
  <c r="V831" i="7" s="1"/>
  <c r="W831" i="7" s="1"/>
  <c r="R832" i="7"/>
  <c r="S832" i="7"/>
  <c r="T832" i="7"/>
  <c r="U832" i="7" s="1"/>
  <c r="V832" i="7" s="1"/>
  <c r="W832" i="7" s="1"/>
  <c r="R833" i="7"/>
  <c r="S833" i="7" s="1"/>
  <c r="T833" i="7"/>
  <c r="U833" i="7" s="1"/>
  <c r="V833" i="7" s="1"/>
  <c r="W833" i="7" s="1"/>
  <c r="R834" i="7"/>
  <c r="S834" i="7" s="1"/>
  <c r="T834" i="7"/>
  <c r="U834" i="7" s="1"/>
  <c r="V834" i="7" s="1"/>
  <c r="W834" i="7" s="1"/>
  <c r="R835" i="7"/>
  <c r="S835" i="7" s="1"/>
  <c r="T835" i="7"/>
  <c r="U835" i="7" s="1"/>
  <c r="V835" i="7" s="1"/>
  <c r="W835" i="7" s="1"/>
  <c r="R836" i="7"/>
  <c r="S836" i="7"/>
  <c r="T836" i="7"/>
  <c r="U836" i="7" s="1"/>
  <c r="V836" i="7" s="1"/>
  <c r="W836" i="7" s="1"/>
  <c r="R837" i="7"/>
  <c r="S837" i="7"/>
  <c r="T837" i="7"/>
  <c r="U837" i="7" s="1"/>
  <c r="V837" i="7" s="1"/>
  <c r="W837" i="7" s="1"/>
  <c r="R838" i="7"/>
  <c r="S838" i="7" s="1"/>
  <c r="T838" i="7"/>
  <c r="U838" i="7" s="1"/>
  <c r="V838" i="7" s="1"/>
  <c r="W838" i="7" s="1"/>
  <c r="R839" i="7"/>
  <c r="S839" i="7" s="1"/>
  <c r="T839" i="7"/>
  <c r="U839" i="7" s="1"/>
  <c r="V839" i="7" s="1"/>
  <c r="W839" i="7" s="1"/>
  <c r="R840" i="7"/>
  <c r="S840" i="7"/>
  <c r="T840" i="7"/>
  <c r="U840" i="7" s="1"/>
  <c r="V840" i="7" s="1"/>
  <c r="W840" i="7" s="1"/>
  <c r="R841" i="7"/>
  <c r="S841" i="7" s="1"/>
  <c r="T841" i="7"/>
  <c r="U841" i="7" s="1"/>
  <c r="V841" i="7" s="1"/>
  <c r="W841" i="7" s="1"/>
  <c r="R842" i="7"/>
  <c r="S842" i="7"/>
  <c r="T842" i="7"/>
  <c r="U842" i="7" s="1"/>
  <c r="V842" i="7" s="1"/>
  <c r="W842" i="7" s="1"/>
  <c r="R843" i="7"/>
  <c r="S843" i="7" s="1"/>
  <c r="T843" i="7"/>
  <c r="U843" i="7" s="1"/>
  <c r="V843" i="7" s="1"/>
  <c r="W843" i="7" s="1"/>
  <c r="R844" i="7"/>
  <c r="S844" i="7" s="1"/>
  <c r="T844" i="7"/>
  <c r="U844" i="7" s="1"/>
  <c r="V844" i="7" s="1"/>
  <c r="W844" i="7" s="1"/>
  <c r="R845" i="7"/>
  <c r="S845" i="7"/>
  <c r="T845" i="7"/>
  <c r="U845" i="7" s="1"/>
  <c r="V845" i="7" s="1"/>
  <c r="W845" i="7" s="1"/>
  <c r="R846" i="7"/>
  <c r="S846" i="7" s="1"/>
  <c r="T846" i="7"/>
  <c r="U846" i="7" s="1"/>
  <c r="V846" i="7" s="1"/>
  <c r="W846" i="7" s="1"/>
  <c r="R847" i="7"/>
  <c r="S847" i="7" s="1"/>
  <c r="T847" i="7"/>
  <c r="U847" i="7" s="1"/>
  <c r="V847" i="7" s="1"/>
  <c r="W847" i="7" s="1"/>
  <c r="R848" i="7"/>
  <c r="S848" i="7" s="1"/>
  <c r="T848" i="7"/>
  <c r="U848" i="7" s="1"/>
  <c r="V848" i="7" s="1"/>
  <c r="W848" i="7" s="1"/>
  <c r="R849" i="7"/>
  <c r="S849" i="7" s="1"/>
  <c r="T849" i="7"/>
  <c r="U849" i="7" s="1"/>
  <c r="V849" i="7" s="1"/>
  <c r="W849" i="7" s="1"/>
  <c r="R850" i="7"/>
  <c r="S850" i="7"/>
  <c r="T850" i="7"/>
  <c r="U850" i="7" s="1"/>
  <c r="V850" i="7" s="1"/>
  <c r="W850" i="7" s="1"/>
  <c r="R851" i="7"/>
  <c r="S851" i="7"/>
  <c r="T851" i="7"/>
  <c r="U851" i="7" s="1"/>
  <c r="V851" i="7" s="1"/>
  <c r="W851" i="7" s="1"/>
  <c r="R852" i="7"/>
  <c r="S852" i="7" s="1"/>
  <c r="T852" i="7"/>
  <c r="U852" i="7" s="1"/>
  <c r="V852" i="7" s="1"/>
  <c r="W852" i="7" s="1"/>
  <c r="R853" i="7"/>
  <c r="S853" i="7" s="1"/>
  <c r="T853" i="7"/>
  <c r="U853" i="7" s="1"/>
  <c r="V853" i="7" s="1"/>
  <c r="W853" i="7" s="1"/>
  <c r="R854" i="7"/>
  <c r="S854" i="7"/>
  <c r="T854" i="7"/>
  <c r="U854" i="7" s="1"/>
  <c r="V854" i="7" s="1"/>
  <c r="W854" i="7" s="1"/>
  <c r="R855" i="7"/>
  <c r="S855" i="7" s="1"/>
  <c r="T855" i="7"/>
  <c r="U855" i="7" s="1"/>
  <c r="V855" i="7" s="1"/>
  <c r="W855" i="7" s="1"/>
  <c r="R856" i="7"/>
  <c r="S856" i="7" s="1"/>
  <c r="T856" i="7"/>
  <c r="U856" i="7" s="1"/>
  <c r="V856" i="7" s="1"/>
  <c r="W856" i="7" s="1"/>
  <c r="R857" i="7"/>
  <c r="S857" i="7" s="1"/>
  <c r="T857" i="7"/>
  <c r="U857" i="7" s="1"/>
  <c r="V857" i="7" s="1"/>
  <c r="W857" i="7" s="1"/>
  <c r="R858" i="7"/>
  <c r="S858" i="7"/>
  <c r="T858" i="7"/>
  <c r="U858" i="7" s="1"/>
  <c r="V858" i="7" s="1"/>
  <c r="W858" i="7" s="1"/>
  <c r="R859" i="7"/>
  <c r="S859" i="7"/>
  <c r="T859" i="7"/>
  <c r="U859" i="7" s="1"/>
  <c r="V859" i="7" s="1"/>
  <c r="W859" i="7" s="1"/>
  <c r="R860" i="7"/>
  <c r="S860" i="7" s="1"/>
  <c r="T860" i="7"/>
  <c r="U860" i="7" s="1"/>
  <c r="V860" i="7" s="1"/>
  <c r="W860" i="7" s="1"/>
  <c r="R861" i="7"/>
  <c r="S861" i="7" s="1"/>
  <c r="T861" i="7"/>
  <c r="U861" i="7" s="1"/>
  <c r="V861" i="7" s="1"/>
  <c r="W861" i="7" s="1"/>
  <c r="R862" i="7"/>
  <c r="S862" i="7"/>
  <c r="T862" i="7"/>
  <c r="U862" i="7" s="1"/>
  <c r="V862" i="7" s="1"/>
  <c r="W862" i="7" s="1"/>
  <c r="R863" i="7"/>
  <c r="S863" i="7" s="1"/>
  <c r="T863" i="7"/>
  <c r="U863" i="7" s="1"/>
  <c r="V863" i="7" s="1"/>
  <c r="W863" i="7" s="1"/>
  <c r="R864" i="7"/>
  <c r="S864" i="7" s="1"/>
  <c r="T864" i="7"/>
  <c r="U864" i="7" s="1"/>
  <c r="V864" i="7" s="1"/>
  <c r="W864" i="7" s="1"/>
  <c r="R865" i="7"/>
  <c r="S865" i="7" s="1"/>
  <c r="T865" i="7"/>
  <c r="U865" i="7" s="1"/>
  <c r="V865" i="7" s="1"/>
  <c r="W865" i="7" s="1"/>
  <c r="R866" i="7"/>
  <c r="S866" i="7" s="1"/>
  <c r="T866" i="7"/>
  <c r="U866" i="7" s="1"/>
  <c r="V866" i="7" s="1"/>
  <c r="W866" i="7" s="1"/>
  <c r="R867" i="7"/>
  <c r="S867" i="7"/>
  <c r="T867" i="7"/>
  <c r="U867" i="7" s="1"/>
  <c r="V867" i="7" s="1"/>
  <c r="W867" i="7" s="1"/>
  <c r="R868" i="7"/>
  <c r="S868" i="7" s="1"/>
  <c r="T868" i="7"/>
  <c r="U868" i="7" s="1"/>
  <c r="V868" i="7" s="1"/>
  <c r="W868" i="7" s="1"/>
  <c r="R869" i="7"/>
  <c r="S869" i="7"/>
  <c r="T869" i="7"/>
  <c r="U869" i="7" s="1"/>
  <c r="V869" i="7" s="1"/>
  <c r="W869" i="7" s="1"/>
  <c r="R870" i="7"/>
  <c r="S870" i="7"/>
  <c r="T870" i="7"/>
  <c r="U870" i="7" s="1"/>
  <c r="V870" i="7" s="1"/>
  <c r="W870" i="7" s="1"/>
  <c r="R871" i="7"/>
  <c r="S871" i="7" s="1"/>
  <c r="T871" i="7"/>
  <c r="U871" i="7" s="1"/>
  <c r="V871" i="7" s="1"/>
  <c r="W871" i="7" s="1"/>
  <c r="R872" i="7"/>
  <c r="S872" i="7" s="1"/>
  <c r="T872" i="7"/>
  <c r="U872" i="7" s="1"/>
  <c r="V872" i="7" s="1"/>
  <c r="W872" i="7" s="1"/>
  <c r="R873" i="7"/>
  <c r="S873" i="7"/>
  <c r="T873" i="7"/>
  <c r="U873" i="7" s="1"/>
  <c r="V873" i="7" s="1"/>
  <c r="W873" i="7" s="1"/>
  <c r="R874" i="7"/>
  <c r="S874" i="7"/>
  <c r="T874" i="7"/>
  <c r="U874" i="7" s="1"/>
  <c r="V874" i="7" s="1"/>
  <c r="W874" i="7" s="1"/>
  <c r="R875" i="7"/>
  <c r="S875" i="7"/>
  <c r="T875" i="7"/>
  <c r="U875" i="7" s="1"/>
  <c r="V875" i="7" s="1"/>
  <c r="W875" i="7" s="1"/>
  <c r="R876" i="7"/>
  <c r="S876" i="7" s="1"/>
  <c r="T876" i="7"/>
  <c r="U876" i="7" s="1"/>
  <c r="V876" i="7" s="1"/>
  <c r="W876" i="7" s="1"/>
  <c r="R877" i="7"/>
  <c r="S877" i="7"/>
  <c r="T877" i="7"/>
  <c r="U877" i="7" s="1"/>
  <c r="V877" i="7" s="1"/>
  <c r="W877" i="7" s="1"/>
  <c r="R878" i="7"/>
  <c r="S878" i="7" s="1"/>
  <c r="T878" i="7"/>
  <c r="U878" i="7" s="1"/>
  <c r="V878" i="7" s="1"/>
  <c r="W878" i="7" s="1"/>
  <c r="R879" i="7"/>
  <c r="S879" i="7" s="1"/>
  <c r="T879" i="7"/>
  <c r="U879" i="7" s="1"/>
  <c r="V879" i="7" s="1"/>
  <c r="W879" i="7" s="1"/>
  <c r="R880" i="7"/>
  <c r="S880" i="7" s="1"/>
  <c r="T880" i="7"/>
  <c r="U880" i="7" s="1"/>
  <c r="V880" i="7" s="1"/>
  <c r="W880" i="7" s="1"/>
  <c r="R881" i="7"/>
  <c r="S881" i="7"/>
  <c r="T881" i="7"/>
  <c r="U881" i="7" s="1"/>
  <c r="V881" i="7" s="1"/>
  <c r="W881" i="7" s="1"/>
  <c r="R882" i="7"/>
  <c r="S882" i="7"/>
  <c r="T882" i="7"/>
  <c r="U882" i="7" s="1"/>
  <c r="V882" i="7" s="1"/>
  <c r="W882" i="7" s="1"/>
  <c r="R883" i="7"/>
  <c r="S883" i="7"/>
  <c r="T883" i="7"/>
  <c r="U883" i="7" s="1"/>
  <c r="V883" i="7" s="1"/>
  <c r="W883" i="7" s="1"/>
  <c r="R884" i="7"/>
  <c r="S884" i="7" s="1"/>
  <c r="T884" i="7"/>
  <c r="U884" i="7" s="1"/>
  <c r="V884" i="7" s="1"/>
  <c r="W884" i="7" s="1"/>
  <c r="R885" i="7"/>
  <c r="S885" i="7" s="1"/>
  <c r="T885" i="7"/>
  <c r="U885" i="7" s="1"/>
  <c r="V885" i="7" s="1"/>
  <c r="W885" i="7" s="1"/>
  <c r="R886" i="7"/>
  <c r="S886" i="7" s="1"/>
  <c r="T886" i="7"/>
  <c r="U886" i="7" s="1"/>
  <c r="V886" i="7" s="1"/>
  <c r="W886" i="7" s="1"/>
  <c r="R887" i="7"/>
  <c r="S887" i="7" s="1"/>
  <c r="T887" i="7"/>
  <c r="U887" i="7" s="1"/>
  <c r="V887" i="7" s="1"/>
  <c r="W887" i="7" s="1"/>
  <c r="R888" i="7"/>
  <c r="S888" i="7" s="1"/>
  <c r="T888" i="7"/>
  <c r="U888" i="7" s="1"/>
  <c r="V888" i="7" s="1"/>
  <c r="W888" i="7" s="1"/>
  <c r="R889" i="7"/>
  <c r="S889" i="7" s="1"/>
  <c r="T889" i="7"/>
  <c r="U889" i="7" s="1"/>
  <c r="V889" i="7" s="1"/>
  <c r="W889" i="7" s="1"/>
  <c r="R890" i="7"/>
  <c r="S890" i="7" s="1"/>
  <c r="T890" i="7"/>
  <c r="U890" i="7" s="1"/>
  <c r="V890" i="7" s="1"/>
  <c r="W890" i="7" s="1"/>
  <c r="R891" i="7"/>
  <c r="S891" i="7"/>
  <c r="T891" i="7"/>
  <c r="U891" i="7" s="1"/>
  <c r="V891" i="7" s="1"/>
  <c r="W891" i="7" s="1"/>
  <c r="R892" i="7"/>
  <c r="S892" i="7" s="1"/>
  <c r="T892" i="7"/>
  <c r="U892" i="7" s="1"/>
  <c r="V892" i="7" s="1"/>
  <c r="W892" i="7" s="1"/>
  <c r="R893" i="7"/>
  <c r="S893" i="7" s="1"/>
  <c r="T893" i="7"/>
  <c r="U893" i="7" s="1"/>
  <c r="V893" i="7" s="1"/>
  <c r="W893" i="7" s="1"/>
  <c r="R894" i="7"/>
  <c r="S894" i="7" s="1"/>
  <c r="T894" i="7"/>
  <c r="U894" i="7" s="1"/>
  <c r="V894" i="7" s="1"/>
  <c r="W894" i="7" s="1"/>
  <c r="R895" i="7"/>
  <c r="S895" i="7"/>
  <c r="T895" i="7"/>
  <c r="U895" i="7" s="1"/>
  <c r="V895" i="7" s="1"/>
  <c r="W895" i="7" s="1"/>
  <c r="R896" i="7"/>
  <c r="S896" i="7" s="1"/>
  <c r="T896" i="7"/>
  <c r="U896" i="7" s="1"/>
  <c r="V896" i="7" s="1"/>
  <c r="W896" i="7" s="1"/>
  <c r="R897" i="7"/>
  <c r="S897" i="7" s="1"/>
  <c r="T897" i="7"/>
  <c r="U897" i="7" s="1"/>
  <c r="V897" i="7" s="1"/>
  <c r="W897" i="7" s="1"/>
  <c r="R898" i="7"/>
  <c r="S898" i="7" s="1"/>
  <c r="T898" i="7"/>
  <c r="U898" i="7" s="1"/>
  <c r="V898" i="7" s="1"/>
  <c r="W898" i="7" s="1"/>
  <c r="R899" i="7"/>
  <c r="S899" i="7"/>
  <c r="T899" i="7"/>
  <c r="U899" i="7" s="1"/>
  <c r="V899" i="7" s="1"/>
  <c r="W899" i="7" s="1"/>
  <c r="R900" i="7"/>
  <c r="S900" i="7" s="1"/>
  <c r="T900" i="7"/>
  <c r="U900" i="7" s="1"/>
  <c r="V900" i="7" s="1"/>
  <c r="W900" i="7" s="1"/>
  <c r="R901" i="7"/>
  <c r="S901" i="7" s="1"/>
  <c r="T901" i="7"/>
  <c r="U901" i="7" s="1"/>
  <c r="V901" i="7" s="1"/>
  <c r="W901" i="7" s="1"/>
  <c r="R902" i="7"/>
  <c r="S902" i="7"/>
  <c r="T902" i="7"/>
  <c r="U902" i="7" s="1"/>
  <c r="V902" i="7" s="1"/>
  <c r="W902" i="7" s="1"/>
  <c r="R903" i="7"/>
  <c r="S903" i="7"/>
  <c r="T903" i="7"/>
  <c r="U903" i="7" s="1"/>
  <c r="V903" i="7" s="1"/>
  <c r="W903" i="7" s="1"/>
  <c r="R904" i="7"/>
  <c r="S904" i="7" s="1"/>
  <c r="T904" i="7"/>
  <c r="U904" i="7" s="1"/>
  <c r="V904" i="7" s="1"/>
  <c r="W904" i="7" s="1"/>
  <c r="R905" i="7"/>
  <c r="S905" i="7"/>
  <c r="T905" i="7"/>
  <c r="U905" i="7" s="1"/>
  <c r="V905" i="7" s="1"/>
  <c r="W905" i="7" s="1"/>
  <c r="R906" i="7"/>
  <c r="S906" i="7" s="1"/>
  <c r="T906" i="7"/>
  <c r="U906" i="7" s="1"/>
  <c r="V906" i="7" s="1"/>
  <c r="W906" i="7" s="1"/>
  <c r="R907" i="7"/>
  <c r="S907" i="7"/>
  <c r="T907" i="7"/>
  <c r="U907" i="7" s="1"/>
  <c r="V907" i="7" s="1"/>
  <c r="W907" i="7" s="1"/>
  <c r="R908" i="7"/>
  <c r="S908" i="7" s="1"/>
  <c r="T908" i="7"/>
  <c r="U908" i="7" s="1"/>
  <c r="V908" i="7" s="1"/>
  <c r="W908" i="7" s="1"/>
  <c r="R909" i="7"/>
  <c r="S909" i="7" s="1"/>
  <c r="T909" i="7"/>
  <c r="U909" i="7" s="1"/>
  <c r="V909" i="7" s="1"/>
  <c r="W909" i="7" s="1"/>
  <c r="R910" i="7"/>
  <c r="S910" i="7"/>
  <c r="T910" i="7"/>
  <c r="U910" i="7" s="1"/>
  <c r="V910" i="7" s="1"/>
  <c r="W910" i="7" s="1"/>
  <c r="R911" i="7"/>
  <c r="S911" i="7"/>
  <c r="T911" i="7"/>
  <c r="U911" i="7" s="1"/>
  <c r="V911" i="7" s="1"/>
  <c r="W911" i="7" s="1"/>
  <c r="R912" i="7"/>
  <c r="S912" i="7" s="1"/>
  <c r="T912" i="7"/>
  <c r="U912" i="7" s="1"/>
  <c r="V912" i="7" s="1"/>
  <c r="W912" i="7" s="1"/>
  <c r="R913" i="7"/>
  <c r="S913" i="7" s="1"/>
  <c r="T913" i="7"/>
  <c r="U913" i="7" s="1"/>
  <c r="V913" i="7" s="1"/>
  <c r="W913" i="7" s="1"/>
  <c r="R914" i="7"/>
  <c r="S914" i="7" s="1"/>
  <c r="T914" i="7"/>
  <c r="U914" i="7" s="1"/>
  <c r="V914" i="7" s="1"/>
  <c r="W914" i="7" s="1"/>
  <c r="R915" i="7"/>
  <c r="S915" i="7"/>
  <c r="T915" i="7"/>
  <c r="U915" i="7" s="1"/>
  <c r="V915" i="7" s="1"/>
  <c r="W915" i="7" s="1"/>
  <c r="R916" i="7"/>
  <c r="S916" i="7" s="1"/>
  <c r="T916" i="7"/>
  <c r="U916" i="7" s="1"/>
  <c r="V916" i="7" s="1"/>
  <c r="W916" i="7" s="1"/>
  <c r="R917" i="7"/>
  <c r="S917" i="7" s="1"/>
  <c r="T917" i="7"/>
  <c r="U917" i="7" s="1"/>
  <c r="V917" i="7" s="1"/>
  <c r="W917" i="7" s="1"/>
  <c r="R918" i="7"/>
  <c r="S918" i="7"/>
  <c r="T918" i="7"/>
  <c r="U918" i="7" s="1"/>
  <c r="V918" i="7" s="1"/>
  <c r="W918" i="7" s="1"/>
  <c r="R919" i="7"/>
  <c r="S919" i="7"/>
  <c r="T919" i="7"/>
  <c r="U919" i="7" s="1"/>
  <c r="V919" i="7" s="1"/>
  <c r="W919" i="7" s="1"/>
  <c r="R920" i="7"/>
  <c r="S920" i="7" s="1"/>
  <c r="T920" i="7"/>
  <c r="U920" i="7" s="1"/>
  <c r="V920" i="7" s="1"/>
  <c r="W920" i="7" s="1"/>
  <c r="R921" i="7"/>
  <c r="S921" i="7" s="1"/>
  <c r="T921" i="7"/>
  <c r="U921" i="7" s="1"/>
  <c r="V921" i="7" s="1"/>
  <c r="W921" i="7" s="1"/>
  <c r="R922" i="7"/>
  <c r="S922" i="7" s="1"/>
  <c r="T922" i="7"/>
  <c r="U922" i="7" s="1"/>
  <c r="V922" i="7" s="1"/>
  <c r="W922" i="7" s="1"/>
  <c r="R923" i="7"/>
  <c r="S923" i="7" s="1"/>
  <c r="T923" i="7"/>
  <c r="U923" i="7" s="1"/>
  <c r="V923" i="7" s="1"/>
  <c r="W923" i="7" s="1"/>
  <c r="R924" i="7"/>
  <c r="S924" i="7" s="1"/>
  <c r="T924" i="7"/>
  <c r="U924" i="7" s="1"/>
  <c r="V924" i="7" s="1"/>
  <c r="W924" i="7" s="1"/>
  <c r="R925" i="7"/>
  <c r="S925" i="7"/>
  <c r="T925" i="7"/>
  <c r="U925" i="7" s="1"/>
  <c r="V925" i="7" s="1"/>
  <c r="W925" i="7" s="1"/>
  <c r="R926" i="7"/>
  <c r="S926" i="7"/>
  <c r="T926" i="7"/>
  <c r="U926" i="7" s="1"/>
  <c r="V926" i="7" s="1"/>
  <c r="W926" i="7" s="1"/>
  <c r="R927" i="7"/>
  <c r="S927" i="7" s="1"/>
  <c r="T927" i="7"/>
  <c r="U927" i="7" s="1"/>
  <c r="V927" i="7" s="1"/>
  <c r="W927" i="7" s="1"/>
  <c r="R928" i="7"/>
  <c r="S928" i="7" s="1"/>
  <c r="T928" i="7"/>
  <c r="U928" i="7" s="1"/>
  <c r="V928" i="7" s="1"/>
  <c r="W928" i="7" s="1"/>
  <c r="R929" i="7"/>
  <c r="S929" i="7" s="1"/>
  <c r="T929" i="7"/>
  <c r="U929" i="7" s="1"/>
  <c r="V929" i="7" s="1"/>
  <c r="W929" i="7" s="1"/>
  <c r="R930" i="7"/>
  <c r="S930" i="7"/>
  <c r="T930" i="7"/>
  <c r="U930" i="7" s="1"/>
  <c r="V930" i="7" s="1"/>
  <c r="W930" i="7" s="1"/>
  <c r="R931" i="7"/>
  <c r="S931" i="7" s="1"/>
  <c r="T931" i="7"/>
  <c r="U931" i="7" s="1"/>
  <c r="V931" i="7" s="1"/>
  <c r="W931" i="7" s="1"/>
  <c r="R932" i="7"/>
  <c r="S932" i="7" s="1"/>
  <c r="T932" i="7"/>
  <c r="U932" i="7" s="1"/>
  <c r="V932" i="7" s="1"/>
  <c r="W932" i="7" s="1"/>
  <c r="R933" i="7"/>
  <c r="S933" i="7" s="1"/>
  <c r="T933" i="7"/>
  <c r="U933" i="7" s="1"/>
  <c r="V933" i="7" s="1"/>
  <c r="W933" i="7" s="1"/>
  <c r="R934" i="7"/>
  <c r="S934" i="7" s="1"/>
  <c r="T934" i="7"/>
  <c r="U934" i="7" s="1"/>
  <c r="V934" i="7" s="1"/>
  <c r="W934" i="7" s="1"/>
  <c r="R935" i="7"/>
  <c r="S935" i="7"/>
  <c r="T935" i="7"/>
  <c r="U935" i="7" s="1"/>
  <c r="V935" i="7" s="1"/>
  <c r="W935" i="7" s="1"/>
  <c r="R936" i="7"/>
  <c r="S936" i="7" s="1"/>
  <c r="T936" i="7"/>
  <c r="U936" i="7" s="1"/>
  <c r="V936" i="7" s="1"/>
  <c r="W936" i="7" s="1"/>
  <c r="R937" i="7"/>
  <c r="S937" i="7"/>
  <c r="T937" i="7"/>
  <c r="U937" i="7" s="1"/>
  <c r="V937" i="7" s="1"/>
  <c r="W937" i="7" s="1"/>
  <c r="R938" i="7"/>
  <c r="S938" i="7" s="1"/>
  <c r="T938" i="7"/>
  <c r="U938" i="7" s="1"/>
  <c r="V938" i="7" s="1"/>
  <c r="W938" i="7" s="1"/>
  <c r="R939" i="7"/>
  <c r="S939" i="7"/>
  <c r="T939" i="7"/>
  <c r="U939" i="7" s="1"/>
  <c r="V939" i="7" s="1"/>
  <c r="W939" i="7" s="1"/>
  <c r="R940" i="7"/>
  <c r="S940" i="7" s="1"/>
  <c r="T940" i="7"/>
  <c r="U940" i="7" s="1"/>
  <c r="V940" i="7" s="1"/>
  <c r="W940" i="7" s="1"/>
  <c r="R941" i="7"/>
  <c r="S941" i="7" s="1"/>
  <c r="T941" i="7"/>
  <c r="U941" i="7" s="1"/>
  <c r="V941" i="7" s="1"/>
  <c r="W941" i="7" s="1"/>
  <c r="R942" i="7"/>
  <c r="S942" i="7" s="1"/>
  <c r="T942" i="7"/>
  <c r="U942" i="7" s="1"/>
  <c r="V942" i="7" s="1"/>
  <c r="W942" i="7" s="1"/>
  <c r="R943" i="7"/>
  <c r="S943" i="7"/>
  <c r="T943" i="7"/>
  <c r="U943" i="7" s="1"/>
  <c r="V943" i="7" s="1"/>
  <c r="W943" i="7" s="1"/>
  <c r="R944" i="7"/>
  <c r="S944" i="7" s="1"/>
  <c r="T944" i="7"/>
  <c r="U944" i="7" s="1"/>
  <c r="V944" i="7" s="1"/>
  <c r="W944" i="7" s="1"/>
  <c r="R945" i="7"/>
  <c r="S945" i="7" s="1"/>
  <c r="T945" i="7"/>
  <c r="U945" i="7" s="1"/>
  <c r="V945" i="7" s="1"/>
  <c r="W945" i="7" s="1"/>
  <c r="R946" i="7"/>
  <c r="S946" i="7"/>
  <c r="T946" i="7"/>
  <c r="U946" i="7" s="1"/>
  <c r="V946" i="7" s="1"/>
  <c r="W946" i="7" s="1"/>
  <c r="R947" i="7"/>
  <c r="S947" i="7"/>
  <c r="T947" i="7"/>
  <c r="U947" i="7" s="1"/>
  <c r="V947" i="7" s="1"/>
  <c r="W947" i="7" s="1"/>
  <c r="R948" i="7"/>
  <c r="S948" i="7" s="1"/>
  <c r="T948" i="7"/>
  <c r="U948" i="7" s="1"/>
  <c r="V948" i="7" s="1"/>
  <c r="W948" i="7" s="1"/>
  <c r="R949" i="7"/>
  <c r="S949" i="7" s="1"/>
  <c r="T949" i="7"/>
  <c r="U949" i="7" s="1"/>
  <c r="V949" i="7" s="1"/>
  <c r="W949" i="7" s="1"/>
  <c r="R950" i="7"/>
  <c r="S950" i="7"/>
  <c r="T950" i="7"/>
  <c r="U950" i="7" s="1"/>
  <c r="V950" i="7" s="1"/>
  <c r="W950" i="7" s="1"/>
  <c r="R951" i="7"/>
  <c r="S951" i="7" s="1"/>
  <c r="T951" i="7"/>
  <c r="U951" i="7" s="1"/>
  <c r="V951" i="7" s="1"/>
  <c r="W951" i="7" s="1"/>
  <c r="R952" i="7"/>
  <c r="S952" i="7" s="1"/>
  <c r="T952" i="7"/>
  <c r="U952" i="7" s="1"/>
  <c r="V952" i="7" s="1"/>
  <c r="W952" i="7" s="1"/>
  <c r="R953" i="7"/>
  <c r="S953" i="7" s="1"/>
  <c r="T953" i="7"/>
  <c r="U953" i="7" s="1"/>
  <c r="V953" i="7" s="1"/>
  <c r="W953" i="7" s="1"/>
  <c r="R954" i="7"/>
  <c r="S954" i="7" s="1"/>
  <c r="T954" i="7"/>
  <c r="U954" i="7" s="1"/>
  <c r="V954" i="7" s="1"/>
  <c r="W954" i="7" s="1"/>
  <c r="R955" i="7"/>
  <c r="S955" i="7" s="1"/>
  <c r="T955" i="7"/>
  <c r="U955" i="7" s="1"/>
  <c r="V955" i="7" s="1"/>
  <c r="W955" i="7" s="1"/>
  <c r="R956" i="7"/>
  <c r="S956" i="7" s="1"/>
  <c r="T956" i="7"/>
  <c r="U956" i="7" s="1"/>
  <c r="V956" i="7" s="1"/>
  <c r="W956" i="7" s="1"/>
  <c r="R957" i="7"/>
  <c r="S957" i="7"/>
  <c r="T957" i="7"/>
  <c r="U957" i="7" s="1"/>
  <c r="V957" i="7" s="1"/>
  <c r="W957" i="7" s="1"/>
  <c r="R958" i="7"/>
  <c r="S958" i="7" s="1"/>
  <c r="T958" i="7"/>
  <c r="U958" i="7" s="1"/>
  <c r="V958" i="7" s="1"/>
  <c r="W958" i="7" s="1"/>
  <c r="R959" i="7"/>
  <c r="S959" i="7"/>
  <c r="T959" i="7"/>
  <c r="U959" i="7" s="1"/>
  <c r="V959" i="7" s="1"/>
  <c r="W959" i="7" s="1"/>
  <c r="R960" i="7"/>
  <c r="S960" i="7" s="1"/>
  <c r="T960" i="7"/>
  <c r="U960" i="7" s="1"/>
  <c r="V960" i="7" s="1"/>
  <c r="W960" i="7" s="1"/>
  <c r="R961" i="7"/>
  <c r="S961" i="7" s="1"/>
  <c r="T961" i="7"/>
  <c r="U961" i="7" s="1"/>
  <c r="V961" i="7" s="1"/>
  <c r="W961" i="7" s="1"/>
  <c r="R962" i="7"/>
  <c r="S962" i="7" s="1"/>
  <c r="T962" i="7"/>
  <c r="U962" i="7" s="1"/>
  <c r="V962" i="7" s="1"/>
  <c r="W962" i="7" s="1"/>
  <c r="R963" i="7"/>
  <c r="S963" i="7" s="1"/>
  <c r="T963" i="7"/>
  <c r="U963" i="7" s="1"/>
  <c r="V963" i="7" s="1"/>
  <c r="W963" i="7" s="1"/>
  <c r="R964" i="7"/>
  <c r="S964" i="7" s="1"/>
  <c r="T964" i="7"/>
  <c r="U964" i="7" s="1"/>
  <c r="V964" i="7" s="1"/>
  <c r="W964" i="7" s="1"/>
  <c r="R965" i="7"/>
  <c r="S965" i="7" s="1"/>
  <c r="T965" i="7"/>
  <c r="U965" i="7" s="1"/>
  <c r="V965" i="7" s="1"/>
  <c r="W965" i="7" s="1"/>
  <c r="R966" i="7"/>
  <c r="S966" i="7"/>
  <c r="T966" i="7"/>
  <c r="U966" i="7" s="1"/>
  <c r="V966" i="7" s="1"/>
  <c r="W966" i="7" s="1"/>
  <c r="R967" i="7"/>
  <c r="S967" i="7" s="1"/>
  <c r="T967" i="7"/>
  <c r="U967" i="7" s="1"/>
  <c r="V967" i="7" s="1"/>
  <c r="W967" i="7" s="1"/>
  <c r="R968" i="7"/>
  <c r="S968" i="7" s="1"/>
  <c r="T968" i="7"/>
  <c r="U968" i="7" s="1"/>
  <c r="V968" i="7" s="1"/>
  <c r="W968" i="7" s="1"/>
  <c r="R969" i="7"/>
  <c r="S969" i="7"/>
  <c r="T969" i="7"/>
  <c r="U969" i="7" s="1"/>
  <c r="V969" i="7" s="1"/>
  <c r="W969" i="7" s="1"/>
  <c r="R970" i="7"/>
  <c r="S970" i="7" s="1"/>
  <c r="T970" i="7"/>
  <c r="U970" i="7" s="1"/>
  <c r="V970" i="7" s="1"/>
  <c r="W970" i="7" s="1"/>
  <c r="R971" i="7"/>
  <c r="S971" i="7"/>
  <c r="T971" i="7"/>
  <c r="U971" i="7" s="1"/>
  <c r="V971" i="7" s="1"/>
  <c r="W971" i="7" s="1"/>
  <c r="R972" i="7"/>
  <c r="S972" i="7" s="1"/>
  <c r="T972" i="7"/>
  <c r="U972" i="7" s="1"/>
  <c r="V972" i="7" s="1"/>
  <c r="W972" i="7" s="1"/>
  <c r="R973" i="7"/>
  <c r="S973" i="7"/>
  <c r="T973" i="7"/>
  <c r="U973" i="7"/>
  <c r="V973" i="7" s="1"/>
  <c r="W973" i="7" s="1"/>
  <c r="R974" i="7"/>
  <c r="S974" i="7"/>
  <c r="T974" i="7"/>
  <c r="U974" i="7" s="1"/>
  <c r="V974" i="7" s="1"/>
  <c r="W974" i="7" s="1"/>
  <c r="R975" i="7"/>
  <c r="S975" i="7" s="1"/>
  <c r="T975" i="7"/>
  <c r="U975" i="7" s="1"/>
  <c r="V975" i="7" s="1"/>
  <c r="W975" i="7" s="1"/>
  <c r="R976" i="7"/>
  <c r="S976" i="7" s="1"/>
  <c r="T976" i="7"/>
  <c r="U976" i="7" s="1"/>
  <c r="V976" i="7" s="1"/>
  <c r="W976" i="7" s="1"/>
  <c r="R977" i="7"/>
  <c r="S977" i="7" s="1"/>
  <c r="T977" i="7"/>
  <c r="U977" i="7" s="1"/>
  <c r="V977" i="7" s="1"/>
  <c r="W977" i="7" s="1"/>
  <c r="R978" i="7"/>
  <c r="S978" i="7" s="1"/>
  <c r="T978" i="7"/>
  <c r="U978" i="7" s="1"/>
  <c r="V978" i="7" s="1"/>
  <c r="W978" i="7" s="1"/>
  <c r="R979" i="7"/>
  <c r="S979" i="7" s="1"/>
  <c r="T979" i="7"/>
  <c r="U979" i="7" s="1"/>
  <c r="V979" i="7" s="1"/>
  <c r="W979" i="7" s="1"/>
  <c r="R980" i="7"/>
  <c r="S980" i="7" s="1"/>
  <c r="T980" i="7"/>
  <c r="U980" i="7" s="1"/>
  <c r="V980" i="7" s="1"/>
  <c r="W980" i="7" s="1"/>
  <c r="R981" i="7"/>
  <c r="S981" i="7" s="1"/>
  <c r="T981" i="7"/>
  <c r="U981" i="7" s="1"/>
  <c r="V981" i="7" s="1"/>
  <c r="W981" i="7" s="1"/>
  <c r="R982" i="7"/>
  <c r="S982" i="7" s="1"/>
  <c r="T982" i="7"/>
  <c r="U982" i="7" s="1"/>
  <c r="V982" i="7" s="1"/>
  <c r="W982" i="7" s="1"/>
  <c r="R983" i="7"/>
  <c r="S983" i="7"/>
  <c r="T983" i="7"/>
  <c r="U983" i="7" s="1"/>
  <c r="V983" i="7" s="1"/>
  <c r="W983" i="7" s="1"/>
  <c r="R984" i="7"/>
  <c r="S984" i="7" s="1"/>
  <c r="T984" i="7"/>
  <c r="U984" i="7" s="1"/>
  <c r="V984" i="7" s="1"/>
  <c r="W984" i="7" s="1"/>
  <c r="R985" i="7"/>
  <c r="S985" i="7" s="1"/>
  <c r="T985" i="7"/>
  <c r="U985" i="7" s="1"/>
  <c r="V985" i="7" s="1"/>
  <c r="W985" i="7" s="1"/>
  <c r="R986" i="7"/>
  <c r="S986" i="7" s="1"/>
  <c r="T986" i="7"/>
  <c r="U986" i="7" s="1"/>
  <c r="V986" i="7" s="1"/>
  <c r="W986" i="7" s="1"/>
  <c r="R987" i="7"/>
  <c r="S987" i="7"/>
  <c r="T987" i="7"/>
  <c r="U987" i="7" s="1"/>
  <c r="V987" i="7" s="1"/>
  <c r="W987" i="7" s="1"/>
  <c r="R988" i="7"/>
  <c r="S988" i="7" s="1"/>
  <c r="T988" i="7"/>
  <c r="U988" i="7" s="1"/>
  <c r="V988" i="7" s="1"/>
  <c r="W988" i="7" s="1"/>
  <c r="R989" i="7"/>
  <c r="S989" i="7" s="1"/>
  <c r="T989" i="7"/>
  <c r="U989" i="7" s="1"/>
  <c r="V989" i="7" s="1"/>
  <c r="W989" i="7" s="1"/>
  <c r="R990" i="7"/>
  <c r="S990" i="7"/>
  <c r="T990" i="7"/>
  <c r="U990" i="7" s="1"/>
  <c r="V990" i="7" s="1"/>
  <c r="W990" i="7" s="1"/>
  <c r="R991" i="7"/>
  <c r="S991" i="7"/>
  <c r="T991" i="7"/>
  <c r="U991" i="7" s="1"/>
  <c r="V991" i="7" s="1"/>
  <c r="W991" i="7" s="1"/>
  <c r="R992" i="7"/>
  <c r="S992" i="7" s="1"/>
  <c r="T992" i="7"/>
  <c r="U992" i="7" s="1"/>
  <c r="V992" i="7" s="1"/>
  <c r="W992" i="7" s="1"/>
  <c r="R993" i="7"/>
  <c r="S993" i="7" s="1"/>
  <c r="T993" i="7"/>
  <c r="U993" i="7" s="1"/>
  <c r="V993" i="7" s="1"/>
  <c r="W993" i="7" s="1"/>
  <c r="R994" i="7"/>
  <c r="S994" i="7" s="1"/>
  <c r="T994" i="7"/>
  <c r="U994" i="7" s="1"/>
  <c r="V994" i="7" s="1"/>
  <c r="W994" i="7" s="1"/>
  <c r="R995" i="7"/>
  <c r="S995" i="7" s="1"/>
  <c r="T995" i="7"/>
  <c r="U995" i="7" s="1"/>
  <c r="V995" i="7" s="1"/>
  <c r="W995" i="7" s="1"/>
  <c r="R996" i="7"/>
  <c r="S996" i="7" s="1"/>
  <c r="T996" i="7"/>
  <c r="U996" i="7" s="1"/>
  <c r="V996" i="7" s="1"/>
  <c r="W996" i="7" s="1"/>
  <c r="R997" i="7"/>
  <c r="S997" i="7"/>
  <c r="T997" i="7"/>
  <c r="U997" i="7" s="1"/>
  <c r="V997" i="7" s="1"/>
  <c r="W997" i="7" s="1"/>
  <c r="R998" i="7"/>
  <c r="S998" i="7"/>
  <c r="T998" i="7"/>
  <c r="U998" i="7" s="1"/>
  <c r="V998" i="7" s="1"/>
  <c r="W998" i="7" s="1"/>
  <c r="R999" i="7"/>
  <c r="S999" i="7"/>
  <c r="T999" i="7"/>
  <c r="U999" i="7" s="1"/>
  <c r="V999" i="7" s="1"/>
  <c r="W999" i="7" s="1"/>
  <c r="R3" i="7"/>
  <c r="S3" i="7"/>
  <c r="T3" i="7"/>
  <c r="U3" i="7" s="1"/>
  <c r="V3" i="7" s="1"/>
  <c r="W3" i="7" s="1"/>
  <c r="R4" i="7"/>
  <c r="S4" i="7" s="1"/>
  <c r="T4" i="7"/>
  <c r="U4" i="7" s="1"/>
  <c r="V4" i="7" s="1"/>
  <c r="W4" i="7" s="1"/>
  <c r="R5" i="7"/>
  <c r="S5" i="7" s="1"/>
  <c r="T5" i="7"/>
  <c r="U5" i="7" s="1"/>
  <c r="V5" i="7" s="1"/>
  <c r="W5" i="7" s="1"/>
  <c r="R6" i="7"/>
  <c r="S6" i="7" s="1"/>
  <c r="T6" i="7"/>
  <c r="U6" i="7" s="1"/>
  <c r="V6" i="7" s="1"/>
  <c r="W6" i="7" s="1"/>
  <c r="R7" i="7"/>
  <c r="S7" i="7" s="1"/>
  <c r="T7" i="7"/>
  <c r="U7" i="7" s="1"/>
  <c r="V7" i="7" s="1"/>
  <c r="W7" i="7" s="1"/>
  <c r="R8" i="7"/>
  <c r="S8" i="7" s="1"/>
  <c r="T8" i="7"/>
  <c r="U8" i="7" s="1"/>
  <c r="V8" i="7" s="1"/>
  <c r="W8" i="7" s="1"/>
  <c r="R9" i="7"/>
  <c r="S9" i="7" s="1"/>
  <c r="T9" i="7"/>
  <c r="U9" i="7" s="1"/>
  <c r="V9" i="7" s="1"/>
  <c r="W9" i="7" s="1"/>
  <c r="R2" i="7"/>
  <c r="S2" i="7" s="1"/>
  <c r="T2" i="7"/>
  <c r="U2" i="7" s="1"/>
  <c r="V2" i="7" s="1"/>
  <c r="W2" i="7" s="1"/>
  <c r="H12" i="11"/>
  <c r="I12" i="11"/>
  <c r="J12" i="11"/>
  <c r="K12" i="11" s="1"/>
  <c r="L12" i="11" s="1"/>
  <c r="M12" i="11" s="1"/>
  <c r="H13" i="11"/>
  <c r="I13" i="11"/>
  <c r="J13" i="11"/>
  <c r="K13" i="11" s="1"/>
  <c r="L13" i="11" s="1"/>
  <c r="M13" i="11" s="1"/>
  <c r="H14" i="11"/>
  <c r="I14" i="11" s="1"/>
  <c r="J14" i="11"/>
  <c r="K14" i="11" s="1"/>
  <c r="L14" i="11" s="1"/>
  <c r="M14" i="11" s="1"/>
  <c r="H15" i="11"/>
  <c r="I15" i="11" s="1"/>
  <c r="J15" i="11"/>
  <c r="K15" i="11" s="1"/>
  <c r="L15" i="11" s="1"/>
  <c r="M15" i="11" s="1"/>
  <c r="H16" i="11"/>
  <c r="I16" i="11"/>
  <c r="J16" i="11"/>
  <c r="K16" i="11" s="1"/>
  <c r="L16" i="11" s="1"/>
  <c r="M16" i="11" s="1"/>
  <c r="H17" i="11"/>
  <c r="I17" i="11"/>
  <c r="J17" i="11"/>
  <c r="K17" i="11" s="1"/>
  <c r="L17" i="11" s="1"/>
  <c r="M17" i="11" s="1"/>
  <c r="H18" i="11"/>
  <c r="I18" i="11" s="1"/>
  <c r="J18" i="11"/>
  <c r="K18" i="11" s="1"/>
  <c r="L18" i="11" s="1"/>
  <c r="M18" i="11" s="1"/>
  <c r="H19" i="11"/>
  <c r="I19" i="11" s="1"/>
  <c r="J19" i="11"/>
  <c r="K19" i="11" s="1"/>
  <c r="L19" i="11" s="1"/>
  <c r="M19" i="11" s="1"/>
  <c r="H20" i="11"/>
  <c r="I20" i="11" s="1"/>
  <c r="J20" i="11"/>
  <c r="K20" i="11" s="1"/>
  <c r="L20" i="11" s="1"/>
  <c r="M20" i="11" s="1"/>
  <c r="H21" i="11"/>
  <c r="I21" i="11" s="1"/>
  <c r="J21" i="11"/>
  <c r="K21" i="11" s="1"/>
  <c r="L21" i="11" s="1"/>
  <c r="M21" i="11" s="1"/>
  <c r="H22" i="11"/>
  <c r="I22" i="11" s="1"/>
  <c r="J22" i="11"/>
  <c r="K22" i="11"/>
  <c r="L22" i="11" s="1"/>
  <c r="M22" i="11" s="1"/>
  <c r="H23" i="11"/>
  <c r="I23" i="11" s="1"/>
  <c r="J23" i="11"/>
  <c r="K23" i="11" s="1"/>
  <c r="L23" i="11" s="1"/>
  <c r="M23" i="11" s="1"/>
  <c r="H24" i="11"/>
  <c r="I24" i="11"/>
  <c r="J24" i="11"/>
  <c r="K24" i="11" s="1"/>
  <c r="L24" i="11" s="1"/>
  <c r="M24" i="11" s="1"/>
  <c r="H25" i="11"/>
  <c r="I25" i="11" s="1"/>
  <c r="J25" i="11"/>
  <c r="K25" i="11" s="1"/>
  <c r="L25" i="11" s="1"/>
  <c r="M25" i="11" s="1"/>
  <c r="H26" i="11"/>
  <c r="I26" i="11" s="1"/>
  <c r="J26" i="11"/>
  <c r="K26" i="11" s="1"/>
  <c r="L26" i="11" s="1"/>
  <c r="M26" i="11" s="1"/>
  <c r="H27" i="11"/>
  <c r="I27" i="11" s="1"/>
  <c r="J27" i="11"/>
  <c r="K27" i="11" s="1"/>
  <c r="L27" i="11" s="1"/>
  <c r="M27" i="11" s="1"/>
  <c r="H28" i="11"/>
  <c r="I28" i="11" s="1"/>
  <c r="J28" i="11"/>
  <c r="K28" i="11" s="1"/>
  <c r="L28" i="11" s="1"/>
  <c r="M28" i="11" s="1"/>
  <c r="H29" i="11"/>
  <c r="I29" i="11" s="1"/>
  <c r="J29" i="11"/>
  <c r="K29" i="11" s="1"/>
  <c r="L29" i="11" s="1"/>
  <c r="M29" i="11" s="1"/>
  <c r="H30" i="11"/>
  <c r="I30" i="11"/>
  <c r="J30" i="11"/>
  <c r="K30" i="11" s="1"/>
  <c r="L30" i="11" s="1"/>
  <c r="M30" i="11" s="1"/>
  <c r="H31" i="11"/>
  <c r="I31" i="11" s="1"/>
  <c r="J31" i="11"/>
  <c r="K31" i="11" s="1"/>
  <c r="L31" i="11" s="1"/>
  <c r="M31" i="11" s="1"/>
  <c r="H32" i="11"/>
  <c r="I32" i="11" s="1"/>
  <c r="J32" i="11"/>
  <c r="K32" i="11" s="1"/>
  <c r="L32" i="11" s="1"/>
  <c r="M32" i="11" s="1"/>
  <c r="H33" i="11"/>
  <c r="I33" i="11"/>
  <c r="J33" i="11"/>
  <c r="K33" i="11" s="1"/>
  <c r="L33" i="11" s="1"/>
  <c r="M33" i="11" s="1"/>
  <c r="H34" i="11"/>
  <c r="I34" i="11"/>
  <c r="J34" i="11"/>
  <c r="K34" i="11" s="1"/>
  <c r="L34" i="11" s="1"/>
  <c r="M34" i="11" s="1"/>
  <c r="H35" i="11"/>
  <c r="I35" i="11" s="1"/>
  <c r="J35" i="11"/>
  <c r="K35" i="11" s="1"/>
  <c r="L35" i="11" s="1"/>
  <c r="M35" i="11" s="1"/>
  <c r="H36" i="11"/>
  <c r="I36" i="11"/>
  <c r="J36" i="11"/>
  <c r="K36" i="11" s="1"/>
  <c r="L36" i="11" s="1"/>
  <c r="M36" i="11" s="1"/>
  <c r="H37" i="11"/>
  <c r="I37" i="11"/>
  <c r="J37" i="11"/>
  <c r="K37" i="11" s="1"/>
  <c r="L37" i="11" s="1"/>
  <c r="M37" i="11" s="1"/>
  <c r="H38" i="11"/>
  <c r="I38" i="11"/>
  <c r="J38" i="11"/>
  <c r="K38" i="11" s="1"/>
  <c r="L38" i="11" s="1"/>
  <c r="M38" i="11" s="1"/>
  <c r="H39" i="11"/>
  <c r="I39" i="11" s="1"/>
  <c r="J39" i="11"/>
  <c r="K39" i="11" s="1"/>
  <c r="L39" i="11" s="1"/>
  <c r="M39" i="11" s="1"/>
  <c r="H40" i="11"/>
  <c r="I40" i="11"/>
  <c r="J40" i="11"/>
  <c r="K40" i="11" s="1"/>
  <c r="L40" i="11" s="1"/>
  <c r="M40" i="11" s="1"/>
  <c r="H41" i="11"/>
  <c r="I41" i="11"/>
  <c r="J41" i="11"/>
  <c r="K41" i="11" s="1"/>
  <c r="L41" i="11" s="1"/>
  <c r="M41" i="11" s="1"/>
  <c r="H42" i="11"/>
  <c r="I42" i="11" s="1"/>
  <c r="J42" i="11"/>
  <c r="K42" i="11" s="1"/>
  <c r="L42" i="11" s="1"/>
  <c r="M42" i="11" s="1"/>
  <c r="H43" i="11"/>
  <c r="I43" i="11" s="1"/>
  <c r="J43" i="11"/>
  <c r="K43" i="11" s="1"/>
  <c r="L43" i="11" s="1"/>
  <c r="M43" i="11" s="1"/>
  <c r="H44" i="11"/>
  <c r="I44" i="11"/>
  <c r="J44" i="11"/>
  <c r="K44" i="11" s="1"/>
  <c r="L44" i="11" s="1"/>
  <c r="M44" i="11" s="1"/>
  <c r="H45" i="11"/>
  <c r="I45" i="11" s="1"/>
  <c r="J45" i="11"/>
  <c r="K45" i="11" s="1"/>
  <c r="L45" i="11" s="1"/>
  <c r="M45" i="11" s="1"/>
  <c r="H46" i="11"/>
  <c r="I46" i="11"/>
  <c r="J46" i="11"/>
  <c r="K46" i="11" s="1"/>
  <c r="L46" i="11" s="1"/>
  <c r="M46" i="11" s="1"/>
  <c r="H47" i="11"/>
  <c r="I47" i="11" s="1"/>
  <c r="J47" i="11"/>
  <c r="K47" i="11" s="1"/>
  <c r="L47" i="11" s="1"/>
  <c r="M47" i="11" s="1"/>
  <c r="H48" i="11"/>
  <c r="I48" i="11" s="1"/>
  <c r="J48" i="11"/>
  <c r="K48" i="11" s="1"/>
  <c r="L48" i="11" s="1"/>
  <c r="M48" i="11" s="1"/>
  <c r="H49" i="11"/>
  <c r="I49" i="11"/>
  <c r="J49" i="11"/>
  <c r="K49" i="11" s="1"/>
  <c r="L49" i="11" s="1"/>
  <c r="M49" i="11" s="1"/>
  <c r="H50" i="11"/>
  <c r="I50" i="11"/>
  <c r="J50" i="11"/>
  <c r="K50" i="11" s="1"/>
  <c r="L50" i="11" s="1"/>
  <c r="M50" i="11" s="1"/>
  <c r="H51" i="11"/>
  <c r="I51" i="11" s="1"/>
  <c r="J51" i="11"/>
  <c r="K51" i="11" s="1"/>
  <c r="L51" i="11" s="1"/>
  <c r="M51" i="11" s="1"/>
  <c r="H52" i="11"/>
  <c r="I52" i="11"/>
  <c r="J52" i="11"/>
  <c r="K52" i="11" s="1"/>
  <c r="L52" i="11" s="1"/>
  <c r="M52" i="11" s="1"/>
  <c r="H53" i="11"/>
  <c r="I53" i="11"/>
  <c r="J53" i="11"/>
  <c r="K53" i="11" s="1"/>
  <c r="L53" i="11" s="1"/>
  <c r="M53" i="11" s="1"/>
  <c r="H54" i="11"/>
  <c r="I54" i="11" s="1"/>
  <c r="J54" i="11"/>
  <c r="K54" i="11"/>
  <c r="L54" i="11" s="1"/>
  <c r="M54" i="11" s="1"/>
  <c r="H55" i="11"/>
  <c r="I55" i="11" s="1"/>
  <c r="J55" i="11"/>
  <c r="K55" i="11" s="1"/>
  <c r="L55" i="11" s="1"/>
  <c r="M55" i="11" s="1"/>
  <c r="H56" i="11"/>
  <c r="I56" i="11"/>
  <c r="J56" i="11"/>
  <c r="K56" i="11" s="1"/>
  <c r="L56" i="11" s="1"/>
  <c r="M56" i="11" s="1"/>
  <c r="H57" i="11"/>
  <c r="I57" i="11" s="1"/>
  <c r="J57" i="11"/>
  <c r="K57" i="11" s="1"/>
  <c r="L57" i="11" s="1"/>
  <c r="M57" i="11" s="1"/>
  <c r="H58" i="11"/>
  <c r="I58" i="11" s="1"/>
  <c r="J58" i="11"/>
  <c r="K58" i="11" s="1"/>
  <c r="L58" i="11" s="1"/>
  <c r="M58" i="11" s="1"/>
  <c r="H59" i="11"/>
  <c r="I59" i="11" s="1"/>
  <c r="J59" i="11"/>
  <c r="K59" i="11" s="1"/>
  <c r="L59" i="11" s="1"/>
  <c r="M59" i="11" s="1"/>
  <c r="H60" i="11"/>
  <c r="I60" i="11" s="1"/>
  <c r="J60" i="11"/>
  <c r="K60" i="11" s="1"/>
  <c r="L60" i="11" s="1"/>
  <c r="M60" i="11" s="1"/>
  <c r="H61" i="11"/>
  <c r="I61" i="11" s="1"/>
  <c r="J61" i="11"/>
  <c r="K61" i="11" s="1"/>
  <c r="L61" i="11" s="1"/>
  <c r="M61" i="11" s="1"/>
  <c r="H62" i="11"/>
  <c r="I62" i="11"/>
  <c r="J62" i="11"/>
  <c r="K62" i="11" s="1"/>
  <c r="L62" i="11" s="1"/>
  <c r="M62" i="11" s="1"/>
  <c r="H63" i="11"/>
  <c r="I63" i="11" s="1"/>
  <c r="J63" i="11"/>
  <c r="K63" i="11" s="1"/>
  <c r="L63" i="11" s="1"/>
  <c r="M63" i="11" s="1"/>
  <c r="H64" i="11"/>
  <c r="I64" i="11" s="1"/>
  <c r="J64" i="11"/>
  <c r="K64" i="11" s="1"/>
  <c r="L64" i="11" s="1"/>
  <c r="M64" i="11" s="1"/>
  <c r="H65" i="11"/>
  <c r="I65" i="11"/>
  <c r="J65" i="11"/>
  <c r="K65" i="11" s="1"/>
  <c r="L65" i="11" s="1"/>
  <c r="M65" i="11" s="1"/>
  <c r="H66" i="11"/>
  <c r="I66" i="11" s="1"/>
  <c r="J66" i="11"/>
  <c r="K66" i="11" s="1"/>
  <c r="L66" i="11" s="1"/>
  <c r="M66" i="11" s="1"/>
  <c r="H67" i="11"/>
  <c r="I67" i="11" s="1"/>
  <c r="J67" i="11"/>
  <c r="K67" i="11" s="1"/>
  <c r="L67" i="11" s="1"/>
  <c r="M67" i="11" s="1"/>
  <c r="H68" i="11"/>
  <c r="I68" i="11"/>
  <c r="J68" i="11"/>
  <c r="K68" i="11" s="1"/>
  <c r="L68" i="11" s="1"/>
  <c r="M68" i="11" s="1"/>
  <c r="H69" i="11"/>
  <c r="I69" i="11"/>
  <c r="J69" i="11"/>
  <c r="K69" i="11" s="1"/>
  <c r="L69" i="11"/>
  <c r="M69" i="11" s="1"/>
  <c r="H70" i="11"/>
  <c r="I70" i="11"/>
  <c r="J70" i="11"/>
  <c r="K70" i="11" s="1"/>
  <c r="L70" i="11" s="1"/>
  <c r="M70" i="11" s="1"/>
  <c r="H71" i="11"/>
  <c r="I71" i="11" s="1"/>
  <c r="J71" i="11"/>
  <c r="K71" i="11" s="1"/>
  <c r="L71" i="11" s="1"/>
  <c r="M71" i="11" s="1"/>
  <c r="H72" i="11"/>
  <c r="I72" i="11"/>
  <c r="J72" i="11"/>
  <c r="K72" i="11" s="1"/>
  <c r="L72" i="11" s="1"/>
  <c r="M72" i="11" s="1"/>
  <c r="H73" i="11"/>
  <c r="I73" i="11" s="1"/>
  <c r="J73" i="11"/>
  <c r="K73" i="11" s="1"/>
  <c r="L73" i="11" s="1"/>
  <c r="M73" i="11" s="1"/>
  <c r="H74" i="11"/>
  <c r="I74" i="11" s="1"/>
  <c r="J74" i="11"/>
  <c r="K74" i="11" s="1"/>
  <c r="L74" i="11" s="1"/>
  <c r="M74" i="11" s="1"/>
  <c r="H75" i="11"/>
  <c r="I75" i="11" s="1"/>
  <c r="J75" i="11"/>
  <c r="K75" i="11" s="1"/>
  <c r="L75" i="11" s="1"/>
  <c r="M75" i="11" s="1"/>
  <c r="H76" i="11"/>
  <c r="I76" i="11"/>
  <c r="J76" i="11"/>
  <c r="K76" i="11" s="1"/>
  <c r="L76" i="11" s="1"/>
  <c r="M76" i="11" s="1"/>
  <c r="H77" i="11"/>
  <c r="I77" i="11" s="1"/>
  <c r="J77" i="11"/>
  <c r="K77" i="11" s="1"/>
  <c r="L77" i="11" s="1"/>
  <c r="M77" i="11" s="1"/>
  <c r="H78" i="11"/>
  <c r="I78" i="11"/>
  <c r="J78" i="11"/>
  <c r="K78" i="11" s="1"/>
  <c r="L78" i="11" s="1"/>
  <c r="M78" i="11" s="1"/>
  <c r="H79" i="11"/>
  <c r="I79" i="11" s="1"/>
  <c r="J79" i="11"/>
  <c r="K79" i="11" s="1"/>
  <c r="L79" i="11" s="1"/>
  <c r="M79" i="11" s="1"/>
  <c r="H80" i="11"/>
  <c r="I80" i="11" s="1"/>
  <c r="J80" i="11"/>
  <c r="K80" i="11" s="1"/>
  <c r="L80" i="11" s="1"/>
  <c r="M80" i="11" s="1"/>
  <c r="H81" i="11"/>
  <c r="I81" i="11"/>
  <c r="J81" i="11"/>
  <c r="K81" i="11" s="1"/>
  <c r="L81" i="11" s="1"/>
  <c r="M81" i="11" s="1"/>
  <c r="H82" i="11"/>
  <c r="I82" i="11"/>
  <c r="J82" i="11"/>
  <c r="K82" i="11" s="1"/>
  <c r="L82" i="11" s="1"/>
  <c r="M82" i="11" s="1"/>
  <c r="H83" i="11"/>
  <c r="I83" i="11" s="1"/>
  <c r="J83" i="11"/>
  <c r="K83" i="11" s="1"/>
  <c r="L83" i="11" s="1"/>
  <c r="M83" i="11" s="1"/>
  <c r="H84" i="11"/>
  <c r="I84" i="11"/>
  <c r="J84" i="11"/>
  <c r="K84" i="11" s="1"/>
  <c r="L84" i="11" s="1"/>
  <c r="M84" i="11" s="1"/>
  <c r="H85" i="11"/>
  <c r="I85" i="11"/>
  <c r="J85" i="11"/>
  <c r="K85" i="11" s="1"/>
  <c r="L85" i="11" s="1"/>
  <c r="M85" i="11" s="1"/>
  <c r="H86" i="11"/>
  <c r="I86" i="11"/>
  <c r="J86" i="11"/>
  <c r="K86" i="11"/>
  <c r="L86" i="11" s="1"/>
  <c r="M86" i="11" s="1"/>
  <c r="H87" i="11"/>
  <c r="I87" i="11" s="1"/>
  <c r="J87" i="11"/>
  <c r="K87" i="11" s="1"/>
  <c r="L87" i="11" s="1"/>
  <c r="M87" i="11" s="1"/>
  <c r="H88" i="11"/>
  <c r="I88" i="11" s="1"/>
  <c r="J88" i="11"/>
  <c r="K88" i="11" s="1"/>
  <c r="L88" i="11" s="1"/>
  <c r="M88" i="11" s="1"/>
  <c r="H89" i="11"/>
  <c r="I89" i="11" s="1"/>
  <c r="J89" i="11"/>
  <c r="K89" i="11" s="1"/>
  <c r="L89" i="11" s="1"/>
  <c r="M89" i="11" s="1"/>
  <c r="H90" i="11"/>
  <c r="I90" i="11" s="1"/>
  <c r="J90" i="11"/>
  <c r="K90" i="11" s="1"/>
  <c r="L90" i="11" s="1"/>
  <c r="M90" i="11" s="1"/>
  <c r="H91" i="11"/>
  <c r="I91" i="11" s="1"/>
  <c r="J91" i="11"/>
  <c r="K91" i="11" s="1"/>
  <c r="L91" i="11" s="1"/>
  <c r="M91" i="11" s="1"/>
  <c r="H92" i="11"/>
  <c r="I92" i="11"/>
  <c r="J92" i="11"/>
  <c r="K92" i="11" s="1"/>
  <c r="L92" i="11" s="1"/>
  <c r="M92" i="11" s="1"/>
  <c r="H93" i="11"/>
  <c r="I93" i="11" s="1"/>
  <c r="J93" i="11"/>
  <c r="K93" i="11"/>
  <c r="L93" i="11" s="1"/>
  <c r="M93" i="11" s="1"/>
  <c r="H94" i="11"/>
  <c r="I94" i="11"/>
  <c r="J94" i="11"/>
  <c r="K94" i="11" s="1"/>
  <c r="L94" i="11" s="1"/>
  <c r="M94" i="11" s="1"/>
  <c r="H95" i="11"/>
  <c r="I95" i="11" s="1"/>
  <c r="J95" i="11"/>
  <c r="K95" i="11" s="1"/>
  <c r="L95" i="11" s="1"/>
  <c r="M95" i="11" s="1"/>
  <c r="H96" i="11"/>
  <c r="I96" i="11" s="1"/>
  <c r="J96" i="11"/>
  <c r="K96" i="11" s="1"/>
  <c r="L96" i="11" s="1"/>
  <c r="M96" i="11" s="1"/>
  <c r="H97" i="11"/>
  <c r="I97" i="11"/>
  <c r="J97" i="11"/>
  <c r="K97" i="11" s="1"/>
  <c r="L97" i="11" s="1"/>
  <c r="M97" i="11" s="1"/>
  <c r="H98" i="11"/>
  <c r="I98" i="11"/>
  <c r="J98" i="11"/>
  <c r="K98" i="11" s="1"/>
  <c r="L98" i="11" s="1"/>
  <c r="M98" i="11" s="1"/>
  <c r="H99" i="11"/>
  <c r="I99" i="11" s="1"/>
  <c r="J99" i="11"/>
  <c r="K99" i="11"/>
  <c r="L99" i="11" s="1"/>
  <c r="M99" i="11" s="1"/>
  <c r="H100" i="11"/>
  <c r="I100" i="11"/>
  <c r="J100" i="11"/>
  <c r="K100" i="11" s="1"/>
  <c r="L100" i="11" s="1"/>
  <c r="M100" i="11" s="1"/>
  <c r="H101" i="11"/>
  <c r="I101" i="11"/>
  <c r="J101" i="11"/>
  <c r="K101" i="11" s="1"/>
  <c r="L101" i="11" s="1"/>
  <c r="M101" i="11" s="1"/>
  <c r="H102" i="11"/>
  <c r="I102" i="11" s="1"/>
  <c r="J102" i="11"/>
  <c r="K102" i="11" s="1"/>
  <c r="L102" i="11" s="1"/>
  <c r="M102" i="11" s="1"/>
  <c r="H103" i="11"/>
  <c r="I103" i="11" s="1"/>
  <c r="J103" i="11"/>
  <c r="K103" i="11" s="1"/>
  <c r="L103" i="11" s="1"/>
  <c r="M103" i="11" s="1"/>
  <c r="H104" i="11"/>
  <c r="I104" i="11"/>
  <c r="J104" i="11"/>
  <c r="K104" i="11" s="1"/>
  <c r="L104" i="11" s="1"/>
  <c r="M104" i="11"/>
  <c r="H105" i="11"/>
  <c r="I105" i="11"/>
  <c r="J105" i="11"/>
  <c r="K105" i="11" s="1"/>
  <c r="L105" i="11" s="1"/>
  <c r="M105" i="11" s="1"/>
  <c r="H106" i="11"/>
  <c r="I106" i="11" s="1"/>
  <c r="J106" i="11"/>
  <c r="K106" i="11" s="1"/>
  <c r="L106" i="11" s="1"/>
  <c r="M106" i="11" s="1"/>
  <c r="H107" i="11"/>
  <c r="I107" i="11" s="1"/>
  <c r="J107" i="11"/>
  <c r="K107" i="11" s="1"/>
  <c r="L107" i="11" s="1"/>
  <c r="M107" i="11" s="1"/>
  <c r="H108" i="11"/>
  <c r="I108" i="11" s="1"/>
  <c r="J108" i="11"/>
  <c r="K108" i="11" s="1"/>
  <c r="L108" i="11" s="1"/>
  <c r="M108" i="11" s="1"/>
  <c r="H109" i="11"/>
  <c r="I109" i="11" s="1"/>
  <c r="J109" i="11"/>
  <c r="K109" i="11" s="1"/>
  <c r="L109" i="11" s="1"/>
  <c r="M109" i="11" s="1"/>
  <c r="H110" i="11"/>
  <c r="I110" i="11"/>
  <c r="J110" i="11"/>
  <c r="K110" i="11" s="1"/>
  <c r="L110" i="11" s="1"/>
  <c r="M110" i="11" s="1"/>
  <c r="H111" i="11"/>
  <c r="I111" i="11" s="1"/>
  <c r="J111" i="11"/>
  <c r="K111" i="11" s="1"/>
  <c r="L111" i="11" s="1"/>
  <c r="M111" i="11" s="1"/>
  <c r="H112" i="11"/>
  <c r="I112" i="11" s="1"/>
  <c r="J112" i="11"/>
  <c r="K112" i="11" s="1"/>
  <c r="L112" i="11" s="1"/>
  <c r="M112" i="11" s="1"/>
  <c r="H113" i="11"/>
  <c r="I113" i="11"/>
  <c r="J113" i="11"/>
  <c r="K113" i="11" s="1"/>
  <c r="L113" i="11" s="1"/>
  <c r="M113" i="11" s="1"/>
  <c r="H114" i="11"/>
  <c r="I114" i="11"/>
  <c r="J114" i="11"/>
  <c r="K114" i="11" s="1"/>
  <c r="L114" i="11" s="1"/>
  <c r="M114" i="11" s="1"/>
  <c r="H115" i="11"/>
  <c r="I115" i="11" s="1"/>
  <c r="J115" i="11"/>
  <c r="K115" i="11" s="1"/>
  <c r="L115" i="11" s="1"/>
  <c r="M115" i="11" s="1"/>
  <c r="H116" i="11"/>
  <c r="I116" i="11"/>
  <c r="J116" i="11"/>
  <c r="K116" i="11" s="1"/>
  <c r="L116" i="11" s="1"/>
  <c r="M116" i="11" s="1"/>
  <c r="H117" i="11"/>
  <c r="I117" i="11" s="1"/>
  <c r="J117" i="11"/>
  <c r="K117" i="11" s="1"/>
  <c r="L117" i="11" s="1"/>
  <c r="M117" i="11" s="1"/>
  <c r="H118" i="11"/>
  <c r="I118" i="11" s="1"/>
  <c r="J118" i="11"/>
  <c r="K118" i="11" s="1"/>
  <c r="L118" i="11" s="1"/>
  <c r="M118" i="11" s="1"/>
  <c r="H119" i="11"/>
  <c r="I119" i="11" s="1"/>
  <c r="J119" i="11"/>
  <c r="K119" i="11" s="1"/>
  <c r="L119" i="11" s="1"/>
  <c r="M119" i="11" s="1"/>
  <c r="H120" i="11"/>
  <c r="I120" i="11"/>
  <c r="J120" i="11"/>
  <c r="K120" i="11" s="1"/>
  <c r="L120" i="11" s="1"/>
  <c r="M120" i="11" s="1"/>
  <c r="H121" i="11"/>
  <c r="I121" i="11"/>
  <c r="J121" i="11"/>
  <c r="K121" i="11" s="1"/>
  <c r="L121" i="11" s="1"/>
  <c r="M121" i="11" s="1"/>
  <c r="H122" i="11"/>
  <c r="I122" i="11" s="1"/>
  <c r="J122" i="11"/>
  <c r="K122" i="11" s="1"/>
  <c r="L122" i="11" s="1"/>
  <c r="M122" i="11" s="1"/>
  <c r="H123" i="11"/>
  <c r="I123" i="11" s="1"/>
  <c r="J123" i="11"/>
  <c r="K123" i="11" s="1"/>
  <c r="L123" i="11" s="1"/>
  <c r="M123" i="11" s="1"/>
  <c r="H124" i="11"/>
  <c r="I124" i="11"/>
  <c r="J124" i="11"/>
  <c r="K124" i="11" s="1"/>
  <c r="L124" i="11" s="1"/>
  <c r="M124" i="11" s="1"/>
  <c r="H125" i="11"/>
  <c r="I125" i="11" s="1"/>
  <c r="J125" i="11"/>
  <c r="K125" i="11" s="1"/>
  <c r="L125" i="11" s="1"/>
  <c r="M125" i="11" s="1"/>
  <c r="H126" i="11"/>
  <c r="I126" i="11" s="1"/>
  <c r="J126" i="11"/>
  <c r="K126" i="11" s="1"/>
  <c r="L126" i="11" s="1"/>
  <c r="M126" i="11" s="1"/>
  <c r="H127" i="11"/>
  <c r="I127" i="11" s="1"/>
  <c r="J127" i="11"/>
  <c r="K127" i="11" s="1"/>
  <c r="L127" i="11" s="1"/>
  <c r="M127" i="11" s="1"/>
  <c r="H128" i="11"/>
  <c r="I128" i="11"/>
  <c r="J128" i="11"/>
  <c r="K128" i="11" s="1"/>
  <c r="L128" i="11" s="1"/>
  <c r="M128" i="11" s="1"/>
  <c r="H129" i="11"/>
  <c r="I129" i="11" s="1"/>
  <c r="J129" i="11"/>
  <c r="K129" i="11" s="1"/>
  <c r="L129" i="11" s="1"/>
  <c r="M129" i="11" s="1"/>
  <c r="H130" i="11"/>
  <c r="I130" i="11"/>
  <c r="J130" i="11"/>
  <c r="K130" i="11" s="1"/>
  <c r="L130" i="11" s="1"/>
  <c r="M130" i="11" s="1"/>
  <c r="H131" i="11"/>
  <c r="I131" i="11" s="1"/>
  <c r="J131" i="11"/>
  <c r="K131" i="11" s="1"/>
  <c r="L131" i="11" s="1"/>
  <c r="M131" i="11" s="1"/>
  <c r="H132" i="11"/>
  <c r="I132" i="11"/>
  <c r="J132" i="11"/>
  <c r="K132" i="11" s="1"/>
  <c r="L132" i="11" s="1"/>
  <c r="M132" i="11" s="1"/>
  <c r="H133" i="11"/>
  <c r="I133" i="11" s="1"/>
  <c r="J133" i="11"/>
  <c r="K133" i="11" s="1"/>
  <c r="L133" i="11" s="1"/>
  <c r="M133" i="11" s="1"/>
  <c r="H134" i="11"/>
  <c r="I134" i="11" s="1"/>
  <c r="J134" i="11"/>
  <c r="K134" i="11" s="1"/>
  <c r="L134" i="11" s="1"/>
  <c r="M134" i="11" s="1"/>
  <c r="H135" i="11"/>
  <c r="I135" i="11" s="1"/>
  <c r="J135" i="11"/>
  <c r="K135" i="11" s="1"/>
  <c r="L135" i="11" s="1"/>
  <c r="M135" i="11" s="1"/>
  <c r="H136" i="11"/>
  <c r="I136" i="11" s="1"/>
  <c r="J136" i="11"/>
  <c r="K136" i="11" s="1"/>
  <c r="L136" i="11" s="1"/>
  <c r="M136" i="11" s="1"/>
  <c r="H137" i="11"/>
  <c r="I137" i="11" s="1"/>
  <c r="J137" i="11"/>
  <c r="K137" i="11" s="1"/>
  <c r="L137" i="11" s="1"/>
  <c r="M137" i="11" s="1"/>
  <c r="H138" i="11"/>
  <c r="I138" i="11"/>
  <c r="J138" i="11"/>
  <c r="K138" i="11" s="1"/>
  <c r="L138" i="11" s="1"/>
  <c r="M138" i="11" s="1"/>
  <c r="H139" i="11"/>
  <c r="I139" i="11" s="1"/>
  <c r="J139" i="11"/>
  <c r="K139" i="11" s="1"/>
  <c r="L139" i="11" s="1"/>
  <c r="M139" i="11" s="1"/>
  <c r="H140" i="11"/>
  <c r="I140" i="11" s="1"/>
  <c r="J140" i="11"/>
  <c r="K140" i="11" s="1"/>
  <c r="L140" i="11" s="1"/>
  <c r="M140" i="11" s="1"/>
  <c r="H141" i="11"/>
  <c r="I141" i="11" s="1"/>
  <c r="J141" i="11"/>
  <c r="K141" i="11" s="1"/>
  <c r="L141" i="11" s="1"/>
  <c r="M141" i="11" s="1"/>
  <c r="H142" i="11"/>
  <c r="I142" i="11" s="1"/>
  <c r="J142" i="11"/>
  <c r="K142" i="11" s="1"/>
  <c r="L142" i="11" s="1"/>
  <c r="M142" i="11" s="1"/>
  <c r="H143" i="11"/>
  <c r="I143" i="11" s="1"/>
  <c r="J143" i="11"/>
  <c r="K143" i="11" s="1"/>
  <c r="L143" i="11" s="1"/>
  <c r="M143" i="11" s="1"/>
  <c r="H144" i="11"/>
  <c r="I144" i="11"/>
  <c r="J144" i="11"/>
  <c r="K144" i="11" s="1"/>
  <c r="L144" i="11" s="1"/>
  <c r="M144" i="11" s="1"/>
  <c r="H145" i="11"/>
  <c r="I145" i="11" s="1"/>
  <c r="J145" i="11"/>
  <c r="K145" i="11" s="1"/>
  <c r="L145" i="11" s="1"/>
  <c r="M145" i="11" s="1"/>
  <c r="H146" i="11"/>
  <c r="I146" i="11"/>
  <c r="J146" i="11"/>
  <c r="K146" i="11" s="1"/>
  <c r="L146" i="11" s="1"/>
  <c r="M146" i="11" s="1"/>
  <c r="H147" i="11"/>
  <c r="I147" i="11" s="1"/>
  <c r="J147" i="11"/>
  <c r="K147" i="11" s="1"/>
  <c r="L147" i="11" s="1"/>
  <c r="M147" i="11" s="1"/>
  <c r="H148" i="11"/>
  <c r="I148" i="11"/>
  <c r="J148" i="11"/>
  <c r="K148" i="11" s="1"/>
  <c r="L148" i="11" s="1"/>
  <c r="M148" i="11" s="1"/>
  <c r="H149" i="11"/>
  <c r="I149" i="11" s="1"/>
  <c r="J149" i="11"/>
  <c r="K149" i="11" s="1"/>
  <c r="L149" i="11" s="1"/>
  <c r="M149" i="11" s="1"/>
  <c r="H150" i="11"/>
  <c r="I150" i="11" s="1"/>
  <c r="J150" i="11"/>
  <c r="K150" i="11" s="1"/>
  <c r="L150" i="11" s="1"/>
  <c r="M150" i="11" s="1"/>
  <c r="H151" i="11"/>
  <c r="I151" i="11" s="1"/>
  <c r="J151" i="11"/>
  <c r="K151" i="11" s="1"/>
  <c r="L151" i="11" s="1"/>
  <c r="M151" i="11" s="1"/>
  <c r="H152" i="11"/>
  <c r="I152" i="11" s="1"/>
  <c r="J152" i="11"/>
  <c r="K152" i="11" s="1"/>
  <c r="L152" i="11" s="1"/>
  <c r="M152" i="11" s="1"/>
  <c r="H153" i="11"/>
  <c r="I153" i="11" s="1"/>
  <c r="J153" i="11"/>
  <c r="K153" i="11" s="1"/>
  <c r="L153" i="11" s="1"/>
  <c r="M153" i="11" s="1"/>
  <c r="H154" i="11"/>
  <c r="I154" i="11"/>
  <c r="J154" i="11"/>
  <c r="K154" i="11" s="1"/>
  <c r="L154" i="11"/>
  <c r="M154" i="11" s="1"/>
  <c r="H155" i="11"/>
  <c r="I155" i="11" s="1"/>
  <c r="J155" i="11"/>
  <c r="K155" i="11" s="1"/>
  <c r="L155" i="11" s="1"/>
  <c r="M155" i="11" s="1"/>
  <c r="H156" i="11"/>
  <c r="I156" i="11" s="1"/>
  <c r="J156" i="11"/>
  <c r="K156" i="11" s="1"/>
  <c r="L156" i="11"/>
  <c r="M156" i="11" s="1"/>
  <c r="H157" i="11"/>
  <c r="I157" i="11" s="1"/>
  <c r="J157" i="11"/>
  <c r="K157" i="11" s="1"/>
  <c r="L157" i="11" s="1"/>
  <c r="M157" i="11" s="1"/>
  <c r="H158" i="11"/>
  <c r="I158" i="11" s="1"/>
  <c r="J158" i="11"/>
  <c r="K158" i="11" s="1"/>
  <c r="L158" i="11" s="1"/>
  <c r="M158" i="11" s="1"/>
  <c r="H159" i="11"/>
  <c r="I159" i="11" s="1"/>
  <c r="J159" i="11"/>
  <c r="K159" i="11" s="1"/>
  <c r="L159" i="11" s="1"/>
  <c r="M159" i="11" s="1"/>
  <c r="H160" i="11"/>
  <c r="I160" i="11" s="1"/>
  <c r="J160" i="11"/>
  <c r="K160" i="11" s="1"/>
  <c r="L160" i="11"/>
  <c r="M160" i="11" s="1"/>
  <c r="H161" i="11"/>
  <c r="I161" i="11" s="1"/>
  <c r="J161" i="11"/>
  <c r="K161" i="11" s="1"/>
  <c r="L161" i="11" s="1"/>
  <c r="M161" i="11" s="1"/>
  <c r="H162" i="11"/>
  <c r="I162" i="11" s="1"/>
  <c r="J162" i="11"/>
  <c r="K162" i="11" s="1"/>
  <c r="L162" i="11" s="1"/>
  <c r="M162" i="11" s="1"/>
  <c r="H163" i="11"/>
  <c r="I163" i="11" s="1"/>
  <c r="J163" i="11"/>
  <c r="K163" i="11" s="1"/>
  <c r="L163" i="11" s="1"/>
  <c r="M163" i="11" s="1"/>
  <c r="H164" i="11"/>
  <c r="I164" i="11"/>
  <c r="J164" i="11"/>
  <c r="K164" i="11" s="1"/>
  <c r="L164" i="11" s="1"/>
  <c r="M164" i="11" s="1"/>
  <c r="H165" i="11"/>
  <c r="I165" i="11" s="1"/>
  <c r="J165" i="11"/>
  <c r="K165" i="11" s="1"/>
  <c r="L165" i="11" s="1"/>
  <c r="M165" i="11" s="1"/>
  <c r="H166" i="11"/>
  <c r="I166" i="11"/>
  <c r="J166" i="11"/>
  <c r="K166" i="11" s="1"/>
  <c r="L166" i="11" s="1"/>
  <c r="M166" i="11" s="1"/>
  <c r="H167" i="11"/>
  <c r="I167" i="11"/>
  <c r="J167" i="11"/>
  <c r="K167" i="11" s="1"/>
  <c r="L167" i="11" s="1"/>
  <c r="M167" i="11" s="1"/>
  <c r="H168" i="11"/>
  <c r="I168" i="11"/>
  <c r="J168" i="11"/>
  <c r="K168" i="11" s="1"/>
  <c r="L168" i="11" s="1"/>
  <c r="M168" i="11" s="1"/>
  <c r="H169" i="11"/>
  <c r="I169" i="11" s="1"/>
  <c r="J169" i="11"/>
  <c r="K169" i="11" s="1"/>
  <c r="L169" i="11" s="1"/>
  <c r="M169" i="11" s="1"/>
  <c r="H170" i="11"/>
  <c r="I170" i="11"/>
  <c r="J170" i="11"/>
  <c r="K170" i="11" s="1"/>
  <c r="L170" i="11" s="1"/>
  <c r="M170" i="11" s="1"/>
  <c r="H171" i="11"/>
  <c r="I171" i="11" s="1"/>
  <c r="J171" i="11"/>
  <c r="K171" i="11" s="1"/>
  <c r="L171" i="11" s="1"/>
  <c r="M171" i="11" s="1"/>
  <c r="H172" i="11"/>
  <c r="I172" i="11" s="1"/>
  <c r="J172" i="11"/>
  <c r="K172" i="11" s="1"/>
  <c r="L172" i="11" s="1"/>
  <c r="M172" i="11" s="1"/>
  <c r="H173" i="11"/>
  <c r="I173" i="11" s="1"/>
  <c r="J173" i="11"/>
  <c r="K173" i="11" s="1"/>
  <c r="L173" i="11" s="1"/>
  <c r="M173" i="11" s="1"/>
  <c r="H174" i="11"/>
  <c r="I174" i="11" s="1"/>
  <c r="J174" i="11"/>
  <c r="K174" i="11" s="1"/>
  <c r="L174" i="11" s="1"/>
  <c r="M174" i="11" s="1"/>
  <c r="H175" i="11"/>
  <c r="I175" i="11" s="1"/>
  <c r="J175" i="11"/>
  <c r="K175" i="11" s="1"/>
  <c r="L175" i="11" s="1"/>
  <c r="M175" i="11" s="1"/>
  <c r="H176" i="11"/>
  <c r="I176" i="11" s="1"/>
  <c r="J176" i="11"/>
  <c r="K176" i="11" s="1"/>
  <c r="L176" i="11" s="1"/>
  <c r="M176" i="11" s="1"/>
  <c r="H177" i="11"/>
  <c r="I177" i="11" s="1"/>
  <c r="J177" i="11"/>
  <c r="K177" i="11" s="1"/>
  <c r="L177" i="11" s="1"/>
  <c r="M177" i="11" s="1"/>
  <c r="H178" i="11"/>
  <c r="I178" i="11"/>
  <c r="J178" i="11"/>
  <c r="K178" i="11" s="1"/>
  <c r="L178" i="11" s="1"/>
  <c r="M178" i="11" s="1"/>
  <c r="H179" i="11"/>
  <c r="I179" i="11"/>
  <c r="J179" i="11"/>
  <c r="K179" i="11" s="1"/>
  <c r="L179" i="11" s="1"/>
  <c r="M179" i="11" s="1"/>
  <c r="H180" i="11"/>
  <c r="I180" i="11" s="1"/>
  <c r="J180" i="11"/>
  <c r="K180" i="11" s="1"/>
  <c r="L180" i="11" s="1"/>
  <c r="M180" i="11" s="1"/>
  <c r="H181" i="11"/>
  <c r="I181" i="11"/>
  <c r="J181" i="11"/>
  <c r="K181" i="11" s="1"/>
  <c r="L181" i="11" s="1"/>
  <c r="M181" i="11" s="1"/>
  <c r="H182" i="11"/>
  <c r="I182" i="11"/>
  <c r="J182" i="11"/>
  <c r="K182" i="11" s="1"/>
  <c r="L182" i="11" s="1"/>
  <c r="M182" i="11" s="1"/>
  <c r="H183" i="11"/>
  <c r="I183" i="11" s="1"/>
  <c r="J183" i="11"/>
  <c r="K183" i="11" s="1"/>
  <c r="L183" i="11" s="1"/>
  <c r="M183" i="11" s="1"/>
  <c r="H184" i="11"/>
  <c r="I184" i="11" s="1"/>
  <c r="J184" i="11"/>
  <c r="K184" i="11" s="1"/>
  <c r="L184" i="11" s="1"/>
  <c r="M184" i="11" s="1"/>
  <c r="H185" i="11"/>
  <c r="I185" i="11"/>
  <c r="J185" i="11"/>
  <c r="K185" i="11" s="1"/>
  <c r="L185" i="11" s="1"/>
  <c r="M185" i="11" s="1"/>
  <c r="H186" i="11"/>
  <c r="I186" i="11" s="1"/>
  <c r="J186" i="11"/>
  <c r="K186" i="11" s="1"/>
  <c r="L186" i="11" s="1"/>
  <c r="M186" i="11" s="1"/>
  <c r="H187" i="11"/>
  <c r="I187" i="11" s="1"/>
  <c r="J187" i="11"/>
  <c r="K187" i="11" s="1"/>
  <c r="L187" i="11" s="1"/>
  <c r="M187" i="11" s="1"/>
  <c r="H188" i="11"/>
  <c r="I188" i="11" s="1"/>
  <c r="J188" i="11"/>
  <c r="K188" i="11" s="1"/>
  <c r="L188" i="11" s="1"/>
  <c r="M188" i="11" s="1"/>
  <c r="H189" i="11"/>
  <c r="I189" i="11" s="1"/>
  <c r="J189" i="11"/>
  <c r="K189" i="11" s="1"/>
  <c r="L189" i="11" s="1"/>
  <c r="M189" i="11" s="1"/>
  <c r="H190" i="11"/>
  <c r="I190" i="11" s="1"/>
  <c r="J190" i="11"/>
  <c r="K190" i="11" s="1"/>
  <c r="L190" i="11" s="1"/>
  <c r="M190" i="11" s="1"/>
  <c r="H191" i="11"/>
  <c r="I191" i="11"/>
  <c r="J191" i="11"/>
  <c r="K191" i="11" s="1"/>
  <c r="L191" i="11" s="1"/>
  <c r="M191" i="11" s="1"/>
  <c r="H192" i="11"/>
  <c r="I192" i="11" s="1"/>
  <c r="J192" i="11"/>
  <c r="K192" i="11" s="1"/>
  <c r="L192" i="11" s="1"/>
  <c r="M192" i="11" s="1"/>
  <c r="H193" i="11"/>
  <c r="I193" i="11" s="1"/>
  <c r="J193" i="11"/>
  <c r="K193" i="11" s="1"/>
  <c r="L193" i="11" s="1"/>
  <c r="M193" i="11" s="1"/>
  <c r="H194" i="11"/>
  <c r="I194" i="11"/>
  <c r="J194" i="11"/>
  <c r="K194" i="11" s="1"/>
  <c r="L194" i="11" s="1"/>
  <c r="M194" i="11" s="1"/>
  <c r="H195" i="11"/>
  <c r="I195" i="11" s="1"/>
  <c r="J195" i="11"/>
  <c r="K195" i="11" s="1"/>
  <c r="L195" i="11" s="1"/>
  <c r="M195" i="11" s="1"/>
  <c r="H196" i="11"/>
  <c r="I196" i="11" s="1"/>
  <c r="J196" i="11"/>
  <c r="K196" i="11" s="1"/>
  <c r="L196" i="11" s="1"/>
  <c r="M196" i="11" s="1"/>
  <c r="H197" i="11"/>
  <c r="I197" i="11"/>
  <c r="J197" i="11"/>
  <c r="K197" i="11" s="1"/>
  <c r="L197" i="11" s="1"/>
  <c r="M197" i="11" s="1"/>
  <c r="H198" i="11"/>
  <c r="I198" i="11" s="1"/>
  <c r="J198" i="11"/>
  <c r="K198" i="11" s="1"/>
  <c r="L198" i="11" s="1"/>
  <c r="M198" i="11" s="1"/>
  <c r="H199" i="11"/>
  <c r="I199" i="11" s="1"/>
  <c r="J199" i="11"/>
  <c r="K199" i="11" s="1"/>
  <c r="L199" i="11" s="1"/>
  <c r="M199" i="11" s="1"/>
  <c r="H200" i="11"/>
  <c r="I200" i="11" s="1"/>
  <c r="J200" i="11"/>
  <c r="K200" i="11" s="1"/>
  <c r="L200" i="11" s="1"/>
  <c r="M200" i="11" s="1"/>
  <c r="H201" i="11"/>
  <c r="I201" i="11" s="1"/>
  <c r="J201" i="11"/>
  <c r="K201" i="11" s="1"/>
  <c r="L201" i="11" s="1"/>
  <c r="M201" i="11" s="1"/>
  <c r="H202" i="11"/>
  <c r="I202" i="11" s="1"/>
  <c r="J202" i="11"/>
  <c r="K202" i="11" s="1"/>
  <c r="L202" i="11" s="1"/>
  <c r="M202" i="11" s="1"/>
  <c r="H203" i="11"/>
  <c r="I203" i="11"/>
  <c r="J203" i="11"/>
  <c r="K203" i="11" s="1"/>
  <c r="L203" i="11" s="1"/>
  <c r="M203" i="11" s="1"/>
  <c r="H204" i="11"/>
  <c r="I204" i="11" s="1"/>
  <c r="J204" i="11"/>
  <c r="K204" i="11" s="1"/>
  <c r="L204" i="11" s="1"/>
  <c r="M204" i="11" s="1"/>
  <c r="H205" i="11"/>
  <c r="I205" i="11" s="1"/>
  <c r="J205" i="11"/>
  <c r="K205" i="11" s="1"/>
  <c r="L205" i="11" s="1"/>
  <c r="M205" i="11" s="1"/>
  <c r="H206" i="11"/>
  <c r="I206" i="11"/>
  <c r="J206" i="11"/>
  <c r="K206" i="11" s="1"/>
  <c r="L206" i="11" s="1"/>
  <c r="M206" i="11" s="1"/>
  <c r="H207" i="11"/>
  <c r="I207" i="11"/>
  <c r="J207" i="11"/>
  <c r="K207" i="11" s="1"/>
  <c r="L207" i="11" s="1"/>
  <c r="M207" i="11" s="1"/>
  <c r="H208" i="11"/>
  <c r="I208" i="11" s="1"/>
  <c r="J208" i="11"/>
  <c r="K208" i="11" s="1"/>
  <c r="L208" i="11" s="1"/>
  <c r="M208" i="11" s="1"/>
  <c r="H209" i="11"/>
  <c r="I209" i="11"/>
  <c r="J209" i="11"/>
  <c r="K209" i="11" s="1"/>
  <c r="L209" i="11" s="1"/>
  <c r="M209" i="11" s="1"/>
  <c r="H210" i="11"/>
  <c r="I210" i="11"/>
  <c r="J210" i="11"/>
  <c r="K210" i="11" s="1"/>
  <c r="L210" i="11" s="1"/>
  <c r="M210" i="11" s="1"/>
  <c r="H211" i="11"/>
  <c r="I211" i="11"/>
  <c r="J211" i="11"/>
  <c r="K211" i="11" s="1"/>
  <c r="L211" i="11" s="1"/>
  <c r="M211" i="11" s="1"/>
  <c r="H212" i="11"/>
  <c r="I212" i="11" s="1"/>
  <c r="J212" i="11"/>
  <c r="K212" i="11" s="1"/>
  <c r="L212" i="11" s="1"/>
  <c r="M212" i="11" s="1"/>
  <c r="H213" i="11"/>
  <c r="I213" i="11"/>
  <c r="J213" i="11"/>
  <c r="K213" i="11" s="1"/>
  <c r="L213" i="11" s="1"/>
  <c r="M213" i="11" s="1"/>
  <c r="H214" i="11"/>
  <c r="I214" i="11" s="1"/>
  <c r="J214" i="11"/>
  <c r="K214" i="11" s="1"/>
  <c r="L214" i="11" s="1"/>
  <c r="M214" i="11" s="1"/>
  <c r="H215" i="11"/>
  <c r="I215" i="11"/>
  <c r="J215" i="11"/>
  <c r="K215" i="11" s="1"/>
  <c r="L215" i="11" s="1"/>
  <c r="M215" i="11" s="1"/>
  <c r="H216" i="11"/>
  <c r="I216" i="11" s="1"/>
  <c r="J216" i="11"/>
  <c r="K216" i="11" s="1"/>
  <c r="L216" i="11" s="1"/>
  <c r="M216" i="11" s="1"/>
  <c r="H217" i="11"/>
  <c r="I217" i="11"/>
  <c r="J217" i="11"/>
  <c r="K217" i="11" s="1"/>
  <c r="L217" i="11" s="1"/>
  <c r="M217" i="11" s="1"/>
  <c r="H218" i="11"/>
  <c r="I218" i="11"/>
  <c r="J218" i="11"/>
  <c r="K218" i="11" s="1"/>
  <c r="L218" i="11" s="1"/>
  <c r="M218" i="11" s="1"/>
  <c r="H219" i="11"/>
  <c r="I219" i="11" s="1"/>
  <c r="J219" i="11"/>
  <c r="K219" i="11" s="1"/>
  <c r="L219" i="11" s="1"/>
  <c r="M219" i="11" s="1"/>
  <c r="H220" i="11"/>
  <c r="I220" i="11" s="1"/>
  <c r="J220" i="11"/>
  <c r="K220" i="11" s="1"/>
  <c r="L220" i="11" s="1"/>
  <c r="M220" i="11" s="1"/>
  <c r="H221" i="11"/>
  <c r="I221" i="11"/>
  <c r="J221" i="11"/>
  <c r="K221" i="11" s="1"/>
  <c r="L221" i="11" s="1"/>
  <c r="M221" i="11" s="1"/>
  <c r="H222" i="11"/>
  <c r="I222" i="11" s="1"/>
  <c r="J222" i="11"/>
  <c r="K222" i="11" s="1"/>
  <c r="L222" i="11" s="1"/>
  <c r="M222" i="11" s="1"/>
  <c r="H223" i="11"/>
  <c r="I223" i="11"/>
  <c r="J223" i="11"/>
  <c r="K223" i="11" s="1"/>
  <c r="L223" i="11" s="1"/>
  <c r="M223" i="11" s="1"/>
  <c r="H224" i="11"/>
  <c r="I224" i="11" s="1"/>
  <c r="J224" i="11"/>
  <c r="K224" i="11" s="1"/>
  <c r="L224" i="11" s="1"/>
  <c r="M224" i="11" s="1"/>
  <c r="H225" i="11"/>
  <c r="I225" i="11" s="1"/>
  <c r="J225" i="11"/>
  <c r="K225" i="11" s="1"/>
  <c r="L225" i="11" s="1"/>
  <c r="M225" i="11" s="1"/>
  <c r="H226" i="11"/>
  <c r="I226" i="11"/>
  <c r="J226" i="11"/>
  <c r="K226" i="11" s="1"/>
  <c r="L226" i="11" s="1"/>
  <c r="M226" i="11" s="1"/>
  <c r="H227" i="11"/>
  <c r="I227" i="11" s="1"/>
  <c r="J227" i="11"/>
  <c r="K227" i="11" s="1"/>
  <c r="L227" i="11" s="1"/>
  <c r="M227" i="11" s="1"/>
  <c r="H228" i="11"/>
  <c r="I228" i="11" s="1"/>
  <c r="J228" i="11"/>
  <c r="K228" i="11" s="1"/>
  <c r="L228" i="11" s="1"/>
  <c r="M228" i="11" s="1"/>
  <c r="H229" i="11"/>
  <c r="I229" i="11"/>
  <c r="J229" i="11"/>
  <c r="K229" i="11" s="1"/>
  <c r="L229" i="11" s="1"/>
  <c r="M229" i="11" s="1"/>
  <c r="H230" i="11"/>
  <c r="I230" i="11" s="1"/>
  <c r="J230" i="11"/>
  <c r="K230" i="11" s="1"/>
  <c r="L230" i="11" s="1"/>
  <c r="M230" i="11" s="1"/>
  <c r="H231" i="11"/>
  <c r="I231" i="11" s="1"/>
  <c r="J231" i="11"/>
  <c r="K231" i="11" s="1"/>
  <c r="L231" i="11" s="1"/>
  <c r="M231" i="11" s="1"/>
  <c r="H232" i="11"/>
  <c r="I232" i="11" s="1"/>
  <c r="J232" i="11"/>
  <c r="K232" i="11" s="1"/>
  <c r="L232" i="11" s="1"/>
  <c r="M232" i="11" s="1"/>
  <c r="H233" i="11"/>
  <c r="I233" i="11" s="1"/>
  <c r="J233" i="11"/>
  <c r="K233" i="11" s="1"/>
  <c r="L233" i="11" s="1"/>
  <c r="M233" i="11" s="1"/>
  <c r="H234" i="11"/>
  <c r="I234" i="11" s="1"/>
  <c r="J234" i="11"/>
  <c r="K234" i="11" s="1"/>
  <c r="L234" i="11" s="1"/>
  <c r="M234" i="11" s="1"/>
  <c r="H235" i="11"/>
  <c r="I235" i="11"/>
  <c r="J235" i="11"/>
  <c r="K235" i="11" s="1"/>
  <c r="L235" i="11" s="1"/>
  <c r="M235" i="11" s="1"/>
  <c r="H236" i="11"/>
  <c r="I236" i="11" s="1"/>
  <c r="J236" i="11"/>
  <c r="K236" i="11" s="1"/>
  <c r="L236" i="11" s="1"/>
  <c r="M236" i="11" s="1"/>
  <c r="H237" i="11"/>
  <c r="I237" i="11" s="1"/>
  <c r="J237" i="11"/>
  <c r="K237" i="11" s="1"/>
  <c r="L237" i="11" s="1"/>
  <c r="M237" i="11" s="1"/>
  <c r="H238" i="11"/>
  <c r="I238" i="11"/>
  <c r="J238" i="11"/>
  <c r="K238" i="11" s="1"/>
  <c r="L238" i="11" s="1"/>
  <c r="M238" i="11" s="1"/>
  <c r="H239" i="11"/>
  <c r="I239" i="11"/>
  <c r="J239" i="11"/>
  <c r="K239" i="11" s="1"/>
  <c r="L239" i="11" s="1"/>
  <c r="M239" i="11" s="1"/>
  <c r="H240" i="11"/>
  <c r="I240" i="11" s="1"/>
  <c r="J240" i="11"/>
  <c r="K240" i="11" s="1"/>
  <c r="L240" i="11" s="1"/>
  <c r="M240" i="11" s="1"/>
  <c r="H241" i="11"/>
  <c r="I241" i="11"/>
  <c r="J241" i="11"/>
  <c r="K241" i="11" s="1"/>
  <c r="L241" i="11" s="1"/>
  <c r="M241" i="11" s="1"/>
  <c r="H242" i="11"/>
  <c r="I242" i="11"/>
  <c r="J242" i="11"/>
  <c r="K242" i="11" s="1"/>
  <c r="L242" i="11" s="1"/>
  <c r="M242" i="11" s="1"/>
  <c r="H243" i="11"/>
  <c r="I243" i="11"/>
  <c r="J243" i="11"/>
  <c r="K243" i="11" s="1"/>
  <c r="L243" i="11" s="1"/>
  <c r="M243" i="11" s="1"/>
  <c r="H244" i="11"/>
  <c r="I244" i="11" s="1"/>
  <c r="J244" i="11"/>
  <c r="K244" i="11" s="1"/>
  <c r="L244" i="11" s="1"/>
  <c r="M244" i="11" s="1"/>
  <c r="H245" i="11"/>
  <c r="I245" i="11"/>
  <c r="J245" i="11"/>
  <c r="K245" i="11" s="1"/>
  <c r="L245" i="11" s="1"/>
  <c r="M245" i="11" s="1"/>
  <c r="H246" i="11"/>
  <c r="I246" i="11" s="1"/>
  <c r="J246" i="11"/>
  <c r="K246" i="11" s="1"/>
  <c r="L246" i="11" s="1"/>
  <c r="M246" i="11" s="1"/>
  <c r="H247" i="11"/>
  <c r="I247" i="11"/>
  <c r="J247" i="11"/>
  <c r="K247" i="11" s="1"/>
  <c r="L247" i="11" s="1"/>
  <c r="M247" i="11" s="1"/>
  <c r="H248" i="11"/>
  <c r="I248" i="11" s="1"/>
  <c r="J248" i="11"/>
  <c r="K248" i="11" s="1"/>
  <c r="L248" i="11" s="1"/>
  <c r="M248" i="11" s="1"/>
  <c r="H249" i="11"/>
  <c r="I249" i="11"/>
  <c r="J249" i="11"/>
  <c r="K249" i="11" s="1"/>
  <c r="L249" i="11" s="1"/>
  <c r="M249" i="11" s="1"/>
  <c r="H250" i="11"/>
  <c r="I250" i="11"/>
  <c r="J250" i="11"/>
  <c r="K250" i="11" s="1"/>
  <c r="L250" i="11" s="1"/>
  <c r="M250" i="11" s="1"/>
  <c r="H251" i="11"/>
  <c r="I251" i="11" s="1"/>
  <c r="J251" i="11"/>
  <c r="K251" i="11" s="1"/>
  <c r="L251" i="11" s="1"/>
  <c r="M251" i="11" s="1"/>
  <c r="H252" i="11"/>
  <c r="I252" i="11" s="1"/>
  <c r="J252" i="11"/>
  <c r="K252" i="11" s="1"/>
  <c r="L252" i="11" s="1"/>
  <c r="M252" i="11" s="1"/>
  <c r="H253" i="11"/>
  <c r="I253" i="11"/>
  <c r="J253" i="11"/>
  <c r="K253" i="11" s="1"/>
  <c r="L253" i="11" s="1"/>
  <c r="M253" i="11" s="1"/>
  <c r="H254" i="11"/>
  <c r="I254" i="11" s="1"/>
  <c r="J254" i="11"/>
  <c r="K254" i="11" s="1"/>
  <c r="L254" i="11" s="1"/>
  <c r="M254" i="11" s="1"/>
  <c r="H255" i="11"/>
  <c r="I255" i="11"/>
  <c r="J255" i="11"/>
  <c r="K255" i="11" s="1"/>
  <c r="L255" i="11" s="1"/>
  <c r="M255" i="11" s="1"/>
  <c r="H256" i="11"/>
  <c r="I256" i="11" s="1"/>
  <c r="J256" i="11"/>
  <c r="K256" i="11" s="1"/>
  <c r="L256" i="11" s="1"/>
  <c r="M256" i="11" s="1"/>
  <c r="H257" i="11"/>
  <c r="I257" i="11" s="1"/>
  <c r="J257" i="11"/>
  <c r="K257" i="11" s="1"/>
  <c r="L257" i="11" s="1"/>
  <c r="M257" i="11" s="1"/>
  <c r="H258" i="11"/>
  <c r="I258" i="11"/>
  <c r="J258" i="11"/>
  <c r="K258" i="11"/>
  <c r="L258" i="11" s="1"/>
  <c r="M258" i="11" s="1"/>
  <c r="H259" i="11"/>
  <c r="I259" i="11" s="1"/>
  <c r="J259" i="11"/>
  <c r="K259" i="11" s="1"/>
  <c r="L259" i="11" s="1"/>
  <c r="M259" i="11" s="1"/>
  <c r="H260" i="11"/>
  <c r="I260" i="11" s="1"/>
  <c r="J260" i="11"/>
  <c r="K260" i="11" s="1"/>
  <c r="L260" i="11" s="1"/>
  <c r="M260" i="11" s="1"/>
  <c r="H261" i="11"/>
  <c r="I261" i="11"/>
  <c r="J261" i="11"/>
  <c r="K261" i="11" s="1"/>
  <c r="L261" i="11" s="1"/>
  <c r="M261" i="11" s="1"/>
  <c r="H262" i="11"/>
  <c r="I262" i="11" s="1"/>
  <c r="J262" i="11"/>
  <c r="K262" i="11" s="1"/>
  <c r="L262" i="11" s="1"/>
  <c r="M262" i="11" s="1"/>
  <c r="H263" i="11"/>
  <c r="I263" i="11" s="1"/>
  <c r="J263" i="11"/>
  <c r="K263" i="11" s="1"/>
  <c r="L263" i="11" s="1"/>
  <c r="M263" i="11" s="1"/>
  <c r="H264" i="11"/>
  <c r="I264" i="11" s="1"/>
  <c r="J264" i="11"/>
  <c r="K264" i="11" s="1"/>
  <c r="L264" i="11" s="1"/>
  <c r="M264" i="11" s="1"/>
  <c r="H265" i="11"/>
  <c r="I265" i="11" s="1"/>
  <c r="J265" i="11"/>
  <c r="K265" i="11" s="1"/>
  <c r="L265" i="11" s="1"/>
  <c r="M265" i="11" s="1"/>
  <c r="H266" i="11"/>
  <c r="I266" i="11" s="1"/>
  <c r="J266" i="11"/>
  <c r="K266" i="11" s="1"/>
  <c r="L266" i="11" s="1"/>
  <c r="M266" i="11" s="1"/>
  <c r="H267" i="11"/>
  <c r="I267" i="11"/>
  <c r="J267" i="11"/>
  <c r="K267" i="11" s="1"/>
  <c r="L267" i="11" s="1"/>
  <c r="M267" i="11" s="1"/>
  <c r="H268" i="11"/>
  <c r="I268" i="11" s="1"/>
  <c r="J268" i="11"/>
  <c r="K268" i="11" s="1"/>
  <c r="L268" i="11" s="1"/>
  <c r="M268" i="11" s="1"/>
  <c r="H269" i="11"/>
  <c r="I269" i="11" s="1"/>
  <c r="J269" i="11"/>
  <c r="K269" i="11" s="1"/>
  <c r="L269" i="11" s="1"/>
  <c r="M269" i="11" s="1"/>
  <c r="H270" i="11"/>
  <c r="I270" i="11"/>
  <c r="J270" i="11"/>
  <c r="K270" i="11" s="1"/>
  <c r="L270" i="11" s="1"/>
  <c r="M270" i="11" s="1"/>
  <c r="H271" i="11"/>
  <c r="I271" i="11"/>
  <c r="J271" i="11"/>
  <c r="K271" i="11" s="1"/>
  <c r="L271" i="11" s="1"/>
  <c r="M271" i="11" s="1"/>
  <c r="H272" i="11"/>
  <c r="I272" i="11" s="1"/>
  <c r="J272" i="11"/>
  <c r="K272" i="11" s="1"/>
  <c r="L272" i="11" s="1"/>
  <c r="M272" i="11" s="1"/>
  <c r="H273" i="11"/>
  <c r="I273" i="11"/>
  <c r="J273" i="11"/>
  <c r="K273" i="11" s="1"/>
  <c r="L273" i="11" s="1"/>
  <c r="M273" i="11" s="1"/>
  <c r="H274" i="11"/>
  <c r="I274" i="11"/>
  <c r="J274" i="11"/>
  <c r="K274" i="11" s="1"/>
  <c r="L274" i="11" s="1"/>
  <c r="M274" i="11" s="1"/>
  <c r="H275" i="11"/>
  <c r="I275" i="11"/>
  <c r="J275" i="11"/>
  <c r="K275" i="11" s="1"/>
  <c r="L275" i="11" s="1"/>
  <c r="M275" i="11" s="1"/>
  <c r="H276" i="11"/>
  <c r="I276" i="11" s="1"/>
  <c r="J276" i="11"/>
  <c r="K276" i="11" s="1"/>
  <c r="L276" i="11" s="1"/>
  <c r="M276" i="11" s="1"/>
  <c r="H277" i="11"/>
  <c r="I277" i="11"/>
  <c r="J277" i="11"/>
  <c r="K277" i="11" s="1"/>
  <c r="L277" i="11" s="1"/>
  <c r="M277" i="11" s="1"/>
  <c r="H278" i="11"/>
  <c r="I278" i="11"/>
  <c r="J278" i="11"/>
  <c r="K278" i="11"/>
  <c r="L278" i="11" s="1"/>
  <c r="M278" i="11" s="1"/>
  <c r="H279" i="11"/>
  <c r="I279" i="11"/>
  <c r="J279" i="11"/>
  <c r="K279" i="11" s="1"/>
  <c r="L279" i="11" s="1"/>
  <c r="M279" i="11" s="1"/>
  <c r="H280" i="11"/>
  <c r="I280" i="11"/>
  <c r="J280" i="11"/>
  <c r="K280" i="11" s="1"/>
  <c r="L280" i="11" s="1"/>
  <c r="M280" i="11" s="1"/>
  <c r="H281" i="11"/>
  <c r="I281" i="11"/>
  <c r="J281" i="11"/>
  <c r="K281" i="11" s="1"/>
  <c r="L281" i="11" s="1"/>
  <c r="M281" i="11" s="1"/>
  <c r="H282" i="11"/>
  <c r="I282" i="11" s="1"/>
  <c r="J282" i="11"/>
  <c r="K282" i="11" s="1"/>
  <c r="L282" i="11" s="1"/>
  <c r="M282" i="11" s="1"/>
  <c r="H283" i="11"/>
  <c r="I283" i="11"/>
  <c r="J283" i="11"/>
  <c r="K283" i="11" s="1"/>
  <c r="L283" i="11" s="1"/>
  <c r="M283" i="11" s="1"/>
  <c r="H284" i="11"/>
  <c r="I284" i="11"/>
  <c r="J284" i="11"/>
  <c r="K284" i="11" s="1"/>
  <c r="L284" i="11" s="1"/>
  <c r="M284" i="11" s="1"/>
  <c r="H285" i="11"/>
  <c r="I285" i="11"/>
  <c r="J285" i="11"/>
  <c r="K285" i="11" s="1"/>
  <c r="L285" i="11" s="1"/>
  <c r="M285" i="11" s="1"/>
  <c r="H286" i="11"/>
  <c r="I286" i="11"/>
  <c r="J286" i="11"/>
  <c r="K286" i="11" s="1"/>
  <c r="L286" i="11" s="1"/>
  <c r="M286" i="11" s="1"/>
  <c r="H287" i="11"/>
  <c r="I287" i="11"/>
  <c r="J287" i="11"/>
  <c r="K287" i="11" s="1"/>
  <c r="L287" i="11" s="1"/>
  <c r="M287" i="11" s="1"/>
  <c r="H288" i="11"/>
  <c r="I288" i="11"/>
  <c r="J288" i="11"/>
  <c r="K288" i="11" s="1"/>
  <c r="L288" i="11" s="1"/>
  <c r="M288" i="11" s="1"/>
  <c r="H289" i="11"/>
  <c r="I289" i="11"/>
  <c r="J289" i="11"/>
  <c r="K289" i="11" s="1"/>
  <c r="L289" i="11" s="1"/>
  <c r="M289" i="11" s="1"/>
  <c r="H290" i="11"/>
  <c r="I290" i="11" s="1"/>
  <c r="J290" i="11"/>
  <c r="K290" i="11" s="1"/>
  <c r="L290" i="11" s="1"/>
  <c r="M290" i="11" s="1"/>
  <c r="H291" i="11"/>
  <c r="I291" i="11"/>
  <c r="J291" i="11"/>
  <c r="K291" i="11" s="1"/>
  <c r="L291" i="11" s="1"/>
  <c r="M291" i="11" s="1"/>
  <c r="H292" i="11"/>
  <c r="I292" i="11"/>
  <c r="J292" i="11"/>
  <c r="K292" i="11" s="1"/>
  <c r="L292" i="11" s="1"/>
  <c r="M292" i="11" s="1"/>
  <c r="H293" i="11"/>
  <c r="I293" i="11"/>
  <c r="J293" i="11"/>
  <c r="K293" i="11" s="1"/>
  <c r="L293" i="11" s="1"/>
  <c r="M293" i="11" s="1"/>
  <c r="H294" i="11"/>
  <c r="I294" i="11"/>
  <c r="J294" i="11"/>
  <c r="K294" i="11" s="1"/>
  <c r="L294" i="11" s="1"/>
  <c r="M294" i="11" s="1"/>
  <c r="H295" i="11"/>
  <c r="I295" i="11"/>
  <c r="J295" i="11"/>
  <c r="K295" i="11" s="1"/>
  <c r="L295" i="11" s="1"/>
  <c r="M295" i="11" s="1"/>
  <c r="H296" i="11"/>
  <c r="I296" i="11"/>
  <c r="J296" i="11"/>
  <c r="K296" i="11" s="1"/>
  <c r="L296" i="11" s="1"/>
  <c r="M296" i="11" s="1"/>
  <c r="H297" i="11"/>
  <c r="I297" i="11"/>
  <c r="J297" i="11"/>
  <c r="K297" i="11" s="1"/>
  <c r="L297" i="11" s="1"/>
  <c r="M297" i="11" s="1"/>
  <c r="H298" i="11"/>
  <c r="I298" i="11" s="1"/>
  <c r="J298" i="11"/>
  <c r="K298" i="11" s="1"/>
  <c r="L298" i="11" s="1"/>
  <c r="M298" i="11" s="1"/>
  <c r="H299" i="11"/>
  <c r="I299" i="11"/>
  <c r="J299" i="11"/>
  <c r="K299" i="11" s="1"/>
  <c r="L299" i="11" s="1"/>
  <c r="M299" i="11" s="1"/>
  <c r="H300" i="11"/>
  <c r="I300" i="11"/>
  <c r="J300" i="11"/>
  <c r="K300" i="11" s="1"/>
  <c r="L300" i="11" s="1"/>
  <c r="M300" i="11" s="1"/>
  <c r="H301" i="11"/>
  <c r="I301" i="11"/>
  <c r="J301" i="11"/>
  <c r="K301" i="11" s="1"/>
  <c r="L301" i="11" s="1"/>
  <c r="M301" i="11" s="1"/>
  <c r="H302" i="11"/>
  <c r="I302" i="11"/>
  <c r="J302" i="11"/>
  <c r="K302" i="11" s="1"/>
  <c r="L302" i="11" s="1"/>
  <c r="M302" i="11" s="1"/>
  <c r="H303" i="11"/>
  <c r="I303" i="11"/>
  <c r="J303" i="11"/>
  <c r="K303" i="11" s="1"/>
  <c r="L303" i="11" s="1"/>
  <c r="M303" i="11" s="1"/>
  <c r="H304" i="11"/>
  <c r="I304" i="11"/>
  <c r="J304" i="11"/>
  <c r="K304" i="11" s="1"/>
  <c r="L304" i="11" s="1"/>
  <c r="M304" i="11" s="1"/>
  <c r="H305" i="11"/>
  <c r="I305" i="11"/>
  <c r="J305" i="11"/>
  <c r="K305" i="11" s="1"/>
  <c r="L305" i="11" s="1"/>
  <c r="M305" i="11" s="1"/>
  <c r="H306" i="11"/>
  <c r="I306" i="11" s="1"/>
  <c r="J306" i="11"/>
  <c r="K306" i="11" s="1"/>
  <c r="L306" i="11" s="1"/>
  <c r="M306" i="11" s="1"/>
  <c r="H307" i="11"/>
  <c r="I307" i="11"/>
  <c r="J307" i="11"/>
  <c r="K307" i="11" s="1"/>
  <c r="L307" i="11" s="1"/>
  <c r="M307" i="11" s="1"/>
  <c r="H308" i="11"/>
  <c r="I308" i="11"/>
  <c r="J308" i="11"/>
  <c r="K308" i="11" s="1"/>
  <c r="L308" i="11" s="1"/>
  <c r="M308" i="11" s="1"/>
  <c r="H309" i="11"/>
  <c r="I309" i="11"/>
  <c r="J309" i="11"/>
  <c r="K309" i="11" s="1"/>
  <c r="L309" i="11" s="1"/>
  <c r="M309" i="11" s="1"/>
  <c r="H310" i="11"/>
  <c r="I310" i="11"/>
  <c r="J310" i="11"/>
  <c r="K310" i="11" s="1"/>
  <c r="L310" i="11" s="1"/>
  <c r="M310" i="11" s="1"/>
  <c r="H311" i="11"/>
  <c r="I311" i="11"/>
  <c r="J311" i="11"/>
  <c r="K311" i="11" s="1"/>
  <c r="L311" i="11" s="1"/>
  <c r="M311" i="11" s="1"/>
  <c r="H312" i="11"/>
  <c r="I312" i="11"/>
  <c r="J312" i="11"/>
  <c r="K312" i="11" s="1"/>
  <c r="L312" i="11" s="1"/>
  <c r="M312" i="11" s="1"/>
  <c r="H313" i="11"/>
  <c r="I313" i="11"/>
  <c r="J313" i="11"/>
  <c r="K313" i="11" s="1"/>
  <c r="L313" i="11" s="1"/>
  <c r="M313" i="11" s="1"/>
  <c r="H314" i="11"/>
  <c r="I314" i="11" s="1"/>
  <c r="J314" i="11"/>
  <c r="K314" i="11" s="1"/>
  <c r="L314" i="11" s="1"/>
  <c r="M314" i="11" s="1"/>
  <c r="H315" i="11"/>
  <c r="I315" i="11"/>
  <c r="J315" i="11"/>
  <c r="K315" i="11" s="1"/>
  <c r="L315" i="11" s="1"/>
  <c r="M315" i="11" s="1"/>
  <c r="H316" i="11"/>
  <c r="I316" i="11"/>
  <c r="J316" i="11"/>
  <c r="K316" i="11" s="1"/>
  <c r="L316" i="11" s="1"/>
  <c r="M316" i="11" s="1"/>
  <c r="H317" i="11"/>
  <c r="I317" i="11"/>
  <c r="J317" i="11"/>
  <c r="K317" i="11" s="1"/>
  <c r="L317" i="11" s="1"/>
  <c r="M317" i="11" s="1"/>
  <c r="H318" i="11"/>
  <c r="I318" i="11" s="1"/>
  <c r="J318" i="11"/>
  <c r="K318" i="11" s="1"/>
  <c r="L318" i="11" s="1"/>
  <c r="M318" i="11" s="1"/>
  <c r="H319" i="11"/>
  <c r="I319" i="11" s="1"/>
  <c r="J319" i="11"/>
  <c r="K319" i="11" s="1"/>
  <c r="L319" i="11" s="1"/>
  <c r="M319" i="11" s="1"/>
  <c r="H320" i="11"/>
  <c r="I320" i="11"/>
  <c r="J320" i="11"/>
  <c r="K320" i="11" s="1"/>
  <c r="L320" i="11" s="1"/>
  <c r="M320" i="11" s="1"/>
  <c r="H321" i="11"/>
  <c r="I321" i="11"/>
  <c r="J321" i="11"/>
  <c r="K321" i="11" s="1"/>
  <c r="L321" i="11" s="1"/>
  <c r="M321" i="11" s="1"/>
  <c r="H322" i="11"/>
  <c r="I322" i="11"/>
  <c r="J322" i="11"/>
  <c r="K322" i="11" s="1"/>
  <c r="L322" i="11" s="1"/>
  <c r="M322" i="11" s="1"/>
  <c r="H323" i="11"/>
  <c r="I323" i="11"/>
  <c r="J323" i="11"/>
  <c r="K323" i="11" s="1"/>
  <c r="L323" i="11" s="1"/>
  <c r="M323" i="11" s="1"/>
  <c r="H324" i="11"/>
  <c r="I324" i="11"/>
  <c r="J324" i="11"/>
  <c r="K324" i="11" s="1"/>
  <c r="L324" i="11" s="1"/>
  <c r="M324" i="11" s="1"/>
  <c r="H325" i="11"/>
  <c r="I325" i="11"/>
  <c r="J325" i="11"/>
  <c r="K325" i="11" s="1"/>
  <c r="L325" i="11" s="1"/>
  <c r="M325" i="11" s="1"/>
  <c r="H326" i="11"/>
  <c r="I326" i="11"/>
  <c r="J326" i="11"/>
  <c r="K326" i="11" s="1"/>
  <c r="L326" i="11" s="1"/>
  <c r="M326" i="11" s="1"/>
  <c r="H327" i="11"/>
  <c r="I327" i="11" s="1"/>
  <c r="J327" i="11"/>
  <c r="K327" i="11" s="1"/>
  <c r="L327" i="11" s="1"/>
  <c r="M327" i="11" s="1"/>
  <c r="H328" i="11"/>
  <c r="I328" i="11"/>
  <c r="J328" i="11"/>
  <c r="K328" i="11" s="1"/>
  <c r="L328" i="11" s="1"/>
  <c r="M328" i="11" s="1"/>
  <c r="H329" i="11"/>
  <c r="I329" i="11"/>
  <c r="J329" i="11"/>
  <c r="K329" i="11" s="1"/>
  <c r="L329" i="11" s="1"/>
  <c r="M329" i="11" s="1"/>
  <c r="H330" i="11"/>
  <c r="I330" i="11"/>
  <c r="J330" i="11"/>
  <c r="K330" i="11" s="1"/>
  <c r="L330" i="11" s="1"/>
  <c r="M330" i="11" s="1"/>
  <c r="H331" i="11"/>
  <c r="I331" i="11" s="1"/>
  <c r="J331" i="11"/>
  <c r="K331" i="11" s="1"/>
  <c r="L331" i="11" s="1"/>
  <c r="M331" i="11" s="1"/>
  <c r="H332" i="11"/>
  <c r="I332" i="11"/>
  <c r="J332" i="11"/>
  <c r="K332" i="11" s="1"/>
  <c r="L332" i="11" s="1"/>
  <c r="M332" i="11" s="1"/>
  <c r="H333" i="11"/>
  <c r="I333" i="11"/>
  <c r="J333" i="11"/>
  <c r="K333" i="11" s="1"/>
  <c r="L333" i="11" s="1"/>
  <c r="M333" i="11" s="1"/>
  <c r="H334" i="11"/>
  <c r="I334" i="11" s="1"/>
  <c r="J334" i="11"/>
  <c r="K334" i="11" s="1"/>
  <c r="L334" i="11" s="1"/>
  <c r="M334" i="11" s="1"/>
  <c r="H335" i="11"/>
  <c r="I335" i="11" s="1"/>
  <c r="J335" i="11"/>
  <c r="K335" i="11" s="1"/>
  <c r="L335" i="11" s="1"/>
  <c r="M335" i="11" s="1"/>
  <c r="H336" i="11"/>
  <c r="I336" i="11"/>
  <c r="J336" i="11"/>
  <c r="K336" i="11" s="1"/>
  <c r="L336" i="11" s="1"/>
  <c r="M336" i="11" s="1"/>
  <c r="H337" i="11"/>
  <c r="I337" i="11"/>
  <c r="J337" i="11"/>
  <c r="K337" i="11" s="1"/>
  <c r="L337" i="11" s="1"/>
  <c r="M337" i="11" s="1"/>
  <c r="H338" i="11"/>
  <c r="I338" i="11"/>
  <c r="J338" i="11"/>
  <c r="K338" i="11" s="1"/>
  <c r="L338" i="11" s="1"/>
  <c r="M338" i="11" s="1"/>
  <c r="H339" i="11"/>
  <c r="I339" i="11"/>
  <c r="J339" i="11"/>
  <c r="K339" i="11" s="1"/>
  <c r="L339" i="11" s="1"/>
  <c r="M339" i="11" s="1"/>
  <c r="H340" i="11"/>
  <c r="I340" i="11"/>
  <c r="J340" i="11"/>
  <c r="K340" i="11" s="1"/>
  <c r="L340" i="11" s="1"/>
  <c r="M340" i="11" s="1"/>
  <c r="H341" i="11"/>
  <c r="I341" i="11"/>
  <c r="J341" i="11"/>
  <c r="K341" i="11" s="1"/>
  <c r="L341" i="11" s="1"/>
  <c r="M341" i="11" s="1"/>
  <c r="H342" i="11"/>
  <c r="I342" i="11" s="1"/>
  <c r="J342" i="11"/>
  <c r="K342" i="11" s="1"/>
  <c r="L342" i="11" s="1"/>
  <c r="M342" i="11" s="1"/>
  <c r="H343" i="11"/>
  <c r="I343" i="11"/>
  <c r="J343" i="11"/>
  <c r="K343" i="11" s="1"/>
  <c r="L343" i="11" s="1"/>
  <c r="M343" i="11" s="1"/>
  <c r="H344" i="11"/>
  <c r="I344" i="11"/>
  <c r="J344" i="11"/>
  <c r="K344" i="11" s="1"/>
  <c r="L344" i="11" s="1"/>
  <c r="M344" i="11" s="1"/>
  <c r="H345" i="11"/>
  <c r="I345" i="11"/>
  <c r="J345" i="11"/>
  <c r="K345" i="11" s="1"/>
  <c r="L345" i="11" s="1"/>
  <c r="M345" i="11" s="1"/>
  <c r="H346" i="11"/>
  <c r="I346" i="11"/>
  <c r="J346" i="11"/>
  <c r="K346" i="11" s="1"/>
  <c r="L346" i="11" s="1"/>
  <c r="M346" i="11" s="1"/>
  <c r="H347" i="11"/>
  <c r="I347" i="11"/>
  <c r="J347" i="11"/>
  <c r="K347" i="11" s="1"/>
  <c r="L347" i="11" s="1"/>
  <c r="M347" i="11" s="1"/>
  <c r="H348" i="11"/>
  <c r="I348" i="11"/>
  <c r="J348" i="11"/>
  <c r="K348" i="11" s="1"/>
  <c r="L348" i="11" s="1"/>
  <c r="M348" i="11" s="1"/>
  <c r="H349" i="11"/>
  <c r="I349" i="11"/>
  <c r="J349" i="11"/>
  <c r="K349" i="11" s="1"/>
  <c r="L349" i="11" s="1"/>
  <c r="M349" i="11" s="1"/>
  <c r="H350" i="11"/>
  <c r="I350" i="11" s="1"/>
  <c r="J350" i="11"/>
  <c r="K350" i="11" s="1"/>
  <c r="L350" i="11" s="1"/>
  <c r="M350" i="11" s="1"/>
  <c r="H351" i="11"/>
  <c r="I351" i="11" s="1"/>
  <c r="J351" i="11"/>
  <c r="K351" i="11" s="1"/>
  <c r="L351" i="11" s="1"/>
  <c r="M351" i="11" s="1"/>
  <c r="H352" i="11"/>
  <c r="I352" i="11"/>
  <c r="J352" i="11"/>
  <c r="K352" i="11" s="1"/>
  <c r="L352" i="11" s="1"/>
  <c r="M352" i="11" s="1"/>
  <c r="H353" i="11"/>
  <c r="I353" i="11"/>
  <c r="J353" i="11"/>
  <c r="K353" i="11" s="1"/>
  <c r="L353" i="11" s="1"/>
  <c r="M353" i="11" s="1"/>
  <c r="H354" i="11"/>
  <c r="I354" i="11"/>
  <c r="J354" i="11"/>
  <c r="K354" i="11" s="1"/>
  <c r="L354" i="11" s="1"/>
  <c r="M354" i="11" s="1"/>
  <c r="H355" i="11"/>
  <c r="I355" i="11" s="1"/>
  <c r="J355" i="11"/>
  <c r="K355" i="11" s="1"/>
  <c r="L355" i="11" s="1"/>
  <c r="M355" i="11" s="1"/>
  <c r="H356" i="11"/>
  <c r="I356" i="11"/>
  <c r="J356" i="11"/>
  <c r="K356" i="11" s="1"/>
  <c r="L356" i="11" s="1"/>
  <c r="M356" i="11" s="1"/>
  <c r="H357" i="11"/>
  <c r="I357" i="11"/>
  <c r="J357" i="11"/>
  <c r="K357" i="11" s="1"/>
  <c r="L357" i="11" s="1"/>
  <c r="M357" i="11" s="1"/>
  <c r="H358" i="11"/>
  <c r="I358" i="11"/>
  <c r="J358" i="11"/>
  <c r="K358" i="11" s="1"/>
  <c r="L358" i="11" s="1"/>
  <c r="M358" i="11" s="1"/>
  <c r="H359" i="11"/>
  <c r="I359" i="11" s="1"/>
  <c r="J359" i="11"/>
  <c r="K359" i="11" s="1"/>
  <c r="L359" i="11" s="1"/>
  <c r="M359" i="11" s="1"/>
  <c r="H360" i="11"/>
  <c r="I360" i="11"/>
  <c r="J360" i="11"/>
  <c r="K360" i="11" s="1"/>
  <c r="L360" i="11" s="1"/>
  <c r="M360" i="11" s="1"/>
  <c r="H361" i="11"/>
  <c r="I361" i="11"/>
  <c r="J361" i="11"/>
  <c r="K361" i="11" s="1"/>
  <c r="L361" i="11" s="1"/>
  <c r="M361" i="11" s="1"/>
  <c r="H362" i="11"/>
  <c r="I362" i="11"/>
  <c r="J362" i="11"/>
  <c r="K362" i="11" s="1"/>
  <c r="L362" i="11" s="1"/>
  <c r="M362" i="11" s="1"/>
  <c r="H363" i="11"/>
  <c r="I363" i="11" s="1"/>
  <c r="J363" i="11"/>
  <c r="K363" i="11" s="1"/>
  <c r="L363" i="11" s="1"/>
  <c r="M363" i="11" s="1"/>
  <c r="H364" i="11"/>
  <c r="I364" i="11"/>
  <c r="J364" i="11"/>
  <c r="K364" i="11" s="1"/>
  <c r="L364" i="11" s="1"/>
  <c r="M364" i="11" s="1"/>
  <c r="H365" i="11"/>
  <c r="I365" i="11"/>
  <c r="J365" i="11"/>
  <c r="K365" i="11" s="1"/>
  <c r="L365" i="11" s="1"/>
  <c r="M365" i="11" s="1"/>
  <c r="H366" i="11"/>
  <c r="I366" i="11"/>
  <c r="J366" i="11"/>
  <c r="K366" i="11" s="1"/>
  <c r="L366" i="11" s="1"/>
  <c r="M366" i="11" s="1"/>
  <c r="H367" i="11"/>
  <c r="I367" i="11" s="1"/>
  <c r="J367" i="11"/>
  <c r="K367" i="11" s="1"/>
  <c r="L367" i="11" s="1"/>
  <c r="M367" i="11" s="1"/>
  <c r="H368" i="11"/>
  <c r="I368" i="11"/>
  <c r="J368" i="11"/>
  <c r="K368" i="11" s="1"/>
  <c r="L368" i="11" s="1"/>
  <c r="M368" i="11" s="1"/>
  <c r="H369" i="11"/>
  <c r="I369" i="11"/>
  <c r="J369" i="11"/>
  <c r="K369" i="11" s="1"/>
  <c r="L369" i="11" s="1"/>
  <c r="M369" i="11" s="1"/>
  <c r="H370" i="11"/>
  <c r="I370" i="11"/>
  <c r="J370" i="11"/>
  <c r="K370" i="11" s="1"/>
  <c r="L370" i="11" s="1"/>
  <c r="M370" i="11" s="1"/>
  <c r="H371" i="11"/>
  <c r="I371" i="11"/>
  <c r="J371" i="11"/>
  <c r="K371" i="11" s="1"/>
  <c r="L371" i="11" s="1"/>
  <c r="M371" i="11" s="1"/>
  <c r="H372" i="11"/>
  <c r="I372" i="11"/>
  <c r="J372" i="11"/>
  <c r="K372" i="11" s="1"/>
  <c r="L372" i="11" s="1"/>
  <c r="M372" i="11" s="1"/>
  <c r="H373" i="11"/>
  <c r="I373" i="11"/>
  <c r="J373" i="11"/>
  <c r="K373" i="11" s="1"/>
  <c r="L373" i="11" s="1"/>
  <c r="M373" i="11" s="1"/>
  <c r="H374" i="11"/>
  <c r="I374" i="11" s="1"/>
  <c r="J374" i="11"/>
  <c r="K374" i="11" s="1"/>
  <c r="L374" i="11" s="1"/>
  <c r="M374" i="11" s="1"/>
  <c r="H375" i="11"/>
  <c r="I375" i="11" s="1"/>
  <c r="J375" i="11"/>
  <c r="K375" i="11" s="1"/>
  <c r="L375" i="11" s="1"/>
  <c r="M375" i="11" s="1"/>
  <c r="H376" i="11"/>
  <c r="I376" i="11"/>
  <c r="J376" i="11"/>
  <c r="K376" i="11" s="1"/>
  <c r="L376" i="11" s="1"/>
  <c r="M376" i="11" s="1"/>
  <c r="H377" i="11"/>
  <c r="I377" i="11"/>
  <c r="J377" i="11"/>
  <c r="K377" i="11" s="1"/>
  <c r="L377" i="11" s="1"/>
  <c r="M377" i="11" s="1"/>
  <c r="H378" i="11"/>
  <c r="I378" i="11"/>
  <c r="J378" i="11"/>
  <c r="K378" i="11" s="1"/>
  <c r="L378" i="11" s="1"/>
  <c r="M378" i="11" s="1"/>
  <c r="H379" i="11"/>
  <c r="I379" i="11" s="1"/>
  <c r="J379" i="11"/>
  <c r="K379" i="11" s="1"/>
  <c r="L379" i="11" s="1"/>
  <c r="M379" i="11" s="1"/>
  <c r="H380" i="11"/>
  <c r="I380" i="11"/>
  <c r="J380" i="11"/>
  <c r="K380" i="11" s="1"/>
  <c r="L380" i="11" s="1"/>
  <c r="M380" i="11" s="1"/>
  <c r="H381" i="11"/>
  <c r="I381" i="11"/>
  <c r="J381" i="11"/>
  <c r="K381" i="11" s="1"/>
  <c r="L381" i="11" s="1"/>
  <c r="M381" i="11" s="1"/>
  <c r="H382" i="11"/>
  <c r="I382" i="11"/>
  <c r="J382" i="11"/>
  <c r="K382" i="11" s="1"/>
  <c r="L382" i="11" s="1"/>
  <c r="M382" i="11" s="1"/>
  <c r="H383" i="11"/>
  <c r="I383" i="11" s="1"/>
  <c r="J383" i="11"/>
  <c r="K383" i="11" s="1"/>
  <c r="L383" i="11" s="1"/>
  <c r="M383" i="11" s="1"/>
  <c r="H384" i="11"/>
  <c r="I384" i="11"/>
  <c r="J384" i="11"/>
  <c r="K384" i="11" s="1"/>
  <c r="L384" i="11" s="1"/>
  <c r="M384" i="11" s="1"/>
  <c r="H385" i="11"/>
  <c r="I385" i="11"/>
  <c r="J385" i="11"/>
  <c r="K385" i="11" s="1"/>
  <c r="L385" i="11" s="1"/>
  <c r="M385" i="11" s="1"/>
  <c r="H386" i="11"/>
  <c r="I386" i="11"/>
  <c r="J386" i="11"/>
  <c r="K386" i="11" s="1"/>
  <c r="L386" i="11" s="1"/>
  <c r="M386" i="11" s="1"/>
  <c r="H387" i="11"/>
  <c r="I387" i="11" s="1"/>
  <c r="J387" i="11"/>
  <c r="K387" i="11" s="1"/>
  <c r="L387" i="11" s="1"/>
  <c r="M387" i="11" s="1"/>
  <c r="H388" i="11"/>
  <c r="I388" i="11"/>
  <c r="J388" i="11"/>
  <c r="K388" i="11" s="1"/>
  <c r="L388" i="11" s="1"/>
  <c r="M388" i="11" s="1"/>
  <c r="H389" i="11"/>
  <c r="I389" i="11"/>
  <c r="J389" i="11"/>
  <c r="K389" i="11" s="1"/>
  <c r="L389" i="11" s="1"/>
  <c r="M389" i="11" s="1"/>
  <c r="H390" i="11"/>
  <c r="I390" i="11" s="1"/>
  <c r="J390" i="11"/>
  <c r="K390" i="11" s="1"/>
  <c r="L390" i="11" s="1"/>
  <c r="M390" i="11" s="1"/>
  <c r="H391" i="11"/>
  <c r="I391" i="11"/>
  <c r="J391" i="11"/>
  <c r="K391" i="11" s="1"/>
  <c r="L391" i="11" s="1"/>
  <c r="M391" i="11" s="1"/>
  <c r="H392" i="11"/>
  <c r="I392" i="11"/>
  <c r="J392" i="11"/>
  <c r="K392" i="11" s="1"/>
  <c r="L392" i="11" s="1"/>
  <c r="M392" i="11" s="1"/>
  <c r="H393" i="11"/>
  <c r="I393" i="11"/>
  <c r="J393" i="11"/>
  <c r="K393" i="11" s="1"/>
  <c r="L393" i="11" s="1"/>
  <c r="M393" i="11" s="1"/>
  <c r="H394" i="11"/>
  <c r="I394" i="11"/>
  <c r="J394" i="11"/>
  <c r="K394" i="11" s="1"/>
  <c r="L394" i="11" s="1"/>
  <c r="M394" i="11" s="1"/>
  <c r="H395" i="11"/>
  <c r="I395" i="11" s="1"/>
  <c r="J395" i="11"/>
  <c r="K395" i="11" s="1"/>
  <c r="L395" i="11" s="1"/>
  <c r="M395" i="11" s="1"/>
  <c r="H396" i="11"/>
  <c r="I396" i="11"/>
  <c r="J396" i="11"/>
  <c r="K396" i="11" s="1"/>
  <c r="L396" i="11" s="1"/>
  <c r="M396" i="11" s="1"/>
  <c r="H397" i="11"/>
  <c r="I397" i="11"/>
  <c r="J397" i="11"/>
  <c r="K397" i="11" s="1"/>
  <c r="L397" i="11" s="1"/>
  <c r="M397" i="11" s="1"/>
  <c r="H398" i="11"/>
  <c r="I398" i="11"/>
  <c r="J398" i="11"/>
  <c r="K398" i="11" s="1"/>
  <c r="L398" i="11" s="1"/>
  <c r="M398" i="11" s="1"/>
  <c r="H399" i="11"/>
  <c r="I399" i="11" s="1"/>
  <c r="J399" i="11"/>
  <c r="K399" i="11" s="1"/>
  <c r="L399" i="11" s="1"/>
  <c r="M399" i="11" s="1"/>
  <c r="H400" i="11"/>
  <c r="I400" i="11"/>
  <c r="J400" i="11"/>
  <c r="K400" i="11" s="1"/>
  <c r="L400" i="11" s="1"/>
  <c r="M400" i="11" s="1"/>
  <c r="H401" i="11"/>
  <c r="I401" i="11"/>
  <c r="J401" i="11"/>
  <c r="K401" i="11" s="1"/>
  <c r="L401" i="11" s="1"/>
  <c r="M401" i="11" s="1"/>
  <c r="H402" i="11"/>
  <c r="I402" i="11"/>
  <c r="J402" i="11"/>
  <c r="K402" i="11" s="1"/>
  <c r="L402" i="11" s="1"/>
  <c r="M402" i="11" s="1"/>
  <c r="H403" i="11"/>
  <c r="I403" i="11" s="1"/>
  <c r="J403" i="11"/>
  <c r="K403" i="11" s="1"/>
  <c r="L403" i="11" s="1"/>
  <c r="M403" i="11" s="1"/>
  <c r="H404" i="11"/>
  <c r="I404" i="11"/>
  <c r="J404" i="11"/>
  <c r="K404" i="11" s="1"/>
  <c r="L404" i="11" s="1"/>
  <c r="M404" i="11" s="1"/>
  <c r="H405" i="11"/>
  <c r="I405" i="11"/>
  <c r="J405" i="11"/>
  <c r="K405" i="11" s="1"/>
  <c r="L405" i="11" s="1"/>
  <c r="M405" i="11" s="1"/>
  <c r="H406" i="11"/>
  <c r="I406" i="11" s="1"/>
  <c r="J406" i="11"/>
  <c r="K406" i="11" s="1"/>
  <c r="L406" i="11" s="1"/>
  <c r="M406" i="11" s="1"/>
  <c r="H407" i="11"/>
  <c r="I407" i="11" s="1"/>
  <c r="J407" i="11"/>
  <c r="K407" i="11" s="1"/>
  <c r="L407" i="11" s="1"/>
  <c r="M407" i="11" s="1"/>
  <c r="H408" i="11"/>
  <c r="I408" i="11"/>
  <c r="J408" i="11"/>
  <c r="K408" i="11" s="1"/>
  <c r="L408" i="11" s="1"/>
  <c r="M408" i="11" s="1"/>
  <c r="H409" i="11"/>
  <c r="I409" i="11"/>
  <c r="J409" i="11"/>
  <c r="K409" i="11" s="1"/>
  <c r="L409" i="11" s="1"/>
  <c r="M409" i="11" s="1"/>
  <c r="H410" i="11"/>
  <c r="I410" i="11" s="1"/>
  <c r="J410" i="11"/>
  <c r="K410" i="11" s="1"/>
  <c r="L410" i="11" s="1"/>
  <c r="M410" i="11" s="1"/>
  <c r="H411" i="11"/>
  <c r="I411" i="11" s="1"/>
  <c r="J411" i="11"/>
  <c r="K411" i="11" s="1"/>
  <c r="L411" i="11" s="1"/>
  <c r="M411" i="11" s="1"/>
  <c r="H412" i="11"/>
  <c r="I412" i="11"/>
  <c r="J412" i="11"/>
  <c r="K412" i="11" s="1"/>
  <c r="L412" i="11" s="1"/>
  <c r="M412" i="11" s="1"/>
  <c r="H413" i="11"/>
  <c r="I413" i="11"/>
  <c r="J413" i="11"/>
  <c r="K413" i="11" s="1"/>
  <c r="L413" i="11" s="1"/>
  <c r="M413" i="11" s="1"/>
  <c r="H414" i="11"/>
  <c r="I414" i="11"/>
  <c r="J414" i="11"/>
  <c r="K414" i="11" s="1"/>
  <c r="L414" i="11" s="1"/>
  <c r="M414" i="11" s="1"/>
  <c r="H415" i="11"/>
  <c r="I415" i="11" s="1"/>
  <c r="J415" i="11"/>
  <c r="K415" i="11" s="1"/>
  <c r="L415" i="11" s="1"/>
  <c r="M415" i="11" s="1"/>
  <c r="H416" i="11"/>
  <c r="I416" i="11"/>
  <c r="J416" i="11"/>
  <c r="K416" i="11" s="1"/>
  <c r="L416" i="11" s="1"/>
  <c r="M416" i="11" s="1"/>
  <c r="H417" i="11"/>
  <c r="I417" i="11"/>
  <c r="J417" i="11"/>
  <c r="K417" i="11" s="1"/>
  <c r="L417" i="11" s="1"/>
  <c r="M417" i="11" s="1"/>
  <c r="H418" i="11"/>
  <c r="I418" i="11"/>
  <c r="J418" i="11"/>
  <c r="K418" i="11" s="1"/>
  <c r="L418" i="11" s="1"/>
  <c r="M418" i="11" s="1"/>
  <c r="H419" i="11"/>
  <c r="I419" i="11"/>
  <c r="J419" i="11"/>
  <c r="K419" i="11" s="1"/>
  <c r="L419" i="11" s="1"/>
  <c r="M419" i="11" s="1"/>
  <c r="H420" i="11"/>
  <c r="I420" i="11"/>
  <c r="J420" i="11"/>
  <c r="K420" i="11" s="1"/>
  <c r="L420" i="11" s="1"/>
  <c r="M420" i="11" s="1"/>
  <c r="H421" i="11"/>
  <c r="I421" i="11"/>
  <c r="J421" i="11"/>
  <c r="K421" i="11" s="1"/>
  <c r="L421" i="11" s="1"/>
  <c r="M421" i="11" s="1"/>
  <c r="H422" i="11"/>
  <c r="I422" i="11"/>
  <c r="J422" i="11"/>
  <c r="K422" i="11" s="1"/>
  <c r="L422" i="11" s="1"/>
  <c r="M422" i="11" s="1"/>
  <c r="H423" i="11"/>
  <c r="I423" i="11" s="1"/>
  <c r="J423" i="11"/>
  <c r="K423" i="11" s="1"/>
  <c r="L423" i="11" s="1"/>
  <c r="M423" i="11" s="1"/>
  <c r="H424" i="11"/>
  <c r="I424" i="11"/>
  <c r="J424" i="11"/>
  <c r="K424" i="11" s="1"/>
  <c r="L424" i="11" s="1"/>
  <c r="M424" i="11" s="1"/>
  <c r="H425" i="11"/>
  <c r="I425" i="11"/>
  <c r="J425" i="11"/>
  <c r="K425" i="11" s="1"/>
  <c r="L425" i="11" s="1"/>
  <c r="M425" i="11" s="1"/>
  <c r="H426" i="11"/>
  <c r="I426" i="11" s="1"/>
  <c r="J426" i="11"/>
  <c r="K426" i="11" s="1"/>
  <c r="L426" i="11" s="1"/>
  <c r="M426" i="11" s="1"/>
  <c r="H427" i="11"/>
  <c r="I427" i="11" s="1"/>
  <c r="J427" i="11"/>
  <c r="K427" i="11" s="1"/>
  <c r="L427" i="11" s="1"/>
  <c r="M427" i="11" s="1"/>
  <c r="H428" i="11"/>
  <c r="I428" i="11" s="1"/>
  <c r="J428" i="11"/>
  <c r="K428" i="11" s="1"/>
  <c r="L428" i="11" s="1"/>
  <c r="M428" i="11" s="1"/>
  <c r="H429" i="11"/>
  <c r="I429" i="11"/>
  <c r="J429" i="11"/>
  <c r="K429" i="11"/>
  <c r="L429" i="11" s="1"/>
  <c r="M429" i="11" s="1"/>
  <c r="H430" i="11"/>
  <c r="I430" i="11"/>
  <c r="J430" i="11"/>
  <c r="K430" i="11" s="1"/>
  <c r="L430" i="11" s="1"/>
  <c r="M430" i="11" s="1"/>
  <c r="H431" i="11"/>
  <c r="I431" i="11"/>
  <c r="J431" i="11"/>
  <c r="K431" i="11" s="1"/>
  <c r="L431" i="11" s="1"/>
  <c r="M431" i="11" s="1"/>
  <c r="H432" i="11"/>
  <c r="I432" i="11"/>
  <c r="J432" i="11"/>
  <c r="K432" i="11" s="1"/>
  <c r="L432" i="11"/>
  <c r="M432" i="11" s="1"/>
  <c r="H433" i="11"/>
  <c r="I433" i="11"/>
  <c r="J433" i="11"/>
  <c r="K433" i="11" s="1"/>
  <c r="L433" i="11" s="1"/>
  <c r="M433" i="11" s="1"/>
  <c r="H434" i="11"/>
  <c r="I434" i="11" s="1"/>
  <c r="J434" i="11"/>
  <c r="K434" i="11"/>
  <c r="L434" i="11" s="1"/>
  <c r="M434" i="11" s="1"/>
  <c r="H435" i="11"/>
  <c r="I435" i="11" s="1"/>
  <c r="J435" i="11"/>
  <c r="K435" i="11" s="1"/>
  <c r="L435" i="11" s="1"/>
  <c r="M435" i="11" s="1"/>
  <c r="H436" i="11"/>
  <c r="I436" i="11"/>
  <c r="J436" i="11"/>
  <c r="K436" i="11" s="1"/>
  <c r="L436" i="11" s="1"/>
  <c r="M436" i="11" s="1"/>
  <c r="H437" i="11"/>
  <c r="I437" i="11"/>
  <c r="J437" i="11"/>
  <c r="K437" i="11" s="1"/>
  <c r="L437" i="11" s="1"/>
  <c r="M437" i="11" s="1"/>
  <c r="H438" i="11"/>
  <c r="I438" i="11"/>
  <c r="J438" i="11"/>
  <c r="K438" i="11" s="1"/>
  <c r="L438" i="11" s="1"/>
  <c r="M438" i="11" s="1"/>
  <c r="H439" i="11"/>
  <c r="I439" i="11" s="1"/>
  <c r="J439" i="11"/>
  <c r="K439" i="11" s="1"/>
  <c r="L439" i="11" s="1"/>
  <c r="M439" i="11" s="1"/>
  <c r="H440" i="11"/>
  <c r="I440" i="11"/>
  <c r="J440" i="11"/>
  <c r="K440" i="11" s="1"/>
  <c r="L440" i="11" s="1"/>
  <c r="M440" i="11" s="1"/>
  <c r="H441" i="11"/>
  <c r="I441" i="11"/>
  <c r="J441" i="11"/>
  <c r="K441" i="11" s="1"/>
  <c r="L441" i="11" s="1"/>
  <c r="M441" i="11" s="1"/>
  <c r="H442" i="11"/>
  <c r="I442" i="11" s="1"/>
  <c r="J442" i="11"/>
  <c r="K442" i="11" s="1"/>
  <c r="L442" i="11" s="1"/>
  <c r="M442" i="11" s="1"/>
  <c r="H443" i="11"/>
  <c r="I443" i="11"/>
  <c r="J443" i="11"/>
  <c r="K443" i="11" s="1"/>
  <c r="L443" i="11" s="1"/>
  <c r="M443" i="11" s="1"/>
  <c r="H444" i="11"/>
  <c r="I444" i="11" s="1"/>
  <c r="J444" i="11"/>
  <c r="K444" i="11" s="1"/>
  <c r="L444" i="11" s="1"/>
  <c r="M444" i="11" s="1"/>
  <c r="H445" i="11"/>
  <c r="I445" i="11"/>
  <c r="J445" i="11"/>
  <c r="K445" i="11" s="1"/>
  <c r="L445" i="11" s="1"/>
  <c r="M445" i="11" s="1"/>
  <c r="H446" i="11"/>
  <c r="I446" i="11" s="1"/>
  <c r="J446" i="11"/>
  <c r="K446" i="11" s="1"/>
  <c r="L446" i="11" s="1"/>
  <c r="M446" i="11" s="1"/>
  <c r="H447" i="11"/>
  <c r="I447" i="11" s="1"/>
  <c r="J447" i="11"/>
  <c r="K447" i="11" s="1"/>
  <c r="L447" i="11" s="1"/>
  <c r="M447" i="11" s="1"/>
  <c r="H448" i="11"/>
  <c r="I448" i="11"/>
  <c r="J448" i="11"/>
  <c r="K448" i="11" s="1"/>
  <c r="L448" i="11" s="1"/>
  <c r="M448" i="11" s="1"/>
  <c r="H449" i="11"/>
  <c r="I449" i="11"/>
  <c r="J449" i="11"/>
  <c r="K449" i="11" s="1"/>
  <c r="L449" i="11" s="1"/>
  <c r="M449" i="11" s="1"/>
  <c r="H450" i="11"/>
  <c r="I450" i="11" s="1"/>
  <c r="J450" i="11"/>
  <c r="K450" i="11" s="1"/>
  <c r="L450" i="11" s="1"/>
  <c r="M450" i="11" s="1"/>
  <c r="H451" i="11"/>
  <c r="I451" i="11"/>
  <c r="J451" i="11"/>
  <c r="K451" i="11" s="1"/>
  <c r="L451" i="11" s="1"/>
  <c r="M451" i="11" s="1"/>
  <c r="H452" i="11"/>
  <c r="I452" i="11"/>
  <c r="J452" i="11"/>
  <c r="K452" i="11" s="1"/>
  <c r="L452" i="11" s="1"/>
  <c r="M452" i="11" s="1"/>
  <c r="H453" i="11"/>
  <c r="I453" i="11"/>
  <c r="J453" i="11"/>
  <c r="K453" i="11" s="1"/>
  <c r="L453" i="11" s="1"/>
  <c r="M453" i="11" s="1"/>
  <c r="H454" i="11"/>
  <c r="I454" i="11" s="1"/>
  <c r="J454" i="11"/>
  <c r="K454" i="11" s="1"/>
  <c r="L454" i="11" s="1"/>
  <c r="M454" i="11" s="1"/>
  <c r="H455" i="11"/>
  <c r="I455" i="11"/>
  <c r="J455" i="11"/>
  <c r="K455" i="11" s="1"/>
  <c r="L455" i="11" s="1"/>
  <c r="M455" i="11" s="1"/>
  <c r="H456" i="11"/>
  <c r="I456" i="11"/>
  <c r="J456" i="11"/>
  <c r="K456" i="11" s="1"/>
  <c r="L456" i="11" s="1"/>
  <c r="M456" i="11" s="1"/>
  <c r="H457" i="11"/>
  <c r="I457" i="11" s="1"/>
  <c r="J457" i="11"/>
  <c r="K457" i="11" s="1"/>
  <c r="L457" i="11" s="1"/>
  <c r="M457" i="11" s="1"/>
  <c r="H458" i="11"/>
  <c r="I458" i="11" s="1"/>
  <c r="J458" i="11"/>
  <c r="K458" i="11" s="1"/>
  <c r="L458" i="11" s="1"/>
  <c r="M458" i="11" s="1"/>
  <c r="H459" i="11"/>
  <c r="I459" i="11"/>
  <c r="J459" i="11"/>
  <c r="K459" i="11" s="1"/>
  <c r="L459" i="11" s="1"/>
  <c r="M459" i="11" s="1"/>
  <c r="H460" i="11"/>
  <c r="I460" i="11" s="1"/>
  <c r="J460" i="11"/>
  <c r="K460" i="11" s="1"/>
  <c r="L460" i="11" s="1"/>
  <c r="M460" i="11" s="1"/>
  <c r="H461" i="11"/>
  <c r="I461" i="11"/>
  <c r="J461" i="11"/>
  <c r="K461" i="11" s="1"/>
  <c r="L461" i="11" s="1"/>
  <c r="M461" i="11" s="1"/>
  <c r="H462" i="11"/>
  <c r="I462" i="11" s="1"/>
  <c r="J462" i="11"/>
  <c r="K462" i="11" s="1"/>
  <c r="L462" i="11" s="1"/>
  <c r="M462" i="11" s="1"/>
  <c r="H463" i="11"/>
  <c r="I463" i="11" s="1"/>
  <c r="J463" i="11"/>
  <c r="K463" i="11" s="1"/>
  <c r="L463" i="11" s="1"/>
  <c r="M463" i="11" s="1"/>
  <c r="H464" i="11"/>
  <c r="I464" i="11"/>
  <c r="J464" i="11"/>
  <c r="K464" i="11" s="1"/>
  <c r="L464" i="11" s="1"/>
  <c r="M464" i="11" s="1"/>
  <c r="H465" i="11"/>
  <c r="I465" i="11" s="1"/>
  <c r="J465" i="11"/>
  <c r="K465" i="11" s="1"/>
  <c r="L465" i="11" s="1"/>
  <c r="M465" i="11" s="1"/>
  <c r="H466" i="11"/>
  <c r="I466" i="11" s="1"/>
  <c r="J466" i="11"/>
  <c r="K466" i="11" s="1"/>
  <c r="L466" i="11" s="1"/>
  <c r="M466" i="11" s="1"/>
  <c r="H467" i="11"/>
  <c r="I467" i="11"/>
  <c r="J467" i="11"/>
  <c r="K467" i="11" s="1"/>
  <c r="L467" i="11" s="1"/>
  <c r="M467" i="11" s="1"/>
  <c r="H468" i="11"/>
  <c r="I468" i="11" s="1"/>
  <c r="J468" i="11"/>
  <c r="K468" i="11" s="1"/>
  <c r="L468" i="11" s="1"/>
  <c r="M468" i="11" s="1"/>
  <c r="H469" i="11"/>
  <c r="I469" i="11"/>
  <c r="J469" i="11"/>
  <c r="K469" i="11"/>
  <c r="L469" i="11" s="1"/>
  <c r="M469" i="11" s="1"/>
  <c r="H470" i="11"/>
  <c r="I470" i="11" s="1"/>
  <c r="J470" i="11"/>
  <c r="K470" i="11" s="1"/>
  <c r="L470" i="11" s="1"/>
  <c r="M470" i="11" s="1"/>
  <c r="H471" i="11"/>
  <c r="I471" i="11" s="1"/>
  <c r="J471" i="11"/>
  <c r="K471" i="11" s="1"/>
  <c r="L471" i="11" s="1"/>
  <c r="M471" i="11" s="1"/>
  <c r="H472" i="11"/>
  <c r="I472" i="11"/>
  <c r="J472" i="11"/>
  <c r="K472" i="11" s="1"/>
  <c r="L472" i="11" s="1"/>
  <c r="M472" i="11" s="1"/>
  <c r="H473" i="11"/>
  <c r="I473" i="11" s="1"/>
  <c r="J473" i="11"/>
  <c r="K473" i="11" s="1"/>
  <c r="L473" i="11" s="1"/>
  <c r="M473" i="11" s="1"/>
  <c r="H474" i="11"/>
  <c r="I474" i="11" s="1"/>
  <c r="J474" i="11"/>
  <c r="K474" i="11" s="1"/>
  <c r="L474" i="11" s="1"/>
  <c r="M474" i="11" s="1"/>
  <c r="H475" i="11"/>
  <c r="I475" i="11"/>
  <c r="J475" i="11"/>
  <c r="K475" i="11" s="1"/>
  <c r="L475" i="11" s="1"/>
  <c r="M475" i="11" s="1"/>
  <c r="H476" i="11"/>
  <c r="I476" i="11" s="1"/>
  <c r="J476" i="11"/>
  <c r="K476" i="11"/>
  <c r="L476" i="11" s="1"/>
  <c r="M476" i="11" s="1"/>
  <c r="H477" i="11"/>
  <c r="I477" i="11"/>
  <c r="J477" i="11"/>
  <c r="K477" i="11" s="1"/>
  <c r="L477" i="11" s="1"/>
  <c r="M477" i="11" s="1"/>
  <c r="H478" i="11"/>
  <c r="I478" i="11" s="1"/>
  <c r="J478" i="11"/>
  <c r="K478" i="11" s="1"/>
  <c r="L478" i="11" s="1"/>
  <c r="M478" i="11" s="1"/>
  <c r="H479" i="11"/>
  <c r="I479" i="11" s="1"/>
  <c r="J479" i="11"/>
  <c r="K479" i="11" s="1"/>
  <c r="L479" i="11" s="1"/>
  <c r="M479" i="11" s="1"/>
  <c r="H480" i="11"/>
  <c r="I480" i="11"/>
  <c r="J480" i="11"/>
  <c r="K480" i="11" s="1"/>
  <c r="L480" i="11" s="1"/>
  <c r="M480" i="11" s="1"/>
  <c r="H481" i="11"/>
  <c r="I481" i="11"/>
  <c r="J481" i="11"/>
  <c r="K481" i="11" s="1"/>
  <c r="L481" i="11" s="1"/>
  <c r="M481" i="11" s="1"/>
  <c r="H482" i="11"/>
  <c r="I482" i="11" s="1"/>
  <c r="J482" i="11"/>
  <c r="K482" i="11" s="1"/>
  <c r="L482" i="11" s="1"/>
  <c r="M482" i="11" s="1"/>
  <c r="H483" i="11"/>
  <c r="I483" i="11"/>
  <c r="J483" i="11"/>
  <c r="K483" i="11" s="1"/>
  <c r="L483" i="11" s="1"/>
  <c r="M483" i="11" s="1"/>
  <c r="H484" i="11"/>
  <c r="I484" i="11"/>
  <c r="J484" i="11"/>
  <c r="K484" i="11" s="1"/>
  <c r="L484" i="11" s="1"/>
  <c r="M484" i="11" s="1"/>
  <c r="H485" i="11"/>
  <c r="I485" i="11"/>
  <c r="J485" i="11"/>
  <c r="K485" i="11" s="1"/>
  <c r="L485" i="11" s="1"/>
  <c r="M485" i="11" s="1"/>
  <c r="H486" i="11"/>
  <c r="I486" i="11" s="1"/>
  <c r="J486" i="11"/>
  <c r="K486" i="11" s="1"/>
  <c r="L486" i="11" s="1"/>
  <c r="M486" i="11" s="1"/>
  <c r="H487" i="11"/>
  <c r="I487" i="11"/>
  <c r="J487" i="11"/>
  <c r="K487" i="11" s="1"/>
  <c r="L487" i="11" s="1"/>
  <c r="M487" i="11" s="1"/>
  <c r="H488" i="11"/>
  <c r="I488" i="11"/>
  <c r="J488" i="11"/>
  <c r="K488" i="11" s="1"/>
  <c r="L488" i="11" s="1"/>
  <c r="M488" i="11" s="1"/>
  <c r="H489" i="11"/>
  <c r="I489" i="11"/>
  <c r="J489" i="11"/>
  <c r="K489" i="11" s="1"/>
  <c r="L489" i="11" s="1"/>
  <c r="M489" i="11" s="1"/>
  <c r="H490" i="11"/>
  <c r="I490" i="11"/>
  <c r="J490" i="11"/>
  <c r="K490" i="11" s="1"/>
  <c r="L490" i="11" s="1"/>
  <c r="M490" i="11" s="1"/>
  <c r="H491" i="11"/>
  <c r="I491" i="11"/>
  <c r="J491" i="11"/>
  <c r="K491" i="11" s="1"/>
  <c r="L491" i="11" s="1"/>
  <c r="M491" i="11" s="1"/>
  <c r="H492" i="11"/>
  <c r="I492" i="11"/>
  <c r="J492" i="11"/>
  <c r="K492" i="11" s="1"/>
  <c r="L492" i="11" s="1"/>
  <c r="M492" i="11" s="1"/>
  <c r="H493" i="11"/>
  <c r="I493" i="11"/>
  <c r="J493" i="11"/>
  <c r="K493" i="11" s="1"/>
  <c r="L493" i="11" s="1"/>
  <c r="M493" i="11" s="1"/>
  <c r="H494" i="11"/>
  <c r="I494" i="11"/>
  <c r="J494" i="11"/>
  <c r="K494" i="11" s="1"/>
  <c r="L494" i="11" s="1"/>
  <c r="M494" i="11" s="1"/>
  <c r="H495" i="11"/>
  <c r="I495" i="11"/>
  <c r="J495" i="11"/>
  <c r="K495" i="11" s="1"/>
  <c r="L495" i="11" s="1"/>
  <c r="M495" i="11" s="1"/>
  <c r="H496" i="11"/>
  <c r="I496" i="11"/>
  <c r="J496" i="11"/>
  <c r="K496" i="11" s="1"/>
  <c r="L496" i="11" s="1"/>
  <c r="M496" i="11" s="1"/>
  <c r="H497" i="11"/>
  <c r="I497" i="11"/>
  <c r="J497" i="11"/>
  <c r="K497" i="11" s="1"/>
  <c r="L497" i="11" s="1"/>
  <c r="M497" i="11" s="1"/>
  <c r="H498" i="11"/>
  <c r="I498" i="11"/>
  <c r="J498" i="11"/>
  <c r="K498" i="11" s="1"/>
  <c r="L498" i="11" s="1"/>
  <c r="M498" i="11" s="1"/>
  <c r="H499" i="11"/>
  <c r="I499" i="11"/>
  <c r="J499" i="11"/>
  <c r="K499" i="11" s="1"/>
  <c r="L499" i="11" s="1"/>
  <c r="M499" i="11" s="1"/>
  <c r="H500" i="11"/>
  <c r="I500" i="11"/>
  <c r="J500" i="11"/>
  <c r="K500" i="11" s="1"/>
  <c r="L500" i="11" s="1"/>
  <c r="M500" i="11" s="1"/>
  <c r="H501" i="11"/>
  <c r="I501" i="11"/>
  <c r="J501" i="11"/>
  <c r="K501" i="11" s="1"/>
  <c r="L501" i="11" s="1"/>
  <c r="M501" i="11" s="1"/>
  <c r="H502" i="11"/>
  <c r="I502" i="11"/>
  <c r="J502" i="11"/>
  <c r="K502" i="11" s="1"/>
  <c r="L502" i="11" s="1"/>
  <c r="M502" i="11" s="1"/>
  <c r="H503" i="11"/>
  <c r="I503" i="11"/>
  <c r="J503" i="11"/>
  <c r="K503" i="11" s="1"/>
  <c r="L503" i="11" s="1"/>
  <c r="M503" i="11" s="1"/>
  <c r="H504" i="11"/>
  <c r="I504" i="11"/>
  <c r="J504" i="11"/>
  <c r="K504" i="11" s="1"/>
  <c r="L504" i="11" s="1"/>
  <c r="M504" i="11" s="1"/>
  <c r="H505" i="11"/>
  <c r="I505" i="11"/>
  <c r="J505" i="11"/>
  <c r="K505" i="11" s="1"/>
  <c r="L505" i="11" s="1"/>
  <c r="M505" i="11" s="1"/>
  <c r="H506" i="11"/>
  <c r="I506" i="11"/>
  <c r="J506" i="11"/>
  <c r="K506" i="11" s="1"/>
  <c r="L506" i="11" s="1"/>
  <c r="M506" i="11" s="1"/>
  <c r="H507" i="11"/>
  <c r="I507" i="11"/>
  <c r="J507" i="11"/>
  <c r="K507" i="11" s="1"/>
  <c r="L507" i="11" s="1"/>
  <c r="M507" i="11" s="1"/>
  <c r="H508" i="11"/>
  <c r="I508" i="11"/>
  <c r="J508" i="11"/>
  <c r="K508" i="11" s="1"/>
  <c r="L508" i="11" s="1"/>
  <c r="M508" i="11" s="1"/>
  <c r="H509" i="11"/>
  <c r="I509" i="11"/>
  <c r="J509" i="11"/>
  <c r="K509" i="11" s="1"/>
  <c r="L509" i="11" s="1"/>
  <c r="M509" i="11" s="1"/>
  <c r="H510" i="11"/>
  <c r="I510" i="11"/>
  <c r="J510" i="11"/>
  <c r="K510" i="11" s="1"/>
  <c r="L510" i="11" s="1"/>
  <c r="M510" i="11" s="1"/>
  <c r="H511" i="11"/>
  <c r="I511" i="11"/>
  <c r="J511" i="11"/>
  <c r="K511" i="11" s="1"/>
  <c r="L511" i="11" s="1"/>
  <c r="M511" i="11" s="1"/>
  <c r="H512" i="11"/>
  <c r="I512" i="11"/>
  <c r="J512" i="11"/>
  <c r="K512" i="11" s="1"/>
  <c r="L512" i="11" s="1"/>
  <c r="M512" i="11" s="1"/>
  <c r="H513" i="11"/>
  <c r="I513" i="11"/>
  <c r="J513" i="11"/>
  <c r="K513" i="11" s="1"/>
  <c r="L513" i="11" s="1"/>
  <c r="M513" i="11" s="1"/>
  <c r="H514" i="11"/>
  <c r="I514" i="11"/>
  <c r="J514" i="11"/>
  <c r="K514" i="11" s="1"/>
  <c r="L514" i="11" s="1"/>
  <c r="M514" i="11" s="1"/>
  <c r="H515" i="11"/>
  <c r="I515" i="11"/>
  <c r="J515" i="11"/>
  <c r="K515" i="11" s="1"/>
  <c r="L515" i="11" s="1"/>
  <c r="M515" i="11" s="1"/>
  <c r="H516" i="11"/>
  <c r="I516" i="11"/>
  <c r="J516" i="11"/>
  <c r="K516" i="11" s="1"/>
  <c r="L516" i="11" s="1"/>
  <c r="M516" i="11" s="1"/>
  <c r="H517" i="11"/>
  <c r="I517" i="11"/>
  <c r="J517" i="11"/>
  <c r="K517" i="11" s="1"/>
  <c r="L517" i="11" s="1"/>
  <c r="M517" i="11" s="1"/>
  <c r="H518" i="11"/>
  <c r="I518" i="11"/>
  <c r="J518" i="11"/>
  <c r="K518" i="11" s="1"/>
  <c r="L518" i="11" s="1"/>
  <c r="M518" i="11" s="1"/>
  <c r="H519" i="11"/>
  <c r="I519" i="11"/>
  <c r="J519" i="11"/>
  <c r="K519" i="11"/>
  <c r="L519" i="11" s="1"/>
  <c r="M519" i="11" s="1"/>
  <c r="H520" i="11"/>
  <c r="I520" i="11"/>
  <c r="J520" i="11"/>
  <c r="K520" i="11" s="1"/>
  <c r="L520" i="11" s="1"/>
  <c r="M520" i="11" s="1"/>
  <c r="H521" i="11"/>
  <c r="I521" i="11"/>
  <c r="J521" i="11"/>
  <c r="K521" i="11" s="1"/>
  <c r="L521" i="11" s="1"/>
  <c r="M521" i="11" s="1"/>
  <c r="H522" i="11"/>
  <c r="I522" i="11"/>
  <c r="J522" i="11"/>
  <c r="K522" i="11" s="1"/>
  <c r="L522" i="11" s="1"/>
  <c r="M522" i="11" s="1"/>
  <c r="H523" i="11"/>
  <c r="I523" i="11"/>
  <c r="J523" i="11"/>
  <c r="K523" i="11" s="1"/>
  <c r="L523" i="11" s="1"/>
  <c r="M523" i="11" s="1"/>
  <c r="H524" i="11"/>
  <c r="I524" i="11"/>
  <c r="J524" i="11"/>
  <c r="K524" i="11" s="1"/>
  <c r="L524" i="11" s="1"/>
  <c r="M524" i="11" s="1"/>
  <c r="H525" i="11"/>
  <c r="I525" i="11"/>
  <c r="J525" i="11"/>
  <c r="K525" i="11" s="1"/>
  <c r="L525" i="11" s="1"/>
  <c r="M525" i="11" s="1"/>
  <c r="H526" i="11"/>
  <c r="I526" i="11"/>
  <c r="J526" i="11"/>
  <c r="K526" i="11" s="1"/>
  <c r="L526" i="11" s="1"/>
  <c r="M526" i="11" s="1"/>
  <c r="H527" i="11"/>
  <c r="I527" i="11"/>
  <c r="J527" i="11"/>
  <c r="K527" i="11" s="1"/>
  <c r="L527" i="11" s="1"/>
  <c r="M527" i="11" s="1"/>
  <c r="H528" i="11"/>
  <c r="I528" i="11"/>
  <c r="J528" i="11"/>
  <c r="K528" i="11" s="1"/>
  <c r="L528" i="11" s="1"/>
  <c r="M528" i="11" s="1"/>
  <c r="H529" i="11"/>
  <c r="I529" i="11"/>
  <c r="J529" i="11"/>
  <c r="K529" i="11" s="1"/>
  <c r="L529" i="11" s="1"/>
  <c r="M529" i="11" s="1"/>
  <c r="H530" i="11"/>
  <c r="I530" i="11"/>
  <c r="J530" i="11"/>
  <c r="K530" i="11" s="1"/>
  <c r="L530" i="11" s="1"/>
  <c r="M530" i="11" s="1"/>
  <c r="H531" i="11"/>
  <c r="I531" i="11"/>
  <c r="J531" i="11"/>
  <c r="K531" i="11" s="1"/>
  <c r="L531" i="11" s="1"/>
  <c r="M531" i="11" s="1"/>
  <c r="H532" i="11"/>
  <c r="I532" i="11"/>
  <c r="J532" i="11"/>
  <c r="K532" i="11" s="1"/>
  <c r="L532" i="11" s="1"/>
  <c r="M532" i="11" s="1"/>
  <c r="H533" i="11"/>
  <c r="I533" i="11"/>
  <c r="J533" i="11"/>
  <c r="K533" i="11" s="1"/>
  <c r="L533" i="11" s="1"/>
  <c r="M533" i="11" s="1"/>
  <c r="H534" i="11"/>
  <c r="I534" i="11"/>
  <c r="J534" i="11"/>
  <c r="K534" i="11" s="1"/>
  <c r="L534" i="11" s="1"/>
  <c r="M534" i="11" s="1"/>
  <c r="H535" i="11"/>
  <c r="I535" i="11"/>
  <c r="J535" i="11"/>
  <c r="K535" i="11" s="1"/>
  <c r="L535" i="11" s="1"/>
  <c r="M535" i="11" s="1"/>
  <c r="H536" i="11"/>
  <c r="I536" i="11"/>
  <c r="J536" i="11"/>
  <c r="K536" i="11" s="1"/>
  <c r="L536" i="11" s="1"/>
  <c r="M536" i="11" s="1"/>
  <c r="H537" i="11"/>
  <c r="I537" i="11"/>
  <c r="J537" i="11"/>
  <c r="K537" i="11" s="1"/>
  <c r="L537" i="11" s="1"/>
  <c r="M537" i="11" s="1"/>
  <c r="H538" i="11"/>
  <c r="I538" i="11"/>
  <c r="J538" i="11"/>
  <c r="K538" i="11" s="1"/>
  <c r="L538" i="11" s="1"/>
  <c r="M538" i="11" s="1"/>
  <c r="H539" i="11"/>
  <c r="I539" i="11"/>
  <c r="J539" i="11"/>
  <c r="K539" i="11" s="1"/>
  <c r="L539" i="11" s="1"/>
  <c r="M539" i="11" s="1"/>
  <c r="H540" i="11"/>
  <c r="I540" i="11"/>
  <c r="J540" i="11"/>
  <c r="K540" i="11" s="1"/>
  <c r="L540" i="11" s="1"/>
  <c r="M540" i="11" s="1"/>
  <c r="H541" i="11"/>
  <c r="I541" i="11"/>
  <c r="J541" i="11"/>
  <c r="K541" i="11" s="1"/>
  <c r="L541" i="11" s="1"/>
  <c r="M541" i="11" s="1"/>
  <c r="H542" i="11"/>
  <c r="I542" i="11"/>
  <c r="J542" i="11"/>
  <c r="K542" i="11" s="1"/>
  <c r="L542" i="11" s="1"/>
  <c r="M542" i="11" s="1"/>
  <c r="H543" i="11"/>
  <c r="I543" i="11"/>
  <c r="J543" i="11"/>
  <c r="K543" i="11" s="1"/>
  <c r="L543" i="11" s="1"/>
  <c r="M543" i="11" s="1"/>
  <c r="H544" i="11"/>
  <c r="I544" i="11"/>
  <c r="J544" i="11"/>
  <c r="K544" i="11" s="1"/>
  <c r="L544" i="11" s="1"/>
  <c r="M544" i="11" s="1"/>
  <c r="H545" i="11"/>
  <c r="I545" i="11"/>
  <c r="J545" i="11"/>
  <c r="K545" i="11" s="1"/>
  <c r="L545" i="11" s="1"/>
  <c r="M545" i="11" s="1"/>
  <c r="H546" i="11"/>
  <c r="I546" i="11"/>
  <c r="J546" i="11"/>
  <c r="K546" i="11" s="1"/>
  <c r="L546" i="11" s="1"/>
  <c r="M546" i="11" s="1"/>
  <c r="H547" i="11"/>
  <c r="I547" i="11"/>
  <c r="J547" i="11"/>
  <c r="K547" i="11" s="1"/>
  <c r="L547" i="11" s="1"/>
  <c r="M547" i="11" s="1"/>
  <c r="H548" i="11"/>
  <c r="I548" i="11"/>
  <c r="J548" i="11"/>
  <c r="K548" i="11" s="1"/>
  <c r="L548" i="11" s="1"/>
  <c r="M548" i="11" s="1"/>
  <c r="H549" i="11"/>
  <c r="I549" i="11"/>
  <c r="J549" i="11"/>
  <c r="K549" i="11" s="1"/>
  <c r="L549" i="11" s="1"/>
  <c r="M549" i="11" s="1"/>
  <c r="H550" i="11"/>
  <c r="I550" i="11"/>
  <c r="J550" i="11"/>
  <c r="K550" i="11" s="1"/>
  <c r="L550" i="11" s="1"/>
  <c r="M550" i="11" s="1"/>
  <c r="H551" i="11"/>
  <c r="I551" i="11"/>
  <c r="J551" i="11"/>
  <c r="K551" i="11" s="1"/>
  <c r="L551" i="11" s="1"/>
  <c r="M551" i="11" s="1"/>
  <c r="H552" i="11"/>
  <c r="I552" i="11"/>
  <c r="J552" i="11"/>
  <c r="K552" i="11" s="1"/>
  <c r="L552" i="11" s="1"/>
  <c r="M552" i="11" s="1"/>
  <c r="H553" i="11"/>
  <c r="I553" i="11"/>
  <c r="J553" i="11"/>
  <c r="K553" i="11" s="1"/>
  <c r="L553" i="11" s="1"/>
  <c r="M553" i="11" s="1"/>
  <c r="H554" i="11"/>
  <c r="I554" i="11"/>
  <c r="J554" i="11"/>
  <c r="K554" i="11" s="1"/>
  <c r="L554" i="11" s="1"/>
  <c r="M554" i="11" s="1"/>
  <c r="H555" i="11"/>
  <c r="I555" i="11"/>
  <c r="J555" i="11"/>
  <c r="K555" i="11" s="1"/>
  <c r="L555" i="11" s="1"/>
  <c r="M555" i="11" s="1"/>
  <c r="H556" i="11"/>
  <c r="I556" i="11"/>
  <c r="J556" i="11"/>
  <c r="K556" i="11" s="1"/>
  <c r="L556" i="11" s="1"/>
  <c r="M556" i="11" s="1"/>
  <c r="H557" i="11"/>
  <c r="I557" i="11"/>
  <c r="J557" i="11"/>
  <c r="K557" i="11" s="1"/>
  <c r="L557" i="11" s="1"/>
  <c r="M557" i="11" s="1"/>
  <c r="H558" i="11"/>
  <c r="I558" i="11"/>
  <c r="J558" i="11"/>
  <c r="K558" i="11" s="1"/>
  <c r="L558" i="11" s="1"/>
  <c r="M558" i="11" s="1"/>
  <c r="H559" i="11"/>
  <c r="I559" i="11"/>
  <c r="J559" i="11"/>
  <c r="K559" i="11" s="1"/>
  <c r="L559" i="11" s="1"/>
  <c r="M559" i="11" s="1"/>
  <c r="H560" i="11"/>
  <c r="I560" i="11"/>
  <c r="J560" i="11"/>
  <c r="K560" i="11" s="1"/>
  <c r="L560" i="11" s="1"/>
  <c r="M560" i="11" s="1"/>
  <c r="H561" i="11"/>
  <c r="I561" i="11"/>
  <c r="J561" i="11"/>
  <c r="K561" i="11" s="1"/>
  <c r="L561" i="11" s="1"/>
  <c r="M561" i="11" s="1"/>
  <c r="H562" i="11"/>
  <c r="I562" i="11"/>
  <c r="J562" i="11"/>
  <c r="K562" i="11" s="1"/>
  <c r="L562" i="11" s="1"/>
  <c r="M562" i="11" s="1"/>
  <c r="H563" i="11"/>
  <c r="I563" i="11"/>
  <c r="J563" i="11"/>
  <c r="K563" i="11" s="1"/>
  <c r="L563" i="11" s="1"/>
  <c r="M563" i="11" s="1"/>
  <c r="H564" i="11"/>
  <c r="I564" i="11"/>
  <c r="J564" i="11"/>
  <c r="K564" i="11" s="1"/>
  <c r="L564" i="11" s="1"/>
  <c r="M564" i="11" s="1"/>
  <c r="H565" i="11"/>
  <c r="I565" i="11"/>
  <c r="J565" i="11"/>
  <c r="K565" i="11" s="1"/>
  <c r="L565" i="11" s="1"/>
  <c r="M565" i="11" s="1"/>
  <c r="H566" i="11"/>
  <c r="I566" i="11"/>
  <c r="J566" i="11"/>
  <c r="K566" i="11" s="1"/>
  <c r="L566" i="11" s="1"/>
  <c r="M566" i="11" s="1"/>
  <c r="H567" i="11"/>
  <c r="I567" i="11"/>
  <c r="J567" i="11"/>
  <c r="K567" i="11" s="1"/>
  <c r="L567" i="11" s="1"/>
  <c r="M567" i="11" s="1"/>
  <c r="H568" i="11"/>
  <c r="I568" i="11"/>
  <c r="J568" i="11"/>
  <c r="K568" i="11" s="1"/>
  <c r="L568" i="11" s="1"/>
  <c r="M568" i="11" s="1"/>
  <c r="H569" i="11"/>
  <c r="I569" i="11"/>
  <c r="J569" i="11"/>
  <c r="K569" i="11"/>
  <c r="L569" i="11" s="1"/>
  <c r="M569" i="11" s="1"/>
  <c r="H570" i="11"/>
  <c r="I570" i="11"/>
  <c r="J570" i="11"/>
  <c r="K570" i="11" s="1"/>
  <c r="L570" i="11" s="1"/>
  <c r="M570" i="11" s="1"/>
  <c r="H571" i="11"/>
  <c r="I571" i="11"/>
  <c r="J571" i="11"/>
  <c r="K571" i="11" s="1"/>
  <c r="L571" i="11" s="1"/>
  <c r="M571" i="11" s="1"/>
  <c r="H572" i="11"/>
  <c r="I572" i="11"/>
  <c r="J572" i="11"/>
  <c r="K572" i="11" s="1"/>
  <c r="L572" i="11" s="1"/>
  <c r="M572" i="11" s="1"/>
  <c r="H573" i="11"/>
  <c r="I573" i="11"/>
  <c r="J573" i="11"/>
  <c r="K573" i="11" s="1"/>
  <c r="L573" i="11" s="1"/>
  <c r="M573" i="11" s="1"/>
  <c r="H574" i="11"/>
  <c r="I574" i="11"/>
  <c r="J574" i="11"/>
  <c r="K574" i="11" s="1"/>
  <c r="L574" i="11" s="1"/>
  <c r="M574" i="11" s="1"/>
  <c r="H575" i="11"/>
  <c r="I575" i="11"/>
  <c r="J575" i="11"/>
  <c r="K575" i="11" s="1"/>
  <c r="L575" i="11" s="1"/>
  <c r="M575" i="11" s="1"/>
  <c r="H576" i="11"/>
  <c r="I576" i="11"/>
  <c r="J576" i="11"/>
  <c r="K576" i="11" s="1"/>
  <c r="L576" i="11" s="1"/>
  <c r="M576" i="11" s="1"/>
  <c r="H577" i="11"/>
  <c r="I577" i="11"/>
  <c r="J577" i="11"/>
  <c r="K577" i="11" s="1"/>
  <c r="L577" i="11" s="1"/>
  <c r="M577" i="11" s="1"/>
  <c r="H578" i="11"/>
  <c r="I578" i="11" s="1"/>
  <c r="J578" i="11"/>
  <c r="K578" i="11" s="1"/>
  <c r="L578" i="11" s="1"/>
  <c r="M578" i="11" s="1"/>
  <c r="H579" i="11"/>
  <c r="I579" i="11"/>
  <c r="J579" i="11"/>
  <c r="K579" i="11" s="1"/>
  <c r="L579" i="11" s="1"/>
  <c r="M579" i="11" s="1"/>
  <c r="H580" i="11"/>
  <c r="I580" i="11"/>
  <c r="J580" i="11"/>
  <c r="K580" i="11" s="1"/>
  <c r="L580" i="11" s="1"/>
  <c r="M580" i="11" s="1"/>
  <c r="H581" i="11"/>
  <c r="I581" i="11"/>
  <c r="J581" i="11"/>
  <c r="K581" i="11" s="1"/>
  <c r="L581" i="11" s="1"/>
  <c r="M581" i="11" s="1"/>
  <c r="H582" i="11"/>
  <c r="I582" i="11"/>
  <c r="J582" i="11"/>
  <c r="K582" i="11"/>
  <c r="L582" i="11" s="1"/>
  <c r="M582" i="11" s="1"/>
  <c r="H583" i="11"/>
  <c r="I583" i="11"/>
  <c r="J583" i="11"/>
  <c r="K583" i="11" s="1"/>
  <c r="L583" i="11" s="1"/>
  <c r="M583" i="11" s="1"/>
  <c r="H584" i="11"/>
  <c r="I584" i="11"/>
  <c r="J584" i="11"/>
  <c r="K584" i="11" s="1"/>
  <c r="L584" i="11" s="1"/>
  <c r="M584" i="11" s="1"/>
  <c r="H585" i="11"/>
  <c r="I585" i="11"/>
  <c r="J585" i="11"/>
  <c r="K585" i="11" s="1"/>
  <c r="L585" i="11" s="1"/>
  <c r="M585" i="11" s="1"/>
  <c r="H586" i="11"/>
  <c r="I586" i="11" s="1"/>
  <c r="J586" i="11"/>
  <c r="K586" i="11" s="1"/>
  <c r="L586" i="11" s="1"/>
  <c r="M586" i="11" s="1"/>
  <c r="H587" i="11"/>
  <c r="I587" i="11"/>
  <c r="J587" i="11"/>
  <c r="K587" i="11" s="1"/>
  <c r="L587" i="11" s="1"/>
  <c r="M587" i="11" s="1"/>
  <c r="H588" i="11"/>
  <c r="I588" i="11"/>
  <c r="J588" i="11"/>
  <c r="K588" i="11"/>
  <c r="L588" i="11" s="1"/>
  <c r="M588" i="11" s="1"/>
  <c r="H589" i="11"/>
  <c r="I589" i="11"/>
  <c r="J589" i="11"/>
  <c r="K589" i="11" s="1"/>
  <c r="L589" i="11" s="1"/>
  <c r="M589" i="11" s="1"/>
  <c r="H590" i="11"/>
  <c r="I590" i="11"/>
  <c r="J590" i="11"/>
  <c r="K590" i="11" s="1"/>
  <c r="L590" i="11" s="1"/>
  <c r="M590" i="11" s="1"/>
  <c r="H591" i="11"/>
  <c r="I591" i="11"/>
  <c r="J591" i="11"/>
  <c r="K591" i="11" s="1"/>
  <c r="L591" i="11" s="1"/>
  <c r="M591" i="11" s="1"/>
  <c r="H592" i="11"/>
  <c r="I592" i="11"/>
  <c r="J592" i="11"/>
  <c r="K592" i="11" s="1"/>
  <c r="L592" i="11" s="1"/>
  <c r="M592" i="11" s="1"/>
  <c r="H593" i="11"/>
  <c r="I593" i="11"/>
  <c r="J593" i="11"/>
  <c r="K593" i="11" s="1"/>
  <c r="L593" i="11" s="1"/>
  <c r="M593" i="11" s="1"/>
  <c r="H594" i="11"/>
  <c r="I594" i="11" s="1"/>
  <c r="J594" i="11"/>
  <c r="K594" i="11" s="1"/>
  <c r="L594" i="11" s="1"/>
  <c r="M594" i="11" s="1"/>
  <c r="H595" i="11"/>
  <c r="I595" i="11"/>
  <c r="J595" i="11"/>
  <c r="K595" i="11" s="1"/>
  <c r="L595" i="11" s="1"/>
  <c r="M595" i="11" s="1"/>
  <c r="H596" i="11"/>
  <c r="I596" i="11"/>
  <c r="J596" i="11"/>
  <c r="K596" i="11" s="1"/>
  <c r="L596" i="11" s="1"/>
  <c r="M596" i="11" s="1"/>
  <c r="H597" i="11"/>
  <c r="I597" i="11"/>
  <c r="J597" i="11"/>
  <c r="K597" i="11" s="1"/>
  <c r="L597" i="11" s="1"/>
  <c r="M597" i="11" s="1"/>
  <c r="H598" i="11"/>
  <c r="I598" i="11"/>
  <c r="J598" i="11"/>
  <c r="K598" i="11" s="1"/>
  <c r="L598" i="11" s="1"/>
  <c r="M598" i="11" s="1"/>
  <c r="H599" i="11"/>
  <c r="I599" i="11"/>
  <c r="J599" i="11"/>
  <c r="K599" i="11" s="1"/>
  <c r="L599" i="11" s="1"/>
  <c r="M599" i="11" s="1"/>
  <c r="H600" i="11"/>
  <c r="I600" i="11"/>
  <c r="J600" i="11"/>
  <c r="K600" i="11" s="1"/>
  <c r="L600" i="11" s="1"/>
  <c r="M600" i="11" s="1"/>
  <c r="H601" i="11"/>
  <c r="I601" i="11"/>
  <c r="J601" i="11"/>
  <c r="K601" i="11" s="1"/>
  <c r="L601" i="11" s="1"/>
  <c r="M601" i="11" s="1"/>
  <c r="H602" i="11"/>
  <c r="I602" i="11" s="1"/>
  <c r="J602" i="11"/>
  <c r="K602" i="11" s="1"/>
  <c r="L602" i="11" s="1"/>
  <c r="M602" i="11" s="1"/>
  <c r="H603" i="11"/>
  <c r="I603" i="11"/>
  <c r="J603" i="11"/>
  <c r="K603" i="11" s="1"/>
  <c r="L603" i="11" s="1"/>
  <c r="M603" i="11" s="1"/>
  <c r="H604" i="11"/>
  <c r="I604" i="11"/>
  <c r="J604" i="11"/>
  <c r="K604" i="11" s="1"/>
  <c r="L604" i="11" s="1"/>
  <c r="M604" i="11" s="1"/>
  <c r="H605" i="11"/>
  <c r="I605" i="11"/>
  <c r="J605" i="11"/>
  <c r="K605" i="11" s="1"/>
  <c r="L605" i="11" s="1"/>
  <c r="M605" i="11" s="1"/>
  <c r="H606" i="11"/>
  <c r="I606" i="11"/>
  <c r="J606" i="11"/>
  <c r="K606" i="11" s="1"/>
  <c r="L606" i="11" s="1"/>
  <c r="M606" i="11" s="1"/>
  <c r="H607" i="11"/>
  <c r="I607" i="11"/>
  <c r="J607" i="11"/>
  <c r="K607" i="11" s="1"/>
  <c r="L607" i="11" s="1"/>
  <c r="M607" i="11" s="1"/>
  <c r="H608" i="11"/>
  <c r="I608" i="11"/>
  <c r="J608" i="11"/>
  <c r="K608" i="11" s="1"/>
  <c r="L608" i="11" s="1"/>
  <c r="M608" i="11" s="1"/>
  <c r="H609" i="11"/>
  <c r="I609" i="11"/>
  <c r="J609" i="11"/>
  <c r="K609" i="11" s="1"/>
  <c r="L609" i="11" s="1"/>
  <c r="M609" i="11" s="1"/>
  <c r="H610" i="11"/>
  <c r="I610" i="11" s="1"/>
  <c r="J610" i="11"/>
  <c r="K610" i="11" s="1"/>
  <c r="L610" i="11" s="1"/>
  <c r="M610" i="11" s="1"/>
  <c r="H611" i="11"/>
  <c r="I611" i="11"/>
  <c r="J611" i="11"/>
  <c r="K611" i="11" s="1"/>
  <c r="L611" i="11" s="1"/>
  <c r="M611" i="11" s="1"/>
  <c r="H612" i="11"/>
  <c r="I612" i="11"/>
  <c r="J612" i="11"/>
  <c r="K612" i="11" s="1"/>
  <c r="L612" i="11" s="1"/>
  <c r="M612" i="11" s="1"/>
  <c r="H613" i="11"/>
  <c r="I613" i="11"/>
  <c r="J613" i="11"/>
  <c r="K613" i="11" s="1"/>
  <c r="L613" i="11" s="1"/>
  <c r="M613" i="11" s="1"/>
  <c r="H614" i="11"/>
  <c r="I614" i="11"/>
  <c r="J614" i="11"/>
  <c r="K614" i="11" s="1"/>
  <c r="L614" i="11" s="1"/>
  <c r="M614" i="11" s="1"/>
  <c r="H615" i="11"/>
  <c r="I615" i="11"/>
  <c r="J615" i="11"/>
  <c r="K615" i="11" s="1"/>
  <c r="L615" i="11" s="1"/>
  <c r="M615" i="11" s="1"/>
  <c r="H616" i="11"/>
  <c r="I616" i="11"/>
  <c r="J616" i="11"/>
  <c r="K616" i="11" s="1"/>
  <c r="L616" i="11" s="1"/>
  <c r="M616" i="11" s="1"/>
  <c r="H617" i="11"/>
  <c r="I617" i="11"/>
  <c r="J617" i="11"/>
  <c r="K617" i="11" s="1"/>
  <c r="L617" i="11" s="1"/>
  <c r="M617" i="11" s="1"/>
  <c r="H618" i="11"/>
  <c r="I618" i="11" s="1"/>
  <c r="J618" i="11"/>
  <c r="K618" i="11" s="1"/>
  <c r="L618" i="11" s="1"/>
  <c r="M618" i="11" s="1"/>
  <c r="H619" i="11"/>
  <c r="I619" i="11"/>
  <c r="J619" i="11"/>
  <c r="K619" i="11" s="1"/>
  <c r="L619" i="11" s="1"/>
  <c r="M619" i="11" s="1"/>
  <c r="H620" i="11"/>
  <c r="I620" i="11"/>
  <c r="J620" i="11"/>
  <c r="K620" i="11" s="1"/>
  <c r="L620" i="11" s="1"/>
  <c r="M620" i="11" s="1"/>
  <c r="H621" i="11"/>
  <c r="I621" i="11"/>
  <c r="J621" i="11"/>
  <c r="K621" i="11" s="1"/>
  <c r="L621" i="11" s="1"/>
  <c r="M621" i="11" s="1"/>
  <c r="H622" i="11"/>
  <c r="I622" i="11"/>
  <c r="J622" i="11"/>
  <c r="K622" i="11" s="1"/>
  <c r="L622" i="11" s="1"/>
  <c r="M622" i="11" s="1"/>
  <c r="H623" i="11"/>
  <c r="I623" i="11"/>
  <c r="J623" i="11"/>
  <c r="K623" i="11" s="1"/>
  <c r="L623" i="11" s="1"/>
  <c r="M623" i="11" s="1"/>
  <c r="H624" i="11"/>
  <c r="I624" i="11"/>
  <c r="J624" i="11"/>
  <c r="K624" i="11" s="1"/>
  <c r="L624" i="11" s="1"/>
  <c r="M624" i="11" s="1"/>
  <c r="H625" i="11"/>
  <c r="I625" i="11"/>
  <c r="J625" i="11"/>
  <c r="K625" i="11" s="1"/>
  <c r="L625" i="11" s="1"/>
  <c r="M625" i="11" s="1"/>
  <c r="H626" i="11"/>
  <c r="I626" i="11" s="1"/>
  <c r="J626" i="11"/>
  <c r="K626" i="11" s="1"/>
  <c r="L626" i="11" s="1"/>
  <c r="M626" i="11" s="1"/>
  <c r="H627" i="11"/>
  <c r="I627" i="11"/>
  <c r="J627" i="11"/>
  <c r="K627" i="11" s="1"/>
  <c r="L627" i="11" s="1"/>
  <c r="M627" i="11" s="1"/>
  <c r="H628" i="11"/>
  <c r="I628" i="11"/>
  <c r="J628" i="11"/>
  <c r="K628" i="11" s="1"/>
  <c r="L628" i="11" s="1"/>
  <c r="M628" i="11" s="1"/>
  <c r="H629" i="11"/>
  <c r="I629" i="11"/>
  <c r="J629" i="11"/>
  <c r="K629" i="11" s="1"/>
  <c r="L629" i="11" s="1"/>
  <c r="M629" i="11" s="1"/>
  <c r="H630" i="11"/>
  <c r="I630" i="11"/>
  <c r="J630" i="11"/>
  <c r="K630" i="11" s="1"/>
  <c r="L630" i="11" s="1"/>
  <c r="M630" i="11" s="1"/>
  <c r="H631" i="11"/>
  <c r="I631" i="11"/>
  <c r="J631" i="11"/>
  <c r="K631" i="11" s="1"/>
  <c r="L631" i="11" s="1"/>
  <c r="M631" i="11" s="1"/>
  <c r="H632" i="11"/>
  <c r="I632" i="11"/>
  <c r="J632" i="11"/>
  <c r="K632" i="11" s="1"/>
  <c r="L632" i="11" s="1"/>
  <c r="M632" i="11" s="1"/>
  <c r="H633" i="11"/>
  <c r="I633" i="11"/>
  <c r="J633" i="11"/>
  <c r="K633" i="11" s="1"/>
  <c r="L633" i="11" s="1"/>
  <c r="M633" i="11" s="1"/>
  <c r="H634" i="11"/>
  <c r="I634" i="11" s="1"/>
  <c r="J634" i="11"/>
  <c r="K634" i="11" s="1"/>
  <c r="L634" i="11" s="1"/>
  <c r="M634" i="11" s="1"/>
  <c r="H635" i="11"/>
  <c r="I635" i="11"/>
  <c r="J635" i="11"/>
  <c r="K635" i="11" s="1"/>
  <c r="L635" i="11" s="1"/>
  <c r="M635" i="11" s="1"/>
  <c r="H636" i="11"/>
  <c r="I636" i="11"/>
  <c r="J636" i="11"/>
  <c r="K636" i="11" s="1"/>
  <c r="L636" i="11" s="1"/>
  <c r="M636" i="11" s="1"/>
  <c r="H637" i="11"/>
  <c r="I637" i="11"/>
  <c r="J637" i="11"/>
  <c r="K637" i="11" s="1"/>
  <c r="L637" i="11" s="1"/>
  <c r="M637" i="11" s="1"/>
  <c r="H638" i="11"/>
  <c r="I638" i="11"/>
  <c r="J638" i="11"/>
  <c r="K638" i="11" s="1"/>
  <c r="L638" i="11" s="1"/>
  <c r="M638" i="11" s="1"/>
  <c r="H639" i="11"/>
  <c r="I639" i="11"/>
  <c r="J639" i="11"/>
  <c r="K639" i="11" s="1"/>
  <c r="L639" i="11" s="1"/>
  <c r="M639" i="11" s="1"/>
  <c r="H640" i="11"/>
  <c r="I640" i="11"/>
  <c r="J640" i="11"/>
  <c r="K640" i="11" s="1"/>
  <c r="L640" i="11" s="1"/>
  <c r="M640" i="11" s="1"/>
  <c r="H641" i="11"/>
  <c r="I641" i="11"/>
  <c r="J641" i="11"/>
  <c r="K641" i="11" s="1"/>
  <c r="L641" i="11" s="1"/>
  <c r="M641" i="11" s="1"/>
  <c r="H642" i="11"/>
  <c r="I642" i="11" s="1"/>
  <c r="J642" i="11"/>
  <c r="K642" i="11" s="1"/>
  <c r="L642" i="11" s="1"/>
  <c r="M642" i="11" s="1"/>
  <c r="H643" i="11"/>
  <c r="I643" i="11"/>
  <c r="J643" i="11"/>
  <c r="K643" i="11" s="1"/>
  <c r="L643" i="11" s="1"/>
  <c r="M643" i="11" s="1"/>
  <c r="H644" i="11"/>
  <c r="I644" i="11"/>
  <c r="J644" i="11"/>
  <c r="K644" i="11" s="1"/>
  <c r="L644" i="11" s="1"/>
  <c r="M644" i="11" s="1"/>
  <c r="H645" i="11"/>
  <c r="I645" i="11"/>
  <c r="J645" i="11"/>
  <c r="K645" i="11" s="1"/>
  <c r="L645" i="11" s="1"/>
  <c r="M645" i="11" s="1"/>
  <c r="H646" i="11"/>
  <c r="I646" i="11"/>
  <c r="J646" i="11"/>
  <c r="K646" i="11" s="1"/>
  <c r="L646" i="11" s="1"/>
  <c r="M646" i="11" s="1"/>
  <c r="H647" i="11"/>
  <c r="I647" i="11"/>
  <c r="J647" i="11"/>
  <c r="K647" i="11" s="1"/>
  <c r="L647" i="11" s="1"/>
  <c r="M647" i="11" s="1"/>
  <c r="H648" i="11"/>
  <c r="I648" i="11"/>
  <c r="J648" i="11"/>
  <c r="K648" i="11" s="1"/>
  <c r="L648" i="11" s="1"/>
  <c r="M648" i="11" s="1"/>
  <c r="H649" i="11"/>
  <c r="I649" i="11"/>
  <c r="J649" i="11"/>
  <c r="K649" i="11" s="1"/>
  <c r="L649" i="11" s="1"/>
  <c r="M649" i="11" s="1"/>
  <c r="H650" i="11"/>
  <c r="I650" i="11" s="1"/>
  <c r="J650" i="11"/>
  <c r="K650" i="11" s="1"/>
  <c r="L650" i="11" s="1"/>
  <c r="M650" i="11" s="1"/>
  <c r="H651" i="11"/>
  <c r="I651" i="11"/>
  <c r="J651" i="11"/>
  <c r="K651" i="11" s="1"/>
  <c r="L651" i="11" s="1"/>
  <c r="M651" i="11" s="1"/>
  <c r="H652" i="11"/>
  <c r="I652" i="11"/>
  <c r="J652" i="11"/>
  <c r="K652" i="11" s="1"/>
  <c r="L652" i="11" s="1"/>
  <c r="M652" i="11" s="1"/>
  <c r="H653" i="11"/>
  <c r="I653" i="11"/>
  <c r="J653" i="11"/>
  <c r="K653" i="11" s="1"/>
  <c r="L653" i="11" s="1"/>
  <c r="M653" i="11" s="1"/>
  <c r="H654" i="11"/>
  <c r="I654" i="11"/>
  <c r="J654" i="11"/>
  <c r="K654" i="11" s="1"/>
  <c r="L654" i="11" s="1"/>
  <c r="M654" i="11" s="1"/>
  <c r="H655" i="11"/>
  <c r="I655" i="11"/>
  <c r="J655" i="11"/>
  <c r="K655" i="11" s="1"/>
  <c r="L655" i="11" s="1"/>
  <c r="M655" i="11" s="1"/>
  <c r="H656" i="11"/>
  <c r="I656" i="11"/>
  <c r="J656" i="11"/>
  <c r="K656" i="11" s="1"/>
  <c r="L656" i="11" s="1"/>
  <c r="M656" i="11" s="1"/>
  <c r="H657" i="11"/>
  <c r="I657" i="11"/>
  <c r="J657" i="11"/>
  <c r="K657" i="11" s="1"/>
  <c r="L657" i="11" s="1"/>
  <c r="M657" i="11" s="1"/>
  <c r="H658" i="11"/>
  <c r="I658" i="11" s="1"/>
  <c r="J658" i="11"/>
  <c r="K658" i="11"/>
  <c r="L658" i="11" s="1"/>
  <c r="M658" i="11" s="1"/>
  <c r="H659" i="11"/>
  <c r="I659" i="11"/>
  <c r="J659" i="11"/>
  <c r="K659" i="11" s="1"/>
  <c r="L659" i="11" s="1"/>
  <c r="M659" i="11" s="1"/>
  <c r="H660" i="11"/>
  <c r="I660" i="11"/>
  <c r="J660" i="11"/>
  <c r="K660" i="11" s="1"/>
  <c r="L660" i="11" s="1"/>
  <c r="M660" i="11" s="1"/>
  <c r="H661" i="11"/>
  <c r="I661" i="11"/>
  <c r="J661" i="11"/>
  <c r="K661" i="11" s="1"/>
  <c r="L661" i="11" s="1"/>
  <c r="M661" i="11" s="1"/>
  <c r="H662" i="11"/>
  <c r="I662" i="11"/>
  <c r="J662" i="11"/>
  <c r="K662" i="11" s="1"/>
  <c r="L662" i="11" s="1"/>
  <c r="M662" i="11" s="1"/>
  <c r="H663" i="11"/>
  <c r="I663" i="11"/>
  <c r="J663" i="11"/>
  <c r="K663" i="11" s="1"/>
  <c r="L663" i="11" s="1"/>
  <c r="M663" i="11" s="1"/>
  <c r="H664" i="11"/>
  <c r="I664" i="11"/>
  <c r="J664" i="11"/>
  <c r="K664" i="11" s="1"/>
  <c r="L664" i="11" s="1"/>
  <c r="M664" i="11" s="1"/>
  <c r="H665" i="11"/>
  <c r="I665" i="11"/>
  <c r="J665" i="11"/>
  <c r="K665" i="11" s="1"/>
  <c r="L665" i="11" s="1"/>
  <c r="M665" i="11" s="1"/>
  <c r="H666" i="11"/>
  <c r="I666" i="11" s="1"/>
  <c r="J666" i="11"/>
  <c r="K666" i="11"/>
  <c r="L666" i="11" s="1"/>
  <c r="M666" i="11" s="1"/>
  <c r="H667" i="11"/>
  <c r="I667" i="11"/>
  <c r="J667" i="11"/>
  <c r="K667" i="11" s="1"/>
  <c r="L667" i="11" s="1"/>
  <c r="M667" i="11" s="1"/>
  <c r="H668" i="11"/>
  <c r="I668" i="11"/>
  <c r="J668" i="11"/>
  <c r="K668" i="11" s="1"/>
  <c r="L668" i="11" s="1"/>
  <c r="M668" i="11" s="1"/>
  <c r="H669" i="11"/>
  <c r="I669" i="11"/>
  <c r="J669" i="11"/>
  <c r="K669" i="11" s="1"/>
  <c r="L669" i="11" s="1"/>
  <c r="M669" i="11" s="1"/>
  <c r="H670" i="11"/>
  <c r="I670" i="11" s="1"/>
  <c r="J670" i="11"/>
  <c r="K670" i="11" s="1"/>
  <c r="L670" i="11" s="1"/>
  <c r="M670" i="11" s="1"/>
  <c r="H671" i="11"/>
  <c r="I671" i="11"/>
  <c r="J671" i="11"/>
  <c r="K671" i="11" s="1"/>
  <c r="L671" i="11" s="1"/>
  <c r="M671" i="11" s="1"/>
  <c r="H672" i="11"/>
  <c r="I672" i="11"/>
  <c r="J672" i="11"/>
  <c r="K672" i="11" s="1"/>
  <c r="L672" i="11" s="1"/>
  <c r="M672" i="11" s="1"/>
  <c r="H673" i="11"/>
  <c r="I673" i="11"/>
  <c r="J673" i="11"/>
  <c r="K673" i="11" s="1"/>
  <c r="L673" i="11" s="1"/>
  <c r="M673" i="11" s="1"/>
  <c r="H674" i="11"/>
  <c r="I674" i="11" s="1"/>
  <c r="J674" i="11"/>
  <c r="K674" i="11" s="1"/>
  <c r="L674" i="11" s="1"/>
  <c r="M674" i="11" s="1"/>
  <c r="H675" i="11"/>
  <c r="I675" i="11" s="1"/>
  <c r="J675" i="11"/>
  <c r="K675" i="11" s="1"/>
  <c r="L675" i="11" s="1"/>
  <c r="M675" i="11" s="1"/>
  <c r="H676" i="11"/>
  <c r="I676" i="11"/>
  <c r="J676" i="11"/>
  <c r="K676" i="11" s="1"/>
  <c r="L676" i="11" s="1"/>
  <c r="M676" i="11" s="1"/>
  <c r="H677" i="11"/>
  <c r="I677" i="11"/>
  <c r="J677" i="11"/>
  <c r="K677" i="11" s="1"/>
  <c r="L677" i="11" s="1"/>
  <c r="M677" i="11" s="1"/>
  <c r="H678" i="11"/>
  <c r="I678" i="11"/>
  <c r="J678" i="11"/>
  <c r="K678" i="11" s="1"/>
  <c r="L678" i="11" s="1"/>
  <c r="M678" i="11" s="1"/>
  <c r="H679" i="11"/>
  <c r="I679" i="11"/>
  <c r="J679" i="11"/>
  <c r="K679" i="11" s="1"/>
  <c r="L679" i="11" s="1"/>
  <c r="M679" i="11" s="1"/>
  <c r="H680" i="11"/>
  <c r="I680" i="11" s="1"/>
  <c r="J680" i="11"/>
  <c r="K680" i="11" s="1"/>
  <c r="L680" i="11" s="1"/>
  <c r="M680" i="11" s="1"/>
  <c r="H681" i="11"/>
  <c r="I681" i="11"/>
  <c r="J681" i="11"/>
  <c r="K681" i="11" s="1"/>
  <c r="L681" i="11" s="1"/>
  <c r="M681" i="11" s="1"/>
  <c r="H682" i="11"/>
  <c r="I682" i="11" s="1"/>
  <c r="J682" i="11"/>
  <c r="K682" i="11" s="1"/>
  <c r="L682" i="11" s="1"/>
  <c r="M682" i="11" s="1"/>
  <c r="H683" i="11"/>
  <c r="I683" i="11" s="1"/>
  <c r="J683" i="11"/>
  <c r="K683" i="11" s="1"/>
  <c r="L683" i="11" s="1"/>
  <c r="M683" i="11" s="1"/>
  <c r="H684" i="11"/>
  <c r="I684" i="11" s="1"/>
  <c r="J684" i="11"/>
  <c r="K684" i="11" s="1"/>
  <c r="L684" i="11" s="1"/>
  <c r="M684" i="11" s="1"/>
  <c r="H685" i="11"/>
  <c r="I685" i="11" s="1"/>
  <c r="J685" i="11"/>
  <c r="K685" i="11" s="1"/>
  <c r="L685" i="11" s="1"/>
  <c r="M685" i="11" s="1"/>
  <c r="H686" i="11"/>
  <c r="I686" i="11" s="1"/>
  <c r="J686" i="11"/>
  <c r="K686" i="11" s="1"/>
  <c r="L686" i="11" s="1"/>
  <c r="M686" i="11" s="1"/>
  <c r="H687" i="11"/>
  <c r="I687" i="11" s="1"/>
  <c r="J687" i="11"/>
  <c r="K687" i="11" s="1"/>
  <c r="L687" i="11" s="1"/>
  <c r="M687" i="11" s="1"/>
  <c r="H688" i="11"/>
  <c r="I688" i="11" s="1"/>
  <c r="J688" i="11"/>
  <c r="K688" i="11" s="1"/>
  <c r="L688" i="11" s="1"/>
  <c r="M688" i="11" s="1"/>
  <c r="H689" i="11"/>
  <c r="I689" i="11" s="1"/>
  <c r="J689" i="11"/>
  <c r="K689" i="11" s="1"/>
  <c r="L689" i="11" s="1"/>
  <c r="M689" i="11" s="1"/>
  <c r="H690" i="11"/>
  <c r="I690" i="11" s="1"/>
  <c r="J690" i="11"/>
  <c r="K690" i="11" s="1"/>
  <c r="L690" i="11" s="1"/>
  <c r="M690" i="11" s="1"/>
  <c r="H691" i="11"/>
  <c r="I691" i="11" s="1"/>
  <c r="J691" i="11"/>
  <c r="K691" i="11" s="1"/>
  <c r="L691" i="11" s="1"/>
  <c r="M691" i="11" s="1"/>
  <c r="H692" i="11"/>
  <c r="I692" i="11" s="1"/>
  <c r="J692" i="11"/>
  <c r="K692" i="11" s="1"/>
  <c r="L692" i="11" s="1"/>
  <c r="M692" i="11" s="1"/>
  <c r="H693" i="11"/>
  <c r="I693" i="11" s="1"/>
  <c r="J693" i="11"/>
  <c r="K693" i="11" s="1"/>
  <c r="L693" i="11" s="1"/>
  <c r="M693" i="11" s="1"/>
  <c r="H694" i="11"/>
  <c r="I694" i="11" s="1"/>
  <c r="J694" i="11"/>
  <c r="K694" i="11" s="1"/>
  <c r="L694" i="11" s="1"/>
  <c r="M694" i="11" s="1"/>
  <c r="H695" i="11"/>
  <c r="I695" i="11" s="1"/>
  <c r="J695" i="11"/>
  <c r="K695" i="11" s="1"/>
  <c r="L695" i="11" s="1"/>
  <c r="M695" i="11" s="1"/>
  <c r="H696" i="11"/>
  <c r="I696" i="11" s="1"/>
  <c r="J696" i="11"/>
  <c r="K696" i="11" s="1"/>
  <c r="L696" i="11" s="1"/>
  <c r="M696" i="11" s="1"/>
  <c r="H697" i="11"/>
  <c r="I697" i="11" s="1"/>
  <c r="J697" i="11"/>
  <c r="K697" i="11" s="1"/>
  <c r="L697" i="11" s="1"/>
  <c r="M697" i="11" s="1"/>
  <c r="H698" i="11"/>
  <c r="I698" i="11" s="1"/>
  <c r="J698" i="11"/>
  <c r="K698" i="11" s="1"/>
  <c r="L698" i="11" s="1"/>
  <c r="M698" i="11" s="1"/>
  <c r="H699" i="11"/>
  <c r="I699" i="11" s="1"/>
  <c r="J699" i="11"/>
  <c r="K699" i="11" s="1"/>
  <c r="L699" i="11" s="1"/>
  <c r="M699" i="11" s="1"/>
  <c r="H700" i="11"/>
  <c r="I700" i="11" s="1"/>
  <c r="J700" i="11"/>
  <c r="K700" i="11" s="1"/>
  <c r="L700" i="11" s="1"/>
  <c r="M700" i="11" s="1"/>
  <c r="H701" i="11"/>
  <c r="I701" i="11" s="1"/>
  <c r="J701" i="11"/>
  <c r="K701" i="11" s="1"/>
  <c r="L701" i="11" s="1"/>
  <c r="M701" i="11" s="1"/>
  <c r="H702" i="11"/>
  <c r="I702" i="11" s="1"/>
  <c r="J702" i="11"/>
  <c r="K702" i="11" s="1"/>
  <c r="L702" i="11" s="1"/>
  <c r="M702" i="11" s="1"/>
  <c r="H703" i="11"/>
  <c r="I703" i="11" s="1"/>
  <c r="J703" i="11"/>
  <c r="K703" i="11" s="1"/>
  <c r="L703" i="11" s="1"/>
  <c r="M703" i="11" s="1"/>
  <c r="H704" i="11"/>
  <c r="I704" i="11" s="1"/>
  <c r="J704" i="11"/>
  <c r="K704" i="11" s="1"/>
  <c r="L704" i="11" s="1"/>
  <c r="M704" i="11" s="1"/>
  <c r="H705" i="11"/>
  <c r="I705" i="11" s="1"/>
  <c r="J705" i="11"/>
  <c r="K705" i="11" s="1"/>
  <c r="L705" i="11" s="1"/>
  <c r="M705" i="11" s="1"/>
  <c r="H706" i="11"/>
  <c r="I706" i="11" s="1"/>
  <c r="J706" i="11"/>
  <c r="K706" i="11" s="1"/>
  <c r="L706" i="11" s="1"/>
  <c r="M706" i="11" s="1"/>
  <c r="H707" i="11"/>
  <c r="I707" i="11" s="1"/>
  <c r="J707" i="11"/>
  <c r="K707" i="11" s="1"/>
  <c r="L707" i="11" s="1"/>
  <c r="M707" i="11" s="1"/>
  <c r="H708" i="11"/>
  <c r="I708" i="11" s="1"/>
  <c r="J708" i="11"/>
  <c r="K708" i="11" s="1"/>
  <c r="L708" i="11"/>
  <c r="M708" i="11" s="1"/>
  <c r="H709" i="11"/>
  <c r="I709" i="11" s="1"/>
  <c r="J709" i="11"/>
  <c r="K709" i="11" s="1"/>
  <c r="L709" i="11" s="1"/>
  <c r="M709" i="11" s="1"/>
  <c r="H710" i="11"/>
  <c r="I710" i="11" s="1"/>
  <c r="J710" i="11"/>
  <c r="K710" i="11" s="1"/>
  <c r="L710" i="11" s="1"/>
  <c r="M710" i="11" s="1"/>
  <c r="H711" i="11"/>
  <c r="I711" i="11" s="1"/>
  <c r="J711" i="11"/>
  <c r="K711" i="11" s="1"/>
  <c r="L711" i="11" s="1"/>
  <c r="M711" i="11" s="1"/>
  <c r="H712" i="11"/>
  <c r="I712" i="11" s="1"/>
  <c r="J712" i="11"/>
  <c r="K712" i="11" s="1"/>
  <c r="L712" i="11" s="1"/>
  <c r="M712" i="11" s="1"/>
  <c r="H713" i="11"/>
  <c r="I713" i="11" s="1"/>
  <c r="J713" i="11"/>
  <c r="K713" i="11" s="1"/>
  <c r="L713" i="11" s="1"/>
  <c r="M713" i="11" s="1"/>
  <c r="H714" i="11"/>
  <c r="I714" i="11" s="1"/>
  <c r="J714" i="11"/>
  <c r="K714" i="11" s="1"/>
  <c r="L714" i="11"/>
  <c r="M714" i="11" s="1"/>
  <c r="H715" i="11"/>
  <c r="I715" i="11" s="1"/>
  <c r="J715" i="11"/>
  <c r="K715" i="11" s="1"/>
  <c r="L715" i="11" s="1"/>
  <c r="M715" i="11" s="1"/>
  <c r="H716" i="11"/>
  <c r="I716" i="11" s="1"/>
  <c r="J716" i="11"/>
  <c r="K716" i="11" s="1"/>
  <c r="L716" i="11" s="1"/>
  <c r="M716" i="11" s="1"/>
  <c r="H717" i="11"/>
  <c r="I717" i="11" s="1"/>
  <c r="J717" i="11"/>
  <c r="K717" i="11" s="1"/>
  <c r="L717" i="11"/>
  <c r="M717" i="11" s="1"/>
  <c r="H718" i="11"/>
  <c r="I718" i="11" s="1"/>
  <c r="J718" i="11"/>
  <c r="K718" i="11" s="1"/>
  <c r="L718" i="11" s="1"/>
  <c r="M718" i="11" s="1"/>
  <c r="H719" i="11"/>
  <c r="I719" i="11" s="1"/>
  <c r="J719" i="11"/>
  <c r="K719" i="11" s="1"/>
  <c r="L719" i="11" s="1"/>
  <c r="M719" i="11" s="1"/>
  <c r="H720" i="11"/>
  <c r="I720" i="11" s="1"/>
  <c r="J720" i="11"/>
  <c r="K720" i="11" s="1"/>
  <c r="L720" i="11" s="1"/>
  <c r="M720" i="11" s="1"/>
  <c r="H721" i="11"/>
  <c r="I721" i="11" s="1"/>
  <c r="J721" i="11"/>
  <c r="K721" i="11" s="1"/>
  <c r="L721" i="11" s="1"/>
  <c r="M721" i="11" s="1"/>
  <c r="H722" i="11"/>
  <c r="I722" i="11" s="1"/>
  <c r="J722" i="11"/>
  <c r="K722" i="11" s="1"/>
  <c r="L722" i="11" s="1"/>
  <c r="M722" i="11" s="1"/>
  <c r="H723" i="11"/>
  <c r="I723" i="11" s="1"/>
  <c r="J723" i="11"/>
  <c r="K723" i="11" s="1"/>
  <c r="L723" i="11" s="1"/>
  <c r="M723" i="11" s="1"/>
  <c r="H724" i="11"/>
  <c r="I724" i="11" s="1"/>
  <c r="J724" i="11"/>
  <c r="K724" i="11" s="1"/>
  <c r="L724" i="11" s="1"/>
  <c r="M724" i="11" s="1"/>
  <c r="H725" i="11"/>
  <c r="I725" i="11" s="1"/>
  <c r="J725" i="11"/>
  <c r="K725" i="11" s="1"/>
  <c r="L725" i="11" s="1"/>
  <c r="M725" i="11" s="1"/>
  <c r="H726" i="11"/>
  <c r="I726" i="11" s="1"/>
  <c r="J726" i="11"/>
  <c r="K726" i="11" s="1"/>
  <c r="L726" i="11" s="1"/>
  <c r="M726" i="11" s="1"/>
  <c r="H727" i="11"/>
  <c r="I727" i="11" s="1"/>
  <c r="J727" i="11"/>
  <c r="K727" i="11" s="1"/>
  <c r="L727" i="11" s="1"/>
  <c r="M727" i="11" s="1"/>
  <c r="H728" i="11"/>
  <c r="I728" i="11" s="1"/>
  <c r="J728" i="11"/>
  <c r="K728" i="11" s="1"/>
  <c r="L728" i="11" s="1"/>
  <c r="M728" i="11" s="1"/>
  <c r="H729" i="11"/>
  <c r="I729" i="11" s="1"/>
  <c r="J729" i="11"/>
  <c r="K729" i="11" s="1"/>
  <c r="L729" i="11" s="1"/>
  <c r="M729" i="11" s="1"/>
  <c r="H730" i="11"/>
  <c r="I730" i="11" s="1"/>
  <c r="J730" i="11"/>
  <c r="K730" i="11" s="1"/>
  <c r="L730" i="11" s="1"/>
  <c r="M730" i="11" s="1"/>
  <c r="H731" i="11"/>
  <c r="I731" i="11" s="1"/>
  <c r="J731" i="11"/>
  <c r="K731" i="11" s="1"/>
  <c r="L731" i="11" s="1"/>
  <c r="M731" i="11" s="1"/>
  <c r="H732" i="11"/>
  <c r="I732" i="11" s="1"/>
  <c r="J732" i="11"/>
  <c r="K732" i="11" s="1"/>
  <c r="L732" i="11" s="1"/>
  <c r="M732" i="11" s="1"/>
  <c r="H733" i="11"/>
  <c r="I733" i="11" s="1"/>
  <c r="J733" i="11"/>
  <c r="K733" i="11" s="1"/>
  <c r="L733" i="11" s="1"/>
  <c r="M733" i="11" s="1"/>
  <c r="H734" i="11"/>
  <c r="I734" i="11" s="1"/>
  <c r="J734" i="11"/>
  <c r="K734" i="11" s="1"/>
  <c r="L734" i="11" s="1"/>
  <c r="M734" i="11" s="1"/>
  <c r="H735" i="11"/>
  <c r="I735" i="11" s="1"/>
  <c r="J735" i="11"/>
  <c r="K735" i="11" s="1"/>
  <c r="L735" i="11" s="1"/>
  <c r="M735" i="11" s="1"/>
  <c r="H736" i="11"/>
  <c r="I736" i="11" s="1"/>
  <c r="J736" i="11"/>
  <c r="K736" i="11" s="1"/>
  <c r="L736" i="11" s="1"/>
  <c r="M736" i="11" s="1"/>
  <c r="H737" i="11"/>
  <c r="I737" i="11" s="1"/>
  <c r="J737" i="11"/>
  <c r="K737" i="11" s="1"/>
  <c r="L737" i="11" s="1"/>
  <c r="M737" i="11" s="1"/>
  <c r="H738" i="11"/>
  <c r="I738" i="11" s="1"/>
  <c r="J738" i="11"/>
  <c r="K738" i="11" s="1"/>
  <c r="L738" i="11" s="1"/>
  <c r="M738" i="11" s="1"/>
  <c r="H739" i="11"/>
  <c r="I739" i="11"/>
  <c r="J739" i="11"/>
  <c r="K739" i="11" s="1"/>
  <c r="L739" i="11" s="1"/>
  <c r="M739" i="11" s="1"/>
  <c r="H740" i="11"/>
  <c r="I740" i="11" s="1"/>
  <c r="J740" i="11"/>
  <c r="K740" i="11" s="1"/>
  <c r="L740" i="11" s="1"/>
  <c r="M740" i="11" s="1"/>
  <c r="H741" i="11"/>
  <c r="I741" i="11" s="1"/>
  <c r="J741" i="11"/>
  <c r="K741" i="11" s="1"/>
  <c r="L741" i="11" s="1"/>
  <c r="M741" i="11" s="1"/>
  <c r="H742" i="11"/>
  <c r="I742" i="11" s="1"/>
  <c r="J742" i="11"/>
  <c r="K742" i="11" s="1"/>
  <c r="L742" i="11" s="1"/>
  <c r="M742" i="11" s="1"/>
  <c r="H743" i="11"/>
  <c r="I743" i="11"/>
  <c r="J743" i="11"/>
  <c r="K743" i="11" s="1"/>
  <c r="L743" i="11" s="1"/>
  <c r="M743" i="11" s="1"/>
  <c r="H744" i="11"/>
  <c r="I744" i="11" s="1"/>
  <c r="J744" i="11"/>
  <c r="K744" i="11" s="1"/>
  <c r="L744" i="11" s="1"/>
  <c r="M744" i="11" s="1"/>
  <c r="H745" i="11"/>
  <c r="I745" i="11" s="1"/>
  <c r="J745" i="11"/>
  <c r="K745" i="11" s="1"/>
  <c r="L745" i="11" s="1"/>
  <c r="M745" i="11" s="1"/>
  <c r="H746" i="11"/>
  <c r="I746" i="11" s="1"/>
  <c r="J746" i="11"/>
  <c r="K746" i="11" s="1"/>
  <c r="L746" i="11" s="1"/>
  <c r="M746" i="11" s="1"/>
  <c r="H747" i="11"/>
  <c r="I747" i="11"/>
  <c r="J747" i="11"/>
  <c r="K747" i="11" s="1"/>
  <c r="L747" i="11" s="1"/>
  <c r="M747" i="11" s="1"/>
  <c r="H748" i="11"/>
  <c r="I748" i="11" s="1"/>
  <c r="J748" i="11"/>
  <c r="K748" i="11" s="1"/>
  <c r="L748" i="11" s="1"/>
  <c r="M748" i="11" s="1"/>
  <c r="H749" i="11"/>
  <c r="I749" i="11" s="1"/>
  <c r="J749" i="11"/>
  <c r="K749" i="11" s="1"/>
  <c r="L749" i="11" s="1"/>
  <c r="M749" i="11" s="1"/>
  <c r="H750" i="11"/>
  <c r="I750" i="11"/>
  <c r="J750" i="11"/>
  <c r="K750" i="11" s="1"/>
  <c r="L750" i="11" s="1"/>
  <c r="M750" i="11" s="1"/>
  <c r="H751" i="11"/>
  <c r="I751" i="11"/>
  <c r="J751" i="11"/>
  <c r="K751" i="11" s="1"/>
  <c r="L751" i="11" s="1"/>
  <c r="M751" i="11" s="1"/>
  <c r="H752" i="11"/>
  <c r="I752" i="11" s="1"/>
  <c r="J752" i="11"/>
  <c r="K752" i="11" s="1"/>
  <c r="L752" i="11" s="1"/>
  <c r="M752" i="11" s="1"/>
  <c r="H753" i="11"/>
  <c r="I753" i="11" s="1"/>
  <c r="J753" i="11"/>
  <c r="K753" i="11" s="1"/>
  <c r="L753" i="11" s="1"/>
  <c r="M753" i="11" s="1"/>
  <c r="H754" i="11"/>
  <c r="I754" i="11" s="1"/>
  <c r="J754" i="11"/>
  <c r="K754" i="11" s="1"/>
  <c r="L754" i="11" s="1"/>
  <c r="M754" i="11" s="1"/>
  <c r="H755" i="11"/>
  <c r="I755" i="11" s="1"/>
  <c r="J755" i="11"/>
  <c r="K755" i="11" s="1"/>
  <c r="L755" i="11" s="1"/>
  <c r="M755" i="11" s="1"/>
  <c r="H756" i="11"/>
  <c r="I756" i="11" s="1"/>
  <c r="J756" i="11"/>
  <c r="K756" i="11" s="1"/>
  <c r="L756" i="11" s="1"/>
  <c r="M756" i="11" s="1"/>
  <c r="H757" i="11"/>
  <c r="I757" i="11" s="1"/>
  <c r="J757" i="11"/>
  <c r="K757" i="11" s="1"/>
  <c r="L757" i="11" s="1"/>
  <c r="M757" i="11" s="1"/>
  <c r="H758" i="11"/>
  <c r="I758" i="11"/>
  <c r="J758" i="11"/>
  <c r="K758" i="11" s="1"/>
  <c r="L758" i="11" s="1"/>
  <c r="M758" i="11" s="1"/>
  <c r="H759" i="11"/>
  <c r="I759" i="11"/>
  <c r="J759" i="11"/>
  <c r="K759" i="11" s="1"/>
  <c r="L759" i="11" s="1"/>
  <c r="M759" i="11" s="1"/>
  <c r="H760" i="11"/>
  <c r="I760" i="11" s="1"/>
  <c r="J760" i="11"/>
  <c r="K760" i="11" s="1"/>
  <c r="L760" i="11" s="1"/>
  <c r="M760" i="11" s="1"/>
  <c r="H761" i="11"/>
  <c r="I761" i="11" s="1"/>
  <c r="J761" i="11"/>
  <c r="K761" i="11" s="1"/>
  <c r="L761" i="11" s="1"/>
  <c r="M761" i="11" s="1"/>
  <c r="H762" i="11"/>
  <c r="I762" i="11" s="1"/>
  <c r="J762" i="11"/>
  <c r="K762" i="11" s="1"/>
  <c r="L762" i="11" s="1"/>
  <c r="M762" i="11" s="1"/>
  <c r="H763" i="11"/>
  <c r="I763" i="11" s="1"/>
  <c r="J763" i="11"/>
  <c r="K763" i="11" s="1"/>
  <c r="L763" i="11" s="1"/>
  <c r="M763" i="11" s="1"/>
  <c r="H764" i="11"/>
  <c r="I764" i="11" s="1"/>
  <c r="J764" i="11"/>
  <c r="K764" i="11" s="1"/>
  <c r="L764" i="11" s="1"/>
  <c r="M764" i="11" s="1"/>
  <c r="H765" i="11"/>
  <c r="I765" i="11" s="1"/>
  <c r="J765" i="11"/>
  <c r="K765" i="11" s="1"/>
  <c r="L765" i="11" s="1"/>
  <c r="M765" i="11" s="1"/>
  <c r="H766" i="11"/>
  <c r="I766" i="11"/>
  <c r="J766" i="11"/>
  <c r="K766" i="11" s="1"/>
  <c r="L766" i="11" s="1"/>
  <c r="M766" i="11" s="1"/>
  <c r="H767" i="11"/>
  <c r="I767" i="11"/>
  <c r="J767" i="11"/>
  <c r="K767" i="11" s="1"/>
  <c r="L767" i="11" s="1"/>
  <c r="M767" i="11" s="1"/>
  <c r="H768" i="11"/>
  <c r="I768" i="11" s="1"/>
  <c r="J768" i="11"/>
  <c r="K768" i="11" s="1"/>
  <c r="L768" i="11" s="1"/>
  <c r="M768" i="11" s="1"/>
  <c r="H769" i="11"/>
  <c r="I769" i="11" s="1"/>
  <c r="J769" i="11"/>
  <c r="K769" i="11" s="1"/>
  <c r="L769" i="11" s="1"/>
  <c r="M769" i="11" s="1"/>
  <c r="H770" i="11"/>
  <c r="I770" i="11" s="1"/>
  <c r="J770" i="11"/>
  <c r="K770" i="11" s="1"/>
  <c r="L770" i="11" s="1"/>
  <c r="M770" i="11" s="1"/>
  <c r="H771" i="11"/>
  <c r="I771" i="11" s="1"/>
  <c r="J771" i="11"/>
  <c r="K771" i="11" s="1"/>
  <c r="L771" i="11" s="1"/>
  <c r="M771" i="11" s="1"/>
  <c r="H772" i="11"/>
  <c r="I772" i="11" s="1"/>
  <c r="J772" i="11"/>
  <c r="K772" i="11" s="1"/>
  <c r="L772" i="11" s="1"/>
  <c r="M772" i="11" s="1"/>
  <c r="H773" i="11"/>
  <c r="I773" i="11" s="1"/>
  <c r="J773" i="11"/>
  <c r="K773" i="11" s="1"/>
  <c r="L773" i="11" s="1"/>
  <c r="M773" i="11" s="1"/>
  <c r="H774" i="11"/>
  <c r="I774" i="11"/>
  <c r="J774" i="11"/>
  <c r="K774" i="11" s="1"/>
  <c r="L774" i="11" s="1"/>
  <c r="M774" i="11" s="1"/>
  <c r="H775" i="11"/>
  <c r="I775" i="11"/>
  <c r="J775" i="11"/>
  <c r="K775" i="11" s="1"/>
  <c r="L775" i="11" s="1"/>
  <c r="M775" i="11" s="1"/>
  <c r="H776" i="11"/>
  <c r="I776" i="11" s="1"/>
  <c r="J776" i="11"/>
  <c r="K776" i="11" s="1"/>
  <c r="L776" i="11" s="1"/>
  <c r="M776" i="11" s="1"/>
  <c r="H777" i="11"/>
  <c r="I777" i="11" s="1"/>
  <c r="J777" i="11"/>
  <c r="K777" i="11" s="1"/>
  <c r="L777" i="11" s="1"/>
  <c r="M777" i="11" s="1"/>
  <c r="H778" i="11"/>
  <c r="I778" i="11" s="1"/>
  <c r="J778" i="11"/>
  <c r="K778" i="11" s="1"/>
  <c r="L778" i="11" s="1"/>
  <c r="M778" i="11" s="1"/>
  <c r="H779" i="11"/>
  <c r="I779" i="11" s="1"/>
  <c r="J779" i="11"/>
  <c r="K779" i="11" s="1"/>
  <c r="L779" i="11" s="1"/>
  <c r="M779" i="11" s="1"/>
  <c r="H780" i="11"/>
  <c r="I780" i="11" s="1"/>
  <c r="J780" i="11"/>
  <c r="K780" i="11" s="1"/>
  <c r="L780" i="11" s="1"/>
  <c r="M780" i="11" s="1"/>
  <c r="H781" i="11"/>
  <c r="I781" i="11" s="1"/>
  <c r="J781" i="11"/>
  <c r="K781" i="11" s="1"/>
  <c r="L781" i="11" s="1"/>
  <c r="M781" i="11" s="1"/>
  <c r="H782" i="11"/>
  <c r="I782" i="11"/>
  <c r="J782" i="11"/>
  <c r="K782" i="11" s="1"/>
  <c r="L782" i="11" s="1"/>
  <c r="M782" i="11" s="1"/>
  <c r="H783" i="11"/>
  <c r="I783" i="11"/>
  <c r="J783" i="11"/>
  <c r="K783" i="11" s="1"/>
  <c r="L783" i="11" s="1"/>
  <c r="M783" i="11" s="1"/>
  <c r="H784" i="11"/>
  <c r="I784" i="11" s="1"/>
  <c r="J784" i="11"/>
  <c r="K784" i="11" s="1"/>
  <c r="L784" i="11" s="1"/>
  <c r="M784" i="11" s="1"/>
  <c r="H785" i="11"/>
  <c r="I785" i="11" s="1"/>
  <c r="J785" i="11"/>
  <c r="K785" i="11" s="1"/>
  <c r="L785" i="11" s="1"/>
  <c r="M785" i="11" s="1"/>
  <c r="H786" i="11"/>
  <c r="I786" i="11" s="1"/>
  <c r="J786" i="11"/>
  <c r="K786" i="11" s="1"/>
  <c r="L786" i="11" s="1"/>
  <c r="M786" i="11" s="1"/>
  <c r="H787" i="11"/>
  <c r="I787" i="11" s="1"/>
  <c r="J787" i="11"/>
  <c r="K787" i="11" s="1"/>
  <c r="L787" i="11" s="1"/>
  <c r="M787" i="11" s="1"/>
  <c r="H788" i="11"/>
  <c r="I788" i="11" s="1"/>
  <c r="J788" i="11"/>
  <c r="K788" i="11" s="1"/>
  <c r="L788" i="11" s="1"/>
  <c r="M788" i="11" s="1"/>
  <c r="H789" i="11"/>
  <c r="I789" i="11" s="1"/>
  <c r="J789" i="11"/>
  <c r="K789" i="11" s="1"/>
  <c r="L789" i="11" s="1"/>
  <c r="M789" i="11" s="1"/>
  <c r="H790" i="11"/>
  <c r="I790" i="11"/>
  <c r="J790" i="11"/>
  <c r="K790" i="11" s="1"/>
  <c r="L790" i="11" s="1"/>
  <c r="M790" i="11" s="1"/>
  <c r="H791" i="11"/>
  <c r="I791" i="11"/>
  <c r="J791" i="11"/>
  <c r="K791" i="11" s="1"/>
  <c r="L791" i="11" s="1"/>
  <c r="M791" i="11" s="1"/>
  <c r="H792" i="11"/>
  <c r="I792" i="11" s="1"/>
  <c r="J792" i="11"/>
  <c r="K792" i="11" s="1"/>
  <c r="L792" i="11" s="1"/>
  <c r="M792" i="11" s="1"/>
  <c r="H793" i="11"/>
  <c r="I793" i="11" s="1"/>
  <c r="J793" i="11"/>
  <c r="K793" i="11" s="1"/>
  <c r="L793" i="11" s="1"/>
  <c r="M793" i="11" s="1"/>
  <c r="H794" i="11"/>
  <c r="I794" i="11" s="1"/>
  <c r="J794" i="11"/>
  <c r="K794" i="11" s="1"/>
  <c r="L794" i="11" s="1"/>
  <c r="M794" i="11" s="1"/>
  <c r="H795" i="11"/>
  <c r="I795" i="11" s="1"/>
  <c r="J795" i="11"/>
  <c r="K795" i="11" s="1"/>
  <c r="L795" i="11" s="1"/>
  <c r="M795" i="11" s="1"/>
  <c r="H796" i="11"/>
  <c r="I796" i="11" s="1"/>
  <c r="J796" i="11"/>
  <c r="K796" i="11" s="1"/>
  <c r="L796" i="11" s="1"/>
  <c r="M796" i="11" s="1"/>
  <c r="H797" i="11"/>
  <c r="I797" i="11" s="1"/>
  <c r="J797" i="11"/>
  <c r="K797" i="11" s="1"/>
  <c r="L797" i="11"/>
  <c r="M797" i="11" s="1"/>
  <c r="H798" i="11"/>
  <c r="I798" i="11"/>
  <c r="J798" i="11"/>
  <c r="K798" i="11" s="1"/>
  <c r="L798" i="11" s="1"/>
  <c r="M798" i="11" s="1"/>
  <c r="H799" i="11"/>
  <c r="I799" i="11" s="1"/>
  <c r="J799" i="11"/>
  <c r="K799" i="11" s="1"/>
  <c r="L799" i="11" s="1"/>
  <c r="M799" i="11" s="1"/>
  <c r="H800" i="11"/>
  <c r="I800" i="11" s="1"/>
  <c r="J800" i="11"/>
  <c r="K800" i="11" s="1"/>
  <c r="L800" i="11"/>
  <c r="M800" i="11" s="1"/>
  <c r="H801" i="11"/>
  <c r="I801" i="11" s="1"/>
  <c r="J801" i="11"/>
  <c r="K801" i="11" s="1"/>
  <c r="L801" i="11" s="1"/>
  <c r="M801" i="11" s="1"/>
  <c r="H802" i="11"/>
  <c r="I802" i="11" s="1"/>
  <c r="J802" i="11"/>
  <c r="K802" i="11" s="1"/>
  <c r="L802" i="11" s="1"/>
  <c r="M802" i="11" s="1"/>
  <c r="H803" i="11"/>
  <c r="I803" i="11" s="1"/>
  <c r="J803" i="11"/>
  <c r="K803" i="11"/>
  <c r="L803" i="11" s="1"/>
  <c r="M803" i="11" s="1"/>
  <c r="H804" i="11"/>
  <c r="I804" i="11" s="1"/>
  <c r="J804" i="11"/>
  <c r="K804" i="11" s="1"/>
  <c r="L804" i="11" s="1"/>
  <c r="M804" i="11" s="1"/>
  <c r="H805" i="11"/>
  <c r="I805" i="11" s="1"/>
  <c r="J805" i="11"/>
  <c r="K805" i="11" s="1"/>
  <c r="L805" i="11" s="1"/>
  <c r="M805" i="11" s="1"/>
  <c r="H806" i="11"/>
  <c r="I806" i="11" s="1"/>
  <c r="J806" i="11"/>
  <c r="K806" i="11" s="1"/>
  <c r="L806" i="11" s="1"/>
  <c r="M806" i="11" s="1"/>
  <c r="H807" i="11"/>
  <c r="I807" i="11"/>
  <c r="J807" i="11"/>
  <c r="K807" i="11" s="1"/>
  <c r="L807" i="11" s="1"/>
  <c r="M807" i="11" s="1"/>
  <c r="H808" i="11"/>
  <c r="I808" i="11" s="1"/>
  <c r="J808" i="11"/>
  <c r="K808" i="11" s="1"/>
  <c r="L808" i="11" s="1"/>
  <c r="M808" i="11" s="1"/>
  <c r="H809" i="11"/>
  <c r="I809" i="11" s="1"/>
  <c r="J809" i="11"/>
  <c r="K809" i="11" s="1"/>
  <c r="L809" i="11" s="1"/>
  <c r="M809" i="11" s="1"/>
  <c r="H810" i="11"/>
  <c r="I810" i="11" s="1"/>
  <c r="J810" i="11"/>
  <c r="K810" i="11" s="1"/>
  <c r="L810" i="11" s="1"/>
  <c r="M810" i="11" s="1"/>
  <c r="H811" i="11"/>
  <c r="I811" i="11" s="1"/>
  <c r="J811" i="11"/>
  <c r="K811" i="11" s="1"/>
  <c r="L811" i="11" s="1"/>
  <c r="M811" i="11" s="1"/>
  <c r="H812" i="11"/>
  <c r="I812" i="11" s="1"/>
  <c r="J812" i="11"/>
  <c r="K812" i="11" s="1"/>
  <c r="L812" i="11" s="1"/>
  <c r="M812" i="11" s="1"/>
  <c r="H813" i="11"/>
  <c r="I813" i="11" s="1"/>
  <c r="J813" i="11"/>
  <c r="K813" i="11" s="1"/>
  <c r="L813" i="11" s="1"/>
  <c r="M813" i="11" s="1"/>
  <c r="H814" i="11"/>
  <c r="I814" i="11"/>
  <c r="J814" i="11"/>
  <c r="K814" i="11" s="1"/>
  <c r="L814" i="11" s="1"/>
  <c r="M814" i="11" s="1"/>
  <c r="H815" i="11"/>
  <c r="I815" i="11"/>
  <c r="J815" i="11"/>
  <c r="K815" i="11" s="1"/>
  <c r="L815" i="11" s="1"/>
  <c r="M815" i="11" s="1"/>
  <c r="H816" i="11"/>
  <c r="I816" i="11" s="1"/>
  <c r="J816" i="11"/>
  <c r="K816" i="11" s="1"/>
  <c r="L816" i="11" s="1"/>
  <c r="M816" i="11" s="1"/>
  <c r="H817" i="11"/>
  <c r="I817" i="11" s="1"/>
  <c r="J817" i="11"/>
  <c r="K817" i="11" s="1"/>
  <c r="L817" i="11" s="1"/>
  <c r="M817" i="11" s="1"/>
  <c r="H818" i="11"/>
  <c r="I818" i="11" s="1"/>
  <c r="J818" i="11"/>
  <c r="K818" i="11" s="1"/>
  <c r="L818" i="11" s="1"/>
  <c r="M818" i="11" s="1"/>
  <c r="H819" i="11"/>
  <c r="I819" i="11" s="1"/>
  <c r="J819" i="11"/>
  <c r="K819" i="11" s="1"/>
  <c r="L819" i="11" s="1"/>
  <c r="M819" i="11" s="1"/>
  <c r="H820" i="11"/>
  <c r="I820" i="11" s="1"/>
  <c r="J820" i="11"/>
  <c r="K820" i="11" s="1"/>
  <c r="L820" i="11" s="1"/>
  <c r="M820" i="11" s="1"/>
  <c r="H821" i="11"/>
  <c r="I821" i="11" s="1"/>
  <c r="J821" i="11"/>
  <c r="K821" i="11" s="1"/>
  <c r="L821" i="11" s="1"/>
  <c r="M821" i="11" s="1"/>
  <c r="H822" i="11"/>
  <c r="I822" i="11"/>
  <c r="J822" i="11"/>
  <c r="K822" i="11" s="1"/>
  <c r="L822" i="11" s="1"/>
  <c r="M822" i="11" s="1"/>
  <c r="H823" i="11"/>
  <c r="I823" i="11"/>
  <c r="J823" i="11"/>
  <c r="K823" i="11" s="1"/>
  <c r="L823" i="11" s="1"/>
  <c r="M823" i="11" s="1"/>
  <c r="H824" i="11"/>
  <c r="I824" i="11" s="1"/>
  <c r="J824" i="11"/>
  <c r="K824" i="11" s="1"/>
  <c r="L824" i="11" s="1"/>
  <c r="M824" i="11" s="1"/>
  <c r="H825" i="11"/>
  <c r="I825" i="11" s="1"/>
  <c r="J825" i="11"/>
  <c r="K825" i="11" s="1"/>
  <c r="L825" i="11" s="1"/>
  <c r="M825" i="11" s="1"/>
  <c r="H826" i="11"/>
  <c r="I826" i="11" s="1"/>
  <c r="J826" i="11"/>
  <c r="K826" i="11" s="1"/>
  <c r="L826" i="11" s="1"/>
  <c r="M826" i="11" s="1"/>
  <c r="H827" i="11"/>
  <c r="I827" i="11" s="1"/>
  <c r="J827" i="11"/>
  <c r="K827" i="11" s="1"/>
  <c r="L827" i="11" s="1"/>
  <c r="M827" i="11" s="1"/>
  <c r="H828" i="11"/>
  <c r="I828" i="11" s="1"/>
  <c r="J828" i="11"/>
  <c r="K828" i="11" s="1"/>
  <c r="L828" i="11" s="1"/>
  <c r="M828" i="11" s="1"/>
  <c r="H829" i="11"/>
  <c r="I829" i="11" s="1"/>
  <c r="J829" i="11"/>
  <c r="K829" i="11" s="1"/>
  <c r="L829" i="11" s="1"/>
  <c r="M829" i="11" s="1"/>
  <c r="H830" i="11"/>
  <c r="I830" i="11"/>
  <c r="J830" i="11"/>
  <c r="K830" i="11" s="1"/>
  <c r="L830" i="11" s="1"/>
  <c r="M830" i="11" s="1"/>
  <c r="H831" i="11"/>
  <c r="I831" i="11"/>
  <c r="J831" i="11"/>
  <c r="K831" i="11" s="1"/>
  <c r="L831" i="11" s="1"/>
  <c r="M831" i="11" s="1"/>
  <c r="H832" i="11"/>
  <c r="I832" i="11" s="1"/>
  <c r="J832" i="11"/>
  <c r="K832" i="11" s="1"/>
  <c r="L832" i="11" s="1"/>
  <c r="M832" i="11" s="1"/>
  <c r="H833" i="11"/>
  <c r="I833" i="11" s="1"/>
  <c r="J833" i="11"/>
  <c r="K833" i="11" s="1"/>
  <c r="L833" i="11" s="1"/>
  <c r="M833" i="11" s="1"/>
  <c r="H834" i="11"/>
  <c r="I834" i="11" s="1"/>
  <c r="J834" i="11"/>
  <c r="K834" i="11" s="1"/>
  <c r="L834" i="11" s="1"/>
  <c r="M834" i="11" s="1"/>
  <c r="H835" i="11"/>
  <c r="I835" i="11" s="1"/>
  <c r="J835" i="11"/>
  <c r="K835" i="11" s="1"/>
  <c r="L835" i="11" s="1"/>
  <c r="M835" i="11" s="1"/>
  <c r="H836" i="11"/>
  <c r="I836" i="11" s="1"/>
  <c r="J836" i="11"/>
  <c r="K836" i="11" s="1"/>
  <c r="L836" i="11" s="1"/>
  <c r="M836" i="11" s="1"/>
  <c r="H837" i="11"/>
  <c r="I837" i="11" s="1"/>
  <c r="J837" i="11"/>
  <c r="K837" i="11" s="1"/>
  <c r="L837" i="11" s="1"/>
  <c r="M837" i="11" s="1"/>
  <c r="H838" i="11"/>
  <c r="I838" i="11" s="1"/>
  <c r="J838" i="11"/>
  <c r="K838" i="11" s="1"/>
  <c r="L838" i="11" s="1"/>
  <c r="M838" i="11" s="1"/>
  <c r="H839" i="11"/>
  <c r="I839" i="11"/>
  <c r="J839" i="11"/>
  <c r="K839" i="11" s="1"/>
  <c r="L839" i="11" s="1"/>
  <c r="M839" i="11" s="1"/>
  <c r="H840" i="11"/>
  <c r="I840" i="11" s="1"/>
  <c r="J840" i="11"/>
  <c r="K840" i="11" s="1"/>
  <c r="L840" i="11" s="1"/>
  <c r="M840" i="11" s="1"/>
  <c r="H841" i="11"/>
  <c r="I841" i="11" s="1"/>
  <c r="J841" i="11"/>
  <c r="K841" i="11" s="1"/>
  <c r="L841" i="11" s="1"/>
  <c r="M841" i="11" s="1"/>
  <c r="H842" i="11"/>
  <c r="I842" i="11"/>
  <c r="J842" i="11"/>
  <c r="K842" i="11" s="1"/>
  <c r="L842" i="11" s="1"/>
  <c r="M842" i="11" s="1"/>
  <c r="H843" i="11"/>
  <c r="I843" i="11" s="1"/>
  <c r="J843" i="11"/>
  <c r="K843" i="11" s="1"/>
  <c r="L843" i="11" s="1"/>
  <c r="M843" i="11" s="1"/>
  <c r="H844" i="11"/>
  <c r="I844" i="11" s="1"/>
  <c r="J844" i="11"/>
  <c r="K844" i="11" s="1"/>
  <c r="L844" i="11" s="1"/>
  <c r="M844" i="11" s="1"/>
  <c r="H845" i="11"/>
  <c r="I845" i="11" s="1"/>
  <c r="J845" i="11"/>
  <c r="K845" i="11" s="1"/>
  <c r="L845" i="11" s="1"/>
  <c r="M845" i="11" s="1"/>
  <c r="H846" i="11"/>
  <c r="I846" i="11"/>
  <c r="J846" i="11"/>
  <c r="K846" i="11" s="1"/>
  <c r="L846" i="11" s="1"/>
  <c r="M846" i="11" s="1"/>
  <c r="H847" i="11"/>
  <c r="I847" i="11"/>
  <c r="J847" i="11"/>
  <c r="K847" i="11" s="1"/>
  <c r="L847" i="11" s="1"/>
  <c r="M847" i="11" s="1"/>
  <c r="H848" i="11"/>
  <c r="I848" i="11" s="1"/>
  <c r="J848" i="11"/>
  <c r="K848" i="11" s="1"/>
  <c r="L848" i="11" s="1"/>
  <c r="M848" i="11" s="1"/>
  <c r="H849" i="11"/>
  <c r="I849" i="11" s="1"/>
  <c r="J849" i="11"/>
  <c r="K849" i="11" s="1"/>
  <c r="L849" i="11" s="1"/>
  <c r="M849" i="11" s="1"/>
  <c r="H850" i="11"/>
  <c r="I850" i="11" s="1"/>
  <c r="J850" i="11"/>
  <c r="K850" i="11" s="1"/>
  <c r="L850" i="11" s="1"/>
  <c r="M850" i="11" s="1"/>
  <c r="H851" i="11"/>
  <c r="I851" i="11"/>
  <c r="J851" i="11"/>
  <c r="K851" i="11" s="1"/>
  <c r="L851" i="11" s="1"/>
  <c r="M851" i="11" s="1"/>
  <c r="H852" i="11"/>
  <c r="I852" i="11" s="1"/>
  <c r="J852" i="11"/>
  <c r="K852" i="11" s="1"/>
  <c r="L852" i="11" s="1"/>
  <c r="M852" i="11" s="1"/>
  <c r="H853" i="11"/>
  <c r="I853" i="11" s="1"/>
  <c r="J853" i="11"/>
  <c r="K853" i="11" s="1"/>
  <c r="L853" i="11" s="1"/>
  <c r="M853" i="11" s="1"/>
  <c r="H854" i="11"/>
  <c r="I854" i="11"/>
  <c r="J854" i="11"/>
  <c r="K854" i="11" s="1"/>
  <c r="L854" i="11" s="1"/>
  <c r="M854" i="11" s="1"/>
  <c r="H855" i="11"/>
  <c r="I855" i="11"/>
  <c r="J855" i="11"/>
  <c r="K855" i="11" s="1"/>
  <c r="L855" i="11" s="1"/>
  <c r="M855" i="11" s="1"/>
  <c r="H856" i="11"/>
  <c r="I856" i="11" s="1"/>
  <c r="J856" i="11"/>
  <c r="K856" i="11" s="1"/>
  <c r="L856" i="11" s="1"/>
  <c r="M856" i="11" s="1"/>
  <c r="H857" i="11"/>
  <c r="I857" i="11" s="1"/>
  <c r="J857" i="11"/>
  <c r="K857" i="11" s="1"/>
  <c r="L857" i="11" s="1"/>
  <c r="M857" i="11" s="1"/>
  <c r="H858" i="11"/>
  <c r="I858" i="11" s="1"/>
  <c r="J858" i="11"/>
  <c r="K858" i="11" s="1"/>
  <c r="L858" i="11" s="1"/>
  <c r="M858" i="11" s="1"/>
  <c r="H859" i="11"/>
  <c r="I859" i="11" s="1"/>
  <c r="J859" i="11"/>
  <c r="K859" i="11" s="1"/>
  <c r="L859" i="11" s="1"/>
  <c r="M859" i="11" s="1"/>
  <c r="H860" i="11"/>
  <c r="I860" i="11" s="1"/>
  <c r="J860" i="11"/>
  <c r="K860" i="11" s="1"/>
  <c r="L860" i="11" s="1"/>
  <c r="M860" i="11" s="1"/>
  <c r="H861" i="11"/>
  <c r="I861" i="11" s="1"/>
  <c r="J861" i="11"/>
  <c r="K861" i="11" s="1"/>
  <c r="L861" i="11" s="1"/>
  <c r="M861" i="11" s="1"/>
  <c r="H862" i="11"/>
  <c r="I862" i="11" s="1"/>
  <c r="J862" i="11"/>
  <c r="K862" i="11" s="1"/>
  <c r="L862" i="11" s="1"/>
  <c r="M862" i="11" s="1"/>
  <c r="H863" i="11"/>
  <c r="I863" i="11"/>
  <c r="J863" i="11"/>
  <c r="K863" i="11" s="1"/>
  <c r="L863" i="11" s="1"/>
  <c r="M863" i="11" s="1"/>
  <c r="H864" i="11"/>
  <c r="I864" i="11" s="1"/>
  <c r="J864" i="11"/>
  <c r="K864" i="11" s="1"/>
  <c r="L864" i="11" s="1"/>
  <c r="M864" i="11" s="1"/>
  <c r="H865" i="11"/>
  <c r="I865" i="11" s="1"/>
  <c r="J865" i="11"/>
  <c r="K865" i="11" s="1"/>
  <c r="L865" i="11" s="1"/>
  <c r="M865" i="11" s="1"/>
  <c r="H866" i="11"/>
  <c r="I866" i="11" s="1"/>
  <c r="J866" i="11"/>
  <c r="K866" i="11" s="1"/>
  <c r="L866" i="11" s="1"/>
  <c r="M866" i="11" s="1"/>
  <c r="H867" i="11"/>
  <c r="I867" i="11"/>
  <c r="J867" i="11"/>
  <c r="K867" i="11" s="1"/>
  <c r="L867" i="11" s="1"/>
  <c r="M867" i="11" s="1"/>
  <c r="H868" i="11"/>
  <c r="I868" i="11" s="1"/>
  <c r="J868" i="11"/>
  <c r="K868" i="11" s="1"/>
  <c r="L868" i="11" s="1"/>
  <c r="M868" i="11" s="1"/>
  <c r="H869" i="11"/>
  <c r="I869" i="11"/>
  <c r="J869" i="11"/>
  <c r="K869" i="11" s="1"/>
  <c r="L869" i="11" s="1"/>
  <c r="M869" i="11" s="1"/>
  <c r="H870" i="11"/>
  <c r="I870" i="11"/>
  <c r="J870" i="11"/>
  <c r="K870" i="11" s="1"/>
  <c r="L870" i="11" s="1"/>
  <c r="M870" i="11" s="1"/>
  <c r="H871" i="11"/>
  <c r="I871" i="11"/>
  <c r="J871" i="11"/>
  <c r="K871" i="11" s="1"/>
  <c r="L871" i="11" s="1"/>
  <c r="M871" i="11" s="1"/>
  <c r="H872" i="11"/>
  <c r="I872" i="11" s="1"/>
  <c r="J872" i="11"/>
  <c r="K872" i="11" s="1"/>
  <c r="L872" i="11" s="1"/>
  <c r="M872" i="11" s="1"/>
  <c r="H873" i="11"/>
  <c r="I873" i="11" s="1"/>
  <c r="J873" i="11"/>
  <c r="K873" i="11" s="1"/>
  <c r="L873" i="11" s="1"/>
  <c r="M873" i="11" s="1"/>
  <c r="H874" i="11"/>
  <c r="I874" i="11" s="1"/>
  <c r="J874" i="11"/>
  <c r="K874" i="11" s="1"/>
  <c r="L874" i="11" s="1"/>
  <c r="M874" i="11" s="1"/>
  <c r="H875" i="11"/>
  <c r="I875" i="11" s="1"/>
  <c r="J875" i="11"/>
  <c r="K875" i="11" s="1"/>
  <c r="L875" i="11" s="1"/>
  <c r="M875" i="11" s="1"/>
  <c r="H876" i="11"/>
  <c r="I876" i="11" s="1"/>
  <c r="J876" i="11"/>
  <c r="K876" i="11" s="1"/>
  <c r="L876" i="11" s="1"/>
  <c r="M876" i="11" s="1"/>
  <c r="H877" i="11"/>
  <c r="I877" i="11" s="1"/>
  <c r="J877" i="11"/>
  <c r="K877" i="11" s="1"/>
  <c r="L877" i="11" s="1"/>
  <c r="M877" i="11" s="1"/>
  <c r="H878" i="11"/>
  <c r="I878" i="11"/>
  <c r="J878" i="11"/>
  <c r="K878" i="11" s="1"/>
  <c r="L878" i="11" s="1"/>
  <c r="M878" i="11" s="1"/>
  <c r="H879" i="11"/>
  <c r="I879" i="11" s="1"/>
  <c r="J879" i="11"/>
  <c r="K879" i="11" s="1"/>
  <c r="L879" i="11" s="1"/>
  <c r="M879" i="11" s="1"/>
  <c r="H880" i="11"/>
  <c r="I880" i="11" s="1"/>
  <c r="J880" i="11"/>
  <c r="K880" i="11" s="1"/>
  <c r="L880" i="11" s="1"/>
  <c r="M880" i="11" s="1"/>
  <c r="H881" i="11"/>
  <c r="I881" i="11"/>
  <c r="J881" i="11"/>
  <c r="K881" i="11" s="1"/>
  <c r="L881" i="11" s="1"/>
  <c r="M881" i="11" s="1"/>
  <c r="H882" i="11"/>
  <c r="I882" i="11" s="1"/>
  <c r="J882" i="11"/>
  <c r="K882" i="11" s="1"/>
  <c r="L882" i="11" s="1"/>
  <c r="M882" i="11" s="1"/>
  <c r="H883" i="11"/>
  <c r="I883" i="11" s="1"/>
  <c r="J883" i="11"/>
  <c r="K883" i="11" s="1"/>
  <c r="L883" i="11" s="1"/>
  <c r="M883" i="11" s="1"/>
  <c r="H884" i="11"/>
  <c r="I884" i="11"/>
  <c r="J884" i="11"/>
  <c r="K884" i="11" s="1"/>
  <c r="L884" i="11" s="1"/>
  <c r="M884" i="11" s="1"/>
  <c r="H885" i="11"/>
  <c r="I885" i="11"/>
  <c r="J885" i="11"/>
  <c r="K885" i="11" s="1"/>
  <c r="L885" i="11" s="1"/>
  <c r="M885" i="11" s="1"/>
  <c r="H886" i="11"/>
  <c r="I886" i="11"/>
  <c r="J886" i="11"/>
  <c r="K886" i="11" s="1"/>
  <c r="L886" i="11" s="1"/>
  <c r="M886" i="11" s="1"/>
  <c r="H887" i="11"/>
  <c r="I887" i="11" s="1"/>
  <c r="J887" i="11"/>
  <c r="K887" i="11" s="1"/>
  <c r="L887" i="11" s="1"/>
  <c r="M887" i="11" s="1"/>
  <c r="H888" i="11"/>
  <c r="I888" i="11"/>
  <c r="J888" i="11"/>
  <c r="K888" i="11" s="1"/>
  <c r="L888" i="11" s="1"/>
  <c r="M888" i="11" s="1"/>
  <c r="H889" i="11"/>
  <c r="I889" i="11"/>
  <c r="J889" i="11"/>
  <c r="K889" i="11" s="1"/>
  <c r="L889" i="11" s="1"/>
  <c r="M889" i="11" s="1"/>
  <c r="H890" i="11"/>
  <c r="I890" i="11"/>
  <c r="J890" i="11"/>
  <c r="K890" i="11" s="1"/>
  <c r="L890" i="11" s="1"/>
  <c r="M890" i="11" s="1"/>
  <c r="H891" i="11"/>
  <c r="I891" i="11" s="1"/>
  <c r="J891" i="11"/>
  <c r="K891" i="11" s="1"/>
  <c r="L891" i="11" s="1"/>
  <c r="M891" i="11" s="1"/>
  <c r="H892" i="11"/>
  <c r="I892" i="11"/>
  <c r="J892" i="11"/>
  <c r="K892" i="11" s="1"/>
  <c r="L892" i="11" s="1"/>
  <c r="M892" i="11" s="1"/>
  <c r="H893" i="11"/>
  <c r="I893" i="11"/>
  <c r="J893" i="11"/>
  <c r="K893" i="11" s="1"/>
  <c r="L893" i="11" s="1"/>
  <c r="M893" i="11" s="1"/>
  <c r="H894" i="11"/>
  <c r="I894" i="11"/>
  <c r="J894" i="11"/>
  <c r="K894" i="11" s="1"/>
  <c r="L894" i="11" s="1"/>
  <c r="M894" i="11" s="1"/>
  <c r="H895" i="11"/>
  <c r="I895" i="11" s="1"/>
  <c r="J895" i="11"/>
  <c r="K895" i="11" s="1"/>
  <c r="L895" i="11" s="1"/>
  <c r="M895" i="11" s="1"/>
  <c r="H896" i="11"/>
  <c r="I896" i="11"/>
  <c r="J896" i="11"/>
  <c r="K896" i="11" s="1"/>
  <c r="L896" i="11" s="1"/>
  <c r="M896" i="11" s="1"/>
  <c r="H897" i="11"/>
  <c r="I897" i="11"/>
  <c r="J897" i="11"/>
  <c r="K897" i="11" s="1"/>
  <c r="L897" i="11" s="1"/>
  <c r="M897" i="11" s="1"/>
  <c r="H898" i="11"/>
  <c r="I898" i="11" s="1"/>
  <c r="J898" i="11"/>
  <c r="K898" i="11" s="1"/>
  <c r="L898" i="11" s="1"/>
  <c r="M898" i="11" s="1"/>
  <c r="H899" i="11"/>
  <c r="I899" i="11" s="1"/>
  <c r="J899" i="11"/>
  <c r="K899" i="11" s="1"/>
  <c r="L899" i="11" s="1"/>
  <c r="M899" i="11" s="1"/>
  <c r="H900" i="11"/>
  <c r="I900" i="11"/>
  <c r="J900" i="11"/>
  <c r="K900" i="11" s="1"/>
  <c r="L900" i="11" s="1"/>
  <c r="M900" i="11" s="1"/>
  <c r="H901" i="11"/>
  <c r="I901" i="11" s="1"/>
  <c r="J901" i="11"/>
  <c r="K901" i="11" s="1"/>
  <c r="L901" i="11" s="1"/>
  <c r="M901" i="11" s="1"/>
  <c r="H902" i="11"/>
  <c r="I902" i="11" s="1"/>
  <c r="J902" i="11"/>
  <c r="K902" i="11" s="1"/>
  <c r="L902" i="11" s="1"/>
  <c r="M902" i="11" s="1"/>
  <c r="H903" i="11"/>
  <c r="I903" i="11" s="1"/>
  <c r="J903" i="11"/>
  <c r="K903" i="11" s="1"/>
  <c r="L903" i="11" s="1"/>
  <c r="M903" i="11" s="1"/>
  <c r="H904" i="11"/>
  <c r="I904" i="11" s="1"/>
  <c r="J904" i="11"/>
  <c r="K904" i="11" s="1"/>
  <c r="L904" i="11" s="1"/>
  <c r="M904" i="11" s="1"/>
  <c r="H905" i="11"/>
  <c r="I905" i="11" s="1"/>
  <c r="J905" i="11"/>
  <c r="K905" i="11" s="1"/>
  <c r="L905" i="11" s="1"/>
  <c r="M905" i="11" s="1"/>
  <c r="H906" i="11"/>
  <c r="I906" i="11" s="1"/>
  <c r="J906" i="11"/>
  <c r="K906" i="11" s="1"/>
  <c r="L906" i="11" s="1"/>
  <c r="M906" i="11" s="1"/>
  <c r="H907" i="11"/>
  <c r="I907" i="11" s="1"/>
  <c r="J907" i="11"/>
  <c r="K907" i="11" s="1"/>
  <c r="L907" i="11" s="1"/>
  <c r="M907" i="11" s="1"/>
  <c r="H908" i="11"/>
  <c r="I908" i="11" s="1"/>
  <c r="J908" i="11"/>
  <c r="K908" i="11" s="1"/>
  <c r="L908" i="11" s="1"/>
  <c r="M908" i="11" s="1"/>
  <c r="H909" i="11"/>
  <c r="I909" i="11" s="1"/>
  <c r="J909" i="11"/>
  <c r="K909" i="11" s="1"/>
  <c r="L909" i="11" s="1"/>
  <c r="M909" i="11" s="1"/>
  <c r="H910" i="11"/>
  <c r="I910" i="11"/>
  <c r="J910" i="11"/>
  <c r="K910" i="11" s="1"/>
  <c r="L910" i="11" s="1"/>
  <c r="M910" i="11" s="1"/>
  <c r="H911" i="11"/>
  <c r="I911" i="11" s="1"/>
  <c r="J911" i="11"/>
  <c r="K911" i="11" s="1"/>
  <c r="L911" i="11" s="1"/>
  <c r="M911" i="11" s="1"/>
  <c r="H912" i="11"/>
  <c r="I912" i="11" s="1"/>
  <c r="J912" i="11"/>
  <c r="K912" i="11" s="1"/>
  <c r="L912" i="11" s="1"/>
  <c r="M912" i="11" s="1"/>
  <c r="H913" i="11"/>
  <c r="I913" i="11"/>
  <c r="J913" i="11"/>
  <c r="K913" i="11"/>
  <c r="L913" i="11" s="1"/>
  <c r="M913" i="11" s="1"/>
  <c r="H914" i="11"/>
  <c r="I914" i="11"/>
  <c r="J914" i="11"/>
  <c r="K914" i="11" s="1"/>
  <c r="L914" i="11" s="1"/>
  <c r="M914" i="11" s="1"/>
  <c r="H915" i="11"/>
  <c r="I915" i="11" s="1"/>
  <c r="J915" i="11"/>
  <c r="K915" i="11" s="1"/>
  <c r="L915" i="11" s="1"/>
  <c r="M915" i="11" s="1"/>
  <c r="H916" i="11"/>
  <c r="I916" i="11"/>
  <c r="J916" i="11"/>
  <c r="K916" i="11" s="1"/>
  <c r="L916" i="11" s="1"/>
  <c r="M916" i="11" s="1"/>
  <c r="H917" i="11"/>
  <c r="I917" i="11" s="1"/>
  <c r="J917" i="11"/>
  <c r="K917" i="11" s="1"/>
  <c r="L917" i="11" s="1"/>
  <c r="M917" i="11" s="1"/>
  <c r="H918" i="11"/>
  <c r="I918" i="11"/>
  <c r="J918" i="11"/>
  <c r="K918" i="11" s="1"/>
  <c r="L918" i="11" s="1"/>
  <c r="M918" i="11" s="1"/>
  <c r="H919" i="11"/>
  <c r="I919" i="11" s="1"/>
  <c r="J919" i="11"/>
  <c r="K919" i="11" s="1"/>
  <c r="L919" i="11" s="1"/>
  <c r="M919" i="11" s="1"/>
  <c r="H920" i="11"/>
  <c r="I920" i="11" s="1"/>
  <c r="J920" i="11"/>
  <c r="K920" i="11" s="1"/>
  <c r="L920" i="11" s="1"/>
  <c r="M920" i="11" s="1"/>
  <c r="H921" i="11"/>
  <c r="I921" i="11"/>
  <c r="J921" i="11"/>
  <c r="K921" i="11" s="1"/>
  <c r="L921" i="11" s="1"/>
  <c r="M921" i="11" s="1"/>
  <c r="H922" i="11"/>
  <c r="I922" i="11"/>
  <c r="J922" i="11"/>
  <c r="K922" i="11" s="1"/>
  <c r="L922" i="11" s="1"/>
  <c r="M922" i="11" s="1"/>
  <c r="H923" i="11"/>
  <c r="I923" i="11" s="1"/>
  <c r="J923" i="11"/>
  <c r="K923" i="11" s="1"/>
  <c r="L923" i="11" s="1"/>
  <c r="M923" i="11" s="1"/>
  <c r="H924" i="11"/>
  <c r="I924" i="11"/>
  <c r="J924" i="11"/>
  <c r="K924" i="11" s="1"/>
  <c r="L924" i="11" s="1"/>
  <c r="M924" i="11" s="1"/>
  <c r="H925" i="11"/>
  <c r="I925" i="11"/>
  <c r="J925" i="11"/>
  <c r="K925" i="11" s="1"/>
  <c r="L925" i="11" s="1"/>
  <c r="M925" i="11" s="1"/>
  <c r="H926" i="11"/>
  <c r="I926" i="11"/>
  <c r="J926" i="11"/>
  <c r="K926" i="11" s="1"/>
  <c r="L926" i="11" s="1"/>
  <c r="M926" i="11" s="1"/>
  <c r="H927" i="11"/>
  <c r="I927" i="11" s="1"/>
  <c r="J927" i="11"/>
  <c r="K927" i="11" s="1"/>
  <c r="L927" i="11" s="1"/>
  <c r="M927" i="11" s="1"/>
  <c r="H928" i="11"/>
  <c r="I928" i="11"/>
  <c r="J928" i="11"/>
  <c r="K928" i="11" s="1"/>
  <c r="L928" i="11" s="1"/>
  <c r="M928" i="11" s="1"/>
  <c r="H929" i="11"/>
  <c r="I929" i="11"/>
  <c r="J929" i="11"/>
  <c r="K929" i="11" s="1"/>
  <c r="L929" i="11" s="1"/>
  <c r="M929" i="11" s="1"/>
  <c r="H930" i="11"/>
  <c r="I930" i="11" s="1"/>
  <c r="J930" i="11"/>
  <c r="K930" i="11" s="1"/>
  <c r="L930" i="11" s="1"/>
  <c r="M930" i="11" s="1"/>
  <c r="H931" i="11"/>
  <c r="I931" i="11" s="1"/>
  <c r="J931" i="11"/>
  <c r="K931" i="11" s="1"/>
  <c r="L931" i="11" s="1"/>
  <c r="M931" i="11" s="1"/>
  <c r="H932" i="11"/>
  <c r="I932" i="11"/>
  <c r="J932" i="11"/>
  <c r="K932" i="11" s="1"/>
  <c r="L932" i="11" s="1"/>
  <c r="M932" i="11" s="1"/>
  <c r="H933" i="11"/>
  <c r="I933" i="11" s="1"/>
  <c r="J933" i="11"/>
  <c r="K933" i="11" s="1"/>
  <c r="L933" i="11" s="1"/>
  <c r="M933" i="11" s="1"/>
  <c r="H934" i="11"/>
  <c r="I934" i="11" s="1"/>
  <c r="J934" i="11"/>
  <c r="K934" i="11" s="1"/>
  <c r="L934" i="11" s="1"/>
  <c r="M934" i="11" s="1"/>
  <c r="H935" i="11"/>
  <c r="I935" i="11" s="1"/>
  <c r="J935" i="11"/>
  <c r="K935" i="11" s="1"/>
  <c r="L935" i="11" s="1"/>
  <c r="M935" i="11" s="1"/>
  <c r="H936" i="11"/>
  <c r="I936" i="11" s="1"/>
  <c r="J936" i="11"/>
  <c r="K936" i="11" s="1"/>
  <c r="L936" i="11" s="1"/>
  <c r="M936" i="11" s="1"/>
  <c r="H937" i="11"/>
  <c r="I937" i="11" s="1"/>
  <c r="J937" i="11"/>
  <c r="K937" i="11" s="1"/>
  <c r="L937" i="11" s="1"/>
  <c r="M937" i="11" s="1"/>
  <c r="H938" i="11"/>
  <c r="I938" i="11" s="1"/>
  <c r="J938" i="11"/>
  <c r="K938" i="11" s="1"/>
  <c r="L938" i="11" s="1"/>
  <c r="M938" i="11" s="1"/>
  <c r="H939" i="11"/>
  <c r="I939" i="11" s="1"/>
  <c r="J939" i="11"/>
  <c r="K939" i="11" s="1"/>
  <c r="L939" i="11" s="1"/>
  <c r="M939" i="11" s="1"/>
  <c r="H940" i="11"/>
  <c r="I940" i="11" s="1"/>
  <c r="J940" i="11"/>
  <c r="K940" i="11" s="1"/>
  <c r="L940" i="11" s="1"/>
  <c r="M940" i="11" s="1"/>
  <c r="H941" i="11"/>
  <c r="I941" i="11" s="1"/>
  <c r="J941" i="11"/>
  <c r="K941" i="11" s="1"/>
  <c r="L941" i="11" s="1"/>
  <c r="M941" i="11" s="1"/>
  <c r="H942" i="11"/>
  <c r="I942" i="11"/>
  <c r="J942" i="11"/>
  <c r="K942" i="11" s="1"/>
  <c r="L942" i="11" s="1"/>
  <c r="M942" i="11" s="1"/>
  <c r="H943" i="11"/>
  <c r="I943" i="11" s="1"/>
  <c r="J943" i="11"/>
  <c r="K943" i="11" s="1"/>
  <c r="L943" i="11" s="1"/>
  <c r="M943" i="11" s="1"/>
  <c r="H944" i="11"/>
  <c r="I944" i="11" s="1"/>
  <c r="J944" i="11"/>
  <c r="K944" i="11" s="1"/>
  <c r="L944" i="11" s="1"/>
  <c r="M944" i="11" s="1"/>
  <c r="H945" i="11"/>
  <c r="I945" i="11"/>
  <c r="J945" i="11"/>
  <c r="K945" i="11" s="1"/>
  <c r="L945" i="11" s="1"/>
  <c r="M945" i="11" s="1"/>
  <c r="H946" i="11"/>
  <c r="I946" i="11" s="1"/>
  <c r="J946" i="11"/>
  <c r="K946" i="11" s="1"/>
  <c r="L946" i="11" s="1"/>
  <c r="M946" i="11" s="1"/>
  <c r="H947" i="11"/>
  <c r="I947" i="11" s="1"/>
  <c r="J947" i="11"/>
  <c r="K947" i="11" s="1"/>
  <c r="L947" i="11" s="1"/>
  <c r="M947" i="11" s="1"/>
  <c r="H948" i="11"/>
  <c r="I948" i="11"/>
  <c r="J948" i="11"/>
  <c r="K948" i="11" s="1"/>
  <c r="L948" i="11" s="1"/>
  <c r="M948" i="11" s="1"/>
  <c r="H949" i="11"/>
  <c r="I949" i="11"/>
  <c r="J949" i="11"/>
  <c r="K949" i="11" s="1"/>
  <c r="L949" i="11" s="1"/>
  <c r="M949" i="11" s="1"/>
  <c r="H950" i="11"/>
  <c r="I950" i="11"/>
  <c r="J950" i="11"/>
  <c r="K950" i="11" s="1"/>
  <c r="L950" i="11" s="1"/>
  <c r="M950" i="11" s="1"/>
  <c r="H951" i="11"/>
  <c r="I951" i="11" s="1"/>
  <c r="J951" i="11"/>
  <c r="K951" i="11" s="1"/>
  <c r="L951" i="11" s="1"/>
  <c r="M951" i="11" s="1"/>
  <c r="H952" i="11"/>
  <c r="I952" i="11"/>
  <c r="J952" i="11"/>
  <c r="K952" i="11" s="1"/>
  <c r="L952" i="11" s="1"/>
  <c r="M952" i="11" s="1"/>
  <c r="H953" i="11"/>
  <c r="I953" i="11"/>
  <c r="J953" i="11"/>
  <c r="K953" i="11" s="1"/>
  <c r="L953" i="11" s="1"/>
  <c r="M953" i="11" s="1"/>
  <c r="H954" i="11"/>
  <c r="I954" i="11"/>
  <c r="J954" i="11"/>
  <c r="K954" i="11" s="1"/>
  <c r="L954" i="11" s="1"/>
  <c r="M954" i="11" s="1"/>
  <c r="H955" i="11"/>
  <c r="I955" i="11" s="1"/>
  <c r="J955" i="11"/>
  <c r="K955" i="11" s="1"/>
  <c r="L955" i="11" s="1"/>
  <c r="M955" i="11" s="1"/>
  <c r="H956" i="11"/>
  <c r="I956" i="11"/>
  <c r="J956" i="11"/>
  <c r="K956" i="11" s="1"/>
  <c r="L956" i="11" s="1"/>
  <c r="M956" i="11" s="1"/>
  <c r="H957" i="11"/>
  <c r="I957" i="11"/>
  <c r="J957" i="11"/>
  <c r="K957" i="11" s="1"/>
  <c r="L957" i="11" s="1"/>
  <c r="M957" i="11" s="1"/>
  <c r="H958" i="11"/>
  <c r="I958" i="11"/>
  <c r="J958" i="11"/>
  <c r="K958" i="11" s="1"/>
  <c r="L958" i="11" s="1"/>
  <c r="M958" i="11" s="1"/>
  <c r="H959" i="11"/>
  <c r="I959" i="11" s="1"/>
  <c r="J959" i="11"/>
  <c r="K959" i="11" s="1"/>
  <c r="L959" i="11" s="1"/>
  <c r="M959" i="11" s="1"/>
  <c r="H960" i="11"/>
  <c r="I960" i="11"/>
  <c r="J960" i="11"/>
  <c r="K960" i="11" s="1"/>
  <c r="L960" i="11" s="1"/>
  <c r="M960" i="11" s="1"/>
  <c r="H961" i="11"/>
  <c r="I961" i="11" s="1"/>
  <c r="J961" i="11"/>
  <c r="K961" i="11" s="1"/>
  <c r="L961" i="11" s="1"/>
  <c r="M961" i="11" s="1"/>
  <c r="H962" i="11"/>
  <c r="I962" i="11" s="1"/>
  <c r="J962" i="11"/>
  <c r="K962" i="11" s="1"/>
  <c r="L962" i="11" s="1"/>
  <c r="M962" i="11" s="1"/>
  <c r="H963" i="11"/>
  <c r="I963" i="11" s="1"/>
  <c r="J963" i="11"/>
  <c r="K963" i="11" s="1"/>
  <c r="L963" i="11" s="1"/>
  <c r="M963" i="11" s="1"/>
  <c r="H964" i="11"/>
  <c r="I964" i="11" s="1"/>
  <c r="J964" i="11"/>
  <c r="K964" i="11" s="1"/>
  <c r="L964" i="11" s="1"/>
  <c r="M964" i="11" s="1"/>
  <c r="H965" i="11"/>
  <c r="I965" i="11" s="1"/>
  <c r="J965" i="11"/>
  <c r="K965" i="11" s="1"/>
  <c r="L965" i="11" s="1"/>
  <c r="M965" i="11" s="1"/>
  <c r="H966" i="11"/>
  <c r="I966" i="11" s="1"/>
  <c r="J966" i="11"/>
  <c r="K966" i="11" s="1"/>
  <c r="L966" i="11" s="1"/>
  <c r="M966" i="11" s="1"/>
  <c r="H967" i="11"/>
  <c r="I967" i="11" s="1"/>
  <c r="J967" i="11"/>
  <c r="K967" i="11" s="1"/>
  <c r="L967" i="11" s="1"/>
  <c r="M967" i="11" s="1"/>
  <c r="H968" i="11"/>
  <c r="I968" i="11" s="1"/>
  <c r="J968" i="11"/>
  <c r="K968" i="11" s="1"/>
  <c r="L968" i="11" s="1"/>
  <c r="M968" i="11" s="1"/>
  <c r="H969" i="11"/>
  <c r="I969" i="11" s="1"/>
  <c r="J969" i="11"/>
  <c r="K969" i="11" s="1"/>
  <c r="L969" i="11" s="1"/>
  <c r="M969" i="11" s="1"/>
  <c r="H970" i="11"/>
  <c r="I970" i="11" s="1"/>
  <c r="J970" i="11"/>
  <c r="K970" i="11" s="1"/>
  <c r="L970" i="11" s="1"/>
  <c r="M970" i="11" s="1"/>
  <c r="H971" i="11"/>
  <c r="I971" i="11" s="1"/>
  <c r="J971" i="11"/>
  <c r="K971" i="11" s="1"/>
  <c r="L971" i="11" s="1"/>
  <c r="M971" i="11" s="1"/>
  <c r="H972" i="11"/>
  <c r="I972" i="11" s="1"/>
  <c r="J972" i="11"/>
  <c r="K972" i="11" s="1"/>
  <c r="L972" i="11" s="1"/>
  <c r="M972" i="11" s="1"/>
  <c r="H973" i="11"/>
  <c r="I973" i="11" s="1"/>
  <c r="J973" i="11"/>
  <c r="K973" i="11" s="1"/>
  <c r="L973" i="11" s="1"/>
  <c r="M973" i="11" s="1"/>
  <c r="H974" i="11"/>
  <c r="I974" i="11" s="1"/>
  <c r="J974" i="11"/>
  <c r="K974" i="11" s="1"/>
  <c r="L974" i="11" s="1"/>
  <c r="M974" i="11" s="1"/>
  <c r="H975" i="11"/>
  <c r="I975" i="11" s="1"/>
  <c r="J975" i="11"/>
  <c r="K975" i="11" s="1"/>
  <c r="L975" i="11" s="1"/>
  <c r="M975" i="11" s="1"/>
  <c r="H976" i="11"/>
  <c r="I976" i="11"/>
  <c r="J976" i="11"/>
  <c r="K976" i="11" s="1"/>
  <c r="L976" i="11" s="1"/>
  <c r="M976" i="11" s="1"/>
  <c r="H977" i="11"/>
  <c r="I977" i="11" s="1"/>
  <c r="J977" i="11"/>
  <c r="K977" i="11" s="1"/>
  <c r="L977" i="11" s="1"/>
  <c r="M977" i="11" s="1"/>
  <c r="H978" i="11"/>
  <c r="I978" i="11" s="1"/>
  <c r="J978" i="11"/>
  <c r="K978" i="11" s="1"/>
  <c r="L978" i="11" s="1"/>
  <c r="M978" i="11" s="1"/>
  <c r="H979" i="11"/>
  <c r="I979" i="11" s="1"/>
  <c r="J979" i="11"/>
  <c r="K979" i="11" s="1"/>
  <c r="L979" i="11" s="1"/>
  <c r="M979" i="11" s="1"/>
  <c r="H980" i="11"/>
  <c r="I980" i="11" s="1"/>
  <c r="J980" i="11"/>
  <c r="K980" i="11" s="1"/>
  <c r="L980" i="11" s="1"/>
  <c r="M980" i="11" s="1"/>
  <c r="H981" i="11"/>
  <c r="I981" i="11"/>
  <c r="J981" i="11"/>
  <c r="K981" i="11" s="1"/>
  <c r="L981" i="11" s="1"/>
  <c r="M981" i="11" s="1"/>
  <c r="H982" i="11"/>
  <c r="I982" i="11"/>
  <c r="J982" i="11"/>
  <c r="K982" i="11" s="1"/>
  <c r="L982" i="11" s="1"/>
  <c r="M982" i="11" s="1"/>
  <c r="H983" i="11"/>
  <c r="I983" i="11" s="1"/>
  <c r="J983" i="11"/>
  <c r="K983" i="11" s="1"/>
  <c r="L983" i="11" s="1"/>
  <c r="M983" i="11" s="1"/>
  <c r="H984" i="11"/>
  <c r="I984" i="11"/>
  <c r="J984" i="11"/>
  <c r="K984" i="11" s="1"/>
  <c r="L984" i="11" s="1"/>
  <c r="M984" i="11" s="1"/>
  <c r="H985" i="11"/>
  <c r="I985" i="11"/>
  <c r="J985" i="11"/>
  <c r="K985" i="11" s="1"/>
  <c r="L985" i="11" s="1"/>
  <c r="M985" i="11" s="1"/>
  <c r="H986" i="11"/>
  <c r="I986" i="11"/>
  <c r="J986" i="11"/>
  <c r="K986" i="11" s="1"/>
  <c r="L986" i="11" s="1"/>
  <c r="M986" i="11" s="1"/>
  <c r="H987" i="11"/>
  <c r="I987" i="11" s="1"/>
  <c r="J987" i="11"/>
  <c r="K987" i="11" s="1"/>
  <c r="L987" i="11" s="1"/>
  <c r="M987" i="11" s="1"/>
  <c r="H988" i="11"/>
  <c r="I988" i="11"/>
  <c r="J988" i="11"/>
  <c r="K988" i="11" s="1"/>
  <c r="L988" i="11" s="1"/>
  <c r="M988" i="11" s="1"/>
  <c r="H989" i="11"/>
  <c r="I989" i="11"/>
  <c r="J989" i="11"/>
  <c r="K989" i="11" s="1"/>
  <c r="L989" i="11" s="1"/>
  <c r="M989" i="11" s="1"/>
  <c r="H990" i="11"/>
  <c r="I990" i="11" s="1"/>
  <c r="J990" i="11"/>
  <c r="K990" i="11" s="1"/>
  <c r="L990" i="11" s="1"/>
  <c r="M990" i="11" s="1"/>
  <c r="H991" i="11"/>
  <c r="I991" i="11" s="1"/>
  <c r="J991" i="11"/>
  <c r="K991" i="11" s="1"/>
  <c r="L991" i="11" s="1"/>
  <c r="M991" i="11" s="1"/>
  <c r="H992" i="11"/>
  <c r="I992" i="11"/>
  <c r="J992" i="11"/>
  <c r="K992" i="11" s="1"/>
  <c r="L992" i="11" s="1"/>
  <c r="M992" i="11" s="1"/>
  <c r="H993" i="11"/>
  <c r="I993" i="11"/>
  <c r="J993" i="11"/>
  <c r="K993" i="11" s="1"/>
  <c r="L993" i="11" s="1"/>
  <c r="M993" i="11" s="1"/>
  <c r="H994" i="11"/>
  <c r="I994" i="11" s="1"/>
  <c r="J994" i="11"/>
  <c r="K994" i="11" s="1"/>
  <c r="L994" i="11" s="1"/>
  <c r="M994" i="11" s="1"/>
  <c r="H995" i="11"/>
  <c r="I995" i="11" s="1"/>
  <c r="J995" i="11"/>
  <c r="K995" i="11" s="1"/>
  <c r="L995" i="11" s="1"/>
  <c r="M995" i="11" s="1"/>
  <c r="H996" i="11"/>
  <c r="I996" i="11" s="1"/>
  <c r="J996" i="11"/>
  <c r="K996" i="11" s="1"/>
  <c r="L996" i="11" s="1"/>
  <c r="M996" i="11" s="1"/>
  <c r="H997" i="11"/>
  <c r="I997" i="11" s="1"/>
  <c r="J997" i="11"/>
  <c r="K997" i="11" s="1"/>
  <c r="L997" i="11" s="1"/>
  <c r="M997" i="11" s="1"/>
  <c r="H998" i="11"/>
  <c r="I998" i="11" s="1"/>
  <c r="J998" i="11"/>
  <c r="K998" i="11" s="1"/>
  <c r="L998" i="11" s="1"/>
  <c r="M998" i="11" s="1"/>
  <c r="H999" i="11"/>
  <c r="I999" i="11" s="1"/>
  <c r="J999" i="11"/>
  <c r="K999" i="11" s="1"/>
  <c r="L999" i="11" s="1"/>
  <c r="M999" i="11" s="1"/>
  <c r="H1000" i="11"/>
  <c r="I1000" i="11" s="1"/>
  <c r="J1000" i="11"/>
  <c r="K1000" i="11" s="1"/>
  <c r="L1000" i="11" s="1"/>
  <c r="M1000" i="11" s="1"/>
  <c r="H1001" i="11"/>
  <c r="I1001" i="11" s="1"/>
  <c r="J1001" i="11"/>
  <c r="K1001" i="11" s="1"/>
  <c r="L1001" i="11" s="1"/>
  <c r="M1001" i="11" s="1"/>
  <c r="H1002" i="11"/>
  <c r="I1002" i="11"/>
  <c r="J1002" i="11"/>
  <c r="K1002" i="11" s="1"/>
  <c r="L1002" i="11" s="1"/>
  <c r="M1002" i="11" s="1"/>
  <c r="H1003" i="11"/>
  <c r="I1003" i="11" s="1"/>
  <c r="J1003" i="11"/>
  <c r="K1003" i="11" s="1"/>
  <c r="L1003" i="11" s="1"/>
  <c r="M1003" i="11" s="1"/>
  <c r="H1004" i="11"/>
  <c r="I1004" i="11" s="1"/>
  <c r="J1004" i="11"/>
  <c r="K1004" i="11" s="1"/>
  <c r="L1004" i="11" s="1"/>
  <c r="M1004" i="11" s="1"/>
  <c r="H1005" i="11"/>
  <c r="I1005" i="11"/>
  <c r="J1005" i="11"/>
  <c r="K1005" i="11" s="1"/>
  <c r="L1005" i="11" s="1"/>
  <c r="M1005" i="11" s="1"/>
  <c r="H1006" i="11"/>
  <c r="I1006" i="11" s="1"/>
  <c r="J1006" i="11"/>
  <c r="K1006" i="11" s="1"/>
  <c r="L1006" i="11" s="1"/>
  <c r="M1006" i="11" s="1"/>
  <c r="H1007" i="11"/>
  <c r="I1007" i="11" s="1"/>
  <c r="J1007" i="11"/>
  <c r="K1007" i="11" s="1"/>
  <c r="L1007" i="11" s="1"/>
  <c r="M1007" i="11" s="1"/>
  <c r="H1008" i="11"/>
  <c r="I1008" i="11" s="1"/>
  <c r="J1008" i="11"/>
  <c r="K1008" i="11" s="1"/>
  <c r="L1008" i="11"/>
  <c r="M1008" i="11" s="1"/>
  <c r="H1009" i="11"/>
  <c r="I1009" i="11"/>
  <c r="J1009" i="11"/>
  <c r="K1009" i="11" s="1"/>
  <c r="L1009" i="11" s="1"/>
  <c r="M1009" i="11" s="1"/>
  <c r="H1010" i="11"/>
  <c r="I1010" i="11"/>
  <c r="J1010" i="11"/>
  <c r="K1010" i="11" s="1"/>
  <c r="L1010" i="11" s="1"/>
  <c r="M1010" i="11" s="1"/>
  <c r="H1011" i="11"/>
  <c r="I1011" i="11" s="1"/>
  <c r="J1011" i="11"/>
  <c r="K1011" i="11" s="1"/>
  <c r="L1011" i="11" s="1"/>
  <c r="M1011" i="11" s="1"/>
  <c r="H1012" i="11"/>
  <c r="I1012" i="11" s="1"/>
  <c r="J1012" i="11"/>
  <c r="K1012" i="11" s="1"/>
  <c r="L1012" i="11" s="1"/>
  <c r="M1012" i="11" s="1"/>
  <c r="H1013" i="11"/>
  <c r="I1013" i="11"/>
  <c r="J1013" i="11"/>
  <c r="K1013" i="11" s="1"/>
  <c r="L1013" i="11" s="1"/>
  <c r="M1013" i="11" s="1"/>
  <c r="H1014" i="11"/>
  <c r="I1014" i="11" s="1"/>
  <c r="J1014" i="11"/>
  <c r="K1014" i="11" s="1"/>
  <c r="L1014" i="11" s="1"/>
  <c r="M1014" i="11" s="1"/>
  <c r="H1015" i="11"/>
  <c r="I1015" i="11" s="1"/>
  <c r="J1015" i="11"/>
  <c r="K1015" i="11" s="1"/>
  <c r="L1015" i="11" s="1"/>
  <c r="M1015" i="11" s="1"/>
  <c r="H1016" i="11"/>
  <c r="I1016" i="11" s="1"/>
  <c r="J1016" i="11"/>
  <c r="K1016" i="11" s="1"/>
  <c r="L1016" i="11" s="1"/>
  <c r="M1016" i="11" s="1"/>
  <c r="H1017" i="11"/>
  <c r="I1017" i="11"/>
  <c r="J1017" i="11"/>
  <c r="K1017" i="11" s="1"/>
  <c r="L1017" i="11" s="1"/>
  <c r="M1017" i="11" s="1"/>
  <c r="H1018" i="11"/>
  <c r="I1018" i="11" s="1"/>
  <c r="J1018" i="11"/>
  <c r="K1018" i="11" s="1"/>
  <c r="L1018" i="11" s="1"/>
  <c r="M1018" i="11" s="1"/>
  <c r="H1019" i="11"/>
  <c r="I1019" i="11" s="1"/>
  <c r="J1019" i="11"/>
  <c r="K1019" i="11" s="1"/>
  <c r="L1019" i="11" s="1"/>
  <c r="M1019" i="11" s="1"/>
  <c r="H1020" i="11"/>
  <c r="I1020" i="11"/>
  <c r="J1020" i="11"/>
  <c r="K1020" i="11" s="1"/>
  <c r="L1020" i="11" s="1"/>
  <c r="M1020" i="11" s="1"/>
  <c r="H1021" i="11"/>
  <c r="I1021" i="11" s="1"/>
  <c r="J1021" i="11"/>
  <c r="K1021" i="11" s="1"/>
  <c r="L1021" i="11" s="1"/>
  <c r="M1021" i="11" s="1"/>
  <c r="H1022" i="11"/>
  <c r="I1022" i="11"/>
  <c r="J1022" i="11"/>
  <c r="K1022" i="11" s="1"/>
  <c r="L1022" i="11" s="1"/>
  <c r="M1022" i="11" s="1"/>
  <c r="H1023" i="11"/>
  <c r="I1023" i="11" s="1"/>
  <c r="J1023" i="11"/>
  <c r="K1023" i="11" s="1"/>
  <c r="L1023" i="11" s="1"/>
  <c r="M1023" i="11" s="1"/>
  <c r="H1024" i="11"/>
  <c r="I1024" i="11" s="1"/>
  <c r="J1024" i="11"/>
  <c r="K1024" i="11" s="1"/>
  <c r="L1024" i="11" s="1"/>
  <c r="M1024" i="11" s="1"/>
  <c r="H1025" i="11"/>
  <c r="I1025" i="11"/>
  <c r="J1025" i="11"/>
  <c r="K1025" i="11" s="1"/>
  <c r="L1025" i="11" s="1"/>
  <c r="M1025" i="11" s="1"/>
  <c r="H1026" i="11"/>
  <c r="I1026" i="11" s="1"/>
  <c r="J1026" i="11"/>
  <c r="K1026" i="11" s="1"/>
  <c r="L1026" i="11" s="1"/>
  <c r="M1026" i="11" s="1"/>
  <c r="H1027" i="11"/>
  <c r="I1027" i="11" s="1"/>
  <c r="J1027" i="11"/>
  <c r="K1027" i="11" s="1"/>
  <c r="L1027" i="11" s="1"/>
  <c r="M1027" i="11" s="1"/>
  <c r="H1028" i="11"/>
  <c r="I1028" i="11"/>
  <c r="J1028" i="11"/>
  <c r="K1028" i="11" s="1"/>
  <c r="L1028" i="11" s="1"/>
  <c r="M1028" i="11" s="1"/>
  <c r="H1029" i="11"/>
  <c r="I1029" i="11" s="1"/>
  <c r="J1029" i="11"/>
  <c r="K1029" i="11" s="1"/>
  <c r="L1029" i="11" s="1"/>
  <c r="M1029" i="11" s="1"/>
  <c r="H1030" i="11"/>
  <c r="I1030" i="11"/>
  <c r="J1030" i="11"/>
  <c r="K1030" i="11" s="1"/>
  <c r="L1030" i="11" s="1"/>
  <c r="M1030" i="11" s="1"/>
  <c r="H1031" i="11"/>
  <c r="I1031" i="11" s="1"/>
  <c r="J1031" i="11"/>
  <c r="K1031" i="11" s="1"/>
  <c r="L1031" i="11" s="1"/>
  <c r="M1031" i="11" s="1"/>
  <c r="H1032" i="11"/>
  <c r="I1032" i="11" s="1"/>
  <c r="J1032" i="11"/>
  <c r="K1032" i="11" s="1"/>
  <c r="L1032" i="11" s="1"/>
  <c r="M1032" i="11" s="1"/>
  <c r="H1033" i="11"/>
  <c r="I1033" i="11"/>
  <c r="J1033" i="11"/>
  <c r="K1033" i="11" s="1"/>
  <c r="L1033" i="11" s="1"/>
  <c r="M1033" i="11" s="1"/>
  <c r="H1034" i="11"/>
  <c r="I1034" i="11" s="1"/>
  <c r="J1034" i="11"/>
  <c r="K1034" i="11" s="1"/>
  <c r="L1034" i="11" s="1"/>
  <c r="M1034" i="11" s="1"/>
  <c r="H1035" i="11"/>
  <c r="I1035" i="11" s="1"/>
  <c r="J1035" i="11"/>
  <c r="K1035" i="11" s="1"/>
  <c r="L1035" i="11" s="1"/>
  <c r="M1035" i="11" s="1"/>
  <c r="H1036" i="11"/>
  <c r="I1036" i="11"/>
  <c r="J1036" i="11"/>
  <c r="K1036" i="11" s="1"/>
  <c r="L1036" i="11" s="1"/>
  <c r="M1036" i="11" s="1"/>
  <c r="H1037" i="11"/>
  <c r="I1037" i="11" s="1"/>
  <c r="J1037" i="11"/>
  <c r="K1037" i="11" s="1"/>
  <c r="L1037" i="11" s="1"/>
  <c r="M1037" i="11" s="1"/>
  <c r="H1038" i="11"/>
  <c r="I1038" i="11" s="1"/>
  <c r="J1038" i="11"/>
  <c r="K1038" i="11" s="1"/>
  <c r="L1038" i="11" s="1"/>
  <c r="M1038" i="11" s="1"/>
  <c r="H1039" i="11"/>
  <c r="I1039" i="11" s="1"/>
  <c r="J1039" i="11"/>
  <c r="K1039" i="11" s="1"/>
  <c r="L1039" i="11" s="1"/>
  <c r="M1039" i="11" s="1"/>
  <c r="H1040" i="11"/>
  <c r="I1040" i="11" s="1"/>
  <c r="J1040" i="11"/>
  <c r="K1040" i="11" s="1"/>
  <c r="L1040" i="11" s="1"/>
  <c r="M1040" i="11" s="1"/>
  <c r="H1041" i="11"/>
  <c r="I1041" i="11" s="1"/>
  <c r="J1041" i="11"/>
  <c r="K1041" i="11" s="1"/>
  <c r="L1041" i="11" s="1"/>
  <c r="M1041" i="11" s="1"/>
  <c r="H1042" i="11"/>
  <c r="I1042" i="11" s="1"/>
  <c r="J1042" i="11"/>
  <c r="K1042" i="11" s="1"/>
  <c r="L1042" i="11" s="1"/>
  <c r="M1042" i="11" s="1"/>
  <c r="H1043" i="11"/>
  <c r="I1043" i="11" s="1"/>
  <c r="J1043" i="11"/>
  <c r="K1043" i="11" s="1"/>
  <c r="L1043" i="11" s="1"/>
  <c r="M1043" i="11" s="1"/>
  <c r="H1044" i="11"/>
  <c r="I1044" i="11" s="1"/>
  <c r="J1044" i="11"/>
  <c r="K1044" i="11" s="1"/>
  <c r="L1044" i="11" s="1"/>
  <c r="M1044" i="11" s="1"/>
  <c r="H1045" i="11"/>
  <c r="I1045" i="11" s="1"/>
  <c r="J1045" i="11"/>
  <c r="K1045" i="11" s="1"/>
  <c r="L1045" i="11" s="1"/>
  <c r="M1045" i="11" s="1"/>
  <c r="H1046" i="11"/>
  <c r="I1046" i="11"/>
  <c r="J1046" i="11"/>
  <c r="K1046" i="11" s="1"/>
  <c r="L1046" i="11" s="1"/>
  <c r="M1046" i="11" s="1"/>
  <c r="H1047" i="11"/>
  <c r="I1047" i="11" s="1"/>
  <c r="J1047" i="11"/>
  <c r="K1047" i="11" s="1"/>
  <c r="L1047" i="11" s="1"/>
  <c r="M1047" i="11" s="1"/>
  <c r="H1048" i="11"/>
  <c r="I1048" i="11" s="1"/>
  <c r="J1048" i="11"/>
  <c r="K1048" i="11" s="1"/>
  <c r="L1048" i="11" s="1"/>
  <c r="M1048" i="11" s="1"/>
  <c r="H1049" i="11"/>
  <c r="I1049" i="11"/>
  <c r="J1049" i="11"/>
  <c r="K1049" i="11" s="1"/>
  <c r="L1049" i="11" s="1"/>
  <c r="M1049" i="11" s="1"/>
  <c r="H1050" i="11"/>
  <c r="I1050" i="11" s="1"/>
  <c r="J1050" i="11"/>
  <c r="K1050" i="11" s="1"/>
  <c r="L1050" i="11" s="1"/>
  <c r="M1050" i="11" s="1"/>
  <c r="H1051" i="11"/>
  <c r="I1051" i="11" s="1"/>
  <c r="J1051" i="11"/>
  <c r="K1051" i="11" s="1"/>
  <c r="L1051" i="11" s="1"/>
  <c r="M1051" i="11" s="1"/>
  <c r="H1052" i="11"/>
  <c r="I1052" i="11"/>
  <c r="J1052" i="11"/>
  <c r="K1052" i="11" s="1"/>
  <c r="L1052" i="11" s="1"/>
  <c r="M1052" i="11" s="1"/>
  <c r="H1053" i="11"/>
  <c r="I1053" i="11" s="1"/>
  <c r="J1053" i="11"/>
  <c r="K1053" i="11" s="1"/>
  <c r="L1053" i="11" s="1"/>
  <c r="M1053" i="11" s="1"/>
  <c r="H1054" i="11"/>
  <c r="I1054" i="11"/>
  <c r="J1054" i="11"/>
  <c r="K1054" i="11" s="1"/>
  <c r="L1054" i="11" s="1"/>
  <c r="M1054" i="11" s="1"/>
  <c r="H1055" i="11"/>
  <c r="I1055" i="11" s="1"/>
  <c r="J1055" i="11"/>
  <c r="K1055" i="11" s="1"/>
  <c r="L1055" i="11" s="1"/>
  <c r="M1055" i="11" s="1"/>
  <c r="H1056" i="11"/>
  <c r="I1056" i="11" s="1"/>
  <c r="J1056" i="11"/>
  <c r="K1056" i="11" s="1"/>
  <c r="L1056" i="11" s="1"/>
  <c r="M1056" i="11" s="1"/>
  <c r="H1057" i="11"/>
  <c r="I1057" i="11"/>
  <c r="J1057" i="11"/>
  <c r="K1057" i="11" s="1"/>
  <c r="L1057" i="11" s="1"/>
  <c r="M1057" i="11" s="1"/>
  <c r="H1058" i="11"/>
  <c r="I1058" i="11" s="1"/>
  <c r="J1058" i="11"/>
  <c r="K1058" i="11" s="1"/>
  <c r="L1058" i="11" s="1"/>
  <c r="M1058" i="11" s="1"/>
  <c r="H1059" i="11"/>
  <c r="I1059" i="11" s="1"/>
  <c r="J1059" i="11"/>
  <c r="K1059" i="11" s="1"/>
  <c r="L1059" i="11" s="1"/>
  <c r="M1059" i="11" s="1"/>
  <c r="H1060" i="11"/>
  <c r="I1060" i="11"/>
  <c r="J1060" i="11"/>
  <c r="K1060" i="11" s="1"/>
  <c r="L1060" i="11" s="1"/>
  <c r="M1060" i="11" s="1"/>
  <c r="H1061" i="11"/>
  <c r="I1061" i="11" s="1"/>
  <c r="J1061" i="11"/>
  <c r="K1061" i="11" s="1"/>
  <c r="L1061" i="11" s="1"/>
  <c r="M1061" i="11" s="1"/>
  <c r="H1062" i="11"/>
  <c r="I1062" i="11"/>
  <c r="J1062" i="11"/>
  <c r="K1062" i="11" s="1"/>
  <c r="L1062" i="11" s="1"/>
  <c r="M1062" i="11" s="1"/>
  <c r="H1063" i="11"/>
  <c r="I1063" i="11" s="1"/>
  <c r="J1063" i="11"/>
  <c r="K1063" i="11" s="1"/>
  <c r="L1063" i="11" s="1"/>
  <c r="M1063" i="11" s="1"/>
  <c r="H1064" i="11"/>
  <c r="I1064" i="11" s="1"/>
  <c r="J1064" i="11"/>
  <c r="K1064" i="11" s="1"/>
  <c r="L1064" i="11" s="1"/>
  <c r="M1064" i="11" s="1"/>
  <c r="H1065" i="11"/>
  <c r="I1065" i="11"/>
  <c r="J1065" i="11"/>
  <c r="K1065" i="11" s="1"/>
  <c r="L1065" i="11" s="1"/>
  <c r="M1065" i="11" s="1"/>
  <c r="H1066" i="11"/>
  <c r="I1066" i="11" s="1"/>
  <c r="J1066" i="11"/>
  <c r="K1066" i="11" s="1"/>
  <c r="L1066" i="11" s="1"/>
  <c r="M1066" i="11" s="1"/>
  <c r="H1067" i="11"/>
  <c r="I1067" i="11" s="1"/>
  <c r="J1067" i="11"/>
  <c r="K1067" i="11" s="1"/>
  <c r="L1067" i="11" s="1"/>
  <c r="M1067" i="11" s="1"/>
  <c r="H1068" i="11"/>
  <c r="I1068" i="11"/>
  <c r="J1068" i="11"/>
  <c r="K1068" i="11" s="1"/>
  <c r="L1068" i="11" s="1"/>
  <c r="M1068" i="11" s="1"/>
  <c r="H1069" i="11"/>
  <c r="I1069" i="11" s="1"/>
  <c r="J1069" i="11"/>
  <c r="K1069" i="11" s="1"/>
  <c r="L1069" i="11" s="1"/>
  <c r="M1069" i="11" s="1"/>
  <c r="H1070" i="11"/>
  <c r="I1070" i="11" s="1"/>
  <c r="J1070" i="11"/>
  <c r="K1070" i="11" s="1"/>
  <c r="L1070" i="11" s="1"/>
  <c r="M1070" i="11" s="1"/>
  <c r="H1071" i="11"/>
  <c r="I1071" i="11" s="1"/>
  <c r="J1071" i="11"/>
  <c r="K1071" i="11" s="1"/>
  <c r="L1071" i="11" s="1"/>
  <c r="M1071" i="11" s="1"/>
  <c r="H1072" i="11"/>
  <c r="I1072" i="11" s="1"/>
  <c r="J1072" i="11"/>
  <c r="K1072" i="11" s="1"/>
  <c r="L1072" i="11" s="1"/>
  <c r="M1072" i="11" s="1"/>
  <c r="H1073" i="11"/>
  <c r="I1073" i="11" s="1"/>
  <c r="J1073" i="11"/>
  <c r="K1073" i="11" s="1"/>
  <c r="L1073" i="11" s="1"/>
  <c r="M1073" i="11" s="1"/>
  <c r="H1074" i="11"/>
  <c r="I1074" i="11" s="1"/>
  <c r="J1074" i="11"/>
  <c r="K1074" i="11" s="1"/>
  <c r="L1074" i="11" s="1"/>
  <c r="M1074" i="11" s="1"/>
  <c r="H1075" i="11"/>
  <c r="I1075" i="11" s="1"/>
  <c r="J1075" i="11"/>
  <c r="K1075" i="11" s="1"/>
  <c r="L1075" i="11" s="1"/>
  <c r="M1075" i="11" s="1"/>
  <c r="H1076" i="11"/>
  <c r="I1076" i="11" s="1"/>
  <c r="J1076" i="11"/>
  <c r="K1076" i="11" s="1"/>
  <c r="L1076" i="11" s="1"/>
  <c r="M1076" i="11" s="1"/>
  <c r="H1077" i="11"/>
  <c r="I1077" i="11" s="1"/>
  <c r="J1077" i="11"/>
  <c r="K1077" i="11" s="1"/>
  <c r="L1077" i="11" s="1"/>
  <c r="M1077" i="11" s="1"/>
  <c r="H1078" i="11"/>
  <c r="I1078" i="11"/>
  <c r="J1078" i="11"/>
  <c r="K1078" i="11" s="1"/>
  <c r="L1078" i="11" s="1"/>
  <c r="M1078" i="11" s="1"/>
  <c r="H1079" i="11"/>
  <c r="I1079" i="11" s="1"/>
  <c r="J1079" i="11"/>
  <c r="K1079" i="11" s="1"/>
  <c r="L1079" i="11" s="1"/>
  <c r="M1079" i="11" s="1"/>
  <c r="H1080" i="11"/>
  <c r="I1080" i="11" s="1"/>
  <c r="J1080" i="11"/>
  <c r="K1080" i="11" s="1"/>
  <c r="L1080" i="11" s="1"/>
  <c r="M1080" i="11" s="1"/>
  <c r="H1081" i="11"/>
  <c r="I1081" i="11"/>
  <c r="J1081" i="11"/>
  <c r="K1081" i="11" s="1"/>
  <c r="L1081" i="11" s="1"/>
  <c r="M1081" i="11" s="1"/>
  <c r="H1082" i="11"/>
  <c r="I1082" i="11" s="1"/>
  <c r="J1082" i="11"/>
  <c r="K1082" i="11" s="1"/>
  <c r="L1082" i="11" s="1"/>
  <c r="M1082" i="11" s="1"/>
  <c r="H1083" i="11"/>
  <c r="I1083" i="11" s="1"/>
  <c r="J1083" i="11"/>
  <c r="K1083" i="11" s="1"/>
  <c r="L1083" i="11" s="1"/>
  <c r="M1083" i="11" s="1"/>
  <c r="H1084" i="11"/>
  <c r="I1084" i="11"/>
  <c r="J1084" i="11"/>
  <c r="K1084" i="11" s="1"/>
  <c r="L1084" i="11" s="1"/>
  <c r="M1084" i="11" s="1"/>
  <c r="H1085" i="11"/>
  <c r="I1085" i="11" s="1"/>
  <c r="J1085" i="11"/>
  <c r="K1085" i="11" s="1"/>
  <c r="L1085" i="11" s="1"/>
  <c r="M1085" i="11" s="1"/>
  <c r="H1086" i="11"/>
  <c r="I1086" i="11"/>
  <c r="J1086" i="11"/>
  <c r="K1086" i="11" s="1"/>
  <c r="L1086" i="11" s="1"/>
  <c r="M1086" i="11" s="1"/>
  <c r="H1087" i="11"/>
  <c r="I1087" i="11" s="1"/>
  <c r="J1087" i="11"/>
  <c r="K1087" i="11" s="1"/>
  <c r="L1087" i="11" s="1"/>
  <c r="M1087" i="11" s="1"/>
  <c r="H1088" i="11"/>
  <c r="I1088" i="11" s="1"/>
  <c r="J1088" i="11"/>
  <c r="K1088" i="11" s="1"/>
  <c r="L1088" i="11" s="1"/>
  <c r="M1088" i="11" s="1"/>
  <c r="H1089" i="11"/>
  <c r="I1089" i="11"/>
  <c r="J1089" i="11"/>
  <c r="K1089" i="11" s="1"/>
  <c r="L1089" i="11" s="1"/>
  <c r="M1089" i="11" s="1"/>
  <c r="H1090" i="11"/>
  <c r="I1090" i="11" s="1"/>
  <c r="J1090" i="11"/>
  <c r="K1090" i="11" s="1"/>
  <c r="L1090" i="11" s="1"/>
  <c r="M1090" i="11" s="1"/>
  <c r="H1091" i="11"/>
  <c r="I1091" i="11" s="1"/>
  <c r="J1091" i="11"/>
  <c r="K1091" i="11" s="1"/>
  <c r="L1091" i="11" s="1"/>
  <c r="M1091" i="11" s="1"/>
  <c r="H1092" i="11"/>
  <c r="I1092" i="11"/>
  <c r="J1092" i="11"/>
  <c r="K1092" i="11" s="1"/>
  <c r="L1092" i="11" s="1"/>
  <c r="M1092" i="11" s="1"/>
  <c r="H1093" i="11"/>
  <c r="I1093" i="11" s="1"/>
  <c r="J1093" i="11"/>
  <c r="K1093" i="11" s="1"/>
  <c r="L1093" i="11" s="1"/>
  <c r="M1093" i="11" s="1"/>
  <c r="H1094" i="11"/>
  <c r="I1094" i="11"/>
  <c r="J1094" i="11"/>
  <c r="K1094" i="11" s="1"/>
  <c r="L1094" i="11" s="1"/>
  <c r="M1094" i="11" s="1"/>
  <c r="H1095" i="11"/>
  <c r="I1095" i="11" s="1"/>
  <c r="J1095" i="11"/>
  <c r="K1095" i="11" s="1"/>
  <c r="L1095" i="11" s="1"/>
  <c r="M1095" i="11" s="1"/>
  <c r="H1096" i="11"/>
  <c r="I1096" i="11" s="1"/>
  <c r="J1096" i="11"/>
  <c r="K1096" i="11" s="1"/>
  <c r="L1096" i="11" s="1"/>
  <c r="M1096" i="11" s="1"/>
  <c r="H1097" i="11"/>
  <c r="I1097" i="11"/>
  <c r="J1097" i="11"/>
  <c r="K1097" i="11" s="1"/>
  <c r="L1097" i="11" s="1"/>
  <c r="M1097" i="11" s="1"/>
  <c r="H1098" i="11"/>
  <c r="I1098" i="11" s="1"/>
  <c r="J1098" i="11"/>
  <c r="K1098" i="11" s="1"/>
  <c r="L1098" i="11" s="1"/>
  <c r="M1098" i="11" s="1"/>
  <c r="H1099" i="11"/>
  <c r="I1099" i="11" s="1"/>
  <c r="J1099" i="11"/>
  <c r="K1099" i="11" s="1"/>
  <c r="L1099" i="11" s="1"/>
  <c r="M1099" i="11" s="1"/>
  <c r="H1100" i="11"/>
  <c r="I1100" i="11"/>
  <c r="J1100" i="11"/>
  <c r="K1100" i="11" s="1"/>
  <c r="L1100" i="11" s="1"/>
  <c r="M1100" i="11" s="1"/>
  <c r="H1101" i="11"/>
  <c r="I1101" i="11" s="1"/>
  <c r="J1101" i="11"/>
  <c r="K1101" i="11" s="1"/>
  <c r="L1101" i="11" s="1"/>
  <c r="M1101" i="11" s="1"/>
  <c r="H1102" i="11"/>
  <c r="I1102" i="11" s="1"/>
  <c r="J1102" i="11"/>
  <c r="K1102" i="11" s="1"/>
  <c r="L1102" i="11" s="1"/>
  <c r="M1102" i="11" s="1"/>
  <c r="H1103" i="11"/>
  <c r="I1103" i="11" s="1"/>
  <c r="J1103" i="11"/>
  <c r="K1103" i="11" s="1"/>
  <c r="L1103" i="11" s="1"/>
  <c r="M1103" i="11" s="1"/>
  <c r="H1104" i="11"/>
  <c r="I1104" i="11" s="1"/>
  <c r="J1104" i="11"/>
  <c r="K1104" i="11" s="1"/>
  <c r="L1104" i="11" s="1"/>
  <c r="M1104" i="11" s="1"/>
  <c r="H1105" i="11"/>
  <c r="I1105" i="11" s="1"/>
  <c r="J1105" i="11"/>
  <c r="K1105" i="11" s="1"/>
  <c r="L1105" i="11" s="1"/>
  <c r="M1105" i="11" s="1"/>
  <c r="H1106" i="11"/>
  <c r="I1106" i="11" s="1"/>
  <c r="J1106" i="11"/>
  <c r="K1106" i="11" s="1"/>
  <c r="L1106" i="11" s="1"/>
  <c r="M1106" i="11" s="1"/>
  <c r="H1107" i="11"/>
  <c r="I1107" i="11" s="1"/>
  <c r="J1107" i="11"/>
  <c r="K1107" i="11" s="1"/>
  <c r="L1107" i="11" s="1"/>
  <c r="M1107" i="11" s="1"/>
  <c r="H1108" i="11"/>
  <c r="I1108" i="11" s="1"/>
  <c r="J1108" i="11"/>
  <c r="K1108" i="11" s="1"/>
  <c r="L1108" i="11" s="1"/>
  <c r="M1108" i="11" s="1"/>
  <c r="H1109" i="11"/>
  <c r="I1109" i="11" s="1"/>
  <c r="J1109" i="11"/>
  <c r="K1109" i="11" s="1"/>
  <c r="L1109" i="11" s="1"/>
  <c r="M1109" i="11" s="1"/>
  <c r="H1110" i="11"/>
  <c r="I1110" i="11"/>
  <c r="J1110" i="11"/>
  <c r="K1110" i="11" s="1"/>
  <c r="L1110" i="11" s="1"/>
  <c r="M1110" i="11" s="1"/>
  <c r="H1111" i="11"/>
  <c r="I1111" i="11" s="1"/>
  <c r="J1111" i="11"/>
  <c r="K1111" i="11" s="1"/>
  <c r="L1111" i="11" s="1"/>
  <c r="M1111" i="11" s="1"/>
  <c r="H1112" i="11"/>
  <c r="I1112" i="11" s="1"/>
  <c r="J1112" i="11"/>
  <c r="K1112" i="11" s="1"/>
  <c r="L1112" i="11" s="1"/>
  <c r="M1112" i="11" s="1"/>
  <c r="H1113" i="11"/>
  <c r="I1113" i="11"/>
  <c r="J1113" i="11"/>
  <c r="K1113" i="11" s="1"/>
  <c r="L1113" i="11" s="1"/>
  <c r="M1113" i="11" s="1"/>
  <c r="H1114" i="11"/>
  <c r="I1114" i="11" s="1"/>
  <c r="J1114" i="11"/>
  <c r="K1114" i="11" s="1"/>
  <c r="L1114" i="11" s="1"/>
  <c r="M1114" i="11" s="1"/>
  <c r="H1115" i="11"/>
  <c r="I1115" i="11" s="1"/>
  <c r="J1115" i="11"/>
  <c r="K1115" i="11" s="1"/>
  <c r="L1115" i="11" s="1"/>
  <c r="M1115" i="11" s="1"/>
  <c r="H1116" i="11"/>
  <c r="I1116" i="11"/>
  <c r="J1116" i="11"/>
  <c r="K1116" i="11" s="1"/>
  <c r="L1116" i="11" s="1"/>
  <c r="M1116" i="11" s="1"/>
  <c r="H1117" i="11"/>
  <c r="I1117" i="11" s="1"/>
  <c r="J1117" i="11"/>
  <c r="K1117" i="11" s="1"/>
  <c r="L1117" i="11" s="1"/>
  <c r="M1117" i="11" s="1"/>
  <c r="H1118" i="11"/>
  <c r="I1118" i="11"/>
  <c r="J1118" i="11"/>
  <c r="K1118" i="11" s="1"/>
  <c r="L1118" i="11" s="1"/>
  <c r="M1118" i="11" s="1"/>
  <c r="H1119" i="11"/>
  <c r="I1119" i="11" s="1"/>
  <c r="J1119" i="11"/>
  <c r="K1119" i="11" s="1"/>
  <c r="L1119" i="11" s="1"/>
  <c r="M1119" i="11" s="1"/>
  <c r="H1120" i="11"/>
  <c r="I1120" i="11" s="1"/>
  <c r="J1120" i="11"/>
  <c r="K1120" i="11" s="1"/>
  <c r="L1120" i="11" s="1"/>
  <c r="M1120" i="11" s="1"/>
  <c r="H1121" i="11"/>
  <c r="I1121" i="11"/>
  <c r="J1121" i="11"/>
  <c r="K1121" i="11" s="1"/>
  <c r="L1121" i="11" s="1"/>
  <c r="M1121" i="11" s="1"/>
  <c r="H1122" i="11"/>
  <c r="I1122" i="11" s="1"/>
  <c r="J1122" i="11"/>
  <c r="K1122" i="11" s="1"/>
  <c r="L1122" i="11" s="1"/>
  <c r="M1122" i="11" s="1"/>
  <c r="H1123" i="11"/>
  <c r="I1123" i="11" s="1"/>
  <c r="J1123" i="11"/>
  <c r="K1123" i="11" s="1"/>
  <c r="L1123" i="11" s="1"/>
  <c r="M1123" i="11" s="1"/>
  <c r="H1124" i="11"/>
  <c r="I1124" i="11"/>
  <c r="J1124" i="11"/>
  <c r="K1124" i="11" s="1"/>
  <c r="L1124" i="11" s="1"/>
  <c r="M1124" i="11" s="1"/>
  <c r="H1125" i="11"/>
  <c r="I1125" i="11" s="1"/>
  <c r="J1125" i="11"/>
  <c r="K1125" i="11" s="1"/>
  <c r="L1125" i="11" s="1"/>
  <c r="M1125" i="11" s="1"/>
  <c r="H1126" i="11"/>
  <c r="I1126" i="11"/>
  <c r="J1126" i="11"/>
  <c r="K1126" i="11" s="1"/>
  <c r="L1126" i="11" s="1"/>
  <c r="M1126" i="11" s="1"/>
  <c r="H1127" i="11"/>
  <c r="I1127" i="11"/>
  <c r="J1127" i="11"/>
  <c r="K1127" i="11" s="1"/>
  <c r="L1127" i="11" s="1"/>
  <c r="M1127" i="11" s="1"/>
  <c r="H1128" i="11"/>
  <c r="I1128" i="11"/>
  <c r="J1128" i="11"/>
  <c r="K1128" i="11" s="1"/>
  <c r="L1128" i="11" s="1"/>
  <c r="M1128" i="11" s="1"/>
  <c r="H1129" i="11"/>
  <c r="I1129" i="11" s="1"/>
  <c r="J1129" i="11"/>
  <c r="K1129" i="11" s="1"/>
  <c r="L1129" i="11" s="1"/>
  <c r="M1129" i="11" s="1"/>
  <c r="H1130" i="11"/>
  <c r="I1130" i="11"/>
  <c r="J1130" i="11"/>
  <c r="K1130" i="11" s="1"/>
  <c r="L1130" i="11" s="1"/>
  <c r="M1130" i="11" s="1"/>
  <c r="H1131" i="11"/>
  <c r="I1131" i="11"/>
  <c r="J1131" i="11"/>
  <c r="K1131" i="11" s="1"/>
  <c r="L1131" i="11" s="1"/>
  <c r="M1131" i="11" s="1"/>
  <c r="H1132" i="11"/>
  <c r="I1132" i="11"/>
  <c r="J1132" i="11"/>
  <c r="K1132" i="11" s="1"/>
  <c r="L1132" i="11" s="1"/>
  <c r="M1132" i="11" s="1"/>
  <c r="H1133" i="11"/>
  <c r="I1133" i="11" s="1"/>
  <c r="J1133" i="11"/>
  <c r="K1133" i="11" s="1"/>
  <c r="L1133" i="11" s="1"/>
  <c r="M1133" i="11" s="1"/>
  <c r="H1134" i="11"/>
  <c r="I1134" i="11"/>
  <c r="J1134" i="11"/>
  <c r="K1134" i="11" s="1"/>
  <c r="L1134" i="11" s="1"/>
  <c r="M1134" i="11" s="1"/>
  <c r="H1135" i="11"/>
  <c r="I1135" i="11"/>
  <c r="J1135" i="11"/>
  <c r="K1135" i="11" s="1"/>
  <c r="L1135" i="11" s="1"/>
  <c r="M1135" i="11" s="1"/>
  <c r="H1136" i="11"/>
  <c r="I1136" i="11"/>
  <c r="J1136" i="11"/>
  <c r="K1136" i="11" s="1"/>
  <c r="L1136" i="11" s="1"/>
  <c r="M1136" i="11" s="1"/>
  <c r="H1137" i="11"/>
  <c r="I1137" i="11" s="1"/>
  <c r="J1137" i="11"/>
  <c r="K1137" i="11" s="1"/>
  <c r="L1137" i="11" s="1"/>
  <c r="M1137" i="11" s="1"/>
  <c r="H1138" i="11"/>
  <c r="I1138" i="11"/>
  <c r="J1138" i="11"/>
  <c r="K1138" i="11" s="1"/>
  <c r="L1138" i="11" s="1"/>
  <c r="M1138" i="11" s="1"/>
  <c r="H1139" i="11"/>
  <c r="I1139" i="11"/>
  <c r="J1139" i="11"/>
  <c r="K1139" i="11" s="1"/>
  <c r="L1139" i="11" s="1"/>
  <c r="M1139" i="11" s="1"/>
  <c r="H1140" i="11"/>
  <c r="I1140" i="11"/>
  <c r="J1140" i="11"/>
  <c r="K1140" i="11" s="1"/>
  <c r="L1140" i="11" s="1"/>
  <c r="M1140" i="11" s="1"/>
  <c r="H1141" i="11"/>
  <c r="I1141" i="11" s="1"/>
  <c r="J1141" i="11"/>
  <c r="K1141" i="11" s="1"/>
  <c r="L1141" i="11" s="1"/>
  <c r="M1141" i="11" s="1"/>
  <c r="H1142" i="11"/>
  <c r="I1142" i="11"/>
  <c r="J1142" i="11"/>
  <c r="K1142" i="11" s="1"/>
  <c r="L1142" i="11" s="1"/>
  <c r="M1142" i="11" s="1"/>
  <c r="H1143" i="11"/>
  <c r="I1143" i="11"/>
  <c r="J1143" i="11"/>
  <c r="K1143" i="11" s="1"/>
  <c r="L1143" i="11" s="1"/>
  <c r="M1143" i="11" s="1"/>
  <c r="H1144" i="11"/>
  <c r="I1144" i="11"/>
  <c r="J1144" i="11"/>
  <c r="K1144" i="11" s="1"/>
  <c r="L1144" i="11" s="1"/>
  <c r="M1144" i="11" s="1"/>
  <c r="H1145" i="11"/>
  <c r="I1145" i="11" s="1"/>
  <c r="J1145" i="11"/>
  <c r="K1145" i="11" s="1"/>
  <c r="L1145" i="11" s="1"/>
  <c r="M1145" i="11" s="1"/>
  <c r="H1146" i="11"/>
  <c r="I1146" i="11"/>
  <c r="J1146" i="11"/>
  <c r="K1146" i="11" s="1"/>
  <c r="L1146" i="11" s="1"/>
  <c r="M1146" i="11" s="1"/>
  <c r="H1147" i="11"/>
  <c r="I1147" i="11"/>
  <c r="J1147" i="11"/>
  <c r="K1147" i="11" s="1"/>
  <c r="L1147" i="11" s="1"/>
  <c r="M1147" i="11" s="1"/>
  <c r="H1148" i="11"/>
  <c r="I1148" i="11"/>
  <c r="J1148" i="11"/>
  <c r="K1148" i="11" s="1"/>
  <c r="L1148" i="11" s="1"/>
  <c r="M1148" i="11" s="1"/>
  <c r="H1149" i="11"/>
  <c r="I1149" i="11" s="1"/>
  <c r="J1149" i="11"/>
  <c r="K1149" i="11" s="1"/>
  <c r="L1149" i="11" s="1"/>
  <c r="M1149" i="11" s="1"/>
  <c r="H1150" i="11"/>
  <c r="I1150" i="11"/>
  <c r="J1150" i="11"/>
  <c r="K1150" i="11" s="1"/>
  <c r="L1150" i="11" s="1"/>
  <c r="M1150" i="11" s="1"/>
  <c r="H1151" i="11"/>
  <c r="I1151" i="11"/>
  <c r="J1151" i="11"/>
  <c r="K1151" i="11" s="1"/>
  <c r="L1151" i="11" s="1"/>
  <c r="M1151" i="11" s="1"/>
  <c r="H1152" i="11"/>
  <c r="I1152" i="11"/>
  <c r="J1152" i="11"/>
  <c r="K1152" i="11" s="1"/>
  <c r="L1152" i="11" s="1"/>
  <c r="M1152" i="11" s="1"/>
  <c r="H1153" i="11"/>
  <c r="I1153" i="11" s="1"/>
  <c r="J1153" i="11"/>
  <c r="K1153" i="11" s="1"/>
  <c r="L1153" i="11" s="1"/>
  <c r="M1153" i="11" s="1"/>
  <c r="H1154" i="11"/>
  <c r="I1154" i="11"/>
  <c r="J1154" i="11"/>
  <c r="K1154" i="11" s="1"/>
  <c r="L1154" i="11" s="1"/>
  <c r="M1154" i="11" s="1"/>
  <c r="H1155" i="11"/>
  <c r="I1155" i="11"/>
  <c r="J1155" i="11"/>
  <c r="K1155" i="11" s="1"/>
  <c r="L1155" i="11" s="1"/>
  <c r="M1155" i="11" s="1"/>
  <c r="H1156" i="11"/>
  <c r="I1156" i="11"/>
  <c r="J1156" i="11"/>
  <c r="K1156" i="11" s="1"/>
  <c r="L1156" i="11" s="1"/>
  <c r="M1156" i="11" s="1"/>
  <c r="H1157" i="11"/>
  <c r="I1157" i="11" s="1"/>
  <c r="J1157" i="11"/>
  <c r="K1157" i="11" s="1"/>
  <c r="L1157" i="11" s="1"/>
  <c r="M1157" i="11" s="1"/>
  <c r="H1158" i="11"/>
  <c r="I1158" i="11"/>
  <c r="J1158" i="11"/>
  <c r="K1158" i="11" s="1"/>
  <c r="L1158" i="11" s="1"/>
  <c r="M1158" i="11" s="1"/>
  <c r="H1159" i="11"/>
  <c r="I1159" i="11"/>
  <c r="J1159" i="11"/>
  <c r="K1159" i="11" s="1"/>
  <c r="L1159" i="11" s="1"/>
  <c r="M1159" i="11" s="1"/>
  <c r="H1160" i="11"/>
  <c r="I1160" i="11"/>
  <c r="J1160" i="11"/>
  <c r="K1160" i="11" s="1"/>
  <c r="L1160" i="11" s="1"/>
  <c r="M1160" i="11" s="1"/>
  <c r="H1161" i="11"/>
  <c r="I1161" i="11" s="1"/>
  <c r="J1161" i="11"/>
  <c r="K1161" i="11" s="1"/>
  <c r="L1161" i="11" s="1"/>
  <c r="M1161" i="11" s="1"/>
  <c r="H1162" i="11"/>
  <c r="I1162" i="11"/>
  <c r="J1162" i="11"/>
  <c r="K1162" i="11" s="1"/>
  <c r="L1162" i="11" s="1"/>
  <c r="M1162" i="11" s="1"/>
  <c r="H1163" i="11"/>
  <c r="I1163" i="11"/>
  <c r="J1163" i="11"/>
  <c r="K1163" i="11" s="1"/>
  <c r="L1163" i="11" s="1"/>
  <c r="M1163" i="11" s="1"/>
  <c r="H1164" i="11"/>
  <c r="I1164" i="11"/>
  <c r="J1164" i="11"/>
  <c r="K1164" i="11" s="1"/>
  <c r="L1164" i="11" s="1"/>
  <c r="M1164" i="11" s="1"/>
  <c r="H1165" i="11"/>
  <c r="I1165" i="11" s="1"/>
  <c r="J1165" i="11"/>
  <c r="K1165" i="11" s="1"/>
  <c r="L1165" i="11" s="1"/>
  <c r="M1165" i="11" s="1"/>
  <c r="H1166" i="11"/>
  <c r="I1166" i="11"/>
  <c r="J1166" i="11"/>
  <c r="K1166" i="11" s="1"/>
  <c r="L1166" i="11" s="1"/>
  <c r="M1166" i="11" s="1"/>
  <c r="H1167" i="11"/>
  <c r="I1167" i="11"/>
  <c r="J1167" i="11"/>
  <c r="K1167" i="11" s="1"/>
  <c r="L1167" i="11" s="1"/>
  <c r="M1167" i="11" s="1"/>
  <c r="H1168" i="11"/>
  <c r="I1168" i="11"/>
  <c r="J1168" i="11"/>
  <c r="K1168" i="11" s="1"/>
  <c r="L1168" i="11" s="1"/>
  <c r="M1168" i="11" s="1"/>
  <c r="H1169" i="11"/>
  <c r="I1169" i="11" s="1"/>
  <c r="J1169" i="11"/>
  <c r="K1169" i="11" s="1"/>
  <c r="L1169" i="11" s="1"/>
  <c r="M1169" i="11" s="1"/>
  <c r="H1170" i="11"/>
  <c r="I1170" i="11"/>
  <c r="J1170" i="11"/>
  <c r="K1170" i="11" s="1"/>
  <c r="L1170" i="11" s="1"/>
  <c r="M1170" i="11" s="1"/>
  <c r="H1171" i="11"/>
  <c r="I1171" i="11"/>
  <c r="J1171" i="11"/>
  <c r="K1171" i="11" s="1"/>
  <c r="L1171" i="11" s="1"/>
  <c r="M1171" i="11" s="1"/>
  <c r="H1172" i="11"/>
  <c r="I1172" i="11"/>
  <c r="J1172" i="11"/>
  <c r="K1172" i="11" s="1"/>
  <c r="L1172" i="11" s="1"/>
  <c r="M1172" i="11" s="1"/>
  <c r="H1173" i="11"/>
  <c r="I1173" i="11" s="1"/>
  <c r="J1173" i="11"/>
  <c r="K1173" i="11" s="1"/>
  <c r="L1173" i="11" s="1"/>
  <c r="M1173" i="11" s="1"/>
  <c r="H1174" i="11"/>
  <c r="I1174" i="11"/>
  <c r="J1174" i="11"/>
  <c r="K1174" i="11" s="1"/>
  <c r="L1174" i="11" s="1"/>
  <c r="M1174" i="11" s="1"/>
  <c r="H1175" i="11"/>
  <c r="I1175" i="11"/>
  <c r="J1175" i="11"/>
  <c r="K1175" i="11" s="1"/>
  <c r="L1175" i="11" s="1"/>
  <c r="M1175" i="11" s="1"/>
  <c r="H1176" i="11"/>
  <c r="I1176" i="11"/>
  <c r="J1176" i="11"/>
  <c r="K1176" i="11" s="1"/>
  <c r="L1176" i="11" s="1"/>
  <c r="M1176" i="11" s="1"/>
  <c r="H1177" i="11"/>
  <c r="I1177" i="11" s="1"/>
  <c r="J1177" i="11"/>
  <c r="K1177" i="11" s="1"/>
  <c r="L1177" i="11" s="1"/>
  <c r="M1177" i="11" s="1"/>
  <c r="H1178" i="11"/>
  <c r="I1178" i="11"/>
  <c r="J1178" i="11"/>
  <c r="K1178" i="11" s="1"/>
  <c r="L1178" i="11" s="1"/>
  <c r="M1178" i="11" s="1"/>
  <c r="H1179" i="11"/>
  <c r="I1179" i="11"/>
  <c r="J1179" i="11"/>
  <c r="K1179" i="11" s="1"/>
  <c r="L1179" i="11" s="1"/>
  <c r="M1179" i="11" s="1"/>
  <c r="H1180" i="11"/>
  <c r="I1180" i="11"/>
  <c r="J1180" i="11"/>
  <c r="K1180" i="11" s="1"/>
  <c r="L1180" i="11" s="1"/>
  <c r="M1180" i="11" s="1"/>
  <c r="H1181" i="11"/>
  <c r="I1181" i="11" s="1"/>
  <c r="J1181" i="11"/>
  <c r="K1181" i="11" s="1"/>
  <c r="L1181" i="11" s="1"/>
  <c r="M1181" i="11" s="1"/>
  <c r="H1182" i="11"/>
  <c r="I1182" i="11"/>
  <c r="J1182" i="11"/>
  <c r="K1182" i="11" s="1"/>
  <c r="L1182" i="11" s="1"/>
  <c r="M1182" i="11" s="1"/>
  <c r="H1183" i="11"/>
  <c r="I1183" i="11"/>
  <c r="J1183" i="11"/>
  <c r="K1183" i="11" s="1"/>
  <c r="L1183" i="11" s="1"/>
  <c r="M1183" i="11" s="1"/>
  <c r="H1184" i="11"/>
  <c r="I1184" i="11"/>
  <c r="J1184" i="11"/>
  <c r="K1184" i="11"/>
  <c r="L1184" i="11" s="1"/>
  <c r="M1184" i="11" s="1"/>
  <c r="H1185" i="11"/>
  <c r="I1185" i="11" s="1"/>
  <c r="J1185" i="11"/>
  <c r="K1185" i="11" s="1"/>
  <c r="L1185" i="11" s="1"/>
  <c r="M1185" i="11" s="1"/>
  <c r="H1186" i="11"/>
  <c r="I1186" i="11"/>
  <c r="J1186" i="11"/>
  <c r="K1186" i="11" s="1"/>
  <c r="L1186" i="11" s="1"/>
  <c r="M1186" i="11" s="1"/>
  <c r="H1187" i="11"/>
  <c r="I1187" i="11"/>
  <c r="J1187" i="11"/>
  <c r="K1187" i="11" s="1"/>
  <c r="L1187" i="11" s="1"/>
  <c r="M1187" i="11" s="1"/>
  <c r="H1188" i="11"/>
  <c r="I1188" i="11"/>
  <c r="J1188" i="11"/>
  <c r="K1188" i="11" s="1"/>
  <c r="L1188" i="11" s="1"/>
  <c r="M1188" i="11" s="1"/>
  <c r="H1189" i="11"/>
  <c r="I1189" i="11" s="1"/>
  <c r="J1189" i="11"/>
  <c r="K1189" i="11" s="1"/>
  <c r="L1189" i="11" s="1"/>
  <c r="M1189" i="11" s="1"/>
  <c r="H1190" i="11"/>
  <c r="I1190" i="11"/>
  <c r="J1190" i="11"/>
  <c r="K1190" i="11" s="1"/>
  <c r="L1190" i="11" s="1"/>
  <c r="M1190" i="11" s="1"/>
  <c r="H1191" i="11"/>
  <c r="I1191" i="11"/>
  <c r="J1191" i="11"/>
  <c r="K1191" i="11" s="1"/>
  <c r="L1191" i="11" s="1"/>
  <c r="M1191" i="11" s="1"/>
  <c r="H1192" i="11"/>
  <c r="I1192" i="11"/>
  <c r="J1192" i="11"/>
  <c r="K1192" i="11" s="1"/>
  <c r="L1192" i="11" s="1"/>
  <c r="M1192" i="11" s="1"/>
  <c r="H1193" i="11"/>
  <c r="I1193" i="11" s="1"/>
  <c r="J1193" i="11"/>
  <c r="K1193" i="11" s="1"/>
  <c r="L1193" i="11" s="1"/>
  <c r="M1193" i="11" s="1"/>
  <c r="H1194" i="11"/>
  <c r="I1194" i="11"/>
  <c r="J1194" i="11"/>
  <c r="K1194" i="11" s="1"/>
  <c r="L1194" i="11" s="1"/>
  <c r="M1194" i="11" s="1"/>
  <c r="H1195" i="11"/>
  <c r="I1195" i="11" s="1"/>
  <c r="J1195" i="11"/>
  <c r="K1195" i="11" s="1"/>
  <c r="L1195" i="11" s="1"/>
  <c r="M1195" i="11" s="1"/>
  <c r="H1196" i="11"/>
  <c r="I1196" i="11"/>
  <c r="J1196" i="11"/>
  <c r="K1196" i="11" s="1"/>
  <c r="L1196" i="11" s="1"/>
  <c r="M1196" i="11" s="1"/>
  <c r="H1197" i="11"/>
  <c r="I1197" i="11" s="1"/>
  <c r="J1197" i="11"/>
  <c r="K1197" i="11" s="1"/>
  <c r="L1197" i="11" s="1"/>
  <c r="M1197" i="11" s="1"/>
  <c r="H1198" i="11"/>
  <c r="I1198" i="11"/>
  <c r="J1198" i="11"/>
  <c r="K1198" i="11" s="1"/>
  <c r="L1198" i="11" s="1"/>
  <c r="M1198" i="11" s="1"/>
  <c r="H1199" i="11"/>
  <c r="I1199" i="11" s="1"/>
  <c r="J1199" i="11"/>
  <c r="K1199" i="11" s="1"/>
  <c r="L1199" i="11" s="1"/>
  <c r="M1199" i="11" s="1"/>
  <c r="H1200" i="11"/>
  <c r="I1200" i="11"/>
  <c r="J1200" i="11"/>
  <c r="K1200" i="11" s="1"/>
  <c r="L1200" i="11" s="1"/>
  <c r="M1200" i="11" s="1"/>
  <c r="H9" i="11"/>
  <c r="I9" i="11" s="1"/>
  <c r="J9" i="11"/>
  <c r="K9" i="11" s="1"/>
  <c r="L9" i="11" s="1"/>
  <c r="M9" i="11" s="1"/>
  <c r="H10" i="11"/>
  <c r="I10" i="11"/>
  <c r="J10" i="11"/>
  <c r="K10" i="11" s="1"/>
  <c r="L10" i="11" s="1"/>
  <c r="M10" i="11" s="1"/>
  <c r="H11" i="11"/>
  <c r="I11" i="11" s="1"/>
  <c r="J11" i="11"/>
  <c r="K11" i="11" s="1"/>
  <c r="L11" i="11" s="1"/>
  <c r="M11" i="11" s="1"/>
  <c r="J3" i="11"/>
  <c r="K3" i="11" s="1"/>
  <c r="L3" i="11" s="1"/>
  <c r="M3" i="11" s="1"/>
  <c r="J4" i="11"/>
  <c r="K4" i="11" s="1"/>
  <c r="L4" i="11" s="1"/>
  <c r="M4" i="11" s="1"/>
  <c r="J5" i="11"/>
  <c r="K5" i="11" s="1"/>
  <c r="L5" i="11" s="1"/>
  <c r="M5" i="11" s="1"/>
  <c r="J6" i="11"/>
  <c r="K6" i="11" s="1"/>
  <c r="L6" i="11" s="1"/>
  <c r="M6" i="11" s="1"/>
  <c r="J7" i="11"/>
  <c r="K7" i="11" s="1"/>
  <c r="L7" i="11" s="1"/>
  <c r="M7" i="11" s="1"/>
  <c r="J8" i="11"/>
  <c r="K8" i="11" s="1"/>
  <c r="L8" i="11" s="1"/>
  <c r="M8" i="11" s="1"/>
  <c r="J2" i="11"/>
  <c r="K2" i="11" s="1"/>
  <c r="L2" i="11" s="1"/>
  <c r="M2" i="11" s="1"/>
  <c r="I4" i="11"/>
  <c r="I5" i="11"/>
  <c r="H3" i="11"/>
  <c r="I3" i="11" s="1"/>
  <c r="H4" i="11"/>
  <c r="H5" i="11"/>
  <c r="H6" i="11"/>
  <c r="I6" i="11" s="1"/>
  <c r="H7" i="11"/>
  <c r="I7" i="11" s="1"/>
  <c r="H8" i="11"/>
  <c r="I8" i="11" s="1"/>
  <c r="H2" i="11"/>
  <c r="I2" i="11" s="1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34" i="10"/>
  <c r="J34" i="10"/>
  <c r="G35" i="10"/>
  <c r="J35" i="10"/>
  <c r="G36" i="10"/>
  <c r="J36" i="10"/>
  <c r="G37" i="10"/>
  <c r="J37" i="10"/>
  <c r="G38" i="10"/>
  <c r="J38" i="10"/>
  <c r="G39" i="10"/>
  <c r="J39" i="10"/>
  <c r="G40" i="10"/>
  <c r="J40" i="10"/>
  <c r="G41" i="10"/>
  <c r="J41" i="10"/>
  <c r="G42" i="10"/>
  <c r="J42" i="10"/>
  <c r="G43" i="10"/>
  <c r="J43" i="10"/>
  <c r="G44" i="10"/>
  <c r="J44" i="10"/>
  <c r="G45" i="10"/>
  <c r="J45" i="10"/>
  <c r="G46" i="10"/>
  <c r="J46" i="10"/>
  <c r="G47" i="10"/>
  <c r="J47" i="10"/>
  <c r="G48" i="10"/>
  <c r="J48" i="10"/>
  <c r="G49" i="10"/>
  <c r="J49" i="10"/>
  <c r="G50" i="10"/>
  <c r="J50" i="10"/>
  <c r="G51" i="10"/>
  <c r="J51" i="10"/>
  <c r="G52" i="10"/>
  <c r="J52" i="10"/>
  <c r="G53" i="10"/>
  <c r="J53" i="10"/>
  <c r="G54" i="10"/>
  <c r="J54" i="10"/>
  <c r="G55" i="10"/>
  <c r="J55" i="10"/>
  <c r="G56" i="10"/>
  <c r="J56" i="10"/>
  <c r="G57" i="10"/>
  <c r="J57" i="10"/>
  <c r="G58" i="10"/>
  <c r="J58" i="10"/>
  <c r="G59" i="10"/>
  <c r="J59" i="10"/>
  <c r="G60" i="10"/>
  <c r="J60" i="10"/>
  <c r="G61" i="10"/>
  <c r="J61" i="10"/>
  <c r="G62" i="10"/>
  <c r="J62" i="10"/>
  <c r="G63" i="10"/>
  <c r="J63" i="10"/>
  <c r="G64" i="10"/>
  <c r="J64" i="10"/>
  <c r="G65" i="10"/>
  <c r="J65" i="10"/>
  <c r="G66" i="10"/>
  <c r="J66" i="10"/>
  <c r="G67" i="10"/>
  <c r="J67" i="10"/>
  <c r="G68" i="10"/>
  <c r="J68" i="10"/>
  <c r="G69" i="10"/>
  <c r="J69" i="10"/>
  <c r="G70" i="10"/>
  <c r="J70" i="10"/>
  <c r="G71" i="10"/>
  <c r="J71" i="10"/>
  <c r="G72" i="10"/>
  <c r="J72" i="10"/>
  <c r="G73" i="10"/>
  <c r="J73" i="10"/>
  <c r="G74" i="10"/>
  <c r="J74" i="10"/>
  <c r="G75" i="10"/>
  <c r="J75" i="10"/>
  <c r="G76" i="10"/>
  <c r="J76" i="10"/>
  <c r="G77" i="10"/>
  <c r="J77" i="10"/>
  <c r="G78" i="10"/>
  <c r="J78" i="10"/>
  <c r="G79" i="10"/>
  <c r="J79" i="10"/>
  <c r="G80" i="10"/>
  <c r="J80" i="10"/>
  <c r="G81" i="10"/>
  <c r="J81" i="10"/>
  <c r="G82" i="10"/>
  <c r="J82" i="10"/>
  <c r="G83" i="10"/>
  <c r="J83" i="10"/>
  <c r="G84" i="10"/>
  <c r="J84" i="10"/>
  <c r="G85" i="10"/>
  <c r="J85" i="10"/>
  <c r="G86" i="10"/>
  <c r="J86" i="10"/>
  <c r="G87" i="10"/>
  <c r="J87" i="10"/>
  <c r="G88" i="10"/>
  <c r="J88" i="10"/>
  <c r="G89" i="10"/>
  <c r="J89" i="10"/>
  <c r="G90" i="10"/>
  <c r="J90" i="10"/>
  <c r="G91" i="10"/>
  <c r="J91" i="10"/>
  <c r="G92" i="10"/>
  <c r="J92" i="10"/>
  <c r="G93" i="10"/>
  <c r="J93" i="10"/>
  <c r="G94" i="10"/>
  <c r="J94" i="10"/>
  <c r="G95" i="10"/>
  <c r="J95" i="10"/>
  <c r="G96" i="10"/>
  <c r="J96" i="10"/>
  <c r="G97" i="10"/>
  <c r="J97" i="10"/>
  <c r="G98" i="10"/>
  <c r="J98" i="10"/>
  <c r="G99" i="10"/>
  <c r="J99" i="10"/>
  <c r="G100" i="10"/>
  <c r="J100" i="10"/>
  <c r="G101" i="10"/>
  <c r="J101" i="10"/>
  <c r="G102" i="10"/>
  <c r="J102" i="10"/>
  <c r="G103" i="10"/>
  <c r="J103" i="10"/>
  <c r="G104" i="10"/>
  <c r="J104" i="10"/>
  <c r="G105" i="10"/>
  <c r="J105" i="10"/>
  <c r="G106" i="10"/>
  <c r="J106" i="10"/>
  <c r="G107" i="10"/>
  <c r="J107" i="10"/>
  <c r="G108" i="10"/>
  <c r="J108" i="10"/>
  <c r="G109" i="10"/>
  <c r="J109" i="10"/>
  <c r="G110" i="10"/>
  <c r="J110" i="10"/>
  <c r="G111" i="10"/>
  <c r="J111" i="10"/>
  <c r="G112" i="10"/>
  <c r="J112" i="10"/>
  <c r="G113" i="10"/>
  <c r="J113" i="10"/>
  <c r="G114" i="10"/>
  <c r="J114" i="10"/>
  <c r="G115" i="10"/>
  <c r="J115" i="10"/>
  <c r="G116" i="10"/>
  <c r="J116" i="10"/>
  <c r="G117" i="10"/>
  <c r="J117" i="10"/>
  <c r="G118" i="10"/>
  <c r="J118" i="10"/>
  <c r="G119" i="10"/>
  <c r="J119" i="10"/>
  <c r="G120" i="10"/>
  <c r="J120" i="10"/>
  <c r="G121" i="10"/>
  <c r="J121" i="10"/>
  <c r="G122" i="10"/>
  <c r="J122" i="10"/>
  <c r="G123" i="10"/>
  <c r="J123" i="10"/>
  <c r="G124" i="10"/>
  <c r="J124" i="10"/>
  <c r="G125" i="10"/>
  <c r="J125" i="10"/>
  <c r="G126" i="10"/>
  <c r="J126" i="10"/>
  <c r="G127" i="10"/>
  <c r="J127" i="10"/>
  <c r="G128" i="10"/>
  <c r="J128" i="10"/>
  <c r="G129" i="10"/>
  <c r="J129" i="10"/>
  <c r="G130" i="10"/>
  <c r="J130" i="10"/>
  <c r="G131" i="10"/>
  <c r="J131" i="10"/>
  <c r="G132" i="10"/>
  <c r="J132" i="10"/>
  <c r="G133" i="10"/>
  <c r="J133" i="10"/>
  <c r="G134" i="10"/>
  <c r="J134" i="10"/>
  <c r="G135" i="10"/>
  <c r="J135" i="10"/>
  <c r="G136" i="10"/>
  <c r="J136" i="10"/>
  <c r="G137" i="10"/>
  <c r="J137" i="10"/>
  <c r="G138" i="10"/>
  <c r="J138" i="10"/>
  <c r="G139" i="10"/>
  <c r="J139" i="10"/>
  <c r="G140" i="10"/>
  <c r="J140" i="10"/>
  <c r="G141" i="10"/>
  <c r="J141" i="10"/>
  <c r="G142" i="10"/>
  <c r="J142" i="10"/>
  <c r="G143" i="10"/>
  <c r="J143" i="10"/>
  <c r="G144" i="10"/>
  <c r="J144" i="10"/>
  <c r="G145" i="10"/>
  <c r="H145" i="10"/>
  <c r="J145" i="10"/>
  <c r="G146" i="10"/>
  <c r="J146" i="10"/>
  <c r="G147" i="10"/>
  <c r="J147" i="10"/>
  <c r="G148" i="10"/>
  <c r="J148" i="10"/>
  <c r="G149" i="10"/>
  <c r="J149" i="10"/>
  <c r="G150" i="10"/>
  <c r="J150" i="10"/>
  <c r="G151" i="10"/>
  <c r="J151" i="10"/>
  <c r="G152" i="10"/>
  <c r="J152" i="10"/>
  <c r="G153" i="10"/>
  <c r="J153" i="10"/>
  <c r="G154" i="10"/>
  <c r="J154" i="10"/>
  <c r="G155" i="10"/>
  <c r="J155" i="10"/>
  <c r="G156" i="10"/>
  <c r="J156" i="10"/>
  <c r="G157" i="10"/>
  <c r="J157" i="10"/>
  <c r="G158" i="10"/>
  <c r="J158" i="10"/>
  <c r="G159" i="10"/>
  <c r="J159" i="10"/>
  <c r="G160" i="10"/>
  <c r="J160" i="10"/>
  <c r="G161" i="10"/>
  <c r="J161" i="10"/>
  <c r="G162" i="10"/>
  <c r="J162" i="10"/>
  <c r="G163" i="10"/>
  <c r="J163" i="10"/>
  <c r="G164" i="10"/>
  <c r="J164" i="10"/>
  <c r="G165" i="10"/>
  <c r="J165" i="10"/>
  <c r="G166" i="10"/>
  <c r="J166" i="10"/>
  <c r="G167" i="10"/>
  <c r="J167" i="10"/>
  <c r="G168" i="10"/>
  <c r="J168" i="10"/>
  <c r="G169" i="10"/>
  <c r="J169" i="10"/>
  <c r="G170" i="10"/>
  <c r="J170" i="10"/>
  <c r="G171" i="10"/>
  <c r="J171" i="10"/>
  <c r="G172" i="10"/>
  <c r="J172" i="10"/>
  <c r="G173" i="10"/>
  <c r="J173" i="10"/>
  <c r="G174" i="10"/>
  <c r="J174" i="10"/>
  <c r="G175" i="10"/>
  <c r="J175" i="10"/>
  <c r="G176" i="10"/>
  <c r="J176" i="10"/>
  <c r="G177" i="10"/>
  <c r="J177" i="10"/>
  <c r="G178" i="10"/>
  <c r="J178" i="10"/>
  <c r="G179" i="10"/>
  <c r="J179" i="10"/>
  <c r="G180" i="10"/>
  <c r="J180" i="10"/>
  <c r="G181" i="10"/>
  <c r="J181" i="10"/>
  <c r="G182" i="10"/>
  <c r="J182" i="10"/>
  <c r="G183" i="10"/>
  <c r="J183" i="10"/>
  <c r="G184" i="10"/>
  <c r="J184" i="10"/>
  <c r="G185" i="10"/>
  <c r="H185" i="10"/>
  <c r="J185" i="10"/>
  <c r="G186" i="10"/>
  <c r="J186" i="10"/>
  <c r="G187" i="10"/>
  <c r="H187" i="10"/>
  <c r="J187" i="10"/>
  <c r="G188" i="10"/>
  <c r="J188" i="10"/>
  <c r="G189" i="10"/>
  <c r="J189" i="10"/>
  <c r="G190" i="10"/>
  <c r="J190" i="10"/>
  <c r="G191" i="10"/>
  <c r="J191" i="10"/>
  <c r="G192" i="10"/>
  <c r="J192" i="10"/>
  <c r="G193" i="10"/>
  <c r="J193" i="10"/>
  <c r="G194" i="10"/>
  <c r="J194" i="10"/>
  <c r="G195" i="10"/>
  <c r="J195" i="10"/>
  <c r="G196" i="10"/>
  <c r="J196" i="10"/>
  <c r="G197" i="10"/>
  <c r="J197" i="10"/>
  <c r="G198" i="10"/>
  <c r="J198" i="10"/>
  <c r="G199" i="10"/>
  <c r="J199" i="10"/>
  <c r="G200" i="10"/>
  <c r="J200" i="10"/>
  <c r="G201" i="10"/>
  <c r="J201" i="10"/>
  <c r="G202" i="10"/>
  <c r="J202" i="10"/>
  <c r="G203" i="10"/>
  <c r="J203" i="10"/>
  <c r="G204" i="10"/>
  <c r="J204" i="10"/>
  <c r="G205" i="10"/>
  <c r="J205" i="10"/>
  <c r="G206" i="10"/>
  <c r="J206" i="10"/>
  <c r="G207" i="10"/>
  <c r="J207" i="10"/>
  <c r="G208" i="10"/>
  <c r="J208" i="10"/>
  <c r="G209" i="10"/>
  <c r="J209" i="10"/>
  <c r="G210" i="10"/>
  <c r="J210" i="10"/>
  <c r="G211" i="10"/>
  <c r="J211" i="10"/>
  <c r="G212" i="10"/>
  <c r="J212" i="10"/>
  <c r="G213" i="10"/>
  <c r="J213" i="10"/>
  <c r="G214" i="10"/>
  <c r="J214" i="10"/>
  <c r="G215" i="10"/>
  <c r="J215" i="10"/>
  <c r="G216" i="10"/>
  <c r="J216" i="10"/>
  <c r="G217" i="10"/>
  <c r="J217" i="10"/>
  <c r="G218" i="10"/>
  <c r="J218" i="10"/>
  <c r="G219" i="10"/>
  <c r="J219" i="10"/>
  <c r="G220" i="10"/>
  <c r="J220" i="10"/>
  <c r="G221" i="10"/>
  <c r="J221" i="10"/>
  <c r="G222" i="10"/>
  <c r="J222" i="10"/>
  <c r="G223" i="10"/>
  <c r="J223" i="10"/>
  <c r="G224" i="10"/>
  <c r="J224" i="10"/>
  <c r="G225" i="10"/>
  <c r="J225" i="10"/>
  <c r="G226" i="10"/>
  <c r="J226" i="10"/>
  <c r="G227" i="10"/>
  <c r="J227" i="10"/>
  <c r="G228" i="10"/>
  <c r="J228" i="10"/>
  <c r="G229" i="10"/>
  <c r="J229" i="10"/>
  <c r="G230" i="10"/>
  <c r="J230" i="10"/>
  <c r="G231" i="10"/>
  <c r="J231" i="10"/>
  <c r="G232" i="10"/>
  <c r="J232" i="10"/>
  <c r="G233" i="10"/>
  <c r="J233" i="10"/>
  <c r="G234" i="10"/>
  <c r="J234" i="10"/>
  <c r="G235" i="10"/>
  <c r="J235" i="10"/>
  <c r="G236" i="10"/>
  <c r="J236" i="10"/>
  <c r="G237" i="10"/>
  <c r="J237" i="10"/>
  <c r="G238" i="10"/>
  <c r="J238" i="10"/>
  <c r="G239" i="10"/>
  <c r="J239" i="10"/>
  <c r="G240" i="10"/>
  <c r="J240" i="10"/>
  <c r="G241" i="10"/>
  <c r="J241" i="10"/>
  <c r="G242" i="10"/>
  <c r="J242" i="10"/>
  <c r="G243" i="10"/>
  <c r="J243" i="10"/>
  <c r="G244" i="10"/>
  <c r="J244" i="10"/>
  <c r="G245" i="10"/>
  <c r="J245" i="10"/>
  <c r="G246" i="10"/>
  <c r="J246" i="10"/>
  <c r="G247" i="10"/>
  <c r="H247" i="10"/>
  <c r="J247" i="10"/>
  <c r="G248" i="10"/>
  <c r="J248" i="10"/>
  <c r="G249" i="10"/>
  <c r="H249" i="10"/>
  <c r="J249" i="10"/>
  <c r="G250" i="10"/>
  <c r="J250" i="10"/>
  <c r="G251" i="10"/>
  <c r="H251" i="10"/>
  <c r="J251" i="10"/>
  <c r="G252" i="10"/>
  <c r="J252" i="10"/>
  <c r="G253" i="10"/>
  <c r="H253" i="10"/>
  <c r="J253" i="10"/>
  <c r="G254" i="10"/>
  <c r="J254" i="10"/>
  <c r="G255" i="10"/>
  <c r="J255" i="10"/>
  <c r="G256" i="10"/>
  <c r="J256" i="10"/>
  <c r="G257" i="10"/>
  <c r="J257" i="10"/>
  <c r="G258" i="10"/>
  <c r="J258" i="10"/>
  <c r="G259" i="10"/>
  <c r="J259" i="10"/>
  <c r="G260" i="10"/>
  <c r="J260" i="10"/>
  <c r="G261" i="10"/>
  <c r="J261" i="10"/>
  <c r="G262" i="10"/>
  <c r="J262" i="10"/>
  <c r="G263" i="10"/>
  <c r="J263" i="10"/>
  <c r="G264" i="10"/>
  <c r="J264" i="10"/>
  <c r="G265" i="10"/>
  <c r="H265" i="10"/>
  <c r="J265" i="10"/>
  <c r="G266" i="10"/>
  <c r="J266" i="10"/>
  <c r="G267" i="10"/>
  <c r="H267" i="10"/>
  <c r="J267" i="10"/>
  <c r="G268" i="10"/>
  <c r="J268" i="10"/>
  <c r="G269" i="10"/>
  <c r="H269" i="10"/>
  <c r="J269" i="10"/>
  <c r="G270" i="10"/>
  <c r="J270" i="10"/>
  <c r="G271" i="10"/>
  <c r="H271" i="10"/>
  <c r="J271" i="10"/>
  <c r="G272" i="10"/>
  <c r="J272" i="10"/>
  <c r="G273" i="10"/>
  <c r="J273" i="10"/>
  <c r="G274" i="10"/>
  <c r="J274" i="10"/>
  <c r="G275" i="10"/>
  <c r="J275" i="10"/>
  <c r="G276" i="10"/>
  <c r="J276" i="10"/>
  <c r="G277" i="10"/>
  <c r="H277" i="10"/>
  <c r="J277" i="10"/>
  <c r="G278" i="10"/>
  <c r="J278" i="10"/>
  <c r="G279" i="10"/>
  <c r="H279" i="10"/>
  <c r="J279" i="10"/>
  <c r="G280" i="10"/>
  <c r="J280" i="10"/>
  <c r="G281" i="10"/>
  <c r="H281" i="10"/>
  <c r="J281" i="10"/>
  <c r="G282" i="10"/>
  <c r="J282" i="10"/>
  <c r="G283" i="10"/>
  <c r="H283" i="10"/>
  <c r="J283" i="10"/>
  <c r="G284" i="10"/>
  <c r="J284" i="10"/>
  <c r="G285" i="10"/>
  <c r="H285" i="10"/>
  <c r="J285" i="10"/>
  <c r="G286" i="10"/>
  <c r="J286" i="10"/>
  <c r="G287" i="10"/>
  <c r="H287" i="10"/>
  <c r="J287" i="10"/>
  <c r="G288" i="10"/>
  <c r="J288" i="10"/>
  <c r="G289" i="10"/>
  <c r="J289" i="10"/>
  <c r="G290" i="10"/>
  <c r="J290" i="10"/>
  <c r="G291" i="10"/>
  <c r="J291" i="10"/>
  <c r="G292" i="10"/>
  <c r="J292" i="10"/>
  <c r="G293" i="10"/>
  <c r="H293" i="10"/>
  <c r="J293" i="10"/>
  <c r="G294" i="10"/>
  <c r="J294" i="10"/>
  <c r="G295" i="10"/>
  <c r="H295" i="10"/>
  <c r="J295" i="10"/>
  <c r="G296" i="10"/>
  <c r="J296" i="10"/>
  <c r="G297" i="10"/>
  <c r="H297" i="10"/>
  <c r="J297" i="10"/>
  <c r="G298" i="10"/>
  <c r="J298" i="10"/>
  <c r="G299" i="10"/>
  <c r="H299" i="10"/>
  <c r="J299" i="10"/>
  <c r="G300" i="10"/>
  <c r="J300" i="10"/>
  <c r="G301" i="10"/>
  <c r="H301" i="10"/>
  <c r="J301" i="10"/>
  <c r="G302" i="10"/>
  <c r="J302" i="10"/>
  <c r="G303" i="10"/>
  <c r="H303" i="10"/>
  <c r="J303" i="10"/>
  <c r="G304" i="10"/>
  <c r="J304" i="10"/>
  <c r="G305" i="10"/>
  <c r="J305" i="10"/>
  <c r="G306" i="10"/>
  <c r="J306" i="10"/>
  <c r="G307" i="10"/>
  <c r="J307" i="10"/>
  <c r="G308" i="10"/>
  <c r="J308" i="10"/>
  <c r="G309" i="10"/>
  <c r="H309" i="10"/>
  <c r="J309" i="10"/>
  <c r="G310" i="10"/>
  <c r="J310" i="10"/>
  <c r="G311" i="10"/>
  <c r="H311" i="10"/>
  <c r="J311" i="10"/>
  <c r="G312" i="10"/>
  <c r="J312" i="10"/>
  <c r="G313" i="10"/>
  <c r="H313" i="10"/>
  <c r="J313" i="10"/>
  <c r="G314" i="10"/>
  <c r="J314" i="10"/>
  <c r="G315" i="10"/>
  <c r="H315" i="10"/>
  <c r="J315" i="10"/>
  <c r="G316" i="10"/>
  <c r="J316" i="10"/>
  <c r="G317" i="10"/>
  <c r="H317" i="10"/>
  <c r="J317" i="10"/>
  <c r="G318" i="10"/>
  <c r="J318" i="10"/>
  <c r="G319" i="10"/>
  <c r="H319" i="10"/>
  <c r="J319" i="10"/>
  <c r="G320" i="10"/>
  <c r="J320" i="10"/>
  <c r="G321" i="10"/>
  <c r="J321" i="10"/>
  <c r="G322" i="10"/>
  <c r="H322" i="10"/>
  <c r="J322" i="10"/>
  <c r="G323" i="10"/>
  <c r="J323" i="10"/>
  <c r="G324" i="10"/>
  <c r="H324" i="10"/>
  <c r="J324" i="10"/>
  <c r="G325" i="10"/>
  <c r="J325" i="10"/>
  <c r="G326" i="10"/>
  <c r="H326" i="10"/>
  <c r="J326" i="10"/>
  <c r="G327" i="10"/>
  <c r="J327" i="10"/>
  <c r="G328" i="10"/>
  <c r="H328" i="10"/>
  <c r="J328" i="10"/>
  <c r="G329" i="10"/>
  <c r="J329" i="10"/>
  <c r="G330" i="10"/>
  <c r="H330" i="10"/>
  <c r="J330" i="10"/>
  <c r="G331" i="10"/>
  <c r="J331" i="10"/>
  <c r="G332" i="10"/>
  <c r="H332" i="10"/>
  <c r="J332" i="10"/>
  <c r="G333" i="10"/>
  <c r="J333" i="10"/>
  <c r="G334" i="10"/>
  <c r="H334" i="10"/>
  <c r="J334" i="10"/>
  <c r="G335" i="10"/>
  <c r="J335" i="10"/>
  <c r="G336" i="10"/>
  <c r="H336" i="10"/>
  <c r="J336" i="10"/>
  <c r="G337" i="10"/>
  <c r="J337" i="10"/>
  <c r="G338" i="10"/>
  <c r="H338" i="10"/>
  <c r="J338" i="10"/>
  <c r="G339" i="10"/>
  <c r="J339" i="10"/>
  <c r="G340" i="10"/>
  <c r="H340" i="10"/>
  <c r="J340" i="10"/>
  <c r="G341" i="10"/>
  <c r="J341" i="10"/>
  <c r="G342" i="10"/>
  <c r="H342" i="10"/>
  <c r="J342" i="10"/>
  <c r="G343" i="10"/>
  <c r="J343" i="10"/>
  <c r="G344" i="10"/>
  <c r="H344" i="10"/>
  <c r="J344" i="10"/>
  <c r="G345" i="10"/>
  <c r="J345" i="10"/>
  <c r="G346" i="10"/>
  <c r="H346" i="10"/>
  <c r="J346" i="10"/>
  <c r="G347" i="10"/>
  <c r="J347" i="10"/>
  <c r="G348" i="10"/>
  <c r="H348" i="10"/>
  <c r="J348" i="10"/>
  <c r="G349" i="10"/>
  <c r="J349" i="10"/>
  <c r="G350" i="10"/>
  <c r="H350" i="10"/>
  <c r="J350" i="10"/>
  <c r="G351" i="10"/>
  <c r="J351" i="10"/>
  <c r="G352" i="10"/>
  <c r="H352" i="10"/>
  <c r="J352" i="10"/>
  <c r="G353" i="10"/>
  <c r="J353" i="10"/>
  <c r="G354" i="10"/>
  <c r="H354" i="10"/>
  <c r="J354" i="10"/>
  <c r="G355" i="10"/>
  <c r="J355" i="10"/>
  <c r="G356" i="10"/>
  <c r="H356" i="10"/>
  <c r="J356" i="10"/>
  <c r="G357" i="10"/>
  <c r="J357" i="10"/>
  <c r="G358" i="10"/>
  <c r="H358" i="10"/>
  <c r="J358" i="10"/>
  <c r="G359" i="10"/>
  <c r="J359" i="10"/>
  <c r="G360" i="10"/>
  <c r="H360" i="10"/>
  <c r="J360" i="10"/>
  <c r="G361" i="10"/>
  <c r="J361" i="10"/>
  <c r="G362" i="10"/>
  <c r="H362" i="10"/>
  <c r="J362" i="10"/>
  <c r="G363" i="10"/>
  <c r="J363" i="10"/>
  <c r="G364" i="10"/>
  <c r="H364" i="10"/>
  <c r="J364" i="10"/>
  <c r="G365" i="10"/>
  <c r="J365" i="10"/>
  <c r="G366" i="10"/>
  <c r="H366" i="10"/>
  <c r="J366" i="10"/>
  <c r="G367" i="10"/>
  <c r="J367" i="10"/>
  <c r="G368" i="10"/>
  <c r="H368" i="10"/>
  <c r="J368" i="10"/>
  <c r="G369" i="10"/>
  <c r="J369" i="10"/>
  <c r="G370" i="10"/>
  <c r="H370" i="10"/>
  <c r="J370" i="10"/>
  <c r="G371" i="10"/>
  <c r="J371" i="10"/>
  <c r="G372" i="10"/>
  <c r="H372" i="10"/>
  <c r="J372" i="10"/>
  <c r="G373" i="10"/>
  <c r="J373" i="10"/>
  <c r="G374" i="10"/>
  <c r="H374" i="10"/>
  <c r="J374" i="10"/>
  <c r="G375" i="10"/>
  <c r="J375" i="10"/>
  <c r="G376" i="10"/>
  <c r="H376" i="10"/>
  <c r="J376" i="10"/>
  <c r="G377" i="10"/>
  <c r="J377" i="10"/>
  <c r="G378" i="10"/>
  <c r="H378" i="10"/>
  <c r="J378" i="10"/>
  <c r="G379" i="10"/>
  <c r="J379" i="10"/>
  <c r="G380" i="10"/>
  <c r="H380" i="10"/>
  <c r="J380" i="10"/>
  <c r="G381" i="10"/>
  <c r="J381" i="10"/>
  <c r="G382" i="10"/>
  <c r="H382" i="10"/>
  <c r="J382" i="10"/>
  <c r="G383" i="10"/>
  <c r="J383" i="10"/>
  <c r="G384" i="10"/>
  <c r="H384" i="10"/>
  <c r="J384" i="10"/>
  <c r="G385" i="10"/>
  <c r="J385" i="10"/>
  <c r="G386" i="10"/>
  <c r="H386" i="10"/>
  <c r="J386" i="10"/>
  <c r="G387" i="10"/>
  <c r="J387" i="10"/>
  <c r="G388" i="10"/>
  <c r="H388" i="10"/>
  <c r="J388" i="10"/>
  <c r="G389" i="10"/>
  <c r="J389" i="10"/>
  <c r="G390" i="10"/>
  <c r="H390" i="10"/>
  <c r="J390" i="10"/>
  <c r="G391" i="10"/>
  <c r="J391" i="10"/>
  <c r="G392" i="10"/>
  <c r="H392" i="10"/>
  <c r="J392" i="10"/>
  <c r="G393" i="10"/>
  <c r="J393" i="10"/>
  <c r="G394" i="10"/>
  <c r="H394" i="10"/>
  <c r="J394" i="10"/>
  <c r="G395" i="10"/>
  <c r="J395" i="10"/>
  <c r="G396" i="10"/>
  <c r="H396" i="10"/>
  <c r="J396" i="10"/>
  <c r="G397" i="10"/>
  <c r="J397" i="10"/>
  <c r="G398" i="10"/>
  <c r="H398" i="10"/>
  <c r="J398" i="10"/>
  <c r="G399" i="10"/>
  <c r="J399" i="10"/>
  <c r="G400" i="10"/>
  <c r="H400" i="10"/>
  <c r="J400" i="10"/>
  <c r="G401" i="10"/>
  <c r="J401" i="10"/>
  <c r="G402" i="10"/>
  <c r="H402" i="10"/>
  <c r="J402" i="10"/>
  <c r="G403" i="10"/>
  <c r="J403" i="10"/>
  <c r="G404" i="10"/>
  <c r="H404" i="10"/>
  <c r="J404" i="10"/>
  <c r="G405" i="10"/>
  <c r="J405" i="10"/>
  <c r="G406" i="10"/>
  <c r="H406" i="10"/>
  <c r="J406" i="10"/>
  <c r="G407" i="10"/>
  <c r="J407" i="10"/>
  <c r="G408" i="10"/>
  <c r="H408" i="10"/>
  <c r="J408" i="10"/>
  <c r="G409" i="10"/>
  <c r="J409" i="10"/>
  <c r="G410" i="10"/>
  <c r="H410" i="10"/>
  <c r="J410" i="10"/>
  <c r="G411" i="10"/>
  <c r="J411" i="10"/>
  <c r="G412" i="10"/>
  <c r="H412" i="10"/>
  <c r="J412" i="10"/>
  <c r="G413" i="10"/>
  <c r="J413" i="10"/>
  <c r="G414" i="10"/>
  <c r="H414" i="10"/>
  <c r="J414" i="10"/>
  <c r="G415" i="10"/>
  <c r="J415" i="10"/>
  <c r="G416" i="10"/>
  <c r="H416" i="10"/>
  <c r="J416" i="10"/>
  <c r="G417" i="10"/>
  <c r="J417" i="10"/>
  <c r="G418" i="10"/>
  <c r="H418" i="10"/>
  <c r="J418" i="10"/>
  <c r="G419" i="10"/>
  <c r="J419" i="10"/>
  <c r="G420" i="10"/>
  <c r="H420" i="10"/>
  <c r="J420" i="10"/>
  <c r="G421" i="10"/>
  <c r="J421" i="10"/>
  <c r="G422" i="10"/>
  <c r="H422" i="10"/>
  <c r="J422" i="10"/>
  <c r="G423" i="10"/>
  <c r="J423" i="10"/>
  <c r="G424" i="10"/>
  <c r="H424" i="10"/>
  <c r="J424" i="10"/>
  <c r="G425" i="10"/>
  <c r="J425" i="10"/>
  <c r="G426" i="10"/>
  <c r="H426" i="10"/>
  <c r="J426" i="10"/>
  <c r="G427" i="10"/>
  <c r="J427" i="10"/>
  <c r="G428" i="10"/>
  <c r="H428" i="10"/>
  <c r="J428" i="10"/>
  <c r="G429" i="10"/>
  <c r="J429" i="10"/>
  <c r="G430" i="10"/>
  <c r="H430" i="10"/>
  <c r="J430" i="10"/>
  <c r="G431" i="10"/>
  <c r="J431" i="10"/>
  <c r="G432" i="10"/>
  <c r="H432" i="10"/>
  <c r="J432" i="10"/>
  <c r="G433" i="10"/>
  <c r="J433" i="10"/>
  <c r="G434" i="10"/>
  <c r="H434" i="10"/>
  <c r="J434" i="10"/>
  <c r="G435" i="10"/>
  <c r="J435" i="10"/>
  <c r="G436" i="10"/>
  <c r="H436" i="10"/>
  <c r="J436" i="10"/>
  <c r="G437" i="10"/>
  <c r="J437" i="10"/>
  <c r="G438" i="10"/>
  <c r="H438" i="10"/>
  <c r="J438" i="10"/>
  <c r="G439" i="10"/>
  <c r="J439" i="10"/>
  <c r="G440" i="10"/>
  <c r="H440" i="10"/>
  <c r="J440" i="10"/>
  <c r="G441" i="10"/>
  <c r="J441" i="10"/>
  <c r="G442" i="10"/>
  <c r="H442" i="10"/>
  <c r="J442" i="10"/>
  <c r="G443" i="10"/>
  <c r="J443" i="10"/>
  <c r="G444" i="10"/>
  <c r="H444" i="10"/>
  <c r="J444" i="10"/>
  <c r="G445" i="10"/>
  <c r="J445" i="10"/>
  <c r="G446" i="10"/>
  <c r="H446" i="10"/>
  <c r="J446" i="10"/>
  <c r="G447" i="10"/>
  <c r="J447" i="10"/>
  <c r="G448" i="10"/>
  <c r="H448" i="10"/>
  <c r="J448" i="10"/>
  <c r="G449" i="10"/>
  <c r="J449" i="10"/>
  <c r="G450" i="10"/>
  <c r="H450" i="10"/>
  <c r="J450" i="10"/>
  <c r="G451" i="10"/>
  <c r="J451" i="10"/>
  <c r="G452" i="10"/>
  <c r="H452" i="10"/>
  <c r="J452" i="10"/>
  <c r="G453" i="10"/>
  <c r="J453" i="10"/>
  <c r="G454" i="10"/>
  <c r="H454" i="10"/>
  <c r="J454" i="10"/>
  <c r="G455" i="10"/>
  <c r="J455" i="10"/>
  <c r="G456" i="10"/>
  <c r="H456" i="10"/>
  <c r="J456" i="10"/>
  <c r="G457" i="10"/>
  <c r="J457" i="10"/>
  <c r="G458" i="10"/>
  <c r="H458" i="10"/>
  <c r="J458" i="10"/>
  <c r="G459" i="10"/>
  <c r="J459" i="10"/>
  <c r="G460" i="10"/>
  <c r="H460" i="10"/>
  <c r="J460" i="10"/>
  <c r="G461" i="10"/>
  <c r="J461" i="10"/>
  <c r="G462" i="10"/>
  <c r="H462" i="10"/>
  <c r="J462" i="10"/>
  <c r="G463" i="10"/>
  <c r="J463" i="10"/>
  <c r="G464" i="10"/>
  <c r="H464" i="10"/>
  <c r="J464" i="10"/>
  <c r="G465" i="10"/>
  <c r="J465" i="10"/>
  <c r="G466" i="10"/>
  <c r="H466" i="10"/>
  <c r="J466" i="10"/>
  <c r="G467" i="10"/>
  <c r="J467" i="10"/>
  <c r="G468" i="10"/>
  <c r="H468" i="10"/>
  <c r="J468" i="10"/>
  <c r="G469" i="10"/>
  <c r="J469" i="10"/>
  <c r="G470" i="10"/>
  <c r="H470" i="10"/>
  <c r="J470" i="10"/>
  <c r="G471" i="10"/>
  <c r="J471" i="10"/>
  <c r="G472" i="10"/>
  <c r="H472" i="10"/>
  <c r="J472" i="10"/>
  <c r="G473" i="10"/>
  <c r="J473" i="10"/>
  <c r="G474" i="10"/>
  <c r="H474" i="10"/>
  <c r="J474" i="10"/>
  <c r="G475" i="10"/>
  <c r="J475" i="10"/>
  <c r="G476" i="10"/>
  <c r="H476" i="10"/>
  <c r="J476" i="10"/>
  <c r="G477" i="10"/>
  <c r="J477" i="10"/>
  <c r="G478" i="10"/>
  <c r="H478" i="10"/>
  <c r="J478" i="10"/>
  <c r="G479" i="10"/>
  <c r="J479" i="10"/>
  <c r="G480" i="10"/>
  <c r="H480" i="10"/>
  <c r="J480" i="10"/>
  <c r="G481" i="10"/>
  <c r="J481" i="10"/>
  <c r="G482" i="10"/>
  <c r="H482" i="10"/>
  <c r="J482" i="10"/>
  <c r="G483" i="10"/>
  <c r="J483" i="10"/>
  <c r="G484" i="10"/>
  <c r="H484" i="10"/>
  <c r="J484" i="10"/>
  <c r="G485" i="10"/>
  <c r="J485" i="10"/>
  <c r="G486" i="10"/>
  <c r="H486" i="10"/>
  <c r="J486" i="10"/>
  <c r="G487" i="10"/>
  <c r="J487" i="10"/>
  <c r="G488" i="10"/>
  <c r="H488" i="10"/>
  <c r="J488" i="10"/>
  <c r="G489" i="10"/>
  <c r="J489" i="10"/>
  <c r="G490" i="10"/>
  <c r="H490" i="10"/>
  <c r="J490" i="10"/>
  <c r="G491" i="10"/>
  <c r="J491" i="10"/>
  <c r="G492" i="10"/>
  <c r="H492" i="10"/>
  <c r="J492" i="10"/>
  <c r="G493" i="10"/>
  <c r="J493" i="10"/>
  <c r="G494" i="10"/>
  <c r="H494" i="10"/>
  <c r="J494" i="10"/>
  <c r="G495" i="10"/>
  <c r="J495" i="10"/>
  <c r="G496" i="10"/>
  <c r="H496" i="10"/>
  <c r="J496" i="10"/>
  <c r="G497" i="10"/>
  <c r="J497" i="10"/>
  <c r="G498" i="10"/>
  <c r="H498" i="10"/>
  <c r="J498" i="10"/>
  <c r="G499" i="10"/>
  <c r="J499" i="10"/>
  <c r="G500" i="10"/>
  <c r="H500" i="10"/>
  <c r="J500" i="10"/>
  <c r="G501" i="10"/>
  <c r="J501" i="10"/>
  <c r="G502" i="10"/>
  <c r="H502" i="10"/>
  <c r="J502" i="10"/>
  <c r="G503" i="10"/>
  <c r="J503" i="10"/>
  <c r="G504" i="10"/>
  <c r="H504" i="10"/>
  <c r="J504" i="10"/>
  <c r="G505" i="10"/>
  <c r="J505" i="10"/>
  <c r="G506" i="10"/>
  <c r="H506" i="10"/>
  <c r="J506" i="10"/>
  <c r="G507" i="10"/>
  <c r="J507" i="10"/>
  <c r="G508" i="10"/>
  <c r="H508" i="10"/>
  <c r="J508" i="10"/>
  <c r="G509" i="10"/>
  <c r="J509" i="10"/>
  <c r="G510" i="10"/>
  <c r="H510" i="10"/>
  <c r="J510" i="10"/>
  <c r="G511" i="10"/>
  <c r="J511" i="10"/>
  <c r="G512" i="10"/>
  <c r="H512" i="10"/>
  <c r="J512" i="10"/>
  <c r="G513" i="10"/>
  <c r="J513" i="10"/>
  <c r="G514" i="10"/>
  <c r="H514" i="10"/>
  <c r="J514" i="10"/>
  <c r="G515" i="10"/>
  <c r="J515" i="10"/>
  <c r="G516" i="10"/>
  <c r="H516" i="10"/>
  <c r="J516" i="10"/>
  <c r="G517" i="10"/>
  <c r="J517" i="10"/>
  <c r="G518" i="10"/>
  <c r="H518" i="10"/>
  <c r="J518" i="10"/>
  <c r="G519" i="10"/>
  <c r="J519" i="10"/>
  <c r="G520" i="10"/>
  <c r="H520" i="10"/>
  <c r="J520" i="10"/>
  <c r="G521" i="10"/>
  <c r="J521" i="10"/>
  <c r="G522" i="10"/>
  <c r="H522" i="10"/>
  <c r="J522" i="10"/>
  <c r="G523" i="10"/>
  <c r="J523" i="10"/>
  <c r="G524" i="10"/>
  <c r="H524" i="10"/>
  <c r="J524" i="10"/>
  <c r="G525" i="10"/>
  <c r="J525" i="10"/>
  <c r="G526" i="10"/>
  <c r="H526" i="10"/>
  <c r="J526" i="10"/>
  <c r="G527" i="10"/>
  <c r="J527" i="10"/>
  <c r="G528" i="10"/>
  <c r="H528" i="10"/>
  <c r="J528" i="10"/>
  <c r="G529" i="10"/>
  <c r="J529" i="10"/>
  <c r="G530" i="10"/>
  <c r="H530" i="10"/>
  <c r="J530" i="10"/>
  <c r="G531" i="10"/>
  <c r="J531" i="10"/>
  <c r="G532" i="10"/>
  <c r="H532" i="10"/>
  <c r="J532" i="10"/>
  <c r="G533" i="10"/>
  <c r="J533" i="10"/>
  <c r="G534" i="10"/>
  <c r="H534" i="10"/>
  <c r="J534" i="10"/>
  <c r="G535" i="10"/>
  <c r="J535" i="10"/>
  <c r="G536" i="10"/>
  <c r="H536" i="10"/>
  <c r="J536" i="10"/>
  <c r="G537" i="10"/>
  <c r="J537" i="10"/>
  <c r="G538" i="10"/>
  <c r="H538" i="10"/>
  <c r="J538" i="10"/>
  <c r="G539" i="10"/>
  <c r="J539" i="10"/>
  <c r="G540" i="10"/>
  <c r="H540" i="10"/>
  <c r="J540" i="10"/>
  <c r="G541" i="10"/>
  <c r="J541" i="10"/>
  <c r="G542" i="10"/>
  <c r="H542" i="10"/>
  <c r="J542" i="10"/>
  <c r="G543" i="10"/>
  <c r="J543" i="10"/>
  <c r="G544" i="10"/>
  <c r="H544" i="10"/>
  <c r="J544" i="10"/>
  <c r="G545" i="10"/>
  <c r="J545" i="10"/>
  <c r="G546" i="10"/>
  <c r="H546" i="10"/>
  <c r="J546" i="10"/>
  <c r="G547" i="10"/>
  <c r="J547" i="10"/>
  <c r="G548" i="10"/>
  <c r="H548" i="10"/>
  <c r="J548" i="10"/>
  <c r="G549" i="10"/>
  <c r="J549" i="10"/>
  <c r="G550" i="10"/>
  <c r="H550" i="10"/>
  <c r="J550" i="10"/>
  <c r="G551" i="10"/>
  <c r="J551" i="10"/>
  <c r="G552" i="10"/>
  <c r="H552" i="10"/>
  <c r="J552" i="10"/>
  <c r="G553" i="10"/>
  <c r="J553" i="10"/>
  <c r="G554" i="10"/>
  <c r="H554" i="10"/>
  <c r="J554" i="10"/>
  <c r="G555" i="10"/>
  <c r="J555" i="10"/>
  <c r="G556" i="10"/>
  <c r="H556" i="10"/>
  <c r="J556" i="10"/>
  <c r="G557" i="10"/>
  <c r="J557" i="10"/>
  <c r="G558" i="10"/>
  <c r="H558" i="10"/>
  <c r="J558" i="10"/>
  <c r="G559" i="10"/>
  <c r="J559" i="10"/>
  <c r="G560" i="10"/>
  <c r="H560" i="10"/>
  <c r="J560" i="10"/>
  <c r="G561" i="10"/>
  <c r="J561" i="10"/>
  <c r="G562" i="10"/>
  <c r="H562" i="10"/>
  <c r="J562" i="10"/>
  <c r="G563" i="10"/>
  <c r="J563" i="10"/>
  <c r="G564" i="10"/>
  <c r="H564" i="10"/>
  <c r="J564" i="10"/>
  <c r="G565" i="10"/>
  <c r="J565" i="10"/>
  <c r="G566" i="10"/>
  <c r="H566" i="10"/>
  <c r="J566" i="10"/>
  <c r="G567" i="10"/>
  <c r="J567" i="10"/>
  <c r="G568" i="10"/>
  <c r="H568" i="10"/>
  <c r="J568" i="10"/>
  <c r="G569" i="10"/>
  <c r="J569" i="10"/>
  <c r="G570" i="10"/>
  <c r="H570" i="10"/>
  <c r="J570" i="10"/>
  <c r="G571" i="10"/>
  <c r="J571" i="10"/>
  <c r="G572" i="10"/>
  <c r="H572" i="10"/>
  <c r="J572" i="10"/>
  <c r="G573" i="10"/>
  <c r="J573" i="10"/>
  <c r="G574" i="10"/>
  <c r="H574" i="10"/>
  <c r="J574" i="10"/>
  <c r="G575" i="10"/>
  <c r="J575" i="10"/>
  <c r="G576" i="10"/>
  <c r="H576" i="10"/>
  <c r="J576" i="10"/>
  <c r="G577" i="10"/>
  <c r="J577" i="10"/>
  <c r="G578" i="10"/>
  <c r="H578" i="10"/>
  <c r="J578" i="10"/>
  <c r="G579" i="10"/>
  <c r="J579" i="10"/>
  <c r="G580" i="10"/>
  <c r="H580" i="10"/>
  <c r="J580" i="10"/>
  <c r="G581" i="10"/>
  <c r="J581" i="10"/>
  <c r="G582" i="10"/>
  <c r="H582" i="10"/>
  <c r="J582" i="10"/>
  <c r="G583" i="10"/>
  <c r="J583" i="10"/>
  <c r="G584" i="10"/>
  <c r="H584" i="10"/>
  <c r="J584" i="10"/>
  <c r="G585" i="10"/>
  <c r="J585" i="10"/>
  <c r="G586" i="10"/>
  <c r="H586" i="10"/>
  <c r="J586" i="10"/>
  <c r="G587" i="10"/>
  <c r="J587" i="10"/>
  <c r="G588" i="10"/>
  <c r="H588" i="10"/>
  <c r="J588" i="10"/>
  <c r="G589" i="10"/>
  <c r="J589" i="10"/>
  <c r="G590" i="10"/>
  <c r="H590" i="10"/>
  <c r="J590" i="10"/>
  <c r="G591" i="10"/>
  <c r="J591" i="10"/>
  <c r="G592" i="10"/>
  <c r="H592" i="10"/>
  <c r="J592" i="10"/>
  <c r="G593" i="10"/>
  <c r="J593" i="10"/>
  <c r="G594" i="10"/>
  <c r="H594" i="10"/>
  <c r="J594" i="10"/>
  <c r="G595" i="10"/>
  <c r="J595" i="10"/>
  <c r="G596" i="10"/>
  <c r="H596" i="10"/>
  <c r="J596" i="10"/>
  <c r="G597" i="10"/>
  <c r="J597" i="10"/>
  <c r="G598" i="10"/>
  <c r="H598" i="10"/>
  <c r="J598" i="10"/>
  <c r="G599" i="10"/>
  <c r="J599" i="10"/>
  <c r="G600" i="10"/>
  <c r="H600" i="10"/>
  <c r="J600" i="10"/>
  <c r="G601" i="10"/>
  <c r="J601" i="10"/>
  <c r="G602" i="10"/>
  <c r="H602" i="10"/>
  <c r="J602" i="10"/>
  <c r="G603" i="10"/>
  <c r="J603" i="10"/>
  <c r="G604" i="10"/>
  <c r="H604" i="10"/>
  <c r="J604" i="10"/>
  <c r="G605" i="10"/>
  <c r="J605" i="10"/>
  <c r="G606" i="10"/>
  <c r="H606" i="10"/>
  <c r="J606" i="10"/>
  <c r="G607" i="10"/>
  <c r="J607" i="10"/>
  <c r="G608" i="10"/>
  <c r="H608" i="10"/>
  <c r="J608" i="10"/>
  <c r="G609" i="10"/>
  <c r="J609" i="10"/>
  <c r="G610" i="10"/>
  <c r="H610" i="10"/>
  <c r="J610" i="10"/>
  <c r="G611" i="10"/>
  <c r="J611" i="10"/>
  <c r="G612" i="10"/>
  <c r="H612" i="10"/>
  <c r="J612" i="10"/>
  <c r="G613" i="10"/>
  <c r="J613" i="10"/>
  <c r="G614" i="10"/>
  <c r="H614" i="10"/>
  <c r="J614" i="10"/>
  <c r="G615" i="10"/>
  <c r="J615" i="10"/>
  <c r="G616" i="10"/>
  <c r="H616" i="10"/>
  <c r="J616" i="10"/>
  <c r="G617" i="10"/>
  <c r="J617" i="10"/>
  <c r="G618" i="10"/>
  <c r="H618" i="10"/>
  <c r="J618" i="10"/>
  <c r="G619" i="10"/>
  <c r="J619" i="10"/>
  <c r="G620" i="10"/>
  <c r="H620" i="10"/>
  <c r="J620" i="10"/>
  <c r="G621" i="10"/>
  <c r="J621" i="10"/>
  <c r="G622" i="10"/>
  <c r="H622" i="10"/>
  <c r="J622" i="10"/>
  <c r="G623" i="10"/>
  <c r="J623" i="10"/>
  <c r="G624" i="10"/>
  <c r="H624" i="10"/>
  <c r="J624" i="10"/>
  <c r="G625" i="10"/>
  <c r="J625" i="10"/>
  <c r="G626" i="10"/>
  <c r="H626" i="10"/>
  <c r="J626" i="10"/>
  <c r="G627" i="10"/>
  <c r="J627" i="10"/>
  <c r="G628" i="10"/>
  <c r="H628" i="10"/>
  <c r="J628" i="10"/>
  <c r="G629" i="10"/>
  <c r="J629" i="10"/>
  <c r="G630" i="10"/>
  <c r="H630" i="10"/>
  <c r="J630" i="10"/>
  <c r="G631" i="10"/>
  <c r="J631" i="10"/>
  <c r="G632" i="10"/>
  <c r="H632" i="10"/>
  <c r="J632" i="10"/>
  <c r="G633" i="10"/>
  <c r="J633" i="10"/>
  <c r="G634" i="10"/>
  <c r="H634" i="10"/>
  <c r="J634" i="10"/>
  <c r="G635" i="10"/>
  <c r="J635" i="10"/>
  <c r="G636" i="10"/>
  <c r="H636" i="10"/>
  <c r="J636" i="10"/>
  <c r="G637" i="10"/>
  <c r="H637" i="10"/>
  <c r="J637" i="10"/>
  <c r="G638" i="10"/>
  <c r="H638" i="10"/>
  <c r="J638" i="10"/>
  <c r="G639" i="10"/>
  <c r="H639" i="10"/>
  <c r="J639" i="10"/>
  <c r="G640" i="10"/>
  <c r="H640" i="10"/>
  <c r="J640" i="10"/>
  <c r="G641" i="10"/>
  <c r="H641" i="10"/>
  <c r="J641" i="10"/>
  <c r="G642" i="10"/>
  <c r="H642" i="10"/>
  <c r="J642" i="10"/>
  <c r="G643" i="10"/>
  <c r="H643" i="10"/>
  <c r="J643" i="10"/>
  <c r="G644" i="10"/>
  <c r="H644" i="10"/>
  <c r="J644" i="10"/>
  <c r="G645" i="10"/>
  <c r="H645" i="10"/>
  <c r="J645" i="10"/>
  <c r="G646" i="10"/>
  <c r="H646" i="10"/>
  <c r="J646" i="10"/>
  <c r="G647" i="10"/>
  <c r="H647" i="10"/>
  <c r="J647" i="10"/>
  <c r="G648" i="10"/>
  <c r="H648" i="10"/>
  <c r="J648" i="10"/>
  <c r="G649" i="10"/>
  <c r="H649" i="10"/>
  <c r="J649" i="10"/>
  <c r="G650" i="10"/>
  <c r="H650" i="10"/>
  <c r="J650" i="10"/>
  <c r="G651" i="10"/>
  <c r="H651" i="10"/>
  <c r="J651" i="10"/>
  <c r="G652" i="10"/>
  <c r="H652" i="10"/>
  <c r="J652" i="10"/>
  <c r="G653" i="10"/>
  <c r="H653" i="10"/>
  <c r="J653" i="10"/>
  <c r="G654" i="10"/>
  <c r="H654" i="10"/>
  <c r="J654" i="10"/>
  <c r="G655" i="10"/>
  <c r="H655" i="10"/>
  <c r="J655" i="10"/>
  <c r="G656" i="10"/>
  <c r="H656" i="10"/>
  <c r="J656" i="10"/>
  <c r="G657" i="10"/>
  <c r="H657" i="10"/>
  <c r="J657" i="10"/>
  <c r="G658" i="10"/>
  <c r="H658" i="10"/>
  <c r="J658" i="10"/>
  <c r="G659" i="10"/>
  <c r="H659" i="10"/>
  <c r="J659" i="10"/>
  <c r="G660" i="10"/>
  <c r="H660" i="10"/>
  <c r="J660" i="10"/>
  <c r="G661" i="10"/>
  <c r="H661" i="10"/>
  <c r="J661" i="10"/>
  <c r="G662" i="10"/>
  <c r="H662" i="10"/>
  <c r="J662" i="10"/>
  <c r="G663" i="10"/>
  <c r="H663" i="10"/>
  <c r="J663" i="10"/>
  <c r="G664" i="10"/>
  <c r="H664" i="10"/>
  <c r="J664" i="10"/>
  <c r="G665" i="10"/>
  <c r="H665" i="10"/>
  <c r="J665" i="10"/>
  <c r="G666" i="10"/>
  <c r="H666" i="10"/>
  <c r="J666" i="10"/>
  <c r="G667" i="10"/>
  <c r="H667" i="10"/>
  <c r="J667" i="10"/>
  <c r="G668" i="10"/>
  <c r="H668" i="10"/>
  <c r="J668" i="10"/>
  <c r="G669" i="10"/>
  <c r="H669" i="10"/>
  <c r="J669" i="10"/>
  <c r="G670" i="10"/>
  <c r="H670" i="10"/>
  <c r="J670" i="10"/>
  <c r="G671" i="10"/>
  <c r="H671" i="10"/>
  <c r="J671" i="10"/>
  <c r="G672" i="10"/>
  <c r="H672" i="10"/>
  <c r="J672" i="10"/>
  <c r="G673" i="10"/>
  <c r="H673" i="10"/>
  <c r="J673" i="10"/>
  <c r="G674" i="10"/>
  <c r="H674" i="10"/>
  <c r="J674" i="10"/>
  <c r="G675" i="10"/>
  <c r="H675" i="10"/>
  <c r="J675" i="10"/>
  <c r="G676" i="10"/>
  <c r="H676" i="10"/>
  <c r="J676" i="10"/>
  <c r="G677" i="10"/>
  <c r="H677" i="10"/>
  <c r="J677" i="10"/>
  <c r="G678" i="10"/>
  <c r="H678" i="10"/>
  <c r="J678" i="10"/>
  <c r="G679" i="10"/>
  <c r="H679" i="10"/>
  <c r="J679" i="10"/>
  <c r="G680" i="10"/>
  <c r="H680" i="10"/>
  <c r="J680" i="10"/>
  <c r="G681" i="10"/>
  <c r="H681" i="10"/>
  <c r="J681" i="10"/>
  <c r="G682" i="10"/>
  <c r="H682" i="10"/>
  <c r="J682" i="10"/>
  <c r="G683" i="10"/>
  <c r="H683" i="10"/>
  <c r="J683" i="10"/>
  <c r="G684" i="10"/>
  <c r="H684" i="10"/>
  <c r="J684" i="10"/>
  <c r="G685" i="10"/>
  <c r="H685" i="10"/>
  <c r="J685" i="10"/>
  <c r="G686" i="10"/>
  <c r="H686" i="10"/>
  <c r="J686" i="10"/>
  <c r="G687" i="10"/>
  <c r="H687" i="10"/>
  <c r="J687" i="10"/>
  <c r="G688" i="10"/>
  <c r="H688" i="10"/>
  <c r="J688" i="10"/>
  <c r="G689" i="10"/>
  <c r="H689" i="10"/>
  <c r="J689" i="10"/>
  <c r="G690" i="10"/>
  <c r="H690" i="10"/>
  <c r="J690" i="10"/>
  <c r="G691" i="10"/>
  <c r="H691" i="10"/>
  <c r="J691" i="10"/>
  <c r="G692" i="10"/>
  <c r="H692" i="10"/>
  <c r="J692" i="10"/>
  <c r="G693" i="10"/>
  <c r="H693" i="10"/>
  <c r="J693" i="10"/>
  <c r="G694" i="10"/>
  <c r="H694" i="10"/>
  <c r="J694" i="10"/>
  <c r="G695" i="10"/>
  <c r="H695" i="10"/>
  <c r="J695" i="10"/>
  <c r="G696" i="10"/>
  <c r="H696" i="10"/>
  <c r="J696" i="10"/>
  <c r="G697" i="10"/>
  <c r="H697" i="10"/>
  <c r="J697" i="10"/>
  <c r="G698" i="10"/>
  <c r="H698" i="10"/>
  <c r="J698" i="10"/>
  <c r="G699" i="10"/>
  <c r="H699" i="10"/>
  <c r="J699" i="10"/>
  <c r="G700" i="10"/>
  <c r="H700" i="10"/>
  <c r="J700" i="10"/>
  <c r="G701" i="10"/>
  <c r="H701" i="10"/>
  <c r="J701" i="10"/>
  <c r="G702" i="10"/>
  <c r="H702" i="10"/>
  <c r="J702" i="10"/>
  <c r="G703" i="10"/>
  <c r="H703" i="10"/>
  <c r="J703" i="10"/>
  <c r="G704" i="10"/>
  <c r="H704" i="10"/>
  <c r="J704" i="10"/>
  <c r="G705" i="10"/>
  <c r="H705" i="10"/>
  <c r="J705" i="10"/>
  <c r="G706" i="10"/>
  <c r="H706" i="10"/>
  <c r="J706" i="10"/>
  <c r="G707" i="10"/>
  <c r="H707" i="10"/>
  <c r="J707" i="10"/>
  <c r="G708" i="10"/>
  <c r="H708" i="10"/>
  <c r="J708" i="10"/>
  <c r="G709" i="10"/>
  <c r="H709" i="10"/>
  <c r="J709" i="10"/>
  <c r="G710" i="10"/>
  <c r="H710" i="10"/>
  <c r="J710" i="10"/>
  <c r="G711" i="10"/>
  <c r="H711" i="10"/>
  <c r="J711" i="10"/>
  <c r="G712" i="10"/>
  <c r="H712" i="10"/>
  <c r="J712" i="10"/>
  <c r="G713" i="10"/>
  <c r="H713" i="10"/>
  <c r="J713" i="10"/>
  <c r="G714" i="10"/>
  <c r="H714" i="10"/>
  <c r="J714" i="10"/>
  <c r="G715" i="10"/>
  <c r="H715" i="10"/>
  <c r="J715" i="10"/>
  <c r="G716" i="10"/>
  <c r="H716" i="10"/>
  <c r="J716" i="10"/>
  <c r="G717" i="10"/>
  <c r="H717" i="10"/>
  <c r="J717" i="10"/>
  <c r="G718" i="10"/>
  <c r="H718" i="10"/>
  <c r="J718" i="10"/>
  <c r="G719" i="10"/>
  <c r="H719" i="10"/>
  <c r="J719" i="10"/>
  <c r="G720" i="10"/>
  <c r="H720" i="10"/>
  <c r="J720" i="10"/>
  <c r="G721" i="10"/>
  <c r="H721" i="10"/>
  <c r="J721" i="10"/>
  <c r="G722" i="10"/>
  <c r="H722" i="10"/>
  <c r="J722" i="10"/>
  <c r="G723" i="10"/>
  <c r="H723" i="10"/>
  <c r="J723" i="10"/>
  <c r="G724" i="10"/>
  <c r="H724" i="10"/>
  <c r="J724" i="10"/>
  <c r="G725" i="10"/>
  <c r="H725" i="10"/>
  <c r="J725" i="10"/>
  <c r="G726" i="10"/>
  <c r="H726" i="10"/>
  <c r="J726" i="10"/>
  <c r="G727" i="10"/>
  <c r="H727" i="10"/>
  <c r="J727" i="10"/>
  <c r="G728" i="10"/>
  <c r="H728" i="10"/>
  <c r="J728" i="10"/>
  <c r="G729" i="10"/>
  <c r="H729" i="10"/>
  <c r="J729" i="10"/>
  <c r="G730" i="10"/>
  <c r="H730" i="10"/>
  <c r="J730" i="10"/>
  <c r="G731" i="10"/>
  <c r="H731" i="10"/>
  <c r="J731" i="10"/>
  <c r="G732" i="10"/>
  <c r="H732" i="10"/>
  <c r="J732" i="10"/>
  <c r="G733" i="10"/>
  <c r="H733" i="10"/>
  <c r="J733" i="10"/>
  <c r="G734" i="10"/>
  <c r="H734" i="10"/>
  <c r="J734" i="10"/>
  <c r="G735" i="10"/>
  <c r="H735" i="10"/>
  <c r="J735" i="10"/>
  <c r="G736" i="10"/>
  <c r="H736" i="10"/>
  <c r="J736" i="10"/>
  <c r="G737" i="10"/>
  <c r="H737" i="10"/>
  <c r="J737" i="10"/>
  <c r="G738" i="10"/>
  <c r="H738" i="10"/>
  <c r="J738" i="10"/>
  <c r="G739" i="10"/>
  <c r="H739" i="10"/>
  <c r="J739" i="10"/>
  <c r="G740" i="10"/>
  <c r="H740" i="10"/>
  <c r="J740" i="10"/>
  <c r="G741" i="10"/>
  <c r="H741" i="10"/>
  <c r="J741" i="10"/>
  <c r="G742" i="10"/>
  <c r="H742" i="10"/>
  <c r="J742" i="10"/>
  <c r="G743" i="10"/>
  <c r="H743" i="10"/>
  <c r="J743" i="10"/>
  <c r="G744" i="10"/>
  <c r="H744" i="10"/>
  <c r="J744" i="10"/>
  <c r="G745" i="10"/>
  <c r="H745" i="10"/>
  <c r="J745" i="10"/>
  <c r="G746" i="10"/>
  <c r="H746" i="10"/>
  <c r="J746" i="10"/>
  <c r="G747" i="10"/>
  <c r="H747" i="10"/>
  <c r="J747" i="10"/>
  <c r="G748" i="10"/>
  <c r="H748" i="10"/>
  <c r="J748" i="10"/>
  <c r="G749" i="10"/>
  <c r="H749" i="10"/>
  <c r="J749" i="10"/>
  <c r="G750" i="10"/>
  <c r="H750" i="10"/>
  <c r="J750" i="10"/>
  <c r="G751" i="10"/>
  <c r="H751" i="10"/>
  <c r="J751" i="10"/>
  <c r="G752" i="10"/>
  <c r="H752" i="10"/>
  <c r="J752" i="10"/>
  <c r="G753" i="10"/>
  <c r="H753" i="10"/>
  <c r="J753" i="10"/>
  <c r="G754" i="10"/>
  <c r="H754" i="10"/>
  <c r="J754" i="10"/>
  <c r="G755" i="10"/>
  <c r="H755" i="10"/>
  <c r="J755" i="10"/>
  <c r="G756" i="10"/>
  <c r="H756" i="10"/>
  <c r="J756" i="10"/>
  <c r="G757" i="10"/>
  <c r="H757" i="10"/>
  <c r="J757" i="10"/>
  <c r="G758" i="10"/>
  <c r="H758" i="10"/>
  <c r="J758" i="10"/>
  <c r="G759" i="10"/>
  <c r="H759" i="10"/>
  <c r="J759" i="10"/>
  <c r="G760" i="10"/>
  <c r="H760" i="10"/>
  <c r="J760" i="10"/>
  <c r="G761" i="10"/>
  <c r="H761" i="10"/>
  <c r="J761" i="10"/>
  <c r="G762" i="10"/>
  <c r="H762" i="10"/>
  <c r="J762" i="10"/>
  <c r="G763" i="10"/>
  <c r="H763" i="10"/>
  <c r="J763" i="10"/>
  <c r="G764" i="10"/>
  <c r="H764" i="10"/>
  <c r="J764" i="10"/>
  <c r="G765" i="10"/>
  <c r="H765" i="10"/>
  <c r="J765" i="10"/>
  <c r="G766" i="10"/>
  <c r="H766" i="10"/>
  <c r="J766" i="10"/>
  <c r="G767" i="10"/>
  <c r="H767" i="10"/>
  <c r="J767" i="10"/>
  <c r="G768" i="10"/>
  <c r="H768" i="10"/>
  <c r="J768" i="10"/>
  <c r="G769" i="10"/>
  <c r="H769" i="10"/>
  <c r="J769" i="10"/>
  <c r="G770" i="10"/>
  <c r="H770" i="10"/>
  <c r="J770" i="10"/>
  <c r="G771" i="10"/>
  <c r="H771" i="10"/>
  <c r="J771" i="10"/>
  <c r="G772" i="10"/>
  <c r="H772" i="10"/>
  <c r="J772" i="10"/>
  <c r="G773" i="10"/>
  <c r="H773" i="10"/>
  <c r="J773" i="10"/>
  <c r="G774" i="10"/>
  <c r="H774" i="10"/>
  <c r="J774" i="10"/>
  <c r="G775" i="10"/>
  <c r="H775" i="10"/>
  <c r="J775" i="10"/>
  <c r="G776" i="10"/>
  <c r="H776" i="10"/>
  <c r="J776" i="10"/>
  <c r="G777" i="10"/>
  <c r="H777" i="10"/>
  <c r="J777" i="10"/>
  <c r="G778" i="10"/>
  <c r="H778" i="10"/>
  <c r="J778" i="10"/>
  <c r="G779" i="10"/>
  <c r="H779" i="10"/>
  <c r="J779" i="10"/>
  <c r="G780" i="10"/>
  <c r="H780" i="10"/>
  <c r="J780" i="10"/>
  <c r="G781" i="10"/>
  <c r="H781" i="10"/>
  <c r="J781" i="10"/>
  <c r="G782" i="10"/>
  <c r="H782" i="10"/>
  <c r="J782" i="10"/>
  <c r="G783" i="10"/>
  <c r="H783" i="10"/>
  <c r="J783" i="10"/>
  <c r="G784" i="10"/>
  <c r="H784" i="10"/>
  <c r="J784" i="10"/>
  <c r="G785" i="10"/>
  <c r="H785" i="10"/>
  <c r="J785" i="10"/>
  <c r="G786" i="10"/>
  <c r="H786" i="10"/>
  <c r="J786" i="10"/>
  <c r="G787" i="10"/>
  <c r="H787" i="10"/>
  <c r="J787" i="10"/>
  <c r="G788" i="10"/>
  <c r="H788" i="10"/>
  <c r="J788" i="10"/>
  <c r="G789" i="10"/>
  <c r="H789" i="10"/>
  <c r="J789" i="10"/>
  <c r="G790" i="10"/>
  <c r="H790" i="10"/>
  <c r="J790" i="10"/>
  <c r="G791" i="10"/>
  <c r="H791" i="10"/>
  <c r="J791" i="10"/>
  <c r="G792" i="10"/>
  <c r="H792" i="10"/>
  <c r="J792" i="10"/>
  <c r="G793" i="10"/>
  <c r="H793" i="10"/>
  <c r="J793" i="10"/>
  <c r="G794" i="10"/>
  <c r="H794" i="10"/>
  <c r="J794" i="10"/>
  <c r="G795" i="10"/>
  <c r="H795" i="10"/>
  <c r="J795" i="10"/>
  <c r="G796" i="10"/>
  <c r="H796" i="10"/>
  <c r="J796" i="10"/>
  <c r="G797" i="10"/>
  <c r="H797" i="10"/>
  <c r="J797" i="10"/>
  <c r="G798" i="10"/>
  <c r="H798" i="10"/>
  <c r="J798" i="10"/>
  <c r="G799" i="10"/>
  <c r="H799" i="10"/>
  <c r="J799" i="10"/>
  <c r="G800" i="10"/>
  <c r="H800" i="10"/>
  <c r="J800" i="10"/>
  <c r="G801" i="10"/>
  <c r="H801" i="10"/>
  <c r="J801" i="10"/>
  <c r="G802" i="10"/>
  <c r="H802" i="10"/>
  <c r="J802" i="10"/>
  <c r="G803" i="10"/>
  <c r="H803" i="10"/>
  <c r="J803" i="10"/>
  <c r="G804" i="10"/>
  <c r="H804" i="10"/>
  <c r="J804" i="10"/>
  <c r="G805" i="10"/>
  <c r="H805" i="10"/>
  <c r="J805" i="10"/>
  <c r="G806" i="10"/>
  <c r="H806" i="10"/>
  <c r="J806" i="10"/>
  <c r="G807" i="10"/>
  <c r="H807" i="10"/>
  <c r="J807" i="10"/>
  <c r="G808" i="10"/>
  <c r="H808" i="10"/>
  <c r="J808" i="10"/>
  <c r="G809" i="10"/>
  <c r="H809" i="10"/>
  <c r="J809" i="10"/>
  <c r="G810" i="10"/>
  <c r="H810" i="10"/>
  <c r="J810" i="10"/>
  <c r="G811" i="10"/>
  <c r="H811" i="10"/>
  <c r="J811" i="10"/>
  <c r="G812" i="10"/>
  <c r="H812" i="10"/>
  <c r="J812" i="10"/>
  <c r="G813" i="10"/>
  <c r="H813" i="10"/>
  <c r="J813" i="10"/>
  <c r="G814" i="10"/>
  <c r="H814" i="10"/>
  <c r="J814" i="10"/>
  <c r="G815" i="10"/>
  <c r="H815" i="10"/>
  <c r="J815" i="10"/>
  <c r="G816" i="10"/>
  <c r="H816" i="10"/>
  <c r="J816" i="10"/>
  <c r="G817" i="10"/>
  <c r="H817" i="10"/>
  <c r="J817" i="10"/>
  <c r="G818" i="10"/>
  <c r="H818" i="10"/>
  <c r="J818" i="10"/>
  <c r="G819" i="10"/>
  <c r="H819" i="10"/>
  <c r="J819" i="10"/>
  <c r="G820" i="10"/>
  <c r="H820" i="10"/>
  <c r="J820" i="10"/>
  <c r="G821" i="10"/>
  <c r="H821" i="10"/>
  <c r="J821" i="10"/>
  <c r="G822" i="10"/>
  <c r="H822" i="10"/>
  <c r="J822" i="10"/>
  <c r="G823" i="10"/>
  <c r="H823" i="10"/>
  <c r="J823" i="10"/>
  <c r="G824" i="10"/>
  <c r="H824" i="10"/>
  <c r="J824" i="10"/>
  <c r="G825" i="10"/>
  <c r="H825" i="10"/>
  <c r="J825" i="10"/>
  <c r="G826" i="10"/>
  <c r="H826" i="10"/>
  <c r="J826" i="10"/>
  <c r="G827" i="10"/>
  <c r="H827" i="10"/>
  <c r="J827" i="10"/>
  <c r="G828" i="10"/>
  <c r="H828" i="10"/>
  <c r="J828" i="10"/>
  <c r="G829" i="10"/>
  <c r="H829" i="10"/>
  <c r="J829" i="10"/>
  <c r="G830" i="10"/>
  <c r="H830" i="10"/>
  <c r="J830" i="10"/>
  <c r="G831" i="10"/>
  <c r="H831" i="10"/>
  <c r="J831" i="10"/>
  <c r="G832" i="10"/>
  <c r="H832" i="10"/>
  <c r="J832" i="10"/>
  <c r="G833" i="10"/>
  <c r="H833" i="10"/>
  <c r="J833" i="10"/>
  <c r="G834" i="10"/>
  <c r="H834" i="10"/>
  <c r="J834" i="10"/>
  <c r="G835" i="10"/>
  <c r="H835" i="10"/>
  <c r="J835" i="10"/>
  <c r="G836" i="10"/>
  <c r="H836" i="10"/>
  <c r="J836" i="10"/>
  <c r="G837" i="10"/>
  <c r="H837" i="10"/>
  <c r="J837" i="10"/>
  <c r="G838" i="10"/>
  <c r="H838" i="10"/>
  <c r="J838" i="10"/>
  <c r="G839" i="10"/>
  <c r="H839" i="10"/>
  <c r="J839" i="10"/>
  <c r="G840" i="10"/>
  <c r="H840" i="10"/>
  <c r="J840" i="10"/>
  <c r="G841" i="10"/>
  <c r="H841" i="10"/>
  <c r="J841" i="10"/>
  <c r="G842" i="10"/>
  <c r="H842" i="10"/>
  <c r="J842" i="10"/>
  <c r="G843" i="10"/>
  <c r="H843" i="10"/>
  <c r="J843" i="10"/>
  <c r="G844" i="10"/>
  <c r="H844" i="10"/>
  <c r="J844" i="10"/>
  <c r="G845" i="10"/>
  <c r="H845" i="10"/>
  <c r="J845" i="10"/>
  <c r="G846" i="10"/>
  <c r="H846" i="10"/>
  <c r="J846" i="10"/>
  <c r="G847" i="10"/>
  <c r="H847" i="10"/>
  <c r="J847" i="10"/>
  <c r="G848" i="10"/>
  <c r="H848" i="10"/>
  <c r="J848" i="10"/>
  <c r="G849" i="10"/>
  <c r="H849" i="10"/>
  <c r="J849" i="10"/>
  <c r="G850" i="10"/>
  <c r="H850" i="10"/>
  <c r="J850" i="10"/>
  <c r="G851" i="10"/>
  <c r="H851" i="10"/>
  <c r="J851" i="10"/>
  <c r="G852" i="10"/>
  <c r="H852" i="10"/>
  <c r="J852" i="10"/>
  <c r="G853" i="10"/>
  <c r="H853" i="10"/>
  <c r="J853" i="10"/>
  <c r="G854" i="10"/>
  <c r="H854" i="10"/>
  <c r="J854" i="10"/>
  <c r="G855" i="10"/>
  <c r="H855" i="10"/>
  <c r="J855" i="10"/>
  <c r="G856" i="10"/>
  <c r="H856" i="10"/>
  <c r="J856" i="10"/>
  <c r="G857" i="10"/>
  <c r="H857" i="10"/>
  <c r="J857" i="10"/>
  <c r="G858" i="10"/>
  <c r="H858" i="10"/>
  <c r="J858" i="10"/>
  <c r="G859" i="10"/>
  <c r="H859" i="10"/>
  <c r="J859" i="10"/>
  <c r="G860" i="10"/>
  <c r="H860" i="10"/>
  <c r="J860" i="10"/>
  <c r="G861" i="10"/>
  <c r="H861" i="10"/>
  <c r="J861" i="10"/>
  <c r="G862" i="10"/>
  <c r="H862" i="10"/>
  <c r="J862" i="10"/>
  <c r="G863" i="10"/>
  <c r="H863" i="10"/>
  <c r="J863" i="10"/>
  <c r="G864" i="10"/>
  <c r="H864" i="10"/>
  <c r="J864" i="10"/>
  <c r="G865" i="10"/>
  <c r="H865" i="10"/>
  <c r="J865" i="10"/>
  <c r="G866" i="10"/>
  <c r="H866" i="10"/>
  <c r="J866" i="10"/>
  <c r="G867" i="10"/>
  <c r="H867" i="10"/>
  <c r="J867" i="10"/>
  <c r="G868" i="10"/>
  <c r="H868" i="10"/>
  <c r="J868" i="10"/>
  <c r="G869" i="10"/>
  <c r="H869" i="10"/>
  <c r="J869" i="10"/>
  <c r="G870" i="10"/>
  <c r="H870" i="10"/>
  <c r="J870" i="10"/>
  <c r="G871" i="10"/>
  <c r="H871" i="10"/>
  <c r="J871" i="10"/>
  <c r="G872" i="10"/>
  <c r="H872" i="10"/>
  <c r="J872" i="10"/>
  <c r="G873" i="10"/>
  <c r="H873" i="10"/>
  <c r="J873" i="10"/>
  <c r="G874" i="10"/>
  <c r="H874" i="10"/>
  <c r="J874" i="10"/>
  <c r="G875" i="10"/>
  <c r="H875" i="10"/>
  <c r="J875" i="10"/>
  <c r="G876" i="10"/>
  <c r="H876" i="10"/>
  <c r="J876" i="10"/>
  <c r="G877" i="10"/>
  <c r="H877" i="10"/>
  <c r="J877" i="10"/>
  <c r="G878" i="10"/>
  <c r="H878" i="10"/>
  <c r="J878" i="10"/>
  <c r="G879" i="10"/>
  <c r="H879" i="10"/>
  <c r="J879" i="10"/>
  <c r="G880" i="10"/>
  <c r="H880" i="10"/>
  <c r="J880" i="10"/>
  <c r="G881" i="10"/>
  <c r="H881" i="10"/>
  <c r="J881" i="10"/>
  <c r="G882" i="10"/>
  <c r="H882" i="10"/>
  <c r="J882" i="10"/>
  <c r="G883" i="10"/>
  <c r="H883" i="10"/>
  <c r="J883" i="10"/>
  <c r="G884" i="10"/>
  <c r="H884" i="10"/>
  <c r="J884" i="10"/>
  <c r="G885" i="10"/>
  <c r="H885" i="10"/>
  <c r="J885" i="10"/>
  <c r="G886" i="10"/>
  <c r="H886" i="10"/>
  <c r="J886" i="10"/>
  <c r="G887" i="10"/>
  <c r="H887" i="10"/>
  <c r="J887" i="10"/>
  <c r="G888" i="10"/>
  <c r="H888" i="10"/>
  <c r="J888" i="10"/>
  <c r="G889" i="10"/>
  <c r="H889" i="10"/>
  <c r="J889" i="10"/>
  <c r="G890" i="10"/>
  <c r="H890" i="10"/>
  <c r="J890" i="10"/>
  <c r="G891" i="10"/>
  <c r="H891" i="10"/>
  <c r="J891" i="10"/>
  <c r="G892" i="10"/>
  <c r="H892" i="10"/>
  <c r="J892" i="10"/>
  <c r="G893" i="10"/>
  <c r="H893" i="10"/>
  <c r="J893" i="10"/>
  <c r="G894" i="10"/>
  <c r="H894" i="10"/>
  <c r="J894" i="10"/>
  <c r="G895" i="10"/>
  <c r="H895" i="10"/>
  <c r="J895" i="10"/>
  <c r="G896" i="10"/>
  <c r="H896" i="10"/>
  <c r="J896" i="10"/>
  <c r="G897" i="10"/>
  <c r="H897" i="10"/>
  <c r="J897" i="10"/>
  <c r="G898" i="10"/>
  <c r="H898" i="10"/>
  <c r="J898" i="10"/>
  <c r="G899" i="10"/>
  <c r="H899" i="10"/>
  <c r="J899" i="10"/>
  <c r="G900" i="10"/>
  <c r="H900" i="10"/>
  <c r="J900" i="10"/>
  <c r="G901" i="10"/>
  <c r="H901" i="10"/>
  <c r="J901" i="10"/>
  <c r="G902" i="10"/>
  <c r="H902" i="10"/>
  <c r="J902" i="10"/>
  <c r="G903" i="10"/>
  <c r="H903" i="10"/>
  <c r="J903" i="10"/>
  <c r="G904" i="10"/>
  <c r="H904" i="10"/>
  <c r="J904" i="10"/>
  <c r="G905" i="10"/>
  <c r="H905" i="10"/>
  <c r="J905" i="10"/>
  <c r="G906" i="10"/>
  <c r="H906" i="10"/>
  <c r="J906" i="10"/>
  <c r="G907" i="10"/>
  <c r="H907" i="10"/>
  <c r="J907" i="10"/>
  <c r="G908" i="10"/>
  <c r="H908" i="10"/>
  <c r="J908" i="10"/>
  <c r="G909" i="10"/>
  <c r="H909" i="10"/>
  <c r="J909" i="10"/>
  <c r="G910" i="10"/>
  <c r="H910" i="10"/>
  <c r="J910" i="10"/>
  <c r="G911" i="10"/>
  <c r="H911" i="10"/>
  <c r="J911" i="10"/>
  <c r="G912" i="10"/>
  <c r="H912" i="10"/>
  <c r="J912" i="10"/>
  <c r="G913" i="10"/>
  <c r="H913" i="10"/>
  <c r="J913" i="10"/>
  <c r="G914" i="10"/>
  <c r="H914" i="10"/>
  <c r="J914" i="10"/>
  <c r="G915" i="10"/>
  <c r="H915" i="10"/>
  <c r="J915" i="10"/>
  <c r="G916" i="10"/>
  <c r="H916" i="10"/>
  <c r="J916" i="10"/>
  <c r="G917" i="10"/>
  <c r="H917" i="10"/>
  <c r="J917" i="10"/>
  <c r="G918" i="10"/>
  <c r="H918" i="10"/>
  <c r="J918" i="10"/>
  <c r="G919" i="10"/>
  <c r="H919" i="10"/>
  <c r="J919" i="10"/>
  <c r="G920" i="10"/>
  <c r="H920" i="10"/>
  <c r="J920" i="10"/>
  <c r="G921" i="10"/>
  <c r="H921" i="10"/>
  <c r="J921" i="10"/>
  <c r="G922" i="10"/>
  <c r="H922" i="10"/>
  <c r="J922" i="10"/>
  <c r="G923" i="10"/>
  <c r="H923" i="10"/>
  <c r="J923" i="10"/>
  <c r="G924" i="10"/>
  <c r="H924" i="10"/>
  <c r="J924" i="10"/>
  <c r="G925" i="10"/>
  <c r="H925" i="10"/>
  <c r="J925" i="10"/>
  <c r="G926" i="10"/>
  <c r="H926" i="10"/>
  <c r="J926" i="10"/>
  <c r="G927" i="10"/>
  <c r="H927" i="10"/>
  <c r="J927" i="10"/>
  <c r="G928" i="10"/>
  <c r="H928" i="10"/>
  <c r="J928" i="10"/>
  <c r="G929" i="10"/>
  <c r="H929" i="10"/>
  <c r="J929" i="10"/>
  <c r="G930" i="10"/>
  <c r="H930" i="10"/>
  <c r="J930" i="10"/>
  <c r="G931" i="10"/>
  <c r="H931" i="10"/>
  <c r="J931" i="10"/>
  <c r="G932" i="10"/>
  <c r="H932" i="10"/>
  <c r="J932" i="10"/>
  <c r="G933" i="10"/>
  <c r="H933" i="10"/>
  <c r="J933" i="10"/>
  <c r="G934" i="10"/>
  <c r="H934" i="10"/>
  <c r="J934" i="10"/>
  <c r="G935" i="10"/>
  <c r="H935" i="10"/>
  <c r="J935" i="10"/>
  <c r="G936" i="10"/>
  <c r="H936" i="10"/>
  <c r="J936" i="10"/>
  <c r="G937" i="10"/>
  <c r="H937" i="10"/>
  <c r="J937" i="10"/>
  <c r="G938" i="10"/>
  <c r="H938" i="10"/>
  <c r="J938" i="10"/>
  <c r="G939" i="10"/>
  <c r="H939" i="10"/>
  <c r="J939" i="10"/>
  <c r="G940" i="10"/>
  <c r="H940" i="10"/>
  <c r="J940" i="10"/>
  <c r="G941" i="10"/>
  <c r="H941" i="10"/>
  <c r="J941" i="10"/>
  <c r="G942" i="10"/>
  <c r="H942" i="10"/>
  <c r="J942" i="10"/>
  <c r="G943" i="10"/>
  <c r="H943" i="10"/>
  <c r="J943" i="10"/>
  <c r="G944" i="10"/>
  <c r="H944" i="10"/>
  <c r="J944" i="10"/>
  <c r="G945" i="10"/>
  <c r="H945" i="10"/>
  <c r="J945" i="10"/>
  <c r="G946" i="10"/>
  <c r="H946" i="10"/>
  <c r="J946" i="10"/>
  <c r="G947" i="10"/>
  <c r="H947" i="10"/>
  <c r="J947" i="10"/>
  <c r="G948" i="10"/>
  <c r="H948" i="10"/>
  <c r="J948" i="10"/>
  <c r="G949" i="10"/>
  <c r="H949" i="10"/>
  <c r="J949" i="10"/>
  <c r="G950" i="10"/>
  <c r="H950" i="10"/>
  <c r="J950" i="10"/>
  <c r="G951" i="10"/>
  <c r="H951" i="10"/>
  <c r="J951" i="10"/>
  <c r="G952" i="10"/>
  <c r="H952" i="10"/>
  <c r="J952" i="10"/>
  <c r="G953" i="10"/>
  <c r="H953" i="10"/>
  <c r="J953" i="10"/>
  <c r="G954" i="10"/>
  <c r="H954" i="10"/>
  <c r="J954" i="10"/>
  <c r="G955" i="10"/>
  <c r="H955" i="10"/>
  <c r="J955" i="10"/>
  <c r="G956" i="10"/>
  <c r="H956" i="10"/>
  <c r="J956" i="10"/>
  <c r="G957" i="10"/>
  <c r="H957" i="10"/>
  <c r="J957" i="10"/>
  <c r="G958" i="10"/>
  <c r="H958" i="10"/>
  <c r="J958" i="10"/>
  <c r="G959" i="10"/>
  <c r="H959" i="10"/>
  <c r="J959" i="10"/>
  <c r="G960" i="10"/>
  <c r="H960" i="10"/>
  <c r="J960" i="10"/>
  <c r="G961" i="10"/>
  <c r="H961" i="10"/>
  <c r="J961" i="10"/>
  <c r="G962" i="10"/>
  <c r="H962" i="10"/>
  <c r="J962" i="10"/>
  <c r="G963" i="10"/>
  <c r="H963" i="10"/>
  <c r="J963" i="10"/>
  <c r="G964" i="10"/>
  <c r="H964" i="10"/>
  <c r="J964" i="10"/>
  <c r="G965" i="10"/>
  <c r="H965" i="10"/>
  <c r="J965" i="10"/>
  <c r="G966" i="10"/>
  <c r="H966" i="10"/>
  <c r="J966" i="10"/>
  <c r="G967" i="10"/>
  <c r="H967" i="10"/>
  <c r="J967" i="10"/>
  <c r="G968" i="10"/>
  <c r="H968" i="10"/>
  <c r="J968" i="10"/>
  <c r="G969" i="10"/>
  <c r="H969" i="10"/>
  <c r="J969" i="10"/>
  <c r="G970" i="10"/>
  <c r="H970" i="10"/>
  <c r="J970" i="10"/>
  <c r="G971" i="10"/>
  <c r="H971" i="10"/>
  <c r="J971" i="10"/>
  <c r="G972" i="10"/>
  <c r="H972" i="10"/>
  <c r="J972" i="10"/>
  <c r="G973" i="10"/>
  <c r="H973" i="10"/>
  <c r="J973" i="10"/>
  <c r="G974" i="10"/>
  <c r="H974" i="10"/>
  <c r="J974" i="10"/>
  <c r="G975" i="10"/>
  <c r="H975" i="10"/>
  <c r="J975" i="10"/>
  <c r="G976" i="10"/>
  <c r="H976" i="10"/>
  <c r="J976" i="10"/>
  <c r="G977" i="10"/>
  <c r="H977" i="10"/>
  <c r="J977" i="10"/>
  <c r="G978" i="10"/>
  <c r="H978" i="10"/>
  <c r="J978" i="10"/>
  <c r="G979" i="10"/>
  <c r="H979" i="10"/>
  <c r="J979" i="10"/>
  <c r="G980" i="10"/>
  <c r="H980" i="10"/>
  <c r="J980" i="10"/>
  <c r="G981" i="10"/>
  <c r="H981" i="10"/>
  <c r="J981" i="10"/>
  <c r="G982" i="10"/>
  <c r="H982" i="10"/>
  <c r="J982" i="10"/>
  <c r="G983" i="10"/>
  <c r="H983" i="10"/>
  <c r="J983" i="10"/>
  <c r="G984" i="10"/>
  <c r="H984" i="10"/>
  <c r="J984" i="10"/>
  <c r="G985" i="10"/>
  <c r="H985" i="10"/>
  <c r="J985" i="10"/>
  <c r="G986" i="10"/>
  <c r="H986" i="10"/>
  <c r="J986" i="10"/>
  <c r="G987" i="10"/>
  <c r="H987" i="10"/>
  <c r="J987" i="10"/>
  <c r="G988" i="10"/>
  <c r="H988" i="10"/>
  <c r="J988" i="10"/>
  <c r="G989" i="10"/>
  <c r="H989" i="10"/>
  <c r="J989" i="10"/>
  <c r="G990" i="10"/>
  <c r="H990" i="10"/>
  <c r="J990" i="10"/>
  <c r="G991" i="10"/>
  <c r="H991" i="10"/>
  <c r="J991" i="10"/>
  <c r="G992" i="10"/>
  <c r="H992" i="10"/>
  <c r="J992" i="10"/>
  <c r="G993" i="10"/>
  <c r="H993" i="10"/>
  <c r="J993" i="10"/>
  <c r="G994" i="10"/>
  <c r="H994" i="10"/>
  <c r="J994" i="10"/>
  <c r="G995" i="10"/>
  <c r="H995" i="10"/>
  <c r="J995" i="10"/>
  <c r="G996" i="10"/>
  <c r="H996" i="10"/>
  <c r="J996" i="10"/>
  <c r="G997" i="10"/>
  <c r="H997" i="10"/>
  <c r="J997" i="10"/>
  <c r="G998" i="10"/>
  <c r="H998" i="10"/>
  <c r="J998" i="10"/>
  <c r="G999" i="10"/>
  <c r="H999" i="10"/>
  <c r="J999" i="10"/>
  <c r="G1000" i="10"/>
  <c r="H1000" i="10"/>
  <c r="J1000" i="10"/>
  <c r="G1001" i="10"/>
  <c r="H1001" i="10"/>
  <c r="J1001" i="10"/>
  <c r="G1002" i="10"/>
  <c r="H1002" i="10"/>
  <c r="J1002" i="10"/>
  <c r="G1003" i="10"/>
  <c r="H1003" i="10"/>
  <c r="J1003" i="10"/>
  <c r="G1004" i="10"/>
  <c r="H1004" i="10"/>
  <c r="J1004" i="10"/>
  <c r="G1005" i="10"/>
  <c r="H1005" i="10"/>
  <c r="J1005" i="10"/>
  <c r="G1006" i="10"/>
  <c r="H1006" i="10"/>
  <c r="J1006" i="10"/>
  <c r="G1007" i="10"/>
  <c r="H1007" i="10"/>
  <c r="J1007" i="10"/>
  <c r="G1008" i="10"/>
  <c r="H1008" i="10"/>
  <c r="J1008" i="10"/>
  <c r="G1009" i="10"/>
  <c r="H1009" i="10"/>
  <c r="J1009" i="10"/>
  <c r="G1010" i="10"/>
  <c r="H1010" i="10"/>
  <c r="J1010" i="10"/>
  <c r="G1011" i="10"/>
  <c r="H1011" i="10"/>
  <c r="J1011" i="10"/>
  <c r="G1012" i="10"/>
  <c r="H1012" i="10"/>
  <c r="J1012" i="10"/>
  <c r="G1013" i="10"/>
  <c r="H1013" i="10"/>
  <c r="J1013" i="10"/>
  <c r="G1014" i="10"/>
  <c r="H1014" i="10"/>
  <c r="J1014" i="10"/>
  <c r="G1015" i="10"/>
  <c r="H1015" i="10"/>
  <c r="J1015" i="10"/>
  <c r="G1016" i="10"/>
  <c r="H1016" i="10"/>
  <c r="J1016" i="10"/>
  <c r="G1017" i="10"/>
  <c r="H1017" i="10"/>
  <c r="J1017" i="10"/>
  <c r="G1018" i="10"/>
  <c r="H1018" i="10"/>
  <c r="J1018" i="10"/>
  <c r="G1019" i="10"/>
  <c r="H1019" i="10"/>
  <c r="J1019" i="10"/>
  <c r="G1020" i="10"/>
  <c r="H1020" i="10"/>
  <c r="J1020" i="10"/>
  <c r="G1021" i="10"/>
  <c r="H1021" i="10"/>
  <c r="J1021" i="10"/>
  <c r="G1022" i="10"/>
  <c r="H1022" i="10"/>
  <c r="J1022" i="10"/>
  <c r="G1023" i="10"/>
  <c r="H1023" i="10"/>
  <c r="J1023" i="10"/>
  <c r="G1024" i="10"/>
  <c r="H1024" i="10"/>
  <c r="J1024" i="10"/>
  <c r="G1025" i="10"/>
  <c r="H1025" i="10"/>
  <c r="J1025" i="10"/>
  <c r="G1026" i="10"/>
  <c r="H1026" i="10"/>
  <c r="J1026" i="10"/>
  <c r="G1027" i="10"/>
  <c r="H1027" i="10"/>
  <c r="J1027" i="10"/>
  <c r="G1028" i="10"/>
  <c r="H1028" i="10"/>
  <c r="J1028" i="10"/>
  <c r="G1029" i="10"/>
  <c r="H1029" i="10"/>
  <c r="J1029" i="10"/>
  <c r="G1030" i="10"/>
  <c r="H1030" i="10"/>
  <c r="J1030" i="10"/>
  <c r="G1031" i="10"/>
  <c r="H1031" i="10"/>
  <c r="J1031" i="10"/>
  <c r="G1032" i="10"/>
  <c r="H1032" i="10"/>
  <c r="J1032" i="10"/>
  <c r="G1033" i="10"/>
  <c r="H1033" i="10"/>
  <c r="J1033" i="10"/>
  <c r="G1034" i="10"/>
  <c r="H1034" i="10"/>
  <c r="J1034" i="10"/>
  <c r="G1035" i="10"/>
  <c r="H1035" i="10"/>
  <c r="J1035" i="10"/>
  <c r="G1036" i="10"/>
  <c r="H1036" i="10"/>
  <c r="J1036" i="10"/>
  <c r="G1037" i="10"/>
  <c r="H1037" i="10"/>
  <c r="J1037" i="10"/>
  <c r="G1038" i="10"/>
  <c r="H1038" i="10"/>
  <c r="J1038" i="10"/>
  <c r="G1039" i="10"/>
  <c r="H1039" i="10"/>
  <c r="J1039" i="10"/>
  <c r="G1040" i="10"/>
  <c r="H1040" i="10"/>
  <c r="J1040" i="10"/>
  <c r="G1041" i="10"/>
  <c r="H1041" i="10"/>
  <c r="J1041" i="10"/>
  <c r="G1042" i="10"/>
  <c r="H1042" i="10"/>
  <c r="J1042" i="10"/>
  <c r="G1043" i="10"/>
  <c r="H1043" i="10"/>
  <c r="J1043" i="10"/>
  <c r="G1044" i="10"/>
  <c r="H1044" i="10"/>
  <c r="J1044" i="10"/>
  <c r="G1045" i="10"/>
  <c r="H1045" i="10"/>
  <c r="J1045" i="10"/>
  <c r="G1046" i="10"/>
  <c r="H1046" i="10"/>
  <c r="J1046" i="10"/>
  <c r="G1047" i="10"/>
  <c r="H1047" i="10"/>
  <c r="J1047" i="10"/>
  <c r="G1048" i="10"/>
  <c r="H1048" i="10"/>
  <c r="J1048" i="10"/>
  <c r="G1049" i="10"/>
  <c r="H1049" i="10"/>
  <c r="J1049" i="10"/>
  <c r="G1050" i="10"/>
  <c r="H1050" i="10"/>
  <c r="J1050" i="10"/>
  <c r="G1051" i="10"/>
  <c r="H1051" i="10"/>
  <c r="J1051" i="10"/>
  <c r="G1052" i="10"/>
  <c r="H1052" i="10"/>
  <c r="J1052" i="10"/>
  <c r="G1053" i="10"/>
  <c r="H1053" i="10"/>
  <c r="J1053" i="10"/>
  <c r="G1054" i="10"/>
  <c r="H1054" i="10"/>
  <c r="J1054" i="10"/>
  <c r="G1055" i="10"/>
  <c r="H1055" i="10"/>
  <c r="J1055" i="10"/>
  <c r="G1056" i="10"/>
  <c r="H1056" i="10"/>
  <c r="J1056" i="10"/>
  <c r="G1057" i="10"/>
  <c r="H1057" i="10"/>
  <c r="J1057" i="10"/>
  <c r="G1058" i="10"/>
  <c r="H1058" i="10"/>
  <c r="J1058" i="10"/>
  <c r="G1059" i="10"/>
  <c r="H1059" i="10"/>
  <c r="J1059" i="10"/>
  <c r="G1060" i="10"/>
  <c r="H1060" i="10"/>
  <c r="J1060" i="10"/>
  <c r="G1061" i="10"/>
  <c r="H1061" i="10"/>
  <c r="J1061" i="10"/>
  <c r="G1062" i="10"/>
  <c r="H1062" i="10"/>
  <c r="J1062" i="10"/>
  <c r="G1063" i="10"/>
  <c r="H1063" i="10"/>
  <c r="J1063" i="10"/>
  <c r="G1064" i="10"/>
  <c r="H1064" i="10"/>
  <c r="J1064" i="10"/>
  <c r="G1065" i="10"/>
  <c r="H1065" i="10"/>
  <c r="J1065" i="10"/>
  <c r="G1066" i="10"/>
  <c r="H1066" i="10"/>
  <c r="J1066" i="10"/>
  <c r="G1067" i="10"/>
  <c r="H1067" i="10"/>
  <c r="J1067" i="10"/>
  <c r="G1068" i="10"/>
  <c r="H1068" i="10"/>
  <c r="J1068" i="10"/>
  <c r="G1069" i="10"/>
  <c r="H1069" i="10"/>
  <c r="J1069" i="10"/>
  <c r="G1070" i="10"/>
  <c r="H1070" i="10"/>
  <c r="J1070" i="10"/>
  <c r="G1071" i="10"/>
  <c r="H1071" i="10"/>
  <c r="J1071" i="10"/>
  <c r="G1072" i="10"/>
  <c r="H1072" i="10"/>
  <c r="J1072" i="10"/>
  <c r="G1073" i="10"/>
  <c r="H1073" i="10"/>
  <c r="J1073" i="10"/>
  <c r="G1074" i="10"/>
  <c r="H1074" i="10"/>
  <c r="J1074" i="10"/>
  <c r="G1075" i="10"/>
  <c r="H1075" i="10"/>
  <c r="J1075" i="10"/>
  <c r="G1076" i="10"/>
  <c r="H1076" i="10"/>
  <c r="J1076" i="10"/>
  <c r="G1077" i="10"/>
  <c r="H1077" i="10"/>
  <c r="J1077" i="10"/>
  <c r="G1078" i="10"/>
  <c r="H1078" i="10"/>
  <c r="J1078" i="10"/>
  <c r="G1079" i="10"/>
  <c r="H1079" i="10"/>
  <c r="J1079" i="10"/>
  <c r="G1080" i="10"/>
  <c r="H1080" i="10"/>
  <c r="J1080" i="10"/>
  <c r="G1081" i="10"/>
  <c r="H1081" i="10"/>
  <c r="J1081" i="10"/>
  <c r="G1082" i="10"/>
  <c r="H1082" i="10"/>
  <c r="J1082" i="10"/>
  <c r="G1083" i="10"/>
  <c r="H1083" i="10"/>
  <c r="J1083" i="10"/>
  <c r="G1084" i="10"/>
  <c r="H1084" i="10"/>
  <c r="J1084" i="10"/>
  <c r="G1085" i="10"/>
  <c r="H1085" i="10"/>
  <c r="J1085" i="10"/>
  <c r="G1086" i="10"/>
  <c r="H1086" i="10"/>
  <c r="J1086" i="10"/>
  <c r="G1087" i="10"/>
  <c r="H1087" i="10"/>
  <c r="J1087" i="10"/>
  <c r="G1088" i="10"/>
  <c r="H1088" i="10"/>
  <c r="J1088" i="10"/>
  <c r="G1089" i="10"/>
  <c r="H1089" i="10"/>
  <c r="J1089" i="10"/>
  <c r="G1090" i="10"/>
  <c r="H1090" i="10"/>
  <c r="J1090" i="10"/>
  <c r="G1091" i="10"/>
  <c r="H1091" i="10"/>
  <c r="J1091" i="10"/>
  <c r="G1092" i="10"/>
  <c r="H1092" i="10"/>
  <c r="J1092" i="10"/>
  <c r="G1093" i="10"/>
  <c r="H1093" i="10"/>
  <c r="J1093" i="10"/>
  <c r="G1094" i="10"/>
  <c r="H1094" i="10"/>
  <c r="J1094" i="10"/>
  <c r="G1095" i="10"/>
  <c r="H1095" i="10"/>
  <c r="J1095" i="10"/>
  <c r="G1096" i="10"/>
  <c r="H1096" i="10"/>
  <c r="J1096" i="10"/>
  <c r="G1097" i="10"/>
  <c r="H1097" i="10"/>
  <c r="J1097" i="10"/>
  <c r="G1098" i="10"/>
  <c r="H1098" i="10"/>
  <c r="J1098" i="10"/>
  <c r="G1099" i="10"/>
  <c r="H1099" i="10"/>
  <c r="J1099" i="10"/>
  <c r="G1100" i="10"/>
  <c r="H1100" i="10"/>
  <c r="J1100" i="10"/>
  <c r="G1101" i="10"/>
  <c r="H1101" i="10"/>
  <c r="J1101" i="10"/>
  <c r="G1102" i="10"/>
  <c r="H1102" i="10"/>
  <c r="J1102" i="10"/>
  <c r="G1103" i="10"/>
  <c r="H1103" i="10"/>
  <c r="J1103" i="10"/>
  <c r="G1104" i="10"/>
  <c r="H1104" i="10"/>
  <c r="J1104" i="10"/>
  <c r="G1105" i="10"/>
  <c r="H1105" i="10"/>
  <c r="J1105" i="10"/>
  <c r="G1106" i="10"/>
  <c r="H1106" i="10"/>
  <c r="J1106" i="10"/>
  <c r="G1107" i="10"/>
  <c r="H1107" i="10"/>
  <c r="J1107" i="10"/>
  <c r="G1108" i="10"/>
  <c r="H1108" i="10"/>
  <c r="J1108" i="10"/>
  <c r="G1109" i="10"/>
  <c r="H1109" i="10"/>
  <c r="J1109" i="10"/>
  <c r="G1110" i="10"/>
  <c r="H1110" i="10"/>
  <c r="J1110" i="10"/>
  <c r="G1111" i="10"/>
  <c r="H1111" i="10"/>
  <c r="J1111" i="10"/>
  <c r="G1112" i="10"/>
  <c r="H1112" i="10"/>
  <c r="J1112" i="10"/>
  <c r="G1113" i="10"/>
  <c r="H1113" i="10"/>
  <c r="J1113" i="10"/>
  <c r="G1114" i="10"/>
  <c r="H1114" i="10"/>
  <c r="J1114" i="10"/>
  <c r="G1115" i="10"/>
  <c r="H1115" i="10"/>
  <c r="J1115" i="10"/>
  <c r="G1116" i="10"/>
  <c r="H1116" i="10"/>
  <c r="J1116" i="10"/>
  <c r="G1117" i="10"/>
  <c r="H1117" i="10"/>
  <c r="J1117" i="10"/>
  <c r="G1118" i="10"/>
  <c r="H1118" i="10"/>
  <c r="J1118" i="10"/>
  <c r="G1119" i="10"/>
  <c r="H1119" i="10"/>
  <c r="J1119" i="10"/>
  <c r="G1120" i="10"/>
  <c r="H1120" i="10"/>
  <c r="J1120" i="10"/>
  <c r="G1121" i="10"/>
  <c r="H1121" i="10"/>
  <c r="J1121" i="10"/>
  <c r="G1122" i="10"/>
  <c r="H1122" i="10"/>
  <c r="J1122" i="10"/>
  <c r="G1123" i="10"/>
  <c r="H1123" i="10"/>
  <c r="J1123" i="10"/>
  <c r="G1124" i="10"/>
  <c r="H1124" i="10"/>
  <c r="J1124" i="10"/>
  <c r="G1125" i="10"/>
  <c r="H1125" i="10"/>
  <c r="J1125" i="10"/>
  <c r="G1126" i="10"/>
  <c r="H1126" i="10"/>
  <c r="J1126" i="10"/>
  <c r="G1127" i="10"/>
  <c r="H1127" i="10"/>
  <c r="J1127" i="10"/>
  <c r="G1128" i="10"/>
  <c r="H1128" i="10"/>
  <c r="J1128" i="10"/>
  <c r="G1129" i="10"/>
  <c r="H1129" i="10"/>
  <c r="J1129" i="10"/>
  <c r="G1130" i="10"/>
  <c r="H1130" i="10"/>
  <c r="J1130" i="10"/>
  <c r="G1131" i="10"/>
  <c r="H1131" i="10"/>
  <c r="J1131" i="10"/>
  <c r="G1132" i="10"/>
  <c r="H1132" i="10"/>
  <c r="J1132" i="10"/>
  <c r="G1133" i="10"/>
  <c r="H1133" i="10"/>
  <c r="J1133" i="10"/>
  <c r="G1134" i="10"/>
  <c r="H1134" i="10"/>
  <c r="J1134" i="10"/>
  <c r="G1135" i="10"/>
  <c r="H1135" i="10"/>
  <c r="J1135" i="10"/>
  <c r="G1136" i="10"/>
  <c r="H1136" i="10"/>
  <c r="J1136" i="10"/>
  <c r="G1137" i="10"/>
  <c r="H1137" i="10"/>
  <c r="J1137" i="10"/>
  <c r="G1138" i="10"/>
  <c r="H1138" i="10"/>
  <c r="J1138" i="10"/>
  <c r="G1139" i="10"/>
  <c r="H1139" i="10"/>
  <c r="J1139" i="10"/>
  <c r="G1140" i="10"/>
  <c r="H1140" i="10"/>
  <c r="J1140" i="10"/>
  <c r="G1141" i="10"/>
  <c r="H1141" i="10"/>
  <c r="J1141" i="10"/>
  <c r="G1142" i="10"/>
  <c r="H1142" i="10"/>
  <c r="J1142" i="10"/>
  <c r="G1143" i="10"/>
  <c r="H1143" i="10"/>
  <c r="J1143" i="10"/>
  <c r="G1144" i="10"/>
  <c r="H1144" i="10"/>
  <c r="J1144" i="10"/>
  <c r="G1145" i="10"/>
  <c r="H1145" i="10"/>
  <c r="J1145" i="10"/>
  <c r="G1146" i="10"/>
  <c r="H1146" i="10"/>
  <c r="J1146" i="10"/>
  <c r="G1147" i="10"/>
  <c r="H1147" i="10"/>
  <c r="J1147" i="10"/>
  <c r="G1148" i="10"/>
  <c r="H1148" i="10"/>
  <c r="J1148" i="10"/>
  <c r="G1149" i="10"/>
  <c r="H1149" i="10"/>
  <c r="J1149" i="10"/>
  <c r="G1150" i="10"/>
  <c r="H1150" i="10"/>
  <c r="J1150" i="10"/>
  <c r="G1151" i="10"/>
  <c r="H1151" i="10"/>
  <c r="J1151" i="10"/>
  <c r="G1152" i="10"/>
  <c r="H1152" i="10"/>
  <c r="J1152" i="10"/>
  <c r="G1153" i="10"/>
  <c r="H1153" i="10"/>
  <c r="J1153" i="10"/>
  <c r="G1154" i="10"/>
  <c r="H1154" i="10"/>
  <c r="J1154" i="10"/>
  <c r="G1155" i="10"/>
  <c r="H1155" i="10"/>
  <c r="J1155" i="10"/>
  <c r="G1156" i="10"/>
  <c r="H1156" i="10"/>
  <c r="J1156" i="10"/>
  <c r="G1157" i="10"/>
  <c r="H1157" i="10"/>
  <c r="J1157" i="10"/>
  <c r="G1158" i="10"/>
  <c r="H1158" i="10"/>
  <c r="J1158" i="10"/>
  <c r="G1159" i="10"/>
  <c r="H1159" i="10"/>
  <c r="J1159" i="10"/>
  <c r="G1160" i="10"/>
  <c r="H1160" i="10"/>
  <c r="J1160" i="10"/>
  <c r="G1161" i="10"/>
  <c r="H1161" i="10"/>
  <c r="J1161" i="10"/>
  <c r="G1162" i="10"/>
  <c r="H1162" i="10"/>
  <c r="J1162" i="10"/>
  <c r="G1163" i="10"/>
  <c r="H1163" i="10"/>
  <c r="J1163" i="10"/>
  <c r="G1164" i="10"/>
  <c r="H1164" i="10"/>
  <c r="J1164" i="10"/>
  <c r="G1165" i="10"/>
  <c r="H1165" i="10"/>
  <c r="J1165" i="10"/>
  <c r="G1166" i="10"/>
  <c r="H1166" i="10"/>
  <c r="J1166" i="10"/>
  <c r="G1167" i="10"/>
  <c r="H1167" i="10"/>
  <c r="J1167" i="10"/>
  <c r="G1168" i="10"/>
  <c r="H1168" i="10"/>
  <c r="J1168" i="10"/>
  <c r="G1169" i="10"/>
  <c r="H1169" i="10"/>
  <c r="J1169" i="10"/>
  <c r="G1170" i="10"/>
  <c r="H1170" i="10"/>
  <c r="J1170" i="10"/>
  <c r="G1171" i="10"/>
  <c r="H1171" i="10"/>
  <c r="J1171" i="10"/>
  <c r="G1172" i="10"/>
  <c r="H1172" i="10"/>
  <c r="J1172" i="10"/>
  <c r="G1173" i="10"/>
  <c r="H1173" i="10"/>
  <c r="J1173" i="10"/>
  <c r="G1174" i="10"/>
  <c r="H1174" i="10"/>
  <c r="J1174" i="10"/>
  <c r="G1175" i="10"/>
  <c r="H1175" i="10"/>
  <c r="J1175" i="10"/>
  <c r="G1176" i="10"/>
  <c r="H1176" i="10"/>
  <c r="J1176" i="10"/>
  <c r="G1177" i="10"/>
  <c r="H1177" i="10"/>
  <c r="J1177" i="10"/>
  <c r="G1178" i="10"/>
  <c r="H1178" i="10"/>
  <c r="J1178" i="10"/>
  <c r="G1179" i="10"/>
  <c r="H1179" i="10"/>
  <c r="J1179" i="10"/>
  <c r="G1180" i="10"/>
  <c r="H1180" i="10"/>
  <c r="J1180" i="10"/>
  <c r="G1181" i="10"/>
  <c r="H1181" i="10"/>
  <c r="J1181" i="10"/>
  <c r="G1182" i="10"/>
  <c r="H1182" i="10"/>
  <c r="J1182" i="10"/>
  <c r="G1183" i="10"/>
  <c r="H1183" i="10"/>
  <c r="J1183" i="10"/>
  <c r="G1184" i="10"/>
  <c r="H1184" i="10"/>
  <c r="J1184" i="10"/>
  <c r="G1185" i="10"/>
  <c r="H1185" i="10"/>
  <c r="J1185" i="10"/>
  <c r="G1186" i="10"/>
  <c r="H1186" i="10"/>
  <c r="J1186" i="10"/>
  <c r="G1187" i="10"/>
  <c r="H1187" i="10"/>
  <c r="J1187" i="10"/>
  <c r="G1188" i="10"/>
  <c r="H1188" i="10"/>
  <c r="J1188" i="10"/>
  <c r="G1189" i="10"/>
  <c r="H1189" i="10"/>
  <c r="J1189" i="10"/>
  <c r="G1190" i="10"/>
  <c r="H1190" i="10"/>
  <c r="J1190" i="10"/>
  <c r="G1191" i="10"/>
  <c r="H1191" i="10"/>
  <c r="J1191" i="10"/>
  <c r="G1192" i="10"/>
  <c r="H1192" i="10"/>
  <c r="J1192" i="10"/>
  <c r="G1193" i="10"/>
  <c r="H1193" i="10"/>
  <c r="J1193" i="10"/>
  <c r="G1194" i="10"/>
  <c r="H1194" i="10"/>
  <c r="J1194" i="10"/>
  <c r="G1195" i="10"/>
  <c r="H1195" i="10"/>
  <c r="J1195" i="10"/>
  <c r="G1196" i="10"/>
  <c r="H1196" i="10"/>
  <c r="J1196" i="10"/>
  <c r="G1197" i="10"/>
  <c r="H1197" i="10"/>
  <c r="J1197" i="10"/>
  <c r="G1198" i="10"/>
  <c r="H1198" i="10"/>
  <c r="J1198" i="10"/>
  <c r="G1199" i="10"/>
  <c r="H1199" i="10"/>
  <c r="J1199" i="10"/>
  <c r="G1200" i="10"/>
  <c r="H1200" i="10"/>
  <c r="J1200" i="10"/>
  <c r="G6" i="10"/>
  <c r="G7" i="10"/>
  <c r="J6" i="10"/>
  <c r="J7" i="10"/>
  <c r="G4" i="10"/>
  <c r="G5" i="10"/>
  <c r="G3" i="10"/>
  <c r="G31" i="9"/>
  <c r="J31" i="9"/>
  <c r="G32" i="9"/>
  <c r="J32" i="9"/>
  <c r="G33" i="9"/>
  <c r="J33" i="9"/>
  <c r="G34" i="9"/>
  <c r="J34" i="9"/>
  <c r="G35" i="9"/>
  <c r="J35" i="9"/>
  <c r="G36" i="9"/>
  <c r="J36" i="9"/>
  <c r="G37" i="9"/>
  <c r="J37" i="9"/>
  <c r="G38" i="9"/>
  <c r="J38" i="9"/>
  <c r="G39" i="9"/>
  <c r="J39" i="9"/>
  <c r="G40" i="9"/>
  <c r="J40" i="9"/>
  <c r="G41" i="9"/>
  <c r="J41" i="9"/>
  <c r="G42" i="9"/>
  <c r="J42" i="9"/>
  <c r="G43" i="9"/>
  <c r="J43" i="9"/>
  <c r="G44" i="9"/>
  <c r="J44" i="9"/>
  <c r="G45" i="9"/>
  <c r="J45" i="9"/>
  <c r="G46" i="9"/>
  <c r="J46" i="9"/>
  <c r="G47" i="9"/>
  <c r="J47" i="9"/>
  <c r="G48" i="9"/>
  <c r="J48" i="9"/>
  <c r="G49" i="9"/>
  <c r="J49" i="9"/>
  <c r="G50" i="9"/>
  <c r="J50" i="9"/>
  <c r="G51" i="9"/>
  <c r="J51" i="9"/>
  <c r="G52" i="9"/>
  <c r="J52" i="9"/>
  <c r="G53" i="9"/>
  <c r="J53" i="9"/>
  <c r="G54" i="9"/>
  <c r="J54" i="9"/>
  <c r="G55" i="9"/>
  <c r="J55" i="9"/>
  <c r="G56" i="9"/>
  <c r="J56" i="9"/>
  <c r="G57" i="9"/>
  <c r="J57" i="9"/>
  <c r="G58" i="9"/>
  <c r="J58" i="9"/>
  <c r="G59" i="9"/>
  <c r="J59" i="9"/>
  <c r="G60" i="9"/>
  <c r="J60" i="9"/>
  <c r="G61" i="9"/>
  <c r="J61" i="9"/>
  <c r="G62" i="9"/>
  <c r="J62" i="9"/>
  <c r="G63" i="9"/>
  <c r="J63" i="9"/>
  <c r="G64" i="9"/>
  <c r="J64" i="9"/>
  <c r="G65" i="9"/>
  <c r="J65" i="9"/>
  <c r="G66" i="9"/>
  <c r="J66" i="9"/>
  <c r="G67" i="9"/>
  <c r="J67" i="9"/>
  <c r="G68" i="9"/>
  <c r="J68" i="9"/>
  <c r="G69" i="9"/>
  <c r="J69" i="9"/>
  <c r="G70" i="9"/>
  <c r="J70" i="9"/>
  <c r="G71" i="9"/>
  <c r="J71" i="9"/>
  <c r="G72" i="9"/>
  <c r="J72" i="9"/>
  <c r="G73" i="9"/>
  <c r="J73" i="9"/>
  <c r="G74" i="9"/>
  <c r="J74" i="9"/>
  <c r="G75" i="9"/>
  <c r="J75" i="9"/>
  <c r="G76" i="9"/>
  <c r="J76" i="9"/>
  <c r="G77" i="9"/>
  <c r="J77" i="9"/>
  <c r="G78" i="9"/>
  <c r="J78" i="9"/>
  <c r="G79" i="9"/>
  <c r="J79" i="9"/>
  <c r="G80" i="9"/>
  <c r="J80" i="9"/>
  <c r="G81" i="9"/>
  <c r="J81" i="9"/>
  <c r="G82" i="9"/>
  <c r="J82" i="9"/>
  <c r="G83" i="9"/>
  <c r="J83" i="9"/>
  <c r="G84" i="9"/>
  <c r="J84" i="9"/>
  <c r="G85" i="9"/>
  <c r="J85" i="9"/>
  <c r="G86" i="9"/>
  <c r="J86" i="9"/>
  <c r="G87" i="9"/>
  <c r="J87" i="9"/>
  <c r="G88" i="9"/>
  <c r="J88" i="9"/>
  <c r="G89" i="9"/>
  <c r="J89" i="9"/>
  <c r="G90" i="9"/>
  <c r="J90" i="9"/>
  <c r="G91" i="9"/>
  <c r="J91" i="9"/>
  <c r="G92" i="9"/>
  <c r="J92" i="9"/>
  <c r="G93" i="9"/>
  <c r="J93" i="9"/>
  <c r="G94" i="9"/>
  <c r="J94" i="9"/>
  <c r="G95" i="9"/>
  <c r="J95" i="9"/>
  <c r="G96" i="9"/>
  <c r="J96" i="9"/>
  <c r="G97" i="9"/>
  <c r="J97" i="9"/>
  <c r="G98" i="9"/>
  <c r="J98" i="9"/>
  <c r="G99" i="9"/>
  <c r="J99" i="9"/>
  <c r="G100" i="9"/>
  <c r="J100" i="9"/>
  <c r="G101" i="9"/>
  <c r="J101" i="9"/>
  <c r="G102" i="9"/>
  <c r="J102" i="9"/>
  <c r="G103" i="9"/>
  <c r="J103" i="9"/>
  <c r="G104" i="9"/>
  <c r="J104" i="9"/>
  <c r="G105" i="9"/>
  <c r="J105" i="9"/>
  <c r="G106" i="9"/>
  <c r="J106" i="9"/>
  <c r="G107" i="9"/>
  <c r="J107" i="9"/>
  <c r="G108" i="9"/>
  <c r="J108" i="9"/>
  <c r="G109" i="9"/>
  <c r="J109" i="9"/>
  <c r="G110" i="9"/>
  <c r="J110" i="9"/>
  <c r="G111" i="9"/>
  <c r="J111" i="9"/>
  <c r="G112" i="9"/>
  <c r="J112" i="9"/>
  <c r="G113" i="9"/>
  <c r="J113" i="9"/>
  <c r="G114" i="9"/>
  <c r="J114" i="9"/>
  <c r="G115" i="9"/>
  <c r="J115" i="9"/>
  <c r="G116" i="9"/>
  <c r="J116" i="9"/>
  <c r="G117" i="9"/>
  <c r="J117" i="9"/>
  <c r="G118" i="9"/>
  <c r="J118" i="9"/>
  <c r="G119" i="9"/>
  <c r="J119" i="9"/>
  <c r="G120" i="9"/>
  <c r="J120" i="9"/>
  <c r="G121" i="9"/>
  <c r="J121" i="9"/>
  <c r="G122" i="9"/>
  <c r="J122" i="9"/>
  <c r="G123" i="9"/>
  <c r="J123" i="9"/>
  <c r="G124" i="9"/>
  <c r="J124" i="9"/>
  <c r="G125" i="9"/>
  <c r="J125" i="9"/>
  <c r="G126" i="9"/>
  <c r="J126" i="9"/>
  <c r="G127" i="9"/>
  <c r="J127" i="9"/>
  <c r="G128" i="9"/>
  <c r="J128" i="9"/>
  <c r="G129" i="9"/>
  <c r="J129" i="9"/>
  <c r="G130" i="9"/>
  <c r="J130" i="9"/>
  <c r="G131" i="9"/>
  <c r="J131" i="9"/>
  <c r="G132" i="9"/>
  <c r="J132" i="9"/>
  <c r="G133" i="9"/>
  <c r="J133" i="9"/>
  <c r="G134" i="9"/>
  <c r="J134" i="9"/>
  <c r="G135" i="9"/>
  <c r="J135" i="9"/>
  <c r="G136" i="9"/>
  <c r="J136" i="9"/>
  <c r="G137" i="9"/>
  <c r="J137" i="9"/>
  <c r="G138" i="9"/>
  <c r="J138" i="9"/>
  <c r="G139" i="9"/>
  <c r="J139" i="9"/>
  <c r="G140" i="9"/>
  <c r="J140" i="9"/>
  <c r="G141" i="9"/>
  <c r="J141" i="9"/>
  <c r="G142" i="9"/>
  <c r="J142" i="9"/>
  <c r="G143" i="9"/>
  <c r="J143" i="9"/>
  <c r="G144" i="9"/>
  <c r="J144" i="9"/>
  <c r="G145" i="9"/>
  <c r="J145" i="9"/>
  <c r="G146" i="9"/>
  <c r="J146" i="9"/>
  <c r="G147" i="9"/>
  <c r="J147" i="9"/>
  <c r="G148" i="9"/>
  <c r="J148" i="9"/>
  <c r="G149" i="9"/>
  <c r="J149" i="9"/>
  <c r="G150" i="9"/>
  <c r="J150" i="9"/>
  <c r="G151" i="9"/>
  <c r="J151" i="9"/>
  <c r="G152" i="9"/>
  <c r="J152" i="9"/>
  <c r="G153" i="9"/>
  <c r="J153" i="9"/>
  <c r="G154" i="9"/>
  <c r="J154" i="9"/>
  <c r="G155" i="9"/>
  <c r="J155" i="9"/>
  <c r="G156" i="9"/>
  <c r="J156" i="9"/>
  <c r="G157" i="9"/>
  <c r="J157" i="9"/>
  <c r="G158" i="9"/>
  <c r="J158" i="9"/>
  <c r="G159" i="9"/>
  <c r="J159" i="9"/>
  <c r="G160" i="9"/>
  <c r="J160" i="9"/>
  <c r="G161" i="9"/>
  <c r="J161" i="9"/>
  <c r="G162" i="9"/>
  <c r="J162" i="9"/>
  <c r="G163" i="9"/>
  <c r="J163" i="9"/>
  <c r="G164" i="9"/>
  <c r="J164" i="9"/>
  <c r="G165" i="9"/>
  <c r="J165" i="9"/>
  <c r="G166" i="9"/>
  <c r="J166" i="9"/>
  <c r="G167" i="9"/>
  <c r="J167" i="9"/>
  <c r="G168" i="9"/>
  <c r="J168" i="9"/>
  <c r="G169" i="9"/>
  <c r="J169" i="9"/>
  <c r="G170" i="9"/>
  <c r="J170" i="9"/>
  <c r="G171" i="9"/>
  <c r="J171" i="9"/>
  <c r="G172" i="9"/>
  <c r="J172" i="9"/>
  <c r="G173" i="9"/>
  <c r="J173" i="9"/>
  <c r="G174" i="9"/>
  <c r="J174" i="9"/>
  <c r="G175" i="9"/>
  <c r="J175" i="9"/>
  <c r="G176" i="9"/>
  <c r="J176" i="9"/>
  <c r="G177" i="9"/>
  <c r="J177" i="9"/>
  <c r="G178" i="9"/>
  <c r="J178" i="9"/>
  <c r="G179" i="9"/>
  <c r="J179" i="9"/>
  <c r="G180" i="9"/>
  <c r="J180" i="9"/>
  <c r="G181" i="9"/>
  <c r="J181" i="9"/>
  <c r="G182" i="9"/>
  <c r="J182" i="9"/>
  <c r="G183" i="9"/>
  <c r="J183" i="9"/>
  <c r="G184" i="9"/>
  <c r="J184" i="9"/>
  <c r="G185" i="9"/>
  <c r="J185" i="9"/>
  <c r="G186" i="9"/>
  <c r="J186" i="9"/>
  <c r="G187" i="9"/>
  <c r="J187" i="9"/>
  <c r="G188" i="9"/>
  <c r="J188" i="9"/>
  <c r="G189" i="9"/>
  <c r="J189" i="9"/>
  <c r="G190" i="9"/>
  <c r="J190" i="9"/>
  <c r="G191" i="9"/>
  <c r="J191" i="9"/>
  <c r="G192" i="9"/>
  <c r="J192" i="9"/>
  <c r="G193" i="9"/>
  <c r="J193" i="9"/>
  <c r="G194" i="9"/>
  <c r="J194" i="9"/>
  <c r="G195" i="9"/>
  <c r="J195" i="9"/>
  <c r="G196" i="9"/>
  <c r="J196" i="9"/>
  <c r="G197" i="9"/>
  <c r="J197" i="9"/>
  <c r="G198" i="9"/>
  <c r="J198" i="9"/>
  <c r="G199" i="9"/>
  <c r="J199" i="9"/>
  <c r="G200" i="9"/>
  <c r="J200" i="9"/>
  <c r="G201" i="9"/>
  <c r="J201" i="9"/>
  <c r="G202" i="9"/>
  <c r="J202" i="9"/>
  <c r="G203" i="9"/>
  <c r="J203" i="9"/>
  <c r="G204" i="9"/>
  <c r="J204" i="9"/>
  <c r="G205" i="9"/>
  <c r="J205" i="9"/>
  <c r="G206" i="9"/>
  <c r="J206" i="9"/>
  <c r="G207" i="9"/>
  <c r="J207" i="9"/>
  <c r="G208" i="9"/>
  <c r="J208" i="9"/>
  <c r="G209" i="9"/>
  <c r="J209" i="9"/>
  <c r="G210" i="9"/>
  <c r="J210" i="9"/>
  <c r="G211" i="9"/>
  <c r="J211" i="9"/>
  <c r="G212" i="9"/>
  <c r="J212" i="9"/>
  <c r="G213" i="9"/>
  <c r="J213" i="9"/>
  <c r="G214" i="9"/>
  <c r="J214" i="9"/>
  <c r="G215" i="9"/>
  <c r="J215" i="9"/>
  <c r="G216" i="9"/>
  <c r="J216" i="9"/>
  <c r="G217" i="9"/>
  <c r="J217" i="9"/>
  <c r="G218" i="9"/>
  <c r="J218" i="9"/>
  <c r="G219" i="9"/>
  <c r="J219" i="9"/>
  <c r="G220" i="9"/>
  <c r="J220" i="9"/>
  <c r="G221" i="9"/>
  <c r="J221" i="9"/>
  <c r="G222" i="9"/>
  <c r="J222" i="9"/>
  <c r="G223" i="9"/>
  <c r="J223" i="9"/>
  <c r="G224" i="9"/>
  <c r="J224" i="9"/>
  <c r="G225" i="9"/>
  <c r="J225" i="9"/>
  <c r="G226" i="9"/>
  <c r="J226" i="9"/>
  <c r="G227" i="9"/>
  <c r="J227" i="9"/>
  <c r="G228" i="9"/>
  <c r="J228" i="9"/>
  <c r="G229" i="9"/>
  <c r="J229" i="9"/>
  <c r="G230" i="9"/>
  <c r="J230" i="9"/>
  <c r="G231" i="9"/>
  <c r="J231" i="9"/>
  <c r="G232" i="9"/>
  <c r="J232" i="9"/>
  <c r="G233" i="9"/>
  <c r="J233" i="9"/>
  <c r="G234" i="9"/>
  <c r="J234" i="9"/>
  <c r="G235" i="9"/>
  <c r="J235" i="9"/>
  <c r="G236" i="9"/>
  <c r="J236" i="9"/>
  <c r="G237" i="9"/>
  <c r="J237" i="9"/>
  <c r="G238" i="9"/>
  <c r="J238" i="9"/>
  <c r="G239" i="9"/>
  <c r="J239" i="9"/>
  <c r="G240" i="9"/>
  <c r="J240" i="9"/>
  <c r="G241" i="9"/>
  <c r="J241" i="9"/>
  <c r="G242" i="9"/>
  <c r="J242" i="9"/>
  <c r="G243" i="9"/>
  <c r="J243" i="9"/>
  <c r="G244" i="9"/>
  <c r="J244" i="9"/>
  <c r="G245" i="9"/>
  <c r="J245" i="9"/>
  <c r="G246" i="9"/>
  <c r="J246" i="9"/>
  <c r="G247" i="9"/>
  <c r="J247" i="9"/>
  <c r="G248" i="9"/>
  <c r="J248" i="9"/>
  <c r="G249" i="9"/>
  <c r="J249" i="9"/>
  <c r="G250" i="9"/>
  <c r="J250" i="9"/>
  <c r="G251" i="9"/>
  <c r="J251" i="9"/>
  <c r="G252" i="9"/>
  <c r="J252" i="9"/>
  <c r="G253" i="9"/>
  <c r="J253" i="9"/>
  <c r="G254" i="9"/>
  <c r="J254" i="9"/>
  <c r="G255" i="9"/>
  <c r="J255" i="9"/>
  <c r="G256" i="9"/>
  <c r="J256" i="9"/>
  <c r="G257" i="9"/>
  <c r="J257" i="9"/>
  <c r="G258" i="9"/>
  <c r="J258" i="9"/>
  <c r="G259" i="9"/>
  <c r="J259" i="9"/>
  <c r="G260" i="9"/>
  <c r="J260" i="9"/>
  <c r="G261" i="9"/>
  <c r="J261" i="9"/>
  <c r="G262" i="9"/>
  <c r="J262" i="9"/>
  <c r="G263" i="9"/>
  <c r="J263" i="9"/>
  <c r="G264" i="9"/>
  <c r="J264" i="9"/>
  <c r="G265" i="9"/>
  <c r="J265" i="9"/>
  <c r="G266" i="9"/>
  <c r="J266" i="9"/>
  <c r="G267" i="9"/>
  <c r="J267" i="9"/>
  <c r="G268" i="9"/>
  <c r="J268" i="9"/>
  <c r="G269" i="9"/>
  <c r="J269" i="9"/>
  <c r="G270" i="9"/>
  <c r="J270" i="9"/>
  <c r="G271" i="9"/>
  <c r="J271" i="9"/>
  <c r="G272" i="9"/>
  <c r="J272" i="9"/>
  <c r="G273" i="9"/>
  <c r="J273" i="9"/>
  <c r="G274" i="9"/>
  <c r="J274" i="9"/>
  <c r="G275" i="9"/>
  <c r="J275" i="9"/>
  <c r="G276" i="9"/>
  <c r="J276" i="9"/>
  <c r="G277" i="9"/>
  <c r="J277" i="9"/>
  <c r="G278" i="9"/>
  <c r="J278" i="9"/>
  <c r="G279" i="9"/>
  <c r="J279" i="9"/>
  <c r="G280" i="9"/>
  <c r="J280" i="9"/>
  <c r="G281" i="9"/>
  <c r="J281" i="9"/>
  <c r="G282" i="9"/>
  <c r="J282" i="9"/>
  <c r="G283" i="9"/>
  <c r="J283" i="9"/>
  <c r="G284" i="9"/>
  <c r="J284" i="9"/>
  <c r="G285" i="9"/>
  <c r="J285" i="9"/>
  <c r="G286" i="9"/>
  <c r="J286" i="9"/>
  <c r="G287" i="9"/>
  <c r="J287" i="9"/>
  <c r="G288" i="9"/>
  <c r="J288" i="9"/>
  <c r="G289" i="9"/>
  <c r="J289" i="9"/>
  <c r="G290" i="9"/>
  <c r="J290" i="9"/>
  <c r="G291" i="9"/>
  <c r="J291" i="9"/>
  <c r="G292" i="9"/>
  <c r="J292" i="9"/>
  <c r="G293" i="9"/>
  <c r="J293" i="9"/>
  <c r="G294" i="9"/>
  <c r="J294" i="9"/>
  <c r="G295" i="9"/>
  <c r="J295" i="9"/>
  <c r="G296" i="9"/>
  <c r="J296" i="9"/>
  <c r="G297" i="9"/>
  <c r="J297" i="9"/>
  <c r="G298" i="9"/>
  <c r="J298" i="9"/>
  <c r="G299" i="9"/>
  <c r="J299" i="9"/>
  <c r="G300" i="9"/>
  <c r="J300" i="9"/>
  <c r="G301" i="9"/>
  <c r="J301" i="9"/>
  <c r="G302" i="9"/>
  <c r="J302" i="9"/>
  <c r="G303" i="9"/>
  <c r="J303" i="9"/>
  <c r="G304" i="9"/>
  <c r="J304" i="9"/>
  <c r="G305" i="9"/>
  <c r="J305" i="9"/>
  <c r="G306" i="9"/>
  <c r="J306" i="9"/>
  <c r="G307" i="9"/>
  <c r="J307" i="9"/>
  <c r="G308" i="9"/>
  <c r="J308" i="9"/>
  <c r="G309" i="9"/>
  <c r="J309" i="9"/>
  <c r="G310" i="9"/>
  <c r="J310" i="9"/>
  <c r="G311" i="9"/>
  <c r="J311" i="9"/>
  <c r="G312" i="9"/>
  <c r="J312" i="9"/>
  <c r="G313" i="9"/>
  <c r="J313" i="9"/>
  <c r="G314" i="9"/>
  <c r="J314" i="9"/>
  <c r="G315" i="9"/>
  <c r="J315" i="9"/>
  <c r="G316" i="9"/>
  <c r="J316" i="9"/>
  <c r="G317" i="9"/>
  <c r="J317" i="9"/>
  <c r="G318" i="9"/>
  <c r="J318" i="9"/>
  <c r="G319" i="9"/>
  <c r="J319" i="9"/>
  <c r="G320" i="9"/>
  <c r="J320" i="9"/>
  <c r="G321" i="9"/>
  <c r="J321" i="9"/>
  <c r="G322" i="9"/>
  <c r="J322" i="9"/>
  <c r="G323" i="9"/>
  <c r="J323" i="9"/>
  <c r="G324" i="9"/>
  <c r="J324" i="9"/>
  <c r="G325" i="9"/>
  <c r="J325" i="9"/>
  <c r="G326" i="9"/>
  <c r="J326" i="9"/>
  <c r="G327" i="9"/>
  <c r="J327" i="9"/>
  <c r="G328" i="9"/>
  <c r="J328" i="9"/>
  <c r="G329" i="9"/>
  <c r="J329" i="9"/>
  <c r="G330" i="9"/>
  <c r="J330" i="9"/>
  <c r="G331" i="9"/>
  <c r="J331" i="9"/>
  <c r="G332" i="9"/>
  <c r="J332" i="9"/>
  <c r="G333" i="9"/>
  <c r="J333" i="9"/>
  <c r="G334" i="9"/>
  <c r="J334" i="9"/>
  <c r="G335" i="9"/>
  <c r="J335" i="9"/>
  <c r="G336" i="9"/>
  <c r="J336" i="9"/>
  <c r="G337" i="9"/>
  <c r="J337" i="9"/>
  <c r="G338" i="9"/>
  <c r="J338" i="9"/>
  <c r="G339" i="9"/>
  <c r="J339" i="9"/>
  <c r="G340" i="9"/>
  <c r="J340" i="9"/>
  <c r="G341" i="9"/>
  <c r="J341" i="9"/>
  <c r="G342" i="9"/>
  <c r="J342" i="9"/>
  <c r="G343" i="9"/>
  <c r="J343" i="9"/>
  <c r="G344" i="9"/>
  <c r="J344" i="9"/>
  <c r="G345" i="9"/>
  <c r="J345" i="9"/>
  <c r="G346" i="9"/>
  <c r="J346" i="9"/>
  <c r="G347" i="9"/>
  <c r="J347" i="9"/>
  <c r="G348" i="9"/>
  <c r="J348" i="9"/>
  <c r="G349" i="9"/>
  <c r="J349" i="9"/>
  <c r="G350" i="9"/>
  <c r="J350" i="9"/>
  <c r="G351" i="9"/>
  <c r="J351" i="9"/>
  <c r="G352" i="9"/>
  <c r="J352" i="9"/>
  <c r="G353" i="9"/>
  <c r="J353" i="9"/>
  <c r="G354" i="9"/>
  <c r="J354" i="9"/>
  <c r="G355" i="9"/>
  <c r="J355" i="9"/>
  <c r="G356" i="9"/>
  <c r="J356" i="9"/>
  <c r="G357" i="9"/>
  <c r="J357" i="9"/>
  <c r="G358" i="9"/>
  <c r="J358" i="9"/>
  <c r="G359" i="9"/>
  <c r="J359" i="9"/>
  <c r="G360" i="9"/>
  <c r="J360" i="9"/>
  <c r="G361" i="9"/>
  <c r="J361" i="9"/>
  <c r="G362" i="9"/>
  <c r="J362" i="9"/>
  <c r="G363" i="9"/>
  <c r="J363" i="9"/>
  <c r="G364" i="9"/>
  <c r="J364" i="9"/>
  <c r="G365" i="9"/>
  <c r="J365" i="9"/>
  <c r="G366" i="9"/>
  <c r="J366" i="9"/>
  <c r="G367" i="9"/>
  <c r="J367" i="9"/>
  <c r="G368" i="9"/>
  <c r="J368" i="9"/>
  <c r="G369" i="9"/>
  <c r="J369" i="9"/>
  <c r="G370" i="9"/>
  <c r="J370" i="9"/>
  <c r="G371" i="9"/>
  <c r="J371" i="9"/>
  <c r="G372" i="9"/>
  <c r="J372" i="9"/>
  <c r="G373" i="9"/>
  <c r="J373" i="9"/>
  <c r="G374" i="9"/>
  <c r="J374" i="9"/>
  <c r="G375" i="9"/>
  <c r="J375" i="9"/>
  <c r="G376" i="9"/>
  <c r="J376" i="9"/>
  <c r="G377" i="9"/>
  <c r="J377" i="9"/>
  <c r="G378" i="9"/>
  <c r="J378" i="9"/>
  <c r="G379" i="9"/>
  <c r="J379" i="9"/>
  <c r="G380" i="9"/>
  <c r="J380" i="9"/>
  <c r="G381" i="9"/>
  <c r="J381" i="9"/>
  <c r="G382" i="9"/>
  <c r="J382" i="9"/>
  <c r="G383" i="9"/>
  <c r="J383" i="9"/>
  <c r="G384" i="9"/>
  <c r="J384" i="9"/>
  <c r="G385" i="9"/>
  <c r="J385" i="9"/>
  <c r="G386" i="9"/>
  <c r="J386" i="9"/>
  <c r="G387" i="9"/>
  <c r="J387" i="9"/>
  <c r="G388" i="9"/>
  <c r="J388" i="9"/>
  <c r="G389" i="9"/>
  <c r="J389" i="9"/>
  <c r="G390" i="9"/>
  <c r="J390" i="9"/>
  <c r="G391" i="9"/>
  <c r="J391" i="9"/>
  <c r="G392" i="9"/>
  <c r="J392" i="9"/>
  <c r="G393" i="9"/>
  <c r="J393" i="9"/>
  <c r="G394" i="9"/>
  <c r="J394" i="9"/>
  <c r="G395" i="9"/>
  <c r="J395" i="9"/>
  <c r="G396" i="9"/>
  <c r="J396" i="9"/>
  <c r="G397" i="9"/>
  <c r="J397" i="9"/>
  <c r="G398" i="9"/>
  <c r="J398" i="9"/>
  <c r="G399" i="9"/>
  <c r="J399" i="9"/>
  <c r="G400" i="9"/>
  <c r="J400" i="9"/>
  <c r="G401" i="9"/>
  <c r="J401" i="9"/>
  <c r="G402" i="9"/>
  <c r="J402" i="9"/>
  <c r="G403" i="9"/>
  <c r="J403" i="9"/>
  <c r="G404" i="9"/>
  <c r="J404" i="9"/>
  <c r="G405" i="9"/>
  <c r="J405" i="9"/>
  <c r="G406" i="9"/>
  <c r="J406" i="9"/>
  <c r="G407" i="9"/>
  <c r="J407" i="9"/>
  <c r="G408" i="9"/>
  <c r="J408" i="9"/>
  <c r="G409" i="9"/>
  <c r="J409" i="9"/>
  <c r="G410" i="9"/>
  <c r="J410" i="9"/>
  <c r="G411" i="9"/>
  <c r="J411" i="9"/>
  <c r="G412" i="9"/>
  <c r="J412" i="9"/>
  <c r="G413" i="9"/>
  <c r="J413" i="9"/>
  <c r="G414" i="9"/>
  <c r="J414" i="9"/>
  <c r="G415" i="9"/>
  <c r="J415" i="9"/>
  <c r="G416" i="9"/>
  <c r="J416" i="9"/>
  <c r="G417" i="9"/>
  <c r="J417" i="9"/>
  <c r="G418" i="9"/>
  <c r="J418" i="9"/>
  <c r="G419" i="9"/>
  <c r="J419" i="9"/>
  <c r="G420" i="9"/>
  <c r="J420" i="9"/>
  <c r="G421" i="9"/>
  <c r="J421" i="9"/>
  <c r="G422" i="9"/>
  <c r="J422" i="9"/>
  <c r="G423" i="9"/>
  <c r="J423" i="9"/>
  <c r="G424" i="9"/>
  <c r="J424" i="9"/>
  <c r="G425" i="9"/>
  <c r="J425" i="9"/>
  <c r="G426" i="9"/>
  <c r="J426" i="9"/>
  <c r="G427" i="9"/>
  <c r="J427" i="9"/>
  <c r="G428" i="9"/>
  <c r="J428" i="9"/>
  <c r="G429" i="9"/>
  <c r="J429" i="9"/>
  <c r="G430" i="9"/>
  <c r="J430" i="9"/>
  <c r="G431" i="9"/>
  <c r="J431" i="9"/>
  <c r="G432" i="9"/>
  <c r="J432" i="9"/>
  <c r="G433" i="9"/>
  <c r="J433" i="9"/>
  <c r="G434" i="9"/>
  <c r="J434" i="9"/>
  <c r="G435" i="9"/>
  <c r="J435" i="9"/>
  <c r="G436" i="9"/>
  <c r="J436" i="9"/>
  <c r="G437" i="9"/>
  <c r="J437" i="9"/>
  <c r="G438" i="9"/>
  <c r="J438" i="9"/>
  <c r="G439" i="9"/>
  <c r="J439" i="9"/>
  <c r="G440" i="9"/>
  <c r="J440" i="9"/>
  <c r="G441" i="9"/>
  <c r="J441" i="9"/>
  <c r="G442" i="9"/>
  <c r="J442" i="9"/>
  <c r="G443" i="9"/>
  <c r="J443" i="9"/>
  <c r="G444" i="9"/>
  <c r="J444" i="9"/>
  <c r="G445" i="9"/>
  <c r="J445" i="9"/>
  <c r="G446" i="9"/>
  <c r="J446" i="9"/>
  <c r="G447" i="9"/>
  <c r="J447" i="9"/>
  <c r="G448" i="9"/>
  <c r="J448" i="9"/>
  <c r="G449" i="9"/>
  <c r="J449" i="9"/>
  <c r="G450" i="9"/>
  <c r="J450" i="9"/>
  <c r="G451" i="9"/>
  <c r="J451" i="9"/>
  <c r="G452" i="9"/>
  <c r="J452" i="9"/>
  <c r="G453" i="9"/>
  <c r="J453" i="9"/>
  <c r="G454" i="9"/>
  <c r="J454" i="9"/>
  <c r="G455" i="9"/>
  <c r="J455" i="9"/>
  <c r="G456" i="9"/>
  <c r="J456" i="9"/>
  <c r="G457" i="9"/>
  <c r="J457" i="9"/>
  <c r="G458" i="9"/>
  <c r="J458" i="9"/>
  <c r="G459" i="9"/>
  <c r="J459" i="9"/>
  <c r="G460" i="9"/>
  <c r="J460" i="9"/>
  <c r="G461" i="9"/>
  <c r="J461" i="9"/>
  <c r="G462" i="9"/>
  <c r="J462" i="9"/>
  <c r="G463" i="9"/>
  <c r="J463" i="9"/>
  <c r="G464" i="9"/>
  <c r="J464" i="9"/>
  <c r="G465" i="9"/>
  <c r="J465" i="9"/>
  <c r="G466" i="9"/>
  <c r="J466" i="9"/>
  <c r="G467" i="9"/>
  <c r="J467" i="9"/>
  <c r="G468" i="9"/>
  <c r="J468" i="9"/>
  <c r="G469" i="9"/>
  <c r="J469" i="9"/>
  <c r="G470" i="9"/>
  <c r="J470" i="9"/>
  <c r="G471" i="9"/>
  <c r="J471" i="9"/>
  <c r="G472" i="9"/>
  <c r="J472" i="9"/>
  <c r="G473" i="9"/>
  <c r="J473" i="9"/>
  <c r="G474" i="9"/>
  <c r="J474" i="9"/>
  <c r="G475" i="9"/>
  <c r="J475" i="9"/>
  <c r="G476" i="9"/>
  <c r="J476" i="9"/>
  <c r="G477" i="9"/>
  <c r="J477" i="9"/>
  <c r="G478" i="9"/>
  <c r="J478" i="9"/>
  <c r="G479" i="9"/>
  <c r="J479" i="9"/>
  <c r="G480" i="9"/>
  <c r="J480" i="9"/>
  <c r="G481" i="9"/>
  <c r="J481" i="9"/>
  <c r="G482" i="9"/>
  <c r="J482" i="9"/>
  <c r="G483" i="9"/>
  <c r="J483" i="9"/>
  <c r="G484" i="9"/>
  <c r="J484" i="9"/>
  <c r="G485" i="9"/>
  <c r="J485" i="9"/>
  <c r="G486" i="9"/>
  <c r="J486" i="9"/>
  <c r="G487" i="9"/>
  <c r="J487" i="9"/>
  <c r="G488" i="9"/>
  <c r="J488" i="9"/>
  <c r="G489" i="9"/>
  <c r="J489" i="9"/>
  <c r="G490" i="9"/>
  <c r="J490" i="9"/>
  <c r="G491" i="9"/>
  <c r="J491" i="9"/>
  <c r="G492" i="9"/>
  <c r="J492" i="9"/>
  <c r="G493" i="9"/>
  <c r="J493" i="9"/>
  <c r="G494" i="9"/>
  <c r="J494" i="9"/>
  <c r="G495" i="9"/>
  <c r="J495" i="9"/>
  <c r="G496" i="9"/>
  <c r="J496" i="9"/>
  <c r="G497" i="9"/>
  <c r="J497" i="9"/>
  <c r="G498" i="9"/>
  <c r="J498" i="9"/>
  <c r="G499" i="9"/>
  <c r="J499" i="9"/>
  <c r="G500" i="9"/>
  <c r="J500" i="9"/>
  <c r="G501" i="9"/>
  <c r="J501" i="9"/>
  <c r="G502" i="9"/>
  <c r="J502" i="9"/>
  <c r="G503" i="9"/>
  <c r="J503" i="9"/>
  <c r="G504" i="9"/>
  <c r="J504" i="9"/>
  <c r="G505" i="9"/>
  <c r="J505" i="9"/>
  <c r="G506" i="9"/>
  <c r="J506" i="9"/>
  <c r="G507" i="9"/>
  <c r="J507" i="9"/>
  <c r="G508" i="9"/>
  <c r="J508" i="9"/>
  <c r="G509" i="9"/>
  <c r="J509" i="9"/>
  <c r="G510" i="9"/>
  <c r="J510" i="9"/>
  <c r="G511" i="9"/>
  <c r="J511" i="9"/>
  <c r="G512" i="9"/>
  <c r="J512" i="9"/>
  <c r="G513" i="9"/>
  <c r="J513" i="9"/>
  <c r="G514" i="9"/>
  <c r="J514" i="9"/>
  <c r="G515" i="9"/>
  <c r="J515" i="9"/>
  <c r="G516" i="9"/>
  <c r="J516" i="9"/>
  <c r="G517" i="9"/>
  <c r="J517" i="9"/>
  <c r="G518" i="9"/>
  <c r="J518" i="9"/>
  <c r="G519" i="9"/>
  <c r="J519" i="9"/>
  <c r="G520" i="9"/>
  <c r="J520" i="9"/>
  <c r="G521" i="9"/>
  <c r="J521" i="9"/>
  <c r="G522" i="9"/>
  <c r="J522" i="9"/>
  <c r="G523" i="9"/>
  <c r="J523" i="9"/>
  <c r="G524" i="9"/>
  <c r="J524" i="9"/>
  <c r="G525" i="9"/>
  <c r="J525" i="9"/>
  <c r="G526" i="9"/>
  <c r="J526" i="9"/>
  <c r="G527" i="9"/>
  <c r="J527" i="9"/>
  <c r="G528" i="9"/>
  <c r="J528" i="9"/>
  <c r="G529" i="9"/>
  <c r="J529" i="9"/>
  <c r="G530" i="9"/>
  <c r="J530" i="9"/>
  <c r="G531" i="9"/>
  <c r="J531" i="9"/>
  <c r="G532" i="9"/>
  <c r="J532" i="9"/>
  <c r="G533" i="9"/>
  <c r="J533" i="9"/>
  <c r="G534" i="9"/>
  <c r="J534" i="9"/>
  <c r="G535" i="9"/>
  <c r="J535" i="9"/>
  <c r="G536" i="9"/>
  <c r="J536" i="9"/>
  <c r="G537" i="9"/>
  <c r="J537" i="9"/>
  <c r="G538" i="9"/>
  <c r="J538" i="9"/>
  <c r="G539" i="9"/>
  <c r="J539" i="9"/>
  <c r="G540" i="9"/>
  <c r="J540" i="9"/>
  <c r="G541" i="9"/>
  <c r="J541" i="9"/>
  <c r="G542" i="9"/>
  <c r="J542" i="9"/>
  <c r="G543" i="9"/>
  <c r="J543" i="9"/>
  <c r="G544" i="9"/>
  <c r="J544" i="9"/>
  <c r="G545" i="9"/>
  <c r="J545" i="9"/>
  <c r="G546" i="9"/>
  <c r="J546" i="9"/>
  <c r="G547" i="9"/>
  <c r="J547" i="9"/>
  <c r="G548" i="9"/>
  <c r="J548" i="9"/>
  <c r="G549" i="9"/>
  <c r="J549" i="9"/>
  <c r="G550" i="9"/>
  <c r="J550" i="9"/>
  <c r="G551" i="9"/>
  <c r="J551" i="9"/>
  <c r="G552" i="9"/>
  <c r="J552" i="9"/>
  <c r="G553" i="9"/>
  <c r="J553" i="9"/>
  <c r="G554" i="9"/>
  <c r="J554" i="9"/>
  <c r="G555" i="9"/>
  <c r="J555" i="9"/>
  <c r="G556" i="9"/>
  <c r="J556" i="9"/>
  <c r="G557" i="9"/>
  <c r="J557" i="9"/>
  <c r="G558" i="9"/>
  <c r="J558" i="9"/>
  <c r="G559" i="9"/>
  <c r="J559" i="9"/>
  <c r="G560" i="9"/>
  <c r="J560" i="9"/>
  <c r="G561" i="9"/>
  <c r="J561" i="9"/>
  <c r="G562" i="9"/>
  <c r="J562" i="9"/>
  <c r="G563" i="9"/>
  <c r="J563" i="9"/>
  <c r="G564" i="9"/>
  <c r="J564" i="9"/>
  <c r="G565" i="9"/>
  <c r="J565" i="9"/>
  <c r="G566" i="9"/>
  <c r="J566" i="9"/>
  <c r="G567" i="9"/>
  <c r="J567" i="9"/>
  <c r="G568" i="9"/>
  <c r="J568" i="9"/>
  <c r="G569" i="9"/>
  <c r="J569" i="9"/>
  <c r="G570" i="9"/>
  <c r="J570" i="9"/>
  <c r="G571" i="9"/>
  <c r="J571" i="9"/>
  <c r="G572" i="9"/>
  <c r="J572" i="9"/>
  <c r="G573" i="9"/>
  <c r="J573" i="9"/>
  <c r="G574" i="9"/>
  <c r="J574" i="9"/>
  <c r="G575" i="9"/>
  <c r="J575" i="9"/>
  <c r="G576" i="9"/>
  <c r="J576" i="9"/>
  <c r="G577" i="9"/>
  <c r="J577" i="9"/>
  <c r="G578" i="9"/>
  <c r="J578" i="9"/>
  <c r="G579" i="9"/>
  <c r="J579" i="9"/>
  <c r="G580" i="9"/>
  <c r="J580" i="9"/>
  <c r="G581" i="9"/>
  <c r="J581" i="9"/>
  <c r="G582" i="9"/>
  <c r="J582" i="9"/>
  <c r="G583" i="9"/>
  <c r="J583" i="9"/>
  <c r="G584" i="9"/>
  <c r="J584" i="9"/>
  <c r="G585" i="9"/>
  <c r="J585" i="9"/>
  <c r="G586" i="9"/>
  <c r="J586" i="9"/>
  <c r="G587" i="9"/>
  <c r="J587" i="9"/>
  <c r="G588" i="9"/>
  <c r="J588" i="9"/>
  <c r="G589" i="9"/>
  <c r="J589" i="9"/>
  <c r="G590" i="9"/>
  <c r="J590" i="9"/>
  <c r="G591" i="9"/>
  <c r="J591" i="9"/>
  <c r="G592" i="9"/>
  <c r="J592" i="9"/>
  <c r="G593" i="9"/>
  <c r="J593" i="9"/>
  <c r="G594" i="9"/>
  <c r="J594" i="9"/>
  <c r="G595" i="9"/>
  <c r="J595" i="9"/>
  <c r="G596" i="9"/>
  <c r="J596" i="9"/>
  <c r="G597" i="9"/>
  <c r="J597" i="9"/>
  <c r="G598" i="9"/>
  <c r="J598" i="9"/>
  <c r="G599" i="9"/>
  <c r="J599" i="9"/>
  <c r="G600" i="9"/>
  <c r="J600" i="9"/>
  <c r="G601" i="9"/>
  <c r="J601" i="9"/>
  <c r="G602" i="9"/>
  <c r="J602" i="9"/>
  <c r="G603" i="9"/>
  <c r="J603" i="9"/>
  <c r="G604" i="9"/>
  <c r="J604" i="9"/>
  <c r="G605" i="9"/>
  <c r="J605" i="9"/>
  <c r="G606" i="9"/>
  <c r="J606" i="9"/>
  <c r="G607" i="9"/>
  <c r="J607" i="9"/>
  <c r="G608" i="9"/>
  <c r="J608" i="9"/>
  <c r="G609" i="9"/>
  <c r="J609" i="9"/>
  <c r="G610" i="9"/>
  <c r="J610" i="9"/>
  <c r="G611" i="9"/>
  <c r="J611" i="9"/>
  <c r="G612" i="9"/>
  <c r="J612" i="9"/>
  <c r="G613" i="9"/>
  <c r="J613" i="9"/>
  <c r="G614" i="9"/>
  <c r="J614" i="9"/>
  <c r="G615" i="9"/>
  <c r="J615" i="9"/>
  <c r="G616" i="9"/>
  <c r="J616" i="9"/>
  <c r="G617" i="9"/>
  <c r="J617" i="9"/>
  <c r="G618" i="9"/>
  <c r="J618" i="9"/>
  <c r="G619" i="9"/>
  <c r="J619" i="9"/>
  <c r="G620" i="9"/>
  <c r="J620" i="9"/>
  <c r="G621" i="9"/>
  <c r="J621" i="9"/>
  <c r="G622" i="9"/>
  <c r="J622" i="9"/>
  <c r="G623" i="9"/>
  <c r="J623" i="9"/>
  <c r="G624" i="9"/>
  <c r="J624" i="9"/>
  <c r="G625" i="9"/>
  <c r="J625" i="9"/>
  <c r="G626" i="9"/>
  <c r="J626" i="9"/>
  <c r="G627" i="9"/>
  <c r="J627" i="9"/>
  <c r="G628" i="9"/>
  <c r="J628" i="9"/>
  <c r="G629" i="9"/>
  <c r="J629" i="9"/>
  <c r="G630" i="9"/>
  <c r="J630" i="9"/>
  <c r="G631" i="9"/>
  <c r="J631" i="9"/>
  <c r="G632" i="9"/>
  <c r="J632" i="9"/>
  <c r="G633" i="9"/>
  <c r="J633" i="9"/>
  <c r="G634" i="9"/>
  <c r="J634" i="9"/>
  <c r="G635" i="9"/>
  <c r="J635" i="9"/>
  <c r="G636" i="9"/>
  <c r="J636" i="9"/>
  <c r="G637" i="9"/>
  <c r="J637" i="9"/>
  <c r="G638" i="9"/>
  <c r="J638" i="9"/>
  <c r="G639" i="9"/>
  <c r="J639" i="9"/>
  <c r="G640" i="9"/>
  <c r="J640" i="9"/>
  <c r="G641" i="9"/>
  <c r="J641" i="9"/>
  <c r="G642" i="9"/>
  <c r="J642" i="9"/>
  <c r="G643" i="9"/>
  <c r="J643" i="9"/>
  <c r="G644" i="9"/>
  <c r="J644" i="9"/>
  <c r="G645" i="9"/>
  <c r="J645" i="9"/>
  <c r="G646" i="9"/>
  <c r="J646" i="9"/>
  <c r="G647" i="9"/>
  <c r="J647" i="9"/>
  <c r="G648" i="9"/>
  <c r="J648" i="9"/>
  <c r="G649" i="9"/>
  <c r="J649" i="9"/>
  <c r="G650" i="9"/>
  <c r="J650" i="9"/>
  <c r="G651" i="9"/>
  <c r="J651" i="9"/>
  <c r="G652" i="9"/>
  <c r="J652" i="9"/>
  <c r="G653" i="9"/>
  <c r="J653" i="9"/>
  <c r="G654" i="9"/>
  <c r="J654" i="9"/>
  <c r="G655" i="9"/>
  <c r="J655" i="9"/>
  <c r="G656" i="9"/>
  <c r="J656" i="9"/>
  <c r="G657" i="9"/>
  <c r="J657" i="9"/>
  <c r="G658" i="9"/>
  <c r="J658" i="9"/>
  <c r="G659" i="9"/>
  <c r="J659" i="9"/>
  <c r="G660" i="9"/>
  <c r="J660" i="9"/>
  <c r="G661" i="9"/>
  <c r="J661" i="9"/>
  <c r="G662" i="9"/>
  <c r="J662" i="9"/>
  <c r="G663" i="9"/>
  <c r="J663" i="9"/>
  <c r="G664" i="9"/>
  <c r="J664" i="9"/>
  <c r="G665" i="9"/>
  <c r="J665" i="9"/>
  <c r="G666" i="9"/>
  <c r="J666" i="9"/>
  <c r="G667" i="9"/>
  <c r="J667" i="9"/>
  <c r="G668" i="9"/>
  <c r="J668" i="9"/>
  <c r="G669" i="9"/>
  <c r="J669" i="9"/>
  <c r="G670" i="9"/>
  <c r="J670" i="9"/>
  <c r="G671" i="9"/>
  <c r="J671" i="9"/>
  <c r="G672" i="9"/>
  <c r="J672" i="9"/>
  <c r="G673" i="9"/>
  <c r="J673" i="9"/>
  <c r="G674" i="9"/>
  <c r="J674" i="9"/>
  <c r="G675" i="9"/>
  <c r="J675" i="9"/>
  <c r="G676" i="9"/>
  <c r="J676" i="9"/>
  <c r="G677" i="9"/>
  <c r="J677" i="9"/>
  <c r="G678" i="9"/>
  <c r="J678" i="9"/>
  <c r="G679" i="9"/>
  <c r="J679" i="9"/>
  <c r="G680" i="9"/>
  <c r="J680" i="9"/>
  <c r="G681" i="9"/>
  <c r="J681" i="9"/>
  <c r="G682" i="9"/>
  <c r="J682" i="9"/>
  <c r="G683" i="9"/>
  <c r="J683" i="9"/>
  <c r="G684" i="9"/>
  <c r="J684" i="9"/>
  <c r="G685" i="9"/>
  <c r="J685" i="9"/>
  <c r="G686" i="9"/>
  <c r="J686" i="9"/>
  <c r="G687" i="9"/>
  <c r="J687" i="9"/>
  <c r="G688" i="9"/>
  <c r="J688" i="9"/>
  <c r="G689" i="9"/>
  <c r="J689" i="9"/>
  <c r="G690" i="9"/>
  <c r="J690" i="9"/>
  <c r="G691" i="9"/>
  <c r="J691" i="9"/>
  <c r="G692" i="9"/>
  <c r="J692" i="9"/>
  <c r="G693" i="9"/>
  <c r="J693" i="9"/>
  <c r="G694" i="9"/>
  <c r="J694" i="9"/>
  <c r="G695" i="9"/>
  <c r="J695" i="9"/>
  <c r="G696" i="9"/>
  <c r="J696" i="9"/>
  <c r="G697" i="9"/>
  <c r="J697" i="9"/>
  <c r="G698" i="9"/>
  <c r="J698" i="9"/>
  <c r="G699" i="9"/>
  <c r="J699" i="9"/>
  <c r="G700" i="9"/>
  <c r="J700" i="9"/>
  <c r="G701" i="9"/>
  <c r="J701" i="9"/>
  <c r="G702" i="9"/>
  <c r="J702" i="9"/>
  <c r="G703" i="9"/>
  <c r="J703" i="9"/>
  <c r="G704" i="9"/>
  <c r="J704" i="9"/>
  <c r="G705" i="9"/>
  <c r="J705" i="9"/>
  <c r="G706" i="9"/>
  <c r="J706" i="9"/>
  <c r="G707" i="9"/>
  <c r="J707" i="9"/>
  <c r="G708" i="9"/>
  <c r="J708" i="9"/>
  <c r="G709" i="9"/>
  <c r="J709" i="9"/>
  <c r="G710" i="9"/>
  <c r="J710" i="9"/>
  <c r="G711" i="9"/>
  <c r="J711" i="9"/>
  <c r="G712" i="9"/>
  <c r="J712" i="9"/>
  <c r="G713" i="9"/>
  <c r="J713" i="9"/>
  <c r="G714" i="9"/>
  <c r="J714" i="9"/>
  <c r="G715" i="9"/>
  <c r="J715" i="9"/>
  <c r="G716" i="9"/>
  <c r="J716" i="9"/>
  <c r="G717" i="9"/>
  <c r="J717" i="9"/>
  <c r="G718" i="9"/>
  <c r="J718" i="9"/>
  <c r="G719" i="9"/>
  <c r="J719" i="9"/>
  <c r="G720" i="9"/>
  <c r="J720" i="9"/>
  <c r="G721" i="9"/>
  <c r="J721" i="9"/>
  <c r="G722" i="9"/>
  <c r="J722" i="9"/>
  <c r="G723" i="9"/>
  <c r="J723" i="9"/>
  <c r="G724" i="9"/>
  <c r="J724" i="9"/>
  <c r="G725" i="9"/>
  <c r="J725" i="9"/>
  <c r="G726" i="9"/>
  <c r="J726" i="9"/>
  <c r="G727" i="9"/>
  <c r="J727" i="9"/>
  <c r="G728" i="9"/>
  <c r="J728" i="9"/>
  <c r="G729" i="9"/>
  <c r="J729" i="9"/>
  <c r="G730" i="9"/>
  <c r="J730" i="9"/>
  <c r="G731" i="9"/>
  <c r="J731" i="9"/>
  <c r="G732" i="9"/>
  <c r="J732" i="9"/>
  <c r="G733" i="9"/>
  <c r="J733" i="9"/>
  <c r="G734" i="9"/>
  <c r="J734" i="9"/>
  <c r="G735" i="9"/>
  <c r="J735" i="9"/>
  <c r="G736" i="9"/>
  <c r="J736" i="9"/>
  <c r="G737" i="9"/>
  <c r="J737" i="9"/>
  <c r="G738" i="9"/>
  <c r="J738" i="9"/>
  <c r="G739" i="9"/>
  <c r="J739" i="9"/>
  <c r="G740" i="9"/>
  <c r="J740" i="9"/>
  <c r="G741" i="9"/>
  <c r="J741" i="9"/>
  <c r="G742" i="9"/>
  <c r="J742" i="9"/>
  <c r="G743" i="9"/>
  <c r="J743" i="9"/>
  <c r="G744" i="9"/>
  <c r="J744" i="9"/>
  <c r="G745" i="9"/>
  <c r="J745" i="9"/>
  <c r="G746" i="9"/>
  <c r="J746" i="9"/>
  <c r="G747" i="9"/>
  <c r="J747" i="9"/>
  <c r="G748" i="9"/>
  <c r="J748" i="9"/>
  <c r="G749" i="9"/>
  <c r="J749" i="9"/>
  <c r="G750" i="9"/>
  <c r="J750" i="9"/>
  <c r="G751" i="9"/>
  <c r="J751" i="9"/>
  <c r="G752" i="9"/>
  <c r="J752" i="9"/>
  <c r="G753" i="9"/>
  <c r="J753" i="9"/>
  <c r="G754" i="9"/>
  <c r="J754" i="9"/>
  <c r="G755" i="9"/>
  <c r="J755" i="9"/>
  <c r="G756" i="9"/>
  <c r="J756" i="9"/>
  <c r="G757" i="9"/>
  <c r="J757" i="9"/>
  <c r="G758" i="9"/>
  <c r="J758" i="9"/>
  <c r="G759" i="9"/>
  <c r="J759" i="9"/>
  <c r="G760" i="9"/>
  <c r="J760" i="9"/>
  <c r="G761" i="9"/>
  <c r="J761" i="9"/>
  <c r="G762" i="9"/>
  <c r="J762" i="9"/>
  <c r="G763" i="9"/>
  <c r="J763" i="9"/>
  <c r="G764" i="9"/>
  <c r="J764" i="9"/>
  <c r="G765" i="9"/>
  <c r="J765" i="9"/>
  <c r="G766" i="9"/>
  <c r="J766" i="9"/>
  <c r="G767" i="9"/>
  <c r="J767" i="9"/>
  <c r="G768" i="9"/>
  <c r="J768" i="9"/>
  <c r="G769" i="9"/>
  <c r="J769" i="9"/>
  <c r="G770" i="9"/>
  <c r="J770" i="9"/>
  <c r="G771" i="9"/>
  <c r="J771" i="9"/>
  <c r="G772" i="9"/>
  <c r="J772" i="9"/>
  <c r="G773" i="9"/>
  <c r="J773" i="9"/>
  <c r="G774" i="9"/>
  <c r="J774" i="9"/>
  <c r="G775" i="9"/>
  <c r="J775" i="9"/>
  <c r="G776" i="9"/>
  <c r="J776" i="9"/>
  <c r="G777" i="9"/>
  <c r="J777" i="9"/>
  <c r="G778" i="9"/>
  <c r="J778" i="9"/>
  <c r="G779" i="9"/>
  <c r="J779" i="9"/>
  <c r="G780" i="9"/>
  <c r="J780" i="9"/>
  <c r="G781" i="9"/>
  <c r="J781" i="9"/>
  <c r="G782" i="9"/>
  <c r="J782" i="9"/>
  <c r="G783" i="9"/>
  <c r="J783" i="9"/>
  <c r="G784" i="9"/>
  <c r="J784" i="9"/>
  <c r="G785" i="9"/>
  <c r="J785" i="9"/>
  <c r="G786" i="9"/>
  <c r="J786" i="9"/>
  <c r="G787" i="9"/>
  <c r="J787" i="9"/>
  <c r="G788" i="9"/>
  <c r="J788" i="9"/>
  <c r="G789" i="9"/>
  <c r="J789" i="9"/>
  <c r="G790" i="9"/>
  <c r="J790" i="9"/>
  <c r="G791" i="9"/>
  <c r="J791" i="9"/>
  <c r="G792" i="9"/>
  <c r="J792" i="9"/>
  <c r="G793" i="9"/>
  <c r="J793" i="9"/>
  <c r="G794" i="9"/>
  <c r="J794" i="9"/>
  <c r="G795" i="9"/>
  <c r="J795" i="9"/>
  <c r="G796" i="9"/>
  <c r="J796" i="9"/>
  <c r="G797" i="9"/>
  <c r="J797" i="9"/>
  <c r="G798" i="9"/>
  <c r="J798" i="9"/>
  <c r="G799" i="9"/>
  <c r="J799" i="9"/>
  <c r="G800" i="9"/>
  <c r="J800" i="9"/>
  <c r="G801" i="9"/>
  <c r="J801" i="9"/>
  <c r="G802" i="9"/>
  <c r="J802" i="9"/>
  <c r="G803" i="9"/>
  <c r="J803" i="9"/>
  <c r="G804" i="9"/>
  <c r="J804" i="9"/>
  <c r="G805" i="9"/>
  <c r="J805" i="9"/>
  <c r="G806" i="9"/>
  <c r="J806" i="9"/>
  <c r="G807" i="9"/>
  <c r="J807" i="9"/>
  <c r="G808" i="9"/>
  <c r="J808" i="9"/>
  <c r="G809" i="9"/>
  <c r="J809" i="9"/>
  <c r="G810" i="9"/>
  <c r="J810" i="9"/>
  <c r="G811" i="9"/>
  <c r="J811" i="9"/>
  <c r="G812" i="9"/>
  <c r="J812" i="9"/>
  <c r="G813" i="9"/>
  <c r="J813" i="9"/>
  <c r="G814" i="9"/>
  <c r="J814" i="9"/>
  <c r="G815" i="9"/>
  <c r="J815" i="9"/>
  <c r="G816" i="9"/>
  <c r="J816" i="9"/>
  <c r="G817" i="9"/>
  <c r="J817" i="9"/>
  <c r="G818" i="9"/>
  <c r="J818" i="9"/>
  <c r="G819" i="9"/>
  <c r="J819" i="9"/>
  <c r="G820" i="9"/>
  <c r="J820" i="9"/>
  <c r="G821" i="9"/>
  <c r="J821" i="9"/>
  <c r="G822" i="9"/>
  <c r="J822" i="9"/>
  <c r="G823" i="9"/>
  <c r="J823" i="9"/>
  <c r="G824" i="9"/>
  <c r="J824" i="9"/>
  <c r="G825" i="9"/>
  <c r="J825" i="9"/>
  <c r="G826" i="9"/>
  <c r="J826" i="9"/>
  <c r="G827" i="9"/>
  <c r="J827" i="9"/>
  <c r="G828" i="9"/>
  <c r="J828" i="9"/>
  <c r="G829" i="9"/>
  <c r="J829" i="9"/>
  <c r="G830" i="9"/>
  <c r="J830" i="9"/>
  <c r="G831" i="9"/>
  <c r="J831" i="9"/>
  <c r="G832" i="9"/>
  <c r="J832" i="9"/>
  <c r="G833" i="9"/>
  <c r="J833" i="9"/>
  <c r="G834" i="9"/>
  <c r="J834" i="9"/>
  <c r="G835" i="9"/>
  <c r="J835" i="9"/>
  <c r="G836" i="9"/>
  <c r="J836" i="9"/>
  <c r="G837" i="9"/>
  <c r="J837" i="9"/>
  <c r="G838" i="9"/>
  <c r="J838" i="9"/>
  <c r="G839" i="9"/>
  <c r="J839" i="9"/>
  <c r="G840" i="9"/>
  <c r="J840" i="9"/>
  <c r="G841" i="9"/>
  <c r="J841" i="9"/>
  <c r="G842" i="9"/>
  <c r="J842" i="9"/>
  <c r="G843" i="9"/>
  <c r="J843" i="9"/>
  <c r="G844" i="9"/>
  <c r="J844" i="9"/>
  <c r="G845" i="9"/>
  <c r="J845" i="9"/>
  <c r="G846" i="9"/>
  <c r="J846" i="9"/>
  <c r="G847" i="9"/>
  <c r="J847" i="9"/>
  <c r="G848" i="9"/>
  <c r="J848" i="9"/>
  <c r="G849" i="9"/>
  <c r="J849" i="9"/>
  <c r="G850" i="9"/>
  <c r="J850" i="9"/>
  <c r="G851" i="9"/>
  <c r="J851" i="9"/>
  <c r="G852" i="9"/>
  <c r="J852" i="9"/>
  <c r="G853" i="9"/>
  <c r="J853" i="9"/>
  <c r="G854" i="9"/>
  <c r="J854" i="9"/>
  <c r="G855" i="9"/>
  <c r="J855" i="9"/>
  <c r="G856" i="9"/>
  <c r="J856" i="9"/>
  <c r="G857" i="9"/>
  <c r="J857" i="9"/>
  <c r="G858" i="9"/>
  <c r="J858" i="9"/>
  <c r="G859" i="9"/>
  <c r="J859" i="9"/>
  <c r="G860" i="9"/>
  <c r="J860" i="9"/>
  <c r="G861" i="9"/>
  <c r="J861" i="9"/>
  <c r="G862" i="9"/>
  <c r="J862" i="9"/>
  <c r="G863" i="9"/>
  <c r="J863" i="9"/>
  <c r="G864" i="9"/>
  <c r="J864" i="9"/>
  <c r="G865" i="9"/>
  <c r="J865" i="9"/>
  <c r="G866" i="9"/>
  <c r="J866" i="9"/>
  <c r="G867" i="9"/>
  <c r="J867" i="9"/>
  <c r="G868" i="9"/>
  <c r="J868" i="9"/>
  <c r="G869" i="9"/>
  <c r="J869" i="9"/>
  <c r="G870" i="9"/>
  <c r="J870" i="9"/>
  <c r="G871" i="9"/>
  <c r="J871" i="9"/>
  <c r="G872" i="9"/>
  <c r="J872" i="9"/>
  <c r="G873" i="9"/>
  <c r="J873" i="9"/>
  <c r="G874" i="9"/>
  <c r="J874" i="9"/>
  <c r="G875" i="9"/>
  <c r="J875" i="9"/>
  <c r="G876" i="9"/>
  <c r="J876" i="9"/>
  <c r="G877" i="9"/>
  <c r="J877" i="9"/>
  <c r="G878" i="9"/>
  <c r="J878" i="9"/>
  <c r="G879" i="9"/>
  <c r="J879" i="9"/>
  <c r="G880" i="9"/>
  <c r="J880" i="9"/>
  <c r="G881" i="9"/>
  <c r="J881" i="9"/>
  <c r="G882" i="9"/>
  <c r="J882" i="9"/>
  <c r="G883" i="9"/>
  <c r="J883" i="9"/>
  <c r="G884" i="9"/>
  <c r="J884" i="9"/>
  <c r="G885" i="9"/>
  <c r="J885" i="9"/>
  <c r="G886" i="9"/>
  <c r="J886" i="9"/>
  <c r="G887" i="9"/>
  <c r="J887" i="9"/>
  <c r="G888" i="9"/>
  <c r="J888" i="9"/>
  <c r="G889" i="9"/>
  <c r="J889" i="9"/>
  <c r="G890" i="9"/>
  <c r="J890" i="9"/>
  <c r="G891" i="9"/>
  <c r="J891" i="9"/>
  <c r="G892" i="9"/>
  <c r="J892" i="9"/>
  <c r="G893" i="9"/>
  <c r="J893" i="9"/>
  <c r="G894" i="9"/>
  <c r="J894" i="9"/>
  <c r="G895" i="9"/>
  <c r="J895" i="9"/>
  <c r="G896" i="9"/>
  <c r="J896" i="9"/>
  <c r="G897" i="9"/>
  <c r="J897" i="9"/>
  <c r="G898" i="9"/>
  <c r="J898" i="9"/>
  <c r="G899" i="9"/>
  <c r="J899" i="9"/>
  <c r="G900" i="9"/>
  <c r="J900" i="9"/>
  <c r="G901" i="9"/>
  <c r="J901" i="9"/>
  <c r="G902" i="9"/>
  <c r="J902" i="9"/>
  <c r="G903" i="9"/>
  <c r="J903" i="9"/>
  <c r="G904" i="9"/>
  <c r="J904" i="9"/>
  <c r="G905" i="9"/>
  <c r="J905" i="9"/>
  <c r="G906" i="9"/>
  <c r="J906" i="9"/>
  <c r="G907" i="9"/>
  <c r="J907" i="9"/>
  <c r="G908" i="9"/>
  <c r="J908" i="9"/>
  <c r="G909" i="9"/>
  <c r="J909" i="9"/>
  <c r="G910" i="9"/>
  <c r="J910" i="9"/>
  <c r="G911" i="9"/>
  <c r="J911" i="9"/>
  <c r="G912" i="9"/>
  <c r="J912" i="9"/>
  <c r="G913" i="9"/>
  <c r="J913" i="9"/>
  <c r="G914" i="9"/>
  <c r="J914" i="9"/>
  <c r="G915" i="9"/>
  <c r="J915" i="9"/>
  <c r="G916" i="9"/>
  <c r="J916" i="9"/>
  <c r="G917" i="9"/>
  <c r="J917" i="9"/>
  <c r="G918" i="9"/>
  <c r="J918" i="9"/>
  <c r="G919" i="9"/>
  <c r="J919" i="9"/>
  <c r="G920" i="9"/>
  <c r="J920" i="9"/>
  <c r="G921" i="9"/>
  <c r="J921" i="9"/>
  <c r="G922" i="9"/>
  <c r="J922" i="9"/>
  <c r="G923" i="9"/>
  <c r="J923" i="9"/>
  <c r="G924" i="9"/>
  <c r="J924" i="9"/>
  <c r="G925" i="9"/>
  <c r="J925" i="9"/>
  <c r="G926" i="9"/>
  <c r="J926" i="9"/>
  <c r="G927" i="9"/>
  <c r="J927" i="9"/>
  <c r="G928" i="9"/>
  <c r="J928" i="9"/>
  <c r="G929" i="9"/>
  <c r="J929" i="9"/>
  <c r="G930" i="9"/>
  <c r="J930" i="9"/>
  <c r="G931" i="9"/>
  <c r="J931" i="9"/>
  <c r="G932" i="9"/>
  <c r="J932" i="9"/>
  <c r="G933" i="9"/>
  <c r="J933" i="9"/>
  <c r="G934" i="9"/>
  <c r="J934" i="9"/>
  <c r="G935" i="9"/>
  <c r="J935" i="9"/>
  <c r="G936" i="9"/>
  <c r="J936" i="9"/>
  <c r="G937" i="9"/>
  <c r="J937" i="9"/>
  <c r="G938" i="9"/>
  <c r="J938" i="9"/>
  <c r="G939" i="9"/>
  <c r="J939" i="9"/>
  <c r="G940" i="9"/>
  <c r="J940" i="9"/>
  <c r="G941" i="9"/>
  <c r="J941" i="9"/>
  <c r="G942" i="9"/>
  <c r="J942" i="9"/>
  <c r="G943" i="9"/>
  <c r="J943" i="9"/>
  <c r="G944" i="9"/>
  <c r="J944" i="9"/>
  <c r="G945" i="9"/>
  <c r="J945" i="9"/>
  <c r="G946" i="9"/>
  <c r="J946" i="9"/>
  <c r="G947" i="9"/>
  <c r="J947" i="9"/>
  <c r="G948" i="9"/>
  <c r="J948" i="9"/>
  <c r="G949" i="9"/>
  <c r="J949" i="9"/>
  <c r="G950" i="9"/>
  <c r="J950" i="9"/>
  <c r="G951" i="9"/>
  <c r="J951" i="9"/>
  <c r="G952" i="9"/>
  <c r="J952" i="9"/>
  <c r="G953" i="9"/>
  <c r="J953" i="9"/>
  <c r="G954" i="9"/>
  <c r="J954" i="9"/>
  <c r="G955" i="9"/>
  <c r="J955" i="9"/>
  <c r="G956" i="9"/>
  <c r="J956" i="9"/>
  <c r="G957" i="9"/>
  <c r="J957" i="9"/>
  <c r="G958" i="9"/>
  <c r="J958" i="9"/>
  <c r="G959" i="9"/>
  <c r="J959" i="9"/>
  <c r="G960" i="9"/>
  <c r="J960" i="9"/>
  <c r="G961" i="9"/>
  <c r="J961" i="9"/>
  <c r="G962" i="9"/>
  <c r="J962" i="9"/>
  <c r="G963" i="9"/>
  <c r="J963" i="9"/>
  <c r="G964" i="9"/>
  <c r="J964" i="9"/>
  <c r="G965" i="9"/>
  <c r="J965" i="9"/>
  <c r="G966" i="9"/>
  <c r="J966" i="9"/>
  <c r="G967" i="9"/>
  <c r="J967" i="9"/>
  <c r="G968" i="9"/>
  <c r="J968" i="9"/>
  <c r="G969" i="9"/>
  <c r="J969" i="9"/>
  <c r="G970" i="9"/>
  <c r="J970" i="9"/>
  <c r="G971" i="9"/>
  <c r="J971" i="9"/>
  <c r="G972" i="9"/>
  <c r="J972" i="9"/>
  <c r="G973" i="9"/>
  <c r="J973" i="9"/>
  <c r="G974" i="9"/>
  <c r="J974" i="9"/>
  <c r="G975" i="9"/>
  <c r="J975" i="9"/>
  <c r="G976" i="9"/>
  <c r="J976" i="9"/>
  <c r="G977" i="9"/>
  <c r="J977" i="9"/>
  <c r="G978" i="9"/>
  <c r="J978" i="9"/>
  <c r="G979" i="9"/>
  <c r="J979" i="9"/>
  <c r="G980" i="9"/>
  <c r="J980" i="9"/>
  <c r="G981" i="9"/>
  <c r="J981" i="9"/>
  <c r="G982" i="9"/>
  <c r="J982" i="9"/>
  <c r="G983" i="9"/>
  <c r="J983" i="9"/>
  <c r="G984" i="9"/>
  <c r="J984" i="9"/>
  <c r="G985" i="9"/>
  <c r="J985" i="9"/>
  <c r="G986" i="9"/>
  <c r="J986" i="9"/>
  <c r="G987" i="9"/>
  <c r="J987" i="9"/>
  <c r="G988" i="9"/>
  <c r="J988" i="9"/>
  <c r="G989" i="9"/>
  <c r="J989" i="9"/>
  <c r="G990" i="9"/>
  <c r="J990" i="9"/>
  <c r="G991" i="9"/>
  <c r="J991" i="9"/>
  <c r="G992" i="9"/>
  <c r="J992" i="9"/>
  <c r="G993" i="9"/>
  <c r="J993" i="9"/>
  <c r="G994" i="9"/>
  <c r="J994" i="9"/>
  <c r="G995" i="9"/>
  <c r="J995" i="9"/>
  <c r="G996" i="9"/>
  <c r="J996" i="9"/>
  <c r="G997" i="9"/>
  <c r="J997" i="9"/>
  <c r="G998" i="9"/>
  <c r="J998" i="9"/>
  <c r="G999" i="9"/>
  <c r="J999" i="9"/>
  <c r="G1000" i="9"/>
  <c r="J1000" i="9"/>
  <c r="G1001" i="9"/>
  <c r="J1001" i="9"/>
  <c r="G1002" i="9"/>
  <c r="J1002" i="9"/>
  <c r="G1003" i="9"/>
  <c r="J1003" i="9"/>
  <c r="G1004" i="9"/>
  <c r="J1004" i="9"/>
  <c r="G1005" i="9"/>
  <c r="J1005" i="9"/>
  <c r="G1006" i="9"/>
  <c r="J1006" i="9"/>
  <c r="G1007" i="9"/>
  <c r="J1007" i="9"/>
  <c r="G1008" i="9"/>
  <c r="J1008" i="9"/>
  <c r="G1009" i="9"/>
  <c r="J1009" i="9"/>
  <c r="G1010" i="9"/>
  <c r="J1010" i="9"/>
  <c r="G1011" i="9"/>
  <c r="J1011" i="9"/>
  <c r="G1012" i="9"/>
  <c r="J1012" i="9"/>
  <c r="G1013" i="9"/>
  <c r="J1013" i="9"/>
  <c r="G1014" i="9"/>
  <c r="J1014" i="9"/>
  <c r="G1015" i="9"/>
  <c r="J1015" i="9"/>
  <c r="G1016" i="9"/>
  <c r="J1016" i="9"/>
  <c r="G1017" i="9"/>
  <c r="J1017" i="9"/>
  <c r="G1018" i="9"/>
  <c r="J1018" i="9"/>
  <c r="G1019" i="9"/>
  <c r="J1019" i="9"/>
  <c r="G1020" i="9"/>
  <c r="J1020" i="9"/>
  <c r="G1021" i="9"/>
  <c r="J1021" i="9"/>
  <c r="G1022" i="9"/>
  <c r="J1022" i="9"/>
  <c r="G1023" i="9"/>
  <c r="J1023" i="9"/>
  <c r="G1024" i="9"/>
  <c r="J1024" i="9"/>
  <c r="G1025" i="9"/>
  <c r="J1025" i="9"/>
  <c r="G1026" i="9"/>
  <c r="J1026" i="9"/>
  <c r="G1027" i="9"/>
  <c r="J1027" i="9"/>
  <c r="G1028" i="9"/>
  <c r="J1028" i="9"/>
  <c r="G1029" i="9"/>
  <c r="J1029" i="9"/>
  <c r="G1030" i="9"/>
  <c r="J1030" i="9"/>
  <c r="G1031" i="9"/>
  <c r="J1031" i="9"/>
  <c r="G1032" i="9"/>
  <c r="J1032" i="9"/>
  <c r="G1033" i="9"/>
  <c r="J1033" i="9"/>
  <c r="G1034" i="9"/>
  <c r="J1034" i="9"/>
  <c r="G1035" i="9"/>
  <c r="J1035" i="9"/>
  <c r="G1036" i="9"/>
  <c r="J1036" i="9"/>
  <c r="G1037" i="9"/>
  <c r="J1037" i="9"/>
  <c r="G1038" i="9"/>
  <c r="J1038" i="9"/>
  <c r="G1039" i="9"/>
  <c r="J1039" i="9"/>
  <c r="G1040" i="9"/>
  <c r="J1040" i="9"/>
  <c r="G1041" i="9"/>
  <c r="J1041" i="9"/>
  <c r="G1042" i="9"/>
  <c r="J1042" i="9"/>
  <c r="G1043" i="9"/>
  <c r="J1043" i="9"/>
  <c r="G1044" i="9"/>
  <c r="J1044" i="9"/>
  <c r="G1045" i="9"/>
  <c r="J1045" i="9"/>
  <c r="G1046" i="9"/>
  <c r="J1046" i="9"/>
  <c r="G1047" i="9"/>
  <c r="J1047" i="9"/>
  <c r="G1048" i="9"/>
  <c r="J1048" i="9"/>
  <c r="G1049" i="9"/>
  <c r="J1049" i="9"/>
  <c r="G1050" i="9"/>
  <c r="J1050" i="9"/>
  <c r="G1051" i="9"/>
  <c r="J1051" i="9"/>
  <c r="G1052" i="9"/>
  <c r="J1052" i="9"/>
  <c r="G1053" i="9"/>
  <c r="J1053" i="9"/>
  <c r="G1054" i="9"/>
  <c r="J1054" i="9"/>
  <c r="G1055" i="9"/>
  <c r="J1055" i="9"/>
  <c r="G1056" i="9"/>
  <c r="J1056" i="9"/>
  <c r="G1057" i="9"/>
  <c r="J1057" i="9"/>
  <c r="G1058" i="9"/>
  <c r="J1058" i="9"/>
  <c r="G1059" i="9"/>
  <c r="J1059" i="9"/>
  <c r="G1060" i="9"/>
  <c r="J1060" i="9"/>
  <c r="G1061" i="9"/>
  <c r="J1061" i="9"/>
  <c r="G1062" i="9"/>
  <c r="J1062" i="9"/>
  <c r="G1063" i="9"/>
  <c r="J1063" i="9"/>
  <c r="G1064" i="9"/>
  <c r="J1064" i="9"/>
  <c r="G1065" i="9"/>
  <c r="J1065" i="9"/>
  <c r="G1066" i="9"/>
  <c r="J1066" i="9"/>
  <c r="G1067" i="9"/>
  <c r="J1067" i="9"/>
  <c r="G1068" i="9"/>
  <c r="J1068" i="9"/>
  <c r="G1069" i="9"/>
  <c r="J1069" i="9"/>
  <c r="G1070" i="9"/>
  <c r="J1070" i="9"/>
  <c r="G1071" i="9"/>
  <c r="J1071" i="9"/>
  <c r="G1072" i="9"/>
  <c r="J1072" i="9"/>
  <c r="G1073" i="9"/>
  <c r="J1073" i="9"/>
  <c r="G1074" i="9"/>
  <c r="J1074" i="9"/>
  <c r="G1075" i="9"/>
  <c r="J1075" i="9"/>
  <c r="G1076" i="9"/>
  <c r="J1076" i="9"/>
  <c r="G1077" i="9"/>
  <c r="J1077" i="9"/>
  <c r="G1078" i="9"/>
  <c r="J1078" i="9"/>
  <c r="G1079" i="9"/>
  <c r="J1079" i="9"/>
  <c r="G1080" i="9"/>
  <c r="J1080" i="9"/>
  <c r="G1081" i="9"/>
  <c r="J1081" i="9"/>
  <c r="G1082" i="9"/>
  <c r="J1082" i="9"/>
  <c r="G1083" i="9"/>
  <c r="J1083" i="9"/>
  <c r="G1084" i="9"/>
  <c r="J1084" i="9"/>
  <c r="G1085" i="9"/>
  <c r="J1085" i="9"/>
  <c r="G1086" i="9"/>
  <c r="J1086" i="9"/>
  <c r="E1087" i="9"/>
  <c r="G1087" i="9"/>
  <c r="J1087" i="9"/>
  <c r="G1088" i="9"/>
  <c r="J1088" i="9"/>
  <c r="G1089" i="9"/>
  <c r="J1089" i="9"/>
  <c r="G1090" i="9"/>
  <c r="J1090" i="9"/>
  <c r="G1091" i="9"/>
  <c r="J1091" i="9"/>
  <c r="G1092" i="9"/>
  <c r="J1092" i="9"/>
  <c r="G1093" i="9"/>
  <c r="J1093" i="9"/>
  <c r="G1094" i="9"/>
  <c r="J1094" i="9"/>
  <c r="G1095" i="9"/>
  <c r="J1095" i="9"/>
  <c r="G1096" i="9"/>
  <c r="J1096" i="9"/>
  <c r="G1097" i="9"/>
  <c r="J1097" i="9"/>
  <c r="G1098" i="9"/>
  <c r="J1098" i="9"/>
  <c r="G1099" i="9"/>
  <c r="J1099" i="9"/>
  <c r="G1100" i="9"/>
  <c r="J1100" i="9"/>
  <c r="G1101" i="9"/>
  <c r="J1101" i="9"/>
  <c r="G1102" i="9"/>
  <c r="J1102" i="9"/>
  <c r="G1103" i="9"/>
  <c r="J1103" i="9"/>
  <c r="G1104" i="9"/>
  <c r="J1104" i="9"/>
  <c r="G1105" i="9"/>
  <c r="J1105" i="9"/>
  <c r="G1106" i="9"/>
  <c r="J1106" i="9"/>
  <c r="G1107" i="9"/>
  <c r="J1107" i="9"/>
  <c r="G1108" i="9"/>
  <c r="J1108" i="9"/>
  <c r="G1109" i="9"/>
  <c r="J1109" i="9"/>
  <c r="G1110" i="9"/>
  <c r="J1110" i="9"/>
  <c r="G1111" i="9"/>
  <c r="J1111" i="9"/>
  <c r="G1112" i="9"/>
  <c r="J1112" i="9"/>
  <c r="G1113" i="9"/>
  <c r="J1113" i="9"/>
  <c r="G1114" i="9"/>
  <c r="J1114" i="9"/>
  <c r="G1115" i="9"/>
  <c r="J1115" i="9"/>
  <c r="G1116" i="9"/>
  <c r="J1116" i="9"/>
  <c r="G1117" i="9"/>
  <c r="J1117" i="9"/>
  <c r="G1118" i="9"/>
  <c r="J1118" i="9"/>
  <c r="G1119" i="9"/>
  <c r="J1119" i="9"/>
  <c r="G1120" i="9"/>
  <c r="J1120" i="9"/>
  <c r="G1121" i="9"/>
  <c r="J1121" i="9"/>
  <c r="G1122" i="9"/>
  <c r="J1122" i="9"/>
  <c r="G1123" i="9"/>
  <c r="J1123" i="9"/>
  <c r="G1124" i="9"/>
  <c r="J1124" i="9"/>
  <c r="G1125" i="9"/>
  <c r="J1125" i="9"/>
  <c r="G1126" i="9"/>
  <c r="J1126" i="9"/>
  <c r="G1127" i="9"/>
  <c r="J1127" i="9"/>
  <c r="G1128" i="9"/>
  <c r="J1128" i="9"/>
  <c r="G1129" i="9"/>
  <c r="J1129" i="9"/>
  <c r="G1130" i="9"/>
  <c r="J1130" i="9"/>
  <c r="G1131" i="9"/>
  <c r="J1131" i="9"/>
  <c r="G1132" i="9"/>
  <c r="J1132" i="9"/>
  <c r="G1133" i="9"/>
  <c r="J1133" i="9"/>
  <c r="G1134" i="9"/>
  <c r="J1134" i="9"/>
  <c r="G1135" i="9"/>
  <c r="J1135" i="9"/>
  <c r="G1136" i="9"/>
  <c r="J1136" i="9"/>
  <c r="G1137" i="9"/>
  <c r="J1137" i="9"/>
  <c r="G1138" i="9"/>
  <c r="J1138" i="9"/>
  <c r="G1139" i="9"/>
  <c r="J1139" i="9"/>
  <c r="G1140" i="9"/>
  <c r="J1140" i="9"/>
  <c r="G1141" i="9"/>
  <c r="J1141" i="9"/>
  <c r="G1142" i="9"/>
  <c r="J1142" i="9"/>
  <c r="G1143" i="9"/>
  <c r="J1143" i="9"/>
  <c r="G1144" i="9"/>
  <c r="J1144" i="9"/>
  <c r="G1145" i="9"/>
  <c r="J1145" i="9"/>
  <c r="G1146" i="9"/>
  <c r="J1146" i="9"/>
  <c r="G1147" i="9"/>
  <c r="J1147" i="9"/>
  <c r="G1148" i="9"/>
  <c r="J1148" i="9"/>
  <c r="G1149" i="9"/>
  <c r="J1149" i="9"/>
  <c r="G1150" i="9"/>
  <c r="J1150" i="9"/>
  <c r="E1151" i="9"/>
  <c r="G1151" i="9"/>
  <c r="J1151" i="9"/>
  <c r="G1152" i="9"/>
  <c r="J1152" i="9"/>
  <c r="G1153" i="9"/>
  <c r="J1153" i="9"/>
  <c r="G1154" i="9"/>
  <c r="J1154" i="9"/>
  <c r="G1155" i="9"/>
  <c r="J1155" i="9"/>
  <c r="G1156" i="9"/>
  <c r="J1156" i="9"/>
  <c r="G1157" i="9"/>
  <c r="J1157" i="9"/>
  <c r="G1158" i="9"/>
  <c r="J1158" i="9"/>
  <c r="G1159" i="9"/>
  <c r="J1159" i="9"/>
  <c r="G1160" i="9"/>
  <c r="J1160" i="9"/>
  <c r="G1161" i="9"/>
  <c r="J1161" i="9"/>
  <c r="G1162" i="9"/>
  <c r="J1162" i="9"/>
  <c r="G1163" i="9"/>
  <c r="J1163" i="9"/>
  <c r="G1164" i="9"/>
  <c r="J1164" i="9"/>
  <c r="G1165" i="9"/>
  <c r="J1165" i="9"/>
  <c r="G1166" i="9"/>
  <c r="J1166" i="9"/>
  <c r="G1167" i="9"/>
  <c r="J1167" i="9"/>
  <c r="G1168" i="9"/>
  <c r="J1168" i="9"/>
  <c r="G1169" i="9"/>
  <c r="J1169" i="9"/>
  <c r="G1170" i="9"/>
  <c r="J1170" i="9"/>
  <c r="G1171" i="9"/>
  <c r="J1171" i="9"/>
  <c r="G1172" i="9"/>
  <c r="J1172" i="9"/>
  <c r="G1173" i="9"/>
  <c r="J1173" i="9"/>
  <c r="G1174" i="9"/>
  <c r="J1174" i="9"/>
  <c r="G1175" i="9"/>
  <c r="J1175" i="9"/>
  <c r="G1176" i="9"/>
  <c r="J1176" i="9"/>
  <c r="G1177" i="9"/>
  <c r="J1177" i="9"/>
  <c r="G1178" i="9"/>
  <c r="J1178" i="9"/>
  <c r="G1179" i="9"/>
  <c r="J1179" i="9"/>
  <c r="G1180" i="9"/>
  <c r="J1180" i="9"/>
  <c r="G1181" i="9"/>
  <c r="J1181" i="9"/>
  <c r="G1182" i="9"/>
  <c r="J1182" i="9"/>
  <c r="G1183" i="9"/>
  <c r="J1183" i="9"/>
  <c r="G1184" i="9"/>
  <c r="J1184" i="9"/>
  <c r="G1185" i="9"/>
  <c r="J1185" i="9"/>
  <c r="G1186" i="9"/>
  <c r="J1186" i="9"/>
  <c r="G1187" i="9"/>
  <c r="J1187" i="9"/>
  <c r="G1188" i="9"/>
  <c r="J1188" i="9"/>
  <c r="G1189" i="9"/>
  <c r="J1189" i="9"/>
  <c r="G1190" i="9"/>
  <c r="J1190" i="9"/>
  <c r="G1191" i="9"/>
  <c r="J1191" i="9"/>
  <c r="G1192" i="9"/>
  <c r="J1192" i="9"/>
  <c r="G1193" i="9"/>
  <c r="J1193" i="9"/>
  <c r="G1194" i="9"/>
  <c r="J1194" i="9"/>
  <c r="G1195" i="9"/>
  <c r="J1195" i="9"/>
  <c r="G1196" i="9"/>
  <c r="J1196" i="9"/>
  <c r="E1197" i="9"/>
  <c r="G1197" i="9"/>
  <c r="J1197" i="9"/>
  <c r="G1198" i="9"/>
  <c r="J1198" i="9"/>
  <c r="G1199" i="9"/>
  <c r="J1199" i="9"/>
  <c r="G1200" i="9"/>
  <c r="J1200" i="9"/>
  <c r="G7" i="9"/>
  <c r="J7" i="9"/>
  <c r="G8" i="9"/>
  <c r="J8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E18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E3" i="9"/>
  <c r="G4" i="9"/>
  <c r="G5" i="9"/>
  <c r="G6" i="9"/>
  <c r="G3" i="9"/>
  <c r="J6" i="9"/>
  <c r="E669" i="9"/>
  <c r="E942" i="8"/>
  <c r="E1026" i="8"/>
  <c r="E1069" i="8"/>
  <c r="E1157" i="8"/>
  <c r="E1169" i="8"/>
  <c r="E1176" i="8"/>
  <c r="E1192" i="8"/>
  <c r="E70" i="8"/>
  <c r="G4" i="8"/>
  <c r="G3" i="8"/>
  <c r="H888" i="8" s="1"/>
  <c r="E3" i="5" l="1"/>
  <c r="E328" i="5"/>
  <c r="E4" i="5"/>
  <c r="E1194" i="1"/>
  <c r="E1226" i="1"/>
  <c r="E1187" i="1"/>
  <c r="E1210" i="1"/>
  <c r="E1216" i="1"/>
  <c r="E1200" i="1"/>
  <c r="E1218" i="1"/>
  <c r="E1202" i="1"/>
  <c r="E1220" i="1"/>
  <c r="E1204" i="1"/>
  <c r="E1222" i="1"/>
  <c r="E1206" i="1"/>
  <c r="E1190" i="1"/>
  <c r="E1224" i="1"/>
  <c r="E1208" i="1"/>
  <c r="E1192" i="1"/>
  <c r="E1177" i="1"/>
  <c r="E1228" i="1"/>
  <c r="E1212" i="1"/>
  <c r="E1196" i="1"/>
  <c r="E1230" i="1"/>
  <c r="E1214" i="1"/>
  <c r="E1198" i="1"/>
  <c r="E141" i="4"/>
  <c r="E1161" i="1"/>
  <c r="E1143" i="1"/>
  <c r="E1181" i="1"/>
  <c r="E1171" i="1"/>
  <c r="E1111" i="1"/>
  <c r="E320" i="5"/>
  <c r="E306" i="5"/>
  <c r="E93" i="4"/>
  <c r="E36" i="4"/>
  <c r="E5" i="1"/>
  <c r="E1075" i="1"/>
  <c r="E322" i="5"/>
  <c r="E308" i="5"/>
  <c r="E302" i="5"/>
  <c r="E131" i="4"/>
  <c r="E4" i="1"/>
  <c r="E1229" i="1"/>
  <c r="E1227" i="1"/>
  <c r="E1225" i="1"/>
  <c r="E1223" i="1"/>
  <c r="E1221" i="1"/>
  <c r="E1219" i="1"/>
  <c r="E1217" i="1"/>
  <c r="E1215" i="1"/>
  <c r="E1213" i="1"/>
  <c r="E1211" i="1"/>
  <c r="E1209" i="1"/>
  <c r="E1207" i="1"/>
  <c r="E1205" i="1"/>
  <c r="E1203" i="1"/>
  <c r="E1201" i="1"/>
  <c r="E1199" i="1"/>
  <c r="E1197" i="1"/>
  <c r="E1195" i="1"/>
  <c r="E1193" i="1"/>
  <c r="E1191" i="1"/>
  <c r="E1189" i="1"/>
  <c r="E1159" i="1"/>
  <c r="E77" i="4"/>
  <c r="E1139" i="1"/>
  <c r="E125" i="4"/>
  <c r="E115" i="4"/>
  <c r="E69" i="4"/>
  <c r="E1123" i="1"/>
  <c r="E117" i="4"/>
  <c r="E61" i="4"/>
  <c r="E147" i="4"/>
  <c r="E53" i="4"/>
  <c r="E314" i="5"/>
  <c r="E149" i="4"/>
  <c r="E109" i="4"/>
  <c r="E45" i="4"/>
  <c r="E1145" i="1"/>
  <c r="E1091" i="1"/>
  <c r="E1065" i="1"/>
  <c r="E101" i="4"/>
  <c r="E330" i="5"/>
  <c r="E324" i="5"/>
  <c r="E133" i="4"/>
  <c r="E85" i="4"/>
  <c r="E1095" i="1"/>
  <c r="E99" i="4"/>
  <c r="E83" i="4"/>
  <c r="E67" i="4"/>
  <c r="E51" i="4"/>
  <c r="E19" i="4"/>
  <c r="E1015" i="1"/>
  <c r="E969" i="1"/>
  <c r="E951" i="1"/>
  <c r="E1017" i="1"/>
  <c r="E310" i="5"/>
  <c r="E6" i="4"/>
  <c r="E135" i="4"/>
  <c r="E119" i="4"/>
  <c r="E103" i="4"/>
  <c r="E87" i="4"/>
  <c r="E71" i="4"/>
  <c r="E55" i="4"/>
  <c r="E27" i="4"/>
  <c r="E1175" i="1"/>
  <c r="E1155" i="1"/>
  <c r="E1097" i="1"/>
  <c r="E1047" i="1"/>
  <c r="E1027" i="1"/>
  <c r="E326" i="5"/>
  <c r="E304" i="5"/>
  <c r="E298" i="5"/>
  <c r="E137" i="4"/>
  <c r="E121" i="4"/>
  <c r="E105" i="4"/>
  <c r="E89" i="4"/>
  <c r="E73" i="4"/>
  <c r="E57" i="4"/>
  <c r="E41" i="4"/>
  <c r="E24" i="4"/>
  <c r="E1127" i="1"/>
  <c r="E1107" i="1"/>
  <c r="E1049" i="1"/>
  <c r="E999" i="1"/>
  <c r="E139" i="4"/>
  <c r="E123" i="4"/>
  <c r="E107" i="4"/>
  <c r="E91" i="4"/>
  <c r="E75" i="4"/>
  <c r="E59" i="4"/>
  <c r="E43" i="4"/>
  <c r="E29" i="4"/>
  <c r="E9" i="4"/>
  <c r="E1129" i="1"/>
  <c r="E1079" i="1"/>
  <c r="E1059" i="1"/>
  <c r="E1001" i="1"/>
  <c r="E1081" i="1"/>
  <c r="E1031" i="1"/>
  <c r="E1011" i="1"/>
  <c r="E983" i="1"/>
  <c r="E143" i="4"/>
  <c r="E127" i="4"/>
  <c r="E111" i="4"/>
  <c r="E95" i="4"/>
  <c r="E79" i="4"/>
  <c r="E63" i="4"/>
  <c r="E47" i="4"/>
  <c r="E17" i="4"/>
  <c r="E11" i="4"/>
  <c r="E1033" i="1"/>
  <c r="E985" i="1"/>
  <c r="E318" i="5"/>
  <c r="E145" i="4"/>
  <c r="E129" i="4"/>
  <c r="E113" i="4"/>
  <c r="E97" i="4"/>
  <c r="E81" i="4"/>
  <c r="E65" i="4"/>
  <c r="E49" i="4"/>
  <c r="E34" i="4"/>
  <c r="E1113" i="1"/>
  <c r="E1063" i="1"/>
  <c r="E1043" i="1"/>
  <c r="E967" i="1"/>
  <c r="O6" i="6"/>
  <c r="E33" i="4"/>
  <c r="E1165" i="1"/>
  <c r="E1149" i="1"/>
  <c r="E1133" i="1"/>
  <c r="E1117" i="1"/>
  <c r="E1101" i="1"/>
  <c r="E1085" i="1"/>
  <c r="E1069" i="1"/>
  <c r="E1053" i="1"/>
  <c r="E1037" i="1"/>
  <c r="E1021" i="1"/>
  <c r="E1005" i="1"/>
  <c r="E989" i="1"/>
  <c r="E973" i="1"/>
  <c r="E957" i="1"/>
  <c r="E941" i="1"/>
  <c r="E925" i="1"/>
  <c r="E909" i="1"/>
  <c r="E893" i="1"/>
  <c r="E877" i="1"/>
  <c r="E863" i="1"/>
  <c r="E845" i="1"/>
  <c r="E12" i="4"/>
  <c r="E21" i="4"/>
  <c r="E28" i="4"/>
  <c r="E10" i="4"/>
  <c r="E18" i="4"/>
  <c r="E25" i="4"/>
  <c r="E30" i="4"/>
  <c r="E39" i="4"/>
  <c r="E8" i="4"/>
  <c r="E13" i="4"/>
  <c r="E14" i="4"/>
  <c r="E150" i="4"/>
  <c r="E148" i="4"/>
  <c r="E146" i="4"/>
  <c r="E144" i="4"/>
  <c r="E142" i="4"/>
  <c r="E140" i="4"/>
  <c r="E138" i="4"/>
  <c r="E136" i="4"/>
  <c r="E134" i="4"/>
  <c r="E132" i="4"/>
  <c r="E130" i="4"/>
  <c r="E128" i="4"/>
  <c r="E126" i="4"/>
  <c r="E124" i="4"/>
  <c r="E122" i="4"/>
  <c r="E120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E94" i="4"/>
  <c r="E92" i="4"/>
  <c r="E90" i="4"/>
  <c r="E88" i="4"/>
  <c r="E86" i="4"/>
  <c r="E84" i="4"/>
  <c r="E82" i="4"/>
  <c r="E80" i="4"/>
  <c r="E78" i="4"/>
  <c r="E76" i="4"/>
  <c r="E74" i="4"/>
  <c r="E72" i="4"/>
  <c r="E70" i="4"/>
  <c r="E68" i="4"/>
  <c r="E66" i="4"/>
  <c r="E64" i="4"/>
  <c r="E62" i="4"/>
  <c r="E60" i="4"/>
  <c r="E58" i="4"/>
  <c r="E56" i="4"/>
  <c r="E54" i="4"/>
  <c r="E52" i="4"/>
  <c r="E50" i="4"/>
  <c r="E48" i="4"/>
  <c r="E46" i="4"/>
  <c r="E44" i="4"/>
  <c r="E42" i="4"/>
  <c r="E40" i="4"/>
  <c r="E35" i="4"/>
  <c r="E7" i="4"/>
  <c r="E1183" i="1"/>
  <c r="E1167" i="1"/>
  <c r="E1151" i="1"/>
  <c r="E1135" i="1"/>
  <c r="E1119" i="1"/>
  <c r="E1103" i="1"/>
  <c r="E1087" i="1"/>
  <c r="E1071" i="1"/>
  <c r="E1055" i="1"/>
  <c r="E1039" i="1"/>
  <c r="E1023" i="1"/>
  <c r="E1007" i="1"/>
  <c r="E991" i="1"/>
  <c r="E975" i="1"/>
  <c r="E959" i="1"/>
  <c r="E943" i="1"/>
  <c r="E927" i="1"/>
  <c r="E911" i="1"/>
  <c r="E895" i="1"/>
  <c r="E879" i="1"/>
  <c r="E37" i="4"/>
  <c r="E20" i="4"/>
  <c r="E15" i="4"/>
  <c r="E8" i="1"/>
  <c r="E17" i="1"/>
  <c r="E24" i="1"/>
  <c r="E33" i="1"/>
  <c r="E40" i="1"/>
  <c r="E49" i="1"/>
  <c r="E56" i="1"/>
  <c r="E65" i="1"/>
  <c r="E72" i="1"/>
  <c r="E81" i="1"/>
  <c r="E88" i="1"/>
  <c r="E97" i="1"/>
  <c r="E104" i="1"/>
  <c r="E113" i="1"/>
  <c r="E15" i="1"/>
  <c r="E22" i="1"/>
  <c r="E31" i="1"/>
  <c r="E38" i="1"/>
  <c r="E47" i="1"/>
  <c r="E54" i="1"/>
  <c r="E63" i="1"/>
  <c r="E70" i="1"/>
  <c r="E79" i="1"/>
  <c r="E86" i="1"/>
  <c r="E95" i="1"/>
  <c r="E102" i="1"/>
  <c r="E111" i="1"/>
  <c r="E118" i="1"/>
  <c r="E120" i="1"/>
  <c r="E122" i="1"/>
  <c r="E124" i="1"/>
  <c r="E126" i="1"/>
  <c r="E128" i="1"/>
  <c r="E130" i="1"/>
  <c r="E132" i="1"/>
  <c r="E134" i="1"/>
  <c r="E136" i="1"/>
  <c r="E138" i="1"/>
  <c r="E140" i="1"/>
  <c r="E142" i="1"/>
  <c r="E144" i="1"/>
  <c r="E146" i="1"/>
  <c r="E148" i="1"/>
  <c r="E150" i="1"/>
  <c r="E152" i="1"/>
  <c r="E154" i="1"/>
  <c r="E156" i="1"/>
  <c r="E158" i="1"/>
  <c r="E160" i="1"/>
  <c r="E162" i="1"/>
  <c r="E164" i="1"/>
  <c r="E166" i="1"/>
  <c r="E168" i="1"/>
  <c r="E170" i="1"/>
  <c r="E172" i="1"/>
  <c r="E174" i="1"/>
  <c r="E176" i="1"/>
  <c r="E178" i="1"/>
  <c r="E180" i="1"/>
  <c r="E182" i="1"/>
  <c r="E184" i="1"/>
  <c r="E186" i="1"/>
  <c r="E188" i="1"/>
  <c r="E190" i="1"/>
  <c r="E192" i="1"/>
  <c r="E194" i="1"/>
  <c r="E196" i="1"/>
  <c r="E198" i="1"/>
  <c r="E200" i="1"/>
  <c r="E202" i="1"/>
  <c r="E204" i="1"/>
  <c r="E206" i="1"/>
  <c r="E208" i="1"/>
  <c r="E210" i="1"/>
  <c r="E212" i="1"/>
  <c r="E214" i="1"/>
  <c r="E216" i="1"/>
  <c r="E218" i="1"/>
  <c r="E220" i="1"/>
  <c r="E222" i="1"/>
  <c r="E224" i="1"/>
  <c r="E226" i="1"/>
  <c r="E228" i="1"/>
  <c r="E230" i="1"/>
  <c r="E232" i="1"/>
  <c r="E234" i="1"/>
  <c r="E236" i="1"/>
  <c r="E238" i="1"/>
  <c r="E240" i="1"/>
  <c r="E242" i="1"/>
  <c r="E244" i="1"/>
  <c r="E246" i="1"/>
  <c r="E248" i="1"/>
  <c r="E250" i="1"/>
  <c r="E252" i="1"/>
  <c r="E13" i="1"/>
  <c r="E20" i="1"/>
  <c r="E29" i="1"/>
  <c r="E36" i="1"/>
  <c r="E45" i="1"/>
  <c r="E52" i="1"/>
  <c r="E61" i="1"/>
  <c r="E68" i="1"/>
  <c r="E77" i="1"/>
  <c r="E84" i="1"/>
  <c r="E93" i="1"/>
  <c r="E100" i="1"/>
  <c r="E109" i="1"/>
  <c r="E116" i="1"/>
  <c r="E11" i="1"/>
  <c r="E18" i="1"/>
  <c r="E27" i="1"/>
  <c r="E34" i="1"/>
  <c r="E43" i="1"/>
  <c r="E50" i="1"/>
  <c r="E59" i="1"/>
  <c r="E66" i="1"/>
  <c r="E75" i="1"/>
  <c r="E82" i="1"/>
  <c r="E91" i="1"/>
  <c r="E98" i="1"/>
  <c r="E107" i="1"/>
  <c r="E114" i="1"/>
  <c r="E9" i="1"/>
  <c r="E16" i="1"/>
  <c r="E25" i="1"/>
  <c r="E32" i="1"/>
  <c r="E41" i="1"/>
  <c r="E48" i="1"/>
  <c r="E57" i="1"/>
  <c r="E64" i="1"/>
  <c r="E73" i="1"/>
  <c r="E80" i="1"/>
  <c r="E89" i="1"/>
  <c r="E96" i="1"/>
  <c r="E105" i="1"/>
  <c r="E112" i="1"/>
  <c r="E7" i="1"/>
  <c r="E14" i="1"/>
  <c r="E23" i="1"/>
  <c r="E30" i="1"/>
  <c r="E39" i="1"/>
  <c r="E46" i="1"/>
  <c r="E55" i="1"/>
  <c r="E62" i="1"/>
  <c r="E71" i="1"/>
  <c r="E78" i="1"/>
  <c r="E87" i="1"/>
  <c r="E94" i="1"/>
  <c r="E103" i="1"/>
  <c r="E110" i="1"/>
  <c r="E119" i="1"/>
  <c r="E121" i="1"/>
  <c r="E123" i="1"/>
  <c r="E125" i="1"/>
  <c r="E127" i="1"/>
  <c r="E129" i="1"/>
  <c r="E131" i="1"/>
  <c r="E133" i="1"/>
  <c r="E135" i="1"/>
  <c r="E137" i="1"/>
  <c r="E139" i="1"/>
  <c r="E141" i="1"/>
  <c r="E143" i="1"/>
  <c r="E145" i="1"/>
  <c r="E147" i="1"/>
  <c r="E149" i="1"/>
  <c r="E151" i="1"/>
  <c r="E153" i="1"/>
  <c r="E155" i="1"/>
  <c r="E157" i="1"/>
  <c r="E159" i="1"/>
  <c r="E161" i="1"/>
  <c r="E163" i="1"/>
  <c r="E165" i="1"/>
  <c r="E167" i="1"/>
  <c r="E169" i="1"/>
  <c r="E171" i="1"/>
  <c r="E173" i="1"/>
  <c r="E175" i="1"/>
  <c r="E177" i="1"/>
  <c r="E179" i="1"/>
  <c r="E181" i="1"/>
  <c r="E183" i="1"/>
  <c r="E185" i="1"/>
  <c r="E187" i="1"/>
  <c r="E189" i="1"/>
  <c r="E191" i="1"/>
  <c r="E193" i="1"/>
  <c r="E195" i="1"/>
  <c r="E197" i="1"/>
  <c r="E199" i="1"/>
  <c r="E201" i="1"/>
  <c r="E203" i="1"/>
  <c r="E205" i="1"/>
  <c r="E207" i="1"/>
  <c r="E209" i="1"/>
  <c r="E211" i="1"/>
  <c r="E213" i="1"/>
  <c r="E215" i="1"/>
  <c r="E217" i="1"/>
  <c r="E219" i="1"/>
  <c r="E221" i="1"/>
  <c r="E223" i="1"/>
  <c r="E225" i="1"/>
  <c r="E227" i="1"/>
  <c r="E229" i="1"/>
  <c r="E231" i="1"/>
  <c r="E233" i="1"/>
  <c r="E235" i="1"/>
  <c r="E237" i="1"/>
  <c r="E239" i="1"/>
  <c r="E241" i="1"/>
  <c r="E243" i="1"/>
  <c r="E245" i="1"/>
  <c r="E247" i="1"/>
  <c r="E249" i="1"/>
  <c r="E251" i="1"/>
  <c r="E253" i="1"/>
  <c r="E12" i="1"/>
  <c r="E21" i="1"/>
  <c r="E28" i="1"/>
  <c r="E37" i="1"/>
  <c r="E44" i="1"/>
  <c r="E53" i="1"/>
  <c r="E60" i="1"/>
  <c r="E69" i="1"/>
  <c r="E76" i="1"/>
  <c r="E85" i="1"/>
  <c r="E92" i="1"/>
  <c r="E101" i="1"/>
  <c r="E108" i="1"/>
  <c r="E117" i="1"/>
  <c r="E10" i="1"/>
  <c r="E19" i="1"/>
  <c r="E26" i="1"/>
  <c r="E35" i="1"/>
  <c r="E42" i="1"/>
  <c r="E51" i="1"/>
  <c r="E58" i="1"/>
  <c r="E67" i="1"/>
  <c r="E74" i="1"/>
  <c r="E83" i="1"/>
  <c r="E90" i="1"/>
  <c r="E99" i="1"/>
  <c r="E106" i="1"/>
  <c r="E115" i="1"/>
  <c r="E254" i="1"/>
  <c r="E256" i="1"/>
  <c r="E258" i="1"/>
  <c r="E260" i="1"/>
  <c r="E262" i="1"/>
  <c r="E264" i="1"/>
  <c r="E266" i="1"/>
  <c r="E268" i="1"/>
  <c r="E270" i="1"/>
  <c r="E272" i="1"/>
  <c r="E274" i="1"/>
  <c r="E276" i="1"/>
  <c r="E278" i="1"/>
  <c r="E280" i="1"/>
  <c r="E282" i="1"/>
  <c r="E284" i="1"/>
  <c r="E286" i="1"/>
  <c r="E288" i="1"/>
  <c r="E290" i="1"/>
  <c r="E292" i="1"/>
  <c r="E294" i="1"/>
  <c r="E296" i="1"/>
  <c r="E298" i="1"/>
  <c r="E300" i="1"/>
  <c r="E302" i="1"/>
  <c r="E304" i="1"/>
  <c r="E306" i="1"/>
  <c r="E308" i="1"/>
  <c r="E310" i="1"/>
  <c r="E312" i="1"/>
  <c r="E314" i="1"/>
  <c r="E316" i="1"/>
  <c r="E318" i="1"/>
  <c r="E320" i="1"/>
  <c r="E322" i="1"/>
  <c r="E324" i="1"/>
  <c r="E326" i="1"/>
  <c r="E328" i="1"/>
  <c r="E330" i="1"/>
  <c r="E332" i="1"/>
  <c r="E334" i="1"/>
  <c r="E336" i="1"/>
  <c r="E338" i="1"/>
  <c r="E340" i="1"/>
  <c r="E342" i="1"/>
  <c r="E344" i="1"/>
  <c r="E346" i="1"/>
  <c r="E348" i="1"/>
  <c r="E350" i="1"/>
  <c r="E352" i="1"/>
  <c r="E354" i="1"/>
  <c r="E356" i="1"/>
  <c r="E358" i="1"/>
  <c r="E360" i="1"/>
  <c r="E362" i="1"/>
  <c r="E364" i="1"/>
  <c r="E366" i="1"/>
  <c r="E368" i="1"/>
  <c r="E370" i="1"/>
  <c r="E372" i="1"/>
  <c r="E374" i="1"/>
  <c r="E376" i="1"/>
  <c r="E378" i="1"/>
  <c r="E380" i="1"/>
  <c r="E382" i="1"/>
  <c r="E384" i="1"/>
  <c r="E386" i="1"/>
  <c r="E388" i="1"/>
  <c r="E390" i="1"/>
  <c r="E392" i="1"/>
  <c r="E394" i="1"/>
  <c r="E396" i="1"/>
  <c r="E398" i="1"/>
  <c r="E400" i="1"/>
  <c r="E402" i="1"/>
  <c r="E404" i="1"/>
  <c r="E406" i="1"/>
  <c r="E408" i="1"/>
  <c r="E410" i="1"/>
  <c r="E412" i="1"/>
  <c r="E414" i="1"/>
  <c r="E416" i="1"/>
  <c r="E418" i="1"/>
  <c r="E420" i="1"/>
  <c r="E422" i="1"/>
  <c r="E257" i="1"/>
  <c r="E273" i="1"/>
  <c r="E289" i="1"/>
  <c r="E305" i="1"/>
  <c r="E321" i="1"/>
  <c r="E337" i="1"/>
  <c r="E353" i="1"/>
  <c r="E369" i="1"/>
  <c r="E385" i="1"/>
  <c r="E401" i="1"/>
  <c r="E417" i="1"/>
  <c r="E255" i="1"/>
  <c r="E271" i="1"/>
  <c r="E287" i="1"/>
  <c r="E303" i="1"/>
  <c r="E269" i="1"/>
  <c r="E285" i="1"/>
  <c r="E301" i="1"/>
  <c r="E317" i="1"/>
  <c r="E333" i="1"/>
  <c r="E349" i="1"/>
  <c r="E365" i="1"/>
  <c r="E381" i="1"/>
  <c r="E267" i="1"/>
  <c r="E283" i="1"/>
  <c r="E299" i="1"/>
  <c r="E315" i="1"/>
  <c r="E331" i="1"/>
  <c r="E347" i="1"/>
  <c r="E363" i="1"/>
  <c r="E379" i="1"/>
  <c r="E395" i="1"/>
  <c r="E411" i="1"/>
  <c r="E6" i="1"/>
  <c r="E265" i="1"/>
  <c r="E281" i="1"/>
  <c r="E297" i="1"/>
  <c r="E313" i="1"/>
  <c r="E329" i="1"/>
  <c r="E345" i="1"/>
  <c r="E361" i="1"/>
  <c r="E377" i="1"/>
  <c r="E393" i="1"/>
  <c r="E409" i="1"/>
  <c r="E263" i="1"/>
  <c r="E279" i="1"/>
  <c r="E295" i="1"/>
  <c r="E311" i="1"/>
  <c r="E327" i="1"/>
  <c r="E343" i="1"/>
  <c r="E359" i="1"/>
  <c r="E375" i="1"/>
  <c r="E391" i="1"/>
  <c r="E407" i="1"/>
  <c r="E423" i="1"/>
  <c r="E425" i="1"/>
  <c r="E427" i="1"/>
  <c r="E429" i="1"/>
  <c r="E431" i="1"/>
  <c r="E433" i="1"/>
  <c r="E435" i="1"/>
  <c r="E437" i="1"/>
  <c r="E439" i="1"/>
  <c r="E441" i="1"/>
  <c r="E443" i="1"/>
  <c r="E445" i="1"/>
  <c r="E447" i="1"/>
  <c r="E449" i="1"/>
  <c r="E451" i="1"/>
  <c r="E453" i="1"/>
  <c r="E455" i="1"/>
  <c r="E457" i="1"/>
  <c r="E459" i="1"/>
  <c r="E461" i="1"/>
  <c r="E463" i="1"/>
  <c r="E465" i="1"/>
  <c r="E467" i="1"/>
  <c r="E469" i="1"/>
  <c r="E471" i="1"/>
  <c r="E473" i="1"/>
  <c r="E475" i="1"/>
  <c r="E477" i="1"/>
  <c r="E479" i="1"/>
  <c r="E481" i="1"/>
  <c r="E483" i="1"/>
  <c r="E485" i="1"/>
  <c r="E487" i="1"/>
  <c r="E489" i="1"/>
  <c r="E491" i="1"/>
  <c r="E493" i="1"/>
  <c r="E495" i="1"/>
  <c r="E497" i="1"/>
  <c r="E499" i="1"/>
  <c r="E501" i="1"/>
  <c r="E503" i="1"/>
  <c r="E505" i="1"/>
  <c r="E507" i="1"/>
  <c r="E509" i="1"/>
  <c r="E511" i="1"/>
  <c r="E513" i="1"/>
  <c r="E515" i="1"/>
  <c r="E517" i="1"/>
  <c r="E519" i="1"/>
  <c r="E521" i="1"/>
  <c r="E523" i="1"/>
  <c r="E525" i="1"/>
  <c r="E527" i="1"/>
  <c r="E529" i="1"/>
  <c r="E531" i="1"/>
  <c r="E533" i="1"/>
  <c r="E535" i="1"/>
  <c r="E537" i="1"/>
  <c r="E539" i="1"/>
  <c r="E541" i="1"/>
  <c r="E543" i="1"/>
  <c r="E545" i="1"/>
  <c r="E547" i="1"/>
  <c r="E549" i="1"/>
  <c r="E551" i="1"/>
  <c r="E553" i="1"/>
  <c r="E555" i="1"/>
  <c r="E557" i="1"/>
  <c r="E559" i="1"/>
  <c r="E561" i="1"/>
  <c r="E563" i="1"/>
  <c r="E565" i="1"/>
  <c r="E567" i="1"/>
  <c r="E569" i="1"/>
  <c r="E571" i="1"/>
  <c r="E261" i="1"/>
  <c r="E277" i="1"/>
  <c r="E293" i="1"/>
  <c r="E309" i="1"/>
  <c r="E325" i="1"/>
  <c r="E341" i="1"/>
  <c r="E357" i="1"/>
  <c r="E373" i="1"/>
  <c r="E389" i="1"/>
  <c r="E405" i="1"/>
  <c r="E421" i="1"/>
  <c r="E307" i="1"/>
  <c r="E371" i="1"/>
  <c r="E399" i="1"/>
  <c r="E419" i="1"/>
  <c r="E424" i="1"/>
  <c r="E440" i="1"/>
  <c r="E456" i="1"/>
  <c r="E472" i="1"/>
  <c r="E488" i="1"/>
  <c r="E504" i="1"/>
  <c r="E520" i="1"/>
  <c r="E536" i="1"/>
  <c r="E552" i="1"/>
  <c r="E351" i="1"/>
  <c r="E397" i="1"/>
  <c r="E438" i="1"/>
  <c r="E454" i="1"/>
  <c r="E470" i="1"/>
  <c r="E486" i="1"/>
  <c r="E502" i="1"/>
  <c r="E518" i="1"/>
  <c r="E534" i="1"/>
  <c r="E550" i="1"/>
  <c r="E323" i="1"/>
  <c r="E387" i="1"/>
  <c r="E436" i="1"/>
  <c r="E452" i="1"/>
  <c r="E468" i="1"/>
  <c r="E484" i="1"/>
  <c r="E500" i="1"/>
  <c r="E516" i="1"/>
  <c r="E532" i="1"/>
  <c r="E548" i="1"/>
  <c r="E564" i="1"/>
  <c r="E573" i="1"/>
  <c r="E575" i="1"/>
  <c r="E577" i="1"/>
  <c r="E579" i="1"/>
  <c r="E581" i="1"/>
  <c r="E583" i="1"/>
  <c r="E585" i="1"/>
  <c r="E587" i="1"/>
  <c r="E589" i="1"/>
  <c r="E591" i="1"/>
  <c r="E593" i="1"/>
  <c r="E595" i="1"/>
  <c r="E597" i="1"/>
  <c r="E599" i="1"/>
  <c r="E601" i="1"/>
  <c r="E603" i="1"/>
  <c r="E605" i="1"/>
  <c r="E607" i="1"/>
  <c r="E609" i="1"/>
  <c r="E611" i="1"/>
  <c r="E613" i="1"/>
  <c r="E615" i="1"/>
  <c r="E617" i="1"/>
  <c r="E619" i="1"/>
  <c r="E621" i="1"/>
  <c r="E623" i="1"/>
  <c r="E625" i="1"/>
  <c r="E627" i="1"/>
  <c r="E629" i="1"/>
  <c r="E631" i="1"/>
  <c r="E633" i="1"/>
  <c r="E635" i="1"/>
  <c r="E637" i="1"/>
  <c r="E639" i="1"/>
  <c r="E641" i="1"/>
  <c r="E643" i="1"/>
  <c r="E645" i="1"/>
  <c r="E647" i="1"/>
  <c r="E649" i="1"/>
  <c r="E651" i="1"/>
  <c r="E653" i="1"/>
  <c r="E655" i="1"/>
  <c r="E657" i="1"/>
  <c r="E659" i="1"/>
  <c r="E661" i="1"/>
  <c r="E663" i="1"/>
  <c r="E665" i="1"/>
  <c r="E667" i="1"/>
  <c r="E669" i="1"/>
  <c r="E671" i="1"/>
  <c r="E673" i="1"/>
  <c r="E675" i="1"/>
  <c r="E677" i="1"/>
  <c r="E679" i="1"/>
  <c r="E681" i="1"/>
  <c r="E683" i="1"/>
  <c r="E685" i="1"/>
  <c r="E687" i="1"/>
  <c r="E689" i="1"/>
  <c r="E691" i="1"/>
  <c r="E693" i="1"/>
  <c r="E695" i="1"/>
  <c r="E697" i="1"/>
  <c r="E699" i="1"/>
  <c r="E701" i="1"/>
  <c r="E703" i="1"/>
  <c r="E705" i="1"/>
  <c r="E707" i="1"/>
  <c r="E709" i="1"/>
  <c r="E711" i="1"/>
  <c r="E713" i="1"/>
  <c r="E715" i="1"/>
  <c r="E717" i="1"/>
  <c r="E719" i="1"/>
  <c r="E367" i="1"/>
  <c r="E415" i="1"/>
  <c r="E434" i="1"/>
  <c r="E450" i="1"/>
  <c r="E466" i="1"/>
  <c r="E482" i="1"/>
  <c r="E498" i="1"/>
  <c r="E514" i="1"/>
  <c r="E530" i="1"/>
  <c r="E339" i="1"/>
  <c r="E413" i="1"/>
  <c r="E432" i="1"/>
  <c r="E448" i="1"/>
  <c r="E464" i="1"/>
  <c r="E480" i="1"/>
  <c r="E496" i="1"/>
  <c r="E512" i="1"/>
  <c r="E528" i="1"/>
  <c r="E544" i="1"/>
  <c r="E560" i="1"/>
  <c r="E259" i="1"/>
  <c r="E319" i="1"/>
  <c r="E383" i="1"/>
  <c r="E403" i="1"/>
  <c r="E430" i="1"/>
  <c r="E446" i="1"/>
  <c r="E462" i="1"/>
  <c r="E478" i="1"/>
  <c r="E494" i="1"/>
  <c r="E510" i="1"/>
  <c r="E526" i="1"/>
  <c r="E542" i="1"/>
  <c r="E275" i="1"/>
  <c r="E355" i="1"/>
  <c r="E428" i="1"/>
  <c r="E444" i="1"/>
  <c r="E460" i="1"/>
  <c r="E476" i="1"/>
  <c r="E492" i="1"/>
  <c r="E508" i="1"/>
  <c r="E524" i="1"/>
  <c r="E540" i="1"/>
  <c r="E490" i="1"/>
  <c r="E562" i="1"/>
  <c r="E576" i="1"/>
  <c r="E592" i="1"/>
  <c r="E608" i="1"/>
  <c r="E624" i="1"/>
  <c r="E640" i="1"/>
  <c r="E656" i="1"/>
  <c r="E672" i="1"/>
  <c r="E688" i="1"/>
  <c r="E704" i="1"/>
  <c r="E720" i="1"/>
  <c r="E722" i="1"/>
  <c r="E724" i="1"/>
  <c r="E726" i="1"/>
  <c r="E728" i="1"/>
  <c r="E730" i="1"/>
  <c r="E732" i="1"/>
  <c r="E734" i="1"/>
  <c r="E736" i="1"/>
  <c r="E738" i="1"/>
  <c r="E740" i="1"/>
  <c r="E742" i="1"/>
  <c r="E744" i="1"/>
  <c r="E746" i="1"/>
  <c r="E748" i="1"/>
  <c r="E750" i="1"/>
  <c r="E752" i="1"/>
  <c r="E754" i="1"/>
  <c r="E756" i="1"/>
  <c r="E758" i="1"/>
  <c r="E760" i="1"/>
  <c r="E762" i="1"/>
  <c r="E764" i="1"/>
  <c r="E766" i="1"/>
  <c r="E768" i="1"/>
  <c r="E770" i="1"/>
  <c r="E772" i="1"/>
  <c r="E774" i="1"/>
  <c r="E776" i="1"/>
  <c r="E778" i="1"/>
  <c r="E780" i="1"/>
  <c r="E782" i="1"/>
  <c r="E784" i="1"/>
  <c r="E786" i="1"/>
  <c r="E788" i="1"/>
  <c r="E790" i="1"/>
  <c r="E792" i="1"/>
  <c r="E794" i="1"/>
  <c r="E796" i="1"/>
  <c r="E798" i="1"/>
  <c r="E800" i="1"/>
  <c r="E802" i="1"/>
  <c r="E804" i="1"/>
  <c r="E806" i="1"/>
  <c r="E808" i="1"/>
  <c r="E810" i="1"/>
  <c r="E812" i="1"/>
  <c r="E814" i="1"/>
  <c r="E816" i="1"/>
  <c r="E818" i="1"/>
  <c r="E820" i="1"/>
  <c r="E822" i="1"/>
  <c r="E824" i="1"/>
  <c r="E826" i="1"/>
  <c r="E828" i="1"/>
  <c r="E830" i="1"/>
  <c r="E832" i="1"/>
  <c r="E834" i="1"/>
  <c r="E836" i="1"/>
  <c r="E838" i="1"/>
  <c r="E840" i="1"/>
  <c r="E842" i="1"/>
  <c r="E844" i="1"/>
  <c r="E846" i="1"/>
  <c r="E848" i="1"/>
  <c r="E850" i="1"/>
  <c r="E852" i="1"/>
  <c r="E854" i="1"/>
  <c r="E856" i="1"/>
  <c r="E858" i="1"/>
  <c r="E860" i="1"/>
  <c r="E862" i="1"/>
  <c r="E864" i="1"/>
  <c r="E866" i="1"/>
  <c r="E506" i="1"/>
  <c r="E574" i="1"/>
  <c r="E590" i="1"/>
  <c r="E606" i="1"/>
  <c r="E622" i="1"/>
  <c r="E638" i="1"/>
  <c r="E654" i="1"/>
  <c r="E670" i="1"/>
  <c r="E686" i="1"/>
  <c r="E702" i="1"/>
  <c r="E335" i="1"/>
  <c r="E522" i="1"/>
  <c r="E572" i="1"/>
  <c r="E588" i="1"/>
  <c r="E604" i="1"/>
  <c r="E620" i="1"/>
  <c r="E636" i="1"/>
  <c r="E652" i="1"/>
  <c r="E668" i="1"/>
  <c r="E684" i="1"/>
  <c r="E700" i="1"/>
  <c r="E716" i="1"/>
  <c r="E538" i="1"/>
  <c r="E558" i="1"/>
  <c r="E570" i="1"/>
  <c r="E586" i="1"/>
  <c r="E602" i="1"/>
  <c r="E618" i="1"/>
  <c r="E634" i="1"/>
  <c r="E650" i="1"/>
  <c r="E666" i="1"/>
  <c r="E682" i="1"/>
  <c r="E698" i="1"/>
  <c r="E426" i="1"/>
  <c r="E546" i="1"/>
  <c r="E556" i="1"/>
  <c r="E568" i="1"/>
  <c r="E584" i="1"/>
  <c r="E600" i="1"/>
  <c r="E616" i="1"/>
  <c r="E632" i="1"/>
  <c r="E648" i="1"/>
  <c r="E664" i="1"/>
  <c r="E680" i="1"/>
  <c r="E696" i="1"/>
  <c r="E712" i="1"/>
  <c r="E291" i="1"/>
  <c r="E442" i="1"/>
  <c r="E554" i="1"/>
  <c r="E566" i="1"/>
  <c r="E582" i="1"/>
  <c r="E598" i="1"/>
  <c r="E614" i="1"/>
  <c r="E630" i="1"/>
  <c r="E646" i="1"/>
  <c r="E662" i="1"/>
  <c r="E678" i="1"/>
  <c r="E694" i="1"/>
  <c r="E710" i="1"/>
  <c r="E3" i="1"/>
  <c r="E458" i="1"/>
  <c r="E580" i="1"/>
  <c r="E596" i="1"/>
  <c r="E612" i="1"/>
  <c r="E628" i="1"/>
  <c r="E644" i="1"/>
  <c r="E660" i="1"/>
  <c r="E676" i="1"/>
  <c r="E692" i="1"/>
  <c r="E708" i="1"/>
  <c r="E474" i="1"/>
  <c r="E578" i="1"/>
  <c r="E594" i="1"/>
  <c r="E610" i="1"/>
  <c r="E626" i="1"/>
  <c r="E733" i="1"/>
  <c r="E749" i="1"/>
  <c r="E765" i="1"/>
  <c r="E731" i="1"/>
  <c r="E747" i="1"/>
  <c r="E763" i="1"/>
  <c r="E779" i="1"/>
  <c r="E795" i="1"/>
  <c r="E811" i="1"/>
  <c r="E827" i="1"/>
  <c r="E843" i="1"/>
  <c r="E859" i="1"/>
  <c r="E868" i="1"/>
  <c r="E870" i="1"/>
  <c r="E872" i="1"/>
  <c r="E874" i="1"/>
  <c r="E876" i="1"/>
  <c r="E878" i="1"/>
  <c r="E880" i="1"/>
  <c r="E882" i="1"/>
  <c r="E884" i="1"/>
  <c r="E886" i="1"/>
  <c r="E888" i="1"/>
  <c r="E890" i="1"/>
  <c r="E892" i="1"/>
  <c r="E894" i="1"/>
  <c r="E896" i="1"/>
  <c r="E898" i="1"/>
  <c r="E900" i="1"/>
  <c r="E902" i="1"/>
  <c r="E904" i="1"/>
  <c r="E906" i="1"/>
  <c r="E908" i="1"/>
  <c r="E910" i="1"/>
  <c r="E912" i="1"/>
  <c r="E914" i="1"/>
  <c r="E916" i="1"/>
  <c r="E918" i="1"/>
  <c r="E920" i="1"/>
  <c r="E922" i="1"/>
  <c r="E924" i="1"/>
  <c r="E926" i="1"/>
  <c r="E928" i="1"/>
  <c r="E930" i="1"/>
  <c r="E932" i="1"/>
  <c r="E934" i="1"/>
  <c r="E936" i="1"/>
  <c r="E938" i="1"/>
  <c r="E940" i="1"/>
  <c r="E942" i="1"/>
  <c r="E944" i="1"/>
  <c r="E946" i="1"/>
  <c r="E948" i="1"/>
  <c r="E950" i="1"/>
  <c r="E952" i="1"/>
  <c r="E954" i="1"/>
  <c r="E956" i="1"/>
  <c r="E958" i="1"/>
  <c r="E960" i="1"/>
  <c r="E962" i="1"/>
  <c r="E964" i="1"/>
  <c r="E966" i="1"/>
  <c r="E968" i="1"/>
  <c r="E970" i="1"/>
  <c r="E972" i="1"/>
  <c r="E974" i="1"/>
  <c r="E976" i="1"/>
  <c r="E978" i="1"/>
  <c r="E980" i="1"/>
  <c r="E982" i="1"/>
  <c r="E984" i="1"/>
  <c r="E986" i="1"/>
  <c r="E988" i="1"/>
  <c r="E990" i="1"/>
  <c r="E992" i="1"/>
  <c r="E994" i="1"/>
  <c r="E996" i="1"/>
  <c r="E998" i="1"/>
  <c r="E1000" i="1"/>
  <c r="E1002" i="1"/>
  <c r="E1004" i="1"/>
  <c r="E1006" i="1"/>
  <c r="E1008" i="1"/>
  <c r="E1010" i="1"/>
  <c r="E1012" i="1"/>
  <c r="E1014" i="1"/>
  <c r="E1016" i="1"/>
  <c r="E1018" i="1"/>
  <c r="E1020" i="1"/>
  <c r="E1022" i="1"/>
  <c r="E1024" i="1"/>
  <c r="E1026" i="1"/>
  <c r="E1028" i="1"/>
  <c r="E1030" i="1"/>
  <c r="E1032" i="1"/>
  <c r="E1034" i="1"/>
  <c r="E1036" i="1"/>
  <c r="E1038" i="1"/>
  <c r="E1040" i="1"/>
  <c r="E1042" i="1"/>
  <c r="E1044" i="1"/>
  <c r="E1046" i="1"/>
  <c r="E1048" i="1"/>
  <c r="E1050" i="1"/>
  <c r="E1052" i="1"/>
  <c r="E1054" i="1"/>
  <c r="E1056" i="1"/>
  <c r="E1058" i="1"/>
  <c r="E1060" i="1"/>
  <c r="E1062" i="1"/>
  <c r="E1064" i="1"/>
  <c r="E1066" i="1"/>
  <c r="E1068" i="1"/>
  <c r="E1070" i="1"/>
  <c r="E1072" i="1"/>
  <c r="E1074" i="1"/>
  <c r="E1076" i="1"/>
  <c r="E1078" i="1"/>
  <c r="E1080" i="1"/>
  <c r="E1082" i="1"/>
  <c r="E1084" i="1"/>
  <c r="E1086" i="1"/>
  <c r="E1088" i="1"/>
  <c r="E1090" i="1"/>
  <c r="E1092" i="1"/>
  <c r="E1094" i="1"/>
  <c r="E1096" i="1"/>
  <c r="E1098" i="1"/>
  <c r="E1100" i="1"/>
  <c r="E1102" i="1"/>
  <c r="E1104" i="1"/>
  <c r="E1106" i="1"/>
  <c r="E1108" i="1"/>
  <c r="E1110" i="1"/>
  <c r="E1112" i="1"/>
  <c r="E1114" i="1"/>
  <c r="E1116" i="1"/>
  <c r="E1118" i="1"/>
  <c r="E1120" i="1"/>
  <c r="E1122" i="1"/>
  <c r="E1124" i="1"/>
  <c r="E1126" i="1"/>
  <c r="E1128" i="1"/>
  <c r="E1130" i="1"/>
  <c r="E1132" i="1"/>
  <c r="E1134" i="1"/>
  <c r="E1136" i="1"/>
  <c r="E1138" i="1"/>
  <c r="E1140" i="1"/>
  <c r="E1142" i="1"/>
  <c r="E1144" i="1"/>
  <c r="E1146" i="1"/>
  <c r="E1148" i="1"/>
  <c r="E1150" i="1"/>
  <c r="E1152" i="1"/>
  <c r="E1154" i="1"/>
  <c r="E1156" i="1"/>
  <c r="E1158" i="1"/>
  <c r="E1160" i="1"/>
  <c r="E1162" i="1"/>
  <c r="E1164" i="1"/>
  <c r="E1166" i="1"/>
  <c r="E1168" i="1"/>
  <c r="E1170" i="1"/>
  <c r="E1172" i="1"/>
  <c r="E1174" i="1"/>
  <c r="E1176" i="1"/>
  <c r="E1178" i="1"/>
  <c r="E1180" i="1"/>
  <c r="E1182" i="1"/>
  <c r="E1184" i="1"/>
  <c r="E1186" i="1"/>
  <c r="E1188" i="1"/>
  <c r="E642" i="1"/>
  <c r="E729" i="1"/>
  <c r="E745" i="1"/>
  <c r="E761" i="1"/>
  <c r="E777" i="1"/>
  <c r="E793" i="1"/>
  <c r="E809" i="1"/>
  <c r="E825" i="1"/>
  <c r="E841" i="1"/>
  <c r="E857" i="1"/>
  <c r="E658" i="1"/>
  <c r="E727" i="1"/>
  <c r="E743" i="1"/>
  <c r="E759" i="1"/>
  <c r="E775" i="1"/>
  <c r="E791" i="1"/>
  <c r="E807" i="1"/>
  <c r="E823" i="1"/>
  <c r="E839" i="1"/>
  <c r="E855" i="1"/>
  <c r="E674" i="1"/>
  <c r="E718" i="1"/>
  <c r="E725" i="1"/>
  <c r="E741" i="1"/>
  <c r="E757" i="1"/>
  <c r="E773" i="1"/>
  <c r="E789" i="1"/>
  <c r="E805" i="1"/>
  <c r="E821" i="1"/>
  <c r="E837" i="1"/>
  <c r="E853" i="1"/>
  <c r="E690" i="1"/>
  <c r="E723" i="1"/>
  <c r="E739" i="1"/>
  <c r="E755" i="1"/>
  <c r="E771" i="1"/>
  <c r="E787" i="1"/>
  <c r="E803" i="1"/>
  <c r="E819" i="1"/>
  <c r="E835" i="1"/>
  <c r="E851" i="1"/>
  <c r="E706" i="1"/>
  <c r="E721" i="1"/>
  <c r="E737" i="1"/>
  <c r="E753" i="1"/>
  <c r="E769" i="1"/>
  <c r="E785" i="1"/>
  <c r="E801" i="1"/>
  <c r="E817" i="1"/>
  <c r="E833" i="1"/>
  <c r="E849" i="1"/>
  <c r="E865" i="1"/>
  <c r="E714" i="1"/>
  <c r="E735" i="1"/>
  <c r="E751" i="1"/>
  <c r="E767" i="1"/>
  <c r="E783" i="1"/>
  <c r="E799" i="1"/>
  <c r="E815" i="1"/>
  <c r="E831" i="1"/>
  <c r="E847" i="1"/>
  <c r="E1185" i="1"/>
  <c r="E1169" i="1"/>
  <c r="E1153" i="1"/>
  <c r="E1137" i="1"/>
  <c r="E1121" i="1"/>
  <c r="E1105" i="1"/>
  <c r="E1089" i="1"/>
  <c r="E1073" i="1"/>
  <c r="E1057" i="1"/>
  <c r="E1041" i="1"/>
  <c r="E1025" i="1"/>
  <c r="E1009" i="1"/>
  <c r="E993" i="1"/>
  <c r="E977" i="1"/>
  <c r="E961" i="1"/>
  <c r="E945" i="1"/>
  <c r="E929" i="1"/>
  <c r="E913" i="1"/>
  <c r="E897" i="1"/>
  <c r="E881" i="1"/>
  <c r="E813" i="1"/>
  <c r="E995" i="1"/>
  <c r="E979" i="1"/>
  <c r="E963" i="1"/>
  <c r="E947" i="1"/>
  <c r="E931" i="1"/>
  <c r="E915" i="1"/>
  <c r="E899" i="1"/>
  <c r="E883" i="1"/>
  <c r="E867" i="1"/>
  <c r="E797" i="1"/>
  <c r="E32" i="4"/>
  <c r="E22" i="4"/>
  <c r="E1173" i="1"/>
  <c r="E1157" i="1"/>
  <c r="E1141" i="1"/>
  <c r="E1125" i="1"/>
  <c r="E1109" i="1"/>
  <c r="E1093" i="1"/>
  <c r="E1077" i="1"/>
  <c r="E1061" i="1"/>
  <c r="E1045" i="1"/>
  <c r="E1029" i="1"/>
  <c r="E1013" i="1"/>
  <c r="E997" i="1"/>
  <c r="E981" i="1"/>
  <c r="E965" i="1"/>
  <c r="E949" i="1"/>
  <c r="E933" i="1"/>
  <c r="E917" i="1"/>
  <c r="E901" i="1"/>
  <c r="E885" i="1"/>
  <c r="E869" i="1"/>
  <c r="E781" i="1"/>
  <c r="E935" i="1"/>
  <c r="E919" i="1"/>
  <c r="E903" i="1"/>
  <c r="E887" i="1"/>
  <c r="E871" i="1"/>
  <c r="E953" i="1"/>
  <c r="E937" i="1"/>
  <c r="E921" i="1"/>
  <c r="E905" i="1"/>
  <c r="E889" i="1"/>
  <c r="E873" i="1"/>
  <c r="E7" i="5"/>
  <c r="E316" i="5"/>
  <c r="E332" i="5"/>
  <c r="E38" i="4"/>
  <c r="E31" i="4"/>
  <c r="E26" i="4"/>
  <c r="E16" i="4"/>
  <c r="E1179" i="1"/>
  <c r="E1163" i="1"/>
  <c r="E1147" i="1"/>
  <c r="E1131" i="1"/>
  <c r="E1115" i="1"/>
  <c r="E1099" i="1"/>
  <c r="E1083" i="1"/>
  <c r="E1067" i="1"/>
  <c r="E1051" i="1"/>
  <c r="E1035" i="1"/>
  <c r="E1019" i="1"/>
  <c r="E1003" i="1"/>
  <c r="E987" i="1"/>
  <c r="E971" i="1"/>
  <c r="E955" i="1"/>
  <c r="E939" i="1"/>
  <c r="E923" i="1"/>
  <c r="E907" i="1"/>
  <c r="E891" i="1"/>
  <c r="E875" i="1"/>
  <c r="E861" i="1"/>
  <c r="J5" i="5"/>
  <c r="J3" i="1"/>
  <c r="H3" i="1"/>
  <c r="H5" i="1"/>
  <c r="H4" i="1"/>
  <c r="H6" i="1"/>
  <c r="H6" i="4"/>
  <c r="E294" i="5"/>
  <c r="E290" i="5"/>
  <c r="E286" i="5"/>
  <c r="E282" i="5"/>
  <c r="E278" i="5"/>
  <c r="E274" i="5"/>
  <c r="E270" i="5"/>
  <c r="E266" i="5"/>
  <c r="E262" i="5"/>
  <c r="E258" i="5"/>
  <c r="E254" i="5"/>
  <c r="E250" i="5"/>
  <c r="E246" i="5"/>
  <c r="E242" i="5"/>
  <c r="E238" i="5"/>
  <c r="E234" i="5"/>
  <c r="E230" i="5"/>
  <c r="E226" i="5"/>
  <c r="E222" i="5"/>
  <c r="E218" i="5"/>
  <c r="E214" i="5"/>
  <c r="E210" i="5"/>
  <c r="E206" i="5"/>
  <c r="E202" i="5"/>
  <c r="E198" i="5"/>
  <c r="E194" i="5"/>
  <c r="E190" i="5"/>
  <c r="E186" i="5"/>
  <c r="E182" i="5"/>
  <c r="E178" i="5"/>
  <c r="E174" i="5"/>
  <c r="E170" i="5"/>
  <c r="E166" i="5"/>
  <c r="E162" i="5"/>
  <c r="E158" i="5"/>
  <c r="E154" i="5"/>
  <c r="E150" i="5"/>
  <c r="E146" i="5"/>
  <c r="E142" i="5"/>
  <c r="E138" i="5"/>
  <c r="E134" i="5"/>
  <c r="E130" i="5"/>
  <c r="E126" i="5"/>
  <c r="E122" i="5"/>
  <c r="E118" i="5"/>
  <c r="E114" i="5"/>
  <c r="E110" i="5"/>
  <c r="E106" i="5"/>
  <c r="E102" i="5"/>
  <c r="E98" i="5"/>
  <c r="E94" i="5"/>
  <c r="E90" i="5"/>
  <c r="E86" i="5"/>
  <c r="E82" i="5"/>
  <c r="E78" i="5"/>
  <c r="E74" i="5"/>
  <c r="E70" i="5"/>
  <c r="E66" i="5"/>
  <c r="E62" i="5"/>
  <c r="E58" i="5"/>
  <c r="E54" i="5"/>
  <c r="E50" i="5"/>
  <c r="E46" i="5"/>
  <c r="E42" i="5"/>
  <c r="E38" i="5"/>
  <c r="E34" i="5"/>
  <c r="E30" i="5"/>
  <c r="E26" i="5"/>
  <c r="E22" i="5"/>
  <c r="E18" i="5"/>
  <c r="E14" i="5"/>
  <c r="E10" i="5"/>
  <c r="E6" i="5"/>
  <c r="E333" i="5"/>
  <c r="E329" i="5"/>
  <c r="E325" i="5"/>
  <c r="E321" i="5"/>
  <c r="E317" i="5"/>
  <c r="E313" i="5"/>
  <c r="E309" i="5"/>
  <c r="E305" i="5"/>
  <c r="E301" i="5"/>
  <c r="E297" i="5"/>
  <c r="E293" i="5"/>
  <c r="E289" i="5"/>
  <c r="E285" i="5"/>
  <c r="E281" i="5"/>
  <c r="E277" i="5"/>
  <c r="E273" i="5"/>
  <c r="E269" i="5"/>
  <c r="E265" i="5"/>
  <c r="E261" i="5"/>
  <c r="E257" i="5"/>
  <c r="E253" i="5"/>
  <c r="E249" i="5"/>
  <c r="E245" i="5"/>
  <c r="E241" i="5"/>
  <c r="E237" i="5"/>
  <c r="E233" i="5"/>
  <c r="E229" i="5"/>
  <c r="E225" i="5"/>
  <c r="E221" i="5"/>
  <c r="E217" i="5"/>
  <c r="E213" i="5"/>
  <c r="E209" i="5"/>
  <c r="E205" i="5"/>
  <c r="E201" i="5"/>
  <c r="E197" i="5"/>
  <c r="E193" i="5"/>
  <c r="E189" i="5"/>
  <c r="E185" i="5"/>
  <c r="E181" i="5"/>
  <c r="E177" i="5"/>
  <c r="E173" i="5"/>
  <c r="E169" i="5"/>
  <c r="E165" i="5"/>
  <c r="E161" i="5"/>
  <c r="E157" i="5"/>
  <c r="E153" i="5"/>
  <c r="E149" i="5"/>
  <c r="E145" i="5"/>
  <c r="E141" i="5"/>
  <c r="E137" i="5"/>
  <c r="E133" i="5"/>
  <c r="E129" i="5"/>
  <c r="E125" i="5"/>
  <c r="E121" i="5"/>
  <c r="E117" i="5"/>
  <c r="E113" i="5"/>
  <c r="E109" i="5"/>
  <c r="E105" i="5"/>
  <c r="E101" i="5"/>
  <c r="E97" i="5"/>
  <c r="E93" i="5"/>
  <c r="E89" i="5"/>
  <c r="E85" i="5"/>
  <c r="E81" i="5"/>
  <c r="E77" i="5"/>
  <c r="E73" i="5"/>
  <c r="E69" i="5"/>
  <c r="E65" i="5"/>
  <c r="E61" i="5"/>
  <c r="E57" i="5"/>
  <c r="E53" i="5"/>
  <c r="E49" i="5"/>
  <c r="E45" i="5"/>
  <c r="E41" i="5"/>
  <c r="E37" i="5"/>
  <c r="E33" i="5"/>
  <c r="E29" i="5"/>
  <c r="E25" i="5"/>
  <c r="E21" i="5"/>
  <c r="E17" i="5"/>
  <c r="E13" i="5"/>
  <c r="E9" i="5"/>
  <c r="E300" i="5"/>
  <c r="E296" i="5"/>
  <c r="E292" i="5"/>
  <c r="E288" i="5"/>
  <c r="E284" i="5"/>
  <c r="E280" i="5"/>
  <c r="E276" i="5"/>
  <c r="E272" i="5"/>
  <c r="E268" i="5"/>
  <c r="E264" i="5"/>
  <c r="E260" i="5"/>
  <c r="E256" i="5"/>
  <c r="E252" i="5"/>
  <c r="E248" i="5"/>
  <c r="E244" i="5"/>
  <c r="E240" i="5"/>
  <c r="E236" i="5"/>
  <c r="E232" i="5"/>
  <c r="E228" i="5"/>
  <c r="E224" i="5"/>
  <c r="E220" i="5"/>
  <c r="E216" i="5"/>
  <c r="E212" i="5"/>
  <c r="E208" i="5"/>
  <c r="E204" i="5"/>
  <c r="E200" i="5"/>
  <c r="E196" i="5"/>
  <c r="E192" i="5"/>
  <c r="E188" i="5"/>
  <c r="E184" i="5"/>
  <c r="E180" i="5"/>
  <c r="E176" i="5"/>
  <c r="E172" i="5"/>
  <c r="E168" i="5"/>
  <c r="E164" i="5"/>
  <c r="E160" i="5"/>
  <c r="E156" i="5"/>
  <c r="E152" i="5"/>
  <c r="E148" i="5"/>
  <c r="E144" i="5"/>
  <c r="E140" i="5"/>
  <c r="E136" i="5"/>
  <c r="E132" i="5"/>
  <c r="E128" i="5"/>
  <c r="E124" i="5"/>
  <c r="E120" i="5"/>
  <c r="E116" i="5"/>
  <c r="E112" i="5"/>
  <c r="E108" i="5"/>
  <c r="E104" i="5"/>
  <c r="E100" i="5"/>
  <c r="E96" i="5"/>
  <c r="E92" i="5"/>
  <c r="E88" i="5"/>
  <c r="E84" i="5"/>
  <c r="E80" i="5"/>
  <c r="E76" i="5"/>
  <c r="E72" i="5"/>
  <c r="E68" i="5"/>
  <c r="E64" i="5"/>
  <c r="E60" i="5"/>
  <c r="E56" i="5"/>
  <c r="E52" i="5"/>
  <c r="E48" i="5"/>
  <c r="E44" i="5"/>
  <c r="E40" i="5"/>
  <c r="E36" i="5"/>
  <c r="E32" i="5"/>
  <c r="E28" i="5"/>
  <c r="E24" i="5"/>
  <c r="E20" i="5"/>
  <c r="E16" i="5"/>
  <c r="E12" i="5"/>
  <c r="E8" i="5"/>
  <c r="E5" i="5"/>
  <c r="E331" i="5"/>
  <c r="E327" i="5"/>
  <c r="E323" i="5"/>
  <c r="E319" i="5"/>
  <c r="E315" i="5"/>
  <c r="E311" i="5"/>
  <c r="E307" i="5"/>
  <c r="E303" i="5"/>
  <c r="E299" i="5"/>
  <c r="E295" i="5"/>
  <c r="E291" i="5"/>
  <c r="E287" i="5"/>
  <c r="E283" i="5"/>
  <c r="E279" i="5"/>
  <c r="E275" i="5"/>
  <c r="E271" i="5"/>
  <c r="E267" i="5"/>
  <c r="E263" i="5"/>
  <c r="E259" i="5"/>
  <c r="E255" i="5"/>
  <c r="E251" i="5"/>
  <c r="E247" i="5"/>
  <c r="E243" i="5"/>
  <c r="E239" i="5"/>
  <c r="E235" i="5"/>
  <c r="E231" i="5"/>
  <c r="E227" i="5"/>
  <c r="E223" i="5"/>
  <c r="E219" i="5"/>
  <c r="E215" i="5"/>
  <c r="E211" i="5"/>
  <c r="E207" i="5"/>
  <c r="E203" i="5"/>
  <c r="E199" i="5"/>
  <c r="E195" i="5"/>
  <c r="E191" i="5"/>
  <c r="E187" i="5"/>
  <c r="E183" i="5"/>
  <c r="E179" i="5"/>
  <c r="E175" i="5"/>
  <c r="E171" i="5"/>
  <c r="E167" i="5"/>
  <c r="E163" i="5"/>
  <c r="E159" i="5"/>
  <c r="E155" i="5"/>
  <c r="E151" i="5"/>
  <c r="E147" i="5"/>
  <c r="E143" i="5"/>
  <c r="E139" i="5"/>
  <c r="E135" i="5"/>
  <c r="E131" i="5"/>
  <c r="E127" i="5"/>
  <c r="E123" i="5"/>
  <c r="E119" i="5"/>
  <c r="E115" i="5"/>
  <c r="E111" i="5"/>
  <c r="E107" i="5"/>
  <c r="E103" i="5"/>
  <c r="E99" i="5"/>
  <c r="E95" i="5"/>
  <c r="E91" i="5"/>
  <c r="E87" i="5"/>
  <c r="E83" i="5"/>
  <c r="E79" i="5"/>
  <c r="E75" i="5"/>
  <c r="E71" i="5"/>
  <c r="E67" i="5"/>
  <c r="E63" i="5"/>
  <c r="E59" i="5"/>
  <c r="E55" i="5"/>
  <c r="E51" i="5"/>
  <c r="E47" i="5"/>
  <c r="E43" i="5"/>
  <c r="E39" i="5"/>
  <c r="E35" i="5"/>
  <c r="E31" i="5"/>
  <c r="E27" i="5"/>
  <c r="E23" i="5"/>
  <c r="E19" i="5"/>
  <c r="E15" i="5"/>
  <c r="E11" i="5"/>
  <c r="E5" i="4"/>
  <c r="E4" i="4"/>
  <c r="E3" i="4"/>
  <c r="H4" i="4"/>
  <c r="H3" i="4"/>
  <c r="H5" i="4"/>
  <c r="H322" i="5"/>
  <c r="H306" i="5"/>
  <c r="H298" i="5"/>
  <c r="H290" i="5"/>
  <c r="H274" i="5"/>
  <c r="H266" i="5"/>
  <c r="H258" i="5"/>
  <c r="H250" i="5"/>
  <c r="H242" i="5"/>
  <c r="H234" i="5"/>
  <c r="H226" i="5"/>
  <c r="H218" i="5"/>
  <c r="H210" i="5"/>
  <c r="H202" i="5"/>
  <c r="H194" i="5"/>
  <c r="H186" i="5"/>
  <c r="H178" i="5"/>
  <c r="H170" i="5"/>
  <c r="H162" i="5"/>
  <c r="H154" i="5"/>
  <c r="H146" i="5"/>
  <c r="H138" i="5"/>
  <c r="H130" i="5"/>
  <c r="H122" i="5"/>
  <c r="H114" i="5"/>
  <c r="H106" i="5"/>
  <c r="H98" i="5"/>
  <c r="H90" i="5"/>
  <c r="H82" i="5"/>
  <c r="H74" i="5"/>
  <c r="H66" i="5"/>
  <c r="H58" i="5"/>
  <c r="H50" i="5"/>
  <c r="H42" i="5"/>
  <c r="H34" i="5"/>
  <c r="H26" i="5"/>
  <c r="H314" i="5"/>
  <c r="H282" i="5"/>
  <c r="H16" i="5"/>
  <c r="H332" i="5"/>
  <c r="H324" i="5"/>
  <c r="H316" i="5"/>
  <c r="H308" i="5"/>
  <c r="H300" i="5"/>
  <c r="H292" i="5"/>
  <c r="H284" i="5"/>
  <c r="H276" i="5"/>
  <c r="H268" i="5"/>
  <c r="H260" i="5"/>
  <c r="H252" i="5"/>
  <c r="H244" i="5"/>
  <c r="H236" i="5"/>
  <c r="H228" i="5"/>
  <c r="H220" i="5"/>
  <c r="H212" i="5"/>
  <c r="H204" i="5"/>
  <c r="H196" i="5"/>
  <c r="H188" i="5"/>
  <c r="H180" i="5"/>
  <c r="H172" i="5"/>
  <c r="H164" i="5"/>
  <c r="H156" i="5"/>
  <c r="H148" i="5"/>
  <c r="H140" i="5"/>
  <c r="H132" i="5"/>
  <c r="H124" i="5"/>
  <c r="H116" i="5"/>
  <c r="H108" i="5"/>
  <c r="H100" i="5"/>
  <c r="H92" i="5"/>
  <c r="H84" i="5"/>
  <c r="H76" i="5"/>
  <c r="H68" i="5"/>
  <c r="H60" i="5"/>
  <c r="H52" i="5"/>
  <c r="H44" i="5"/>
  <c r="H36" i="5"/>
  <c r="H28" i="5"/>
  <c r="H20" i="5"/>
  <c r="H9" i="5"/>
  <c r="H330" i="5"/>
  <c r="H18" i="5"/>
  <c r="H8" i="5"/>
  <c r="H326" i="5"/>
  <c r="H318" i="5"/>
  <c r="H310" i="5"/>
  <c r="H302" i="5"/>
  <c r="H294" i="5"/>
  <c r="H286" i="5"/>
  <c r="H278" i="5"/>
  <c r="H270" i="5"/>
  <c r="H262" i="5"/>
  <c r="H254" i="5"/>
  <c r="H246" i="5"/>
  <c r="H238" i="5"/>
  <c r="H230" i="5"/>
  <c r="H222" i="5"/>
  <c r="H214" i="5"/>
  <c r="H206" i="5"/>
  <c r="H198" i="5"/>
  <c r="H190" i="5"/>
  <c r="H182" i="5"/>
  <c r="H174" i="5"/>
  <c r="H166" i="5"/>
  <c r="H158" i="5"/>
  <c r="H150" i="5"/>
  <c r="H142" i="5"/>
  <c r="H134" i="5"/>
  <c r="H126" i="5"/>
  <c r="H118" i="5"/>
  <c r="H110" i="5"/>
  <c r="H102" i="5"/>
  <c r="H94" i="5"/>
  <c r="H86" i="5"/>
  <c r="H78" i="5"/>
  <c r="H70" i="5"/>
  <c r="H62" i="5"/>
  <c r="H54" i="5"/>
  <c r="H46" i="5"/>
  <c r="H38" i="5"/>
  <c r="H30" i="5"/>
  <c r="H22" i="5"/>
  <c r="H14" i="5"/>
  <c r="H7" i="5"/>
  <c r="H6" i="5"/>
  <c r="H333" i="5"/>
  <c r="H325" i="5"/>
  <c r="H317" i="5"/>
  <c r="H309" i="5"/>
  <c r="H301" i="5"/>
  <c r="H293" i="5"/>
  <c r="H285" i="5"/>
  <c r="H277" i="5"/>
  <c r="H269" i="5"/>
  <c r="H261" i="5"/>
  <c r="H253" i="5"/>
  <c r="H245" i="5"/>
  <c r="H237" i="5"/>
  <c r="H229" i="5"/>
  <c r="H221" i="5"/>
  <c r="H213" i="5"/>
  <c r="H205" i="5"/>
  <c r="H197" i="5"/>
  <c r="H189" i="5"/>
  <c r="H181" i="5"/>
  <c r="H173" i="5"/>
  <c r="H165" i="5"/>
  <c r="H157" i="5"/>
  <c r="H149" i="5"/>
  <c r="H141" i="5"/>
  <c r="H133" i="5"/>
  <c r="H125" i="5"/>
  <c r="H117" i="5"/>
  <c r="H109" i="5"/>
  <c r="H101" i="5"/>
  <c r="H93" i="5"/>
  <c r="H85" i="5"/>
  <c r="H77" i="5"/>
  <c r="H69" i="5"/>
  <c r="H61" i="5"/>
  <c r="H53" i="5"/>
  <c r="H45" i="5"/>
  <c r="H37" i="5"/>
  <c r="H29" i="5"/>
  <c r="H21" i="5"/>
  <c r="H13" i="5"/>
  <c r="H10" i="5"/>
  <c r="H327" i="5"/>
  <c r="H319" i="5"/>
  <c r="H311" i="5"/>
  <c r="H303" i="5"/>
  <c r="H295" i="5"/>
  <c r="H287" i="5"/>
  <c r="H279" i="5"/>
  <c r="H271" i="5"/>
  <c r="H263" i="5"/>
  <c r="H255" i="5"/>
  <c r="H247" i="5"/>
  <c r="H239" i="5"/>
  <c r="H231" i="5"/>
  <c r="H223" i="5"/>
  <c r="H215" i="5"/>
  <c r="H207" i="5"/>
  <c r="H199" i="5"/>
  <c r="H191" i="5"/>
  <c r="H183" i="5"/>
  <c r="H175" i="5"/>
  <c r="H167" i="5"/>
  <c r="H159" i="5"/>
  <c r="H151" i="5"/>
  <c r="H143" i="5"/>
  <c r="H135" i="5"/>
  <c r="H127" i="5"/>
  <c r="H119" i="5"/>
  <c r="H111" i="5"/>
  <c r="H103" i="5"/>
  <c r="H95" i="5"/>
  <c r="H87" i="5"/>
  <c r="H79" i="5"/>
  <c r="H71" i="5"/>
  <c r="H63" i="5"/>
  <c r="H55" i="5"/>
  <c r="H47" i="5"/>
  <c r="H39" i="5"/>
  <c r="H31" i="5"/>
  <c r="H23" i="5"/>
  <c r="H15" i="5"/>
  <c r="H12" i="5"/>
  <c r="H329" i="5"/>
  <c r="H321" i="5"/>
  <c r="H313" i="5"/>
  <c r="H305" i="5"/>
  <c r="H297" i="5"/>
  <c r="H289" i="5"/>
  <c r="H281" i="5"/>
  <c r="H273" i="5"/>
  <c r="H265" i="5"/>
  <c r="H257" i="5"/>
  <c r="H249" i="5"/>
  <c r="H241" i="5"/>
  <c r="H233" i="5"/>
  <c r="H225" i="5"/>
  <c r="H217" i="5"/>
  <c r="H209" i="5"/>
  <c r="H201" i="5"/>
  <c r="H193" i="5"/>
  <c r="H185" i="5"/>
  <c r="H177" i="5"/>
  <c r="H16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1" i="5"/>
  <c r="H33" i="5"/>
  <c r="H25" i="5"/>
  <c r="H17" i="5"/>
  <c r="H331" i="5"/>
  <c r="H323" i="5"/>
  <c r="H315" i="5"/>
  <c r="H307" i="5"/>
  <c r="H299" i="5"/>
  <c r="H291" i="5"/>
  <c r="H283" i="5"/>
  <c r="H275" i="5"/>
  <c r="H267" i="5"/>
  <c r="H259" i="5"/>
  <c r="H251" i="5"/>
  <c r="H243" i="5"/>
  <c r="H235" i="5"/>
  <c r="H227" i="5"/>
  <c r="H219" i="5"/>
  <c r="H211" i="5"/>
  <c r="H203" i="5"/>
  <c r="H195" i="5"/>
  <c r="H187" i="5"/>
  <c r="H179" i="5"/>
  <c r="H171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H19" i="5"/>
  <c r="H11" i="5"/>
  <c r="H328" i="5"/>
  <c r="H320" i="5"/>
  <c r="H312" i="5"/>
  <c r="H304" i="5"/>
  <c r="H296" i="5"/>
  <c r="H288" i="5"/>
  <c r="H280" i="5"/>
  <c r="H272" i="5"/>
  <c r="H264" i="5"/>
  <c r="H256" i="5"/>
  <c r="H248" i="5"/>
  <c r="H240" i="5"/>
  <c r="H232" i="5"/>
  <c r="H224" i="5"/>
  <c r="H216" i="5"/>
  <c r="H208" i="5"/>
  <c r="H200" i="5"/>
  <c r="H192" i="5"/>
  <c r="H184" i="5"/>
  <c r="H176" i="5"/>
  <c r="H168" i="5"/>
  <c r="H160" i="5"/>
  <c r="H152" i="5"/>
  <c r="H144" i="5"/>
  <c r="H136" i="5"/>
  <c r="H128" i="5"/>
  <c r="H120" i="5"/>
  <c r="H112" i="5"/>
  <c r="H104" i="5"/>
  <c r="H96" i="5"/>
  <c r="H88" i="5"/>
  <c r="H80" i="5"/>
  <c r="H72" i="5"/>
  <c r="H64" i="5"/>
  <c r="H56" i="5"/>
  <c r="H48" i="5"/>
  <c r="H40" i="5"/>
  <c r="H32" i="5"/>
  <c r="H24" i="5"/>
  <c r="H3" i="5"/>
  <c r="H4" i="5"/>
  <c r="H5" i="5"/>
  <c r="H1095" i="8"/>
  <c r="H810" i="8"/>
  <c r="H1127" i="8"/>
  <c r="H851" i="8"/>
  <c r="H1063" i="8"/>
  <c r="H746" i="8"/>
  <c r="H1031" i="8"/>
  <c r="H651" i="8"/>
  <c r="H1196" i="8"/>
  <c r="H1188" i="8"/>
  <c r="H1180" i="8"/>
  <c r="H1172" i="8"/>
  <c r="H1164" i="8"/>
  <c r="H1156" i="8"/>
  <c r="H160" i="8"/>
  <c r="H998" i="8"/>
  <c r="H515" i="8"/>
  <c r="H961" i="8"/>
  <c r="H222" i="8"/>
  <c r="H1191" i="8"/>
  <c r="H925" i="8"/>
  <c r="H1159" i="8"/>
  <c r="H1132" i="8"/>
  <c r="H1084" i="8"/>
  <c r="H1036" i="8"/>
  <c r="H988" i="8"/>
  <c r="H940" i="8"/>
  <c r="H908" i="8"/>
  <c r="H892" i="8"/>
  <c r="H876" i="8"/>
  <c r="H860" i="8"/>
  <c r="H844" i="8"/>
  <c r="H796" i="8"/>
  <c r="H780" i="8"/>
  <c r="H764" i="8"/>
  <c r="H748" i="8"/>
  <c r="H732" i="8"/>
  <c r="H716" i="8"/>
  <c r="H700" i="8"/>
  <c r="H684" i="8"/>
  <c r="H668" i="8"/>
  <c r="H652" i="8"/>
  <c r="H636" i="8"/>
  <c r="H620" i="8"/>
  <c r="H604" i="8"/>
  <c r="H588" i="8"/>
  <c r="H572" i="8"/>
  <c r="H556" i="8"/>
  <c r="H540" i="8"/>
  <c r="H524" i="8"/>
  <c r="H508" i="8"/>
  <c r="H492" i="8"/>
  <c r="H476" i="8"/>
  <c r="H460" i="8"/>
  <c r="H444" i="8"/>
  <c r="H428" i="8"/>
  <c r="H1187" i="8"/>
  <c r="H1155" i="8"/>
  <c r="H1123" i="8"/>
  <c r="H1091" i="8"/>
  <c r="H1059" i="8"/>
  <c r="H1027" i="8"/>
  <c r="H993" i="8"/>
  <c r="H957" i="8"/>
  <c r="H920" i="8"/>
  <c r="H883" i="8"/>
  <c r="H847" i="8"/>
  <c r="H806" i="8"/>
  <c r="H736" i="8"/>
  <c r="H635" i="8"/>
  <c r="H497" i="8"/>
  <c r="H1140" i="8"/>
  <c r="H1092" i="8"/>
  <c r="H1044" i="8"/>
  <c r="H996" i="8"/>
  <c r="H948" i="8"/>
  <c r="H916" i="8"/>
  <c r="H900" i="8"/>
  <c r="H884" i="8"/>
  <c r="H868" i="8"/>
  <c r="H852" i="8"/>
  <c r="H836" i="8"/>
  <c r="H788" i="8"/>
  <c r="H772" i="8"/>
  <c r="H756" i="8"/>
  <c r="H740" i="8"/>
  <c r="H724" i="8"/>
  <c r="H708" i="8"/>
  <c r="H692" i="8"/>
  <c r="H676" i="8"/>
  <c r="H660" i="8"/>
  <c r="H644" i="8"/>
  <c r="H628" i="8"/>
  <c r="H612" i="8"/>
  <c r="H596" i="8"/>
  <c r="H580" i="8"/>
  <c r="H564" i="8"/>
  <c r="H548" i="8"/>
  <c r="H532" i="8"/>
  <c r="H516" i="8"/>
  <c r="H500" i="8"/>
  <c r="H484" i="8"/>
  <c r="H468" i="8"/>
  <c r="H452" i="8"/>
  <c r="H436" i="8"/>
  <c r="H420" i="8"/>
  <c r="H797" i="8"/>
  <c r="H815" i="8"/>
  <c r="H730" i="8"/>
  <c r="H1183" i="8"/>
  <c r="H1151" i="8"/>
  <c r="H1119" i="8"/>
  <c r="H1087" i="8"/>
  <c r="H1055" i="8"/>
  <c r="H1023" i="8"/>
  <c r="H989" i="8"/>
  <c r="H952" i="8"/>
  <c r="H915" i="8"/>
  <c r="H879" i="8"/>
  <c r="H842" i="8"/>
  <c r="H801" i="8"/>
  <c r="H726" i="8"/>
  <c r="H622" i="8"/>
  <c r="H477" i="8"/>
  <c r="H32" i="8"/>
  <c r="H1108" i="8"/>
  <c r="H1060" i="8"/>
  <c r="H1020" i="8"/>
  <c r="H972" i="8"/>
  <c r="H820" i="8"/>
  <c r="H1115" i="8"/>
  <c r="H1019" i="8"/>
  <c r="H874" i="8"/>
  <c r="H607" i="8"/>
  <c r="H1175" i="8"/>
  <c r="H1143" i="8"/>
  <c r="H1111" i="8"/>
  <c r="H1079" i="8"/>
  <c r="H1047" i="8"/>
  <c r="H1015" i="8"/>
  <c r="H979" i="8"/>
  <c r="H943" i="8"/>
  <c r="H906" i="8"/>
  <c r="H870" i="8"/>
  <c r="H833" i="8"/>
  <c r="H783" i="8"/>
  <c r="H704" i="8"/>
  <c r="H589" i="8"/>
  <c r="H402" i="8"/>
  <c r="H1124" i="8"/>
  <c r="H1076" i="8"/>
  <c r="H1028" i="8"/>
  <c r="H980" i="8"/>
  <c r="H812" i="8"/>
  <c r="H1083" i="8"/>
  <c r="H984" i="8"/>
  <c r="H838" i="8"/>
  <c r="H440" i="8"/>
  <c r="H1171" i="8"/>
  <c r="H1139" i="8"/>
  <c r="H1107" i="8"/>
  <c r="H1075" i="8"/>
  <c r="H1043" i="8"/>
  <c r="H1011" i="8"/>
  <c r="H975" i="8"/>
  <c r="H938" i="8"/>
  <c r="H902" i="8"/>
  <c r="H865" i="8"/>
  <c r="H829" i="8"/>
  <c r="H774" i="8"/>
  <c r="H694" i="8"/>
  <c r="H570" i="8"/>
  <c r="H374" i="8"/>
  <c r="H1116" i="8"/>
  <c r="H1068" i="8"/>
  <c r="H1012" i="8"/>
  <c r="H964" i="8"/>
  <c r="H924" i="8"/>
  <c r="H804" i="8"/>
  <c r="H1179" i="8"/>
  <c r="H1051" i="8"/>
  <c r="H911" i="8"/>
  <c r="H792" i="8"/>
  <c r="H1199" i="8"/>
  <c r="H1167" i="8"/>
  <c r="H1135" i="8"/>
  <c r="H1103" i="8"/>
  <c r="H1071" i="8"/>
  <c r="H1039" i="8"/>
  <c r="H1007" i="8"/>
  <c r="H970" i="8"/>
  <c r="H934" i="8"/>
  <c r="H897" i="8"/>
  <c r="H861" i="8"/>
  <c r="H824" i="8"/>
  <c r="H765" i="8"/>
  <c r="H680" i="8"/>
  <c r="H552" i="8"/>
  <c r="H330" i="8"/>
  <c r="H1148" i="8"/>
  <c r="H1100" i="8"/>
  <c r="H1052" i="8"/>
  <c r="H1004" i="8"/>
  <c r="H956" i="8"/>
  <c r="H932" i="8"/>
  <c r="H828" i="8"/>
  <c r="H1147" i="8"/>
  <c r="H947" i="8"/>
  <c r="H714" i="8"/>
  <c r="H1195" i="8"/>
  <c r="H1163" i="8"/>
  <c r="H1131" i="8"/>
  <c r="H1099" i="8"/>
  <c r="H1067" i="8"/>
  <c r="H1035" i="8"/>
  <c r="H1002" i="8"/>
  <c r="H966" i="8"/>
  <c r="H929" i="8"/>
  <c r="H893" i="8"/>
  <c r="H856" i="8"/>
  <c r="H819" i="8"/>
  <c r="H755" i="8"/>
  <c r="H666" i="8"/>
  <c r="H534" i="8"/>
  <c r="H270" i="8"/>
  <c r="H412" i="8"/>
  <c r="H404" i="8"/>
  <c r="H396" i="8"/>
  <c r="H388" i="8"/>
  <c r="H380" i="8"/>
  <c r="H372" i="8"/>
  <c r="H364" i="8"/>
  <c r="H731" i="8"/>
  <c r="H739" i="8"/>
  <c r="H593" i="8"/>
  <c r="H602" i="8"/>
  <c r="H485" i="8"/>
  <c r="H678" i="8"/>
  <c r="H687" i="8"/>
  <c r="H1194" i="8"/>
  <c r="H1186" i="8"/>
  <c r="H1178" i="8"/>
  <c r="H1170" i="8"/>
  <c r="H1162" i="8"/>
  <c r="H1154" i="8"/>
  <c r="H1146" i="8"/>
  <c r="H1138" i="8"/>
  <c r="H1130" i="8"/>
  <c r="H1122" i="8"/>
  <c r="H1114" i="8"/>
  <c r="H1106" i="8"/>
  <c r="H1098" i="8"/>
  <c r="H1090" i="8"/>
  <c r="H1082" i="8"/>
  <c r="H1074" i="8"/>
  <c r="H1066" i="8"/>
  <c r="H1058" i="8"/>
  <c r="H1050" i="8"/>
  <c r="H1042" i="8"/>
  <c r="H1034" i="8"/>
  <c r="H1026" i="8"/>
  <c r="H1018" i="8"/>
  <c r="H1010" i="8"/>
  <c r="H1001" i="8"/>
  <c r="H992" i="8"/>
  <c r="H983" i="8"/>
  <c r="H974" i="8"/>
  <c r="H965" i="8"/>
  <c r="H955" i="8"/>
  <c r="H946" i="8"/>
  <c r="H937" i="8"/>
  <c r="H928" i="8"/>
  <c r="H919" i="8"/>
  <c r="H910" i="8"/>
  <c r="H901" i="8"/>
  <c r="H891" i="8"/>
  <c r="H882" i="8"/>
  <c r="H873" i="8"/>
  <c r="H864" i="8"/>
  <c r="H855" i="8"/>
  <c r="H846" i="8"/>
  <c r="H837" i="8"/>
  <c r="H827" i="8"/>
  <c r="H818" i="8"/>
  <c r="H809" i="8"/>
  <c r="H800" i="8"/>
  <c r="H791" i="8"/>
  <c r="H782" i="8"/>
  <c r="H773" i="8"/>
  <c r="H763" i="8"/>
  <c r="H754" i="8"/>
  <c r="H745" i="8"/>
  <c r="H735" i="8"/>
  <c r="H725" i="8"/>
  <c r="H713" i="8"/>
  <c r="H703" i="8"/>
  <c r="H693" i="8"/>
  <c r="H679" i="8"/>
  <c r="H663" i="8"/>
  <c r="H649" i="8"/>
  <c r="H634" i="8"/>
  <c r="H621" i="8"/>
  <c r="H606" i="8"/>
  <c r="H587" i="8"/>
  <c r="H569" i="8"/>
  <c r="H551" i="8"/>
  <c r="H533" i="8"/>
  <c r="H514" i="8"/>
  <c r="H496" i="8"/>
  <c r="H466" i="8"/>
  <c r="H438" i="8"/>
  <c r="H401" i="8"/>
  <c r="H365" i="8"/>
  <c r="H328" i="8"/>
  <c r="H266" i="8"/>
  <c r="H206" i="8"/>
  <c r="H158" i="8"/>
  <c r="H24" i="8"/>
  <c r="H1201" i="8"/>
  <c r="H1193" i="8"/>
  <c r="H1185" i="8"/>
  <c r="H1177" i="8"/>
  <c r="H1169" i="8"/>
  <c r="H1161" i="8"/>
  <c r="H1153" i="8"/>
  <c r="H1145" i="8"/>
  <c r="H1137" i="8"/>
  <c r="H1129" i="8"/>
  <c r="H1121" i="8"/>
  <c r="H1113" i="8"/>
  <c r="H1105" i="8"/>
  <c r="H1097" i="8"/>
  <c r="H1089" i="8"/>
  <c r="H1081" i="8"/>
  <c r="H1073" i="8"/>
  <c r="H1065" i="8"/>
  <c r="H1057" i="8"/>
  <c r="H1049" i="8"/>
  <c r="H1041" i="8"/>
  <c r="H1033" i="8"/>
  <c r="H1025" i="8"/>
  <c r="H1017" i="8"/>
  <c r="H1009" i="8"/>
  <c r="H1000" i="8"/>
  <c r="H991" i="8"/>
  <c r="H982" i="8"/>
  <c r="H973" i="8"/>
  <c r="H963" i="8"/>
  <c r="H954" i="8"/>
  <c r="H945" i="8"/>
  <c r="H936" i="8"/>
  <c r="H927" i="8"/>
  <c r="H918" i="8"/>
  <c r="H909" i="8"/>
  <c r="H899" i="8"/>
  <c r="H890" i="8"/>
  <c r="H881" i="8"/>
  <c r="H872" i="8"/>
  <c r="H863" i="8"/>
  <c r="H854" i="8"/>
  <c r="H845" i="8"/>
  <c r="H835" i="8"/>
  <c r="H826" i="8"/>
  <c r="H817" i="8"/>
  <c r="H808" i="8"/>
  <c r="H799" i="8"/>
  <c r="H790" i="8"/>
  <c r="H781" i="8"/>
  <c r="H771" i="8"/>
  <c r="H762" i="8"/>
  <c r="H753" i="8"/>
  <c r="H744" i="8"/>
  <c r="H734" i="8"/>
  <c r="H722" i="8"/>
  <c r="H712" i="8"/>
  <c r="H702" i="8"/>
  <c r="H690" i="8"/>
  <c r="H677" i="8"/>
  <c r="H662" i="8"/>
  <c r="H648" i="8"/>
  <c r="H633" i="8"/>
  <c r="H617" i="8"/>
  <c r="H603" i="8"/>
  <c r="H585" i="8"/>
  <c r="H567" i="8"/>
  <c r="H549" i="8"/>
  <c r="H530" i="8"/>
  <c r="H512" i="8"/>
  <c r="H494" i="8"/>
  <c r="H465" i="8"/>
  <c r="H429" i="8"/>
  <c r="H400" i="8"/>
  <c r="H362" i="8"/>
  <c r="H312" i="8"/>
  <c r="H264" i="8"/>
  <c r="H202" i="8"/>
  <c r="H142" i="8"/>
  <c r="H16" i="8"/>
  <c r="H1200" i="8"/>
  <c r="H1192" i="8"/>
  <c r="H1184" i="8"/>
  <c r="H1176" i="8"/>
  <c r="H1168" i="8"/>
  <c r="H1160" i="8"/>
  <c r="H1152" i="8"/>
  <c r="H1144" i="8"/>
  <c r="H1136" i="8"/>
  <c r="H1128" i="8"/>
  <c r="H1120" i="8"/>
  <c r="H1112" i="8"/>
  <c r="H1104" i="8"/>
  <c r="H1096" i="8"/>
  <c r="H1088" i="8"/>
  <c r="H1080" i="8"/>
  <c r="H1072" i="8"/>
  <c r="H1064" i="8"/>
  <c r="H1056" i="8"/>
  <c r="H1048" i="8"/>
  <c r="H1040" i="8"/>
  <c r="H1032" i="8"/>
  <c r="H1024" i="8"/>
  <c r="H1016" i="8"/>
  <c r="H1008" i="8"/>
  <c r="H999" i="8"/>
  <c r="H990" i="8"/>
  <c r="H981" i="8"/>
  <c r="H971" i="8"/>
  <c r="H962" i="8"/>
  <c r="H953" i="8"/>
  <c r="H944" i="8"/>
  <c r="H935" i="8"/>
  <c r="H926" i="8"/>
  <c r="H917" i="8"/>
  <c r="H907" i="8"/>
  <c r="H898" i="8"/>
  <c r="H889" i="8"/>
  <c r="H880" i="8"/>
  <c r="H871" i="8"/>
  <c r="H862" i="8"/>
  <c r="H853" i="8"/>
  <c r="H843" i="8"/>
  <c r="H834" i="8"/>
  <c r="H825" i="8"/>
  <c r="H816" i="8"/>
  <c r="H807" i="8"/>
  <c r="H798" i="8"/>
  <c r="H789" i="8"/>
  <c r="H779" i="8"/>
  <c r="H770" i="8"/>
  <c r="H761" i="8"/>
  <c r="H752" i="8"/>
  <c r="H743" i="8"/>
  <c r="H733" i="8"/>
  <c r="H721" i="8"/>
  <c r="H711" i="8"/>
  <c r="H701" i="8"/>
  <c r="H689" i="8"/>
  <c r="H675" i="8"/>
  <c r="H661" i="8"/>
  <c r="H645" i="8"/>
  <c r="H631" i="8"/>
  <c r="H616" i="8"/>
  <c r="H599" i="8"/>
  <c r="H581" i="8"/>
  <c r="H562" i="8"/>
  <c r="H544" i="8"/>
  <c r="H526" i="8"/>
  <c r="H507" i="8"/>
  <c r="H489" i="8"/>
  <c r="H464" i="8"/>
  <c r="H426" i="8"/>
  <c r="H390" i="8"/>
  <c r="H361" i="8"/>
  <c r="H310" i="8"/>
  <c r="H248" i="8"/>
  <c r="H200" i="8"/>
  <c r="H138" i="8"/>
  <c r="H720" i="8"/>
  <c r="H710" i="8"/>
  <c r="H698" i="8"/>
  <c r="H688" i="8"/>
  <c r="H672" i="8"/>
  <c r="H658" i="8"/>
  <c r="H643" i="8"/>
  <c r="H630" i="8"/>
  <c r="H615" i="8"/>
  <c r="H598" i="8"/>
  <c r="H579" i="8"/>
  <c r="H561" i="8"/>
  <c r="H543" i="8"/>
  <c r="H525" i="8"/>
  <c r="H506" i="8"/>
  <c r="H488" i="8"/>
  <c r="H454" i="8"/>
  <c r="H425" i="8"/>
  <c r="H389" i="8"/>
  <c r="H352" i="8"/>
  <c r="H306" i="8"/>
  <c r="H246" i="8"/>
  <c r="H184" i="8"/>
  <c r="H136" i="8"/>
  <c r="H787" i="8"/>
  <c r="H778" i="8"/>
  <c r="H769" i="8"/>
  <c r="H760" i="8"/>
  <c r="H751" i="8"/>
  <c r="H742" i="8"/>
  <c r="H1198" i="8"/>
  <c r="H1190" i="8"/>
  <c r="H1182" i="8"/>
  <c r="H1174" i="8"/>
  <c r="H1166" i="8"/>
  <c r="H1158" i="8"/>
  <c r="H1150" i="8"/>
  <c r="H1142" i="8"/>
  <c r="H1134" i="8"/>
  <c r="H1126" i="8"/>
  <c r="H1118" i="8"/>
  <c r="H1110" i="8"/>
  <c r="H1102" i="8"/>
  <c r="H1094" i="8"/>
  <c r="H1086" i="8"/>
  <c r="H1078" i="8"/>
  <c r="H1070" i="8"/>
  <c r="H1062" i="8"/>
  <c r="H1054" i="8"/>
  <c r="H1046" i="8"/>
  <c r="H1038" i="8"/>
  <c r="H1030" i="8"/>
  <c r="H1022" i="8"/>
  <c r="H1014" i="8"/>
  <c r="H1006" i="8"/>
  <c r="H997" i="8"/>
  <c r="H987" i="8"/>
  <c r="H978" i="8"/>
  <c r="H969" i="8"/>
  <c r="H960" i="8"/>
  <c r="H951" i="8"/>
  <c r="H942" i="8"/>
  <c r="H933" i="8"/>
  <c r="H923" i="8"/>
  <c r="H914" i="8"/>
  <c r="H905" i="8"/>
  <c r="H896" i="8"/>
  <c r="H887" i="8"/>
  <c r="H878" i="8"/>
  <c r="H869" i="8"/>
  <c r="H859" i="8"/>
  <c r="H850" i="8"/>
  <c r="H841" i="8"/>
  <c r="H832" i="8"/>
  <c r="H823" i="8"/>
  <c r="H814" i="8"/>
  <c r="H805" i="8"/>
  <c r="H795" i="8"/>
  <c r="H786" i="8"/>
  <c r="H777" i="8"/>
  <c r="H768" i="8"/>
  <c r="H759" i="8"/>
  <c r="H750" i="8"/>
  <c r="H741" i="8"/>
  <c r="H729" i="8"/>
  <c r="H719" i="8"/>
  <c r="H709" i="8"/>
  <c r="H697" i="8"/>
  <c r="H686" i="8"/>
  <c r="H671" i="8"/>
  <c r="H657" i="8"/>
  <c r="H642" i="8"/>
  <c r="H626" i="8"/>
  <c r="H613" i="8"/>
  <c r="H597" i="8"/>
  <c r="H578" i="8"/>
  <c r="H560" i="8"/>
  <c r="H542" i="8"/>
  <c r="H523" i="8"/>
  <c r="H505" i="8"/>
  <c r="H487" i="8"/>
  <c r="H453" i="8"/>
  <c r="H416" i="8"/>
  <c r="H386" i="8"/>
  <c r="H350" i="8"/>
  <c r="H290" i="8"/>
  <c r="H242" i="8"/>
  <c r="H182" i="8"/>
  <c r="H96" i="8"/>
  <c r="H1197" i="8"/>
  <c r="H1181" i="8"/>
  <c r="H1173" i="8"/>
  <c r="H1165" i="8"/>
  <c r="H1157" i="8"/>
  <c r="H1149" i="8"/>
  <c r="H1141" i="8"/>
  <c r="H1133" i="8"/>
  <c r="H1125" i="8"/>
  <c r="H1117" i="8"/>
  <c r="H1109" i="8"/>
  <c r="H1101" i="8"/>
  <c r="H1093" i="8"/>
  <c r="H1085" i="8"/>
  <c r="H1077" i="8"/>
  <c r="H1069" i="8"/>
  <c r="H1061" i="8"/>
  <c r="H1053" i="8"/>
  <c r="H1045" i="8"/>
  <c r="H1037" i="8"/>
  <c r="H1029" i="8"/>
  <c r="H1021" i="8"/>
  <c r="H1013" i="8"/>
  <c r="H1005" i="8"/>
  <c r="H995" i="8"/>
  <c r="H986" i="8"/>
  <c r="H977" i="8"/>
  <c r="H968" i="8"/>
  <c r="H959" i="8"/>
  <c r="H950" i="8"/>
  <c r="H941" i="8"/>
  <c r="H931" i="8"/>
  <c r="H922" i="8"/>
  <c r="H913" i="8"/>
  <c r="H904" i="8"/>
  <c r="H895" i="8"/>
  <c r="H886" i="8"/>
  <c r="H877" i="8"/>
  <c r="H867" i="8"/>
  <c r="H858" i="8"/>
  <c r="H849" i="8"/>
  <c r="H840" i="8"/>
  <c r="H831" i="8"/>
  <c r="H822" i="8"/>
  <c r="H813" i="8"/>
  <c r="H803" i="8"/>
  <c r="H794" i="8"/>
  <c r="H785" i="8"/>
  <c r="H776" i="8"/>
  <c r="H767" i="8"/>
  <c r="H758" i="8"/>
  <c r="H749" i="8"/>
  <c r="H738" i="8"/>
  <c r="H728" i="8"/>
  <c r="H718" i="8"/>
  <c r="H706" i="8"/>
  <c r="H696" i="8"/>
  <c r="H685" i="8"/>
  <c r="H670" i="8"/>
  <c r="H654" i="8"/>
  <c r="H640" i="8"/>
  <c r="H625" i="8"/>
  <c r="H611" i="8"/>
  <c r="H594" i="8"/>
  <c r="H576" i="8"/>
  <c r="H558" i="8"/>
  <c r="H539" i="8"/>
  <c r="H521" i="8"/>
  <c r="H503" i="8"/>
  <c r="H480" i="8"/>
  <c r="H450" i="8"/>
  <c r="H414" i="8"/>
  <c r="H377" i="8"/>
  <c r="H349" i="8"/>
  <c r="H288" i="8"/>
  <c r="H226" i="8"/>
  <c r="H178" i="8"/>
  <c r="H88" i="8"/>
  <c r="H1189" i="8"/>
  <c r="H1003" i="8"/>
  <c r="H994" i="8"/>
  <c r="H985" i="8"/>
  <c r="H976" i="8"/>
  <c r="H967" i="8"/>
  <c r="H958" i="8"/>
  <c r="H949" i="8"/>
  <c r="H939" i="8"/>
  <c r="H930" i="8"/>
  <c r="H921" i="8"/>
  <c r="H912" i="8"/>
  <c r="H903" i="8"/>
  <c r="H894" i="8"/>
  <c r="H885" i="8"/>
  <c r="H875" i="8"/>
  <c r="H866" i="8"/>
  <c r="H857" i="8"/>
  <c r="H848" i="8"/>
  <c r="H839" i="8"/>
  <c r="H830" i="8"/>
  <c r="H821" i="8"/>
  <c r="H811" i="8"/>
  <c r="H802" i="8"/>
  <c r="H793" i="8"/>
  <c r="H784" i="8"/>
  <c r="H775" i="8"/>
  <c r="H766" i="8"/>
  <c r="H757" i="8"/>
  <c r="H747" i="8"/>
  <c r="H737" i="8"/>
  <c r="H727" i="8"/>
  <c r="H717" i="8"/>
  <c r="H705" i="8"/>
  <c r="H695" i="8"/>
  <c r="H681" i="8"/>
  <c r="H667" i="8"/>
  <c r="H653" i="8"/>
  <c r="H639" i="8"/>
  <c r="H624" i="8"/>
  <c r="H608" i="8"/>
  <c r="H590" i="8"/>
  <c r="H571" i="8"/>
  <c r="H553" i="8"/>
  <c r="H535" i="8"/>
  <c r="H517" i="8"/>
  <c r="H498" i="8"/>
  <c r="H478" i="8"/>
  <c r="H441" i="8"/>
  <c r="H413" i="8"/>
  <c r="H376" i="8"/>
  <c r="H334" i="8"/>
  <c r="H286" i="8"/>
  <c r="H224" i="8"/>
  <c r="H162" i="8"/>
  <c r="H80" i="8"/>
  <c r="H356" i="8"/>
  <c r="H348" i="8"/>
  <c r="H340" i="8"/>
  <c r="H332" i="8"/>
  <c r="H324" i="8"/>
  <c r="H316" i="8"/>
  <c r="H308" i="8"/>
  <c r="H300" i="8"/>
  <c r="H292" i="8"/>
  <c r="H284" i="8"/>
  <c r="H276" i="8"/>
  <c r="H268" i="8"/>
  <c r="H260" i="8"/>
  <c r="H252" i="8"/>
  <c r="H244" i="8"/>
  <c r="H236" i="8"/>
  <c r="H228" i="8"/>
  <c r="H220" i="8"/>
  <c r="H212" i="8"/>
  <c r="H204" i="8"/>
  <c r="H196" i="8"/>
  <c r="H188" i="8"/>
  <c r="H180" i="8"/>
  <c r="H172" i="8"/>
  <c r="H164" i="8"/>
  <c r="H156" i="8"/>
  <c r="H148" i="8"/>
  <c r="H140" i="8"/>
  <c r="H132" i="8"/>
  <c r="H124" i="8"/>
  <c r="H116" i="8"/>
  <c r="H108" i="8"/>
  <c r="H100" i="8"/>
  <c r="H92" i="8"/>
  <c r="H84" i="8"/>
  <c r="H76" i="8"/>
  <c r="H68" i="8"/>
  <c r="H60" i="8"/>
  <c r="H52" i="8"/>
  <c r="H44" i="8"/>
  <c r="H36" i="8"/>
  <c r="H28" i="8"/>
  <c r="H20" i="8"/>
  <c r="H9" i="8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21" i="8"/>
  <c r="H129" i="8"/>
  <c r="H137" i="8"/>
  <c r="H145" i="8"/>
  <c r="H153" i="8"/>
  <c r="H161" i="8"/>
  <c r="H169" i="8"/>
  <c r="H177" i="8"/>
  <c r="H185" i="8"/>
  <c r="H193" i="8"/>
  <c r="H201" i="8"/>
  <c r="H209" i="8"/>
  <c r="H217" i="8"/>
  <c r="H225" i="8"/>
  <c r="H233" i="8"/>
  <c r="H241" i="8"/>
  <c r="H249" i="8"/>
  <c r="H257" i="8"/>
  <c r="H265" i="8"/>
  <c r="H273" i="8"/>
  <c r="H281" i="8"/>
  <c r="H289" i="8"/>
  <c r="H297" i="8"/>
  <c r="H305" i="8"/>
  <c r="H313" i="8"/>
  <c r="H321" i="8"/>
  <c r="H329" i="8"/>
  <c r="H337" i="8"/>
  <c r="H345" i="8"/>
  <c r="H10" i="8"/>
  <c r="H18" i="8"/>
  <c r="H26" i="8"/>
  <c r="H34" i="8"/>
  <c r="H42" i="8"/>
  <c r="H50" i="8"/>
  <c r="H58" i="8"/>
  <c r="H66" i="8"/>
  <c r="H74" i="8"/>
  <c r="H82" i="8"/>
  <c r="H90" i="8"/>
  <c r="H98" i="8"/>
  <c r="H106" i="8"/>
  <c r="H114" i="8"/>
  <c r="H122" i="8"/>
  <c r="H130" i="8"/>
  <c r="H11" i="8"/>
  <c r="H19" i="8"/>
  <c r="H27" i="8"/>
  <c r="H35" i="8"/>
  <c r="H43" i="8"/>
  <c r="H51" i="8"/>
  <c r="H59" i="8"/>
  <c r="H67" i="8"/>
  <c r="H75" i="8"/>
  <c r="H83" i="8"/>
  <c r="H91" i="8"/>
  <c r="H99" i="8"/>
  <c r="H107" i="8"/>
  <c r="H115" i="8"/>
  <c r="H123" i="8"/>
  <c r="H131" i="8"/>
  <c r="H139" i="8"/>
  <c r="H147" i="8"/>
  <c r="H155" i="8"/>
  <c r="H163" i="8"/>
  <c r="H171" i="8"/>
  <c r="H179" i="8"/>
  <c r="H187" i="8"/>
  <c r="H195" i="8"/>
  <c r="H203" i="8"/>
  <c r="H211" i="8"/>
  <c r="H219" i="8"/>
  <c r="H227" i="8"/>
  <c r="H235" i="8"/>
  <c r="H243" i="8"/>
  <c r="H251" i="8"/>
  <c r="H259" i="8"/>
  <c r="H267" i="8"/>
  <c r="H275" i="8"/>
  <c r="H283" i="8"/>
  <c r="H291" i="8"/>
  <c r="H299" i="8"/>
  <c r="H307" i="8"/>
  <c r="H315" i="8"/>
  <c r="H323" i="8"/>
  <c r="H331" i="8"/>
  <c r="H339" i="8"/>
  <c r="H347" i="8"/>
  <c r="H355" i="8"/>
  <c r="H363" i="8"/>
  <c r="H371" i="8"/>
  <c r="H379" i="8"/>
  <c r="H387" i="8"/>
  <c r="H395" i="8"/>
  <c r="H403" i="8"/>
  <c r="H411" i="8"/>
  <c r="H419" i="8"/>
  <c r="H427" i="8"/>
  <c r="H435" i="8"/>
  <c r="H443" i="8"/>
  <c r="H451" i="8"/>
  <c r="H459" i="8"/>
  <c r="H467" i="8"/>
  <c r="H475" i="8"/>
  <c r="H12" i="8"/>
  <c r="H13" i="8"/>
  <c r="H21" i="8"/>
  <c r="H29" i="8"/>
  <c r="H37" i="8"/>
  <c r="H45" i="8"/>
  <c r="H53" i="8"/>
  <c r="H61" i="8"/>
  <c r="H69" i="8"/>
  <c r="H77" i="8"/>
  <c r="H85" i="8"/>
  <c r="H93" i="8"/>
  <c r="H101" i="8"/>
  <c r="H109" i="8"/>
  <c r="H117" i="8"/>
  <c r="H125" i="8"/>
  <c r="H133" i="8"/>
  <c r="H141" i="8"/>
  <c r="H149" i="8"/>
  <c r="H157" i="8"/>
  <c r="H165" i="8"/>
  <c r="H173" i="8"/>
  <c r="H181" i="8"/>
  <c r="H189" i="8"/>
  <c r="H197" i="8"/>
  <c r="H205" i="8"/>
  <c r="H213" i="8"/>
  <c r="H221" i="8"/>
  <c r="H229" i="8"/>
  <c r="H237" i="8"/>
  <c r="H245" i="8"/>
  <c r="H253" i="8"/>
  <c r="H261" i="8"/>
  <c r="H269" i="8"/>
  <c r="H277" i="8"/>
  <c r="H285" i="8"/>
  <c r="H293" i="8"/>
  <c r="H301" i="8"/>
  <c r="H309" i="8"/>
  <c r="H317" i="8"/>
  <c r="H325" i="8"/>
  <c r="H333" i="8"/>
  <c r="H341" i="8"/>
  <c r="H6" i="8"/>
  <c r="H14" i="8"/>
  <c r="H22" i="8"/>
  <c r="H30" i="8"/>
  <c r="H38" i="8"/>
  <c r="H46" i="8"/>
  <c r="H54" i="8"/>
  <c r="H62" i="8"/>
  <c r="H70" i="8"/>
  <c r="H78" i="8"/>
  <c r="H86" i="8"/>
  <c r="H94" i="8"/>
  <c r="H102" i="8"/>
  <c r="H110" i="8"/>
  <c r="H118" i="8"/>
  <c r="H126" i="8"/>
  <c r="H7" i="8"/>
  <c r="H15" i="8"/>
  <c r="H23" i="8"/>
  <c r="H31" i="8"/>
  <c r="H39" i="8"/>
  <c r="H47" i="8"/>
  <c r="H55" i="8"/>
  <c r="H63" i="8"/>
  <c r="H71" i="8"/>
  <c r="H79" i="8"/>
  <c r="H87" i="8"/>
  <c r="H95" i="8"/>
  <c r="H103" i="8"/>
  <c r="H111" i="8"/>
  <c r="H119" i="8"/>
  <c r="H127" i="8"/>
  <c r="H135" i="8"/>
  <c r="H143" i="8"/>
  <c r="H151" i="8"/>
  <c r="H159" i="8"/>
  <c r="H167" i="8"/>
  <c r="H175" i="8"/>
  <c r="H183" i="8"/>
  <c r="H191" i="8"/>
  <c r="H199" i="8"/>
  <c r="H207" i="8"/>
  <c r="H215" i="8"/>
  <c r="H223" i="8"/>
  <c r="H231" i="8"/>
  <c r="H239" i="8"/>
  <c r="H247" i="8"/>
  <c r="H255" i="8"/>
  <c r="H263" i="8"/>
  <c r="H271" i="8"/>
  <c r="H279" i="8"/>
  <c r="H287" i="8"/>
  <c r="H295" i="8"/>
  <c r="H303" i="8"/>
  <c r="H311" i="8"/>
  <c r="H319" i="8"/>
  <c r="H327" i="8"/>
  <c r="H335" i="8"/>
  <c r="H343" i="8"/>
  <c r="H351" i="8"/>
  <c r="H359" i="8"/>
  <c r="H367" i="8"/>
  <c r="H375" i="8"/>
  <c r="H383" i="8"/>
  <c r="H391" i="8"/>
  <c r="H399" i="8"/>
  <c r="H407" i="8"/>
  <c r="H415" i="8"/>
  <c r="H423" i="8"/>
  <c r="H431" i="8"/>
  <c r="H439" i="8"/>
  <c r="H447" i="8"/>
  <c r="H455" i="8"/>
  <c r="H463" i="8"/>
  <c r="H471" i="8"/>
  <c r="H479" i="8"/>
  <c r="H669" i="8"/>
  <c r="H659" i="8"/>
  <c r="H650" i="8"/>
  <c r="H641" i="8"/>
  <c r="H632" i="8"/>
  <c r="H623" i="8"/>
  <c r="H614" i="8"/>
  <c r="H605" i="8"/>
  <c r="H595" i="8"/>
  <c r="H586" i="8"/>
  <c r="H577" i="8"/>
  <c r="H568" i="8"/>
  <c r="H559" i="8"/>
  <c r="H550" i="8"/>
  <c r="H541" i="8"/>
  <c r="H531" i="8"/>
  <c r="H522" i="8"/>
  <c r="H513" i="8"/>
  <c r="H504" i="8"/>
  <c r="H495" i="8"/>
  <c r="H486" i="8"/>
  <c r="H474" i="8"/>
  <c r="H462" i="8"/>
  <c r="H449" i="8"/>
  <c r="H437" i="8"/>
  <c r="H424" i="8"/>
  <c r="H410" i="8"/>
  <c r="H398" i="8"/>
  <c r="H385" i="8"/>
  <c r="H373" i="8"/>
  <c r="H360" i="8"/>
  <c r="H346" i="8"/>
  <c r="H326" i="8"/>
  <c r="H304" i="8"/>
  <c r="H282" i="8"/>
  <c r="H262" i="8"/>
  <c r="H240" i="8"/>
  <c r="H218" i="8"/>
  <c r="H198" i="8"/>
  <c r="H176" i="8"/>
  <c r="H154" i="8"/>
  <c r="H134" i="8"/>
  <c r="H72" i="8"/>
  <c r="H8" i="8"/>
  <c r="H473" i="8"/>
  <c r="H461" i="8"/>
  <c r="H448" i="8"/>
  <c r="H434" i="8"/>
  <c r="H422" i="8"/>
  <c r="H409" i="8"/>
  <c r="H397" i="8"/>
  <c r="H384" i="8"/>
  <c r="H370" i="8"/>
  <c r="H358" i="8"/>
  <c r="H344" i="8"/>
  <c r="H322" i="8"/>
  <c r="H302" i="8"/>
  <c r="H280" i="8"/>
  <c r="H258" i="8"/>
  <c r="H238" i="8"/>
  <c r="H216" i="8"/>
  <c r="H194" i="8"/>
  <c r="H174" i="8"/>
  <c r="H152" i="8"/>
  <c r="H128" i="8"/>
  <c r="H64" i="8"/>
  <c r="H584" i="8"/>
  <c r="H575" i="8"/>
  <c r="H566" i="8"/>
  <c r="H557" i="8"/>
  <c r="H547" i="8"/>
  <c r="H538" i="8"/>
  <c r="H529" i="8"/>
  <c r="H520" i="8"/>
  <c r="H511" i="8"/>
  <c r="H502" i="8"/>
  <c r="H493" i="8"/>
  <c r="H483" i="8"/>
  <c r="H472" i="8"/>
  <c r="H458" i="8"/>
  <c r="H446" i="8"/>
  <c r="H433" i="8"/>
  <c r="H421" i="8"/>
  <c r="H408" i="8"/>
  <c r="H394" i="8"/>
  <c r="H382" i="8"/>
  <c r="H369" i="8"/>
  <c r="H357" i="8"/>
  <c r="H342" i="8"/>
  <c r="H320" i="8"/>
  <c r="H298" i="8"/>
  <c r="H278" i="8"/>
  <c r="H256" i="8"/>
  <c r="H234" i="8"/>
  <c r="H214" i="8"/>
  <c r="H192" i="8"/>
  <c r="H170" i="8"/>
  <c r="H150" i="8"/>
  <c r="H120" i="8"/>
  <c r="H56" i="8"/>
  <c r="H683" i="8"/>
  <c r="H674" i="8"/>
  <c r="H665" i="8"/>
  <c r="H656" i="8"/>
  <c r="H647" i="8"/>
  <c r="H638" i="8"/>
  <c r="H629" i="8"/>
  <c r="H619" i="8"/>
  <c r="H610" i="8"/>
  <c r="H601" i="8"/>
  <c r="H592" i="8"/>
  <c r="H583" i="8"/>
  <c r="H574" i="8"/>
  <c r="H565" i="8"/>
  <c r="H555" i="8"/>
  <c r="H546" i="8"/>
  <c r="H537" i="8"/>
  <c r="H528" i="8"/>
  <c r="H519" i="8"/>
  <c r="H510" i="8"/>
  <c r="H501" i="8"/>
  <c r="H491" i="8"/>
  <c r="H482" i="8"/>
  <c r="H470" i="8"/>
  <c r="H457" i="8"/>
  <c r="H445" i="8"/>
  <c r="H432" i="8"/>
  <c r="H418" i="8"/>
  <c r="H406" i="8"/>
  <c r="H393" i="8"/>
  <c r="H381" i="8"/>
  <c r="H368" i="8"/>
  <c r="H354" i="8"/>
  <c r="H338" i="8"/>
  <c r="H318" i="8"/>
  <c r="H296" i="8"/>
  <c r="H274" i="8"/>
  <c r="H254" i="8"/>
  <c r="H232" i="8"/>
  <c r="H210" i="8"/>
  <c r="H190" i="8"/>
  <c r="H168" i="8"/>
  <c r="H146" i="8"/>
  <c r="H112" i="8"/>
  <c r="H48" i="8"/>
  <c r="H723" i="8"/>
  <c r="H715" i="8"/>
  <c r="H707" i="8"/>
  <c r="H699" i="8"/>
  <c r="H691" i="8"/>
  <c r="H682" i="8"/>
  <c r="H673" i="8"/>
  <c r="H664" i="8"/>
  <c r="H655" i="8"/>
  <c r="H646" i="8"/>
  <c r="H637" i="8"/>
  <c r="H627" i="8"/>
  <c r="H618" i="8"/>
  <c r="H609" i="8"/>
  <c r="H600" i="8"/>
  <c r="H591" i="8"/>
  <c r="H582" i="8"/>
  <c r="H573" i="8"/>
  <c r="H563" i="8"/>
  <c r="H554" i="8"/>
  <c r="H545" i="8"/>
  <c r="H536" i="8"/>
  <c r="H527" i="8"/>
  <c r="H518" i="8"/>
  <c r="H509" i="8"/>
  <c r="H499" i="8"/>
  <c r="H490" i="8"/>
  <c r="H481" i="8"/>
  <c r="H469" i="8"/>
  <c r="H456" i="8"/>
  <c r="H442" i="8"/>
  <c r="H430" i="8"/>
  <c r="H417" i="8"/>
  <c r="H405" i="8"/>
  <c r="H392" i="8"/>
  <c r="H378" i="8"/>
  <c r="H366" i="8"/>
  <c r="H353" i="8"/>
  <c r="H336" i="8"/>
  <c r="H314" i="8"/>
  <c r="H294" i="8"/>
  <c r="H272" i="8"/>
  <c r="H250" i="8"/>
  <c r="H230" i="8"/>
  <c r="H208" i="8"/>
  <c r="H186" i="8"/>
  <c r="H166" i="8"/>
  <c r="H144" i="8"/>
  <c r="H104" i="8"/>
  <c r="H40" i="8"/>
  <c r="E1189" i="8"/>
  <c r="E1147" i="8"/>
  <c r="E1102" i="8"/>
  <c r="E1028" i="8"/>
  <c r="E953" i="8"/>
  <c r="E939" i="8"/>
  <c r="E1022" i="8"/>
  <c r="E931" i="8"/>
  <c r="E822" i="8"/>
  <c r="E1180" i="8"/>
  <c r="E1027" i="8"/>
  <c r="E1063" i="8"/>
  <c r="E1149" i="8"/>
  <c r="E1143" i="8"/>
  <c r="E1120" i="8"/>
  <c r="E1083" i="8"/>
  <c r="E1054" i="8"/>
  <c r="E825" i="8"/>
  <c r="E1089" i="8"/>
  <c r="E1025" i="8"/>
  <c r="E839" i="8"/>
  <c r="E1200" i="8"/>
  <c r="E1178" i="8"/>
  <c r="E1145" i="8"/>
  <c r="E1134" i="8"/>
  <c r="E1125" i="8"/>
  <c r="E994" i="8"/>
  <c r="E810" i="8"/>
  <c r="E1055" i="9"/>
  <c r="E1158" i="8"/>
  <c r="E1136" i="8"/>
  <c r="E1104" i="8"/>
  <c r="E1096" i="8"/>
  <c r="E955" i="8"/>
  <c r="E929" i="8"/>
  <c r="E827" i="8"/>
  <c r="E788" i="8"/>
  <c r="E704" i="8"/>
  <c r="E1201" i="8"/>
  <c r="E1199" i="8"/>
  <c r="E1196" i="8"/>
  <c r="E1171" i="8"/>
  <c r="E1166" i="8"/>
  <c r="E1106" i="8"/>
  <c r="E937" i="8"/>
  <c r="E723" i="8"/>
  <c r="E1183" i="9"/>
  <c r="E1071" i="8"/>
  <c r="E805" i="8"/>
  <c r="E1119" i="9"/>
  <c r="E902" i="8"/>
  <c r="E807" i="8"/>
  <c r="E795" i="8"/>
  <c r="E793" i="8"/>
  <c r="E790" i="8"/>
  <c r="E407" i="8"/>
  <c r="E291" i="8"/>
  <c r="E229" i="8"/>
  <c r="E132" i="8"/>
  <c r="E1032" i="8"/>
  <c r="E1007" i="8"/>
  <c r="E1005" i="8"/>
  <c r="E1002" i="8"/>
  <c r="E890" i="8"/>
  <c r="E875" i="8"/>
  <c r="E873" i="8"/>
  <c r="E732" i="8"/>
  <c r="E681" i="8"/>
  <c r="E659" i="8"/>
  <c r="E359" i="8"/>
  <c r="E231" i="8"/>
  <c r="E143" i="8"/>
  <c r="E134" i="8"/>
  <c r="E15" i="8"/>
  <c r="E1037" i="8"/>
  <c r="E978" i="8"/>
  <c r="E966" i="8"/>
  <c r="E858" i="8"/>
  <c r="E843" i="8"/>
  <c r="E841" i="8"/>
  <c r="E737" i="8"/>
  <c r="E734" i="8"/>
  <c r="E712" i="8"/>
  <c r="E361" i="8"/>
  <c r="E101" i="8"/>
  <c r="E1076" i="8"/>
  <c r="E1194" i="8"/>
  <c r="E1148" i="8"/>
  <c r="E1146" i="8"/>
  <c r="E1144" i="8"/>
  <c r="E1111" i="8"/>
  <c r="E1103" i="8"/>
  <c r="E1101" i="8"/>
  <c r="E1081" i="8"/>
  <c r="E1039" i="8"/>
  <c r="E995" i="8"/>
  <c r="E993" i="8"/>
  <c r="E990" i="8"/>
  <c r="E954" i="8"/>
  <c r="E949" i="8"/>
  <c r="E943" i="8"/>
  <c r="E941" i="8"/>
  <c r="E930" i="8"/>
  <c r="E925" i="8"/>
  <c r="E913" i="8"/>
  <c r="E826" i="8"/>
  <c r="E811" i="8"/>
  <c r="E809" i="8"/>
  <c r="E439" i="8"/>
  <c r="E363" i="8"/>
  <c r="E180" i="8"/>
  <c r="E951" i="8"/>
  <c r="E932" i="8"/>
  <c r="E927" i="8"/>
  <c r="E915" i="8"/>
  <c r="E903" i="8"/>
  <c r="E901" i="8"/>
  <c r="E794" i="8"/>
  <c r="E746" i="8"/>
  <c r="E304" i="8"/>
  <c r="E182" i="8"/>
  <c r="E68" i="8"/>
  <c r="E1138" i="8"/>
  <c r="E1113" i="8"/>
  <c r="E1064" i="8"/>
  <c r="E1047" i="8"/>
  <c r="E1036" i="8"/>
  <c r="E1006" i="8"/>
  <c r="E891" i="8"/>
  <c r="E889" i="8"/>
  <c r="E886" i="8"/>
  <c r="E874" i="8"/>
  <c r="E869" i="8"/>
  <c r="E768" i="8"/>
  <c r="E714" i="8"/>
  <c r="E638" i="8"/>
  <c r="E635" i="8"/>
  <c r="E632" i="8"/>
  <c r="E629" i="8"/>
  <c r="E545" i="8"/>
  <c r="E315" i="8"/>
  <c r="E306" i="8"/>
  <c r="E244" i="8"/>
  <c r="E79" i="8"/>
  <c r="E16" i="8"/>
  <c r="E18" i="8"/>
  <c r="E29" i="8"/>
  <c r="E49" i="8"/>
  <c r="E51" i="8"/>
  <c r="E60" i="8"/>
  <c r="E62" i="8"/>
  <c r="E71" i="8"/>
  <c r="E80" i="8"/>
  <c r="E82" i="8"/>
  <c r="E93" i="8"/>
  <c r="E113" i="8"/>
  <c r="E115" i="8"/>
  <c r="E124" i="8"/>
  <c r="E126" i="8"/>
  <c r="E135" i="8"/>
  <c r="E144" i="8"/>
  <c r="E146" i="8"/>
  <c r="E157" i="8"/>
  <c r="E168" i="8"/>
  <c r="E170" i="8"/>
  <c r="E185" i="8"/>
  <c r="E196" i="8"/>
  <c r="E205" i="8"/>
  <c r="E214" i="8"/>
  <c r="E225" i="8"/>
  <c r="E227" i="8"/>
  <c r="E240" i="8"/>
  <c r="E242" i="8"/>
  <c r="E253" i="8"/>
  <c r="E255" i="8"/>
  <c r="E262" i="8"/>
  <c r="E278" i="8"/>
  <c r="E287" i="8"/>
  <c r="E300" i="8"/>
  <c r="E302" i="8"/>
  <c r="E313" i="8"/>
  <c r="E320" i="8"/>
  <c r="E327" i="8"/>
  <c r="E334" i="8"/>
  <c r="E341" i="8"/>
  <c r="E343" i="8"/>
  <c r="E348" i="8"/>
  <c r="E364" i="8"/>
  <c r="E380" i="8"/>
  <c r="E392" i="8"/>
  <c r="E394" i="8"/>
  <c r="E399" i="8"/>
  <c r="E406" i="8"/>
  <c r="E413" i="8"/>
  <c r="E420" i="8"/>
  <c r="E425" i="8"/>
  <c r="E427" i="8"/>
  <c r="E456" i="8"/>
  <c r="E458" i="8"/>
  <c r="E463" i="8"/>
  <c r="E470" i="8"/>
  <c r="E477" i="8"/>
  <c r="E484" i="8"/>
  <c r="E496" i="8"/>
  <c r="E498" i="8"/>
  <c r="E505" i="8"/>
  <c r="E510" i="8"/>
  <c r="E525" i="8"/>
  <c r="E537" i="8"/>
  <c r="E546" i="8"/>
  <c r="E10" i="8"/>
  <c r="E12" i="8"/>
  <c r="E14" i="8"/>
  <c r="E23" i="8"/>
  <c r="E32" i="8"/>
  <c r="E34" i="8"/>
  <c r="E45" i="8"/>
  <c r="E65" i="8"/>
  <c r="E67" i="8"/>
  <c r="E76" i="8"/>
  <c r="E78" i="8"/>
  <c r="E87" i="8"/>
  <c r="E96" i="8"/>
  <c r="E98" i="8"/>
  <c r="E109" i="8"/>
  <c r="E129" i="8"/>
  <c r="E131" i="8"/>
  <c r="E140" i="8"/>
  <c r="E142" i="8"/>
  <c r="E151" i="8"/>
  <c r="E160" i="8"/>
  <c r="E162" i="8"/>
  <c r="E177" i="8"/>
  <c r="E179" i="8"/>
  <c r="E188" i="8"/>
  <c r="E190" i="8"/>
  <c r="E201" i="8"/>
  <c r="E208" i="8"/>
  <c r="E210" i="8"/>
  <c r="E221" i="8"/>
  <c r="E232" i="8"/>
  <c r="E234" i="8"/>
  <c r="E249" i="8"/>
  <c r="E267" i="8"/>
  <c r="E272" i="8"/>
  <c r="E274" i="8"/>
  <c r="E281" i="8"/>
  <c r="E283" i="8"/>
  <c r="E292" i="8"/>
  <c r="E294" i="8"/>
  <c r="E307" i="8"/>
  <c r="E318" i="8"/>
  <c r="E323" i="8"/>
  <c r="E325" i="8"/>
  <c r="E330" i="8"/>
  <c r="E358" i="8"/>
  <c r="E374" i="8"/>
  <c r="E390" i="8"/>
  <c r="E397" i="8"/>
  <c r="E404" i="8"/>
  <c r="E409" i="8"/>
  <c r="E411" i="8"/>
  <c r="E440" i="8"/>
  <c r="E442" i="8"/>
  <c r="E447" i="8"/>
  <c r="E454" i="8"/>
  <c r="E461" i="8"/>
  <c r="E468" i="8"/>
  <c r="E473" i="8"/>
  <c r="E475" i="8"/>
  <c r="E487" i="8"/>
  <c r="E489" i="8"/>
  <c r="E494" i="8"/>
  <c r="E501" i="8"/>
  <c r="E508" i="8"/>
  <c r="E517" i="8"/>
  <c r="E519" i="8"/>
  <c r="E528" i="8"/>
  <c r="E533" i="8"/>
  <c r="E542" i="8"/>
  <c r="E549" i="8"/>
  <c r="E551" i="8"/>
  <c r="E556" i="8"/>
  <c r="E558" i="8"/>
  <c r="E17" i="8"/>
  <c r="E19" i="8"/>
  <c r="E28" i="8"/>
  <c r="E30" i="8"/>
  <c r="E39" i="8"/>
  <c r="E48" i="8"/>
  <c r="E50" i="8"/>
  <c r="E61" i="8"/>
  <c r="E81" i="8"/>
  <c r="E83" i="8"/>
  <c r="E92" i="8"/>
  <c r="E94" i="8"/>
  <c r="E103" i="8"/>
  <c r="E112" i="8"/>
  <c r="E114" i="8"/>
  <c r="E125" i="8"/>
  <c r="E145" i="8"/>
  <c r="E147" i="8"/>
  <c r="E156" i="8"/>
  <c r="E158" i="8"/>
  <c r="E169" i="8"/>
  <c r="E171" i="8"/>
  <c r="E184" i="8"/>
  <c r="E186" i="8"/>
  <c r="E197" i="8"/>
  <c r="E204" i="8"/>
  <c r="E206" i="8"/>
  <c r="E215" i="8"/>
  <c r="E224" i="8"/>
  <c r="E226" i="8"/>
  <c r="E241" i="8"/>
  <c r="E243" i="8"/>
  <c r="E252" i="8"/>
  <c r="E254" i="8"/>
  <c r="E263" i="8"/>
  <c r="E270" i="8"/>
  <c r="E301" i="8"/>
  <c r="E303" i="8"/>
  <c r="E312" i="8"/>
  <c r="E314" i="8"/>
  <c r="E340" i="8"/>
  <c r="E342" i="8"/>
  <c r="E356" i="8"/>
  <c r="E372" i="8"/>
  <c r="E388" i="8"/>
  <c r="E393" i="8"/>
  <c r="E395" i="8"/>
  <c r="E424" i="8"/>
  <c r="E426" i="8"/>
  <c r="E431" i="8"/>
  <c r="E438" i="8"/>
  <c r="E445" i="8"/>
  <c r="E452" i="8"/>
  <c r="E457" i="8"/>
  <c r="E459" i="8"/>
  <c r="E492" i="8"/>
  <c r="E497" i="8"/>
  <c r="E499" i="8"/>
  <c r="E504" i="8"/>
  <c r="E506" i="8"/>
  <c r="E511" i="8"/>
  <c r="E531" i="8"/>
  <c r="E9" i="8"/>
  <c r="E11" i="8"/>
  <c r="E13" i="8"/>
  <c r="E33" i="8"/>
  <c r="E35" i="8"/>
  <c r="E44" i="8"/>
  <c r="E46" i="8"/>
  <c r="E55" i="8"/>
  <c r="E64" i="8"/>
  <c r="E66" i="8"/>
  <c r="E77" i="8"/>
  <c r="E97" i="8"/>
  <c r="E99" i="8"/>
  <c r="E108" i="8"/>
  <c r="E110" i="8"/>
  <c r="E119" i="8"/>
  <c r="E128" i="8"/>
  <c r="E130" i="8"/>
  <c r="E141" i="8"/>
  <c r="E161" i="8"/>
  <c r="E163" i="8"/>
  <c r="E176" i="8"/>
  <c r="E178" i="8"/>
  <c r="E189" i="8"/>
  <c r="E191" i="8"/>
  <c r="E200" i="8"/>
  <c r="E202" i="8"/>
  <c r="E209" i="8"/>
  <c r="E211" i="8"/>
  <c r="E220" i="8"/>
  <c r="E222" i="8"/>
  <c r="E233" i="8"/>
  <c r="E235" i="8"/>
  <c r="E248" i="8"/>
  <c r="E250" i="8"/>
  <c r="E259" i="8"/>
  <c r="E273" i="8"/>
  <c r="E275" i="8"/>
  <c r="E280" i="8"/>
  <c r="E282" i="8"/>
  <c r="E293" i="8"/>
  <c r="E295" i="8"/>
  <c r="E324" i="8"/>
  <c r="E329" i="8"/>
  <c r="E331" i="8"/>
  <c r="E336" i="8"/>
  <c r="E345" i="8"/>
  <c r="E350" i="8"/>
  <c r="E366" i="8"/>
  <c r="E382" i="8"/>
  <c r="E408" i="8"/>
  <c r="E410" i="8"/>
  <c r="E415" i="8"/>
  <c r="E422" i="8"/>
  <c r="E429" i="8"/>
  <c r="E436" i="8"/>
  <c r="E441" i="8"/>
  <c r="E443" i="8"/>
  <c r="E472" i="8"/>
  <c r="E474" i="8"/>
  <c r="E479" i="8"/>
  <c r="E488" i="8"/>
  <c r="E490" i="8"/>
  <c r="E502" i="8"/>
  <c r="E518" i="8"/>
  <c r="E520" i="8"/>
  <c r="E527" i="8"/>
  <c r="E41" i="8"/>
  <c r="E43" i="8"/>
  <c r="E72" i="8"/>
  <c r="E74" i="8"/>
  <c r="E105" i="8"/>
  <c r="E107" i="8"/>
  <c r="E136" i="8"/>
  <c r="E138" i="8"/>
  <c r="E192" i="8"/>
  <c r="E194" i="8"/>
  <c r="E199" i="8"/>
  <c r="E213" i="8"/>
  <c r="E216" i="8"/>
  <c r="E218" i="8"/>
  <c r="E251" i="8"/>
  <c r="E269" i="8"/>
  <c r="E308" i="8"/>
  <c r="E310" i="8"/>
  <c r="E326" i="8"/>
  <c r="E332" i="8"/>
  <c r="E373" i="8"/>
  <c r="E421" i="8"/>
  <c r="E430" i="8"/>
  <c r="E485" i="8"/>
  <c r="E521" i="8"/>
  <c r="E523" i="8"/>
  <c r="E539" i="8"/>
  <c r="E561" i="8"/>
  <c r="E568" i="8"/>
  <c r="E577" i="8"/>
  <c r="E584" i="8"/>
  <c r="E593" i="8"/>
  <c r="E600" i="8"/>
  <c r="E609" i="8"/>
  <c r="E616" i="8"/>
  <c r="E625" i="8"/>
  <c r="E630" i="8"/>
  <c r="E637" i="8"/>
  <c r="E651" i="8"/>
  <c r="E658" i="8"/>
  <c r="E672" i="8"/>
  <c r="E679" i="8"/>
  <c r="E684" i="8"/>
  <c r="E686" i="8"/>
  <c r="E693" i="8"/>
  <c r="E695" i="8"/>
  <c r="E700" i="8"/>
  <c r="E702" i="8"/>
  <c r="E709" i="8"/>
  <c r="E711" i="8"/>
  <c r="E740" i="8"/>
  <c r="E742" i="8"/>
  <c r="E747" i="8"/>
  <c r="E754" i="8"/>
  <c r="E761" i="8"/>
  <c r="E779" i="8"/>
  <c r="E781" i="8"/>
  <c r="E783" i="8"/>
  <c r="E792" i="8"/>
  <c r="E808" i="8"/>
  <c r="E824" i="8"/>
  <c r="E840" i="8"/>
  <c r="E856" i="8"/>
  <c r="E872" i="8"/>
  <c r="E888" i="8"/>
  <c r="E904" i="8"/>
  <c r="E920" i="8"/>
  <c r="E936" i="8"/>
  <c r="E952" i="8"/>
  <c r="E968" i="8"/>
  <c r="E984" i="8"/>
  <c r="E1000" i="8"/>
  <c r="E1018" i="8"/>
  <c r="E1020" i="8"/>
  <c r="E1029" i="8"/>
  <c r="E1031" i="8"/>
  <c r="E1042" i="8"/>
  <c r="E1053" i="8"/>
  <c r="E1055" i="8"/>
  <c r="E1062" i="8"/>
  <c r="E1073" i="8"/>
  <c r="E1075" i="8"/>
  <c r="E24" i="8"/>
  <c r="E26" i="8"/>
  <c r="E57" i="8"/>
  <c r="E59" i="8"/>
  <c r="E88" i="8"/>
  <c r="E90" i="8"/>
  <c r="E121" i="8"/>
  <c r="E123" i="8"/>
  <c r="E152" i="8"/>
  <c r="E154" i="8"/>
  <c r="E187" i="8"/>
  <c r="E257" i="8"/>
  <c r="E284" i="8"/>
  <c r="E286" i="8"/>
  <c r="E338" i="8"/>
  <c r="E349" i="8"/>
  <c r="E381" i="8"/>
  <c r="E405" i="8"/>
  <c r="E414" i="8"/>
  <c r="E469" i="8"/>
  <c r="E478" i="8"/>
  <c r="E491" i="8"/>
  <c r="E500" i="8"/>
  <c r="E503" i="8"/>
  <c r="E509" i="8"/>
  <c r="E512" i="8"/>
  <c r="E514" i="8"/>
  <c r="E516" i="8"/>
  <c r="E532" i="8"/>
  <c r="E547" i="8"/>
  <c r="E552" i="8"/>
  <c r="E557" i="8"/>
  <c r="E571" i="8"/>
  <c r="E587" i="8"/>
  <c r="E603" i="8"/>
  <c r="E619" i="8"/>
  <c r="E640" i="8"/>
  <c r="E649" i="8"/>
  <c r="E654" i="8"/>
  <c r="E661" i="8"/>
  <c r="E663" i="8"/>
  <c r="E668" i="8"/>
  <c r="E675" i="8"/>
  <c r="E682" i="8"/>
  <c r="E698" i="8"/>
  <c r="E724" i="8"/>
  <c r="E726" i="8"/>
  <c r="E731" i="8"/>
  <c r="E738" i="8"/>
  <c r="E745" i="8"/>
  <c r="E752" i="8"/>
  <c r="E757" i="8"/>
  <c r="E759" i="8"/>
  <c r="E764" i="8"/>
  <c r="E766" i="8"/>
  <c r="E804" i="8"/>
  <c r="E820" i="8"/>
  <c r="E836" i="8"/>
  <c r="E852" i="8"/>
  <c r="E868" i="8"/>
  <c r="E884" i="8"/>
  <c r="E40" i="8"/>
  <c r="E42" i="8"/>
  <c r="E73" i="8"/>
  <c r="E75" i="8"/>
  <c r="E104" i="8"/>
  <c r="E106" i="8"/>
  <c r="E137" i="8"/>
  <c r="E139" i="8"/>
  <c r="E193" i="8"/>
  <c r="E195" i="8"/>
  <c r="E198" i="8"/>
  <c r="E212" i="8"/>
  <c r="E217" i="8"/>
  <c r="E219" i="8"/>
  <c r="E268" i="8"/>
  <c r="E279" i="8"/>
  <c r="E309" i="8"/>
  <c r="E311" i="8"/>
  <c r="E319" i="8"/>
  <c r="E333" i="8"/>
  <c r="E344" i="8"/>
  <c r="E357" i="8"/>
  <c r="E389" i="8"/>
  <c r="E398" i="8"/>
  <c r="E453" i="8"/>
  <c r="E462" i="8"/>
  <c r="E486" i="8"/>
  <c r="E495" i="8"/>
  <c r="E522" i="8"/>
  <c r="E524" i="8"/>
  <c r="E540" i="8"/>
  <c r="E550" i="8"/>
  <c r="E555" i="8"/>
  <c r="E560" i="8"/>
  <c r="E569" i="8"/>
  <c r="E576" i="8"/>
  <c r="E585" i="8"/>
  <c r="E592" i="8"/>
  <c r="E601" i="8"/>
  <c r="E608" i="8"/>
  <c r="E617" i="8"/>
  <c r="E624" i="8"/>
  <c r="E631" i="8"/>
  <c r="E636" i="8"/>
  <c r="E643" i="8"/>
  <c r="E666" i="8"/>
  <c r="E673" i="8"/>
  <c r="E678" i="8"/>
  <c r="E685" i="8"/>
  <c r="E687" i="8"/>
  <c r="E692" i="8"/>
  <c r="E694" i="8"/>
  <c r="E701" i="8"/>
  <c r="E703" i="8"/>
  <c r="E708" i="8"/>
  <c r="E710" i="8"/>
  <c r="E715" i="8"/>
  <c r="E722" i="8"/>
  <c r="E729" i="8"/>
  <c r="E736" i="8"/>
  <c r="E741" i="8"/>
  <c r="E743" i="8"/>
  <c r="E769" i="8"/>
  <c r="E778" i="8"/>
  <c r="E780" i="8"/>
  <c r="E782" i="8"/>
  <c r="E800" i="8"/>
  <c r="E816" i="8"/>
  <c r="E832" i="8"/>
  <c r="E848" i="8"/>
  <c r="E864" i="8"/>
  <c r="E880" i="8"/>
  <c r="E896" i="8"/>
  <c r="E912" i="8"/>
  <c r="E928" i="8"/>
  <c r="E944" i="8"/>
  <c r="E960" i="8"/>
  <c r="E976" i="8"/>
  <c r="E992" i="8"/>
  <c r="E1008" i="8"/>
  <c r="E1017" i="8"/>
  <c r="E1019" i="8"/>
  <c r="E1030" i="8"/>
  <c r="E1041" i="8"/>
  <c r="E1043" i="8"/>
  <c r="E25" i="8"/>
  <c r="E27" i="8"/>
  <c r="E56" i="8"/>
  <c r="E58" i="8"/>
  <c r="E89" i="8"/>
  <c r="E91" i="8"/>
  <c r="E120" i="8"/>
  <c r="E122" i="8"/>
  <c r="E153" i="8"/>
  <c r="E155" i="8"/>
  <c r="E207" i="8"/>
  <c r="E256" i="8"/>
  <c r="E258" i="8"/>
  <c r="E285" i="8"/>
  <c r="E337" i="8"/>
  <c r="E339" i="8"/>
  <c r="E365" i="8"/>
  <c r="E437" i="8"/>
  <c r="E446" i="8"/>
  <c r="E513" i="8"/>
  <c r="E515" i="8"/>
  <c r="E536" i="8"/>
  <c r="E543" i="8"/>
  <c r="E553" i="8"/>
  <c r="E563" i="8"/>
  <c r="E579" i="8"/>
  <c r="E595" i="8"/>
  <c r="E611" i="8"/>
  <c r="E627" i="8"/>
  <c r="E634" i="8"/>
  <c r="E641" i="8"/>
  <c r="E648" i="8"/>
  <c r="E655" i="8"/>
  <c r="E660" i="8"/>
  <c r="E662" i="8"/>
  <c r="E669" i="8"/>
  <c r="E690" i="8"/>
  <c r="E706" i="8"/>
  <c r="E713" i="8"/>
  <c r="E720" i="8"/>
  <c r="E725" i="8"/>
  <c r="E727" i="8"/>
  <c r="E756" i="8"/>
  <c r="E758" i="8"/>
  <c r="E765" i="8"/>
  <c r="E767" i="8"/>
  <c r="E776" i="8"/>
  <c r="E785" i="8"/>
  <c r="E796" i="8"/>
  <c r="E812" i="8"/>
  <c r="E828" i="8"/>
  <c r="E844" i="8"/>
  <c r="E860" i="8"/>
  <c r="E876" i="8"/>
  <c r="E892" i="8"/>
  <c r="E908" i="8"/>
  <c r="E924" i="8"/>
  <c r="E940" i="8"/>
  <c r="E956" i="8"/>
  <c r="E972" i="8"/>
  <c r="E988" i="8"/>
  <c r="E1004" i="8"/>
  <c r="E1013" i="8"/>
  <c r="E1015" i="8"/>
  <c r="E1024" i="8"/>
  <c r="E1033" i="8"/>
  <c r="E1035" i="8"/>
  <c r="E1046" i="8"/>
  <c r="E1048" i="8"/>
  <c r="E1057" i="8"/>
  <c r="E1059" i="8"/>
  <c r="E1066" i="8"/>
  <c r="E1068" i="8"/>
  <c r="E1077" i="8"/>
  <c r="E1079" i="8"/>
  <c r="E1090" i="8"/>
  <c r="E1097" i="8"/>
  <c r="E1099" i="8"/>
  <c r="E1110" i="8"/>
  <c r="E1119" i="8"/>
  <c r="E1121" i="8"/>
  <c r="E1123" i="8"/>
  <c r="E203" i="8"/>
  <c r="E321" i="8"/>
  <c r="E367" i="8"/>
  <c r="E369" i="8"/>
  <c r="E371" i="8"/>
  <c r="E526" i="8"/>
  <c r="E529" i="8"/>
  <c r="E581" i="8"/>
  <c r="E583" i="8"/>
  <c r="E586" i="8"/>
  <c r="E612" i="8"/>
  <c r="E614" i="8"/>
  <c r="E644" i="8"/>
  <c r="E646" i="8"/>
  <c r="E665" i="8"/>
  <c r="E696" i="8"/>
  <c r="E707" i="8"/>
  <c r="E716" i="8"/>
  <c r="E718" i="8"/>
  <c r="E749" i="8"/>
  <c r="E751" i="8"/>
  <c r="E760" i="8"/>
  <c r="E771" i="8"/>
  <c r="E773" i="8"/>
  <c r="E775" i="8"/>
  <c r="E798" i="8"/>
  <c r="E813" i="8"/>
  <c r="E815" i="8"/>
  <c r="E830" i="8"/>
  <c r="E845" i="8"/>
  <c r="E847" i="8"/>
  <c r="E862" i="8"/>
  <c r="E877" i="8"/>
  <c r="E879" i="8"/>
  <c r="E894" i="8"/>
  <c r="E906" i="8"/>
  <c r="E918" i="8"/>
  <c r="E945" i="8"/>
  <c r="E947" i="8"/>
  <c r="E957" i="8"/>
  <c r="E959" i="8"/>
  <c r="E964" i="8"/>
  <c r="E969" i="8"/>
  <c r="E971" i="8"/>
  <c r="E981" i="8"/>
  <c r="E983" i="8"/>
  <c r="E1010" i="8"/>
  <c r="E1012" i="8"/>
  <c r="E1045" i="8"/>
  <c r="E1067" i="8"/>
  <c r="E1074" i="8"/>
  <c r="E1088" i="8"/>
  <c r="E1093" i="8"/>
  <c r="E1095" i="8"/>
  <c r="E1100" i="8"/>
  <c r="E1109" i="8"/>
  <c r="E1118" i="8"/>
  <c r="E1152" i="8"/>
  <c r="E1154" i="8"/>
  <c r="E1156" i="8"/>
  <c r="E1165" i="8"/>
  <c r="E1174" i="8"/>
  <c r="E1183" i="8"/>
  <c r="E1185" i="8"/>
  <c r="E1187" i="8"/>
  <c r="E1198" i="8"/>
  <c r="E833" i="8"/>
  <c r="E835" i="8"/>
  <c r="E850" i="8"/>
  <c r="E897" i="8"/>
  <c r="E899" i="8"/>
  <c r="E916" i="8"/>
  <c r="E921" i="8"/>
  <c r="E923" i="8"/>
  <c r="E933" i="8"/>
  <c r="E935" i="8"/>
  <c r="E962" i="8"/>
  <c r="E974" i="8"/>
  <c r="E986" i="8"/>
  <c r="E1050" i="8"/>
  <c r="E1052" i="8"/>
  <c r="E1060" i="8"/>
  <c r="E1065" i="8"/>
  <c r="E1098" i="8"/>
  <c r="E1128" i="8"/>
  <c r="E1130" i="8"/>
  <c r="E1132" i="8"/>
  <c r="E21" i="8"/>
  <c r="E52" i="8"/>
  <c r="E54" i="8"/>
  <c r="E63" i="8"/>
  <c r="E85" i="8"/>
  <c r="E116" i="8"/>
  <c r="E118" i="8"/>
  <c r="E127" i="8"/>
  <c r="E149" i="8"/>
  <c r="E173" i="8"/>
  <c r="E175" i="8"/>
  <c r="E237" i="8"/>
  <c r="E239" i="8"/>
  <c r="E261" i="8"/>
  <c r="E264" i="8"/>
  <c r="E266" i="8"/>
  <c r="E297" i="8"/>
  <c r="E299" i="8"/>
  <c r="E346" i="8"/>
  <c r="E375" i="8"/>
  <c r="E377" i="8"/>
  <c r="E379" i="8"/>
  <c r="E396" i="8"/>
  <c r="E428" i="8"/>
  <c r="E460" i="8"/>
  <c r="E535" i="8"/>
  <c r="E589" i="8"/>
  <c r="E591" i="8"/>
  <c r="E594" i="8"/>
  <c r="E620" i="8"/>
  <c r="E622" i="8"/>
  <c r="E652" i="8"/>
  <c r="E657" i="8"/>
  <c r="E671" i="8"/>
  <c r="E674" i="8"/>
  <c r="E688" i="8"/>
  <c r="E699" i="8"/>
  <c r="E721" i="8"/>
  <c r="E730" i="8"/>
  <c r="E763" i="8"/>
  <c r="E784" i="8"/>
  <c r="E801" i="8"/>
  <c r="E803" i="8"/>
  <c r="E818" i="8"/>
  <c r="E865" i="8"/>
  <c r="E867" i="8"/>
  <c r="E882" i="8"/>
  <c r="E909" i="8"/>
  <c r="E911" i="8"/>
  <c r="E998" i="8"/>
  <c r="E1086" i="8"/>
  <c r="E1107" i="8"/>
  <c r="E1141" i="8"/>
  <c r="E1150" i="8"/>
  <c r="E1159" i="8"/>
  <c r="E1161" i="8"/>
  <c r="E1163" i="8"/>
  <c r="E352" i="8"/>
  <c r="E354" i="8"/>
  <c r="E383" i="8"/>
  <c r="E385" i="8"/>
  <c r="E387" i="8"/>
  <c r="E400" i="8"/>
  <c r="E402" i="8"/>
  <c r="E417" i="8"/>
  <c r="E419" i="8"/>
  <c r="E432" i="8"/>
  <c r="E434" i="8"/>
  <c r="E449" i="8"/>
  <c r="E451" i="8"/>
  <c r="E464" i="8"/>
  <c r="E466" i="8"/>
  <c r="E481" i="8"/>
  <c r="E483" i="8"/>
  <c r="E538" i="8"/>
  <c r="E541" i="8"/>
  <c r="E564" i="8"/>
  <c r="E566" i="8"/>
  <c r="E597" i="8"/>
  <c r="E599" i="8"/>
  <c r="E602" i="8"/>
  <c r="E628" i="8"/>
  <c r="E633" i="8"/>
  <c r="E677" i="8"/>
  <c r="E680" i="8"/>
  <c r="E691" i="8"/>
  <c r="E733" i="8"/>
  <c r="E735" i="8"/>
  <c r="E744" i="8"/>
  <c r="E755" i="8"/>
  <c r="E787" i="8"/>
  <c r="E789" i="8"/>
  <c r="E791" i="8"/>
  <c r="E806" i="8"/>
  <c r="E821" i="8"/>
  <c r="E823" i="8"/>
  <c r="E838" i="8"/>
  <c r="E853" i="8"/>
  <c r="E855" i="8"/>
  <c r="E870" i="8"/>
  <c r="E885" i="8"/>
  <c r="E887" i="8"/>
  <c r="E914" i="8"/>
  <c r="E926" i="8"/>
  <c r="E938" i="8"/>
  <c r="E950" i="8"/>
  <c r="E977" i="8"/>
  <c r="E979" i="8"/>
  <c r="E989" i="8"/>
  <c r="E991" i="8"/>
  <c r="E996" i="8"/>
  <c r="E1001" i="8"/>
  <c r="E1003" i="8"/>
  <c r="E1021" i="8"/>
  <c r="E1023" i="8"/>
  <c r="E1038" i="8"/>
  <c r="E1040" i="8"/>
  <c r="E1070" i="8"/>
  <c r="E1072" i="8"/>
  <c r="E1082" i="8"/>
  <c r="E1084" i="8"/>
  <c r="E1091" i="8"/>
  <c r="E1105" i="8"/>
  <c r="E1112" i="8"/>
  <c r="E1114" i="8"/>
  <c r="E1116" i="8"/>
  <c r="E1126" i="8"/>
  <c r="E1135" i="8"/>
  <c r="E1137" i="8"/>
  <c r="E1139" i="8"/>
  <c r="E1168" i="8"/>
  <c r="E1170" i="8"/>
  <c r="E1172" i="8"/>
  <c r="E1181" i="8"/>
  <c r="E1190" i="8"/>
  <c r="E360" i="8"/>
  <c r="E362" i="8"/>
  <c r="E544" i="8"/>
  <c r="E639" i="8"/>
  <c r="E642" i="8"/>
  <c r="E683" i="8"/>
  <c r="E705" i="8"/>
  <c r="E8" i="8"/>
  <c r="E36" i="8"/>
  <c r="E38" i="8"/>
  <c r="E47" i="8"/>
  <c r="E69" i="8"/>
  <c r="E100" i="8"/>
  <c r="E102" i="8"/>
  <c r="E111" i="8"/>
  <c r="E133" i="8"/>
  <c r="E164" i="8"/>
  <c r="E166" i="8"/>
  <c r="E181" i="8"/>
  <c r="E183" i="8"/>
  <c r="E228" i="8"/>
  <c r="E230" i="8"/>
  <c r="E245" i="8"/>
  <c r="E247" i="8"/>
  <c r="E276" i="8"/>
  <c r="E288" i="8"/>
  <c r="E290" i="8"/>
  <c r="E305" i="8"/>
  <c r="E316" i="8"/>
  <c r="E328" i="8"/>
  <c r="E391" i="8"/>
  <c r="E423" i="8"/>
  <c r="E455" i="8"/>
  <c r="E493" i="8"/>
  <c r="E572" i="8"/>
  <c r="E574" i="8"/>
  <c r="E605" i="8"/>
  <c r="E607" i="8"/>
  <c r="E610" i="8"/>
  <c r="E322" i="8"/>
  <c r="E368" i="8"/>
  <c r="E370" i="8"/>
  <c r="E530" i="8"/>
  <c r="E580" i="8"/>
  <c r="E582" i="8"/>
  <c r="E613" i="8"/>
  <c r="E615" i="8"/>
  <c r="E618" i="8"/>
  <c r="E645" i="8"/>
  <c r="E647" i="8"/>
  <c r="E650" i="8"/>
  <c r="E664" i="8"/>
  <c r="E697" i="8"/>
  <c r="E717" i="8"/>
  <c r="E719" i="8"/>
  <c r="E728" i="8"/>
  <c r="E739" i="8"/>
  <c r="E748" i="8"/>
  <c r="E750" i="8"/>
  <c r="E770" i="8"/>
  <c r="E772" i="8"/>
  <c r="E774" i="8"/>
  <c r="E797" i="8"/>
  <c r="E799" i="8"/>
  <c r="E814" i="8"/>
  <c r="E829" i="8"/>
  <c r="E831" i="8"/>
  <c r="E846" i="8"/>
  <c r="E861" i="8"/>
  <c r="E863" i="8"/>
  <c r="E878" i="8"/>
  <c r="E893" i="8"/>
  <c r="E895" i="8"/>
  <c r="E900" i="8"/>
  <c r="E905" i="8"/>
  <c r="E907" i="8"/>
  <c r="E917" i="8"/>
  <c r="E919" i="8"/>
  <c r="E946" i="8"/>
  <c r="E958" i="8"/>
  <c r="E970" i="8"/>
  <c r="E982" i="8"/>
  <c r="E1009" i="8"/>
  <c r="E1011" i="8"/>
  <c r="E1016" i="8"/>
  <c r="E1034" i="8"/>
  <c r="E1061" i="8"/>
  <c r="E1078" i="8"/>
  <c r="E1094" i="8"/>
  <c r="E1124" i="8"/>
  <c r="E1133" i="8"/>
  <c r="E1142" i="8"/>
  <c r="E1151" i="8"/>
  <c r="E1153" i="8"/>
  <c r="E1155" i="8"/>
  <c r="E1184" i="8"/>
  <c r="E1186" i="8"/>
  <c r="E1188" i="8"/>
  <c r="E1085" i="8"/>
  <c r="E1087" i="8"/>
  <c r="E1092" i="8"/>
  <c r="E1108" i="8"/>
  <c r="E1117" i="8"/>
  <c r="E1160" i="8"/>
  <c r="E1162" i="8"/>
  <c r="E1164" i="8"/>
  <c r="E351" i="8"/>
  <c r="E353" i="8"/>
  <c r="E355" i="8"/>
  <c r="E384" i="8"/>
  <c r="E386" i="8"/>
  <c r="E403" i="8"/>
  <c r="E416" i="8"/>
  <c r="E433" i="8"/>
  <c r="E448" i="8"/>
  <c r="E465" i="8"/>
  <c r="E480" i="8"/>
  <c r="E565" i="8"/>
  <c r="E567" i="8"/>
  <c r="E570" i="8"/>
  <c r="E20" i="8"/>
  <c r="E22" i="8"/>
  <c r="E31" i="8"/>
  <c r="E53" i="8"/>
  <c r="E84" i="8"/>
  <c r="E86" i="8"/>
  <c r="E95" i="8"/>
  <c r="E117" i="8"/>
  <c r="E148" i="8"/>
  <c r="E150" i="8"/>
  <c r="E159" i="8"/>
  <c r="E172" i="8"/>
  <c r="E174" i="8"/>
  <c r="E223" i="8"/>
  <c r="E236" i="8"/>
  <c r="E238" i="8"/>
  <c r="E260" i="8"/>
  <c r="E265" i="8"/>
  <c r="E271" i="8"/>
  <c r="E296" i="8"/>
  <c r="E298" i="8"/>
  <c r="E335" i="8"/>
  <c r="E347" i="8"/>
  <c r="E376" i="8"/>
  <c r="E378" i="8"/>
  <c r="E412" i="8"/>
  <c r="E444" i="8"/>
  <c r="E476" i="8"/>
  <c r="E534" i="8"/>
  <c r="E559" i="8"/>
  <c r="E562" i="8"/>
  <c r="E588" i="8"/>
  <c r="E590" i="8"/>
  <c r="E621" i="8"/>
  <c r="E623" i="8"/>
  <c r="E626" i="8"/>
  <c r="E653" i="8"/>
  <c r="E656" i="8"/>
  <c r="E667" i="8"/>
  <c r="E670" i="8"/>
  <c r="E689" i="8"/>
  <c r="E753" i="8"/>
  <c r="E762" i="8"/>
  <c r="E777" i="8"/>
  <c r="E802" i="8"/>
  <c r="E817" i="8"/>
  <c r="E819" i="8"/>
  <c r="E834" i="8"/>
  <c r="E849" i="8"/>
  <c r="E851" i="8"/>
  <c r="E866" i="8"/>
  <c r="E881" i="8"/>
  <c r="E883" i="8"/>
  <c r="E898" i="8"/>
  <c r="E910" i="8"/>
  <c r="E922" i="8"/>
  <c r="E934" i="8"/>
  <c r="E961" i="8"/>
  <c r="E963" i="8"/>
  <c r="E973" i="8"/>
  <c r="E975" i="8"/>
  <c r="E980" i="8"/>
  <c r="E985" i="8"/>
  <c r="E987" i="8"/>
  <c r="E997" i="8"/>
  <c r="E999" i="8"/>
  <c r="E1044" i="8"/>
  <c r="E1049" i="8"/>
  <c r="E1051" i="8"/>
  <c r="E1056" i="8"/>
  <c r="E1122" i="8"/>
  <c r="E1127" i="8"/>
  <c r="E1129" i="8"/>
  <c r="E1131" i="8"/>
  <c r="E1173" i="8"/>
  <c r="E1182" i="8"/>
  <c r="E1191" i="8"/>
  <c r="E1193" i="8"/>
  <c r="E1195" i="8"/>
  <c r="E1197" i="8"/>
  <c r="E401" i="8"/>
  <c r="E418" i="8"/>
  <c r="E435" i="8"/>
  <c r="E450" i="8"/>
  <c r="E467" i="8"/>
  <c r="E482" i="8"/>
  <c r="E507" i="8"/>
  <c r="E548" i="8"/>
  <c r="E596" i="8"/>
  <c r="E598" i="8"/>
  <c r="E1179" i="8"/>
  <c r="E1177" i="8"/>
  <c r="E1175" i="8"/>
  <c r="E1167" i="8"/>
  <c r="E1140" i="8"/>
  <c r="E1115" i="8"/>
  <c r="E1080" i="8"/>
  <c r="E1058" i="8"/>
  <c r="E1014" i="8"/>
  <c r="E967" i="8"/>
  <c r="E965" i="8"/>
  <c r="E948" i="8"/>
  <c r="E871" i="8"/>
  <c r="E859" i="8"/>
  <c r="E857" i="8"/>
  <c r="E854" i="8"/>
  <c r="E842" i="8"/>
  <c r="E837" i="8"/>
  <c r="E786" i="8"/>
  <c r="E604" i="8"/>
  <c r="E573" i="8"/>
  <c r="E554" i="8"/>
  <c r="E471" i="8"/>
  <c r="E317" i="8"/>
  <c r="E277" i="8"/>
  <c r="E246" i="8"/>
  <c r="E165" i="8"/>
  <c r="E37" i="8"/>
  <c r="E676" i="8"/>
  <c r="E606" i="8"/>
  <c r="E578" i="8"/>
  <c r="E575" i="8"/>
  <c r="E289" i="8"/>
  <c r="E167" i="8"/>
  <c r="E14" i="10"/>
  <c r="E22" i="10"/>
  <c r="E30" i="10"/>
  <c r="E38" i="10"/>
  <c r="E46" i="10"/>
  <c r="E54" i="10"/>
  <c r="E62" i="10"/>
  <c r="E70" i="10"/>
  <c r="E78" i="10"/>
  <c r="E86" i="10"/>
  <c r="E94" i="10"/>
  <c r="E102" i="10"/>
  <c r="E110" i="10"/>
  <c r="E118" i="10"/>
  <c r="E126" i="10"/>
  <c r="E134" i="10"/>
  <c r="E142" i="10"/>
  <c r="E147" i="10"/>
  <c r="E155" i="10"/>
  <c r="E163" i="10"/>
  <c r="E171" i="10"/>
  <c r="E179" i="10"/>
  <c r="E189" i="10"/>
  <c r="E197" i="10"/>
  <c r="E205" i="10"/>
  <c r="E213" i="10"/>
  <c r="E221" i="10"/>
  <c r="E229" i="10"/>
  <c r="E237" i="10"/>
  <c r="E245" i="10"/>
  <c r="E252" i="10"/>
  <c r="E257" i="10"/>
  <c r="E265" i="10"/>
  <c r="E277" i="10"/>
  <c r="E286" i="10"/>
  <c r="E291" i="10"/>
  <c r="E298" i="10"/>
  <c r="E305" i="10"/>
  <c r="E310" i="10"/>
  <c r="E317" i="10"/>
  <c r="E324" i="10"/>
  <c r="E333" i="10"/>
  <c r="E340" i="10"/>
  <c r="E349" i="10"/>
  <c r="E356" i="10"/>
  <c r="E365" i="10"/>
  <c r="E372" i="10"/>
  <c r="E381" i="10"/>
  <c r="E388" i="10"/>
  <c r="E397" i="10"/>
  <c r="E404" i="10"/>
  <c r="E413" i="10"/>
  <c r="E420" i="10"/>
  <c r="E429" i="10"/>
  <c r="E436" i="10"/>
  <c r="E445" i="10"/>
  <c r="E452" i="10"/>
  <c r="E461" i="10"/>
  <c r="E468" i="10"/>
  <c r="E477" i="10"/>
  <c r="E484" i="10"/>
  <c r="E493" i="10"/>
  <c r="E500" i="10"/>
  <c r="E509" i="10"/>
  <c r="E516" i="10"/>
  <c r="E525" i="10"/>
  <c r="E532" i="10"/>
  <c r="E541" i="10"/>
  <c r="E548" i="10"/>
  <c r="E557" i="10"/>
  <c r="E564" i="10"/>
  <c r="E573" i="10"/>
  <c r="E580" i="10"/>
  <c r="E589" i="10"/>
  <c r="E596" i="10"/>
  <c r="E605" i="10"/>
  <c r="E612" i="10"/>
  <c r="E621" i="10"/>
  <c r="E628" i="10"/>
  <c r="E637" i="10"/>
  <c r="E639" i="10"/>
  <c r="E641" i="10"/>
  <c r="E643" i="10"/>
  <c r="E645" i="10"/>
  <c r="E647" i="10"/>
  <c r="E9" i="10"/>
  <c r="E17" i="10"/>
  <c r="E25" i="10"/>
  <c r="E33" i="10"/>
  <c r="E41" i="10"/>
  <c r="E49" i="10"/>
  <c r="E57" i="10"/>
  <c r="E65" i="10"/>
  <c r="E73" i="10"/>
  <c r="E81" i="10"/>
  <c r="E89" i="10"/>
  <c r="E97" i="10"/>
  <c r="E105" i="10"/>
  <c r="E113" i="10"/>
  <c r="E121" i="10"/>
  <c r="E129" i="10"/>
  <c r="E137" i="10"/>
  <c r="E145" i="10"/>
  <c r="E150" i="10"/>
  <c r="E158" i="10"/>
  <c r="E166" i="10"/>
  <c r="E174" i="10"/>
  <c r="E182" i="10"/>
  <c r="E187" i="10"/>
  <c r="E192" i="10"/>
  <c r="E200" i="10"/>
  <c r="E208" i="10"/>
  <c r="E216" i="10"/>
  <c r="E224" i="10"/>
  <c r="E232" i="10"/>
  <c r="E240" i="10"/>
  <c r="E250" i="10"/>
  <c r="E12" i="10"/>
  <c r="E20" i="10"/>
  <c r="E28" i="10"/>
  <c r="E36" i="10"/>
  <c r="E44" i="10"/>
  <c r="E52" i="10"/>
  <c r="E60" i="10"/>
  <c r="E68" i="10"/>
  <c r="E76" i="10"/>
  <c r="E84" i="10"/>
  <c r="E92" i="10"/>
  <c r="E100" i="10"/>
  <c r="E108" i="10"/>
  <c r="E116" i="10"/>
  <c r="E124" i="10"/>
  <c r="E132" i="10"/>
  <c r="E140" i="10"/>
  <c r="E153" i="10"/>
  <c r="E161" i="10"/>
  <c r="E169" i="10"/>
  <c r="E177" i="10"/>
  <c r="E185" i="10"/>
  <c r="E195" i="10"/>
  <c r="E203" i="10"/>
  <c r="E211" i="10"/>
  <c r="E219" i="10"/>
  <c r="E227" i="10"/>
  <c r="E235" i="10"/>
  <c r="E243" i="10"/>
  <c r="E248" i="10"/>
  <c r="E255" i="10"/>
  <c r="E263" i="10"/>
  <c r="E270" i="10"/>
  <c r="E275" i="10"/>
  <c r="E282" i="10"/>
  <c r="E289" i="10"/>
  <c r="E294" i="10"/>
  <c r="E301" i="10"/>
  <c r="E313" i="10"/>
  <c r="E15" i="10"/>
  <c r="E23" i="10"/>
  <c r="E31" i="10"/>
  <c r="E39" i="10"/>
  <c r="E47" i="10"/>
  <c r="E55" i="10"/>
  <c r="E63" i="10"/>
  <c r="E71" i="10"/>
  <c r="E79" i="10"/>
  <c r="E87" i="10"/>
  <c r="E95" i="10"/>
  <c r="E103" i="10"/>
  <c r="E111" i="10"/>
  <c r="E119" i="10"/>
  <c r="E127" i="10"/>
  <c r="E135" i="10"/>
  <c r="E143" i="10"/>
  <c r="E148" i="10"/>
  <c r="E156" i="10"/>
  <c r="E164" i="10"/>
  <c r="E172" i="10"/>
  <c r="E180" i="10"/>
  <c r="E190" i="10"/>
  <c r="E198" i="10"/>
  <c r="E206" i="10"/>
  <c r="E214" i="10"/>
  <c r="E222" i="10"/>
  <c r="E230" i="10"/>
  <c r="E238" i="10"/>
  <c r="E246" i="10"/>
  <c r="E253" i="10"/>
  <c r="E258" i="10"/>
  <c r="E268" i="10"/>
  <c r="E280" i="10"/>
  <c r="E287" i="10"/>
  <c r="E292" i="10"/>
  <c r="E299" i="10"/>
  <c r="E306" i="10"/>
  <c r="E311" i="10"/>
  <c r="E320" i="10"/>
  <c r="E10" i="10"/>
  <c r="E18" i="10"/>
  <c r="E26" i="10"/>
  <c r="E34" i="10"/>
  <c r="E42" i="10"/>
  <c r="E50" i="10"/>
  <c r="E58" i="10"/>
  <c r="E66" i="10"/>
  <c r="E74" i="10"/>
  <c r="E82" i="10"/>
  <c r="E90" i="10"/>
  <c r="E98" i="10"/>
  <c r="E106" i="10"/>
  <c r="E114" i="10"/>
  <c r="E122" i="10"/>
  <c r="E130" i="10"/>
  <c r="E138" i="10"/>
  <c r="E151" i="10"/>
  <c r="E159" i="10"/>
  <c r="E167" i="10"/>
  <c r="E175" i="10"/>
  <c r="E183" i="10"/>
  <c r="E193" i="10"/>
  <c r="E201" i="10"/>
  <c r="E209" i="10"/>
  <c r="E217" i="10"/>
  <c r="E225" i="10"/>
  <c r="E233" i="10"/>
  <c r="E241" i="10"/>
  <c r="E251" i="10"/>
  <c r="E261" i="10"/>
  <c r="E266" i="10"/>
  <c r="E273" i="10"/>
  <c r="E278" i="10"/>
  <c r="E285" i="10"/>
  <c r="E297" i="10"/>
  <c r="E309" i="10"/>
  <c r="E13" i="10"/>
  <c r="E21" i="10"/>
  <c r="E29" i="10"/>
  <c r="E37" i="10"/>
  <c r="E45" i="10"/>
  <c r="E53" i="10"/>
  <c r="E61" i="10"/>
  <c r="E69" i="10"/>
  <c r="E77" i="10"/>
  <c r="E85" i="10"/>
  <c r="E93" i="10"/>
  <c r="E101" i="10"/>
  <c r="E109" i="10"/>
  <c r="E117" i="10"/>
  <c r="E125" i="10"/>
  <c r="E133" i="10"/>
  <c r="E141" i="10"/>
  <c r="E146" i="10"/>
  <c r="E154" i="10"/>
  <c r="E162" i="10"/>
  <c r="E170" i="10"/>
  <c r="E178" i="10"/>
  <c r="E188" i="10"/>
  <c r="E196" i="10"/>
  <c r="E204" i="10"/>
  <c r="E212" i="10"/>
  <c r="E220" i="10"/>
  <c r="E228" i="10"/>
  <c r="E236" i="10"/>
  <c r="E244" i="10"/>
  <c r="E249" i="10"/>
  <c r="E256" i="10"/>
  <c r="E264" i="10"/>
  <c r="E271" i="10"/>
  <c r="E276" i="10"/>
  <c r="E283" i="10"/>
  <c r="E290" i="10"/>
  <c r="E295" i="10"/>
  <c r="E304" i="10"/>
  <c r="E316" i="10"/>
  <c r="E323" i="10"/>
  <c r="E330" i="10"/>
  <c r="E339" i="10"/>
  <c r="E346" i="10"/>
  <c r="E355" i="10"/>
  <c r="E362" i="10"/>
  <c r="E371" i="10"/>
  <c r="E378" i="10"/>
  <c r="E387" i="10"/>
  <c r="E394" i="10"/>
  <c r="E403" i="10"/>
  <c r="E410" i="10"/>
  <c r="E419" i="10"/>
  <c r="E426" i="10"/>
  <c r="E435" i="10"/>
  <c r="E442" i="10"/>
  <c r="E451" i="10"/>
  <c r="E458" i="10"/>
  <c r="E467" i="10"/>
  <c r="E474" i="10"/>
  <c r="E483" i="10"/>
  <c r="E490" i="10"/>
  <c r="E499" i="10"/>
  <c r="E506" i="10"/>
  <c r="E515" i="10"/>
  <c r="E522" i="10"/>
  <c r="E531" i="10"/>
  <c r="E538" i="10"/>
  <c r="E547" i="10"/>
  <c r="E554" i="10"/>
  <c r="E563" i="10"/>
  <c r="E570" i="10"/>
  <c r="E579" i="10"/>
  <c r="E586" i="10"/>
  <c r="E595" i="10"/>
  <c r="E602" i="10"/>
  <c r="E611" i="10"/>
  <c r="E618" i="10"/>
  <c r="E627" i="10"/>
  <c r="E634" i="10"/>
  <c r="E8" i="10"/>
  <c r="E16" i="10"/>
  <c r="E24" i="10"/>
  <c r="E32" i="10"/>
  <c r="E40" i="10"/>
  <c r="E48" i="10"/>
  <c r="E56" i="10"/>
  <c r="E64" i="10"/>
  <c r="E72" i="10"/>
  <c r="E80" i="10"/>
  <c r="E88" i="10"/>
  <c r="E96" i="10"/>
  <c r="E104" i="10"/>
  <c r="E112" i="10"/>
  <c r="E120" i="10"/>
  <c r="E128" i="10"/>
  <c r="E136" i="10"/>
  <c r="E144" i="10"/>
  <c r="E149" i="10"/>
  <c r="E157" i="10"/>
  <c r="E165" i="10"/>
  <c r="E11" i="10"/>
  <c r="E19" i="10"/>
  <c r="E27" i="10"/>
  <c r="E35" i="10"/>
  <c r="E43" i="10"/>
  <c r="E51" i="10"/>
  <c r="E59" i="10"/>
  <c r="E67" i="10"/>
  <c r="E75" i="10"/>
  <c r="E83" i="10"/>
  <c r="E91" i="10"/>
  <c r="E99" i="10"/>
  <c r="E107" i="10"/>
  <c r="E115" i="10"/>
  <c r="E123" i="10"/>
  <c r="E131" i="10"/>
  <c r="E139" i="10"/>
  <c r="E152" i="10"/>
  <c r="E160" i="10"/>
  <c r="E168" i="10"/>
  <c r="E176" i="10"/>
  <c r="E184" i="10"/>
  <c r="E194" i="10"/>
  <c r="E202" i="10"/>
  <c r="E210" i="10"/>
  <c r="E218" i="10"/>
  <c r="E226" i="10"/>
  <c r="E234" i="10"/>
  <c r="E242" i="10"/>
  <c r="E254" i="10"/>
  <c r="E262" i="10"/>
  <c r="E267" i="10"/>
  <c r="E274" i="10"/>
  <c r="E279" i="10"/>
  <c r="E288" i="10"/>
  <c r="E239" i="10"/>
  <c r="E315" i="10"/>
  <c r="E328" i="10"/>
  <c r="E345" i="10"/>
  <c r="E360" i="10"/>
  <c r="E377" i="10"/>
  <c r="E392" i="10"/>
  <c r="E409" i="10"/>
  <c r="E424" i="10"/>
  <c r="E441" i="10"/>
  <c r="E456" i="10"/>
  <c r="E473" i="10"/>
  <c r="E488" i="10"/>
  <c r="E505" i="10"/>
  <c r="E173" i="10"/>
  <c r="E247" i="10"/>
  <c r="E260" i="10"/>
  <c r="E307" i="10"/>
  <c r="E318" i="10"/>
  <c r="E326" i="10"/>
  <c r="E338" i="10"/>
  <c r="E343" i="10"/>
  <c r="E348" i="10"/>
  <c r="E358" i="10"/>
  <c r="E370" i="10"/>
  <c r="E375" i="10"/>
  <c r="E380" i="10"/>
  <c r="E390" i="10"/>
  <c r="E402" i="10"/>
  <c r="E407" i="10"/>
  <c r="E412" i="10"/>
  <c r="E422" i="10"/>
  <c r="E434" i="10"/>
  <c r="E439" i="10"/>
  <c r="E444" i="10"/>
  <c r="E454" i="10"/>
  <c r="E466" i="10"/>
  <c r="E181" i="10"/>
  <c r="E191" i="10"/>
  <c r="E293" i="10"/>
  <c r="E321" i="10"/>
  <c r="E331" i="10"/>
  <c r="E336" i="10"/>
  <c r="E341" i="10"/>
  <c r="E353" i="10"/>
  <c r="E363" i="10"/>
  <c r="E368" i="10"/>
  <c r="E373" i="10"/>
  <c r="E385" i="10"/>
  <c r="E395" i="10"/>
  <c r="E400" i="10"/>
  <c r="E405" i="10"/>
  <c r="E417" i="10"/>
  <c r="E427" i="10"/>
  <c r="E432" i="10"/>
  <c r="E437" i="10"/>
  <c r="E199" i="10"/>
  <c r="E296" i="10"/>
  <c r="E334" i="10"/>
  <c r="E351" i="10"/>
  <c r="E366" i="10"/>
  <c r="E383" i="10"/>
  <c r="E398" i="10"/>
  <c r="E415" i="10"/>
  <c r="E430" i="10"/>
  <c r="E447" i="10"/>
  <c r="E462" i="10"/>
  <c r="E479" i="10"/>
  <c r="E494" i="10"/>
  <c r="E511" i="10"/>
  <c r="E526" i="10"/>
  <c r="E543" i="10"/>
  <c r="E558" i="10"/>
  <c r="E575" i="10"/>
  <c r="E590" i="10"/>
  <c r="E607" i="10"/>
  <c r="E622" i="10"/>
  <c r="E207" i="10"/>
  <c r="E281" i="10"/>
  <c r="E302" i="10"/>
  <c r="E308" i="10"/>
  <c r="E319" i="10"/>
  <c r="E329" i="10"/>
  <c r="E344" i="10"/>
  <c r="E361" i="10"/>
  <c r="E376" i="10"/>
  <c r="E393" i="10"/>
  <c r="E408" i="10"/>
  <c r="E425" i="10"/>
  <c r="E440" i="10"/>
  <c r="E457" i="10"/>
  <c r="E472" i="10"/>
  <c r="E489" i="10"/>
  <c r="E504" i="10"/>
  <c r="E521" i="10"/>
  <c r="E215" i="10"/>
  <c r="E284" i="10"/>
  <c r="E314" i="10"/>
  <c r="E322" i="10"/>
  <c r="E327" i="10"/>
  <c r="E332" i="10"/>
  <c r="E342" i="10"/>
  <c r="E354" i="10"/>
  <c r="E359" i="10"/>
  <c r="E364" i="10"/>
  <c r="E374" i="10"/>
  <c r="E386" i="10"/>
  <c r="E391" i="10"/>
  <c r="E396" i="10"/>
  <c r="E406" i="10"/>
  <c r="E418" i="10"/>
  <c r="E423" i="10"/>
  <c r="E428" i="10"/>
  <c r="E438" i="10"/>
  <c r="E450" i="10"/>
  <c r="E455" i="10"/>
  <c r="E460" i="10"/>
  <c r="E470" i="10"/>
  <c r="E186" i="10"/>
  <c r="E223" i="10"/>
  <c r="E259" i="10"/>
  <c r="E269" i="10"/>
  <c r="E300" i="10"/>
  <c r="E325" i="10"/>
  <c r="E337" i="10"/>
  <c r="E347" i="10"/>
  <c r="E352" i="10"/>
  <c r="E357" i="10"/>
  <c r="E231" i="10"/>
  <c r="E272" i="10"/>
  <c r="E303" i="10"/>
  <c r="E312" i="10"/>
  <c r="E335" i="10"/>
  <c r="E350" i="10"/>
  <c r="E367" i="10"/>
  <c r="E382" i="10"/>
  <c r="E399" i="10"/>
  <c r="E414" i="10"/>
  <c r="E431" i="10"/>
  <c r="E446" i="10"/>
  <c r="E463" i="10"/>
  <c r="E478" i="10"/>
  <c r="E495" i="10"/>
  <c r="E510" i="10"/>
  <c r="E527" i="10"/>
  <c r="E542" i="10"/>
  <c r="E559" i="10"/>
  <c r="E574" i="10"/>
  <c r="E591" i="10"/>
  <c r="E606" i="10"/>
  <c r="E623" i="10"/>
  <c r="E640" i="10"/>
  <c r="E649" i="10"/>
  <c r="E651" i="10"/>
  <c r="E653" i="10"/>
  <c r="E655" i="10"/>
  <c r="E657" i="10"/>
  <c r="E659" i="10"/>
  <c r="E661" i="10"/>
  <c r="E663" i="10"/>
  <c r="E665" i="10"/>
  <c r="E667" i="10"/>
  <c r="E669" i="10"/>
  <c r="E671" i="10"/>
  <c r="E673" i="10"/>
  <c r="E675" i="10"/>
  <c r="E677" i="10"/>
  <c r="E679" i="10"/>
  <c r="E681" i="10"/>
  <c r="E683" i="10"/>
  <c r="E685" i="10"/>
  <c r="E687" i="10"/>
  <c r="E689" i="10"/>
  <c r="E691" i="10"/>
  <c r="E693" i="10"/>
  <c r="E695" i="10"/>
  <c r="E697" i="10"/>
  <c r="E699" i="10"/>
  <c r="E701" i="10"/>
  <c r="E703" i="10"/>
  <c r="E705" i="10"/>
  <c r="E707" i="10"/>
  <c r="E709" i="10"/>
  <c r="E711" i="10"/>
  <c r="E713" i="10"/>
  <c r="E715" i="10"/>
  <c r="E717" i="10"/>
  <c r="E719" i="10"/>
  <c r="E721" i="10"/>
  <c r="E723" i="10"/>
  <c r="E725" i="10"/>
  <c r="E727" i="10"/>
  <c r="E729" i="10"/>
  <c r="E731" i="10"/>
  <c r="E733" i="10"/>
  <c r="E735" i="10"/>
  <c r="E737" i="10"/>
  <c r="E739" i="10"/>
  <c r="E741" i="10"/>
  <c r="E743" i="10"/>
  <c r="E745" i="10"/>
  <c r="E747" i="10"/>
  <c r="E749" i="10"/>
  <c r="E751" i="10"/>
  <c r="E753" i="10"/>
  <c r="E755" i="10"/>
  <c r="E757" i="10"/>
  <c r="E759" i="10"/>
  <c r="E761" i="10"/>
  <c r="E763" i="10"/>
  <c r="E765" i="10"/>
  <c r="E767" i="10"/>
  <c r="E769" i="10"/>
  <c r="E416" i="10"/>
  <c r="E449" i="10"/>
  <c r="E464" i="10"/>
  <c r="E475" i="10"/>
  <c r="E491" i="10"/>
  <c r="E507" i="10"/>
  <c r="E520" i="10"/>
  <c r="E546" i="10"/>
  <c r="E551" i="10"/>
  <c r="E556" i="10"/>
  <c r="E582" i="10"/>
  <c r="E610" i="10"/>
  <c r="E615" i="10"/>
  <c r="E620" i="10"/>
  <c r="E401" i="10"/>
  <c r="E486" i="10"/>
  <c r="E502" i="10"/>
  <c r="E518" i="10"/>
  <c r="E523" i="10"/>
  <c r="E536" i="10"/>
  <c r="E544" i="10"/>
  <c r="E549" i="10"/>
  <c r="E569" i="10"/>
  <c r="E577" i="10"/>
  <c r="E587" i="10"/>
  <c r="E600" i="10"/>
  <c r="E608" i="10"/>
  <c r="E613" i="10"/>
  <c r="E633" i="10"/>
  <c r="E389" i="10"/>
  <c r="E481" i="10"/>
  <c r="E497" i="10"/>
  <c r="E513" i="10"/>
  <c r="E534" i="10"/>
  <c r="E562" i="10"/>
  <c r="E567" i="10"/>
  <c r="E572" i="10"/>
  <c r="E598" i="10"/>
  <c r="E626" i="10"/>
  <c r="E631" i="10"/>
  <c r="E636" i="10"/>
  <c r="E650" i="10"/>
  <c r="E666" i="10"/>
  <c r="E682" i="10"/>
  <c r="E698" i="10"/>
  <c r="E714" i="10"/>
  <c r="E730" i="10"/>
  <c r="E746" i="10"/>
  <c r="E411" i="10"/>
  <c r="E453" i="10"/>
  <c r="E459" i="10"/>
  <c r="E476" i="10"/>
  <c r="E492" i="10"/>
  <c r="E508" i="10"/>
  <c r="E529" i="10"/>
  <c r="E539" i="10"/>
  <c r="E552" i="10"/>
  <c r="E560" i="10"/>
  <c r="E565" i="10"/>
  <c r="E585" i="10"/>
  <c r="E384" i="10"/>
  <c r="E448" i="10"/>
  <c r="E465" i="10"/>
  <c r="E524" i="10"/>
  <c r="E550" i="10"/>
  <c r="E578" i="10"/>
  <c r="E583" i="10"/>
  <c r="E588" i="10"/>
  <c r="E614" i="10"/>
  <c r="E646" i="10"/>
  <c r="E662" i="10"/>
  <c r="E369" i="10"/>
  <c r="E433" i="10"/>
  <c r="E471" i="10"/>
  <c r="E482" i="10"/>
  <c r="E487" i="10"/>
  <c r="E498" i="10"/>
  <c r="E503" i="10"/>
  <c r="E514" i="10"/>
  <c r="E519" i="10"/>
  <c r="E537" i="10"/>
  <c r="E545" i="10"/>
  <c r="E555" i="10"/>
  <c r="E421" i="10"/>
  <c r="E480" i="10"/>
  <c r="E485" i="10"/>
  <c r="E496" i="10"/>
  <c r="E501" i="10"/>
  <c r="E512" i="10"/>
  <c r="E517" i="10"/>
  <c r="E530" i="10"/>
  <c r="E535" i="10"/>
  <c r="E540" i="10"/>
  <c r="E566" i="10"/>
  <c r="E594" i="10"/>
  <c r="E599" i="10"/>
  <c r="E604" i="10"/>
  <c r="E630" i="10"/>
  <c r="E642" i="10"/>
  <c r="E658" i="10"/>
  <c r="E674" i="10"/>
  <c r="E690" i="10"/>
  <c r="E706" i="10"/>
  <c r="E722" i="10"/>
  <c r="E738" i="10"/>
  <c r="E754" i="10"/>
  <c r="E770" i="10"/>
  <c r="E772" i="10"/>
  <c r="E774" i="10"/>
  <c r="E776" i="10"/>
  <c r="E778" i="10"/>
  <c r="E780" i="10"/>
  <c r="E782" i="10"/>
  <c r="E784" i="10"/>
  <c r="E786" i="10"/>
  <c r="E788" i="10"/>
  <c r="E790" i="10"/>
  <c r="E792" i="10"/>
  <c r="E794" i="10"/>
  <c r="E796" i="10"/>
  <c r="E798" i="10"/>
  <c r="E800" i="10"/>
  <c r="E802" i="10"/>
  <c r="E804" i="10"/>
  <c r="E806" i="10"/>
  <c r="E808" i="10"/>
  <c r="E810" i="10"/>
  <c r="E812" i="10"/>
  <c r="E814" i="10"/>
  <c r="E816" i="10"/>
  <c r="E818" i="10"/>
  <c r="E820" i="10"/>
  <c r="E822" i="10"/>
  <c r="E824" i="10"/>
  <c r="E826" i="10"/>
  <c r="E828" i="10"/>
  <c r="E830" i="10"/>
  <c r="E832" i="10"/>
  <c r="E834" i="10"/>
  <c r="E836" i="10"/>
  <c r="E838" i="10"/>
  <c r="E840" i="10"/>
  <c r="E842" i="10"/>
  <c r="E844" i="10"/>
  <c r="E846" i="10"/>
  <c r="E848" i="10"/>
  <c r="E850" i="10"/>
  <c r="E852" i="10"/>
  <c r="E854" i="10"/>
  <c r="E856" i="10"/>
  <c r="E858" i="10"/>
  <c r="E860" i="10"/>
  <c r="E862" i="10"/>
  <c r="E864" i="10"/>
  <c r="E866" i="10"/>
  <c r="E868" i="10"/>
  <c r="E870" i="10"/>
  <c r="E872" i="10"/>
  <c r="E874" i="10"/>
  <c r="E876" i="10"/>
  <c r="E878" i="10"/>
  <c r="E880" i="10"/>
  <c r="E882" i="10"/>
  <c r="E884" i="10"/>
  <c r="E886" i="10"/>
  <c r="E888" i="10"/>
  <c r="E890" i="10"/>
  <c r="E892" i="10"/>
  <c r="E379" i="10"/>
  <c r="E443" i="10"/>
  <c r="E469" i="10"/>
  <c r="E528" i="10"/>
  <c r="E533" i="10"/>
  <c r="E553" i="10"/>
  <c r="E561" i="10"/>
  <c r="E571" i="10"/>
  <c r="E584" i="10"/>
  <c r="E670" i="10"/>
  <c r="E696" i="10"/>
  <c r="E708" i="10"/>
  <c r="E734" i="10"/>
  <c r="E760" i="10"/>
  <c r="E783" i="10"/>
  <c r="E581" i="10"/>
  <c r="E593" i="10"/>
  <c r="E619" i="10"/>
  <c r="E668" i="10"/>
  <c r="E694" i="10"/>
  <c r="E720" i="10"/>
  <c r="E732" i="10"/>
  <c r="E758" i="10"/>
  <c r="E781" i="10"/>
  <c r="E797" i="10"/>
  <c r="E625" i="10"/>
  <c r="E644" i="10"/>
  <c r="E656" i="10"/>
  <c r="E680" i="10"/>
  <c r="E692" i="10"/>
  <c r="E718" i="10"/>
  <c r="E744" i="10"/>
  <c r="E756" i="10"/>
  <c r="E779" i="10"/>
  <c r="E795" i="10"/>
  <c r="E576" i="10"/>
  <c r="E617" i="10"/>
  <c r="E654" i="10"/>
  <c r="E678" i="10"/>
  <c r="E704" i="10"/>
  <c r="E716" i="10"/>
  <c r="E742" i="10"/>
  <c r="E777" i="10"/>
  <c r="E793" i="10"/>
  <c r="E597" i="10"/>
  <c r="E652" i="10"/>
  <c r="E664" i="10"/>
  <c r="E676" i="10"/>
  <c r="E702" i="10"/>
  <c r="E728" i="10"/>
  <c r="E740" i="10"/>
  <c r="E768" i="10"/>
  <c r="E775" i="10"/>
  <c r="E791" i="10"/>
  <c r="E807" i="10"/>
  <c r="E823" i="10"/>
  <c r="E592" i="10"/>
  <c r="E603" i="10"/>
  <c r="E609" i="10"/>
  <c r="E629" i="10"/>
  <c r="E632" i="10"/>
  <c r="E688" i="10"/>
  <c r="E700" i="10"/>
  <c r="E726" i="10"/>
  <c r="E752" i="10"/>
  <c r="E766" i="10"/>
  <c r="E773" i="10"/>
  <c r="E789" i="10"/>
  <c r="E805" i="10"/>
  <c r="E821" i="10"/>
  <c r="E837" i="10"/>
  <c r="E853" i="10"/>
  <c r="E869" i="10"/>
  <c r="E885" i="10"/>
  <c r="E894" i="10"/>
  <c r="E896" i="10"/>
  <c r="E898" i="10"/>
  <c r="E900" i="10"/>
  <c r="E902" i="10"/>
  <c r="E904" i="10"/>
  <c r="E906" i="10"/>
  <c r="E908" i="10"/>
  <c r="E910" i="10"/>
  <c r="E912" i="10"/>
  <c r="E914" i="10"/>
  <c r="E916" i="10"/>
  <c r="E918" i="10"/>
  <c r="E920" i="10"/>
  <c r="E922" i="10"/>
  <c r="E924" i="10"/>
  <c r="E926" i="10"/>
  <c r="E928" i="10"/>
  <c r="E930" i="10"/>
  <c r="E932" i="10"/>
  <c r="E934" i="10"/>
  <c r="E936" i="10"/>
  <c r="E938" i="10"/>
  <c r="E940" i="10"/>
  <c r="E942" i="10"/>
  <c r="E944" i="10"/>
  <c r="E946" i="10"/>
  <c r="E948" i="10"/>
  <c r="E950" i="10"/>
  <c r="E952" i="10"/>
  <c r="E954" i="10"/>
  <c r="E956" i="10"/>
  <c r="E958" i="10"/>
  <c r="E960" i="10"/>
  <c r="E962" i="10"/>
  <c r="E964" i="10"/>
  <c r="E966" i="10"/>
  <c r="E968" i="10"/>
  <c r="E970" i="10"/>
  <c r="E972" i="10"/>
  <c r="E974" i="10"/>
  <c r="E976" i="10"/>
  <c r="E978" i="10"/>
  <c r="E980" i="10"/>
  <c r="E982" i="10"/>
  <c r="E984" i="10"/>
  <c r="E986" i="10"/>
  <c r="E988" i="10"/>
  <c r="E990" i="10"/>
  <c r="E992" i="10"/>
  <c r="E994" i="10"/>
  <c r="E996" i="10"/>
  <c r="E998" i="10"/>
  <c r="E1000" i="10"/>
  <c r="E1002" i="10"/>
  <c r="E1004" i="10"/>
  <c r="E1006" i="10"/>
  <c r="E1008" i="10"/>
  <c r="E1010" i="10"/>
  <c r="E1012" i="10"/>
  <c r="E1014" i="10"/>
  <c r="E1016" i="10"/>
  <c r="E1018" i="10"/>
  <c r="E1020" i="10"/>
  <c r="E1022" i="10"/>
  <c r="E1024" i="10"/>
  <c r="E1026" i="10"/>
  <c r="E568" i="10"/>
  <c r="E624" i="10"/>
  <c r="E635" i="10"/>
  <c r="E686" i="10"/>
  <c r="E712" i="10"/>
  <c r="E724" i="10"/>
  <c r="E750" i="10"/>
  <c r="E764" i="10"/>
  <c r="E771" i="10"/>
  <c r="E787" i="10"/>
  <c r="E803" i="10"/>
  <c r="E819" i="10"/>
  <c r="E835" i="10"/>
  <c r="E851" i="10"/>
  <c r="E867" i="10"/>
  <c r="E883" i="10"/>
  <c r="E601" i="10"/>
  <c r="E616" i="10"/>
  <c r="E638" i="10"/>
  <c r="E648" i="10"/>
  <c r="E660" i="10"/>
  <c r="E672" i="10"/>
  <c r="E684" i="10"/>
  <c r="E710" i="10"/>
  <c r="E736" i="10"/>
  <c r="E748" i="10"/>
  <c r="E762" i="10"/>
  <c r="E785" i="10"/>
  <c r="E801" i="10"/>
  <c r="E811" i="10"/>
  <c r="E849" i="10"/>
  <c r="E861" i="10"/>
  <c r="E873" i="10"/>
  <c r="E901" i="10"/>
  <c r="E917" i="10"/>
  <c r="E933" i="10"/>
  <c r="E949" i="10"/>
  <c r="E965" i="10"/>
  <c r="E981" i="10"/>
  <c r="E997" i="10"/>
  <c r="E1013" i="10"/>
  <c r="E799" i="10"/>
  <c r="E809" i="10"/>
  <c r="E847" i="10"/>
  <c r="E859" i="10"/>
  <c r="E871" i="10"/>
  <c r="E899" i="10"/>
  <c r="E915" i="10"/>
  <c r="E931" i="10"/>
  <c r="E947" i="10"/>
  <c r="E963" i="10"/>
  <c r="E979" i="10"/>
  <c r="E995" i="10"/>
  <c r="E1011" i="10"/>
  <c r="E1027" i="10"/>
  <c r="E1029" i="10"/>
  <c r="E1031" i="10"/>
  <c r="E1033" i="10"/>
  <c r="E1035" i="10"/>
  <c r="E1037" i="10"/>
  <c r="E1039" i="10"/>
  <c r="E1041" i="10"/>
  <c r="E1043" i="10"/>
  <c r="E1045" i="10"/>
  <c r="E1047" i="10"/>
  <c r="E1049" i="10"/>
  <c r="E1051" i="10"/>
  <c r="E1053" i="10"/>
  <c r="E1055" i="10"/>
  <c r="E1057" i="10"/>
  <c r="E1059" i="10"/>
  <c r="E1061" i="10"/>
  <c r="E1063" i="10"/>
  <c r="E1065" i="10"/>
  <c r="E1067" i="10"/>
  <c r="E1069" i="10"/>
  <c r="E1071" i="10"/>
  <c r="E1073" i="10"/>
  <c r="E1075" i="10"/>
  <c r="E1077" i="10"/>
  <c r="E1079" i="10"/>
  <c r="E1081" i="10"/>
  <c r="E1083" i="10"/>
  <c r="E1085" i="10"/>
  <c r="E1087" i="10"/>
  <c r="E1089" i="10"/>
  <c r="E1091" i="10"/>
  <c r="E1093" i="10"/>
  <c r="E1095" i="10"/>
  <c r="E1097" i="10"/>
  <c r="E1099" i="10"/>
  <c r="E1101" i="10"/>
  <c r="E1103" i="10"/>
  <c r="E1105" i="10"/>
  <c r="E1107" i="10"/>
  <c r="E1109" i="10"/>
  <c r="E1111" i="10"/>
  <c r="E1113" i="10"/>
  <c r="E1115" i="10"/>
  <c r="E1117" i="10"/>
  <c r="E1119" i="10"/>
  <c r="E1121" i="10"/>
  <c r="E1123" i="10"/>
  <c r="E1125" i="10"/>
  <c r="E1127" i="10"/>
  <c r="E1129" i="10"/>
  <c r="E1131" i="10"/>
  <c r="E1133" i="10"/>
  <c r="E1135" i="10"/>
  <c r="E1137" i="10"/>
  <c r="E1139" i="10"/>
  <c r="E1141" i="10"/>
  <c r="E1143" i="10"/>
  <c r="E1145" i="10"/>
  <c r="E1147" i="10"/>
  <c r="E1149" i="10"/>
  <c r="E1151" i="10"/>
  <c r="E1153" i="10"/>
  <c r="E1155" i="10"/>
  <c r="E1157" i="10"/>
  <c r="E1159" i="10"/>
  <c r="E1161" i="10"/>
  <c r="E1163" i="10"/>
  <c r="E1165" i="10"/>
  <c r="E1167" i="10"/>
  <c r="E1169" i="10"/>
  <c r="E833" i="10"/>
  <c r="E845" i="10"/>
  <c r="E857" i="10"/>
  <c r="E897" i="10"/>
  <c r="E913" i="10"/>
  <c r="E929" i="10"/>
  <c r="E945" i="10"/>
  <c r="E961" i="10"/>
  <c r="E977" i="10"/>
  <c r="E993" i="10"/>
  <c r="E1009" i="10"/>
  <c r="E831" i="10"/>
  <c r="E843" i="10"/>
  <c r="E855" i="10"/>
  <c r="E895" i="10"/>
  <c r="E911" i="10"/>
  <c r="E927" i="10"/>
  <c r="E943" i="10"/>
  <c r="E959" i="10"/>
  <c r="E975" i="10"/>
  <c r="E991" i="10"/>
  <c r="E1007" i="10"/>
  <c r="E1023" i="10"/>
  <c r="E829" i="10"/>
  <c r="E841" i="10"/>
  <c r="E881" i="10"/>
  <c r="E893" i="10"/>
  <c r="E909" i="10"/>
  <c r="E925" i="10"/>
  <c r="E941" i="10"/>
  <c r="E957" i="10"/>
  <c r="E973" i="10"/>
  <c r="E989" i="10"/>
  <c r="E1005" i="10"/>
  <c r="E817" i="10"/>
  <c r="E827" i="10"/>
  <c r="E839" i="10"/>
  <c r="E879" i="10"/>
  <c r="E891" i="10"/>
  <c r="E907" i="10"/>
  <c r="E923" i="10"/>
  <c r="E939" i="10"/>
  <c r="E955" i="10"/>
  <c r="E971" i="10"/>
  <c r="E987" i="10"/>
  <c r="E1003" i="10"/>
  <c r="E815" i="10"/>
  <c r="E825" i="10"/>
  <c r="E865" i="10"/>
  <c r="E877" i="10"/>
  <c r="E889" i="10"/>
  <c r="E905" i="10"/>
  <c r="E921" i="10"/>
  <c r="E937" i="10"/>
  <c r="E953" i="10"/>
  <c r="E969" i="10"/>
  <c r="E985" i="10"/>
  <c r="E1001" i="10"/>
  <c r="E1017" i="10"/>
  <c r="E813" i="10"/>
  <c r="E863" i="10"/>
  <c r="E875" i="10"/>
  <c r="E887" i="10"/>
  <c r="E903" i="10"/>
  <c r="E919" i="10"/>
  <c r="E935" i="10"/>
  <c r="E951" i="10"/>
  <c r="E967" i="10"/>
  <c r="E983" i="10"/>
  <c r="E999" i="10"/>
  <c r="E1015" i="10"/>
  <c r="E1034" i="10"/>
  <c r="E1050" i="10"/>
  <c r="E1066" i="10"/>
  <c r="E1082" i="10"/>
  <c r="E1098" i="10"/>
  <c r="E1114" i="10"/>
  <c r="E1130" i="10"/>
  <c r="E1146" i="10"/>
  <c r="E1162" i="10"/>
  <c r="E1171" i="10"/>
  <c r="E1173" i="10"/>
  <c r="E1175" i="10"/>
  <c r="E1177" i="10"/>
  <c r="E1179" i="10"/>
  <c r="E1181" i="10"/>
  <c r="E1183" i="10"/>
  <c r="E1185" i="10"/>
  <c r="E1187" i="10"/>
  <c r="E1189" i="10"/>
  <c r="E1191" i="10"/>
  <c r="E1193" i="10"/>
  <c r="E1195" i="10"/>
  <c r="E1197" i="10"/>
  <c r="E1199" i="10"/>
  <c r="E1025" i="10"/>
  <c r="E1032" i="10"/>
  <c r="E1048" i="10"/>
  <c r="E1064" i="10"/>
  <c r="E1080" i="10"/>
  <c r="E1096" i="10"/>
  <c r="E1112" i="10"/>
  <c r="E1128" i="10"/>
  <c r="E1144" i="10"/>
  <c r="E1160" i="10"/>
  <c r="E1030" i="10"/>
  <c r="E1046" i="10"/>
  <c r="E1062" i="10"/>
  <c r="E1078" i="10"/>
  <c r="E1094" i="10"/>
  <c r="E1110" i="10"/>
  <c r="E1126" i="10"/>
  <c r="E1142" i="10"/>
  <c r="E1158" i="10"/>
  <c r="E1028" i="10"/>
  <c r="E1044" i="10"/>
  <c r="E1060" i="10"/>
  <c r="E1076" i="10"/>
  <c r="E1092" i="10"/>
  <c r="E1108" i="10"/>
  <c r="E1124" i="10"/>
  <c r="E1140" i="10"/>
  <c r="E1156" i="10"/>
  <c r="E1021" i="10"/>
  <c r="E1042" i="10"/>
  <c r="E1058" i="10"/>
  <c r="E1074" i="10"/>
  <c r="E1090" i="10"/>
  <c r="E1106" i="10"/>
  <c r="E1122" i="10"/>
  <c r="E1138" i="10"/>
  <c r="E1154" i="10"/>
  <c r="E1170" i="10"/>
  <c r="E1172" i="10"/>
  <c r="E1174" i="10"/>
  <c r="E1176" i="10"/>
  <c r="E1178" i="10"/>
  <c r="E1180" i="10"/>
  <c r="E1182" i="10"/>
  <c r="E1184" i="10"/>
  <c r="E1186" i="10"/>
  <c r="E1188" i="10"/>
  <c r="E1190" i="10"/>
  <c r="E1192" i="10"/>
  <c r="E1194" i="10"/>
  <c r="E1196" i="10"/>
  <c r="E1198" i="10"/>
  <c r="E1200" i="10"/>
  <c r="E1019" i="10"/>
  <c r="E1040" i="10"/>
  <c r="E1056" i="10"/>
  <c r="E1072" i="10"/>
  <c r="E1088" i="10"/>
  <c r="E1104" i="10"/>
  <c r="E1120" i="10"/>
  <c r="E1136" i="10"/>
  <c r="E1152" i="10"/>
  <c r="E1168" i="10"/>
  <c r="E1038" i="10"/>
  <c r="E1054" i="10"/>
  <c r="E1070" i="10"/>
  <c r="E1086" i="10"/>
  <c r="E1102" i="10"/>
  <c r="E1118" i="10"/>
  <c r="E1134" i="10"/>
  <c r="E1150" i="10"/>
  <c r="E1166" i="10"/>
  <c r="E1036" i="10"/>
  <c r="E1052" i="10"/>
  <c r="E1068" i="10"/>
  <c r="E1084" i="10"/>
  <c r="E1100" i="10"/>
  <c r="E1116" i="10"/>
  <c r="E1132" i="10"/>
  <c r="E1148" i="10"/>
  <c r="E1164" i="10"/>
  <c r="E21" i="9"/>
  <c r="E1159" i="9"/>
  <c r="E9" i="9"/>
  <c r="E1127" i="9"/>
  <c r="E1095" i="9"/>
  <c r="E1041" i="9"/>
  <c r="E1191" i="9"/>
  <c r="E1063" i="9"/>
  <c r="X9" i="17"/>
  <c r="X24" i="17"/>
  <c r="X88" i="17"/>
  <c r="X152" i="17"/>
  <c r="X262" i="17"/>
  <c r="X298" i="17"/>
  <c r="X344" i="17"/>
  <c r="X469" i="17"/>
  <c r="X502" i="17"/>
  <c r="X543" i="17"/>
  <c r="X576" i="17"/>
  <c r="X659" i="17"/>
  <c r="X666" i="17"/>
  <c r="X713" i="17"/>
  <c r="X744" i="17"/>
  <c r="X775" i="17"/>
  <c r="X846" i="17"/>
  <c r="X891" i="17"/>
  <c r="X963" i="17"/>
  <c r="X11" i="17"/>
  <c r="X13" i="17"/>
  <c r="X16" i="17"/>
  <c r="X34" i="17"/>
  <c r="X39" i="17"/>
  <c r="X52" i="17"/>
  <c r="X62" i="17"/>
  <c r="X65" i="17"/>
  <c r="X75" i="17"/>
  <c r="X77" i="17"/>
  <c r="X80" i="17"/>
  <c r="X98" i="17"/>
  <c r="X103" i="17"/>
  <c r="X116" i="17"/>
  <c r="X126" i="17"/>
  <c r="X129" i="17"/>
  <c r="X139" i="17"/>
  <c r="X141" i="17"/>
  <c r="X144" i="17"/>
  <c r="X162" i="17"/>
  <c r="X167" i="17"/>
  <c r="X180" i="17"/>
  <c r="X190" i="17"/>
  <c r="X193" i="17"/>
  <c r="X203" i="17"/>
  <c r="X205" i="17"/>
  <c r="X208" i="17"/>
  <c r="X226" i="17"/>
  <c r="X231" i="17"/>
  <c r="X244" i="17"/>
  <c r="X254" i="17"/>
  <c r="X257" i="17"/>
  <c r="X267" i="17"/>
  <c r="X269" i="17"/>
  <c r="X272" i="17"/>
  <c r="X290" i="17"/>
  <c r="X295" i="17"/>
  <c r="X308" i="17"/>
  <c r="X318" i="17"/>
  <c r="X321" i="17"/>
  <c r="X331" i="17"/>
  <c r="X333" i="17"/>
  <c r="X336" i="17"/>
  <c r="X354" i="17"/>
  <c r="X359" i="17"/>
  <c r="X372" i="17"/>
  <c r="X382" i="17"/>
  <c r="X385" i="17"/>
  <c r="X395" i="17"/>
  <c r="X397" i="17"/>
  <c r="X400" i="17"/>
  <c r="X412" i="17"/>
  <c r="X425" i="17"/>
  <c r="X443" i="17"/>
  <c r="X448" i="17"/>
  <c r="X450" i="17"/>
  <c r="X455" i="17"/>
  <c r="X457" i="17"/>
  <c r="X460" i="17"/>
  <c r="X476" i="17"/>
  <c r="X489" i="17"/>
  <c r="X507" i="17"/>
  <c r="X512" i="17"/>
  <c r="X514" i="17"/>
  <c r="X519" i="17"/>
  <c r="X521" i="17"/>
  <c r="X524" i="17"/>
  <c r="X540" i="17"/>
  <c r="X563" i="17"/>
  <c r="X565" i="17"/>
  <c r="X568" i="17"/>
  <c r="X570" i="17"/>
  <c r="X574" i="17"/>
  <c r="X586" i="17"/>
  <c r="X601" i="17"/>
  <c r="X605" i="17"/>
  <c r="X607" i="17"/>
  <c r="X617" i="17"/>
  <c r="X623" i="17"/>
  <c r="X630" i="17"/>
  <c r="X646" i="17"/>
  <c r="X648" i="17"/>
  <c r="X651" i="17"/>
  <c r="X677" i="17"/>
  <c r="X679" i="17"/>
  <c r="X685" i="17"/>
  <c r="X688" i="17"/>
  <c r="X699" i="17"/>
  <c r="X705" i="17"/>
  <c r="X708" i="17"/>
  <c r="X716" i="17"/>
  <c r="X721" i="17"/>
  <c r="X732" i="17"/>
  <c r="X736" i="17"/>
  <c r="X739" i="17"/>
  <c r="X750" i="17"/>
  <c r="X759" i="17"/>
  <c r="X770" i="17"/>
  <c r="X788" i="17"/>
  <c r="X819" i="17"/>
  <c r="X821" i="17"/>
  <c r="X824" i="17"/>
  <c r="X826" i="17"/>
  <c r="X830" i="17"/>
  <c r="X842" i="17"/>
  <c r="X857" i="17"/>
  <c r="X861" i="17"/>
  <c r="X863" i="17"/>
  <c r="X865" i="17"/>
  <c r="X872" i="17"/>
  <c r="X879" i="17"/>
  <c r="X884" i="17"/>
  <c r="X893" i="17"/>
  <c r="X897" i="17"/>
  <c r="X900" i="17"/>
  <c r="X914" i="17"/>
  <c r="X926" i="17"/>
  <c r="X928" i="17"/>
  <c r="X965" i="17"/>
  <c r="X972" i="17"/>
  <c r="X986" i="17"/>
  <c r="X991" i="17"/>
  <c r="X993" i="17"/>
  <c r="X42" i="17"/>
  <c r="X124" i="17"/>
  <c r="X175" i="17"/>
  <c r="X275" i="17"/>
  <c r="X339" i="17"/>
  <c r="X380" i="17"/>
  <c r="X410" i="17"/>
  <c r="X533" i="17"/>
  <c r="X599" i="17"/>
  <c r="X701" i="17"/>
  <c r="X773" i="17"/>
  <c r="X801" i="17"/>
  <c r="X828" i="17"/>
  <c r="X905" i="17"/>
  <c r="X998" i="17"/>
  <c r="X19" i="17"/>
  <c r="X83" i="17"/>
  <c r="X137" i="17"/>
  <c r="X170" i="17"/>
  <c r="X216" i="17"/>
  <c r="X280" i="17"/>
  <c r="X393" i="17"/>
  <c r="X415" i="17"/>
  <c r="X505" i="17"/>
  <c r="X579" i="17"/>
  <c r="X670" i="17"/>
  <c r="X747" i="17"/>
  <c r="X935" i="17"/>
  <c r="X954" i="17"/>
  <c r="X4" i="17"/>
  <c r="X14" i="17"/>
  <c r="X17" i="17"/>
  <c r="X27" i="17"/>
  <c r="X29" i="17"/>
  <c r="X32" i="17"/>
  <c r="X50" i="17"/>
  <c r="X55" i="17"/>
  <c r="X68" i="17"/>
  <c r="X78" i="17"/>
  <c r="X81" i="17"/>
  <c r="X91" i="17"/>
  <c r="X93" i="17"/>
  <c r="X96" i="17"/>
  <c r="X114" i="17"/>
  <c r="X119" i="17"/>
  <c r="X132" i="17"/>
  <c r="X142" i="17"/>
  <c r="X145" i="17"/>
  <c r="X155" i="17"/>
  <c r="X157" i="17"/>
  <c r="X160" i="17"/>
  <c r="X178" i="17"/>
  <c r="X183" i="17"/>
  <c r="X196" i="17"/>
  <c r="X206" i="17"/>
  <c r="X209" i="17"/>
  <c r="X219" i="17"/>
  <c r="X221" i="17"/>
  <c r="X224" i="17"/>
  <c r="X242" i="17"/>
  <c r="X247" i="17"/>
  <c r="X260" i="17"/>
  <c r="X270" i="17"/>
  <c r="X273" i="17"/>
  <c r="X283" i="17"/>
  <c r="X285" i="17"/>
  <c r="X288" i="17"/>
  <c r="X306" i="17"/>
  <c r="X311" i="17"/>
  <c r="X324" i="17"/>
  <c r="X334" i="17"/>
  <c r="X337" i="17"/>
  <c r="X347" i="17"/>
  <c r="X349" i="17"/>
  <c r="X352" i="17"/>
  <c r="X370" i="17"/>
  <c r="X375" i="17"/>
  <c r="X388" i="17"/>
  <c r="X398" i="17"/>
  <c r="X401" i="17"/>
  <c r="X408" i="17"/>
  <c r="X418" i="17"/>
  <c r="X420" i="17"/>
  <c r="X428" i="17"/>
  <c r="X431" i="17"/>
  <c r="X444" i="17"/>
  <c r="X451" i="17"/>
  <c r="X453" i="17"/>
  <c r="X472" i="17"/>
  <c r="X482" i="17"/>
  <c r="X484" i="17"/>
  <c r="X492" i="17"/>
  <c r="X495" i="17"/>
  <c r="X508" i="17"/>
  <c r="X515" i="17"/>
  <c r="X517" i="17"/>
  <c r="X536" i="17"/>
  <c r="X546" i="17"/>
  <c r="X548" i="17"/>
  <c r="X553" i="17"/>
  <c r="X559" i="17"/>
  <c r="X566" i="17"/>
  <c r="X582" i="17"/>
  <c r="X584" i="17"/>
  <c r="X587" i="17"/>
  <c r="X613" i="17"/>
  <c r="X615" i="17"/>
  <c r="X621" i="17"/>
  <c r="X624" i="17"/>
  <c r="X635" i="17"/>
  <c r="X641" i="17"/>
  <c r="X644" i="17"/>
  <c r="X652" i="17"/>
  <c r="X657" i="17"/>
  <c r="X668" i="17"/>
  <c r="X672" i="17"/>
  <c r="X675" i="17"/>
  <c r="X686" i="17"/>
  <c r="X695" i="17"/>
  <c r="X706" i="17"/>
  <c r="X724" i="17"/>
  <c r="X755" i="17"/>
  <c r="X757" i="17"/>
  <c r="X760" i="17"/>
  <c r="X762" i="17"/>
  <c r="X766" i="17"/>
  <c r="X778" i="17"/>
  <c r="X793" i="17"/>
  <c r="X797" i="17"/>
  <c r="X799" i="17"/>
  <c r="X809" i="17"/>
  <c r="X815" i="17"/>
  <c r="X822" i="17"/>
  <c r="X838" i="17"/>
  <c r="X840" i="17"/>
  <c r="X843" i="17"/>
  <c r="X875" i="17"/>
  <c r="X880" i="17"/>
  <c r="X889" i="17"/>
  <c r="X898" i="17"/>
  <c r="X910" i="17"/>
  <c r="X921" i="17"/>
  <c r="X924" i="17"/>
  <c r="X933" i="17"/>
  <c r="X952" i="17"/>
  <c r="X966" i="17"/>
  <c r="X975" i="17"/>
  <c r="X982" i="17"/>
  <c r="X989" i="17"/>
  <c r="X47" i="17"/>
  <c r="X134" i="17"/>
  <c r="X201" i="17"/>
  <c r="X265" i="17"/>
  <c r="X329" i="17"/>
  <c r="X390" i="17"/>
  <c r="X438" i="17"/>
  <c r="X510" i="17"/>
  <c r="X610" i="17"/>
  <c r="X664" i="17"/>
  <c r="X697" i="17"/>
  <c r="X742" i="17"/>
  <c r="X804" i="17"/>
  <c r="X855" i="17"/>
  <c r="X977" i="17"/>
  <c r="X12" i="17"/>
  <c r="X22" i="17"/>
  <c r="X25" i="17"/>
  <c r="X35" i="17"/>
  <c r="X37" i="17"/>
  <c r="X40" i="17"/>
  <c r="X58" i="17"/>
  <c r="X63" i="17"/>
  <c r="X76" i="17"/>
  <c r="X86" i="17"/>
  <c r="X89" i="17"/>
  <c r="X99" i="17"/>
  <c r="X101" i="17"/>
  <c r="X104" i="17"/>
  <c r="X122" i="17"/>
  <c r="X127" i="17"/>
  <c r="X140" i="17"/>
  <c r="X150" i="17"/>
  <c r="X153" i="17"/>
  <c r="X163" i="17"/>
  <c r="X165" i="17"/>
  <c r="X168" i="17"/>
  <c r="X186" i="17"/>
  <c r="X191" i="17"/>
  <c r="X204" i="17"/>
  <c r="X214" i="17"/>
  <c r="X217" i="17"/>
  <c r="X227" i="17"/>
  <c r="X229" i="17"/>
  <c r="X232" i="17"/>
  <c r="X250" i="17"/>
  <c r="X255" i="17"/>
  <c r="X268" i="17"/>
  <c r="X278" i="17"/>
  <c r="X281" i="17"/>
  <c r="X291" i="17"/>
  <c r="X293" i="17"/>
  <c r="X296" i="17"/>
  <c r="X314" i="17"/>
  <c r="X319" i="17"/>
  <c r="X332" i="17"/>
  <c r="X342" i="17"/>
  <c r="X345" i="17"/>
  <c r="X355" i="17"/>
  <c r="X357" i="17"/>
  <c r="X360" i="17"/>
  <c r="X378" i="17"/>
  <c r="X383" i="17"/>
  <c r="X396" i="17"/>
  <c r="X406" i="17"/>
  <c r="X413" i="17"/>
  <c r="X416" i="17"/>
  <c r="X423" i="17"/>
  <c r="X426" i="17"/>
  <c r="X456" i="17"/>
  <c r="X458" i="17"/>
  <c r="X470" i="17"/>
  <c r="X477" i="17"/>
  <c r="X480" i="17"/>
  <c r="X487" i="17"/>
  <c r="X490" i="17"/>
  <c r="X520" i="17"/>
  <c r="X522" i="17"/>
  <c r="X534" i="17"/>
  <c r="X541" i="17"/>
  <c r="X544" i="17"/>
  <c r="X564" i="17"/>
  <c r="X595" i="17"/>
  <c r="X597" i="17"/>
  <c r="X600" i="17"/>
  <c r="X602" i="17"/>
  <c r="X606" i="17"/>
  <c r="X618" i="17"/>
  <c r="X633" i="17"/>
  <c r="X637" i="17"/>
  <c r="X639" i="17"/>
  <c r="X649" i="17"/>
  <c r="X655" i="17"/>
  <c r="X662" i="17"/>
  <c r="X678" i="17"/>
  <c r="X680" i="17"/>
  <c r="X683" i="17"/>
  <c r="X709" i="17"/>
  <c r="X711" i="17"/>
  <c r="X717" i="17"/>
  <c r="X720" i="17"/>
  <c r="X731" i="17"/>
  <c r="X737" i="17"/>
  <c r="X740" i="17"/>
  <c r="X748" i="17"/>
  <c r="X753" i="17"/>
  <c r="X764" i="17"/>
  <c r="X768" i="17"/>
  <c r="X771" i="17"/>
  <c r="X782" i="17"/>
  <c r="X791" i="17"/>
  <c r="X802" i="17"/>
  <c r="X820" i="17"/>
  <c r="X851" i="17"/>
  <c r="X853" i="17"/>
  <c r="X856" i="17"/>
  <c r="X858" i="17"/>
  <c r="X862" i="17"/>
  <c r="X866" i="17"/>
  <c r="X868" i="17"/>
  <c r="X878" i="17"/>
  <c r="X885" i="17"/>
  <c r="X887" i="17"/>
  <c r="X894" i="17"/>
  <c r="X896" i="17"/>
  <c r="X903" i="17"/>
  <c r="X915" i="17"/>
  <c r="X919" i="17"/>
  <c r="X938" i="17"/>
  <c r="X945" i="17"/>
  <c r="X950" i="17"/>
  <c r="X973" i="17"/>
  <c r="X980" i="17"/>
  <c r="X994" i="17"/>
  <c r="X996" i="17"/>
  <c r="X73" i="17"/>
  <c r="X106" i="17"/>
  <c r="X149" i="17"/>
  <c r="X234" i="17"/>
  <c r="X316" i="17"/>
  <c r="X367" i="17"/>
  <c r="X436" i="17"/>
  <c r="X500" i="17"/>
  <c r="X556" i="17"/>
  <c r="X572" i="17"/>
  <c r="X719" i="17"/>
  <c r="X812" i="17"/>
  <c r="X832" i="17"/>
  <c r="X912" i="17"/>
  <c r="X940" i="17"/>
  <c r="X970" i="17"/>
  <c r="X956" i="17"/>
  <c r="X937" i="17"/>
  <c r="X906" i="17"/>
  <c r="X892" i="17"/>
  <c r="X873" i="17"/>
  <c r="X850" i="17"/>
  <c r="X818" i="17"/>
  <c r="X786" i="17"/>
  <c r="X754" i="17"/>
  <c r="X722" i="17"/>
  <c r="X690" i="17"/>
  <c r="X658" i="17"/>
  <c r="X626" i="17"/>
  <c r="X594" i="17"/>
  <c r="X562" i="17"/>
  <c r="X2" i="17"/>
  <c r="X7" i="17"/>
  <c r="X20" i="17"/>
  <c r="X30" i="17"/>
  <c r="X33" i="17"/>
  <c r="X43" i="17"/>
  <c r="X45" i="17"/>
  <c r="X48" i="17"/>
  <c r="X66" i="17"/>
  <c r="X71" i="17"/>
  <c r="X84" i="17"/>
  <c r="X94" i="17"/>
  <c r="X97" i="17"/>
  <c r="X107" i="17"/>
  <c r="X109" i="17"/>
  <c r="X112" i="17"/>
  <c r="X130" i="17"/>
  <c r="X135" i="17"/>
  <c r="X148" i="17"/>
  <c r="X158" i="17"/>
  <c r="X161" i="17"/>
  <c r="X171" i="17"/>
  <c r="X173" i="17"/>
  <c r="X176" i="17"/>
  <c r="X194" i="17"/>
  <c r="X199" i="17"/>
  <c r="X212" i="17"/>
  <c r="X222" i="17"/>
  <c r="X225" i="17"/>
  <c r="X235" i="17"/>
  <c r="X237" i="17"/>
  <c r="X240" i="17"/>
  <c r="X258" i="17"/>
  <c r="X263" i="17"/>
  <c r="X276" i="17"/>
  <c r="X286" i="17"/>
  <c r="X289" i="17"/>
  <c r="X299" i="17"/>
  <c r="X301" i="17"/>
  <c r="X304" i="17"/>
  <c r="X322" i="17"/>
  <c r="X327" i="17"/>
  <c r="X340" i="17"/>
  <c r="X350" i="17"/>
  <c r="X353" i="17"/>
  <c r="X363" i="17"/>
  <c r="X365" i="17"/>
  <c r="X368" i="17"/>
  <c r="X386" i="17"/>
  <c r="X391" i="17"/>
  <c r="X411" i="17"/>
  <c r="X421" i="17"/>
  <c r="X429" i="17"/>
  <c r="X432" i="17"/>
  <c r="X434" i="17"/>
  <c r="X437" i="17"/>
  <c r="X439" i="17"/>
  <c r="X447" i="17"/>
  <c r="X461" i="17"/>
  <c r="X463" i="17"/>
  <c r="X465" i="17"/>
  <c r="X475" i="17"/>
  <c r="X485" i="17"/>
  <c r="X493" i="17"/>
  <c r="X496" i="17"/>
  <c r="X498" i="17"/>
  <c r="X501" i="17"/>
  <c r="X503" i="17"/>
  <c r="X511" i="17"/>
  <c r="X525" i="17"/>
  <c r="X527" i="17"/>
  <c r="X529" i="17"/>
  <c r="X539" i="17"/>
  <c r="X549" i="17"/>
  <c r="X551" i="17"/>
  <c r="X557" i="17"/>
  <c r="X560" i="17"/>
  <c r="X571" i="17"/>
  <c r="X577" i="17"/>
  <c r="X580" i="17"/>
  <c r="X588" i="17"/>
  <c r="X593" i="17"/>
  <c r="X604" i="17"/>
  <c r="X608" i="17"/>
  <c r="X611" i="17"/>
  <c r="X622" i="17"/>
  <c r="X631" i="17"/>
  <c r="X642" i="17"/>
  <c r="X660" i="17"/>
  <c r="X691" i="17"/>
  <c r="X693" i="17"/>
  <c r="X696" i="17"/>
  <c r="X698" i="17"/>
  <c r="X702" i="17"/>
  <c r="X714" i="17"/>
  <c r="X729" i="17"/>
  <c r="X733" i="17"/>
  <c r="X735" i="17"/>
  <c r="X745" i="17"/>
  <c r="X751" i="17"/>
  <c r="X758" i="17"/>
  <c r="X774" i="17"/>
  <c r="X776" i="17"/>
  <c r="X779" i="17"/>
  <c r="X805" i="17"/>
  <c r="X807" i="17"/>
  <c r="X813" i="17"/>
  <c r="X816" i="17"/>
  <c r="X827" i="17"/>
  <c r="X833" i="17"/>
  <c r="X836" i="17"/>
  <c r="X844" i="17"/>
  <c r="X849" i="17"/>
  <c r="X860" i="17"/>
  <c r="X864" i="17"/>
  <c r="X901" i="17"/>
  <c r="X908" i="17"/>
  <c r="X922" i="17"/>
  <c r="X927" i="17"/>
  <c r="X929" i="17"/>
  <c r="X936" i="17"/>
  <c r="X943" i="17"/>
  <c r="X948" i="17"/>
  <c r="X957" i="17"/>
  <c r="X961" i="17"/>
  <c r="X964" i="17"/>
  <c r="X978" i="17"/>
  <c r="X990" i="17"/>
  <c r="X992" i="17"/>
  <c r="X6" i="17"/>
  <c r="X21" i="17"/>
  <c r="X147" i="17"/>
  <c r="X211" i="17"/>
  <c r="X252" i="17"/>
  <c r="X277" i="17"/>
  <c r="X341" i="17"/>
  <c r="X403" i="17"/>
  <c r="X446" i="17"/>
  <c r="X479" i="17"/>
  <c r="X590" i="17"/>
  <c r="X726" i="17"/>
  <c r="X795" i="17"/>
  <c r="X870" i="17"/>
  <c r="X10" i="17"/>
  <c r="X15" i="17"/>
  <c r="X28" i="17"/>
  <c r="X38" i="17"/>
  <c r="X41" i="17"/>
  <c r="X51" i="17"/>
  <c r="X53" i="17"/>
  <c r="X56" i="17"/>
  <c r="X74" i="17"/>
  <c r="X79" i="17"/>
  <c r="X92" i="17"/>
  <c r="X102" i="17"/>
  <c r="X105" i="17"/>
  <c r="X115" i="17"/>
  <c r="X117" i="17"/>
  <c r="X120" i="17"/>
  <c r="X138" i="17"/>
  <c r="X143" i="17"/>
  <c r="X156" i="17"/>
  <c r="X166" i="17"/>
  <c r="X169" i="17"/>
  <c r="X179" i="17"/>
  <c r="X181" i="17"/>
  <c r="X184" i="17"/>
  <c r="X202" i="17"/>
  <c r="X207" i="17"/>
  <c r="X220" i="17"/>
  <c r="X230" i="17"/>
  <c r="X233" i="17"/>
  <c r="X243" i="17"/>
  <c r="X245" i="17"/>
  <c r="X248" i="17"/>
  <c r="X266" i="17"/>
  <c r="X271" i="17"/>
  <c r="X284" i="17"/>
  <c r="X294" i="17"/>
  <c r="X297" i="17"/>
  <c r="X307" i="17"/>
  <c r="X309" i="17"/>
  <c r="X312" i="17"/>
  <c r="X330" i="17"/>
  <c r="X335" i="17"/>
  <c r="X348" i="17"/>
  <c r="X358" i="17"/>
  <c r="X361" i="17"/>
  <c r="X371" i="17"/>
  <c r="X373" i="17"/>
  <c r="X376" i="17"/>
  <c r="X394" i="17"/>
  <c r="X399" i="17"/>
  <c r="X414" i="17"/>
  <c r="X424" i="17"/>
  <c r="X442" i="17"/>
  <c r="X445" i="17"/>
  <c r="X449" i="17"/>
  <c r="X452" i="17"/>
  <c r="X454" i="17"/>
  <c r="X459" i="17"/>
  <c r="X478" i="17"/>
  <c r="X488" i="17"/>
  <c r="X506" i="17"/>
  <c r="X509" i="17"/>
  <c r="X513" i="17"/>
  <c r="X516" i="17"/>
  <c r="X518" i="17"/>
  <c r="X523" i="17"/>
  <c r="X542" i="17"/>
  <c r="X554" i="17"/>
  <c r="X569" i="17"/>
  <c r="X573" i="17"/>
  <c r="X575" i="17"/>
  <c r="X585" i="17"/>
  <c r="X591" i="17"/>
  <c r="X598" i="17"/>
  <c r="X614" i="17"/>
  <c r="X616" i="17"/>
  <c r="X619" i="17"/>
  <c r="X645" i="17"/>
  <c r="X647" i="17"/>
  <c r="X653" i="17"/>
  <c r="X656" i="17"/>
  <c r="X667" i="17"/>
  <c r="X673" i="17"/>
  <c r="X676" i="17"/>
  <c r="X684" i="17"/>
  <c r="X689" i="17"/>
  <c r="X700" i="17"/>
  <c r="X704" i="17"/>
  <c r="X707" i="17"/>
  <c r="X718" i="17"/>
  <c r="X727" i="17"/>
  <c r="X738" i="17"/>
  <c r="X756" i="17"/>
  <c r="X787" i="17"/>
  <c r="X789" i="17"/>
  <c r="X792" i="17"/>
  <c r="X794" i="17"/>
  <c r="X798" i="17"/>
  <c r="X810" i="17"/>
  <c r="X825" i="17"/>
  <c r="X829" i="17"/>
  <c r="X831" i="17"/>
  <c r="X841" i="17"/>
  <c r="X847" i="17"/>
  <c r="X854" i="17"/>
  <c r="X871" i="17"/>
  <c r="X876" i="17"/>
  <c r="X890" i="17"/>
  <c r="X899" i="17"/>
  <c r="X904" i="17"/>
  <c r="X913" i="17"/>
  <c r="X920" i="17"/>
  <c r="X934" i="17"/>
  <c r="X941" i="17"/>
  <c r="X946" i="17"/>
  <c r="X955" i="17"/>
  <c r="X969" i="17"/>
  <c r="X976" i="17"/>
  <c r="X999" i="17"/>
  <c r="X60" i="17"/>
  <c r="X111" i="17"/>
  <c r="X188" i="17"/>
  <c r="X213" i="17"/>
  <c r="X326" i="17"/>
  <c r="X362" i="17"/>
  <c r="X405" i="17"/>
  <c r="X467" i="17"/>
  <c r="X531" i="17"/>
  <c r="X628" i="17"/>
  <c r="X661" i="17"/>
  <c r="X703" i="17"/>
  <c r="X781" i="17"/>
  <c r="X835" i="17"/>
  <c r="X877" i="17"/>
  <c r="X968" i="17"/>
  <c r="X18" i="17"/>
  <c r="X23" i="17"/>
  <c r="X36" i="17"/>
  <c r="X46" i="17"/>
  <c r="X49" i="17"/>
  <c r="X59" i="17"/>
  <c r="X61" i="17"/>
  <c r="X64" i="17"/>
  <c r="X82" i="17"/>
  <c r="X87" i="17"/>
  <c r="X100" i="17"/>
  <c r="X110" i="17"/>
  <c r="X113" i="17"/>
  <c r="X123" i="17"/>
  <c r="X125" i="17"/>
  <c r="X128" i="17"/>
  <c r="X146" i="17"/>
  <c r="X151" i="17"/>
  <c r="X164" i="17"/>
  <c r="X174" i="17"/>
  <c r="X177" i="17"/>
  <c r="X187" i="17"/>
  <c r="X189" i="17"/>
  <c r="X192" i="17"/>
  <c r="X210" i="17"/>
  <c r="X215" i="17"/>
  <c r="X228" i="17"/>
  <c r="X238" i="17"/>
  <c r="X241" i="17"/>
  <c r="X251" i="17"/>
  <c r="X253" i="17"/>
  <c r="X256" i="17"/>
  <c r="X274" i="17"/>
  <c r="X279" i="17"/>
  <c r="X292" i="17"/>
  <c r="X302" i="17"/>
  <c r="X305" i="17"/>
  <c r="X315" i="17"/>
  <c r="X317" i="17"/>
  <c r="X320" i="17"/>
  <c r="X338" i="17"/>
  <c r="X343" i="17"/>
  <c r="X356" i="17"/>
  <c r="X366" i="17"/>
  <c r="X369" i="17"/>
  <c r="X379" i="17"/>
  <c r="X381" i="17"/>
  <c r="X384" i="17"/>
  <c r="X402" i="17"/>
  <c r="X404" i="17"/>
  <c r="X440" i="17"/>
  <c r="X466" i="17"/>
  <c r="X468" i="17"/>
  <c r="X504" i="17"/>
  <c r="X530" i="17"/>
  <c r="X532" i="17"/>
  <c r="X558" i="17"/>
  <c r="X567" i="17"/>
  <c r="X578" i="17"/>
  <c r="X596" i="17"/>
  <c r="X627" i="17"/>
  <c r="X629" i="17"/>
  <c r="X632" i="17"/>
  <c r="X634" i="17"/>
  <c r="X638" i="17"/>
  <c r="X650" i="17"/>
  <c r="X665" i="17"/>
  <c r="X669" i="17"/>
  <c r="X671" i="17"/>
  <c r="X681" i="17"/>
  <c r="X687" i="17"/>
  <c r="X694" i="17"/>
  <c r="X710" i="17"/>
  <c r="X712" i="17"/>
  <c r="X715" i="17"/>
  <c r="X741" i="17"/>
  <c r="X743" i="17"/>
  <c r="X749" i="17"/>
  <c r="X752" i="17"/>
  <c r="X763" i="17"/>
  <c r="X769" i="17"/>
  <c r="X772" i="17"/>
  <c r="X780" i="17"/>
  <c r="X785" i="17"/>
  <c r="X796" i="17"/>
  <c r="X800" i="17"/>
  <c r="X803" i="17"/>
  <c r="X814" i="17"/>
  <c r="X823" i="17"/>
  <c r="X834" i="17"/>
  <c r="X852" i="17"/>
  <c r="X869" i="17"/>
  <c r="X888" i="17"/>
  <c r="X902" i="17"/>
  <c r="X911" i="17"/>
  <c r="X918" i="17"/>
  <c r="X925" i="17"/>
  <c r="X939" i="17"/>
  <c r="X944" i="17"/>
  <c r="X953" i="17"/>
  <c r="X962" i="17"/>
  <c r="X974" i="17"/>
  <c r="X985" i="17"/>
  <c r="X988" i="17"/>
  <c r="X997" i="17"/>
  <c r="X70" i="17"/>
  <c r="X85" i="17"/>
  <c r="X198" i="17"/>
  <c r="X239" i="17"/>
  <c r="X303" i="17"/>
  <c r="X441" i="17"/>
  <c r="X474" i="17"/>
  <c r="X538" i="17"/>
  <c r="X561" i="17"/>
  <c r="X682" i="17"/>
  <c r="X784" i="17"/>
  <c r="X817" i="17"/>
  <c r="X882" i="17"/>
  <c r="X984" i="17"/>
  <c r="X3" i="17"/>
  <c r="X5" i="17"/>
  <c r="X8" i="17"/>
  <c r="X26" i="17"/>
  <c r="X31" i="17"/>
  <c r="X44" i="17"/>
  <c r="X54" i="17"/>
  <c r="X57" i="17"/>
  <c r="X67" i="17"/>
  <c r="X69" i="17"/>
  <c r="X72" i="17"/>
  <c r="X90" i="17"/>
  <c r="X95" i="17"/>
  <c r="X108" i="17"/>
  <c r="X118" i="17"/>
  <c r="X121" i="17"/>
  <c r="X131" i="17"/>
  <c r="X133" i="17"/>
  <c r="X136" i="17"/>
  <c r="X154" i="17"/>
  <c r="X159" i="17"/>
  <c r="X172" i="17"/>
  <c r="X182" i="17"/>
  <c r="X185" i="17"/>
  <c r="X195" i="17"/>
  <c r="X197" i="17"/>
  <c r="X200" i="17"/>
  <c r="X218" i="17"/>
  <c r="X223" i="17"/>
  <c r="X236" i="17"/>
  <c r="X246" i="17"/>
  <c r="X249" i="17"/>
  <c r="X259" i="17"/>
  <c r="X261" i="17"/>
  <c r="X264" i="17"/>
  <c r="X282" i="17"/>
  <c r="X287" i="17"/>
  <c r="X300" i="17"/>
  <c r="X310" i="17"/>
  <c r="X313" i="17"/>
  <c r="X323" i="17"/>
  <c r="X325" i="17"/>
  <c r="X328" i="17"/>
  <c r="X346" i="17"/>
  <c r="X351" i="17"/>
  <c r="X364" i="17"/>
  <c r="X374" i="17"/>
  <c r="X377" i="17"/>
  <c r="X387" i="17"/>
  <c r="X389" i="17"/>
  <c r="X392" i="17"/>
  <c r="X407" i="17"/>
  <c r="X409" i="17"/>
  <c r="X417" i="17"/>
  <c r="X419" i="17"/>
  <c r="X422" i="17"/>
  <c r="X427" i="17"/>
  <c r="X430" i="17"/>
  <c r="X433" i="17"/>
  <c r="X435" i="17"/>
  <c r="X462" i="17"/>
  <c r="X464" i="17"/>
  <c r="X471" i="17"/>
  <c r="X473" i="17"/>
  <c r="X481" i="17"/>
  <c r="X483" i="17"/>
  <c r="X486" i="17"/>
  <c r="X491" i="17"/>
  <c r="X494" i="17"/>
  <c r="X497" i="17"/>
  <c r="X499" i="17"/>
  <c r="X526" i="17"/>
  <c r="X528" i="17"/>
  <c r="X535" i="17"/>
  <c r="X537" i="17"/>
  <c r="X545" i="17"/>
  <c r="X547" i="17"/>
  <c r="X550" i="17"/>
  <c r="X552" i="17"/>
  <c r="X555" i="17"/>
  <c r="X581" i="17"/>
  <c r="X583" i="17"/>
  <c r="X589" i="17"/>
  <c r="X592" i="17"/>
  <c r="X603" i="17"/>
  <c r="X609" i="17"/>
  <c r="X612" i="17"/>
  <c r="X620" i="17"/>
  <c r="X625" i="17"/>
  <c r="X636" i="17"/>
  <c r="X640" i="17"/>
  <c r="X643" i="17"/>
  <c r="X654" i="17"/>
  <c r="X663" i="17"/>
  <c r="X674" i="17"/>
  <c r="X692" i="17"/>
  <c r="X723" i="17"/>
  <c r="X725" i="17"/>
  <c r="X728" i="17"/>
  <c r="X730" i="17"/>
  <c r="X734" i="17"/>
  <c r="X746" i="17"/>
  <c r="X761" i="17"/>
  <c r="X765" i="17"/>
  <c r="X767" i="17"/>
  <c r="X777" i="17"/>
  <c r="X783" i="17"/>
  <c r="X790" i="17"/>
  <c r="X806" i="17"/>
  <c r="X808" i="17"/>
  <c r="X811" i="17"/>
  <c r="X837" i="17"/>
  <c r="X839" i="17"/>
  <c r="X845" i="17"/>
  <c r="X848" i="17"/>
  <c r="X859" i="17"/>
  <c r="X874" i="17"/>
  <c r="X881" i="17"/>
  <c r="X886" i="17"/>
  <c r="X909" i="17"/>
  <c r="X916" i="17"/>
  <c r="X930" i="17"/>
  <c r="X932" i="17"/>
  <c r="X942" i="17"/>
  <c r="X949" i="17"/>
  <c r="X951" i="17"/>
  <c r="X958" i="17"/>
  <c r="X960" i="17"/>
  <c r="X967" i="17"/>
  <c r="X979" i="17"/>
  <c r="X983" i="17"/>
  <c r="X883" i="17"/>
  <c r="X947" i="17"/>
  <c r="X907" i="17"/>
  <c r="X971" i="17"/>
  <c r="X923" i="17"/>
  <c r="X987" i="17"/>
  <c r="X867" i="17"/>
  <c r="X895" i="17"/>
  <c r="X917" i="17"/>
  <c r="X931" i="17"/>
  <c r="X959" i="17"/>
  <c r="X981" i="17"/>
  <c r="X995" i="17"/>
  <c r="X7" i="7"/>
  <c r="X8" i="7"/>
  <c r="X9" i="7"/>
  <c r="X2" i="7"/>
  <c r="X3" i="7"/>
  <c r="X4" i="7"/>
  <c r="X5" i="7"/>
  <c r="X6" i="7"/>
  <c r="X873" i="7"/>
  <c r="X871" i="7"/>
  <c r="X983" i="7"/>
  <c r="X991" i="7"/>
  <c r="X988" i="7"/>
  <c r="X977" i="7"/>
  <c r="X964" i="7"/>
  <c r="X962" i="7"/>
  <c r="X959" i="7"/>
  <c r="X940" i="7"/>
  <c r="X930" i="7"/>
  <c r="X913" i="7"/>
  <c r="X984" i="7"/>
  <c r="X990" i="7"/>
  <c r="X992" i="7"/>
  <c r="X986" i="7"/>
  <c r="X982" i="7"/>
  <c r="X979" i="7"/>
  <c r="X974" i="7"/>
  <c r="X966" i="7"/>
  <c r="X944" i="7"/>
  <c r="X936" i="7"/>
  <c r="X934" i="7"/>
  <c r="X932" i="7"/>
  <c r="X923" i="7"/>
  <c r="X919" i="7"/>
  <c r="X917" i="7"/>
  <c r="X906" i="7"/>
  <c r="X882" i="7"/>
  <c r="X779" i="7"/>
  <c r="X875" i="7"/>
  <c r="X892" i="7"/>
  <c r="X835" i="7"/>
  <c r="X884" i="7"/>
  <c r="X887" i="7"/>
  <c r="X910" i="7"/>
  <c r="X926" i="7"/>
  <c r="X942" i="7"/>
  <c r="X826" i="7"/>
  <c r="X841" i="7"/>
  <c r="X858" i="7"/>
  <c r="X886" i="7"/>
  <c r="X895" i="7"/>
  <c r="X801" i="7"/>
  <c r="X855" i="7"/>
  <c r="X611" i="7"/>
  <c r="X474" i="7"/>
  <c r="X472" i="7"/>
  <c r="X994" i="7"/>
  <c r="X972" i="7"/>
  <c r="X970" i="7"/>
  <c r="X968" i="7"/>
  <c r="X961" i="7"/>
  <c r="X954" i="7"/>
  <c r="X908" i="7"/>
  <c r="X878" i="7"/>
  <c r="X815" i="7"/>
  <c r="X998" i="7"/>
  <c r="X976" i="7"/>
  <c r="X958" i="7"/>
  <c r="X956" i="7"/>
  <c r="X946" i="7"/>
  <c r="X929" i="7"/>
  <c r="X912" i="7"/>
  <c r="X904" i="7"/>
  <c r="X902" i="7"/>
  <c r="X898" i="7"/>
  <c r="X870" i="7"/>
  <c r="X831" i="7"/>
  <c r="X996" i="7"/>
  <c r="X993" i="7"/>
  <c r="X985" i="7"/>
  <c r="X981" i="7"/>
  <c r="X978" i="7"/>
  <c r="X967" i="7"/>
  <c r="X965" i="7"/>
  <c r="X963" i="7"/>
  <c r="X952" i="7"/>
  <c r="X950" i="7"/>
  <c r="X948" i="7"/>
  <c r="X939" i="7"/>
  <c r="X935" i="7"/>
  <c r="X933" i="7"/>
  <c r="X922" i="7"/>
  <c r="X891" i="7"/>
  <c r="X876" i="7"/>
  <c r="X840" i="7"/>
  <c r="X975" i="7"/>
  <c r="X960" i="7"/>
  <c r="X924" i="7"/>
  <c r="X914" i="7"/>
  <c r="X852" i="7"/>
  <c r="X850" i="7"/>
  <c r="X844" i="7"/>
  <c r="X987" i="7"/>
  <c r="X973" i="7"/>
  <c r="X971" i="7"/>
  <c r="X945" i="7"/>
  <c r="X928" i="7"/>
  <c r="X920" i="7"/>
  <c r="X918" i="7"/>
  <c r="X916" i="7"/>
  <c r="X907" i="7"/>
  <c r="X903" i="7"/>
  <c r="X901" i="7"/>
  <c r="X897" i="7"/>
  <c r="X883" i="7"/>
  <c r="X999" i="7"/>
  <c r="X997" i="7"/>
  <c r="X995" i="7"/>
  <c r="X980" i="7"/>
  <c r="X955" i="7"/>
  <c r="X951" i="7"/>
  <c r="X949" i="7"/>
  <c r="X938" i="7"/>
  <c r="X890" i="7"/>
  <c r="X867" i="7"/>
  <c r="X865" i="7"/>
  <c r="X894" i="7"/>
  <c r="X869" i="7"/>
  <c r="X861" i="7"/>
  <c r="X859" i="7"/>
  <c r="X820" i="7"/>
  <c r="X785" i="7"/>
  <c r="X957" i="7"/>
  <c r="X947" i="7"/>
  <c r="X943" i="7"/>
  <c r="X931" i="7"/>
  <c r="X927" i="7"/>
  <c r="X915" i="7"/>
  <c r="X911" i="7"/>
  <c r="X899" i="7"/>
  <c r="X888" i="7"/>
  <c r="X880" i="7"/>
  <c r="X857" i="7"/>
  <c r="X848" i="7"/>
  <c r="X836" i="7"/>
  <c r="X823" i="7"/>
  <c r="X807" i="7"/>
  <c r="X805" i="7"/>
  <c r="X774" i="7"/>
  <c r="X770" i="7"/>
  <c r="X688" i="7"/>
  <c r="X720" i="7"/>
  <c r="X763" i="7"/>
  <c r="X843" i="7"/>
  <c r="X718" i="7"/>
  <c r="X794" i="7"/>
  <c r="X837" i="7"/>
  <c r="X845" i="7"/>
  <c r="X854" i="7"/>
  <c r="X860" i="7"/>
  <c r="X863" i="7"/>
  <c r="X751" i="7"/>
  <c r="X760" i="7"/>
  <c r="X791" i="7"/>
  <c r="X811" i="7"/>
  <c r="X816" i="7"/>
  <c r="X847" i="7"/>
  <c r="X749" i="7"/>
  <c r="X821" i="7"/>
  <c r="X797" i="7"/>
  <c r="X808" i="7"/>
  <c r="X893" i="7"/>
  <c r="X825" i="7"/>
  <c r="X793" i="7"/>
  <c r="X989" i="7"/>
  <c r="X941" i="7"/>
  <c r="X925" i="7"/>
  <c r="X909" i="7"/>
  <c r="X839" i="7"/>
  <c r="X782" i="7"/>
  <c r="X732" i="7"/>
  <c r="X725" i="7"/>
  <c r="X953" i="7"/>
  <c r="X937" i="7"/>
  <c r="X921" i="7"/>
  <c r="X905" i="7"/>
  <c r="X879" i="7"/>
  <c r="X877" i="7"/>
  <c r="X874" i="7"/>
  <c r="X862" i="7"/>
  <c r="X830" i="7"/>
  <c r="X814" i="7"/>
  <c r="X812" i="7"/>
  <c r="X969" i="7"/>
  <c r="X889" i="7"/>
  <c r="X868" i="7"/>
  <c r="X866" i="7"/>
  <c r="X856" i="7"/>
  <c r="X851" i="7"/>
  <c r="X824" i="7"/>
  <c r="X790" i="7"/>
  <c r="X766" i="7"/>
  <c r="X900" i="7"/>
  <c r="X896" i="7"/>
  <c r="X872" i="7"/>
  <c r="X849" i="7"/>
  <c r="X817" i="7"/>
  <c r="X786" i="7"/>
  <c r="X768" i="7"/>
  <c r="X757" i="7"/>
  <c r="X755" i="7"/>
  <c r="X723" i="7"/>
  <c r="X864" i="7"/>
  <c r="X846" i="7"/>
  <c r="X838" i="7"/>
  <c r="X828" i="7"/>
  <c r="X803" i="7"/>
  <c r="X799" i="7"/>
  <c r="X788" i="7"/>
  <c r="X776" i="7"/>
  <c r="X765" i="7"/>
  <c r="X759" i="7"/>
  <c r="X748" i="7"/>
  <c r="X745" i="7"/>
  <c r="X738" i="7"/>
  <c r="X734" i="7"/>
  <c r="X717" i="7"/>
  <c r="X715" i="7"/>
  <c r="X626" i="7"/>
  <c r="X678" i="7"/>
  <c r="X680" i="7"/>
  <c r="X740" i="7"/>
  <c r="X750" i="7"/>
  <c r="X752" i="7"/>
  <c r="X781" i="7"/>
  <c r="X784" i="7"/>
  <c r="X810" i="7"/>
  <c r="X661" i="7"/>
  <c r="X756" i="7"/>
  <c r="X778" i="7"/>
  <c r="X789" i="7"/>
  <c r="X792" i="7"/>
  <c r="X795" i="7"/>
  <c r="X818" i="7"/>
  <c r="X692" i="7"/>
  <c r="X694" i="7"/>
  <c r="X726" i="7"/>
  <c r="X758" i="7"/>
  <c r="X664" i="7"/>
  <c r="X853" i="7"/>
  <c r="X842" i="7"/>
  <c r="X833" i="7"/>
  <c r="X780" i="7"/>
  <c r="X731" i="7"/>
  <c r="X722" i="7"/>
  <c r="X719" i="7"/>
  <c r="X712" i="7"/>
  <c r="X767" i="7"/>
  <c r="X762" i="7"/>
  <c r="X747" i="7"/>
  <c r="X644" i="7"/>
  <c r="X827" i="7"/>
  <c r="X822" i="7"/>
  <c r="X804" i="7"/>
  <c r="X802" i="7"/>
  <c r="X800" i="7"/>
  <c r="X798" i="7"/>
  <c r="X787" i="7"/>
  <c r="X783" i="7"/>
  <c r="X773" i="7"/>
  <c r="X771" i="7"/>
  <c r="X769" i="7"/>
  <c r="X764" i="7"/>
  <c r="X754" i="7"/>
  <c r="X739" i="7"/>
  <c r="X724" i="7"/>
  <c r="X721" i="7"/>
  <c r="X660" i="7"/>
  <c r="X655" i="7"/>
  <c r="X646" i="7"/>
  <c r="X881" i="7"/>
  <c r="X832" i="7"/>
  <c r="X829" i="7"/>
  <c r="X819" i="7"/>
  <c r="X813" i="7"/>
  <c r="X809" i="7"/>
  <c r="X806" i="7"/>
  <c r="X775" i="7"/>
  <c r="X743" i="7"/>
  <c r="X728" i="7"/>
  <c r="X662" i="7"/>
  <c r="X641" i="7"/>
  <c r="X885" i="7"/>
  <c r="X834" i="7"/>
  <c r="X796" i="7"/>
  <c r="X777" i="7"/>
  <c r="X746" i="7"/>
  <c r="X730" i="7"/>
  <c r="X716" i="7"/>
  <c r="X668" i="7"/>
  <c r="X666" i="7"/>
  <c r="X741" i="7"/>
  <c r="X697" i="7"/>
  <c r="X686" i="7"/>
  <c r="X675" i="7"/>
  <c r="X673" i="7"/>
  <c r="X658" i="7"/>
  <c r="X653" i="7"/>
  <c r="X651" i="7"/>
  <c r="X642" i="7"/>
  <c r="X633" i="7"/>
  <c r="X624" i="7"/>
  <c r="X622" i="7"/>
  <c r="X620" i="7"/>
  <c r="X616" i="7"/>
  <c r="X605" i="7"/>
  <c r="X603" i="7"/>
  <c r="X596" i="7"/>
  <c r="X580" i="7"/>
  <c r="X753" i="7"/>
  <c r="X735" i="7"/>
  <c r="X733" i="7"/>
  <c r="X709" i="7"/>
  <c r="X707" i="7"/>
  <c r="X703" i="7"/>
  <c r="X701" i="7"/>
  <c r="X699" i="7"/>
  <c r="X690" i="7"/>
  <c r="X683" i="7"/>
  <c r="X681" i="7"/>
  <c r="X677" i="7"/>
  <c r="X670" i="7"/>
  <c r="X637" i="7"/>
  <c r="X635" i="7"/>
  <c r="X630" i="7"/>
  <c r="X628" i="7"/>
  <c r="X613" i="7"/>
  <c r="X588" i="7"/>
  <c r="X586" i="7"/>
  <c r="X533" i="7"/>
  <c r="X737" i="7"/>
  <c r="X714" i="7"/>
  <c r="X711" i="7"/>
  <c r="X705" i="7"/>
  <c r="X685" i="7"/>
  <c r="X667" i="7"/>
  <c r="X648" i="7"/>
  <c r="X593" i="7"/>
  <c r="X590" i="7"/>
  <c r="X551" i="7"/>
  <c r="X544" i="7"/>
  <c r="X558" i="7"/>
  <c r="X563" i="7"/>
  <c r="X591" i="7"/>
  <c r="X609" i="7"/>
  <c r="X577" i="7"/>
  <c r="X579" i="7"/>
  <c r="X575" i="7"/>
  <c r="X617" i="7"/>
  <c r="X645" i="7"/>
  <c r="X772" i="7"/>
  <c r="X761" i="7"/>
  <c r="X742" i="7"/>
  <c r="X729" i="7"/>
  <c r="X696" i="7"/>
  <c r="X689" i="7"/>
  <c r="X672" i="7"/>
  <c r="X669" i="7"/>
  <c r="X659" i="7"/>
  <c r="X657" i="7"/>
  <c r="X643" i="7"/>
  <c r="X632" i="7"/>
  <c r="X627" i="7"/>
  <c r="X623" i="7"/>
  <c r="X619" i="7"/>
  <c r="X610" i="7"/>
  <c r="X606" i="7"/>
  <c r="X595" i="7"/>
  <c r="X727" i="7"/>
  <c r="X693" i="7"/>
  <c r="X691" i="7"/>
  <c r="X687" i="7"/>
  <c r="X674" i="7"/>
  <c r="X665" i="7"/>
  <c r="X663" i="7"/>
  <c r="X652" i="7"/>
  <c r="X650" i="7"/>
  <c r="X629" i="7"/>
  <c r="X621" i="7"/>
  <c r="X612" i="7"/>
  <c r="X744" i="7"/>
  <c r="X713" i="7"/>
  <c r="X710" i="7"/>
  <c r="X706" i="7"/>
  <c r="X700" i="7"/>
  <c r="X698" i="7"/>
  <c r="X676" i="7"/>
  <c r="X654" i="7"/>
  <c r="X647" i="7"/>
  <c r="X636" i="7"/>
  <c r="X634" i="7"/>
  <c r="X614" i="7"/>
  <c r="X597" i="7"/>
  <c r="X736" i="7"/>
  <c r="X708" i="7"/>
  <c r="X704" i="7"/>
  <c r="X702" i="7"/>
  <c r="X684" i="7"/>
  <c r="X682" i="7"/>
  <c r="X671" i="7"/>
  <c r="X656" i="7"/>
  <c r="X649" i="7"/>
  <c r="X640" i="7"/>
  <c r="X638" i="7"/>
  <c r="X618" i="7"/>
  <c r="X589" i="7"/>
  <c r="X571" i="7"/>
  <c r="X543" i="7"/>
  <c r="X582" i="7"/>
  <c r="X578" i="7"/>
  <c r="X569" i="7"/>
  <c r="X567" i="7"/>
  <c r="X565" i="7"/>
  <c r="X560" i="7"/>
  <c r="X549" i="7"/>
  <c r="X540" i="7"/>
  <c r="X522" i="7"/>
  <c r="X506" i="7"/>
  <c r="X465" i="7"/>
  <c r="X463" i="7"/>
  <c r="X454" i="7"/>
  <c r="X447" i="7"/>
  <c r="X438" i="7"/>
  <c r="X490" i="7"/>
  <c r="X518" i="7"/>
  <c r="X520" i="7"/>
  <c r="X531" i="7"/>
  <c r="X510" i="7"/>
  <c r="X524" i="7"/>
  <c r="X598" i="7"/>
  <c r="X592" i="7"/>
  <c r="X573" i="7"/>
  <c r="X564" i="7"/>
  <c r="X562" i="7"/>
  <c r="X553" i="7"/>
  <c r="X535" i="7"/>
  <c r="X639" i="7"/>
  <c r="X625" i="7"/>
  <c r="X615" i="7"/>
  <c r="X608" i="7"/>
  <c r="X604" i="7"/>
  <c r="X602" i="7"/>
  <c r="X600" i="7"/>
  <c r="X594" i="7"/>
  <c r="X566" i="7"/>
  <c r="X557" i="7"/>
  <c r="X555" i="7"/>
  <c r="X550" i="7"/>
  <c r="X548" i="7"/>
  <c r="X537" i="7"/>
  <c r="X528" i="7"/>
  <c r="X523" i="7"/>
  <c r="X521" i="7"/>
  <c r="X494" i="7"/>
  <c r="X695" i="7"/>
  <c r="X631" i="7"/>
  <c r="X559" i="7"/>
  <c r="X539" i="7"/>
  <c r="X534" i="7"/>
  <c r="X532" i="7"/>
  <c r="X530" i="7"/>
  <c r="X525" i="7"/>
  <c r="X514" i="7"/>
  <c r="X498" i="7"/>
  <c r="X496" i="7"/>
  <c r="X585" i="7"/>
  <c r="X583" i="7"/>
  <c r="X581" i="7"/>
  <c r="X572" i="7"/>
  <c r="X570" i="7"/>
  <c r="X552" i="7"/>
  <c r="X541" i="7"/>
  <c r="X527" i="7"/>
  <c r="X482" i="7"/>
  <c r="X679" i="7"/>
  <c r="X607" i="7"/>
  <c r="X587" i="7"/>
  <c r="X574" i="7"/>
  <c r="X561" i="7"/>
  <c r="X556" i="7"/>
  <c r="X545" i="7"/>
  <c r="X536" i="7"/>
  <c r="X513" i="7"/>
  <c r="X511" i="7"/>
  <c r="X466" i="7"/>
  <c r="X601" i="7"/>
  <c r="X599" i="7"/>
  <c r="X576" i="7"/>
  <c r="X547" i="7"/>
  <c r="X529" i="7"/>
  <c r="X517" i="7"/>
  <c r="X515" i="7"/>
  <c r="X500" i="7"/>
  <c r="X489" i="7"/>
  <c r="X487" i="7"/>
  <c r="X476" i="7"/>
  <c r="X467" i="7"/>
  <c r="X456" i="7"/>
  <c r="X440" i="7"/>
  <c r="X546" i="7"/>
  <c r="X519" i="7"/>
  <c r="X502" i="7"/>
  <c r="X491" i="7"/>
  <c r="X478" i="7"/>
  <c r="X458" i="7"/>
  <c r="X451" i="7"/>
  <c r="X442" i="7"/>
  <c r="X427" i="7"/>
  <c r="X409" i="7"/>
  <c r="X526" i="7"/>
  <c r="X504" i="7"/>
  <c r="X497" i="7"/>
  <c r="X495" i="7"/>
  <c r="X480" i="7"/>
  <c r="X473" i="7"/>
  <c r="X471" i="7"/>
  <c r="X460" i="7"/>
  <c r="X444" i="7"/>
  <c r="X584" i="7"/>
  <c r="X542" i="7"/>
  <c r="X508" i="7"/>
  <c r="X501" i="7"/>
  <c r="X499" i="7"/>
  <c r="X484" i="7"/>
  <c r="X475" i="7"/>
  <c r="X462" i="7"/>
  <c r="X455" i="7"/>
  <c r="X446" i="7"/>
  <c r="X439" i="7"/>
  <c r="X429" i="7"/>
  <c r="X397" i="7"/>
  <c r="X512" i="7"/>
  <c r="X486" i="7"/>
  <c r="X464" i="7"/>
  <c r="X448" i="7"/>
  <c r="X568" i="7"/>
  <c r="X554" i="7"/>
  <c r="X538" i="7"/>
  <c r="X516" i="7"/>
  <c r="X505" i="7"/>
  <c r="X503" i="7"/>
  <c r="X488" i="7"/>
  <c r="X481" i="7"/>
  <c r="X479" i="7"/>
  <c r="X468" i="7"/>
  <c r="X459" i="7"/>
  <c r="X450" i="7"/>
  <c r="X443" i="7"/>
  <c r="X423" i="7"/>
  <c r="X419" i="7"/>
  <c r="X435" i="7"/>
  <c r="X425" i="7"/>
  <c r="X509" i="7"/>
  <c r="X507" i="7"/>
  <c r="X492" i="7"/>
  <c r="X483" i="7"/>
  <c r="X470" i="7"/>
  <c r="X452" i="7"/>
  <c r="X436" i="7"/>
  <c r="X434" i="7"/>
  <c r="X432" i="7"/>
  <c r="X428" i="7"/>
  <c r="X457" i="7"/>
  <c r="X441" i="7"/>
  <c r="X431" i="7"/>
  <c r="X421" i="7"/>
  <c r="X417" i="7"/>
  <c r="X413" i="7"/>
  <c r="X411" i="7"/>
  <c r="X404" i="7"/>
  <c r="X402" i="7"/>
  <c r="X389" i="7"/>
  <c r="X382" i="7"/>
  <c r="X373" i="7"/>
  <c r="X366" i="7"/>
  <c r="X356" i="7"/>
  <c r="X354" i="7"/>
  <c r="X352" i="7"/>
  <c r="X345" i="7"/>
  <c r="X332" i="7"/>
  <c r="X316" i="7"/>
  <c r="X415" i="7"/>
  <c r="X391" i="7"/>
  <c r="X375" i="7"/>
  <c r="X363" i="7"/>
  <c r="X334" i="7"/>
  <c r="X485" i="7"/>
  <c r="X469" i="7"/>
  <c r="X453" i="7"/>
  <c r="X437" i="7"/>
  <c r="X422" i="7"/>
  <c r="X408" i="7"/>
  <c r="X406" i="7"/>
  <c r="X393" i="7"/>
  <c r="X386" i="7"/>
  <c r="X377" i="7"/>
  <c r="X370" i="7"/>
  <c r="X360" i="7"/>
  <c r="X336" i="7"/>
  <c r="X347" i="7"/>
  <c r="X350" i="7"/>
  <c r="X355" i="7"/>
  <c r="X424" i="7"/>
  <c r="X412" i="7"/>
  <c r="X410" i="7"/>
  <c r="X395" i="7"/>
  <c r="X379" i="7"/>
  <c r="X351" i="7"/>
  <c r="X349" i="7"/>
  <c r="X342" i="7"/>
  <c r="X449" i="7"/>
  <c r="X430" i="7"/>
  <c r="X426" i="7"/>
  <c r="X420" i="7"/>
  <c r="X418" i="7"/>
  <c r="X416" i="7"/>
  <c r="X414" i="7"/>
  <c r="X401" i="7"/>
  <c r="X399" i="7"/>
  <c r="X392" i="7"/>
  <c r="X390" i="7"/>
  <c r="X381" i="7"/>
  <c r="X374" i="7"/>
  <c r="X365" i="7"/>
  <c r="X359" i="7"/>
  <c r="X344" i="7"/>
  <c r="X324" i="7"/>
  <c r="X403" i="7"/>
  <c r="X383" i="7"/>
  <c r="X367" i="7"/>
  <c r="X346" i="7"/>
  <c r="X493" i="7"/>
  <c r="X477" i="7"/>
  <c r="X461" i="7"/>
  <c r="X445" i="7"/>
  <c r="X433" i="7"/>
  <c r="X405" i="7"/>
  <c r="X394" i="7"/>
  <c r="X385" i="7"/>
  <c r="X378" i="7"/>
  <c r="X369" i="7"/>
  <c r="X361" i="7"/>
  <c r="X407" i="7"/>
  <c r="X398" i="7"/>
  <c r="X387" i="7"/>
  <c r="X371" i="7"/>
  <c r="X358" i="7"/>
  <c r="X400" i="7"/>
  <c r="X384" i="7"/>
  <c r="X368" i="7"/>
  <c r="X362" i="7"/>
  <c r="X348" i="7"/>
  <c r="X341" i="7"/>
  <c r="X320" i="7"/>
  <c r="X318" i="7"/>
  <c r="X311" i="7"/>
  <c r="X309" i="7"/>
  <c r="X300" i="7"/>
  <c r="X293" i="7"/>
  <c r="X284" i="7"/>
  <c r="X277" i="7"/>
  <c r="X256" i="7"/>
  <c r="X240" i="7"/>
  <c r="X224" i="7"/>
  <c r="X208" i="7"/>
  <c r="X322" i="7"/>
  <c r="X302" i="7"/>
  <c r="X286" i="7"/>
  <c r="X396" i="7"/>
  <c r="X380" i="7"/>
  <c r="X364" i="7"/>
  <c r="X353" i="7"/>
  <c r="X328" i="7"/>
  <c r="X326" i="7"/>
  <c r="X313" i="7"/>
  <c r="X304" i="7"/>
  <c r="X297" i="7"/>
  <c r="X288" i="7"/>
  <c r="X281" i="7"/>
  <c r="X272" i="7"/>
  <c r="X340" i="7"/>
  <c r="X338" i="7"/>
  <c r="X330" i="7"/>
  <c r="X317" i="7"/>
  <c r="X306" i="7"/>
  <c r="X290" i="7"/>
  <c r="X274" i="7"/>
  <c r="X376" i="7"/>
  <c r="X323" i="7"/>
  <c r="X321" i="7"/>
  <c r="X308" i="7"/>
  <c r="X301" i="7"/>
  <c r="X292" i="7"/>
  <c r="X285" i="7"/>
  <c r="X276" i="7"/>
  <c r="X264" i="7"/>
  <c r="X248" i="7"/>
  <c r="X232" i="7"/>
  <c r="X216" i="7"/>
  <c r="X200" i="7"/>
  <c r="X327" i="7"/>
  <c r="X325" i="7"/>
  <c r="X310" i="7"/>
  <c r="X294" i="7"/>
  <c r="X278" i="7"/>
  <c r="X266" i="7"/>
  <c r="X388" i="7"/>
  <c r="X372" i="7"/>
  <c r="X357" i="7"/>
  <c r="X343" i="7"/>
  <c r="X337" i="7"/>
  <c r="X335" i="7"/>
  <c r="X331" i="7"/>
  <c r="X329" i="7"/>
  <c r="X312" i="7"/>
  <c r="X305" i="7"/>
  <c r="X296" i="7"/>
  <c r="X289" i="7"/>
  <c r="X280" i="7"/>
  <c r="X273" i="7"/>
  <c r="X268" i="7"/>
  <c r="X260" i="7"/>
  <c r="X252" i="7"/>
  <c r="X228" i="7"/>
  <c r="X220" i="7"/>
  <c r="X339" i="7"/>
  <c r="X333" i="7"/>
  <c r="X314" i="7"/>
  <c r="X298" i="7"/>
  <c r="X282" i="7"/>
  <c r="X270" i="7"/>
  <c r="X319" i="7"/>
  <c r="X303" i="7"/>
  <c r="X287" i="7"/>
  <c r="X271" i="7"/>
  <c r="X250" i="7"/>
  <c r="X239" i="7"/>
  <c r="X237" i="7"/>
  <c r="X218" i="7"/>
  <c r="X207" i="7"/>
  <c r="X205" i="7"/>
  <c r="X192" i="7"/>
  <c r="X185" i="7"/>
  <c r="X176" i="7"/>
  <c r="X169" i="7"/>
  <c r="X160" i="7"/>
  <c r="X153" i="7"/>
  <c r="X144" i="7"/>
  <c r="X254" i="7"/>
  <c r="X243" i="7"/>
  <c r="X241" i="7"/>
  <c r="X222" i="7"/>
  <c r="X211" i="7"/>
  <c r="X209" i="7"/>
  <c r="X194" i="7"/>
  <c r="X178" i="7"/>
  <c r="X162" i="7"/>
  <c r="X146" i="7"/>
  <c r="X135" i="7"/>
  <c r="X133" i="7"/>
  <c r="X137" i="7"/>
  <c r="X139" i="7"/>
  <c r="X315" i="7"/>
  <c r="X299" i="7"/>
  <c r="X283" i="7"/>
  <c r="X258" i="7"/>
  <c r="X247" i="7"/>
  <c r="X245" i="7"/>
  <c r="X226" i="7"/>
  <c r="X215" i="7"/>
  <c r="X213" i="7"/>
  <c r="X196" i="7"/>
  <c r="X189" i="7"/>
  <c r="X180" i="7"/>
  <c r="X173" i="7"/>
  <c r="X164" i="7"/>
  <c r="X157" i="7"/>
  <c r="X148" i="7"/>
  <c r="X143" i="7"/>
  <c r="X262" i="7"/>
  <c r="X251" i="7"/>
  <c r="X249" i="7"/>
  <c r="X230" i="7"/>
  <c r="X219" i="7"/>
  <c r="X217" i="7"/>
  <c r="X198" i="7"/>
  <c r="X182" i="7"/>
  <c r="X166" i="7"/>
  <c r="X150" i="7"/>
  <c r="X295" i="7"/>
  <c r="X279" i="7"/>
  <c r="X255" i="7"/>
  <c r="X253" i="7"/>
  <c r="X236" i="7"/>
  <c r="X234" i="7"/>
  <c r="X223" i="7"/>
  <c r="X221" i="7"/>
  <c r="X204" i="7"/>
  <c r="X202" i="7"/>
  <c r="X195" i="7"/>
  <c r="X193" i="7"/>
  <c r="X184" i="7"/>
  <c r="X177" i="7"/>
  <c r="X168" i="7"/>
  <c r="X161" i="7"/>
  <c r="X152" i="7"/>
  <c r="X145" i="7"/>
  <c r="X259" i="7"/>
  <c r="X257" i="7"/>
  <c r="X238" i="7"/>
  <c r="X227" i="7"/>
  <c r="X225" i="7"/>
  <c r="X206" i="7"/>
  <c r="X186" i="7"/>
  <c r="X170" i="7"/>
  <c r="X154" i="7"/>
  <c r="X142" i="7"/>
  <c r="X307" i="7"/>
  <c r="X291" i="7"/>
  <c r="X275" i="7"/>
  <c r="X269" i="7"/>
  <c r="X267" i="7"/>
  <c r="X263" i="7"/>
  <c r="X261" i="7"/>
  <c r="X244" i="7"/>
  <c r="X242" i="7"/>
  <c r="X231" i="7"/>
  <c r="X229" i="7"/>
  <c r="X212" i="7"/>
  <c r="X210" i="7"/>
  <c r="X199" i="7"/>
  <c r="X197" i="7"/>
  <c r="X188" i="7"/>
  <c r="X181" i="7"/>
  <c r="X172" i="7"/>
  <c r="X165" i="7"/>
  <c r="X156" i="7"/>
  <c r="X149" i="7"/>
  <c r="X140" i="7"/>
  <c r="X138" i="7"/>
  <c r="X136" i="7"/>
  <c r="X265" i="7"/>
  <c r="X246" i="7"/>
  <c r="X235" i="7"/>
  <c r="X233" i="7"/>
  <c r="X214" i="7"/>
  <c r="X203" i="7"/>
  <c r="X201" i="7"/>
  <c r="X190" i="7"/>
  <c r="X174" i="7"/>
  <c r="X158" i="7"/>
  <c r="X134" i="7"/>
  <c r="X187" i="7"/>
  <c r="X171" i="7"/>
  <c r="X155" i="7"/>
  <c r="X141" i="7"/>
  <c r="X131" i="7"/>
  <c r="X126" i="7"/>
  <c r="X123" i="7"/>
  <c r="X118" i="7"/>
  <c r="X115" i="7"/>
  <c r="X110" i="7"/>
  <c r="X107" i="7"/>
  <c r="X102" i="7"/>
  <c r="X99" i="7"/>
  <c r="X94" i="7"/>
  <c r="X91" i="7"/>
  <c r="X86" i="7"/>
  <c r="X183" i="7"/>
  <c r="X167" i="7"/>
  <c r="X151" i="7"/>
  <c r="X128" i="7"/>
  <c r="X125" i="7"/>
  <c r="X120" i="7"/>
  <c r="X117" i="7"/>
  <c r="X112" i="7"/>
  <c r="X109" i="7"/>
  <c r="X104" i="7"/>
  <c r="X101" i="7"/>
  <c r="X96" i="7"/>
  <c r="X93" i="7"/>
  <c r="X88" i="7"/>
  <c r="X85" i="7"/>
  <c r="X179" i="7"/>
  <c r="X163" i="7"/>
  <c r="X147" i="7"/>
  <c r="X132" i="7"/>
  <c r="X130" i="7"/>
  <c r="X127" i="7"/>
  <c r="X122" i="7"/>
  <c r="X119" i="7"/>
  <c r="X114" i="7"/>
  <c r="X111" i="7"/>
  <c r="X106" i="7"/>
  <c r="X103" i="7"/>
  <c r="X98" i="7"/>
  <c r="X95" i="7"/>
  <c r="X90" i="7"/>
  <c r="X191" i="7"/>
  <c r="X175" i="7"/>
  <c r="X159" i="7"/>
  <c r="X129" i="7"/>
  <c r="X124" i="7"/>
  <c r="X121" i="7"/>
  <c r="X116" i="7"/>
  <c r="X113" i="7"/>
  <c r="X108" i="7"/>
  <c r="X105" i="7"/>
  <c r="X100" i="7"/>
  <c r="X97" i="7"/>
  <c r="X92" i="7"/>
  <c r="X89" i="7"/>
  <c r="X12" i="7"/>
  <c r="X83" i="7"/>
  <c r="X78" i="7"/>
  <c r="X75" i="7"/>
  <c r="X70" i="7"/>
  <c r="X67" i="7"/>
  <c r="X62" i="7"/>
  <c r="X59" i="7"/>
  <c r="X54" i="7"/>
  <c r="X51" i="7"/>
  <c r="X46" i="7"/>
  <c r="X43" i="7"/>
  <c r="X38" i="7"/>
  <c r="X35" i="7"/>
  <c r="X30" i="7"/>
  <c r="X27" i="7"/>
  <c r="X22" i="7"/>
  <c r="X19" i="7"/>
  <c r="X14" i="7"/>
  <c r="X11" i="7"/>
  <c r="X80" i="7"/>
  <c r="X77" i="7"/>
  <c r="X72" i="7"/>
  <c r="X69" i="7"/>
  <c r="X64" i="7"/>
  <c r="X61" i="7"/>
  <c r="X56" i="7"/>
  <c r="X53" i="7"/>
  <c r="X48" i="7"/>
  <c r="X45" i="7"/>
  <c r="X40" i="7"/>
  <c r="X37" i="7"/>
  <c r="X32" i="7"/>
  <c r="X29" i="7"/>
  <c r="X24" i="7"/>
  <c r="X21" i="7"/>
  <c r="X16" i="7"/>
  <c r="X13" i="7"/>
  <c r="X87" i="7"/>
  <c r="X82" i="7"/>
  <c r="X79" i="7"/>
  <c r="X74" i="7"/>
  <c r="X71" i="7"/>
  <c r="X66" i="7"/>
  <c r="X63" i="7"/>
  <c r="X58" i="7"/>
  <c r="X55" i="7"/>
  <c r="X50" i="7"/>
  <c r="X47" i="7"/>
  <c r="X42" i="7"/>
  <c r="X39" i="7"/>
  <c r="X34" i="7"/>
  <c r="X31" i="7"/>
  <c r="X26" i="7"/>
  <c r="X23" i="7"/>
  <c r="X18" i="7"/>
  <c r="X15" i="7"/>
  <c r="X10" i="7"/>
  <c r="X84" i="7"/>
  <c r="X81" i="7"/>
  <c r="X76" i="7"/>
  <c r="X73" i="7"/>
  <c r="X68" i="7"/>
  <c r="X65" i="7"/>
  <c r="X60" i="7"/>
  <c r="X57" i="7"/>
  <c r="X52" i="7"/>
  <c r="X49" i="7"/>
  <c r="X44" i="7"/>
  <c r="X41" i="7"/>
  <c r="X36" i="7"/>
  <c r="X33" i="7"/>
  <c r="X28" i="7"/>
  <c r="X25" i="7"/>
  <c r="X20" i="7"/>
  <c r="X17" i="7"/>
  <c r="H140" i="10"/>
  <c r="H161" i="10"/>
  <c r="H181" i="10"/>
  <c r="H197" i="10"/>
  <c r="H213" i="10"/>
  <c r="H229" i="10"/>
  <c r="H245" i="10"/>
  <c r="H261" i="10"/>
  <c r="H133" i="10"/>
  <c r="H179" i="10"/>
  <c r="H195" i="10"/>
  <c r="H211" i="10"/>
  <c r="H227" i="10"/>
  <c r="H243" i="10"/>
  <c r="H259" i="10"/>
  <c r="H275" i="10"/>
  <c r="H291" i="10"/>
  <c r="H307" i="10"/>
  <c r="H177" i="10"/>
  <c r="H193" i="10"/>
  <c r="H209" i="10"/>
  <c r="H225" i="10"/>
  <c r="H241" i="10"/>
  <c r="H257" i="10"/>
  <c r="H273" i="10"/>
  <c r="H289" i="10"/>
  <c r="H305" i="10"/>
  <c r="H321" i="10"/>
  <c r="H323" i="10"/>
  <c r="H325" i="10"/>
  <c r="H327" i="10"/>
  <c r="H329" i="10"/>
  <c r="H331" i="10"/>
  <c r="H333" i="10"/>
  <c r="H335" i="10"/>
  <c r="H337" i="10"/>
  <c r="H339" i="10"/>
  <c r="H341" i="10"/>
  <c r="H343" i="10"/>
  <c r="H345" i="10"/>
  <c r="H347" i="10"/>
  <c r="H349" i="10"/>
  <c r="H351" i="10"/>
  <c r="H353" i="10"/>
  <c r="H355" i="10"/>
  <c r="H357" i="10"/>
  <c r="H359" i="10"/>
  <c r="H361" i="10"/>
  <c r="H363" i="10"/>
  <c r="H365" i="10"/>
  <c r="H367" i="10"/>
  <c r="H369" i="10"/>
  <c r="H371" i="10"/>
  <c r="H373" i="10"/>
  <c r="H375" i="10"/>
  <c r="H377" i="10"/>
  <c r="H379" i="10"/>
  <c r="H381" i="10"/>
  <c r="H383" i="10"/>
  <c r="H385" i="10"/>
  <c r="H387" i="10"/>
  <c r="H389" i="10"/>
  <c r="H391" i="10"/>
  <c r="H393" i="10"/>
  <c r="H395" i="10"/>
  <c r="H397" i="10"/>
  <c r="H399" i="10"/>
  <c r="H401" i="10"/>
  <c r="H403" i="10"/>
  <c r="H405" i="10"/>
  <c r="H407" i="10"/>
  <c r="H409" i="10"/>
  <c r="H411" i="10"/>
  <c r="H413" i="10"/>
  <c r="H415" i="10"/>
  <c r="H417" i="10"/>
  <c r="H419" i="10"/>
  <c r="H421" i="10"/>
  <c r="H423" i="10"/>
  <c r="H425" i="10"/>
  <c r="H427" i="10"/>
  <c r="H429" i="10"/>
  <c r="H431" i="10"/>
  <c r="H433" i="10"/>
  <c r="H435" i="10"/>
  <c r="H437" i="10"/>
  <c r="H439" i="10"/>
  <c r="H441" i="10"/>
  <c r="H443" i="10"/>
  <c r="H445" i="10"/>
  <c r="H447" i="10"/>
  <c r="H449" i="10"/>
  <c r="H451" i="10"/>
  <c r="H453" i="10"/>
  <c r="H455" i="10"/>
  <c r="H457" i="10"/>
  <c r="H459" i="10"/>
  <c r="H461" i="10"/>
  <c r="H463" i="10"/>
  <c r="H465" i="10"/>
  <c r="H467" i="10"/>
  <c r="H469" i="10"/>
  <c r="H471" i="10"/>
  <c r="H473" i="10"/>
  <c r="H475" i="10"/>
  <c r="H477" i="10"/>
  <c r="H479" i="10"/>
  <c r="H481" i="10"/>
  <c r="H483" i="10"/>
  <c r="H485" i="10"/>
  <c r="H487" i="10"/>
  <c r="H489" i="10"/>
  <c r="H491" i="10"/>
  <c r="H493" i="10"/>
  <c r="H495" i="10"/>
  <c r="H497" i="10"/>
  <c r="H499" i="10"/>
  <c r="H501" i="10"/>
  <c r="H503" i="10"/>
  <c r="H505" i="10"/>
  <c r="H507" i="10"/>
  <c r="H509" i="10"/>
  <c r="H511" i="10"/>
  <c r="H513" i="10"/>
  <c r="H515" i="10"/>
  <c r="H517" i="10"/>
  <c r="H519" i="10"/>
  <c r="H521" i="10"/>
  <c r="H523" i="10"/>
  <c r="H525" i="10"/>
  <c r="H527" i="10"/>
  <c r="H529" i="10"/>
  <c r="H531" i="10"/>
  <c r="H533" i="10"/>
  <c r="H535" i="10"/>
  <c r="H537" i="10"/>
  <c r="H539" i="10"/>
  <c r="H541" i="10"/>
  <c r="H543" i="10"/>
  <c r="H545" i="10"/>
  <c r="H547" i="10"/>
  <c r="H549" i="10"/>
  <c r="H551" i="10"/>
  <c r="H553" i="10"/>
  <c r="H555" i="10"/>
  <c r="H557" i="10"/>
  <c r="H559" i="10"/>
  <c r="H561" i="10"/>
  <c r="H563" i="10"/>
  <c r="H565" i="10"/>
  <c r="H567" i="10"/>
  <c r="H569" i="10"/>
  <c r="H571" i="10"/>
  <c r="H573" i="10"/>
  <c r="H575" i="10"/>
  <c r="H577" i="10"/>
  <c r="H579" i="10"/>
  <c r="H581" i="10"/>
  <c r="H583" i="10"/>
  <c r="H585" i="10"/>
  <c r="H587" i="10"/>
  <c r="H589" i="10"/>
  <c r="H591" i="10"/>
  <c r="H593" i="10"/>
  <c r="H595" i="10"/>
  <c r="H597" i="10"/>
  <c r="H599" i="10"/>
  <c r="H601" i="10"/>
  <c r="H603" i="10"/>
  <c r="H605" i="10"/>
  <c r="H607" i="10"/>
  <c r="H609" i="10"/>
  <c r="H611" i="10"/>
  <c r="H613" i="10"/>
  <c r="H615" i="10"/>
  <c r="H617" i="10"/>
  <c r="H619" i="10"/>
  <c r="H621" i="10"/>
  <c r="H623" i="10"/>
  <c r="H625" i="10"/>
  <c r="H627" i="10"/>
  <c r="H629" i="10"/>
  <c r="H631" i="10"/>
  <c r="H633" i="10"/>
  <c r="H635" i="10"/>
  <c r="H149" i="10"/>
  <c r="H191" i="10"/>
  <c r="H207" i="10"/>
  <c r="H223" i="10"/>
  <c r="H239" i="10"/>
  <c r="H255" i="10"/>
  <c r="H129" i="10"/>
  <c r="H189" i="10"/>
  <c r="H205" i="10"/>
  <c r="H221" i="10"/>
  <c r="H237" i="10"/>
  <c r="H85" i="10"/>
  <c r="H165" i="10"/>
  <c r="H117" i="10"/>
  <c r="H183" i="10"/>
  <c r="H199" i="10"/>
  <c r="H215" i="10"/>
  <c r="H231" i="10"/>
  <c r="H263" i="10"/>
  <c r="H233" i="10"/>
  <c r="H28" i="10"/>
  <c r="H235" i="10"/>
  <c r="H217" i="10"/>
  <c r="H168" i="10"/>
  <c r="H219" i="10"/>
  <c r="H53" i="10"/>
  <c r="H201" i="10"/>
  <c r="H101" i="10"/>
  <c r="H203" i="10"/>
  <c r="H44" i="10"/>
  <c r="H12" i="10"/>
  <c r="H152" i="10"/>
  <c r="H124" i="10"/>
  <c r="H69" i="10"/>
  <c r="H108" i="10"/>
  <c r="H172" i="10"/>
  <c r="H136" i="10"/>
  <c r="H147" i="10"/>
  <c r="H163" i="10"/>
  <c r="H113" i="10"/>
  <c r="H141" i="10"/>
  <c r="H157" i="10"/>
  <c r="H173" i="10"/>
  <c r="H139" i="10"/>
  <c r="H155" i="10"/>
  <c r="H171" i="10"/>
  <c r="H266" i="10"/>
  <c r="H292" i="10"/>
  <c r="H296" i="10"/>
  <c r="H300" i="10"/>
  <c r="H304" i="10"/>
  <c r="H308" i="10"/>
  <c r="H312" i="10"/>
  <c r="H316" i="10"/>
  <c r="H320" i="10"/>
  <c r="H137" i="10"/>
  <c r="H153" i="10"/>
  <c r="H169" i="10"/>
  <c r="H178" i="10"/>
  <c r="H180" i="10"/>
  <c r="H182" i="10"/>
  <c r="H184" i="10"/>
  <c r="H186" i="10"/>
  <c r="H188" i="10"/>
  <c r="H190" i="10"/>
  <c r="H192" i="10"/>
  <c r="H194" i="10"/>
  <c r="H196" i="10"/>
  <c r="H198" i="10"/>
  <c r="H200" i="10"/>
  <c r="H202" i="10"/>
  <c r="H204" i="10"/>
  <c r="H206" i="10"/>
  <c r="H208" i="10"/>
  <c r="H210" i="10"/>
  <c r="H212" i="10"/>
  <c r="H214" i="10"/>
  <c r="H216" i="10"/>
  <c r="H218" i="10"/>
  <c r="H220" i="10"/>
  <c r="H222" i="10"/>
  <c r="H224" i="10"/>
  <c r="H226" i="10"/>
  <c r="H228" i="10"/>
  <c r="H230" i="10"/>
  <c r="H232" i="10"/>
  <c r="H234" i="10"/>
  <c r="H236" i="10"/>
  <c r="H238" i="10"/>
  <c r="H240" i="10"/>
  <c r="H242" i="10"/>
  <c r="H244" i="10"/>
  <c r="H246" i="10"/>
  <c r="H248" i="10"/>
  <c r="H250" i="10"/>
  <c r="H252" i="10"/>
  <c r="H254" i="10"/>
  <c r="H256" i="10"/>
  <c r="H258" i="10"/>
  <c r="H260" i="10"/>
  <c r="H262" i="10"/>
  <c r="H264" i="10"/>
  <c r="H268" i="10"/>
  <c r="H270" i="10"/>
  <c r="H272" i="10"/>
  <c r="H274" i="10"/>
  <c r="H276" i="10"/>
  <c r="H278" i="10"/>
  <c r="H280" i="10"/>
  <c r="H282" i="10"/>
  <c r="H284" i="10"/>
  <c r="H286" i="10"/>
  <c r="H288" i="10"/>
  <c r="H290" i="10"/>
  <c r="H294" i="10"/>
  <c r="H298" i="10"/>
  <c r="H302" i="10"/>
  <c r="H306" i="10"/>
  <c r="H310" i="10"/>
  <c r="H314" i="10"/>
  <c r="H318" i="10"/>
  <c r="H92" i="10"/>
  <c r="H37" i="10"/>
  <c r="H76" i="10"/>
  <c r="H21" i="10"/>
  <c r="H156" i="10"/>
  <c r="H135" i="10"/>
  <c r="H120" i="10"/>
  <c r="H60" i="10"/>
  <c r="H174" i="10"/>
  <c r="H167" i="10"/>
  <c r="H158" i="10"/>
  <c r="H151" i="10"/>
  <c r="H142" i="10"/>
  <c r="H126" i="10"/>
  <c r="H119" i="10"/>
  <c r="H110" i="10"/>
  <c r="H103" i="10"/>
  <c r="H94" i="10"/>
  <c r="H87" i="10"/>
  <c r="H78" i="10"/>
  <c r="H71" i="10"/>
  <c r="H62" i="10"/>
  <c r="H55" i="10"/>
  <c r="H46" i="10"/>
  <c r="H39" i="10"/>
  <c r="H30" i="10"/>
  <c r="H23" i="10"/>
  <c r="H14" i="10"/>
  <c r="H176" i="10"/>
  <c r="H160" i="10"/>
  <c r="H144" i="10"/>
  <c r="H128" i="10"/>
  <c r="H121" i="10"/>
  <c r="H112" i="10"/>
  <c r="H105" i="10"/>
  <c r="H96" i="10"/>
  <c r="H89" i="10"/>
  <c r="H80" i="10"/>
  <c r="H73" i="10"/>
  <c r="H64" i="10"/>
  <c r="H57" i="10"/>
  <c r="H48" i="10"/>
  <c r="H41" i="10"/>
  <c r="H32" i="10"/>
  <c r="H25" i="10"/>
  <c r="H16" i="10"/>
  <c r="H9" i="10"/>
  <c r="H162" i="10"/>
  <c r="H146" i="10"/>
  <c r="H130" i="10"/>
  <c r="H123" i="10"/>
  <c r="H114" i="10"/>
  <c r="H107" i="10"/>
  <c r="H98" i="10"/>
  <c r="H91" i="10"/>
  <c r="H82" i="10"/>
  <c r="H75" i="10"/>
  <c r="H66" i="10"/>
  <c r="H59" i="10"/>
  <c r="H50" i="10"/>
  <c r="H43" i="10"/>
  <c r="H34" i="10"/>
  <c r="H27" i="10"/>
  <c r="H18" i="10"/>
  <c r="H11" i="10"/>
  <c r="H164" i="10"/>
  <c r="H148" i="10"/>
  <c r="H132" i="10"/>
  <c r="H125" i="10"/>
  <c r="H116" i="10"/>
  <c r="H109" i="10"/>
  <c r="H100" i="10"/>
  <c r="H93" i="10"/>
  <c r="H84" i="10"/>
  <c r="H77" i="10"/>
  <c r="H68" i="10"/>
  <c r="H61" i="10"/>
  <c r="H52" i="10"/>
  <c r="H45" i="10"/>
  <c r="H36" i="10"/>
  <c r="H29" i="10"/>
  <c r="H20" i="10"/>
  <c r="H13" i="10"/>
  <c r="H175" i="10"/>
  <c r="H166" i="10"/>
  <c r="H159" i="10"/>
  <c r="H150" i="10"/>
  <c r="H143" i="10"/>
  <c r="H134" i="10"/>
  <c r="H127" i="10"/>
  <c r="H118" i="10"/>
  <c r="H111" i="10"/>
  <c r="H102" i="10"/>
  <c r="H95" i="10"/>
  <c r="H86" i="10"/>
  <c r="H79" i="10"/>
  <c r="H70" i="10"/>
  <c r="H63" i="10"/>
  <c r="H54" i="10"/>
  <c r="H47" i="10"/>
  <c r="H38" i="10"/>
  <c r="H31" i="10"/>
  <c r="H22" i="10"/>
  <c r="H15" i="10"/>
  <c r="H104" i="10"/>
  <c r="H97" i="10"/>
  <c r="H88" i="10"/>
  <c r="H81" i="10"/>
  <c r="H72" i="10"/>
  <c r="H65" i="10"/>
  <c r="H56" i="10"/>
  <c r="H49" i="10"/>
  <c r="H40" i="10"/>
  <c r="H33" i="10"/>
  <c r="H24" i="10"/>
  <c r="H17" i="10"/>
  <c r="H8" i="10"/>
  <c r="H170" i="10"/>
  <c r="H154" i="10"/>
  <c r="H138" i="10"/>
  <c r="H131" i="10"/>
  <c r="H122" i="10"/>
  <c r="H115" i="10"/>
  <c r="H106" i="10"/>
  <c r="H99" i="10"/>
  <c r="H90" i="10"/>
  <c r="H83" i="10"/>
  <c r="H74" i="10"/>
  <c r="H67" i="10"/>
  <c r="H58" i="10"/>
  <c r="H51" i="10"/>
  <c r="H42" i="10"/>
  <c r="H35" i="10"/>
  <c r="H26" i="10"/>
  <c r="H19" i="10"/>
  <c r="H10" i="10"/>
  <c r="H4" i="10"/>
  <c r="E27" i="9"/>
  <c r="E24" i="9"/>
  <c r="E8" i="9"/>
  <c r="E1173" i="9"/>
  <c r="E1141" i="9"/>
  <c r="E1109" i="9"/>
  <c r="E1077" i="9"/>
  <c r="E1029" i="9"/>
  <c r="E17" i="9"/>
  <c r="E10" i="9"/>
  <c r="E1165" i="9"/>
  <c r="E1133" i="9"/>
  <c r="E1101" i="9"/>
  <c r="E1069" i="9"/>
  <c r="E29" i="9"/>
  <c r="E26" i="9"/>
  <c r="E13" i="9"/>
  <c r="E1175" i="9"/>
  <c r="E1143" i="9"/>
  <c r="E1111" i="9"/>
  <c r="E1079" i="9"/>
  <c r="E19" i="9"/>
  <c r="E1196" i="9"/>
  <c r="E1189" i="9"/>
  <c r="E1157" i="9"/>
  <c r="E1125" i="9"/>
  <c r="E1093" i="9"/>
  <c r="E1061" i="9"/>
  <c r="E1167" i="9"/>
  <c r="E1135" i="9"/>
  <c r="E1103" i="9"/>
  <c r="E1071" i="9"/>
  <c r="E6" i="9"/>
  <c r="E1198" i="9"/>
  <c r="E1181" i="9"/>
  <c r="E1149" i="9"/>
  <c r="E1117" i="9"/>
  <c r="E1085" i="9"/>
  <c r="E1049" i="9"/>
  <c r="H1197" i="9"/>
  <c r="E1053" i="9"/>
  <c r="E5" i="9"/>
  <c r="E25" i="9"/>
  <c r="E16" i="9"/>
  <c r="E1193" i="9"/>
  <c r="E1190" i="9"/>
  <c r="E1177" i="9"/>
  <c r="E1174" i="9"/>
  <c r="E1161" i="9"/>
  <c r="E1158" i="9"/>
  <c r="E1145" i="9"/>
  <c r="E1142" i="9"/>
  <c r="E1129" i="9"/>
  <c r="E1126" i="9"/>
  <c r="E1113" i="9"/>
  <c r="E1110" i="9"/>
  <c r="E1097" i="9"/>
  <c r="E1094" i="9"/>
  <c r="E1081" i="9"/>
  <c r="E1078" i="9"/>
  <c r="E1065" i="9"/>
  <c r="E1062" i="9"/>
  <c r="E1045" i="9"/>
  <c r="E1037" i="9"/>
  <c r="E11" i="9"/>
  <c r="E1185" i="9"/>
  <c r="E1182" i="9"/>
  <c r="E1169" i="9"/>
  <c r="E1166" i="9"/>
  <c r="E1153" i="9"/>
  <c r="E1150" i="9"/>
  <c r="E1137" i="9"/>
  <c r="E1134" i="9"/>
  <c r="E1121" i="9"/>
  <c r="E1118" i="9"/>
  <c r="E1105" i="9"/>
  <c r="E1102" i="9"/>
  <c r="E1089" i="9"/>
  <c r="E1086" i="9"/>
  <c r="E1073" i="9"/>
  <c r="E1070" i="9"/>
  <c r="E1057" i="9"/>
  <c r="E1021" i="9"/>
  <c r="H1174" i="9"/>
  <c r="H1150" i="9"/>
  <c r="H1126" i="9"/>
  <c r="H1102" i="9"/>
  <c r="H1078" i="9"/>
  <c r="E1046" i="9"/>
  <c r="E1022" i="9"/>
  <c r="E998" i="9"/>
  <c r="E987" i="9"/>
  <c r="E984" i="9"/>
  <c r="E4" i="9"/>
  <c r="E23" i="9"/>
  <c r="E15" i="9"/>
  <c r="E7" i="9"/>
  <c r="E1200" i="9"/>
  <c r="E1195" i="9"/>
  <c r="E1187" i="9"/>
  <c r="E1179" i="9"/>
  <c r="E1171" i="9"/>
  <c r="E1163" i="9"/>
  <c r="E1155" i="9"/>
  <c r="E1147" i="9"/>
  <c r="E1139" i="9"/>
  <c r="E1131" i="9"/>
  <c r="E1123" i="9"/>
  <c r="E1115" i="9"/>
  <c r="E1107" i="9"/>
  <c r="E1099" i="9"/>
  <c r="E1091" i="9"/>
  <c r="E1083" i="9"/>
  <c r="E1075" i="9"/>
  <c r="E1067" i="9"/>
  <c r="E1059" i="9"/>
  <c r="E1051" i="9"/>
  <c r="E1043" i="9"/>
  <c r="E1035" i="9"/>
  <c r="E1027" i="9"/>
  <c r="E1019" i="9"/>
  <c r="E1011" i="9"/>
  <c r="E1003" i="9"/>
  <c r="E995" i="9"/>
  <c r="E992" i="9"/>
  <c r="E981" i="9"/>
  <c r="H978" i="9"/>
  <c r="E967" i="9"/>
  <c r="H961" i="9"/>
  <c r="E956" i="9"/>
  <c r="E953" i="9"/>
  <c r="E942" i="9"/>
  <c r="E931" i="9"/>
  <c r="E928" i="9"/>
  <c r="E902" i="9"/>
  <c r="E899" i="9"/>
  <c r="E896" i="9"/>
  <c r="E870" i="9"/>
  <c r="E867" i="9"/>
  <c r="E864" i="9"/>
  <c r="E791" i="9"/>
  <c r="E753" i="9"/>
  <c r="E727" i="9"/>
  <c r="E697" i="9"/>
  <c r="E573" i="9"/>
  <c r="H1134" i="9"/>
  <c r="H1110" i="9"/>
  <c r="H1086" i="9"/>
  <c r="E1038" i="9"/>
  <c r="E1014" i="9"/>
  <c r="E28" i="9"/>
  <c r="E20" i="9"/>
  <c r="E12" i="9"/>
  <c r="E1192" i="9"/>
  <c r="E1184" i="9"/>
  <c r="E1176" i="9"/>
  <c r="E1168" i="9"/>
  <c r="E1160" i="9"/>
  <c r="E1152" i="9"/>
  <c r="E1144" i="9"/>
  <c r="E1136" i="9"/>
  <c r="E1128" i="9"/>
  <c r="E1120" i="9"/>
  <c r="E1112" i="9"/>
  <c r="E1104" i="9"/>
  <c r="E1096" i="9"/>
  <c r="E1088" i="9"/>
  <c r="E1080" i="9"/>
  <c r="E1072" i="9"/>
  <c r="E1064" i="9"/>
  <c r="E1056" i="9"/>
  <c r="E1048" i="9"/>
  <c r="E1040" i="9"/>
  <c r="E1032" i="9"/>
  <c r="E1024" i="9"/>
  <c r="E1016" i="9"/>
  <c r="E1008" i="9"/>
  <c r="E1000" i="9"/>
  <c r="E989" i="9"/>
  <c r="H986" i="9"/>
  <c r="E975" i="9"/>
  <c r="E964" i="9"/>
  <c r="E961" i="9"/>
  <c r="E950" i="9"/>
  <c r="E939" i="9"/>
  <c r="E936" i="9"/>
  <c r="E925" i="9"/>
  <c r="E919" i="9"/>
  <c r="E913" i="9"/>
  <c r="E893" i="9"/>
  <c r="E887" i="9"/>
  <c r="E881" i="9"/>
  <c r="E861" i="9"/>
  <c r="E855" i="9"/>
  <c r="E849" i="9"/>
  <c r="H868" i="9"/>
  <c r="E825" i="9"/>
  <c r="E819" i="9"/>
  <c r="E816" i="9"/>
  <c r="E813" i="9"/>
  <c r="E807" i="9"/>
  <c r="E787" i="9"/>
  <c r="E777" i="9"/>
  <c r="E767" i="9"/>
  <c r="E719" i="9"/>
  <c r="E700" i="9"/>
  <c r="E685" i="9"/>
  <c r="E557" i="9"/>
  <c r="H1168" i="9"/>
  <c r="H1152" i="9"/>
  <c r="H1128" i="9"/>
  <c r="H1104" i="9"/>
  <c r="H1179" i="9"/>
  <c r="H1074" i="9"/>
  <c r="H1058" i="9"/>
  <c r="H1042" i="9"/>
  <c r="H1018" i="9"/>
  <c r="E1013" i="9"/>
  <c r="H1010" i="9"/>
  <c r="E1005" i="9"/>
  <c r="H1002" i="9"/>
  <c r="E997" i="9"/>
  <c r="H994" i="9"/>
  <c r="E983" i="9"/>
  <c r="E972" i="9"/>
  <c r="E969" i="9"/>
  <c r="H966" i="9"/>
  <c r="E958" i="9"/>
  <c r="E947" i="9"/>
  <c r="E944" i="9"/>
  <c r="E933" i="9"/>
  <c r="E910" i="9"/>
  <c r="E907" i="9"/>
  <c r="E904" i="9"/>
  <c r="E878" i="9"/>
  <c r="E875" i="9"/>
  <c r="E872" i="9"/>
  <c r="E846" i="9"/>
  <c r="E843" i="9"/>
  <c r="E840" i="9"/>
  <c r="E837" i="9"/>
  <c r="E831" i="9"/>
  <c r="E803" i="9"/>
  <c r="E800" i="9"/>
  <c r="E711" i="9"/>
  <c r="H1200" i="9"/>
  <c r="H1192" i="9"/>
  <c r="H1176" i="9"/>
  <c r="H1144" i="9"/>
  <c r="H1112" i="9"/>
  <c r="H1096" i="9"/>
  <c r="H1163" i="9"/>
  <c r="H1066" i="9"/>
  <c r="H1050" i="9"/>
  <c r="H1034" i="9"/>
  <c r="H1026" i="9"/>
  <c r="E33" i="9"/>
  <c r="E41" i="9"/>
  <c r="E49" i="9"/>
  <c r="E57" i="9"/>
  <c r="E65" i="9"/>
  <c r="E73" i="9"/>
  <c r="E81" i="9"/>
  <c r="E89" i="9"/>
  <c r="E97" i="9"/>
  <c r="E105" i="9"/>
  <c r="E113" i="9"/>
  <c r="E121" i="9"/>
  <c r="E129" i="9"/>
  <c r="E137" i="9"/>
  <c r="E145" i="9"/>
  <c r="E153" i="9"/>
  <c r="E161" i="9"/>
  <c r="E169" i="9"/>
  <c r="E177" i="9"/>
  <c r="E185" i="9"/>
  <c r="E193" i="9"/>
  <c r="E201" i="9"/>
  <c r="E209" i="9"/>
  <c r="E217" i="9"/>
  <c r="E225" i="9"/>
  <c r="E233" i="9"/>
  <c r="E241" i="9"/>
  <c r="E249" i="9"/>
  <c r="E257" i="9"/>
  <c r="E36" i="9"/>
  <c r="E44" i="9"/>
  <c r="E52" i="9"/>
  <c r="E60" i="9"/>
  <c r="E68" i="9"/>
  <c r="E76" i="9"/>
  <c r="E84" i="9"/>
  <c r="E92" i="9"/>
  <c r="E100" i="9"/>
  <c r="E108" i="9"/>
  <c r="E116" i="9"/>
  <c r="E124" i="9"/>
  <c r="E132" i="9"/>
  <c r="E140" i="9"/>
  <c r="E148" i="9"/>
  <c r="E156" i="9"/>
  <c r="E164" i="9"/>
  <c r="E172" i="9"/>
  <c r="E180" i="9"/>
  <c r="E188" i="9"/>
  <c r="E196" i="9"/>
  <c r="E204" i="9"/>
  <c r="E212" i="9"/>
  <c r="E220" i="9"/>
  <c r="E228" i="9"/>
  <c r="E236" i="9"/>
  <c r="E244" i="9"/>
  <c r="E252" i="9"/>
  <c r="E260" i="9"/>
  <c r="E268" i="9"/>
  <c r="E276" i="9"/>
  <c r="E284" i="9"/>
  <c r="E292" i="9"/>
  <c r="E300" i="9"/>
  <c r="E308" i="9"/>
  <c r="E316" i="9"/>
  <c r="E324" i="9"/>
  <c r="E332" i="9"/>
  <c r="E340" i="9"/>
  <c r="E348" i="9"/>
  <c r="E356" i="9"/>
  <c r="E364" i="9"/>
  <c r="E31" i="9"/>
  <c r="E39" i="9"/>
  <c r="E47" i="9"/>
  <c r="E55" i="9"/>
  <c r="E63" i="9"/>
  <c r="E71" i="9"/>
  <c r="E79" i="9"/>
  <c r="E87" i="9"/>
  <c r="E95" i="9"/>
  <c r="E103" i="9"/>
  <c r="E111" i="9"/>
  <c r="E119" i="9"/>
  <c r="E127" i="9"/>
  <c r="E135" i="9"/>
  <c r="E143" i="9"/>
  <c r="E151" i="9"/>
  <c r="E159" i="9"/>
  <c r="E167" i="9"/>
  <c r="E175" i="9"/>
  <c r="E183" i="9"/>
  <c r="E191" i="9"/>
  <c r="E199" i="9"/>
  <c r="E207" i="9"/>
  <c r="E215" i="9"/>
  <c r="E223" i="9"/>
  <c r="E231" i="9"/>
  <c r="E239" i="9"/>
  <c r="E247" i="9"/>
  <c r="E255" i="9"/>
  <c r="E263" i="9"/>
  <c r="E271" i="9"/>
  <c r="E279" i="9"/>
  <c r="E287" i="9"/>
  <c r="E295" i="9"/>
  <c r="E303" i="9"/>
  <c r="E311" i="9"/>
  <c r="E319" i="9"/>
  <c r="E327" i="9"/>
  <c r="E335" i="9"/>
  <c r="E343" i="9"/>
  <c r="E351" i="9"/>
  <c r="E359" i="9"/>
  <c r="E367" i="9"/>
  <c r="E375" i="9"/>
  <c r="E383" i="9"/>
  <c r="E391" i="9"/>
  <c r="E399" i="9"/>
  <c r="E407" i="9"/>
  <c r="E415" i="9"/>
  <c r="E423" i="9"/>
  <c r="E431" i="9"/>
  <c r="E439" i="9"/>
  <c r="E447" i="9"/>
  <c r="E455" i="9"/>
  <c r="E463" i="9"/>
  <c r="E471" i="9"/>
  <c r="E479" i="9"/>
  <c r="E487" i="9"/>
  <c r="E495" i="9"/>
  <c r="E503" i="9"/>
  <c r="E511" i="9"/>
  <c r="E519" i="9"/>
  <c r="E527" i="9"/>
  <c r="E535" i="9"/>
  <c r="E543" i="9"/>
  <c r="E551" i="9"/>
  <c r="E559" i="9"/>
  <c r="E567" i="9"/>
  <c r="E575" i="9"/>
  <c r="E583" i="9"/>
  <c r="E591" i="9"/>
  <c r="E599" i="9"/>
  <c r="E607" i="9"/>
  <c r="E615" i="9"/>
  <c r="E623" i="9"/>
  <c r="E631" i="9"/>
  <c r="E639" i="9"/>
  <c r="E647" i="9"/>
  <c r="E655" i="9"/>
  <c r="E663" i="9"/>
  <c r="E671" i="9"/>
  <c r="E679" i="9"/>
  <c r="E687" i="9"/>
  <c r="E34" i="9"/>
  <c r="E42" i="9"/>
  <c r="E50" i="9"/>
  <c r="E58" i="9"/>
  <c r="E66" i="9"/>
  <c r="E74" i="9"/>
  <c r="E82" i="9"/>
  <c r="E90" i="9"/>
  <c r="E98" i="9"/>
  <c r="E106" i="9"/>
  <c r="E114" i="9"/>
  <c r="E122" i="9"/>
  <c r="E130" i="9"/>
  <c r="E138" i="9"/>
  <c r="E146" i="9"/>
  <c r="E154" i="9"/>
  <c r="E162" i="9"/>
  <c r="E170" i="9"/>
  <c r="E178" i="9"/>
  <c r="E186" i="9"/>
  <c r="E194" i="9"/>
  <c r="E202" i="9"/>
  <c r="E210" i="9"/>
  <c r="E218" i="9"/>
  <c r="E226" i="9"/>
  <c r="E234" i="9"/>
  <c r="E242" i="9"/>
  <c r="E250" i="9"/>
  <c r="E258" i="9"/>
  <c r="E266" i="9"/>
  <c r="E274" i="9"/>
  <c r="E282" i="9"/>
  <c r="E290" i="9"/>
  <c r="E298" i="9"/>
  <c r="E306" i="9"/>
  <c r="E314" i="9"/>
  <c r="E322" i="9"/>
  <c r="E330" i="9"/>
  <c r="E338" i="9"/>
  <c r="E346" i="9"/>
  <c r="E354" i="9"/>
  <c r="E362" i="9"/>
  <c r="E370" i="9"/>
  <c r="E378" i="9"/>
  <c r="E386" i="9"/>
  <c r="E394" i="9"/>
  <c r="E402" i="9"/>
  <c r="E410" i="9"/>
  <c r="E418" i="9"/>
  <c r="E426" i="9"/>
  <c r="E434" i="9"/>
  <c r="E442" i="9"/>
  <c r="E450" i="9"/>
  <c r="E458" i="9"/>
  <c r="E466" i="9"/>
  <c r="E474" i="9"/>
  <c r="E482" i="9"/>
  <c r="E490" i="9"/>
  <c r="E498" i="9"/>
  <c r="E506" i="9"/>
  <c r="E514" i="9"/>
  <c r="E522" i="9"/>
  <c r="E530" i="9"/>
  <c r="E538" i="9"/>
  <c r="E546" i="9"/>
  <c r="E554" i="9"/>
  <c r="E562" i="9"/>
  <c r="E570" i="9"/>
  <c r="E578" i="9"/>
  <c r="E586" i="9"/>
  <c r="E594" i="9"/>
  <c r="E602" i="9"/>
  <c r="E610" i="9"/>
  <c r="E618" i="9"/>
  <c r="E626" i="9"/>
  <c r="E634" i="9"/>
  <c r="E642" i="9"/>
  <c r="E650" i="9"/>
  <c r="E658" i="9"/>
  <c r="E666" i="9"/>
  <c r="E674" i="9"/>
  <c r="E682" i="9"/>
  <c r="E690" i="9"/>
  <c r="E698" i="9"/>
  <c r="E706" i="9"/>
  <c r="E37" i="9"/>
  <c r="E45" i="9"/>
  <c r="E53" i="9"/>
  <c r="E61" i="9"/>
  <c r="E69" i="9"/>
  <c r="E77" i="9"/>
  <c r="E85" i="9"/>
  <c r="E93" i="9"/>
  <c r="E101" i="9"/>
  <c r="E109" i="9"/>
  <c r="E117" i="9"/>
  <c r="E125" i="9"/>
  <c r="E133" i="9"/>
  <c r="E141" i="9"/>
  <c r="E149" i="9"/>
  <c r="E157" i="9"/>
  <c r="E165" i="9"/>
  <c r="E173" i="9"/>
  <c r="E181" i="9"/>
  <c r="E189" i="9"/>
  <c r="E197" i="9"/>
  <c r="E205" i="9"/>
  <c r="E213" i="9"/>
  <c r="E221" i="9"/>
  <c r="E229" i="9"/>
  <c r="E237" i="9"/>
  <c r="E245" i="9"/>
  <c r="E253" i="9"/>
  <c r="E261" i="9"/>
  <c r="E269" i="9"/>
  <c r="E277" i="9"/>
  <c r="E285" i="9"/>
  <c r="E293" i="9"/>
  <c r="E301" i="9"/>
  <c r="E309" i="9"/>
  <c r="E317" i="9"/>
  <c r="E325" i="9"/>
  <c r="E333" i="9"/>
  <c r="E341" i="9"/>
  <c r="E32" i="9"/>
  <c r="E40" i="9"/>
  <c r="E48" i="9"/>
  <c r="E56" i="9"/>
  <c r="E64" i="9"/>
  <c r="E72" i="9"/>
  <c r="E80" i="9"/>
  <c r="E88" i="9"/>
  <c r="E96" i="9"/>
  <c r="E104" i="9"/>
  <c r="E112" i="9"/>
  <c r="E120" i="9"/>
  <c r="E128" i="9"/>
  <c r="E136" i="9"/>
  <c r="E144" i="9"/>
  <c r="E152" i="9"/>
  <c r="E160" i="9"/>
  <c r="E168" i="9"/>
  <c r="E176" i="9"/>
  <c r="E184" i="9"/>
  <c r="E192" i="9"/>
  <c r="E200" i="9"/>
  <c r="E208" i="9"/>
  <c r="E216" i="9"/>
  <c r="E224" i="9"/>
  <c r="E232" i="9"/>
  <c r="E240" i="9"/>
  <c r="E248" i="9"/>
  <c r="E256" i="9"/>
  <c r="E264" i="9"/>
  <c r="E272" i="9"/>
  <c r="E280" i="9"/>
  <c r="E288" i="9"/>
  <c r="E296" i="9"/>
  <c r="E304" i="9"/>
  <c r="E312" i="9"/>
  <c r="E320" i="9"/>
  <c r="E328" i="9"/>
  <c r="E336" i="9"/>
  <c r="E344" i="9"/>
  <c r="E352" i="9"/>
  <c r="E360" i="9"/>
  <c r="E368" i="9"/>
  <c r="E376" i="9"/>
  <c r="E384" i="9"/>
  <c r="E392" i="9"/>
  <c r="E400" i="9"/>
  <c r="E408" i="9"/>
  <c r="E416" i="9"/>
  <c r="E424" i="9"/>
  <c r="E432" i="9"/>
  <c r="E440" i="9"/>
  <c r="E448" i="9"/>
  <c r="E456" i="9"/>
  <c r="E464" i="9"/>
  <c r="E472" i="9"/>
  <c r="E480" i="9"/>
  <c r="E488" i="9"/>
  <c r="E496" i="9"/>
  <c r="E504" i="9"/>
  <c r="E512" i="9"/>
  <c r="E520" i="9"/>
  <c r="E528" i="9"/>
  <c r="E536" i="9"/>
  <c r="E544" i="9"/>
  <c r="E552" i="9"/>
  <c r="E560" i="9"/>
  <c r="E568" i="9"/>
  <c r="E576" i="9"/>
  <c r="E584" i="9"/>
  <c r="E592" i="9"/>
  <c r="E600" i="9"/>
  <c r="E608" i="9"/>
  <c r="E616" i="9"/>
  <c r="E624" i="9"/>
  <c r="E632" i="9"/>
  <c r="E640" i="9"/>
  <c r="E648" i="9"/>
  <c r="E656" i="9"/>
  <c r="E664" i="9"/>
  <c r="E672" i="9"/>
  <c r="E680" i="9"/>
  <c r="E688" i="9"/>
  <c r="E35" i="9"/>
  <c r="E43" i="9"/>
  <c r="E51" i="9"/>
  <c r="E59" i="9"/>
  <c r="E67" i="9"/>
  <c r="E75" i="9"/>
  <c r="E83" i="9"/>
  <c r="E91" i="9"/>
  <c r="E99" i="9"/>
  <c r="E107" i="9"/>
  <c r="E115" i="9"/>
  <c r="E123" i="9"/>
  <c r="E38" i="9"/>
  <c r="E46" i="9"/>
  <c r="E54" i="9"/>
  <c r="E62" i="9"/>
  <c r="E70" i="9"/>
  <c r="E78" i="9"/>
  <c r="E86" i="9"/>
  <c r="E94" i="9"/>
  <c r="E102" i="9"/>
  <c r="E110" i="9"/>
  <c r="E118" i="9"/>
  <c r="E126" i="9"/>
  <c r="E134" i="9"/>
  <c r="E142" i="9"/>
  <c r="E150" i="9"/>
  <c r="E158" i="9"/>
  <c r="E166" i="9"/>
  <c r="E174" i="9"/>
  <c r="E182" i="9"/>
  <c r="E190" i="9"/>
  <c r="E198" i="9"/>
  <c r="E206" i="9"/>
  <c r="E214" i="9"/>
  <c r="E222" i="9"/>
  <c r="E230" i="9"/>
  <c r="E238" i="9"/>
  <c r="E246" i="9"/>
  <c r="E254" i="9"/>
  <c r="E262" i="9"/>
  <c r="E270" i="9"/>
  <c r="E278" i="9"/>
  <c r="E286" i="9"/>
  <c r="E294" i="9"/>
  <c r="E302" i="9"/>
  <c r="E310" i="9"/>
  <c r="E318" i="9"/>
  <c r="E326" i="9"/>
  <c r="E334" i="9"/>
  <c r="E342" i="9"/>
  <c r="E350" i="9"/>
  <c r="E358" i="9"/>
  <c r="E366" i="9"/>
  <c r="E374" i="9"/>
  <c r="E382" i="9"/>
  <c r="E390" i="9"/>
  <c r="E398" i="9"/>
  <c r="E406" i="9"/>
  <c r="E414" i="9"/>
  <c r="E422" i="9"/>
  <c r="E430" i="9"/>
  <c r="E438" i="9"/>
  <c r="E446" i="9"/>
  <c r="E454" i="9"/>
  <c r="E462" i="9"/>
  <c r="E470" i="9"/>
  <c r="E478" i="9"/>
  <c r="E486" i="9"/>
  <c r="E494" i="9"/>
  <c r="E502" i="9"/>
  <c r="E510" i="9"/>
  <c r="E518" i="9"/>
  <c r="E526" i="9"/>
  <c r="E534" i="9"/>
  <c r="E542" i="9"/>
  <c r="E550" i="9"/>
  <c r="E558" i="9"/>
  <c r="E566" i="9"/>
  <c r="E574" i="9"/>
  <c r="E582" i="9"/>
  <c r="E590" i="9"/>
  <c r="E598" i="9"/>
  <c r="E606" i="9"/>
  <c r="E614" i="9"/>
  <c r="E622" i="9"/>
  <c r="E630" i="9"/>
  <c r="E638" i="9"/>
  <c r="E646" i="9"/>
  <c r="E654" i="9"/>
  <c r="E662" i="9"/>
  <c r="E670" i="9"/>
  <c r="E678" i="9"/>
  <c r="E686" i="9"/>
  <c r="E179" i="9"/>
  <c r="E243" i="9"/>
  <c r="E283" i="9"/>
  <c r="E315" i="9"/>
  <c r="E347" i="9"/>
  <c r="E357" i="9"/>
  <c r="E377" i="9"/>
  <c r="E380" i="9"/>
  <c r="E393" i="9"/>
  <c r="E396" i="9"/>
  <c r="E409" i="9"/>
  <c r="E412" i="9"/>
  <c r="E425" i="9"/>
  <c r="E428" i="9"/>
  <c r="E441" i="9"/>
  <c r="E444" i="9"/>
  <c r="E457" i="9"/>
  <c r="E460" i="9"/>
  <c r="E473" i="9"/>
  <c r="E476" i="9"/>
  <c r="E489" i="9"/>
  <c r="E492" i="9"/>
  <c r="E505" i="9"/>
  <c r="E508" i="9"/>
  <c r="E521" i="9"/>
  <c r="E524" i="9"/>
  <c r="E537" i="9"/>
  <c r="E540" i="9"/>
  <c r="E553" i="9"/>
  <c r="E556" i="9"/>
  <c r="E569" i="9"/>
  <c r="E572" i="9"/>
  <c r="E585" i="9"/>
  <c r="E588" i="9"/>
  <c r="E601" i="9"/>
  <c r="E604" i="9"/>
  <c r="E617" i="9"/>
  <c r="E620" i="9"/>
  <c r="E633" i="9"/>
  <c r="E636" i="9"/>
  <c r="E649" i="9"/>
  <c r="E652" i="9"/>
  <c r="E665" i="9"/>
  <c r="E668" i="9"/>
  <c r="E681" i="9"/>
  <c r="E684" i="9"/>
  <c r="E696" i="9"/>
  <c r="E699" i="9"/>
  <c r="E710" i="9"/>
  <c r="E718" i="9"/>
  <c r="E726" i="9"/>
  <c r="E734" i="9"/>
  <c r="E742" i="9"/>
  <c r="E750" i="9"/>
  <c r="E758" i="9"/>
  <c r="E766" i="9"/>
  <c r="E774" i="9"/>
  <c r="E782" i="9"/>
  <c r="E790" i="9"/>
  <c r="E798" i="9"/>
  <c r="E806" i="9"/>
  <c r="E814" i="9"/>
  <c r="E822" i="9"/>
  <c r="E830" i="9"/>
  <c r="E838" i="9"/>
  <c r="E187" i="9"/>
  <c r="E251" i="9"/>
  <c r="E273" i="9"/>
  <c r="E305" i="9"/>
  <c r="E337" i="9"/>
  <c r="E361" i="9"/>
  <c r="E371" i="9"/>
  <c r="E387" i="9"/>
  <c r="E403" i="9"/>
  <c r="E419" i="9"/>
  <c r="E435" i="9"/>
  <c r="E451" i="9"/>
  <c r="E467" i="9"/>
  <c r="E483" i="9"/>
  <c r="E499" i="9"/>
  <c r="E515" i="9"/>
  <c r="E531" i="9"/>
  <c r="E547" i="9"/>
  <c r="E563" i="9"/>
  <c r="E579" i="9"/>
  <c r="E595" i="9"/>
  <c r="E611" i="9"/>
  <c r="E627" i="9"/>
  <c r="E643" i="9"/>
  <c r="E659" i="9"/>
  <c r="E675" i="9"/>
  <c r="E691" i="9"/>
  <c r="E702" i="9"/>
  <c r="E713" i="9"/>
  <c r="E721" i="9"/>
  <c r="E729" i="9"/>
  <c r="E737" i="9"/>
  <c r="E745" i="9"/>
  <c r="E131" i="9"/>
  <c r="E195" i="9"/>
  <c r="E259" i="9"/>
  <c r="E291" i="9"/>
  <c r="E323" i="9"/>
  <c r="E694" i="9"/>
  <c r="E705" i="9"/>
  <c r="E708" i="9"/>
  <c r="E716" i="9"/>
  <c r="E724" i="9"/>
  <c r="E732" i="9"/>
  <c r="E740" i="9"/>
  <c r="E748" i="9"/>
  <c r="E756" i="9"/>
  <c r="E764" i="9"/>
  <c r="E772" i="9"/>
  <c r="E780" i="9"/>
  <c r="E788" i="9"/>
  <c r="E796" i="9"/>
  <c r="E804" i="9"/>
  <c r="E812" i="9"/>
  <c r="E820" i="9"/>
  <c r="E828" i="9"/>
  <c r="E836" i="9"/>
  <c r="E844" i="9"/>
  <c r="E852" i="9"/>
  <c r="E860" i="9"/>
  <c r="E868" i="9"/>
  <c r="E876" i="9"/>
  <c r="E884" i="9"/>
  <c r="E892" i="9"/>
  <c r="E900" i="9"/>
  <c r="E908" i="9"/>
  <c r="E916" i="9"/>
  <c r="E924" i="9"/>
  <c r="E139" i="9"/>
  <c r="E203" i="9"/>
  <c r="E281" i="9"/>
  <c r="E313" i="9"/>
  <c r="E345" i="9"/>
  <c r="E355" i="9"/>
  <c r="E365" i="9"/>
  <c r="E381" i="9"/>
  <c r="E397" i="9"/>
  <c r="E413" i="9"/>
  <c r="E429" i="9"/>
  <c r="E445" i="9"/>
  <c r="E461" i="9"/>
  <c r="E477" i="9"/>
  <c r="E493" i="9"/>
  <c r="E509" i="9"/>
  <c r="E525" i="9"/>
  <c r="E541" i="9"/>
  <c r="E147" i="9"/>
  <c r="E211" i="9"/>
  <c r="E267" i="9"/>
  <c r="E299" i="9"/>
  <c r="E331" i="9"/>
  <c r="E369" i="9"/>
  <c r="E372" i="9"/>
  <c r="E385" i="9"/>
  <c r="E388" i="9"/>
  <c r="E401" i="9"/>
  <c r="E404" i="9"/>
  <c r="E417" i="9"/>
  <c r="E420" i="9"/>
  <c r="E433" i="9"/>
  <c r="E436" i="9"/>
  <c r="E449" i="9"/>
  <c r="E452" i="9"/>
  <c r="E465" i="9"/>
  <c r="E468" i="9"/>
  <c r="E481" i="9"/>
  <c r="E484" i="9"/>
  <c r="E497" i="9"/>
  <c r="E500" i="9"/>
  <c r="E513" i="9"/>
  <c r="E516" i="9"/>
  <c r="E529" i="9"/>
  <c r="E532" i="9"/>
  <c r="E545" i="9"/>
  <c r="E548" i="9"/>
  <c r="E561" i="9"/>
  <c r="E564" i="9"/>
  <c r="E577" i="9"/>
  <c r="E580" i="9"/>
  <c r="E593" i="9"/>
  <c r="E596" i="9"/>
  <c r="E609" i="9"/>
  <c r="E612" i="9"/>
  <c r="E625" i="9"/>
  <c r="E628" i="9"/>
  <c r="E641" i="9"/>
  <c r="E644" i="9"/>
  <c r="E657" i="9"/>
  <c r="E660" i="9"/>
  <c r="E673" i="9"/>
  <c r="E676" i="9"/>
  <c r="E689" i="9"/>
  <c r="E692" i="9"/>
  <c r="E703" i="9"/>
  <c r="E714" i="9"/>
  <c r="E722" i="9"/>
  <c r="E730" i="9"/>
  <c r="E738" i="9"/>
  <c r="E746" i="9"/>
  <c r="E754" i="9"/>
  <c r="E762" i="9"/>
  <c r="E770" i="9"/>
  <c r="E778" i="9"/>
  <c r="E786" i="9"/>
  <c r="E794" i="9"/>
  <c r="E802" i="9"/>
  <c r="E810" i="9"/>
  <c r="E818" i="9"/>
  <c r="E826" i="9"/>
  <c r="E834" i="9"/>
  <c r="E842" i="9"/>
  <c r="E850" i="9"/>
  <c r="E858" i="9"/>
  <c r="E866" i="9"/>
  <c r="E874" i="9"/>
  <c r="E882" i="9"/>
  <c r="E890" i="9"/>
  <c r="E898" i="9"/>
  <c r="E906" i="9"/>
  <c r="E914" i="9"/>
  <c r="E922" i="9"/>
  <c r="E930" i="9"/>
  <c r="E938" i="9"/>
  <c r="E946" i="9"/>
  <c r="E954" i="9"/>
  <c r="E962" i="9"/>
  <c r="E970" i="9"/>
  <c r="E978" i="9"/>
  <c r="E986" i="9"/>
  <c r="E994" i="9"/>
  <c r="E155" i="9"/>
  <c r="E219" i="9"/>
  <c r="E289" i="9"/>
  <c r="E321" i="9"/>
  <c r="E349" i="9"/>
  <c r="E379" i="9"/>
  <c r="E395" i="9"/>
  <c r="E411" i="9"/>
  <c r="E427" i="9"/>
  <c r="E443" i="9"/>
  <c r="E459" i="9"/>
  <c r="E475" i="9"/>
  <c r="E491" i="9"/>
  <c r="E507" i="9"/>
  <c r="E523" i="9"/>
  <c r="E539" i="9"/>
  <c r="E555" i="9"/>
  <c r="E571" i="9"/>
  <c r="E587" i="9"/>
  <c r="E603" i="9"/>
  <c r="E619" i="9"/>
  <c r="E635" i="9"/>
  <c r="E651" i="9"/>
  <c r="E667" i="9"/>
  <c r="E683" i="9"/>
  <c r="E695" i="9"/>
  <c r="E709" i="9"/>
  <c r="E717" i="9"/>
  <c r="E725" i="9"/>
  <c r="E733" i="9"/>
  <c r="E741" i="9"/>
  <c r="E749" i="9"/>
  <c r="E757" i="9"/>
  <c r="E765" i="9"/>
  <c r="E773" i="9"/>
  <c r="E781" i="9"/>
  <c r="E789" i="9"/>
  <c r="E797" i="9"/>
  <c r="E805" i="9"/>
  <c r="E163" i="9"/>
  <c r="E227" i="9"/>
  <c r="E275" i="9"/>
  <c r="E307" i="9"/>
  <c r="E339" i="9"/>
  <c r="E353" i="9"/>
  <c r="E363" i="9"/>
  <c r="E701" i="9"/>
  <c r="E712" i="9"/>
  <c r="E720" i="9"/>
  <c r="E728" i="9"/>
  <c r="E736" i="9"/>
  <c r="E744" i="9"/>
  <c r="E752" i="9"/>
  <c r="E760" i="9"/>
  <c r="E768" i="9"/>
  <c r="E776" i="9"/>
  <c r="E784" i="9"/>
  <c r="E792" i="9"/>
  <c r="E171" i="9"/>
  <c r="E235" i="9"/>
  <c r="E265" i="9"/>
  <c r="E297" i="9"/>
  <c r="E329" i="9"/>
  <c r="E373" i="9"/>
  <c r="E389" i="9"/>
  <c r="E405" i="9"/>
  <c r="E421" i="9"/>
  <c r="E437" i="9"/>
  <c r="E453" i="9"/>
  <c r="E469" i="9"/>
  <c r="E485" i="9"/>
  <c r="E501" i="9"/>
  <c r="E517" i="9"/>
  <c r="E533" i="9"/>
  <c r="E549" i="9"/>
  <c r="E565" i="9"/>
  <c r="E581" i="9"/>
  <c r="E597" i="9"/>
  <c r="E613" i="9"/>
  <c r="E629" i="9"/>
  <c r="E645" i="9"/>
  <c r="E661" i="9"/>
  <c r="E677" i="9"/>
  <c r="E693" i="9"/>
  <c r="E704" i="9"/>
  <c r="E707" i="9"/>
  <c r="E715" i="9"/>
  <c r="E723" i="9"/>
  <c r="E731" i="9"/>
  <c r="E739" i="9"/>
  <c r="E747" i="9"/>
  <c r="E755" i="9"/>
  <c r="E763" i="9"/>
  <c r="E30" i="9"/>
  <c r="E22" i="9"/>
  <c r="E14" i="9"/>
  <c r="E1199" i="9"/>
  <c r="E1194" i="9"/>
  <c r="E1186" i="9"/>
  <c r="E1178" i="9"/>
  <c r="E1170" i="9"/>
  <c r="E1162" i="9"/>
  <c r="E1154" i="9"/>
  <c r="E1146" i="9"/>
  <c r="E1138" i="9"/>
  <c r="E1130" i="9"/>
  <c r="E1122" i="9"/>
  <c r="E1114" i="9"/>
  <c r="E1106" i="9"/>
  <c r="E1098" i="9"/>
  <c r="E1090" i="9"/>
  <c r="E1082" i="9"/>
  <c r="E1074" i="9"/>
  <c r="E1066" i="9"/>
  <c r="E1058" i="9"/>
  <c r="E1050" i="9"/>
  <c r="E1042" i="9"/>
  <c r="E1034" i="9"/>
  <c r="E1026" i="9"/>
  <c r="E1018" i="9"/>
  <c r="E1010" i="9"/>
  <c r="E1002" i="9"/>
  <c r="E991" i="9"/>
  <c r="E980" i="9"/>
  <c r="E977" i="9"/>
  <c r="H974" i="9"/>
  <c r="E966" i="9"/>
  <c r="E955" i="9"/>
  <c r="E952" i="9"/>
  <c r="E941" i="9"/>
  <c r="E927" i="9"/>
  <c r="E921" i="9"/>
  <c r="E901" i="9"/>
  <c r="E895" i="9"/>
  <c r="E889" i="9"/>
  <c r="E869" i="9"/>
  <c r="E863" i="9"/>
  <c r="E857" i="9"/>
  <c r="H900" i="9"/>
  <c r="E809" i="9"/>
  <c r="E793" i="9"/>
  <c r="E783" i="9"/>
  <c r="E759" i="9"/>
  <c r="E653" i="9"/>
  <c r="E1047" i="9"/>
  <c r="E1039" i="9"/>
  <c r="E1031" i="9"/>
  <c r="E1023" i="9"/>
  <c r="E1015" i="9"/>
  <c r="E1007" i="9"/>
  <c r="E999" i="9"/>
  <c r="E988" i="9"/>
  <c r="E985" i="9"/>
  <c r="H982" i="9"/>
  <c r="E974" i="9"/>
  <c r="E963" i="9"/>
  <c r="E960" i="9"/>
  <c r="E949" i="9"/>
  <c r="E935" i="9"/>
  <c r="H929" i="9"/>
  <c r="E918" i="9"/>
  <c r="E915" i="9"/>
  <c r="E912" i="9"/>
  <c r="E886" i="9"/>
  <c r="E883" i="9"/>
  <c r="E880" i="9"/>
  <c r="E854" i="9"/>
  <c r="E851" i="9"/>
  <c r="E848" i="9"/>
  <c r="E833" i="9"/>
  <c r="E827" i="9"/>
  <c r="E824" i="9"/>
  <c r="E821" i="9"/>
  <c r="E815" i="9"/>
  <c r="E779" i="9"/>
  <c r="E769" i="9"/>
  <c r="E637" i="9"/>
  <c r="H1198" i="9"/>
  <c r="E1188" i="9"/>
  <c r="E1180" i="9"/>
  <c r="E1172" i="9"/>
  <c r="E1164" i="9"/>
  <c r="E1156" i="9"/>
  <c r="E1148" i="9"/>
  <c r="E1140" i="9"/>
  <c r="E1132" i="9"/>
  <c r="E1124" i="9"/>
  <c r="E1116" i="9"/>
  <c r="E1108" i="9"/>
  <c r="E1100" i="9"/>
  <c r="E1092" i="9"/>
  <c r="E1084" i="9"/>
  <c r="E1076" i="9"/>
  <c r="E1068" i="9"/>
  <c r="E1060" i="9"/>
  <c r="E1052" i="9"/>
  <c r="E1044" i="9"/>
  <c r="E1036" i="9"/>
  <c r="E1028" i="9"/>
  <c r="E1020" i="9"/>
  <c r="E1012" i="9"/>
  <c r="E1004" i="9"/>
  <c r="E996" i="9"/>
  <c r="E993" i="9"/>
  <c r="H990" i="9"/>
  <c r="E982" i="9"/>
  <c r="E971" i="9"/>
  <c r="E968" i="9"/>
  <c r="E957" i="9"/>
  <c r="E943" i="9"/>
  <c r="E932" i="9"/>
  <c r="E929" i="9"/>
  <c r="E909" i="9"/>
  <c r="E903" i="9"/>
  <c r="E897" i="9"/>
  <c r="E877" i="9"/>
  <c r="E871" i="9"/>
  <c r="E865" i="9"/>
  <c r="E845" i="9"/>
  <c r="E839" i="9"/>
  <c r="E799" i="9"/>
  <c r="E751" i="9"/>
  <c r="E621" i="9"/>
  <c r="H1182" i="9"/>
  <c r="H1158" i="9"/>
  <c r="H1062" i="9"/>
  <c r="H1054" i="9"/>
  <c r="H1046" i="9"/>
  <c r="H1038" i="9"/>
  <c r="E1033" i="9"/>
  <c r="H1030" i="9"/>
  <c r="E1025" i="9"/>
  <c r="H1022" i="9"/>
  <c r="E1017" i="9"/>
  <c r="H1014" i="9"/>
  <c r="E1009" i="9"/>
  <c r="H1006" i="9"/>
  <c r="E1001" i="9"/>
  <c r="H998" i="9"/>
  <c r="E990" i="9"/>
  <c r="E979" i="9"/>
  <c r="E976" i="9"/>
  <c r="E965" i="9"/>
  <c r="E951" i="9"/>
  <c r="E940" i="9"/>
  <c r="E937" i="9"/>
  <c r="E926" i="9"/>
  <c r="E923" i="9"/>
  <c r="E920" i="9"/>
  <c r="E894" i="9"/>
  <c r="E891" i="9"/>
  <c r="E888" i="9"/>
  <c r="E862" i="9"/>
  <c r="E859" i="9"/>
  <c r="E856" i="9"/>
  <c r="E817" i="9"/>
  <c r="H812" i="9"/>
  <c r="E811" i="9"/>
  <c r="E808" i="9"/>
  <c r="E795" i="9"/>
  <c r="E785" i="9"/>
  <c r="E775" i="9"/>
  <c r="E761" i="9"/>
  <c r="E743" i="9"/>
  <c r="E605" i="9"/>
  <c r="H1190" i="9"/>
  <c r="H1166" i="9"/>
  <c r="H1142" i="9"/>
  <c r="H1118" i="9"/>
  <c r="H1094" i="9"/>
  <c r="H1070" i="9"/>
  <c r="E1054" i="9"/>
  <c r="E1030" i="9"/>
  <c r="E1006" i="9"/>
  <c r="E973" i="9"/>
  <c r="H970" i="9"/>
  <c r="E959" i="9"/>
  <c r="E948" i="9"/>
  <c r="E945" i="9"/>
  <c r="E934" i="9"/>
  <c r="E917" i="9"/>
  <c r="E911" i="9"/>
  <c r="E905" i="9"/>
  <c r="E885" i="9"/>
  <c r="E879" i="9"/>
  <c r="E873" i="9"/>
  <c r="E853" i="9"/>
  <c r="E847" i="9"/>
  <c r="E841" i="9"/>
  <c r="E835" i="9"/>
  <c r="E832" i="9"/>
  <c r="E829" i="9"/>
  <c r="E823" i="9"/>
  <c r="E801" i="9"/>
  <c r="E771" i="9"/>
  <c r="E735" i="9"/>
  <c r="E589" i="9"/>
  <c r="H919" i="9"/>
  <c r="H913" i="9"/>
  <c r="H7" i="10"/>
  <c r="H6" i="10"/>
  <c r="H5" i="10"/>
  <c r="E7" i="10"/>
  <c r="E6" i="10"/>
  <c r="E5" i="10"/>
  <c r="E4" i="10"/>
  <c r="H1160" i="9"/>
  <c r="H1120" i="9"/>
  <c r="H1193" i="9"/>
  <c r="H1185" i="9"/>
  <c r="H1177" i="9"/>
  <c r="H1169" i="9"/>
  <c r="H1161" i="9"/>
  <c r="H1153" i="9"/>
  <c r="H1145" i="9"/>
  <c r="H1137" i="9"/>
  <c r="H1129" i="9"/>
  <c r="H1121" i="9"/>
  <c r="H1113" i="9"/>
  <c r="H1105" i="9"/>
  <c r="H1097" i="9"/>
  <c r="H1089" i="9"/>
  <c r="H1081" i="9"/>
  <c r="H1073" i="9"/>
  <c r="H1065" i="9"/>
  <c r="H1057" i="9"/>
  <c r="H1049" i="9"/>
  <c r="H1041" i="9"/>
  <c r="H1033" i="9"/>
  <c r="H1025" i="9"/>
  <c r="H1017" i="9"/>
  <c r="H1009" i="9"/>
  <c r="H1001" i="9"/>
  <c r="H993" i="9"/>
  <c r="H985" i="9"/>
  <c r="H977" i="9"/>
  <c r="H969" i="9"/>
  <c r="H964" i="9"/>
  <c r="H959" i="9"/>
  <c r="H945" i="9"/>
  <c r="H911" i="9"/>
  <c r="H905" i="9"/>
  <c r="H894" i="9"/>
  <c r="H881" i="9"/>
  <c r="H876" i="9"/>
  <c r="H848" i="9"/>
  <c r="H830" i="9"/>
  <c r="H790" i="9"/>
  <c r="H774" i="9"/>
  <c r="H769" i="9"/>
  <c r="H734" i="9"/>
  <c r="H725" i="9"/>
  <c r="H705" i="9"/>
  <c r="H678" i="9"/>
  <c r="H1172" i="9"/>
  <c r="H1148" i="9"/>
  <c r="H1140" i="9"/>
  <c r="H1116" i="9"/>
  <c r="H1092" i="9"/>
  <c r="H1084" i="9"/>
  <c r="H1076" i="9"/>
  <c r="H1068" i="9"/>
  <c r="H1060" i="9"/>
  <c r="H1052" i="9"/>
  <c r="H1044" i="9"/>
  <c r="H1036" i="9"/>
  <c r="H1028" i="9"/>
  <c r="H1020" i="9"/>
  <c r="H1012" i="9"/>
  <c r="H1004" i="9"/>
  <c r="H996" i="9"/>
  <c r="H988" i="9"/>
  <c r="H980" i="9"/>
  <c r="H972" i="9"/>
  <c r="H943" i="9"/>
  <c r="H927" i="9"/>
  <c r="H872" i="9"/>
  <c r="H854" i="9"/>
  <c r="H836" i="9"/>
  <c r="H808" i="9"/>
  <c r="H669" i="9"/>
  <c r="H649" i="9"/>
  <c r="H1164" i="9"/>
  <c r="H1124" i="9"/>
  <c r="H1100" i="9"/>
  <c r="H1199" i="9"/>
  <c r="H1191" i="9"/>
  <c r="H1183" i="9"/>
  <c r="H1175" i="9"/>
  <c r="H1167" i="9"/>
  <c r="H1159" i="9"/>
  <c r="H1151" i="9"/>
  <c r="H1143" i="9"/>
  <c r="H1135" i="9"/>
  <c r="H1127" i="9"/>
  <c r="H1119" i="9"/>
  <c r="H1111" i="9"/>
  <c r="H1103" i="9"/>
  <c r="H1095" i="9"/>
  <c r="H1087" i="9"/>
  <c r="H1079" i="9"/>
  <c r="H1071" i="9"/>
  <c r="H1063" i="9"/>
  <c r="H1055" i="9"/>
  <c r="H1047" i="9"/>
  <c r="H1039" i="9"/>
  <c r="H1031" i="9"/>
  <c r="H1023" i="9"/>
  <c r="H1015" i="9"/>
  <c r="H1007" i="9"/>
  <c r="H999" i="9"/>
  <c r="H991" i="9"/>
  <c r="H983" i="9"/>
  <c r="H975" i="9"/>
  <c r="H967" i="9"/>
  <c r="H962" i="9"/>
  <c r="H957" i="9"/>
  <c r="H952" i="9"/>
  <c r="H948" i="9"/>
  <c r="H941" i="9"/>
  <c r="H936" i="9"/>
  <c r="H932" i="9"/>
  <c r="H925" i="9"/>
  <c r="H920" i="9"/>
  <c r="H916" i="9"/>
  <c r="H908" i="9"/>
  <c r="H902" i="9"/>
  <c r="H896" i="9"/>
  <c r="H878" i="9"/>
  <c r="H860" i="9"/>
  <c r="H832" i="9"/>
  <c r="H814" i="9"/>
  <c r="H792" i="9"/>
  <c r="H776" i="9"/>
  <c r="H766" i="9"/>
  <c r="H757" i="9"/>
  <c r="H729" i="9"/>
  <c r="H693" i="9"/>
  <c r="H1196" i="9"/>
  <c r="H1188" i="9"/>
  <c r="H1180" i="9"/>
  <c r="H1156" i="9"/>
  <c r="H1132" i="9"/>
  <c r="H1108" i="9"/>
  <c r="H1194" i="9"/>
  <c r="H1186" i="9"/>
  <c r="H1178" i="9"/>
  <c r="H1170" i="9"/>
  <c r="H1162" i="9"/>
  <c r="H1154" i="9"/>
  <c r="H1146" i="9"/>
  <c r="H1138" i="9"/>
  <c r="H1130" i="9"/>
  <c r="H1122" i="9"/>
  <c r="H1114" i="9"/>
  <c r="H1106" i="9"/>
  <c r="H1098" i="9"/>
  <c r="H1090" i="9"/>
  <c r="H1082" i="9"/>
  <c r="H955" i="9"/>
  <c r="H950" i="9"/>
  <c r="H946" i="9"/>
  <c r="H939" i="9"/>
  <c r="H934" i="9"/>
  <c r="H930" i="9"/>
  <c r="H923" i="9"/>
  <c r="H918" i="9"/>
  <c r="H889" i="9"/>
  <c r="H884" i="9"/>
  <c r="H856" i="9"/>
  <c r="H838" i="9"/>
  <c r="H820" i="9"/>
  <c r="H673" i="9"/>
  <c r="H1189" i="9"/>
  <c r="H1181" i="9"/>
  <c r="H1173" i="9"/>
  <c r="H1165" i="9"/>
  <c r="H1157" i="9"/>
  <c r="H1149" i="9"/>
  <c r="H1141" i="9"/>
  <c r="H1133" i="9"/>
  <c r="H1125" i="9"/>
  <c r="H1117" i="9"/>
  <c r="H1109" i="9"/>
  <c r="H1101" i="9"/>
  <c r="H1093" i="9"/>
  <c r="H1085" i="9"/>
  <c r="H1077" i="9"/>
  <c r="H1069" i="9"/>
  <c r="H1061" i="9"/>
  <c r="H1053" i="9"/>
  <c r="H1045" i="9"/>
  <c r="H1037" i="9"/>
  <c r="H1029" i="9"/>
  <c r="H1021" i="9"/>
  <c r="H1013" i="9"/>
  <c r="H1005" i="9"/>
  <c r="H997" i="9"/>
  <c r="H989" i="9"/>
  <c r="H981" i="9"/>
  <c r="H973" i="9"/>
  <c r="H965" i="9"/>
  <c r="H953" i="9"/>
  <c r="H937" i="9"/>
  <c r="H921" i="9"/>
  <c r="H910" i="9"/>
  <c r="H904" i="9"/>
  <c r="H880" i="9"/>
  <c r="H862" i="9"/>
  <c r="H844" i="9"/>
  <c r="H816" i="9"/>
  <c r="H798" i="9"/>
  <c r="H782" i="9"/>
  <c r="H761" i="9"/>
  <c r="H1184" i="9"/>
  <c r="H1088" i="9"/>
  <c r="H1080" i="9"/>
  <c r="H1072" i="9"/>
  <c r="H1064" i="9"/>
  <c r="H1056" i="9"/>
  <c r="H1048" i="9"/>
  <c r="H1040" i="9"/>
  <c r="H1032" i="9"/>
  <c r="H1024" i="9"/>
  <c r="H1016" i="9"/>
  <c r="H1008" i="9"/>
  <c r="H1000" i="9"/>
  <c r="H992" i="9"/>
  <c r="H984" i="9"/>
  <c r="H976" i="9"/>
  <c r="H968" i="9"/>
  <c r="H963" i="9"/>
  <c r="H960" i="9"/>
  <c r="H958" i="9"/>
  <c r="H951" i="9"/>
  <c r="H935" i="9"/>
  <c r="H912" i="9"/>
  <c r="H901" i="9"/>
  <c r="H899" i="9"/>
  <c r="H886" i="9"/>
  <c r="H873" i="9"/>
  <c r="H840" i="9"/>
  <c r="H822" i="9"/>
  <c r="H804" i="9"/>
  <c r="H701" i="9"/>
  <c r="H617" i="9"/>
  <c r="H1136" i="9"/>
  <c r="H1187" i="9"/>
  <c r="H1171" i="9"/>
  <c r="H1155" i="9"/>
  <c r="H1139" i="9"/>
  <c r="H1131" i="9"/>
  <c r="H1123" i="9"/>
  <c r="H1115" i="9"/>
  <c r="H1107" i="9"/>
  <c r="H1099" i="9"/>
  <c r="H1091" i="9"/>
  <c r="H1083" i="9"/>
  <c r="H1075" i="9"/>
  <c r="H1067" i="9"/>
  <c r="H1059" i="9"/>
  <c r="H1051" i="9"/>
  <c r="H1043" i="9"/>
  <c r="H1035" i="9"/>
  <c r="H1027" i="9"/>
  <c r="H1019" i="9"/>
  <c r="H1011" i="9"/>
  <c r="H1003" i="9"/>
  <c r="H995" i="9"/>
  <c r="H987" i="9"/>
  <c r="H979" i="9"/>
  <c r="H971" i="9"/>
  <c r="H956" i="9"/>
  <c r="H949" i="9"/>
  <c r="H944" i="9"/>
  <c r="H940" i="9"/>
  <c r="H933" i="9"/>
  <c r="H928" i="9"/>
  <c r="H924" i="9"/>
  <c r="H917" i="9"/>
  <c r="H897" i="9"/>
  <c r="H892" i="9"/>
  <c r="H864" i="9"/>
  <c r="H846" i="9"/>
  <c r="H828" i="9"/>
  <c r="H800" i="9"/>
  <c r="H784" i="9"/>
  <c r="H777" i="9"/>
  <c r="H742" i="9"/>
  <c r="H737" i="9"/>
  <c r="H710" i="9"/>
  <c r="H661" i="9"/>
  <c r="H1195" i="9"/>
  <c r="H1147" i="9"/>
  <c r="H954" i="9"/>
  <c r="H947" i="9"/>
  <c r="H942" i="9"/>
  <c r="H938" i="9"/>
  <c r="H931" i="9"/>
  <c r="H926" i="9"/>
  <c r="H922" i="9"/>
  <c r="H915" i="9"/>
  <c r="H909" i="9"/>
  <c r="H907" i="9"/>
  <c r="H888" i="9"/>
  <c r="H870" i="9"/>
  <c r="H852" i="9"/>
  <c r="H824" i="9"/>
  <c r="H806" i="9"/>
  <c r="H914" i="9"/>
  <c r="H903" i="9"/>
  <c r="H865" i="9"/>
  <c r="H857" i="9"/>
  <c r="H849" i="9"/>
  <c r="H841" i="9"/>
  <c r="H833" i="9"/>
  <c r="H825" i="9"/>
  <c r="H817" i="9"/>
  <c r="H809" i="9"/>
  <c r="H801" i="9"/>
  <c r="H793" i="9"/>
  <c r="H785" i="9"/>
  <c r="H754" i="9"/>
  <c r="H752" i="9"/>
  <c r="H747" i="9"/>
  <c r="H722" i="9"/>
  <c r="H720" i="9"/>
  <c r="H715" i="9"/>
  <c r="H690" i="9"/>
  <c r="H688" i="9"/>
  <c r="H683" i="9"/>
  <c r="H658" i="9"/>
  <c r="H654" i="9"/>
  <c r="H647" i="9"/>
  <c r="H645" i="9"/>
  <c r="H634" i="9"/>
  <c r="H628" i="9"/>
  <c r="H615" i="9"/>
  <c r="H613" i="9"/>
  <c r="H602" i="9"/>
  <c r="H596" i="9"/>
  <c r="H588" i="9"/>
  <c r="H578" i="9"/>
  <c r="H574" i="9"/>
  <c r="H568" i="9"/>
  <c r="H550" i="9"/>
  <c r="H545" i="9"/>
  <c r="H540" i="9"/>
  <c r="H513" i="9"/>
  <c r="H495" i="9"/>
  <c r="H796" i="9"/>
  <c r="H788" i="9"/>
  <c r="H780" i="9"/>
  <c r="H772" i="9"/>
  <c r="H767" i="9"/>
  <c r="H750" i="9"/>
  <c r="H745" i="9"/>
  <c r="H740" i="9"/>
  <c r="H735" i="9"/>
  <c r="H718" i="9"/>
  <c r="H713" i="9"/>
  <c r="H708" i="9"/>
  <c r="H703" i="9"/>
  <c r="H686" i="9"/>
  <c r="H681" i="9"/>
  <c r="H676" i="9"/>
  <c r="H671" i="9"/>
  <c r="H656" i="9"/>
  <c r="H652" i="9"/>
  <c r="H643" i="9"/>
  <c r="H641" i="9"/>
  <c r="H632" i="9"/>
  <c r="H630" i="9"/>
  <c r="H611" i="9"/>
  <c r="H609" i="9"/>
  <c r="H600" i="9"/>
  <c r="H598" i="9"/>
  <c r="H594" i="9"/>
  <c r="H590" i="9"/>
  <c r="H586" i="9"/>
  <c r="H582" i="9"/>
  <c r="H576" i="9"/>
  <c r="H563" i="9"/>
  <c r="H497" i="9"/>
  <c r="H479" i="9"/>
  <c r="H895" i="9"/>
  <c r="H887" i="9"/>
  <c r="H879" i="9"/>
  <c r="H871" i="9"/>
  <c r="H863" i="9"/>
  <c r="H855" i="9"/>
  <c r="H847" i="9"/>
  <c r="H839" i="9"/>
  <c r="H831" i="9"/>
  <c r="H823" i="9"/>
  <c r="H815" i="9"/>
  <c r="H807" i="9"/>
  <c r="H799" i="9"/>
  <c r="H791" i="9"/>
  <c r="H783" i="9"/>
  <c r="H775" i="9"/>
  <c r="H765" i="9"/>
  <c r="H762" i="9"/>
  <c r="H760" i="9"/>
  <c r="H755" i="9"/>
  <c r="H733" i="9"/>
  <c r="H730" i="9"/>
  <c r="H728" i="9"/>
  <c r="H723" i="9"/>
  <c r="H698" i="9"/>
  <c r="H696" i="9"/>
  <c r="H691" i="9"/>
  <c r="H666" i="9"/>
  <c r="H664" i="9"/>
  <c r="H659" i="9"/>
  <c r="H639" i="9"/>
  <c r="H637" i="9"/>
  <c r="H626" i="9"/>
  <c r="H620" i="9"/>
  <c r="H607" i="9"/>
  <c r="H605" i="9"/>
  <c r="H592" i="9"/>
  <c r="H584" i="9"/>
  <c r="H569" i="9"/>
  <c r="H535" i="9"/>
  <c r="H537" i="9"/>
  <c r="H481" i="9"/>
  <c r="H906" i="9"/>
  <c r="H898" i="9"/>
  <c r="H890" i="9"/>
  <c r="H882" i="9"/>
  <c r="H874" i="9"/>
  <c r="H866" i="9"/>
  <c r="H858" i="9"/>
  <c r="H850" i="9"/>
  <c r="H842" i="9"/>
  <c r="H834" i="9"/>
  <c r="H826" i="9"/>
  <c r="H818" i="9"/>
  <c r="H810" i="9"/>
  <c r="H802" i="9"/>
  <c r="H794" i="9"/>
  <c r="H786" i="9"/>
  <c r="H778" i="9"/>
  <c r="H758" i="9"/>
  <c r="H753" i="9"/>
  <c r="H748" i="9"/>
  <c r="H743" i="9"/>
  <c r="H726" i="9"/>
  <c r="H721" i="9"/>
  <c r="H716" i="9"/>
  <c r="H711" i="9"/>
  <c r="H694" i="9"/>
  <c r="H689" i="9"/>
  <c r="H684" i="9"/>
  <c r="H679" i="9"/>
  <c r="H662" i="9"/>
  <c r="H657" i="9"/>
  <c r="H635" i="9"/>
  <c r="H633" i="9"/>
  <c r="H624" i="9"/>
  <c r="H622" i="9"/>
  <c r="H603" i="9"/>
  <c r="H601" i="9"/>
  <c r="H577" i="9"/>
  <c r="H571" i="9"/>
  <c r="H581" i="9"/>
  <c r="H492" i="9"/>
  <c r="H893" i="9"/>
  <c r="H885" i="9"/>
  <c r="H877" i="9"/>
  <c r="H869" i="9"/>
  <c r="H861" i="9"/>
  <c r="H853" i="9"/>
  <c r="H845" i="9"/>
  <c r="H837" i="9"/>
  <c r="H829" i="9"/>
  <c r="H821" i="9"/>
  <c r="H813" i="9"/>
  <c r="H805" i="9"/>
  <c r="H797" i="9"/>
  <c r="H789" i="9"/>
  <c r="H781" i="9"/>
  <c r="H773" i="9"/>
  <c r="H770" i="9"/>
  <c r="H768" i="9"/>
  <c r="H763" i="9"/>
  <c r="H741" i="9"/>
  <c r="H738" i="9"/>
  <c r="H736" i="9"/>
  <c r="H731" i="9"/>
  <c r="H709" i="9"/>
  <c r="H706" i="9"/>
  <c r="H704" i="9"/>
  <c r="H699" i="9"/>
  <c r="H677" i="9"/>
  <c r="H674" i="9"/>
  <c r="H672" i="9"/>
  <c r="H667" i="9"/>
  <c r="H655" i="9"/>
  <c r="H650" i="9"/>
  <c r="H644" i="9"/>
  <c r="H631" i="9"/>
  <c r="H629" i="9"/>
  <c r="H618" i="9"/>
  <c r="H612" i="9"/>
  <c r="H599" i="9"/>
  <c r="H597" i="9"/>
  <c r="H593" i="9"/>
  <c r="H589" i="9"/>
  <c r="H585" i="9"/>
  <c r="H579" i="9"/>
  <c r="H556" i="9"/>
  <c r="H532" i="9"/>
  <c r="H518" i="9"/>
  <c r="H756" i="9"/>
  <c r="H751" i="9"/>
  <c r="H724" i="9"/>
  <c r="H719" i="9"/>
  <c r="H702" i="9"/>
  <c r="H697" i="9"/>
  <c r="H692" i="9"/>
  <c r="H687" i="9"/>
  <c r="H670" i="9"/>
  <c r="H665" i="9"/>
  <c r="H660" i="9"/>
  <c r="H653" i="9"/>
  <c r="H648" i="9"/>
  <c r="H646" i="9"/>
  <c r="H627" i="9"/>
  <c r="H625" i="9"/>
  <c r="H616" i="9"/>
  <c r="H614" i="9"/>
  <c r="H595" i="9"/>
  <c r="H591" i="9"/>
  <c r="H587" i="9"/>
  <c r="H583" i="9"/>
  <c r="H562" i="9"/>
  <c r="H560" i="9"/>
  <c r="H469" i="9"/>
  <c r="H891" i="9"/>
  <c r="H883" i="9"/>
  <c r="H875" i="9"/>
  <c r="H867" i="9"/>
  <c r="H859" i="9"/>
  <c r="H851" i="9"/>
  <c r="H843" i="9"/>
  <c r="H835" i="9"/>
  <c r="H827" i="9"/>
  <c r="H819" i="9"/>
  <c r="H811" i="9"/>
  <c r="H803" i="9"/>
  <c r="H795" i="9"/>
  <c r="H787" i="9"/>
  <c r="H779" i="9"/>
  <c r="H771" i="9"/>
  <c r="H749" i="9"/>
  <c r="H746" i="9"/>
  <c r="H744" i="9"/>
  <c r="H739" i="9"/>
  <c r="H717" i="9"/>
  <c r="H714" i="9"/>
  <c r="H712" i="9"/>
  <c r="H707" i="9"/>
  <c r="H685" i="9"/>
  <c r="H682" i="9"/>
  <c r="H680" i="9"/>
  <c r="H675" i="9"/>
  <c r="H651" i="9"/>
  <c r="H642" i="9"/>
  <c r="H636" i="9"/>
  <c r="H623" i="9"/>
  <c r="H621" i="9"/>
  <c r="H610" i="9"/>
  <c r="H604" i="9"/>
  <c r="H572" i="9"/>
  <c r="H555" i="9"/>
  <c r="H565" i="9"/>
  <c r="H542" i="9"/>
  <c r="H527" i="9"/>
  <c r="H764" i="9"/>
  <c r="H759" i="9"/>
  <c r="H732" i="9"/>
  <c r="H727" i="9"/>
  <c r="H700" i="9"/>
  <c r="H695" i="9"/>
  <c r="H668" i="9"/>
  <c r="H663" i="9"/>
  <c r="H640" i="9"/>
  <c r="H638" i="9"/>
  <c r="H619" i="9"/>
  <c r="H608" i="9"/>
  <c r="H606" i="9"/>
  <c r="H580" i="9"/>
  <c r="H570" i="9"/>
  <c r="H566" i="9"/>
  <c r="H511" i="9"/>
  <c r="H267" i="9"/>
  <c r="H558" i="9"/>
  <c r="H548" i="9"/>
  <c r="H543" i="9"/>
  <c r="H538" i="9"/>
  <c r="H533" i="9"/>
  <c r="H523" i="9"/>
  <c r="H521" i="9"/>
  <c r="H519" i="9"/>
  <c r="H507" i="9"/>
  <c r="H505" i="9"/>
  <c r="H503" i="9"/>
  <c r="H491" i="9"/>
  <c r="H489" i="9"/>
  <c r="H487" i="9"/>
  <c r="H475" i="9"/>
  <c r="H473" i="9"/>
  <c r="H471" i="9"/>
  <c r="H462" i="9"/>
  <c r="H447" i="9"/>
  <c r="H443" i="9"/>
  <c r="H439" i="9"/>
  <c r="H420" i="9"/>
  <c r="H418" i="9"/>
  <c r="H414" i="9"/>
  <c r="H408" i="9"/>
  <c r="H379" i="9"/>
  <c r="H364" i="9"/>
  <c r="H355" i="9"/>
  <c r="H285" i="9"/>
  <c r="H237" i="9"/>
  <c r="H222" i="9"/>
  <c r="H199" i="9"/>
  <c r="H124" i="9"/>
  <c r="H561" i="9"/>
  <c r="H553" i="9"/>
  <c r="H531" i="9"/>
  <c r="H528" i="9"/>
  <c r="H526" i="9"/>
  <c r="H512" i="9"/>
  <c r="H510" i="9"/>
  <c r="H496" i="9"/>
  <c r="H494" i="9"/>
  <c r="H480" i="9"/>
  <c r="H478" i="9"/>
  <c r="H464" i="9"/>
  <c r="H460" i="9"/>
  <c r="H458" i="9"/>
  <c r="H428" i="9"/>
  <c r="H426" i="9"/>
  <c r="H422" i="9"/>
  <c r="H416" i="9"/>
  <c r="H387" i="9"/>
  <c r="H366" i="9"/>
  <c r="H357" i="9"/>
  <c r="H331" i="9"/>
  <c r="H252" i="9"/>
  <c r="H56" i="9"/>
  <c r="H564" i="9"/>
  <c r="H551" i="9"/>
  <c r="H546" i="9"/>
  <c r="H541" i="9"/>
  <c r="H524" i="9"/>
  <c r="H517" i="9"/>
  <c r="H508" i="9"/>
  <c r="H501" i="9"/>
  <c r="H485" i="9"/>
  <c r="H476" i="9"/>
  <c r="H454" i="9"/>
  <c r="H452" i="9"/>
  <c r="H450" i="9"/>
  <c r="H436" i="9"/>
  <c r="H434" i="9"/>
  <c r="H430" i="9"/>
  <c r="H424" i="9"/>
  <c r="H395" i="9"/>
  <c r="H391" i="9"/>
  <c r="H376" i="9"/>
  <c r="H372" i="9"/>
  <c r="H333" i="9"/>
  <c r="H269" i="9"/>
  <c r="H254" i="9"/>
  <c r="H219" i="9"/>
  <c r="H203" i="9"/>
  <c r="H140" i="9"/>
  <c r="H87" i="9"/>
  <c r="H95" i="9"/>
  <c r="H103" i="9"/>
  <c r="H111" i="9"/>
  <c r="H119" i="9"/>
  <c r="H127" i="9"/>
  <c r="H135" i="9"/>
  <c r="H143" i="9"/>
  <c r="H151" i="9"/>
  <c r="H159" i="9"/>
  <c r="H167" i="9"/>
  <c r="H175" i="9"/>
  <c r="H183" i="9"/>
  <c r="H191" i="9"/>
  <c r="H76" i="9"/>
  <c r="H89" i="9"/>
  <c r="H97" i="9"/>
  <c r="H105" i="9"/>
  <c r="H113" i="9"/>
  <c r="H121" i="9"/>
  <c r="H129" i="9"/>
  <c r="H137" i="9"/>
  <c r="H145" i="9"/>
  <c r="H153" i="9"/>
  <c r="H161" i="9"/>
  <c r="H169" i="9"/>
  <c r="H177" i="9"/>
  <c r="H185" i="9"/>
  <c r="H75" i="9"/>
  <c r="H83" i="9"/>
  <c r="H91" i="9"/>
  <c r="H99" i="9"/>
  <c r="H107" i="9"/>
  <c r="H115" i="9"/>
  <c r="H123" i="9"/>
  <c r="H131" i="9"/>
  <c r="H139" i="9"/>
  <c r="H147" i="9"/>
  <c r="H155" i="9"/>
  <c r="H163" i="9"/>
  <c r="H171" i="9"/>
  <c r="H179" i="9"/>
  <c r="H74" i="9"/>
  <c r="H90" i="9"/>
  <c r="H106" i="9"/>
  <c r="H122" i="9"/>
  <c r="H138" i="9"/>
  <c r="H154" i="9"/>
  <c r="H170" i="9"/>
  <c r="H207" i="9"/>
  <c r="H223" i="9"/>
  <c r="H239" i="9"/>
  <c r="H255" i="9"/>
  <c r="H271" i="9"/>
  <c r="H287" i="9"/>
  <c r="H303" i="9"/>
  <c r="H319" i="9"/>
  <c r="H335" i="9"/>
  <c r="H351" i="9"/>
  <c r="H367" i="9"/>
  <c r="H186" i="9"/>
  <c r="H188" i="9"/>
  <c r="H194" i="9"/>
  <c r="H218" i="9"/>
  <c r="H234" i="9"/>
  <c r="H250" i="9"/>
  <c r="H266" i="9"/>
  <c r="H282" i="9"/>
  <c r="H298" i="9"/>
  <c r="H314" i="9"/>
  <c r="H330" i="9"/>
  <c r="H346" i="9"/>
  <c r="H362" i="9"/>
  <c r="H389" i="9"/>
  <c r="H397" i="9"/>
  <c r="H405" i="9"/>
  <c r="H413" i="9"/>
  <c r="H421" i="9"/>
  <c r="H429" i="9"/>
  <c r="H437" i="9"/>
  <c r="H445" i="9"/>
  <c r="H453" i="9"/>
  <c r="H196" i="9"/>
  <c r="H211" i="9"/>
  <c r="H227" i="9"/>
  <c r="H243" i="9"/>
  <c r="H259" i="9"/>
  <c r="H275" i="9"/>
  <c r="H291" i="9"/>
  <c r="H307" i="9"/>
  <c r="H323" i="9"/>
  <c r="H202" i="9"/>
  <c r="H300" i="9"/>
  <c r="H302" i="9"/>
  <c r="H316" i="9"/>
  <c r="H318" i="9"/>
  <c r="H332" i="9"/>
  <c r="H334" i="9"/>
  <c r="H348" i="9"/>
  <c r="H350" i="9"/>
  <c r="H383" i="9"/>
  <c r="H82" i="9"/>
  <c r="H98" i="9"/>
  <c r="H114" i="9"/>
  <c r="H130" i="9"/>
  <c r="H146" i="9"/>
  <c r="H162" i="9"/>
  <c r="H178" i="9"/>
  <c r="H215" i="9"/>
  <c r="H231" i="9"/>
  <c r="H247" i="9"/>
  <c r="H263" i="9"/>
  <c r="H279" i="9"/>
  <c r="H295" i="9"/>
  <c r="H311" i="9"/>
  <c r="H327" i="9"/>
  <c r="H343" i="9"/>
  <c r="H359" i="9"/>
  <c r="H187" i="9"/>
  <c r="H193" i="9"/>
  <c r="H195" i="9"/>
  <c r="H210" i="9"/>
  <c r="H217" i="9"/>
  <c r="H226" i="9"/>
  <c r="H233" i="9"/>
  <c r="H242" i="9"/>
  <c r="H249" i="9"/>
  <c r="H258" i="9"/>
  <c r="H265" i="9"/>
  <c r="H274" i="9"/>
  <c r="H281" i="9"/>
  <c r="H290" i="9"/>
  <c r="H297" i="9"/>
  <c r="H306" i="9"/>
  <c r="H313" i="9"/>
  <c r="H322" i="9"/>
  <c r="H329" i="9"/>
  <c r="H338" i="9"/>
  <c r="H345" i="9"/>
  <c r="H354" i="9"/>
  <c r="H361" i="9"/>
  <c r="H375" i="9"/>
  <c r="H380" i="9"/>
  <c r="H385" i="9"/>
  <c r="H393" i="9"/>
  <c r="H401" i="9"/>
  <c r="H409" i="9"/>
  <c r="H417" i="9"/>
  <c r="H425" i="9"/>
  <c r="H433" i="9"/>
  <c r="H441" i="9"/>
  <c r="H201" i="9"/>
  <c r="H212" i="9"/>
  <c r="H214" i="9"/>
  <c r="H228" i="9"/>
  <c r="H230" i="9"/>
  <c r="H244" i="9"/>
  <c r="H246" i="9"/>
  <c r="H260" i="9"/>
  <c r="H262" i="9"/>
  <c r="H276" i="9"/>
  <c r="H278" i="9"/>
  <c r="H292" i="9"/>
  <c r="H294" i="9"/>
  <c r="H308" i="9"/>
  <c r="H310" i="9"/>
  <c r="H324" i="9"/>
  <c r="H326" i="9"/>
  <c r="H340" i="9"/>
  <c r="H342" i="9"/>
  <c r="H356" i="9"/>
  <c r="H358" i="9"/>
  <c r="H575" i="9"/>
  <c r="H567" i="9"/>
  <c r="H559" i="9"/>
  <c r="H539" i="9"/>
  <c r="H536" i="9"/>
  <c r="H534" i="9"/>
  <c r="H529" i="9"/>
  <c r="H522" i="9"/>
  <c r="H506" i="9"/>
  <c r="H490" i="9"/>
  <c r="H474" i="9"/>
  <c r="H456" i="9"/>
  <c r="H446" i="9"/>
  <c r="H444" i="9"/>
  <c r="H442" i="9"/>
  <c r="H438" i="9"/>
  <c r="H432" i="9"/>
  <c r="H403" i="9"/>
  <c r="H399" i="9"/>
  <c r="H378" i="9"/>
  <c r="H374" i="9"/>
  <c r="H363" i="9"/>
  <c r="H339" i="9"/>
  <c r="H315" i="9"/>
  <c r="H221" i="9"/>
  <c r="H554" i="9"/>
  <c r="H549" i="9"/>
  <c r="H515" i="9"/>
  <c r="H499" i="9"/>
  <c r="H483" i="9"/>
  <c r="H467" i="9"/>
  <c r="H465" i="9"/>
  <c r="H448" i="9"/>
  <c r="H440" i="9"/>
  <c r="H411" i="9"/>
  <c r="H407" i="9"/>
  <c r="H388" i="9"/>
  <c r="H386" i="9"/>
  <c r="H382" i="9"/>
  <c r="H365" i="9"/>
  <c r="H341" i="9"/>
  <c r="H317" i="9"/>
  <c r="H284" i="9"/>
  <c r="H251" i="9"/>
  <c r="H236" i="9"/>
  <c r="H156" i="9"/>
  <c r="H92" i="9"/>
  <c r="H573" i="9"/>
  <c r="H557" i="9"/>
  <c r="H547" i="9"/>
  <c r="H544" i="9"/>
  <c r="H520" i="9"/>
  <c r="H504" i="9"/>
  <c r="H502" i="9"/>
  <c r="H488" i="9"/>
  <c r="H486" i="9"/>
  <c r="H472" i="9"/>
  <c r="H470" i="9"/>
  <c r="H463" i="9"/>
  <c r="H461" i="9"/>
  <c r="H419" i="9"/>
  <c r="H415" i="9"/>
  <c r="H396" i="9"/>
  <c r="H394" i="9"/>
  <c r="H390" i="9"/>
  <c r="H384" i="9"/>
  <c r="H371" i="9"/>
  <c r="H299" i="9"/>
  <c r="H286" i="9"/>
  <c r="H253" i="9"/>
  <c r="H238" i="9"/>
  <c r="H530" i="9"/>
  <c r="H525" i="9"/>
  <c r="H516" i="9"/>
  <c r="H509" i="9"/>
  <c r="H500" i="9"/>
  <c r="H493" i="9"/>
  <c r="H484" i="9"/>
  <c r="H477" i="9"/>
  <c r="H468" i="9"/>
  <c r="H459" i="9"/>
  <c r="H457" i="9"/>
  <c r="H427" i="9"/>
  <c r="H423" i="9"/>
  <c r="H404" i="9"/>
  <c r="H402" i="9"/>
  <c r="H398" i="9"/>
  <c r="H392" i="9"/>
  <c r="H373" i="9"/>
  <c r="H347" i="9"/>
  <c r="H301" i="9"/>
  <c r="H268" i="9"/>
  <c r="H172" i="9"/>
  <c r="H108" i="9"/>
  <c r="H552" i="9"/>
  <c r="H514" i="9"/>
  <c r="H498" i="9"/>
  <c r="H482" i="9"/>
  <c r="H466" i="9"/>
  <c r="H455" i="9"/>
  <c r="H451" i="9"/>
  <c r="H449" i="9"/>
  <c r="H435" i="9"/>
  <c r="H431" i="9"/>
  <c r="H412" i="9"/>
  <c r="H410" i="9"/>
  <c r="H406" i="9"/>
  <c r="H400" i="9"/>
  <c r="H377" i="9"/>
  <c r="H349" i="9"/>
  <c r="H283" i="9"/>
  <c r="H270" i="9"/>
  <c r="H235" i="9"/>
  <c r="H220" i="9"/>
  <c r="H360" i="9"/>
  <c r="H344" i="9"/>
  <c r="H328" i="9"/>
  <c r="H312" i="9"/>
  <c r="H296" i="9"/>
  <c r="H280" i="9"/>
  <c r="H264" i="9"/>
  <c r="H248" i="9"/>
  <c r="H232" i="9"/>
  <c r="H216" i="9"/>
  <c r="H205" i="9"/>
  <c r="H192" i="9"/>
  <c r="H190" i="9"/>
  <c r="H168" i="9"/>
  <c r="H152" i="9"/>
  <c r="H136" i="9"/>
  <c r="H120" i="9"/>
  <c r="H104" i="9"/>
  <c r="H88" i="9"/>
  <c r="H81" i="9"/>
  <c r="H72" i="9"/>
  <c r="H65" i="9"/>
  <c r="H52" i="9"/>
  <c r="H41" i="9"/>
  <c r="H370" i="9"/>
  <c r="H197" i="9"/>
  <c r="H49" i="9"/>
  <c r="H204" i="9"/>
  <c r="H189" i="9"/>
  <c r="H60" i="9"/>
  <c r="H36" i="9"/>
  <c r="H368" i="9"/>
  <c r="H352" i="9"/>
  <c r="H336" i="9"/>
  <c r="H320" i="9"/>
  <c r="H304" i="9"/>
  <c r="H288" i="9"/>
  <c r="H272" i="9"/>
  <c r="H256" i="9"/>
  <c r="H240" i="9"/>
  <c r="H224" i="9"/>
  <c r="H208" i="9"/>
  <c r="H180" i="9"/>
  <c r="H176" i="9"/>
  <c r="H160" i="9"/>
  <c r="H144" i="9"/>
  <c r="H128" i="9"/>
  <c r="H112" i="9"/>
  <c r="H96" i="9"/>
  <c r="H80" i="9"/>
  <c r="H73" i="9"/>
  <c r="H64" i="9"/>
  <c r="H40" i="9"/>
  <c r="H325" i="9"/>
  <c r="H309" i="9"/>
  <c r="H293" i="9"/>
  <c r="H277" i="9"/>
  <c r="H261" i="9"/>
  <c r="H245" i="9"/>
  <c r="H229" i="9"/>
  <c r="H213" i="9"/>
  <c r="H206" i="9"/>
  <c r="H164" i="9"/>
  <c r="H148" i="9"/>
  <c r="H132" i="9"/>
  <c r="H116" i="9"/>
  <c r="H100" i="9"/>
  <c r="H84" i="9"/>
  <c r="H57" i="9"/>
  <c r="H44" i="9"/>
  <c r="H369" i="9"/>
  <c r="H353" i="9"/>
  <c r="H337" i="9"/>
  <c r="H321" i="9"/>
  <c r="H305" i="9"/>
  <c r="H289" i="9"/>
  <c r="H273" i="9"/>
  <c r="H257" i="9"/>
  <c r="H241" i="9"/>
  <c r="H225" i="9"/>
  <c r="H209" i="9"/>
  <c r="H200" i="9"/>
  <c r="H182" i="9"/>
  <c r="H48" i="9"/>
  <c r="H32" i="9"/>
  <c r="H381" i="9"/>
  <c r="H198" i="9"/>
  <c r="H184" i="9"/>
  <c r="H68" i="9"/>
  <c r="H67" i="9"/>
  <c r="H59" i="9"/>
  <c r="H51" i="9"/>
  <c r="H43" i="9"/>
  <c r="H35" i="9"/>
  <c r="H174" i="9"/>
  <c r="H166" i="9"/>
  <c r="H158" i="9"/>
  <c r="H150" i="9"/>
  <c r="H142" i="9"/>
  <c r="H134" i="9"/>
  <c r="H126" i="9"/>
  <c r="H118" i="9"/>
  <c r="H110" i="9"/>
  <c r="H102" i="9"/>
  <c r="H94" i="9"/>
  <c r="H86" i="9"/>
  <c r="H78" i="9"/>
  <c r="H70" i="9"/>
  <c r="H62" i="9"/>
  <c r="H54" i="9"/>
  <c r="H46" i="9"/>
  <c r="H38" i="9"/>
  <c r="H33" i="9"/>
  <c r="H79" i="9"/>
  <c r="H71" i="9"/>
  <c r="H63" i="9"/>
  <c r="H55" i="9"/>
  <c r="H47" i="9"/>
  <c r="H39" i="9"/>
  <c r="H31" i="9"/>
  <c r="H66" i="9"/>
  <c r="H58" i="9"/>
  <c r="H50" i="9"/>
  <c r="H42" i="9"/>
  <c r="H34" i="9"/>
  <c r="H181" i="9"/>
  <c r="H173" i="9"/>
  <c r="H165" i="9"/>
  <c r="H157" i="9"/>
  <c r="H149" i="9"/>
  <c r="H141" i="9"/>
  <c r="H133" i="9"/>
  <c r="H125" i="9"/>
  <c r="H117" i="9"/>
  <c r="H109" i="9"/>
  <c r="H101" i="9"/>
  <c r="H93" i="9"/>
  <c r="H85" i="9"/>
  <c r="H77" i="9"/>
  <c r="H69" i="9"/>
  <c r="H61" i="9"/>
  <c r="H53" i="9"/>
  <c r="H45" i="9"/>
  <c r="H37" i="9"/>
  <c r="H6" i="9"/>
  <c r="H17" i="9"/>
  <c r="H8" i="9"/>
  <c r="H25" i="9"/>
  <c r="H16" i="9"/>
  <c r="H7" i="9"/>
  <c r="H24" i="9"/>
  <c r="H27" i="9"/>
  <c r="H19" i="9"/>
  <c r="H11" i="9"/>
  <c r="H30" i="9"/>
  <c r="H22" i="9"/>
  <c r="H14" i="9"/>
  <c r="H9" i="9"/>
  <c r="H28" i="9"/>
  <c r="H20" i="9"/>
  <c r="H12" i="9"/>
  <c r="H23" i="9"/>
  <c r="H15" i="9"/>
  <c r="H26" i="9"/>
  <c r="H18" i="9"/>
  <c r="H10" i="9"/>
  <c r="H29" i="9"/>
  <c r="H21" i="9"/>
  <c r="H13" i="9"/>
  <c r="H5" i="9"/>
  <c r="H4" i="9"/>
  <c r="H3" i="9"/>
  <c r="E6" i="8"/>
  <c r="E7" i="8"/>
  <c r="H5" i="8"/>
  <c r="H3" i="8"/>
  <c r="H4" i="8"/>
  <c r="L25" i="15"/>
  <c r="L26" i="15"/>
  <c r="L27" i="15"/>
  <c r="L28" i="15"/>
  <c r="L24" i="15"/>
  <c r="E25" i="15"/>
  <c r="E26" i="15"/>
  <c r="E27" i="15"/>
  <c r="E28" i="15"/>
  <c r="E24" i="15"/>
  <c r="E2" i="15"/>
  <c r="E23" i="15" s="1"/>
  <c r="H2" i="15"/>
  <c r="L2" i="15"/>
  <c r="R2" i="13" l="1"/>
  <c r="I8" i="13"/>
  <c r="J8" i="13"/>
  <c r="K8" i="13"/>
  <c r="L8" i="13"/>
  <c r="M8" i="13"/>
  <c r="AE8" i="13"/>
  <c r="G2" i="15"/>
  <c r="K2" i="15"/>
  <c r="L29" i="15" s="1"/>
  <c r="AH2" i="13"/>
  <c r="K7" i="13"/>
  <c r="J5" i="13"/>
  <c r="J6" i="13"/>
  <c r="J7" i="13"/>
  <c r="J4" i="13"/>
  <c r="G2" i="13"/>
  <c r="H2" i="13"/>
  <c r="F2" i="13"/>
  <c r="AE5" i="13"/>
  <c r="AE6" i="13"/>
  <c r="AE7" i="13"/>
  <c r="AE4" i="13"/>
  <c r="AF2" i="13"/>
  <c r="AG2" i="13"/>
  <c r="AE2" i="13"/>
  <c r="P2" i="13"/>
  <c r="Q2" i="13"/>
  <c r="O2" i="13"/>
  <c r="M5" i="13"/>
  <c r="M6" i="13"/>
  <c r="M4" i="13"/>
  <c r="L5" i="13"/>
  <c r="L6" i="13"/>
  <c r="L7" i="13"/>
  <c r="L4" i="13"/>
  <c r="M2" i="13"/>
  <c r="N2" i="13"/>
  <c r="L2" i="13"/>
  <c r="J2" i="13"/>
  <c r="K2" i="13"/>
  <c r="I2" i="13"/>
  <c r="I5" i="13"/>
  <c r="I6" i="13"/>
  <c r="I7" i="13"/>
  <c r="I4" i="13"/>
  <c r="C3" i="3"/>
  <c r="K25" i="3"/>
  <c r="L25" i="3" s="1"/>
  <c r="F25" i="3"/>
  <c r="G25" i="3" s="1"/>
  <c r="O11" i="6"/>
  <c r="N12" i="6" s="1"/>
  <c r="E13" i="3"/>
  <c r="E12" i="3"/>
  <c r="E10" i="3"/>
  <c r="K10" i="3"/>
  <c r="L10" i="3" s="1"/>
  <c r="E5" i="8"/>
  <c r="E4" i="8"/>
  <c r="E3" i="8"/>
  <c r="K13" i="3"/>
  <c r="L13" i="3" s="1"/>
  <c r="K12" i="3"/>
  <c r="L12" i="3" s="1"/>
  <c r="F9" i="3" l="1"/>
  <c r="E9" i="3"/>
  <c r="M19" i="3"/>
  <c r="D9" i="3"/>
  <c r="H19" i="3"/>
  <c r="C9" i="3"/>
  <c r="M8" i="3"/>
  <c r="C21" i="3"/>
  <c r="C22" i="3" s="1"/>
  <c r="H8" i="3"/>
  <c r="C10" i="3"/>
  <c r="F5" i="3"/>
  <c r="K5" i="3"/>
  <c r="F16" i="3"/>
  <c r="C8" i="6"/>
  <c r="K8" i="6"/>
  <c r="D8" i="6"/>
  <c r="L8" i="6"/>
  <c r="E8" i="6"/>
  <c r="M8" i="6"/>
  <c r="F8" i="6"/>
  <c r="N8" i="6"/>
  <c r="G8" i="6"/>
  <c r="H8" i="6"/>
  <c r="I8" i="6"/>
  <c r="J8" i="6"/>
  <c r="J4" i="9"/>
  <c r="J5" i="10"/>
  <c r="J5" i="9"/>
  <c r="J3" i="10"/>
  <c r="J4" i="10"/>
  <c r="J3" i="9"/>
  <c r="N6" i="13"/>
  <c r="H3" i="10"/>
  <c r="D20" i="3"/>
  <c r="D10" i="3"/>
  <c r="D12" i="3" s="1"/>
  <c r="F12" i="3" s="1"/>
  <c r="G12" i="3" s="1"/>
  <c r="X8" i="13"/>
  <c r="E4" i="15"/>
  <c r="E5" i="15" s="1"/>
  <c r="C14" i="3"/>
  <c r="E23" i="3"/>
  <c r="C20" i="3"/>
  <c r="K16" i="3"/>
  <c r="AG5" i="13"/>
  <c r="AO5" i="13" s="1"/>
  <c r="K4" i="13"/>
  <c r="E24" i="3"/>
  <c r="E20" i="3"/>
  <c r="K6" i="13"/>
  <c r="L23" i="15"/>
  <c r="E29" i="15"/>
  <c r="F20" i="3"/>
  <c r="K5" i="13"/>
  <c r="AG8" i="13"/>
  <c r="AO8" i="13" s="1"/>
  <c r="K23" i="3"/>
  <c r="L23" i="3" s="1"/>
  <c r="K20" i="3"/>
  <c r="N4" i="13"/>
  <c r="X4" i="13"/>
  <c r="K14" i="3"/>
  <c r="L14" i="3" s="1"/>
  <c r="K24" i="3"/>
  <c r="L24" i="3" s="1"/>
  <c r="K9" i="3"/>
  <c r="AG7" i="13"/>
  <c r="AO7" i="13" s="1"/>
  <c r="X6" i="13"/>
  <c r="N8" i="13"/>
  <c r="Q8" i="13" s="1"/>
  <c r="E21" i="3"/>
  <c r="N5" i="13"/>
  <c r="AG6" i="13"/>
  <c r="AO6" i="13" s="1"/>
  <c r="X5" i="13"/>
  <c r="P8" i="13"/>
  <c r="R8" i="13"/>
  <c r="AG4" i="13"/>
  <c r="AO4" i="13" s="1"/>
  <c r="AI8" i="13"/>
  <c r="K4" i="15"/>
  <c r="K5" i="15" s="1"/>
  <c r="AI5" i="13"/>
  <c r="O8" i="13"/>
  <c r="R4" i="13"/>
  <c r="R6" i="13"/>
  <c r="R5" i="13"/>
  <c r="O4" i="13"/>
  <c r="O7" i="13"/>
  <c r="P6" i="13"/>
  <c r="O6" i="13"/>
  <c r="AI6" i="13"/>
  <c r="P5" i="13"/>
  <c r="O5" i="13"/>
  <c r="P4" i="13"/>
  <c r="AI4" i="13"/>
  <c r="AI7" i="13"/>
  <c r="L11" i="3"/>
  <c r="D21" i="3"/>
  <c r="D23" i="3" s="1"/>
  <c r="M25" i="3"/>
  <c r="G12" i="6"/>
  <c r="H12" i="6"/>
  <c r="I12" i="6"/>
  <c r="J12" i="6"/>
  <c r="C12" i="6"/>
  <c r="K12" i="6"/>
  <c r="D12" i="6"/>
  <c r="L12" i="6"/>
  <c r="E12" i="6"/>
  <c r="M12" i="6"/>
  <c r="F12" i="6"/>
  <c r="C11" i="3"/>
  <c r="C12" i="3"/>
  <c r="C13" i="3" l="1"/>
  <c r="Q6" i="13"/>
  <c r="AN6" i="13" s="1"/>
  <c r="AP6" i="13" s="1"/>
  <c r="D14" i="3"/>
  <c r="F10" i="3"/>
  <c r="G10" i="3" s="1"/>
  <c r="D13" i="3"/>
  <c r="F13" i="3" s="1"/>
  <c r="G13" i="3" s="1"/>
  <c r="D11" i="3"/>
  <c r="Q4" i="13"/>
  <c r="Y4" i="13" s="1"/>
  <c r="Z4" i="13" s="1"/>
  <c r="AA4" i="13" s="1"/>
  <c r="Z6" i="13"/>
  <c r="AA6" i="13" s="1"/>
  <c r="O3" i="6"/>
  <c r="H4" i="6" s="1"/>
  <c r="R7" i="13"/>
  <c r="Q5" i="13"/>
  <c r="AS5" i="13" s="1"/>
  <c r="F23" i="3"/>
  <c r="G23" i="3" s="1"/>
  <c r="O8" i="6"/>
  <c r="X7" i="13"/>
  <c r="Z5" i="13"/>
  <c r="AA5" i="13" s="1"/>
  <c r="S8" i="13"/>
  <c r="T8" i="13" s="1"/>
  <c r="U8" i="13" s="1"/>
  <c r="V8" i="13" s="1"/>
  <c r="K21" i="3"/>
  <c r="L21" i="3" s="1"/>
  <c r="AC8" i="13"/>
  <c r="Y8" i="13"/>
  <c r="Z8" i="13" s="1"/>
  <c r="AA8" i="13" s="1"/>
  <c r="AM4" i="13"/>
  <c r="W4" i="13"/>
  <c r="AM6" i="13"/>
  <c r="W6" i="13"/>
  <c r="AM5" i="13"/>
  <c r="W5" i="13"/>
  <c r="AM8" i="13"/>
  <c r="W8" i="13"/>
  <c r="AS8" i="13"/>
  <c r="AH8" i="13"/>
  <c r="AJ8" i="13" s="1"/>
  <c r="AK8" i="13" s="1"/>
  <c r="AL8" i="13" s="1"/>
  <c r="T5" i="13"/>
  <c r="U5" i="13" s="1"/>
  <c r="V5" i="13" s="1"/>
  <c r="AN8" i="13"/>
  <c r="AP8" i="13" s="1"/>
  <c r="K10" i="15"/>
  <c r="K29" i="15" s="1"/>
  <c r="AH4" i="13"/>
  <c r="AJ4" i="13" s="1"/>
  <c r="AK4" i="13" s="1"/>
  <c r="T6" i="13"/>
  <c r="U6" i="13" s="1"/>
  <c r="V6" i="13" s="1"/>
  <c r="AH6" i="13"/>
  <c r="AJ6" i="13" s="1"/>
  <c r="AK6" i="13" s="1"/>
  <c r="AL6" i="13" s="1"/>
  <c r="S5" i="13"/>
  <c r="T4" i="13"/>
  <c r="U4" i="13" s="1"/>
  <c r="S4" i="13"/>
  <c r="S6" i="13"/>
  <c r="AH5" i="13"/>
  <c r="AJ5" i="13" s="1"/>
  <c r="AK5" i="13" s="1"/>
  <c r="AL5" i="13" s="1"/>
  <c r="H12" i="3"/>
  <c r="I12" i="3" s="1"/>
  <c r="M12" i="3"/>
  <c r="N12" i="3" s="1"/>
  <c r="L22" i="3"/>
  <c r="C23" i="3"/>
  <c r="C24" i="3"/>
  <c r="C25" i="3"/>
  <c r="D25" i="3"/>
  <c r="H25" i="3" s="1"/>
  <c r="D24" i="3"/>
  <c r="D22" i="3"/>
  <c r="F21" i="3"/>
  <c r="G21" i="3" s="1"/>
  <c r="O12" i="6"/>
  <c r="F14" i="3" l="1"/>
  <c r="G14" i="3" s="1"/>
  <c r="C9" i="6"/>
  <c r="J9" i="6"/>
  <c r="M10" i="3"/>
  <c r="N10" i="3" s="1"/>
  <c r="H9" i="6"/>
  <c r="L9" i="6"/>
  <c r="G9" i="6"/>
  <c r="Y6" i="13"/>
  <c r="L4" i="6"/>
  <c r="I4" i="6"/>
  <c r="AS6" i="13"/>
  <c r="AC6" i="13"/>
  <c r="AB6" i="13" s="1"/>
  <c r="AS4" i="13"/>
  <c r="AN4" i="13"/>
  <c r="AP4" i="13" s="1"/>
  <c r="AR4" i="13" s="1"/>
  <c r="AC4" i="13"/>
  <c r="AB4" i="13" s="1"/>
  <c r="F24" i="3"/>
  <c r="G24" i="3" s="1"/>
  <c r="H10" i="3"/>
  <c r="I10" i="3" s="1"/>
  <c r="M13" i="3"/>
  <c r="N13" i="3" s="1"/>
  <c r="H13" i="3"/>
  <c r="I13" i="3" s="1"/>
  <c r="M23" i="3"/>
  <c r="H23" i="3"/>
  <c r="K4" i="6"/>
  <c r="C4" i="6"/>
  <c r="D4" i="6"/>
  <c r="G4" i="6"/>
  <c r="M9" i="6"/>
  <c r="E9" i="6"/>
  <c r="K9" i="6"/>
  <c r="N4" i="6"/>
  <c r="M4" i="6"/>
  <c r="J4" i="6"/>
  <c r="E4" i="6"/>
  <c r="F4" i="6"/>
  <c r="Y5" i="13"/>
  <c r="AN5" i="13"/>
  <c r="AP5" i="13" s="1"/>
  <c r="AR5" i="13" s="1"/>
  <c r="AC5" i="13"/>
  <c r="AB5" i="13" s="1"/>
  <c r="F9" i="6"/>
  <c r="N9" i="6"/>
  <c r="D9" i="6"/>
  <c r="I9" i="6"/>
  <c r="AB8" i="13"/>
  <c r="E10" i="15"/>
  <c r="E12" i="15" s="1"/>
  <c r="V4" i="13"/>
  <c r="AR6" i="13"/>
  <c r="AQ6" i="13"/>
  <c r="AR8" i="13"/>
  <c r="AQ8" i="13"/>
  <c r="K12" i="15"/>
  <c r="K11" i="15"/>
  <c r="AL4" i="13"/>
  <c r="M21" i="3"/>
  <c r="H21" i="3"/>
  <c r="H14" i="3" l="1"/>
  <c r="I14" i="3" s="1"/>
  <c r="E14" i="3"/>
  <c r="E25" i="3" s="1"/>
  <c r="M14" i="3"/>
  <c r="N14" i="3" s="1"/>
  <c r="M24" i="3"/>
  <c r="H24" i="3"/>
  <c r="AQ4" i="13"/>
  <c r="O4" i="6"/>
  <c r="AQ5" i="13"/>
  <c r="O9" i="6"/>
  <c r="G23" i="15"/>
  <c r="E11" i="15"/>
  <c r="E11" i="3" l="1"/>
  <c r="F11" i="3" s="1"/>
  <c r="N7" i="13"/>
  <c r="Q7" i="13" s="1"/>
  <c r="M7" i="13"/>
  <c r="P7" i="13" s="1"/>
  <c r="E22" i="3"/>
  <c r="M11" i="3" l="1"/>
  <c r="N11" i="3" s="1"/>
  <c r="G11" i="3"/>
  <c r="AT6" i="13"/>
  <c r="AS7" i="13"/>
  <c r="W7" i="13"/>
  <c r="AT8" i="13"/>
  <c r="AT5" i="13"/>
  <c r="AT7" i="13"/>
  <c r="S7" i="13"/>
  <c r="T7" i="13" s="1"/>
  <c r="U7" i="13" s="1"/>
  <c r="V7" i="13" s="1"/>
  <c r="AD4" i="13"/>
  <c r="AN7" i="13"/>
  <c r="AP7" i="13" s="1"/>
  <c r="AQ7" i="13" s="1"/>
  <c r="AD5" i="13"/>
  <c r="Y7" i="13"/>
  <c r="Z7" i="13" s="1"/>
  <c r="AA7" i="13" s="1"/>
  <c r="AH7" i="13"/>
  <c r="AJ7" i="13" s="1"/>
  <c r="AK7" i="13" s="1"/>
  <c r="AL7" i="13" s="1"/>
  <c r="AM7" i="13"/>
  <c r="AD8" i="13"/>
  <c r="AC7" i="13"/>
  <c r="AT4" i="13"/>
  <c r="G4" i="15"/>
  <c r="G5" i="15" s="1"/>
  <c r="AD6" i="13"/>
  <c r="AD7" i="13"/>
  <c r="G10" i="15"/>
  <c r="F22" i="3"/>
  <c r="M22" i="3" s="1"/>
  <c r="H11" i="3"/>
  <c r="I11" i="3" s="1"/>
  <c r="AB7" i="13" l="1"/>
  <c r="G16" i="15"/>
  <c r="H6" i="15"/>
  <c r="I6" i="15" s="1"/>
  <c r="H16" i="15"/>
  <c r="G24" i="15" s="1"/>
  <c r="H19" i="15"/>
  <c r="G27" i="15" s="1"/>
  <c r="L17" i="15"/>
  <c r="K17" i="15"/>
  <c r="L7" i="15"/>
  <c r="K23" i="15"/>
  <c r="G29" i="15"/>
  <c r="H10" i="15"/>
  <c r="G12" i="15"/>
  <c r="G11" i="15"/>
  <c r="L16" i="15" s="1"/>
  <c r="K24" i="15" s="1"/>
  <c r="L10" i="15"/>
  <c r="L6" i="15"/>
  <c r="M6" i="15" s="1"/>
  <c r="K16" i="15"/>
  <c r="L4" i="15"/>
  <c r="M4" i="15" s="1"/>
  <c r="H4" i="15"/>
  <c r="I4" i="15" s="1"/>
  <c r="AR7" i="13"/>
  <c r="H7" i="15"/>
  <c r="G17" i="15"/>
  <c r="H17" i="15"/>
  <c r="H22" i="3"/>
  <c r="G22" i="3"/>
  <c r="L19" i="15"/>
  <c r="H18" i="15"/>
  <c r="G18" i="15"/>
  <c r="I7" i="15" l="1"/>
  <c r="I19" i="15"/>
  <c r="I8" i="15"/>
  <c r="K27" i="15"/>
  <c r="M19" i="15"/>
  <c r="H20" i="15"/>
  <c r="G28" i="15" s="1"/>
  <c r="I10" i="15"/>
  <c r="M10" i="15"/>
  <c r="M7" i="15"/>
  <c r="M8" i="15" s="1"/>
  <c r="G25" i="15"/>
  <c r="I17" i="15"/>
  <c r="I18" i="15"/>
  <c r="G26" i="15"/>
  <c r="L18" i="15"/>
  <c r="L20" i="15" s="1"/>
  <c r="K28" i="15" s="1"/>
  <c r="K18" i="15"/>
  <c r="I11" i="15"/>
  <c r="M11" i="15"/>
  <c r="M17" i="15"/>
  <c r="K25" i="15"/>
  <c r="I20" i="15" l="1"/>
  <c r="K26" i="15"/>
  <c r="M18" i="15"/>
  <c r="M20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E5C9D-6FD2-4AE9-A459-AD119648C37E}" keepAlive="1" name="查询 - 上年标准成本" description="与工作簿中“上年标准成本”查询的连接。" type="5" refreshedVersion="0" background="1">
    <dbPr connection="Provider=Microsoft.Mashup.OleDb.1;Data Source=$Workbook$;Location=上年标准成本;Extended Properties=&quot;&quot;" command="SELECT * FROM [上年标准成本]"/>
  </connection>
  <connection id="2" xr16:uid="{2FD16BAD-1D8C-4D38-A6D1-12515D634DA4}" keepAlive="1" name="查询 - 上年销售实际" description="与工作簿中“上年销售实际”查询的连接。" type="5" refreshedVersion="7" background="1" saveData="1">
    <dbPr connection="Provider=Microsoft.Mashup.OleDb.1;Data Source=$Workbook$;Location=上年销售实际;Extended Properties=&quot;&quot;" command="SELECT * FROM [上年销售实际]"/>
  </connection>
</connections>
</file>

<file path=xl/sharedStrings.xml><?xml version="1.0" encoding="utf-8"?>
<sst xmlns="http://schemas.openxmlformats.org/spreadsheetml/2006/main" count="654" uniqueCount="199">
  <si>
    <t>C0122</t>
    <phoneticPr fontId="3" type="noConversion"/>
  </si>
  <si>
    <t>C01</t>
    <phoneticPr fontId="3" type="noConversion"/>
  </si>
  <si>
    <t>C</t>
    <phoneticPr fontId="3" type="noConversion"/>
  </si>
  <si>
    <t>B0122</t>
    <phoneticPr fontId="3" type="noConversion"/>
  </si>
  <si>
    <t>B01</t>
    <phoneticPr fontId="3" type="noConversion"/>
  </si>
  <si>
    <t>B</t>
    <phoneticPr fontId="3" type="noConversion"/>
  </si>
  <si>
    <t>A0111</t>
    <phoneticPr fontId="3" type="noConversion"/>
  </si>
  <si>
    <t>A01</t>
    <phoneticPr fontId="3" type="noConversion"/>
  </si>
  <si>
    <t>A</t>
    <phoneticPr fontId="3" type="noConversion"/>
  </si>
  <si>
    <t>毛利率</t>
    <phoneticPr fontId="3" type="noConversion"/>
  </si>
  <si>
    <t>销售毛利</t>
    <phoneticPr fontId="3" type="noConversion"/>
  </si>
  <si>
    <t>销售成本</t>
    <phoneticPr fontId="3" type="noConversion"/>
  </si>
  <si>
    <t>单位标准成本</t>
    <phoneticPr fontId="3" type="noConversion"/>
  </si>
  <si>
    <t>销售收入</t>
    <phoneticPr fontId="3" type="noConversion"/>
  </si>
  <si>
    <t>增值税率</t>
    <phoneticPr fontId="3" type="noConversion"/>
  </si>
  <si>
    <t>含税单价</t>
    <phoneticPr fontId="3" type="noConversion"/>
  </si>
  <si>
    <t>销售数量</t>
    <phoneticPr fontId="3" type="noConversion"/>
  </si>
  <si>
    <t>产品名称</t>
    <phoneticPr fontId="3" type="noConversion"/>
  </si>
  <si>
    <t>产品子类</t>
    <phoneticPr fontId="3" type="noConversion"/>
  </si>
  <si>
    <t>产品大类</t>
    <phoneticPr fontId="3" type="noConversion"/>
  </si>
  <si>
    <t>销售明细（月份）</t>
    <phoneticPr fontId="3" type="noConversion"/>
  </si>
  <si>
    <t>销售明细（部门/业务员）</t>
    <phoneticPr fontId="3" type="noConversion"/>
  </si>
  <si>
    <t>销售明细（渠道）</t>
    <phoneticPr fontId="3" type="noConversion"/>
  </si>
  <si>
    <t>销售明细（产品）</t>
    <phoneticPr fontId="3" type="noConversion"/>
  </si>
  <si>
    <t>销售明细（客户）</t>
    <phoneticPr fontId="3" type="noConversion"/>
  </si>
  <si>
    <t>客户大类</t>
    <phoneticPr fontId="3" type="noConversion"/>
  </si>
  <si>
    <t>客户子类</t>
    <phoneticPr fontId="3" type="noConversion"/>
  </si>
  <si>
    <t>业务员</t>
    <phoneticPr fontId="3" type="noConversion"/>
  </si>
  <si>
    <t>销售部门</t>
    <phoneticPr fontId="3" type="noConversion"/>
  </si>
  <si>
    <t>渠道分类</t>
    <phoneticPr fontId="3" type="noConversion"/>
  </si>
  <si>
    <t>渠道名称</t>
    <phoneticPr fontId="3" type="noConversion"/>
  </si>
  <si>
    <t>覆盖客户数量</t>
    <phoneticPr fontId="3" type="noConversion"/>
  </si>
  <si>
    <t>%</t>
    <phoneticPr fontId="3" type="noConversion"/>
  </si>
  <si>
    <t>说明</t>
    <phoneticPr fontId="3" type="noConversion"/>
  </si>
  <si>
    <t>销售预算校准表</t>
    <phoneticPr fontId="3" type="noConversion"/>
  </si>
  <si>
    <t>收入占比%</t>
    <phoneticPr fontId="3" type="noConversion"/>
  </si>
  <si>
    <t>毛利占比%</t>
    <phoneticPr fontId="3" type="noConversion"/>
  </si>
  <si>
    <t>销售收入目标（O)</t>
    <phoneticPr fontId="3" type="noConversion"/>
  </si>
  <si>
    <t>明细表格</t>
    <phoneticPr fontId="3" type="noConversion"/>
  </si>
  <si>
    <t>客户名称</t>
    <phoneticPr fontId="3" type="noConversion"/>
  </si>
  <si>
    <t>CA</t>
    <phoneticPr fontId="3" type="noConversion"/>
  </si>
  <si>
    <t>CB</t>
    <phoneticPr fontId="3" type="noConversion"/>
  </si>
  <si>
    <t>CC</t>
    <phoneticPr fontId="3" type="noConversion"/>
  </si>
  <si>
    <t>CA01</t>
    <phoneticPr fontId="3" type="noConversion"/>
  </si>
  <si>
    <t>CB01</t>
    <phoneticPr fontId="3" type="noConversion"/>
  </si>
  <si>
    <t>CC01</t>
    <phoneticPr fontId="3" type="noConversion"/>
  </si>
  <si>
    <t>SCA</t>
    <phoneticPr fontId="3" type="noConversion"/>
  </si>
  <si>
    <t>SCB</t>
    <phoneticPr fontId="3" type="noConversion"/>
  </si>
  <si>
    <t>SCC</t>
    <phoneticPr fontId="3" type="noConversion"/>
  </si>
  <si>
    <t>SCA01</t>
    <phoneticPr fontId="3" type="noConversion"/>
  </si>
  <si>
    <t>SCB01</t>
    <phoneticPr fontId="3" type="noConversion"/>
  </si>
  <si>
    <t>SCC01</t>
    <phoneticPr fontId="3" type="noConversion"/>
  </si>
  <si>
    <t>DA</t>
    <phoneticPr fontId="3" type="noConversion"/>
  </si>
  <si>
    <t>DB</t>
    <phoneticPr fontId="3" type="noConversion"/>
  </si>
  <si>
    <t>DC</t>
    <phoneticPr fontId="3" type="noConversion"/>
  </si>
  <si>
    <t>张三</t>
    <phoneticPr fontId="3" type="noConversion"/>
  </si>
  <si>
    <t>李四</t>
    <phoneticPr fontId="3" type="noConversion"/>
  </si>
  <si>
    <t>王二麻子</t>
    <phoneticPr fontId="3" type="noConversion"/>
  </si>
  <si>
    <t>PA</t>
    <phoneticPr fontId="3" type="noConversion"/>
  </si>
  <si>
    <t>PB</t>
    <phoneticPr fontId="3" type="noConversion"/>
  </si>
  <si>
    <t>PC</t>
    <phoneticPr fontId="3" type="noConversion"/>
  </si>
  <si>
    <t>PA01</t>
    <phoneticPr fontId="3" type="noConversion"/>
  </si>
  <si>
    <t>PB01</t>
    <phoneticPr fontId="3" type="noConversion"/>
  </si>
  <si>
    <t>PC01</t>
    <phoneticPr fontId="3" type="noConversion"/>
  </si>
  <si>
    <t>订单号</t>
    <phoneticPr fontId="3" type="noConversion"/>
  </si>
  <si>
    <t>订单日期</t>
    <phoneticPr fontId="3" type="noConversion"/>
  </si>
  <si>
    <t>交付日期</t>
    <phoneticPr fontId="3" type="noConversion"/>
  </si>
  <si>
    <t>SO0001</t>
    <phoneticPr fontId="3" type="noConversion"/>
  </si>
  <si>
    <t>SO0002</t>
  </si>
  <si>
    <t>SO0003</t>
  </si>
  <si>
    <t>当年实际截止日期</t>
    <phoneticPr fontId="3" type="noConversion"/>
  </si>
  <si>
    <t>年份</t>
    <phoneticPr fontId="3" type="noConversion"/>
  </si>
  <si>
    <t>全年</t>
    <phoneticPr fontId="3" type="noConversion"/>
  </si>
  <si>
    <t>占比%</t>
    <phoneticPr fontId="3" type="noConversion"/>
  </si>
  <si>
    <t>当年估计数，需要手工输入</t>
    <phoneticPr fontId="3" type="noConversion"/>
  </si>
  <si>
    <t>下年预算数，需要手工输入</t>
    <phoneticPr fontId="3" type="noConversion"/>
  </si>
  <si>
    <t>历年实际数，从历年销售明细表中自动取数</t>
    <phoneticPr fontId="3" type="noConversion"/>
  </si>
  <si>
    <t>请说明差异原因</t>
    <phoneticPr fontId="3" type="noConversion"/>
  </si>
  <si>
    <t>销售毛利率目标（O)</t>
    <phoneticPr fontId="3" type="noConversion"/>
  </si>
  <si>
    <t>实际</t>
    <phoneticPr fontId="3" type="noConversion"/>
  </si>
  <si>
    <t>估计</t>
    <phoneticPr fontId="3" type="noConversion"/>
  </si>
  <si>
    <t>预算</t>
    <phoneticPr fontId="3" type="noConversion"/>
  </si>
  <si>
    <t>已较准</t>
  </si>
  <si>
    <t>未较准</t>
  </si>
  <si>
    <t>可接受</t>
  </si>
  <si>
    <t>上级预算与下级预算未校准，但差异不影响战略落地。可接受</t>
    <phoneticPr fontId="3" type="noConversion"/>
  </si>
  <si>
    <t>上级预算与下级预算的差异幅度超过可接受幅度，需要调整预算</t>
    <phoneticPr fontId="3" type="noConversion"/>
  </si>
  <si>
    <t>上级预算与下级预算的差异幅度在可接受幅度范围内。</t>
    <phoneticPr fontId="3" type="noConversion"/>
  </si>
  <si>
    <t>A:实际数   E:估计数  B:预算数   YTD：从1月1日至报表中实际数的截止日  YTG: 从报表中实际数的截止日次日开始到年底   FY: 全年数</t>
    <phoneticPr fontId="3" type="noConversion"/>
  </si>
  <si>
    <t>产品来源</t>
    <phoneticPr fontId="3" type="noConversion"/>
  </si>
  <si>
    <t>外购</t>
  </si>
  <si>
    <t>外购</t>
    <phoneticPr fontId="3" type="noConversion"/>
  </si>
  <si>
    <t>自制</t>
  </si>
  <si>
    <t>自制</t>
    <phoneticPr fontId="3" type="noConversion"/>
  </si>
  <si>
    <t>C0199</t>
  </si>
  <si>
    <t>C0199</t>
    <phoneticPr fontId="3" type="noConversion"/>
  </si>
  <si>
    <t>SE</t>
  </si>
  <si>
    <t>SE</t>
    <phoneticPr fontId="3" type="noConversion"/>
  </si>
  <si>
    <t>SE99</t>
  </si>
  <si>
    <t>SE99</t>
    <phoneticPr fontId="3" type="noConversion"/>
  </si>
  <si>
    <t>服务</t>
  </si>
  <si>
    <t>服务</t>
    <phoneticPr fontId="3" type="noConversion"/>
  </si>
  <si>
    <t>当分解到产品的明细与目标之间的差异小于0.1%、其他明细与目标之间的差异小于20%即视为已校准</t>
    <phoneticPr fontId="3" type="noConversion"/>
  </si>
  <si>
    <t>A0111</t>
  </si>
  <si>
    <t>B0122</t>
  </si>
  <si>
    <t>C0122</t>
  </si>
  <si>
    <t>PA</t>
  </si>
  <si>
    <t>PB</t>
  </si>
  <si>
    <t>PC</t>
  </si>
  <si>
    <t>PA01</t>
  </si>
  <si>
    <t>PB01</t>
  </si>
  <si>
    <t>PC01</t>
  </si>
  <si>
    <t>销量</t>
    <phoneticPr fontId="3" type="noConversion"/>
  </si>
  <si>
    <t>销售额</t>
    <phoneticPr fontId="3" type="noConversion"/>
  </si>
  <si>
    <t>毛利</t>
    <phoneticPr fontId="3" type="noConversion"/>
  </si>
  <si>
    <t>p1</t>
    <phoneticPr fontId="3" type="noConversion"/>
  </si>
  <si>
    <t>p2</t>
    <phoneticPr fontId="3" type="noConversion"/>
  </si>
  <si>
    <t>q2*p1</t>
    <phoneticPr fontId="3" type="noConversion"/>
  </si>
  <si>
    <t>量差</t>
    <phoneticPr fontId="3" type="noConversion"/>
  </si>
  <si>
    <t>价差</t>
    <phoneticPr fontId="3" type="noConversion"/>
  </si>
  <si>
    <t>结构差</t>
    <phoneticPr fontId="3" type="noConversion"/>
  </si>
  <si>
    <t>差异</t>
    <phoneticPr fontId="3" type="noConversion"/>
  </si>
  <si>
    <t>销量变化</t>
    <phoneticPr fontId="3" type="noConversion"/>
  </si>
  <si>
    <t>售价变化</t>
    <phoneticPr fontId="3" type="noConversion"/>
  </si>
  <si>
    <t>销售结构</t>
    <phoneticPr fontId="3" type="noConversion"/>
  </si>
  <si>
    <t>c1</t>
    <phoneticPr fontId="3" type="noConversion"/>
  </si>
  <si>
    <t>c2</t>
    <phoneticPr fontId="3" type="noConversion"/>
  </si>
  <si>
    <t>q2*c1</t>
    <phoneticPr fontId="3" type="noConversion"/>
  </si>
  <si>
    <t>成本差</t>
    <phoneticPr fontId="3" type="noConversion"/>
  </si>
  <si>
    <t>成本变化</t>
    <phoneticPr fontId="3" type="noConversion"/>
  </si>
  <si>
    <t>其他</t>
    <phoneticPr fontId="3" type="noConversion"/>
  </si>
  <si>
    <t>量差p</t>
    <phoneticPr fontId="3" type="noConversion"/>
  </si>
  <si>
    <t>量差c</t>
    <phoneticPr fontId="3" type="noConversion"/>
  </si>
  <si>
    <t>CTV</t>
    <phoneticPr fontId="3" type="noConversion"/>
  </si>
  <si>
    <t>STV</t>
    <phoneticPr fontId="3" type="noConversion"/>
  </si>
  <si>
    <t>NA</t>
    <phoneticPr fontId="3" type="noConversion"/>
  </si>
  <si>
    <t>销量变化影响</t>
    <phoneticPr fontId="3" type="noConversion"/>
  </si>
  <si>
    <t>价格变化影响</t>
    <phoneticPr fontId="3" type="noConversion"/>
  </si>
  <si>
    <t>影响毛利</t>
    <phoneticPr fontId="3" type="noConversion"/>
  </si>
  <si>
    <t>金额</t>
    <phoneticPr fontId="3" type="noConversion"/>
  </si>
  <si>
    <t>变化幅度</t>
    <phoneticPr fontId="3" type="noConversion"/>
  </si>
  <si>
    <t>项目</t>
    <phoneticPr fontId="3" type="noConversion"/>
  </si>
  <si>
    <t>填写当年剩余月份估计数（ 渠道）</t>
    <phoneticPr fontId="3" type="noConversion"/>
  </si>
  <si>
    <t>填写当年剩余月份估计数（部门 业务员）</t>
    <phoneticPr fontId="3" type="noConversion"/>
  </si>
  <si>
    <t>填写当年剩余月份估计数（客户）</t>
    <phoneticPr fontId="3" type="noConversion"/>
  </si>
  <si>
    <t>填写当年剩余月份估计数（ 产品）</t>
    <phoneticPr fontId="3" type="noConversion"/>
  </si>
  <si>
    <t>填写下年预算销售数据（ 渠道）</t>
    <phoneticPr fontId="3" type="noConversion"/>
  </si>
  <si>
    <t>填写下年预算销售数据（业务员）</t>
    <phoneticPr fontId="3" type="noConversion"/>
  </si>
  <si>
    <t>填写下年预算销售数据（ 客户）</t>
    <phoneticPr fontId="3" type="noConversion"/>
  </si>
  <si>
    <t>填写下年预算销售数据（产品）</t>
    <phoneticPr fontId="3" type="noConversion"/>
  </si>
  <si>
    <t>不含税销售收入</t>
    <phoneticPr fontId="3" type="noConversion"/>
  </si>
  <si>
    <t>销售大区</t>
    <phoneticPr fontId="3" type="noConversion"/>
  </si>
  <si>
    <t>办事处</t>
    <phoneticPr fontId="3" type="noConversion"/>
  </si>
  <si>
    <t>东区</t>
    <phoneticPr fontId="3" type="noConversion"/>
  </si>
  <si>
    <t>南区</t>
    <phoneticPr fontId="3" type="noConversion"/>
  </si>
  <si>
    <t>北区</t>
    <phoneticPr fontId="3" type="noConversion"/>
  </si>
  <si>
    <t>北京</t>
    <phoneticPr fontId="3" type="noConversion"/>
  </si>
  <si>
    <t>上海</t>
    <phoneticPr fontId="3" type="noConversion"/>
  </si>
  <si>
    <t>广州</t>
    <phoneticPr fontId="3" type="noConversion"/>
  </si>
  <si>
    <t>京东</t>
    <phoneticPr fontId="3" type="noConversion"/>
  </si>
  <si>
    <t>天猫</t>
    <phoneticPr fontId="3" type="noConversion"/>
  </si>
  <si>
    <t>苏宁</t>
    <phoneticPr fontId="3" type="noConversion"/>
  </si>
  <si>
    <t>外购价格</t>
    <phoneticPr fontId="3" type="noConversion"/>
  </si>
  <si>
    <t>材料成本</t>
    <phoneticPr fontId="3" type="noConversion"/>
  </si>
  <si>
    <t>人工及制造费用</t>
    <phoneticPr fontId="3" type="noConversion"/>
  </si>
  <si>
    <t>外协加工费</t>
    <phoneticPr fontId="3" type="noConversion"/>
  </si>
  <si>
    <t>单位成本</t>
    <phoneticPr fontId="3" type="noConversion"/>
  </si>
  <si>
    <t>不含税销售单价</t>
    <phoneticPr fontId="3" type="noConversion"/>
  </si>
  <si>
    <t>填写当年实际</t>
    <phoneticPr fontId="3" type="noConversion"/>
  </si>
  <si>
    <t>表格中黄色单元格中设有公式，可自动运算，不需要直接填写数据。如果数据行数超过表格预先留的行数，请注意复制每行的相应公式。</t>
    <phoneticPr fontId="3" type="noConversion"/>
  </si>
  <si>
    <t>编制说明：</t>
    <phoneticPr fontId="3" type="noConversion"/>
  </si>
  <si>
    <t>SO0004</t>
    <phoneticPr fontId="3" type="noConversion"/>
  </si>
  <si>
    <t>预算编制年度实际数据截止月份</t>
    <phoneticPr fontId="3" type="noConversion"/>
  </si>
  <si>
    <t>白色单元格可填入数字</t>
    <phoneticPr fontId="3" type="noConversion"/>
  </si>
  <si>
    <t>黄色单元格中设有自动计算的公式，不需要手工填数字</t>
    <phoneticPr fontId="3" type="noConversion"/>
  </si>
  <si>
    <t>因素分析</t>
    <phoneticPr fontId="3" type="noConversion"/>
  </si>
  <si>
    <t>上年实际</t>
    <phoneticPr fontId="3" type="noConversion"/>
  </si>
  <si>
    <t>当年估计</t>
    <phoneticPr fontId="3" type="noConversion"/>
  </si>
  <si>
    <t>当年剩余月份估计</t>
    <phoneticPr fontId="3" type="noConversion"/>
  </si>
  <si>
    <t>当年截止目前实际</t>
    <phoneticPr fontId="3" type="noConversion"/>
  </si>
  <si>
    <t>填写下年预算分月销售额</t>
    <phoneticPr fontId="3" type="noConversion"/>
  </si>
  <si>
    <t>填写上年标准成本</t>
    <phoneticPr fontId="3" type="noConversion"/>
  </si>
  <si>
    <t>在每份表格的同一个年度里，统一选择一套单位成本作为标准成本，进行销售成本的计算，以保证不同维度之间毛利数据的可比性。兼顾单位成本数据与实际成本水平的接近程度和数据的可得性，可以选择当年或最近一个月或最近一个季度的平均实际成本、或者标准成本。</t>
    <phoneticPr fontId="3" type="noConversion"/>
  </si>
  <si>
    <t>填写当年标准成本</t>
    <phoneticPr fontId="3" type="noConversion"/>
  </si>
  <si>
    <t>步骤1：填写上年标准成本、上年的销售明细。 上年数据将用作分析当年数据的比较基数。</t>
    <phoneticPr fontId="3" type="noConversion"/>
  </si>
  <si>
    <t>填写上年实际销售明细数据</t>
    <phoneticPr fontId="3" type="noConversion"/>
  </si>
  <si>
    <t>步骤2：填写当年标准成本、当年截止至最后一个结账月份的销售明细。 当年的实际数据加上当年剩余月份的估计数据，将用做分析下年预算数据的对比基数。</t>
    <phoneticPr fontId="3" type="noConversion"/>
  </si>
  <si>
    <t>注意事项：</t>
    <phoneticPr fontId="3" type="noConversion"/>
  </si>
  <si>
    <t>尽量详细到各个维度最末一级，如每个产品、每个客户、每份单据。因为进行数据汇总会比进行数据拆解容易得多。</t>
    <phoneticPr fontId="3" type="noConversion"/>
  </si>
  <si>
    <t>步骤3：分别按渠道、业务员、客户、产品等维度估计当年剩余月份的销售数据</t>
    <phoneticPr fontId="3" type="noConversion"/>
  </si>
  <si>
    <t>步骤4：分别按渠道、业务员、客户、产品等维度填写下年的预算销售数据</t>
    <phoneticPr fontId="3" type="noConversion"/>
  </si>
  <si>
    <t>查看并预算校准表格</t>
    <phoneticPr fontId="3" type="noConversion"/>
  </si>
  <si>
    <t>步骤5：将分解到渠道、部门及业务员、客户、产品等各个维度的当年估计数和下年预算数与目标数进行核对、校准，对数据进行必要调整</t>
    <phoneticPr fontId="3" type="noConversion"/>
  </si>
  <si>
    <t>步骤6：对下年预算、当年估计、上年实际进行对比分析，确认价格、毛利变化的合理性</t>
    <phoneticPr fontId="3" type="noConversion"/>
  </si>
  <si>
    <t>查看产品销售及毛利影响因素分析</t>
    <phoneticPr fontId="3" type="noConversion"/>
  </si>
  <si>
    <t>查看并核对销售对比分析底稿</t>
    <phoneticPr fontId="3" type="noConversion"/>
  </si>
  <si>
    <t>注意事项：注意确认表格中是否已经涵盖到了上年、当年、预算中涉及的所有产品，表格中公式完整</t>
    <phoneticPr fontId="3" type="noConversion"/>
  </si>
  <si>
    <t>返回主页</t>
    <phoneticPr fontId="3" type="noConversion"/>
  </si>
  <si>
    <t>编制步骤：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</si>
</sst>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%"/>
    <numFmt numFmtId="177" formatCode="_ * #,##0_ ;_ * \-#,##0_ ;_ * &quot;-&quot;??_ ;_ @_ "/>
    <numFmt numFmtId="178" formatCode="0&quot;月&quot;&quot;份&quot;"/>
    <numFmt numFmtId="179" formatCode="0.00000000000000%"/>
    <numFmt numFmtId="180" formatCode="yyyy&quot;年&quot;m&quot;月&quot;;@"/>
  </numFmts>
  <fonts count="3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sz val="10"/>
      <color theme="1" tint="0.34998626667073579"/>
      <name val="等线"/>
      <family val="3"/>
      <charset val="134"/>
      <scheme val="minor"/>
    </font>
    <font>
      <b/>
      <sz val="10"/>
      <color theme="1" tint="0.3499862666707357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2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Calibri"/>
      <family val="2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176" fontId="0" fillId="0" borderId="0" xfId="2" applyNumberFormat="1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6" xfId="0" applyFont="1" applyFill="1" applyBorder="1">
      <alignment vertical="center"/>
    </xf>
    <xf numFmtId="43" fontId="0" fillId="0" borderId="7" xfId="1" applyFont="1" applyBorder="1">
      <alignment vertical="center"/>
    </xf>
    <xf numFmtId="0" fontId="8" fillId="0" borderId="0" xfId="0" applyFont="1">
      <alignment vertical="center"/>
    </xf>
    <xf numFmtId="177" fontId="0" fillId="0" borderId="7" xfId="1" applyNumberFormat="1" applyFont="1" applyBorder="1">
      <alignment vertical="center"/>
    </xf>
    <xf numFmtId="177" fontId="0" fillId="0" borderId="0" xfId="1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Fill="1">
      <alignment vertical="center"/>
    </xf>
    <xf numFmtId="0" fontId="7" fillId="7" borderId="14" xfId="0" applyFont="1" applyFill="1" applyBorder="1" applyAlignment="1">
      <alignment horizontal="center" vertical="center"/>
    </xf>
    <xf numFmtId="0" fontId="2" fillId="2" borderId="20" xfId="0" applyFont="1" applyFill="1" applyBorder="1">
      <alignment vertical="center"/>
    </xf>
    <xf numFmtId="178" fontId="2" fillId="2" borderId="22" xfId="0" applyNumberFormat="1" applyFont="1" applyFill="1" applyBorder="1">
      <alignment vertical="center"/>
    </xf>
    <xf numFmtId="178" fontId="2" fillId="2" borderId="23" xfId="0" applyNumberFormat="1" applyFont="1" applyFill="1" applyBorder="1">
      <alignment vertical="center"/>
    </xf>
    <xf numFmtId="178" fontId="2" fillId="2" borderId="24" xfId="0" applyNumberFormat="1" applyFont="1" applyFill="1" applyBorder="1">
      <alignment vertical="center"/>
    </xf>
    <xf numFmtId="0" fontId="12" fillId="6" borderId="2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2" borderId="21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15" fillId="0" borderId="0" xfId="0" applyFont="1">
      <alignment vertical="center"/>
    </xf>
    <xf numFmtId="0" fontId="16" fillId="0" borderId="9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Fill="1" applyBorder="1">
      <alignment vertical="center"/>
    </xf>
    <xf numFmtId="14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0" fillId="0" borderId="2" xfId="1" applyNumberFormat="1" applyFont="1" applyBorder="1" applyProtection="1">
      <alignment vertical="center"/>
      <protection locked="0"/>
    </xf>
    <xf numFmtId="177" fontId="20" fillId="0" borderId="0" xfId="1" applyNumberFormat="1" applyFont="1" applyBorder="1">
      <alignment vertical="center"/>
    </xf>
    <xf numFmtId="0" fontId="15" fillId="3" borderId="0" xfId="0" applyFont="1" applyFill="1">
      <alignment vertical="center"/>
    </xf>
    <xf numFmtId="0" fontId="21" fillId="10" borderId="31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/>
    </xf>
    <xf numFmtId="0" fontId="21" fillId="10" borderId="20" xfId="0" applyFont="1" applyFill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/>
    </xf>
    <xf numFmtId="0" fontId="15" fillId="0" borderId="35" xfId="0" applyFont="1" applyBorder="1">
      <alignment vertical="center"/>
    </xf>
    <xf numFmtId="177" fontId="15" fillId="6" borderId="19" xfId="1" applyNumberFormat="1" applyFont="1" applyFill="1" applyBorder="1">
      <alignment vertical="center"/>
    </xf>
    <xf numFmtId="177" fontId="15" fillId="9" borderId="15" xfId="1" applyNumberFormat="1" applyFont="1" applyFill="1" applyBorder="1">
      <alignment vertical="center"/>
    </xf>
    <xf numFmtId="177" fontId="15" fillId="5" borderId="8" xfId="1" applyNumberFormat="1" applyFont="1" applyFill="1" applyBorder="1">
      <alignment vertical="center"/>
    </xf>
    <xf numFmtId="0" fontId="13" fillId="0" borderId="17" xfId="0" applyFont="1" applyBorder="1" applyAlignment="1">
      <alignment vertical="center" wrapText="1"/>
    </xf>
    <xf numFmtId="177" fontId="15" fillId="0" borderId="17" xfId="1" applyNumberFormat="1" applyFont="1" applyBorder="1">
      <alignment vertical="center"/>
    </xf>
    <xf numFmtId="176" fontId="22" fillId="0" borderId="19" xfId="2" applyNumberFormat="1" applyFont="1" applyBorder="1">
      <alignment vertical="center"/>
    </xf>
    <xf numFmtId="0" fontId="22" fillId="0" borderId="8" xfId="0" applyFont="1" applyBorder="1" applyProtection="1">
      <alignment vertical="center"/>
      <protection locked="0"/>
    </xf>
    <xf numFmtId="177" fontId="15" fillId="8" borderId="19" xfId="1" applyNumberFormat="1" applyFont="1" applyFill="1" applyBorder="1">
      <alignment vertical="center"/>
    </xf>
    <xf numFmtId="177" fontId="15" fillId="0" borderId="19" xfId="1" applyNumberFormat="1" applyFont="1" applyBorder="1">
      <alignment vertical="center"/>
    </xf>
    <xf numFmtId="176" fontId="23" fillId="0" borderId="15" xfId="2" applyNumberFormat="1" applyFont="1" applyBorder="1">
      <alignment vertical="center"/>
    </xf>
    <xf numFmtId="0" fontId="22" fillId="0" borderId="36" xfId="0" applyFont="1" applyBorder="1" applyProtection="1">
      <alignment vertical="center"/>
      <protection locked="0"/>
    </xf>
    <xf numFmtId="43" fontId="15" fillId="0" borderId="0" xfId="0" applyNumberFormat="1" applyFont="1">
      <alignment vertical="center"/>
    </xf>
    <xf numFmtId="0" fontId="15" fillId="0" borderId="37" xfId="0" applyFont="1" applyBorder="1">
      <alignment vertical="center"/>
    </xf>
    <xf numFmtId="177" fontId="15" fillId="6" borderId="1" xfId="1" applyNumberFormat="1" applyFont="1" applyFill="1" applyBorder="1">
      <alignment vertical="center"/>
    </xf>
    <xf numFmtId="177" fontId="15" fillId="9" borderId="10" xfId="1" applyNumberFormat="1" applyFont="1" applyFill="1" applyBorder="1">
      <alignment vertical="center"/>
    </xf>
    <xf numFmtId="177" fontId="15" fillId="5" borderId="29" xfId="1" applyNumberFormat="1" applyFont="1" applyFill="1" applyBorder="1">
      <alignment vertical="center"/>
    </xf>
    <xf numFmtId="177" fontId="15" fillId="0" borderId="11" xfId="1" applyNumberFormat="1" applyFont="1" applyBorder="1">
      <alignment vertical="center"/>
    </xf>
    <xf numFmtId="176" fontId="22" fillId="0" borderId="1" xfId="2" applyNumberFormat="1" applyFont="1" applyBorder="1">
      <alignment vertical="center"/>
    </xf>
    <xf numFmtId="0" fontId="22" fillId="0" borderId="29" xfId="0" applyFont="1" applyBorder="1" applyProtection="1">
      <alignment vertical="center"/>
      <protection locked="0"/>
    </xf>
    <xf numFmtId="177" fontId="15" fillId="8" borderId="1" xfId="1" applyNumberFormat="1" applyFont="1" applyFill="1" applyBorder="1">
      <alignment vertical="center"/>
    </xf>
    <xf numFmtId="177" fontId="15" fillId="0" borderId="1" xfId="1" applyNumberFormat="1" applyFont="1" applyBorder="1">
      <alignment vertical="center"/>
    </xf>
    <xf numFmtId="176" fontId="23" fillId="0" borderId="10" xfId="2" applyNumberFormat="1" applyFont="1" applyBorder="1">
      <alignment vertical="center"/>
    </xf>
    <xf numFmtId="0" fontId="22" fillId="0" borderId="38" xfId="0" applyFont="1" applyBorder="1" applyProtection="1">
      <alignment vertical="center"/>
      <protection locked="0"/>
    </xf>
    <xf numFmtId="0" fontId="15" fillId="0" borderId="39" xfId="0" applyFont="1" applyBorder="1">
      <alignment vertical="center"/>
    </xf>
    <xf numFmtId="177" fontId="15" fillId="6" borderId="40" xfId="1" applyNumberFormat="1" applyFont="1" applyFill="1" applyBorder="1">
      <alignment vertical="center"/>
    </xf>
    <xf numFmtId="177" fontId="15" fillId="9" borderId="41" xfId="0" applyNumberFormat="1" applyFont="1" applyFill="1" applyBorder="1">
      <alignment vertical="center"/>
    </xf>
    <xf numFmtId="177" fontId="15" fillId="5" borderId="42" xfId="1" applyNumberFormat="1" applyFont="1" applyFill="1" applyBorder="1">
      <alignment vertical="center"/>
    </xf>
    <xf numFmtId="0" fontId="13" fillId="0" borderId="43" xfId="0" applyFont="1" applyBorder="1" applyAlignment="1">
      <alignment vertical="center" wrapText="1"/>
    </xf>
    <xf numFmtId="177" fontId="15" fillId="0" borderId="44" xfId="1" applyNumberFormat="1" applyFont="1" applyBorder="1">
      <alignment vertical="center"/>
    </xf>
    <xf numFmtId="176" fontId="22" fillId="0" borderId="40" xfId="2" applyNumberFormat="1" applyFont="1" applyBorder="1">
      <alignment vertical="center"/>
    </xf>
    <xf numFmtId="0" fontId="22" fillId="0" borderId="42" xfId="0" applyFont="1" applyBorder="1" applyProtection="1">
      <alignment vertical="center"/>
      <protection locked="0"/>
    </xf>
    <xf numFmtId="177" fontId="15" fillId="8" borderId="40" xfId="1" applyNumberFormat="1" applyFont="1" applyFill="1" applyBorder="1">
      <alignment vertical="center"/>
    </xf>
    <xf numFmtId="177" fontId="15" fillId="0" borderId="40" xfId="1" applyNumberFormat="1" applyFont="1" applyBorder="1">
      <alignment vertical="center"/>
    </xf>
    <xf numFmtId="176" fontId="23" fillId="0" borderId="41" xfId="2" applyNumberFormat="1" applyFont="1" applyBorder="1">
      <alignment vertical="center"/>
    </xf>
    <xf numFmtId="0" fontId="22" fillId="0" borderId="45" xfId="0" applyFont="1" applyBorder="1" applyProtection="1">
      <alignment vertical="center"/>
      <protection locked="0"/>
    </xf>
    <xf numFmtId="0" fontId="15" fillId="0" borderId="0" xfId="0" applyFont="1" applyFill="1" applyBorder="1">
      <alignment vertical="center"/>
    </xf>
    <xf numFmtId="177" fontId="15" fillId="0" borderId="0" xfId="1" applyNumberFormat="1" applyFont="1" applyFill="1" applyBorder="1">
      <alignment vertical="center"/>
    </xf>
    <xf numFmtId="0" fontId="15" fillId="0" borderId="0" xfId="0" applyFont="1" applyFill="1">
      <alignment vertical="center"/>
    </xf>
    <xf numFmtId="176" fontId="20" fillId="0" borderId="2" xfId="2" applyNumberFormat="1" applyFont="1" applyBorder="1" applyProtection="1">
      <alignment vertical="center"/>
      <protection locked="0"/>
    </xf>
    <xf numFmtId="176" fontId="15" fillId="6" borderId="19" xfId="2" applyNumberFormat="1" applyFont="1" applyFill="1" applyBorder="1">
      <alignment vertical="center"/>
    </xf>
    <xf numFmtId="176" fontId="15" fillId="9" borderId="15" xfId="2" applyNumberFormat="1" applyFont="1" applyFill="1" applyBorder="1">
      <alignment vertical="center"/>
    </xf>
    <xf numFmtId="176" fontId="15" fillId="5" borderId="8" xfId="2" applyNumberFormat="1" applyFont="1" applyFill="1" applyBorder="1">
      <alignment vertical="center"/>
    </xf>
    <xf numFmtId="176" fontId="15" fillId="6" borderId="1" xfId="2" applyNumberFormat="1" applyFont="1" applyFill="1" applyBorder="1">
      <alignment vertical="center"/>
    </xf>
    <xf numFmtId="176" fontId="15" fillId="9" borderId="10" xfId="2" applyNumberFormat="1" applyFont="1" applyFill="1" applyBorder="1">
      <alignment vertical="center"/>
    </xf>
    <xf numFmtId="176" fontId="15" fillId="5" borderId="29" xfId="2" applyNumberFormat="1" applyFont="1" applyFill="1" applyBorder="1">
      <alignment vertical="center"/>
    </xf>
    <xf numFmtId="177" fontId="15" fillId="0" borderId="0" xfId="0" applyNumberFormat="1" applyFont="1" applyFill="1" applyBorder="1">
      <alignment vertical="center"/>
    </xf>
    <xf numFmtId="0" fontId="13" fillId="0" borderId="0" xfId="0" applyFont="1" applyFill="1" applyBorder="1" applyAlignment="1">
      <alignment vertical="center" wrapText="1"/>
    </xf>
    <xf numFmtId="176" fontId="22" fillId="0" borderId="0" xfId="2" applyNumberFormat="1" applyFont="1" applyFill="1" applyBorder="1">
      <alignment vertical="center"/>
    </xf>
    <xf numFmtId="0" fontId="22" fillId="0" borderId="0" xfId="0" applyFont="1" applyFill="1" applyBorder="1" applyProtection="1">
      <alignment vertical="center"/>
      <protection locked="0"/>
    </xf>
    <xf numFmtId="176" fontId="23" fillId="0" borderId="0" xfId="2" applyNumberFormat="1" applyFont="1" applyFill="1" applyBorder="1">
      <alignment vertical="center"/>
    </xf>
    <xf numFmtId="0" fontId="23" fillId="0" borderId="0" xfId="0" applyFont="1">
      <alignment vertical="center"/>
    </xf>
    <xf numFmtId="0" fontId="23" fillId="6" borderId="29" xfId="0" applyFont="1" applyFill="1" applyBorder="1">
      <alignment vertical="center"/>
    </xf>
    <xf numFmtId="0" fontId="23" fillId="5" borderId="29" xfId="0" applyFont="1" applyFill="1" applyBorder="1" applyProtection="1">
      <alignment vertical="center"/>
      <protection locked="0"/>
    </xf>
    <xf numFmtId="0" fontId="23" fillId="7" borderId="29" xfId="0" applyFont="1" applyFill="1" applyBorder="1" applyProtection="1">
      <alignment vertical="center"/>
      <protection locked="0"/>
    </xf>
    <xf numFmtId="0" fontId="23" fillId="0" borderId="1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179" fontId="15" fillId="0" borderId="0" xfId="0" applyNumberFormat="1" applyFont="1">
      <alignment vertical="center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5" fillId="0" borderId="0" xfId="0" applyFont="1">
      <alignment vertical="center"/>
    </xf>
    <xf numFmtId="43" fontId="0" fillId="0" borderId="0" xfId="0" applyNumberFormat="1">
      <alignment vertical="center"/>
    </xf>
    <xf numFmtId="0" fontId="26" fillId="0" borderId="0" xfId="0" applyFont="1">
      <alignment vertical="center"/>
    </xf>
    <xf numFmtId="177" fontId="26" fillId="0" borderId="0" xfId="1" applyNumberFormat="1" applyFont="1">
      <alignment vertical="center"/>
    </xf>
    <xf numFmtId="176" fontId="26" fillId="0" borderId="0" xfId="2" applyNumberFormat="1" applyFont="1">
      <alignment vertical="center"/>
    </xf>
    <xf numFmtId="0" fontId="27" fillId="0" borderId="0" xfId="0" applyFont="1">
      <alignment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Fill="1" applyAlignment="1">
      <alignment horizontal="center" vertical="center" wrapText="1"/>
    </xf>
    <xf numFmtId="177" fontId="27" fillId="0" borderId="0" xfId="1" applyNumberFormat="1" applyFont="1">
      <alignment vertical="center"/>
    </xf>
    <xf numFmtId="0" fontId="26" fillId="0" borderId="0" xfId="0" applyFont="1" applyBorder="1">
      <alignment vertical="center"/>
    </xf>
    <xf numFmtId="43" fontId="26" fillId="0" borderId="0" xfId="1" applyFont="1" applyBorder="1">
      <alignment vertical="center"/>
    </xf>
    <xf numFmtId="0" fontId="27" fillId="0" borderId="0" xfId="0" applyFont="1" applyBorder="1">
      <alignment vertical="center"/>
    </xf>
    <xf numFmtId="43" fontId="27" fillId="0" borderId="0" xfId="1" applyFont="1" applyBorder="1">
      <alignment vertical="center"/>
    </xf>
    <xf numFmtId="176" fontId="27" fillId="0" borderId="0" xfId="2" applyNumberFormat="1" applyFont="1" applyBorder="1">
      <alignment vertical="center"/>
    </xf>
    <xf numFmtId="43" fontId="27" fillId="0" borderId="0" xfId="0" applyNumberFormat="1" applyFont="1" applyBorder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176" fontId="4" fillId="2" borderId="0" xfId="2" applyNumberFormat="1" applyFont="1" applyFill="1" applyBorder="1">
      <alignment vertical="center"/>
    </xf>
    <xf numFmtId="0" fontId="0" fillId="0" borderId="0" xfId="0" applyBorder="1">
      <alignment vertical="center"/>
    </xf>
    <xf numFmtId="0" fontId="2" fillId="2" borderId="47" xfId="0" applyFont="1" applyFill="1" applyBorder="1">
      <alignment vertical="center"/>
    </xf>
    <xf numFmtId="0" fontId="19" fillId="0" borderId="0" xfId="0" applyFont="1">
      <alignment vertical="center"/>
    </xf>
    <xf numFmtId="0" fontId="29" fillId="0" borderId="0" xfId="3">
      <alignment vertical="center"/>
    </xf>
    <xf numFmtId="0" fontId="29" fillId="0" borderId="0" xfId="3" quotePrefix="1">
      <alignment vertical="center"/>
    </xf>
    <xf numFmtId="0" fontId="19" fillId="0" borderId="0" xfId="0" applyFont="1" applyAlignment="1">
      <alignment horizontal="left" vertical="center" wrapText="1"/>
    </xf>
    <xf numFmtId="176" fontId="0" fillId="11" borderId="0" xfId="2" applyNumberFormat="1" applyFont="1" applyFill="1" applyBorder="1">
      <alignment vertical="center"/>
    </xf>
    <xf numFmtId="176" fontId="8" fillId="11" borderId="0" xfId="2" applyNumberFormat="1" applyFont="1" applyFill="1" applyBorder="1">
      <alignment vertical="center"/>
    </xf>
    <xf numFmtId="43" fontId="0" fillId="11" borderId="0" xfId="1" applyFont="1" applyFill="1" applyBorder="1">
      <alignment vertical="center"/>
    </xf>
    <xf numFmtId="43" fontId="0" fillId="0" borderId="0" xfId="1" applyFont="1" applyBorder="1" applyProtection="1">
      <alignment vertical="center"/>
      <protection locked="0"/>
    </xf>
    <xf numFmtId="0" fontId="0" fillId="0" borderId="0" xfId="0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3" fontId="0" fillId="3" borderId="0" xfId="1" applyFont="1" applyFill="1" applyBorder="1" applyProtection="1">
      <alignment vertical="center"/>
      <protection locked="0"/>
    </xf>
    <xf numFmtId="0" fontId="4" fillId="2" borderId="20" xfId="0" applyFont="1" applyFill="1" applyBorder="1" applyAlignment="1">
      <alignment horizontal="centerContinuous" vertical="center"/>
    </xf>
    <xf numFmtId="0" fontId="4" fillId="2" borderId="20" xfId="0" applyFont="1" applyFill="1" applyBorder="1" applyAlignment="1">
      <alignment vertical="center" wrapText="1"/>
    </xf>
    <xf numFmtId="176" fontId="4" fillId="2" borderId="20" xfId="2" applyNumberFormat="1" applyFont="1" applyFill="1" applyBorder="1" applyAlignment="1">
      <alignment vertical="center" wrapText="1"/>
    </xf>
    <xf numFmtId="43" fontId="0" fillId="3" borderId="26" xfId="1" applyFont="1" applyFill="1" applyBorder="1" applyProtection="1">
      <alignment vertical="center"/>
      <protection locked="0"/>
    </xf>
    <xf numFmtId="43" fontId="0" fillId="3" borderId="53" xfId="1" applyFont="1" applyFill="1" applyBorder="1" applyProtection="1">
      <alignment vertical="center"/>
      <protection locked="0"/>
    </xf>
    <xf numFmtId="43" fontId="0" fillId="3" borderId="7" xfId="1" applyFont="1" applyFill="1" applyBorder="1" applyProtection="1">
      <alignment vertical="center"/>
      <protection locked="0"/>
    </xf>
    <xf numFmtId="177" fontId="0" fillId="3" borderId="54" xfId="1" applyNumberFormat="1" applyFont="1" applyFill="1" applyBorder="1" applyProtection="1">
      <alignment vertical="center"/>
      <protection locked="0"/>
    </xf>
    <xf numFmtId="177" fontId="0" fillId="3" borderId="7" xfId="1" applyNumberFormat="1" applyFont="1" applyFill="1" applyBorder="1" applyProtection="1">
      <alignment vertical="center"/>
      <protection locked="0"/>
    </xf>
    <xf numFmtId="0" fontId="0" fillId="3" borderId="53" xfId="0" applyFill="1" applyBorder="1" applyProtection="1">
      <alignment vertical="center"/>
      <protection locked="0"/>
    </xf>
    <xf numFmtId="176" fontId="8" fillId="11" borderId="54" xfId="2" applyNumberFormat="1" applyFont="1" applyFill="1" applyBorder="1">
      <alignment vertical="center"/>
    </xf>
    <xf numFmtId="176" fontId="8" fillId="11" borderId="7" xfId="2" applyNumberFormat="1" applyFont="1" applyFill="1" applyBorder="1">
      <alignment vertical="center"/>
    </xf>
    <xf numFmtId="176" fontId="0" fillId="0" borderId="26" xfId="2" applyNumberFormat="1" applyFont="1" applyBorder="1" applyProtection="1">
      <alignment vertical="center"/>
      <protection locked="0"/>
    </xf>
    <xf numFmtId="176" fontId="0" fillId="0" borderId="53" xfId="2" applyNumberFormat="1" applyFont="1" applyBorder="1" applyProtection="1">
      <alignment vertical="center"/>
      <protection locked="0"/>
    </xf>
    <xf numFmtId="0" fontId="0" fillId="0" borderId="53" xfId="0" applyBorder="1" applyProtection="1">
      <alignment vertical="center"/>
      <protection locked="0"/>
    </xf>
    <xf numFmtId="43" fontId="0" fillId="11" borderId="54" xfId="1" applyFont="1" applyFill="1" applyBorder="1">
      <alignment vertical="center"/>
    </xf>
    <xf numFmtId="43" fontId="0" fillId="11" borderId="7" xfId="1" applyFont="1" applyFill="1" applyBorder="1">
      <alignment vertical="center"/>
    </xf>
    <xf numFmtId="176" fontId="0" fillId="11" borderId="54" xfId="2" applyNumberFormat="1" applyFont="1" applyFill="1" applyBorder="1">
      <alignment vertical="center"/>
    </xf>
    <xf numFmtId="176" fontId="0" fillId="11" borderId="7" xfId="2" applyNumberFormat="1" applyFont="1" applyFill="1" applyBorder="1">
      <alignment vertical="center"/>
    </xf>
    <xf numFmtId="43" fontId="0" fillId="0" borderId="7" xfId="1" applyFon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0" fontId="0" fillId="0" borderId="29" xfId="0" applyBorder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0" fillId="0" borderId="7" xfId="1" applyNumberFormat="1" applyFont="1" applyBorder="1" applyProtection="1">
      <alignment vertical="center"/>
      <protection locked="0"/>
    </xf>
    <xf numFmtId="176" fontId="4" fillId="2" borderId="20" xfId="2" applyNumberFormat="1" applyFont="1" applyFill="1" applyBorder="1" applyAlignment="1">
      <alignment horizontal="centerContinuous" vertical="center"/>
    </xf>
    <xf numFmtId="176" fontId="0" fillId="0" borderId="7" xfId="2" applyNumberFormat="1" applyFont="1" applyBorder="1" applyProtection="1">
      <alignment vertical="center"/>
      <protection locked="0"/>
    </xf>
    <xf numFmtId="43" fontId="0" fillId="11" borderId="0" xfId="1" applyFont="1" applyFill="1">
      <alignment vertical="center"/>
    </xf>
    <xf numFmtId="43" fontId="0" fillId="11" borderId="7" xfId="0" applyNumberFormat="1" applyFill="1" applyBorder="1">
      <alignment vertical="center"/>
    </xf>
    <xf numFmtId="9" fontId="0" fillId="0" borderId="7" xfId="0" applyNumberFormat="1" applyBorder="1" applyProtection="1">
      <alignment vertical="center"/>
      <protection locked="0"/>
    </xf>
    <xf numFmtId="43" fontId="0" fillId="11" borderId="0" xfId="0" applyNumberFormat="1" applyFill="1" applyBorder="1">
      <alignment vertical="center"/>
    </xf>
    <xf numFmtId="14" fontId="0" fillId="0" borderId="0" xfId="0" applyNumberFormat="1" applyProtection="1">
      <alignment vertical="center"/>
      <protection locked="0"/>
    </xf>
    <xf numFmtId="14" fontId="0" fillId="0" borderId="0" xfId="0" applyNumberFormat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9" fontId="0" fillId="0" borderId="0" xfId="0" applyNumberFormat="1" applyBorder="1" applyProtection="1">
      <alignment vertical="center"/>
      <protection locked="0"/>
    </xf>
    <xf numFmtId="0" fontId="6" fillId="3" borderId="13" xfId="0" applyFont="1" applyFill="1" applyBorder="1" applyProtection="1">
      <alignment vertical="center"/>
      <protection locked="0"/>
    </xf>
    <xf numFmtId="0" fontId="6" fillId="3" borderId="28" xfId="0" applyFont="1" applyFill="1" applyBorder="1" applyProtection="1">
      <alignment vertical="center"/>
      <protection locked="0"/>
    </xf>
    <xf numFmtId="177" fontId="11" fillId="9" borderId="0" xfId="1" applyNumberFormat="1" applyFont="1" applyFill="1" applyBorder="1">
      <alignment vertical="center"/>
    </xf>
    <xf numFmtId="177" fontId="11" fillId="9" borderId="26" xfId="1" applyNumberFormat="1" applyFont="1" applyFill="1" applyBorder="1">
      <alignment vertical="center"/>
    </xf>
    <xf numFmtId="0" fontId="5" fillId="12" borderId="46" xfId="0" applyFont="1" applyFill="1" applyBorder="1">
      <alignment vertical="center"/>
    </xf>
    <xf numFmtId="0" fontId="0" fillId="9" borderId="57" xfId="0" applyFill="1" applyBorder="1">
      <alignment vertical="center"/>
    </xf>
    <xf numFmtId="0" fontId="0" fillId="9" borderId="58" xfId="0" applyFill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3" borderId="58" xfId="0" applyFill="1" applyBorder="1" applyProtection="1">
      <alignment vertical="center"/>
      <protection locked="0"/>
    </xf>
    <xf numFmtId="0" fontId="0" fillId="3" borderId="59" xfId="0" applyFill="1" applyBorder="1" applyProtection="1">
      <alignment vertical="center"/>
      <protection locked="0"/>
    </xf>
    <xf numFmtId="0" fontId="0" fillId="9" borderId="0" xfId="0" applyFill="1">
      <alignment vertical="center"/>
    </xf>
    <xf numFmtId="176" fontId="9" fillId="9" borderId="16" xfId="2" applyNumberFormat="1" applyFont="1" applyFill="1" applyBorder="1">
      <alignment vertical="center"/>
    </xf>
    <xf numFmtId="176" fontId="9" fillId="9" borderId="27" xfId="2" applyNumberFormat="1" applyFont="1" applyFill="1" applyBorder="1">
      <alignment vertical="center"/>
    </xf>
    <xf numFmtId="0" fontId="12" fillId="6" borderId="59" xfId="0" applyFont="1" applyFill="1" applyBorder="1" applyAlignment="1">
      <alignment horizontal="center" vertical="center"/>
    </xf>
    <xf numFmtId="0" fontId="12" fillId="13" borderId="59" xfId="0" applyFont="1" applyFill="1" applyBorder="1" applyAlignment="1">
      <alignment horizontal="center" vertical="center"/>
    </xf>
    <xf numFmtId="0" fontId="12" fillId="13" borderId="25" xfId="0" applyFont="1" applyFill="1" applyBorder="1" applyAlignment="1">
      <alignment horizontal="center" vertical="center"/>
    </xf>
    <xf numFmtId="176" fontId="10" fillId="13" borderId="17" xfId="0" applyNumberFormat="1" applyFont="1" applyFill="1" applyBorder="1" applyAlignment="1">
      <alignment horizontal="center" vertical="center"/>
    </xf>
    <xf numFmtId="176" fontId="10" fillId="6" borderId="17" xfId="0" applyNumberFormat="1" applyFont="1" applyFill="1" applyBorder="1" applyAlignment="1">
      <alignment horizontal="center" vertical="center"/>
    </xf>
    <xf numFmtId="176" fontId="10" fillId="7" borderId="17" xfId="0" applyNumberFormat="1" applyFont="1" applyFill="1" applyBorder="1" applyAlignment="1">
      <alignment horizontal="center" vertical="center"/>
    </xf>
    <xf numFmtId="180" fontId="16" fillId="0" borderId="51" xfId="0" applyNumberFormat="1" applyFont="1" applyBorder="1" applyAlignment="1" applyProtection="1">
      <alignment vertical="center"/>
      <protection locked="0"/>
    </xf>
    <xf numFmtId="43" fontId="0" fillId="9" borderId="0" xfId="1" applyFont="1" applyFill="1">
      <alignment vertical="center"/>
    </xf>
    <xf numFmtId="0" fontId="0" fillId="14" borderId="0" xfId="0" applyFill="1">
      <alignment vertical="center"/>
    </xf>
    <xf numFmtId="0" fontId="0" fillId="13" borderId="0" xfId="0" applyFill="1">
      <alignment vertical="center"/>
    </xf>
    <xf numFmtId="0" fontId="0" fillId="6" borderId="0" xfId="0" applyFill="1">
      <alignment vertical="center"/>
    </xf>
    <xf numFmtId="176" fontId="26" fillId="0" borderId="0" xfId="2" applyNumberFormat="1" applyFont="1" applyBorder="1">
      <alignment vertical="center"/>
    </xf>
    <xf numFmtId="0" fontId="27" fillId="0" borderId="61" xfId="0" applyFont="1" applyBorder="1">
      <alignment vertical="center"/>
    </xf>
    <xf numFmtId="176" fontId="27" fillId="0" borderId="61" xfId="2" applyNumberFormat="1" applyFont="1" applyBorder="1">
      <alignment vertical="center"/>
    </xf>
    <xf numFmtId="43" fontId="27" fillId="0" borderId="53" xfId="0" applyNumberFormat="1" applyFont="1" applyBorder="1">
      <alignment vertical="center"/>
    </xf>
    <xf numFmtId="176" fontId="27" fillId="0" borderId="53" xfId="2" applyNumberFormat="1" applyFont="1" applyBorder="1">
      <alignment vertical="center"/>
    </xf>
    <xf numFmtId="0" fontId="27" fillId="0" borderId="62" xfId="0" applyFont="1" applyBorder="1">
      <alignment vertical="center"/>
    </xf>
    <xf numFmtId="43" fontId="27" fillId="0" borderId="63" xfId="1" applyFont="1" applyBorder="1">
      <alignment vertical="center"/>
    </xf>
    <xf numFmtId="176" fontId="27" fillId="0" borderId="56" xfId="2" applyNumberFormat="1" applyFont="1" applyBorder="1">
      <alignment vertical="center"/>
    </xf>
    <xf numFmtId="177" fontId="26" fillId="0" borderId="60" xfId="1" applyNumberFormat="1" applyFont="1" applyBorder="1">
      <alignment vertical="center"/>
    </xf>
    <xf numFmtId="176" fontId="26" fillId="0" borderId="55" xfId="2" applyNumberFormat="1" applyFont="1" applyBorder="1">
      <alignment vertical="center"/>
    </xf>
    <xf numFmtId="177" fontId="26" fillId="0" borderId="61" xfId="1" applyNumberFormat="1" applyFont="1" applyBorder="1">
      <alignment vertical="center"/>
    </xf>
    <xf numFmtId="0" fontId="26" fillId="0" borderId="53" xfId="0" applyFont="1" applyBorder="1">
      <alignment vertical="center"/>
    </xf>
    <xf numFmtId="177" fontId="27" fillId="0" borderId="61" xfId="1" applyNumberFormat="1" applyFont="1" applyBorder="1">
      <alignment vertical="center"/>
    </xf>
    <xf numFmtId="43" fontId="26" fillId="0" borderId="53" xfId="1" applyFont="1" applyBorder="1">
      <alignment vertical="center"/>
    </xf>
    <xf numFmtId="176" fontId="26" fillId="0" borderId="53" xfId="2" applyNumberFormat="1" applyFont="1" applyBorder="1">
      <alignment vertical="center"/>
    </xf>
    <xf numFmtId="176" fontId="26" fillId="0" borderId="61" xfId="2" applyNumberFormat="1" applyFont="1" applyBorder="1">
      <alignment vertical="center"/>
    </xf>
    <xf numFmtId="43" fontId="26" fillId="0" borderId="62" xfId="1" applyFont="1" applyBorder="1">
      <alignment vertical="center"/>
    </xf>
    <xf numFmtId="176" fontId="26" fillId="0" borderId="56" xfId="2" applyNumberFormat="1" applyFont="1" applyBorder="1">
      <alignment vertical="center"/>
    </xf>
    <xf numFmtId="0" fontId="26" fillId="0" borderId="56" xfId="0" applyFont="1" applyBorder="1">
      <alignment vertical="center"/>
    </xf>
    <xf numFmtId="177" fontId="26" fillId="0" borderId="7" xfId="1" applyNumberFormat="1" applyFont="1" applyBorder="1">
      <alignment vertical="center"/>
    </xf>
    <xf numFmtId="177" fontId="27" fillId="0" borderId="7" xfId="1" applyNumberFormat="1" applyFont="1" applyBorder="1">
      <alignment vertical="center"/>
    </xf>
    <xf numFmtId="176" fontId="26" fillId="0" borderId="7" xfId="2" applyNumberFormat="1" applyFont="1" applyBorder="1">
      <alignment vertical="center"/>
    </xf>
    <xf numFmtId="177" fontId="26" fillId="0" borderId="8" xfId="1" applyNumberFormat="1" applyFont="1" applyBorder="1">
      <alignment vertical="center"/>
    </xf>
    <xf numFmtId="0" fontId="26" fillId="0" borderId="48" xfId="0" applyFont="1" applyBorder="1">
      <alignment vertical="center"/>
    </xf>
    <xf numFmtId="0" fontId="27" fillId="0" borderId="48" xfId="0" applyFont="1" applyBorder="1">
      <alignment vertical="center"/>
    </xf>
    <xf numFmtId="0" fontId="27" fillId="0" borderId="53" xfId="0" applyFont="1" applyBorder="1">
      <alignment vertical="center"/>
    </xf>
    <xf numFmtId="0" fontId="26" fillId="0" borderId="49" xfId="0" applyFont="1" applyBorder="1">
      <alignment vertical="center"/>
    </xf>
    <xf numFmtId="0" fontId="27" fillId="0" borderId="49" xfId="0" applyFont="1" applyBorder="1">
      <alignment vertical="center"/>
    </xf>
    <xf numFmtId="0" fontId="27" fillId="0" borderId="56" xfId="0" applyFont="1" applyBorder="1">
      <alignment vertical="center"/>
    </xf>
    <xf numFmtId="0" fontId="28" fillId="10" borderId="20" xfId="0" applyFont="1" applyFill="1" applyBorder="1" applyAlignment="1">
      <alignment horizontal="center" vertical="center" wrapText="1"/>
    </xf>
    <xf numFmtId="177" fontId="26" fillId="0" borderId="64" xfId="1" applyNumberFormat="1" applyFont="1" applyBorder="1">
      <alignment vertical="center"/>
    </xf>
    <xf numFmtId="177" fontId="26" fillId="0" borderId="65" xfId="1" applyNumberFormat="1" applyFont="1" applyBorder="1">
      <alignment vertical="center"/>
    </xf>
    <xf numFmtId="177" fontId="27" fillId="0" borderId="65" xfId="1" applyNumberFormat="1" applyFont="1" applyBorder="1">
      <alignment vertical="center"/>
    </xf>
    <xf numFmtId="0" fontId="26" fillId="0" borderId="65" xfId="0" applyFont="1" applyBorder="1">
      <alignment vertical="center"/>
    </xf>
    <xf numFmtId="0" fontId="26" fillId="0" borderId="66" xfId="0" applyFont="1" applyBorder="1">
      <alignment vertical="center"/>
    </xf>
    <xf numFmtId="177" fontId="26" fillId="0" borderId="67" xfId="1" applyNumberFormat="1" applyFont="1" applyBorder="1">
      <alignment vertical="center"/>
    </xf>
    <xf numFmtId="43" fontId="27" fillId="0" borderId="67" xfId="1" applyFont="1" applyBorder="1">
      <alignment vertical="center"/>
    </xf>
    <xf numFmtId="43" fontId="27" fillId="0" borderId="65" xfId="1" applyFont="1" applyBorder="1">
      <alignment vertical="center"/>
    </xf>
    <xf numFmtId="43" fontId="27" fillId="0" borderId="66" xfId="1" applyFont="1" applyBorder="1">
      <alignment vertical="center"/>
    </xf>
    <xf numFmtId="43" fontId="27" fillId="0" borderId="6" xfId="0" applyNumberFormat="1" applyFont="1" applyBorder="1">
      <alignment vertical="center"/>
    </xf>
    <xf numFmtId="176" fontId="27" fillId="0" borderId="7" xfId="2" applyNumberFormat="1" applyFont="1" applyBorder="1">
      <alignment vertical="center"/>
    </xf>
    <xf numFmtId="176" fontId="27" fillId="0" borderId="8" xfId="2" applyNumberFormat="1" applyFont="1" applyBorder="1">
      <alignment vertical="center"/>
    </xf>
    <xf numFmtId="9" fontId="15" fillId="0" borderId="19" xfId="2" applyFont="1" applyBorder="1">
      <alignment vertical="center"/>
    </xf>
    <xf numFmtId="9" fontId="15" fillId="0" borderId="1" xfId="2" applyFont="1" applyBorder="1">
      <alignment vertical="center"/>
    </xf>
    <xf numFmtId="9" fontId="15" fillId="0" borderId="16" xfId="2" applyFont="1" applyBorder="1">
      <alignment vertical="center"/>
    </xf>
    <xf numFmtId="9" fontId="15" fillId="0" borderId="68" xfId="2" applyFont="1" applyBorder="1">
      <alignment vertical="center"/>
    </xf>
    <xf numFmtId="176" fontId="15" fillId="8" borderId="17" xfId="2" applyNumberFormat="1" applyFont="1" applyFill="1" applyBorder="1">
      <alignment vertical="center"/>
    </xf>
    <xf numFmtId="176" fontId="15" fillId="8" borderId="11" xfId="2" applyNumberFormat="1" applyFont="1" applyFill="1" applyBorder="1">
      <alignment vertical="center"/>
    </xf>
    <xf numFmtId="0" fontId="21" fillId="10" borderId="72" xfId="0" applyFont="1" applyFill="1" applyBorder="1" applyAlignment="1">
      <alignment horizontal="center" vertical="center" wrapText="1"/>
    </xf>
    <xf numFmtId="0" fontId="15" fillId="0" borderId="77" xfId="0" applyFont="1" applyBorder="1">
      <alignment vertical="center"/>
    </xf>
    <xf numFmtId="0" fontId="15" fillId="0" borderId="79" xfId="0" applyFont="1" applyBorder="1">
      <alignment vertical="center"/>
    </xf>
    <xf numFmtId="0" fontId="15" fillId="0" borderId="80" xfId="0" applyFont="1" applyBorder="1">
      <alignment vertical="center"/>
    </xf>
    <xf numFmtId="176" fontId="15" fillId="6" borderId="81" xfId="2" applyNumberFormat="1" applyFont="1" applyFill="1" applyBorder="1">
      <alignment vertical="center"/>
    </xf>
    <xf numFmtId="176" fontId="15" fillId="9" borderId="82" xfId="2" applyNumberFormat="1" applyFont="1" applyFill="1" applyBorder="1">
      <alignment vertical="center"/>
    </xf>
    <xf numFmtId="176" fontId="15" fillId="5" borderId="83" xfId="2" applyNumberFormat="1" applyFont="1" applyFill="1" applyBorder="1">
      <alignment vertical="center"/>
    </xf>
    <xf numFmtId="0" fontId="13" fillId="0" borderId="84" xfId="0" applyFont="1" applyBorder="1" applyAlignment="1">
      <alignment vertical="center" wrapText="1"/>
    </xf>
    <xf numFmtId="9" fontId="15" fillId="0" borderId="85" xfId="2" applyFont="1" applyBorder="1">
      <alignment vertical="center"/>
    </xf>
    <xf numFmtId="176" fontId="15" fillId="8" borderId="86" xfId="2" applyNumberFormat="1" applyFont="1" applyFill="1" applyBorder="1">
      <alignment vertical="center"/>
    </xf>
    <xf numFmtId="9" fontId="15" fillId="0" borderId="81" xfId="2" applyFont="1" applyBorder="1">
      <alignment vertical="center"/>
    </xf>
    <xf numFmtId="0" fontId="23" fillId="0" borderId="0" xfId="0" applyFont="1" applyAlignment="1">
      <alignment horizontal="left" vertical="center" wrapText="1"/>
    </xf>
    <xf numFmtId="0" fontId="16" fillId="0" borderId="10" xfId="0" applyFont="1" applyFill="1" applyBorder="1" applyAlignment="1">
      <alignment horizontal="center" vertical="center"/>
    </xf>
    <xf numFmtId="0" fontId="16" fillId="0" borderId="50" xfId="0" applyFont="1" applyFill="1" applyBorder="1" applyAlignment="1">
      <alignment horizontal="center" vertical="center"/>
    </xf>
    <xf numFmtId="177" fontId="4" fillId="2" borderId="20" xfId="1" applyNumberFormat="1" applyFont="1" applyFill="1" applyBorder="1" applyAlignment="1">
      <alignment horizontal="center" vertical="center"/>
    </xf>
    <xf numFmtId="177" fontId="4" fillId="2" borderId="20" xfId="1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78" xfId="0" applyFont="1" applyBorder="1" applyAlignment="1" applyProtection="1">
      <alignment horizontal="center" vertical="center"/>
      <protection locked="0"/>
    </xf>
    <xf numFmtId="0" fontId="22" fillId="0" borderId="83" xfId="0" applyFont="1" applyBorder="1" applyAlignment="1" applyProtection="1">
      <alignment horizontal="center" vertical="center"/>
      <protection locked="0"/>
    </xf>
    <xf numFmtId="0" fontId="22" fillId="0" borderId="87" xfId="0" applyFont="1" applyBorder="1" applyAlignment="1" applyProtection="1">
      <alignment horizontal="center" vertical="center"/>
      <protection locked="0"/>
    </xf>
    <xf numFmtId="0" fontId="21" fillId="10" borderId="32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1" fillId="10" borderId="30" xfId="0" applyFont="1" applyFill="1" applyBorder="1" applyAlignment="1">
      <alignment horizontal="center" vertical="center"/>
    </xf>
    <xf numFmtId="0" fontId="21" fillId="10" borderId="33" xfId="0" applyFont="1" applyFill="1" applyBorder="1" applyAlignment="1">
      <alignment horizontal="center" vertical="center"/>
    </xf>
    <xf numFmtId="14" fontId="16" fillId="0" borderId="9" xfId="0" applyNumberFormat="1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3" xfId="0" applyFont="1" applyFill="1" applyBorder="1" applyAlignment="1">
      <alignment horizontal="right" vertical="center"/>
    </xf>
    <xf numFmtId="0" fontId="16" fillId="0" borderId="4" xfId="0" applyFont="1" applyFill="1" applyBorder="1" applyAlignment="1">
      <alignment horizontal="right" vertical="center"/>
    </xf>
    <xf numFmtId="0" fontId="21" fillId="10" borderId="31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73" xfId="0" applyFont="1" applyFill="1" applyBorder="1" applyAlignment="1">
      <alignment horizontal="center" vertical="center"/>
    </xf>
    <xf numFmtId="0" fontId="21" fillId="10" borderId="74" xfId="0" applyFont="1" applyFill="1" applyBorder="1" applyAlignment="1">
      <alignment horizontal="center" vertical="center"/>
    </xf>
    <xf numFmtId="0" fontId="21" fillId="10" borderId="71" xfId="0" applyFont="1" applyFill="1" applyBorder="1" applyAlignment="1">
      <alignment horizontal="center" vertical="center"/>
    </xf>
    <xf numFmtId="0" fontId="21" fillId="10" borderId="75" xfId="0" applyFont="1" applyFill="1" applyBorder="1" applyAlignment="1">
      <alignment horizontal="center" vertical="center"/>
    </xf>
    <xf numFmtId="0" fontId="21" fillId="10" borderId="72" xfId="0" applyFont="1" applyFill="1" applyBorder="1" applyAlignment="1">
      <alignment horizontal="center" vertical="center" wrapText="1"/>
    </xf>
    <xf numFmtId="0" fontId="21" fillId="10" borderId="69" xfId="0" applyFont="1" applyFill="1" applyBorder="1" applyAlignment="1">
      <alignment horizontal="center" vertical="center"/>
    </xf>
    <xf numFmtId="0" fontId="21" fillId="10" borderId="70" xfId="0" applyFont="1" applyFill="1" applyBorder="1" applyAlignment="1">
      <alignment horizontal="center" vertical="center"/>
    </xf>
    <xf numFmtId="0" fontId="21" fillId="10" borderId="7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8" fillId="10" borderId="20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left" vertical="center"/>
    </xf>
    <xf numFmtId="0" fontId="28" fillId="10" borderId="20" xfId="0" applyFont="1" applyFill="1" applyBorder="1" applyAlignment="1">
      <alignment horizontal="center" vertical="center" wrapText="1"/>
    </xf>
  </cellXfs>
  <cellStyles count="4">
    <cellStyle name="百分比" xfId="2" builtinId="5"/>
    <cellStyle name="常规" xfId="0" builtinId="0"/>
    <cellStyle name="超链接" xfId="3" builtinId="8"/>
    <cellStyle name="千位分隔" xfId="1" builtinId="3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 tint="-0.34998626667073579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0" tint="-0.34998626667073579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0" tint="-0.34998626667073579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US" altLang="zh-C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B2022/E2021 </a:t>
            </a:r>
            <a:r>
              <a:rPr lang="zh-CN" alt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毛利影响因素分析</a:t>
            </a:r>
          </a:p>
        </cx:rich>
      </cx:tx>
    </cx:title>
    <cx:plotArea>
      <cx:plotAreaRegion>
        <cx:series layoutId="waterfall" uniqueId="{2F516A51-1EB6-4E28-AC96-4E1FA48EECFA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US" altLang="zh-C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E2021/A2020 </a:t>
            </a:r>
            <a:r>
              <a:rPr lang="zh-CN" alt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毛利影响因素分析</a:t>
            </a:r>
          </a:p>
        </cx:rich>
      </cx:tx>
    </cx:title>
    <cx:plotArea>
      <cx:plotAreaRegion>
        <cx:series layoutId="waterfall" uniqueId="{DD50957C-8C48-4265-BE8D-67DACF53F955}">
          <cx:dataLabels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670560</xdr:colOff>
      <xdr:row>20</xdr:row>
      <xdr:rowOff>110490</xdr:rowOff>
    </xdr:from>
    <xdr:to>
      <xdr:col>13</xdr:col>
      <xdr:colOff>960120</xdr:colOff>
      <xdr:row>34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83659F57-4B90-49AE-A9CC-9C365251E5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510" y="3812540"/>
              <a:ext cx="4702810" cy="244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815340</xdr:colOff>
      <xdr:row>20</xdr:row>
      <xdr:rowOff>95250</xdr:rowOff>
    </xdr:from>
    <xdr:to>
      <xdr:col>7</xdr:col>
      <xdr:colOff>548640</xdr:colOff>
      <xdr:row>34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043298C8-C190-4AD9-9EA3-4871AC0C60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" y="3797300"/>
              <a:ext cx="4667250" cy="247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5198-F03D-4F8B-A474-D4648733AB4E}">
  <dimension ref="B2:L39"/>
  <sheetViews>
    <sheetView showGridLines="0" topLeftCell="A25" workbookViewId="0">
      <selection activeCell="A11" sqref="A11"/>
    </sheetView>
  </sheetViews>
  <sheetFormatPr defaultColWidth="8.9140625" defaultRowHeight="16.5" x14ac:dyDescent="0.3"/>
  <cols>
    <col min="1" max="1" width="8.9140625" style="120"/>
    <col min="2" max="2" width="4.08203125" style="120" customWidth="1"/>
    <col min="3" max="3" width="36.4140625" style="120" customWidth="1"/>
    <col min="4" max="4" width="33.25" style="120" customWidth="1"/>
    <col min="5" max="5" width="5.75" style="120" customWidth="1"/>
    <col min="6" max="16384" width="8.9140625" style="120"/>
  </cols>
  <sheetData>
    <row r="2" spans="2:12" x14ac:dyDescent="0.3">
      <c r="B2" s="253" t="s">
        <v>172</v>
      </c>
      <c r="C2" s="254"/>
      <c r="D2" s="188">
        <v>44499</v>
      </c>
    </row>
    <row r="4" spans="2:12" x14ac:dyDescent="0.3">
      <c r="B4" s="120" t="s">
        <v>170</v>
      </c>
    </row>
    <row r="5" spans="2:12" x14ac:dyDescent="0.3">
      <c r="B5" s="120" t="s">
        <v>169</v>
      </c>
    </row>
    <row r="7" spans="2:12" x14ac:dyDescent="0.3">
      <c r="B7" s="120" t="s">
        <v>198</v>
      </c>
    </row>
    <row r="8" spans="2:12" x14ac:dyDescent="0.3">
      <c r="B8" s="120" t="s">
        <v>184</v>
      </c>
    </row>
    <row r="9" spans="2:12" x14ac:dyDescent="0.3">
      <c r="C9" s="121" t="s">
        <v>181</v>
      </c>
    </row>
    <row r="10" spans="2:12" x14ac:dyDescent="0.3">
      <c r="C10" s="87" t="s">
        <v>187</v>
      </c>
    </row>
    <row r="11" spans="2:12" ht="39.65" customHeight="1" x14ac:dyDescent="0.3">
      <c r="C11" s="252" t="s">
        <v>182</v>
      </c>
      <c r="D11" s="252"/>
      <c r="E11" s="252"/>
      <c r="F11" s="252"/>
      <c r="G11" s="252"/>
      <c r="H11" s="252"/>
      <c r="I11" s="252"/>
      <c r="J11" s="252"/>
      <c r="K11" s="252"/>
      <c r="L11" s="252"/>
    </row>
    <row r="12" spans="2:12" x14ac:dyDescent="0.3">
      <c r="C12" s="121" t="s">
        <v>185</v>
      </c>
    </row>
    <row r="13" spans="2:12" x14ac:dyDescent="0.3">
      <c r="C13" s="121"/>
    </row>
    <row r="14" spans="2:12" x14ac:dyDescent="0.3">
      <c r="B14" s="120" t="s">
        <v>186</v>
      </c>
    </row>
    <row r="15" spans="2:12" x14ac:dyDescent="0.3">
      <c r="C15" s="121" t="s">
        <v>183</v>
      </c>
    </row>
    <row r="16" spans="2:12" x14ac:dyDescent="0.3">
      <c r="C16" s="121" t="s">
        <v>168</v>
      </c>
    </row>
    <row r="17" spans="2:12" s="87" customFormat="1" ht="14.5" x14ac:dyDescent="0.3">
      <c r="C17" s="87" t="s">
        <v>187</v>
      </c>
    </row>
    <row r="18" spans="2:12" s="87" customFormat="1" ht="14.5" x14ac:dyDescent="0.3">
      <c r="C18" s="252" t="s">
        <v>188</v>
      </c>
      <c r="D18" s="252"/>
      <c r="E18" s="252"/>
      <c r="F18" s="252"/>
      <c r="G18" s="252"/>
      <c r="H18" s="252"/>
      <c r="I18" s="252"/>
      <c r="J18" s="252"/>
      <c r="K18" s="252"/>
      <c r="L18" s="252"/>
    </row>
    <row r="19" spans="2:12" x14ac:dyDescent="0.3">
      <c r="C19" s="123"/>
      <c r="D19" s="123"/>
      <c r="E19" s="123"/>
      <c r="F19" s="123"/>
      <c r="G19" s="123"/>
      <c r="H19" s="123"/>
      <c r="I19" s="123"/>
      <c r="J19" s="123"/>
      <c r="K19" s="123"/>
      <c r="L19" s="123"/>
    </row>
    <row r="20" spans="2:12" x14ac:dyDescent="0.3">
      <c r="B20" s="120" t="s">
        <v>189</v>
      </c>
    </row>
    <row r="21" spans="2:12" x14ac:dyDescent="0.3">
      <c r="C21" s="122" t="s">
        <v>142</v>
      </c>
    </row>
    <row r="22" spans="2:12" x14ac:dyDescent="0.3">
      <c r="C22" s="122" t="s">
        <v>143</v>
      </c>
    </row>
    <row r="23" spans="2:12" x14ac:dyDescent="0.3">
      <c r="C23" s="122" t="s">
        <v>144</v>
      </c>
    </row>
    <row r="24" spans="2:12" x14ac:dyDescent="0.3">
      <c r="C24" s="122" t="s">
        <v>145</v>
      </c>
    </row>
    <row r="26" spans="2:12" x14ac:dyDescent="0.3">
      <c r="B26" s="120" t="s">
        <v>190</v>
      </c>
    </row>
    <row r="27" spans="2:12" x14ac:dyDescent="0.3">
      <c r="C27" s="122" t="s">
        <v>146</v>
      </c>
    </row>
    <row r="28" spans="2:12" x14ac:dyDescent="0.3">
      <c r="C28" s="122" t="s">
        <v>147</v>
      </c>
    </row>
    <row r="29" spans="2:12" x14ac:dyDescent="0.3">
      <c r="C29" s="122" t="s">
        <v>148</v>
      </c>
    </row>
    <row r="30" spans="2:12" x14ac:dyDescent="0.3">
      <c r="C30" s="122" t="s">
        <v>149</v>
      </c>
    </row>
    <row r="31" spans="2:12" x14ac:dyDescent="0.3">
      <c r="C31" s="121" t="s">
        <v>180</v>
      </c>
    </row>
    <row r="33" spans="2:12" x14ac:dyDescent="0.3">
      <c r="B33" s="120" t="s">
        <v>192</v>
      </c>
    </row>
    <row r="34" spans="2:12" x14ac:dyDescent="0.3">
      <c r="C34" s="121" t="s">
        <v>191</v>
      </c>
    </row>
    <row r="36" spans="2:12" x14ac:dyDescent="0.3">
      <c r="B36" s="120" t="s">
        <v>193</v>
      </c>
    </row>
    <row r="37" spans="2:12" x14ac:dyDescent="0.3">
      <c r="C37" s="121" t="s">
        <v>195</v>
      </c>
    </row>
    <row r="38" spans="2:12" x14ac:dyDescent="0.3">
      <c r="C38" s="252" t="s">
        <v>196</v>
      </c>
      <c r="D38" s="252"/>
      <c r="E38" s="252"/>
      <c r="F38" s="252"/>
      <c r="G38" s="252"/>
      <c r="H38" s="252"/>
      <c r="I38" s="252"/>
      <c r="J38" s="252"/>
      <c r="K38" s="252"/>
      <c r="L38" s="252"/>
    </row>
    <row r="39" spans="2:12" x14ac:dyDescent="0.3">
      <c r="C39" s="121" t="s">
        <v>194</v>
      </c>
    </row>
  </sheetData>
  <mergeCells count="4">
    <mergeCell ref="C38:L38"/>
    <mergeCell ref="B2:C2"/>
    <mergeCell ref="C18:L18"/>
    <mergeCell ref="C11:L11"/>
  </mergeCells>
  <phoneticPr fontId="3" type="noConversion"/>
  <hyperlinks>
    <hyperlink ref="C16" location="历年实际!A1" display="历年实际!A1" xr:uid="{2FC476D0-40D1-497D-99DA-9942B453D7A8}"/>
    <hyperlink ref="C21" location="'当年估计 渠道'!A1" display="'当年估计 渠道'!A1" xr:uid="{EF397AC7-737A-47AF-B6B1-A91C69E5E6A8}"/>
    <hyperlink ref="C22" location="'当年估计 业务员'!A1" display="'当年估计 业务员'!A1" xr:uid="{BE7A0703-FF40-496D-92F8-0A110AB36C8E}"/>
    <hyperlink ref="C23" location="'当年估计 客户'!A1" display="'当年估计 客户'!A1" xr:uid="{92C72EA4-C6A3-4391-A0A1-363ADF8C3C77}"/>
    <hyperlink ref="C24" location="'当年估计 产品'!A1" display="'当年估计 产品'!A1" xr:uid="{40B536FD-B952-4F7B-B740-34EC01919FD8}"/>
    <hyperlink ref="C27" location="'下年预算 渠道'!A1" display="'下年预算 渠道'!A1" xr:uid="{3E51CD76-86DD-43F5-8EDB-5D7059467E41}"/>
    <hyperlink ref="C28" location="'下年预算 业务员'!A1" display="'下年预算 业务员'!A1" xr:uid="{643DCAF5-848C-426F-97D7-5375E494B668}"/>
    <hyperlink ref="C29" location="'下年预算 客户'!A1" display="'下年预算 客户'!A1" xr:uid="{5DB83086-15F4-4E33-963B-8CA38D97A369}"/>
    <hyperlink ref="C30" location="'下年预算 产品'!A1" display="'下年预算 产品'!A1" xr:uid="{56C1DA37-9318-4A71-B70D-9919EC75EA07}"/>
    <hyperlink ref="C31" location="下年预算分月!A1" display="下年预算分月!A1" xr:uid="{8F57EF0F-21CB-4483-A54A-19D082452426}"/>
    <hyperlink ref="C9" location="上年标准成本!A1" display="上年标准成本!A1" xr:uid="{5F3AF40C-A592-4BE0-9CBA-7822BFBB6AFD}"/>
    <hyperlink ref="C12" location="上年实际!A1" display="上年实际!A1" xr:uid="{93893271-6797-4878-BA86-6CF5F10322E4}"/>
    <hyperlink ref="C15" location="当年标准成本!A1" display="当年标准成本!A1" xr:uid="{7F9B6666-8189-45F5-B7BE-B39336A08771}"/>
    <hyperlink ref="C34" location="预算校准!A1" display="预算校准!A1" xr:uid="{EAFF9410-8627-4144-A057-D470F311A575}"/>
    <hyperlink ref="C37" location="销售对比分析底稿!A1" display="销售对比分析底稿!A1" xr:uid="{4B4F04FA-5FCC-4C35-9D54-2EEBFE25FAEC}"/>
    <hyperlink ref="C39" location="产品销售及毛利影响因素分析!A1" display="产品销售及毛利影响因素分析!A1" xr:uid="{66FB636E-4A54-40F6-9CFE-36FB097BD13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15B3-DBF3-4FD5-AC90-097B615404AA}">
  <dimension ref="A1:K8"/>
  <sheetViews>
    <sheetView workbookViewId="0">
      <selection activeCell="C17" sqref="C17"/>
    </sheetView>
  </sheetViews>
  <sheetFormatPr defaultRowHeight="14" x14ac:dyDescent="0.3"/>
  <cols>
    <col min="7" max="7" width="11.6640625" bestFit="1" customWidth="1"/>
    <col min="8" max="8" width="16.08203125" bestFit="1" customWidth="1"/>
  </cols>
  <sheetData>
    <row r="1" spans="1:11" x14ac:dyDescent="0.3">
      <c r="A1" s="3" t="s">
        <v>19</v>
      </c>
      <c r="B1" s="2" t="s">
        <v>18</v>
      </c>
      <c r="C1" s="2" t="s">
        <v>17</v>
      </c>
      <c r="D1" s="2" t="s">
        <v>89</v>
      </c>
      <c r="E1" s="2" t="s">
        <v>162</v>
      </c>
      <c r="F1" s="2" t="s">
        <v>163</v>
      </c>
      <c r="G1" s="2" t="s">
        <v>165</v>
      </c>
      <c r="H1" s="2" t="s">
        <v>164</v>
      </c>
      <c r="I1" s="2" t="s">
        <v>166</v>
      </c>
      <c r="K1" s="121" t="s">
        <v>197</v>
      </c>
    </row>
    <row r="2" spans="1:11" x14ac:dyDescent="0.3">
      <c r="A2" t="s">
        <v>58</v>
      </c>
      <c r="B2" t="s">
        <v>61</v>
      </c>
      <c r="C2" t="s">
        <v>6</v>
      </c>
      <c r="D2" t="s">
        <v>91</v>
      </c>
      <c r="E2">
        <v>13</v>
      </c>
      <c r="I2" s="160">
        <f t="shared" ref="I2:I4" si="0">SUM(E2:H2)</f>
        <v>13</v>
      </c>
    </row>
    <row r="3" spans="1:11" x14ac:dyDescent="0.3">
      <c r="A3" t="s">
        <v>59</v>
      </c>
      <c r="B3" t="s">
        <v>62</v>
      </c>
      <c r="C3" t="s">
        <v>3</v>
      </c>
      <c r="D3" t="s">
        <v>93</v>
      </c>
      <c r="F3">
        <v>10</v>
      </c>
      <c r="G3">
        <v>1</v>
      </c>
      <c r="H3">
        <v>2</v>
      </c>
      <c r="I3" s="160">
        <f t="shared" si="0"/>
        <v>13</v>
      </c>
    </row>
    <row r="4" spans="1:11" x14ac:dyDescent="0.3">
      <c r="A4" t="s">
        <v>60</v>
      </c>
      <c r="B4" t="s">
        <v>63</v>
      </c>
      <c r="C4" t="s">
        <v>0</v>
      </c>
      <c r="D4" t="s">
        <v>93</v>
      </c>
      <c r="F4">
        <v>5</v>
      </c>
      <c r="G4">
        <v>1</v>
      </c>
      <c r="H4">
        <v>3</v>
      </c>
      <c r="I4" s="160">
        <f t="shared" si="0"/>
        <v>9</v>
      </c>
    </row>
    <row r="5" spans="1:11" x14ac:dyDescent="0.3">
      <c r="A5" t="s">
        <v>58</v>
      </c>
      <c r="B5" t="s">
        <v>61</v>
      </c>
      <c r="C5" t="s">
        <v>6</v>
      </c>
      <c r="D5" t="s">
        <v>93</v>
      </c>
      <c r="F5">
        <v>9</v>
      </c>
      <c r="G5">
        <v>2</v>
      </c>
      <c r="H5">
        <v>3</v>
      </c>
      <c r="I5" s="160">
        <f>SUM(E5:H5)</f>
        <v>14</v>
      </c>
    </row>
    <row r="6" spans="1:11" x14ac:dyDescent="0.3">
      <c r="A6" t="s">
        <v>59</v>
      </c>
      <c r="B6" t="s">
        <v>62</v>
      </c>
      <c r="C6" t="s">
        <v>3</v>
      </c>
      <c r="D6" t="s">
        <v>93</v>
      </c>
      <c r="F6">
        <v>9</v>
      </c>
      <c r="H6">
        <v>5</v>
      </c>
      <c r="I6" s="160">
        <f t="shared" ref="I6:I8" si="1">SUM(E6:H6)</f>
        <v>14</v>
      </c>
    </row>
    <row r="7" spans="1:11" x14ac:dyDescent="0.3">
      <c r="A7" t="s">
        <v>60</v>
      </c>
      <c r="B7" t="s">
        <v>63</v>
      </c>
      <c r="C7" t="s">
        <v>0</v>
      </c>
      <c r="D7" t="s">
        <v>93</v>
      </c>
      <c r="F7">
        <v>4</v>
      </c>
      <c r="G7">
        <v>2</v>
      </c>
      <c r="H7">
        <v>1</v>
      </c>
      <c r="I7" s="160">
        <f t="shared" si="1"/>
        <v>7</v>
      </c>
    </row>
    <row r="8" spans="1:11" x14ac:dyDescent="0.3">
      <c r="A8" t="s">
        <v>97</v>
      </c>
      <c r="B8" t="s">
        <v>99</v>
      </c>
      <c r="C8" t="s">
        <v>95</v>
      </c>
      <c r="D8" t="s">
        <v>101</v>
      </c>
      <c r="F8">
        <v>80</v>
      </c>
      <c r="G8">
        <v>30</v>
      </c>
      <c r="H8">
        <v>10</v>
      </c>
      <c r="I8" s="160">
        <f t="shared" si="1"/>
        <v>120</v>
      </c>
    </row>
  </sheetData>
  <phoneticPr fontId="3" type="noConversion"/>
  <hyperlinks>
    <hyperlink ref="K1" location="主页!A1" display="主页!A1" xr:uid="{E6FE10A5-CADE-4FC7-A4D1-F95AEB13CD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390C-5EEF-48CB-84BD-8E6520559A92}">
  <dimension ref="A1:Z999"/>
  <sheetViews>
    <sheetView showGridLines="0" topLeftCell="I1" workbookViewId="0">
      <pane ySplit="1" topLeftCell="A2" activePane="bottomLeft" state="frozenSplit"/>
      <selection pane="bottomLeft" activeCell="L19" sqref="L19"/>
    </sheetView>
  </sheetViews>
  <sheetFormatPr defaultRowHeight="14" x14ac:dyDescent="0.3"/>
  <cols>
    <col min="1" max="1" width="10" bestFit="1" customWidth="1"/>
    <col min="3" max="3" width="10" style="118" bestFit="1" customWidth="1"/>
    <col min="4" max="6" width="8.9140625" style="118"/>
    <col min="7" max="8" width="9" style="118" bestFit="1" customWidth="1"/>
    <col min="9" max="10" width="9" bestFit="1" customWidth="1"/>
    <col min="14" max="14" width="9.58203125" bestFit="1" customWidth="1"/>
    <col min="16" max="16" width="16.08203125" bestFit="1" customWidth="1"/>
    <col min="18" max="18" width="16.08203125" bestFit="1" customWidth="1"/>
    <col min="20" max="20" width="9.25" customWidth="1"/>
    <col min="21" max="21" width="9.58203125" bestFit="1" customWidth="1"/>
    <col min="22" max="22" width="9" bestFit="1" customWidth="1"/>
    <col min="23" max="23" width="9" style="1" bestFit="1" customWidth="1"/>
    <col min="24" max="24" width="9.4140625" style="6" bestFit="1" customWidth="1"/>
  </cols>
  <sheetData>
    <row r="1" spans="1:26" x14ac:dyDescent="0.3">
      <c r="A1" s="4" t="s">
        <v>65</v>
      </c>
      <c r="B1" s="119" t="s">
        <v>64</v>
      </c>
      <c r="C1" s="116" t="s">
        <v>66</v>
      </c>
      <c r="D1" s="116" t="s">
        <v>25</v>
      </c>
      <c r="E1" s="115" t="s">
        <v>26</v>
      </c>
      <c r="F1" s="115" t="s">
        <v>39</v>
      </c>
      <c r="G1" s="115" t="s">
        <v>29</v>
      </c>
      <c r="H1" s="115" t="s">
        <v>30</v>
      </c>
      <c r="I1" s="115" t="s">
        <v>28</v>
      </c>
      <c r="J1" s="115" t="s">
        <v>27</v>
      </c>
      <c r="K1" s="115" t="s">
        <v>17</v>
      </c>
      <c r="L1" s="116" t="s">
        <v>19</v>
      </c>
      <c r="M1" s="115" t="s">
        <v>18</v>
      </c>
      <c r="N1" s="115" t="s">
        <v>89</v>
      </c>
      <c r="O1" s="115" t="s">
        <v>16</v>
      </c>
      <c r="P1" s="115" t="s">
        <v>150</v>
      </c>
      <c r="Q1" s="115" t="s">
        <v>14</v>
      </c>
      <c r="R1" s="115" t="s">
        <v>167</v>
      </c>
      <c r="S1" s="115" t="s">
        <v>15</v>
      </c>
      <c r="T1" s="115" t="s">
        <v>12</v>
      </c>
      <c r="U1" s="115" t="s">
        <v>11</v>
      </c>
      <c r="V1" s="115" t="s">
        <v>10</v>
      </c>
      <c r="W1" s="117" t="s">
        <v>9</v>
      </c>
      <c r="X1" s="115" t="s">
        <v>36</v>
      </c>
      <c r="Z1" s="121" t="s">
        <v>197</v>
      </c>
    </row>
    <row r="2" spans="1:26" x14ac:dyDescent="0.3">
      <c r="A2" s="164">
        <v>44211</v>
      </c>
      <c r="B2" s="129" t="s">
        <v>67</v>
      </c>
      <c r="C2" s="165">
        <v>43861</v>
      </c>
      <c r="D2" s="128" t="s">
        <v>40</v>
      </c>
      <c r="E2" s="128" t="s">
        <v>43</v>
      </c>
      <c r="F2" s="166" t="s">
        <v>160</v>
      </c>
      <c r="G2" s="127" t="s">
        <v>46</v>
      </c>
      <c r="H2" s="127" t="s">
        <v>49</v>
      </c>
      <c r="I2" s="127" t="s">
        <v>52</v>
      </c>
      <c r="J2" s="127" t="s">
        <v>55</v>
      </c>
      <c r="K2" s="128" t="s">
        <v>6</v>
      </c>
      <c r="L2" s="128" t="s">
        <v>58</v>
      </c>
      <c r="M2" s="128" t="s">
        <v>61</v>
      </c>
      <c r="N2" s="128" t="s">
        <v>91</v>
      </c>
      <c r="O2" s="128">
        <v>98</v>
      </c>
      <c r="P2" s="127">
        <v>1500</v>
      </c>
      <c r="Q2" s="167">
        <v>0.13</v>
      </c>
      <c r="R2" s="126">
        <f>IFERROR(P2/O2,"")</f>
        <v>15.306122448979592</v>
      </c>
      <c r="S2" s="163">
        <f>IFERROR(R2*(1+Q2),"")</f>
        <v>17.295918367346935</v>
      </c>
      <c r="T2" s="160">
        <f>IFERROR(INDEX(上年标准成本!$I:$I,MATCH(K2,上年标准成本!$C:$C,0),1),"")</f>
        <v>13</v>
      </c>
      <c r="U2" s="126">
        <f>IFERROR(O2*T2,"")</f>
        <v>1274</v>
      </c>
      <c r="V2" s="126">
        <f>IFERROR(P2-U2,"")</f>
        <v>226</v>
      </c>
      <c r="W2" s="124">
        <f>IFERROR(V2/P2,"")</f>
        <v>0.15066666666666667</v>
      </c>
      <c r="X2" s="125">
        <f t="shared" ref="X2:X65" si="0">IFERROR(IF(W2/SUM(W:W)=0,"",W2/SUM(W:W)),"")</f>
        <v>0.1623174527172612</v>
      </c>
    </row>
    <row r="3" spans="1:26" x14ac:dyDescent="0.3">
      <c r="A3" s="164">
        <v>44286</v>
      </c>
      <c r="B3" s="129" t="s">
        <v>68</v>
      </c>
      <c r="C3" s="165">
        <v>43951</v>
      </c>
      <c r="D3" s="128" t="s">
        <v>41</v>
      </c>
      <c r="E3" s="128" t="s">
        <v>44</v>
      </c>
      <c r="F3" s="166" t="s">
        <v>161</v>
      </c>
      <c r="G3" s="127" t="s">
        <v>47</v>
      </c>
      <c r="H3" s="127" t="s">
        <v>50</v>
      </c>
      <c r="I3" s="127" t="s">
        <v>53</v>
      </c>
      <c r="J3" s="127" t="s">
        <v>56</v>
      </c>
      <c r="K3" s="128" t="s">
        <v>3</v>
      </c>
      <c r="L3" s="128" t="s">
        <v>59</v>
      </c>
      <c r="M3" s="128" t="s">
        <v>62</v>
      </c>
      <c r="N3" s="128" t="s">
        <v>93</v>
      </c>
      <c r="O3" s="128">
        <v>121</v>
      </c>
      <c r="P3" s="127">
        <v>1980</v>
      </c>
      <c r="Q3" s="167">
        <v>0.13</v>
      </c>
      <c r="R3" s="126">
        <f t="shared" ref="R3:R66" si="1">IFERROR(P3/O3,"")</f>
        <v>16.363636363636363</v>
      </c>
      <c r="S3" s="163">
        <f t="shared" ref="S3:S66" si="2">IFERROR(R3*(1+Q3),"")</f>
        <v>18.490909090909089</v>
      </c>
      <c r="T3" s="160">
        <f>IFERROR(INDEX(上年标准成本!$I:$I,MATCH(K3,上年标准成本!$C:$C,0),1),"")</f>
        <v>13</v>
      </c>
      <c r="U3" s="126">
        <f t="shared" ref="U3:U66" si="3">IFERROR(O3*T3,"")</f>
        <v>1573</v>
      </c>
      <c r="V3" s="126">
        <f t="shared" ref="V3:V66" si="4">IFERROR(P3-U3,"")</f>
        <v>407</v>
      </c>
      <c r="W3" s="124">
        <f t="shared" ref="W3:W66" si="5">IFERROR(V3/P3,"")</f>
        <v>0.20555555555555555</v>
      </c>
      <c r="X3" s="125">
        <f t="shared" si="0"/>
        <v>0.22145080201101269</v>
      </c>
    </row>
    <row r="4" spans="1:26" x14ac:dyDescent="0.3">
      <c r="A4" s="164">
        <v>44345</v>
      </c>
      <c r="B4" s="129" t="s">
        <v>69</v>
      </c>
      <c r="C4" s="165">
        <v>43981</v>
      </c>
      <c r="D4" s="128" t="s">
        <v>42</v>
      </c>
      <c r="E4" s="128" t="s">
        <v>45</v>
      </c>
      <c r="F4" s="166" t="s">
        <v>159</v>
      </c>
      <c r="G4" s="127" t="s">
        <v>48</v>
      </c>
      <c r="H4" s="127" t="s">
        <v>51</v>
      </c>
      <c r="I4" s="127" t="s">
        <v>54</v>
      </c>
      <c r="J4" s="127" t="s">
        <v>57</v>
      </c>
      <c r="K4" s="128" t="s">
        <v>0</v>
      </c>
      <c r="L4" s="128" t="s">
        <v>60</v>
      </c>
      <c r="M4" s="128" t="s">
        <v>63</v>
      </c>
      <c r="N4" s="128" t="s">
        <v>93</v>
      </c>
      <c r="O4" s="128">
        <v>88</v>
      </c>
      <c r="P4" s="127">
        <v>1000</v>
      </c>
      <c r="Q4" s="167">
        <v>0.13</v>
      </c>
      <c r="R4" s="126">
        <f t="shared" si="1"/>
        <v>11.363636363636363</v>
      </c>
      <c r="S4" s="163">
        <f t="shared" si="2"/>
        <v>12.84090909090909</v>
      </c>
      <c r="T4" s="160">
        <f>IFERROR(INDEX(上年标准成本!$I:$I,MATCH(K4,上年标准成本!$C:$C,0),1),"")</f>
        <v>9</v>
      </c>
      <c r="U4" s="126">
        <f t="shared" si="3"/>
        <v>792</v>
      </c>
      <c r="V4" s="126">
        <f t="shared" si="4"/>
        <v>208</v>
      </c>
      <c r="W4" s="124">
        <f t="shared" si="5"/>
        <v>0.20799999999999999</v>
      </c>
      <c r="X4" s="125">
        <f t="shared" si="0"/>
        <v>0.2240842710079004</v>
      </c>
    </row>
    <row r="5" spans="1:26" x14ac:dyDescent="0.3">
      <c r="A5" s="164">
        <v>44345</v>
      </c>
      <c r="B5" s="129" t="s">
        <v>69</v>
      </c>
      <c r="C5" s="165">
        <v>43981</v>
      </c>
      <c r="D5" s="128" t="s">
        <v>42</v>
      </c>
      <c r="E5" s="128" t="s">
        <v>45</v>
      </c>
      <c r="F5" s="166" t="s">
        <v>161</v>
      </c>
      <c r="G5" s="127" t="s">
        <v>48</v>
      </c>
      <c r="H5" s="127" t="s">
        <v>51</v>
      </c>
      <c r="I5" s="127" t="s">
        <v>54</v>
      </c>
      <c r="J5" s="127" t="s">
        <v>57</v>
      </c>
      <c r="K5" s="128" t="s">
        <v>95</v>
      </c>
      <c r="L5" s="128" t="s">
        <v>97</v>
      </c>
      <c r="M5" s="128" t="s">
        <v>99</v>
      </c>
      <c r="N5" s="128" t="s">
        <v>101</v>
      </c>
      <c r="O5" s="128">
        <v>3</v>
      </c>
      <c r="P5" s="127">
        <v>566.03773584905662</v>
      </c>
      <c r="Q5" s="167">
        <v>0.06</v>
      </c>
      <c r="R5" s="126">
        <f t="shared" si="1"/>
        <v>188.67924528301887</v>
      </c>
      <c r="S5" s="163">
        <f t="shared" si="2"/>
        <v>200.00000000000003</v>
      </c>
      <c r="T5" s="160">
        <f>IFERROR(INDEX(上年标准成本!$I:$I,MATCH(K5,上年标准成本!$C:$C,0),1),"")</f>
        <v>120</v>
      </c>
      <c r="U5" s="126">
        <f t="shared" si="3"/>
        <v>360</v>
      </c>
      <c r="V5" s="126">
        <f t="shared" si="4"/>
        <v>206.03773584905662</v>
      </c>
      <c r="W5" s="124">
        <f t="shared" si="5"/>
        <v>0.36399999999999999</v>
      </c>
      <c r="X5" s="125">
        <f t="shared" si="0"/>
        <v>0.39214747426382573</v>
      </c>
    </row>
    <row r="6" spans="1:26" x14ac:dyDescent="0.3">
      <c r="A6" s="164"/>
      <c r="B6" s="129"/>
      <c r="C6" s="165"/>
      <c r="D6" s="128"/>
      <c r="E6" s="128"/>
      <c r="F6" s="166"/>
      <c r="G6" s="127"/>
      <c r="H6" s="127"/>
      <c r="I6" s="127"/>
      <c r="J6" s="127"/>
      <c r="K6" s="128"/>
      <c r="L6" s="128"/>
      <c r="M6" s="128"/>
      <c r="N6" s="128"/>
      <c r="O6" s="128"/>
      <c r="P6" s="127"/>
      <c r="Q6" s="167"/>
      <c r="R6" s="126" t="str">
        <f t="shared" si="1"/>
        <v/>
      </c>
      <c r="S6" s="163" t="str">
        <f t="shared" si="2"/>
        <v/>
      </c>
      <c r="T6" s="160" t="str">
        <f>IFERROR(INDEX(上年标准成本!$I:$I,MATCH(K6,上年标准成本!$C:$C,0),1),"")</f>
        <v/>
      </c>
      <c r="U6" s="126" t="str">
        <f t="shared" si="3"/>
        <v/>
      </c>
      <c r="V6" s="126" t="str">
        <f t="shared" si="4"/>
        <v/>
      </c>
      <c r="W6" s="124" t="str">
        <f t="shared" si="5"/>
        <v/>
      </c>
      <c r="X6" s="125" t="str">
        <f t="shared" si="0"/>
        <v/>
      </c>
    </row>
    <row r="7" spans="1:26" x14ac:dyDescent="0.3">
      <c r="A7" s="164"/>
      <c r="B7" s="129"/>
      <c r="C7" s="165"/>
      <c r="D7" s="128"/>
      <c r="E7" s="128"/>
      <c r="F7" s="166"/>
      <c r="G7" s="127"/>
      <c r="H7" s="127"/>
      <c r="I7" s="127"/>
      <c r="J7" s="127"/>
      <c r="K7" s="128"/>
      <c r="L7" s="128"/>
      <c r="M7" s="128"/>
      <c r="N7" s="128"/>
      <c r="O7" s="128"/>
      <c r="P7" s="127"/>
      <c r="Q7" s="167"/>
      <c r="R7" s="126" t="str">
        <f t="shared" si="1"/>
        <v/>
      </c>
      <c r="S7" s="163" t="str">
        <f t="shared" si="2"/>
        <v/>
      </c>
      <c r="T7" s="160" t="str">
        <f>IFERROR(INDEX(上年标准成本!$I:$I,MATCH(K7,上年标准成本!$C:$C,0),1),"")</f>
        <v/>
      </c>
      <c r="U7" s="126" t="str">
        <f t="shared" si="3"/>
        <v/>
      </c>
      <c r="V7" s="126" t="str">
        <f t="shared" si="4"/>
        <v/>
      </c>
      <c r="W7" s="124" t="str">
        <f t="shared" si="5"/>
        <v/>
      </c>
      <c r="X7" s="125" t="str">
        <f t="shared" si="0"/>
        <v/>
      </c>
    </row>
    <row r="8" spans="1:26" x14ac:dyDescent="0.3">
      <c r="A8" s="164"/>
      <c r="B8" s="129"/>
      <c r="C8" s="165"/>
      <c r="D8" s="128"/>
      <c r="E8" s="128"/>
      <c r="F8" s="166"/>
      <c r="G8" s="127"/>
      <c r="H8" s="127"/>
      <c r="I8" s="127"/>
      <c r="J8" s="127"/>
      <c r="K8" s="128"/>
      <c r="L8" s="128"/>
      <c r="M8" s="128"/>
      <c r="N8" s="128"/>
      <c r="O8" s="128"/>
      <c r="P8" s="127"/>
      <c r="Q8" s="167"/>
      <c r="R8" s="126" t="str">
        <f t="shared" si="1"/>
        <v/>
      </c>
      <c r="S8" s="163" t="str">
        <f t="shared" si="2"/>
        <v/>
      </c>
      <c r="T8" s="160" t="str">
        <f>IFERROR(INDEX(上年标准成本!$I:$I,MATCH(K8,上年标准成本!$C:$C,0),1),"")</f>
        <v/>
      </c>
      <c r="U8" s="126" t="str">
        <f t="shared" si="3"/>
        <v/>
      </c>
      <c r="V8" s="126" t="str">
        <f t="shared" si="4"/>
        <v/>
      </c>
      <c r="W8" s="124" t="str">
        <f t="shared" si="5"/>
        <v/>
      </c>
      <c r="X8" s="125" t="str">
        <f t="shared" si="0"/>
        <v/>
      </c>
    </row>
    <row r="9" spans="1:26" x14ac:dyDescent="0.3">
      <c r="A9" s="129"/>
      <c r="B9" s="129"/>
      <c r="C9" s="128"/>
      <c r="D9" s="128"/>
      <c r="E9" s="128"/>
      <c r="F9" s="166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6" t="str">
        <f t="shared" si="1"/>
        <v/>
      </c>
      <c r="S9" s="163" t="str">
        <f t="shared" si="2"/>
        <v/>
      </c>
      <c r="T9" s="160" t="str">
        <f>IFERROR(INDEX(上年标准成本!$I:$I,MATCH(K9,上年标准成本!$C:$C,0),1),"")</f>
        <v/>
      </c>
      <c r="U9" s="126" t="str">
        <f t="shared" si="3"/>
        <v/>
      </c>
      <c r="V9" s="126" t="str">
        <f t="shared" si="4"/>
        <v/>
      </c>
      <c r="W9" s="124" t="str">
        <f t="shared" si="5"/>
        <v/>
      </c>
      <c r="X9" s="125" t="str">
        <f t="shared" si="0"/>
        <v/>
      </c>
    </row>
    <row r="10" spans="1:26" x14ac:dyDescent="0.3">
      <c r="A10" s="129"/>
      <c r="B10" s="129"/>
      <c r="C10" s="128"/>
      <c r="D10" s="128"/>
      <c r="E10" s="128"/>
      <c r="F10" s="166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6" t="str">
        <f t="shared" si="1"/>
        <v/>
      </c>
      <c r="S10" s="163" t="str">
        <f t="shared" si="2"/>
        <v/>
      </c>
      <c r="T10" s="160" t="str">
        <f>IFERROR(INDEX(上年标准成本!$I:$I,MATCH(K10,上年标准成本!$C:$C,0),1),"")</f>
        <v/>
      </c>
      <c r="U10" s="126" t="str">
        <f t="shared" si="3"/>
        <v/>
      </c>
      <c r="V10" s="126" t="str">
        <f t="shared" si="4"/>
        <v/>
      </c>
      <c r="W10" s="124" t="str">
        <f t="shared" si="5"/>
        <v/>
      </c>
      <c r="X10" s="125" t="str">
        <f t="shared" si="0"/>
        <v/>
      </c>
    </row>
    <row r="11" spans="1:26" x14ac:dyDescent="0.3">
      <c r="A11" s="129"/>
      <c r="B11" s="129"/>
      <c r="C11" s="128"/>
      <c r="D11" s="128"/>
      <c r="E11" s="128"/>
      <c r="F11" s="166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6" t="str">
        <f t="shared" si="1"/>
        <v/>
      </c>
      <c r="S11" s="163" t="str">
        <f t="shared" si="2"/>
        <v/>
      </c>
      <c r="T11" s="160" t="str">
        <f>IFERROR(INDEX(上年标准成本!$I:$I,MATCH(K11,上年标准成本!$C:$C,0),1),"")</f>
        <v/>
      </c>
      <c r="U11" s="126" t="str">
        <f t="shared" si="3"/>
        <v/>
      </c>
      <c r="V11" s="126" t="str">
        <f t="shared" si="4"/>
        <v/>
      </c>
      <c r="W11" s="124" t="str">
        <f t="shared" si="5"/>
        <v/>
      </c>
      <c r="X11" s="125" t="str">
        <f t="shared" si="0"/>
        <v/>
      </c>
    </row>
    <row r="12" spans="1:26" x14ac:dyDescent="0.3">
      <c r="A12" s="129"/>
      <c r="B12" s="129"/>
      <c r="C12" s="128"/>
      <c r="D12" s="128"/>
      <c r="E12" s="128"/>
      <c r="F12" s="166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6" t="str">
        <f t="shared" si="1"/>
        <v/>
      </c>
      <c r="S12" s="163" t="str">
        <f t="shared" si="2"/>
        <v/>
      </c>
      <c r="T12" s="160" t="str">
        <f>IFERROR(INDEX(上年标准成本!$I:$I,MATCH(K12,上年标准成本!$C:$C,0),1),"")</f>
        <v/>
      </c>
      <c r="U12" s="126" t="str">
        <f t="shared" si="3"/>
        <v/>
      </c>
      <c r="V12" s="126" t="str">
        <f t="shared" si="4"/>
        <v/>
      </c>
      <c r="W12" s="124" t="str">
        <f t="shared" si="5"/>
        <v/>
      </c>
      <c r="X12" s="125" t="str">
        <f t="shared" si="0"/>
        <v/>
      </c>
    </row>
    <row r="13" spans="1:26" x14ac:dyDescent="0.3">
      <c r="A13" s="129"/>
      <c r="B13" s="129"/>
      <c r="C13" s="128"/>
      <c r="D13" s="128"/>
      <c r="E13" s="128"/>
      <c r="F13" s="166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6" t="str">
        <f t="shared" si="1"/>
        <v/>
      </c>
      <c r="S13" s="163" t="str">
        <f t="shared" si="2"/>
        <v/>
      </c>
      <c r="T13" s="160" t="str">
        <f>IFERROR(INDEX(上年标准成本!$I:$I,MATCH(K13,上年标准成本!$C:$C,0),1),"")</f>
        <v/>
      </c>
      <c r="U13" s="126" t="str">
        <f t="shared" si="3"/>
        <v/>
      </c>
      <c r="V13" s="126" t="str">
        <f t="shared" si="4"/>
        <v/>
      </c>
      <c r="W13" s="124" t="str">
        <f t="shared" si="5"/>
        <v/>
      </c>
      <c r="X13" s="125" t="str">
        <f t="shared" si="0"/>
        <v/>
      </c>
    </row>
    <row r="14" spans="1:26" x14ac:dyDescent="0.3">
      <c r="A14" s="129"/>
      <c r="B14" s="129"/>
      <c r="C14" s="128"/>
      <c r="D14" s="128"/>
      <c r="E14" s="128"/>
      <c r="F14" s="166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6" t="str">
        <f t="shared" si="1"/>
        <v/>
      </c>
      <c r="S14" s="163" t="str">
        <f t="shared" si="2"/>
        <v/>
      </c>
      <c r="T14" s="160" t="str">
        <f>IFERROR(INDEX(上年标准成本!$I:$I,MATCH(K14,上年标准成本!$C:$C,0),1),"")</f>
        <v/>
      </c>
      <c r="U14" s="126" t="str">
        <f t="shared" si="3"/>
        <v/>
      </c>
      <c r="V14" s="126" t="str">
        <f t="shared" si="4"/>
        <v/>
      </c>
      <c r="W14" s="124" t="str">
        <f t="shared" si="5"/>
        <v/>
      </c>
      <c r="X14" s="125" t="str">
        <f t="shared" si="0"/>
        <v/>
      </c>
    </row>
    <row r="15" spans="1:26" x14ac:dyDescent="0.3">
      <c r="A15" s="129"/>
      <c r="B15" s="129"/>
      <c r="C15" s="128"/>
      <c r="D15" s="128"/>
      <c r="E15" s="128"/>
      <c r="F15" s="166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6" t="str">
        <f t="shared" si="1"/>
        <v/>
      </c>
      <c r="S15" s="163" t="str">
        <f t="shared" si="2"/>
        <v/>
      </c>
      <c r="T15" s="160" t="str">
        <f>IFERROR(INDEX(上年标准成本!$I:$I,MATCH(K15,上年标准成本!$C:$C,0),1),"")</f>
        <v/>
      </c>
      <c r="U15" s="126" t="str">
        <f t="shared" si="3"/>
        <v/>
      </c>
      <c r="V15" s="126" t="str">
        <f t="shared" si="4"/>
        <v/>
      </c>
      <c r="W15" s="124" t="str">
        <f t="shared" si="5"/>
        <v/>
      </c>
      <c r="X15" s="125" t="str">
        <f t="shared" si="0"/>
        <v/>
      </c>
    </row>
    <row r="16" spans="1:26" x14ac:dyDescent="0.3">
      <c r="A16" s="129"/>
      <c r="B16" s="129"/>
      <c r="C16" s="128"/>
      <c r="D16" s="128"/>
      <c r="E16" s="128"/>
      <c r="F16" s="166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6" t="str">
        <f t="shared" si="1"/>
        <v/>
      </c>
      <c r="S16" s="163" t="str">
        <f t="shared" si="2"/>
        <v/>
      </c>
      <c r="T16" s="160" t="str">
        <f>IFERROR(INDEX(上年标准成本!$I:$I,MATCH(K16,上年标准成本!$C:$C,0),1),"")</f>
        <v/>
      </c>
      <c r="U16" s="126" t="str">
        <f t="shared" si="3"/>
        <v/>
      </c>
      <c r="V16" s="126" t="str">
        <f t="shared" si="4"/>
        <v/>
      </c>
      <c r="W16" s="124" t="str">
        <f t="shared" si="5"/>
        <v/>
      </c>
      <c r="X16" s="125" t="str">
        <f t="shared" si="0"/>
        <v/>
      </c>
    </row>
    <row r="17" spans="1:24" x14ac:dyDescent="0.3">
      <c r="A17" s="129"/>
      <c r="B17" s="129"/>
      <c r="C17" s="128"/>
      <c r="D17" s="128"/>
      <c r="E17" s="128"/>
      <c r="F17" s="166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6" t="str">
        <f t="shared" si="1"/>
        <v/>
      </c>
      <c r="S17" s="163" t="str">
        <f t="shared" si="2"/>
        <v/>
      </c>
      <c r="T17" s="160" t="str">
        <f>IFERROR(INDEX(上年标准成本!$I:$I,MATCH(K17,上年标准成本!$C:$C,0),1),"")</f>
        <v/>
      </c>
      <c r="U17" s="126" t="str">
        <f t="shared" si="3"/>
        <v/>
      </c>
      <c r="V17" s="126" t="str">
        <f t="shared" si="4"/>
        <v/>
      </c>
      <c r="W17" s="124" t="str">
        <f t="shared" si="5"/>
        <v/>
      </c>
      <c r="X17" s="125" t="str">
        <f t="shared" si="0"/>
        <v/>
      </c>
    </row>
    <row r="18" spans="1:24" x14ac:dyDescent="0.3">
      <c r="A18" s="129"/>
      <c r="B18" s="129"/>
      <c r="C18" s="128"/>
      <c r="D18" s="128"/>
      <c r="E18" s="128"/>
      <c r="F18" s="166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6" t="str">
        <f t="shared" si="1"/>
        <v/>
      </c>
      <c r="S18" s="163" t="str">
        <f t="shared" si="2"/>
        <v/>
      </c>
      <c r="T18" s="160" t="str">
        <f>IFERROR(INDEX(上年标准成本!$I:$I,MATCH(K18,上年标准成本!$C:$C,0),1),"")</f>
        <v/>
      </c>
      <c r="U18" s="126" t="str">
        <f t="shared" si="3"/>
        <v/>
      </c>
      <c r="V18" s="126" t="str">
        <f t="shared" si="4"/>
        <v/>
      </c>
      <c r="W18" s="124" t="str">
        <f t="shared" si="5"/>
        <v/>
      </c>
      <c r="X18" s="125" t="str">
        <f t="shared" si="0"/>
        <v/>
      </c>
    </row>
    <row r="19" spans="1:24" x14ac:dyDescent="0.3">
      <c r="A19" s="129"/>
      <c r="B19" s="129"/>
      <c r="C19" s="128"/>
      <c r="D19" s="128"/>
      <c r="E19" s="128"/>
      <c r="F19" s="166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6" t="str">
        <f t="shared" si="1"/>
        <v/>
      </c>
      <c r="S19" s="163" t="str">
        <f t="shared" si="2"/>
        <v/>
      </c>
      <c r="T19" s="160" t="str">
        <f>IFERROR(INDEX(上年标准成本!$I:$I,MATCH(K19,上年标准成本!$C:$C,0),1),"")</f>
        <v/>
      </c>
      <c r="U19" s="126" t="str">
        <f t="shared" si="3"/>
        <v/>
      </c>
      <c r="V19" s="126" t="str">
        <f t="shared" si="4"/>
        <v/>
      </c>
      <c r="W19" s="124" t="str">
        <f t="shared" si="5"/>
        <v/>
      </c>
      <c r="X19" s="125" t="str">
        <f t="shared" si="0"/>
        <v/>
      </c>
    </row>
    <row r="20" spans="1:24" x14ac:dyDescent="0.3">
      <c r="A20" s="129"/>
      <c r="B20" s="129"/>
      <c r="C20" s="128"/>
      <c r="D20" s="128"/>
      <c r="E20" s="128"/>
      <c r="F20" s="166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6" t="str">
        <f t="shared" si="1"/>
        <v/>
      </c>
      <c r="S20" s="163" t="str">
        <f t="shared" si="2"/>
        <v/>
      </c>
      <c r="T20" s="160" t="str">
        <f>IFERROR(INDEX(上年标准成本!$I:$I,MATCH(K20,上年标准成本!$C:$C,0),1),"")</f>
        <v/>
      </c>
      <c r="U20" s="126" t="str">
        <f t="shared" si="3"/>
        <v/>
      </c>
      <c r="V20" s="126" t="str">
        <f t="shared" si="4"/>
        <v/>
      </c>
      <c r="W20" s="124" t="str">
        <f t="shared" si="5"/>
        <v/>
      </c>
      <c r="X20" s="125" t="str">
        <f t="shared" si="0"/>
        <v/>
      </c>
    </row>
    <row r="21" spans="1:24" x14ac:dyDescent="0.3">
      <c r="A21" s="129"/>
      <c r="B21" s="129"/>
      <c r="C21" s="128"/>
      <c r="D21" s="128"/>
      <c r="E21" s="128"/>
      <c r="F21" s="166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6" t="str">
        <f t="shared" si="1"/>
        <v/>
      </c>
      <c r="S21" s="163" t="str">
        <f t="shared" si="2"/>
        <v/>
      </c>
      <c r="T21" s="160" t="str">
        <f>IFERROR(INDEX(上年标准成本!$I:$I,MATCH(K21,上年标准成本!$C:$C,0),1),"")</f>
        <v/>
      </c>
      <c r="U21" s="126" t="str">
        <f t="shared" si="3"/>
        <v/>
      </c>
      <c r="V21" s="126" t="str">
        <f t="shared" si="4"/>
        <v/>
      </c>
      <c r="W21" s="124" t="str">
        <f t="shared" si="5"/>
        <v/>
      </c>
      <c r="X21" s="125" t="str">
        <f t="shared" si="0"/>
        <v/>
      </c>
    </row>
    <row r="22" spans="1:24" x14ac:dyDescent="0.3">
      <c r="A22" s="129"/>
      <c r="B22" s="129"/>
      <c r="C22" s="128"/>
      <c r="D22" s="128"/>
      <c r="E22" s="128"/>
      <c r="F22" s="166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6" t="str">
        <f t="shared" si="1"/>
        <v/>
      </c>
      <c r="S22" s="163" t="str">
        <f t="shared" si="2"/>
        <v/>
      </c>
      <c r="T22" s="160" t="str">
        <f>IFERROR(INDEX(上年标准成本!$I:$I,MATCH(K22,上年标准成本!$C:$C,0),1),"")</f>
        <v/>
      </c>
      <c r="U22" s="126" t="str">
        <f t="shared" si="3"/>
        <v/>
      </c>
      <c r="V22" s="126" t="str">
        <f t="shared" si="4"/>
        <v/>
      </c>
      <c r="W22" s="124" t="str">
        <f t="shared" si="5"/>
        <v/>
      </c>
      <c r="X22" s="125" t="str">
        <f t="shared" si="0"/>
        <v/>
      </c>
    </row>
    <row r="23" spans="1:24" x14ac:dyDescent="0.3">
      <c r="A23" s="129"/>
      <c r="B23" s="129"/>
      <c r="C23" s="128"/>
      <c r="D23" s="128"/>
      <c r="E23" s="128"/>
      <c r="F23" s="166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6" t="str">
        <f t="shared" si="1"/>
        <v/>
      </c>
      <c r="S23" s="163" t="str">
        <f t="shared" si="2"/>
        <v/>
      </c>
      <c r="T23" s="160" t="str">
        <f>IFERROR(INDEX(上年标准成本!$I:$I,MATCH(K23,上年标准成本!$C:$C,0),1),"")</f>
        <v/>
      </c>
      <c r="U23" s="126" t="str">
        <f t="shared" si="3"/>
        <v/>
      </c>
      <c r="V23" s="126" t="str">
        <f t="shared" si="4"/>
        <v/>
      </c>
      <c r="W23" s="124" t="str">
        <f t="shared" si="5"/>
        <v/>
      </c>
      <c r="X23" s="125" t="str">
        <f t="shared" si="0"/>
        <v/>
      </c>
    </row>
    <row r="24" spans="1:24" x14ac:dyDescent="0.3">
      <c r="A24" s="129"/>
      <c r="B24" s="129"/>
      <c r="C24" s="128"/>
      <c r="D24" s="128"/>
      <c r="E24" s="128"/>
      <c r="F24" s="166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6" t="str">
        <f t="shared" si="1"/>
        <v/>
      </c>
      <c r="S24" s="163" t="str">
        <f t="shared" si="2"/>
        <v/>
      </c>
      <c r="T24" s="160" t="str">
        <f>IFERROR(INDEX(上年标准成本!$I:$I,MATCH(K24,上年标准成本!$C:$C,0),1),"")</f>
        <v/>
      </c>
      <c r="U24" s="126" t="str">
        <f t="shared" si="3"/>
        <v/>
      </c>
      <c r="V24" s="126" t="str">
        <f t="shared" si="4"/>
        <v/>
      </c>
      <c r="W24" s="124" t="str">
        <f t="shared" si="5"/>
        <v/>
      </c>
      <c r="X24" s="125" t="str">
        <f t="shared" si="0"/>
        <v/>
      </c>
    </row>
    <row r="25" spans="1:24" x14ac:dyDescent="0.3">
      <c r="A25" s="129"/>
      <c r="B25" s="129"/>
      <c r="C25" s="128"/>
      <c r="D25" s="128"/>
      <c r="E25" s="128"/>
      <c r="F25" s="166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6" t="str">
        <f t="shared" si="1"/>
        <v/>
      </c>
      <c r="S25" s="163" t="str">
        <f t="shared" si="2"/>
        <v/>
      </c>
      <c r="T25" s="160" t="str">
        <f>IFERROR(INDEX(上年标准成本!$I:$I,MATCH(K25,上年标准成本!$C:$C,0),1),"")</f>
        <v/>
      </c>
      <c r="U25" s="126" t="str">
        <f t="shared" si="3"/>
        <v/>
      </c>
      <c r="V25" s="126" t="str">
        <f t="shared" si="4"/>
        <v/>
      </c>
      <c r="W25" s="124" t="str">
        <f t="shared" si="5"/>
        <v/>
      </c>
      <c r="X25" s="125" t="str">
        <f t="shared" si="0"/>
        <v/>
      </c>
    </row>
    <row r="26" spans="1:24" x14ac:dyDescent="0.3">
      <c r="A26" s="129"/>
      <c r="B26" s="129"/>
      <c r="C26" s="128"/>
      <c r="D26" s="128"/>
      <c r="E26" s="128"/>
      <c r="F26" s="166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6" t="str">
        <f t="shared" si="1"/>
        <v/>
      </c>
      <c r="S26" s="163" t="str">
        <f t="shared" si="2"/>
        <v/>
      </c>
      <c r="T26" s="160" t="str">
        <f>IFERROR(INDEX(上年标准成本!$I:$I,MATCH(K26,上年标准成本!$C:$C,0),1),"")</f>
        <v/>
      </c>
      <c r="U26" s="126" t="str">
        <f t="shared" si="3"/>
        <v/>
      </c>
      <c r="V26" s="126" t="str">
        <f t="shared" si="4"/>
        <v/>
      </c>
      <c r="W26" s="124" t="str">
        <f t="shared" si="5"/>
        <v/>
      </c>
      <c r="X26" s="125" t="str">
        <f t="shared" si="0"/>
        <v/>
      </c>
    </row>
    <row r="27" spans="1:24" x14ac:dyDescent="0.3">
      <c r="A27" s="129"/>
      <c r="B27" s="129"/>
      <c r="C27" s="128"/>
      <c r="D27" s="128"/>
      <c r="E27" s="128"/>
      <c r="F27" s="166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6" t="str">
        <f t="shared" si="1"/>
        <v/>
      </c>
      <c r="S27" s="163" t="str">
        <f t="shared" si="2"/>
        <v/>
      </c>
      <c r="T27" s="160" t="str">
        <f>IFERROR(INDEX(上年标准成本!$I:$I,MATCH(K27,上年标准成本!$C:$C,0),1),"")</f>
        <v/>
      </c>
      <c r="U27" s="126" t="str">
        <f t="shared" si="3"/>
        <v/>
      </c>
      <c r="V27" s="126" t="str">
        <f t="shared" si="4"/>
        <v/>
      </c>
      <c r="W27" s="124" t="str">
        <f t="shared" si="5"/>
        <v/>
      </c>
      <c r="X27" s="125" t="str">
        <f t="shared" si="0"/>
        <v/>
      </c>
    </row>
    <row r="28" spans="1:24" x14ac:dyDescent="0.3">
      <c r="A28" s="129"/>
      <c r="B28" s="129"/>
      <c r="C28" s="128"/>
      <c r="D28" s="128"/>
      <c r="E28" s="128"/>
      <c r="F28" s="166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6" t="str">
        <f t="shared" si="1"/>
        <v/>
      </c>
      <c r="S28" s="163" t="str">
        <f t="shared" si="2"/>
        <v/>
      </c>
      <c r="T28" s="160" t="str">
        <f>IFERROR(INDEX(上年标准成本!$I:$I,MATCH(K28,上年标准成本!$C:$C,0),1),"")</f>
        <v/>
      </c>
      <c r="U28" s="126" t="str">
        <f t="shared" si="3"/>
        <v/>
      </c>
      <c r="V28" s="126" t="str">
        <f t="shared" si="4"/>
        <v/>
      </c>
      <c r="W28" s="124" t="str">
        <f t="shared" si="5"/>
        <v/>
      </c>
      <c r="X28" s="125" t="str">
        <f t="shared" si="0"/>
        <v/>
      </c>
    </row>
    <row r="29" spans="1:24" x14ac:dyDescent="0.3">
      <c r="A29" s="129"/>
      <c r="B29" s="129"/>
      <c r="C29" s="128"/>
      <c r="D29" s="128"/>
      <c r="E29" s="128"/>
      <c r="F29" s="166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6" t="str">
        <f t="shared" si="1"/>
        <v/>
      </c>
      <c r="S29" s="163" t="str">
        <f t="shared" si="2"/>
        <v/>
      </c>
      <c r="T29" s="160" t="str">
        <f>IFERROR(INDEX(上年标准成本!$I:$I,MATCH(K29,上年标准成本!$C:$C,0),1),"")</f>
        <v/>
      </c>
      <c r="U29" s="126" t="str">
        <f t="shared" si="3"/>
        <v/>
      </c>
      <c r="V29" s="126" t="str">
        <f t="shared" si="4"/>
        <v/>
      </c>
      <c r="W29" s="124" t="str">
        <f t="shared" si="5"/>
        <v/>
      </c>
      <c r="X29" s="125" t="str">
        <f t="shared" si="0"/>
        <v/>
      </c>
    </row>
    <row r="30" spans="1:24" x14ac:dyDescent="0.3">
      <c r="A30" s="129"/>
      <c r="B30" s="129"/>
      <c r="C30" s="128"/>
      <c r="D30" s="128"/>
      <c r="E30" s="128"/>
      <c r="F30" s="166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6" t="str">
        <f t="shared" si="1"/>
        <v/>
      </c>
      <c r="S30" s="163" t="str">
        <f t="shared" si="2"/>
        <v/>
      </c>
      <c r="T30" s="160" t="str">
        <f>IFERROR(INDEX(上年标准成本!$I:$I,MATCH(K30,上年标准成本!$C:$C,0),1),"")</f>
        <v/>
      </c>
      <c r="U30" s="126" t="str">
        <f t="shared" si="3"/>
        <v/>
      </c>
      <c r="V30" s="126" t="str">
        <f t="shared" si="4"/>
        <v/>
      </c>
      <c r="W30" s="124" t="str">
        <f t="shared" si="5"/>
        <v/>
      </c>
      <c r="X30" s="125" t="str">
        <f t="shared" si="0"/>
        <v/>
      </c>
    </row>
    <row r="31" spans="1:24" x14ac:dyDescent="0.3">
      <c r="A31" s="129"/>
      <c r="B31" s="129"/>
      <c r="C31" s="128"/>
      <c r="D31" s="128"/>
      <c r="E31" s="128"/>
      <c r="F31" s="166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6" t="str">
        <f t="shared" si="1"/>
        <v/>
      </c>
      <c r="S31" s="163" t="str">
        <f t="shared" si="2"/>
        <v/>
      </c>
      <c r="T31" s="160" t="str">
        <f>IFERROR(INDEX(上年标准成本!$I:$I,MATCH(K31,上年标准成本!$C:$C,0),1),"")</f>
        <v/>
      </c>
      <c r="U31" s="126" t="str">
        <f t="shared" si="3"/>
        <v/>
      </c>
      <c r="V31" s="126" t="str">
        <f t="shared" si="4"/>
        <v/>
      </c>
      <c r="W31" s="124" t="str">
        <f t="shared" si="5"/>
        <v/>
      </c>
      <c r="X31" s="125" t="str">
        <f t="shared" si="0"/>
        <v/>
      </c>
    </row>
    <row r="32" spans="1:24" x14ac:dyDescent="0.3">
      <c r="A32" s="129"/>
      <c r="B32" s="129"/>
      <c r="C32" s="128"/>
      <c r="D32" s="128"/>
      <c r="E32" s="128"/>
      <c r="F32" s="166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6" t="str">
        <f t="shared" si="1"/>
        <v/>
      </c>
      <c r="S32" s="163" t="str">
        <f t="shared" si="2"/>
        <v/>
      </c>
      <c r="T32" s="160" t="str">
        <f>IFERROR(INDEX(上年标准成本!$I:$I,MATCH(K32,上年标准成本!$C:$C,0),1),"")</f>
        <v/>
      </c>
      <c r="U32" s="126" t="str">
        <f t="shared" si="3"/>
        <v/>
      </c>
      <c r="V32" s="126" t="str">
        <f t="shared" si="4"/>
        <v/>
      </c>
      <c r="W32" s="124" t="str">
        <f t="shared" si="5"/>
        <v/>
      </c>
      <c r="X32" s="125" t="str">
        <f t="shared" si="0"/>
        <v/>
      </c>
    </row>
    <row r="33" spans="1:24" x14ac:dyDescent="0.3">
      <c r="A33" s="129"/>
      <c r="B33" s="129"/>
      <c r="C33" s="128"/>
      <c r="D33" s="128"/>
      <c r="E33" s="128"/>
      <c r="F33" s="166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6" t="str">
        <f t="shared" si="1"/>
        <v/>
      </c>
      <c r="S33" s="163" t="str">
        <f t="shared" si="2"/>
        <v/>
      </c>
      <c r="T33" s="160" t="str">
        <f>IFERROR(INDEX(上年标准成本!$I:$I,MATCH(K33,上年标准成本!$C:$C,0),1),"")</f>
        <v/>
      </c>
      <c r="U33" s="126" t="str">
        <f t="shared" si="3"/>
        <v/>
      </c>
      <c r="V33" s="126" t="str">
        <f t="shared" si="4"/>
        <v/>
      </c>
      <c r="W33" s="124" t="str">
        <f t="shared" si="5"/>
        <v/>
      </c>
      <c r="X33" s="125" t="str">
        <f t="shared" si="0"/>
        <v/>
      </c>
    </row>
    <row r="34" spans="1:24" x14ac:dyDescent="0.3">
      <c r="A34" s="129"/>
      <c r="B34" s="129"/>
      <c r="C34" s="128"/>
      <c r="D34" s="128"/>
      <c r="E34" s="128"/>
      <c r="F34" s="166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6" t="str">
        <f t="shared" si="1"/>
        <v/>
      </c>
      <c r="S34" s="163" t="str">
        <f t="shared" si="2"/>
        <v/>
      </c>
      <c r="T34" s="160" t="str">
        <f>IFERROR(INDEX(上年标准成本!$I:$I,MATCH(K34,上年标准成本!$C:$C,0),1),"")</f>
        <v/>
      </c>
      <c r="U34" s="126" t="str">
        <f t="shared" si="3"/>
        <v/>
      </c>
      <c r="V34" s="126" t="str">
        <f t="shared" si="4"/>
        <v/>
      </c>
      <c r="W34" s="124" t="str">
        <f t="shared" si="5"/>
        <v/>
      </c>
      <c r="X34" s="125" t="str">
        <f t="shared" si="0"/>
        <v/>
      </c>
    </row>
    <row r="35" spans="1:24" x14ac:dyDescent="0.3">
      <c r="A35" s="129"/>
      <c r="B35" s="129"/>
      <c r="C35" s="128"/>
      <c r="D35" s="128"/>
      <c r="E35" s="128"/>
      <c r="F35" s="166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6" t="str">
        <f t="shared" si="1"/>
        <v/>
      </c>
      <c r="S35" s="163" t="str">
        <f t="shared" si="2"/>
        <v/>
      </c>
      <c r="T35" s="160" t="str">
        <f>IFERROR(INDEX(上年标准成本!$I:$I,MATCH(K35,上年标准成本!$C:$C,0),1),"")</f>
        <v/>
      </c>
      <c r="U35" s="126" t="str">
        <f t="shared" si="3"/>
        <v/>
      </c>
      <c r="V35" s="126" t="str">
        <f t="shared" si="4"/>
        <v/>
      </c>
      <c r="W35" s="124" t="str">
        <f t="shared" si="5"/>
        <v/>
      </c>
      <c r="X35" s="125" t="str">
        <f t="shared" si="0"/>
        <v/>
      </c>
    </row>
    <row r="36" spans="1:24" x14ac:dyDescent="0.3">
      <c r="A36" s="129"/>
      <c r="B36" s="129"/>
      <c r="C36" s="128"/>
      <c r="D36" s="128"/>
      <c r="E36" s="128"/>
      <c r="F36" s="166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6" t="str">
        <f t="shared" si="1"/>
        <v/>
      </c>
      <c r="S36" s="163" t="str">
        <f t="shared" si="2"/>
        <v/>
      </c>
      <c r="T36" s="160" t="str">
        <f>IFERROR(INDEX(上年标准成本!$I:$I,MATCH(K36,上年标准成本!$C:$C,0),1),"")</f>
        <v/>
      </c>
      <c r="U36" s="126" t="str">
        <f t="shared" si="3"/>
        <v/>
      </c>
      <c r="V36" s="126" t="str">
        <f t="shared" si="4"/>
        <v/>
      </c>
      <c r="W36" s="124" t="str">
        <f t="shared" si="5"/>
        <v/>
      </c>
      <c r="X36" s="125" t="str">
        <f t="shared" si="0"/>
        <v/>
      </c>
    </row>
    <row r="37" spans="1:24" x14ac:dyDescent="0.3">
      <c r="A37" s="129"/>
      <c r="B37" s="129"/>
      <c r="C37" s="128"/>
      <c r="D37" s="128"/>
      <c r="E37" s="128"/>
      <c r="F37" s="166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6" t="str">
        <f t="shared" si="1"/>
        <v/>
      </c>
      <c r="S37" s="163" t="str">
        <f t="shared" si="2"/>
        <v/>
      </c>
      <c r="T37" s="160" t="str">
        <f>IFERROR(INDEX(上年标准成本!$I:$I,MATCH(K37,上年标准成本!$C:$C,0),1),"")</f>
        <v/>
      </c>
      <c r="U37" s="126" t="str">
        <f t="shared" si="3"/>
        <v/>
      </c>
      <c r="V37" s="126" t="str">
        <f t="shared" si="4"/>
        <v/>
      </c>
      <c r="W37" s="124" t="str">
        <f t="shared" si="5"/>
        <v/>
      </c>
      <c r="X37" s="125" t="str">
        <f t="shared" si="0"/>
        <v/>
      </c>
    </row>
    <row r="38" spans="1:24" x14ac:dyDescent="0.3">
      <c r="A38" s="129"/>
      <c r="B38" s="129"/>
      <c r="C38" s="128"/>
      <c r="D38" s="128"/>
      <c r="E38" s="128"/>
      <c r="F38" s="166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6" t="str">
        <f t="shared" si="1"/>
        <v/>
      </c>
      <c r="S38" s="163" t="str">
        <f t="shared" si="2"/>
        <v/>
      </c>
      <c r="T38" s="160" t="str">
        <f>IFERROR(INDEX(上年标准成本!$I:$I,MATCH(K38,上年标准成本!$C:$C,0),1),"")</f>
        <v/>
      </c>
      <c r="U38" s="126" t="str">
        <f t="shared" si="3"/>
        <v/>
      </c>
      <c r="V38" s="126" t="str">
        <f t="shared" si="4"/>
        <v/>
      </c>
      <c r="W38" s="124" t="str">
        <f t="shared" si="5"/>
        <v/>
      </c>
      <c r="X38" s="125" t="str">
        <f t="shared" si="0"/>
        <v/>
      </c>
    </row>
    <row r="39" spans="1:24" x14ac:dyDescent="0.3">
      <c r="A39" s="129"/>
      <c r="B39" s="129"/>
      <c r="C39" s="128"/>
      <c r="D39" s="128"/>
      <c r="E39" s="128"/>
      <c r="F39" s="166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6" t="str">
        <f t="shared" si="1"/>
        <v/>
      </c>
      <c r="S39" s="163" t="str">
        <f t="shared" si="2"/>
        <v/>
      </c>
      <c r="T39" s="160" t="str">
        <f>IFERROR(INDEX(上年标准成本!$I:$I,MATCH(K39,上年标准成本!$C:$C,0),1),"")</f>
        <v/>
      </c>
      <c r="U39" s="126" t="str">
        <f t="shared" si="3"/>
        <v/>
      </c>
      <c r="V39" s="126" t="str">
        <f t="shared" si="4"/>
        <v/>
      </c>
      <c r="W39" s="124" t="str">
        <f t="shared" si="5"/>
        <v/>
      </c>
      <c r="X39" s="125" t="str">
        <f t="shared" si="0"/>
        <v/>
      </c>
    </row>
    <row r="40" spans="1:24" x14ac:dyDescent="0.3">
      <c r="A40" s="129"/>
      <c r="B40" s="129"/>
      <c r="C40" s="128"/>
      <c r="D40" s="128"/>
      <c r="E40" s="128"/>
      <c r="F40" s="166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6" t="str">
        <f t="shared" si="1"/>
        <v/>
      </c>
      <c r="S40" s="163" t="str">
        <f t="shared" si="2"/>
        <v/>
      </c>
      <c r="T40" s="160" t="str">
        <f>IFERROR(INDEX(上年标准成本!$I:$I,MATCH(K40,上年标准成本!$C:$C,0),1),"")</f>
        <v/>
      </c>
      <c r="U40" s="126" t="str">
        <f t="shared" si="3"/>
        <v/>
      </c>
      <c r="V40" s="126" t="str">
        <f t="shared" si="4"/>
        <v/>
      </c>
      <c r="W40" s="124" t="str">
        <f t="shared" si="5"/>
        <v/>
      </c>
      <c r="X40" s="125" t="str">
        <f t="shared" si="0"/>
        <v/>
      </c>
    </row>
    <row r="41" spans="1:24" x14ac:dyDescent="0.3">
      <c r="A41" s="129"/>
      <c r="B41" s="129"/>
      <c r="C41" s="128"/>
      <c r="D41" s="128"/>
      <c r="E41" s="128"/>
      <c r="F41" s="166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6" t="str">
        <f t="shared" si="1"/>
        <v/>
      </c>
      <c r="S41" s="163" t="str">
        <f t="shared" si="2"/>
        <v/>
      </c>
      <c r="T41" s="160" t="str">
        <f>IFERROR(INDEX(上年标准成本!$I:$I,MATCH(K41,上年标准成本!$C:$C,0),1),"")</f>
        <v/>
      </c>
      <c r="U41" s="126" t="str">
        <f t="shared" si="3"/>
        <v/>
      </c>
      <c r="V41" s="126" t="str">
        <f t="shared" si="4"/>
        <v/>
      </c>
      <c r="W41" s="124" t="str">
        <f t="shared" si="5"/>
        <v/>
      </c>
      <c r="X41" s="125" t="str">
        <f t="shared" si="0"/>
        <v/>
      </c>
    </row>
    <row r="42" spans="1:24" x14ac:dyDescent="0.3">
      <c r="A42" s="129"/>
      <c r="B42" s="129"/>
      <c r="C42" s="128"/>
      <c r="D42" s="128"/>
      <c r="E42" s="128"/>
      <c r="F42" s="166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6" t="str">
        <f t="shared" si="1"/>
        <v/>
      </c>
      <c r="S42" s="163" t="str">
        <f t="shared" si="2"/>
        <v/>
      </c>
      <c r="T42" s="160" t="str">
        <f>IFERROR(INDEX(上年标准成本!$I:$I,MATCH(K42,上年标准成本!$C:$C,0),1),"")</f>
        <v/>
      </c>
      <c r="U42" s="126" t="str">
        <f t="shared" si="3"/>
        <v/>
      </c>
      <c r="V42" s="126" t="str">
        <f t="shared" si="4"/>
        <v/>
      </c>
      <c r="W42" s="124" t="str">
        <f t="shared" si="5"/>
        <v/>
      </c>
      <c r="X42" s="125" t="str">
        <f t="shared" si="0"/>
        <v/>
      </c>
    </row>
    <row r="43" spans="1:24" x14ac:dyDescent="0.3">
      <c r="A43" s="129"/>
      <c r="B43" s="129"/>
      <c r="C43" s="128"/>
      <c r="D43" s="128"/>
      <c r="E43" s="128"/>
      <c r="F43" s="166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6" t="str">
        <f t="shared" si="1"/>
        <v/>
      </c>
      <c r="S43" s="163" t="str">
        <f t="shared" si="2"/>
        <v/>
      </c>
      <c r="T43" s="160" t="str">
        <f>IFERROR(INDEX(上年标准成本!$I:$I,MATCH(K43,上年标准成本!$C:$C,0),1),"")</f>
        <v/>
      </c>
      <c r="U43" s="126" t="str">
        <f t="shared" si="3"/>
        <v/>
      </c>
      <c r="V43" s="126" t="str">
        <f t="shared" si="4"/>
        <v/>
      </c>
      <c r="W43" s="124" t="str">
        <f t="shared" si="5"/>
        <v/>
      </c>
      <c r="X43" s="125" t="str">
        <f t="shared" si="0"/>
        <v/>
      </c>
    </row>
    <row r="44" spans="1:24" x14ac:dyDescent="0.3">
      <c r="A44" s="129"/>
      <c r="B44" s="129"/>
      <c r="C44" s="128"/>
      <c r="D44" s="128"/>
      <c r="E44" s="128"/>
      <c r="F44" s="166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6" t="str">
        <f t="shared" si="1"/>
        <v/>
      </c>
      <c r="S44" s="163" t="str">
        <f t="shared" si="2"/>
        <v/>
      </c>
      <c r="T44" s="160" t="str">
        <f>IFERROR(INDEX(上年标准成本!$I:$I,MATCH(K44,上年标准成本!$C:$C,0),1),"")</f>
        <v/>
      </c>
      <c r="U44" s="126" t="str">
        <f t="shared" si="3"/>
        <v/>
      </c>
      <c r="V44" s="126" t="str">
        <f t="shared" si="4"/>
        <v/>
      </c>
      <c r="W44" s="124" t="str">
        <f t="shared" si="5"/>
        <v/>
      </c>
      <c r="X44" s="125" t="str">
        <f t="shared" si="0"/>
        <v/>
      </c>
    </row>
    <row r="45" spans="1:24" x14ac:dyDescent="0.3">
      <c r="A45" s="129"/>
      <c r="B45" s="129"/>
      <c r="C45" s="128"/>
      <c r="D45" s="128"/>
      <c r="E45" s="128"/>
      <c r="F45" s="166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6" t="str">
        <f t="shared" si="1"/>
        <v/>
      </c>
      <c r="S45" s="163" t="str">
        <f t="shared" si="2"/>
        <v/>
      </c>
      <c r="T45" s="160" t="str">
        <f>IFERROR(INDEX(上年标准成本!$I:$I,MATCH(K45,上年标准成本!$C:$C,0),1),"")</f>
        <v/>
      </c>
      <c r="U45" s="126" t="str">
        <f t="shared" si="3"/>
        <v/>
      </c>
      <c r="V45" s="126" t="str">
        <f t="shared" si="4"/>
        <v/>
      </c>
      <c r="W45" s="124" t="str">
        <f t="shared" si="5"/>
        <v/>
      </c>
      <c r="X45" s="125" t="str">
        <f t="shared" si="0"/>
        <v/>
      </c>
    </row>
    <row r="46" spans="1:24" x14ac:dyDescent="0.3">
      <c r="A46" s="129"/>
      <c r="B46" s="129"/>
      <c r="C46" s="128"/>
      <c r="D46" s="128"/>
      <c r="E46" s="128"/>
      <c r="F46" s="166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6" t="str">
        <f t="shared" si="1"/>
        <v/>
      </c>
      <c r="S46" s="163" t="str">
        <f t="shared" si="2"/>
        <v/>
      </c>
      <c r="T46" s="160" t="str">
        <f>IFERROR(INDEX(上年标准成本!$I:$I,MATCH(K46,上年标准成本!$C:$C,0),1),"")</f>
        <v/>
      </c>
      <c r="U46" s="126" t="str">
        <f t="shared" si="3"/>
        <v/>
      </c>
      <c r="V46" s="126" t="str">
        <f t="shared" si="4"/>
        <v/>
      </c>
      <c r="W46" s="124" t="str">
        <f t="shared" si="5"/>
        <v/>
      </c>
      <c r="X46" s="125" t="str">
        <f t="shared" si="0"/>
        <v/>
      </c>
    </row>
    <row r="47" spans="1:24" x14ac:dyDescent="0.3">
      <c r="A47" s="129"/>
      <c r="B47" s="129"/>
      <c r="C47" s="128"/>
      <c r="D47" s="128"/>
      <c r="E47" s="128"/>
      <c r="F47" s="166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6" t="str">
        <f t="shared" si="1"/>
        <v/>
      </c>
      <c r="S47" s="163" t="str">
        <f t="shared" si="2"/>
        <v/>
      </c>
      <c r="T47" s="160" t="str">
        <f>IFERROR(INDEX(上年标准成本!$I:$I,MATCH(K47,上年标准成本!$C:$C,0),1),"")</f>
        <v/>
      </c>
      <c r="U47" s="126" t="str">
        <f t="shared" si="3"/>
        <v/>
      </c>
      <c r="V47" s="126" t="str">
        <f t="shared" si="4"/>
        <v/>
      </c>
      <c r="W47" s="124" t="str">
        <f t="shared" si="5"/>
        <v/>
      </c>
      <c r="X47" s="125" t="str">
        <f t="shared" si="0"/>
        <v/>
      </c>
    </row>
    <row r="48" spans="1:24" x14ac:dyDescent="0.3">
      <c r="A48" s="129"/>
      <c r="B48" s="129"/>
      <c r="C48" s="128"/>
      <c r="D48" s="128"/>
      <c r="E48" s="128"/>
      <c r="F48" s="166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6" t="str">
        <f t="shared" si="1"/>
        <v/>
      </c>
      <c r="S48" s="163" t="str">
        <f t="shared" si="2"/>
        <v/>
      </c>
      <c r="T48" s="160" t="str">
        <f>IFERROR(INDEX(上年标准成本!$I:$I,MATCH(K48,上年标准成本!$C:$C,0),1),"")</f>
        <v/>
      </c>
      <c r="U48" s="126" t="str">
        <f t="shared" si="3"/>
        <v/>
      </c>
      <c r="V48" s="126" t="str">
        <f t="shared" si="4"/>
        <v/>
      </c>
      <c r="W48" s="124" t="str">
        <f t="shared" si="5"/>
        <v/>
      </c>
      <c r="X48" s="125" t="str">
        <f t="shared" si="0"/>
        <v/>
      </c>
    </row>
    <row r="49" spans="1:24" x14ac:dyDescent="0.3">
      <c r="A49" s="129"/>
      <c r="B49" s="129"/>
      <c r="C49" s="128"/>
      <c r="D49" s="128"/>
      <c r="E49" s="128"/>
      <c r="F49" s="166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6" t="str">
        <f t="shared" si="1"/>
        <v/>
      </c>
      <c r="S49" s="163" t="str">
        <f t="shared" si="2"/>
        <v/>
      </c>
      <c r="T49" s="160" t="str">
        <f>IFERROR(INDEX(上年标准成本!$I:$I,MATCH(K49,上年标准成本!$C:$C,0),1),"")</f>
        <v/>
      </c>
      <c r="U49" s="126" t="str">
        <f t="shared" si="3"/>
        <v/>
      </c>
      <c r="V49" s="126" t="str">
        <f t="shared" si="4"/>
        <v/>
      </c>
      <c r="W49" s="124" t="str">
        <f t="shared" si="5"/>
        <v/>
      </c>
      <c r="X49" s="125" t="str">
        <f t="shared" si="0"/>
        <v/>
      </c>
    </row>
    <row r="50" spans="1:24" x14ac:dyDescent="0.3">
      <c r="A50" s="129"/>
      <c r="B50" s="129"/>
      <c r="C50" s="128"/>
      <c r="D50" s="128"/>
      <c r="E50" s="128"/>
      <c r="F50" s="166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6" t="str">
        <f t="shared" si="1"/>
        <v/>
      </c>
      <c r="S50" s="163" t="str">
        <f t="shared" si="2"/>
        <v/>
      </c>
      <c r="T50" s="160" t="str">
        <f>IFERROR(INDEX(上年标准成本!$I:$I,MATCH(K50,上年标准成本!$C:$C,0),1),"")</f>
        <v/>
      </c>
      <c r="U50" s="126" t="str">
        <f t="shared" si="3"/>
        <v/>
      </c>
      <c r="V50" s="126" t="str">
        <f t="shared" si="4"/>
        <v/>
      </c>
      <c r="W50" s="124" t="str">
        <f t="shared" si="5"/>
        <v/>
      </c>
      <c r="X50" s="125" t="str">
        <f t="shared" si="0"/>
        <v/>
      </c>
    </row>
    <row r="51" spans="1:24" x14ac:dyDescent="0.3">
      <c r="A51" s="129"/>
      <c r="B51" s="129"/>
      <c r="C51" s="128"/>
      <c r="D51" s="128"/>
      <c r="E51" s="128"/>
      <c r="F51" s="166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6" t="str">
        <f t="shared" si="1"/>
        <v/>
      </c>
      <c r="S51" s="163" t="str">
        <f t="shared" si="2"/>
        <v/>
      </c>
      <c r="T51" s="160" t="str">
        <f>IFERROR(INDEX(上年标准成本!$I:$I,MATCH(K51,上年标准成本!$C:$C,0),1),"")</f>
        <v/>
      </c>
      <c r="U51" s="126" t="str">
        <f t="shared" si="3"/>
        <v/>
      </c>
      <c r="V51" s="126" t="str">
        <f t="shared" si="4"/>
        <v/>
      </c>
      <c r="W51" s="124" t="str">
        <f t="shared" si="5"/>
        <v/>
      </c>
      <c r="X51" s="125" t="str">
        <f t="shared" si="0"/>
        <v/>
      </c>
    </row>
    <row r="52" spans="1:24" x14ac:dyDescent="0.3">
      <c r="A52" s="129"/>
      <c r="B52" s="129"/>
      <c r="C52" s="128"/>
      <c r="D52" s="128"/>
      <c r="E52" s="128"/>
      <c r="F52" s="166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6" t="str">
        <f t="shared" si="1"/>
        <v/>
      </c>
      <c r="S52" s="163" t="str">
        <f t="shared" si="2"/>
        <v/>
      </c>
      <c r="T52" s="160" t="str">
        <f>IFERROR(INDEX(上年标准成本!$I:$I,MATCH(K52,上年标准成本!$C:$C,0),1),"")</f>
        <v/>
      </c>
      <c r="U52" s="126" t="str">
        <f t="shared" si="3"/>
        <v/>
      </c>
      <c r="V52" s="126" t="str">
        <f t="shared" si="4"/>
        <v/>
      </c>
      <c r="W52" s="124" t="str">
        <f t="shared" si="5"/>
        <v/>
      </c>
      <c r="X52" s="125" t="str">
        <f t="shared" si="0"/>
        <v/>
      </c>
    </row>
    <row r="53" spans="1:24" x14ac:dyDescent="0.3">
      <c r="A53" s="129"/>
      <c r="B53" s="129"/>
      <c r="C53" s="128"/>
      <c r="D53" s="128"/>
      <c r="E53" s="128"/>
      <c r="F53" s="166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6" t="str">
        <f t="shared" si="1"/>
        <v/>
      </c>
      <c r="S53" s="163" t="str">
        <f t="shared" si="2"/>
        <v/>
      </c>
      <c r="T53" s="160" t="str">
        <f>IFERROR(INDEX(上年标准成本!$I:$I,MATCH(K53,上年标准成本!$C:$C,0),1),"")</f>
        <v/>
      </c>
      <c r="U53" s="126" t="str">
        <f t="shared" si="3"/>
        <v/>
      </c>
      <c r="V53" s="126" t="str">
        <f t="shared" si="4"/>
        <v/>
      </c>
      <c r="W53" s="124" t="str">
        <f t="shared" si="5"/>
        <v/>
      </c>
      <c r="X53" s="125" t="str">
        <f t="shared" si="0"/>
        <v/>
      </c>
    </row>
    <row r="54" spans="1:24" x14ac:dyDescent="0.3">
      <c r="A54" s="129"/>
      <c r="B54" s="129"/>
      <c r="C54" s="128"/>
      <c r="D54" s="128"/>
      <c r="E54" s="128"/>
      <c r="F54" s="166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6" t="str">
        <f t="shared" si="1"/>
        <v/>
      </c>
      <c r="S54" s="163" t="str">
        <f t="shared" si="2"/>
        <v/>
      </c>
      <c r="T54" s="160" t="str">
        <f>IFERROR(INDEX(上年标准成本!$I:$I,MATCH(K54,上年标准成本!$C:$C,0),1),"")</f>
        <v/>
      </c>
      <c r="U54" s="126" t="str">
        <f t="shared" si="3"/>
        <v/>
      </c>
      <c r="V54" s="126" t="str">
        <f t="shared" si="4"/>
        <v/>
      </c>
      <c r="W54" s="124" t="str">
        <f t="shared" si="5"/>
        <v/>
      </c>
      <c r="X54" s="125" t="str">
        <f t="shared" si="0"/>
        <v/>
      </c>
    </row>
    <row r="55" spans="1:24" x14ac:dyDescent="0.3">
      <c r="A55" s="129"/>
      <c r="B55" s="129"/>
      <c r="C55" s="128"/>
      <c r="D55" s="128"/>
      <c r="E55" s="128"/>
      <c r="F55" s="166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6" t="str">
        <f t="shared" si="1"/>
        <v/>
      </c>
      <c r="S55" s="163" t="str">
        <f t="shared" si="2"/>
        <v/>
      </c>
      <c r="T55" s="160" t="str">
        <f>IFERROR(INDEX(上年标准成本!$I:$I,MATCH(K55,上年标准成本!$C:$C,0),1),"")</f>
        <v/>
      </c>
      <c r="U55" s="126" t="str">
        <f t="shared" si="3"/>
        <v/>
      </c>
      <c r="V55" s="126" t="str">
        <f t="shared" si="4"/>
        <v/>
      </c>
      <c r="W55" s="124" t="str">
        <f t="shared" si="5"/>
        <v/>
      </c>
      <c r="X55" s="125" t="str">
        <f t="shared" si="0"/>
        <v/>
      </c>
    </row>
    <row r="56" spans="1:24" x14ac:dyDescent="0.3">
      <c r="A56" s="129"/>
      <c r="B56" s="129"/>
      <c r="C56" s="128"/>
      <c r="D56" s="128"/>
      <c r="E56" s="128"/>
      <c r="F56" s="166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6" t="str">
        <f t="shared" si="1"/>
        <v/>
      </c>
      <c r="S56" s="163" t="str">
        <f t="shared" si="2"/>
        <v/>
      </c>
      <c r="T56" s="160" t="str">
        <f>IFERROR(INDEX(上年标准成本!$I:$I,MATCH(K56,上年标准成本!$C:$C,0),1),"")</f>
        <v/>
      </c>
      <c r="U56" s="126" t="str">
        <f t="shared" si="3"/>
        <v/>
      </c>
      <c r="V56" s="126" t="str">
        <f t="shared" si="4"/>
        <v/>
      </c>
      <c r="W56" s="124" t="str">
        <f t="shared" si="5"/>
        <v/>
      </c>
      <c r="X56" s="125" t="str">
        <f t="shared" si="0"/>
        <v/>
      </c>
    </row>
    <row r="57" spans="1:24" x14ac:dyDescent="0.3">
      <c r="A57" s="129"/>
      <c r="B57" s="129"/>
      <c r="C57" s="128"/>
      <c r="D57" s="128"/>
      <c r="E57" s="128"/>
      <c r="F57" s="166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6" t="str">
        <f t="shared" si="1"/>
        <v/>
      </c>
      <c r="S57" s="163" t="str">
        <f t="shared" si="2"/>
        <v/>
      </c>
      <c r="T57" s="160" t="str">
        <f>IFERROR(INDEX(上年标准成本!$I:$I,MATCH(K57,上年标准成本!$C:$C,0),1),"")</f>
        <v/>
      </c>
      <c r="U57" s="126" t="str">
        <f t="shared" si="3"/>
        <v/>
      </c>
      <c r="V57" s="126" t="str">
        <f t="shared" si="4"/>
        <v/>
      </c>
      <c r="W57" s="124" t="str">
        <f t="shared" si="5"/>
        <v/>
      </c>
      <c r="X57" s="125" t="str">
        <f t="shared" si="0"/>
        <v/>
      </c>
    </row>
    <row r="58" spans="1:24" x14ac:dyDescent="0.3">
      <c r="A58" s="129"/>
      <c r="B58" s="129"/>
      <c r="C58" s="128"/>
      <c r="D58" s="128"/>
      <c r="E58" s="128"/>
      <c r="F58" s="166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6" t="str">
        <f t="shared" si="1"/>
        <v/>
      </c>
      <c r="S58" s="163" t="str">
        <f t="shared" si="2"/>
        <v/>
      </c>
      <c r="T58" s="160" t="str">
        <f>IFERROR(INDEX(上年标准成本!$I:$I,MATCH(K58,上年标准成本!$C:$C,0),1),"")</f>
        <v/>
      </c>
      <c r="U58" s="126" t="str">
        <f t="shared" si="3"/>
        <v/>
      </c>
      <c r="V58" s="126" t="str">
        <f t="shared" si="4"/>
        <v/>
      </c>
      <c r="W58" s="124" t="str">
        <f t="shared" si="5"/>
        <v/>
      </c>
      <c r="X58" s="125" t="str">
        <f t="shared" si="0"/>
        <v/>
      </c>
    </row>
    <row r="59" spans="1:24" x14ac:dyDescent="0.3">
      <c r="A59" s="129"/>
      <c r="B59" s="129"/>
      <c r="C59" s="128"/>
      <c r="D59" s="128"/>
      <c r="E59" s="128"/>
      <c r="F59" s="166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6" t="str">
        <f t="shared" si="1"/>
        <v/>
      </c>
      <c r="S59" s="163" t="str">
        <f t="shared" si="2"/>
        <v/>
      </c>
      <c r="T59" s="160" t="str">
        <f>IFERROR(INDEX(上年标准成本!$I:$I,MATCH(K59,上年标准成本!$C:$C,0),1),"")</f>
        <v/>
      </c>
      <c r="U59" s="126" t="str">
        <f t="shared" si="3"/>
        <v/>
      </c>
      <c r="V59" s="126" t="str">
        <f t="shared" si="4"/>
        <v/>
      </c>
      <c r="W59" s="124" t="str">
        <f t="shared" si="5"/>
        <v/>
      </c>
      <c r="X59" s="125" t="str">
        <f t="shared" si="0"/>
        <v/>
      </c>
    </row>
    <row r="60" spans="1:24" x14ac:dyDescent="0.3">
      <c r="A60" s="129"/>
      <c r="B60" s="129"/>
      <c r="C60" s="128"/>
      <c r="D60" s="128"/>
      <c r="E60" s="128"/>
      <c r="F60" s="166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6" t="str">
        <f t="shared" si="1"/>
        <v/>
      </c>
      <c r="S60" s="163" t="str">
        <f t="shared" si="2"/>
        <v/>
      </c>
      <c r="T60" s="160" t="str">
        <f>IFERROR(INDEX(上年标准成本!$I:$I,MATCH(K60,上年标准成本!$C:$C,0),1),"")</f>
        <v/>
      </c>
      <c r="U60" s="126" t="str">
        <f t="shared" si="3"/>
        <v/>
      </c>
      <c r="V60" s="126" t="str">
        <f t="shared" si="4"/>
        <v/>
      </c>
      <c r="W60" s="124" t="str">
        <f t="shared" si="5"/>
        <v/>
      </c>
      <c r="X60" s="125" t="str">
        <f t="shared" si="0"/>
        <v/>
      </c>
    </row>
    <row r="61" spans="1:24" x14ac:dyDescent="0.3">
      <c r="A61" s="129"/>
      <c r="B61" s="129"/>
      <c r="C61" s="128"/>
      <c r="D61" s="128"/>
      <c r="E61" s="128"/>
      <c r="F61" s="166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6" t="str">
        <f t="shared" si="1"/>
        <v/>
      </c>
      <c r="S61" s="163" t="str">
        <f t="shared" si="2"/>
        <v/>
      </c>
      <c r="T61" s="160" t="str">
        <f>IFERROR(INDEX(上年标准成本!$I:$I,MATCH(K61,上年标准成本!$C:$C,0),1),"")</f>
        <v/>
      </c>
      <c r="U61" s="126" t="str">
        <f t="shared" si="3"/>
        <v/>
      </c>
      <c r="V61" s="126" t="str">
        <f t="shared" si="4"/>
        <v/>
      </c>
      <c r="W61" s="124" t="str">
        <f t="shared" si="5"/>
        <v/>
      </c>
      <c r="X61" s="125" t="str">
        <f t="shared" si="0"/>
        <v/>
      </c>
    </row>
    <row r="62" spans="1:24" x14ac:dyDescent="0.3">
      <c r="A62" s="129"/>
      <c r="B62" s="129"/>
      <c r="C62" s="128"/>
      <c r="D62" s="128"/>
      <c r="E62" s="128"/>
      <c r="F62" s="166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6" t="str">
        <f t="shared" si="1"/>
        <v/>
      </c>
      <c r="S62" s="163" t="str">
        <f t="shared" si="2"/>
        <v/>
      </c>
      <c r="T62" s="160" t="str">
        <f>IFERROR(INDEX(上年标准成本!$I:$I,MATCH(K62,上年标准成本!$C:$C,0),1),"")</f>
        <v/>
      </c>
      <c r="U62" s="126" t="str">
        <f t="shared" si="3"/>
        <v/>
      </c>
      <c r="V62" s="126" t="str">
        <f t="shared" si="4"/>
        <v/>
      </c>
      <c r="W62" s="124" t="str">
        <f t="shared" si="5"/>
        <v/>
      </c>
      <c r="X62" s="125" t="str">
        <f t="shared" si="0"/>
        <v/>
      </c>
    </row>
    <row r="63" spans="1:24" x14ac:dyDescent="0.3">
      <c r="A63" s="129"/>
      <c r="B63" s="129"/>
      <c r="C63" s="128"/>
      <c r="D63" s="128"/>
      <c r="E63" s="128"/>
      <c r="F63" s="166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6" t="str">
        <f t="shared" si="1"/>
        <v/>
      </c>
      <c r="S63" s="163" t="str">
        <f t="shared" si="2"/>
        <v/>
      </c>
      <c r="T63" s="160" t="str">
        <f>IFERROR(INDEX(上年标准成本!$I:$I,MATCH(K63,上年标准成本!$C:$C,0),1),"")</f>
        <v/>
      </c>
      <c r="U63" s="126" t="str">
        <f t="shared" si="3"/>
        <v/>
      </c>
      <c r="V63" s="126" t="str">
        <f t="shared" si="4"/>
        <v/>
      </c>
      <c r="W63" s="124" t="str">
        <f t="shared" si="5"/>
        <v/>
      </c>
      <c r="X63" s="125" t="str">
        <f t="shared" si="0"/>
        <v/>
      </c>
    </row>
    <row r="64" spans="1:24" x14ac:dyDescent="0.3">
      <c r="A64" s="129"/>
      <c r="B64" s="129"/>
      <c r="C64" s="128"/>
      <c r="D64" s="128"/>
      <c r="E64" s="128"/>
      <c r="F64" s="166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6" t="str">
        <f t="shared" si="1"/>
        <v/>
      </c>
      <c r="S64" s="163" t="str">
        <f t="shared" si="2"/>
        <v/>
      </c>
      <c r="T64" s="160" t="str">
        <f>IFERROR(INDEX(上年标准成本!$I:$I,MATCH(K64,上年标准成本!$C:$C,0),1),"")</f>
        <v/>
      </c>
      <c r="U64" s="126" t="str">
        <f t="shared" si="3"/>
        <v/>
      </c>
      <c r="V64" s="126" t="str">
        <f t="shared" si="4"/>
        <v/>
      </c>
      <c r="W64" s="124" t="str">
        <f t="shared" si="5"/>
        <v/>
      </c>
      <c r="X64" s="125" t="str">
        <f t="shared" si="0"/>
        <v/>
      </c>
    </row>
    <row r="65" spans="1:24" x14ac:dyDescent="0.3">
      <c r="A65" s="129"/>
      <c r="B65" s="129"/>
      <c r="C65" s="128"/>
      <c r="D65" s="128"/>
      <c r="E65" s="128"/>
      <c r="F65" s="166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6" t="str">
        <f t="shared" si="1"/>
        <v/>
      </c>
      <c r="S65" s="163" t="str">
        <f t="shared" si="2"/>
        <v/>
      </c>
      <c r="T65" s="160" t="str">
        <f>IFERROR(INDEX(上年标准成本!$I:$I,MATCH(K65,上年标准成本!$C:$C,0),1),"")</f>
        <v/>
      </c>
      <c r="U65" s="126" t="str">
        <f t="shared" si="3"/>
        <v/>
      </c>
      <c r="V65" s="126" t="str">
        <f t="shared" si="4"/>
        <v/>
      </c>
      <c r="W65" s="124" t="str">
        <f t="shared" si="5"/>
        <v/>
      </c>
      <c r="X65" s="125" t="str">
        <f t="shared" si="0"/>
        <v/>
      </c>
    </row>
    <row r="66" spans="1:24" x14ac:dyDescent="0.3">
      <c r="A66" s="129"/>
      <c r="B66" s="129"/>
      <c r="C66" s="128"/>
      <c r="D66" s="128"/>
      <c r="E66" s="128"/>
      <c r="F66" s="166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6" t="str">
        <f t="shared" si="1"/>
        <v/>
      </c>
      <c r="S66" s="163" t="str">
        <f t="shared" si="2"/>
        <v/>
      </c>
      <c r="T66" s="160" t="str">
        <f>IFERROR(INDEX(上年标准成本!$I:$I,MATCH(K66,上年标准成本!$C:$C,0),1),"")</f>
        <v/>
      </c>
      <c r="U66" s="126" t="str">
        <f t="shared" si="3"/>
        <v/>
      </c>
      <c r="V66" s="126" t="str">
        <f t="shared" si="4"/>
        <v/>
      </c>
      <c r="W66" s="124" t="str">
        <f t="shared" si="5"/>
        <v/>
      </c>
      <c r="X66" s="125" t="str">
        <f t="shared" ref="X66:X129" si="6">IFERROR(IF(W66/SUM(W:W)=0,"",W66/SUM(W:W)),"")</f>
        <v/>
      </c>
    </row>
    <row r="67" spans="1:24" x14ac:dyDescent="0.3">
      <c r="A67" s="129"/>
      <c r="B67" s="129"/>
      <c r="C67" s="128"/>
      <c r="D67" s="128"/>
      <c r="E67" s="128"/>
      <c r="F67" s="166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6" t="str">
        <f t="shared" ref="R67:R130" si="7">IFERROR(P67/O67,"")</f>
        <v/>
      </c>
      <c r="S67" s="163" t="str">
        <f t="shared" ref="S67:S130" si="8">IFERROR(R67*(1+Q67),"")</f>
        <v/>
      </c>
      <c r="T67" s="160" t="str">
        <f>IFERROR(INDEX(上年标准成本!$I:$I,MATCH(K67,上年标准成本!$C:$C,0),1),"")</f>
        <v/>
      </c>
      <c r="U67" s="126" t="str">
        <f t="shared" ref="U67:U130" si="9">IFERROR(O67*T67,"")</f>
        <v/>
      </c>
      <c r="V67" s="126" t="str">
        <f t="shared" ref="V67:V130" si="10">IFERROR(P67-U67,"")</f>
        <v/>
      </c>
      <c r="W67" s="124" t="str">
        <f t="shared" ref="W67:W130" si="11">IFERROR(V67/P67,"")</f>
        <v/>
      </c>
      <c r="X67" s="125" t="str">
        <f t="shared" si="6"/>
        <v/>
      </c>
    </row>
    <row r="68" spans="1:24" x14ac:dyDescent="0.3">
      <c r="A68" s="129"/>
      <c r="B68" s="129"/>
      <c r="C68" s="128"/>
      <c r="D68" s="128"/>
      <c r="E68" s="128"/>
      <c r="F68" s="166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6" t="str">
        <f t="shared" si="7"/>
        <v/>
      </c>
      <c r="S68" s="163" t="str">
        <f t="shared" si="8"/>
        <v/>
      </c>
      <c r="T68" s="160" t="str">
        <f>IFERROR(INDEX(上年标准成本!$I:$I,MATCH(K68,上年标准成本!$C:$C,0),1),"")</f>
        <v/>
      </c>
      <c r="U68" s="126" t="str">
        <f t="shared" si="9"/>
        <v/>
      </c>
      <c r="V68" s="126" t="str">
        <f t="shared" si="10"/>
        <v/>
      </c>
      <c r="W68" s="124" t="str">
        <f t="shared" si="11"/>
        <v/>
      </c>
      <c r="X68" s="125" t="str">
        <f t="shared" si="6"/>
        <v/>
      </c>
    </row>
    <row r="69" spans="1:24" x14ac:dyDescent="0.3">
      <c r="A69" s="129"/>
      <c r="B69" s="129"/>
      <c r="C69" s="128"/>
      <c r="D69" s="128"/>
      <c r="E69" s="128"/>
      <c r="F69" s="166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6" t="str">
        <f t="shared" si="7"/>
        <v/>
      </c>
      <c r="S69" s="163" t="str">
        <f t="shared" si="8"/>
        <v/>
      </c>
      <c r="T69" s="160" t="str">
        <f>IFERROR(INDEX(上年标准成本!$I:$I,MATCH(K69,上年标准成本!$C:$C,0),1),"")</f>
        <v/>
      </c>
      <c r="U69" s="126" t="str">
        <f t="shared" si="9"/>
        <v/>
      </c>
      <c r="V69" s="126" t="str">
        <f t="shared" si="10"/>
        <v/>
      </c>
      <c r="W69" s="124" t="str">
        <f t="shared" si="11"/>
        <v/>
      </c>
      <c r="X69" s="125" t="str">
        <f t="shared" si="6"/>
        <v/>
      </c>
    </row>
    <row r="70" spans="1:24" x14ac:dyDescent="0.3">
      <c r="A70" s="129"/>
      <c r="B70" s="129"/>
      <c r="C70" s="128"/>
      <c r="D70" s="128"/>
      <c r="E70" s="128"/>
      <c r="F70" s="166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6" t="str">
        <f t="shared" si="7"/>
        <v/>
      </c>
      <c r="S70" s="163" t="str">
        <f t="shared" si="8"/>
        <v/>
      </c>
      <c r="T70" s="160" t="str">
        <f>IFERROR(INDEX(上年标准成本!$I:$I,MATCH(K70,上年标准成本!$C:$C,0),1),"")</f>
        <v/>
      </c>
      <c r="U70" s="126" t="str">
        <f t="shared" si="9"/>
        <v/>
      </c>
      <c r="V70" s="126" t="str">
        <f t="shared" si="10"/>
        <v/>
      </c>
      <c r="W70" s="124" t="str">
        <f t="shared" si="11"/>
        <v/>
      </c>
      <c r="X70" s="125" t="str">
        <f t="shared" si="6"/>
        <v/>
      </c>
    </row>
    <row r="71" spans="1:24" x14ac:dyDescent="0.3">
      <c r="A71" s="129"/>
      <c r="B71" s="129"/>
      <c r="C71" s="128"/>
      <c r="D71" s="128"/>
      <c r="E71" s="128"/>
      <c r="F71" s="166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6" t="str">
        <f t="shared" si="7"/>
        <v/>
      </c>
      <c r="S71" s="163" t="str">
        <f t="shared" si="8"/>
        <v/>
      </c>
      <c r="T71" s="160" t="str">
        <f>IFERROR(INDEX(上年标准成本!$I:$I,MATCH(K71,上年标准成本!$C:$C,0),1),"")</f>
        <v/>
      </c>
      <c r="U71" s="126" t="str">
        <f t="shared" si="9"/>
        <v/>
      </c>
      <c r="V71" s="126" t="str">
        <f t="shared" si="10"/>
        <v/>
      </c>
      <c r="W71" s="124" t="str">
        <f t="shared" si="11"/>
        <v/>
      </c>
      <c r="X71" s="125" t="str">
        <f t="shared" si="6"/>
        <v/>
      </c>
    </row>
    <row r="72" spans="1:24" x14ac:dyDescent="0.3">
      <c r="A72" s="129"/>
      <c r="B72" s="129"/>
      <c r="C72" s="128"/>
      <c r="D72" s="128"/>
      <c r="E72" s="128"/>
      <c r="F72" s="166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6" t="str">
        <f t="shared" si="7"/>
        <v/>
      </c>
      <c r="S72" s="163" t="str">
        <f t="shared" si="8"/>
        <v/>
      </c>
      <c r="T72" s="160" t="str">
        <f>IFERROR(INDEX(上年标准成本!$I:$I,MATCH(K72,上年标准成本!$C:$C,0),1),"")</f>
        <v/>
      </c>
      <c r="U72" s="126" t="str">
        <f t="shared" si="9"/>
        <v/>
      </c>
      <c r="V72" s="126" t="str">
        <f t="shared" si="10"/>
        <v/>
      </c>
      <c r="W72" s="124" t="str">
        <f t="shared" si="11"/>
        <v/>
      </c>
      <c r="X72" s="125" t="str">
        <f t="shared" si="6"/>
        <v/>
      </c>
    </row>
    <row r="73" spans="1:24" x14ac:dyDescent="0.3">
      <c r="A73" s="129"/>
      <c r="B73" s="129"/>
      <c r="C73" s="128"/>
      <c r="D73" s="128"/>
      <c r="E73" s="128"/>
      <c r="F73" s="166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6" t="str">
        <f t="shared" si="7"/>
        <v/>
      </c>
      <c r="S73" s="163" t="str">
        <f t="shared" si="8"/>
        <v/>
      </c>
      <c r="T73" s="160" t="str">
        <f>IFERROR(INDEX(上年标准成本!$I:$I,MATCH(K73,上年标准成本!$C:$C,0),1),"")</f>
        <v/>
      </c>
      <c r="U73" s="126" t="str">
        <f t="shared" si="9"/>
        <v/>
      </c>
      <c r="V73" s="126" t="str">
        <f t="shared" si="10"/>
        <v/>
      </c>
      <c r="W73" s="124" t="str">
        <f t="shared" si="11"/>
        <v/>
      </c>
      <c r="X73" s="125" t="str">
        <f t="shared" si="6"/>
        <v/>
      </c>
    </row>
    <row r="74" spans="1:24" x14ac:dyDescent="0.3">
      <c r="A74" s="129"/>
      <c r="B74" s="129"/>
      <c r="C74" s="128"/>
      <c r="D74" s="128"/>
      <c r="E74" s="128"/>
      <c r="F74" s="166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6" t="str">
        <f t="shared" si="7"/>
        <v/>
      </c>
      <c r="S74" s="163" t="str">
        <f t="shared" si="8"/>
        <v/>
      </c>
      <c r="T74" s="160" t="str">
        <f>IFERROR(INDEX(上年标准成本!$I:$I,MATCH(K74,上年标准成本!$C:$C,0),1),"")</f>
        <v/>
      </c>
      <c r="U74" s="126" t="str">
        <f t="shared" si="9"/>
        <v/>
      </c>
      <c r="V74" s="126" t="str">
        <f t="shared" si="10"/>
        <v/>
      </c>
      <c r="W74" s="124" t="str">
        <f t="shared" si="11"/>
        <v/>
      </c>
      <c r="X74" s="125" t="str">
        <f t="shared" si="6"/>
        <v/>
      </c>
    </row>
    <row r="75" spans="1:24" x14ac:dyDescent="0.3">
      <c r="A75" s="129"/>
      <c r="B75" s="129"/>
      <c r="C75" s="128"/>
      <c r="D75" s="128"/>
      <c r="E75" s="128"/>
      <c r="F75" s="166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6" t="str">
        <f t="shared" si="7"/>
        <v/>
      </c>
      <c r="S75" s="163" t="str">
        <f t="shared" si="8"/>
        <v/>
      </c>
      <c r="T75" s="160" t="str">
        <f>IFERROR(INDEX(上年标准成本!$I:$I,MATCH(K75,上年标准成本!$C:$C,0),1),"")</f>
        <v/>
      </c>
      <c r="U75" s="126" t="str">
        <f t="shared" si="9"/>
        <v/>
      </c>
      <c r="V75" s="126" t="str">
        <f t="shared" si="10"/>
        <v/>
      </c>
      <c r="W75" s="124" t="str">
        <f t="shared" si="11"/>
        <v/>
      </c>
      <c r="X75" s="125" t="str">
        <f t="shared" si="6"/>
        <v/>
      </c>
    </row>
    <row r="76" spans="1:24" x14ac:dyDescent="0.3">
      <c r="A76" s="129"/>
      <c r="B76" s="129"/>
      <c r="C76" s="128"/>
      <c r="D76" s="128"/>
      <c r="E76" s="128"/>
      <c r="F76" s="166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6" t="str">
        <f t="shared" si="7"/>
        <v/>
      </c>
      <c r="S76" s="163" t="str">
        <f t="shared" si="8"/>
        <v/>
      </c>
      <c r="T76" s="160" t="str">
        <f>IFERROR(INDEX(上年标准成本!$I:$I,MATCH(K76,上年标准成本!$C:$C,0),1),"")</f>
        <v/>
      </c>
      <c r="U76" s="126" t="str">
        <f t="shared" si="9"/>
        <v/>
      </c>
      <c r="V76" s="126" t="str">
        <f t="shared" si="10"/>
        <v/>
      </c>
      <c r="W76" s="124" t="str">
        <f t="shared" si="11"/>
        <v/>
      </c>
      <c r="X76" s="125" t="str">
        <f t="shared" si="6"/>
        <v/>
      </c>
    </row>
    <row r="77" spans="1:24" x14ac:dyDescent="0.3">
      <c r="A77" s="129"/>
      <c r="B77" s="129"/>
      <c r="C77" s="128"/>
      <c r="D77" s="128"/>
      <c r="E77" s="128"/>
      <c r="F77" s="166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6" t="str">
        <f t="shared" si="7"/>
        <v/>
      </c>
      <c r="S77" s="163" t="str">
        <f t="shared" si="8"/>
        <v/>
      </c>
      <c r="T77" s="160" t="str">
        <f>IFERROR(INDEX(上年标准成本!$I:$I,MATCH(K77,上年标准成本!$C:$C,0),1),"")</f>
        <v/>
      </c>
      <c r="U77" s="126" t="str">
        <f t="shared" si="9"/>
        <v/>
      </c>
      <c r="V77" s="126" t="str">
        <f t="shared" si="10"/>
        <v/>
      </c>
      <c r="W77" s="124" t="str">
        <f t="shared" si="11"/>
        <v/>
      </c>
      <c r="X77" s="125" t="str">
        <f t="shared" si="6"/>
        <v/>
      </c>
    </row>
    <row r="78" spans="1:24" x14ac:dyDescent="0.3">
      <c r="A78" s="129"/>
      <c r="B78" s="129"/>
      <c r="C78" s="128"/>
      <c r="D78" s="128"/>
      <c r="E78" s="128"/>
      <c r="F78" s="166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6" t="str">
        <f t="shared" si="7"/>
        <v/>
      </c>
      <c r="S78" s="163" t="str">
        <f t="shared" si="8"/>
        <v/>
      </c>
      <c r="T78" s="160" t="str">
        <f>IFERROR(INDEX(上年标准成本!$I:$I,MATCH(K78,上年标准成本!$C:$C,0),1),"")</f>
        <v/>
      </c>
      <c r="U78" s="126" t="str">
        <f t="shared" si="9"/>
        <v/>
      </c>
      <c r="V78" s="126" t="str">
        <f t="shared" si="10"/>
        <v/>
      </c>
      <c r="W78" s="124" t="str">
        <f t="shared" si="11"/>
        <v/>
      </c>
      <c r="X78" s="125" t="str">
        <f t="shared" si="6"/>
        <v/>
      </c>
    </row>
    <row r="79" spans="1:24" x14ac:dyDescent="0.3">
      <c r="A79" s="129"/>
      <c r="B79" s="129"/>
      <c r="C79" s="128"/>
      <c r="D79" s="128"/>
      <c r="E79" s="128"/>
      <c r="F79" s="166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6" t="str">
        <f t="shared" si="7"/>
        <v/>
      </c>
      <c r="S79" s="163" t="str">
        <f t="shared" si="8"/>
        <v/>
      </c>
      <c r="T79" s="160" t="str">
        <f>IFERROR(INDEX(上年标准成本!$I:$I,MATCH(K79,上年标准成本!$C:$C,0),1),"")</f>
        <v/>
      </c>
      <c r="U79" s="126" t="str">
        <f t="shared" si="9"/>
        <v/>
      </c>
      <c r="V79" s="126" t="str">
        <f t="shared" si="10"/>
        <v/>
      </c>
      <c r="W79" s="124" t="str">
        <f t="shared" si="11"/>
        <v/>
      </c>
      <c r="X79" s="125" t="str">
        <f t="shared" si="6"/>
        <v/>
      </c>
    </row>
    <row r="80" spans="1:24" x14ac:dyDescent="0.3">
      <c r="A80" s="129"/>
      <c r="B80" s="129"/>
      <c r="C80" s="128"/>
      <c r="D80" s="128"/>
      <c r="E80" s="128"/>
      <c r="F80" s="166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6" t="str">
        <f t="shared" si="7"/>
        <v/>
      </c>
      <c r="S80" s="163" t="str">
        <f t="shared" si="8"/>
        <v/>
      </c>
      <c r="T80" s="160" t="str">
        <f>IFERROR(INDEX(上年标准成本!$I:$I,MATCH(K80,上年标准成本!$C:$C,0),1),"")</f>
        <v/>
      </c>
      <c r="U80" s="126" t="str">
        <f t="shared" si="9"/>
        <v/>
      </c>
      <c r="V80" s="126" t="str">
        <f t="shared" si="10"/>
        <v/>
      </c>
      <c r="W80" s="124" t="str">
        <f t="shared" si="11"/>
        <v/>
      </c>
      <c r="X80" s="125" t="str">
        <f t="shared" si="6"/>
        <v/>
      </c>
    </row>
    <row r="81" spans="1:24" x14ac:dyDescent="0.3">
      <c r="A81" s="129"/>
      <c r="B81" s="129"/>
      <c r="C81" s="128"/>
      <c r="D81" s="128"/>
      <c r="E81" s="128"/>
      <c r="F81" s="166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6" t="str">
        <f t="shared" si="7"/>
        <v/>
      </c>
      <c r="S81" s="163" t="str">
        <f t="shared" si="8"/>
        <v/>
      </c>
      <c r="T81" s="160" t="str">
        <f>IFERROR(INDEX(上年标准成本!$I:$I,MATCH(K81,上年标准成本!$C:$C,0),1),"")</f>
        <v/>
      </c>
      <c r="U81" s="126" t="str">
        <f t="shared" si="9"/>
        <v/>
      </c>
      <c r="V81" s="126" t="str">
        <f t="shared" si="10"/>
        <v/>
      </c>
      <c r="W81" s="124" t="str">
        <f t="shared" si="11"/>
        <v/>
      </c>
      <c r="X81" s="125" t="str">
        <f t="shared" si="6"/>
        <v/>
      </c>
    </row>
    <row r="82" spans="1:24" x14ac:dyDescent="0.3">
      <c r="A82" s="129"/>
      <c r="B82" s="129"/>
      <c r="C82" s="128"/>
      <c r="D82" s="128"/>
      <c r="E82" s="128"/>
      <c r="F82" s="166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6" t="str">
        <f t="shared" si="7"/>
        <v/>
      </c>
      <c r="S82" s="163" t="str">
        <f t="shared" si="8"/>
        <v/>
      </c>
      <c r="T82" s="160" t="str">
        <f>IFERROR(INDEX(上年标准成本!$I:$I,MATCH(K82,上年标准成本!$C:$C,0),1),"")</f>
        <v/>
      </c>
      <c r="U82" s="126" t="str">
        <f t="shared" si="9"/>
        <v/>
      </c>
      <c r="V82" s="126" t="str">
        <f t="shared" si="10"/>
        <v/>
      </c>
      <c r="W82" s="124" t="str">
        <f t="shared" si="11"/>
        <v/>
      </c>
      <c r="X82" s="125" t="str">
        <f t="shared" si="6"/>
        <v/>
      </c>
    </row>
    <row r="83" spans="1:24" x14ac:dyDescent="0.3">
      <c r="A83" s="129"/>
      <c r="B83" s="129"/>
      <c r="C83" s="128"/>
      <c r="D83" s="128"/>
      <c r="E83" s="128"/>
      <c r="F83" s="166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6" t="str">
        <f t="shared" si="7"/>
        <v/>
      </c>
      <c r="S83" s="163" t="str">
        <f t="shared" si="8"/>
        <v/>
      </c>
      <c r="T83" s="160" t="str">
        <f>IFERROR(INDEX(上年标准成本!$I:$I,MATCH(K83,上年标准成本!$C:$C,0),1),"")</f>
        <v/>
      </c>
      <c r="U83" s="126" t="str">
        <f t="shared" si="9"/>
        <v/>
      </c>
      <c r="V83" s="126" t="str">
        <f t="shared" si="10"/>
        <v/>
      </c>
      <c r="W83" s="124" t="str">
        <f t="shared" si="11"/>
        <v/>
      </c>
      <c r="X83" s="125" t="str">
        <f t="shared" si="6"/>
        <v/>
      </c>
    </row>
    <row r="84" spans="1:24" x14ac:dyDescent="0.3">
      <c r="A84" s="129"/>
      <c r="B84" s="129"/>
      <c r="C84" s="128"/>
      <c r="D84" s="128"/>
      <c r="E84" s="128"/>
      <c r="F84" s="166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6" t="str">
        <f t="shared" si="7"/>
        <v/>
      </c>
      <c r="S84" s="163" t="str">
        <f t="shared" si="8"/>
        <v/>
      </c>
      <c r="T84" s="160" t="str">
        <f>IFERROR(INDEX(上年标准成本!$I:$I,MATCH(K84,上年标准成本!$C:$C,0),1),"")</f>
        <v/>
      </c>
      <c r="U84" s="126" t="str">
        <f t="shared" si="9"/>
        <v/>
      </c>
      <c r="V84" s="126" t="str">
        <f t="shared" si="10"/>
        <v/>
      </c>
      <c r="W84" s="124" t="str">
        <f t="shared" si="11"/>
        <v/>
      </c>
      <c r="X84" s="125" t="str">
        <f t="shared" si="6"/>
        <v/>
      </c>
    </row>
    <row r="85" spans="1:24" x14ac:dyDescent="0.3">
      <c r="A85" s="129"/>
      <c r="B85" s="129"/>
      <c r="C85" s="128"/>
      <c r="D85" s="128"/>
      <c r="E85" s="128"/>
      <c r="F85" s="166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6" t="str">
        <f t="shared" si="7"/>
        <v/>
      </c>
      <c r="S85" s="163" t="str">
        <f t="shared" si="8"/>
        <v/>
      </c>
      <c r="T85" s="160" t="str">
        <f>IFERROR(INDEX(上年标准成本!$I:$I,MATCH(K85,上年标准成本!$C:$C,0),1),"")</f>
        <v/>
      </c>
      <c r="U85" s="126" t="str">
        <f t="shared" si="9"/>
        <v/>
      </c>
      <c r="V85" s="126" t="str">
        <f t="shared" si="10"/>
        <v/>
      </c>
      <c r="W85" s="124" t="str">
        <f t="shared" si="11"/>
        <v/>
      </c>
      <c r="X85" s="125" t="str">
        <f t="shared" si="6"/>
        <v/>
      </c>
    </row>
    <row r="86" spans="1:24" x14ac:dyDescent="0.3">
      <c r="A86" s="129"/>
      <c r="B86" s="129"/>
      <c r="C86" s="128"/>
      <c r="D86" s="128"/>
      <c r="E86" s="128"/>
      <c r="F86" s="166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6" t="str">
        <f t="shared" si="7"/>
        <v/>
      </c>
      <c r="S86" s="163" t="str">
        <f t="shared" si="8"/>
        <v/>
      </c>
      <c r="T86" s="160" t="str">
        <f>IFERROR(INDEX(上年标准成本!$I:$I,MATCH(K86,上年标准成本!$C:$C,0),1),"")</f>
        <v/>
      </c>
      <c r="U86" s="126" t="str">
        <f t="shared" si="9"/>
        <v/>
      </c>
      <c r="V86" s="126" t="str">
        <f t="shared" si="10"/>
        <v/>
      </c>
      <c r="W86" s="124" t="str">
        <f t="shared" si="11"/>
        <v/>
      </c>
      <c r="X86" s="125" t="str">
        <f t="shared" si="6"/>
        <v/>
      </c>
    </row>
    <row r="87" spans="1:24" x14ac:dyDescent="0.3">
      <c r="A87" s="129"/>
      <c r="B87" s="129"/>
      <c r="C87" s="128"/>
      <c r="D87" s="128"/>
      <c r="E87" s="128"/>
      <c r="F87" s="166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6" t="str">
        <f t="shared" si="7"/>
        <v/>
      </c>
      <c r="S87" s="163" t="str">
        <f t="shared" si="8"/>
        <v/>
      </c>
      <c r="T87" s="160" t="str">
        <f>IFERROR(INDEX(上年标准成本!$I:$I,MATCH(K87,上年标准成本!$C:$C,0),1),"")</f>
        <v/>
      </c>
      <c r="U87" s="126" t="str">
        <f t="shared" si="9"/>
        <v/>
      </c>
      <c r="V87" s="126" t="str">
        <f t="shared" si="10"/>
        <v/>
      </c>
      <c r="W87" s="124" t="str">
        <f t="shared" si="11"/>
        <v/>
      </c>
      <c r="X87" s="125" t="str">
        <f t="shared" si="6"/>
        <v/>
      </c>
    </row>
    <row r="88" spans="1:24" x14ac:dyDescent="0.3">
      <c r="A88" s="129"/>
      <c r="B88" s="129"/>
      <c r="C88" s="128"/>
      <c r="D88" s="128"/>
      <c r="E88" s="128"/>
      <c r="F88" s="166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6" t="str">
        <f t="shared" si="7"/>
        <v/>
      </c>
      <c r="S88" s="163" t="str">
        <f t="shared" si="8"/>
        <v/>
      </c>
      <c r="T88" s="160" t="str">
        <f>IFERROR(INDEX(上年标准成本!$I:$I,MATCH(K88,上年标准成本!$C:$C,0),1),"")</f>
        <v/>
      </c>
      <c r="U88" s="126" t="str">
        <f t="shared" si="9"/>
        <v/>
      </c>
      <c r="V88" s="126" t="str">
        <f t="shared" si="10"/>
        <v/>
      </c>
      <c r="W88" s="124" t="str">
        <f t="shared" si="11"/>
        <v/>
      </c>
      <c r="X88" s="125" t="str">
        <f t="shared" si="6"/>
        <v/>
      </c>
    </row>
    <row r="89" spans="1:24" x14ac:dyDescent="0.3">
      <c r="A89" s="129"/>
      <c r="B89" s="129"/>
      <c r="C89" s="128"/>
      <c r="D89" s="128"/>
      <c r="E89" s="128"/>
      <c r="F89" s="166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6" t="str">
        <f t="shared" si="7"/>
        <v/>
      </c>
      <c r="S89" s="163" t="str">
        <f t="shared" si="8"/>
        <v/>
      </c>
      <c r="T89" s="160" t="str">
        <f>IFERROR(INDEX(上年标准成本!$I:$I,MATCH(K89,上年标准成本!$C:$C,0),1),"")</f>
        <v/>
      </c>
      <c r="U89" s="126" t="str">
        <f t="shared" si="9"/>
        <v/>
      </c>
      <c r="V89" s="126" t="str">
        <f t="shared" si="10"/>
        <v/>
      </c>
      <c r="W89" s="124" t="str">
        <f t="shared" si="11"/>
        <v/>
      </c>
      <c r="X89" s="125" t="str">
        <f t="shared" si="6"/>
        <v/>
      </c>
    </row>
    <row r="90" spans="1:24" x14ac:dyDescent="0.3">
      <c r="A90" s="129"/>
      <c r="B90" s="129"/>
      <c r="C90" s="128"/>
      <c r="D90" s="128"/>
      <c r="E90" s="128"/>
      <c r="F90" s="166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6" t="str">
        <f t="shared" si="7"/>
        <v/>
      </c>
      <c r="S90" s="163" t="str">
        <f t="shared" si="8"/>
        <v/>
      </c>
      <c r="T90" s="160" t="str">
        <f>IFERROR(INDEX(上年标准成本!$I:$I,MATCH(K90,上年标准成本!$C:$C,0),1),"")</f>
        <v/>
      </c>
      <c r="U90" s="126" t="str">
        <f t="shared" si="9"/>
        <v/>
      </c>
      <c r="V90" s="126" t="str">
        <f t="shared" si="10"/>
        <v/>
      </c>
      <c r="W90" s="124" t="str">
        <f t="shared" si="11"/>
        <v/>
      </c>
      <c r="X90" s="125" t="str">
        <f t="shared" si="6"/>
        <v/>
      </c>
    </row>
    <row r="91" spans="1:24" x14ac:dyDescent="0.3">
      <c r="A91" s="129"/>
      <c r="B91" s="129"/>
      <c r="C91" s="128"/>
      <c r="D91" s="128"/>
      <c r="E91" s="128"/>
      <c r="F91" s="166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6" t="str">
        <f t="shared" si="7"/>
        <v/>
      </c>
      <c r="S91" s="163" t="str">
        <f t="shared" si="8"/>
        <v/>
      </c>
      <c r="T91" s="160" t="str">
        <f>IFERROR(INDEX(上年标准成本!$I:$I,MATCH(K91,上年标准成本!$C:$C,0),1),"")</f>
        <v/>
      </c>
      <c r="U91" s="126" t="str">
        <f t="shared" si="9"/>
        <v/>
      </c>
      <c r="V91" s="126" t="str">
        <f t="shared" si="10"/>
        <v/>
      </c>
      <c r="W91" s="124" t="str">
        <f t="shared" si="11"/>
        <v/>
      </c>
      <c r="X91" s="125" t="str">
        <f t="shared" si="6"/>
        <v/>
      </c>
    </row>
    <row r="92" spans="1:24" x14ac:dyDescent="0.3">
      <c r="A92" s="129"/>
      <c r="B92" s="129"/>
      <c r="C92" s="128"/>
      <c r="D92" s="128"/>
      <c r="E92" s="128"/>
      <c r="F92" s="166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6" t="str">
        <f t="shared" si="7"/>
        <v/>
      </c>
      <c r="S92" s="163" t="str">
        <f t="shared" si="8"/>
        <v/>
      </c>
      <c r="T92" s="160" t="str">
        <f>IFERROR(INDEX(上年标准成本!$I:$I,MATCH(K92,上年标准成本!$C:$C,0),1),"")</f>
        <v/>
      </c>
      <c r="U92" s="126" t="str">
        <f t="shared" si="9"/>
        <v/>
      </c>
      <c r="V92" s="126" t="str">
        <f t="shared" si="10"/>
        <v/>
      </c>
      <c r="W92" s="124" t="str">
        <f t="shared" si="11"/>
        <v/>
      </c>
      <c r="X92" s="125" t="str">
        <f t="shared" si="6"/>
        <v/>
      </c>
    </row>
    <row r="93" spans="1:24" x14ac:dyDescent="0.3">
      <c r="A93" s="129"/>
      <c r="B93" s="129"/>
      <c r="C93" s="128"/>
      <c r="D93" s="128"/>
      <c r="E93" s="128"/>
      <c r="F93" s="166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6" t="str">
        <f t="shared" si="7"/>
        <v/>
      </c>
      <c r="S93" s="163" t="str">
        <f t="shared" si="8"/>
        <v/>
      </c>
      <c r="T93" s="160" t="str">
        <f>IFERROR(INDEX(上年标准成本!$I:$I,MATCH(K93,上年标准成本!$C:$C,0),1),"")</f>
        <v/>
      </c>
      <c r="U93" s="126" t="str">
        <f t="shared" si="9"/>
        <v/>
      </c>
      <c r="V93" s="126" t="str">
        <f t="shared" si="10"/>
        <v/>
      </c>
      <c r="W93" s="124" t="str">
        <f t="shared" si="11"/>
        <v/>
      </c>
      <c r="X93" s="125" t="str">
        <f t="shared" si="6"/>
        <v/>
      </c>
    </row>
    <row r="94" spans="1:24" x14ac:dyDescent="0.3">
      <c r="A94" s="129"/>
      <c r="B94" s="129"/>
      <c r="C94" s="128"/>
      <c r="D94" s="128"/>
      <c r="E94" s="128"/>
      <c r="F94" s="166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6" t="str">
        <f t="shared" si="7"/>
        <v/>
      </c>
      <c r="S94" s="163" t="str">
        <f t="shared" si="8"/>
        <v/>
      </c>
      <c r="T94" s="160" t="str">
        <f>IFERROR(INDEX(上年标准成本!$I:$I,MATCH(K94,上年标准成本!$C:$C,0),1),"")</f>
        <v/>
      </c>
      <c r="U94" s="126" t="str">
        <f t="shared" si="9"/>
        <v/>
      </c>
      <c r="V94" s="126" t="str">
        <f t="shared" si="10"/>
        <v/>
      </c>
      <c r="W94" s="124" t="str">
        <f t="shared" si="11"/>
        <v/>
      </c>
      <c r="X94" s="125" t="str">
        <f t="shared" si="6"/>
        <v/>
      </c>
    </row>
    <row r="95" spans="1:24" x14ac:dyDescent="0.3">
      <c r="A95" s="129"/>
      <c r="B95" s="129"/>
      <c r="C95" s="128"/>
      <c r="D95" s="128"/>
      <c r="E95" s="128"/>
      <c r="F95" s="166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6" t="str">
        <f t="shared" si="7"/>
        <v/>
      </c>
      <c r="S95" s="163" t="str">
        <f t="shared" si="8"/>
        <v/>
      </c>
      <c r="T95" s="160" t="str">
        <f>IFERROR(INDEX(上年标准成本!$I:$I,MATCH(K95,上年标准成本!$C:$C,0),1),"")</f>
        <v/>
      </c>
      <c r="U95" s="126" t="str">
        <f t="shared" si="9"/>
        <v/>
      </c>
      <c r="V95" s="126" t="str">
        <f t="shared" si="10"/>
        <v/>
      </c>
      <c r="W95" s="124" t="str">
        <f t="shared" si="11"/>
        <v/>
      </c>
      <c r="X95" s="125" t="str">
        <f t="shared" si="6"/>
        <v/>
      </c>
    </row>
    <row r="96" spans="1:24" x14ac:dyDescent="0.3">
      <c r="A96" s="129"/>
      <c r="B96" s="129"/>
      <c r="C96" s="128"/>
      <c r="D96" s="128"/>
      <c r="E96" s="128"/>
      <c r="F96" s="166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6" t="str">
        <f t="shared" si="7"/>
        <v/>
      </c>
      <c r="S96" s="163" t="str">
        <f t="shared" si="8"/>
        <v/>
      </c>
      <c r="T96" s="160" t="str">
        <f>IFERROR(INDEX(上年标准成本!$I:$I,MATCH(K96,上年标准成本!$C:$C,0),1),"")</f>
        <v/>
      </c>
      <c r="U96" s="126" t="str">
        <f t="shared" si="9"/>
        <v/>
      </c>
      <c r="V96" s="126" t="str">
        <f t="shared" si="10"/>
        <v/>
      </c>
      <c r="W96" s="124" t="str">
        <f t="shared" si="11"/>
        <v/>
      </c>
      <c r="X96" s="125" t="str">
        <f t="shared" si="6"/>
        <v/>
      </c>
    </row>
    <row r="97" spans="1:24" x14ac:dyDescent="0.3">
      <c r="A97" s="129"/>
      <c r="B97" s="129"/>
      <c r="C97" s="128"/>
      <c r="D97" s="128"/>
      <c r="E97" s="128"/>
      <c r="F97" s="166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6" t="str">
        <f t="shared" si="7"/>
        <v/>
      </c>
      <c r="S97" s="163" t="str">
        <f t="shared" si="8"/>
        <v/>
      </c>
      <c r="T97" s="160" t="str">
        <f>IFERROR(INDEX(上年标准成本!$I:$I,MATCH(K97,上年标准成本!$C:$C,0),1),"")</f>
        <v/>
      </c>
      <c r="U97" s="126" t="str">
        <f t="shared" si="9"/>
        <v/>
      </c>
      <c r="V97" s="126" t="str">
        <f t="shared" si="10"/>
        <v/>
      </c>
      <c r="W97" s="124" t="str">
        <f t="shared" si="11"/>
        <v/>
      </c>
      <c r="X97" s="125" t="str">
        <f t="shared" si="6"/>
        <v/>
      </c>
    </row>
    <row r="98" spans="1:24" x14ac:dyDescent="0.3">
      <c r="A98" s="129"/>
      <c r="B98" s="129"/>
      <c r="C98" s="128"/>
      <c r="D98" s="128"/>
      <c r="E98" s="128"/>
      <c r="F98" s="166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6" t="str">
        <f t="shared" si="7"/>
        <v/>
      </c>
      <c r="S98" s="163" t="str">
        <f t="shared" si="8"/>
        <v/>
      </c>
      <c r="T98" s="160" t="str">
        <f>IFERROR(INDEX(上年标准成本!$I:$I,MATCH(K98,上年标准成本!$C:$C,0),1),"")</f>
        <v/>
      </c>
      <c r="U98" s="126" t="str">
        <f t="shared" si="9"/>
        <v/>
      </c>
      <c r="V98" s="126" t="str">
        <f t="shared" si="10"/>
        <v/>
      </c>
      <c r="W98" s="124" t="str">
        <f t="shared" si="11"/>
        <v/>
      </c>
      <c r="X98" s="125" t="str">
        <f t="shared" si="6"/>
        <v/>
      </c>
    </row>
    <row r="99" spans="1:24" x14ac:dyDescent="0.3">
      <c r="A99" s="129"/>
      <c r="B99" s="129"/>
      <c r="C99" s="128"/>
      <c r="D99" s="128"/>
      <c r="E99" s="128"/>
      <c r="F99" s="166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6" t="str">
        <f t="shared" si="7"/>
        <v/>
      </c>
      <c r="S99" s="163" t="str">
        <f t="shared" si="8"/>
        <v/>
      </c>
      <c r="T99" s="160" t="str">
        <f>IFERROR(INDEX(上年标准成本!$I:$I,MATCH(K99,上年标准成本!$C:$C,0),1),"")</f>
        <v/>
      </c>
      <c r="U99" s="126" t="str">
        <f t="shared" si="9"/>
        <v/>
      </c>
      <c r="V99" s="126" t="str">
        <f t="shared" si="10"/>
        <v/>
      </c>
      <c r="W99" s="124" t="str">
        <f t="shared" si="11"/>
        <v/>
      </c>
      <c r="X99" s="125" t="str">
        <f t="shared" si="6"/>
        <v/>
      </c>
    </row>
    <row r="100" spans="1:24" x14ac:dyDescent="0.3">
      <c r="A100" s="129"/>
      <c r="B100" s="129"/>
      <c r="C100" s="128"/>
      <c r="D100" s="128"/>
      <c r="E100" s="128"/>
      <c r="F100" s="166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6" t="str">
        <f t="shared" si="7"/>
        <v/>
      </c>
      <c r="S100" s="163" t="str">
        <f t="shared" si="8"/>
        <v/>
      </c>
      <c r="T100" s="160" t="str">
        <f>IFERROR(INDEX(上年标准成本!$I:$I,MATCH(K100,上年标准成本!$C:$C,0),1),"")</f>
        <v/>
      </c>
      <c r="U100" s="126" t="str">
        <f t="shared" si="9"/>
        <v/>
      </c>
      <c r="V100" s="126" t="str">
        <f t="shared" si="10"/>
        <v/>
      </c>
      <c r="W100" s="124" t="str">
        <f t="shared" si="11"/>
        <v/>
      </c>
      <c r="X100" s="125" t="str">
        <f t="shared" si="6"/>
        <v/>
      </c>
    </row>
    <row r="101" spans="1:24" x14ac:dyDescent="0.3">
      <c r="A101" s="129"/>
      <c r="B101" s="129"/>
      <c r="C101" s="128"/>
      <c r="D101" s="128"/>
      <c r="E101" s="128"/>
      <c r="F101" s="166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6" t="str">
        <f t="shared" si="7"/>
        <v/>
      </c>
      <c r="S101" s="163" t="str">
        <f t="shared" si="8"/>
        <v/>
      </c>
      <c r="T101" s="160" t="str">
        <f>IFERROR(INDEX(上年标准成本!$I:$I,MATCH(K101,上年标准成本!$C:$C,0),1),"")</f>
        <v/>
      </c>
      <c r="U101" s="126" t="str">
        <f t="shared" si="9"/>
        <v/>
      </c>
      <c r="V101" s="126" t="str">
        <f t="shared" si="10"/>
        <v/>
      </c>
      <c r="W101" s="124" t="str">
        <f t="shared" si="11"/>
        <v/>
      </c>
      <c r="X101" s="125" t="str">
        <f t="shared" si="6"/>
        <v/>
      </c>
    </row>
    <row r="102" spans="1:24" x14ac:dyDescent="0.3">
      <c r="A102" s="129"/>
      <c r="B102" s="129"/>
      <c r="C102" s="128"/>
      <c r="D102" s="128"/>
      <c r="E102" s="128"/>
      <c r="F102" s="166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6" t="str">
        <f t="shared" si="7"/>
        <v/>
      </c>
      <c r="S102" s="163" t="str">
        <f t="shared" si="8"/>
        <v/>
      </c>
      <c r="T102" s="160" t="str">
        <f>IFERROR(INDEX(上年标准成本!$I:$I,MATCH(K102,上年标准成本!$C:$C,0),1),"")</f>
        <v/>
      </c>
      <c r="U102" s="126" t="str">
        <f t="shared" si="9"/>
        <v/>
      </c>
      <c r="V102" s="126" t="str">
        <f t="shared" si="10"/>
        <v/>
      </c>
      <c r="W102" s="124" t="str">
        <f t="shared" si="11"/>
        <v/>
      </c>
      <c r="X102" s="125" t="str">
        <f t="shared" si="6"/>
        <v/>
      </c>
    </row>
    <row r="103" spans="1:24" x14ac:dyDescent="0.3">
      <c r="A103" s="129"/>
      <c r="B103" s="129"/>
      <c r="C103" s="128"/>
      <c r="D103" s="128"/>
      <c r="E103" s="128"/>
      <c r="F103" s="166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6" t="str">
        <f t="shared" si="7"/>
        <v/>
      </c>
      <c r="S103" s="163" t="str">
        <f t="shared" si="8"/>
        <v/>
      </c>
      <c r="T103" s="160" t="str">
        <f>IFERROR(INDEX(上年标准成本!$I:$I,MATCH(K103,上年标准成本!$C:$C,0),1),"")</f>
        <v/>
      </c>
      <c r="U103" s="126" t="str">
        <f t="shared" si="9"/>
        <v/>
      </c>
      <c r="V103" s="126" t="str">
        <f t="shared" si="10"/>
        <v/>
      </c>
      <c r="W103" s="124" t="str">
        <f t="shared" si="11"/>
        <v/>
      </c>
      <c r="X103" s="125" t="str">
        <f t="shared" si="6"/>
        <v/>
      </c>
    </row>
    <row r="104" spans="1:24" x14ac:dyDescent="0.3">
      <c r="A104" s="129"/>
      <c r="B104" s="129"/>
      <c r="C104" s="128"/>
      <c r="D104" s="128"/>
      <c r="E104" s="128"/>
      <c r="F104" s="166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6" t="str">
        <f t="shared" si="7"/>
        <v/>
      </c>
      <c r="S104" s="163" t="str">
        <f t="shared" si="8"/>
        <v/>
      </c>
      <c r="T104" s="160" t="str">
        <f>IFERROR(INDEX(上年标准成本!$I:$I,MATCH(K104,上年标准成本!$C:$C,0),1),"")</f>
        <v/>
      </c>
      <c r="U104" s="126" t="str">
        <f t="shared" si="9"/>
        <v/>
      </c>
      <c r="V104" s="126" t="str">
        <f t="shared" si="10"/>
        <v/>
      </c>
      <c r="W104" s="124" t="str">
        <f t="shared" si="11"/>
        <v/>
      </c>
      <c r="X104" s="125" t="str">
        <f t="shared" si="6"/>
        <v/>
      </c>
    </row>
    <row r="105" spans="1:24" x14ac:dyDescent="0.3">
      <c r="A105" s="129"/>
      <c r="B105" s="129"/>
      <c r="C105" s="128"/>
      <c r="D105" s="128"/>
      <c r="E105" s="128"/>
      <c r="F105" s="166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6" t="str">
        <f t="shared" si="7"/>
        <v/>
      </c>
      <c r="S105" s="163" t="str">
        <f t="shared" si="8"/>
        <v/>
      </c>
      <c r="T105" s="160" t="str">
        <f>IFERROR(INDEX(上年标准成本!$I:$I,MATCH(K105,上年标准成本!$C:$C,0),1),"")</f>
        <v/>
      </c>
      <c r="U105" s="126" t="str">
        <f t="shared" si="9"/>
        <v/>
      </c>
      <c r="V105" s="126" t="str">
        <f t="shared" si="10"/>
        <v/>
      </c>
      <c r="W105" s="124" t="str">
        <f t="shared" si="11"/>
        <v/>
      </c>
      <c r="X105" s="125" t="str">
        <f t="shared" si="6"/>
        <v/>
      </c>
    </row>
    <row r="106" spans="1:24" x14ac:dyDescent="0.3">
      <c r="A106" s="129"/>
      <c r="B106" s="129"/>
      <c r="C106" s="128"/>
      <c r="D106" s="128"/>
      <c r="E106" s="128"/>
      <c r="F106" s="166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6" t="str">
        <f t="shared" si="7"/>
        <v/>
      </c>
      <c r="S106" s="163" t="str">
        <f t="shared" si="8"/>
        <v/>
      </c>
      <c r="T106" s="160" t="str">
        <f>IFERROR(INDEX(上年标准成本!$I:$I,MATCH(K106,上年标准成本!$C:$C,0),1),"")</f>
        <v/>
      </c>
      <c r="U106" s="126" t="str">
        <f t="shared" si="9"/>
        <v/>
      </c>
      <c r="V106" s="126" t="str">
        <f t="shared" si="10"/>
        <v/>
      </c>
      <c r="W106" s="124" t="str">
        <f t="shared" si="11"/>
        <v/>
      </c>
      <c r="X106" s="125" t="str">
        <f t="shared" si="6"/>
        <v/>
      </c>
    </row>
    <row r="107" spans="1:24" x14ac:dyDescent="0.3">
      <c r="A107" s="129"/>
      <c r="B107" s="129"/>
      <c r="C107" s="128"/>
      <c r="D107" s="128"/>
      <c r="E107" s="128"/>
      <c r="F107" s="166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6" t="str">
        <f t="shared" si="7"/>
        <v/>
      </c>
      <c r="S107" s="163" t="str">
        <f t="shared" si="8"/>
        <v/>
      </c>
      <c r="T107" s="160" t="str">
        <f>IFERROR(INDEX(上年标准成本!$I:$I,MATCH(K107,上年标准成本!$C:$C,0),1),"")</f>
        <v/>
      </c>
      <c r="U107" s="126" t="str">
        <f t="shared" si="9"/>
        <v/>
      </c>
      <c r="V107" s="126" t="str">
        <f t="shared" si="10"/>
        <v/>
      </c>
      <c r="W107" s="124" t="str">
        <f t="shared" si="11"/>
        <v/>
      </c>
      <c r="X107" s="125" t="str">
        <f t="shared" si="6"/>
        <v/>
      </c>
    </row>
    <row r="108" spans="1:24" x14ac:dyDescent="0.3">
      <c r="A108" s="129"/>
      <c r="B108" s="129"/>
      <c r="C108" s="128"/>
      <c r="D108" s="128"/>
      <c r="E108" s="128"/>
      <c r="F108" s="166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6" t="str">
        <f t="shared" si="7"/>
        <v/>
      </c>
      <c r="S108" s="163" t="str">
        <f t="shared" si="8"/>
        <v/>
      </c>
      <c r="T108" s="160" t="str">
        <f>IFERROR(INDEX(上年标准成本!$I:$I,MATCH(K108,上年标准成本!$C:$C,0),1),"")</f>
        <v/>
      </c>
      <c r="U108" s="126" t="str">
        <f t="shared" si="9"/>
        <v/>
      </c>
      <c r="V108" s="126" t="str">
        <f t="shared" si="10"/>
        <v/>
      </c>
      <c r="W108" s="124" t="str">
        <f t="shared" si="11"/>
        <v/>
      </c>
      <c r="X108" s="125" t="str">
        <f t="shared" si="6"/>
        <v/>
      </c>
    </row>
    <row r="109" spans="1:24" x14ac:dyDescent="0.3">
      <c r="A109" s="129"/>
      <c r="B109" s="129"/>
      <c r="C109" s="128"/>
      <c r="D109" s="128"/>
      <c r="E109" s="128"/>
      <c r="F109" s="166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6" t="str">
        <f t="shared" si="7"/>
        <v/>
      </c>
      <c r="S109" s="163" t="str">
        <f t="shared" si="8"/>
        <v/>
      </c>
      <c r="T109" s="160" t="str">
        <f>IFERROR(INDEX(上年标准成本!$I:$I,MATCH(K109,上年标准成本!$C:$C,0),1),"")</f>
        <v/>
      </c>
      <c r="U109" s="126" t="str">
        <f t="shared" si="9"/>
        <v/>
      </c>
      <c r="V109" s="126" t="str">
        <f t="shared" si="10"/>
        <v/>
      </c>
      <c r="W109" s="124" t="str">
        <f t="shared" si="11"/>
        <v/>
      </c>
      <c r="X109" s="125" t="str">
        <f t="shared" si="6"/>
        <v/>
      </c>
    </row>
    <row r="110" spans="1:24" x14ac:dyDescent="0.3">
      <c r="A110" s="129"/>
      <c r="B110" s="129"/>
      <c r="C110" s="128"/>
      <c r="D110" s="128"/>
      <c r="E110" s="128"/>
      <c r="F110" s="166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6" t="str">
        <f t="shared" si="7"/>
        <v/>
      </c>
      <c r="S110" s="163" t="str">
        <f t="shared" si="8"/>
        <v/>
      </c>
      <c r="T110" s="160" t="str">
        <f>IFERROR(INDEX(上年标准成本!$I:$I,MATCH(K110,上年标准成本!$C:$C,0),1),"")</f>
        <v/>
      </c>
      <c r="U110" s="126" t="str">
        <f t="shared" si="9"/>
        <v/>
      </c>
      <c r="V110" s="126" t="str">
        <f t="shared" si="10"/>
        <v/>
      </c>
      <c r="W110" s="124" t="str">
        <f t="shared" si="11"/>
        <v/>
      </c>
      <c r="X110" s="125" t="str">
        <f t="shared" si="6"/>
        <v/>
      </c>
    </row>
    <row r="111" spans="1:24" x14ac:dyDescent="0.3">
      <c r="A111" s="129"/>
      <c r="B111" s="129"/>
      <c r="C111" s="128"/>
      <c r="D111" s="128"/>
      <c r="E111" s="128"/>
      <c r="F111" s="166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6" t="str">
        <f t="shared" si="7"/>
        <v/>
      </c>
      <c r="S111" s="163" t="str">
        <f t="shared" si="8"/>
        <v/>
      </c>
      <c r="T111" s="160" t="str">
        <f>IFERROR(INDEX(上年标准成本!$I:$I,MATCH(K111,上年标准成本!$C:$C,0),1),"")</f>
        <v/>
      </c>
      <c r="U111" s="126" t="str">
        <f t="shared" si="9"/>
        <v/>
      </c>
      <c r="V111" s="126" t="str">
        <f t="shared" si="10"/>
        <v/>
      </c>
      <c r="W111" s="124" t="str">
        <f t="shared" si="11"/>
        <v/>
      </c>
      <c r="X111" s="125" t="str">
        <f t="shared" si="6"/>
        <v/>
      </c>
    </row>
    <row r="112" spans="1:24" x14ac:dyDescent="0.3">
      <c r="A112" s="129"/>
      <c r="B112" s="129"/>
      <c r="C112" s="128"/>
      <c r="D112" s="128"/>
      <c r="E112" s="128"/>
      <c r="F112" s="166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6" t="str">
        <f t="shared" si="7"/>
        <v/>
      </c>
      <c r="S112" s="163" t="str">
        <f t="shared" si="8"/>
        <v/>
      </c>
      <c r="T112" s="160" t="str">
        <f>IFERROR(INDEX(上年标准成本!$I:$I,MATCH(K112,上年标准成本!$C:$C,0),1),"")</f>
        <v/>
      </c>
      <c r="U112" s="126" t="str">
        <f t="shared" si="9"/>
        <v/>
      </c>
      <c r="V112" s="126" t="str">
        <f t="shared" si="10"/>
        <v/>
      </c>
      <c r="W112" s="124" t="str">
        <f t="shared" si="11"/>
        <v/>
      </c>
      <c r="X112" s="125" t="str">
        <f t="shared" si="6"/>
        <v/>
      </c>
    </row>
    <row r="113" spans="1:24" x14ac:dyDescent="0.3">
      <c r="A113" s="129"/>
      <c r="B113" s="129"/>
      <c r="C113" s="128"/>
      <c r="D113" s="128"/>
      <c r="E113" s="128"/>
      <c r="F113" s="166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6" t="str">
        <f t="shared" si="7"/>
        <v/>
      </c>
      <c r="S113" s="163" t="str">
        <f t="shared" si="8"/>
        <v/>
      </c>
      <c r="T113" s="160" t="str">
        <f>IFERROR(INDEX(上年标准成本!$I:$I,MATCH(K113,上年标准成本!$C:$C,0),1),"")</f>
        <v/>
      </c>
      <c r="U113" s="126" t="str">
        <f t="shared" si="9"/>
        <v/>
      </c>
      <c r="V113" s="126" t="str">
        <f t="shared" si="10"/>
        <v/>
      </c>
      <c r="W113" s="124" t="str">
        <f t="shared" si="11"/>
        <v/>
      </c>
      <c r="X113" s="125" t="str">
        <f t="shared" si="6"/>
        <v/>
      </c>
    </row>
    <row r="114" spans="1:24" x14ac:dyDescent="0.3">
      <c r="A114" s="129"/>
      <c r="B114" s="129"/>
      <c r="C114" s="128"/>
      <c r="D114" s="128"/>
      <c r="E114" s="128"/>
      <c r="F114" s="166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6" t="str">
        <f t="shared" si="7"/>
        <v/>
      </c>
      <c r="S114" s="163" t="str">
        <f t="shared" si="8"/>
        <v/>
      </c>
      <c r="T114" s="160" t="str">
        <f>IFERROR(INDEX(上年标准成本!$I:$I,MATCH(K114,上年标准成本!$C:$C,0),1),"")</f>
        <v/>
      </c>
      <c r="U114" s="126" t="str">
        <f t="shared" si="9"/>
        <v/>
      </c>
      <c r="V114" s="126" t="str">
        <f t="shared" si="10"/>
        <v/>
      </c>
      <c r="W114" s="124" t="str">
        <f t="shared" si="11"/>
        <v/>
      </c>
      <c r="X114" s="125" t="str">
        <f t="shared" si="6"/>
        <v/>
      </c>
    </row>
    <row r="115" spans="1:24" x14ac:dyDescent="0.3">
      <c r="A115" s="129"/>
      <c r="B115" s="129"/>
      <c r="C115" s="128"/>
      <c r="D115" s="128"/>
      <c r="E115" s="128"/>
      <c r="F115" s="166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6" t="str">
        <f t="shared" si="7"/>
        <v/>
      </c>
      <c r="S115" s="163" t="str">
        <f t="shared" si="8"/>
        <v/>
      </c>
      <c r="T115" s="160" t="str">
        <f>IFERROR(INDEX(上年标准成本!$I:$I,MATCH(K115,上年标准成本!$C:$C,0),1),"")</f>
        <v/>
      </c>
      <c r="U115" s="126" t="str">
        <f t="shared" si="9"/>
        <v/>
      </c>
      <c r="V115" s="126" t="str">
        <f t="shared" si="10"/>
        <v/>
      </c>
      <c r="W115" s="124" t="str">
        <f t="shared" si="11"/>
        <v/>
      </c>
      <c r="X115" s="125" t="str">
        <f t="shared" si="6"/>
        <v/>
      </c>
    </row>
    <row r="116" spans="1:24" x14ac:dyDescent="0.3">
      <c r="A116" s="129"/>
      <c r="B116" s="129"/>
      <c r="C116" s="128"/>
      <c r="D116" s="128"/>
      <c r="E116" s="128"/>
      <c r="F116" s="166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6" t="str">
        <f t="shared" si="7"/>
        <v/>
      </c>
      <c r="S116" s="163" t="str">
        <f t="shared" si="8"/>
        <v/>
      </c>
      <c r="T116" s="160" t="str">
        <f>IFERROR(INDEX(上年标准成本!$I:$I,MATCH(K116,上年标准成本!$C:$C,0),1),"")</f>
        <v/>
      </c>
      <c r="U116" s="126" t="str">
        <f t="shared" si="9"/>
        <v/>
      </c>
      <c r="V116" s="126" t="str">
        <f t="shared" si="10"/>
        <v/>
      </c>
      <c r="W116" s="124" t="str">
        <f t="shared" si="11"/>
        <v/>
      </c>
      <c r="X116" s="125" t="str">
        <f t="shared" si="6"/>
        <v/>
      </c>
    </row>
    <row r="117" spans="1:24" x14ac:dyDescent="0.3">
      <c r="A117" s="129"/>
      <c r="B117" s="129"/>
      <c r="C117" s="128"/>
      <c r="D117" s="128"/>
      <c r="E117" s="128"/>
      <c r="F117" s="166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6" t="str">
        <f t="shared" si="7"/>
        <v/>
      </c>
      <c r="S117" s="163" t="str">
        <f t="shared" si="8"/>
        <v/>
      </c>
      <c r="T117" s="160" t="str">
        <f>IFERROR(INDEX(上年标准成本!$I:$I,MATCH(K117,上年标准成本!$C:$C,0),1),"")</f>
        <v/>
      </c>
      <c r="U117" s="126" t="str">
        <f t="shared" si="9"/>
        <v/>
      </c>
      <c r="V117" s="126" t="str">
        <f t="shared" si="10"/>
        <v/>
      </c>
      <c r="W117" s="124" t="str">
        <f t="shared" si="11"/>
        <v/>
      </c>
      <c r="X117" s="125" t="str">
        <f t="shared" si="6"/>
        <v/>
      </c>
    </row>
    <row r="118" spans="1:24" x14ac:dyDescent="0.3">
      <c r="A118" s="129"/>
      <c r="B118" s="129"/>
      <c r="C118" s="128"/>
      <c r="D118" s="128"/>
      <c r="E118" s="128"/>
      <c r="F118" s="166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6" t="str">
        <f t="shared" si="7"/>
        <v/>
      </c>
      <c r="S118" s="163" t="str">
        <f t="shared" si="8"/>
        <v/>
      </c>
      <c r="T118" s="160" t="str">
        <f>IFERROR(INDEX(上年标准成本!$I:$I,MATCH(K118,上年标准成本!$C:$C,0),1),"")</f>
        <v/>
      </c>
      <c r="U118" s="126" t="str">
        <f t="shared" si="9"/>
        <v/>
      </c>
      <c r="V118" s="126" t="str">
        <f t="shared" si="10"/>
        <v/>
      </c>
      <c r="W118" s="124" t="str">
        <f t="shared" si="11"/>
        <v/>
      </c>
      <c r="X118" s="125" t="str">
        <f t="shared" si="6"/>
        <v/>
      </c>
    </row>
    <row r="119" spans="1:24" x14ac:dyDescent="0.3">
      <c r="A119" s="129"/>
      <c r="B119" s="129"/>
      <c r="C119" s="128"/>
      <c r="D119" s="128"/>
      <c r="E119" s="128"/>
      <c r="F119" s="166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6" t="str">
        <f t="shared" si="7"/>
        <v/>
      </c>
      <c r="S119" s="163" t="str">
        <f t="shared" si="8"/>
        <v/>
      </c>
      <c r="T119" s="160" t="str">
        <f>IFERROR(INDEX(上年标准成本!$I:$I,MATCH(K119,上年标准成本!$C:$C,0),1),"")</f>
        <v/>
      </c>
      <c r="U119" s="126" t="str">
        <f t="shared" si="9"/>
        <v/>
      </c>
      <c r="V119" s="126" t="str">
        <f t="shared" si="10"/>
        <v/>
      </c>
      <c r="W119" s="124" t="str">
        <f t="shared" si="11"/>
        <v/>
      </c>
      <c r="X119" s="125" t="str">
        <f t="shared" si="6"/>
        <v/>
      </c>
    </row>
    <row r="120" spans="1:24" x14ac:dyDescent="0.3">
      <c r="A120" s="129"/>
      <c r="B120" s="129"/>
      <c r="C120" s="128"/>
      <c r="D120" s="128"/>
      <c r="E120" s="128"/>
      <c r="F120" s="166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6" t="str">
        <f t="shared" si="7"/>
        <v/>
      </c>
      <c r="S120" s="163" t="str">
        <f t="shared" si="8"/>
        <v/>
      </c>
      <c r="T120" s="160" t="str">
        <f>IFERROR(INDEX(上年标准成本!$I:$I,MATCH(K120,上年标准成本!$C:$C,0),1),"")</f>
        <v/>
      </c>
      <c r="U120" s="126" t="str">
        <f t="shared" si="9"/>
        <v/>
      </c>
      <c r="V120" s="126" t="str">
        <f t="shared" si="10"/>
        <v/>
      </c>
      <c r="W120" s="124" t="str">
        <f t="shared" si="11"/>
        <v/>
      </c>
      <c r="X120" s="125" t="str">
        <f t="shared" si="6"/>
        <v/>
      </c>
    </row>
    <row r="121" spans="1:24" x14ac:dyDescent="0.3">
      <c r="A121" s="129"/>
      <c r="B121" s="129"/>
      <c r="C121" s="128"/>
      <c r="D121" s="128"/>
      <c r="E121" s="128"/>
      <c r="F121" s="166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6" t="str">
        <f t="shared" si="7"/>
        <v/>
      </c>
      <c r="S121" s="163" t="str">
        <f t="shared" si="8"/>
        <v/>
      </c>
      <c r="T121" s="160" t="str">
        <f>IFERROR(INDEX(上年标准成本!$I:$I,MATCH(K121,上年标准成本!$C:$C,0),1),"")</f>
        <v/>
      </c>
      <c r="U121" s="126" t="str">
        <f t="shared" si="9"/>
        <v/>
      </c>
      <c r="V121" s="126" t="str">
        <f t="shared" si="10"/>
        <v/>
      </c>
      <c r="W121" s="124" t="str">
        <f t="shared" si="11"/>
        <v/>
      </c>
      <c r="X121" s="125" t="str">
        <f t="shared" si="6"/>
        <v/>
      </c>
    </row>
    <row r="122" spans="1:24" x14ac:dyDescent="0.3">
      <c r="A122" s="129"/>
      <c r="B122" s="129"/>
      <c r="C122" s="128"/>
      <c r="D122" s="128"/>
      <c r="E122" s="128"/>
      <c r="F122" s="166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6" t="str">
        <f t="shared" si="7"/>
        <v/>
      </c>
      <c r="S122" s="163" t="str">
        <f t="shared" si="8"/>
        <v/>
      </c>
      <c r="T122" s="160" t="str">
        <f>IFERROR(INDEX(上年标准成本!$I:$I,MATCH(K122,上年标准成本!$C:$C,0),1),"")</f>
        <v/>
      </c>
      <c r="U122" s="126" t="str">
        <f t="shared" si="9"/>
        <v/>
      </c>
      <c r="V122" s="126" t="str">
        <f t="shared" si="10"/>
        <v/>
      </c>
      <c r="W122" s="124" t="str">
        <f t="shared" si="11"/>
        <v/>
      </c>
      <c r="X122" s="125" t="str">
        <f t="shared" si="6"/>
        <v/>
      </c>
    </row>
    <row r="123" spans="1:24" x14ac:dyDescent="0.3">
      <c r="A123" s="129"/>
      <c r="B123" s="129"/>
      <c r="C123" s="128"/>
      <c r="D123" s="128"/>
      <c r="E123" s="128"/>
      <c r="F123" s="166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6" t="str">
        <f t="shared" si="7"/>
        <v/>
      </c>
      <c r="S123" s="163" t="str">
        <f t="shared" si="8"/>
        <v/>
      </c>
      <c r="T123" s="160" t="str">
        <f>IFERROR(INDEX(上年标准成本!$I:$I,MATCH(K123,上年标准成本!$C:$C,0),1),"")</f>
        <v/>
      </c>
      <c r="U123" s="126" t="str">
        <f t="shared" si="9"/>
        <v/>
      </c>
      <c r="V123" s="126" t="str">
        <f t="shared" si="10"/>
        <v/>
      </c>
      <c r="W123" s="124" t="str">
        <f t="shared" si="11"/>
        <v/>
      </c>
      <c r="X123" s="125" t="str">
        <f t="shared" si="6"/>
        <v/>
      </c>
    </row>
    <row r="124" spans="1:24" x14ac:dyDescent="0.3">
      <c r="A124" s="129"/>
      <c r="B124" s="129"/>
      <c r="C124" s="128"/>
      <c r="D124" s="128"/>
      <c r="E124" s="128"/>
      <c r="F124" s="166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6" t="str">
        <f t="shared" si="7"/>
        <v/>
      </c>
      <c r="S124" s="163" t="str">
        <f t="shared" si="8"/>
        <v/>
      </c>
      <c r="T124" s="160" t="str">
        <f>IFERROR(INDEX(上年标准成本!$I:$I,MATCH(K124,上年标准成本!$C:$C,0),1),"")</f>
        <v/>
      </c>
      <c r="U124" s="126" t="str">
        <f t="shared" si="9"/>
        <v/>
      </c>
      <c r="V124" s="126" t="str">
        <f t="shared" si="10"/>
        <v/>
      </c>
      <c r="W124" s="124" t="str">
        <f t="shared" si="11"/>
        <v/>
      </c>
      <c r="X124" s="125" t="str">
        <f t="shared" si="6"/>
        <v/>
      </c>
    </row>
    <row r="125" spans="1:24" x14ac:dyDescent="0.3">
      <c r="A125" s="129"/>
      <c r="B125" s="129"/>
      <c r="C125" s="128"/>
      <c r="D125" s="128"/>
      <c r="E125" s="128"/>
      <c r="F125" s="166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6" t="str">
        <f t="shared" si="7"/>
        <v/>
      </c>
      <c r="S125" s="163" t="str">
        <f t="shared" si="8"/>
        <v/>
      </c>
      <c r="T125" s="160" t="str">
        <f>IFERROR(INDEX(上年标准成本!$I:$I,MATCH(K125,上年标准成本!$C:$C,0),1),"")</f>
        <v/>
      </c>
      <c r="U125" s="126" t="str">
        <f t="shared" si="9"/>
        <v/>
      </c>
      <c r="V125" s="126" t="str">
        <f t="shared" si="10"/>
        <v/>
      </c>
      <c r="W125" s="124" t="str">
        <f t="shared" si="11"/>
        <v/>
      </c>
      <c r="X125" s="125" t="str">
        <f t="shared" si="6"/>
        <v/>
      </c>
    </row>
    <row r="126" spans="1:24" x14ac:dyDescent="0.3">
      <c r="A126" s="129"/>
      <c r="B126" s="129"/>
      <c r="C126" s="128"/>
      <c r="D126" s="128"/>
      <c r="E126" s="128"/>
      <c r="F126" s="166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6" t="str">
        <f t="shared" si="7"/>
        <v/>
      </c>
      <c r="S126" s="163" t="str">
        <f t="shared" si="8"/>
        <v/>
      </c>
      <c r="T126" s="160" t="str">
        <f>IFERROR(INDEX(上年标准成本!$I:$I,MATCH(K126,上年标准成本!$C:$C,0),1),"")</f>
        <v/>
      </c>
      <c r="U126" s="126" t="str">
        <f t="shared" si="9"/>
        <v/>
      </c>
      <c r="V126" s="126" t="str">
        <f t="shared" si="10"/>
        <v/>
      </c>
      <c r="W126" s="124" t="str">
        <f t="shared" si="11"/>
        <v/>
      </c>
      <c r="X126" s="125" t="str">
        <f t="shared" si="6"/>
        <v/>
      </c>
    </row>
    <row r="127" spans="1:24" x14ac:dyDescent="0.3">
      <c r="A127" s="129"/>
      <c r="B127" s="129"/>
      <c r="C127" s="128"/>
      <c r="D127" s="128"/>
      <c r="E127" s="128"/>
      <c r="F127" s="166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6" t="str">
        <f t="shared" si="7"/>
        <v/>
      </c>
      <c r="S127" s="163" t="str">
        <f t="shared" si="8"/>
        <v/>
      </c>
      <c r="T127" s="160" t="str">
        <f>IFERROR(INDEX(上年标准成本!$I:$I,MATCH(K127,上年标准成本!$C:$C,0),1),"")</f>
        <v/>
      </c>
      <c r="U127" s="126" t="str">
        <f t="shared" si="9"/>
        <v/>
      </c>
      <c r="V127" s="126" t="str">
        <f t="shared" si="10"/>
        <v/>
      </c>
      <c r="W127" s="124" t="str">
        <f t="shared" si="11"/>
        <v/>
      </c>
      <c r="X127" s="125" t="str">
        <f t="shared" si="6"/>
        <v/>
      </c>
    </row>
    <row r="128" spans="1:24" x14ac:dyDescent="0.3">
      <c r="A128" s="129"/>
      <c r="B128" s="129"/>
      <c r="C128" s="128"/>
      <c r="D128" s="128"/>
      <c r="E128" s="128"/>
      <c r="F128" s="166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6" t="str">
        <f t="shared" si="7"/>
        <v/>
      </c>
      <c r="S128" s="163" t="str">
        <f t="shared" si="8"/>
        <v/>
      </c>
      <c r="T128" s="160" t="str">
        <f>IFERROR(INDEX(上年标准成本!$I:$I,MATCH(K128,上年标准成本!$C:$C,0),1),"")</f>
        <v/>
      </c>
      <c r="U128" s="126" t="str">
        <f t="shared" si="9"/>
        <v/>
      </c>
      <c r="V128" s="126" t="str">
        <f t="shared" si="10"/>
        <v/>
      </c>
      <c r="W128" s="124" t="str">
        <f t="shared" si="11"/>
        <v/>
      </c>
      <c r="X128" s="125" t="str">
        <f t="shared" si="6"/>
        <v/>
      </c>
    </row>
    <row r="129" spans="1:24" x14ac:dyDescent="0.3">
      <c r="A129" s="129"/>
      <c r="B129" s="129"/>
      <c r="C129" s="128"/>
      <c r="D129" s="128"/>
      <c r="E129" s="128"/>
      <c r="F129" s="166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6" t="str">
        <f t="shared" si="7"/>
        <v/>
      </c>
      <c r="S129" s="163" t="str">
        <f t="shared" si="8"/>
        <v/>
      </c>
      <c r="T129" s="160" t="str">
        <f>IFERROR(INDEX(上年标准成本!$I:$I,MATCH(K129,上年标准成本!$C:$C,0),1),"")</f>
        <v/>
      </c>
      <c r="U129" s="126" t="str">
        <f t="shared" si="9"/>
        <v/>
      </c>
      <c r="V129" s="126" t="str">
        <f t="shared" si="10"/>
        <v/>
      </c>
      <c r="W129" s="124" t="str">
        <f t="shared" si="11"/>
        <v/>
      </c>
      <c r="X129" s="125" t="str">
        <f t="shared" si="6"/>
        <v/>
      </c>
    </row>
    <row r="130" spans="1:24" x14ac:dyDescent="0.3">
      <c r="A130" s="129"/>
      <c r="B130" s="129"/>
      <c r="C130" s="128"/>
      <c r="D130" s="128"/>
      <c r="E130" s="128"/>
      <c r="F130" s="166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6" t="str">
        <f t="shared" si="7"/>
        <v/>
      </c>
      <c r="S130" s="163" t="str">
        <f t="shared" si="8"/>
        <v/>
      </c>
      <c r="T130" s="160" t="str">
        <f>IFERROR(INDEX(上年标准成本!$I:$I,MATCH(K130,上年标准成本!$C:$C,0),1),"")</f>
        <v/>
      </c>
      <c r="U130" s="126" t="str">
        <f t="shared" si="9"/>
        <v/>
      </c>
      <c r="V130" s="126" t="str">
        <f t="shared" si="10"/>
        <v/>
      </c>
      <c r="W130" s="124" t="str">
        <f t="shared" si="11"/>
        <v/>
      </c>
      <c r="X130" s="125" t="str">
        <f t="shared" ref="X130:X193" si="12">IFERROR(IF(W130/SUM(W:W)=0,"",W130/SUM(W:W)),"")</f>
        <v/>
      </c>
    </row>
    <row r="131" spans="1:24" x14ac:dyDescent="0.3">
      <c r="A131" s="129"/>
      <c r="B131" s="129"/>
      <c r="C131" s="128"/>
      <c r="D131" s="128"/>
      <c r="E131" s="128"/>
      <c r="F131" s="166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6" t="str">
        <f t="shared" ref="R131:R194" si="13">IFERROR(P131/O131,"")</f>
        <v/>
      </c>
      <c r="S131" s="163" t="str">
        <f t="shared" ref="S131:S194" si="14">IFERROR(R131*(1+Q131),"")</f>
        <v/>
      </c>
      <c r="T131" s="160" t="str">
        <f>IFERROR(INDEX(上年标准成本!$I:$I,MATCH(K131,上年标准成本!$C:$C,0),1),"")</f>
        <v/>
      </c>
      <c r="U131" s="126" t="str">
        <f t="shared" ref="U131:U194" si="15">IFERROR(O131*T131,"")</f>
        <v/>
      </c>
      <c r="V131" s="126" t="str">
        <f t="shared" ref="V131:V194" si="16">IFERROR(P131-U131,"")</f>
        <v/>
      </c>
      <c r="W131" s="124" t="str">
        <f t="shared" ref="W131:W194" si="17">IFERROR(V131/P131,"")</f>
        <v/>
      </c>
      <c r="X131" s="125" t="str">
        <f t="shared" si="12"/>
        <v/>
      </c>
    </row>
    <row r="132" spans="1:24" x14ac:dyDescent="0.3">
      <c r="A132" s="129"/>
      <c r="B132" s="129"/>
      <c r="C132" s="128"/>
      <c r="D132" s="128"/>
      <c r="E132" s="128"/>
      <c r="F132" s="166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6" t="str">
        <f t="shared" si="13"/>
        <v/>
      </c>
      <c r="S132" s="163" t="str">
        <f t="shared" si="14"/>
        <v/>
      </c>
      <c r="T132" s="160" t="str">
        <f>IFERROR(INDEX(上年标准成本!$I:$I,MATCH(K132,上年标准成本!$C:$C,0),1),"")</f>
        <v/>
      </c>
      <c r="U132" s="126" t="str">
        <f t="shared" si="15"/>
        <v/>
      </c>
      <c r="V132" s="126" t="str">
        <f t="shared" si="16"/>
        <v/>
      </c>
      <c r="W132" s="124" t="str">
        <f t="shared" si="17"/>
        <v/>
      </c>
      <c r="X132" s="125" t="str">
        <f t="shared" si="12"/>
        <v/>
      </c>
    </row>
    <row r="133" spans="1:24" x14ac:dyDescent="0.3">
      <c r="A133" s="129"/>
      <c r="B133" s="129"/>
      <c r="C133" s="128"/>
      <c r="D133" s="128"/>
      <c r="E133" s="128"/>
      <c r="F133" s="166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6" t="str">
        <f t="shared" si="13"/>
        <v/>
      </c>
      <c r="S133" s="163" t="str">
        <f t="shared" si="14"/>
        <v/>
      </c>
      <c r="T133" s="160" t="str">
        <f>IFERROR(INDEX(上年标准成本!$I:$I,MATCH(K133,上年标准成本!$C:$C,0),1),"")</f>
        <v/>
      </c>
      <c r="U133" s="126" t="str">
        <f t="shared" si="15"/>
        <v/>
      </c>
      <c r="V133" s="126" t="str">
        <f t="shared" si="16"/>
        <v/>
      </c>
      <c r="W133" s="124" t="str">
        <f t="shared" si="17"/>
        <v/>
      </c>
      <c r="X133" s="125" t="str">
        <f t="shared" si="12"/>
        <v/>
      </c>
    </row>
    <row r="134" spans="1:24" x14ac:dyDescent="0.3">
      <c r="A134" s="129"/>
      <c r="B134" s="129"/>
      <c r="C134" s="128"/>
      <c r="D134" s="128"/>
      <c r="E134" s="128"/>
      <c r="F134" s="166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6" t="str">
        <f t="shared" si="13"/>
        <v/>
      </c>
      <c r="S134" s="163" t="str">
        <f t="shared" si="14"/>
        <v/>
      </c>
      <c r="T134" s="160" t="str">
        <f>IFERROR(INDEX(上年标准成本!$I:$I,MATCH(K134,上年标准成本!$C:$C,0),1),"")</f>
        <v/>
      </c>
      <c r="U134" s="126" t="str">
        <f t="shared" si="15"/>
        <v/>
      </c>
      <c r="V134" s="126" t="str">
        <f t="shared" si="16"/>
        <v/>
      </c>
      <c r="W134" s="124" t="str">
        <f t="shared" si="17"/>
        <v/>
      </c>
      <c r="X134" s="125" t="str">
        <f t="shared" si="12"/>
        <v/>
      </c>
    </row>
    <row r="135" spans="1:24" x14ac:dyDescent="0.3">
      <c r="A135" s="129"/>
      <c r="B135" s="129"/>
      <c r="C135" s="128"/>
      <c r="D135" s="128"/>
      <c r="E135" s="128"/>
      <c r="F135" s="166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6" t="str">
        <f t="shared" si="13"/>
        <v/>
      </c>
      <c r="S135" s="163" t="str">
        <f t="shared" si="14"/>
        <v/>
      </c>
      <c r="T135" s="160" t="str">
        <f>IFERROR(INDEX(上年标准成本!$I:$I,MATCH(K135,上年标准成本!$C:$C,0),1),"")</f>
        <v/>
      </c>
      <c r="U135" s="126" t="str">
        <f t="shared" si="15"/>
        <v/>
      </c>
      <c r="V135" s="126" t="str">
        <f t="shared" si="16"/>
        <v/>
      </c>
      <c r="W135" s="124" t="str">
        <f t="shared" si="17"/>
        <v/>
      </c>
      <c r="X135" s="125" t="str">
        <f t="shared" si="12"/>
        <v/>
      </c>
    </row>
    <row r="136" spans="1:24" x14ac:dyDescent="0.3">
      <c r="A136" s="129"/>
      <c r="B136" s="129"/>
      <c r="C136" s="128"/>
      <c r="D136" s="128"/>
      <c r="E136" s="128"/>
      <c r="F136" s="166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6" t="str">
        <f t="shared" si="13"/>
        <v/>
      </c>
      <c r="S136" s="163" t="str">
        <f t="shared" si="14"/>
        <v/>
      </c>
      <c r="T136" s="160" t="str">
        <f>IFERROR(INDEX(上年标准成本!$I:$I,MATCH(K136,上年标准成本!$C:$C,0),1),"")</f>
        <v/>
      </c>
      <c r="U136" s="126" t="str">
        <f t="shared" si="15"/>
        <v/>
      </c>
      <c r="V136" s="126" t="str">
        <f t="shared" si="16"/>
        <v/>
      </c>
      <c r="W136" s="124" t="str">
        <f t="shared" si="17"/>
        <v/>
      </c>
      <c r="X136" s="125" t="str">
        <f t="shared" si="12"/>
        <v/>
      </c>
    </row>
    <row r="137" spans="1:24" x14ac:dyDescent="0.3">
      <c r="A137" s="129"/>
      <c r="B137" s="129"/>
      <c r="C137" s="128"/>
      <c r="D137" s="128"/>
      <c r="E137" s="128"/>
      <c r="F137" s="166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6" t="str">
        <f t="shared" si="13"/>
        <v/>
      </c>
      <c r="S137" s="163" t="str">
        <f t="shared" si="14"/>
        <v/>
      </c>
      <c r="T137" s="160" t="str">
        <f>IFERROR(INDEX(上年标准成本!$I:$I,MATCH(K137,上年标准成本!$C:$C,0),1),"")</f>
        <v/>
      </c>
      <c r="U137" s="126" t="str">
        <f t="shared" si="15"/>
        <v/>
      </c>
      <c r="V137" s="126" t="str">
        <f t="shared" si="16"/>
        <v/>
      </c>
      <c r="W137" s="124" t="str">
        <f t="shared" si="17"/>
        <v/>
      </c>
      <c r="X137" s="125" t="str">
        <f t="shared" si="12"/>
        <v/>
      </c>
    </row>
    <row r="138" spans="1:24" x14ac:dyDescent="0.3">
      <c r="A138" s="129"/>
      <c r="B138" s="129"/>
      <c r="C138" s="128"/>
      <c r="D138" s="128"/>
      <c r="E138" s="128"/>
      <c r="F138" s="166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6" t="str">
        <f t="shared" si="13"/>
        <v/>
      </c>
      <c r="S138" s="163" t="str">
        <f t="shared" si="14"/>
        <v/>
      </c>
      <c r="T138" s="160" t="str">
        <f>IFERROR(INDEX(上年标准成本!$I:$I,MATCH(K138,上年标准成本!$C:$C,0),1),"")</f>
        <v/>
      </c>
      <c r="U138" s="126" t="str">
        <f t="shared" si="15"/>
        <v/>
      </c>
      <c r="V138" s="126" t="str">
        <f t="shared" si="16"/>
        <v/>
      </c>
      <c r="W138" s="124" t="str">
        <f t="shared" si="17"/>
        <v/>
      </c>
      <c r="X138" s="125" t="str">
        <f t="shared" si="12"/>
        <v/>
      </c>
    </row>
    <row r="139" spans="1:24" x14ac:dyDescent="0.3">
      <c r="A139" s="129"/>
      <c r="B139" s="129"/>
      <c r="C139" s="128"/>
      <c r="D139" s="128"/>
      <c r="E139" s="128"/>
      <c r="F139" s="166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6" t="str">
        <f t="shared" si="13"/>
        <v/>
      </c>
      <c r="S139" s="163" t="str">
        <f t="shared" si="14"/>
        <v/>
      </c>
      <c r="T139" s="160" t="str">
        <f>IFERROR(INDEX(上年标准成本!$I:$I,MATCH(K139,上年标准成本!$C:$C,0),1),"")</f>
        <v/>
      </c>
      <c r="U139" s="126" t="str">
        <f t="shared" si="15"/>
        <v/>
      </c>
      <c r="V139" s="126" t="str">
        <f t="shared" si="16"/>
        <v/>
      </c>
      <c r="W139" s="124" t="str">
        <f t="shared" si="17"/>
        <v/>
      </c>
      <c r="X139" s="125" t="str">
        <f t="shared" si="12"/>
        <v/>
      </c>
    </row>
    <row r="140" spans="1:24" x14ac:dyDescent="0.3">
      <c r="A140" s="129"/>
      <c r="B140" s="129"/>
      <c r="C140" s="128"/>
      <c r="D140" s="128"/>
      <c r="E140" s="128"/>
      <c r="F140" s="166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6" t="str">
        <f t="shared" si="13"/>
        <v/>
      </c>
      <c r="S140" s="163" t="str">
        <f t="shared" si="14"/>
        <v/>
      </c>
      <c r="T140" s="160" t="str">
        <f>IFERROR(INDEX(上年标准成本!$I:$I,MATCH(K140,上年标准成本!$C:$C,0),1),"")</f>
        <v/>
      </c>
      <c r="U140" s="126" t="str">
        <f t="shared" si="15"/>
        <v/>
      </c>
      <c r="V140" s="126" t="str">
        <f t="shared" si="16"/>
        <v/>
      </c>
      <c r="W140" s="124" t="str">
        <f t="shared" si="17"/>
        <v/>
      </c>
      <c r="X140" s="125" t="str">
        <f t="shared" si="12"/>
        <v/>
      </c>
    </row>
    <row r="141" spans="1:24" x14ac:dyDescent="0.3">
      <c r="A141" s="129"/>
      <c r="B141" s="129"/>
      <c r="C141" s="128"/>
      <c r="D141" s="128"/>
      <c r="E141" s="128"/>
      <c r="F141" s="166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6" t="str">
        <f t="shared" si="13"/>
        <v/>
      </c>
      <c r="S141" s="163" t="str">
        <f t="shared" si="14"/>
        <v/>
      </c>
      <c r="T141" s="160" t="str">
        <f>IFERROR(INDEX(上年标准成本!$I:$I,MATCH(K141,上年标准成本!$C:$C,0),1),"")</f>
        <v/>
      </c>
      <c r="U141" s="126" t="str">
        <f t="shared" si="15"/>
        <v/>
      </c>
      <c r="V141" s="126" t="str">
        <f t="shared" si="16"/>
        <v/>
      </c>
      <c r="W141" s="124" t="str">
        <f t="shared" si="17"/>
        <v/>
      </c>
      <c r="X141" s="125" t="str">
        <f t="shared" si="12"/>
        <v/>
      </c>
    </row>
    <row r="142" spans="1:24" x14ac:dyDescent="0.3">
      <c r="A142" s="129"/>
      <c r="B142" s="129"/>
      <c r="C142" s="128"/>
      <c r="D142" s="128"/>
      <c r="E142" s="128"/>
      <c r="F142" s="166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6" t="str">
        <f t="shared" si="13"/>
        <v/>
      </c>
      <c r="S142" s="163" t="str">
        <f t="shared" si="14"/>
        <v/>
      </c>
      <c r="T142" s="160" t="str">
        <f>IFERROR(INDEX(上年标准成本!$I:$I,MATCH(K142,上年标准成本!$C:$C,0),1),"")</f>
        <v/>
      </c>
      <c r="U142" s="126" t="str">
        <f t="shared" si="15"/>
        <v/>
      </c>
      <c r="V142" s="126" t="str">
        <f t="shared" si="16"/>
        <v/>
      </c>
      <c r="W142" s="124" t="str">
        <f t="shared" si="17"/>
        <v/>
      </c>
      <c r="X142" s="125" t="str">
        <f t="shared" si="12"/>
        <v/>
      </c>
    </row>
    <row r="143" spans="1:24" x14ac:dyDescent="0.3">
      <c r="A143" s="129"/>
      <c r="B143" s="129"/>
      <c r="C143" s="128"/>
      <c r="D143" s="128"/>
      <c r="E143" s="128"/>
      <c r="F143" s="166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6" t="str">
        <f t="shared" si="13"/>
        <v/>
      </c>
      <c r="S143" s="163" t="str">
        <f t="shared" si="14"/>
        <v/>
      </c>
      <c r="T143" s="160" t="str">
        <f>IFERROR(INDEX(上年标准成本!$I:$I,MATCH(K143,上年标准成本!$C:$C,0),1),"")</f>
        <v/>
      </c>
      <c r="U143" s="126" t="str">
        <f t="shared" si="15"/>
        <v/>
      </c>
      <c r="V143" s="126" t="str">
        <f t="shared" si="16"/>
        <v/>
      </c>
      <c r="W143" s="124" t="str">
        <f t="shared" si="17"/>
        <v/>
      </c>
      <c r="X143" s="125" t="str">
        <f t="shared" si="12"/>
        <v/>
      </c>
    </row>
    <row r="144" spans="1:24" x14ac:dyDescent="0.3">
      <c r="A144" s="129"/>
      <c r="B144" s="129"/>
      <c r="C144" s="128"/>
      <c r="D144" s="128"/>
      <c r="E144" s="128"/>
      <c r="F144" s="166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6" t="str">
        <f t="shared" si="13"/>
        <v/>
      </c>
      <c r="S144" s="163" t="str">
        <f t="shared" si="14"/>
        <v/>
      </c>
      <c r="T144" s="160" t="str">
        <f>IFERROR(INDEX(上年标准成本!$I:$I,MATCH(K144,上年标准成本!$C:$C,0),1),"")</f>
        <v/>
      </c>
      <c r="U144" s="126" t="str">
        <f t="shared" si="15"/>
        <v/>
      </c>
      <c r="V144" s="126" t="str">
        <f t="shared" si="16"/>
        <v/>
      </c>
      <c r="W144" s="124" t="str">
        <f t="shared" si="17"/>
        <v/>
      </c>
      <c r="X144" s="125" t="str">
        <f t="shared" si="12"/>
        <v/>
      </c>
    </row>
    <row r="145" spans="1:24" x14ac:dyDescent="0.3">
      <c r="A145" s="129"/>
      <c r="B145" s="129"/>
      <c r="C145" s="128"/>
      <c r="D145" s="128"/>
      <c r="E145" s="128"/>
      <c r="F145" s="166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6" t="str">
        <f t="shared" si="13"/>
        <v/>
      </c>
      <c r="S145" s="163" t="str">
        <f t="shared" si="14"/>
        <v/>
      </c>
      <c r="T145" s="160" t="str">
        <f>IFERROR(INDEX(上年标准成本!$I:$I,MATCH(K145,上年标准成本!$C:$C,0),1),"")</f>
        <v/>
      </c>
      <c r="U145" s="126" t="str">
        <f t="shared" si="15"/>
        <v/>
      </c>
      <c r="V145" s="126" t="str">
        <f t="shared" si="16"/>
        <v/>
      </c>
      <c r="W145" s="124" t="str">
        <f t="shared" si="17"/>
        <v/>
      </c>
      <c r="X145" s="125" t="str">
        <f t="shared" si="12"/>
        <v/>
      </c>
    </row>
    <row r="146" spans="1:24" x14ac:dyDescent="0.3">
      <c r="A146" s="129"/>
      <c r="B146" s="129"/>
      <c r="C146" s="128"/>
      <c r="D146" s="128"/>
      <c r="E146" s="128"/>
      <c r="F146" s="166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6" t="str">
        <f t="shared" si="13"/>
        <v/>
      </c>
      <c r="S146" s="163" t="str">
        <f t="shared" si="14"/>
        <v/>
      </c>
      <c r="T146" s="160" t="str">
        <f>IFERROR(INDEX(上年标准成本!$I:$I,MATCH(K146,上年标准成本!$C:$C,0),1),"")</f>
        <v/>
      </c>
      <c r="U146" s="126" t="str">
        <f t="shared" si="15"/>
        <v/>
      </c>
      <c r="V146" s="126" t="str">
        <f t="shared" si="16"/>
        <v/>
      </c>
      <c r="W146" s="124" t="str">
        <f t="shared" si="17"/>
        <v/>
      </c>
      <c r="X146" s="125" t="str">
        <f t="shared" si="12"/>
        <v/>
      </c>
    </row>
    <row r="147" spans="1:24" x14ac:dyDescent="0.3">
      <c r="A147" s="129"/>
      <c r="B147" s="129"/>
      <c r="C147" s="128"/>
      <c r="D147" s="128"/>
      <c r="E147" s="128"/>
      <c r="F147" s="166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6" t="str">
        <f t="shared" si="13"/>
        <v/>
      </c>
      <c r="S147" s="163" t="str">
        <f t="shared" si="14"/>
        <v/>
      </c>
      <c r="T147" s="160" t="str">
        <f>IFERROR(INDEX(上年标准成本!$I:$I,MATCH(K147,上年标准成本!$C:$C,0),1),"")</f>
        <v/>
      </c>
      <c r="U147" s="126" t="str">
        <f t="shared" si="15"/>
        <v/>
      </c>
      <c r="V147" s="126" t="str">
        <f t="shared" si="16"/>
        <v/>
      </c>
      <c r="W147" s="124" t="str">
        <f t="shared" si="17"/>
        <v/>
      </c>
      <c r="X147" s="125" t="str">
        <f t="shared" si="12"/>
        <v/>
      </c>
    </row>
    <row r="148" spans="1:24" x14ac:dyDescent="0.3">
      <c r="A148" s="129"/>
      <c r="B148" s="129"/>
      <c r="C148" s="128"/>
      <c r="D148" s="128"/>
      <c r="E148" s="128"/>
      <c r="F148" s="166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6" t="str">
        <f t="shared" si="13"/>
        <v/>
      </c>
      <c r="S148" s="163" t="str">
        <f t="shared" si="14"/>
        <v/>
      </c>
      <c r="T148" s="160" t="str">
        <f>IFERROR(INDEX(上年标准成本!$I:$I,MATCH(K148,上年标准成本!$C:$C,0),1),"")</f>
        <v/>
      </c>
      <c r="U148" s="126" t="str">
        <f t="shared" si="15"/>
        <v/>
      </c>
      <c r="V148" s="126" t="str">
        <f t="shared" si="16"/>
        <v/>
      </c>
      <c r="W148" s="124" t="str">
        <f t="shared" si="17"/>
        <v/>
      </c>
      <c r="X148" s="125" t="str">
        <f t="shared" si="12"/>
        <v/>
      </c>
    </row>
    <row r="149" spans="1:24" x14ac:dyDescent="0.3">
      <c r="A149" s="129"/>
      <c r="B149" s="129"/>
      <c r="C149" s="128"/>
      <c r="D149" s="128"/>
      <c r="E149" s="128"/>
      <c r="F149" s="166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6" t="str">
        <f t="shared" si="13"/>
        <v/>
      </c>
      <c r="S149" s="163" t="str">
        <f t="shared" si="14"/>
        <v/>
      </c>
      <c r="T149" s="160" t="str">
        <f>IFERROR(INDEX(上年标准成本!$I:$I,MATCH(K149,上年标准成本!$C:$C,0),1),"")</f>
        <v/>
      </c>
      <c r="U149" s="126" t="str">
        <f t="shared" si="15"/>
        <v/>
      </c>
      <c r="V149" s="126" t="str">
        <f t="shared" si="16"/>
        <v/>
      </c>
      <c r="W149" s="124" t="str">
        <f t="shared" si="17"/>
        <v/>
      </c>
      <c r="X149" s="125" t="str">
        <f t="shared" si="12"/>
        <v/>
      </c>
    </row>
    <row r="150" spans="1:24" x14ac:dyDescent="0.3">
      <c r="A150" s="129"/>
      <c r="B150" s="129"/>
      <c r="C150" s="128"/>
      <c r="D150" s="128"/>
      <c r="E150" s="128"/>
      <c r="F150" s="166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6" t="str">
        <f t="shared" si="13"/>
        <v/>
      </c>
      <c r="S150" s="163" t="str">
        <f t="shared" si="14"/>
        <v/>
      </c>
      <c r="T150" s="160" t="str">
        <f>IFERROR(INDEX(上年标准成本!$I:$I,MATCH(K150,上年标准成本!$C:$C,0),1),"")</f>
        <v/>
      </c>
      <c r="U150" s="126" t="str">
        <f t="shared" si="15"/>
        <v/>
      </c>
      <c r="V150" s="126" t="str">
        <f t="shared" si="16"/>
        <v/>
      </c>
      <c r="W150" s="124" t="str">
        <f t="shared" si="17"/>
        <v/>
      </c>
      <c r="X150" s="125" t="str">
        <f t="shared" si="12"/>
        <v/>
      </c>
    </row>
    <row r="151" spans="1:24" x14ac:dyDescent="0.3">
      <c r="A151" s="129"/>
      <c r="B151" s="129"/>
      <c r="C151" s="128"/>
      <c r="D151" s="128"/>
      <c r="E151" s="128"/>
      <c r="F151" s="166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6" t="str">
        <f t="shared" si="13"/>
        <v/>
      </c>
      <c r="S151" s="163" t="str">
        <f t="shared" si="14"/>
        <v/>
      </c>
      <c r="T151" s="160" t="str">
        <f>IFERROR(INDEX(上年标准成本!$I:$I,MATCH(K151,上年标准成本!$C:$C,0),1),"")</f>
        <v/>
      </c>
      <c r="U151" s="126" t="str">
        <f t="shared" si="15"/>
        <v/>
      </c>
      <c r="V151" s="126" t="str">
        <f t="shared" si="16"/>
        <v/>
      </c>
      <c r="W151" s="124" t="str">
        <f t="shared" si="17"/>
        <v/>
      </c>
      <c r="X151" s="125" t="str">
        <f t="shared" si="12"/>
        <v/>
      </c>
    </row>
    <row r="152" spans="1:24" x14ac:dyDescent="0.3">
      <c r="A152" s="129"/>
      <c r="B152" s="129"/>
      <c r="C152" s="128"/>
      <c r="D152" s="128"/>
      <c r="E152" s="128"/>
      <c r="F152" s="166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6" t="str">
        <f t="shared" si="13"/>
        <v/>
      </c>
      <c r="S152" s="163" t="str">
        <f t="shared" si="14"/>
        <v/>
      </c>
      <c r="T152" s="160" t="str">
        <f>IFERROR(INDEX(上年标准成本!$I:$I,MATCH(K152,上年标准成本!$C:$C,0),1),"")</f>
        <v/>
      </c>
      <c r="U152" s="126" t="str">
        <f t="shared" si="15"/>
        <v/>
      </c>
      <c r="V152" s="126" t="str">
        <f t="shared" si="16"/>
        <v/>
      </c>
      <c r="W152" s="124" t="str">
        <f t="shared" si="17"/>
        <v/>
      </c>
      <c r="X152" s="125" t="str">
        <f t="shared" si="12"/>
        <v/>
      </c>
    </row>
    <row r="153" spans="1:24" x14ac:dyDescent="0.3">
      <c r="A153" s="129"/>
      <c r="B153" s="129"/>
      <c r="C153" s="128"/>
      <c r="D153" s="128"/>
      <c r="E153" s="128"/>
      <c r="F153" s="166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6" t="str">
        <f t="shared" si="13"/>
        <v/>
      </c>
      <c r="S153" s="163" t="str">
        <f t="shared" si="14"/>
        <v/>
      </c>
      <c r="T153" s="160" t="str">
        <f>IFERROR(INDEX(上年标准成本!$I:$I,MATCH(K153,上年标准成本!$C:$C,0),1),"")</f>
        <v/>
      </c>
      <c r="U153" s="126" t="str">
        <f t="shared" si="15"/>
        <v/>
      </c>
      <c r="V153" s="126" t="str">
        <f t="shared" si="16"/>
        <v/>
      </c>
      <c r="W153" s="124" t="str">
        <f t="shared" si="17"/>
        <v/>
      </c>
      <c r="X153" s="125" t="str">
        <f t="shared" si="12"/>
        <v/>
      </c>
    </row>
    <row r="154" spans="1:24" x14ac:dyDescent="0.3">
      <c r="A154" s="129"/>
      <c r="B154" s="129"/>
      <c r="C154" s="128"/>
      <c r="D154" s="128"/>
      <c r="E154" s="128"/>
      <c r="F154" s="166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6" t="str">
        <f t="shared" si="13"/>
        <v/>
      </c>
      <c r="S154" s="163" t="str">
        <f t="shared" si="14"/>
        <v/>
      </c>
      <c r="T154" s="160" t="str">
        <f>IFERROR(INDEX(上年标准成本!$I:$I,MATCH(K154,上年标准成本!$C:$C,0),1),"")</f>
        <v/>
      </c>
      <c r="U154" s="126" t="str">
        <f t="shared" si="15"/>
        <v/>
      </c>
      <c r="V154" s="126" t="str">
        <f t="shared" si="16"/>
        <v/>
      </c>
      <c r="W154" s="124" t="str">
        <f t="shared" si="17"/>
        <v/>
      </c>
      <c r="X154" s="125" t="str">
        <f t="shared" si="12"/>
        <v/>
      </c>
    </row>
    <row r="155" spans="1:24" x14ac:dyDescent="0.3">
      <c r="A155" s="129"/>
      <c r="B155" s="129"/>
      <c r="C155" s="128"/>
      <c r="D155" s="128"/>
      <c r="E155" s="128"/>
      <c r="F155" s="166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6" t="str">
        <f t="shared" si="13"/>
        <v/>
      </c>
      <c r="S155" s="163" t="str">
        <f t="shared" si="14"/>
        <v/>
      </c>
      <c r="T155" s="160" t="str">
        <f>IFERROR(INDEX(上年标准成本!$I:$I,MATCH(K155,上年标准成本!$C:$C,0),1),"")</f>
        <v/>
      </c>
      <c r="U155" s="126" t="str">
        <f t="shared" si="15"/>
        <v/>
      </c>
      <c r="V155" s="126" t="str">
        <f t="shared" si="16"/>
        <v/>
      </c>
      <c r="W155" s="124" t="str">
        <f t="shared" si="17"/>
        <v/>
      </c>
      <c r="X155" s="125" t="str">
        <f t="shared" si="12"/>
        <v/>
      </c>
    </row>
    <row r="156" spans="1:24" x14ac:dyDescent="0.3">
      <c r="A156" s="129"/>
      <c r="B156" s="129"/>
      <c r="C156" s="128"/>
      <c r="D156" s="128"/>
      <c r="E156" s="128"/>
      <c r="F156" s="166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6" t="str">
        <f t="shared" si="13"/>
        <v/>
      </c>
      <c r="S156" s="163" t="str">
        <f t="shared" si="14"/>
        <v/>
      </c>
      <c r="T156" s="160" t="str">
        <f>IFERROR(INDEX(上年标准成本!$I:$I,MATCH(K156,上年标准成本!$C:$C,0),1),"")</f>
        <v/>
      </c>
      <c r="U156" s="126" t="str">
        <f t="shared" si="15"/>
        <v/>
      </c>
      <c r="V156" s="126" t="str">
        <f t="shared" si="16"/>
        <v/>
      </c>
      <c r="W156" s="124" t="str">
        <f t="shared" si="17"/>
        <v/>
      </c>
      <c r="X156" s="125" t="str">
        <f t="shared" si="12"/>
        <v/>
      </c>
    </row>
    <row r="157" spans="1:24" x14ac:dyDescent="0.3">
      <c r="A157" s="129"/>
      <c r="B157" s="129"/>
      <c r="C157" s="128"/>
      <c r="D157" s="128"/>
      <c r="E157" s="128"/>
      <c r="F157" s="166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6" t="str">
        <f t="shared" si="13"/>
        <v/>
      </c>
      <c r="S157" s="163" t="str">
        <f t="shared" si="14"/>
        <v/>
      </c>
      <c r="T157" s="160" t="str">
        <f>IFERROR(INDEX(上年标准成本!$I:$I,MATCH(K157,上年标准成本!$C:$C,0),1),"")</f>
        <v/>
      </c>
      <c r="U157" s="126" t="str">
        <f t="shared" si="15"/>
        <v/>
      </c>
      <c r="V157" s="126" t="str">
        <f t="shared" si="16"/>
        <v/>
      </c>
      <c r="W157" s="124" t="str">
        <f t="shared" si="17"/>
        <v/>
      </c>
      <c r="X157" s="125" t="str">
        <f t="shared" si="12"/>
        <v/>
      </c>
    </row>
    <row r="158" spans="1:24" x14ac:dyDescent="0.3">
      <c r="A158" s="129"/>
      <c r="B158" s="129"/>
      <c r="C158" s="128"/>
      <c r="D158" s="128"/>
      <c r="E158" s="128"/>
      <c r="F158" s="166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6" t="str">
        <f t="shared" si="13"/>
        <v/>
      </c>
      <c r="S158" s="163" t="str">
        <f t="shared" si="14"/>
        <v/>
      </c>
      <c r="T158" s="160" t="str">
        <f>IFERROR(INDEX(上年标准成本!$I:$I,MATCH(K158,上年标准成本!$C:$C,0),1),"")</f>
        <v/>
      </c>
      <c r="U158" s="126" t="str">
        <f t="shared" si="15"/>
        <v/>
      </c>
      <c r="V158" s="126" t="str">
        <f t="shared" si="16"/>
        <v/>
      </c>
      <c r="W158" s="124" t="str">
        <f t="shared" si="17"/>
        <v/>
      </c>
      <c r="X158" s="125" t="str">
        <f t="shared" si="12"/>
        <v/>
      </c>
    </row>
    <row r="159" spans="1:24" x14ac:dyDescent="0.3">
      <c r="A159" s="129"/>
      <c r="B159" s="129"/>
      <c r="C159" s="128"/>
      <c r="D159" s="128"/>
      <c r="E159" s="128"/>
      <c r="F159" s="166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6" t="str">
        <f t="shared" si="13"/>
        <v/>
      </c>
      <c r="S159" s="163" t="str">
        <f t="shared" si="14"/>
        <v/>
      </c>
      <c r="T159" s="160" t="str">
        <f>IFERROR(INDEX(上年标准成本!$I:$I,MATCH(K159,上年标准成本!$C:$C,0),1),"")</f>
        <v/>
      </c>
      <c r="U159" s="126" t="str">
        <f t="shared" si="15"/>
        <v/>
      </c>
      <c r="V159" s="126" t="str">
        <f t="shared" si="16"/>
        <v/>
      </c>
      <c r="W159" s="124" t="str">
        <f t="shared" si="17"/>
        <v/>
      </c>
      <c r="X159" s="125" t="str">
        <f t="shared" si="12"/>
        <v/>
      </c>
    </row>
    <row r="160" spans="1:24" x14ac:dyDescent="0.3">
      <c r="A160" s="129"/>
      <c r="B160" s="129"/>
      <c r="C160" s="128"/>
      <c r="D160" s="128"/>
      <c r="E160" s="128"/>
      <c r="F160" s="166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6" t="str">
        <f t="shared" si="13"/>
        <v/>
      </c>
      <c r="S160" s="163" t="str">
        <f t="shared" si="14"/>
        <v/>
      </c>
      <c r="T160" s="160" t="str">
        <f>IFERROR(INDEX(上年标准成本!$I:$I,MATCH(K160,上年标准成本!$C:$C,0),1),"")</f>
        <v/>
      </c>
      <c r="U160" s="126" t="str">
        <f t="shared" si="15"/>
        <v/>
      </c>
      <c r="V160" s="126" t="str">
        <f t="shared" si="16"/>
        <v/>
      </c>
      <c r="W160" s="124" t="str">
        <f t="shared" si="17"/>
        <v/>
      </c>
      <c r="X160" s="125" t="str">
        <f t="shared" si="12"/>
        <v/>
      </c>
    </row>
    <row r="161" spans="1:24" x14ac:dyDescent="0.3">
      <c r="A161" s="129"/>
      <c r="B161" s="129"/>
      <c r="C161" s="128"/>
      <c r="D161" s="128"/>
      <c r="E161" s="128"/>
      <c r="F161" s="166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6" t="str">
        <f t="shared" si="13"/>
        <v/>
      </c>
      <c r="S161" s="163" t="str">
        <f t="shared" si="14"/>
        <v/>
      </c>
      <c r="T161" s="160" t="str">
        <f>IFERROR(INDEX(上年标准成本!$I:$I,MATCH(K161,上年标准成本!$C:$C,0),1),"")</f>
        <v/>
      </c>
      <c r="U161" s="126" t="str">
        <f t="shared" si="15"/>
        <v/>
      </c>
      <c r="V161" s="126" t="str">
        <f t="shared" si="16"/>
        <v/>
      </c>
      <c r="W161" s="124" t="str">
        <f t="shared" si="17"/>
        <v/>
      </c>
      <c r="X161" s="125" t="str">
        <f t="shared" si="12"/>
        <v/>
      </c>
    </row>
    <row r="162" spans="1:24" x14ac:dyDescent="0.3">
      <c r="A162" s="129"/>
      <c r="B162" s="129"/>
      <c r="C162" s="128"/>
      <c r="D162" s="128"/>
      <c r="E162" s="128"/>
      <c r="F162" s="166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6" t="str">
        <f t="shared" si="13"/>
        <v/>
      </c>
      <c r="S162" s="163" t="str">
        <f t="shared" si="14"/>
        <v/>
      </c>
      <c r="T162" s="160" t="str">
        <f>IFERROR(INDEX(上年标准成本!$I:$I,MATCH(K162,上年标准成本!$C:$C,0),1),"")</f>
        <v/>
      </c>
      <c r="U162" s="126" t="str">
        <f t="shared" si="15"/>
        <v/>
      </c>
      <c r="V162" s="126" t="str">
        <f t="shared" si="16"/>
        <v/>
      </c>
      <c r="W162" s="124" t="str">
        <f t="shared" si="17"/>
        <v/>
      </c>
      <c r="X162" s="125" t="str">
        <f t="shared" si="12"/>
        <v/>
      </c>
    </row>
    <row r="163" spans="1:24" x14ac:dyDescent="0.3">
      <c r="A163" s="129"/>
      <c r="B163" s="129"/>
      <c r="C163" s="128"/>
      <c r="D163" s="128"/>
      <c r="E163" s="128"/>
      <c r="F163" s="166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6" t="str">
        <f t="shared" si="13"/>
        <v/>
      </c>
      <c r="S163" s="163" t="str">
        <f t="shared" si="14"/>
        <v/>
      </c>
      <c r="T163" s="160" t="str">
        <f>IFERROR(INDEX(上年标准成本!$I:$I,MATCH(K163,上年标准成本!$C:$C,0),1),"")</f>
        <v/>
      </c>
      <c r="U163" s="126" t="str">
        <f t="shared" si="15"/>
        <v/>
      </c>
      <c r="V163" s="126" t="str">
        <f t="shared" si="16"/>
        <v/>
      </c>
      <c r="W163" s="124" t="str">
        <f t="shared" si="17"/>
        <v/>
      </c>
      <c r="X163" s="125" t="str">
        <f t="shared" si="12"/>
        <v/>
      </c>
    </row>
    <row r="164" spans="1:24" x14ac:dyDescent="0.3">
      <c r="A164" s="129"/>
      <c r="B164" s="129"/>
      <c r="C164" s="128"/>
      <c r="D164" s="128"/>
      <c r="E164" s="128"/>
      <c r="F164" s="166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6" t="str">
        <f t="shared" si="13"/>
        <v/>
      </c>
      <c r="S164" s="163" t="str">
        <f t="shared" si="14"/>
        <v/>
      </c>
      <c r="T164" s="160" t="str">
        <f>IFERROR(INDEX(上年标准成本!$I:$I,MATCH(K164,上年标准成本!$C:$C,0),1),"")</f>
        <v/>
      </c>
      <c r="U164" s="126" t="str">
        <f t="shared" si="15"/>
        <v/>
      </c>
      <c r="V164" s="126" t="str">
        <f t="shared" si="16"/>
        <v/>
      </c>
      <c r="W164" s="124" t="str">
        <f t="shared" si="17"/>
        <v/>
      </c>
      <c r="X164" s="125" t="str">
        <f t="shared" si="12"/>
        <v/>
      </c>
    </row>
    <row r="165" spans="1:24" x14ac:dyDescent="0.3">
      <c r="A165" s="129"/>
      <c r="B165" s="129"/>
      <c r="C165" s="128"/>
      <c r="D165" s="128"/>
      <c r="E165" s="128"/>
      <c r="F165" s="166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6" t="str">
        <f t="shared" si="13"/>
        <v/>
      </c>
      <c r="S165" s="163" t="str">
        <f t="shared" si="14"/>
        <v/>
      </c>
      <c r="T165" s="160" t="str">
        <f>IFERROR(INDEX(上年标准成本!$I:$I,MATCH(K165,上年标准成本!$C:$C,0),1),"")</f>
        <v/>
      </c>
      <c r="U165" s="126" t="str">
        <f t="shared" si="15"/>
        <v/>
      </c>
      <c r="V165" s="126" t="str">
        <f t="shared" si="16"/>
        <v/>
      </c>
      <c r="W165" s="124" t="str">
        <f t="shared" si="17"/>
        <v/>
      </c>
      <c r="X165" s="125" t="str">
        <f t="shared" si="12"/>
        <v/>
      </c>
    </row>
    <row r="166" spans="1:24" x14ac:dyDescent="0.3">
      <c r="A166" s="129"/>
      <c r="B166" s="129"/>
      <c r="C166" s="128"/>
      <c r="D166" s="128"/>
      <c r="E166" s="128"/>
      <c r="F166" s="166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6" t="str">
        <f t="shared" si="13"/>
        <v/>
      </c>
      <c r="S166" s="163" t="str">
        <f t="shared" si="14"/>
        <v/>
      </c>
      <c r="T166" s="160" t="str">
        <f>IFERROR(INDEX(上年标准成本!$I:$I,MATCH(K166,上年标准成本!$C:$C,0),1),"")</f>
        <v/>
      </c>
      <c r="U166" s="126" t="str">
        <f t="shared" si="15"/>
        <v/>
      </c>
      <c r="V166" s="126" t="str">
        <f t="shared" si="16"/>
        <v/>
      </c>
      <c r="W166" s="124" t="str">
        <f t="shared" si="17"/>
        <v/>
      </c>
      <c r="X166" s="125" t="str">
        <f t="shared" si="12"/>
        <v/>
      </c>
    </row>
    <row r="167" spans="1:24" x14ac:dyDescent="0.3">
      <c r="A167" s="129"/>
      <c r="B167" s="129"/>
      <c r="C167" s="128"/>
      <c r="D167" s="128"/>
      <c r="E167" s="128"/>
      <c r="F167" s="166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6" t="str">
        <f t="shared" si="13"/>
        <v/>
      </c>
      <c r="S167" s="163" t="str">
        <f t="shared" si="14"/>
        <v/>
      </c>
      <c r="T167" s="160" t="str">
        <f>IFERROR(INDEX(上年标准成本!$I:$I,MATCH(K167,上年标准成本!$C:$C,0),1),"")</f>
        <v/>
      </c>
      <c r="U167" s="126" t="str">
        <f t="shared" si="15"/>
        <v/>
      </c>
      <c r="V167" s="126" t="str">
        <f t="shared" si="16"/>
        <v/>
      </c>
      <c r="W167" s="124" t="str">
        <f t="shared" si="17"/>
        <v/>
      </c>
      <c r="X167" s="125" t="str">
        <f t="shared" si="12"/>
        <v/>
      </c>
    </row>
    <row r="168" spans="1:24" x14ac:dyDescent="0.3">
      <c r="A168" s="129"/>
      <c r="B168" s="129"/>
      <c r="C168" s="128"/>
      <c r="D168" s="128"/>
      <c r="E168" s="128"/>
      <c r="F168" s="166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6" t="str">
        <f t="shared" si="13"/>
        <v/>
      </c>
      <c r="S168" s="163" t="str">
        <f t="shared" si="14"/>
        <v/>
      </c>
      <c r="T168" s="160" t="str">
        <f>IFERROR(INDEX(上年标准成本!$I:$I,MATCH(K168,上年标准成本!$C:$C,0),1),"")</f>
        <v/>
      </c>
      <c r="U168" s="126" t="str">
        <f t="shared" si="15"/>
        <v/>
      </c>
      <c r="V168" s="126" t="str">
        <f t="shared" si="16"/>
        <v/>
      </c>
      <c r="W168" s="124" t="str">
        <f t="shared" si="17"/>
        <v/>
      </c>
      <c r="X168" s="125" t="str">
        <f t="shared" si="12"/>
        <v/>
      </c>
    </row>
    <row r="169" spans="1:24" x14ac:dyDescent="0.3">
      <c r="A169" s="129"/>
      <c r="B169" s="129"/>
      <c r="C169" s="128"/>
      <c r="D169" s="128"/>
      <c r="E169" s="128"/>
      <c r="F169" s="166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6" t="str">
        <f t="shared" si="13"/>
        <v/>
      </c>
      <c r="S169" s="163" t="str">
        <f t="shared" si="14"/>
        <v/>
      </c>
      <c r="T169" s="160" t="str">
        <f>IFERROR(INDEX(上年标准成本!$I:$I,MATCH(K169,上年标准成本!$C:$C,0),1),"")</f>
        <v/>
      </c>
      <c r="U169" s="126" t="str">
        <f t="shared" si="15"/>
        <v/>
      </c>
      <c r="V169" s="126" t="str">
        <f t="shared" si="16"/>
        <v/>
      </c>
      <c r="W169" s="124" t="str">
        <f t="shared" si="17"/>
        <v/>
      </c>
      <c r="X169" s="125" t="str">
        <f t="shared" si="12"/>
        <v/>
      </c>
    </row>
    <row r="170" spans="1:24" x14ac:dyDescent="0.3">
      <c r="A170" s="129"/>
      <c r="B170" s="129"/>
      <c r="C170" s="128"/>
      <c r="D170" s="128"/>
      <c r="E170" s="128"/>
      <c r="F170" s="166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6" t="str">
        <f t="shared" si="13"/>
        <v/>
      </c>
      <c r="S170" s="163" t="str">
        <f t="shared" si="14"/>
        <v/>
      </c>
      <c r="T170" s="160" t="str">
        <f>IFERROR(INDEX(上年标准成本!$I:$I,MATCH(K170,上年标准成本!$C:$C,0),1),"")</f>
        <v/>
      </c>
      <c r="U170" s="126" t="str">
        <f t="shared" si="15"/>
        <v/>
      </c>
      <c r="V170" s="126" t="str">
        <f t="shared" si="16"/>
        <v/>
      </c>
      <c r="W170" s="124" t="str">
        <f t="shared" si="17"/>
        <v/>
      </c>
      <c r="X170" s="125" t="str">
        <f t="shared" si="12"/>
        <v/>
      </c>
    </row>
    <row r="171" spans="1:24" x14ac:dyDescent="0.3">
      <c r="A171" s="129"/>
      <c r="B171" s="129"/>
      <c r="C171" s="128"/>
      <c r="D171" s="128"/>
      <c r="E171" s="128"/>
      <c r="F171" s="166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6" t="str">
        <f t="shared" si="13"/>
        <v/>
      </c>
      <c r="S171" s="163" t="str">
        <f t="shared" si="14"/>
        <v/>
      </c>
      <c r="T171" s="160" t="str">
        <f>IFERROR(INDEX(上年标准成本!$I:$I,MATCH(K171,上年标准成本!$C:$C,0),1),"")</f>
        <v/>
      </c>
      <c r="U171" s="126" t="str">
        <f t="shared" si="15"/>
        <v/>
      </c>
      <c r="V171" s="126" t="str">
        <f t="shared" si="16"/>
        <v/>
      </c>
      <c r="W171" s="124" t="str">
        <f t="shared" si="17"/>
        <v/>
      </c>
      <c r="X171" s="125" t="str">
        <f t="shared" si="12"/>
        <v/>
      </c>
    </row>
    <row r="172" spans="1:24" x14ac:dyDescent="0.3">
      <c r="A172" s="129"/>
      <c r="B172" s="129"/>
      <c r="C172" s="128"/>
      <c r="D172" s="128"/>
      <c r="E172" s="128"/>
      <c r="F172" s="166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6" t="str">
        <f t="shared" si="13"/>
        <v/>
      </c>
      <c r="S172" s="163" t="str">
        <f t="shared" si="14"/>
        <v/>
      </c>
      <c r="T172" s="160" t="str">
        <f>IFERROR(INDEX(上年标准成本!$I:$I,MATCH(K172,上年标准成本!$C:$C,0),1),"")</f>
        <v/>
      </c>
      <c r="U172" s="126" t="str">
        <f t="shared" si="15"/>
        <v/>
      </c>
      <c r="V172" s="126" t="str">
        <f t="shared" si="16"/>
        <v/>
      </c>
      <c r="W172" s="124" t="str">
        <f t="shared" si="17"/>
        <v/>
      </c>
      <c r="X172" s="125" t="str">
        <f t="shared" si="12"/>
        <v/>
      </c>
    </row>
    <row r="173" spans="1:24" x14ac:dyDescent="0.3">
      <c r="A173" s="129"/>
      <c r="B173" s="129"/>
      <c r="C173" s="128"/>
      <c r="D173" s="128"/>
      <c r="E173" s="128"/>
      <c r="F173" s="166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6" t="str">
        <f t="shared" si="13"/>
        <v/>
      </c>
      <c r="S173" s="163" t="str">
        <f t="shared" si="14"/>
        <v/>
      </c>
      <c r="T173" s="160" t="str">
        <f>IFERROR(INDEX(上年标准成本!$I:$I,MATCH(K173,上年标准成本!$C:$C,0),1),"")</f>
        <v/>
      </c>
      <c r="U173" s="126" t="str">
        <f t="shared" si="15"/>
        <v/>
      </c>
      <c r="V173" s="126" t="str">
        <f t="shared" si="16"/>
        <v/>
      </c>
      <c r="W173" s="124" t="str">
        <f t="shared" si="17"/>
        <v/>
      </c>
      <c r="X173" s="125" t="str">
        <f t="shared" si="12"/>
        <v/>
      </c>
    </row>
    <row r="174" spans="1:24" x14ac:dyDescent="0.3">
      <c r="A174" s="129"/>
      <c r="B174" s="129"/>
      <c r="C174" s="128"/>
      <c r="D174" s="128"/>
      <c r="E174" s="128"/>
      <c r="F174" s="166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6" t="str">
        <f t="shared" si="13"/>
        <v/>
      </c>
      <c r="S174" s="163" t="str">
        <f t="shared" si="14"/>
        <v/>
      </c>
      <c r="T174" s="160" t="str">
        <f>IFERROR(INDEX(上年标准成本!$I:$I,MATCH(K174,上年标准成本!$C:$C,0),1),"")</f>
        <v/>
      </c>
      <c r="U174" s="126" t="str">
        <f t="shared" si="15"/>
        <v/>
      </c>
      <c r="V174" s="126" t="str">
        <f t="shared" si="16"/>
        <v/>
      </c>
      <c r="W174" s="124" t="str">
        <f t="shared" si="17"/>
        <v/>
      </c>
      <c r="X174" s="125" t="str">
        <f t="shared" si="12"/>
        <v/>
      </c>
    </row>
    <row r="175" spans="1:24" x14ac:dyDescent="0.3">
      <c r="A175" s="129"/>
      <c r="B175" s="129"/>
      <c r="C175" s="128"/>
      <c r="D175" s="128"/>
      <c r="E175" s="128"/>
      <c r="F175" s="166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6" t="str">
        <f t="shared" si="13"/>
        <v/>
      </c>
      <c r="S175" s="163" t="str">
        <f t="shared" si="14"/>
        <v/>
      </c>
      <c r="T175" s="160" t="str">
        <f>IFERROR(INDEX(上年标准成本!$I:$I,MATCH(K175,上年标准成本!$C:$C,0),1),"")</f>
        <v/>
      </c>
      <c r="U175" s="126" t="str">
        <f t="shared" si="15"/>
        <v/>
      </c>
      <c r="V175" s="126" t="str">
        <f t="shared" si="16"/>
        <v/>
      </c>
      <c r="W175" s="124" t="str">
        <f t="shared" si="17"/>
        <v/>
      </c>
      <c r="X175" s="125" t="str">
        <f t="shared" si="12"/>
        <v/>
      </c>
    </row>
    <row r="176" spans="1:24" x14ac:dyDescent="0.3">
      <c r="A176" s="129"/>
      <c r="B176" s="129"/>
      <c r="C176" s="128"/>
      <c r="D176" s="128"/>
      <c r="E176" s="128"/>
      <c r="F176" s="166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6" t="str">
        <f t="shared" si="13"/>
        <v/>
      </c>
      <c r="S176" s="163" t="str">
        <f t="shared" si="14"/>
        <v/>
      </c>
      <c r="T176" s="160" t="str">
        <f>IFERROR(INDEX(上年标准成本!$I:$I,MATCH(K176,上年标准成本!$C:$C,0),1),"")</f>
        <v/>
      </c>
      <c r="U176" s="126" t="str">
        <f t="shared" si="15"/>
        <v/>
      </c>
      <c r="V176" s="126" t="str">
        <f t="shared" si="16"/>
        <v/>
      </c>
      <c r="W176" s="124" t="str">
        <f t="shared" si="17"/>
        <v/>
      </c>
      <c r="X176" s="125" t="str">
        <f t="shared" si="12"/>
        <v/>
      </c>
    </row>
    <row r="177" spans="1:24" x14ac:dyDescent="0.3">
      <c r="A177" s="129"/>
      <c r="B177" s="129"/>
      <c r="C177" s="128"/>
      <c r="D177" s="128"/>
      <c r="E177" s="128"/>
      <c r="F177" s="166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6" t="str">
        <f t="shared" si="13"/>
        <v/>
      </c>
      <c r="S177" s="163" t="str">
        <f t="shared" si="14"/>
        <v/>
      </c>
      <c r="T177" s="160" t="str">
        <f>IFERROR(INDEX(上年标准成本!$I:$I,MATCH(K177,上年标准成本!$C:$C,0),1),"")</f>
        <v/>
      </c>
      <c r="U177" s="126" t="str">
        <f t="shared" si="15"/>
        <v/>
      </c>
      <c r="V177" s="126" t="str">
        <f t="shared" si="16"/>
        <v/>
      </c>
      <c r="W177" s="124" t="str">
        <f t="shared" si="17"/>
        <v/>
      </c>
      <c r="X177" s="125" t="str">
        <f t="shared" si="12"/>
        <v/>
      </c>
    </row>
    <row r="178" spans="1:24" x14ac:dyDescent="0.3">
      <c r="A178" s="129"/>
      <c r="B178" s="129"/>
      <c r="C178" s="128"/>
      <c r="D178" s="128"/>
      <c r="E178" s="128"/>
      <c r="F178" s="166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6" t="str">
        <f t="shared" si="13"/>
        <v/>
      </c>
      <c r="S178" s="163" t="str">
        <f t="shared" si="14"/>
        <v/>
      </c>
      <c r="T178" s="160" t="str">
        <f>IFERROR(INDEX(上年标准成本!$I:$I,MATCH(K178,上年标准成本!$C:$C,0),1),"")</f>
        <v/>
      </c>
      <c r="U178" s="126" t="str">
        <f t="shared" si="15"/>
        <v/>
      </c>
      <c r="V178" s="126" t="str">
        <f t="shared" si="16"/>
        <v/>
      </c>
      <c r="W178" s="124" t="str">
        <f t="shared" si="17"/>
        <v/>
      </c>
      <c r="X178" s="125" t="str">
        <f t="shared" si="12"/>
        <v/>
      </c>
    </row>
    <row r="179" spans="1:24" x14ac:dyDescent="0.3">
      <c r="A179" s="129"/>
      <c r="B179" s="129"/>
      <c r="C179" s="128"/>
      <c r="D179" s="128"/>
      <c r="E179" s="128"/>
      <c r="F179" s="166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6" t="str">
        <f t="shared" si="13"/>
        <v/>
      </c>
      <c r="S179" s="163" t="str">
        <f t="shared" si="14"/>
        <v/>
      </c>
      <c r="T179" s="160" t="str">
        <f>IFERROR(INDEX(上年标准成本!$I:$I,MATCH(K179,上年标准成本!$C:$C,0),1),"")</f>
        <v/>
      </c>
      <c r="U179" s="126" t="str">
        <f t="shared" si="15"/>
        <v/>
      </c>
      <c r="V179" s="126" t="str">
        <f t="shared" si="16"/>
        <v/>
      </c>
      <c r="W179" s="124" t="str">
        <f t="shared" si="17"/>
        <v/>
      </c>
      <c r="X179" s="125" t="str">
        <f t="shared" si="12"/>
        <v/>
      </c>
    </row>
    <row r="180" spans="1:24" x14ac:dyDescent="0.3">
      <c r="A180" s="129"/>
      <c r="B180" s="129"/>
      <c r="C180" s="128"/>
      <c r="D180" s="128"/>
      <c r="E180" s="128"/>
      <c r="F180" s="166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6" t="str">
        <f t="shared" si="13"/>
        <v/>
      </c>
      <c r="S180" s="163" t="str">
        <f t="shared" si="14"/>
        <v/>
      </c>
      <c r="T180" s="160" t="str">
        <f>IFERROR(INDEX(上年标准成本!$I:$I,MATCH(K180,上年标准成本!$C:$C,0),1),"")</f>
        <v/>
      </c>
      <c r="U180" s="126" t="str">
        <f t="shared" si="15"/>
        <v/>
      </c>
      <c r="V180" s="126" t="str">
        <f t="shared" si="16"/>
        <v/>
      </c>
      <c r="W180" s="124" t="str">
        <f t="shared" si="17"/>
        <v/>
      </c>
      <c r="X180" s="125" t="str">
        <f t="shared" si="12"/>
        <v/>
      </c>
    </row>
    <row r="181" spans="1:24" x14ac:dyDescent="0.3">
      <c r="A181" s="129"/>
      <c r="B181" s="129"/>
      <c r="C181" s="128"/>
      <c r="D181" s="128"/>
      <c r="E181" s="128"/>
      <c r="F181" s="166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6" t="str">
        <f t="shared" si="13"/>
        <v/>
      </c>
      <c r="S181" s="163" t="str">
        <f t="shared" si="14"/>
        <v/>
      </c>
      <c r="T181" s="160" t="str">
        <f>IFERROR(INDEX(上年标准成本!$I:$I,MATCH(K181,上年标准成本!$C:$C,0),1),"")</f>
        <v/>
      </c>
      <c r="U181" s="126" t="str">
        <f t="shared" si="15"/>
        <v/>
      </c>
      <c r="V181" s="126" t="str">
        <f t="shared" si="16"/>
        <v/>
      </c>
      <c r="W181" s="124" t="str">
        <f t="shared" si="17"/>
        <v/>
      </c>
      <c r="X181" s="125" t="str">
        <f t="shared" si="12"/>
        <v/>
      </c>
    </row>
    <row r="182" spans="1:24" x14ac:dyDescent="0.3">
      <c r="A182" s="129"/>
      <c r="B182" s="129"/>
      <c r="C182" s="128"/>
      <c r="D182" s="128"/>
      <c r="E182" s="128"/>
      <c r="F182" s="166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6" t="str">
        <f t="shared" si="13"/>
        <v/>
      </c>
      <c r="S182" s="163" t="str">
        <f t="shared" si="14"/>
        <v/>
      </c>
      <c r="T182" s="160" t="str">
        <f>IFERROR(INDEX(上年标准成本!$I:$I,MATCH(K182,上年标准成本!$C:$C,0),1),"")</f>
        <v/>
      </c>
      <c r="U182" s="126" t="str">
        <f t="shared" si="15"/>
        <v/>
      </c>
      <c r="V182" s="126" t="str">
        <f t="shared" si="16"/>
        <v/>
      </c>
      <c r="W182" s="124" t="str">
        <f t="shared" si="17"/>
        <v/>
      </c>
      <c r="X182" s="125" t="str">
        <f t="shared" si="12"/>
        <v/>
      </c>
    </row>
    <row r="183" spans="1:24" x14ac:dyDescent="0.3">
      <c r="A183" s="129"/>
      <c r="B183" s="129"/>
      <c r="C183" s="128"/>
      <c r="D183" s="128"/>
      <c r="E183" s="128"/>
      <c r="F183" s="166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6" t="str">
        <f t="shared" si="13"/>
        <v/>
      </c>
      <c r="S183" s="163" t="str">
        <f t="shared" si="14"/>
        <v/>
      </c>
      <c r="T183" s="160" t="str">
        <f>IFERROR(INDEX(上年标准成本!$I:$I,MATCH(K183,上年标准成本!$C:$C,0),1),"")</f>
        <v/>
      </c>
      <c r="U183" s="126" t="str">
        <f t="shared" si="15"/>
        <v/>
      </c>
      <c r="V183" s="126" t="str">
        <f t="shared" si="16"/>
        <v/>
      </c>
      <c r="W183" s="124" t="str">
        <f t="shared" si="17"/>
        <v/>
      </c>
      <c r="X183" s="125" t="str">
        <f t="shared" si="12"/>
        <v/>
      </c>
    </row>
    <row r="184" spans="1:24" x14ac:dyDescent="0.3">
      <c r="A184" s="129"/>
      <c r="B184" s="129"/>
      <c r="C184" s="128"/>
      <c r="D184" s="128"/>
      <c r="E184" s="128"/>
      <c r="F184" s="166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6" t="str">
        <f t="shared" si="13"/>
        <v/>
      </c>
      <c r="S184" s="163" t="str">
        <f t="shared" si="14"/>
        <v/>
      </c>
      <c r="T184" s="160" t="str">
        <f>IFERROR(INDEX(上年标准成本!$I:$I,MATCH(K184,上年标准成本!$C:$C,0),1),"")</f>
        <v/>
      </c>
      <c r="U184" s="126" t="str">
        <f t="shared" si="15"/>
        <v/>
      </c>
      <c r="V184" s="126" t="str">
        <f t="shared" si="16"/>
        <v/>
      </c>
      <c r="W184" s="124" t="str">
        <f t="shared" si="17"/>
        <v/>
      </c>
      <c r="X184" s="125" t="str">
        <f t="shared" si="12"/>
        <v/>
      </c>
    </row>
    <row r="185" spans="1:24" x14ac:dyDescent="0.3">
      <c r="A185" s="129"/>
      <c r="B185" s="129"/>
      <c r="C185" s="128"/>
      <c r="D185" s="128"/>
      <c r="E185" s="128"/>
      <c r="F185" s="166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6" t="str">
        <f t="shared" si="13"/>
        <v/>
      </c>
      <c r="S185" s="163" t="str">
        <f t="shared" si="14"/>
        <v/>
      </c>
      <c r="T185" s="160" t="str">
        <f>IFERROR(INDEX(上年标准成本!$I:$I,MATCH(K185,上年标准成本!$C:$C,0),1),"")</f>
        <v/>
      </c>
      <c r="U185" s="126" t="str">
        <f t="shared" si="15"/>
        <v/>
      </c>
      <c r="V185" s="126" t="str">
        <f t="shared" si="16"/>
        <v/>
      </c>
      <c r="W185" s="124" t="str">
        <f t="shared" si="17"/>
        <v/>
      </c>
      <c r="X185" s="125" t="str">
        <f t="shared" si="12"/>
        <v/>
      </c>
    </row>
    <row r="186" spans="1:24" x14ac:dyDescent="0.3">
      <c r="A186" s="129"/>
      <c r="B186" s="129"/>
      <c r="C186" s="128"/>
      <c r="D186" s="128"/>
      <c r="E186" s="128"/>
      <c r="F186" s="166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6" t="str">
        <f t="shared" si="13"/>
        <v/>
      </c>
      <c r="S186" s="163" t="str">
        <f t="shared" si="14"/>
        <v/>
      </c>
      <c r="T186" s="160" t="str">
        <f>IFERROR(INDEX(上年标准成本!$I:$I,MATCH(K186,上年标准成本!$C:$C,0),1),"")</f>
        <v/>
      </c>
      <c r="U186" s="126" t="str">
        <f t="shared" si="15"/>
        <v/>
      </c>
      <c r="V186" s="126" t="str">
        <f t="shared" si="16"/>
        <v/>
      </c>
      <c r="W186" s="124" t="str">
        <f t="shared" si="17"/>
        <v/>
      </c>
      <c r="X186" s="125" t="str">
        <f t="shared" si="12"/>
        <v/>
      </c>
    </row>
    <row r="187" spans="1:24" x14ac:dyDescent="0.3">
      <c r="A187" s="129"/>
      <c r="B187" s="129"/>
      <c r="C187" s="128"/>
      <c r="D187" s="128"/>
      <c r="E187" s="128"/>
      <c r="F187" s="166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6" t="str">
        <f t="shared" si="13"/>
        <v/>
      </c>
      <c r="S187" s="163" t="str">
        <f t="shared" si="14"/>
        <v/>
      </c>
      <c r="T187" s="160" t="str">
        <f>IFERROR(INDEX(上年标准成本!$I:$I,MATCH(K187,上年标准成本!$C:$C,0),1),"")</f>
        <v/>
      </c>
      <c r="U187" s="126" t="str">
        <f t="shared" si="15"/>
        <v/>
      </c>
      <c r="V187" s="126" t="str">
        <f t="shared" si="16"/>
        <v/>
      </c>
      <c r="W187" s="124" t="str">
        <f t="shared" si="17"/>
        <v/>
      </c>
      <c r="X187" s="125" t="str">
        <f t="shared" si="12"/>
        <v/>
      </c>
    </row>
    <row r="188" spans="1:24" x14ac:dyDescent="0.3">
      <c r="A188" s="129"/>
      <c r="B188" s="129"/>
      <c r="C188" s="128"/>
      <c r="D188" s="128"/>
      <c r="E188" s="128"/>
      <c r="F188" s="166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6" t="str">
        <f t="shared" si="13"/>
        <v/>
      </c>
      <c r="S188" s="163" t="str">
        <f t="shared" si="14"/>
        <v/>
      </c>
      <c r="T188" s="160" t="str">
        <f>IFERROR(INDEX(上年标准成本!$I:$I,MATCH(K188,上年标准成本!$C:$C,0),1),"")</f>
        <v/>
      </c>
      <c r="U188" s="126" t="str">
        <f t="shared" si="15"/>
        <v/>
      </c>
      <c r="V188" s="126" t="str">
        <f t="shared" si="16"/>
        <v/>
      </c>
      <c r="W188" s="124" t="str">
        <f t="shared" si="17"/>
        <v/>
      </c>
      <c r="X188" s="125" t="str">
        <f t="shared" si="12"/>
        <v/>
      </c>
    </row>
    <row r="189" spans="1:24" x14ac:dyDescent="0.3">
      <c r="A189" s="129"/>
      <c r="B189" s="129"/>
      <c r="C189" s="128"/>
      <c r="D189" s="128"/>
      <c r="E189" s="128"/>
      <c r="F189" s="166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6" t="str">
        <f t="shared" si="13"/>
        <v/>
      </c>
      <c r="S189" s="163" t="str">
        <f t="shared" si="14"/>
        <v/>
      </c>
      <c r="T189" s="160" t="str">
        <f>IFERROR(INDEX(上年标准成本!$I:$I,MATCH(K189,上年标准成本!$C:$C,0),1),"")</f>
        <v/>
      </c>
      <c r="U189" s="126" t="str">
        <f t="shared" si="15"/>
        <v/>
      </c>
      <c r="V189" s="126" t="str">
        <f t="shared" si="16"/>
        <v/>
      </c>
      <c r="W189" s="124" t="str">
        <f t="shared" si="17"/>
        <v/>
      </c>
      <c r="X189" s="125" t="str">
        <f t="shared" si="12"/>
        <v/>
      </c>
    </row>
    <row r="190" spans="1:24" x14ac:dyDescent="0.3">
      <c r="A190" s="129"/>
      <c r="B190" s="129"/>
      <c r="C190" s="128"/>
      <c r="D190" s="128"/>
      <c r="E190" s="128"/>
      <c r="F190" s="166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6" t="str">
        <f t="shared" si="13"/>
        <v/>
      </c>
      <c r="S190" s="163" t="str">
        <f t="shared" si="14"/>
        <v/>
      </c>
      <c r="T190" s="160" t="str">
        <f>IFERROR(INDEX(上年标准成本!$I:$I,MATCH(K190,上年标准成本!$C:$C,0),1),"")</f>
        <v/>
      </c>
      <c r="U190" s="126" t="str">
        <f t="shared" si="15"/>
        <v/>
      </c>
      <c r="V190" s="126" t="str">
        <f t="shared" si="16"/>
        <v/>
      </c>
      <c r="W190" s="124" t="str">
        <f t="shared" si="17"/>
        <v/>
      </c>
      <c r="X190" s="125" t="str">
        <f t="shared" si="12"/>
        <v/>
      </c>
    </row>
    <row r="191" spans="1:24" x14ac:dyDescent="0.3">
      <c r="A191" s="129"/>
      <c r="B191" s="129"/>
      <c r="C191" s="128"/>
      <c r="D191" s="128"/>
      <c r="E191" s="128"/>
      <c r="F191" s="166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6" t="str">
        <f t="shared" si="13"/>
        <v/>
      </c>
      <c r="S191" s="163" t="str">
        <f t="shared" si="14"/>
        <v/>
      </c>
      <c r="T191" s="160" t="str">
        <f>IFERROR(INDEX(上年标准成本!$I:$I,MATCH(K191,上年标准成本!$C:$C,0),1),"")</f>
        <v/>
      </c>
      <c r="U191" s="126" t="str">
        <f t="shared" si="15"/>
        <v/>
      </c>
      <c r="V191" s="126" t="str">
        <f t="shared" si="16"/>
        <v/>
      </c>
      <c r="W191" s="124" t="str">
        <f t="shared" si="17"/>
        <v/>
      </c>
      <c r="X191" s="125" t="str">
        <f t="shared" si="12"/>
        <v/>
      </c>
    </row>
    <row r="192" spans="1:24" x14ac:dyDescent="0.3">
      <c r="A192" s="129"/>
      <c r="B192" s="129"/>
      <c r="C192" s="128"/>
      <c r="D192" s="128"/>
      <c r="E192" s="128"/>
      <c r="F192" s="166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6" t="str">
        <f t="shared" si="13"/>
        <v/>
      </c>
      <c r="S192" s="163" t="str">
        <f t="shared" si="14"/>
        <v/>
      </c>
      <c r="T192" s="160" t="str">
        <f>IFERROR(INDEX(上年标准成本!$I:$I,MATCH(K192,上年标准成本!$C:$C,0),1),"")</f>
        <v/>
      </c>
      <c r="U192" s="126" t="str">
        <f t="shared" si="15"/>
        <v/>
      </c>
      <c r="V192" s="126" t="str">
        <f t="shared" si="16"/>
        <v/>
      </c>
      <c r="W192" s="124" t="str">
        <f t="shared" si="17"/>
        <v/>
      </c>
      <c r="X192" s="125" t="str">
        <f t="shared" si="12"/>
        <v/>
      </c>
    </row>
    <row r="193" spans="1:24" x14ac:dyDescent="0.3">
      <c r="A193" s="129"/>
      <c r="B193" s="129"/>
      <c r="C193" s="128"/>
      <c r="D193" s="128"/>
      <c r="E193" s="128"/>
      <c r="F193" s="166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6" t="str">
        <f t="shared" si="13"/>
        <v/>
      </c>
      <c r="S193" s="163" t="str">
        <f t="shared" si="14"/>
        <v/>
      </c>
      <c r="T193" s="160" t="str">
        <f>IFERROR(INDEX(上年标准成本!$I:$I,MATCH(K193,上年标准成本!$C:$C,0),1),"")</f>
        <v/>
      </c>
      <c r="U193" s="126" t="str">
        <f t="shared" si="15"/>
        <v/>
      </c>
      <c r="V193" s="126" t="str">
        <f t="shared" si="16"/>
        <v/>
      </c>
      <c r="W193" s="124" t="str">
        <f t="shared" si="17"/>
        <v/>
      </c>
      <c r="X193" s="125" t="str">
        <f t="shared" si="12"/>
        <v/>
      </c>
    </row>
    <row r="194" spans="1:24" x14ac:dyDescent="0.3">
      <c r="A194" s="129"/>
      <c r="B194" s="129"/>
      <c r="C194" s="128"/>
      <c r="D194" s="128"/>
      <c r="E194" s="128"/>
      <c r="F194" s="166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6" t="str">
        <f t="shared" si="13"/>
        <v/>
      </c>
      <c r="S194" s="163" t="str">
        <f t="shared" si="14"/>
        <v/>
      </c>
      <c r="T194" s="160" t="str">
        <f>IFERROR(INDEX(上年标准成本!$I:$I,MATCH(K194,上年标准成本!$C:$C,0),1),"")</f>
        <v/>
      </c>
      <c r="U194" s="126" t="str">
        <f t="shared" si="15"/>
        <v/>
      </c>
      <c r="V194" s="126" t="str">
        <f t="shared" si="16"/>
        <v/>
      </c>
      <c r="W194" s="124" t="str">
        <f t="shared" si="17"/>
        <v/>
      </c>
      <c r="X194" s="125" t="str">
        <f t="shared" ref="X194:X257" si="18">IFERROR(IF(W194/SUM(W:W)=0,"",W194/SUM(W:W)),"")</f>
        <v/>
      </c>
    </row>
    <row r="195" spans="1:24" x14ac:dyDescent="0.3">
      <c r="A195" s="129"/>
      <c r="B195" s="129"/>
      <c r="C195" s="128"/>
      <c r="D195" s="128"/>
      <c r="E195" s="128"/>
      <c r="F195" s="166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6" t="str">
        <f t="shared" ref="R195:R258" si="19">IFERROR(P195/O195,"")</f>
        <v/>
      </c>
      <c r="S195" s="163" t="str">
        <f t="shared" ref="S195:S258" si="20">IFERROR(R195*(1+Q195),"")</f>
        <v/>
      </c>
      <c r="T195" s="160" t="str">
        <f>IFERROR(INDEX(上年标准成本!$I:$I,MATCH(K195,上年标准成本!$C:$C,0),1),"")</f>
        <v/>
      </c>
      <c r="U195" s="126" t="str">
        <f t="shared" ref="U195:U258" si="21">IFERROR(O195*T195,"")</f>
        <v/>
      </c>
      <c r="V195" s="126" t="str">
        <f t="shared" ref="V195:V258" si="22">IFERROR(P195-U195,"")</f>
        <v/>
      </c>
      <c r="W195" s="124" t="str">
        <f t="shared" ref="W195:W258" si="23">IFERROR(V195/P195,"")</f>
        <v/>
      </c>
      <c r="X195" s="125" t="str">
        <f t="shared" si="18"/>
        <v/>
      </c>
    </row>
    <row r="196" spans="1:24" x14ac:dyDescent="0.3">
      <c r="A196" s="129"/>
      <c r="B196" s="129"/>
      <c r="C196" s="128"/>
      <c r="D196" s="128"/>
      <c r="E196" s="128"/>
      <c r="F196" s="166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6" t="str">
        <f t="shared" si="19"/>
        <v/>
      </c>
      <c r="S196" s="163" t="str">
        <f t="shared" si="20"/>
        <v/>
      </c>
      <c r="T196" s="160" t="str">
        <f>IFERROR(INDEX(上年标准成本!$I:$I,MATCH(K196,上年标准成本!$C:$C,0),1),"")</f>
        <v/>
      </c>
      <c r="U196" s="126" t="str">
        <f t="shared" si="21"/>
        <v/>
      </c>
      <c r="V196" s="126" t="str">
        <f t="shared" si="22"/>
        <v/>
      </c>
      <c r="W196" s="124" t="str">
        <f t="shared" si="23"/>
        <v/>
      </c>
      <c r="X196" s="125" t="str">
        <f t="shared" si="18"/>
        <v/>
      </c>
    </row>
    <row r="197" spans="1:24" x14ac:dyDescent="0.3">
      <c r="A197" s="129"/>
      <c r="B197" s="129"/>
      <c r="C197" s="128"/>
      <c r="D197" s="128"/>
      <c r="E197" s="128"/>
      <c r="F197" s="166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6" t="str">
        <f t="shared" si="19"/>
        <v/>
      </c>
      <c r="S197" s="163" t="str">
        <f t="shared" si="20"/>
        <v/>
      </c>
      <c r="T197" s="160" t="str">
        <f>IFERROR(INDEX(上年标准成本!$I:$I,MATCH(K197,上年标准成本!$C:$C,0),1),"")</f>
        <v/>
      </c>
      <c r="U197" s="126" t="str">
        <f t="shared" si="21"/>
        <v/>
      </c>
      <c r="V197" s="126" t="str">
        <f t="shared" si="22"/>
        <v/>
      </c>
      <c r="W197" s="124" t="str">
        <f t="shared" si="23"/>
        <v/>
      </c>
      <c r="X197" s="125" t="str">
        <f t="shared" si="18"/>
        <v/>
      </c>
    </row>
    <row r="198" spans="1:24" x14ac:dyDescent="0.3">
      <c r="A198" s="129"/>
      <c r="B198" s="129"/>
      <c r="C198" s="128"/>
      <c r="D198" s="128"/>
      <c r="E198" s="128"/>
      <c r="F198" s="166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6" t="str">
        <f t="shared" si="19"/>
        <v/>
      </c>
      <c r="S198" s="163" t="str">
        <f t="shared" si="20"/>
        <v/>
      </c>
      <c r="T198" s="160" t="str">
        <f>IFERROR(INDEX(上年标准成本!$I:$I,MATCH(K198,上年标准成本!$C:$C,0),1),"")</f>
        <v/>
      </c>
      <c r="U198" s="126" t="str">
        <f t="shared" si="21"/>
        <v/>
      </c>
      <c r="V198" s="126" t="str">
        <f t="shared" si="22"/>
        <v/>
      </c>
      <c r="W198" s="124" t="str">
        <f t="shared" si="23"/>
        <v/>
      </c>
      <c r="X198" s="125" t="str">
        <f t="shared" si="18"/>
        <v/>
      </c>
    </row>
    <row r="199" spans="1:24" x14ac:dyDescent="0.3">
      <c r="A199" s="129"/>
      <c r="B199" s="129"/>
      <c r="C199" s="128"/>
      <c r="D199" s="128"/>
      <c r="E199" s="128"/>
      <c r="F199" s="166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6" t="str">
        <f t="shared" si="19"/>
        <v/>
      </c>
      <c r="S199" s="163" t="str">
        <f t="shared" si="20"/>
        <v/>
      </c>
      <c r="T199" s="160" t="str">
        <f>IFERROR(INDEX(上年标准成本!$I:$I,MATCH(K199,上年标准成本!$C:$C,0),1),"")</f>
        <v/>
      </c>
      <c r="U199" s="126" t="str">
        <f t="shared" si="21"/>
        <v/>
      </c>
      <c r="V199" s="126" t="str">
        <f t="shared" si="22"/>
        <v/>
      </c>
      <c r="W199" s="124" t="str">
        <f t="shared" si="23"/>
        <v/>
      </c>
      <c r="X199" s="125" t="str">
        <f t="shared" si="18"/>
        <v/>
      </c>
    </row>
    <row r="200" spans="1:24" x14ac:dyDescent="0.3">
      <c r="A200" s="129"/>
      <c r="B200" s="129"/>
      <c r="C200" s="128"/>
      <c r="D200" s="128"/>
      <c r="E200" s="128"/>
      <c r="F200" s="166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6" t="str">
        <f t="shared" si="19"/>
        <v/>
      </c>
      <c r="S200" s="163" t="str">
        <f t="shared" si="20"/>
        <v/>
      </c>
      <c r="T200" s="160" t="str">
        <f>IFERROR(INDEX(上年标准成本!$I:$I,MATCH(K200,上年标准成本!$C:$C,0),1),"")</f>
        <v/>
      </c>
      <c r="U200" s="126" t="str">
        <f t="shared" si="21"/>
        <v/>
      </c>
      <c r="V200" s="126" t="str">
        <f t="shared" si="22"/>
        <v/>
      </c>
      <c r="W200" s="124" t="str">
        <f t="shared" si="23"/>
        <v/>
      </c>
      <c r="X200" s="125" t="str">
        <f t="shared" si="18"/>
        <v/>
      </c>
    </row>
    <row r="201" spans="1:24" x14ac:dyDescent="0.3">
      <c r="A201" s="129"/>
      <c r="B201" s="129"/>
      <c r="C201" s="128"/>
      <c r="D201" s="128"/>
      <c r="E201" s="128"/>
      <c r="F201" s="166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6" t="str">
        <f t="shared" si="19"/>
        <v/>
      </c>
      <c r="S201" s="163" t="str">
        <f t="shared" si="20"/>
        <v/>
      </c>
      <c r="T201" s="160" t="str">
        <f>IFERROR(INDEX(上年标准成本!$I:$I,MATCH(K201,上年标准成本!$C:$C,0),1),"")</f>
        <v/>
      </c>
      <c r="U201" s="126" t="str">
        <f t="shared" si="21"/>
        <v/>
      </c>
      <c r="V201" s="126" t="str">
        <f t="shared" si="22"/>
        <v/>
      </c>
      <c r="W201" s="124" t="str">
        <f t="shared" si="23"/>
        <v/>
      </c>
      <c r="X201" s="125" t="str">
        <f t="shared" si="18"/>
        <v/>
      </c>
    </row>
    <row r="202" spans="1:24" x14ac:dyDescent="0.3">
      <c r="A202" s="129"/>
      <c r="B202" s="129"/>
      <c r="C202" s="128"/>
      <c r="D202" s="128"/>
      <c r="E202" s="128"/>
      <c r="F202" s="166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6" t="str">
        <f t="shared" si="19"/>
        <v/>
      </c>
      <c r="S202" s="163" t="str">
        <f t="shared" si="20"/>
        <v/>
      </c>
      <c r="T202" s="160" t="str">
        <f>IFERROR(INDEX(上年标准成本!$I:$I,MATCH(K202,上年标准成本!$C:$C,0),1),"")</f>
        <v/>
      </c>
      <c r="U202" s="126" t="str">
        <f t="shared" si="21"/>
        <v/>
      </c>
      <c r="V202" s="126" t="str">
        <f t="shared" si="22"/>
        <v/>
      </c>
      <c r="W202" s="124" t="str">
        <f t="shared" si="23"/>
        <v/>
      </c>
      <c r="X202" s="125" t="str">
        <f t="shared" si="18"/>
        <v/>
      </c>
    </row>
    <row r="203" spans="1:24" x14ac:dyDescent="0.3">
      <c r="A203" s="129"/>
      <c r="B203" s="129"/>
      <c r="C203" s="128"/>
      <c r="D203" s="128"/>
      <c r="E203" s="128"/>
      <c r="F203" s="166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6" t="str">
        <f t="shared" si="19"/>
        <v/>
      </c>
      <c r="S203" s="163" t="str">
        <f t="shared" si="20"/>
        <v/>
      </c>
      <c r="T203" s="160" t="str">
        <f>IFERROR(INDEX(上年标准成本!$I:$I,MATCH(K203,上年标准成本!$C:$C,0),1),"")</f>
        <v/>
      </c>
      <c r="U203" s="126" t="str">
        <f t="shared" si="21"/>
        <v/>
      </c>
      <c r="V203" s="126" t="str">
        <f t="shared" si="22"/>
        <v/>
      </c>
      <c r="W203" s="124" t="str">
        <f t="shared" si="23"/>
        <v/>
      </c>
      <c r="X203" s="125" t="str">
        <f t="shared" si="18"/>
        <v/>
      </c>
    </row>
    <row r="204" spans="1:24" x14ac:dyDescent="0.3">
      <c r="A204" s="129"/>
      <c r="B204" s="129"/>
      <c r="C204" s="128"/>
      <c r="D204" s="128"/>
      <c r="E204" s="128"/>
      <c r="F204" s="166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6" t="str">
        <f t="shared" si="19"/>
        <v/>
      </c>
      <c r="S204" s="163" t="str">
        <f t="shared" si="20"/>
        <v/>
      </c>
      <c r="T204" s="160" t="str">
        <f>IFERROR(INDEX(上年标准成本!$I:$I,MATCH(K204,上年标准成本!$C:$C,0),1),"")</f>
        <v/>
      </c>
      <c r="U204" s="126" t="str">
        <f t="shared" si="21"/>
        <v/>
      </c>
      <c r="V204" s="126" t="str">
        <f t="shared" si="22"/>
        <v/>
      </c>
      <c r="W204" s="124" t="str">
        <f t="shared" si="23"/>
        <v/>
      </c>
      <c r="X204" s="125" t="str">
        <f t="shared" si="18"/>
        <v/>
      </c>
    </row>
    <row r="205" spans="1:24" x14ac:dyDescent="0.3">
      <c r="A205" s="129"/>
      <c r="B205" s="129"/>
      <c r="C205" s="128"/>
      <c r="D205" s="128"/>
      <c r="E205" s="128"/>
      <c r="F205" s="166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6" t="str">
        <f t="shared" si="19"/>
        <v/>
      </c>
      <c r="S205" s="163" t="str">
        <f t="shared" si="20"/>
        <v/>
      </c>
      <c r="T205" s="160" t="str">
        <f>IFERROR(INDEX(上年标准成本!$I:$I,MATCH(K205,上年标准成本!$C:$C,0),1),"")</f>
        <v/>
      </c>
      <c r="U205" s="126" t="str">
        <f t="shared" si="21"/>
        <v/>
      </c>
      <c r="V205" s="126" t="str">
        <f t="shared" si="22"/>
        <v/>
      </c>
      <c r="W205" s="124" t="str">
        <f t="shared" si="23"/>
        <v/>
      </c>
      <c r="X205" s="125" t="str">
        <f t="shared" si="18"/>
        <v/>
      </c>
    </row>
    <row r="206" spans="1:24" x14ac:dyDescent="0.3">
      <c r="A206" s="129"/>
      <c r="B206" s="129"/>
      <c r="C206" s="128"/>
      <c r="D206" s="128"/>
      <c r="E206" s="128"/>
      <c r="F206" s="166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6" t="str">
        <f t="shared" si="19"/>
        <v/>
      </c>
      <c r="S206" s="163" t="str">
        <f t="shared" si="20"/>
        <v/>
      </c>
      <c r="T206" s="160" t="str">
        <f>IFERROR(INDEX(上年标准成本!$I:$I,MATCH(K206,上年标准成本!$C:$C,0),1),"")</f>
        <v/>
      </c>
      <c r="U206" s="126" t="str">
        <f t="shared" si="21"/>
        <v/>
      </c>
      <c r="V206" s="126" t="str">
        <f t="shared" si="22"/>
        <v/>
      </c>
      <c r="W206" s="124" t="str">
        <f t="shared" si="23"/>
        <v/>
      </c>
      <c r="X206" s="125" t="str">
        <f t="shared" si="18"/>
        <v/>
      </c>
    </row>
    <row r="207" spans="1:24" x14ac:dyDescent="0.3">
      <c r="A207" s="129"/>
      <c r="B207" s="129"/>
      <c r="C207" s="128"/>
      <c r="D207" s="128"/>
      <c r="E207" s="128"/>
      <c r="F207" s="166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6" t="str">
        <f t="shared" si="19"/>
        <v/>
      </c>
      <c r="S207" s="163" t="str">
        <f t="shared" si="20"/>
        <v/>
      </c>
      <c r="T207" s="160" t="str">
        <f>IFERROR(INDEX(上年标准成本!$I:$I,MATCH(K207,上年标准成本!$C:$C,0),1),"")</f>
        <v/>
      </c>
      <c r="U207" s="126" t="str">
        <f t="shared" si="21"/>
        <v/>
      </c>
      <c r="V207" s="126" t="str">
        <f t="shared" si="22"/>
        <v/>
      </c>
      <c r="W207" s="124" t="str">
        <f t="shared" si="23"/>
        <v/>
      </c>
      <c r="X207" s="125" t="str">
        <f t="shared" si="18"/>
        <v/>
      </c>
    </row>
    <row r="208" spans="1:24" x14ac:dyDescent="0.3">
      <c r="A208" s="129"/>
      <c r="B208" s="129"/>
      <c r="C208" s="128"/>
      <c r="D208" s="128"/>
      <c r="E208" s="128"/>
      <c r="F208" s="166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6" t="str">
        <f t="shared" si="19"/>
        <v/>
      </c>
      <c r="S208" s="163" t="str">
        <f t="shared" si="20"/>
        <v/>
      </c>
      <c r="T208" s="160" t="str">
        <f>IFERROR(INDEX(上年标准成本!$I:$I,MATCH(K208,上年标准成本!$C:$C,0),1),"")</f>
        <v/>
      </c>
      <c r="U208" s="126" t="str">
        <f t="shared" si="21"/>
        <v/>
      </c>
      <c r="V208" s="126" t="str">
        <f t="shared" si="22"/>
        <v/>
      </c>
      <c r="W208" s="124" t="str">
        <f t="shared" si="23"/>
        <v/>
      </c>
      <c r="X208" s="125" t="str">
        <f t="shared" si="18"/>
        <v/>
      </c>
    </row>
    <row r="209" spans="1:24" x14ac:dyDescent="0.3">
      <c r="A209" s="129"/>
      <c r="B209" s="129"/>
      <c r="C209" s="128"/>
      <c r="D209" s="128"/>
      <c r="E209" s="128"/>
      <c r="F209" s="166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6" t="str">
        <f t="shared" si="19"/>
        <v/>
      </c>
      <c r="S209" s="163" t="str">
        <f t="shared" si="20"/>
        <v/>
      </c>
      <c r="T209" s="160" t="str">
        <f>IFERROR(INDEX(上年标准成本!$I:$I,MATCH(K209,上年标准成本!$C:$C,0),1),"")</f>
        <v/>
      </c>
      <c r="U209" s="126" t="str">
        <f t="shared" si="21"/>
        <v/>
      </c>
      <c r="V209" s="126" t="str">
        <f t="shared" si="22"/>
        <v/>
      </c>
      <c r="W209" s="124" t="str">
        <f t="shared" si="23"/>
        <v/>
      </c>
      <c r="X209" s="125" t="str">
        <f t="shared" si="18"/>
        <v/>
      </c>
    </row>
    <row r="210" spans="1:24" x14ac:dyDescent="0.3">
      <c r="A210" s="129"/>
      <c r="B210" s="129"/>
      <c r="C210" s="128"/>
      <c r="D210" s="128"/>
      <c r="E210" s="128"/>
      <c r="F210" s="166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6" t="str">
        <f t="shared" si="19"/>
        <v/>
      </c>
      <c r="S210" s="163" t="str">
        <f t="shared" si="20"/>
        <v/>
      </c>
      <c r="T210" s="160" t="str">
        <f>IFERROR(INDEX(上年标准成本!$I:$I,MATCH(K210,上年标准成本!$C:$C,0),1),"")</f>
        <v/>
      </c>
      <c r="U210" s="126" t="str">
        <f t="shared" si="21"/>
        <v/>
      </c>
      <c r="V210" s="126" t="str">
        <f t="shared" si="22"/>
        <v/>
      </c>
      <c r="W210" s="124" t="str">
        <f t="shared" si="23"/>
        <v/>
      </c>
      <c r="X210" s="125" t="str">
        <f t="shared" si="18"/>
        <v/>
      </c>
    </row>
    <row r="211" spans="1:24" x14ac:dyDescent="0.3">
      <c r="A211" s="129"/>
      <c r="B211" s="129"/>
      <c r="C211" s="128"/>
      <c r="D211" s="128"/>
      <c r="E211" s="128"/>
      <c r="F211" s="166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6" t="str">
        <f t="shared" si="19"/>
        <v/>
      </c>
      <c r="S211" s="163" t="str">
        <f t="shared" si="20"/>
        <v/>
      </c>
      <c r="T211" s="160" t="str">
        <f>IFERROR(INDEX(上年标准成本!$I:$I,MATCH(K211,上年标准成本!$C:$C,0),1),"")</f>
        <v/>
      </c>
      <c r="U211" s="126" t="str">
        <f t="shared" si="21"/>
        <v/>
      </c>
      <c r="V211" s="126" t="str">
        <f t="shared" si="22"/>
        <v/>
      </c>
      <c r="W211" s="124" t="str">
        <f t="shared" si="23"/>
        <v/>
      </c>
      <c r="X211" s="125" t="str">
        <f t="shared" si="18"/>
        <v/>
      </c>
    </row>
    <row r="212" spans="1:24" x14ac:dyDescent="0.3">
      <c r="A212" s="129"/>
      <c r="B212" s="129"/>
      <c r="C212" s="128"/>
      <c r="D212" s="128"/>
      <c r="E212" s="128"/>
      <c r="F212" s="166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6" t="str">
        <f t="shared" si="19"/>
        <v/>
      </c>
      <c r="S212" s="163" t="str">
        <f t="shared" si="20"/>
        <v/>
      </c>
      <c r="T212" s="160" t="str">
        <f>IFERROR(INDEX(上年标准成本!$I:$I,MATCH(K212,上年标准成本!$C:$C,0),1),"")</f>
        <v/>
      </c>
      <c r="U212" s="126" t="str">
        <f t="shared" si="21"/>
        <v/>
      </c>
      <c r="V212" s="126" t="str">
        <f t="shared" si="22"/>
        <v/>
      </c>
      <c r="W212" s="124" t="str">
        <f t="shared" si="23"/>
        <v/>
      </c>
      <c r="X212" s="125" t="str">
        <f t="shared" si="18"/>
        <v/>
      </c>
    </row>
    <row r="213" spans="1:24" x14ac:dyDescent="0.3">
      <c r="A213" s="129"/>
      <c r="B213" s="129"/>
      <c r="C213" s="128"/>
      <c r="D213" s="128"/>
      <c r="E213" s="128"/>
      <c r="F213" s="166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6" t="str">
        <f t="shared" si="19"/>
        <v/>
      </c>
      <c r="S213" s="163" t="str">
        <f t="shared" si="20"/>
        <v/>
      </c>
      <c r="T213" s="160" t="str">
        <f>IFERROR(INDEX(上年标准成本!$I:$I,MATCH(K213,上年标准成本!$C:$C,0),1),"")</f>
        <v/>
      </c>
      <c r="U213" s="126" t="str">
        <f t="shared" si="21"/>
        <v/>
      </c>
      <c r="V213" s="126" t="str">
        <f t="shared" si="22"/>
        <v/>
      </c>
      <c r="W213" s="124" t="str">
        <f t="shared" si="23"/>
        <v/>
      </c>
      <c r="X213" s="125" t="str">
        <f t="shared" si="18"/>
        <v/>
      </c>
    </row>
    <row r="214" spans="1:24" x14ac:dyDescent="0.3">
      <c r="A214" s="129"/>
      <c r="B214" s="129"/>
      <c r="C214" s="128"/>
      <c r="D214" s="128"/>
      <c r="E214" s="128"/>
      <c r="F214" s="166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6" t="str">
        <f t="shared" si="19"/>
        <v/>
      </c>
      <c r="S214" s="163" t="str">
        <f t="shared" si="20"/>
        <v/>
      </c>
      <c r="T214" s="160" t="str">
        <f>IFERROR(INDEX(上年标准成本!$I:$I,MATCH(K214,上年标准成本!$C:$C,0),1),"")</f>
        <v/>
      </c>
      <c r="U214" s="126" t="str">
        <f t="shared" si="21"/>
        <v/>
      </c>
      <c r="V214" s="126" t="str">
        <f t="shared" si="22"/>
        <v/>
      </c>
      <c r="W214" s="124" t="str">
        <f t="shared" si="23"/>
        <v/>
      </c>
      <c r="X214" s="125" t="str">
        <f t="shared" si="18"/>
        <v/>
      </c>
    </row>
    <row r="215" spans="1:24" x14ac:dyDescent="0.3">
      <c r="A215" s="129"/>
      <c r="B215" s="129"/>
      <c r="C215" s="128"/>
      <c r="D215" s="128"/>
      <c r="E215" s="128"/>
      <c r="F215" s="166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6" t="str">
        <f t="shared" si="19"/>
        <v/>
      </c>
      <c r="S215" s="163" t="str">
        <f t="shared" si="20"/>
        <v/>
      </c>
      <c r="T215" s="160" t="str">
        <f>IFERROR(INDEX(上年标准成本!$I:$I,MATCH(K215,上年标准成本!$C:$C,0),1),"")</f>
        <v/>
      </c>
      <c r="U215" s="126" t="str">
        <f t="shared" si="21"/>
        <v/>
      </c>
      <c r="V215" s="126" t="str">
        <f t="shared" si="22"/>
        <v/>
      </c>
      <c r="W215" s="124" t="str">
        <f t="shared" si="23"/>
        <v/>
      </c>
      <c r="X215" s="125" t="str">
        <f t="shared" si="18"/>
        <v/>
      </c>
    </row>
    <row r="216" spans="1:24" x14ac:dyDescent="0.3">
      <c r="A216" s="129"/>
      <c r="B216" s="129"/>
      <c r="C216" s="128"/>
      <c r="D216" s="128"/>
      <c r="E216" s="128"/>
      <c r="F216" s="166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6" t="str">
        <f t="shared" si="19"/>
        <v/>
      </c>
      <c r="S216" s="163" t="str">
        <f t="shared" si="20"/>
        <v/>
      </c>
      <c r="T216" s="160" t="str">
        <f>IFERROR(INDEX(上年标准成本!$I:$I,MATCH(K216,上年标准成本!$C:$C,0),1),"")</f>
        <v/>
      </c>
      <c r="U216" s="126" t="str">
        <f t="shared" si="21"/>
        <v/>
      </c>
      <c r="V216" s="126" t="str">
        <f t="shared" si="22"/>
        <v/>
      </c>
      <c r="W216" s="124" t="str">
        <f t="shared" si="23"/>
        <v/>
      </c>
      <c r="X216" s="125" t="str">
        <f t="shared" si="18"/>
        <v/>
      </c>
    </row>
    <row r="217" spans="1:24" x14ac:dyDescent="0.3">
      <c r="A217" s="129"/>
      <c r="B217" s="129"/>
      <c r="C217" s="128"/>
      <c r="D217" s="128"/>
      <c r="E217" s="128"/>
      <c r="F217" s="166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6" t="str">
        <f t="shared" si="19"/>
        <v/>
      </c>
      <c r="S217" s="163" t="str">
        <f t="shared" si="20"/>
        <v/>
      </c>
      <c r="T217" s="160" t="str">
        <f>IFERROR(INDEX(上年标准成本!$I:$I,MATCH(K217,上年标准成本!$C:$C,0),1),"")</f>
        <v/>
      </c>
      <c r="U217" s="126" t="str">
        <f t="shared" si="21"/>
        <v/>
      </c>
      <c r="V217" s="126" t="str">
        <f t="shared" si="22"/>
        <v/>
      </c>
      <c r="W217" s="124" t="str">
        <f t="shared" si="23"/>
        <v/>
      </c>
      <c r="X217" s="125" t="str">
        <f t="shared" si="18"/>
        <v/>
      </c>
    </row>
    <row r="218" spans="1:24" x14ac:dyDescent="0.3">
      <c r="A218" s="129"/>
      <c r="B218" s="129"/>
      <c r="C218" s="128"/>
      <c r="D218" s="128"/>
      <c r="E218" s="128"/>
      <c r="F218" s="166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6" t="str">
        <f t="shared" si="19"/>
        <v/>
      </c>
      <c r="S218" s="163" t="str">
        <f t="shared" si="20"/>
        <v/>
      </c>
      <c r="T218" s="160" t="str">
        <f>IFERROR(INDEX(上年标准成本!$I:$I,MATCH(K218,上年标准成本!$C:$C,0),1),"")</f>
        <v/>
      </c>
      <c r="U218" s="126" t="str">
        <f t="shared" si="21"/>
        <v/>
      </c>
      <c r="V218" s="126" t="str">
        <f t="shared" si="22"/>
        <v/>
      </c>
      <c r="W218" s="124" t="str">
        <f t="shared" si="23"/>
        <v/>
      </c>
      <c r="X218" s="125" t="str">
        <f t="shared" si="18"/>
        <v/>
      </c>
    </row>
    <row r="219" spans="1:24" x14ac:dyDescent="0.3">
      <c r="A219" s="129"/>
      <c r="B219" s="129"/>
      <c r="C219" s="128"/>
      <c r="D219" s="128"/>
      <c r="E219" s="128"/>
      <c r="F219" s="166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6" t="str">
        <f t="shared" si="19"/>
        <v/>
      </c>
      <c r="S219" s="163" t="str">
        <f t="shared" si="20"/>
        <v/>
      </c>
      <c r="T219" s="160" t="str">
        <f>IFERROR(INDEX(上年标准成本!$I:$I,MATCH(K219,上年标准成本!$C:$C,0),1),"")</f>
        <v/>
      </c>
      <c r="U219" s="126" t="str">
        <f t="shared" si="21"/>
        <v/>
      </c>
      <c r="V219" s="126" t="str">
        <f t="shared" si="22"/>
        <v/>
      </c>
      <c r="W219" s="124" t="str">
        <f t="shared" si="23"/>
        <v/>
      </c>
      <c r="X219" s="125" t="str">
        <f t="shared" si="18"/>
        <v/>
      </c>
    </row>
    <row r="220" spans="1:24" x14ac:dyDescent="0.3">
      <c r="A220" s="129"/>
      <c r="B220" s="129"/>
      <c r="C220" s="128"/>
      <c r="D220" s="128"/>
      <c r="E220" s="128"/>
      <c r="F220" s="166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6" t="str">
        <f t="shared" si="19"/>
        <v/>
      </c>
      <c r="S220" s="163" t="str">
        <f t="shared" si="20"/>
        <v/>
      </c>
      <c r="T220" s="160" t="str">
        <f>IFERROR(INDEX(上年标准成本!$I:$I,MATCH(K220,上年标准成本!$C:$C,0),1),"")</f>
        <v/>
      </c>
      <c r="U220" s="126" t="str">
        <f t="shared" si="21"/>
        <v/>
      </c>
      <c r="V220" s="126" t="str">
        <f t="shared" si="22"/>
        <v/>
      </c>
      <c r="W220" s="124" t="str">
        <f t="shared" si="23"/>
        <v/>
      </c>
      <c r="X220" s="125" t="str">
        <f t="shared" si="18"/>
        <v/>
      </c>
    </row>
    <row r="221" spans="1:24" x14ac:dyDescent="0.3">
      <c r="A221" s="129"/>
      <c r="B221" s="129"/>
      <c r="C221" s="128"/>
      <c r="D221" s="128"/>
      <c r="E221" s="128"/>
      <c r="F221" s="166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6" t="str">
        <f t="shared" si="19"/>
        <v/>
      </c>
      <c r="S221" s="163" t="str">
        <f t="shared" si="20"/>
        <v/>
      </c>
      <c r="T221" s="160" t="str">
        <f>IFERROR(INDEX(上年标准成本!$I:$I,MATCH(K221,上年标准成本!$C:$C,0),1),"")</f>
        <v/>
      </c>
      <c r="U221" s="126" t="str">
        <f t="shared" si="21"/>
        <v/>
      </c>
      <c r="V221" s="126" t="str">
        <f t="shared" si="22"/>
        <v/>
      </c>
      <c r="W221" s="124" t="str">
        <f t="shared" si="23"/>
        <v/>
      </c>
      <c r="X221" s="125" t="str">
        <f t="shared" si="18"/>
        <v/>
      </c>
    </row>
    <row r="222" spans="1:24" x14ac:dyDescent="0.3">
      <c r="A222" s="129"/>
      <c r="B222" s="129"/>
      <c r="C222" s="128"/>
      <c r="D222" s="128"/>
      <c r="E222" s="128"/>
      <c r="F222" s="166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6" t="str">
        <f t="shared" si="19"/>
        <v/>
      </c>
      <c r="S222" s="163" t="str">
        <f t="shared" si="20"/>
        <v/>
      </c>
      <c r="T222" s="160" t="str">
        <f>IFERROR(INDEX(上年标准成本!$I:$I,MATCH(K222,上年标准成本!$C:$C,0),1),"")</f>
        <v/>
      </c>
      <c r="U222" s="126" t="str">
        <f t="shared" si="21"/>
        <v/>
      </c>
      <c r="V222" s="126" t="str">
        <f t="shared" si="22"/>
        <v/>
      </c>
      <c r="W222" s="124" t="str">
        <f t="shared" si="23"/>
        <v/>
      </c>
      <c r="X222" s="125" t="str">
        <f t="shared" si="18"/>
        <v/>
      </c>
    </row>
    <row r="223" spans="1:24" x14ac:dyDescent="0.3">
      <c r="A223" s="129"/>
      <c r="B223" s="129"/>
      <c r="C223" s="128"/>
      <c r="D223" s="128"/>
      <c r="E223" s="128"/>
      <c r="F223" s="166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6" t="str">
        <f t="shared" si="19"/>
        <v/>
      </c>
      <c r="S223" s="163" t="str">
        <f t="shared" si="20"/>
        <v/>
      </c>
      <c r="T223" s="160" t="str">
        <f>IFERROR(INDEX(上年标准成本!$I:$I,MATCH(K223,上年标准成本!$C:$C,0),1),"")</f>
        <v/>
      </c>
      <c r="U223" s="126" t="str">
        <f t="shared" si="21"/>
        <v/>
      </c>
      <c r="V223" s="126" t="str">
        <f t="shared" si="22"/>
        <v/>
      </c>
      <c r="W223" s="124" t="str">
        <f t="shared" si="23"/>
        <v/>
      </c>
      <c r="X223" s="125" t="str">
        <f t="shared" si="18"/>
        <v/>
      </c>
    </row>
    <row r="224" spans="1:24" x14ac:dyDescent="0.3">
      <c r="A224" s="129"/>
      <c r="B224" s="129"/>
      <c r="C224" s="128"/>
      <c r="D224" s="128"/>
      <c r="E224" s="128"/>
      <c r="F224" s="166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6" t="str">
        <f t="shared" si="19"/>
        <v/>
      </c>
      <c r="S224" s="163" t="str">
        <f t="shared" si="20"/>
        <v/>
      </c>
      <c r="T224" s="160" t="str">
        <f>IFERROR(INDEX(上年标准成本!$I:$I,MATCH(K224,上年标准成本!$C:$C,0),1),"")</f>
        <v/>
      </c>
      <c r="U224" s="126" t="str">
        <f t="shared" si="21"/>
        <v/>
      </c>
      <c r="V224" s="126" t="str">
        <f t="shared" si="22"/>
        <v/>
      </c>
      <c r="W224" s="124" t="str">
        <f t="shared" si="23"/>
        <v/>
      </c>
      <c r="X224" s="125" t="str">
        <f t="shared" si="18"/>
        <v/>
      </c>
    </row>
    <row r="225" spans="1:24" x14ac:dyDescent="0.3">
      <c r="A225" s="129"/>
      <c r="B225" s="129"/>
      <c r="C225" s="128"/>
      <c r="D225" s="128"/>
      <c r="E225" s="128"/>
      <c r="F225" s="166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6" t="str">
        <f t="shared" si="19"/>
        <v/>
      </c>
      <c r="S225" s="163" t="str">
        <f t="shared" si="20"/>
        <v/>
      </c>
      <c r="T225" s="160" t="str">
        <f>IFERROR(INDEX(上年标准成本!$I:$I,MATCH(K225,上年标准成本!$C:$C,0),1),"")</f>
        <v/>
      </c>
      <c r="U225" s="126" t="str">
        <f t="shared" si="21"/>
        <v/>
      </c>
      <c r="V225" s="126" t="str">
        <f t="shared" si="22"/>
        <v/>
      </c>
      <c r="W225" s="124" t="str">
        <f t="shared" si="23"/>
        <v/>
      </c>
      <c r="X225" s="125" t="str">
        <f t="shared" si="18"/>
        <v/>
      </c>
    </row>
    <row r="226" spans="1:24" x14ac:dyDescent="0.3">
      <c r="A226" s="129"/>
      <c r="B226" s="129"/>
      <c r="C226" s="128"/>
      <c r="D226" s="128"/>
      <c r="E226" s="128"/>
      <c r="F226" s="166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6" t="str">
        <f t="shared" si="19"/>
        <v/>
      </c>
      <c r="S226" s="163" t="str">
        <f t="shared" si="20"/>
        <v/>
      </c>
      <c r="T226" s="160" t="str">
        <f>IFERROR(INDEX(上年标准成本!$I:$I,MATCH(K226,上年标准成本!$C:$C,0),1),"")</f>
        <v/>
      </c>
      <c r="U226" s="126" t="str">
        <f t="shared" si="21"/>
        <v/>
      </c>
      <c r="V226" s="126" t="str">
        <f t="shared" si="22"/>
        <v/>
      </c>
      <c r="W226" s="124" t="str">
        <f t="shared" si="23"/>
        <v/>
      </c>
      <c r="X226" s="125" t="str">
        <f t="shared" si="18"/>
        <v/>
      </c>
    </row>
    <row r="227" spans="1:24" x14ac:dyDescent="0.3">
      <c r="A227" s="129"/>
      <c r="B227" s="129"/>
      <c r="C227" s="128"/>
      <c r="D227" s="128"/>
      <c r="E227" s="128"/>
      <c r="F227" s="166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6" t="str">
        <f t="shared" si="19"/>
        <v/>
      </c>
      <c r="S227" s="163" t="str">
        <f t="shared" si="20"/>
        <v/>
      </c>
      <c r="T227" s="160" t="str">
        <f>IFERROR(INDEX(上年标准成本!$I:$I,MATCH(K227,上年标准成本!$C:$C,0),1),"")</f>
        <v/>
      </c>
      <c r="U227" s="126" t="str">
        <f t="shared" si="21"/>
        <v/>
      </c>
      <c r="V227" s="126" t="str">
        <f t="shared" si="22"/>
        <v/>
      </c>
      <c r="W227" s="124" t="str">
        <f t="shared" si="23"/>
        <v/>
      </c>
      <c r="X227" s="125" t="str">
        <f t="shared" si="18"/>
        <v/>
      </c>
    </row>
    <row r="228" spans="1:24" x14ac:dyDescent="0.3">
      <c r="A228" s="129"/>
      <c r="B228" s="129"/>
      <c r="C228" s="128"/>
      <c r="D228" s="128"/>
      <c r="E228" s="128"/>
      <c r="F228" s="166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6" t="str">
        <f t="shared" si="19"/>
        <v/>
      </c>
      <c r="S228" s="163" t="str">
        <f t="shared" si="20"/>
        <v/>
      </c>
      <c r="T228" s="160" t="str">
        <f>IFERROR(INDEX(上年标准成本!$I:$I,MATCH(K228,上年标准成本!$C:$C,0),1),"")</f>
        <v/>
      </c>
      <c r="U228" s="126" t="str">
        <f t="shared" si="21"/>
        <v/>
      </c>
      <c r="V228" s="126" t="str">
        <f t="shared" si="22"/>
        <v/>
      </c>
      <c r="W228" s="124" t="str">
        <f t="shared" si="23"/>
        <v/>
      </c>
      <c r="X228" s="125" t="str">
        <f t="shared" si="18"/>
        <v/>
      </c>
    </row>
    <row r="229" spans="1:24" x14ac:dyDescent="0.3">
      <c r="A229" s="129"/>
      <c r="B229" s="129"/>
      <c r="C229" s="128"/>
      <c r="D229" s="128"/>
      <c r="E229" s="128"/>
      <c r="F229" s="166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6" t="str">
        <f t="shared" si="19"/>
        <v/>
      </c>
      <c r="S229" s="163" t="str">
        <f t="shared" si="20"/>
        <v/>
      </c>
      <c r="T229" s="160" t="str">
        <f>IFERROR(INDEX(上年标准成本!$I:$I,MATCH(K229,上年标准成本!$C:$C,0),1),"")</f>
        <v/>
      </c>
      <c r="U229" s="126" t="str">
        <f t="shared" si="21"/>
        <v/>
      </c>
      <c r="V229" s="126" t="str">
        <f t="shared" si="22"/>
        <v/>
      </c>
      <c r="W229" s="124" t="str">
        <f t="shared" si="23"/>
        <v/>
      </c>
      <c r="X229" s="125" t="str">
        <f t="shared" si="18"/>
        <v/>
      </c>
    </row>
    <row r="230" spans="1:24" x14ac:dyDescent="0.3">
      <c r="A230" s="129"/>
      <c r="B230" s="129"/>
      <c r="C230" s="128"/>
      <c r="D230" s="128"/>
      <c r="E230" s="128"/>
      <c r="F230" s="166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6" t="str">
        <f t="shared" si="19"/>
        <v/>
      </c>
      <c r="S230" s="163" t="str">
        <f t="shared" si="20"/>
        <v/>
      </c>
      <c r="T230" s="160" t="str">
        <f>IFERROR(INDEX(上年标准成本!$I:$I,MATCH(K230,上年标准成本!$C:$C,0),1),"")</f>
        <v/>
      </c>
      <c r="U230" s="126" t="str">
        <f t="shared" si="21"/>
        <v/>
      </c>
      <c r="V230" s="126" t="str">
        <f t="shared" si="22"/>
        <v/>
      </c>
      <c r="W230" s="124" t="str">
        <f t="shared" si="23"/>
        <v/>
      </c>
      <c r="X230" s="125" t="str">
        <f t="shared" si="18"/>
        <v/>
      </c>
    </row>
    <row r="231" spans="1:24" x14ac:dyDescent="0.3">
      <c r="A231" s="129"/>
      <c r="B231" s="129"/>
      <c r="C231" s="128"/>
      <c r="D231" s="128"/>
      <c r="E231" s="128"/>
      <c r="F231" s="166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6" t="str">
        <f t="shared" si="19"/>
        <v/>
      </c>
      <c r="S231" s="163" t="str">
        <f t="shared" si="20"/>
        <v/>
      </c>
      <c r="T231" s="160" t="str">
        <f>IFERROR(INDEX(上年标准成本!$I:$I,MATCH(K231,上年标准成本!$C:$C,0),1),"")</f>
        <v/>
      </c>
      <c r="U231" s="126" t="str">
        <f t="shared" si="21"/>
        <v/>
      </c>
      <c r="V231" s="126" t="str">
        <f t="shared" si="22"/>
        <v/>
      </c>
      <c r="W231" s="124" t="str">
        <f t="shared" si="23"/>
        <v/>
      </c>
      <c r="X231" s="125" t="str">
        <f t="shared" si="18"/>
        <v/>
      </c>
    </row>
    <row r="232" spans="1:24" x14ac:dyDescent="0.3">
      <c r="A232" s="129"/>
      <c r="B232" s="129"/>
      <c r="C232" s="128"/>
      <c r="D232" s="128"/>
      <c r="E232" s="128"/>
      <c r="F232" s="166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6" t="str">
        <f t="shared" si="19"/>
        <v/>
      </c>
      <c r="S232" s="163" t="str">
        <f t="shared" si="20"/>
        <v/>
      </c>
      <c r="T232" s="160" t="str">
        <f>IFERROR(INDEX(上年标准成本!$I:$I,MATCH(K232,上年标准成本!$C:$C,0),1),"")</f>
        <v/>
      </c>
      <c r="U232" s="126" t="str">
        <f t="shared" si="21"/>
        <v/>
      </c>
      <c r="V232" s="126" t="str">
        <f t="shared" si="22"/>
        <v/>
      </c>
      <c r="W232" s="124" t="str">
        <f t="shared" si="23"/>
        <v/>
      </c>
      <c r="X232" s="125" t="str">
        <f t="shared" si="18"/>
        <v/>
      </c>
    </row>
    <row r="233" spans="1:24" x14ac:dyDescent="0.3">
      <c r="A233" s="129"/>
      <c r="B233" s="129"/>
      <c r="C233" s="128"/>
      <c r="D233" s="128"/>
      <c r="E233" s="128"/>
      <c r="F233" s="166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6" t="str">
        <f t="shared" si="19"/>
        <v/>
      </c>
      <c r="S233" s="163" t="str">
        <f t="shared" si="20"/>
        <v/>
      </c>
      <c r="T233" s="160" t="str">
        <f>IFERROR(INDEX(上年标准成本!$I:$I,MATCH(K233,上年标准成本!$C:$C,0),1),"")</f>
        <v/>
      </c>
      <c r="U233" s="126" t="str">
        <f t="shared" si="21"/>
        <v/>
      </c>
      <c r="V233" s="126" t="str">
        <f t="shared" si="22"/>
        <v/>
      </c>
      <c r="W233" s="124" t="str">
        <f t="shared" si="23"/>
        <v/>
      </c>
      <c r="X233" s="125" t="str">
        <f t="shared" si="18"/>
        <v/>
      </c>
    </row>
    <row r="234" spans="1:24" x14ac:dyDescent="0.3">
      <c r="A234" s="129"/>
      <c r="B234" s="129"/>
      <c r="C234" s="128"/>
      <c r="D234" s="128"/>
      <c r="E234" s="128"/>
      <c r="F234" s="166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6" t="str">
        <f t="shared" si="19"/>
        <v/>
      </c>
      <c r="S234" s="163" t="str">
        <f t="shared" si="20"/>
        <v/>
      </c>
      <c r="T234" s="160" t="str">
        <f>IFERROR(INDEX(上年标准成本!$I:$I,MATCH(K234,上年标准成本!$C:$C,0),1),"")</f>
        <v/>
      </c>
      <c r="U234" s="126" t="str">
        <f t="shared" si="21"/>
        <v/>
      </c>
      <c r="V234" s="126" t="str">
        <f t="shared" si="22"/>
        <v/>
      </c>
      <c r="W234" s="124" t="str">
        <f t="shared" si="23"/>
        <v/>
      </c>
      <c r="X234" s="125" t="str">
        <f t="shared" si="18"/>
        <v/>
      </c>
    </row>
    <row r="235" spans="1:24" x14ac:dyDescent="0.3">
      <c r="A235" s="129"/>
      <c r="B235" s="129"/>
      <c r="C235" s="128"/>
      <c r="D235" s="128"/>
      <c r="E235" s="128"/>
      <c r="F235" s="166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6" t="str">
        <f t="shared" si="19"/>
        <v/>
      </c>
      <c r="S235" s="163" t="str">
        <f t="shared" si="20"/>
        <v/>
      </c>
      <c r="T235" s="160" t="str">
        <f>IFERROR(INDEX(上年标准成本!$I:$I,MATCH(K235,上年标准成本!$C:$C,0),1),"")</f>
        <v/>
      </c>
      <c r="U235" s="126" t="str">
        <f t="shared" si="21"/>
        <v/>
      </c>
      <c r="V235" s="126" t="str">
        <f t="shared" si="22"/>
        <v/>
      </c>
      <c r="W235" s="124" t="str">
        <f t="shared" si="23"/>
        <v/>
      </c>
      <c r="X235" s="125" t="str">
        <f t="shared" si="18"/>
        <v/>
      </c>
    </row>
    <row r="236" spans="1:24" x14ac:dyDescent="0.3">
      <c r="A236" s="129"/>
      <c r="B236" s="129"/>
      <c r="C236" s="128"/>
      <c r="D236" s="128"/>
      <c r="E236" s="128"/>
      <c r="F236" s="166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6" t="str">
        <f t="shared" si="19"/>
        <v/>
      </c>
      <c r="S236" s="163" t="str">
        <f t="shared" si="20"/>
        <v/>
      </c>
      <c r="T236" s="160" t="str">
        <f>IFERROR(INDEX(上年标准成本!$I:$I,MATCH(K236,上年标准成本!$C:$C,0),1),"")</f>
        <v/>
      </c>
      <c r="U236" s="126" t="str">
        <f t="shared" si="21"/>
        <v/>
      </c>
      <c r="V236" s="126" t="str">
        <f t="shared" si="22"/>
        <v/>
      </c>
      <c r="W236" s="124" t="str">
        <f t="shared" si="23"/>
        <v/>
      </c>
      <c r="X236" s="125" t="str">
        <f t="shared" si="18"/>
        <v/>
      </c>
    </row>
    <row r="237" spans="1:24" x14ac:dyDescent="0.3">
      <c r="A237" s="129"/>
      <c r="B237" s="129"/>
      <c r="C237" s="128"/>
      <c r="D237" s="128"/>
      <c r="E237" s="128"/>
      <c r="F237" s="166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6" t="str">
        <f t="shared" si="19"/>
        <v/>
      </c>
      <c r="S237" s="163" t="str">
        <f t="shared" si="20"/>
        <v/>
      </c>
      <c r="T237" s="160" t="str">
        <f>IFERROR(INDEX(上年标准成本!$I:$I,MATCH(K237,上年标准成本!$C:$C,0),1),"")</f>
        <v/>
      </c>
      <c r="U237" s="126" t="str">
        <f t="shared" si="21"/>
        <v/>
      </c>
      <c r="V237" s="126" t="str">
        <f t="shared" si="22"/>
        <v/>
      </c>
      <c r="W237" s="124" t="str">
        <f t="shared" si="23"/>
        <v/>
      </c>
      <c r="X237" s="125" t="str">
        <f t="shared" si="18"/>
        <v/>
      </c>
    </row>
    <row r="238" spans="1:24" x14ac:dyDescent="0.3">
      <c r="A238" s="129"/>
      <c r="B238" s="129"/>
      <c r="C238" s="128"/>
      <c r="D238" s="128"/>
      <c r="E238" s="128"/>
      <c r="F238" s="166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6" t="str">
        <f t="shared" si="19"/>
        <v/>
      </c>
      <c r="S238" s="163" t="str">
        <f t="shared" si="20"/>
        <v/>
      </c>
      <c r="T238" s="160" t="str">
        <f>IFERROR(INDEX(上年标准成本!$I:$I,MATCH(K238,上年标准成本!$C:$C,0),1),"")</f>
        <v/>
      </c>
      <c r="U238" s="126" t="str">
        <f t="shared" si="21"/>
        <v/>
      </c>
      <c r="V238" s="126" t="str">
        <f t="shared" si="22"/>
        <v/>
      </c>
      <c r="W238" s="124" t="str">
        <f t="shared" si="23"/>
        <v/>
      </c>
      <c r="X238" s="125" t="str">
        <f t="shared" si="18"/>
        <v/>
      </c>
    </row>
    <row r="239" spans="1:24" x14ac:dyDescent="0.3">
      <c r="A239" s="129"/>
      <c r="B239" s="129"/>
      <c r="C239" s="128"/>
      <c r="D239" s="128"/>
      <c r="E239" s="128"/>
      <c r="F239" s="166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6" t="str">
        <f t="shared" si="19"/>
        <v/>
      </c>
      <c r="S239" s="163" t="str">
        <f t="shared" si="20"/>
        <v/>
      </c>
      <c r="T239" s="160" t="str">
        <f>IFERROR(INDEX(上年标准成本!$I:$I,MATCH(K239,上年标准成本!$C:$C,0),1),"")</f>
        <v/>
      </c>
      <c r="U239" s="126" t="str">
        <f t="shared" si="21"/>
        <v/>
      </c>
      <c r="V239" s="126" t="str">
        <f t="shared" si="22"/>
        <v/>
      </c>
      <c r="W239" s="124" t="str">
        <f t="shared" si="23"/>
        <v/>
      </c>
      <c r="X239" s="125" t="str">
        <f t="shared" si="18"/>
        <v/>
      </c>
    </row>
    <row r="240" spans="1:24" x14ac:dyDescent="0.3">
      <c r="A240" s="129"/>
      <c r="B240" s="129"/>
      <c r="C240" s="128"/>
      <c r="D240" s="128"/>
      <c r="E240" s="128"/>
      <c r="F240" s="166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6" t="str">
        <f t="shared" si="19"/>
        <v/>
      </c>
      <c r="S240" s="163" t="str">
        <f t="shared" si="20"/>
        <v/>
      </c>
      <c r="T240" s="160" t="str">
        <f>IFERROR(INDEX(上年标准成本!$I:$I,MATCH(K240,上年标准成本!$C:$C,0),1),"")</f>
        <v/>
      </c>
      <c r="U240" s="126" t="str">
        <f t="shared" si="21"/>
        <v/>
      </c>
      <c r="V240" s="126" t="str">
        <f t="shared" si="22"/>
        <v/>
      </c>
      <c r="W240" s="124" t="str">
        <f t="shared" si="23"/>
        <v/>
      </c>
      <c r="X240" s="125" t="str">
        <f t="shared" si="18"/>
        <v/>
      </c>
    </row>
    <row r="241" spans="1:24" x14ac:dyDescent="0.3">
      <c r="A241" s="129"/>
      <c r="B241" s="129"/>
      <c r="C241" s="128"/>
      <c r="D241" s="128"/>
      <c r="E241" s="128"/>
      <c r="F241" s="166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6" t="str">
        <f t="shared" si="19"/>
        <v/>
      </c>
      <c r="S241" s="163" t="str">
        <f t="shared" si="20"/>
        <v/>
      </c>
      <c r="T241" s="160" t="str">
        <f>IFERROR(INDEX(上年标准成本!$I:$I,MATCH(K241,上年标准成本!$C:$C,0),1),"")</f>
        <v/>
      </c>
      <c r="U241" s="126" t="str">
        <f t="shared" si="21"/>
        <v/>
      </c>
      <c r="V241" s="126" t="str">
        <f t="shared" si="22"/>
        <v/>
      </c>
      <c r="W241" s="124" t="str">
        <f t="shared" si="23"/>
        <v/>
      </c>
      <c r="X241" s="125" t="str">
        <f t="shared" si="18"/>
        <v/>
      </c>
    </row>
    <row r="242" spans="1:24" x14ac:dyDescent="0.3">
      <c r="A242" s="129"/>
      <c r="B242" s="129"/>
      <c r="C242" s="128"/>
      <c r="D242" s="128"/>
      <c r="E242" s="128"/>
      <c r="F242" s="166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6" t="str">
        <f t="shared" si="19"/>
        <v/>
      </c>
      <c r="S242" s="163" t="str">
        <f t="shared" si="20"/>
        <v/>
      </c>
      <c r="T242" s="160" t="str">
        <f>IFERROR(INDEX(上年标准成本!$I:$I,MATCH(K242,上年标准成本!$C:$C,0),1),"")</f>
        <v/>
      </c>
      <c r="U242" s="126" t="str">
        <f t="shared" si="21"/>
        <v/>
      </c>
      <c r="V242" s="126" t="str">
        <f t="shared" si="22"/>
        <v/>
      </c>
      <c r="W242" s="124" t="str">
        <f t="shared" si="23"/>
        <v/>
      </c>
      <c r="X242" s="125" t="str">
        <f t="shared" si="18"/>
        <v/>
      </c>
    </row>
    <row r="243" spans="1:24" x14ac:dyDescent="0.3">
      <c r="A243" s="129"/>
      <c r="B243" s="129"/>
      <c r="C243" s="128"/>
      <c r="D243" s="128"/>
      <c r="E243" s="128"/>
      <c r="F243" s="166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6" t="str">
        <f t="shared" si="19"/>
        <v/>
      </c>
      <c r="S243" s="163" t="str">
        <f t="shared" si="20"/>
        <v/>
      </c>
      <c r="T243" s="160" t="str">
        <f>IFERROR(INDEX(上年标准成本!$I:$I,MATCH(K243,上年标准成本!$C:$C,0),1),"")</f>
        <v/>
      </c>
      <c r="U243" s="126" t="str">
        <f t="shared" si="21"/>
        <v/>
      </c>
      <c r="V243" s="126" t="str">
        <f t="shared" si="22"/>
        <v/>
      </c>
      <c r="W243" s="124" t="str">
        <f t="shared" si="23"/>
        <v/>
      </c>
      <c r="X243" s="125" t="str">
        <f t="shared" si="18"/>
        <v/>
      </c>
    </row>
    <row r="244" spans="1:24" x14ac:dyDescent="0.3">
      <c r="A244" s="129"/>
      <c r="B244" s="129"/>
      <c r="C244" s="128"/>
      <c r="D244" s="128"/>
      <c r="E244" s="128"/>
      <c r="F244" s="166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6" t="str">
        <f t="shared" si="19"/>
        <v/>
      </c>
      <c r="S244" s="163" t="str">
        <f t="shared" si="20"/>
        <v/>
      </c>
      <c r="T244" s="160" t="str">
        <f>IFERROR(INDEX(上年标准成本!$I:$I,MATCH(K244,上年标准成本!$C:$C,0),1),"")</f>
        <v/>
      </c>
      <c r="U244" s="126" t="str">
        <f t="shared" si="21"/>
        <v/>
      </c>
      <c r="V244" s="126" t="str">
        <f t="shared" si="22"/>
        <v/>
      </c>
      <c r="W244" s="124" t="str">
        <f t="shared" si="23"/>
        <v/>
      </c>
      <c r="X244" s="125" t="str">
        <f t="shared" si="18"/>
        <v/>
      </c>
    </row>
    <row r="245" spans="1:24" x14ac:dyDescent="0.3">
      <c r="A245" s="129"/>
      <c r="B245" s="129"/>
      <c r="C245" s="128"/>
      <c r="D245" s="128"/>
      <c r="E245" s="128"/>
      <c r="F245" s="166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6" t="str">
        <f t="shared" si="19"/>
        <v/>
      </c>
      <c r="S245" s="163" t="str">
        <f t="shared" si="20"/>
        <v/>
      </c>
      <c r="T245" s="160" t="str">
        <f>IFERROR(INDEX(上年标准成本!$I:$I,MATCH(K245,上年标准成本!$C:$C,0),1),"")</f>
        <v/>
      </c>
      <c r="U245" s="126" t="str">
        <f t="shared" si="21"/>
        <v/>
      </c>
      <c r="V245" s="126" t="str">
        <f t="shared" si="22"/>
        <v/>
      </c>
      <c r="W245" s="124" t="str">
        <f t="shared" si="23"/>
        <v/>
      </c>
      <c r="X245" s="125" t="str">
        <f t="shared" si="18"/>
        <v/>
      </c>
    </row>
    <row r="246" spans="1:24" x14ac:dyDescent="0.3">
      <c r="A246" s="129"/>
      <c r="B246" s="129"/>
      <c r="C246" s="128"/>
      <c r="D246" s="128"/>
      <c r="E246" s="128"/>
      <c r="F246" s="166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6" t="str">
        <f t="shared" si="19"/>
        <v/>
      </c>
      <c r="S246" s="163" t="str">
        <f t="shared" si="20"/>
        <v/>
      </c>
      <c r="T246" s="160" t="str">
        <f>IFERROR(INDEX(上年标准成本!$I:$I,MATCH(K246,上年标准成本!$C:$C,0),1),"")</f>
        <v/>
      </c>
      <c r="U246" s="126" t="str">
        <f t="shared" si="21"/>
        <v/>
      </c>
      <c r="V246" s="126" t="str">
        <f t="shared" si="22"/>
        <v/>
      </c>
      <c r="W246" s="124" t="str">
        <f t="shared" si="23"/>
        <v/>
      </c>
      <c r="X246" s="125" t="str">
        <f t="shared" si="18"/>
        <v/>
      </c>
    </row>
    <row r="247" spans="1:24" x14ac:dyDescent="0.3">
      <c r="A247" s="129"/>
      <c r="B247" s="129"/>
      <c r="C247" s="128"/>
      <c r="D247" s="128"/>
      <c r="E247" s="128"/>
      <c r="F247" s="166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6" t="str">
        <f t="shared" si="19"/>
        <v/>
      </c>
      <c r="S247" s="163" t="str">
        <f t="shared" si="20"/>
        <v/>
      </c>
      <c r="T247" s="160" t="str">
        <f>IFERROR(INDEX(上年标准成本!$I:$I,MATCH(K247,上年标准成本!$C:$C,0),1),"")</f>
        <v/>
      </c>
      <c r="U247" s="126" t="str">
        <f t="shared" si="21"/>
        <v/>
      </c>
      <c r="V247" s="126" t="str">
        <f t="shared" si="22"/>
        <v/>
      </c>
      <c r="W247" s="124" t="str">
        <f t="shared" si="23"/>
        <v/>
      </c>
      <c r="X247" s="125" t="str">
        <f t="shared" si="18"/>
        <v/>
      </c>
    </row>
    <row r="248" spans="1:24" x14ac:dyDescent="0.3">
      <c r="A248" s="129"/>
      <c r="B248" s="129"/>
      <c r="C248" s="128"/>
      <c r="D248" s="128"/>
      <c r="E248" s="128"/>
      <c r="F248" s="166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6" t="str">
        <f t="shared" si="19"/>
        <v/>
      </c>
      <c r="S248" s="163" t="str">
        <f t="shared" si="20"/>
        <v/>
      </c>
      <c r="T248" s="160" t="str">
        <f>IFERROR(INDEX(上年标准成本!$I:$I,MATCH(K248,上年标准成本!$C:$C,0),1),"")</f>
        <v/>
      </c>
      <c r="U248" s="126" t="str">
        <f t="shared" si="21"/>
        <v/>
      </c>
      <c r="V248" s="126" t="str">
        <f t="shared" si="22"/>
        <v/>
      </c>
      <c r="W248" s="124" t="str">
        <f t="shared" si="23"/>
        <v/>
      </c>
      <c r="X248" s="125" t="str">
        <f t="shared" si="18"/>
        <v/>
      </c>
    </row>
    <row r="249" spans="1:24" x14ac:dyDescent="0.3">
      <c r="A249" s="129"/>
      <c r="B249" s="129"/>
      <c r="C249" s="128"/>
      <c r="D249" s="128"/>
      <c r="E249" s="128"/>
      <c r="F249" s="166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6" t="str">
        <f t="shared" si="19"/>
        <v/>
      </c>
      <c r="S249" s="163" t="str">
        <f t="shared" si="20"/>
        <v/>
      </c>
      <c r="T249" s="160" t="str">
        <f>IFERROR(INDEX(上年标准成本!$I:$I,MATCH(K249,上年标准成本!$C:$C,0),1),"")</f>
        <v/>
      </c>
      <c r="U249" s="126" t="str">
        <f t="shared" si="21"/>
        <v/>
      </c>
      <c r="V249" s="126" t="str">
        <f t="shared" si="22"/>
        <v/>
      </c>
      <c r="W249" s="124" t="str">
        <f t="shared" si="23"/>
        <v/>
      </c>
      <c r="X249" s="125" t="str">
        <f t="shared" si="18"/>
        <v/>
      </c>
    </row>
    <row r="250" spans="1:24" x14ac:dyDescent="0.3">
      <c r="A250" s="129"/>
      <c r="B250" s="129"/>
      <c r="C250" s="128"/>
      <c r="D250" s="128"/>
      <c r="E250" s="128"/>
      <c r="F250" s="166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6" t="str">
        <f t="shared" si="19"/>
        <v/>
      </c>
      <c r="S250" s="163" t="str">
        <f t="shared" si="20"/>
        <v/>
      </c>
      <c r="T250" s="160" t="str">
        <f>IFERROR(INDEX(上年标准成本!$I:$I,MATCH(K250,上年标准成本!$C:$C,0),1),"")</f>
        <v/>
      </c>
      <c r="U250" s="126" t="str">
        <f t="shared" si="21"/>
        <v/>
      </c>
      <c r="V250" s="126" t="str">
        <f t="shared" si="22"/>
        <v/>
      </c>
      <c r="W250" s="124" t="str">
        <f t="shared" si="23"/>
        <v/>
      </c>
      <c r="X250" s="125" t="str">
        <f t="shared" si="18"/>
        <v/>
      </c>
    </row>
    <row r="251" spans="1:24" x14ac:dyDescent="0.3">
      <c r="A251" s="129"/>
      <c r="B251" s="129"/>
      <c r="C251" s="128"/>
      <c r="D251" s="128"/>
      <c r="E251" s="128"/>
      <c r="F251" s="166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6" t="str">
        <f t="shared" si="19"/>
        <v/>
      </c>
      <c r="S251" s="163" t="str">
        <f t="shared" si="20"/>
        <v/>
      </c>
      <c r="T251" s="160" t="str">
        <f>IFERROR(INDEX(上年标准成本!$I:$I,MATCH(K251,上年标准成本!$C:$C,0),1),"")</f>
        <v/>
      </c>
      <c r="U251" s="126" t="str">
        <f t="shared" si="21"/>
        <v/>
      </c>
      <c r="V251" s="126" t="str">
        <f t="shared" si="22"/>
        <v/>
      </c>
      <c r="W251" s="124" t="str">
        <f t="shared" si="23"/>
        <v/>
      </c>
      <c r="X251" s="125" t="str">
        <f t="shared" si="18"/>
        <v/>
      </c>
    </row>
    <row r="252" spans="1:24" x14ac:dyDescent="0.3">
      <c r="A252" s="129"/>
      <c r="B252" s="129"/>
      <c r="C252" s="128"/>
      <c r="D252" s="128"/>
      <c r="E252" s="128"/>
      <c r="F252" s="166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6" t="str">
        <f t="shared" si="19"/>
        <v/>
      </c>
      <c r="S252" s="163" t="str">
        <f t="shared" si="20"/>
        <v/>
      </c>
      <c r="T252" s="160" t="str">
        <f>IFERROR(INDEX(上年标准成本!$I:$I,MATCH(K252,上年标准成本!$C:$C,0),1),"")</f>
        <v/>
      </c>
      <c r="U252" s="126" t="str">
        <f t="shared" si="21"/>
        <v/>
      </c>
      <c r="V252" s="126" t="str">
        <f t="shared" si="22"/>
        <v/>
      </c>
      <c r="W252" s="124" t="str">
        <f t="shared" si="23"/>
        <v/>
      </c>
      <c r="X252" s="125" t="str">
        <f t="shared" si="18"/>
        <v/>
      </c>
    </row>
    <row r="253" spans="1:24" x14ac:dyDescent="0.3">
      <c r="A253" s="129"/>
      <c r="B253" s="129"/>
      <c r="C253" s="128"/>
      <c r="D253" s="128"/>
      <c r="E253" s="128"/>
      <c r="F253" s="166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6" t="str">
        <f t="shared" si="19"/>
        <v/>
      </c>
      <c r="S253" s="163" t="str">
        <f t="shared" si="20"/>
        <v/>
      </c>
      <c r="T253" s="160" t="str">
        <f>IFERROR(INDEX(上年标准成本!$I:$I,MATCH(K253,上年标准成本!$C:$C,0),1),"")</f>
        <v/>
      </c>
      <c r="U253" s="126" t="str">
        <f t="shared" si="21"/>
        <v/>
      </c>
      <c r="V253" s="126" t="str">
        <f t="shared" si="22"/>
        <v/>
      </c>
      <c r="W253" s="124" t="str">
        <f t="shared" si="23"/>
        <v/>
      </c>
      <c r="X253" s="125" t="str">
        <f t="shared" si="18"/>
        <v/>
      </c>
    </row>
    <row r="254" spans="1:24" x14ac:dyDescent="0.3">
      <c r="A254" s="129"/>
      <c r="B254" s="129"/>
      <c r="C254" s="128"/>
      <c r="D254" s="128"/>
      <c r="E254" s="128"/>
      <c r="F254" s="166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6" t="str">
        <f t="shared" si="19"/>
        <v/>
      </c>
      <c r="S254" s="163" t="str">
        <f t="shared" si="20"/>
        <v/>
      </c>
      <c r="T254" s="160" t="str">
        <f>IFERROR(INDEX(上年标准成本!$I:$I,MATCH(K254,上年标准成本!$C:$C,0),1),"")</f>
        <v/>
      </c>
      <c r="U254" s="126" t="str">
        <f t="shared" si="21"/>
        <v/>
      </c>
      <c r="V254" s="126" t="str">
        <f t="shared" si="22"/>
        <v/>
      </c>
      <c r="W254" s="124" t="str">
        <f t="shared" si="23"/>
        <v/>
      </c>
      <c r="X254" s="125" t="str">
        <f t="shared" si="18"/>
        <v/>
      </c>
    </row>
    <row r="255" spans="1:24" x14ac:dyDescent="0.3">
      <c r="A255" s="129"/>
      <c r="B255" s="129"/>
      <c r="C255" s="128"/>
      <c r="D255" s="128"/>
      <c r="E255" s="128"/>
      <c r="F255" s="166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6" t="str">
        <f t="shared" si="19"/>
        <v/>
      </c>
      <c r="S255" s="163" t="str">
        <f t="shared" si="20"/>
        <v/>
      </c>
      <c r="T255" s="160" t="str">
        <f>IFERROR(INDEX(上年标准成本!$I:$I,MATCH(K255,上年标准成本!$C:$C,0),1),"")</f>
        <v/>
      </c>
      <c r="U255" s="126" t="str">
        <f t="shared" si="21"/>
        <v/>
      </c>
      <c r="V255" s="126" t="str">
        <f t="shared" si="22"/>
        <v/>
      </c>
      <c r="W255" s="124" t="str">
        <f t="shared" si="23"/>
        <v/>
      </c>
      <c r="X255" s="125" t="str">
        <f t="shared" si="18"/>
        <v/>
      </c>
    </row>
    <row r="256" spans="1:24" x14ac:dyDescent="0.3">
      <c r="A256" s="129"/>
      <c r="B256" s="129"/>
      <c r="C256" s="128"/>
      <c r="D256" s="128"/>
      <c r="E256" s="128"/>
      <c r="F256" s="166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6" t="str">
        <f t="shared" si="19"/>
        <v/>
      </c>
      <c r="S256" s="163" t="str">
        <f t="shared" si="20"/>
        <v/>
      </c>
      <c r="T256" s="160" t="str">
        <f>IFERROR(INDEX(上年标准成本!$I:$I,MATCH(K256,上年标准成本!$C:$C,0),1),"")</f>
        <v/>
      </c>
      <c r="U256" s="126" t="str">
        <f t="shared" si="21"/>
        <v/>
      </c>
      <c r="V256" s="126" t="str">
        <f t="shared" si="22"/>
        <v/>
      </c>
      <c r="W256" s="124" t="str">
        <f t="shared" si="23"/>
        <v/>
      </c>
      <c r="X256" s="125" t="str">
        <f t="shared" si="18"/>
        <v/>
      </c>
    </row>
    <row r="257" spans="1:24" x14ac:dyDescent="0.3">
      <c r="A257" s="129"/>
      <c r="B257" s="129"/>
      <c r="C257" s="128"/>
      <c r="D257" s="128"/>
      <c r="E257" s="128"/>
      <c r="F257" s="166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6" t="str">
        <f t="shared" si="19"/>
        <v/>
      </c>
      <c r="S257" s="163" t="str">
        <f t="shared" si="20"/>
        <v/>
      </c>
      <c r="T257" s="160" t="str">
        <f>IFERROR(INDEX(上年标准成本!$I:$I,MATCH(K257,上年标准成本!$C:$C,0),1),"")</f>
        <v/>
      </c>
      <c r="U257" s="126" t="str">
        <f t="shared" si="21"/>
        <v/>
      </c>
      <c r="V257" s="126" t="str">
        <f t="shared" si="22"/>
        <v/>
      </c>
      <c r="W257" s="124" t="str">
        <f t="shared" si="23"/>
        <v/>
      </c>
      <c r="X257" s="125" t="str">
        <f t="shared" si="18"/>
        <v/>
      </c>
    </row>
    <row r="258" spans="1:24" x14ac:dyDescent="0.3">
      <c r="A258" s="129"/>
      <c r="B258" s="129"/>
      <c r="C258" s="128"/>
      <c r="D258" s="128"/>
      <c r="E258" s="128"/>
      <c r="F258" s="166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6" t="str">
        <f t="shared" si="19"/>
        <v/>
      </c>
      <c r="S258" s="163" t="str">
        <f t="shared" si="20"/>
        <v/>
      </c>
      <c r="T258" s="160" t="str">
        <f>IFERROR(INDEX(上年标准成本!$I:$I,MATCH(K258,上年标准成本!$C:$C,0),1),"")</f>
        <v/>
      </c>
      <c r="U258" s="126" t="str">
        <f t="shared" si="21"/>
        <v/>
      </c>
      <c r="V258" s="126" t="str">
        <f t="shared" si="22"/>
        <v/>
      </c>
      <c r="W258" s="124" t="str">
        <f t="shared" si="23"/>
        <v/>
      </c>
      <c r="X258" s="125" t="str">
        <f t="shared" ref="X258:X321" si="24">IFERROR(IF(W258/SUM(W:W)=0,"",W258/SUM(W:W)),"")</f>
        <v/>
      </c>
    </row>
    <row r="259" spans="1:24" x14ac:dyDescent="0.3">
      <c r="A259" s="129"/>
      <c r="B259" s="129"/>
      <c r="C259" s="128"/>
      <c r="D259" s="128"/>
      <c r="E259" s="128"/>
      <c r="F259" s="166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6" t="str">
        <f t="shared" ref="R259:R322" si="25">IFERROR(P259/O259,"")</f>
        <v/>
      </c>
      <c r="S259" s="163" t="str">
        <f t="shared" ref="S259:S322" si="26">IFERROR(R259*(1+Q259),"")</f>
        <v/>
      </c>
      <c r="T259" s="160" t="str">
        <f>IFERROR(INDEX(上年标准成本!$I:$I,MATCH(K259,上年标准成本!$C:$C,0),1),"")</f>
        <v/>
      </c>
      <c r="U259" s="126" t="str">
        <f t="shared" ref="U259:U322" si="27">IFERROR(O259*T259,"")</f>
        <v/>
      </c>
      <c r="V259" s="126" t="str">
        <f t="shared" ref="V259:V322" si="28">IFERROR(P259-U259,"")</f>
        <v/>
      </c>
      <c r="W259" s="124" t="str">
        <f t="shared" ref="W259:W322" si="29">IFERROR(V259/P259,"")</f>
        <v/>
      </c>
      <c r="X259" s="125" t="str">
        <f t="shared" si="24"/>
        <v/>
      </c>
    </row>
    <row r="260" spans="1:24" x14ac:dyDescent="0.3">
      <c r="A260" s="129"/>
      <c r="B260" s="129"/>
      <c r="C260" s="128"/>
      <c r="D260" s="128"/>
      <c r="E260" s="128"/>
      <c r="F260" s="166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6" t="str">
        <f t="shared" si="25"/>
        <v/>
      </c>
      <c r="S260" s="163" t="str">
        <f t="shared" si="26"/>
        <v/>
      </c>
      <c r="T260" s="160" t="str">
        <f>IFERROR(INDEX(上年标准成本!$I:$I,MATCH(K260,上年标准成本!$C:$C,0),1),"")</f>
        <v/>
      </c>
      <c r="U260" s="126" t="str">
        <f t="shared" si="27"/>
        <v/>
      </c>
      <c r="V260" s="126" t="str">
        <f t="shared" si="28"/>
        <v/>
      </c>
      <c r="W260" s="124" t="str">
        <f t="shared" si="29"/>
        <v/>
      </c>
      <c r="X260" s="125" t="str">
        <f t="shared" si="24"/>
        <v/>
      </c>
    </row>
    <row r="261" spans="1:24" x14ac:dyDescent="0.3">
      <c r="A261" s="129"/>
      <c r="B261" s="129"/>
      <c r="C261" s="128"/>
      <c r="D261" s="128"/>
      <c r="E261" s="128"/>
      <c r="F261" s="166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6" t="str">
        <f t="shared" si="25"/>
        <v/>
      </c>
      <c r="S261" s="163" t="str">
        <f t="shared" si="26"/>
        <v/>
      </c>
      <c r="T261" s="160" t="str">
        <f>IFERROR(INDEX(上年标准成本!$I:$I,MATCH(K261,上年标准成本!$C:$C,0),1),"")</f>
        <v/>
      </c>
      <c r="U261" s="126" t="str">
        <f t="shared" si="27"/>
        <v/>
      </c>
      <c r="V261" s="126" t="str">
        <f t="shared" si="28"/>
        <v/>
      </c>
      <c r="W261" s="124" t="str">
        <f t="shared" si="29"/>
        <v/>
      </c>
      <c r="X261" s="125" t="str">
        <f t="shared" si="24"/>
        <v/>
      </c>
    </row>
    <row r="262" spans="1:24" x14ac:dyDescent="0.3">
      <c r="A262" s="129"/>
      <c r="B262" s="129"/>
      <c r="C262" s="128"/>
      <c r="D262" s="128"/>
      <c r="E262" s="128"/>
      <c r="F262" s="166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6" t="str">
        <f t="shared" si="25"/>
        <v/>
      </c>
      <c r="S262" s="163" t="str">
        <f t="shared" si="26"/>
        <v/>
      </c>
      <c r="T262" s="160" t="str">
        <f>IFERROR(INDEX(上年标准成本!$I:$I,MATCH(K262,上年标准成本!$C:$C,0),1),"")</f>
        <v/>
      </c>
      <c r="U262" s="126" t="str">
        <f t="shared" si="27"/>
        <v/>
      </c>
      <c r="V262" s="126" t="str">
        <f t="shared" si="28"/>
        <v/>
      </c>
      <c r="W262" s="124" t="str">
        <f t="shared" si="29"/>
        <v/>
      </c>
      <c r="X262" s="125" t="str">
        <f t="shared" si="24"/>
        <v/>
      </c>
    </row>
    <row r="263" spans="1:24" x14ac:dyDescent="0.3">
      <c r="A263" s="129"/>
      <c r="B263" s="129"/>
      <c r="C263" s="128"/>
      <c r="D263" s="128"/>
      <c r="E263" s="128"/>
      <c r="F263" s="166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6" t="str">
        <f t="shared" si="25"/>
        <v/>
      </c>
      <c r="S263" s="163" t="str">
        <f t="shared" si="26"/>
        <v/>
      </c>
      <c r="T263" s="160" t="str">
        <f>IFERROR(INDEX(上年标准成本!$I:$I,MATCH(K263,上年标准成本!$C:$C,0),1),"")</f>
        <v/>
      </c>
      <c r="U263" s="126" t="str">
        <f t="shared" si="27"/>
        <v/>
      </c>
      <c r="V263" s="126" t="str">
        <f t="shared" si="28"/>
        <v/>
      </c>
      <c r="W263" s="124" t="str">
        <f t="shared" si="29"/>
        <v/>
      </c>
      <c r="X263" s="125" t="str">
        <f t="shared" si="24"/>
        <v/>
      </c>
    </row>
    <row r="264" spans="1:24" x14ac:dyDescent="0.3">
      <c r="A264" s="129"/>
      <c r="B264" s="129"/>
      <c r="C264" s="128"/>
      <c r="D264" s="128"/>
      <c r="E264" s="128"/>
      <c r="F264" s="166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6" t="str">
        <f t="shared" si="25"/>
        <v/>
      </c>
      <c r="S264" s="163" t="str">
        <f t="shared" si="26"/>
        <v/>
      </c>
      <c r="T264" s="160" t="str">
        <f>IFERROR(INDEX(上年标准成本!$I:$I,MATCH(K264,上年标准成本!$C:$C,0),1),"")</f>
        <v/>
      </c>
      <c r="U264" s="126" t="str">
        <f t="shared" si="27"/>
        <v/>
      </c>
      <c r="V264" s="126" t="str">
        <f t="shared" si="28"/>
        <v/>
      </c>
      <c r="W264" s="124" t="str">
        <f t="shared" si="29"/>
        <v/>
      </c>
      <c r="X264" s="125" t="str">
        <f t="shared" si="24"/>
        <v/>
      </c>
    </row>
    <row r="265" spans="1:24" x14ac:dyDescent="0.3">
      <c r="A265" s="129"/>
      <c r="B265" s="129"/>
      <c r="C265" s="128"/>
      <c r="D265" s="128"/>
      <c r="E265" s="128"/>
      <c r="F265" s="166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6" t="str">
        <f t="shared" si="25"/>
        <v/>
      </c>
      <c r="S265" s="163" t="str">
        <f t="shared" si="26"/>
        <v/>
      </c>
      <c r="T265" s="160" t="str">
        <f>IFERROR(INDEX(上年标准成本!$I:$I,MATCH(K265,上年标准成本!$C:$C,0),1),"")</f>
        <v/>
      </c>
      <c r="U265" s="126" t="str">
        <f t="shared" si="27"/>
        <v/>
      </c>
      <c r="V265" s="126" t="str">
        <f t="shared" si="28"/>
        <v/>
      </c>
      <c r="W265" s="124" t="str">
        <f t="shared" si="29"/>
        <v/>
      </c>
      <c r="X265" s="125" t="str">
        <f t="shared" si="24"/>
        <v/>
      </c>
    </row>
    <row r="266" spans="1:24" x14ac:dyDescent="0.3">
      <c r="A266" s="129"/>
      <c r="B266" s="129"/>
      <c r="C266" s="128"/>
      <c r="D266" s="128"/>
      <c r="E266" s="128"/>
      <c r="F266" s="166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6" t="str">
        <f t="shared" si="25"/>
        <v/>
      </c>
      <c r="S266" s="163" t="str">
        <f t="shared" si="26"/>
        <v/>
      </c>
      <c r="T266" s="160" t="str">
        <f>IFERROR(INDEX(上年标准成本!$I:$I,MATCH(K266,上年标准成本!$C:$C,0),1),"")</f>
        <v/>
      </c>
      <c r="U266" s="126" t="str">
        <f t="shared" si="27"/>
        <v/>
      </c>
      <c r="V266" s="126" t="str">
        <f t="shared" si="28"/>
        <v/>
      </c>
      <c r="W266" s="124" t="str">
        <f t="shared" si="29"/>
        <v/>
      </c>
      <c r="X266" s="125" t="str">
        <f t="shared" si="24"/>
        <v/>
      </c>
    </row>
    <row r="267" spans="1:24" x14ac:dyDescent="0.3">
      <c r="A267" s="129"/>
      <c r="B267" s="129"/>
      <c r="C267" s="128"/>
      <c r="D267" s="128"/>
      <c r="E267" s="128"/>
      <c r="F267" s="166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6" t="str">
        <f t="shared" si="25"/>
        <v/>
      </c>
      <c r="S267" s="163" t="str">
        <f t="shared" si="26"/>
        <v/>
      </c>
      <c r="T267" s="160" t="str">
        <f>IFERROR(INDEX(上年标准成本!$I:$I,MATCH(K267,上年标准成本!$C:$C,0),1),"")</f>
        <v/>
      </c>
      <c r="U267" s="126" t="str">
        <f t="shared" si="27"/>
        <v/>
      </c>
      <c r="V267" s="126" t="str">
        <f t="shared" si="28"/>
        <v/>
      </c>
      <c r="W267" s="124" t="str">
        <f t="shared" si="29"/>
        <v/>
      </c>
      <c r="X267" s="125" t="str">
        <f t="shared" si="24"/>
        <v/>
      </c>
    </row>
    <row r="268" spans="1:24" x14ac:dyDescent="0.3">
      <c r="A268" s="129"/>
      <c r="B268" s="129"/>
      <c r="C268" s="128"/>
      <c r="D268" s="128"/>
      <c r="E268" s="128"/>
      <c r="F268" s="166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6" t="str">
        <f t="shared" si="25"/>
        <v/>
      </c>
      <c r="S268" s="163" t="str">
        <f t="shared" si="26"/>
        <v/>
      </c>
      <c r="T268" s="160" t="str">
        <f>IFERROR(INDEX(上年标准成本!$I:$I,MATCH(K268,上年标准成本!$C:$C,0),1),"")</f>
        <v/>
      </c>
      <c r="U268" s="126" t="str">
        <f t="shared" si="27"/>
        <v/>
      </c>
      <c r="V268" s="126" t="str">
        <f t="shared" si="28"/>
        <v/>
      </c>
      <c r="W268" s="124" t="str">
        <f t="shared" si="29"/>
        <v/>
      </c>
      <c r="X268" s="125" t="str">
        <f t="shared" si="24"/>
        <v/>
      </c>
    </row>
    <row r="269" spans="1:24" x14ac:dyDescent="0.3">
      <c r="A269" s="129"/>
      <c r="B269" s="129"/>
      <c r="C269" s="128"/>
      <c r="D269" s="128"/>
      <c r="E269" s="128"/>
      <c r="F269" s="166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6" t="str">
        <f t="shared" si="25"/>
        <v/>
      </c>
      <c r="S269" s="163" t="str">
        <f t="shared" si="26"/>
        <v/>
      </c>
      <c r="T269" s="160" t="str">
        <f>IFERROR(INDEX(上年标准成本!$I:$I,MATCH(K269,上年标准成本!$C:$C,0),1),"")</f>
        <v/>
      </c>
      <c r="U269" s="126" t="str">
        <f t="shared" si="27"/>
        <v/>
      </c>
      <c r="V269" s="126" t="str">
        <f t="shared" si="28"/>
        <v/>
      </c>
      <c r="W269" s="124" t="str">
        <f t="shared" si="29"/>
        <v/>
      </c>
      <c r="X269" s="125" t="str">
        <f t="shared" si="24"/>
        <v/>
      </c>
    </row>
    <row r="270" spans="1:24" x14ac:dyDescent="0.3">
      <c r="A270" s="129"/>
      <c r="B270" s="129"/>
      <c r="C270" s="128"/>
      <c r="D270" s="128"/>
      <c r="E270" s="128"/>
      <c r="F270" s="166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6" t="str">
        <f t="shared" si="25"/>
        <v/>
      </c>
      <c r="S270" s="163" t="str">
        <f t="shared" si="26"/>
        <v/>
      </c>
      <c r="T270" s="160" t="str">
        <f>IFERROR(INDEX(上年标准成本!$I:$I,MATCH(K270,上年标准成本!$C:$C,0),1),"")</f>
        <v/>
      </c>
      <c r="U270" s="126" t="str">
        <f t="shared" si="27"/>
        <v/>
      </c>
      <c r="V270" s="126" t="str">
        <f t="shared" si="28"/>
        <v/>
      </c>
      <c r="W270" s="124" t="str">
        <f t="shared" si="29"/>
        <v/>
      </c>
      <c r="X270" s="125" t="str">
        <f t="shared" si="24"/>
        <v/>
      </c>
    </row>
    <row r="271" spans="1:24" x14ac:dyDescent="0.3">
      <c r="A271" s="129"/>
      <c r="B271" s="129"/>
      <c r="C271" s="128"/>
      <c r="D271" s="128"/>
      <c r="E271" s="128"/>
      <c r="F271" s="166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6" t="str">
        <f t="shared" si="25"/>
        <v/>
      </c>
      <c r="S271" s="163" t="str">
        <f t="shared" si="26"/>
        <v/>
      </c>
      <c r="T271" s="160" t="str">
        <f>IFERROR(INDEX(上年标准成本!$I:$I,MATCH(K271,上年标准成本!$C:$C,0),1),"")</f>
        <v/>
      </c>
      <c r="U271" s="126" t="str">
        <f t="shared" si="27"/>
        <v/>
      </c>
      <c r="V271" s="126" t="str">
        <f t="shared" si="28"/>
        <v/>
      </c>
      <c r="W271" s="124" t="str">
        <f t="shared" si="29"/>
        <v/>
      </c>
      <c r="X271" s="125" t="str">
        <f t="shared" si="24"/>
        <v/>
      </c>
    </row>
    <row r="272" spans="1:24" x14ac:dyDescent="0.3">
      <c r="A272" s="129"/>
      <c r="B272" s="129"/>
      <c r="C272" s="128"/>
      <c r="D272" s="128"/>
      <c r="E272" s="128"/>
      <c r="F272" s="166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6" t="str">
        <f t="shared" si="25"/>
        <v/>
      </c>
      <c r="S272" s="163" t="str">
        <f t="shared" si="26"/>
        <v/>
      </c>
      <c r="T272" s="160" t="str">
        <f>IFERROR(INDEX(上年标准成本!$I:$I,MATCH(K272,上年标准成本!$C:$C,0),1),"")</f>
        <v/>
      </c>
      <c r="U272" s="126" t="str">
        <f t="shared" si="27"/>
        <v/>
      </c>
      <c r="V272" s="126" t="str">
        <f t="shared" si="28"/>
        <v/>
      </c>
      <c r="W272" s="124" t="str">
        <f t="shared" si="29"/>
        <v/>
      </c>
      <c r="X272" s="125" t="str">
        <f t="shared" si="24"/>
        <v/>
      </c>
    </row>
    <row r="273" spans="1:24" x14ac:dyDescent="0.3">
      <c r="A273" s="129"/>
      <c r="B273" s="129"/>
      <c r="C273" s="128"/>
      <c r="D273" s="128"/>
      <c r="E273" s="128"/>
      <c r="F273" s="166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6" t="str">
        <f t="shared" si="25"/>
        <v/>
      </c>
      <c r="S273" s="163" t="str">
        <f t="shared" si="26"/>
        <v/>
      </c>
      <c r="T273" s="160" t="str">
        <f>IFERROR(INDEX(上年标准成本!$I:$I,MATCH(K273,上年标准成本!$C:$C,0),1),"")</f>
        <v/>
      </c>
      <c r="U273" s="126" t="str">
        <f t="shared" si="27"/>
        <v/>
      </c>
      <c r="V273" s="126" t="str">
        <f t="shared" si="28"/>
        <v/>
      </c>
      <c r="W273" s="124" t="str">
        <f t="shared" si="29"/>
        <v/>
      </c>
      <c r="X273" s="125" t="str">
        <f t="shared" si="24"/>
        <v/>
      </c>
    </row>
    <row r="274" spans="1:24" x14ac:dyDescent="0.3">
      <c r="A274" s="129"/>
      <c r="B274" s="129"/>
      <c r="C274" s="128"/>
      <c r="D274" s="128"/>
      <c r="E274" s="128"/>
      <c r="F274" s="166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6" t="str">
        <f t="shared" si="25"/>
        <v/>
      </c>
      <c r="S274" s="163" t="str">
        <f t="shared" si="26"/>
        <v/>
      </c>
      <c r="T274" s="160" t="str">
        <f>IFERROR(INDEX(上年标准成本!$I:$I,MATCH(K274,上年标准成本!$C:$C,0),1),"")</f>
        <v/>
      </c>
      <c r="U274" s="126" t="str">
        <f t="shared" si="27"/>
        <v/>
      </c>
      <c r="V274" s="126" t="str">
        <f t="shared" si="28"/>
        <v/>
      </c>
      <c r="W274" s="124" t="str">
        <f t="shared" si="29"/>
        <v/>
      </c>
      <c r="X274" s="125" t="str">
        <f t="shared" si="24"/>
        <v/>
      </c>
    </row>
    <row r="275" spans="1:24" x14ac:dyDescent="0.3">
      <c r="A275" s="129"/>
      <c r="B275" s="129"/>
      <c r="C275" s="128"/>
      <c r="D275" s="128"/>
      <c r="E275" s="128"/>
      <c r="F275" s="166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6" t="str">
        <f t="shared" si="25"/>
        <v/>
      </c>
      <c r="S275" s="163" t="str">
        <f t="shared" si="26"/>
        <v/>
      </c>
      <c r="T275" s="160" t="str">
        <f>IFERROR(INDEX(上年标准成本!$I:$I,MATCH(K275,上年标准成本!$C:$C,0),1),"")</f>
        <v/>
      </c>
      <c r="U275" s="126" t="str">
        <f t="shared" si="27"/>
        <v/>
      </c>
      <c r="V275" s="126" t="str">
        <f t="shared" si="28"/>
        <v/>
      </c>
      <c r="W275" s="124" t="str">
        <f t="shared" si="29"/>
        <v/>
      </c>
      <c r="X275" s="125" t="str">
        <f t="shared" si="24"/>
        <v/>
      </c>
    </row>
    <row r="276" spans="1:24" x14ac:dyDescent="0.3">
      <c r="A276" s="129"/>
      <c r="B276" s="129"/>
      <c r="C276" s="128"/>
      <c r="D276" s="128"/>
      <c r="E276" s="128"/>
      <c r="F276" s="166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6" t="str">
        <f t="shared" si="25"/>
        <v/>
      </c>
      <c r="S276" s="163" t="str">
        <f t="shared" si="26"/>
        <v/>
      </c>
      <c r="T276" s="160" t="str">
        <f>IFERROR(INDEX(上年标准成本!$I:$I,MATCH(K276,上年标准成本!$C:$C,0),1),"")</f>
        <v/>
      </c>
      <c r="U276" s="126" t="str">
        <f t="shared" si="27"/>
        <v/>
      </c>
      <c r="V276" s="126" t="str">
        <f t="shared" si="28"/>
        <v/>
      </c>
      <c r="W276" s="124" t="str">
        <f t="shared" si="29"/>
        <v/>
      </c>
      <c r="X276" s="125" t="str">
        <f t="shared" si="24"/>
        <v/>
      </c>
    </row>
    <row r="277" spans="1:24" x14ac:dyDescent="0.3">
      <c r="A277" s="129"/>
      <c r="B277" s="129"/>
      <c r="C277" s="128"/>
      <c r="D277" s="128"/>
      <c r="E277" s="128"/>
      <c r="F277" s="166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6" t="str">
        <f t="shared" si="25"/>
        <v/>
      </c>
      <c r="S277" s="163" t="str">
        <f t="shared" si="26"/>
        <v/>
      </c>
      <c r="T277" s="160" t="str">
        <f>IFERROR(INDEX(上年标准成本!$I:$I,MATCH(K277,上年标准成本!$C:$C,0),1),"")</f>
        <v/>
      </c>
      <c r="U277" s="126" t="str">
        <f t="shared" si="27"/>
        <v/>
      </c>
      <c r="V277" s="126" t="str">
        <f t="shared" si="28"/>
        <v/>
      </c>
      <c r="W277" s="124" t="str">
        <f t="shared" si="29"/>
        <v/>
      </c>
      <c r="X277" s="125" t="str">
        <f t="shared" si="24"/>
        <v/>
      </c>
    </row>
    <row r="278" spans="1:24" x14ac:dyDescent="0.3">
      <c r="A278" s="129"/>
      <c r="B278" s="129"/>
      <c r="C278" s="128"/>
      <c r="D278" s="128"/>
      <c r="E278" s="128"/>
      <c r="F278" s="166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6" t="str">
        <f t="shared" si="25"/>
        <v/>
      </c>
      <c r="S278" s="163" t="str">
        <f t="shared" si="26"/>
        <v/>
      </c>
      <c r="T278" s="160" t="str">
        <f>IFERROR(INDEX(上年标准成本!$I:$I,MATCH(K278,上年标准成本!$C:$C,0),1),"")</f>
        <v/>
      </c>
      <c r="U278" s="126" t="str">
        <f t="shared" si="27"/>
        <v/>
      </c>
      <c r="V278" s="126" t="str">
        <f t="shared" si="28"/>
        <v/>
      </c>
      <c r="W278" s="124" t="str">
        <f t="shared" si="29"/>
        <v/>
      </c>
      <c r="X278" s="125" t="str">
        <f t="shared" si="24"/>
        <v/>
      </c>
    </row>
    <row r="279" spans="1:24" x14ac:dyDescent="0.3">
      <c r="A279" s="129"/>
      <c r="B279" s="129"/>
      <c r="C279" s="128"/>
      <c r="D279" s="128"/>
      <c r="E279" s="128"/>
      <c r="F279" s="166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6" t="str">
        <f t="shared" si="25"/>
        <v/>
      </c>
      <c r="S279" s="163" t="str">
        <f t="shared" si="26"/>
        <v/>
      </c>
      <c r="T279" s="160" t="str">
        <f>IFERROR(INDEX(上年标准成本!$I:$I,MATCH(K279,上年标准成本!$C:$C,0),1),"")</f>
        <v/>
      </c>
      <c r="U279" s="126" t="str">
        <f t="shared" si="27"/>
        <v/>
      </c>
      <c r="V279" s="126" t="str">
        <f t="shared" si="28"/>
        <v/>
      </c>
      <c r="W279" s="124" t="str">
        <f t="shared" si="29"/>
        <v/>
      </c>
      <c r="X279" s="125" t="str">
        <f t="shared" si="24"/>
        <v/>
      </c>
    </row>
    <row r="280" spans="1:24" x14ac:dyDescent="0.3">
      <c r="A280" s="129"/>
      <c r="B280" s="129"/>
      <c r="C280" s="128"/>
      <c r="D280" s="128"/>
      <c r="E280" s="128"/>
      <c r="F280" s="166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6" t="str">
        <f t="shared" si="25"/>
        <v/>
      </c>
      <c r="S280" s="163" t="str">
        <f t="shared" si="26"/>
        <v/>
      </c>
      <c r="T280" s="160" t="str">
        <f>IFERROR(INDEX(上年标准成本!$I:$I,MATCH(K280,上年标准成本!$C:$C,0),1),"")</f>
        <v/>
      </c>
      <c r="U280" s="126" t="str">
        <f t="shared" si="27"/>
        <v/>
      </c>
      <c r="V280" s="126" t="str">
        <f t="shared" si="28"/>
        <v/>
      </c>
      <c r="W280" s="124" t="str">
        <f t="shared" si="29"/>
        <v/>
      </c>
      <c r="X280" s="125" t="str">
        <f t="shared" si="24"/>
        <v/>
      </c>
    </row>
    <row r="281" spans="1:24" x14ac:dyDescent="0.3">
      <c r="A281" s="129"/>
      <c r="B281" s="129"/>
      <c r="C281" s="128"/>
      <c r="D281" s="128"/>
      <c r="E281" s="128"/>
      <c r="F281" s="166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6" t="str">
        <f t="shared" si="25"/>
        <v/>
      </c>
      <c r="S281" s="163" t="str">
        <f t="shared" si="26"/>
        <v/>
      </c>
      <c r="T281" s="160" t="str">
        <f>IFERROR(INDEX(上年标准成本!$I:$I,MATCH(K281,上年标准成本!$C:$C,0),1),"")</f>
        <v/>
      </c>
      <c r="U281" s="126" t="str">
        <f t="shared" si="27"/>
        <v/>
      </c>
      <c r="V281" s="126" t="str">
        <f t="shared" si="28"/>
        <v/>
      </c>
      <c r="W281" s="124" t="str">
        <f t="shared" si="29"/>
        <v/>
      </c>
      <c r="X281" s="125" t="str">
        <f t="shared" si="24"/>
        <v/>
      </c>
    </row>
    <row r="282" spans="1:24" x14ac:dyDescent="0.3">
      <c r="A282" s="129"/>
      <c r="B282" s="129"/>
      <c r="C282" s="128"/>
      <c r="D282" s="128"/>
      <c r="E282" s="128"/>
      <c r="F282" s="166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6" t="str">
        <f t="shared" si="25"/>
        <v/>
      </c>
      <c r="S282" s="163" t="str">
        <f t="shared" si="26"/>
        <v/>
      </c>
      <c r="T282" s="160" t="str">
        <f>IFERROR(INDEX(上年标准成本!$I:$I,MATCH(K282,上年标准成本!$C:$C,0),1),"")</f>
        <v/>
      </c>
      <c r="U282" s="126" t="str">
        <f t="shared" si="27"/>
        <v/>
      </c>
      <c r="V282" s="126" t="str">
        <f t="shared" si="28"/>
        <v/>
      </c>
      <c r="W282" s="124" t="str">
        <f t="shared" si="29"/>
        <v/>
      </c>
      <c r="X282" s="125" t="str">
        <f t="shared" si="24"/>
        <v/>
      </c>
    </row>
    <row r="283" spans="1:24" x14ac:dyDescent="0.3">
      <c r="A283" s="129"/>
      <c r="B283" s="129"/>
      <c r="C283" s="128"/>
      <c r="D283" s="128"/>
      <c r="E283" s="128"/>
      <c r="F283" s="166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6" t="str">
        <f t="shared" si="25"/>
        <v/>
      </c>
      <c r="S283" s="163" t="str">
        <f t="shared" si="26"/>
        <v/>
      </c>
      <c r="T283" s="160" t="str">
        <f>IFERROR(INDEX(上年标准成本!$I:$I,MATCH(K283,上年标准成本!$C:$C,0),1),"")</f>
        <v/>
      </c>
      <c r="U283" s="126" t="str">
        <f t="shared" si="27"/>
        <v/>
      </c>
      <c r="V283" s="126" t="str">
        <f t="shared" si="28"/>
        <v/>
      </c>
      <c r="W283" s="124" t="str">
        <f t="shared" si="29"/>
        <v/>
      </c>
      <c r="X283" s="125" t="str">
        <f t="shared" si="24"/>
        <v/>
      </c>
    </row>
    <row r="284" spans="1:24" x14ac:dyDescent="0.3">
      <c r="A284" s="129"/>
      <c r="B284" s="129"/>
      <c r="C284" s="128"/>
      <c r="D284" s="128"/>
      <c r="E284" s="128"/>
      <c r="F284" s="166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6" t="str">
        <f t="shared" si="25"/>
        <v/>
      </c>
      <c r="S284" s="163" t="str">
        <f t="shared" si="26"/>
        <v/>
      </c>
      <c r="T284" s="160" t="str">
        <f>IFERROR(INDEX(上年标准成本!$I:$I,MATCH(K284,上年标准成本!$C:$C,0),1),"")</f>
        <v/>
      </c>
      <c r="U284" s="126" t="str">
        <f t="shared" si="27"/>
        <v/>
      </c>
      <c r="V284" s="126" t="str">
        <f t="shared" si="28"/>
        <v/>
      </c>
      <c r="W284" s="124" t="str">
        <f t="shared" si="29"/>
        <v/>
      </c>
      <c r="X284" s="125" t="str">
        <f t="shared" si="24"/>
        <v/>
      </c>
    </row>
    <row r="285" spans="1:24" x14ac:dyDescent="0.3">
      <c r="A285" s="129"/>
      <c r="B285" s="129"/>
      <c r="C285" s="128"/>
      <c r="D285" s="128"/>
      <c r="E285" s="128"/>
      <c r="F285" s="166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6" t="str">
        <f t="shared" si="25"/>
        <v/>
      </c>
      <c r="S285" s="163" t="str">
        <f t="shared" si="26"/>
        <v/>
      </c>
      <c r="T285" s="160" t="str">
        <f>IFERROR(INDEX(上年标准成本!$I:$I,MATCH(K285,上年标准成本!$C:$C,0),1),"")</f>
        <v/>
      </c>
      <c r="U285" s="126" t="str">
        <f t="shared" si="27"/>
        <v/>
      </c>
      <c r="V285" s="126" t="str">
        <f t="shared" si="28"/>
        <v/>
      </c>
      <c r="W285" s="124" t="str">
        <f t="shared" si="29"/>
        <v/>
      </c>
      <c r="X285" s="125" t="str">
        <f t="shared" si="24"/>
        <v/>
      </c>
    </row>
    <row r="286" spans="1:24" x14ac:dyDescent="0.3">
      <c r="A286" s="129"/>
      <c r="B286" s="129"/>
      <c r="C286" s="128"/>
      <c r="D286" s="128"/>
      <c r="E286" s="128"/>
      <c r="F286" s="166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6" t="str">
        <f t="shared" si="25"/>
        <v/>
      </c>
      <c r="S286" s="163" t="str">
        <f t="shared" si="26"/>
        <v/>
      </c>
      <c r="T286" s="160" t="str">
        <f>IFERROR(INDEX(上年标准成本!$I:$I,MATCH(K286,上年标准成本!$C:$C,0),1),"")</f>
        <v/>
      </c>
      <c r="U286" s="126" t="str">
        <f t="shared" si="27"/>
        <v/>
      </c>
      <c r="V286" s="126" t="str">
        <f t="shared" si="28"/>
        <v/>
      </c>
      <c r="W286" s="124" t="str">
        <f t="shared" si="29"/>
        <v/>
      </c>
      <c r="X286" s="125" t="str">
        <f t="shared" si="24"/>
        <v/>
      </c>
    </row>
    <row r="287" spans="1:24" x14ac:dyDescent="0.3">
      <c r="A287" s="129"/>
      <c r="B287" s="129"/>
      <c r="C287" s="128"/>
      <c r="D287" s="128"/>
      <c r="E287" s="128"/>
      <c r="F287" s="166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6" t="str">
        <f t="shared" si="25"/>
        <v/>
      </c>
      <c r="S287" s="163" t="str">
        <f t="shared" si="26"/>
        <v/>
      </c>
      <c r="T287" s="160" t="str">
        <f>IFERROR(INDEX(上年标准成本!$I:$I,MATCH(K287,上年标准成本!$C:$C,0),1),"")</f>
        <v/>
      </c>
      <c r="U287" s="126" t="str">
        <f t="shared" si="27"/>
        <v/>
      </c>
      <c r="V287" s="126" t="str">
        <f t="shared" si="28"/>
        <v/>
      </c>
      <c r="W287" s="124" t="str">
        <f t="shared" si="29"/>
        <v/>
      </c>
      <c r="X287" s="125" t="str">
        <f t="shared" si="24"/>
        <v/>
      </c>
    </row>
    <row r="288" spans="1:24" x14ac:dyDescent="0.3">
      <c r="A288" s="129"/>
      <c r="B288" s="129"/>
      <c r="C288" s="128"/>
      <c r="D288" s="128"/>
      <c r="E288" s="128"/>
      <c r="F288" s="166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6" t="str">
        <f t="shared" si="25"/>
        <v/>
      </c>
      <c r="S288" s="163" t="str">
        <f t="shared" si="26"/>
        <v/>
      </c>
      <c r="T288" s="160" t="str">
        <f>IFERROR(INDEX(上年标准成本!$I:$I,MATCH(K288,上年标准成本!$C:$C,0),1),"")</f>
        <v/>
      </c>
      <c r="U288" s="126" t="str">
        <f t="shared" si="27"/>
        <v/>
      </c>
      <c r="V288" s="126" t="str">
        <f t="shared" si="28"/>
        <v/>
      </c>
      <c r="W288" s="124" t="str">
        <f t="shared" si="29"/>
        <v/>
      </c>
      <c r="X288" s="125" t="str">
        <f t="shared" si="24"/>
        <v/>
      </c>
    </row>
    <row r="289" spans="1:24" x14ac:dyDescent="0.3">
      <c r="A289" s="129"/>
      <c r="B289" s="129"/>
      <c r="C289" s="128"/>
      <c r="D289" s="128"/>
      <c r="E289" s="128"/>
      <c r="F289" s="166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6" t="str">
        <f t="shared" si="25"/>
        <v/>
      </c>
      <c r="S289" s="163" t="str">
        <f t="shared" si="26"/>
        <v/>
      </c>
      <c r="T289" s="160" t="str">
        <f>IFERROR(INDEX(上年标准成本!$I:$I,MATCH(K289,上年标准成本!$C:$C,0),1),"")</f>
        <v/>
      </c>
      <c r="U289" s="126" t="str">
        <f t="shared" si="27"/>
        <v/>
      </c>
      <c r="V289" s="126" t="str">
        <f t="shared" si="28"/>
        <v/>
      </c>
      <c r="W289" s="124" t="str">
        <f t="shared" si="29"/>
        <v/>
      </c>
      <c r="X289" s="125" t="str">
        <f t="shared" si="24"/>
        <v/>
      </c>
    </row>
    <row r="290" spans="1:24" x14ac:dyDescent="0.3">
      <c r="A290" s="129"/>
      <c r="B290" s="129"/>
      <c r="C290" s="128"/>
      <c r="D290" s="128"/>
      <c r="E290" s="128"/>
      <c r="F290" s="166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6" t="str">
        <f t="shared" si="25"/>
        <v/>
      </c>
      <c r="S290" s="163" t="str">
        <f t="shared" si="26"/>
        <v/>
      </c>
      <c r="T290" s="160" t="str">
        <f>IFERROR(INDEX(上年标准成本!$I:$I,MATCH(K290,上年标准成本!$C:$C,0),1),"")</f>
        <v/>
      </c>
      <c r="U290" s="126" t="str">
        <f t="shared" si="27"/>
        <v/>
      </c>
      <c r="V290" s="126" t="str">
        <f t="shared" si="28"/>
        <v/>
      </c>
      <c r="W290" s="124" t="str">
        <f t="shared" si="29"/>
        <v/>
      </c>
      <c r="X290" s="125" t="str">
        <f t="shared" si="24"/>
        <v/>
      </c>
    </row>
    <row r="291" spans="1:24" x14ac:dyDescent="0.3">
      <c r="A291" s="129"/>
      <c r="B291" s="129"/>
      <c r="C291" s="128"/>
      <c r="D291" s="128"/>
      <c r="E291" s="128"/>
      <c r="F291" s="166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6" t="str">
        <f t="shared" si="25"/>
        <v/>
      </c>
      <c r="S291" s="163" t="str">
        <f t="shared" si="26"/>
        <v/>
      </c>
      <c r="T291" s="160" t="str">
        <f>IFERROR(INDEX(上年标准成本!$I:$I,MATCH(K291,上年标准成本!$C:$C,0),1),"")</f>
        <v/>
      </c>
      <c r="U291" s="126" t="str">
        <f t="shared" si="27"/>
        <v/>
      </c>
      <c r="V291" s="126" t="str">
        <f t="shared" si="28"/>
        <v/>
      </c>
      <c r="W291" s="124" t="str">
        <f t="shared" si="29"/>
        <v/>
      </c>
      <c r="X291" s="125" t="str">
        <f t="shared" si="24"/>
        <v/>
      </c>
    </row>
    <row r="292" spans="1:24" x14ac:dyDescent="0.3">
      <c r="A292" s="129"/>
      <c r="B292" s="129"/>
      <c r="C292" s="128"/>
      <c r="D292" s="128"/>
      <c r="E292" s="128"/>
      <c r="F292" s="166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6" t="str">
        <f t="shared" si="25"/>
        <v/>
      </c>
      <c r="S292" s="163" t="str">
        <f t="shared" si="26"/>
        <v/>
      </c>
      <c r="T292" s="160" t="str">
        <f>IFERROR(INDEX(上年标准成本!$I:$I,MATCH(K292,上年标准成本!$C:$C,0),1),"")</f>
        <v/>
      </c>
      <c r="U292" s="126" t="str">
        <f t="shared" si="27"/>
        <v/>
      </c>
      <c r="V292" s="126" t="str">
        <f t="shared" si="28"/>
        <v/>
      </c>
      <c r="W292" s="124" t="str">
        <f t="shared" si="29"/>
        <v/>
      </c>
      <c r="X292" s="125" t="str">
        <f t="shared" si="24"/>
        <v/>
      </c>
    </row>
    <row r="293" spans="1:24" x14ac:dyDescent="0.3">
      <c r="A293" s="129"/>
      <c r="B293" s="129"/>
      <c r="C293" s="128"/>
      <c r="D293" s="128"/>
      <c r="E293" s="128"/>
      <c r="F293" s="166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6" t="str">
        <f t="shared" si="25"/>
        <v/>
      </c>
      <c r="S293" s="163" t="str">
        <f t="shared" si="26"/>
        <v/>
      </c>
      <c r="T293" s="160" t="str">
        <f>IFERROR(INDEX(上年标准成本!$I:$I,MATCH(K293,上年标准成本!$C:$C,0),1),"")</f>
        <v/>
      </c>
      <c r="U293" s="126" t="str">
        <f t="shared" si="27"/>
        <v/>
      </c>
      <c r="V293" s="126" t="str">
        <f t="shared" si="28"/>
        <v/>
      </c>
      <c r="W293" s="124" t="str">
        <f t="shared" si="29"/>
        <v/>
      </c>
      <c r="X293" s="125" t="str">
        <f t="shared" si="24"/>
        <v/>
      </c>
    </row>
    <row r="294" spans="1:24" x14ac:dyDescent="0.3">
      <c r="A294" s="129"/>
      <c r="B294" s="129"/>
      <c r="C294" s="128"/>
      <c r="D294" s="128"/>
      <c r="E294" s="128"/>
      <c r="F294" s="166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6" t="str">
        <f t="shared" si="25"/>
        <v/>
      </c>
      <c r="S294" s="163" t="str">
        <f t="shared" si="26"/>
        <v/>
      </c>
      <c r="T294" s="160" t="str">
        <f>IFERROR(INDEX(上年标准成本!$I:$I,MATCH(K294,上年标准成本!$C:$C,0),1),"")</f>
        <v/>
      </c>
      <c r="U294" s="126" t="str">
        <f t="shared" si="27"/>
        <v/>
      </c>
      <c r="V294" s="126" t="str">
        <f t="shared" si="28"/>
        <v/>
      </c>
      <c r="W294" s="124" t="str">
        <f t="shared" si="29"/>
        <v/>
      </c>
      <c r="X294" s="125" t="str">
        <f t="shared" si="24"/>
        <v/>
      </c>
    </row>
    <row r="295" spans="1:24" x14ac:dyDescent="0.3">
      <c r="A295" s="129"/>
      <c r="B295" s="129"/>
      <c r="C295" s="128"/>
      <c r="D295" s="128"/>
      <c r="E295" s="128"/>
      <c r="F295" s="166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6" t="str">
        <f t="shared" si="25"/>
        <v/>
      </c>
      <c r="S295" s="163" t="str">
        <f t="shared" si="26"/>
        <v/>
      </c>
      <c r="T295" s="160" t="str">
        <f>IFERROR(INDEX(上年标准成本!$I:$I,MATCH(K295,上年标准成本!$C:$C,0),1),"")</f>
        <v/>
      </c>
      <c r="U295" s="126" t="str">
        <f t="shared" si="27"/>
        <v/>
      </c>
      <c r="V295" s="126" t="str">
        <f t="shared" si="28"/>
        <v/>
      </c>
      <c r="W295" s="124" t="str">
        <f t="shared" si="29"/>
        <v/>
      </c>
      <c r="X295" s="125" t="str">
        <f t="shared" si="24"/>
        <v/>
      </c>
    </row>
    <row r="296" spans="1:24" x14ac:dyDescent="0.3">
      <c r="A296" s="129"/>
      <c r="B296" s="129"/>
      <c r="C296" s="128"/>
      <c r="D296" s="128"/>
      <c r="E296" s="128"/>
      <c r="F296" s="166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6" t="str">
        <f t="shared" si="25"/>
        <v/>
      </c>
      <c r="S296" s="163" t="str">
        <f t="shared" si="26"/>
        <v/>
      </c>
      <c r="T296" s="160" t="str">
        <f>IFERROR(INDEX(上年标准成本!$I:$I,MATCH(K296,上年标准成本!$C:$C,0),1),"")</f>
        <v/>
      </c>
      <c r="U296" s="126" t="str">
        <f t="shared" si="27"/>
        <v/>
      </c>
      <c r="V296" s="126" t="str">
        <f t="shared" si="28"/>
        <v/>
      </c>
      <c r="W296" s="124" t="str">
        <f t="shared" si="29"/>
        <v/>
      </c>
      <c r="X296" s="125" t="str">
        <f t="shared" si="24"/>
        <v/>
      </c>
    </row>
    <row r="297" spans="1:24" x14ac:dyDescent="0.3">
      <c r="A297" s="129"/>
      <c r="B297" s="129"/>
      <c r="C297" s="128"/>
      <c r="D297" s="128"/>
      <c r="E297" s="128"/>
      <c r="F297" s="166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6" t="str">
        <f t="shared" si="25"/>
        <v/>
      </c>
      <c r="S297" s="163" t="str">
        <f t="shared" si="26"/>
        <v/>
      </c>
      <c r="T297" s="160" t="str">
        <f>IFERROR(INDEX(上年标准成本!$I:$I,MATCH(K297,上年标准成本!$C:$C,0),1),"")</f>
        <v/>
      </c>
      <c r="U297" s="126" t="str">
        <f t="shared" si="27"/>
        <v/>
      </c>
      <c r="V297" s="126" t="str">
        <f t="shared" si="28"/>
        <v/>
      </c>
      <c r="W297" s="124" t="str">
        <f t="shared" si="29"/>
        <v/>
      </c>
      <c r="X297" s="125" t="str">
        <f t="shared" si="24"/>
        <v/>
      </c>
    </row>
    <row r="298" spans="1:24" x14ac:dyDescent="0.3">
      <c r="A298" s="129"/>
      <c r="B298" s="129"/>
      <c r="C298" s="128"/>
      <c r="D298" s="128"/>
      <c r="E298" s="128"/>
      <c r="F298" s="166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6" t="str">
        <f t="shared" si="25"/>
        <v/>
      </c>
      <c r="S298" s="163" t="str">
        <f t="shared" si="26"/>
        <v/>
      </c>
      <c r="T298" s="160" t="str">
        <f>IFERROR(INDEX(上年标准成本!$I:$I,MATCH(K298,上年标准成本!$C:$C,0),1),"")</f>
        <v/>
      </c>
      <c r="U298" s="126" t="str">
        <f t="shared" si="27"/>
        <v/>
      </c>
      <c r="V298" s="126" t="str">
        <f t="shared" si="28"/>
        <v/>
      </c>
      <c r="W298" s="124" t="str">
        <f t="shared" si="29"/>
        <v/>
      </c>
      <c r="X298" s="125" t="str">
        <f t="shared" si="24"/>
        <v/>
      </c>
    </row>
    <row r="299" spans="1:24" x14ac:dyDescent="0.3">
      <c r="A299" s="129"/>
      <c r="B299" s="129"/>
      <c r="C299" s="128"/>
      <c r="D299" s="128"/>
      <c r="E299" s="128"/>
      <c r="F299" s="166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6" t="str">
        <f t="shared" si="25"/>
        <v/>
      </c>
      <c r="S299" s="163" t="str">
        <f t="shared" si="26"/>
        <v/>
      </c>
      <c r="T299" s="160" t="str">
        <f>IFERROR(INDEX(上年标准成本!$I:$I,MATCH(K299,上年标准成本!$C:$C,0),1),"")</f>
        <v/>
      </c>
      <c r="U299" s="126" t="str">
        <f t="shared" si="27"/>
        <v/>
      </c>
      <c r="V299" s="126" t="str">
        <f t="shared" si="28"/>
        <v/>
      </c>
      <c r="W299" s="124" t="str">
        <f t="shared" si="29"/>
        <v/>
      </c>
      <c r="X299" s="125" t="str">
        <f t="shared" si="24"/>
        <v/>
      </c>
    </row>
    <row r="300" spans="1:24" x14ac:dyDescent="0.3">
      <c r="A300" s="129"/>
      <c r="B300" s="129"/>
      <c r="C300" s="128"/>
      <c r="D300" s="128"/>
      <c r="E300" s="128"/>
      <c r="F300" s="166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6" t="str">
        <f t="shared" si="25"/>
        <v/>
      </c>
      <c r="S300" s="163" t="str">
        <f t="shared" si="26"/>
        <v/>
      </c>
      <c r="T300" s="160" t="str">
        <f>IFERROR(INDEX(上年标准成本!$I:$I,MATCH(K300,上年标准成本!$C:$C,0),1),"")</f>
        <v/>
      </c>
      <c r="U300" s="126" t="str">
        <f t="shared" si="27"/>
        <v/>
      </c>
      <c r="V300" s="126" t="str">
        <f t="shared" si="28"/>
        <v/>
      </c>
      <c r="W300" s="124" t="str">
        <f t="shared" si="29"/>
        <v/>
      </c>
      <c r="X300" s="125" t="str">
        <f t="shared" si="24"/>
        <v/>
      </c>
    </row>
    <row r="301" spans="1:24" x14ac:dyDescent="0.3">
      <c r="A301" s="129"/>
      <c r="B301" s="129"/>
      <c r="C301" s="128"/>
      <c r="D301" s="128"/>
      <c r="E301" s="128"/>
      <c r="F301" s="166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6" t="str">
        <f t="shared" si="25"/>
        <v/>
      </c>
      <c r="S301" s="163" t="str">
        <f t="shared" si="26"/>
        <v/>
      </c>
      <c r="T301" s="160" t="str">
        <f>IFERROR(INDEX(上年标准成本!$I:$I,MATCH(K301,上年标准成本!$C:$C,0),1),"")</f>
        <v/>
      </c>
      <c r="U301" s="126" t="str">
        <f t="shared" si="27"/>
        <v/>
      </c>
      <c r="V301" s="126" t="str">
        <f t="shared" si="28"/>
        <v/>
      </c>
      <c r="W301" s="124" t="str">
        <f t="shared" si="29"/>
        <v/>
      </c>
      <c r="X301" s="125" t="str">
        <f t="shared" si="24"/>
        <v/>
      </c>
    </row>
    <row r="302" spans="1:24" x14ac:dyDescent="0.3">
      <c r="A302" s="129"/>
      <c r="B302" s="129"/>
      <c r="C302" s="128"/>
      <c r="D302" s="128"/>
      <c r="E302" s="128"/>
      <c r="F302" s="166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6" t="str">
        <f t="shared" si="25"/>
        <v/>
      </c>
      <c r="S302" s="163" t="str">
        <f t="shared" si="26"/>
        <v/>
      </c>
      <c r="T302" s="160" t="str">
        <f>IFERROR(INDEX(上年标准成本!$I:$I,MATCH(K302,上年标准成本!$C:$C,0),1),"")</f>
        <v/>
      </c>
      <c r="U302" s="126" t="str">
        <f t="shared" si="27"/>
        <v/>
      </c>
      <c r="V302" s="126" t="str">
        <f t="shared" si="28"/>
        <v/>
      </c>
      <c r="W302" s="124" t="str">
        <f t="shared" si="29"/>
        <v/>
      </c>
      <c r="X302" s="125" t="str">
        <f t="shared" si="24"/>
        <v/>
      </c>
    </row>
    <row r="303" spans="1:24" x14ac:dyDescent="0.3">
      <c r="A303" s="129"/>
      <c r="B303" s="129"/>
      <c r="C303" s="128"/>
      <c r="D303" s="128"/>
      <c r="E303" s="128"/>
      <c r="F303" s="166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6" t="str">
        <f t="shared" si="25"/>
        <v/>
      </c>
      <c r="S303" s="163" t="str">
        <f t="shared" si="26"/>
        <v/>
      </c>
      <c r="T303" s="160" t="str">
        <f>IFERROR(INDEX(上年标准成本!$I:$I,MATCH(K303,上年标准成本!$C:$C,0),1),"")</f>
        <v/>
      </c>
      <c r="U303" s="126" t="str">
        <f t="shared" si="27"/>
        <v/>
      </c>
      <c r="V303" s="126" t="str">
        <f t="shared" si="28"/>
        <v/>
      </c>
      <c r="W303" s="124" t="str">
        <f t="shared" si="29"/>
        <v/>
      </c>
      <c r="X303" s="125" t="str">
        <f t="shared" si="24"/>
        <v/>
      </c>
    </row>
    <row r="304" spans="1:24" x14ac:dyDescent="0.3">
      <c r="A304" s="129"/>
      <c r="B304" s="129"/>
      <c r="C304" s="128"/>
      <c r="D304" s="128"/>
      <c r="E304" s="128"/>
      <c r="F304" s="166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6" t="str">
        <f t="shared" si="25"/>
        <v/>
      </c>
      <c r="S304" s="163" t="str">
        <f t="shared" si="26"/>
        <v/>
      </c>
      <c r="T304" s="160" t="str">
        <f>IFERROR(INDEX(上年标准成本!$I:$I,MATCH(K304,上年标准成本!$C:$C,0),1),"")</f>
        <v/>
      </c>
      <c r="U304" s="126" t="str">
        <f t="shared" si="27"/>
        <v/>
      </c>
      <c r="V304" s="126" t="str">
        <f t="shared" si="28"/>
        <v/>
      </c>
      <c r="W304" s="124" t="str">
        <f t="shared" si="29"/>
        <v/>
      </c>
      <c r="X304" s="125" t="str">
        <f t="shared" si="24"/>
        <v/>
      </c>
    </row>
    <row r="305" spans="1:24" x14ac:dyDescent="0.3">
      <c r="A305" s="129"/>
      <c r="B305" s="129"/>
      <c r="C305" s="128"/>
      <c r="D305" s="128"/>
      <c r="E305" s="128"/>
      <c r="F305" s="166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6" t="str">
        <f t="shared" si="25"/>
        <v/>
      </c>
      <c r="S305" s="163" t="str">
        <f t="shared" si="26"/>
        <v/>
      </c>
      <c r="T305" s="160" t="str">
        <f>IFERROR(INDEX(上年标准成本!$I:$I,MATCH(K305,上年标准成本!$C:$C,0),1),"")</f>
        <v/>
      </c>
      <c r="U305" s="126" t="str">
        <f t="shared" si="27"/>
        <v/>
      </c>
      <c r="V305" s="126" t="str">
        <f t="shared" si="28"/>
        <v/>
      </c>
      <c r="W305" s="124" t="str">
        <f t="shared" si="29"/>
        <v/>
      </c>
      <c r="X305" s="125" t="str">
        <f t="shared" si="24"/>
        <v/>
      </c>
    </row>
    <row r="306" spans="1:24" x14ac:dyDescent="0.3">
      <c r="A306" s="129"/>
      <c r="B306" s="129"/>
      <c r="C306" s="128"/>
      <c r="D306" s="128"/>
      <c r="E306" s="128"/>
      <c r="F306" s="166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6" t="str">
        <f t="shared" si="25"/>
        <v/>
      </c>
      <c r="S306" s="163" t="str">
        <f t="shared" si="26"/>
        <v/>
      </c>
      <c r="T306" s="160" t="str">
        <f>IFERROR(INDEX(上年标准成本!$I:$I,MATCH(K306,上年标准成本!$C:$C,0),1),"")</f>
        <v/>
      </c>
      <c r="U306" s="126" t="str">
        <f t="shared" si="27"/>
        <v/>
      </c>
      <c r="V306" s="126" t="str">
        <f t="shared" si="28"/>
        <v/>
      </c>
      <c r="W306" s="124" t="str">
        <f t="shared" si="29"/>
        <v/>
      </c>
      <c r="X306" s="125" t="str">
        <f t="shared" si="24"/>
        <v/>
      </c>
    </row>
    <row r="307" spans="1:24" x14ac:dyDescent="0.3">
      <c r="A307" s="129"/>
      <c r="B307" s="129"/>
      <c r="C307" s="128"/>
      <c r="D307" s="128"/>
      <c r="E307" s="128"/>
      <c r="F307" s="166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6" t="str">
        <f t="shared" si="25"/>
        <v/>
      </c>
      <c r="S307" s="163" t="str">
        <f t="shared" si="26"/>
        <v/>
      </c>
      <c r="T307" s="160" t="str">
        <f>IFERROR(INDEX(上年标准成本!$I:$I,MATCH(K307,上年标准成本!$C:$C,0),1),"")</f>
        <v/>
      </c>
      <c r="U307" s="126" t="str">
        <f t="shared" si="27"/>
        <v/>
      </c>
      <c r="V307" s="126" t="str">
        <f t="shared" si="28"/>
        <v/>
      </c>
      <c r="W307" s="124" t="str">
        <f t="shared" si="29"/>
        <v/>
      </c>
      <c r="X307" s="125" t="str">
        <f t="shared" si="24"/>
        <v/>
      </c>
    </row>
    <row r="308" spans="1:24" x14ac:dyDescent="0.3">
      <c r="A308" s="129"/>
      <c r="B308" s="129"/>
      <c r="C308" s="128"/>
      <c r="D308" s="128"/>
      <c r="E308" s="128"/>
      <c r="F308" s="166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6" t="str">
        <f t="shared" si="25"/>
        <v/>
      </c>
      <c r="S308" s="163" t="str">
        <f t="shared" si="26"/>
        <v/>
      </c>
      <c r="T308" s="160" t="str">
        <f>IFERROR(INDEX(上年标准成本!$I:$I,MATCH(K308,上年标准成本!$C:$C,0),1),"")</f>
        <v/>
      </c>
      <c r="U308" s="126" t="str">
        <f t="shared" si="27"/>
        <v/>
      </c>
      <c r="V308" s="126" t="str">
        <f t="shared" si="28"/>
        <v/>
      </c>
      <c r="W308" s="124" t="str">
        <f t="shared" si="29"/>
        <v/>
      </c>
      <c r="X308" s="125" t="str">
        <f t="shared" si="24"/>
        <v/>
      </c>
    </row>
    <row r="309" spans="1:24" x14ac:dyDescent="0.3">
      <c r="A309" s="129"/>
      <c r="B309" s="129"/>
      <c r="C309" s="128"/>
      <c r="D309" s="128"/>
      <c r="E309" s="128"/>
      <c r="F309" s="166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6" t="str">
        <f t="shared" si="25"/>
        <v/>
      </c>
      <c r="S309" s="163" t="str">
        <f t="shared" si="26"/>
        <v/>
      </c>
      <c r="T309" s="160" t="str">
        <f>IFERROR(INDEX(上年标准成本!$I:$I,MATCH(K309,上年标准成本!$C:$C,0),1),"")</f>
        <v/>
      </c>
      <c r="U309" s="126" t="str">
        <f t="shared" si="27"/>
        <v/>
      </c>
      <c r="V309" s="126" t="str">
        <f t="shared" si="28"/>
        <v/>
      </c>
      <c r="W309" s="124" t="str">
        <f t="shared" si="29"/>
        <v/>
      </c>
      <c r="X309" s="125" t="str">
        <f t="shared" si="24"/>
        <v/>
      </c>
    </row>
    <row r="310" spans="1:24" x14ac:dyDescent="0.3">
      <c r="A310" s="129"/>
      <c r="B310" s="129"/>
      <c r="C310" s="128"/>
      <c r="D310" s="128"/>
      <c r="E310" s="128"/>
      <c r="F310" s="166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6" t="str">
        <f t="shared" si="25"/>
        <v/>
      </c>
      <c r="S310" s="163" t="str">
        <f t="shared" si="26"/>
        <v/>
      </c>
      <c r="T310" s="160" t="str">
        <f>IFERROR(INDEX(上年标准成本!$I:$I,MATCH(K310,上年标准成本!$C:$C,0),1),"")</f>
        <v/>
      </c>
      <c r="U310" s="126" t="str">
        <f t="shared" si="27"/>
        <v/>
      </c>
      <c r="V310" s="126" t="str">
        <f t="shared" si="28"/>
        <v/>
      </c>
      <c r="W310" s="124" t="str">
        <f t="shared" si="29"/>
        <v/>
      </c>
      <c r="X310" s="125" t="str">
        <f t="shared" si="24"/>
        <v/>
      </c>
    </row>
    <row r="311" spans="1:24" x14ac:dyDescent="0.3">
      <c r="A311" s="129"/>
      <c r="B311" s="129"/>
      <c r="C311" s="128"/>
      <c r="D311" s="128"/>
      <c r="E311" s="128"/>
      <c r="F311" s="166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6" t="str">
        <f t="shared" si="25"/>
        <v/>
      </c>
      <c r="S311" s="163" t="str">
        <f t="shared" si="26"/>
        <v/>
      </c>
      <c r="T311" s="160" t="str">
        <f>IFERROR(INDEX(上年标准成本!$I:$I,MATCH(K311,上年标准成本!$C:$C,0),1),"")</f>
        <v/>
      </c>
      <c r="U311" s="126" t="str">
        <f t="shared" si="27"/>
        <v/>
      </c>
      <c r="V311" s="126" t="str">
        <f t="shared" si="28"/>
        <v/>
      </c>
      <c r="W311" s="124" t="str">
        <f t="shared" si="29"/>
        <v/>
      </c>
      <c r="X311" s="125" t="str">
        <f t="shared" si="24"/>
        <v/>
      </c>
    </row>
    <row r="312" spans="1:24" x14ac:dyDescent="0.3">
      <c r="A312" s="129"/>
      <c r="B312" s="129"/>
      <c r="C312" s="128"/>
      <c r="D312" s="128"/>
      <c r="E312" s="128"/>
      <c r="F312" s="166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6" t="str">
        <f t="shared" si="25"/>
        <v/>
      </c>
      <c r="S312" s="163" t="str">
        <f t="shared" si="26"/>
        <v/>
      </c>
      <c r="T312" s="160" t="str">
        <f>IFERROR(INDEX(上年标准成本!$I:$I,MATCH(K312,上年标准成本!$C:$C,0),1),"")</f>
        <v/>
      </c>
      <c r="U312" s="126" t="str">
        <f t="shared" si="27"/>
        <v/>
      </c>
      <c r="V312" s="126" t="str">
        <f t="shared" si="28"/>
        <v/>
      </c>
      <c r="W312" s="124" t="str">
        <f t="shared" si="29"/>
        <v/>
      </c>
      <c r="X312" s="125" t="str">
        <f t="shared" si="24"/>
        <v/>
      </c>
    </row>
    <row r="313" spans="1:24" x14ac:dyDescent="0.3">
      <c r="A313" s="129"/>
      <c r="B313" s="129"/>
      <c r="C313" s="128"/>
      <c r="D313" s="128"/>
      <c r="E313" s="128"/>
      <c r="F313" s="166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6" t="str">
        <f t="shared" si="25"/>
        <v/>
      </c>
      <c r="S313" s="163" t="str">
        <f t="shared" si="26"/>
        <v/>
      </c>
      <c r="T313" s="160" t="str">
        <f>IFERROR(INDEX(上年标准成本!$I:$I,MATCH(K313,上年标准成本!$C:$C,0),1),"")</f>
        <v/>
      </c>
      <c r="U313" s="126" t="str">
        <f t="shared" si="27"/>
        <v/>
      </c>
      <c r="V313" s="126" t="str">
        <f t="shared" si="28"/>
        <v/>
      </c>
      <c r="W313" s="124" t="str">
        <f t="shared" si="29"/>
        <v/>
      </c>
      <c r="X313" s="125" t="str">
        <f t="shared" si="24"/>
        <v/>
      </c>
    </row>
    <row r="314" spans="1:24" x14ac:dyDescent="0.3">
      <c r="A314" s="129"/>
      <c r="B314" s="129"/>
      <c r="C314" s="128"/>
      <c r="D314" s="128"/>
      <c r="E314" s="128"/>
      <c r="F314" s="166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6" t="str">
        <f t="shared" si="25"/>
        <v/>
      </c>
      <c r="S314" s="163" t="str">
        <f t="shared" si="26"/>
        <v/>
      </c>
      <c r="T314" s="160" t="str">
        <f>IFERROR(INDEX(上年标准成本!$I:$I,MATCH(K314,上年标准成本!$C:$C,0),1),"")</f>
        <v/>
      </c>
      <c r="U314" s="126" t="str">
        <f t="shared" si="27"/>
        <v/>
      </c>
      <c r="V314" s="126" t="str">
        <f t="shared" si="28"/>
        <v/>
      </c>
      <c r="W314" s="124" t="str">
        <f t="shared" si="29"/>
        <v/>
      </c>
      <c r="X314" s="125" t="str">
        <f t="shared" si="24"/>
        <v/>
      </c>
    </row>
    <row r="315" spans="1:24" x14ac:dyDescent="0.3">
      <c r="A315" s="129"/>
      <c r="B315" s="129"/>
      <c r="C315" s="128"/>
      <c r="D315" s="128"/>
      <c r="E315" s="128"/>
      <c r="F315" s="166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6" t="str">
        <f t="shared" si="25"/>
        <v/>
      </c>
      <c r="S315" s="163" t="str">
        <f t="shared" si="26"/>
        <v/>
      </c>
      <c r="T315" s="160" t="str">
        <f>IFERROR(INDEX(上年标准成本!$I:$I,MATCH(K315,上年标准成本!$C:$C,0),1),"")</f>
        <v/>
      </c>
      <c r="U315" s="126" t="str">
        <f t="shared" si="27"/>
        <v/>
      </c>
      <c r="V315" s="126" t="str">
        <f t="shared" si="28"/>
        <v/>
      </c>
      <c r="W315" s="124" t="str">
        <f t="shared" si="29"/>
        <v/>
      </c>
      <c r="X315" s="125" t="str">
        <f t="shared" si="24"/>
        <v/>
      </c>
    </row>
    <row r="316" spans="1:24" x14ac:dyDescent="0.3">
      <c r="A316" s="129"/>
      <c r="B316" s="129"/>
      <c r="C316" s="128"/>
      <c r="D316" s="128"/>
      <c r="E316" s="128"/>
      <c r="F316" s="166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6" t="str">
        <f t="shared" si="25"/>
        <v/>
      </c>
      <c r="S316" s="163" t="str">
        <f t="shared" si="26"/>
        <v/>
      </c>
      <c r="T316" s="160" t="str">
        <f>IFERROR(INDEX(上年标准成本!$I:$I,MATCH(K316,上年标准成本!$C:$C,0),1),"")</f>
        <v/>
      </c>
      <c r="U316" s="126" t="str">
        <f t="shared" si="27"/>
        <v/>
      </c>
      <c r="V316" s="126" t="str">
        <f t="shared" si="28"/>
        <v/>
      </c>
      <c r="W316" s="124" t="str">
        <f t="shared" si="29"/>
        <v/>
      </c>
      <c r="X316" s="125" t="str">
        <f t="shared" si="24"/>
        <v/>
      </c>
    </row>
    <row r="317" spans="1:24" x14ac:dyDescent="0.3">
      <c r="A317" s="129"/>
      <c r="B317" s="129"/>
      <c r="C317" s="128"/>
      <c r="D317" s="128"/>
      <c r="E317" s="128"/>
      <c r="F317" s="166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6" t="str">
        <f t="shared" si="25"/>
        <v/>
      </c>
      <c r="S317" s="163" t="str">
        <f t="shared" si="26"/>
        <v/>
      </c>
      <c r="T317" s="160" t="str">
        <f>IFERROR(INDEX(上年标准成本!$I:$I,MATCH(K317,上年标准成本!$C:$C,0),1),"")</f>
        <v/>
      </c>
      <c r="U317" s="126" t="str">
        <f t="shared" si="27"/>
        <v/>
      </c>
      <c r="V317" s="126" t="str">
        <f t="shared" si="28"/>
        <v/>
      </c>
      <c r="W317" s="124" t="str">
        <f t="shared" si="29"/>
        <v/>
      </c>
      <c r="X317" s="125" t="str">
        <f t="shared" si="24"/>
        <v/>
      </c>
    </row>
    <row r="318" spans="1:24" x14ac:dyDescent="0.3">
      <c r="A318" s="129"/>
      <c r="B318" s="129"/>
      <c r="C318" s="128"/>
      <c r="D318" s="128"/>
      <c r="E318" s="128"/>
      <c r="F318" s="166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6" t="str">
        <f t="shared" si="25"/>
        <v/>
      </c>
      <c r="S318" s="163" t="str">
        <f t="shared" si="26"/>
        <v/>
      </c>
      <c r="T318" s="160" t="str">
        <f>IFERROR(INDEX(上年标准成本!$I:$I,MATCH(K318,上年标准成本!$C:$C,0),1),"")</f>
        <v/>
      </c>
      <c r="U318" s="126" t="str">
        <f t="shared" si="27"/>
        <v/>
      </c>
      <c r="V318" s="126" t="str">
        <f t="shared" si="28"/>
        <v/>
      </c>
      <c r="W318" s="124" t="str">
        <f t="shared" si="29"/>
        <v/>
      </c>
      <c r="X318" s="125" t="str">
        <f t="shared" si="24"/>
        <v/>
      </c>
    </row>
    <row r="319" spans="1:24" x14ac:dyDescent="0.3">
      <c r="A319" s="129"/>
      <c r="B319" s="129"/>
      <c r="C319" s="128"/>
      <c r="D319" s="128"/>
      <c r="E319" s="128"/>
      <c r="F319" s="166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6" t="str">
        <f t="shared" si="25"/>
        <v/>
      </c>
      <c r="S319" s="163" t="str">
        <f t="shared" si="26"/>
        <v/>
      </c>
      <c r="T319" s="160" t="str">
        <f>IFERROR(INDEX(上年标准成本!$I:$I,MATCH(K319,上年标准成本!$C:$C,0),1),"")</f>
        <v/>
      </c>
      <c r="U319" s="126" t="str">
        <f t="shared" si="27"/>
        <v/>
      </c>
      <c r="V319" s="126" t="str">
        <f t="shared" si="28"/>
        <v/>
      </c>
      <c r="W319" s="124" t="str">
        <f t="shared" si="29"/>
        <v/>
      </c>
      <c r="X319" s="125" t="str">
        <f t="shared" si="24"/>
        <v/>
      </c>
    </row>
    <row r="320" spans="1:24" x14ac:dyDescent="0.3">
      <c r="A320" s="129"/>
      <c r="B320" s="129"/>
      <c r="C320" s="128"/>
      <c r="D320" s="128"/>
      <c r="E320" s="128"/>
      <c r="F320" s="166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6" t="str">
        <f t="shared" si="25"/>
        <v/>
      </c>
      <c r="S320" s="163" t="str">
        <f t="shared" si="26"/>
        <v/>
      </c>
      <c r="T320" s="160" t="str">
        <f>IFERROR(INDEX(上年标准成本!$I:$I,MATCH(K320,上年标准成本!$C:$C,0),1),"")</f>
        <v/>
      </c>
      <c r="U320" s="126" t="str">
        <f t="shared" si="27"/>
        <v/>
      </c>
      <c r="V320" s="126" t="str">
        <f t="shared" si="28"/>
        <v/>
      </c>
      <c r="W320" s="124" t="str">
        <f t="shared" si="29"/>
        <v/>
      </c>
      <c r="X320" s="125" t="str">
        <f t="shared" si="24"/>
        <v/>
      </c>
    </row>
    <row r="321" spans="1:24" x14ac:dyDescent="0.3">
      <c r="A321" s="129"/>
      <c r="B321" s="129"/>
      <c r="C321" s="128"/>
      <c r="D321" s="128"/>
      <c r="E321" s="128"/>
      <c r="F321" s="166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6" t="str">
        <f t="shared" si="25"/>
        <v/>
      </c>
      <c r="S321" s="163" t="str">
        <f t="shared" si="26"/>
        <v/>
      </c>
      <c r="T321" s="160" t="str">
        <f>IFERROR(INDEX(上年标准成本!$I:$I,MATCH(K321,上年标准成本!$C:$C,0),1),"")</f>
        <v/>
      </c>
      <c r="U321" s="126" t="str">
        <f t="shared" si="27"/>
        <v/>
      </c>
      <c r="V321" s="126" t="str">
        <f t="shared" si="28"/>
        <v/>
      </c>
      <c r="W321" s="124" t="str">
        <f t="shared" si="29"/>
        <v/>
      </c>
      <c r="X321" s="125" t="str">
        <f t="shared" si="24"/>
        <v/>
      </c>
    </row>
    <row r="322" spans="1:24" x14ac:dyDescent="0.3">
      <c r="A322" s="129"/>
      <c r="B322" s="129"/>
      <c r="C322" s="128"/>
      <c r="D322" s="128"/>
      <c r="E322" s="128"/>
      <c r="F322" s="166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6" t="str">
        <f t="shared" si="25"/>
        <v/>
      </c>
      <c r="S322" s="163" t="str">
        <f t="shared" si="26"/>
        <v/>
      </c>
      <c r="T322" s="160" t="str">
        <f>IFERROR(INDEX(上年标准成本!$I:$I,MATCH(K322,上年标准成本!$C:$C,0),1),"")</f>
        <v/>
      </c>
      <c r="U322" s="126" t="str">
        <f t="shared" si="27"/>
        <v/>
      </c>
      <c r="V322" s="126" t="str">
        <f t="shared" si="28"/>
        <v/>
      </c>
      <c r="W322" s="124" t="str">
        <f t="shared" si="29"/>
        <v/>
      </c>
      <c r="X322" s="125" t="str">
        <f t="shared" ref="X322:X385" si="30">IFERROR(IF(W322/SUM(W:W)=0,"",W322/SUM(W:W)),"")</f>
        <v/>
      </c>
    </row>
    <row r="323" spans="1:24" x14ac:dyDescent="0.3">
      <c r="A323" s="129"/>
      <c r="B323" s="129"/>
      <c r="C323" s="128"/>
      <c r="D323" s="128"/>
      <c r="E323" s="128"/>
      <c r="F323" s="166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6" t="str">
        <f t="shared" ref="R323:R386" si="31">IFERROR(P323/O323,"")</f>
        <v/>
      </c>
      <c r="S323" s="163" t="str">
        <f t="shared" ref="S323:S386" si="32">IFERROR(R323*(1+Q323),"")</f>
        <v/>
      </c>
      <c r="T323" s="160" t="str">
        <f>IFERROR(INDEX(上年标准成本!$I:$I,MATCH(K323,上年标准成本!$C:$C,0),1),"")</f>
        <v/>
      </c>
      <c r="U323" s="126" t="str">
        <f t="shared" ref="U323:U386" si="33">IFERROR(O323*T323,"")</f>
        <v/>
      </c>
      <c r="V323" s="126" t="str">
        <f t="shared" ref="V323:V386" si="34">IFERROR(P323-U323,"")</f>
        <v/>
      </c>
      <c r="W323" s="124" t="str">
        <f t="shared" ref="W323:W386" si="35">IFERROR(V323/P323,"")</f>
        <v/>
      </c>
      <c r="X323" s="125" t="str">
        <f t="shared" si="30"/>
        <v/>
      </c>
    </row>
    <row r="324" spans="1:24" x14ac:dyDescent="0.3">
      <c r="A324" s="129"/>
      <c r="B324" s="129"/>
      <c r="C324" s="128"/>
      <c r="D324" s="128"/>
      <c r="E324" s="128"/>
      <c r="F324" s="166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6" t="str">
        <f t="shared" si="31"/>
        <v/>
      </c>
      <c r="S324" s="163" t="str">
        <f t="shared" si="32"/>
        <v/>
      </c>
      <c r="T324" s="160" t="str">
        <f>IFERROR(INDEX(上年标准成本!$I:$I,MATCH(K324,上年标准成本!$C:$C,0),1),"")</f>
        <v/>
      </c>
      <c r="U324" s="126" t="str">
        <f t="shared" si="33"/>
        <v/>
      </c>
      <c r="V324" s="126" t="str">
        <f t="shared" si="34"/>
        <v/>
      </c>
      <c r="W324" s="124" t="str">
        <f t="shared" si="35"/>
        <v/>
      </c>
      <c r="X324" s="125" t="str">
        <f t="shared" si="30"/>
        <v/>
      </c>
    </row>
    <row r="325" spans="1:24" x14ac:dyDescent="0.3">
      <c r="A325" s="129"/>
      <c r="B325" s="129"/>
      <c r="C325" s="128"/>
      <c r="D325" s="128"/>
      <c r="E325" s="128"/>
      <c r="F325" s="166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6" t="str">
        <f t="shared" si="31"/>
        <v/>
      </c>
      <c r="S325" s="163" t="str">
        <f t="shared" si="32"/>
        <v/>
      </c>
      <c r="T325" s="160" t="str">
        <f>IFERROR(INDEX(上年标准成本!$I:$I,MATCH(K325,上年标准成本!$C:$C,0),1),"")</f>
        <v/>
      </c>
      <c r="U325" s="126" t="str">
        <f t="shared" si="33"/>
        <v/>
      </c>
      <c r="V325" s="126" t="str">
        <f t="shared" si="34"/>
        <v/>
      </c>
      <c r="W325" s="124" t="str">
        <f t="shared" si="35"/>
        <v/>
      </c>
      <c r="X325" s="125" t="str">
        <f t="shared" si="30"/>
        <v/>
      </c>
    </row>
    <row r="326" spans="1:24" x14ac:dyDescent="0.3">
      <c r="A326" s="129"/>
      <c r="B326" s="129"/>
      <c r="C326" s="128"/>
      <c r="D326" s="128"/>
      <c r="E326" s="128"/>
      <c r="F326" s="166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6" t="str">
        <f t="shared" si="31"/>
        <v/>
      </c>
      <c r="S326" s="163" t="str">
        <f t="shared" si="32"/>
        <v/>
      </c>
      <c r="T326" s="160" t="str">
        <f>IFERROR(INDEX(上年标准成本!$I:$I,MATCH(K326,上年标准成本!$C:$C,0),1),"")</f>
        <v/>
      </c>
      <c r="U326" s="126" t="str">
        <f t="shared" si="33"/>
        <v/>
      </c>
      <c r="V326" s="126" t="str">
        <f t="shared" si="34"/>
        <v/>
      </c>
      <c r="W326" s="124" t="str">
        <f t="shared" si="35"/>
        <v/>
      </c>
      <c r="X326" s="125" t="str">
        <f t="shared" si="30"/>
        <v/>
      </c>
    </row>
    <row r="327" spans="1:24" x14ac:dyDescent="0.3">
      <c r="A327" s="129"/>
      <c r="B327" s="129"/>
      <c r="C327" s="128"/>
      <c r="D327" s="128"/>
      <c r="E327" s="128"/>
      <c r="F327" s="166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6" t="str">
        <f t="shared" si="31"/>
        <v/>
      </c>
      <c r="S327" s="163" t="str">
        <f t="shared" si="32"/>
        <v/>
      </c>
      <c r="T327" s="160" t="str">
        <f>IFERROR(INDEX(上年标准成本!$I:$I,MATCH(K327,上年标准成本!$C:$C,0),1),"")</f>
        <v/>
      </c>
      <c r="U327" s="126" t="str">
        <f t="shared" si="33"/>
        <v/>
      </c>
      <c r="V327" s="126" t="str">
        <f t="shared" si="34"/>
        <v/>
      </c>
      <c r="W327" s="124" t="str">
        <f t="shared" si="35"/>
        <v/>
      </c>
      <c r="X327" s="125" t="str">
        <f t="shared" si="30"/>
        <v/>
      </c>
    </row>
    <row r="328" spans="1:24" x14ac:dyDescent="0.3">
      <c r="A328" s="129"/>
      <c r="B328" s="129"/>
      <c r="C328" s="128"/>
      <c r="D328" s="128"/>
      <c r="E328" s="128"/>
      <c r="F328" s="166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6" t="str">
        <f t="shared" si="31"/>
        <v/>
      </c>
      <c r="S328" s="163" t="str">
        <f t="shared" si="32"/>
        <v/>
      </c>
      <c r="T328" s="160" t="str">
        <f>IFERROR(INDEX(上年标准成本!$I:$I,MATCH(K328,上年标准成本!$C:$C,0),1),"")</f>
        <v/>
      </c>
      <c r="U328" s="126" t="str">
        <f t="shared" si="33"/>
        <v/>
      </c>
      <c r="V328" s="126" t="str">
        <f t="shared" si="34"/>
        <v/>
      </c>
      <c r="W328" s="124" t="str">
        <f t="shared" si="35"/>
        <v/>
      </c>
      <c r="X328" s="125" t="str">
        <f t="shared" si="30"/>
        <v/>
      </c>
    </row>
    <row r="329" spans="1:24" x14ac:dyDescent="0.3">
      <c r="A329" s="129"/>
      <c r="B329" s="129"/>
      <c r="C329" s="128"/>
      <c r="D329" s="128"/>
      <c r="E329" s="128"/>
      <c r="F329" s="166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6" t="str">
        <f t="shared" si="31"/>
        <v/>
      </c>
      <c r="S329" s="163" t="str">
        <f t="shared" si="32"/>
        <v/>
      </c>
      <c r="T329" s="160" t="str">
        <f>IFERROR(INDEX(上年标准成本!$I:$I,MATCH(K329,上年标准成本!$C:$C,0),1),"")</f>
        <v/>
      </c>
      <c r="U329" s="126" t="str">
        <f t="shared" si="33"/>
        <v/>
      </c>
      <c r="V329" s="126" t="str">
        <f t="shared" si="34"/>
        <v/>
      </c>
      <c r="W329" s="124" t="str">
        <f t="shared" si="35"/>
        <v/>
      </c>
      <c r="X329" s="125" t="str">
        <f t="shared" si="30"/>
        <v/>
      </c>
    </row>
    <row r="330" spans="1:24" x14ac:dyDescent="0.3">
      <c r="A330" s="129"/>
      <c r="B330" s="129"/>
      <c r="C330" s="128"/>
      <c r="D330" s="128"/>
      <c r="E330" s="128"/>
      <c r="F330" s="166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6" t="str">
        <f t="shared" si="31"/>
        <v/>
      </c>
      <c r="S330" s="163" t="str">
        <f t="shared" si="32"/>
        <v/>
      </c>
      <c r="T330" s="160" t="str">
        <f>IFERROR(INDEX(上年标准成本!$I:$I,MATCH(K330,上年标准成本!$C:$C,0),1),"")</f>
        <v/>
      </c>
      <c r="U330" s="126" t="str">
        <f t="shared" si="33"/>
        <v/>
      </c>
      <c r="V330" s="126" t="str">
        <f t="shared" si="34"/>
        <v/>
      </c>
      <c r="W330" s="124" t="str">
        <f t="shared" si="35"/>
        <v/>
      </c>
      <c r="X330" s="125" t="str">
        <f t="shared" si="30"/>
        <v/>
      </c>
    </row>
    <row r="331" spans="1:24" x14ac:dyDescent="0.3">
      <c r="A331" s="129"/>
      <c r="B331" s="129"/>
      <c r="C331" s="128"/>
      <c r="D331" s="128"/>
      <c r="E331" s="128"/>
      <c r="F331" s="166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6" t="str">
        <f t="shared" si="31"/>
        <v/>
      </c>
      <c r="S331" s="163" t="str">
        <f t="shared" si="32"/>
        <v/>
      </c>
      <c r="T331" s="160" t="str">
        <f>IFERROR(INDEX(上年标准成本!$I:$I,MATCH(K331,上年标准成本!$C:$C,0),1),"")</f>
        <v/>
      </c>
      <c r="U331" s="126" t="str">
        <f t="shared" si="33"/>
        <v/>
      </c>
      <c r="V331" s="126" t="str">
        <f t="shared" si="34"/>
        <v/>
      </c>
      <c r="W331" s="124" t="str">
        <f t="shared" si="35"/>
        <v/>
      </c>
      <c r="X331" s="125" t="str">
        <f t="shared" si="30"/>
        <v/>
      </c>
    </row>
    <row r="332" spans="1:24" x14ac:dyDescent="0.3">
      <c r="A332" s="129"/>
      <c r="B332" s="129"/>
      <c r="C332" s="128"/>
      <c r="D332" s="128"/>
      <c r="E332" s="128"/>
      <c r="F332" s="166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6" t="str">
        <f t="shared" si="31"/>
        <v/>
      </c>
      <c r="S332" s="163" t="str">
        <f t="shared" si="32"/>
        <v/>
      </c>
      <c r="T332" s="160" t="str">
        <f>IFERROR(INDEX(上年标准成本!$I:$I,MATCH(K332,上年标准成本!$C:$C,0),1),"")</f>
        <v/>
      </c>
      <c r="U332" s="126" t="str">
        <f t="shared" si="33"/>
        <v/>
      </c>
      <c r="V332" s="126" t="str">
        <f t="shared" si="34"/>
        <v/>
      </c>
      <c r="W332" s="124" t="str">
        <f t="shared" si="35"/>
        <v/>
      </c>
      <c r="X332" s="125" t="str">
        <f t="shared" si="30"/>
        <v/>
      </c>
    </row>
    <row r="333" spans="1:24" x14ac:dyDescent="0.3">
      <c r="A333" s="129"/>
      <c r="B333" s="129"/>
      <c r="C333" s="128"/>
      <c r="D333" s="128"/>
      <c r="E333" s="128"/>
      <c r="F333" s="166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6" t="str">
        <f t="shared" si="31"/>
        <v/>
      </c>
      <c r="S333" s="163" t="str">
        <f t="shared" si="32"/>
        <v/>
      </c>
      <c r="T333" s="160" t="str">
        <f>IFERROR(INDEX(上年标准成本!$I:$I,MATCH(K333,上年标准成本!$C:$C,0),1),"")</f>
        <v/>
      </c>
      <c r="U333" s="126" t="str">
        <f t="shared" si="33"/>
        <v/>
      </c>
      <c r="V333" s="126" t="str">
        <f t="shared" si="34"/>
        <v/>
      </c>
      <c r="W333" s="124" t="str">
        <f t="shared" si="35"/>
        <v/>
      </c>
      <c r="X333" s="125" t="str">
        <f t="shared" si="30"/>
        <v/>
      </c>
    </row>
    <row r="334" spans="1:24" x14ac:dyDescent="0.3">
      <c r="A334" s="129"/>
      <c r="B334" s="129"/>
      <c r="C334" s="128"/>
      <c r="D334" s="128"/>
      <c r="E334" s="128"/>
      <c r="F334" s="166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6" t="str">
        <f t="shared" si="31"/>
        <v/>
      </c>
      <c r="S334" s="163" t="str">
        <f t="shared" si="32"/>
        <v/>
      </c>
      <c r="T334" s="160" t="str">
        <f>IFERROR(INDEX(上年标准成本!$I:$I,MATCH(K334,上年标准成本!$C:$C,0),1),"")</f>
        <v/>
      </c>
      <c r="U334" s="126" t="str">
        <f t="shared" si="33"/>
        <v/>
      </c>
      <c r="V334" s="126" t="str">
        <f t="shared" si="34"/>
        <v/>
      </c>
      <c r="W334" s="124" t="str">
        <f t="shared" si="35"/>
        <v/>
      </c>
      <c r="X334" s="125" t="str">
        <f t="shared" si="30"/>
        <v/>
      </c>
    </row>
    <row r="335" spans="1:24" x14ac:dyDescent="0.3">
      <c r="A335" s="129"/>
      <c r="B335" s="129"/>
      <c r="C335" s="128"/>
      <c r="D335" s="128"/>
      <c r="E335" s="128"/>
      <c r="F335" s="166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6" t="str">
        <f t="shared" si="31"/>
        <v/>
      </c>
      <c r="S335" s="163" t="str">
        <f t="shared" si="32"/>
        <v/>
      </c>
      <c r="T335" s="160" t="str">
        <f>IFERROR(INDEX(上年标准成本!$I:$I,MATCH(K335,上年标准成本!$C:$C,0),1),"")</f>
        <v/>
      </c>
      <c r="U335" s="126" t="str">
        <f t="shared" si="33"/>
        <v/>
      </c>
      <c r="V335" s="126" t="str">
        <f t="shared" si="34"/>
        <v/>
      </c>
      <c r="W335" s="124" t="str">
        <f t="shared" si="35"/>
        <v/>
      </c>
      <c r="X335" s="125" t="str">
        <f t="shared" si="30"/>
        <v/>
      </c>
    </row>
    <row r="336" spans="1:24" x14ac:dyDescent="0.3">
      <c r="A336" s="129"/>
      <c r="B336" s="129"/>
      <c r="C336" s="128"/>
      <c r="D336" s="128"/>
      <c r="E336" s="128"/>
      <c r="F336" s="166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6" t="str">
        <f t="shared" si="31"/>
        <v/>
      </c>
      <c r="S336" s="163" t="str">
        <f t="shared" si="32"/>
        <v/>
      </c>
      <c r="T336" s="160" t="str">
        <f>IFERROR(INDEX(上年标准成本!$I:$I,MATCH(K336,上年标准成本!$C:$C,0),1),"")</f>
        <v/>
      </c>
      <c r="U336" s="126" t="str">
        <f t="shared" si="33"/>
        <v/>
      </c>
      <c r="V336" s="126" t="str">
        <f t="shared" si="34"/>
        <v/>
      </c>
      <c r="W336" s="124" t="str">
        <f t="shared" si="35"/>
        <v/>
      </c>
      <c r="X336" s="125" t="str">
        <f t="shared" si="30"/>
        <v/>
      </c>
    </row>
    <row r="337" spans="1:24" x14ac:dyDescent="0.3">
      <c r="A337" s="129"/>
      <c r="B337" s="129"/>
      <c r="C337" s="128"/>
      <c r="D337" s="128"/>
      <c r="E337" s="128"/>
      <c r="F337" s="166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6" t="str">
        <f t="shared" si="31"/>
        <v/>
      </c>
      <c r="S337" s="163" t="str">
        <f t="shared" si="32"/>
        <v/>
      </c>
      <c r="T337" s="160" t="str">
        <f>IFERROR(INDEX(上年标准成本!$I:$I,MATCH(K337,上年标准成本!$C:$C,0),1),"")</f>
        <v/>
      </c>
      <c r="U337" s="126" t="str">
        <f t="shared" si="33"/>
        <v/>
      </c>
      <c r="V337" s="126" t="str">
        <f t="shared" si="34"/>
        <v/>
      </c>
      <c r="W337" s="124" t="str">
        <f t="shared" si="35"/>
        <v/>
      </c>
      <c r="X337" s="125" t="str">
        <f t="shared" si="30"/>
        <v/>
      </c>
    </row>
    <row r="338" spans="1:24" x14ac:dyDescent="0.3">
      <c r="A338" s="129"/>
      <c r="B338" s="129"/>
      <c r="C338" s="128"/>
      <c r="D338" s="128"/>
      <c r="E338" s="128"/>
      <c r="F338" s="166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6" t="str">
        <f t="shared" si="31"/>
        <v/>
      </c>
      <c r="S338" s="163" t="str">
        <f t="shared" si="32"/>
        <v/>
      </c>
      <c r="T338" s="160" t="str">
        <f>IFERROR(INDEX(上年标准成本!$I:$I,MATCH(K338,上年标准成本!$C:$C,0),1),"")</f>
        <v/>
      </c>
      <c r="U338" s="126" t="str">
        <f t="shared" si="33"/>
        <v/>
      </c>
      <c r="V338" s="126" t="str">
        <f t="shared" si="34"/>
        <v/>
      </c>
      <c r="W338" s="124" t="str">
        <f t="shared" si="35"/>
        <v/>
      </c>
      <c r="X338" s="125" t="str">
        <f t="shared" si="30"/>
        <v/>
      </c>
    </row>
    <row r="339" spans="1:24" x14ac:dyDescent="0.3">
      <c r="A339" s="129"/>
      <c r="B339" s="129"/>
      <c r="C339" s="128"/>
      <c r="D339" s="128"/>
      <c r="E339" s="128"/>
      <c r="F339" s="166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6" t="str">
        <f t="shared" si="31"/>
        <v/>
      </c>
      <c r="S339" s="163" t="str">
        <f t="shared" si="32"/>
        <v/>
      </c>
      <c r="T339" s="160" t="str">
        <f>IFERROR(INDEX(上年标准成本!$I:$I,MATCH(K339,上年标准成本!$C:$C,0),1),"")</f>
        <v/>
      </c>
      <c r="U339" s="126" t="str">
        <f t="shared" si="33"/>
        <v/>
      </c>
      <c r="V339" s="126" t="str">
        <f t="shared" si="34"/>
        <v/>
      </c>
      <c r="W339" s="124" t="str">
        <f t="shared" si="35"/>
        <v/>
      </c>
      <c r="X339" s="125" t="str">
        <f t="shared" si="30"/>
        <v/>
      </c>
    </row>
    <row r="340" spans="1:24" x14ac:dyDescent="0.3">
      <c r="A340" s="129"/>
      <c r="B340" s="129"/>
      <c r="C340" s="128"/>
      <c r="D340" s="128"/>
      <c r="E340" s="128"/>
      <c r="F340" s="166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6" t="str">
        <f t="shared" si="31"/>
        <v/>
      </c>
      <c r="S340" s="163" t="str">
        <f t="shared" si="32"/>
        <v/>
      </c>
      <c r="T340" s="160" t="str">
        <f>IFERROR(INDEX(上年标准成本!$I:$I,MATCH(K340,上年标准成本!$C:$C,0),1),"")</f>
        <v/>
      </c>
      <c r="U340" s="126" t="str">
        <f t="shared" si="33"/>
        <v/>
      </c>
      <c r="V340" s="126" t="str">
        <f t="shared" si="34"/>
        <v/>
      </c>
      <c r="W340" s="124" t="str">
        <f t="shared" si="35"/>
        <v/>
      </c>
      <c r="X340" s="125" t="str">
        <f t="shared" si="30"/>
        <v/>
      </c>
    </row>
    <row r="341" spans="1:24" x14ac:dyDescent="0.3">
      <c r="A341" s="129"/>
      <c r="B341" s="129"/>
      <c r="C341" s="128"/>
      <c r="D341" s="128"/>
      <c r="E341" s="128"/>
      <c r="F341" s="166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6" t="str">
        <f t="shared" si="31"/>
        <v/>
      </c>
      <c r="S341" s="163" t="str">
        <f t="shared" si="32"/>
        <v/>
      </c>
      <c r="T341" s="160" t="str">
        <f>IFERROR(INDEX(上年标准成本!$I:$I,MATCH(K341,上年标准成本!$C:$C,0),1),"")</f>
        <v/>
      </c>
      <c r="U341" s="126" t="str">
        <f t="shared" si="33"/>
        <v/>
      </c>
      <c r="V341" s="126" t="str">
        <f t="shared" si="34"/>
        <v/>
      </c>
      <c r="W341" s="124" t="str">
        <f t="shared" si="35"/>
        <v/>
      </c>
      <c r="X341" s="125" t="str">
        <f t="shared" si="30"/>
        <v/>
      </c>
    </row>
    <row r="342" spans="1:24" x14ac:dyDescent="0.3">
      <c r="A342" s="129"/>
      <c r="B342" s="129"/>
      <c r="C342" s="128"/>
      <c r="D342" s="128"/>
      <c r="E342" s="128"/>
      <c r="F342" s="166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6" t="str">
        <f t="shared" si="31"/>
        <v/>
      </c>
      <c r="S342" s="163" t="str">
        <f t="shared" si="32"/>
        <v/>
      </c>
      <c r="T342" s="160" t="str">
        <f>IFERROR(INDEX(上年标准成本!$I:$I,MATCH(K342,上年标准成本!$C:$C,0),1),"")</f>
        <v/>
      </c>
      <c r="U342" s="126" t="str">
        <f t="shared" si="33"/>
        <v/>
      </c>
      <c r="V342" s="126" t="str">
        <f t="shared" si="34"/>
        <v/>
      </c>
      <c r="W342" s="124" t="str">
        <f t="shared" si="35"/>
        <v/>
      </c>
      <c r="X342" s="125" t="str">
        <f t="shared" si="30"/>
        <v/>
      </c>
    </row>
    <row r="343" spans="1:24" x14ac:dyDescent="0.3">
      <c r="A343" s="129"/>
      <c r="B343" s="129"/>
      <c r="C343" s="128"/>
      <c r="D343" s="128"/>
      <c r="E343" s="128"/>
      <c r="F343" s="166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6" t="str">
        <f t="shared" si="31"/>
        <v/>
      </c>
      <c r="S343" s="163" t="str">
        <f t="shared" si="32"/>
        <v/>
      </c>
      <c r="T343" s="160" t="str">
        <f>IFERROR(INDEX(上年标准成本!$I:$I,MATCH(K343,上年标准成本!$C:$C,0),1),"")</f>
        <v/>
      </c>
      <c r="U343" s="126" t="str">
        <f t="shared" si="33"/>
        <v/>
      </c>
      <c r="V343" s="126" t="str">
        <f t="shared" si="34"/>
        <v/>
      </c>
      <c r="W343" s="124" t="str">
        <f t="shared" si="35"/>
        <v/>
      </c>
      <c r="X343" s="125" t="str">
        <f t="shared" si="30"/>
        <v/>
      </c>
    </row>
    <row r="344" spans="1:24" x14ac:dyDescent="0.3">
      <c r="A344" s="129"/>
      <c r="B344" s="129"/>
      <c r="C344" s="128"/>
      <c r="D344" s="128"/>
      <c r="E344" s="128"/>
      <c r="F344" s="166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6" t="str">
        <f t="shared" si="31"/>
        <v/>
      </c>
      <c r="S344" s="163" t="str">
        <f t="shared" si="32"/>
        <v/>
      </c>
      <c r="T344" s="160" t="str">
        <f>IFERROR(INDEX(上年标准成本!$I:$I,MATCH(K344,上年标准成本!$C:$C,0),1),"")</f>
        <v/>
      </c>
      <c r="U344" s="126" t="str">
        <f t="shared" si="33"/>
        <v/>
      </c>
      <c r="V344" s="126" t="str">
        <f t="shared" si="34"/>
        <v/>
      </c>
      <c r="W344" s="124" t="str">
        <f t="shared" si="35"/>
        <v/>
      </c>
      <c r="X344" s="125" t="str">
        <f t="shared" si="30"/>
        <v/>
      </c>
    </row>
    <row r="345" spans="1:24" x14ac:dyDescent="0.3">
      <c r="A345" s="129"/>
      <c r="B345" s="129"/>
      <c r="C345" s="128"/>
      <c r="D345" s="128"/>
      <c r="E345" s="128"/>
      <c r="F345" s="166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6" t="str">
        <f t="shared" si="31"/>
        <v/>
      </c>
      <c r="S345" s="163" t="str">
        <f t="shared" si="32"/>
        <v/>
      </c>
      <c r="T345" s="160" t="str">
        <f>IFERROR(INDEX(上年标准成本!$I:$I,MATCH(K345,上年标准成本!$C:$C,0),1),"")</f>
        <v/>
      </c>
      <c r="U345" s="126" t="str">
        <f t="shared" si="33"/>
        <v/>
      </c>
      <c r="V345" s="126" t="str">
        <f t="shared" si="34"/>
        <v/>
      </c>
      <c r="W345" s="124" t="str">
        <f t="shared" si="35"/>
        <v/>
      </c>
      <c r="X345" s="125" t="str">
        <f t="shared" si="30"/>
        <v/>
      </c>
    </row>
    <row r="346" spans="1:24" x14ac:dyDescent="0.3">
      <c r="A346" s="129"/>
      <c r="B346" s="129"/>
      <c r="C346" s="128"/>
      <c r="D346" s="128"/>
      <c r="E346" s="128"/>
      <c r="F346" s="166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6" t="str">
        <f t="shared" si="31"/>
        <v/>
      </c>
      <c r="S346" s="163" t="str">
        <f t="shared" si="32"/>
        <v/>
      </c>
      <c r="T346" s="160" t="str">
        <f>IFERROR(INDEX(上年标准成本!$I:$I,MATCH(K346,上年标准成本!$C:$C,0),1),"")</f>
        <v/>
      </c>
      <c r="U346" s="126" t="str">
        <f t="shared" si="33"/>
        <v/>
      </c>
      <c r="V346" s="126" t="str">
        <f t="shared" si="34"/>
        <v/>
      </c>
      <c r="W346" s="124" t="str">
        <f t="shared" si="35"/>
        <v/>
      </c>
      <c r="X346" s="125" t="str">
        <f t="shared" si="30"/>
        <v/>
      </c>
    </row>
    <row r="347" spans="1:24" x14ac:dyDescent="0.3">
      <c r="A347" s="129"/>
      <c r="B347" s="129"/>
      <c r="C347" s="128"/>
      <c r="D347" s="128"/>
      <c r="E347" s="128"/>
      <c r="F347" s="166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6" t="str">
        <f t="shared" si="31"/>
        <v/>
      </c>
      <c r="S347" s="163" t="str">
        <f t="shared" si="32"/>
        <v/>
      </c>
      <c r="T347" s="160" t="str">
        <f>IFERROR(INDEX(上年标准成本!$I:$I,MATCH(K347,上年标准成本!$C:$C,0),1),"")</f>
        <v/>
      </c>
      <c r="U347" s="126" t="str">
        <f t="shared" si="33"/>
        <v/>
      </c>
      <c r="V347" s="126" t="str">
        <f t="shared" si="34"/>
        <v/>
      </c>
      <c r="W347" s="124" t="str">
        <f t="shared" si="35"/>
        <v/>
      </c>
      <c r="X347" s="125" t="str">
        <f t="shared" si="30"/>
        <v/>
      </c>
    </row>
    <row r="348" spans="1:24" x14ac:dyDescent="0.3">
      <c r="A348" s="129"/>
      <c r="B348" s="129"/>
      <c r="C348" s="128"/>
      <c r="D348" s="128"/>
      <c r="E348" s="128"/>
      <c r="F348" s="166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6" t="str">
        <f t="shared" si="31"/>
        <v/>
      </c>
      <c r="S348" s="163" t="str">
        <f t="shared" si="32"/>
        <v/>
      </c>
      <c r="T348" s="160" t="str">
        <f>IFERROR(INDEX(上年标准成本!$I:$I,MATCH(K348,上年标准成本!$C:$C,0),1),"")</f>
        <v/>
      </c>
      <c r="U348" s="126" t="str">
        <f t="shared" si="33"/>
        <v/>
      </c>
      <c r="V348" s="126" t="str">
        <f t="shared" si="34"/>
        <v/>
      </c>
      <c r="W348" s="124" t="str">
        <f t="shared" si="35"/>
        <v/>
      </c>
      <c r="X348" s="125" t="str">
        <f t="shared" si="30"/>
        <v/>
      </c>
    </row>
    <row r="349" spans="1:24" x14ac:dyDescent="0.3">
      <c r="A349" s="129"/>
      <c r="B349" s="129"/>
      <c r="C349" s="128"/>
      <c r="D349" s="128"/>
      <c r="E349" s="128"/>
      <c r="F349" s="166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6" t="str">
        <f t="shared" si="31"/>
        <v/>
      </c>
      <c r="S349" s="163" t="str">
        <f t="shared" si="32"/>
        <v/>
      </c>
      <c r="T349" s="160" t="str">
        <f>IFERROR(INDEX(上年标准成本!$I:$I,MATCH(K349,上年标准成本!$C:$C,0),1),"")</f>
        <v/>
      </c>
      <c r="U349" s="126" t="str">
        <f t="shared" si="33"/>
        <v/>
      </c>
      <c r="V349" s="126" t="str">
        <f t="shared" si="34"/>
        <v/>
      </c>
      <c r="W349" s="124" t="str">
        <f t="shared" si="35"/>
        <v/>
      </c>
      <c r="X349" s="125" t="str">
        <f t="shared" si="30"/>
        <v/>
      </c>
    </row>
    <row r="350" spans="1:24" x14ac:dyDescent="0.3">
      <c r="A350" s="129"/>
      <c r="B350" s="129"/>
      <c r="C350" s="128"/>
      <c r="D350" s="128"/>
      <c r="E350" s="128"/>
      <c r="F350" s="166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6" t="str">
        <f t="shared" si="31"/>
        <v/>
      </c>
      <c r="S350" s="163" t="str">
        <f t="shared" si="32"/>
        <v/>
      </c>
      <c r="T350" s="160" t="str">
        <f>IFERROR(INDEX(上年标准成本!$I:$I,MATCH(K350,上年标准成本!$C:$C,0),1),"")</f>
        <v/>
      </c>
      <c r="U350" s="126" t="str">
        <f t="shared" si="33"/>
        <v/>
      </c>
      <c r="V350" s="126" t="str">
        <f t="shared" si="34"/>
        <v/>
      </c>
      <c r="W350" s="124" t="str">
        <f t="shared" si="35"/>
        <v/>
      </c>
      <c r="X350" s="125" t="str">
        <f t="shared" si="30"/>
        <v/>
      </c>
    </row>
    <row r="351" spans="1:24" x14ac:dyDescent="0.3">
      <c r="A351" s="129"/>
      <c r="B351" s="129"/>
      <c r="C351" s="128"/>
      <c r="D351" s="128"/>
      <c r="E351" s="128"/>
      <c r="F351" s="166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6" t="str">
        <f t="shared" si="31"/>
        <v/>
      </c>
      <c r="S351" s="163" t="str">
        <f t="shared" si="32"/>
        <v/>
      </c>
      <c r="T351" s="160" t="str">
        <f>IFERROR(INDEX(上年标准成本!$I:$I,MATCH(K351,上年标准成本!$C:$C,0),1),"")</f>
        <v/>
      </c>
      <c r="U351" s="126" t="str">
        <f t="shared" si="33"/>
        <v/>
      </c>
      <c r="V351" s="126" t="str">
        <f t="shared" si="34"/>
        <v/>
      </c>
      <c r="W351" s="124" t="str">
        <f t="shared" si="35"/>
        <v/>
      </c>
      <c r="X351" s="125" t="str">
        <f t="shared" si="30"/>
        <v/>
      </c>
    </row>
    <row r="352" spans="1:24" x14ac:dyDescent="0.3">
      <c r="A352" s="129"/>
      <c r="B352" s="129"/>
      <c r="C352" s="128"/>
      <c r="D352" s="128"/>
      <c r="E352" s="128"/>
      <c r="F352" s="166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6" t="str">
        <f t="shared" si="31"/>
        <v/>
      </c>
      <c r="S352" s="163" t="str">
        <f t="shared" si="32"/>
        <v/>
      </c>
      <c r="T352" s="160" t="str">
        <f>IFERROR(INDEX(上年标准成本!$I:$I,MATCH(K352,上年标准成本!$C:$C,0),1),"")</f>
        <v/>
      </c>
      <c r="U352" s="126" t="str">
        <f t="shared" si="33"/>
        <v/>
      </c>
      <c r="V352" s="126" t="str">
        <f t="shared" si="34"/>
        <v/>
      </c>
      <c r="W352" s="124" t="str">
        <f t="shared" si="35"/>
        <v/>
      </c>
      <c r="X352" s="125" t="str">
        <f t="shared" si="30"/>
        <v/>
      </c>
    </row>
    <row r="353" spans="1:24" x14ac:dyDescent="0.3">
      <c r="A353" s="129"/>
      <c r="B353" s="129"/>
      <c r="C353" s="128"/>
      <c r="D353" s="128"/>
      <c r="E353" s="128"/>
      <c r="F353" s="166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6" t="str">
        <f t="shared" si="31"/>
        <v/>
      </c>
      <c r="S353" s="163" t="str">
        <f t="shared" si="32"/>
        <v/>
      </c>
      <c r="T353" s="160" t="str">
        <f>IFERROR(INDEX(上年标准成本!$I:$I,MATCH(K353,上年标准成本!$C:$C,0),1),"")</f>
        <v/>
      </c>
      <c r="U353" s="126" t="str">
        <f t="shared" si="33"/>
        <v/>
      </c>
      <c r="V353" s="126" t="str">
        <f t="shared" si="34"/>
        <v/>
      </c>
      <c r="W353" s="124" t="str">
        <f t="shared" si="35"/>
        <v/>
      </c>
      <c r="X353" s="125" t="str">
        <f t="shared" si="30"/>
        <v/>
      </c>
    </row>
    <row r="354" spans="1:24" x14ac:dyDescent="0.3">
      <c r="A354" s="129"/>
      <c r="B354" s="129"/>
      <c r="C354" s="128"/>
      <c r="D354" s="128"/>
      <c r="E354" s="128"/>
      <c r="F354" s="166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6" t="str">
        <f t="shared" si="31"/>
        <v/>
      </c>
      <c r="S354" s="163" t="str">
        <f t="shared" si="32"/>
        <v/>
      </c>
      <c r="T354" s="160" t="str">
        <f>IFERROR(INDEX(上年标准成本!$I:$I,MATCH(K354,上年标准成本!$C:$C,0),1),"")</f>
        <v/>
      </c>
      <c r="U354" s="126" t="str">
        <f t="shared" si="33"/>
        <v/>
      </c>
      <c r="V354" s="126" t="str">
        <f t="shared" si="34"/>
        <v/>
      </c>
      <c r="W354" s="124" t="str">
        <f t="shared" si="35"/>
        <v/>
      </c>
      <c r="X354" s="125" t="str">
        <f t="shared" si="30"/>
        <v/>
      </c>
    </row>
    <row r="355" spans="1:24" x14ac:dyDescent="0.3">
      <c r="A355" s="129"/>
      <c r="B355" s="129"/>
      <c r="C355" s="128"/>
      <c r="D355" s="128"/>
      <c r="E355" s="128"/>
      <c r="F355" s="166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6" t="str">
        <f t="shared" si="31"/>
        <v/>
      </c>
      <c r="S355" s="163" t="str">
        <f t="shared" si="32"/>
        <v/>
      </c>
      <c r="T355" s="160" t="str">
        <f>IFERROR(INDEX(上年标准成本!$I:$I,MATCH(K355,上年标准成本!$C:$C,0),1),"")</f>
        <v/>
      </c>
      <c r="U355" s="126" t="str">
        <f t="shared" si="33"/>
        <v/>
      </c>
      <c r="V355" s="126" t="str">
        <f t="shared" si="34"/>
        <v/>
      </c>
      <c r="W355" s="124" t="str">
        <f t="shared" si="35"/>
        <v/>
      </c>
      <c r="X355" s="125" t="str">
        <f t="shared" si="30"/>
        <v/>
      </c>
    </row>
    <row r="356" spans="1:24" x14ac:dyDescent="0.3">
      <c r="A356" s="129"/>
      <c r="B356" s="129"/>
      <c r="C356" s="128"/>
      <c r="D356" s="128"/>
      <c r="E356" s="128"/>
      <c r="F356" s="166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6" t="str">
        <f t="shared" si="31"/>
        <v/>
      </c>
      <c r="S356" s="163" t="str">
        <f t="shared" si="32"/>
        <v/>
      </c>
      <c r="T356" s="160" t="str">
        <f>IFERROR(INDEX(上年标准成本!$I:$I,MATCH(K356,上年标准成本!$C:$C,0),1),"")</f>
        <v/>
      </c>
      <c r="U356" s="126" t="str">
        <f t="shared" si="33"/>
        <v/>
      </c>
      <c r="V356" s="126" t="str">
        <f t="shared" si="34"/>
        <v/>
      </c>
      <c r="W356" s="124" t="str">
        <f t="shared" si="35"/>
        <v/>
      </c>
      <c r="X356" s="125" t="str">
        <f t="shared" si="30"/>
        <v/>
      </c>
    </row>
    <row r="357" spans="1:24" x14ac:dyDescent="0.3">
      <c r="A357" s="129"/>
      <c r="B357" s="129"/>
      <c r="C357" s="128"/>
      <c r="D357" s="128"/>
      <c r="E357" s="128"/>
      <c r="F357" s="166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6" t="str">
        <f t="shared" si="31"/>
        <v/>
      </c>
      <c r="S357" s="163" t="str">
        <f t="shared" si="32"/>
        <v/>
      </c>
      <c r="T357" s="160" t="str">
        <f>IFERROR(INDEX(上年标准成本!$I:$I,MATCH(K357,上年标准成本!$C:$C,0),1),"")</f>
        <v/>
      </c>
      <c r="U357" s="126" t="str">
        <f t="shared" si="33"/>
        <v/>
      </c>
      <c r="V357" s="126" t="str">
        <f t="shared" si="34"/>
        <v/>
      </c>
      <c r="W357" s="124" t="str">
        <f t="shared" si="35"/>
        <v/>
      </c>
      <c r="X357" s="125" t="str">
        <f t="shared" si="30"/>
        <v/>
      </c>
    </row>
    <row r="358" spans="1:24" x14ac:dyDescent="0.3">
      <c r="A358" s="129"/>
      <c r="B358" s="129"/>
      <c r="C358" s="128"/>
      <c r="D358" s="128"/>
      <c r="E358" s="128"/>
      <c r="F358" s="166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6" t="str">
        <f t="shared" si="31"/>
        <v/>
      </c>
      <c r="S358" s="163" t="str">
        <f t="shared" si="32"/>
        <v/>
      </c>
      <c r="T358" s="160" t="str">
        <f>IFERROR(INDEX(上年标准成本!$I:$I,MATCH(K358,上年标准成本!$C:$C,0),1),"")</f>
        <v/>
      </c>
      <c r="U358" s="126" t="str">
        <f t="shared" si="33"/>
        <v/>
      </c>
      <c r="V358" s="126" t="str">
        <f t="shared" si="34"/>
        <v/>
      </c>
      <c r="W358" s="124" t="str">
        <f t="shared" si="35"/>
        <v/>
      </c>
      <c r="X358" s="125" t="str">
        <f t="shared" si="30"/>
        <v/>
      </c>
    </row>
    <row r="359" spans="1:24" x14ac:dyDescent="0.3">
      <c r="A359" s="129"/>
      <c r="B359" s="129"/>
      <c r="C359" s="128"/>
      <c r="D359" s="128"/>
      <c r="E359" s="128"/>
      <c r="F359" s="166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6" t="str">
        <f t="shared" si="31"/>
        <v/>
      </c>
      <c r="S359" s="163" t="str">
        <f t="shared" si="32"/>
        <v/>
      </c>
      <c r="T359" s="160" t="str">
        <f>IFERROR(INDEX(上年标准成本!$I:$I,MATCH(K359,上年标准成本!$C:$C,0),1),"")</f>
        <v/>
      </c>
      <c r="U359" s="126" t="str">
        <f t="shared" si="33"/>
        <v/>
      </c>
      <c r="V359" s="126" t="str">
        <f t="shared" si="34"/>
        <v/>
      </c>
      <c r="W359" s="124" t="str">
        <f t="shared" si="35"/>
        <v/>
      </c>
      <c r="X359" s="125" t="str">
        <f t="shared" si="30"/>
        <v/>
      </c>
    </row>
    <row r="360" spans="1:24" x14ac:dyDescent="0.3">
      <c r="A360" s="129"/>
      <c r="B360" s="129"/>
      <c r="C360" s="128"/>
      <c r="D360" s="128"/>
      <c r="E360" s="128"/>
      <c r="F360" s="166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6" t="str">
        <f t="shared" si="31"/>
        <v/>
      </c>
      <c r="S360" s="163" t="str">
        <f t="shared" si="32"/>
        <v/>
      </c>
      <c r="T360" s="160" t="str">
        <f>IFERROR(INDEX(上年标准成本!$I:$I,MATCH(K360,上年标准成本!$C:$C,0),1),"")</f>
        <v/>
      </c>
      <c r="U360" s="126" t="str">
        <f t="shared" si="33"/>
        <v/>
      </c>
      <c r="V360" s="126" t="str">
        <f t="shared" si="34"/>
        <v/>
      </c>
      <c r="W360" s="124" t="str">
        <f t="shared" si="35"/>
        <v/>
      </c>
      <c r="X360" s="125" t="str">
        <f t="shared" si="30"/>
        <v/>
      </c>
    </row>
    <row r="361" spans="1:24" x14ac:dyDescent="0.3">
      <c r="A361" s="129"/>
      <c r="B361" s="129"/>
      <c r="C361" s="128"/>
      <c r="D361" s="128"/>
      <c r="E361" s="128"/>
      <c r="F361" s="166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6" t="str">
        <f t="shared" si="31"/>
        <v/>
      </c>
      <c r="S361" s="163" t="str">
        <f t="shared" si="32"/>
        <v/>
      </c>
      <c r="T361" s="160" t="str">
        <f>IFERROR(INDEX(上年标准成本!$I:$I,MATCH(K361,上年标准成本!$C:$C,0),1),"")</f>
        <v/>
      </c>
      <c r="U361" s="126" t="str">
        <f t="shared" si="33"/>
        <v/>
      </c>
      <c r="V361" s="126" t="str">
        <f t="shared" si="34"/>
        <v/>
      </c>
      <c r="W361" s="124" t="str">
        <f t="shared" si="35"/>
        <v/>
      </c>
      <c r="X361" s="125" t="str">
        <f t="shared" si="30"/>
        <v/>
      </c>
    </row>
    <row r="362" spans="1:24" x14ac:dyDescent="0.3">
      <c r="A362" s="129"/>
      <c r="B362" s="129"/>
      <c r="C362" s="128"/>
      <c r="D362" s="128"/>
      <c r="E362" s="128"/>
      <c r="F362" s="166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6" t="str">
        <f t="shared" si="31"/>
        <v/>
      </c>
      <c r="S362" s="163" t="str">
        <f t="shared" si="32"/>
        <v/>
      </c>
      <c r="T362" s="160" t="str">
        <f>IFERROR(INDEX(上年标准成本!$I:$I,MATCH(K362,上年标准成本!$C:$C,0),1),"")</f>
        <v/>
      </c>
      <c r="U362" s="126" t="str">
        <f t="shared" si="33"/>
        <v/>
      </c>
      <c r="V362" s="126" t="str">
        <f t="shared" si="34"/>
        <v/>
      </c>
      <c r="W362" s="124" t="str">
        <f t="shared" si="35"/>
        <v/>
      </c>
      <c r="X362" s="125" t="str">
        <f t="shared" si="30"/>
        <v/>
      </c>
    </row>
    <row r="363" spans="1:24" x14ac:dyDescent="0.3">
      <c r="A363" s="129"/>
      <c r="B363" s="129"/>
      <c r="C363" s="128"/>
      <c r="D363" s="128"/>
      <c r="E363" s="128"/>
      <c r="F363" s="166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6" t="str">
        <f t="shared" si="31"/>
        <v/>
      </c>
      <c r="S363" s="163" t="str">
        <f t="shared" si="32"/>
        <v/>
      </c>
      <c r="T363" s="160" t="str">
        <f>IFERROR(INDEX(上年标准成本!$I:$I,MATCH(K363,上年标准成本!$C:$C,0),1),"")</f>
        <v/>
      </c>
      <c r="U363" s="126" t="str">
        <f t="shared" si="33"/>
        <v/>
      </c>
      <c r="V363" s="126" t="str">
        <f t="shared" si="34"/>
        <v/>
      </c>
      <c r="W363" s="124" t="str">
        <f t="shared" si="35"/>
        <v/>
      </c>
      <c r="X363" s="125" t="str">
        <f t="shared" si="30"/>
        <v/>
      </c>
    </row>
    <row r="364" spans="1:24" x14ac:dyDescent="0.3">
      <c r="A364" s="129"/>
      <c r="B364" s="129"/>
      <c r="C364" s="128"/>
      <c r="D364" s="128"/>
      <c r="E364" s="128"/>
      <c r="F364" s="166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6" t="str">
        <f t="shared" si="31"/>
        <v/>
      </c>
      <c r="S364" s="163" t="str">
        <f t="shared" si="32"/>
        <v/>
      </c>
      <c r="T364" s="160" t="str">
        <f>IFERROR(INDEX(上年标准成本!$I:$I,MATCH(K364,上年标准成本!$C:$C,0),1),"")</f>
        <v/>
      </c>
      <c r="U364" s="126" t="str">
        <f t="shared" si="33"/>
        <v/>
      </c>
      <c r="V364" s="126" t="str">
        <f t="shared" si="34"/>
        <v/>
      </c>
      <c r="W364" s="124" t="str">
        <f t="shared" si="35"/>
        <v/>
      </c>
      <c r="X364" s="125" t="str">
        <f t="shared" si="30"/>
        <v/>
      </c>
    </row>
    <row r="365" spans="1:24" x14ac:dyDescent="0.3">
      <c r="A365" s="129"/>
      <c r="B365" s="129"/>
      <c r="C365" s="128"/>
      <c r="D365" s="128"/>
      <c r="E365" s="128"/>
      <c r="F365" s="166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6" t="str">
        <f t="shared" si="31"/>
        <v/>
      </c>
      <c r="S365" s="163" t="str">
        <f t="shared" si="32"/>
        <v/>
      </c>
      <c r="T365" s="160" t="str">
        <f>IFERROR(INDEX(上年标准成本!$I:$I,MATCH(K365,上年标准成本!$C:$C,0),1),"")</f>
        <v/>
      </c>
      <c r="U365" s="126" t="str">
        <f t="shared" si="33"/>
        <v/>
      </c>
      <c r="V365" s="126" t="str">
        <f t="shared" si="34"/>
        <v/>
      </c>
      <c r="W365" s="124" t="str">
        <f t="shared" si="35"/>
        <v/>
      </c>
      <c r="X365" s="125" t="str">
        <f t="shared" si="30"/>
        <v/>
      </c>
    </row>
    <row r="366" spans="1:24" x14ac:dyDescent="0.3">
      <c r="A366" s="129"/>
      <c r="B366" s="129"/>
      <c r="C366" s="128"/>
      <c r="D366" s="128"/>
      <c r="E366" s="128"/>
      <c r="F366" s="166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6" t="str">
        <f t="shared" si="31"/>
        <v/>
      </c>
      <c r="S366" s="163" t="str">
        <f t="shared" si="32"/>
        <v/>
      </c>
      <c r="T366" s="160" t="str">
        <f>IFERROR(INDEX(上年标准成本!$I:$I,MATCH(K366,上年标准成本!$C:$C,0),1),"")</f>
        <v/>
      </c>
      <c r="U366" s="126" t="str">
        <f t="shared" si="33"/>
        <v/>
      </c>
      <c r="V366" s="126" t="str">
        <f t="shared" si="34"/>
        <v/>
      </c>
      <c r="W366" s="124" t="str">
        <f t="shared" si="35"/>
        <v/>
      </c>
      <c r="X366" s="125" t="str">
        <f t="shared" si="30"/>
        <v/>
      </c>
    </row>
    <row r="367" spans="1:24" x14ac:dyDescent="0.3">
      <c r="A367" s="129"/>
      <c r="B367" s="129"/>
      <c r="C367" s="128"/>
      <c r="D367" s="128"/>
      <c r="E367" s="128"/>
      <c r="F367" s="166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6" t="str">
        <f t="shared" si="31"/>
        <v/>
      </c>
      <c r="S367" s="163" t="str">
        <f t="shared" si="32"/>
        <v/>
      </c>
      <c r="T367" s="160" t="str">
        <f>IFERROR(INDEX(上年标准成本!$I:$I,MATCH(K367,上年标准成本!$C:$C,0),1),"")</f>
        <v/>
      </c>
      <c r="U367" s="126" t="str">
        <f t="shared" si="33"/>
        <v/>
      </c>
      <c r="V367" s="126" t="str">
        <f t="shared" si="34"/>
        <v/>
      </c>
      <c r="W367" s="124" t="str">
        <f t="shared" si="35"/>
        <v/>
      </c>
      <c r="X367" s="125" t="str">
        <f t="shared" si="30"/>
        <v/>
      </c>
    </row>
    <row r="368" spans="1:24" x14ac:dyDescent="0.3">
      <c r="A368" s="129"/>
      <c r="B368" s="129"/>
      <c r="C368" s="128"/>
      <c r="D368" s="128"/>
      <c r="E368" s="128"/>
      <c r="F368" s="166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6" t="str">
        <f t="shared" si="31"/>
        <v/>
      </c>
      <c r="S368" s="163" t="str">
        <f t="shared" si="32"/>
        <v/>
      </c>
      <c r="T368" s="160" t="str">
        <f>IFERROR(INDEX(上年标准成本!$I:$I,MATCH(K368,上年标准成本!$C:$C,0),1),"")</f>
        <v/>
      </c>
      <c r="U368" s="126" t="str">
        <f t="shared" si="33"/>
        <v/>
      </c>
      <c r="V368" s="126" t="str">
        <f t="shared" si="34"/>
        <v/>
      </c>
      <c r="W368" s="124" t="str">
        <f t="shared" si="35"/>
        <v/>
      </c>
      <c r="X368" s="125" t="str">
        <f t="shared" si="30"/>
        <v/>
      </c>
    </row>
    <row r="369" spans="1:24" x14ac:dyDescent="0.3">
      <c r="A369" s="129"/>
      <c r="B369" s="129"/>
      <c r="C369" s="128"/>
      <c r="D369" s="128"/>
      <c r="E369" s="128"/>
      <c r="F369" s="166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6" t="str">
        <f t="shared" si="31"/>
        <v/>
      </c>
      <c r="S369" s="163" t="str">
        <f t="shared" si="32"/>
        <v/>
      </c>
      <c r="T369" s="160" t="str">
        <f>IFERROR(INDEX(上年标准成本!$I:$I,MATCH(K369,上年标准成本!$C:$C,0),1),"")</f>
        <v/>
      </c>
      <c r="U369" s="126" t="str">
        <f t="shared" si="33"/>
        <v/>
      </c>
      <c r="V369" s="126" t="str">
        <f t="shared" si="34"/>
        <v/>
      </c>
      <c r="W369" s="124" t="str">
        <f t="shared" si="35"/>
        <v/>
      </c>
      <c r="X369" s="125" t="str">
        <f t="shared" si="30"/>
        <v/>
      </c>
    </row>
    <row r="370" spans="1:24" x14ac:dyDescent="0.3">
      <c r="A370" s="129"/>
      <c r="B370" s="129"/>
      <c r="C370" s="128"/>
      <c r="D370" s="128"/>
      <c r="E370" s="128"/>
      <c r="F370" s="166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6" t="str">
        <f t="shared" si="31"/>
        <v/>
      </c>
      <c r="S370" s="163" t="str">
        <f t="shared" si="32"/>
        <v/>
      </c>
      <c r="T370" s="160" t="str">
        <f>IFERROR(INDEX(上年标准成本!$I:$I,MATCH(K370,上年标准成本!$C:$C,0),1),"")</f>
        <v/>
      </c>
      <c r="U370" s="126" t="str">
        <f t="shared" si="33"/>
        <v/>
      </c>
      <c r="V370" s="126" t="str">
        <f t="shared" si="34"/>
        <v/>
      </c>
      <c r="W370" s="124" t="str">
        <f t="shared" si="35"/>
        <v/>
      </c>
      <c r="X370" s="125" t="str">
        <f t="shared" si="30"/>
        <v/>
      </c>
    </row>
    <row r="371" spans="1:24" x14ac:dyDescent="0.3">
      <c r="A371" s="129"/>
      <c r="B371" s="129"/>
      <c r="C371" s="128"/>
      <c r="D371" s="128"/>
      <c r="E371" s="128"/>
      <c r="F371" s="166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6" t="str">
        <f t="shared" si="31"/>
        <v/>
      </c>
      <c r="S371" s="163" t="str">
        <f t="shared" si="32"/>
        <v/>
      </c>
      <c r="T371" s="160" t="str">
        <f>IFERROR(INDEX(上年标准成本!$I:$I,MATCH(K371,上年标准成本!$C:$C,0),1),"")</f>
        <v/>
      </c>
      <c r="U371" s="126" t="str">
        <f t="shared" si="33"/>
        <v/>
      </c>
      <c r="V371" s="126" t="str">
        <f t="shared" si="34"/>
        <v/>
      </c>
      <c r="W371" s="124" t="str">
        <f t="shared" si="35"/>
        <v/>
      </c>
      <c r="X371" s="125" t="str">
        <f t="shared" si="30"/>
        <v/>
      </c>
    </row>
    <row r="372" spans="1:24" x14ac:dyDescent="0.3">
      <c r="A372" s="129"/>
      <c r="B372" s="129"/>
      <c r="C372" s="128"/>
      <c r="D372" s="128"/>
      <c r="E372" s="128"/>
      <c r="F372" s="166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6" t="str">
        <f t="shared" si="31"/>
        <v/>
      </c>
      <c r="S372" s="163" t="str">
        <f t="shared" si="32"/>
        <v/>
      </c>
      <c r="T372" s="160" t="str">
        <f>IFERROR(INDEX(上年标准成本!$I:$I,MATCH(K372,上年标准成本!$C:$C,0),1),"")</f>
        <v/>
      </c>
      <c r="U372" s="126" t="str">
        <f t="shared" si="33"/>
        <v/>
      </c>
      <c r="V372" s="126" t="str">
        <f t="shared" si="34"/>
        <v/>
      </c>
      <c r="W372" s="124" t="str">
        <f t="shared" si="35"/>
        <v/>
      </c>
      <c r="X372" s="125" t="str">
        <f t="shared" si="30"/>
        <v/>
      </c>
    </row>
    <row r="373" spans="1:24" x14ac:dyDescent="0.3">
      <c r="A373" s="129"/>
      <c r="B373" s="129"/>
      <c r="C373" s="128"/>
      <c r="D373" s="128"/>
      <c r="E373" s="128"/>
      <c r="F373" s="166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6" t="str">
        <f t="shared" si="31"/>
        <v/>
      </c>
      <c r="S373" s="163" t="str">
        <f t="shared" si="32"/>
        <v/>
      </c>
      <c r="T373" s="160" t="str">
        <f>IFERROR(INDEX(上年标准成本!$I:$I,MATCH(K373,上年标准成本!$C:$C,0),1),"")</f>
        <v/>
      </c>
      <c r="U373" s="126" t="str">
        <f t="shared" si="33"/>
        <v/>
      </c>
      <c r="V373" s="126" t="str">
        <f t="shared" si="34"/>
        <v/>
      </c>
      <c r="W373" s="124" t="str">
        <f t="shared" si="35"/>
        <v/>
      </c>
      <c r="X373" s="125" t="str">
        <f t="shared" si="30"/>
        <v/>
      </c>
    </row>
    <row r="374" spans="1:24" x14ac:dyDescent="0.3">
      <c r="A374" s="129"/>
      <c r="B374" s="129"/>
      <c r="C374" s="128"/>
      <c r="D374" s="128"/>
      <c r="E374" s="128"/>
      <c r="F374" s="166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6" t="str">
        <f t="shared" si="31"/>
        <v/>
      </c>
      <c r="S374" s="163" t="str">
        <f t="shared" si="32"/>
        <v/>
      </c>
      <c r="T374" s="160" t="str">
        <f>IFERROR(INDEX(上年标准成本!$I:$I,MATCH(K374,上年标准成本!$C:$C,0),1),"")</f>
        <v/>
      </c>
      <c r="U374" s="126" t="str">
        <f t="shared" si="33"/>
        <v/>
      </c>
      <c r="V374" s="126" t="str">
        <f t="shared" si="34"/>
        <v/>
      </c>
      <c r="W374" s="124" t="str">
        <f t="shared" si="35"/>
        <v/>
      </c>
      <c r="X374" s="125" t="str">
        <f t="shared" si="30"/>
        <v/>
      </c>
    </row>
    <row r="375" spans="1:24" x14ac:dyDescent="0.3">
      <c r="A375" s="129"/>
      <c r="B375" s="129"/>
      <c r="C375" s="128"/>
      <c r="D375" s="128"/>
      <c r="E375" s="128"/>
      <c r="F375" s="166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6" t="str">
        <f t="shared" si="31"/>
        <v/>
      </c>
      <c r="S375" s="163" t="str">
        <f t="shared" si="32"/>
        <v/>
      </c>
      <c r="T375" s="160" t="str">
        <f>IFERROR(INDEX(上年标准成本!$I:$I,MATCH(K375,上年标准成本!$C:$C,0),1),"")</f>
        <v/>
      </c>
      <c r="U375" s="126" t="str">
        <f t="shared" si="33"/>
        <v/>
      </c>
      <c r="V375" s="126" t="str">
        <f t="shared" si="34"/>
        <v/>
      </c>
      <c r="W375" s="124" t="str">
        <f t="shared" si="35"/>
        <v/>
      </c>
      <c r="X375" s="125" t="str">
        <f t="shared" si="30"/>
        <v/>
      </c>
    </row>
    <row r="376" spans="1:24" x14ac:dyDescent="0.3">
      <c r="A376" s="129"/>
      <c r="B376" s="129"/>
      <c r="C376" s="128"/>
      <c r="D376" s="128"/>
      <c r="E376" s="128"/>
      <c r="F376" s="166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6" t="str">
        <f t="shared" si="31"/>
        <v/>
      </c>
      <c r="S376" s="163" t="str">
        <f t="shared" si="32"/>
        <v/>
      </c>
      <c r="T376" s="160" t="str">
        <f>IFERROR(INDEX(上年标准成本!$I:$I,MATCH(K376,上年标准成本!$C:$C,0),1),"")</f>
        <v/>
      </c>
      <c r="U376" s="126" t="str">
        <f t="shared" si="33"/>
        <v/>
      </c>
      <c r="V376" s="126" t="str">
        <f t="shared" si="34"/>
        <v/>
      </c>
      <c r="W376" s="124" t="str">
        <f t="shared" si="35"/>
        <v/>
      </c>
      <c r="X376" s="125" t="str">
        <f t="shared" si="30"/>
        <v/>
      </c>
    </row>
    <row r="377" spans="1:24" x14ac:dyDescent="0.3">
      <c r="A377" s="129"/>
      <c r="B377" s="129"/>
      <c r="C377" s="128"/>
      <c r="D377" s="128"/>
      <c r="E377" s="128"/>
      <c r="F377" s="166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6" t="str">
        <f t="shared" si="31"/>
        <v/>
      </c>
      <c r="S377" s="163" t="str">
        <f t="shared" si="32"/>
        <v/>
      </c>
      <c r="T377" s="160" t="str">
        <f>IFERROR(INDEX(上年标准成本!$I:$I,MATCH(K377,上年标准成本!$C:$C,0),1),"")</f>
        <v/>
      </c>
      <c r="U377" s="126" t="str">
        <f t="shared" si="33"/>
        <v/>
      </c>
      <c r="V377" s="126" t="str">
        <f t="shared" si="34"/>
        <v/>
      </c>
      <c r="W377" s="124" t="str">
        <f t="shared" si="35"/>
        <v/>
      </c>
      <c r="X377" s="125" t="str">
        <f t="shared" si="30"/>
        <v/>
      </c>
    </row>
    <row r="378" spans="1:24" x14ac:dyDescent="0.3">
      <c r="A378" s="129"/>
      <c r="B378" s="129"/>
      <c r="C378" s="128"/>
      <c r="D378" s="128"/>
      <c r="E378" s="128"/>
      <c r="F378" s="166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6" t="str">
        <f t="shared" si="31"/>
        <v/>
      </c>
      <c r="S378" s="163" t="str">
        <f t="shared" si="32"/>
        <v/>
      </c>
      <c r="T378" s="160" t="str">
        <f>IFERROR(INDEX(上年标准成本!$I:$I,MATCH(K378,上年标准成本!$C:$C,0),1),"")</f>
        <v/>
      </c>
      <c r="U378" s="126" t="str">
        <f t="shared" si="33"/>
        <v/>
      </c>
      <c r="V378" s="126" t="str">
        <f t="shared" si="34"/>
        <v/>
      </c>
      <c r="W378" s="124" t="str">
        <f t="shared" si="35"/>
        <v/>
      </c>
      <c r="X378" s="125" t="str">
        <f t="shared" si="30"/>
        <v/>
      </c>
    </row>
    <row r="379" spans="1:24" x14ac:dyDescent="0.3">
      <c r="A379" s="129"/>
      <c r="B379" s="129"/>
      <c r="C379" s="128"/>
      <c r="D379" s="128"/>
      <c r="E379" s="128"/>
      <c r="F379" s="166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6" t="str">
        <f t="shared" si="31"/>
        <v/>
      </c>
      <c r="S379" s="163" t="str">
        <f t="shared" si="32"/>
        <v/>
      </c>
      <c r="T379" s="160" t="str">
        <f>IFERROR(INDEX(上年标准成本!$I:$I,MATCH(K379,上年标准成本!$C:$C,0),1),"")</f>
        <v/>
      </c>
      <c r="U379" s="126" t="str">
        <f t="shared" si="33"/>
        <v/>
      </c>
      <c r="V379" s="126" t="str">
        <f t="shared" si="34"/>
        <v/>
      </c>
      <c r="W379" s="124" t="str">
        <f t="shared" si="35"/>
        <v/>
      </c>
      <c r="X379" s="125" t="str">
        <f t="shared" si="30"/>
        <v/>
      </c>
    </row>
    <row r="380" spans="1:24" x14ac:dyDescent="0.3">
      <c r="A380" s="129"/>
      <c r="B380" s="129"/>
      <c r="C380" s="128"/>
      <c r="D380" s="128"/>
      <c r="E380" s="128"/>
      <c r="F380" s="166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6" t="str">
        <f t="shared" si="31"/>
        <v/>
      </c>
      <c r="S380" s="163" t="str">
        <f t="shared" si="32"/>
        <v/>
      </c>
      <c r="T380" s="160" t="str">
        <f>IFERROR(INDEX(上年标准成本!$I:$I,MATCH(K380,上年标准成本!$C:$C,0),1),"")</f>
        <v/>
      </c>
      <c r="U380" s="126" t="str">
        <f t="shared" si="33"/>
        <v/>
      </c>
      <c r="V380" s="126" t="str">
        <f t="shared" si="34"/>
        <v/>
      </c>
      <c r="W380" s="124" t="str">
        <f t="shared" si="35"/>
        <v/>
      </c>
      <c r="X380" s="125" t="str">
        <f t="shared" si="30"/>
        <v/>
      </c>
    </row>
    <row r="381" spans="1:24" x14ac:dyDescent="0.3">
      <c r="A381" s="129"/>
      <c r="B381" s="129"/>
      <c r="C381" s="128"/>
      <c r="D381" s="128"/>
      <c r="E381" s="128"/>
      <c r="F381" s="166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6" t="str">
        <f t="shared" si="31"/>
        <v/>
      </c>
      <c r="S381" s="163" t="str">
        <f t="shared" si="32"/>
        <v/>
      </c>
      <c r="T381" s="160" t="str">
        <f>IFERROR(INDEX(上年标准成本!$I:$I,MATCH(K381,上年标准成本!$C:$C,0),1),"")</f>
        <v/>
      </c>
      <c r="U381" s="126" t="str">
        <f t="shared" si="33"/>
        <v/>
      </c>
      <c r="V381" s="126" t="str">
        <f t="shared" si="34"/>
        <v/>
      </c>
      <c r="W381" s="124" t="str">
        <f t="shared" si="35"/>
        <v/>
      </c>
      <c r="X381" s="125" t="str">
        <f t="shared" si="30"/>
        <v/>
      </c>
    </row>
    <row r="382" spans="1:24" x14ac:dyDescent="0.3">
      <c r="A382" s="129"/>
      <c r="B382" s="129"/>
      <c r="C382" s="128"/>
      <c r="D382" s="128"/>
      <c r="E382" s="128"/>
      <c r="F382" s="166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6" t="str">
        <f t="shared" si="31"/>
        <v/>
      </c>
      <c r="S382" s="163" t="str">
        <f t="shared" si="32"/>
        <v/>
      </c>
      <c r="T382" s="160" t="str">
        <f>IFERROR(INDEX(上年标准成本!$I:$I,MATCH(K382,上年标准成本!$C:$C,0),1),"")</f>
        <v/>
      </c>
      <c r="U382" s="126" t="str">
        <f t="shared" si="33"/>
        <v/>
      </c>
      <c r="V382" s="126" t="str">
        <f t="shared" si="34"/>
        <v/>
      </c>
      <c r="W382" s="124" t="str">
        <f t="shared" si="35"/>
        <v/>
      </c>
      <c r="X382" s="125" t="str">
        <f t="shared" si="30"/>
        <v/>
      </c>
    </row>
    <row r="383" spans="1:24" x14ac:dyDescent="0.3">
      <c r="A383" s="129"/>
      <c r="B383" s="129"/>
      <c r="C383" s="128"/>
      <c r="D383" s="128"/>
      <c r="E383" s="128"/>
      <c r="F383" s="166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6" t="str">
        <f t="shared" si="31"/>
        <v/>
      </c>
      <c r="S383" s="163" t="str">
        <f t="shared" si="32"/>
        <v/>
      </c>
      <c r="T383" s="160" t="str">
        <f>IFERROR(INDEX(上年标准成本!$I:$I,MATCH(K383,上年标准成本!$C:$C,0),1),"")</f>
        <v/>
      </c>
      <c r="U383" s="126" t="str">
        <f t="shared" si="33"/>
        <v/>
      </c>
      <c r="V383" s="126" t="str">
        <f t="shared" si="34"/>
        <v/>
      </c>
      <c r="W383" s="124" t="str">
        <f t="shared" si="35"/>
        <v/>
      </c>
      <c r="X383" s="125" t="str">
        <f t="shared" si="30"/>
        <v/>
      </c>
    </row>
    <row r="384" spans="1:24" x14ac:dyDescent="0.3">
      <c r="A384" s="129"/>
      <c r="B384" s="129"/>
      <c r="C384" s="128"/>
      <c r="D384" s="128"/>
      <c r="E384" s="128"/>
      <c r="F384" s="166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6" t="str">
        <f t="shared" si="31"/>
        <v/>
      </c>
      <c r="S384" s="163" t="str">
        <f t="shared" si="32"/>
        <v/>
      </c>
      <c r="T384" s="160" t="str">
        <f>IFERROR(INDEX(上年标准成本!$I:$I,MATCH(K384,上年标准成本!$C:$C,0),1),"")</f>
        <v/>
      </c>
      <c r="U384" s="126" t="str">
        <f t="shared" si="33"/>
        <v/>
      </c>
      <c r="V384" s="126" t="str">
        <f t="shared" si="34"/>
        <v/>
      </c>
      <c r="W384" s="124" t="str">
        <f t="shared" si="35"/>
        <v/>
      </c>
      <c r="X384" s="125" t="str">
        <f t="shared" si="30"/>
        <v/>
      </c>
    </row>
    <row r="385" spans="1:24" x14ac:dyDescent="0.3">
      <c r="A385" s="129"/>
      <c r="B385" s="129"/>
      <c r="C385" s="128"/>
      <c r="D385" s="128"/>
      <c r="E385" s="128"/>
      <c r="F385" s="166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6" t="str">
        <f t="shared" si="31"/>
        <v/>
      </c>
      <c r="S385" s="163" t="str">
        <f t="shared" si="32"/>
        <v/>
      </c>
      <c r="T385" s="160" t="str">
        <f>IFERROR(INDEX(上年标准成本!$I:$I,MATCH(K385,上年标准成本!$C:$C,0),1),"")</f>
        <v/>
      </c>
      <c r="U385" s="126" t="str">
        <f t="shared" si="33"/>
        <v/>
      </c>
      <c r="V385" s="126" t="str">
        <f t="shared" si="34"/>
        <v/>
      </c>
      <c r="W385" s="124" t="str">
        <f t="shared" si="35"/>
        <v/>
      </c>
      <c r="X385" s="125" t="str">
        <f t="shared" si="30"/>
        <v/>
      </c>
    </row>
    <row r="386" spans="1:24" x14ac:dyDescent="0.3">
      <c r="A386" s="129"/>
      <c r="B386" s="129"/>
      <c r="C386" s="128"/>
      <c r="D386" s="128"/>
      <c r="E386" s="128"/>
      <c r="F386" s="166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6" t="str">
        <f t="shared" si="31"/>
        <v/>
      </c>
      <c r="S386" s="163" t="str">
        <f t="shared" si="32"/>
        <v/>
      </c>
      <c r="T386" s="160" t="str">
        <f>IFERROR(INDEX(上年标准成本!$I:$I,MATCH(K386,上年标准成本!$C:$C,0),1),"")</f>
        <v/>
      </c>
      <c r="U386" s="126" t="str">
        <f t="shared" si="33"/>
        <v/>
      </c>
      <c r="V386" s="126" t="str">
        <f t="shared" si="34"/>
        <v/>
      </c>
      <c r="W386" s="124" t="str">
        <f t="shared" si="35"/>
        <v/>
      </c>
      <c r="X386" s="125" t="str">
        <f t="shared" ref="X386:X449" si="36">IFERROR(IF(W386/SUM(W:W)=0,"",W386/SUM(W:W)),"")</f>
        <v/>
      </c>
    </row>
    <row r="387" spans="1:24" x14ac:dyDescent="0.3">
      <c r="A387" s="129"/>
      <c r="B387" s="129"/>
      <c r="C387" s="128"/>
      <c r="D387" s="128"/>
      <c r="E387" s="128"/>
      <c r="F387" s="166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6" t="str">
        <f t="shared" ref="R387:R450" si="37">IFERROR(P387/O387,"")</f>
        <v/>
      </c>
      <c r="S387" s="163" t="str">
        <f t="shared" ref="S387:S450" si="38">IFERROR(R387*(1+Q387),"")</f>
        <v/>
      </c>
      <c r="T387" s="160" t="str">
        <f>IFERROR(INDEX(上年标准成本!$I:$I,MATCH(K387,上年标准成本!$C:$C,0),1),"")</f>
        <v/>
      </c>
      <c r="U387" s="126" t="str">
        <f t="shared" ref="U387:U450" si="39">IFERROR(O387*T387,"")</f>
        <v/>
      </c>
      <c r="V387" s="126" t="str">
        <f t="shared" ref="V387:V450" si="40">IFERROR(P387-U387,"")</f>
        <v/>
      </c>
      <c r="W387" s="124" t="str">
        <f t="shared" ref="W387:W450" si="41">IFERROR(V387/P387,"")</f>
        <v/>
      </c>
      <c r="X387" s="125" t="str">
        <f t="shared" si="36"/>
        <v/>
      </c>
    </row>
    <row r="388" spans="1:24" x14ac:dyDescent="0.3">
      <c r="A388" s="129"/>
      <c r="B388" s="129"/>
      <c r="C388" s="128"/>
      <c r="D388" s="128"/>
      <c r="E388" s="128"/>
      <c r="F388" s="166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6" t="str">
        <f t="shared" si="37"/>
        <v/>
      </c>
      <c r="S388" s="163" t="str">
        <f t="shared" si="38"/>
        <v/>
      </c>
      <c r="T388" s="160" t="str">
        <f>IFERROR(INDEX(上年标准成本!$I:$I,MATCH(K388,上年标准成本!$C:$C,0),1),"")</f>
        <v/>
      </c>
      <c r="U388" s="126" t="str">
        <f t="shared" si="39"/>
        <v/>
      </c>
      <c r="V388" s="126" t="str">
        <f t="shared" si="40"/>
        <v/>
      </c>
      <c r="W388" s="124" t="str">
        <f t="shared" si="41"/>
        <v/>
      </c>
      <c r="X388" s="125" t="str">
        <f t="shared" si="36"/>
        <v/>
      </c>
    </row>
    <row r="389" spans="1:24" x14ac:dyDescent="0.3">
      <c r="A389" s="129"/>
      <c r="B389" s="129"/>
      <c r="C389" s="128"/>
      <c r="D389" s="128"/>
      <c r="E389" s="128"/>
      <c r="F389" s="166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6" t="str">
        <f t="shared" si="37"/>
        <v/>
      </c>
      <c r="S389" s="163" t="str">
        <f t="shared" si="38"/>
        <v/>
      </c>
      <c r="T389" s="160" t="str">
        <f>IFERROR(INDEX(上年标准成本!$I:$I,MATCH(K389,上年标准成本!$C:$C,0),1),"")</f>
        <v/>
      </c>
      <c r="U389" s="126" t="str">
        <f t="shared" si="39"/>
        <v/>
      </c>
      <c r="V389" s="126" t="str">
        <f t="shared" si="40"/>
        <v/>
      </c>
      <c r="W389" s="124" t="str">
        <f t="shared" si="41"/>
        <v/>
      </c>
      <c r="X389" s="125" t="str">
        <f t="shared" si="36"/>
        <v/>
      </c>
    </row>
    <row r="390" spans="1:24" x14ac:dyDescent="0.3">
      <c r="A390" s="129"/>
      <c r="B390" s="129"/>
      <c r="C390" s="128"/>
      <c r="D390" s="128"/>
      <c r="E390" s="128"/>
      <c r="F390" s="166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6" t="str">
        <f t="shared" si="37"/>
        <v/>
      </c>
      <c r="S390" s="163" t="str">
        <f t="shared" si="38"/>
        <v/>
      </c>
      <c r="T390" s="160" t="str">
        <f>IFERROR(INDEX(上年标准成本!$I:$I,MATCH(K390,上年标准成本!$C:$C,0),1),"")</f>
        <v/>
      </c>
      <c r="U390" s="126" t="str">
        <f t="shared" si="39"/>
        <v/>
      </c>
      <c r="V390" s="126" t="str">
        <f t="shared" si="40"/>
        <v/>
      </c>
      <c r="W390" s="124" t="str">
        <f t="shared" si="41"/>
        <v/>
      </c>
      <c r="X390" s="125" t="str">
        <f t="shared" si="36"/>
        <v/>
      </c>
    </row>
    <row r="391" spans="1:24" x14ac:dyDescent="0.3">
      <c r="A391" s="129"/>
      <c r="B391" s="129"/>
      <c r="C391" s="128"/>
      <c r="D391" s="128"/>
      <c r="E391" s="128"/>
      <c r="F391" s="166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6" t="str">
        <f t="shared" si="37"/>
        <v/>
      </c>
      <c r="S391" s="163" t="str">
        <f t="shared" si="38"/>
        <v/>
      </c>
      <c r="T391" s="160" t="str">
        <f>IFERROR(INDEX(上年标准成本!$I:$I,MATCH(K391,上年标准成本!$C:$C,0),1),"")</f>
        <v/>
      </c>
      <c r="U391" s="126" t="str">
        <f t="shared" si="39"/>
        <v/>
      </c>
      <c r="V391" s="126" t="str">
        <f t="shared" si="40"/>
        <v/>
      </c>
      <c r="W391" s="124" t="str">
        <f t="shared" si="41"/>
        <v/>
      </c>
      <c r="X391" s="125" t="str">
        <f t="shared" si="36"/>
        <v/>
      </c>
    </row>
    <row r="392" spans="1:24" x14ac:dyDescent="0.3">
      <c r="A392" s="129"/>
      <c r="B392" s="129"/>
      <c r="C392" s="128"/>
      <c r="D392" s="128"/>
      <c r="E392" s="128"/>
      <c r="F392" s="166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6" t="str">
        <f t="shared" si="37"/>
        <v/>
      </c>
      <c r="S392" s="163" t="str">
        <f t="shared" si="38"/>
        <v/>
      </c>
      <c r="T392" s="160" t="str">
        <f>IFERROR(INDEX(上年标准成本!$I:$I,MATCH(K392,上年标准成本!$C:$C,0),1),"")</f>
        <v/>
      </c>
      <c r="U392" s="126" t="str">
        <f t="shared" si="39"/>
        <v/>
      </c>
      <c r="V392" s="126" t="str">
        <f t="shared" si="40"/>
        <v/>
      </c>
      <c r="W392" s="124" t="str">
        <f t="shared" si="41"/>
        <v/>
      </c>
      <c r="X392" s="125" t="str">
        <f t="shared" si="36"/>
        <v/>
      </c>
    </row>
    <row r="393" spans="1:24" x14ac:dyDescent="0.3">
      <c r="A393" s="129"/>
      <c r="B393" s="129"/>
      <c r="C393" s="128"/>
      <c r="D393" s="128"/>
      <c r="E393" s="128"/>
      <c r="F393" s="166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6" t="str">
        <f t="shared" si="37"/>
        <v/>
      </c>
      <c r="S393" s="163" t="str">
        <f t="shared" si="38"/>
        <v/>
      </c>
      <c r="T393" s="160" t="str">
        <f>IFERROR(INDEX(上年标准成本!$I:$I,MATCH(K393,上年标准成本!$C:$C,0),1),"")</f>
        <v/>
      </c>
      <c r="U393" s="126" t="str">
        <f t="shared" si="39"/>
        <v/>
      </c>
      <c r="V393" s="126" t="str">
        <f t="shared" si="40"/>
        <v/>
      </c>
      <c r="W393" s="124" t="str">
        <f t="shared" si="41"/>
        <v/>
      </c>
      <c r="X393" s="125" t="str">
        <f t="shared" si="36"/>
        <v/>
      </c>
    </row>
    <row r="394" spans="1:24" x14ac:dyDescent="0.3">
      <c r="A394" s="129"/>
      <c r="B394" s="129"/>
      <c r="C394" s="128"/>
      <c r="D394" s="128"/>
      <c r="E394" s="128"/>
      <c r="F394" s="166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6" t="str">
        <f t="shared" si="37"/>
        <v/>
      </c>
      <c r="S394" s="163" t="str">
        <f t="shared" si="38"/>
        <v/>
      </c>
      <c r="T394" s="160" t="str">
        <f>IFERROR(INDEX(上年标准成本!$I:$I,MATCH(K394,上年标准成本!$C:$C,0),1),"")</f>
        <v/>
      </c>
      <c r="U394" s="126" t="str">
        <f t="shared" si="39"/>
        <v/>
      </c>
      <c r="V394" s="126" t="str">
        <f t="shared" si="40"/>
        <v/>
      </c>
      <c r="W394" s="124" t="str">
        <f t="shared" si="41"/>
        <v/>
      </c>
      <c r="X394" s="125" t="str">
        <f t="shared" si="36"/>
        <v/>
      </c>
    </row>
    <row r="395" spans="1:24" x14ac:dyDescent="0.3">
      <c r="A395" s="129"/>
      <c r="B395" s="129"/>
      <c r="C395" s="128"/>
      <c r="D395" s="128"/>
      <c r="E395" s="128"/>
      <c r="F395" s="166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6" t="str">
        <f t="shared" si="37"/>
        <v/>
      </c>
      <c r="S395" s="163" t="str">
        <f t="shared" si="38"/>
        <v/>
      </c>
      <c r="T395" s="160" t="str">
        <f>IFERROR(INDEX(上年标准成本!$I:$I,MATCH(K395,上年标准成本!$C:$C,0),1),"")</f>
        <v/>
      </c>
      <c r="U395" s="126" t="str">
        <f t="shared" si="39"/>
        <v/>
      </c>
      <c r="V395" s="126" t="str">
        <f t="shared" si="40"/>
        <v/>
      </c>
      <c r="W395" s="124" t="str">
        <f t="shared" si="41"/>
        <v/>
      </c>
      <c r="X395" s="125" t="str">
        <f t="shared" si="36"/>
        <v/>
      </c>
    </row>
    <row r="396" spans="1:24" x14ac:dyDescent="0.3">
      <c r="A396" s="129"/>
      <c r="B396" s="129"/>
      <c r="C396" s="128"/>
      <c r="D396" s="128"/>
      <c r="E396" s="128"/>
      <c r="F396" s="166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6" t="str">
        <f t="shared" si="37"/>
        <v/>
      </c>
      <c r="S396" s="163" t="str">
        <f t="shared" si="38"/>
        <v/>
      </c>
      <c r="T396" s="160" t="str">
        <f>IFERROR(INDEX(上年标准成本!$I:$I,MATCH(K396,上年标准成本!$C:$C,0),1),"")</f>
        <v/>
      </c>
      <c r="U396" s="126" t="str">
        <f t="shared" si="39"/>
        <v/>
      </c>
      <c r="V396" s="126" t="str">
        <f t="shared" si="40"/>
        <v/>
      </c>
      <c r="W396" s="124" t="str">
        <f t="shared" si="41"/>
        <v/>
      </c>
      <c r="X396" s="125" t="str">
        <f t="shared" si="36"/>
        <v/>
      </c>
    </row>
    <row r="397" spans="1:24" x14ac:dyDescent="0.3">
      <c r="A397" s="129"/>
      <c r="B397" s="129"/>
      <c r="C397" s="128"/>
      <c r="D397" s="128"/>
      <c r="E397" s="128"/>
      <c r="F397" s="166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6" t="str">
        <f t="shared" si="37"/>
        <v/>
      </c>
      <c r="S397" s="163" t="str">
        <f t="shared" si="38"/>
        <v/>
      </c>
      <c r="T397" s="160" t="str">
        <f>IFERROR(INDEX(上年标准成本!$I:$I,MATCH(K397,上年标准成本!$C:$C,0),1),"")</f>
        <v/>
      </c>
      <c r="U397" s="126" t="str">
        <f t="shared" si="39"/>
        <v/>
      </c>
      <c r="V397" s="126" t="str">
        <f t="shared" si="40"/>
        <v/>
      </c>
      <c r="W397" s="124" t="str">
        <f t="shared" si="41"/>
        <v/>
      </c>
      <c r="X397" s="125" t="str">
        <f t="shared" si="36"/>
        <v/>
      </c>
    </row>
    <row r="398" spans="1:24" x14ac:dyDescent="0.3">
      <c r="A398" s="129"/>
      <c r="B398" s="129"/>
      <c r="C398" s="128"/>
      <c r="D398" s="128"/>
      <c r="E398" s="128"/>
      <c r="F398" s="166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6" t="str">
        <f t="shared" si="37"/>
        <v/>
      </c>
      <c r="S398" s="163" t="str">
        <f t="shared" si="38"/>
        <v/>
      </c>
      <c r="T398" s="160" t="str">
        <f>IFERROR(INDEX(上年标准成本!$I:$I,MATCH(K398,上年标准成本!$C:$C,0),1),"")</f>
        <v/>
      </c>
      <c r="U398" s="126" t="str">
        <f t="shared" si="39"/>
        <v/>
      </c>
      <c r="V398" s="126" t="str">
        <f t="shared" si="40"/>
        <v/>
      </c>
      <c r="W398" s="124" t="str">
        <f t="shared" si="41"/>
        <v/>
      </c>
      <c r="X398" s="125" t="str">
        <f t="shared" si="36"/>
        <v/>
      </c>
    </row>
    <row r="399" spans="1:24" x14ac:dyDescent="0.3">
      <c r="A399" s="129"/>
      <c r="B399" s="129"/>
      <c r="C399" s="128"/>
      <c r="D399" s="128"/>
      <c r="E399" s="128"/>
      <c r="F399" s="166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6" t="str">
        <f t="shared" si="37"/>
        <v/>
      </c>
      <c r="S399" s="163" t="str">
        <f t="shared" si="38"/>
        <v/>
      </c>
      <c r="T399" s="160" t="str">
        <f>IFERROR(INDEX(上年标准成本!$I:$I,MATCH(K399,上年标准成本!$C:$C,0),1),"")</f>
        <v/>
      </c>
      <c r="U399" s="126" t="str">
        <f t="shared" si="39"/>
        <v/>
      </c>
      <c r="V399" s="126" t="str">
        <f t="shared" si="40"/>
        <v/>
      </c>
      <c r="W399" s="124" t="str">
        <f t="shared" si="41"/>
        <v/>
      </c>
      <c r="X399" s="125" t="str">
        <f t="shared" si="36"/>
        <v/>
      </c>
    </row>
    <row r="400" spans="1:24" x14ac:dyDescent="0.3">
      <c r="A400" s="129"/>
      <c r="B400" s="129"/>
      <c r="C400" s="128"/>
      <c r="D400" s="128"/>
      <c r="E400" s="128"/>
      <c r="F400" s="166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6" t="str">
        <f t="shared" si="37"/>
        <v/>
      </c>
      <c r="S400" s="163" t="str">
        <f t="shared" si="38"/>
        <v/>
      </c>
      <c r="T400" s="160" t="str">
        <f>IFERROR(INDEX(上年标准成本!$I:$I,MATCH(K400,上年标准成本!$C:$C,0),1),"")</f>
        <v/>
      </c>
      <c r="U400" s="126" t="str">
        <f t="shared" si="39"/>
        <v/>
      </c>
      <c r="V400" s="126" t="str">
        <f t="shared" si="40"/>
        <v/>
      </c>
      <c r="W400" s="124" t="str">
        <f t="shared" si="41"/>
        <v/>
      </c>
      <c r="X400" s="125" t="str">
        <f t="shared" si="36"/>
        <v/>
      </c>
    </row>
    <row r="401" spans="1:24" x14ac:dyDescent="0.3">
      <c r="A401" s="129"/>
      <c r="B401" s="129"/>
      <c r="C401" s="128"/>
      <c r="D401" s="128"/>
      <c r="E401" s="128"/>
      <c r="F401" s="166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6" t="str">
        <f t="shared" si="37"/>
        <v/>
      </c>
      <c r="S401" s="163" t="str">
        <f t="shared" si="38"/>
        <v/>
      </c>
      <c r="T401" s="160" t="str">
        <f>IFERROR(INDEX(上年标准成本!$I:$I,MATCH(K401,上年标准成本!$C:$C,0),1),"")</f>
        <v/>
      </c>
      <c r="U401" s="126" t="str">
        <f t="shared" si="39"/>
        <v/>
      </c>
      <c r="V401" s="126" t="str">
        <f t="shared" si="40"/>
        <v/>
      </c>
      <c r="W401" s="124" t="str">
        <f t="shared" si="41"/>
        <v/>
      </c>
      <c r="X401" s="125" t="str">
        <f t="shared" si="36"/>
        <v/>
      </c>
    </row>
    <row r="402" spans="1:24" x14ac:dyDescent="0.3">
      <c r="A402" s="129"/>
      <c r="B402" s="129"/>
      <c r="C402" s="128"/>
      <c r="D402" s="128"/>
      <c r="E402" s="128"/>
      <c r="F402" s="166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6" t="str">
        <f t="shared" si="37"/>
        <v/>
      </c>
      <c r="S402" s="163" t="str">
        <f t="shared" si="38"/>
        <v/>
      </c>
      <c r="T402" s="160" t="str">
        <f>IFERROR(INDEX(上年标准成本!$I:$I,MATCH(K402,上年标准成本!$C:$C,0),1),"")</f>
        <v/>
      </c>
      <c r="U402" s="126" t="str">
        <f t="shared" si="39"/>
        <v/>
      </c>
      <c r="V402" s="126" t="str">
        <f t="shared" si="40"/>
        <v/>
      </c>
      <c r="W402" s="124" t="str">
        <f t="shared" si="41"/>
        <v/>
      </c>
      <c r="X402" s="125" t="str">
        <f t="shared" si="36"/>
        <v/>
      </c>
    </row>
    <row r="403" spans="1:24" x14ac:dyDescent="0.3">
      <c r="A403" s="129"/>
      <c r="B403" s="129"/>
      <c r="C403" s="128"/>
      <c r="D403" s="128"/>
      <c r="E403" s="128"/>
      <c r="F403" s="166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6" t="str">
        <f t="shared" si="37"/>
        <v/>
      </c>
      <c r="S403" s="163" t="str">
        <f t="shared" si="38"/>
        <v/>
      </c>
      <c r="T403" s="160" t="str">
        <f>IFERROR(INDEX(上年标准成本!$I:$I,MATCH(K403,上年标准成本!$C:$C,0),1),"")</f>
        <v/>
      </c>
      <c r="U403" s="126" t="str">
        <f t="shared" si="39"/>
        <v/>
      </c>
      <c r="V403" s="126" t="str">
        <f t="shared" si="40"/>
        <v/>
      </c>
      <c r="W403" s="124" t="str">
        <f t="shared" si="41"/>
        <v/>
      </c>
      <c r="X403" s="125" t="str">
        <f t="shared" si="36"/>
        <v/>
      </c>
    </row>
    <row r="404" spans="1:24" x14ac:dyDescent="0.3">
      <c r="A404" s="129"/>
      <c r="B404" s="129"/>
      <c r="C404" s="128"/>
      <c r="D404" s="128"/>
      <c r="E404" s="128"/>
      <c r="F404" s="166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6" t="str">
        <f t="shared" si="37"/>
        <v/>
      </c>
      <c r="S404" s="163" t="str">
        <f t="shared" si="38"/>
        <v/>
      </c>
      <c r="T404" s="160" t="str">
        <f>IFERROR(INDEX(上年标准成本!$I:$I,MATCH(K404,上年标准成本!$C:$C,0),1),"")</f>
        <v/>
      </c>
      <c r="U404" s="126" t="str">
        <f t="shared" si="39"/>
        <v/>
      </c>
      <c r="V404" s="126" t="str">
        <f t="shared" si="40"/>
        <v/>
      </c>
      <c r="W404" s="124" t="str">
        <f t="shared" si="41"/>
        <v/>
      </c>
      <c r="X404" s="125" t="str">
        <f t="shared" si="36"/>
        <v/>
      </c>
    </row>
    <row r="405" spans="1:24" x14ac:dyDescent="0.3">
      <c r="A405" s="129"/>
      <c r="B405" s="129"/>
      <c r="C405" s="128"/>
      <c r="D405" s="128"/>
      <c r="E405" s="128"/>
      <c r="F405" s="166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6" t="str">
        <f t="shared" si="37"/>
        <v/>
      </c>
      <c r="S405" s="163" t="str">
        <f t="shared" si="38"/>
        <v/>
      </c>
      <c r="T405" s="160" t="str">
        <f>IFERROR(INDEX(上年标准成本!$I:$I,MATCH(K405,上年标准成本!$C:$C,0),1),"")</f>
        <v/>
      </c>
      <c r="U405" s="126" t="str">
        <f t="shared" si="39"/>
        <v/>
      </c>
      <c r="V405" s="126" t="str">
        <f t="shared" si="40"/>
        <v/>
      </c>
      <c r="W405" s="124" t="str">
        <f t="shared" si="41"/>
        <v/>
      </c>
      <c r="X405" s="125" t="str">
        <f t="shared" si="36"/>
        <v/>
      </c>
    </row>
    <row r="406" spans="1:24" x14ac:dyDescent="0.3">
      <c r="A406" s="129"/>
      <c r="B406" s="129"/>
      <c r="C406" s="128"/>
      <c r="D406" s="128"/>
      <c r="E406" s="128"/>
      <c r="F406" s="166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6" t="str">
        <f t="shared" si="37"/>
        <v/>
      </c>
      <c r="S406" s="163" t="str">
        <f t="shared" si="38"/>
        <v/>
      </c>
      <c r="T406" s="160" t="str">
        <f>IFERROR(INDEX(上年标准成本!$I:$I,MATCH(K406,上年标准成本!$C:$C,0),1),"")</f>
        <v/>
      </c>
      <c r="U406" s="126" t="str">
        <f t="shared" si="39"/>
        <v/>
      </c>
      <c r="V406" s="126" t="str">
        <f t="shared" si="40"/>
        <v/>
      </c>
      <c r="W406" s="124" t="str">
        <f t="shared" si="41"/>
        <v/>
      </c>
      <c r="X406" s="125" t="str">
        <f t="shared" si="36"/>
        <v/>
      </c>
    </row>
    <row r="407" spans="1:24" x14ac:dyDescent="0.3">
      <c r="A407" s="129"/>
      <c r="B407" s="129"/>
      <c r="C407" s="128"/>
      <c r="D407" s="128"/>
      <c r="E407" s="128"/>
      <c r="F407" s="166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6" t="str">
        <f t="shared" si="37"/>
        <v/>
      </c>
      <c r="S407" s="163" t="str">
        <f t="shared" si="38"/>
        <v/>
      </c>
      <c r="T407" s="160" t="str">
        <f>IFERROR(INDEX(上年标准成本!$I:$I,MATCH(K407,上年标准成本!$C:$C,0),1),"")</f>
        <v/>
      </c>
      <c r="U407" s="126" t="str">
        <f t="shared" si="39"/>
        <v/>
      </c>
      <c r="V407" s="126" t="str">
        <f t="shared" si="40"/>
        <v/>
      </c>
      <c r="W407" s="124" t="str">
        <f t="shared" si="41"/>
        <v/>
      </c>
      <c r="X407" s="125" t="str">
        <f t="shared" si="36"/>
        <v/>
      </c>
    </row>
    <row r="408" spans="1:24" x14ac:dyDescent="0.3">
      <c r="A408" s="129"/>
      <c r="B408" s="129"/>
      <c r="C408" s="128"/>
      <c r="D408" s="128"/>
      <c r="E408" s="128"/>
      <c r="F408" s="166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6" t="str">
        <f t="shared" si="37"/>
        <v/>
      </c>
      <c r="S408" s="163" t="str">
        <f t="shared" si="38"/>
        <v/>
      </c>
      <c r="T408" s="160" t="str">
        <f>IFERROR(INDEX(上年标准成本!$I:$I,MATCH(K408,上年标准成本!$C:$C,0),1),"")</f>
        <v/>
      </c>
      <c r="U408" s="126" t="str">
        <f t="shared" si="39"/>
        <v/>
      </c>
      <c r="V408" s="126" t="str">
        <f t="shared" si="40"/>
        <v/>
      </c>
      <c r="W408" s="124" t="str">
        <f t="shared" si="41"/>
        <v/>
      </c>
      <c r="X408" s="125" t="str">
        <f t="shared" si="36"/>
        <v/>
      </c>
    </row>
    <row r="409" spans="1:24" x14ac:dyDescent="0.3">
      <c r="A409" s="129"/>
      <c r="B409" s="129"/>
      <c r="C409" s="128"/>
      <c r="D409" s="128"/>
      <c r="E409" s="128"/>
      <c r="F409" s="166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6" t="str">
        <f t="shared" si="37"/>
        <v/>
      </c>
      <c r="S409" s="163" t="str">
        <f t="shared" si="38"/>
        <v/>
      </c>
      <c r="T409" s="160" t="str">
        <f>IFERROR(INDEX(上年标准成本!$I:$I,MATCH(K409,上年标准成本!$C:$C,0),1),"")</f>
        <v/>
      </c>
      <c r="U409" s="126" t="str">
        <f t="shared" si="39"/>
        <v/>
      </c>
      <c r="V409" s="126" t="str">
        <f t="shared" si="40"/>
        <v/>
      </c>
      <c r="W409" s="124" t="str">
        <f t="shared" si="41"/>
        <v/>
      </c>
      <c r="X409" s="125" t="str">
        <f t="shared" si="36"/>
        <v/>
      </c>
    </row>
    <row r="410" spans="1:24" x14ac:dyDescent="0.3">
      <c r="A410" s="129"/>
      <c r="B410" s="129"/>
      <c r="C410" s="128"/>
      <c r="D410" s="128"/>
      <c r="E410" s="128"/>
      <c r="F410" s="166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6" t="str">
        <f t="shared" si="37"/>
        <v/>
      </c>
      <c r="S410" s="163" t="str">
        <f t="shared" si="38"/>
        <v/>
      </c>
      <c r="T410" s="160" t="str">
        <f>IFERROR(INDEX(上年标准成本!$I:$I,MATCH(K410,上年标准成本!$C:$C,0),1),"")</f>
        <v/>
      </c>
      <c r="U410" s="126" t="str">
        <f t="shared" si="39"/>
        <v/>
      </c>
      <c r="V410" s="126" t="str">
        <f t="shared" si="40"/>
        <v/>
      </c>
      <c r="W410" s="124" t="str">
        <f t="shared" si="41"/>
        <v/>
      </c>
      <c r="X410" s="125" t="str">
        <f t="shared" si="36"/>
        <v/>
      </c>
    </row>
    <row r="411" spans="1:24" x14ac:dyDescent="0.3">
      <c r="A411" s="129"/>
      <c r="B411" s="129"/>
      <c r="C411" s="128"/>
      <c r="D411" s="128"/>
      <c r="E411" s="128"/>
      <c r="F411" s="166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6" t="str">
        <f t="shared" si="37"/>
        <v/>
      </c>
      <c r="S411" s="163" t="str">
        <f t="shared" si="38"/>
        <v/>
      </c>
      <c r="T411" s="160" t="str">
        <f>IFERROR(INDEX(上年标准成本!$I:$I,MATCH(K411,上年标准成本!$C:$C,0),1),"")</f>
        <v/>
      </c>
      <c r="U411" s="126" t="str">
        <f t="shared" si="39"/>
        <v/>
      </c>
      <c r="V411" s="126" t="str">
        <f t="shared" si="40"/>
        <v/>
      </c>
      <c r="W411" s="124" t="str">
        <f t="shared" si="41"/>
        <v/>
      </c>
      <c r="X411" s="125" t="str">
        <f t="shared" si="36"/>
        <v/>
      </c>
    </row>
    <row r="412" spans="1:24" x14ac:dyDescent="0.3">
      <c r="A412" s="129"/>
      <c r="B412" s="129"/>
      <c r="C412" s="128"/>
      <c r="D412" s="128"/>
      <c r="E412" s="128"/>
      <c r="F412" s="166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6" t="str">
        <f t="shared" si="37"/>
        <v/>
      </c>
      <c r="S412" s="163" t="str">
        <f t="shared" si="38"/>
        <v/>
      </c>
      <c r="T412" s="160" t="str">
        <f>IFERROR(INDEX(上年标准成本!$I:$I,MATCH(K412,上年标准成本!$C:$C,0),1),"")</f>
        <v/>
      </c>
      <c r="U412" s="126" t="str">
        <f t="shared" si="39"/>
        <v/>
      </c>
      <c r="V412" s="126" t="str">
        <f t="shared" si="40"/>
        <v/>
      </c>
      <c r="W412" s="124" t="str">
        <f t="shared" si="41"/>
        <v/>
      </c>
      <c r="X412" s="125" t="str">
        <f t="shared" si="36"/>
        <v/>
      </c>
    </row>
    <row r="413" spans="1:24" x14ac:dyDescent="0.3">
      <c r="A413" s="129"/>
      <c r="B413" s="129"/>
      <c r="C413" s="128"/>
      <c r="D413" s="128"/>
      <c r="E413" s="128"/>
      <c r="F413" s="166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6" t="str">
        <f t="shared" si="37"/>
        <v/>
      </c>
      <c r="S413" s="163" t="str">
        <f t="shared" si="38"/>
        <v/>
      </c>
      <c r="T413" s="160" t="str">
        <f>IFERROR(INDEX(上年标准成本!$I:$I,MATCH(K413,上年标准成本!$C:$C,0),1),"")</f>
        <v/>
      </c>
      <c r="U413" s="126" t="str">
        <f t="shared" si="39"/>
        <v/>
      </c>
      <c r="V413" s="126" t="str">
        <f t="shared" si="40"/>
        <v/>
      </c>
      <c r="W413" s="124" t="str">
        <f t="shared" si="41"/>
        <v/>
      </c>
      <c r="X413" s="125" t="str">
        <f t="shared" si="36"/>
        <v/>
      </c>
    </row>
    <row r="414" spans="1:24" x14ac:dyDescent="0.3">
      <c r="A414" s="129"/>
      <c r="B414" s="129"/>
      <c r="C414" s="128"/>
      <c r="D414" s="128"/>
      <c r="E414" s="128"/>
      <c r="F414" s="166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6" t="str">
        <f t="shared" si="37"/>
        <v/>
      </c>
      <c r="S414" s="163" t="str">
        <f t="shared" si="38"/>
        <v/>
      </c>
      <c r="T414" s="160" t="str">
        <f>IFERROR(INDEX(上年标准成本!$I:$I,MATCH(K414,上年标准成本!$C:$C,0),1),"")</f>
        <v/>
      </c>
      <c r="U414" s="126" t="str">
        <f t="shared" si="39"/>
        <v/>
      </c>
      <c r="V414" s="126" t="str">
        <f t="shared" si="40"/>
        <v/>
      </c>
      <c r="W414" s="124" t="str">
        <f t="shared" si="41"/>
        <v/>
      </c>
      <c r="X414" s="125" t="str">
        <f t="shared" si="36"/>
        <v/>
      </c>
    </row>
    <row r="415" spans="1:24" x14ac:dyDescent="0.3">
      <c r="A415" s="129"/>
      <c r="B415" s="129"/>
      <c r="C415" s="128"/>
      <c r="D415" s="128"/>
      <c r="E415" s="128"/>
      <c r="F415" s="166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6" t="str">
        <f t="shared" si="37"/>
        <v/>
      </c>
      <c r="S415" s="163" t="str">
        <f t="shared" si="38"/>
        <v/>
      </c>
      <c r="T415" s="160" t="str">
        <f>IFERROR(INDEX(上年标准成本!$I:$I,MATCH(K415,上年标准成本!$C:$C,0),1),"")</f>
        <v/>
      </c>
      <c r="U415" s="126" t="str">
        <f t="shared" si="39"/>
        <v/>
      </c>
      <c r="V415" s="126" t="str">
        <f t="shared" si="40"/>
        <v/>
      </c>
      <c r="W415" s="124" t="str">
        <f t="shared" si="41"/>
        <v/>
      </c>
      <c r="X415" s="125" t="str">
        <f t="shared" si="36"/>
        <v/>
      </c>
    </row>
    <row r="416" spans="1:24" x14ac:dyDescent="0.3">
      <c r="A416" s="129"/>
      <c r="B416" s="129"/>
      <c r="C416" s="128"/>
      <c r="D416" s="128"/>
      <c r="E416" s="128"/>
      <c r="F416" s="166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6" t="str">
        <f t="shared" si="37"/>
        <v/>
      </c>
      <c r="S416" s="163" t="str">
        <f t="shared" si="38"/>
        <v/>
      </c>
      <c r="T416" s="160" t="str">
        <f>IFERROR(INDEX(上年标准成本!$I:$I,MATCH(K416,上年标准成本!$C:$C,0),1),"")</f>
        <v/>
      </c>
      <c r="U416" s="126" t="str">
        <f t="shared" si="39"/>
        <v/>
      </c>
      <c r="V416" s="126" t="str">
        <f t="shared" si="40"/>
        <v/>
      </c>
      <c r="W416" s="124" t="str">
        <f t="shared" si="41"/>
        <v/>
      </c>
      <c r="X416" s="125" t="str">
        <f t="shared" si="36"/>
        <v/>
      </c>
    </row>
    <row r="417" spans="1:24" x14ac:dyDescent="0.3">
      <c r="A417" s="129"/>
      <c r="B417" s="129"/>
      <c r="C417" s="128"/>
      <c r="D417" s="128"/>
      <c r="E417" s="128"/>
      <c r="F417" s="166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6" t="str">
        <f t="shared" si="37"/>
        <v/>
      </c>
      <c r="S417" s="163" t="str">
        <f t="shared" si="38"/>
        <v/>
      </c>
      <c r="T417" s="160" t="str">
        <f>IFERROR(INDEX(上年标准成本!$I:$I,MATCH(K417,上年标准成本!$C:$C,0),1),"")</f>
        <v/>
      </c>
      <c r="U417" s="126" t="str">
        <f t="shared" si="39"/>
        <v/>
      </c>
      <c r="V417" s="126" t="str">
        <f t="shared" si="40"/>
        <v/>
      </c>
      <c r="W417" s="124" t="str">
        <f t="shared" si="41"/>
        <v/>
      </c>
      <c r="X417" s="125" t="str">
        <f t="shared" si="36"/>
        <v/>
      </c>
    </row>
    <row r="418" spans="1:24" x14ac:dyDescent="0.3">
      <c r="A418" s="129"/>
      <c r="B418" s="129"/>
      <c r="C418" s="128"/>
      <c r="D418" s="128"/>
      <c r="E418" s="128"/>
      <c r="F418" s="166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6" t="str">
        <f t="shared" si="37"/>
        <v/>
      </c>
      <c r="S418" s="163" t="str">
        <f t="shared" si="38"/>
        <v/>
      </c>
      <c r="T418" s="160" t="str">
        <f>IFERROR(INDEX(上年标准成本!$I:$I,MATCH(K418,上年标准成本!$C:$C,0),1),"")</f>
        <v/>
      </c>
      <c r="U418" s="126" t="str">
        <f t="shared" si="39"/>
        <v/>
      </c>
      <c r="V418" s="126" t="str">
        <f t="shared" si="40"/>
        <v/>
      </c>
      <c r="W418" s="124" t="str">
        <f t="shared" si="41"/>
        <v/>
      </c>
      <c r="X418" s="125" t="str">
        <f t="shared" si="36"/>
        <v/>
      </c>
    </row>
    <row r="419" spans="1:24" x14ac:dyDescent="0.3">
      <c r="A419" s="129"/>
      <c r="B419" s="129"/>
      <c r="C419" s="128"/>
      <c r="D419" s="128"/>
      <c r="E419" s="128"/>
      <c r="F419" s="166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6" t="str">
        <f t="shared" si="37"/>
        <v/>
      </c>
      <c r="S419" s="163" t="str">
        <f t="shared" si="38"/>
        <v/>
      </c>
      <c r="T419" s="160" t="str">
        <f>IFERROR(INDEX(上年标准成本!$I:$I,MATCH(K419,上年标准成本!$C:$C,0),1),"")</f>
        <v/>
      </c>
      <c r="U419" s="126" t="str">
        <f t="shared" si="39"/>
        <v/>
      </c>
      <c r="V419" s="126" t="str">
        <f t="shared" si="40"/>
        <v/>
      </c>
      <c r="W419" s="124" t="str">
        <f t="shared" si="41"/>
        <v/>
      </c>
      <c r="X419" s="125" t="str">
        <f t="shared" si="36"/>
        <v/>
      </c>
    </row>
    <row r="420" spans="1:24" x14ac:dyDescent="0.3">
      <c r="A420" s="129"/>
      <c r="B420" s="129"/>
      <c r="C420" s="128"/>
      <c r="D420" s="128"/>
      <c r="E420" s="128"/>
      <c r="F420" s="166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6" t="str">
        <f t="shared" si="37"/>
        <v/>
      </c>
      <c r="S420" s="163" t="str">
        <f t="shared" si="38"/>
        <v/>
      </c>
      <c r="T420" s="160" t="str">
        <f>IFERROR(INDEX(上年标准成本!$I:$I,MATCH(K420,上年标准成本!$C:$C,0),1),"")</f>
        <v/>
      </c>
      <c r="U420" s="126" t="str">
        <f t="shared" si="39"/>
        <v/>
      </c>
      <c r="V420" s="126" t="str">
        <f t="shared" si="40"/>
        <v/>
      </c>
      <c r="W420" s="124" t="str">
        <f t="shared" si="41"/>
        <v/>
      </c>
      <c r="X420" s="125" t="str">
        <f t="shared" si="36"/>
        <v/>
      </c>
    </row>
    <row r="421" spans="1:24" x14ac:dyDescent="0.3">
      <c r="A421" s="129"/>
      <c r="B421" s="129"/>
      <c r="C421" s="128"/>
      <c r="D421" s="128"/>
      <c r="E421" s="128"/>
      <c r="F421" s="166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6" t="str">
        <f t="shared" si="37"/>
        <v/>
      </c>
      <c r="S421" s="163" t="str">
        <f t="shared" si="38"/>
        <v/>
      </c>
      <c r="T421" s="160" t="str">
        <f>IFERROR(INDEX(上年标准成本!$I:$I,MATCH(K421,上年标准成本!$C:$C,0),1),"")</f>
        <v/>
      </c>
      <c r="U421" s="126" t="str">
        <f t="shared" si="39"/>
        <v/>
      </c>
      <c r="V421" s="126" t="str">
        <f t="shared" si="40"/>
        <v/>
      </c>
      <c r="W421" s="124" t="str">
        <f t="shared" si="41"/>
        <v/>
      </c>
      <c r="X421" s="125" t="str">
        <f t="shared" si="36"/>
        <v/>
      </c>
    </row>
    <row r="422" spans="1:24" x14ac:dyDescent="0.3">
      <c r="A422" s="129"/>
      <c r="B422" s="129"/>
      <c r="C422" s="128"/>
      <c r="D422" s="128"/>
      <c r="E422" s="128"/>
      <c r="F422" s="166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6" t="str">
        <f t="shared" si="37"/>
        <v/>
      </c>
      <c r="S422" s="163" t="str">
        <f t="shared" si="38"/>
        <v/>
      </c>
      <c r="T422" s="160" t="str">
        <f>IFERROR(INDEX(上年标准成本!$I:$I,MATCH(K422,上年标准成本!$C:$C,0),1),"")</f>
        <v/>
      </c>
      <c r="U422" s="126" t="str">
        <f t="shared" si="39"/>
        <v/>
      </c>
      <c r="V422" s="126" t="str">
        <f t="shared" si="40"/>
        <v/>
      </c>
      <c r="W422" s="124" t="str">
        <f t="shared" si="41"/>
        <v/>
      </c>
      <c r="X422" s="125" t="str">
        <f t="shared" si="36"/>
        <v/>
      </c>
    </row>
    <row r="423" spans="1:24" x14ac:dyDescent="0.3">
      <c r="A423" s="129"/>
      <c r="B423" s="129"/>
      <c r="C423" s="128"/>
      <c r="D423" s="128"/>
      <c r="E423" s="128"/>
      <c r="F423" s="166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6" t="str">
        <f t="shared" si="37"/>
        <v/>
      </c>
      <c r="S423" s="163" t="str">
        <f t="shared" si="38"/>
        <v/>
      </c>
      <c r="T423" s="160" t="str">
        <f>IFERROR(INDEX(上年标准成本!$I:$I,MATCH(K423,上年标准成本!$C:$C,0),1),"")</f>
        <v/>
      </c>
      <c r="U423" s="126" t="str">
        <f t="shared" si="39"/>
        <v/>
      </c>
      <c r="V423" s="126" t="str">
        <f t="shared" si="40"/>
        <v/>
      </c>
      <c r="W423" s="124" t="str">
        <f t="shared" si="41"/>
        <v/>
      </c>
      <c r="X423" s="125" t="str">
        <f t="shared" si="36"/>
        <v/>
      </c>
    </row>
    <row r="424" spans="1:24" x14ac:dyDescent="0.3">
      <c r="A424" s="129"/>
      <c r="B424" s="129"/>
      <c r="C424" s="128"/>
      <c r="D424" s="128"/>
      <c r="E424" s="128"/>
      <c r="F424" s="166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6" t="str">
        <f t="shared" si="37"/>
        <v/>
      </c>
      <c r="S424" s="163" t="str">
        <f t="shared" si="38"/>
        <v/>
      </c>
      <c r="T424" s="160" t="str">
        <f>IFERROR(INDEX(上年标准成本!$I:$I,MATCH(K424,上年标准成本!$C:$C,0),1),"")</f>
        <v/>
      </c>
      <c r="U424" s="126" t="str">
        <f t="shared" si="39"/>
        <v/>
      </c>
      <c r="V424" s="126" t="str">
        <f t="shared" si="40"/>
        <v/>
      </c>
      <c r="W424" s="124" t="str">
        <f t="shared" si="41"/>
        <v/>
      </c>
      <c r="X424" s="125" t="str">
        <f t="shared" si="36"/>
        <v/>
      </c>
    </row>
    <row r="425" spans="1:24" x14ac:dyDescent="0.3">
      <c r="A425" s="129"/>
      <c r="B425" s="129"/>
      <c r="C425" s="128"/>
      <c r="D425" s="128"/>
      <c r="E425" s="128"/>
      <c r="F425" s="166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6" t="str">
        <f t="shared" si="37"/>
        <v/>
      </c>
      <c r="S425" s="163" t="str">
        <f t="shared" si="38"/>
        <v/>
      </c>
      <c r="T425" s="160" t="str">
        <f>IFERROR(INDEX(上年标准成本!$I:$I,MATCH(K425,上年标准成本!$C:$C,0),1),"")</f>
        <v/>
      </c>
      <c r="U425" s="126" t="str">
        <f t="shared" si="39"/>
        <v/>
      </c>
      <c r="V425" s="126" t="str">
        <f t="shared" si="40"/>
        <v/>
      </c>
      <c r="W425" s="124" t="str">
        <f t="shared" si="41"/>
        <v/>
      </c>
      <c r="X425" s="125" t="str">
        <f t="shared" si="36"/>
        <v/>
      </c>
    </row>
    <row r="426" spans="1:24" x14ac:dyDescent="0.3">
      <c r="A426" s="129"/>
      <c r="B426" s="129"/>
      <c r="C426" s="128"/>
      <c r="D426" s="128"/>
      <c r="E426" s="128"/>
      <c r="F426" s="166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6" t="str">
        <f t="shared" si="37"/>
        <v/>
      </c>
      <c r="S426" s="163" t="str">
        <f t="shared" si="38"/>
        <v/>
      </c>
      <c r="T426" s="160" t="str">
        <f>IFERROR(INDEX(上年标准成本!$I:$I,MATCH(K426,上年标准成本!$C:$C,0),1),"")</f>
        <v/>
      </c>
      <c r="U426" s="126" t="str">
        <f t="shared" si="39"/>
        <v/>
      </c>
      <c r="V426" s="126" t="str">
        <f t="shared" si="40"/>
        <v/>
      </c>
      <c r="W426" s="124" t="str">
        <f t="shared" si="41"/>
        <v/>
      </c>
      <c r="X426" s="125" t="str">
        <f t="shared" si="36"/>
        <v/>
      </c>
    </row>
    <row r="427" spans="1:24" x14ac:dyDescent="0.3">
      <c r="A427" s="129"/>
      <c r="B427" s="129"/>
      <c r="C427" s="128"/>
      <c r="D427" s="128"/>
      <c r="E427" s="128"/>
      <c r="F427" s="166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6" t="str">
        <f t="shared" si="37"/>
        <v/>
      </c>
      <c r="S427" s="163" t="str">
        <f t="shared" si="38"/>
        <v/>
      </c>
      <c r="T427" s="160" t="str">
        <f>IFERROR(INDEX(上年标准成本!$I:$I,MATCH(K427,上年标准成本!$C:$C,0),1),"")</f>
        <v/>
      </c>
      <c r="U427" s="126" t="str">
        <f t="shared" si="39"/>
        <v/>
      </c>
      <c r="V427" s="126" t="str">
        <f t="shared" si="40"/>
        <v/>
      </c>
      <c r="W427" s="124" t="str">
        <f t="shared" si="41"/>
        <v/>
      </c>
      <c r="X427" s="125" t="str">
        <f t="shared" si="36"/>
        <v/>
      </c>
    </row>
    <row r="428" spans="1:24" x14ac:dyDescent="0.3">
      <c r="A428" s="129"/>
      <c r="B428" s="129"/>
      <c r="C428" s="128"/>
      <c r="D428" s="128"/>
      <c r="E428" s="128"/>
      <c r="F428" s="166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6" t="str">
        <f t="shared" si="37"/>
        <v/>
      </c>
      <c r="S428" s="163" t="str">
        <f t="shared" si="38"/>
        <v/>
      </c>
      <c r="T428" s="160" t="str">
        <f>IFERROR(INDEX(上年标准成本!$I:$I,MATCH(K428,上年标准成本!$C:$C,0),1),"")</f>
        <v/>
      </c>
      <c r="U428" s="126" t="str">
        <f t="shared" si="39"/>
        <v/>
      </c>
      <c r="V428" s="126" t="str">
        <f t="shared" si="40"/>
        <v/>
      </c>
      <c r="W428" s="124" t="str">
        <f t="shared" si="41"/>
        <v/>
      </c>
      <c r="X428" s="125" t="str">
        <f t="shared" si="36"/>
        <v/>
      </c>
    </row>
    <row r="429" spans="1:24" x14ac:dyDescent="0.3">
      <c r="A429" s="129"/>
      <c r="B429" s="129"/>
      <c r="C429" s="128"/>
      <c r="D429" s="128"/>
      <c r="E429" s="128"/>
      <c r="F429" s="166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6" t="str">
        <f t="shared" si="37"/>
        <v/>
      </c>
      <c r="S429" s="163" t="str">
        <f t="shared" si="38"/>
        <v/>
      </c>
      <c r="T429" s="160" t="str">
        <f>IFERROR(INDEX(上年标准成本!$I:$I,MATCH(K429,上年标准成本!$C:$C,0),1),"")</f>
        <v/>
      </c>
      <c r="U429" s="126" t="str">
        <f t="shared" si="39"/>
        <v/>
      </c>
      <c r="V429" s="126" t="str">
        <f t="shared" si="40"/>
        <v/>
      </c>
      <c r="W429" s="124" t="str">
        <f t="shared" si="41"/>
        <v/>
      </c>
      <c r="X429" s="125" t="str">
        <f t="shared" si="36"/>
        <v/>
      </c>
    </row>
    <row r="430" spans="1:24" x14ac:dyDescent="0.3">
      <c r="A430" s="129"/>
      <c r="B430" s="129"/>
      <c r="C430" s="128"/>
      <c r="D430" s="128"/>
      <c r="E430" s="128"/>
      <c r="F430" s="166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6" t="str">
        <f t="shared" si="37"/>
        <v/>
      </c>
      <c r="S430" s="163" t="str">
        <f t="shared" si="38"/>
        <v/>
      </c>
      <c r="T430" s="160" t="str">
        <f>IFERROR(INDEX(上年标准成本!$I:$I,MATCH(K430,上年标准成本!$C:$C,0),1),"")</f>
        <v/>
      </c>
      <c r="U430" s="126" t="str">
        <f t="shared" si="39"/>
        <v/>
      </c>
      <c r="V430" s="126" t="str">
        <f t="shared" si="40"/>
        <v/>
      </c>
      <c r="W430" s="124" t="str">
        <f t="shared" si="41"/>
        <v/>
      </c>
      <c r="X430" s="125" t="str">
        <f t="shared" si="36"/>
        <v/>
      </c>
    </row>
    <row r="431" spans="1:24" x14ac:dyDescent="0.3">
      <c r="A431" s="129"/>
      <c r="B431" s="129"/>
      <c r="C431" s="128"/>
      <c r="D431" s="128"/>
      <c r="E431" s="128"/>
      <c r="F431" s="166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6" t="str">
        <f t="shared" si="37"/>
        <v/>
      </c>
      <c r="S431" s="163" t="str">
        <f t="shared" si="38"/>
        <v/>
      </c>
      <c r="T431" s="160" t="str">
        <f>IFERROR(INDEX(上年标准成本!$I:$I,MATCH(K431,上年标准成本!$C:$C,0),1),"")</f>
        <v/>
      </c>
      <c r="U431" s="126" t="str">
        <f t="shared" si="39"/>
        <v/>
      </c>
      <c r="V431" s="126" t="str">
        <f t="shared" si="40"/>
        <v/>
      </c>
      <c r="W431" s="124" t="str">
        <f t="shared" si="41"/>
        <v/>
      </c>
      <c r="X431" s="125" t="str">
        <f t="shared" si="36"/>
        <v/>
      </c>
    </row>
    <row r="432" spans="1:24" x14ac:dyDescent="0.3">
      <c r="A432" s="129"/>
      <c r="B432" s="129"/>
      <c r="C432" s="128"/>
      <c r="D432" s="128"/>
      <c r="E432" s="128"/>
      <c r="F432" s="166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6" t="str">
        <f t="shared" si="37"/>
        <v/>
      </c>
      <c r="S432" s="163" t="str">
        <f t="shared" si="38"/>
        <v/>
      </c>
      <c r="T432" s="160" t="str">
        <f>IFERROR(INDEX(上年标准成本!$I:$I,MATCH(K432,上年标准成本!$C:$C,0),1),"")</f>
        <v/>
      </c>
      <c r="U432" s="126" t="str">
        <f t="shared" si="39"/>
        <v/>
      </c>
      <c r="V432" s="126" t="str">
        <f t="shared" si="40"/>
        <v/>
      </c>
      <c r="W432" s="124" t="str">
        <f t="shared" si="41"/>
        <v/>
      </c>
      <c r="X432" s="125" t="str">
        <f t="shared" si="36"/>
        <v/>
      </c>
    </row>
    <row r="433" spans="1:24" x14ac:dyDescent="0.3">
      <c r="A433" s="129"/>
      <c r="B433" s="129"/>
      <c r="C433" s="128"/>
      <c r="D433" s="128"/>
      <c r="E433" s="128"/>
      <c r="F433" s="166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6" t="str">
        <f t="shared" si="37"/>
        <v/>
      </c>
      <c r="S433" s="163" t="str">
        <f t="shared" si="38"/>
        <v/>
      </c>
      <c r="T433" s="160" t="str">
        <f>IFERROR(INDEX(上年标准成本!$I:$I,MATCH(K433,上年标准成本!$C:$C,0),1),"")</f>
        <v/>
      </c>
      <c r="U433" s="126" t="str">
        <f t="shared" si="39"/>
        <v/>
      </c>
      <c r="V433" s="126" t="str">
        <f t="shared" si="40"/>
        <v/>
      </c>
      <c r="W433" s="124" t="str">
        <f t="shared" si="41"/>
        <v/>
      </c>
      <c r="X433" s="125" t="str">
        <f t="shared" si="36"/>
        <v/>
      </c>
    </row>
    <row r="434" spans="1:24" x14ac:dyDescent="0.3">
      <c r="A434" s="129"/>
      <c r="B434" s="129"/>
      <c r="C434" s="128"/>
      <c r="D434" s="128"/>
      <c r="E434" s="128"/>
      <c r="F434" s="166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6" t="str">
        <f t="shared" si="37"/>
        <v/>
      </c>
      <c r="S434" s="163" t="str">
        <f t="shared" si="38"/>
        <v/>
      </c>
      <c r="T434" s="160" t="str">
        <f>IFERROR(INDEX(上年标准成本!$I:$I,MATCH(K434,上年标准成本!$C:$C,0),1),"")</f>
        <v/>
      </c>
      <c r="U434" s="126" t="str">
        <f t="shared" si="39"/>
        <v/>
      </c>
      <c r="V434" s="126" t="str">
        <f t="shared" si="40"/>
        <v/>
      </c>
      <c r="W434" s="124" t="str">
        <f t="shared" si="41"/>
        <v/>
      </c>
      <c r="X434" s="125" t="str">
        <f t="shared" si="36"/>
        <v/>
      </c>
    </row>
    <row r="435" spans="1:24" x14ac:dyDescent="0.3">
      <c r="A435" s="129"/>
      <c r="B435" s="129"/>
      <c r="C435" s="128"/>
      <c r="D435" s="128"/>
      <c r="E435" s="128"/>
      <c r="F435" s="166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6" t="str">
        <f t="shared" si="37"/>
        <v/>
      </c>
      <c r="S435" s="163" t="str">
        <f t="shared" si="38"/>
        <v/>
      </c>
      <c r="T435" s="160" t="str">
        <f>IFERROR(INDEX(上年标准成本!$I:$I,MATCH(K435,上年标准成本!$C:$C,0),1),"")</f>
        <v/>
      </c>
      <c r="U435" s="126" t="str">
        <f t="shared" si="39"/>
        <v/>
      </c>
      <c r="V435" s="126" t="str">
        <f t="shared" si="40"/>
        <v/>
      </c>
      <c r="W435" s="124" t="str">
        <f t="shared" si="41"/>
        <v/>
      </c>
      <c r="X435" s="125" t="str">
        <f t="shared" si="36"/>
        <v/>
      </c>
    </row>
    <row r="436" spans="1:24" x14ac:dyDescent="0.3">
      <c r="A436" s="129"/>
      <c r="B436" s="129"/>
      <c r="C436" s="128"/>
      <c r="D436" s="128"/>
      <c r="E436" s="128"/>
      <c r="F436" s="166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6" t="str">
        <f t="shared" si="37"/>
        <v/>
      </c>
      <c r="S436" s="163" t="str">
        <f t="shared" si="38"/>
        <v/>
      </c>
      <c r="T436" s="160" t="str">
        <f>IFERROR(INDEX(上年标准成本!$I:$I,MATCH(K436,上年标准成本!$C:$C,0),1),"")</f>
        <v/>
      </c>
      <c r="U436" s="126" t="str">
        <f t="shared" si="39"/>
        <v/>
      </c>
      <c r="V436" s="126" t="str">
        <f t="shared" si="40"/>
        <v/>
      </c>
      <c r="W436" s="124" t="str">
        <f t="shared" si="41"/>
        <v/>
      </c>
      <c r="X436" s="125" t="str">
        <f t="shared" si="36"/>
        <v/>
      </c>
    </row>
    <row r="437" spans="1:24" x14ac:dyDescent="0.3">
      <c r="A437" s="129"/>
      <c r="B437" s="129"/>
      <c r="C437" s="128"/>
      <c r="D437" s="128"/>
      <c r="E437" s="128"/>
      <c r="F437" s="166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6" t="str">
        <f t="shared" si="37"/>
        <v/>
      </c>
      <c r="S437" s="163" t="str">
        <f t="shared" si="38"/>
        <v/>
      </c>
      <c r="T437" s="160" t="str">
        <f>IFERROR(INDEX(上年标准成本!$I:$I,MATCH(K437,上年标准成本!$C:$C,0),1),"")</f>
        <v/>
      </c>
      <c r="U437" s="126" t="str">
        <f t="shared" si="39"/>
        <v/>
      </c>
      <c r="V437" s="126" t="str">
        <f t="shared" si="40"/>
        <v/>
      </c>
      <c r="W437" s="124" t="str">
        <f t="shared" si="41"/>
        <v/>
      </c>
      <c r="X437" s="125" t="str">
        <f t="shared" si="36"/>
        <v/>
      </c>
    </row>
    <row r="438" spans="1:24" x14ac:dyDescent="0.3">
      <c r="A438" s="129"/>
      <c r="B438" s="129"/>
      <c r="C438" s="128"/>
      <c r="D438" s="128"/>
      <c r="E438" s="128"/>
      <c r="F438" s="166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6" t="str">
        <f t="shared" si="37"/>
        <v/>
      </c>
      <c r="S438" s="163" t="str">
        <f t="shared" si="38"/>
        <v/>
      </c>
      <c r="T438" s="160" t="str">
        <f>IFERROR(INDEX(上年标准成本!$I:$I,MATCH(K438,上年标准成本!$C:$C,0),1),"")</f>
        <v/>
      </c>
      <c r="U438" s="126" t="str">
        <f t="shared" si="39"/>
        <v/>
      </c>
      <c r="V438" s="126" t="str">
        <f t="shared" si="40"/>
        <v/>
      </c>
      <c r="W438" s="124" t="str">
        <f t="shared" si="41"/>
        <v/>
      </c>
      <c r="X438" s="125" t="str">
        <f t="shared" si="36"/>
        <v/>
      </c>
    </row>
    <row r="439" spans="1:24" x14ac:dyDescent="0.3">
      <c r="A439" s="129"/>
      <c r="B439" s="129"/>
      <c r="C439" s="128"/>
      <c r="D439" s="128"/>
      <c r="E439" s="128"/>
      <c r="F439" s="166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6" t="str">
        <f t="shared" si="37"/>
        <v/>
      </c>
      <c r="S439" s="163" t="str">
        <f t="shared" si="38"/>
        <v/>
      </c>
      <c r="T439" s="160" t="str">
        <f>IFERROR(INDEX(上年标准成本!$I:$I,MATCH(K439,上年标准成本!$C:$C,0),1),"")</f>
        <v/>
      </c>
      <c r="U439" s="126" t="str">
        <f t="shared" si="39"/>
        <v/>
      </c>
      <c r="V439" s="126" t="str">
        <f t="shared" si="40"/>
        <v/>
      </c>
      <c r="W439" s="124" t="str">
        <f t="shared" si="41"/>
        <v/>
      </c>
      <c r="X439" s="125" t="str">
        <f t="shared" si="36"/>
        <v/>
      </c>
    </row>
    <row r="440" spans="1:24" x14ac:dyDescent="0.3">
      <c r="A440" s="129"/>
      <c r="B440" s="129"/>
      <c r="C440" s="128"/>
      <c r="D440" s="128"/>
      <c r="E440" s="128"/>
      <c r="F440" s="166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6" t="str">
        <f t="shared" si="37"/>
        <v/>
      </c>
      <c r="S440" s="163" t="str">
        <f t="shared" si="38"/>
        <v/>
      </c>
      <c r="T440" s="160" t="str">
        <f>IFERROR(INDEX(上年标准成本!$I:$I,MATCH(K440,上年标准成本!$C:$C,0),1),"")</f>
        <v/>
      </c>
      <c r="U440" s="126" t="str">
        <f t="shared" si="39"/>
        <v/>
      </c>
      <c r="V440" s="126" t="str">
        <f t="shared" si="40"/>
        <v/>
      </c>
      <c r="W440" s="124" t="str">
        <f t="shared" si="41"/>
        <v/>
      </c>
      <c r="X440" s="125" t="str">
        <f t="shared" si="36"/>
        <v/>
      </c>
    </row>
    <row r="441" spans="1:24" x14ac:dyDescent="0.3">
      <c r="A441" s="129"/>
      <c r="B441" s="129"/>
      <c r="C441" s="128"/>
      <c r="D441" s="128"/>
      <c r="E441" s="128"/>
      <c r="F441" s="166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6" t="str">
        <f t="shared" si="37"/>
        <v/>
      </c>
      <c r="S441" s="163" t="str">
        <f t="shared" si="38"/>
        <v/>
      </c>
      <c r="T441" s="160" t="str">
        <f>IFERROR(INDEX(上年标准成本!$I:$I,MATCH(K441,上年标准成本!$C:$C,0),1),"")</f>
        <v/>
      </c>
      <c r="U441" s="126" t="str">
        <f t="shared" si="39"/>
        <v/>
      </c>
      <c r="V441" s="126" t="str">
        <f t="shared" si="40"/>
        <v/>
      </c>
      <c r="W441" s="124" t="str">
        <f t="shared" si="41"/>
        <v/>
      </c>
      <c r="X441" s="125" t="str">
        <f t="shared" si="36"/>
        <v/>
      </c>
    </row>
    <row r="442" spans="1:24" x14ac:dyDescent="0.3">
      <c r="A442" s="129"/>
      <c r="B442" s="129"/>
      <c r="C442" s="128"/>
      <c r="D442" s="128"/>
      <c r="E442" s="128"/>
      <c r="F442" s="166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6" t="str">
        <f t="shared" si="37"/>
        <v/>
      </c>
      <c r="S442" s="163" t="str">
        <f t="shared" si="38"/>
        <v/>
      </c>
      <c r="T442" s="160" t="str">
        <f>IFERROR(INDEX(上年标准成本!$I:$I,MATCH(K442,上年标准成本!$C:$C,0),1),"")</f>
        <v/>
      </c>
      <c r="U442" s="126" t="str">
        <f t="shared" si="39"/>
        <v/>
      </c>
      <c r="V442" s="126" t="str">
        <f t="shared" si="40"/>
        <v/>
      </c>
      <c r="W442" s="124" t="str">
        <f t="shared" si="41"/>
        <v/>
      </c>
      <c r="X442" s="125" t="str">
        <f t="shared" si="36"/>
        <v/>
      </c>
    </row>
    <row r="443" spans="1:24" x14ac:dyDescent="0.3">
      <c r="A443" s="129"/>
      <c r="B443" s="129"/>
      <c r="C443" s="128"/>
      <c r="D443" s="128"/>
      <c r="E443" s="128"/>
      <c r="F443" s="166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6" t="str">
        <f t="shared" si="37"/>
        <v/>
      </c>
      <c r="S443" s="163" t="str">
        <f t="shared" si="38"/>
        <v/>
      </c>
      <c r="T443" s="160" t="str">
        <f>IFERROR(INDEX(上年标准成本!$I:$I,MATCH(K443,上年标准成本!$C:$C,0),1),"")</f>
        <v/>
      </c>
      <c r="U443" s="126" t="str">
        <f t="shared" si="39"/>
        <v/>
      </c>
      <c r="V443" s="126" t="str">
        <f t="shared" si="40"/>
        <v/>
      </c>
      <c r="W443" s="124" t="str">
        <f t="shared" si="41"/>
        <v/>
      </c>
      <c r="X443" s="125" t="str">
        <f t="shared" si="36"/>
        <v/>
      </c>
    </row>
    <row r="444" spans="1:24" x14ac:dyDescent="0.3">
      <c r="A444" s="129"/>
      <c r="B444" s="129"/>
      <c r="C444" s="128"/>
      <c r="D444" s="128"/>
      <c r="E444" s="128"/>
      <c r="F444" s="166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6" t="str">
        <f t="shared" si="37"/>
        <v/>
      </c>
      <c r="S444" s="163" t="str">
        <f t="shared" si="38"/>
        <v/>
      </c>
      <c r="T444" s="160" t="str">
        <f>IFERROR(INDEX(上年标准成本!$I:$I,MATCH(K444,上年标准成本!$C:$C,0),1),"")</f>
        <v/>
      </c>
      <c r="U444" s="126" t="str">
        <f t="shared" si="39"/>
        <v/>
      </c>
      <c r="V444" s="126" t="str">
        <f t="shared" si="40"/>
        <v/>
      </c>
      <c r="W444" s="124" t="str">
        <f t="shared" si="41"/>
        <v/>
      </c>
      <c r="X444" s="125" t="str">
        <f t="shared" si="36"/>
        <v/>
      </c>
    </row>
    <row r="445" spans="1:24" x14ac:dyDescent="0.3">
      <c r="A445" s="129"/>
      <c r="B445" s="129"/>
      <c r="C445" s="128"/>
      <c r="D445" s="128"/>
      <c r="E445" s="128"/>
      <c r="F445" s="166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6" t="str">
        <f t="shared" si="37"/>
        <v/>
      </c>
      <c r="S445" s="163" t="str">
        <f t="shared" si="38"/>
        <v/>
      </c>
      <c r="T445" s="160" t="str">
        <f>IFERROR(INDEX(上年标准成本!$I:$I,MATCH(K445,上年标准成本!$C:$C,0),1),"")</f>
        <v/>
      </c>
      <c r="U445" s="126" t="str">
        <f t="shared" si="39"/>
        <v/>
      </c>
      <c r="V445" s="126" t="str">
        <f t="shared" si="40"/>
        <v/>
      </c>
      <c r="W445" s="124" t="str">
        <f t="shared" si="41"/>
        <v/>
      </c>
      <c r="X445" s="125" t="str">
        <f t="shared" si="36"/>
        <v/>
      </c>
    </row>
    <row r="446" spans="1:24" x14ac:dyDescent="0.3">
      <c r="A446" s="129"/>
      <c r="B446" s="129"/>
      <c r="C446" s="128"/>
      <c r="D446" s="128"/>
      <c r="E446" s="128"/>
      <c r="F446" s="166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6" t="str">
        <f t="shared" si="37"/>
        <v/>
      </c>
      <c r="S446" s="163" t="str">
        <f t="shared" si="38"/>
        <v/>
      </c>
      <c r="T446" s="160" t="str">
        <f>IFERROR(INDEX(上年标准成本!$I:$I,MATCH(K446,上年标准成本!$C:$C,0),1),"")</f>
        <v/>
      </c>
      <c r="U446" s="126" t="str">
        <f t="shared" si="39"/>
        <v/>
      </c>
      <c r="V446" s="126" t="str">
        <f t="shared" si="40"/>
        <v/>
      </c>
      <c r="W446" s="124" t="str">
        <f t="shared" si="41"/>
        <v/>
      </c>
      <c r="X446" s="125" t="str">
        <f t="shared" si="36"/>
        <v/>
      </c>
    </row>
    <row r="447" spans="1:24" x14ac:dyDescent="0.3">
      <c r="A447" s="129"/>
      <c r="B447" s="129"/>
      <c r="C447" s="128"/>
      <c r="D447" s="128"/>
      <c r="E447" s="128"/>
      <c r="F447" s="166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6" t="str">
        <f t="shared" si="37"/>
        <v/>
      </c>
      <c r="S447" s="163" t="str">
        <f t="shared" si="38"/>
        <v/>
      </c>
      <c r="T447" s="160" t="str">
        <f>IFERROR(INDEX(上年标准成本!$I:$I,MATCH(K447,上年标准成本!$C:$C,0),1),"")</f>
        <v/>
      </c>
      <c r="U447" s="126" t="str">
        <f t="shared" si="39"/>
        <v/>
      </c>
      <c r="V447" s="126" t="str">
        <f t="shared" si="40"/>
        <v/>
      </c>
      <c r="W447" s="124" t="str">
        <f t="shared" si="41"/>
        <v/>
      </c>
      <c r="X447" s="125" t="str">
        <f t="shared" si="36"/>
        <v/>
      </c>
    </row>
    <row r="448" spans="1:24" x14ac:dyDescent="0.3">
      <c r="A448" s="129"/>
      <c r="B448" s="129"/>
      <c r="C448" s="128"/>
      <c r="D448" s="128"/>
      <c r="E448" s="128"/>
      <c r="F448" s="166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6" t="str">
        <f t="shared" si="37"/>
        <v/>
      </c>
      <c r="S448" s="163" t="str">
        <f t="shared" si="38"/>
        <v/>
      </c>
      <c r="T448" s="160" t="str">
        <f>IFERROR(INDEX(上年标准成本!$I:$I,MATCH(K448,上年标准成本!$C:$C,0),1),"")</f>
        <v/>
      </c>
      <c r="U448" s="126" t="str">
        <f t="shared" si="39"/>
        <v/>
      </c>
      <c r="V448" s="126" t="str">
        <f t="shared" si="40"/>
        <v/>
      </c>
      <c r="W448" s="124" t="str">
        <f t="shared" si="41"/>
        <v/>
      </c>
      <c r="X448" s="125" t="str">
        <f t="shared" si="36"/>
        <v/>
      </c>
    </row>
    <row r="449" spans="1:24" x14ac:dyDescent="0.3">
      <c r="A449" s="129"/>
      <c r="B449" s="129"/>
      <c r="C449" s="128"/>
      <c r="D449" s="128"/>
      <c r="E449" s="128"/>
      <c r="F449" s="166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6" t="str">
        <f t="shared" si="37"/>
        <v/>
      </c>
      <c r="S449" s="163" t="str">
        <f t="shared" si="38"/>
        <v/>
      </c>
      <c r="T449" s="160" t="str">
        <f>IFERROR(INDEX(上年标准成本!$I:$I,MATCH(K449,上年标准成本!$C:$C,0),1),"")</f>
        <v/>
      </c>
      <c r="U449" s="126" t="str">
        <f t="shared" si="39"/>
        <v/>
      </c>
      <c r="V449" s="126" t="str">
        <f t="shared" si="40"/>
        <v/>
      </c>
      <c r="W449" s="124" t="str">
        <f t="shared" si="41"/>
        <v/>
      </c>
      <c r="X449" s="125" t="str">
        <f t="shared" si="36"/>
        <v/>
      </c>
    </row>
    <row r="450" spans="1:24" x14ac:dyDescent="0.3">
      <c r="A450" s="129"/>
      <c r="B450" s="129"/>
      <c r="C450" s="128"/>
      <c r="D450" s="128"/>
      <c r="E450" s="128"/>
      <c r="F450" s="166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6" t="str">
        <f t="shared" si="37"/>
        <v/>
      </c>
      <c r="S450" s="163" t="str">
        <f t="shared" si="38"/>
        <v/>
      </c>
      <c r="T450" s="160" t="str">
        <f>IFERROR(INDEX(上年标准成本!$I:$I,MATCH(K450,上年标准成本!$C:$C,0),1),"")</f>
        <v/>
      </c>
      <c r="U450" s="126" t="str">
        <f t="shared" si="39"/>
        <v/>
      </c>
      <c r="V450" s="126" t="str">
        <f t="shared" si="40"/>
        <v/>
      </c>
      <c r="W450" s="124" t="str">
        <f t="shared" si="41"/>
        <v/>
      </c>
      <c r="X450" s="125" t="str">
        <f t="shared" ref="X450:X513" si="42">IFERROR(IF(W450/SUM(W:W)=0,"",W450/SUM(W:W)),"")</f>
        <v/>
      </c>
    </row>
    <row r="451" spans="1:24" x14ac:dyDescent="0.3">
      <c r="A451" s="129"/>
      <c r="B451" s="129"/>
      <c r="C451" s="128"/>
      <c r="D451" s="128"/>
      <c r="E451" s="128"/>
      <c r="F451" s="166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6" t="str">
        <f t="shared" ref="R451:R514" si="43">IFERROR(P451/O451,"")</f>
        <v/>
      </c>
      <c r="S451" s="163" t="str">
        <f t="shared" ref="S451:S514" si="44">IFERROR(R451*(1+Q451),"")</f>
        <v/>
      </c>
      <c r="T451" s="160" t="str">
        <f>IFERROR(INDEX(上年标准成本!$I:$I,MATCH(K451,上年标准成本!$C:$C,0),1),"")</f>
        <v/>
      </c>
      <c r="U451" s="126" t="str">
        <f t="shared" ref="U451:U514" si="45">IFERROR(O451*T451,"")</f>
        <v/>
      </c>
      <c r="V451" s="126" t="str">
        <f t="shared" ref="V451:V514" si="46">IFERROR(P451-U451,"")</f>
        <v/>
      </c>
      <c r="W451" s="124" t="str">
        <f t="shared" ref="W451:W514" si="47">IFERROR(V451/P451,"")</f>
        <v/>
      </c>
      <c r="X451" s="125" t="str">
        <f t="shared" si="42"/>
        <v/>
      </c>
    </row>
    <row r="452" spans="1:24" x14ac:dyDescent="0.3">
      <c r="A452" s="129"/>
      <c r="B452" s="129"/>
      <c r="C452" s="128"/>
      <c r="D452" s="128"/>
      <c r="E452" s="128"/>
      <c r="F452" s="166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6" t="str">
        <f t="shared" si="43"/>
        <v/>
      </c>
      <c r="S452" s="163" t="str">
        <f t="shared" si="44"/>
        <v/>
      </c>
      <c r="T452" s="160" t="str">
        <f>IFERROR(INDEX(上年标准成本!$I:$I,MATCH(K452,上年标准成本!$C:$C,0),1),"")</f>
        <v/>
      </c>
      <c r="U452" s="126" t="str">
        <f t="shared" si="45"/>
        <v/>
      </c>
      <c r="V452" s="126" t="str">
        <f t="shared" si="46"/>
        <v/>
      </c>
      <c r="W452" s="124" t="str">
        <f t="shared" si="47"/>
        <v/>
      </c>
      <c r="X452" s="125" t="str">
        <f t="shared" si="42"/>
        <v/>
      </c>
    </row>
    <row r="453" spans="1:24" x14ac:dyDescent="0.3">
      <c r="A453" s="129"/>
      <c r="B453" s="129"/>
      <c r="C453" s="128"/>
      <c r="D453" s="128"/>
      <c r="E453" s="128"/>
      <c r="F453" s="166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6" t="str">
        <f t="shared" si="43"/>
        <v/>
      </c>
      <c r="S453" s="163" t="str">
        <f t="shared" si="44"/>
        <v/>
      </c>
      <c r="T453" s="160" t="str">
        <f>IFERROR(INDEX(上年标准成本!$I:$I,MATCH(K453,上年标准成本!$C:$C,0),1),"")</f>
        <v/>
      </c>
      <c r="U453" s="126" t="str">
        <f t="shared" si="45"/>
        <v/>
      </c>
      <c r="V453" s="126" t="str">
        <f t="shared" si="46"/>
        <v/>
      </c>
      <c r="W453" s="124" t="str">
        <f t="shared" si="47"/>
        <v/>
      </c>
      <c r="X453" s="125" t="str">
        <f t="shared" si="42"/>
        <v/>
      </c>
    </row>
    <row r="454" spans="1:24" x14ac:dyDescent="0.3">
      <c r="A454" s="129"/>
      <c r="B454" s="129"/>
      <c r="C454" s="128"/>
      <c r="D454" s="128"/>
      <c r="E454" s="128"/>
      <c r="F454" s="166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6" t="str">
        <f t="shared" si="43"/>
        <v/>
      </c>
      <c r="S454" s="163" t="str">
        <f t="shared" si="44"/>
        <v/>
      </c>
      <c r="T454" s="160" t="str">
        <f>IFERROR(INDEX(上年标准成本!$I:$I,MATCH(K454,上年标准成本!$C:$C,0),1),"")</f>
        <v/>
      </c>
      <c r="U454" s="126" t="str">
        <f t="shared" si="45"/>
        <v/>
      </c>
      <c r="V454" s="126" t="str">
        <f t="shared" si="46"/>
        <v/>
      </c>
      <c r="W454" s="124" t="str">
        <f t="shared" si="47"/>
        <v/>
      </c>
      <c r="X454" s="125" t="str">
        <f t="shared" si="42"/>
        <v/>
      </c>
    </row>
    <row r="455" spans="1:24" x14ac:dyDescent="0.3">
      <c r="A455" s="129"/>
      <c r="B455" s="129"/>
      <c r="C455" s="128"/>
      <c r="D455" s="128"/>
      <c r="E455" s="128"/>
      <c r="F455" s="166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6" t="str">
        <f t="shared" si="43"/>
        <v/>
      </c>
      <c r="S455" s="163" t="str">
        <f t="shared" si="44"/>
        <v/>
      </c>
      <c r="T455" s="160" t="str">
        <f>IFERROR(INDEX(上年标准成本!$I:$I,MATCH(K455,上年标准成本!$C:$C,0),1),"")</f>
        <v/>
      </c>
      <c r="U455" s="126" t="str">
        <f t="shared" si="45"/>
        <v/>
      </c>
      <c r="V455" s="126" t="str">
        <f t="shared" si="46"/>
        <v/>
      </c>
      <c r="W455" s="124" t="str">
        <f t="shared" si="47"/>
        <v/>
      </c>
      <c r="X455" s="125" t="str">
        <f t="shared" si="42"/>
        <v/>
      </c>
    </row>
    <row r="456" spans="1:24" x14ac:dyDescent="0.3">
      <c r="A456" s="129"/>
      <c r="B456" s="129"/>
      <c r="C456" s="128"/>
      <c r="D456" s="128"/>
      <c r="E456" s="128"/>
      <c r="F456" s="166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6" t="str">
        <f t="shared" si="43"/>
        <v/>
      </c>
      <c r="S456" s="163" t="str">
        <f t="shared" si="44"/>
        <v/>
      </c>
      <c r="T456" s="160" t="str">
        <f>IFERROR(INDEX(上年标准成本!$I:$I,MATCH(K456,上年标准成本!$C:$C,0),1),"")</f>
        <v/>
      </c>
      <c r="U456" s="126" t="str">
        <f t="shared" si="45"/>
        <v/>
      </c>
      <c r="V456" s="126" t="str">
        <f t="shared" si="46"/>
        <v/>
      </c>
      <c r="W456" s="124" t="str">
        <f t="shared" si="47"/>
        <v/>
      </c>
      <c r="X456" s="125" t="str">
        <f t="shared" si="42"/>
        <v/>
      </c>
    </row>
    <row r="457" spans="1:24" x14ac:dyDescent="0.3">
      <c r="A457" s="129"/>
      <c r="B457" s="129"/>
      <c r="C457" s="128"/>
      <c r="D457" s="128"/>
      <c r="E457" s="128"/>
      <c r="F457" s="166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6" t="str">
        <f t="shared" si="43"/>
        <v/>
      </c>
      <c r="S457" s="163" t="str">
        <f t="shared" si="44"/>
        <v/>
      </c>
      <c r="T457" s="160" t="str">
        <f>IFERROR(INDEX(上年标准成本!$I:$I,MATCH(K457,上年标准成本!$C:$C,0),1),"")</f>
        <v/>
      </c>
      <c r="U457" s="126" t="str">
        <f t="shared" si="45"/>
        <v/>
      </c>
      <c r="V457" s="126" t="str">
        <f t="shared" si="46"/>
        <v/>
      </c>
      <c r="W457" s="124" t="str">
        <f t="shared" si="47"/>
        <v/>
      </c>
      <c r="X457" s="125" t="str">
        <f t="shared" si="42"/>
        <v/>
      </c>
    </row>
    <row r="458" spans="1:24" x14ac:dyDescent="0.3">
      <c r="A458" s="129"/>
      <c r="B458" s="129"/>
      <c r="C458" s="128"/>
      <c r="D458" s="128"/>
      <c r="E458" s="128"/>
      <c r="F458" s="166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6" t="str">
        <f t="shared" si="43"/>
        <v/>
      </c>
      <c r="S458" s="163" t="str">
        <f t="shared" si="44"/>
        <v/>
      </c>
      <c r="T458" s="160" t="str">
        <f>IFERROR(INDEX(上年标准成本!$I:$I,MATCH(K458,上年标准成本!$C:$C,0),1),"")</f>
        <v/>
      </c>
      <c r="U458" s="126" t="str">
        <f t="shared" si="45"/>
        <v/>
      </c>
      <c r="V458" s="126" t="str">
        <f t="shared" si="46"/>
        <v/>
      </c>
      <c r="W458" s="124" t="str">
        <f t="shared" si="47"/>
        <v/>
      </c>
      <c r="X458" s="125" t="str">
        <f t="shared" si="42"/>
        <v/>
      </c>
    </row>
    <row r="459" spans="1:24" x14ac:dyDescent="0.3">
      <c r="A459" s="129"/>
      <c r="B459" s="129"/>
      <c r="C459" s="128"/>
      <c r="D459" s="128"/>
      <c r="E459" s="128"/>
      <c r="F459" s="166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6" t="str">
        <f t="shared" si="43"/>
        <v/>
      </c>
      <c r="S459" s="163" t="str">
        <f t="shared" si="44"/>
        <v/>
      </c>
      <c r="T459" s="160" t="str">
        <f>IFERROR(INDEX(上年标准成本!$I:$I,MATCH(K459,上年标准成本!$C:$C,0),1),"")</f>
        <v/>
      </c>
      <c r="U459" s="126" t="str">
        <f t="shared" si="45"/>
        <v/>
      </c>
      <c r="V459" s="126" t="str">
        <f t="shared" si="46"/>
        <v/>
      </c>
      <c r="W459" s="124" t="str">
        <f t="shared" si="47"/>
        <v/>
      </c>
      <c r="X459" s="125" t="str">
        <f t="shared" si="42"/>
        <v/>
      </c>
    </row>
    <row r="460" spans="1:24" x14ac:dyDescent="0.3">
      <c r="A460" s="129"/>
      <c r="B460" s="129"/>
      <c r="C460" s="128"/>
      <c r="D460" s="128"/>
      <c r="E460" s="128"/>
      <c r="F460" s="166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6" t="str">
        <f t="shared" si="43"/>
        <v/>
      </c>
      <c r="S460" s="163" t="str">
        <f t="shared" si="44"/>
        <v/>
      </c>
      <c r="T460" s="160" t="str">
        <f>IFERROR(INDEX(上年标准成本!$I:$I,MATCH(K460,上年标准成本!$C:$C,0),1),"")</f>
        <v/>
      </c>
      <c r="U460" s="126" t="str">
        <f t="shared" si="45"/>
        <v/>
      </c>
      <c r="V460" s="126" t="str">
        <f t="shared" si="46"/>
        <v/>
      </c>
      <c r="W460" s="124" t="str">
        <f t="shared" si="47"/>
        <v/>
      </c>
      <c r="X460" s="125" t="str">
        <f t="shared" si="42"/>
        <v/>
      </c>
    </row>
    <row r="461" spans="1:24" x14ac:dyDescent="0.3">
      <c r="A461" s="129"/>
      <c r="B461" s="129"/>
      <c r="C461" s="128"/>
      <c r="D461" s="128"/>
      <c r="E461" s="128"/>
      <c r="F461" s="166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6" t="str">
        <f t="shared" si="43"/>
        <v/>
      </c>
      <c r="S461" s="163" t="str">
        <f t="shared" si="44"/>
        <v/>
      </c>
      <c r="T461" s="160" t="str">
        <f>IFERROR(INDEX(上年标准成本!$I:$I,MATCH(K461,上年标准成本!$C:$C,0),1),"")</f>
        <v/>
      </c>
      <c r="U461" s="126" t="str">
        <f t="shared" si="45"/>
        <v/>
      </c>
      <c r="V461" s="126" t="str">
        <f t="shared" si="46"/>
        <v/>
      </c>
      <c r="W461" s="124" t="str">
        <f t="shared" si="47"/>
        <v/>
      </c>
      <c r="X461" s="125" t="str">
        <f t="shared" si="42"/>
        <v/>
      </c>
    </row>
    <row r="462" spans="1:24" x14ac:dyDescent="0.3">
      <c r="A462" s="129"/>
      <c r="B462" s="129"/>
      <c r="C462" s="128"/>
      <c r="D462" s="128"/>
      <c r="E462" s="128"/>
      <c r="F462" s="166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6" t="str">
        <f t="shared" si="43"/>
        <v/>
      </c>
      <c r="S462" s="163" t="str">
        <f t="shared" si="44"/>
        <v/>
      </c>
      <c r="T462" s="160" t="str">
        <f>IFERROR(INDEX(上年标准成本!$I:$I,MATCH(K462,上年标准成本!$C:$C,0),1),"")</f>
        <v/>
      </c>
      <c r="U462" s="126" t="str">
        <f t="shared" si="45"/>
        <v/>
      </c>
      <c r="V462" s="126" t="str">
        <f t="shared" si="46"/>
        <v/>
      </c>
      <c r="W462" s="124" t="str">
        <f t="shared" si="47"/>
        <v/>
      </c>
      <c r="X462" s="125" t="str">
        <f t="shared" si="42"/>
        <v/>
      </c>
    </row>
    <row r="463" spans="1:24" x14ac:dyDescent="0.3">
      <c r="A463" s="129"/>
      <c r="B463" s="129"/>
      <c r="C463" s="128"/>
      <c r="D463" s="128"/>
      <c r="E463" s="128"/>
      <c r="F463" s="166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6" t="str">
        <f t="shared" si="43"/>
        <v/>
      </c>
      <c r="S463" s="163" t="str">
        <f t="shared" si="44"/>
        <v/>
      </c>
      <c r="T463" s="160" t="str">
        <f>IFERROR(INDEX(上年标准成本!$I:$I,MATCH(K463,上年标准成本!$C:$C,0),1),"")</f>
        <v/>
      </c>
      <c r="U463" s="126" t="str">
        <f t="shared" si="45"/>
        <v/>
      </c>
      <c r="V463" s="126" t="str">
        <f t="shared" si="46"/>
        <v/>
      </c>
      <c r="W463" s="124" t="str">
        <f t="shared" si="47"/>
        <v/>
      </c>
      <c r="X463" s="125" t="str">
        <f t="shared" si="42"/>
        <v/>
      </c>
    </row>
    <row r="464" spans="1:24" x14ac:dyDescent="0.3">
      <c r="A464" s="129"/>
      <c r="B464" s="129"/>
      <c r="C464" s="128"/>
      <c r="D464" s="128"/>
      <c r="E464" s="128"/>
      <c r="F464" s="166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6" t="str">
        <f t="shared" si="43"/>
        <v/>
      </c>
      <c r="S464" s="163" t="str">
        <f t="shared" si="44"/>
        <v/>
      </c>
      <c r="T464" s="160" t="str">
        <f>IFERROR(INDEX(上年标准成本!$I:$I,MATCH(K464,上年标准成本!$C:$C,0),1),"")</f>
        <v/>
      </c>
      <c r="U464" s="126" t="str">
        <f t="shared" si="45"/>
        <v/>
      </c>
      <c r="V464" s="126" t="str">
        <f t="shared" si="46"/>
        <v/>
      </c>
      <c r="W464" s="124" t="str">
        <f t="shared" si="47"/>
        <v/>
      </c>
      <c r="X464" s="125" t="str">
        <f t="shared" si="42"/>
        <v/>
      </c>
    </row>
    <row r="465" spans="1:24" x14ac:dyDescent="0.3">
      <c r="A465" s="129"/>
      <c r="B465" s="129"/>
      <c r="C465" s="128"/>
      <c r="D465" s="128"/>
      <c r="E465" s="128"/>
      <c r="F465" s="166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6" t="str">
        <f t="shared" si="43"/>
        <v/>
      </c>
      <c r="S465" s="163" t="str">
        <f t="shared" si="44"/>
        <v/>
      </c>
      <c r="T465" s="160" t="str">
        <f>IFERROR(INDEX(上年标准成本!$I:$I,MATCH(K465,上年标准成本!$C:$C,0),1),"")</f>
        <v/>
      </c>
      <c r="U465" s="126" t="str">
        <f t="shared" si="45"/>
        <v/>
      </c>
      <c r="V465" s="126" t="str">
        <f t="shared" si="46"/>
        <v/>
      </c>
      <c r="W465" s="124" t="str">
        <f t="shared" si="47"/>
        <v/>
      </c>
      <c r="X465" s="125" t="str">
        <f t="shared" si="42"/>
        <v/>
      </c>
    </row>
    <row r="466" spans="1:24" x14ac:dyDescent="0.3">
      <c r="A466" s="129"/>
      <c r="B466" s="129"/>
      <c r="C466" s="128"/>
      <c r="D466" s="128"/>
      <c r="E466" s="128"/>
      <c r="F466" s="166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6" t="str">
        <f t="shared" si="43"/>
        <v/>
      </c>
      <c r="S466" s="163" t="str">
        <f t="shared" si="44"/>
        <v/>
      </c>
      <c r="T466" s="160" t="str">
        <f>IFERROR(INDEX(上年标准成本!$I:$I,MATCH(K466,上年标准成本!$C:$C,0),1),"")</f>
        <v/>
      </c>
      <c r="U466" s="126" t="str">
        <f t="shared" si="45"/>
        <v/>
      </c>
      <c r="V466" s="126" t="str">
        <f t="shared" si="46"/>
        <v/>
      </c>
      <c r="W466" s="124" t="str">
        <f t="shared" si="47"/>
        <v/>
      </c>
      <c r="X466" s="125" t="str">
        <f t="shared" si="42"/>
        <v/>
      </c>
    </row>
    <row r="467" spans="1:24" x14ac:dyDescent="0.3">
      <c r="A467" s="129"/>
      <c r="B467" s="129"/>
      <c r="C467" s="128"/>
      <c r="D467" s="128"/>
      <c r="E467" s="128"/>
      <c r="F467" s="166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6" t="str">
        <f t="shared" si="43"/>
        <v/>
      </c>
      <c r="S467" s="163" t="str">
        <f t="shared" si="44"/>
        <v/>
      </c>
      <c r="T467" s="160" t="str">
        <f>IFERROR(INDEX(上年标准成本!$I:$I,MATCH(K467,上年标准成本!$C:$C,0),1),"")</f>
        <v/>
      </c>
      <c r="U467" s="126" t="str">
        <f t="shared" si="45"/>
        <v/>
      </c>
      <c r="V467" s="126" t="str">
        <f t="shared" si="46"/>
        <v/>
      </c>
      <c r="W467" s="124" t="str">
        <f t="shared" si="47"/>
        <v/>
      </c>
      <c r="X467" s="125" t="str">
        <f t="shared" si="42"/>
        <v/>
      </c>
    </row>
    <row r="468" spans="1:24" x14ac:dyDescent="0.3">
      <c r="A468" s="129"/>
      <c r="B468" s="129"/>
      <c r="C468" s="128"/>
      <c r="D468" s="128"/>
      <c r="E468" s="128"/>
      <c r="F468" s="166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6" t="str">
        <f t="shared" si="43"/>
        <v/>
      </c>
      <c r="S468" s="163" t="str">
        <f t="shared" si="44"/>
        <v/>
      </c>
      <c r="T468" s="160" t="str">
        <f>IFERROR(INDEX(上年标准成本!$I:$I,MATCH(K468,上年标准成本!$C:$C,0),1),"")</f>
        <v/>
      </c>
      <c r="U468" s="126" t="str">
        <f t="shared" si="45"/>
        <v/>
      </c>
      <c r="V468" s="126" t="str">
        <f t="shared" si="46"/>
        <v/>
      </c>
      <c r="W468" s="124" t="str">
        <f t="shared" si="47"/>
        <v/>
      </c>
      <c r="X468" s="125" t="str">
        <f t="shared" si="42"/>
        <v/>
      </c>
    </row>
    <row r="469" spans="1:24" x14ac:dyDescent="0.3">
      <c r="A469" s="129"/>
      <c r="B469" s="129"/>
      <c r="C469" s="128"/>
      <c r="D469" s="128"/>
      <c r="E469" s="128"/>
      <c r="F469" s="166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6" t="str">
        <f t="shared" si="43"/>
        <v/>
      </c>
      <c r="S469" s="163" t="str">
        <f t="shared" si="44"/>
        <v/>
      </c>
      <c r="T469" s="160" t="str">
        <f>IFERROR(INDEX(上年标准成本!$I:$I,MATCH(K469,上年标准成本!$C:$C,0),1),"")</f>
        <v/>
      </c>
      <c r="U469" s="126" t="str">
        <f t="shared" si="45"/>
        <v/>
      </c>
      <c r="V469" s="126" t="str">
        <f t="shared" si="46"/>
        <v/>
      </c>
      <c r="W469" s="124" t="str">
        <f t="shared" si="47"/>
        <v/>
      </c>
      <c r="X469" s="125" t="str">
        <f t="shared" si="42"/>
        <v/>
      </c>
    </row>
    <row r="470" spans="1:24" x14ac:dyDescent="0.3">
      <c r="A470" s="129"/>
      <c r="B470" s="129"/>
      <c r="C470" s="128"/>
      <c r="D470" s="128"/>
      <c r="E470" s="128"/>
      <c r="F470" s="166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6" t="str">
        <f t="shared" si="43"/>
        <v/>
      </c>
      <c r="S470" s="163" t="str">
        <f t="shared" si="44"/>
        <v/>
      </c>
      <c r="T470" s="160" t="str">
        <f>IFERROR(INDEX(上年标准成本!$I:$I,MATCH(K470,上年标准成本!$C:$C,0),1),"")</f>
        <v/>
      </c>
      <c r="U470" s="126" t="str">
        <f t="shared" si="45"/>
        <v/>
      </c>
      <c r="V470" s="126" t="str">
        <f t="shared" si="46"/>
        <v/>
      </c>
      <c r="W470" s="124" t="str">
        <f t="shared" si="47"/>
        <v/>
      </c>
      <c r="X470" s="125" t="str">
        <f t="shared" si="42"/>
        <v/>
      </c>
    </row>
    <row r="471" spans="1:24" x14ac:dyDescent="0.3">
      <c r="A471" s="129"/>
      <c r="B471" s="129"/>
      <c r="C471" s="128"/>
      <c r="D471" s="128"/>
      <c r="E471" s="128"/>
      <c r="F471" s="166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6" t="str">
        <f t="shared" si="43"/>
        <v/>
      </c>
      <c r="S471" s="163" t="str">
        <f t="shared" si="44"/>
        <v/>
      </c>
      <c r="T471" s="160" t="str">
        <f>IFERROR(INDEX(上年标准成本!$I:$I,MATCH(K471,上年标准成本!$C:$C,0),1),"")</f>
        <v/>
      </c>
      <c r="U471" s="126" t="str">
        <f t="shared" si="45"/>
        <v/>
      </c>
      <c r="V471" s="126" t="str">
        <f t="shared" si="46"/>
        <v/>
      </c>
      <c r="W471" s="124" t="str">
        <f t="shared" si="47"/>
        <v/>
      </c>
      <c r="X471" s="125" t="str">
        <f t="shared" si="42"/>
        <v/>
      </c>
    </row>
    <row r="472" spans="1:24" x14ac:dyDescent="0.3">
      <c r="A472" s="129"/>
      <c r="B472" s="129"/>
      <c r="C472" s="128"/>
      <c r="D472" s="128"/>
      <c r="E472" s="128"/>
      <c r="F472" s="166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6" t="str">
        <f t="shared" si="43"/>
        <v/>
      </c>
      <c r="S472" s="163" t="str">
        <f t="shared" si="44"/>
        <v/>
      </c>
      <c r="T472" s="160" t="str">
        <f>IFERROR(INDEX(上年标准成本!$I:$I,MATCH(K472,上年标准成本!$C:$C,0),1),"")</f>
        <v/>
      </c>
      <c r="U472" s="126" t="str">
        <f t="shared" si="45"/>
        <v/>
      </c>
      <c r="V472" s="126" t="str">
        <f t="shared" si="46"/>
        <v/>
      </c>
      <c r="W472" s="124" t="str">
        <f t="shared" si="47"/>
        <v/>
      </c>
      <c r="X472" s="125" t="str">
        <f t="shared" si="42"/>
        <v/>
      </c>
    </row>
    <row r="473" spans="1:24" x14ac:dyDescent="0.3">
      <c r="A473" s="129"/>
      <c r="B473" s="129"/>
      <c r="C473" s="128"/>
      <c r="D473" s="128"/>
      <c r="E473" s="128"/>
      <c r="F473" s="166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6" t="str">
        <f t="shared" si="43"/>
        <v/>
      </c>
      <c r="S473" s="163" t="str">
        <f t="shared" si="44"/>
        <v/>
      </c>
      <c r="T473" s="160" t="str">
        <f>IFERROR(INDEX(上年标准成本!$I:$I,MATCH(K473,上年标准成本!$C:$C,0),1),"")</f>
        <v/>
      </c>
      <c r="U473" s="126" t="str">
        <f t="shared" si="45"/>
        <v/>
      </c>
      <c r="V473" s="126" t="str">
        <f t="shared" si="46"/>
        <v/>
      </c>
      <c r="W473" s="124" t="str">
        <f t="shared" si="47"/>
        <v/>
      </c>
      <c r="X473" s="125" t="str">
        <f t="shared" si="42"/>
        <v/>
      </c>
    </row>
    <row r="474" spans="1:24" x14ac:dyDescent="0.3">
      <c r="A474" s="129"/>
      <c r="B474" s="129"/>
      <c r="C474" s="128"/>
      <c r="D474" s="128"/>
      <c r="E474" s="128"/>
      <c r="F474" s="166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6" t="str">
        <f t="shared" si="43"/>
        <v/>
      </c>
      <c r="S474" s="163" t="str">
        <f t="shared" si="44"/>
        <v/>
      </c>
      <c r="T474" s="160" t="str">
        <f>IFERROR(INDEX(上年标准成本!$I:$I,MATCH(K474,上年标准成本!$C:$C,0),1),"")</f>
        <v/>
      </c>
      <c r="U474" s="126" t="str">
        <f t="shared" si="45"/>
        <v/>
      </c>
      <c r="V474" s="126" t="str">
        <f t="shared" si="46"/>
        <v/>
      </c>
      <c r="W474" s="124" t="str">
        <f t="shared" si="47"/>
        <v/>
      </c>
      <c r="X474" s="125" t="str">
        <f t="shared" si="42"/>
        <v/>
      </c>
    </row>
    <row r="475" spans="1:24" x14ac:dyDescent="0.3">
      <c r="A475" s="129"/>
      <c r="B475" s="129"/>
      <c r="C475" s="128"/>
      <c r="D475" s="128"/>
      <c r="E475" s="128"/>
      <c r="F475" s="166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6" t="str">
        <f t="shared" si="43"/>
        <v/>
      </c>
      <c r="S475" s="163" t="str">
        <f t="shared" si="44"/>
        <v/>
      </c>
      <c r="T475" s="160" t="str">
        <f>IFERROR(INDEX(上年标准成本!$I:$I,MATCH(K475,上年标准成本!$C:$C,0),1),"")</f>
        <v/>
      </c>
      <c r="U475" s="126" t="str">
        <f t="shared" si="45"/>
        <v/>
      </c>
      <c r="V475" s="126" t="str">
        <f t="shared" si="46"/>
        <v/>
      </c>
      <c r="W475" s="124" t="str">
        <f t="shared" si="47"/>
        <v/>
      </c>
      <c r="X475" s="125" t="str">
        <f t="shared" si="42"/>
        <v/>
      </c>
    </row>
    <row r="476" spans="1:24" x14ac:dyDescent="0.3">
      <c r="A476" s="129"/>
      <c r="B476" s="129"/>
      <c r="C476" s="128"/>
      <c r="D476" s="128"/>
      <c r="E476" s="128"/>
      <c r="F476" s="166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6" t="str">
        <f t="shared" si="43"/>
        <v/>
      </c>
      <c r="S476" s="163" t="str">
        <f t="shared" si="44"/>
        <v/>
      </c>
      <c r="T476" s="160" t="str">
        <f>IFERROR(INDEX(上年标准成本!$I:$I,MATCH(K476,上年标准成本!$C:$C,0),1),"")</f>
        <v/>
      </c>
      <c r="U476" s="126" t="str">
        <f t="shared" si="45"/>
        <v/>
      </c>
      <c r="V476" s="126" t="str">
        <f t="shared" si="46"/>
        <v/>
      </c>
      <c r="W476" s="124" t="str">
        <f t="shared" si="47"/>
        <v/>
      </c>
      <c r="X476" s="125" t="str">
        <f t="shared" si="42"/>
        <v/>
      </c>
    </row>
    <row r="477" spans="1:24" x14ac:dyDescent="0.3">
      <c r="A477" s="129"/>
      <c r="B477" s="129"/>
      <c r="C477" s="128"/>
      <c r="D477" s="128"/>
      <c r="E477" s="128"/>
      <c r="F477" s="166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6" t="str">
        <f t="shared" si="43"/>
        <v/>
      </c>
      <c r="S477" s="163" t="str">
        <f t="shared" si="44"/>
        <v/>
      </c>
      <c r="T477" s="160" t="str">
        <f>IFERROR(INDEX(上年标准成本!$I:$I,MATCH(K477,上年标准成本!$C:$C,0),1),"")</f>
        <v/>
      </c>
      <c r="U477" s="126" t="str">
        <f t="shared" si="45"/>
        <v/>
      </c>
      <c r="V477" s="126" t="str">
        <f t="shared" si="46"/>
        <v/>
      </c>
      <c r="W477" s="124" t="str">
        <f t="shared" si="47"/>
        <v/>
      </c>
      <c r="X477" s="125" t="str">
        <f t="shared" si="42"/>
        <v/>
      </c>
    </row>
    <row r="478" spans="1:24" x14ac:dyDescent="0.3">
      <c r="A478" s="129"/>
      <c r="B478" s="129"/>
      <c r="C478" s="128"/>
      <c r="D478" s="128"/>
      <c r="E478" s="128"/>
      <c r="F478" s="166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6" t="str">
        <f t="shared" si="43"/>
        <v/>
      </c>
      <c r="S478" s="163" t="str">
        <f t="shared" si="44"/>
        <v/>
      </c>
      <c r="T478" s="160" t="str">
        <f>IFERROR(INDEX(上年标准成本!$I:$I,MATCH(K478,上年标准成本!$C:$C,0),1),"")</f>
        <v/>
      </c>
      <c r="U478" s="126" t="str">
        <f t="shared" si="45"/>
        <v/>
      </c>
      <c r="V478" s="126" t="str">
        <f t="shared" si="46"/>
        <v/>
      </c>
      <c r="W478" s="124" t="str">
        <f t="shared" si="47"/>
        <v/>
      </c>
      <c r="X478" s="125" t="str">
        <f t="shared" si="42"/>
        <v/>
      </c>
    </row>
    <row r="479" spans="1:24" x14ac:dyDescent="0.3">
      <c r="A479" s="129"/>
      <c r="B479" s="129"/>
      <c r="C479" s="128"/>
      <c r="D479" s="128"/>
      <c r="E479" s="128"/>
      <c r="F479" s="166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6" t="str">
        <f t="shared" si="43"/>
        <v/>
      </c>
      <c r="S479" s="163" t="str">
        <f t="shared" si="44"/>
        <v/>
      </c>
      <c r="T479" s="160" t="str">
        <f>IFERROR(INDEX(上年标准成本!$I:$I,MATCH(K479,上年标准成本!$C:$C,0),1),"")</f>
        <v/>
      </c>
      <c r="U479" s="126" t="str">
        <f t="shared" si="45"/>
        <v/>
      </c>
      <c r="V479" s="126" t="str">
        <f t="shared" si="46"/>
        <v/>
      </c>
      <c r="W479" s="124" t="str">
        <f t="shared" si="47"/>
        <v/>
      </c>
      <c r="X479" s="125" t="str">
        <f t="shared" si="42"/>
        <v/>
      </c>
    </row>
    <row r="480" spans="1:24" x14ac:dyDescent="0.3">
      <c r="A480" s="129"/>
      <c r="B480" s="129"/>
      <c r="C480" s="128"/>
      <c r="D480" s="128"/>
      <c r="E480" s="128"/>
      <c r="F480" s="166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6" t="str">
        <f t="shared" si="43"/>
        <v/>
      </c>
      <c r="S480" s="163" t="str">
        <f t="shared" si="44"/>
        <v/>
      </c>
      <c r="T480" s="160" t="str">
        <f>IFERROR(INDEX(上年标准成本!$I:$I,MATCH(K480,上年标准成本!$C:$C,0),1),"")</f>
        <v/>
      </c>
      <c r="U480" s="126" t="str">
        <f t="shared" si="45"/>
        <v/>
      </c>
      <c r="V480" s="126" t="str">
        <f t="shared" si="46"/>
        <v/>
      </c>
      <c r="W480" s="124" t="str">
        <f t="shared" si="47"/>
        <v/>
      </c>
      <c r="X480" s="125" t="str">
        <f t="shared" si="42"/>
        <v/>
      </c>
    </row>
    <row r="481" spans="1:24" x14ac:dyDescent="0.3">
      <c r="A481" s="129"/>
      <c r="B481" s="129"/>
      <c r="C481" s="128"/>
      <c r="D481" s="128"/>
      <c r="E481" s="128"/>
      <c r="F481" s="166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6" t="str">
        <f t="shared" si="43"/>
        <v/>
      </c>
      <c r="S481" s="163" t="str">
        <f t="shared" si="44"/>
        <v/>
      </c>
      <c r="T481" s="160" t="str">
        <f>IFERROR(INDEX(上年标准成本!$I:$I,MATCH(K481,上年标准成本!$C:$C,0),1),"")</f>
        <v/>
      </c>
      <c r="U481" s="126" t="str">
        <f t="shared" si="45"/>
        <v/>
      </c>
      <c r="V481" s="126" t="str">
        <f t="shared" si="46"/>
        <v/>
      </c>
      <c r="W481" s="124" t="str">
        <f t="shared" si="47"/>
        <v/>
      </c>
      <c r="X481" s="125" t="str">
        <f t="shared" si="42"/>
        <v/>
      </c>
    </row>
    <row r="482" spans="1:24" x14ac:dyDescent="0.3">
      <c r="A482" s="129"/>
      <c r="B482" s="129"/>
      <c r="C482" s="128"/>
      <c r="D482" s="128"/>
      <c r="E482" s="128"/>
      <c r="F482" s="166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6" t="str">
        <f t="shared" si="43"/>
        <v/>
      </c>
      <c r="S482" s="163" t="str">
        <f t="shared" si="44"/>
        <v/>
      </c>
      <c r="T482" s="160" t="str">
        <f>IFERROR(INDEX(上年标准成本!$I:$I,MATCH(K482,上年标准成本!$C:$C,0),1),"")</f>
        <v/>
      </c>
      <c r="U482" s="126" t="str">
        <f t="shared" si="45"/>
        <v/>
      </c>
      <c r="V482" s="126" t="str">
        <f t="shared" si="46"/>
        <v/>
      </c>
      <c r="W482" s="124" t="str">
        <f t="shared" si="47"/>
        <v/>
      </c>
      <c r="X482" s="125" t="str">
        <f t="shared" si="42"/>
        <v/>
      </c>
    </row>
    <row r="483" spans="1:24" x14ac:dyDescent="0.3">
      <c r="A483" s="129"/>
      <c r="B483" s="129"/>
      <c r="C483" s="128"/>
      <c r="D483" s="128"/>
      <c r="E483" s="128"/>
      <c r="F483" s="166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6" t="str">
        <f t="shared" si="43"/>
        <v/>
      </c>
      <c r="S483" s="163" t="str">
        <f t="shared" si="44"/>
        <v/>
      </c>
      <c r="T483" s="160" t="str">
        <f>IFERROR(INDEX(上年标准成本!$I:$I,MATCH(K483,上年标准成本!$C:$C,0),1),"")</f>
        <v/>
      </c>
      <c r="U483" s="126" t="str">
        <f t="shared" si="45"/>
        <v/>
      </c>
      <c r="V483" s="126" t="str">
        <f t="shared" si="46"/>
        <v/>
      </c>
      <c r="W483" s="124" t="str">
        <f t="shared" si="47"/>
        <v/>
      </c>
      <c r="X483" s="125" t="str">
        <f t="shared" si="42"/>
        <v/>
      </c>
    </row>
    <row r="484" spans="1:24" x14ac:dyDescent="0.3">
      <c r="A484" s="129"/>
      <c r="B484" s="129"/>
      <c r="C484" s="128"/>
      <c r="D484" s="128"/>
      <c r="E484" s="128"/>
      <c r="F484" s="166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6" t="str">
        <f t="shared" si="43"/>
        <v/>
      </c>
      <c r="S484" s="163" t="str">
        <f t="shared" si="44"/>
        <v/>
      </c>
      <c r="T484" s="160" t="str">
        <f>IFERROR(INDEX(上年标准成本!$I:$I,MATCH(K484,上年标准成本!$C:$C,0),1),"")</f>
        <v/>
      </c>
      <c r="U484" s="126" t="str">
        <f t="shared" si="45"/>
        <v/>
      </c>
      <c r="V484" s="126" t="str">
        <f t="shared" si="46"/>
        <v/>
      </c>
      <c r="W484" s="124" t="str">
        <f t="shared" si="47"/>
        <v/>
      </c>
      <c r="X484" s="125" t="str">
        <f t="shared" si="42"/>
        <v/>
      </c>
    </row>
    <row r="485" spans="1:24" x14ac:dyDescent="0.3">
      <c r="A485" s="129"/>
      <c r="B485" s="129"/>
      <c r="C485" s="128"/>
      <c r="D485" s="128"/>
      <c r="E485" s="128"/>
      <c r="F485" s="166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6" t="str">
        <f t="shared" si="43"/>
        <v/>
      </c>
      <c r="S485" s="163" t="str">
        <f t="shared" si="44"/>
        <v/>
      </c>
      <c r="T485" s="160" t="str">
        <f>IFERROR(INDEX(上年标准成本!$I:$I,MATCH(K485,上年标准成本!$C:$C,0),1),"")</f>
        <v/>
      </c>
      <c r="U485" s="126" t="str">
        <f t="shared" si="45"/>
        <v/>
      </c>
      <c r="V485" s="126" t="str">
        <f t="shared" si="46"/>
        <v/>
      </c>
      <c r="W485" s="124" t="str">
        <f t="shared" si="47"/>
        <v/>
      </c>
      <c r="X485" s="125" t="str">
        <f t="shared" si="42"/>
        <v/>
      </c>
    </row>
    <row r="486" spans="1:24" x14ac:dyDescent="0.3">
      <c r="A486" s="129"/>
      <c r="B486" s="129"/>
      <c r="C486" s="128"/>
      <c r="D486" s="128"/>
      <c r="E486" s="128"/>
      <c r="F486" s="166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6" t="str">
        <f t="shared" si="43"/>
        <v/>
      </c>
      <c r="S486" s="163" t="str">
        <f t="shared" si="44"/>
        <v/>
      </c>
      <c r="T486" s="160" t="str">
        <f>IFERROR(INDEX(上年标准成本!$I:$I,MATCH(K486,上年标准成本!$C:$C,0),1),"")</f>
        <v/>
      </c>
      <c r="U486" s="126" t="str">
        <f t="shared" si="45"/>
        <v/>
      </c>
      <c r="V486" s="126" t="str">
        <f t="shared" si="46"/>
        <v/>
      </c>
      <c r="W486" s="124" t="str">
        <f t="shared" si="47"/>
        <v/>
      </c>
      <c r="X486" s="125" t="str">
        <f t="shared" si="42"/>
        <v/>
      </c>
    </row>
    <row r="487" spans="1:24" x14ac:dyDescent="0.3">
      <c r="A487" s="129"/>
      <c r="B487" s="129"/>
      <c r="C487" s="128"/>
      <c r="D487" s="128"/>
      <c r="E487" s="128"/>
      <c r="F487" s="166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6" t="str">
        <f t="shared" si="43"/>
        <v/>
      </c>
      <c r="S487" s="163" t="str">
        <f t="shared" si="44"/>
        <v/>
      </c>
      <c r="T487" s="160" t="str">
        <f>IFERROR(INDEX(上年标准成本!$I:$I,MATCH(K487,上年标准成本!$C:$C,0),1),"")</f>
        <v/>
      </c>
      <c r="U487" s="126" t="str">
        <f t="shared" si="45"/>
        <v/>
      </c>
      <c r="V487" s="126" t="str">
        <f t="shared" si="46"/>
        <v/>
      </c>
      <c r="W487" s="124" t="str">
        <f t="shared" si="47"/>
        <v/>
      </c>
      <c r="X487" s="125" t="str">
        <f t="shared" si="42"/>
        <v/>
      </c>
    </row>
    <row r="488" spans="1:24" x14ac:dyDescent="0.3">
      <c r="A488" s="129"/>
      <c r="B488" s="129"/>
      <c r="C488" s="128"/>
      <c r="D488" s="128"/>
      <c r="E488" s="128"/>
      <c r="F488" s="166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6" t="str">
        <f t="shared" si="43"/>
        <v/>
      </c>
      <c r="S488" s="163" t="str">
        <f t="shared" si="44"/>
        <v/>
      </c>
      <c r="T488" s="160" t="str">
        <f>IFERROR(INDEX(上年标准成本!$I:$I,MATCH(K488,上年标准成本!$C:$C,0),1),"")</f>
        <v/>
      </c>
      <c r="U488" s="126" t="str">
        <f t="shared" si="45"/>
        <v/>
      </c>
      <c r="V488" s="126" t="str">
        <f t="shared" si="46"/>
        <v/>
      </c>
      <c r="W488" s="124" t="str">
        <f t="shared" si="47"/>
        <v/>
      </c>
      <c r="X488" s="125" t="str">
        <f t="shared" si="42"/>
        <v/>
      </c>
    </row>
    <row r="489" spans="1:24" x14ac:dyDescent="0.3">
      <c r="A489" s="129"/>
      <c r="B489" s="129"/>
      <c r="C489" s="128"/>
      <c r="D489" s="128"/>
      <c r="E489" s="128"/>
      <c r="F489" s="166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6" t="str">
        <f t="shared" si="43"/>
        <v/>
      </c>
      <c r="S489" s="163" t="str">
        <f t="shared" si="44"/>
        <v/>
      </c>
      <c r="T489" s="160" t="str">
        <f>IFERROR(INDEX(上年标准成本!$I:$I,MATCH(K489,上年标准成本!$C:$C,0),1),"")</f>
        <v/>
      </c>
      <c r="U489" s="126" t="str">
        <f t="shared" si="45"/>
        <v/>
      </c>
      <c r="V489" s="126" t="str">
        <f t="shared" si="46"/>
        <v/>
      </c>
      <c r="W489" s="124" t="str">
        <f t="shared" si="47"/>
        <v/>
      </c>
      <c r="X489" s="125" t="str">
        <f t="shared" si="42"/>
        <v/>
      </c>
    </row>
    <row r="490" spans="1:24" x14ac:dyDescent="0.3">
      <c r="A490" s="129"/>
      <c r="B490" s="129"/>
      <c r="C490" s="128"/>
      <c r="D490" s="128"/>
      <c r="E490" s="128"/>
      <c r="F490" s="166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6" t="str">
        <f t="shared" si="43"/>
        <v/>
      </c>
      <c r="S490" s="163" t="str">
        <f t="shared" si="44"/>
        <v/>
      </c>
      <c r="T490" s="160" t="str">
        <f>IFERROR(INDEX(上年标准成本!$I:$I,MATCH(K490,上年标准成本!$C:$C,0),1),"")</f>
        <v/>
      </c>
      <c r="U490" s="126" t="str">
        <f t="shared" si="45"/>
        <v/>
      </c>
      <c r="V490" s="126" t="str">
        <f t="shared" si="46"/>
        <v/>
      </c>
      <c r="W490" s="124" t="str">
        <f t="shared" si="47"/>
        <v/>
      </c>
      <c r="X490" s="125" t="str">
        <f t="shared" si="42"/>
        <v/>
      </c>
    </row>
    <row r="491" spans="1:24" x14ac:dyDescent="0.3">
      <c r="A491" s="129"/>
      <c r="B491" s="129"/>
      <c r="C491" s="128"/>
      <c r="D491" s="128"/>
      <c r="E491" s="128"/>
      <c r="F491" s="166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6" t="str">
        <f t="shared" si="43"/>
        <v/>
      </c>
      <c r="S491" s="163" t="str">
        <f t="shared" si="44"/>
        <v/>
      </c>
      <c r="T491" s="160" t="str">
        <f>IFERROR(INDEX(上年标准成本!$I:$I,MATCH(K491,上年标准成本!$C:$C,0),1),"")</f>
        <v/>
      </c>
      <c r="U491" s="126" t="str">
        <f t="shared" si="45"/>
        <v/>
      </c>
      <c r="V491" s="126" t="str">
        <f t="shared" si="46"/>
        <v/>
      </c>
      <c r="W491" s="124" t="str">
        <f t="shared" si="47"/>
        <v/>
      </c>
      <c r="X491" s="125" t="str">
        <f t="shared" si="42"/>
        <v/>
      </c>
    </row>
    <row r="492" spans="1:24" x14ac:dyDescent="0.3">
      <c r="A492" s="129"/>
      <c r="B492" s="129"/>
      <c r="C492" s="128"/>
      <c r="D492" s="128"/>
      <c r="E492" s="128"/>
      <c r="F492" s="166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6" t="str">
        <f t="shared" si="43"/>
        <v/>
      </c>
      <c r="S492" s="163" t="str">
        <f t="shared" si="44"/>
        <v/>
      </c>
      <c r="T492" s="160" t="str">
        <f>IFERROR(INDEX(上年标准成本!$I:$I,MATCH(K492,上年标准成本!$C:$C,0),1),"")</f>
        <v/>
      </c>
      <c r="U492" s="126" t="str">
        <f t="shared" si="45"/>
        <v/>
      </c>
      <c r="V492" s="126" t="str">
        <f t="shared" si="46"/>
        <v/>
      </c>
      <c r="W492" s="124" t="str">
        <f t="shared" si="47"/>
        <v/>
      </c>
      <c r="X492" s="125" t="str">
        <f t="shared" si="42"/>
        <v/>
      </c>
    </row>
    <row r="493" spans="1:24" x14ac:dyDescent="0.3">
      <c r="A493" s="129"/>
      <c r="B493" s="129"/>
      <c r="C493" s="128"/>
      <c r="D493" s="128"/>
      <c r="E493" s="128"/>
      <c r="F493" s="166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6" t="str">
        <f t="shared" si="43"/>
        <v/>
      </c>
      <c r="S493" s="163" t="str">
        <f t="shared" si="44"/>
        <v/>
      </c>
      <c r="T493" s="160" t="str">
        <f>IFERROR(INDEX(上年标准成本!$I:$I,MATCH(K493,上年标准成本!$C:$C,0),1),"")</f>
        <v/>
      </c>
      <c r="U493" s="126" t="str">
        <f t="shared" si="45"/>
        <v/>
      </c>
      <c r="V493" s="126" t="str">
        <f t="shared" si="46"/>
        <v/>
      </c>
      <c r="W493" s="124" t="str">
        <f t="shared" si="47"/>
        <v/>
      </c>
      <c r="X493" s="125" t="str">
        <f t="shared" si="42"/>
        <v/>
      </c>
    </row>
    <row r="494" spans="1:24" x14ac:dyDescent="0.3">
      <c r="A494" s="129"/>
      <c r="B494" s="129"/>
      <c r="C494" s="128"/>
      <c r="D494" s="128"/>
      <c r="E494" s="128"/>
      <c r="F494" s="166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6" t="str">
        <f t="shared" si="43"/>
        <v/>
      </c>
      <c r="S494" s="163" t="str">
        <f t="shared" si="44"/>
        <v/>
      </c>
      <c r="T494" s="160" t="str">
        <f>IFERROR(INDEX(上年标准成本!$I:$I,MATCH(K494,上年标准成本!$C:$C,0),1),"")</f>
        <v/>
      </c>
      <c r="U494" s="126" t="str">
        <f t="shared" si="45"/>
        <v/>
      </c>
      <c r="V494" s="126" t="str">
        <f t="shared" si="46"/>
        <v/>
      </c>
      <c r="W494" s="124" t="str">
        <f t="shared" si="47"/>
        <v/>
      </c>
      <c r="X494" s="125" t="str">
        <f t="shared" si="42"/>
        <v/>
      </c>
    </row>
    <row r="495" spans="1:24" x14ac:dyDescent="0.3">
      <c r="A495" s="129"/>
      <c r="B495" s="129"/>
      <c r="C495" s="128"/>
      <c r="D495" s="128"/>
      <c r="E495" s="128"/>
      <c r="F495" s="166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6" t="str">
        <f t="shared" si="43"/>
        <v/>
      </c>
      <c r="S495" s="163" t="str">
        <f t="shared" si="44"/>
        <v/>
      </c>
      <c r="T495" s="160" t="str">
        <f>IFERROR(INDEX(上年标准成本!$I:$I,MATCH(K495,上年标准成本!$C:$C,0),1),"")</f>
        <v/>
      </c>
      <c r="U495" s="126" t="str">
        <f t="shared" si="45"/>
        <v/>
      </c>
      <c r="V495" s="126" t="str">
        <f t="shared" si="46"/>
        <v/>
      </c>
      <c r="W495" s="124" t="str">
        <f t="shared" si="47"/>
        <v/>
      </c>
      <c r="X495" s="125" t="str">
        <f t="shared" si="42"/>
        <v/>
      </c>
    </row>
    <row r="496" spans="1:24" x14ac:dyDescent="0.3">
      <c r="A496" s="129"/>
      <c r="B496" s="129"/>
      <c r="C496" s="128"/>
      <c r="D496" s="128"/>
      <c r="E496" s="128"/>
      <c r="F496" s="166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6" t="str">
        <f t="shared" si="43"/>
        <v/>
      </c>
      <c r="S496" s="163" t="str">
        <f t="shared" si="44"/>
        <v/>
      </c>
      <c r="T496" s="160" t="str">
        <f>IFERROR(INDEX(上年标准成本!$I:$I,MATCH(K496,上年标准成本!$C:$C,0),1),"")</f>
        <v/>
      </c>
      <c r="U496" s="126" t="str">
        <f t="shared" si="45"/>
        <v/>
      </c>
      <c r="V496" s="126" t="str">
        <f t="shared" si="46"/>
        <v/>
      </c>
      <c r="W496" s="124" t="str">
        <f t="shared" si="47"/>
        <v/>
      </c>
      <c r="X496" s="125" t="str">
        <f t="shared" si="42"/>
        <v/>
      </c>
    </row>
    <row r="497" spans="1:24" x14ac:dyDescent="0.3">
      <c r="A497" s="129"/>
      <c r="B497" s="129"/>
      <c r="C497" s="128"/>
      <c r="D497" s="128"/>
      <c r="E497" s="128"/>
      <c r="F497" s="166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6" t="str">
        <f t="shared" si="43"/>
        <v/>
      </c>
      <c r="S497" s="163" t="str">
        <f t="shared" si="44"/>
        <v/>
      </c>
      <c r="T497" s="160" t="str">
        <f>IFERROR(INDEX(上年标准成本!$I:$I,MATCH(K497,上年标准成本!$C:$C,0),1),"")</f>
        <v/>
      </c>
      <c r="U497" s="126" t="str">
        <f t="shared" si="45"/>
        <v/>
      </c>
      <c r="V497" s="126" t="str">
        <f t="shared" si="46"/>
        <v/>
      </c>
      <c r="W497" s="124" t="str">
        <f t="shared" si="47"/>
        <v/>
      </c>
      <c r="X497" s="125" t="str">
        <f t="shared" si="42"/>
        <v/>
      </c>
    </row>
    <row r="498" spans="1:24" x14ac:dyDescent="0.3">
      <c r="A498" s="129"/>
      <c r="B498" s="129"/>
      <c r="C498" s="128"/>
      <c r="D498" s="128"/>
      <c r="E498" s="128"/>
      <c r="F498" s="166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6" t="str">
        <f t="shared" si="43"/>
        <v/>
      </c>
      <c r="S498" s="163" t="str">
        <f t="shared" si="44"/>
        <v/>
      </c>
      <c r="T498" s="160" t="str">
        <f>IFERROR(INDEX(上年标准成本!$I:$I,MATCH(K498,上年标准成本!$C:$C,0),1),"")</f>
        <v/>
      </c>
      <c r="U498" s="126" t="str">
        <f t="shared" si="45"/>
        <v/>
      </c>
      <c r="V498" s="126" t="str">
        <f t="shared" si="46"/>
        <v/>
      </c>
      <c r="W498" s="124" t="str">
        <f t="shared" si="47"/>
        <v/>
      </c>
      <c r="X498" s="125" t="str">
        <f t="shared" si="42"/>
        <v/>
      </c>
    </row>
    <row r="499" spans="1:24" x14ac:dyDescent="0.3">
      <c r="A499" s="129"/>
      <c r="B499" s="129"/>
      <c r="C499" s="128"/>
      <c r="D499" s="128"/>
      <c r="E499" s="128"/>
      <c r="F499" s="166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6" t="str">
        <f t="shared" si="43"/>
        <v/>
      </c>
      <c r="S499" s="163" t="str">
        <f t="shared" si="44"/>
        <v/>
      </c>
      <c r="T499" s="160" t="str">
        <f>IFERROR(INDEX(上年标准成本!$I:$I,MATCH(K499,上年标准成本!$C:$C,0),1),"")</f>
        <v/>
      </c>
      <c r="U499" s="126" t="str">
        <f t="shared" si="45"/>
        <v/>
      </c>
      <c r="V499" s="126" t="str">
        <f t="shared" si="46"/>
        <v/>
      </c>
      <c r="W499" s="124" t="str">
        <f t="shared" si="47"/>
        <v/>
      </c>
      <c r="X499" s="125" t="str">
        <f t="shared" si="42"/>
        <v/>
      </c>
    </row>
    <row r="500" spans="1:24" x14ac:dyDescent="0.3">
      <c r="A500" s="129"/>
      <c r="B500" s="129"/>
      <c r="C500" s="128"/>
      <c r="D500" s="128"/>
      <c r="E500" s="128"/>
      <c r="F500" s="166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6" t="str">
        <f t="shared" si="43"/>
        <v/>
      </c>
      <c r="S500" s="163" t="str">
        <f t="shared" si="44"/>
        <v/>
      </c>
      <c r="T500" s="160" t="str">
        <f>IFERROR(INDEX(上年标准成本!$I:$I,MATCH(K500,上年标准成本!$C:$C,0),1),"")</f>
        <v/>
      </c>
      <c r="U500" s="126" t="str">
        <f t="shared" si="45"/>
        <v/>
      </c>
      <c r="V500" s="126" t="str">
        <f t="shared" si="46"/>
        <v/>
      </c>
      <c r="W500" s="124" t="str">
        <f t="shared" si="47"/>
        <v/>
      </c>
      <c r="X500" s="125" t="str">
        <f t="shared" si="42"/>
        <v/>
      </c>
    </row>
    <row r="501" spans="1:24" x14ac:dyDescent="0.3">
      <c r="A501" s="129"/>
      <c r="B501" s="129"/>
      <c r="C501" s="128"/>
      <c r="D501" s="128"/>
      <c r="E501" s="128"/>
      <c r="F501" s="166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6" t="str">
        <f t="shared" si="43"/>
        <v/>
      </c>
      <c r="S501" s="163" t="str">
        <f t="shared" si="44"/>
        <v/>
      </c>
      <c r="T501" s="160" t="str">
        <f>IFERROR(INDEX(上年标准成本!$I:$I,MATCH(K501,上年标准成本!$C:$C,0),1),"")</f>
        <v/>
      </c>
      <c r="U501" s="126" t="str">
        <f t="shared" si="45"/>
        <v/>
      </c>
      <c r="V501" s="126" t="str">
        <f t="shared" si="46"/>
        <v/>
      </c>
      <c r="W501" s="124" t="str">
        <f t="shared" si="47"/>
        <v/>
      </c>
      <c r="X501" s="125" t="str">
        <f t="shared" si="42"/>
        <v/>
      </c>
    </row>
    <row r="502" spans="1:24" x14ac:dyDescent="0.3">
      <c r="A502" s="129"/>
      <c r="B502" s="129"/>
      <c r="C502" s="128"/>
      <c r="D502" s="128"/>
      <c r="E502" s="128"/>
      <c r="F502" s="166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6" t="str">
        <f t="shared" si="43"/>
        <v/>
      </c>
      <c r="S502" s="163" t="str">
        <f t="shared" si="44"/>
        <v/>
      </c>
      <c r="T502" s="160" t="str">
        <f>IFERROR(INDEX(上年标准成本!$I:$I,MATCH(K502,上年标准成本!$C:$C,0),1),"")</f>
        <v/>
      </c>
      <c r="U502" s="126" t="str">
        <f t="shared" si="45"/>
        <v/>
      </c>
      <c r="V502" s="126" t="str">
        <f t="shared" si="46"/>
        <v/>
      </c>
      <c r="W502" s="124" t="str">
        <f t="shared" si="47"/>
        <v/>
      </c>
      <c r="X502" s="125" t="str">
        <f t="shared" si="42"/>
        <v/>
      </c>
    </row>
    <row r="503" spans="1:24" x14ac:dyDescent="0.3">
      <c r="A503" s="129"/>
      <c r="B503" s="129"/>
      <c r="C503" s="128"/>
      <c r="D503" s="128"/>
      <c r="E503" s="128"/>
      <c r="F503" s="166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6" t="str">
        <f t="shared" si="43"/>
        <v/>
      </c>
      <c r="S503" s="163" t="str">
        <f t="shared" si="44"/>
        <v/>
      </c>
      <c r="T503" s="160" t="str">
        <f>IFERROR(INDEX(上年标准成本!$I:$I,MATCH(K503,上年标准成本!$C:$C,0),1),"")</f>
        <v/>
      </c>
      <c r="U503" s="126" t="str">
        <f t="shared" si="45"/>
        <v/>
      </c>
      <c r="V503" s="126" t="str">
        <f t="shared" si="46"/>
        <v/>
      </c>
      <c r="W503" s="124" t="str">
        <f t="shared" si="47"/>
        <v/>
      </c>
      <c r="X503" s="125" t="str">
        <f t="shared" si="42"/>
        <v/>
      </c>
    </row>
    <row r="504" spans="1:24" x14ac:dyDescent="0.3">
      <c r="A504" s="129"/>
      <c r="B504" s="129"/>
      <c r="C504" s="128"/>
      <c r="D504" s="128"/>
      <c r="E504" s="128"/>
      <c r="F504" s="166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6" t="str">
        <f t="shared" si="43"/>
        <v/>
      </c>
      <c r="S504" s="163" t="str">
        <f t="shared" si="44"/>
        <v/>
      </c>
      <c r="T504" s="160" t="str">
        <f>IFERROR(INDEX(上年标准成本!$I:$I,MATCH(K504,上年标准成本!$C:$C,0),1),"")</f>
        <v/>
      </c>
      <c r="U504" s="126" t="str">
        <f t="shared" si="45"/>
        <v/>
      </c>
      <c r="V504" s="126" t="str">
        <f t="shared" si="46"/>
        <v/>
      </c>
      <c r="W504" s="124" t="str">
        <f t="shared" si="47"/>
        <v/>
      </c>
      <c r="X504" s="125" t="str">
        <f t="shared" si="42"/>
        <v/>
      </c>
    </row>
    <row r="505" spans="1:24" x14ac:dyDescent="0.3">
      <c r="A505" s="129"/>
      <c r="B505" s="129"/>
      <c r="C505" s="128"/>
      <c r="D505" s="128"/>
      <c r="E505" s="128"/>
      <c r="F505" s="166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6" t="str">
        <f t="shared" si="43"/>
        <v/>
      </c>
      <c r="S505" s="163" t="str">
        <f t="shared" si="44"/>
        <v/>
      </c>
      <c r="T505" s="160" t="str">
        <f>IFERROR(INDEX(上年标准成本!$I:$I,MATCH(K505,上年标准成本!$C:$C,0),1),"")</f>
        <v/>
      </c>
      <c r="U505" s="126" t="str">
        <f t="shared" si="45"/>
        <v/>
      </c>
      <c r="V505" s="126" t="str">
        <f t="shared" si="46"/>
        <v/>
      </c>
      <c r="W505" s="124" t="str">
        <f t="shared" si="47"/>
        <v/>
      </c>
      <c r="X505" s="125" t="str">
        <f t="shared" si="42"/>
        <v/>
      </c>
    </row>
    <row r="506" spans="1:24" x14ac:dyDescent="0.3">
      <c r="A506" s="129"/>
      <c r="B506" s="129"/>
      <c r="C506" s="128"/>
      <c r="D506" s="128"/>
      <c r="E506" s="128"/>
      <c r="F506" s="166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6" t="str">
        <f t="shared" si="43"/>
        <v/>
      </c>
      <c r="S506" s="163" t="str">
        <f t="shared" si="44"/>
        <v/>
      </c>
      <c r="T506" s="160" t="str">
        <f>IFERROR(INDEX(上年标准成本!$I:$I,MATCH(K506,上年标准成本!$C:$C,0),1),"")</f>
        <v/>
      </c>
      <c r="U506" s="126" t="str">
        <f t="shared" si="45"/>
        <v/>
      </c>
      <c r="V506" s="126" t="str">
        <f t="shared" si="46"/>
        <v/>
      </c>
      <c r="W506" s="124" t="str">
        <f t="shared" si="47"/>
        <v/>
      </c>
      <c r="X506" s="125" t="str">
        <f t="shared" si="42"/>
        <v/>
      </c>
    </row>
    <row r="507" spans="1:24" x14ac:dyDescent="0.3">
      <c r="A507" s="129"/>
      <c r="B507" s="129"/>
      <c r="C507" s="128"/>
      <c r="D507" s="128"/>
      <c r="E507" s="128"/>
      <c r="F507" s="166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6" t="str">
        <f t="shared" si="43"/>
        <v/>
      </c>
      <c r="S507" s="163" t="str">
        <f t="shared" si="44"/>
        <v/>
      </c>
      <c r="T507" s="160" t="str">
        <f>IFERROR(INDEX(上年标准成本!$I:$I,MATCH(K507,上年标准成本!$C:$C,0),1),"")</f>
        <v/>
      </c>
      <c r="U507" s="126" t="str">
        <f t="shared" si="45"/>
        <v/>
      </c>
      <c r="V507" s="126" t="str">
        <f t="shared" si="46"/>
        <v/>
      </c>
      <c r="W507" s="124" t="str">
        <f t="shared" si="47"/>
        <v/>
      </c>
      <c r="X507" s="125" t="str">
        <f t="shared" si="42"/>
        <v/>
      </c>
    </row>
    <row r="508" spans="1:24" x14ac:dyDescent="0.3">
      <c r="A508" s="129"/>
      <c r="B508" s="129"/>
      <c r="C508" s="128"/>
      <c r="D508" s="128"/>
      <c r="E508" s="128"/>
      <c r="F508" s="166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6" t="str">
        <f t="shared" si="43"/>
        <v/>
      </c>
      <c r="S508" s="163" t="str">
        <f t="shared" si="44"/>
        <v/>
      </c>
      <c r="T508" s="160" t="str">
        <f>IFERROR(INDEX(上年标准成本!$I:$I,MATCH(K508,上年标准成本!$C:$C,0),1),"")</f>
        <v/>
      </c>
      <c r="U508" s="126" t="str">
        <f t="shared" si="45"/>
        <v/>
      </c>
      <c r="V508" s="126" t="str">
        <f t="shared" si="46"/>
        <v/>
      </c>
      <c r="W508" s="124" t="str">
        <f t="shared" si="47"/>
        <v/>
      </c>
      <c r="X508" s="125" t="str">
        <f t="shared" si="42"/>
        <v/>
      </c>
    </row>
    <row r="509" spans="1:24" x14ac:dyDescent="0.3">
      <c r="A509" s="129"/>
      <c r="B509" s="129"/>
      <c r="C509" s="128"/>
      <c r="D509" s="128"/>
      <c r="E509" s="128"/>
      <c r="F509" s="166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6" t="str">
        <f t="shared" si="43"/>
        <v/>
      </c>
      <c r="S509" s="163" t="str">
        <f t="shared" si="44"/>
        <v/>
      </c>
      <c r="T509" s="160" t="str">
        <f>IFERROR(INDEX(上年标准成本!$I:$I,MATCH(K509,上年标准成本!$C:$C,0),1),"")</f>
        <v/>
      </c>
      <c r="U509" s="126" t="str">
        <f t="shared" si="45"/>
        <v/>
      </c>
      <c r="V509" s="126" t="str">
        <f t="shared" si="46"/>
        <v/>
      </c>
      <c r="W509" s="124" t="str">
        <f t="shared" si="47"/>
        <v/>
      </c>
      <c r="X509" s="125" t="str">
        <f t="shared" si="42"/>
        <v/>
      </c>
    </row>
    <row r="510" spans="1:24" x14ac:dyDescent="0.3">
      <c r="A510" s="129"/>
      <c r="B510" s="129"/>
      <c r="C510" s="128"/>
      <c r="D510" s="128"/>
      <c r="E510" s="128"/>
      <c r="F510" s="166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6" t="str">
        <f t="shared" si="43"/>
        <v/>
      </c>
      <c r="S510" s="163" t="str">
        <f t="shared" si="44"/>
        <v/>
      </c>
      <c r="T510" s="160" t="str">
        <f>IFERROR(INDEX(上年标准成本!$I:$I,MATCH(K510,上年标准成本!$C:$C,0),1),"")</f>
        <v/>
      </c>
      <c r="U510" s="126" t="str">
        <f t="shared" si="45"/>
        <v/>
      </c>
      <c r="V510" s="126" t="str">
        <f t="shared" si="46"/>
        <v/>
      </c>
      <c r="W510" s="124" t="str">
        <f t="shared" si="47"/>
        <v/>
      </c>
      <c r="X510" s="125" t="str">
        <f t="shared" si="42"/>
        <v/>
      </c>
    </row>
    <row r="511" spans="1:24" x14ac:dyDescent="0.3">
      <c r="A511" s="129"/>
      <c r="B511" s="129"/>
      <c r="C511" s="128"/>
      <c r="D511" s="128"/>
      <c r="E511" s="128"/>
      <c r="F511" s="166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6" t="str">
        <f t="shared" si="43"/>
        <v/>
      </c>
      <c r="S511" s="163" t="str">
        <f t="shared" si="44"/>
        <v/>
      </c>
      <c r="T511" s="160" t="str">
        <f>IFERROR(INDEX(上年标准成本!$I:$I,MATCH(K511,上年标准成本!$C:$C,0),1),"")</f>
        <v/>
      </c>
      <c r="U511" s="126" t="str">
        <f t="shared" si="45"/>
        <v/>
      </c>
      <c r="V511" s="126" t="str">
        <f t="shared" si="46"/>
        <v/>
      </c>
      <c r="W511" s="124" t="str">
        <f t="shared" si="47"/>
        <v/>
      </c>
      <c r="X511" s="125" t="str">
        <f t="shared" si="42"/>
        <v/>
      </c>
    </row>
    <row r="512" spans="1:24" x14ac:dyDescent="0.3">
      <c r="A512" s="129"/>
      <c r="B512" s="129"/>
      <c r="C512" s="128"/>
      <c r="D512" s="128"/>
      <c r="E512" s="128"/>
      <c r="F512" s="166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6" t="str">
        <f t="shared" si="43"/>
        <v/>
      </c>
      <c r="S512" s="163" t="str">
        <f t="shared" si="44"/>
        <v/>
      </c>
      <c r="T512" s="160" t="str">
        <f>IFERROR(INDEX(上年标准成本!$I:$I,MATCH(K512,上年标准成本!$C:$C,0),1),"")</f>
        <v/>
      </c>
      <c r="U512" s="126" t="str">
        <f t="shared" si="45"/>
        <v/>
      </c>
      <c r="V512" s="126" t="str">
        <f t="shared" si="46"/>
        <v/>
      </c>
      <c r="W512" s="124" t="str">
        <f t="shared" si="47"/>
        <v/>
      </c>
      <c r="X512" s="125" t="str">
        <f t="shared" si="42"/>
        <v/>
      </c>
    </row>
    <row r="513" spans="1:24" x14ac:dyDescent="0.3">
      <c r="A513" s="129"/>
      <c r="B513" s="129"/>
      <c r="C513" s="128"/>
      <c r="D513" s="128"/>
      <c r="E513" s="128"/>
      <c r="F513" s="166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6" t="str">
        <f t="shared" si="43"/>
        <v/>
      </c>
      <c r="S513" s="163" t="str">
        <f t="shared" si="44"/>
        <v/>
      </c>
      <c r="T513" s="160" t="str">
        <f>IFERROR(INDEX(上年标准成本!$I:$I,MATCH(K513,上年标准成本!$C:$C,0),1),"")</f>
        <v/>
      </c>
      <c r="U513" s="126" t="str">
        <f t="shared" si="45"/>
        <v/>
      </c>
      <c r="V513" s="126" t="str">
        <f t="shared" si="46"/>
        <v/>
      </c>
      <c r="W513" s="124" t="str">
        <f t="shared" si="47"/>
        <v/>
      </c>
      <c r="X513" s="125" t="str">
        <f t="shared" si="42"/>
        <v/>
      </c>
    </row>
    <row r="514" spans="1:24" x14ac:dyDescent="0.3">
      <c r="A514" s="129"/>
      <c r="B514" s="129"/>
      <c r="C514" s="128"/>
      <c r="D514" s="128"/>
      <c r="E514" s="128"/>
      <c r="F514" s="166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6" t="str">
        <f t="shared" si="43"/>
        <v/>
      </c>
      <c r="S514" s="163" t="str">
        <f t="shared" si="44"/>
        <v/>
      </c>
      <c r="T514" s="160" t="str">
        <f>IFERROR(INDEX(上年标准成本!$I:$I,MATCH(K514,上年标准成本!$C:$C,0),1),"")</f>
        <v/>
      </c>
      <c r="U514" s="126" t="str">
        <f t="shared" si="45"/>
        <v/>
      </c>
      <c r="V514" s="126" t="str">
        <f t="shared" si="46"/>
        <v/>
      </c>
      <c r="W514" s="124" t="str">
        <f t="shared" si="47"/>
        <v/>
      </c>
      <c r="X514" s="125" t="str">
        <f t="shared" ref="X514:X577" si="48">IFERROR(IF(W514/SUM(W:W)=0,"",W514/SUM(W:W)),"")</f>
        <v/>
      </c>
    </row>
    <row r="515" spans="1:24" x14ac:dyDescent="0.3">
      <c r="A515" s="129"/>
      <c r="B515" s="129"/>
      <c r="C515" s="128"/>
      <c r="D515" s="128"/>
      <c r="E515" s="128"/>
      <c r="F515" s="166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6" t="str">
        <f t="shared" ref="R515:R578" si="49">IFERROR(P515/O515,"")</f>
        <v/>
      </c>
      <c r="S515" s="163" t="str">
        <f t="shared" ref="S515:S578" si="50">IFERROR(R515*(1+Q515),"")</f>
        <v/>
      </c>
      <c r="T515" s="160" t="str">
        <f>IFERROR(INDEX(上年标准成本!$I:$I,MATCH(K515,上年标准成本!$C:$C,0),1),"")</f>
        <v/>
      </c>
      <c r="U515" s="126" t="str">
        <f t="shared" ref="U515:U578" si="51">IFERROR(O515*T515,"")</f>
        <v/>
      </c>
      <c r="V515" s="126" t="str">
        <f t="shared" ref="V515:V578" si="52">IFERROR(P515-U515,"")</f>
        <v/>
      </c>
      <c r="W515" s="124" t="str">
        <f t="shared" ref="W515:W578" si="53">IFERROR(V515/P515,"")</f>
        <v/>
      </c>
      <c r="X515" s="125" t="str">
        <f t="shared" si="48"/>
        <v/>
      </c>
    </row>
    <row r="516" spans="1:24" x14ac:dyDescent="0.3">
      <c r="A516" s="129"/>
      <c r="B516" s="129"/>
      <c r="C516" s="128"/>
      <c r="D516" s="128"/>
      <c r="E516" s="128"/>
      <c r="F516" s="166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6" t="str">
        <f t="shared" si="49"/>
        <v/>
      </c>
      <c r="S516" s="163" t="str">
        <f t="shared" si="50"/>
        <v/>
      </c>
      <c r="T516" s="160" t="str">
        <f>IFERROR(INDEX(上年标准成本!$I:$I,MATCH(K516,上年标准成本!$C:$C,0),1),"")</f>
        <v/>
      </c>
      <c r="U516" s="126" t="str">
        <f t="shared" si="51"/>
        <v/>
      </c>
      <c r="V516" s="126" t="str">
        <f t="shared" si="52"/>
        <v/>
      </c>
      <c r="W516" s="124" t="str">
        <f t="shared" si="53"/>
        <v/>
      </c>
      <c r="X516" s="125" t="str">
        <f t="shared" si="48"/>
        <v/>
      </c>
    </row>
    <row r="517" spans="1:24" x14ac:dyDescent="0.3">
      <c r="A517" s="129"/>
      <c r="B517" s="129"/>
      <c r="C517" s="128"/>
      <c r="D517" s="128"/>
      <c r="E517" s="128"/>
      <c r="F517" s="166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6" t="str">
        <f t="shared" si="49"/>
        <v/>
      </c>
      <c r="S517" s="163" t="str">
        <f t="shared" si="50"/>
        <v/>
      </c>
      <c r="T517" s="160" t="str">
        <f>IFERROR(INDEX(上年标准成本!$I:$I,MATCH(K517,上年标准成本!$C:$C,0),1),"")</f>
        <v/>
      </c>
      <c r="U517" s="126" t="str">
        <f t="shared" si="51"/>
        <v/>
      </c>
      <c r="V517" s="126" t="str">
        <f t="shared" si="52"/>
        <v/>
      </c>
      <c r="W517" s="124" t="str">
        <f t="shared" si="53"/>
        <v/>
      </c>
      <c r="X517" s="125" t="str">
        <f t="shared" si="48"/>
        <v/>
      </c>
    </row>
    <row r="518" spans="1:24" x14ac:dyDescent="0.3">
      <c r="A518" s="129"/>
      <c r="B518" s="129"/>
      <c r="C518" s="128"/>
      <c r="D518" s="128"/>
      <c r="E518" s="128"/>
      <c r="F518" s="166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6" t="str">
        <f t="shared" si="49"/>
        <v/>
      </c>
      <c r="S518" s="163" t="str">
        <f t="shared" si="50"/>
        <v/>
      </c>
      <c r="T518" s="160" t="str">
        <f>IFERROR(INDEX(上年标准成本!$I:$I,MATCH(K518,上年标准成本!$C:$C,0),1),"")</f>
        <v/>
      </c>
      <c r="U518" s="126" t="str">
        <f t="shared" si="51"/>
        <v/>
      </c>
      <c r="V518" s="126" t="str">
        <f t="shared" si="52"/>
        <v/>
      </c>
      <c r="W518" s="124" t="str">
        <f t="shared" si="53"/>
        <v/>
      </c>
      <c r="X518" s="125" t="str">
        <f t="shared" si="48"/>
        <v/>
      </c>
    </row>
    <row r="519" spans="1:24" x14ac:dyDescent="0.3">
      <c r="A519" s="129"/>
      <c r="B519" s="129"/>
      <c r="C519" s="128"/>
      <c r="D519" s="128"/>
      <c r="E519" s="128"/>
      <c r="F519" s="166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6" t="str">
        <f t="shared" si="49"/>
        <v/>
      </c>
      <c r="S519" s="163" t="str">
        <f t="shared" si="50"/>
        <v/>
      </c>
      <c r="T519" s="160" t="str">
        <f>IFERROR(INDEX(上年标准成本!$I:$I,MATCH(K519,上年标准成本!$C:$C,0),1),"")</f>
        <v/>
      </c>
      <c r="U519" s="126" t="str">
        <f t="shared" si="51"/>
        <v/>
      </c>
      <c r="V519" s="126" t="str">
        <f t="shared" si="52"/>
        <v/>
      </c>
      <c r="W519" s="124" t="str">
        <f t="shared" si="53"/>
        <v/>
      </c>
      <c r="X519" s="125" t="str">
        <f t="shared" si="48"/>
        <v/>
      </c>
    </row>
    <row r="520" spans="1:24" x14ac:dyDescent="0.3">
      <c r="A520" s="129"/>
      <c r="B520" s="129"/>
      <c r="C520" s="128"/>
      <c r="D520" s="128"/>
      <c r="E520" s="128"/>
      <c r="F520" s="166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6" t="str">
        <f t="shared" si="49"/>
        <v/>
      </c>
      <c r="S520" s="163" t="str">
        <f t="shared" si="50"/>
        <v/>
      </c>
      <c r="T520" s="160" t="str">
        <f>IFERROR(INDEX(上年标准成本!$I:$I,MATCH(K520,上年标准成本!$C:$C,0),1),"")</f>
        <v/>
      </c>
      <c r="U520" s="126" t="str">
        <f t="shared" si="51"/>
        <v/>
      </c>
      <c r="V520" s="126" t="str">
        <f t="shared" si="52"/>
        <v/>
      </c>
      <c r="W520" s="124" t="str">
        <f t="shared" si="53"/>
        <v/>
      </c>
      <c r="X520" s="125" t="str">
        <f t="shared" si="48"/>
        <v/>
      </c>
    </row>
    <row r="521" spans="1:24" x14ac:dyDescent="0.3">
      <c r="A521" s="129"/>
      <c r="B521" s="129"/>
      <c r="C521" s="128"/>
      <c r="D521" s="128"/>
      <c r="E521" s="128"/>
      <c r="F521" s="166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6" t="str">
        <f t="shared" si="49"/>
        <v/>
      </c>
      <c r="S521" s="163" t="str">
        <f t="shared" si="50"/>
        <v/>
      </c>
      <c r="T521" s="160" t="str">
        <f>IFERROR(INDEX(上年标准成本!$I:$I,MATCH(K521,上年标准成本!$C:$C,0),1),"")</f>
        <v/>
      </c>
      <c r="U521" s="126" t="str">
        <f t="shared" si="51"/>
        <v/>
      </c>
      <c r="V521" s="126" t="str">
        <f t="shared" si="52"/>
        <v/>
      </c>
      <c r="W521" s="124" t="str">
        <f t="shared" si="53"/>
        <v/>
      </c>
      <c r="X521" s="125" t="str">
        <f t="shared" si="48"/>
        <v/>
      </c>
    </row>
    <row r="522" spans="1:24" x14ac:dyDescent="0.3">
      <c r="A522" s="129"/>
      <c r="B522" s="129"/>
      <c r="C522" s="128"/>
      <c r="D522" s="128"/>
      <c r="E522" s="128"/>
      <c r="F522" s="166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6" t="str">
        <f t="shared" si="49"/>
        <v/>
      </c>
      <c r="S522" s="163" t="str">
        <f t="shared" si="50"/>
        <v/>
      </c>
      <c r="T522" s="160" t="str">
        <f>IFERROR(INDEX(上年标准成本!$I:$I,MATCH(K522,上年标准成本!$C:$C,0),1),"")</f>
        <v/>
      </c>
      <c r="U522" s="126" t="str">
        <f t="shared" si="51"/>
        <v/>
      </c>
      <c r="V522" s="126" t="str">
        <f t="shared" si="52"/>
        <v/>
      </c>
      <c r="W522" s="124" t="str">
        <f t="shared" si="53"/>
        <v/>
      </c>
      <c r="X522" s="125" t="str">
        <f t="shared" si="48"/>
        <v/>
      </c>
    </row>
    <row r="523" spans="1:24" x14ac:dyDescent="0.3">
      <c r="A523" s="129"/>
      <c r="B523" s="129"/>
      <c r="C523" s="128"/>
      <c r="D523" s="128"/>
      <c r="E523" s="128"/>
      <c r="F523" s="166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6" t="str">
        <f t="shared" si="49"/>
        <v/>
      </c>
      <c r="S523" s="163" t="str">
        <f t="shared" si="50"/>
        <v/>
      </c>
      <c r="T523" s="160" t="str">
        <f>IFERROR(INDEX(上年标准成本!$I:$I,MATCH(K523,上年标准成本!$C:$C,0),1),"")</f>
        <v/>
      </c>
      <c r="U523" s="126" t="str">
        <f t="shared" si="51"/>
        <v/>
      </c>
      <c r="V523" s="126" t="str">
        <f t="shared" si="52"/>
        <v/>
      </c>
      <c r="W523" s="124" t="str">
        <f t="shared" si="53"/>
        <v/>
      </c>
      <c r="X523" s="125" t="str">
        <f t="shared" si="48"/>
        <v/>
      </c>
    </row>
    <row r="524" spans="1:24" x14ac:dyDescent="0.3">
      <c r="A524" s="129"/>
      <c r="B524" s="129"/>
      <c r="C524" s="128"/>
      <c r="D524" s="128"/>
      <c r="E524" s="128"/>
      <c r="F524" s="166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6" t="str">
        <f t="shared" si="49"/>
        <v/>
      </c>
      <c r="S524" s="163" t="str">
        <f t="shared" si="50"/>
        <v/>
      </c>
      <c r="T524" s="160" t="str">
        <f>IFERROR(INDEX(上年标准成本!$I:$I,MATCH(K524,上年标准成本!$C:$C,0),1),"")</f>
        <v/>
      </c>
      <c r="U524" s="126" t="str">
        <f t="shared" si="51"/>
        <v/>
      </c>
      <c r="V524" s="126" t="str">
        <f t="shared" si="52"/>
        <v/>
      </c>
      <c r="W524" s="124" t="str">
        <f t="shared" si="53"/>
        <v/>
      </c>
      <c r="X524" s="125" t="str">
        <f t="shared" si="48"/>
        <v/>
      </c>
    </row>
    <row r="525" spans="1:24" x14ac:dyDescent="0.3">
      <c r="A525" s="129"/>
      <c r="B525" s="129"/>
      <c r="C525" s="128"/>
      <c r="D525" s="128"/>
      <c r="E525" s="128"/>
      <c r="F525" s="166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6" t="str">
        <f t="shared" si="49"/>
        <v/>
      </c>
      <c r="S525" s="163" t="str">
        <f t="shared" si="50"/>
        <v/>
      </c>
      <c r="T525" s="160" t="str">
        <f>IFERROR(INDEX(上年标准成本!$I:$I,MATCH(K525,上年标准成本!$C:$C,0),1),"")</f>
        <v/>
      </c>
      <c r="U525" s="126" t="str">
        <f t="shared" si="51"/>
        <v/>
      </c>
      <c r="V525" s="126" t="str">
        <f t="shared" si="52"/>
        <v/>
      </c>
      <c r="W525" s="124" t="str">
        <f t="shared" si="53"/>
        <v/>
      </c>
      <c r="X525" s="125" t="str">
        <f t="shared" si="48"/>
        <v/>
      </c>
    </row>
    <row r="526" spans="1:24" x14ac:dyDescent="0.3">
      <c r="A526" s="129"/>
      <c r="B526" s="129"/>
      <c r="C526" s="128"/>
      <c r="D526" s="128"/>
      <c r="E526" s="128"/>
      <c r="F526" s="166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6" t="str">
        <f t="shared" si="49"/>
        <v/>
      </c>
      <c r="S526" s="163" t="str">
        <f t="shared" si="50"/>
        <v/>
      </c>
      <c r="T526" s="160" t="str">
        <f>IFERROR(INDEX(上年标准成本!$I:$I,MATCH(K526,上年标准成本!$C:$C,0),1),"")</f>
        <v/>
      </c>
      <c r="U526" s="126" t="str">
        <f t="shared" si="51"/>
        <v/>
      </c>
      <c r="V526" s="126" t="str">
        <f t="shared" si="52"/>
        <v/>
      </c>
      <c r="W526" s="124" t="str">
        <f t="shared" si="53"/>
        <v/>
      </c>
      <c r="X526" s="125" t="str">
        <f t="shared" si="48"/>
        <v/>
      </c>
    </row>
    <row r="527" spans="1:24" x14ac:dyDescent="0.3">
      <c r="A527" s="129"/>
      <c r="B527" s="129"/>
      <c r="C527" s="128"/>
      <c r="D527" s="128"/>
      <c r="E527" s="128"/>
      <c r="F527" s="166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6" t="str">
        <f t="shared" si="49"/>
        <v/>
      </c>
      <c r="S527" s="163" t="str">
        <f t="shared" si="50"/>
        <v/>
      </c>
      <c r="T527" s="160" t="str">
        <f>IFERROR(INDEX(上年标准成本!$I:$I,MATCH(K527,上年标准成本!$C:$C,0),1),"")</f>
        <v/>
      </c>
      <c r="U527" s="126" t="str">
        <f t="shared" si="51"/>
        <v/>
      </c>
      <c r="V527" s="126" t="str">
        <f t="shared" si="52"/>
        <v/>
      </c>
      <c r="W527" s="124" t="str">
        <f t="shared" si="53"/>
        <v/>
      </c>
      <c r="X527" s="125" t="str">
        <f t="shared" si="48"/>
        <v/>
      </c>
    </row>
    <row r="528" spans="1:24" x14ac:dyDescent="0.3">
      <c r="A528" s="129"/>
      <c r="B528" s="129"/>
      <c r="C528" s="128"/>
      <c r="D528" s="128"/>
      <c r="E528" s="128"/>
      <c r="F528" s="166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6" t="str">
        <f t="shared" si="49"/>
        <v/>
      </c>
      <c r="S528" s="163" t="str">
        <f t="shared" si="50"/>
        <v/>
      </c>
      <c r="T528" s="160" t="str">
        <f>IFERROR(INDEX(上年标准成本!$I:$I,MATCH(K528,上年标准成本!$C:$C,0),1),"")</f>
        <v/>
      </c>
      <c r="U528" s="126" t="str">
        <f t="shared" si="51"/>
        <v/>
      </c>
      <c r="V528" s="126" t="str">
        <f t="shared" si="52"/>
        <v/>
      </c>
      <c r="W528" s="124" t="str">
        <f t="shared" si="53"/>
        <v/>
      </c>
      <c r="X528" s="125" t="str">
        <f t="shared" si="48"/>
        <v/>
      </c>
    </row>
    <row r="529" spans="1:24" x14ac:dyDescent="0.3">
      <c r="A529" s="129"/>
      <c r="B529" s="129"/>
      <c r="C529" s="128"/>
      <c r="D529" s="128"/>
      <c r="E529" s="128"/>
      <c r="F529" s="166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6" t="str">
        <f t="shared" si="49"/>
        <v/>
      </c>
      <c r="S529" s="163" t="str">
        <f t="shared" si="50"/>
        <v/>
      </c>
      <c r="T529" s="160" t="str">
        <f>IFERROR(INDEX(上年标准成本!$I:$I,MATCH(K529,上年标准成本!$C:$C,0),1),"")</f>
        <v/>
      </c>
      <c r="U529" s="126" t="str">
        <f t="shared" si="51"/>
        <v/>
      </c>
      <c r="V529" s="126" t="str">
        <f t="shared" si="52"/>
        <v/>
      </c>
      <c r="W529" s="124" t="str">
        <f t="shared" si="53"/>
        <v/>
      </c>
      <c r="X529" s="125" t="str">
        <f t="shared" si="48"/>
        <v/>
      </c>
    </row>
    <row r="530" spans="1:24" x14ac:dyDescent="0.3">
      <c r="A530" s="129"/>
      <c r="B530" s="129"/>
      <c r="C530" s="128"/>
      <c r="D530" s="128"/>
      <c r="E530" s="128"/>
      <c r="F530" s="166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6" t="str">
        <f t="shared" si="49"/>
        <v/>
      </c>
      <c r="S530" s="163" t="str">
        <f t="shared" si="50"/>
        <v/>
      </c>
      <c r="T530" s="160" t="str">
        <f>IFERROR(INDEX(上年标准成本!$I:$I,MATCH(K530,上年标准成本!$C:$C,0),1),"")</f>
        <v/>
      </c>
      <c r="U530" s="126" t="str">
        <f t="shared" si="51"/>
        <v/>
      </c>
      <c r="V530" s="126" t="str">
        <f t="shared" si="52"/>
        <v/>
      </c>
      <c r="W530" s="124" t="str">
        <f t="shared" si="53"/>
        <v/>
      </c>
      <c r="X530" s="125" t="str">
        <f t="shared" si="48"/>
        <v/>
      </c>
    </row>
    <row r="531" spans="1:24" x14ac:dyDescent="0.3">
      <c r="A531" s="129"/>
      <c r="B531" s="129"/>
      <c r="C531" s="128"/>
      <c r="D531" s="128"/>
      <c r="E531" s="128"/>
      <c r="F531" s="166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6" t="str">
        <f t="shared" si="49"/>
        <v/>
      </c>
      <c r="S531" s="163" t="str">
        <f t="shared" si="50"/>
        <v/>
      </c>
      <c r="T531" s="160" t="str">
        <f>IFERROR(INDEX(上年标准成本!$I:$I,MATCH(K531,上年标准成本!$C:$C,0),1),"")</f>
        <v/>
      </c>
      <c r="U531" s="126" t="str">
        <f t="shared" si="51"/>
        <v/>
      </c>
      <c r="V531" s="126" t="str">
        <f t="shared" si="52"/>
        <v/>
      </c>
      <c r="W531" s="124" t="str">
        <f t="shared" si="53"/>
        <v/>
      </c>
      <c r="X531" s="125" t="str">
        <f t="shared" si="48"/>
        <v/>
      </c>
    </row>
    <row r="532" spans="1:24" x14ac:dyDescent="0.3">
      <c r="A532" s="129"/>
      <c r="B532" s="129"/>
      <c r="C532" s="128"/>
      <c r="D532" s="128"/>
      <c r="E532" s="128"/>
      <c r="F532" s="166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6" t="str">
        <f t="shared" si="49"/>
        <v/>
      </c>
      <c r="S532" s="163" t="str">
        <f t="shared" si="50"/>
        <v/>
      </c>
      <c r="T532" s="160" t="str">
        <f>IFERROR(INDEX(上年标准成本!$I:$I,MATCH(K532,上年标准成本!$C:$C,0),1),"")</f>
        <v/>
      </c>
      <c r="U532" s="126" t="str">
        <f t="shared" si="51"/>
        <v/>
      </c>
      <c r="V532" s="126" t="str">
        <f t="shared" si="52"/>
        <v/>
      </c>
      <c r="W532" s="124" t="str">
        <f t="shared" si="53"/>
        <v/>
      </c>
      <c r="X532" s="125" t="str">
        <f t="shared" si="48"/>
        <v/>
      </c>
    </row>
    <row r="533" spans="1:24" x14ac:dyDescent="0.3">
      <c r="A533" s="129"/>
      <c r="B533" s="129"/>
      <c r="C533" s="128"/>
      <c r="D533" s="128"/>
      <c r="E533" s="128"/>
      <c r="F533" s="166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6" t="str">
        <f t="shared" si="49"/>
        <v/>
      </c>
      <c r="S533" s="163" t="str">
        <f t="shared" si="50"/>
        <v/>
      </c>
      <c r="T533" s="160" t="str">
        <f>IFERROR(INDEX(上年标准成本!$I:$I,MATCH(K533,上年标准成本!$C:$C,0),1),"")</f>
        <v/>
      </c>
      <c r="U533" s="126" t="str">
        <f t="shared" si="51"/>
        <v/>
      </c>
      <c r="V533" s="126" t="str">
        <f t="shared" si="52"/>
        <v/>
      </c>
      <c r="W533" s="124" t="str">
        <f t="shared" si="53"/>
        <v/>
      </c>
      <c r="X533" s="125" t="str">
        <f t="shared" si="48"/>
        <v/>
      </c>
    </row>
    <row r="534" spans="1:24" x14ac:dyDescent="0.3">
      <c r="A534" s="129"/>
      <c r="B534" s="129"/>
      <c r="C534" s="128"/>
      <c r="D534" s="128"/>
      <c r="E534" s="128"/>
      <c r="F534" s="166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6" t="str">
        <f t="shared" si="49"/>
        <v/>
      </c>
      <c r="S534" s="163" t="str">
        <f t="shared" si="50"/>
        <v/>
      </c>
      <c r="T534" s="160" t="str">
        <f>IFERROR(INDEX(上年标准成本!$I:$I,MATCH(K534,上年标准成本!$C:$C,0),1),"")</f>
        <v/>
      </c>
      <c r="U534" s="126" t="str">
        <f t="shared" si="51"/>
        <v/>
      </c>
      <c r="V534" s="126" t="str">
        <f t="shared" si="52"/>
        <v/>
      </c>
      <c r="W534" s="124" t="str">
        <f t="shared" si="53"/>
        <v/>
      </c>
      <c r="X534" s="125" t="str">
        <f t="shared" si="48"/>
        <v/>
      </c>
    </row>
    <row r="535" spans="1:24" x14ac:dyDescent="0.3">
      <c r="A535" s="129"/>
      <c r="B535" s="129"/>
      <c r="C535" s="128"/>
      <c r="D535" s="128"/>
      <c r="E535" s="128"/>
      <c r="F535" s="166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6" t="str">
        <f t="shared" si="49"/>
        <v/>
      </c>
      <c r="S535" s="163" t="str">
        <f t="shared" si="50"/>
        <v/>
      </c>
      <c r="T535" s="160" t="str">
        <f>IFERROR(INDEX(上年标准成本!$I:$I,MATCH(K535,上年标准成本!$C:$C,0),1),"")</f>
        <v/>
      </c>
      <c r="U535" s="126" t="str">
        <f t="shared" si="51"/>
        <v/>
      </c>
      <c r="V535" s="126" t="str">
        <f t="shared" si="52"/>
        <v/>
      </c>
      <c r="W535" s="124" t="str">
        <f t="shared" si="53"/>
        <v/>
      </c>
      <c r="X535" s="125" t="str">
        <f t="shared" si="48"/>
        <v/>
      </c>
    </row>
    <row r="536" spans="1:24" x14ac:dyDescent="0.3">
      <c r="A536" s="129"/>
      <c r="B536" s="129"/>
      <c r="C536" s="128"/>
      <c r="D536" s="128"/>
      <c r="E536" s="128"/>
      <c r="F536" s="166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6" t="str">
        <f t="shared" si="49"/>
        <v/>
      </c>
      <c r="S536" s="163" t="str">
        <f t="shared" si="50"/>
        <v/>
      </c>
      <c r="T536" s="160" t="str">
        <f>IFERROR(INDEX(上年标准成本!$I:$I,MATCH(K536,上年标准成本!$C:$C,0),1),"")</f>
        <v/>
      </c>
      <c r="U536" s="126" t="str">
        <f t="shared" si="51"/>
        <v/>
      </c>
      <c r="V536" s="126" t="str">
        <f t="shared" si="52"/>
        <v/>
      </c>
      <c r="W536" s="124" t="str">
        <f t="shared" si="53"/>
        <v/>
      </c>
      <c r="X536" s="125" t="str">
        <f t="shared" si="48"/>
        <v/>
      </c>
    </row>
    <row r="537" spans="1:24" x14ac:dyDescent="0.3">
      <c r="A537" s="129"/>
      <c r="B537" s="129"/>
      <c r="C537" s="128"/>
      <c r="D537" s="128"/>
      <c r="E537" s="128"/>
      <c r="F537" s="166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6" t="str">
        <f t="shared" si="49"/>
        <v/>
      </c>
      <c r="S537" s="163" t="str">
        <f t="shared" si="50"/>
        <v/>
      </c>
      <c r="T537" s="160" t="str">
        <f>IFERROR(INDEX(上年标准成本!$I:$I,MATCH(K537,上年标准成本!$C:$C,0),1),"")</f>
        <v/>
      </c>
      <c r="U537" s="126" t="str">
        <f t="shared" si="51"/>
        <v/>
      </c>
      <c r="V537" s="126" t="str">
        <f t="shared" si="52"/>
        <v/>
      </c>
      <c r="W537" s="124" t="str">
        <f t="shared" si="53"/>
        <v/>
      </c>
      <c r="X537" s="125" t="str">
        <f t="shared" si="48"/>
        <v/>
      </c>
    </row>
    <row r="538" spans="1:24" x14ac:dyDescent="0.3">
      <c r="A538" s="129"/>
      <c r="B538" s="129"/>
      <c r="C538" s="128"/>
      <c r="D538" s="128"/>
      <c r="E538" s="128"/>
      <c r="F538" s="166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6" t="str">
        <f t="shared" si="49"/>
        <v/>
      </c>
      <c r="S538" s="163" t="str">
        <f t="shared" si="50"/>
        <v/>
      </c>
      <c r="T538" s="160" t="str">
        <f>IFERROR(INDEX(上年标准成本!$I:$I,MATCH(K538,上年标准成本!$C:$C,0),1),"")</f>
        <v/>
      </c>
      <c r="U538" s="126" t="str">
        <f t="shared" si="51"/>
        <v/>
      </c>
      <c r="V538" s="126" t="str">
        <f t="shared" si="52"/>
        <v/>
      </c>
      <c r="W538" s="124" t="str">
        <f t="shared" si="53"/>
        <v/>
      </c>
      <c r="X538" s="125" t="str">
        <f t="shared" si="48"/>
        <v/>
      </c>
    </row>
    <row r="539" spans="1:24" x14ac:dyDescent="0.3">
      <c r="A539" s="129"/>
      <c r="B539" s="129"/>
      <c r="C539" s="128"/>
      <c r="D539" s="128"/>
      <c r="E539" s="128"/>
      <c r="F539" s="166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6" t="str">
        <f t="shared" si="49"/>
        <v/>
      </c>
      <c r="S539" s="163" t="str">
        <f t="shared" si="50"/>
        <v/>
      </c>
      <c r="T539" s="160" t="str">
        <f>IFERROR(INDEX(上年标准成本!$I:$I,MATCH(K539,上年标准成本!$C:$C,0),1),"")</f>
        <v/>
      </c>
      <c r="U539" s="126" t="str">
        <f t="shared" si="51"/>
        <v/>
      </c>
      <c r="V539" s="126" t="str">
        <f t="shared" si="52"/>
        <v/>
      </c>
      <c r="W539" s="124" t="str">
        <f t="shared" si="53"/>
        <v/>
      </c>
      <c r="X539" s="125" t="str">
        <f t="shared" si="48"/>
        <v/>
      </c>
    </row>
    <row r="540" spans="1:24" x14ac:dyDescent="0.3">
      <c r="A540" s="129"/>
      <c r="B540" s="129"/>
      <c r="C540" s="128"/>
      <c r="D540" s="128"/>
      <c r="E540" s="128"/>
      <c r="F540" s="166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6" t="str">
        <f t="shared" si="49"/>
        <v/>
      </c>
      <c r="S540" s="163" t="str">
        <f t="shared" si="50"/>
        <v/>
      </c>
      <c r="T540" s="160" t="str">
        <f>IFERROR(INDEX(上年标准成本!$I:$I,MATCH(K540,上年标准成本!$C:$C,0),1),"")</f>
        <v/>
      </c>
      <c r="U540" s="126" t="str">
        <f t="shared" si="51"/>
        <v/>
      </c>
      <c r="V540" s="126" t="str">
        <f t="shared" si="52"/>
        <v/>
      </c>
      <c r="W540" s="124" t="str">
        <f t="shared" si="53"/>
        <v/>
      </c>
      <c r="X540" s="125" t="str">
        <f t="shared" si="48"/>
        <v/>
      </c>
    </row>
    <row r="541" spans="1:24" x14ac:dyDescent="0.3">
      <c r="A541" s="129"/>
      <c r="B541" s="129"/>
      <c r="C541" s="128"/>
      <c r="D541" s="128"/>
      <c r="E541" s="128"/>
      <c r="F541" s="166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6" t="str">
        <f t="shared" si="49"/>
        <v/>
      </c>
      <c r="S541" s="163" t="str">
        <f t="shared" si="50"/>
        <v/>
      </c>
      <c r="T541" s="160" t="str">
        <f>IFERROR(INDEX(上年标准成本!$I:$I,MATCH(K541,上年标准成本!$C:$C,0),1),"")</f>
        <v/>
      </c>
      <c r="U541" s="126" t="str">
        <f t="shared" si="51"/>
        <v/>
      </c>
      <c r="V541" s="126" t="str">
        <f t="shared" si="52"/>
        <v/>
      </c>
      <c r="W541" s="124" t="str">
        <f t="shared" si="53"/>
        <v/>
      </c>
      <c r="X541" s="125" t="str">
        <f t="shared" si="48"/>
        <v/>
      </c>
    </row>
    <row r="542" spans="1:24" x14ac:dyDescent="0.3">
      <c r="A542" s="129"/>
      <c r="B542" s="129"/>
      <c r="C542" s="128"/>
      <c r="D542" s="128"/>
      <c r="E542" s="128"/>
      <c r="F542" s="166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6" t="str">
        <f t="shared" si="49"/>
        <v/>
      </c>
      <c r="S542" s="163" t="str">
        <f t="shared" si="50"/>
        <v/>
      </c>
      <c r="T542" s="160" t="str">
        <f>IFERROR(INDEX(上年标准成本!$I:$I,MATCH(K542,上年标准成本!$C:$C,0),1),"")</f>
        <v/>
      </c>
      <c r="U542" s="126" t="str">
        <f t="shared" si="51"/>
        <v/>
      </c>
      <c r="V542" s="126" t="str">
        <f t="shared" si="52"/>
        <v/>
      </c>
      <c r="W542" s="124" t="str">
        <f t="shared" si="53"/>
        <v/>
      </c>
      <c r="X542" s="125" t="str">
        <f t="shared" si="48"/>
        <v/>
      </c>
    </row>
    <row r="543" spans="1:24" x14ac:dyDescent="0.3">
      <c r="A543" s="129"/>
      <c r="B543" s="129"/>
      <c r="C543" s="128"/>
      <c r="D543" s="128"/>
      <c r="E543" s="128"/>
      <c r="F543" s="166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6" t="str">
        <f t="shared" si="49"/>
        <v/>
      </c>
      <c r="S543" s="163" t="str">
        <f t="shared" si="50"/>
        <v/>
      </c>
      <c r="T543" s="160" t="str">
        <f>IFERROR(INDEX(上年标准成本!$I:$I,MATCH(K543,上年标准成本!$C:$C,0),1),"")</f>
        <v/>
      </c>
      <c r="U543" s="126" t="str">
        <f t="shared" si="51"/>
        <v/>
      </c>
      <c r="V543" s="126" t="str">
        <f t="shared" si="52"/>
        <v/>
      </c>
      <c r="W543" s="124" t="str">
        <f t="shared" si="53"/>
        <v/>
      </c>
      <c r="X543" s="125" t="str">
        <f t="shared" si="48"/>
        <v/>
      </c>
    </row>
    <row r="544" spans="1:24" x14ac:dyDescent="0.3">
      <c r="A544" s="129"/>
      <c r="B544" s="129"/>
      <c r="C544" s="128"/>
      <c r="D544" s="128"/>
      <c r="E544" s="128"/>
      <c r="F544" s="166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6" t="str">
        <f t="shared" si="49"/>
        <v/>
      </c>
      <c r="S544" s="163" t="str">
        <f t="shared" si="50"/>
        <v/>
      </c>
      <c r="T544" s="160" t="str">
        <f>IFERROR(INDEX(上年标准成本!$I:$I,MATCH(K544,上年标准成本!$C:$C,0),1),"")</f>
        <v/>
      </c>
      <c r="U544" s="126" t="str">
        <f t="shared" si="51"/>
        <v/>
      </c>
      <c r="V544" s="126" t="str">
        <f t="shared" si="52"/>
        <v/>
      </c>
      <c r="W544" s="124" t="str">
        <f t="shared" si="53"/>
        <v/>
      </c>
      <c r="X544" s="125" t="str">
        <f t="shared" si="48"/>
        <v/>
      </c>
    </row>
    <row r="545" spans="1:24" x14ac:dyDescent="0.3">
      <c r="A545" s="129"/>
      <c r="B545" s="129"/>
      <c r="C545" s="128"/>
      <c r="D545" s="128"/>
      <c r="E545" s="128"/>
      <c r="F545" s="166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6" t="str">
        <f t="shared" si="49"/>
        <v/>
      </c>
      <c r="S545" s="163" t="str">
        <f t="shared" si="50"/>
        <v/>
      </c>
      <c r="T545" s="160" t="str">
        <f>IFERROR(INDEX(上年标准成本!$I:$I,MATCH(K545,上年标准成本!$C:$C,0),1),"")</f>
        <v/>
      </c>
      <c r="U545" s="126" t="str">
        <f t="shared" si="51"/>
        <v/>
      </c>
      <c r="V545" s="126" t="str">
        <f t="shared" si="52"/>
        <v/>
      </c>
      <c r="W545" s="124" t="str">
        <f t="shared" si="53"/>
        <v/>
      </c>
      <c r="X545" s="125" t="str">
        <f t="shared" si="48"/>
        <v/>
      </c>
    </row>
    <row r="546" spans="1:24" x14ac:dyDescent="0.3">
      <c r="A546" s="129"/>
      <c r="B546" s="129"/>
      <c r="C546" s="128"/>
      <c r="D546" s="128"/>
      <c r="E546" s="128"/>
      <c r="F546" s="166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6" t="str">
        <f t="shared" si="49"/>
        <v/>
      </c>
      <c r="S546" s="163" t="str">
        <f t="shared" si="50"/>
        <v/>
      </c>
      <c r="T546" s="160" t="str">
        <f>IFERROR(INDEX(上年标准成本!$I:$I,MATCH(K546,上年标准成本!$C:$C,0),1),"")</f>
        <v/>
      </c>
      <c r="U546" s="126" t="str">
        <f t="shared" si="51"/>
        <v/>
      </c>
      <c r="V546" s="126" t="str">
        <f t="shared" si="52"/>
        <v/>
      </c>
      <c r="W546" s="124" t="str">
        <f t="shared" si="53"/>
        <v/>
      </c>
      <c r="X546" s="125" t="str">
        <f t="shared" si="48"/>
        <v/>
      </c>
    </row>
    <row r="547" spans="1:24" x14ac:dyDescent="0.3">
      <c r="A547" s="129"/>
      <c r="B547" s="129"/>
      <c r="C547" s="128"/>
      <c r="D547" s="128"/>
      <c r="E547" s="128"/>
      <c r="F547" s="166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6" t="str">
        <f t="shared" si="49"/>
        <v/>
      </c>
      <c r="S547" s="163" t="str">
        <f t="shared" si="50"/>
        <v/>
      </c>
      <c r="T547" s="160" t="str">
        <f>IFERROR(INDEX(上年标准成本!$I:$I,MATCH(K547,上年标准成本!$C:$C,0),1),"")</f>
        <v/>
      </c>
      <c r="U547" s="126" t="str">
        <f t="shared" si="51"/>
        <v/>
      </c>
      <c r="V547" s="126" t="str">
        <f t="shared" si="52"/>
        <v/>
      </c>
      <c r="W547" s="124" t="str">
        <f t="shared" si="53"/>
        <v/>
      </c>
      <c r="X547" s="125" t="str">
        <f t="shared" si="48"/>
        <v/>
      </c>
    </row>
    <row r="548" spans="1:24" x14ac:dyDescent="0.3">
      <c r="A548" s="129"/>
      <c r="B548" s="129"/>
      <c r="C548" s="128"/>
      <c r="D548" s="128"/>
      <c r="E548" s="128"/>
      <c r="F548" s="166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6" t="str">
        <f t="shared" si="49"/>
        <v/>
      </c>
      <c r="S548" s="163" t="str">
        <f t="shared" si="50"/>
        <v/>
      </c>
      <c r="T548" s="160" t="str">
        <f>IFERROR(INDEX(上年标准成本!$I:$I,MATCH(K548,上年标准成本!$C:$C,0),1),"")</f>
        <v/>
      </c>
      <c r="U548" s="126" t="str">
        <f t="shared" si="51"/>
        <v/>
      </c>
      <c r="V548" s="126" t="str">
        <f t="shared" si="52"/>
        <v/>
      </c>
      <c r="W548" s="124" t="str">
        <f t="shared" si="53"/>
        <v/>
      </c>
      <c r="X548" s="125" t="str">
        <f t="shared" si="48"/>
        <v/>
      </c>
    </row>
    <row r="549" spans="1:24" x14ac:dyDescent="0.3">
      <c r="A549" s="129"/>
      <c r="B549" s="129"/>
      <c r="C549" s="128"/>
      <c r="D549" s="128"/>
      <c r="E549" s="128"/>
      <c r="F549" s="166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6" t="str">
        <f t="shared" si="49"/>
        <v/>
      </c>
      <c r="S549" s="163" t="str">
        <f t="shared" si="50"/>
        <v/>
      </c>
      <c r="T549" s="160" t="str">
        <f>IFERROR(INDEX(上年标准成本!$I:$I,MATCH(K549,上年标准成本!$C:$C,0),1),"")</f>
        <v/>
      </c>
      <c r="U549" s="126" t="str">
        <f t="shared" si="51"/>
        <v/>
      </c>
      <c r="V549" s="126" t="str">
        <f t="shared" si="52"/>
        <v/>
      </c>
      <c r="W549" s="124" t="str">
        <f t="shared" si="53"/>
        <v/>
      </c>
      <c r="X549" s="125" t="str">
        <f t="shared" si="48"/>
        <v/>
      </c>
    </row>
    <row r="550" spans="1:24" x14ac:dyDescent="0.3">
      <c r="A550" s="129"/>
      <c r="B550" s="129"/>
      <c r="C550" s="128"/>
      <c r="D550" s="128"/>
      <c r="E550" s="128"/>
      <c r="F550" s="166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6" t="str">
        <f t="shared" si="49"/>
        <v/>
      </c>
      <c r="S550" s="163" t="str">
        <f t="shared" si="50"/>
        <v/>
      </c>
      <c r="T550" s="160" t="str">
        <f>IFERROR(INDEX(上年标准成本!$I:$I,MATCH(K550,上年标准成本!$C:$C,0),1),"")</f>
        <v/>
      </c>
      <c r="U550" s="126" t="str">
        <f t="shared" si="51"/>
        <v/>
      </c>
      <c r="V550" s="126" t="str">
        <f t="shared" si="52"/>
        <v/>
      </c>
      <c r="W550" s="124" t="str">
        <f t="shared" si="53"/>
        <v/>
      </c>
      <c r="X550" s="125" t="str">
        <f t="shared" si="48"/>
        <v/>
      </c>
    </row>
    <row r="551" spans="1:24" x14ac:dyDescent="0.3">
      <c r="A551" s="129"/>
      <c r="B551" s="129"/>
      <c r="C551" s="128"/>
      <c r="D551" s="128"/>
      <c r="E551" s="128"/>
      <c r="F551" s="166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6" t="str">
        <f t="shared" si="49"/>
        <v/>
      </c>
      <c r="S551" s="163" t="str">
        <f t="shared" si="50"/>
        <v/>
      </c>
      <c r="T551" s="160" t="str">
        <f>IFERROR(INDEX(上年标准成本!$I:$I,MATCH(K551,上年标准成本!$C:$C,0),1),"")</f>
        <v/>
      </c>
      <c r="U551" s="126" t="str">
        <f t="shared" si="51"/>
        <v/>
      </c>
      <c r="V551" s="126" t="str">
        <f t="shared" si="52"/>
        <v/>
      </c>
      <c r="W551" s="124" t="str">
        <f t="shared" si="53"/>
        <v/>
      </c>
      <c r="X551" s="125" t="str">
        <f t="shared" si="48"/>
        <v/>
      </c>
    </row>
    <row r="552" spans="1:24" x14ac:dyDescent="0.3">
      <c r="A552" s="129"/>
      <c r="B552" s="129"/>
      <c r="C552" s="128"/>
      <c r="D552" s="128"/>
      <c r="E552" s="128"/>
      <c r="F552" s="166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6" t="str">
        <f t="shared" si="49"/>
        <v/>
      </c>
      <c r="S552" s="163" t="str">
        <f t="shared" si="50"/>
        <v/>
      </c>
      <c r="T552" s="160" t="str">
        <f>IFERROR(INDEX(上年标准成本!$I:$I,MATCH(K552,上年标准成本!$C:$C,0),1),"")</f>
        <v/>
      </c>
      <c r="U552" s="126" t="str">
        <f t="shared" si="51"/>
        <v/>
      </c>
      <c r="V552" s="126" t="str">
        <f t="shared" si="52"/>
        <v/>
      </c>
      <c r="W552" s="124" t="str">
        <f t="shared" si="53"/>
        <v/>
      </c>
      <c r="X552" s="125" t="str">
        <f t="shared" si="48"/>
        <v/>
      </c>
    </row>
    <row r="553" spans="1:24" x14ac:dyDescent="0.3">
      <c r="A553" s="129"/>
      <c r="B553" s="129"/>
      <c r="C553" s="128"/>
      <c r="D553" s="128"/>
      <c r="E553" s="128"/>
      <c r="F553" s="166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6" t="str">
        <f t="shared" si="49"/>
        <v/>
      </c>
      <c r="S553" s="163" t="str">
        <f t="shared" si="50"/>
        <v/>
      </c>
      <c r="T553" s="160" t="str">
        <f>IFERROR(INDEX(上年标准成本!$I:$I,MATCH(K553,上年标准成本!$C:$C,0),1),"")</f>
        <v/>
      </c>
      <c r="U553" s="126" t="str">
        <f t="shared" si="51"/>
        <v/>
      </c>
      <c r="V553" s="126" t="str">
        <f t="shared" si="52"/>
        <v/>
      </c>
      <c r="W553" s="124" t="str">
        <f t="shared" si="53"/>
        <v/>
      </c>
      <c r="X553" s="125" t="str">
        <f t="shared" si="48"/>
        <v/>
      </c>
    </row>
    <row r="554" spans="1:24" x14ac:dyDescent="0.3">
      <c r="A554" s="129"/>
      <c r="B554" s="129"/>
      <c r="C554" s="128"/>
      <c r="D554" s="128"/>
      <c r="E554" s="128"/>
      <c r="F554" s="166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6" t="str">
        <f t="shared" si="49"/>
        <v/>
      </c>
      <c r="S554" s="163" t="str">
        <f t="shared" si="50"/>
        <v/>
      </c>
      <c r="T554" s="160" t="str">
        <f>IFERROR(INDEX(上年标准成本!$I:$I,MATCH(K554,上年标准成本!$C:$C,0),1),"")</f>
        <v/>
      </c>
      <c r="U554" s="126" t="str">
        <f t="shared" si="51"/>
        <v/>
      </c>
      <c r="V554" s="126" t="str">
        <f t="shared" si="52"/>
        <v/>
      </c>
      <c r="W554" s="124" t="str">
        <f t="shared" si="53"/>
        <v/>
      </c>
      <c r="X554" s="125" t="str">
        <f t="shared" si="48"/>
        <v/>
      </c>
    </row>
    <row r="555" spans="1:24" x14ac:dyDescent="0.3">
      <c r="A555" s="129"/>
      <c r="B555" s="129"/>
      <c r="C555" s="128"/>
      <c r="D555" s="128"/>
      <c r="E555" s="128"/>
      <c r="F555" s="166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6" t="str">
        <f t="shared" si="49"/>
        <v/>
      </c>
      <c r="S555" s="163" t="str">
        <f t="shared" si="50"/>
        <v/>
      </c>
      <c r="T555" s="160" t="str">
        <f>IFERROR(INDEX(上年标准成本!$I:$I,MATCH(K555,上年标准成本!$C:$C,0),1),"")</f>
        <v/>
      </c>
      <c r="U555" s="126" t="str">
        <f t="shared" si="51"/>
        <v/>
      </c>
      <c r="V555" s="126" t="str">
        <f t="shared" si="52"/>
        <v/>
      </c>
      <c r="W555" s="124" t="str">
        <f t="shared" si="53"/>
        <v/>
      </c>
      <c r="X555" s="125" t="str">
        <f t="shared" si="48"/>
        <v/>
      </c>
    </row>
    <row r="556" spans="1:24" x14ac:dyDescent="0.3">
      <c r="A556" s="129"/>
      <c r="B556" s="129"/>
      <c r="C556" s="128"/>
      <c r="D556" s="128"/>
      <c r="E556" s="128"/>
      <c r="F556" s="166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6" t="str">
        <f t="shared" si="49"/>
        <v/>
      </c>
      <c r="S556" s="163" t="str">
        <f t="shared" si="50"/>
        <v/>
      </c>
      <c r="T556" s="160" t="str">
        <f>IFERROR(INDEX(上年标准成本!$I:$I,MATCH(K556,上年标准成本!$C:$C,0),1),"")</f>
        <v/>
      </c>
      <c r="U556" s="126" t="str">
        <f t="shared" si="51"/>
        <v/>
      </c>
      <c r="V556" s="126" t="str">
        <f t="shared" si="52"/>
        <v/>
      </c>
      <c r="W556" s="124" t="str">
        <f t="shared" si="53"/>
        <v/>
      </c>
      <c r="X556" s="125" t="str">
        <f t="shared" si="48"/>
        <v/>
      </c>
    </row>
    <row r="557" spans="1:24" x14ac:dyDescent="0.3">
      <c r="A557" s="129"/>
      <c r="B557" s="129"/>
      <c r="C557" s="128"/>
      <c r="D557" s="128"/>
      <c r="E557" s="128"/>
      <c r="F557" s="166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6" t="str">
        <f t="shared" si="49"/>
        <v/>
      </c>
      <c r="S557" s="163" t="str">
        <f t="shared" si="50"/>
        <v/>
      </c>
      <c r="T557" s="160" t="str">
        <f>IFERROR(INDEX(上年标准成本!$I:$I,MATCH(K557,上年标准成本!$C:$C,0),1),"")</f>
        <v/>
      </c>
      <c r="U557" s="126" t="str">
        <f t="shared" si="51"/>
        <v/>
      </c>
      <c r="V557" s="126" t="str">
        <f t="shared" si="52"/>
        <v/>
      </c>
      <c r="W557" s="124" t="str">
        <f t="shared" si="53"/>
        <v/>
      </c>
      <c r="X557" s="125" t="str">
        <f t="shared" si="48"/>
        <v/>
      </c>
    </row>
    <row r="558" spans="1:24" x14ac:dyDescent="0.3">
      <c r="A558" s="129"/>
      <c r="B558" s="129"/>
      <c r="C558" s="128"/>
      <c r="D558" s="128"/>
      <c r="E558" s="128"/>
      <c r="F558" s="166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6" t="str">
        <f t="shared" si="49"/>
        <v/>
      </c>
      <c r="S558" s="163" t="str">
        <f t="shared" si="50"/>
        <v/>
      </c>
      <c r="T558" s="160" t="str">
        <f>IFERROR(INDEX(上年标准成本!$I:$I,MATCH(K558,上年标准成本!$C:$C,0),1),"")</f>
        <v/>
      </c>
      <c r="U558" s="126" t="str">
        <f t="shared" si="51"/>
        <v/>
      </c>
      <c r="V558" s="126" t="str">
        <f t="shared" si="52"/>
        <v/>
      </c>
      <c r="W558" s="124" t="str">
        <f t="shared" si="53"/>
        <v/>
      </c>
      <c r="X558" s="125" t="str">
        <f t="shared" si="48"/>
        <v/>
      </c>
    </row>
    <row r="559" spans="1:24" x14ac:dyDescent="0.3">
      <c r="A559" s="129"/>
      <c r="B559" s="129"/>
      <c r="C559" s="128"/>
      <c r="D559" s="128"/>
      <c r="E559" s="128"/>
      <c r="F559" s="166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6" t="str">
        <f t="shared" si="49"/>
        <v/>
      </c>
      <c r="S559" s="163" t="str">
        <f t="shared" si="50"/>
        <v/>
      </c>
      <c r="T559" s="160" t="str">
        <f>IFERROR(INDEX(上年标准成本!$I:$I,MATCH(K559,上年标准成本!$C:$C,0),1),"")</f>
        <v/>
      </c>
      <c r="U559" s="126" t="str">
        <f t="shared" si="51"/>
        <v/>
      </c>
      <c r="V559" s="126" t="str">
        <f t="shared" si="52"/>
        <v/>
      </c>
      <c r="W559" s="124" t="str">
        <f t="shared" si="53"/>
        <v/>
      </c>
      <c r="X559" s="125" t="str">
        <f t="shared" si="48"/>
        <v/>
      </c>
    </row>
    <row r="560" spans="1:24" x14ac:dyDescent="0.3">
      <c r="A560" s="129"/>
      <c r="B560" s="129"/>
      <c r="C560" s="128"/>
      <c r="D560" s="128"/>
      <c r="E560" s="128"/>
      <c r="F560" s="166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6" t="str">
        <f t="shared" si="49"/>
        <v/>
      </c>
      <c r="S560" s="163" t="str">
        <f t="shared" si="50"/>
        <v/>
      </c>
      <c r="T560" s="160" t="str">
        <f>IFERROR(INDEX(上年标准成本!$I:$I,MATCH(K560,上年标准成本!$C:$C,0),1),"")</f>
        <v/>
      </c>
      <c r="U560" s="126" t="str">
        <f t="shared" si="51"/>
        <v/>
      </c>
      <c r="V560" s="126" t="str">
        <f t="shared" si="52"/>
        <v/>
      </c>
      <c r="W560" s="124" t="str">
        <f t="shared" si="53"/>
        <v/>
      </c>
      <c r="X560" s="125" t="str">
        <f t="shared" si="48"/>
        <v/>
      </c>
    </row>
    <row r="561" spans="1:24" x14ac:dyDescent="0.3">
      <c r="A561" s="129"/>
      <c r="B561" s="129"/>
      <c r="C561" s="128"/>
      <c r="D561" s="128"/>
      <c r="E561" s="128"/>
      <c r="F561" s="166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6" t="str">
        <f t="shared" si="49"/>
        <v/>
      </c>
      <c r="S561" s="163" t="str">
        <f t="shared" si="50"/>
        <v/>
      </c>
      <c r="T561" s="160" t="str">
        <f>IFERROR(INDEX(上年标准成本!$I:$I,MATCH(K561,上年标准成本!$C:$C,0),1),"")</f>
        <v/>
      </c>
      <c r="U561" s="126" t="str">
        <f t="shared" si="51"/>
        <v/>
      </c>
      <c r="V561" s="126" t="str">
        <f t="shared" si="52"/>
        <v/>
      </c>
      <c r="W561" s="124" t="str">
        <f t="shared" si="53"/>
        <v/>
      </c>
      <c r="X561" s="125" t="str">
        <f t="shared" si="48"/>
        <v/>
      </c>
    </row>
    <row r="562" spans="1:24" x14ac:dyDescent="0.3">
      <c r="A562" s="129"/>
      <c r="B562" s="129"/>
      <c r="C562" s="128"/>
      <c r="D562" s="128"/>
      <c r="E562" s="128"/>
      <c r="F562" s="166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6" t="str">
        <f t="shared" si="49"/>
        <v/>
      </c>
      <c r="S562" s="163" t="str">
        <f t="shared" si="50"/>
        <v/>
      </c>
      <c r="T562" s="160" t="str">
        <f>IFERROR(INDEX(上年标准成本!$I:$I,MATCH(K562,上年标准成本!$C:$C,0),1),"")</f>
        <v/>
      </c>
      <c r="U562" s="126" t="str">
        <f t="shared" si="51"/>
        <v/>
      </c>
      <c r="V562" s="126" t="str">
        <f t="shared" si="52"/>
        <v/>
      </c>
      <c r="W562" s="124" t="str">
        <f t="shared" si="53"/>
        <v/>
      </c>
      <c r="X562" s="125" t="str">
        <f t="shared" si="48"/>
        <v/>
      </c>
    </row>
    <row r="563" spans="1:24" x14ac:dyDescent="0.3">
      <c r="A563" s="129"/>
      <c r="B563" s="129"/>
      <c r="C563" s="128"/>
      <c r="D563" s="128"/>
      <c r="E563" s="128"/>
      <c r="F563" s="166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6" t="str">
        <f t="shared" si="49"/>
        <v/>
      </c>
      <c r="S563" s="163" t="str">
        <f t="shared" si="50"/>
        <v/>
      </c>
      <c r="T563" s="160" t="str">
        <f>IFERROR(INDEX(上年标准成本!$I:$I,MATCH(K563,上年标准成本!$C:$C,0),1),"")</f>
        <v/>
      </c>
      <c r="U563" s="126" t="str">
        <f t="shared" si="51"/>
        <v/>
      </c>
      <c r="V563" s="126" t="str">
        <f t="shared" si="52"/>
        <v/>
      </c>
      <c r="W563" s="124" t="str">
        <f t="shared" si="53"/>
        <v/>
      </c>
      <c r="X563" s="125" t="str">
        <f t="shared" si="48"/>
        <v/>
      </c>
    </row>
    <row r="564" spans="1:24" x14ac:dyDescent="0.3">
      <c r="A564" s="129"/>
      <c r="B564" s="129"/>
      <c r="C564" s="128"/>
      <c r="D564" s="128"/>
      <c r="E564" s="128"/>
      <c r="F564" s="166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6" t="str">
        <f t="shared" si="49"/>
        <v/>
      </c>
      <c r="S564" s="163" t="str">
        <f t="shared" si="50"/>
        <v/>
      </c>
      <c r="T564" s="160" t="str">
        <f>IFERROR(INDEX(上年标准成本!$I:$I,MATCH(K564,上年标准成本!$C:$C,0),1),"")</f>
        <v/>
      </c>
      <c r="U564" s="126" t="str">
        <f t="shared" si="51"/>
        <v/>
      </c>
      <c r="V564" s="126" t="str">
        <f t="shared" si="52"/>
        <v/>
      </c>
      <c r="W564" s="124" t="str">
        <f t="shared" si="53"/>
        <v/>
      </c>
      <c r="X564" s="125" t="str">
        <f t="shared" si="48"/>
        <v/>
      </c>
    </row>
    <row r="565" spans="1:24" x14ac:dyDescent="0.3">
      <c r="A565" s="129"/>
      <c r="B565" s="129"/>
      <c r="C565" s="128"/>
      <c r="D565" s="128"/>
      <c r="E565" s="128"/>
      <c r="F565" s="166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6" t="str">
        <f t="shared" si="49"/>
        <v/>
      </c>
      <c r="S565" s="163" t="str">
        <f t="shared" si="50"/>
        <v/>
      </c>
      <c r="T565" s="160" t="str">
        <f>IFERROR(INDEX(上年标准成本!$I:$I,MATCH(K565,上年标准成本!$C:$C,0),1),"")</f>
        <v/>
      </c>
      <c r="U565" s="126" t="str">
        <f t="shared" si="51"/>
        <v/>
      </c>
      <c r="V565" s="126" t="str">
        <f t="shared" si="52"/>
        <v/>
      </c>
      <c r="W565" s="124" t="str">
        <f t="shared" si="53"/>
        <v/>
      </c>
      <c r="X565" s="125" t="str">
        <f t="shared" si="48"/>
        <v/>
      </c>
    </row>
    <row r="566" spans="1:24" x14ac:dyDescent="0.3">
      <c r="A566" s="129"/>
      <c r="B566" s="129"/>
      <c r="C566" s="128"/>
      <c r="D566" s="128"/>
      <c r="E566" s="128"/>
      <c r="F566" s="166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6" t="str">
        <f t="shared" si="49"/>
        <v/>
      </c>
      <c r="S566" s="163" t="str">
        <f t="shared" si="50"/>
        <v/>
      </c>
      <c r="T566" s="160" t="str">
        <f>IFERROR(INDEX(上年标准成本!$I:$I,MATCH(K566,上年标准成本!$C:$C,0),1),"")</f>
        <v/>
      </c>
      <c r="U566" s="126" t="str">
        <f t="shared" si="51"/>
        <v/>
      </c>
      <c r="V566" s="126" t="str">
        <f t="shared" si="52"/>
        <v/>
      </c>
      <c r="W566" s="124" t="str">
        <f t="shared" si="53"/>
        <v/>
      </c>
      <c r="X566" s="125" t="str">
        <f t="shared" si="48"/>
        <v/>
      </c>
    </row>
    <row r="567" spans="1:24" x14ac:dyDescent="0.3">
      <c r="A567" s="129"/>
      <c r="B567" s="129"/>
      <c r="C567" s="128"/>
      <c r="D567" s="128"/>
      <c r="E567" s="128"/>
      <c r="F567" s="166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6" t="str">
        <f t="shared" si="49"/>
        <v/>
      </c>
      <c r="S567" s="163" t="str">
        <f t="shared" si="50"/>
        <v/>
      </c>
      <c r="T567" s="160" t="str">
        <f>IFERROR(INDEX(上年标准成本!$I:$I,MATCH(K567,上年标准成本!$C:$C,0),1),"")</f>
        <v/>
      </c>
      <c r="U567" s="126" t="str">
        <f t="shared" si="51"/>
        <v/>
      </c>
      <c r="V567" s="126" t="str">
        <f t="shared" si="52"/>
        <v/>
      </c>
      <c r="W567" s="124" t="str">
        <f t="shared" si="53"/>
        <v/>
      </c>
      <c r="X567" s="125" t="str">
        <f t="shared" si="48"/>
        <v/>
      </c>
    </row>
    <row r="568" spans="1:24" x14ac:dyDescent="0.3">
      <c r="A568" s="129"/>
      <c r="B568" s="129"/>
      <c r="C568" s="128"/>
      <c r="D568" s="128"/>
      <c r="E568" s="128"/>
      <c r="F568" s="166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6" t="str">
        <f t="shared" si="49"/>
        <v/>
      </c>
      <c r="S568" s="163" t="str">
        <f t="shared" si="50"/>
        <v/>
      </c>
      <c r="T568" s="160" t="str">
        <f>IFERROR(INDEX(上年标准成本!$I:$I,MATCH(K568,上年标准成本!$C:$C,0),1),"")</f>
        <v/>
      </c>
      <c r="U568" s="126" t="str">
        <f t="shared" si="51"/>
        <v/>
      </c>
      <c r="V568" s="126" t="str">
        <f t="shared" si="52"/>
        <v/>
      </c>
      <c r="W568" s="124" t="str">
        <f t="shared" si="53"/>
        <v/>
      </c>
      <c r="X568" s="125" t="str">
        <f t="shared" si="48"/>
        <v/>
      </c>
    </row>
    <row r="569" spans="1:24" x14ac:dyDescent="0.3">
      <c r="A569" s="129"/>
      <c r="B569" s="129"/>
      <c r="C569" s="128"/>
      <c r="D569" s="128"/>
      <c r="E569" s="128"/>
      <c r="F569" s="166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6" t="str">
        <f t="shared" si="49"/>
        <v/>
      </c>
      <c r="S569" s="163" t="str">
        <f t="shared" si="50"/>
        <v/>
      </c>
      <c r="T569" s="160" t="str">
        <f>IFERROR(INDEX(上年标准成本!$I:$I,MATCH(K569,上年标准成本!$C:$C,0),1),"")</f>
        <v/>
      </c>
      <c r="U569" s="126" t="str">
        <f t="shared" si="51"/>
        <v/>
      </c>
      <c r="V569" s="126" t="str">
        <f t="shared" si="52"/>
        <v/>
      </c>
      <c r="W569" s="124" t="str">
        <f t="shared" si="53"/>
        <v/>
      </c>
      <c r="X569" s="125" t="str">
        <f t="shared" si="48"/>
        <v/>
      </c>
    </row>
    <row r="570" spans="1:24" x14ac:dyDescent="0.3">
      <c r="A570" s="129"/>
      <c r="B570" s="129"/>
      <c r="C570" s="128"/>
      <c r="D570" s="128"/>
      <c r="E570" s="128"/>
      <c r="F570" s="166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6" t="str">
        <f t="shared" si="49"/>
        <v/>
      </c>
      <c r="S570" s="163" t="str">
        <f t="shared" si="50"/>
        <v/>
      </c>
      <c r="T570" s="160" t="str">
        <f>IFERROR(INDEX(上年标准成本!$I:$I,MATCH(K570,上年标准成本!$C:$C,0),1),"")</f>
        <v/>
      </c>
      <c r="U570" s="126" t="str">
        <f t="shared" si="51"/>
        <v/>
      </c>
      <c r="V570" s="126" t="str">
        <f t="shared" si="52"/>
        <v/>
      </c>
      <c r="W570" s="124" t="str">
        <f t="shared" si="53"/>
        <v/>
      </c>
      <c r="X570" s="125" t="str">
        <f t="shared" si="48"/>
        <v/>
      </c>
    </row>
    <row r="571" spans="1:24" x14ac:dyDescent="0.3">
      <c r="A571" s="129"/>
      <c r="B571" s="129"/>
      <c r="C571" s="128"/>
      <c r="D571" s="128"/>
      <c r="E571" s="128"/>
      <c r="F571" s="166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6" t="str">
        <f t="shared" si="49"/>
        <v/>
      </c>
      <c r="S571" s="163" t="str">
        <f t="shared" si="50"/>
        <v/>
      </c>
      <c r="T571" s="160" t="str">
        <f>IFERROR(INDEX(上年标准成本!$I:$I,MATCH(K571,上年标准成本!$C:$C,0),1),"")</f>
        <v/>
      </c>
      <c r="U571" s="126" t="str">
        <f t="shared" si="51"/>
        <v/>
      </c>
      <c r="V571" s="126" t="str">
        <f t="shared" si="52"/>
        <v/>
      </c>
      <c r="W571" s="124" t="str">
        <f t="shared" si="53"/>
        <v/>
      </c>
      <c r="X571" s="125" t="str">
        <f t="shared" si="48"/>
        <v/>
      </c>
    </row>
    <row r="572" spans="1:24" x14ac:dyDescent="0.3">
      <c r="A572" s="129"/>
      <c r="B572" s="129"/>
      <c r="C572" s="128"/>
      <c r="D572" s="128"/>
      <c r="E572" s="128"/>
      <c r="F572" s="166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6" t="str">
        <f t="shared" si="49"/>
        <v/>
      </c>
      <c r="S572" s="163" t="str">
        <f t="shared" si="50"/>
        <v/>
      </c>
      <c r="T572" s="160" t="str">
        <f>IFERROR(INDEX(上年标准成本!$I:$I,MATCH(K572,上年标准成本!$C:$C,0),1),"")</f>
        <v/>
      </c>
      <c r="U572" s="126" t="str">
        <f t="shared" si="51"/>
        <v/>
      </c>
      <c r="V572" s="126" t="str">
        <f t="shared" si="52"/>
        <v/>
      </c>
      <c r="W572" s="124" t="str">
        <f t="shared" si="53"/>
        <v/>
      </c>
      <c r="X572" s="125" t="str">
        <f t="shared" si="48"/>
        <v/>
      </c>
    </row>
    <row r="573" spans="1:24" x14ac:dyDescent="0.3">
      <c r="A573" s="129"/>
      <c r="B573" s="129"/>
      <c r="C573" s="128"/>
      <c r="D573" s="128"/>
      <c r="E573" s="128"/>
      <c r="F573" s="166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6" t="str">
        <f t="shared" si="49"/>
        <v/>
      </c>
      <c r="S573" s="163" t="str">
        <f t="shared" si="50"/>
        <v/>
      </c>
      <c r="T573" s="160" t="str">
        <f>IFERROR(INDEX(上年标准成本!$I:$I,MATCH(K573,上年标准成本!$C:$C,0),1),"")</f>
        <v/>
      </c>
      <c r="U573" s="126" t="str">
        <f t="shared" si="51"/>
        <v/>
      </c>
      <c r="V573" s="126" t="str">
        <f t="shared" si="52"/>
        <v/>
      </c>
      <c r="W573" s="124" t="str">
        <f t="shared" si="53"/>
        <v/>
      </c>
      <c r="X573" s="125" t="str">
        <f t="shared" si="48"/>
        <v/>
      </c>
    </row>
    <row r="574" spans="1:24" x14ac:dyDescent="0.3">
      <c r="A574" s="129"/>
      <c r="B574" s="129"/>
      <c r="C574" s="128"/>
      <c r="D574" s="128"/>
      <c r="E574" s="128"/>
      <c r="F574" s="166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6" t="str">
        <f t="shared" si="49"/>
        <v/>
      </c>
      <c r="S574" s="163" t="str">
        <f t="shared" si="50"/>
        <v/>
      </c>
      <c r="T574" s="160" t="str">
        <f>IFERROR(INDEX(上年标准成本!$I:$I,MATCH(K574,上年标准成本!$C:$C,0),1),"")</f>
        <v/>
      </c>
      <c r="U574" s="126" t="str">
        <f t="shared" si="51"/>
        <v/>
      </c>
      <c r="V574" s="126" t="str">
        <f t="shared" si="52"/>
        <v/>
      </c>
      <c r="W574" s="124" t="str">
        <f t="shared" si="53"/>
        <v/>
      </c>
      <c r="X574" s="125" t="str">
        <f t="shared" si="48"/>
        <v/>
      </c>
    </row>
    <row r="575" spans="1:24" x14ac:dyDescent="0.3">
      <c r="A575" s="129"/>
      <c r="B575" s="129"/>
      <c r="C575" s="128"/>
      <c r="D575" s="128"/>
      <c r="E575" s="128"/>
      <c r="F575" s="166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6" t="str">
        <f t="shared" si="49"/>
        <v/>
      </c>
      <c r="S575" s="163" t="str">
        <f t="shared" si="50"/>
        <v/>
      </c>
      <c r="T575" s="160" t="str">
        <f>IFERROR(INDEX(上年标准成本!$I:$I,MATCH(K575,上年标准成本!$C:$C,0),1),"")</f>
        <v/>
      </c>
      <c r="U575" s="126" t="str">
        <f t="shared" si="51"/>
        <v/>
      </c>
      <c r="V575" s="126" t="str">
        <f t="shared" si="52"/>
        <v/>
      </c>
      <c r="W575" s="124" t="str">
        <f t="shared" si="53"/>
        <v/>
      </c>
      <c r="X575" s="125" t="str">
        <f t="shared" si="48"/>
        <v/>
      </c>
    </row>
    <row r="576" spans="1:24" x14ac:dyDescent="0.3">
      <c r="A576" s="129"/>
      <c r="B576" s="129"/>
      <c r="C576" s="128"/>
      <c r="D576" s="128"/>
      <c r="E576" s="128"/>
      <c r="F576" s="166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6" t="str">
        <f t="shared" si="49"/>
        <v/>
      </c>
      <c r="S576" s="163" t="str">
        <f t="shared" si="50"/>
        <v/>
      </c>
      <c r="T576" s="160" t="str">
        <f>IFERROR(INDEX(上年标准成本!$I:$I,MATCH(K576,上年标准成本!$C:$C,0),1),"")</f>
        <v/>
      </c>
      <c r="U576" s="126" t="str">
        <f t="shared" si="51"/>
        <v/>
      </c>
      <c r="V576" s="126" t="str">
        <f t="shared" si="52"/>
        <v/>
      </c>
      <c r="W576" s="124" t="str">
        <f t="shared" si="53"/>
        <v/>
      </c>
      <c r="X576" s="125" t="str">
        <f t="shared" si="48"/>
        <v/>
      </c>
    </row>
    <row r="577" spans="1:24" x14ac:dyDescent="0.3">
      <c r="A577" s="129"/>
      <c r="B577" s="129"/>
      <c r="C577" s="128"/>
      <c r="D577" s="128"/>
      <c r="E577" s="128"/>
      <c r="F577" s="166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6" t="str">
        <f t="shared" si="49"/>
        <v/>
      </c>
      <c r="S577" s="163" t="str">
        <f t="shared" si="50"/>
        <v/>
      </c>
      <c r="T577" s="160" t="str">
        <f>IFERROR(INDEX(上年标准成本!$I:$I,MATCH(K577,上年标准成本!$C:$C,0),1),"")</f>
        <v/>
      </c>
      <c r="U577" s="126" t="str">
        <f t="shared" si="51"/>
        <v/>
      </c>
      <c r="V577" s="126" t="str">
        <f t="shared" si="52"/>
        <v/>
      </c>
      <c r="W577" s="124" t="str">
        <f t="shared" si="53"/>
        <v/>
      </c>
      <c r="X577" s="125" t="str">
        <f t="shared" si="48"/>
        <v/>
      </c>
    </row>
    <row r="578" spans="1:24" x14ac:dyDescent="0.3">
      <c r="A578" s="129"/>
      <c r="B578" s="129"/>
      <c r="C578" s="128"/>
      <c r="D578" s="128"/>
      <c r="E578" s="128"/>
      <c r="F578" s="166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6" t="str">
        <f t="shared" si="49"/>
        <v/>
      </c>
      <c r="S578" s="163" t="str">
        <f t="shared" si="50"/>
        <v/>
      </c>
      <c r="T578" s="160" t="str">
        <f>IFERROR(INDEX(上年标准成本!$I:$I,MATCH(K578,上年标准成本!$C:$C,0),1),"")</f>
        <v/>
      </c>
      <c r="U578" s="126" t="str">
        <f t="shared" si="51"/>
        <v/>
      </c>
      <c r="V578" s="126" t="str">
        <f t="shared" si="52"/>
        <v/>
      </c>
      <c r="W578" s="124" t="str">
        <f t="shared" si="53"/>
        <v/>
      </c>
      <c r="X578" s="125" t="str">
        <f t="shared" ref="X578:X641" si="54">IFERROR(IF(W578/SUM(W:W)=0,"",W578/SUM(W:W)),"")</f>
        <v/>
      </c>
    </row>
    <row r="579" spans="1:24" x14ac:dyDescent="0.3">
      <c r="A579" s="129"/>
      <c r="B579" s="129"/>
      <c r="C579" s="128"/>
      <c r="D579" s="128"/>
      <c r="E579" s="128"/>
      <c r="F579" s="166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6" t="str">
        <f t="shared" ref="R579:R642" si="55">IFERROR(P579/O579,"")</f>
        <v/>
      </c>
      <c r="S579" s="163" t="str">
        <f t="shared" ref="S579:S642" si="56">IFERROR(R579*(1+Q579),"")</f>
        <v/>
      </c>
      <c r="T579" s="160" t="str">
        <f>IFERROR(INDEX(上年标准成本!$I:$I,MATCH(K579,上年标准成本!$C:$C,0),1),"")</f>
        <v/>
      </c>
      <c r="U579" s="126" t="str">
        <f t="shared" ref="U579:U642" si="57">IFERROR(O579*T579,"")</f>
        <v/>
      </c>
      <c r="V579" s="126" t="str">
        <f t="shared" ref="V579:V642" si="58">IFERROR(P579-U579,"")</f>
        <v/>
      </c>
      <c r="W579" s="124" t="str">
        <f t="shared" ref="W579:W642" si="59">IFERROR(V579/P579,"")</f>
        <v/>
      </c>
      <c r="X579" s="125" t="str">
        <f t="shared" si="54"/>
        <v/>
      </c>
    </row>
    <row r="580" spans="1:24" x14ac:dyDescent="0.3">
      <c r="A580" s="129"/>
      <c r="B580" s="129"/>
      <c r="C580" s="128"/>
      <c r="D580" s="128"/>
      <c r="E580" s="128"/>
      <c r="F580" s="166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6" t="str">
        <f t="shared" si="55"/>
        <v/>
      </c>
      <c r="S580" s="163" t="str">
        <f t="shared" si="56"/>
        <v/>
      </c>
      <c r="T580" s="160" t="str">
        <f>IFERROR(INDEX(上年标准成本!$I:$I,MATCH(K580,上年标准成本!$C:$C,0),1),"")</f>
        <v/>
      </c>
      <c r="U580" s="126" t="str">
        <f t="shared" si="57"/>
        <v/>
      </c>
      <c r="V580" s="126" t="str">
        <f t="shared" si="58"/>
        <v/>
      </c>
      <c r="W580" s="124" t="str">
        <f t="shared" si="59"/>
        <v/>
      </c>
      <c r="X580" s="125" t="str">
        <f t="shared" si="54"/>
        <v/>
      </c>
    </row>
    <row r="581" spans="1:24" x14ac:dyDescent="0.3">
      <c r="A581" s="129"/>
      <c r="B581" s="129"/>
      <c r="C581" s="128"/>
      <c r="D581" s="128"/>
      <c r="E581" s="128"/>
      <c r="F581" s="166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6" t="str">
        <f t="shared" si="55"/>
        <v/>
      </c>
      <c r="S581" s="163" t="str">
        <f t="shared" si="56"/>
        <v/>
      </c>
      <c r="T581" s="160" t="str">
        <f>IFERROR(INDEX(上年标准成本!$I:$I,MATCH(K581,上年标准成本!$C:$C,0),1),"")</f>
        <v/>
      </c>
      <c r="U581" s="126" t="str">
        <f t="shared" si="57"/>
        <v/>
      </c>
      <c r="V581" s="126" t="str">
        <f t="shared" si="58"/>
        <v/>
      </c>
      <c r="W581" s="124" t="str">
        <f t="shared" si="59"/>
        <v/>
      </c>
      <c r="X581" s="125" t="str">
        <f t="shared" si="54"/>
        <v/>
      </c>
    </row>
    <row r="582" spans="1:24" x14ac:dyDescent="0.3">
      <c r="A582" s="129"/>
      <c r="B582" s="129"/>
      <c r="C582" s="128"/>
      <c r="D582" s="128"/>
      <c r="E582" s="128"/>
      <c r="F582" s="166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6" t="str">
        <f t="shared" si="55"/>
        <v/>
      </c>
      <c r="S582" s="163" t="str">
        <f t="shared" si="56"/>
        <v/>
      </c>
      <c r="T582" s="160" t="str">
        <f>IFERROR(INDEX(上年标准成本!$I:$I,MATCH(K582,上年标准成本!$C:$C,0),1),"")</f>
        <v/>
      </c>
      <c r="U582" s="126" t="str">
        <f t="shared" si="57"/>
        <v/>
      </c>
      <c r="V582" s="126" t="str">
        <f t="shared" si="58"/>
        <v/>
      </c>
      <c r="W582" s="124" t="str">
        <f t="shared" si="59"/>
        <v/>
      </c>
      <c r="X582" s="125" t="str">
        <f t="shared" si="54"/>
        <v/>
      </c>
    </row>
    <row r="583" spans="1:24" x14ac:dyDescent="0.3">
      <c r="A583" s="129"/>
      <c r="B583" s="129"/>
      <c r="C583" s="128"/>
      <c r="D583" s="128"/>
      <c r="E583" s="128"/>
      <c r="F583" s="166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6" t="str">
        <f t="shared" si="55"/>
        <v/>
      </c>
      <c r="S583" s="163" t="str">
        <f t="shared" si="56"/>
        <v/>
      </c>
      <c r="T583" s="160" t="str">
        <f>IFERROR(INDEX(上年标准成本!$I:$I,MATCH(K583,上年标准成本!$C:$C,0),1),"")</f>
        <v/>
      </c>
      <c r="U583" s="126" t="str">
        <f t="shared" si="57"/>
        <v/>
      </c>
      <c r="V583" s="126" t="str">
        <f t="shared" si="58"/>
        <v/>
      </c>
      <c r="W583" s="124" t="str">
        <f t="shared" si="59"/>
        <v/>
      </c>
      <c r="X583" s="125" t="str">
        <f t="shared" si="54"/>
        <v/>
      </c>
    </row>
    <row r="584" spans="1:24" x14ac:dyDescent="0.3">
      <c r="A584" s="129"/>
      <c r="B584" s="129"/>
      <c r="C584" s="128"/>
      <c r="D584" s="128"/>
      <c r="E584" s="128"/>
      <c r="F584" s="166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6" t="str">
        <f t="shared" si="55"/>
        <v/>
      </c>
      <c r="S584" s="163" t="str">
        <f t="shared" si="56"/>
        <v/>
      </c>
      <c r="T584" s="160" t="str">
        <f>IFERROR(INDEX(上年标准成本!$I:$I,MATCH(K584,上年标准成本!$C:$C,0),1),"")</f>
        <v/>
      </c>
      <c r="U584" s="126" t="str">
        <f t="shared" si="57"/>
        <v/>
      </c>
      <c r="V584" s="126" t="str">
        <f t="shared" si="58"/>
        <v/>
      </c>
      <c r="W584" s="124" t="str">
        <f t="shared" si="59"/>
        <v/>
      </c>
      <c r="X584" s="125" t="str">
        <f t="shared" si="54"/>
        <v/>
      </c>
    </row>
    <row r="585" spans="1:24" x14ac:dyDescent="0.3">
      <c r="A585" s="129"/>
      <c r="B585" s="129"/>
      <c r="C585" s="128"/>
      <c r="D585" s="128"/>
      <c r="E585" s="128"/>
      <c r="F585" s="166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6" t="str">
        <f t="shared" si="55"/>
        <v/>
      </c>
      <c r="S585" s="163" t="str">
        <f t="shared" si="56"/>
        <v/>
      </c>
      <c r="T585" s="160" t="str">
        <f>IFERROR(INDEX(上年标准成本!$I:$I,MATCH(K585,上年标准成本!$C:$C,0),1),"")</f>
        <v/>
      </c>
      <c r="U585" s="126" t="str">
        <f t="shared" si="57"/>
        <v/>
      </c>
      <c r="V585" s="126" t="str">
        <f t="shared" si="58"/>
        <v/>
      </c>
      <c r="W585" s="124" t="str">
        <f t="shared" si="59"/>
        <v/>
      </c>
      <c r="X585" s="125" t="str">
        <f t="shared" si="54"/>
        <v/>
      </c>
    </row>
    <row r="586" spans="1:24" x14ac:dyDescent="0.3">
      <c r="A586" s="129"/>
      <c r="B586" s="129"/>
      <c r="C586" s="128"/>
      <c r="D586" s="128"/>
      <c r="E586" s="128"/>
      <c r="F586" s="166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6" t="str">
        <f t="shared" si="55"/>
        <v/>
      </c>
      <c r="S586" s="163" t="str">
        <f t="shared" si="56"/>
        <v/>
      </c>
      <c r="T586" s="160" t="str">
        <f>IFERROR(INDEX(上年标准成本!$I:$I,MATCH(K586,上年标准成本!$C:$C,0),1),"")</f>
        <v/>
      </c>
      <c r="U586" s="126" t="str">
        <f t="shared" si="57"/>
        <v/>
      </c>
      <c r="V586" s="126" t="str">
        <f t="shared" si="58"/>
        <v/>
      </c>
      <c r="W586" s="124" t="str">
        <f t="shared" si="59"/>
        <v/>
      </c>
      <c r="X586" s="125" t="str">
        <f t="shared" si="54"/>
        <v/>
      </c>
    </row>
    <row r="587" spans="1:24" x14ac:dyDescent="0.3">
      <c r="A587" s="129"/>
      <c r="B587" s="129"/>
      <c r="C587" s="128"/>
      <c r="D587" s="128"/>
      <c r="E587" s="128"/>
      <c r="F587" s="166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6" t="str">
        <f t="shared" si="55"/>
        <v/>
      </c>
      <c r="S587" s="163" t="str">
        <f t="shared" si="56"/>
        <v/>
      </c>
      <c r="T587" s="160" t="str">
        <f>IFERROR(INDEX(上年标准成本!$I:$I,MATCH(K587,上年标准成本!$C:$C,0),1),"")</f>
        <v/>
      </c>
      <c r="U587" s="126" t="str">
        <f t="shared" si="57"/>
        <v/>
      </c>
      <c r="V587" s="126" t="str">
        <f t="shared" si="58"/>
        <v/>
      </c>
      <c r="W587" s="124" t="str">
        <f t="shared" si="59"/>
        <v/>
      </c>
      <c r="X587" s="125" t="str">
        <f t="shared" si="54"/>
        <v/>
      </c>
    </row>
    <row r="588" spans="1:24" x14ac:dyDescent="0.3">
      <c r="A588" s="129"/>
      <c r="B588" s="129"/>
      <c r="C588" s="128"/>
      <c r="D588" s="128"/>
      <c r="E588" s="128"/>
      <c r="F588" s="166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6" t="str">
        <f t="shared" si="55"/>
        <v/>
      </c>
      <c r="S588" s="163" t="str">
        <f t="shared" si="56"/>
        <v/>
      </c>
      <c r="T588" s="160" t="str">
        <f>IFERROR(INDEX(上年标准成本!$I:$I,MATCH(K588,上年标准成本!$C:$C,0),1),"")</f>
        <v/>
      </c>
      <c r="U588" s="126" t="str">
        <f t="shared" si="57"/>
        <v/>
      </c>
      <c r="V588" s="126" t="str">
        <f t="shared" si="58"/>
        <v/>
      </c>
      <c r="W588" s="124" t="str">
        <f t="shared" si="59"/>
        <v/>
      </c>
      <c r="X588" s="125" t="str">
        <f t="shared" si="54"/>
        <v/>
      </c>
    </row>
    <row r="589" spans="1:24" x14ac:dyDescent="0.3">
      <c r="A589" s="129"/>
      <c r="B589" s="129"/>
      <c r="C589" s="128"/>
      <c r="D589" s="128"/>
      <c r="E589" s="128"/>
      <c r="F589" s="166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6" t="str">
        <f t="shared" si="55"/>
        <v/>
      </c>
      <c r="S589" s="163" t="str">
        <f t="shared" si="56"/>
        <v/>
      </c>
      <c r="T589" s="160" t="str">
        <f>IFERROR(INDEX(上年标准成本!$I:$I,MATCH(K589,上年标准成本!$C:$C,0),1),"")</f>
        <v/>
      </c>
      <c r="U589" s="126" t="str">
        <f t="shared" si="57"/>
        <v/>
      </c>
      <c r="V589" s="126" t="str">
        <f t="shared" si="58"/>
        <v/>
      </c>
      <c r="W589" s="124" t="str">
        <f t="shared" si="59"/>
        <v/>
      </c>
      <c r="X589" s="125" t="str">
        <f t="shared" si="54"/>
        <v/>
      </c>
    </row>
    <row r="590" spans="1:24" x14ac:dyDescent="0.3">
      <c r="A590" s="129"/>
      <c r="B590" s="129"/>
      <c r="C590" s="128"/>
      <c r="D590" s="128"/>
      <c r="E590" s="128"/>
      <c r="F590" s="166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6" t="str">
        <f t="shared" si="55"/>
        <v/>
      </c>
      <c r="S590" s="163" t="str">
        <f t="shared" si="56"/>
        <v/>
      </c>
      <c r="T590" s="160" t="str">
        <f>IFERROR(INDEX(上年标准成本!$I:$I,MATCH(K590,上年标准成本!$C:$C,0),1),"")</f>
        <v/>
      </c>
      <c r="U590" s="126" t="str">
        <f t="shared" si="57"/>
        <v/>
      </c>
      <c r="V590" s="126" t="str">
        <f t="shared" si="58"/>
        <v/>
      </c>
      <c r="W590" s="124" t="str">
        <f t="shared" si="59"/>
        <v/>
      </c>
      <c r="X590" s="125" t="str">
        <f t="shared" si="54"/>
        <v/>
      </c>
    </row>
    <row r="591" spans="1:24" x14ac:dyDescent="0.3">
      <c r="A591" s="129"/>
      <c r="B591" s="129"/>
      <c r="C591" s="128"/>
      <c r="D591" s="128"/>
      <c r="E591" s="128"/>
      <c r="F591" s="166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6" t="str">
        <f t="shared" si="55"/>
        <v/>
      </c>
      <c r="S591" s="163" t="str">
        <f t="shared" si="56"/>
        <v/>
      </c>
      <c r="T591" s="160" t="str">
        <f>IFERROR(INDEX(上年标准成本!$I:$I,MATCH(K591,上年标准成本!$C:$C,0),1),"")</f>
        <v/>
      </c>
      <c r="U591" s="126" t="str">
        <f t="shared" si="57"/>
        <v/>
      </c>
      <c r="V591" s="126" t="str">
        <f t="shared" si="58"/>
        <v/>
      </c>
      <c r="W591" s="124" t="str">
        <f t="shared" si="59"/>
        <v/>
      </c>
      <c r="X591" s="125" t="str">
        <f t="shared" si="54"/>
        <v/>
      </c>
    </row>
    <row r="592" spans="1:24" x14ac:dyDescent="0.3">
      <c r="A592" s="129"/>
      <c r="B592" s="129"/>
      <c r="C592" s="128"/>
      <c r="D592" s="128"/>
      <c r="E592" s="128"/>
      <c r="F592" s="166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6" t="str">
        <f t="shared" si="55"/>
        <v/>
      </c>
      <c r="S592" s="163" t="str">
        <f t="shared" si="56"/>
        <v/>
      </c>
      <c r="T592" s="160" t="str">
        <f>IFERROR(INDEX(上年标准成本!$I:$I,MATCH(K592,上年标准成本!$C:$C,0),1),"")</f>
        <v/>
      </c>
      <c r="U592" s="126" t="str">
        <f t="shared" si="57"/>
        <v/>
      </c>
      <c r="V592" s="126" t="str">
        <f t="shared" si="58"/>
        <v/>
      </c>
      <c r="W592" s="124" t="str">
        <f t="shared" si="59"/>
        <v/>
      </c>
      <c r="X592" s="125" t="str">
        <f t="shared" si="54"/>
        <v/>
      </c>
    </row>
    <row r="593" spans="1:24" x14ac:dyDescent="0.3">
      <c r="A593" s="129"/>
      <c r="B593" s="129"/>
      <c r="C593" s="128"/>
      <c r="D593" s="128"/>
      <c r="E593" s="128"/>
      <c r="F593" s="166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6" t="str">
        <f t="shared" si="55"/>
        <v/>
      </c>
      <c r="S593" s="163" t="str">
        <f t="shared" si="56"/>
        <v/>
      </c>
      <c r="T593" s="160" t="str">
        <f>IFERROR(INDEX(上年标准成本!$I:$I,MATCH(K593,上年标准成本!$C:$C,0),1),"")</f>
        <v/>
      </c>
      <c r="U593" s="126" t="str">
        <f t="shared" si="57"/>
        <v/>
      </c>
      <c r="V593" s="126" t="str">
        <f t="shared" si="58"/>
        <v/>
      </c>
      <c r="W593" s="124" t="str">
        <f t="shared" si="59"/>
        <v/>
      </c>
      <c r="X593" s="125" t="str">
        <f t="shared" si="54"/>
        <v/>
      </c>
    </row>
    <row r="594" spans="1:24" x14ac:dyDescent="0.3">
      <c r="A594" s="129"/>
      <c r="B594" s="129"/>
      <c r="C594" s="128"/>
      <c r="D594" s="128"/>
      <c r="E594" s="128"/>
      <c r="F594" s="166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6" t="str">
        <f t="shared" si="55"/>
        <v/>
      </c>
      <c r="S594" s="163" t="str">
        <f t="shared" si="56"/>
        <v/>
      </c>
      <c r="T594" s="160" t="str">
        <f>IFERROR(INDEX(上年标准成本!$I:$I,MATCH(K594,上年标准成本!$C:$C,0),1),"")</f>
        <v/>
      </c>
      <c r="U594" s="126" t="str">
        <f t="shared" si="57"/>
        <v/>
      </c>
      <c r="V594" s="126" t="str">
        <f t="shared" si="58"/>
        <v/>
      </c>
      <c r="W594" s="124" t="str">
        <f t="shared" si="59"/>
        <v/>
      </c>
      <c r="X594" s="125" t="str">
        <f t="shared" si="54"/>
        <v/>
      </c>
    </row>
    <row r="595" spans="1:24" x14ac:dyDescent="0.3">
      <c r="A595" s="129"/>
      <c r="B595" s="129"/>
      <c r="C595" s="128"/>
      <c r="D595" s="128"/>
      <c r="E595" s="128"/>
      <c r="F595" s="166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6" t="str">
        <f t="shared" si="55"/>
        <v/>
      </c>
      <c r="S595" s="163" t="str">
        <f t="shared" si="56"/>
        <v/>
      </c>
      <c r="T595" s="160" t="str">
        <f>IFERROR(INDEX(上年标准成本!$I:$I,MATCH(K595,上年标准成本!$C:$C,0),1),"")</f>
        <v/>
      </c>
      <c r="U595" s="126" t="str">
        <f t="shared" si="57"/>
        <v/>
      </c>
      <c r="V595" s="126" t="str">
        <f t="shared" si="58"/>
        <v/>
      </c>
      <c r="W595" s="124" t="str">
        <f t="shared" si="59"/>
        <v/>
      </c>
      <c r="X595" s="125" t="str">
        <f t="shared" si="54"/>
        <v/>
      </c>
    </row>
    <row r="596" spans="1:24" x14ac:dyDescent="0.3">
      <c r="A596" s="129"/>
      <c r="B596" s="129"/>
      <c r="C596" s="128"/>
      <c r="D596" s="128"/>
      <c r="E596" s="128"/>
      <c r="F596" s="166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6" t="str">
        <f t="shared" si="55"/>
        <v/>
      </c>
      <c r="S596" s="163" t="str">
        <f t="shared" si="56"/>
        <v/>
      </c>
      <c r="T596" s="160" t="str">
        <f>IFERROR(INDEX(上年标准成本!$I:$I,MATCH(K596,上年标准成本!$C:$C,0),1),"")</f>
        <v/>
      </c>
      <c r="U596" s="126" t="str">
        <f t="shared" si="57"/>
        <v/>
      </c>
      <c r="V596" s="126" t="str">
        <f t="shared" si="58"/>
        <v/>
      </c>
      <c r="W596" s="124" t="str">
        <f t="shared" si="59"/>
        <v/>
      </c>
      <c r="X596" s="125" t="str">
        <f t="shared" si="54"/>
        <v/>
      </c>
    </row>
    <row r="597" spans="1:24" x14ac:dyDescent="0.3">
      <c r="A597" s="129"/>
      <c r="B597" s="129"/>
      <c r="C597" s="128"/>
      <c r="D597" s="128"/>
      <c r="E597" s="128"/>
      <c r="F597" s="166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6" t="str">
        <f t="shared" si="55"/>
        <v/>
      </c>
      <c r="S597" s="163" t="str">
        <f t="shared" si="56"/>
        <v/>
      </c>
      <c r="T597" s="160" t="str">
        <f>IFERROR(INDEX(上年标准成本!$I:$I,MATCH(K597,上年标准成本!$C:$C,0),1),"")</f>
        <v/>
      </c>
      <c r="U597" s="126" t="str">
        <f t="shared" si="57"/>
        <v/>
      </c>
      <c r="V597" s="126" t="str">
        <f t="shared" si="58"/>
        <v/>
      </c>
      <c r="W597" s="124" t="str">
        <f t="shared" si="59"/>
        <v/>
      </c>
      <c r="X597" s="125" t="str">
        <f t="shared" si="54"/>
        <v/>
      </c>
    </row>
    <row r="598" spans="1:24" x14ac:dyDescent="0.3">
      <c r="A598" s="129"/>
      <c r="B598" s="129"/>
      <c r="C598" s="128"/>
      <c r="D598" s="128"/>
      <c r="E598" s="128"/>
      <c r="F598" s="166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6" t="str">
        <f t="shared" si="55"/>
        <v/>
      </c>
      <c r="S598" s="163" t="str">
        <f t="shared" si="56"/>
        <v/>
      </c>
      <c r="T598" s="160" t="str">
        <f>IFERROR(INDEX(上年标准成本!$I:$I,MATCH(K598,上年标准成本!$C:$C,0),1),"")</f>
        <v/>
      </c>
      <c r="U598" s="126" t="str">
        <f t="shared" si="57"/>
        <v/>
      </c>
      <c r="V598" s="126" t="str">
        <f t="shared" si="58"/>
        <v/>
      </c>
      <c r="W598" s="124" t="str">
        <f t="shared" si="59"/>
        <v/>
      </c>
      <c r="X598" s="125" t="str">
        <f t="shared" si="54"/>
        <v/>
      </c>
    </row>
    <row r="599" spans="1:24" x14ac:dyDescent="0.3">
      <c r="A599" s="129"/>
      <c r="B599" s="129"/>
      <c r="C599" s="128"/>
      <c r="D599" s="128"/>
      <c r="E599" s="128"/>
      <c r="F599" s="166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6" t="str">
        <f t="shared" si="55"/>
        <v/>
      </c>
      <c r="S599" s="163" t="str">
        <f t="shared" si="56"/>
        <v/>
      </c>
      <c r="T599" s="160" t="str">
        <f>IFERROR(INDEX(上年标准成本!$I:$I,MATCH(K599,上年标准成本!$C:$C,0),1),"")</f>
        <v/>
      </c>
      <c r="U599" s="126" t="str">
        <f t="shared" si="57"/>
        <v/>
      </c>
      <c r="V599" s="126" t="str">
        <f t="shared" si="58"/>
        <v/>
      </c>
      <c r="W599" s="124" t="str">
        <f t="shared" si="59"/>
        <v/>
      </c>
      <c r="X599" s="125" t="str">
        <f t="shared" si="54"/>
        <v/>
      </c>
    </row>
    <row r="600" spans="1:24" x14ac:dyDescent="0.3">
      <c r="A600" s="129"/>
      <c r="B600" s="129"/>
      <c r="C600" s="128"/>
      <c r="D600" s="128"/>
      <c r="E600" s="128"/>
      <c r="F600" s="166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6" t="str">
        <f t="shared" si="55"/>
        <v/>
      </c>
      <c r="S600" s="163" t="str">
        <f t="shared" si="56"/>
        <v/>
      </c>
      <c r="T600" s="160" t="str">
        <f>IFERROR(INDEX(上年标准成本!$I:$I,MATCH(K600,上年标准成本!$C:$C,0),1),"")</f>
        <v/>
      </c>
      <c r="U600" s="126" t="str">
        <f t="shared" si="57"/>
        <v/>
      </c>
      <c r="V600" s="126" t="str">
        <f t="shared" si="58"/>
        <v/>
      </c>
      <c r="W600" s="124" t="str">
        <f t="shared" si="59"/>
        <v/>
      </c>
      <c r="X600" s="125" t="str">
        <f t="shared" si="54"/>
        <v/>
      </c>
    </row>
    <row r="601" spans="1:24" x14ac:dyDescent="0.3">
      <c r="A601" s="129"/>
      <c r="B601" s="129"/>
      <c r="C601" s="128"/>
      <c r="D601" s="128"/>
      <c r="E601" s="128"/>
      <c r="F601" s="166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6" t="str">
        <f t="shared" si="55"/>
        <v/>
      </c>
      <c r="S601" s="163" t="str">
        <f t="shared" si="56"/>
        <v/>
      </c>
      <c r="T601" s="160" t="str">
        <f>IFERROR(INDEX(上年标准成本!$I:$I,MATCH(K601,上年标准成本!$C:$C,0),1),"")</f>
        <v/>
      </c>
      <c r="U601" s="126" t="str">
        <f t="shared" si="57"/>
        <v/>
      </c>
      <c r="V601" s="126" t="str">
        <f t="shared" si="58"/>
        <v/>
      </c>
      <c r="W601" s="124" t="str">
        <f t="shared" si="59"/>
        <v/>
      </c>
      <c r="X601" s="125" t="str">
        <f t="shared" si="54"/>
        <v/>
      </c>
    </row>
    <row r="602" spans="1:24" x14ac:dyDescent="0.3">
      <c r="A602" s="129"/>
      <c r="B602" s="129"/>
      <c r="C602" s="128"/>
      <c r="D602" s="128"/>
      <c r="E602" s="128"/>
      <c r="F602" s="166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6" t="str">
        <f t="shared" si="55"/>
        <v/>
      </c>
      <c r="S602" s="163" t="str">
        <f t="shared" si="56"/>
        <v/>
      </c>
      <c r="T602" s="160" t="str">
        <f>IFERROR(INDEX(上年标准成本!$I:$I,MATCH(K602,上年标准成本!$C:$C,0),1),"")</f>
        <v/>
      </c>
      <c r="U602" s="126" t="str">
        <f t="shared" si="57"/>
        <v/>
      </c>
      <c r="V602" s="126" t="str">
        <f t="shared" si="58"/>
        <v/>
      </c>
      <c r="W602" s="124" t="str">
        <f t="shared" si="59"/>
        <v/>
      </c>
      <c r="X602" s="125" t="str">
        <f t="shared" si="54"/>
        <v/>
      </c>
    </row>
    <row r="603" spans="1:24" x14ac:dyDescent="0.3">
      <c r="A603" s="129"/>
      <c r="B603" s="129"/>
      <c r="C603" s="128"/>
      <c r="D603" s="128"/>
      <c r="E603" s="128"/>
      <c r="F603" s="166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6" t="str">
        <f t="shared" si="55"/>
        <v/>
      </c>
      <c r="S603" s="163" t="str">
        <f t="shared" si="56"/>
        <v/>
      </c>
      <c r="T603" s="160" t="str">
        <f>IFERROR(INDEX(上年标准成本!$I:$I,MATCH(K603,上年标准成本!$C:$C,0),1),"")</f>
        <v/>
      </c>
      <c r="U603" s="126" t="str">
        <f t="shared" si="57"/>
        <v/>
      </c>
      <c r="V603" s="126" t="str">
        <f t="shared" si="58"/>
        <v/>
      </c>
      <c r="W603" s="124" t="str">
        <f t="shared" si="59"/>
        <v/>
      </c>
      <c r="X603" s="125" t="str">
        <f t="shared" si="54"/>
        <v/>
      </c>
    </row>
    <row r="604" spans="1:24" x14ac:dyDescent="0.3">
      <c r="A604" s="129"/>
      <c r="B604" s="129"/>
      <c r="C604" s="128"/>
      <c r="D604" s="128"/>
      <c r="E604" s="128"/>
      <c r="F604" s="166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6" t="str">
        <f t="shared" si="55"/>
        <v/>
      </c>
      <c r="S604" s="163" t="str">
        <f t="shared" si="56"/>
        <v/>
      </c>
      <c r="T604" s="160" t="str">
        <f>IFERROR(INDEX(上年标准成本!$I:$I,MATCH(K604,上年标准成本!$C:$C,0),1),"")</f>
        <v/>
      </c>
      <c r="U604" s="126" t="str">
        <f t="shared" si="57"/>
        <v/>
      </c>
      <c r="V604" s="126" t="str">
        <f t="shared" si="58"/>
        <v/>
      </c>
      <c r="W604" s="124" t="str">
        <f t="shared" si="59"/>
        <v/>
      </c>
      <c r="X604" s="125" t="str">
        <f t="shared" si="54"/>
        <v/>
      </c>
    </row>
    <row r="605" spans="1:24" x14ac:dyDescent="0.3">
      <c r="A605" s="129"/>
      <c r="B605" s="129"/>
      <c r="C605" s="128"/>
      <c r="D605" s="128"/>
      <c r="E605" s="128"/>
      <c r="F605" s="166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6" t="str">
        <f t="shared" si="55"/>
        <v/>
      </c>
      <c r="S605" s="163" t="str">
        <f t="shared" si="56"/>
        <v/>
      </c>
      <c r="T605" s="160" t="str">
        <f>IFERROR(INDEX(上年标准成本!$I:$I,MATCH(K605,上年标准成本!$C:$C,0),1),"")</f>
        <v/>
      </c>
      <c r="U605" s="126" t="str">
        <f t="shared" si="57"/>
        <v/>
      </c>
      <c r="V605" s="126" t="str">
        <f t="shared" si="58"/>
        <v/>
      </c>
      <c r="W605" s="124" t="str">
        <f t="shared" si="59"/>
        <v/>
      </c>
      <c r="X605" s="125" t="str">
        <f t="shared" si="54"/>
        <v/>
      </c>
    </row>
    <row r="606" spans="1:24" x14ac:dyDescent="0.3">
      <c r="A606" s="129"/>
      <c r="B606" s="129"/>
      <c r="C606" s="128"/>
      <c r="D606" s="128"/>
      <c r="E606" s="128"/>
      <c r="F606" s="166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6" t="str">
        <f t="shared" si="55"/>
        <v/>
      </c>
      <c r="S606" s="163" t="str">
        <f t="shared" si="56"/>
        <v/>
      </c>
      <c r="T606" s="160" t="str">
        <f>IFERROR(INDEX(上年标准成本!$I:$I,MATCH(K606,上年标准成本!$C:$C,0),1),"")</f>
        <v/>
      </c>
      <c r="U606" s="126" t="str">
        <f t="shared" si="57"/>
        <v/>
      </c>
      <c r="V606" s="126" t="str">
        <f t="shared" si="58"/>
        <v/>
      </c>
      <c r="W606" s="124" t="str">
        <f t="shared" si="59"/>
        <v/>
      </c>
      <c r="X606" s="125" t="str">
        <f t="shared" si="54"/>
        <v/>
      </c>
    </row>
    <row r="607" spans="1:24" x14ac:dyDescent="0.3">
      <c r="A607" s="129"/>
      <c r="B607" s="129"/>
      <c r="C607" s="128"/>
      <c r="D607" s="128"/>
      <c r="E607" s="128"/>
      <c r="F607" s="166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6" t="str">
        <f t="shared" si="55"/>
        <v/>
      </c>
      <c r="S607" s="163" t="str">
        <f t="shared" si="56"/>
        <v/>
      </c>
      <c r="T607" s="160" t="str">
        <f>IFERROR(INDEX(上年标准成本!$I:$I,MATCH(K607,上年标准成本!$C:$C,0),1),"")</f>
        <v/>
      </c>
      <c r="U607" s="126" t="str">
        <f t="shared" si="57"/>
        <v/>
      </c>
      <c r="V607" s="126" t="str">
        <f t="shared" si="58"/>
        <v/>
      </c>
      <c r="W607" s="124" t="str">
        <f t="shared" si="59"/>
        <v/>
      </c>
      <c r="X607" s="125" t="str">
        <f t="shared" si="54"/>
        <v/>
      </c>
    </row>
    <row r="608" spans="1:24" x14ac:dyDescent="0.3">
      <c r="A608" s="129"/>
      <c r="B608" s="129"/>
      <c r="C608" s="128"/>
      <c r="D608" s="128"/>
      <c r="E608" s="128"/>
      <c r="F608" s="166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6" t="str">
        <f t="shared" si="55"/>
        <v/>
      </c>
      <c r="S608" s="163" t="str">
        <f t="shared" si="56"/>
        <v/>
      </c>
      <c r="T608" s="160" t="str">
        <f>IFERROR(INDEX(上年标准成本!$I:$I,MATCH(K608,上年标准成本!$C:$C,0),1),"")</f>
        <v/>
      </c>
      <c r="U608" s="126" t="str">
        <f t="shared" si="57"/>
        <v/>
      </c>
      <c r="V608" s="126" t="str">
        <f t="shared" si="58"/>
        <v/>
      </c>
      <c r="W608" s="124" t="str">
        <f t="shared" si="59"/>
        <v/>
      </c>
      <c r="X608" s="125" t="str">
        <f t="shared" si="54"/>
        <v/>
      </c>
    </row>
    <row r="609" spans="1:24" x14ac:dyDescent="0.3">
      <c r="A609" s="129"/>
      <c r="B609" s="129"/>
      <c r="C609" s="128"/>
      <c r="D609" s="128"/>
      <c r="E609" s="128"/>
      <c r="F609" s="166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6" t="str">
        <f t="shared" si="55"/>
        <v/>
      </c>
      <c r="S609" s="163" t="str">
        <f t="shared" si="56"/>
        <v/>
      </c>
      <c r="T609" s="160" t="str">
        <f>IFERROR(INDEX(上年标准成本!$I:$I,MATCH(K609,上年标准成本!$C:$C,0),1),"")</f>
        <v/>
      </c>
      <c r="U609" s="126" t="str">
        <f t="shared" si="57"/>
        <v/>
      </c>
      <c r="V609" s="126" t="str">
        <f t="shared" si="58"/>
        <v/>
      </c>
      <c r="W609" s="124" t="str">
        <f t="shared" si="59"/>
        <v/>
      </c>
      <c r="X609" s="125" t="str">
        <f t="shared" si="54"/>
        <v/>
      </c>
    </row>
    <row r="610" spans="1:24" x14ac:dyDescent="0.3">
      <c r="A610" s="129"/>
      <c r="B610" s="129"/>
      <c r="C610" s="128"/>
      <c r="D610" s="128"/>
      <c r="E610" s="128"/>
      <c r="F610" s="166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6" t="str">
        <f t="shared" si="55"/>
        <v/>
      </c>
      <c r="S610" s="163" t="str">
        <f t="shared" si="56"/>
        <v/>
      </c>
      <c r="T610" s="160" t="str">
        <f>IFERROR(INDEX(上年标准成本!$I:$I,MATCH(K610,上年标准成本!$C:$C,0),1),"")</f>
        <v/>
      </c>
      <c r="U610" s="126" t="str">
        <f t="shared" si="57"/>
        <v/>
      </c>
      <c r="V610" s="126" t="str">
        <f t="shared" si="58"/>
        <v/>
      </c>
      <c r="W610" s="124" t="str">
        <f t="shared" si="59"/>
        <v/>
      </c>
      <c r="X610" s="125" t="str">
        <f t="shared" si="54"/>
        <v/>
      </c>
    </row>
    <row r="611" spans="1:24" x14ac:dyDescent="0.3">
      <c r="A611" s="129"/>
      <c r="B611" s="129"/>
      <c r="C611" s="128"/>
      <c r="D611" s="128"/>
      <c r="E611" s="128"/>
      <c r="F611" s="166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6" t="str">
        <f t="shared" si="55"/>
        <v/>
      </c>
      <c r="S611" s="163" t="str">
        <f t="shared" si="56"/>
        <v/>
      </c>
      <c r="T611" s="160" t="str">
        <f>IFERROR(INDEX(上年标准成本!$I:$I,MATCH(K611,上年标准成本!$C:$C,0),1),"")</f>
        <v/>
      </c>
      <c r="U611" s="126" t="str">
        <f t="shared" si="57"/>
        <v/>
      </c>
      <c r="V611" s="126" t="str">
        <f t="shared" si="58"/>
        <v/>
      </c>
      <c r="W611" s="124" t="str">
        <f t="shared" si="59"/>
        <v/>
      </c>
      <c r="X611" s="125" t="str">
        <f t="shared" si="54"/>
        <v/>
      </c>
    </row>
    <row r="612" spans="1:24" x14ac:dyDescent="0.3">
      <c r="A612" s="129"/>
      <c r="B612" s="129"/>
      <c r="C612" s="128"/>
      <c r="D612" s="128"/>
      <c r="E612" s="128"/>
      <c r="F612" s="166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6" t="str">
        <f t="shared" si="55"/>
        <v/>
      </c>
      <c r="S612" s="163" t="str">
        <f t="shared" si="56"/>
        <v/>
      </c>
      <c r="T612" s="160" t="str">
        <f>IFERROR(INDEX(上年标准成本!$I:$I,MATCH(K612,上年标准成本!$C:$C,0),1),"")</f>
        <v/>
      </c>
      <c r="U612" s="126" t="str">
        <f t="shared" si="57"/>
        <v/>
      </c>
      <c r="V612" s="126" t="str">
        <f t="shared" si="58"/>
        <v/>
      </c>
      <c r="W612" s="124" t="str">
        <f t="shared" si="59"/>
        <v/>
      </c>
      <c r="X612" s="125" t="str">
        <f t="shared" si="54"/>
        <v/>
      </c>
    </row>
    <row r="613" spans="1:24" x14ac:dyDescent="0.3">
      <c r="A613" s="129"/>
      <c r="B613" s="129"/>
      <c r="C613" s="128"/>
      <c r="D613" s="128"/>
      <c r="E613" s="128"/>
      <c r="F613" s="166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6" t="str">
        <f t="shared" si="55"/>
        <v/>
      </c>
      <c r="S613" s="163" t="str">
        <f t="shared" si="56"/>
        <v/>
      </c>
      <c r="T613" s="160" t="str">
        <f>IFERROR(INDEX(上年标准成本!$I:$I,MATCH(K613,上年标准成本!$C:$C,0),1),"")</f>
        <v/>
      </c>
      <c r="U613" s="126" t="str">
        <f t="shared" si="57"/>
        <v/>
      </c>
      <c r="V613" s="126" t="str">
        <f t="shared" si="58"/>
        <v/>
      </c>
      <c r="W613" s="124" t="str">
        <f t="shared" si="59"/>
        <v/>
      </c>
      <c r="X613" s="125" t="str">
        <f t="shared" si="54"/>
        <v/>
      </c>
    </row>
    <row r="614" spans="1:24" x14ac:dyDescent="0.3">
      <c r="A614" s="129"/>
      <c r="B614" s="129"/>
      <c r="C614" s="128"/>
      <c r="D614" s="128"/>
      <c r="E614" s="128"/>
      <c r="F614" s="166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6" t="str">
        <f t="shared" si="55"/>
        <v/>
      </c>
      <c r="S614" s="163" t="str">
        <f t="shared" si="56"/>
        <v/>
      </c>
      <c r="T614" s="160" t="str">
        <f>IFERROR(INDEX(上年标准成本!$I:$I,MATCH(K614,上年标准成本!$C:$C,0),1),"")</f>
        <v/>
      </c>
      <c r="U614" s="126" t="str">
        <f t="shared" si="57"/>
        <v/>
      </c>
      <c r="V614" s="126" t="str">
        <f t="shared" si="58"/>
        <v/>
      </c>
      <c r="W614" s="124" t="str">
        <f t="shared" si="59"/>
        <v/>
      </c>
      <c r="X614" s="125" t="str">
        <f t="shared" si="54"/>
        <v/>
      </c>
    </row>
    <row r="615" spans="1:24" x14ac:dyDescent="0.3">
      <c r="A615" s="129"/>
      <c r="B615" s="129"/>
      <c r="C615" s="128"/>
      <c r="D615" s="128"/>
      <c r="E615" s="128"/>
      <c r="F615" s="166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6" t="str">
        <f t="shared" si="55"/>
        <v/>
      </c>
      <c r="S615" s="163" t="str">
        <f t="shared" si="56"/>
        <v/>
      </c>
      <c r="T615" s="160" t="str">
        <f>IFERROR(INDEX(上年标准成本!$I:$I,MATCH(K615,上年标准成本!$C:$C,0),1),"")</f>
        <v/>
      </c>
      <c r="U615" s="126" t="str">
        <f t="shared" si="57"/>
        <v/>
      </c>
      <c r="V615" s="126" t="str">
        <f t="shared" si="58"/>
        <v/>
      </c>
      <c r="W615" s="124" t="str">
        <f t="shared" si="59"/>
        <v/>
      </c>
      <c r="X615" s="125" t="str">
        <f t="shared" si="54"/>
        <v/>
      </c>
    </row>
    <row r="616" spans="1:24" x14ac:dyDescent="0.3">
      <c r="A616" s="129"/>
      <c r="B616" s="129"/>
      <c r="C616" s="128"/>
      <c r="D616" s="128"/>
      <c r="E616" s="128"/>
      <c r="F616" s="166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6" t="str">
        <f t="shared" si="55"/>
        <v/>
      </c>
      <c r="S616" s="163" t="str">
        <f t="shared" si="56"/>
        <v/>
      </c>
      <c r="T616" s="160" t="str">
        <f>IFERROR(INDEX(上年标准成本!$I:$I,MATCH(K616,上年标准成本!$C:$C,0),1),"")</f>
        <v/>
      </c>
      <c r="U616" s="126" t="str">
        <f t="shared" si="57"/>
        <v/>
      </c>
      <c r="V616" s="126" t="str">
        <f t="shared" si="58"/>
        <v/>
      </c>
      <c r="W616" s="124" t="str">
        <f t="shared" si="59"/>
        <v/>
      </c>
      <c r="X616" s="125" t="str">
        <f t="shared" si="54"/>
        <v/>
      </c>
    </row>
    <row r="617" spans="1:24" x14ac:dyDescent="0.3">
      <c r="A617" s="129"/>
      <c r="B617" s="129"/>
      <c r="C617" s="128"/>
      <c r="D617" s="128"/>
      <c r="E617" s="128"/>
      <c r="F617" s="166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6" t="str">
        <f t="shared" si="55"/>
        <v/>
      </c>
      <c r="S617" s="163" t="str">
        <f t="shared" si="56"/>
        <v/>
      </c>
      <c r="T617" s="160" t="str">
        <f>IFERROR(INDEX(上年标准成本!$I:$I,MATCH(K617,上年标准成本!$C:$C,0),1),"")</f>
        <v/>
      </c>
      <c r="U617" s="126" t="str">
        <f t="shared" si="57"/>
        <v/>
      </c>
      <c r="V617" s="126" t="str">
        <f t="shared" si="58"/>
        <v/>
      </c>
      <c r="W617" s="124" t="str">
        <f t="shared" si="59"/>
        <v/>
      </c>
      <c r="X617" s="125" t="str">
        <f t="shared" si="54"/>
        <v/>
      </c>
    </row>
    <row r="618" spans="1:24" x14ac:dyDescent="0.3">
      <c r="A618" s="129"/>
      <c r="B618" s="129"/>
      <c r="C618" s="128"/>
      <c r="D618" s="128"/>
      <c r="E618" s="128"/>
      <c r="F618" s="166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6" t="str">
        <f t="shared" si="55"/>
        <v/>
      </c>
      <c r="S618" s="163" t="str">
        <f t="shared" si="56"/>
        <v/>
      </c>
      <c r="T618" s="160" t="str">
        <f>IFERROR(INDEX(上年标准成本!$I:$I,MATCH(K618,上年标准成本!$C:$C,0),1),"")</f>
        <v/>
      </c>
      <c r="U618" s="126" t="str">
        <f t="shared" si="57"/>
        <v/>
      </c>
      <c r="V618" s="126" t="str">
        <f t="shared" si="58"/>
        <v/>
      </c>
      <c r="W618" s="124" t="str">
        <f t="shared" si="59"/>
        <v/>
      </c>
      <c r="X618" s="125" t="str">
        <f t="shared" si="54"/>
        <v/>
      </c>
    </row>
    <row r="619" spans="1:24" x14ac:dyDescent="0.3">
      <c r="A619" s="129"/>
      <c r="B619" s="129"/>
      <c r="C619" s="128"/>
      <c r="D619" s="128"/>
      <c r="E619" s="128"/>
      <c r="F619" s="166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6" t="str">
        <f t="shared" si="55"/>
        <v/>
      </c>
      <c r="S619" s="163" t="str">
        <f t="shared" si="56"/>
        <v/>
      </c>
      <c r="T619" s="160" t="str">
        <f>IFERROR(INDEX(上年标准成本!$I:$I,MATCH(K619,上年标准成本!$C:$C,0),1),"")</f>
        <v/>
      </c>
      <c r="U619" s="126" t="str">
        <f t="shared" si="57"/>
        <v/>
      </c>
      <c r="V619" s="126" t="str">
        <f t="shared" si="58"/>
        <v/>
      </c>
      <c r="W619" s="124" t="str">
        <f t="shared" si="59"/>
        <v/>
      </c>
      <c r="X619" s="125" t="str">
        <f t="shared" si="54"/>
        <v/>
      </c>
    </row>
    <row r="620" spans="1:24" x14ac:dyDescent="0.3">
      <c r="A620" s="129"/>
      <c r="B620" s="129"/>
      <c r="C620" s="128"/>
      <c r="D620" s="128"/>
      <c r="E620" s="128"/>
      <c r="F620" s="166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6" t="str">
        <f t="shared" si="55"/>
        <v/>
      </c>
      <c r="S620" s="163" t="str">
        <f t="shared" si="56"/>
        <v/>
      </c>
      <c r="T620" s="160" t="str">
        <f>IFERROR(INDEX(上年标准成本!$I:$I,MATCH(K620,上年标准成本!$C:$C,0),1),"")</f>
        <v/>
      </c>
      <c r="U620" s="126" t="str">
        <f t="shared" si="57"/>
        <v/>
      </c>
      <c r="V620" s="126" t="str">
        <f t="shared" si="58"/>
        <v/>
      </c>
      <c r="W620" s="124" t="str">
        <f t="shared" si="59"/>
        <v/>
      </c>
      <c r="X620" s="125" t="str">
        <f t="shared" si="54"/>
        <v/>
      </c>
    </row>
    <row r="621" spans="1:24" x14ac:dyDescent="0.3">
      <c r="A621" s="129"/>
      <c r="B621" s="129"/>
      <c r="C621" s="128"/>
      <c r="D621" s="128"/>
      <c r="E621" s="128"/>
      <c r="F621" s="166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6" t="str">
        <f t="shared" si="55"/>
        <v/>
      </c>
      <c r="S621" s="163" t="str">
        <f t="shared" si="56"/>
        <v/>
      </c>
      <c r="T621" s="160" t="str">
        <f>IFERROR(INDEX(上年标准成本!$I:$I,MATCH(K621,上年标准成本!$C:$C,0),1),"")</f>
        <v/>
      </c>
      <c r="U621" s="126" t="str">
        <f t="shared" si="57"/>
        <v/>
      </c>
      <c r="V621" s="126" t="str">
        <f t="shared" si="58"/>
        <v/>
      </c>
      <c r="W621" s="124" t="str">
        <f t="shared" si="59"/>
        <v/>
      </c>
      <c r="X621" s="125" t="str">
        <f t="shared" si="54"/>
        <v/>
      </c>
    </row>
    <row r="622" spans="1:24" x14ac:dyDescent="0.3">
      <c r="A622" s="129"/>
      <c r="B622" s="129"/>
      <c r="C622" s="128"/>
      <c r="D622" s="128"/>
      <c r="E622" s="128"/>
      <c r="F622" s="166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6" t="str">
        <f t="shared" si="55"/>
        <v/>
      </c>
      <c r="S622" s="163" t="str">
        <f t="shared" si="56"/>
        <v/>
      </c>
      <c r="T622" s="160" t="str">
        <f>IFERROR(INDEX(上年标准成本!$I:$I,MATCH(K622,上年标准成本!$C:$C,0),1),"")</f>
        <v/>
      </c>
      <c r="U622" s="126" t="str">
        <f t="shared" si="57"/>
        <v/>
      </c>
      <c r="V622" s="126" t="str">
        <f t="shared" si="58"/>
        <v/>
      </c>
      <c r="W622" s="124" t="str">
        <f t="shared" si="59"/>
        <v/>
      </c>
      <c r="X622" s="125" t="str">
        <f t="shared" si="54"/>
        <v/>
      </c>
    </row>
    <row r="623" spans="1:24" x14ac:dyDescent="0.3">
      <c r="A623" s="129"/>
      <c r="B623" s="129"/>
      <c r="C623" s="128"/>
      <c r="D623" s="128"/>
      <c r="E623" s="128"/>
      <c r="F623" s="166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6" t="str">
        <f t="shared" si="55"/>
        <v/>
      </c>
      <c r="S623" s="163" t="str">
        <f t="shared" si="56"/>
        <v/>
      </c>
      <c r="T623" s="160" t="str">
        <f>IFERROR(INDEX(上年标准成本!$I:$I,MATCH(K623,上年标准成本!$C:$C,0),1),"")</f>
        <v/>
      </c>
      <c r="U623" s="126" t="str">
        <f t="shared" si="57"/>
        <v/>
      </c>
      <c r="V623" s="126" t="str">
        <f t="shared" si="58"/>
        <v/>
      </c>
      <c r="W623" s="124" t="str">
        <f t="shared" si="59"/>
        <v/>
      </c>
      <c r="X623" s="125" t="str">
        <f t="shared" si="54"/>
        <v/>
      </c>
    </row>
    <row r="624" spans="1:24" x14ac:dyDescent="0.3">
      <c r="A624" s="129"/>
      <c r="B624" s="129"/>
      <c r="C624" s="128"/>
      <c r="D624" s="128"/>
      <c r="E624" s="128"/>
      <c r="F624" s="166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6" t="str">
        <f t="shared" si="55"/>
        <v/>
      </c>
      <c r="S624" s="163" t="str">
        <f t="shared" si="56"/>
        <v/>
      </c>
      <c r="T624" s="160" t="str">
        <f>IFERROR(INDEX(上年标准成本!$I:$I,MATCH(K624,上年标准成本!$C:$C,0),1),"")</f>
        <v/>
      </c>
      <c r="U624" s="126" t="str">
        <f t="shared" si="57"/>
        <v/>
      </c>
      <c r="V624" s="126" t="str">
        <f t="shared" si="58"/>
        <v/>
      </c>
      <c r="W624" s="124" t="str">
        <f t="shared" si="59"/>
        <v/>
      </c>
      <c r="X624" s="125" t="str">
        <f t="shared" si="54"/>
        <v/>
      </c>
    </row>
    <row r="625" spans="1:24" x14ac:dyDescent="0.3">
      <c r="A625" s="129"/>
      <c r="B625" s="129"/>
      <c r="C625" s="128"/>
      <c r="D625" s="128"/>
      <c r="E625" s="128"/>
      <c r="F625" s="166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6" t="str">
        <f t="shared" si="55"/>
        <v/>
      </c>
      <c r="S625" s="163" t="str">
        <f t="shared" si="56"/>
        <v/>
      </c>
      <c r="T625" s="160" t="str">
        <f>IFERROR(INDEX(上年标准成本!$I:$I,MATCH(K625,上年标准成本!$C:$C,0),1),"")</f>
        <v/>
      </c>
      <c r="U625" s="126" t="str">
        <f t="shared" si="57"/>
        <v/>
      </c>
      <c r="V625" s="126" t="str">
        <f t="shared" si="58"/>
        <v/>
      </c>
      <c r="W625" s="124" t="str">
        <f t="shared" si="59"/>
        <v/>
      </c>
      <c r="X625" s="125" t="str">
        <f t="shared" si="54"/>
        <v/>
      </c>
    </row>
    <row r="626" spans="1:24" x14ac:dyDescent="0.3">
      <c r="A626" s="129"/>
      <c r="B626" s="129"/>
      <c r="C626" s="128"/>
      <c r="D626" s="128"/>
      <c r="E626" s="128"/>
      <c r="F626" s="166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6" t="str">
        <f t="shared" si="55"/>
        <v/>
      </c>
      <c r="S626" s="163" t="str">
        <f t="shared" si="56"/>
        <v/>
      </c>
      <c r="T626" s="160" t="str">
        <f>IFERROR(INDEX(上年标准成本!$I:$I,MATCH(K626,上年标准成本!$C:$C,0),1),"")</f>
        <v/>
      </c>
      <c r="U626" s="126" t="str">
        <f t="shared" si="57"/>
        <v/>
      </c>
      <c r="V626" s="126" t="str">
        <f t="shared" si="58"/>
        <v/>
      </c>
      <c r="W626" s="124" t="str">
        <f t="shared" si="59"/>
        <v/>
      </c>
      <c r="X626" s="125" t="str">
        <f t="shared" si="54"/>
        <v/>
      </c>
    </row>
    <row r="627" spans="1:24" x14ac:dyDescent="0.3">
      <c r="A627" s="129"/>
      <c r="B627" s="129"/>
      <c r="C627" s="128"/>
      <c r="D627" s="128"/>
      <c r="E627" s="128"/>
      <c r="F627" s="166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6" t="str">
        <f t="shared" si="55"/>
        <v/>
      </c>
      <c r="S627" s="163" t="str">
        <f t="shared" si="56"/>
        <v/>
      </c>
      <c r="T627" s="160" t="str">
        <f>IFERROR(INDEX(上年标准成本!$I:$I,MATCH(K627,上年标准成本!$C:$C,0),1),"")</f>
        <v/>
      </c>
      <c r="U627" s="126" t="str">
        <f t="shared" si="57"/>
        <v/>
      </c>
      <c r="V627" s="126" t="str">
        <f t="shared" si="58"/>
        <v/>
      </c>
      <c r="W627" s="124" t="str">
        <f t="shared" si="59"/>
        <v/>
      </c>
      <c r="X627" s="125" t="str">
        <f t="shared" si="54"/>
        <v/>
      </c>
    </row>
    <row r="628" spans="1:24" x14ac:dyDescent="0.3">
      <c r="A628" s="129"/>
      <c r="B628" s="129"/>
      <c r="C628" s="128"/>
      <c r="D628" s="128"/>
      <c r="E628" s="128"/>
      <c r="F628" s="166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6" t="str">
        <f t="shared" si="55"/>
        <v/>
      </c>
      <c r="S628" s="163" t="str">
        <f t="shared" si="56"/>
        <v/>
      </c>
      <c r="T628" s="160" t="str">
        <f>IFERROR(INDEX(上年标准成本!$I:$I,MATCH(K628,上年标准成本!$C:$C,0),1),"")</f>
        <v/>
      </c>
      <c r="U628" s="126" t="str">
        <f t="shared" si="57"/>
        <v/>
      </c>
      <c r="V628" s="126" t="str">
        <f t="shared" si="58"/>
        <v/>
      </c>
      <c r="W628" s="124" t="str">
        <f t="shared" si="59"/>
        <v/>
      </c>
      <c r="X628" s="125" t="str">
        <f t="shared" si="54"/>
        <v/>
      </c>
    </row>
    <row r="629" spans="1:24" x14ac:dyDescent="0.3">
      <c r="A629" s="129"/>
      <c r="B629" s="129"/>
      <c r="C629" s="128"/>
      <c r="D629" s="128"/>
      <c r="E629" s="128"/>
      <c r="F629" s="166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6" t="str">
        <f t="shared" si="55"/>
        <v/>
      </c>
      <c r="S629" s="163" t="str">
        <f t="shared" si="56"/>
        <v/>
      </c>
      <c r="T629" s="160" t="str">
        <f>IFERROR(INDEX(上年标准成本!$I:$I,MATCH(K629,上年标准成本!$C:$C,0),1),"")</f>
        <v/>
      </c>
      <c r="U629" s="126" t="str">
        <f t="shared" si="57"/>
        <v/>
      </c>
      <c r="V629" s="126" t="str">
        <f t="shared" si="58"/>
        <v/>
      </c>
      <c r="W629" s="124" t="str">
        <f t="shared" si="59"/>
        <v/>
      </c>
      <c r="X629" s="125" t="str">
        <f t="shared" si="54"/>
        <v/>
      </c>
    </row>
    <row r="630" spans="1:24" x14ac:dyDescent="0.3">
      <c r="A630" s="129"/>
      <c r="B630" s="129"/>
      <c r="C630" s="128"/>
      <c r="D630" s="128"/>
      <c r="E630" s="128"/>
      <c r="F630" s="166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6" t="str">
        <f t="shared" si="55"/>
        <v/>
      </c>
      <c r="S630" s="163" t="str">
        <f t="shared" si="56"/>
        <v/>
      </c>
      <c r="T630" s="160" t="str">
        <f>IFERROR(INDEX(上年标准成本!$I:$I,MATCH(K630,上年标准成本!$C:$C,0),1),"")</f>
        <v/>
      </c>
      <c r="U630" s="126" t="str">
        <f t="shared" si="57"/>
        <v/>
      </c>
      <c r="V630" s="126" t="str">
        <f t="shared" si="58"/>
        <v/>
      </c>
      <c r="W630" s="124" t="str">
        <f t="shared" si="59"/>
        <v/>
      </c>
      <c r="X630" s="125" t="str">
        <f t="shared" si="54"/>
        <v/>
      </c>
    </row>
    <row r="631" spans="1:24" x14ac:dyDescent="0.3">
      <c r="A631" s="129"/>
      <c r="B631" s="129"/>
      <c r="C631" s="128"/>
      <c r="D631" s="128"/>
      <c r="E631" s="128"/>
      <c r="F631" s="166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6" t="str">
        <f t="shared" si="55"/>
        <v/>
      </c>
      <c r="S631" s="163" t="str">
        <f t="shared" si="56"/>
        <v/>
      </c>
      <c r="T631" s="160" t="str">
        <f>IFERROR(INDEX(上年标准成本!$I:$I,MATCH(K631,上年标准成本!$C:$C,0),1),"")</f>
        <v/>
      </c>
      <c r="U631" s="126" t="str">
        <f t="shared" si="57"/>
        <v/>
      </c>
      <c r="V631" s="126" t="str">
        <f t="shared" si="58"/>
        <v/>
      </c>
      <c r="W631" s="124" t="str">
        <f t="shared" si="59"/>
        <v/>
      </c>
      <c r="X631" s="125" t="str">
        <f t="shared" si="54"/>
        <v/>
      </c>
    </row>
    <row r="632" spans="1:24" x14ac:dyDescent="0.3">
      <c r="A632" s="129"/>
      <c r="B632" s="129"/>
      <c r="C632" s="128"/>
      <c r="D632" s="128"/>
      <c r="E632" s="128"/>
      <c r="F632" s="166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6" t="str">
        <f t="shared" si="55"/>
        <v/>
      </c>
      <c r="S632" s="163" t="str">
        <f t="shared" si="56"/>
        <v/>
      </c>
      <c r="T632" s="160" t="str">
        <f>IFERROR(INDEX(上年标准成本!$I:$I,MATCH(K632,上年标准成本!$C:$C,0),1),"")</f>
        <v/>
      </c>
      <c r="U632" s="126" t="str">
        <f t="shared" si="57"/>
        <v/>
      </c>
      <c r="V632" s="126" t="str">
        <f t="shared" si="58"/>
        <v/>
      </c>
      <c r="W632" s="124" t="str">
        <f t="shared" si="59"/>
        <v/>
      </c>
      <c r="X632" s="125" t="str">
        <f t="shared" si="54"/>
        <v/>
      </c>
    </row>
    <row r="633" spans="1:24" x14ac:dyDescent="0.3">
      <c r="A633" s="129"/>
      <c r="B633" s="129"/>
      <c r="C633" s="128"/>
      <c r="D633" s="128"/>
      <c r="E633" s="128"/>
      <c r="F633" s="166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6" t="str">
        <f t="shared" si="55"/>
        <v/>
      </c>
      <c r="S633" s="163" t="str">
        <f t="shared" si="56"/>
        <v/>
      </c>
      <c r="T633" s="160" t="str">
        <f>IFERROR(INDEX(上年标准成本!$I:$I,MATCH(K633,上年标准成本!$C:$C,0),1),"")</f>
        <v/>
      </c>
      <c r="U633" s="126" t="str">
        <f t="shared" si="57"/>
        <v/>
      </c>
      <c r="V633" s="126" t="str">
        <f t="shared" si="58"/>
        <v/>
      </c>
      <c r="W633" s="124" t="str">
        <f t="shared" si="59"/>
        <v/>
      </c>
      <c r="X633" s="125" t="str">
        <f t="shared" si="54"/>
        <v/>
      </c>
    </row>
    <row r="634" spans="1:24" x14ac:dyDescent="0.3">
      <c r="A634" s="129"/>
      <c r="B634" s="129"/>
      <c r="C634" s="128"/>
      <c r="D634" s="128"/>
      <c r="E634" s="128"/>
      <c r="F634" s="166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6" t="str">
        <f t="shared" si="55"/>
        <v/>
      </c>
      <c r="S634" s="163" t="str">
        <f t="shared" si="56"/>
        <v/>
      </c>
      <c r="T634" s="160" t="str">
        <f>IFERROR(INDEX(上年标准成本!$I:$I,MATCH(K634,上年标准成本!$C:$C,0),1),"")</f>
        <v/>
      </c>
      <c r="U634" s="126" t="str">
        <f t="shared" si="57"/>
        <v/>
      </c>
      <c r="V634" s="126" t="str">
        <f t="shared" si="58"/>
        <v/>
      </c>
      <c r="W634" s="124" t="str">
        <f t="shared" si="59"/>
        <v/>
      </c>
      <c r="X634" s="125" t="str">
        <f t="shared" si="54"/>
        <v/>
      </c>
    </row>
    <row r="635" spans="1:24" x14ac:dyDescent="0.3">
      <c r="A635" s="129"/>
      <c r="B635" s="129"/>
      <c r="C635" s="128"/>
      <c r="D635" s="128"/>
      <c r="E635" s="128"/>
      <c r="F635" s="166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6" t="str">
        <f t="shared" si="55"/>
        <v/>
      </c>
      <c r="S635" s="163" t="str">
        <f t="shared" si="56"/>
        <v/>
      </c>
      <c r="T635" s="160" t="str">
        <f>IFERROR(INDEX(上年标准成本!$I:$I,MATCH(K635,上年标准成本!$C:$C,0),1),"")</f>
        <v/>
      </c>
      <c r="U635" s="126" t="str">
        <f t="shared" si="57"/>
        <v/>
      </c>
      <c r="V635" s="126" t="str">
        <f t="shared" si="58"/>
        <v/>
      </c>
      <c r="W635" s="124" t="str">
        <f t="shared" si="59"/>
        <v/>
      </c>
      <c r="X635" s="125" t="str">
        <f t="shared" si="54"/>
        <v/>
      </c>
    </row>
    <row r="636" spans="1:24" x14ac:dyDescent="0.3">
      <c r="A636" s="129"/>
      <c r="B636" s="129"/>
      <c r="C636" s="128"/>
      <c r="D636" s="128"/>
      <c r="E636" s="128"/>
      <c r="F636" s="166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6" t="str">
        <f t="shared" si="55"/>
        <v/>
      </c>
      <c r="S636" s="163" t="str">
        <f t="shared" si="56"/>
        <v/>
      </c>
      <c r="T636" s="160" t="str">
        <f>IFERROR(INDEX(上年标准成本!$I:$I,MATCH(K636,上年标准成本!$C:$C,0),1),"")</f>
        <v/>
      </c>
      <c r="U636" s="126" t="str">
        <f t="shared" si="57"/>
        <v/>
      </c>
      <c r="V636" s="126" t="str">
        <f t="shared" si="58"/>
        <v/>
      </c>
      <c r="W636" s="124" t="str">
        <f t="shared" si="59"/>
        <v/>
      </c>
      <c r="X636" s="125" t="str">
        <f t="shared" si="54"/>
        <v/>
      </c>
    </row>
    <row r="637" spans="1:24" x14ac:dyDescent="0.3">
      <c r="A637" s="129"/>
      <c r="B637" s="129"/>
      <c r="C637" s="128"/>
      <c r="D637" s="128"/>
      <c r="E637" s="128"/>
      <c r="F637" s="166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6" t="str">
        <f t="shared" si="55"/>
        <v/>
      </c>
      <c r="S637" s="163" t="str">
        <f t="shared" si="56"/>
        <v/>
      </c>
      <c r="T637" s="160" t="str">
        <f>IFERROR(INDEX(上年标准成本!$I:$I,MATCH(K637,上年标准成本!$C:$C,0),1),"")</f>
        <v/>
      </c>
      <c r="U637" s="126" t="str">
        <f t="shared" si="57"/>
        <v/>
      </c>
      <c r="V637" s="126" t="str">
        <f t="shared" si="58"/>
        <v/>
      </c>
      <c r="W637" s="124" t="str">
        <f t="shared" si="59"/>
        <v/>
      </c>
      <c r="X637" s="125" t="str">
        <f t="shared" si="54"/>
        <v/>
      </c>
    </row>
    <row r="638" spans="1:24" x14ac:dyDescent="0.3">
      <c r="A638" s="129"/>
      <c r="B638" s="129"/>
      <c r="C638" s="128"/>
      <c r="D638" s="128"/>
      <c r="E638" s="128"/>
      <c r="F638" s="166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6" t="str">
        <f t="shared" si="55"/>
        <v/>
      </c>
      <c r="S638" s="163" t="str">
        <f t="shared" si="56"/>
        <v/>
      </c>
      <c r="T638" s="160" t="str">
        <f>IFERROR(INDEX(上年标准成本!$I:$I,MATCH(K638,上年标准成本!$C:$C,0),1),"")</f>
        <v/>
      </c>
      <c r="U638" s="126" t="str">
        <f t="shared" si="57"/>
        <v/>
      </c>
      <c r="V638" s="126" t="str">
        <f t="shared" si="58"/>
        <v/>
      </c>
      <c r="W638" s="124" t="str">
        <f t="shared" si="59"/>
        <v/>
      </c>
      <c r="X638" s="125" t="str">
        <f t="shared" si="54"/>
        <v/>
      </c>
    </row>
    <row r="639" spans="1:24" x14ac:dyDescent="0.3">
      <c r="A639" s="129"/>
      <c r="B639" s="129"/>
      <c r="C639" s="128"/>
      <c r="D639" s="128"/>
      <c r="E639" s="128"/>
      <c r="F639" s="166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6" t="str">
        <f t="shared" si="55"/>
        <v/>
      </c>
      <c r="S639" s="163" t="str">
        <f t="shared" si="56"/>
        <v/>
      </c>
      <c r="T639" s="160" t="str">
        <f>IFERROR(INDEX(上年标准成本!$I:$I,MATCH(K639,上年标准成本!$C:$C,0),1),"")</f>
        <v/>
      </c>
      <c r="U639" s="126" t="str">
        <f t="shared" si="57"/>
        <v/>
      </c>
      <c r="V639" s="126" t="str">
        <f t="shared" si="58"/>
        <v/>
      </c>
      <c r="W639" s="124" t="str">
        <f t="shared" si="59"/>
        <v/>
      </c>
      <c r="X639" s="125" t="str">
        <f t="shared" si="54"/>
        <v/>
      </c>
    </row>
    <row r="640" spans="1:24" x14ac:dyDescent="0.3">
      <c r="A640" s="129"/>
      <c r="B640" s="129"/>
      <c r="C640" s="128"/>
      <c r="D640" s="128"/>
      <c r="E640" s="128"/>
      <c r="F640" s="166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6" t="str">
        <f t="shared" si="55"/>
        <v/>
      </c>
      <c r="S640" s="163" t="str">
        <f t="shared" si="56"/>
        <v/>
      </c>
      <c r="T640" s="160" t="str">
        <f>IFERROR(INDEX(上年标准成本!$I:$I,MATCH(K640,上年标准成本!$C:$C,0),1),"")</f>
        <v/>
      </c>
      <c r="U640" s="126" t="str">
        <f t="shared" si="57"/>
        <v/>
      </c>
      <c r="V640" s="126" t="str">
        <f t="shared" si="58"/>
        <v/>
      </c>
      <c r="W640" s="124" t="str">
        <f t="shared" si="59"/>
        <v/>
      </c>
      <c r="X640" s="125" t="str">
        <f t="shared" si="54"/>
        <v/>
      </c>
    </row>
    <row r="641" spans="1:24" x14ac:dyDescent="0.3">
      <c r="A641" s="129"/>
      <c r="B641" s="129"/>
      <c r="C641" s="128"/>
      <c r="D641" s="128"/>
      <c r="E641" s="128"/>
      <c r="F641" s="166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6" t="str">
        <f t="shared" si="55"/>
        <v/>
      </c>
      <c r="S641" s="163" t="str">
        <f t="shared" si="56"/>
        <v/>
      </c>
      <c r="T641" s="160" t="str">
        <f>IFERROR(INDEX(上年标准成本!$I:$I,MATCH(K641,上年标准成本!$C:$C,0),1),"")</f>
        <v/>
      </c>
      <c r="U641" s="126" t="str">
        <f t="shared" si="57"/>
        <v/>
      </c>
      <c r="V641" s="126" t="str">
        <f t="shared" si="58"/>
        <v/>
      </c>
      <c r="W641" s="124" t="str">
        <f t="shared" si="59"/>
        <v/>
      </c>
      <c r="X641" s="125" t="str">
        <f t="shared" si="54"/>
        <v/>
      </c>
    </row>
    <row r="642" spans="1:24" x14ac:dyDescent="0.3">
      <c r="A642" s="129"/>
      <c r="B642" s="129"/>
      <c r="C642" s="128"/>
      <c r="D642" s="128"/>
      <c r="E642" s="128"/>
      <c r="F642" s="166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6" t="str">
        <f t="shared" si="55"/>
        <v/>
      </c>
      <c r="S642" s="163" t="str">
        <f t="shared" si="56"/>
        <v/>
      </c>
      <c r="T642" s="160" t="str">
        <f>IFERROR(INDEX(上年标准成本!$I:$I,MATCH(K642,上年标准成本!$C:$C,0),1),"")</f>
        <v/>
      </c>
      <c r="U642" s="126" t="str">
        <f t="shared" si="57"/>
        <v/>
      </c>
      <c r="V642" s="126" t="str">
        <f t="shared" si="58"/>
        <v/>
      </c>
      <c r="W642" s="124" t="str">
        <f t="shared" si="59"/>
        <v/>
      </c>
      <c r="X642" s="125" t="str">
        <f t="shared" ref="X642:X705" si="60">IFERROR(IF(W642/SUM(W:W)=0,"",W642/SUM(W:W)),"")</f>
        <v/>
      </c>
    </row>
    <row r="643" spans="1:24" x14ac:dyDescent="0.3">
      <c r="A643" s="129"/>
      <c r="B643" s="129"/>
      <c r="C643" s="128"/>
      <c r="D643" s="128"/>
      <c r="E643" s="128"/>
      <c r="F643" s="166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6" t="str">
        <f t="shared" ref="R643:R706" si="61">IFERROR(P643/O643,"")</f>
        <v/>
      </c>
      <c r="S643" s="163" t="str">
        <f t="shared" ref="S643:S706" si="62">IFERROR(R643*(1+Q643),"")</f>
        <v/>
      </c>
      <c r="T643" s="160" t="str">
        <f>IFERROR(INDEX(上年标准成本!$I:$I,MATCH(K643,上年标准成本!$C:$C,0),1),"")</f>
        <v/>
      </c>
      <c r="U643" s="126" t="str">
        <f t="shared" ref="U643:U706" si="63">IFERROR(O643*T643,"")</f>
        <v/>
      </c>
      <c r="V643" s="126" t="str">
        <f t="shared" ref="V643:V706" si="64">IFERROR(P643-U643,"")</f>
        <v/>
      </c>
      <c r="W643" s="124" t="str">
        <f t="shared" ref="W643:W706" si="65">IFERROR(V643/P643,"")</f>
        <v/>
      </c>
      <c r="X643" s="125" t="str">
        <f t="shared" si="60"/>
        <v/>
      </c>
    </row>
    <row r="644" spans="1:24" x14ac:dyDescent="0.3">
      <c r="A644" s="129"/>
      <c r="B644" s="129"/>
      <c r="C644" s="128"/>
      <c r="D644" s="128"/>
      <c r="E644" s="128"/>
      <c r="F644" s="166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6" t="str">
        <f t="shared" si="61"/>
        <v/>
      </c>
      <c r="S644" s="163" t="str">
        <f t="shared" si="62"/>
        <v/>
      </c>
      <c r="T644" s="160" t="str">
        <f>IFERROR(INDEX(上年标准成本!$I:$I,MATCH(K644,上年标准成本!$C:$C,0),1),"")</f>
        <v/>
      </c>
      <c r="U644" s="126" t="str">
        <f t="shared" si="63"/>
        <v/>
      </c>
      <c r="V644" s="126" t="str">
        <f t="shared" si="64"/>
        <v/>
      </c>
      <c r="W644" s="124" t="str">
        <f t="shared" si="65"/>
        <v/>
      </c>
      <c r="X644" s="125" t="str">
        <f t="shared" si="60"/>
        <v/>
      </c>
    </row>
    <row r="645" spans="1:24" x14ac:dyDescent="0.3">
      <c r="A645" s="129"/>
      <c r="B645" s="129"/>
      <c r="C645" s="128"/>
      <c r="D645" s="128"/>
      <c r="E645" s="128"/>
      <c r="F645" s="166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6" t="str">
        <f t="shared" si="61"/>
        <v/>
      </c>
      <c r="S645" s="163" t="str">
        <f t="shared" si="62"/>
        <v/>
      </c>
      <c r="T645" s="160" t="str">
        <f>IFERROR(INDEX(上年标准成本!$I:$I,MATCH(K645,上年标准成本!$C:$C,0),1),"")</f>
        <v/>
      </c>
      <c r="U645" s="126" t="str">
        <f t="shared" si="63"/>
        <v/>
      </c>
      <c r="V645" s="126" t="str">
        <f t="shared" si="64"/>
        <v/>
      </c>
      <c r="W645" s="124" t="str">
        <f t="shared" si="65"/>
        <v/>
      </c>
      <c r="X645" s="125" t="str">
        <f t="shared" si="60"/>
        <v/>
      </c>
    </row>
    <row r="646" spans="1:24" x14ac:dyDescent="0.3">
      <c r="A646" s="129"/>
      <c r="B646" s="129"/>
      <c r="C646" s="128"/>
      <c r="D646" s="128"/>
      <c r="E646" s="128"/>
      <c r="F646" s="166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6" t="str">
        <f t="shared" si="61"/>
        <v/>
      </c>
      <c r="S646" s="163" t="str">
        <f t="shared" si="62"/>
        <v/>
      </c>
      <c r="T646" s="160" t="str">
        <f>IFERROR(INDEX(上年标准成本!$I:$I,MATCH(K646,上年标准成本!$C:$C,0),1),"")</f>
        <v/>
      </c>
      <c r="U646" s="126" t="str">
        <f t="shared" si="63"/>
        <v/>
      </c>
      <c r="V646" s="126" t="str">
        <f t="shared" si="64"/>
        <v/>
      </c>
      <c r="W646" s="124" t="str">
        <f t="shared" si="65"/>
        <v/>
      </c>
      <c r="X646" s="125" t="str">
        <f t="shared" si="60"/>
        <v/>
      </c>
    </row>
    <row r="647" spans="1:24" x14ac:dyDescent="0.3">
      <c r="A647" s="129"/>
      <c r="B647" s="129"/>
      <c r="C647" s="128"/>
      <c r="D647" s="128"/>
      <c r="E647" s="128"/>
      <c r="F647" s="166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6" t="str">
        <f t="shared" si="61"/>
        <v/>
      </c>
      <c r="S647" s="163" t="str">
        <f t="shared" si="62"/>
        <v/>
      </c>
      <c r="T647" s="160" t="str">
        <f>IFERROR(INDEX(上年标准成本!$I:$I,MATCH(K647,上年标准成本!$C:$C,0),1),"")</f>
        <v/>
      </c>
      <c r="U647" s="126" t="str">
        <f t="shared" si="63"/>
        <v/>
      </c>
      <c r="V647" s="126" t="str">
        <f t="shared" si="64"/>
        <v/>
      </c>
      <c r="W647" s="124" t="str">
        <f t="shared" si="65"/>
        <v/>
      </c>
      <c r="X647" s="125" t="str">
        <f t="shared" si="60"/>
        <v/>
      </c>
    </row>
    <row r="648" spans="1:24" x14ac:dyDescent="0.3">
      <c r="A648" s="129"/>
      <c r="B648" s="129"/>
      <c r="C648" s="128"/>
      <c r="D648" s="128"/>
      <c r="E648" s="128"/>
      <c r="F648" s="166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6" t="str">
        <f t="shared" si="61"/>
        <v/>
      </c>
      <c r="S648" s="163" t="str">
        <f t="shared" si="62"/>
        <v/>
      </c>
      <c r="T648" s="160" t="str">
        <f>IFERROR(INDEX(上年标准成本!$I:$I,MATCH(K648,上年标准成本!$C:$C,0),1),"")</f>
        <v/>
      </c>
      <c r="U648" s="126" t="str">
        <f t="shared" si="63"/>
        <v/>
      </c>
      <c r="V648" s="126" t="str">
        <f t="shared" si="64"/>
        <v/>
      </c>
      <c r="W648" s="124" t="str">
        <f t="shared" si="65"/>
        <v/>
      </c>
      <c r="X648" s="125" t="str">
        <f t="shared" si="60"/>
        <v/>
      </c>
    </row>
    <row r="649" spans="1:24" x14ac:dyDescent="0.3">
      <c r="A649" s="129"/>
      <c r="B649" s="129"/>
      <c r="C649" s="128"/>
      <c r="D649" s="128"/>
      <c r="E649" s="128"/>
      <c r="F649" s="166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6" t="str">
        <f t="shared" si="61"/>
        <v/>
      </c>
      <c r="S649" s="163" t="str">
        <f t="shared" si="62"/>
        <v/>
      </c>
      <c r="T649" s="160" t="str">
        <f>IFERROR(INDEX(上年标准成本!$I:$I,MATCH(K649,上年标准成本!$C:$C,0),1),"")</f>
        <v/>
      </c>
      <c r="U649" s="126" t="str">
        <f t="shared" si="63"/>
        <v/>
      </c>
      <c r="V649" s="126" t="str">
        <f t="shared" si="64"/>
        <v/>
      </c>
      <c r="W649" s="124" t="str">
        <f t="shared" si="65"/>
        <v/>
      </c>
      <c r="X649" s="125" t="str">
        <f t="shared" si="60"/>
        <v/>
      </c>
    </row>
    <row r="650" spans="1:24" x14ac:dyDescent="0.3">
      <c r="A650" s="129"/>
      <c r="B650" s="129"/>
      <c r="C650" s="128"/>
      <c r="D650" s="128"/>
      <c r="E650" s="128"/>
      <c r="F650" s="166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6" t="str">
        <f t="shared" si="61"/>
        <v/>
      </c>
      <c r="S650" s="163" t="str">
        <f t="shared" si="62"/>
        <v/>
      </c>
      <c r="T650" s="160" t="str">
        <f>IFERROR(INDEX(上年标准成本!$I:$I,MATCH(K650,上年标准成本!$C:$C,0),1),"")</f>
        <v/>
      </c>
      <c r="U650" s="126" t="str">
        <f t="shared" si="63"/>
        <v/>
      </c>
      <c r="V650" s="126" t="str">
        <f t="shared" si="64"/>
        <v/>
      </c>
      <c r="W650" s="124" t="str">
        <f t="shared" si="65"/>
        <v/>
      </c>
      <c r="X650" s="125" t="str">
        <f t="shared" si="60"/>
        <v/>
      </c>
    </row>
    <row r="651" spans="1:24" x14ac:dyDescent="0.3">
      <c r="A651" s="129"/>
      <c r="B651" s="129"/>
      <c r="C651" s="128"/>
      <c r="D651" s="128"/>
      <c r="E651" s="128"/>
      <c r="F651" s="166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6" t="str">
        <f t="shared" si="61"/>
        <v/>
      </c>
      <c r="S651" s="163" t="str">
        <f t="shared" si="62"/>
        <v/>
      </c>
      <c r="T651" s="160" t="str">
        <f>IFERROR(INDEX(上年标准成本!$I:$I,MATCH(K651,上年标准成本!$C:$C,0),1),"")</f>
        <v/>
      </c>
      <c r="U651" s="126" t="str">
        <f t="shared" si="63"/>
        <v/>
      </c>
      <c r="V651" s="126" t="str">
        <f t="shared" si="64"/>
        <v/>
      </c>
      <c r="W651" s="124" t="str">
        <f t="shared" si="65"/>
        <v/>
      </c>
      <c r="X651" s="125" t="str">
        <f t="shared" si="60"/>
        <v/>
      </c>
    </row>
    <row r="652" spans="1:24" x14ac:dyDescent="0.3">
      <c r="A652" s="129"/>
      <c r="B652" s="129"/>
      <c r="C652" s="128"/>
      <c r="D652" s="128"/>
      <c r="E652" s="128"/>
      <c r="F652" s="166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6" t="str">
        <f t="shared" si="61"/>
        <v/>
      </c>
      <c r="S652" s="163" t="str">
        <f t="shared" si="62"/>
        <v/>
      </c>
      <c r="T652" s="160" t="str">
        <f>IFERROR(INDEX(上年标准成本!$I:$I,MATCH(K652,上年标准成本!$C:$C,0),1),"")</f>
        <v/>
      </c>
      <c r="U652" s="126" t="str">
        <f t="shared" si="63"/>
        <v/>
      </c>
      <c r="V652" s="126" t="str">
        <f t="shared" si="64"/>
        <v/>
      </c>
      <c r="W652" s="124" t="str">
        <f t="shared" si="65"/>
        <v/>
      </c>
      <c r="X652" s="125" t="str">
        <f t="shared" si="60"/>
        <v/>
      </c>
    </row>
    <row r="653" spans="1:24" x14ac:dyDescent="0.3">
      <c r="A653" s="129"/>
      <c r="B653" s="129"/>
      <c r="C653" s="128"/>
      <c r="D653" s="128"/>
      <c r="E653" s="128"/>
      <c r="F653" s="166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6" t="str">
        <f t="shared" si="61"/>
        <v/>
      </c>
      <c r="S653" s="163" t="str">
        <f t="shared" si="62"/>
        <v/>
      </c>
      <c r="T653" s="160" t="str">
        <f>IFERROR(INDEX(上年标准成本!$I:$I,MATCH(K653,上年标准成本!$C:$C,0),1),"")</f>
        <v/>
      </c>
      <c r="U653" s="126" t="str">
        <f t="shared" si="63"/>
        <v/>
      </c>
      <c r="V653" s="126" t="str">
        <f t="shared" si="64"/>
        <v/>
      </c>
      <c r="W653" s="124" t="str">
        <f t="shared" si="65"/>
        <v/>
      </c>
      <c r="X653" s="125" t="str">
        <f t="shared" si="60"/>
        <v/>
      </c>
    </row>
    <row r="654" spans="1:24" x14ac:dyDescent="0.3">
      <c r="A654" s="129"/>
      <c r="B654" s="129"/>
      <c r="C654" s="128"/>
      <c r="D654" s="128"/>
      <c r="E654" s="128"/>
      <c r="F654" s="166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6" t="str">
        <f t="shared" si="61"/>
        <v/>
      </c>
      <c r="S654" s="163" t="str">
        <f t="shared" si="62"/>
        <v/>
      </c>
      <c r="T654" s="160" t="str">
        <f>IFERROR(INDEX(上年标准成本!$I:$I,MATCH(K654,上年标准成本!$C:$C,0),1),"")</f>
        <v/>
      </c>
      <c r="U654" s="126" t="str">
        <f t="shared" si="63"/>
        <v/>
      </c>
      <c r="V654" s="126" t="str">
        <f t="shared" si="64"/>
        <v/>
      </c>
      <c r="W654" s="124" t="str">
        <f t="shared" si="65"/>
        <v/>
      </c>
      <c r="X654" s="125" t="str">
        <f t="shared" si="60"/>
        <v/>
      </c>
    </row>
    <row r="655" spans="1:24" x14ac:dyDescent="0.3">
      <c r="A655" s="129"/>
      <c r="B655" s="129"/>
      <c r="C655" s="128"/>
      <c r="D655" s="128"/>
      <c r="E655" s="128"/>
      <c r="F655" s="166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6" t="str">
        <f t="shared" si="61"/>
        <v/>
      </c>
      <c r="S655" s="163" t="str">
        <f t="shared" si="62"/>
        <v/>
      </c>
      <c r="T655" s="160" t="str">
        <f>IFERROR(INDEX(上年标准成本!$I:$I,MATCH(K655,上年标准成本!$C:$C,0),1),"")</f>
        <v/>
      </c>
      <c r="U655" s="126" t="str">
        <f t="shared" si="63"/>
        <v/>
      </c>
      <c r="V655" s="126" t="str">
        <f t="shared" si="64"/>
        <v/>
      </c>
      <c r="W655" s="124" t="str">
        <f t="shared" si="65"/>
        <v/>
      </c>
      <c r="X655" s="125" t="str">
        <f t="shared" si="60"/>
        <v/>
      </c>
    </row>
    <row r="656" spans="1:24" x14ac:dyDescent="0.3">
      <c r="A656" s="129"/>
      <c r="B656" s="129"/>
      <c r="C656" s="128"/>
      <c r="D656" s="128"/>
      <c r="E656" s="128"/>
      <c r="F656" s="166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6" t="str">
        <f t="shared" si="61"/>
        <v/>
      </c>
      <c r="S656" s="163" t="str">
        <f t="shared" si="62"/>
        <v/>
      </c>
      <c r="T656" s="160" t="str">
        <f>IFERROR(INDEX(上年标准成本!$I:$I,MATCH(K656,上年标准成本!$C:$C,0),1),"")</f>
        <v/>
      </c>
      <c r="U656" s="126" t="str">
        <f t="shared" si="63"/>
        <v/>
      </c>
      <c r="V656" s="126" t="str">
        <f t="shared" si="64"/>
        <v/>
      </c>
      <c r="W656" s="124" t="str">
        <f t="shared" si="65"/>
        <v/>
      </c>
      <c r="X656" s="125" t="str">
        <f t="shared" si="60"/>
        <v/>
      </c>
    </row>
    <row r="657" spans="1:24" x14ac:dyDescent="0.3">
      <c r="A657" s="129"/>
      <c r="B657" s="129"/>
      <c r="C657" s="128"/>
      <c r="D657" s="128"/>
      <c r="E657" s="128"/>
      <c r="F657" s="166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6" t="str">
        <f t="shared" si="61"/>
        <v/>
      </c>
      <c r="S657" s="163" t="str">
        <f t="shared" si="62"/>
        <v/>
      </c>
      <c r="T657" s="160" t="str">
        <f>IFERROR(INDEX(上年标准成本!$I:$I,MATCH(K657,上年标准成本!$C:$C,0),1),"")</f>
        <v/>
      </c>
      <c r="U657" s="126" t="str">
        <f t="shared" si="63"/>
        <v/>
      </c>
      <c r="V657" s="126" t="str">
        <f t="shared" si="64"/>
        <v/>
      </c>
      <c r="W657" s="124" t="str">
        <f t="shared" si="65"/>
        <v/>
      </c>
      <c r="X657" s="125" t="str">
        <f t="shared" si="60"/>
        <v/>
      </c>
    </row>
    <row r="658" spans="1:24" x14ac:dyDescent="0.3">
      <c r="A658" s="129"/>
      <c r="B658" s="129"/>
      <c r="C658" s="128"/>
      <c r="D658" s="128"/>
      <c r="E658" s="128"/>
      <c r="F658" s="166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6" t="str">
        <f t="shared" si="61"/>
        <v/>
      </c>
      <c r="S658" s="163" t="str">
        <f t="shared" si="62"/>
        <v/>
      </c>
      <c r="T658" s="160" t="str">
        <f>IFERROR(INDEX(上年标准成本!$I:$I,MATCH(K658,上年标准成本!$C:$C,0),1),"")</f>
        <v/>
      </c>
      <c r="U658" s="126" t="str">
        <f t="shared" si="63"/>
        <v/>
      </c>
      <c r="V658" s="126" t="str">
        <f t="shared" si="64"/>
        <v/>
      </c>
      <c r="W658" s="124" t="str">
        <f t="shared" si="65"/>
        <v/>
      </c>
      <c r="X658" s="125" t="str">
        <f t="shared" si="60"/>
        <v/>
      </c>
    </row>
    <row r="659" spans="1:24" x14ac:dyDescent="0.3">
      <c r="A659" s="129"/>
      <c r="B659" s="129"/>
      <c r="C659" s="128"/>
      <c r="D659" s="128"/>
      <c r="E659" s="128"/>
      <c r="F659" s="166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6" t="str">
        <f t="shared" si="61"/>
        <v/>
      </c>
      <c r="S659" s="163" t="str">
        <f t="shared" si="62"/>
        <v/>
      </c>
      <c r="T659" s="160" t="str">
        <f>IFERROR(INDEX(上年标准成本!$I:$I,MATCH(K659,上年标准成本!$C:$C,0),1),"")</f>
        <v/>
      </c>
      <c r="U659" s="126" t="str">
        <f t="shared" si="63"/>
        <v/>
      </c>
      <c r="V659" s="126" t="str">
        <f t="shared" si="64"/>
        <v/>
      </c>
      <c r="W659" s="124" t="str">
        <f t="shared" si="65"/>
        <v/>
      </c>
      <c r="X659" s="125" t="str">
        <f t="shared" si="60"/>
        <v/>
      </c>
    </row>
    <row r="660" spans="1:24" x14ac:dyDescent="0.3">
      <c r="A660" s="129"/>
      <c r="B660" s="129"/>
      <c r="C660" s="128"/>
      <c r="D660" s="128"/>
      <c r="E660" s="128"/>
      <c r="F660" s="166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6" t="str">
        <f t="shared" si="61"/>
        <v/>
      </c>
      <c r="S660" s="163" t="str">
        <f t="shared" si="62"/>
        <v/>
      </c>
      <c r="T660" s="160" t="str">
        <f>IFERROR(INDEX(上年标准成本!$I:$I,MATCH(K660,上年标准成本!$C:$C,0),1),"")</f>
        <v/>
      </c>
      <c r="U660" s="126" t="str">
        <f t="shared" si="63"/>
        <v/>
      </c>
      <c r="V660" s="126" t="str">
        <f t="shared" si="64"/>
        <v/>
      </c>
      <c r="W660" s="124" t="str">
        <f t="shared" si="65"/>
        <v/>
      </c>
      <c r="X660" s="125" t="str">
        <f t="shared" si="60"/>
        <v/>
      </c>
    </row>
    <row r="661" spans="1:24" x14ac:dyDescent="0.3">
      <c r="A661" s="129"/>
      <c r="B661" s="129"/>
      <c r="C661" s="128"/>
      <c r="D661" s="128"/>
      <c r="E661" s="128"/>
      <c r="F661" s="166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6" t="str">
        <f t="shared" si="61"/>
        <v/>
      </c>
      <c r="S661" s="163" t="str">
        <f t="shared" si="62"/>
        <v/>
      </c>
      <c r="T661" s="160" t="str">
        <f>IFERROR(INDEX(上年标准成本!$I:$I,MATCH(K661,上年标准成本!$C:$C,0),1),"")</f>
        <v/>
      </c>
      <c r="U661" s="126" t="str">
        <f t="shared" si="63"/>
        <v/>
      </c>
      <c r="V661" s="126" t="str">
        <f t="shared" si="64"/>
        <v/>
      </c>
      <c r="W661" s="124" t="str">
        <f t="shared" si="65"/>
        <v/>
      </c>
      <c r="X661" s="125" t="str">
        <f t="shared" si="60"/>
        <v/>
      </c>
    </row>
    <row r="662" spans="1:24" x14ac:dyDescent="0.3">
      <c r="A662" s="129"/>
      <c r="B662" s="129"/>
      <c r="C662" s="128"/>
      <c r="D662" s="128"/>
      <c r="E662" s="128"/>
      <c r="F662" s="166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6" t="str">
        <f t="shared" si="61"/>
        <v/>
      </c>
      <c r="S662" s="163" t="str">
        <f t="shared" si="62"/>
        <v/>
      </c>
      <c r="T662" s="160" t="str">
        <f>IFERROR(INDEX(上年标准成本!$I:$I,MATCH(K662,上年标准成本!$C:$C,0),1),"")</f>
        <v/>
      </c>
      <c r="U662" s="126" t="str">
        <f t="shared" si="63"/>
        <v/>
      </c>
      <c r="V662" s="126" t="str">
        <f t="shared" si="64"/>
        <v/>
      </c>
      <c r="W662" s="124" t="str">
        <f t="shared" si="65"/>
        <v/>
      </c>
      <c r="X662" s="125" t="str">
        <f t="shared" si="60"/>
        <v/>
      </c>
    </row>
    <row r="663" spans="1:24" x14ac:dyDescent="0.3">
      <c r="A663" s="129"/>
      <c r="B663" s="129"/>
      <c r="C663" s="128"/>
      <c r="D663" s="128"/>
      <c r="E663" s="128"/>
      <c r="F663" s="166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6" t="str">
        <f t="shared" si="61"/>
        <v/>
      </c>
      <c r="S663" s="163" t="str">
        <f t="shared" si="62"/>
        <v/>
      </c>
      <c r="T663" s="160" t="str">
        <f>IFERROR(INDEX(上年标准成本!$I:$I,MATCH(K663,上年标准成本!$C:$C,0),1),"")</f>
        <v/>
      </c>
      <c r="U663" s="126" t="str">
        <f t="shared" si="63"/>
        <v/>
      </c>
      <c r="V663" s="126" t="str">
        <f t="shared" si="64"/>
        <v/>
      </c>
      <c r="W663" s="124" t="str">
        <f t="shared" si="65"/>
        <v/>
      </c>
      <c r="X663" s="125" t="str">
        <f t="shared" si="60"/>
        <v/>
      </c>
    </row>
    <row r="664" spans="1:24" x14ac:dyDescent="0.3">
      <c r="A664" s="129"/>
      <c r="B664" s="129"/>
      <c r="C664" s="128"/>
      <c r="D664" s="128"/>
      <c r="E664" s="128"/>
      <c r="F664" s="166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6" t="str">
        <f t="shared" si="61"/>
        <v/>
      </c>
      <c r="S664" s="163" t="str">
        <f t="shared" si="62"/>
        <v/>
      </c>
      <c r="T664" s="160" t="str">
        <f>IFERROR(INDEX(上年标准成本!$I:$I,MATCH(K664,上年标准成本!$C:$C,0),1),"")</f>
        <v/>
      </c>
      <c r="U664" s="126" t="str">
        <f t="shared" si="63"/>
        <v/>
      </c>
      <c r="V664" s="126" t="str">
        <f t="shared" si="64"/>
        <v/>
      </c>
      <c r="W664" s="124" t="str">
        <f t="shared" si="65"/>
        <v/>
      </c>
      <c r="X664" s="125" t="str">
        <f t="shared" si="60"/>
        <v/>
      </c>
    </row>
    <row r="665" spans="1:24" x14ac:dyDescent="0.3">
      <c r="A665" s="129"/>
      <c r="B665" s="129"/>
      <c r="C665" s="128"/>
      <c r="D665" s="128"/>
      <c r="E665" s="128"/>
      <c r="F665" s="166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6" t="str">
        <f t="shared" si="61"/>
        <v/>
      </c>
      <c r="S665" s="163" t="str">
        <f t="shared" si="62"/>
        <v/>
      </c>
      <c r="T665" s="160" t="str">
        <f>IFERROR(INDEX(上年标准成本!$I:$I,MATCH(K665,上年标准成本!$C:$C,0),1),"")</f>
        <v/>
      </c>
      <c r="U665" s="126" t="str">
        <f t="shared" si="63"/>
        <v/>
      </c>
      <c r="V665" s="126" t="str">
        <f t="shared" si="64"/>
        <v/>
      </c>
      <c r="W665" s="124" t="str">
        <f t="shared" si="65"/>
        <v/>
      </c>
      <c r="X665" s="125" t="str">
        <f t="shared" si="60"/>
        <v/>
      </c>
    </row>
    <row r="666" spans="1:24" x14ac:dyDescent="0.3">
      <c r="A666" s="129"/>
      <c r="B666" s="129"/>
      <c r="C666" s="128"/>
      <c r="D666" s="128"/>
      <c r="E666" s="128"/>
      <c r="F666" s="166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6" t="str">
        <f t="shared" si="61"/>
        <v/>
      </c>
      <c r="S666" s="163" t="str">
        <f t="shared" si="62"/>
        <v/>
      </c>
      <c r="T666" s="160" t="str">
        <f>IFERROR(INDEX(上年标准成本!$I:$I,MATCH(K666,上年标准成本!$C:$C,0),1),"")</f>
        <v/>
      </c>
      <c r="U666" s="126" t="str">
        <f t="shared" si="63"/>
        <v/>
      </c>
      <c r="V666" s="126" t="str">
        <f t="shared" si="64"/>
        <v/>
      </c>
      <c r="W666" s="124" t="str">
        <f t="shared" si="65"/>
        <v/>
      </c>
      <c r="X666" s="125" t="str">
        <f t="shared" si="60"/>
        <v/>
      </c>
    </row>
    <row r="667" spans="1:24" x14ac:dyDescent="0.3">
      <c r="A667" s="129"/>
      <c r="B667" s="129"/>
      <c r="C667" s="128"/>
      <c r="D667" s="128"/>
      <c r="E667" s="128"/>
      <c r="F667" s="166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6" t="str">
        <f t="shared" si="61"/>
        <v/>
      </c>
      <c r="S667" s="163" t="str">
        <f t="shared" si="62"/>
        <v/>
      </c>
      <c r="T667" s="160" t="str">
        <f>IFERROR(INDEX(上年标准成本!$I:$I,MATCH(K667,上年标准成本!$C:$C,0),1),"")</f>
        <v/>
      </c>
      <c r="U667" s="126" t="str">
        <f t="shared" si="63"/>
        <v/>
      </c>
      <c r="V667" s="126" t="str">
        <f t="shared" si="64"/>
        <v/>
      </c>
      <c r="W667" s="124" t="str">
        <f t="shared" si="65"/>
        <v/>
      </c>
      <c r="X667" s="125" t="str">
        <f t="shared" si="60"/>
        <v/>
      </c>
    </row>
    <row r="668" spans="1:24" x14ac:dyDescent="0.3">
      <c r="A668" s="129"/>
      <c r="B668" s="129"/>
      <c r="C668" s="128"/>
      <c r="D668" s="128"/>
      <c r="E668" s="128"/>
      <c r="F668" s="166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6" t="str">
        <f t="shared" si="61"/>
        <v/>
      </c>
      <c r="S668" s="163" t="str">
        <f t="shared" si="62"/>
        <v/>
      </c>
      <c r="T668" s="160" t="str">
        <f>IFERROR(INDEX(上年标准成本!$I:$I,MATCH(K668,上年标准成本!$C:$C,0),1),"")</f>
        <v/>
      </c>
      <c r="U668" s="126" t="str">
        <f t="shared" si="63"/>
        <v/>
      </c>
      <c r="V668" s="126" t="str">
        <f t="shared" si="64"/>
        <v/>
      </c>
      <c r="W668" s="124" t="str">
        <f t="shared" si="65"/>
        <v/>
      </c>
      <c r="X668" s="125" t="str">
        <f t="shared" si="60"/>
        <v/>
      </c>
    </row>
    <row r="669" spans="1:24" x14ac:dyDescent="0.3">
      <c r="A669" s="129"/>
      <c r="B669" s="129"/>
      <c r="C669" s="128"/>
      <c r="D669" s="128"/>
      <c r="E669" s="128"/>
      <c r="F669" s="166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6" t="str">
        <f t="shared" si="61"/>
        <v/>
      </c>
      <c r="S669" s="163" t="str">
        <f t="shared" si="62"/>
        <v/>
      </c>
      <c r="T669" s="160" t="str">
        <f>IFERROR(INDEX(上年标准成本!$I:$I,MATCH(K669,上年标准成本!$C:$C,0),1),"")</f>
        <v/>
      </c>
      <c r="U669" s="126" t="str">
        <f t="shared" si="63"/>
        <v/>
      </c>
      <c r="V669" s="126" t="str">
        <f t="shared" si="64"/>
        <v/>
      </c>
      <c r="W669" s="124" t="str">
        <f t="shared" si="65"/>
        <v/>
      </c>
      <c r="X669" s="125" t="str">
        <f t="shared" si="60"/>
        <v/>
      </c>
    </row>
    <row r="670" spans="1:24" x14ac:dyDescent="0.3">
      <c r="A670" s="129"/>
      <c r="B670" s="129"/>
      <c r="C670" s="128"/>
      <c r="D670" s="128"/>
      <c r="E670" s="128"/>
      <c r="F670" s="166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6" t="str">
        <f t="shared" si="61"/>
        <v/>
      </c>
      <c r="S670" s="163" t="str">
        <f t="shared" si="62"/>
        <v/>
      </c>
      <c r="T670" s="160" t="str">
        <f>IFERROR(INDEX(上年标准成本!$I:$I,MATCH(K670,上年标准成本!$C:$C,0),1),"")</f>
        <v/>
      </c>
      <c r="U670" s="126" t="str">
        <f t="shared" si="63"/>
        <v/>
      </c>
      <c r="V670" s="126" t="str">
        <f t="shared" si="64"/>
        <v/>
      </c>
      <c r="W670" s="124" t="str">
        <f t="shared" si="65"/>
        <v/>
      </c>
      <c r="X670" s="125" t="str">
        <f t="shared" si="60"/>
        <v/>
      </c>
    </row>
    <row r="671" spans="1:24" x14ac:dyDescent="0.3">
      <c r="A671" s="129"/>
      <c r="B671" s="129"/>
      <c r="C671" s="128"/>
      <c r="D671" s="128"/>
      <c r="E671" s="128"/>
      <c r="F671" s="166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6" t="str">
        <f t="shared" si="61"/>
        <v/>
      </c>
      <c r="S671" s="163" t="str">
        <f t="shared" si="62"/>
        <v/>
      </c>
      <c r="T671" s="160" t="str">
        <f>IFERROR(INDEX(上年标准成本!$I:$I,MATCH(K671,上年标准成本!$C:$C,0),1),"")</f>
        <v/>
      </c>
      <c r="U671" s="126" t="str">
        <f t="shared" si="63"/>
        <v/>
      </c>
      <c r="V671" s="126" t="str">
        <f t="shared" si="64"/>
        <v/>
      </c>
      <c r="W671" s="124" t="str">
        <f t="shared" si="65"/>
        <v/>
      </c>
      <c r="X671" s="125" t="str">
        <f t="shared" si="60"/>
        <v/>
      </c>
    </row>
    <row r="672" spans="1:24" x14ac:dyDescent="0.3">
      <c r="A672" s="129"/>
      <c r="B672" s="129"/>
      <c r="C672" s="128"/>
      <c r="D672" s="128"/>
      <c r="E672" s="128"/>
      <c r="F672" s="166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6" t="str">
        <f t="shared" si="61"/>
        <v/>
      </c>
      <c r="S672" s="163" t="str">
        <f t="shared" si="62"/>
        <v/>
      </c>
      <c r="T672" s="160" t="str">
        <f>IFERROR(INDEX(上年标准成本!$I:$I,MATCH(K672,上年标准成本!$C:$C,0),1),"")</f>
        <v/>
      </c>
      <c r="U672" s="126" t="str">
        <f t="shared" si="63"/>
        <v/>
      </c>
      <c r="V672" s="126" t="str">
        <f t="shared" si="64"/>
        <v/>
      </c>
      <c r="W672" s="124" t="str">
        <f t="shared" si="65"/>
        <v/>
      </c>
      <c r="X672" s="125" t="str">
        <f t="shared" si="60"/>
        <v/>
      </c>
    </row>
    <row r="673" spans="1:24" x14ac:dyDescent="0.3">
      <c r="A673" s="129"/>
      <c r="B673" s="129"/>
      <c r="C673" s="128"/>
      <c r="D673" s="128"/>
      <c r="E673" s="128"/>
      <c r="F673" s="166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6" t="str">
        <f t="shared" si="61"/>
        <v/>
      </c>
      <c r="S673" s="163" t="str">
        <f t="shared" si="62"/>
        <v/>
      </c>
      <c r="T673" s="160" t="str">
        <f>IFERROR(INDEX(上年标准成本!$I:$I,MATCH(K673,上年标准成本!$C:$C,0),1),"")</f>
        <v/>
      </c>
      <c r="U673" s="126" t="str">
        <f t="shared" si="63"/>
        <v/>
      </c>
      <c r="V673" s="126" t="str">
        <f t="shared" si="64"/>
        <v/>
      </c>
      <c r="W673" s="124" t="str">
        <f t="shared" si="65"/>
        <v/>
      </c>
      <c r="X673" s="125" t="str">
        <f t="shared" si="60"/>
        <v/>
      </c>
    </row>
    <row r="674" spans="1:24" x14ac:dyDescent="0.3">
      <c r="A674" s="129"/>
      <c r="B674" s="129"/>
      <c r="C674" s="128"/>
      <c r="D674" s="128"/>
      <c r="E674" s="128"/>
      <c r="F674" s="166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6" t="str">
        <f t="shared" si="61"/>
        <v/>
      </c>
      <c r="S674" s="163" t="str">
        <f t="shared" si="62"/>
        <v/>
      </c>
      <c r="T674" s="160" t="str">
        <f>IFERROR(INDEX(上年标准成本!$I:$I,MATCH(K674,上年标准成本!$C:$C,0),1),"")</f>
        <v/>
      </c>
      <c r="U674" s="126" t="str">
        <f t="shared" si="63"/>
        <v/>
      </c>
      <c r="V674" s="126" t="str">
        <f t="shared" si="64"/>
        <v/>
      </c>
      <c r="W674" s="124" t="str">
        <f t="shared" si="65"/>
        <v/>
      </c>
      <c r="X674" s="125" t="str">
        <f t="shared" si="60"/>
        <v/>
      </c>
    </row>
    <row r="675" spans="1:24" x14ac:dyDescent="0.3">
      <c r="A675" s="129"/>
      <c r="B675" s="129"/>
      <c r="C675" s="128"/>
      <c r="D675" s="128"/>
      <c r="E675" s="128"/>
      <c r="F675" s="166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6" t="str">
        <f t="shared" si="61"/>
        <v/>
      </c>
      <c r="S675" s="163" t="str">
        <f t="shared" si="62"/>
        <v/>
      </c>
      <c r="T675" s="160" t="str">
        <f>IFERROR(INDEX(上年标准成本!$I:$I,MATCH(K675,上年标准成本!$C:$C,0),1),"")</f>
        <v/>
      </c>
      <c r="U675" s="126" t="str">
        <f t="shared" si="63"/>
        <v/>
      </c>
      <c r="V675" s="126" t="str">
        <f t="shared" si="64"/>
        <v/>
      </c>
      <c r="W675" s="124" t="str">
        <f t="shared" si="65"/>
        <v/>
      </c>
      <c r="X675" s="125" t="str">
        <f t="shared" si="60"/>
        <v/>
      </c>
    </row>
    <row r="676" spans="1:24" x14ac:dyDescent="0.3">
      <c r="A676" s="129"/>
      <c r="B676" s="129"/>
      <c r="C676" s="128"/>
      <c r="D676" s="128"/>
      <c r="E676" s="128"/>
      <c r="F676" s="166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6" t="str">
        <f t="shared" si="61"/>
        <v/>
      </c>
      <c r="S676" s="163" t="str">
        <f t="shared" si="62"/>
        <v/>
      </c>
      <c r="T676" s="160" t="str">
        <f>IFERROR(INDEX(上年标准成本!$I:$I,MATCH(K676,上年标准成本!$C:$C,0),1),"")</f>
        <v/>
      </c>
      <c r="U676" s="126" t="str">
        <f t="shared" si="63"/>
        <v/>
      </c>
      <c r="V676" s="126" t="str">
        <f t="shared" si="64"/>
        <v/>
      </c>
      <c r="W676" s="124" t="str">
        <f t="shared" si="65"/>
        <v/>
      </c>
      <c r="X676" s="125" t="str">
        <f t="shared" si="60"/>
        <v/>
      </c>
    </row>
    <row r="677" spans="1:24" x14ac:dyDescent="0.3">
      <c r="A677" s="129"/>
      <c r="B677" s="129"/>
      <c r="C677" s="128"/>
      <c r="D677" s="128"/>
      <c r="E677" s="128"/>
      <c r="F677" s="166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6" t="str">
        <f t="shared" si="61"/>
        <v/>
      </c>
      <c r="S677" s="163" t="str">
        <f t="shared" si="62"/>
        <v/>
      </c>
      <c r="T677" s="160" t="str">
        <f>IFERROR(INDEX(上年标准成本!$I:$I,MATCH(K677,上年标准成本!$C:$C,0),1),"")</f>
        <v/>
      </c>
      <c r="U677" s="126" t="str">
        <f t="shared" si="63"/>
        <v/>
      </c>
      <c r="V677" s="126" t="str">
        <f t="shared" si="64"/>
        <v/>
      </c>
      <c r="W677" s="124" t="str">
        <f t="shared" si="65"/>
        <v/>
      </c>
      <c r="X677" s="125" t="str">
        <f t="shared" si="60"/>
        <v/>
      </c>
    </row>
    <row r="678" spans="1:24" x14ac:dyDescent="0.3">
      <c r="A678" s="129"/>
      <c r="B678" s="129"/>
      <c r="C678" s="128"/>
      <c r="D678" s="128"/>
      <c r="E678" s="128"/>
      <c r="F678" s="166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6" t="str">
        <f t="shared" si="61"/>
        <v/>
      </c>
      <c r="S678" s="163" t="str">
        <f t="shared" si="62"/>
        <v/>
      </c>
      <c r="T678" s="160" t="str">
        <f>IFERROR(INDEX(上年标准成本!$I:$I,MATCH(K678,上年标准成本!$C:$C,0),1),"")</f>
        <v/>
      </c>
      <c r="U678" s="126" t="str">
        <f t="shared" si="63"/>
        <v/>
      </c>
      <c r="V678" s="126" t="str">
        <f t="shared" si="64"/>
        <v/>
      </c>
      <c r="W678" s="124" t="str">
        <f t="shared" si="65"/>
        <v/>
      </c>
      <c r="X678" s="125" t="str">
        <f t="shared" si="60"/>
        <v/>
      </c>
    </row>
    <row r="679" spans="1:24" x14ac:dyDescent="0.3">
      <c r="A679" s="129"/>
      <c r="B679" s="129"/>
      <c r="C679" s="128"/>
      <c r="D679" s="128"/>
      <c r="E679" s="128"/>
      <c r="F679" s="166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6" t="str">
        <f t="shared" si="61"/>
        <v/>
      </c>
      <c r="S679" s="163" t="str">
        <f t="shared" si="62"/>
        <v/>
      </c>
      <c r="T679" s="160" t="str">
        <f>IFERROR(INDEX(上年标准成本!$I:$I,MATCH(K679,上年标准成本!$C:$C,0),1),"")</f>
        <v/>
      </c>
      <c r="U679" s="126" t="str">
        <f t="shared" si="63"/>
        <v/>
      </c>
      <c r="V679" s="126" t="str">
        <f t="shared" si="64"/>
        <v/>
      </c>
      <c r="W679" s="124" t="str">
        <f t="shared" si="65"/>
        <v/>
      </c>
      <c r="X679" s="125" t="str">
        <f t="shared" si="60"/>
        <v/>
      </c>
    </row>
    <row r="680" spans="1:24" x14ac:dyDescent="0.3">
      <c r="A680" s="129"/>
      <c r="B680" s="129"/>
      <c r="C680" s="128"/>
      <c r="D680" s="128"/>
      <c r="E680" s="128"/>
      <c r="F680" s="166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6" t="str">
        <f t="shared" si="61"/>
        <v/>
      </c>
      <c r="S680" s="163" t="str">
        <f t="shared" si="62"/>
        <v/>
      </c>
      <c r="T680" s="160" t="str">
        <f>IFERROR(INDEX(上年标准成本!$I:$I,MATCH(K680,上年标准成本!$C:$C,0),1),"")</f>
        <v/>
      </c>
      <c r="U680" s="126" t="str">
        <f t="shared" si="63"/>
        <v/>
      </c>
      <c r="V680" s="126" t="str">
        <f t="shared" si="64"/>
        <v/>
      </c>
      <c r="W680" s="124" t="str">
        <f t="shared" si="65"/>
        <v/>
      </c>
      <c r="X680" s="125" t="str">
        <f t="shared" si="60"/>
        <v/>
      </c>
    </row>
    <row r="681" spans="1:24" x14ac:dyDescent="0.3">
      <c r="A681" s="129"/>
      <c r="B681" s="129"/>
      <c r="C681" s="128"/>
      <c r="D681" s="128"/>
      <c r="E681" s="128"/>
      <c r="F681" s="166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6" t="str">
        <f t="shared" si="61"/>
        <v/>
      </c>
      <c r="S681" s="163" t="str">
        <f t="shared" si="62"/>
        <v/>
      </c>
      <c r="T681" s="160" t="str">
        <f>IFERROR(INDEX(上年标准成本!$I:$I,MATCH(K681,上年标准成本!$C:$C,0),1),"")</f>
        <v/>
      </c>
      <c r="U681" s="126" t="str">
        <f t="shared" si="63"/>
        <v/>
      </c>
      <c r="V681" s="126" t="str">
        <f t="shared" si="64"/>
        <v/>
      </c>
      <c r="W681" s="124" t="str">
        <f t="shared" si="65"/>
        <v/>
      </c>
      <c r="X681" s="125" t="str">
        <f t="shared" si="60"/>
        <v/>
      </c>
    </row>
    <row r="682" spans="1:24" x14ac:dyDescent="0.3">
      <c r="A682" s="129"/>
      <c r="B682" s="129"/>
      <c r="C682" s="128"/>
      <c r="D682" s="128"/>
      <c r="E682" s="128"/>
      <c r="F682" s="166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6" t="str">
        <f t="shared" si="61"/>
        <v/>
      </c>
      <c r="S682" s="163" t="str">
        <f t="shared" si="62"/>
        <v/>
      </c>
      <c r="T682" s="160" t="str">
        <f>IFERROR(INDEX(上年标准成本!$I:$I,MATCH(K682,上年标准成本!$C:$C,0),1),"")</f>
        <v/>
      </c>
      <c r="U682" s="126" t="str">
        <f t="shared" si="63"/>
        <v/>
      </c>
      <c r="V682" s="126" t="str">
        <f t="shared" si="64"/>
        <v/>
      </c>
      <c r="W682" s="124" t="str">
        <f t="shared" si="65"/>
        <v/>
      </c>
      <c r="X682" s="125" t="str">
        <f t="shared" si="60"/>
        <v/>
      </c>
    </row>
    <row r="683" spans="1:24" x14ac:dyDescent="0.3">
      <c r="A683" s="129"/>
      <c r="B683" s="129"/>
      <c r="C683" s="128"/>
      <c r="D683" s="128"/>
      <c r="E683" s="128"/>
      <c r="F683" s="166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6" t="str">
        <f t="shared" si="61"/>
        <v/>
      </c>
      <c r="S683" s="163" t="str">
        <f t="shared" si="62"/>
        <v/>
      </c>
      <c r="T683" s="160" t="str">
        <f>IFERROR(INDEX(上年标准成本!$I:$I,MATCH(K683,上年标准成本!$C:$C,0),1),"")</f>
        <v/>
      </c>
      <c r="U683" s="126" t="str">
        <f t="shared" si="63"/>
        <v/>
      </c>
      <c r="V683" s="126" t="str">
        <f t="shared" si="64"/>
        <v/>
      </c>
      <c r="W683" s="124" t="str">
        <f t="shared" si="65"/>
        <v/>
      </c>
      <c r="X683" s="125" t="str">
        <f t="shared" si="60"/>
        <v/>
      </c>
    </row>
    <row r="684" spans="1:24" x14ac:dyDescent="0.3">
      <c r="A684" s="129"/>
      <c r="B684" s="129"/>
      <c r="C684" s="128"/>
      <c r="D684" s="128"/>
      <c r="E684" s="128"/>
      <c r="F684" s="166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6" t="str">
        <f t="shared" si="61"/>
        <v/>
      </c>
      <c r="S684" s="163" t="str">
        <f t="shared" si="62"/>
        <v/>
      </c>
      <c r="T684" s="160" t="str">
        <f>IFERROR(INDEX(上年标准成本!$I:$I,MATCH(K684,上年标准成本!$C:$C,0),1),"")</f>
        <v/>
      </c>
      <c r="U684" s="126" t="str">
        <f t="shared" si="63"/>
        <v/>
      </c>
      <c r="V684" s="126" t="str">
        <f t="shared" si="64"/>
        <v/>
      </c>
      <c r="W684" s="124" t="str">
        <f t="shared" si="65"/>
        <v/>
      </c>
      <c r="X684" s="125" t="str">
        <f t="shared" si="60"/>
        <v/>
      </c>
    </row>
    <row r="685" spans="1:24" x14ac:dyDescent="0.3">
      <c r="A685" s="129"/>
      <c r="B685" s="129"/>
      <c r="C685" s="128"/>
      <c r="D685" s="128"/>
      <c r="E685" s="128"/>
      <c r="F685" s="166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6" t="str">
        <f t="shared" si="61"/>
        <v/>
      </c>
      <c r="S685" s="163" t="str">
        <f t="shared" si="62"/>
        <v/>
      </c>
      <c r="T685" s="160" t="str">
        <f>IFERROR(INDEX(上年标准成本!$I:$I,MATCH(K685,上年标准成本!$C:$C,0),1),"")</f>
        <v/>
      </c>
      <c r="U685" s="126" t="str">
        <f t="shared" si="63"/>
        <v/>
      </c>
      <c r="V685" s="126" t="str">
        <f t="shared" si="64"/>
        <v/>
      </c>
      <c r="W685" s="124" t="str">
        <f t="shared" si="65"/>
        <v/>
      </c>
      <c r="X685" s="125" t="str">
        <f t="shared" si="60"/>
        <v/>
      </c>
    </row>
    <row r="686" spans="1:24" x14ac:dyDescent="0.3">
      <c r="A686" s="129"/>
      <c r="B686" s="129"/>
      <c r="C686" s="128"/>
      <c r="D686" s="128"/>
      <c r="E686" s="128"/>
      <c r="F686" s="166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6" t="str">
        <f t="shared" si="61"/>
        <v/>
      </c>
      <c r="S686" s="163" t="str">
        <f t="shared" si="62"/>
        <v/>
      </c>
      <c r="T686" s="160" t="str">
        <f>IFERROR(INDEX(上年标准成本!$I:$I,MATCH(K686,上年标准成本!$C:$C,0),1),"")</f>
        <v/>
      </c>
      <c r="U686" s="126" t="str">
        <f t="shared" si="63"/>
        <v/>
      </c>
      <c r="V686" s="126" t="str">
        <f t="shared" si="64"/>
        <v/>
      </c>
      <c r="W686" s="124" t="str">
        <f t="shared" si="65"/>
        <v/>
      </c>
      <c r="X686" s="125" t="str">
        <f t="shared" si="60"/>
        <v/>
      </c>
    </row>
    <row r="687" spans="1:24" x14ac:dyDescent="0.3">
      <c r="A687" s="129"/>
      <c r="B687" s="129"/>
      <c r="C687" s="128"/>
      <c r="D687" s="128"/>
      <c r="E687" s="128"/>
      <c r="F687" s="166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6" t="str">
        <f t="shared" si="61"/>
        <v/>
      </c>
      <c r="S687" s="163" t="str">
        <f t="shared" si="62"/>
        <v/>
      </c>
      <c r="T687" s="160" t="str">
        <f>IFERROR(INDEX(上年标准成本!$I:$I,MATCH(K687,上年标准成本!$C:$C,0),1),"")</f>
        <v/>
      </c>
      <c r="U687" s="126" t="str">
        <f t="shared" si="63"/>
        <v/>
      </c>
      <c r="V687" s="126" t="str">
        <f t="shared" si="64"/>
        <v/>
      </c>
      <c r="W687" s="124" t="str">
        <f t="shared" si="65"/>
        <v/>
      </c>
      <c r="X687" s="125" t="str">
        <f t="shared" si="60"/>
        <v/>
      </c>
    </row>
    <row r="688" spans="1:24" x14ac:dyDescent="0.3">
      <c r="A688" s="129"/>
      <c r="B688" s="129"/>
      <c r="C688" s="128"/>
      <c r="D688" s="128"/>
      <c r="E688" s="128"/>
      <c r="F688" s="166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6" t="str">
        <f t="shared" si="61"/>
        <v/>
      </c>
      <c r="S688" s="163" t="str">
        <f t="shared" si="62"/>
        <v/>
      </c>
      <c r="T688" s="160" t="str">
        <f>IFERROR(INDEX(上年标准成本!$I:$I,MATCH(K688,上年标准成本!$C:$C,0),1),"")</f>
        <v/>
      </c>
      <c r="U688" s="126" t="str">
        <f t="shared" si="63"/>
        <v/>
      </c>
      <c r="V688" s="126" t="str">
        <f t="shared" si="64"/>
        <v/>
      </c>
      <c r="W688" s="124" t="str">
        <f t="shared" si="65"/>
        <v/>
      </c>
      <c r="X688" s="125" t="str">
        <f t="shared" si="60"/>
        <v/>
      </c>
    </row>
    <row r="689" spans="1:24" x14ac:dyDescent="0.3">
      <c r="A689" s="129"/>
      <c r="B689" s="129"/>
      <c r="C689" s="128"/>
      <c r="D689" s="128"/>
      <c r="E689" s="128"/>
      <c r="F689" s="166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6" t="str">
        <f t="shared" si="61"/>
        <v/>
      </c>
      <c r="S689" s="163" t="str">
        <f t="shared" si="62"/>
        <v/>
      </c>
      <c r="T689" s="160" t="str">
        <f>IFERROR(INDEX(上年标准成本!$I:$I,MATCH(K689,上年标准成本!$C:$C,0),1),"")</f>
        <v/>
      </c>
      <c r="U689" s="126" t="str">
        <f t="shared" si="63"/>
        <v/>
      </c>
      <c r="V689" s="126" t="str">
        <f t="shared" si="64"/>
        <v/>
      </c>
      <c r="W689" s="124" t="str">
        <f t="shared" si="65"/>
        <v/>
      </c>
      <c r="X689" s="125" t="str">
        <f t="shared" si="60"/>
        <v/>
      </c>
    </row>
    <row r="690" spans="1:24" x14ac:dyDescent="0.3">
      <c r="A690" s="129"/>
      <c r="B690" s="129"/>
      <c r="C690" s="128"/>
      <c r="D690" s="128"/>
      <c r="E690" s="128"/>
      <c r="F690" s="166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6" t="str">
        <f t="shared" si="61"/>
        <v/>
      </c>
      <c r="S690" s="163" t="str">
        <f t="shared" si="62"/>
        <v/>
      </c>
      <c r="T690" s="160" t="str">
        <f>IFERROR(INDEX(上年标准成本!$I:$I,MATCH(K690,上年标准成本!$C:$C,0),1),"")</f>
        <v/>
      </c>
      <c r="U690" s="126" t="str">
        <f t="shared" si="63"/>
        <v/>
      </c>
      <c r="V690" s="126" t="str">
        <f t="shared" si="64"/>
        <v/>
      </c>
      <c r="W690" s="124" t="str">
        <f t="shared" si="65"/>
        <v/>
      </c>
      <c r="X690" s="125" t="str">
        <f t="shared" si="60"/>
        <v/>
      </c>
    </row>
    <row r="691" spans="1:24" x14ac:dyDescent="0.3">
      <c r="A691" s="129"/>
      <c r="B691" s="129"/>
      <c r="C691" s="128"/>
      <c r="D691" s="128"/>
      <c r="E691" s="128"/>
      <c r="F691" s="166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6" t="str">
        <f t="shared" si="61"/>
        <v/>
      </c>
      <c r="S691" s="163" t="str">
        <f t="shared" si="62"/>
        <v/>
      </c>
      <c r="T691" s="160" t="str">
        <f>IFERROR(INDEX(上年标准成本!$I:$I,MATCH(K691,上年标准成本!$C:$C,0),1),"")</f>
        <v/>
      </c>
      <c r="U691" s="126" t="str">
        <f t="shared" si="63"/>
        <v/>
      </c>
      <c r="V691" s="126" t="str">
        <f t="shared" si="64"/>
        <v/>
      </c>
      <c r="W691" s="124" t="str">
        <f t="shared" si="65"/>
        <v/>
      </c>
      <c r="X691" s="125" t="str">
        <f t="shared" si="60"/>
        <v/>
      </c>
    </row>
    <row r="692" spans="1:24" x14ac:dyDescent="0.3">
      <c r="A692" s="129"/>
      <c r="B692" s="129"/>
      <c r="C692" s="128"/>
      <c r="D692" s="128"/>
      <c r="E692" s="128"/>
      <c r="F692" s="166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6" t="str">
        <f t="shared" si="61"/>
        <v/>
      </c>
      <c r="S692" s="163" t="str">
        <f t="shared" si="62"/>
        <v/>
      </c>
      <c r="T692" s="160" t="str">
        <f>IFERROR(INDEX(上年标准成本!$I:$I,MATCH(K692,上年标准成本!$C:$C,0),1),"")</f>
        <v/>
      </c>
      <c r="U692" s="126" t="str">
        <f t="shared" si="63"/>
        <v/>
      </c>
      <c r="V692" s="126" t="str">
        <f t="shared" si="64"/>
        <v/>
      </c>
      <c r="W692" s="124" t="str">
        <f t="shared" si="65"/>
        <v/>
      </c>
      <c r="X692" s="125" t="str">
        <f t="shared" si="60"/>
        <v/>
      </c>
    </row>
    <row r="693" spans="1:24" x14ac:dyDescent="0.3">
      <c r="A693" s="129"/>
      <c r="B693" s="129"/>
      <c r="C693" s="128"/>
      <c r="D693" s="128"/>
      <c r="E693" s="128"/>
      <c r="F693" s="166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6" t="str">
        <f t="shared" si="61"/>
        <v/>
      </c>
      <c r="S693" s="163" t="str">
        <f t="shared" si="62"/>
        <v/>
      </c>
      <c r="T693" s="160" t="str">
        <f>IFERROR(INDEX(上年标准成本!$I:$I,MATCH(K693,上年标准成本!$C:$C,0),1),"")</f>
        <v/>
      </c>
      <c r="U693" s="126" t="str">
        <f t="shared" si="63"/>
        <v/>
      </c>
      <c r="V693" s="126" t="str">
        <f t="shared" si="64"/>
        <v/>
      </c>
      <c r="W693" s="124" t="str">
        <f t="shared" si="65"/>
        <v/>
      </c>
      <c r="X693" s="125" t="str">
        <f t="shared" si="60"/>
        <v/>
      </c>
    </row>
    <row r="694" spans="1:24" x14ac:dyDescent="0.3">
      <c r="A694" s="129"/>
      <c r="B694" s="129"/>
      <c r="C694" s="128"/>
      <c r="D694" s="128"/>
      <c r="E694" s="128"/>
      <c r="F694" s="166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6" t="str">
        <f t="shared" si="61"/>
        <v/>
      </c>
      <c r="S694" s="163" t="str">
        <f t="shared" si="62"/>
        <v/>
      </c>
      <c r="T694" s="160" t="str">
        <f>IFERROR(INDEX(上年标准成本!$I:$I,MATCH(K694,上年标准成本!$C:$C,0),1),"")</f>
        <v/>
      </c>
      <c r="U694" s="126" t="str">
        <f t="shared" si="63"/>
        <v/>
      </c>
      <c r="V694" s="126" t="str">
        <f t="shared" si="64"/>
        <v/>
      </c>
      <c r="W694" s="124" t="str">
        <f t="shared" si="65"/>
        <v/>
      </c>
      <c r="X694" s="125" t="str">
        <f t="shared" si="60"/>
        <v/>
      </c>
    </row>
    <row r="695" spans="1:24" x14ac:dyDescent="0.3">
      <c r="A695" s="129"/>
      <c r="B695" s="129"/>
      <c r="C695" s="128"/>
      <c r="D695" s="128"/>
      <c r="E695" s="128"/>
      <c r="F695" s="166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6" t="str">
        <f t="shared" si="61"/>
        <v/>
      </c>
      <c r="S695" s="163" t="str">
        <f t="shared" si="62"/>
        <v/>
      </c>
      <c r="T695" s="160" t="str">
        <f>IFERROR(INDEX(上年标准成本!$I:$I,MATCH(K695,上年标准成本!$C:$C,0),1),"")</f>
        <v/>
      </c>
      <c r="U695" s="126" t="str">
        <f t="shared" si="63"/>
        <v/>
      </c>
      <c r="V695" s="126" t="str">
        <f t="shared" si="64"/>
        <v/>
      </c>
      <c r="W695" s="124" t="str">
        <f t="shared" si="65"/>
        <v/>
      </c>
      <c r="X695" s="125" t="str">
        <f t="shared" si="60"/>
        <v/>
      </c>
    </row>
    <row r="696" spans="1:24" x14ac:dyDescent="0.3">
      <c r="A696" s="129"/>
      <c r="B696" s="129"/>
      <c r="C696" s="128"/>
      <c r="D696" s="128"/>
      <c r="E696" s="128"/>
      <c r="F696" s="166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6" t="str">
        <f t="shared" si="61"/>
        <v/>
      </c>
      <c r="S696" s="163" t="str">
        <f t="shared" si="62"/>
        <v/>
      </c>
      <c r="T696" s="160" t="str">
        <f>IFERROR(INDEX(上年标准成本!$I:$I,MATCH(K696,上年标准成本!$C:$C,0),1),"")</f>
        <v/>
      </c>
      <c r="U696" s="126" t="str">
        <f t="shared" si="63"/>
        <v/>
      </c>
      <c r="V696" s="126" t="str">
        <f t="shared" si="64"/>
        <v/>
      </c>
      <c r="W696" s="124" t="str">
        <f t="shared" si="65"/>
        <v/>
      </c>
      <c r="X696" s="125" t="str">
        <f t="shared" si="60"/>
        <v/>
      </c>
    </row>
    <row r="697" spans="1:24" x14ac:dyDescent="0.3">
      <c r="A697" s="129"/>
      <c r="B697" s="129"/>
      <c r="C697" s="128"/>
      <c r="D697" s="128"/>
      <c r="E697" s="128"/>
      <c r="F697" s="166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6" t="str">
        <f t="shared" si="61"/>
        <v/>
      </c>
      <c r="S697" s="163" t="str">
        <f t="shared" si="62"/>
        <v/>
      </c>
      <c r="T697" s="160" t="str">
        <f>IFERROR(INDEX(上年标准成本!$I:$I,MATCH(K697,上年标准成本!$C:$C,0),1),"")</f>
        <v/>
      </c>
      <c r="U697" s="126" t="str">
        <f t="shared" si="63"/>
        <v/>
      </c>
      <c r="V697" s="126" t="str">
        <f t="shared" si="64"/>
        <v/>
      </c>
      <c r="W697" s="124" t="str">
        <f t="shared" si="65"/>
        <v/>
      </c>
      <c r="X697" s="125" t="str">
        <f t="shared" si="60"/>
        <v/>
      </c>
    </row>
    <row r="698" spans="1:24" x14ac:dyDescent="0.3">
      <c r="A698" s="129"/>
      <c r="B698" s="129"/>
      <c r="C698" s="128"/>
      <c r="D698" s="128"/>
      <c r="E698" s="128"/>
      <c r="F698" s="166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6" t="str">
        <f t="shared" si="61"/>
        <v/>
      </c>
      <c r="S698" s="163" t="str">
        <f t="shared" si="62"/>
        <v/>
      </c>
      <c r="T698" s="160" t="str">
        <f>IFERROR(INDEX(上年标准成本!$I:$I,MATCH(K698,上年标准成本!$C:$C,0),1),"")</f>
        <v/>
      </c>
      <c r="U698" s="126" t="str">
        <f t="shared" si="63"/>
        <v/>
      </c>
      <c r="V698" s="126" t="str">
        <f t="shared" si="64"/>
        <v/>
      </c>
      <c r="W698" s="124" t="str">
        <f t="shared" si="65"/>
        <v/>
      </c>
      <c r="X698" s="125" t="str">
        <f t="shared" si="60"/>
        <v/>
      </c>
    </row>
    <row r="699" spans="1:24" x14ac:dyDescent="0.3">
      <c r="A699" s="129"/>
      <c r="B699" s="129"/>
      <c r="C699" s="128"/>
      <c r="D699" s="128"/>
      <c r="E699" s="128"/>
      <c r="F699" s="166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6" t="str">
        <f t="shared" si="61"/>
        <v/>
      </c>
      <c r="S699" s="163" t="str">
        <f t="shared" si="62"/>
        <v/>
      </c>
      <c r="T699" s="160" t="str">
        <f>IFERROR(INDEX(上年标准成本!$I:$I,MATCH(K699,上年标准成本!$C:$C,0),1),"")</f>
        <v/>
      </c>
      <c r="U699" s="126" t="str">
        <f t="shared" si="63"/>
        <v/>
      </c>
      <c r="V699" s="126" t="str">
        <f t="shared" si="64"/>
        <v/>
      </c>
      <c r="W699" s="124" t="str">
        <f t="shared" si="65"/>
        <v/>
      </c>
      <c r="X699" s="125" t="str">
        <f t="shared" si="60"/>
        <v/>
      </c>
    </row>
    <row r="700" spans="1:24" x14ac:dyDescent="0.3">
      <c r="A700" s="129"/>
      <c r="B700" s="129"/>
      <c r="C700" s="128"/>
      <c r="D700" s="128"/>
      <c r="E700" s="128"/>
      <c r="F700" s="166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6" t="str">
        <f t="shared" si="61"/>
        <v/>
      </c>
      <c r="S700" s="163" t="str">
        <f t="shared" si="62"/>
        <v/>
      </c>
      <c r="T700" s="160" t="str">
        <f>IFERROR(INDEX(上年标准成本!$I:$I,MATCH(K700,上年标准成本!$C:$C,0),1),"")</f>
        <v/>
      </c>
      <c r="U700" s="126" t="str">
        <f t="shared" si="63"/>
        <v/>
      </c>
      <c r="V700" s="126" t="str">
        <f t="shared" si="64"/>
        <v/>
      </c>
      <c r="W700" s="124" t="str">
        <f t="shared" si="65"/>
        <v/>
      </c>
      <c r="X700" s="125" t="str">
        <f t="shared" si="60"/>
        <v/>
      </c>
    </row>
    <row r="701" spans="1:24" x14ac:dyDescent="0.3">
      <c r="A701" s="129"/>
      <c r="B701" s="129"/>
      <c r="C701" s="128"/>
      <c r="D701" s="128"/>
      <c r="E701" s="128"/>
      <c r="F701" s="166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6" t="str">
        <f t="shared" si="61"/>
        <v/>
      </c>
      <c r="S701" s="163" t="str">
        <f t="shared" si="62"/>
        <v/>
      </c>
      <c r="T701" s="160" t="str">
        <f>IFERROR(INDEX(上年标准成本!$I:$I,MATCH(K701,上年标准成本!$C:$C,0),1),"")</f>
        <v/>
      </c>
      <c r="U701" s="126" t="str">
        <f t="shared" si="63"/>
        <v/>
      </c>
      <c r="V701" s="126" t="str">
        <f t="shared" si="64"/>
        <v/>
      </c>
      <c r="W701" s="124" t="str">
        <f t="shared" si="65"/>
        <v/>
      </c>
      <c r="X701" s="125" t="str">
        <f t="shared" si="60"/>
        <v/>
      </c>
    </row>
    <row r="702" spans="1:24" x14ac:dyDescent="0.3">
      <c r="A702" s="129"/>
      <c r="B702" s="129"/>
      <c r="C702" s="128"/>
      <c r="D702" s="128"/>
      <c r="E702" s="128"/>
      <c r="F702" s="166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6" t="str">
        <f t="shared" si="61"/>
        <v/>
      </c>
      <c r="S702" s="163" t="str">
        <f t="shared" si="62"/>
        <v/>
      </c>
      <c r="T702" s="160" t="str">
        <f>IFERROR(INDEX(上年标准成本!$I:$I,MATCH(K702,上年标准成本!$C:$C,0),1),"")</f>
        <v/>
      </c>
      <c r="U702" s="126" t="str">
        <f t="shared" si="63"/>
        <v/>
      </c>
      <c r="V702" s="126" t="str">
        <f t="shared" si="64"/>
        <v/>
      </c>
      <c r="W702" s="124" t="str">
        <f t="shared" si="65"/>
        <v/>
      </c>
      <c r="X702" s="125" t="str">
        <f t="shared" si="60"/>
        <v/>
      </c>
    </row>
    <row r="703" spans="1:24" x14ac:dyDescent="0.3">
      <c r="A703" s="129"/>
      <c r="B703" s="129"/>
      <c r="C703" s="128"/>
      <c r="D703" s="128"/>
      <c r="E703" s="128"/>
      <c r="F703" s="166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6" t="str">
        <f t="shared" si="61"/>
        <v/>
      </c>
      <c r="S703" s="163" t="str">
        <f t="shared" si="62"/>
        <v/>
      </c>
      <c r="T703" s="160" t="str">
        <f>IFERROR(INDEX(上年标准成本!$I:$I,MATCH(K703,上年标准成本!$C:$C,0),1),"")</f>
        <v/>
      </c>
      <c r="U703" s="126" t="str">
        <f t="shared" si="63"/>
        <v/>
      </c>
      <c r="V703" s="126" t="str">
        <f t="shared" si="64"/>
        <v/>
      </c>
      <c r="W703" s="124" t="str">
        <f t="shared" si="65"/>
        <v/>
      </c>
      <c r="X703" s="125" t="str">
        <f t="shared" si="60"/>
        <v/>
      </c>
    </row>
    <row r="704" spans="1:24" x14ac:dyDescent="0.3">
      <c r="A704" s="129"/>
      <c r="B704" s="129"/>
      <c r="C704" s="128"/>
      <c r="D704" s="128"/>
      <c r="E704" s="128"/>
      <c r="F704" s="166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6" t="str">
        <f t="shared" si="61"/>
        <v/>
      </c>
      <c r="S704" s="163" t="str">
        <f t="shared" si="62"/>
        <v/>
      </c>
      <c r="T704" s="160" t="str">
        <f>IFERROR(INDEX(上年标准成本!$I:$I,MATCH(K704,上年标准成本!$C:$C,0),1),"")</f>
        <v/>
      </c>
      <c r="U704" s="126" t="str">
        <f t="shared" si="63"/>
        <v/>
      </c>
      <c r="V704" s="126" t="str">
        <f t="shared" si="64"/>
        <v/>
      </c>
      <c r="W704" s="124" t="str">
        <f t="shared" si="65"/>
        <v/>
      </c>
      <c r="X704" s="125" t="str">
        <f t="shared" si="60"/>
        <v/>
      </c>
    </row>
    <row r="705" spans="1:24" x14ac:dyDescent="0.3">
      <c r="A705" s="129"/>
      <c r="B705" s="129"/>
      <c r="C705" s="128"/>
      <c r="D705" s="128"/>
      <c r="E705" s="128"/>
      <c r="F705" s="166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6" t="str">
        <f t="shared" si="61"/>
        <v/>
      </c>
      <c r="S705" s="163" t="str">
        <f t="shared" si="62"/>
        <v/>
      </c>
      <c r="T705" s="160" t="str">
        <f>IFERROR(INDEX(上年标准成本!$I:$I,MATCH(K705,上年标准成本!$C:$C,0),1),"")</f>
        <v/>
      </c>
      <c r="U705" s="126" t="str">
        <f t="shared" si="63"/>
        <v/>
      </c>
      <c r="V705" s="126" t="str">
        <f t="shared" si="64"/>
        <v/>
      </c>
      <c r="W705" s="124" t="str">
        <f t="shared" si="65"/>
        <v/>
      </c>
      <c r="X705" s="125" t="str">
        <f t="shared" si="60"/>
        <v/>
      </c>
    </row>
    <row r="706" spans="1:24" x14ac:dyDescent="0.3">
      <c r="A706" s="129"/>
      <c r="B706" s="129"/>
      <c r="C706" s="128"/>
      <c r="D706" s="128"/>
      <c r="E706" s="128"/>
      <c r="F706" s="166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6" t="str">
        <f t="shared" si="61"/>
        <v/>
      </c>
      <c r="S706" s="163" t="str">
        <f t="shared" si="62"/>
        <v/>
      </c>
      <c r="T706" s="160" t="str">
        <f>IFERROR(INDEX(上年标准成本!$I:$I,MATCH(K706,上年标准成本!$C:$C,0),1),"")</f>
        <v/>
      </c>
      <c r="U706" s="126" t="str">
        <f t="shared" si="63"/>
        <v/>
      </c>
      <c r="V706" s="126" t="str">
        <f t="shared" si="64"/>
        <v/>
      </c>
      <c r="W706" s="124" t="str">
        <f t="shared" si="65"/>
        <v/>
      </c>
      <c r="X706" s="125" t="str">
        <f t="shared" ref="X706:X769" si="66">IFERROR(IF(W706/SUM(W:W)=0,"",W706/SUM(W:W)),"")</f>
        <v/>
      </c>
    </row>
    <row r="707" spans="1:24" x14ac:dyDescent="0.3">
      <c r="A707" s="129"/>
      <c r="B707" s="129"/>
      <c r="C707" s="128"/>
      <c r="D707" s="128"/>
      <c r="E707" s="128"/>
      <c r="F707" s="166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6" t="str">
        <f t="shared" ref="R707:R770" si="67">IFERROR(P707/O707,"")</f>
        <v/>
      </c>
      <c r="S707" s="163" t="str">
        <f t="shared" ref="S707:S770" si="68">IFERROR(R707*(1+Q707),"")</f>
        <v/>
      </c>
      <c r="T707" s="160" t="str">
        <f>IFERROR(INDEX(上年标准成本!$I:$I,MATCH(K707,上年标准成本!$C:$C,0),1),"")</f>
        <v/>
      </c>
      <c r="U707" s="126" t="str">
        <f t="shared" ref="U707:U770" si="69">IFERROR(O707*T707,"")</f>
        <v/>
      </c>
      <c r="V707" s="126" t="str">
        <f t="shared" ref="V707:V770" si="70">IFERROR(P707-U707,"")</f>
        <v/>
      </c>
      <c r="W707" s="124" t="str">
        <f t="shared" ref="W707:W770" si="71">IFERROR(V707/P707,"")</f>
        <v/>
      </c>
      <c r="X707" s="125" t="str">
        <f t="shared" si="66"/>
        <v/>
      </c>
    </row>
    <row r="708" spans="1:24" x14ac:dyDescent="0.3">
      <c r="A708" s="129"/>
      <c r="B708" s="129"/>
      <c r="C708" s="128"/>
      <c r="D708" s="128"/>
      <c r="E708" s="128"/>
      <c r="F708" s="166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6" t="str">
        <f t="shared" si="67"/>
        <v/>
      </c>
      <c r="S708" s="163" t="str">
        <f t="shared" si="68"/>
        <v/>
      </c>
      <c r="T708" s="160" t="str">
        <f>IFERROR(INDEX(上年标准成本!$I:$I,MATCH(K708,上年标准成本!$C:$C,0),1),"")</f>
        <v/>
      </c>
      <c r="U708" s="126" t="str">
        <f t="shared" si="69"/>
        <v/>
      </c>
      <c r="V708" s="126" t="str">
        <f t="shared" si="70"/>
        <v/>
      </c>
      <c r="W708" s="124" t="str">
        <f t="shared" si="71"/>
        <v/>
      </c>
      <c r="X708" s="125" t="str">
        <f t="shared" si="66"/>
        <v/>
      </c>
    </row>
    <row r="709" spans="1:24" x14ac:dyDescent="0.3">
      <c r="A709" s="129"/>
      <c r="B709" s="129"/>
      <c r="C709" s="128"/>
      <c r="D709" s="128"/>
      <c r="E709" s="128"/>
      <c r="F709" s="166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6" t="str">
        <f t="shared" si="67"/>
        <v/>
      </c>
      <c r="S709" s="163" t="str">
        <f t="shared" si="68"/>
        <v/>
      </c>
      <c r="T709" s="160" t="str">
        <f>IFERROR(INDEX(上年标准成本!$I:$I,MATCH(K709,上年标准成本!$C:$C,0),1),"")</f>
        <v/>
      </c>
      <c r="U709" s="126" t="str">
        <f t="shared" si="69"/>
        <v/>
      </c>
      <c r="V709" s="126" t="str">
        <f t="shared" si="70"/>
        <v/>
      </c>
      <c r="W709" s="124" t="str">
        <f t="shared" si="71"/>
        <v/>
      </c>
      <c r="X709" s="125" t="str">
        <f t="shared" si="66"/>
        <v/>
      </c>
    </row>
    <row r="710" spans="1:24" x14ac:dyDescent="0.3">
      <c r="A710" s="129"/>
      <c r="B710" s="129"/>
      <c r="C710" s="128"/>
      <c r="D710" s="128"/>
      <c r="E710" s="128"/>
      <c r="F710" s="166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6" t="str">
        <f t="shared" si="67"/>
        <v/>
      </c>
      <c r="S710" s="163" t="str">
        <f t="shared" si="68"/>
        <v/>
      </c>
      <c r="T710" s="160" t="str">
        <f>IFERROR(INDEX(上年标准成本!$I:$I,MATCH(K710,上年标准成本!$C:$C,0),1),"")</f>
        <v/>
      </c>
      <c r="U710" s="126" t="str">
        <f t="shared" si="69"/>
        <v/>
      </c>
      <c r="V710" s="126" t="str">
        <f t="shared" si="70"/>
        <v/>
      </c>
      <c r="W710" s="124" t="str">
        <f t="shared" si="71"/>
        <v/>
      </c>
      <c r="X710" s="125" t="str">
        <f t="shared" si="66"/>
        <v/>
      </c>
    </row>
    <row r="711" spans="1:24" x14ac:dyDescent="0.3">
      <c r="A711" s="129"/>
      <c r="B711" s="129"/>
      <c r="C711" s="128"/>
      <c r="D711" s="128"/>
      <c r="E711" s="128"/>
      <c r="F711" s="166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6" t="str">
        <f t="shared" si="67"/>
        <v/>
      </c>
      <c r="S711" s="163" t="str">
        <f t="shared" si="68"/>
        <v/>
      </c>
      <c r="T711" s="160" t="str">
        <f>IFERROR(INDEX(上年标准成本!$I:$I,MATCH(K711,上年标准成本!$C:$C,0),1),"")</f>
        <v/>
      </c>
      <c r="U711" s="126" t="str">
        <f t="shared" si="69"/>
        <v/>
      </c>
      <c r="V711" s="126" t="str">
        <f t="shared" si="70"/>
        <v/>
      </c>
      <c r="W711" s="124" t="str">
        <f t="shared" si="71"/>
        <v/>
      </c>
      <c r="X711" s="125" t="str">
        <f t="shared" si="66"/>
        <v/>
      </c>
    </row>
    <row r="712" spans="1:24" x14ac:dyDescent="0.3">
      <c r="A712" s="129"/>
      <c r="B712" s="129"/>
      <c r="C712" s="128"/>
      <c r="D712" s="128"/>
      <c r="E712" s="128"/>
      <c r="F712" s="166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6" t="str">
        <f t="shared" si="67"/>
        <v/>
      </c>
      <c r="S712" s="163" t="str">
        <f t="shared" si="68"/>
        <v/>
      </c>
      <c r="T712" s="160" t="str">
        <f>IFERROR(INDEX(上年标准成本!$I:$I,MATCH(K712,上年标准成本!$C:$C,0),1),"")</f>
        <v/>
      </c>
      <c r="U712" s="126" t="str">
        <f t="shared" si="69"/>
        <v/>
      </c>
      <c r="V712" s="126" t="str">
        <f t="shared" si="70"/>
        <v/>
      </c>
      <c r="W712" s="124" t="str">
        <f t="shared" si="71"/>
        <v/>
      </c>
      <c r="X712" s="125" t="str">
        <f t="shared" si="66"/>
        <v/>
      </c>
    </row>
    <row r="713" spans="1:24" x14ac:dyDescent="0.3">
      <c r="A713" s="129"/>
      <c r="B713" s="129"/>
      <c r="C713" s="128"/>
      <c r="D713" s="128"/>
      <c r="E713" s="128"/>
      <c r="F713" s="166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6" t="str">
        <f t="shared" si="67"/>
        <v/>
      </c>
      <c r="S713" s="163" t="str">
        <f t="shared" si="68"/>
        <v/>
      </c>
      <c r="T713" s="160" t="str">
        <f>IFERROR(INDEX(上年标准成本!$I:$I,MATCH(K713,上年标准成本!$C:$C,0),1),"")</f>
        <v/>
      </c>
      <c r="U713" s="126" t="str">
        <f t="shared" si="69"/>
        <v/>
      </c>
      <c r="V713" s="126" t="str">
        <f t="shared" si="70"/>
        <v/>
      </c>
      <c r="W713" s="124" t="str">
        <f t="shared" si="71"/>
        <v/>
      </c>
      <c r="X713" s="125" t="str">
        <f t="shared" si="66"/>
        <v/>
      </c>
    </row>
    <row r="714" spans="1:24" x14ac:dyDescent="0.3">
      <c r="A714" s="129"/>
      <c r="B714" s="129"/>
      <c r="C714" s="128"/>
      <c r="D714" s="128"/>
      <c r="E714" s="128"/>
      <c r="F714" s="166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6" t="str">
        <f t="shared" si="67"/>
        <v/>
      </c>
      <c r="S714" s="163" t="str">
        <f t="shared" si="68"/>
        <v/>
      </c>
      <c r="T714" s="160" t="str">
        <f>IFERROR(INDEX(上年标准成本!$I:$I,MATCH(K714,上年标准成本!$C:$C,0),1),"")</f>
        <v/>
      </c>
      <c r="U714" s="126" t="str">
        <f t="shared" si="69"/>
        <v/>
      </c>
      <c r="V714" s="126" t="str">
        <f t="shared" si="70"/>
        <v/>
      </c>
      <c r="W714" s="124" t="str">
        <f t="shared" si="71"/>
        <v/>
      </c>
      <c r="X714" s="125" t="str">
        <f t="shared" si="66"/>
        <v/>
      </c>
    </row>
    <row r="715" spans="1:24" x14ac:dyDescent="0.3">
      <c r="A715" s="129"/>
      <c r="B715" s="129"/>
      <c r="C715" s="128"/>
      <c r="D715" s="128"/>
      <c r="E715" s="128"/>
      <c r="F715" s="166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6" t="str">
        <f t="shared" si="67"/>
        <v/>
      </c>
      <c r="S715" s="163" t="str">
        <f t="shared" si="68"/>
        <v/>
      </c>
      <c r="T715" s="160" t="str">
        <f>IFERROR(INDEX(上年标准成本!$I:$I,MATCH(K715,上年标准成本!$C:$C,0),1),"")</f>
        <v/>
      </c>
      <c r="U715" s="126" t="str">
        <f t="shared" si="69"/>
        <v/>
      </c>
      <c r="V715" s="126" t="str">
        <f t="shared" si="70"/>
        <v/>
      </c>
      <c r="W715" s="124" t="str">
        <f t="shared" si="71"/>
        <v/>
      </c>
      <c r="X715" s="125" t="str">
        <f t="shared" si="66"/>
        <v/>
      </c>
    </row>
    <row r="716" spans="1:24" x14ac:dyDescent="0.3">
      <c r="A716" s="129"/>
      <c r="B716" s="129"/>
      <c r="C716" s="128"/>
      <c r="D716" s="128"/>
      <c r="E716" s="128"/>
      <c r="F716" s="166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6" t="str">
        <f t="shared" si="67"/>
        <v/>
      </c>
      <c r="S716" s="163" t="str">
        <f t="shared" si="68"/>
        <v/>
      </c>
      <c r="T716" s="160" t="str">
        <f>IFERROR(INDEX(上年标准成本!$I:$I,MATCH(K716,上年标准成本!$C:$C,0),1),"")</f>
        <v/>
      </c>
      <c r="U716" s="126" t="str">
        <f t="shared" si="69"/>
        <v/>
      </c>
      <c r="V716" s="126" t="str">
        <f t="shared" si="70"/>
        <v/>
      </c>
      <c r="W716" s="124" t="str">
        <f t="shared" si="71"/>
        <v/>
      </c>
      <c r="X716" s="125" t="str">
        <f t="shared" si="66"/>
        <v/>
      </c>
    </row>
    <row r="717" spans="1:24" x14ac:dyDescent="0.3">
      <c r="A717" s="129"/>
      <c r="B717" s="129"/>
      <c r="C717" s="128"/>
      <c r="D717" s="128"/>
      <c r="E717" s="128"/>
      <c r="F717" s="166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6" t="str">
        <f t="shared" si="67"/>
        <v/>
      </c>
      <c r="S717" s="163" t="str">
        <f t="shared" si="68"/>
        <v/>
      </c>
      <c r="T717" s="160" t="str">
        <f>IFERROR(INDEX(上年标准成本!$I:$I,MATCH(K717,上年标准成本!$C:$C,0),1),"")</f>
        <v/>
      </c>
      <c r="U717" s="126" t="str">
        <f t="shared" si="69"/>
        <v/>
      </c>
      <c r="V717" s="126" t="str">
        <f t="shared" si="70"/>
        <v/>
      </c>
      <c r="W717" s="124" t="str">
        <f t="shared" si="71"/>
        <v/>
      </c>
      <c r="X717" s="125" t="str">
        <f t="shared" si="66"/>
        <v/>
      </c>
    </row>
    <row r="718" spans="1:24" x14ac:dyDescent="0.3">
      <c r="A718" s="129"/>
      <c r="B718" s="129"/>
      <c r="C718" s="128"/>
      <c r="D718" s="128"/>
      <c r="E718" s="128"/>
      <c r="F718" s="166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6" t="str">
        <f t="shared" si="67"/>
        <v/>
      </c>
      <c r="S718" s="163" t="str">
        <f t="shared" si="68"/>
        <v/>
      </c>
      <c r="T718" s="160" t="str">
        <f>IFERROR(INDEX(上年标准成本!$I:$I,MATCH(K718,上年标准成本!$C:$C,0),1),"")</f>
        <v/>
      </c>
      <c r="U718" s="126" t="str">
        <f t="shared" si="69"/>
        <v/>
      </c>
      <c r="V718" s="126" t="str">
        <f t="shared" si="70"/>
        <v/>
      </c>
      <c r="W718" s="124" t="str">
        <f t="shared" si="71"/>
        <v/>
      </c>
      <c r="X718" s="125" t="str">
        <f t="shared" si="66"/>
        <v/>
      </c>
    </row>
    <row r="719" spans="1:24" x14ac:dyDescent="0.3">
      <c r="A719" s="129"/>
      <c r="B719" s="129"/>
      <c r="C719" s="128"/>
      <c r="D719" s="128"/>
      <c r="E719" s="128"/>
      <c r="F719" s="166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6" t="str">
        <f t="shared" si="67"/>
        <v/>
      </c>
      <c r="S719" s="163" t="str">
        <f t="shared" si="68"/>
        <v/>
      </c>
      <c r="T719" s="160" t="str">
        <f>IFERROR(INDEX(上年标准成本!$I:$I,MATCH(K719,上年标准成本!$C:$C,0),1),"")</f>
        <v/>
      </c>
      <c r="U719" s="126" t="str">
        <f t="shared" si="69"/>
        <v/>
      </c>
      <c r="V719" s="126" t="str">
        <f t="shared" si="70"/>
        <v/>
      </c>
      <c r="W719" s="124" t="str">
        <f t="shared" si="71"/>
        <v/>
      </c>
      <c r="X719" s="125" t="str">
        <f t="shared" si="66"/>
        <v/>
      </c>
    </row>
    <row r="720" spans="1:24" x14ac:dyDescent="0.3">
      <c r="A720" s="129"/>
      <c r="B720" s="129"/>
      <c r="C720" s="128"/>
      <c r="D720" s="128"/>
      <c r="E720" s="128"/>
      <c r="F720" s="166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6" t="str">
        <f t="shared" si="67"/>
        <v/>
      </c>
      <c r="S720" s="163" t="str">
        <f t="shared" si="68"/>
        <v/>
      </c>
      <c r="T720" s="160" t="str">
        <f>IFERROR(INDEX(上年标准成本!$I:$I,MATCH(K720,上年标准成本!$C:$C,0),1),"")</f>
        <v/>
      </c>
      <c r="U720" s="126" t="str">
        <f t="shared" si="69"/>
        <v/>
      </c>
      <c r="V720" s="126" t="str">
        <f t="shared" si="70"/>
        <v/>
      </c>
      <c r="W720" s="124" t="str">
        <f t="shared" si="71"/>
        <v/>
      </c>
      <c r="X720" s="125" t="str">
        <f t="shared" si="66"/>
        <v/>
      </c>
    </row>
    <row r="721" spans="1:24" x14ac:dyDescent="0.3">
      <c r="A721" s="129"/>
      <c r="B721" s="129"/>
      <c r="C721" s="128"/>
      <c r="D721" s="128"/>
      <c r="E721" s="128"/>
      <c r="F721" s="166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6" t="str">
        <f t="shared" si="67"/>
        <v/>
      </c>
      <c r="S721" s="163" t="str">
        <f t="shared" si="68"/>
        <v/>
      </c>
      <c r="T721" s="160" t="str">
        <f>IFERROR(INDEX(上年标准成本!$I:$I,MATCH(K721,上年标准成本!$C:$C,0),1),"")</f>
        <v/>
      </c>
      <c r="U721" s="126" t="str">
        <f t="shared" si="69"/>
        <v/>
      </c>
      <c r="V721" s="126" t="str">
        <f t="shared" si="70"/>
        <v/>
      </c>
      <c r="W721" s="124" t="str">
        <f t="shared" si="71"/>
        <v/>
      </c>
      <c r="X721" s="125" t="str">
        <f t="shared" si="66"/>
        <v/>
      </c>
    </row>
    <row r="722" spans="1:24" x14ac:dyDescent="0.3">
      <c r="A722" s="129"/>
      <c r="B722" s="129"/>
      <c r="C722" s="128"/>
      <c r="D722" s="128"/>
      <c r="E722" s="128"/>
      <c r="F722" s="166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6" t="str">
        <f t="shared" si="67"/>
        <v/>
      </c>
      <c r="S722" s="163" t="str">
        <f t="shared" si="68"/>
        <v/>
      </c>
      <c r="T722" s="160" t="str">
        <f>IFERROR(INDEX(上年标准成本!$I:$I,MATCH(K722,上年标准成本!$C:$C,0),1),"")</f>
        <v/>
      </c>
      <c r="U722" s="126" t="str">
        <f t="shared" si="69"/>
        <v/>
      </c>
      <c r="V722" s="126" t="str">
        <f t="shared" si="70"/>
        <v/>
      </c>
      <c r="W722" s="124" t="str">
        <f t="shared" si="71"/>
        <v/>
      </c>
      <c r="X722" s="125" t="str">
        <f t="shared" si="66"/>
        <v/>
      </c>
    </row>
    <row r="723" spans="1:24" x14ac:dyDescent="0.3">
      <c r="A723" s="129"/>
      <c r="B723" s="129"/>
      <c r="C723" s="128"/>
      <c r="D723" s="128"/>
      <c r="E723" s="128"/>
      <c r="F723" s="166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6" t="str">
        <f t="shared" si="67"/>
        <v/>
      </c>
      <c r="S723" s="163" t="str">
        <f t="shared" si="68"/>
        <v/>
      </c>
      <c r="T723" s="160" t="str">
        <f>IFERROR(INDEX(上年标准成本!$I:$I,MATCH(K723,上年标准成本!$C:$C,0),1),"")</f>
        <v/>
      </c>
      <c r="U723" s="126" t="str">
        <f t="shared" si="69"/>
        <v/>
      </c>
      <c r="V723" s="126" t="str">
        <f t="shared" si="70"/>
        <v/>
      </c>
      <c r="W723" s="124" t="str">
        <f t="shared" si="71"/>
        <v/>
      </c>
      <c r="X723" s="125" t="str">
        <f t="shared" si="66"/>
        <v/>
      </c>
    </row>
    <row r="724" spans="1:24" x14ac:dyDescent="0.3">
      <c r="A724" s="129"/>
      <c r="B724" s="129"/>
      <c r="C724" s="128"/>
      <c r="D724" s="128"/>
      <c r="E724" s="128"/>
      <c r="F724" s="166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6" t="str">
        <f t="shared" si="67"/>
        <v/>
      </c>
      <c r="S724" s="163" t="str">
        <f t="shared" si="68"/>
        <v/>
      </c>
      <c r="T724" s="160" t="str">
        <f>IFERROR(INDEX(上年标准成本!$I:$I,MATCH(K724,上年标准成本!$C:$C,0),1),"")</f>
        <v/>
      </c>
      <c r="U724" s="126" t="str">
        <f t="shared" si="69"/>
        <v/>
      </c>
      <c r="V724" s="126" t="str">
        <f t="shared" si="70"/>
        <v/>
      </c>
      <c r="W724" s="124" t="str">
        <f t="shared" si="71"/>
        <v/>
      </c>
      <c r="X724" s="125" t="str">
        <f t="shared" si="66"/>
        <v/>
      </c>
    </row>
    <row r="725" spans="1:24" x14ac:dyDescent="0.3">
      <c r="A725" s="129"/>
      <c r="B725" s="129"/>
      <c r="C725" s="128"/>
      <c r="D725" s="128"/>
      <c r="E725" s="128"/>
      <c r="F725" s="166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6" t="str">
        <f t="shared" si="67"/>
        <v/>
      </c>
      <c r="S725" s="163" t="str">
        <f t="shared" si="68"/>
        <v/>
      </c>
      <c r="T725" s="160" t="str">
        <f>IFERROR(INDEX(上年标准成本!$I:$I,MATCH(K725,上年标准成本!$C:$C,0),1),"")</f>
        <v/>
      </c>
      <c r="U725" s="126" t="str">
        <f t="shared" si="69"/>
        <v/>
      </c>
      <c r="V725" s="126" t="str">
        <f t="shared" si="70"/>
        <v/>
      </c>
      <c r="W725" s="124" t="str">
        <f t="shared" si="71"/>
        <v/>
      </c>
      <c r="X725" s="125" t="str">
        <f t="shared" si="66"/>
        <v/>
      </c>
    </row>
    <row r="726" spans="1:24" x14ac:dyDescent="0.3">
      <c r="A726" s="129"/>
      <c r="B726" s="129"/>
      <c r="C726" s="128"/>
      <c r="D726" s="128"/>
      <c r="E726" s="128"/>
      <c r="F726" s="166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6" t="str">
        <f t="shared" si="67"/>
        <v/>
      </c>
      <c r="S726" s="163" t="str">
        <f t="shared" si="68"/>
        <v/>
      </c>
      <c r="T726" s="160" t="str">
        <f>IFERROR(INDEX(上年标准成本!$I:$I,MATCH(K726,上年标准成本!$C:$C,0),1),"")</f>
        <v/>
      </c>
      <c r="U726" s="126" t="str">
        <f t="shared" si="69"/>
        <v/>
      </c>
      <c r="V726" s="126" t="str">
        <f t="shared" si="70"/>
        <v/>
      </c>
      <c r="W726" s="124" t="str">
        <f t="shared" si="71"/>
        <v/>
      </c>
      <c r="X726" s="125" t="str">
        <f t="shared" si="66"/>
        <v/>
      </c>
    </row>
    <row r="727" spans="1:24" x14ac:dyDescent="0.3">
      <c r="A727" s="129"/>
      <c r="B727" s="129"/>
      <c r="C727" s="128"/>
      <c r="D727" s="128"/>
      <c r="E727" s="128"/>
      <c r="F727" s="166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6" t="str">
        <f t="shared" si="67"/>
        <v/>
      </c>
      <c r="S727" s="163" t="str">
        <f t="shared" si="68"/>
        <v/>
      </c>
      <c r="T727" s="160" t="str">
        <f>IFERROR(INDEX(上年标准成本!$I:$I,MATCH(K727,上年标准成本!$C:$C,0),1),"")</f>
        <v/>
      </c>
      <c r="U727" s="126" t="str">
        <f t="shared" si="69"/>
        <v/>
      </c>
      <c r="V727" s="126" t="str">
        <f t="shared" si="70"/>
        <v/>
      </c>
      <c r="W727" s="124" t="str">
        <f t="shared" si="71"/>
        <v/>
      </c>
      <c r="X727" s="125" t="str">
        <f t="shared" si="66"/>
        <v/>
      </c>
    </row>
    <row r="728" spans="1:24" x14ac:dyDescent="0.3">
      <c r="A728" s="129"/>
      <c r="B728" s="129"/>
      <c r="C728" s="128"/>
      <c r="D728" s="128"/>
      <c r="E728" s="128"/>
      <c r="F728" s="166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6" t="str">
        <f t="shared" si="67"/>
        <v/>
      </c>
      <c r="S728" s="163" t="str">
        <f t="shared" si="68"/>
        <v/>
      </c>
      <c r="T728" s="160" t="str">
        <f>IFERROR(INDEX(上年标准成本!$I:$I,MATCH(K728,上年标准成本!$C:$C,0),1),"")</f>
        <v/>
      </c>
      <c r="U728" s="126" t="str">
        <f t="shared" si="69"/>
        <v/>
      </c>
      <c r="V728" s="126" t="str">
        <f t="shared" si="70"/>
        <v/>
      </c>
      <c r="W728" s="124" t="str">
        <f t="shared" si="71"/>
        <v/>
      </c>
      <c r="X728" s="125" t="str">
        <f t="shared" si="66"/>
        <v/>
      </c>
    </row>
    <row r="729" spans="1:24" x14ac:dyDescent="0.3">
      <c r="A729" s="129"/>
      <c r="B729" s="129"/>
      <c r="C729" s="128"/>
      <c r="D729" s="128"/>
      <c r="E729" s="128"/>
      <c r="F729" s="166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6" t="str">
        <f t="shared" si="67"/>
        <v/>
      </c>
      <c r="S729" s="163" t="str">
        <f t="shared" si="68"/>
        <v/>
      </c>
      <c r="T729" s="160" t="str">
        <f>IFERROR(INDEX(上年标准成本!$I:$I,MATCH(K729,上年标准成本!$C:$C,0),1),"")</f>
        <v/>
      </c>
      <c r="U729" s="126" t="str">
        <f t="shared" si="69"/>
        <v/>
      </c>
      <c r="V729" s="126" t="str">
        <f t="shared" si="70"/>
        <v/>
      </c>
      <c r="W729" s="124" t="str">
        <f t="shared" si="71"/>
        <v/>
      </c>
      <c r="X729" s="125" t="str">
        <f t="shared" si="66"/>
        <v/>
      </c>
    </row>
    <row r="730" spans="1:24" x14ac:dyDescent="0.3">
      <c r="A730" s="129"/>
      <c r="B730" s="129"/>
      <c r="C730" s="128"/>
      <c r="D730" s="128"/>
      <c r="E730" s="128"/>
      <c r="F730" s="166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6" t="str">
        <f t="shared" si="67"/>
        <v/>
      </c>
      <c r="S730" s="163" t="str">
        <f t="shared" si="68"/>
        <v/>
      </c>
      <c r="T730" s="160" t="str">
        <f>IFERROR(INDEX(上年标准成本!$I:$I,MATCH(K730,上年标准成本!$C:$C,0),1),"")</f>
        <v/>
      </c>
      <c r="U730" s="126" t="str">
        <f t="shared" si="69"/>
        <v/>
      </c>
      <c r="V730" s="126" t="str">
        <f t="shared" si="70"/>
        <v/>
      </c>
      <c r="W730" s="124" t="str">
        <f t="shared" si="71"/>
        <v/>
      </c>
      <c r="X730" s="125" t="str">
        <f t="shared" si="66"/>
        <v/>
      </c>
    </row>
    <row r="731" spans="1:24" x14ac:dyDescent="0.3">
      <c r="A731" s="129"/>
      <c r="B731" s="129"/>
      <c r="C731" s="128"/>
      <c r="D731" s="128"/>
      <c r="E731" s="128"/>
      <c r="F731" s="166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6" t="str">
        <f t="shared" si="67"/>
        <v/>
      </c>
      <c r="S731" s="163" t="str">
        <f t="shared" si="68"/>
        <v/>
      </c>
      <c r="T731" s="160" t="str">
        <f>IFERROR(INDEX(上年标准成本!$I:$I,MATCH(K731,上年标准成本!$C:$C,0),1),"")</f>
        <v/>
      </c>
      <c r="U731" s="126" t="str">
        <f t="shared" si="69"/>
        <v/>
      </c>
      <c r="V731" s="126" t="str">
        <f t="shared" si="70"/>
        <v/>
      </c>
      <c r="W731" s="124" t="str">
        <f t="shared" si="71"/>
        <v/>
      </c>
      <c r="X731" s="125" t="str">
        <f t="shared" si="66"/>
        <v/>
      </c>
    </row>
    <row r="732" spans="1:24" x14ac:dyDescent="0.3">
      <c r="A732" s="129"/>
      <c r="B732" s="129"/>
      <c r="C732" s="128"/>
      <c r="D732" s="128"/>
      <c r="E732" s="128"/>
      <c r="F732" s="166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6" t="str">
        <f t="shared" si="67"/>
        <v/>
      </c>
      <c r="S732" s="163" t="str">
        <f t="shared" si="68"/>
        <v/>
      </c>
      <c r="T732" s="160" t="str">
        <f>IFERROR(INDEX(上年标准成本!$I:$I,MATCH(K732,上年标准成本!$C:$C,0),1),"")</f>
        <v/>
      </c>
      <c r="U732" s="126" t="str">
        <f t="shared" si="69"/>
        <v/>
      </c>
      <c r="V732" s="126" t="str">
        <f t="shared" si="70"/>
        <v/>
      </c>
      <c r="W732" s="124" t="str">
        <f t="shared" si="71"/>
        <v/>
      </c>
      <c r="X732" s="125" t="str">
        <f t="shared" si="66"/>
        <v/>
      </c>
    </row>
    <row r="733" spans="1:24" x14ac:dyDescent="0.3">
      <c r="A733" s="129"/>
      <c r="B733" s="129"/>
      <c r="C733" s="128"/>
      <c r="D733" s="128"/>
      <c r="E733" s="128"/>
      <c r="F733" s="166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6" t="str">
        <f t="shared" si="67"/>
        <v/>
      </c>
      <c r="S733" s="163" t="str">
        <f t="shared" si="68"/>
        <v/>
      </c>
      <c r="T733" s="160" t="str">
        <f>IFERROR(INDEX(上年标准成本!$I:$I,MATCH(K733,上年标准成本!$C:$C,0),1),"")</f>
        <v/>
      </c>
      <c r="U733" s="126" t="str">
        <f t="shared" si="69"/>
        <v/>
      </c>
      <c r="V733" s="126" t="str">
        <f t="shared" si="70"/>
        <v/>
      </c>
      <c r="W733" s="124" t="str">
        <f t="shared" si="71"/>
        <v/>
      </c>
      <c r="X733" s="125" t="str">
        <f t="shared" si="66"/>
        <v/>
      </c>
    </row>
    <row r="734" spans="1:24" x14ac:dyDescent="0.3">
      <c r="A734" s="129"/>
      <c r="B734" s="129"/>
      <c r="C734" s="128"/>
      <c r="D734" s="128"/>
      <c r="E734" s="128"/>
      <c r="F734" s="166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6" t="str">
        <f t="shared" si="67"/>
        <v/>
      </c>
      <c r="S734" s="163" t="str">
        <f t="shared" si="68"/>
        <v/>
      </c>
      <c r="T734" s="160" t="str">
        <f>IFERROR(INDEX(上年标准成本!$I:$I,MATCH(K734,上年标准成本!$C:$C,0),1),"")</f>
        <v/>
      </c>
      <c r="U734" s="126" t="str">
        <f t="shared" si="69"/>
        <v/>
      </c>
      <c r="V734" s="126" t="str">
        <f t="shared" si="70"/>
        <v/>
      </c>
      <c r="W734" s="124" t="str">
        <f t="shared" si="71"/>
        <v/>
      </c>
      <c r="X734" s="125" t="str">
        <f t="shared" si="66"/>
        <v/>
      </c>
    </row>
    <row r="735" spans="1:24" x14ac:dyDescent="0.3">
      <c r="A735" s="129"/>
      <c r="B735" s="129"/>
      <c r="C735" s="128"/>
      <c r="D735" s="128"/>
      <c r="E735" s="128"/>
      <c r="F735" s="166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6" t="str">
        <f t="shared" si="67"/>
        <v/>
      </c>
      <c r="S735" s="163" t="str">
        <f t="shared" si="68"/>
        <v/>
      </c>
      <c r="T735" s="160" t="str">
        <f>IFERROR(INDEX(上年标准成本!$I:$I,MATCH(K735,上年标准成本!$C:$C,0),1),"")</f>
        <v/>
      </c>
      <c r="U735" s="126" t="str">
        <f t="shared" si="69"/>
        <v/>
      </c>
      <c r="V735" s="126" t="str">
        <f t="shared" si="70"/>
        <v/>
      </c>
      <c r="W735" s="124" t="str">
        <f t="shared" si="71"/>
        <v/>
      </c>
      <c r="X735" s="125" t="str">
        <f t="shared" si="66"/>
        <v/>
      </c>
    </row>
    <row r="736" spans="1:24" x14ac:dyDescent="0.3">
      <c r="A736" s="129"/>
      <c r="B736" s="129"/>
      <c r="C736" s="128"/>
      <c r="D736" s="128"/>
      <c r="E736" s="128"/>
      <c r="F736" s="166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6" t="str">
        <f t="shared" si="67"/>
        <v/>
      </c>
      <c r="S736" s="163" t="str">
        <f t="shared" si="68"/>
        <v/>
      </c>
      <c r="T736" s="160" t="str">
        <f>IFERROR(INDEX(上年标准成本!$I:$I,MATCH(K736,上年标准成本!$C:$C,0),1),"")</f>
        <v/>
      </c>
      <c r="U736" s="126" t="str">
        <f t="shared" si="69"/>
        <v/>
      </c>
      <c r="V736" s="126" t="str">
        <f t="shared" si="70"/>
        <v/>
      </c>
      <c r="W736" s="124" t="str">
        <f t="shared" si="71"/>
        <v/>
      </c>
      <c r="X736" s="125" t="str">
        <f t="shared" si="66"/>
        <v/>
      </c>
    </row>
    <row r="737" spans="1:24" x14ac:dyDescent="0.3">
      <c r="A737" s="129"/>
      <c r="B737" s="129"/>
      <c r="C737" s="128"/>
      <c r="D737" s="128"/>
      <c r="E737" s="128"/>
      <c r="F737" s="166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6" t="str">
        <f t="shared" si="67"/>
        <v/>
      </c>
      <c r="S737" s="163" t="str">
        <f t="shared" si="68"/>
        <v/>
      </c>
      <c r="T737" s="160" t="str">
        <f>IFERROR(INDEX(上年标准成本!$I:$I,MATCH(K737,上年标准成本!$C:$C,0),1),"")</f>
        <v/>
      </c>
      <c r="U737" s="126" t="str">
        <f t="shared" si="69"/>
        <v/>
      </c>
      <c r="V737" s="126" t="str">
        <f t="shared" si="70"/>
        <v/>
      </c>
      <c r="W737" s="124" t="str">
        <f t="shared" si="71"/>
        <v/>
      </c>
      <c r="X737" s="125" t="str">
        <f t="shared" si="66"/>
        <v/>
      </c>
    </row>
    <row r="738" spans="1:24" x14ac:dyDescent="0.3">
      <c r="A738" s="129"/>
      <c r="B738" s="129"/>
      <c r="C738" s="128"/>
      <c r="D738" s="128"/>
      <c r="E738" s="128"/>
      <c r="F738" s="166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6" t="str">
        <f t="shared" si="67"/>
        <v/>
      </c>
      <c r="S738" s="163" t="str">
        <f t="shared" si="68"/>
        <v/>
      </c>
      <c r="T738" s="160" t="str">
        <f>IFERROR(INDEX(上年标准成本!$I:$I,MATCH(K738,上年标准成本!$C:$C,0),1),"")</f>
        <v/>
      </c>
      <c r="U738" s="126" t="str">
        <f t="shared" si="69"/>
        <v/>
      </c>
      <c r="V738" s="126" t="str">
        <f t="shared" si="70"/>
        <v/>
      </c>
      <c r="W738" s="124" t="str">
        <f t="shared" si="71"/>
        <v/>
      </c>
      <c r="X738" s="125" t="str">
        <f t="shared" si="66"/>
        <v/>
      </c>
    </row>
    <row r="739" spans="1:24" x14ac:dyDescent="0.3">
      <c r="A739" s="129"/>
      <c r="B739" s="129"/>
      <c r="C739" s="128"/>
      <c r="D739" s="128"/>
      <c r="E739" s="128"/>
      <c r="F739" s="166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6" t="str">
        <f t="shared" si="67"/>
        <v/>
      </c>
      <c r="S739" s="163" t="str">
        <f t="shared" si="68"/>
        <v/>
      </c>
      <c r="T739" s="160" t="str">
        <f>IFERROR(INDEX(上年标准成本!$I:$I,MATCH(K739,上年标准成本!$C:$C,0),1),"")</f>
        <v/>
      </c>
      <c r="U739" s="126" t="str">
        <f t="shared" si="69"/>
        <v/>
      </c>
      <c r="V739" s="126" t="str">
        <f t="shared" si="70"/>
        <v/>
      </c>
      <c r="W739" s="124" t="str">
        <f t="shared" si="71"/>
        <v/>
      </c>
      <c r="X739" s="125" t="str">
        <f t="shared" si="66"/>
        <v/>
      </c>
    </row>
    <row r="740" spans="1:24" x14ac:dyDescent="0.3">
      <c r="A740" s="129"/>
      <c r="B740" s="129"/>
      <c r="C740" s="128"/>
      <c r="D740" s="128"/>
      <c r="E740" s="128"/>
      <c r="F740" s="166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6" t="str">
        <f t="shared" si="67"/>
        <v/>
      </c>
      <c r="S740" s="163" t="str">
        <f t="shared" si="68"/>
        <v/>
      </c>
      <c r="T740" s="160" t="str">
        <f>IFERROR(INDEX(上年标准成本!$I:$I,MATCH(K740,上年标准成本!$C:$C,0),1),"")</f>
        <v/>
      </c>
      <c r="U740" s="126" t="str">
        <f t="shared" si="69"/>
        <v/>
      </c>
      <c r="V740" s="126" t="str">
        <f t="shared" si="70"/>
        <v/>
      </c>
      <c r="W740" s="124" t="str">
        <f t="shared" si="71"/>
        <v/>
      </c>
      <c r="X740" s="125" t="str">
        <f t="shared" si="66"/>
        <v/>
      </c>
    </row>
    <row r="741" spans="1:24" x14ac:dyDescent="0.3">
      <c r="A741" s="129"/>
      <c r="B741" s="129"/>
      <c r="C741" s="128"/>
      <c r="D741" s="128"/>
      <c r="E741" s="128"/>
      <c r="F741" s="166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6" t="str">
        <f t="shared" si="67"/>
        <v/>
      </c>
      <c r="S741" s="163" t="str">
        <f t="shared" si="68"/>
        <v/>
      </c>
      <c r="T741" s="160" t="str">
        <f>IFERROR(INDEX(上年标准成本!$I:$I,MATCH(K741,上年标准成本!$C:$C,0),1),"")</f>
        <v/>
      </c>
      <c r="U741" s="126" t="str">
        <f t="shared" si="69"/>
        <v/>
      </c>
      <c r="V741" s="126" t="str">
        <f t="shared" si="70"/>
        <v/>
      </c>
      <c r="W741" s="124" t="str">
        <f t="shared" si="71"/>
        <v/>
      </c>
      <c r="X741" s="125" t="str">
        <f t="shared" si="66"/>
        <v/>
      </c>
    </row>
    <row r="742" spans="1:24" x14ac:dyDescent="0.3">
      <c r="A742" s="129"/>
      <c r="B742" s="129"/>
      <c r="C742" s="128"/>
      <c r="D742" s="128"/>
      <c r="E742" s="128"/>
      <c r="F742" s="166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6" t="str">
        <f t="shared" si="67"/>
        <v/>
      </c>
      <c r="S742" s="163" t="str">
        <f t="shared" si="68"/>
        <v/>
      </c>
      <c r="T742" s="160" t="str">
        <f>IFERROR(INDEX(上年标准成本!$I:$I,MATCH(K742,上年标准成本!$C:$C,0),1),"")</f>
        <v/>
      </c>
      <c r="U742" s="126" t="str">
        <f t="shared" si="69"/>
        <v/>
      </c>
      <c r="V742" s="126" t="str">
        <f t="shared" si="70"/>
        <v/>
      </c>
      <c r="W742" s="124" t="str">
        <f t="shared" si="71"/>
        <v/>
      </c>
      <c r="X742" s="125" t="str">
        <f t="shared" si="66"/>
        <v/>
      </c>
    </row>
    <row r="743" spans="1:24" x14ac:dyDescent="0.3">
      <c r="A743" s="129"/>
      <c r="B743" s="129"/>
      <c r="C743" s="128"/>
      <c r="D743" s="128"/>
      <c r="E743" s="128"/>
      <c r="F743" s="166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6" t="str">
        <f t="shared" si="67"/>
        <v/>
      </c>
      <c r="S743" s="163" t="str">
        <f t="shared" si="68"/>
        <v/>
      </c>
      <c r="T743" s="160" t="str">
        <f>IFERROR(INDEX(上年标准成本!$I:$I,MATCH(K743,上年标准成本!$C:$C,0),1),"")</f>
        <v/>
      </c>
      <c r="U743" s="126" t="str">
        <f t="shared" si="69"/>
        <v/>
      </c>
      <c r="V743" s="126" t="str">
        <f t="shared" si="70"/>
        <v/>
      </c>
      <c r="W743" s="124" t="str">
        <f t="shared" si="71"/>
        <v/>
      </c>
      <c r="X743" s="125" t="str">
        <f t="shared" si="66"/>
        <v/>
      </c>
    </row>
    <row r="744" spans="1:24" x14ac:dyDescent="0.3">
      <c r="A744" s="129"/>
      <c r="B744" s="129"/>
      <c r="C744" s="128"/>
      <c r="D744" s="128"/>
      <c r="E744" s="128"/>
      <c r="F744" s="166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6" t="str">
        <f t="shared" si="67"/>
        <v/>
      </c>
      <c r="S744" s="163" t="str">
        <f t="shared" si="68"/>
        <v/>
      </c>
      <c r="T744" s="160" t="str">
        <f>IFERROR(INDEX(上年标准成本!$I:$I,MATCH(K744,上年标准成本!$C:$C,0),1),"")</f>
        <v/>
      </c>
      <c r="U744" s="126" t="str">
        <f t="shared" si="69"/>
        <v/>
      </c>
      <c r="V744" s="126" t="str">
        <f t="shared" si="70"/>
        <v/>
      </c>
      <c r="W744" s="124" t="str">
        <f t="shared" si="71"/>
        <v/>
      </c>
      <c r="X744" s="125" t="str">
        <f t="shared" si="66"/>
        <v/>
      </c>
    </row>
    <row r="745" spans="1:24" x14ac:dyDescent="0.3">
      <c r="A745" s="129"/>
      <c r="B745" s="129"/>
      <c r="C745" s="128"/>
      <c r="D745" s="128"/>
      <c r="E745" s="128"/>
      <c r="F745" s="166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6" t="str">
        <f t="shared" si="67"/>
        <v/>
      </c>
      <c r="S745" s="163" t="str">
        <f t="shared" si="68"/>
        <v/>
      </c>
      <c r="T745" s="160" t="str">
        <f>IFERROR(INDEX(上年标准成本!$I:$I,MATCH(K745,上年标准成本!$C:$C,0),1),"")</f>
        <v/>
      </c>
      <c r="U745" s="126" t="str">
        <f t="shared" si="69"/>
        <v/>
      </c>
      <c r="V745" s="126" t="str">
        <f t="shared" si="70"/>
        <v/>
      </c>
      <c r="W745" s="124" t="str">
        <f t="shared" si="71"/>
        <v/>
      </c>
      <c r="X745" s="125" t="str">
        <f t="shared" si="66"/>
        <v/>
      </c>
    </row>
    <row r="746" spans="1:24" x14ac:dyDescent="0.3">
      <c r="A746" s="129"/>
      <c r="B746" s="129"/>
      <c r="C746" s="128"/>
      <c r="D746" s="128"/>
      <c r="E746" s="128"/>
      <c r="F746" s="166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6" t="str">
        <f t="shared" si="67"/>
        <v/>
      </c>
      <c r="S746" s="163" t="str">
        <f t="shared" si="68"/>
        <v/>
      </c>
      <c r="T746" s="160" t="str">
        <f>IFERROR(INDEX(上年标准成本!$I:$I,MATCH(K746,上年标准成本!$C:$C,0),1),"")</f>
        <v/>
      </c>
      <c r="U746" s="126" t="str">
        <f t="shared" si="69"/>
        <v/>
      </c>
      <c r="V746" s="126" t="str">
        <f t="shared" si="70"/>
        <v/>
      </c>
      <c r="W746" s="124" t="str">
        <f t="shared" si="71"/>
        <v/>
      </c>
      <c r="X746" s="125" t="str">
        <f t="shared" si="66"/>
        <v/>
      </c>
    </row>
    <row r="747" spans="1:24" x14ac:dyDescent="0.3">
      <c r="A747" s="129"/>
      <c r="B747" s="129"/>
      <c r="C747" s="128"/>
      <c r="D747" s="128"/>
      <c r="E747" s="128"/>
      <c r="F747" s="166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6" t="str">
        <f t="shared" si="67"/>
        <v/>
      </c>
      <c r="S747" s="163" t="str">
        <f t="shared" si="68"/>
        <v/>
      </c>
      <c r="T747" s="160" t="str">
        <f>IFERROR(INDEX(上年标准成本!$I:$I,MATCH(K747,上年标准成本!$C:$C,0),1),"")</f>
        <v/>
      </c>
      <c r="U747" s="126" t="str">
        <f t="shared" si="69"/>
        <v/>
      </c>
      <c r="V747" s="126" t="str">
        <f t="shared" si="70"/>
        <v/>
      </c>
      <c r="W747" s="124" t="str">
        <f t="shared" si="71"/>
        <v/>
      </c>
      <c r="X747" s="125" t="str">
        <f t="shared" si="66"/>
        <v/>
      </c>
    </row>
    <row r="748" spans="1:24" x14ac:dyDescent="0.3">
      <c r="A748" s="129"/>
      <c r="B748" s="129"/>
      <c r="C748" s="128"/>
      <c r="D748" s="128"/>
      <c r="E748" s="128"/>
      <c r="F748" s="166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6" t="str">
        <f t="shared" si="67"/>
        <v/>
      </c>
      <c r="S748" s="163" t="str">
        <f t="shared" si="68"/>
        <v/>
      </c>
      <c r="T748" s="160" t="str">
        <f>IFERROR(INDEX(上年标准成本!$I:$I,MATCH(K748,上年标准成本!$C:$C,0),1),"")</f>
        <v/>
      </c>
      <c r="U748" s="126" t="str">
        <f t="shared" si="69"/>
        <v/>
      </c>
      <c r="V748" s="126" t="str">
        <f t="shared" si="70"/>
        <v/>
      </c>
      <c r="W748" s="124" t="str">
        <f t="shared" si="71"/>
        <v/>
      </c>
      <c r="X748" s="125" t="str">
        <f t="shared" si="66"/>
        <v/>
      </c>
    </row>
    <row r="749" spans="1:24" x14ac:dyDescent="0.3">
      <c r="A749" s="129"/>
      <c r="B749" s="129"/>
      <c r="C749" s="128"/>
      <c r="D749" s="128"/>
      <c r="E749" s="128"/>
      <c r="F749" s="166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6" t="str">
        <f t="shared" si="67"/>
        <v/>
      </c>
      <c r="S749" s="163" t="str">
        <f t="shared" si="68"/>
        <v/>
      </c>
      <c r="T749" s="160" t="str">
        <f>IFERROR(INDEX(上年标准成本!$I:$I,MATCH(K749,上年标准成本!$C:$C,0),1),"")</f>
        <v/>
      </c>
      <c r="U749" s="126" t="str">
        <f t="shared" si="69"/>
        <v/>
      </c>
      <c r="V749" s="126" t="str">
        <f t="shared" si="70"/>
        <v/>
      </c>
      <c r="W749" s="124" t="str">
        <f t="shared" si="71"/>
        <v/>
      </c>
      <c r="X749" s="125" t="str">
        <f t="shared" si="66"/>
        <v/>
      </c>
    </row>
    <row r="750" spans="1:24" x14ac:dyDescent="0.3">
      <c r="A750" s="129"/>
      <c r="B750" s="129"/>
      <c r="C750" s="128"/>
      <c r="D750" s="128"/>
      <c r="E750" s="128"/>
      <c r="F750" s="166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6" t="str">
        <f t="shared" si="67"/>
        <v/>
      </c>
      <c r="S750" s="163" t="str">
        <f t="shared" si="68"/>
        <v/>
      </c>
      <c r="T750" s="160" t="str">
        <f>IFERROR(INDEX(上年标准成本!$I:$I,MATCH(K750,上年标准成本!$C:$C,0),1),"")</f>
        <v/>
      </c>
      <c r="U750" s="126" t="str">
        <f t="shared" si="69"/>
        <v/>
      </c>
      <c r="V750" s="126" t="str">
        <f t="shared" si="70"/>
        <v/>
      </c>
      <c r="W750" s="124" t="str">
        <f t="shared" si="71"/>
        <v/>
      </c>
      <c r="X750" s="125" t="str">
        <f t="shared" si="66"/>
        <v/>
      </c>
    </row>
    <row r="751" spans="1:24" x14ac:dyDescent="0.3">
      <c r="A751" s="129"/>
      <c r="B751" s="129"/>
      <c r="C751" s="128"/>
      <c r="D751" s="128"/>
      <c r="E751" s="128"/>
      <c r="F751" s="166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6" t="str">
        <f t="shared" si="67"/>
        <v/>
      </c>
      <c r="S751" s="163" t="str">
        <f t="shared" si="68"/>
        <v/>
      </c>
      <c r="T751" s="160" t="str">
        <f>IFERROR(INDEX(上年标准成本!$I:$I,MATCH(K751,上年标准成本!$C:$C,0),1),"")</f>
        <v/>
      </c>
      <c r="U751" s="126" t="str">
        <f t="shared" si="69"/>
        <v/>
      </c>
      <c r="V751" s="126" t="str">
        <f t="shared" si="70"/>
        <v/>
      </c>
      <c r="W751" s="124" t="str">
        <f t="shared" si="71"/>
        <v/>
      </c>
      <c r="X751" s="125" t="str">
        <f t="shared" si="66"/>
        <v/>
      </c>
    </row>
    <row r="752" spans="1:24" x14ac:dyDescent="0.3">
      <c r="A752" s="129"/>
      <c r="B752" s="129"/>
      <c r="C752" s="128"/>
      <c r="D752" s="128"/>
      <c r="E752" s="128"/>
      <c r="F752" s="166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6" t="str">
        <f t="shared" si="67"/>
        <v/>
      </c>
      <c r="S752" s="163" t="str">
        <f t="shared" si="68"/>
        <v/>
      </c>
      <c r="T752" s="160" t="str">
        <f>IFERROR(INDEX(上年标准成本!$I:$I,MATCH(K752,上年标准成本!$C:$C,0),1),"")</f>
        <v/>
      </c>
      <c r="U752" s="126" t="str">
        <f t="shared" si="69"/>
        <v/>
      </c>
      <c r="V752" s="126" t="str">
        <f t="shared" si="70"/>
        <v/>
      </c>
      <c r="W752" s="124" t="str">
        <f t="shared" si="71"/>
        <v/>
      </c>
      <c r="X752" s="125" t="str">
        <f t="shared" si="66"/>
        <v/>
      </c>
    </row>
    <row r="753" spans="1:24" x14ac:dyDescent="0.3">
      <c r="A753" s="129"/>
      <c r="B753" s="129"/>
      <c r="C753" s="128"/>
      <c r="D753" s="128"/>
      <c r="E753" s="128"/>
      <c r="F753" s="166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6" t="str">
        <f t="shared" si="67"/>
        <v/>
      </c>
      <c r="S753" s="163" t="str">
        <f t="shared" si="68"/>
        <v/>
      </c>
      <c r="T753" s="160" t="str">
        <f>IFERROR(INDEX(上年标准成本!$I:$I,MATCH(K753,上年标准成本!$C:$C,0),1),"")</f>
        <v/>
      </c>
      <c r="U753" s="126" t="str">
        <f t="shared" si="69"/>
        <v/>
      </c>
      <c r="V753" s="126" t="str">
        <f t="shared" si="70"/>
        <v/>
      </c>
      <c r="W753" s="124" t="str">
        <f t="shared" si="71"/>
        <v/>
      </c>
      <c r="X753" s="125" t="str">
        <f t="shared" si="66"/>
        <v/>
      </c>
    </row>
    <row r="754" spans="1:24" x14ac:dyDescent="0.3">
      <c r="A754" s="129"/>
      <c r="B754" s="129"/>
      <c r="C754" s="128"/>
      <c r="D754" s="128"/>
      <c r="E754" s="128"/>
      <c r="F754" s="166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6" t="str">
        <f t="shared" si="67"/>
        <v/>
      </c>
      <c r="S754" s="163" t="str">
        <f t="shared" si="68"/>
        <v/>
      </c>
      <c r="T754" s="160" t="str">
        <f>IFERROR(INDEX(上年标准成本!$I:$I,MATCH(K754,上年标准成本!$C:$C,0),1),"")</f>
        <v/>
      </c>
      <c r="U754" s="126" t="str">
        <f t="shared" si="69"/>
        <v/>
      </c>
      <c r="V754" s="126" t="str">
        <f t="shared" si="70"/>
        <v/>
      </c>
      <c r="W754" s="124" t="str">
        <f t="shared" si="71"/>
        <v/>
      </c>
      <c r="X754" s="125" t="str">
        <f t="shared" si="66"/>
        <v/>
      </c>
    </row>
    <row r="755" spans="1:24" x14ac:dyDescent="0.3">
      <c r="A755" s="129"/>
      <c r="B755" s="129"/>
      <c r="C755" s="128"/>
      <c r="D755" s="128"/>
      <c r="E755" s="128"/>
      <c r="F755" s="166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6" t="str">
        <f t="shared" si="67"/>
        <v/>
      </c>
      <c r="S755" s="163" t="str">
        <f t="shared" si="68"/>
        <v/>
      </c>
      <c r="T755" s="160" t="str">
        <f>IFERROR(INDEX(上年标准成本!$I:$I,MATCH(K755,上年标准成本!$C:$C,0),1),"")</f>
        <v/>
      </c>
      <c r="U755" s="126" t="str">
        <f t="shared" si="69"/>
        <v/>
      </c>
      <c r="V755" s="126" t="str">
        <f t="shared" si="70"/>
        <v/>
      </c>
      <c r="W755" s="124" t="str">
        <f t="shared" si="71"/>
        <v/>
      </c>
      <c r="X755" s="125" t="str">
        <f t="shared" si="66"/>
        <v/>
      </c>
    </row>
    <row r="756" spans="1:24" x14ac:dyDescent="0.3">
      <c r="A756" s="129"/>
      <c r="B756" s="129"/>
      <c r="C756" s="128"/>
      <c r="D756" s="128"/>
      <c r="E756" s="128"/>
      <c r="F756" s="166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6" t="str">
        <f t="shared" si="67"/>
        <v/>
      </c>
      <c r="S756" s="163" t="str">
        <f t="shared" si="68"/>
        <v/>
      </c>
      <c r="T756" s="160" t="str">
        <f>IFERROR(INDEX(上年标准成本!$I:$I,MATCH(K756,上年标准成本!$C:$C,0),1),"")</f>
        <v/>
      </c>
      <c r="U756" s="126" t="str">
        <f t="shared" si="69"/>
        <v/>
      </c>
      <c r="V756" s="126" t="str">
        <f t="shared" si="70"/>
        <v/>
      </c>
      <c r="W756" s="124" t="str">
        <f t="shared" si="71"/>
        <v/>
      </c>
      <c r="X756" s="125" t="str">
        <f t="shared" si="66"/>
        <v/>
      </c>
    </row>
    <row r="757" spans="1:24" x14ac:dyDescent="0.3">
      <c r="A757" s="129"/>
      <c r="B757" s="129"/>
      <c r="C757" s="128"/>
      <c r="D757" s="128"/>
      <c r="E757" s="128"/>
      <c r="F757" s="166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6" t="str">
        <f t="shared" si="67"/>
        <v/>
      </c>
      <c r="S757" s="163" t="str">
        <f t="shared" si="68"/>
        <v/>
      </c>
      <c r="T757" s="160" t="str">
        <f>IFERROR(INDEX(上年标准成本!$I:$I,MATCH(K757,上年标准成本!$C:$C,0),1),"")</f>
        <v/>
      </c>
      <c r="U757" s="126" t="str">
        <f t="shared" si="69"/>
        <v/>
      </c>
      <c r="V757" s="126" t="str">
        <f t="shared" si="70"/>
        <v/>
      </c>
      <c r="W757" s="124" t="str">
        <f t="shared" si="71"/>
        <v/>
      </c>
      <c r="X757" s="125" t="str">
        <f t="shared" si="66"/>
        <v/>
      </c>
    </row>
    <row r="758" spans="1:24" x14ac:dyDescent="0.3">
      <c r="A758" s="129"/>
      <c r="B758" s="129"/>
      <c r="C758" s="128"/>
      <c r="D758" s="128"/>
      <c r="E758" s="128"/>
      <c r="F758" s="166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6" t="str">
        <f t="shared" si="67"/>
        <v/>
      </c>
      <c r="S758" s="163" t="str">
        <f t="shared" si="68"/>
        <v/>
      </c>
      <c r="T758" s="160" t="str">
        <f>IFERROR(INDEX(上年标准成本!$I:$I,MATCH(K758,上年标准成本!$C:$C,0),1),"")</f>
        <v/>
      </c>
      <c r="U758" s="126" t="str">
        <f t="shared" si="69"/>
        <v/>
      </c>
      <c r="V758" s="126" t="str">
        <f t="shared" si="70"/>
        <v/>
      </c>
      <c r="W758" s="124" t="str">
        <f t="shared" si="71"/>
        <v/>
      </c>
      <c r="X758" s="125" t="str">
        <f t="shared" si="66"/>
        <v/>
      </c>
    </row>
    <row r="759" spans="1:24" x14ac:dyDescent="0.3">
      <c r="A759" s="129"/>
      <c r="B759" s="129"/>
      <c r="C759" s="128"/>
      <c r="D759" s="128"/>
      <c r="E759" s="128"/>
      <c r="F759" s="166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6" t="str">
        <f t="shared" si="67"/>
        <v/>
      </c>
      <c r="S759" s="163" t="str">
        <f t="shared" si="68"/>
        <v/>
      </c>
      <c r="T759" s="160" t="str">
        <f>IFERROR(INDEX(上年标准成本!$I:$I,MATCH(K759,上年标准成本!$C:$C,0),1),"")</f>
        <v/>
      </c>
      <c r="U759" s="126" t="str">
        <f t="shared" si="69"/>
        <v/>
      </c>
      <c r="V759" s="126" t="str">
        <f t="shared" si="70"/>
        <v/>
      </c>
      <c r="W759" s="124" t="str">
        <f t="shared" si="71"/>
        <v/>
      </c>
      <c r="X759" s="125" t="str">
        <f t="shared" si="66"/>
        <v/>
      </c>
    </row>
    <row r="760" spans="1:24" x14ac:dyDescent="0.3">
      <c r="A760" s="129"/>
      <c r="B760" s="129"/>
      <c r="C760" s="128"/>
      <c r="D760" s="128"/>
      <c r="E760" s="128"/>
      <c r="F760" s="166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6" t="str">
        <f t="shared" si="67"/>
        <v/>
      </c>
      <c r="S760" s="163" t="str">
        <f t="shared" si="68"/>
        <v/>
      </c>
      <c r="T760" s="160" t="str">
        <f>IFERROR(INDEX(上年标准成本!$I:$I,MATCH(K760,上年标准成本!$C:$C,0),1),"")</f>
        <v/>
      </c>
      <c r="U760" s="126" t="str">
        <f t="shared" si="69"/>
        <v/>
      </c>
      <c r="V760" s="126" t="str">
        <f t="shared" si="70"/>
        <v/>
      </c>
      <c r="W760" s="124" t="str">
        <f t="shared" si="71"/>
        <v/>
      </c>
      <c r="X760" s="125" t="str">
        <f t="shared" si="66"/>
        <v/>
      </c>
    </row>
    <row r="761" spans="1:24" x14ac:dyDescent="0.3">
      <c r="A761" s="129"/>
      <c r="B761" s="129"/>
      <c r="C761" s="128"/>
      <c r="D761" s="128"/>
      <c r="E761" s="128"/>
      <c r="F761" s="166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6" t="str">
        <f t="shared" si="67"/>
        <v/>
      </c>
      <c r="S761" s="163" t="str">
        <f t="shared" si="68"/>
        <v/>
      </c>
      <c r="T761" s="160" t="str">
        <f>IFERROR(INDEX(上年标准成本!$I:$I,MATCH(K761,上年标准成本!$C:$C,0),1),"")</f>
        <v/>
      </c>
      <c r="U761" s="126" t="str">
        <f t="shared" si="69"/>
        <v/>
      </c>
      <c r="V761" s="126" t="str">
        <f t="shared" si="70"/>
        <v/>
      </c>
      <c r="W761" s="124" t="str">
        <f t="shared" si="71"/>
        <v/>
      </c>
      <c r="X761" s="125" t="str">
        <f t="shared" si="66"/>
        <v/>
      </c>
    </row>
    <row r="762" spans="1:24" x14ac:dyDescent="0.3">
      <c r="A762" s="129"/>
      <c r="B762" s="129"/>
      <c r="C762" s="128"/>
      <c r="D762" s="128"/>
      <c r="E762" s="128"/>
      <c r="F762" s="166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6" t="str">
        <f t="shared" si="67"/>
        <v/>
      </c>
      <c r="S762" s="163" t="str">
        <f t="shared" si="68"/>
        <v/>
      </c>
      <c r="T762" s="160" t="str">
        <f>IFERROR(INDEX(上年标准成本!$I:$I,MATCH(K762,上年标准成本!$C:$C,0),1),"")</f>
        <v/>
      </c>
      <c r="U762" s="126" t="str">
        <f t="shared" si="69"/>
        <v/>
      </c>
      <c r="V762" s="126" t="str">
        <f t="shared" si="70"/>
        <v/>
      </c>
      <c r="W762" s="124" t="str">
        <f t="shared" si="71"/>
        <v/>
      </c>
      <c r="X762" s="125" t="str">
        <f t="shared" si="66"/>
        <v/>
      </c>
    </row>
    <row r="763" spans="1:24" x14ac:dyDescent="0.3">
      <c r="A763" s="129"/>
      <c r="B763" s="129"/>
      <c r="C763" s="128"/>
      <c r="D763" s="128"/>
      <c r="E763" s="128"/>
      <c r="F763" s="166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6" t="str">
        <f t="shared" si="67"/>
        <v/>
      </c>
      <c r="S763" s="163" t="str">
        <f t="shared" si="68"/>
        <v/>
      </c>
      <c r="T763" s="160" t="str">
        <f>IFERROR(INDEX(上年标准成本!$I:$I,MATCH(K763,上年标准成本!$C:$C,0),1),"")</f>
        <v/>
      </c>
      <c r="U763" s="126" t="str">
        <f t="shared" si="69"/>
        <v/>
      </c>
      <c r="V763" s="126" t="str">
        <f t="shared" si="70"/>
        <v/>
      </c>
      <c r="W763" s="124" t="str">
        <f t="shared" si="71"/>
        <v/>
      </c>
      <c r="X763" s="125" t="str">
        <f t="shared" si="66"/>
        <v/>
      </c>
    </row>
    <row r="764" spans="1:24" x14ac:dyDescent="0.3">
      <c r="A764" s="129"/>
      <c r="B764" s="129"/>
      <c r="C764" s="128"/>
      <c r="D764" s="128"/>
      <c r="E764" s="128"/>
      <c r="F764" s="166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6" t="str">
        <f t="shared" si="67"/>
        <v/>
      </c>
      <c r="S764" s="163" t="str">
        <f t="shared" si="68"/>
        <v/>
      </c>
      <c r="T764" s="160" t="str">
        <f>IFERROR(INDEX(上年标准成本!$I:$I,MATCH(K764,上年标准成本!$C:$C,0),1),"")</f>
        <v/>
      </c>
      <c r="U764" s="126" t="str">
        <f t="shared" si="69"/>
        <v/>
      </c>
      <c r="V764" s="126" t="str">
        <f t="shared" si="70"/>
        <v/>
      </c>
      <c r="W764" s="124" t="str">
        <f t="shared" si="71"/>
        <v/>
      </c>
      <c r="X764" s="125" t="str">
        <f t="shared" si="66"/>
        <v/>
      </c>
    </row>
    <row r="765" spans="1:24" x14ac:dyDescent="0.3">
      <c r="A765" s="129"/>
      <c r="B765" s="129"/>
      <c r="C765" s="128"/>
      <c r="D765" s="128"/>
      <c r="E765" s="128"/>
      <c r="F765" s="166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6" t="str">
        <f t="shared" si="67"/>
        <v/>
      </c>
      <c r="S765" s="163" t="str">
        <f t="shared" si="68"/>
        <v/>
      </c>
      <c r="T765" s="160" t="str">
        <f>IFERROR(INDEX(上年标准成本!$I:$I,MATCH(K765,上年标准成本!$C:$C,0),1),"")</f>
        <v/>
      </c>
      <c r="U765" s="126" t="str">
        <f t="shared" si="69"/>
        <v/>
      </c>
      <c r="V765" s="126" t="str">
        <f t="shared" si="70"/>
        <v/>
      </c>
      <c r="W765" s="124" t="str">
        <f t="shared" si="71"/>
        <v/>
      </c>
      <c r="X765" s="125" t="str">
        <f t="shared" si="66"/>
        <v/>
      </c>
    </row>
    <row r="766" spans="1:24" x14ac:dyDescent="0.3">
      <c r="A766" s="129"/>
      <c r="B766" s="129"/>
      <c r="C766" s="128"/>
      <c r="D766" s="128"/>
      <c r="E766" s="128"/>
      <c r="F766" s="166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6" t="str">
        <f t="shared" si="67"/>
        <v/>
      </c>
      <c r="S766" s="163" t="str">
        <f t="shared" si="68"/>
        <v/>
      </c>
      <c r="T766" s="160" t="str">
        <f>IFERROR(INDEX(上年标准成本!$I:$I,MATCH(K766,上年标准成本!$C:$C,0),1),"")</f>
        <v/>
      </c>
      <c r="U766" s="126" t="str">
        <f t="shared" si="69"/>
        <v/>
      </c>
      <c r="V766" s="126" t="str">
        <f t="shared" si="70"/>
        <v/>
      </c>
      <c r="W766" s="124" t="str">
        <f t="shared" si="71"/>
        <v/>
      </c>
      <c r="X766" s="125" t="str">
        <f t="shared" si="66"/>
        <v/>
      </c>
    </row>
    <row r="767" spans="1:24" x14ac:dyDescent="0.3">
      <c r="A767" s="129"/>
      <c r="B767" s="129"/>
      <c r="C767" s="128"/>
      <c r="D767" s="128"/>
      <c r="E767" s="128"/>
      <c r="F767" s="166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6" t="str">
        <f t="shared" si="67"/>
        <v/>
      </c>
      <c r="S767" s="163" t="str">
        <f t="shared" si="68"/>
        <v/>
      </c>
      <c r="T767" s="160" t="str">
        <f>IFERROR(INDEX(上年标准成本!$I:$I,MATCH(K767,上年标准成本!$C:$C,0),1),"")</f>
        <v/>
      </c>
      <c r="U767" s="126" t="str">
        <f t="shared" si="69"/>
        <v/>
      </c>
      <c r="V767" s="126" t="str">
        <f t="shared" si="70"/>
        <v/>
      </c>
      <c r="W767" s="124" t="str">
        <f t="shared" si="71"/>
        <v/>
      </c>
      <c r="X767" s="125" t="str">
        <f t="shared" si="66"/>
        <v/>
      </c>
    </row>
    <row r="768" spans="1:24" x14ac:dyDescent="0.3">
      <c r="A768" s="129"/>
      <c r="B768" s="129"/>
      <c r="C768" s="128"/>
      <c r="D768" s="128"/>
      <c r="E768" s="128"/>
      <c r="F768" s="166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6" t="str">
        <f t="shared" si="67"/>
        <v/>
      </c>
      <c r="S768" s="163" t="str">
        <f t="shared" si="68"/>
        <v/>
      </c>
      <c r="T768" s="160" t="str">
        <f>IFERROR(INDEX(上年标准成本!$I:$I,MATCH(K768,上年标准成本!$C:$C,0),1),"")</f>
        <v/>
      </c>
      <c r="U768" s="126" t="str">
        <f t="shared" si="69"/>
        <v/>
      </c>
      <c r="V768" s="126" t="str">
        <f t="shared" si="70"/>
        <v/>
      </c>
      <c r="W768" s="124" t="str">
        <f t="shared" si="71"/>
        <v/>
      </c>
      <c r="X768" s="125" t="str">
        <f t="shared" si="66"/>
        <v/>
      </c>
    </row>
    <row r="769" spans="1:24" x14ac:dyDescent="0.3">
      <c r="A769" s="129"/>
      <c r="B769" s="129"/>
      <c r="C769" s="128"/>
      <c r="D769" s="128"/>
      <c r="E769" s="128"/>
      <c r="F769" s="166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6" t="str">
        <f t="shared" si="67"/>
        <v/>
      </c>
      <c r="S769" s="163" t="str">
        <f t="shared" si="68"/>
        <v/>
      </c>
      <c r="T769" s="160" t="str">
        <f>IFERROR(INDEX(上年标准成本!$I:$I,MATCH(K769,上年标准成本!$C:$C,0),1),"")</f>
        <v/>
      </c>
      <c r="U769" s="126" t="str">
        <f t="shared" si="69"/>
        <v/>
      </c>
      <c r="V769" s="126" t="str">
        <f t="shared" si="70"/>
        <v/>
      </c>
      <c r="W769" s="124" t="str">
        <f t="shared" si="71"/>
        <v/>
      </c>
      <c r="X769" s="125" t="str">
        <f t="shared" si="66"/>
        <v/>
      </c>
    </row>
    <row r="770" spans="1:24" x14ac:dyDescent="0.3">
      <c r="A770" s="129"/>
      <c r="B770" s="129"/>
      <c r="C770" s="128"/>
      <c r="D770" s="128"/>
      <c r="E770" s="128"/>
      <c r="F770" s="166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6" t="str">
        <f t="shared" si="67"/>
        <v/>
      </c>
      <c r="S770" s="163" t="str">
        <f t="shared" si="68"/>
        <v/>
      </c>
      <c r="T770" s="160" t="str">
        <f>IFERROR(INDEX(上年标准成本!$I:$I,MATCH(K770,上年标准成本!$C:$C,0),1),"")</f>
        <v/>
      </c>
      <c r="U770" s="126" t="str">
        <f t="shared" si="69"/>
        <v/>
      </c>
      <c r="V770" s="126" t="str">
        <f t="shared" si="70"/>
        <v/>
      </c>
      <c r="W770" s="124" t="str">
        <f t="shared" si="71"/>
        <v/>
      </c>
      <c r="X770" s="125" t="str">
        <f t="shared" ref="X770:X833" si="72">IFERROR(IF(W770/SUM(W:W)=0,"",W770/SUM(W:W)),"")</f>
        <v/>
      </c>
    </row>
    <row r="771" spans="1:24" x14ac:dyDescent="0.3">
      <c r="A771" s="129"/>
      <c r="B771" s="129"/>
      <c r="C771" s="128"/>
      <c r="D771" s="128"/>
      <c r="E771" s="128"/>
      <c r="F771" s="166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6" t="str">
        <f t="shared" ref="R771:R834" si="73">IFERROR(P771/O771,"")</f>
        <v/>
      </c>
      <c r="S771" s="163" t="str">
        <f t="shared" ref="S771:S834" si="74">IFERROR(R771*(1+Q771),"")</f>
        <v/>
      </c>
      <c r="T771" s="160" t="str">
        <f>IFERROR(INDEX(上年标准成本!$I:$I,MATCH(K771,上年标准成本!$C:$C,0),1),"")</f>
        <v/>
      </c>
      <c r="U771" s="126" t="str">
        <f t="shared" ref="U771:U834" si="75">IFERROR(O771*T771,"")</f>
        <v/>
      </c>
      <c r="V771" s="126" t="str">
        <f t="shared" ref="V771:V834" si="76">IFERROR(P771-U771,"")</f>
        <v/>
      </c>
      <c r="W771" s="124" t="str">
        <f t="shared" ref="W771:W834" si="77">IFERROR(V771/P771,"")</f>
        <v/>
      </c>
      <c r="X771" s="125" t="str">
        <f t="shared" si="72"/>
        <v/>
      </c>
    </row>
    <row r="772" spans="1:24" x14ac:dyDescent="0.3">
      <c r="A772" s="129"/>
      <c r="B772" s="129"/>
      <c r="C772" s="128"/>
      <c r="D772" s="128"/>
      <c r="E772" s="128"/>
      <c r="F772" s="166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6" t="str">
        <f t="shared" si="73"/>
        <v/>
      </c>
      <c r="S772" s="163" t="str">
        <f t="shared" si="74"/>
        <v/>
      </c>
      <c r="T772" s="160" t="str">
        <f>IFERROR(INDEX(上年标准成本!$I:$I,MATCH(K772,上年标准成本!$C:$C,0),1),"")</f>
        <v/>
      </c>
      <c r="U772" s="126" t="str">
        <f t="shared" si="75"/>
        <v/>
      </c>
      <c r="V772" s="126" t="str">
        <f t="shared" si="76"/>
        <v/>
      </c>
      <c r="W772" s="124" t="str">
        <f t="shared" si="77"/>
        <v/>
      </c>
      <c r="X772" s="125" t="str">
        <f t="shared" si="72"/>
        <v/>
      </c>
    </row>
    <row r="773" spans="1:24" x14ac:dyDescent="0.3">
      <c r="A773" s="129"/>
      <c r="B773" s="129"/>
      <c r="C773" s="128"/>
      <c r="D773" s="128"/>
      <c r="E773" s="128"/>
      <c r="F773" s="166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6" t="str">
        <f t="shared" si="73"/>
        <v/>
      </c>
      <c r="S773" s="163" t="str">
        <f t="shared" si="74"/>
        <v/>
      </c>
      <c r="T773" s="160" t="str">
        <f>IFERROR(INDEX(上年标准成本!$I:$I,MATCH(K773,上年标准成本!$C:$C,0),1),"")</f>
        <v/>
      </c>
      <c r="U773" s="126" t="str">
        <f t="shared" si="75"/>
        <v/>
      </c>
      <c r="V773" s="126" t="str">
        <f t="shared" si="76"/>
        <v/>
      </c>
      <c r="W773" s="124" t="str">
        <f t="shared" si="77"/>
        <v/>
      </c>
      <c r="X773" s="125" t="str">
        <f t="shared" si="72"/>
        <v/>
      </c>
    </row>
    <row r="774" spans="1:24" x14ac:dyDescent="0.3">
      <c r="A774" s="129"/>
      <c r="B774" s="129"/>
      <c r="C774" s="128"/>
      <c r="D774" s="128"/>
      <c r="E774" s="128"/>
      <c r="F774" s="166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6" t="str">
        <f t="shared" si="73"/>
        <v/>
      </c>
      <c r="S774" s="163" t="str">
        <f t="shared" si="74"/>
        <v/>
      </c>
      <c r="T774" s="160" t="str">
        <f>IFERROR(INDEX(上年标准成本!$I:$I,MATCH(K774,上年标准成本!$C:$C,0),1),"")</f>
        <v/>
      </c>
      <c r="U774" s="126" t="str">
        <f t="shared" si="75"/>
        <v/>
      </c>
      <c r="V774" s="126" t="str">
        <f t="shared" si="76"/>
        <v/>
      </c>
      <c r="W774" s="124" t="str">
        <f t="shared" si="77"/>
        <v/>
      </c>
      <c r="X774" s="125" t="str">
        <f t="shared" si="72"/>
        <v/>
      </c>
    </row>
    <row r="775" spans="1:24" x14ac:dyDescent="0.3">
      <c r="A775" s="129"/>
      <c r="B775" s="129"/>
      <c r="C775" s="128"/>
      <c r="D775" s="128"/>
      <c r="E775" s="128"/>
      <c r="F775" s="166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6" t="str">
        <f t="shared" si="73"/>
        <v/>
      </c>
      <c r="S775" s="163" t="str">
        <f t="shared" si="74"/>
        <v/>
      </c>
      <c r="T775" s="160" t="str">
        <f>IFERROR(INDEX(上年标准成本!$I:$I,MATCH(K775,上年标准成本!$C:$C,0),1),"")</f>
        <v/>
      </c>
      <c r="U775" s="126" t="str">
        <f t="shared" si="75"/>
        <v/>
      </c>
      <c r="V775" s="126" t="str">
        <f t="shared" si="76"/>
        <v/>
      </c>
      <c r="W775" s="124" t="str">
        <f t="shared" si="77"/>
        <v/>
      </c>
      <c r="X775" s="125" t="str">
        <f t="shared" si="72"/>
        <v/>
      </c>
    </row>
    <row r="776" spans="1:24" x14ac:dyDescent="0.3">
      <c r="A776" s="129"/>
      <c r="B776" s="129"/>
      <c r="C776" s="128"/>
      <c r="D776" s="128"/>
      <c r="E776" s="128"/>
      <c r="F776" s="166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6" t="str">
        <f t="shared" si="73"/>
        <v/>
      </c>
      <c r="S776" s="163" t="str">
        <f t="shared" si="74"/>
        <v/>
      </c>
      <c r="T776" s="160" t="str">
        <f>IFERROR(INDEX(上年标准成本!$I:$I,MATCH(K776,上年标准成本!$C:$C,0),1),"")</f>
        <v/>
      </c>
      <c r="U776" s="126" t="str">
        <f t="shared" si="75"/>
        <v/>
      </c>
      <c r="V776" s="126" t="str">
        <f t="shared" si="76"/>
        <v/>
      </c>
      <c r="W776" s="124" t="str">
        <f t="shared" si="77"/>
        <v/>
      </c>
      <c r="X776" s="125" t="str">
        <f t="shared" si="72"/>
        <v/>
      </c>
    </row>
    <row r="777" spans="1:24" x14ac:dyDescent="0.3">
      <c r="A777" s="129"/>
      <c r="B777" s="129"/>
      <c r="C777" s="128"/>
      <c r="D777" s="128"/>
      <c r="E777" s="128"/>
      <c r="F777" s="166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6" t="str">
        <f t="shared" si="73"/>
        <v/>
      </c>
      <c r="S777" s="163" t="str">
        <f t="shared" si="74"/>
        <v/>
      </c>
      <c r="T777" s="160" t="str">
        <f>IFERROR(INDEX(上年标准成本!$I:$I,MATCH(K777,上年标准成本!$C:$C,0),1),"")</f>
        <v/>
      </c>
      <c r="U777" s="126" t="str">
        <f t="shared" si="75"/>
        <v/>
      </c>
      <c r="V777" s="126" t="str">
        <f t="shared" si="76"/>
        <v/>
      </c>
      <c r="W777" s="124" t="str">
        <f t="shared" si="77"/>
        <v/>
      </c>
      <c r="X777" s="125" t="str">
        <f t="shared" si="72"/>
        <v/>
      </c>
    </row>
    <row r="778" spans="1:24" x14ac:dyDescent="0.3">
      <c r="A778" s="129"/>
      <c r="B778" s="129"/>
      <c r="C778" s="128"/>
      <c r="D778" s="128"/>
      <c r="E778" s="128"/>
      <c r="F778" s="166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6" t="str">
        <f t="shared" si="73"/>
        <v/>
      </c>
      <c r="S778" s="163" t="str">
        <f t="shared" si="74"/>
        <v/>
      </c>
      <c r="T778" s="160" t="str">
        <f>IFERROR(INDEX(上年标准成本!$I:$I,MATCH(K778,上年标准成本!$C:$C,0),1),"")</f>
        <v/>
      </c>
      <c r="U778" s="126" t="str">
        <f t="shared" si="75"/>
        <v/>
      </c>
      <c r="V778" s="126" t="str">
        <f t="shared" si="76"/>
        <v/>
      </c>
      <c r="W778" s="124" t="str">
        <f t="shared" si="77"/>
        <v/>
      </c>
      <c r="X778" s="125" t="str">
        <f t="shared" si="72"/>
        <v/>
      </c>
    </row>
    <row r="779" spans="1:24" x14ac:dyDescent="0.3">
      <c r="A779" s="129"/>
      <c r="B779" s="129"/>
      <c r="C779" s="128"/>
      <c r="D779" s="128"/>
      <c r="E779" s="128"/>
      <c r="F779" s="166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6" t="str">
        <f t="shared" si="73"/>
        <v/>
      </c>
      <c r="S779" s="163" t="str">
        <f t="shared" si="74"/>
        <v/>
      </c>
      <c r="T779" s="160" t="str">
        <f>IFERROR(INDEX(上年标准成本!$I:$I,MATCH(K779,上年标准成本!$C:$C,0),1),"")</f>
        <v/>
      </c>
      <c r="U779" s="126" t="str">
        <f t="shared" si="75"/>
        <v/>
      </c>
      <c r="V779" s="126" t="str">
        <f t="shared" si="76"/>
        <v/>
      </c>
      <c r="W779" s="124" t="str">
        <f t="shared" si="77"/>
        <v/>
      </c>
      <c r="X779" s="125" t="str">
        <f t="shared" si="72"/>
        <v/>
      </c>
    </row>
    <row r="780" spans="1:24" x14ac:dyDescent="0.3">
      <c r="A780" s="129"/>
      <c r="B780" s="129"/>
      <c r="C780" s="128"/>
      <c r="D780" s="128"/>
      <c r="E780" s="128"/>
      <c r="F780" s="166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6" t="str">
        <f t="shared" si="73"/>
        <v/>
      </c>
      <c r="S780" s="163" t="str">
        <f t="shared" si="74"/>
        <v/>
      </c>
      <c r="T780" s="160" t="str">
        <f>IFERROR(INDEX(上年标准成本!$I:$I,MATCH(K780,上年标准成本!$C:$C,0),1),"")</f>
        <v/>
      </c>
      <c r="U780" s="126" t="str">
        <f t="shared" si="75"/>
        <v/>
      </c>
      <c r="V780" s="126" t="str">
        <f t="shared" si="76"/>
        <v/>
      </c>
      <c r="W780" s="124" t="str">
        <f t="shared" si="77"/>
        <v/>
      </c>
      <c r="X780" s="125" t="str">
        <f t="shared" si="72"/>
        <v/>
      </c>
    </row>
    <row r="781" spans="1:24" x14ac:dyDescent="0.3">
      <c r="A781" s="129"/>
      <c r="B781" s="129"/>
      <c r="C781" s="128"/>
      <c r="D781" s="128"/>
      <c r="E781" s="128"/>
      <c r="F781" s="166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6" t="str">
        <f t="shared" si="73"/>
        <v/>
      </c>
      <c r="S781" s="163" t="str">
        <f t="shared" si="74"/>
        <v/>
      </c>
      <c r="T781" s="160" t="str">
        <f>IFERROR(INDEX(上年标准成本!$I:$I,MATCH(K781,上年标准成本!$C:$C,0),1),"")</f>
        <v/>
      </c>
      <c r="U781" s="126" t="str">
        <f t="shared" si="75"/>
        <v/>
      </c>
      <c r="V781" s="126" t="str">
        <f t="shared" si="76"/>
        <v/>
      </c>
      <c r="W781" s="124" t="str">
        <f t="shared" si="77"/>
        <v/>
      </c>
      <c r="X781" s="125" t="str">
        <f t="shared" si="72"/>
        <v/>
      </c>
    </row>
    <row r="782" spans="1:24" x14ac:dyDescent="0.3">
      <c r="A782" s="129"/>
      <c r="B782" s="129"/>
      <c r="C782" s="128"/>
      <c r="D782" s="128"/>
      <c r="E782" s="128"/>
      <c r="F782" s="166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6" t="str">
        <f t="shared" si="73"/>
        <v/>
      </c>
      <c r="S782" s="163" t="str">
        <f t="shared" si="74"/>
        <v/>
      </c>
      <c r="T782" s="160" t="str">
        <f>IFERROR(INDEX(上年标准成本!$I:$I,MATCH(K782,上年标准成本!$C:$C,0),1),"")</f>
        <v/>
      </c>
      <c r="U782" s="126" t="str">
        <f t="shared" si="75"/>
        <v/>
      </c>
      <c r="V782" s="126" t="str">
        <f t="shared" si="76"/>
        <v/>
      </c>
      <c r="W782" s="124" t="str">
        <f t="shared" si="77"/>
        <v/>
      </c>
      <c r="X782" s="125" t="str">
        <f t="shared" si="72"/>
        <v/>
      </c>
    </row>
    <row r="783" spans="1:24" x14ac:dyDescent="0.3">
      <c r="A783" s="129"/>
      <c r="B783" s="129"/>
      <c r="C783" s="128"/>
      <c r="D783" s="128"/>
      <c r="E783" s="128"/>
      <c r="F783" s="166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6" t="str">
        <f t="shared" si="73"/>
        <v/>
      </c>
      <c r="S783" s="163" t="str">
        <f t="shared" si="74"/>
        <v/>
      </c>
      <c r="T783" s="160" t="str">
        <f>IFERROR(INDEX(上年标准成本!$I:$I,MATCH(K783,上年标准成本!$C:$C,0),1),"")</f>
        <v/>
      </c>
      <c r="U783" s="126" t="str">
        <f t="shared" si="75"/>
        <v/>
      </c>
      <c r="V783" s="126" t="str">
        <f t="shared" si="76"/>
        <v/>
      </c>
      <c r="W783" s="124" t="str">
        <f t="shared" si="77"/>
        <v/>
      </c>
      <c r="X783" s="125" t="str">
        <f t="shared" si="72"/>
        <v/>
      </c>
    </row>
    <row r="784" spans="1:24" x14ac:dyDescent="0.3">
      <c r="A784" s="129"/>
      <c r="B784" s="129"/>
      <c r="C784" s="128"/>
      <c r="D784" s="128"/>
      <c r="E784" s="128"/>
      <c r="F784" s="166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6" t="str">
        <f t="shared" si="73"/>
        <v/>
      </c>
      <c r="S784" s="163" t="str">
        <f t="shared" si="74"/>
        <v/>
      </c>
      <c r="T784" s="160" t="str">
        <f>IFERROR(INDEX(上年标准成本!$I:$I,MATCH(K784,上年标准成本!$C:$C,0),1),"")</f>
        <v/>
      </c>
      <c r="U784" s="126" t="str">
        <f t="shared" si="75"/>
        <v/>
      </c>
      <c r="V784" s="126" t="str">
        <f t="shared" si="76"/>
        <v/>
      </c>
      <c r="W784" s="124" t="str">
        <f t="shared" si="77"/>
        <v/>
      </c>
      <c r="X784" s="125" t="str">
        <f t="shared" si="72"/>
        <v/>
      </c>
    </row>
    <row r="785" spans="1:24" x14ac:dyDescent="0.3">
      <c r="A785" s="129"/>
      <c r="B785" s="129"/>
      <c r="C785" s="128"/>
      <c r="D785" s="128"/>
      <c r="E785" s="128"/>
      <c r="F785" s="166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6" t="str">
        <f t="shared" si="73"/>
        <v/>
      </c>
      <c r="S785" s="163" t="str">
        <f t="shared" si="74"/>
        <v/>
      </c>
      <c r="T785" s="160" t="str">
        <f>IFERROR(INDEX(上年标准成本!$I:$I,MATCH(K785,上年标准成本!$C:$C,0),1),"")</f>
        <v/>
      </c>
      <c r="U785" s="126" t="str">
        <f t="shared" si="75"/>
        <v/>
      </c>
      <c r="V785" s="126" t="str">
        <f t="shared" si="76"/>
        <v/>
      </c>
      <c r="W785" s="124" t="str">
        <f t="shared" si="77"/>
        <v/>
      </c>
      <c r="X785" s="125" t="str">
        <f t="shared" si="72"/>
        <v/>
      </c>
    </row>
    <row r="786" spans="1:24" x14ac:dyDescent="0.3">
      <c r="A786" s="129"/>
      <c r="B786" s="129"/>
      <c r="C786" s="128"/>
      <c r="D786" s="128"/>
      <c r="E786" s="128"/>
      <c r="F786" s="166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6" t="str">
        <f t="shared" si="73"/>
        <v/>
      </c>
      <c r="S786" s="163" t="str">
        <f t="shared" si="74"/>
        <v/>
      </c>
      <c r="T786" s="160" t="str">
        <f>IFERROR(INDEX(上年标准成本!$I:$I,MATCH(K786,上年标准成本!$C:$C,0),1),"")</f>
        <v/>
      </c>
      <c r="U786" s="126" t="str">
        <f t="shared" si="75"/>
        <v/>
      </c>
      <c r="V786" s="126" t="str">
        <f t="shared" si="76"/>
        <v/>
      </c>
      <c r="W786" s="124" t="str">
        <f t="shared" si="77"/>
        <v/>
      </c>
      <c r="X786" s="125" t="str">
        <f t="shared" si="72"/>
        <v/>
      </c>
    </row>
    <row r="787" spans="1:24" x14ac:dyDescent="0.3">
      <c r="A787" s="129"/>
      <c r="B787" s="129"/>
      <c r="C787" s="128"/>
      <c r="D787" s="128"/>
      <c r="E787" s="128"/>
      <c r="F787" s="166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6" t="str">
        <f t="shared" si="73"/>
        <v/>
      </c>
      <c r="S787" s="163" t="str">
        <f t="shared" si="74"/>
        <v/>
      </c>
      <c r="T787" s="160" t="str">
        <f>IFERROR(INDEX(上年标准成本!$I:$I,MATCH(K787,上年标准成本!$C:$C,0),1),"")</f>
        <v/>
      </c>
      <c r="U787" s="126" t="str">
        <f t="shared" si="75"/>
        <v/>
      </c>
      <c r="V787" s="126" t="str">
        <f t="shared" si="76"/>
        <v/>
      </c>
      <c r="W787" s="124" t="str">
        <f t="shared" si="77"/>
        <v/>
      </c>
      <c r="X787" s="125" t="str">
        <f t="shared" si="72"/>
        <v/>
      </c>
    </row>
    <row r="788" spans="1:24" x14ac:dyDescent="0.3">
      <c r="A788" s="129"/>
      <c r="B788" s="129"/>
      <c r="C788" s="128"/>
      <c r="D788" s="128"/>
      <c r="E788" s="128"/>
      <c r="F788" s="166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6" t="str">
        <f t="shared" si="73"/>
        <v/>
      </c>
      <c r="S788" s="163" t="str">
        <f t="shared" si="74"/>
        <v/>
      </c>
      <c r="T788" s="160" t="str">
        <f>IFERROR(INDEX(上年标准成本!$I:$I,MATCH(K788,上年标准成本!$C:$C,0),1),"")</f>
        <v/>
      </c>
      <c r="U788" s="126" t="str">
        <f t="shared" si="75"/>
        <v/>
      </c>
      <c r="V788" s="126" t="str">
        <f t="shared" si="76"/>
        <v/>
      </c>
      <c r="W788" s="124" t="str">
        <f t="shared" si="77"/>
        <v/>
      </c>
      <c r="X788" s="125" t="str">
        <f t="shared" si="72"/>
        <v/>
      </c>
    </row>
    <row r="789" spans="1:24" x14ac:dyDescent="0.3">
      <c r="A789" s="129"/>
      <c r="B789" s="129"/>
      <c r="C789" s="128"/>
      <c r="D789" s="128"/>
      <c r="E789" s="128"/>
      <c r="F789" s="166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6" t="str">
        <f t="shared" si="73"/>
        <v/>
      </c>
      <c r="S789" s="163" t="str">
        <f t="shared" si="74"/>
        <v/>
      </c>
      <c r="T789" s="160" t="str">
        <f>IFERROR(INDEX(上年标准成本!$I:$I,MATCH(K789,上年标准成本!$C:$C,0),1),"")</f>
        <v/>
      </c>
      <c r="U789" s="126" t="str">
        <f t="shared" si="75"/>
        <v/>
      </c>
      <c r="V789" s="126" t="str">
        <f t="shared" si="76"/>
        <v/>
      </c>
      <c r="W789" s="124" t="str">
        <f t="shared" si="77"/>
        <v/>
      </c>
      <c r="X789" s="125" t="str">
        <f t="shared" si="72"/>
        <v/>
      </c>
    </row>
    <row r="790" spans="1:24" x14ac:dyDescent="0.3">
      <c r="A790" s="129"/>
      <c r="B790" s="129"/>
      <c r="C790" s="128"/>
      <c r="D790" s="128"/>
      <c r="E790" s="128"/>
      <c r="F790" s="166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6" t="str">
        <f t="shared" si="73"/>
        <v/>
      </c>
      <c r="S790" s="163" t="str">
        <f t="shared" si="74"/>
        <v/>
      </c>
      <c r="T790" s="160" t="str">
        <f>IFERROR(INDEX(上年标准成本!$I:$I,MATCH(K790,上年标准成本!$C:$C,0),1),"")</f>
        <v/>
      </c>
      <c r="U790" s="126" t="str">
        <f t="shared" si="75"/>
        <v/>
      </c>
      <c r="V790" s="126" t="str">
        <f t="shared" si="76"/>
        <v/>
      </c>
      <c r="W790" s="124" t="str">
        <f t="shared" si="77"/>
        <v/>
      </c>
      <c r="X790" s="125" t="str">
        <f t="shared" si="72"/>
        <v/>
      </c>
    </row>
    <row r="791" spans="1:24" x14ac:dyDescent="0.3">
      <c r="A791" s="129"/>
      <c r="B791" s="129"/>
      <c r="C791" s="128"/>
      <c r="D791" s="128"/>
      <c r="E791" s="128"/>
      <c r="F791" s="166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6" t="str">
        <f t="shared" si="73"/>
        <v/>
      </c>
      <c r="S791" s="163" t="str">
        <f t="shared" si="74"/>
        <v/>
      </c>
      <c r="T791" s="160" t="str">
        <f>IFERROR(INDEX(上年标准成本!$I:$I,MATCH(K791,上年标准成本!$C:$C,0),1),"")</f>
        <v/>
      </c>
      <c r="U791" s="126" t="str">
        <f t="shared" si="75"/>
        <v/>
      </c>
      <c r="V791" s="126" t="str">
        <f t="shared" si="76"/>
        <v/>
      </c>
      <c r="W791" s="124" t="str">
        <f t="shared" si="77"/>
        <v/>
      </c>
      <c r="X791" s="125" t="str">
        <f t="shared" si="72"/>
        <v/>
      </c>
    </row>
    <row r="792" spans="1:24" x14ac:dyDescent="0.3">
      <c r="A792" s="129"/>
      <c r="B792" s="129"/>
      <c r="C792" s="128"/>
      <c r="D792" s="128"/>
      <c r="E792" s="128"/>
      <c r="F792" s="166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6" t="str">
        <f t="shared" si="73"/>
        <v/>
      </c>
      <c r="S792" s="163" t="str">
        <f t="shared" si="74"/>
        <v/>
      </c>
      <c r="T792" s="160" t="str">
        <f>IFERROR(INDEX(上年标准成本!$I:$I,MATCH(K792,上年标准成本!$C:$C,0),1),"")</f>
        <v/>
      </c>
      <c r="U792" s="126" t="str">
        <f t="shared" si="75"/>
        <v/>
      </c>
      <c r="V792" s="126" t="str">
        <f t="shared" si="76"/>
        <v/>
      </c>
      <c r="W792" s="124" t="str">
        <f t="shared" si="77"/>
        <v/>
      </c>
      <c r="X792" s="125" t="str">
        <f t="shared" si="72"/>
        <v/>
      </c>
    </row>
    <row r="793" spans="1:24" x14ac:dyDescent="0.3">
      <c r="A793" s="129"/>
      <c r="B793" s="129"/>
      <c r="C793" s="128"/>
      <c r="D793" s="128"/>
      <c r="E793" s="128"/>
      <c r="F793" s="166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6" t="str">
        <f t="shared" si="73"/>
        <v/>
      </c>
      <c r="S793" s="163" t="str">
        <f t="shared" si="74"/>
        <v/>
      </c>
      <c r="T793" s="160" t="str">
        <f>IFERROR(INDEX(上年标准成本!$I:$I,MATCH(K793,上年标准成本!$C:$C,0),1),"")</f>
        <v/>
      </c>
      <c r="U793" s="126" t="str">
        <f t="shared" si="75"/>
        <v/>
      </c>
      <c r="V793" s="126" t="str">
        <f t="shared" si="76"/>
        <v/>
      </c>
      <c r="W793" s="124" t="str">
        <f t="shared" si="77"/>
        <v/>
      </c>
      <c r="X793" s="125" t="str">
        <f t="shared" si="72"/>
        <v/>
      </c>
    </row>
    <row r="794" spans="1:24" x14ac:dyDescent="0.3">
      <c r="A794" s="129"/>
      <c r="B794" s="129"/>
      <c r="C794" s="128"/>
      <c r="D794" s="128"/>
      <c r="E794" s="128"/>
      <c r="F794" s="166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6" t="str">
        <f t="shared" si="73"/>
        <v/>
      </c>
      <c r="S794" s="163" t="str">
        <f t="shared" si="74"/>
        <v/>
      </c>
      <c r="T794" s="160" t="str">
        <f>IFERROR(INDEX(上年标准成本!$I:$I,MATCH(K794,上年标准成本!$C:$C,0),1),"")</f>
        <v/>
      </c>
      <c r="U794" s="126" t="str">
        <f t="shared" si="75"/>
        <v/>
      </c>
      <c r="V794" s="126" t="str">
        <f t="shared" si="76"/>
        <v/>
      </c>
      <c r="W794" s="124" t="str">
        <f t="shared" si="77"/>
        <v/>
      </c>
      <c r="X794" s="125" t="str">
        <f t="shared" si="72"/>
        <v/>
      </c>
    </row>
    <row r="795" spans="1:24" x14ac:dyDescent="0.3">
      <c r="A795" s="129"/>
      <c r="B795" s="129"/>
      <c r="C795" s="128"/>
      <c r="D795" s="128"/>
      <c r="E795" s="128"/>
      <c r="F795" s="166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6" t="str">
        <f t="shared" si="73"/>
        <v/>
      </c>
      <c r="S795" s="163" t="str">
        <f t="shared" si="74"/>
        <v/>
      </c>
      <c r="T795" s="160" t="str">
        <f>IFERROR(INDEX(上年标准成本!$I:$I,MATCH(K795,上年标准成本!$C:$C,0),1),"")</f>
        <v/>
      </c>
      <c r="U795" s="126" t="str">
        <f t="shared" si="75"/>
        <v/>
      </c>
      <c r="V795" s="126" t="str">
        <f t="shared" si="76"/>
        <v/>
      </c>
      <c r="W795" s="124" t="str">
        <f t="shared" si="77"/>
        <v/>
      </c>
      <c r="X795" s="125" t="str">
        <f t="shared" si="72"/>
        <v/>
      </c>
    </row>
    <row r="796" spans="1:24" x14ac:dyDescent="0.3">
      <c r="A796" s="129"/>
      <c r="B796" s="129"/>
      <c r="C796" s="128"/>
      <c r="D796" s="128"/>
      <c r="E796" s="128"/>
      <c r="F796" s="166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6" t="str">
        <f t="shared" si="73"/>
        <v/>
      </c>
      <c r="S796" s="163" t="str">
        <f t="shared" si="74"/>
        <v/>
      </c>
      <c r="T796" s="160" t="str">
        <f>IFERROR(INDEX(上年标准成本!$I:$I,MATCH(K796,上年标准成本!$C:$C,0),1),"")</f>
        <v/>
      </c>
      <c r="U796" s="126" t="str">
        <f t="shared" si="75"/>
        <v/>
      </c>
      <c r="V796" s="126" t="str">
        <f t="shared" si="76"/>
        <v/>
      </c>
      <c r="W796" s="124" t="str">
        <f t="shared" si="77"/>
        <v/>
      </c>
      <c r="X796" s="125" t="str">
        <f t="shared" si="72"/>
        <v/>
      </c>
    </row>
    <row r="797" spans="1:24" x14ac:dyDescent="0.3">
      <c r="A797" s="129"/>
      <c r="B797" s="129"/>
      <c r="C797" s="128"/>
      <c r="D797" s="128"/>
      <c r="E797" s="128"/>
      <c r="F797" s="166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6" t="str">
        <f t="shared" si="73"/>
        <v/>
      </c>
      <c r="S797" s="163" t="str">
        <f t="shared" si="74"/>
        <v/>
      </c>
      <c r="T797" s="160" t="str">
        <f>IFERROR(INDEX(上年标准成本!$I:$I,MATCH(K797,上年标准成本!$C:$C,0),1),"")</f>
        <v/>
      </c>
      <c r="U797" s="126" t="str">
        <f t="shared" si="75"/>
        <v/>
      </c>
      <c r="V797" s="126" t="str">
        <f t="shared" si="76"/>
        <v/>
      </c>
      <c r="W797" s="124" t="str">
        <f t="shared" si="77"/>
        <v/>
      </c>
      <c r="X797" s="125" t="str">
        <f t="shared" si="72"/>
        <v/>
      </c>
    </row>
    <row r="798" spans="1:24" x14ac:dyDescent="0.3">
      <c r="A798" s="129"/>
      <c r="B798" s="129"/>
      <c r="C798" s="128"/>
      <c r="D798" s="128"/>
      <c r="E798" s="128"/>
      <c r="F798" s="166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6" t="str">
        <f t="shared" si="73"/>
        <v/>
      </c>
      <c r="S798" s="163" t="str">
        <f t="shared" si="74"/>
        <v/>
      </c>
      <c r="T798" s="160" t="str">
        <f>IFERROR(INDEX(上年标准成本!$I:$I,MATCH(K798,上年标准成本!$C:$C,0),1),"")</f>
        <v/>
      </c>
      <c r="U798" s="126" t="str">
        <f t="shared" si="75"/>
        <v/>
      </c>
      <c r="V798" s="126" t="str">
        <f t="shared" si="76"/>
        <v/>
      </c>
      <c r="W798" s="124" t="str">
        <f t="shared" si="77"/>
        <v/>
      </c>
      <c r="X798" s="125" t="str">
        <f t="shared" si="72"/>
        <v/>
      </c>
    </row>
    <row r="799" spans="1:24" x14ac:dyDescent="0.3">
      <c r="A799" s="129"/>
      <c r="B799" s="129"/>
      <c r="C799" s="128"/>
      <c r="D799" s="128"/>
      <c r="E799" s="128"/>
      <c r="F799" s="166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6" t="str">
        <f t="shared" si="73"/>
        <v/>
      </c>
      <c r="S799" s="163" t="str">
        <f t="shared" si="74"/>
        <v/>
      </c>
      <c r="T799" s="160" t="str">
        <f>IFERROR(INDEX(上年标准成本!$I:$I,MATCH(K799,上年标准成本!$C:$C,0),1),"")</f>
        <v/>
      </c>
      <c r="U799" s="126" t="str">
        <f t="shared" si="75"/>
        <v/>
      </c>
      <c r="V799" s="126" t="str">
        <f t="shared" si="76"/>
        <v/>
      </c>
      <c r="W799" s="124" t="str">
        <f t="shared" si="77"/>
        <v/>
      </c>
      <c r="X799" s="125" t="str">
        <f t="shared" si="72"/>
        <v/>
      </c>
    </row>
    <row r="800" spans="1:24" x14ac:dyDescent="0.3">
      <c r="A800" s="129"/>
      <c r="B800" s="129"/>
      <c r="C800" s="128"/>
      <c r="D800" s="128"/>
      <c r="E800" s="128"/>
      <c r="F800" s="166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6" t="str">
        <f t="shared" si="73"/>
        <v/>
      </c>
      <c r="S800" s="163" t="str">
        <f t="shared" si="74"/>
        <v/>
      </c>
      <c r="T800" s="160" t="str">
        <f>IFERROR(INDEX(上年标准成本!$I:$I,MATCH(K800,上年标准成本!$C:$C,0),1),"")</f>
        <v/>
      </c>
      <c r="U800" s="126" t="str">
        <f t="shared" si="75"/>
        <v/>
      </c>
      <c r="V800" s="126" t="str">
        <f t="shared" si="76"/>
        <v/>
      </c>
      <c r="W800" s="124" t="str">
        <f t="shared" si="77"/>
        <v/>
      </c>
      <c r="X800" s="125" t="str">
        <f t="shared" si="72"/>
        <v/>
      </c>
    </row>
    <row r="801" spans="1:24" x14ac:dyDescent="0.3">
      <c r="A801" s="129"/>
      <c r="B801" s="129"/>
      <c r="C801" s="128"/>
      <c r="D801" s="128"/>
      <c r="E801" s="128"/>
      <c r="F801" s="166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6" t="str">
        <f t="shared" si="73"/>
        <v/>
      </c>
      <c r="S801" s="163" t="str">
        <f t="shared" si="74"/>
        <v/>
      </c>
      <c r="T801" s="160" t="str">
        <f>IFERROR(INDEX(上年标准成本!$I:$I,MATCH(K801,上年标准成本!$C:$C,0),1),"")</f>
        <v/>
      </c>
      <c r="U801" s="126" t="str">
        <f t="shared" si="75"/>
        <v/>
      </c>
      <c r="V801" s="126" t="str">
        <f t="shared" si="76"/>
        <v/>
      </c>
      <c r="W801" s="124" t="str">
        <f t="shared" si="77"/>
        <v/>
      </c>
      <c r="X801" s="125" t="str">
        <f t="shared" si="72"/>
        <v/>
      </c>
    </row>
    <row r="802" spans="1:24" x14ac:dyDescent="0.3">
      <c r="A802" s="129"/>
      <c r="B802" s="129"/>
      <c r="C802" s="128"/>
      <c r="D802" s="128"/>
      <c r="E802" s="128"/>
      <c r="F802" s="166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6" t="str">
        <f t="shared" si="73"/>
        <v/>
      </c>
      <c r="S802" s="163" t="str">
        <f t="shared" si="74"/>
        <v/>
      </c>
      <c r="T802" s="160" t="str">
        <f>IFERROR(INDEX(上年标准成本!$I:$I,MATCH(K802,上年标准成本!$C:$C,0),1),"")</f>
        <v/>
      </c>
      <c r="U802" s="126" t="str">
        <f t="shared" si="75"/>
        <v/>
      </c>
      <c r="V802" s="126" t="str">
        <f t="shared" si="76"/>
        <v/>
      </c>
      <c r="W802" s="124" t="str">
        <f t="shared" si="77"/>
        <v/>
      </c>
      <c r="X802" s="125" t="str">
        <f t="shared" si="72"/>
        <v/>
      </c>
    </row>
    <row r="803" spans="1:24" x14ac:dyDescent="0.3">
      <c r="A803" s="129"/>
      <c r="B803" s="129"/>
      <c r="C803" s="128"/>
      <c r="D803" s="128"/>
      <c r="E803" s="128"/>
      <c r="F803" s="166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6" t="str">
        <f t="shared" si="73"/>
        <v/>
      </c>
      <c r="S803" s="163" t="str">
        <f t="shared" si="74"/>
        <v/>
      </c>
      <c r="T803" s="160" t="str">
        <f>IFERROR(INDEX(上年标准成本!$I:$I,MATCH(K803,上年标准成本!$C:$C,0),1),"")</f>
        <v/>
      </c>
      <c r="U803" s="126" t="str">
        <f t="shared" si="75"/>
        <v/>
      </c>
      <c r="V803" s="126" t="str">
        <f t="shared" si="76"/>
        <v/>
      </c>
      <c r="W803" s="124" t="str">
        <f t="shared" si="77"/>
        <v/>
      </c>
      <c r="X803" s="125" t="str">
        <f t="shared" si="72"/>
        <v/>
      </c>
    </row>
    <row r="804" spans="1:24" x14ac:dyDescent="0.3">
      <c r="A804" s="129"/>
      <c r="B804" s="129"/>
      <c r="C804" s="128"/>
      <c r="D804" s="128"/>
      <c r="E804" s="128"/>
      <c r="F804" s="166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6" t="str">
        <f t="shared" si="73"/>
        <v/>
      </c>
      <c r="S804" s="163" t="str">
        <f t="shared" si="74"/>
        <v/>
      </c>
      <c r="T804" s="160" t="str">
        <f>IFERROR(INDEX(上年标准成本!$I:$I,MATCH(K804,上年标准成本!$C:$C,0),1),"")</f>
        <v/>
      </c>
      <c r="U804" s="126" t="str">
        <f t="shared" si="75"/>
        <v/>
      </c>
      <c r="V804" s="126" t="str">
        <f t="shared" si="76"/>
        <v/>
      </c>
      <c r="W804" s="124" t="str">
        <f t="shared" si="77"/>
        <v/>
      </c>
      <c r="X804" s="125" t="str">
        <f t="shared" si="72"/>
        <v/>
      </c>
    </row>
    <row r="805" spans="1:24" x14ac:dyDescent="0.3">
      <c r="A805" s="129"/>
      <c r="B805" s="129"/>
      <c r="C805" s="128"/>
      <c r="D805" s="128"/>
      <c r="E805" s="128"/>
      <c r="F805" s="166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6" t="str">
        <f t="shared" si="73"/>
        <v/>
      </c>
      <c r="S805" s="163" t="str">
        <f t="shared" si="74"/>
        <v/>
      </c>
      <c r="T805" s="160" t="str">
        <f>IFERROR(INDEX(上年标准成本!$I:$I,MATCH(K805,上年标准成本!$C:$C,0),1),"")</f>
        <v/>
      </c>
      <c r="U805" s="126" t="str">
        <f t="shared" si="75"/>
        <v/>
      </c>
      <c r="V805" s="126" t="str">
        <f t="shared" si="76"/>
        <v/>
      </c>
      <c r="W805" s="124" t="str">
        <f t="shared" si="77"/>
        <v/>
      </c>
      <c r="X805" s="125" t="str">
        <f t="shared" si="72"/>
        <v/>
      </c>
    </row>
    <row r="806" spans="1:24" x14ac:dyDescent="0.3">
      <c r="A806" s="129"/>
      <c r="B806" s="129"/>
      <c r="C806" s="128"/>
      <c r="D806" s="128"/>
      <c r="E806" s="128"/>
      <c r="F806" s="166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6" t="str">
        <f t="shared" si="73"/>
        <v/>
      </c>
      <c r="S806" s="163" t="str">
        <f t="shared" si="74"/>
        <v/>
      </c>
      <c r="T806" s="160" t="str">
        <f>IFERROR(INDEX(上年标准成本!$I:$I,MATCH(K806,上年标准成本!$C:$C,0),1),"")</f>
        <v/>
      </c>
      <c r="U806" s="126" t="str">
        <f t="shared" si="75"/>
        <v/>
      </c>
      <c r="V806" s="126" t="str">
        <f t="shared" si="76"/>
        <v/>
      </c>
      <c r="W806" s="124" t="str">
        <f t="shared" si="77"/>
        <v/>
      </c>
      <c r="X806" s="125" t="str">
        <f t="shared" si="72"/>
        <v/>
      </c>
    </row>
    <row r="807" spans="1:24" x14ac:dyDescent="0.3">
      <c r="A807" s="129"/>
      <c r="B807" s="129"/>
      <c r="C807" s="128"/>
      <c r="D807" s="128"/>
      <c r="E807" s="128"/>
      <c r="F807" s="166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6" t="str">
        <f t="shared" si="73"/>
        <v/>
      </c>
      <c r="S807" s="163" t="str">
        <f t="shared" si="74"/>
        <v/>
      </c>
      <c r="T807" s="160" t="str">
        <f>IFERROR(INDEX(上年标准成本!$I:$I,MATCH(K807,上年标准成本!$C:$C,0),1),"")</f>
        <v/>
      </c>
      <c r="U807" s="126" t="str">
        <f t="shared" si="75"/>
        <v/>
      </c>
      <c r="V807" s="126" t="str">
        <f t="shared" si="76"/>
        <v/>
      </c>
      <c r="W807" s="124" t="str">
        <f t="shared" si="77"/>
        <v/>
      </c>
      <c r="X807" s="125" t="str">
        <f t="shared" si="72"/>
        <v/>
      </c>
    </row>
    <row r="808" spans="1:24" x14ac:dyDescent="0.3">
      <c r="A808" s="129"/>
      <c r="B808" s="129"/>
      <c r="C808" s="128"/>
      <c r="D808" s="128"/>
      <c r="E808" s="128"/>
      <c r="F808" s="166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6" t="str">
        <f t="shared" si="73"/>
        <v/>
      </c>
      <c r="S808" s="163" t="str">
        <f t="shared" si="74"/>
        <v/>
      </c>
      <c r="T808" s="160" t="str">
        <f>IFERROR(INDEX(上年标准成本!$I:$I,MATCH(K808,上年标准成本!$C:$C,0),1),"")</f>
        <v/>
      </c>
      <c r="U808" s="126" t="str">
        <f t="shared" si="75"/>
        <v/>
      </c>
      <c r="V808" s="126" t="str">
        <f t="shared" si="76"/>
        <v/>
      </c>
      <c r="W808" s="124" t="str">
        <f t="shared" si="77"/>
        <v/>
      </c>
      <c r="X808" s="125" t="str">
        <f t="shared" si="72"/>
        <v/>
      </c>
    </row>
    <row r="809" spans="1:24" x14ac:dyDescent="0.3">
      <c r="A809" s="129"/>
      <c r="B809" s="129"/>
      <c r="C809" s="128"/>
      <c r="D809" s="128"/>
      <c r="E809" s="128"/>
      <c r="F809" s="166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6" t="str">
        <f t="shared" si="73"/>
        <v/>
      </c>
      <c r="S809" s="163" t="str">
        <f t="shared" si="74"/>
        <v/>
      </c>
      <c r="T809" s="160" t="str">
        <f>IFERROR(INDEX(上年标准成本!$I:$I,MATCH(K809,上年标准成本!$C:$C,0),1),"")</f>
        <v/>
      </c>
      <c r="U809" s="126" t="str">
        <f t="shared" si="75"/>
        <v/>
      </c>
      <c r="V809" s="126" t="str">
        <f t="shared" si="76"/>
        <v/>
      </c>
      <c r="W809" s="124" t="str">
        <f t="shared" si="77"/>
        <v/>
      </c>
      <c r="X809" s="125" t="str">
        <f t="shared" si="72"/>
        <v/>
      </c>
    </row>
    <row r="810" spans="1:24" x14ac:dyDescent="0.3">
      <c r="A810" s="129"/>
      <c r="B810" s="129"/>
      <c r="C810" s="128"/>
      <c r="D810" s="128"/>
      <c r="E810" s="128"/>
      <c r="F810" s="166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6" t="str">
        <f t="shared" si="73"/>
        <v/>
      </c>
      <c r="S810" s="163" t="str">
        <f t="shared" si="74"/>
        <v/>
      </c>
      <c r="T810" s="160" t="str">
        <f>IFERROR(INDEX(上年标准成本!$I:$I,MATCH(K810,上年标准成本!$C:$C,0),1),"")</f>
        <v/>
      </c>
      <c r="U810" s="126" t="str">
        <f t="shared" si="75"/>
        <v/>
      </c>
      <c r="V810" s="126" t="str">
        <f t="shared" si="76"/>
        <v/>
      </c>
      <c r="W810" s="124" t="str">
        <f t="shared" si="77"/>
        <v/>
      </c>
      <c r="X810" s="125" t="str">
        <f t="shared" si="72"/>
        <v/>
      </c>
    </row>
    <row r="811" spans="1:24" x14ac:dyDescent="0.3">
      <c r="A811" s="129"/>
      <c r="B811" s="129"/>
      <c r="C811" s="128"/>
      <c r="D811" s="128"/>
      <c r="E811" s="128"/>
      <c r="F811" s="166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6" t="str">
        <f t="shared" si="73"/>
        <v/>
      </c>
      <c r="S811" s="163" t="str">
        <f t="shared" si="74"/>
        <v/>
      </c>
      <c r="T811" s="160" t="str">
        <f>IFERROR(INDEX(上年标准成本!$I:$I,MATCH(K811,上年标准成本!$C:$C,0),1),"")</f>
        <v/>
      </c>
      <c r="U811" s="126" t="str">
        <f t="shared" si="75"/>
        <v/>
      </c>
      <c r="V811" s="126" t="str">
        <f t="shared" si="76"/>
        <v/>
      </c>
      <c r="W811" s="124" t="str">
        <f t="shared" si="77"/>
        <v/>
      </c>
      <c r="X811" s="125" t="str">
        <f t="shared" si="72"/>
        <v/>
      </c>
    </row>
    <row r="812" spans="1:24" x14ac:dyDescent="0.3">
      <c r="A812" s="129"/>
      <c r="B812" s="129"/>
      <c r="C812" s="128"/>
      <c r="D812" s="128"/>
      <c r="E812" s="128"/>
      <c r="F812" s="166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6" t="str">
        <f t="shared" si="73"/>
        <v/>
      </c>
      <c r="S812" s="163" t="str">
        <f t="shared" si="74"/>
        <v/>
      </c>
      <c r="T812" s="160" t="str">
        <f>IFERROR(INDEX(上年标准成本!$I:$I,MATCH(K812,上年标准成本!$C:$C,0),1),"")</f>
        <v/>
      </c>
      <c r="U812" s="126" t="str">
        <f t="shared" si="75"/>
        <v/>
      </c>
      <c r="V812" s="126" t="str">
        <f t="shared" si="76"/>
        <v/>
      </c>
      <c r="W812" s="124" t="str">
        <f t="shared" si="77"/>
        <v/>
      </c>
      <c r="X812" s="125" t="str">
        <f t="shared" si="72"/>
        <v/>
      </c>
    </row>
    <row r="813" spans="1:24" x14ac:dyDescent="0.3">
      <c r="A813" s="129"/>
      <c r="B813" s="129"/>
      <c r="C813" s="128"/>
      <c r="D813" s="128"/>
      <c r="E813" s="128"/>
      <c r="F813" s="166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6" t="str">
        <f t="shared" si="73"/>
        <v/>
      </c>
      <c r="S813" s="163" t="str">
        <f t="shared" si="74"/>
        <v/>
      </c>
      <c r="T813" s="160" t="str">
        <f>IFERROR(INDEX(上年标准成本!$I:$I,MATCH(K813,上年标准成本!$C:$C,0),1),"")</f>
        <v/>
      </c>
      <c r="U813" s="126" t="str">
        <f t="shared" si="75"/>
        <v/>
      </c>
      <c r="V813" s="126" t="str">
        <f t="shared" si="76"/>
        <v/>
      </c>
      <c r="W813" s="124" t="str">
        <f t="shared" si="77"/>
        <v/>
      </c>
      <c r="X813" s="125" t="str">
        <f t="shared" si="72"/>
        <v/>
      </c>
    </row>
    <row r="814" spans="1:24" x14ac:dyDescent="0.3">
      <c r="A814" s="129"/>
      <c r="B814" s="129"/>
      <c r="C814" s="128"/>
      <c r="D814" s="128"/>
      <c r="E814" s="128"/>
      <c r="F814" s="166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6" t="str">
        <f t="shared" si="73"/>
        <v/>
      </c>
      <c r="S814" s="163" t="str">
        <f t="shared" si="74"/>
        <v/>
      </c>
      <c r="T814" s="160" t="str">
        <f>IFERROR(INDEX(上年标准成本!$I:$I,MATCH(K814,上年标准成本!$C:$C,0),1),"")</f>
        <v/>
      </c>
      <c r="U814" s="126" t="str">
        <f t="shared" si="75"/>
        <v/>
      </c>
      <c r="V814" s="126" t="str">
        <f t="shared" si="76"/>
        <v/>
      </c>
      <c r="W814" s="124" t="str">
        <f t="shared" si="77"/>
        <v/>
      </c>
      <c r="X814" s="125" t="str">
        <f t="shared" si="72"/>
        <v/>
      </c>
    </row>
    <row r="815" spans="1:24" x14ac:dyDescent="0.3">
      <c r="A815" s="129"/>
      <c r="B815" s="129"/>
      <c r="C815" s="128"/>
      <c r="D815" s="128"/>
      <c r="E815" s="128"/>
      <c r="F815" s="166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6" t="str">
        <f t="shared" si="73"/>
        <v/>
      </c>
      <c r="S815" s="163" t="str">
        <f t="shared" si="74"/>
        <v/>
      </c>
      <c r="T815" s="160" t="str">
        <f>IFERROR(INDEX(上年标准成本!$I:$I,MATCH(K815,上年标准成本!$C:$C,0),1),"")</f>
        <v/>
      </c>
      <c r="U815" s="126" t="str">
        <f t="shared" si="75"/>
        <v/>
      </c>
      <c r="V815" s="126" t="str">
        <f t="shared" si="76"/>
        <v/>
      </c>
      <c r="W815" s="124" t="str">
        <f t="shared" si="77"/>
        <v/>
      </c>
      <c r="X815" s="125" t="str">
        <f t="shared" si="72"/>
        <v/>
      </c>
    </row>
    <row r="816" spans="1:24" x14ac:dyDescent="0.3">
      <c r="A816" s="129"/>
      <c r="B816" s="129"/>
      <c r="C816" s="128"/>
      <c r="D816" s="128"/>
      <c r="E816" s="128"/>
      <c r="F816" s="166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6" t="str">
        <f t="shared" si="73"/>
        <v/>
      </c>
      <c r="S816" s="163" t="str">
        <f t="shared" si="74"/>
        <v/>
      </c>
      <c r="T816" s="160" t="str">
        <f>IFERROR(INDEX(上年标准成本!$I:$I,MATCH(K816,上年标准成本!$C:$C,0),1),"")</f>
        <v/>
      </c>
      <c r="U816" s="126" t="str">
        <f t="shared" si="75"/>
        <v/>
      </c>
      <c r="V816" s="126" t="str">
        <f t="shared" si="76"/>
        <v/>
      </c>
      <c r="W816" s="124" t="str">
        <f t="shared" si="77"/>
        <v/>
      </c>
      <c r="X816" s="125" t="str">
        <f t="shared" si="72"/>
        <v/>
      </c>
    </row>
    <row r="817" spans="1:24" x14ac:dyDescent="0.3">
      <c r="A817" s="129"/>
      <c r="B817" s="129"/>
      <c r="C817" s="128"/>
      <c r="D817" s="128"/>
      <c r="E817" s="128"/>
      <c r="F817" s="166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6" t="str">
        <f t="shared" si="73"/>
        <v/>
      </c>
      <c r="S817" s="163" t="str">
        <f t="shared" si="74"/>
        <v/>
      </c>
      <c r="T817" s="160" t="str">
        <f>IFERROR(INDEX(上年标准成本!$I:$I,MATCH(K817,上年标准成本!$C:$C,0),1),"")</f>
        <v/>
      </c>
      <c r="U817" s="126" t="str">
        <f t="shared" si="75"/>
        <v/>
      </c>
      <c r="V817" s="126" t="str">
        <f t="shared" si="76"/>
        <v/>
      </c>
      <c r="W817" s="124" t="str">
        <f t="shared" si="77"/>
        <v/>
      </c>
      <c r="X817" s="125" t="str">
        <f t="shared" si="72"/>
        <v/>
      </c>
    </row>
    <row r="818" spans="1:24" x14ac:dyDescent="0.3">
      <c r="A818" s="129"/>
      <c r="B818" s="129"/>
      <c r="C818" s="128"/>
      <c r="D818" s="128"/>
      <c r="E818" s="128"/>
      <c r="F818" s="166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6" t="str">
        <f t="shared" si="73"/>
        <v/>
      </c>
      <c r="S818" s="163" t="str">
        <f t="shared" si="74"/>
        <v/>
      </c>
      <c r="T818" s="160" t="str">
        <f>IFERROR(INDEX(上年标准成本!$I:$I,MATCH(K818,上年标准成本!$C:$C,0),1),"")</f>
        <v/>
      </c>
      <c r="U818" s="126" t="str">
        <f t="shared" si="75"/>
        <v/>
      </c>
      <c r="V818" s="126" t="str">
        <f t="shared" si="76"/>
        <v/>
      </c>
      <c r="W818" s="124" t="str">
        <f t="shared" si="77"/>
        <v/>
      </c>
      <c r="X818" s="125" t="str">
        <f t="shared" si="72"/>
        <v/>
      </c>
    </row>
    <row r="819" spans="1:24" x14ac:dyDescent="0.3">
      <c r="A819" s="129"/>
      <c r="B819" s="129"/>
      <c r="C819" s="128"/>
      <c r="D819" s="128"/>
      <c r="E819" s="128"/>
      <c r="F819" s="166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6" t="str">
        <f t="shared" si="73"/>
        <v/>
      </c>
      <c r="S819" s="163" t="str">
        <f t="shared" si="74"/>
        <v/>
      </c>
      <c r="T819" s="160" t="str">
        <f>IFERROR(INDEX(上年标准成本!$I:$I,MATCH(K819,上年标准成本!$C:$C,0),1),"")</f>
        <v/>
      </c>
      <c r="U819" s="126" t="str">
        <f t="shared" si="75"/>
        <v/>
      </c>
      <c r="V819" s="126" t="str">
        <f t="shared" si="76"/>
        <v/>
      </c>
      <c r="W819" s="124" t="str">
        <f t="shared" si="77"/>
        <v/>
      </c>
      <c r="X819" s="125" t="str">
        <f t="shared" si="72"/>
        <v/>
      </c>
    </row>
    <row r="820" spans="1:24" x14ac:dyDescent="0.3">
      <c r="A820" s="129"/>
      <c r="B820" s="129"/>
      <c r="C820" s="128"/>
      <c r="D820" s="128"/>
      <c r="E820" s="128"/>
      <c r="F820" s="166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6" t="str">
        <f t="shared" si="73"/>
        <v/>
      </c>
      <c r="S820" s="163" t="str">
        <f t="shared" si="74"/>
        <v/>
      </c>
      <c r="T820" s="160" t="str">
        <f>IFERROR(INDEX(上年标准成本!$I:$I,MATCH(K820,上年标准成本!$C:$C,0),1),"")</f>
        <v/>
      </c>
      <c r="U820" s="126" t="str">
        <f t="shared" si="75"/>
        <v/>
      </c>
      <c r="V820" s="126" t="str">
        <f t="shared" si="76"/>
        <v/>
      </c>
      <c r="W820" s="124" t="str">
        <f t="shared" si="77"/>
        <v/>
      </c>
      <c r="X820" s="125" t="str">
        <f t="shared" si="72"/>
        <v/>
      </c>
    </row>
    <row r="821" spans="1:24" x14ac:dyDescent="0.3">
      <c r="A821" s="129"/>
      <c r="B821" s="129"/>
      <c r="C821" s="128"/>
      <c r="D821" s="128"/>
      <c r="E821" s="128"/>
      <c r="F821" s="166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6" t="str">
        <f t="shared" si="73"/>
        <v/>
      </c>
      <c r="S821" s="163" t="str">
        <f t="shared" si="74"/>
        <v/>
      </c>
      <c r="T821" s="160" t="str">
        <f>IFERROR(INDEX(上年标准成本!$I:$I,MATCH(K821,上年标准成本!$C:$C,0),1),"")</f>
        <v/>
      </c>
      <c r="U821" s="126" t="str">
        <f t="shared" si="75"/>
        <v/>
      </c>
      <c r="V821" s="126" t="str">
        <f t="shared" si="76"/>
        <v/>
      </c>
      <c r="W821" s="124" t="str">
        <f t="shared" si="77"/>
        <v/>
      </c>
      <c r="X821" s="125" t="str">
        <f t="shared" si="72"/>
        <v/>
      </c>
    </row>
    <row r="822" spans="1:24" x14ac:dyDescent="0.3">
      <c r="A822" s="129"/>
      <c r="B822" s="129"/>
      <c r="C822" s="128"/>
      <c r="D822" s="128"/>
      <c r="E822" s="128"/>
      <c r="F822" s="166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6" t="str">
        <f t="shared" si="73"/>
        <v/>
      </c>
      <c r="S822" s="163" t="str">
        <f t="shared" si="74"/>
        <v/>
      </c>
      <c r="T822" s="160" t="str">
        <f>IFERROR(INDEX(上年标准成本!$I:$I,MATCH(K822,上年标准成本!$C:$C,0),1),"")</f>
        <v/>
      </c>
      <c r="U822" s="126" t="str">
        <f t="shared" si="75"/>
        <v/>
      </c>
      <c r="V822" s="126" t="str">
        <f t="shared" si="76"/>
        <v/>
      </c>
      <c r="W822" s="124" t="str">
        <f t="shared" si="77"/>
        <v/>
      </c>
      <c r="X822" s="125" t="str">
        <f t="shared" si="72"/>
        <v/>
      </c>
    </row>
    <row r="823" spans="1:24" x14ac:dyDescent="0.3">
      <c r="A823" s="129"/>
      <c r="B823" s="129"/>
      <c r="C823" s="128"/>
      <c r="D823" s="128"/>
      <c r="E823" s="128"/>
      <c r="F823" s="166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6" t="str">
        <f t="shared" si="73"/>
        <v/>
      </c>
      <c r="S823" s="163" t="str">
        <f t="shared" si="74"/>
        <v/>
      </c>
      <c r="T823" s="160" t="str">
        <f>IFERROR(INDEX(上年标准成本!$I:$I,MATCH(K823,上年标准成本!$C:$C,0),1),"")</f>
        <v/>
      </c>
      <c r="U823" s="126" t="str">
        <f t="shared" si="75"/>
        <v/>
      </c>
      <c r="V823" s="126" t="str">
        <f t="shared" si="76"/>
        <v/>
      </c>
      <c r="W823" s="124" t="str">
        <f t="shared" si="77"/>
        <v/>
      </c>
      <c r="X823" s="125" t="str">
        <f t="shared" si="72"/>
        <v/>
      </c>
    </row>
    <row r="824" spans="1:24" x14ac:dyDescent="0.3">
      <c r="A824" s="129"/>
      <c r="B824" s="129"/>
      <c r="C824" s="128"/>
      <c r="D824" s="128"/>
      <c r="E824" s="128"/>
      <c r="F824" s="166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6" t="str">
        <f t="shared" si="73"/>
        <v/>
      </c>
      <c r="S824" s="163" t="str">
        <f t="shared" si="74"/>
        <v/>
      </c>
      <c r="T824" s="160" t="str">
        <f>IFERROR(INDEX(上年标准成本!$I:$I,MATCH(K824,上年标准成本!$C:$C,0),1),"")</f>
        <v/>
      </c>
      <c r="U824" s="126" t="str">
        <f t="shared" si="75"/>
        <v/>
      </c>
      <c r="V824" s="126" t="str">
        <f t="shared" si="76"/>
        <v/>
      </c>
      <c r="W824" s="124" t="str">
        <f t="shared" si="77"/>
        <v/>
      </c>
      <c r="X824" s="125" t="str">
        <f t="shared" si="72"/>
        <v/>
      </c>
    </row>
    <row r="825" spans="1:24" x14ac:dyDescent="0.3">
      <c r="A825" s="129"/>
      <c r="B825" s="129"/>
      <c r="C825" s="128"/>
      <c r="D825" s="128"/>
      <c r="E825" s="128"/>
      <c r="F825" s="166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6" t="str">
        <f t="shared" si="73"/>
        <v/>
      </c>
      <c r="S825" s="163" t="str">
        <f t="shared" si="74"/>
        <v/>
      </c>
      <c r="T825" s="160" t="str">
        <f>IFERROR(INDEX(上年标准成本!$I:$I,MATCH(K825,上年标准成本!$C:$C,0),1),"")</f>
        <v/>
      </c>
      <c r="U825" s="126" t="str">
        <f t="shared" si="75"/>
        <v/>
      </c>
      <c r="V825" s="126" t="str">
        <f t="shared" si="76"/>
        <v/>
      </c>
      <c r="W825" s="124" t="str">
        <f t="shared" si="77"/>
        <v/>
      </c>
      <c r="X825" s="125" t="str">
        <f t="shared" si="72"/>
        <v/>
      </c>
    </row>
    <row r="826" spans="1:24" x14ac:dyDescent="0.3">
      <c r="A826" s="129"/>
      <c r="B826" s="129"/>
      <c r="C826" s="128"/>
      <c r="D826" s="128"/>
      <c r="E826" s="128"/>
      <c r="F826" s="166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6" t="str">
        <f t="shared" si="73"/>
        <v/>
      </c>
      <c r="S826" s="163" t="str">
        <f t="shared" si="74"/>
        <v/>
      </c>
      <c r="T826" s="160" t="str">
        <f>IFERROR(INDEX(上年标准成本!$I:$I,MATCH(K826,上年标准成本!$C:$C,0),1),"")</f>
        <v/>
      </c>
      <c r="U826" s="126" t="str">
        <f t="shared" si="75"/>
        <v/>
      </c>
      <c r="V826" s="126" t="str">
        <f t="shared" si="76"/>
        <v/>
      </c>
      <c r="W826" s="124" t="str">
        <f t="shared" si="77"/>
        <v/>
      </c>
      <c r="X826" s="125" t="str">
        <f t="shared" si="72"/>
        <v/>
      </c>
    </row>
    <row r="827" spans="1:24" x14ac:dyDescent="0.3">
      <c r="A827" s="129"/>
      <c r="B827" s="129"/>
      <c r="C827" s="128"/>
      <c r="D827" s="128"/>
      <c r="E827" s="128"/>
      <c r="F827" s="166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6" t="str">
        <f t="shared" si="73"/>
        <v/>
      </c>
      <c r="S827" s="163" t="str">
        <f t="shared" si="74"/>
        <v/>
      </c>
      <c r="T827" s="160" t="str">
        <f>IFERROR(INDEX(上年标准成本!$I:$I,MATCH(K827,上年标准成本!$C:$C,0),1),"")</f>
        <v/>
      </c>
      <c r="U827" s="126" t="str">
        <f t="shared" si="75"/>
        <v/>
      </c>
      <c r="V827" s="126" t="str">
        <f t="shared" si="76"/>
        <v/>
      </c>
      <c r="W827" s="124" t="str">
        <f t="shared" si="77"/>
        <v/>
      </c>
      <c r="X827" s="125" t="str">
        <f t="shared" si="72"/>
        <v/>
      </c>
    </row>
    <row r="828" spans="1:24" x14ac:dyDescent="0.3">
      <c r="A828" s="129"/>
      <c r="B828" s="129"/>
      <c r="C828" s="128"/>
      <c r="D828" s="128"/>
      <c r="E828" s="128"/>
      <c r="F828" s="166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6" t="str">
        <f t="shared" si="73"/>
        <v/>
      </c>
      <c r="S828" s="163" t="str">
        <f t="shared" si="74"/>
        <v/>
      </c>
      <c r="T828" s="160" t="str">
        <f>IFERROR(INDEX(上年标准成本!$I:$I,MATCH(K828,上年标准成本!$C:$C,0),1),"")</f>
        <v/>
      </c>
      <c r="U828" s="126" t="str">
        <f t="shared" si="75"/>
        <v/>
      </c>
      <c r="V828" s="126" t="str">
        <f t="shared" si="76"/>
        <v/>
      </c>
      <c r="W828" s="124" t="str">
        <f t="shared" si="77"/>
        <v/>
      </c>
      <c r="X828" s="125" t="str">
        <f t="shared" si="72"/>
        <v/>
      </c>
    </row>
    <row r="829" spans="1:24" x14ac:dyDescent="0.3">
      <c r="A829" s="129"/>
      <c r="B829" s="129"/>
      <c r="C829" s="128"/>
      <c r="D829" s="128"/>
      <c r="E829" s="128"/>
      <c r="F829" s="166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6" t="str">
        <f t="shared" si="73"/>
        <v/>
      </c>
      <c r="S829" s="163" t="str">
        <f t="shared" si="74"/>
        <v/>
      </c>
      <c r="T829" s="160" t="str">
        <f>IFERROR(INDEX(上年标准成本!$I:$I,MATCH(K829,上年标准成本!$C:$C,0),1),"")</f>
        <v/>
      </c>
      <c r="U829" s="126" t="str">
        <f t="shared" si="75"/>
        <v/>
      </c>
      <c r="V829" s="126" t="str">
        <f t="shared" si="76"/>
        <v/>
      </c>
      <c r="W829" s="124" t="str">
        <f t="shared" si="77"/>
        <v/>
      </c>
      <c r="X829" s="125" t="str">
        <f t="shared" si="72"/>
        <v/>
      </c>
    </row>
    <row r="830" spans="1:24" x14ac:dyDescent="0.3">
      <c r="A830" s="129"/>
      <c r="B830" s="129"/>
      <c r="C830" s="128"/>
      <c r="D830" s="128"/>
      <c r="E830" s="128"/>
      <c r="F830" s="166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6" t="str">
        <f t="shared" si="73"/>
        <v/>
      </c>
      <c r="S830" s="163" t="str">
        <f t="shared" si="74"/>
        <v/>
      </c>
      <c r="T830" s="160" t="str">
        <f>IFERROR(INDEX(上年标准成本!$I:$I,MATCH(K830,上年标准成本!$C:$C,0),1),"")</f>
        <v/>
      </c>
      <c r="U830" s="126" t="str">
        <f t="shared" si="75"/>
        <v/>
      </c>
      <c r="V830" s="126" t="str">
        <f t="shared" si="76"/>
        <v/>
      </c>
      <c r="W830" s="124" t="str">
        <f t="shared" si="77"/>
        <v/>
      </c>
      <c r="X830" s="125" t="str">
        <f t="shared" si="72"/>
        <v/>
      </c>
    </row>
    <row r="831" spans="1:24" x14ac:dyDescent="0.3">
      <c r="A831" s="129"/>
      <c r="B831" s="129"/>
      <c r="C831" s="128"/>
      <c r="D831" s="128"/>
      <c r="E831" s="128"/>
      <c r="F831" s="166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6" t="str">
        <f t="shared" si="73"/>
        <v/>
      </c>
      <c r="S831" s="163" t="str">
        <f t="shared" si="74"/>
        <v/>
      </c>
      <c r="T831" s="160" t="str">
        <f>IFERROR(INDEX(上年标准成本!$I:$I,MATCH(K831,上年标准成本!$C:$C,0),1),"")</f>
        <v/>
      </c>
      <c r="U831" s="126" t="str">
        <f t="shared" si="75"/>
        <v/>
      </c>
      <c r="V831" s="126" t="str">
        <f t="shared" si="76"/>
        <v/>
      </c>
      <c r="W831" s="124" t="str">
        <f t="shared" si="77"/>
        <v/>
      </c>
      <c r="X831" s="125" t="str">
        <f t="shared" si="72"/>
        <v/>
      </c>
    </row>
    <row r="832" spans="1:24" x14ac:dyDescent="0.3">
      <c r="A832" s="129"/>
      <c r="B832" s="129"/>
      <c r="C832" s="128"/>
      <c r="D832" s="128"/>
      <c r="E832" s="128"/>
      <c r="F832" s="166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6" t="str">
        <f t="shared" si="73"/>
        <v/>
      </c>
      <c r="S832" s="163" t="str">
        <f t="shared" si="74"/>
        <v/>
      </c>
      <c r="T832" s="160" t="str">
        <f>IFERROR(INDEX(上年标准成本!$I:$I,MATCH(K832,上年标准成本!$C:$C,0),1),"")</f>
        <v/>
      </c>
      <c r="U832" s="126" t="str">
        <f t="shared" si="75"/>
        <v/>
      </c>
      <c r="V832" s="126" t="str">
        <f t="shared" si="76"/>
        <v/>
      </c>
      <c r="W832" s="124" t="str">
        <f t="shared" si="77"/>
        <v/>
      </c>
      <c r="X832" s="125" t="str">
        <f t="shared" si="72"/>
        <v/>
      </c>
    </row>
    <row r="833" spans="1:24" x14ac:dyDescent="0.3">
      <c r="A833" s="129"/>
      <c r="B833" s="129"/>
      <c r="C833" s="128"/>
      <c r="D833" s="128"/>
      <c r="E833" s="128"/>
      <c r="F833" s="166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6" t="str">
        <f t="shared" si="73"/>
        <v/>
      </c>
      <c r="S833" s="163" t="str">
        <f t="shared" si="74"/>
        <v/>
      </c>
      <c r="T833" s="160" t="str">
        <f>IFERROR(INDEX(上年标准成本!$I:$I,MATCH(K833,上年标准成本!$C:$C,0),1),"")</f>
        <v/>
      </c>
      <c r="U833" s="126" t="str">
        <f t="shared" si="75"/>
        <v/>
      </c>
      <c r="V833" s="126" t="str">
        <f t="shared" si="76"/>
        <v/>
      </c>
      <c r="W833" s="124" t="str">
        <f t="shared" si="77"/>
        <v/>
      </c>
      <c r="X833" s="125" t="str">
        <f t="shared" si="72"/>
        <v/>
      </c>
    </row>
    <row r="834" spans="1:24" x14ac:dyDescent="0.3">
      <c r="A834" s="129"/>
      <c r="B834" s="129"/>
      <c r="C834" s="128"/>
      <c r="D834" s="128"/>
      <c r="E834" s="128"/>
      <c r="F834" s="166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6" t="str">
        <f t="shared" si="73"/>
        <v/>
      </c>
      <c r="S834" s="163" t="str">
        <f t="shared" si="74"/>
        <v/>
      </c>
      <c r="T834" s="160" t="str">
        <f>IFERROR(INDEX(上年标准成本!$I:$I,MATCH(K834,上年标准成本!$C:$C,0),1),"")</f>
        <v/>
      </c>
      <c r="U834" s="126" t="str">
        <f t="shared" si="75"/>
        <v/>
      </c>
      <c r="V834" s="126" t="str">
        <f t="shared" si="76"/>
        <v/>
      </c>
      <c r="W834" s="124" t="str">
        <f t="shared" si="77"/>
        <v/>
      </c>
      <c r="X834" s="125" t="str">
        <f t="shared" ref="X834:X897" si="78">IFERROR(IF(W834/SUM(W:W)=0,"",W834/SUM(W:W)),"")</f>
        <v/>
      </c>
    </row>
    <row r="835" spans="1:24" x14ac:dyDescent="0.3">
      <c r="A835" s="129"/>
      <c r="B835" s="129"/>
      <c r="C835" s="128"/>
      <c r="D835" s="128"/>
      <c r="E835" s="128"/>
      <c r="F835" s="166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6" t="str">
        <f t="shared" ref="R835:R898" si="79">IFERROR(P835/O835,"")</f>
        <v/>
      </c>
      <c r="S835" s="163" t="str">
        <f t="shared" ref="S835:S898" si="80">IFERROR(R835*(1+Q835),"")</f>
        <v/>
      </c>
      <c r="T835" s="160" t="str">
        <f>IFERROR(INDEX(上年标准成本!$I:$I,MATCH(K835,上年标准成本!$C:$C,0),1),"")</f>
        <v/>
      </c>
      <c r="U835" s="126" t="str">
        <f t="shared" ref="U835:U898" si="81">IFERROR(O835*T835,"")</f>
        <v/>
      </c>
      <c r="V835" s="126" t="str">
        <f t="shared" ref="V835:V898" si="82">IFERROR(P835-U835,"")</f>
        <v/>
      </c>
      <c r="W835" s="124" t="str">
        <f t="shared" ref="W835:W898" si="83">IFERROR(V835/P835,"")</f>
        <v/>
      </c>
      <c r="X835" s="125" t="str">
        <f t="shared" si="78"/>
        <v/>
      </c>
    </row>
    <row r="836" spans="1:24" x14ac:dyDescent="0.3">
      <c r="A836" s="129"/>
      <c r="B836" s="129"/>
      <c r="C836" s="128"/>
      <c r="D836" s="128"/>
      <c r="E836" s="128"/>
      <c r="F836" s="166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6" t="str">
        <f t="shared" si="79"/>
        <v/>
      </c>
      <c r="S836" s="163" t="str">
        <f t="shared" si="80"/>
        <v/>
      </c>
      <c r="T836" s="160" t="str">
        <f>IFERROR(INDEX(上年标准成本!$I:$I,MATCH(K836,上年标准成本!$C:$C,0),1),"")</f>
        <v/>
      </c>
      <c r="U836" s="126" t="str">
        <f t="shared" si="81"/>
        <v/>
      </c>
      <c r="V836" s="126" t="str">
        <f t="shared" si="82"/>
        <v/>
      </c>
      <c r="W836" s="124" t="str">
        <f t="shared" si="83"/>
        <v/>
      </c>
      <c r="X836" s="125" t="str">
        <f t="shared" si="78"/>
        <v/>
      </c>
    </row>
    <row r="837" spans="1:24" x14ac:dyDescent="0.3">
      <c r="A837" s="129"/>
      <c r="B837" s="129"/>
      <c r="C837" s="128"/>
      <c r="D837" s="128"/>
      <c r="E837" s="128"/>
      <c r="F837" s="166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6" t="str">
        <f t="shared" si="79"/>
        <v/>
      </c>
      <c r="S837" s="163" t="str">
        <f t="shared" si="80"/>
        <v/>
      </c>
      <c r="T837" s="160" t="str">
        <f>IFERROR(INDEX(上年标准成本!$I:$I,MATCH(K837,上年标准成本!$C:$C,0),1),"")</f>
        <v/>
      </c>
      <c r="U837" s="126" t="str">
        <f t="shared" si="81"/>
        <v/>
      </c>
      <c r="V837" s="126" t="str">
        <f t="shared" si="82"/>
        <v/>
      </c>
      <c r="W837" s="124" t="str">
        <f t="shared" si="83"/>
        <v/>
      </c>
      <c r="X837" s="125" t="str">
        <f t="shared" si="78"/>
        <v/>
      </c>
    </row>
    <row r="838" spans="1:24" x14ac:dyDescent="0.3">
      <c r="A838" s="129"/>
      <c r="B838" s="129"/>
      <c r="C838" s="128"/>
      <c r="D838" s="128"/>
      <c r="E838" s="128"/>
      <c r="F838" s="166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6" t="str">
        <f t="shared" si="79"/>
        <v/>
      </c>
      <c r="S838" s="163" t="str">
        <f t="shared" si="80"/>
        <v/>
      </c>
      <c r="T838" s="160" t="str">
        <f>IFERROR(INDEX(上年标准成本!$I:$I,MATCH(K838,上年标准成本!$C:$C,0),1),"")</f>
        <v/>
      </c>
      <c r="U838" s="126" t="str">
        <f t="shared" si="81"/>
        <v/>
      </c>
      <c r="V838" s="126" t="str">
        <f t="shared" si="82"/>
        <v/>
      </c>
      <c r="W838" s="124" t="str">
        <f t="shared" si="83"/>
        <v/>
      </c>
      <c r="X838" s="125" t="str">
        <f t="shared" si="78"/>
        <v/>
      </c>
    </row>
    <row r="839" spans="1:24" x14ac:dyDescent="0.3">
      <c r="A839" s="129"/>
      <c r="B839" s="129"/>
      <c r="C839" s="128"/>
      <c r="D839" s="128"/>
      <c r="E839" s="128"/>
      <c r="F839" s="166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6" t="str">
        <f t="shared" si="79"/>
        <v/>
      </c>
      <c r="S839" s="163" t="str">
        <f t="shared" si="80"/>
        <v/>
      </c>
      <c r="T839" s="160" t="str">
        <f>IFERROR(INDEX(上年标准成本!$I:$I,MATCH(K839,上年标准成本!$C:$C,0),1),"")</f>
        <v/>
      </c>
      <c r="U839" s="126" t="str">
        <f t="shared" si="81"/>
        <v/>
      </c>
      <c r="V839" s="126" t="str">
        <f t="shared" si="82"/>
        <v/>
      </c>
      <c r="W839" s="124" t="str">
        <f t="shared" si="83"/>
        <v/>
      </c>
      <c r="X839" s="125" t="str">
        <f t="shared" si="78"/>
        <v/>
      </c>
    </row>
    <row r="840" spans="1:24" x14ac:dyDescent="0.3">
      <c r="A840" s="129"/>
      <c r="B840" s="129"/>
      <c r="C840" s="128"/>
      <c r="D840" s="128"/>
      <c r="E840" s="128"/>
      <c r="F840" s="166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6" t="str">
        <f t="shared" si="79"/>
        <v/>
      </c>
      <c r="S840" s="163" t="str">
        <f t="shared" si="80"/>
        <v/>
      </c>
      <c r="T840" s="160" t="str">
        <f>IFERROR(INDEX(上年标准成本!$I:$I,MATCH(K840,上年标准成本!$C:$C,0),1),"")</f>
        <v/>
      </c>
      <c r="U840" s="126" t="str">
        <f t="shared" si="81"/>
        <v/>
      </c>
      <c r="V840" s="126" t="str">
        <f t="shared" si="82"/>
        <v/>
      </c>
      <c r="W840" s="124" t="str">
        <f t="shared" si="83"/>
        <v/>
      </c>
      <c r="X840" s="125" t="str">
        <f t="shared" si="78"/>
        <v/>
      </c>
    </row>
    <row r="841" spans="1:24" x14ac:dyDescent="0.3">
      <c r="A841" s="129"/>
      <c r="B841" s="129"/>
      <c r="C841" s="128"/>
      <c r="D841" s="128"/>
      <c r="E841" s="128"/>
      <c r="F841" s="166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6" t="str">
        <f t="shared" si="79"/>
        <v/>
      </c>
      <c r="S841" s="163" t="str">
        <f t="shared" si="80"/>
        <v/>
      </c>
      <c r="T841" s="160" t="str">
        <f>IFERROR(INDEX(上年标准成本!$I:$I,MATCH(K841,上年标准成本!$C:$C,0),1),"")</f>
        <v/>
      </c>
      <c r="U841" s="126" t="str">
        <f t="shared" si="81"/>
        <v/>
      </c>
      <c r="V841" s="126" t="str">
        <f t="shared" si="82"/>
        <v/>
      </c>
      <c r="W841" s="124" t="str">
        <f t="shared" si="83"/>
        <v/>
      </c>
      <c r="X841" s="125" t="str">
        <f t="shared" si="78"/>
        <v/>
      </c>
    </row>
    <row r="842" spans="1:24" x14ac:dyDescent="0.3">
      <c r="A842" s="129"/>
      <c r="B842" s="129"/>
      <c r="C842" s="128"/>
      <c r="D842" s="128"/>
      <c r="E842" s="128"/>
      <c r="F842" s="166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6" t="str">
        <f t="shared" si="79"/>
        <v/>
      </c>
      <c r="S842" s="163" t="str">
        <f t="shared" si="80"/>
        <v/>
      </c>
      <c r="T842" s="160" t="str">
        <f>IFERROR(INDEX(上年标准成本!$I:$I,MATCH(K842,上年标准成本!$C:$C,0),1),"")</f>
        <v/>
      </c>
      <c r="U842" s="126" t="str">
        <f t="shared" si="81"/>
        <v/>
      </c>
      <c r="V842" s="126" t="str">
        <f t="shared" si="82"/>
        <v/>
      </c>
      <c r="W842" s="124" t="str">
        <f t="shared" si="83"/>
        <v/>
      </c>
      <c r="X842" s="125" t="str">
        <f t="shared" si="78"/>
        <v/>
      </c>
    </row>
    <row r="843" spans="1:24" x14ac:dyDescent="0.3">
      <c r="A843" s="129"/>
      <c r="B843" s="129"/>
      <c r="C843" s="128"/>
      <c r="D843" s="128"/>
      <c r="E843" s="128"/>
      <c r="F843" s="166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6" t="str">
        <f t="shared" si="79"/>
        <v/>
      </c>
      <c r="S843" s="163" t="str">
        <f t="shared" si="80"/>
        <v/>
      </c>
      <c r="T843" s="160" t="str">
        <f>IFERROR(INDEX(上年标准成本!$I:$I,MATCH(K843,上年标准成本!$C:$C,0),1),"")</f>
        <v/>
      </c>
      <c r="U843" s="126" t="str">
        <f t="shared" si="81"/>
        <v/>
      </c>
      <c r="V843" s="126" t="str">
        <f t="shared" si="82"/>
        <v/>
      </c>
      <c r="W843" s="124" t="str">
        <f t="shared" si="83"/>
        <v/>
      </c>
      <c r="X843" s="125" t="str">
        <f t="shared" si="78"/>
        <v/>
      </c>
    </row>
    <row r="844" spans="1:24" x14ac:dyDescent="0.3">
      <c r="A844" s="129"/>
      <c r="B844" s="129"/>
      <c r="C844" s="128"/>
      <c r="D844" s="128"/>
      <c r="E844" s="128"/>
      <c r="F844" s="166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6" t="str">
        <f t="shared" si="79"/>
        <v/>
      </c>
      <c r="S844" s="163" t="str">
        <f t="shared" si="80"/>
        <v/>
      </c>
      <c r="T844" s="160" t="str">
        <f>IFERROR(INDEX(上年标准成本!$I:$I,MATCH(K844,上年标准成本!$C:$C,0),1),"")</f>
        <v/>
      </c>
      <c r="U844" s="126" t="str">
        <f t="shared" si="81"/>
        <v/>
      </c>
      <c r="V844" s="126" t="str">
        <f t="shared" si="82"/>
        <v/>
      </c>
      <c r="W844" s="124" t="str">
        <f t="shared" si="83"/>
        <v/>
      </c>
      <c r="X844" s="125" t="str">
        <f t="shared" si="78"/>
        <v/>
      </c>
    </row>
    <row r="845" spans="1:24" x14ac:dyDescent="0.3">
      <c r="A845" s="129"/>
      <c r="B845" s="129"/>
      <c r="C845" s="128"/>
      <c r="D845" s="128"/>
      <c r="E845" s="128"/>
      <c r="F845" s="166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6" t="str">
        <f t="shared" si="79"/>
        <v/>
      </c>
      <c r="S845" s="163" t="str">
        <f t="shared" si="80"/>
        <v/>
      </c>
      <c r="T845" s="160" t="str">
        <f>IFERROR(INDEX(上年标准成本!$I:$I,MATCH(K845,上年标准成本!$C:$C,0),1),"")</f>
        <v/>
      </c>
      <c r="U845" s="126" t="str">
        <f t="shared" si="81"/>
        <v/>
      </c>
      <c r="V845" s="126" t="str">
        <f t="shared" si="82"/>
        <v/>
      </c>
      <c r="W845" s="124" t="str">
        <f t="shared" si="83"/>
        <v/>
      </c>
      <c r="X845" s="125" t="str">
        <f t="shared" si="78"/>
        <v/>
      </c>
    </row>
    <row r="846" spans="1:24" x14ac:dyDescent="0.3">
      <c r="A846" s="129"/>
      <c r="B846" s="129"/>
      <c r="C846" s="128"/>
      <c r="D846" s="128"/>
      <c r="E846" s="128"/>
      <c r="F846" s="166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6" t="str">
        <f t="shared" si="79"/>
        <v/>
      </c>
      <c r="S846" s="163" t="str">
        <f t="shared" si="80"/>
        <v/>
      </c>
      <c r="T846" s="160" t="str">
        <f>IFERROR(INDEX(上年标准成本!$I:$I,MATCH(K846,上年标准成本!$C:$C,0),1),"")</f>
        <v/>
      </c>
      <c r="U846" s="126" t="str">
        <f t="shared" si="81"/>
        <v/>
      </c>
      <c r="V846" s="126" t="str">
        <f t="shared" si="82"/>
        <v/>
      </c>
      <c r="W846" s="124" t="str">
        <f t="shared" si="83"/>
        <v/>
      </c>
      <c r="X846" s="125" t="str">
        <f t="shared" si="78"/>
        <v/>
      </c>
    </row>
    <row r="847" spans="1:24" x14ac:dyDescent="0.3">
      <c r="A847" s="129"/>
      <c r="B847" s="129"/>
      <c r="C847" s="128"/>
      <c r="D847" s="128"/>
      <c r="E847" s="128"/>
      <c r="F847" s="166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6" t="str">
        <f t="shared" si="79"/>
        <v/>
      </c>
      <c r="S847" s="163" t="str">
        <f t="shared" si="80"/>
        <v/>
      </c>
      <c r="T847" s="160" t="str">
        <f>IFERROR(INDEX(上年标准成本!$I:$I,MATCH(K847,上年标准成本!$C:$C,0),1),"")</f>
        <v/>
      </c>
      <c r="U847" s="126" t="str">
        <f t="shared" si="81"/>
        <v/>
      </c>
      <c r="V847" s="126" t="str">
        <f t="shared" si="82"/>
        <v/>
      </c>
      <c r="W847" s="124" t="str">
        <f t="shared" si="83"/>
        <v/>
      </c>
      <c r="X847" s="125" t="str">
        <f t="shared" si="78"/>
        <v/>
      </c>
    </row>
    <row r="848" spans="1:24" x14ac:dyDescent="0.3">
      <c r="A848" s="129"/>
      <c r="B848" s="129"/>
      <c r="C848" s="128"/>
      <c r="D848" s="128"/>
      <c r="E848" s="128"/>
      <c r="F848" s="166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6" t="str">
        <f t="shared" si="79"/>
        <v/>
      </c>
      <c r="S848" s="163" t="str">
        <f t="shared" si="80"/>
        <v/>
      </c>
      <c r="T848" s="160" t="str">
        <f>IFERROR(INDEX(上年标准成本!$I:$I,MATCH(K848,上年标准成本!$C:$C,0),1),"")</f>
        <v/>
      </c>
      <c r="U848" s="126" t="str">
        <f t="shared" si="81"/>
        <v/>
      </c>
      <c r="V848" s="126" t="str">
        <f t="shared" si="82"/>
        <v/>
      </c>
      <c r="W848" s="124" t="str">
        <f t="shared" si="83"/>
        <v/>
      </c>
      <c r="X848" s="125" t="str">
        <f t="shared" si="78"/>
        <v/>
      </c>
    </row>
    <row r="849" spans="1:24" x14ac:dyDescent="0.3">
      <c r="A849" s="129"/>
      <c r="B849" s="129"/>
      <c r="C849" s="128"/>
      <c r="D849" s="128"/>
      <c r="E849" s="128"/>
      <c r="F849" s="166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6" t="str">
        <f t="shared" si="79"/>
        <v/>
      </c>
      <c r="S849" s="163" t="str">
        <f t="shared" si="80"/>
        <v/>
      </c>
      <c r="T849" s="160" t="str">
        <f>IFERROR(INDEX(上年标准成本!$I:$I,MATCH(K849,上年标准成本!$C:$C,0),1),"")</f>
        <v/>
      </c>
      <c r="U849" s="126" t="str">
        <f t="shared" si="81"/>
        <v/>
      </c>
      <c r="V849" s="126" t="str">
        <f t="shared" si="82"/>
        <v/>
      </c>
      <c r="W849" s="124" t="str">
        <f t="shared" si="83"/>
        <v/>
      </c>
      <c r="X849" s="125" t="str">
        <f t="shared" si="78"/>
        <v/>
      </c>
    </row>
    <row r="850" spans="1:24" x14ac:dyDescent="0.3">
      <c r="A850" s="129"/>
      <c r="B850" s="129"/>
      <c r="C850" s="128"/>
      <c r="D850" s="128"/>
      <c r="E850" s="128"/>
      <c r="F850" s="166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6" t="str">
        <f t="shared" si="79"/>
        <v/>
      </c>
      <c r="S850" s="163" t="str">
        <f t="shared" si="80"/>
        <v/>
      </c>
      <c r="T850" s="160" t="str">
        <f>IFERROR(INDEX(上年标准成本!$I:$I,MATCH(K850,上年标准成本!$C:$C,0),1),"")</f>
        <v/>
      </c>
      <c r="U850" s="126" t="str">
        <f t="shared" si="81"/>
        <v/>
      </c>
      <c r="V850" s="126" t="str">
        <f t="shared" si="82"/>
        <v/>
      </c>
      <c r="W850" s="124" t="str">
        <f t="shared" si="83"/>
        <v/>
      </c>
      <c r="X850" s="125" t="str">
        <f t="shared" si="78"/>
        <v/>
      </c>
    </row>
    <row r="851" spans="1:24" x14ac:dyDescent="0.3">
      <c r="A851" s="129"/>
      <c r="B851" s="129"/>
      <c r="C851" s="128"/>
      <c r="D851" s="128"/>
      <c r="E851" s="128"/>
      <c r="F851" s="166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6" t="str">
        <f t="shared" si="79"/>
        <v/>
      </c>
      <c r="S851" s="163" t="str">
        <f t="shared" si="80"/>
        <v/>
      </c>
      <c r="T851" s="160" t="str">
        <f>IFERROR(INDEX(上年标准成本!$I:$I,MATCH(K851,上年标准成本!$C:$C,0),1),"")</f>
        <v/>
      </c>
      <c r="U851" s="126" t="str">
        <f t="shared" si="81"/>
        <v/>
      </c>
      <c r="V851" s="126" t="str">
        <f t="shared" si="82"/>
        <v/>
      </c>
      <c r="W851" s="124" t="str">
        <f t="shared" si="83"/>
        <v/>
      </c>
      <c r="X851" s="125" t="str">
        <f t="shared" si="78"/>
        <v/>
      </c>
    </row>
    <row r="852" spans="1:24" x14ac:dyDescent="0.3">
      <c r="A852" s="129"/>
      <c r="B852" s="129"/>
      <c r="C852" s="128"/>
      <c r="D852" s="128"/>
      <c r="E852" s="128"/>
      <c r="F852" s="166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6" t="str">
        <f t="shared" si="79"/>
        <v/>
      </c>
      <c r="S852" s="163" t="str">
        <f t="shared" si="80"/>
        <v/>
      </c>
      <c r="T852" s="160" t="str">
        <f>IFERROR(INDEX(上年标准成本!$I:$I,MATCH(K852,上年标准成本!$C:$C,0),1),"")</f>
        <v/>
      </c>
      <c r="U852" s="126" t="str">
        <f t="shared" si="81"/>
        <v/>
      </c>
      <c r="V852" s="126" t="str">
        <f t="shared" si="82"/>
        <v/>
      </c>
      <c r="W852" s="124" t="str">
        <f t="shared" si="83"/>
        <v/>
      </c>
      <c r="X852" s="125" t="str">
        <f t="shared" si="78"/>
        <v/>
      </c>
    </row>
    <row r="853" spans="1:24" x14ac:dyDescent="0.3">
      <c r="A853" s="129"/>
      <c r="B853" s="129"/>
      <c r="C853" s="128"/>
      <c r="D853" s="128"/>
      <c r="E853" s="128"/>
      <c r="F853" s="166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6" t="str">
        <f t="shared" si="79"/>
        <v/>
      </c>
      <c r="S853" s="163" t="str">
        <f t="shared" si="80"/>
        <v/>
      </c>
      <c r="T853" s="160" t="str">
        <f>IFERROR(INDEX(上年标准成本!$I:$I,MATCH(K853,上年标准成本!$C:$C,0),1),"")</f>
        <v/>
      </c>
      <c r="U853" s="126" t="str">
        <f t="shared" si="81"/>
        <v/>
      </c>
      <c r="V853" s="126" t="str">
        <f t="shared" si="82"/>
        <v/>
      </c>
      <c r="W853" s="124" t="str">
        <f t="shared" si="83"/>
        <v/>
      </c>
      <c r="X853" s="125" t="str">
        <f t="shared" si="78"/>
        <v/>
      </c>
    </row>
    <row r="854" spans="1:24" x14ac:dyDescent="0.3">
      <c r="A854" s="129"/>
      <c r="B854" s="129"/>
      <c r="C854" s="128"/>
      <c r="D854" s="128"/>
      <c r="E854" s="128"/>
      <c r="F854" s="166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6" t="str">
        <f t="shared" si="79"/>
        <v/>
      </c>
      <c r="S854" s="163" t="str">
        <f t="shared" si="80"/>
        <v/>
      </c>
      <c r="T854" s="160" t="str">
        <f>IFERROR(INDEX(上年标准成本!$I:$I,MATCH(K854,上年标准成本!$C:$C,0),1),"")</f>
        <v/>
      </c>
      <c r="U854" s="126" t="str">
        <f t="shared" si="81"/>
        <v/>
      </c>
      <c r="V854" s="126" t="str">
        <f t="shared" si="82"/>
        <v/>
      </c>
      <c r="W854" s="124" t="str">
        <f t="shared" si="83"/>
        <v/>
      </c>
      <c r="X854" s="125" t="str">
        <f t="shared" si="78"/>
        <v/>
      </c>
    </row>
    <row r="855" spans="1:24" x14ac:dyDescent="0.3">
      <c r="A855" s="129"/>
      <c r="B855" s="129"/>
      <c r="C855" s="128"/>
      <c r="D855" s="128"/>
      <c r="E855" s="128"/>
      <c r="F855" s="166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6" t="str">
        <f t="shared" si="79"/>
        <v/>
      </c>
      <c r="S855" s="163" t="str">
        <f t="shared" si="80"/>
        <v/>
      </c>
      <c r="T855" s="160" t="str">
        <f>IFERROR(INDEX(上年标准成本!$I:$I,MATCH(K855,上年标准成本!$C:$C,0),1),"")</f>
        <v/>
      </c>
      <c r="U855" s="126" t="str">
        <f t="shared" si="81"/>
        <v/>
      </c>
      <c r="V855" s="126" t="str">
        <f t="shared" si="82"/>
        <v/>
      </c>
      <c r="W855" s="124" t="str">
        <f t="shared" si="83"/>
        <v/>
      </c>
      <c r="X855" s="125" t="str">
        <f t="shared" si="78"/>
        <v/>
      </c>
    </row>
    <row r="856" spans="1:24" x14ac:dyDescent="0.3">
      <c r="A856" s="129"/>
      <c r="B856" s="129"/>
      <c r="C856" s="128"/>
      <c r="D856" s="128"/>
      <c r="E856" s="128"/>
      <c r="F856" s="166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6" t="str">
        <f t="shared" si="79"/>
        <v/>
      </c>
      <c r="S856" s="163" t="str">
        <f t="shared" si="80"/>
        <v/>
      </c>
      <c r="T856" s="160" t="str">
        <f>IFERROR(INDEX(上年标准成本!$I:$I,MATCH(K856,上年标准成本!$C:$C,0),1),"")</f>
        <v/>
      </c>
      <c r="U856" s="126" t="str">
        <f t="shared" si="81"/>
        <v/>
      </c>
      <c r="V856" s="126" t="str">
        <f t="shared" si="82"/>
        <v/>
      </c>
      <c r="W856" s="124" t="str">
        <f t="shared" si="83"/>
        <v/>
      </c>
      <c r="X856" s="125" t="str">
        <f t="shared" si="78"/>
        <v/>
      </c>
    </row>
    <row r="857" spans="1:24" x14ac:dyDescent="0.3">
      <c r="A857" s="129"/>
      <c r="B857" s="129"/>
      <c r="C857" s="128"/>
      <c r="D857" s="128"/>
      <c r="E857" s="128"/>
      <c r="F857" s="166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6" t="str">
        <f t="shared" si="79"/>
        <v/>
      </c>
      <c r="S857" s="163" t="str">
        <f t="shared" si="80"/>
        <v/>
      </c>
      <c r="T857" s="160" t="str">
        <f>IFERROR(INDEX(上年标准成本!$I:$I,MATCH(K857,上年标准成本!$C:$C,0),1),"")</f>
        <v/>
      </c>
      <c r="U857" s="126" t="str">
        <f t="shared" si="81"/>
        <v/>
      </c>
      <c r="V857" s="126" t="str">
        <f t="shared" si="82"/>
        <v/>
      </c>
      <c r="W857" s="124" t="str">
        <f t="shared" si="83"/>
        <v/>
      </c>
      <c r="X857" s="125" t="str">
        <f t="shared" si="78"/>
        <v/>
      </c>
    </row>
    <row r="858" spans="1:24" x14ac:dyDescent="0.3">
      <c r="A858" s="129"/>
      <c r="B858" s="129"/>
      <c r="C858" s="128"/>
      <c r="D858" s="128"/>
      <c r="E858" s="128"/>
      <c r="F858" s="166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6" t="str">
        <f t="shared" si="79"/>
        <v/>
      </c>
      <c r="S858" s="163" t="str">
        <f t="shared" si="80"/>
        <v/>
      </c>
      <c r="T858" s="160" t="str">
        <f>IFERROR(INDEX(上年标准成本!$I:$I,MATCH(K858,上年标准成本!$C:$C,0),1),"")</f>
        <v/>
      </c>
      <c r="U858" s="126" t="str">
        <f t="shared" si="81"/>
        <v/>
      </c>
      <c r="V858" s="126" t="str">
        <f t="shared" si="82"/>
        <v/>
      </c>
      <c r="W858" s="124" t="str">
        <f t="shared" si="83"/>
        <v/>
      </c>
      <c r="X858" s="125" t="str">
        <f t="shared" si="78"/>
        <v/>
      </c>
    </row>
    <row r="859" spans="1:24" x14ac:dyDescent="0.3">
      <c r="A859" s="129"/>
      <c r="B859" s="129"/>
      <c r="C859" s="128"/>
      <c r="D859" s="128"/>
      <c r="E859" s="128"/>
      <c r="F859" s="166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6" t="str">
        <f t="shared" si="79"/>
        <v/>
      </c>
      <c r="S859" s="163" t="str">
        <f t="shared" si="80"/>
        <v/>
      </c>
      <c r="T859" s="160" t="str">
        <f>IFERROR(INDEX(上年标准成本!$I:$I,MATCH(K859,上年标准成本!$C:$C,0),1),"")</f>
        <v/>
      </c>
      <c r="U859" s="126" t="str">
        <f t="shared" si="81"/>
        <v/>
      </c>
      <c r="V859" s="126" t="str">
        <f t="shared" si="82"/>
        <v/>
      </c>
      <c r="W859" s="124" t="str">
        <f t="shared" si="83"/>
        <v/>
      </c>
      <c r="X859" s="125" t="str">
        <f t="shared" si="78"/>
        <v/>
      </c>
    </row>
    <row r="860" spans="1:24" x14ac:dyDescent="0.3">
      <c r="A860" s="129"/>
      <c r="B860" s="129"/>
      <c r="C860" s="128"/>
      <c r="D860" s="128"/>
      <c r="E860" s="128"/>
      <c r="F860" s="166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6" t="str">
        <f t="shared" si="79"/>
        <v/>
      </c>
      <c r="S860" s="163" t="str">
        <f t="shared" si="80"/>
        <v/>
      </c>
      <c r="T860" s="160" t="str">
        <f>IFERROR(INDEX(上年标准成本!$I:$I,MATCH(K860,上年标准成本!$C:$C,0),1),"")</f>
        <v/>
      </c>
      <c r="U860" s="126" t="str">
        <f t="shared" si="81"/>
        <v/>
      </c>
      <c r="V860" s="126" t="str">
        <f t="shared" si="82"/>
        <v/>
      </c>
      <c r="W860" s="124" t="str">
        <f t="shared" si="83"/>
        <v/>
      </c>
      <c r="X860" s="125" t="str">
        <f t="shared" si="78"/>
        <v/>
      </c>
    </row>
    <row r="861" spans="1:24" x14ac:dyDescent="0.3">
      <c r="A861" s="129"/>
      <c r="B861" s="129"/>
      <c r="C861" s="128"/>
      <c r="D861" s="128"/>
      <c r="E861" s="128"/>
      <c r="F861" s="166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6" t="str">
        <f t="shared" si="79"/>
        <v/>
      </c>
      <c r="S861" s="163" t="str">
        <f t="shared" si="80"/>
        <v/>
      </c>
      <c r="T861" s="160" t="str">
        <f>IFERROR(INDEX(上年标准成本!$I:$I,MATCH(K861,上年标准成本!$C:$C,0),1),"")</f>
        <v/>
      </c>
      <c r="U861" s="126" t="str">
        <f t="shared" si="81"/>
        <v/>
      </c>
      <c r="V861" s="126" t="str">
        <f t="shared" si="82"/>
        <v/>
      </c>
      <c r="W861" s="124" t="str">
        <f t="shared" si="83"/>
        <v/>
      </c>
      <c r="X861" s="125" t="str">
        <f t="shared" si="78"/>
        <v/>
      </c>
    </row>
    <row r="862" spans="1:24" x14ac:dyDescent="0.3">
      <c r="A862" s="129"/>
      <c r="B862" s="129"/>
      <c r="C862" s="128"/>
      <c r="D862" s="128"/>
      <c r="E862" s="128"/>
      <c r="F862" s="166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6" t="str">
        <f t="shared" si="79"/>
        <v/>
      </c>
      <c r="S862" s="163" t="str">
        <f t="shared" si="80"/>
        <v/>
      </c>
      <c r="T862" s="160" t="str">
        <f>IFERROR(INDEX(上年标准成本!$I:$I,MATCH(K862,上年标准成本!$C:$C,0),1),"")</f>
        <v/>
      </c>
      <c r="U862" s="126" t="str">
        <f t="shared" si="81"/>
        <v/>
      </c>
      <c r="V862" s="126" t="str">
        <f t="shared" si="82"/>
        <v/>
      </c>
      <c r="W862" s="124" t="str">
        <f t="shared" si="83"/>
        <v/>
      </c>
      <c r="X862" s="125" t="str">
        <f t="shared" si="78"/>
        <v/>
      </c>
    </row>
    <row r="863" spans="1:24" x14ac:dyDescent="0.3">
      <c r="A863" s="129"/>
      <c r="B863" s="129"/>
      <c r="C863" s="128"/>
      <c r="D863" s="128"/>
      <c r="E863" s="128"/>
      <c r="F863" s="166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6" t="str">
        <f t="shared" si="79"/>
        <v/>
      </c>
      <c r="S863" s="163" t="str">
        <f t="shared" si="80"/>
        <v/>
      </c>
      <c r="T863" s="160" t="str">
        <f>IFERROR(INDEX(上年标准成本!$I:$I,MATCH(K863,上年标准成本!$C:$C,0),1),"")</f>
        <v/>
      </c>
      <c r="U863" s="126" t="str">
        <f t="shared" si="81"/>
        <v/>
      </c>
      <c r="V863" s="126" t="str">
        <f t="shared" si="82"/>
        <v/>
      </c>
      <c r="W863" s="124" t="str">
        <f t="shared" si="83"/>
        <v/>
      </c>
      <c r="X863" s="125" t="str">
        <f t="shared" si="78"/>
        <v/>
      </c>
    </row>
    <row r="864" spans="1:24" x14ac:dyDescent="0.3">
      <c r="A864" s="129"/>
      <c r="B864" s="129"/>
      <c r="C864" s="128"/>
      <c r="D864" s="128"/>
      <c r="E864" s="128"/>
      <c r="F864" s="166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6" t="str">
        <f t="shared" si="79"/>
        <v/>
      </c>
      <c r="S864" s="163" t="str">
        <f t="shared" si="80"/>
        <v/>
      </c>
      <c r="T864" s="160" t="str">
        <f>IFERROR(INDEX(上年标准成本!$I:$I,MATCH(K864,上年标准成本!$C:$C,0),1),"")</f>
        <v/>
      </c>
      <c r="U864" s="126" t="str">
        <f t="shared" si="81"/>
        <v/>
      </c>
      <c r="V864" s="126" t="str">
        <f t="shared" si="82"/>
        <v/>
      </c>
      <c r="W864" s="124" t="str">
        <f t="shared" si="83"/>
        <v/>
      </c>
      <c r="X864" s="125" t="str">
        <f t="shared" si="78"/>
        <v/>
      </c>
    </row>
    <row r="865" spans="1:24" x14ac:dyDescent="0.3">
      <c r="A865" s="129"/>
      <c r="B865" s="129"/>
      <c r="C865" s="128"/>
      <c r="D865" s="128"/>
      <c r="E865" s="128"/>
      <c r="F865" s="166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6" t="str">
        <f t="shared" si="79"/>
        <v/>
      </c>
      <c r="S865" s="163" t="str">
        <f t="shared" si="80"/>
        <v/>
      </c>
      <c r="T865" s="160" t="str">
        <f>IFERROR(INDEX(上年标准成本!$I:$I,MATCH(K865,上年标准成本!$C:$C,0),1),"")</f>
        <v/>
      </c>
      <c r="U865" s="126" t="str">
        <f t="shared" si="81"/>
        <v/>
      </c>
      <c r="V865" s="126" t="str">
        <f t="shared" si="82"/>
        <v/>
      </c>
      <c r="W865" s="124" t="str">
        <f t="shared" si="83"/>
        <v/>
      </c>
      <c r="X865" s="125" t="str">
        <f t="shared" si="78"/>
        <v/>
      </c>
    </row>
    <row r="866" spans="1:24" x14ac:dyDescent="0.3">
      <c r="A866" s="129"/>
      <c r="B866" s="129"/>
      <c r="C866" s="128"/>
      <c r="D866" s="128"/>
      <c r="E866" s="128"/>
      <c r="F866" s="166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6" t="str">
        <f t="shared" si="79"/>
        <v/>
      </c>
      <c r="S866" s="163" t="str">
        <f t="shared" si="80"/>
        <v/>
      </c>
      <c r="T866" s="160" t="str">
        <f>IFERROR(INDEX(上年标准成本!$I:$I,MATCH(K866,上年标准成本!$C:$C,0),1),"")</f>
        <v/>
      </c>
      <c r="U866" s="126" t="str">
        <f t="shared" si="81"/>
        <v/>
      </c>
      <c r="V866" s="126" t="str">
        <f t="shared" si="82"/>
        <v/>
      </c>
      <c r="W866" s="124" t="str">
        <f t="shared" si="83"/>
        <v/>
      </c>
      <c r="X866" s="125" t="str">
        <f t="shared" si="78"/>
        <v/>
      </c>
    </row>
    <row r="867" spans="1:24" x14ac:dyDescent="0.3">
      <c r="A867" s="129"/>
      <c r="B867" s="129"/>
      <c r="C867" s="128"/>
      <c r="D867" s="128"/>
      <c r="E867" s="128"/>
      <c r="F867" s="166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6" t="str">
        <f t="shared" si="79"/>
        <v/>
      </c>
      <c r="S867" s="163" t="str">
        <f t="shared" si="80"/>
        <v/>
      </c>
      <c r="T867" s="160" t="str">
        <f>IFERROR(INDEX(上年标准成本!$I:$I,MATCH(K867,上年标准成本!$C:$C,0),1),"")</f>
        <v/>
      </c>
      <c r="U867" s="126" t="str">
        <f t="shared" si="81"/>
        <v/>
      </c>
      <c r="V867" s="126" t="str">
        <f t="shared" si="82"/>
        <v/>
      </c>
      <c r="W867" s="124" t="str">
        <f t="shared" si="83"/>
        <v/>
      </c>
      <c r="X867" s="125" t="str">
        <f t="shared" si="78"/>
        <v/>
      </c>
    </row>
    <row r="868" spans="1:24" x14ac:dyDescent="0.3">
      <c r="A868" s="129"/>
      <c r="B868" s="129"/>
      <c r="C868" s="128"/>
      <c r="D868" s="128"/>
      <c r="E868" s="128"/>
      <c r="F868" s="166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6" t="str">
        <f t="shared" si="79"/>
        <v/>
      </c>
      <c r="S868" s="163" t="str">
        <f t="shared" si="80"/>
        <v/>
      </c>
      <c r="T868" s="160" t="str">
        <f>IFERROR(INDEX(上年标准成本!$I:$I,MATCH(K868,上年标准成本!$C:$C,0),1),"")</f>
        <v/>
      </c>
      <c r="U868" s="126" t="str">
        <f t="shared" si="81"/>
        <v/>
      </c>
      <c r="V868" s="126" t="str">
        <f t="shared" si="82"/>
        <v/>
      </c>
      <c r="W868" s="124" t="str">
        <f t="shared" si="83"/>
        <v/>
      </c>
      <c r="X868" s="125" t="str">
        <f t="shared" si="78"/>
        <v/>
      </c>
    </row>
    <row r="869" spans="1:24" x14ac:dyDescent="0.3">
      <c r="A869" s="129"/>
      <c r="B869" s="129"/>
      <c r="C869" s="128"/>
      <c r="D869" s="128"/>
      <c r="E869" s="128"/>
      <c r="F869" s="166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6" t="str">
        <f t="shared" si="79"/>
        <v/>
      </c>
      <c r="S869" s="163" t="str">
        <f t="shared" si="80"/>
        <v/>
      </c>
      <c r="T869" s="160" t="str">
        <f>IFERROR(INDEX(上年标准成本!$I:$I,MATCH(K869,上年标准成本!$C:$C,0),1),"")</f>
        <v/>
      </c>
      <c r="U869" s="126" t="str">
        <f t="shared" si="81"/>
        <v/>
      </c>
      <c r="V869" s="126" t="str">
        <f t="shared" si="82"/>
        <v/>
      </c>
      <c r="W869" s="124" t="str">
        <f t="shared" si="83"/>
        <v/>
      </c>
      <c r="X869" s="125" t="str">
        <f t="shared" si="78"/>
        <v/>
      </c>
    </row>
    <row r="870" spans="1:24" x14ac:dyDescent="0.3">
      <c r="A870" s="129"/>
      <c r="B870" s="129"/>
      <c r="C870" s="128"/>
      <c r="D870" s="128"/>
      <c r="E870" s="128"/>
      <c r="F870" s="166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6" t="str">
        <f t="shared" si="79"/>
        <v/>
      </c>
      <c r="S870" s="163" t="str">
        <f t="shared" si="80"/>
        <v/>
      </c>
      <c r="T870" s="160" t="str">
        <f>IFERROR(INDEX(上年标准成本!$I:$I,MATCH(K870,上年标准成本!$C:$C,0),1),"")</f>
        <v/>
      </c>
      <c r="U870" s="126" t="str">
        <f t="shared" si="81"/>
        <v/>
      </c>
      <c r="V870" s="126" t="str">
        <f t="shared" si="82"/>
        <v/>
      </c>
      <c r="W870" s="124" t="str">
        <f t="shared" si="83"/>
        <v/>
      </c>
      <c r="X870" s="125" t="str">
        <f t="shared" si="78"/>
        <v/>
      </c>
    </row>
    <row r="871" spans="1:24" x14ac:dyDescent="0.3">
      <c r="A871" s="129"/>
      <c r="B871" s="129"/>
      <c r="C871" s="128"/>
      <c r="D871" s="128"/>
      <c r="E871" s="128"/>
      <c r="F871" s="166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6" t="str">
        <f t="shared" si="79"/>
        <v/>
      </c>
      <c r="S871" s="163" t="str">
        <f t="shared" si="80"/>
        <v/>
      </c>
      <c r="T871" s="160" t="str">
        <f>IFERROR(INDEX(上年标准成本!$I:$I,MATCH(K871,上年标准成本!$C:$C,0),1),"")</f>
        <v/>
      </c>
      <c r="U871" s="126" t="str">
        <f t="shared" si="81"/>
        <v/>
      </c>
      <c r="V871" s="126" t="str">
        <f t="shared" si="82"/>
        <v/>
      </c>
      <c r="W871" s="124" t="str">
        <f t="shared" si="83"/>
        <v/>
      </c>
      <c r="X871" s="125" t="str">
        <f t="shared" si="78"/>
        <v/>
      </c>
    </row>
    <row r="872" spans="1:24" x14ac:dyDescent="0.3">
      <c r="A872" s="129"/>
      <c r="B872" s="129"/>
      <c r="C872" s="128"/>
      <c r="D872" s="128"/>
      <c r="E872" s="128"/>
      <c r="F872" s="166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6" t="str">
        <f t="shared" si="79"/>
        <v/>
      </c>
      <c r="S872" s="163" t="str">
        <f t="shared" si="80"/>
        <v/>
      </c>
      <c r="T872" s="160" t="str">
        <f>IFERROR(INDEX(上年标准成本!$I:$I,MATCH(K872,上年标准成本!$C:$C,0),1),"")</f>
        <v/>
      </c>
      <c r="U872" s="126" t="str">
        <f t="shared" si="81"/>
        <v/>
      </c>
      <c r="V872" s="126" t="str">
        <f t="shared" si="82"/>
        <v/>
      </c>
      <c r="W872" s="124" t="str">
        <f t="shared" si="83"/>
        <v/>
      </c>
      <c r="X872" s="125" t="str">
        <f t="shared" si="78"/>
        <v/>
      </c>
    </row>
    <row r="873" spans="1:24" x14ac:dyDescent="0.3">
      <c r="A873" s="129"/>
      <c r="B873" s="129"/>
      <c r="C873" s="128"/>
      <c r="D873" s="128"/>
      <c r="E873" s="128"/>
      <c r="F873" s="166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6" t="str">
        <f t="shared" si="79"/>
        <v/>
      </c>
      <c r="S873" s="163" t="str">
        <f t="shared" si="80"/>
        <v/>
      </c>
      <c r="T873" s="160" t="str">
        <f>IFERROR(INDEX(上年标准成本!$I:$I,MATCH(K873,上年标准成本!$C:$C,0),1),"")</f>
        <v/>
      </c>
      <c r="U873" s="126" t="str">
        <f t="shared" si="81"/>
        <v/>
      </c>
      <c r="V873" s="126" t="str">
        <f t="shared" si="82"/>
        <v/>
      </c>
      <c r="W873" s="124" t="str">
        <f t="shared" si="83"/>
        <v/>
      </c>
      <c r="X873" s="125" t="str">
        <f t="shared" si="78"/>
        <v/>
      </c>
    </row>
    <row r="874" spans="1:24" x14ac:dyDescent="0.3">
      <c r="A874" s="129"/>
      <c r="B874" s="129"/>
      <c r="C874" s="128"/>
      <c r="D874" s="128"/>
      <c r="E874" s="128"/>
      <c r="F874" s="166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6" t="str">
        <f t="shared" si="79"/>
        <v/>
      </c>
      <c r="S874" s="163" t="str">
        <f t="shared" si="80"/>
        <v/>
      </c>
      <c r="T874" s="160" t="str">
        <f>IFERROR(INDEX(上年标准成本!$I:$I,MATCH(K874,上年标准成本!$C:$C,0),1),"")</f>
        <v/>
      </c>
      <c r="U874" s="126" t="str">
        <f t="shared" si="81"/>
        <v/>
      </c>
      <c r="V874" s="126" t="str">
        <f t="shared" si="82"/>
        <v/>
      </c>
      <c r="W874" s="124" t="str">
        <f t="shared" si="83"/>
        <v/>
      </c>
      <c r="X874" s="125" t="str">
        <f t="shared" si="78"/>
        <v/>
      </c>
    </row>
    <row r="875" spans="1:24" x14ac:dyDescent="0.3">
      <c r="A875" s="129"/>
      <c r="B875" s="129"/>
      <c r="C875" s="128"/>
      <c r="D875" s="128"/>
      <c r="E875" s="128"/>
      <c r="F875" s="166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6" t="str">
        <f t="shared" si="79"/>
        <v/>
      </c>
      <c r="S875" s="163" t="str">
        <f t="shared" si="80"/>
        <v/>
      </c>
      <c r="T875" s="160" t="str">
        <f>IFERROR(INDEX(上年标准成本!$I:$I,MATCH(K875,上年标准成本!$C:$C,0),1),"")</f>
        <v/>
      </c>
      <c r="U875" s="126" t="str">
        <f t="shared" si="81"/>
        <v/>
      </c>
      <c r="V875" s="126" t="str">
        <f t="shared" si="82"/>
        <v/>
      </c>
      <c r="W875" s="124" t="str">
        <f t="shared" si="83"/>
        <v/>
      </c>
      <c r="X875" s="125" t="str">
        <f t="shared" si="78"/>
        <v/>
      </c>
    </row>
    <row r="876" spans="1:24" x14ac:dyDescent="0.3">
      <c r="A876" s="129"/>
      <c r="B876" s="129"/>
      <c r="C876" s="128"/>
      <c r="D876" s="128"/>
      <c r="E876" s="128"/>
      <c r="F876" s="166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6" t="str">
        <f t="shared" si="79"/>
        <v/>
      </c>
      <c r="S876" s="163" t="str">
        <f t="shared" si="80"/>
        <v/>
      </c>
      <c r="T876" s="160" t="str">
        <f>IFERROR(INDEX(上年标准成本!$I:$I,MATCH(K876,上年标准成本!$C:$C,0),1),"")</f>
        <v/>
      </c>
      <c r="U876" s="126" t="str">
        <f t="shared" si="81"/>
        <v/>
      </c>
      <c r="V876" s="126" t="str">
        <f t="shared" si="82"/>
        <v/>
      </c>
      <c r="W876" s="124" t="str">
        <f t="shared" si="83"/>
        <v/>
      </c>
      <c r="X876" s="125" t="str">
        <f t="shared" si="78"/>
        <v/>
      </c>
    </row>
    <row r="877" spans="1:24" x14ac:dyDescent="0.3">
      <c r="A877" s="129"/>
      <c r="B877" s="129"/>
      <c r="C877" s="128"/>
      <c r="D877" s="128"/>
      <c r="E877" s="128"/>
      <c r="F877" s="166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6" t="str">
        <f t="shared" si="79"/>
        <v/>
      </c>
      <c r="S877" s="163" t="str">
        <f t="shared" si="80"/>
        <v/>
      </c>
      <c r="T877" s="160" t="str">
        <f>IFERROR(INDEX(上年标准成本!$I:$I,MATCH(K877,上年标准成本!$C:$C,0),1),"")</f>
        <v/>
      </c>
      <c r="U877" s="126" t="str">
        <f t="shared" si="81"/>
        <v/>
      </c>
      <c r="V877" s="126" t="str">
        <f t="shared" si="82"/>
        <v/>
      </c>
      <c r="W877" s="124" t="str">
        <f t="shared" si="83"/>
        <v/>
      </c>
      <c r="X877" s="125" t="str">
        <f t="shared" si="78"/>
        <v/>
      </c>
    </row>
    <row r="878" spans="1:24" x14ac:dyDescent="0.3">
      <c r="A878" s="129"/>
      <c r="B878" s="129"/>
      <c r="C878" s="128"/>
      <c r="D878" s="128"/>
      <c r="E878" s="128"/>
      <c r="F878" s="166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6" t="str">
        <f t="shared" si="79"/>
        <v/>
      </c>
      <c r="S878" s="163" t="str">
        <f t="shared" si="80"/>
        <v/>
      </c>
      <c r="T878" s="160" t="str">
        <f>IFERROR(INDEX(上年标准成本!$I:$I,MATCH(K878,上年标准成本!$C:$C,0),1),"")</f>
        <v/>
      </c>
      <c r="U878" s="126" t="str">
        <f t="shared" si="81"/>
        <v/>
      </c>
      <c r="V878" s="126" t="str">
        <f t="shared" si="82"/>
        <v/>
      </c>
      <c r="W878" s="124" t="str">
        <f t="shared" si="83"/>
        <v/>
      </c>
      <c r="X878" s="125" t="str">
        <f t="shared" si="78"/>
        <v/>
      </c>
    </row>
    <row r="879" spans="1:24" x14ac:dyDescent="0.3">
      <c r="A879" s="129"/>
      <c r="B879" s="129"/>
      <c r="C879" s="128"/>
      <c r="D879" s="128"/>
      <c r="E879" s="128"/>
      <c r="F879" s="166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6" t="str">
        <f t="shared" si="79"/>
        <v/>
      </c>
      <c r="S879" s="163" t="str">
        <f t="shared" si="80"/>
        <v/>
      </c>
      <c r="T879" s="160" t="str">
        <f>IFERROR(INDEX(上年标准成本!$I:$I,MATCH(K879,上年标准成本!$C:$C,0),1),"")</f>
        <v/>
      </c>
      <c r="U879" s="126" t="str">
        <f t="shared" si="81"/>
        <v/>
      </c>
      <c r="V879" s="126" t="str">
        <f t="shared" si="82"/>
        <v/>
      </c>
      <c r="W879" s="124" t="str">
        <f t="shared" si="83"/>
        <v/>
      </c>
      <c r="X879" s="125" t="str">
        <f t="shared" si="78"/>
        <v/>
      </c>
    </row>
    <row r="880" spans="1:24" x14ac:dyDescent="0.3">
      <c r="A880" s="129"/>
      <c r="B880" s="129"/>
      <c r="C880" s="128"/>
      <c r="D880" s="128"/>
      <c r="E880" s="128"/>
      <c r="F880" s="166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6" t="str">
        <f t="shared" si="79"/>
        <v/>
      </c>
      <c r="S880" s="163" t="str">
        <f t="shared" si="80"/>
        <v/>
      </c>
      <c r="T880" s="160" t="str">
        <f>IFERROR(INDEX(上年标准成本!$I:$I,MATCH(K880,上年标准成本!$C:$C,0),1),"")</f>
        <v/>
      </c>
      <c r="U880" s="126" t="str">
        <f t="shared" si="81"/>
        <v/>
      </c>
      <c r="V880" s="126" t="str">
        <f t="shared" si="82"/>
        <v/>
      </c>
      <c r="W880" s="124" t="str">
        <f t="shared" si="83"/>
        <v/>
      </c>
      <c r="X880" s="125" t="str">
        <f t="shared" si="78"/>
        <v/>
      </c>
    </row>
    <row r="881" spans="1:24" x14ac:dyDescent="0.3">
      <c r="A881" s="129"/>
      <c r="B881" s="129"/>
      <c r="C881" s="128"/>
      <c r="D881" s="128"/>
      <c r="E881" s="128"/>
      <c r="F881" s="166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6" t="str">
        <f t="shared" si="79"/>
        <v/>
      </c>
      <c r="S881" s="163" t="str">
        <f t="shared" si="80"/>
        <v/>
      </c>
      <c r="T881" s="160" t="str">
        <f>IFERROR(INDEX(上年标准成本!$I:$I,MATCH(K881,上年标准成本!$C:$C,0),1),"")</f>
        <v/>
      </c>
      <c r="U881" s="126" t="str">
        <f t="shared" si="81"/>
        <v/>
      </c>
      <c r="V881" s="126" t="str">
        <f t="shared" si="82"/>
        <v/>
      </c>
      <c r="W881" s="124" t="str">
        <f t="shared" si="83"/>
        <v/>
      </c>
      <c r="X881" s="125" t="str">
        <f t="shared" si="78"/>
        <v/>
      </c>
    </row>
    <row r="882" spans="1:24" x14ac:dyDescent="0.3">
      <c r="A882" s="129"/>
      <c r="B882" s="129"/>
      <c r="C882" s="128"/>
      <c r="D882" s="128"/>
      <c r="E882" s="128"/>
      <c r="F882" s="166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6" t="str">
        <f t="shared" si="79"/>
        <v/>
      </c>
      <c r="S882" s="163" t="str">
        <f t="shared" si="80"/>
        <v/>
      </c>
      <c r="T882" s="160" t="str">
        <f>IFERROR(INDEX(上年标准成本!$I:$I,MATCH(K882,上年标准成本!$C:$C,0),1),"")</f>
        <v/>
      </c>
      <c r="U882" s="126" t="str">
        <f t="shared" si="81"/>
        <v/>
      </c>
      <c r="V882" s="126" t="str">
        <f t="shared" si="82"/>
        <v/>
      </c>
      <c r="W882" s="124" t="str">
        <f t="shared" si="83"/>
        <v/>
      </c>
      <c r="X882" s="125" t="str">
        <f t="shared" si="78"/>
        <v/>
      </c>
    </row>
    <row r="883" spans="1:24" x14ac:dyDescent="0.3">
      <c r="A883" s="129"/>
      <c r="B883" s="129"/>
      <c r="C883" s="128"/>
      <c r="D883" s="128"/>
      <c r="E883" s="128"/>
      <c r="F883" s="166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6" t="str">
        <f t="shared" si="79"/>
        <v/>
      </c>
      <c r="S883" s="163" t="str">
        <f t="shared" si="80"/>
        <v/>
      </c>
      <c r="T883" s="160" t="str">
        <f>IFERROR(INDEX(上年标准成本!$I:$I,MATCH(K883,上年标准成本!$C:$C,0),1),"")</f>
        <v/>
      </c>
      <c r="U883" s="126" t="str">
        <f t="shared" si="81"/>
        <v/>
      </c>
      <c r="V883" s="126" t="str">
        <f t="shared" si="82"/>
        <v/>
      </c>
      <c r="W883" s="124" t="str">
        <f t="shared" si="83"/>
        <v/>
      </c>
      <c r="X883" s="125" t="str">
        <f t="shared" si="78"/>
        <v/>
      </c>
    </row>
    <row r="884" spans="1:24" x14ac:dyDescent="0.3">
      <c r="A884" s="129"/>
      <c r="B884" s="129"/>
      <c r="C884" s="128"/>
      <c r="D884" s="128"/>
      <c r="E884" s="128"/>
      <c r="F884" s="166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6" t="str">
        <f t="shared" si="79"/>
        <v/>
      </c>
      <c r="S884" s="163" t="str">
        <f t="shared" si="80"/>
        <v/>
      </c>
      <c r="T884" s="160" t="str">
        <f>IFERROR(INDEX(上年标准成本!$I:$I,MATCH(K884,上年标准成本!$C:$C,0),1),"")</f>
        <v/>
      </c>
      <c r="U884" s="126" t="str">
        <f t="shared" si="81"/>
        <v/>
      </c>
      <c r="V884" s="126" t="str">
        <f t="shared" si="82"/>
        <v/>
      </c>
      <c r="W884" s="124" t="str">
        <f t="shared" si="83"/>
        <v/>
      </c>
      <c r="X884" s="125" t="str">
        <f t="shared" si="78"/>
        <v/>
      </c>
    </row>
    <row r="885" spans="1:24" x14ac:dyDescent="0.3">
      <c r="A885" s="129"/>
      <c r="B885" s="129"/>
      <c r="C885" s="128"/>
      <c r="D885" s="128"/>
      <c r="E885" s="128"/>
      <c r="F885" s="166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6" t="str">
        <f t="shared" si="79"/>
        <v/>
      </c>
      <c r="S885" s="163" t="str">
        <f t="shared" si="80"/>
        <v/>
      </c>
      <c r="T885" s="160" t="str">
        <f>IFERROR(INDEX(上年标准成本!$I:$I,MATCH(K885,上年标准成本!$C:$C,0),1),"")</f>
        <v/>
      </c>
      <c r="U885" s="126" t="str">
        <f t="shared" si="81"/>
        <v/>
      </c>
      <c r="V885" s="126" t="str">
        <f t="shared" si="82"/>
        <v/>
      </c>
      <c r="W885" s="124" t="str">
        <f t="shared" si="83"/>
        <v/>
      </c>
      <c r="X885" s="125" t="str">
        <f t="shared" si="78"/>
        <v/>
      </c>
    </row>
    <row r="886" spans="1:24" x14ac:dyDescent="0.3">
      <c r="A886" s="129"/>
      <c r="B886" s="129"/>
      <c r="C886" s="128"/>
      <c r="D886" s="128"/>
      <c r="E886" s="128"/>
      <c r="F886" s="166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6" t="str">
        <f t="shared" si="79"/>
        <v/>
      </c>
      <c r="S886" s="163" t="str">
        <f t="shared" si="80"/>
        <v/>
      </c>
      <c r="T886" s="160" t="str">
        <f>IFERROR(INDEX(上年标准成本!$I:$I,MATCH(K886,上年标准成本!$C:$C,0),1),"")</f>
        <v/>
      </c>
      <c r="U886" s="126" t="str">
        <f t="shared" si="81"/>
        <v/>
      </c>
      <c r="V886" s="126" t="str">
        <f t="shared" si="82"/>
        <v/>
      </c>
      <c r="W886" s="124" t="str">
        <f t="shared" si="83"/>
        <v/>
      </c>
      <c r="X886" s="125" t="str">
        <f t="shared" si="78"/>
        <v/>
      </c>
    </row>
    <row r="887" spans="1:24" x14ac:dyDescent="0.3">
      <c r="A887" s="129"/>
      <c r="B887" s="129"/>
      <c r="C887" s="128"/>
      <c r="D887" s="128"/>
      <c r="E887" s="128"/>
      <c r="F887" s="166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6" t="str">
        <f t="shared" si="79"/>
        <v/>
      </c>
      <c r="S887" s="163" t="str">
        <f t="shared" si="80"/>
        <v/>
      </c>
      <c r="T887" s="160" t="str">
        <f>IFERROR(INDEX(上年标准成本!$I:$I,MATCH(K887,上年标准成本!$C:$C,0),1),"")</f>
        <v/>
      </c>
      <c r="U887" s="126" t="str">
        <f t="shared" si="81"/>
        <v/>
      </c>
      <c r="V887" s="126" t="str">
        <f t="shared" si="82"/>
        <v/>
      </c>
      <c r="W887" s="124" t="str">
        <f t="shared" si="83"/>
        <v/>
      </c>
      <c r="X887" s="125" t="str">
        <f t="shared" si="78"/>
        <v/>
      </c>
    </row>
    <row r="888" spans="1:24" x14ac:dyDescent="0.3">
      <c r="A888" s="129"/>
      <c r="B888" s="129"/>
      <c r="C888" s="128"/>
      <c r="D888" s="128"/>
      <c r="E888" s="128"/>
      <c r="F888" s="166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6" t="str">
        <f t="shared" si="79"/>
        <v/>
      </c>
      <c r="S888" s="163" t="str">
        <f t="shared" si="80"/>
        <v/>
      </c>
      <c r="T888" s="160" t="str">
        <f>IFERROR(INDEX(上年标准成本!$I:$I,MATCH(K888,上年标准成本!$C:$C,0),1),"")</f>
        <v/>
      </c>
      <c r="U888" s="126" t="str">
        <f t="shared" si="81"/>
        <v/>
      </c>
      <c r="V888" s="126" t="str">
        <f t="shared" si="82"/>
        <v/>
      </c>
      <c r="W888" s="124" t="str">
        <f t="shared" si="83"/>
        <v/>
      </c>
      <c r="X888" s="125" t="str">
        <f t="shared" si="78"/>
        <v/>
      </c>
    </row>
    <row r="889" spans="1:24" x14ac:dyDescent="0.3">
      <c r="A889" s="129"/>
      <c r="B889" s="129"/>
      <c r="C889" s="128"/>
      <c r="D889" s="128"/>
      <c r="E889" s="128"/>
      <c r="F889" s="166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6" t="str">
        <f t="shared" si="79"/>
        <v/>
      </c>
      <c r="S889" s="163" t="str">
        <f t="shared" si="80"/>
        <v/>
      </c>
      <c r="T889" s="160" t="str">
        <f>IFERROR(INDEX(上年标准成本!$I:$I,MATCH(K889,上年标准成本!$C:$C,0),1),"")</f>
        <v/>
      </c>
      <c r="U889" s="126" t="str">
        <f t="shared" si="81"/>
        <v/>
      </c>
      <c r="V889" s="126" t="str">
        <f t="shared" si="82"/>
        <v/>
      </c>
      <c r="W889" s="124" t="str">
        <f t="shared" si="83"/>
        <v/>
      </c>
      <c r="X889" s="125" t="str">
        <f t="shared" si="78"/>
        <v/>
      </c>
    </row>
    <row r="890" spans="1:24" x14ac:dyDescent="0.3">
      <c r="A890" s="129"/>
      <c r="B890" s="129"/>
      <c r="C890" s="128"/>
      <c r="D890" s="128"/>
      <c r="E890" s="128"/>
      <c r="F890" s="166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6" t="str">
        <f t="shared" si="79"/>
        <v/>
      </c>
      <c r="S890" s="163" t="str">
        <f t="shared" si="80"/>
        <v/>
      </c>
      <c r="T890" s="160" t="str">
        <f>IFERROR(INDEX(上年标准成本!$I:$I,MATCH(K890,上年标准成本!$C:$C,0),1),"")</f>
        <v/>
      </c>
      <c r="U890" s="126" t="str">
        <f t="shared" si="81"/>
        <v/>
      </c>
      <c r="V890" s="126" t="str">
        <f t="shared" si="82"/>
        <v/>
      </c>
      <c r="W890" s="124" t="str">
        <f t="shared" si="83"/>
        <v/>
      </c>
      <c r="X890" s="125" t="str">
        <f t="shared" si="78"/>
        <v/>
      </c>
    </row>
    <row r="891" spans="1:24" x14ac:dyDescent="0.3">
      <c r="A891" s="129"/>
      <c r="B891" s="129"/>
      <c r="C891" s="128"/>
      <c r="D891" s="128"/>
      <c r="E891" s="128"/>
      <c r="F891" s="166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6" t="str">
        <f t="shared" si="79"/>
        <v/>
      </c>
      <c r="S891" s="163" t="str">
        <f t="shared" si="80"/>
        <v/>
      </c>
      <c r="T891" s="160" t="str">
        <f>IFERROR(INDEX(上年标准成本!$I:$I,MATCH(K891,上年标准成本!$C:$C,0),1),"")</f>
        <v/>
      </c>
      <c r="U891" s="126" t="str">
        <f t="shared" si="81"/>
        <v/>
      </c>
      <c r="V891" s="126" t="str">
        <f t="shared" si="82"/>
        <v/>
      </c>
      <c r="W891" s="124" t="str">
        <f t="shared" si="83"/>
        <v/>
      </c>
      <c r="X891" s="125" t="str">
        <f t="shared" si="78"/>
        <v/>
      </c>
    </row>
    <row r="892" spans="1:24" x14ac:dyDescent="0.3">
      <c r="A892" s="129"/>
      <c r="B892" s="129"/>
      <c r="C892" s="128"/>
      <c r="D892" s="128"/>
      <c r="E892" s="128"/>
      <c r="F892" s="166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6" t="str">
        <f t="shared" si="79"/>
        <v/>
      </c>
      <c r="S892" s="163" t="str">
        <f t="shared" si="80"/>
        <v/>
      </c>
      <c r="T892" s="160" t="str">
        <f>IFERROR(INDEX(上年标准成本!$I:$I,MATCH(K892,上年标准成本!$C:$C,0),1),"")</f>
        <v/>
      </c>
      <c r="U892" s="126" t="str">
        <f t="shared" si="81"/>
        <v/>
      </c>
      <c r="V892" s="126" t="str">
        <f t="shared" si="82"/>
        <v/>
      </c>
      <c r="W892" s="124" t="str">
        <f t="shared" si="83"/>
        <v/>
      </c>
      <c r="X892" s="125" t="str">
        <f t="shared" si="78"/>
        <v/>
      </c>
    </row>
    <row r="893" spans="1:24" x14ac:dyDescent="0.3">
      <c r="A893" s="129"/>
      <c r="B893" s="129"/>
      <c r="C893" s="128"/>
      <c r="D893" s="128"/>
      <c r="E893" s="128"/>
      <c r="F893" s="166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6" t="str">
        <f t="shared" si="79"/>
        <v/>
      </c>
      <c r="S893" s="163" t="str">
        <f t="shared" si="80"/>
        <v/>
      </c>
      <c r="T893" s="160" t="str">
        <f>IFERROR(INDEX(上年标准成本!$I:$I,MATCH(K893,上年标准成本!$C:$C,0),1),"")</f>
        <v/>
      </c>
      <c r="U893" s="126" t="str">
        <f t="shared" si="81"/>
        <v/>
      </c>
      <c r="V893" s="126" t="str">
        <f t="shared" si="82"/>
        <v/>
      </c>
      <c r="W893" s="124" t="str">
        <f t="shared" si="83"/>
        <v/>
      </c>
      <c r="X893" s="125" t="str">
        <f t="shared" si="78"/>
        <v/>
      </c>
    </row>
    <row r="894" spans="1:24" x14ac:dyDescent="0.3">
      <c r="A894" s="129"/>
      <c r="B894" s="129"/>
      <c r="C894" s="128"/>
      <c r="D894" s="128"/>
      <c r="E894" s="128"/>
      <c r="F894" s="166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6" t="str">
        <f t="shared" si="79"/>
        <v/>
      </c>
      <c r="S894" s="163" t="str">
        <f t="shared" si="80"/>
        <v/>
      </c>
      <c r="T894" s="160" t="str">
        <f>IFERROR(INDEX(上年标准成本!$I:$I,MATCH(K894,上年标准成本!$C:$C,0),1),"")</f>
        <v/>
      </c>
      <c r="U894" s="126" t="str">
        <f t="shared" si="81"/>
        <v/>
      </c>
      <c r="V894" s="126" t="str">
        <f t="shared" si="82"/>
        <v/>
      </c>
      <c r="W894" s="124" t="str">
        <f t="shared" si="83"/>
        <v/>
      </c>
      <c r="X894" s="125" t="str">
        <f t="shared" si="78"/>
        <v/>
      </c>
    </row>
    <row r="895" spans="1:24" x14ac:dyDescent="0.3">
      <c r="A895" s="129"/>
      <c r="B895" s="129"/>
      <c r="C895" s="128"/>
      <c r="D895" s="128"/>
      <c r="E895" s="128"/>
      <c r="F895" s="166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6" t="str">
        <f t="shared" si="79"/>
        <v/>
      </c>
      <c r="S895" s="163" t="str">
        <f t="shared" si="80"/>
        <v/>
      </c>
      <c r="T895" s="160" t="str">
        <f>IFERROR(INDEX(上年标准成本!$I:$I,MATCH(K895,上年标准成本!$C:$C,0),1),"")</f>
        <v/>
      </c>
      <c r="U895" s="126" t="str">
        <f t="shared" si="81"/>
        <v/>
      </c>
      <c r="V895" s="126" t="str">
        <f t="shared" si="82"/>
        <v/>
      </c>
      <c r="W895" s="124" t="str">
        <f t="shared" si="83"/>
        <v/>
      </c>
      <c r="X895" s="125" t="str">
        <f t="shared" si="78"/>
        <v/>
      </c>
    </row>
    <row r="896" spans="1:24" x14ac:dyDescent="0.3">
      <c r="A896" s="129"/>
      <c r="B896" s="129"/>
      <c r="C896" s="128"/>
      <c r="D896" s="128"/>
      <c r="E896" s="128"/>
      <c r="F896" s="166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6" t="str">
        <f t="shared" si="79"/>
        <v/>
      </c>
      <c r="S896" s="163" t="str">
        <f t="shared" si="80"/>
        <v/>
      </c>
      <c r="T896" s="160" t="str">
        <f>IFERROR(INDEX(上年标准成本!$I:$I,MATCH(K896,上年标准成本!$C:$C,0),1),"")</f>
        <v/>
      </c>
      <c r="U896" s="126" t="str">
        <f t="shared" si="81"/>
        <v/>
      </c>
      <c r="V896" s="126" t="str">
        <f t="shared" si="82"/>
        <v/>
      </c>
      <c r="W896" s="124" t="str">
        <f t="shared" si="83"/>
        <v/>
      </c>
      <c r="X896" s="125" t="str">
        <f t="shared" si="78"/>
        <v/>
      </c>
    </row>
    <row r="897" spans="1:24" x14ac:dyDescent="0.3">
      <c r="A897" s="129"/>
      <c r="B897" s="129"/>
      <c r="C897" s="128"/>
      <c r="D897" s="128"/>
      <c r="E897" s="128"/>
      <c r="F897" s="166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6" t="str">
        <f t="shared" si="79"/>
        <v/>
      </c>
      <c r="S897" s="163" t="str">
        <f t="shared" si="80"/>
        <v/>
      </c>
      <c r="T897" s="160" t="str">
        <f>IFERROR(INDEX(上年标准成本!$I:$I,MATCH(K897,上年标准成本!$C:$C,0),1),"")</f>
        <v/>
      </c>
      <c r="U897" s="126" t="str">
        <f t="shared" si="81"/>
        <v/>
      </c>
      <c r="V897" s="126" t="str">
        <f t="shared" si="82"/>
        <v/>
      </c>
      <c r="W897" s="124" t="str">
        <f t="shared" si="83"/>
        <v/>
      </c>
      <c r="X897" s="125" t="str">
        <f t="shared" si="78"/>
        <v/>
      </c>
    </row>
    <row r="898" spans="1:24" x14ac:dyDescent="0.3">
      <c r="A898" s="129"/>
      <c r="B898" s="129"/>
      <c r="C898" s="128"/>
      <c r="D898" s="128"/>
      <c r="E898" s="128"/>
      <c r="F898" s="166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6" t="str">
        <f t="shared" si="79"/>
        <v/>
      </c>
      <c r="S898" s="163" t="str">
        <f t="shared" si="80"/>
        <v/>
      </c>
      <c r="T898" s="160" t="str">
        <f>IFERROR(INDEX(上年标准成本!$I:$I,MATCH(K898,上年标准成本!$C:$C,0),1),"")</f>
        <v/>
      </c>
      <c r="U898" s="126" t="str">
        <f t="shared" si="81"/>
        <v/>
      </c>
      <c r="V898" s="126" t="str">
        <f t="shared" si="82"/>
        <v/>
      </c>
      <c r="W898" s="124" t="str">
        <f t="shared" si="83"/>
        <v/>
      </c>
      <c r="X898" s="125" t="str">
        <f t="shared" ref="X898:X961" si="84">IFERROR(IF(W898/SUM(W:W)=0,"",W898/SUM(W:W)),"")</f>
        <v/>
      </c>
    </row>
    <row r="899" spans="1:24" x14ac:dyDescent="0.3">
      <c r="A899" s="129"/>
      <c r="B899" s="129"/>
      <c r="C899" s="128"/>
      <c r="D899" s="128"/>
      <c r="E899" s="128"/>
      <c r="F899" s="166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6" t="str">
        <f t="shared" ref="R899:R962" si="85">IFERROR(P899/O899,"")</f>
        <v/>
      </c>
      <c r="S899" s="163" t="str">
        <f t="shared" ref="S899:S962" si="86">IFERROR(R899*(1+Q899),"")</f>
        <v/>
      </c>
      <c r="T899" s="160" t="str">
        <f>IFERROR(INDEX(上年标准成本!$I:$I,MATCH(K899,上年标准成本!$C:$C,0),1),"")</f>
        <v/>
      </c>
      <c r="U899" s="126" t="str">
        <f t="shared" ref="U899:U962" si="87">IFERROR(O899*T899,"")</f>
        <v/>
      </c>
      <c r="V899" s="126" t="str">
        <f t="shared" ref="V899:V962" si="88">IFERROR(P899-U899,"")</f>
        <v/>
      </c>
      <c r="W899" s="124" t="str">
        <f t="shared" ref="W899:W962" si="89">IFERROR(V899/P899,"")</f>
        <v/>
      </c>
      <c r="X899" s="125" t="str">
        <f t="shared" si="84"/>
        <v/>
      </c>
    </row>
    <row r="900" spans="1:24" x14ac:dyDescent="0.3">
      <c r="A900" s="129"/>
      <c r="B900" s="129"/>
      <c r="C900" s="128"/>
      <c r="D900" s="128"/>
      <c r="E900" s="128"/>
      <c r="F900" s="166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6" t="str">
        <f t="shared" si="85"/>
        <v/>
      </c>
      <c r="S900" s="163" t="str">
        <f t="shared" si="86"/>
        <v/>
      </c>
      <c r="T900" s="160" t="str">
        <f>IFERROR(INDEX(上年标准成本!$I:$I,MATCH(K900,上年标准成本!$C:$C,0),1),"")</f>
        <v/>
      </c>
      <c r="U900" s="126" t="str">
        <f t="shared" si="87"/>
        <v/>
      </c>
      <c r="V900" s="126" t="str">
        <f t="shared" si="88"/>
        <v/>
      </c>
      <c r="W900" s="124" t="str">
        <f t="shared" si="89"/>
        <v/>
      </c>
      <c r="X900" s="125" t="str">
        <f t="shared" si="84"/>
        <v/>
      </c>
    </row>
    <row r="901" spans="1:24" x14ac:dyDescent="0.3">
      <c r="A901" s="129"/>
      <c r="B901" s="129"/>
      <c r="C901" s="128"/>
      <c r="D901" s="128"/>
      <c r="E901" s="128"/>
      <c r="F901" s="166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6" t="str">
        <f t="shared" si="85"/>
        <v/>
      </c>
      <c r="S901" s="163" t="str">
        <f t="shared" si="86"/>
        <v/>
      </c>
      <c r="T901" s="160" t="str">
        <f>IFERROR(INDEX(上年标准成本!$I:$I,MATCH(K901,上年标准成本!$C:$C,0),1),"")</f>
        <v/>
      </c>
      <c r="U901" s="126" t="str">
        <f t="shared" si="87"/>
        <v/>
      </c>
      <c r="V901" s="126" t="str">
        <f t="shared" si="88"/>
        <v/>
      </c>
      <c r="W901" s="124" t="str">
        <f t="shared" si="89"/>
        <v/>
      </c>
      <c r="X901" s="125" t="str">
        <f t="shared" si="84"/>
        <v/>
      </c>
    </row>
    <row r="902" spans="1:24" x14ac:dyDescent="0.3">
      <c r="A902" s="129"/>
      <c r="B902" s="129"/>
      <c r="C902" s="128"/>
      <c r="D902" s="128"/>
      <c r="E902" s="128"/>
      <c r="F902" s="166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6" t="str">
        <f t="shared" si="85"/>
        <v/>
      </c>
      <c r="S902" s="163" t="str">
        <f t="shared" si="86"/>
        <v/>
      </c>
      <c r="T902" s="160" t="str">
        <f>IFERROR(INDEX(上年标准成本!$I:$I,MATCH(K902,上年标准成本!$C:$C,0),1),"")</f>
        <v/>
      </c>
      <c r="U902" s="126" t="str">
        <f t="shared" si="87"/>
        <v/>
      </c>
      <c r="V902" s="126" t="str">
        <f t="shared" si="88"/>
        <v/>
      </c>
      <c r="W902" s="124" t="str">
        <f t="shared" si="89"/>
        <v/>
      </c>
      <c r="X902" s="125" t="str">
        <f t="shared" si="84"/>
        <v/>
      </c>
    </row>
    <row r="903" spans="1:24" x14ac:dyDescent="0.3">
      <c r="A903" s="129"/>
      <c r="B903" s="129"/>
      <c r="C903" s="128"/>
      <c r="D903" s="128"/>
      <c r="E903" s="128"/>
      <c r="F903" s="166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6" t="str">
        <f t="shared" si="85"/>
        <v/>
      </c>
      <c r="S903" s="163" t="str">
        <f t="shared" si="86"/>
        <v/>
      </c>
      <c r="T903" s="160" t="str">
        <f>IFERROR(INDEX(上年标准成本!$I:$I,MATCH(K903,上年标准成本!$C:$C,0),1),"")</f>
        <v/>
      </c>
      <c r="U903" s="126" t="str">
        <f t="shared" si="87"/>
        <v/>
      </c>
      <c r="V903" s="126" t="str">
        <f t="shared" si="88"/>
        <v/>
      </c>
      <c r="W903" s="124" t="str">
        <f t="shared" si="89"/>
        <v/>
      </c>
      <c r="X903" s="125" t="str">
        <f t="shared" si="84"/>
        <v/>
      </c>
    </row>
    <row r="904" spans="1:24" x14ac:dyDescent="0.3">
      <c r="A904" s="129"/>
      <c r="B904" s="129"/>
      <c r="C904" s="128"/>
      <c r="D904" s="128"/>
      <c r="E904" s="128"/>
      <c r="F904" s="166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6" t="str">
        <f t="shared" si="85"/>
        <v/>
      </c>
      <c r="S904" s="163" t="str">
        <f t="shared" si="86"/>
        <v/>
      </c>
      <c r="T904" s="160" t="str">
        <f>IFERROR(INDEX(上年标准成本!$I:$I,MATCH(K904,上年标准成本!$C:$C,0),1),"")</f>
        <v/>
      </c>
      <c r="U904" s="126" t="str">
        <f t="shared" si="87"/>
        <v/>
      </c>
      <c r="V904" s="126" t="str">
        <f t="shared" si="88"/>
        <v/>
      </c>
      <c r="W904" s="124" t="str">
        <f t="shared" si="89"/>
        <v/>
      </c>
      <c r="X904" s="125" t="str">
        <f t="shared" si="84"/>
        <v/>
      </c>
    </row>
    <row r="905" spans="1:24" x14ac:dyDescent="0.3">
      <c r="A905" s="129"/>
      <c r="B905" s="129"/>
      <c r="C905" s="128"/>
      <c r="D905" s="128"/>
      <c r="E905" s="128"/>
      <c r="F905" s="166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6" t="str">
        <f t="shared" si="85"/>
        <v/>
      </c>
      <c r="S905" s="163" t="str">
        <f t="shared" si="86"/>
        <v/>
      </c>
      <c r="T905" s="160" t="str">
        <f>IFERROR(INDEX(上年标准成本!$I:$I,MATCH(K905,上年标准成本!$C:$C,0),1),"")</f>
        <v/>
      </c>
      <c r="U905" s="126" t="str">
        <f t="shared" si="87"/>
        <v/>
      </c>
      <c r="V905" s="126" t="str">
        <f t="shared" si="88"/>
        <v/>
      </c>
      <c r="W905" s="124" t="str">
        <f t="shared" si="89"/>
        <v/>
      </c>
      <c r="X905" s="125" t="str">
        <f t="shared" si="84"/>
        <v/>
      </c>
    </row>
    <row r="906" spans="1:24" x14ac:dyDescent="0.3">
      <c r="A906" s="129"/>
      <c r="B906" s="129"/>
      <c r="C906" s="128"/>
      <c r="D906" s="128"/>
      <c r="E906" s="128"/>
      <c r="F906" s="166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6" t="str">
        <f t="shared" si="85"/>
        <v/>
      </c>
      <c r="S906" s="163" t="str">
        <f t="shared" si="86"/>
        <v/>
      </c>
      <c r="T906" s="160" t="str">
        <f>IFERROR(INDEX(上年标准成本!$I:$I,MATCH(K906,上年标准成本!$C:$C,0),1),"")</f>
        <v/>
      </c>
      <c r="U906" s="126" t="str">
        <f t="shared" si="87"/>
        <v/>
      </c>
      <c r="V906" s="126" t="str">
        <f t="shared" si="88"/>
        <v/>
      </c>
      <c r="W906" s="124" t="str">
        <f t="shared" si="89"/>
        <v/>
      </c>
      <c r="X906" s="125" t="str">
        <f t="shared" si="84"/>
        <v/>
      </c>
    </row>
    <row r="907" spans="1:24" x14ac:dyDescent="0.3">
      <c r="A907" s="129"/>
      <c r="B907" s="129"/>
      <c r="C907" s="128"/>
      <c r="D907" s="128"/>
      <c r="E907" s="128"/>
      <c r="F907" s="166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6" t="str">
        <f t="shared" si="85"/>
        <v/>
      </c>
      <c r="S907" s="163" t="str">
        <f t="shared" si="86"/>
        <v/>
      </c>
      <c r="T907" s="160" t="str">
        <f>IFERROR(INDEX(上年标准成本!$I:$I,MATCH(K907,上年标准成本!$C:$C,0),1),"")</f>
        <v/>
      </c>
      <c r="U907" s="126" t="str">
        <f t="shared" si="87"/>
        <v/>
      </c>
      <c r="V907" s="126" t="str">
        <f t="shared" si="88"/>
        <v/>
      </c>
      <c r="W907" s="124" t="str">
        <f t="shared" si="89"/>
        <v/>
      </c>
      <c r="X907" s="125" t="str">
        <f t="shared" si="84"/>
        <v/>
      </c>
    </row>
    <row r="908" spans="1:24" x14ac:dyDescent="0.3">
      <c r="A908" s="129"/>
      <c r="B908" s="129"/>
      <c r="C908" s="128"/>
      <c r="D908" s="128"/>
      <c r="E908" s="128"/>
      <c r="F908" s="166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6" t="str">
        <f t="shared" si="85"/>
        <v/>
      </c>
      <c r="S908" s="163" t="str">
        <f t="shared" si="86"/>
        <v/>
      </c>
      <c r="T908" s="160" t="str">
        <f>IFERROR(INDEX(上年标准成本!$I:$I,MATCH(K908,上年标准成本!$C:$C,0),1),"")</f>
        <v/>
      </c>
      <c r="U908" s="126" t="str">
        <f t="shared" si="87"/>
        <v/>
      </c>
      <c r="V908" s="126" t="str">
        <f t="shared" si="88"/>
        <v/>
      </c>
      <c r="W908" s="124" t="str">
        <f t="shared" si="89"/>
        <v/>
      </c>
      <c r="X908" s="125" t="str">
        <f t="shared" si="84"/>
        <v/>
      </c>
    </row>
    <row r="909" spans="1:24" x14ac:dyDescent="0.3">
      <c r="A909" s="129"/>
      <c r="B909" s="129"/>
      <c r="C909" s="128"/>
      <c r="D909" s="128"/>
      <c r="E909" s="128"/>
      <c r="F909" s="166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6" t="str">
        <f t="shared" si="85"/>
        <v/>
      </c>
      <c r="S909" s="163" t="str">
        <f t="shared" si="86"/>
        <v/>
      </c>
      <c r="T909" s="160" t="str">
        <f>IFERROR(INDEX(上年标准成本!$I:$I,MATCH(K909,上年标准成本!$C:$C,0),1),"")</f>
        <v/>
      </c>
      <c r="U909" s="126" t="str">
        <f t="shared" si="87"/>
        <v/>
      </c>
      <c r="V909" s="126" t="str">
        <f t="shared" si="88"/>
        <v/>
      </c>
      <c r="W909" s="124" t="str">
        <f t="shared" si="89"/>
        <v/>
      </c>
      <c r="X909" s="125" t="str">
        <f t="shared" si="84"/>
        <v/>
      </c>
    </row>
    <row r="910" spans="1:24" x14ac:dyDescent="0.3">
      <c r="A910" s="129"/>
      <c r="B910" s="129"/>
      <c r="C910" s="128"/>
      <c r="D910" s="128"/>
      <c r="E910" s="128"/>
      <c r="F910" s="166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6" t="str">
        <f t="shared" si="85"/>
        <v/>
      </c>
      <c r="S910" s="163" t="str">
        <f t="shared" si="86"/>
        <v/>
      </c>
      <c r="T910" s="160" t="str">
        <f>IFERROR(INDEX(上年标准成本!$I:$I,MATCH(K910,上年标准成本!$C:$C,0),1),"")</f>
        <v/>
      </c>
      <c r="U910" s="126" t="str">
        <f t="shared" si="87"/>
        <v/>
      </c>
      <c r="V910" s="126" t="str">
        <f t="shared" si="88"/>
        <v/>
      </c>
      <c r="W910" s="124" t="str">
        <f t="shared" si="89"/>
        <v/>
      </c>
      <c r="X910" s="125" t="str">
        <f t="shared" si="84"/>
        <v/>
      </c>
    </row>
    <row r="911" spans="1:24" x14ac:dyDescent="0.3">
      <c r="A911" s="129"/>
      <c r="B911" s="129"/>
      <c r="C911" s="128"/>
      <c r="D911" s="128"/>
      <c r="E911" s="128"/>
      <c r="F911" s="166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6" t="str">
        <f t="shared" si="85"/>
        <v/>
      </c>
      <c r="S911" s="163" t="str">
        <f t="shared" si="86"/>
        <v/>
      </c>
      <c r="T911" s="160" t="str">
        <f>IFERROR(INDEX(上年标准成本!$I:$I,MATCH(K911,上年标准成本!$C:$C,0),1),"")</f>
        <v/>
      </c>
      <c r="U911" s="126" t="str">
        <f t="shared" si="87"/>
        <v/>
      </c>
      <c r="V911" s="126" t="str">
        <f t="shared" si="88"/>
        <v/>
      </c>
      <c r="W911" s="124" t="str">
        <f t="shared" si="89"/>
        <v/>
      </c>
      <c r="X911" s="125" t="str">
        <f t="shared" si="84"/>
        <v/>
      </c>
    </row>
    <row r="912" spans="1:24" x14ac:dyDescent="0.3">
      <c r="A912" s="129"/>
      <c r="B912" s="129"/>
      <c r="C912" s="128"/>
      <c r="D912" s="128"/>
      <c r="E912" s="128"/>
      <c r="F912" s="166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6" t="str">
        <f t="shared" si="85"/>
        <v/>
      </c>
      <c r="S912" s="163" t="str">
        <f t="shared" si="86"/>
        <v/>
      </c>
      <c r="T912" s="160" t="str">
        <f>IFERROR(INDEX(上年标准成本!$I:$I,MATCH(K912,上年标准成本!$C:$C,0),1),"")</f>
        <v/>
      </c>
      <c r="U912" s="126" t="str">
        <f t="shared" si="87"/>
        <v/>
      </c>
      <c r="V912" s="126" t="str">
        <f t="shared" si="88"/>
        <v/>
      </c>
      <c r="W912" s="124" t="str">
        <f t="shared" si="89"/>
        <v/>
      </c>
      <c r="X912" s="125" t="str">
        <f t="shared" si="84"/>
        <v/>
      </c>
    </row>
    <row r="913" spans="1:24" x14ac:dyDescent="0.3">
      <c r="A913" s="129"/>
      <c r="B913" s="129"/>
      <c r="C913" s="128"/>
      <c r="D913" s="128"/>
      <c r="E913" s="128"/>
      <c r="F913" s="166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6" t="str">
        <f t="shared" si="85"/>
        <v/>
      </c>
      <c r="S913" s="163" t="str">
        <f t="shared" si="86"/>
        <v/>
      </c>
      <c r="T913" s="160" t="str">
        <f>IFERROR(INDEX(上年标准成本!$I:$I,MATCH(K913,上年标准成本!$C:$C,0),1),"")</f>
        <v/>
      </c>
      <c r="U913" s="126" t="str">
        <f t="shared" si="87"/>
        <v/>
      </c>
      <c r="V913" s="126" t="str">
        <f t="shared" si="88"/>
        <v/>
      </c>
      <c r="W913" s="124" t="str">
        <f t="shared" si="89"/>
        <v/>
      </c>
      <c r="X913" s="125" t="str">
        <f t="shared" si="84"/>
        <v/>
      </c>
    </row>
    <row r="914" spans="1:24" x14ac:dyDescent="0.3">
      <c r="A914" s="129"/>
      <c r="B914" s="129"/>
      <c r="C914" s="128"/>
      <c r="D914" s="128"/>
      <c r="E914" s="128"/>
      <c r="F914" s="166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6" t="str">
        <f t="shared" si="85"/>
        <v/>
      </c>
      <c r="S914" s="163" t="str">
        <f t="shared" si="86"/>
        <v/>
      </c>
      <c r="T914" s="160" t="str">
        <f>IFERROR(INDEX(上年标准成本!$I:$I,MATCH(K914,上年标准成本!$C:$C,0),1),"")</f>
        <v/>
      </c>
      <c r="U914" s="126" t="str">
        <f t="shared" si="87"/>
        <v/>
      </c>
      <c r="V914" s="126" t="str">
        <f t="shared" si="88"/>
        <v/>
      </c>
      <c r="W914" s="124" t="str">
        <f t="shared" si="89"/>
        <v/>
      </c>
      <c r="X914" s="125" t="str">
        <f t="shared" si="84"/>
        <v/>
      </c>
    </row>
    <row r="915" spans="1:24" x14ac:dyDescent="0.3">
      <c r="A915" s="129"/>
      <c r="B915" s="129"/>
      <c r="C915" s="128"/>
      <c r="D915" s="128"/>
      <c r="E915" s="128"/>
      <c r="F915" s="166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6" t="str">
        <f t="shared" si="85"/>
        <v/>
      </c>
      <c r="S915" s="163" t="str">
        <f t="shared" si="86"/>
        <v/>
      </c>
      <c r="T915" s="160" t="str">
        <f>IFERROR(INDEX(上年标准成本!$I:$I,MATCH(K915,上年标准成本!$C:$C,0),1),"")</f>
        <v/>
      </c>
      <c r="U915" s="126" t="str">
        <f t="shared" si="87"/>
        <v/>
      </c>
      <c r="V915" s="126" t="str">
        <f t="shared" si="88"/>
        <v/>
      </c>
      <c r="W915" s="124" t="str">
        <f t="shared" si="89"/>
        <v/>
      </c>
      <c r="X915" s="125" t="str">
        <f t="shared" si="84"/>
        <v/>
      </c>
    </row>
    <row r="916" spans="1:24" x14ac:dyDescent="0.3">
      <c r="A916" s="129"/>
      <c r="B916" s="129"/>
      <c r="C916" s="128"/>
      <c r="D916" s="128"/>
      <c r="E916" s="128"/>
      <c r="F916" s="166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6" t="str">
        <f t="shared" si="85"/>
        <v/>
      </c>
      <c r="S916" s="163" t="str">
        <f t="shared" si="86"/>
        <v/>
      </c>
      <c r="T916" s="160" t="str">
        <f>IFERROR(INDEX(上年标准成本!$I:$I,MATCH(K916,上年标准成本!$C:$C,0),1),"")</f>
        <v/>
      </c>
      <c r="U916" s="126" t="str">
        <f t="shared" si="87"/>
        <v/>
      </c>
      <c r="V916" s="126" t="str">
        <f t="shared" si="88"/>
        <v/>
      </c>
      <c r="W916" s="124" t="str">
        <f t="shared" si="89"/>
        <v/>
      </c>
      <c r="X916" s="125" t="str">
        <f t="shared" si="84"/>
        <v/>
      </c>
    </row>
    <row r="917" spans="1:24" x14ac:dyDescent="0.3">
      <c r="A917" s="129"/>
      <c r="B917" s="129"/>
      <c r="C917" s="128"/>
      <c r="D917" s="128"/>
      <c r="E917" s="128"/>
      <c r="F917" s="166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6" t="str">
        <f t="shared" si="85"/>
        <v/>
      </c>
      <c r="S917" s="163" t="str">
        <f t="shared" si="86"/>
        <v/>
      </c>
      <c r="T917" s="160" t="str">
        <f>IFERROR(INDEX(上年标准成本!$I:$I,MATCH(K917,上年标准成本!$C:$C,0),1),"")</f>
        <v/>
      </c>
      <c r="U917" s="126" t="str">
        <f t="shared" si="87"/>
        <v/>
      </c>
      <c r="V917" s="126" t="str">
        <f t="shared" si="88"/>
        <v/>
      </c>
      <c r="W917" s="124" t="str">
        <f t="shared" si="89"/>
        <v/>
      </c>
      <c r="X917" s="125" t="str">
        <f t="shared" si="84"/>
        <v/>
      </c>
    </row>
    <row r="918" spans="1:24" x14ac:dyDescent="0.3">
      <c r="A918" s="129"/>
      <c r="B918" s="129"/>
      <c r="C918" s="128"/>
      <c r="D918" s="128"/>
      <c r="E918" s="128"/>
      <c r="F918" s="166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6" t="str">
        <f t="shared" si="85"/>
        <v/>
      </c>
      <c r="S918" s="163" t="str">
        <f t="shared" si="86"/>
        <v/>
      </c>
      <c r="T918" s="160" t="str">
        <f>IFERROR(INDEX(上年标准成本!$I:$I,MATCH(K918,上年标准成本!$C:$C,0),1),"")</f>
        <v/>
      </c>
      <c r="U918" s="126" t="str">
        <f t="shared" si="87"/>
        <v/>
      </c>
      <c r="V918" s="126" t="str">
        <f t="shared" si="88"/>
        <v/>
      </c>
      <c r="W918" s="124" t="str">
        <f t="shared" si="89"/>
        <v/>
      </c>
      <c r="X918" s="125" t="str">
        <f t="shared" si="84"/>
        <v/>
      </c>
    </row>
    <row r="919" spans="1:24" x14ac:dyDescent="0.3">
      <c r="A919" s="129"/>
      <c r="B919" s="129"/>
      <c r="C919" s="128"/>
      <c r="D919" s="128"/>
      <c r="E919" s="128"/>
      <c r="F919" s="166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6" t="str">
        <f t="shared" si="85"/>
        <v/>
      </c>
      <c r="S919" s="163" t="str">
        <f t="shared" si="86"/>
        <v/>
      </c>
      <c r="T919" s="160" t="str">
        <f>IFERROR(INDEX(上年标准成本!$I:$I,MATCH(K919,上年标准成本!$C:$C,0),1),"")</f>
        <v/>
      </c>
      <c r="U919" s="126" t="str">
        <f t="shared" si="87"/>
        <v/>
      </c>
      <c r="V919" s="126" t="str">
        <f t="shared" si="88"/>
        <v/>
      </c>
      <c r="W919" s="124" t="str">
        <f t="shared" si="89"/>
        <v/>
      </c>
      <c r="X919" s="125" t="str">
        <f t="shared" si="84"/>
        <v/>
      </c>
    </row>
    <row r="920" spans="1:24" x14ac:dyDescent="0.3">
      <c r="A920" s="129"/>
      <c r="B920" s="129"/>
      <c r="C920" s="128"/>
      <c r="D920" s="128"/>
      <c r="E920" s="128"/>
      <c r="F920" s="166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6" t="str">
        <f t="shared" si="85"/>
        <v/>
      </c>
      <c r="S920" s="163" t="str">
        <f t="shared" si="86"/>
        <v/>
      </c>
      <c r="T920" s="160" t="str">
        <f>IFERROR(INDEX(上年标准成本!$I:$I,MATCH(K920,上年标准成本!$C:$C,0),1),"")</f>
        <v/>
      </c>
      <c r="U920" s="126" t="str">
        <f t="shared" si="87"/>
        <v/>
      </c>
      <c r="V920" s="126" t="str">
        <f t="shared" si="88"/>
        <v/>
      </c>
      <c r="W920" s="124" t="str">
        <f t="shared" si="89"/>
        <v/>
      </c>
      <c r="X920" s="125" t="str">
        <f t="shared" si="84"/>
        <v/>
      </c>
    </row>
    <row r="921" spans="1:24" x14ac:dyDescent="0.3">
      <c r="A921" s="129"/>
      <c r="B921" s="129"/>
      <c r="C921" s="128"/>
      <c r="D921" s="128"/>
      <c r="E921" s="128"/>
      <c r="F921" s="166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6" t="str">
        <f t="shared" si="85"/>
        <v/>
      </c>
      <c r="S921" s="163" t="str">
        <f t="shared" si="86"/>
        <v/>
      </c>
      <c r="T921" s="160" t="str">
        <f>IFERROR(INDEX(上年标准成本!$I:$I,MATCH(K921,上年标准成本!$C:$C,0),1),"")</f>
        <v/>
      </c>
      <c r="U921" s="126" t="str">
        <f t="shared" si="87"/>
        <v/>
      </c>
      <c r="V921" s="126" t="str">
        <f t="shared" si="88"/>
        <v/>
      </c>
      <c r="W921" s="124" t="str">
        <f t="shared" si="89"/>
        <v/>
      </c>
      <c r="X921" s="125" t="str">
        <f t="shared" si="84"/>
        <v/>
      </c>
    </row>
    <row r="922" spans="1:24" x14ac:dyDescent="0.3">
      <c r="A922" s="129"/>
      <c r="B922" s="129"/>
      <c r="C922" s="128"/>
      <c r="D922" s="128"/>
      <c r="E922" s="128"/>
      <c r="F922" s="166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6" t="str">
        <f t="shared" si="85"/>
        <v/>
      </c>
      <c r="S922" s="163" t="str">
        <f t="shared" si="86"/>
        <v/>
      </c>
      <c r="T922" s="160" t="str">
        <f>IFERROR(INDEX(上年标准成本!$I:$I,MATCH(K922,上年标准成本!$C:$C,0),1),"")</f>
        <v/>
      </c>
      <c r="U922" s="126" t="str">
        <f t="shared" si="87"/>
        <v/>
      </c>
      <c r="V922" s="126" t="str">
        <f t="shared" si="88"/>
        <v/>
      </c>
      <c r="W922" s="124" t="str">
        <f t="shared" si="89"/>
        <v/>
      </c>
      <c r="X922" s="125" t="str">
        <f t="shared" si="84"/>
        <v/>
      </c>
    </row>
    <row r="923" spans="1:24" x14ac:dyDescent="0.3">
      <c r="A923" s="129"/>
      <c r="B923" s="129"/>
      <c r="C923" s="128"/>
      <c r="D923" s="128"/>
      <c r="E923" s="128"/>
      <c r="F923" s="166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6" t="str">
        <f t="shared" si="85"/>
        <v/>
      </c>
      <c r="S923" s="163" t="str">
        <f t="shared" si="86"/>
        <v/>
      </c>
      <c r="T923" s="160" t="str">
        <f>IFERROR(INDEX(上年标准成本!$I:$I,MATCH(K923,上年标准成本!$C:$C,0),1),"")</f>
        <v/>
      </c>
      <c r="U923" s="126" t="str">
        <f t="shared" si="87"/>
        <v/>
      </c>
      <c r="V923" s="126" t="str">
        <f t="shared" si="88"/>
        <v/>
      </c>
      <c r="W923" s="124" t="str">
        <f t="shared" si="89"/>
        <v/>
      </c>
      <c r="X923" s="125" t="str">
        <f t="shared" si="84"/>
        <v/>
      </c>
    </row>
    <row r="924" spans="1:24" x14ac:dyDescent="0.3">
      <c r="A924" s="129"/>
      <c r="B924" s="129"/>
      <c r="C924" s="128"/>
      <c r="D924" s="128"/>
      <c r="E924" s="128"/>
      <c r="F924" s="166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6" t="str">
        <f t="shared" si="85"/>
        <v/>
      </c>
      <c r="S924" s="163" t="str">
        <f t="shared" si="86"/>
        <v/>
      </c>
      <c r="T924" s="160" t="str">
        <f>IFERROR(INDEX(上年标准成本!$I:$I,MATCH(K924,上年标准成本!$C:$C,0),1),"")</f>
        <v/>
      </c>
      <c r="U924" s="126" t="str">
        <f t="shared" si="87"/>
        <v/>
      </c>
      <c r="V924" s="126" t="str">
        <f t="shared" si="88"/>
        <v/>
      </c>
      <c r="W924" s="124" t="str">
        <f t="shared" si="89"/>
        <v/>
      </c>
      <c r="X924" s="125" t="str">
        <f t="shared" si="84"/>
        <v/>
      </c>
    </row>
    <row r="925" spans="1:24" x14ac:dyDescent="0.3">
      <c r="A925" s="129"/>
      <c r="B925" s="129"/>
      <c r="C925" s="128"/>
      <c r="D925" s="128"/>
      <c r="E925" s="128"/>
      <c r="F925" s="166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6" t="str">
        <f t="shared" si="85"/>
        <v/>
      </c>
      <c r="S925" s="163" t="str">
        <f t="shared" si="86"/>
        <v/>
      </c>
      <c r="T925" s="160" t="str">
        <f>IFERROR(INDEX(上年标准成本!$I:$I,MATCH(K925,上年标准成本!$C:$C,0),1),"")</f>
        <v/>
      </c>
      <c r="U925" s="126" t="str">
        <f t="shared" si="87"/>
        <v/>
      </c>
      <c r="V925" s="126" t="str">
        <f t="shared" si="88"/>
        <v/>
      </c>
      <c r="W925" s="124" t="str">
        <f t="shared" si="89"/>
        <v/>
      </c>
      <c r="X925" s="125" t="str">
        <f t="shared" si="84"/>
        <v/>
      </c>
    </row>
    <row r="926" spans="1:24" x14ac:dyDescent="0.3">
      <c r="A926" s="129"/>
      <c r="B926" s="129"/>
      <c r="C926" s="128"/>
      <c r="D926" s="128"/>
      <c r="E926" s="128"/>
      <c r="F926" s="166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6" t="str">
        <f t="shared" si="85"/>
        <v/>
      </c>
      <c r="S926" s="163" t="str">
        <f t="shared" si="86"/>
        <v/>
      </c>
      <c r="T926" s="160" t="str">
        <f>IFERROR(INDEX(上年标准成本!$I:$I,MATCH(K926,上年标准成本!$C:$C,0),1),"")</f>
        <v/>
      </c>
      <c r="U926" s="126" t="str">
        <f t="shared" si="87"/>
        <v/>
      </c>
      <c r="V926" s="126" t="str">
        <f t="shared" si="88"/>
        <v/>
      </c>
      <c r="W926" s="124" t="str">
        <f t="shared" si="89"/>
        <v/>
      </c>
      <c r="X926" s="125" t="str">
        <f t="shared" si="84"/>
        <v/>
      </c>
    </row>
    <row r="927" spans="1:24" x14ac:dyDescent="0.3">
      <c r="A927" s="129"/>
      <c r="B927" s="129"/>
      <c r="C927" s="128"/>
      <c r="D927" s="128"/>
      <c r="E927" s="128"/>
      <c r="F927" s="166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6" t="str">
        <f t="shared" si="85"/>
        <v/>
      </c>
      <c r="S927" s="163" t="str">
        <f t="shared" si="86"/>
        <v/>
      </c>
      <c r="T927" s="160" t="str">
        <f>IFERROR(INDEX(上年标准成本!$I:$I,MATCH(K927,上年标准成本!$C:$C,0),1),"")</f>
        <v/>
      </c>
      <c r="U927" s="126" t="str">
        <f t="shared" si="87"/>
        <v/>
      </c>
      <c r="V927" s="126" t="str">
        <f t="shared" si="88"/>
        <v/>
      </c>
      <c r="W927" s="124" t="str">
        <f t="shared" si="89"/>
        <v/>
      </c>
      <c r="X927" s="125" t="str">
        <f t="shared" si="84"/>
        <v/>
      </c>
    </row>
    <row r="928" spans="1:24" x14ac:dyDescent="0.3">
      <c r="A928" s="129"/>
      <c r="B928" s="129"/>
      <c r="C928" s="128"/>
      <c r="D928" s="128"/>
      <c r="E928" s="128"/>
      <c r="F928" s="166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6" t="str">
        <f t="shared" si="85"/>
        <v/>
      </c>
      <c r="S928" s="163" t="str">
        <f t="shared" si="86"/>
        <v/>
      </c>
      <c r="T928" s="160" t="str">
        <f>IFERROR(INDEX(上年标准成本!$I:$I,MATCH(K928,上年标准成本!$C:$C,0),1),"")</f>
        <v/>
      </c>
      <c r="U928" s="126" t="str">
        <f t="shared" si="87"/>
        <v/>
      </c>
      <c r="V928" s="126" t="str">
        <f t="shared" si="88"/>
        <v/>
      </c>
      <c r="W928" s="124" t="str">
        <f t="shared" si="89"/>
        <v/>
      </c>
      <c r="X928" s="125" t="str">
        <f t="shared" si="84"/>
        <v/>
      </c>
    </row>
    <row r="929" spans="1:24" x14ac:dyDescent="0.3">
      <c r="A929" s="129"/>
      <c r="B929" s="129"/>
      <c r="C929" s="128"/>
      <c r="D929" s="128"/>
      <c r="E929" s="128"/>
      <c r="F929" s="166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6" t="str">
        <f t="shared" si="85"/>
        <v/>
      </c>
      <c r="S929" s="163" t="str">
        <f t="shared" si="86"/>
        <v/>
      </c>
      <c r="T929" s="160" t="str">
        <f>IFERROR(INDEX(上年标准成本!$I:$I,MATCH(K929,上年标准成本!$C:$C,0),1),"")</f>
        <v/>
      </c>
      <c r="U929" s="126" t="str">
        <f t="shared" si="87"/>
        <v/>
      </c>
      <c r="V929" s="126" t="str">
        <f t="shared" si="88"/>
        <v/>
      </c>
      <c r="W929" s="124" t="str">
        <f t="shared" si="89"/>
        <v/>
      </c>
      <c r="X929" s="125" t="str">
        <f t="shared" si="84"/>
        <v/>
      </c>
    </row>
    <row r="930" spans="1:24" x14ac:dyDescent="0.3">
      <c r="A930" s="129"/>
      <c r="B930" s="129"/>
      <c r="C930" s="128"/>
      <c r="D930" s="128"/>
      <c r="E930" s="128"/>
      <c r="F930" s="166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6" t="str">
        <f t="shared" si="85"/>
        <v/>
      </c>
      <c r="S930" s="163" t="str">
        <f t="shared" si="86"/>
        <v/>
      </c>
      <c r="T930" s="160" t="str">
        <f>IFERROR(INDEX(上年标准成本!$I:$I,MATCH(K930,上年标准成本!$C:$C,0),1),"")</f>
        <v/>
      </c>
      <c r="U930" s="126" t="str">
        <f t="shared" si="87"/>
        <v/>
      </c>
      <c r="V930" s="126" t="str">
        <f t="shared" si="88"/>
        <v/>
      </c>
      <c r="W930" s="124" t="str">
        <f t="shared" si="89"/>
        <v/>
      </c>
      <c r="X930" s="125" t="str">
        <f t="shared" si="84"/>
        <v/>
      </c>
    </row>
    <row r="931" spans="1:24" x14ac:dyDescent="0.3">
      <c r="A931" s="129"/>
      <c r="B931" s="129"/>
      <c r="C931" s="128"/>
      <c r="D931" s="128"/>
      <c r="E931" s="128"/>
      <c r="F931" s="166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6" t="str">
        <f t="shared" si="85"/>
        <v/>
      </c>
      <c r="S931" s="163" t="str">
        <f t="shared" si="86"/>
        <v/>
      </c>
      <c r="T931" s="160" t="str">
        <f>IFERROR(INDEX(上年标准成本!$I:$I,MATCH(K931,上年标准成本!$C:$C,0),1),"")</f>
        <v/>
      </c>
      <c r="U931" s="126" t="str">
        <f t="shared" si="87"/>
        <v/>
      </c>
      <c r="V931" s="126" t="str">
        <f t="shared" si="88"/>
        <v/>
      </c>
      <c r="W931" s="124" t="str">
        <f t="shared" si="89"/>
        <v/>
      </c>
      <c r="X931" s="125" t="str">
        <f t="shared" si="84"/>
        <v/>
      </c>
    </row>
    <row r="932" spans="1:24" x14ac:dyDescent="0.3">
      <c r="A932" s="129"/>
      <c r="B932" s="129"/>
      <c r="C932" s="128"/>
      <c r="D932" s="128"/>
      <c r="E932" s="128"/>
      <c r="F932" s="166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6" t="str">
        <f t="shared" si="85"/>
        <v/>
      </c>
      <c r="S932" s="163" t="str">
        <f t="shared" si="86"/>
        <v/>
      </c>
      <c r="T932" s="160" t="str">
        <f>IFERROR(INDEX(上年标准成本!$I:$I,MATCH(K932,上年标准成本!$C:$C,0),1),"")</f>
        <v/>
      </c>
      <c r="U932" s="126" t="str">
        <f t="shared" si="87"/>
        <v/>
      </c>
      <c r="V932" s="126" t="str">
        <f t="shared" si="88"/>
        <v/>
      </c>
      <c r="W932" s="124" t="str">
        <f t="shared" si="89"/>
        <v/>
      </c>
      <c r="X932" s="125" t="str">
        <f t="shared" si="84"/>
        <v/>
      </c>
    </row>
    <row r="933" spans="1:24" x14ac:dyDescent="0.3">
      <c r="A933" s="129"/>
      <c r="B933" s="129"/>
      <c r="C933" s="128"/>
      <c r="D933" s="128"/>
      <c r="E933" s="128"/>
      <c r="F933" s="166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6" t="str">
        <f t="shared" si="85"/>
        <v/>
      </c>
      <c r="S933" s="163" t="str">
        <f t="shared" si="86"/>
        <v/>
      </c>
      <c r="T933" s="160" t="str">
        <f>IFERROR(INDEX(上年标准成本!$I:$I,MATCH(K933,上年标准成本!$C:$C,0),1),"")</f>
        <v/>
      </c>
      <c r="U933" s="126" t="str">
        <f t="shared" si="87"/>
        <v/>
      </c>
      <c r="V933" s="126" t="str">
        <f t="shared" si="88"/>
        <v/>
      </c>
      <c r="W933" s="124" t="str">
        <f t="shared" si="89"/>
        <v/>
      </c>
      <c r="X933" s="125" t="str">
        <f t="shared" si="84"/>
        <v/>
      </c>
    </row>
    <row r="934" spans="1:24" x14ac:dyDescent="0.3">
      <c r="A934" s="129"/>
      <c r="B934" s="129"/>
      <c r="C934" s="128"/>
      <c r="D934" s="128"/>
      <c r="E934" s="128"/>
      <c r="F934" s="166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6" t="str">
        <f t="shared" si="85"/>
        <v/>
      </c>
      <c r="S934" s="163" t="str">
        <f t="shared" si="86"/>
        <v/>
      </c>
      <c r="T934" s="160" t="str">
        <f>IFERROR(INDEX(上年标准成本!$I:$I,MATCH(K934,上年标准成本!$C:$C,0),1),"")</f>
        <v/>
      </c>
      <c r="U934" s="126" t="str">
        <f t="shared" si="87"/>
        <v/>
      </c>
      <c r="V934" s="126" t="str">
        <f t="shared" si="88"/>
        <v/>
      </c>
      <c r="W934" s="124" t="str">
        <f t="shared" si="89"/>
        <v/>
      </c>
      <c r="X934" s="125" t="str">
        <f t="shared" si="84"/>
        <v/>
      </c>
    </row>
    <row r="935" spans="1:24" x14ac:dyDescent="0.3">
      <c r="A935" s="129"/>
      <c r="B935" s="129"/>
      <c r="C935" s="128"/>
      <c r="D935" s="128"/>
      <c r="E935" s="128"/>
      <c r="F935" s="166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6" t="str">
        <f t="shared" si="85"/>
        <v/>
      </c>
      <c r="S935" s="163" t="str">
        <f t="shared" si="86"/>
        <v/>
      </c>
      <c r="T935" s="160" t="str">
        <f>IFERROR(INDEX(上年标准成本!$I:$I,MATCH(K935,上年标准成本!$C:$C,0),1),"")</f>
        <v/>
      </c>
      <c r="U935" s="126" t="str">
        <f t="shared" si="87"/>
        <v/>
      </c>
      <c r="V935" s="126" t="str">
        <f t="shared" si="88"/>
        <v/>
      </c>
      <c r="W935" s="124" t="str">
        <f t="shared" si="89"/>
        <v/>
      </c>
      <c r="X935" s="125" t="str">
        <f t="shared" si="84"/>
        <v/>
      </c>
    </row>
    <row r="936" spans="1:24" x14ac:dyDescent="0.3">
      <c r="A936" s="129"/>
      <c r="B936" s="129"/>
      <c r="C936" s="128"/>
      <c r="D936" s="128"/>
      <c r="E936" s="128"/>
      <c r="F936" s="166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6" t="str">
        <f t="shared" si="85"/>
        <v/>
      </c>
      <c r="S936" s="163" t="str">
        <f t="shared" si="86"/>
        <v/>
      </c>
      <c r="T936" s="160" t="str">
        <f>IFERROR(INDEX(上年标准成本!$I:$I,MATCH(K936,上年标准成本!$C:$C,0),1),"")</f>
        <v/>
      </c>
      <c r="U936" s="126" t="str">
        <f t="shared" si="87"/>
        <v/>
      </c>
      <c r="V936" s="126" t="str">
        <f t="shared" si="88"/>
        <v/>
      </c>
      <c r="W936" s="124" t="str">
        <f t="shared" si="89"/>
        <v/>
      </c>
      <c r="X936" s="125" t="str">
        <f t="shared" si="84"/>
        <v/>
      </c>
    </row>
    <row r="937" spans="1:24" x14ac:dyDescent="0.3">
      <c r="A937" s="129"/>
      <c r="B937" s="129"/>
      <c r="C937" s="128"/>
      <c r="D937" s="128"/>
      <c r="E937" s="128"/>
      <c r="F937" s="166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6" t="str">
        <f t="shared" si="85"/>
        <v/>
      </c>
      <c r="S937" s="163" t="str">
        <f t="shared" si="86"/>
        <v/>
      </c>
      <c r="T937" s="160" t="str">
        <f>IFERROR(INDEX(上年标准成本!$I:$I,MATCH(K937,上年标准成本!$C:$C,0),1),"")</f>
        <v/>
      </c>
      <c r="U937" s="126" t="str">
        <f t="shared" si="87"/>
        <v/>
      </c>
      <c r="V937" s="126" t="str">
        <f t="shared" si="88"/>
        <v/>
      </c>
      <c r="W937" s="124" t="str">
        <f t="shared" si="89"/>
        <v/>
      </c>
      <c r="X937" s="125" t="str">
        <f t="shared" si="84"/>
        <v/>
      </c>
    </row>
    <row r="938" spans="1:24" x14ac:dyDescent="0.3">
      <c r="A938" s="129"/>
      <c r="B938" s="129"/>
      <c r="C938" s="128"/>
      <c r="D938" s="128"/>
      <c r="E938" s="128"/>
      <c r="F938" s="166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6" t="str">
        <f t="shared" si="85"/>
        <v/>
      </c>
      <c r="S938" s="163" t="str">
        <f t="shared" si="86"/>
        <v/>
      </c>
      <c r="T938" s="160" t="str">
        <f>IFERROR(INDEX(上年标准成本!$I:$I,MATCH(K938,上年标准成本!$C:$C,0),1),"")</f>
        <v/>
      </c>
      <c r="U938" s="126" t="str">
        <f t="shared" si="87"/>
        <v/>
      </c>
      <c r="V938" s="126" t="str">
        <f t="shared" si="88"/>
        <v/>
      </c>
      <c r="W938" s="124" t="str">
        <f t="shared" si="89"/>
        <v/>
      </c>
      <c r="X938" s="125" t="str">
        <f t="shared" si="84"/>
        <v/>
      </c>
    </row>
    <row r="939" spans="1:24" x14ac:dyDescent="0.3">
      <c r="A939" s="129"/>
      <c r="B939" s="129"/>
      <c r="C939" s="128"/>
      <c r="D939" s="128"/>
      <c r="E939" s="128"/>
      <c r="F939" s="166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6" t="str">
        <f t="shared" si="85"/>
        <v/>
      </c>
      <c r="S939" s="163" t="str">
        <f t="shared" si="86"/>
        <v/>
      </c>
      <c r="T939" s="160" t="str">
        <f>IFERROR(INDEX(上年标准成本!$I:$I,MATCH(K939,上年标准成本!$C:$C,0),1),"")</f>
        <v/>
      </c>
      <c r="U939" s="126" t="str">
        <f t="shared" si="87"/>
        <v/>
      </c>
      <c r="V939" s="126" t="str">
        <f t="shared" si="88"/>
        <v/>
      </c>
      <c r="W939" s="124" t="str">
        <f t="shared" si="89"/>
        <v/>
      </c>
      <c r="X939" s="125" t="str">
        <f t="shared" si="84"/>
        <v/>
      </c>
    </row>
    <row r="940" spans="1:24" x14ac:dyDescent="0.3">
      <c r="A940" s="129"/>
      <c r="B940" s="129"/>
      <c r="C940" s="128"/>
      <c r="D940" s="128"/>
      <c r="E940" s="128"/>
      <c r="F940" s="166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6" t="str">
        <f t="shared" si="85"/>
        <v/>
      </c>
      <c r="S940" s="163" t="str">
        <f t="shared" si="86"/>
        <v/>
      </c>
      <c r="T940" s="160" t="str">
        <f>IFERROR(INDEX(上年标准成本!$I:$I,MATCH(K940,上年标准成本!$C:$C,0),1),"")</f>
        <v/>
      </c>
      <c r="U940" s="126" t="str">
        <f t="shared" si="87"/>
        <v/>
      </c>
      <c r="V940" s="126" t="str">
        <f t="shared" si="88"/>
        <v/>
      </c>
      <c r="W940" s="124" t="str">
        <f t="shared" si="89"/>
        <v/>
      </c>
      <c r="X940" s="125" t="str">
        <f t="shared" si="84"/>
        <v/>
      </c>
    </row>
    <row r="941" spans="1:24" x14ac:dyDescent="0.3">
      <c r="A941" s="129"/>
      <c r="B941" s="129"/>
      <c r="C941" s="128"/>
      <c r="D941" s="128"/>
      <c r="E941" s="128"/>
      <c r="F941" s="166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6" t="str">
        <f t="shared" si="85"/>
        <v/>
      </c>
      <c r="S941" s="163" t="str">
        <f t="shared" si="86"/>
        <v/>
      </c>
      <c r="T941" s="160" t="str">
        <f>IFERROR(INDEX(上年标准成本!$I:$I,MATCH(K941,上年标准成本!$C:$C,0),1),"")</f>
        <v/>
      </c>
      <c r="U941" s="126" t="str">
        <f t="shared" si="87"/>
        <v/>
      </c>
      <c r="V941" s="126" t="str">
        <f t="shared" si="88"/>
        <v/>
      </c>
      <c r="W941" s="124" t="str">
        <f t="shared" si="89"/>
        <v/>
      </c>
      <c r="X941" s="125" t="str">
        <f t="shared" si="84"/>
        <v/>
      </c>
    </row>
    <row r="942" spans="1:24" x14ac:dyDescent="0.3">
      <c r="A942" s="129"/>
      <c r="B942" s="129"/>
      <c r="C942" s="128"/>
      <c r="D942" s="128"/>
      <c r="E942" s="128"/>
      <c r="F942" s="166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6" t="str">
        <f t="shared" si="85"/>
        <v/>
      </c>
      <c r="S942" s="163" t="str">
        <f t="shared" si="86"/>
        <v/>
      </c>
      <c r="T942" s="160" t="str">
        <f>IFERROR(INDEX(上年标准成本!$I:$I,MATCH(K942,上年标准成本!$C:$C,0),1),"")</f>
        <v/>
      </c>
      <c r="U942" s="126" t="str">
        <f t="shared" si="87"/>
        <v/>
      </c>
      <c r="V942" s="126" t="str">
        <f t="shared" si="88"/>
        <v/>
      </c>
      <c r="W942" s="124" t="str">
        <f t="shared" si="89"/>
        <v/>
      </c>
      <c r="X942" s="125" t="str">
        <f t="shared" si="84"/>
        <v/>
      </c>
    </row>
    <row r="943" spans="1:24" x14ac:dyDescent="0.3">
      <c r="A943" s="129"/>
      <c r="B943" s="129"/>
      <c r="C943" s="128"/>
      <c r="D943" s="128"/>
      <c r="E943" s="128"/>
      <c r="F943" s="166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6" t="str">
        <f t="shared" si="85"/>
        <v/>
      </c>
      <c r="S943" s="163" t="str">
        <f t="shared" si="86"/>
        <v/>
      </c>
      <c r="T943" s="160" t="str">
        <f>IFERROR(INDEX(上年标准成本!$I:$I,MATCH(K943,上年标准成本!$C:$C,0),1),"")</f>
        <v/>
      </c>
      <c r="U943" s="126" t="str">
        <f t="shared" si="87"/>
        <v/>
      </c>
      <c r="V943" s="126" t="str">
        <f t="shared" si="88"/>
        <v/>
      </c>
      <c r="W943" s="124" t="str">
        <f t="shared" si="89"/>
        <v/>
      </c>
      <c r="X943" s="125" t="str">
        <f t="shared" si="84"/>
        <v/>
      </c>
    </row>
    <row r="944" spans="1:24" x14ac:dyDescent="0.3">
      <c r="A944" s="129"/>
      <c r="B944" s="129"/>
      <c r="C944" s="128"/>
      <c r="D944" s="128"/>
      <c r="E944" s="128"/>
      <c r="F944" s="166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6" t="str">
        <f t="shared" si="85"/>
        <v/>
      </c>
      <c r="S944" s="163" t="str">
        <f t="shared" si="86"/>
        <v/>
      </c>
      <c r="T944" s="160" t="str">
        <f>IFERROR(INDEX(上年标准成本!$I:$I,MATCH(K944,上年标准成本!$C:$C,0),1),"")</f>
        <v/>
      </c>
      <c r="U944" s="126" t="str">
        <f t="shared" si="87"/>
        <v/>
      </c>
      <c r="V944" s="126" t="str">
        <f t="shared" si="88"/>
        <v/>
      </c>
      <c r="W944" s="124" t="str">
        <f t="shared" si="89"/>
        <v/>
      </c>
      <c r="X944" s="125" t="str">
        <f t="shared" si="84"/>
        <v/>
      </c>
    </row>
    <row r="945" spans="1:24" x14ac:dyDescent="0.3">
      <c r="A945" s="129"/>
      <c r="B945" s="129"/>
      <c r="C945" s="128"/>
      <c r="D945" s="128"/>
      <c r="E945" s="128"/>
      <c r="F945" s="166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6" t="str">
        <f t="shared" si="85"/>
        <v/>
      </c>
      <c r="S945" s="163" t="str">
        <f t="shared" si="86"/>
        <v/>
      </c>
      <c r="T945" s="160" t="str">
        <f>IFERROR(INDEX(上年标准成本!$I:$I,MATCH(K945,上年标准成本!$C:$C,0),1),"")</f>
        <v/>
      </c>
      <c r="U945" s="126" t="str">
        <f t="shared" si="87"/>
        <v/>
      </c>
      <c r="V945" s="126" t="str">
        <f t="shared" si="88"/>
        <v/>
      </c>
      <c r="W945" s="124" t="str">
        <f t="shared" si="89"/>
        <v/>
      </c>
      <c r="X945" s="125" t="str">
        <f t="shared" si="84"/>
        <v/>
      </c>
    </row>
    <row r="946" spans="1:24" x14ac:dyDescent="0.3">
      <c r="A946" s="129"/>
      <c r="B946" s="129"/>
      <c r="C946" s="128"/>
      <c r="D946" s="128"/>
      <c r="E946" s="128"/>
      <c r="F946" s="166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6" t="str">
        <f t="shared" si="85"/>
        <v/>
      </c>
      <c r="S946" s="163" t="str">
        <f t="shared" si="86"/>
        <v/>
      </c>
      <c r="T946" s="160" t="str">
        <f>IFERROR(INDEX(上年标准成本!$I:$I,MATCH(K946,上年标准成本!$C:$C,0),1),"")</f>
        <v/>
      </c>
      <c r="U946" s="126" t="str">
        <f t="shared" si="87"/>
        <v/>
      </c>
      <c r="V946" s="126" t="str">
        <f t="shared" si="88"/>
        <v/>
      </c>
      <c r="W946" s="124" t="str">
        <f t="shared" si="89"/>
        <v/>
      </c>
      <c r="X946" s="125" t="str">
        <f t="shared" si="84"/>
        <v/>
      </c>
    </row>
    <row r="947" spans="1:24" x14ac:dyDescent="0.3">
      <c r="A947" s="129"/>
      <c r="B947" s="129"/>
      <c r="C947" s="128"/>
      <c r="D947" s="128"/>
      <c r="E947" s="128"/>
      <c r="F947" s="166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6" t="str">
        <f t="shared" si="85"/>
        <v/>
      </c>
      <c r="S947" s="163" t="str">
        <f t="shared" si="86"/>
        <v/>
      </c>
      <c r="T947" s="160" t="str">
        <f>IFERROR(INDEX(上年标准成本!$I:$I,MATCH(K947,上年标准成本!$C:$C,0),1),"")</f>
        <v/>
      </c>
      <c r="U947" s="126" t="str">
        <f t="shared" si="87"/>
        <v/>
      </c>
      <c r="V947" s="126" t="str">
        <f t="shared" si="88"/>
        <v/>
      </c>
      <c r="W947" s="124" t="str">
        <f t="shared" si="89"/>
        <v/>
      </c>
      <c r="X947" s="125" t="str">
        <f t="shared" si="84"/>
        <v/>
      </c>
    </row>
    <row r="948" spans="1:24" x14ac:dyDescent="0.3">
      <c r="A948" s="129"/>
      <c r="B948" s="129"/>
      <c r="C948" s="128"/>
      <c r="D948" s="128"/>
      <c r="E948" s="128"/>
      <c r="F948" s="166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6" t="str">
        <f t="shared" si="85"/>
        <v/>
      </c>
      <c r="S948" s="163" t="str">
        <f t="shared" si="86"/>
        <v/>
      </c>
      <c r="T948" s="160" t="str">
        <f>IFERROR(INDEX(上年标准成本!$I:$I,MATCH(K948,上年标准成本!$C:$C,0),1),"")</f>
        <v/>
      </c>
      <c r="U948" s="126" t="str">
        <f t="shared" si="87"/>
        <v/>
      </c>
      <c r="V948" s="126" t="str">
        <f t="shared" si="88"/>
        <v/>
      </c>
      <c r="W948" s="124" t="str">
        <f t="shared" si="89"/>
        <v/>
      </c>
      <c r="X948" s="125" t="str">
        <f t="shared" si="84"/>
        <v/>
      </c>
    </row>
    <row r="949" spans="1:24" x14ac:dyDescent="0.3">
      <c r="A949" s="129"/>
      <c r="B949" s="129"/>
      <c r="C949" s="128"/>
      <c r="D949" s="128"/>
      <c r="E949" s="128"/>
      <c r="F949" s="166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6" t="str">
        <f t="shared" si="85"/>
        <v/>
      </c>
      <c r="S949" s="163" t="str">
        <f t="shared" si="86"/>
        <v/>
      </c>
      <c r="T949" s="160" t="str">
        <f>IFERROR(INDEX(上年标准成本!$I:$I,MATCH(K949,上年标准成本!$C:$C,0),1),"")</f>
        <v/>
      </c>
      <c r="U949" s="126" t="str">
        <f t="shared" si="87"/>
        <v/>
      </c>
      <c r="V949" s="126" t="str">
        <f t="shared" si="88"/>
        <v/>
      </c>
      <c r="W949" s="124" t="str">
        <f t="shared" si="89"/>
        <v/>
      </c>
      <c r="X949" s="125" t="str">
        <f t="shared" si="84"/>
        <v/>
      </c>
    </row>
    <row r="950" spans="1:24" x14ac:dyDescent="0.3">
      <c r="A950" s="129"/>
      <c r="B950" s="129"/>
      <c r="C950" s="128"/>
      <c r="D950" s="128"/>
      <c r="E950" s="128"/>
      <c r="F950" s="166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6" t="str">
        <f t="shared" si="85"/>
        <v/>
      </c>
      <c r="S950" s="163" t="str">
        <f t="shared" si="86"/>
        <v/>
      </c>
      <c r="T950" s="160" t="str">
        <f>IFERROR(INDEX(上年标准成本!$I:$I,MATCH(K950,上年标准成本!$C:$C,0),1),"")</f>
        <v/>
      </c>
      <c r="U950" s="126" t="str">
        <f t="shared" si="87"/>
        <v/>
      </c>
      <c r="V950" s="126" t="str">
        <f t="shared" si="88"/>
        <v/>
      </c>
      <c r="W950" s="124" t="str">
        <f t="shared" si="89"/>
        <v/>
      </c>
      <c r="X950" s="125" t="str">
        <f t="shared" si="84"/>
        <v/>
      </c>
    </row>
    <row r="951" spans="1:24" x14ac:dyDescent="0.3">
      <c r="A951" s="129"/>
      <c r="B951" s="129"/>
      <c r="C951" s="128"/>
      <c r="D951" s="128"/>
      <c r="E951" s="128"/>
      <c r="F951" s="166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6" t="str">
        <f t="shared" si="85"/>
        <v/>
      </c>
      <c r="S951" s="163" t="str">
        <f t="shared" si="86"/>
        <v/>
      </c>
      <c r="T951" s="160" t="str">
        <f>IFERROR(INDEX(上年标准成本!$I:$I,MATCH(K951,上年标准成本!$C:$C,0),1),"")</f>
        <v/>
      </c>
      <c r="U951" s="126" t="str">
        <f t="shared" si="87"/>
        <v/>
      </c>
      <c r="V951" s="126" t="str">
        <f t="shared" si="88"/>
        <v/>
      </c>
      <c r="W951" s="124" t="str">
        <f t="shared" si="89"/>
        <v/>
      </c>
      <c r="X951" s="125" t="str">
        <f t="shared" si="84"/>
        <v/>
      </c>
    </row>
    <row r="952" spans="1:24" x14ac:dyDescent="0.3">
      <c r="A952" s="129"/>
      <c r="B952" s="129"/>
      <c r="C952" s="128"/>
      <c r="D952" s="128"/>
      <c r="E952" s="128"/>
      <c r="F952" s="166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6" t="str">
        <f t="shared" si="85"/>
        <v/>
      </c>
      <c r="S952" s="163" t="str">
        <f t="shared" si="86"/>
        <v/>
      </c>
      <c r="T952" s="160" t="str">
        <f>IFERROR(INDEX(上年标准成本!$I:$I,MATCH(K952,上年标准成本!$C:$C,0),1),"")</f>
        <v/>
      </c>
      <c r="U952" s="126" t="str">
        <f t="shared" si="87"/>
        <v/>
      </c>
      <c r="V952" s="126" t="str">
        <f t="shared" si="88"/>
        <v/>
      </c>
      <c r="W952" s="124" t="str">
        <f t="shared" si="89"/>
        <v/>
      </c>
      <c r="X952" s="125" t="str">
        <f t="shared" si="84"/>
        <v/>
      </c>
    </row>
    <row r="953" spans="1:24" x14ac:dyDescent="0.3">
      <c r="A953" s="129"/>
      <c r="B953" s="129"/>
      <c r="C953" s="128"/>
      <c r="D953" s="128"/>
      <c r="E953" s="128"/>
      <c r="F953" s="166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6" t="str">
        <f t="shared" si="85"/>
        <v/>
      </c>
      <c r="S953" s="163" t="str">
        <f t="shared" si="86"/>
        <v/>
      </c>
      <c r="T953" s="160" t="str">
        <f>IFERROR(INDEX(上年标准成本!$I:$I,MATCH(K953,上年标准成本!$C:$C,0),1),"")</f>
        <v/>
      </c>
      <c r="U953" s="126" t="str">
        <f t="shared" si="87"/>
        <v/>
      </c>
      <c r="V953" s="126" t="str">
        <f t="shared" si="88"/>
        <v/>
      </c>
      <c r="W953" s="124" t="str">
        <f t="shared" si="89"/>
        <v/>
      </c>
      <c r="X953" s="125" t="str">
        <f t="shared" si="84"/>
        <v/>
      </c>
    </row>
    <row r="954" spans="1:24" x14ac:dyDescent="0.3">
      <c r="A954" s="129"/>
      <c r="B954" s="129"/>
      <c r="C954" s="128"/>
      <c r="D954" s="128"/>
      <c r="E954" s="128"/>
      <c r="F954" s="166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6" t="str">
        <f t="shared" si="85"/>
        <v/>
      </c>
      <c r="S954" s="163" t="str">
        <f t="shared" si="86"/>
        <v/>
      </c>
      <c r="T954" s="160" t="str">
        <f>IFERROR(INDEX(上年标准成本!$I:$I,MATCH(K954,上年标准成本!$C:$C,0),1),"")</f>
        <v/>
      </c>
      <c r="U954" s="126" t="str">
        <f t="shared" si="87"/>
        <v/>
      </c>
      <c r="V954" s="126" t="str">
        <f t="shared" si="88"/>
        <v/>
      </c>
      <c r="W954" s="124" t="str">
        <f t="shared" si="89"/>
        <v/>
      </c>
      <c r="X954" s="125" t="str">
        <f t="shared" si="84"/>
        <v/>
      </c>
    </row>
    <row r="955" spans="1:24" x14ac:dyDescent="0.3">
      <c r="A955" s="129"/>
      <c r="B955" s="129"/>
      <c r="C955" s="128"/>
      <c r="D955" s="128"/>
      <c r="E955" s="128"/>
      <c r="F955" s="166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6" t="str">
        <f t="shared" si="85"/>
        <v/>
      </c>
      <c r="S955" s="163" t="str">
        <f t="shared" si="86"/>
        <v/>
      </c>
      <c r="T955" s="160" t="str">
        <f>IFERROR(INDEX(上年标准成本!$I:$I,MATCH(K955,上年标准成本!$C:$C,0),1),"")</f>
        <v/>
      </c>
      <c r="U955" s="126" t="str">
        <f t="shared" si="87"/>
        <v/>
      </c>
      <c r="V955" s="126" t="str">
        <f t="shared" si="88"/>
        <v/>
      </c>
      <c r="W955" s="124" t="str">
        <f t="shared" si="89"/>
        <v/>
      </c>
      <c r="X955" s="125" t="str">
        <f t="shared" si="84"/>
        <v/>
      </c>
    </row>
    <row r="956" spans="1:24" x14ac:dyDescent="0.3">
      <c r="A956" s="129"/>
      <c r="B956" s="129"/>
      <c r="C956" s="128"/>
      <c r="D956" s="128"/>
      <c r="E956" s="128"/>
      <c r="F956" s="166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6" t="str">
        <f t="shared" si="85"/>
        <v/>
      </c>
      <c r="S956" s="163" t="str">
        <f t="shared" si="86"/>
        <v/>
      </c>
      <c r="T956" s="160" t="str">
        <f>IFERROR(INDEX(上年标准成本!$I:$I,MATCH(K956,上年标准成本!$C:$C,0),1),"")</f>
        <v/>
      </c>
      <c r="U956" s="126" t="str">
        <f t="shared" si="87"/>
        <v/>
      </c>
      <c r="V956" s="126" t="str">
        <f t="shared" si="88"/>
        <v/>
      </c>
      <c r="W956" s="124" t="str">
        <f t="shared" si="89"/>
        <v/>
      </c>
      <c r="X956" s="125" t="str">
        <f t="shared" si="84"/>
        <v/>
      </c>
    </row>
    <row r="957" spans="1:24" x14ac:dyDescent="0.3">
      <c r="A957" s="129"/>
      <c r="B957" s="129"/>
      <c r="C957" s="128"/>
      <c r="D957" s="128"/>
      <c r="E957" s="128"/>
      <c r="F957" s="166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6" t="str">
        <f t="shared" si="85"/>
        <v/>
      </c>
      <c r="S957" s="163" t="str">
        <f t="shared" si="86"/>
        <v/>
      </c>
      <c r="T957" s="160" t="str">
        <f>IFERROR(INDEX(上年标准成本!$I:$I,MATCH(K957,上年标准成本!$C:$C,0),1),"")</f>
        <v/>
      </c>
      <c r="U957" s="126" t="str">
        <f t="shared" si="87"/>
        <v/>
      </c>
      <c r="V957" s="126" t="str">
        <f t="shared" si="88"/>
        <v/>
      </c>
      <c r="W957" s="124" t="str">
        <f t="shared" si="89"/>
        <v/>
      </c>
      <c r="X957" s="125" t="str">
        <f t="shared" si="84"/>
        <v/>
      </c>
    </row>
    <row r="958" spans="1:24" x14ac:dyDescent="0.3">
      <c r="A958" s="129"/>
      <c r="B958" s="129"/>
      <c r="C958" s="128"/>
      <c r="D958" s="128"/>
      <c r="E958" s="128"/>
      <c r="F958" s="166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6" t="str">
        <f t="shared" si="85"/>
        <v/>
      </c>
      <c r="S958" s="163" t="str">
        <f t="shared" si="86"/>
        <v/>
      </c>
      <c r="T958" s="160" t="str">
        <f>IFERROR(INDEX(上年标准成本!$I:$I,MATCH(K958,上年标准成本!$C:$C,0),1),"")</f>
        <v/>
      </c>
      <c r="U958" s="126" t="str">
        <f t="shared" si="87"/>
        <v/>
      </c>
      <c r="V958" s="126" t="str">
        <f t="shared" si="88"/>
        <v/>
      </c>
      <c r="W958" s="124" t="str">
        <f t="shared" si="89"/>
        <v/>
      </c>
      <c r="X958" s="125" t="str">
        <f t="shared" si="84"/>
        <v/>
      </c>
    </row>
    <row r="959" spans="1:24" x14ac:dyDescent="0.3">
      <c r="A959" s="129"/>
      <c r="B959" s="129"/>
      <c r="C959" s="128"/>
      <c r="D959" s="128"/>
      <c r="E959" s="128"/>
      <c r="F959" s="166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6" t="str">
        <f t="shared" si="85"/>
        <v/>
      </c>
      <c r="S959" s="163" t="str">
        <f t="shared" si="86"/>
        <v/>
      </c>
      <c r="T959" s="160" t="str">
        <f>IFERROR(INDEX(上年标准成本!$I:$I,MATCH(K959,上年标准成本!$C:$C,0),1),"")</f>
        <v/>
      </c>
      <c r="U959" s="126" t="str">
        <f t="shared" si="87"/>
        <v/>
      </c>
      <c r="V959" s="126" t="str">
        <f t="shared" si="88"/>
        <v/>
      </c>
      <c r="W959" s="124" t="str">
        <f t="shared" si="89"/>
        <v/>
      </c>
      <c r="X959" s="125" t="str">
        <f t="shared" si="84"/>
        <v/>
      </c>
    </row>
    <row r="960" spans="1:24" x14ac:dyDescent="0.3">
      <c r="A960" s="129"/>
      <c r="B960" s="129"/>
      <c r="C960" s="128"/>
      <c r="D960" s="128"/>
      <c r="E960" s="128"/>
      <c r="F960" s="166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6" t="str">
        <f t="shared" si="85"/>
        <v/>
      </c>
      <c r="S960" s="163" t="str">
        <f t="shared" si="86"/>
        <v/>
      </c>
      <c r="T960" s="160" t="str">
        <f>IFERROR(INDEX(上年标准成本!$I:$I,MATCH(K960,上年标准成本!$C:$C,0),1),"")</f>
        <v/>
      </c>
      <c r="U960" s="126" t="str">
        <f t="shared" si="87"/>
        <v/>
      </c>
      <c r="V960" s="126" t="str">
        <f t="shared" si="88"/>
        <v/>
      </c>
      <c r="W960" s="124" t="str">
        <f t="shared" si="89"/>
        <v/>
      </c>
      <c r="X960" s="125" t="str">
        <f t="shared" si="84"/>
        <v/>
      </c>
    </row>
    <row r="961" spans="1:24" x14ac:dyDescent="0.3">
      <c r="A961" s="129"/>
      <c r="B961" s="129"/>
      <c r="C961" s="128"/>
      <c r="D961" s="128"/>
      <c r="E961" s="128"/>
      <c r="F961" s="166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6" t="str">
        <f t="shared" si="85"/>
        <v/>
      </c>
      <c r="S961" s="163" t="str">
        <f t="shared" si="86"/>
        <v/>
      </c>
      <c r="T961" s="160" t="str">
        <f>IFERROR(INDEX(上年标准成本!$I:$I,MATCH(K961,上年标准成本!$C:$C,0),1),"")</f>
        <v/>
      </c>
      <c r="U961" s="126" t="str">
        <f t="shared" si="87"/>
        <v/>
      </c>
      <c r="V961" s="126" t="str">
        <f t="shared" si="88"/>
        <v/>
      </c>
      <c r="W961" s="124" t="str">
        <f t="shared" si="89"/>
        <v/>
      </c>
      <c r="X961" s="125" t="str">
        <f t="shared" si="84"/>
        <v/>
      </c>
    </row>
    <row r="962" spans="1:24" x14ac:dyDescent="0.3">
      <c r="A962" s="129"/>
      <c r="B962" s="129"/>
      <c r="C962" s="128"/>
      <c r="D962" s="128"/>
      <c r="E962" s="128"/>
      <c r="F962" s="166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6" t="str">
        <f t="shared" si="85"/>
        <v/>
      </c>
      <c r="S962" s="163" t="str">
        <f t="shared" si="86"/>
        <v/>
      </c>
      <c r="T962" s="160" t="str">
        <f>IFERROR(INDEX(上年标准成本!$I:$I,MATCH(K962,上年标准成本!$C:$C,0),1),"")</f>
        <v/>
      </c>
      <c r="U962" s="126" t="str">
        <f t="shared" si="87"/>
        <v/>
      </c>
      <c r="V962" s="126" t="str">
        <f t="shared" si="88"/>
        <v/>
      </c>
      <c r="W962" s="124" t="str">
        <f t="shared" si="89"/>
        <v/>
      </c>
      <c r="X962" s="125" t="str">
        <f t="shared" ref="X962:X999" si="90">IFERROR(IF(W962/SUM(W:W)=0,"",W962/SUM(W:W)),"")</f>
        <v/>
      </c>
    </row>
    <row r="963" spans="1:24" x14ac:dyDescent="0.3">
      <c r="A963" s="129"/>
      <c r="B963" s="129"/>
      <c r="C963" s="128"/>
      <c r="D963" s="128"/>
      <c r="E963" s="128"/>
      <c r="F963" s="166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6" t="str">
        <f t="shared" ref="R963:R999" si="91">IFERROR(P963/O963,"")</f>
        <v/>
      </c>
      <c r="S963" s="163" t="str">
        <f t="shared" ref="S963:S999" si="92">IFERROR(R963*(1+Q963),"")</f>
        <v/>
      </c>
      <c r="T963" s="160" t="str">
        <f>IFERROR(INDEX(上年标准成本!$I:$I,MATCH(K963,上年标准成本!$C:$C,0),1),"")</f>
        <v/>
      </c>
      <c r="U963" s="126" t="str">
        <f t="shared" ref="U963:U999" si="93">IFERROR(O963*T963,"")</f>
        <v/>
      </c>
      <c r="V963" s="126" t="str">
        <f t="shared" ref="V963:V999" si="94">IFERROR(P963-U963,"")</f>
        <v/>
      </c>
      <c r="W963" s="124" t="str">
        <f t="shared" ref="W963:W999" si="95">IFERROR(V963/P963,"")</f>
        <v/>
      </c>
      <c r="X963" s="125" t="str">
        <f t="shared" si="90"/>
        <v/>
      </c>
    </row>
    <row r="964" spans="1:24" x14ac:dyDescent="0.3">
      <c r="A964" s="129"/>
      <c r="B964" s="129"/>
      <c r="C964" s="128"/>
      <c r="D964" s="128"/>
      <c r="E964" s="128"/>
      <c r="F964" s="166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6" t="str">
        <f t="shared" si="91"/>
        <v/>
      </c>
      <c r="S964" s="163" t="str">
        <f t="shared" si="92"/>
        <v/>
      </c>
      <c r="T964" s="160" t="str">
        <f>IFERROR(INDEX(上年标准成本!$I:$I,MATCH(K964,上年标准成本!$C:$C,0),1),"")</f>
        <v/>
      </c>
      <c r="U964" s="126" t="str">
        <f t="shared" si="93"/>
        <v/>
      </c>
      <c r="V964" s="126" t="str">
        <f t="shared" si="94"/>
        <v/>
      </c>
      <c r="W964" s="124" t="str">
        <f t="shared" si="95"/>
        <v/>
      </c>
      <c r="X964" s="125" t="str">
        <f t="shared" si="90"/>
        <v/>
      </c>
    </row>
    <row r="965" spans="1:24" x14ac:dyDescent="0.3">
      <c r="A965" s="129"/>
      <c r="B965" s="129"/>
      <c r="C965" s="128"/>
      <c r="D965" s="128"/>
      <c r="E965" s="128"/>
      <c r="F965" s="166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6" t="str">
        <f t="shared" si="91"/>
        <v/>
      </c>
      <c r="S965" s="163" t="str">
        <f t="shared" si="92"/>
        <v/>
      </c>
      <c r="T965" s="160" t="str">
        <f>IFERROR(INDEX(上年标准成本!$I:$I,MATCH(K965,上年标准成本!$C:$C,0),1),"")</f>
        <v/>
      </c>
      <c r="U965" s="126" t="str">
        <f t="shared" si="93"/>
        <v/>
      </c>
      <c r="V965" s="126" t="str">
        <f t="shared" si="94"/>
        <v/>
      </c>
      <c r="W965" s="124" t="str">
        <f t="shared" si="95"/>
        <v/>
      </c>
      <c r="X965" s="125" t="str">
        <f t="shared" si="90"/>
        <v/>
      </c>
    </row>
    <row r="966" spans="1:24" x14ac:dyDescent="0.3">
      <c r="A966" s="129"/>
      <c r="B966" s="129"/>
      <c r="C966" s="128"/>
      <c r="D966" s="128"/>
      <c r="E966" s="128"/>
      <c r="F966" s="166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6" t="str">
        <f t="shared" si="91"/>
        <v/>
      </c>
      <c r="S966" s="163" t="str">
        <f t="shared" si="92"/>
        <v/>
      </c>
      <c r="T966" s="160" t="str">
        <f>IFERROR(INDEX(上年标准成本!$I:$I,MATCH(K966,上年标准成本!$C:$C,0),1),"")</f>
        <v/>
      </c>
      <c r="U966" s="126" t="str">
        <f t="shared" si="93"/>
        <v/>
      </c>
      <c r="V966" s="126" t="str">
        <f t="shared" si="94"/>
        <v/>
      </c>
      <c r="W966" s="124" t="str">
        <f t="shared" si="95"/>
        <v/>
      </c>
      <c r="X966" s="125" t="str">
        <f t="shared" si="90"/>
        <v/>
      </c>
    </row>
    <row r="967" spans="1:24" x14ac:dyDescent="0.3">
      <c r="A967" s="129"/>
      <c r="B967" s="129"/>
      <c r="C967" s="128"/>
      <c r="D967" s="128"/>
      <c r="E967" s="128"/>
      <c r="F967" s="166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6" t="str">
        <f t="shared" si="91"/>
        <v/>
      </c>
      <c r="S967" s="163" t="str">
        <f t="shared" si="92"/>
        <v/>
      </c>
      <c r="T967" s="160" t="str">
        <f>IFERROR(INDEX(上年标准成本!$I:$I,MATCH(K967,上年标准成本!$C:$C,0),1),"")</f>
        <v/>
      </c>
      <c r="U967" s="126" t="str">
        <f t="shared" si="93"/>
        <v/>
      </c>
      <c r="V967" s="126" t="str">
        <f t="shared" si="94"/>
        <v/>
      </c>
      <c r="W967" s="124" t="str">
        <f t="shared" si="95"/>
        <v/>
      </c>
      <c r="X967" s="125" t="str">
        <f t="shared" si="90"/>
        <v/>
      </c>
    </row>
    <row r="968" spans="1:24" x14ac:dyDescent="0.3">
      <c r="A968" s="129"/>
      <c r="B968" s="129"/>
      <c r="C968" s="128"/>
      <c r="D968" s="128"/>
      <c r="E968" s="128"/>
      <c r="F968" s="166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6" t="str">
        <f t="shared" si="91"/>
        <v/>
      </c>
      <c r="S968" s="163" t="str">
        <f t="shared" si="92"/>
        <v/>
      </c>
      <c r="T968" s="160" t="str">
        <f>IFERROR(INDEX(上年标准成本!$I:$I,MATCH(K968,上年标准成本!$C:$C,0),1),"")</f>
        <v/>
      </c>
      <c r="U968" s="126" t="str">
        <f t="shared" si="93"/>
        <v/>
      </c>
      <c r="V968" s="126" t="str">
        <f t="shared" si="94"/>
        <v/>
      </c>
      <c r="W968" s="124" t="str">
        <f t="shared" si="95"/>
        <v/>
      </c>
      <c r="X968" s="125" t="str">
        <f t="shared" si="90"/>
        <v/>
      </c>
    </row>
    <row r="969" spans="1:24" x14ac:dyDescent="0.3">
      <c r="A969" s="129"/>
      <c r="B969" s="129"/>
      <c r="C969" s="128"/>
      <c r="D969" s="128"/>
      <c r="E969" s="128"/>
      <c r="F969" s="166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6" t="str">
        <f t="shared" si="91"/>
        <v/>
      </c>
      <c r="S969" s="163" t="str">
        <f t="shared" si="92"/>
        <v/>
      </c>
      <c r="T969" s="160" t="str">
        <f>IFERROR(INDEX(上年标准成本!$I:$I,MATCH(K969,上年标准成本!$C:$C,0),1),"")</f>
        <v/>
      </c>
      <c r="U969" s="126" t="str">
        <f t="shared" si="93"/>
        <v/>
      </c>
      <c r="V969" s="126" t="str">
        <f t="shared" si="94"/>
        <v/>
      </c>
      <c r="W969" s="124" t="str">
        <f t="shared" si="95"/>
        <v/>
      </c>
      <c r="X969" s="125" t="str">
        <f t="shared" si="90"/>
        <v/>
      </c>
    </row>
    <row r="970" spans="1:24" x14ac:dyDescent="0.3">
      <c r="A970" s="129"/>
      <c r="B970" s="129"/>
      <c r="C970" s="128"/>
      <c r="D970" s="128"/>
      <c r="E970" s="128"/>
      <c r="F970" s="166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6" t="str">
        <f t="shared" si="91"/>
        <v/>
      </c>
      <c r="S970" s="163" t="str">
        <f t="shared" si="92"/>
        <v/>
      </c>
      <c r="T970" s="160" t="str">
        <f>IFERROR(INDEX(上年标准成本!$I:$I,MATCH(K970,上年标准成本!$C:$C,0),1),"")</f>
        <v/>
      </c>
      <c r="U970" s="126" t="str">
        <f t="shared" si="93"/>
        <v/>
      </c>
      <c r="V970" s="126" t="str">
        <f t="shared" si="94"/>
        <v/>
      </c>
      <c r="W970" s="124" t="str">
        <f t="shared" si="95"/>
        <v/>
      </c>
      <c r="X970" s="125" t="str">
        <f t="shared" si="90"/>
        <v/>
      </c>
    </row>
    <row r="971" spans="1:24" x14ac:dyDescent="0.3">
      <c r="A971" s="129"/>
      <c r="B971" s="129"/>
      <c r="C971" s="128"/>
      <c r="D971" s="128"/>
      <c r="E971" s="128"/>
      <c r="F971" s="166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6" t="str">
        <f t="shared" si="91"/>
        <v/>
      </c>
      <c r="S971" s="163" t="str">
        <f t="shared" si="92"/>
        <v/>
      </c>
      <c r="T971" s="160" t="str">
        <f>IFERROR(INDEX(上年标准成本!$I:$I,MATCH(K971,上年标准成本!$C:$C,0),1),"")</f>
        <v/>
      </c>
      <c r="U971" s="126" t="str">
        <f t="shared" si="93"/>
        <v/>
      </c>
      <c r="V971" s="126" t="str">
        <f t="shared" si="94"/>
        <v/>
      </c>
      <c r="W971" s="124" t="str">
        <f t="shared" si="95"/>
        <v/>
      </c>
      <c r="X971" s="125" t="str">
        <f t="shared" si="90"/>
        <v/>
      </c>
    </row>
    <row r="972" spans="1:24" x14ac:dyDescent="0.3">
      <c r="A972" s="129"/>
      <c r="B972" s="129"/>
      <c r="C972" s="128"/>
      <c r="D972" s="128"/>
      <c r="E972" s="128"/>
      <c r="F972" s="166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6" t="str">
        <f t="shared" si="91"/>
        <v/>
      </c>
      <c r="S972" s="163" t="str">
        <f t="shared" si="92"/>
        <v/>
      </c>
      <c r="T972" s="160" t="str">
        <f>IFERROR(INDEX(上年标准成本!$I:$I,MATCH(K972,上年标准成本!$C:$C,0),1),"")</f>
        <v/>
      </c>
      <c r="U972" s="126" t="str">
        <f t="shared" si="93"/>
        <v/>
      </c>
      <c r="V972" s="126" t="str">
        <f t="shared" si="94"/>
        <v/>
      </c>
      <c r="W972" s="124" t="str">
        <f t="shared" si="95"/>
        <v/>
      </c>
      <c r="X972" s="125" t="str">
        <f t="shared" si="90"/>
        <v/>
      </c>
    </row>
    <row r="973" spans="1:24" x14ac:dyDescent="0.3">
      <c r="A973" s="129"/>
      <c r="B973" s="129"/>
      <c r="C973" s="128"/>
      <c r="D973" s="128"/>
      <c r="E973" s="128"/>
      <c r="F973" s="166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6" t="str">
        <f t="shared" si="91"/>
        <v/>
      </c>
      <c r="S973" s="163" t="str">
        <f t="shared" si="92"/>
        <v/>
      </c>
      <c r="T973" s="160" t="str">
        <f>IFERROR(INDEX(上年标准成本!$I:$I,MATCH(K973,上年标准成本!$C:$C,0),1),"")</f>
        <v/>
      </c>
      <c r="U973" s="126" t="str">
        <f t="shared" si="93"/>
        <v/>
      </c>
      <c r="V973" s="126" t="str">
        <f t="shared" si="94"/>
        <v/>
      </c>
      <c r="W973" s="124" t="str">
        <f t="shared" si="95"/>
        <v/>
      </c>
      <c r="X973" s="125" t="str">
        <f t="shared" si="90"/>
        <v/>
      </c>
    </row>
    <row r="974" spans="1:24" x14ac:dyDescent="0.3">
      <c r="A974" s="129"/>
      <c r="B974" s="129"/>
      <c r="C974" s="128"/>
      <c r="D974" s="128"/>
      <c r="E974" s="128"/>
      <c r="F974" s="166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6" t="str">
        <f t="shared" si="91"/>
        <v/>
      </c>
      <c r="S974" s="163" t="str">
        <f t="shared" si="92"/>
        <v/>
      </c>
      <c r="T974" s="160" t="str">
        <f>IFERROR(INDEX(上年标准成本!$I:$I,MATCH(K974,上年标准成本!$C:$C,0),1),"")</f>
        <v/>
      </c>
      <c r="U974" s="126" t="str">
        <f t="shared" si="93"/>
        <v/>
      </c>
      <c r="V974" s="126" t="str">
        <f t="shared" si="94"/>
        <v/>
      </c>
      <c r="W974" s="124" t="str">
        <f t="shared" si="95"/>
        <v/>
      </c>
      <c r="X974" s="125" t="str">
        <f t="shared" si="90"/>
        <v/>
      </c>
    </row>
    <row r="975" spans="1:24" x14ac:dyDescent="0.3">
      <c r="A975" s="129"/>
      <c r="B975" s="129"/>
      <c r="C975" s="128"/>
      <c r="D975" s="128"/>
      <c r="E975" s="128"/>
      <c r="F975" s="166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6" t="str">
        <f t="shared" si="91"/>
        <v/>
      </c>
      <c r="S975" s="163" t="str">
        <f t="shared" si="92"/>
        <v/>
      </c>
      <c r="T975" s="160" t="str">
        <f>IFERROR(INDEX(上年标准成本!$I:$I,MATCH(K975,上年标准成本!$C:$C,0),1),"")</f>
        <v/>
      </c>
      <c r="U975" s="126" t="str">
        <f t="shared" si="93"/>
        <v/>
      </c>
      <c r="V975" s="126" t="str">
        <f t="shared" si="94"/>
        <v/>
      </c>
      <c r="W975" s="124" t="str">
        <f t="shared" si="95"/>
        <v/>
      </c>
      <c r="X975" s="125" t="str">
        <f t="shared" si="90"/>
        <v/>
      </c>
    </row>
    <row r="976" spans="1:24" x14ac:dyDescent="0.3">
      <c r="A976" s="129"/>
      <c r="B976" s="129"/>
      <c r="C976" s="128"/>
      <c r="D976" s="128"/>
      <c r="E976" s="128"/>
      <c r="F976" s="166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6" t="str">
        <f t="shared" si="91"/>
        <v/>
      </c>
      <c r="S976" s="163" t="str">
        <f t="shared" si="92"/>
        <v/>
      </c>
      <c r="T976" s="160" t="str">
        <f>IFERROR(INDEX(上年标准成本!$I:$I,MATCH(K976,上年标准成本!$C:$C,0),1),"")</f>
        <v/>
      </c>
      <c r="U976" s="126" t="str">
        <f t="shared" si="93"/>
        <v/>
      </c>
      <c r="V976" s="126" t="str">
        <f t="shared" si="94"/>
        <v/>
      </c>
      <c r="W976" s="124" t="str">
        <f t="shared" si="95"/>
        <v/>
      </c>
      <c r="X976" s="125" t="str">
        <f t="shared" si="90"/>
        <v/>
      </c>
    </row>
    <row r="977" spans="1:24" x14ac:dyDescent="0.3">
      <c r="A977" s="129"/>
      <c r="B977" s="129"/>
      <c r="C977" s="128"/>
      <c r="D977" s="128"/>
      <c r="E977" s="128"/>
      <c r="F977" s="166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6" t="str">
        <f t="shared" si="91"/>
        <v/>
      </c>
      <c r="S977" s="163" t="str">
        <f t="shared" si="92"/>
        <v/>
      </c>
      <c r="T977" s="160" t="str">
        <f>IFERROR(INDEX(上年标准成本!$I:$I,MATCH(K977,上年标准成本!$C:$C,0),1),"")</f>
        <v/>
      </c>
      <c r="U977" s="126" t="str">
        <f t="shared" si="93"/>
        <v/>
      </c>
      <c r="V977" s="126" t="str">
        <f t="shared" si="94"/>
        <v/>
      </c>
      <c r="W977" s="124" t="str">
        <f t="shared" si="95"/>
        <v/>
      </c>
      <c r="X977" s="125" t="str">
        <f t="shared" si="90"/>
        <v/>
      </c>
    </row>
    <row r="978" spans="1:24" x14ac:dyDescent="0.3">
      <c r="A978" s="129"/>
      <c r="B978" s="129"/>
      <c r="C978" s="128"/>
      <c r="D978" s="128"/>
      <c r="E978" s="128"/>
      <c r="F978" s="166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6" t="str">
        <f t="shared" si="91"/>
        <v/>
      </c>
      <c r="S978" s="163" t="str">
        <f t="shared" si="92"/>
        <v/>
      </c>
      <c r="T978" s="160" t="str">
        <f>IFERROR(INDEX(上年标准成本!$I:$I,MATCH(K978,上年标准成本!$C:$C,0),1),"")</f>
        <v/>
      </c>
      <c r="U978" s="126" t="str">
        <f t="shared" si="93"/>
        <v/>
      </c>
      <c r="V978" s="126" t="str">
        <f t="shared" si="94"/>
        <v/>
      </c>
      <c r="W978" s="124" t="str">
        <f t="shared" si="95"/>
        <v/>
      </c>
      <c r="X978" s="125" t="str">
        <f t="shared" si="90"/>
        <v/>
      </c>
    </row>
    <row r="979" spans="1:24" x14ac:dyDescent="0.3">
      <c r="A979" s="129"/>
      <c r="B979" s="129"/>
      <c r="C979" s="128"/>
      <c r="D979" s="128"/>
      <c r="E979" s="128"/>
      <c r="F979" s="166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6" t="str">
        <f t="shared" si="91"/>
        <v/>
      </c>
      <c r="S979" s="163" t="str">
        <f t="shared" si="92"/>
        <v/>
      </c>
      <c r="T979" s="160" t="str">
        <f>IFERROR(INDEX(上年标准成本!$I:$I,MATCH(K979,上年标准成本!$C:$C,0),1),"")</f>
        <v/>
      </c>
      <c r="U979" s="126" t="str">
        <f t="shared" si="93"/>
        <v/>
      </c>
      <c r="V979" s="126" t="str">
        <f t="shared" si="94"/>
        <v/>
      </c>
      <c r="W979" s="124" t="str">
        <f t="shared" si="95"/>
        <v/>
      </c>
      <c r="X979" s="125" t="str">
        <f t="shared" si="90"/>
        <v/>
      </c>
    </row>
    <row r="980" spans="1:24" x14ac:dyDescent="0.3">
      <c r="A980" s="129"/>
      <c r="B980" s="129"/>
      <c r="C980" s="128"/>
      <c r="D980" s="128"/>
      <c r="E980" s="128"/>
      <c r="F980" s="166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6" t="str">
        <f t="shared" si="91"/>
        <v/>
      </c>
      <c r="S980" s="163" t="str">
        <f t="shared" si="92"/>
        <v/>
      </c>
      <c r="T980" s="160" t="str">
        <f>IFERROR(INDEX(上年标准成本!$I:$I,MATCH(K980,上年标准成本!$C:$C,0),1),"")</f>
        <v/>
      </c>
      <c r="U980" s="126" t="str">
        <f t="shared" si="93"/>
        <v/>
      </c>
      <c r="V980" s="126" t="str">
        <f t="shared" si="94"/>
        <v/>
      </c>
      <c r="W980" s="124" t="str">
        <f t="shared" si="95"/>
        <v/>
      </c>
      <c r="X980" s="125" t="str">
        <f t="shared" si="90"/>
        <v/>
      </c>
    </row>
    <row r="981" spans="1:24" x14ac:dyDescent="0.3">
      <c r="A981" s="129"/>
      <c r="B981" s="129"/>
      <c r="C981" s="128"/>
      <c r="D981" s="128"/>
      <c r="E981" s="128"/>
      <c r="F981" s="166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6" t="str">
        <f t="shared" si="91"/>
        <v/>
      </c>
      <c r="S981" s="163" t="str">
        <f t="shared" si="92"/>
        <v/>
      </c>
      <c r="T981" s="160" t="str">
        <f>IFERROR(INDEX(上年标准成本!$I:$I,MATCH(K981,上年标准成本!$C:$C,0),1),"")</f>
        <v/>
      </c>
      <c r="U981" s="126" t="str">
        <f t="shared" si="93"/>
        <v/>
      </c>
      <c r="V981" s="126" t="str">
        <f t="shared" si="94"/>
        <v/>
      </c>
      <c r="W981" s="124" t="str">
        <f t="shared" si="95"/>
        <v/>
      </c>
      <c r="X981" s="125" t="str">
        <f t="shared" si="90"/>
        <v/>
      </c>
    </row>
    <row r="982" spans="1:24" x14ac:dyDescent="0.3">
      <c r="A982" s="129"/>
      <c r="B982" s="129"/>
      <c r="C982" s="128"/>
      <c r="D982" s="128"/>
      <c r="E982" s="128"/>
      <c r="F982" s="166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6" t="str">
        <f t="shared" si="91"/>
        <v/>
      </c>
      <c r="S982" s="163" t="str">
        <f t="shared" si="92"/>
        <v/>
      </c>
      <c r="T982" s="160" t="str">
        <f>IFERROR(INDEX(上年标准成本!$I:$I,MATCH(K982,上年标准成本!$C:$C,0),1),"")</f>
        <v/>
      </c>
      <c r="U982" s="126" t="str">
        <f t="shared" si="93"/>
        <v/>
      </c>
      <c r="V982" s="126" t="str">
        <f t="shared" si="94"/>
        <v/>
      </c>
      <c r="W982" s="124" t="str">
        <f t="shared" si="95"/>
        <v/>
      </c>
      <c r="X982" s="125" t="str">
        <f t="shared" si="90"/>
        <v/>
      </c>
    </row>
    <row r="983" spans="1:24" x14ac:dyDescent="0.3">
      <c r="A983" s="129"/>
      <c r="B983" s="129"/>
      <c r="C983" s="128"/>
      <c r="D983" s="128"/>
      <c r="E983" s="128"/>
      <c r="F983" s="166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6" t="str">
        <f t="shared" si="91"/>
        <v/>
      </c>
      <c r="S983" s="163" t="str">
        <f t="shared" si="92"/>
        <v/>
      </c>
      <c r="T983" s="160" t="str">
        <f>IFERROR(INDEX(上年标准成本!$I:$I,MATCH(K983,上年标准成本!$C:$C,0),1),"")</f>
        <v/>
      </c>
      <c r="U983" s="126" t="str">
        <f t="shared" si="93"/>
        <v/>
      </c>
      <c r="V983" s="126" t="str">
        <f t="shared" si="94"/>
        <v/>
      </c>
      <c r="W983" s="124" t="str">
        <f t="shared" si="95"/>
        <v/>
      </c>
      <c r="X983" s="125" t="str">
        <f t="shared" si="90"/>
        <v/>
      </c>
    </row>
    <row r="984" spans="1:24" x14ac:dyDescent="0.3">
      <c r="A984" s="129"/>
      <c r="B984" s="129"/>
      <c r="C984" s="128"/>
      <c r="D984" s="128"/>
      <c r="E984" s="128"/>
      <c r="F984" s="166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6" t="str">
        <f t="shared" si="91"/>
        <v/>
      </c>
      <c r="S984" s="163" t="str">
        <f t="shared" si="92"/>
        <v/>
      </c>
      <c r="T984" s="160" t="str">
        <f>IFERROR(INDEX(上年标准成本!$I:$I,MATCH(K984,上年标准成本!$C:$C,0),1),"")</f>
        <v/>
      </c>
      <c r="U984" s="126" t="str">
        <f t="shared" si="93"/>
        <v/>
      </c>
      <c r="V984" s="126" t="str">
        <f t="shared" si="94"/>
        <v/>
      </c>
      <c r="W984" s="124" t="str">
        <f t="shared" si="95"/>
        <v/>
      </c>
      <c r="X984" s="125" t="str">
        <f t="shared" si="90"/>
        <v/>
      </c>
    </row>
    <row r="985" spans="1:24" x14ac:dyDescent="0.3">
      <c r="A985" s="129"/>
      <c r="B985" s="129"/>
      <c r="C985" s="128"/>
      <c r="D985" s="128"/>
      <c r="E985" s="128"/>
      <c r="F985" s="166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6" t="str">
        <f t="shared" si="91"/>
        <v/>
      </c>
      <c r="S985" s="163" t="str">
        <f t="shared" si="92"/>
        <v/>
      </c>
      <c r="T985" s="160" t="str">
        <f>IFERROR(INDEX(上年标准成本!$I:$I,MATCH(K985,上年标准成本!$C:$C,0),1),"")</f>
        <v/>
      </c>
      <c r="U985" s="126" t="str">
        <f t="shared" si="93"/>
        <v/>
      </c>
      <c r="V985" s="126" t="str">
        <f t="shared" si="94"/>
        <v/>
      </c>
      <c r="W985" s="124" t="str">
        <f t="shared" si="95"/>
        <v/>
      </c>
      <c r="X985" s="125" t="str">
        <f t="shared" si="90"/>
        <v/>
      </c>
    </row>
    <row r="986" spans="1:24" x14ac:dyDescent="0.3">
      <c r="A986" s="129"/>
      <c r="B986" s="129"/>
      <c r="C986" s="128"/>
      <c r="D986" s="128"/>
      <c r="E986" s="128"/>
      <c r="F986" s="166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6" t="str">
        <f t="shared" si="91"/>
        <v/>
      </c>
      <c r="S986" s="163" t="str">
        <f t="shared" si="92"/>
        <v/>
      </c>
      <c r="T986" s="160" t="str">
        <f>IFERROR(INDEX(上年标准成本!$I:$I,MATCH(K986,上年标准成本!$C:$C,0),1),"")</f>
        <v/>
      </c>
      <c r="U986" s="126" t="str">
        <f t="shared" si="93"/>
        <v/>
      </c>
      <c r="V986" s="126" t="str">
        <f t="shared" si="94"/>
        <v/>
      </c>
      <c r="W986" s="124" t="str">
        <f t="shared" si="95"/>
        <v/>
      </c>
      <c r="X986" s="125" t="str">
        <f t="shared" si="90"/>
        <v/>
      </c>
    </row>
    <row r="987" spans="1:24" x14ac:dyDescent="0.3">
      <c r="A987" s="129"/>
      <c r="B987" s="129"/>
      <c r="C987" s="128"/>
      <c r="D987" s="128"/>
      <c r="E987" s="128"/>
      <c r="F987" s="166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6" t="str">
        <f t="shared" si="91"/>
        <v/>
      </c>
      <c r="S987" s="163" t="str">
        <f t="shared" si="92"/>
        <v/>
      </c>
      <c r="T987" s="160" t="str">
        <f>IFERROR(INDEX(上年标准成本!$I:$I,MATCH(K987,上年标准成本!$C:$C,0),1),"")</f>
        <v/>
      </c>
      <c r="U987" s="126" t="str">
        <f t="shared" si="93"/>
        <v/>
      </c>
      <c r="V987" s="126" t="str">
        <f t="shared" si="94"/>
        <v/>
      </c>
      <c r="W987" s="124" t="str">
        <f t="shared" si="95"/>
        <v/>
      </c>
      <c r="X987" s="125" t="str">
        <f t="shared" si="90"/>
        <v/>
      </c>
    </row>
    <row r="988" spans="1:24" x14ac:dyDescent="0.3">
      <c r="A988" s="129"/>
      <c r="B988" s="129"/>
      <c r="C988" s="128"/>
      <c r="D988" s="128"/>
      <c r="E988" s="128"/>
      <c r="F988" s="166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6" t="str">
        <f t="shared" si="91"/>
        <v/>
      </c>
      <c r="S988" s="163" t="str">
        <f t="shared" si="92"/>
        <v/>
      </c>
      <c r="T988" s="160" t="str">
        <f>IFERROR(INDEX(上年标准成本!$I:$I,MATCH(K988,上年标准成本!$C:$C,0),1),"")</f>
        <v/>
      </c>
      <c r="U988" s="126" t="str">
        <f t="shared" si="93"/>
        <v/>
      </c>
      <c r="V988" s="126" t="str">
        <f t="shared" si="94"/>
        <v/>
      </c>
      <c r="W988" s="124" t="str">
        <f t="shared" si="95"/>
        <v/>
      </c>
      <c r="X988" s="125" t="str">
        <f t="shared" si="90"/>
        <v/>
      </c>
    </row>
    <row r="989" spans="1:24" x14ac:dyDescent="0.3">
      <c r="A989" s="129"/>
      <c r="B989" s="129"/>
      <c r="C989" s="128"/>
      <c r="D989" s="128"/>
      <c r="E989" s="128"/>
      <c r="F989" s="166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6" t="str">
        <f t="shared" si="91"/>
        <v/>
      </c>
      <c r="S989" s="163" t="str">
        <f t="shared" si="92"/>
        <v/>
      </c>
      <c r="T989" s="160" t="str">
        <f>IFERROR(INDEX(上年标准成本!$I:$I,MATCH(K989,上年标准成本!$C:$C,0),1),"")</f>
        <v/>
      </c>
      <c r="U989" s="126" t="str">
        <f t="shared" si="93"/>
        <v/>
      </c>
      <c r="V989" s="126" t="str">
        <f t="shared" si="94"/>
        <v/>
      </c>
      <c r="W989" s="124" t="str">
        <f t="shared" si="95"/>
        <v/>
      </c>
      <c r="X989" s="125" t="str">
        <f t="shared" si="90"/>
        <v/>
      </c>
    </row>
    <row r="990" spans="1:24" x14ac:dyDescent="0.3">
      <c r="A990" s="129"/>
      <c r="B990" s="129"/>
      <c r="C990" s="128"/>
      <c r="D990" s="128"/>
      <c r="E990" s="128"/>
      <c r="F990" s="166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6" t="str">
        <f t="shared" si="91"/>
        <v/>
      </c>
      <c r="S990" s="163" t="str">
        <f t="shared" si="92"/>
        <v/>
      </c>
      <c r="T990" s="160" t="str">
        <f>IFERROR(INDEX(上年标准成本!$I:$I,MATCH(K990,上年标准成本!$C:$C,0),1),"")</f>
        <v/>
      </c>
      <c r="U990" s="126" t="str">
        <f t="shared" si="93"/>
        <v/>
      </c>
      <c r="V990" s="126" t="str">
        <f t="shared" si="94"/>
        <v/>
      </c>
      <c r="W990" s="124" t="str">
        <f t="shared" si="95"/>
        <v/>
      </c>
      <c r="X990" s="125" t="str">
        <f t="shared" si="90"/>
        <v/>
      </c>
    </row>
    <row r="991" spans="1:24" x14ac:dyDescent="0.3">
      <c r="A991" s="129"/>
      <c r="B991" s="129"/>
      <c r="C991" s="128"/>
      <c r="D991" s="128"/>
      <c r="E991" s="128"/>
      <c r="F991" s="166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6" t="str">
        <f t="shared" si="91"/>
        <v/>
      </c>
      <c r="S991" s="163" t="str">
        <f t="shared" si="92"/>
        <v/>
      </c>
      <c r="T991" s="160" t="str">
        <f>IFERROR(INDEX(上年标准成本!$I:$I,MATCH(K991,上年标准成本!$C:$C,0),1),"")</f>
        <v/>
      </c>
      <c r="U991" s="126" t="str">
        <f t="shared" si="93"/>
        <v/>
      </c>
      <c r="V991" s="126" t="str">
        <f t="shared" si="94"/>
        <v/>
      </c>
      <c r="W991" s="124" t="str">
        <f t="shared" si="95"/>
        <v/>
      </c>
      <c r="X991" s="125" t="str">
        <f t="shared" si="90"/>
        <v/>
      </c>
    </row>
    <row r="992" spans="1:24" x14ac:dyDescent="0.3">
      <c r="A992" s="129"/>
      <c r="B992" s="129"/>
      <c r="C992" s="128"/>
      <c r="D992" s="128"/>
      <c r="E992" s="128"/>
      <c r="F992" s="166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6" t="str">
        <f t="shared" si="91"/>
        <v/>
      </c>
      <c r="S992" s="163" t="str">
        <f t="shared" si="92"/>
        <v/>
      </c>
      <c r="T992" s="160" t="str">
        <f>IFERROR(INDEX(上年标准成本!$I:$I,MATCH(K992,上年标准成本!$C:$C,0),1),"")</f>
        <v/>
      </c>
      <c r="U992" s="126" t="str">
        <f t="shared" si="93"/>
        <v/>
      </c>
      <c r="V992" s="126" t="str">
        <f t="shared" si="94"/>
        <v/>
      </c>
      <c r="W992" s="124" t="str">
        <f t="shared" si="95"/>
        <v/>
      </c>
      <c r="X992" s="125" t="str">
        <f t="shared" si="90"/>
        <v/>
      </c>
    </row>
    <row r="993" spans="1:24" x14ac:dyDescent="0.3">
      <c r="A993" s="129"/>
      <c r="B993" s="129"/>
      <c r="C993" s="128"/>
      <c r="D993" s="128"/>
      <c r="E993" s="128"/>
      <c r="F993" s="166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6" t="str">
        <f t="shared" si="91"/>
        <v/>
      </c>
      <c r="S993" s="163" t="str">
        <f t="shared" si="92"/>
        <v/>
      </c>
      <c r="T993" s="160" t="str">
        <f>IFERROR(INDEX(上年标准成本!$I:$I,MATCH(K993,上年标准成本!$C:$C,0),1),"")</f>
        <v/>
      </c>
      <c r="U993" s="126" t="str">
        <f t="shared" si="93"/>
        <v/>
      </c>
      <c r="V993" s="126" t="str">
        <f t="shared" si="94"/>
        <v/>
      </c>
      <c r="W993" s="124" t="str">
        <f t="shared" si="95"/>
        <v/>
      </c>
      <c r="X993" s="125" t="str">
        <f t="shared" si="90"/>
        <v/>
      </c>
    </row>
    <row r="994" spans="1:24" x14ac:dyDescent="0.3">
      <c r="A994" s="129"/>
      <c r="B994" s="129"/>
      <c r="C994" s="128"/>
      <c r="D994" s="128"/>
      <c r="E994" s="128"/>
      <c r="F994" s="166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6" t="str">
        <f t="shared" si="91"/>
        <v/>
      </c>
      <c r="S994" s="163" t="str">
        <f t="shared" si="92"/>
        <v/>
      </c>
      <c r="T994" s="160" t="str">
        <f>IFERROR(INDEX(上年标准成本!$I:$I,MATCH(K994,上年标准成本!$C:$C,0),1),"")</f>
        <v/>
      </c>
      <c r="U994" s="126" t="str">
        <f t="shared" si="93"/>
        <v/>
      </c>
      <c r="V994" s="126" t="str">
        <f t="shared" si="94"/>
        <v/>
      </c>
      <c r="W994" s="124" t="str">
        <f t="shared" si="95"/>
        <v/>
      </c>
      <c r="X994" s="125" t="str">
        <f t="shared" si="90"/>
        <v/>
      </c>
    </row>
    <row r="995" spans="1:24" x14ac:dyDescent="0.3">
      <c r="A995" s="129"/>
      <c r="B995" s="129"/>
      <c r="C995" s="128"/>
      <c r="D995" s="128"/>
      <c r="E995" s="128"/>
      <c r="F995" s="166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6" t="str">
        <f t="shared" si="91"/>
        <v/>
      </c>
      <c r="S995" s="163" t="str">
        <f t="shared" si="92"/>
        <v/>
      </c>
      <c r="T995" s="160" t="str">
        <f>IFERROR(INDEX(上年标准成本!$I:$I,MATCH(K995,上年标准成本!$C:$C,0),1),"")</f>
        <v/>
      </c>
      <c r="U995" s="126" t="str">
        <f t="shared" si="93"/>
        <v/>
      </c>
      <c r="V995" s="126" t="str">
        <f t="shared" si="94"/>
        <v/>
      </c>
      <c r="W995" s="124" t="str">
        <f t="shared" si="95"/>
        <v/>
      </c>
      <c r="X995" s="125" t="str">
        <f t="shared" si="90"/>
        <v/>
      </c>
    </row>
    <row r="996" spans="1:24" x14ac:dyDescent="0.3">
      <c r="A996" s="129"/>
      <c r="B996" s="129"/>
      <c r="C996" s="128"/>
      <c r="D996" s="128"/>
      <c r="E996" s="128"/>
      <c r="F996" s="166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6" t="str">
        <f t="shared" si="91"/>
        <v/>
      </c>
      <c r="S996" s="163" t="str">
        <f t="shared" si="92"/>
        <v/>
      </c>
      <c r="T996" s="160" t="str">
        <f>IFERROR(INDEX(上年标准成本!$I:$I,MATCH(K996,上年标准成本!$C:$C,0),1),"")</f>
        <v/>
      </c>
      <c r="U996" s="126" t="str">
        <f t="shared" si="93"/>
        <v/>
      </c>
      <c r="V996" s="126" t="str">
        <f t="shared" si="94"/>
        <v/>
      </c>
      <c r="W996" s="124" t="str">
        <f t="shared" si="95"/>
        <v/>
      </c>
      <c r="X996" s="125" t="str">
        <f t="shared" si="90"/>
        <v/>
      </c>
    </row>
    <row r="997" spans="1:24" x14ac:dyDescent="0.3">
      <c r="A997" s="129"/>
      <c r="B997" s="129"/>
      <c r="C997" s="128"/>
      <c r="D997" s="128"/>
      <c r="E997" s="128"/>
      <c r="F997" s="166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6" t="str">
        <f t="shared" si="91"/>
        <v/>
      </c>
      <c r="S997" s="163" t="str">
        <f t="shared" si="92"/>
        <v/>
      </c>
      <c r="T997" s="160" t="str">
        <f>IFERROR(INDEX(上年标准成本!$I:$I,MATCH(K997,上年标准成本!$C:$C,0),1),"")</f>
        <v/>
      </c>
      <c r="U997" s="126" t="str">
        <f t="shared" si="93"/>
        <v/>
      </c>
      <c r="V997" s="126" t="str">
        <f t="shared" si="94"/>
        <v/>
      </c>
      <c r="W997" s="124" t="str">
        <f t="shared" si="95"/>
        <v/>
      </c>
      <c r="X997" s="125" t="str">
        <f t="shared" si="90"/>
        <v/>
      </c>
    </row>
    <row r="998" spans="1:24" x14ac:dyDescent="0.3">
      <c r="A998" s="129"/>
      <c r="B998" s="129"/>
      <c r="C998" s="128"/>
      <c r="D998" s="128"/>
      <c r="E998" s="128"/>
      <c r="F998" s="166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6" t="str">
        <f t="shared" si="91"/>
        <v/>
      </c>
      <c r="S998" s="163" t="str">
        <f t="shared" si="92"/>
        <v/>
      </c>
      <c r="T998" s="160" t="str">
        <f>IFERROR(INDEX(上年标准成本!$I:$I,MATCH(K998,上年标准成本!$C:$C,0),1),"")</f>
        <v/>
      </c>
      <c r="U998" s="126" t="str">
        <f t="shared" si="93"/>
        <v/>
      </c>
      <c r="V998" s="126" t="str">
        <f t="shared" si="94"/>
        <v/>
      </c>
      <c r="W998" s="124" t="str">
        <f t="shared" si="95"/>
        <v/>
      </c>
      <c r="X998" s="125" t="str">
        <f t="shared" si="90"/>
        <v/>
      </c>
    </row>
    <row r="999" spans="1:24" x14ac:dyDescent="0.3">
      <c r="A999" s="129"/>
      <c r="B999" s="129"/>
      <c r="C999" s="128"/>
      <c r="D999" s="128"/>
      <c r="E999" s="128"/>
      <c r="F999" s="166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6" t="str">
        <f t="shared" si="91"/>
        <v/>
      </c>
      <c r="S999" s="163" t="str">
        <f t="shared" si="92"/>
        <v/>
      </c>
      <c r="T999" s="160" t="str">
        <f>IFERROR(INDEX(上年标准成本!$I:$I,MATCH(K999,上年标准成本!$C:$C,0),1),"")</f>
        <v/>
      </c>
      <c r="U999" s="126" t="str">
        <f t="shared" si="93"/>
        <v/>
      </c>
      <c r="V999" s="126" t="str">
        <f t="shared" si="94"/>
        <v/>
      </c>
      <c r="W999" s="124" t="str">
        <f t="shared" si="95"/>
        <v/>
      </c>
      <c r="X999" s="125" t="str">
        <f t="shared" si="90"/>
        <v/>
      </c>
    </row>
  </sheetData>
  <sheetProtection formatCells="0" formatColumns="0" formatRows="0" insertRows="0" deleteRows="0" sort="0" autoFilter="0" pivotTables="0"/>
  <phoneticPr fontId="3" type="noConversion"/>
  <hyperlinks>
    <hyperlink ref="Z1" location="主页!A1" display="主页!A1" xr:uid="{9247E1DF-FDD4-477E-B91C-19907B1232A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F04A-7A78-4B07-853F-05B9670586B3}">
  <dimension ref="A1:Z999"/>
  <sheetViews>
    <sheetView showGridLines="0" topLeftCell="F1" workbookViewId="0">
      <pane ySplit="1" topLeftCell="A2" activePane="bottomLeft" state="frozenSplit"/>
      <selection pane="bottomLeft" activeCell="Z1" sqref="Z1"/>
    </sheetView>
  </sheetViews>
  <sheetFormatPr defaultRowHeight="14" x14ac:dyDescent="0.3"/>
  <cols>
    <col min="1" max="1" width="10" bestFit="1" customWidth="1"/>
    <col min="3" max="3" width="11.6640625" style="118" bestFit="1" customWidth="1"/>
    <col min="4" max="6" width="8.9140625" style="118"/>
    <col min="7" max="8" width="9" style="118" bestFit="1" customWidth="1"/>
    <col min="9" max="10" width="9" bestFit="1" customWidth="1"/>
    <col min="14" max="14" width="9.58203125" bestFit="1" customWidth="1"/>
    <col min="16" max="16" width="16.08203125" bestFit="1" customWidth="1"/>
    <col min="18" max="18" width="16.08203125" bestFit="1" customWidth="1"/>
    <col min="20" max="20" width="9.25" customWidth="1"/>
    <col min="21" max="21" width="9.58203125" bestFit="1" customWidth="1"/>
    <col min="22" max="22" width="9" bestFit="1" customWidth="1"/>
    <col min="23" max="23" width="9" style="1" bestFit="1" customWidth="1"/>
    <col min="24" max="24" width="9.4140625" style="6" bestFit="1" customWidth="1"/>
  </cols>
  <sheetData>
    <row r="1" spans="1:26" x14ac:dyDescent="0.3">
      <c r="A1" s="4" t="s">
        <v>65</v>
      </c>
      <c r="B1" s="119" t="s">
        <v>64</v>
      </c>
      <c r="C1" s="116" t="s">
        <v>66</v>
      </c>
      <c r="D1" s="116" t="s">
        <v>25</v>
      </c>
      <c r="E1" s="115" t="s">
        <v>26</v>
      </c>
      <c r="F1" s="115" t="s">
        <v>39</v>
      </c>
      <c r="G1" s="115" t="s">
        <v>29</v>
      </c>
      <c r="H1" s="115" t="s">
        <v>30</v>
      </c>
      <c r="I1" s="115" t="s">
        <v>28</v>
      </c>
      <c r="J1" s="115" t="s">
        <v>27</v>
      </c>
      <c r="K1" s="115" t="s">
        <v>17</v>
      </c>
      <c r="L1" s="116" t="s">
        <v>19</v>
      </c>
      <c r="M1" s="115" t="s">
        <v>18</v>
      </c>
      <c r="N1" s="115" t="s">
        <v>89</v>
      </c>
      <c r="O1" s="115" t="s">
        <v>16</v>
      </c>
      <c r="P1" s="115" t="s">
        <v>150</v>
      </c>
      <c r="Q1" s="115" t="s">
        <v>14</v>
      </c>
      <c r="R1" s="115" t="s">
        <v>167</v>
      </c>
      <c r="S1" s="115" t="s">
        <v>15</v>
      </c>
      <c r="T1" s="115" t="s">
        <v>12</v>
      </c>
      <c r="U1" s="115" t="s">
        <v>11</v>
      </c>
      <c r="V1" s="115" t="s">
        <v>10</v>
      </c>
      <c r="W1" s="117" t="s">
        <v>9</v>
      </c>
      <c r="X1" s="115" t="s">
        <v>36</v>
      </c>
      <c r="Z1" s="121" t="s">
        <v>197</v>
      </c>
    </row>
    <row r="2" spans="1:26" x14ac:dyDescent="0.3">
      <c r="A2" s="164">
        <v>44211</v>
      </c>
      <c r="B2" s="129" t="s">
        <v>67</v>
      </c>
      <c r="C2" s="165">
        <v>44227</v>
      </c>
      <c r="D2" s="128" t="s">
        <v>40</v>
      </c>
      <c r="E2" s="128" t="s">
        <v>43</v>
      </c>
      <c r="F2" s="166" t="s">
        <v>160</v>
      </c>
      <c r="G2" s="127" t="s">
        <v>46</v>
      </c>
      <c r="H2" s="127" t="s">
        <v>49</v>
      </c>
      <c r="I2" s="127" t="s">
        <v>52</v>
      </c>
      <c r="J2" s="127" t="s">
        <v>55</v>
      </c>
      <c r="K2" s="128" t="s">
        <v>6</v>
      </c>
      <c r="L2" s="128" t="s">
        <v>58</v>
      </c>
      <c r="M2" s="128" t="s">
        <v>61</v>
      </c>
      <c r="N2" s="128" t="s">
        <v>91</v>
      </c>
      <c r="O2" s="128">
        <v>100</v>
      </c>
      <c r="P2" s="127">
        <v>1800</v>
      </c>
      <c r="Q2" s="167">
        <v>0.13</v>
      </c>
      <c r="R2" s="126">
        <f>IFERROR(P2/O2,"")</f>
        <v>18</v>
      </c>
      <c r="S2" s="163">
        <f>IFERROR(R2*(1+Q2),"")</f>
        <v>20.339999999999996</v>
      </c>
      <c r="T2" s="160">
        <f>IFERROR(INDEX(当年标准成本!$I:$I,MATCH(K2,当年标准成本!$C:$C,0),1),"")</f>
        <v>13</v>
      </c>
      <c r="U2" s="126">
        <f>IFERROR(O2*T2,"")</f>
        <v>1300</v>
      </c>
      <c r="V2" s="126">
        <f>IFERROR(P2-U2,"")</f>
        <v>500</v>
      </c>
      <c r="W2" s="124">
        <f>IFERROR(V2/P2,"")</f>
        <v>0.27777777777777779</v>
      </c>
      <c r="X2" s="125">
        <f t="shared" ref="X2:X65" si="0">IFERROR(IF(W2/SUM(W:W)=0,"",W2/SUM(W:W)),"")</f>
        <v>0.35082795397137245</v>
      </c>
    </row>
    <row r="3" spans="1:26" x14ac:dyDescent="0.3">
      <c r="A3" s="164">
        <v>44286</v>
      </c>
      <c r="B3" s="129" t="s">
        <v>68</v>
      </c>
      <c r="C3" s="165">
        <v>44316</v>
      </c>
      <c r="D3" s="128" t="s">
        <v>41</v>
      </c>
      <c r="E3" s="128" t="s">
        <v>44</v>
      </c>
      <c r="F3" s="166" t="s">
        <v>161</v>
      </c>
      <c r="G3" s="127" t="s">
        <v>47</v>
      </c>
      <c r="H3" s="127" t="s">
        <v>50</v>
      </c>
      <c r="I3" s="127" t="s">
        <v>53</v>
      </c>
      <c r="J3" s="127" t="s">
        <v>56</v>
      </c>
      <c r="K3" s="128" t="s">
        <v>3</v>
      </c>
      <c r="L3" s="128" t="s">
        <v>59</v>
      </c>
      <c r="M3" s="128" t="s">
        <v>62</v>
      </c>
      <c r="N3" s="128" t="s">
        <v>93</v>
      </c>
      <c r="O3" s="128">
        <v>124</v>
      </c>
      <c r="P3" s="127">
        <v>2000</v>
      </c>
      <c r="Q3" s="167">
        <v>0.13</v>
      </c>
      <c r="R3" s="126">
        <f t="shared" ref="R3:R9" si="1">IFERROR(P3/O3,"")</f>
        <v>16.129032258064516</v>
      </c>
      <c r="S3" s="163">
        <f t="shared" ref="S3:S9" si="2">IFERROR(R3*(1+Q3),"")</f>
        <v>18.2258064516129</v>
      </c>
      <c r="T3" s="160">
        <f>IFERROR(INDEX(当年标准成本!$I:$I,MATCH(K3,当年标准成本!$C:$C,0),1),"")</f>
        <v>13</v>
      </c>
      <c r="U3" s="126">
        <f t="shared" ref="U3:U9" si="3">IFERROR(O3*T3,"")</f>
        <v>1612</v>
      </c>
      <c r="V3" s="126">
        <f t="shared" ref="V3:V9" si="4">IFERROR(P3-U3,"")</f>
        <v>388</v>
      </c>
      <c r="W3" s="124">
        <f t="shared" ref="W3:W9" si="5">IFERROR(V3/P3,"")</f>
        <v>0.19400000000000001</v>
      </c>
      <c r="X3" s="125">
        <f t="shared" si="0"/>
        <v>0.2450182430536065</v>
      </c>
    </row>
    <row r="4" spans="1:26" x14ac:dyDescent="0.3">
      <c r="A4" s="164">
        <v>44345</v>
      </c>
      <c r="B4" s="129" t="s">
        <v>69</v>
      </c>
      <c r="C4" s="165">
        <v>44346</v>
      </c>
      <c r="D4" s="128" t="s">
        <v>42</v>
      </c>
      <c r="E4" s="128" t="s">
        <v>45</v>
      </c>
      <c r="F4" s="166" t="s">
        <v>159</v>
      </c>
      <c r="G4" s="127" t="s">
        <v>48</v>
      </c>
      <c r="H4" s="127" t="s">
        <v>51</v>
      </c>
      <c r="I4" s="127" t="s">
        <v>54</v>
      </c>
      <c r="J4" s="127" t="s">
        <v>57</v>
      </c>
      <c r="K4" s="128" t="s">
        <v>0</v>
      </c>
      <c r="L4" s="128" t="s">
        <v>60</v>
      </c>
      <c r="M4" s="128" t="s">
        <v>63</v>
      </c>
      <c r="N4" s="128" t="s">
        <v>93</v>
      </c>
      <c r="O4" s="128">
        <v>112</v>
      </c>
      <c r="P4" s="127">
        <v>1200</v>
      </c>
      <c r="Q4" s="167">
        <v>0.13</v>
      </c>
      <c r="R4" s="126">
        <f t="shared" si="1"/>
        <v>10.714285714285714</v>
      </c>
      <c r="S4" s="163">
        <f t="shared" si="2"/>
        <v>12.107142857142856</v>
      </c>
      <c r="T4" s="160">
        <f>IFERROR(INDEX(当年标准成本!$I:$I,MATCH(K4,当年标准成本!$C:$C,0),1),"")</f>
        <v>9</v>
      </c>
      <c r="U4" s="126">
        <f t="shared" si="3"/>
        <v>1008</v>
      </c>
      <c r="V4" s="126">
        <f t="shared" si="4"/>
        <v>192</v>
      </c>
      <c r="W4" s="124">
        <f t="shared" si="5"/>
        <v>0.16</v>
      </c>
      <c r="X4" s="125">
        <f t="shared" si="0"/>
        <v>0.20207690148751054</v>
      </c>
    </row>
    <row r="5" spans="1:26" x14ac:dyDescent="0.3">
      <c r="A5" s="164">
        <v>44345</v>
      </c>
      <c r="B5" s="129" t="s">
        <v>171</v>
      </c>
      <c r="C5" s="165">
        <v>44530</v>
      </c>
      <c r="D5" s="128" t="s">
        <v>42</v>
      </c>
      <c r="E5" s="128" t="s">
        <v>45</v>
      </c>
      <c r="F5" s="166" t="s">
        <v>159</v>
      </c>
      <c r="G5" s="127" t="s">
        <v>48</v>
      </c>
      <c r="H5" s="127" t="s">
        <v>51</v>
      </c>
      <c r="I5" s="127" t="s">
        <v>54</v>
      </c>
      <c r="J5" s="127" t="s">
        <v>57</v>
      </c>
      <c r="K5" s="128" t="s">
        <v>0</v>
      </c>
      <c r="L5" s="128" t="s">
        <v>60</v>
      </c>
      <c r="M5" s="128" t="s">
        <v>63</v>
      </c>
      <c r="N5" s="128" t="s">
        <v>93</v>
      </c>
      <c r="O5" s="128">
        <v>112</v>
      </c>
      <c r="P5" s="127">
        <v>1200</v>
      </c>
      <c r="Q5" s="167">
        <v>0.13</v>
      </c>
      <c r="R5" s="126">
        <f t="shared" si="1"/>
        <v>10.714285714285714</v>
      </c>
      <c r="S5" s="163">
        <f t="shared" si="2"/>
        <v>12.107142857142856</v>
      </c>
      <c r="T5" s="160">
        <f>IFERROR(INDEX(当年标准成本!$I:$I,MATCH(K5,当年标准成本!$C:$C,0),1),"")</f>
        <v>9</v>
      </c>
      <c r="U5" s="126">
        <f t="shared" si="3"/>
        <v>1008</v>
      </c>
      <c r="V5" s="126">
        <f t="shared" si="4"/>
        <v>192</v>
      </c>
      <c r="W5" s="124">
        <f t="shared" si="5"/>
        <v>0.16</v>
      </c>
      <c r="X5" s="125">
        <f t="shared" si="0"/>
        <v>0.20207690148751054</v>
      </c>
    </row>
    <row r="6" spans="1:26" x14ac:dyDescent="0.3">
      <c r="A6" s="164"/>
      <c r="B6" s="129"/>
      <c r="C6" s="165"/>
      <c r="D6" s="128"/>
      <c r="E6" s="128"/>
      <c r="F6" s="166"/>
      <c r="G6" s="127"/>
      <c r="H6" s="127"/>
      <c r="I6" s="127"/>
      <c r="J6" s="127"/>
      <c r="K6" s="128"/>
      <c r="L6" s="128"/>
      <c r="M6" s="128"/>
      <c r="N6" s="128"/>
      <c r="O6" s="128"/>
      <c r="P6" s="127"/>
      <c r="Q6" s="167"/>
      <c r="R6" s="126" t="str">
        <f t="shared" si="1"/>
        <v/>
      </c>
      <c r="S6" s="163" t="str">
        <f t="shared" si="2"/>
        <v/>
      </c>
      <c r="T6" s="160" t="str">
        <f>IFERROR(INDEX(当年标准成本!$I:$I,MATCH(K6,当年标准成本!$C:$C,0),1),"")</f>
        <v/>
      </c>
      <c r="U6" s="126" t="str">
        <f t="shared" si="3"/>
        <v/>
      </c>
      <c r="V6" s="126" t="str">
        <f t="shared" si="4"/>
        <v/>
      </c>
      <c r="W6" s="124" t="str">
        <f t="shared" si="5"/>
        <v/>
      </c>
      <c r="X6" s="125" t="str">
        <f t="shared" si="0"/>
        <v/>
      </c>
    </row>
    <row r="7" spans="1:26" x14ac:dyDescent="0.3">
      <c r="A7" s="164"/>
      <c r="B7" s="129"/>
      <c r="C7" s="165"/>
      <c r="D7" s="128"/>
      <c r="E7" s="128"/>
      <c r="F7" s="166"/>
      <c r="G7" s="127"/>
      <c r="H7" s="127"/>
      <c r="I7" s="127"/>
      <c r="J7" s="127"/>
      <c r="K7" s="128"/>
      <c r="L7" s="128"/>
      <c r="M7" s="128"/>
      <c r="N7" s="128"/>
      <c r="O7" s="128"/>
      <c r="P7" s="127"/>
      <c r="Q7" s="167"/>
      <c r="R7" s="126" t="str">
        <f t="shared" si="1"/>
        <v/>
      </c>
      <c r="S7" s="163" t="str">
        <f t="shared" si="2"/>
        <v/>
      </c>
      <c r="T7" s="160" t="str">
        <f>IFERROR(INDEX(当年标准成本!$I:$I,MATCH(K7,当年标准成本!$C:$C,0),1),"")</f>
        <v/>
      </c>
      <c r="U7" s="126" t="str">
        <f t="shared" si="3"/>
        <v/>
      </c>
      <c r="V7" s="126" t="str">
        <f t="shared" si="4"/>
        <v/>
      </c>
      <c r="W7" s="124" t="str">
        <f t="shared" si="5"/>
        <v/>
      </c>
      <c r="X7" s="125" t="str">
        <f t="shared" si="0"/>
        <v/>
      </c>
    </row>
    <row r="8" spans="1:26" x14ac:dyDescent="0.3">
      <c r="A8" s="164"/>
      <c r="B8" s="129"/>
      <c r="C8" s="165"/>
      <c r="D8" s="128"/>
      <c r="E8" s="128"/>
      <c r="F8" s="166"/>
      <c r="G8" s="127"/>
      <c r="H8" s="127"/>
      <c r="I8" s="127"/>
      <c r="J8" s="127"/>
      <c r="K8" s="128"/>
      <c r="L8" s="128"/>
      <c r="M8" s="128"/>
      <c r="N8" s="128"/>
      <c r="O8" s="128"/>
      <c r="P8" s="127"/>
      <c r="Q8" s="167"/>
      <c r="R8" s="126" t="str">
        <f t="shared" si="1"/>
        <v/>
      </c>
      <c r="S8" s="163" t="str">
        <f t="shared" si="2"/>
        <v/>
      </c>
      <c r="T8" s="160" t="str">
        <f>IFERROR(INDEX(当年标准成本!$I:$I,MATCH(K8,当年标准成本!$C:$C,0),1),"")</f>
        <v/>
      </c>
      <c r="U8" s="126" t="str">
        <f t="shared" si="3"/>
        <v/>
      </c>
      <c r="V8" s="126" t="str">
        <f t="shared" si="4"/>
        <v/>
      </c>
      <c r="W8" s="124" t="str">
        <f t="shared" si="5"/>
        <v/>
      </c>
      <c r="X8" s="125" t="str">
        <f t="shared" si="0"/>
        <v/>
      </c>
    </row>
    <row r="9" spans="1:26" x14ac:dyDescent="0.3">
      <c r="A9" s="129"/>
      <c r="B9" s="129"/>
      <c r="C9" s="128"/>
      <c r="D9" s="128"/>
      <c r="E9" s="128"/>
      <c r="F9" s="166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6" t="str">
        <f t="shared" si="1"/>
        <v/>
      </c>
      <c r="S9" s="163" t="str">
        <f t="shared" si="2"/>
        <v/>
      </c>
      <c r="T9" s="160" t="str">
        <f>IFERROR(INDEX(当年标准成本!$I:$I,MATCH(K9,当年标准成本!$C:$C,0),1),"")</f>
        <v/>
      </c>
      <c r="U9" s="126" t="str">
        <f t="shared" si="3"/>
        <v/>
      </c>
      <c r="V9" s="126" t="str">
        <f t="shared" si="4"/>
        <v/>
      </c>
      <c r="W9" s="124" t="str">
        <f t="shared" si="5"/>
        <v/>
      </c>
      <c r="X9" s="125" t="str">
        <f t="shared" si="0"/>
        <v/>
      </c>
    </row>
    <row r="10" spans="1:26" x14ac:dyDescent="0.3">
      <c r="A10" s="129"/>
      <c r="B10" s="129"/>
      <c r="C10" s="128"/>
      <c r="D10" s="128"/>
      <c r="E10" s="128"/>
      <c r="F10" s="166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6" t="str">
        <f t="shared" ref="R10:R73" si="6">IFERROR(P10/O10,"")</f>
        <v/>
      </c>
      <c r="S10" s="163" t="str">
        <f t="shared" ref="S10:S73" si="7">IFERROR(R10*(1+Q10),"")</f>
        <v/>
      </c>
      <c r="T10" s="160" t="str">
        <f>IFERROR(INDEX(当年标准成本!$I:$I,MATCH(K10,当年标准成本!$C:$C,0),1),"")</f>
        <v/>
      </c>
      <c r="U10" s="126" t="str">
        <f t="shared" ref="U10:U73" si="8">IFERROR(O10*T10,"")</f>
        <v/>
      </c>
      <c r="V10" s="126" t="str">
        <f t="shared" ref="V10:V73" si="9">IFERROR(P10-U10,"")</f>
        <v/>
      </c>
      <c r="W10" s="124" t="str">
        <f t="shared" ref="W10:W73" si="10">IFERROR(V10/P10,"")</f>
        <v/>
      </c>
      <c r="X10" s="125" t="str">
        <f t="shared" si="0"/>
        <v/>
      </c>
    </row>
    <row r="11" spans="1:26" x14ac:dyDescent="0.3">
      <c r="A11" s="129"/>
      <c r="B11" s="129"/>
      <c r="C11" s="128"/>
      <c r="D11" s="128"/>
      <c r="E11" s="128"/>
      <c r="F11" s="166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6" t="str">
        <f t="shared" si="6"/>
        <v/>
      </c>
      <c r="S11" s="163" t="str">
        <f t="shared" si="7"/>
        <v/>
      </c>
      <c r="T11" s="160" t="str">
        <f>IFERROR(INDEX(当年标准成本!$I:$I,MATCH(K11,当年标准成本!$C:$C,0),1),"")</f>
        <v/>
      </c>
      <c r="U11" s="126" t="str">
        <f t="shared" si="8"/>
        <v/>
      </c>
      <c r="V11" s="126" t="str">
        <f t="shared" si="9"/>
        <v/>
      </c>
      <c r="W11" s="124" t="str">
        <f t="shared" si="10"/>
        <v/>
      </c>
      <c r="X11" s="125" t="str">
        <f t="shared" si="0"/>
        <v/>
      </c>
    </row>
    <row r="12" spans="1:26" x14ac:dyDescent="0.3">
      <c r="A12" s="129"/>
      <c r="B12" s="129"/>
      <c r="C12" s="128"/>
      <c r="D12" s="128"/>
      <c r="E12" s="128"/>
      <c r="F12" s="166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6" t="str">
        <f t="shared" si="6"/>
        <v/>
      </c>
      <c r="S12" s="163" t="str">
        <f t="shared" si="7"/>
        <v/>
      </c>
      <c r="T12" s="160" t="str">
        <f>IFERROR(INDEX(当年标准成本!$I:$I,MATCH(K12,当年标准成本!$C:$C,0),1),"")</f>
        <v/>
      </c>
      <c r="U12" s="126" t="str">
        <f t="shared" si="8"/>
        <v/>
      </c>
      <c r="V12" s="126" t="str">
        <f t="shared" si="9"/>
        <v/>
      </c>
      <c r="W12" s="124" t="str">
        <f t="shared" si="10"/>
        <v/>
      </c>
      <c r="X12" s="125" t="str">
        <f t="shared" si="0"/>
        <v/>
      </c>
    </row>
    <row r="13" spans="1:26" x14ac:dyDescent="0.3">
      <c r="A13" s="129"/>
      <c r="B13" s="129"/>
      <c r="C13" s="128"/>
      <c r="D13" s="128"/>
      <c r="E13" s="128"/>
      <c r="F13" s="166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6" t="str">
        <f t="shared" si="6"/>
        <v/>
      </c>
      <c r="S13" s="163" t="str">
        <f t="shared" si="7"/>
        <v/>
      </c>
      <c r="T13" s="160" t="str">
        <f>IFERROR(INDEX(当年标准成本!$I:$I,MATCH(K13,当年标准成本!$C:$C,0),1),"")</f>
        <v/>
      </c>
      <c r="U13" s="126" t="str">
        <f t="shared" si="8"/>
        <v/>
      </c>
      <c r="V13" s="126" t="str">
        <f t="shared" si="9"/>
        <v/>
      </c>
      <c r="W13" s="124" t="str">
        <f t="shared" si="10"/>
        <v/>
      </c>
      <c r="X13" s="125" t="str">
        <f t="shared" si="0"/>
        <v/>
      </c>
    </row>
    <row r="14" spans="1:26" x14ac:dyDescent="0.3">
      <c r="A14" s="129"/>
      <c r="B14" s="129"/>
      <c r="C14" s="128"/>
      <c r="D14" s="128"/>
      <c r="E14" s="128"/>
      <c r="F14" s="166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6" t="str">
        <f t="shared" si="6"/>
        <v/>
      </c>
      <c r="S14" s="163" t="str">
        <f t="shared" si="7"/>
        <v/>
      </c>
      <c r="T14" s="160" t="str">
        <f>IFERROR(INDEX(当年标准成本!$I:$I,MATCH(K14,当年标准成本!$C:$C,0),1),"")</f>
        <v/>
      </c>
      <c r="U14" s="126" t="str">
        <f t="shared" si="8"/>
        <v/>
      </c>
      <c r="V14" s="126" t="str">
        <f t="shared" si="9"/>
        <v/>
      </c>
      <c r="W14" s="124" t="str">
        <f t="shared" si="10"/>
        <v/>
      </c>
      <c r="X14" s="125" t="str">
        <f t="shared" si="0"/>
        <v/>
      </c>
    </row>
    <row r="15" spans="1:26" x14ac:dyDescent="0.3">
      <c r="A15" s="129"/>
      <c r="B15" s="129"/>
      <c r="C15" s="128"/>
      <c r="D15" s="128"/>
      <c r="E15" s="128"/>
      <c r="F15" s="166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6" t="str">
        <f t="shared" si="6"/>
        <v/>
      </c>
      <c r="S15" s="163" t="str">
        <f t="shared" si="7"/>
        <v/>
      </c>
      <c r="T15" s="160" t="str">
        <f>IFERROR(INDEX(当年标准成本!$I:$I,MATCH(K15,当年标准成本!$C:$C,0),1),"")</f>
        <v/>
      </c>
      <c r="U15" s="126" t="str">
        <f t="shared" si="8"/>
        <v/>
      </c>
      <c r="V15" s="126" t="str">
        <f t="shared" si="9"/>
        <v/>
      </c>
      <c r="W15" s="124" t="str">
        <f t="shared" si="10"/>
        <v/>
      </c>
      <c r="X15" s="125" t="str">
        <f t="shared" si="0"/>
        <v/>
      </c>
    </row>
    <row r="16" spans="1:26" x14ac:dyDescent="0.3">
      <c r="A16" s="129"/>
      <c r="B16" s="129"/>
      <c r="C16" s="128"/>
      <c r="D16" s="128"/>
      <c r="E16" s="128"/>
      <c r="F16" s="166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6" t="str">
        <f t="shared" si="6"/>
        <v/>
      </c>
      <c r="S16" s="163" t="str">
        <f t="shared" si="7"/>
        <v/>
      </c>
      <c r="T16" s="160" t="str">
        <f>IFERROR(INDEX(当年标准成本!$I:$I,MATCH(K16,当年标准成本!$C:$C,0),1),"")</f>
        <v/>
      </c>
      <c r="U16" s="126" t="str">
        <f t="shared" si="8"/>
        <v/>
      </c>
      <c r="V16" s="126" t="str">
        <f t="shared" si="9"/>
        <v/>
      </c>
      <c r="W16" s="124" t="str">
        <f t="shared" si="10"/>
        <v/>
      </c>
      <c r="X16" s="125" t="str">
        <f t="shared" si="0"/>
        <v/>
      </c>
    </row>
    <row r="17" spans="1:24" x14ac:dyDescent="0.3">
      <c r="A17" s="129"/>
      <c r="B17" s="129"/>
      <c r="C17" s="128"/>
      <c r="D17" s="128"/>
      <c r="E17" s="128"/>
      <c r="F17" s="166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6" t="str">
        <f t="shared" si="6"/>
        <v/>
      </c>
      <c r="S17" s="163" t="str">
        <f t="shared" si="7"/>
        <v/>
      </c>
      <c r="T17" s="160" t="str">
        <f>IFERROR(INDEX(当年标准成本!$I:$I,MATCH(K17,当年标准成本!$C:$C,0),1),"")</f>
        <v/>
      </c>
      <c r="U17" s="126" t="str">
        <f t="shared" si="8"/>
        <v/>
      </c>
      <c r="V17" s="126" t="str">
        <f t="shared" si="9"/>
        <v/>
      </c>
      <c r="W17" s="124" t="str">
        <f t="shared" si="10"/>
        <v/>
      </c>
      <c r="X17" s="125" t="str">
        <f t="shared" si="0"/>
        <v/>
      </c>
    </row>
    <row r="18" spans="1:24" x14ac:dyDescent="0.3">
      <c r="A18" s="129"/>
      <c r="B18" s="129"/>
      <c r="C18" s="128"/>
      <c r="D18" s="128"/>
      <c r="E18" s="128"/>
      <c r="F18" s="166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6" t="str">
        <f t="shared" si="6"/>
        <v/>
      </c>
      <c r="S18" s="163" t="str">
        <f t="shared" si="7"/>
        <v/>
      </c>
      <c r="T18" s="160" t="str">
        <f>IFERROR(INDEX(当年标准成本!$I:$I,MATCH(K18,当年标准成本!$C:$C,0),1),"")</f>
        <v/>
      </c>
      <c r="U18" s="126" t="str">
        <f t="shared" si="8"/>
        <v/>
      </c>
      <c r="V18" s="126" t="str">
        <f t="shared" si="9"/>
        <v/>
      </c>
      <c r="W18" s="124" t="str">
        <f t="shared" si="10"/>
        <v/>
      </c>
      <c r="X18" s="125" t="str">
        <f t="shared" si="0"/>
        <v/>
      </c>
    </row>
    <row r="19" spans="1:24" x14ac:dyDescent="0.3">
      <c r="A19" s="129"/>
      <c r="B19" s="129"/>
      <c r="C19" s="128"/>
      <c r="D19" s="128"/>
      <c r="E19" s="128"/>
      <c r="F19" s="166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6" t="str">
        <f t="shared" si="6"/>
        <v/>
      </c>
      <c r="S19" s="163" t="str">
        <f t="shared" si="7"/>
        <v/>
      </c>
      <c r="T19" s="160" t="str">
        <f>IFERROR(INDEX(当年标准成本!$I:$I,MATCH(K19,当年标准成本!$C:$C,0),1),"")</f>
        <v/>
      </c>
      <c r="U19" s="126" t="str">
        <f t="shared" si="8"/>
        <v/>
      </c>
      <c r="V19" s="126" t="str">
        <f t="shared" si="9"/>
        <v/>
      </c>
      <c r="W19" s="124" t="str">
        <f t="shared" si="10"/>
        <v/>
      </c>
      <c r="X19" s="125" t="str">
        <f t="shared" si="0"/>
        <v/>
      </c>
    </row>
    <row r="20" spans="1:24" x14ac:dyDescent="0.3">
      <c r="A20" s="129"/>
      <c r="B20" s="129"/>
      <c r="C20" s="128"/>
      <c r="D20" s="128"/>
      <c r="E20" s="128"/>
      <c r="F20" s="166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6" t="str">
        <f t="shared" si="6"/>
        <v/>
      </c>
      <c r="S20" s="163" t="str">
        <f t="shared" si="7"/>
        <v/>
      </c>
      <c r="T20" s="160" t="str">
        <f>IFERROR(INDEX(当年标准成本!$I:$I,MATCH(K20,当年标准成本!$C:$C,0),1),"")</f>
        <v/>
      </c>
      <c r="U20" s="126" t="str">
        <f t="shared" si="8"/>
        <v/>
      </c>
      <c r="V20" s="126" t="str">
        <f t="shared" si="9"/>
        <v/>
      </c>
      <c r="W20" s="124" t="str">
        <f t="shared" si="10"/>
        <v/>
      </c>
      <c r="X20" s="125" t="str">
        <f t="shared" si="0"/>
        <v/>
      </c>
    </row>
    <row r="21" spans="1:24" x14ac:dyDescent="0.3">
      <c r="A21" s="129"/>
      <c r="B21" s="129"/>
      <c r="C21" s="128"/>
      <c r="D21" s="128"/>
      <c r="E21" s="128"/>
      <c r="F21" s="166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6" t="str">
        <f t="shared" si="6"/>
        <v/>
      </c>
      <c r="S21" s="163" t="str">
        <f t="shared" si="7"/>
        <v/>
      </c>
      <c r="T21" s="160" t="str">
        <f>IFERROR(INDEX(当年标准成本!$I:$I,MATCH(K21,当年标准成本!$C:$C,0),1),"")</f>
        <v/>
      </c>
      <c r="U21" s="126" t="str">
        <f t="shared" si="8"/>
        <v/>
      </c>
      <c r="V21" s="126" t="str">
        <f t="shared" si="9"/>
        <v/>
      </c>
      <c r="W21" s="124" t="str">
        <f t="shared" si="10"/>
        <v/>
      </c>
      <c r="X21" s="125" t="str">
        <f t="shared" si="0"/>
        <v/>
      </c>
    </row>
    <row r="22" spans="1:24" x14ac:dyDescent="0.3">
      <c r="A22" s="129"/>
      <c r="B22" s="129"/>
      <c r="C22" s="128"/>
      <c r="D22" s="128"/>
      <c r="E22" s="128"/>
      <c r="F22" s="166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6" t="str">
        <f t="shared" si="6"/>
        <v/>
      </c>
      <c r="S22" s="163" t="str">
        <f t="shared" si="7"/>
        <v/>
      </c>
      <c r="T22" s="160" t="str">
        <f>IFERROR(INDEX(当年标准成本!$I:$I,MATCH(K22,当年标准成本!$C:$C,0),1),"")</f>
        <v/>
      </c>
      <c r="U22" s="126" t="str">
        <f t="shared" si="8"/>
        <v/>
      </c>
      <c r="V22" s="126" t="str">
        <f t="shared" si="9"/>
        <v/>
      </c>
      <c r="W22" s="124" t="str">
        <f t="shared" si="10"/>
        <v/>
      </c>
      <c r="X22" s="125" t="str">
        <f t="shared" si="0"/>
        <v/>
      </c>
    </row>
    <row r="23" spans="1:24" x14ac:dyDescent="0.3">
      <c r="A23" s="129"/>
      <c r="B23" s="129"/>
      <c r="C23" s="128"/>
      <c r="D23" s="128"/>
      <c r="E23" s="128"/>
      <c r="F23" s="166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6" t="str">
        <f t="shared" si="6"/>
        <v/>
      </c>
      <c r="S23" s="163" t="str">
        <f t="shared" si="7"/>
        <v/>
      </c>
      <c r="T23" s="160" t="str">
        <f>IFERROR(INDEX(当年标准成本!$I:$I,MATCH(K23,当年标准成本!$C:$C,0),1),"")</f>
        <v/>
      </c>
      <c r="U23" s="126" t="str">
        <f t="shared" si="8"/>
        <v/>
      </c>
      <c r="V23" s="126" t="str">
        <f t="shared" si="9"/>
        <v/>
      </c>
      <c r="W23" s="124" t="str">
        <f t="shared" si="10"/>
        <v/>
      </c>
      <c r="X23" s="125" t="str">
        <f t="shared" si="0"/>
        <v/>
      </c>
    </row>
    <row r="24" spans="1:24" x14ac:dyDescent="0.3">
      <c r="A24" s="129"/>
      <c r="B24" s="129"/>
      <c r="C24" s="128"/>
      <c r="D24" s="128"/>
      <c r="E24" s="128"/>
      <c r="F24" s="166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6" t="str">
        <f t="shared" si="6"/>
        <v/>
      </c>
      <c r="S24" s="163" t="str">
        <f t="shared" si="7"/>
        <v/>
      </c>
      <c r="T24" s="160" t="str">
        <f>IFERROR(INDEX(当年标准成本!$I:$I,MATCH(K24,当年标准成本!$C:$C,0),1),"")</f>
        <v/>
      </c>
      <c r="U24" s="126" t="str">
        <f t="shared" si="8"/>
        <v/>
      </c>
      <c r="V24" s="126" t="str">
        <f t="shared" si="9"/>
        <v/>
      </c>
      <c r="W24" s="124" t="str">
        <f t="shared" si="10"/>
        <v/>
      </c>
      <c r="X24" s="125" t="str">
        <f t="shared" si="0"/>
        <v/>
      </c>
    </row>
    <row r="25" spans="1:24" x14ac:dyDescent="0.3">
      <c r="A25" s="129"/>
      <c r="B25" s="129"/>
      <c r="C25" s="128"/>
      <c r="D25" s="128"/>
      <c r="E25" s="128"/>
      <c r="F25" s="166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6" t="str">
        <f t="shared" si="6"/>
        <v/>
      </c>
      <c r="S25" s="163" t="str">
        <f t="shared" si="7"/>
        <v/>
      </c>
      <c r="T25" s="160" t="str">
        <f>IFERROR(INDEX(当年标准成本!$I:$I,MATCH(K25,当年标准成本!$C:$C,0),1),"")</f>
        <v/>
      </c>
      <c r="U25" s="126" t="str">
        <f t="shared" si="8"/>
        <v/>
      </c>
      <c r="V25" s="126" t="str">
        <f t="shared" si="9"/>
        <v/>
      </c>
      <c r="W25" s="124" t="str">
        <f t="shared" si="10"/>
        <v/>
      </c>
      <c r="X25" s="125" t="str">
        <f t="shared" si="0"/>
        <v/>
      </c>
    </row>
    <row r="26" spans="1:24" x14ac:dyDescent="0.3">
      <c r="A26" s="129"/>
      <c r="B26" s="129"/>
      <c r="C26" s="128"/>
      <c r="D26" s="128"/>
      <c r="E26" s="128"/>
      <c r="F26" s="166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6" t="str">
        <f t="shared" si="6"/>
        <v/>
      </c>
      <c r="S26" s="163" t="str">
        <f t="shared" si="7"/>
        <v/>
      </c>
      <c r="T26" s="160" t="str">
        <f>IFERROR(INDEX(当年标准成本!$I:$I,MATCH(K26,当年标准成本!$C:$C,0),1),"")</f>
        <v/>
      </c>
      <c r="U26" s="126" t="str">
        <f t="shared" si="8"/>
        <v/>
      </c>
      <c r="V26" s="126" t="str">
        <f t="shared" si="9"/>
        <v/>
      </c>
      <c r="W26" s="124" t="str">
        <f t="shared" si="10"/>
        <v/>
      </c>
      <c r="X26" s="125" t="str">
        <f t="shared" si="0"/>
        <v/>
      </c>
    </row>
    <row r="27" spans="1:24" x14ac:dyDescent="0.3">
      <c r="A27" s="129"/>
      <c r="B27" s="129"/>
      <c r="C27" s="128"/>
      <c r="D27" s="128"/>
      <c r="E27" s="128"/>
      <c r="F27" s="166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6" t="str">
        <f t="shared" si="6"/>
        <v/>
      </c>
      <c r="S27" s="163" t="str">
        <f t="shared" si="7"/>
        <v/>
      </c>
      <c r="T27" s="160" t="str">
        <f>IFERROR(INDEX(当年标准成本!$I:$I,MATCH(K27,当年标准成本!$C:$C,0),1),"")</f>
        <v/>
      </c>
      <c r="U27" s="126" t="str">
        <f t="shared" si="8"/>
        <v/>
      </c>
      <c r="V27" s="126" t="str">
        <f t="shared" si="9"/>
        <v/>
      </c>
      <c r="W27" s="124" t="str">
        <f t="shared" si="10"/>
        <v/>
      </c>
      <c r="X27" s="125" t="str">
        <f t="shared" si="0"/>
        <v/>
      </c>
    </row>
    <row r="28" spans="1:24" x14ac:dyDescent="0.3">
      <c r="A28" s="129"/>
      <c r="B28" s="129"/>
      <c r="C28" s="128"/>
      <c r="D28" s="128"/>
      <c r="E28" s="128"/>
      <c r="F28" s="166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6" t="str">
        <f t="shared" si="6"/>
        <v/>
      </c>
      <c r="S28" s="163" t="str">
        <f t="shared" si="7"/>
        <v/>
      </c>
      <c r="T28" s="160" t="str">
        <f>IFERROR(INDEX(当年标准成本!$I:$I,MATCH(K28,当年标准成本!$C:$C,0),1),"")</f>
        <v/>
      </c>
      <c r="U28" s="126" t="str">
        <f t="shared" si="8"/>
        <v/>
      </c>
      <c r="V28" s="126" t="str">
        <f t="shared" si="9"/>
        <v/>
      </c>
      <c r="W28" s="124" t="str">
        <f t="shared" si="10"/>
        <v/>
      </c>
      <c r="X28" s="125" t="str">
        <f t="shared" si="0"/>
        <v/>
      </c>
    </row>
    <row r="29" spans="1:24" x14ac:dyDescent="0.3">
      <c r="A29" s="129"/>
      <c r="B29" s="129"/>
      <c r="C29" s="128"/>
      <c r="D29" s="128"/>
      <c r="E29" s="128"/>
      <c r="F29" s="166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6" t="str">
        <f t="shared" si="6"/>
        <v/>
      </c>
      <c r="S29" s="163" t="str">
        <f t="shared" si="7"/>
        <v/>
      </c>
      <c r="T29" s="160" t="str">
        <f>IFERROR(INDEX(当年标准成本!$I:$I,MATCH(K29,当年标准成本!$C:$C,0),1),"")</f>
        <v/>
      </c>
      <c r="U29" s="126" t="str">
        <f t="shared" si="8"/>
        <v/>
      </c>
      <c r="V29" s="126" t="str">
        <f t="shared" si="9"/>
        <v/>
      </c>
      <c r="W29" s="124" t="str">
        <f t="shared" si="10"/>
        <v/>
      </c>
      <c r="X29" s="125" t="str">
        <f t="shared" si="0"/>
        <v/>
      </c>
    </row>
    <row r="30" spans="1:24" x14ac:dyDescent="0.3">
      <c r="A30" s="129"/>
      <c r="B30" s="129"/>
      <c r="C30" s="128"/>
      <c r="D30" s="128"/>
      <c r="E30" s="128"/>
      <c r="F30" s="166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6" t="str">
        <f t="shared" si="6"/>
        <v/>
      </c>
      <c r="S30" s="163" t="str">
        <f t="shared" si="7"/>
        <v/>
      </c>
      <c r="T30" s="160" t="str">
        <f>IFERROR(INDEX(当年标准成本!$I:$I,MATCH(K30,当年标准成本!$C:$C,0),1),"")</f>
        <v/>
      </c>
      <c r="U30" s="126" t="str">
        <f t="shared" si="8"/>
        <v/>
      </c>
      <c r="V30" s="126" t="str">
        <f t="shared" si="9"/>
        <v/>
      </c>
      <c r="W30" s="124" t="str">
        <f t="shared" si="10"/>
        <v/>
      </c>
      <c r="X30" s="125" t="str">
        <f t="shared" si="0"/>
        <v/>
      </c>
    </row>
    <row r="31" spans="1:24" x14ac:dyDescent="0.3">
      <c r="A31" s="129"/>
      <c r="B31" s="129"/>
      <c r="C31" s="128"/>
      <c r="D31" s="128"/>
      <c r="E31" s="128"/>
      <c r="F31" s="166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6" t="str">
        <f t="shared" si="6"/>
        <v/>
      </c>
      <c r="S31" s="163" t="str">
        <f t="shared" si="7"/>
        <v/>
      </c>
      <c r="T31" s="160" t="str">
        <f>IFERROR(INDEX(当年标准成本!$I:$I,MATCH(K31,当年标准成本!$C:$C,0),1),"")</f>
        <v/>
      </c>
      <c r="U31" s="126" t="str">
        <f t="shared" si="8"/>
        <v/>
      </c>
      <c r="V31" s="126" t="str">
        <f t="shared" si="9"/>
        <v/>
      </c>
      <c r="W31" s="124" t="str">
        <f t="shared" si="10"/>
        <v/>
      </c>
      <c r="X31" s="125" t="str">
        <f t="shared" si="0"/>
        <v/>
      </c>
    </row>
    <row r="32" spans="1:24" x14ac:dyDescent="0.3">
      <c r="A32" s="129"/>
      <c r="B32" s="129"/>
      <c r="C32" s="128"/>
      <c r="D32" s="128"/>
      <c r="E32" s="128"/>
      <c r="F32" s="166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6" t="str">
        <f t="shared" si="6"/>
        <v/>
      </c>
      <c r="S32" s="163" t="str">
        <f t="shared" si="7"/>
        <v/>
      </c>
      <c r="T32" s="160" t="str">
        <f>IFERROR(INDEX(当年标准成本!$I:$I,MATCH(K32,当年标准成本!$C:$C,0),1),"")</f>
        <v/>
      </c>
      <c r="U32" s="126" t="str">
        <f t="shared" si="8"/>
        <v/>
      </c>
      <c r="V32" s="126" t="str">
        <f t="shared" si="9"/>
        <v/>
      </c>
      <c r="W32" s="124" t="str">
        <f t="shared" si="10"/>
        <v/>
      </c>
      <c r="X32" s="125" t="str">
        <f t="shared" si="0"/>
        <v/>
      </c>
    </row>
    <row r="33" spans="1:24" x14ac:dyDescent="0.3">
      <c r="A33" s="129"/>
      <c r="B33" s="129"/>
      <c r="C33" s="128"/>
      <c r="D33" s="128"/>
      <c r="E33" s="128"/>
      <c r="F33" s="166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6" t="str">
        <f t="shared" si="6"/>
        <v/>
      </c>
      <c r="S33" s="163" t="str">
        <f t="shared" si="7"/>
        <v/>
      </c>
      <c r="T33" s="160" t="str">
        <f>IFERROR(INDEX(当年标准成本!$I:$I,MATCH(K33,当年标准成本!$C:$C,0),1),"")</f>
        <v/>
      </c>
      <c r="U33" s="126" t="str">
        <f t="shared" si="8"/>
        <v/>
      </c>
      <c r="V33" s="126" t="str">
        <f t="shared" si="9"/>
        <v/>
      </c>
      <c r="W33" s="124" t="str">
        <f t="shared" si="10"/>
        <v/>
      </c>
      <c r="X33" s="125" t="str">
        <f t="shared" si="0"/>
        <v/>
      </c>
    </row>
    <row r="34" spans="1:24" x14ac:dyDescent="0.3">
      <c r="A34" s="129"/>
      <c r="B34" s="129"/>
      <c r="C34" s="128"/>
      <c r="D34" s="128"/>
      <c r="E34" s="128"/>
      <c r="F34" s="166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6" t="str">
        <f t="shared" si="6"/>
        <v/>
      </c>
      <c r="S34" s="163" t="str">
        <f t="shared" si="7"/>
        <v/>
      </c>
      <c r="T34" s="160" t="str">
        <f>IFERROR(INDEX(当年标准成本!$I:$I,MATCH(K34,当年标准成本!$C:$C,0),1),"")</f>
        <v/>
      </c>
      <c r="U34" s="126" t="str">
        <f t="shared" si="8"/>
        <v/>
      </c>
      <c r="V34" s="126" t="str">
        <f t="shared" si="9"/>
        <v/>
      </c>
      <c r="W34" s="124" t="str">
        <f t="shared" si="10"/>
        <v/>
      </c>
      <c r="X34" s="125" t="str">
        <f t="shared" si="0"/>
        <v/>
      </c>
    </row>
    <row r="35" spans="1:24" x14ac:dyDescent="0.3">
      <c r="A35" s="129"/>
      <c r="B35" s="129"/>
      <c r="C35" s="128"/>
      <c r="D35" s="128"/>
      <c r="E35" s="128"/>
      <c r="F35" s="166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6" t="str">
        <f t="shared" si="6"/>
        <v/>
      </c>
      <c r="S35" s="163" t="str">
        <f t="shared" si="7"/>
        <v/>
      </c>
      <c r="T35" s="160" t="str">
        <f>IFERROR(INDEX(当年标准成本!$I:$I,MATCH(K35,当年标准成本!$C:$C,0),1),"")</f>
        <v/>
      </c>
      <c r="U35" s="126" t="str">
        <f t="shared" si="8"/>
        <v/>
      </c>
      <c r="V35" s="126" t="str">
        <f t="shared" si="9"/>
        <v/>
      </c>
      <c r="W35" s="124" t="str">
        <f t="shared" si="10"/>
        <v/>
      </c>
      <c r="X35" s="125" t="str">
        <f t="shared" si="0"/>
        <v/>
      </c>
    </row>
    <row r="36" spans="1:24" x14ac:dyDescent="0.3">
      <c r="A36" s="129"/>
      <c r="B36" s="129"/>
      <c r="C36" s="128"/>
      <c r="D36" s="128"/>
      <c r="E36" s="128"/>
      <c r="F36" s="166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6" t="str">
        <f t="shared" si="6"/>
        <v/>
      </c>
      <c r="S36" s="163" t="str">
        <f t="shared" si="7"/>
        <v/>
      </c>
      <c r="T36" s="160" t="str">
        <f>IFERROR(INDEX(当年标准成本!$I:$I,MATCH(K36,当年标准成本!$C:$C,0),1),"")</f>
        <v/>
      </c>
      <c r="U36" s="126" t="str">
        <f t="shared" si="8"/>
        <v/>
      </c>
      <c r="V36" s="126" t="str">
        <f t="shared" si="9"/>
        <v/>
      </c>
      <c r="W36" s="124" t="str">
        <f t="shared" si="10"/>
        <v/>
      </c>
      <c r="X36" s="125" t="str">
        <f t="shared" si="0"/>
        <v/>
      </c>
    </row>
    <row r="37" spans="1:24" x14ac:dyDescent="0.3">
      <c r="A37" s="129"/>
      <c r="B37" s="129"/>
      <c r="C37" s="128"/>
      <c r="D37" s="128"/>
      <c r="E37" s="128"/>
      <c r="F37" s="166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6" t="str">
        <f t="shared" si="6"/>
        <v/>
      </c>
      <c r="S37" s="163" t="str">
        <f t="shared" si="7"/>
        <v/>
      </c>
      <c r="T37" s="160" t="str">
        <f>IFERROR(INDEX(当年标准成本!$I:$I,MATCH(K37,当年标准成本!$C:$C,0),1),"")</f>
        <v/>
      </c>
      <c r="U37" s="126" t="str">
        <f t="shared" si="8"/>
        <v/>
      </c>
      <c r="V37" s="126" t="str">
        <f t="shared" si="9"/>
        <v/>
      </c>
      <c r="W37" s="124" t="str">
        <f t="shared" si="10"/>
        <v/>
      </c>
      <c r="X37" s="125" t="str">
        <f t="shared" si="0"/>
        <v/>
      </c>
    </row>
    <row r="38" spans="1:24" x14ac:dyDescent="0.3">
      <c r="A38" s="129"/>
      <c r="B38" s="129"/>
      <c r="C38" s="128"/>
      <c r="D38" s="128"/>
      <c r="E38" s="128"/>
      <c r="F38" s="166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6" t="str">
        <f t="shared" si="6"/>
        <v/>
      </c>
      <c r="S38" s="163" t="str">
        <f t="shared" si="7"/>
        <v/>
      </c>
      <c r="T38" s="160" t="str">
        <f>IFERROR(INDEX(当年标准成本!$I:$I,MATCH(K38,当年标准成本!$C:$C,0),1),"")</f>
        <v/>
      </c>
      <c r="U38" s="126" t="str">
        <f t="shared" si="8"/>
        <v/>
      </c>
      <c r="V38" s="126" t="str">
        <f t="shared" si="9"/>
        <v/>
      </c>
      <c r="W38" s="124" t="str">
        <f t="shared" si="10"/>
        <v/>
      </c>
      <c r="X38" s="125" t="str">
        <f t="shared" si="0"/>
        <v/>
      </c>
    </row>
    <row r="39" spans="1:24" x14ac:dyDescent="0.3">
      <c r="A39" s="129"/>
      <c r="B39" s="129"/>
      <c r="C39" s="128"/>
      <c r="D39" s="128"/>
      <c r="E39" s="128"/>
      <c r="F39" s="166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6" t="str">
        <f t="shared" si="6"/>
        <v/>
      </c>
      <c r="S39" s="163" t="str">
        <f t="shared" si="7"/>
        <v/>
      </c>
      <c r="T39" s="160" t="str">
        <f>IFERROR(INDEX(当年标准成本!$I:$I,MATCH(K39,当年标准成本!$C:$C,0),1),"")</f>
        <v/>
      </c>
      <c r="U39" s="126" t="str">
        <f t="shared" si="8"/>
        <v/>
      </c>
      <c r="V39" s="126" t="str">
        <f t="shared" si="9"/>
        <v/>
      </c>
      <c r="W39" s="124" t="str">
        <f t="shared" si="10"/>
        <v/>
      </c>
      <c r="X39" s="125" t="str">
        <f t="shared" si="0"/>
        <v/>
      </c>
    </row>
    <row r="40" spans="1:24" x14ac:dyDescent="0.3">
      <c r="A40" s="129"/>
      <c r="B40" s="129"/>
      <c r="C40" s="128"/>
      <c r="D40" s="128"/>
      <c r="E40" s="128"/>
      <c r="F40" s="166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6" t="str">
        <f t="shared" si="6"/>
        <v/>
      </c>
      <c r="S40" s="163" t="str">
        <f t="shared" si="7"/>
        <v/>
      </c>
      <c r="T40" s="160" t="str">
        <f>IFERROR(INDEX(当年标准成本!$I:$I,MATCH(K40,当年标准成本!$C:$C,0),1),"")</f>
        <v/>
      </c>
      <c r="U40" s="126" t="str">
        <f t="shared" si="8"/>
        <v/>
      </c>
      <c r="V40" s="126" t="str">
        <f t="shared" si="9"/>
        <v/>
      </c>
      <c r="W40" s="124" t="str">
        <f t="shared" si="10"/>
        <v/>
      </c>
      <c r="X40" s="125" t="str">
        <f t="shared" si="0"/>
        <v/>
      </c>
    </row>
    <row r="41" spans="1:24" x14ac:dyDescent="0.3">
      <c r="A41" s="129"/>
      <c r="B41" s="129"/>
      <c r="C41" s="128"/>
      <c r="D41" s="128"/>
      <c r="E41" s="128"/>
      <c r="F41" s="166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6" t="str">
        <f t="shared" si="6"/>
        <v/>
      </c>
      <c r="S41" s="163" t="str">
        <f t="shared" si="7"/>
        <v/>
      </c>
      <c r="T41" s="160" t="str">
        <f>IFERROR(INDEX(当年标准成本!$I:$I,MATCH(K41,当年标准成本!$C:$C,0),1),"")</f>
        <v/>
      </c>
      <c r="U41" s="126" t="str">
        <f t="shared" si="8"/>
        <v/>
      </c>
      <c r="V41" s="126" t="str">
        <f t="shared" si="9"/>
        <v/>
      </c>
      <c r="W41" s="124" t="str">
        <f t="shared" si="10"/>
        <v/>
      </c>
      <c r="X41" s="125" t="str">
        <f t="shared" si="0"/>
        <v/>
      </c>
    </row>
    <row r="42" spans="1:24" x14ac:dyDescent="0.3">
      <c r="A42" s="129"/>
      <c r="B42" s="129"/>
      <c r="C42" s="128"/>
      <c r="D42" s="128"/>
      <c r="E42" s="128"/>
      <c r="F42" s="166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6" t="str">
        <f t="shared" si="6"/>
        <v/>
      </c>
      <c r="S42" s="163" t="str">
        <f t="shared" si="7"/>
        <v/>
      </c>
      <c r="T42" s="160" t="str">
        <f>IFERROR(INDEX(当年标准成本!$I:$I,MATCH(K42,当年标准成本!$C:$C,0),1),"")</f>
        <v/>
      </c>
      <c r="U42" s="126" t="str">
        <f t="shared" si="8"/>
        <v/>
      </c>
      <c r="V42" s="126" t="str">
        <f t="shared" si="9"/>
        <v/>
      </c>
      <c r="W42" s="124" t="str">
        <f t="shared" si="10"/>
        <v/>
      </c>
      <c r="X42" s="125" t="str">
        <f t="shared" si="0"/>
        <v/>
      </c>
    </row>
    <row r="43" spans="1:24" x14ac:dyDescent="0.3">
      <c r="A43" s="129"/>
      <c r="B43" s="129"/>
      <c r="C43" s="128"/>
      <c r="D43" s="128"/>
      <c r="E43" s="128"/>
      <c r="F43" s="166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6" t="str">
        <f t="shared" si="6"/>
        <v/>
      </c>
      <c r="S43" s="163" t="str">
        <f t="shared" si="7"/>
        <v/>
      </c>
      <c r="T43" s="160" t="str">
        <f>IFERROR(INDEX(当年标准成本!$I:$I,MATCH(K43,当年标准成本!$C:$C,0),1),"")</f>
        <v/>
      </c>
      <c r="U43" s="126" t="str">
        <f t="shared" si="8"/>
        <v/>
      </c>
      <c r="V43" s="126" t="str">
        <f t="shared" si="9"/>
        <v/>
      </c>
      <c r="W43" s="124" t="str">
        <f t="shared" si="10"/>
        <v/>
      </c>
      <c r="X43" s="125" t="str">
        <f t="shared" si="0"/>
        <v/>
      </c>
    </row>
    <row r="44" spans="1:24" x14ac:dyDescent="0.3">
      <c r="A44" s="129"/>
      <c r="B44" s="129"/>
      <c r="C44" s="128"/>
      <c r="D44" s="128"/>
      <c r="E44" s="128"/>
      <c r="F44" s="166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6" t="str">
        <f t="shared" si="6"/>
        <v/>
      </c>
      <c r="S44" s="163" t="str">
        <f t="shared" si="7"/>
        <v/>
      </c>
      <c r="T44" s="160" t="str">
        <f>IFERROR(INDEX(当年标准成本!$I:$I,MATCH(K44,当年标准成本!$C:$C,0),1),"")</f>
        <v/>
      </c>
      <c r="U44" s="126" t="str">
        <f t="shared" si="8"/>
        <v/>
      </c>
      <c r="V44" s="126" t="str">
        <f t="shared" si="9"/>
        <v/>
      </c>
      <c r="W44" s="124" t="str">
        <f t="shared" si="10"/>
        <v/>
      </c>
      <c r="X44" s="125" t="str">
        <f t="shared" si="0"/>
        <v/>
      </c>
    </row>
    <row r="45" spans="1:24" x14ac:dyDescent="0.3">
      <c r="A45" s="129"/>
      <c r="B45" s="129"/>
      <c r="C45" s="128"/>
      <c r="D45" s="128"/>
      <c r="E45" s="128"/>
      <c r="F45" s="166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6" t="str">
        <f t="shared" si="6"/>
        <v/>
      </c>
      <c r="S45" s="163" t="str">
        <f t="shared" si="7"/>
        <v/>
      </c>
      <c r="T45" s="160" t="str">
        <f>IFERROR(INDEX(当年标准成本!$I:$I,MATCH(K45,当年标准成本!$C:$C,0),1),"")</f>
        <v/>
      </c>
      <c r="U45" s="126" t="str">
        <f t="shared" si="8"/>
        <v/>
      </c>
      <c r="V45" s="126" t="str">
        <f t="shared" si="9"/>
        <v/>
      </c>
      <c r="W45" s="124" t="str">
        <f t="shared" si="10"/>
        <v/>
      </c>
      <c r="X45" s="125" t="str">
        <f t="shared" si="0"/>
        <v/>
      </c>
    </row>
    <row r="46" spans="1:24" x14ac:dyDescent="0.3">
      <c r="A46" s="129"/>
      <c r="B46" s="129"/>
      <c r="C46" s="128"/>
      <c r="D46" s="128"/>
      <c r="E46" s="128"/>
      <c r="F46" s="166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6" t="str">
        <f t="shared" si="6"/>
        <v/>
      </c>
      <c r="S46" s="163" t="str">
        <f t="shared" si="7"/>
        <v/>
      </c>
      <c r="T46" s="160" t="str">
        <f>IFERROR(INDEX(当年标准成本!$I:$I,MATCH(K46,当年标准成本!$C:$C,0),1),"")</f>
        <v/>
      </c>
      <c r="U46" s="126" t="str">
        <f t="shared" si="8"/>
        <v/>
      </c>
      <c r="V46" s="126" t="str">
        <f t="shared" si="9"/>
        <v/>
      </c>
      <c r="W46" s="124" t="str">
        <f t="shared" si="10"/>
        <v/>
      </c>
      <c r="X46" s="125" t="str">
        <f t="shared" si="0"/>
        <v/>
      </c>
    </row>
    <row r="47" spans="1:24" x14ac:dyDescent="0.3">
      <c r="A47" s="129"/>
      <c r="B47" s="129"/>
      <c r="C47" s="128"/>
      <c r="D47" s="128"/>
      <c r="E47" s="128"/>
      <c r="F47" s="166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6" t="str">
        <f t="shared" si="6"/>
        <v/>
      </c>
      <c r="S47" s="163" t="str">
        <f t="shared" si="7"/>
        <v/>
      </c>
      <c r="T47" s="160" t="str">
        <f>IFERROR(INDEX(当年标准成本!$I:$I,MATCH(K47,当年标准成本!$C:$C,0),1),"")</f>
        <v/>
      </c>
      <c r="U47" s="126" t="str">
        <f t="shared" si="8"/>
        <v/>
      </c>
      <c r="V47" s="126" t="str">
        <f t="shared" si="9"/>
        <v/>
      </c>
      <c r="W47" s="124" t="str">
        <f t="shared" si="10"/>
        <v/>
      </c>
      <c r="X47" s="125" t="str">
        <f t="shared" si="0"/>
        <v/>
      </c>
    </row>
    <row r="48" spans="1:24" x14ac:dyDescent="0.3">
      <c r="A48" s="129"/>
      <c r="B48" s="129"/>
      <c r="C48" s="128"/>
      <c r="D48" s="128"/>
      <c r="E48" s="128"/>
      <c r="F48" s="166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6" t="str">
        <f t="shared" si="6"/>
        <v/>
      </c>
      <c r="S48" s="163" t="str">
        <f t="shared" si="7"/>
        <v/>
      </c>
      <c r="T48" s="160" t="str">
        <f>IFERROR(INDEX(当年标准成本!$I:$I,MATCH(K48,当年标准成本!$C:$C,0),1),"")</f>
        <v/>
      </c>
      <c r="U48" s="126" t="str">
        <f t="shared" si="8"/>
        <v/>
      </c>
      <c r="V48" s="126" t="str">
        <f t="shared" si="9"/>
        <v/>
      </c>
      <c r="W48" s="124" t="str">
        <f t="shared" si="10"/>
        <v/>
      </c>
      <c r="X48" s="125" t="str">
        <f t="shared" si="0"/>
        <v/>
      </c>
    </row>
    <row r="49" spans="1:24" x14ac:dyDescent="0.3">
      <c r="A49" s="129"/>
      <c r="B49" s="129"/>
      <c r="C49" s="128"/>
      <c r="D49" s="128"/>
      <c r="E49" s="128"/>
      <c r="F49" s="166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6" t="str">
        <f t="shared" si="6"/>
        <v/>
      </c>
      <c r="S49" s="163" t="str">
        <f t="shared" si="7"/>
        <v/>
      </c>
      <c r="T49" s="160" t="str">
        <f>IFERROR(INDEX(当年标准成本!$I:$I,MATCH(K49,当年标准成本!$C:$C,0),1),"")</f>
        <v/>
      </c>
      <c r="U49" s="126" t="str">
        <f t="shared" si="8"/>
        <v/>
      </c>
      <c r="V49" s="126" t="str">
        <f t="shared" si="9"/>
        <v/>
      </c>
      <c r="W49" s="124" t="str">
        <f t="shared" si="10"/>
        <v/>
      </c>
      <c r="X49" s="125" t="str">
        <f t="shared" si="0"/>
        <v/>
      </c>
    </row>
    <row r="50" spans="1:24" x14ac:dyDescent="0.3">
      <c r="A50" s="129"/>
      <c r="B50" s="129"/>
      <c r="C50" s="128"/>
      <c r="D50" s="128"/>
      <c r="E50" s="128"/>
      <c r="F50" s="166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6" t="str">
        <f t="shared" si="6"/>
        <v/>
      </c>
      <c r="S50" s="163" t="str">
        <f t="shared" si="7"/>
        <v/>
      </c>
      <c r="T50" s="160" t="str">
        <f>IFERROR(INDEX(当年标准成本!$I:$I,MATCH(K50,当年标准成本!$C:$C,0),1),"")</f>
        <v/>
      </c>
      <c r="U50" s="126" t="str">
        <f t="shared" si="8"/>
        <v/>
      </c>
      <c r="V50" s="126" t="str">
        <f t="shared" si="9"/>
        <v/>
      </c>
      <c r="W50" s="124" t="str">
        <f t="shared" si="10"/>
        <v/>
      </c>
      <c r="X50" s="125" t="str">
        <f t="shared" si="0"/>
        <v/>
      </c>
    </row>
    <row r="51" spans="1:24" x14ac:dyDescent="0.3">
      <c r="A51" s="129"/>
      <c r="B51" s="129"/>
      <c r="C51" s="128"/>
      <c r="D51" s="128"/>
      <c r="E51" s="128"/>
      <c r="F51" s="166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6" t="str">
        <f t="shared" si="6"/>
        <v/>
      </c>
      <c r="S51" s="163" t="str">
        <f t="shared" si="7"/>
        <v/>
      </c>
      <c r="T51" s="160" t="str">
        <f>IFERROR(INDEX(当年标准成本!$I:$I,MATCH(K51,当年标准成本!$C:$C,0),1),"")</f>
        <v/>
      </c>
      <c r="U51" s="126" t="str">
        <f t="shared" si="8"/>
        <v/>
      </c>
      <c r="V51" s="126" t="str">
        <f t="shared" si="9"/>
        <v/>
      </c>
      <c r="W51" s="124" t="str">
        <f t="shared" si="10"/>
        <v/>
      </c>
      <c r="X51" s="125" t="str">
        <f t="shared" si="0"/>
        <v/>
      </c>
    </row>
    <row r="52" spans="1:24" x14ac:dyDescent="0.3">
      <c r="A52" s="129"/>
      <c r="B52" s="129"/>
      <c r="C52" s="128"/>
      <c r="D52" s="128"/>
      <c r="E52" s="128"/>
      <c r="F52" s="166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6" t="str">
        <f t="shared" si="6"/>
        <v/>
      </c>
      <c r="S52" s="163" t="str">
        <f t="shared" si="7"/>
        <v/>
      </c>
      <c r="T52" s="160" t="str">
        <f>IFERROR(INDEX(当年标准成本!$I:$I,MATCH(K52,当年标准成本!$C:$C,0),1),"")</f>
        <v/>
      </c>
      <c r="U52" s="126" t="str">
        <f t="shared" si="8"/>
        <v/>
      </c>
      <c r="V52" s="126" t="str">
        <f t="shared" si="9"/>
        <v/>
      </c>
      <c r="W52" s="124" t="str">
        <f t="shared" si="10"/>
        <v/>
      </c>
      <c r="X52" s="125" t="str">
        <f t="shared" si="0"/>
        <v/>
      </c>
    </row>
    <row r="53" spans="1:24" x14ac:dyDescent="0.3">
      <c r="A53" s="129"/>
      <c r="B53" s="129"/>
      <c r="C53" s="128"/>
      <c r="D53" s="128"/>
      <c r="E53" s="128"/>
      <c r="F53" s="166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6" t="str">
        <f t="shared" si="6"/>
        <v/>
      </c>
      <c r="S53" s="163" t="str">
        <f t="shared" si="7"/>
        <v/>
      </c>
      <c r="T53" s="160" t="str">
        <f>IFERROR(INDEX(当年标准成本!$I:$I,MATCH(K53,当年标准成本!$C:$C,0),1),"")</f>
        <v/>
      </c>
      <c r="U53" s="126" t="str">
        <f t="shared" si="8"/>
        <v/>
      </c>
      <c r="V53" s="126" t="str">
        <f t="shared" si="9"/>
        <v/>
      </c>
      <c r="W53" s="124" t="str">
        <f t="shared" si="10"/>
        <v/>
      </c>
      <c r="X53" s="125" t="str">
        <f t="shared" si="0"/>
        <v/>
      </c>
    </row>
    <row r="54" spans="1:24" x14ac:dyDescent="0.3">
      <c r="A54" s="129"/>
      <c r="B54" s="129"/>
      <c r="C54" s="128"/>
      <c r="D54" s="128"/>
      <c r="E54" s="128"/>
      <c r="F54" s="166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6" t="str">
        <f t="shared" si="6"/>
        <v/>
      </c>
      <c r="S54" s="163" t="str">
        <f t="shared" si="7"/>
        <v/>
      </c>
      <c r="T54" s="160" t="str">
        <f>IFERROR(INDEX(当年标准成本!$I:$I,MATCH(K54,当年标准成本!$C:$C,0),1),"")</f>
        <v/>
      </c>
      <c r="U54" s="126" t="str">
        <f t="shared" si="8"/>
        <v/>
      </c>
      <c r="V54" s="126" t="str">
        <f t="shared" si="9"/>
        <v/>
      </c>
      <c r="W54" s="124" t="str">
        <f t="shared" si="10"/>
        <v/>
      </c>
      <c r="X54" s="125" t="str">
        <f t="shared" si="0"/>
        <v/>
      </c>
    </row>
    <row r="55" spans="1:24" x14ac:dyDescent="0.3">
      <c r="A55" s="129"/>
      <c r="B55" s="129"/>
      <c r="C55" s="128"/>
      <c r="D55" s="128"/>
      <c r="E55" s="128"/>
      <c r="F55" s="166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6" t="str">
        <f t="shared" si="6"/>
        <v/>
      </c>
      <c r="S55" s="163" t="str">
        <f t="shared" si="7"/>
        <v/>
      </c>
      <c r="T55" s="160" t="str">
        <f>IFERROR(INDEX(当年标准成本!$I:$I,MATCH(K55,当年标准成本!$C:$C,0),1),"")</f>
        <v/>
      </c>
      <c r="U55" s="126" t="str">
        <f t="shared" si="8"/>
        <v/>
      </c>
      <c r="V55" s="126" t="str">
        <f t="shared" si="9"/>
        <v/>
      </c>
      <c r="W55" s="124" t="str">
        <f t="shared" si="10"/>
        <v/>
      </c>
      <c r="X55" s="125" t="str">
        <f t="shared" si="0"/>
        <v/>
      </c>
    </row>
    <row r="56" spans="1:24" x14ac:dyDescent="0.3">
      <c r="A56" s="129"/>
      <c r="B56" s="129"/>
      <c r="C56" s="128"/>
      <c r="D56" s="128"/>
      <c r="E56" s="128"/>
      <c r="F56" s="166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6" t="str">
        <f t="shared" si="6"/>
        <v/>
      </c>
      <c r="S56" s="163" t="str">
        <f t="shared" si="7"/>
        <v/>
      </c>
      <c r="T56" s="160" t="str">
        <f>IFERROR(INDEX(当年标准成本!$I:$I,MATCH(K56,当年标准成本!$C:$C,0),1),"")</f>
        <v/>
      </c>
      <c r="U56" s="126" t="str">
        <f t="shared" si="8"/>
        <v/>
      </c>
      <c r="V56" s="126" t="str">
        <f t="shared" si="9"/>
        <v/>
      </c>
      <c r="W56" s="124" t="str">
        <f t="shared" si="10"/>
        <v/>
      </c>
      <c r="X56" s="125" t="str">
        <f t="shared" si="0"/>
        <v/>
      </c>
    </row>
    <row r="57" spans="1:24" x14ac:dyDescent="0.3">
      <c r="A57" s="129"/>
      <c r="B57" s="129"/>
      <c r="C57" s="128"/>
      <c r="D57" s="128"/>
      <c r="E57" s="128"/>
      <c r="F57" s="166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6" t="str">
        <f t="shared" si="6"/>
        <v/>
      </c>
      <c r="S57" s="163" t="str">
        <f t="shared" si="7"/>
        <v/>
      </c>
      <c r="T57" s="160" t="str">
        <f>IFERROR(INDEX(当年标准成本!$I:$I,MATCH(K57,当年标准成本!$C:$C,0),1),"")</f>
        <v/>
      </c>
      <c r="U57" s="126" t="str">
        <f t="shared" si="8"/>
        <v/>
      </c>
      <c r="V57" s="126" t="str">
        <f t="shared" si="9"/>
        <v/>
      </c>
      <c r="W57" s="124" t="str">
        <f t="shared" si="10"/>
        <v/>
      </c>
      <c r="X57" s="125" t="str">
        <f t="shared" si="0"/>
        <v/>
      </c>
    </row>
    <row r="58" spans="1:24" x14ac:dyDescent="0.3">
      <c r="A58" s="129"/>
      <c r="B58" s="129"/>
      <c r="C58" s="128"/>
      <c r="D58" s="128"/>
      <c r="E58" s="128"/>
      <c r="F58" s="166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6" t="str">
        <f t="shared" si="6"/>
        <v/>
      </c>
      <c r="S58" s="163" t="str">
        <f t="shared" si="7"/>
        <v/>
      </c>
      <c r="T58" s="160" t="str">
        <f>IFERROR(INDEX(当年标准成本!$I:$I,MATCH(K58,当年标准成本!$C:$C,0),1),"")</f>
        <v/>
      </c>
      <c r="U58" s="126" t="str">
        <f t="shared" si="8"/>
        <v/>
      </c>
      <c r="V58" s="126" t="str">
        <f t="shared" si="9"/>
        <v/>
      </c>
      <c r="W58" s="124" t="str">
        <f t="shared" si="10"/>
        <v/>
      </c>
      <c r="X58" s="125" t="str">
        <f t="shared" si="0"/>
        <v/>
      </c>
    </row>
    <row r="59" spans="1:24" x14ac:dyDescent="0.3">
      <c r="A59" s="129"/>
      <c r="B59" s="129"/>
      <c r="C59" s="128"/>
      <c r="D59" s="128"/>
      <c r="E59" s="128"/>
      <c r="F59" s="166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6" t="str">
        <f t="shared" si="6"/>
        <v/>
      </c>
      <c r="S59" s="163" t="str">
        <f t="shared" si="7"/>
        <v/>
      </c>
      <c r="T59" s="160" t="str">
        <f>IFERROR(INDEX(当年标准成本!$I:$I,MATCH(K59,当年标准成本!$C:$C,0),1),"")</f>
        <v/>
      </c>
      <c r="U59" s="126" t="str">
        <f t="shared" si="8"/>
        <v/>
      </c>
      <c r="V59" s="126" t="str">
        <f t="shared" si="9"/>
        <v/>
      </c>
      <c r="W59" s="124" t="str">
        <f t="shared" si="10"/>
        <v/>
      </c>
      <c r="X59" s="125" t="str">
        <f t="shared" si="0"/>
        <v/>
      </c>
    </row>
    <row r="60" spans="1:24" x14ac:dyDescent="0.3">
      <c r="A60" s="129"/>
      <c r="B60" s="129"/>
      <c r="C60" s="128"/>
      <c r="D60" s="128"/>
      <c r="E60" s="128"/>
      <c r="F60" s="166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6" t="str">
        <f t="shared" si="6"/>
        <v/>
      </c>
      <c r="S60" s="163" t="str">
        <f t="shared" si="7"/>
        <v/>
      </c>
      <c r="T60" s="160" t="str">
        <f>IFERROR(INDEX(当年标准成本!$I:$I,MATCH(K60,当年标准成本!$C:$C,0),1),"")</f>
        <v/>
      </c>
      <c r="U60" s="126" t="str">
        <f t="shared" si="8"/>
        <v/>
      </c>
      <c r="V60" s="126" t="str">
        <f t="shared" si="9"/>
        <v/>
      </c>
      <c r="W60" s="124" t="str">
        <f t="shared" si="10"/>
        <v/>
      </c>
      <c r="X60" s="125" t="str">
        <f t="shared" si="0"/>
        <v/>
      </c>
    </row>
    <row r="61" spans="1:24" x14ac:dyDescent="0.3">
      <c r="A61" s="129"/>
      <c r="B61" s="129"/>
      <c r="C61" s="128"/>
      <c r="D61" s="128"/>
      <c r="E61" s="128"/>
      <c r="F61" s="166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6" t="str">
        <f t="shared" si="6"/>
        <v/>
      </c>
      <c r="S61" s="163" t="str">
        <f t="shared" si="7"/>
        <v/>
      </c>
      <c r="T61" s="160" t="str">
        <f>IFERROR(INDEX(当年标准成本!$I:$I,MATCH(K61,当年标准成本!$C:$C,0),1),"")</f>
        <v/>
      </c>
      <c r="U61" s="126" t="str">
        <f t="shared" si="8"/>
        <v/>
      </c>
      <c r="V61" s="126" t="str">
        <f t="shared" si="9"/>
        <v/>
      </c>
      <c r="W61" s="124" t="str">
        <f t="shared" si="10"/>
        <v/>
      </c>
      <c r="X61" s="125" t="str">
        <f t="shared" si="0"/>
        <v/>
      </c>
    </row>
    <row r="62" spans="1:24" x14ac:dyDescent="0.3">
      <c r="A62" s="129"/>
      <c r="B62" s="129"/>
      <c r="C62" s="128"/>
      <c r="D62" s="128"/>
      <c r="E62" s="128"/>
      <c r="F62" s="166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6" t="str">
        <f t="shared" si="6"/>
        <v/>
      </c>
      <c r="S62" s="163" t="str">
        <f t="shared" si="7"/>
        <v/>
      </c>
      <c r="T62" s="160" t="str">
        <f>IFERROR(INDEX(当年标准成本!$I:$I,MATCH(K62,当年标准成本!$C:$C,0),1),"")</f>
        <v/>
      </c>
      <c r="U62" s="126" t="str">
        <f t="shared" si="8"/>
        <v/>
      </c>
      <c r="V62" s="126" t="str">
        <f t="shared" si="9"/>
        <v/>
      </c>
      <c r="W62" s="124" t="str">
        <f t="shared" si="10"/>
        <v/>
      </c>
      <c r="X62" s="125" t="str">
        <f t="shared" si="0"/>
        <v/>
      </c>
    </row>
    <row r="63" spans="1:24" x14ac:dyDescent="0.3">
      <c r="A63" s="129"/>
      <c r="B63" s="129"/>
      <c r="C63" s="128"/>
      <c r="D63" s="128"/>
      <c r="E63" s="128"/>
      <c r="F63" s="166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6" t="str">
        <f t="shared" si="6"/>
        <v/>
      </c>
      <c r="S63" s="163" t="str">
        <f t="shared" si="7"/>
        <v/>
      </c>
      <c r="T63" s="160" t="str">
        <f>IFERROR(INDEX(当年标准成本!$I:$I,MATCH(K63,当年标准成本!$C:$C,0),1),"")</f>
        <v/>
      </c>
      <c r="U63" s="126" t="str">
        <f t="shared" si="8"/>
        <v/>
      </c>
      <c r="V63" s="126" t="str">
        <f t="shared" si="9"/>
        <v/>
      </c>
      <c r="W63" s="124" t="str">
        <f t="shared" si="10"/>
        <v/>
      </c>
      <c r="X63" s="125" t="str">
        <f t="shared" si="0"/>
        <v/>
      </c>
    </row>
    <row r="64" spans="1:24" x14ac:dyDescent="0.3">
      <c r="A64" s="129"/>
      <c r="B64" s="129"/>
      <c r="C64" s="128"/>
      <c r="D64" s="128"/>
      <c r="E64" s="128"/>
      <c r="F64" s="166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6" t="str">
        <f t="shared" si="6"/>
        <v/>
      </c>
      <c r="S64" s="163" t="str">
        <f t="shared" si="7"/>
        <v/>
      </c>
      <c r="T64" s="160" t="str">
        <f>IFERROR(INDEX(当年标准成本!$I:$I,MATCH(K64,当年标准成本!$C:$C,0),1),"")</f>
        <v/>
      </c>
      <c r="U64" s="126" t="str">
        <f t="shared" si="8"/>
        <v/>
      </c>
      <c r="V64" s="126" t="str">
        <f t="shared" si="9"/>
        <v/>
      </c>
      <c r="W64" s="124" t="str">
        <f t="shared" si="10"/>
        <v/>
      </c>
      <c r="X64" s="125" t="str">
        <f t="shared" si="0"/>
        <v/>
      </c>
    </row>
    <row r="65" spans="1:24" x14ac:dyDescent="0.3">
      <c r="A65" s="129"/>
      <c r="B65" s="129"/>
      <c r="C65" s="128"/>
      <c r="D65" s="128"/>
      <c r="E65" s="128"/>
      <c r="F65" s="166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6" t="str">
        <f t="shared" si="6"/>
        <v/>
      </c>
      <c r="S65" s="163" t="str">
        <f t="shared" si="7"/>
        <v/>
      </c>
      <c r="T65" s="160" t="str">
        <f>IFERROR(INDEX(当年标准成本!$I:$I,MATCH(K65,当年标准成本!$C:$C,0),1),"")</f>
        <v/>
      </c>
      <c r="U65" s="126" t="str">
        <f t="shared" si="8"/>
        <v/>
      </c>
      <c r="V65" s="126" t="str">
        <f t="shared" si="9"/>
        <v/>
      </c>
      <c r="W65" s="124" t="str">
        <f t="shared" si="10"/>
        <v/>
      </c>
      <c r="X65" s="125" t="str">
        <f t="shared" si="0"/>
        <v/>
      </c>
    </row>
    <row r="66" spans="1:24" x14ac:dyDescent="0.3">
      <c r="A66" s="129"/>
      <c r="B66" s="129"/>
      <c r="C66" s="128"/>
      <c r="D66" s="128"/>
      <c r="E66" s="128"/>
      <c r="F66" s="166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6" t="str">
        <f t="shared" si="6"/>
        <v/>
      </c>
      <c r="S66" s="163" t="str">
        <f t="shared" si="7"/>
        <v/>
      </c>
      <c r="T66" s="160" t="str">
        <f>IFERROR(INDEX(当年标准成本!$I:$I,MATCH(K66,当年标准成本!$C:$C,0),1),"")</f>
        <v/>
      </c>
      <c r="U66" s="126" t="str">
        <f t="shared" si="8"/>
        <v/>
      </c>
      <c r="V66" s="126" t="str">
        <f t="shared" si="9"/>
        <v/>
      </c>
      <c r="W66" s="124" t="str">
        <f t="shared" si="10"/>
        <v/>
      </c>
      <c r="X66" s="125" t="str">
        <f t="shared" ref="X66:X129" si="11">IFERROR(IF(W66/SUM(W:W)=0,"",W66/SUM(W:W)),"")</f>
        <v/>
      </c>
    </row>
    <row r="67" spans="1:24" x14ac:dyDescent="0.3">
      <c r="A67" s="129"/>
      <c r="B67" s="129"/>
      <c r="C67" s="128"/>
      <c r="D67" s="128"/>
      <c r="E67" s="128"/>
      <c r="F67" s="166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6" t="str">
        <f t="shared" si="6"/>
        <v/>
      </c>
      <c r="S67" s="163" t="str">
        <f t="shared" si="7"/>
        <v/>
      </c>
      <c r="T67" s="160" t="str">
        <f>IFERROR(INDEX(当年标准成本!$I:$I,MATCH(K67,当年标准成本!$C:$C,0),1),"")</f>
        <v/>
      </c>
      <c r="U67" s="126" t="str">
        <f t="shared" si="8"/>
        <v/>
      </c>
      <c r="V67" s="126" t="str">
        <f t="shared" si="9"/>
        <v/>
      </c>
      <c r="W67" s="124" t="str">
        <f t="shared" si="10"/>
        <v/>
      </c>
      <c r="X67" s="125" t="str">
        <f t="shared" si="11"/>
        <v/>
      </c>
    </row>
    <row r="68" spans="1:24" x14ac:dyDescent="0.3">
      <c r="A68" s="129"/>
      <c r="B68" s="129"/>
      <c r="C68" s="128"/>
      <c r="D68" s="128"/>
      <c r="E68" s="128"/>
      <c r="F68" s="166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6" t="str">
        <f t="shared" si="6"/>
        <v/>
      </c>
      <c r="S68" s="163" t="str">
        <f t="shared" si="7"/>
        <v/>
      </c>
      <c r="T68" s="160" t="str">
        <f>IFERROR(INDEX(当年标准成本!$I:$I,MATCH(K68,当年标准成本!$C:$C,0),1),"")</f>
        <v/>
      </c>
      <c r="U68" s="126" t="str">
        <f t="shared" si="8"/>
        <v/>
      </c>
      <c r="V68" s="126" t="str">
        <f t="shared" si="9"/>
        <v/>
      </c>
      <c r="W68" s="124" t="str">
        <f t="shared" si="10"/>
        <v/>
      </c>
      <c r="X68" s="125" t="str">
        <f t="shared" si="11"/>
        <v/>
      </c>
    </row>
    <row r="69" spans="1:24" x14ac:dyDescent="0.3">
      <c r="A69" s="129"/>
      <c r="B69" s="129"/>
      <c r="C69" s="128"/>
      <c r="D69" s="128"/>
      <c r="E69" s="128"/>
      <c r="F69" s="166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6" t="str">
        <f t="shared" si="6"/>
        <v/>
      </c>
      <c r="S69" s="163" t="str">
        <f t="shared" si="7"/>
        <v/>
      </c>
      <c r="T69" s="160" t="str">
        <f>IFERROR(INDEX(当年标准成本!$I:$I,MATCH(K69,当年标准成本!$C:$C,0),1),"")</f>
        <v/>
      </c>
      <c r="U69" s="126" t="str">
        <f t="shared" si="8"/>
        <v/>
      </c>
      <c r="V69" s="126" t="str">
        <f t="shared" si="9"/>
        <v/>
      </c>
      <c r="W69" s="124" t="str">
        <f t="shared" si="10"/>
        <v/>
      </c>
      <c r="X69" s="125" t="str">
        <f t="shared" si="11"/>
        <v/>
      </c>
    </row>
    <row r="70" spans="1:24" x14ac:dyDescent="0.3">
      <c r="A70" s="129"/>
      <c r="B70" s="129"/>
      <c r="C70" s="128"/>
      <c r="D70" s="128"/>
      <c r="E70" s="128"/>
      <c r="F70" s="166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6" t="str">
        <f t="shared" si="6"/>
        <v/>
      </c>
      <c r="S70" s="163" t="str">
        <f t="shared" si="7"/>
        <v/>
      </c>
      <c r="T70" s="160" t="str">
        <f>IFERROR(INDEX(当年标准成本!$I:$I,MATCH(K70,当年标准成本!$C:$C,0),1),"")</f>
        <v/>
      </c>
      <c r="U70" s="126" t="str">
        <f t="shared" si="8"/>
        <v/>
      </c>
      <c r="V70" s="126" t="str">
        <f t="shared" si="9"/>
        <v/>
      </c>
      <c r="W70" s="124" t="str">
        <f t="shared" si="10"/>
        <v/>
      </c>
      <c r="X70" s="125" t="str">
        <f t="shared" si="11"/>
        <v/>
      </c>
    </row>
    <row r="71" spans="1:24" x14ac:dyDescent="0.3">
      <c r="A71" s="129"/>
      <c r="B71" s="129"/>
      <c r="C71" s="128"/>
      <c r="D71" s="128"/>
      <c r="E71" s="128"/>
      <c r="F71" s="166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6" t="str">
        <f t="shared" si="6"/>
        <v/>
      </c>
      <c r="S71" s="163" t="str">
        <f t="shared" si="7"/>
        <v/>
      </c>
      <c r="T71" s="160" t="str">
        <f>IFERROR(INDEX(当年标准成本!$I:$I,MATCH(K71,当年标准成本!$C:$C,0),1),"")</f>
        <v/>
      </c>
      <c r="U71" s="126" t="str">
        <f t="shared" si="8"/>
        <v/>
      </c>
      <c r="V71" s="126" t="str">
        <f t="shared" si="9"/>
        <v/>
      </c>
      <c r="W71" s="124" t="str">
        <f t="shared" si="10"/>
        <v/>
      </c>
      <c r="X71" s="125" t="str">
        <f t="shared" si="11"/>
        <v/>
      </c>
    </row>
    <row r="72" spans="1:24" x14ac:dyDescent="0.3">
      <c r="A72" s="129"/>
      <c r="B72" s="129"/>
      <c r="C72" s="128"/>
      <c r="D72" s="128"/>
      <c r="E72" s="128"/>
      <c r="F72" s="166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6" t="str">
        <f t="shared" si="6"/>
        <v/>
      </c>
      <c r="S72" s="163" t="str">
        <f t="shared" si="7"/>
        <v/>
      </c>
      <c r="T72" s="160" t="str">
        <f>IFERROR(INDEX(当年标准成本!$I:$I,MATCH(K72,当年标准成本!$C:$C,0),1),"")</f>
        <v/>
      </c>
      <c r="U72" s="126" t="str">
        <f t="shared" si="8"/>
        <v/>
      </c>
      <c r="V72" s="126" t="str">
        <f t="shared" si="9"/>
        <v/>
      </c>
      <c r="W72" s="124" t="str">
        <f t="shared" si="10"/>
        <v/>
      </c>
      <c r="X72" s="125" t="str">
        <f t="shared" si="11"/>
        <v/>
      </c>
    </row>
    <row r="73" spans="1:24" x14ac:dyDescent="0.3">
      <c r="A73" s="129"/>
      <c r="B73" s="129"/>
      <c r="C73" s="128"/>
      <c r="D73" s="128"/>
      <c r="E73" s="128"/>
      <c r="F73" s="166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6" t="str">
        <f t="shared" si="6"/>
        <v/>
      </c>
      <c r="S73" s="163" t="str">
        <f t="shared" si="7"/>
        <v/>
      </c>
      <c r="T73" s="160" t="str">
        <f>IFERROR(INDEX(当年标准成本!$I:$I,MATCH(K73,当年标准成本!$C:$C,0),1),"")</f>
        <v/>
      </c>
      <c r="U73" s="126" t="str">
        <f t="shared" si="8"/>
        <v/>
      </c>
      <c r="V73" s="126" t="str">
        <f t="shared" si="9"/>
        <v/>
      </c>
      <c r="W73" s="124" t="str">
        <f t="shared" si="10"/>
        <v/>
      </c>
      <c r="X73" s="125" t="str">
        <f t="shared" si="11"/>
        <v/>
      </c>
    </row>
    <row r="74" spans="1:24" x14ac:dyDescent="0.3">
      <c r="A74" s="129"/>
      <c r="B74" s="129"/>
      <c r="C74" s="128"/>
      <c r="D74" s="128"/>
      <c r="E74" s="128"/>
      <c r="F74" s="166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6" t="str">
        <f t="shared" ref="R74:R137" si="12">IFERROR(P74/O74,"")</f>
        <v/>
      </c>
      <c r="S74" s="163" t="str">
        <f t="shared" ref="S74:S137" si="13">IFERROR(R74*(1+Q74),"")</f>
        <v/>
      </c>
      <c r="T74" s="160" t="str">
        <f>IFERROR(INDEX(当年标准成本!$I:$I,MATCH(K74,当年标准成本!$C:$C,0),1),"")</f>
        <v/>
      </c>
      <c r="U74" s="126" t="str">
        <f t="shared" ref="U74:U137" si="14">IFERROR(O74*T74,"")</f>
        <v/>
      </c>
      <c r="V74" s="126" t="str">
        <f t="shared" ref="V74:V137" si="15">IFERROR(P74-U74,"")</f>
        <v/>
      </c>
      <c r="W74" s="124" t="str">
        <f t="shared" ref="W74:W137" si="16">IFERROR(V74/P74,"")</f>
        <v/>
      </c>
      <c r="X74" s="125" t="str">
        <f t="shared" si="11"/>
        <v/>
      </c>
    </row>
    <row r="75" spans="1:24" x14ac:dyDescent="0.3">
      <c r="A75" s="129"/>
      <c r="B75" s="129"/>
      <c r="C75" s="128"/>
      <c r="D75" s="128"/>
      <c r="E75" s="128"/>
      <c r="F75" s="166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6" t="str">
        <f t="shared" si="12"/>
        <v/>
      </c>
      <c r="S75" s="163" t="str">
        <f t="shared" si="13"/>
        <v/>
      </c>
      <c r="T75" s="160" t="str">
        <f>IFERROR(INDEX(当年标准成本!$I:$I,MATCH(K75,当年标准成本!$C:$C,0),1),"")</f>
        <v/>
      </c>
      <c r="U75" s="126" t="str">
        <f t="shared" si="14"/>
        <v/>
      </c>
      <c r="V75" s="126" t="str">
        <f t="shared" si="15"/>
        <v/>
      </c>
      <c r="W75" s="124" t="str">
        <f t="shared" si="16"/>
        <v/>
      </c>
      <c r="X75" s="125" t="str">
        <f t="shared" si="11"/>
        <v/>
      </c>
    </row>
    <row r="76" spans="1:24" x14ac:dyDescent="0.3">
      <c r="A76" s="129"/>
      <c r="B76" s="129"/>
      <c r="C76" s="128"/>
      <c r="D76" s="128"/>
      <c r="E76" s="128"/>
      <c r="F76" s="166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6" t="str">
        <f t="shared" si="12"/>
        <v/>
      </c>
      <c r="S76" s="163" t="str">
        <f t="shared" si="13"/>
        <v/>
      </c>
      <c r="T76" s="160" t="str">
        <f>IFERROR(INDEX(当年标准成本!$I:$I,MATCH(K76,当年标准成本!$C:$C,0),1),"")</f>
        <v/>
      </c>
      <c r="U76" s="126" t="str">
        <f t="shared" si="14"/>
        <v/>
      </c>
      <c r="V76" s="126" t="str">
        <f t="shared" si="15"/>
        <v/>
      </c>
      <c r="W76" s="124" t="str">
        <f t="shared" si="16"/>
        <v/>
      </c>
      <c r="X76" s="125" t="str">
        <f t="shared" si="11"/>
        <v/>
      </c>
    </row>
    <row r="77" spans="1:24" x14ac:dyDescent="0.3">
      <c r="A77" s="129"/>
      <c r="B77" s="129"/>
      <c r="C77" s="128"/>
      <c r="D77" s="128"/>
      <c r="E77" s="128"/>
      <c r="F77" s="166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6" t="str">
        <f t="shared" si="12"/>
        <v/>
      </c>
      <c r="S77" s="163" t="str">
        <f t="shared" si="13"/>
        <v/>
      </c>
      <c r="T77" s="160" t="str">
        <f>IFERROR(INDEX(当年标准成本!$I:$I,MATCH(K77,当年标准成本!$C:$C,0),1),"")</f>
        <v/>
      </c>
      <c r="U77" s="126" t="str">
        <f t="shared" si="14"/>
        <v/>
      </c>
      <c r="V77" s="126" t="str">
        <f t="shared" si="15"/>
        <v/>
      </c>
      <c r="W77" s="124" t="str">
        <f t="shared" si="16"/>
        <v/>
      </c>
      <c r="X77" s="125" t="str">
        <f t="shared" si="11"/>
        <v/>
      </c>
    </row>
    <row r="78" spans="1:24" x14ac:dyDescent="0.3">
      <c r="A78" s="129"/>
      <c r="B78" s="129"/>
      <c r="C78" s="128"/>
      <c r="D78" s="128"/>
      <c r="E78" s="128"/>
      <c r="F78" s="166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6" t="str">
        <f t="shared" si="12"/>
        <v/>
      </c>
      <c r="S78" s="163" t="str">
        <f t="shared" si="13"/>
        <v/>
      </c>
      <c r="T78" s="160" t="str">
        <f>IFERROR(INDEX(当年标准成本!$I:$I,MATCH(K78,当年标准成本!$C:$C,0),1),"")</f>
        <v/>
      </c>
      <c r="U78" s="126" t="str">
        <f t="shared" si="14"/>
        <v/>
      </c>
      <c r="V78" s="126" t="str">
        <f t="shared" si="15"/>
        <v/>
      </c>
      <c r="W78" s="124" t="str">
        <f t="shared" si="16"/>
        <v/>
      </c>
      <c r="X78" s="125" t="str">
        <f t="shared" si="11"/>
        <v/>
      </c>
    </row>
    <row r="79" spans="1:24" x14ac:dyDescent="0.3">
      <c r="A79" s="129"/>
      <c r="B79" s="129"/>
      <c r="C79" s="128"/>
      <c r="D79" s="128"/>
      <c r="E79" s="128"/>
      <c r="F79" s="166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6" t="str">
        <f t="shared" si="12"/>
        <v/>
      </c>
      <c r="S79" s="163" t="str">
        <f t="shared" si="13"/>
        <v/>
      </c>
      <c r="T79" s="160" t="str">
        <f>IFERROR(INDEX(当年标准成本!$I:$I,MATCH(K79,当年标准成本!$C:$C,0),1),"")</f>
        <v/>
      </c>
      <c r="U79" s="126" t="str">
        <f t="shared" si="14"/>
        <v/>
      </c>
      <c r="V79" s="126" t="str">
        <f t="shared" si="15"/>
        <v/>
      </c>
      <c r="W79" s="124" t="str">
        <f t="shared" si="16"/>
        <v/>
      </c>
      <c r="X79" s="125" t="str">
        <f t="shared" si="11"/>
        <v/>
      </c>
    </row>
    <row r="80" spans="1:24" x14ac:dyDescent="0.3">
      <c r="A80" s="129"/>
      <c r="B80" s="129"/>
      <c r="C80" s="128"/>
      <c r="D80" s="128"/>
      <c r="E80" s="128"/>
      <c r="F80" s="166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6" t="str">
        <f t="shared" si="12"/>
        <v/>
      </c>
      <c r="S80" s="163" t="str">
        <f t="shared" si="13"/>
        <v/>
      </c>
      <c r="T80" s="160" t="str">
        <f>IFERROR(INDEX(当年标准成本!$I:$I,MATCH(K80,当年标准成本!$C:$C,0),1),"")</f>
        <v/>
      </c>
      <c r="U80" s="126" t="str">
        <f t="shared" si="14"/>
        <v/>
      </c>
      <c r="V80" s="126" t="str">
        <f t="shared" si="15"/>
        <v/>
      </c>
      <c r="W80" s="124" t="str">
        <f t="shared" si="16"/>
        <v/>
      </c>
      <c r="X80" s="125" t="str">
        <f t="shared" si="11"/>
        <v/>
      </c>
    </row>
    <row r="81" spans="1:24" x14ac:dyDescent="0.3">
      <c r="A81" s="129"/>
      <c r="B81" s="129"/>
      <c r="C81" s="128"/>
      <c r="D81" s="128"/>
      <c r="E81" s="128"/>
      <c r="F81" s="166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6" t="str">
        <f t="shared" si="12"/>
        <v/>
      </c>
      <c r="S81" s="163" t="str">
        <f t="shared" si="13"/>
        <v/>
      </c>
      <c r="T81" s="160" t="str">
        <f>IFERROR(INDEX(当年标准成本!$I:$I,MATCH(K81,当年标准成本!$C:$C,0),1),"")</f>
        <v/>
      </c>
      <c r="U81" s="126" t="str">
        <f t="shared" si="14"/>
        <v/>
      </c>
      <c r="V81" s="126" t="str">
        <f t="shared" si="15"/>
        <v/>
      </c>
      <c r="W81" s="124" t="str">
        <f t="shared" si="16"/>
        <v/>
      </c>
      <c r="X81" s="125" t="str">
        <f t="shared" si="11"/>
        <v/>
      </c>
    </row>
    <row r="82" spans="1:24" x14ac:dyDescent="0.3">
      <c r="A82" s="129"/>
      <c r="B82" s="129"/>
      <c r="C82" s="128"/>
      <c r="D82" s="128"/>
      <c r="E82" s="128"/>
      <c r="F82" s="166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6" t="str">
        <f t="shared" si="12"/>
        <v/>
      </c>
      <c r="S82" s="163" t="str">
        <f t="shared" si="13"/>
        <v/>
      </c>
      <c r="T82" s="160" t="str">
        <f>IFERROR(INDEX(当年标准成本!$I:$I,MATCH(K82,当年标准成本!$C:$C,0),1),"")</f>
        <v/>
      </c>
      <c r="U82" s="126" t="str">
        <f t="shared" si="14"/>
        <v/>
      </c>
      <c r="V82" s="126" t="str">
        <f t="shared" si="15"/>
        <v/>
      </c>
      <c r="W82" s="124" t="str">
        <f t="shared" si="16"/>
        <v/>
      </c>
      <c r="X82" s="125" t="str">
        <f t="shared" si="11"/>
        <v/>
      </c>
    </row>
    <row r="83" spans="1:24" x14ac:dyDescent="0.3">
      <c r="A83" s="129"/>
      <c r="B83" s="129"/>
      <c r="C83" s="128"/>
      <c r="D83" s="128"/>
      <c r="E83" s="128"/>
      <c r="F83" s="166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6" t="str">
        <f t="shared" si="12"/>
        <v/>
      </c>
      <c r="S83" s="163" t="str">
        <f t="shared" si="13"/>
        <v/>
      </c>
      <c r="T83" s="160" t="str">
        <f>IFERROR(INDEX(当年标准成本!$I:$I,MATCH(K83,当年标准成本!$C:$C,0),1),"")</f>
        <v/>
      </c>
      <c r="U83" s="126" t="str">
        <f t="shared" si="14"/>
        <v/>
      </c>
      <c r="V83" s="126" t="str">
        <f t="shared" si="15"/>
        <v/>
      </c>
      <c r="W83" s="124" t="str">
        <f t="shared" si="16"/>
        <v/>
      </c>
      <c r="X83" s="125" t="str">
        <f t="shared" si="11"/>
        <v/>
      </c>
    </row>
    <row r="84" spans="1:24" x14ac:dyDescent="0.3">
      <c r="A84" s="129"/>
      <c r="B84" s="129"/>
      <c r="C84" s="128"/>
      <c r="D84" s="128"/>
      <c r="E84" s="128"/>
      <c r="F84" s="166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6" t="str">
        <f t="shared" si="12"/>
        <v/>
      </c>
      <c r="S84" s="163" t="str">
        <f t="shared" si="13"/>
        <v/>
      </c>
      <c r="T84" s="160" t="str">
        <f>IFERROR(INDEX(当年标准成本!$I:$I,MATCH(K84,当年标准成本!$C:$C,0),1),"")</f>
        <v/>
      </c>
      <c r="U84" s="126" t="str">
        <f t="shared" si="14"/>
        <v/>
      </c>
      <c r="V84" s="126" t="str">
        <f t="shared" si="15"/>
        <v/>
      </c>
      <c r="W84" s="124" t="str">
        <f t="shared" si="16"/>
        <v/>
      </c>
      <c r="X84" s="125" t="str">
        <f t="shared" si="11"/>
        <v/>
      </c>
    </row>
    <row r="85" spans="1:24" x14ac:dyDescent="0.3">
      <c r="A85" s="129"/>
      <c r="B85" s="129"/>
      <c r="C85" s="128"/>
      <c r="D85" s="128"/>
      <c r="E85" s="128"/>
      <c r="F85" s="166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6" t="str">
        <f t="shared" si="12"/>
        <v/>
      </c>
      <c r="S85" s="163" t="str">
        <f t="shared" si="13"/>
        <v/>
      </c>
      <c r="T85" s="160" t="str">
        <f>IFERROR(INDEX(当年标准成本!$I:$I,MATCH(K85,当年标准成本!$C:$C,0),1),"")</f>
        <v/>
      </c>
      <c r="U85" s="126" t="str">
        <f t="shared" si="14"/>
        <v/>
      </c>
      <c r="V85" s="126" t="str">
        <f t="shared" si="15"/>
        <v/>
      </c>
      <c r="W85" s="124" t="str">
        <f t="shared" si="16"/>
        <v/>
      </c>
      <c r="X85" s="125" t="str">
        <f t="shared" si="11"/>
        <v/>
      </c>
    </row>
    <row r="86" spans="1:24" x14ac:dyDescent="0.3">
      <c r="A86" s="129"/>
      <c r="B86" s="129"/>
      <c r="C86" s="128"/>
      <c r="D86" s="128"/>
      <c r="E86" s="128"/>
      <c r="F86" s="166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6" t="str">
        <f t="shared" si="12"/>
        <v/>
      </c>
      <c r="S86" s="163" t="str">
        <f t="shared" si="13"/>
        <v/>
      </c>
      <c r="T86" s="160" t="str">
        <f>IFERROR(INDEX(当年标准成本!$I:$I,MATCH(K86,当年标准成本!$C:$C,0),1),"")</f>
        <v/>
      </c>
      <c r="U86" s="126" t="str">
        <f t="shared" si="14"/>
        <v/>
      </c>
      <c r="V86" s="126" t="str">
        <f t="shared" si="15"/>
        <v/>
      </c>
      <c r="W86" s="124" t="str">
        <f t="shared" si="16"/>
        <v/>
      </c>
      <c r="X86" s="125" t="str">
        <f t="shared" si="11"/>
        <v/>
      </c>
    </row>
    <row r="87" spans="1:24" x14ac:dyDescent="0.3">
      <c r="A87" s="129"/>
      <c r="B87" s="129"/>
      <c r="C87" s="128"/>
      <c r="D87" s="128"/>
      <c r="E87" s="128"/>
      <c r="F87" s="166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6" t="str">
        <f t="shared" si="12"/>
        <v/>
      </c>
      <c r="S87" s="163" t="str">
        <f t="shared" si="13"/>
        <v/>
      </c>
      <c r="T87" s="160" t="str">
        <f>IFERROR(INDEX(当年标准成本!$I:$I,MATCH(K87,当年标准成本!$C:$C,0),1),"")</f>
        <v/>
      </c>
      <c r="U87" s="126" t="str">
        <f t="shared" si="14"/>
        <v/>
      </c>
      <c r="V87" s="126" t="str">
        <f t="shared" si="15"/>
        <v/>
      </c>
      <c r="W87" s="124" t="str">
        <f t="shared" si="16"/>
        <v/>
      </c>
      <c r="X87" s="125" t="str">
        <f t="shared" si="11"/>
        <v/>
      </c>
    </row>
    <row r="88" spans="1:24" x14ac:dyDescent="0.3">
      <c r="A88" s="129"/>
      <c r="B88" s="129"/>
      <c r="C88" s="128"/>
      <c r="D88" s="128"/>
      <c r="E88" s="128"/>
      <c r="F88" s="166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6" t="str">
        <f t="shared" si="12"/>
        <v/>
      </c>
      <c r="S88" s="163" t="str">
        <f t="shared" si="13"/>
        <v/>
      </c>
      <c r="T88" s="160" t="str">
        <f>IFERROR(INDEX(当年标准成本!$I:$I,MATCH(K88,当年标准成本!$C:$C,0),1),"")</f>
        <v/>
      </c>
      <c r="U88" s="126" t="str">
        <f t="shared" si="14"/>
        <v/>
      </c>
      <c r="V88" s="126" t="str">
        <f t="shared" si="15"/>
        <v/>
      </c>
      <c r="W88" s="124" t="str">
        <f t="shared" si="16"/>
        <v/>
      </c>
      <c r="X88" s="125" t="str">
        <f t="shared" si="11"/>
        <v/>
      </c>
    </row>
    <row r="89" spans="1:24" x14ac:dyDescent="0.3">
      <c r="A89" s="129"/>
      <c r="B89" s="129"/>
      <c r="C89" s="128"/>
      <c r="D89" s="128"/>
      <c r="E89" s="128"/>
      <c r="F89" s="166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6" t="str">
        <f t="shared" si="12"/>
        <v/>
      </c>
      <c r="S89" s="163" t="str">
        <f t="shared" si="13"/>
        <v/>
      </c>
      <c r="T89" s="160" t="str">
        <f>IFERROR(INDEX(当年标准成本!$I:$I,MATCH(K89,当年标准成本!$C:$C,0),1),"")</f>
        <v/>
      </c>
      <c r="U89" s="126" t="str">
        <f t="shared" si="14"/>
        <v/>
      </c>
      <c r="V89" s="126" t="str">
        <f t="shared" si="15"/>
        <v/>
      </c>
      <c r="W89" s="124" t="str">
        <f t="shared" si="16"/>
        <v/>
      </c>
      <c r="X89" s="125" t="str">
        <f t="shared" si="11"/>
        <v/>
      </c>
    </row>
    <row r="90" spans="1:24" x14ac:dyDescent="0.3">
      <c r="A90" s="129"/>
      <c r="B90" s="129"/>
      <c r="C90" s="128"/>
      <c r="D90" s="128"/>
      <c r="E90" s="128"/>
      <c r="F90" s="166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6" t="str">
        <f t="shared" si="12"/>
        <v/>
      </c>
      <c r="S90" s="163" t="str">
        <f t="shared" si="13"/>
        <v/>
      </c>
      <c r="T90" s="160" t="str">
        <f>IFERROR(INDEX(当年标准成本!$I:$I,MATCH(K90,当年标准成本!$C:$C,0),1),"")</f>
        <v/>
      </c>
      <c r="U90" s="126" t="str">
        <f t="shared" si="14"/>
        <v/>
      </c>
      <c r="V90" s="126" t="str">
        <f t="shared" si="15"/>
        <v/>
      </c>
      <c r="W90" s="124" t="str">
        <f t="shared" si="16"/>
        <v/>
      </c>
      <c r="X90" s="125" t="str">
        <f t="shared" si="11"/>
        <v/>
      </c>
    </row>
    <row r="91" spans="1:24" x14ac:dyDescent="0.3">
      <c r="A91" s="129"/>
      <c r="B91" s="129"/>
      <c r="C91" s="128"/>
      <c r="D91" s="128"/>
      <c r="E91" s="128"/>
      <c r="F91" s="166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6" t="str">
        <f t="shared" si="12"/>
        <v/>
      </c>
      <c r="S91" s="163" t="str">
        <f t="shared" si="13"/>
        <v/>
      </c>
      <c r="T91" s="160" t="str">
        <f>IFERROR(INDEX(当年标准成本!$I:$I,MATCH(K91,当年标准成本!$C:$C,0),1),"")</f>
        <v/>
      </c>
      <c r="U91" s="126" t="str">
        <f t="shared" si="14"/>
        <v/>
      </c>
      <c r="V91" s="126" t="str">
        <f t="shared" si="15"/>
        <v/>
      </c>
      <c r="W91" s="124" t="str">
        <f t="shared" si="16"/>
        <v/>
      </c>
      <c r="X91" s="125" t="str">
        <f t="shared" si="11"/>
        <v/>
      </c>
    </row>
    <row r="92" spans="1:24" x14ac:dyDescent="0.3">
      <c r="A92" s="129"/>
      <c r="B92" s="129"/>
      <c r="C92" s="128"/>
      <c r="D92" s="128"/>
      <c r="E92" s="128"/>
      <c r="F92" s="166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6" t="str">
        <f t="shared" si="12"/>
        <v/>
      </c>
      <c r="S92" s="163" t="str">
        <f t="shared" si="13"/>
        <v/>
      </c>
      <c r="T92" s="160" t="str">
        <f>IFERROR(INDEX(当年标准成本!$I:$I,MATCH(K92,当年标准成本!$C:$C,0),1),"")</f>
        <v/>
      </c>
      <c r="U92" s="126" t="str">
        <f t="shared" si="14"/>
        <v/>
      </c>
      <c r="V92" s="126" t="str">
        <f t="shared" si="15"/>
        <v/>
      </c>
      <c r="W92" s="124" t="str">
        <f t="shared" si="16"/>
        <v/>
      </c>
      <c r="X92" s="125" t="str">
        <f t="shared" si="11"/>
        <v/>
      </c>
    </row>
    <row r="93" spans="1:24" x14ac:dyDescent="0.3">
      <c r="A93" s="129"/>
      <c r="B93" s="129"/>
      <c r="C93" s="128"/>
      <c r="D93" s="128"/>
      <c r="E93" s="128"/>
      <c r="F93" s="166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6" t="str">
        <f t="shared" si="12"/>
        <v/>
      </c>
      <c r="S93" s="163" t="str">
        <f t="shared" si="13"/>
        <v/>
      </c>
      <c r="T93" s="160" t="str">
        <f>IFERROR(INDEX(当年标准成本!$I:$I,MATCH(K93,当年标准成本!$C:$C,0),1),"")</f>
        <v/>
      </c>
      <c r="U93" s="126" t="str">
        <f t="shared" si="14"/>
        <v/>
      </c>
      <c r="V93" s="126" t="str">
        <f t="shared" si="15"/>
        <v/>
      </c>
      <c r="W93" s="124" t="str">
        <f t="shared" si="16"/>
        <v/>
      </c>
      <c r="X93" s="125" t="str">
        <f t="shared" si="11"/>
        <v/>
      </c>
    </row>
    <row r="94" spans="1:24" x14ac:dyDescent="0.3">
      <c r="A94" s="129"/>
      <c r="B94" s="129"/>
      <c r="C94" s="128"/>
      <c r="D94" s="128"/>
      <c r="E94" s="128"/>
      <c r="F94" s="166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6" t="str">
        <f t="shared" si="12"/>
        <v/>
      </c>
      <c r="S94" s="163" t="str">
        <f t="shared" si="13"/>
        <v/>
      </c>
      <c r="T94" s="160" t="str">
        <f>IFERROR(INDEX(当年标准成本!$I:$I,MATCH(K94,当年标准成本!$C:$C,0),1),"")</f>
        <v/>
      </c>
      <c r="U94" s="126" t="str">
        <f t="shared" si="14"/>
        <v/>
      </c>
      <c r="V94" s="126" t="str">
        <f t="shared" si="15"/>
        <v/>
      </c>
      <c r="W94" s="124" t="str">
        <f t="shared" si="16"/>
        <v/>
      </c>
      <c r="X94" s="125" t="str">
        <f t="shared" si="11"/>
        <v/>
      </c>
    </row>
    <row r="95" spans="1:24" x14ac:dyDescent="0.3">
      <c r="A95" s="129"/>
      <c r="B95" s="129"/>
      <c r="C95" s="128"/>
      <c r="D95" s="128"/>
      <c r="E95" s="128"/>
      <c r="F95" s="166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6" t="str">
        <f t="shared" si="12"/>
        <v/>
      </c>
      <c r="S95" s="163" t="str">
        <f t="shared" si="13"/>
        <v/>
      </c>
      <c r="T95" s="160" t="str">
        <f>IFERROR(INDEX(当年标准成本!$I:$I,MATCH(K95,当年标准成本!$C:$C,0),1),"")</f>
        <v/>
      </c>
      <c r="U95" s="126" t="str">
        <f t="shared" si="14"/>
        <v/>
      </c>
      <c r="V95" s="126" t="str">
        <f t="shared" si="15"/>
        <v/>
      </c>
      <c r="W95" s="124" t="str">
        <f t="shared" si="16"/>
        <v/>
      </c>
      <c r="X95" s="125" t="str">
        <f t="shared" si="11"/>
        <v/>
      </c>
    </row>
    <row r="96" spans="1:24" x14ac:dyDescent="0.3">
      <c r="A96" s="129"/>
      <c r="B96" s="129"/>
      <c r="C96" s="128"/>
      <c r="D96" s="128"/>
      <c r="E96" s="128"/>
      <c r="F96" s="166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6" t="str">
        <f t="shared" si="12"/>
        <v/>
      </c>
      <c r="S96" s="163" t="str">
        <f t="shared" si="13"/>
        <v/>
      </c>
      <c r="T96" s="160" t="str">
        <f>IFERROR(INDEX(当年标准成本!$I:$I,MATCH(K96,当年标准成本!$C:$C,0),1),"")</f>
        <v/>
      </c>
      <c r="U96" s="126" t="str">
        <f t="shared" si="14"/>
        <v/>
      </c>
      <c r="V96" s="126" t="str">
        <f t="shared" si="15"/>
        <v/>
      </c>
      <c r="W96" s="124" t="str">
        <f t="shared" si="16"/>
        <v/>
      </c>
      <c r="X96" s="125" t="str">
        <f t="shared" si="11"/>
        <v/>
      </c>
    </row>
    <row r="97" spans="1:24" x14ac:dyDescent="0.3">
      <c r="A97" s="129"/>
      <c r="B97" s="129"/>
      <c r="C97" s="128"/>
      <c r="D97" s="128"/>
      <c r="E97" s="128"/>
      <c r="F97" s="166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6" t="str">
        <f t="shared" si="12"/>
        <v/>
      </c>
      <c r="S97" s="163" t="str">
        <f t="shared" si="13"/>
        <v/>
      </c>
      <c r="T97" s="160" t="str">
        <f>IFERROR(INDEX(当年标准成本!$I:$I,MATCH(K97,当年标准成本!$C:$C,0),1),"")</f>
        <v/>
      </c>
      <c r="U97" s="126" t="str">
        <f t="shared" si="14"/>
        <v/>
      </c>
      <c r="V97" s="126" t="str">
        <f t="shared" si="15"/>
        <v/>
      </c>
      <c r="W97" s="124" t="str">
        <f t="shared" si="16"/>
        <v/>
      </c>
      <c r="X97" s="125" t="str">
        <f t="shared" si="11"/>
        <v/>
      </c>
    </row>
    <row r="98" spans="1:24" x14ac:dyDescent="0.3">
      <c r="A98" s="129"/>
      <c r="B98" s="129"/>
      <c r="C98" s="128"/>
      <c r="D98" s="128"/>
      <c r="E98" s="128"/>
      <c r="F98" s="166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6" t="str">
        <f t="shared" si="12"/>
        <v/>
      </c>
      <c r="S98" s="163" t="str">
        <f t="shared" si="13"/>
        <v/>
      </c>
      <c r="T98" s="160" t="str">
        <f>IFERROR(INDEX(当年标准成本!$I:$I,MATCH(K98,当年标准成本!$C:$C,0),1),"")</f>
        <v/>
      </c>
      <c r="U98" s="126" t="str">
        <f t="shared" si="14"/>
        <v/>
      </c>
      <c r="V98" s="126" t="str">
        <f t="shared" si="15"/>
        <v/>
      </c>
      <c r="W98" s="124" t="str">
        <f t="shared" si="16"/>
        <v/>
      </c>
      <c r="X98" s="125" t="str">
        <f t="shared" si="11"/>
        <v/>
      </c>
    </row>
    <row r="99" spans="1:24" x14ac:dyDescent="0.3">
      <c r="A99" s="129"/>
      <c r="B99" s="129"/>
      <c r="C99" s="128"/>
      <c r="D99" s="128"/>
      <c r="E99" s="128"/>
      <c r="F99" s="166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6" t="str">
        <f t="shared" si="12"/>
        <v/>
      </c>
      <c r="S99" s="163" t="str">
        <f t="shared" si="13"/>
        <v/>
      </c>
      <c r="T99" s="160" t="str">
        <f>IFERROR(INDEX(当年标准成本!$I:$I,MATCH(K99,当年标准成本!$C:$C,0),1),"")</f>
        <v/>
      </c>
      <c r="U99" s="126" t="str">
        <f t="shared" si="14"/>
        <v/>
      </c>
      <c r="V99" s="126" t="str">
        <f t="shared" si="15"/>
        <v/>
      </c>
      <c r="W99" s="124" t="str">
        <f t="shared" si="16"/>
        <v/>
      </c>
      <c r="X99" s="125" t="str">
        <f t="shared" si="11"/>
        <v/>
      </c>
    </row>
    <row r="100" spans="1:24" x14ac:dyDescent="0.3">
      <c r="A100" s="129"/>
      <c r="B100" s="129"/>
      <c r="C100" s="128"/>
      <c r="D100" s="128"/>
      <c r="E100" s="128"/>
      <c r="F100" s="166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6" t="str">
        <f t="shared" si="12"/>
        <v/>
      </c>
      <c r="S100" s="163" t="str">
        <f t="shared" si="13"/>
        <v/>
      </c>
      <c r="T100" s="160" t="str">
        <f>IFERROR(INDEX(当年标准成本!$I:$I,MATCH(K100,当年标准成本!$C:$C,0),1),"")</f>
        <v/>
      </c>
      <c r="U100" s="126" t="str">
        <f t="shared" si="14"/>
        <v/>
      </c>
      <c r="V100" s="126" t="str">
        <f t="shared" si="15"/>
        <v/>
      </c>
      <c r="W100" s="124" t="str">
        <f t="shared" si="16"/>
        <v/>
      </c>
      <c r="X100" s="125" t="str">
        <f t="shared" si="11"/>
        <v/>
      </c>
    </row>
    <row r="101" spans="1:24" x14ac:dyDescent="0.3">
      <c r="A101" s="129"/>
      <c r="B101" s="129"/>
      <c r="C101" s="128"/>
      <c r="D101" s="128"/>
      <c r="E101" s="128"/>
      <c r="F101" s="166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6" t="str">
        <f t="shared" si="12"/>
        <v/>
      </c>
      <c r="S101" s="163" t="str">
        <f t="shared" si="13"/>
        <v/>
      </c>
      <c r="T101" s="160" t="str">
        <f>IFERROR(INDEX(当年标准成本!$I:$I,MATCH(K101,当年标准成本!$C:$C,0),1),"")</f>
        <v/>
      </c>
      <c r="U101" s="126" t="str">
        <f t="shared" si="14"/>
        <v/>
      </c>
      <c r="V101" s="126" t="str">
        <f t="shared" si="15"/>
        <v/>
      </c>
      <c r="W101" s="124" t="str">
        <f t="shared" si="16"/>
        <v/>
      </c>
      <c r="X101" s="125" t="str">
        <f t="shared" si="11"/>
        <v/>
      </c>
    </row>
    <row r="102" spans="1:24" x14ac:dyDescent="0.3">
      <c r="A102" s="129"/>
      <c r="B102" s="129"/>
      <c r="C102" s="128"/>
      <c r="D102" s="128"/>
      <c r="E102" s="128"/>
      <c r="F102" s="166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6" t="str">
        <f t="shared" si="12"/>
        <v/>
      </c>
      <c r="S102" s="163" t="str">
        <f t="shared" si="13"/>
        <v/>
      </c>
      <c r="T102" s="160" t="str">
        <f>IFERROR(INDEX(当年标准成本!$I:$I,MATCH(K102,当年标准成本!$C:$C,0),1),"")</f>
        <v/>
      </c>
      <c r="U102" s="126" t="str">
        <f t="shared" si="14"/>
        <v/>
      </c>
      <c r="V102" s="126" t="str">
        <f t="shared" si="15"/>
        <v/>
      </c>
      <c r="W102" s="124" t="str">
        <f t="shared" si="16"/>
        <v/>
      </c>
      <c r="X102" s="125" t="str">
        <f t="shared" si="11"/>
        <v/>
      </c>
    </row>
    <row r="103" spans="1:24" x14ac:dyDescent="0.3">
      <c r="A103" s="129"/>
      <c r="B103" s="129"/>
      <c r="C103" s="128"/>
      <c r="D103" s="128"/>
      <c r="E103" s="128"/>
      <c r="F103" s="166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6" t="str">
        <f t="shared" si="12"/>
        <v/>
      </c>
      <c r="S103" s="163" t="str">
        <f t="shared" si="13"/>
        <v/>
      </c>
      <c r="T103" s="160" t="str">
        <f>IFERROR(INDEX(当年标准成本!$I:$I,MATCH(K103,当年标准成本!$C:$C,0),1),"")</f>
        <v/>
      </c>
      <c r="U103" s="126" t="str">
        <f t="shared" si="14"/>
        <v/>
      </c>
      <c r="V103" s="126" t="str">
        <f t="shared" si="15"/>
        <v/>
      </c>
      <c r="W103" s="124" t="str">
        <f t="shared" si="16"/>
        <v/>
      </c>
      <c r="X103" s="125" t="str">
        <f t="shared" si="11"/>
        <v/>
      </c>
    </row>
    <row r="104" spans="1:24" x14ac:dyDescent="0.3">
      <c r="A104" s="129"/>
      <c r="B104" s="129"/>
      <c r="C104" s="128"/>
      <c r="D104" s="128"/>
      <c r="E104" s="128"/>
      <c r="F104" s="166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6" t="str">
        <f t="shared" si="12"/>
        <v/>
      </c>
      <c r="S104" s="163" t="str">
        <f t="shared" si="13"/>
        <v/>
      </c>
      <c r="T104" s="160" t="str">
        <f>IFERROR(INDEX(当年标准成本!$I:$I,MATCH(K104,当年标准成本!$C:$C,0),1),"")</f>
        <v/>
      </c>
      <c r="U104" s="126" t="str">
        <f t="shared" si="14"/>
        <v/>
      </c>
      <c r="V104" s="126" t="str">
        <f t="shared" si="15"/>
        <v/>
      </c>
      <c r="W104" s="124" t="str">
        <f t="shared" si="16"/>
        <v/>
      </c>
      <c r="X104" s="125" t="str">
        <f t="shared" si="11"/>
        <v/>
      </c>
    </row>
    <row r="105" spans="1:24" x14ac:dyDescent="0.3">
      <c r="A105" s="129"/>
      <c r="B105" s="129"/>
      <c r="C105" s="128"/>
      <c r="D105" s="128"/>
      <c r="E105" s="128"/>
      <c r="F105" s="166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6" t="str">
        <f t="shared" si="12"/>
        <v/>
      </c>
      <c r="S105" s="163" t="str">
        <f t="shared" si="13"/>
        <v/>
      </c>
      <c r="T105" s="160" t="str">
        <f>IFERROR(INDEX(当年标准成本!$I:$I,MATCH(K105,当年标准成本!$C:$C,0),1),"")</f>
        <v/>
      </c>
      <c r="U105" s="126" t="str">
        <f t="shared" si="14"/>
        <v/>
      </c>
      <c r="V105" s="126" t="str">
        <f t="shared" si="15"/>
        <v/>
      </c>
      <c r="W105" s="124" t="str">
        <f t="shared" si="16"/>
        <v/>
      </c>
      <c r="X105" s="125" t="str">
        <f t="shared" si="11"/>
        <v/>
      </c>
    </row>
    <row r="106" spans="1:24" x14ac:dyDescent="0.3">
      <c r="A106" s="129"/>
      <c r="B106" s="129"/>
      <c r="C106" s="128"/>
      <c r="D106" s="128"/>
      <c r="E106" s="128"/>
      <c r="F106" s="166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6" t="str">
        <f t="shared" si="12"/>
        <v/>
      </c>
      <c r="S106" s="163" t="str">
        <f t="shared" si="13"/>
        <v/>
      </c>
      <c r="T106" s="160" t="str">
        <f>IFERROR(INDEX(当年标准成本!$I:$I,MATCH(K106,当年标准成本!$C:$C,0),1),"")</f>
        <v/>
      </c>
      <c r="U106" s="126" t="str">
        <f t="shared" si="14"/>
        <v/>
      </c>
      <c r="V106" s="126" t="str">
        <f t="shared" si="15"/>
        <v/>
      </c>
      <c r="W106" s="124" t="str">
        <f t="shared" si="16"/>
        <v/>
      </c>
      <c r="X106" s="125" t="str">
        <f t="shared" si="11"/>
        <v/>
      </c>
    </row>
    <row r="107" spans="1:24" x14ac:dyDescent="0.3">
      <c r="A107" s="129"/>
      <c r="B107" s="129"/>
      <c r="C107" s="128"/>
      <c r="D107" s="128"/>
      <c r="E107" s="128"/>
      <c r="F107" s="166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6" t="str">
        <f t="shared" si="12"/>
        <v/>
      </c>
      <c r="S107" s="163" t="str">
        <f t="shared" si="13"/>
        <v/>
      </c>
      <c r="T107" s="160" t="str">
        <f>IFERROR(INDEX(当年标准成本!$I:$I,MATCH(K107,当年标准成本!$C:$C,0),1),"")</f>
        <v/>
      </c>
      <c r="U107" s="126" t="str">
        <f t="shared" si="14"/>
        <v/>
      </c>
      <c r="V107" s="126" t="str">
        <f t="shared" si="15"/>
        <v/>
      </c>
      <c r="W107" s="124" t="str">
        <f t="shared" si="16"/>
        <v/>
      </c>
      <c r="X107" s="125" t="str">
        <f t="shared" si="11"/>
        <v/>
      </c>
    </row>
    <row r="108" spans="1:24" x14ac:dyDescent="0.3">
      <c r="A108" s="129"/>
      <c r="B108" s="129"/>
      <c r="C108" s="128"/>
      <c r="D108" s="128"/>
      <c r="E108" s="128"/>
      <c r="F108" s="166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6" t="str">
        <f t="shared" si="12"/>
        <v/>
      </c>
      <c r="S108" s="163" t="str">
        <f t="shared" si="13"/>
        <v/>
      </c>
      <c r="T108" s="160" t="str">
        <f>IFERROR(INDEX(当年标准成本!$I:$I,MATCH(K108,当年标准成本!$C:$C,0),1),"")</f>
        <v/>
      </c>
      <c r="U108" s="126" t="str">
        <f t="shared" si="14"/>
        <v/>
      </c>
      <c r="V108" s="126" t="str">
        <f t="shared" si="15"/>
        <v/>
      </c>
      <c r="W108" s="124" t="str">
        <f t="shared" si="16"/>
        <v/>
      </c>
      <c r="X108" s="125" t="str">
        <f t="shared" si="11"/>
        <v/>
      </c>
    </row>
    <row r="109" spans="1:24" x14ac:dyDescent="0.3">
      <c r="A109" s="129"/>
      <c r="B109" s="129"/>
      <c r="C109" s="128"/>
      <c r="D109" s="128"/>
      <c r="E109" s="128"/>
      <c r="F109" s="166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6" t="str">
        <f t="shared" si="12"/>
        <v/>
      </c>
      <c r="S109" s="163" t="str">
        <f t="shared" si="13"/>
        <v/>
      </c>
      <c r="T109" s="160" t="str">
        <f>IFERROR(INDEX(当年标准成本!$I:$I,MATCH(K109,当年标准成本!$C:$C,0),1),"")</f>
        <v/>
      </c>
      <c r="U109" s="126" t="str">
        <f t="shared" si="14"/>
        <v/>
      </c>
      <c r="V109" s="126" t="str">
        <f t="shared" si="15"/>
        <v/>
      </c>
      <c r="W109" s="124" t="str">
        <f t="shared" si="16"/>
        <v/>
      </c>
      <c r="X109" s="125" t="str">
        <f t="shared" si="11"/>
        <v/>
      </c>
    </row>
    <row r="110" spans="1:24" x14ac:dyDescent="0.3">
      <c r="A110" s="129"/>
      <c r="B110" s="129"/>
      <c r="C110" s="128"/>
      <c r="D110" s="128"/>
      <c r="E110" s="128"/>
      <c r="F110" s="166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6" t="str">
        <f t="shared" si="12"/>
        <v/>
      </c>
      <c r="S110" s="163" t="str">
        <f t="shared" si="13"/>
        <v/>
      </c>
      <c r="T110" s="160" t="str">
        <f>IFERROR(INDEX(当年标准成本!$I:$I,MATCH(K110,当年标准成本!$C:$C,0),1),"")</f>
        <v/>
      </c>
      <c r="U110" s="126" t="str">
        <f t="shared" si="14"/>
        <v/>
      </c>
      <c r="V110" s="126" t="str">
        <f t="shared" si="15"/>
        <v/>
      </c>
      <c r="W110" s="124" t="str">
        <f t="shared" si="16"/>
        <v/>
      </c>
      <c r="X110" s="125" t="str">
        <f t="shared" si="11"/>
        <v/>
      </c>
    </row>
    <row r="111" spans="1:24" x14ac:dyDescent="0.3">
      <c r="A111" s="129"/>
      <c r="B111" s="129"/>
      <c r="C111" s="128"/>
      <c r="D111" s="128"/>
      <c r="E111" s="128"/>
      <c r="F111" s="166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6" t="str">
        <f t="shared" si="12"/>
        <v/>
      </c>
      <c r="S111" s="163" t="str">
        <f t="shared" si="13"/>
        <v/>
      </c>
      <c r="T111" s="160" t="str">
        <f>IFERROR(INDEX(当年标准成本!$I:$I,MATCH(K111,当年标准成本!$C:$C,0),1),"")</f>
        <v/>
      </c>
      <c r="U111" s="126" t="str">
        <f t="shared" si="14"/>
        <v/>
      </c>
      <c r="V111" s="126" t="str">
        <f t="shared" si="15"/>
        <v/>
      </c>
      <c r="W111" s="124" t="str">
        <f t="shared" si="16"/>
        <v/>
      </c>
      <c r="X111" s="125" t="str">
        <f t="shared" si="11"/>
        <v/>
      </c>
    </row>
    <row r="112" spans="1:24" x14ac:dyDescent="0.3">
      <c r="A112" s="129"/>
      <c r="B112" s="129"/>
      <c r="C112" s="128"/>
      <c r="D112" s="128"/>
      <c r="E112" s="128"/>
      <c r="F112" s="166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6" t="str">
        <f t="shared" si="12"/>
        <v/>
      </c>
      <c r="S112" s="163" t="str">
        <f t="shared" si="13"/>
        <v/>
      </c>
      <c r="T112" s="160" t="str">
        <f>IFERROR(INDEX(当年标准成本!$I:$I,MATCH(K112,当年标准成本!$C:$C,0),1),"")</f>
        <v/>
      </c>
      <c r="U112" s="126" t="str">
        <f t="shared" si="14"/>
        <v/>
      </c>
      <c r="V112" s="126" t="str">
        <f t="shared" si="15"/>
        <v/>
      </c>
      <c r="W112" s="124" t="str">
        <f t="shared" si="16"/>
        <v/>
      </c>
      <c r="X112" s="125" t="str">
        <f t="shared" si="11"/>
        <v/>
      </c>
    </row>
    <row r="113" spans="1:24" x14ac:dyDescent="0.3">
      <c r="A113" s="129"/>
      <c r="B113" s="129"/>
      <c r="C113" s="128"/>
      <c r="D113" s="128"/>
      <c r="E113" s="128"/>
      <c r="F113" s="166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6" t="str">
        <f t="shared" si="12"/>
        <v/>
      </c>
      <c r="S113" s="163" t="str">
        <f t="shared" si="13"/>
        <v/>
      </c>
      <c r="T113" s="160" t="str">
        <f>IFERROR(INDEX(当年标准成本!$I:$I,MATCH(K113,当年标准成本!$C:$C,0),1),"")</f>
        <v/>
      </c>
      <c r="U113" s="126" t="str">
        <f t="shared" si="14"/>
        <v/>
      </c>
      <c r="V113" s="126" t="str">
        <f t="shared" si="15"/>
        <v/>
      </c>
      <c r="W113" s="124" t="str">
        <f t="shared" si="16"/>
        <v/>
      </c>
      <c r="X113" s="125" t="str">
        <f t="shared" si="11"/>
        <v/>
      </c>
    </row>
    <row r="114" spans="1:24" x14ac:dyDescent="0.3">
      <c r="A114" s="129"/>
      <c r="B114" s="129"/>
      <c r="C114" s="128"/>
      <c r="D114" s="128"/>
      <c r="E114" s="128"/>
      <c r="F114" s="166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6" t="str">
        <f t="shared" si="12"/>
        <v/>
      </c>
      <c r="S114" s="163" t="str">
        <f t="shared" si="13"/>
        <v/>
      </c>
      <c r="T114" s="160" t="str">
        <f>IFERROR(INDEX(当年标准成本!$I:$I,MATCH(K114,当年标准成本!$C:$C,0),1),"")</f>
        <v/>
      </c>
      <c r="U114" s="126" t="str">
        <f t="shared" si="14"/>
        <v/>
      </c>
      <c r="V114" s="126" t="str">
        <f t="shared" si="15"/>
        <v/>
      </c>
      <c r="W114" s="124" t="str">
        <f t="shared" si="16"/>
        <v/>
      </c>
      <c r="X114" s="125" t="str">
        <f t="shared" si="11"/>
        <v/>
      </c>
    </row>
    <row r="115" spans="1:24" x14ac:dyDescent="0.3">
      <c r="A115" s="129"/>
      <c r="B115" s="129"/>
      <c r="C115" s="128"/>
      <c r="D115" s="128"/>
      <c r="E115" s="128"/>
      <c r="F115" s="166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6" t="str">
        <f t="shared" si="12"/>
        <v/>
      </c>
      <c r="S115" s="163" t="str">
        <f t="shared" si="13"/>
        <v/>
      </c>
      <c r="T115" s="160" t="str">
        <f>IFERROR(INDEX(当年标准成本!$I:$I,MATCH(K115,当年标准成本!$C:$C,0),1),"")</f>
        <v/>
      </c>
      <c r="U115" s="126" t="str">
        <f t="shared" si="14"/>
        <v/>
      </c>
      <c r="V115" s="126" t="str">
        <f t="shared" si="15"/>
        <v/>
      </c>
      <c r="W115" s="124" t="str">
        <f t="shared" si="16"/>
        <v/>
      </c>
      <c r="X115" s="125" t="str">
        <f t="shared" si="11"/>
        <v/>
      </c>
    </row>
    <row r="116" spans="1:24" x14ac:dyDescent="0.3">
      <c r="A116" s="129"/>
      <c r="B116" s="129"/>
      <c r="C116" s="128"/>
      <c r="D116" s="128"/>
      <c r="E116" s="128"/>
      <c r="F116" s="166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6" t="str">
        <f t="shared" si="12"/>
        <v/>
      </c>
      <c r="S116" s="163" t="str">
        <f t="shared" si="13"/>
        <v/>
      </c>
      <c r="T116" s="160" t="str">
        <f>IFERROR(INDEX(当年标准成本!$I:$I,MATCH(K116,当年标准成本!$C:$C,0),1),"")</f>
        <v/>
      </c>
      <c r="U116" s="126" t="str">
        <f t="shared" si="14"/>
        <v/>
      </c>
      <c r="V116" s="126" t="str">
        <f t="shared" si="15"/>
        <v/>
      </c>
      <c r="W116" s="124" t="str">
        <f t="shared" si="16"/>
        <v/>
      </c>
      <c r="X116" s="125" t="str">
        <f t="shared" si="11"/>
        <v/>
      </c>
    </row>
    <row r="117" spans="1:24" x14ac:dyDescent="0.3">
      <c r="A117" s="129"/>
      <c r="B117" s="129"/>
      <c r="C117" s="128"/>
      <c r="D117" s="128"/>
      <c r="E117" s="128"/>
      <c r="F117" s="166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6" t="str">
        <f t="shared" si="12"/>
        <v/>
      </c>
      <c r="S117" s="163" t="str">
        <f t="shared" si="13"/>
        <v/>
      </c>
      <c r="T117" s="160" t="str">
        <f>IFERROR(INDEX(当年标准成本!$I:$I,MATCH(K117,当年标准成本!$C:$C,0),1),"")</f>
        <v/>
      </c>
      <c r="U117" s="126" t="str">
        <f t="shared" si="14"/>
        <v/>
      </c>
      <c r="V117" s="126" t="str">
        <f t="shared" si="15"/>
        <v/>
      </c>
      <c r="W117" s="124" t="str">
        <f t="shared" si="16"/>
        <v/>
      </c>
      <c r="X117" s="125" t="str">
        <f t="shared" si="11"/>
        <v/>
      </c>
    </row>
    <row r="118" spans="1:24" x14ac:dyDescent="0.3">
      <c r="A118" s="129"/>
      <c r="B118" s="129"/>
      <c r="C118" s="128"/>
      <c r="D118" s="128"/>
      <c r="E118" s="128"/>
      <c r="F118" s="166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6" t="str">
        <f t="shared" si="12"/>
        <v/>
      </c>
      <c r="S118" s="163" t="str">
        <f t="shared" si="13"/>
        <v/>
      </c>
      <c r="T118" s="160" t="str">
        <f>IFERROR(INDEX(当年标准成本!$I:$I,MATCH(K118,当年标准成本!$C:$C,0),1),"")</f>
        <v/>
      </c>
      <c r="U118" s="126" t="str">
        <f t="shared" si="14"/>
        <v/>
      </c>
      <c r="V118" s="126" t="str">
        <f t="shared" si="15"/>
        <v/>
      </c>
      <c r="W118" s="124" t="str">
        <f t="shared" si="16"/>
        <v/>
      </c>
      <c r="X118" s="125" t="str">
        <f t="shared" si="11"/>
        <v/>
      </c>
    </row>
    <row r="119" spans="1:24" x14ac:dyDescent="0.3">
      <c r="A119" s="129"/>
      <c r="B119" s="129"/>
      <c r="C119" s="128"/>
      <c r="D119" s="128"/>
      <c r="E119" s="128"/>
      <c r="F119" s="166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6" t="str">
        <f t="shared" si="12"/>
        <v/>
      </c>
      <c r="S119" s="163" t="str">
        <f t="shared" si="13"/>
        <v/>
      </c>
      <c r="T119" s="160" t="str">
        <f>IFERROR(INDEX(当年标准成本!$I:$I,MATCH(K119,当年标准成本!$C:$C,0),1),"")</f>
        <v/>
      </c>
      <c r="U119" s="126" t="str">
        <f t="shared" si="14"/>
        <v/>
      </c>
      <c r="V119" s="126" t="str">
        <f t="shared" si="15"/>
        <v/>
      </c>
      <c r="W119" s="124" t="str">
        <f t="shared" si="16"/>
        <v/>
      </c>
      <c r="X119" s="125" t="str">
        <f t="shared" si="11"/>
        <v/>
      </c>
    </row>
    <row r="120" spans="1:24" x14ac:dyDescent="0.3">
      <c r="A120" s="129"/>
      <c r="B120" s="129"/>
      <c r="C120" s="128"/>
      <c r="D120" s="128"/>
      <c r="E120" s="128"/>
      <c r="F120" s="166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6" t="str">
        <f t="shared" si="12"/>
        <v/>
      </c>
      <c r="S120" s="163" t="str">
        <f t="shared" si="13"/>
        <v/>
      </c>
      <c r="T120" s="160" t="str">
        <f>IFERROR(INDEX(当年标准成本!$I:$I,MATCH(K120,当年标准成本!$C:$C,0),1),"")</f>
        <v/>
      </c>
      <c r="U120" s="126" t="str">
        <f t="shared" si="14"/>
        <v/>
      </c>
      <c r="V120" s="126" t="str">
        <f t="shared" si="15"/>
        <v/>
      </c>
      <c r="W120" s="124" t="str">
        <f t="shared" si="16"/>
        <v/>
      </c>
      <c r="X120" s="125" t="str">
        <f t="shared" si="11"/>
        <v/>
      </c>
    </row>
    <row r="121" spans="1:24" x14ac:dyDescent="0.3">
      <c r="A121" s="129"/>
      <c r="B121" s="129"/>
      <c r="C121" s="128"/>
      <c r="D121" s="128"/>
      <c r="E121" s="128"/>
      <c r="F121" s="166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6" t="str">
        <f t="shared" si="12"/>
        <v/>
      </c>
      <c r="S121" s="163" t="str">
        <f t="shared" si="13"/>
        <v/>
      </c>
      <c r="T121" s="160" t="str">
        <f>IFERROR(INDEX(当年标准成本!$I:$I,MATCH(K121,当年标准成本!$C:$C,0),1),"")</f>
        <v/>
      </c>
      <c r="U121" s="126" t="str">
        <f t="shared" si="14"/>
        <v/>
      </c>
      <c r="V121" s="126" t="str">
        <f t="shared" si="15"/>
        <v/>
      </c>
      <c r="W121" s="124" t="str">
        <f t="shared" si="16"/>
        <v/>
      </c>
      <c r="X121" s="125" t="str">
        <f t="shared" si="11"/>
        <v/>
      </c>
    </row>
    <row r="122" spans="1:24" x14ac:dyDescent="0.3">
      <c r="A122" s="129"/>
      <c r="B122" s="129"/>
      <c r="C122" s="128"/>
      <c r="D122" s="128"/>
      <c r="E122" s="128"/>
      <c r="F122" s="166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6" t="str">
        <f t="shared" si="12"/>
        <v/>
      </c>
      <c r="S122" s="163" t="str">
        <f t="shared" si="13"/>
        <v/>
      </c>
      <c r="T122" s="160" t="str">
        <f>IFERROR(INDEX(当年标准成本!$I:$I,MATCH(K122,当年标准成本!$C:$C,0),1),"")</f>
        <v/>
      </c>
      <c r="U122" s="126" t="str">
        <f t="shared" si="14"/>
        <v/>
      </c>
      <c r="V122" s="126" t="str">
        <f t="shared" si="15"/>
        <v/>
      </c>
      <c r="W122" s="124" t="str">
        <f t="shared" si="16"/>
        <v/>
      </c>
      <c r="X122" s="125" t="str">
        <f t="shared" si="11"/>
        <v/>
      </c>
    </row>
    <row r="123" spans="1:24" x14ac:dyDescent="0.3">
      <c r="A123" s="129"/>
      <c r="B123" s="129"/>
      <c r="C123" s="128"/>
      <c r="D123" s="128"/>
      <c r="E123" s="128"/>
      <c r="F123" s="166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6" t="str">
        <f t="shared" si="12"/>
        <v/>
      </c>
      <c r="S123" s="163" t="str">
        <f t="shared" si="13"/>
        <v/>
      </c>
      <c r="T123" s="160" t="str">
        <f>IFERROR(INDEX(当年标准成本!$I:$I,MATCH(K123,当年标准成本!$C:$C,0),1),"")</f>
        <v/>
      </c>
      <c r="U123" s="126" t="str">
        <f t="shared" si="14"/>
        <v/>
      </c>
      <c r="V123" s="126" t="str">
        <f t="shared" si="15"/>
        <v/>
      </c>
      <c r="W123" s="124" t="str">
        <f t="shared" si="16"/>
        <v/>
      </c>
      <c r="X123" s="125" t="str">
        <f t="shared" si="11"/>
        <v/>
      </c>
    </row>
    <row r="124" spans="1:24" x14ac:dyDescent="0.3">
      <c r="A124" s="129"/>
      <c r="B124" s="129"/>
      <c r="C124" s="128"/>
      <c r="D124" s="128"/>
      <c r="E124" s="128"/>
      <c r="F124" s="166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6" t="str">
        <f t="shared" si="12"/>
        <v/>
      </c>
      <c r="S124" s="163" t="str">
        <f t="shared" si="13"/>
        <v/>
      </c>
      <c r="T124" s="160" t="str">
        <f>IFERROR(INDEX(当年标准成本!$I:$I,MATCH(K124,当年标准成本!$C:$C,0),1),"")</f>
        <v/>
      </c>
      <c r="U124" s="126" t="str">
        <f t="shared" si="14"/>
        <v/>
      </c>
      <c r="V124" s="126" t="str">
        <f t="shared" si="15"/>
        <v/>
      </c>
      <c r="W124" s="124" t="str">
        <f t="shared" si="16"/>
        <v/>
      </c>
      <c r="X124" s="125" t="str">
        <f t="shared" si="11"/>
        <v/>
      </c>
    </row>
    <row r="125" spans="1:24" x14ac:dyDescent="0.3">
      <c r="A125" s="129"/>
      <c r="B125" s="129"/>
      <c r="C125" s="128"/>
      <c r="D125" s="128"/>
      <c r="E125" s="128"/>
      <c r="F125" s="166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6" t="str">
        <f t="shared" si="12"/>
        <v/>
      </c>
      <c r="S125" s="163" t="str">
        <f t="shared" si="13"/>
        <v/>
      </c>
      <c r="T125" s="160" t="str">
        <f>IFERROR(INDEX(当年标准成本!$I:$I,MATCH(K125,当年标准成本!$C:$C,0),1),"")</f>
        <v/>
      </c>
      <c r="U125" s="126" t="str">
        <f t="shared" si="14"/>
        <v/>
      </c>
      <c r="V125" s="126" t="str">
        <f t="shared" si="15"/>
        <v/>
      </c>
      <c r="W125" s="124" t="str">
        <f t="shared" si="16"/>
        <v/>
      </c>
      <c r="X125" s="125" t="str">
        <f t="shared" si="11"/>
        <v/>
      </c>
    </row>
    <row r="126" spans="1:24" x14ac:dyDescent="0.3">
      <c r="A126" s="129"/>
      <c r="B126" s="129"/>
      <c r="C126" s="128"/>
      <c r="D126" s="128"/>
      <c r="E126" s="128"/>
      <c r="F126" s="166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6" t="str">
        <f t="shared" si="12"/>
        <v/>
      </c>
      <c r="S126" s="163" t="str">
        <f t="shared" si="13"/>
        <v/>
      </c>
      <c r="T126" s="160" t="str">
        <f>IFERROR(INDEX(当年标准成本!$I:$I,MATCH(K126,当年标准成本!$C:$C,0),1),"")</f>
        <v/>
      </c>
      <c r="U126" s="126" t="str">
        <f t="shared" si="14"/>
        <v/>
      </c>
      <c r="V126" s="126" t="str">
        <f t="shared" si="15"/>
        <v/>
      </c>
      <c r="W126" s="124" t="str">
        <f t="shared" si="16"/>
        <v/>
      </c>
      <c r="X126" s="125" t="str">
        <f t="shared" si="11"/>
        <v/>
      </c>
    </row>
    <row r="127" spans="1:24" x14ac:dyDescent="0.3">
      <c r="A127" s="129"/>
      <c r="B127" s="129"/>
      <c r="C127" s="128"/>
      <c r="D127" s="128"/>
      <c r="E127" s="128"/>
      <c r="F127" s="166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6" t="str">
        <f t="shared" si="12"/>
        <v/>
      </c>
      <c r="S127" s="163" t="str">
        <f t="shared" si="13"/>
        <v/>
      </c>
      <c r="T127" s="160" t="str">
        <f>IFERROR(INDEX(当年标准成本!$I:$I,MATCH(K127,当年标准成本!$C:$C,0),1),"")</f>
        <v/>
      </c>
      <c r="U127" s="126" t="str">
        <f t="shared" si="14"/>
        <v/>
      </c>
      <c r="V127" s="126" t="str">
        <f t="shared" si="15"/>
        <v/>
      </c>
      <c r="W127" s="124" t="str">
        <f t="shared" si="16"/>
        <v/>
      </c>
      <c r="X127" s="125" t="str">
        <f t="shared" si="11"/>
        <v/>
      </c>
    </row>
    <row r="128" spans="1:24" x14ac:dyDescent="0.3">
      <c r="A128" s="129"/>
      <c r="B128" s="129"/>
      <c r="C128" s="128"/>
      <c r="D128" s="128"/>
      <c r="E128" s="128"/>
      <c r="F128" s="166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6" t="str">
        <f t="shared" si="12"/>
        <v/>
      </c>
      <c r="S128" s="163" t="str">
        <f t="shared" si="13"/>
        <v/>
      </c>
      <c r="T128" s="160" t="str">
        <f>IFERROR(INDEX(当年标准成本!$I:$I,MATCH(K128,当年标准成本!$C:$C,0),1),"")</f>
        <v/>
      </c>
      <c r="U128" s="126" t="str">
        <f t="shared" si="14"/>
        <v/>
      </c>
      <c r="V128" s="126" t="str">
        <f t="shared" si="15"/>
        <v/>
      </c>
      <c r="W128" s="124" t="str">
        <f t="shared" si="16"/>
        <v/>
      </c>
      <c r="X128" s="125" t="str">
        <f t="shared" si="11"/>
        <v/>
      </c>
    </row>
    <row r="129" spans="1:24" x14ac:dyDescent="0.3">
      <c r="A129" s="129"/>
      <c r="B129" s="129"/>
      <c r="C129" s="128"/>
      <c r="D129" s="128"/>
      <c r="E129" s="128"/>
      <c r="F129" s="166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6" t="str">
        <f t="shared" si="12"/>
        <v/>
      </c>
      <c r="S129" s="163" t="str">
        <f t="shared" si="13"/>
        <v/>
      </c>
      <c r="T129" s="160" t="str">
        <f>IFERROR(INDEX(当年标准成本!$I:$I,MATCH(K129,当年标准成本!$C:$C,0),1),"")</f>
        <v/>
      </c>
      <c r="U129" s="126" t="str">
        <f t="shared" si="14"/>
        <v/>
      </c>
      <c r="V129" s="126" t="str">
        <f t="shared" si="15"/>
        <v/>
      </c>
      <c r="W129" s="124" t="str">
        <f t="shared" si="16"/>
        <v/>
      </c>
      <c r="X129" s="125" t="str">
        <f t="shared" si="11"/>
        <v/>
      </c>
    </row>
    <row r="130" spans="1:24" x14ac:dyDescent="0.3">
      <c r="A130" s="129"/>
      <c r="B130" s="129"/>
      <c r="C130" s="128"/>
      <c r="D130" s="128"/>
      <c r="E130" s="128"/>
      <c r="F130" s="166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6" t="str">
        <f t="shared" si="12"/>
        <v/>
      </c>
      <c r="S130" s="163" t="str">
        <f t="shared" si="13"/>
        <v/>
      </c>
      <c r="T130" s="160" t="str">
        <f>IFERROR(INDEX(当年标准成本!$I:$I,MATCH(K130,当年标准成本!$C:$C,0),1),"")</f>
        <v/>
      </c>
      <c r="U130" s="126" t="str">
        <f t="shared" si="14"/>
        <v/>
      </c>
      <c r="V130" s="126" t="str">
        <f t="shared" si="15"/>
        <v/>
      </c>
      <c r="W130" s="124" t="str">
        <f t="shared" si="16"/>
        <v/>
      </c>
      <c r="X130" s="125" t="str">
        <f t="shared" ref="X130:X193" si="17">IFERROR(IF(W130/SUM(W:W)=0,"",W130/SUM(W:W)),"")</f>
        <v/>
      </c>
    </row>
    <row r="131" spans="1:24" x14ac:dyDescent="0.3">
      <c r="A131" s="129"/>
      <c r="B131" s="129"/>
      <c r="C131" s="128"/>
      <c r="D131" s="128"/>
      <c r="E131" s="128"/>
      <c r="F131" s="166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6" t="str">
        <f t="shared" si="12"/>
        <v/>
      </c>
      <c r="S131" s="163" t="str">
        <f t="shared" si="13"/>
        <v/>
      </c>
      <c r="T131" s="160" t="str">
        <f>IFERROR(INDEX(当年标准成本!$I:$I,MATCH(K131,当年标准成本!$C:$C,0),1),"")</f>
        <v/>
      </c>
      <c r="U131" s="126" t="str">
        <f t="shared" si="14"/>
        <v/>
      </c>
      <c r="V131" s="126" t="str">
        <f t="shared" si="15"/>
        <v/>
      </c>
      <c r="W131" s="124" t="str">
        <f t="shared" si="16"/>
        <v/>
      </c>
      <c r="X131" s="125" t="str">
        <f t="shared" si="17"/>
        <v/>
      </c>
    </row>
    <row r="132" spans="1:24" x14ac:dyDescent="0.3">
      <c r="A132" s="129"/>
      <c r="B132" s="129"/>
      <c r="C132" s="128"/>
      <c r="D132" s="128"/>
      <c r="E132" s="128"/>
      <c r="F132" s="166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6" t="str">
        <f t="shared" si="12"/>
        <v/>
      </c>
      <c r="S132" s="163" t="str">
        <f t="shared" si="13"/>
        <v/>
      </c>
      <c r="T132" s="160" t="str">
        <f>IFERROR(INDEX(当年标准成本!$I:$I,MATCH(K132,当年标准成本!$C:$C,0),1),"")</f>
        <v/>
      </c>
      <c r="U132" s="126" t="str">
        <f t="shared" si="14"/>
        <v/>
      </c>
      <c r="V132" s="126" t="str">
        <f t="shared" si="15"/>
        <v/>
      </c>
      <c r="W132" s="124" t="str">
        <f t="shared" si="16"/>
        <v/>
      </c>
      <c r="X132" s="125" t="str">
        <f t="shared" si="17"/>
        <v/>
      </c>
    </row>
    <row r="133" spans="1:24" x14ac:dyDescent="0.3">
      <c r="A133" s="129"/>
      <c r="B133" s="129"/>
      <c r="C133" s="128"/>
      <c r="D133" s="128"/>
      <c r="E133" s="128"/>
      <c r="F133" s="166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6" t="str">
        <f t="shared" si="12"/>
        <v/>
      </c>
      <c r="S133" s="163" t="str">
        <f t="shared" si="13"/>
        <v/>
      </c>
      <c r="T133" s="160" t="str">
        <f>IFERROR(INDEX(当年标准成本!$I:$I,MATCH(K133,当年标准成本!$C:$C,0),1),"")</f>
        <v/>
      </c>
      <c r="U133" s="126" t="str">
        <f t="shared" si="14"/>
        <v/>
      </c>
      <c r="V133" s="126" t="str">
        <f t="shared" si="15"/>
        <v/>
      </c>
      <c r="W133" s="124" t="str">
        <f t="shared" si="16"/>
        <v/>
      </c>
      <c r="X133" s="125" t="str">
        <f t="shared" si="17"/>
        <v/>
      </c>
    </row>
    <row r="134" spans="1:24" x14ac:dyDescent="0.3">
      <c r="A134" s="129"/>
      <c r="B134" s="129"/>
      <c r="C134" s="128"/>
      <c r="D134" s="128"/>
      <c r="E134" s="128"/>
      <c r="F134" s="166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6" t="str">
        <f t="shared" si="12"/>
        <v/>
      </c>
      <c r="S134" s="163" t="str">
        <f t="shared" si="13"/>
        <v/>
      </c>
      <c r="T134" s="160" t="str">
        <f>IFERROR(INDEX(当年标准成本!$I:$I,MATCH(K134,当年标准成本!$C:$C,0),1),"")</f>
        <v/>
      </c>
      <c r="U134" s="126" t="str">
        <f t="shared" si="14"/>
        <v/>
      </c>
      <c r="V134" s="126" t="str">
        <f t="shared" si="15"/>
        <v/>
      </c>
      <c r="W134" s="124" t="str">
        <f t="shared" si="16"/>
        <v/>
      </c>
      <c r="X134" s="125" t="str">
        <f t="shared" si="17"/>
        <v/>
      </c>
    </row>
    <row r="135" spans="1:24" x14ac:dyDescent="0.3">
      <c r="A135" s="129"/>
      <c r="B135" s="129"/>
      <c r="C135" s="128"/>
      <c r="D135" s="128"/>
      <c r="E135" s="128"/>
      <c r="F135" s="166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6" t="str">
        <f t="shared" si="12"/>
        <v/>
      </c>
      <c r="S135" s="163" t="str">
        <f t="shared" si="13"/>
        <v/>
      </c>
      <c r="T135" s="160" t="str">
        <f>IFERROR(INDEX(当年标准成本!$I:$I,MATCH(K135,当年标准成本!$C:$C,0),1),"")</f>
        <v/>
      </c>
      <c r="U135" s="126" t="str">
        <f t="shared" si="14"/>
        <v/>
      </c>
      <c r="V135" s="126" t="str">
        <f t="shared" si="15"/>
        <v/>
      </c>
      <c r="W135" s="124" t="str">
        <f t="shared" si="16"/>
        <v/>
      </c>
      <c r="X135" s="125" t="str">
        <f t="shared" si="17"/>
        <v/>
      </c>
    </row>
    <row r="136" spans="1:24" x14ac:dyDescent="0.3">
      <c r="A136" s="129"/>
      <c r="B136" s="129"/>
      <c r="C136" s="128"/>
      <c r="D136" s="128"/>
      <c r="E136" s="128"/>
      <c r="F136" s="166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6" t="str">
        <f t="shared" si="12"/>
        <v/>
      </c>
      <c r="S136" s="163" t="str">
        <f t="shared" si="13"/>
        <v/>
      </c>
      <c r="T136" s="160" t="str">
        <f>IFERROR(INDEX(当年标准成本!$I:$I,MATCH(K136,当年标准成本!$C:$C,0),1),"")</f>
        <v/>
      </c>
      <c r="U136" s="126" t="str">
        <f t="shared" si="14"/>
        <v/>
      </c>
      <c r="V136" s="126" t="str">
        <f t="shared" si="15"/>
        <v/>
      </c>
      <c r="W136" s="124" t="str">
        <f t="shared" si="16"/>
        <v/>
      </c>
      <c r="X136" s="125" t="str">
        <f t="shared" si="17"/>
        <v/>
      </c>
    </row>
    <row r="137" spans="1:24" x14ac:dyDescent="0.3">
      <c r="A137" s="129"/>
      <c r="B137" s="129"/>
      <c r="C137" s="128"/>
      <c r="D137" s="128"/>
      <c r="E137" s="128"/>
      <c r="F137" s="166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6" t="str">
        <f t="shared" si="12"/>
        <v/>
      </c>
      <c r="S137" s="163" t="str">
        <f t="shared" si="13"/>
        <v/>
      </c>
      <c r="T137" s="160" t="str">
        <f>IFERROR(INDEX(当年标准成本!$I:$I,MATCH(K137,当年标准成本!$C:$C,0),1),"")</f>
        <v/>
      </c>
      <c r="U137" s="126" t="str">
        <f t="shared" si="14"/>
        <v/>
      </c>
      <c r="V137" s="126" t="str">
        <f t="shared" si="15"/>
        <v/>
      </c>
      <c r="W137" s="124" t="str">
        <f t="shared" si="16"/>
        <v/>
      </c>
      <c r="X137" s="125" t="str">
        <f t="shared" si="17"/>
        <v/>
      </c>
    </row>
    <row r="138" spans="1:24" x14ac:dyDescent="0.3">
      <c r="A138" s="129"/>
      <c r="B138" s="129"/>
      <c r="C138" s="128"/>
      <c r="D138" s="128"/>
      <c r="E138" s="128"/>
      <c r="F138" s="166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6" t="str">
        <f t="shared" ref="R138:R201" si="18">IFERROR(P138/O138,"")</f>
        <v/>
      </c>
      <c r="S138" s="163" t="str">
        <f t="shared" ref="S138:S201" si="19">IFERROR(R138*(1+Q138),"")</f>
        <v/>
      </c>
      <c r="T138" s="160" t="str">
        <f>IFERROR(INDEX(当年标准成本!$I:$I,MATCH(K138,当年标准成本!$C:$C,0),1),"")</f>
        <v/>
      </c>
      <c r="U138" s="126" t="str">
        <f t="shared" ref="U138:U201" si="20">IFERROR(O138*T138,"")</f>
        <v/>
      </c>
      <c r="V138" s="126" t="str">
        <f t="shared" ref="V138:V201" si="21">IFERROR(P138-U138,"")</f>
        <v/>
      </c>
      <c r="W138" s="124" t="str">
        <f t="shared" ref="W138:W201" si="22">IFERROR(V138/P138,"")</f>
        <v/>
      </c>
      <c r="X138" s="125" t="str">
        <f t="shared" si="17"/>
        <v/>
      </c>
    </row>
    <row r="139" spans="1:24" x14ac:dyDescent="0.3">
      <c r="A139" s="129"/>
      <c r="B139" s="129"/>
      <c r="C139" s="128"/>
      <c r="D139" s="128"/>
      <c r="E139" s="128"/>
      <c r="F139" s="166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6" t="str">
        <f t="shared" si="18"/>
        <v/>
      </c>
      <c r="S139" s="163" t="str">
        <f t="shared" si="19"/>
        <v/>
      </c>
      <c r="T139" s="160" t="str">
        <f>IFERROR(INDEX(当年标准成本!$I:$I,MATCH(K139,当年标准成本!$C:$C,0),1),"")</f>
        <v/>
      </c>
      <c r="U139" s="126" t="str">
        <f t="shared" si="20"/>
        <v/>
      </c>
      <c r="V139" s="126" t="str">
        <f t="shared" si="21"/>
        <v/>
      </c>
      <c r="W139" s="124" t="str">
        <f t="shared" si="22"/>
        <v/>
      </c>
      <c r="X139" s="125" t="str">
        <f t="shared" si="17"/>
        <v/>
      </c>
    </row>
    <row r="140" spans="1:24" x14ac:dyDescent="0.3">
      <c r="A140" s="129"/>
      <c r="B140" s="129"/>
      <c r="C140" s="128"/>
      <c r="D140" s="128"/>
      <c r="E140" s="128"/>
      <c r="F140" s="166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6" t="str">
        <f t="shared" si="18"/>
        <v/>
      </c>
      <c r="S140" s="163" t="str">
        <f t="shared" si="19"/>
        <v/>
      </c>
      <c r="T140" s="160" t="str">
        <f>IFERROR(INDEX(当年标准成本!$I:$I,MATCH(K140,当年标准成本!$C:$C,0),1),"")</f>
        <v/>
      </c>
      <c r="U140" s="126" t="str">
        <f t="shared" si="20"/>
        <v/>
      </c>
      <c r="V140" s="126" t="str">
        <f t="shared" si="21"/>
        <v/>
      </c>
      <c r="W140" s="124" t="str">
        <f t="shared" si="22"/>
        <v/>
      </c>
      <c r="X140" s="125" t="str">
        <f t="shared" si="17"/>
        <v/>
      </c>
    </row>
    <row r="141" spans="1:24" x14ac:dyDescent="0.3">
      <c r="A141" s="129"/>
      <c r="B141" s="129"/>
      <c r="C141" s="128"/>
      <c r="D141" s="128"/>
      <c r="E141" s="128"/>
      <c r="F141" s="166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6" t="str">
        <f t="shared" si="18"/>
        <v/>
      </c>
      <c r="S141" s="163" t="str">
        <f t="shared" si="19"/>
        <v/>
      </c>
      <c r="T141" s="160" t="str">
        <f>IFERROR(INDEX(当年标准成本!$I:$I,MATCH(K141,当年标准成本!$C:$C,0),1),"")</f>
        <v/>
      </c>
      <c r="U141" s="126" t="str">
        <f t="shared" si="20"/>
        <v/>
      </c>
      <c r="V141" s="126" t="str">
        <f t="shared" si="21"/>
        <v/>
      </c>
      <c r="W141" s="124" t="str">
        <f t="shared" si="22"/>
        <v/>
      </c>
      <c r="X141" s="125" t="str">
        <f t="shared" si="17"/>
        <v/>
      </c>
    </row>
    <row r="142" spans="1:24" x14ac:dyDescent="0.3">
      <c r="A142" s="129"/>
      <c r="B142" s="129"/>
      <c r="C142" s="128"/>
      <c r="D142" s="128"/>
      <c r="E142" s="128"/>
      <c r="F142" s="166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6" t="str">
        <f t="shared" si="18"/>
        <v/>
      </c>
      <c r="S142" s="163" t="str">
        <f t="shared" si="19"/>
        <v/>
      </c>
      <c r="T142" s="160" t="str">
        <f>IFERROR(INDEX(当年标准成本!$I:$I,MATCH(K142,当年标准成本!$C:$C,0),1),"")</f>
        <v/>
      </c>
      <c r="U142" s="126" t="str">
        <f t="shared" si="20"/>
        <v/>
      </c>
      <c r="V142" s="126" t="str">
        <f t="shared" si="21"/>
        <v/>
      </c>
      <c r="W142" s="124" t="str">
        <f t="shared" si="22"/>
        <v/>
      </c>
      <c r="X142" s="125" t="str">
        <f t="shared" si="17"/>
        <v/>
      </c>
    </row>
    <row r="143" spans="1:24" x14ac:dyDescent="0.3">
      <c r="A143" s="129"/>
      <c r="B143" s="129"/>
      <c r="C143" s="128"/>
      <c r="D143" s="128"/>
      <c r="E143" s="128"/>
      <c r="F143" s="166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6" t="str">
        <f t="shared" si="18"/>
        <v/>
      </c>
      <c r="S143" s="163" t="str">
        <f t="shared" si="19"/>
        <v/>
      </c>
      <c r="T143" s="160" t="str">
        <f>IFERROR(INDEX(当年标准成本!$I:$I,MATCH(K143,当年标准成本!$C:$C,0),1),"")</f>
        <v/>
      </c>
      <c r="U143" s="126" t="str">
        <f t="shared" si="20"/>
        <v/>
      </c>
      <c r="V143" s="126" t="str">
        <f t="shared" si="21"/>
        <v/>
      </c>
      <c r="W143" s="124" t="str">
        <f t="shared" si="22"/>
        <v/>
      </c>
      <c r="X143" s="125" t="str">
        <f t="shared" si="17"/>
        <v/>
      </c>
    </row>
    <row r="144" spans="1:24" x14ac:dyDescent="0.3">
      <c r="A144" s="129"/>
      <c r="B144" s="129"/>
      <c r="C144" s="128"/>
      <c r="D144" s="128"/>
      <c r="E144" s="128"/>
      <c r="F144" s="166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6" t="str">
        <f t="shared" si="18"/>
        <v/>
      </c>
      <c r="S144" s="163" t="str">
        <f t="shared" si="19"/>
        <v/>
      </c>
      <c r="T144" s="160" t="str">
        <f>IFERROR(INDEX(当年标准成本!$I:$I,MATCH(K144,当年标准成本!$C:$C,0),1),"")</f>
        <v/>
      </c>
      <c r="U144" s="126" t="str">
        <f t="shared" si="20"/>
        <v/>
      </c>
      <c r="V144" s="126" t="str">
        <f t="shared" si="21"/>
        <v/>
      </c>
      <c r="W144" s="124" t="str">
        <f t="shared" si="22"/>
        <v/>
      </c>
      <c r="X144" s="125" t="str">
        <f t="shared" si="17"/>
        <v/>
      </c>
    </row>
    <row r="145" spans="1:24" x14ac:dyDescent="0.3">
      <c r="A145" s="129"/>
      <c r="B145" s="129"/>
      <c r="C145" s="128"/>
      <c r="D145" s="128"/>
      <c r="E145" s="128"/>
      <c r="F145" s="166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6" t="str">
        <f t="shared" si="18"/>
        <v/>
      </c>
      <c r="S145" s="163" t="str">
        <f t="shared" si="19"/>
        <v/>
      </c>
      <c r="T145" s="160" t="str">
        <f>IFERROR(INDEX(当年标准成本!$I:$I,MATCH(K145,当年标准成本!$C:$C,0),1),"")</f>
        <v/>
      </c>
      <c r="U145" s="126" t="str">
        <f t="shared" si="20"/>
        <v/>
      </c>
      <c r="V145" s="126" t="str">
        <f t="shared" si="21"/>
        <v/>
      </c>
      <c r="W145" s="124" t="str">
        <f t="shared" si="22"/>
        <v/>
      </c>
      <c r="X145" s="125" t="str">
        <f t="shared" si="17"/>
        <v/>
      </c>
    </row>
    <row r="146" spans="1:24" x14ac:dyDescent="0.3">
      <c r="A146" s="129"/>
      <c r="B146" s="129"/>
      <c r="C146" s="128"/>
      <c r="D146" s="128"/>
      <c r="E146" s="128"/>
      <c r="F146" s="166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6" t="str">
        <f t="shared" si="18"/>
        <v/>
      </c>
      <c r="S146" s="163" t="str">
        <f t="shared" si="19"/>
        <v/>
      </c>
      <c r="T146" s="160" t="str">
        <f>IFERROR(INDEX(当年标准成本!$I:$I,MATCH(K146,当年标准成本!$C:$C,0),1),"")</f>
        <v/>
      </c>
      <c r="U146" s="126" t="str">
        <f t="shared" si="20"/>
        <v/>
      </c>
      <c r="V146" s="126" t="str">
        <f t="shared" si="21"/>
        <v/>
      </c>
      <c r="W146" s="124" t="str">
        <f t="shared" si="22"/>
        <v/>
      </c>
      <c r="X146" s="125" t="str">
        <f t="shared" si="17"/>
        <v/>
      </c>
    </row>
    <row r="147" spans="1:24" x14ac:dyDescent="0.3">
      <c r="A147" s="129"/>
      <c r="B147" s="129"/>
      <c r="C147" s="128"/>
      <c r="D147" s="128"/>
      <c r="E147" s="128"/>
      <c r="F147" s="166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6" t="str">
        <f t="shared" si="18"/>
        <v/>
      </c>
      <c r="S147" s="163" t="str">
        <f t="shared" si="19"/>
        <v/>
      </c>
      <c r="T147" s="160" t="str">
        <f>IFERROR(INDEX(当年标准成本!$I:$I,MATCH(K147,当年标准成本!$C:$C,0),1),"")</f>
        <v/>
      </c>
      <c r="U147" s="126" t="str">
        <f t="shared" si="20"/>
        <v/>
      </c>
      <c r="V147" s="126" t="str">
        <f t="shared" si="21"/>
        <v/>
      </c>
      <c r="W147" s="124" t="str">
        <f t="shared" si="22"/>
        <v/>
      </c>
      <c r="X147" s="125" t="str">
        <f t="shared" si="17"/>
        <v/>
      </c>
    </row>
    <row r="148" spans="1:24" x14ac:dyDescent="0.3">
      <c r="A148" s="129"/>
      <c r="B148" s="129"/>
      <c r="C148" s="128"/>
      <c r="D148" s="128"/>
      <c r="E148" s="128"/>
      <c r="F148" s="166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6" t="str">
        <f t="shared" si="18"/>
        <v/>
      </c>
      <c r="S148" s="163" t="str">
        <f t="shared" si="19"/>
        <v/>
      </c>
      <c r="T148" s="160" t="str">
        <f>IFERROR(INDEX(当年标准成本!$I:$I,MATCH(K148,当年标准成本!$C:$C,0),1),"")</f>
        <v/>
      </c>
      <c r="U148" s="126" t="str">
        <f t="shared" si="20"/>
        <v/>
      </c>
      <c r="V148" s="126" t="str">
        <f t="shared" si="21"/>
        <v/>
      </c>
      <c r="W148" s="124" t="str">
        <f t="shared" si="22"/>
        <v/>
      </c>
      <c r="X148" s="125" t="str">
        <f t="shared" si="17"/>
        <v/>
      </c>
    </row>
    <row r="149" spans="1:24" x14ac:dyDescent="0.3">
      <c r="A149" s="129"/>
      <c r="B149" s="129"/>
      <c r="C149" s="128"/>
      <c r="D149" s="128"/>
      <c r="E149" s="128"/>
      <c r="F149" s="166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6" t="str">
        <f t="shared" si="18"/>
        <v/>
      </c>
      <c r="S149" s="163" t="str">
        <f t="shared" si="19"/>
        <v/>
      </c>
      <c r="T149" s="160" t="str">
        <f>IFERROR(INDEX(当年标准成本!$I:$I,MATCH(K149,当年标准成本!$C:$C,0),1),"")</f>
        <v/>
      </c>
      <c r="U149" s="126" t="str">
        <f t="shared" si="20"/>
        <v/>
      </c>
      <c r="V149" s="126" t="str">
        <f t="shared" si="21"/>
        <v/>
      </c>
      <c r="W149" s="124" t="str">
        <f t="shared" si="22"/>
        <v/>
      </c>
      <c r="X149" s="125" t="str">
        <f t="shared" si="17"/>
        <v/>
      </c>
    </row>
    <row r="150" spans="1:24" x14ac:dyDescent="0.3">
      <c r="A150" s="129"/>
      <c r="B150" s="129"/>
      <c r="C150" s="128"/>
      <c r="D150" s="128"/>
      <c r="E150" s="128"/>
      <c r="F150" s="166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6" t="str">
        <f t="shared" si="18"/>
        <v/>
      </c>
      <c r="S150" s="163" t="str">
        <f t="shared" si="19"/>
        <v/>
      </c>
      <c r="T150" s="160" t="str">
        <f>IFERROR(INDEX(当年标准成本!$I:$I,MATCH(K150,当年标准成本!$C:$C,0),1),"")</f>
        <v/>
      </c>
      <c r="U150" s="126" t="str">
        <f t="shared" si="20"/>
        <v/>
      </c>
      <c r="V150" s="126" t="str">
        <f t="shared" si="21"/>
        <v/>
      </c>
      <c r="W150" s="124" t="str">
        <f t="shared" si="22"/>
        <v/>
      </c>
      <c r="X150" s="125" t="str">
        <f t="shared" si="17"/>
        <v/>
      </c>
    </row>
    <row r="151" spans="1:24" x14ac:dyDescent="0.3">
      <c r="A151" s="129"/>
      <c r="B151" s="129"/>
      <c r="C151" s="128"/>
      <c r="D151" s="128"/>
      <c r="E151" s="128"/>
      <c r="F151" s="166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6" t="str">
        <f t="shared" si="18"/>
        <v/>
      </c>
      <c r="S151" s="163" t="str">
        <f t="shared" si="19"/>
        <v/>
      </c>
      <c r="T151" s="160" t="str">
        <f>IFERROR(INDEX(当年标准成本!$I:$I,MATCH(K151,当年标准成本!$C:$C,0),1),"")</f>
        <v/>
      </c>
      <c r="U151" s="126" t="str">
        <f t="shared" si="20"/>
        <v/>
      </c>
      <c r="V151" s="126" t="str">
        <f t="shared" si="21"/>
        <v/>
      </c>
      <c r="W151" s="124" t="str">
        <f t="shared" si="22"/>
        <v/>
      </c>
      <c r="X151" s="125" t="str">
        <f t="shared" si="17"/>
        <v/>
      </c>
    </row>
    <row r="152" spans="1:24" x14ac:dyDescent="0.3">
      <c r="A152" s="129"/>
      <c r="B152" s="129"/>
      <c r="C152" s="128"/>
      <c r="D152" s="128"/>
      <c r="E152" s="128"/>
      <c r="F152" s="166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6" t="str">
        <f t="shared" si="18"/>
        <v/>
      </c>
      <c r="S152" s="163" t="str">
        <f t="shared" si="19"/>
        <v/>
      </c>
      <c r="T152" s="160" t="str">
        <f>IFERROR(INDEX(当年标准成本!$I:$I,MATCH(K152,当年标准成本!$C:$C,0),1),"")</f>
        <v/>
      </c>
      <c r="U152" s="126" t="str">
        <f t="shared" si="20"/>
        <v/>
      </c>
      <c r="V152" s="126" t="str">
        <f t="shared" si="21"/>
        <v/>
      </c>
      <c r="W152" s="124" t="str">
        <f t="shared" si="22"/>
        <v/>
      </c>
      <c r="X152" s="125" t="str">
        <f t="shared" si="17"/>
        <v/>
      </c>
    </row>
    <row r="153" spans="1:24" x14ac:dyDescent="0.3">
      <c r="A153" s="129"/>
      <c r="B153" s="129"/>
      <c r="C153" s="128"/>
      <c r="D153" s="128"/>
      <c r="E153" s="128"/>
      <c r="F153" s="166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6" t="str">
        <f t="shared" si="18"/>
        <v/>
      </c>
      <c r="S153" s="163" t="str">
        <f t="shared" si="19"/>
        <v/>
      </c>
      <c r="T153" s="160" t="str">
        <f>IFERROR(INDEX(当年标准成本!$I:$I,MATCH(K153,当年标准成本!$C:$C,0),1),"")</f>
        <v/>
      </c>
      <c r="U153" s="126" t="str">
        <f t="shared" si="20"/>
        <v/>
      </c>
      <c r="V153" s="126" t="str">
        <f t="shared" si="21"/>
        <v/>
      </c>
      <c r="W153" s="124" t="str">
        <f t="shared" si="22"/>
        <v/>
      </c>
      <c r="X153" s="125" t="str">
        <f t="shared" si="17"/>
        <v/>
      </c>
    </row>
    <row r="154" spans="1:24" x14ac:dyDescent="0.3">
      <c r="A154" s="129"/>
      <c r="B154" s="129"/>
      <c r="C154" s="128"/>
      <c r="D154" s="128"/>
      <c r="E154" s="128"/>
      <c r="F154" s="166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6" t="str">
        <f t="shared" si="18"/>
        <v/>
      </c>
      <c r="S154" s="163" t="str">
        <f t="shared" si="19"/>
        <v/>
      </c>
      <c r="T154" s="160" t="str">
        <f>IFERROR(INDEX(当年标准成本!$I:$I,MATCH(K154,当年标准成本!$C:$C,0),1),"")</f>
        <v/>
      </c>
      <c r="U154" s="126" t="str">
        <f t="shared" si="20"/>
        <v/>
      </c>
      <c r="V154" s="126" t="str">
        <f t="shared" si="21"/>
        <v/>
      </c>
      <c r="W154" s="124" t="str">
        <f t="shared" si="22"/>
        <v/>
      </c>
      <c r="X154" s="125" t="str">
        <f t="shared" si="17"/>
        <v/>
      </c>
    </row>
    <row r="155" spans="1:24" x14ac:dyDescent="0.3">
      <c r="A155" s="129"/>
      <c r="B155" s="129"/>
      <c r="C155" s="128"/>
      <c r="D155" s="128"/>
      <c r="E155" s="128"/>
      <c r="F155" s="166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6" t="str">
        <f t="shared" si="18"/>
        <v/>
      </c>
      <c r="S155" s="163" t="str">
        <f t="shared" si="19"/>
        <v/>
      </c>
      <c r="T155" s="160" t="str">
        <f>IFERROR(INDEX(当年标准成本!$I:$I,MATCH(K155,当年标准成本!$C:$C,0),1),"")</f>
        <v/>
      </c>
      <c r="U155" s="126" t="str">
        <f t="shared" si="20"/>
        <v/>
      </c>
      <c r="V155" s="126" t="str">
        <f t="shared" si="21"/>
        <v/>
      </c>
      <c r="W155" s="124" t="str">
        <f t="shared" si="22"/>
        <v/>
      </c>
      <c r="X155" s="125" t="str">
        <f t="shared" si="17"/>
        <v/>
      </c>
    </row>
    <row r="156" spans="1:24" x14ac:dyDescent="0.3">
      <c r="A156" s="129"/>
      <c r="B156" s="129"/>
      <c r="C156" s="128"/>
      <c r="D156" s="128"/>
      <c r="E156" s="128"/>
      <c r="F156" s="166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6" t="str">
        <f t="shared" si="18"/>
        <v/>
      </c>
      <c r="S156" s="163" t="str">
        <f t="shared" si="19"/>
        <v/>
      </c>
      <c r="T156" s="160" t="str">
        <f>IFERROR(INDEX(当年标准成本!$I:$I,MATCH(K156,当年标准成本!$C:$C,0),1),"")</f>
        <v/>
      </c>
      <c r="U156" s="126" t="str">
        <f t="shared" si="20"/>
        <v/>
      </c>
      <c r="V156" s="126" t="str">
        <f t="shared" si="21"/>
        <v/>
      </c>
      <c r="W156" s="124" t="str">
        <f t="shared" si="22"/>
        <v/>
      </c>
      <c r="X156" s="125" t="str">
        <f t="shared" si="17"/>
        <v/>
      </c>
    </row>
    <row r="157" spans="1:24" x14ac:dyDescent="0.3">
      <c r="A157" s="129"/>
      <c r="B157" s="129"/>
      <c r="C157" s="128"/>
      <c r="D157" s="128"/>
      <c r="E157" s="128"/>
      <c r="F157" s="166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6" t="str">
        <f t="shared" si="18"/>
        <v/>
      </c>
      <c r="S157" s="163" t="str">
        <f t="shared" si="19"/>
        <v/>
      </c>
      <c r="T157" s="160" t="str">
        <f>IFERROR(INDEX(当年标准成本!$I:$I,MATCH(K157,当年标准成本!$C:$C,0),1),"")</f>
        <v/>
      </c>
      <c r="U157" s="126" t="str">
        <f t="shared" si="20"/>
        <v/>
      </c>
      <c r="V157" s="126" t="str">
        <f t="shared" si="21"/>
        <v/>
      </c>
      <c r="W157" s="124" t="str">
        <f t="shared" si="22"/>
        <v/>
      </c>
      <c r="X157" s="125" t="str">
        <f t="shared" si="17"/>
        <v/>
      </c>
    </row>
    <row r="158" spans="1:24" x14ac:dyDescent="0.3">
      <c r="A158" s="129"/>
      <c r="B158" s="129"/>
      <c r="C158" s="128"/>
      <c r="D158" s="128"/>
      <c r="E158" s="128"/>
      <c r="F158" s="166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6" t="str">
        <f t="shared" si="18"/>
        <v/>
      </c>
      <c r="S158" s="163" t="str">
        <f t="shared" si="19"/>
        <v/>
      </c>
      <c r="T158" s="160" t="str">
        <f>IFERROR(INDEX(当年标准成本!$I:$I,MATCH(K158,当年标准成本!$C:$C,0),1),"")</f>
        <v/>
      </c>
      <c r="U158" s="126" t="str">
        <f t="shared" si="20"/>
        <v/>
      </c>
      <c r="V158" s="126" t="str">
        <f t="shared" si="21"/>
        <v/>
      </c>
      <c r="W158" s="124" t="str">
        <f t="shared" si="22"/>
        <v/>
      </c>
      <c r="X158" s="125" t="str">
        <f t="shared" si="17"/>
        <v/>
      </c>
    </row>
    <row r="159" spans="1:24" x14ac:dyDescent="0.3">
      <c r="A159" s="129"/>
      <c r="B159" s="129"/>
      <c r="C159" s="128"/>
      <c r="D159" s="128"/>
      <c r="E159" s="128"/>
      <c r="F159" s="166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6" t="str">
        <f t="shared" si="18"/>
        <v/>
      </c>
      <c r="S159" s="163" t="str">
        <f t="shared" si="19"/>
        <v/>
      </c>
      <c r="T159" s="160" t="str">
        <f>IFERROR(INDEX(当年标准成本!$I:$I,MATCH(K159,当年标准成本!$C:$C,0),1),"")</f>
        <v/>
      </c>
      <c r="U159" s="126" t="str">
        <f t="shared" si="20"/>
        <v/>
      </c>
      <c r="V159" s="126" t="str">
        <f t="shared" si="21"/>
        <v/>
      </c>
      <c r="W159" s="124" t="str">
        <f t="shared" si="22"/>
        <v/>
      </c>
      <c r="X159" s="125" t="str">
        <f t="shared" si="17"/>
        <v/>
      </c>
    </row>
    <row r="160" spans="1:24" x14ac:dyDescent="0.3">
      <c r="A160" s="129"/>
      <c r="B160" s="129"/>
      <c r="C160" s="128"/>
      <c r="D160" s="128"/>
      <c r="E160" s="128"/>
      <c r="F160" s="166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6" t="str">
        <f t="shared" si="18"/>
        <v/>
      </c>
      <c r="S160" s="163" t="str">
        <f t="shared" si="19"/>
        <v/>
      </c>
      <c r="T160" s="160" t="str">
        <f>IFERROR(INDEX(当年标准成本!$I:$I,MATCH(K160,当年标准成本!$C:$C,0),1),"")</f>
        <v/>
      </c>
      <c r="U160" s="126" t="str">
        <f t="shared" si="20"/>
        <v/>
      </c>
      <c r="V160" s="126" t="str">
        <f t="shared" si="21"/>
        <v/>
      </c>
      <c r="W160" s="124" t="str">
        <f t="shared" si="22"/>
        <v/>
      </c>
      <c r="X160" s="125" t="str">
        <f t="shared" si="17"/>
        <v/>
      </c>
    </row>
    <row r="161" spans="1:24" x14ac:dyDescent="0.3">
      <c r="A161" s="129"/>
      <c r="B161" s="129"/>
      <c r="C161" s="128"/>
      <c r="D161" s="128"/>
      <c r="E161" s="128"/>
      <c r="F161" s="166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6" t="str">
        <f t="shared" si="18"/>
        <v/>
      </c>
      <c r="S161" s="163" t="str">
        <f t="shared" si="19"/>
        <v/>
      </c>
      <c r="T161" s="160" t="str">
        <f>IFERROR(INDEX(当年标准成本!$I:$I,MATCH(K161,当年标准成本!$C:$C,0),1),"")</f>
        <v/>
      </c>
      <c r="U161" s="126" t="str">
        <f t="shared" si="20"/>
        <v/>
      </c>
      <c r="V161" s="126" t="str">
        <f t="shared" si="21"/>
        <v/>
      </c>
      <c r="W161" s="124" t="str">
        <f t="shared" si="22"/>
        <v/>
      </c>
      <c r="X161" s="125" t="str">
        <f t="shared" si="17"/>
        <v/>
      </c>
    </row>
    <row r="162" spans="1:24" x14ac:dyDescent="0.3">
      <c r="A162" s="129"/>
      <c r="B162" s="129"/>
      <c r="C162" s="128"/>
      <c r="D162" s="128"/>
      <c r="E162" s="128"/>
      <c r="F162" s="166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6" t="str">
        <f t="shared" si="18"/>
        <v/>
      </c>
      <c r="S162" s="163" t="str">
        <f t="shared" si="19"/>
        <v/>
      </c>
      <c r="T162" s="160" t="str">
        <f>IFERROR(INDEX(当年标准成本!$I:$I,MATCH(K162,当年标准成本!$C:$C,0),1),"")</f>
        <v/>
      </c>
      <c r="U162" s="126" t="str">
        <f t="shared" si="20"/>
        <v/>
      </c>
      <c r="V162" s="126" t="str">
        <f t="shared" si="21"/>
        <v/>
      </c>
      <c r="W162" s="124" t="str">
        <f t="shared" si="22"/>
        <v/>
      </c>
      <c r="X162" s="125" t="str">
        <f t="shared" si="17"/>
        <v/>
      </c>
    </row>
    <row r="163" spans="1:24" x14ac:dyDescent="0.3">
      <c r="A163" s="129"/>
      <c r="B163" s="129"/>
      <c r="C163" s="128"/>
      <c r="D163" s="128"/>
      <c r="E163" s="128"/>
      <c r="F163" s="166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6" t="str">
        <f t="shared" si="18"/>
        <v/>
      </c>
      <c r="S163" s="163" t="str">
        <f t="shared" si="19"/>
        <v/>
      </c>
      <c r="T163" s="160" t="str">
        <f>IFERROR(INDEX(当年标准成本!$I:$I,MATCH(K163,当年标准成本!$C:$C,0),1),"")</f>
        <v/>
      </c>
      <c r="U163" s="126" t="str">
        <f t="shared" si="20"/>
        <v/>
      </c>
      <c r="V163" s="126" t="str">
        <f t="shared" si="21"/>
        <v/>
      </c>
      <c r="W163" s="124" t="str">
        <f t="shared" si="22"/>
        <v/>
      </c>
      <c r="X163" s="125" t="str">
        <f t="shared" si="17"/>
        <v/>
      </c>
    </row>
    <row r="164" spans="1:24" x14ac:dyDescent="0.3">
      <c r="A164" s="129"/>
      <c r="B164" s="129"/>
      <c r="C164" s="128"/>
      <c r="D164" s="128"/>
      <c r="E164" s="128"/>
      <c r="F164" s="166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6" t="str">
        <f t="shared" si="18"/>
        <v/>
      </c>
      <c r="S164" s="163" t="str">
        <f t="shared" si="19"/>
        <v/>
      </c>
      <c r="T164" s="160" t="str">
        <f>IFERROR(INDEX(当年标准成本!$I:$I,MATCH(K164,当年标准成本!$C:$C,0),1),"")</f>
        <v/>
      </c>
      <c r="U164" s="126" t="str">
        <f t="shared" si="20"/>
        <v/>
      </c>
      <c r="V164" s="126" t="str">
        <f t="shared" si="21"/>
        <v/>
      </c>
      <c r="W164" s="124" t="str">
        <f t="shared" si="22"/>
        <v/>
      </c>
      <c r="X164" s="125" t="str">
        <f t="shared" si="17"/>
        <v/>
      </c>
    </row>
    <row r="165" spans="1:24" x14ac:dyDescent="0.3">
      <c r="A165" s="129"/>
      <c r="B165" s="129"/>
      <c r="C165" s="128"/>
      <c r="D165" s="128"/>
      <c r="E165" s="128"/>
      <c r="F165" s="166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6" t="str">
        <f t="shared" si="18"/>
        <v/>
      </c>
      <c r="S165" s="163" t="str">
        <f t="shared" si="19"/>
        <v/>
      </c>
      <c r="T165" s="160" t="str">
        <f>IFERROR(INDEX(当年标准成本!$I:$I,MATCH(K165,当年标准成本!$C:$C,0),1),"")</f>
        <v/>
      </c>
      <c r="U165" s="126" t="str">
        <f t="shared" si="20"/>
        <v/>
      </c>
      <c r="V165" s="126" t="str">
        <f t="shared" si="21"/>
        <v/>
      </c>
      <c r="W165" s="124" t="str">
        <f t="shared" si="22"/>
        <v/>
      </c>
      <c r="X165" s="125" t="str">
        <f t="shared" si="17"/>
        <v/>
      </c>
    </row>
    <row r="166" spans="1:24" x14ac:dyDescent="0.3">
      <c r="A166" s="129"/>
      <c r="B166" s="129"/>
      <c r="C166" s="128"/>
      <c r="D166" s="128"/>
      <c r="E166" s="128"/>
      <c r="F166" s="166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6" t="str">
        <f t="shared" si="18"/>
        <v/>
      </c>
      <c r="S166" s="163" t="str">
        <f t="shared" si="19"/>
        <v/>
      </c>
      <c r="T166" s="160" t="str">
        <f>IFERROR(INDEX(当年标准成本!$I:$I,MATCH(K166,当年标准成本!$C:$C,0),1),"")</f>
        <v/>
      </c>
      <c r="U166" s="126" t="str">
        <f t="shared" si="20"/>
        <v/>
      </c>
      <c r="V166" s="126" t="str">
        <f t="shared" si="21"/>
        <v/>
      </c>
      <c r="W166" s="124" t="str">
        <f t="shared" si="22"/>
        <v/>
      </c>
      <c r="X166" s="125" t="str">
        <f t="shared" si="17"/>
        <v/>
      </c>
    </row>
    <row r="167" spans="1:24" x14ac:dyDescent="0.3">
      <c r="A167" s="129"/>
      <c r="B167" s="129"/>
      <c r="C167" s="128"/>
      <c r="D167" s="128"/>
      <c r="E167" s="128"/>
      <c r="F167" s="166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6" t="str">
        <f t="shared" si="18"/>
        <v/>
      </c>
      <c r="S167" s="163" t="str">
        <f t="shared" si="19"/>
        <v/>
      </c>
      <c r="T167" s="160" t="str">
        <f>IFERROR(INDEX(当年标准成本!$I:$I,MATCH(K167,当年标准成本!$C:$C,0),1),"")</f>
        <v/>
      </c>
      <c r="U167" s="126" t="str">
        <f t="shared" si="20"/>
        <v/>
      </c>
      <c r="V167" s="126" t="str">
        <f t="shared" si="21"/>
        <v/>
      </c>
      <c r="W167" s="124" t="str">
        <f t="shared" si="22"/>
        <v/>
      </c>
      <c r="X167" s="125" t="str">
        <f t="shared" si="17"/>
        <v/>
      </c>
    </row>
    <row r="168" spans="1:24" x14ac:dyDescent="0.3">
      <c r="A168" s="129"/>
      <c r="B168" s="129"/>
      <c r="C168" s="128"/>
      <c r="D168" s="128"/>
      <c r="E168" s="128"/>
      <c r="F168" s="166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6" t="str">
        <f t="shared" si="18"/>
        <v/>
      </c>
      <c r="S168" s="163" t="str">
        <f t="shared" si="19"/>
        <v/>
      </c>
      <c r="T168" s="160" t="str">
        <f>IFERROR(INDEX(当年标准成本!$I:$I,MATCH(K168,当年标准成本!$C:$C,0),1),"")</f>
        <v/>
      </c>
      <c r="U168" s="126" t="str">
        <f t="shared" si="20"/>
        <v/>
      </c>
      <c r="V168" s="126" t="str">
        <f t="shared" si="21"/>
        <v/>
      </c>
      <c r="W168" s="124" t="str">
        <f t="shared" si="22"/>
        <v/>
      </c>
      <c r="X168" s="125" t="str">
        <f t="shared" si="17"/>
        <v/>
      </c>
    </row>
    <row r="169" spans="1:24" x14ac:dyDescent="0.3">
      <c r="A169" s="129"/>
      <c r="B169" s="129"/>
      <c r="C169" s="128"/>
      <c r="D169" s="128"/>
      <c r="E169" s="128"/>
      <c r="F169" s="166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6" t="str">
        <f t="shared" si="18"/>
        <v/>
      </c>
      <c r="S169" s="163" t="str">
        <f t="shared" si="19"/>
        <v/>
      </c>
      <c r="T169" s="160" t="str">
        <f>IFERROR(INDEX(当年标准成本!$I:$I,MATCH(K169,当年标准成本!$C:$C,0),1),"")</f>
        <v/>
      </c>
      <c r="U169" s="126" t="str">
        <f t="shared" si="20"/>
        <v/>
      </c>
      <c r="V169" s="126" t="str">
        <f t="shared" si="21"/>
        <v/>
      </c>
      <c r="W169" s="124" t="str">
        <f t="shared" si="22"/>
        <v/>
      </c>
      <c r="X169" s="125" t="str">
        <f t="shared" si="17"/>
        <v/>
      </c>
    </row>
    <row r="170" spans="1:24" x14ac:dyDescent="0.3">
      <c r="A170" s="129"/>
      <c r="B170" s="129"/>
      <c r="C170" s="128"/>
      <c r="D170" s="128"/>
      <c r="E170" s="128"/>
      <c r="F170" s="166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6" t="str">
        <f t="shared" si="18"/>
        <v/>
      </c>
      <c r="S170" s="163" t="str">
        <f t="shared" si="19"/>
        <v/>
      </c>
      <c r="T170" s="160" t="str">
        <f>IFERROR(INDEX(当年标准成本!$I:$I,MATCH(K170,当年标准成本!$C:$C,0),1),"")</f>
        <v/>
      </c>
      <c r="U170" s="126" t="str">
        <f t="shared" si="20"/>
        <v/>
      </c>
      <c r="V170" s="126" t="str">
        <f t="shared" si="21"/>
        <v/>
      </c>
      <c r="W170" s="124" t="str">
        <f t="shared" si="22"/>
        <v/>
      </c>
      <c r="X170" s="125" t="str">
        <f t="shared" si="17"/>
        <v/>
      </c>
    </row>
    <row r="171" spans="1:24" x14ac:dyDescent="0.3">
      <c r="A171" s="129"/>
      <c r="B171" s="129"/>
      <c r="C171" s="128"/>
      <c r="D171" s="128"/>
      <c r="E171" s="128"/>
      <c r="F171" s="166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6" t="str">
        <f t="shared" si="18"/>
        <v/>
      </c>
      <c r="S171" s="163" t="str">
        <f t="shared" si="19"/>
        <v/>
      </c>
      <c r="T171" s="160" t="str">
        <f>IFERROR(INDEX(当年标准成本!$I:$I,MATCH(K171,当年标准成本!$C:$C,0),1),"")</f>
        <v/>
      </c>
      <c r="U171" s="126" t="str">
        <f t="shared" si="20"/>
        <v/>
      </c>
      <c r="V171" s="126" t="str">
        <f t="shared" si="21"/>
        <v/>
      </c>
      <c r="W171" s="124" t="str">
        <f t="shared" si="22"/>
        <v/>
      </c>
      <c r="X171" s="125" t="str">
        <f t="shared" si="17"/>
        <v/>
      </c>
    </row>
    <row r="172" spans="1:24" x14ac:dyDescent="0.3">
      <c r="A172" s="129"/>
      <c r="B172" s="129"/>
      <c r="C172" s="128"/>
      <c r="D172" s="128"/>
      <c r="E172" s="128"/>
      <c r="F172" s="166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6" t="str">
        <f t="shared" si="18"/>
        <v/>
      </c>
      <c r="S172" s="163" t="str">
        <f t="shared" si="19"/>
        <v/>
      </c>
      <c r="T172" s="160" t="str">
        <f>IFERROR(INDEX(当年标准成本!$I:$I,MATCH(K172,当年标准成本!$C:$C,0),1),"")</f>
        <v/>
      </c>
      <c r="U172" s="126" t="str">
        <f t="shared" si="20"/>
        <v/>
      </c>
      <c r="V172" s="126" t="str">
        <f t="shared" si="21"/>
        <v/>
      </c>
      <c r="W172" s="124" t="str">
        <f t="shared" si="22"/>
        <v/>
      </c>
      <c r="X172" s="125" t="str">
        <f t="shared" si="17"/>
        <v/>
      </c>
    </row>
    <row r="173" spans="1:24" x14ac:dyDescent="0.3">
      <c r="A173" s="129"/>
      <c r="B173" s="129"/>
      <c r="C173" s="128"/>
      <c r="D173" s="128"/>
      <c r="E173" s="128"/>
      <c r="F173" s="166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6" t="str">
        <f t="shared" si="18"/>
        <v/>
      </c>
      <c r="S173" s="163" t="str">
        <f t="shared" si="19"/>
        <v/>
      </c>
      <c r="T173" s="160" t="str">
        <f>IFERROR(INDEX(当年标准成本!$I:$I,MATCH(K173,当年标准成本!$C:$C,0),1),"")</f>
        <v/>
      </c>
      <c r="U173" s="126" t="str">
        <f t="shared" si="20"/>
        <v/>
      </c>
      <c r="V173" s="126" t="str">
        <f t="shared" si="21"/>
        <v/>
      </c>
      <c r="W173" s="124" t="str">
        <f t="shared" si="22"/>
        <v/>
      </c>
      <c r="X173" s="125" t="str">
        <f t="shared" si="17"/>
        <v/>
      </c>
    </row>
    <row r="174" spans="1:24" x14ac:dyDescent="0.3">
      <c r="A174" s="129"/>
      <c r="B174" s="129"/>
      <c r="C174" s="128"/>
      <c r="D174" s="128"/>
      <c r="E174" s="128"/>
      <c r="F174" s="166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6" t="str">
        <f t="shared" si="18"/>
        <v/>
      </c>
      <c r="S174" s="163" t="str">
        <f t="shared" si="19"/>
        <v/>
      </c>
      <c r="T174" s="160" t="str">
        <f>IFERROR(INDEX(当年标准成本!$I:$I,MATCH(K174,当年标准成本!$C:$C,0),1),"")</f>
        <v/>
      </c>
      <c r="U174" s="126" t="str">
        <f t="shared" si="20"/>
        <v/>
      </c>
      <c r="V174" s="126" t="str">
        <f t="shared" si="21"/>
        <v/>
      </c>
      <c r="W174" s="124" t="str">
        <f t="shared" si="22"/>
        <v/>
      </c>
      <c r="X174" s="125" t="str">
        <f t="shared" si="17"/>
        <v/>
      </c>
    </row>
    <row r="175" spans="1:24" x14ac:dyDescent="0.3">
      <c r="A175" s="129"/>
      <c r="B175" s="129"/>
      <c r="C175" s="128"/>
      <c r="D175" s="128"/>
      <c r="E175" s="128"/>
      <c r="F175" s="166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6" t="str">
        <f t="shared" si="18"/>
        <v/>
      </c>
      <c r="S175" s="163" t="str">
        <f t="shared" si="19"/>
        <v/>
      </c>
      <c r="T175" s="160" t="str">
        <f>IFERROR(INDEX(当年标准成本!$I:$I,MATCH(K175,当年标准成本!$C:$C,0),1),"")</f>
        <v/>
      </c>
      <c r="U175" s="126" t="str">
        <f t="shared" si="20"/>
        <v/>
      </c>
      <c r="V175" s="126" t="str">
        <f t="shared" si="21"/>
        <v/>
      </c>
      <c r="W175" s="124" t="str">
        <f t="shared" si="22"/>
        <v/>
      </c>
      <c r="X175" s="125" t="str">
        <f t="shared" si="17"/>
        <v/>
      </c>
    </row>
    <row r="176" spans="1:24" x14ac:dyDescent="0.3">
      <c r="A176" s="129"/>
      <c r="B176" s="129"/>
      <c r="C176" s="128"/>
      <c r="D176" s="128"/>
      <c r="E176" s="128"/>
      <c r="F176" s="166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6" t="str">
        <f t="shared" si="18"/>
        <v/>
      </c>
      <c r="S176" s="163" t="str">
        <f t="shared" si="19"/>
        <v/>
      </c>
      <c r="T176" s="160" t="str">
        <f>IFERROR(INDEX(当年标准成本!$I:$I,MATCH(K176,当年标准成本!$C:$C,0),1),"")</f>
        <v/>
      </c>
      <c r="U176" s="126" t="str">
        <f t="shared" si="20"/>
        <v/>
      </c>
      <c r="V176" s="126" t="str">
        <f t="shared" si="21"/>
        <v/>
      </c>
      <c r="W176" s="124" t="str">
        <f t="shared" si="22"/>
        <v/>
      </c>
      <c r="X176" s="125" t="str">
        <f t="shared" si="17"/>
        <v/>
      </c>
    </row>
    <row r="177" spans="1:24" x14ac:dyDescent="0.3">
      <c r="A177" s="129"/>
      <c r="B177" s="129"/>
      <c r="C177" s="128"/>
      <c r="D177" s="128"/>
      <c r="E177" s="128"/>
      <c r="F177" s="166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6" t="str">
        <f t="shared" si="18"/>
        <v/>
      </c>
      <c r="S177" s="163" t="str">
        <f t="shared" si="19"/>
        <v/>
      </c>
      <c r="T177" s="160" t="str">
        <f>IFERROR(INDEX(当年标准成本!$I:$I,MATCH(K177,当年标准成本!$C:$C,0),1),"")</f>
        <v/>
      </c>
      <c r="U177" s="126" t="str">
        <f t="shared" si="20"/>
        <v/>
      </c>
      <c r="V177" s="126" t="str">
        <f t="shared" si="21"/>
        <v/>
      </c>
      <c r="W177" s="124" t="str">
        <f t="shared" si="22"/>
        <v/>
      </c>
      <c r="X177" s="125" t="str">
        <f t="shared" si="17"/>
        <v/>
      </c>
    </row>
    <row r="178" spans="1:24" x14ac:dyDescent="0.3">
      <c r="A178" s="129"/>
      <c r="B178" s="129"/>
      <c r="C178" s="128"/>
      <c r="D178" s="128"/>
      <c r="E178" s="128"/>
      <c r="F178" s="166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6" t="str">
        <f t="shared" si="18"/>
        <v/>
      </c>
      <c r="S178" s="163" t="str">
        <f t="shared" si="19"/>
        <v/>
      </c>
      <c r="T178" s="160" t="str">
        <f>IFERROR(INDEX(当年标准成本!$I:$I,MATCH(K178,当年标准成本!$C:$C,0),1),"")</f>
        <v/>
      </c>
      <c r="U178" s="126" t="str">
        <f t="shared" si="20"/>
        <v/>
      </c>
      <c r="V178" s="126" t="str">
        <f t="shared" si="21"/>
        <v/>
      </c>
      <c r="W178" s="124" t="str">
        <f t="shared" si="22"/>
        <v/>
      </c>
      <c r="X178" s="125" t="str">
        <f t="shared" si="17"/>
        <v/>
      </c>
    </row>
    <row r="179" spans="1:24" x14ac:dyDescent="0.3">
      <c r="A179" s="129"/>
      <c r="B179" s="129"/>
      <c r="C179" s="128"/>
      <c r="D179" s="128"/>
      <c r="E179" s="128"/>
      <c r="F179" s="166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6" t="str">
        <f t="shared" si="18"/>
        <v/>
      </c>
      <c r="S179" s="163" t="str">
        <f t="shared" si="19"/>
        <v/>
      </c>
      <c r="T179" s="160" t="str">
        <f>IFERROR(INDEX(当年标准成本!$I:$I,MATCH(K179,当年标准成本!$C:$C,0),1),"")</f>
        <v/>
      </c>
      <c r="U179" s="126" t="str">
        <f t="shared" si="20"/>
        <v/>
      </c>
      <c r="V179" s="126" t="str">
        <f t="shared" si="21"/>
        <v/>
      </c>
      <c r="W179" s="124" t="str">
        <f t="shared" si="22"/>
        <v/>
      </c>
      <c r="X179" s="125" t="str">
        <f t="shared" si="17"/>
        <v/>
      </c>
    </row>
    <row r="180" spans="1:24" x14ac:dyDescent="0.3">
      <c r="A180" s="129"/>
      <c r="B180" s="129"/>
      <c r="C180" s="128"/>
      <c r="D180" s="128"/>
      <c r="E180" s="128"/>
      <c r="F180" s="166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6" t="str">
        <f t="shared" si="18"/>
        <v/>
      </c>
      <c r="S180" s="163" t="str">
        <f t="shared" si="19"/>
        <v/>
      </c>
      <c r="T180" s="160" t="str">
        <f>IFERROR(INDEX(当年标准成本!$I:$I,MATCH(K180,当年标准成本!$C:$C,0),1),"")</f>
        <v/>
      </c>
      <c r="U180" s="126" t="str">
        <f t="shared" si="20"/>
        <v/>
      </c>
      <c r="V180" s="126" t="str">
        <f t="shared" si="21"/>
        <v/>
      </c>
      <c r="W180" s="124" t="str">
        <f t="shared" si="22"/>
        <v/>
      </c>
      <c r="X180" s="125" t="str">
        <f t="shared" si="17"/>
        <v/>
      </c>
    </row>
    <row r="181" spans="1:24" x14ac:dyDescent="0.3">
      <c r="A181" s="129"/>
      <c r="B181" s="129"/>
      <c r="C181" s="128"/>
      <c r="D181" s="128"/>
      <c r="E181" s="128"/>
      <c r="F181" s="166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6" t="str">
        <f t="shared" si="18"/>
        <v/>
      </c>
      <c r="S181" s="163" t="str">
        <f t="shared" si="19"/>
        <v/>
      </c>
      <c r="T181" s="160" t="str">
        <f>IFERROR(INDEX(当年标准成本!$I:$I,MATCH(K181,当年标准成本!$C:$C,0),1),"")</f>
        <v/>
      </c>
      <c r="U181" s="126" t="str">
        <f t="shared" si="20"/>
        <v/>
      </c>
      <c r="V181" s="126" t="str">
        <f t="shared" si="21"/>
        <v/>
      </c>
      <c r="W181" s="124" t="str">
        <f t="shared" si="22"/>
        <v/>
      </c>
      <c r="X181" s="125" t="str">
        <f t="shared" si="17"/>
        <v/>
      </c>
    </row>
    <row r="182" spans="1:24" x14ac:dyDescent="0.3">
      <c r="A182" s="129"/>
      <c r="B182" s="129"/>
      <c r="C182" s="128"/>
      <c r="D182" s="128"/>
      <c r="E182" s="128"/>
      <c r="F182" s="166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6" t="str">
        <f t="shared" si="18"/>
        <v/>
      </c>
      <c r="S182" s="163" t="str">
        <f t="shared" si="19"/>
        <v/>
      </c>
      <c r="T182" s="160" t="str">
        <f>IFERROR(INDEX(当年标准成本!$I:$I,MATCH(K182,当年标准成本!$C:$C,0),1),"")</f>
        <v/>
      </c>
      <c r="U182" s="126" t="str">
        <f t="shared" si="20"/>
        <v/>
      </c>
      <c r="V182" s="126" t="str">
        <f t="shared" si="21"/>
        <v/>
      </c>
      <c r="W182" s="124" t="str">
        <f t="shared" si="22"/>
        <v/>
      </c>
      <c r="X182" s="125" t="str">
        <f t="shared" si="17"/>
        <v/>
      </c>
    </row>
    <row r="183" spans="1:24" x14ac:dyDescent="0.3">
      <c r="A183" s="129"/>
      <c r="B183" s="129"/>
      <c r="C183" s="128"/>
      <c r="D183" s="128"/>
      <c r="E183" s="128"/>
      <c r="F183" s="166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6" t="str">
        <f t="shared" si="18"/>
        <v/>
      </c>
      <c r="S183" s="163" t="str">
        <f t="shared" si="19"/>
        <v/>
      </c>
      <c r="T183" s="160" t="str">
        <f>IFERROR(INDEX(当年标准成本!$I:$I,MATCH(K183,当年标准成本!$C:$C,0),1),"")</f>
        <v/>
      </c>
      <c r="U183" s="126" t="str">
        <f t="shared" si="20"/>
        <v/>
      </c>
      <c r="V183" s="126" t="str">
        <f t="shared" si="21"/>
        <v/>
      </c>
      <c r="W183" s="124" t="str">
        <f t="shared" si="22"/>
        <v/>
      </c>
      <c r="X183" s="125" t="str">
        <f t="shared" si="17"/>
        <v/>
      </c>
    </row>
    <row r="184" spans="1:24" x14ac:dyDescent="0.3">
      <c r="A184" s="129"/>
      <c r="B184" s="129"/>
      <c r="C184" s="128"/>
      <c r="D184" s="128"/>
      <c r="E184" s="128"/>
      <c r="F184" s="166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6" t="str">
        <f t="shared" si="18"/>
        <v/>
      </c>
      <c r="S184" s="163" t="str">
        <f t="shared" si="19"/>
        <v/>
      </c>
      <c r="T184" s="160" t="str">
        <f>IFERROR(INDEX(当年标准成本!$I:$I,MATCH(K184,当年标准成本!$C:$C,0),1),"")</f>
        <v/>
      </c>
      <c r="U184" s="126" t="str">
        <f t="shared" si="20"/>
        <v/>
      </c>
      <c r="V184" s="126" t="str">
        <f t="shared" si="21"/>
        <v/>
      </c>
      <c r="W184" s="124" t="str">
        <f t="shared" si="22"/>
        <v/>
      </c>
      <c r="X184" s="125" t="str">
        <f t="shared" si="17"/>
        <v/>
      </c>
    </row>
    <row r="185" spans="1:24" x14ac:dyDescent="0.3">
      <c r="A185" s="129"/>
      <c r="B185" s="129"/>
      <c r="C185" s="128"/>
      <c r="D185" s="128"/>
      <c r="E185" s="128"/>
      <c r="F185" s="166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6" t="str">
        <f t="shared" si="18"/>
        <v/>
      </c>
      <c r="S185" s="163" t="str">
        <f t="shared" si="19"/>
        <v/>
      </c>
      <c r="T185" s="160" t="str">
        <f>IFERROR(INDEX(当年标准成本!$I:$I,MATCH(K185,当年标准成本!$C:$C,0),1),"")</f>
        <v/>
      </c>
      <c r="U185" s="126" t="str">
        <f t="shared" si="20"/>
        <v/>
      </c>
      <c r="V185" s="126" t="str">
        <f t="shared" si="21"/>
        <v/>
      </c>
      <c r="W185" s="124" t="str">
        <f t="shared" si="22"/>
        <v/>
      </c>
      <c r="X185" s="125" t="str">
        <f t="shared" si="17"/>
        <v/>
      </c>
    </row>
    <row r="186" spans="1:24" x14ac:dyDescent="0.3">
      <c r="A186" s="129"/>
      <c r="B186" s="129"/>
      <c r="C186" s="128"/>
      <c r="D186" s="128"/>
      <c r="E186" s="128"/>
      <c r="F186" s="166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6" t="str">
        <f t="shared" si="18"/>
        <v/>
      </c>
      <c r="S186" s="163" t="str">
        <f t="shared" si="19"/>
        <v/>
      </c>
      <c r="T186" s="160" t="str">
        <f>IFERROR(INDEX(当年标准成本!$I:$I,MATCH(K186,当年标准成本!$C:$C,0),1),"")</f>
        <v/>
      </c>
      <c r="U186" s="126" t="str">
        <f t="shared" si="20"/>
        <v/>
      </c>
      <c r="V186" s="126" t="str">
        <f t="shared" si="21"/>
        <v/>
      </c>
      <c r="W186" s="124" t="str">
        <f t="shared" si="22"/>
        <v/>
      </c>
      <c r="X186" s="125" t="str">
        <f t="shared" si="17"/>
        <v/>
      </c>
    </row>
    <row r="187" spans="1:24" x14ac:dyDescent="0.3">
      <c r="A187" s="129"/>
      <c r="B187" s="129"/>
      <c r="C187" s="128"/>
      <c r="D187" s="128"/>
      <c r="E187" s="128"/>
      <c r="F187" s="166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6" t="str">
        <f t="shared" si="18"/>
        <v/>
      </c>
      <c r="S187" s="163" t="str">
        <f t="shared" si="19"/>
        <v/>
      </c>
      <c r="T187" s="160" t="str">
        <f>IFERROR(INDEX(当年标准成本!$I:$I,MATCH(K187,当年标准成本!$C:$C,0),1),"")</f>
        <v/>
      </c>
      <c r="U187" s="126" t="str">
        <f t="shared" si="20"/>
        <v/>
      </c>
      <c r="V187" s="126" t="str">
        <f t="shared" si="21"/>
        <v/>
      </c>
      <c r="W187" s="124" t="str">
        <f t="shared" si="22"/>
        <v/>
      </c>
      <c r="X187" s="125" t="str">
        <f t="shared" si="17"/>
        <v/>
      </c>
    </row>
    <row r="188" spans="1:24" x14ac:dyDescent="0.3">
      <c r="A188" s="129"/>
      <c r="B188" s="129"/>
      <c r="C188" s="128"/>
      <c r="D188" s="128"/>
      <c r="E188" s="128"/>
      <c r="F188" s="166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6" t="str">
        <f t="shared" si="18"/>
        <v/>
      </c>
      <c r="S188" s="163" t="str">
        <f t="shared" si="19"/>
        <v/>
      </c>
      <c r="T188" s="160" t="str">
        <f>IFERROR(INDEX(当年标准成本!$I:$I,MATCH(K188,当年标准成本!$C:$C,0),1),"")</f>
        <v/>
      </c>
      <c r="U188" s="126" t="str">
        <f t="shared" si="20"/>
        <v/>
      </c>
      <c r="V188" s="126" t="str">
        <f t="shared" si="21"/>
        <v/>
      </c>
      <c r="W188" s="124" t="str">
        <f t="shared" si="22"/>
        <v/>
      </c>
      <c r="X188" s="125" t="str">
        <f t="shared" si="17"/>
        <v/>
      </c>
    </row>
    <row r="189" spans="1:24" x14ac:dyDescent="0.3">
      <c r="A189" s="129"/>
      <c r="B189" s="129"/>
      <c r="C189" s="128"/>
      <c r="D189" s="128"/>
      <c r="E189" s="128"/>
      <c r="F189" s="166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6" t="str">
        <f t="shared" si="18"/>
        <v/>
      </c>
      <c r="S189" s="163" t="str">
        <f t="shared" si="19"/>
        <v/>
      </c>
      <c r="T189" s="160" t="str">
        <f>IFERROR(INDEX(当年标准成本!$I:$I,MATCH(K189,当年标准成本!$C:$C,0),1),"")</f>
        <v/>
      </c>
      <c r="U189" s="126" t="str">
        <f t="shared" si="20"/>
        <v/>
      </c>
      <c r="V189" s="126" t="str">
        <f t="shared" si="21"/>
        <v/>
      </c>
      <c r="W189" s="124" t="str">
        <f t="shared" si="22"/>
        <v/>
      </c>
      <c r="X189" s="125" t="str">
        <f t="shared" si="17"/>
        <v/>
      </c>
    </row>
    <row r="190" spans="1:24" x14ac:dyDescent="0.3">
      <c r="A190" s="129"/>
      <c r="B190" s="129"/>
      <c r="C190" s="128"/>
      <c r="D190" s="128"/>
      <c r="E190" s="128"/>
      <c r="F190" s="166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6" t="str">
        <f t="shared" si="18"/>
        <v/>
      </c>
      <c r="S190" s="163" t="str">
        <f t="shared" si="19"/>
        <v/>
      </c>
      <c r="T190" s="160" t="str">
        <f>IFERROR(INDEX(当年标准成本!$I:$I,MATCH(K190,当年标准成本!$C:$C,0),1),"")</f>
        <v/>
      </c>
      <c r="U190" s="126" t="str">
        <f t="shared" si="20"/>
        <v/>
      </c>
      <c r="V190" s="126" t="str">
        <f t="shared" si="21"/>
        <v/>
      </c>
      <c r="W190" s="124" t="str">
        <f t="shared" si="22"/>
        <v/>
      </c>
      <c r="X190" s="125" t="str">
        <f t="shared" si="17"/>
        <v/>
      </c>
    </row>
    <row r="191" spans="1:24" x14ac:dyDescent="0.3">
      <c r="A191" s="129"/>
      <c r="B191" s="129"/>
      <c r="C191" s="128"/>
      <c r="D191" s="128"/>
      <c r="E191" s="128"/>
      <c r="F191" s="166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6" t="str">
        <f t="shared" si="18"/>
        <v/>
      </c>
      <c r="S191" s="163" t="str">
        <f t="shared" si="19"/>
        <v/>
      </c>
      <c r="T191" s="160" t="str">
        <f>IFERROR(INDEX(当年标准成本!$I:$I,MATCH(K191,当年标准成本!$C:$C,0),1),"")</f>
        <v/>
      </c>
      <c r="U191" s="126" t="str">
        <f t="shared" si="20"/>
        <v/>
      </c>
      <c r="V191" s="126" t="str">
        <f t="shared" si="21"/>
        <v/>
      </c>
      <c r="W191" s="124" t="str">
        <f t="shared" si="22"/>
        <v/>
      </c>
      <c r="X191" s="125" t="str">
        <f t="shared" si="17"/>
        <v/>
      </c>
    </row>
    <row r="192" spans="1:24" x14ac:dyDescent="0.3">
      <c r="A192" s="129"/>
      <c r="B192" s="129"/>
      <c r="C192" s="128"/>
      <c r="D192" s="128"/>
      <c r="E192" s="128"/>
      <c r="F192" s="166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6" t="str">
        <f t="shared" si="18"/>
        <v/>
      </c>
      <c r="S192" s="163" t="str">
        <f t="shared" si="19"/>
        <v/>
      </c>
      <c r="T192" s="160" t="str">
        <f>IFERROR(INDEX(当年标准成本!$I:$I,MATCH(K192,当年标准成本!$C:$C,0),1),"")</f>
        <v/>
      </c>
      <c r="U192" s="126" t="str">
        <f t="shared" si="20"/>
        <v/>
      </c>
      <c r="V192" s="126" t="str">
        <f t="shared" si="21"/>
        <v/>
      </c>
      <c r="W192" s="124" t="str">
        <f t="shared" si="22"/>
        <v/>
      </c>
      <c r="X192" s="125" t="str">
        <f t="shared" si="17"/>
        <v/>
      </c>
    </row>
    <row r="193" spans="1:24" x14ac:dyDescent="0.3">
      <c r="A193" s="129"/>
      <c r="B193" s="129"/>
      <c r="C193" s="128"/>
      <c r="D193" s="128"/>
      <c r="E193" s="128"/>
      <c r="F193" s="166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6" t="str">
        <f t="shared" si="18"/>
        <v/>
      </c>
      <c r="S193" s="163" t="str">
        <f t="shared" si="19"/>
        <v/>
      </c>
      <c r="T193" s="160" t="str">
        <f>IFERROR(INDEX(当年标准成本!$I:$I,MATCH(K193,当年标准成本!$C:$C,0),1),"")</f>
        <v/>
      </c>
      <c r="U193" s="126" t="str">
        <f t="shared" si="20"/>
        <v/>
      </c>
      <c r="V193" s="126" t="str">
        <f t="shared" si="21"/>
        <v/>
      </c>
      <c r="W193" s="124" t="str">
        <f t="shared" si="22"/>
        <v/>
      </c>
      <c r="X193" s="125" t="str">
        <f t="shared" si="17"/>
        <v/>
      </c>
    </row>
    <row r="194" spans="1:24" x14ac:dyDescent="0.3">
      <c r="A194" s="129"/>
      <c r="B194" s="129"/>
      <c r="C194" s="128"/>
      <c r="D194" s="128"/>
      <c r="E194" s="128"/>
      <c r="F194" s="166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6" t="str">
        <f t="shared" si="18"/>
        <v/>
      </c>
      <c r="S194" s="163" t="str">
        <f t="shared" si="19"/>
        <v/>
      </c>
      <c r="T194" s="160" t="str">
        <f>IFERROR(INDEX(当年标准成本!$I:$I,MATCH(K194,当年标准成本!$C:$C,0),1),"")</f>
        <v/>
      </c>
      <c r="U194" s="126" t="str">
        <f t="shared" si="20"/>
        <v/>
      </c>
      <c r="V194" s="126" t="str">
        <f t="shared" si="21"/>
        <v/>
      </c>
      <c r="W194" s="124" t="str">
        <f t="shared" si="22"/>
        <v/>
      </c>
      <c r="X194" s="125" t="str">
        <f t="shared" ref="X194:X257" si="23">IFERROR(IF(W194/SUM(W:W)=0,"",W194/SUM(W:W)),"")</f>
        <v/>
      </c>
    </row>
    <row r="195" spans="1:24" x14ac:dyDescent="0.3">
      <c r="A195" s="129"/>
      <c r="B195" s="129"/>
      <c r="C195" s="128"/>
      <c r="D195" s="128"/>
      <c r="E195" s="128"/>
      <c r="F195" s="166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6" t="str">
        <f t="shared" si="18"/>
        <v/>
      </c>
      <c r="S195" s="163" t="str">
        <f t="shared" si="19"/>
        <v/>
      </c>
      <c r="T195" s="160" t="str">
        <f>IFERROR(INDEX(当年标准成本!$I:$I,MATCH(K195,当年标准成本!$C:$C,0),1),"")</f>
        <v/>
      </c>
      <c r="U195" s="126" t="str">
        <f t="shared" si="20"/>
        <v/>
      </c>
      <c r="V195" s="126" t="str">
        <f t="shared" si="21"/>
        <v/>
      </c>
      <c r="W195" s="124" t="str">
        <f t="shared" si="22"/>
        <v/>
      </c>
      <c r="X195" s="125" t="str">
        <f t="shared" si="23"/>
        <v/>
      </c>
    </row>
    <row r="196" spans="1:24" x14ac:dyDescent="0.3">
      <c r="A196" s="129"/>
      <c r="B196" s="129"/>
      <c r="C196" s="128"/>
      <c r="D196" s="128"/>
      <c r="E196" s="128"/>
      <c r="F196" s="166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6" t="str">
        <f t="shared" si="18"/>
        <v/>
      </c>
      <c r="S196" s="163" t="str">
        <f t="shared" si="19"/>
        <v/>
      </c>
      <c r="T196" s="160" t="str">
        <f>IFERROR(INDEX(当年标准成本!$I:$I,MATCH(K196,当年标准成本!$C:$C,0),1),"")</f>
        <v/>
      </c>
      <c r="U196" s="126" t="str">
        <f t="shared" si="20"/>
        <v/>
      </c>
      <c r="V196" s="126" t="str">
        <f t="shared" si="21"/>
        <v/>
      </c>
      <c r="W196" s="124" t="str">
        <f t="shared" si="22"/>
        <v/>
      </c>
      <c r="X196" s="125" t="str">
        <f t="shared" si="23"/>
        <v/>
      </c>
    </row>
    <row r="197" spans="1:24" x14ac:dyDescent="0.3">
      <c r="A197" s="129"/>
      <c r="B197" s="129"/>
      <c r="C197" s="128"/>
      <c r="D197" s="128"/>
      <c r="E197" s="128"/>
      <c r="F197" s="166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6" t="str">
        <f t="shared" si="18"/>
        <v/>
      </c>
      <c r="S197" s="163" t="str">
        <f t="shared" si="19"/>
        <v/>
      </c>
      <c r="T197" s="160" t="str">
        <f>IFERROR(INDEX(当年标准成本!$I:$I,MATCH(K197,当年标准成本!$C:$C,0),1),"")</f>
        <v/>
      </c>
      <c r="U197" s="126" t="str">
        <f t="shared" si="20"/>
        <v/>
      </c>
      <c r="V197" s="126" t="str">
        <f t="shared" si="21"/>
        <v/>
      </c>
      <c r="W197" s="124" t="str">
        <f t="shared" si="22"/>
        <v/>
      </c>
      <c r="X197" s="125" t="str">
        <f t="shared" si="23"/>
        <v/>
      </c>
    </row>
    <row r="198" spans="1:24" x14ac:dyDescent="0.3">
      <c r="A198" s="129"/>
      <c r="B198" s="129"/>
      <c r="C198" s="128"/>
      <c r="D198" s="128"/>
      <c r="E198" s="128"/>
      <c r="F198" s="166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6" t="str">
        <f t="shared" si="18"/>
        <v/>
      </c>
      <c r="S198" s="163" t="str">
        <f t="shared" si="19"/>
        <v/>
      </c>
      <c r="T198" s="160" t="str">
        <f>IFERROR(INDEX(当年标准成本!$I:$I,MATCH(K198,当年标准成本!$C:$C,0),1),"")</f>
        <v/>
      </c>
      <c r="U198" s="126" t="str">
        <f t="shared" si="20"/>
        <v/>
      </c>
      <c r="V198" s="126" t="str">
        <f t="shared" si="21"/>
        <v/>
      </c>
      <c r="W198" s="124" t="str">
        <f t="shared" si="22"/>
        <v/>
      </c>
      <c r="X198" s="125" t="str">
        <f t="shared" si="23"/>
        <v/>
      </c>
    </row>
    <row r="199" spans="1:24" x14ac:dyDescent="0.3">
      <c r="A199" s="129"/>
      <c r="B199" s="129"/>
      <c r="C199" s="128"/>
      <c r="D199" s="128"/>
      <c r="E199" s="128"/>
      <c r="F199" s="166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6" t="str">
        <f t="shared" si="18"/>
        <v/>
      </c>
      <c r="S199" s="163" t="str">
        <f t="shared" si="19"/>
        <v/>
      </c>
      <c r="T199" s="160" t="str">
        <f>IFERROR(INDEX(当年标准成本!$I:$I,MATCH(K199,当年标准成本!$C:$C,0),1),"")</f>
        <v/>
      </c>
      <c r="U199" s="126" t="str">
        <f t="shared" si="20"/>
        <v/>
      </c>
      <c r="V199" s="126" t="str">
        <f t="shared" si="21"/>
        <v/>
      </c>
      <c r="W199" s="124" t="str">
        <f t="shared" si="22"/>
        <v/>
      </c>
      <c r="X199" s="125" t="str">
        <f t="shared" si="23"/>
        <v/>
      </c>
    </row>
    <row r="200" spans="1:24" x14ac:dyDescent="0.3">
      <c r="A200" s="129"/>
      <c r="B200" s="129"/>
      <c r="C200" s="128"/>
      <c r="D200" s="128"/>
      <c r="E200" s="128"/>
      <c r="F200" s="166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6" t="str">
        <f t="shared" si="18"/>
        <v/>
      </c>
      <c r="S200" s="163" t="str">
        <f t="shared" si="19"/>
        <v/>
      </c>
      <c r="T200" s="160" t="str">
        <f>IFERROR(INDEX(当年标准成本!$I:$I,MATCH(K200,当年标准成本!$C:$C,0),1),"")</f>
        <v/>
      </c>
      <c r="U200" s="126" t="str">
        <f t="shared" si="20"/>
        <v/>
      </c>
      <c r="V200" s="126" t="str">
        <f t="shared" si="21"/>
        <v/>
      </c>
      <c r="W200" s="124" t="str">
        <f t="shared" si="22"/>
        <v/>
      </c>
      <c r="X200" s="125" t="str">
        <f t="shared" si="23"/>
        <v/>
      </c>
    </row>
    <row r="201" spans="1:24" x14ac:dyDescent="0.3">
      <c r="A201" s="129"/>
      <c r="B201" s="129"/>
      <c r="C201" s="128"/>
      <c r="D201" s="128"/>
      <c r="E201" s="128"/>
      <c r="F201" s="166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6" t="str">
        <f t="shared" si="18"/>
        <v/>
      </c>
      <c r="S201" s="163" t="str">
        <f t="shared" si="19"/>
        <v/>
      </c>
      <c r="T201" s="160" t="str">
        <f>IFERROR(INDEX(当年标准成本!$I:$I,MATCH(K201,当年标准成本!$C:$C,0),1),"")</f>
        <v/>
      </c>
      <c r="U201" s="126" t="str">
        <f t="shared" si="20"/>
        <v/>
      </c>
      <c r="V201" s="126" t="str">
        <f t="shared" si="21"/>
        <v/>
      </c>
      <c r="W201" s="124" t="str">
        <f t="shared" si="22"/>
        <v/>
      </c>
      <c r="X201" s="125" t="str">
        <f t="shared" si="23"/>
        <v/>
      </c>
    </row>
    <row r="202" spans="1:24" x14ac:dyDescent="0.3">
      <c r="A202" s="129"/>
      <c r="B202" s="129"/>
      <c r="C202" s="128"/>
      <c r="D202" s="128"/>
      <c r="E202" s="128"/>
      <c r="F202" s="166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6" t="str">
        <f t="shared" ref="R202:R265" si="24">IFERROR(P202/O202,"")</f>
        <v/>
      </c>
      <c r="S202" s="163" t="str">
        <f t="shared" ref="S202:S265" si="25">IFERROR(R202*(1+Q202),"")</f>
        <v/>
      </c>
      <c r="T202" s="160" t="str">
        <f>IFERROR(INDEX(当年标准成本!$I:$I,MATCH(K202,当年标准成本!$C:$C,0),1),"")</f>
        <v/>
      </c>
      <c r="U202" s="126" t="str">
        <f t="shared" ref="U202:U265" si="26">IFERROR(O202*T202,"")</f>
        <v/>
      </c>
      <c r="V202" s="126" t="str">
        <f t="shared" ref="V202:V265" si="27">IFERROR(P202-U202,"")</f>
        <v/>
      </c>
      <c r="W202" s="124" t="str">
        <f t="shared" ref="W202:W265" si="28">IFERROR(V202/P202,"")</f>
        <v/>
      </c>
      <c r="X202" s="125" t="str">
        <f t="shared" si="23"/>
        <v/>
      </c>
    </row>
    <row r="203" spans="1:24" x14ac:dyDescent="0.3">
      <c r="A203" s="129"/>
      <c r="B203" s="129"/>
      <c r="C203" s="128"/>
      <c r="D203" s="128"/>
      <c r="E203" s="128"/>
      <c r="F203" s="166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6" t="str">
        <f t="shared" si="24"/>
        <v/>
      </c>
      <c r="S203" s="163" t="str">
        <f t="shared" si="25"/>
        <v/>
      </c>
      <c r="T203" s="160" t="str">
        <f>IFERROR(INDEX(当年标准成本!$I:$I,MATCH(K203,当年标准成本!$C:$C,0),1),"")</f>
        <v/>
      </c>
      <c r="U203" s="126" t="str">
        <f t="shared" si="26"/>
        <v/>
      </c>
      <c r="V203" s="126" t="str">
        <f t="shared" si="27"/>
        <v/>
      </c>
      <c r="W203" s="124" t="str">
        <f t="shared" si="28"/>
        <v/>
      </c>
      <c r="X203" s="125" t="str">
        <f t="shared" si="23"/>
        <v/>
      </c>
    </row>
    <row r="204" spans="1:24" x14ac:dyDescent="0.3">
      <c r="A204" s="129"/>
      <c r="B204" s="129"/>
      <c r="C204" s="128"/>
      <c r="D204" s="128"/>
      <c r="E204" s="128"/>
      <c r="F204" s="166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6" t="str">
        <f t="shared" si="24"/>
        <v/>
      </c>
      <c r="S204" s="163" t="str">
        <f t="shared" si="25"/>
        <v/>
      </c>
      <c r="T204" s="160" t="str">
        <f>IFERROR(INDEX(当年标准成本!$I:$I,MATCH(K204,当年标准成本!$C:$C,0),1),"")</f>
        <v/>
      </c>
      <c r="U204" s="126" t="str">
        <f t="shared" si="26"/>
        <v/>
      </c>
      <c r="V204" s="126" t="str">
        <f t="shared" si="27"/>
        <v/>
      </c>
      <c r="W204" s="124" t="str">
        <f t="shared" si="28"/>
        <v/>
      </c>
      <c r="X204" s="125" t="str">
        <f t="shared" si="23"/>
        <v/>
      </c>
    </row>
    <row r="205" spans="1:24" x14ac:dyDescent="0.3">
      <c r="A205" s="129"/>
      <c r="B205" s="129"/>
      <c r="C205" s="128"/>
      <c r="D205" s="128"/>
      <c r="E205" s="128"/>
      <c r="F205" s="166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6" t="str">
        <f t="shared" si="24"/>
        <v/>
      </c>
      <c r="S205" s="163" t="str">
        <f t="shared" si="25"/>
        <v/>
      </c>
      <c r="T205" s="160" t="str">
        <f>IFERROR(INDEX(当年标准成本!$I:$I,MATCH(K205,当年标准成本!$C:$C,0),1),"")</f>
        <v/>
      </c>
      <c r="U205" s="126" t="str">
        <f t="shared" si="26"/>
        <v/>
      </c>
      <c r="V205" s="126" t="str">
        <f t="shared" si="27"/>
        <v/>
      </c>
      <c r="W205" s="124" t="str">
        <f t="shared" si="28"/>
        <v/>
      </c>
      <c r="X205" s="125" t="str">
        <f t="shared" si="23"/>
        <v/>
      </c>
    </row>
    <row r="206" spans="1:24" x14ac:dyDescent="0.3">
      <c r="A206" s="129"/>
      <c r="B206" s="129"/>
      <c r="C206" s="128"/>
      <c r="D206" s="128"/>
      <c r="E206" s="128"/>
      <c r="F206" s="166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6" t="str">
        <f t="shared" si="24"/>
        <v/>
      </c>
      <c r="S206" s="163" t="str">
        <f t="shared" si="25"/>
        <v/>
      </c>
      <c r="T206" s="160" t="str">
        <f>IFERROR(INDEX(当年标准成本!$I:$I,MATCH(K206,当年标准成本!$C:$C,0),1),"")</f>
        <v/>
      </c>
      <c r="U206" s="126" t="str">
        <f t="shared" si="26"/>
        <v/>
      </c>
      <c r="V206" s="126" t="str">
        <f t="shared" si="27"/>
        <v/>
      </c>
      <c r="W206" s="124" t="str">
        <f t="shared" si="28"/>
        <v/>
      </c>
      <c r="X206" s="125" t="str">
        <f t="shared" si="23"/>
        <v/>
      </c>
    </row>
    <row r="207" spans="1:24" x14ac:dyDescent="0.3">
      <c r="A207" s="129"/>
      <c r="B207" s="129"/>
      <c r="C207" s="128"/>
      <c r="D207" s="128"/>
      <c r="E207" s="128"/>
      <c r="F207" s="166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6" t="str">
        <f t="shared" si="24"/>
        <v/>
      </c>
      <c r="S207" s="163" t="str">
        <f t="shared" si="25"/>
        <v/>
      </c>
      <c r="T207" s="160" t="str">
        <f>IFERROR(INDEX(当年标准成本!$I:$I,MATCH(K207,当年标准成本!$C:$C,0),1),"")</f>
        <v/>
      </c>
      <c r="U207" s="126" t="str">
        <f t="shared" si="26"/>
        <v/>
      </c>
      <c r="V207" s="126" t="str">
        <f t="shared" si="27"/>
        <v/>
      </c>
      <c r="W207" s="124" t="str">
        <f t="shared" si="28"/>
        <v/>
      </c>
      <c r="X207" s="125" t="str">
        <f t="shared" si="23"/>
        <v/>
      </c>
    </row>
    <row r="208" spans="1:24" x14ac:dyDescent="0.3">
      <c r="A208" s="129"/>
      <c r="B208" s="129"/>
      <c r="C208" s="128"/>
      <c r="D208" s="128"/>
      <c r="E208" s="128"/>
      <c r="F208" s="166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6" t="str">
        <f t="shared" si="24"/>
        <v/>
      </c>
      <c r="S208" s="163" t="str">
        <f t="shared" si="25"/>
        <v/>
      </c>
      <c r="T208" s="160" t="str">
        <f>IFERROR(INDEX(当年标准成本!$I:$I,MATCH(K208,当年标准成本!$C:$C,0),1),"")</f>
        <v/>
      </c>
      <c r="U208" s="126" t="str">
        <f t="shared" si="26"/>
        <v/>
      </c>
      <c r="V208" s="126" t="str">
        <f t="shared" si="27"/>
        <v/>
      </c>
      <c r="W208" s="124" t="str">
        <f t="shared" si="28"/>
        <v/>
      </c>
      <c r="X208" s="125" t="str">
        <f t="shared" si="23"/>
        <v/>
      </c>
    </row>
    <row r="209" spans="1:24" x14ac:dyDescent="0.3">
      <c r="A209" s="129"/>
      <c r="B209" s="129"/>
      <c r="C209" s="128"/>
      <c r="D209" s="128"/>
      <c r="E209" s="128"/>
      <c r="F209" s="166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6" t="str">
        <f t="shared" si="24"/>
        <v/>
      </c>
      <c r="S209" s="163" t="str">
        <f t="shared" si="25"/>
        <v/>
      </c>
      <c r="T209" s="160" t="str">
        <f>IFERROR(INDEX(当年标准成本!$I:$I,MATCH(K209,当年标准成本!$C:$C,0),1),"")</f>
        <v/>
      </c>
      <c r="U209" s="126" t="str">
        <f t="shared" si="26"/>
        <v/>
      </c>
      <c r="V209" s="126" t="str">
        <f t="shared" si="27"/>
        <v/>
      </c>
      <c r="W209" s="124" t="str">
        <f t="shared" si="28"/>
        <v/>
      </c>
      <c r="X209" s="125" t="str">
        <f t="shared" si="23"/>
        <v/>
      </c>
    </row>
    <row r="210" spans="1:24" x14ac:dyDescent="0.3">
      <c r="A210" s="129"/>
      <c r="B210" s="129"/>
      <c r="C210" s="128"/>
      <c r="D210" s="128"/>
      <c r="E210" s="128"/>
      <c r="F210" s="166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6" t="str">
        <f t="shared" si="24"/>
        <v/>
      </c>
      <c r="S210" s="163" t="str">
        <f t="shared" si="25"/>
        <v/>
      </c>
      <c r="T210" s="160" t="str">
        <f>IFERROR(INDEX(当年标准成本!$I:$I,MATCH(K210,当年标准成本!$C:$C,0),1),"")</f>
        <v/>
      </c>
      <c r="U210" s="126" t="str">
        <f t="shared" si="26"/>
        <v/>
      </c>
      <c r="V210" s="126" t="str">
        <f t="shared" si="27"/>
        <v/>
      </c>
      <c r="W210" s="124" t="str">
        <f t="shared" si="28"/>
        <v/>
      </c>
      <c r="X210" s="125" t="str">
        <f t="shared" si="23"/>
        <v/>
      </c>
    </row>
    <row r="211" spans="1:24" x14ac:dyDescent="0.3">
      <c r="A211" s="129"/>
      <c r="B211" s="129"/>
      <c r="C211" s="128"/>
      <c r="D211" s="128"/>
      <c r="E211" s="128"/>
      <c r="F211" s="166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6" t="str">
        <f t="shared" si="24"/>
        <v/>
      </c>
      <c r="S211" s="163" t="str">
        <f t="shared" si="25"/>
        <v/>
      </c>
      <c r="T211" s="160" t="str">
        <f>IFERROR(INDEX(当年标准成本!$I:$I,MATCH(K211,当年标准成本!$C:$C,0),1),"")</f>
        <v/>
      </c>
      <c r="U211" s="126" t="str">
        <f t="shared" si="26"/>
        <v/>
      </c>
      <c r="V211" s="126" t="str">
        <f t="shared" si="27"/>
        <v/>
      </c>
      <c r="W211" s="124" t="str">
        <f t="shared" si="28"/>
        <v/>
      </c>
      <c r="X211" s="125" t="str">
        <f t="shared" si="23"/>
        <v/>
      </c>
    </row>
    <row r="212" spans="1:24" x14ac:dyDescent="0.3">
      <c r="A212" s="129"/>
      <c r="B212" s="129"/>
      <c r="C212" s="128"/>
      <c r="D212" s="128"/>
      <c r="E212" s="128"/>
      <c r="F212" s="166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6" t="str">
        <f t="shared" si="24"/>
        <v/>
      </c>
      <c r="S212" s="163" t="str">
        <f t="shared" si="25"/>
        <v/>
      </c>
      <c r="T212" s="160" t="str">
        <f>IFERROR(INDEX(当年标准成本!$I:$I,MATCH(K212,当年标准成本!$C:$C,0),1),"")</f>
        <v/>
      </c>
      <c r="U212" s="126" t="str">
        <f t="shared" si="26"/>
        <v/>
      </c>
      <c r="V212" s="126" t="str">
        <f t="shared" si="27"/>
        <v/>
      </c>
      <c r="W212" s="124" t="str">
        <f t="shared" si="28"/>
        <v/>
      </c>
      <c r="X212" s="125" t="str">
        <f t="shared" si="23"/>
        <v/>
      </c>
    </row>
    <row r="213" spans="1:24" x14ac:dyDescent="0.3">
      <c r="A213" s="129"/>
      <c r="B213" s="129"/>
      <c r="C213" s="128"/>
      <c r="D213" s="128"/>
      <c r="E213" s="128"/>
      <c r="F213" s="166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6" t="str">
        <f t="shared" si="24"/>
        <v/>
      </c>
      <c r="S213" s="163" t="str">
        <f t="shared" si="25"/>
        <v/>
      </c>
      <c r="T213" s="160" t="str">
        <f>IFERROR(INDEX(当年标准成本!$I:$I,MATCH(K213,当年标准成本!$C:$C,0),1),"")</f>
        <v/>
      </c>
      <c r="U213" s="126" t="str">
        <f t="shared" si="26"/>
        <v/>
      </c>
      <c r="V213" s="126" t="str">
        <f t="shared" si="27"/>
        <v/>
      </c>
      <c r="W213" s="124" t="str">
        <f t="shared" si="28"/>
        <v/>
      </c>
      <c r="X213" s="125" t="str">
        <f t="shared" si="23"/>
        <v/>
      </c>
    </row>
    <row r="214" spans="1:24" x14ac:dyDescent="0.3">
      <c r="A214" s="129"/>
      <c r="B214" s="129"/>
      <c r="C214" s="128"/>
      <c r="D214" s="128"/>
      <c r="E214" s="128"/>
      <c r="F214" s="166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6" t="str">
        <f t="shared" si="24"/>
        <v/>
      </c>
      <c r="S214" s="163" t="str">
        <f t="shared" si="25"/>
        <v/>
      </c>
      <c r="T214" s="160" t="str">
        <f>IFERROR(INDEX(当年标准成本!$I:$I,MATCH(K214,当年标准成本!$C:$C,0),1),"")</f>
        <v/>
      </c>
      <c r="U214" s="126" t="str">
        <f t="shared" si="26"/>
        <v/>
      </c>
      <c r="V214" s="126" t="str">
        <f t="shared" si="27"/>
        <v/>
      </c>
      <c r="W214" s="124" t="str">
        <f t="shared" si="28"/>
        <v/>
      </c>
      <c r="X214" s="125" t="str">
        <f t="shared" si="23"/>
        <v/>
      </c>
    </row>
    <row r="215" spans="1:24" x14ac:dyDescent="0.3">
      <c r="A215" s="129"/>
      <c r="B215" s="129"/>
      <c r="C215" s="128"/>
      <c r="D215" s="128"/>
      <c r="E215" s="128"/>
      <c r="F215" s="166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6" t="str">
        <f t="shared" si="24"/>
        <v/>
      </c>
      <c r="S215" s="163" t="str">
        <f t="shared" si="25"/>
        <v/>
      </c>
      <c r="T215" s="160" t="str">
        <f>IFERROR(INDEX(当年标准成本!$I:$I,MATCH(K215,当年标准成本!$C:$C,0),1),"")</f>
        <v/>
      </c>
      <c r="U215" s="126" t="str">
        <f t="shared" si="26"/>
        <v/>
      </c>
      <c r="V215" s="126" t="str">
        <f t="shared" si="27"/>
        <v/>
      </c>
      <c r="W215" s="124" t="str">
        <f t="shared" si="28"/>
        <v/>
      </c>
      <c r="X215" s="125" t="str">
        <f t="shared" si="23"/>
        <v/>
      </c>
    </row>
    <row r="216" spans="1:24" x14ac:dyDescent="0.3">
      <c r="A216" s="129"/>
      <c r="B216" s="129"/>
      <c r="C216" s="128"/>
      <c r="D216" s="128"/>
      <c r="E216" s="128"/>
      <c r="F216" s="166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6" t="str">
        <f t="shared" si="24"/>
        <v/>
      </c>
      <c r="S216" s="163" t="str">
        <f t="shared" si="25"/>
        <v/>
      </c>
      <c r="T216" s="160" t="str">
        <f>IFERROR(INDEX(当年标准成本!$I:$I,MATCH(K216,当年标准成本!$C:$C,0),1),"")</f>
        <v/>
      </c>
      <c r="U216" s="126" t="str">
        <f t="shared" si="26"/>
        <v/>
      </c>
      <c r="V216" s="126" t="str">
        <f t="shared" si="27"/>
        <v/>
      </c>
      <c r="W216" s="124" t="str">
        <f t="shared" si="28"/>
        <v/>
      </c>
      <c r="X216" s="125" t="str">
        <f t="shared" si="23"/>
        <v/>
      </c>
    </row>
    <row r="217" spans="1:24" x14ac:dyDescent="0.3">
      <c r="A217" s="129"/>
      <c r="B217" s="129"/>
      <c r="C217" s="128"/>
      <c r="D217" s="128"/>
      <c r="E217" s="128"/>
      <c r="F217" s="166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6" t="str">
        <f t="shared" si="24"/>
        <v/>
      </c>
      <c r="S217" s="163" t="str">
        <f t="shared" si="25"/>
        <v/>
      </c>
      <c r="T217" s="160" t="str">
        <f>IFERROR(INDEX(当年标准成本!$I:$I,MATCH(K217,当年标准成本!$C:$C,0),1),"")</f>
        <v/>
      </c>
      <c r="U217" s="126" t="str">
        <f t="shared" si="26"/>
        <v/>
      </c>
      <c r="V217" s="126" t="str">
        <f t="shared" si="27"/>
        <v/>
      </c>
      <c r="W217" s="124" t="str">
        <f t="shared" si="28"/>
        <v/>
      </c>
      <c r="X217" s="125" t="str">
        <f t="shared" si="23"/>
        <v/>
      </c>
    </row>
    <row r="218" spans="1:24" x14ac:dyDescent="0.3">
      <c r="A218" s="129"/>
      <c r="B218" s="129"/>
      <c r="C218" s="128"/>
      <c r="D218" s="128"/>
      <c r="E218" s="128"/>
      <c r="F218" s="166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6" t="str">
        <f t="shared" si="24"/>
        <v/>
      </c>
      <c r="S218" s="163" t="str">
        <f t="shared" si="25"/>
        <v/>
      </c>
      <c r="T218" s="160" t="str">
        <f>IFERROR(INDEX(当年标准成本!$I:$I,MATCH(K218,当年标准成本!$C:$C,0),1),"")</f>
        <v/>
      </c>
      <c r="U218" s="126" t="str">
        <f t="shared" si="26"/>
        <v/>
      </c>
      <c r="V218" s="126" t="str">
        <f t="shared" si="27"/>
        <v/>
      </c>
      <c r="W218" s="124" t="str">
        <f t="shared" si="28"/>
        <v/>
      </c>
      <c r="X218" s="125" t="str">
        <f t="shared" si="23"/>
        <v/>
      </c>
    </row>
    <row r="219" spans="1:24" x14ac:dyDescent="0.3">
      <c r="A219" s="129"/>
      <c r="B219" s="129"/>
      <c r="C219" s="128"/>
      <c r="D219" s="128"/>
      <c r="E219" s="128"/>
      <c r="F219" s="166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6" t="str">
        <f t="shared" si="24"/>
        <v/>
      </c>
      <c r="S219" s="163" t="str">
        <f t="shared" si="25"/>
        <v/>
      </c>
      <c r="T219" s="160" t="str">
        <f>IFERROR(INDEX(当年标准成本!$I:$I,MATCH(K219,当年标准成本!$C:$C,0),1),"")</f>
        <v/>
      </c>
      <c r="U219" s="126" t="str">
        <f t="shared" si="26"/>
        <v/>
      </c>
      <c r="V219" s="126" t="str">
        <f t="shared" si="27"/>
        <v/>
      </c>
      <c r="W219" s="124" t="str">
        <f t="shared" si="28"/>
        <v/>
      </c>
      <c r="X219" s="125" t="str">
        <f t="shared" si="23"/>
        <v/>
      </c>
    </row>
    <row r="220" spans="1:24" x14ac:dyDescent="0.3">
      <c r="A220" s="129"/>
      <c r="B220" s="129"/>
      <c r="C220" s="128"/>
      <c r="D220" s="128"/>
      <c r="E220" s="128"/>
      <c r="F220" s="166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6" t="str">
        <f t="shared" si="24"/>
        <v/>
      </c>
      <c r="S220" s="163" t="str">
        <f t="shared" si="25"/>
        <v/>
      </c>
      <c r="T220" s="160" t="str">
        <f>IFERROR(INDEX(当年标准成本!$I:$I,MATCH(K220,当年标准成本!$C:$C,0),1),"")</f>
        <v/>
      </c>
      <c r="U220" s="126" t="str">
        <f t="shared" si="26"/>
        <v/>
      </c>
      <c r="V220" s="126" t="str">
        <f t="shared" si="27"/>
        <v/>
      </c>
      <c r="W220" s="124" t="str">
        <f t="shared" si="28"/>
        <v/>
      </c>
      <c r="X220" s="125" t="str">
        <f t="shared" si="23"/>
        <v/>
      </c>
    </row>
    <row r="221" spans="1:24" x14ac:dyDescent="0.3">
      <c r="A221" s="129"/>
      <c r="B221" s="129"/>
      <c r="C221" s="128"/>
      <c r="D221" s="128"/>
      <c r="E221" s="128"/>
      <c r="F221" s="166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6" t="str">
        <f t="shared" si="24"/>
        <v/>
      </c>
      <c r="S221" s="163" t="str">
        <f t="shared" si="25"/>
        <v/>
      </c>
      <c r="T221" s="160" t="str">
        <f>IFERROR(INDEX(当年标准成本!$I:$I,MATCH(K221,当年标准成本!$C:$C,0),1),"")</f>
        <v/>
      </c>
      <c r="U221" s="126" t="str">
        <f t="shared" si="26"/>
        <v/>
      </c>
      <c r="V221" s="126" t="str">
        <f t="shared" si="27"/>
        <v/>
      </c>
      <c r="W221" s="124" t="str">
        <f t="shared" si="28"/>
        <v/>
      </c>
      <c r="X221" s="125" t="str">
        <f t="shared" si="23"/>
        <v/>
      </c>
    </row>
    <row r="222" spans="1:24" x14ac:dyDescent="0.3">
      <c r="A222" s="129"/>
      <c r="B222" s="129"/>
      <c r="C222" s="128"/>
      <c r="D222" s="128"/>
      <c r="E222" s="128"/>
      <c r="F222" s="166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6" t="str">
        <f t="shared" si="24"/>
        <v/>
      </c>
      <c r="S222" s="163" t="str">
        <f t="shared" si="25"/>
        <v/>
      </c>
      <c r="T222" s="160" t="str">
        <f>IFERROR(INDEX(当年标准成本!$I:$I,MATCH(K222,当年标准成本!$C:$C,0),1),"")</f>
        <v/>
      </c>
      <c r="U222" s="126" t="str">
        <f t="shared" si="26"/>
        <v/>
      </c>
      <c r="V222" s="126" t="str">
        <f t="shared" si="27"/>
        <v/>
      </c>
      <c r="W222" s="124" t="str">
        <f t="shared" si="28"/>
        <v/>
      </c>
      <c r="X222" s="125" t="str">
        <f t="shared" si="23"/>
        <v/>
      </c>
    </row>
    <row r="223" spans="1:24" x14ac:dyDescent="0.3">
      <c r="A223" s="129"/>
      <c r="B223" s="129"/>
      <c r="C223" s="128"/>
      <c r="D223" s="128"/>
      <c r="E223" s="128"/>
      <c r="F223" s="166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6" t="str">
        <f t="shared" si="24"/>
        <v/>
      </c>
      <c r="S223" s="163" t="str">
        <f t="shared" si="25"/>
        <v/>
      </c>
      <c r="T223" s="160" t="str">
        <f>IFERROR(INDEX(当年标准成本!$I:$I,MATCH(K223,当年标准成本!$C:$C,0),1),"")</f>
        <v/>
      </c>
      <c r="U223" s="126" t="str">
        <f t="shared" si="26"/>
        <v/>
      </c>
      <c r="V223" s="126" t="str">
        <f t="shared" si="27"/>
        <v/>
      </c>
      <c r="W223" s="124" t="str">
        <f t="shared" si="28"/>
        <v/>
      </c>
      <c r="X223" s="125" t="str">
        <f t="shared" si="23"/>
        <v/>
      </c>
    </row>
    <row r="224" spans="1:24" x14ac:dyDescent="0.3">
      <c r="A224" s="129"/>
      <c r="B224" s="129"/>
      <c r="C224" s="128"/>
      <c r="D224" s="128"/>
      <c r="E224" s="128"/>
      <c r="F224" s="166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6" t="str">
        <f t="shared" si="24"/>
        <v/>
      </c>
      <c r="S224" s="163" t="str">
        <f t="shared" si="25"/>
        <v/>
      </c>
      <c r="T224" s="160" t="str">
        <f>IFERROR(INDEX(当年标准成本!$I:$I,MATCH(K224,当年标准成本!$C:$C,0),1),"")</f>
        <v/>
      </c>
      <c r="U224" s="126" t="str">
        <f t="shared" si="26"/>
        <v/>
      </c>
      <c r="V224" s="126" t="str">
        <f t="shared" si="27"/>
        <v/>
      </c>
      <c r="W224" s="124" t="str">
        <f t="shared" si="28"/>
        <v/>
      </c>
      <c r="X224" s="125" t="str">
        <f t="shared" si="23"/>
        <v/>
      </c>
    </row>
    <row r="225" spans="1:24" x14ac:dyDescent="0.3">
      <c r="A225" s="129"/>
      <c r="B225" s="129"/>
      <c r="C225" s="128"/>
      <c r="D225" s="128"/>
      <c r="E225" s="128"/>
      <c r="F225" s="166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6" t="str">
        <f t="shared" si="24"/>
        <v/>
      </c>
      <c r="S225" s="163" t="str">
        <f t="shared" si="25"/>
        <v/>
      </c>
      <c r="T225" s="160" t="str">
        <f>IFERROR(INDEX(当年标准成本!$I:$I,MATCH(K225,当年标准成本!$C:$C,0),1),"")</f>
        <v/>
      </c>
      <c r="U225" s="126" t="str">
        <f t="shared" si="26"/>
        <v/>
      </c>
      <c r="V225" s="126" t="str">
        <f t="shared" si="27"/>
        <v/>
      </c>
      <c r="W225" s="124" t="str">
        <f t="shared" si="28"/>
        <v/>
      </c>
      <c r="X225" s="125" t="str">
        <f t="shared" si="23"/>
        <v/>
      </c>
    </row>
    <row r="226" spans="1:24" x14ac:dyDescent="0.3">
      <c r="A226" s="129"/>
      <c r="B226" s="129"/>
      <c r="C226" s="128"/>
      <c r="D226" s="128"/>
      <c r="E226" s="128"/>
      <c r="F226" s="166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6" t="str">
        <f t="shared" si="24"/>
        <v/>
      </c>
      <c r="S226" s="163" t="str">
        <f t="shared" si="25"/>
        <v/>
      </c>
      <c r="T226" s="160" t="str">
        <f>IFERROR(INDEX(当年标准成本!$I:$I,MATCH(K226,当年标准成本!$C:$C,0),1),"")</f>
        <v/>
      </c>
      <c r="U226" s="126" t="str">
        <f t="shared" si="26"/>
        <v/>
      </c>
      <c r="V226" s="126" t="str">
        <f t="shared" si="27"/>
        <v/>
      </c>
      <c r="W226" s="124" t="str">
        <f t="shared" si="28"/>
        <v/>
      </c>
      <c r="X226" s="125" t="str">
        <f t="shared" si="23"/>
        <v/>
      </c>
    </row>
    <row r="227" spans="1:24" x14ac:dyDescent="0.3">
      <c r="A227" s="129"/>
      <c r="B227" s="129"/>
      <c r="C227" s="128"/>
      <c r="D227" s="128"/>
      <c r="E227" s="128"/>
      <c r="F227" s="166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6" t="str">
        <f t="shared" si="24"/>
        <v/>
      </c>
      <c r="S227" s="163" t="str">
        <f t="shared" si="25"/>
        <v/>
      </c>
      <c r="T227" s="160" t="str">
        <f>IFERROR(INDEX(当年标准成本!$I:$I,MATCH(K227,当年标准成本!$C:$C,0),1),"")</f>
        <v/>
      </c>
      <c r="U227" s="126" t="str">
        <f t="shared" si="26"/>
        <v/>
      </c>
      <c r="V227" s="126" t="str">
        <f t="shared" si="27"/>
        <v/>
      </c>
      <c r="W227" s="124" t="str">
        <f t="shared" si="28"/>
        <v/>
      </c>
      <c r="X227" s="125" t="str">
        <f t="shared" si="23"/>
        <v/>
      </c>
    </row>
    <row r="228" spans="1:24" x14ac:dyDescent="0.3">
      <c r="A228" s="129"/>
      <c r="B228" s="129"/>
      <c r="C228" s="128"/>
      <c r="D228" s="128"/>
      <c r="E228" s="128"/>
      <c r="F228" s="166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6" t="str">
        <f t="shared" si="24"/>
        <v/>
      </c>
      <c r="S228" s="163" t="str">
        <f t="shared" si="25"/>
        <v/>
      </c>
      <c r="T228" s="160" t="str">
        <f>IFERROR(INDEX(当年标准成本!$I:$I,MATCH(K228,当年标准成本!$C:$C,0),1),"")</f>
        <v/>
      </c>
      <c r="U228" s="126" t="str">
        <f t="shared" si="26"/>
        <v/>
      </c>
      <c r="V228" s="126" t="str">
        <f t="shared" si="27"/>
        <v/>
      </c>
      <c r="W228" s="124" t="str">
        <f t="shared" si="28"/>
        <v/>
      </c>
      <c r="X228" s="125" t="str">
        <f t="shared" si="23"/>
        <v/>
      </c>
    </row>
    <row r="229" spans="1:24" x14ac:dyDescent="0.3">
      <c r="A229" s="129"/>
      <c r="B229" s="129"/>
      <c r="C229" s="128"/>
      <c r="D229" s="128"/>
      <c r="E229" s="128"/>
      <c r="F229" s="166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6" t="str">
        <f t="shared" si="24"/>
        <v/>
      </c>
      <c r="S229" s="163" t="str">
        <f t="shared" si="25"/>
        <v/>
      </c>
      <c r="T229" s="160" t="str">
        <f>IFERROR(INDEX(当年标准成本!$I:$I,MATCH(K229,当年标准成本!$C:$C,0),1),"")</f>
        <v/>
      </c>
      <c r="U229" s="126" t="str">
        <f t="shared" si="26"/>
        <v/>
      </c>
      <c r="V229" s="126" t="str">
        <f t="shared" si="27"/>
        <v/>
      </c>
      <c r="W229" s="124" t="str">
        <f t="shared" si="28"/>
        <v/>
      </c>
      <c r="X229" s="125" t="str">
        <f t="shared" si="23"/>
        <v/>
      </c>
    </row>
    <row r="230" spans="1:24" x14ac:dyDescent="0.3">
      <c r="A230" s="129"/>
      <c r="B230" s="129"/>
      <c r="C230" s="128"/>
      <c r="D230" s="128"/>
      <c r="E230" s="128"/>
      <c r="F230" s="166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6" t="str">
        <f t="shared" si="24"/>
        <v/>
      </c>
      <c r="S230" s="163" t="str">
        <f t="shared" si="25"/>
        <v/>
      </c>
      <c r="T230" s="160" t="str">
        <f>IFERROR(INDEX(当年标准成本!$I:$I,MATCH(K230,当年标准成本!$C:$C,0),1),"")</f>
        <v/>
      </c>
      <c r="U230" s="126" t="str">
        <f t="shared" si="26"/>
        <v/>
      </c>
      <c r="V230" s="126" t="str">
        <f t="shared" si="27"/>
        <v/>
      </c>
      <c r="W230" s="124" t="str">
        <f t="shared" si="28"/>
        <v/>
      </c>
      <c r="X230" s="125" t="str">
        <f t="shared" si="23"/>
        <v/>
      </c>
    </row>
    <row r="231" spans="1:24" x14ac:dyDescent="0.3">
      <c r="A231" s="129"/>
      <c r="B231" s="129"/>
      <c r="C231" s="128"/>
      <c r="D231" s="128"/>
      <c r="E231" s="128"/>
      <c r="F231" s="166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6" t="str">
        <f t="shared" si="24"/>
        <v/>
      </c>
      <c r="S231" s="163" t="str">
        <f t="shared" si="25"/>
        <v/>
      </c>
      <c r="T231" s="160" t="str">
        <f>IFERROR(INDEX(当年标准成本!$I:$I,MATCH(K231,当年标准成本!$C:$C,0),1),"")</f>
        <v/>
      </c>
      <c r="U231" s="126" t="str">
        <f t="shared" si="26"/>
        <v/>
      </c>
      <c r="V231" s="126" t="str">
        <f t="shared" si="27"/>
        <v/>
      </c>
      <c r="W231" s="124" t="str">
        <f t="shared" si="28"/>
        <v/>
      </c>
      <c r="X231" s="125" t="str">
        <f t="shared" si="23"/>
        <v/>
      </c>
    </row>
    <row r="232" spans="1:24" x14ac:dyDescent="0.3">
      <c r="A232" s="129"/>
      <c r="B232" s="129"/>
      <c r="C232" s="128"/>
      <c r="D232" s="128"/>
      <c r="E232" s="128"/>
      <c r="F232" s="166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6" t="str">
        <f t="shared" si="24"/>
        <v/>
      </c>
      <c r="S232" s="163" t="str">
        <f t="shared" si="25"/>
        <v/>
      </c>
      <c r="T232" s="160" t="str">
        <f>IFERROR(INDEX(当年标准成本!$I:$I,MATCH(K232,当年标准成本!$C:$C,0),1),"")</f>
        <v/>
      </c>
      <c r="U232" s="126" t="str">
        <f t="shared" si="26"/>
        <v/>
      </c>
      <c r="V232" s="126" t="str">
        <f t="shared" si="27"/>
        <v/>
      </c>
      <c r="W232" s="124" t="str">
        <f t="shared" si="28"/>
        <v/>
      </c>
      <c r="X232" s="125" t="str">
        <f t="shared" si="23"/>
        <v/>
      </c>
    </row>
    <row r="233" spans="1:24" x14ac:dyDescent="0.3">
      <c r="A233" s="129"/>
      <c r="B233" s="129"/>
      <c r="C233" s="128"/>
      <c r="D233" s="128"/>
      <c r="E233" s="128"/>
      <c r="F233" s="166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6" t="str">
        <f t="shared" si="24"/>
        <v/>
      </c>
      <c r="S233" s="163" t="str">
        <f t="shared" si="25"/>
        <v/>
      </c>
      <c r="T233" s="160" t="str">
        <f>IFERROR(INDEX(当年标准成本!$I:$I,MATCH(K233,当年标准成本!$C:$C,0),1),"")</f>
        <v/>
      </c>
      <c r="U233" s="126" t="str">
        <f t="shared" si="26"/>
        <v/>
      </c>
      <c r="V233" s="126" t="str">
        <f t="shared" si="27"/>
        <v/>
      </c>
      <c r="W233" s="124" t="str">
        <f t="shared" si="28"/>
        <v/>
      </c>
      <c r="X233" s="125" t="str">
        <f t="shared" si="23"/>
        <v/>
      </c>
    </row>
    <row r="234" spans="1:24" x14ac:dyDescent="0.3">
      <c r="A234" s="129"/>
      <c r="B234" s="129"/>
      <c r="C234" s="128"/>
      <c r="D234" s="128"/>
      <c r="E234" s="128"/>
      <c r="F234" s="166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6" t="str">
        <f t="shared" si="24"/>
        <v/>
      </c>
      <c r="S234" s="163" t="str">
        <f t="shared" si="25"/>
        <v/>
      </c>
      <c r="T234" s="160" t="str">
        <f>IFERROR(INDEX(当年标准成本!$I:$I,MATCH(K234,当年标准成本!$C:$C,0),1),"")</f>
        <v/>
      </c>
      <c r="U234" s="126" t="str">
        <f t="shared" si="26"/>
        <v/>
      </c>
      <c r="V234" s="126" t="str">
        <f t="shared" si="27"/>
        <v/>
      </c>
      <c r="W234" s="124" t="str">
        <f t="shared" si="28"/>
        <v/>
      </c>
      <c r="X234" s="125" t="str">
        <f t="shared" si="23"/>
        <v/>
      </c>
    </row>
    <row r="235" spans="1:24" x14ac:dyDescent="0.3">
      <c r="A235" s="129"/>
      <c r="B235" s="129"/>
      <c r="C235" s="128"/>
      <c r="D235" s="128"/>
      <c r="E235" s="128"/>
      <c r="F235" s="166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6" t="str">
        <f t="shared" si="24"/>
        <v/>
      </c>
      <c r="S235" s="163" t="str">
        <f t="shared" si="25"/>
        <v/>
      </c>
      <c r="T235" s="160" t="str">
        <f>IFERROR(INDEX(当年标准成本!$I:$I,MATCH(K235,当年标准成本!$C:$C,0),1),"")</f>
        <v/>
      </c>
      <c r="U235" s="126" t="str">
        <f t="shared" si="26"/>
        <v/>
      </c>
      <c r="V235" s="126" t="str">
        <f t="shared" si="27"/>
        <v/>
      </c>
      <c r="W235" s="124" t="str">
        <f t="shared" si="28"/>
        <v/>
      </c>
      <c r="X235" s="125" t="str">
        <f t="shared" si="23"/>
        <v/>
      </c>
    </row>
    <row r="236" spans="1:24" x14ac:dyDescent="0.3">
      <c r="A236" s="129"/>
      <c r="B236" s="129"/>
      <c r="C236" s="128"/>
      <c r="D236" s="128"/>
      <c r="E236" s="128"/>
      <c r="F236" s="166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6" t="str">
        <f t="shared" si="24"/>
        <v/>
      </c>
      <c r="S236" s="163" t="str">
        <f t="shared" si="25"/>
        <v/>
      </c>
      <c r="T236" s="160" t="str">
        <f>IFERROR(INDEX(当年标准成本!$I:$I,MATCH(K236,当年标准成本!$C:$C,0),1),"")</f>
        <v/>
      </c>
      <c r="U236" s="126" t="str">
        <f t="shared" si="26"/>
        <v/>
      </c>
      <c r="V236" s="126" t="str">
        <f t="shared" si="27"/>
        <v/>
      </c>
      <c r="W236" s="124" t="str">
        <f t="shared" si="28"/>
        <v/>
      </c>
      <c r="X236" s="125" t="str">
        <f t="shared" si="23"/>
        <v/>
      </c>
    </row>
    <row r="237" spans="1:24" x14ac:dyDescent="0.3">
      <c r="A237" s="129"/>
      <c r="B237" s="129"/>
      <c r="C237" s="128"/>
      <c r="D237" s="128"/>
      <c r="E237" s="128"/>
      <c r="F237" s="166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6" t="str">
        <f t="shared" si="24"/>
        <v/>
      </c>
      <c r="S237" s="163" t="str">
        <f t="shared" si="25"/>
        <v/>
      </c>
      <c r="T237" s="160" t="str">
        <f>IFERROR(INDEX(当年标准成本!$I:$I,MATCH(K237,当年标准成本!$C:$C,0),1),"")</f>
        <v/>
      </c>
      <c r="U237" s="126" t="str">
        <f t="shared" si="26"/>
        <v/>
      </c>
      <c r="V237" s="126" t="str">
        <f t="shared" si="27"/>
        <v/>
      </c>
      <c r="W237" s="124" t="str">
        <f t="shared" si="28"/>
        <v/>
      </c>
      <c r="X237" s="125" t="str">
        <f t="shared" si="23"/>
        <v/>
      </c>
    </row>
    <row r="238" spans="1:24" x14ac:dyDescent="0.3">
      <c r="A238" s="129"/>
      <c r="B238" s="129"/>
      <c r="C238" s="128"/>
      <c r="D238" s="128"/>
      <c r="E238" s="128"/>
      <c r="F238" s="166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6" t="str">
        <f t="shared" si="24"/>
        <v/>
      </c>
      <c r="S238" s="163" t="str">
        <f t="shared" si="25"/>
        <v/>
      </c>
      <c r="T238" s="160" t="str">
        <f>IFERROR(INDEX(当年标准成本!$I:$I,MATCH(K238,当年标准成本!$C:$C,0),1),"")</f>
        <v/>
      </c>
      <c r="U238" s="126" t="str">
        <f t="shared" si="26"/>
        <v/>
      </c>
      <c r="V238" s="126" t="str">
        <f t="shared" si="27"/>
        <v/>
      </c>
      <c r="W238" s="124" t="str">
        <f t="shared" si="28"/>
        <v/>
      </c>
      <c r="X238" s="125" t="str">
        <f t="shared" si="23"/>
        <v/>
      </c>
    </row>
    <row r="239" spans="1:24" x14ac:dyDescent="0.3">
      <c r="A239" s="129"/>
      <c r="B239" s="129"/>
      <c r="C239" s="128"/>
      <c r="D239" s="128"/>
      <c r="E239" s="128"/>
      <c r="F239" s="166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6" t="str">
        <f t="shared" si="24"/>
        <v/>
      </c>
      <c r="S239" s="163" t="str">
        <f t="shared" si="25"/>
        <v/>
      </c>
      <c r="T239" s="160" t="str">
        <f>IFERROR(INDEX(当年标准成本!$I:$I,MATCH(K239,当年标准成本!$C:$C,0),1),"")</f>
        <v/>
      </c>
      <c r="U239" s="126" t="str">
        <f t="shared" si="26"/>
        <v/>
      </c>
      <c r="V239" s="126" t="str">
        <f t="shared" si="27"/>
        <v/>
      </c>
      <c r="W239" s="124" t="str">
        <f t="shared" si="28"/>
        <v/>
      </c>
      <c r="X239" s="125" t="str">
        <f t="shared" si="23"/>
        <v/>
      </c>
    </row>
    <row r="240" spans="1:24" x14ac:dyDescent="0.3">
      <c r="A240" s="129"/>
      <c r="B240" s="129"/>
      <c r="C240" s="128"/>
      <c r="D240" s="128"/>
      <c r="E240" s="128"/>
      <c r="F240" s="166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6" t="str">
        <f t="shared" si="24"/>
        <v/>
      </c>
      <c r="S240" s="163" t="str">
        <f t="shared" si="25"/>
        <v/>
      </c>
      <c r="T240" s="160" t="str">
        <f>IFERROR(INDEX(当年标准成本!$I:$I,MATCH(K240,当年标准成本!$C:$C,0),1),"")</f>
        <v/>
      </c>
      <c r="U240" s="126" t="str">
        <f t="shared" si="26"/>
        <v/>
      </c>
      <c r="V240" s="126" t="str">
        <f t="shared" si="27"/>
        <v/>
      </c>
      <c r="W240" s="124" t="str">
        <f t="shared" si="28"/>
        <v/>
      </c>
      <c r="X240" s="125" t="str">
        <f t="shared" si="23"/>
        <v/>
      </c>
    </row>
    <row r="241" spans="1:24" x14ac:dyDescent="0.3">
      <c r="A241" s="129"/>
      <c r="B241" s="129"/>
      <c r="C241" s="128"/>
      <c r="D241" s="128"/>
      <c r="E241" s="128"/>
      <c r="F241" s="166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6" t="str">
        <f t="shared" si="24"/>
        <v/>
      </c>
      <c r="S241" s="163" t="str">
        <f t="shared" si="25"/>
        <v/>
      </c>
      <c r="T241" s="160" t="str">
        <f>IFERROR(INDEX(当年标准成本!$I:$I,MATCH(K241,当年标准成本!$C:$C,0),1),"")</f>
        <v/>
      </c>
      <c r="U241" s="126" t="str">
        <f t="shared" si="26"/>
        <v/>
      </c>
      <c r="V241" s="126" t="str">
        <f t="shared" si="27"/>
        <v/>
      </c>
      <c r="W241" s="124" t="str">
        <f t="shared" si="28"/>
        <v/>
      </c>
      <c r="X241" s="125" t="str">
        <f t="shared" si="23"/>
        <v/>
      </c>
    </row>
    <row r="242" spans="1:24" x14ac:dyDescent="0.3">
      <c r="A242" s="129"/>
      <c r="B242" s="129"/>
      <c r="C242" s="128"/>
      <c r="D242" s="128"/>
      <c r="E242" s="128"/>
      <c r="F242" s="166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6" t="str">
        <f t="shared" si="24"/>
        <v/>
      </c>
      <c r="S242" s="163" t="str">
        <f t="shared" si="25"/>
        <v/>
      </c>
      <c r="T242" s="160" t="str">
        <f>IFERROR(INDEX(当年标准成本!$I:$I,MATCH(K242,当年标准成本!$C:$C,0),1),"")</f>
        <v/>
      </c>
      <c r="U242" s="126" t="str">
        <f t="shared" si="26"/>
        <v/>
      </c>
      <c r="V242" s="126" t="str">
        <f t="shared" si="27"/>
        <v/>
      </c>
      <c r="W242" s="124" t="str">
        <f t="shared" si="28"/>
        <v/>
      </c>
      <c r="X242" s="125" t="str">
        <f t="shared" si="23"/>
        <v/>
      </c>
    </row>
    <row r="243" spans="1:24" x14ac:dyDescent="0.3">
      <c r="A243" s="129"/>
      <c r="B243" s="129"/>
      <c r="C243" s="128"/>
      <c r="D243" s="128"/>
      <c r="E243" s="128"/>
      <c r="F243" s="166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6" t="str">
        <f t="shared" si="24"/>
        <v/>
      </c>
      <c r="S243" s="163" t="str">
        <f t="shared" si="25"/>
        <v/>
      </c>
      <c r="T243" s="160" t="str">
        <f>IFERROR(INDEX(当年标准成本!$I:$I,MATCH(K243,当年标准成本!$C:$C,0),1),"")</f>
        <v/>
      </c>
      <c r="U243" s="126" t="str">
        <f t="shared" si="26"/>
        <v/>
      </c>
      <c r="V243" s="126" t="str">
        <f t="shared" si="27"/>
        <v/>
      </c>
      <c r="W243" s="124" t="str">
        <f t="shared" si="28"/>
        <v/>
      </c>
      <c r="X243" s="125" t="str">
        <f t="shared" si="23"/>
        <v/>
      </c>
    </row>
    <row r="244" spans="1:24" x14ac:dyDescent="0.3">
      <c r="A244" s="129"/>
      <c r="B244" s="129"/>
      <c r="C244" s="128"/>
      <c r="D244" s="128"/>
      <c r="E244" s="128"/>
      <c r="F244" s="166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6" t="str">
        <f t="shared" si="24"/>
        <v/>
      </c>
      <c r="S244" s="163" t="str">
        <f t="shared" si="25"/>
        <v/>
      </c>
      <c r="T244" s="160" t="str">
        <f>IFERROR(INDEX(当年标准成本!$I:$I,MATCH(K244,当年标准成本!$C:$C,0),1),"")</f>
        <v/>
      </c>
      <c r="U244" s="126" t="str">
        <f t="shared" si="26"/>
        <v/>
      </c>
      <c r="V244" s="126" t="str">
        <f t="shared" si="27"/>
        <v/>
      </c>
      <c r="W244" s="124" t="str">
        <f t="shared" si="28"/>
        <v/>
      </c>
      <c r="X244" s="125" t="str">
        <f t="shared" si="23"/>
        <v/>
      </c>
    </row>
    <row r="245" spans="1:24" x14ac:dyDescent="0.3">
      <c r="A245" s="129"/>
      <c r="B245" s="129"/>
      <c r="C245" s="128"/>
      <c r="D245" s="128"/>
      <c r="E245" s="128"/>
      <c r="F245" s="166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6" t="str">
        <f t="shared" si="24"/>
        <v/>
      </c>
      <c r="S245" s="163" t="str">
        <f t="shared" si="25"/>
        <v/>
      </c>
      <c r="T245" s="160" t="str">
        <f>IFERROR(INDEX(当年标准成本!$I:$I,MATCH(K245,当年标准成本!$C:$C,0),1),"")</f>
        <v/>
      </c>
      <c r="U245" s="126" t="str">
        <f t="shared" si="26"/>
        <v/>
      </c>
      <c r="V245" s="126" t="str">
        <f t="shared" si="27"/>
        <v/>
      </c>
      <c r="W245" s="124" t="str">
        <f t="shared" si="28"/>
        <v/>
      </c>
      <c r="X245" s="125" t="str">
        <f t="shared" si="23"/>
        <v/>
      </c>
    </row>
    <row r="246" spans="1:24" x14ac:dyDescent="0.3">
      <c r="A246" s="129"/>
      <c r="B246" s="129"/>
      <c r="C246" s="128"/>
      <c r="D246" s="128"/>
      <c r="E246" s="128"/>
      <c r="F246" s="166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6" t="str">
        <f t="shared" si="24"/>
        <v/>
      </c>
      <c r="S246" s="163" t="str">
        <f t="shared" si="25"/>
        <v/>
      </c>
      <c r="T246" s="160" t="str">
        <f>IFERROR(INDEX(当年标准成本!$I:$I,MATCH(K246,当年标准成本!$C:$C,0),1),"")</f>
        <v/>
      </c>
      <c r="U246" s="126" t="str">
        <f t="shared" si="26"/>
        <v/>
      </c>
      <c r="V246" s="126" t="str">
        <f t="shared" si="27"/>
        <v/>
      </c>
      <c r="W246" s="124" t="str">
        <f t="shared" si="28"/>
        <v/>
      </c>
      <c r="X246" s="125" t="str">
        <f t="shared" si="23"/>
        <v/>
      </c>
    </row>
    <row r="247" spans="1:24" x14ac:dyDescent="0.3">
      <c r="A247" s="129"/>
      <c r="B247" s="129"/>
      <c r="C247" s="128"/>
      <c r="D247" s="128"/>
      <c r="E247" s="128"/>
      <c r="F247" s="166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6" t="str">
        <f t="shared" si="24"/>
        <v/>
      </c>
      <c r="S247" s="163" t="str">
        <f t="shared" si="25"/>
        <v/>
      </c>
      <c r="T247" s="160" t="str">
        <f>IFERROR(INDEX(当年标准成本!$I:$I,MATCH(K247,当年标准成本!$C:$C,0),1),"")</f>
        <v/>
      </c>
      <c r="U247" s="126" t="str">
        <f t="shared" si="26"/>
        <v/>
      </c>
      <c r="V247" s="126" t="str">
        <f t="shared" si="27"/>
        <v/>
      </c>
      <c r="W247" s="124" t="str">
        <f t="shared" si="28"/>
        <v/>
      </c>
      <c r="X247" s="125" t="str">
        <f t="shared" si="23"/>
        <v/>
      </c>
    </row>
    <row r="248" spans="1:24" x14ac:dyDescent="0.3">
      <c r="A248" s="129"/>
      <c r="B248" s="129"/>
      <c r="C248" s="128"/>
      <c r="D248" s="128"/>
      <c r="E248" s="128"/>
      <c r="F248" s="166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6" t="str">
        <f t="shared" si="24"/>
        <v/>
      </c>
      <c r="S248" s="163" t="str">
        <f t="shared" si="25"/>
        <v/>
      </c>
      <c r="T248" s="160" t="str">
        <f>IFERROR(INDEX(当年标准成本!$I:$I,MATCH(K248,当年标准成本!$C:$C,0),1),"")</f>
        <v/>
      </c>
      <c r="U248" s="126" t="str">
        <f t="shared" si="26"/>
        <v/>
      </c>
      <c r="V248" s="126" t="str">
        <f t="shared" si="27"/>
        <v/>
      </c>
      <c r="W248" s="124" t="str">
        <f t="shared" si="28"/>
        <v/>
      </c>
      <c r="X248" s="125" t="str">
        <f t="shared" si="23"/>
        <v/>
      </c>
    </row>
    <row r="249" spans="1:24" x14ac:dyDescent="0.3">
      <c r="A249" s="129"/>
      <c r="B249" s="129"/>
      <c r="C249" s="128"/>
      <c r="D249" s="128"/>
      <c r="E249" s="128"/>
      <c r="F249" s="166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6" t="str">
        <f t="shared" si="24"/>
        <v/>
      </c>
      <c r="S249" s="163" t="str">
        <f t="shared" si="25"/>
        <v/>
      </c>
      <c r="T249" s="160" t="str">
        <f>IFERROR(INDEX(当年标准成本!$I:$I,MATCH(K249,当年标准成本!$C:$C,0),1),"")</f>
        <v/>
      </c>
      <c r="U249" s="126" t="str">
        <f t="shared" si="26"/>
        <v/>
      </c>
      <c r="V249" s="126" t="str">
        <f t="shared" si="27"/>
        <v/>
      </c>
      <c r="W249" s="124" t="str">
        <f t="shared" si="28"/>
        <v/>
      </c>
      <c r="X249" s="125" t="str">
        <f t="shared" si="23"/>
        <v/>
      </c>
    </row>
    <row r="250" spans="1:24" x14ac:dyDescent="0.3">
      <c r="A250" s="129"/>
      <c r="B250" s="129"/>
      <c r="C250" s="128"/>
      <c r="D250" s="128"/>
      <c r="E250" s="128"/>
      <c r="F250" s="166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6" t="str">
        <f t="shared" si="24"/>
        <v/>
      </c>
      <c r="S250" s="163" t="str">
        <f t="shared" si="25"/>
        <v/>
      </c>
      <c r="T250" s="160" t="str">
        <f>IFERROR(INDEX(当年标准成本!$I:$I,MATCH(K250,当年标准成本!$C:$C,0),1),"")</f>
        <v/>
      </c>
      <c r="U250" s="126" t="str">
        <f t="shared" si="26"/>
        <v/>
      </c>
      <c r="V250" s="126" t="str">
        <f t="shared" si="27"/>
        <v/>
      </c>
      <c r="W250" s="124" t="str">
        <f t="shared" si="28"/>
        <v/>
      </c>
      <c r="X250" s="125" t="str">
        <f t="shared" si="23"/>
        <v/>
      </c>
    </row>
    <row r="251" spans="1:24" x14ac:dyDescent="0.3">
      <c r="A251" s="129"/>
      <c r="B251" s="129"/>
      <c r="C251" s="128"/>
      <c r="D251" s="128"/>
      <c r="E251" s="128"/>
      <c r="F251" s="166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6" t="str">
        <f t="shared" si="24"/>
        <v/>
      </c>
      <c r="S251" s="163" t="str">
        <f t="shared" si="25"/>
        <v/>
      </c>
      <c r="T251" s="160" t="str">
        <f>IFERROR(INDEX(当年标准成本!$I:$I,MATCH(K251,当年标准成本!$C:$C,0),1),"")</f>
        <v/>
      </c>
      <c r="U251" s="126" t="str">
        <f t="shared" si="26"/>
        <v/>
      </c>
      <c r="V251" s="126" t="str">
        <f t="shared" si="27"/>
        <v/>
      </c>
      <c r="W251" s="124" t="str">
        <f t="shared" si="28"/>
        <v/>
      </c>
      <c r="X251" s="125" t="str">
        <f t="shared" si="23"/>
        <v/>
      </c>
    </row>
    <row r="252" spans="1:24" x14ac:dyDescent="0.3">
      <c r="A252" s="129"/>
      <c r="B252" s="129"/>
      <c r="C252" s="128"/>
      <c r="D252" s="128"/>
      <c r="E252" s="128"/>
      <c r="F252" s="166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6" t="str">
        <f t="shared" si="24"/>
        <v/>
      </c>
      <c r="S252" s="163" t="str">
        <f t="shared" si="25"/>
        <v/>
      </c>
      <c r="T252" s="160" t="str">
        <f>IFERROR(INDEX(当年标准成本!$I:$I,MATCH(K252,当年标准成本!$C:$C,0),1),"")</f>
        <v/>
      </c>
      <c r="U252" s="126" t="str">
        <f t="shared" si="26"/>
        <v/>
      </c>
      <c r="V252" s="126" t="str">
        <f t="shared" si="27"/>
        <v/>
      </c>
      <c r="W252" s="124" t="str">
        <f t="shared" si="28"/>
        <v/>
      </c>
      <c r="X252" s="125" t="str">
        <f t="shared" si="23"/>
        <v/>
      </c>
    </row>
    <row r="253" spans="1:24" x14ac:dyDescent="0.3">
      <c r="A253" s="129"/>
      <c r="B253" s="129"/>
      <c r="C253" s="128"/>
      <c r="D253" s="128"/>
      <c r="E253" s="128"/>
      <c r="F253" s="166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6" t="str">
        <f t="shared" si="24"/>
        <v/>
      </c>
      <c r="S253" s="163" t="str">
        <f t="shared" si="25"/>
        <v/>
      </c>
      <c r="T253" s="160" t="str">
        <f>IFERROR(INDEX(当年标准成本!$I:$I,MATCH(K253,当年标准成本!$C:$C,0),1),"")</f>
        <v/>
      </c>
      <c r="U253" s="126" t="str">
        <f t="shared" si="26"/>
        <v/>
      </c>
      <c r="V253" s="126" t="str">
        <f t="shared" si="27"/>
        <v/>
      </c>
      <c r="W253" s="124" t="str">
        <f t="shared" si="28"/>
        <v/>
      </c>
      <c r="X253" s="125" t="str">
        <f t="shared" si="23"/>
        <v/>
      </c>
    </row>
    <row r="254" spans="1:24" x14ac:dyDescent="0.3">
      <c r="A254" s="129"/>
      <c r="B254" s="129"/>
      <c r="C254" s="128"/>
      <c r="D254" s="128"/>
      <c r="E254" s="128"/>
      <c r="F254" s="166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6" t="str">
        <f t="shared" si="24"/>
        <v/>
      </c>
      <c r="S254" s="163" t="str">
        <f t="shared" si="25"/>
        <v/>
      </c>
      <c r="T254" s="160" t="str">
        <f>IFERROR(INDEX(当年标准成本!$I:$I,MATCH(K254,当年标准成本!$C:$C,0),1),"")</f>
        <v/>
      </c>
      <c r="U254" s="126" t="str">
        <f t="shared" si="26"/>
        <v/>
      </c>
      <c r="V254" s="126" t="str">
        <f t="shared" si="27"/>
        <v/>
      </c>
      <c r="W254" s="124" t="str">
        <f t="shared" si="28"/>
        <v/>
      </c>
      <c r="X254" s="125" t="str">
        <f t="shared" si="23"/>
        <v/>
      </c>
    </row>
    <row r="255" spans="1:24" x14ac:dyDescent="0.3">
      <c r="A255" s="129"/>
      <c r="B255" s="129"/>
      <c r="C255" s="128"/>
      <c r="D255" s="128"/>
      <c r="E255" s="128"/>
      <c r="F255" s="166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6" t="str">
        <f t="shared" si="24"/>
        <v/>
      </c>
      <c r="S255" s="163" t="str">
        <f t="shared" si="25"/>
        <v/>
      </c>
      <c r="T255" s="160" t="str">
        <f>IFERROR(INDEX(当年标准成本!$I:$I,MATCH(K255,当年标准成本!$C:$C,0),1),"")</f>
        <v/>
      </c>
      <c r="U255" s="126" t="str">
        <f t="shared" si="26"/>
        <v/>
      </c>
      <c r="V255" s="126" t="str">
        <f t="shared" si="27"/>
        <v/>
      </c>
      <c r="W255" s="124" t="str">
        <f t="shared" si="28"/>
        <v/>
      </c>
      <c r="X255" s="125" t="str">
        <f t="shared" si="23"/>
        <v/>
      </c>
    </row>
    <row r="256" spans="1:24" x14ac:dyDescent="0.3">
      <c r="A256" s="129"/>
      <c r="B256" s="129"/>
      <c r="C256" s="128"/>
      <c r="D256" s="128"/>
      <c r="E256" s="128"/>
      <c r="F256" s="166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6" t="str">
        <f t="shared" si="24"/>
        <v/>
      </c>
      <c r="S256" s="163" t="str">
        <f t="shared" si="25"/>
        <v/>
      </c>
      <c r="T256" s="160" t="str">
        <f>IFERROR(INDEX(当年标准成本!$I:$I,MATCH(K256,当年标准成本!$C:$C,0),1),"")</f>
        <v/>
      </c>
      <c r="U256" s="126" t="str">
        <f t="shared" si="26"/>
        <v/>
      </c>
      <c r="V256" s="126" t="str">
        <f t="shared" si="27"/>
        <v/>
      </c>
      <c r="W256" s="124" t="str">
        <f t="shared" si="28"/>
        <v/>
      </c>
      <c r="X256" s="125" t="str">
        <f t="shared" si="23"/>
        <v/>
      </c>
    </row>
    <row r="257" spans="1:24" x14ac:dyDescent="0.3">
      <c r="A257" s="129"/>
      <c r="B257" s="129"/>
      <c r="C257" s="128"/>
      <c r="D257" s="128"/>
      <c r="E257" s="128"/>
      <c r="F257" s="166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6" t="str">
        <f t="shared" si="24"/>
        <v/>
      </c>
      <c r="S257" s="163" t="str">
        <f t="shared" si="25"/>
        <v/>
      </c>
      <c r="T257" s="160" t="str">
        <f>IFERROR(INDEX(当年标准成本!$I:$I,MATCH(K257,当年标准成本!$C:$C,0),1),"")</f>
        <v/>
      </c>
      <c r="U257" s="126" t="str">
        <f t="shared" si="26"/>
        <v/>
      </c>
      <c r="V257" s="126" t="str">
        <f t="shared" si="27"/>
        <v/>
      </c>
      <c r="W257" s="124" t="str">
        <f t="shared" si="28"/>
        <v/>
      </c>
      <c r="X257" s="125" t="str">
        <f t="shared" si="23"/>
        <v/>
      </c>
    </row>
    <row r="258" spans="1:24" x14ac:dyDescent="0.3">
      <c r="A258" s="129"/>
      <c r="B258" s="129"/>
      <c r="C258" s="128"/>
      <c r="D258" s="128"/>
      <c r="E258" s="128"/>
      <c r="F258" s="166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6" t="str">
        <f t="shared" si="24"/>
        <v/>
      </c>
      <c r="S258" s="163" t="str">
        <f t="shared" si="25"/>
        <v/>
      </c>
      <c r="T258" s="160" t="str">
        <f>IFERROR(INDEX(当年标准成本!$I:$I,MATCH(K258,当年标准成本!$C:$C,0),1),"")</f>
        <v/>
      </c>
      <c r="U258" s="126" t="str">
        <f t="shared" si="26"/>
        <v/>
      </c>
      <c r="V258" s="126" t="str">
        <f t="shared" si="27"/>
        <v/>
      </c>
      <c r="W258" s="124" t="str">
        <f t="shared" si="28"/>
        <v/>
      </c>
      <c r="X258" s="125" t="str">
        <f t="shared" ref="X258:X321" si="29">IFERROR(IF(W258/SUM(W:W)=0,"",W258/SUM(W:W)),"")</f>
        <v/>
      </c>
    </row>
    <row r="259" spans="1:24" x14ac:dyDescent="0.3">
      <c r="A259" s="129"/>
      <c r="B259" s="129"/>
      <c r="C259" s="128"/>
      <c r="D259" s="128"/>
      <c r="E259" s="128"/>
      <c r="F259" s="166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6" t="str">
        <f t="shared" si="24"/>
        <v/>
      </c>
      <c r="S259" s="163" t="str">
        <f t="shared" si="25"/>
        <v/>
      </c>
      <c r="T259" s="160" t="str">
        <f>IFERROR(INDEX(当年标准成本!$I:$I,MATCH(K259,当年标准成本!$C:$C,0),1),"")</f>
        <v/>
      </c>
      <c r="U259" s="126" t="str">
        <f t="shared" si="26"/>
        <v/>
      </c>
      <c r="V259" s="126" t="str">
        <f t="shared" si="27"/>
        <v/>
      </c>
      <c r="W259" s="124" t="str">
        <f t="shared" si="28"/>
        <v/>
      </c>
      <c r="X259" s="125" t="str">
        <f t="shared" si="29"/>
        <v/>
      </c>
    </row>
    <row r="260" spans="1:24" x14ac:dyDescent="0.3">
      <c r="A260" s="129"/>
      <c r="B260" s="129"/>
      <c r="C260" s="128"/>
      <c r="D260" s="128"/>
      <c r="E260" s="128"/>
      <c r="F260" s="166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6" t="str">
        <f t="shared" si="24"/>
        <v/>
      </c>
      <c r="S260" s="163" t="str">
        <f t="shared" si="25"/>
        <v/>
      </c>
      <c r="T260" s="160" t="str">
        <f>IFERROR(INDEX(当年标准成本!$I:$I,MATCH(K260,当年标准成本!$C:$C,0),1),"")</f>
        <v/>
      </c>
      <c r="U260" s="126" t="str">
        <f t="shared" si="26"/>
        <v/>
      </c>
      <c r="V260" s="126" t="str">
        <f t="shared" si="27"/>
        <v/>
      </c>
      <c r="W260" s="124" t="str">
        <f t="shared" si="28"/>
        <v/>
      </c>
      <c r="X260" s="125" t="str">
        <f t="shared" si="29"/>
        <v/>
      </c>
    </row>
    <row r="261" spans="1:24" x14ac:dyDescent="0.3">
      <c r="A261" s="129"/>
      <c r="B261" s="129"/>
      <c r="C261" s="128"/>
      <c r="D261" s="128"/>
      <c r="E261" s="128"/>
      <c r="F261" s="166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6" t="str">
        <f t="shared" si="24"/>
        <v/>
      </c>
      <c r="S261" s="163" t="str">
        <f t="shared" si="25"/>
        <v/>
      </c>
      <c r="T261" s="160" t="str">
        <f>IFERROR(INDEX(当年标准成本!$I:$I,MATCH(K261,当年标准成本!$C:$C,0),1),"")</f>
        <v/>
      </c>
      <c r="U261" s="126" t="str">
        <f t="shared" si="26"/>
        <v/>
      </c>
      <c r="V261" s="126" t="str">
        <f t="shared" si="27"/>
        <v/>
      </c>
      <c r="W261" s="124" t="str">
        <f t="shared" si="28"/>
        <v/>
      </c>
      <c r="X261" s="125" t="str">
        <f t="shared" si="29"/>
        <v/>
      </c>
    </row>
    <row r="262" spans="1:24" x14ac:dyDescent="0.3">
      <c r="A262" s="129"/>
      <c r="B262" s="129"/>
      <c r="C262" s="128"/>
      <c r="D262" s="128"/>
      <c r="E262" s="128"/>
      <c r="F262" s="166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6" t="str">
        <f t="shared" si="24"/>
        <v/>
      </c>
      <c r="S262" s="163" t="str">
        <f t="shared" si="25"/>
        <v/>
      </c>
      <c r="T262" s="160" t="str">
        <f>IFERROR(INDEX(当年标准成本!$I:$I,MATCH(K262,当年标准成本!$C:$C,0),1),"")</f>
        <v/>
      </c>
      <c r="U262" s="126" t="str">
        <f t="shared" si="26"/>
        <v/>
      </c>
      <c r="V262" s="126" t="str">
        <f t="shared" si="27"/>
        <v/>
      </c>
      <c r="W262" s="124" t="str">
        <f t="shared" si="28"/>
        <v/>
      </c>
      <c r="X262" s="125" t="str">
        <f t="shared" si="29"/>
        <v/>
      </c>
    </row>
    <row r="263" spans="1:24" x14ac:dyDescent="0.3">
      <c r="A263" s="129"/>
      <c r="B263" s="129"/>
      <c r="C263" s="128"/>
      <c r="D263" s="128"/>
      <c r="E263" s="128"/>
      <c r="F263" s="166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6" t="str">
        <f t="shared" si="24"/>
        <v/>
      </c>
      <c r="S263" s="163" t="str">
        <f t="shared" si="25"/>
        <v/>
      </c>
      <c r="T263" s="160" t="str">
        <f>IFERROR(INDEX(当年标准成本!$I:$I,MATCH(K263,当年标准成本!$C:$C,0),1),"")</f>
        <v/>
      </c>
      <c r="U263" s="126" t="str">
        <f t="shared" si="26"/>
        <v/>
      </c>
      <c r="V263" s="126" t="str">
        <f t="shared" si="27"/>
        <v/>
      </c>
      <c r="W263" s="124" t="str">
        <f t="shared" si="28"/>
        <v/>
      </c>
      <c r="X263" s="125" t="str">
        <f t="shared" si="29"/>
        <v/>
      </c>
    </row>
    <row r="264" spans="1:24" x14ac:dyDescent="0.3">
      <c r="A264" s="129"/>
      <c r="B264" s="129"/>
      <c r="C264" s="128"/>
      <c r="D264" s="128"/>
      <c r="E264" s="128"/>
      <c r="F264" s="166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6" t="str">
        <f t="shared" si="24"/>
        <v/>
      </c>
      <c r="S264" s="163" t="str">
        <f t="shared" si="25"/>
        <v/>
      </c>
      <c r="T264" s="160" t="str">
        <f>IFERROR(INDEX(当年标准成本!$I:$I,MATCH(K264,当年标准成本!$C:$C,0),1),"")</f>
        <v/>
      </c>
      <c r="U264" s="126" t="str">
        <f t="shared" si="26"/>
        <v/>
      </c>
      <c r="V264" s="126" t="str">
        <f t="shared" si="27"/>
        <v/>
      </c>
      <c r="W264" s="124" t="str">
        <f t="shared" si="28"/>
        <v/>
      </c>
      <c r="X264" s="125" t="str">
        <f t="shared" si="29"/>
        <v/>
      </c>
    </row>
    <row r="265" spans="1:24" x14ac:dyDescent="0.3">
      <c r="A265" s="129"/>
      <c r="B265" s="129"/>
      <c r="C265" s="128"/>
      <c r="D265" s="128"/>
      <c r="E265" s="128"/>
      <c r="F265" s="166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6" t="str">
        <f t="shared" si="24"/>
        <v/>
      </c>
      <c r="S265" s="163" t="str">
        <f t="shared" si="25"/>
        <v/>
      </c>
      <c r="T265" s="160" t="str">
        <f>IFERROR(INDEX(当年标准成本!$I:$I,MATCH(K265,当年标准成本!$C:$C,0),1),"")</f>
        <v/>
      </c>
      <c r="U265" s="126" t="str">
        <f t="shared" si="26"/>
        <v/>
      </c>
      <c r="V265" s="126" t="str">
        <f t="shared" si="27"/>
        <v/>
      </c>
      <c r="W265" s="124" t="str">
        <f t="shared" si="28"/>
        <v/>
      </c>
      <c r="X265" s="125" t="str">
        <f t="shared" si="29"/>
        <v/>
      </c>
    </row>
    <row r="266" spans="1:24" x14ac:dyDescent="0.3">
      <c r="A266" s="129"/>
      <c r="B266" s="129"/>
      <c r="C266" s="128"/>
      <c r="D266" s="128"/>
      <c r="E266" s="128"/>
      <c r="F266" s="166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6" t="str">
        <f t="shared" ref="R266:R329" si="30">IFERROR(P266/O266,"")</f>
        <v/>
      </c>
      <c r="S266" s="163" t="str">
        <f t="shared" ref="S266:S329" si="31">IFERROR(R266*(1+Q266),"")</f>
        <v/>
      </c>
      <c r="T266" s="160" t="str">
        <f>IFERROR(INDEX(当年标准成本!$I:$I,MATCH(K266,当年标准成本!$C:$C,0),1),"")</f>
        <v/>
      </c>
      <c r="U266" s="126" t="str">
        <f t="shared" ref="U266:U329" si="32">IFERROR(O266*T266,"")</f>
        <v/>
      </c>
      <c r="V266" s="126" t="str">
        <f t="shared" ref="V266:V329" si="33">IFERROR(P266-U266,"")</f>
        <v/>
      </c>
      <c r="W266" s="124" t="str">
        <f t="shared" ref="W266:W329" si="34">IFERROR(V266/P266,"")</f>
        <v/>
      </c>
      <c r="X266" s="125" t="str">
        <f t="shared" si="29"/>
        <v/>
      </c>
    </row>
    <row r="267" spans="1:24" x14ac:dyDescent="0.3">
      <c r="A267" s="129"/>
      <c r="B267" s="129"/>
      <c r="C267" s="128"/>
      <c r="D267" s="128"/>
      <c r="E267" s="128"/>
      <c r="F267" s="166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6" t="str">
        <f t="shared" si="30"/>
        <v/>
      </c>
      <c r="S267" s="163" t="str">
        <f t="shared" si="31"/>
        <v/>
      </c>
      <c r="T267" s="160" t="str">
        <f>IFERROR(INDEX(当年标准成本!$I:$I,MATCH(K267,当年标准成本!$C:$C,0),1),"")</f>
        <v/>
      </c>
      <c r="U267" s="126" t="str">
        <f t="shared" si="32"/>
        <v/>
      </c>
      <c r="V267" s="126" t="str">
        <f t="shared" si="33"/>
        <v/>
      </c>
      <c r="W267" s="124" t="str">
        <f t="shared" si="34"/>
        <v/>
      </c>
      <c r="X267" s="125" t="str">
        <f t="shared" si="29"/>
        <v/>
      </c>
    </row>
    <row r="268" spans="1:24" x14ac:dyDescent="0.3">
      <c r="A268" s="129"/>
      <c r="B268" s="129"/>
      <c r="C268" s="128"/>
      <c r="D268" s="128"/>
      <c r="E268" s="128"/>
      <c r="F268" s="166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6" t="str">
        <f t="shared" si="30"/>
        <v/>
      </c>
      <c r="S268" s="163" t="str">
        <f t="shared" si="31"/>
        <v/>
      </c>
      <c r="T268" s="160" t="str">
        <f>IFERROR(INDEX(当年标准成本!$I:$I,MATCH(K268,当年标准成本!$C:$C,0),1),"")</f>
        <v/>
      </c>
      <c r="U268" s="126" t="str">
        <f t="shared" si="32"/>
        <v/>
      </c>
      <c r="V268" s="126" t="str">
        <f t="shared" si="33"/>
        <v/>
      </c>
      <c r="W268" s="124" t="str">
        <f t="shared" si="34"/>
        <v/>
      </c>
      <c r="X268" s="125" t="str">
        <f t="shared" si="29"/>
        <v/>
      </c>
    </row>
    <row r="269" spans="1:24" x14ac:dyDescent="0.3">
      <c r="A269" s="129"/>
      <c r="B269" s="129"/>
      <c r="C269" s="128"/>
      <c r="D269" s="128"/>
      <c r="E269" s="128"/>
      <c r="F269" s="166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6" t="str">
        <f t="shared" si="30"/>
        <v/>
      </c>
      <c r="S269" s="163" t="str">
        <f t="shared" si="31"/>
        <v/>
      </c>
      <c r="T269" s="160" t="str">
        <f>IFERROR(INDEX(当年标准成本!$I:$I,MATCH(K269,当年标准成本!$C:$C,0),1),"")</f>
        <v/>
      </c>
      <c r="U269" s="126" t="str">
        <f t="shared" si="32"/>
        <v/>
      </c>
      <c r="V269" s="126" t="str">
        <f t="shared" si="33"/>
        <v/>
      </c>
      <c r="W269" s="124" t="str">
        <f t="shared" si="34"/>
        <v/>
      </c>
      <c r="X269" s="125" t="str">
        <f t="shared" si="29"/>
        <v/>
      </c>
    </row>
    <row r="270" spans="1:24" x14ac:dyDescent="0.3">
      <c r="A270" s="129"/>
      <c r="B270" s="129"/>
      <c r="C270" s="128"/>
      <c r="D270" s="128"/>
      <c r="E270" s="128"/>
      <c r="F270" s="166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6" t="str">
        <f t="shared" si="30"/>
        <v/>
      </c>
      <c r="S270" s="163" t="str">
        <f t="shared" si="31"/>
        <v/>
      </c>
      <c r="T270" s="160" t="str">
        <f>IFERROR(INDEX(当年标准成本!$I:$I,MATCH(K270,当年标准成本!$C:$C,0),1),"")</f>
        <v/>
      </c>
      <c r="U270" s="126" t="str">
        <f t="shared" si="32"/>
        <v/>
      </c>
      <c r="V270" s="126" t="str">
        <f t="shared" si="33"/>
        <v/>
      </c>
      <c r="W270" s="124" t="str">
        <f t="shared" si="34"/>
        <v/>
      </c>
      <c r="X270" s="125" t="str">
        <f t="shared" si="29"/>
        <v/>
      </c>
    </row>
    <row r="271" spans="1:24" x14ac:dyDescent="0.3">
      <c r="A271" s="129"/>
      <c r="B271" s="129"/>
      <c r="C271" s="128"/>
      <c r="D271" s="128"/>
      <c r="E271" s="128"/>
      <c r="F271" s="166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6" t="str">
        <f t="shared" si="30"/>
        <v/>
      </c>
      <c r="S271" s="163" t="str">
        <f t="shared" si="31"/>
        <v/>
      </c>
      <c r="T271" s="160" t="str">
        <f>IFERROR(INDEX(当年标准成本!$I:$I,MATCH(K271,当年标准成本!$C:$C,0),1),"")</f>
        <v/>
      </c>
      <c r="U271" s="126" t="str">
        <f t="shared" si="32"/>
        <v/>
      </c>
      <c r="V271" s="126" t="str">
        <f t="shared" si="33"/>
        <v/>
      </c>
      <c r="W271" s="124" t="str">
        <f t="shared" si="34"/>
        <v/>
      </c>
      <c r="X271" s="125" t="str">
        <f t="shared" si="29"/>
        <v/>
      </c>
    </row>
    <row r="272" spans="1:24" x14ac:dyDescent="0.3">
      <c r="A272" s="129"/>
      <c r="B272" s="129"/>
      <c r="C272" s="128"/>
      <c r="D272" s="128"/>
      <c r="E272" s="128"/>
      <c r="F272" s="166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6" t="str">
        <f t="shared" si="30"/>
        <v/>
      </c>
      <c r="S272" s="163" t="str">
        <f t="shared" si="31"/>
        <v/>
      </c>
      <c r="T272" s="160" t="str">
        <f>IFERROR(INDEX(当年标准成本!$I:$I,MATCH(K272,当年标准成本!$C:$C,0),1),"")</f>
        <v/>
      </c>
      <c r="U272" s="126" t="str">
        <f t="shared" si="32"/>
        <v/>
      </c>
      <c r="V272" s="126" t="str">
        <f t="shared" si="33"/>
        <v/>
      </c>
      <c r="W272" s="124" t="str">
        <f t="shared" si="34"/>
        <v/>
      </c>
      <c r="X272" s="125" t="str">
        <f t="shared" si="29"/>
        <v/>
      </c>
    </row>
    <row r="273" spans="1:24" x14ac:dyDescent="0.3">
      <c r="A273" s="129"/>
      <c r="B273" s="129"/>
      <c r="C273" s="128"/>
      <c r="D273" s="128"/>
      <c r="E273" s="128"/>
      <c r="F273" s="166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6" t="str">
        <f t="shared" si="30"/>
        <v/>
      </c>
      <c r="S273" s="163" t="str">
        <f t="shared" si="31"/>
        <v/>
      </c>
      <c r="T273" s="160" t="str">
        <f>IFERROR(INDEX(当年标准成本!$I:$I,MATCH(K273,当年标准成本!$C:$C,0),1),"")</f>
        <v/>
      </c>
      <c r="U273" s="126" t="str">
        <f t="shared" si="32"/>
        <v/>
      </c>
      <c r="V273" s="126" t="str">
        <f t="shared" si="33"/>
        <v/>
      </c>
      <c r="W273" s="124" t="str">
        <f t="shared" si="34"/>
        <v/>
      </c>
      <c r="X273" s="125" t="str">
        <f t="shared" si="29"/>
        <v/>
      </c>
    </row>
    <row r="274" spans="1:24" x14ac:dyDescent="0.3">
      <c r="A274" s="129"/>
      <c r="B274" s="129"/>
      <c r="C274" s="128"/>
      <c r="D274" s="128"/>
      <c r="E274" s="128"/>
      <c r="F274" s="166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6" t="str">
        <f t="shared" si="30"/>
        <v/>
      </c>
      <c r="S274" s="163" t="str">
        <f t="shared" si="31"/>
        <v/>
      </c>
      <c r="T274" s="160" t="str">
        <f>IFERROR(INDEX(当年标准成本!$I:$I,MATCH(K274,当年标准成本!$C:$C,0),1),"")</f>
        <v/>
      </c>
      <c r="U274" s="126" t="str">
        <f t="shared" si="32"/>
        <v/>
      </c>
      <c r="V274" s="126" t="str">
        <f t="shared" si="33"/>
        <v/>
      </c>
      <c r="W274" s="124" t="str">
        <f t="shared" si="34"/>
        <v/>
      </c>
      <c r="X274" s="125" t="str">
        <f t="shared" si="29"/>
        <v/>
      </c>
    </row>
    <row r="275" spans="1:24" x14ac:dyDescent="0.3">
      <c r="A275" s="129"/>
      <c r="B275" s="129"/>
      <c r="C275" s="128"/>
      <c r="D275" s="128"/>
      <c r="E275" s="128"/>
      <c r="F275" s="166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6" t="str">
        <f t="shared" si="30"/>
        <v/>
      </c>
      <c r="S275" s="163" t="str">
        <f t="shared" si="31"/>
        <v/>
      </c>
      <c r="T275" s="160" t="str">
        <f>IFERROR(INDEX(当年标准成本!$I:$I,MATCH(K275,当年标准成本!$C:$C,0),1),"")</f>
        <v/>
      </c>
      <c r="U275" s="126" t="str">
        <f t="shared" si="32"/>
        <v/>
      </c>
      <c r="V275" s="126" t="str">
        <f t="shared" si="33"/>
        <v/>
      </c>
      <c r="W275" s="124" t="str">
        <f t="shared" si="34"/>
        <v/>
      </c>
      <c r="X275" s="125" t="str">
        <f t="shared" si="29"/>
        <v/>
      </c>
    </row>
    <row r="276" spans="1:24" x14ac:dyDescent="0.3">
      <c r="A276" s="129"/>
      <c r="B276" s="129"/>
      <c r="C276" s="128"/>
      <c r="D276" s="128"/>
      <c r="E276" s="128"/>
      <c r="F276" s="166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6" t="str">
        <f t="shared" si="30"/>
        <v/>
      </c>
      <c r="S276" s="163" t="str">
        <f t="shared" si="31"/>
        <v/>
      </c>
      <c r="T276" s="160" t="str">
        <f>IFERROR(INDEX(当年标准成本!$I:$I,MATCH(K276,当年标准成本!$C:$C,0),1),"")</f>
        <v/>
      </c>
      <c r="U276" s="126" t="str">
        <f t="shared" si="32"/>
        <v/>
      </c>
      <c r="V276" s="126" t="str">
        <f t="shared" si="33"/>
        <v/>
      </c>
      <c r="W276" s="124" t="str">
        <f t="shared" si="34"/>
        <v/>
      </c>
      <c r="X276" s="125" t="str">
        <f t="shared" si="29"/>
        <v/>
      </c>
    </row>
    <row r="277" spans="1:24" x14ac:dyDescent="0.3">
      <c r="A277" s="129"/>
      <c r="B277" s="129"/>
      <c r="C277" s="128"/>
      <c r="D277" s="128"/>
      <c r="E277" s="128"/>
      <c r="F277" s="166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6" t="str">
        <f t="shared" si="30"/>
        <v/>
      </c>
      <c r="S277" s="163" t="str">
        <f t="shared" si="31"/>
        <v/>
      </c>
      <c r="T277" s="160" t="str">
        <f>IFERROR(INDEX(当年标准成本!$I:$I,MATCH(K277,当年标准成本!$C:$C,0),1),"")</f>
        <v/>
      </c>
      <c r="U277" s="126" t="str">
        <f t="shared" si="32"/>
        <v/>
      </c>
      <c r="V277" s="126" t="str">
        <f t="shared" si="33"/>
        <v/>
      </c>
      <c r="W277" s="124" t="str">
        <f t="shared" si="34"/>
        <v/>
      </c>
      <c r="X277" s="125" t="str">
        <f t="shared" si="29"/>
        <v/>
      </c>
    </row>
    <row r="278" spans="1:24" x14ac:dyDescent="0.3">
      <c r="A278" s="129"/>
      <c r="B278" s="129"/>
      <c r="C278" s="128"/>
      <c r="D278" s="128"/>
      <c r="E278" s="128"/>
      <c r="F278" s="166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6" t="str">
        <f t="shared" si="30"/>
        <v/>
      </c>
      <c r="S278" s="163" t="str">
        <f t="shared" si="31"/>
        <v/>
      </c>
      <c r="T278" s="160" t="str">
        <f>IFERROR(INDEX(当年标准成本!$I:$I,MATCH(K278,当年标准成本!$C:$C,0),1),"")</f>
        <v/>
      </c>
      <c r="U278" s="126" t="str">
        <f t="shared" si="32"/>
        <v/>
      </c>
      <c r="V278" s="126" t="str">
        <f t="shared" si="33"/>
        <v/>
      </c>
      <c r="W278" s="124" t="str">
        <f t="shared" si="34"/>
        <v/>
      </c>
      <c r="X278" s="125" t="str">
        <f t="shared" si="29"/>
        <v/>
      </c>
    </row>
    <row r="279" spans="1:24" x14ac:dyDescent="0.3">
      <c r="A279" s="129"/>
      <c r="B279" s="129"/>
      <c r="C279" s="128"/>
      <c r="D279" s="128"/>
      <c r="E279" s="128"/>
      <c r="F279" s="166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6" t="str">
        <f t="shared" si="30"/>
        <v/>
      </c>
      <c r="S279" s="163" t="str">
        <f t="shared" si="31"/>
        <v/>
      </c>
      <c r="T279" s="160" t="str">
        <f>IFERROR(INDEX(当年标准成本!$I:$I,MATCH(K279,当年标准成本!$C:$C,0),1),"")</f>
        <v/>
      </c>
      <c r="U279" s="126" t="str">
        <f t="shared" si="32"/>
        <v/>
      </c>
      <c r="V279" s="126" t="str">
        <f t="shared" si="33"/>
        <v/>
      </c>
      <c r="W279" s="124" t="str">
        <f t="shared" si="34"/>
        <v/>
      </c>
      <c r="X279" s="125" t="str">
        <f t="shared" si="29"/>
        <v/>
      </c>
    </row>
    <row r="280" spans="1:24" x14ac:dyDescent="0.3">
      <c r="A280" s="129"/>
      <c r="B280" s="129"/>
      <c r="C280" s="128"/>
      <c r="D280" s="128"/>
      <c r="E280" s="128"/>
      <c r="F280" s="166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6" t="str">
        <f t="shared" si="30"/>
        <v/>
      </c>
      <c r="S280" s="163" t="str">
        <f t="shared" si="31"/>
        <v/>
      </c>
      <c r="T280" s="160" t="str">
        <f>IFERROR(INDEX(当年标准成本!$I:$I,MATCH(K280,当年标准成本!$C:$C,0),1),"")</f>
        <v/>
      </c>
      <c r="U280" s="126" t="str">
        <f t="shared" si="32"/>
        <v/>
      </c>
      <c r="V280" s="126" t="str">
        <f t="shared" si="33"/>
        <v/>
      </c>
      <c r="W280" s="124" t="str">
        <f t="shared" si="34"/>
        <v/>
      </c>
      <c r="X280" s="125" t="str">
        <f t="shared" si="29"/>
        <v/>
      </c>
    </row>
    <row r="281" spans="1:24" x14ac:dyDescent="0.3">
      <c r="A281" s="129"/>
      <c r="B281" s="129"/>
      <c r="C281" s="128"/>
      <c r="D281" s="128"/>
      <c r="E281" s="128"/>
      <c r="F281" s="166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6" t="str">
        <f t="shared" si="30"/>
        <v/>
      </c>
      <c r="S281" s="163" t="str">
        <f t="shared" si="31"/>
        <v/>
      </c>
      <c r="T281" s="160" t="str">
        <f>IFERROR(INDEX(当年标准成本!$I:$I,MATCH(K281,当年标准成本!$C:$C,0),1),"")</f>
        <v/>
      </c>
      <c r="U281" s="126" t="str">
        <f t="shared" si="32"/>
        <v/>
      </c>
      <c r="V281" s="126" t="str">
        <f t="shared" si="33"/>
        <v/>
      </c>
      <c r="W281" s="124" t="str">
        <f t="shared" si="34"/>
        <v/>
      </c>
      <c r="X281" s="125" t="str">
        <f t="shared" si="29"/>
        <v/>
      </c>
    </row>
    <row r="282" spans="1:24" x14ac:dyDescent="0.3">
      <c r="A282" s="129"/>
      <c r="B282" s="129"/>
      <c r="C282" s="128"/>
      <c r="D282" s="128"/>
      <c r="E282" s="128"/>
      <c r="F282" s="166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6" t="str">
        <f t="shared" si="30"/>
        <v/>
      </c>
      <c r="S282" s="163" t="str">
        <f t="shared" si="31"/>
        <v/>
      </c>
      <c r="T282" s="160" t="str">
        <f>IFERROR(INDEX(当年标准成本!$I:$I,MATCH(K282,当年标准成本!$C:$C,0),1),"")</f>
        <v/>
      </c>
      <c r="U282" s="126" t="str">
        <f t="shared" si="32"/>
        <v/>
      </c>
      <c r="V282" s="126" t="str">
        <f t="shared" si="33"/>
        <v/>
      </c>
      <c r="W282" s="124" t="str">
        <f t="shared" si="34"/>
        <v/>
      </c>
      <c r="X282" s="125" t="str">
        <f t="shared" si="29"/>
        <v/>
      </c>
    </row>
    <row r="283" spans="1:24" x14ac:dyDescent="0.3">
      <c r="A283" s="129"/>
      <c r="B283" s="129"/>
      <c r="C283" s="128"/>
      <c r="D283" s="128"/>
      <c r="E283" s="128"/>
      <c r="F283" s="166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6" t="str">
        <f t="shared" si="30"/>
        <v/>
      </c>
      <c r="S283" s="163" t="str">
        <f t="shared" si="31"/>
        <v/>
      </c>
      <c r="T283" s="160" t="str">
        <f>IFERROR(INDEX(当年标准成本!$I:$I,MATCH(K283,当年标准成本!$C:$C,0),1),"")</f>
        <v/>
      </c>
      <c r="U283" s="126" t="str">
        <f t="shared" si="32"/>
        <v/>
      </c>
      <c r="V283" s="126" t="str">
        <f t="shared" si="33"/>
        <v/>
      </c>
      <c r="W283" s="124" t="str">
        <f t="shared" si="34"/>
        <v/>
      </c>
      <c r="X283" s="125" t="str">
        <f t="shared" si="29"/>
        <v/>
      </c>
    </row>
    <row r="284" spans="1:24" x14ac:dyDescent="0.3">
      <c r="A284" s="129"/>
      <c r="B284" s="129"/>
      <c r="C284" s="128"/>
      <c r="D284" s="128"/>
      <c r="E284" s="128"/>
      <c r="F284" s="166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6" t="str">
        <f t="shared" si="30"/>
        <v/>
      </c>
      <c r="S284" s="163" t="str">
        <f t="shared" si="31"/>
        <v/>
      </c>
      <c r="T284" s="160" t="str">
        <f>IFERROR(INDEX(当年标准成本!$I:$I,MATCH(K284,当年标准成本!$C:$C,0),1),"")</f>
        <v/>
      </c>
      <c r="U284" s="126" t="str">
        <f t="shared" si="32"/>
        <v/>
      </c>
      <c r="V284" s="126" t="str">
        <f t="shared" si="33"/>
        <v/>
      </c>
      <c r="W284" s="124" t="str">
        <f t="shared" si="34"/>
        <v/>
      </c>
      <c r="X284" s="125" t="str">
        <f t="shared" si="29"/>
        <v/>
      </c>
    </row>
    <row r="285" spans="1:24" x14ac:dyDescent="0.3">
      <c r="A285" s="129"/>
      <c r="B285" s="129"/>
      <c r="C285" s="128"/>
      <c r="D285" s="128"/>
      <c r="E285" s="128"/>
      <c r="F285" s="166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6" t="str">
        <f t="shared" si="30"/>
        <v/>
      </c>
      <c r="S285" s="163" t="str">
        <f t="shared" si="31"/>
        <v/>
      </c>
      <c r="T285" s="160" t="str">
        <f>IFERROR(INDEX(当年标准成本!$I:$I,MATCH(K285,当年标准成本!$C:$C,0),1),"")</f>
        <v/>
      </c>
      <c r="U285" s="126" t="str">
        <f t="shared" si="32"/>
        <v/>
      </c>
      <c r="V285" s="126" t="str">
        <f t="shared" si="33"/>
        <v/>
      </c>
      <c r="W285" s="124" t="str">
        <f t="shared" si="34"/>
        <v/>
      </c>
      <c r="X285" s="125" t="str">
        <f t="shared" si="29"/>
        <v/>
      </c>
    </row>
    <row r="286" spans="1:24" x14ac:dyDescent="0.3">
      <c r="A286" s="129"/>
      <c r="B286" s="129"/>
      <c r="C286" s="128"/>
      <c r="D286" s="128"/>
      <c r="E286" s="128"/>
      <c r="F286" s="166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6" t="str">
        <f t="shared" si="30"/>
        <v/>
      </c>
      <c r="S286" s="163" t="str">
        <f t="shared" si="31"/>
        <v/>
      </c>
      <c r="T286" s="160" t="str">
        <f>IFERROR(INDEX(当年标准成本!$I:$I,MATCH(K286,当年标准成本!$C:$C,0),1),"")</f>
        <v/>
      </c>
      <c r="U286" s="126" t="str">
        <f t="shared" si="32"/>
        <v/>
      </c>
      <c r="V286" s="126" t="str">
        <f t="shared" si="33"/>
        <v/>
      </c>
      <c r="W286" s="124" t="str">
        <f t="shared" si="34"/>
        <v/>
      </c>
      <c r="X286" s="125" t="str">
        <f t="shared" si="29"/>
        <v/>
      </c>
    </row>
    <row r="287" spans="1:24" x14ac:dyDescent="0.3">
      <c r="A287" s="129"/>
      <c r="B287" s="129"/>
      <c r="C287" s="128"/>
      <c r="D287" s="128"/>
      <c r="E287" s="128"/>
      <c r="F287" s="166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6" t="str">
        <f t="shared" si="30"/>
        <v/>
      </c>
      <c r="S287" s="163" t="str">
        <f t="shared" si="31"/>
        <v/>
      </c>
      <c r="T287" s="160" t="str">
        <f>IFERROR(INDEX(当年标准成本!$I:$I,MATCH(K287,当年标准成本!$C:$C,0),1),"")</f>
        <v/>
      </c>
      <c r="U287" s="126" t="str">
        <f t="shared" si="32"/>
        <v/>
      </c>
      <c r="V287" s="126" t="str">
        <f t="shared" si="33"/>
        <v/>
      </c>
      <c r="W287" s="124" t="str">
        <f t="shared" si="34"/>
        <v/>
      </c>
      <c r="X287" s="125" t="str">
        <f t="shared" si="29"/>
        <v/>
      </c>
    </row>
    <row r="288" spans="1:24" x14ac:dyDescent="0.3">
      <c r="A288" s="129"/>
      <c r="B288" s="129"/>
      <c r="C288" s="128"/>
      <c r="D288" s="128"/>
      <c r="E288" s="128"/>
      <c r="F288" s="166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6" t="str">
        <f t="shared" si="30"/>
        <v/>
      </c>
      <c r="S288" s="163" t="str">
        <f t="shared" si="31"/>
        <v/>
      </c>
      <c r="T288" s="160" t="str">
        <f>IFERROR(INDEX(当年标准成本!$I:$I,MATCH(K288,当年标准成本!$C:$C,0),1),"")</f>
        <v/>
      </c>
      <c r="U288" s="126" t="str">
        <f t="shared" si="32"/>
        <v/>
      </c>
      <c r="V288" s="126" t="str">
        <f t="shared" si="33"/>
        <v/>
      </c>
      <c r="W288" s="124" t="str">
        <f t="shared" si="34"/>
        <v/>
      </c>
      <c r="X288" s="125" t="str">
        <f t="shared" si="29"/>
        <v/>
      </c>
    </row>
    <row r="289" spans="1:24" x14ac:dyDescent="0.3">
      <c r="A289" s="129"/>
      <c r="B289" s="129"/>
      <c r="C289" s="128"/>
      <c r="D289" s="128"/>
      <c r="E289" s="128"/>
      <c r="F289" s="166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6" t="str">
        <f t="shared" si="30"/>
        <v/>
      </c>
      <c r="S289" s="163" t="str">
        <f t="shared" si="31"/>
        <v/>
      </c>
      <c r="T289" s="160" t="str">
        <f>IFERROR(INDEX(当年标准成本!$I:$I,MATCH(K289,当年标准成本!$C:$C,0),1),"")</f>
        <v/>
      </c>
      <c r="U289" s="126" t="str">
        <f t="shared" si="32"/>
        <v/>
      </c>
      <c r="V289" s="126" t="str">
        <f t="shared" si="33"/>
        <v/>
      </c>
      <c r="W289" s="124" t="str">
        <f t="shared" si="34"/>
        <v/>
      </c>
      <c r="X289" s="125" t="str">
        <f t="shared" si="29"/>
        <v/>
      </c>
    </row>
    <row r="290" spans="1:24" x14ac:dyDescent="0.3">
      <c r="A290" s="129"/>
      <c r="B290" s="129"/>
      <c r="C290" s="128"/>
      <c r="D290" s="128"/>
      <c r="E290" s="128"/>
      <c r="F290" s="166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6" t="str">
        <f t="shared" si="30"/>
        <v/>
      </c>
      <c r="S290" s="163" t="str">
        <f t="shared" si="31"/>
        <v/>
      </c>
      <c r="T290" s="160" t="str">
        <f>IFERROR(INDEX(当年标准成本!$I:$I,MATCH(K290,当年标准成本!$C:$C,0),1),"")</f>
        <v/>
      </c>
      <c r="U290" s="126" t="str">
        <f t="shared" si="32"/>
        <v/>
      </c>
      <c r="V290" s="126" t="str">
        <f t="shared" si="33"/>
        <v/>
      </c>
      <c r="W290" s="124" t="str">
        <f t="shared" si="34"/>
        <v/>
      </c>
      <c r="X290" s="125" t="str">
        <f t="shared" si="29"/>
        <v/>
      </c>
    </row>
    <row r="291" spans="1:24" x14ac:dyDescent="0.3">
      <c r="A291" s="129"/>
      <c r="B291" s="129"/>
      <c r="C291" s="128"/>
      <c r="D291" s="128"/>
      <c r="E291" s="128"/>
      <c r="F291" s="166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6" t="str">
        <f t="shared" si="30"/>
        <v/>
      </c>
      <c r="S291" s="163" t="str">
        <f t="shared" si="31"/>
        <v/>
      </c>
      <c r="T291" s="160" t="str">
        <f>IFERROR(INDEX(当年标准成本!$I:$I,MATCH(K291,当年标准成本!$C:$C,0),1),"")</f>
        <v/>
      </c>
      <c r="U291" s="126" t="str">
        <f t="shared" si="32"/>
        <v/>
      </c>
      <c r="V291" s="126" t="str">
        <f t="shared" si="33"/>
        <v/>
      </c>
      <c r="W291" s="124" t="str">
        <f t="shared" si="34"/>
        <v/>
      </c>
      <c r="X291" s="125" t="str">
        <f t="shared" si="29"/>
        <v/>
      </c>
    </row>
    <row r="292" spans="1:24" x14ac:dyDescent="0.3">
      <c r="A292" s="129"/>
      <c r="B292" s="129"/>
      <c r="C292" s="128"/>
      <c r="D292" s="128"/>
      <c r="E292" s="128"/>
      <c r="F292" s="166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6" t="str">
        <f t="shared" si="30"/>
        <v/>
      </c>
      <c r="S292" s="163" t="str">
        <f t="shared" si="31"/>
        <v/>
      </c>
      <c r="T292" s="160" t="str">
        <f>IFERROR(INDEX(当年标准成本!$I:$I,MATCH(K292,当年标准成本!$C:$C,0),1),"")</f>
        <v/>
      </c>
      <c r="U292" s="126" t="str">
        <f t="shared" si="32"/>
        <v/>
      </c>
      <c r="V292" s="126" t="str">
        <f t="shared" si="33"/>
        <v/>
      </c>
      <c r="W292" s="124" t="str">
        <f t="shared" si="34"/>
        <v/>
      </c>
      <c r="X292" s="125" t="str">
        <f t="shared" si="29"/>
        <v/>
      </c>
    </row>
    <row r="293" spans="1:24" x14ac:dyDescent="0.3">
      <c r="A293" s="129"/>
      <c r="B293" s="129"/>
      <c r="C293" s="128"/>
      <c r="D293" s="128"/>
      <c r="E293" s="128"/>
      <c r="F293" s="166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6" t="str">
        <f t="shared" si="30"/>
        <v/>
      </c>
      <c r="S293" s="163" t="str">
        <f t="shared" si="31"/>
        <v/>
      </c>
      <c r="T293" s="160" t="str">
        <f>IFERROR(INDEX(当年标准成本!$I:$I,MATCH(K293,当年标准成本!$C:$C,0),1),"")</f>
        <v/>
      </c>
      <c r="U293" s="126" t="str">
        <f t="shared" si="32"/>
        <v/>
      </c>
      <c r="V293" s="126" t="str">
        <f t="shared" si="33"/>
        <v/>
      </c>
      <c r="W293" s="124" t="str">
        <f t="shared" si="34"/>
        <v/>
      </c>
      <c r="X293" s="125" t="str">
        <f t="shared" si="29"/>
        <v/>
      </c>
    </row>
    <row r="294" spans="1:24" x14ac:dyDescent="0.3">
      <c r="A294" s="129"/>
      <c r="B294" s="129"/>
      <c r="C294" s="128"/>
      <c r="D294" s="128"/>
      <c r="E294" s="128"/>
      <c r="F294" s="166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6" t="str">
        <f t="shared" si="30"/>
        <v/>
      </c>
      <c r="S294" s="163" t="str">
        <f t="shared" si="31"/>
        <v/>
      </c>
      <c r="T294" s="160" t="str">
        <f>IFERROR(INDEX(当年标准成本!$I:$I,MATCH(K294,当年标准成本!$C:$C,0),1),"")</f>
        <v/>
      </c>
      <c r="U294" s="126" t="str">
        <f t="shared" si="32"/>
        <v/>
      </c>
      <c r="V294" s="126" t="str">
        <f t="shared" si="33"/>
        <v/>
      </c>
      <c r="W294" s="124" t="str">
        <f t="shared" si="34"/>
        <v/>
      </c>
      <c r="X294" s="125" t="str">
        <f t="shared" si="29"/>
        <v/>
      </c>
    </row>
    <row r="295" spans="1:24" x14ac:dyDescent="0.3">
      <c r="A295" s="129"/>
      <c r="B295" s="129"/>
      <c r="C295" s="128"/>
      <c r="D295" s="128"/>
      <c r="E295" s="128"/>
      <c r="F295" s="166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6" t="str">
        <f t="shared" si="30"/>
        <v/>
      </c>
      <c r="S295" s="163" t="str">
        <f t="shared" si="31"/>
        <v/>
      </c>
      <c r="T295" s="160" t="str">
        <f>IFERROR(INDEX(当年标准成本!$I:$I,MATCH(K295,当年标准成本!$C:$C,0),1),"")</f>
        <v/>
      </c>
      <c r="U295" s="126" t="str">
        <f t="shared" si="32"/>
        <v/>
      </c>
      <c r="V295" s="126" t="str">
        <f t="shared" si="33"/>
        <v/>
      </c>
      <c r="W295" s="124" t="str">
        <f t="shared" si="34"/>
        <v/>
      </c>
      <c r="X295" s="125" t="str">
        <f t="shared" si="29"/>
        <v/>
      </c>
    </row>
    <row r="296" spans="1:24" x14ac:dyDescent="0.3">
      <c r="A296" s="129"/>
      <c r="B296" s="129"/>
      <c r="C296" s="128"/>
      <c r="D296" s="128"/>
      <c r="E296" s="128"/>
      <c r="F296" s="166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6" t="str">
        <f t="shared" si="30"/>
        <v/>
      </c>
      <c r="S296" s="163" t="str">
        <f t="shared" si="31"/>
        <v/>
      </c>
      <c r="T296" s="160" t="str">
        <f>IFERROR(INDEX(当年标准成本!$I:$I,MATCH(K296,当年标准成本!$C:$C,0),1),"")</f>
        <v/>
      </c>
      <c r="U296" s="126" t="str">
        <f t="shared" si="32"/>
        <v/>
      </c>
      <c r="V296" s="126" t="str">
        <f t="shared" si="33"/>
        <v/>
      </c>
      <c r="W296" s="124" t="str">
        <f t="shared" si="34"/>
        <v/>
      </c>
      <c r="X296" s="125" t="str">
        <f t="shared" si="29"/>
        <v/>
      </c>
    </row>
    <row r="297" spans="1:24" x14ac:dyDescent="0.3">
      <c r="A297" s="129"/>
      <c r="B297" s="129"/>
      <c r="C297" s="128"/>
      <c r="D297" s="128"/>
      <c r="E297" s="128"/>
      <c r="F297" s="166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6" t="str">
        <f t="shared" si="30"/>
        <v/>
      </c>
      <c r="S297" s="163" t="str">
        <f t="shared" si="31"/>
        <v/>
      </c>
      <c r="T297" s="160" t="str">
        <f>IFERROR(INDEX(当年标准成本!$I:$I,MATCH(K297,当年标准成本!$C:$C,0),1),"")</f>
        <v/>
      </c>
      <c r="U297" s="126" t="str">
        <f t="shared" si="32"/>
        <v/>
      </c>
      <c r="V297" s="126" t="str">
        <f t="shared" si="33"/>
        <v/>
      </c>
      <c r="W297" s="124" t="str">
        <f t="shared" si="34"/>
        <v/>
      </c>
      <c r="X297" s="125" t="str">
        <f t="shared" si="29"/>
        <v/>
      </c>
    </row>
    <row r="298" spans="1:24" x14ac:dyDescent="0.3">
      <c r="A298" s="129"/>
      <c r="B298" s="129"/>
      <c r="C298" s="128"/>
      <c r="D298" s="128"/>
      <c r="E298" s="128"/>
      <c r="F298" s="166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6" t="str">
        <f t="shared" si="30"/>
        <v/>
      </c>
      <c r="S298" s="163" t="str">
        <f t="shared" si="31"/>
        <v/>
      </c>
      <c r="T298" s="160" t="str">
        <f>IFERROR(INDEX(当年标准成本!$I:$I,MATCH(K298,当年标准成本!$C:$C,0),1),"")</f>
        <v/>
      </c>
      <c r="U298" s="126" t="str">
        <f t="shared" si="32"/>
        <v/>
      </c>
      <c r="V298" s="126" t="str">
        <f t="shared" si="33"/>
        <v/>
      </c>
      <c r="W298" s="124" t="str">
        <f t="shared" si="34"/>
        <v/>
      </c>
      <c r="X298" s="125" t="str">
        <f t="shared" si="29"/>
        <v/>
      </c>
    </row>
    <row r="299" spans="1:24" x14ac:dyDescent="0.3">
      <c r="A299" s="129"/>
      <c r="B299" s="129"/>
      <c r="C299" s="128"/>
      <c r="D299" s="128"/>
      <c r="E299" s="128"/>
      <c r="F299" s="166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6" t="str">
        <f t="shared" si="30"/>
        <v/>
      </c>
      <c r="S299" s="163" t="str">
        <f t="shared" si="31"/>
        <v/>
      </c>
      <c r="T299" s="160" t="str">
        <f>IFERROR(INDEX(当年标准成本!$I:$I,MATCH(K299,当年标准成本!$C:$C,0),1),"")</f>
        <v/>
      </c>
      <c r="U299" s="126" t="str">
        <f t="shared" si="32"/>
        <v/>
      </c>
      <c r="V299" s="126" t="str">
        <f t="shared" si="33"/>
        <v/>
      </c>
      <c r="W299" s="124" t="str">
        <f t="shared" si="34"/>
        <v/>
      </c>
      <c r="X299" s="125" t="str">
        <f t="shared" si="29"/>
        <v/>
      </c>
    </row>
    <row r="300" spans="1:24" x14ac:dyDescent="0.3">
      <c r="A300" s="129"/>
      <c r="B300" s="129"/>
      <c r="C300" s="128"/>
      <c r="D300" s="128"/>
      <c r="E300" s="128"/>
      <c r="F300" s="166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6" t="str">
        <f t="shared" si="30"/>
        <v/>
      </c>
      <c r="S300" s="163" t="str">
        <f t="shared" si="31"/>
        <v/>
      </c>
      <c r="T300" s="160" t="str">
        <f>IFERROR(INDEX(当年标准成本!$I:$I,MATCH(K300,当年标准成本!$C:$C,0),1),"")</f>
        <v/>
      </c>
      <c r="U300" s="126" t="str">
        <f t="shared" si="32"/>
        <v/>
      </c>
      <c r="V300" s="126" t="str">
        <f t="shared" si="33"/>
        <v/>
      </c>
      <c r="W300" s="124" t="str">
        <f t="shared" si="34"/>
        <v/>
      </c>
      <c r="X300" s="125" t="str">
        <f t="shared" si="29"/>
        <v/>
      </c>
    </row>
    <row r="301" spans="1:24" x14ac:dyDescent="0.3">
      <c r="A301" s="129"/>
      <c r="B301" s="129"/>
      <c r="C301" s="128"/>
      <c r="D301" s="128"/>
      <c r="E301" s="128"/>
      <c r="F301" s="166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6" t="str">
        <f t="shared" si="30"/>
        <v/>
      </c>
      <c r="S301" s="163" t="str">
        <f t="shared" si="31"/>
        <v/>
      </c>
      <c r="T301" s="160" t="str">
        <f>IFERROR(INDEX(当年标准成本!$I:$I,MATCH(K301,当年标准成本!$C:$C,0),1),"")</f>
        <v/>
      </c>
      <c r="U301" s="126" t="str">
        <f t="shared" si="32"/>
        <v/>
      </c>
      <c r="V301" s="126" t="str">
        <f t="shared" si="33"/>
        <v/>
      </c>
      <c r="W301" s="124" t="str">
        <f t="shared" si="34"/>
        <v/>
      </c>
      <c r="X301" s="125" t="str">
        <f t="shared" si="29"/>
        <v/>
      </c>
    </row>
    <row r="302" spans="1:24" x14ac:dyDescent="0.3">
      <c r="A302" s="129"/>
      <c r="B302" s="129"/>
      <c r="C302" s="128"/>
      <c r="D302" s="128"/>
      <c r="E302" s="128"/>
      <c r="F302" s="166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6" t="str">
        <f t="shared" si="30"/>
        <v/>
      </c>
      <c r="S302" s="163" t="str">
        <f t="shared" si="31"/>
        <v/>
      </c>
      <c r="T302" s="160" t="str">
        <f>IFERROR(INDEX(当年标准成本!$I:$I,MATCH(K302,当年标准成本!$C:$C,0),1),"")</f>
        <v/>
      </c>
      <c r="U302" s="126" t="str">
        <f t="shared" si="32"/>
        <v/>
      </c>
      <c r="V302" s="126" t="str">
        <f t="shared" si="33"/>
        <v/>
      </c>
      <c r="W302" s="124" t="str">
        <f t="shared" si="34"/>
        <v/>
      </c>
      <c r="X302" s="125" t="str">
        <f t="shared" si="29"/>
        <v/>
      </c>
    </row>
    <row r="303" spans="1:24" x14ac:dyDescent="0.3">
      <c r="A303" s="129"/>
      <c r="B303" s="129"/>
      <c r="C303" s="128"/>
      <c r="D303" s="128"/>
      <c r="E303" s="128"/>
      <c r="F303" s="166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6" t="str">
        <f t="shared" si="30"/>
        <v/>
      </c>
      <c r="S303" s="163" t="str">
        <f t="shared" si="31"/>
        <v/>
      </c>
      <c r="T303" s="160" t="str">
        <f>IFERROR(INDEX(当年标准成本!$I:$I,MATCH(K303,当年标准成本!$C:$C,0),1),"")</f>
        <v/>
      </c>
      <c r="U303" s="126" t="str">
        <f t="shared" si="32"/>
        <v/>
      </c>
      <c r="V303" s="126" t="str">
        <f t="shared" si="33"/>
        <v/>
      </c>
      <c r="W303" s="124" t="str">
        <f t="shared" si="34"/>
        <v/>
      </c>
      <c r="X303" s="125" t="str">
        <f t="shared" si="29"/>
        <v/>
      </c>
    </row>
    <row r="304" spans="1:24" x14ac:dyDescent="0.3">
      <c r="A304" s="129"/>
      <c r="B304" s="129"/>
      <c r="C304" s="128"/>
      <c r="D304" s="128"/>
      <c r="E304" s="128"/>
      <c r="F304" s="166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6" t="str">
        <f t="shared" si="30"/>
        <v/>
      </c>
      <c r="S304" s="163" t="str">
        <f t="shared" si="31"/>
        <v/>
      </c>
      <c r="T304" s="160" t="str">
        <f>IFERROR(INDEX(当年标准成本!$I:$I,MATCH(K304,当年标准成本!$C:$C,0),1),"")</f>
        <v/>
      </c>
      <c r="U304" s="126" t="str">
        <f t="shared" si="32"/>
        <v/>
      </c>
      <c r="V304" s="126" t="str">
        <f t="shared" si="33"/>
        <v/>
      </c>
      <c r="W304" s="124" t="str">
        <f t="shared" si="34"/>
        <v/>
      </c>
      <c r="X304" s="125" t="str">
        <f t="shared" si="29"/>
        <v/>
      </c>
    </row>
    <row r="305" spans="1:24" x14ac:dyDescent="0.3">
      <c r="A305" s="129"/>
      <c r="B305" s="129"/>
      <c r="C305" s="128"/>
      <c r="D305" s="128"/>
      <c r="E305" s="128"/>
      <c r="F305" s="166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6" t="str">
        <f t="shared" si="30"/>
        <v/>
      </c>
      <c r="S305" s="163" t="str">
        <f t="shared" si="31"/>
        <v/>
      </c>
      <c r="T305" s="160" t="str">
        <f>IFERROR(INDEX(当年标准成本!$I:$I,MATCH(K305,当年标准成本!$C:$C,0),1),"")</f>
        <v/>
      </c>
      <c r="U305" s="126" t="str">
        <f t="shared" si="32"/>
        <v/>
      </c>
      <c r="V305" s="126" t="str">
        <f t="shared" si="33"/>
        <v/>
      </c>
      <c r="W305" s="124" t="str">
        <f t="shared" si="34"/>
        <v/>
      </c>
      <c r="X305" s="125" t="str">
        <f t="shared" si="29"/>
        <v/>
      </c>
    </row>
    <row r="306" spans="1:24" x14ac:dyDescent="0.3">
      <c r="A306" s="129"/>
      <c r="B306" s="129"/>
      <c r="C306" s="128"/>
      <c r="D306" s="128"/>
      <c r="E306" s="128"/>
      <c r="F306" s="166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6" t="str">
        <f t="shared" si="30"/>
        <v/>
      </c>
      <c r="S306" s="163" t="str">
        <f t="shared" si="31"/>
        <v/>
      </c>
      <c r="T306" s="160" t="str">
        <f>IFERROR(INDEX(当年标准成本!$I:$I,MATCH(K306,当年标准成本!$C:$C,0),1),"")</f>
        <v/>
      </c>
      <c r="U306" s="126" t="str">
        <f t="shared" si="32"/>
        <v/>
      </c>
      <c r="V306" s="126" t="str">
        <f t="shared" si="33"/>
        <v/>
      </c>
      <c r="W306" s="124" t="str">
        <f t="shared" si="34"/>
        <v/>
      </c>
      <c r="X306" s="125" t="str">
        <f t="shared" si="29"/>
        <v/>
      </c>
    </row>
    <row r="307" spans="1:24" x14ac:dyDescent="0.3">
      <c r="A307" s="129"/>
      <c r="B307" s="129"/>
      <c r="C307" s="128"/>
      <c r="D307" s="128"/>
      <c r="E307" s="128"/>
      <c r="F307" s="166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6" t="str">
        <f t="shared" si="30"/>
        <v/>
      </c>
      <c r="S307" s="163" t="str">
        <f t="shared" si="31"/>
        <v/>
      </c>
      <c r="T307" s="160" t="str">
        <f>IFERROR(INDEX(当年标准成本!$I:$I,MATCH(K307,当年标准成本!$C:$C,0),1),"")</f>
        <v/>
      </c>
      <c r="U307" s="126" t="str">
        <f t="shared" si="32"/>
        <v/>
      </c>
      <c r="V307" s="126" t="str">
        <f t="shared" si="33"/>
        <v/>
      </c>
      <c r="W307" s="124" t="str">
        <f t="shared" si="34"/>
        <v/>
      </c>
      <c r="X307" s="125" t="str">
        <f t="shared" si="29"/>
        <v/>
      </c>
    </row>
    <row r="308" spans="1:24" x14ac:dyDescent="0.3">
      <c r="A308" s="129"/>
      <c r="B308" s="129"/>
      <c r="C308" s="128"/>
      <c r="D308" s="128"/>
      <c r="E308" s="128"/>
      <c r="F308" s="166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6" t="str">
        <f t="shared" si="30"/>
        <v/>
      </c>
      <c r="S308" s="163" t="str">
        <f t="shared" si="31"/>
        <v/>
      </c>
      <c r="T308" s="160" t="str">
        <f>IFERROR(INDEX(当年标准成本!$I:$I,MATCH(K308,当年标准成本!$C:$C,0),1),"")</f>
        <v/>
      </c>
      <c r="U308" s="126" t="str">
        <f t="shared" si="32"/>
        <v/>
      </c>
      <c r="V308" s="126" t="str">
        <f t="shared" si="33"/>
        <v/>
      </c>
      <c r="W308" s="124" t="str">
        <f t="shared" si="34"/>
        <v/>
      </c>
      <c r="X308" s="125" t="str">
        <f t="shared" si="29"/>
        <v/>
      </c>
    </row>
    <row r="309" spans="1:24" x14ac:dyDescent="0.3">
      <c r="A309" s="129"/>
      <c r="B309" s="129"/>
      <c r="C309" s="128"/>
      <c r="D309" s="128"/>
      <c r="E309" s="128"/>
      <c r="F309" s="166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6" t="str">
        <f t="shared" si="30"/>
        <v/>
      </c>
      <c r="S309" s="163" t="str">
        <f t="shared" si="31"/>
        <v/>
      </c>
      <c r="T309" s="160" t="str">
        <f>IFERROR(INDEX(当年标准成本!$I:$I,MATCH(K309,当年标准成本!$C:$C,0),1),"")</f>
        <v/>
      </c>
      <c r="U309" s="126" t="str">
        <f t="shared" si="32"/>
        <v/>
      </c>
      <c r="V309" s="126" t="str">
        <f t="shared" si="33"/>
        <v/>
      </c>
      <c r="W309" s="124" t="str">
        <f t="shared" si="34"/>
        <v/>
      </c>
      <c r="X309" s="125" t="str">
        <f t="shared" si="29"/>
        <v/>
      </c>
    </row>
    <row r="310" spans="1:24" x14ac:dyDescent="0.3">
      <c r="A310" s="129"/>
      <c r="B310" s="129"/>
      <c r="C310" s="128"/>
      <c r="D310" s="128"/>
      <c r="E310" s="128"/>
      <c r="F310" s="166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6" t="str">
        <f t="shared" si="30"/>
        <v/>
      </c>
      <c r="S310" s="163" t="str">
        <f t="shared" si="31"/>
        <v/>
      </c>
      <c r="T310" s="160" t="str">
        <f>IFERROR(INDEX(当年标准成本!$I:$I,MATCH(K310,当年标准成本!$C:$C,0),1),"")</f>
        <v/>
      </c>
      <c r="U310" s="126" t="str">
        <f t="shared" si="32"/>
        <v/>
      </c>
      <c r="V310" s="126" t="str">
        <f t="shared" si="33"/>
        <v/>
      </c>
      <c r="W310" s="124" t="str">
        <f t="shared" si="34"/>
        <v/>
      </c>
      <c r="X310" s="125" t="str">
        <f t="shared" si="29"/>
        <v/>
      </c>
    </row>
    <row r="311" spans="1:24" x14ac:dyDescent="0.3">
      <c r="A311" s="129"/>
      <c r="B311" s="129"/>
      <c r="C311" s="128"/>
      <c r="D311" s="128"/>
      <c r="E311" s="128"/>
      <c r="F311" s="166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6" t="str">
        <f t="shared" si="30"/>
        <v/>
      </c>
      <c r="S311" s="163" t="str">
        <f t="shared" si="31"/>
        <v/>
      </c>
      <c r="T311" s="160" t="str">
        <f>IFERROR(INDEX(当年标准成本!$I:$I,MATCH(K311,当年标准成本!$C:$C,0),1),"")</f>
        <v/>
      </c>
      <c r="U311" s="126" t="str">
        <f t="shared" si="32"/>
        <v/>
      </c>
      <c r="V311" s="126" t="str">
        <f t="shared" si="33"/>
        <v/>
      </c>
      <c r="W311" s="124" t="str">
        <f t="shared" si="34"/>
        <v/>
      </c>
      <c r="X311" s="125" t="str">
        <f t="shared" si="29"/>
        <v/>
      </c>
    </row>
    <row r="312" spans="1:24" x14ac:dyDescent="0.3">
      <c r="A312" s="129"/>
      <c r="B312" s="129"/>
      <c r="C312" s="128"/>
      <c r="D312" s="128"/>
      <c r="E312" s="128"/>
      <c r="F312" s="166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6" t="str">
        <f t="shared" si="30"/>
        <v/>
      </c>
      <c r="S312" s="163" t="str">
        <f t="shared" si="31"/>
        <v/>
      </c>
      <c r="T312" s="160" t="str">
        <f>IFERROR(INDEX(当年标准成本!$I:$I,MATCH(K312,当年标准成本!$C:$C,0),1),"")</f>
        <v/>
      </c>
      <c r="U312" s="126" t="str">
        <f t="shared" si="32"/>
        <v/>
      </c>
      <c r="V312" s="126" t="str">
        <f t="shared" si="33"/>
        <v/>
      </c>
      <c r="W312" s="124" t="str">
        <f t="shared" si="34"/>
        <v/>
      </c>
      <c r="X312" s="125" t="str">
        <f t="shared" si="29"/>
        <v/>
      </c>
    </row>
    <row r="313" spans="1:24" x14ac:dyDescent="0.3">
      <c r="A313" s="129"/>
      <c r="B313" s="129"/>
      <c r="C313" s="128"/>
      <c r="D313" s="128"/>
      <c r="E313" s="128"/>
      <c r="F313" s="166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6" t="str">
        <f t="shared" si="30"/>
        <v/>
      </c>
      <c r="S313" s="163" t="str">
        <f t="shared" si="31"/>
        <v/>
      </c>
      <c r="T313" s="160" t="str">
        <f>IFERROR(INDEX(当年标准成本!$I:$I,MATCH(K313,当年标准成本!$C:$C,0),1),"")</f>
        <v/>
      </c>
      <c r="U313" s="126" t="str">
        <f t="shared" si="32"/>
        <v/>
      </c>
      <c r="V313" s="126" t="str">
        <f t="shared" si="33"/>
        <v/>
      </c>
      <c r="W313" s="124" t="str">
        <f t="shared" si="34"/>
        <v/>
      </c>
      <c r="X313" s="125" t="str">
        <f t="shared" si="29"/>
        <v/>
      </c>
    </row>
    <row r="314" spans="1:24" x14ac:dyDescent="0.3">
      <c r="A314" s="129"/>
      <c r="B314" s="129"/>
      <c r="C314" s="128"/>
      <c r="D314" s="128"/>
      <c r="E314" s="128"/>
      <c r="F314" s="166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6" t="str">
        <f t="shared" si="30"/>
        <v/>
      </c>
      <c r="S314" s="163" t="str">
        <f t="shared" si="31"/>
        <v/>
      </c>
      <c r="T314" s="160" t="str">
        <f>IFERROR(INDEX(当年标准成本!$I:$I,MATCH(K314,当年标准成本!$C:$C,0),1),"")</f>
        <v/>
      </c>
      <c r="U314" s="126" t="str">
        <f t="shared" si="32"/>
        <v/>
      </c>
      <c r="V314" s="126" t="str">
        <f t="shared" si="33"/>
        <v/>
      </c>
      <c r="W314" s="124" t="str">
        <f t="shared" si="34"/>
        <v/>
      </c>
      <c r="X314" s="125" t="str">
        <f t="shared" si="29"/>
        <v/>
      </c>
    </row>
    <row r="315" spans="1:24" x14ac:dyDescent="0.3">
      <c r="A315" s="129"/>
      <c r="B315" s="129"/>
      <c r="C315" s="128"/>
      <c r="D315" s="128"/>
      <c r="E315" s="128"/>
      <c r="F315" s="166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6" t="str">
        <f t="shared" si="30"/>
        <v/>
      </c>
      <c r="S315" s="163" t="str">
        <f t="shared" si="31"/>
        <v/>
      </c>
      <c r="T315" s="160" t="str">
        <f>IFERROR(INDEX(当年标准成本!$I:$I,MATCH(K315,当年标准成本!$C:$C,0),1),"")</f>
        <v/>
      </c>
      <c r="U315" s="126" t="str">
        <f t="shared" si="32"/>
        <v/>
      </c>
      <c r="V315" s="126" t="str">
        <f t="shared" si="33"/>
        <v/>
      </c>
      <c r="W315" s="124" t="str">
        <f t="shared" si="34"/>
        <v/>
      </c>
      <c r="X315" s="125" t="str">
        <f t="shared" si="29"/>
        <v/>
      </c>
    </row>
    <row r="316" spans="1:24" x14ac:dyDescent="0.3">
      <c r="A316" s="129"/>
      <c r="B316" s="129"/>
      <c r="C316" s="128"/>
      <c r="D316" s="128"/>
      <c r="E316" s="128"/>
      <c r="F316" s="166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6" t="str">
        <f t="shared" si="30"/>
        <v/>
      </c>
      <c r="S316" s="163" t="str">
        <f t="shared" si="31"/>
        <v/>
      </c>
      <c r="T316" s="160" t="str">
        <f>IFERROR(INDEX(当年标准成本!$I:$I,MATCH(K316,当年标准成本!$C:$C,0),1),"")</f>
        <v/>
      </c>
      <c r="U316" s="126" t="str">
        <f t="shared" si="32"/>
        <v/>
      </c>
      <c r="V316" s="126" t="str">
        <f t="shared" si="33"/>
        <v/>
      </c>
      <c r="W316" s="124" t="str">
        <f t="shared" si="34"/>
        <v/>
      </c>
      <c r="X316" s="125" t="str">
        <f t="shared" si="29"/>
        <v/>
      </c>
    </row>
    <row r="317" spans="1:24" x14ac:dyDescent="0.3">
      <c r="A317" s="129"/>
      <c r="B317" s="129"/>
      <c r="C317" s="128"/>
      <c r="D317" s="128"/>
      <c r="E317" s="128"/>
      <c r="F317" s="166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6" t="str">
        <f t="shared" si="30"/>
        <v/>
      </c>
      <c r="S317" s="163" t="str">
        <f t="shared" si="31"/>
        <v/>
      </c>
      <c r="T317" s="160" t="str">
        <f>IFERROR(INDEX(当年标准成本!$I:$I,MATCH(K317,当年标准成本!$C:$C,0),1),"")</f>
        <v/>
      </c>
      <c r="U317" s="126" t="str">
        <f t="shared" si="32"/>
        <v/>
      </c>
      <c r="V317" s="126" t="str">
        <f t="shared" si="33"/>
        <v/>
      </c>
      <c r="W317" s="124" t="str">
        <f t="shared" si="34"/>
        <v/>
      </c>
      <c r="X317" s="125" t="str">
        <f t="shared" si="29"/>
        <v/>
      </c>
    </row>
    <row r="318" spans="1:24" x14ac:dyDescent="0.3">
      <c r="A318" s="129"/>
      <c r="B318" s="129"/>
      <c r="C318" s="128"/>
      <c r="D318" s="128"/>
      <c r="E318" s="128"/>
      <c r="F318" s="166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6" t="str">
        <f t="shared" si="30"/>
        <v/>
      </c>
      <c r="S318" s="163" t="str">
        <f t="shared" si="31"/>
        <v/>
      </c>
      <c r="T318" s="160" t="str">
        <f>IFERROR(INDEX(当年标准成本!$I:$I,MATCH(K318,当年标准成本!$C:$C,0),1),"")</f>
        <v/>
      </c>
      <c r="U318" s="126" t="str">
        <f t="shared" si="32"/>
        <v/>
      </c>
      <c r="V318" s="126" t="str">
        <f t="shared" si="33"/>
        <v/>
      </c>
      <c r="W318" s="124" t="str">
        <f t="shared" si="34"/>
        <v/>
      </c>
      <c r="X318" s="125" t="str">
        <f t="shared" si="29"/>
        <v/>
      </c>
    </row>
    <row r="319" spans="1:24" x14ac:dyDescent="0.3">
      <c r="A319" s="129"/>
      <c r="B319" s="129"/>
      <c r="C319" s="128"/>
      <c r="D319" s="128"/>
      <c r="E319" s="128"/>
      <c r="F319" s="166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6" t="str">
        <f t="shared" si="30"/>
        <v/>
      </c>
      <c r="S319" s="163" t="str">
        <f t="shared" si="31"/>
        <v/>
      </c>
      <c r="T319" s="160" t="str">
        <f>IFERROR(INDEX(当年标准成本!$I:$I,MATCH(K319,当年标准成本!$C:$C,0),1),"")</f>
        <v/>
      </c>
      <c r="U319" s="126" t="str">
        <f t="shared" si="32"/>
        <v/>
      </c>
      <c r="V319" s="126" t="str">
        <f t="shared" si="33"/>
        <v/>
      </c>
      <c r="W319" s="124" t="str">
        <f t="shared" si="34"/>
        <v/>
      </c>
      <c r="X319" s="125" t="str">
        <f t="shared" si="29"/>
        <v/>
      </c>
    </row>
    <row r="320" spans="1:24" x14ac:dyDescent="0.3">
      <c r="A320" s="129"/>
      <c r="B320" s="129"/>
      <c r="C320" s="128"/>
      <c r="D320" s="128"/>
      <c r="E320" s="128"/>
      <c r="F320" s="166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6" t="str">
        <f t="shared" si="30"/>
        <v/>
      </c>
      <c r="S320" s="163" t="str">
        <f t="shared" si="31"/>
        <v/>
      </c>
      <c r="T320" s="160" t="str">
        <f>IFERROR(INDEX(当年标准成本!$I:$I,MATCH(K320,当年标准成本!$C:$C,0),1),"")</f>
        <v/>
      </c>
      <c r="U320" s="126" t="str">
        <f t="shared" si="32"/>
        <v/>
      </c>
      <c r="V320" s="126" t="str">
        <f t="shared" si="33"/>
        <v/>
      </c>
      <c r="W320" s="124" t="str">
        <f t="shared" si="34"/>
        <v/>
      </c>
      <c r="X320" s="125" t="str">
        <f t="shared" si="29"/>
        <v/>
      </c>
    </row>
    <row r="321" spans="1:24" x14ac:dyDescent="0.3">
      <c r="A321" s="129"/>
      <c r="B321" s="129"/>
      <c r="C321" s="128"/>
      <c r="D321" s="128"/>
      <c r="E321" s="128"/>
      <c r="F321" s="166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6" t="str">
        <f t="shared" si="30"/>
        <v/>
      </c>
      <c r="S321" s="163" t="str">
        <f t="shared" si="31"/>
        <v/>
      </c>
      <c r="T321" s="160" t="str">
        <f>IFERROR(INDEX(当年标准成本!$I:$I,MATCH(K321,当年标准成本!$C:$C,0),1),"")</f>
        <v/>
      </c>
      <c r="U321" s="126" t="str">
        <f t="shared" si="32"/>
        <v/>
      </c>
      <c r="V321" s="126" t="str">
        <f t="shared" si="33"/>
        <v/>
      </c>
      <c r="W321" s="124" t="str">
        <f t="shared" si="34"/>
        <v/>
      </c>
      <c r="X321" s="125" t="str">
        <f t="shared" si="29"/>
        <v/>
      </c>
    </row>
    <row r="322" spans="1:24" x14ac:dyDescent="0.3">
      <c r="A322" s="129"/>
      <c r="B322" s="129"/>
      <c r="C322" s="128"/>
      <c r="D322" s="128"/>
      <c r="E322" s="128"/>
      <c r="F322" s="166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6" t="str">
        <f t="shared" si="30"/>
        <v/>
      </c>
      <c r="S322" s="163" t="str">
        <f t="shared" si="31"/>
        <v/>
      </c>
      <c r="T322" s="160" t="str">
        <f>IFERROR(INDEX(当年标准成本!$I:$I,MATCH(K322,当年标准成本!$C:$C,0),1),"")</f>
        <v/>
      </c>
      <c r="U322" s="126" t="str">
        <f t="shared" si="32"/>
        <v/>
      </c>
      <c r="V322" s="126" t="str">
        <f t="shared" si="33"/>
        <v/>
      </c>
      <c r="W322" s="124" t="str">
        <f t="shared" si="34"/>
        <v/>
      </c>
      <c r="X322" s="125" t="str">
        <f t="shared" ref="X322:X385" si="35">IFERROR(IF(W322/SUM(W:W)=0,"",W322/SUM(W:W)),"")</f>
        <v/>
      </c>
    </row>
    <row r="323" spans="1:24" x14ac:dyDescent="0.3">
      <c r="A323" s="129"/>
      <c r="B323" s="129"/>
      <c r="C323" s="128"/>
      <c r="D323" s="128"/>
      <c r="E323" s="128"/>
      <c r="F323" s="166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6" t="str">
        <f t="shared" si="30"/>
        <v/>
      </c>
      <c r="S323" s="163" t="str">
        <f t="shared" si="31"/>
        <v/>
      </c>
      <c r="T323" s="160" t="str">
        <f>IFERROR(INDEX(当年标准成本!$I:$I,MATCH(K323,当年标准成本!$C:$C,0),1),"")</f>
        <v/>
      </c>
      <c r="U323" s="126" t="str">
        <f t="shared" si="32"/>
        <v/>
      </c>
      <c r="V323" s="126" t="str">
        <f t="shared" si="33"/>
        <v/>
      </c>
      <c r="W323" s="124" t="str">
        <f t="shared" si="34"/>
        <v/>
      </c>
      <c r="X323" s="125" t="str">
        <f t="shared" si="35"/>
        <v/>
      </c>
    </row>
    <row r="324" spans="1:24" x14ac:dyDescent="0.3">
      <c r="A324" s="129"/>
      <c r="B324" s="129"/>
      <c r="C324" s="128"/>
      <c r="D324" s="128"/>
      <c r="E324" s="128"/>
      <c r="F324" s="166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6" t="str">
        <f t="shared" si="30"/>
        <v/>
      </c>
      <c r="S324" s="163" t="str">
        <f t="shared" si="31"/>
        <v/>
      </c>
      <c r="T324" s="160" t="str">
        <f>IFERROR(INDEX(当年标准成本!$I:$I,MATCH(K324,当年标准成本!$C:$C,0),1),"")</f>
        <v/>
      </c>
      <c r="U324" s="126" t="str">
        <f t="shared" si="32"/>
        <v/>
      </c>
      <c r="V324" s="126" t="str">
        <f t="shared" si="33"/>
        <v/>
      </c>
      <c r="W324" s="124" t="str">
        <f t="shared" si="34"/>
        <v/>
      </c>
      <c r="X324" s="125" t="str">
        <f t="shared" si="35"/>
        <v/>
      </c>
    </row>
    <row r="325" spans="1:24" x14ac:dyDescent="0.3">
      <c r="A325" s="129"/>
      <c r="B325" s="129"/>
      <c r="C325" s="128"/>
      <c r="D325" s="128"/>
      <c r="E325" s="128"/>
      <c r="F325" s="166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6" t="str">
        <f t="shared" si="30"/>
        <v/>
      </c>
      <c r="S325" s="163" t="str">
        <f t="shared" si="31"/>
        <v/>
      </c>
      <c r="T325" s="160" t="str">
        <f>IFERROR(INDEX(当年标准成本!$I:$I,MATCH(K325,当年标准成本!$C:$C,0),1),"")</f>
        <v/>
      </c>
      <c r="U325" s="126" t="str">
        <f t="shared" si="32"/>
        <v/>
      </c>
      <c r="V325" s="126" t="str">
        <f t="shared" si="33"/>
        <v/>
      </c>
      <c r="W325" s="124" t="str">
        <f t="shared" si="34"/>
        <v/>
      </c>
      <c r="X325" s="125" t="str">
        <f t="shared" si="35"/>
        <v/>
      </c>
    </row>
    <row r="326" spans="1:24" x14ac:dyDescent="0.3">
      <c r="A326" s="129"/>
      <c r="B326" s="129"/>
      <c r="C326" s="128"/>
      <c r="D326" s="128"/>
      <c r="E326" s="128"/>
      <c r="F326" s="166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6" t="str">
        <f t="shared" si="30"/>
        <v/>
      </c>
      <c r="S326" s="163" t="str">
        <f t="shared" si="31"/>
        <v/>
      </c>
      <c r="T326" s="160" t="str">
        <f>IFERROR(INDEX(当年标准成本!$I:$I,MATCH(K326,当年标准成本!$C:$C,0),1),"")</f>
        <v/>
      </c>
      <c r="U326" s="126" t="str">
        <f t="shared" si="32"/>
        <v/>
      </c>
      <c r="V326" s="126" t="str">
        <f t="shared" si="33"/>
        <v/>
      </c>
      <c r="W326" s="124" t="str">
        <f t="shared" si="34"/>
        <v/>
      </c>
      <c r="X326" s="125" t="str">
        <f t="shared" si="35"/>
        <v/>
      </c>
    </row>
    <row r="327" spans="1:24" x14ac:dyDescent="0.3">
      <c r="A327" s="129"/>
      <c r="B327" s="129"/>
      <c r="C327" s="128"/>
      <c r="D327" s="128"/>
      <c r="E327" s="128"/>
      <c r="F327" s="166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6" t="str">
        <f t="shared" si="30"/>
        <v/>
      </c>
      <c r="S327" s="163" t="str">
        <f t="shared" si="31"/>
        <v/>
      </c>
      <c r="T327" s="160" t="str">
        <f>IFERROR(INDEX(当年标准成本!$I:$I,MATCH(K327,当年标准成本!$C:$C,0),1),"")</f>
        <v/>
      </c>
      <c r="U327" s="126" t="str">
        <f t="shared" si="32"/>
        <v/>
      </c>
      <c r="V327" s="126" t="str">
        <f t="shared" si="33"/>
        <v/>
      </c>
      <c r="W327" s="124" t="str">
        <f t="shared" si="34"/>
        <v/>
      </c>
      <c r="X327" s="125" t="str">
        <f t="shared" si="35"/>
        <v/>
      </c>
    </row>
    <row r="328" spans="1:24" x14ac:dyDescent="0.3">
      <c r="A328" s="129"/>
      <c r="B328" s="129"/>
      <c r="C328" s="128"/>
      <c r="D328" s="128"/>
      <c r="E328" s="128"/>
      <c r="F328" s="166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6" t="str">
        <f t="shared" si="30"/>
        <v/>
      </c>
      <c r="S328" s="163" t="str">
        <f t="shared" si="31"/>
        <v/>
      </c>
      <c r="T328" s="160" t="str">
        <f>IFERROR(INDEX(当年标准成本!$I:$I,MATCH(K328,当年标准成本!$C:$C,0),1),"")</f>
        <v/>
      </c>
      <c r="U328" s="126" t="str">
        <f t="shared" si="32"/>
        <v/>
      </c>
      <c r="V328" s="126" t="str">
        <f t="shared" si="33"/>
        <v/>
      </c>
      <c r="W328" s="124" t="str">
        <f t="shared" si="34"/>
        <v/>
      </c>
      <c r="X328" s="125" t="str">
        <f t="shared" si="35"/>
        <v/>
      </c>
    </row>
    <row r="329" spans="1:24" x14ac:dyDescent="0.3">
      <c r="A329" s="129"/>
      <c r="B329" s="129"/>
      <c r="C329" s="128"/>
      <c r="D329" s="128"/>
      <c r="E329" s="128"/>
      <c r="F329" s="166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6" t="str">
        <f t="shared" si="30"/>
        <v/>
      </c>
      <c r="S329" s="163" t="str">
        <f t="shared" si="31"/>
        <v/>
      </c>
      <c r="T329" s="160" t="str">
        <f>IFERROR(INDEX(当年标准成本!$I:$I,MATCH(K329,当年标准成本!$C:$C,0),1),"")</f>
        <v/>
      </c>
      <c r="U329" s="126" t="str">
        <f t="shared" si="32"/>
        <v/>
      </c>
      <c r="V329" s="126" t="str">
        <f t="shared" si="33"/>
        <v/>
      </c>
      <c r="W329" s="124" t="str">
        <f t="shared" si="34"/>
        <v/>
      </c>
      <c r="X329" s="125" t="str">
        <f t="shared" si="35"/>
        <v/>
      </c>
    </row>
    <row r="330" spans="1:24" x14ac:dyDescent="0.3">
      <c r="A330" s="129"/>
      <c r="B330" s="129"/>
      <c r="C330" s="128"/>
      <c r="D330" s="128"/>
      <c r="E330" s="128"/>
      <c r="F330" s="166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6" t="str">
        <f t="shared" ref="R330:R393" si="36">IFERROR(P330/O330,"")</f>
        <v/>
      </c>
      <c r="S330" s="163" t="str">
        <f t="shared" ref="S330:S393" si="37">IFERROR(R330*(1+Q330),"")</f>
        <v/>
      </c>
      <c r="T330" s="160" t="str">
        <f>IFERROR(INDEX(当年标准成本!$I:$I,MATCH(K330,当年标准成本!$C:$C,0),1),"")</f>
        <v/>
      </c>
      <c r="U330" s="126" t="str">
        <f t="shared" ref="U330:U393" si="38">IFERROR(O330*T330,"")</f>
        <v/>
      </c>
      <c r="V330" s="126" t="str">
        <f t="shared" ref="V330:V393" si="39">IFERROR(P330-U330,"")</f>
        <v/>
      </c>
      <c r="W330" s="124" t="str">
        <f t="shared" ref="W330:W393" si="40">IFERROR(V330/P330,"")</f>
        <v/>
      </c>
      <c r="X330" s="125" t="str">
        <f t="shared" si="35"/>
        <v/>
      </c>
    </row>
    <row r="331" spans="1:24" x14ac:dyDescent="0.3">
      <c r="A331" s="129"/>
      <c r="B331" s="129"/>
      <c r="C331" s="128"/>
      <c r="D331" s="128"/>
      <c r="E331" s="128"/>
      <c r="F331" s="166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6" t="str">
        <f t="shared" si="36"/>
        <v/>
      </c>
      <c r="S331" s="163" t="str">
        <f t="shared" si="37"/>
        <v/>
      </c>
      <c r="T331" s="160" t="str">
        <f>IFERROR(INDEX(当年标准成本!$I:$I,MATCH(K331,当年标准成本!$C:$C,0),1),"")</f>
        <v/>
      </c>
      <c r="U331" s="126" t="str">
        <f t="shared" si="38"/>
        <v/>
      </c>
      <c r="V331" s="126" t="str">
        <f t="shared" si="39"/>
        <v/>
      </c>
      <c r="W331" s="124" t="str">
        <f t="shared" si="40"/>
        <v/>
      </c>
      <c r="X331" s="125" t="str">
        <f t="shared" si="35"/>
        <v/>
      </c>
    </row>
    <row r="332" spans="1:24" x14ac:dyDescent="0.3">
      <c r="A332" s="129"/>
      <c r="B332" s="129"/>
      <c r="C332" s="128"/>
      <c r="D332" s="128"/>
      <c r="E332" s="128"/>
      <c r="F332" s="166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6" t="str">
        <f t="shared" si="36"/>
        <v/>
      </c>
      <c r="S332" s="163" t="str">
        <f t="shared" si="37"/>
        <v/>
      </c>
      <c r="T332" s="160" t="str">
        <f>IFERROR(INDEX(当年标准成本!$I:$I,MATCH(K332,当年标准成本!$C:$C,0),1),"")</f>
        <v/>
      </c>
      <c r="U332" s="126" t="str">
        <f t="shared" si="38"/>
        <v/>
      </c>
      <c r="V332" s="126" t="str">
        <f t="shared" si="39"/>
        <v/>
      </c>
      <c r="W332" s="124" t="str">
        <f t="shared" si="40"/>
        <v/>
      </c>
      <c r="X332" s="125" t="str">
        <f t="shared" si="35"/>
        <v/>
      </c>
    </row>
    <row r="333" spans="1:24" x14ac:dyDescent="0.3">
      <c r="A333" s="129"/>
      <c r="B333" s="129"/>
      <c r="C333" s="128"/>
      <c r="D333" s="128"/>
      <c r="E333" s="128"/>
      <c r="F333" s="166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6" t="str">
        <f t="shared" si="36"/>
        <v/>
      </c>
      <c r="S333" s="163" t="str">
        <f t="shared" si="37"/>
        <v/>
      </c>
      <c r="T333" s="160" t="str">
        <f>IFERROR(INDEX(当年标准成本!$I:$I,MATCH(K333,当年标准成本!$C:$C,0),1),"")</f>
        <v/>
      </c>
      <c r="U333" s="126" t="str">
        <f t="shared" si="38"/>
        <v/>
      </c>
      <c r="V333" s="126" t="str">
        <f t="shared" si="39"/>
        <v/>
      </c>
      <c r="W333" s="124" t="str">
        <f t="shared" si="40"/>
        <v/>
      </c>
      <c r="X333" s="125" t="str">
        <f t="shared" si="35"/>
        <v/>
      </c>
    </row>
    <row r="334" spans="1:24" x14ac:dyDescent="0.3">
      <c r="A334" s="129"/>
      <c r="B334" s="129"/>
      <c r="C334" s="128"/>
      <c r="D334" s="128"/>
      <c r="E334" s="128"/>
      <c r="F334" s="166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6" t="str">
        <f t="shared" si="36"/>
        <v/>
      </c>
      <c r="S334" s="163" t="str">
        <f t="shared" si="37"/>
        <v/>
      </c>
      <c r="T334" s="160" t="str">
        <f>IFERROR(INDEX(当年标准成本!$I:$I,MATCH(K334,当年标准成本!$C:$C,0),1),"")</f>
        <v/>
      </c>
      <c r="U334" s="126" t="str">
        <f t="shared" si="38"/>
        <v/>
      </c>
      <c r="V334" s="126" t="str">
        <f t="shared" si="39"/>
        <v/>
      </c>
      <c r="W334" s="124" t="str">
        <f t="shared" si="40"/>
        <v/>
      </c>
      <c r="X334" s="125" t="str">
        <f t="shared" si="35"/>
        <v/>
      </c>
    </row>
    <row r="335" spans="1:24" x14ac:dyDescent="0.3">
      <c r="A335" s="129"/>
      <c r="B335" s="129"/>
      <c r="C335" s="128"/>
      <c r="D335" s="128"/>
      <c r="E335" s="128"/>
      <c r="F335" s="166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6" t="str">
        <f t="shared" si="36"/>
        <v/>
      </c>
      <c r="S335" s="163" t="str">
        <f t="shared" si="37"/>
        <v/>
      </c>
      <c r="T335" s="160" t="str">
        <f>IFERROR(INDEX(当年标准成本!$I:$I,MATCH(K335,当年标准成本!$C:$C,0),1),"")</f>
        <v/>
      </c>
      <c r="U335" s="126" t="str">
        <f t="shared" si="38"/>
        <v/>
      </c>
      <c r="V335" s="126" t="str">
        <f t="shared" si="39"/>
        <v/>
      </c>
      <c r="W335" s="124" t="str">
        <f t="shared" si="40"/>
        <v/>
      </c>
      <c r="X335" s="125" t="str">
        <f t="shared" si="35"/>
        <v/>
      </c>
    </row>
    <row r="336" spans="1:24" x14ac:dyDescent="0.3">
      <c r="A336" s="129"/>
      <c r="B336" s="129"/>
      <c r="C336" s="128"/>
      <c r="D336" s="128"/>
      <c r="E336" s="128"/>
      <c r="F336" s="166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6" t="str">
        <f t="shared" si="36"/>
        <v/>
      </c>
      <c r="S336" s="163" t="str">
        <f t="shared" si="37"/>
        <v/>
      </c>
      <c r="T336" s="160" t="str">
        <f>IFERROR(INDEX(当年标准成本!$I:$I,MATCH(K336,当年标准成本!$C:$C,0),1),"")</f>
        <v/>
      </c>
      <c r="U336" s="126" t="str">
        <f t="shared" si="38"/>
        <v/>
      </c>
      <c r="V336" s="126" t="str">
        <f t="shared" si="39"/>
        <v/>
      </c>
      <c r="W336" s="124" t="str">
        <f t="shared" si="40"/>
        <v/>
      </c>
      <c r="X336" s="125" t="str">
        <f t="shared" si="35"/>
        <v/>
      </c>
    </row>
    <row r="337" spans="1:24" x14ac:dyDescent="0.3">
      <c r="A337" s="129"/>
      <c r="B337" s="129"/>
      <c r="C337" s="128"/>
      <c r="D337" s="128"/>
      <c r="E337" s="128"/>
      <c r="F337" s="166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6" t="str">
        <f t="shared" si="36"/>
        <v/>
      </c>
      <c r="S337" s="163" t="str">
        <f t="shared" si="37"/>
        <v/>
      </c>
      <c r="T337" s="160" t="str">
        <f>IFERROR(INDEX(当年标准成本!$I:$I,MATCH(K337,当年标准成本!$C:$C,0),1),"")</f>
        <v/>
      </c>
      <c r="U337" s="126" t="str">
        <f t="shared" si="38"/>
        <v/>
      </c>
      <c r="V337" s="126" t="str">
        <f t="shared" si="39"/>
        <v/>
      </c>
      <c r="W337" s="124" t="str">
        <f t="shared" si="40"/>
        <v/>
      </c>
      <c r="X337" s="125" t="str">
        <f t="shared" si="35"/>
        <v/>
      </c>
    </row>
    <row r="338" spans="1:24" x14ac:dyDescent="0.3">
      <c r="A338" s="129"/>
      <c r="B338" s="129"/>
      <c r="C338" s="128"/>
      <c r="D338" s="128"/>
      <c r="E338" s="128"/>
      <c r="F338" s="166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6" t="str">
        <f t="shared" si="36"/>
        <v/>
      </c>
      <c r="S338" s="163" t="str">
        <f t="shared" si="37"/>
        <v/>
      </c>
      <c r="T338" s="160" t="str">
        <f>IFERROR(INDEX(当年标准成本!$I:$I,MATCH(K338,当年标准成本!$C:$C,0),1),"")</f>
        <v/>
      </c>
      <c r="U338" s="126" t="str">
        <f t="shared" si="38"/>
        <v/>
      </c>
      <c r="V338" s="126" t="str">
        <f t="shared" si="39"/>
        <v/>
      </c>
      <c r="W338" s="124" t="str">
        <f t="shared" si="40"/>
        <v/>
      </c>
      <c r="X338" s="125" t="str">
        <f t="shared" si="35"/>
        <v/>
      </c>
    </row>
    <row r="339" spans="1:24" x14ac:dyDescent="0.3">
      <c r="A339" s="129"/>
      <c r="B339" s="129"/>
      <c r="C339" s="128"/>
      <c r="D339" s="128"/>
      <c r="E339" s="128"/>
      <c r="F339" s="166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6" t="str">
        <f t="shared" si="36"/>
        <v/>
      </c>
      <c r="S339" s="163" t="str">
        <f t="shared" si="37"/>
        <v/>
      </c>
      <c r="T339" s="160" t="str">
        <f>IFERROR(INDEX(当年标准成本!$I:$I,MATCH(K339,当年标准成本!$C:$C,0),1),"")</f>
        <v/>
      </c>
      <c r="U339" s="126" t="str">
        <f t="shared" si="38"/>
        <v/>
      </c>
      <c r="V339" s="126" t="str">
        <f t="shared" si="39"/>
        <v/>
      </c>
      <c r="W339" s="124" t="str">
        <f t="shared" si="40"/>
        <v/>
      </c>
      <c r="X339" s="125" t="str">
        <f t="shared" si="35"/>
        <v/>
      </c>
    </row>
    <row r="340" spans="1:24" x14ac:dyDescent="0.3">
      <c r="A340" s="129"/>
      <c r="B340" s="129"/>
      <c r="C340" s="128"/>
      <c r="D340" s="128"/>
      <c r="E340" s="128"/>
      <c r="F340" s="166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6" t="str">
        <f t="shared" si="36"/>
        <v/>
      </c>
      <c r="S340" s="163" t="str">
        <f t="shared" si="37"/>
        <v/>
      </c>
      <c r="T340" s="160" t="str">
        <f>IFERROR(INDEX(当年标准成本!$I:$I,MATCH(K340,当年标准成本!$C:$C,0),1),"")</f>
        <v/>
      </c>
      <c r="U340" s="126" t="str">
        <f t="shared" si="38"/>
        <v/>
      </c>
      <c r="V340" s="126" t="str">
        <f t="shared" si="39"/>
        <v/>
      </c>
      <c r="W340" s="124" t="str">
        <f t="shared" si="40"/>
        <v/>
      </c>
      <c r="X340" s="125" t="str">
        <f t="shared" si="35"/>
        <v/>
      </c>
    </row>
    <row r="341" spans="1:24" x14ac:dyDescent="0.3">
      <c r="A341" s="129"/>
      <c r="B341" s="129"/>
      <c r="C341" s="128"/>
      <c r="D341" s="128"/>
      <c r="E341" s="128"/>
      <c r="F341" s="166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6" t="str">
        <f t="shared" si="36"/>
        <v/>
      </c>
      <c r="S341" s="163" t="str">
        <f t="shared" si="37"/>
        <v/>
      </c>
      <c r="T341" s="160" t="str">
        <f>IFERROR(INDEX(当年标准成本!$I:$I,MATCH(K341,当年标准成本!$C:$C,0),1),"")</f>
        <v/>
      </c>
      <c r="U341" s="126" t="str">
        <f t="shared" si="38"/>
        <v/>
      </c>
      <c r="V341" s="126" t="str">
        <f t="shared" si="39"/>
        <v/>
      </c>
      <c r="W341" s="124" t="str">
        <f t="shared" si="40"/>
        <v/>
      </c>
      <c r="X341" s="125" t="str">
        <f t="shared" si="35"/>
        <v/>
      </c>
    </row>
    <row r="342" spans="1:24" x14ac:dyDescent="0.3">
      <c r="A342" s="129"/>
      <c r="B342" s="129"/>
      <c r="C342" s="128"/>
      <c r="D342" s="128"/>
      <c r="E342" s="128"/>
      <c r="F342" s="166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6" t="str">
        <f t="shared" si="36"/>
        <v/>
      </c>
      <c r="S342" s="163" t="str">
        <f t="shared" si="37"/>
        <v/>
      </c>
      <c r="T342" s="160" t="str">
        <f>IFERROR(INDEX(当年标准成本!$I:$I,MATCH(K342,当年标准成本!$C:$C,0),1),"")</f>
        <v/>
      </c>
      <c r="U342" s="126" t="str">
        <f t="shared" si="38"/>
        <v/>
      </c>
      <c r="V342" s="126" t="str">
        <f t="shared" si="39"/>
        <v/>
      </c>
      <c r="W342" s="124" t="str">
        <f t="shared" si="40"/>
        <v/>
      </c>
      <c r="X342" s="125" t="str">
        <f t="shared" si="35"/>
        <v/>
      </c>
    </row>
    <row r="343" spans="1:24" x14ac:dyDescent="0.3">
      <c r="A343" s="129"/>
      <c r="B343" s="129"/>
      <c r="C343" s="128"/>
      <c r="D343" s="128"/>
      <c r="E343" s="128"/>
      <c r="F343" s="166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6" t="str">
        <f t="shared" si="36"/>
        <v/>
      </c>
      <c r="S343" s="163" t="str">
        <f t="shared" si="37"/>
        <v/>
      </c>
      <c r="T343" s="160" t="str">
        <f>IFERROR(INDEX(当年标准成本!$I:$I,MATCH(K343,当年标准成本!$C:$C,0),1),"")</f>
        <v/>
      </c>
      <c r="U343" s="126" t="str">
        <f t="shared" si="38"/>
        <v/>
      </c>
      <c r="V343" s="126" t="str">
        <f t="shared" si="39"/>
        <v/>
      </c>
      <c r="W343" s="124" t="str">
        <f t="shared" si="40"/>
        <v/>
      </c>
      <c r="X343" s="125" t="str">
        <f t="shared" si="35"/>
        <v/>
      </c>
    </row>
    <row r="344" spans="1:24" x14ac:dyDescent="0.3">
      <c r="A344" s="129"/>
      <c r="B344" s="129"/>
      <c r="C344" s="128"/>
      <c r="D344" s="128"/>
      <c r="E344" s="128"/>
      <c r="F344" s="166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6" t="str">
        <f t="shared" si="36"/>
        <v/>
      </c>
      <c r="S344" s="163" t="str">
        <f t="shared" si="37"/>
        <v/>
      </c>
      <c r="T344" s="160" t="str">
        <f>IFERROR(INDEX(当年标准成本!$I:$I,MATCH(K344,当年标准成本!$C:$C,0),1),"")</f>
        <v/>
      </c>
      <c r="U344" s="126" t="str">
        <f t="shared" si="38"/>
        <v/>
      </c>
      <c r="V344" s="126" t="str">
        <f t="shared" si="39"/>
        <v/>
      </c>
      <c r="W344" s="124" t="str">
        <f t="shared" si="40"/>
        <v/>
      </c>
      <c r="X344" s="125" t="str">
        <f t="shared" si="35"/>
        <v/>
      </c>
    </row>
    <row r="345" spans="1:24" x14ac:dyDescent="0.3">
      <c r="A345" s="129"/>
      <c r="B345" s="129"/>
      <c r="C345" s="128"/>
      <c r="D345" s="128"/>
      <c r="E345" s="128"/>
      <c r="F345" s="166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6" t="str">
        <f t="shared" si="36"/>
        <v/>
      </c>
      <c r="S345" s="163" t="str">
        <f t="shared" si="37"/>
        <v/>
      </c>
      <c r="T345" s="160" t="str">
        <f>IFERROR(INDEX(当年标准成本!$I:$I,MATCH(K345,当年标准成本!$C:$C,0),1),"")</f>
        <v/>
      </c>
      <c r="U345" s="126" t="str">
        <f t="shared" si="38"/>
        <v/>
      </c>
      <c r="V345" s="126" t="str">
        <f t="shared" si="39"/>
        <v/>
      </c>
      <c r="W345" s="124" t="str">
        <f t="shared" si="40"/>
        <v/>
      </c>
      <c r="X345" s="125" t="str">
        <f t="shared" si="35"/>
        <v/>
      </c>
    </row>
    <row r="346" spans="1:24" x14ac:dyDescent="0.3">
      <c r="A346" s="129"/>
      <c r="B346" s="129"/>
      <c r="C346" s="128"/>
      <c r="D346" s="128"/>
      <c r="E346" s="128"/>
      <c r="F346" s="166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6" t="str">
        <f t="shared" si="36"/>
        <v/>
      </c>
      <c r="S346" s="163" t="str">
        <f t="shared" si="37"/>
        <v/>
      </c>
      <c r="T346" s="160" t="str">
        <f>IFERROR(INDEX(当年标准成本!$I:$I,MATCH(K346,当年标准成本!$C:$C,0),1),"")</f>
        <v/>
      </c>
      <c r="U346" s="126" t="str">
        <f t="shared" si="38"/>
        <v/>
      </c>
      <c r="V346" s="126" t="str">
        <f t="shared" si="39"/>
        <v/>
      </c>
      <c r="W346" s="124" t="str">
        <f t="shared" si="40"/>
        <v/>
      </c>
      <c r="X346" s="125" t="str">
        <f t="shared" si="35"/>
        <v/>
      </c>
    </row>
    <row r="347" spans="1:24" x14ac:dyDescent="0.3">
      <c r="A347" s="129"/>
      <c r="B347" s="129"/>
      <c r="C347" s="128"/>
      <c r="D347" s="128"/>
      <c r="E347" s="128"/>
      <c r="F347" s="166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6" t="str">
        <f t="shared" si="36"/>
        <v/>
      </c>
      <c r="S347" s="163" t="str">
        <f t="shared" si="37"/>
        <v/>
      </c>
      <c r="T347" s="160" t="str">
        <f>IFERROR(INDEX(当年标准成本!$I:$I,MATCH(K347,当年标准成本!$C:$C,0),1),"")</f>
        <v/>
      </c>
      <c r="U347" s="126" t="str">
        <f t="shared" si="38"/>
        <v/>
      </c>
      <c r="V347" s="126" t="str">
        <f t="shared" si="39"/>
        <v/>
      </c>
      <c r="W347" s="124" t="str">
        <f t="shared" si="40"/>
        <v/>
      </c>
      <c r="X347" s="125" t="str">
        <f t="shared" si="35"/>
        <v/>
      </c>
    </row>
    <row r="348" spans="1:24" x14ac:dyDescent="0.3">
      <c r="A348" s="129"/>
      <c r="B348" s="129"/>
      <c r="C348" s="128"/>
      <c r="D348" s="128"/>
      <c r="E348" s="128"/>
      <c r="F348" s="166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6" t="str">
        <f t="shared" si="36"/>
        <v/>
      </c>
      <c r="S348" s="163" t="str">
        <f t="shared" si="37"/>
        <v/>
      </c>
      <c r="T348" s="160" t="str">
        <f>IFERROR(INDEX(当年标准成本!$I:$I,MATCH(K348,当年标准成本!$C:$C,0),1),"")</f>
        <v/>
      </c>
      <c r="U348" s="126" t="str">
        <f t="shared" si="38"/>
        <v/>
      </c>
      <c r="V348" s="126" t="str">
        <f t="shared" si="39"/>
        <v/>
      </c>
      <c r="W348" s="124" t="str">
        <f t="shared" si="40"/>
        <v/>
      </c>
      <c r="X348" s="125" t="str">
        <f t="shared" si="35"/>
        <v/>
      </c>
    </row>
    <row r="349" spans="1:24" x14ac:dyDescent="0.3">
      <c r="A349" s="129"/>
      <c r="B349" s="129"/>
      <c r="C349" s="128"/>
      <c r="D349" s="128"/>
      <c r="E349" s="128"/>
      <c r="F349" s="166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6" t="str">
        <f t="shared" si="36"/>
        <v/>
      </c>
      <c r="S349" s="163" t="str">
        <f t="shared" si="37"/>
        <v/>
      </c>
      <c r="T349" s="160" t="str">
        <f>IFERROR(INDEX(当年标准成本!$I:$I,MATCH(K349,当年标准成本!$C:$C,0),1),"")</f>
        <v/>
      </c>
      <c r="U349" s="126" t="str">
        <f t="shared" si="38"/>
        <v/>
      </c>
      <c r="V349" s="126" t="str">
        <f t="shared" si="39"/>
        <v/>
      </c>
      <c r="W349" s="124" t="str">
        <f t="shared" si="40"/>
        <v/>
      </c>
      <c r="X349" s="125" t="str">
        <f t="shared" si="35"/>
        <v/>
      </c>
    </row>
    <row r="350" spans="1:24" x14ac:dyDescent="0.3">
      <c r="A350" s="129"/>
      <c r="B350" s="129"/>
      <c r="C350" s="128"/>
      <c r="D350" s="128"/>
      <c r="E350" s="128"/>
      <c r="F350" s="166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6" t="str">
        <f t="shared" si="36"/>
        <v/>
      </c>
      <c r="S350" s="163" t="str">
        <f t="shared" si="37"/>
        <v/>
      </c>
      <c r="T350" s="160" t="str">
        <f>IFERROR(INDEX(当年标准成本!$I:$I,MATCH(K350,当年标准成本!$C:$C,0),1),"")</f>
        <v/>
      </c>
      <c r="U350" s="126" t="str">
        <f t="shared" si="38"/>
        <v/>
      </c>
      <c r="V350" s="126" t="str">
        <f t="shared" si="39"/>
        <v/>
      </c>
      <c r="W350" s="124" t="str">
        <f t="shared" si="40"/>
        <v/>
      </c>
      <c r="X350" s="125" t="str">
        <f t="shared" si="35"/>
        <v/>
      </c>
    </row>
    <row r="351" spans="1:24" x14ac:dyDescent="0.3">
      <c r="A351" s="129"/>
      <c r="B351" s="129"/>
      <c r="C351" s="128"/>
      <c r="D351" s="128"/>
      <c r="E351" s="128"/>
      <c r="F351" s="166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6" t="str">
        <f t="shared" si="36"/>
        <v/>
      </c>
      <c r="S351" s="163" t="str">
        <f t="shared" si="37"/>
        <v/>
      </c>
      <c r="T351" s="160" t="str">
        <f>IFERROR(INDEX(当年标准成本!$I:$I,MATCH(K351,当年标准成本!$C:$C,0),1),"")</f>
        <v/>
      </c>
      <c r="U351" s="126" t="str">
        <f t="shared" si="38"/>
        <v/>
      </c>
      <c r="V351" s="126" t="str">
        <f t="shared" si="39"/>
        <v/>
      </c>
      <c r="W351" s="124" t="str">
        <f t="shared" si="40"/>
        <v/>
      </c>
      <c r="X351" s="125" t="str">
        <f t="shared" si="35"/>
        <v/>
      </c>
    </row>
    <row r="352" spans="1:24" x14ac:dyDescent="0.3">
      <c r="A352" s="129"/>
      <c r="B352" s="129"/>
      <c r="C352" s="128"/>
      <c r="D352" s="128"/>
      <c r="E352" s="128"/>
      <c r="F352" s="166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6" t="str">
        <f t="shared" si="36"/>
        <v/>
      </c>
      <c r="S352" s="163" t="str">
        <f t="shared" si="37"/>
        <v/>
      </c>
      <c r="T352" s="160" t="str">
        <f>IFERROR(INDEX(当年标准成本!$I:$I,MATCH(K352,当年标准成本!$C:$C,0),1),"")</f>
        <v/>
      </c>
      <c r="U352" s="126" t="str">
        <f t="shared" si="38"/>
        <v/>
      </c>
      <c r="V352" s="126" t="str">
        <f t="shared" si="39"/>
        <v/>
      </c>
      <c r="W352" s="124" t="str">
        <f t="shared" si="40"/>
        <v/>
      </c>
      <c r="X352" s="125" t="str">
        <f t="shared" si="35"/>
        <v/>
      </c>
    </row>
    <row r="353" spans="1:24" x14ac:dyDescent="0.3">
      <c r="A353" s="129"/>
      <c r="B353" s="129"/>
      <c r="C353" s="128"/>
      <c r="D353" s="128"/>
      <c r="E353" s="128"/>
      <c r="F353" s="166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6" t="str">
        <f t="shared" si="36"/>
        <v/>
      </c>
      <c r="S353" s="163" t="str">
        <f t="shared" si="37"/>
        <v/>
      </c>
      <c r="T353" s="160" t="str">
        <f>IFERROR(INDEX(当年标准成本!$I:$I,MATCH(K353,当年标准成本!$C:$C,0),1),"")</f>
        <v/>
      </c>
      <c r="U353" s="126" t="str">
        <f t="shared" si="38"/>
        <v/>
      </c>
      <c r="V353" s="126" t="str">
        <f t="shared" si="39"/>
        <v/>
      </c>
      <c r="W353" s="124" t="str">
        <f t="shared" si="40"/>
        <v/>
      </c>
      <c r="X353" s="125" t="str">
        <f t="shared" si="35"/>
        <v/>
      </c>
    </row>
    <row r="354" spans="1:24" x14ac:dyDescent="0.3">
      <c r="A354" s="129"/>
      <c r="B354" s="129"/>
      <c r="C354" s="128"/>
      <c r="D354" s="128"/>
      <c r="E354" s="128"/>
      <c r="F354" s="166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6" t="str">
        <f t="shared" si="36"/>
        <v/>
      </c>
      <c r="S354" s="163" t="str">
        <f t="shared" si="37"/>
        <v/>
      </c>
      <c r="T354" s="160" t="str">
        <f>IFERROR(INDEX(当年标准成本!$I:$I,MATCH(K354,当年标准成本!$C:$C,0),1),"")</f>
        <v/>
      </c>
      <c r="U354" s="126" t="str">
        <f t="shared" si="38"/>
        <v/>
      </c>
      <c r="V354" s="126" t="str">
        <f t="shared" si="39"/>
        <v/>
      </c>
      <c r="W354" s="124" t="str">
        <f t="shared" si="40"/>
        <v/>
      </c>
      <c r="X354" s="125" t="str">
        <f t="shared" si="35"/>
        <v/>
      </c>
    </row>
    <row r="355" spans="1:24" x14ac:dyDescent="0.3">
      <c r="A355" s="129"/>
      <c r="B355" s="129"/>
      <c r="C355" s="128"/>
      <c r="D355" s="128"/>
      <c r="E355" s="128"/>
      <c r="F355" s="166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6" t="str">
        <f t="shared" si="36"/>
        <v/>
      </c>
      <c r="S355" s="163" t="str">
        <f t="shared" si="37"/>
        <v/>
      </c>
      <c r="T355" s="160" t="str">
        <f>IFERROR(INDEX(当年标准成本!$I:$I,MATCH(K355,当年标准成本!$C:$C,0),1),"")</f>
        <v/>
      </c>
      <c r="U355" s="126" t="str">
        <f t="shared" si="38"/>
        <v/>
      </c>
      <c r="V355" s="126" t="str">
        <f t="shared" si="39"/>
        <v/>
      </c>
      <c r="W355" s="124" t="str">
        <f t="shared" si="40"/>
        <v/>
      </c>
      <c r="X355" s="125" t="str">
        <f t="shared" si="35"/>
        <v/>
      </c>
    </row>
    <row r="356" spans="1:24" x14ac:dyDescent="0.3">
      <c r="A356" s="129"/>
      <c r="B356" s="129"/>
      <c r="C356" s="128"/>
      <c r="D356" s="128"/>
      <c r="E356" s="128"/>
      <c r="F356" s="166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6" t="str">
        <f t="shared" si="36"/>
        <v/>
      </c>
      <c r="S356" s="163" t="str">
        <f t="shared" si="37"/>
        <v/>
      </c>
      <c r="T356" s="160" t="str">
        <f>IFERROR(INDEX(当年标准成本!$I:$I,MATCH(K356,当年标准成本!$C:$C,0),1),"")</f>
        <v/>
      </c>
      <c r="U356" s="126" t="str">
        <f t="shared" si="38"/>
        <v/>
      </c>
      <c r="V356" s="126" t="str">
        <f t="shared" si="39"/>
        <v/>
      </c>
      <c r="W356" s="124" t="str">
        <f t="shared" si="40"/>
        <v/>
      </c>
      <c r="X356" s="125" t="str">
        <f t="shared" si="35"/>
        <v/>
      </c>
    </row>
    <row r="357" spans="1:24" x14ac:dyDescent="0.3">
      <c r="A357" s="129"/>
      <c r="B357" s="129"/>
      <c r="C357" s="128"/>
      <c r="D357" s="128"/>
      <c r="E357" s="128"/>
      <c r="F357" s="166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6" t="str">
        <f t="shared" si="36"/>
        <v/>
      </c>
      <c r="S357" s="163" t="str">
        <f t="shared" si="37"/>
        <v/>
      </c>
      <c r="T357" s="160" t="str">
        <f>IFERROR(INDEX(当年标准成本!$I:$I,MATCH(K357,当年标准成本!$C:$C,0),1),"")</f>
        <v/>
      </c>
      <c r="U357" s="126" t="str">
        <f t="shared" si="38"/>
        <v/>
      </c>
      <c r="V357" s="126" t="str">
        <f t="shared" si="39"/>
        <v/>
      </c>
      <c r="W357" s="124" t="str">
        <f t="shared" si="40"/>
        <v/>
      </c>
      <c r="X357" s="125" t="str">
        <f t="shared" si="35"/>
        <v/>
      </c>
    </row>
    <row r="358" spans="1:24" x14ac:dyDescent="0.3">
      <c r="A358" s="129"/>
      <c r="B358" s="129"/>
      <c r="C358" s="128"/>
      <c r="D358" s="128"/>
      <c r="E358" s="128"/>
      <c r="F358" s="166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6" t="str">
        <f t="shared" si="36"/>
        <v/>
      </c>
      <c r="S358" s="163" t="str">
        <f t="shared" si="37"/>
        <v/>
      </c>
      <c r="T358" s="160" t="str">
        <f>IFERROR(INDEX(当年标准成本!$I:$I,MATCH(K358,当年标准成本!$C:$C,0),1),"")</f>
        <v/>
      </c>
      <c r="U358" s="126" t="str">
        <f t="shared" si="38"/>
        <v/>
      </c>
      <c r="V358" s="126" t="str">
        <f t="shared" si="39"/>
        <v/>
      </c>
      <c r="W358" s="124" t="str">
        <f t="shared" si="40"/>
        <v/>
      </c>
      <c r="X358" s="125" t="str">
        <f t="shared" si="35"/>
        <v/>
      </c>
    </row>
    <row r="359" spans="1:24" x14ac:dyDescent="0.3">
      <c r="A359" s="129"/>
      <c r="B359" s="129"/>
      <c r="C359" s="128"/>
      <c r="D359" s="128"/>
      <c r="E359" s="128"/>
      <c r="F359" s="166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6" t="str">
        <f t="shared" si="36"/>
        <v/>
      </c>
      <c r="S359" s="163" t="str">
        <f t="shared" si="37"/>
        <v/>
      </c>
      <c r="T359" s="160" t="str">
        <f>IFERROR(INDEX(当年标准成本!$I:$I,MATCH(K359,当年标准成本!$C:$C,0),1),"")</f>
        <v/>
      </c>
      <c r="U359" s="126" t="str">
        <f t="shared" si="38"/>
        <v/>
      </c>
      <c r="V359" s="126" t="str">
        <f t="shared" si="39"/>
        <v/>
      </c>
      <c r="W359" s="124" t="str">
        <f t="shared" si="40"/>
        <v/>
      </c>
      <c r="X359" s="125" t="str">
        <f t="shared" si="35"/>
        <v/>
      </c>
    </row>
    <row r="360" spans="1:24" x14ac:dyDescent="0.3">
      <c r="A360" s="129"/>
      <c r="B360" s="129"/>
      <c r="C360" s="128"/>
      <c r="D360" s="128"/>
      <c r="E360" s="128"/>
      <c r="F360" s="166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6" t="str">
        <f t="shared" si="36"/>
        <v/>
      </c>
      <c r="S360" s="163" t="str">
        <f t="shared" si="37"/>
        <v/>
      </c>
      <c r="T360" s="160" t="str">
        <f>IFERROR(INDEX(当年标准成本!$I:$I,MATCH(K360,当年标准成本!$C:$C,0),1),"")</f>
        <v/>
      </c>
      <c r="U360" s="126" t="str">
        <f t="shared" si="38"/>
        <v/>
      </c>
      <c r="V360" s="126" t="str">
        <f t="shared" si="39"/>
        <v/>
      </c>
      <c r="W360" s="124" t="str">
        <f t="shared" si="40"/>
        <v/>
      </c>
      <c r="X360" s="125" t="str">
        <f t="shared" si="35"/>
        <v/>
      </c>
    </row>
    <row r="361" spans="1:24" x14ac:dyDescent="0.3">
      <c r="A361" s="129"/>
      <c r="B361" s="129"/>
      <c r="C361" s="128"/>
      <c r="D361" s="128"/>
      <c r="E361" s="128"/>
      <c r="F361" s="166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6" t="str">
        <f t="shared" si="36"/>
        <v/>
      </c>
      <c r="S361" s="163" t="str">
        <f t="shared" si="37"/>
        <v/>
      </c>
      <c r="T361" s="160" t="str">
        <f>IFERROR(INDEX(当年标准成本!$I:$I,MATCH(K361,当年标准成本!$C:$C,0),1),"")</f>
        <v/>
      </c>
      <c r="U361" s="126" t="str">
        <f t="shared" si="38"/>
        <v/>
      </c>
      <c r="V361" s="126" t="str">
        <f t="shared" si="39"/>
        <v/>
      </c>
      <c r="W361" s="124" t="str">
        <f t="shared" si="40"/>
        <v/>
      </c>
      <c r="X361" s="125" t="str">
        <f t="shared" si="35"/>
        <v/>
      </c>
    </row>
    <row r="362" spans="1:24" x14ac:dyDescent="0.3">
      <c r="A362" s="129"/>
      <c r="B362" s="129"/>
      <c r="C362" s="128"/>
      <c r="D362" s="128"/>
      <c r="E362" s="128"/>
      <c r="F362" s="166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6" t="str">
        <f t="shared" si="36"/>
        <v/>
      </c>
      <c r="S362" s="163" t="str">
        <f t="shared" si="37"/>
        <v/>
      </c>
      <c r="T362" s="160" t="str">
        <f>IFERROR(INDEX(当年标准成本!$I:$I,MATCH(K362,当年标准成本!$C:$C,0),1),"")</f>
        <v/>
      </c>
      <c r="U362" s="126" t="str">
        <f t="shared" si="38"/>
        <v/>
      </c>
      <c r="V362" s="126" t="str">
        <f t="shared" si="39"/>
        <v/>
      </c>
      <c r="W362" s="124" t="str">
        <f t="shared" si="40"/>
        <v/>
      </c>
      <c r="X362" s="125" t="str">
        <f t="shared" si="35"/>
        <v/>
      </c>
    </row>
    <row r="363" spans="1:24" x14ac:dyDescent="0.3">
      <c r="A363" s="129"/>
      <c r="B363" s="129"/>
      <c r="C363" s="128"/>
      <c r="D363" s="128"/>
      <c r="E363" s="128"/>
      <c r="F363" s="166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6" t="str">
        <f t="shared" si="36"/>
        <v/>
      </c>
      <c r="S363" s="163" t="str">
        <f t="shared" si="37"/>
        <v/>
      </c>
      <c r="T363" s="160" t="str">
        <f>IFERROR(INDEX(当年标准成本!$I:$I,MATCH(K363,当年标准成本!$C:$C,0),1),"")</f>
        <v/>
      </c>
      <c r="U363" s="126" t="str">
        <f t="shared" si="38"/>
        <v/>
      </c>
      <c r="V363" s="126" t="str">
        <f t="shared" si="39"/>
        <v/>
      </c>
      <c r="W363" s="124" t="str">
        <f t="shared" si="40"/>
        <v/>
      </c>
      <c r="X363" s="125" t="str">
        <f t="shared" si="35"/>
        <v/>
      </c>
    </row>
    <row r="364" spans="1:24" x14ac:dyDescent="0.3">
      <c r="A364" s="129"/>
      <c r="B364" s="129"/>
      <c r="C364" s="128"/>
      <c r="D364" s="128"/>
      <c r="E364" s="128"/>
      <c r="F364" s="166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6" t="str">
        <f t="shared" si="36"/>
        <v/>
      </c>
      <c r="S364" s="163" t="str">
        <f t="shared" si="37"/>
        <v/>
      </c>
      <c r="T364" s="160" t="str">
        <f>IFERROR(INDEX(当年标准成本!$I:$I,MATCH(K364,当年标准成本!$C:$C,0),1),"")</f>
        <v/>
      </c>
      <c r="U364" s="126" t="str">
        <f t="shared" si="38"/>
        <v/>
      </c>
      <c r="V364" s="126" t="str">
        <f t="shared" si="39"/>
        <v/>
      </c>
      <c r="W364" s="124" t="str">
        <f t="shared" si="40"/>
        <v/>
      </c>
      <c r="X364" s="125" t="str">
        <f t="shared" si="35"/>
        <v/>
      </c>
    </row>
    <row r="365" spans="1:24" x14ac:dyDescent="0.3">
      <c r="A365" s="129"/>
      <c r="B365" s="129"/>
      <c r="C365" s="128"/>
      <c r="D365" s="128"/>
      <c r="E365" s="128"/>
      <c r="F365" s="166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6" t="str">
        <f t="shared" si="36"/>
        <v/>
      </c>
      <c r="S365" s="163" t="str">
        <f t="shared" si="37"/>
        <v/>
      </c>
      <c r="T365" s="160" t="str">
        <f>IFERROR(INDEX(当年标准成本!$I:$I,MATCH(K365,当年标准成本!$C:$C,0),1),"")</f>
        <v/>
      </c>
      <c r="U365" s="126" t="str">
        <f t="shared" si="38"/>
        <v/>
      </c>
      <c r="V365" s="126" t="str">
        <f t="shared" si="39"/>
        <v/>
      </c>
      <c r="W365" s="124" t="str">
        <f t="shared" si="40"/>
        <v/>
      </c>
      <c r="X365" s="125" t="str">
        <f t="shared" si="35"/>
        <v/>
      </c>
    </row>
    <row r="366" spans="1:24" x14ac:dyDescent="0.3">
      <c r="A366" s="129"/>
      <c r="B366" s="129"/>
      <c r="C366" s="128"/>
      <c r="D366" s="128"/>
      <c r="E366" s="128"/>
      <c r="F366" s="166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6" t="str">
        <f t="shared" si="36"/>
        <v/>
      </c>
      <c r="S366" s="163" t="str">
        <f t="shared" si="37"/>
        <v/>
      </c>
      <c r="T366" s="160" t="str">
        <f>IFERROR(INDEX(当年标准成本!$I:$I,MATCH(K366,当年标准成本!$C:$C,0),1),"")</f>
        <v/>
      </c>
      <c r="U366" s="126" t="str">
        <f t="shared" si="38"/>
        <v/>
      </c>
      <c r="V366" s="126" t="str">
        <f t="shared" si="39"/>
        <v/>
      </c>
      <c r="W366" s="124" t="str">
        <f t="shared" si="40"/>
        <v/>
      </c>
      <c r="X366" s="125" t="str">
        <f t="shared" si="35"/>
        <v/>
      </c>
    </row>
    <row r="367" spans="1:24" x14ac:dyDescent="0.3">
      <c r="A367" s="129"/>
      <c r="B367" s="129"/>
      <c r="C367" s="128"/>
      <c r="D367" s="128"/>
      <c r="E367" s="128"/>
      <c r="F367" s="166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6" t="str">
        <f t="shared" si="36"/>
        <v/>
      </c>
      <c r="S367" s="163" t="str">
        <f t="shared" si="37"/>
        <v/>
      </c>
      <c r="T367" s="160" t="str">
        <f>IFERROR(INDEX(当年标准成本!$I:$I,MATCH(K367,当年标准成本!$C:$C,0),1),"")</f>
        <v/>
      </c>
      <c r="U367" s="126" t="str">
        <f t="shared" si="38"/>
        <v/>
      </c>
      <c r="V367" s="126" t="str">
        <f t="shared" si="39"/>
        <v/>
      </c>
      <c r="W367" s="124" t="str">
        <f t="shared" si="40"/>
        <v/>
      </c>
      <c r="X367" s="125" t="str">
        <f t="shared" si="35"/>
        <v/>
      </c>
    </row>
    <row r="368" spans="1:24" x14ac:dyDescent="0.3">
      <c r="A368" s="129"/>
      <c r="B368" s="129"/>
      <c r="C368" s="128"/>
      <c r="D368" s="128"/>
      <c r="E368" s="128"/>
      <c r="F368" s="166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6" t="str">
        <f t="shared" si="36"/>
        <v/>
      </c>
      <c r="S368" s="163" t="str">
        <f t="shared" si="37"/>
        <v/>
      </c>
      <c r="T368" s="160" t="str">
        <f>IFERROR(INDEX(当年标准成本!$I:$I,MATCH(K368,当年标准成本!$C:$C,0),1),"")</f>
        <v/>
      </c>
      <c r="U368" s="126" t="str">
        <f t="shared" si="38"/>
        <v/>
      </c>
      <c r="V368" s="126" t="str">
        <f t="shared" si="39"/>
        <v/>
      </c>
      <c r="W368" s="124" t="str">
        <f t="shared" si="40"/>
        <v/>
      </c>
      <c r="X368" s="125" t="str">
        <f t="shared" si="35"/>
        <v/>
      </c>
    </row>
    <row r="369" spans="1:24" x14ac:dyDescent="0.3">
      <c r="A369" s="129"/>
      <c r="B369" s="129"/>
      <c r="C369" s="128"/>
      <c r="D369" s="128"/>
      <c r="E369" s="128"/>
      <c r="F369" s="166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6" t="str">
        <f t="shared" si="36"/>
        <v/>
      </c>
      <c r="S369" s="163" t="str">
        <f t="shared" si="37"/>
        <v/>
      </c>
      <c r="T369" s="160" t="str">
        <f>IFERROR(INDEX(当年标准成本!$I:$I,MATCH(K369,当年标准成本!$C:$C,0),1),"")</f>
        <v/>
      </c>
      <c r="U369" s="126" t="str">
        <f t="shared" si="38"/>
        <v/>
      </c>
      <c r="V369" s="126" t="str">
        <f t="shared" si="39"/>
        <v/>
      </c>
      <c r="W369" s="124" t="str">
        <f t="shared" si="40"/>
        <v/>
      </c>
      <c r="X369" s="125" t="str">
        <f t="shared" si="35"/>
        <v/>
      </c>
    </row>
    <row r="370" spans="1:24" x14ac:dyDescent="0.3">
      <c r="A370" s="129"/>
      <c r="B370" s="129"/>
      <c r="C370" s="128"/>
      <c r="D370" s="128"/>
      <c r="E370" s="128"/>
      <c r="F370" s="166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6" t="str">
        <f t="shared" si="36"/>
        <v/>
      </c>
      <c r="S370" s="163" t="str">
        <f t="shared" si="37"/>
        <v/>
      </c>
      <c r="T370" s="160" t="str">
        <f>IFERROR(INDEX(当年标准成本!$I:$I,MATCH(K370,当年标准成本!$C:$C,0),1),"")</f>
        <v/>
      </c>
      <c r="U370" s="126" t="str">
        <f t="shared" si="38"/>
        <v/>
      </c>
      <c r="V370" s="126" t="str">
        <f t="shared" si="39"/>
        <v/>
      </c>
      <c r="W370" s="124" t="str">
        <f t="shared" si="40"/>
        <v/>
      </c>
      <c r="X370" s="125" t="str">
        <f t="shared" si="35"/>
        <v/>
      </c>
    </row>
    <row r="371" spans="1:24" x14ac:dyDescent="0.3">
      <c r="A371" s="129"/>
      <c r="B371" s="129"/>
      <c r="C371" s="128"/>
      <c r="D371" s="128"/>
      <c r="E371" s="128"/>
      <c r="F371" s="166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6" t="str">
        <f t="shared" si="36"/>
        <v/>
      </c>
      <c r="S371" s="163" t="str">
        <f t="shared" si="37"/>
        <v/>
      </c>
      <c r="T371" s="160" t="str">
        <f>IFERROR(INDEX(当年标准成本!$I:$I,MATCH(K371,当年标准成本!$C:$C,0),1),"")</f>
        <v/>
      </c>
      <c r="U371" s="126" t="str">
        <f t="shared" si="38"/>
        <v/>
      </c>
      <c r="V371" s="126" t="str">
        <f t="shared" si="39"/>
        <v/>
      </c>
      <c r="W371" s="124" t="str">
        <f t="shared" si="40"/>
        <v/>
      </c>
      <c r="X371" s="125" t="str">
        <f t="shared" si="35"/>
        <v/>
      </c>
    </row>
    <row r="372" spans="1:24" x14ac:dyDescent="0.3">
      <c r="A372" s="129"/>
      <c r="B372" s="129"/>
      <c r="C372" s="128"/>
      <c r="D372" s="128"/>
      <c r="E372" s="128"/>
      <c r="F372" s="166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6" t="str">
        <f t="shared" si="36"/>
        <v/>
      </c>
      <c r="S372" s="163" t="str">
        <f t="shared" si="37"/>
        <v/>
      </c>
      <c r="T372" s="160" t="str">
        <f>IFERROR(INDEX(当年标准成本!$I:$I,MATCH(K372,当年标准成本!$C:$C,0),1),"")</f>
        <v/>
      </c>
      <c r="U372" s="126" t="str">
        <f t="shared" si="38"/>
        <v/>
      </c>
      <c r="V372" s="126" t="str">
        <f t="shared" si="39"/>
        <v/>
      </c>
      <c r="W372" s="124" t="str">
        <f t="shared" si="40"/>
        <v/>
      </c>
      <c r="X372" s="125" t="str">
        <f t="shared" si="35"/>
        <v/>
      </c>
    </row>
    <row r="373" spans="1:24" x14ac:dyDescent="0.3">
      <c r="A373" s="129"/>
      <c r="B373" s="129"/>
      <c r="C373" s="128"/>
      <c r="D373" s="128"/>
      <c r="E373" s="128"/>
      <c r="F373" s="166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6" t="str">
        <f t="shared" si="36"/>
        <v/>
      </c>
      <c r="S373" s="163" t="str">
        <f t="shared" si="37"/>
        <v/>
      </c>
      <c r="T373" s="160" t="str">
        <f>IFERROR(INDEX(当年标准成本!$I:$I,MATCH(K373,当年标准成本!$C:$C,0),1),"")</f>
        <v/>
      </c>
      <c r="U373" s="126" t="str">
        <f t="shared" si="38"/>
        <v/>
      </c>
      <c r="V373" s="126" t="str">
        <f t="shared" si="39"/>
        <v/>
      </c>
      <c r="W373" s="124" t="str">
        <f t="shared" si="40"/>
        <v/>
      </c>
      <c r="X373" s="125" t="str">
        <f t="shared" si="35"/>
        <v/>
      </c>
    </row>
    <row r="374" spans="1:24" x14ac:dyDescent="0.3">
      <c r="A374" s="129"/>
      <c r="B374" s="129"/>
      <c r="C374" s="128"/>
      <c r="D374" s="128"/>
      <c r="E374" s="128"/>
      <c r="F374" s="166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6" t="str">
        <f t="shared" si="36"/>
        <v/>
      </c>
      <c r="S374" s="163" t="str">
        <f t="shared" si="37"/>
        <v/>
      </c>
      <c r="T374" s="160" t="str">
        <f>IFERROR(INDEX(当年标准成本!$I:$I,MATCH(K374,当年标准成本!$C:$C,0),1),"")</f>
        <v/>
      </c>
      <c r="U374" s="126" t="str">
        <f t="shared" si="38"/>
        <v/>
      </c>
      <c r="V374" s="126" t="str">
        <f t="shared" si="39"/>
        <v/>
      </c>
      <c r="W374" s="124" t="str">
        <f t="shared" si="40"/>
        <v/>
      </c>
      <c r="X374" s="125" t="str">
        <f t="shared" si="35"/>
        <v/>
      </c>
    </row>
    <row r="375" spans="1:24" x14ac:dyDescent="0.3">
      <c r="A375" s="129"/>
      <c r="B375" s="129"/>
      <c r="C375" s="128"/>
      <c r="D375" s="128"/>
      <c r="E375" s="128"/>
      <c r="F375" s="166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6" t="str">
        <f t="shared" si="36"/>
        <v/>
      </c>
      <c r="S375" s="163" t="str">
        <f t="shared" si="37"/>
        <v/>
      </c>
      <c r="T375" s="160" t="str">
        <f>IFERROR(INDEX(当年标准成本!$I:$I,MATCH(K375,当年标准成本!$C:$C,0),1),"")</f>
        <v/>
      </c>
      <c r="U375" s="126" t="str">
        <f t="shared" si="38"/>
        <v/>
      </c>
      <c r="V375" s="126" t="str">
        <f t="shared" si="39"/>
        <v/>
      </c>
      <c r="W375" s="124" t="str">
        <f t="shared" si="40"/>
        <v/>
      </c>
      <c r="X375" s="125" t="str">
        <f t="shared" si="35"/>
        <v/>
      </c>
    </row>
    <row r="376" spans="1:24" x14ac:dyDescent="0.3">
      <c r="A376" s="129"/>
      <c r="B376" s="129"/>
      <c r="C376" s="128"/>
      <c r="D376" s="128"/>
      <c r="E376" s="128"/>
      <c r="F376" s="166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6" t="str">
        <f t="shared" si="36"/>
        <v/>
      </c>
      <c r="S376" s="163" t="str">
        <f t="shared" si="37"/>
        <v/>
      </c>
      <c r="T376" s="160" t="str">
        <f>IFERROR(INDEX(当年标准成本!$I:$I,MATCH(K376,当年标准成本!$C:$C,0),1),"")</f>
        <v/>
      </c>
      <c r="U376" s="126" t="str">
        <f t="shared" si="38"/>
        <v/>
      </c>
      <c r="V376" s="126" t="str">
        <f t="shared" si="39"/>
        <v/>
      </c>
      <c r="W376" s="124" t="str">
        <f t="shared" si="40"/>
        <v/>
      </c>
      <c r="X376" s="125" t="str">
        <f t="shared" si="35"/>
        <v/>
      </c>
    </row>
    <row r="377" spans="1:24" x14ac:dyDescent="0.3">
      <c r="A377" s="129"/>
      <c r="B377" s="129"/>
      <c r="C377" s="128"/>
      <c r="D377" s="128"/>
      <c r="E377" s="128"/>
      <c r="F377" s="166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6" t="str">
        <f t="shared" si="36"/>
        <v/>
      </c>
      <c r="S377" s="163" t="str">
        <f t="shared" si="37"/>
        <v/>
      </c>
      <c r="T377" s="160" t="str">
        <f>IFERROR(INDEX(当年标准成本!$I:$I,MATCH(K377,当年标准成本!$C:$C,0),1),"")</f>
        <v/>
      </c>
      <c r="U377" s="126" t="str">
        <f t="shared" si="38"/>
        <v/>
      </c>
      <c r="V377" s="126" t="str">
        <f t="shared" si="39"/>
        <v/>
      </c>
      <c r="W377" s="124" t="str">
        <f t="shared" si="40"/>
        <v/>
      </c>
      <c r="X377" s="125" t="str">
        <f t="shared" si="35"/>
        <v/>
      </c>
    </row>
    <row r="378" spans="1:24" x14ac:dyDescent="0.3">
      <c r="A378" s="129"/>
      <c r="B378" s="129"/>
      <c r="C378" s="128"/>
      <c r="D378" s="128"/>
      <c r="E378" s="128"/>
      <c r="F378" s="166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6" t="str">
        <f t="shared" si="36"/>
        <v/>
      </c>
      <c r="S378" s="163" t="str">
        <f t="shared" si="37"/>
        <v/>
      </c>
      <c r="T378" s="160" t="str">
        <f>IFERROR(INDEX(当年标准成本!$I:$I,MATCH(K378,当年标准成本!$C:$C,0),1),"")</f>
        <v/>
      </c>
      <c r="U378" s="126" t="str">
        <f t="shared" si="38"/>
        <v/>
      </c>
      <c r="V378" s="126" t="str">
        <f t="shared" si="39"/>
        <v/>
      </c>
      <c r="W378" s="124" t="str">
        <f t="shared" si="40"/>
        <v/>
      </c>
      <c r="X378" s="125" t="str">
        <f t="shared" si="35"/>
        <v/>
      </c>
    </row>
    <row r="379" spans="1:24" x14ac:dyDescent="0.3">
      <c r="A379" s="129"/>
      <c r="B379" s="129"/>
      <c r="C379" s="128"/>
      <c r="D379" s="128"/>
      <c r="E379" s="128"/>
      <c r="F379" s="166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6" t="str">
        <f t="shared" si="36"/>
        <v/>
      </c>
      <c r="S379" s="163" t="str">
        <f t="shared" si="37"/>
        <v/>
      </c>
      <c r="T379" s="160" t="str">
        <f>IFERROR(INDEX(当年标准成本!$I:$I,MATCH(K379,当年标准成本!$C:$C,0),1),"")</f>
        <v/>
      </c>
      <c r="U379" s="126" t="str">
        <f t="shared" si="38"/>
        <v/>
      </c>
      <c r="V379" s="126" t="str">
        <f t="shared" si="39"/>
        <v/>
      </c>
      <c r="W379" s="124" t="str">
        <f t="shared" si="40"/>
        <v/>
      </c>
      <c r="X379" s="125" t="str">
        <f t="shared" si="35"/>
        <v/>
      </c>
    </row>
    <row r="380" spans="1:24" x14ac:dyDescent="0.3">
      <c r="A380" s="129"/>
      <c r="B380" s="129"/>
      <c r="C380" s="128"/>
      <c r="D380" s="128"/>
      <c r="E380" s="128"/>
      <c r="F380" s="166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6" t="str">
        <f t="shared" si="36"/>
        <v/>
      </c>
      <c r="S380" s="163" t="str">
        <f t="shared" si="37"/>
        <v/>
      </c>
      <c r="T380" s="160" t="str">
        <f>IFERROR(INDEX(当年标准成本!$I:$I,MATCH(K380,当年标准成本!$C:$C,0),1),"")</f>
        <v/>
      </c>
      <c r="U380" s="126" t="str">
        <f t="shared" si="38"/>
        <v/>
      </c>
      <c r="V380" s="126" t="str">
        <f t="shared" si="39"/>
        <v/>
      </c>
      <c r="W380" s="124" t="str">
        <f t="shared" si="40"/>
        <v/>
      </c>
      <c r="X380" s="125" t="str">
        <f t="shared" si="35"/>
        <v/>
      </c>
    </row>
    <row r="381" spans="1:24" x14ac:dyDescent="0.3">
      <c r="A381" s="129"/>
      <c r="B381" s="129"/>
      <c r="C381" s="128"/>
      <c r="D381" s="128"/>
      <c r="E381" s="128"/>
      <c r="F381" s="166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6" t="str">
        <f t="shared" si="36"/>
        <v/>
      </c>
      <c r="S381" s="163" t="str">
        <f t="shared" si="37"/>
        <v/>
      </c>
      <c r="T381" s="160" t="str">
        <f>IFERROR(INDEX(当年标准成本!$I:$I,MATCH(K381,当年标准成本!$C:$C,0),1),"")</f>
        <v/>
      </c>
      <c r="U381" s="126" t="str">
        <f t="shared" si="38"/>
        <v/>
      </c>
      <c r="V381" s="126" t="str">
        <f t="shared" si="39"/>
        <v/>
      </c>
      <c r="W381" s="124" t="str">
        <f t="shared" si="40"/>
        <v/>
      </c>
      <c r="X381" s="125" t="str">
        <f t="shared" si="35"/>
        <v/>
      </c>
    </row>
    <row r="382" spans="1:24" x14ac:dyDescent="0.3">
      <c r="A382" s="129"/>
      <c r="B382" s="129"/>
      <c r="C382" s="128"/>
      <c r="D382" s="128"/>
      <c r="E382" s="128"/>
      <c r="F382" s="166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6" t="str">
        <f t="shared" si="36"/>
        <v/>
      </c>
      <c r="S382" s="163" t="str">
        <f t="shared" si="37"/>
        <v/>
      </c>
      <c r="T382" s="160" t="str">
        <f>IFERROR(INDEX(当年标准成本!$I:$I,MATCH(K382,当年标准成本!$C:$C,0),1),"")</f>
        <v/>
      </c>
      <c r="U382" s="126" t="str">
        <f t="shared" si="38"/>
        <v/>
      </c>
      <c r="V382" s="126" t="str">
        <f t="shared" si="39"/>
        <v/>
      </c>
      <c r="W382" s="124" t="str">
        <f t="shared" si="40"/>
        <v/>
      </c>
      <c r="X382" s="125" t="str">
        <f t="shared" si="35"/>
        <v/>
      </c>
    </row>
    <row r="383" spans="1:24" x14ac:dyDescent="0.3">
      <c r="A383" s="129"/>
      <c r="B383" s="129"/>
      <c r="C383" s="128"/>
      <c r="D383" s="128"/>
      <c r="E383" s="128"/>
      <c r="F383" s="166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6" t="str">
        <f t="shared" si="36"/>
        <v/>
      </c>
      <c r="S383" s="163" t="str">
        <f t="shared" si="37"/>
        <v/>
      </c>
      <c r="T383" s="160" t="str">
        <f>IFERROR(INDEX(当年标准成本!$I:$I,MATCH(K383,当年标准成本!$C:$C,0),1),"")</f>
        <v/>
      </c>
      <c r="U383" s="126" t="str">
        <f t="shared" si="38"/>
        <v/>
      </c>
      <c r="V383" s="126" t="str">
        <f t="shared" si="39"/>
        <v/>
      </c>
      <c r="W383" s="124" t="str">
        <f t="shared" si="40"/>
        <v/>
      </c>
      <c r="X383" s="125" t="str">
        <f t="shared" si="35"/>
        <v/>
      </c>
    </row>
    <row r="384" spans="1:24" x14ac:dyDescent="0.3">
      <c r="A384" s="129"/>
      <c r="B384" s="129"/>
      <c r="C384" s="128"/>
      <c r="D384" s="128"/>
      <c r="E384" s="128"/>
      <c r="F384" s="166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6" t="str">
        <f t="shared" si="36"/>
        <v/>
      </c>
      <c r="S384" s="163" t="str">
        <f t="shared" si="37"/>
        <v/>
      </c>
      <c r="T384" s="160" t="str">
        <f>IFERROR(INDEX(当年标准成本!$I:$I,MATCH(K384,当年标准成本!$C:$C,0),1),"")</f>
        <v/>
      </c>
      <c r="U384" s="126" t="str">
        <f t="shared" si="38"/>
        <v/>
      </c>
      <c r="V384" s="126" t="str">
        <f t="shared" si="39"/>
        <v/>
      </c>
      <c r="W384" s="124" t="str">
        <f t="shared" si="40"/>
        <v/>
      </c>
      <c r="X384" s="125" t="str">
        <f t="shared" si="35"/>
        <v/>
      </c>
    </row>
    <row r="385" spans="1:24" x14ac:dyDescent="0.3">
      <c r="A385" s="129"/>
      <c r="B385" s="129"/>
      <c r="C385" s="128"/>
      <c r="D385" s="128"/>
      <c r="E385" s="128"/>
      <c r="F385" s="166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6" t="str">
        <f t="shared" si="36"/>
        <v/>
      </c>
      <c r="S385" s="163" t="str">
        <f t="shared" si="37"/>
        <v/>
      </c>
      <c r="T385" s="160" t="str">
        <f>IFERROR(INDEX(当年标准成本!$I:$I,MATCH(K385,当年标准成本!$C:$C,0),1),"")</f>
        <v/>
      </c>
      <c r="U385" s="126" t="str">
        <f t="shared" si="38"/>
        <v/>
      </c>
      <c r="V385" s="126" t="str">
        <f t="shared" si="39"/>
        <v/>
      </c>
      <c r="W385" s="124" t="str">
        <f t="shared" si="40"/>
        <v/>
      </c>
      <c r="X385" s="125" t="str">
        <f t="shared" si="35"/>
        <v/>
      </c>
    </row>
    <row r="386" spans="1:24" x14ac:dyDescent="0.3">
      <c r="A386" s="129"/>
      <c r="B386" s="129"/>
      <c r="C386" s="128"/>
      <c r="D386" s="128"/>
      <c r="E386" s="128"/>
      <c r="F386" s="166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6" t="str">
        <f t="shared" si="36"/>
        <v/>
      </c>
      <c r="S386" s="163" t="str">
        <f t="shared" si="37"/>
        <v/>
      </c>
      <c r="T386" s="160" t="str">
        <f>IFERROR(INDEX(当年标准成本!$I:$I,MATCH(K386,当年标准成本!$C:$C,0),1),"")</f>
        <v/>
      </c>
      <c r="U386" s="126" t="str">
        <f t="shared" si="38"/>
        <v/>
      </c>
      <c r="V386" s="126" t="str">
        <f t="shared" si="39"/>
        <v/>
      </c>
      <c r="W386" s="124" t="str">
        <f t="shared" si="40"/>
        <v/>
      </c>
      <c r="X386" s="125" t="str">
        <f t="shared" ref="X386:X449" si="41">IFERROR(IF(W386/SUM(W:W)=0,"",W386/SUM(W:W)),"")</f>
        <v/>
      </c>
    </row>
    <row r="387" spans="1:24" x14ac:dyDescent="0.3">
      <c r="A387" s="129"/>
      <c r="B387" s="129"/>
      <c r="C387" s="128"/>
      <c r="D387" s="128"/>
      <c r="E387" s="128"/>
      <c r="F387" s="166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6" t="str">
        <f t="shared" si="36"/>
        <v/>
      </c>
      <c r="S387" s="163" t="str">
        <f t="shared" si="37"/>
        <v/>
      </c>
      <c r="T387" s="160" t="str">
        <f>IFERROR(INDEX(当年标准成本!$I:$I,MATCH(K387,当年标准成本!$C:$C,0),1),"")</f>
        <v/>
      </c>
      <c r="U387" s="126" t="str">
        <f t="shared" si="38"/>
        <v/>
      </c>
      <c r="V387" s="126" t="str">
        <f t="shared" si="39"/>
        <v/>
      </c>
      <c r="W387" s="124" t="str">
        <f t="shared" si="40"/>
        <v/>
      </c>
      <c r="X387" s="125" t="str">
        <f t="shared" si="41"/>
        <v/>
      </c>
    </row>
    <row r="388" spans="1:24" x14ac:dyDescent="0.3">
      <c r="A388" s="129"/>
      <c r="B388" s="129"/>
      <c r="C388" s="128"/>
      <c r="D388" s="128"/>
      <c r="E388" s="128"/>
      <c r="F388" s="166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6" t="str">
        <f t="shared" si="36"/>
        <v/>
      </c>
      <c r="S388" s="163" t="str">
        <f t="shared" si="37"/>
        <v/>
      </c>
      <c r="T388" s="160" t="str">
        <f>IFERROR(INDEX(当年标准成本!$I:$I,MATCH(K388,当年标准成本!$C:$C,0),1),"")</f>
        <v/>
      </c>
      <c r="U388" s="126" t="str">
        <f t="shared" si="38"/>
        <v/>
      </c>
      <c r="V388" s="126" t="str">
        <f t="shared" si="39"/>
        <v/>
      </c>
      <c r="W388" s="124" t="str">
        <f t="shared" si="40"/>
        <v/>
      </c>
      <c r="X388" s="125" t="str">
        <f t="shared" si="41"/>
        <v/>
      </c>
    </row>
    <row r="389" spans="1:24" x14ac:dyDescent="0.3">
      <c r="A389" s="129"/>
      <c r="B389" s="129"/>
      <c r="C389" s="128"/>
      <c r="D389" s="128"/>
      <c r="E389" s="128"/>
      <c r="F389" s="166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6" t="str">
        <f t="shared" si="36"/>
        <v/>
      </c>
      <c r="S389" s="163" t="str">
        <f t="shared" si="37"/>
        <v/>
      </c>
      <c r="T389" s="160" t="str">
        <f>IFERROR(INDEX(当年标准成本!$I:$I,MATCH(K389,当年标准成本!$C:$C,0),1),"")</f>
        <v/>
      </c>
      <c r="U389" s="126" t="str">
        <f t="shared" si="38"/>
        <v/>
      </c>
      <c r="V389" s="126" t="str">
        <f t="shared" si="39"/>
        <v/>
      </c>
      <c r="W389" s="124" t="str">
        <f t="shared" si="40"/>
        <v/>
      </c>
      <c r="X389" s="125" t="str">
        <f t="shared" si="41"/>
        <v/>
      </c>
    </row>
    <row r="390" spans="1:24" x14ac:dyDescent="0.3">
      <c r="A390" s="129"/>
      <c r="B390" s="129"/>
      <c r="C390" s="128"/>
      <c r="D390" s="128"/>
      <c r="E390" s="128"/>
      <c r="F390" s="166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6" t="str">
        <f t="shared" si="36"/>
        <v/>
      </c>
      <c r="S390" s="163" t="str">
        <f t="shared" si="37"/>
        <v/>
      </c>
      <c r="T390" s="160" t="str">
        <f>IFERROR(INDEX(当年标准成本!$I:$I,MATCH(K390,当年标准成本!$C:$C,0),1),"")</f>
        <v/>
      </c>
      <c r="U390" s="126" t="str">
        <f t="shared" si="38"/>
        <v/>
      </c>
      <c r="V390" s="126" t="str">
        <f t="shared" si="39"/>
        <v/>
      </c>
      <c r="W390" s="124" t="str">
        <f t="shared" si="40"/>
        <v/>
      </c>
      <c r="X390" s="125" t="str">
        <f t="shared" si="41"/>
        <v/>
      </c>
    </row>
    <row r="391" spans="1:24" x14ac:dyDescent="0.3">
      <c r="A391" s="129"/>
      <c r="B391" s="129"/>
      <c r="C391" s="128"/>
      <c r="D391" s="128"/>
      <c r="E391" s="128"/>
      <c r="F391" s="166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6" t="str">
        <f t="shared" si="36"/>
        <v/>
      </c>
      <c r="S391" s="163" t="str">
        <f t="shared" si="37"/>
        <v/>
      </c>
      <c r="T391" s="160" t="str">
        <f>IFERROR(INDEX(当年标准成本!$I:$I,MATCH(K391,当年标准成本!$C:$C,0),1),"")</f>
        <v/>
      </c>
      <c r="U391" s="126" t="str">
        <f t="shared" si="38"/>
        <v/>
      </c>
      <c r="V391" s="126" t="str">
        <f t="shared" si="39"/>
        <v/>
      </c>
      <c r="W391" s="124" t="str">
        <f t="shared" si="40"/>
        <v/>
      </c>
      <c r="X391" s="125" t="str">
        <f t="shared" si="41"/>
        <v/>
      </c>
    </row>
    <row r="392" spans="1:24" x14ac:dyDescent="0.3">
      <c r="A392" s="129"/>
      <c r="B392" s="129"/>
      <c r="C392" s="128"/>
      <c r="D392" s="128"/>
      <c r="E392" s="128"/>
      <c r="F392" s="166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6" t="str">
        <f t="shared" si="36"/>
        <v/>
      </c>
      <c r="S392" s="163" t="str">
        <f t="shared" si="37"/>
        <v/>
      </c>
      <c r="T392" s="160" t="str">
        <f>IFERROR(INDEX(当年标准成本!$I:$I,MATCH(K392,当年标准成本!$C:$C,0),1),"")</f>
        <v/>
      </c>
      <c r="U392" s="126" t="str">
        <f t="shared" si="38"/>
        <v/>
      </c>
      <c r="V392" s="126" t="str">
        <f t="shared" si="39"/>
        <v/>
      </c>
      <c r="W392" s="124" t="str">
        <f t="shared" si="40"/>
        <v/>
      </c>
      <c r="X392" s="125" t="str">
        <f t="shared" si="41"/>
        <v/>
      </c>
    </row>
    <row r="393" spans="1:24" x14ac:dyDescent="0.3">
      <c r="A393" s="129"/>
      <c r="B393" s="129"/>
      <c r="C393" s="128"/>
      <c r="D393" s="128"/>
      <c r="E393" s="128"/>
      <c r="F393" s="166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6" t="str">
        <f t="shared" si="36"/>
        <v/>
      </c>
      <c r="S393" s="163" t="str">
        <f t="shared" si="37"/>
        <v/>
      </c>
      <c r="T393" s="160" t="str">
        <f>IFERROR(INDEX(当年标准成本!$I:$I,MATCH(K393,当年标准成本!$C:$C,0),1),"")</f>
        <v/>
      </c>
      <c r="U393" s="126" t="str">
        <f t="shared" si="38"/>
        <v/>
      </c>
      <c r="V393" s="126" t="str">
        <f t="shared" si="39"/>
        <v/>
      </c>
      <c r="W393" s="124" t="str">
        <f t="shared" si="40"/>
        <v/>
      </c>
      <c r="X393" s="125" t="str">
        <f t="shared" si="41"/>
        <v/>
      </c>
    </row>
    <row r="394" spans="1:24" x14ac:dyDescent="0.3">
      <c r="A394" s="129"/>
      <c r="B394" s="129"/>
      <c r="C394" s="128"/>
      <c r="D394" s="128"/>
      <c r="E394" s="128"/>
      <c r="F394" s="166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6" t="str">
        <f t="shared" ref="R394:R457" si="42">IFERROR(P394/O394,"")</f>
        <v/>
      </c>
      <c r="S394" s="163" t="str">
        <f t="shared" ref="S394:S457" si="43">IFERROR(R394*(1+Q394),"")</f>
        <v/>
      </c>
      <c r="T394" s="160" t="str">
        <f>IFERROR(INDEX(当年标准成本!$I:$I,MATCH(K394,当年标准成本!$C:$C,0),1),"")</f>
        <v/>
      </c>
      <c r="U394" s="126" t="str">
        <f t="shared" ref="U394:U457" si="44">IFERROR(O394*T394,"")</f>
        <v/>
      </c>
      <c r="V394" s="126" t="str">
        <f t="shared" ref="V394:V457" si="45">IFERROR(P394-U394,"")</f>
        <v/>
      </c>
      <c r="W394" s="124" t="str">
        <f t="shared" ref="W394:W457" si="46">IFERROR(V394/P394,"")</f>
        <v/>
      </c>
      <c r="X394" s="125" t="str">
        <f t="shared" si="41"/>
        <v/>
      </c>
    </row>
    <row r="395" spans="1:24" x14ac:dyDescent="0.3">
      <c r="A395" s="129"/>
      <c r="B395" s="129"/>
      <c r="C395" s="128"/>
      <c r="D395" s="128"/>
      <c r="E395" s="128"/>
      <c r="F395" s="166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6" t="str">
        <f t="shared" si="42"/>
        <v/>
      </c>
      <c r="S395" s="163" t="str">
        <f t="shared" si="43"/>
        <v/>
      </c>
      <c r="T395" s="160" t="str">
        <f>IFERROR(INDEX(当年标准成本!$I:$I,MATCH(K395,当年标准成本!$C:$C,0),1),"")</f>
        <v/>
      </c>
      <c r="U395" s="126" t="str">
        <f t="shared" si="44"/>
        <v/>
      </c>
      <c r="V395" s="126" t="str">
        <f t="shared" si="45"/>
        <v/>
      </c>
      <c r="W395" s="124" t="str">
        <f t="shared" si="46"/>
        <v/>
      </c>
      <c r="X395" s="125" t="str">
        <f t="shared" si="41"/>
        <v/>
      </c>
    </row>
    <row r="396" spans="1:24" x14ac:dyDescent="0.3">
      <c r="A396" s="129"/>
      <c r="B396" s="129"/>
      <c r="C396" s="128"/>
      <c r="D396" s="128"/>
      <c r="E396" s="128"/>
      <c r="F396" s="166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6" t="str">
        <f t="shared" si="42"/>
        <v/>
      </c>
      <c r="S396" s="163" t="str">
        <f t="shared" si="43"/>
        <v/>
      </c>
      <c r="T396" s="160" t="str">
        <f>IFERROR(INDEX(当年标准成本!$I:$I,MATCH(K396,当年标准成本!$C:$C,0),1),"")</f>
        <v/>
      </c>
      <c r="U396" s="126" t="str">
        <f t="shared" si="44"/>
        <v/>
      </c>
      <c r="V396" s="126" t="str">
        <f t="shared" si="45"/>
        <v/>
      </c>
      <c r="W396" s="124" t="str">
        <f t="shared" si="46"/>
        <v/>
      </c>
      <c r="X396" s="125" t="str">
        <f t="shared" si="41"/>
        <v/>
      </c>
    </row>
    <row r="397" spans="1:24" x14ac:dyDescent="0.3">
      <c r="A397" s="129"/>
      <c r="B397" s="129"/>
      <c r="C397" s="128"/>
      <c r="D397" s="128"/>
      <c r="E397" s="128"/>
      <c r="F397" s="166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6" t="str">
        <f t="shared" si="42"/>
        <v/>
      </c>
      <c r="S397" s="163" t="str">
        <f t="shared" si="43"/>
        <v/>
      </c>
      <c r="T397" s="160" t="str">
        <f>IFERROR(INDEX(当年标准成本!$I:$I,MATCH(K397,当年标准成本!$C:$C,0),1),"")</f>
        <v/>
      </c>
      <c r="U397" s="126" t="str">
        <f t="shared" si="44"/>
        <v/>
      </c>
      <c r="V397" s="126" t="str">
        <f t="shared" si="45"/>
        <v/>
      </c>
      <c r="W397" s="124" t="str">
        <f t="shared" si="46"/>
        <v/>
      </c>
      <c r="X397" s="125" t="str">
        <f t="shared" si="41"/>
        <v/>
      </c>
    </row>
    <row r="398" spans="1:24" x14ac:dyDescent="0.3">
      <c r="A398" s="129"/>
      <c r="B398" s="129"/>
      <c r="C398" s="128"/>
      <c r="D398" s="128"/>
      <c r="E398" s="128"/>
      <c r="F398" s="166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6" t="str">
        <f t="shared" si="42"/>
        <v/>
      </c>
      <c r="S398" s="163" t="str">
        <f t="shared" si="43"/>
        <v/>
      </c>
      <c r="T398" s="160" t="str">
        <f>IFERROR(INDEX(当年标准成本!$I:$I,MATCH(K398,当年标准成本!$C:$C,0),1),"")</f>
        <v/>
      </c>
      <c r="U398" s="126" t="str">
        <f t="shared" si="44"/>
        <v/>
      </c>
      <c r="V398" s="126" t="str">
        <f t="shared" si="45"/>
        <v/>
      </c>
      <c r="W398" s="124" t="str">
        <f t="shared" si="46"/>
        <v/>
      </c>
      <c r="X398" s="125" t="str">
        <f t="shared" si="41"/>
        <v/>
      </c>
    </row>
    <row r="399" spans="1:24" x14ac:dyDescent="0.3">
      <c r="A399" s="129"/>
      <c r="B399" s="129"/>
      <c r="C399" s="128"/>
      <c r="D399" s="128"/>
      <c r="E399" s="128"/>
      <c r="F399" s="166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6" t="str">
        <f t="shared" si="42"/>
        <v/>
      </c>
      <c r="S399" s="163" t="str">
        <f t="shared" si="43"/>
        <v/>
      </c>
      <c r="T399" s="160" t="str">
        <f>IFERROR(INDEX(当年标准成本!$I:$I,MATCH(K399,当年标准成本!$C:$C,0),1),"")</f>
        <v/>
      </c>
      <c r="U399" s="126" t="str">
        <f t="shared" si="44"/>
        <v/>
      </c>
      <c r="V399" s="126" t="str">
        <f t="shared" si="45"/>
        <v/>
      </c>
      <c r="W399" s="124" t="str">
        <f t="shared" si="46"/>
        <v/>
      </c>
      <c r="X399" s="125" t="str">
        <f t="shared" si="41"/>
        <v/>
      </c>
    </row>
    <row r="400" spans="1:24" x14ac:dyDescent="0.3">
      <c r="A400" s="129"/>
      <c r="B400" s="129"/>
      <c r="C400" s="128"/>
      <c r="D400" s="128"/>
      <c r="E400" s="128"/>
      <c r="F400" s="166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6" t="str">
        <f t="shared" si="42"/>
        <v/>
      </c>
      <c r="S400" s="163" t="str">
        <f t="shared" si="43"/>
        <v/>
      </c>
      <c r="T400" s="160" t="str">
        <f>IFERROR(INDEX(当年标准成本!$I:$I,MATCH(K400,当年标准成本!$C:$C,0),1),"")</f>
        <v/>
      </c>
      <c r="U400" s="126" t="str">
        <f t="shared" si="44"/>
        <v/>
      </c>
      <c r="V400" s="126" t="str">
        <f t="shared" si="45"/>
        <v/>
      </c>
      <c r="W400" s="124" t="str">
        <f t="shared" si="46"/>
        <v/>
      </c>
      <c r="X400" s="125" t="str">
        <f t="shared" si="41"/>
        <v/>
      </c>
    </row>
    <row r="401" spans="1:24" x14ac:dyDescent="0.3">
      <c r="A401" s="129"/>
      <c r="B401" s="129"/>
      <c r="C401" s="128"/>
      <c r="D401" s="128"/>
      <c r="E401" s="128"/>
      <c r="F401" s="166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6" t="str">
        <f t="shared" si="42"/>
        <v/>
      </c>
      <c r="S401" s="163" t="str">
        <f t="shared" si="43"/>
        <v/>
      </c>
      <c r="T401" s="160" t="str">
        <f>IFERROR(INDEX(当年标准成本!$I:$I,MATCH(K401,当年标准成本!$C:$C,0),1),"")</f>
        <v/>
      </c>
      <c r="U401" s="126" t="str">
        <f t="shared" si="44"/>
        <v/>
      </c>
      <c r="V401" s="126" t="str">
        <f t="shared" si="45"/>
        <v/>
      </c>
      <c r="W401" s="124" t="str">
        <f t="shared" si="46"/>
        <v/>
      </c>
      <c r="X401" s="125" t="str">
        <f t="shared" si="41"/>
        <v/>
      </c>
    </row>
    <row r="402" spans="1:24" x14ac:dyDescent="0.3">
      <c r="A402" s="129"/>
      <c r="B402" s="129"/>
      <c r="C402" s="128"/>
      <c r="D402" s="128"/>
      <c r="E402" s="128"/>
      <c r="F402" s="166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6" t="str">
        <f t="shared" si="42"/>
        <v/>
      </c>
      <c r="S402" s="163" t="str">
        <f t="shared" si="43"/>
        <v/>
      </c>
      <c r="T402" s="160" t="str">
        <f>IFERROR(INDEX(当年标准成本!$I:$I,MATCH(K402,当年标准成本!$C:$C,0),1),"")</f>
        <v/>
      </c>
      <c r="U402" s="126" t="str">
        <f t="shared" si="44"/>
        <v/>
      </c>
      <c r="V402" s="126" t="str">
        <f t="shared" si="45"/>
        <v/>
      </c>
      <c r="W402" s="124" t="str">
        <f t="shared" si="46"/>
        <v/>
      </c>
      <c r="X402" s="125" t="str">
        <f t="shared" si="41"/>
        <v/>
      </c>
    </row>
    <row r="403" spans="1:24" x14ac:dyDescent="0.3">
      <c r="A403" s="129"/>
      <c r="B403" s="129"/>
      <c r="C403" s="128"/>
      <c r="D403" s="128"/>
      <c r="E403" s="128"/>
      <c r="F403" s="166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6" t="str">
        <f t="shared" si="42"/>
        <v/>
      </c>
      <c r="S403" s="163" t="str">
        <f t="shared" si="43"/>
        <v/>
      </c>
      <c r="T403" s="160" t="str">
        <f>IFERROR(INDEX(当年标准成本!$I:$I,MATCH(K403,当年标准成本!$C:$C,0),1),"")</f>
        <v/>
      </c>
      <c r="U403" s="126" t="str">
        <f t="shared" si="44"/>
        <v/>
      </c>
      <c r="V403" s="126" t="str">
        <f t="shared" si="45"/>
        <v/>
      </c>
      <c r="W403" s="124" t="str">
        <f t="shared" si="46"/>
        <v/>
      </c>
      <c r="X403" s="125" t="str">
        <f t="shared" si="41"/>
        <v/>
      </c>
    </row>
    <row r="404" spans="1:24" x14ac:dyDescent="0.3">
      <c r="A404" s="129"/>
      <c r="B404" s="129"/>
      <c r="C404" s="128"/>
      <c r="D404" s="128"/>
      <c r="E404" s="128"/>
      <c r="F404" s="166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6" t="str">
        <f t="shared" si="42"/>
        <v/>
      </c>
      <c r="S404" s="163" t="str">
        <f t="shared" si="43"/>
        <v/>
      </c>
      <c r="T404" s="160" t="str">
        <f>IFERROR(INDEX(当年标准成本!$I:$I,MATCH(K404,当年标准成本!$C:$C,0),1),"")</f>
        <v/>
      </c>
      <c r="U404" s="126" t="str">
        <f t="shared" si="44"/>
        <v/>
      </c>
      <c r="V404" s="126" t="str">
        <f t="shared" si="45"/>
        <v/>
      </c>
      <c r="W404" s="124" t="str">
        <f t="shared" si="46"/>
        <v/>
      </c>
      <c r="X404" s="125" t="str">
        <f t="shared" si="41"/>
        <v/>
      </c>
    </row>
    <row r="405" spans="1:24" x14ac:dyDescent="0.3">
      <c r="A405" s="129"/>
      <c r="B405" s="129"/>
      <c r="C405" s="128"/>
      <c r="D405" s="128"/>
      <c r="E405" s="128"/>
      <c r="F405" s="166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6" t="str">
        <f t="shared" si="42"/>
        <v/>
      </c>
      <c r="S405" s="163" t="str">
        <f t="shared" si="43"/>
        <v/>
      </c>
      <c r="T405" s="160" t="str">
        <f>IFERROR(INDEX(当年标准成本!$I:$I,MATCH(K405,当年标准成本!$C:$C,0),1),"")</f>
        <v/>
      </c>
      <c r="U405" s="126" t="str">
        <f t="shared" si="44"/>
        <v/>
      </c>
      <c r="V405" s="126" t="str">
        <f t="shared" si="45"/>
        <v/>
      </c>
      <c r="W405" s="124" t="str">
        <f t="shared" si="46"/>
        <v/>
      </c>
      <c r="X405" s="125" t="str">
        <f t="shared" si="41"/>
        <v/>
      </c>
    </row>
    <row r="406" spans="1:24" x14ac:dyDescent="0.3">
      <c r="A406" s="129"/>
      <c r="B406" s="129"/>
      <c r="C406" s="128"/>
      <c r="D406" s="128"/>
      <c r="E406" s="128"/>
      <c r="F406" s="166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6" t="str">
        <f t="shared" si="42"/>
        <v/>
      </c>
      <c r="S406" s="163" t="str">
        <f t="shared" si="43"/>
        <v/>
      </c>
      <c r="T406" s="160" t="str">
        <f>IFERROR(INDEX(当年标准成本!$I:$I,MATCH(K406,当年标准成本!$C:$C,0),1),"")</f>
        <v/>
      </c>
      <c r="U406" s="126" t="str">
        <f t="shared" si="44"/>
        <v/>
      </c>
      <c r="V406" s="126" t="str">
        <f t="shared" si="45"/>
        <v/>
      </c>
      <c r="W406" s="124" t="str">
        <f t="shared" si="46"/>
        <v/>
      </c>
      <c r="X406" s="125" t="str">
        <f t="shared" si="41"/>
        <v/>
      </c>
    </row>
    <row r="407" spans="1:24" x14ac:dyDescent="0.3">
      <c r="A407" s="129"/>
      <c r="B407" s="129"/>
      <c r="C407" s="128"/>
      <c r="D407" s="128"/>
      <c r="E407" s="128"/>
      <c r="F407" s="166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6" t="str">
        <f t="shared" si="42"/>
        <v/>
      </c>
      <c r="S407" s="163" t="str">
        <f t="shared" si="43"/>
        <v/>
      </c>
      <c r="T407" s="160" t="str">
        <f>IFERROR(INDEX(当年标准成本!$I:$I,MATCH(K407,当年标准成本!$C:$C,0),1),"")</f>
        <v/>
      </c>
      <c r="U407" s="126" t="str">
        <f t="shared" si="44"/>
        <v/>
      </c>
      <c r="V407" s="126" t="str">
        <f t="shared" si="45"/>
        <v/>
      </c>
      <c r="W407" s="124" t="str">
        <f t="shared" si="46"/>
        <v/>
      </c>
      <c r="X407" s="125" t="str">
        <f t="shared" si="41"/>
        <v/>
      </c>
    </row>
    <row r="408" spans="1:24" x14ac:dyDescent="0.3">
      <c r="A408" s="129"/>
      <c r="B408" s="129"/>
      <c r="C408" s="128"/>
      <c r="D408" s="128"/>
      <c r="E408" s="128"/>
      <c r="F408" s="166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6" t="str">
        <f t="shared" si="42"/>
        <v/>
      </c>
      <c r="S408" s="163" t="str">
        <f t="shared" si="43"/>
        <v/>
      </c>
      <c r="T408" s="160" t="str">
        <f>IFERROR(INDEX(当年标准成本!$I:$I,MATCH(K408,当年标准成本!$C:$C,0),1),"")</f>
        <v/>
      </c>
      <c r="U408" s="126" t="str">
        <f t="shared" si="44"/>
        <v/>
      </c>
      <c r="V408" s="126" t="str">
        <f t="shared" si="45"/>
        <v/>
      </c>
      <c r="W408" s="124" t="str">
        <f t="shared" si="46"/>
        <v/>
      </c>
      <c r="X408" s="125" t="str">
        <f t="shared" si="41"/>
        <v/>
      </c>
    </row>
    <row r="409" spans="1:24" x14ac:dyDescent="0.3">
      <c r="A409" s="129"/>
      <c r="B409" s="129"/>
      <c r="C409" s="128"/>
      <c r="D409" s="128"/>
      <c r="E409" s="128"/>
      <c r="F409" s="166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6" t="str">
        <f t="shared" si="42"/>
        <v/>
      </c>
      <c r="S409" s="163" t="str">
        <f t="shared" si="43"/>
        <v/>
      </c>
      <c r="T409" s="160" t="str">
        <f>IFERROR(INDEX(当年标准成本!$I:$I,MATCH(K409,当年标准成本!$C:$C,0),1),"")</f>
        <v/>
      </c>
      <c r="U409" s="126" t="str">
        <f t="shared" si="44"/>
        <v/>
      </c>
      <c r="V409" s="126" t="str">
        <f t="shared" si="45"/>
        <v/>
      </c>
      <c r="W409" s="124" t="str">
        <f t="shared" si="46"/>
        <v/>
      </c>
      <c r="X409" s="125" t="str">
        <f t="shared" si="41"/>
        <v/>
      </c>
    </row>
    <row r="410" spans="1:24" x14ac:dyDescent="0.3">
      <c r="A410" s="129"/>
      <c r="B410" s="129"/>
      <c r="C410" s="128"/>
      <c r="D410" s="128"/>
      <c r="E410" s="128"/>
      <c r="F410" s="166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6" t="str">
        <f t="shared" si="42"/>
        <v/>
      </c>
      <c r="S410" s="163" t="str">
        <f t="shared" si="43"/>
        <v/>
      </c>
      <c r="T410" s="160" t="str">
        <f>IFERROR(INDEX(当年标准成本!$I:$I,MATCH(K410,当年标准成本!$C:$C,0),1),"")</f>
        <v/>
      </c>
      <c r="U410" s="126" t="str">
        <f t="shared" si="44"/>
        <v/>
      </c>
      <c r="V410" s="126" t="str">
        <f t="shared" si="45"/>
        <v/>
      </c>
      <c r="W410" s="124" t="str">
        <f t="shared" si="46"/>
        <v/>
      </c>
      <c r="X410" s="125" t="str">
        <f t="shared" si="41"/>
        <v/>
      </c>
    </row>
    <row r="411" spans="1:24" x14ac:dyDescent="0.3">
      <c r="A411" s="129"/>
      <c r="B411" s="129"/>
      <c r="C411" s="128"/>
      <c r="D411" s="128"/>
      <c r="E411" s="128"/>
      <c r="F411" s="166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6" t="str">
        <f t="shared" si="42"/>
        <v/>
      </c>
      <c r="S411" s="163" t="str">
        <f t="shared" si="43"/>
        <v/>
      </c>
      <c r="T411" s="160" t="str">
        <f>IFERROR(INDEX(当年标准成本!$I:$I,MATCH(K411,当年标准成本!$C:$C,0),1),"")</f>
        <v/>
      </c>
      <c r="U411" s="126" t="str">
        <f t="shared" si="44"/>
        <v/>
      </c>
      <c r="V411" s="126" t="str">
        <f t="shared" si="45"/>
        <v/>
      </c>
      <c r="W411" s="124" t="str">
        <f t="shared" si="46"/>
        <v/>
      </c>
      <c r="X411" s="125" t="str">
        <f t="shared" si="41"/>
        <v/>
      </c>
    </row>
    <row r="412" spans="1:24" x14ac:dyDescent="0.3">
      <c r="A412" s="129"/>
      <c r="B412" s="129"/>
      <c r="C412" s="128"/>
      <c r="D412" s="128"/>
      <c r="E412" s="128"/>
      <c r="F412" s="166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6" t="str">
        <f t="shared" si="42"/>
        <v/>
      </c>
      <c r="S412" s="163" t="str">
        <f t="shared" si="43"/>
        <v/>
      </c>
      <c r="T412" s="160" t="str">
        <f>IFERROR(INDEX(当年标准成本!$I:$I,MATCH(K412,当年标准成本!$C:$C,0),1),"")</f>
        <v/>
      </c>
      <c r="U412" s="126" t="str">
        <f t="shared" si="44"/>
        <v/>
      </c>
      <c r="V412" s="126" t="str">
        <f t="shared" si="45"/>
        <v/>
      </c>
      <c r="W412" s="124" t="str">
        <f t="shared" si="46"/>
        <v/>
      </c>
      <c r="X412" s="125" t="str">
        <f t="shared" si="41"/>
        <v/>
      </c>
    </row>
    <row r="413" spans="1:24" x14ac:dyDescent="0.3">
      <c r="A413" s="129"/>
      <c r="B413" s="129"/>
      <c r="C413" s="128"/>
      <c r="D413" s="128"/>
      <c r="E413" s="128"/>
      <c r="F413" s="166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6" t="str">
        <f t="shared" si="42"/>
        <v/>
      </c>
      <c r="S413" s="163" t="str">
        <f t="shared" si="43"/>
        <v/>
      </c>
      <c r="T413" s="160" t="str">
        <f>IFERROR(INDEX(当年标准成本!$I:$I,MATCH(K413,当年标准成本!$C:$C,0),1),"")</f>
        <v/>
      </c>
      <c r="U413" s="126" t="str">
        <f t="shared" si="44"/>
        <v/>
      </c>
      <c r="V413" s="126" t="str">
        <f t="shared" si="45"/>
        <v/>
      </c>
      <c r="W413" s="124" t="str">
        <f t="shared" si="46"/>
        <v/>
      </c>
      <c r="X413" s="125" t="str">
        <f t="shared" si="41"/>
        <v/>
      </c>
    </row>
    <row r="414" spans="1:24" x14ac:dyDescent="0.3">
      <c r="A414" s="129"/>
      <c r="B414" s="129"/>
      <c r="C414" s="128"/>
      <c r="D414" s="128"/>
      <c r="E414" s="128"/>
      <c r="F414" s="166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6" t="str">
        <f t="shared" si="42"/>
        <v/>
      </c>
      <c r="S414" s="163" t="str">
        <f t="shared" si="43"/>
        <v/>
      </c>
      <c r="T414" s="160" t="str">
        <f>IFERROR(INDEX(当年标准成本!$I:$I,MATCH(K414,当年标准成本!$C:$C,0),1),"")</f>
        <v/>
      </c>
      <c r="U414" s="126" t="str">
        <f t="shared" si="44"/>
        <v/>
      </c>
      <c r="V414" s="126" t="str">
        <f t="shared" si="45"/>
        <v/>
      </c>
      <c r="W414" s="124" t="str">
        <f t="shared" si="46"/>
        <v/>
      </c>
      <c r="X414" s="125" t="str">
        <f t="shared" si="41"/>
        <v/>
      </c>
    </row>
    <row r="415" spans="1:24" x14ac:dyDescent="0.3">
      <c r="A415" s="129"/>
      <c r="B415" s="129"/>
      <c r="C415" s="128"/>
      <c r="D415" s="128"/>
      <c r="E415" s="128"/>
      <c r="F415" s="166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6" t="str">
        <f t="shared" si="42"/>
        <v/>
      </c>
      <c r="S415" s="163" t="str">
        <f t="shared" si="43"/>
        <v/>
      </c>
      <c r="T415" s="160" t="str">
        <f>IFERROR(INDEX(当年标准成本!$I:$I,MATCH(K415,当年标准成本!$C:$C,0),1),"")</f>
        <v/>
      </c>
      <c r="U415" s="126" t="str">
        <f t="shared" si="44"/>
        <v/>
      </c>
      <c r="V415" s="126" t="str">
        <f t="shared" si="45"/>
        <v/>
      </c>
      <c r="W415" s="124" t="str">
        <f t="shared" si="46"/>
        <v/>
      </c>
      <c r="X415" s="125" t="str">
        <f t="shared" si="41"/>
        <v/>
      </c>
    </row>
    <row r="416" spans="1:24" x14ac:dyDescent="0.3">
      <c r="A416" s="129"/>
      <c r="B416" s="129"/>
      <c r="C416" s="128"/>
      <c r="D416" s="128"/>
      <c r="E416" s="128"/>
      <c r="F416" s="166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6" t="str">
        <f t="shared" si="42"/>
        <v/>
      </c>
      <c r="S416" s="163" t="str">
        <f t="shared" si="43"/>
        <v/>
      </c>
      <c r="T416" s="160" t="str">
        <f>IFERROR(INDEX(当年标准成本!$I:$I,MATCH(K416,当年标准成本!$C:$C,0),1),"")</f>
        <v/>
      </c>
      <c r="U416" s="126" t="str">
        <f t="shared" si="44"/>
        <v/>
      </c>
      <c r="V416" s="126" t="str">
        <f t="shared" si="45"/>
        <v/>
      </c>
      <c r="W416" s="124" t="str">
        <f t="shared" si="46"/>
        <v/>
      </c>
      <c r="X416" s="125" t="str">
        <f t="shared" si="41"/>
        <v/>
      </c>
    </row>
    <row r="417" spans="1:24" x14ac:dyDescent="0.3">
      <c r="A417" s="129"/>
      <c r="B417" s="129"/>
      <c r="C417" s="128"/>
      <c r="D417" s="128"/>
      <c r="E417" s="128"/>
      <c r="F417" s="166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6" t="str">
        <f t="shared" si="42"/>
        <v/>
      </c>
      <c r="S417" s="163" t="str">
        <f t="shared" si="43"/>
        <v/>
      </c>
      <c r="T417" s="160" t="str">
        <f>IFERROR(INDEX(当年标准成本!$I:$I,MATCH(K417,当年标准成本!$C:$C,0),1),"")</f>
        <v/>
      </c>
      <c r="U417" s="126" t="str">
        <f t="shared" si="44"/>
        <v/>
      </c>
      <c r="V417" s="126" t="str">
        <f t="shared" si="45"/>
        <v/>
      </c>
      <c r="W417" s="124" t="str">
        <f t="shared" si="46"/>
        <v/>
      </c>
      <c r="X417" s="125" t="str">
        <f t="shared" si="41"/>
        <v/>
      </c>
    </row>
    <row r="418" spans="1:24" x14ac:dyDescent="0.3">
      <c r="A418" s="129"/>
      <c r="B418" s="129"/>
      <c r="C418" s="128"/>
      <c r="D418" s="128"/>
      <c r="E418" s="128"/>
      <c r="F418" s="166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6" t="str">
        <f t="shared" si="42"/>
        <v/>
      </c>
      <c r="S418" s="163" t="str">
        <f t="shared" si="43"/>
        <v/>
      </c>
      <c r="T418" s="160" t="str">
        <f>IFERROR(INDEX(当年标准成本!$I:$I,MATCH(K418,当年标准成本!$C:$C,0),1),"")</f>
        <v/>
      </c>
      <c r="U418" s="126" t="str">
        <f t="shared" si="44"/>
        <v/>
      </c>
      <c r="V418" s="126" t="str">
        <f t="shared" si="45"/>
        <v/>
      </c>
      <c r="W418" s="124" t="str">
        <f t="shared" si="46"/>
        <v/>
      </c>
      <c r="X418" s="125" t="str">
        <f t="shared" si="41"/>
        <v/>
      </c>
    </row>
    <row r="419" spans="1:24" x14ac:dyDescent="0.3">
      <c r="A419" s="129"/>
      <c r="B419" s="129"/>
      <c r="C419" s="128"/>
      <c r="D419" s="128"/>
      <c r="E419" s="128"/>
      <c r="F419" s="166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6" t="str">
        <f t="shared" si="42"/>
        <v/>
      </c>
      <c r="S419" s="163" t="str">
        <f t="shared" si="43"/>
        <v/>
      </c>
      <c r="T419" s="160" t="str">
        <f>IFERROR(INDEX(当年标准成本!$I:$I,MATCH(K419,当年标准成本!$C:$C,0),1),"")</f>
        <v/>
      </c>
      <c r="U419" s="126" t="str">
        <f t="shared" si="44"/>
        <v/>
      </c>
      <c r="V419" s="126" t="str">
        <f t="shared" si="45"/>
        <v/>
      </c>
      <c r="W419" s="124" t="str">
        <f t="shared" si="46"/>
        <v/>
      </c>
      <c r="X419" s="125" t="str">
        <f t="shared" si="41"/>
        <v/>
      </c>
    </row>
    <row r="420" spans="1:24" x14ac:dyDescent="0.3">
      <c r="A420" s="129"/>
      <c r="B420" s="129"/>
      <c r="C420" s="128"/>
      <c r="D420" s="128"/>
      <c r="E420" s="128"/>
      <c r="F420" s="166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6" t="str">
        <f t="shared" si="42"/>
        <v/>
      </c>
      <c r="S420" s="163" t="str">
        <f t="shared" si="43"/>
        <v/>
      </c>
      <c r="T420" s="160" t="str">
        <f>IFERROR(INDEX(当年标准成本!$I:$I,MATCH(K420,当年标准成本!$C:$C,0),1),"")</f>
        <v/>
      </c>
      <c r="U420" s="126" t="str">
        <f t="shared" si="44"/>
        <v/>
      </c>
      <c r="V420" s="126" t="str">
        <f t="shared" si="45"/>
        <v/>
      </c>
      <c r="W420" s="124" t="str">
        <f t="shared" si="46"/>
        <v/>
      </c>
      <c r="X420" s="125" t="str">
        <f t="shared" si="41"/>
        <v/>
      </c>
    </row>
    <row r="421" spans="1:24" x14ac:dyDescent="0.3">
      <c r="A421" s="129"/>
      <c r="B421" s="129"/>
      <c r="C421" s="128"/>
      <c r="D421" s="128"/>
      <c r="E421" s="128"/>
      <c r="F421" s="166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6" t="str">
        <f t="shared" si="42"/>
        <v/>
      </c>
      <c r="S421" s="163" t="str">
        <f t="shared" si="43"/>
        <v/>
      </c>
      <c r="T421" s="160" t="str">
        <f>IFERROR(INDEX(当年标准成本!$I:$I,MATCH(K421,当年标准成本!$C:$C,0),1),"")</f>
        <v/>
      </c>
      <c r="U421" s="126" t="str">
        <f t="shared" si="44"/>
        <v/>
      </c>
      <c r="V421" s="126" t="str">
        <f t="shared" si="45"/>
        <v/>
      </c>
      <c r="W421" s="124" t="str">
        <f t="shared" si="46"/>
        <v/>
      </c>
      <c r="X421" s="125" t="str">
        <f t="shared" si="41"/>
        <v/>
      </c>
    </row>
    <row r="422" spans="1:24" x14ac:dyDescent="0.3">
      <c r="A422" s="129"/>
      <c r="B422" s="129"/>
      <c r="C422" s="128"/>
      <c r="D422" s="128"/>
      <c r="E422" s="128"/>
      <c r="F422" s="166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6" t="str">
        <f t="shared" si="42"/>
        <v/>
      </c>
      <c r="S422" s="163" t="str">
        <f t="shared" si="43"/>
        <v/>
      </c>
      <c r="T422" s="160" t="str">
        <f>IFERROR(INDEX(当年标准成本!$I:$I,MATCH(K422,当年标准成本!$C:$C,0),1),"")</f>
        <v/>
      </c>
      <c r="U422" s="126" t="str">
        <f t="shared" si="44"/>
        <v/>
      </c>
      <c r="V422" s="126" t="str">
        <f t="shared" si="45"/>
        <v/>
      </c>
      <c r="W422" s="124" t="str">
        <f t="shared" si="46"/>
        <v/>
      </c>
      <c r="X422" s="125" t="str">
        <f t="shared" si="41"/>
        <v/>
      </c>
    </row>
    <row r="423" spans="1:24" x14ac:dyDescent="0.3">
      <c r="A423" s="129"/>
      <c r="B423" s="129"/>
      <c r="C423" s="128"/>
      <c r="D423" s="128"/>
      <c r="E423" s="128"/>
      <c r="F423" s="166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6" t="str">
        <f t="shared" si="42"/>
        <v/>
      </c>
      <c r="S423" s="163" t="str">
        <f t="shared" si="43"/>
        <v/>
      </c>
      <c r="T423" s="160" t="str">
        <f>IFERROR(INDEX(当年标准成本!$I:$I,MATCH(K423,当年标准成本!$C:$C,0),1),"")</f>
        <v/>
      </c>
      <c r="U423" s="126" t="str">
        <f t="shared" si="44"/>
        <v/>
      </c>
      <c r="V423" s="126" t="str">
        <f t="shared" si="45"/>
        <v/>
      </c>
      <c r="W423" s="124" t="str">
        <f t="shared" si="46"/>
        <v/>
      </c>
      <c r="X423" s="125" t="str">
        <f t="shared" si="41"/>
        <v/>
      </c>
    </row>
    <row r="424" spans="1:24" x14ac:dyDescent="0.3">
      <c r="A424" s="129"/>
      <c r="B424" s="129"/>
      <c r="C424" s="128"/>
      <c r="D424" s="128"/>
      <c r="E424" s="128"/>
      <c r="F424" s="166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6" t="str">
        <f t="shared" si="42"/>
        <v/>
      </c>
      <c r="S424" s="163" t="str">
        <f t="shared" si="43"/>
        <v/>
      </c>
      <c r="T424" s="160" t="str">
        <f>IFERROR(INDEX(当年标准成本!$I:$I,MATCH(K424,当年标准成本!$C:$C,0),1),"")</f>
        <v/>
      </c>
      <c r="U424" s="126" t="str">
        <f t="shared" si="44"/>
        <v/>
      </c>
      <c r="V424" s="126" t="str">
        <f t="shared" si="45"/>
        <v/>
      </c>
      <c r="W424" s="124" t="str">
        <f t="shared" si="46"/>
        <v/>
      </c>
      <c r="X424" s="125" t="str">
        <f t="shared" si="41"/>
        <v/>
      </c>
    </row>
    <row r="425" spans="1:24" x14ac:dyDescent="0.3">
      <c r="A425" s="129"/>
      <c r="B425" s="129"/>
      <c r="C425" s="128"/>
      <c r="D425" s="128"/>
      <c r="E425" s="128"/>
      <c r="F425" s="166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6" t="str">
        <f t="shared" si="42"/>
        <v/>
      </c>
      <c r="S425" s="163" t="str">
        <f t="shared" si="43"/>
        <v/>
      </c>
      <c r="T425" s="160" t="str">
        <f>IFERROR(INDEX(当年标准成本!$I:$I,MATCH(K425,当年标准成本!$C:$C,0),1),"")</f>
        <v/>
      </c>
      <c r="U425" s="126" t="str">
        <f t="shared" si="44"/>
        <v/>
      </c>
      <c r="V425" s="126" t="str">
        <f t="shared" si="45"/>
        <v/>
      </c>
      <c r="W425" s="124" t="str">
        <f t="shared" si="46"/>
        <v/>
      </c>
      <c r="X425" s="125" t="str">
        <f t="shared" si="41"/>
        <v/>
      </c>
    </row>
    <row r="426" spans="1:24" x14ac:dyDescent="0.3">
      <c r="A426" s="129"/>
      <c r="B426" s="129"/>
      <c r="C426" s="128"/>
      <c r="D426" s="128"/>
      <c r="E426" s="128"/>
      <c r="F426" s="166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6" t="str">
        <f t="shared" si="42"/>
        <v/>
      </c>
      <c r="S426" s="163" t="str">
        <f t="shared" si="43"/>
        <v/>
      </c>
      <c r="T426" s="160" t="str">
        <f>IFERROR(INDEX(当年标准成本!$I:$I,MATCH(K426,当年标准成本!$C:$C,0),1),"")</f>
        <v/>
      </c>
      <c r="U426" s="126" t="str">
        <f t="shared" si="44"/>
        <v/>
      </c>
      <c r="V426" s="126" t="str">
        <f t="shared" si="45"/>
        <v/>
      </c>
      <c r="W426" s="124" t="str">
        <f t="shared" si="46"/>
        <v/>
      </c>
      <c r="X426" s="125" t="str">
        <f t="shared" si="41"/>
        <v/>
      </c>
    </row>
    <row r="427" spans="1:24" x14ac:dyDescent="0.3">
      <c r="A427" s="129"/>
      <c r="B427" s="129"/>
      <c r="C427" s="128"/>
      <c r="D427" s="128"/>
      <c r="E427" s="128"/>
      <c r="F427" s="166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6" t="str">
        <f t="shared" si="42"/>
        <v/>
      </c>
      <c r="S427" s="163" t="str">
        <f t="shared" si="43"/>
        <v/>
      </c>
      <c r="T427" s="160" t="str">
        <f>IFERROR(INDEX(当年标准成本!$I:$I,MATCH(K427,当年标准成本!$C:$C,0),1),"")</f>
        <v/>
      </c>
      <c r="U427" s="126" t="str">
        <f t="shared" si="44"/>
        <v/>
      </c>
      <c r="V427" s="126" t="str">
        <f t="shared" si="45"/>
        <v/>
      </c>
      <c r="W427" s="124" t="str">
        <f t="shared" si="46"/>
        <v/>
      </c>
      <c r="X427" s="125" t="str">
        <f t="shared" si="41"/>
        <v/>
      </c>
    </row>
    <row r="428" spans="1:24" x14ac:dyDescent="0.3">
      <c r="A428" s="129"/>
      <c r="B428" s="129"/>
      <c r="C428" s="128"/>
      <c r="D428" s="128"/>
      <c r="E428" s="128"/>
      <c r="F428" s="166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6" t="str">
        <f t="shared" si="42"/>
        <v/>
      </c>
      <c r="S428" s="163" t="str">
        <f t="shared" si="43"/>
        <v/>
      </c>
      <c r="T428" s="160" t="str">
        <f>IFERROR(INDEX(当年标准成本!$I:$I,MATCH(K428,当年标准成本!$C:$C,0),1),"")</f>
        <v/>
      </c>
      <c r="U428" s="126" t="str">
        <f t="shared" si="44"/>
        <v/>
      </c>
      <c r="V428" s="126" t="str">
        <f t="shared" si="45"/>
        <v/>
      </c>
      <c r="W428" s="124" t="str">
        <f t="shared" si="46"/>
        <v/>
      </c>
      <c r="X428" s="125" t="str">
        <f t="shared" si="41"/>
        <v/>
      </c>
    </row>
    <row r="429" spans="1:24" x14ac:dyDescent="0.3">
      <c r="A429" s="129"/>
      <c r="B429" s="129"/>
      <c r="C429" s="128"/>
      <c r="D429" s="128"/>
      <c r="E429" s="128"/>
      <c r="F429" s="166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6" t="str">
        <f t="shared" si="42"/>
        <v/>
      </c>
      <c r="S429" s="163" t="str">
        <f t="shared" si="43"/>
        <v/>
      </c>
      <c r="T429" s="160" t="str">
        <f>IFERROR(INDEX(当年标准成本!$I:$I,MATCH(K429,当年标准成本!$C:$C,0),1),"")</f>
        <v/>
      </c>
      <c r="U429" s="126" t="str">
        <f t="shared" si="44"/>
        <v/>
      </c>
      <c r="V429" s="126" t="str">
        <f t="shared" si="45"/>
        <v/>
      </c>
      <c r="W429" s="124" t="str">
        <f t="shared" si="46"/>
        <v/>
      </c>
      <c r="X429" s="125" t="str">
        <f t="shared" si="41"/>
        <v/>
      </c>
    </row>
    <row r="430" spans="1:24" x14ac:dyDescent="0.3">
      <c r="A430" s="129"/>
      <c r="B430" s="129"/>
      <c r="C430" s="128"/>
      <c r="D430" s="128"/>
      <c r="E430" s="128"/>
      <c r="F430" s="166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6" t="str">
        <f t="shared" si="42"/>
        <v/>
      </c>
      <c r="S430" s="163" t="str">
        <f t="shared" si="43"/>
        <v/>
      </c>
      <c r="T430" s="160" t="str">
        <f>IFERROR(INDEX(当年标准成本!$I:$I,MATCH(K430,当年标准成本!$C:$C,0),1),"")</f>
        <v/>
      </c>
      <c r="U430" s="126" t="str">
        <f t="shared" si="44"/>
        <v/>
      </c>
      <c r="V430" s="126" t="str">
        <f t="shared" si="45"/>
        <v/>
      </c>
      <c r="W430" s="124" t="str">
        <f t="shared" si="46"/>
        <v/>
      </c>
      <c r="X430" s="125" t="str">
        <f t="shared" si="41"/>
        <v/>
      </c>
    </row>
    <row r="431" spans="1:24" x14ac:dyDescent="0.3">
      <c r="A431" s="129"/>
      <c r="B431" s="129"/>
      <c r="C431" s="128"/>
      <c r="D431" s="128"/>
      <c r="E431" s="128"/>
      <c r="F431" s="166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6" t="str">
        <f t="shared" si="42"/>
        <v/>
      </c>
      <c r="S431" s="163" t="str">
        <f t="shared" si="43"/>
        <v/>
      </c>
      <c r="T431" s="160" t="str">
        <f>IFERROR(INDEX(当年标准成本!$I:$I,MATCH(K431,当年标准成本!$C:$C,0),1),"")</f>
        <v/>
      </c>
      <c r="U431" s="126" t="str">
        <f t="shared" si="44"/>
        <v/>
      </c>
      <c r="V431" s="126" t="str">
        <f t="shared" si="45"/>
        <v/>
      </c>
      <c r="W431" s="124" t="str">
        <f t="shared" si="46"/>
        <v/>
      </c>
      <c r="X431" s="125" t="str">
        <f t="shared" si="41"/>
        <v/>
      </c>
    </row>
    <row r="432" spans="1:24" x14ac:dyDescent="0.3">
      <c r="A432" s="129"/>
      <c r="B432" s="129"/>
      <c r="C432" s="128"/>
      <c r="D432" s="128"/>
      <c r="E432" s="128"/>
      <c r="F432" s="166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6" t="str">
        <f t="shared" si="42"/>
        <v/>
      </c>
      <c r="S432" s="163" t="str">
        <f t="shared" si="43"/>
        <v/>
      </c>
      <c r="T432" s="160" t="str">
        <f>IFERROR(INDEX(当年标准成本!$I:$I,MATCH(K432,当年标准成本!$C:$C,0),1),"")</f>
        <v/>
      </c>
      <c r="U432" s="126" t="str">
        <f t="shared" si="44"/>
        <v/>
      </c>
      <c r="V432" s="126" t="str">
        <f t="shared" si="45"/>
        <v/>
      </c>
      <c r="W432" s="124" t="str">
        <f t="shared" si="46"/>
        <v/>
      </c>
      <c r="X432" s="125" t="str">
        <f t="shared" si="41"/>
        <v/>
      </c>
    </row>
    <row r="433" spans="1:24" x14ac:dyDescent="0.3">
      <c r="A433" s="129"/>
      <c r="B433" s="129"/>
      <c r="C433" s="128"/>
      <c r="D433" s="128"/>
      <c r="E433" s="128"/>
      <c r="F433" s="166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6" t="str">
        <f t="shared" si="42"/>
        <v/>
      </c>
      <c r="S433" s="163" t="str">
        <f t="shared" si="43"/>
        <v/>
      </c>
      <c r="T433" s="160" t="str">
        <f>IFERROR(INDEX(当年标准成本!$I:$I,MATCH(K433,当年标准成本!$C:$C,0),1),"")</f>
        <v/>
      </c>
      <c r="U433" s="126" t="str">
        <f t="shared" si="44"/>
        <v/>
      </c>
      <c r="V433" s="126" t="str">
        <f t="shared" si="45"/>
        <v/>
      </c>
      <c r="W433" s="124" t="str">
        <f t="shared" si="46"/>
        <v/>
      </c>
      <c r="X433" s="125" t="str">
        <f t="shared" si="41"/>
        <v/>
      </c>
    </row>
    <row r="434" spans="1:24" x14ac:dyDescent="0.3">
      <c r="A434" s="129"/>
      <c r="B434" s="129"/>
      <c r="C434" s="128"/>
      <c r="D434" s="128"/>
      <c r="E434" s="128"/>
      <c r="F434" s="166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6" t="str">
        <f t="shared" si="42"/>
        <v/>
      </c>
      <c r="S434" s="163" t="str">
        <f t="shared" si="43"/>
        <v/>
      </c>
      <c r="T434" s="160" t="str">
        <f>IFERROR(INDEX(当年标准成本!$I:$I,MATCH(K434,当年标准成本!$C:$C,0),1),"")</f>
        <v/>
      </c>
      <c r="U434" s="126" t="str">
        <f t="shared" si="44"/>
        <v/>
      </c>
      <c r="V434" s="126" t="str">
        <f t="shared" si="45"/>
        <v/>
      </c>
      <c r="W434" s="124" t="str">
        <f t="shared" si="46"/>
        <v/>
      </c>
      <c r="X434" s="125" t="str">
        <f t="shared" si="41"/>
        <v/>
      </c>
    </row>
    <row r="435" spans="1:24" x14ac:dyDescent="0.3">
      <c r="A435" s="129"/>
      <c r="B435" s="129"/>
      <c r="C435" s="128"/>
      <c r="D435" s="128"/>
      <c r="E435" s="128"/>
      <c r="F435" s="166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6" t="str">
        <f t="shared" si="42"/>
        <v/>
      </c>
      <c r="S435" s="163" t="str">
        <f t="shared" si="43"/>
        <v/>
      </c>
      <c r="T435" s="160" t="str">
        <f>IFERROR(INDEX(当年标准成本!$I:$I,MATCH(K435,当年标准成本!$C:$C,0),1),"")</f>
        <v/>
      </c>
      <c r="U435" s="126" t="str">
        <f t="shared" si="44"/>
        <v/>
      </c>
      <c r="V435" s="126" t="str">
        <f t="shared" si="45"/>
        <v/>
      </c>
      <c r="W435" s="124" t="str">
        <f t="shared" si="46"/>
        <v/>
      </c>
      <c r="X435" s="125" t="str">
        <f t="shared" si="41"/>
        <v/>
      </c>
    </row>
    <row r="436" spans="1:24" x14ac:dyDescent="0.3">
      <c r="A436" s="129"/>
      <c r="B436" s="129"/>
      <c r="C436" s="128"/>
      <c r="D436" s="128"/>
      <c r="E436" s="128"/>
      <c r="F436" s="166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6" t="str">
        <f t="shared" si="42"/>
        <v/>
      </c>
      <c r="S436" s="163" t="str">
        <f t="shared" si="43"/>
        <v/>
      </c>
      <c r="T436" s="160" t="str">
        <f>IFERROR(INDEX(当年标准成本!$I:$I,MATCH(K436,当年标准成本!$C:$C,0),1),"")</f>
        <v/>
      </c>
      <c r="U436" s="126" t="str">
        <f t="shared" si="44"/>
        <v/>
      </c>
      <c r="V436" s="126" t="str">
        <f t="shared" si="45"/>
        <v/>
      </c>
      <c r="W436" s="124" t="str">
        <f t="shared" si="46"/>
        <v/>
      </c>
      <c r="X436" s="125" t="str">
        <f t="shared" si="41"/>
        <v/>
      </c>
    </row>
    <row r="437" spans="1:24" x14ac:dyDescent="0.3">
      <c r="A437" s="129"/>
      <c r="B437" s="129"/>
      <c r="C437" s="128"/>
      <c r="D437" s="128"/>
      <c r="E437" s="128"/>
      <c r="F437" s="166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6" t="str">
        <f t="shared" si="42"/>
        <v/>
      </c>
      <c r="S437" s="163" t="str">
        <f t="shared" si="43"/>
        <v/>
      </c>
      <c r="T437" s="160" t="str">
        <f>IFERROR(INDEX(当年标准成本!$I:$I,MATCH(K437,当年标准成本!$C:$C,0),1),"")</f>
        <v/>
      </c>
      <c r="U437" s="126" t="str">
        <f t="shared" si="44"/>
        <v/>
      </c>
      <c r="V437" s="126" t="str">
        <f t="shared" si="45"/>
        <v/>
      </c>
      <c r="W437" s="124" t="str">
        <f t="shared" si="46"/>
        <v/>
      </c>
      <c r="X437" s="125" t="str">
        <f t="shared" si="41"/>
        <v/>
      </c>
    </row>
    <row r="438" spans="1:24" x14ac:dyDescent="0.3">
      <c r="A438" s="129"/>
      <c r="B438" s="129"/>
      <c r="C438" s="128"/>
      <c r="D438" s="128"/>
      <c r="E438" s="128"/>
      <c r="F438" s="166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6" t="str">
        <f t="shared" si="42"/>
        <v/>
      </c>
      <c r="S438" s="163" t="str">
        <f t="shared" si="43"/>
        <v/>
      </c>
      <c r="T438" s="160" t="str">
        <f>IFERROR(INDEX(当年标准成本!$I:$I,MATCH(K438,当年标准成本!$C:$C,0),1),"")</f>
        <v/>
      </c>
      <c r="U438" s="126" t="str">
        <f t="shared" si="44"/>
        <v/>
      </c>
      <c r="V438" s="126" t="str">
        <f t="shared" si="45"/>
        <v/>
      </c>
      <c r="W438" s="124" t="str">
        <f t="shared" si="46"/>
        <v/>
      </c>
      <c r="X438" s="125" t="str">
        <f t="shared" si="41"/>
        <v/>
      </c>
    </row>
    <row r="439" spans="1:24" x14ac:dyDescent="0.3">
      <c r="A439" s="129"/>
      <c r="B439" s="129"/>
      <c r="C439" s="128"/>
      <c r="D439" s="128"/>
      <c r="E439" s="128"/>
      <c r="F439" s="166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6" t="str">
        <f t="shared" si="42"/>
        <v/>
      </c>
      <c r="S439" s="163" t="str">
        <f t="shared" si="43"/>
        <v/>
      </c>
      <c r="T439" s="160" t="str">
        <f>IFERROR(INDEX(当年标准成本!$I:$I,MATCH(K439,当年标准成本!$C:$C,0),1),"")</f>
        <v/>
      </c>
      <c r="U439" s="126" t="str">
        <f t="shared" si="44"/>
        <v/>
      </c>
      <c r="V439" s="126" t="str">
        <f t="shared" si="45"/>
        <v/>
      </c>
      <c r="W439" s="124" t="str">
        <f t="shared" si="46"/>
        <v/>
      </c>
      <c r="X439" s="125" t="str">
        <f t="shared" si="41"/>
        <v/>
      </c>
    </row>
    <row r="440" spans="1:24" x14ac:dyDescent="0.3">
      <c r="A440" s="129"/>
      <c r="B440" s="129"/>
      <c r="C440" s="128"/>
      <c r="D440" s="128"/>
      <c r="E440" s="128"/>
      <c r="F440" s="166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6" t="str">
        <f t="shared" si="42"/>
        <v/>
      </c>
      <c r="S440" s="163" t="str">
        <f t="shared" si="43"/>
        <v/>
      </c>
      <c r="T440" s="160" t="str">
        <f>IFERROR(INDEX(当年标准成本!$I:$I,MATCH(K440,当年标准成本!$C:$C,0),1),"")</f>
        <v/>
      </c>
      <c r="U440" s="126" t="str">
        <f t="shared" si="44"/>
        <v/>
      </c>
      <c r="V440" s="126" t="str">
        <f t="shared" si="45"/>
        <v/>
      </c>
      <c r="W440" s="124" t="str">
        <f t="shared" si="46"/>
        <v/>
      </c>
      <c r="X440" s="125" t="str">
        <f t="shared" si="41"/>
        <v/>
      </c>
    </row>
    <row r="441" spans="1:24" x14ac:dyDescent="0.3">
      <c r="A441" s="129"/>
      <c r="B441" s="129"/>
      <c r="C441" s="128"/>
      <c r="D441" s="128"/>
      <c r="E441" s="128"/>
      <c r="F441" s="166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6" t="str">
        <f t="shared" si="42"/>
        <v/>
      </c>
      <c r="S441" s="163" t="str">
        <f t="shared" si="43"/>
        <v/>
      </c>
      <c r="T441" s="160" t="str">
        <f>IFERROR(INDEX(当年标准成本!$I:$I,MATCH(K441,当年标准成本!$C:$C,0),1),"")</f>
        <v/>
      </c>
      <c r="U441" s="126" t="str">
        <f t="shared" si="44"/>
        <v/>
      </c>
      <c r="V441" s="126" t="str">
        <f t="shared" si="45"/>
        <v/>
      </c>
      <c r="W441" s="124" t="str">
        <f t="shared" si="46"/>
        <v/>
      </c>
      <c r="X441" s="125" t="str">
        <f t="shared" si="41"/>
        <v/>
      </c>
    </row>
    <row r="442" spans="1:24" x14ac:dyDescent="0.3">
      <c r="A442" s="129"/>
      <c r="B442" s="129"/>
      <c r="C442" s="128"/>
      <c r="D442" s="128"/>
      <c r="E442" s="128"/>
      <c r="F442" s="166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6" t="str">
        <f t="shared" si="42"/>
        <v/>
      </c>
      <c r="S442" s="163" t="str">
        <f t="shared" si="43"/>
        <v/>
      </c>
      <c r="T442" s="160" t="str">
        <f>IFERROR(INDEX(当年标准成本!$I:$I,MATCH(K442,当年标准成本!$C:$C,0),1),"")</f>
        <v/>
      </c>
      <c r="U442" s="126" t="str">
        <f t="shared" si="44"/>
        <v/>
      </c>
      <c r="V442" s="126" t="str">
        <f t="shared" si="45"/>
        <v/>
      </c>
      <c r="W442" s="124" t="str">
        <f t="shared" si="46"/>
        <v/>
      </c>
      <c r="X442" s="125" t="str">
        <f t="shared" si="41"/>
        <v/>
      </c>
    </row>
    <row r="443" spans="1:24" x14ac:dyDescent="0.3">
      <c r="A443" s="129"/>
      <c r="B443" s="129"/>
      <c r="C443" s="128"/>
      <c r="D443" s="128"/>
      <c r="E443" s="128"/>
      <c r="F443" s="166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6" t="str">
        <f t="shared" si="42"/>
        <v/>
      </c>
      <c r="S443" s="163" t="str">
        <f t="shared" si="43"/>
        <v/>
      </c>
      <c r="T443" s="160" t="str">
        <f>IFERROR(INDEX(当年标准成本!$I:$I,MATCH(K443,当年标准成本!$C:$C,0),1),"")</f>
        <v/>
      </c>
      <c r="U443" s="126" t="str">
        <f t="shared" si="44"/>
        <v/>
      </c>
      <c r="V443" s="126" t="str">
        <f t="shared" si="45"/>
        <v/>
      </c>
      <c r="W443" s="124" t="str">
        <f t="shared" si="46"/>
        <v/>
      </c>
      <c r="X443" s="125" t="str">
        <f t="shared" si="41"/>
        <v/>
      </c>
    </row>
    <row r="444" spans="1:24" x14ac:dyDescent="0.3">
      <c r="A444" s="129"/>
      <c r="B444" s="129"/>
      <c r="C444" s="128"/>
      <c r="D444" s="128"/>
      <c r="E444" s="128"/>
      <c r="F444" s="166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6" t="str">
        <f t="shared" si="42"/>
        <v/>
      </c>
      <c r="S444" s="163" t="str">
        <f t="shared" si="43"/>
        <v/>
      </c>
      <c r="T444" s="160" t="str">
        <f>IFERROR(INDEX(当年标准成本!$I:$I,MATCH(K444,当年标准成本!$C:$C,0),1),"")</f>
        <v/>
      </c>
      <c r="U444" s="126" t="str">
        <f t="shared" si="44"/>
        <v/>
      </c>
      <c r="V444" s="126" t="str">
        <f t="shared" si="45"/>
        <v/>
      </c>
      <c r="W444" s="124" t="str">
        <f t="shared" si="46"/>
        <v/>
      </c>
      <c r="X444" s="125" t="str">
        <f t="shared" si="41"/>
        <v/>
      </c>
    </row>
    <row r="445" spans="1:24" x14ac:dyDescent="0.3">
      <c r="A445" s="129"/>
      <c r="B445" s="129"/>
      <c r="C445" s="128"/>
      <c r="D445" s="128"/>
      <c r="E445" s="128"/>
      <c r="F445" s="166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6" t="str">
        <f t="shared" si="42"/>
        <v/>
      </c>
      <c r="S445" s="163" t="str">
        <f t="shared" si="43"/>
        <v/>
      </c>
      <c r="T445" s="160" t="str">
        <f>IFERROR(INDEX(当年标准成本!$I:$I,MATCH(K445,当年标准成本!$C:$C,0),1),"")</f>
        <v/>
      </c>
      <c r="U445" s="126" t="str">
        <f t="shared" si="44"/>
        <v/>
      </c>
      <c r="V445" s="126" t="str">
        <f t="shared" si="45"/>
        <v/>
      </c>
      <c r="W445" s="124" t="str">
        <f t="shared" si="46"/>
        <v/>
      </c>
      <c r="X445" s="125" t="str">
        <f t="shared" si="41"/>
        <v/>
      </c>
    </row>
    <row r="446" spans="1:24" x14ac:dyDescent="0.3">
      <c r="A446" s="129"/>
      <c r="B446" s="129"/>
      <c r="C446" s="128"/>
      <c r="D446" s="128"/>
      <c r="E446" s="128"/>
      <c r="F446" s="166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6" t="str">
        <f t="shared" si="42"/>
        <v/>
      </c>
      <c r="S446" s="163" t="str">
        <f t="shared" si="43"/>
        <v/>
      </c>
      <c r="T446" s="160" t="str">
        <f>IFERROR(INDEX(当年标准成本!$I:$I,MATCH(K446,当年标准成本!$C:$C,0),1),"")</f>
        <v/>
      </c>
      <c r="U446" s="126" t="str">
        <f t="shared" si="44"/>
        <v/>
      </c>
      <c r="V446" s="126" t="str">
        <f t="shared" si="45"/>
        <v/>
      </c>
      <c r="W446" s="124" t="str">
        <f t="shared" si="46"/>
        <v/>
      </c>
      <c r="X446" s="125" t="str">
        <f t="shared" si="41"/>
        <v/>
      </c>
    </row>
    <row r="447" spans="1:24" x14ac:dyDescent="0.3">
      <c r="A447" s="129"/>
      <c r="B447" s="129"/>
      <c r="C447" s="128"/>
      <c r="D447" s="128"/>
      <c r="E447" s="128"/>
      <c r="F447" s="166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6" t="str">
        <f t="shared" si="42"/>
        <v/>
      </c>
      <c r="S447" s="163" t="str">
        <f t="shared" si="43"/>
        <v/>
      </c>
      <c r="T447" s="160" t="str">
        <f>IFERROR(INDEX(当年标准成本!$I:$I,MATCH(K447,当年标准成本!$C:$C,0),1),"")</f>
        <v/>
      </c>
      <c r="U447" s="126" t="str">
        <f t="shared" si="44"/>
        <v/>
      </c>
      <c r="V447" s="126" t="str">
        <f t="shared" si="45"/>
        <v/>
      </c>
      <c r="W447" s="124" t="str">
        <f t="shared" si="46"/>
        <v/>
      </c>
      <c r="X447" s="125" t="str">
        <f t="shared" si="41"/>
        <v/>
      </c>
    </row>
    <row r="448" spans="1:24" x14ac:dyDescent="0.3">
      <c r="A448" s="129"/>
      <c r="B448" s="129"/>
      <c r="C448" s="128"/>
      <c r="D448" s="128"/>
      <c r="E448" s="128"/>
      <c r="F448" s="166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6" t="str">
        <f t="shared" si="42"/>
        <v/>
      </c>
      <c r="S448" s="163" t="str">
        <f t="shared" si="43"/>
        <v/>
      </c>
      <c r="T448" s="160" t="str">
        <f>IFERROR(INDEX(当年标准成本!$I:$I,MATCH(K448,当年标准成本!$C:$C,0),1),"")</f>
        <v/>
      </c>
      <c r="U448" s="126" t="str">
        <f t="shared" si="44"/>
        <v/>
      </c>
      <c r="V448" s="126" t="str">
        <f t="shared" si="45"/>
        <v/>
      </c>
      <c r="W448" s="124" t="str">
        <f t="shared" si="46"/>
        <v/>
      </c>
      <c r="X448" s="125" t="str">
        <f t="shared" si="41"/>
        <v/>
      </c>
    </row>
    <row r="449" spans="1:24" x14ac:dyDescent="0.3">
      <c r="A449" s="129"/>
      <c r="B449" s="129"/>
      <c r="C449" s="128"/>
      <c r="D449" s="128"/>
      <c r="E449" s="128"/>
      <c r="F449" s="166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6" t="str">
        <f t="shared" si="42"/>
        <v/>
      </c>
      <c r="S449" s="163" t="str">
        <f t="shared" si="43"/>
        <v/>
      </c>
      <c r="T449" s="160" t="str">
        <f>IFERROR(INDEX(当年标准成本!$I:$I,MATCH(K449,当年标准成本!$C:$C,0),1),"")</f>
        <v/>
      </c>
      <c r="U449" s="126" t="str">
        <f t="shared" si="44"/>
        <v/>
      </c>
      <c r="V449" s="126" t="str">
        <f t="shared" si="45"/>
        <v/>
      </c>
      <c r="W449" s="124" t="str">
        <f t="shared" si="46"/>
        <v/>
      </c>
      <c r="X449" s="125" t="str">
        <f t="shared" si="41"/>
        <v/>
      </c>
    </row>
    <row r="450" spans="1:24" x14ac:dyDescent="0.3">
      <c r="A450" s="129"/>
      <c r="B450" s="129"/>
      <c r="C450" s="128"/>
      <c r="D450" s="128"/>
      <c r="E450" s="128"/>
      <c r="F450" s="166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6" t="str">
        <f t="shared" si="42"/>
        <v/>
      </c>
      <c r="S450" s="163" t="str">
        <f t="shared" si="43"/>
        <v/>
      </c>
      <c r="T450" s="160" t="str">
        <f>IFERROR(INDEX(当年标准成本!$I:$I,MATCH(K450,当年标准成本!$C:$C,0),1),"")</f>
        <v/>
      </c>
      <c r="U450" s="126" t="str">
        <f t="shared" si="44"/>
        <v/>
      </c>
      <c r="V450" s="126" t="str">
        <f t="shared" si="45"/>
        <v/>
      </c>
      <c r="W450" s="124" t="str">
        <f t="shared" si="46"/>
        <v/>
      </c>
      <c r="X450" s="125" t="str">
        <f t="shared" ref="X450:X513" si="47">IFERROR(IF(W450/SUM(W:W)=0,"",W450/SUM(W:W)),"")</f>
        <v/>
      </c>
    </row>
    <row r="451" spans="1:24" x14ac:dyDescent="0.3">
      <c r="A451" s="129"/>
      <c r="B451" s="129"/>
      <c r="C451" s="128"/>
      <c r="D451" s="128"/>
      <c r="E451" s="128"/>
      <c r="F451" s="166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6" t="str">
        <f t="shared" si="42"/>
        <v/>
      </c>
      <c r="S451" s="163" t="str">
        <f t="shared" si="43"/>
        <v/>
      </c>
      <c r="T451" s="160" t="str">
        <f>IFERROR(INDEX(当年标准成本!$I:$I,MATCH(K451,当年标准成本!$C:$C,0),1),"")</f>
        <v/>
      </c>
      <c r="U451" s="126" t="str">
        <f t="shared" si="44"/>
        <v/>
      </c>
      <c r="V451" s="126" t="str">
        <f t="shared" si="45"/>
        <v/>
      </c>
      <c r="W451" s="124" t="str">
        <f t="shared" si="46"/>
        <v/>
      </c>
      <c r="X451" s="125" t="str">
        <f t="shared" si="47"/>
        <v/>
      </c>
    </row>
    <row r="452" spans="1:24" x14ac:dyDescent="0.3">
      <c r="A452" s="129"/>
      <c r="B452" s="129"/>
      <c r="C452" s="128"/>
      <c r="D452" s="128"/>
      <c r="E452" s="128"/>
      <c r="F452" s="166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6" t="str">
        <f t="shared" si="42"/>
        <v/>
      </c>
      <c r="S452" s="163" t="str">
        <f t="shared" si="43"/>
        <v/>
      </c>
      <c r="T452" s="160" t="str">
        <f>IFERROR(INDEX(当年标准成本!$I:$I,MATCH(K452,当年标准成本!$C:$C,0),1),"")</f>
        <v/>
      </c>
      <c r="U452" s="126" t="str">
        <f t="shared" si="44"/>
        <v/>
      </c>
      <c r="V452" s="126" t="str">
        <f t="shared" si="45"/>
        <v/>
      </c>
      <c r="W452" s="124" t="str">
        <f t="shared" si="46"/>
        <v/>
      </c>
      <c r="X452" s="125" t="str">
        <f t="shared" si="47"/>
        <v/>
      </c>
    </row>
    <row r="453" spans="1:24" x14ac:dyDescent="0.3">
      <c r="A453" s="129"/>
      <c r="B453" s="129"/>
      <c r="C453" s="128"/>
      <c r="D453" s="128"/>
      <c r="E453" s="128"/>
      <c r="F453" s="166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6" t="str">
        <f t="shared" si="42"/>
        <v/>
      </c>
      <c r="S453" s="163" t="str">
        <f t="shared" si="43"/>
        <v/>
      </c>
      <c r="T453" s="160" t="str">
        <f>IFERROR(INDEX(当年标准成本!$I:$I,MATCH(K453,当年标准成本!$C:$C,0),1),"")</f>
        <v/>
      </c>
      <c r="U453" s="126" t="str">
        <f t="shared" si="44"/>
        <v/>
      </c>
      <c r="V453" s="126" t="str">
        <f t="shared" si="45"/>
        <v/>
      </c>
      <c r="W453" s="124" t="str">
        <f t="shared" si="46"/>
        <v/>
      </c>
      <c r="X453" s="125" t="str">
        <f t="shared" si="47"/>
        <v/>
      </c>
    </row>
    <row r="454" spans="1:24" x14ac:dyDescent="0.3">
      <c r="A454" s="129"/>
      <c r="B454" s="129"/>
      <c r="C454" s="128"/>
      <c r="D454" s="128"/>
      <c r="E454" s="128"/>
      <c r="F454" s="166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6" t="str">
        <f t="shared" si="42"/>
        <v/>
      </c>
      <c r="S454" s="163" t="str">
        <f t="shared" si="43"/>
        <v/>
      </c>
      <c r="T454" s="160" t="str">
        <f>IFERROR(INDEX(当年标准成本!$I:$I,MATCH(K454,当年标准成本!$C:$C,0),1),"")</f>
        <v/>
      </c>
      <c r="U454" s="126" t="str">
        <f t="shared" si="44"/>
        <v/>
      </c>
      <c r="V454" s="126" t="str">
        <f t="shared" si="45"/>
        <v/>
      </c>
      <c r="W454" s="124" t="str">
        <f t="shared" si="46"/>
        <v/>
      </c>
      <c r="X454" s="125" t="str">
        <f t="shared" si="47"/>
        <v/>
      </c>
    </row>
    <row r="455" spans="1:24" x14ac:dyDescent="0.3">
      <c r="A455" s="129"/>
      <c r="B455" s="129"/>
      <c r="C455" s="128"/>
      <c r="D455" s="128"/>
      <c r="E455" s="128"/>
      <c r="F455" s="166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6" t="str">
        <f t="shared" si="42"/>
        <v/>
      </c>
      <c r="S455" s="163" t="str">
        <f t="shared" si="43"/>
        <v/>
      </c>
      <c r="T455" s="160" t="str">
        <f>IFERROR(INDEX(当年标准成本!$I:$I,MATCH(K455,当年标准成本!$C:$C,0),1),"")</f>
        <v/>
      </c>
      <c r="U455" s="126" t="str">
        <f t="shared" si="44"/>
        <v/>
      </c>
      <c r="V455" s="126" t="str">
        <f t="shared" si="45"/>
        <v/>
      </c>
      <c r="W455" s="124" t="str">
        <f t="shared" si="46"/>
        <v/>
      </c>
      <c r="X455" s="125" t="str">
        <f t="shared" si="47"/>
        <v/>
      </c>
    </row>
    <row r="456" spans="1:24" x14ac:dyDescent="0.3">
      <c r="A456" s="129"/>
      <c r="B456" s="129"/>
      <c r="C456" s="128"/>
      <c r="D456" s="128"/>
      <c r="E456" s="128"/>
      <c r="F456" s="166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6" t="str">
        <f t="shared" si="42"/>
        <v/>
      </c>
      <c r="S456" s="163" t="str">
        <f t="shared" si="43"/>
        <v/>
      </c>
      <c r="T456" s="160" t="str">
        <f>IFERROR(INDEX(当年标准成本!$I:$I,MATCH(K456,当年标准成本!$C:$C,0),1),"")</f>
        <v/>
      </c>
      <c r="U456" s="126" t="str">
        <f t="shared" si="44"/>
        <v/>
      </c>
      <c r="V456" s="126" t="str">
        <f t="shared" si="45"/>
        <v/>
      </c>
      <c r="W456" s="124" t="str">
        <f t="shared" si="46"/>
        <v/>
      </c>
      <c r="X456" s="125" t="str">
        <f t="shared" si="47"/>
        <v/>
      </c>
    </row>
    <row r="457" spans="1:24" x14ac:dyDescent="0.3">
      <c r="A457" s="129"/>
      <c r="B457" s="129"/>
      <c r="C457" s="128"/>
      <c r="D457" s="128"/>
      <c r="E457" s="128"/>
      <c r="F457" s="166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6" t="str">
        <f t="shared" si="42"/>
        <v/>
      </c>
      <c r="S457" s="163" t="str">
        <f t="shared" si="43"/>
        <v/>
      </c>
      <c r="T457" s="160" t="str">
        <f>IFERROR(INDEX(当年标准成本!$I:$I,MATCH(K457,当年标准成本!$C:$C,0),1),"")</f>
        <v/>
      </c>
      <c r="U457" s="126" t="str">
        <f t="shared" si="44"/>
        <v/>
      </c>
      <c r="V457" s="126" t="str">
        <f t="shared" si="45"/>
        <v/>
      </c>
      <c r="W457" s="124" t="str">
        <f t="shared" si="46"/>
        <v/>
      </c>
      <c r="X457" s="125" t="str">
        <f t="shared" si="47"/>
        <v/>
      </c>
    </row>
    <row r="458" spans="1:24" x14ac:dyDescent="0.3">
      <c r="A458" s="129"/>
      <c r="B458" s="129"/>
      <c r="C458" s="128"/>
      <c r="D458" s="128"/>
      <c r="E458" s="128"/>
      <c r="F458" s="166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6" t="str">
        <f t="shared" ref="R458:R521" si="48">IFERROR(P458/O458,"")</f>
        <v/>
      </c>
      <c r="S458" s="163" t="str">
        <f t="shared" ref="S458:S521" si="49">IFERROR(R458*(1+Q458),"")</f>
        <v/>
      </c>
      <c r="T458" s="160" t="str">
        <f>IFERROR(INDEX(当年标准成本!$I:$I,MATCH(K458,当年标准成本!$C:$C,0),1),"")</f>
        <v/>
      </c>
      <c r="U458" s="126" t="str">
        <f t="shared" ref="U458:U521" si="50">IFERROR(O458*T458,"")</f>
        <v/>
      </c>
      <c r="V458" s="126" t="str">
        <f t="shared" ref="V458:V521" si="51">IFERROR(P458-U458,"")</f>
        <v/>
      </c>
      <c r="W458" s="124" t="str">
        <f t="shared" ref="W458:W521" si="52">IFERROR(V458/P458,"")</f>
        <v/>
      </c>
      <c r="X458" s="125" t="str">
        <f t="shared" si="47"/>
        <v/>
      </c>
    </row>
    <row r="459" spans="1:24" x14ac:dyDescent="0.3">
      <c r="A459" s="129"/>
      <c r="B459" s="129"/>
      <c r="C459" s="128"/>
      <c r="D459" s="128"/>
      <c r="E459" s="128"/>
      <c r="F459" s="166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6" t="str">
        <f t="shared" si="48"/>
        <v/>
      </c>
      <c r="S459" s="163" t="str">
        <f t="shared" si="49"/>
        <v/>
      </c>
      <c r="T459" s="160" t="str">
        <f>IFERROR(INDEX(当年标准成本!$I:$I,MATCH(K459,当年标准成本!$C:$C,0),1),"")</f>
        <v/>
      </c>
      <c r="U459" s="126" t="str">
        <f t="shared" si="50"/>
        <v/>
      </c>
      <c r="V459" s="126" t="str">
        <f t="shared" si="51"/>
        <v/>
      </c>
      <c r="W459" s="124" t="str">
        <f t="shared" si="52"/>
        <v/>
      </c>
      <c r="X459" s="125" t="str">
        <f t="shared" si="47"/>
        <v/>
      </c>
    </row>
    <row r="460" spans="1:24" x14ac:dyDescent="0.3">
      <c r="A460" s="129"/>
      <c r="B460" s="129"/>
      <c r="C460" s="128"/>
      <c r="D460" s="128"/>
      <c r="E460" s="128"/>
      <c r="F460" s="166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6" t="str">
        <f t="shared" si="48"/>
        <v/>
      </c>
      <c r="S460" s="163" t="str">
        <f t="shared" si="49"/>
        <v/>
      </c>
      <c r="T460" s="160" t="str">
        <f>IFERROR(INDEX(当年标准成本!$I:$I,MATCH(K460,当年标准成本!$C:$C,0),1),"")</f>
        <v/>
      </c>
      <c r="U460" s="126" t="str">
        <f t="shared" si="50"/>
        <v/>
      </c>
      <c r="V460" s="126" t="str">
        <f t="shared" si="51"/>
        <v/>
      </c>
      <c r="W460" s="124" t="str">
        <f t="shared" si="52"/>
        <v/>
      </c>
      <c r="X460" s="125" t="str">
        <f t="shared" si="47"/>
        <v/>
      </c>
    </row>
    <row r="461" spans="1:24" x14ac:dyDescent="0.3">
      <c r="A461" s="129"/>
      <c r="B461" s="129"/>
      <c r="C461" s="128"/>
      <c r="D461" s="128"/>
      <c r="E461" s="128"/>
      <c r="F461" s="166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6" t="str">
        <f t="shared" si="48"/>
        <v/>
      </c>
      <c r="S461" s="163" t="str">
        <f t="shared" si="49"/>
        <v/>
      </c>
      <c r="T461" s="160" t="str">
        <f>IFERROR(INDEX(当年标准成本!$I:$I,MATCH(K461,当年标准成本!$C:$C,0),1),"")</f>
        <v/>
      </c>
      <c r="U461" s="126" t="str">
        <f t="shared" si="50"/>
        <v/>
      </c>
      <c r="V461" s="126" t="str">
        <f t="shared" si="51"/>
        <v/>
      </c>
      <c r="W461" s="124" t="str">
        <f t="shared" si="52"/>
        <v/>
      </c>
      <c r="X461" s="125" t="str">
        <f t="shared" si="47"/>
        <v/>
      </c>
    </row>
    <row r="462" spans="1:24" x14ac:dyDescent="0.3">
      <c r="A462" s="129"/>
      <c r="B462" s="129"/>
      <c r="C462" s="128"/>
      <c r="D462" s="128"/>
      <c r="E462" s="128"/>
      <c r="F462" s="166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6" t="str">
        <f t="shared" si="48"/>
        <v/>
      </c>
      <c r="S462" s="163" t="str">
        <f t="shared" si="49"/>
        <v/>
      </c>
      <c r="T462" s="160" t="str">
        <f>IFERROR(INDEX(当年标准成本!$I:$I,MATCH(K462,当年标准成本!$C:$C,0),1),"")</f>
        <v/>
      </c>
      <c r="U462" s="126" t="str">
        <f t="shared" si="50"/>
        <v/>
      </c>
      <c r="V462" s="126" t="str">
        <f t="shared" si="51"/>
        <v/>
      </c>
      <c r="W462" s="124" t="str">
        <f t="shared" si="52"/>
        <v/>
      </c>
      <c r="X462" s="125" t="str">
        <f t="shared" si="47"/>
        <v/>
      </c>
    </row>
    <row r="463" spans="1:24" x14ac:dyDescent="0.3">
      <c r="A463" s="129"/>
      <c r="B463" s="129"/>
      <c r="C463" s="128"/>
      <c r="D463" s="128"/>
      <c r="E463" s="128"/>
      <c r="F463" s="166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6" t="str">
        <f t="shared" si="48"/>
        <v/>
      </c>
      <c r="S463" s="163" t="str">
        <f t="shared" si="49"/>
        <v/>
      </c>
      <c r="T463" s="160" t="str">
        <f>IFERROR(INDEX(当年标准成本!$I:$I,MATCH(K463,当年标准成本!$C:$C,0),1),"")</f>
        <v/>
      </c>
      <c r="U463" s="126" t="str">
        <f t="shared" si="50"/>
        <v/>
      </c>
      <c r="V463" s="126" t="str">
        <f t="shared" si="51"/>
        <v/>
      </c>
      <c r="W463" s="124" t="str">
        <f t="shared" si="52"/>
        <v/>
      </c>
      <c r="X463" s="125" t="str">
        <f t="shared" si="47"/>
        <v/>
      </c>
    </row>
    <row r="464" spans="1:24" x14ac:dyDescent="0.3">
      <c r="A464" s="129"/>
      <c r="B464" s="129"/>
      <c r="C464" s="128"/>
      <c r="D464" s="128"/>
      <c r="E464" s="128"/>
      <c r="F464" s="166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6" t="str">
        <f t="shared" si="48"/>
        <v/>
      </c>
      <c r="S464" s="163" t="str">
        <f t="shared" si="49"/>
        <v/>
      </c>
      <c r="T464" s="160" t="str">
        <f>IFERROR(INDEX(当年标准成本!$I:$I,MATCH(K464,当年标准成本!$C:$C,0),1),"")</f>
        <v/>
      </c>
      <c r="U464" s="126" t="str">
        <f t="shared" si="50"/>
        <v/>
      </c>
      <c r="V464" s="126" t="str">
        <f t="shared" si="51"/>
        <v/>
      </c>
      <c r="W464" s="124" t="str">
        <f t="shared" si="52"/>
        <v/>
      </c>
      <c r="X464" s="125" t="str">
        <f t="shared" si="47"/>
        <v/>
      </c>
    </row>
    <row r="465" spans="1:24" x14ac:dyDescent="0.3">
      <c r="A465" s="129"/>
      <c r="B465" s="129"/>
      <c r="C465" s="128"/>
      <c r="D465" s="128"/>
      <c r="E465" s="128"/>
      <c r="F465" s="166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6" t="str">
        <f t="shared" si="48"/>
        <v/>
      </c>
      <c r="S465" s="163" t="str">
        <f t="shared" si="49"/>
        <v/>
      </c>
      <c r="T465" s="160" t="str">
        <f>IFERROR(INDEX(当年标准成本!$I:$I,MATCH(K465,当年标准成本!$C:$C,0),1),"")</f>
        <v/>
      </c>
      <c r="U465" s="126" t="str">
        <f t="shared" si="50"/>
        <v/>
      </c>
      <c r="V465" s="126" t="str">
        <f t="shared" si="51"/>
        <v/>
      </c>
      <c r="W465" s="124" t="str">
        <f t="shared" si="52"/>
        <v/>
      </c>
      <c r="X465" s="125" t="str">
        <f t="shared" si="47"/>
        <v/>
      </c>
    </row>
    <row r="466" spans="1:24" x14ac:dyDescent="0.3">
      <c r="A466" s="129"/>
      <c r="B466" s="129"/>
      <c r="C466" s="128"/>
      <c r="D466" s="128"/>
      <c r="E466" s="128"/>
      <c r="F466" s="166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6" t="str">
        <f t="shared" si="48"/>
        <v/>
      </c>
      <c r="S466" s="163" t="str">
        <f t="shared" si="49"/>
        <v/>
      </c>
      <c r="T466" s="160" t="str">
        <f>IFERROR(INDEX(当年标准成本!$I:$I,MATCH(K466,当年标准成本!$C:$C,0),1),"")</f>
        <v/>
      </c>
      <c r="U466" s="126" t="str">
        <f t="shared" si="50"/>
        <v/>
      </c>
      <c r="V466" s="126" t="str">
        <f t="shared" si="51"/>
        <v/>
      </c>
      <c r="W466" s="124" t="str">
        <f t="shared" si="52"/>
        <v/>
      </c>
      <c r="X466" s="125" t="str">
        <f t="shared" si="47"/>
        <v/>
      </c>
    </row>
    <row r="467" spans="1:24" x14ac:dyDescent="0.3">
      <c r="A467" s="129"/>
      <c r="B467" s="129"/>
      <c r="C467" s="128"/>
      <c r="D467" s="128"/>
      <c r="E467" s="128"/>
      <c r="F467" s="166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6" t="str">
        <f t="shared" si="48"/>
        <v/>
      </c>
      <c r="S467" s="163" t="str">
        <f t="shared" si="49"/>
        <v/>
      </c>
      <c r="T467" s="160" t="str">
        <f>IFERROR(INDEX(当年标准成本!$I:$I,MATCH(K467,当年标准成本!$C:$C,0),1),"")</f>
        <v/>
      </c>
      <c r="U467" s="126" t="str">
        <f t="shared" si="50"/>
        <v/>
      </c>
      <c r="V467" s="126" t="str">
        <f t="shared" si="51"/>
        <v/>
      </c>
      <c r="W467" s="124" t="str">
        <f t="shared" si="52"/>
        <v/>
      </c>
      <c r="X467" s="125" t="str">
        <f t="shared" si="47"/>
        <v/>
      </c>
    </row>
    <row r="468" spans="1:24" x14ac:dyDescent="0.3">
      <c r="A468" s="129"/>
      <c r="B468" s="129"/>
      <c r="C468" s="128"/>
      <c r="D468" s="128"/>
      <c r="E468" s="128"/>
      <c r="F468" s="166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6" t="str">
        <f t="shared" si="48"/>
        <v/>
      </c>
      <c r="S468" s="163" t="str">
        <f t="shared" si="49"/>
        <v/>
      </c>
      <c r="T468" s="160" t="str">
        <f>IFERROR(INDEX(当年标准成本!$I:$I,MATCH(K468,当年标准成本!$C:$C,0),1),"")</f>
        <v/>
      </c>
      <c r="U468" s="126" t="str">
        <f t="shared" si="50"/>
        <v/>
      </c>
      <c r="V468" s="126" t="str">
        <f t="shared" si="51"/>
        <v/>
      </c>
      <c r="W468" s="124" t="str">
        <f t="shared" si="52"/>
        <v/>
      </c>
      <c r="X468" s="125" t="str">
        <f t="shared" si="47"/>
        <v/>
      </c>
    </row>
    <row r="469" spans="1:24" x14ac:dyDescent="0.3">
      <c r="A469" s="129"/>
      <c r="B469" s="129"/>
      <c r="C469" s="128"/>
      <c r="D469" s="128"/>
      <c r="E469" s="128"/>
      <c r="F469" s="166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6" t="str">
        <f t="shared" si="48"/>
        <v/>
      </c>
      <c r="S469" s="163" t="str">
        <f t="shared" si="49"/>
        <v/>
      </c>
      <c r="T469" s="160" t="str">
        <f>IFERROR(INDEX(当年标准成本!$I:$I,MATCH(K469,当年标准成本!$C:$C,0),1),"")</f>
        <v/>
      </c>
      <c r="U469" s="126" t="str">
        <f t="shared" si="50"/>
        <v/>
      </c>
      <c r="V469" s="126" t="str">
        <f t="shared" si="51"/>
        <v/>
      </c>
      <c r="W469" s="124" t="str">
        <f t="shared" si="52"/>
        <v/>
      </c>
      <c r="X469" s="125" t="str">
        <f t="shared" si="47"/>
        <v/>
      </c>
    </row>
    <row r="470" spans="1:24" x14ac:dyDescent="0.3">
      <c r="A470" s="129"/>
      <c r="B470" s="129"/>
      <c r="C470" s="128"/>
      <c r="D470" s="128"/>
      <c r="E470" s="128"/>
      <c r="F470" s="166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6" t="str">
        <f t="shared" si="48"/>
        <v/>
      </c>
      <c r="S470" s="163" t="str">
        <f t="shared" si="49"/>
        <v/>
      </c>
      <c r="T470" s="160" t="str">
        <f>IFERROR(INDEX(当年标准成本!$I:$I,MATCH(K470,当年标准成本!$C:$C,0),1),"")</f>
        <v/>
      </c>
      <c r="U470" s="126" t="str">
        <f t="shared" si="50"/>
        <v/>
      </c>
      <c r="V470" s="126" t="str">
        <f t="shared" si="51"/>
        <v/>
      </c>
      <c r="W470" s="124" t="str">
        <f t="shared" si="52"/>
        <v/>
      </c>
      <c r="X470" s="125" t="str">
        <f t="shared" si="47"/>
        <v/>
      </c>
    </row>
    <row r="471" spans="1:24" x14ac:dyDescent="0.3">
      <c r="A471" s="129"/>
      <c r="B471" s="129"/>
      <c r="C471" s="128"/>
      <c r="D471" s="128"/>
      <c r="E471" s="128"/>
      <c r="F471" s="166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6" t="str">
        <f t="shared" si="48"/>
        <v/>
      </c>
      <c r="S471" s="163" t="str">
        <f t="shared" si="49"/>
        <v/>
      </c>
      <c r="T471" s="160" t="str">
        <f>IFERROR(INDEX(当年标准成本!$I:$I,MATCH(K471,当年标准成本!$C:$C,0),1),"")</f>
        <v/>
      </c>
      <c r="U471" s="126" t="str">
        <f t="shared" si="50"/>
        <v/>
      </c>
      <c r="V471" s="126" t="str">
        <f t="shared" si="51"/>
        <v/>
      </c>
      <c r="W471" s="124" t="str">
        <f t="shared" si="52"/>
        <v/>
      </c>
      <c r="X471" s="125" t="str">
        <f t="shared" si="47"/>
        <v/>
      </c>
    </row>
    <row r="472" spans="1:24" x14ac:dyDescent="0.3">
      <c r="A472" s="129"/>
      <c r="B472" s="129"/>
      <c r="C472" s="128"/>
      <c r="D472" s="128"/>
      <c r="E472" s="128"/>
      <c r="F472" s="166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6" t="str">
        <f t="shared" si="48"/>
        <v/>
      </c>
      <c r="S472" s="163" t="str">
        <f t="shared" si="49"/>
        <v/>
      </c>
      <c r="T472" s="160" t="str">
        <f>IFERROR(INDEX(当年标准成本!$I:$I,MATCH(K472,当年标准成本!$C:$C,0),1),"")</f>
        <v/>
      </c>
      <c r="U472" s="126" t="str">
        <f t="shared" si="50"/>
        <v/>
      </c>
      <c r="V472" s="126" t="str">
        <f t="shared" si="51"/>
        <v/>
      </c>
      <c r="W472" s="124" t="str">
        <f t="shared" si="52"/>
        <v/>
      </c>
      <c r="X472" s="125" t="str">
        <f t="shared" si="47"/>
        <v/>
      </c>
    </row>
    <row r="473" spans="1:24" x14ac:dyDescent="0.3">
      <c r="A473" s="129"/>
      <c r="B473" s="129"/>
      <c r="C473" s="128"/>
      <c r="D473" s="128"/>
      <c r="E473" s="128"/>
      <c r="F473" s="166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6" t="str">
        <f t="shared" si="48"/>
        <v/>
      </c>
      <c r="S473" s="163" t="str">
        <f t="shared" si="49"/>
        <v/>
      </c>
      <c r="T473" s="160" t="str">
        <f>IFERROR(INDEX(当年标准成本!$I:$I,MATCH(K473,当年标准成本!$C:$C,0),1),"")</f>
        <v/>
      </c>
      <c r="U473" s="126" t="str">
        <f t="shared" si="50"/>
        <v/>
      </c>
      <c r="V473" s="126" t="str">
        <f t="shared" si="51"/>
        <v/>
      </c>
      <c r="W473" s="124" t="str">
        <f t="shared" si="52"/>
        <v/>
      </c>
      <c r="X473" s="125" t="str">
        <f t="shared" si="47"/>
        <v/>
      </c>
    </row>
    <row r="474" spans="1:24" x14ac:dyDescent="0.3">
      <c r="A474" s="129"/>
      <c r="B474" s="129"/>
      <c r="C474" s="128"/>
      <c r="D474" s="128"/>
      <c r="E474" s="128"/>
      <c r="F474" s="166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6" t="str">
        <f t="shared" si="48"/>
        <v/>
      </c>
      <c r="S474" s="163" t="str">
        <f t="shared" si="49"/>
        <v/>
      </c>
      <c r="T474" s="160" t="str">
        <f>IFERROR(INDEX(当年标准成本!$I:$I,MATCH(K474,当年标准成本!$C:$C,0),1),"")</f>
        <v/>
      </c>
      <c r="U474" s="126" t="str">
        <f t="shared" si="50"/>
        <v/>
      </c>
      <c r="V474" s="126" t="str">
        <f t="shared" si="51"/>
        <v/>
      </c>
      <c r="W474" s="124" t="str">
        <f t="shared" si="52"/>
        <v/>
      </c>
      <c r="X474" s="125" t="str">
        <f t="shared" si="47"/>
        <v/>
      </c>
    </row>
    <row r="475" spans="1:24" x14ac:dyDescent="0.3">
      <c r="A475" s="129"/>
      <c r="B475" s="129"/>
      <c r="C475" s="128"/>
      <c r="D475" s="128"/>
      <c r="E475" s="128"/>
      <c r="F475" s="166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6" t="str">
        <f t="shared" si="48"/>
        <v/>
      </c>
      <c r="S475" s="163" t="str">
        <f t="shared" si="49"/>
        <v/>
      </c>
      <c r="T475" s="160" t="str">
        <f>IFERROR(INDEX(当年标准成本!$I:$I,MATCH(K475,当年标准成本!$C:$C,0),1),"")</f>
        <v/>
      </c>
      <c r="U475" s="126" t="str">
        <f t="shared" si="50"/>
        <v/>
      </c>
      <c r="V475" s="126" t="str">
        <f t="shared" si="51"/>
        <v/>
      </c>
      <c r="W475" s="124" t="str">
        <f t="shared" si="52"/>
        <v/>
      </c>
      <c r="X475" s="125" t="str">
        <f t="shared" si="47"/>
        <v/>
      </c>
    </row>
    <row r="476" spans="1:24" x14ac:dyDescent="0.3">
      <c r="A476" s="129"/>
      <c r="B476" s="129"/>
      <c r="C476" s="128"/>
      <c r="D476" s="128"/>
      <c r="E476" s="128"/>
      <c r="F476" s="166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6" t="str">
        <f t="shared" si="48"/>
        <v/>
      </c>
      <c r="S476" s="163" t="str">
        <f t="shared" si="49"/>
        <v/>
      </c>
      <c r="T476" s="160" t="str">
        <f>IFERROR(INDEX(当年标准成本!$I:$I,MATCH(K476,当年标准成本!$C:$C,0),1),"")</f>
        <v/>
      </c>
      <c r="U476" s="126" t="str">
        <f t="shared" si="50"/>
        <v/>
      </c>
      <c r="V476" s="126" t="str">
        <f t="shared" si="51"/>
        <v/>
      </c>
      <c r="W476" s="124" t="str">
        <f t="shared" si="52"/>
        <v/>
      </c>
      <c r="X476" s="125" t="str">
        <f t="shared" si="47"/>
        <v/>
      </c>
    </row>
    <row r="477" spans="1:24" x14ac:dyDescent="0.3">
      <c r="A477" s="129"/>
      <c r="B477" s="129"/>
      <c r="C477" s="128"/>
      <c r="D477" s="128"/>
      <c r="E477" s="128"/>
      <c r="F477" s="166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6" t="str">
        <f t="shared" si="48"/>
        <v/>
      </c>
      <c r="S477" s="163" t="str">
        <f t="shared" si="49"/>
        <v/>
      </c>
      <c r="T477" s="160" t="str">
        <f>IFERROR(INDEX(当年标准成本!$I:$I,MATCH(K477,当年标准成本!$C:$C,0),1),"")</f>
        <v/>
      </c>
      <c r="U477" s="126" t="str">
        <f t="shared" si="50"/>
        <v/>
      </c>
      <c r="V477" s="126" t="str">
        <f t="shared" si="51"/>
        <v/>
      </c>
      <c r="W477" s="124" t="str">
        <f t="shared" si="52"/>
        <v/>
      </c>
      <c r="X477" s="125" t="str">
        <f t="shared" si="47"/>
        <v/>
      </c>
    </row>
    <row r="478" spans="1:24" x14ac:dyDescent="0.3">
      <c r="A478" s="129"/>
      <c r="B478" s="129"/>
      <c r="C478" s="128"/>
      <c r="D478" s="128"/>
      <c r="E478" s="128"/>
      <c r="F478" s="166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6" t="str">
        <f t="shared" si="48"/>
        <v/>
      </c>
      <c r="S478" s="163" t="str">
        <f t="shared" si="49"/>
        <v/>
      </c>
      <c r="T478" s="160" t="str">
        <f>IFERROR(INDEX(当年标准成本!$I:$I,MATCH(K478,当年标准成本!$C:$C,0),1),"")</f>
        <v/>
      </c>
      <c r="U478" s="126" t="str">
        <f t="shared" si="50"/>
        <v/>
      </c>
      <c r="V478" s="126" t="str">
        <f t="shared" si="51"/>
        <v/>
      </c>
      <c r="W478" s="124" t="str">
        <f t="shared" si="52"/>
        <v/>
      </c>
      <c r="X478" s="125" t="str">
        <f t="shared" si="47"/>
        <v/>
      </c>
    </row>
    <row r="479" spans="1:24" x14ac:dyDescent="0.3">
      <c r="A479" s="129"/>
      <c r="B479" s="129"/>
      <c r="C479" s="128"/>
      <c r="D479" s="128"/>
      <c r="E479" s="128"/>
      <c r="F479" s="166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6" t="str">
        <f t="shared" si="48"/>
        <v/>
      </c>
      <c r="S479" s="163" t="str">
        <f t="shared" si="49"/>
        <v/>
      </c>
      <c r="T479" s="160" t="str">
        <f>IFERROR(INDEX(当年标准成本!$I:$I,MATCH(K479,当年标准成本!$C:$C,0),1),"")</f>
        <v/>
      </c>
      <c r="U479" s="126" t="str">
        <f t="shared" si="50"/>
        <v/>
      </c>
      <c r="V479" s="126" t="str">
        <f t="shared" si="51"/>
        <v/>
      </c>
      <c r="W479" s="124" t="str">
        <f t="shared" si="52"/>
        <v/>
      </c>
      <c r="X479" s="125" t="str">
        <f t="shared" si="47"/>
        <v/>
      </c>
    </row>
    <row r="480" spans="1:24" x14ac:dyDescent="0.3">
      <c r="A480" s="129"/>
      <c r="B480" s="129"/>
      <c r="C480" s="128"/>
      <c r="D480" s="128"/>
      <c r="E480" s="128"/>
      <c r="F480" s="166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6" t="str">
        <f t="shared" si="48"/>
        <v/>
      </c>
      <c r="S480" s="163" t="str">
        <f t="shared" si="49"/>
        <v/>
      </c>
      <c r="T480" s="160" t="str">
        <f>IFERROR(INDEX(当年标准成本!$I:$I,MATCH(K480,当年标准成本!$C:$C,0),1),"")</f>
        <v/>
      </c>
      <c r="U480" s="126" t="str">
        <f t="shared" si="50"/>
        <v/>
      </c>
      <c r="V480" s="126" t="str">
        <f t="shared" si="51"/>
        <v/>
      </c>
      <c r="W480" s="124" t="str">
        <f t="shared" si="52"/>
        <v/>
      </c>
      <c r="X480" s="125" t="str">
        <f t="shared" si="47"/>
        <v/>
      </c>
    </row>
    <row r="481" spans="1:24" x14ac:dyDescent="0.3">
      <c r="A481" s="129"/>
      <c r="B481" s="129"/>
      <c r="C481" s="128"/>
      <c r="D481" s="128"/>
      <c r="E481" s="128"/>
      <c r="F481" s="166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6" t="str">
        <f t="shared" si="48"/>
        <v/>
      </c>
      <c r="S481" s="163" t="str">
        <f t="shared" si="49"/>
        <v/>
      </c>
      <c r="T481" s="160" t="str">
        <f>IFERROR(INDEX(当年标准成本!$I:$I,MATCH(K481,当年标准成本!$C:$C,0),1),"")</f>
        <v/>
      </c>
      <c r="U481" s="126" t="str">
        <f t="shared" si="50"/>
        <v/>
      </c>
      <c r="V481" s="126" t="str">
        <f t="shared" si="51"/>
        <v/>
      </c>
      <c r="W481" s="124" t="str">
        <f t="shared" si="52"/>
        <v/>
      </c>
      <c r="X481" s="125" t="str">
        <f t="shared" si="47"/>
        <v/>
      </c>
    </row>
    <row r="482" spans="1:24" x14ac:dyDescent="0.3">
      <c r="A482" s="129"/>
      <c r="B482" s="129"/>
      <c r="C482" s="128"/>
      <c r="D482" s="128"/>
      <c r="E482" s="128"/>
      <c r="F482" s="166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6" t="str">
        <f t="shared" si="48"/>
        <v/>
      </c>
      <c r="S482" s="163" t="str">
        <f t="shared" si="49"/>
        <v/>
      </c>
      <c r="T482" s="160" t="str">
        <f>IFERROR(INDEX(当年标准成本!$I:$I,MATCH(K482,当年标准成本!$C:$C,0),1),"")</f>
        <v/>
      </c>
      <c r="U482" s="126" t="str">
        <f t="shared" si="50"/>
        <v/>
      </c>
      <c r="V482" s="126" t="str">
        <f t="shared" si="51"/>
        <v/>
      </c>
      <c r="W482" s="124" t="str">
        <f t="shared" si="52"/>
        <v/>
      </c>
      <c r="X482" s="125" t="str">
        <f t="shared" si="47"/>
        <v/>
      </c>
    </row>
    <row r="483" spans="1:24" x14ac:dyDescent="0.3">
      <c r="A483" s="129"/>
      <c r="B483" s="129"/>
      <c r="C483" s="128"/>
      <c r="D483" s="128"/>
      <c r="E483" s="128"/>
      <c r="F483" s="166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6" t="str">
        <f t="shared" si="48"/>
        <v/>
      </c>
      <c r="S483" s="163" t="str">
        <f t="shared" si="49"/>
        <v/>
      </c>
      <c r="T483" s="160" t="str">
        <f>IFERROR(INDEX(当年标准成本!$I:$I,MATCH(K483,当年标准成本!$C:$C,0),1),"")</f>
        <v/>
      </c>
      <c r="U483" s="126" t="str">
        <f t="shared" si="50"/>
        <v/>
      </c>
      <c r="V483" s="126" t="str">
        <f t="shared" si="51"/>
        <v/>
      </c>
      <c r="W483" s="124" t="str">
        <f t="shared" si="52"/>
        <v/>
      </c>
      <c r="X483" s="125" t="str">
        <f t="shared" si="47"/>
        <v/>
      </c>
    </row>
    <row r="484" spans="1:24" x14ac:dyDescent="0.3">
      <c r="A484" s="129"/>
      <c r="B484" s="129"/>
      <c r="C484" s="128"/>
      <c r="D484" s="128"/>
      <c r="E484" s="128"/>
      <c r="F484" s="166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6" t="str">
        <f t="shared" si="48"/>
        <v/>
      </c>
      <c r="S484" s="163" t="str">
        <f t="shared" si="49"/>
        <v/>
      </c>
      <c r="T484" s="160" t="str">
        <f>IFERROR(INDEX(当年标准成本!$I:$I,MATCH(K484,当年标准成本!$C:$C,0),1),"")</f>
        <v/>
      </c>
      <c r="U484" s="126" t="str">
        <f t="shared" si="50"/>
        <v/>
      </c>
      <c r="V484" s="126" t="str">
        <f t="shared" si="51"/>
        <v/>
      </c>
      <c r="W484" s="124" t="str">
        <f t="shared" si="52"/>
        <v/>
      </c>
      <c r="X484" s="125" t="str">
        <f t="shared" si="47"/>
        <v/>
      </c>
    </row>
    <row r="485" spans="1:24" x14ac:dyDescent="0.3">
      <c r="A485" s="129"/>
      <c r="B485" s="129"/>
      <c r="C485" s="128"/>
      <c r="D485" s="128"/>
      <c r="E485" s="128"/>
      <c r="F485" s="166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6" t="str">
        <f t="shared" si="48"/>
        <v/>
      </c>
      <c r="S485" s="163" t="str">
        <f t="shared" si="49"/>
        <v/>
      </c>
      <c r="T485" s="160" t="str">
        <f>IFERROR(INDEX(当年标准成本!$I:$I,MATCH(K485,当年标准成本!$C:$C,0),1),"")</f>
        <v/>
      </c>
      <c r="U485" s="126" t="str">
        <f t="shared" si="50"/>
        <v/>
      </c>
      <c r="V485" s="126" t="str">
        <f t="shared" si="51"/>
        <v/>
      </c>
      <c r="W485" s="124" t="str">
        <f t="shared" si="52"/>
        <v/>
      </c>
      <c r="X485" s="125" t="str">
        <f t="shared" si="47"/>
        <v/>
      </c>
    </row>
    <row r="486" spans="1:24" x14ac:dyDescent="0.3">
      <c r="A486" s="129"/>
      <c r="B486" s="129"/>
      <c r="C486" s="128"/>
      <c r="D486" s="128"/>
      <c r="E486" s="128"/>
      <c r="F486" s="166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6" t="str">
        <f t="shared" si="48"/>
        <v/>
      </c>
      <c r="S486" s="163" t="str">
        <f t="shared" si="49"/>
        <v/>
      </c>
      <c r="T486" s="160" t="str">
        <f>IFERROR(INDEX(当年标准成本!$I:$I,MATCH(K486,当年标准成本!$C:$C,0),1),"")</f>
        <v/>
      </c>
      <c r="U486" s="126" t="str">
        <f t="shared" si="50"/>
        <v/>
      </c>
      <c r="V486" s="126" t="str">
        <f t="shared" si="51"/>
        <v/>
      </c>
      <c r="W486" s="124" t="str">
        <f t="shared" si="52"/>
        <v/>
      </c>
      <c r="X486" s="125" t="str">
        <f t="shared" si="47"/>
        <v/>
      </c>
    </row>
    <row r="487" spans="1:24" x14ac:dyDescent="0.3">
      <c r="A487" s="129"/>
      <c r="B487" s="129"/>
      <c r="C487" s="128"/>
      <c r="D487" s="128"/>
      <c r="E487" s="128"/>
      <c r="F487" s="166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6" t="str">
        <f t="shared" si="48"/>
        <v/>
      </c>
      <c r="S487" s="163" t="str">
        <f t="shared" si="49"/>
        <v/>
      </c>
      <c r="T487" s="160" t="str">
        <f>IFERROR(INDEX(当年标准成本!$I:$I,MATCH(K487,当年标准成本!$C:$C,0),1),"")</f>
        <v/>
      </c>
      <c r="U487" s="126" t="str">
        <f t="shared" si="50"/>
        <v/>
      </c>
      <c r="V487" s="126" t="str">
        <f t="shared" si="51"/>
        <v/>
      </c>
      <c r="W487" s="124" t="str">
        <f t="shared" si="52"/>
        <v/>
      </c>
      <c r="X487" s="125" t="str">
        <f t="shared" si="47"/>
        <v/>
      </c>
    </row>
    <row r="488" spans="1:24" x14ac:dyDescent="0.3">
      <c r="A488" s="129"/>
      <c r="B488" s="129"/>
      <c r="C488" s="128"/>
      <c r="D488" s="128"/>
      <c r="E488" s="128"/>
      <c r="F488" s="166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6" t="str">
        <f t="shared" si="48"/>
        <v/>
      </c>
      <c r="S488" s="163" t="str">
        <f t="shared" si="49"/>
        <v/>
      </c>
      <c r="T488" s="160" t="str">
        <f>IFERROR(INDEX(当年标准成本!$I:$I,MATCH(K488,当年标准成本!$C:$C,0),1),"")</f>
        <v/>
      </c>
      <c r="U488" s="126" t="str">
        <f t="shared" si="50"/>
        <v/>
      </c>
      <c r="V488" s="126" t="str">
        <f t="shared" si="51"/>
        <v/>
      </c>
      <c r="W488" s="124" t="str">
        <f t="shared" si="52"/>
        <v/>
      </c>
      <c r="X488" s="125" t="str">
        <f t="shared" si="47"/>
        <v/>
      </c>
    </row>
    <row r="489" spans="1:24" x14ac:dyDescent="0.3">
      <c r="A489" s="129"/>
      <c r="B489" s="129"/>
      <c r="C489" s="128"/>
      <c r="D489" s="128"/>
      <c r="E489" s="128"/>
      <c r="F489" s="166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6" t="str">
        <f t="shared" si="48"/>
        <v/>
      </c>
      <c r="S489" s="163" t="str">
        <f t="shared" si="49"/>
        <v/>
      </c>
      <c r="T489" s="160" t="str">
        <f>IFERROR(INDEX(当年标准成本!$I:$I,MATCH(K489,当年标准成本!$C:$C,0),1),"")</f>
        <v/>
      </c>
      <c r="U489" s="126" t="str">
        <f t="shared" si="50"/>
        <v/>
      </c>
      <c r="V489" s="126" t="str">
        <f t="shared" si="51"/>
        <v/>
      </c>
      <c r="W489" s="124" t="str">
        <f t="shared" si="52"/>
        <v/>
      </c>
      <c r="X489" s="125" t="str">
        <f t="shared" si="47"/>
        <v/>
      </c>
    </row>
    <row r="490" spans="1:24" x14ac:dyDescent="0.3">
      <c r="A490" s="129"/>
      <c r="B490" s="129"/>
      <c r="C490" s="128"/>
      <c r="D490" s="128"/>
      <c r="E490" s="128"/>
      <c r="F490" s="166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6" t="str">
        <f t="shared" si="48"/>
        <v/>
      </c>
      <c r="S490" s="163" t="str">
        <f t="shared" si="49"/>
        <v/>
      </c>
      <c r="T490" s="160" t="str">
        <f>IFERROR(INDEX(当年标准成本!$I:$I,MATCH(K490,当年标准成本!$C:$C,0),1),"")</f>
        <v/>
      </c>
      <c r="U490" s="126" t="str">
        <f t="shared" si="50"/>
        <v/>
      </c>
      <c r="V490" s="126" t="str">
        <f t="shared" si="51"/>
        <v/>
      </c>
      <c r="W490" s="124" t="str">
        <f t="shared" si="52"/>
        <v/>
      </c>
      <c r="X490" s="125" t="str">
        <f t="shared" si="47"/>
        <v/>
      </c>
    </row>
    <row r="491" spans="1:24" x14ac:dyDescent="0.3">
      <c r="A491" s="129"/>
      <c r="B491" s="129"/>
      <c r="C491" s="128"/>
      <c r="D491" s="128"/>
      <c r="E491" s="128"/>
      <c r="F491" s="166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6" t="str">
        <f t="shared" si="48"/>
        <v/>
      </c>
      <c r="S491" s="163" t="str">
        <f t="shared" si="49"/>
        <v/>
      </c>
      <c r="T491" s="160" t="str">
        <f>IFERROR(INDEX(当年标准成本!$I:$I,MATCH(K491,当年标准成本!$C:$C,0),1),"")</f>
        <v/>
      </c>
      <c r="U491" s="126" t="str">
        <f t="shared" si="50"/>
        <v/>
      </c>
      <c r="V491" s="126" t="str">
        <f t="shared" si="51"/>
        <v/>
      </c>
      <c r="W491" s="124" t="str">
        <f t="shared" si="52"/>
        <v/>
      </c>
      <c r="X491" s="125" t="str">
        <f t="shared" si="47"/>
        <v/>
      </c>
    </row>
    <row r="492" spans="1:24" x14ac:dyDescent="0.3">
      <c r="A492" s="129"/>
      <c r="B492" s="129"/>
      <c r="C492" s="128"/>
      <c r="D492" s="128"/>
      <c r="E492" s="128"/>
      <c r="F492" s="166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6" t="str">
        <f t="shared" si="48"/>
        <v/>
      </c>
      <c r="S492" s="163" t="str">
        <f t="shared" si="49"/>
        <v/>
      </c>
      <c r="T492" s="160" t="str">
        <f>IFERROR(INDEX(当年标准成本!$I:$I,MATCH(K492,当年标准成本!$C:$C,0),1),"")</f>
        <v/>
      </c>
      <c r="U492" s="126" t="str">
        <f t="shared" si="50"/>
        <v/>
      </c>
      <c r="V492" s="126" t="str">
        <f t="shared" si="51"/>
        <v/>
      </c>
      <c r="W492" s="124" t="str">
        <f t="shared" si="52"/>
        <v/>
      </c>
      <c r="X492" s="125" t="str">
        <f t="shared" si="47"/>
        <v/>
      </c>
    </row>
    <row r="493" spans="1:24" x14ac:dyDescent="0.3">
      <c r="A493" s="129"/>
      <c r="B493" s="129"/>
      <c r="C493" s="128"/>
      <c r="D493" s="128"/>
      <c r="E493" s="128"/>
      <c r="F493" s="166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6" t="str">
        <f t="shared" si="48"/>
        <v/>
      </c>
      <c r="S493" s="163" t="str">
        <f t="shared" si="49"/>
        <v/>
      </c>
      <c r="T493" s="160" t="str">
        <f>IFERROR(INDEX(当年标准成本!$I:$I,MATCH(K493,当年标准成本!$C:$C,0),1),"")</f>
        <v/>
      </c>
      <c r="U493" s="126" t="str">
        <f t="shared" si="50"/>
        <v/>
      </c>
      <c r="V493" s="126" t="str">
        <f t="shared" si="51"/>
        <v/>
      </c>
      <c r="W493" s="124" t="str">
        <f t="shared" si="52"/>
        <v/>
      </c>
      <c r="X493" s="125" t="str">
        <f t="shared" si="47"/>
        <v/>
      </c>
    </row>
    <row r="494" spans="1:24" x14ac:dyDescent="0.3">
      <c r="A494" s="129"/>
      <c r="B494" s="129"/>
      <c r="C494" s="128"/>
      <c r="D494" s="128"/>
      <c r="E494" s="128"/>
      <c r="F494" s="166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6" t="str">
        <f t="shared" si="48"/>
        <v/>
      </c>
      <c r="S494" s="163" t="str">
        <f t="shared" si="49"/>
        <v/>
      </c>
      <c r="T494" s="160" t="str">
        <f>IFERROR(INDEX(当年标准成本!$I:$I,MATCH(K494,当年标准成本!$C:$C,0),1),"")</f>
        <v/>
      </c>
      <c r="U494" s="126" t="str">
        <f t="shared" si="50"/>
        <v/>
      </c>
      <c r="V494" s="126" t="str">
        <f t="shared" si="51"/>
        <v/>
      </c>
      <c r="W494" s="124" t="str">
        <f t="shared" si="52"/>
        <v/>
      </c>
      <c r="X494" s="125" t="str">
        <f t="shared" si="47"/>
        <v/>
      </c>
    </row>
    <row r="495" spans="1:24" x14ac:dyDescent="0.3">
      <c r="A495" s="129"/>
      <c r="B495" s="129"/>
      <c r="C495" s="128"/>
      <c r="D495" s="128"/>
      <c r="E495" s="128"/>
      <c r="F495" s="166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6" t="str">
        <f t="shared" si="48"/>
        <v/>
      </c>
      <c r="S495" s="163" t="str">
        <f t="shared" si="49"/>
        <v/>
      </c>
      <c r="T495" s="160" t="str">
        <f>IFERROR(INDEX(当年标准成本!$I:$I,MATCH(K495,当年标准成本!$C:$C,0),1),"")</f>
        <v/>
      </c>
      <c r="U495" s="126" t="str">
        <f t="shared" si="50"/>
        <v/>
      </c>
      <c r="V495" s="126" t="str">
        <f t="shared" si="51"/>
        <v/>
      </c>
      <c r="W495" s="124" t="str">
        <f t="shared" si="52"/>
        <v/>
      </c>
      <c r="X495" s="125" t="str">
        <f t="shared" si="47"/>
        <v/>
      </c>
    </row>
    <row r="496" spans="1:24" x14ac:dyDescent="0.3">
      <c r="A496" s="129"/>
      <c r="B496" s="129"/>
      <c r="C496" s="128"/>
      <c r="D496" s="128"/>
      <c r="E496" s="128"/>
      <c r="F496" s="166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6" t="str">
        <f t="shared" si="48"/>
        <v/>
      </c>
      <c r="S496" s="163" t="str">
        <f t="shared" si="49"/>
        <v/>
      </c>
      <c r="T496" s="160" t="str">
        <f>IFERROR(INDEX(当年标准成本!$I:$I,MATCH(K496,当年标准成本!$C:$C,0),1),"")</f>
        <v/>
      </c>
      <c r="U496" s="126" t="str">
        <f t="shared" si="50"/>
        <v/>
      </c>
      <c r="V496" s="126" t="str">
        <f t="shared" si="51"/>
        <v/>
      </c>
      <c r="W496" s="124" t="str">
        <f t="shared" si="52"/>
        <v/>
      </c>
      <c r="X496" s="125" t="str">
        <f t="shared" si="47"/>
        <v/>
      </c>
    </row>
    <row r="497" spans="1:24" x14ac:dyDescent="0.3">
      <c r="A497" s="129"/>
      <c r="B497" s="129"/>
      <c r="C497" s="128"/>
      <c r="D497" s="128"/>
      <c r="E497" s="128"/>
      <c r="F497" s="166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6" t="str">
        <f t="shared" si="48"/>
        <v/>
      </c>
      <c r="S497" s="163" t="str">
        <f t="shared" si="49"/>
        <v/>
      </c>
      <c r="T497" s="160" t="str">
        <f>IFERROR(INDEX(当年标准成本!$I:$I,MATCH(K497,当年标准成本!$C:$C,0),1),"")</f>
        <v/>
      </c>
      <c r="U497" s="126" t="str">
        <f t="shared" si="50"/>
        <v/>
      </c>
      <c r="V497" s="126" t="str">
        <f t="shared" si="51"/>
        <v/>
      </c>
      <c r="W497" s="124" t="str">
        <f t="shared" si="52"/>
        <v/>
      </c>
      <c r="X497" s="125" t="str">
        <f t="shared" si="47"/>
        <v/>
      </c>
    </row>
    <row r="498" spans="1:24" x14ac:dyDescent="0.3">
      <c r="A498" s="129"/>
      <c r="B498" s="129"/>
      <c r="C498" s="128"/>
      <c r="D498" s="128"/>
      <c r="E498" s="128"/>
      <c r="F498" s="166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6" t="str">
        <f t="shared" si="48"/>
        <v/>
      </c>
      <c r="S498" s="163" t="str">
        <f t="shared" si="49"/>
        <v/>
      </c>
      <c r="T498" s="160" t="str">
        <f>IFERROR(INDEX(当年标准成本!$I:$I,MATCH(K498,当年标准成本!$C:$C,0),1),"")</f>
        <v/>
      </c>
      <c r="U498" s="126" t="str">
        <f t="shared" si="50"/>
        <v/>
      </c>
      <c r="V498" s="126" t="str">
        <f t="shared" si="51"/>
        <v/>
      </c>
      <c r="W498" s="124" t="str">
        <f t="shared" si="52"/>
        <v/>
      </c>
      <c r="X498" s="125" t="str">
        <f t="shared" si="47"/>
        <v/>
      </c>
    </row>
    <row r="499" spans="1:24" x14ac:dyDescent="0.3">
      <c r="A499" s="129"/>
      <c r="B499" s="129"/>
      <c r="C499" s="128"/>
      <c r="D499" s="128"/>
      <c r="E499" s="128"/>
      <c r="F499" s="166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6" t="str">
        <f t="shared" si="48"/>
        <v/>
      </c>
      <c r="S499" s="163" t="str">
        <f t="shared" si="49"/>
        <v/>
      </c>
      <c r="T499" s="160" t="str">
        <f>IFERROR(INDEX(当年标准成本!$I:$I,MATCH(K499,当年标准成本!$C:$C,0),1),"")</f>
        <v/>
      </c>
      <c r="U499" s="126" t="str">
        <f t="shared" si="50"/>
        <v/>
      </c>
      <c r="V499" s="126" t="str">
        <f t="shared" si="51"/>
        <v/>
      </c>
      <c r="W499" s="124" t="str">
        <f t="shared" si="52"/>
        <v/>
      </c>
      <c r="X499" s="125" t="str">
        <f t="shared" si="47"/>
        <v/>
      </c>
    </row>
    <row r="500" spans="1:24" x14ac:dyDescent="0.3">
      <c r="A500" s="129"/>
      <c r="B500" s="129"/>
      <c r="C500" s="128"/>
      <c r="D500" s="128"/>
      <c r="E500" s="128"/>
      <c r="F500" s="166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6" t="str">
        <f t="shared" si="48"/>
        <v/>
      </c>
      <c r="S500" s="163" t="str">
        <f t="shared" si="49"/>
        <v/>
      </c>
      <c r="T500" s="160" t="str">
        <f>IFERROR(INDEX(当年标准成本!$I:$I,MATCH(K500,当年标准成本!$C:$C,0),1),"")</f>
        <v/>
      </c>
      <c r="U500" s="126" t="str">
        <f t="shared" si="50"/>
        <v/>
      </c>
      <c r="V500" s="126" t="str">
        <f t="shared" si="51"/>
        <v/>
      </c>
      <c r="W500" s="124" t="str">
        <f t="shared" si="52"/>
        <v/>
      </c>
      <c r="X500" s="125" t="str">
        <f t="shared" si="47"/>
        <v/>
      </c>
    </row>
    <row r="501" spans="1:24" x14ac:dyDescent="0.3">
      <c r="A501" s="129"/>
      <c r="B501" s="129"/>
      <c r="C501" s="128"/>
      <c r="D501" s="128"/>
      <c r="E501" s="128"/>
      <c r="F501" s="166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6" t="str">
        <f t="shared" si="48"/>
        <v/>
      </c>
      <c r="S501" s="163" t="str">
        <f t="shared" si="49"/>
        <v/>
      </c>
      <c r="T501" s="160" t="str">
        <f>IFERROR(INDEX(当年标准成本!$I:$I,MATCH(K501,当年标准成本!$C:$C,0),1),"")</f>
        <v/>
      </c>
      <c r="U501" s="126" t="str">
        <f t="shared" si="50"/>
        <v/>
      </c>
      <c r="V501" s="126" t="str">
        <f t="shared" si="51"/>
        <v/>
      </c>
      <c r="W501" s="124" t="str">
        <f t="shared" si="52"/>
        <v/>
      </c>
      <c r="X501" s="125" t="str">
        <f t="shared" si="47"/>
        <v/>
      </c>
    </row>
    <row r="502" spans="1:24" x14ac:dyDescent="0.3">
      <c r="A502" s="129"/>
      <c r="B502" s="129"/>
      <c r="C502" s="128"/>
      <c r="D502" s="128"/>
      <c r="E502" s="128"/>
      <c r="F502" s="166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6" t="str">
        <f t="shared" si="48"/>
        <v/>
      </c>
      <c r="S502" s="163" t="str">
        <f t="shared" si="49"/>
        <v/>
      </c>
      <c r="T502" s="160" t="str">
        <f>IFERROR(INDEX(当年标准成本!$I:$I,MATCH(K502,当年标准成本!$C:$C,0),1),"")</f>
        <v/>
      </c>
      <c r="U502" s="126" t="str">
        <f t="shared" si="50"/>
        <v/>
      </c>
      <c r="V502" s="126" t="str">
        <f t="shared" si="51"/>
        <v/>
      </c>
      <c r="W502" s="124" t="str">
        <f t="shared" si="52"/>
        <v/>
      </c>
      <c r="X502" s="125" t="str">
        <f t="shared" si="47"/>
        <v/>
      </c>
    </row>
    <row r="503" spans="1:24" x14ac:dyDescent="0.3">
      <c r="A503" s="129"/>
      <c r="B503" s="129"/>
      <c r="C503" s="128"/>
      <c r="D503" s="128"/>
      <c r="E503" s="128"/>
      <c r="F503" s="166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6" t="str">
        <f t="shared" si="48"/>
        <v/>
      </c>
      <c r="S503" s="163" t="str">
        <f t="shared" si="49"/>
        <v/>
      </c>
      <c r="T503" s="160" t="str">
        <f>IFERROR(INDEX(当年标准成本!$I:$I,MATCH(K503,当年标准成本!$C:$C,0),1),"")</f>
        <v/>
      </c>
      <c r="U503" s="126" t="str">
        <f t="shared" si="50"/>
        <v/>
      </c>
      <c r="V503" s="126" t="str">
        <f t="shared" si="51"/>
        <v/>
      </c>
      <c r="W503" s="124" t="str">
        <f t="shared" si="52"/>
        <v/>
      </c>
      <c r="X503" s="125" t="str">
        <f t="shared" si="47"/>
        <v/>
      </c>
    </row>
    <row r="504" spans="1:24" x14ac:dyDescent="0.3">
      <c r="A504" s="129"/>
      <c r="B504" s="129"/>
      <c r="C504" s="128"/>
      <c r="D504" s="128"/>
      <c r="E504" s="128"/>
      <c r="F504" s="166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6" t="str">
        <f t="shared" si="48"/>
        <v/>
      </c>
      <c r="S504" s="163" t="str">
        <f t="shared" si="49"/>
        <v/>
      </c>
      <c r="T504" s="160" t="str">
        <f>IFERROR(INDEX(当年标准成本!$I:$I,MATCH(K504,当年标准成本!$C:$C,0),1),"")</f>
        <v/>
      </c>
      <c r="U504" s="126" t="str">
        <f t="shared" si="50"/>
        <v/>
      </c>
      <c r="V504" s="126" t="str">
        <f t="shared" si="51"/>
        <v/>
      </c>
      <c r="W504" s="124" t="str">
        <f t="shared" si="52"/>
        <v/>
      </c>
      <c r="X504" s="125" t="str">
        <f t="shared" si="47"/>
        <v/>
      </c>
    </row>
    <row r="505" spans="1:24" x14ac:dyDescent="0.3">
      <c r="A505" s="129"/>
      <c r="B505" s="129"/>
      <c r="C505" s="128"/>
      <c r="D505" s="128"/>
      <c r="E505" s="128"/>
      <c r="F505" s="166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6" t="str">
        <f t="shared" si="48"/>
        <v/>
      </c>
      <c r="S505" s="163" t="str">
        <f t="shared" si="49"/>
        <v/>
      </c>
      <c r="T505" s="160" t="str">
        <f>IFERROR(INDEX(当年标准成本!$I:$I,MATCH(K505,当年标准成本!$C:$C,0),1),"")</f>
        <v/>
      </c>
      <c r="U505" s="126" t="str">
        <f t="shared" si="50"/>
        <v/>
      </c>
      <c r="V505" s="126" t="str">
        <f t="shared" si="51"/>
        <v/>
      </c>
      <c r="W505" s="124" t="str">
        <f t="shared" si="52"/>
        <v/>
      </c>
      <c r="X505" s="125" t="str">
        <f t="shared" si="47"/>
        <v/>
      </c>
    </row>
    <row r="506" spans="1:24" x14ac:dyDescent="0.3">
      <c r="A506" s="129"/>
      <c r="B506" s="129"/>
      <c r="C506" s="128"/>
      <c r="D506" s="128"/>
      <c r="E506" s="128"/>
      <c r="F506" s="166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6" t="str">
        <f t="shared" si="48"/>
        <v/>
      </c>
      <c r="S506" s="163" t="str">
        <f t="shared" si="49"/>
        <v/>
      </c>
      <c r="T506" s="160" t="str">
        <f>IFERROR(INDEX(当年标准成本!$I:$I,MATCH(K506,当年标准成本!$C:$C,0),1),"")</f>
        <v/>
      </c>
      <c r="U506" s="126" t="str">
        <f t="shared" si="50"/>
        <v/>
      </c>
      <c r="V506" s="126" t="str">
        <f t="shared" si="51"/>
        <v/>
      </c>
      <c r="W506" s="124" t="str">
        <f t="shared" si="52"/>
        <v/>
      </c>
      <c r="X506" s="125" t="str">
        <f t="shared" si="47"/>
        <v/>
      </c>
    </row>
    <row r="507" spans="1:24" x14ac:dyDescent="0.3">
      <c r="A507" s="129"/>
      <c r="B507" s="129"/>
      <c r="C507" s="128"/>
      <c r="D507" s="128"/>
      <c r="E507" s="128"/>
      <c r="F507" s="166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6" t="str">
        <f t="shared" si="48"/>
        <v/>
      </c>
      <c r="S507" s="163" t="str">
        <f t="shared" si="49"/>
        <v/>
      </c>
      <c r="T507" s="160" t="str">
        <f>IFERROR(INDEX(当年标准成本!$I:$I,MATCH(K507,当年标准成本!$C:$C,0),1),"")</f>
        <v/>
      </c>
      <c r="U507" s="126" t="str">
        <f t="shared" si="50"/>
        <v/>
      </c>
      <c r="V507" s="126" t="str">
        <f t="shared" si="51"/>
        <v/>
      </c>
      <c r="W507" s="124" t="str">
        <f t="shared" si="52"/>
        <v/>
      </c>
      <c r="X507" s="125" t="str">
        <f t="shared" si="47"/>
        <v/>
      </c>
    </row>
    <row r="508" spans="1:24" x14ac:dyDescent="0.3">
      <c r="A508" s="129"/>
      <c r="B508" s="129"/>
      <c r="C508" s="128"/>
      <c r="D508" s="128"/>
      <c r="E508" s="128"/>
      <c r="F508" s="166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6" t="str">
        <f t="shared" si="48"/>
        <v/>
      </c>
      <c r="S508" s="163" t="str">
        <f t="shared" si="49"/>
        <v/>
      </c>
      <c r="T508" s="160" t="str">
        <f>IFERROR(INDEX(当年标准成本!$I:$I,MATCH(K508,当年标准成本!$C:$C,0),1),"")</f>
        <v/>
      </c>
      <c r="U508" s="126" t="str">
        <f t="shared" si="50"/>
        <v/>
      </c>
      <c r="V508" s="126" t="str">
        <f t="shared" si="51"/>
        <v/>
      </c>
      <c r="W508" s="124" t="str">
        <f t="shared" si="52"/>
        <v/>
      </c>
      <c r="X508" s="125" t="str">
        <f t="shared" si="47"/>
        <v/>
      </c>
    </row>
    <row r="509" spans="1:24" x14ac:dyDescent="0.3">
      <c r="A509" s="129"/>
      <c r="B509" s="129"/>
      <c r="C509" s="128"/>
      <c r="D509" s="128"/>
      <c r="E509" s="128"/>
      <c r="F509" s="166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6" t="str">
        <f t="shared" si="48"/>
        <v/>
      </c>
      <c r="S509" s="163" t="str">
        <f t="shared" si="49"/>
        <v/>
      </c>
      <c r="T509" s="160" t="str">
        <f>IFERROR(INDEX(当年标准成本!$I:$I,MATCH(K509,当年标准成本!$C:$C,0),1),"")</f>
        <v/>
      </c>
      <c r="U509" s="126" t="str">
        <f t="shared" si="50"/>
        <v/>
      </c>
      <c r="V509" s="126" t="str">
        <f t="shared" si="51"/>
        <v/>
      </c>
      <c r="W509" s="124" t="str">
        <f t="shared" si="52"/>
        <v/>
      </c>
      <c r="X509" s="125" t="str">
        <f t="shared" si="47"/>
        <v/>
      </c>
    </row>
    <row r="510" spans="1:24" x14ac:dyDescent="0.3">
      <c r="A510" s="129"/>
      <c r="B510" s="129"/>
      <c r="C510" s="128"/>
      <c r="D510" s="128"/>
      <c r="E510" s="128"/>
      <c r="F510" s="166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6" t="str">
        <f t="shared" si="48"/>
        <v/>
      </c>
      <c r="S510" s="163" t="str">
        <f t="shared" si="49"/>
        <v/>
      </c>
      <c r="T510" s="160" t="str">
        <f>IFERROR(INDEX(当年标准成本!$I:$I,MATCH(K510,当年标准成本!$C:$C,0),1),"")</f>
        <v/>
      </c>
      <c r="U510" s="126" t="str">
        <f t="shared" si="50"/>
        <v/>
      </c>
      <c r="V510" s="126" t="str">
        <f t="shared" si="51"/>
        <v/>
      </c>
      <c r="W510" s="124" t="str">
        <f t="shared" si="52"/>
        <v/>
      </c>
      <c r="X510" s="125" t="str">
        <f t="shared" si="47"/>
        <v/>
      </c>
    </row>
    <row r="511" spans="1:24" x14ac:dyDescent="0.3">
      <c r="A511" s="129"/>
      <c r="B511" s="129"/>
      <c r="C511" s="128"/>
      <c r="D511" s="128"/>
      <c r="E511" s="128"/>
      <c r="F511" s="166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6" t="str">
        <f t="shared" si="48"/>
        <v/>
      </c>
      <c r="S511" s="163" t="str">
        <f t="shared" si="49"/>
        <v/>
      </c>
      <c r="T511" s="160" t="str">
        <f>IFERROR(INDEX(当年标准成本!$I:$I,MATCH(K511,当年标准成本!$C:$C,0),1),"")</f>
        <v/>
      </c>
      <c r="U511" s="126" t="str">
        <f t="shared" si="50"/>
        <v/>
      </c>
      <c r="V511" s="126" t="str">
        <f t="shared" si="51"/>
        <v/>
      </c>
      <c r="W511" s="124" t="str">
        <f t="shared" si="52"/>
        <v/>
      </c>
      <c r="X511" s="125" t="str">
        <f t="shared" si="47"/>
        <v/>
      </c>
    </row>
    <row r="512" spans="1:24" x14ac:dyDescent="0.3">
      <c r="A512" s="129"/>
      <c r="B512" s="129"/>
      <c r="C512" s="128"/>
      <c r="D512" s="128"/>
      <c r="E512" s="128"/>
      <c r="F512" s="166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6" t="str">
        <f t="shared" si="48"/>
        <v/>
      </c>
      <c r="S512" s="163" t="str">
        <f t="shared" si="49"/>
        <v/>
      </c>
      <c r="T512" s="160" t="str">
        <f>IFERROR(INDEX(当年标准成本!$I:$I,MATCH(K512,当年标准成本!$C:$C,0),1),"")</f>
        <v/>
      </c>
      <c r="U512" s="126" t="str">
        <f t="shared" si="50"/>
        <v/>
      </c>
      <c r="V512" s="126" t="str">
        <f t="shared" si="51"/>
        <v/>
      </c>
      <c r="W512" s="124" t="str">
        <f t="shared" si="52"/>
        <v/>
      </c>
      <c r="X512" s="125" t="str">
        <f t="shared" si="47"/>
        <v/>
      </c>
    </row>
    <row r="513" spans="1:24" x14ac:dyDescent="0.3">
      <c r="A513" s="129"/>
      <c r="B513" s="129"/>
      <c r="C513" s="128"/>
      <c r="D513" s="128"/>
      <c r="E513" s="128"/>
      <c r="F513" s="166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6" t="str">
        <f t="shared" si="48"/>
        <v/>
      </c>
      <c r="S513" s="163" t="str">
        <f t="shared" si="49"/>
        <v/>
      </c>
      <c r="T513" s="160" t="str">
        <f>IFERROR(INDEX(当年标准成本!$I:$I,MATCH(K513,当年标准成本!$C:$C,0),1),"")</f>
        <v/>
      </c>
      <c r="U513" s="126" t="str">
        <f t="shared" si="50"/>
        <v/>
      </c>
      <c r="V513" s="126" t="str">
        <f t="shared" si="51"/>
        <v/>
      </c>
      <c r="W513" s="124" t="str">
        <f t="shared" si="52"/>
        <v/>
      </c>
      <c r="X513" s="125" t="str">
        <f t="shared" si="47"/>
        <v/>
      </c>
    </row>
    <row r="514" spans="1:24" x14ac:dyDescent="0.3">
      <c r="A514" s="129"/>
      <c r="B514" s="129"/>
      <c r="C514" s="128"/>
      <c r="D514" s="128"/>
      <c r="E514" s="128"/>
      <c r="F514" s="166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6" t="str">
        <f t="shared" si="48"/>
        <v/>
      </c>
      <c r="S514" s="163" t="str">
        <f t="shared" si="49"/>
        <v/>
      </c>
      <c r="T514" s="160" t="str">
        <f>IFERROR(INDEX(当年标准成本!$I:$I,MATCH(K514,当年标准成本!$C:$C,0),1),"")</f>
        <v/>
      </c>
      <c r="U514" s="126" t="str">
        <f t="shared" si="50"/>
        <v/>
      </c>
      <c r="V514" s="126" t="str">
        <f t="shared" si="51"/>
        <v/>
      </c>
      <c r="W514" s="124" t="str">
        <f t="shared" si="52"/>
        <v/>
      </c>
      <c r="X514" s="125" t="str">
        <f t="shared" ref="X514:X577" si="53">IFERROR(IF(W514/SUM(W:W)=0,"",W514/SUM(W:W)),"")</f>
        <v/>
      </c>
    </row>
    <row r="515" spans="1:24" x14ac:dyDescent="0.3">
      <c r="A515" s="129"/>
      <c r="B515" s="129"/>
      <c r="C515" s="128"/>
      <c r="D515" s="128"/>
      <c r="E515" s="128"/>
      <c r="F515" s="166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6" t="str">
        <f t="shared" si="48"/>
        <v/>
      </c>
      <c r="S515" s="163" t="str">
        <f t="shared" si="49"/>
        <v/>
      </c>
      <c r="T515" s="160" t="str">
        <f>IFERROR(INDEX(当年标准成本!$I:$I,MATCH(K515,当年标准成本!$C:$C,0),1),"")</f>
        <v/>
      </c>
      <c r="U515" s="126" t="str">
        <f t="shared" si="50"/>
        <v/>
      </c>
      <c r="V515" s="126" t="str">
        <f t="shared" si="51"/>
        <v/>
      </c>
      <c r="W515" s="124" t="str">
        <f t="shared" si="52"/>
        <v/>
      </c>
      <c r="X515" s="125" t="str">
        <f t="shared" si="53"/>
        <v/>
      </c>
    </row>
    <row r="516" spans="1:24" x14ac:dyDescent="0.3">
      <c r="A516" s="129"/>
      <c r="B516" s="129"/>
      <c r="C516" s="128"/>
      <c r="D516" s="128"/>
      <c r="E516" s="128"/>
      <c r="F516" s="166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6" t="str">
        <f t="shared" si="48"/>
        <v/>
      </c>
      <c r="S516" s="163" t="str">
        <f t="shared" si="49"/>
        <v/>
      </c>
      <c r="T516" s="160" t="str">
        <f>IFERROR(INDEX(当年标准成本!$I:$I,MATCH(K516,当年标准成本!$C:$C,0),1),"")</f>
        <v/>
      </c>
      <c r="U516" s="126" t="str">
        <f t="shared" si="50"/>
        <v/>
      </c>
      <c r="V516" s="126" t="str">
        <f t="shared" si="51"/>
        <v/>
      </c>
      <c r="W516" s="124" t="str">
        <f t="shared" si="52"/>
        <v/>
      </c>
      <c r="X516" s="125" t="str">
        <f t="shared" si="53"/>
        <v/>
      </c>
    </row>
    <row r="517" spans="1:24" x14ac:dyDescent="0.3">
      <c r="A517" s="129"/>
      <c r="B517" s="129"/>
      <c r="C517" s="128"/>
      <c r="D517" s="128"/>
      <c r="E517" s="128"/>
      <c r="F517" s="166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6" t="str">
        <f t="shared" si="48"/>
        <v/>
      </c>
      <c r="S517" s="163" t="str">
        <f t="shared" si="49"/>
        <v/>
      </c>
      <c r="T517" s="160" t="str">
        <f>IFERROR(INDEX(当年标准成本!$I:$I,MATCH(K517,当年标准成本!$C:$C,0),1),"")</f>
        <v/>
      </c>
      <c r="U517" s="126" t="str">
        <f t="shared" si="50"/>
        <v/>
      </c>
      <c r="V517" s="126" t="str">
        <f t="shared" si="51"/>
        <v/>
      </c>
      <c r="W517" s="124" t="str">
        <f t="shared" si="52"/>
        <v/>
      </c>
      <c r="X517" s="125" t="str">
        <f t="shared" si="53"/>
        <v/>
      </c>
    </row>
    <row r="518" spans="1:24" x14ac:dyDescent="0.3">
      <c r="A518" s="129"/>
      <c r="B518" s="129"/>
      <c r="C518" s="128"/>
      <c r="D518" s="128"/>
      <c r="E518" s="128"/>
      <c r="F518" s="166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6" t="str">
        <f t="shared" si="48"/>
        <v/>
      </c>
      <c r="S518" s="163" t="str">
        <f t="shared" si="49"/>
        <v/>
      </c>
      <c r="T518" s="160" t="str">
        <f>IFERROR(INDEX(当年标准成本!$I:$I,MATCH(K518,当年标准成本!$C:$C,0),1),"")</f>
        <v/>
      </c>
      <c r="U518" s="126" t="str">
        <f t="shared" si="50"/>
        <v/>
      </c>
      <c r="V518" s="126" t="str">
        <f t="shared" si="51"/>
        <v/>
      </c>
      <c r="W518" s="124" t="str">
        <f t="shared" si="52"/>
        <v/>
      </c>
      <c r="X518" s="125" t="str">
        <f t="shared" si="53"/>
        <v/>
      </c>
    </row>
    <row r="519" spans="1:24" x14ac:dyDescent="0.3">
      <c r="A519" s="129"/>
      <c r="B519" s="129"/>
      <c r="C519" s="128"/>
      <c r="D519" s="128"/>
      <c r="E519" s="128"/>
      <c r="F519" s="166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6" t="str">
        <f t="shared" si="48"/>
        <v/>
      </c>
      <c r="S519" s="163" t="str">
        <f t="shared" si="49"/>
        <v/>
      </c>
      <c r="T519" s="160" t="str">
        <f>IFERROR(INDEX(当年标准成本!$I:$I,MATCH(K519,当年标准成本!$C:$C,0),1),"")</f>
        <v/>
      </c>
      <c r="U519" s="126" t="str">
        <f t="shared" si="50"/>
        <v/>
      </c>
      <c r="V519" s="126" t="str">
        <f t="shared" si="51"/>
        <v/>
      </c>
      <c r="W519" s="124" t="str">
        <f t="shared" si="52"/>
        <v/>
      </c>
      <c r="X519" s="125" t="str">
        <f t="shared" si="53"/>
        <v/>
      </c>
    </row>
    <row r="520" spans="1:24" x14ac:dyDescent="0.3">
      <c r="A520" s="129"/>
      <c r="B520" s="129"/>
      <c r="C520" s="128"/>
      <c r="D520" s="128"/>
      <c r="E520" s="128"/>
      <c r="F520" s="166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6" t="str">
        <f t="shared" si="48"/>
        <v/>
      </c>
      <c r="S520" s="163" t="str">
        <f t="shared" si="49"/>
        <v/>
      </c>
      <c r="T520" s="160" t="str">
        <f>IFERROR(INDEX(当年标准成本!$I:$I,MATCH(K520,当年标准成本!$C:$C,0),1),"")</f>
        <v/>
      </c>
      <c r="U520" s="126" t="str">
        <f t="shared" si="50"/>
        <v/>
      </c>
      <c r="V520" s="126" t="str">
        <f t="shared" si="51"/>
        <v/>
      </c>
      <c r="W520" s="124" t="str">
        <f t="shared" si="52"/>
        <v/>
      </c>
      <c r="X520" s="125" t="str">
        <f t="shared" si="53"/>
        <v/>
      </c>
    </row>
    <row r="521" spans="1:24" x14ac:dyDescent="0.3">
      <c r="A521" s="129"/>
      <c r="B521" s="129"/>
      <c r="C521" s="128"/>
      <c r="D521" s="128"/>
      <c r="E521" s="128"/>
      <c r="F521" s="166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6" t="str">
        <f t="shared" si="48"/>
        <v/>
      </c>
      <c r="S521" s="163" t="str">
        <f t="shared" si="49"/>
        <v/>
      </c>
      <c r="T521" s="160" t="str">
        <f>IFERROR(INDEX(当年标准成本!$I:$I,MATCH(K521,当年标准成本!$C:$C,0),1),"")</f>
        <v/>
      </c>
      <c r="U521" s="126" t="str">
        <f t="shared" si="50"/>
        <v/>
      </c>
      <c r="V521" s="126" t="str">
        <f t="shared" si="51"/>
        <v/>
      </c>
      <c r="W521" s="124" t="str">
        <f t="shared" si="52"/>
        <v/>
      </c>
      <c r="X521" s="125" t="str">
        <f t="shared" si="53"/>
        <v/>
      </c>
    </row>
    <row r="522" spans="1:24" x14ac:dyDescent="0.3">
      <c r="A522" s="129"/>
      <c r="B522" s="129"/>
      <c r="C522" s="128"/>
      <c r="D522" s="128"/>
      <c r="E522" s="128"/>
      <c r="F522" s="166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6" t="str">
        <f t="shared" ref="R522:R585" si="54">IFERROR(P522/O522,"")</f>
        <v/>
      </c>
      <c r="S522" s="163" t="str">
        <f t="shared" ref="S522:S585" si="55">IFERROR(R522*(1+Q522),"")</f>
        <v/>
      </c>
      <c r="T522" s="160" t="str">
        <f>IFERROR(INDEX(当年标准成本!$I:$I,MATCH(K522,当年标准成本!$C:$C,0),1),"")</f>
        <v/>
      </c>
      <c r="U522" s="126" t="str">
        <f t="shared" ref="U522:U585" si="56">IFERROR(O522*T522,"")</f>
        <v/>
      </c>
      <c r="V522" s="126" t="str">
        <f t="shared" ref="V522:V585" si="57">IFERROR(P522-U522,"")</f>
        <v/>
      </c>
      <c r="W522" s="124" t="str">
        <f t="shared" ref="W522:W585" si="58">IFERROR(V522/P522,"")</f>
        <v/>
      </c>
      <c r="X522" s="125" t="str">
        <f t="shared" si="53"/>
        <v/>
      </c>
    </row>
    <row r="523" spans="1:24" x14ac:dyDescent="0.3">
      <c r="A523" s="129"/>
      <c r="B523" s="129"/>
      <c r="C523" s="128"/>
      <c r="D523" s="128"/>
      <c r="E523" s="128"/>
      <c r="F523" s="166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6" t="str">
        <f t="shared" si="54"/>
        <v/>
      </c>
      <c r="S523" s="163" t="str">
        <f t="shared" si="55"/>
        <v/>
      </c>
      <c r="T523" s="160" t="str">
        <f>IFERROR(INDEX(当年标准成本!$I:$I,MATCH(K523,当年标准成本!$C:$C,0),1),"")</f>
        <v/>
      </c>
      <c r="U523" s="126" t="str">
        <f t="shared" si="56"/>
        <v/>
      </c>
      <c r="V523" s="126" t="str">
        <f t="shared" si="57"/>
        <v/>
      </c>
      <c r="W523" s="124" t="str">
        <f t="shared" si="58"/>
        <v/>
      </c>
      <c r="X523" s="125" t="str">
        <f t="shared" si="53"/>
        <v/>
      </c>
    </row>
    <row r="524" spans="1:24" x14ac:dyDescent="0.3">
      <c r="A524" s="129"/>
      <c r="B524" s="129"/>
      <c r="C524" s="128"/>
      <c r="D524" s="128"/>
      <c r="E524" s="128"/>
      <c r="F524" s="166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6" t="str">
        <f t="shared" si="54"/>
        <v/>
      </c>
      <c r="S524" s="163" t="str">
        <f t="shared" si="55"/>
        <v/>
      </c>
      <c r="T524" s="160" t="str">
        <f>IFERROR(INDEX(当年标准成本!$I:$I,MATCH(K524,当年标准成本!$C:$C,0),1),"")</f>
        <v/>
      </c>
      <c r="U524" s="126" t="str">
        <f t="shared" si="56"/>
        <v/>
      </c>
      <c r="V524" s="126" t="str">
        <f t="shared" si="57"/>
        <v/>
      </c>
      <c r="W524" s="124" t="str">
        <f t="shared" si="58"/>
        <v/>
      </c>
      <c r="X524" s="125" t="str">
        <f t="shared" si="53"/>
        <v/>
      </c>
    </row>
    <row r="525" spans="1:24" x14ac:dyDescent="0.3">
      <c r="A525" s="129"/>
      <c r="B525" s="129"/>
      <c r="C525" s="128"/>
      <c r="D525" s="128"/>
      <c r="E525" s="128"/>
      <c r="F525" s="166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6" t="str">
        <f t="shared" si="54"/>
        <v/>
      </c>
      <c r="S525" s="163" t="str">
        <f t="shared" si="55"/>
        <v/>
      </c>
      <c r="T525" s="160" t="str">
        <f>IFERROR(INDEX(当年标准成本!$I:$I,MATCH(K525,当年标准成本!$C:$C,0),1),"")</f>
        <v/>
      </c>
      <c r="U525" s="126" t="str">
        <f t="shared" si="56"/>
        <v/>
      </c>
      <c r="V525" s="126" t="str">
        <f t="shared" si="57"/>
        <v/>
      </c>
      <c r="W525" s="124" t="str">
        <f t="shared" si="58"/>
        <v/>
      </c>
      <c r="X525" s="125" t="str">
        <f t="shared" si="53"/>
        <v/>
      </c>
    </row>
    <row r="526" spans="1:24" x14ac:dyDescent="0.3">
      <c r="A526" s="129"/>
      <c r="B526" s="129"/>
      <c r="C526" s="128"/>
      <c r="D526" s="128"/>
      <c r="E526" s="128"/>
      <c r="F526" s="166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6" t="str">
        <f t="shared" si="54"/>
        <v/>
      </c>
      <c r="S526" s="163" t="str">
        <f t="shared" si="55"/>
        <v/>
      </c>
      <c r="T526" s="160" t="str">
        <f>IFERROR(INDEX(当年标准成本!$I:$I,MATCH(K526,当年标准成本!$C:$C,0),1),"")</f>
        <v/>
      </c>
      <c r="U526" s="126" t="str">
        <f t="shared" si="56"/>
        <v/>
      </c>
      <c r="V526" s="126" t="str">
        <f t="shared" si="57"/>
        <v/>
      </c>
      <c r="W526" s="124" t="str">
        <f t="shared" si="58"/>
        <v/>
      </c>
      <c r="X526" s="125" t="str">
        <f t="shared" si="53"/>
        <v/>
      </c>
    </row>
    <row r="527" spans="1:24" x14ac:dyDescent="0.3">
      <c r="A527" s="129"/>
      <c r="B527" s="129"/>
      <c r="C527" s="128"/>
      <c r="D527" s="128"/>
      <c r="E527" s="128"/>
      <c r="F527" s="166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6" t="str">
        <f t="shared" si="54"/>
        <v/>
      </c>
      <c r="S527" s="163" t="str">
        <f t="shared" si="55"/>
        <v/>
      </c>
      <c r="T527" s="160" t="str">
        <f>IFERROR(INDEX(当年标准成本!$I:$I,MATCH(K527,当年标准成本!$C:$C,0),1),"")</f>
        <v/>
      </c>
      <c r="U527" s="126" t="str">
        <f t="shared" si="56"/>
        <v/>
      </c>
      <c r="V527" s="126" t="str">
        <f t="shared" si="57"/>
        <v/>
      </c>
      <c r="W527" s="124" t="str">
        <f t="shared" si="58"/>
        <v/>
      </c>
      <c r="X527" s="125" t="str">
        <f t="shared" si="53"/>
        <v/>
      </c>
    </row>
    <row r="528" spans="1:24" x14ac:dyDescent="0.3">
      <c r="A528" s="129"/>
      <c r="B528" s="129"/>
      <c r="C528" s="128"/>
      <c r="D528" s="128"/>
      <c r="E528" s="128"/>
      <c r="F528" s="166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6" t="str">
        <f t="shared" si="54"/>
        <v/>
      </c>
      <c r="S528" s="163" t="str">
        <f t="shared" si="55"/>
        <v/>
      </c>
      <c r="T528" s="160" t="str">
        <f>IFERROR(INDEX(当年标准成本!$I:$I,MATCH(K528,当年标准成本!$C:$C,0),1),"")</f>
        <v/>
      </c>
      <c r="U528" s="126" t="str">
        <f t="shared" si="56"/>
        <v/>
      </c>
      <c r="V528" s="126" t="str">
        <f t="shared" si="57"/>
        <v/>
      </c>
      <c r="W528" s="124" t="str">
        <f t="shared" si="58"/>
        <v/>
      </c>
      <c r="X528" s="125" t="str">
        <f t="shared" si="53"/>
        <v/>
      </c>
    </row>
    <row r="529" spans="1:24" x14ac:dyDescent="0.3">
      <c r="A529" s="129"/>
      <c r="B529" s="129"/>
      <c r="C529" s="128"/>
      <c r="D529" s="128"/>
      <c r="E529" s="128"/>
      <c r="F529" s="166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6" t="str">
        <f t="shared" si="54"/>
        <v/>
      </c>
      <c r="S529" s="163" t="str">
        <f t="shared" si="55"/>
        <v/>
      </c>
      <c r="T529" s="160" t="str">
        <f>IFERROR(INDEX(当年标准成本!$I:$I,MATCH(K529,当年标准成本!$C:$C,0),1),"")</f>
        <v/>
      </c>
      <c r="U529" s="126" t="str">
        <f t="shared" si="56"/>
        <v/>
      </c>
      <c r="V529" s="126" t="str">
        <f t="shared" si="57"/>
        <v/>
      </c>
      <c r="W529" s="124" t="str">
        <f t="shared" si="58"/>
        <v/>
      </c>
      <c r="X529" s="125" t="str">
        <f t="shared" si="53"/>
        <v/>
      </c>
    </row>
    <row r="530" spans="1:24" x14ac:dyDescent="0.3">
      <c r="A530" s="129"/>
      <c r="B530" s="129"/>
      <c r="C530" s="128"/>
      <c r="D530" s="128"/>
      <c r="E530" s="128"/>
      <c r="F530" s="166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6" t="str">
        <f t="shared" si="54"/>
        <v/>
      </c>
      <c r="S530" s="163" t="str">
        <f t="shared" si="55"/>
        <v/>
      </c>
      <c r="T530" s="160" t="str">
        <f>IFERROR(INDEX(当年标准成本!$I:$I,MATCH(K530,当年标准成本!$C:$C,0),1),"")</f>
        <v/>
      </c>
      <c r="U530" s="126" t="str">
        <f t="shared" si="56"/>
        <v/>
      </c>
      <c r="V530" s="126" t="str">
        <f t="shared" si="57"/>
        <v/>
      </c>
      <c r="W530" s="124" t="str">
        <f t="shared" si="58"/>
        <v/>
      </c>
      <c r="X530" s="125" t="str">
        <f t="shared" si="53"/>
        <v/>
      </c>
    </row>
    <row r="531" spans="1:24" x14ac:dyDescent="0.3">
      <c r="A531" s="129"/>
      <c r="B531" s="129"/>
      <c r="C531" s="128"/>
      <c r="D531" s="128"/>
      <c r="E531" s="128"/>
      <c r="F531" s="166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6" t="str">
        <f t="shared" si="54"/>
        <v/>
      </c>
      <c r="S531" s="163" t="str">
        <f t="shared" si="55"/>
        <v/>
      </c>
      <c r="T531" s="160" t="str">
        <f>IFERROR(INDEX(当年标准成本!$I:$I,MATCH(K531,当年标准成本!$C:$C,0),1),"")</f>
        <v/>
      </c>
      <c r="U531" s="126" t="str">
        <f t="shared" si="56"/>
        <v/>
      </c>
      <c r="V531" s="126" t="str">
        <f t="shared" si="57"/>
        <v/>
      </c>
      <c r="W531" s="124" t="str">
        <f t="shared" si="58"/>
        <v/>
      </c>
      <c r="X531" s="125" t="str">
        <f t="shared" si="53"/>
        <v/>
      </c>
    </row>
    <row r="532" spans="1:24" x14ac:dyDescent="0.3">
      <c r="A532" s="129"/>
      <c r="B532" s="129"/>
      <c r="C532" s="128"/>
      <c r="D532" s="128"/>
      <c r="E532" s="128"/>
      <c r="F532" s="166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6" t="str">
        <f t="shared" si="54"/>
        <v/>
      </c>
      <c r="S532" s="163" t="str">
        <f t="shared" si="55"/>
        <v/>
      </c>
      <c r="T532" s="160" t="str">
        <f>IFERROR(INDEX(当年标准成本!$I:$I,MATCH(K532,当年标准成本!$C:$C,0),1),"")</f>
        <v/>
      </c>
      <c r="U532" s="126" t="str">
        <f t="shared" si="56"/>
        <v/>
      </c>
      <c r="V532" s="126" t="str">
        <f t="shared" si="57"/>
        <v/>
      </c>
      <c r="W532" s="124" t="str">
        <f t="shared" si="58"/>
        <v/>
      </c>
      <c r="X532" s="125" t="str">
        <f t="shared" si="53"/>
        <v/>
      </c>
    </row>
    <row r="533" spans="1:24" x14ac:dyDescent="0.3">
      <c r="A533" s="129"/>
      <c r="B533" s="129"/>
      <c r="C533" s="128"/>
      <c r="D533" s="128"/>
      <c r="E533" s="128"/>
      <c r="F533" s="166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6" t="str">
        <f t="shared" si="54"/>
        <v/>
      </c>
      <c r="S533" s="163" t="str">
        <f t="shared" si="55"/>
        <v/>
      </c>
      <c r="T533" s="160" t="str">
        <f>IFERROR(INDEX(当年标准成本!$I:$I,MATCH(K533,当年标准成本!$C:$C,0),1),"")</f>
        <v/>
      </c>
      <c r="U533" s="126" t="str">
        <f t="shared" si="56"/>
        <v/>
      </c>
      <c r="V533" s="126" t="str">
        <f t="shared" si="57"/>
        <v/>
      </c>
      <c r="W533" s="124" t="str">
        <f t="shared" si="58"/>
        <v/>
      </c>
      <c r="X533" s="125" t="str">
        <f t="shared" si="53"/>
        <v/>
      </c>
    </row>
    <row r="534" spans="1:24" x14ac:dyDescent="0.3">
      <c r="A534" s="129"/>
      <c r="B534" s="129"/>
      <c r="C534" s="128"/>
      <c r="D534" s="128"/>
      <c r="E534" s="128"/>
      <c r="F534" s="166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6" t="str">
        <f t="shared" si="54"/>
        <v/>
      </c>
      <c r="S534" s="163" t="str">
        <f t="shared" si="55"/>
        <v/>
      </c>
      <c r="T534" s="160" t="str">
        <f>IFERROR(INDEX(当年标准成本!$I:$I,MATCH(K534,当年标准成本!$C:$C,0),1),"")</f>
        <v/>
      </c>
      <c r="U534" s="126" t="str">
        <f t="shared" si="56"/>
        <v/>
      </c>
      <c r="V534" s="126" t="str">
        <f t="shared" si="57"/>
        <v/>
      </c>
      <c r="W534" s="124" t="str">
        <f t="shared" si="58"/>
        <v/>
      </c>
      <c r="X534" s="125" t="str">
        <f t="shared" si="53"/>
        <v/>
      </c>
    </row>
    <row r="535" spans="1:24" x14ac:dyDescent="0.3">
      <c r="A535" s="129"/>
      <c r="B535" s="129"/>
      <c r="C535" s="128"/>
      <c r="D535" s="128"/>
      <c r="E535" s="128"/>
      <c r="F535" s="166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6" t="str">
        <f t="shared" si="54"/>
        <v/>
      </c>
      <c r="S535" s="163" t="str">
        <f t="shared" si="55"/>
        <v/>
      </c>
      <c r="T535" s="160" t="str">
        <f>IFERROR(INDEX(当年标准成本!$I:$I,MATCH(K535,当年标准成本!$C:$C,0),1),"")</f>
        <v/>
      </c>
      <c r="U535" s="126" t="str">
        <f t="shared" si="56"/>
        <v/>
      </c>
      <c r="V535" s="126" t="str">
        <f t="shared" si="57"/>
        <v/>
      </c>
      <c r="W535" s="124" t="str">
        <f t="shared" si="58"/>
        <v/>
      </c>
      <c r="X535" s="125" t="str">
        <f t="shared" si="53"/>
        <v/>
      </c>
    </row>
    <row r="536" spans="1:24" x14ac:dyDescent="0.3">
      <c r="A536" s="129"/>
      <c r="B536" s="129"/>
      <c r="C536" s="128"/>
      <c r="D536" s="128"/>
      <c r="E536" s="128"/>
      <c r="F536" s="166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6" t="str">
        <f t="shared" si="54"/>
        <v/>
      </c>
      <c r="S536" s="163" t="str">
        <f t="shared" si="55"/>
        <v/>
      </c>
      <c r="T536" s="160" t="str">
        <f>IFERROR(INDEX(当年标准成本!$I:$I,MATCH(K536,当年标准成本!$C:$C,0),1),"")</f>
        <v/>
      </c>
      <c r="U536" s="126" t="str">
        <f t="shared" si="56"/>
        <v/>
      </c>
      <c r="V536" s="126" t="str">
        <f t="shared" si="57"/>
        <v/>
      </c>
      <c r="W536" s="124" t="str">
        <f t="shared" si="58"/>
        <v/>
      </c>
      <c r="X536" s="125" t="str">
        <f t="shared" si="53"/>
        <v/>
      </c>
    </row>
    <row r="537" spans="1:24" x14ac:dyDescent="0.3">
      <c r="A537" s="129"/>
      <c r="B537" s="129"/>
      <c r="C537" s="128"/>
      <c r="D537" s="128"/>
      <c r="E537" s="128"/>
      <c r="F537" s="166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6" t="str">
        <f t="shared" si="54"/>
        <v/>
      </c>
      <c r="S537" s="163" t="str">
        <f t="shared" si="55"/>
        <v/>
      </c>
      <c r="T537" s="160" t="str">
        <f>IFERROR(INDEX(当年标准成本!$I:$I,MATCH(K537,当年标准成本!$C:$C,0),1),"")</f>
        <v/>
      </c>
      <c r="U537" s="126" t="str">
        <f t="shared" si="56"/>
        <v/>
      </c>
      <c r="V537" s="126" t="str">
        <f t="shared" si="57"/>
        <v/>
      </c>
      <c r="W537" s="124" t="str">
        <f t="shared" si="58"/>
        <v/>
      </c>
      <c r="X537" s="125" t="str">
        <f t="shared" si="53"/>
        <v/>
      </c>
    </row>
    <row r="538" spans="1:24" x14ac:dyDescent="0.3">
      <c r="A538" s="129"/>
      <c r="B538" s="129"/>
      <c r="C538" s="128"/>
      <c r="D538" s="128"/>
      <c r="E538" s="128"/>
      <c r="F538" s="166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6" t="str">
        <f t="shared" si="54"/>
        <v/>
      </c>
      <c r="S538" s="163" t="str">
        <f t="shared" si="55"/>
        <v/>
      </c>
      <c r="T538" s="160" t="str">
        <f>IFERROR(INDEX(当年标准成本!$I:$I,MATCH(K538,当年标准成本!$C:$C,0),1),"")</f>
        <v/>
      </c>
      <c r="U538" s="126" t="str">
        <f t="shared" si="56"/>
        <v/>
      </c>
      <c r="V538" s="126" t="str">
        <f t="shared" si="57"/>
        <v/>
      </c>
      <c r="W538" s="124" t="str">
        <f t="shared" si="58"/>
        <v/>
      </c>
      <c r="X538" s="125" t="str">
        <f t="shared" si="53"/>
        <v/>
      </c>
    </row>
    <row r="539" spans="1:24" x14ac:dyDescent="0.3">
      <c r="A539" s="129"/>
      <c r="B539" s="129"/>
      <c r="C539" s="128"/>
      <c r="D539" s="128"/>
      <c r="E539" s="128"/>
      <c r="F539" s="166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6" t="str">
        <f t="shared" si="54"/>
        <v/>
      </c>
      <c r="S539" s="163" t="str">
        <f t="shared" si="55"/>
        <v/>
      </c>
      <c r="T539" s="160" t="str">
        <f>IFERROR(INDEX(当年标准成本!$I:$I,MATCH(K539,当年标准成本!$C:$C,0),1),"")</f>
        <v/>
      </c>
      <c r="U539" s="126" t="str">
        <f t="shared" si="56"/>
        <v/>
      </c>
      <c r="V539" s="126" t="str">
        <f t="shared" si="57"/>
        <v/>
      </c>
      <c r="W539" s="124" t="str">
        <f t="shared" si="58"/>
        <v/>
      </c>
      <c r="X539" s="125" t="str">
        <f t="shared" si="53"/>
        <v/>
      </c>
    </row>
    <row r="540" spans="1:24" x14ac:dyDescent="0.3">
      <c r="A540" s="129"/>
      <c r="B540" s="129"/>
      <c r="C540" s="128"/>
      <c r="D540" s="128"/>
      <c r="E540" s="128"/>
      <c r="F540" s="166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6" t="str">
        <f t="shared" si="54"/>
        <v/>
      </c>
      <c r="S540" s="163" t="str">
        <f t="shared" si="55"/>
        <v/>
      </c>
      <c r="T540" s="160" t="str">
        <f>IFERROR(INDEX(当年标准成本!$I:$I,MATCH(K540,当年标准成本!$C:$C,0),1),"")</f>
        <v/>
      </c>
      <c r="U540" s="126" t="str">
        <f t="shared" si="56"/>
        <v/>
      </c>
      <c r="V540" s="126" t="str">
        <f t="shared" si="57"/>
        <v/>
      </c>
      <c r="W540" s="124" t="str">
        <f t="shared" si="58"/>
        <v/>
      </c>
      <c r="X540" s="125" t="str">
        <f t="shared" si="53"/>
        <v/>
      </c>
    </row>
    <row r="541" spans="1:24" x14ac:dyDescent="0.3">
      <c r="A541" s="129"/>
      <c r="B541" s="129"/>
      <c r="C541" s="128"/>
      <c r="D541" s="128"/>
      <c r="E541" s="128"/>
      <c r="F541" s="166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6" t="str">
        <f t="shared" si="54"/>
        <v/>
      </c>
      <c r="S541" s="163" t="str">
        <f t="shared" si="55"/>
        <v/>
      </c>
      <c r="T541" s="160" t="str">
        <f>IFERROR(INDEX(当年标准成本!$I:$I,MATCH(K541,当年标准成本!$C:$C,0),1),"")</f>
        <v/>
      </c>
      <c r="U541" s="126" t="str">
        <f t="shared" si="56"/>
        <v/>
      </c>
      <c r="V541" s="126" t="str">
        <f t="shared" si="57"/>
        <v/>
      </c>
      <c r="W541" s="124" t="str">
        <f t="shared" si="58"/>
        <v/>
      </c>
      <c r="X541" s="125" t="str">
        <f t="shared" si="53"/>
        <v/>
      </c>
    </row>
    <row r="542" spans="1:24" x14ac:dyDescent="0.3">
      <c r="A542" s="129"/>
      <c r="B542" s="129"/>
      <c r="C542" s="128"/>
      <c r="D542" s="128"/>
      <c r="E542" s="128"/>
      <c r="F542" s="166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6" t="str">
        <f t="shared" si="54"/>
        <v/>
      </c>
      <c r="S542" s="163" t="str">
        <f t="shared" si="55"/>
        <v/>
      </c>
      <c r="T542" s="160" t="str">
        <f>IFERROR(INDEX(当年标准成本!$I:$I,MATCH(K542,当年标准成本!$C:$C,0),1),"")</f>
        <v/>
      </c>
      <c r="U542" s="126" t="str">
        <f t="shared" si="56"/>
        <v/>
      </c>
      <c r="V542" s="126" t="str">
        <f t="shared" si="57"/>
        <v/>
      </c>
      <c r="W542" s="124" t="str">
        <f t="shared" si="58"/>
        <v/>
      </c>
      <c r="X542" s="125" t="str">
        <f t="shared" si="53"/>
        <v/>
      </c>
    </row>
    <row r="543" spans="1:24" x14ac:dyDescent="0.3">
      <c r="A543" s="129"/>
      <c r="B543" s="129"/>
      <c r="C543" s="128"/>
      <c r="D543" s="128"/>
      <c r="E543" s="128"/>
      <c r="F543" s="166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6" t="str">
        <f t="shared" si="54"/>
        <v/>
      </c>
      <c r="S543" s="163" t="str">
        <f t="shared" si="55"/>
        <v/>
      </c>
      <c r="T543" s="160" t="str">
        <f>IFERROR(INDEX(当年标准成本!$I:$I,MATCH(K543,当年标准成本!$C:$C,0),1),"")</f>
        <v/>
      </c>
      <c r="U543" s="126" t="str">
        <f t="shared" si="56"/>
        <v/>
      </c>
      <c r="V543" s="126" t="str">
        <f t="shared" si="57"/>
        <v/>
      </c>
      <c r="W543" s="124" t="str">
        <f t="shared" si="58"/>
        <v/>
      </c>
      <c r="X543" s="125" t="str">
        <f t="shared" si="53"/>
        <v/>
      </c>
    </row>
    <row r="544" spans="1:24" x14ac:dyDescent="0.3">
      <c r="A544" s="129"/>
      <c r="B544" s="129"/>
      <c r="C544" s="128"/>
      <c r="D544" s="128"/>
      <c r="E544" s="128"/>
      <c r="F544" s="166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6" t="str">
        <f t="shared" si="54"/>
        <v/>
      </c>
      <c r="S544" s="163" t="str">
        <f t="shared" si="55"/>
        <v/>
      </c>
      <c r="T544" s="160" t="str">
        <f>IFERROR(INDEX(当年标准成本!$I:$I,MATCH(K544,当年标准成本!$C:$C,0),1),"")</f>
        <v/>
      </c>
      <c r="U544" s="126" t="str">
        <f t="shared" si="56"/>
        <v/>
      </c>
      <c r="V544" s="126" t="str">
        <f t="shared" si="57"/>
        <v/>
      </c>
      <c r="W544" s="124" t="str">
        <f t="shared" si="58"/>
        <v/>
      </c>
      <c r="X544" s="125" t="str">
        <f t="shared" si="53"/>
        <v/>
      </c>
    </row>
    <row r="545" spans="1:24" x14ac:dyDescent="0.3">
      <c r="A545" s="129"/>
      <c r="B545" s="129"/>
      <c r="C545" s="128"/>
      <c r="D545" s="128"/>
      <c r="E545" s="128"/>
      <c r="F545" s="166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6" t="str">
        <f t="shared" si="54"/>
        <v/>
      </c>
      <c r="S545" s="163" t="str">
        <f t="shared" si="55"/>
        <v/>
      </c>
      <c r="T545" s="160" t="str">
        <f>IFERROR(INDEX(当年标准成本!$I:$I,MATCH(K545,当年标准成本!$C:$C,0),1),"")</f>
        <v/>
      </c>
      <c r="U545" s="126" t="str">
        <f t="shared" si="56"/>
        <v/>
      </c>
      <c r="V545" s="126" t="str">
        <f t="shared" si="57"/>
        <v/>
      </c>
      <c r="W545" s="124" t="str">
        <f t="shared" si="58"/>
        <v/>
      </c>
      <c r="X545" s="125" t="str">
        <f t="shared" si="53"/>
        <v/>
      </c>
    </row>
    <row r="546" spans="1:24" x14ac:dyDescent="0.3">
      <c r="A546" s="129"/>
      <c r="B546" s="129"/>
      <c r="C546" s="128"/>
      <c r="D546" s="128"/>
      <c r="E546" s="128"/>
      <c r="F546" s="166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6" t="str">
        <f t="shared" si="54"/>
        <v/>
      </c>
      <c r="S546" s="163" t="str">
        <f t="shared" si="55"/>
        <v/>
      </c>
      <c r="T546" s="160" t="str">
        <f>IFERROR(INDEX(当年标准成本!$I:$I,MATCH(K546,当年标准成本!$C:$C,0),1),"")</f>
        <v/>
      </c>
      <c r="U546" s="126" t="str">
        <f t="shared" si="56"/>
        <v/>
      </c>
      <c r="V546" s="126" t="str">
        <f t="shared" si="57"/>
        <v/>
      </c>
      <c r="W546" s="124" t="str">
        <f t="shared" si="58"/>
        <v/>
      </c>
      <c r="X546" s="125" t="str">
        <f t="shared" si="53"/>
        <v/>
      </c>
    </row>
    <row r="547" spans="1:24" x14ac:dyDescent="0.3">
      <c r="A547" s="129"/>
      <c r="B547" s="129"/>
      <c r="C547" s="128"/>
      <c r="D547" s="128"/>
      <c r="E547" s="128"/>
      <c r="F547" s="166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6" t="str">
        <f t="shared" si="54"/>
        <v/>
      </c>
      <c r="S547" s="163" t="str">
        <f t="shared" si="55"/>
        <v/>
      </c>
      <c r="T547" s="160" t="str">
        <f>IFERROR(INDEX(当年标准成本!$I:$I,MATCH(K547,当年标准成本!$C:$C,0),1),"")</f>
        <v/>
      </c>
      <c r="U547" s="126" t="str">
        <f t="shared" si="56"/>
        <v/>
      </c>
      <c r="V547" s="126" t="str">
        <f t="shared" si="57"/>
        <v/>
      </c>
      <c r="W547" s="124" t="str">
        <f t="shared" si="58"/>
        <v/>
      </c>
      <c r="X547" s="125" t="str">
        <f t="shared" si="53"/>
        <v/>
      </c>
    </row>
    <row r="548" spans="1:24" x14ac:dyDescent="0.3">
      <c r="A548" s="129"/>
      <c r="B548" s="129"/>
      <c r="C548" s="128"/>
      <c r="D548" s="128"/>
      <c r="E548" s="128"/>
      <c r="F548" s="166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6" t="str">
        <f t="shared" si="54"/>
        <v/>
      </c>
      <c r="S548" s="163" t="str">
        <f t="shared" si="55"/>
        <v/>
      </c>
      <c r="T548" s="160" t="str">
        <f>IFERROR(INDEX(当年标准成本!$I:$I,MATCH(K548,当年标准成本!$C:$C,0),1),"")</f>
        <v/>
      </c>
      <c r="U548" s="126" t="str">
        <f t="shared" si="56"/>
        <v/>
      </c>
      <c r="V548" s="126" t="str">
        <f t="shared" si="57"/>
        <v/>
      </c>
      <c r="W548" s="124" t="str">
        <f t="shared" si="58"/>
        <v/>
      </c>
      <c r="X548" s="125" t="str">
        <f t="shared" si="53"/>
        <v/>
      </c>
    </row>
    <row r="549" spans="1:24" x14ac:dyDescent="0.3">
      <c r="A549" s="129"/>
      <c r="B549" s="129"/>
      <c r="C549" s="128"/>
      <c r="D549" s="128"/>
      <c r="E549" s="128"/>
      <c r="F549" s="166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6" t="str">
        <f t="shared" si="54"/>
        <v/>
      </c>
      <c r="S549" s="163" t="str">
        <f t="shared" si="55"/>
        <v/>
      </c>
      <c r="T549" s="160" t="str">
        <f>IFERROR(INDEX(当年标准成本!$I:$I,MATCH(K549,当年标准成本!$C:$C,0),1),"")</f>
        <v/>
      </c>
      <c r="U549" s="126" t="str">
        <f t="shared" si="56"/>
        <v/>
      </c>
      <c r="V549" s="126" t="str">
        <f t="shared" si="57"/>
        <v/>
      </c>
      <c r="W549" s="124" t="str">
        <f t="shared" si="58"/>
        <v/>
      </c>
      <c r="X549" s="125" t="str">
        <f t="shared" si="53"/>
        <v/>
      </c>
    </row>
    <row r="550" spans="1:24" x14ac:dyDescent="0.3">
      <c r="A550" s="129"/>
      <c r="B550" s="129"/>
      <c r="C550" s="128"/>
      <c r="D550" s="128"/>
      <c r="E550" s="128"/>
      <c r="F550" s="166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6" t="str">
        <f t="shared" si="54"/>
        <v/>
      </c>
      <c r="S550" s="163" t="str">
        <f t="shared" si="55"/>
        <v/>
      </c>
      <c r="T550" s="160" t="str">
        <f>IFERROR(INDEX(当年标准成本!$I:$I,MATCH(K550,当年标准成本!$C:$C,0),1),"")</f>
        <v/>
      </c>
      <c r="U550" s="126" t="str">
        <f t="shared" si="56"/>
        <v/>
      </c>
      <c r="V550" s="126" t="str">
        <f t="shared" si="57"/>
        <v/>
      </c>
      <c r="W550" s="124" t="str">
        <f t="shared" si="58"/>
        <v/>
      </c>
      <c r="X550" s="125" t="str">
        <f t="shared" si="53"/>
        <v/>
      </c>
    </row>
    <row r="551" spans="1:24" x14ac:dyDescent="0.3">
      <c r="A551" s="129"/>
      <c r="B551" s="129"/>
      <c r="C551" s="128"/>
      <c r="D551" s="128"/>
      <c r="E551" s="128"/>
      <c r="F551" s="166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6" t="str">
        <f t="shared" si="54"/>
        <v/>
      </c>
      <c r="S551" s="163" t="str">
        <f t="shared" si="55"/>
        <v/>
      </c>
      <c r="T551" s="160" t="str">
        <f>IFERROR(INDEX(当年标准成本!$I:$I,MATCH(K551,当年标准成本!$C:$C,0),1),"")</f>
        <v/>
      </c>
      <c r="U551" s="126" t="str">
        <f t="shared" si="56"/>
        <v/>
      </c>
      <c r="V551" s="126" t="str">
        <f t="shared" si="57"/>
        <v/>
      </c>
      <c r="W551" s="124" t="str">
        <f t="shared" si="58"/>
        <v/>
      </c>
      <c r="X551" s="125" t="str">
        <f t="shared" si="53"/>
        <v/>
      </c>
    </row>
    <row r="552" spans="1:24" x14ac:dyDescent="0.3">
      <c r="A552" s="129"/>
      <c r="B552" s="129"/>
      <c r="C552" s="128"/>
      <c r="D552" s="128"/>
      <c r="E552" s="128"/>
      <c r="F552" s="166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6" t="str">
        <f t="shared" si="54"/>
        <v/>
      </c>
      <c r="S552" s="163" t="str">
        <f t="shared" si="55"/>
        <v/>
      </c>
      <c r="T552" s="160" t="str">
        <f>IFERROR(INDEX(当年标准成本!$I:$I,MATCH(K552,当年标准成本!$C:$C,0),1),"")</f>
        <v/>
      </c>
      <c r="U552" s="126" t="str">
        <f t="shared" si="56"/>
        <v/>
      </c>
      <c r="V552" s="126" t="str">
        <f t="shared" si="57"/>
        <v/>
      </c>
      <c r="W552" s="124" t="str">
        <f t="shared" si="58"/>
        <v/>
      </c>
      <c r="X552" s="125" t="str">
        <f t="shared" si="53"/>
        <v/>
      </c>
    </row>
    <row r="553" spans="1:24" x14ac:dyDescent="0.3">
      <c r="A553" s="129"/>
      <c r="B553" s="129"/>
      <c r="C553" s="128"/>
      <c r="D553" s="128"/>
      <c r="E553" s="128"/>
      <c r="F553" s="166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6" t="str">
        <f t="shared" si="54"/>
        <v/>
      </c>
      <c r="S553" s="163" t="str">
        <f t="shared" si="55"/>
        <v/>
      </c>
      <c r="T553" s="160" t="str">
        <f>IFERROR(INDEX(当年标准成本!$I:$I,MATCH(K553,当年标准成本!$C:$C,0),1),"")</f>
        <v/>
      </c>
      <c r="U553" s="126" t="str">
        <f t="shared" si="56"/>
        <v/>
      </c>
      <c r="V553" s="126" t="str">
        <f t="shared" si="57"/>
        <v/>
      </c>
      <c r="W553" s="124" t="str">
        <f t="shared" si="58"/>
        <v/>
      </c>
      <c r="X553" s="125" t="str">
        <f t="shared" si="53"/>
        <v/>
      </c>
    </row>
    <row r="554" spans="1:24" x14ac:dyDescent="0.3">
      <c r="A554" s="129"/>
      <c r="B554" s="129"/>
      <c r="C554" s="128"/>
      <c r="D554" s="128"/>
      <c r="E554" s="128"/>
      <c r="F554" s="166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6" t="str">
        <f t="shared" si="54"/>
        <v/>
      </c>
      <c r="S554" s="163" t="str">
        <f t="shared" si="55"/>
        <v/>
      </c>
      <c r="T554" s="160" t="str">
        <f>IFERROR(INDEX(当年标准成本!$I:$I,MATCH(K554,当年标准成本!$C:$C,0),1),"")</f>
        <v/>
      </c>
      <c r="U554" s="126" t="str">
        <f t="shared" si="56"/>
        <v/>
      </c>
      <c r="V554" s="126" t="str">
        <f t="shared" si="57"/>
        <v/>
      </c>
      <c r="W554" s="124" t="str">
        <f t="shared" si="58"/>
        <v/>
      </c>
      <c r="X554" s="125" t="str">
        <f t="shared" si="53"/>
        <v/>
      </c>
    </row>
    <row r="555" spans="1:24" x14ac:dyDescent="0.3">
      <c r="A555" s="129"/>
      <c r="B555" s="129"/>
      <c r="C555" s="128"/>
      <c r="D555" s="128"/>
      <c r="E555" s="128"/>
      <c r="F555" s="166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6" t="str">
        <f t="shared" si="54"/>
        <v/>
      </c>
      <c r="S555" s="163" t="str">
        <f t="shared" si="55"/>
        <v/>
      </c>
      <c r="T555" s="160" t="str">
        <f>IFERROR(INDEX(当年标准成本!$I:$I,MATCH(K555,当年标准成本!$C:$C,0),1),"")</f>
        <v/>
      </c>
      <c r="U555" s="126" t="str">
        <f t="shared" si="56"/>
        <v/>
      </c>
      <c r="V555" s="126" t="str">
        <f t="shared" si="57"/>
        <v/>
      </c>
      <c r="W555" s="124" t="str">
        <f t="shared" si="58"/>
        <v/>
      </c>
      <c r="X555" s="125" t="str">
        <f t="shared" si="53"/>
        <v/>
      </c>
    </row>
    <row r="556" spans="1:24" x14ac:dyDescent="0.3">
      <c r="A556" s="129"/>
      <c r="B556" s="129"/>
      <c r="C556" s="128"/>
      <c r="D556" s="128"/>
      <c r="E556" s="128"/>
      <c r="F556" s="166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6" t="str">
        <f t="shared" si="54"/>
        <v/>
      </c>
      <c r="S556" s="163" t="str">
        <f t="shared" si="55"/>
        <v/>
      </c>
      <c r="T556" s="160" t="str">
        <f>IFERROR(INDEX(当年标准成本!$I:$I,MATCH(K556,当年标准成本!$C:$C,0),1),"")</f>
        <v/>
      </c>
      <c r="U556" s="126" t="str">
        <f t="shared" si="56"/>
        <v/>
      </c>
      <c r="V556" s="126" t="str">
        <f t="shared" si="57"/>
        <v/>
      </c>
      <c r="W556" s="124" t="str">
        <f t="shared" si="58"/>
        <v/>
      </c>
      <c r="X556" s="125" t="str">
        <f t="shared" si="53"/>
        <v/>
      </c>
    </row>
    <row r="557" spans="1:24" x14ac:dyDescent="0.3">
      <c r="A557" s="129"/>
      <c r="B557" s="129"/>
      <c r="C557" s="128"/>
      <c r="D557" s="128"/>
      <c r="E557" s="128"/>
      <c r="F557" s="166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6" t="str">
        <f t="shared" si="54"/>
        <v/>
      </c>
      <c r="S557" s="163" t="str">
        <f t="shared" si="55"/>
        <v/>
      </c>
      <c r="T557" s="160" t="str">
        <f>IFERROR(INDEX(当年标准成本!$I:$I,MATCH(K557,当年标准成本!$C:$C,0),1),"")</f>
        <v/>
      </c>
      <c r="U557" s="126" t="str">
        <f t="shared" si="56"/>
        <v/>
      </c>
      <c r="V557" s="126" t="str">
        <f t="shared" si="57"/>
        <v/>
      </c>
      <c r="W557" s="124" t="str">
        <f t="shared" si="58"/>
        <v/>
      </c>
      <c r="X557" s="125" t="str">
        <f t="shared" si="53"/>
        <v/>
      </c>
    </row>
    <row r="558" spans="1:24" x14ac:dyDescent="0.3">
      <c r="A558" s="129"/>
      <c r="B558" s="129"/>
      <c r="C558" s="128"/>
      <c r="D558" s="128"/>
      <c r="E558" s="128"/>
      <c r="F558" s="166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6" t="str">
        <f t="shared" si="54"/>
        <v/>
      </c>
      <c r="S558" s="163" t="str">
        <f t="shared" si="55"/>
        <v/>
      </c>
      <c r="T558" s="160" t="str">
        <f>IFERROR(INDEX(当年标准成本!$I:$I,MATCH(K558,当年标准成本!$C:$C,0),1),"")</f>
        <v/>
      </c>
      <c r="U558" s="126" t="str">
        <f t="shared" si="56"/>
        <v/>
      </c>
      <c r="V558" s="126" t="str">
        <f t="shared" si="57"/>
        <v/>
      </c>
      <c r="W558" s="124" t="str">
        <f t="shared" si="58"/>
        <v/>
      </c>
      <c r="X558" s="125" t="str">
        <f t="shared" si="53"/>
        <v/>
      </c>
    </row>
    <row r="559" spans="1:24" x14ac:dyDescent="0.3">
      <c r="A559" s="129"/>
      <c r="B559" s="129"/>
      <c r="C559" s="128"/>
      <c r="D559" s="128"/>
      <c r="E559" s="128"/>
      <c r="F559" s="166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6" t="str">
        <f t="shared" si="54"/>
        <v/>
      </c>
      <c r="S559" s="163" t="str">
        <f t="shared" si="55"/>
        <v/>
      </c>
      <c r="T559" s="160" t="str">
        <f>IFERROR(INDEX(当年标准成本!$I:$I,MATCH(K559,当年标准成本!$C:$C,0),1),"")</f>
        <v/>
      </c>
      <c r="U559" s="126" t="str">
        <f t="shared" si="56"/>
        <v/>
      </c>
      <c r="V559" s="126" t="str">
        <f t="shared" si="57"/>
        <v/>
      </c>
      <c r="W559" s="124" t="str">
        <f t="shared" si="58"/>
        <v/>
      </c>
      <c r="X559" s="125" t="str">
        <f t="shared" si="53"/>
        <v/>
      </c>
    </row>
    <row r="560" spans="1:24" x14ac:dyDescent="0.3">
      <c r="A560" s="129"/>
      <c r="B560" s="129"/>
      <c r="C560" s="128"/>
      <c r="D560" s="128"/>
      <c r="E560" s="128"/>
      <c r="F560" s="166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6" t="str">
        <f t="shared" si="54"/>
        <v/>
      </c>
      <c r="S560" s="163" t="str">
        <f t="shared" si="55"/>
        <v/>
      </c>
      <c r="T560" s="160" t="str">
        <f>IFERROR(INDEX(当年标准成本!$I:$I,MATCH(K560,当年标准成本!$C:$C,0),1),"")</f>
        <v/>
      </c>
      <c r="U560" s="126" t="str">
        <f t="shared" si="56"/>
        <v/>
      </c>
      <c r="V560" s="126" t="str">
        <f t="shared" si="57"/>
        <v/>
      </c>
      <c r="W560" s="124" t="str">
        <f t="shared" si="58"/>
        <v/>
      </c>
      <c r="X560" s="125" t="str">
        <f t="shared" si="53"/>
        <v/>
      </c>
    </row>
    <row r="561" spans="1:24" x14ac:dyDescent="0.3">
      <c r="A561" s="129"/>
      <c r="B561" s="129"/>
      <c r="C561" s="128"/>
      <c r="D561" s="128"/>
      <c r="E561" s="128"/>
      <c r="F561" s="166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6" t="str">
        <f t="shared" si="54"/>
        <v/>
      </c>
      <c r="S561" s="163" t="str">
        <f t="shared" si="55"/>
        <v/>
      </c>
      <c r="T561" s="160" t="str">
        <f>IFERROR(INDEX(当年标准成本!$I:$I,MATCH(K561,当年标准成本!$C:$C,0),1),"")</f>
        <v/>
      </c>
      <c r="U561" s="126" t="str">
        <f t="shared" si="56"/>
        <v/>
      </c>
      <c r="V561" s="126" t="str">
        <f t="shared" si="57"/>
        <v/>
      </c>
      <c r="W561" s="124" t="str">
        <f t="shared" si="58"/>
        <v/>
      </c>
      <c r="X561" s="125" t="str">
        <f t="shared" si="53"/>
        <v/>
      </c>
    </row>
    <row r="562" spans="1:24" x14ac:dyDescent="0.3">
      <c r="A562" s="129"/>
      <c r="B562" s="129"/>
      <c r="C562" s="128"/>
      <c r="D562" s="128"/>
      <c r="E562" s="128"/>
      <c r="F562" s="166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6" t="str">
        <f t="shared" si="54"/>
        <v/>
      </c>
      <c r="S562" s="163" t="str">
        <f t="shared" si="55"/>
        <v/>
      </c>
      <c r="T562" s="160" t="str">
        <f>IFERROR(INDEX(当年标准成本!$I:$I,MATCH(K562,当年标准成本!$C:$C,0),1),"")</f>
        <v/>
      </c>
      <c r="U562" s="126" t="str">
        <f t="shared" si="56"/>
        <v/>
      </c>
      <c r="V562" s="126" t="str">
        <f t="shared" si="57"/>
        <v/>
      </c>
      <c r="W562" s="124" t="str">
        <f t="shared" si="58"/>
        <v/>
      </c>
      <c r="X562" s="125" t="str">
        <f t="shared" si="53"/>
        <v/>
      </c>
    </row>
    <row r="563" spans="1:24" x14ac:dyDescent="0.3">
      <c r="A563" s="129"/>
      <c r="B563" s="129"/>
      <c r="C563" s="128"/>
      <c r="D563" s="128"/>
      <c r="E563" s="128"/>
      <c r="F563" s="166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6" t="str">
        <f t="shared" si="54"/>
        <v/>
      </c>
      <c r="S563" s="163" t="str">
        <f t="shared" si="55"/>
        <v/>
      </c>
      <c r="T563" s="160" t="str">
        <f>IFERROR(INDEX(当年标准成本!$I:$I,MATCH(K563,当年标准成本!$C:$C,0),1),"")</f>
        <v/>
      </c>
      <c r="U563" s="126" t="str">
        <f t="shared" si="56"/>
        <v/>
      </c>
      <c r="V563" s="126" t="str">
        <f t="shared" si="57"/>
        <v/>
      </c>
      <c r="W563" s="124" t="str">
        <f t="shared" si="58"/>
        <v/>
      </c>
      <c r="X563" s="125" t="str">
        <f t="shared" si="53"/>
        <v/>
      </c>
    </row>
    <row r="564" spans="1:24" x14ac:dyDescent="0.3">
      <c r="A564" s="129"/>
      <c r="B564" s="129"/>
      <c r="C564" s="128"/>
      <c r="D564" s="128"/>
      <c r="E564" s="128"/>
      <c r="F564" s="166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6" t="str">
        <f t="shared" si="54"/>
        <v/>
      </c>
      <c r="S564" s="163" t="str">
        <f t="shared" si="55"/>
        <v/>
      </c>
      <c r="T564" s="160" t="str">
        <f>IFERROR(INDEX(当年标准成本!$I:$I,MATCH(K564,当年标准成本!$C:$C,0),1),"")</f>
        <v/>
      </c>
      <c r="U564" s="126" t="str">
        <f t="shared" si="56"/>
        <v/>
      </c>
      <c r="V564" s="126" t="str">
        <f t="shared" si="57"/>
        <v/>
      </c>
      <c r="W564" s="124" t="str">
        <f t="shared" si="58"/>
        <v/>
      </c>
      <c r="X564" s="125" t="str">
        <f t="shared" si="53"/>
        <v/>
      </c>
    </row>
    <row r="565" spans="1:24" x14ac:dyDescent="0.3">
      <c r="A565" s="129"/>
      <c r="B565" s="129"/>
      <c r="C565" s="128"/>
      <c r="D565" s="128"/>
      <c r="E565" s="128"/>
      <c r="F565" s="166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6" t="str">
        <f t="shared" si="54"/>
        <v/>
      </c>
      <c r="S565" s="163" t="str">
        <f t="shared" si="55"/>
        <v/>
      </c>
      <c r="T565" s="160" t="str">
        <f>IFERROR(INDEX(当年标准成本!$I:$I,MATCH(K565,当年标准成本!$C:$C,0),1),"")</f>
        <v/>
      </c>
      <c r="U565" s="126" t="str">
        <f t="shared" si="56"/>
        <v/>
      </c>
      <c r="V565" s="126" t="str">
        <f t="shared" si="57"/>
        <v/>
      </c>
      <c r="W565" s="124" t="str">
        <f t="shared" si="58"/>
        <v/>
      </c>
      <c r="X565" s="125" t="str">
        <f t="shared" si="53"/>
        <v/>
      </c>
    </row>
    <row r="566" spans="1:24" x14ac:dyDescent="0.3">
      <c r="A566" s="129"/>
      <c r="B566" s="129"/>
      <c r="C566" s="128"/>
      <c r="D566" s="128"/>
      <c r="E566" s="128"/>
      <c r="F566" s="166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6" t="str">
        <f t="shared" si="54"/>
        <v/>
      </c>
      <c r="S566" s="163" t="str">
        <f t="shared" si="55"/>
        <v/>
      </c>
      <c r="T566" s="160" t="str">
        <f>IFERROR(INDEX(当年标准成本!$I:$I,MATCH(K566,当年标准成本!$C:$C,0),1),"")</f>
        <v/>
      </c>
      <c r="U566" s="126" t="str">
        <f t="shared" si="56"/>
        <v/>
      </c>
      <c r="V566" s="126" t="str">
        <f t="shared" si="57"/>
        <v/>
      </c>
      <c r="W566" s="124" t="str">
        <f t="shared" si="58"/>
        <v/>
      </c>
      <c r="X566" s="125" t="str">
        <f t="shared" si="53"/>
        <v/>
      </c>
    </row>
    <row r="567" spans="1:24" x14ac:dyDescent="0.3">
      <c r="A567" s="129"/>
      <c r="B567" s="129"/>
      <c r="C567" s="128"/>
      <c r="D567" s="128"/>
      <c r="E567" s="128"/>
      <c r="F567" s="166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6" t="str">
        <f t="shared" si="54"/>
        <v/>
      </c>
      <c r="S567" s="163" t="str">
        <f t="shared" si="55"/>
        <v/>
      </c>
      <c r="T567" s="160" t="str">
        <f>IFERROR(INDEX(当年标准成本!$I:$I,MATCH(K567,当年标准成本!$C:$C,0),1),"")</f>
        <v/>
      </c>
      <c r="U567" s="126" t="str">
        <f t="shared" si="56"/>
        <v/>
      </c>
      <c r="V567" s="126" t="str">
        <f t="shared" si="57"/>
        <v/>
      </c>
      <c r="W567" s="124" t="str">
        <f t="shared" si="58"/>
        <v/>
      </c>
      <c r="X567" s="125" t="str">
        <f t="shared" si="53"/>
        <v/>
      </c>
    </row>
    <row r="568" spans="1:24" x14ac:dyDescent="0.3">
      <c r="A568" s="129"/>
      <c r="B568" s="129"/>
      <c r="C568" s="128"/>
      <c r="D568" s="128"/>
      <c r="E568" s="128"/>
      <c r="F568" s="166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6" t="str">
        <f t="shared" si="54"/>
        <v/>
      </c>
      <c r="S568" s="163" t="str">
        <f t="shared" si="55"/>
        <v/>
      </c>
      <c r="T568" s="160" t="str">
        <f>IFERROR(INDEX(当年标准成本!$I:$I,MATCH(K568,当年标准成本!$C:$C,0),1),"")</f>
        <v/>
      </c>
      <c r="U568" s="126" t="str">
        <f t="shared" si="56"/>
        <v/>
      </c>
      <c r="V568" s="126" t="str">
        <f t="shared" si="57"/>
        <v/>
      </c>
      <c r="W568" s="124" t="str">
        <f t="shared" si="58"/>
        <v/>
      </c>
      <c r="X568" s="125" t="str">
        <f t="shared" si="53"/>
        <v/>
      </c>
    </row>
    <row r="569" spans="1:24" x14ac:dyDescent="0.3">
      <c r="A569" s="129"/>
      <c r="B569" s="129"/>
      <c r="C569" s="128"/>
      <c r="D569" s="128"/>
      <c r="E569" s="128"/>
      <c r="F569" s="166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6" t="str">
        <f t="shared" si="54"/>
        <v/>
      </c>
      <c r="S569" s="163" t="str">
        <f t="shared" si="55"/>
        <v/>
      </c>
      <c r="T569" s="160" t="str">
        <f>IFERROR(INDEX(当年标准成本!$I:$I,MATCH(K569,当年标准成本!$C:$C,0),1),"")</f>
        <v/>
      </c>
      <c r="U569" s="126" t="str">
        <f t="shared" si="56"/>
        <v/>
      </c>
      <c r="V569" s="126" t="str">
        <f t="shared" si="57"/>
        <v/>
      </c>
      <c r="W569" s="124" t="str">
        <f t="shared" si="58"/>
        <v/>
      </c>
      <c r="X569" s="125" t="str">
        <f t="shared" si="53"/>
        <v/>
      </c>
    </row>
    <row r="570" spans="1:24" x14ac:dyDescent="0.3">
      <c r="A570" s="129"/>
      <c r="B570" s="129"/>
      <c r="C570" s="128"/>
      <c r="D570" s="128"/>
      <c r="E570" s="128"/>
      <c r="F570" s="166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6" t="str">
        <f t="shared" si="54"/>
        <v/>
      </c>
      <c r="S570" s="163" t="str">
        <f t="shared" si="55"/>
        <v/>
      </c>
      <c r="T570" s="160" t="str">
        <f>IFERROR(INDEX(当年标准成本!$I:$I,MATCH(K570,当年标准成本!$C:$C,0),1),"")</f>
        <v/>
      </c>
      <c r="U570" s="126" t="str">
        <f t="shared" si="56"/>
        <v/>
      </c>
      <c r="V570" s="126" t="str">
        <f t="shared" si="57"/>
        <v/>
      </c>
      <c r="W570" s="124" t="str">
        <f t="shared" si="58"/>
        <v/>
      </c>
      <c r="X570" s="125" t="str">
        <f t="shared" si="53"/>
        <v/>
      </c>
    </row>
    <row r="571" spans="1:24" x14ac:dyDescent="0.3">
      <c r="A571" s="129"/>
      <c r="B571" s="129"/>
      <c r="C571" s="128"/>
      <c r="D571" s="128"/>
      <c r="E571" s="128"/>
      <c r="F571" s="166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6" t="str">
        <f t="shared" si="54"/>
        <v/>
      </c>
      <c r="S571" s="163" t="str">
        <f t="shared" si="55"/>
        <v/>
      </c>
      <c r="T571" s="160" t="str">
        <f>IFERROR(INDEX(当年标准成本!$I:$I,MATCH(K571,当年标准成本!$C:$C,0),1),"")</f>
        <v/>
      </c>
      <c r="U571" s="126" t="str">
        <f t="shared" si="56"/>
        <v/>
      </c>
      <c r="V571" s="126" t="str">
        <f t="shared" si="57"/>
        <v/>
      </c>
      <c r="W571" s="124" t="str">
        <f t="shared" si="58"/>
        <v/>
      </c>
      <c r="X571" s="125" t="str">
        <f t="shared" si="53"/>
        <v/>
      </c>
    </row>
    <row r="572" spans="1:24" x14ac:dyDescent="0.3">
      <c r="A572" s="129"/>
      <c r="B572" s="129"/>
      <c r="C572" s="128"/>
      <c r="D572" s="128"/>
      <c r="E572" s="128"/>
      <c r="F572" s="166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6" t="str">
        <f t="shared" si="54"/>
        <v/>
      </c>
      <c r="S572" s="163" t="str">
        <f t="shared" si="55"/>
        <v/>
      </c>
      <c r="T572" s="160" t="str">
        <f>IFERROR(INDEX(当年标准成本!$I:$I,MATCH(K572,当年标准成本!$C:$C,0),1),"")</f>
        <v/>
      </c>
      <c r="U572" s="126" t="str">
        <f t="shared" si="56"/>
        <v/>
      </c>
      <c r="V572" s="126" t="str">
        <f t="shared" si="57"/>
        <v/>
      </c>
      <c r="W572" s="124" t="str">
        <f t="shared" si="58"/>
        <v/>
      </c>
      <c r="X572" s="125" t="str">
        <f t="shared" si="53"/>
        <v/>
      </c>
    </row>
    <row r="573" spans="1:24" x14ac:dyDescent="0.3">
      <c r="A573" s="129"/>
      <c r="B573" s="129"/>
      <c r="C573" s="128"/>
      <c r="D573" s="128"/>
      <c r="E573" s="128"/>
      <c r="F573" s="166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6" t="str">
        <f t="shared" si="54"/>
        <v/>
      </c>
      <c r="S573" s="163" t="str">
        <f t="shared" si="55"/>
        <v/>
      </c>
      <c r="T573" s="160" t="str">
        <f>IFERROR(INDEX(当年标准成本!$I:$I,MATCH(K573,当年标准成本!$C:$C,0),1),"")</f>
        <v/>
      </c>
      <c r="U573" s="126" t="str">
        <f t="shared" si="56"/>
        <v/>
      </c>
      <c r="V573" s="126" t="str">
        <f t="shared" si="57"/>
        <v/>
      </c>
      <c r="W573" s="124" t="str">
        <f t="shared" si="58"/>
        <v/>
      </c>
      <c r="X573" s="125" t="str">
        <f t="shared" si="53"/>
        <v/>
      </c>
    </row>
    <row r="574" spans="1:24" x14ac:dyDescent="0.3">
      <c r="A574" s="129"/>
      <c r="B574" s="129"/>
      <c r="C574" s="128"/>
      <c r="D574" s="128"/>
      <c r="E574" s="128"/>
      <c r="F574" s="166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6" t="str">
        <f t="shared" si="54"/>
        <v/>
      </c>
      <c r="S574" s="163" t="str">
        <f t="shared" si="55"/>
        <v/>
      </c>
      <c r="T574" s="160" t="str">
        <f>IFERROR(INDEX(当年标准成本!$I:$I,MATCH(K574,当年标准成本!$C:$C,0),1),"")</f>
        <v/>
      </c>
      <c r="U574" s="126" t="str">
        <f t="shared" si="56"/>
        <v/>
      </c>
      <c r="V574" s="126" t="str">
        <f t="shared" si="57"/>
        <v/>
      </c>
      <c r="W574" s="124" t="str">
        <f t="shared" si="58"/>
        <v/>
      </c>
      <c r="X574" s="125" t="str">
        <f t="shared" si="53"/>
        <v/>
      </c>
    </row>
    <row r="575" spans="1:24" x14ac:dyDescent="0.3">
      <c r="A575" s="129"/>
      <c r="B575" s="129"/>
      <c r="C575" s="128"/>
      <c r="D575" s="128"/>
      <c r="E575" s="128"/>
      <c r="F575" s="166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6" t="str">
        <f t="shared" si="54"/>
        <v/>
      </c>
      <c r="S575" s="163" t="str">
        <f t="shared" si="55"/>
        <v/>
      </c>
      <c r="T575" s="160" t="str">
        <f>IFERROR(INDEX(当年标准成本!$I:$I,MATCH(K575,当年标准成本!$C:$C,0),1),"")</f>
        <v/>
      </c>
      <c r="U575" s="126" t="str">
        <f t="shared" si="56"/>
        <v/>
      </c>
      <c r="V575" s="126" t="str">
        <f t="shared" si="57"/>
        <v/>
      </c>
      <c r="W575" s="124" t="str">
        <f t="shared" si="58"/>
        <v/>
      </c>
      <c r="X575" s="125" t="str">
        <f t="shared" si="53"/>
        <v/>
      </c>
    </row>
    <row r="576" spans="1:24" x14ac:dyDescent="0.3">
      <c r="A576" s="129"/>
      <c r="B576" s="129"/>
      <c r="C576" s="128"/>
      <c r="D576" s="128"/>
      <c r="E576" s="128"/>
      <c r="F576" s="166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6" t="str">
        <f t="shared" si="54"/>
        <v/>
      </c>
      <c r="S576" s="163" t="str">
        <f t="shared" si="55"/>
        <v/>
      </c>
      <c r="T576" s="160" t="str">
        <f>IFERROR(INDEX(当年标准成本!$I:$I,MATCH(K576,当年标准成本!$C:$C,0),1),"")</f>
        <v/>
      </c>
      <c r="U576" s="126" t="str">
        <f t="shared" si="56"/>
        <v/>
      </c>
      <c r="V576" s="126" t="str">
        <f t="shared" si="57"/>
        <v/>
      </c>
      <c r="W576" s="124" t="str">
        <f t="shared" si="58"/>
        <v/>
      </c>
      <c r="X576" s="125" t="str">
        <f t="shared" si="53"/>
        <v/>
      </c>
    </row>
    <row r="577" spans="1:24" x14ac:dyDescent="0.3">
      <c r="A577" s="129"/>
      <c r="B577" s="129"/>
      <c r="C577" s="128"/>
      <c r="D577" s="128"/>
      <c r="E577" s="128"/>
      <c r="F577" s="166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6" t="str">
        <f t="shared" si="54"/>
        <v/>
      </c>
      <c r="S577" s="163" t="str">
        <f t="shared" si="55"/>
        <v/>
      </c>
      <c r="T577" s="160" t="str">
        <f>IFERROR(INDEX(当年标准成本!$I:$I,MATCH(K577,当年标准成本!$C:$C,0),1),"")</f>
        <v/>
      </c>
      <c r="U577" s="126" t="str">
        <f t="shared" si="56"/>
        <v/>
      </c>
      <c r="V577" s="126" t="str">
        <f t="shared" si="57"/>
        <v/>
      </c>
      <c r="W577" s="124" t="str">
        <f t="shared" si="58"/>
        <v/>
      </c>
      <c r="X577" s="125" t="str">
        <f t="shared" si="53"/>
        <v/>
      </c>
    </row>
    <row r="578" spans="1:24" x14ac:dyDescent="0.3">
      <c r="A578" s="129"/>
      <c r="B578" s="129"/>
      <c r="C578" s="128"/>
      <c r="D578" s="128"/>
      <c r="E578" s="128"/>
      <c r="F578" s="166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6" t="str">
        <f t="shared" si="54"/>
        <v/>
      </c>
      <c r="S578" s="163" t="str">
        <f t="shared" si="55"/>
        <v/>
      </c>
      <c r="T578" s="160" t="str">
        <f>IFERROR(INDEX(当年标准成本!$I:$I,MATCH(K578,当年标准成本!$C:$C,0),1),"")</f>
        <v/>
      </c>
      <c r="U578" s="126" t="str">
        <f t="shared" si="56"/>
        <v/>
      </c>
      <c r="V578" s="126" t="str">
        <f t="shared" si="57"/>
        <v/>
      </c>
      <c r="W578" s="124" t="str">
        <f t="shared" si="58"/>
        <v/>
      </c>
      <c r="X578" s="125" t="str">
        <f t="shared" ref="X578:X641" si="59">IFERROR(IF(W578/SUM(W:W)=0,"",W578/SUM(W:W)),"")</f>
        <v/>
      </c>
    </row>
    <row r="579" spans="1:24" x14ac:dyDescent="0.3">
      <c r="A579" s="129"/>
      <c r="B579" s="129"/>
      <c r="C579" s="128"/>
      <c r="D579" s="128"/>
      <c r="E579" s="128"/>
      <c r="F579" s="166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6" t="str">
        <f t="shared" si="54"/>
        <v/>
      </c>
      <c r="S579" s="163" t="str">
        <f t="shared" si="55"/>
        <v/>
      </c>
      <c r="T579" s="160" t="str">
        <f>IFERROR(INDEX(当年标准成本!$I:$I,MATCH(K579,当年标准成本!$C:$C,0),1),"")</f>
        <v/>
      </c>
      <c r="U579" s="126" t="str">
        <f t="shared" si="56"/>
        <v/>
      </c>
      <c r="V579" s="126" t="str">
        <f t="shared" si="57"/>
        <v/>
      </c>
      <c r="W579" s="124" t="str">
        <f t="shared" si="58"/>
        <v/>
      </c>
      <c r="X579" s="125" t="str">
        <f t="shared" si="59"/>
        <v/>
      </c>
    </row>
    <row r="580" spans="1:24" x14ac:dyDescent="0.3">
      <c r="A580" s="129"/>
      <c r="B580" s="129"/>
      <c r="C580" s="128"/>
      <c r="D580" s="128"/>
      <c r="E580" s="128"/>
      <c r="F580" s="166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6" t="str">
        <f t="shared" si="54"/>
        <v/>
      </c>
      <c r="S580" s="163" t="str">
        <f t="shared" si="55"/>
        <v/>
      </c>
      <c r="T580" s="160" t="str">
        <f>IFERROR(INDEX(当年标准成本!$I:$I,MATCH(K580,当年标准成本!$C:$C,0),1),"")</f>
        <v/>
      </c>
      <c r="U580" s="126" t="str">
        <f t="shared" si="56"/>
        <v/>
      </c>
      <c r="V580" s="126" t="str">
        <f t="shared" si="57"/>
        <v/>
      </c>
      <c r="W580" s="124" t="str">
        <f t="shared" si="58"/>
        <v/>
      </c>
      <c r="X580" s="125" t="str">
        <f t="shared" si="59"/>
        <v/>
      </c>
    </row>
    <row r="581" spans="1:24" x14ac:dyDescent="0.3">
      <c r="A581" s="129"/>
      <c r="B581" s="129"/>
      <c r="C581" s="128"/>
      <c r="D581" s="128"/>
      <c r="E581" s="128"/>
      <c r="F581" s="166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6" t="str">
        <f t="shared" si="54"/>
        <v/>
      </c>
      <c r="S581" s="163" t="str">
        <f t="shared" si="55"/>
        <v/>
      </c>
      <c r="T581" s="160" t="str">
        <f>IFERROR(INDEX(当年标准成本!$I:$I,MATCH(K581,当年标准成本!$C:$C,0),1),"")</f>
        <v/>
      </c>
      <c r="U581" s="126" t="str">
        <f t="shared" si="56"/>
        <v/>
      </c>
      <c r="V581" s="126" t="str">
        <f t="shared" si="57"/>
        <v/>
      </c>
      <c r="W581" s="124" t="str">
        <f t="shared" si="58"/>
        <v/>
      </c>
      <c r="X581" s="125" t="str">
        <f t="shared" si="59"/>
        <v/>
      </c>
    </row>
    <row r="582" spans="1:24" x14ac:dyDescent="0.3">
      <c r="A582" s="129"/>
      <c r="B582" s="129"/>
      <c r="C582" s="128"/>
      <c r="D582" s="128"/>
      <c r="E582" s="128"/>
      <c r="F582" s="166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6" t="str">
        <f t="shared" si="54"/>
        <v/>
      </c>
      <c r="S582" s="163" t="str">
        <f t="shared" si="55"/>
        <v/>
      </c>
      <c r="T582" s="160" t="str">
        <f>IFERROR(INDEX(当年标准成本!$I:$I,MATCH(K582,当年标准成本!$C:$C,0),1),"")</f>
        <v/>
      </c>
      <c r="U582" s="126" t="str">
        <f t="shared" si="56"/>
        <v/>
      </c>
      <c r="V582" s="126" t="str">
        <f t="shared" si="57"/>
        <v/>
      </c>
      <c r="W582" s="124" t="str">
        <f t="shared" si="58"/>
        <v/>
      </c>
      <c r="X582" s="125" t="str">
        <f t="shared" si="59"/>
        <v/>
      </c>
    </row>
    <row r="583" spans="1:24" x14ac:dyDescent="0.3">
      <c r="A583" s="129"/>
      <c r="B583" s="129"/>
      <c r="C583" s="128"/>
      <c r="D583" s="128"/>
      <c r="E583" s="128"/>
      <c r="F583" s="166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6" t="str">
        <f t="shared" si="54"/>
        <v/>
      </c>
      <c r="S583" s="163" t="str">
        <f t="shared" si="55"/>
        <v/>
      </c>
      <c r="T583" s="160" t="str">
        <f>IFERROR(INDEX(当年标准成本!$I:$I,MATCH(K583,当年标准成本!$C:$C,0),1),"")</f>
        <v/>
      </c>
      <c r="U583" s="126" t="str">
        <f t="shared" si="56"/>
        <v/>
      </c>
      <c r="V583" s="126" t="str">
        <f t="shared" si="57"/>
        <v/>
      </c>
      <c r="W583" s="124" t="str">
        <f t="shared" si="58"/>
        <v/>
      </c>
      <c r="X583" s="125" t="str">
        <f t="shared" si="59"/>
        <v/>
      </c>
    </row>
    <row r="584" spans="1:24" x14ac:dyDescent="0.3">
      <c r="A584" s="129"/>
      <c r="B584" s="129"/>
      <c r="C584" s="128"/>
      <c r="D584" s="128"/>
      <c r="E584" s="128"/>
      <c r="F584" s="166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6" t="str">
        <f t="shared" si="54"/>
        <v/>
      </c>
      <c r="S584" s="163" t="str">
        <f t="shared" si="55"/>
        <v/>
      </c>
      <c r="T584" s="160" t="str">
        <f>IFERROR(INDEX(当年标准成本!$I:$I,MATCH(K584,当年标准成本!$C:$C,0),1),"")</f>
        <v/>
      </c>
      <c r="U584" s="126" t="str">
        <f t="shared" si="56"/>
        <v/>
      </c>
      <c r="V584" s="126" t="str">
        <f t="shared" si="57"/>
        <v/>
      </c>
      <c r="W584" s="124" t="str">
        <f t="shared" si="58"/>
        <v/>
      </c>
      <c r="X584" s="125" t="str">
        <f t="shared" si="59"/>
        <v/>
      </c>
    </row>
    <row r="585" spans="1:24" x14ac:dyDescent="0.3">
      <c r="A585" s="129"/>
      <c r="B585" s="129"/>
      <c r="C585" s="128"/>
      <c r="D585" s="128"/>
      <c r="E585" s="128"/>
      <c r="F585" s="166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6" t="str">
        <f t="shared" si="54"/>
        <v/>
      </c>
      <c r="S585" s="163" t="str">
        <f t="shared" si="55"/>
        <v/>
      </c>
      <c r="T585" s="160" t="str">
        <f>IFERROR(INDEX(当年标准成本!$I:$I,MATCH(K585,当年标准成本!$C:$C,0),1),"")</f>
        <v/>
      </c>
      <c r="U585" s="126" t="str">
        <f t="shared" si="56"/>
        <v/>
      </c>
      <c r="V585" s="126" t="str">
        <f t="shared" si="57"/>
        <v/>
      </c>
      <c r="W585" s="124" t="str">
        <f t="shared" si="58"/>
        <v/>
      </c>
      <c r="X585" s="125" t="str">
        <f t="shared" si="59"/>
        <v/>
      </c>
    </row>
    <row r="586" spans="1:24" x14ac:dyDescent="0.3">
      <c r="A586" s="129"/>
      <c r="B586" s="129"/>
      <c r="C586" s="128"/>
      <c r="D586" s="128"/>
      <c r="E586" s="128"/>
      <c r="F586" s="166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6" t="str">
        <f t="shared" ref="R586:R649" si="60">IFERROR(P586/O586,"")</f>
        <v/>
      </c>
      <c r="S586" s="163" t="str">
        <f t="shared" ref="S586:S649" si="61">IFERROR(R586*(1+Q586),"")</f>
        <v/>
      </c>
      <c r="T586" s="160" t="str">
        <f>IFERROR(INDEX(当年标准成本!$I:$I,MATCH(K586,当年标准成本!$C:$C,0),1),"")</f>
        <v/>
      </c>
      <c r="U586" s="126" t="str">
        <f t="shared" ref="U586:U649" si="62">IFERROR(O586*T586,"")</f>
        <v/>
      </c>
      <c r="V586" s="126" t="str">
        <f t="shared" ref="V586:V649" si="63">IFERROR(P586-U586,"")</f>
        <v/>
      </c>
      <c r="W586" s="124" t="str">
        <f t="shared" ref="W586:W649" si="64">IFERROR(V586/P586,"")</f>
        <v/>
      </c>
      <c r="X586" s="125" t="str">
        <f t="shared" si="59"/>
        <v/>
      </c>
    </row>
    <row r="587" spans="1:24" x14ac:dyDescent="0.3">
      <c r="A587" s="129"/>
      <c r="B587" s="129"/>
      <c r="C587" s="128"/>
      <c r="D587" s="128"/>
      <c r="E587" s="128"/>
      <c r="F587" s="166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6" t="str">
        <f t="shared" si="60"/>
        <v/>
      </c>
      <c r="S587" s="163" t="str">
        <f t="shared" si="61"/>
        <v/>
      </c>
      <c r="T587" s="160" t="str">
        <f>IFERROR(INDEX(当年标准成本!$I:$I,MATCH(K587,当年标准成本!$C:$C,0),1),"")</f>
        <v/>
      </c>
      <c r="U587" s="126" t="str">
        <f t="shared" si="62"/>
        <v/>
      </c>
      <c r="V587" s="126" t="str">
        <f t="shared" si="63"/>
        <v/>
      </c>
      <c r="W587" s="124" t="str">
        <f t="shared" si="64"/>
        <v/>
      </c>
      <c r="X587" s="125" t="str">
        <f t="shared" si="59"/>
        <v/>
      </c>
    </row>
    <row r="588" spans="1:24" x14ac:dyDescent="0.3">
      <c r="A588" s="129"/>
      <c r="B588" s="129"/>
      <c r="C588" s="128"/>
      <c r="D588" s="128"/>
      <c r="E588" s="128"/>
      <c r="F588" s="166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6" t="str">
        <f t="shared" si="60"/>
        <v/>
      </c>
      <c r="S588" s="163" t="str">
        <f t="shared" si="61"/>
        <v/>
      </c>
      <c r="T588" s="160" t="str">
        <f>IFERROR(INDEX(当年标准成本!$I:$I,MATCH(K588,当年标准成本!$C:$C,0),1),"")</f>
        <v/>
      </c>
      <c r="U588" s="126" t="str">
        <f t="shared" si="62"/>
        <v/>
      </c>
      <c r="V588" s="126" t="str">
        <f t="shared" si="63"/>
        <v/>
      </c>
      <c r="W588" s="124" t="str">
        <f t="shared" si="64"/>
        <v/>
      </c>
      <c r="X588" s="125" t="str">
        <f t="shared" si="59"/>
        <v/>
      </c>
    </row>
    <row r="589" spans="1:24" x14ac:dyDescent="0.3">
      <c r="A589" s="129"/>
      <c r="B589" s="129"/>
      <c r="C589" s="128"/>
      <c r="D589" s="128"/>
      <c r="E589" s="128"/>
      <c r="F589" s="166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6" t="str">
        <f t="shared" si="60"/>
        <v/>
      </c>
      <c r="S589" s="163" t="str">
        <f t="shared" si="61"/>
        <v/>
      </c>
      <c r="T589" s="160" t="str">
        <f>IFERROR(INDEX(当年标准成本!$I:$I,MATCH(K589,当年标准成本!$C:$C,0),1),"")</f>
        <v/>
      </c>
      <c r="U589" s="126" t="str">
        <f t="shared" si="62"/>
        <v/>
      </c>
      <c r="V589" s="126" t="str">
        <f t="shared" si="63"/>
        <v/>
      </c>
      <c r="W589" s="124" t="str">
        <f t="shared" si="64"/>
        <v/>
      </c>
      <c r="X589" s="125" t="str">
        <f t="shared" si="59"/>
        <v/>
      </c>
    </row>
    <row r="590" spans="1:24" x14ac:dyDescent="0.3">
      <c r="A590" s="129"/>
      <c r="B590" s="129"/>
      <c r="C590" s="128"/>
      <c r="D590" s="128"/>
      <c r="E590" s="128"/>
      <c r="F590" s="166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6" t="str">
        <f t="shared" si="60"/>
        <v/>
      </c>
      <c r="S590" s="163" t="str">
        <f t="shared" si="61"/>
        <v/>
      </c>
      <c r="T590" s="160" t="str">
        <f>IFERROR(INDEX(当年标准成本!$I:$I,MATCH(K590,当年标准成本!$C:$C,0),1),"")</f>
        <v/>
      </c>
      <c r="U590" s="126" t="str">
        <f t="shared" si="62"/>
        <v/>
      </c>
      <c r="V590" s="126" t="str">
        <f t="shared" si="63"/>
        <v/>
      </c>
      <c r="W590" s="124" t="str">
        <f t="shared" si="64"/>
        <v/>
      </c>
      <c r="X590" s="125" t="str">
        <f t="shared" si="59"/>
        <v/>
      </c>
    </row>
    <row r="591" spans="1:24" x14ac:dyDescent="0.3">
      <c r="A591" s="129"/>
      <c r="B591" s="129"/>
      <c r="C591" s="128"/>
      <c r="D591" s="128"/>
      <c r="E591" s="128"/>
      <c r="F591" s="166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6" t="str">
        <f t="shared" si="60"/>
        <v/>
      </c>
      <c r="S591" s="163" t="str">
        <f t="shared" si="61"/>
        <v/>
      </c>
      <c r="T591" s="160" t="str">
        <f>IFERROR(INDEX(当年标准成本!$I:$I,MATCH(K591,当年标准成本!$C:$C,0),1),"")</f>
        <v/>
      </c>
      <c r="U591" s="126" t="str">
        <f t="shared" si="62"/>
        <v/>
      </c>
      <c r="V591" s="126" t="str">
        <f t="shared" si="63"/>
        <v/>
      </c>
      <c r="W591" s="124" t="str">
        <f t="shared" si="64"/>
        <v/>
      </c>
      <c r="X591" s="125" t="str">
        <f t="shared" si="59"/>
        <v/>
      </c>
    </row>
    <row r="592" spans="1:24" x14ac:dyDescent="0.3">
      <c r="A592" s="129"/>
      <c r="B592" s="129"/>
      <c r="C592" s="128"/>
      <c r="D592" s="128"/>
      <c r="E592" s="128"/>
      <c r="F592" s="166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6" t="str">
        <f t="shared" si="60"/>
        <v/>
      </c>
      <c r="S592" s="163" t="str">
        <f t="shared" si="61"/>
        <v/>
      </c>
      <c r="T592" s="160" t="str">
        <f>IFERROR(INDEX(当年标准成本!$I:$I,MATCH(K592,当年标准成本!$C:$C,0),1),"")</f>
        <v/>
      </c>
      <c r="U592" s="126" t="str">
        <f t="shared" si="62"/>
        <v/>
      </c>
      <c r="V592" s="126" t="str">
        <f t="shared" si="63"/>
        <v/>
      </c>
      <c r="W592" s="124" t="str">
        <f t="shared" si="64"/>
        <v/>
      </c>
      <c r="X592" s="125" t="str">
        <f t="shared" si="59"/>
        <v/>
      </c>
    </row>
    <row r="593" spans="1:24" x14ac:dyDescent="0.3">
      <c r="A593" s="129"/>
      <c r="B593" s="129"/>
      <c r="C593" s="128"/>
      <c r="D593" s="128"/>
      <c r="E593" s="128"/>
      <c r="F593" s="166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6" t="str">
        <f t="shared" si="60"/>
        <v/>
      </c>
      <c r="S593" s="163" t="str">
        <f t="shared" si="61"/>
        <v/>
      </c>
      <c r="T593" s="160" t="str">
        <f>IFERROR(INDEX(当年标准成本!$I:$I,MATCH(K593,当年标准成本!$C:$C,0),1),"")</f>
        <v/>
      </c>
      <c r="U593" s="126" t="str">
        <f t="shared" si="62"/>
        <v/>
      </c>
      <c r="V593" s="126" t="str">
        <f t="shared" si="63"/>
        <v/>
      </c>
      <c r="W593" s="124" t="str">
        <f t="shared" si="64"/>
        <v/>
      </c>
      <c r="X593" s="125" t="str">
        <f t="shared" si="59"/>
        <v/>
      </c>
    </row>
    <row r="594" spans="1:24" x14ac:dyDescent="0.3">
      <c r="A594" s="129"/>
      <c r="B594" s="129"/>
      <c r="C594" s="128"/>
      <c r="D594" s="128"/>
      <c r="E594" s="128"/>
      <c r="F594" s="166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6" t="str">
        <f t="shared" si="60"/>
        <v/>
      </c>
      <c r="S594" s="163" t="str">
        <f t="shared" si="61"/>
        <v/>
      </c>
      <c r="T594" s="160" t="str">
        <f>IFERROR(INDEX(当年标准成本!$I:$I,MATCH(K594,当年标准成本!$C:$C,0),1),"")</f>
        <v/>
      </c>
      <c r="U594" s="126" t="str">
        <f t="shared" si="62"/>
        <v/>
      </c>
      <c r="V594" s="126" t="str">
        <f t="shared" si="63"/>
        <v/>
      </c>
      <c r="W594" s="124" t="str">
        <f t="shared" si="64"/>
        <v/>
      </c>
      <c r="X594" s="125" t="str">
        <f t="shared" si="59"/>
        <v/>
      </c>
    </row>
    <row r="595" spans="1:24" x14ac:dyDescent="0.3">
      <c r="A595" s="129"/>
      <c r="B595" s="129"/>
      <c r="C595" s="128"/>
      <c r="D595" s="128"/>
      <c r="E595" s="128"/>
      <c r="F595" s="166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6" t="str">
        <f t="shared" si="60"/>
        <v/>
      </c>
      <c r="S595" s="163" t="str">
        <f t="shared" si="61"/>
        <v/>
      </c>
      <c r="T595" s="160" t="str">
        <f>IFERROR(INDEX(当年标准成本!$I:$I,MATCH(K595,当年标准成本!$C:$C,0),1),"")</f>
        <v/>
      </c>
      <c r="U595" s="126" t="str">
        <f t="shared" si="62"/>
        <v/>
      </c>
      <c r="V595" s="126" t="str">
        <f t="shared" si="63"/>
        <v/>
      </c>
      <c r="W595" s="124" t="str">
        <f t="shared" si="64"/>
        <v/>
      </c>
      <c r="X595" s="125" t="str">
        <f t="shared" si="59"/>
        <v/>
      </c>
    </row>
    <row r="596" spans="1:24" x14ac:dyDescent="0.3">
      <c r="A596" s="129"/>
      <c r="B596" s="129"/>
      <c r="C596" s="128"/>
      <c r="D596" s="128"/>
      <c r="E596" s="128"/>
      <c r="F596" s="166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6" t="str">
        <f t="shared" si="60"/>
        <v/>
      </c>
      <c r="S596" s="163" t="str">
        <f t="shared" si="61"/>
        <v/>
      </c>
      <c r="T596" s="160" t="str">
        <f>IFERROR(INDEX(当年标准成本!$I:$I,MATCH(K596,当年标准成本!$C:$C,0),1),"")</f>
        <v/>
      </c>
      <c r="U596" s="126" t="str">
        <f t="shared" si="62"/>
        <v/>
      </c>
      <c r="V596" s="126" t="str">
        <f t="shared" si="63"/>
        <v/>
      </c>
      <c r="W596" s="124" t="str">
        <f t="shared" si="64"/>
        <v/>
      </c>
      <c r="X596" s="125" t="str">
        <f t="shared" si="59"/>
        <v/>
      </c>
    </row>
    <row r="597" spans="1:24" x14ac:dyDescent="0.3">
      <c r="A597" s="129"/>
      <c r="B597" s="129"/>
      <c r="C597" s="128"/>
      <c r="D597" s="128"/>
      <c r="E597" s="128"/>
      <c r="F597" s="166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6" t="str">
        <f t="shared" si="60"/>
        <v/>
      </c>
      <c r="S597" s="163" t="str">
        <f t="shared" si="61"/>
        <v/>
      </c>
      <c r="T597" s="160" t="str">
        <f>IFERROR(INDEX(当年标准成本!$I:$I,MATCH(K597,当年标准成本!$C:$C,0),1),"")</f>
        <v/>
      </c>
      <c r="U597" s="126" t="str">
        <f t="shared" si="62"/>
        <v/>
      </c>
      <c r="V597" s="126" t="str">
        <f t="shared" si="63"/>
        <v/>
      </c>
      <c r="W597" s="124" t="str">
        <f t="shared" si="64"/>
        <v/>
      </c>
      <c r="X597" s="125" t="str">
        <f t="shared" si="59"/>
        <v/>
      </c>
    </row>
    <row r="598" spans="1:24" x14ac:dyDescent="0.3">
      <c r="A598" s="129"/>
      <c r="B598" s="129"/>
      <c r="C598" s="128"/>
      <c r="D598" s="128"/>
      <c r="E598" s="128"/>
      <c r="F598" s="166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6" t="str">
        <f t="shared" si="60"/>
        <v/>
      </c>
      <c r="S598" s="163" t="str">
        <f t="shared" si="61"/>
        <v/>
      </c>
      <c r="T598" s="160" t="str">
        <f>IFERROR(INDEX(当年标准成本!$I:$I,MATCH(K598,当年标准成本!$C:$C,0),1),"")</f>
        <v/>
      </c>
      <c r="U598" s="126" t="str">
        <f t="shared" si="62"/>
        <v/>
      </c>
      <c r="V598" s="126" t="str">
        <f t="shared" si="63"/>
        <v/>
      </c>
      <c r="W598" s="124" t="str">
        <f t="shared" si="64"/>
        <v/>
      </c>
      <c r="X598" s="125" t="str">
        <f t="shared" si="59"/>
        <v/>
      </c>
    </row>
    <row r="599" spans="1:24" x14ac:dyDescent="0.3">
      <c r="A599" s="129"/>
      <c r="B599" s="129"/>
      <c r="C599" s="128"/>
      <c r="D599" s="128"/>
      <c r="E599" s="128"/>
      <c r="F599" s="166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6" t="str">
        <f t="shared" si="60"/>
        <v/>
      </c>
      <c r="S599" s="163" t="str">
        <f t="shared" si="61"/>
        <v/>
      </c>
      <c r="T599" s="160" t="str">
        <f>IFERROR(INDEX(当年标准成本!$I:$I,MATCH(K599,当年标准成本!$C:$C,0),1),"")</f>
        <v/>
      </c>
      <c r="U599" s="126" t="str">
        <f t="shared" si="62"/>
        <v/>
      </c>
      <c r="V599" s="126" t="str">
        <f t="shared" si="63"/>
        <v/>
      </c>
      <c r="W599" s="124" t="str">
        <f t="shared" si="64"/>
        <v/>
      </c>
      <c r="X599" s="125" t="str">
        <f t="shared" si="59"/>
        <v/>
      </c>
    </row>
    <row r="600" spans="1:24" x14ac:dyDescent="0.3">
      <c r="A600" s="129"/>
      <c r="B600" s="129"/>
      <c r="C600" s="128"/>
      <c r="D600" s="128"/>
      <c r="E600" s="128"/>
      <c r="F600" s="166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6" t="str">
        <f t="shared" si="60"/>
        <v/>
      </c>
      <c r="S600" s="163" t="str">
        <f t="shared" si="61"/>
        <v/>
      </c>
      <c r="T600" s="160" t="str">
        <f>IFERROR(INDEX(当年标准成本!$I:$I,MATCH(K600,当年标准成本!$C:$C,0),1),"")</f>
        <v/>
      </c>
      <c r="U600" s="126" t="str">
        <f t="shared" si="62"/>
        <v/>
      </c>
      <c r="V600" s="126" t="str">
        <f t="shared" si="63"/>
        <v/>
      </c>
      <c r="W600" s="124" t="str">
        <f t="shared" si="64"/>
        <v/>
      </c>
      <c r="X600" s="125" t="str">
        <f t="shared" si="59"/>
        <v/>
      </c>
    </row>
    <row r="601" spans="1:24" x14ac:dyDescent="0.3">
      <c r="A601" s="129"/>
      <c r="B601" s="129"/>
      <c r="C601" s="128"/>
      <c r="D601" s="128"/>
      <c r="E601" s="128"/>
      <c r="F601" s="166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6" t="str">
        <f t="shared" si="60"/>
        <v/>
      </c>
      <c r="S601" s="163" t="str">
        <f t="shared" si="61"/>
        <v/>
      </c>
      <c r="T601" s="160" t="str">
        <f>IFERROR(INDEX(当年标准成本!$I:$I,MATCH(K601,当年标准成本!$C:$C,0),1),"")</f>
        <v/>
      </c>
      <c r="U601" s="126" t="str">
        <f t="shared" si="62"/>
        <v/>
      </c>
      <c r="V601" s="126" t="str">
        <f t="shared" si="63"/>
        <v/>
      </c>
      <c r="W601" s="124" t="str">
        <f t="shared" si="64"/>
        <v/>
      </c>
      <c r="X601" s="125" t="str">
        <f t="shared" si="59"/>
        <v/>
      </c>
    </row>
    <row r="602" spans="1:24" x14ac:dyDescent="0.3">
      <c r="A602" s="129"/>
      <c r="B602" s="129"/>
      <c r="C602" s="128"/>
      <c r="D602" s="128"/>
      <c r="E602" s="128"/>
      <c r="F602" s="166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6" t="str">
        <f t="shared" si="60"/>
        <v/>
      </c>
      <c r="S602" s="163" t="str">
        <f t="shared" si="61"/>
        <v/>
      </c>
      <c r="T602" s="160" t="str">
        <f>IFERROR(INDEX(当年标准成本!$I:$I,MATCH(K602,当年标准成本!$C:$C,0),1),"")</f>
        <v/>
      </c>
      <c r="U602" s="126" t="str">
        <f t="shared" si="62"/>
        <v/>
      </c>
      <c r="V602" s="126" t="str">
        <f t="shared" si="63"/>
        <v/>
      </c>
      <c r="W602" s="124" t="str">
        <f t="shared" si="64"/>
        <v/>
      </c>
      <c r="X602" s="125" t="str">
        <f t="shared" si="59"/>
        <v/>
      </c>
    </row>
    <row r="603" spans="1:24" x14ac:dyDescent="0.3">
      <c r="A603" s="129"/>
      <c r="B603" s="129"/>
      <c r="C603" s="128"/>
      <c r="D603" s="128"/>
      <c r="E603" s="128"/>
      <c r="F603" s="166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6" t="str">
        <f t="shared" si="60"/>
        <v/>
      </c>
      <c r="S603" s="163" t="str">
        <f t="shared" si="61"/>
        <v/>
      </c>
      <c r="T603" s="160" t="str">
        <f>IFERROR(INDEX(当年标准成本!$I:$I,MATCH(K603,当年标准成本!$C:$C,0),1),"")</f>
        <v/>
      </c>
      <c r="U603" s="126" t="str">
        <f t="shared" si="62"/>
        <v/>
      </c>
      <c r="V603" s="126" t="str">
        <f t="shared" si="63"/>
        <v/>
      </c>
      <c r="W603" s="124" t="str">
        <f t="shared" si="64"/>
        <v/>
      </c>
      <c r="X603" s="125" t="str">
        <f t="shared" si="59"/>
        <v/>
      </c>
    </row>
    <row r="604" spans="1:24" x14ac:dyDescent="0.3">
      <c r="A604" s="129"/>
      <c r="B604" s="129"/>
      <c r="C604" s="128"/>
      <c r="D604" s="128"/>
      <c r="E604" s="128"/>
      <c r="F604" s="166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6" t="str">
        <f t="shared" si="60"/>
        <v/>
      </c>
      <c r="S604" s="163" t="str">
        <f t="shared" si="61"/>
        <v/>
      </c>
      <c r="T604" s="160" t="str">
        <f>IFERROR(INDEX(当年标准成本!$I:$I,MATCH(K604,当年标准成本!$C:$C,0),1),"")</f>
        <v/>
      </c>
      <c r="U604" s="126" t="str">
        <f t="shared" si="62"/>
        <v/>
      </c>
      <c r="V604" s="126" t="str">
        <f t="shared" si="63"/>
        <v/>
      </c>
      <c r="W604" s="124" t="str">
        <f t="shared" si="64"/>
        <v/>
      </c>
      <c r="X604" s="125" t="str">
        <f t="shared" si="59"/>
        <v/>
      </c>
    </row>
    <row r="605" spans="1:24" x14ac:dyDescent="0.3">
      <c r="A605" s="129"/>
      <c r="B605" s="129"/>
      <c r="C605" s="128"/>
      <c r="D605" s="128"/>
      <c r="E605" s="128"/>
      <c r="F605" s="166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6" t="str">
        <f t="shared" si="60"/>
        <v/>
      </c>
      <c r="S605" s="163" t="str">
        <f t="shared" si="61"/>
        <v/>
      </c>
      <c r="T605" s="160" t="str">
        <f>IFERROR(INDEX(当年标准成本!$I:$I,MATCH(K605,当年标准成本!$C:$C,0),1),"")</f>
        <v/>
      </c>
      <c r="U605" s="126" t="str">
        <f t="shared" si="62"/>
        <v/>
      </c>
      <c r="V605" s="126" t="str">
        <f t="shared" si="63"/>
        <v/>
      </c>
      <c r="W605" s="124" t="str">
        <f t="shared" si="64"/>
        <v/>
      </c>
      <c r="X605" s="125" t="str">
        <f t="shared" si="59"/>
        <v/>
      </c>
    </row>
    <row r="606" spans="1:24" x14ac:dyDescent="0.3">
      <c r="A606" s="129"/>
      <c r="B606" s="129"/>
      <c r="C606" s="128"/>
      <c r="D606" s="128"/>
      <c r="E606" s="128"/>
      <c r="F606" s="166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6" t="str">
        <f t="shared" si="60"/>
        <v/>
      </c>
      <c r="S606" s="163" t="str">
        <f t="shared" si="61"/>
        <v/>
      </c>
      <c r="T606" s="160" t="str">
        <f>IFERROR(INDEX(当年标准成本!$I:$I,MATCH(K606,当年标准成本!$C:$C,0),1),"")</f>
        <v/>
      </c>
      <c r="U606" s="126" t="str">
        <f t="shared" si="62"/>
        <v/>
      </c>
      <c r="V606" s="126" t="str">
        <f t="shared" si="63"/>
        <v/>
      </c>
      <c r="W606" s="124" t="str">
        <f t="shared" si="64"/>
        <v/>
      </c>
      <c r="X606" s="125" t="str">
        <f t="shared" si="59"/>
        <v/>
      </c>
    </row>
    <row r="607" spans="1:24" x14ac:dyDescent="0.3">
      <c r="A607" s="129"/>
      <c r="B607" s="129"/>
      <c r="C607" s="128"/>
      <c r="D607" s="128"/>
      <c r="E607" s="128"/>
      <c r="F607" s="166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6" t="str">
        <f t="shared" si="60"/>
        <v/>
      </c>
      <c r="S607" s="163" t="str">
        <f t="shared" si="61"/>
        <v/>
      </c>
      <c r="T607" s="160" t="str">
        <f>IFERROR(INDEX(当年标准成本!$I:$I,MATCH(K607,当年标准成本!$C:$C,0),1),"")</f>
        <v/>
      </c>
      <c r="U607" s="126" t="str">
        <f t="shared" si="62"/>
        <v/>
      </c>
      <c r="V607" s="126" t="str">
        <f t="shared" si="63"/>
        <v/>
      </c>
      <c r="W607" s="124" t="str">
        <f t="shared" si="64"/>
        <v/>
      </c>
      <c r="X607" s="125" t="str">
        <f t="shared" si="59"/>
        <v/>
      </c>
    </row>
    <row r="608" spans="1:24" x14ac:dyDescent="0.3">
      <c r="A608" s="129"/>
      <c r="B608" s="129"/>
      <c r="C608" s="128"/>
      <c r="D608" s="128"/>
      <c r="E608" s="128"/>
      <c r="F608" s="166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6" t="str">
        <f t="shared" si="60"/>
        <v/>
      </c>
      <c r="S608" s="163" t="str">
        <f t="shared" si="61"/>
        <v/>
      </c>
      <c r="T608" s="160" t="str">
        <f>IFERROR(INDEX(当年标准成本!$I:$I,MATCH(K608,当年标准成本!$C:$C,0),1),"")</f>
        <v/>
      </c>
      <c r="U608" s="126" t="str">
        <f t="shared" si="62"/>
        <v/>
      </c>
      <c r="V608" s="126" t="str">
        <f t="shared" si="63"/>
        <v/>
      </c>
      <c r="W608" s="124" t="str">
        <f t="shared" si="64"/>
        <v/>
      </c>
      <c r="X608" s="125" t="str">
        <f t="shared" si="59"/>
        <v/>
      </c>
    </row>
    <row r="609" spans="1:24" x14ac:dyDescent="0.3">
      <c r="A609" s="129"/>
      <c r="B609" s="129"/>
      <c r="C609" s="128"/>
      <c r="D609" s="128"/>
      <c r="E609" s="128"/>
      <c r="F609" s="166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6" t="str">
        <f t="shared" si="60"/>
        <v/>
      </c>
      <c r="S609" s="163" t="str">
        <f t="shared" si="61"/>
        <v/>
      </c>
      <c r="T609" s="160" t="str">
        <f>IFERROR(INDEX(当年标准成本!$I:$I,MATCH(K609,当年标准成本!$C:$C,0),1),"")</f>
        <v/>
      </c>
      <c r="U609" s="126" t="str">
        <f t="shared" si="62"/>
        <v/>
      </c>
      <c r="V609" s="126" t="str">
        <f t="shared" si="63"/>
        <v/>
      </c>
      <c r="W609" s="124" t="str">
        <f t="shared" si="64"/>
        <v/>
      </c>
      <c r="X609" s="125" t="str">
        <f t="shared" si="59"/>
        <v/>
      </c>
    </row>
    <row r="610" spans="1:24" x14ac:dyDescent="0.3">
      <c r="A610" s="129"/>
      <c r="B610" s="129"/>
      <c r="C610" s="128"/>
      <c r="D610" s="128"/>
      <c r="E610" s="128"/>
      <c r="F610" s="166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6" t="str">
        <f t="shared" si="60"/>
        <v/>
      </c>
      <c r="S610" s="163" t="str">
        <f t="shared" si="61"/>
        <v/>
      </c>
      <c r="T610" s="160" t="str">
        <f>IFERROR(INDEX(当年标准成本!$I:$I,MATCH(K610,当年标准成本!$C:$C,0),1),"")</f>
        <v/>
      </c>
      <c r="U610" s="126" t="str">
        <f t="shared" si="62"/>
        <v/>
      </c>
      <c r="V610" s="126" t="str">
        <f t="shared" si="63"/>
        <v/>
      </c>
      <c r="W610" s="124" t="str">
        <f t="shared" si="64"/>
        <v/>
      </c>
      <c r="X610" s="125" t="str">
        <f t="shared" si="59"/>
        <v/>
      </c>
    </row>
    <row r="611" spans="1:24" x14ac:dyDescent="0.3">
      <c r="A611" s="129"/>
      <c r="B611" s="129"/>
      <c r="C611" s="128"/>
      <c r="D611" s="128"/>
      <c r="E611" s="128"/>
      <c r="F611" s="166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6" t="str">
        <f t="shared" si="60"/>
        <v/>
      </c>
      <c r="S611" s="163" t="str">
        <f t="shared" si="61"/>
        <v/>
      </c>
      <c r="T611" s="160" t="str">
        <f>IFERROR(INDEX(当年标准成本!$I:$I,MATCH(K611,当年标准成本!$C:$C,0),1),"")</f>
        <v/>
      </c>
      <c r="U611" s="126" t="str">
        <f t="shared" si="62"/>
        <v/>
      </c>
      <c r="V611" s="126" t="str">
        <f t="shared" si="63"/>
        <v/>
      </c>
      <c r="W611" s="124" t="str">
        <f t="shared" si="64"/>
        <v/>
      </c>
      <c r="X611" s="125" t="str">
        <f t="shared" si="59"/>
        <v/>
      </c>
    </row>
    <row r="612" spans="1:24" x14ac:dyDescent="0.3">
      <c r="A612" s="129"/>
      <c r="B612" s="129"/>
      <c r="C612" s="128"/>
      <c r="D612" s="128"/>
      <c r="E612" s="128"/>
      <c r="F612" s="166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6" t="str">
        <f t="shared" si="60"/>
        <v/>
      </c>
      <c r="S612" s="163" t="str">
        <f t="shared" si="61"/>
        <v/>
      </c>
      <c r="T612" s="160" t="str">
        <f>IFERROR(INDEX(当年标准成本!$I:$I,MATCH(K612,当年标准成本!$C:$C,0),1),"")</f>
        <v/>
      </c>
      <c r="U612" s="126" t="str">
        <f t="shared" si="62"/>
        <v/>
      </c>
      <c r="V612" s="126" t="str">
        <f t="shared" si="63"/>
        <v/>
      </c>
      <c r="W612" s="124" t="str">
        <f t="shared" si="64"/>
        <v/>
      </c>
      <c r="X612" s="125" t="str">
        <f t="shared" si="59"/>
        <v/>
      </c>
    </row>
    <row r="613" spans="1:24" x14ac:dyDescent="0.3">
      <c r="A613" s="129"/>
      <c r="B613" s="129"/>
      <c r="C613" s="128"/>
      <c r="D613" s="128"/>
      <c r="E613" s="128"/>
      <c r="F613" s="166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6" t="str">
        <f t="shared" si="60"/>
        <v/>
      </c>
      <c r="S613" s="163" t="str">
        <f t="shared" si="61"/>
        <v/>
      </c>
      <c r="T613" s="160" t="str">
        <f>IFERROR(INDEX(当年标准成本!$I:$I,MATCH(K613,当年标准成本!$C:$C,0),1),"")</f>
        <v/>
      </c>
      <c r="U613" s="126" t="str">
        <f t="shared" si="62"/>
        <v/>
      </c>
      <c r="V613" s="126" t="str">
        <f t="shared" si="63"/>
        <v/>
      </c>
      <c r="W613" s="124" t="str">
        <f t="shared" si="64"/>
        <v/>
      </c>
      <c r="X613" s="125" t="str">
        <f t="shared" si="59"/>
        <v/>
      </c>
    </row>
    <row r="614" spans="1:24" x14ac:dyDescent="0.3">
      <c r="A614" s="129"/>
      <c r="B614" s="129"/>
      <c r="C614" s="128"/>
      <c r="D614" s="128"/>
      <c r="E614" s="128"/>
      <c r="F614" s="166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6" t="str">
        <f t="shared" si="60"/>
        <v/>
      </c>
      <c r="S614" s="163" t="str">
        <f t="shared" si="61"/>
        <v/>
      </c>
      <c r="T614" s="160" t="str">
        <f>IFERROR(INDEX(当年标准成本!$I:$I,MATCH(K614,当年标准成本!$C:$C,0),1),"")</f>
        <v/>
      </c>
      <c r="U614" s="126" t="str">
        <f t="shared" si="62"/>
        <v/>
      </c>
      <c r="V614" s="126" t="str">
        <f t="shared" si="63"/>
        <v/>
      </c>
      <c r="W614" s="124" t="str">
        <f t="shared" si="64"/>
        <v/>
      </c>
      <c r="X614" s="125" t="str">
        <f t="shared" si="59"/>
        <v/>
      </c>
    </row>
    <row r="615" spans="1:24" x14ac:dyDescent="0.3">
      <c r="A615" s="129"/>
      <c r="B615" s="129"/>
      <c r="C615" s="128"/>
      <c r="D615" s="128"/>
      <c r="E615" s="128"/>
      <c r="F615" s="166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6" t="str">
        <f t="shared" si="60"/>
        <v/>
      </c>
      <c r="S615" s="163" t="str">
        <f t="shared" si="61"/>
        <v/>
      </c>
      <c r="T615" s="160" t="str">
        <f>IFERROR(INDEX(当年标准成本!$I:$I,MATCH(K615,当年标准成本!$C:$C,0),1),"")</f>
        <v/>
      </c>
      <c r="U615" s="126" t="str">
        <f t="shared" si="62"/>
        <v/>
      </c>
      <c r="V615" s="126" t="str">
        <f t="shared" si="63"/>
        <v/>
      </c>
      <c r="W615" s="124" t="str">
        <f t="shared" si="64"/>
        <v/>
      </c>
      <c r="X615" s="125" t="str">
        <f t="shared" si="59"/>
        <v/>
      </c>
    </row>
    <row r="616" spans="1:24" x14ac:dyDescent="0.3">
      <c r="A616" s="129"/>
      <c r="B616" s="129"/>
      <c r="C616" s="128"/>
      <c r="D616" s="128"/>
      <c r="E616" s="128"/>
      <c r="F616" s="166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6" t="str">
        <f t="shared" si="60"/>
        <v/>
      </c>
      <c r="S616" s="163" t="str">
        <f t="shared" si="61"/>
        <v/>
      </c>
      <c r="T616" s="160" t="str">
        <f>IFERROR(INDEX(当年标准成本!$I:$I,MATCH(K616,当年标准成本!$C:$C,0),1),"")</f>
        <v/>
      </c>
      <c r="U616" s="126" t="str">
        <f t="shared" si="62"/>
        <v/>
      </c>
      <c r="V616" s="126" t="str">
        <f t="shared" si="63"/>
        <v/>
      </c>
      <c r="W616" s="124" t="str">
        <f t="shared" si="64"/>
        <v/>
      </c>
      <c r="X616" s="125" t="str">
        <f t="shared" si="59"/>
        <v/>
      </c>
    </row>
    <row r="617" spans="1:24" x14ac:dyDescent="0.3">
      <c r="A617" s="129"/>
      <c r="B617" s="129"/>
      <c r="C617" s="128"/>
      <c r="D617" s="128"/>
      <c r="E617" s="128"/>
      <c r="F617" s="166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6" t="str">
        <f t="shared" si="60"/>
        <v/>
      </c>
      <c r="S617" s="163" t="str">
        <f t="shared" si="61"/>
        <v/>
      </c>
      <c r="T617" s="160" t="str">
        <f>IFERROR(INDEX(当年标准成本!$I:$I,MATCH(K617,当年标准成本!$C:$C,0),1),"")</f>
        <v/>
      </c>
      <c r="U617" s="126" t="str">
        <f t="shared" si="62"/>
        <v/>
      </c>
      <c r="V617" s="126" t="str">
        <f t="shared" si="63"/>
        <v/>
      </c>
      <c r="W617" s="124" t="str">
        <f t="shared" si="64"/>
        <v/>
      </c>
      <c r="X617" s="125" t="str">
        <f t="shared" si="59"/>
        <v/>
      </c>
    </row>
    <row r="618" spans="1:24" x14ac:dyDescent="0.3">
      <c r="A618" s="129"/>
      <c r="B618" s="129"/>
      <c r="C618" s="128"/>
      <c r="D618" s="128"/>
      <c r="E618" s="128"/>
      <c r="F618" s="166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6" t="str">
        <f t="shared" si="60"/>
        <v/>
      </c>
      <c r="S618" s="163" t="str">
        <f t="shared" si="61"/>
        <v/>
      </c>
      <c r="T618" s="160" t="str">
        <f>IFERROR(INDEX(当年标准成本!$I:$I,MATCH(K618,当年标准成本!$C:$C,0),1),"")</f>
        <v/>
      </c>
      <c r="U618" s="126" t="str">
        <f t="shared" si="62"/>
        <v/>
      </c>
      <c r="V618" s="126" t="str">
        <f t="shared" si="63"/>
        <v/>
      </c>
      <c r="W618" s="124" t="str">
        <f t="shared" si="64"/>
        <v/>
      </c>
      <c r="X618" s="125" t="str">
        <f t="shared" si="59"/>
        <v/>
      </c>
    </row>
    <row r="619" spans="1:24" x14ac:dyDescent="0.3">
      <c r="A619" s="129"/>
      <c r="B619" s="129"/>
      <c r="C619" s="128"/>
      <c r="D619" s="128"/>
      <c r="E619" s="128"/>
      <c r="F619" s="166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6" t="str">
        <f t="shared" si="60"/>
        <v/>
      </c>
      <c r="S619" s="163" t="str">
        <f t="shared" si="61"/>
        <v/>
      </c>
      <c r="T619" s="160" t="str">
        <f>IFERROR(INDEX(当年标准成本!$I:$I,MATCH(K619,当年标准成本!$C:$C,0),1),"")</f>
        <v/>
      </c>
      <c r="U619" s="126" t="str">
        <f t="shared" si="62"/>
        <v/>
      </c>
      <c r="V619" s="126" t="str">
        <f t="shared" si="63"/>
        <v/>
      </c>
      <c r="W619" s="124" t="str">
        <f t="shared" si="64"/>
        <v/>
      </c>
      <c r="X619" s="125" t="str">
        <f t="shared" si="59"/>
        <v/>
      </c>
    </row>
    <row r="620" spans="1:24" x14ac:dyDescent="0.3">
      <c r="A620" s="129"/>
      <c r="B620" s="129"/>
      <c r="C620" s="128"/>
      <c r="D620" s="128"/>
      <c r="E620" s="128"/>
      <c r="F620" s="166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6" t="str">
        <f t="shared" si="60"/>
        <v/>
      </c>
      <c r="S620" s="163" t="str">
        <f t="shared" si="61"/>
        <v/>
      </c>
      <c r="T620" s="160" t="str">
        <f>IFERROR(INDEX(当年标准成本!$I:$I,MATCH(K620,当年标准成本!$C:$C,0),1),"")</f>
        <v/>
      </c>
      <c r="U620" s="126" t="str">
        <f t="shared" si="62"/>
        <v/>
      </c>
      <c r="V620" s="126" t="str">
        <f t="shared" si="63"/>
        <v/>
      </c>
      <c r="W620" s="124" t="str">
        <f t="shared" si="64"/>
        <v/>
      </c>
      <c r="X620" s="125" t="str">
        <f t="shared" si="59"/>
        <v/>
      </c>
    </row>
    <row r="621" spans="1:24" x14ac:dyDescent="0.3">
      <c r="A621" s="129"/>
      <c r="B621" s="129"/>
      <c r="C621" s="128"/>
      <c r="D621" s="128"/>
      <c r="E621" s="128"/>
      <c r="F621" s="166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6" t="str">
        <f t="shared" si="60"/>
        <v/>
      </c>
      <c r="S621" s="163" t="str">
        <f t="shared" si="61"/>
        <v/>
      </c>
      <c r="T621" s="160" t="str">
        <f>IFERROR(INDEX(当年标准成本!$I:$I,MATCH(K621,当年标准成本!$C:$C,0),1),"")</f>
        <v/>
      </c>
      <c r="U621" s="126" t="str">
        <f t="shared" si="62"/>
        <v/>
      </c>
      <c r="V621" s="126" t="str">
        <f t="shared" si="63"/>
        <v/>
      </c>
      <c r="W621" s="124" t="str">
        <f t="shared" si="64"/>
        <v/>
      </c>
      <c r="X621" s="125" t="str">
        <f t="shared" si="59"/>
        <v/>
      </c>
    </row>
    <row r="622" spans="1:24" x14ac:dyDescent="0.3">
      <c r="A622" s="129"/>
      <c r="B622" s="129"/>
      <c r="C622" s="128"/>
      <c r="D622" s="128"/>
      <c r="E622" s="128"/>
      <c r="F622" s="166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6" t="str">
        <f t="shared" si="60"/>
        <v/>
      </c>
      <c r="S622" s="163" t="str">
        <f t="shared" si="61"/>
        <v/>
      </c>
      <c r="T622" s="160" t="str">
        <f>IFERROR(INDEX(当年标准成本!$I:$I,MATCH(K622,当年标准成本!$C:$C,0),1),"")</f>
        <v/>
      </c>
      <c r="U622" s="126" t="str">
        <f t="shared" si="62"/>
        <v/>
      </c>
      <c r="V622" s="126" t="str">
        <f t="shared" si="63"/>
        <v/>
      </c>
      <c r="W622" s="124" t="str">
        <f t="shared" si="64"/>
        <v/>
      </c>
      <c r="X622" s="125" t="str">
        <f t="shared" si="59"/>
        <v/>
      </c>
    </row>
    <row r="623" spans="1:24" x14ac:dyDescent="0.3">
      <c r="A623" s="129"/>
      <c r="B623" s="129"/>
      <c r="C623" s="128"/>
      <c r="D623" s="128"/>
      <c r="E623" s="128"/>
      <c r="F623" s="166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6" t="str">
        <f t="shared" si="60"/>
        <v/>
      </c>
      <c r="S623" s="163" t="str">
        <f t="shared" si="61"/>
        <v/>
      </c>
      <c r="T623" s="160" t="str">
        <f>IFERROR(INDEX(当年标准成本!$I:$I,MATCH(K623,当年标准成本!$C:$C,0),1),"")</f>
        <v/>
      </c>
      <c r="U623" s="126" t="str">
        <f t="shared" si="62"/>
        <v/>
      </c>
      <c r="V623" s="126" t="str">
        <f t="shared" si="63"/>
        <v/>
      </c>
      <c r="W623" s="124" t="str">
        <f t="shared" si="64"/>
        <v/>
      </c>
      <c r="X623" s="125" t="str">
        <f t="shared" si="59"/>
        <v/>
      </c>
    </row>
    <row r="624" spans="1:24" x14ac:dyDescent="0.3">
      <c r="A624" s="129"/>
      <c r="B624" s="129"/>
      <c r="C624" s="128"/>
      <c r="D624" s="128"/>
      <c r="E624" s="128"/>
      <c r="F624" s="166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6" t="str">
        <f t="shared" si="60"/>
        <v/>
      </c>
      <c r="S624" s="163" t="str">
        <f t="shared" si="61"/>
        <v/>
      </c>
      <c r="T624" s="160" t="str">
        <f>IFERROR(INDEX(当年标准成本!$I:$I,MATCH(K624,当年标准成本!$C:$C,0),1),"")</f>
        <v/>
      </c>
      <c r="U624" s="126" t="str">
        <f t="shared" si="62"/>
        <v/>
      </c>
      <c r="V624" s="126" t="str">
        <f t="shared" si="63"/>
        <v/>
      </c>
      <c r="W624" s="124" t="str">
        <f t="shared" si="64"/>
        <v/>
      </c>
      <c r="X624" s="125" t="str">
        <f t="shared" si="59"/>
        <v/>
      </c>
    </row>
    <row r="625" spans="1:24" x14ac:dyDescent="0.3">
      <c r="A625" s="129"/>
      <c r="B625" s="129"/>
      <c r="C625" s="128"/>
      <c r="D625" s="128"/>
      <c r="E625" s="128"/>
      <c r="F625" s="166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6" t="str">
        <f t="shared" si="60"/>
        <v/>
      </c>
      <c r="S625" s="163" t="str">
        <f t="shared" si="61"/>
        <v/>
      </c>
      <c r="T625" s="160" t="str">
        <f>IFERROR(INDEX(当年标准成本!$I:$I,MATCH(K625,当年标准成本!$C:$C,0),1),"")</f>
        <v/>
      </c>
      <c r="U625" s="126" t="str">
        <f t="shared" si="62"/>
        <v/>
      </c>
      <c r="V625" s="126" t="str">
        <f t="shared" si="63"/>
        <v/>
      </c>
      <c r="W625" s="124" t="str">
        <f t="shared" si="64"/>
        <v/>
      </c>
      <c r="X625" s="125" t="str">
        <f t="shared" si="59"/>
        <v/>
      </c>
    </row>
    <row r="626" spans="1:24" x14ac:dyDescent="0.3">
      <c r="A626" s="129"/>
      <c r="B626" s="129"/>
      <c r="C626" s="128"/>
      <c r="D626" s="128"/>
      <c r="E626" s="128"/>
      <c r="F626" s="166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6" t="str">
        <f t="shared" si="60"/>
        <v/>
      </c>
      <c r="S626" s="163" t="str">
        <f t="shared" si="61"/>
        <v/>
      </c>
      <c r="T626" s="160" t="str">
        <f>IFERROR(INDEX(当年标准成本!$I:$I,MATCH(K626,当年标准成本!$C:$C,0),1),"")</f>
        <v/>
      </c>
      <c r="U626" s="126" t="str">
        <f t="shared" si="62"/>
        <v/>
      </c>
      <c r="V626" s="126" t="str">
        <f t="shared" si="63"/>
        <v/>
      </c>
      <c r="W626" s="124" t="str">
        <f t="shared" si="64"/>
        <v/>
      </c>
      <c r="X626" s="125" t="str">
        <f t="shared" si="59"/>
        <v/>
      </c>
    </row>
    <row r="627" spans="1:24" x14ac:dyDescent="0.3">
      <c r="A627" s="129"/>
      <c r="B627" s="129"/>
      <c r="C627" s="128"/>
      <c r="D627" s="128"/>
      <c r="E627" s="128"/>
      <c r="F627" s="166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6" t="str">
        <f t="shared" si="60"/>
        <v/>
      </c>
      <c r="S627" s="163" t="str">
        <f t="shared" si="61"/>
        <v/>
      </c>
      <c r="T627" s="160" t="str">
        <f>IFERROR(INDEX(当年标准成本!$I:$I,MATCH(K627,当年标准成本!$C:$C,0),1),"")</f>
        <v/>
      </c>
      <c r="U627" s="126" t="str">
        <f t="shared" si="62"/>
        <v/>
      </c>
      <c r="V627" s="126" t="str">
        <f t="shared" si="63"/>
        <v/>
      </c>
      <c r="W627" s="124" t="str">
        <f t="shared" si="64"/>
        <v/>
      </c>
      <c r="X627" s="125" t="str">
        <f t="shared" si="59"/>
        <v/>
      </c>
    </row>
    <row r="628" spans="1:24" x14ac:dyDescent="0.3">
      <c r="A628" s="129"/>
      <c r="B628" s="129"/>
      <c r="C628" s="128"/>
      <c r="D628" s="128"/>
      <c r="E628" s="128"/>
      <c r="F628" s="166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6" t="str">
        <f t="shared" si="60"/>
        <v/>
      </c>
      <c r="S628" s="163" t="str">
        <f t="shared" si="61"/>
        <v/>
      </c>
      <c r="T628" s="160" t="str">
        <f>IFERROR(INDEX(当年标准成本!$I:$I,MATCH(K628,当年标准成本!$C:$C,0),1),"")</f>
        <v/>
      </c>
      <c r="U628" s="126" t="str">
        <f t="shared" si="62"/>
        <v/>
      </c>
      <c r="V628" s="126" t="str">
        <f t="shared" si="63"/>
        <v/>
      </c>
      <c r="W628" s="124" t="str">
        <f t="shared" si="64"/>
        <v/>
      </c>
      <c r="X628" s="125" t="str">
        <f t="shared" si="59"/>
        <v/>
      </c>
    </row>
    <row r="629" spans="1:24" x14ac:dyDescent="0.3">
      <c r="A629" s="129"/>
      <c r="B629" s="129"/>
      <c r="C629" s="128"/>
      <c r="D629" s="128"/>
      <c r="E629" s="128"/>
      <c r="F629" s="166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6" t="str">
        <f t="shared" si="60"/>
        <v/>
      </c>
      <c r="S629" s="163" t="str">
        <f t="shared" si="61"/>
        <v/>
      </c>
      <c r="T629" s="160" t="str">
        <f>IFERROR(INDEX(当年标准成本!$I:$I,MATCH(K629,当年标准成本!$C:$C,0),1),"")</f>
        <v/>
      </c>
      <c r="U629" s="126" t="str">
        <f t="shared" si="62"/>
        <v/>
      </c>
      <c r="V629" s="126" t="str">
        <f t="shared" si="63"/>
        <v/>
      </c>
      <c r="W629" s="124" t="str">
        <f t="shared" si="64"/>
        <v/>
      </c>
      <c r="X629" s="125" t="str">
        <f t="shared" si="59"/>
        <v/>
      </c>
    </row>
    <row r="630" spans="1:24" x14ac:dyDescent="0.3">
      <c r="A630" s="129"/>
      <c r="B630" s="129"/>
      <c r="C630" s="128"/>
      <c r="D630" s="128"/>
      <c r="E630" s="128"/>
      <c r="F630" s="166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6" t="str">
        <f t="shared" si="60"/>
        <v/>
      </c>
      <c r="S630" s="163" t="str">
        <f t="shared" si="61"/>
        <v/>
      </c>
      <c r="T630" s="160" t="str">
        <f>IFERROR(INDEX(当年标准成本!$I:$I,MATCH(K630,当年标准成本!$C:$C,0),1),"")</f>
        <v/>
      </c>
      <c r="U630" s="126" t="str">
        <f t="shared" si="62"/>
        <v/>
      </c>
      <c r="V630" s="126" t="str">
        <f t="shared" si="63"/>
        <v/>
      </c>
      <c r="W630" s="124" t="str">
        <f t="shared" si="64"/>
        <v/>
      </c>
      <c r="X630" s="125" t="str">
        <f t="shared" si="59"/>
        <v/>
      </c>
    </row>
    <row r="631" spans="1:24" x14ac:dyDescent="0.3">
      <c r="A631" s="129"/>
      <c r="B631" s="129"/>
      <c r="C631" s="128"/>
      <c r="D631" s="128"/>
      <c r="E631" s="128"/>
      <c r="F631" s="166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6" t="str">
        <f t="shared" si="60"/>
        <v/>
      </c>
      <c r="S631" s="163" t="str">
        <f t="shared" si="61"/>
        <v/>
      </c>
      <c r="T631" s="160" t="str">
        <f>IFERROR(INDEX(当年标准成本!$I:$I,MATCH(K631,当年标准成本!$C:$C,0),1),"")</f>
        <v/>
      </c>
      <c r="U631" s="126" t="str">
        <f t="shared" si="62"/>
        <v/>
      </c>
      <c r="V631" s="126" t="str">
        <f t="shared" si="63"/>
        <v/>
      </c>
      <c r="W631" s="124" t="str">
        <f t="shared" si="64"/>
        <v/>
      </c>
      <c r="X631" s="125" t="str">
        <f t="shared" si="59"/>
        <v/>
      </c>
    </row>
    <row r="632" spans="1:24" x14ac:dyDescent="0.3">
      <c r="A632" s="129"/>
      <c r="B632" s="129"/>
      <c r="C632" s="128"/>
      <c r="D632" s="128"/>
      <c r="E632" s="128"/>
      <c r="F632" s="166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6" t="str">
        <f t="shared" si="60"/>
        <v/>
      </c>
      <c r="S632" s="163" t="str">
        <f t="shared" si="61"/>
        <v/>
      </c>
      <c r="T632" s="160" t="str">
        <f>IFERROR(INDEX(当年标准成本!$I:$I,MATCH(K632,当年标准成本!$C:$C,0),1),"")</f>
        <v/>
      </c>
      <c r="U632" s="126" t="str">
        <f t="shared" si="62"/>
        <v/>
      </c>
      <c r="V632" s="126" t="str">
        <f t="shared" si="63"/>
        <v/>
      </c>
      <c r="W632" s="124" t="str">
        <f t="shared" si="64"/>
        <v/>
      </c>
      <c r="X632" s="125" t="str">
        <f t="shared" si="59"/>
        <v/>
      </c>
    </row>
    <row r="633" spans="1:24" x14ac:dyDescent="0.3">
      <c r="A633" s="129"/>
      <c r="B633" s="129"/>
      <c r="C633" s="128"/>
      <c r="D633" s="128"/>
      <c r="E633" s="128"/>
      <c r="F633" s="166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6" t="str">
        <f t="shared" si="60"/>
        <v/>
      </c>
      <c r="S633" s="163" t="str">
        <f t="shared" si="61"/>
        <v/>
      </c>
      <c r="T633" s="160" t="str">
        <f>IFERROR(INDEX(当年标准成本!$I:$I,MATCH(K633,当年标准成本!$C:$C,0),1),"")</f>
        <v/>
      </c>
      <c r="U633" s="126" t="str">
        <f t="shared" si="62"/>
        <v/>
      </c>
      <c r="V633" s="126" t="str">
        <f t="shared" si="63"/>
        <v/>
      </c>
      <c r="W633" s="124" t="str">
        <f t="shared" si="64"/>
        <v/>
      </c>
      <c r="X633" s="125" t="str">
        <f t="shared" si="59"/>
        <v/>
      </c>
    </row>
    <row r="634" spans="1:24" x14ac:dyDescent="0.3">
      <c r="A634" s="129"/>
      <c r="B634" s="129"/>
      <c r="C634" s="128"/>
      <c r="D634" s="128"/>
      <c r="E634" s="128"/>
      <c r="F634" s="166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6" t="str">
        <f t="shared" si="60"/>
        <v/>
      </c>
      <c r="S634" s="163" t="str">
        <f t="shared" si="61"/>
        <v/>
      </c>
      <c r="T634" s="160" t="str">
        <f>IFERROR(INDEX(当年标准成本!$I:$I,MATCH(K634,当年标准成本!$C:$C,0),1),"")</f>
        <v/>
      </c>
      <c r="U634" s="126" t="str">
        <f t="shared" si="62"/>
        <v/>
      </c>
      <c r="V634" s="126" t="str">
        <f t="shared" si="63"/>
        <v/>
      </c>
      <c r="W634" s="124" t="str">
        <f t="shared" si="64"/>
        <v/>
      </c>
      <c r="X634" s="125" t="str">
        <f t="shared" si="59"/>
        <v/>
      </c>
    </row>
    <row r="635" spans="1:24" x14ac:dyDescent="0.3">
      <c r="A635" s="129"/>
      <c r="B635" s="129"/>
      <c r="C635" s="128"/>
      <c r="D635" s="128"/>
      <c r="E635" s="128"/>
      <c r="F635" s="166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6" t="str">
        <f t="shared" si="60"/>
        <v/>
      </c>
      <c r="S635" s="163" t="str">
        <f t="shared" si="61"/>
        <v/>
      </c>
      <c r="T635" s="160" t="str">
        <f>IFERROR(INDEX(当年标准成本!$I:$I,MATCH(K635,当年标准成本!$C:$C,0),1),"")</f>
        <v/>
      </c>
      <c r="U635" s="126" t="str">
        <f t="shared" si="62"/>
        <v/>
      </c>
      <c r="V635" s="126" t="str">
        <f t="shared" si="63"/>
        <v/>
      </c>
      <c r="W635" s="124" t="str">
        <f t="shared" si="64"/>
        <v/>
      </c>
      <c r="X635" s="125" t="str">
        <f t="shared" si="59"/>
        <v/>
      </c>
    </row>
    <row r="636" spans="1:24" x14ac:dyDescent="0.3">
      <c r="A636" s="129"/>
      <c r="B636" s="129"/>
      <c r="C636" s="128"/>
      <c r="D636" s="128"/>
      <c r="E636" s="128"/>
      <c r="F636" s="166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6" t="str">
        <f t="shared" si="60"/>
        <v/>
      </c>
      <c r="S636" s="163" t="str">
        <f t="shared" si="61"/>
        <v/>
      </c>
      <c r="T636" s="160" t="str">
        <f>IFERROR(INDEX(当年标准成本!$I:$I,MATCH(K636,当年标准成本!$C:$C,0),1),"")</f>
        <v/>
      </c>
      <c r="U636" s="126" t="str">
        <f t="shared" si="62"/>
        <v/>
      </c>
      <c r="V636" s="126" t="str">
        <f t="shared" si="63"/>
        <v/>
      </c>
      <c r="W636" s="124" t="str">
        <f t="shared" si="64"/>
        <v/>
      </c>
      <c r="X636" s="125" t="str">
        <f t="shared" si="59"/>
        <v/>
      </c>
    </row>
    <row r="637" spans="1:24" x14ac:dyDescent="0.3">
      <c r="A637" s="129"/>
      <c r="B637" s="129"/>
      <c r="C637" s="128"/>
      <c r="D637" s="128"/>
      <c r="E637" s="128"/>
      <c r="F637" s="166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6" t="str">
        <f t="shared" si="60"/>
        <v/>
      </c>
      <c r="S637" s="163" t="str">
        <f t="shared" si="61"/>
        <v/>
      </c>
      <c r="T637" s="160" t="str">
        <f>IFERROR(INDEX(当年标准成本!$I:$I,MATCH(K637,当年标准成本!$C:$C,0),1),"")</f>
        <v/>
      </c>
      <c r="U637" s="126" t="str">
        <f t="shared" si="62"/>
        <v/>
      </c>
      <c r="V637" s="126" t="str">
        <f t="shared" si="63"/>
        <v/>
      </c>
      <c r="W637" s="124" t="str">
        <f t="shared" si="64"/>
        <v/>
      </c>
      <c r="X637" s="125" t="str">
        <f t="shared" si="59"/>
        <v/>
      </c>
    </row>
    <row r="638" spans="1:24" x14ac:dyDescent="0.3">
      <c r="A638" s="129"/>
      <c r="B638" s="129"/>
      <c r="C638" s="128"/>
      <c r="D638" s="128"/>
      <c r="E638" s="128"/>
      <c r="F638" s="166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6" t="str">
        <f t="shared" si="60"/>
        <v/>
      </c>
      <c r="S638" s="163" t="str">
        <f t="shared" si="61"/>
        <v/>
      </c>
      <c r="T638" s="160" t="str">
        <f>IFERROR(INDEX(当年标准成本!$I:$I,MATCH(K638,当年标准成本!$C:$C,0),1),"")</f>
        <v/>
      </c>
      <c r="U638" s="126" t="str">
        <f t="shared" si="62"/>
        <v/>
      </c>
      <c r="V638" s="126" t="str">
        <f t="shared" si="63"/>
        <v/>
      </c>
      <c r="W638" s="124" t="str">
        <f t="shared" si="64"/>
        <v/>
      </c>
      <c r="X638" s="125" t="str">
        <f t="shared" si="59"/>
        <v/>
      </c>
    </row>
    <row r="639" spans="1:24" x14ac:dyDescent="0.3">
      <c r="A639" s="129"/>
      <c r="B639" s="129"/>
      <c r="C639" s="128"/>
      <c r="D639" s="128"/>
      <c r="E639" s="128"/>
      <c r="F639" s="166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6" t="str">
        <f t="shared" si="60"/>
        <v/>
      </c>
      <c r="S639" s="163" t="str">
        <f t="shared" si="61"/>
        <v/>
      </c>
      <c r="T639" s="160" t="str">
        <f>IFERROR(INDEX(当年标准成本!$I:$I,MATCH(K639,当年标准成本!$C:$C,0),1),"")</f>
        <v/>
      </c>
      <c r="U639" s="126" t="str">
        <f t="shared" si="62"/>
        <v/>
      </c>
      <c r="V639" s="126" t="str">
        <f t="shared" si="63"/>
        <v/>
      </c>
      <c r="W639" s="124" t="str">
        <f t="shared" si="64"/>
        <v/>
      </c>
      <c r="X639" s="125" t="str">
        <f t="shared" si="59"/>
        <v/>
      </c>
    </row>
    <row r="640" spans="1:24" x14ac:dyDescent="0.3">
      <c r="A640" s="129"/>
      <c r="B640" s="129"/>
      <c r="C640" s="128"/>
      <c r="D640" s="128"/>
      <c r="E640" s="128"/>
      <c r="F640" s="166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6" t="str">
        <f t="shared" si="60"/>
        <v/>
      </c>
      <c r="S640" s="163" t="str">
        <f t="shared" si="61"/>
        <v/>
      </c>
      <c r="T640" s="160" t="str">
        <f>IFERROR(INDEX(当年标准成本!$I:$I,MATCH(K640,当年标准成本!$C:$C,0),1),"")</f>
        <v/>
      </c>
      <c r="U640" s="126" t="str">
        <f t="shared" si="62"/>
        <v/>
      </c>
      <c r="V640" s="126" t="str">
        <f t="shared" si="63"/>
        <v/>
      </c>
      <c r="W640" s="124" t="str">
        <f t="shared" si="64"/>
        <v/>
      </c>
      <c r="X640" s="125" t="str">
        <f t="shared" si="59"/>
        <v/>
      </c>
    </row>
    <row r="641" spans="1:24" x14ac:dyDescent="0.3">
      <c r="A641" s="129"/>
      <c r="B641" s="129"/>
      <c r="C641" s="128"/>
      <c r="D641" s="128"/>
      <c r="E641" s="128"/>
      <c r="F641" s="166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6" t="str">
        <f t="shared" si="60"/>
        <v/>
      </c>
      <c r="S641" s="163" t="str">
        <f t="shared" si="61"/>
        <v/>
      </c>
      <c r="T641" s="160" t="str">
        <f>IFERROR(INDEX(当年标准成本!$I:$I,MATCH(K641,当年标准成本!$C:$C,0),1),"")</f>
        <v/>
      </c>
      <c r="U641" s="126" t="str">
        <f t="shared" si="62"/>
        <v/>
      </c>
      <c r="V641" s="126" t="str">
        <f t="shared" si="63"/>
        <v/>
      </c>
      <c r="W641" s="124" t="str">
        <f t="shared" si="64"/>
        <v/>
      </c>
      <c r="X641" s="125" t="str">
        <f t="shared" si="59"/>
        <v/>
      </c>
    </row>
    <row r="642" spans="1:24" x14ac:dyDescent="0.3">
      <c r="A642" s="129"/>
      <c r="B642" s="129"/>
      <c r="C642" s="128"/>
      <c r="D642" s="128"/>
      <c r="E642" s="128"/>
      <c r="F642" s="166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6" t="str">
        <f t="shared" si="60"/>
        <v/>
      </c>
      <c r="S642" s="163" t="str">
        <f t="shared" si="61"/>
        <v/>
      </c>
      <c r="T642" s="160" t="str">
        <f>IFERROR(INDEX(当年标准成本!$I:$I,MATCH(K642,当年标准成本!$C:$C,0),1),"")</f>
        <v/>
      </c>
      <c r="U642" s="126" t="str">
        <f t="shared" si="62"/>
        <v/>
      </c>
      <c r="V642" s="126" t="str">
        <f t="shared" si="63"/>
        <v/>
      </c>
      <c r="W642" s="124" t="str">
        <f t="shared" si="64"/>
        <v/>
      </c>
      <c r="X642" s="125" t="str">
        <f t="shared" ref="X642:X705" si="65">IFERROR(IF(W642/SUM(W:W)=0,"",W642/SUM(W:W)),"")</f>
        <v/>
      </c>
    </row>
    <row r="643" spans="1:24" x14ac:dyDescent="0.3">
      <c r="A643" s="129"/>
      <c r="B643" s="129"/>
      <c r="C643" s="128"/>
      <c r="D643" s="128"/>
      <c r="E643" s="128"/>
      <c r="F643" s="166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6" t="str">
        <f t="shared" si="60"/>
        <v/>
      </c>
      <c r="S643" s="163" t="str">
        <f t="shared" si="61"/>
        <v/>
      </c>
      <c r="T643" s="160" t="str">
        <f>IFERROR(INDEX(当年标准成本!$I:$I,MATCH(K643,当年标准成本!$C:$C,0),1),"")</f>
        <v/>
      </c>
      <c r="U643" s="126" t="str">
        <f t="shared" si="62"/>
        <v/>
      </c>
      <c r="V643" s="126" t="str">
        <f t="shared" si="63"/>
        <v/>
      </c>
      <c r="W643" s="124" t="str">
        <f t="shared" si="64"/>
        <v/>
      </c>
      <c r="X643" s="125" t="str">
        <f t="shared" si="65"/>
        <v/>
      </c>
    </row>
    <row r="644" spans="1:24" x14ac:dyDescent="0.3">
      <c r="A644" s="129"/>
      <c r="B644" s="129"/>
      <c r="C644" s="128"/>
      <c r="D644" s="128"/>
      <c r="E644" s="128"/>
      <c r="F644" s="166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6" t="str">
        <f t="shared" si="60"/>
        <v/>
      </c>
      <c r="S644" s="163" t="str">
        <f t="shared" si="61"/>
        <v/>
      </c>
      <c r="T644" s="160" t="str">
        <f>IFERROR(INDEX(当年标准成本!$I:$I,MATCH(K644,当年标准成本!$C:$C,0),1),"")</f>
        <v/>
      </c>
      <c r="U644" s="126" t="str">
        <f t="shared" si="62"/>
        <v/>
      </c>
      <c r="V644" s="126" t="str">
        <f t="shared" si="63"/>
        <v/>
      </c>
      <c r="W644" s="124" t="str">
        <f t="shared" si="64"/>
        <v/>
      </c>
      <c r="X644" s="125" t="str">
        <f t="shared" si="65"/>
        <v/>
      </c>
    </row>
    <row r="645" spans="1:24" x14ac:dyDescent="0.3">
      <c r="A645" s="129"/>
      <c r="B645" s="129"/>
      <c r="C645" s="128"/>
      <c r="D645" s="128"/>
      <c r="E645" s="128"/>
      <c r="F645" s="166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6" t="str">
        <f t="shared" si="60"/>
        <v/>
      </c>
      <c r="S645" s="163" t="str">
        <f t="shared" si="61"/>
        <v/>
      </c>
      <c r="T645" s="160" t="str">
        <f>IFERROR(INDEX(当年标准成本!$I:$I,MATCH(K645,当年标准成本!$C:$C,0),1),"")</f>
        <v/>
      </c>
      <c r="U645" s="126" t="str">
        <f t="shared" si="62"/>
        <v/>
      </c>
      <c r="V645" s="126" t="str">
        <f t="shared" si="63"/>
        <v/>
      </c>
      <c r="W645" s="124" t="str">
        <f t="shared" si="64"/>
        <v/>
      </c>
      <c r="X645" s="125" t="str">
        <f t="shared" si="65"/>
        <v/>
      </c>
    </row>
    <row r="646" spans="1:24" x14ac:dyDescent="0.3">
      <c r="A646" s="129"/>
      <c r="B646" s="129"/>
      <c r="C646" s="128"/>
      <c r="D646" s="128"/>
      <c r="E646" s="128"/>
      <c r="F646" s="166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6" t="str">
        <f t="shared" si="60"/>
        <v/>
      </c>
      <c r="S646" s="163" t="str">
        <f t="shared" si="61"/>
        <v/>
      </c>
      <c r="T646" s="160" t="str">
        <f>IFERROR(INDEX(当年标准成本!$I:$I,MATCH(K646,当年标准成本!$C:$C,0),1),"")</f>
        <v/>
      </c>
      <c r="U646" s="126" t="str">
        <f t="shared" si="62"/>
        <v/>
      </c>
      <c r="V646" s="126" t="str">
        <f t="shared" si="63"/>
        <v/>
      </c>
      <c r="W646" s="124" t="str">
        <f t="shared" si="64"/>
        <v/>
      </c>
      <c r="X646" s="125" t="str">
        <f t="shared" si="65"/>
        <v/>
      </c>
    </row>
    <row r="647" spans="1:24" x14ac:dyDescent="0.3">
      <c r="A647" s="129"/>
      <c r="B647" s="129"/>
      <c r="C647" s="128"/>
      <c r="D647" s="128"/>
      <c r="E647" s="128"/>
      <c r="F647" s="166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6" t="str">
        <f t="shared" si="60"/>
        <v/>
      </c>
      <c r="S647" s="163" t="str">
        <f t="shared" si="61"/>
        <v/>
      </c>
      <c r="T647" s="160" t="str">
        <f>IFERROR(INDEX(当年标准成本!$I:$I,MATCH(K647,当年标准成本!$C:$C,0),1),"")</f>
        <v/>
      </c>
      <c r="U647" s="126" t="str">
        <f t="shared" si="62"/>
        <v/>
      </c>
      <c r="V647" s="126" t="str">
        <f t="shared" si="63"/>
        <v/>
      </c>
      <c r="W647" s="124" t="str">
        <f t="shared" si="64"/>
        <v/>
      </c>
      <c r="X647" s="125" t="str">
        <f t="shared" si="65"/>
        <v/>
      </c>
    </row>
    <row r="648" spans="1:24" x14ac:dyDescent="0.3">
      <c r="A648" s="129"/>
      <c r="B648" s="129"/>
      <c r="C648" s="128"/>
      <c r="D648" s="128"/>
      <c r="E648" s="128"/>
      <c r="F648" s="166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6" t="str">
        <f t="shared" si="60"/>
        <v/>
      </c>
      <c r="S648" s="163" t="str">
        <f t="shared" si="61"/>
        <v/>
      </c>
      <c r="T648" s="160" t="str">
        <f>IFERROR(INDEX(当年标准成本!$I:$I,MATCH(K648,当年标准成本!$C:$C,0),1),"")</f>
        <v/>
      </c>
      <c r="U648" s="126" t="str">
        <f t="shared" si="62"/>
        <v/>
      </c>
      <c r="V648" s="126" t="str">
        <f t="shared" si="63"/>
        <v/>
      </c>
      <c r="W648" s="124" t="str">
        <f t="shared" si="64"/>
        <v/>
      </c>
      <c r="X648" s="125" t="str">
        <f t="shared" si="65"/>
        <v/>
      </c>
    </row>
    <row r="649" spans="1:24" x14ac:dyDescent="0.3">
      <c r="A649" s="129"/>
      <c r="B649" s="129"/>
      <c r="C649" s="128"/>
      <c r="D649" s="128"/>
      <c r="E649" s="128"/>
      <c r="F649" s="166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6" t="str">
        <f t="shared" si="60"/>
        <v/>
      </c>
      <c r="S649" s="163" t="str">
        <f t="shared" si="61"/>
        <v/>
      </c>
      <c r="T649" s="160" t="str">
        <f>IFERROR(INDEX(当年标准成本!$I:$I,MATCH(K649,当年标准成本!$C:$C,0),1),"")</f>
        <v/>
      </c>
      <c r="U649" s="126" t="str">
        <f t="shared" si="62"/>
        <v/>
      </c>
      <c r="V649" s="126" t="str">
        <f t="shared" si="63"/>
        <v/>
      </c>
      <c r="W649" s="124" t="str">
        <f t="shared" si="64"/>
        <v/>
      </c>
      <c r="X649" s="125" t="str">
        <f t="shared" si="65"/>
        <v/>
      </c>
    </row>
    <row r="650" spans="1:24" x14ac:dyDescent="0.3">
      <c r="A650" s="129"/>
      <c r="B650" s="129"/>
      <c r="C650" s="128"/>
      <c r="D650" s="128"/>
      <c r="E650" s="128"/>
      <c r="F650" s="166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6" t="str">
        <f t="shared" ref="R650:R713" si="66">IFERROR(P650/O650,"")</f>
        <v/>
      </c>
      <c r="S650" s="163" t="str">
        <f t="shared" ref="S650:S713" si="67">IFERROR(R650*(1+Q650),"")</f>
        <v/>
      </c>
      <c r="T650" s="160" t="str">
        <f>IFERROR(INDEX(当年标准成本!$I:$I,MATCH(K650,当年标准成本!$C:$C,0),1),"")</f>
        <v/>
      </c>
      <c r="U650" s="126" t="str">
        <f t="shared" ref="U650:U713" si="68">IFERROR(O650*T650,"")</f>
        <v/>
      </c>
      <c r="V650" s="126" t="str">
        <f t="shared" ref="V650:V713" si="69">IFERROR(P650-U650,"")</f>
        <v/>
      </c>
      <c r="W650" s="124" t="str">
        <f t="shared" ref="W650:W713" si="70">IFERROR(V650/P650,"")</f>
        <v/>
      </c>
      <c r="X650" s="125" t="str">
        <f t="shared" si="65"/>
        <v/>
      </c>
    </row>
    <row r="651" spans="1:24" x14ac:dyDescent="0.3">
      <c r="A651" s="129"/>
      <c r="B651" s="129"/>
      <c r="C651" s="128"/>
      <c r="D651" s="128"/>
      <c r="E651" s="128"/>
      <c r="F651" s="166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6" t="str">
        <f t="shared" si="66"/>
        <v/>
      </c>
      <c r="S651" s="163" t="str">
        <f t="shared" si="67"/>
        <v/>
      </c>
      <c r="T651" s="160" t="str">
        <f>IFERROR(INDEX(当年标准成本!$I:$I,MATCH(K651,当年标准成本!$C:$C,0),1),"")</f>
        <v/>
      </c>
      <c r="U651" s="126" t="str">
        <f t="shared" si="68"/>
        <v/>
      </c>
      <c r="V651" s="126" t="str">
        <f t="shared" si="69"/>
        <v/>
      </c>
      <c r="W651" s="124" t="str">
        <f t="shared" si="70"/>
        <v/>
      </c>
      <c r="X651" s="125" t="str">
        <f t="shared" si="65"/>
        <v/>
      </c>
    </row>
    <row r="652" spans="1:24" x14ac:dyDescent="0.3">
      <c r="A652" s="129"/>
      <c r="B652" s="129"/>
      <c r="C652" s="128"/>
      <c r="D652" s="128"/>
      <c r="E652" s="128"/>
      <c r="F652" s="166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6" t="str">
        <f t="shared" si="66"/>
        <v/>
      </c>
      <c r="S652" s="163" t="str">
        <f t="shared" si="67"/>
        <v/>
      </c>
      <c r="T652" s="160" t="str">
        <f>IFERROR(INDEX(当年标准成本!$I:$I,MATCH(K652,当年标准成本!$C:$C,0),1),"")</f>
        <v/>
      </c>
      <c r="U652" s="126" t="str">
        <f t="shared" si="68"/>
        <v/>
      </c>
      <c r="V652" s="126" t="str">
        <f t="shared" si="69"/>
        <v/>
      </c>
      <c r="W652" s="124" t="str">
        <f t="shared" si="70"/>
        <v/>
      </c>
      <c r="X652" s="125" t="str">
        <f t="shared" si="65"/>
        <v/>
      </c>
    </row>
    <row r="653" spans="1:24" x14ac:dyDescent="0.3">
      <c r="A653" s="129"/>
      <c r="B653" s="129"/>
      <c r="C653" s="128"/>
      <c r="D653" s="128"/>
      <c r="E653" s="128"/>
      <c r="F653" s="166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6" t="str">
        <f t="shared" si="66"/>
        <v/>
      </c>
      <c r="S653" s="163" t="str">
        <f t="shared" si="67"/>
        <v/>
      </c>
      <c r="T653" s="160" t="str">
        <f>IFERROR(INDEX(当年标准成本!$I:$I,MATCH(K653,当年标准成本!$C:$C,0),1),"")</f>
        <v/>
      </c>
      <c r="U653" s="126" t="str">
        <f t="shared" si="68"/>
        <v/>
      </c>
      <c r="V653" s="126" t="str">
        <f t="shared" si="69"/>
        <v/>
      </c>
      <c r="W653" s="124" t="str">
        <f t="shared" si="70"/>
        <v/>
      </c>
      <c r="X653" s="125" t="str">
        <f t="shared" si="65"/>
        <v/>
      </c>
    </row>
    <row r="654" spans="1:24" x14ac:dyDescent="0.3">
      <c r="A654" s="129"/>
      <c r="B654" s="129"/>
      <c r="C654" s="128"/>
      <c r="D654" s="128"/>
      <c r="E654" s="128"/>
      <c r="F654" s="166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6" t="str">
        <f t="shared" si="66"/>
        <v/>
      </c>
      <c r="S654" s="163" t="str">
        <f t="shared" si="67"/>
        <v/>
      </c>
      <c r="T654" s="160" t="str">
        <f>IFERROR(INDEX(当年标准成本!$I:$I,MATCH(K654,当年标准成本!$C:$C,0),1),"")</f>
        <v/>
      </c>
      <c r="U654" s="126" t="str">
        <f t="shared" si="68"/>
        <v/>
      </c>
      <c r="V654" s="126" t="str">
        <f t="shared" si="69"/>
        <v/>
      </c>
      <c r="W654" s="124" t="str">
        <f t="shared" si="70"/>
        <v/>
      </c>
      <c r="X654" s="125" t="str">
        <f t="shared" si="65"/>
        <v/>
      </c>
    </row>
    <row r="655" spans="1:24" x14ac:dyDescent="0.3">
      <c r="A655" s="129"/>
      <c r="B655" s="129"/>
      <c r="C655" s="128"/>
      <c r="D655" s="128"/>
      <c r="E655" s="128"/>
      <c r="F655" s="166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6" t="str">
        <f t="shared" si="66"/>
        <v/>
      </c>
      <c r="S655" s="163" t="str">
        <f t="shared" si="67"/>
        <v/>
      </c>
      <c r="T655" s="160" t="str">
        <f>IFERROR(INDEX(当年标准成本!$I:$I,MATCH(K655,当年标准成本!$C:$C,0),1),"")</f>
        <v/>
      </c>
      <c r="U655" s="126" t="str">
        <f t="shared" si="68"/>
        <v/>
      </c>
      <c r="V655" s="126" t="str">
        <f t="shared" si="69"/>
        <v/>
      </c>
      <c r="W655" s="124" t="str">
        <f t="shared" si="70"/>
        <v/>
      </c>
      <c r="X655" s="125" t="str">
        <f t="shared" si="65"/>
        <v/>
      </c>
    </row>
    <row r="656" spans="1:24" x14ac:dyDescent="0.3">
      <c r="A656" s="129"/>
      <c r="B656" s="129"/>
      <c r="C656" s="128"/>
      <c r="D656" s="128"/>
      <c r="E656" s="128"/>
      <c r="F656" s="166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6" t="str">
        <f t="shared" si="66"/>
        <v/>
      </c>
      <c r="S656" s="163" t="str">
        <f t="shared" si="67"/>
        <v/>
      </c>
      <c r="T656" s="160" t="str">
        <f>IFERROR(INDEX(当年标准成本!$I:$I,MATCH(K656,当年标准成本!$C:$C,0),1),"")</f>
        <v/>
      </c>
      <c r="U656" s="126" t="str">
        <f t="shared" si="68"/>
        <v/>
      </c>
      <c r="V656" s="126" t="str">
        <f t="shared" si="69"/>
        <v/>
      </c>
      <c r="W656" s="124" t="str">
        <f t="shared" si="70"/>
        <v/>
      </c>
      <c r="X656" s="125" t="str">
        <f t="shared" si="65"/>
        <v/>
      </c>
    </row>
    <row r="657" spans="1:24" x14ac:dyDescent="0.3">
      <c r="A657" s="129"/>
      <c r="B657" s="129"/>
      <c r="C657" s="128"/>
      <c r="D657" s="128"/>
      <c r="E657" s="128"/>
      <c r="F657" s="166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6" t="str">
        <f t="shared" si="66"/>
        <v/>
      </c>
      <c r="S657" s="163" t="str">
        <f t="shared" si="67"/>
        <v/>
      </c>
      <c r="T657" s="160" t="str">
        <f>IFERROR(INDEX(当年标准成本!$I:$I,MATCH(K657,当年标准成本!$C:$C,0),1),"")</f>
        <v/>
      </c>
      <c r="U657" s="126" t="str">
        <f t="shared" si="68"/>
        <v/>
      </c>
      <c r="V657" s="126" t="str">
        <f t="shared" si="69"/>
        <v/>
      </c>
      <c r="W657" s="124" t="str">
        <f t="shared" si="70"/>
        <v/>
      </c>
      <c r="X657" s="125" t="str">
        <f t="shared" si="65"/>
        <v/>
      </c>
    </row>
    <row r="658" spans="1:24" x14ac:dyDescent="0.3">
      <c r="A658" s="129"/>
      <c r="B658" s="129"/>
      <c r="C658" s="128"/>
      <c r="D658" s="128"/>
      <c r="E658" s="128"/>
      <c r="F658" s="166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6" t="str">
        <f t="shared" si="66"/>
        <v/>
      </c>
      <c r="S658" s="163" t="str">
        <f t="shared" si="67"/>
        <v/>
      </c>
      <c r="T658" s="160" t="str">
        <f>IFERROR(INDEX(当年标准成本!$I:$I,MATCH(K658,当年标准成本!$C:$C,0),1),"")</f>
        <v/>
      </c>
      <c r="U658" s="126" t="str">
        <f t="shared" si="68"/>
        <v/>
      </c>
      <c r="V658" s="126" t="str">
        <f t="shared" si="69"/>
        <v/>
      </c>
      <c r="W658" s="124" t="str">
        <f t="shared" si="70"/>
        <v/>
      </c>
      <c r="X658" s="125" t="str">
        <f t="shared" si="65"/>
        <v/>
      </c>
    </row>
    <row r="659" spans="1:24" x14ac:dyDescent="0.3">
      <c r="A659" s="129"/>
      <c r="B659" s="129"/>
      <c r="C659" s="128"/>
      <c r="D659" s="128"/>
      <c r="E659" s="128"/>
      <c r="F659" s="166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6" t="str">
        <f t="shared" si="66"/>
        <v/>
      </c>
      <c r="S659" s="163" t="str">
        <f t="shared" si="67"/>
        <v/>
      </c>
      <c r="T659" s="160" t="str">
        <f>IFERROR(INDEX(当年标准成本!$I:$I,MATCH(K659,当年标准成本!$C:$C,0),1),"")</f>
        <v/>
      </c>
      <c r="U659" s="126" t="str">
        <f t="shared" si="68"/>
        <v/>
      </c>
      <c r="V659" s="126" t="str">
        <f t="shared" si="69"/>
        <v/>
      </c>
      <c r="W659" s="124" t="str">
        <f t="shared" si="70"/>
        <v/>
      </c>
      <c r="X659" s="125" t="str">
        <f t="shared" si="65"/>
        <v/>
      </c>
    </row>
    <row r="660" spans="1:24" x14ac:dyDescent="0.3">
      <c r="A660" s="129"/>
      <c r="B660" s="129"/>
      <c r="C660" s="128"/>
      <c r="D660" s="128"/>
      <c r="E660" s="128"/>
      <c r="F660" s="166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6" t="str">
        <f t="shared" si="66"/>
        <v/>
      </c>
      <c r="S660" s="163" t="str">
        <f t="shared" si="67"/>
        <v/>
      </c>
      <c r="T660" s="160" t="str">
        <f>IFERROR(INDEX(当年标准成本!$I:$I,MATCH(K660,当年标准成本!$C:$C,0),1),"")</f>
        <v/>
      </c>
      <c r="U660" s="126" t="str">
        <f t="shared" si="68"/>
        <v/>
      </c>
      <c r="V660" s="126" t="str">
        <f t="shared" si="69"/>
        <v/>
      </c>
      <c r="W660" s="124" t="str">
        <f t="shared" si="70"/>
        <v/>
      </c>
      <c r="X660" s="125" t="str">
        <f t="shared" si="65"/>
        <v/>
      </c>
    </row>
    <row r="661" spans="1:24" x14ac:dyDescent="0.3">
      <c r="A661" s="129"/>
      <c r="B661" s="129"/>
      <c r="C661" s="128"/>
      <c r="D661" s="128"/>
      <c r="E661" s="128"/>
      <c r="F661" s="166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6" t="str">
        <f t="shared" si="66"/>
        <v/>
      </c>
      <c r="S661" s="163" t="str">
        <f t="shared" si="67"/>
        <v/>
      </c>
      <c r="T661" s="160" t="str">
        <f>IFERROR(INDEX(当年标准成本!$I:$I,MATCH(K661,当年标准成本!$C:$C,0),1),"")</f>
        <v/>
      </c>
      <c r="U661" s="126" t="str">
        <f t="shared" si="68"/>
        <v/>
      </c>
      <c r="V661" s="126" t="str">
        <f t="shared" si="69"/>
        <v/>
      </c>
      <c r="W661" s="124" t="str">
        <f t="shared" si="70"/>
        <v/>
      </c>
      <c r="X661" s="125" t="str">
        <f t="shared" si="65"/>
        <v/>
      </c>
    </row>
    <row r="662" spans="1:24" x14ac:dyDescent="0.3">
      <c r="A662" s="129"/>
      <c r="B662" s="129"/>
      <c r="C662" s="128"/>
      <c r="D662" s="128"/>
      <c r="E662" s="128"/>
      <c r="F662" s="166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6" t="str">
        <f t="shared" si="66"/>
        <v/>
      </c>
      <c r="S662" s="163" t="str">
        <f t="shared" si="67"/>
        <v/>
      </c>
      <c r="T662" s="160" t="str">
        <f>IFERROR(INDEX(当年标准成本!$I:$I,MATCH(K662,当年标准成本!$C:$C,0),1),"")</f>
        <v/>
      </c>
      <c r="U662" s="126" t="str">
        <f t="shared" si="68"/>
        <v/>
      </c>
      <c r="V662" s="126" t="str">
        <f t="shared" si="69"/>
        <v/>
      </c>
      <c r="W662" s="124" t="str">
        <f t="shared" si="70"/>
        <v/>
      </c>
      <c r="X662" s="125" t="str">
        <f t="shared" si="65"/>
        <v/>
      </c>
    </row>
    <row r="663" spans="1:24" x14ac:dyDescent="0.3">
      <c r="A663" s="129"/>
      <c r="B663" s="129"/>
      <c r="C663" s="128"/>
      <c r="D663" s="128"/>
      <c r="E663" s="128"/>
      <c r="F663" s="166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6" t="str">
        <f t="shared" si="66"/>
        <v/>
      </c>
      <c r="S663" s="163" t="str">
        <f t="shared" si="67"/>
        <v/>
      </c>
      <c r="T663" s="160" t="str">
        <f>IFERROR(INDEX(当年标准成本!$I:$I,MATCH(K663,当年标准成本!$C:$C,0),1),"")</f>
        <v/>
      </c>
      <c r="U663" s="126" t="str">
        <f t="shared" si="68"/>
        <v/>
      </c>
      <c r="V663" s="126" t="str">
        <f t="shared" si="69"/>
        <v/>
      </c>
      <c r="W663" s="124" t="str">
        <f t="shared" si="70"/>
        <v/>
      </c>
      <c r="X663" s="125" t="str">
        <f t="shared" si="65"/>
        <v/>
      </c>
    </row>
    <row r="664" spans="1:24" x14ac:dyDescent="0.3">
      <c r="A664" s="129"/>
      <c r="B664" s="129"/>
      <c r="C664" s="128"/>
      <c r="D664" s="128"/>
      <c r="E664" s="128"/>
      <c r="F664" s="166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6" t="str">
        <f t="shared" si="66"/>
        <v/>
      </c>
      <c r="S664" s="163" t="str">
        <f t="shared" si="67"/>
        <v/>
      </c>
      <c r="T664" s="160" t="str">
        <f>IFERROR(INDEX(当年标准成本!$I:$I,MATCH(K664,当年标准成本!$C:$C,0),1),"")</f>
        <v/>
      </c>
      <c r="U664" s="126" t="str">
        <f t="shared" si="68"/>
        <v/>
      </c>
      <c r="V664" s="126" t="str">
        <f t="shared" si="69"/>
        <v/>
      </c>
      <c r="W664" s="124" t="str">
        <f t="shared" si="70"/>
        <v/>
      </c>
      <c r="X664" s="125" t="str">
        <f t="shared" si="65"/>
        <v/>
      </c>
    </row>
    <row r="665" spans="1:24" x14ac:dyDescent="0.3">
      <c r="A665" s="129"/>
      <c r="B665" s="129"/>
      <c r="C665" s="128"/>
      <c r="D665" s="128"/>
      <c r="E665" s="128"/>
      <c r="F665" s="166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6" t="str">
        <f t="shared" si="66"/>
        <v/>
      </c>
      <c r="S665" s="163" t="str">
        <f t="shared" si="67"/>
        <v/>
      </c>
      <c r="T665" s="160" t="str">
        <f>IFERROR(INDEX(当年标准成本!$I:$I,MATCH(K665,当年标准成本!$C:$C,0),1),"")</f>
        <v/>
      </c>
      <c r="U665" s="126" t="str">
        <f t="shared" si="68"/>
        <v/>
      </c>
      <c r="V665" s="126" t="str">
        <f t="shared" si="69"/>
        <v/>
      </c>
      <c r="W665" s="124" t="str">
        <f t="shared" si="70"/>
        <v/>
      </c>
      <c r="X665" s="125" t="str">
        <f t="shared" si="65"/>
        <v/>
      </c>
    </row>
    <row r="666" spans="1:24" x14ac:dyDescent="0.3">
      <c r="A666" s="129"/>
      <c r="B666" s="129"/>
      <c r="C666" s="128"/>
      <c r="D666" s="128"/>
      <c r="E666" s="128"/>
      <c r="F666" s="166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6" t="str">
        <f t="shared" si="66"/>
        <v/>
      </c>
      <c r="S666" s="163" t="str">
        <f t="shared" si="67"/>
        <v/>
      </c>
      <c r="T666" s="160" t="str">
        <f>IFERROR(INDEX(当年标准成本!$I:$I,MATCH(K666,当年标准成本!$C:$C,0),1),"")</f>
        <v/>
      </c>
      <c r="U666" s="126" t="str">
        <f t="shared" si="68"/>
        <v/>
      </c>
      <c r="V666" s="126" t="str">
        <f t="shared" si="69"/>
        <v/>
      </c>
      <c r="W666" s="124" t="str">
        <f t="shared" si="70"/>
        <v/>
      </c>
      <c r="X666" s="125" t="str">
        <f t="shared" si="65"/>
        <v/>
      </c>
    </row>
    <row r="667" spans="1:24" x14ac:dyDescent="0.3">
      <c r="A667" s="129"/>
      <c r="B667" s="129"/>
      <c r="C667" s="128"/>
      <c r="D667" s="128"/>
      <c r="E667" s="128"/>
      <c r="F667" s="166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6" t="str">
        <f t="shared" si="66"/>
        <v/>
      </c>
      <c r="S667" s="163" t="str">
        <f t="shared" si="67"/>
        <v/>
      </c>
      <c r="T667" s="160" t="str">
        <f>IFERROR(INDEX(当年标准成本!$I:$I,MATCH(K667,当年标准成本!$C:$C,0),1),"")</f>
        <v/>
      </c>
      <c r="U667" s="126" t="str">
        <f t="shared" si="68"/>
        <v/>
      </c>
      <c r="V667" s="126" t="str">
        <f t="shared" si="69"/>
        <v/>
      </c>
      <c r="W667" s="124" t="str">
        <f t="shared" si="70"/>
        <v/>
      </c>
      <c r="X667" s="125" t="str">
        <f t="shared" si="65"/>
        <v/>
      </c>
    </row>
    <row r="668" spans="1:24" x14ac:dyDescent="0.3">
      <c r="A668" s="129"/>
      <c r="B668" s="129"/>
      <c r="C668" s="128"/>
      <c r="D668" s="128"/>
      <c r="E668" s="128"/>
      <c r="F668" s="166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6" t="str">
        <f t="shared" si="66"/>
        <v/>
      </c>
      <c r="S668" s="163" t="str">
        <f t="shared" si="67"/>
        <v/>
      </c>
      <c r="T668" s="160" t="str">
        <f>IFERROR(INDEX(当年标准成本!$I:$I,MATCH(K668,当年标准成本!$C:$C,0),1),"")</f>
        <v/>
      </c>
      <c r="U668" s="126" t="str">
        <f t="shared" si="68"/>
        <v/>
      </c>
      <c r="V668" s="126" t="str">
        <f t="shared" si="69"/>
        <v/>
      </c>
      <c r="W668" s="124" t="str">
        <f t="shared" si="70"/>
        <v/>
      </c>
      <c r="X668" s="125" t="str">
        <f t="shared" si="65"/>
        <v/>
      </c>
    </row>
    <row r="669" spans="1:24" x14ac:dyDescent="0.3">
      <c r="A669" s="129"/>
      <c r="B669" s="129"/>
      <c r="C669" s="128"/>
      <c r="D669" s="128"/>
      <c r="E669" s="128"/>
      <c r="F669" s="166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6" t="str">
        <f t="shared" si="66"/>
        <v/>
      </c>
      <c r="S669" s="163" t="str">
        <f t="shared" si="67"/>
        <v/>
      </c>
      <c r="T669" s="160" t="str">
        <f>IFERROR(INDEX(当年标准成本!$I:$I,MATCH(K669,当年标准成本!$C:$C,0),1),"")</f>
        <v/>
      </c>
      <c r="U669" s="126" t="str">
        <f t="shared" si="68"/>
        <v/>
      </c>
      <c r="V669" s="126" t="str">
        <f t="shared" si="69"/>
        <v/>
      </c>
      <c r="W669" s="124" t="str">
        <f t="shared" si="70"/>
        <v/>
      </c>
      <c r="X669" s="125" t="str">
        <f t="shared" si="65"/>
        <v/>
      </c>
    </row>
    <row r="670" spans="1:24" x14ac:dyDescent="0.3">
      <c r="A670" s="129"/>
      <c r="B670" s="129"/>
      <c r="C670" s="128"/>
      <c r="D670" s="128"/>
      <c r="E670" s="128"/>
      <c r="F670" s="166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6" t="str">
        <f t="shared" si="66"/>
        <v/>
      </c>
      <c r="S670" s="163" t="str">
        <f t="shared" si="67"/>
        <v/>
      </c>
      <c r="T670" s="160" t="str">
        <f>IFERROR(INDEX(当年标准成本!$I:$I,MATCH(K670,当年标准成本!$C:$C,0),1),"")</f>
        <v/>
      </c>
      <c r="U670" s="126" t="str">
        <f t="shared" si="68"/>
        <v/>
      </c>
      <c r="V670" s="126" t="str">
        <f t="shared" si="69"/>
        <v/>
      </c>
      <c r="W670" s="124" t="str">
        <f t="shared" si="70"/>
        <v/>
      </c>
      <c r="X670" s="125" t="str">
        <f t="shared" si="65"/>
        <v/>
      </c>
    </row>
    <row r="671" spans="1:24" x14ac:dyDescent="0.3">
      <c r="A671" s="129"/>
      <c r="B671" s="129"/>
      <c r="C671" s="128"/>
      <c r="D671" s="128"/>
      <c r="E671" s="128"/>
      <c r="F671" s="166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6" t="str">
        <f t="shared" si="66"/>
        <v/>
      </c>
      <c r="S671" s="163" t="str">
        <f t="shared" si="67"/>
        <v/>
      </c>
      <c r="T671" s="160" t="str">
        <f>IFERROR(INDEX(当年标准成本!$I:$I,MATCH(K671,当年标准成本!$C:$C,0),1),"")</f>
        <v/>
      </c>
      <c r="U671" s="126" t="str">
        <f t="shared" si="68"/>
        <v/>
      </c>
      <c r="V671" s="126" t="str">
        <f t="shared" si="69"/>
        <v/>
      </c>
      <c r="W671" s="124" t="str">
        <f t="shared" si="70"/>
        <v/>
      </c>
      <c r="X671" s="125" t="str">
        <f t="shared" si="65"/>
        <v/>
      </c>
    </row>
    <row r="672" spans="1:24" x14ac:dyDescent="0.3">
      <c r="A672" s="129"/>
      <c r="B672" s="129"/>
      <c r="C672" s="128"/>
      <c r="D672" s="128"/>
      <c r="E672" s="128"/>
      <c r="F672" s="166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6" t="str">
        <f t="shared" si="66"/>
        <v/>
      </c>
      <c r="S672" s="163" t="str">
        <f t="shared" si="67"/>
        <v/>
      </c>
      <c r="T672" s="160" t="str">
        <f>IFERROR(INDEX(当年标准成本!$I:$I,MATCH(K672,当年标准成本!$C:$C,0),1),"")</f>
        <v/>
      </c>
      <c r="U672" s="126" t="str">
        <f t="shared" si="68"/>
        <v/>
      </c>
      <c r="V672" s="126" t="str">
        <f t="shared" si="69"/>
        <v/>
      </c>
      <c r="W672" s="124" t="str">
        <f t="shared" si="70"/>
        <v/>
      </c>
      <c r="X672" s="125" t="str">
        <f t="shared" si="65"/>
        <v/>
      </c>
    </row>
    <row r="673" spans="1:24" x14ac:dyDescent="0.3">
      <c r="A673" s="129"/>
      <c r="B673" s="129"/>
      <c r="C673" s="128"/>
      <c r="D673" s="128"/>
      <c r="E673" s="128"/>
      <c r="F673" s="166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6" t="str">
        <f t="shared" si="66"/>
        <v/>
      </c>
      <c r="S673" s="163" t="str">
        <f t="shared" si="67"/>
        <v/>
      </c>
      <c r="T673" s="160" t="str">
        <f>IFERROR(INDEX(当年标准成本!$I:$I,MATCH(K673,当年标准成本!$C:$C,0),1),"")</f>
        <v/>
      </c>
      <c r="U673" s="126" t="str">
        <f t="shared" si="68"/>
        <v/>
      </c>
      <c r="V673" s="126" t="str">
        <f t="shared" si="69"/>
        <v/>
      </c>
      <c r="W673" s="124" t="str">
        <f t="shared" si="70"/>
        <v/>
      </c>
      <c r="X673" s="125" t="str">
        <f t="shared" si="65"/>
        <v/>
      </c>
    </row>
    <row r="674" spans="1:24" x14ac:dyDescent="0.3">
      <c r="A674" s="129"/>
      <c r="B674" s="129"/>
      <c r="C674" s="128"/>
      <c r="D674" s="128"/>
      <c r="E674" s="128"/>
      <c r="F674" s="166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6" t="str">
        <f t="shared" si="66"/>
        <v/>
      </c>
      <c r="S674" s="163" t="str">
        <f t="shared" si="67"/>
        <v/>
      </c>
      <c r="T674" s="160" t="str">
        <f>IFERROR(INDEX(当年标准成本!$I:$I,MATCH(K674,当年标准成本!$C:$C,0),1),"")</f>
        <v/>
      </c>
      <c r="U674" s="126" t="str">
        <f t="shared" si="68"/>
        <v/>
      </c>
      <c r="V674" s="126" t="str">
        <f t="shared" si="69"/>
        <v/>
      </c>
      <c r="W674" s="124" t="str">
        <f t="shared" si="70"/>
        <v/>
      </c>
      <c r="X674" s="125" t="str">
        <f t="shared" si="65"/>
        <v/>
      </c>
    </row>
    <row r="675" spans="1:24" x14ac:dyDescent="0.3">
      <c r="A675" s="129"/>
      <c r="B675" s="129"/>
      <c r="C675" s="128"/>
      <c r="D675" s="128"/>
      <c r="E675" s="128"/>
      <c r="F675" s="166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6" t="str">
        <f t="shared" si="66"/>
        <v/>
      </c>
      <c r="S675" s="163" t="str">
        <f t="shared" si="67"/>
        <v/>
      </c>
      <c r="T675" s="160" t="str">
        <f>IFERROR(INDEX(当年标准成本!$I:$I,MATCH(K675,当年标准成本!$C:$C,0),1),"")</f>
        <v/>
      </c>
      <c r="U675" s="126" t="str">
        <f t="shared" si="68"/>
        <v/>
      </c>
      <c r="V675" s="126" t="str">
        <f t="shared" si="69"/>
        <v/>
      </c>
      <c r="W675" s="124" t="str">
        <f t="shared" si="70"/>
        <v/>
      </c>
      <c r="X675" s="125" t="str">
        <f t="shared" si="65"/>
        <v/>
      </c>
    </row>
    <row r="676" spans="1:24" x14ac:dyDescent="0.3">
      <c r="A676" s="129"/>
      <c r="B676" s="129"/>
      <c r="C676" s="128"/>
      <c r="D676" s="128"/>
      <c r="E676" s="128"/>
      <c r="F676" s="166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6" t="str">
        <f t="shared" si="66"/>
        <v/>
      </c>
      <c r="S676" s="163" t="str">
        <f t="shared" si="67"/>
        <v/>
      </c>
      <c r="T676" s="160" t="str">
        <f>IFERROR(INDEX(当年标准成本!$I:$I,MATCH(K676,当年标准成本!$C:$C,0),1),"")</f>
        <v/>
      </c>
      <c r="U676" s="126" t="str">
        <f t="shared" si="68"/>
        <v/>
      </c>
      <c r="V676" s="126" t="str">
        <f t="shared" si="69"/>
        <v/>
      </c>
      <c r="W676" s="124" t="str">
        <f t="shared" si="70"/>
        <v/>
      </c>
      <c r="X676" s="125" t="str">
        <f t="shared" si="65"/>
        <v/>
      </c>
    </row>
    <row r="677" spans="1:24" x14ac:dyDescent="0.3">
      <c r="A677" s="129"/>
      <c r="B677" s="129"/>
      <c r="C677" s="128"/>
      <c r="D677" s="128"/>
      <c r="E677" s="128"/>
      <c r="F677" s="166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6" t="str">
        <f t="shared" si="66"/>
        <v/>
      </c>
      <c r="S677" s="163" t="str">
        <f t="shared" si="67"/>
        <v/>
      </c>
      <c r="T677" s="160" t="str">
        <f>IFERROR(INDEX(当年标准成本!$I:$I,MATCH(K677,当年标准成本!$C:$C,0),1),"")</f>
        <v/>
      </c>
      <c r="U677" s="126" t="str">
        <f t="shared" si="68"/>
        <v/>
      </c>
      <c r="V677" s="126" t="str">
        <f t="shared" si="69"/>
        <v/>
      </c>
      <c r="W677" s="124" t="str">
        <f t="shared" si="70"/>
        <v/>
      </c>
      <c r="X677" s="125" t="str">
        <f t="shared" si="65"/>
        <v/>
      </c>
    </row>
    <row r="678" spans="1:24" x14ac:dyDescent="0.3">
      <c r="A678" s="129"/>
      <c r="B678" s="129"/>
      <c r="C678" s="128"/>
      <c r="D678" s="128"/>
      <c r="E678" s="128"/>
      <c r="F678" s="166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6" t="str">
        <f t="shared" si="66"/>
        <v/>
      </c>
      <c r="S678" s="163" t="str">
        <f t="shared" si="67"/>
        <v/>
      </c>
      <c r="T678" s="160" t="str">
        <f>IFERROR(INDEX(当年标准成本!$I:$I,MATCH(K678,当年标准成本!$C:$C,0),1),"")</f>
        <v/>
      </c>
      <c r="U678" s="126" t="str">
        <f t="shared" si="68"/>
        <v/>
      </c>
      <c r="V678" s="126" t="str">
        <f t="shared" si="69"/>
        <v/>
      </c>
      <c r="W678" s="124" t="str">
        <f t="shared" si="70"/>
        <v/>
      </c>
      <c r="X678" s="125" t="str">
        <f t="shared" si="65"/>
        <v/>
      </c>
    </row>
    <row r="679" spans="1:24" x14ac:dyDescent="0.3">
      <c r="A679" s="129"/>
      <c r="B679" s="129"/>
      <c r="C679" s="128"/>
      <c r="D679" s="128"/>
      <c r="E679" s="128"/>
      <c r="F679" s="166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6" t="str">
        <f t="shared" si="66"/>
        <v/>
      </c>
      <c r="S679" s="163" t="str">
        <f t="shared" si="67"/>
        <v/>
      </c>
      <c r="T679" s="160" t="str">
        <f>IFERROR(INDEX(当年标准成本!$I:$I,MATCH(K679,当年标准成本!$C:$C,0),1),"")</f>
        <v/>
      </c>
      <c r="U679" s="126" t="str">
        <f t="shared" si="68"/>
        <v/>
      </c>
      <c r="V679" s="126" t="str">
        <f t="shared" si="69"/>
        <v/>
      </c>
      <c r="W679" s="124" t="str">
        <f t="shared" si="70"/>
        <v/>
      </c>
      <c r="X679" s="125" t="str">
        <f t="shared" si="65"/>
        <v/>
      </c>
    </row>
    <row r="680" spans="1:24" x14ac:dyDescent="0.3">
      <c r="A680" s="129"/>
      <c r="B680" s="129"/>
      <c r="C680" s="128"/>
      <c r="D680" s="128"/>
      <c r="E680" s="128"/>
      <c r="F680" s="166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6" t="str">
        <f t="shared" si="66"/>
        <v/>
      </c>
      <c r="S680" s="163" t="str">
        <f t="shared" si="67"/>
        <v/>
      </c>
      <c r="T680" s="160" t="str">
        <f>IFERROR(INDEX(当年标准成本!$I:$I,MATCH(K680,当年标准成本!$C:$C,0),1),"")</f>
        <v/>
      </c>
      <c r="U680" s="126" t="str">
        <f t="shared" si="68"/>
        <v/>
      </c>
      <c r="V680" s="126" t="str">
        <f t="shared" si="69"/>
        <v/>
      </c>
      <c r="W680" s="124" t="str">
        <f t="shared" si="70"/>
        <v/>
      </c>
      <c r="X680" s="125" t="str">
        <f t="shared" si="65"/>
        <v/>
      </c>
    </row>
    <row r="681" spans="1:24" x14ac:dyDescent="0.3">
      <c r="A681" s="129"/>
      <c r="B681" s="129"/>
      <c r="C681" s="128"/>
      <c r="D681" s="128"/>
      <c r="E681" s="128"/>
      <c r="F681" s="166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6" t="str">
        <f t="shared" si="66"/>
        <v/>
      </c>
      <c r="S681" s="163" t="str">
        <f t="shared" si="67"/>
        <v/>
      </c>
      <c r="T681" s="160" t="str">
        <f>IFERROR(INDEX(当年标准成本!$I:$I,MATCH(K681,当年标准成本!$C:$C,0),1),"")</f>
        <v/>
      </c>
      <c r="U681" s="126" t="str">
        <f t="shared" si="68"/>
        <v/>
      </c>
      <c r="V681" s="126" t="str">
        <f t="shared" si="69"/>
        <v/>
      </c>
      <c r="W681" s="124" t="str">
        <f t="shared" si="70"/>
        <v/>
      </c>
      <c r="X681" s="125" t="str">
        <f t="shared" si="65"/>
        <v/>
      </c>
    </row>
    <row r="682" spans="1:24" x14ac:dyDescent="0.3">
      <c r="A682" s="129"/>
      <c r="B682" s="129"/>
      <c r="C682" s="128"/>
      <c r="D682" s="128"/>
      <c r="E682" s="128"/>
      <c r="F682" s="166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6" t="str">
        <f t="shared" si="66"/>
        <v/>
      </c>
      <c r="S682" s="163" t="str">
        <f t="shared" si="67"/>
        <v/>
      </c>
      <c r="T682" s="160" t="str">
        <f>IFERROR(INDEX(当年标准成本!$I:$I,MATCH(K682,当年标准成本!$C:$C,0),1),"")</f>
        <v/>
      </c>
      <c r="U682" s="126" t="str">
        <f t="shared" si="68"/>
        <v/>
      </c>
      <c r="V682" s="126" t="str">
        <f t="shared" si="69"/>
        <v/>
      </c>
      <c r="W682" s="124" t="str">
        <f t="shared" si="70"/>
        <v/>
      </c>
      <c r="X682" s="125" t="str">
        <f t="shared" si="65"/>
        <v/>
      </c>
    </row>
    <row r="683" spans="1:24" x14ac:dyDescent="0.3">
      <c r="A683" s="129"/>
      <c r="B683" s="129"/>
      <c r="C683" s="128"/>
      <c r="D683" s="128"/>
      <c r="E683" s="128"/>
      <c r="F683" s="166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6" t="str">
        <f t="shared" si="66"/>
        <v/>
      </c>
      <c r="S683" s="163" t="str">
        <f t="shared" si="67"/>
        <v/>
      </c>
      <c r="T683" s="160" t="str">
        <f>IFERROR(INDEX(当年标准成本!$I:$I,MATCH(K683,当年标准成本!$C:$C,0),1),"")</f>
        <v/>
      </c>
      <c r="U683" s="126" t="str">
        <f t="shared" si="68"/>
        <v/>
      </c>
      <c r="V683" s="126" t="str">
        <f t="shared" si="69"/>
        <v/>
      </c>
      <c r="W683" s="124" t="str">
        <f t="shared" si="70"/>
        <v/>
      </c>
      <c r="X683" s="125" t="str">
        <f t="shared" si="65"/>
        <v/>
      </c>
    </row>
    <row r="684" spans="1:24" x14ac:dyDescent="0.3">
      <c r="A684" s="129"/>
      <c r="B684" s="129"/>
      <c r="C684" s="128"/>
      <c r="D684" s="128"/>
      <c r="E684" s="128"/>
      <c r="F684" s="166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6" t="str">
        <f t="shared" si="66"/>
        <v/>
      </c>
      <c r="S684" s="163" t="str">
        <f t="shared" si="67"/>
        <v/>
      </c>
      <c r="T684" s="160" t="str">
        <f>IFERROR(INDEX(当年标准成本!$I:$I,MATCH(K684,当年标准成本!$C:$C,0),1),"")</f>
        <v/>
      </c>
      <c r="U684" s="126" t="str">
        <f t="shared" si="68"/>
        <v/>
      </c>
      <c r="V684" s="126" t="str">
        <f t="shared" si="69"/>
        <v/>
      </c>
      <c r="W684" s="124" t="str">
        <f t="shared" si="70"/>
        <v/>
      </c>
      <c r="X684" s="125" t="str">
        <f t="shared" si="65"/>
        <v/>
      </c>
    </row>
    <row r="685" spans="1:24" x14ac:dyDescent="0.3">
      <c r="A685" s="129"/>
      <c r="B685" s="129"/>
      <c r="C685" s="128"/>
      <c r="D685" s="128"/>
      <c r="E685" s="128"/>
      <c r="F685" s="166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6" t="str">
        <f t="shared" si="66"/>
        <v/>
      </c>
      <c r="S685" s="163" t="str">
        <f t="shared" si="67"/>
        <v/>
      </c>
      <c r="T685" s="160" t="str">
        <f>IFERROR(INDEX(当年标准成本!$I:$I,MATCH(K685,当年标准成本!$C:$C,0),1),"")</f>
        <v/>
      </c>
      <c r="U685" s="126" t="str">
        <f t="shared" si="68"/>
        <v/>
      </c>
      <c r="V685" s="126" t="str">
        <f t="shared" si="69"/>
        <v/>
      </c>
      <c r="W685" s="124" t="str">
        <f t="shared" si="70"/>
        <v/>
      </c>
      <c r="X685" s="125" t="str">
        <f t="shared" si="65"/>
        <v/>
      </c>
    </row>
    <row r="686" spans="1:24" x14ac:dyDescent="0.3">
      <c r="A686" s="129"/>
      <c r="B686" s="129"/>
      <c r="C686" s="128"/>
      <c r="D686" s="128"/>
      <c r="E686" s="128"/>
      <c r="F686" s="166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6" t="str">
        <f t="shared" si="66"/>
        <v/>
      </c>
      <c r="S686" s="163" t="str">
        <f t="shared" si="67"/>
        <v/>
      </c>
      <c r="T686" s="160" t="str">
        <f>IFERROR(INDEX(当年标准成本!$I:$I,MATCH(K686,当年标准成本!$C:$C,0),1),"")</f>
        <v/>
      </c>
      <c r="U686" s="126" t="str">
        <f t="shared" si="68"/>
        <v/>
      </c>
      <c r="V686" s="126" t="str">
        <f t="shared" si="69"/>
        <v/>
      </c>
      <c r="W686" s="124" t="str">
        <f t="shared" si="70"/>
        <v/>
      </c>
      <c r="X686" s="125" t="str">
        <f t="shared" si="65"/>
        <v/>
      </c>
    </row>
    <row r="687" spans="1:24" x14ac:dyDescent="0.3">
      <c r="A687" s="129"/>
      <c r="B687" s="129"/>
      <c r="C687" s="128"/>
      <c r="D687" s="128"/>
      <c r="E687" s="128"/>
      <c r="F687" s="166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6" t="str">
        <f t="shared" si="66"/>
        <v/>
      </c>
      <c r="S687" s="163" t="str">
        <f t="shared" si="67"/>
        <v/>
      </c>
      <c r="T687" s="160" t="str">
        <f>IFERROR(INDEX(当年标准成本!$I:$I,MATCH(K687,当年标准成本!$C:$C,0),1),"")</f>
        <v/>
      </c>
      <c r="U687" s="126" t="str">
        <f t="shared" si="68"/>
        <v/>
      </c>
      <c r="V687" s="126" t="str">
        <f t="shared" si="69"/>
        <v/>
      </c>
      <c r="W687" s="124" t="str">
        <f t="shared" si="70"/>
        <v/>
      </c>
      <c r="X687" s="125" t="str">
        <f t="shared" si="65"/>
        <v/>
      </c>
    </row>
    <row r="688" spans="1:24" x14ac:dyDescent="0.3">
      <c r="A688" s="129"/>
      <c r="B688" s="129"/>
      <c r="C688" s="128"/>
      <c r="D688" s="128"/>
      <c r="E688" s="128"/>
      <c r="F688" s="166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6" t="str">
        <f t="shared" si="66"/>
        <v/>
      </c>
      <c r="S688" s="163" t="str">
        <f t="shared" si="67"/>
        <v/>
      </c>
      <c r="T688" s="160" t="str">
        <f>IFERROR(INDEX(当年标准成本!$I:$I,MATCH(K688,当年标准成本!$C:$C,0),1),"")</f>
        <v/>
      </c>
      <c r="U688" s="126" t="str">
        <f t="shared" si="68"/>
        <v/>
      </c>
      <c r="V688" s="126" t="str">
        <f t="shared" si="69"/>
        <v/>
      </c>
      <c r="W688" s="124" t="str">
        <f t="shared" si="70"/>
        <v/>
      </c>
      <c r="X688" s="125" t="str">
        <f t="shared" si="65"/>
        <v/>
      </c>
    </row>
    <row r="689" spans="1:24" x14ac:dyDescent="0.3">
      <c r="A689" s="129"/>
      <c r="B689" s="129"/>
      <c r="C689" s="128"/>
      <c r="D689" s="128"/>
      <c r="E689" s="128"/>
      <c r="F689" s="166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6" t="str">
        <f t="shared" si="66"/>
        <v/>
      </c>
      <c r="S689" s="163" t="str">
        <f t="shared" si="67"/>
        <v/>
      </c>
      <c r="T689" s="160" t="str">
        <f>IFERROR(INDEX(当年标准成本!$I:$I,MATCH(K689,当年标准成本!$C:$C,0),1),"")</f>
        <v/>
      </c>
      <c r="U689" s="126" t="str">
        <f t="shared" si="68"/>
        <v/>
      </c>
      <c r="V689" s="126" t="str">
        <f t="shared" si="69"/>
        <v/>
      </c>
      <c r="W689" s="124" t="str">
        <f t="shared" si="70"/>
        <v/>
      </c>
      <c r="X689" s="125" t="str">
        <f t="shared" si="65"/>
        <v/>
      </c>
    </row>
    <row r="690" spans="1:24" x14ac:dyDescent="0.3">
      <c r="A690" s="129"/>
      <c r="B690" s="129"/>
      <c r="C690" s="128"/>
      <c r="D690" s="128"/>
      <c r="E690" s="128"/>
      <c r="F690" s="166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6" t="str">
        <f t="shared" si="66"/>
        <v/>
      </c>
      <c r="S690" s="163" t="str">
        <f t="shared" si="67"/>
        <v/>
      </c>
      <c r="T690" s="160" t="str">
        <f>IFERROR(INDEX(当年标准成本!$I:$I,MATCH(K690,当年标准成本!$C:$C,0),1),"")</f>
        <v/>
      </c>
      <c r="U690" s="126" t="str">
        <f t="shared" si="68"/>
        <v/>
      </c>
      <c r="V690" s="126" t="str">
        <f t="shared" si="69"/>
        <v/>
      </c>
      <c r="W690" s="124" t="str">
        <f t="shared" si="70"/>
        <v/>
      </c>
      <c r="X690" s="125" t="str">
        <f t="shared" si="65"/>
        <v/>
      </c>
    </row>
    <row r="691" spans="1:24" x14ac:dyDescent="0.3">
      <c r="A691" s="129"/>
      <c r="B691" s="129"/>
      <c r="C691" s="128"/>
      <c r="D691" s="128"/>
      <c r="E691" s="128"/>
      <c r="F691" s="166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6" t="str">
        <f t="shared" si="66"/>
        <v/>
      </c>
      <c r="S691" s="163" t="str">
        <f t="shared" si="67"/>
        <v/>
      </c>
      <c r="T691" s="160" t="str">
        <f>IFERROR(INDEX(当年标准成本!$I:$I,MATCH(K691,当年标准成本!$C:$C,0),1),"")</f>
        <v/>
      </c>
      <c r="U691" s="126" t="str">
        <f t="shared" si="68"/>
        <v/>
      </c>
      <c r="V691" s="126" t="str">
        <f t="shared" si="69"/>
        <v/>
      </c>
      <c r="W691" s="124" t="str">
        <f t="shared" si="70"/>
        <v/>
      </c>
      <c r="X691" s="125" t="str">
        <f t="shared" si="65"/>
        <v/>
      </c>
    </row>
    <row r="692" spans="1:24" x14ac:dyDescent="0.3">
      <c r="A692" s="129"/>
      <c r="B692" s="129"/>
      <c r="C692" s="128"/>
      <c r="D692" s="128"/>
      <c r="E692" s="128"/>
      <c r="F692" s="166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6" t="str">
        <f t="shared" si="66"/>
        <v/>
      </c>
      <c r="S692" s="163" t="str">
        <f t="shared" si="67"/>
        <v/>
      </c>
      <c r="T692" s="160" t="str">
        <f>IFERROR(INDEX(当年标准成本!$I:$I,MATCH(K692,当年标准成本!$C:$C,0),1),"")</f>
        <v/>
      </c>
      <c r="U692" s="126" t="str">
        <f t="shared" si="68"/>
        <v/>
      </c>
      <c r="V692" s="126" t="str">
        <f t="shared" si="69"/>
        <v/>
      </c>
      <c r="W692" s="124" t="str">
        <f t="shared" si="70"/>
        <v/>
      </c>
      <c r="X692" s="125" t="str">
        <f t="shared" si="65"/>
        <v/>
      </c>
    </row>
    <row r="693" spans="1:24" x14ac:dyDescent="0.3">
      <c r="A693" s="129"/>
      <c r="B693" s="129"/>
      <c r="C693" s="128"/>
      <c r="D693" s="128"/>
      <c r="E693" s="128"/>
      <c r="F693" s="166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6" t="str">
        <f t="shared" si="66"/>
        <v/>
      </c>
      <c r="S693" s="163" t="str">
        <f t="shared" si="67"/>
        <v/>
      </c>
      <c r="T693" s="160" t="str">
        <f>IFERROR(INDEX(当年标准成本!$I:$I,MATCH(K693,当年标准成本!$C:$C,0),1),"")</f>
        <v/>
      </c>
      <c r="U693" s="126" t="str">
        <f t="shared" si="68"/>
        <v/>
      </c>
      <c r="V693" s="126" t="str">
        <f t="shared" si="69"/>
        <v/>
      </c>
      <c r="W693" s="124" t="str">
        <f t="shared" si="70"/>
        <v/>
      </c>
      <c r="X693" s="125" t="str">
        <f t="shared" si="65"/>
        <v/>
      </c>
    </row>
    <row r="694" spans="1:24" x14ac:dyDescent="0.3">
      <c r="A694" s="129"/>
      <c r="B694" s="129"/>
      <c r="C694" s="128"/>
      <c r="D694" s="128"/>
      <c r="E694" s="128"/>
      <c r="F694" s="166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6" t="str">
        <f t="shared" si="66"/>
        <v/>
      </c>
      <c r="S694" s="163" t="str">
        <f t="shared" si="67"/>
        <v/>
      </c>
      <c r="T694" s="160" t="str">
        <f>IFERROR(INDEX(当年标准成本!$I:$I,MATCH(K694,当年标准成本!$C:$C,0),1),"")</f>
        <v/>
      </c>
      <c r="U694" s="126" t="str">
        <f t="shared" si="68"/>
        <v/>
      </c>
      <c r="V694" s="126" t="str">
        <f t="shared" si="69"/>
        <v/>
      </c>
      <c r="W694" s="124" t="str">
        <f t="shared" si="70"/>
        <v/>
      </c>
      <c r="X694" s="125" t="str">
        <f t="shared" si="65"/>
        <v/>
      </c>
    </row>
    <row r="695" spans="1:24" x14ac:dyDescent="0.3">
      <c r="A695" s="129"/>
      <c r="B695" s="129"/>
      <c r="C695" s="128"/>
      <c r="D695" s="128"/>
      <c r="E695" s="128"/>
      <c r="F695" s="166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6" t="str">
        <f t="shared" si="66"/>
        <v/>
      </c>
      <c r="S695" s="163" t="str">
        <f t="shared" si="67"/>
        <v/>
      </c>
      <c r="T695" s="160" t="str">
        <f>IFERROR(INDEX(当年标准成本!$I:$I,MATCH(K695,当年标准成本!$C:$C,0),1),"")</f>
        <v/>
      </c>
      <c r="U695" s="126" t="str">
        <f t="shared" si="68"/>
        <v/>
      </c>
      <c r="V695" s="126" t="str">
        <f t="shared" si="69"/>
        <v/>
      </c>
      <c r="W695" s="124" t="str">
        <f t="shared" si="70"/>
        <v/>
      </c>
      <c r="X695" s="125" t="str">
        <f t="shared" si="65"/>
        <v/>
      </c>
    </row>
    <row r="696" spans="1:24" x14ac:dyDescent="0.3">
      <c r="A696" s="129"/>
      <c r="B696" s="129"/>
      <c r="C696" s="128"/>
      <c r="D696" s="128"/>
      <c r="E696" s="128"/>
      <c r="F696" s="166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6" t="str">
        <f t="shared" si="66"/>
        <v/>
      </c>
      <c r="S696" s="163" t="str">
        <f t="shared" si="67"/>
        <v/>
      </c>
      <c r="T696" s="160" t="str">
        <f>IFERROR(INDEX(当年标准成本!$I:$I,MATCH(K696,当年标准成本!$C:$C,0),1),"")</f>
        <v/>
      </c>
      <c r="U696" s="126" t="str">
        <f t="shared" si="68"/>
        <v/>
      </c>
      <c r="V696" s="126" t="str">
        <f t="shared" si="69"/>
        <v/>
      </c>
      <c r="W696" s="124" t="str">
        <f t="shared" si="70"/>
        <v/>
      </c>
      <c r="X696" s="125" t="str">
        <f t="shared" si="65"/>
        <v/>
      </c>
    </row>
    <row r="697" spans="1:24" x14ac:dyDescent="0.3">
      <c r="A697" s="129"/>
      <c r="B697" s="129"/>
      <c r="C697" s="128"/>
      <c r="D697" s="128"/>
      <c r="E697" s="128"/>
      <c r="F697" s="166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6" t="str">
        <f t="shared" si="66"/>
        <v/>
      </c>
      <c r="S697" s="163" t="str">
        <f t="shared" si="67"/>
        <v/>
      </c>
      <c r="T697" s="160" t="str">
        <f>IFERROR(INDEX(当年标准成本!$I:$I,MATCH(K697,当年标准成本!$C:$C,0),1),"")</f>
        <v/>
      </c>
      <c r="U697" s="126" t="str">
        <f t="shared" si="68"/>
        <v/>
      </c>
      <c r="V697" s="126" t="str">
        <f t="shared" si="69"/>
        <v/>
      </c>
      <c r="W697" s="124" t="str">
        <f t="shared" si="70"/>
        <v/>
      </c>
      <c r="X697" s="125" t="str">
        <f t="shared" si="65"/>
        <v/>
      </c>
    </row>
    <row r="698" spans="1:24" x14ac:dyDescent="0.3">
      <c r="A698" s="129"/>
      <c r="B698" s="129"/>
      <c r="C698" s="128"/>
      <c r="D698" s="128"/>
      <c r="E698" s="128"/>
      <c r="F698" s="166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6" t="str">
        <f t="shared" si="66"/>
        <v/>
      </c>
      <c r="S698" s="163" t="str">
        <f t="shared" si="67"/>
        <v/>
      </c>
      <c r="T698" s="160" t="str">
        <f>IFERROR(INDEX(当年标准成本!$I:$I,MATCH(K698,当年标准成本!$C:$C,0),1),"")</f>
        <v/>
      </c>
      <c r="U698" s="126" t="str">
        <f t="shared" si="68"/>
        <v/>
      </c>
      <c r="V698" s="126" t="str">
        <f t="shared" si="69"/>
        <v/>
      </c>
      <c r="W698" s="124" t="str">
        <f t="shared" si="70"/>
        <v/>
      </c>
      <c r="X698" s="125" t="str">
        <f t="shared" si="65"/>
        <v/>
      </c>
    </row>
    <row r="699" spans="1:24" x14ac:dyDescent="0.3">
      <c r="A699" s="129"/>
      <c r="B699" s="129"/>
      <c r="C699" s="128"/>
      <c r="D699" s="128"/>
      <c r="E699" s="128"/>
      <c r="F699" s="166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6" t="str">
        <f t="shared" si="66"/>
        <v/>
      </c>
      <c r="S699" s="163" t="str">
        <f t="shared" si="67"/>
        <v/>
      </c>
      <c r="T699" s="160" t="str">
        <f>IFERROR(INDEX(当年标准成本!$I:$I,MATCH(K699,当年标准成本!$C:$C,0),1),"")</f>
        <v/>
      </c>
      <c r="U699" s="126" t="str">
        <f t="shared" si="68"/>
        <v/>
      </c>
      <c r="V699" s="126" t="str">
        <f t="shared" si="69"/>
        <v/>
      </c>
      <c r="W699" s="124" t="str">
        <f t="shared" si="70"/>
        <v/>
      </c>
      <c r="X699" s="125" t="str">
        <f t="shared" si="65"/>
        <v/>
      </c>
    </row>
    <row r="700" spans="1:24" x14ac:dyDescent="0.3">
      <c r="A700" s="129"/>
      <c r="B700" s="129"/>
      <c r="C700" s="128"/>
      <c r="D700" s="128"/>
      <c r="E700" s="128"/>
      <c r="F700" s="166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6" t="str">
        <f t="shared" si="66"/>
        <v/>
      </c>
      <c r="S700" s="163" t="str">
        <f t="shared" si="67"/>
        <v/>
      </c>
      <c r="T700" s="160" t="str">
        <f>IFERROR(INDEX(当年标准成本!$I:$I,MATCH(K700,当年标准成本!$C:$C,0),1),"")</f>
        <v/>
      </c>
      <c r="U700" s="126" t="str">
        <f t="shared" si="68"/>
        <v/>
      </c>
      <c r="V700" s="126" t="str">
        <f t="shared" si="69"/>
        <v/>
      </c>
      <c r="W700" s="124" t="str">
        <f t="shared" si="70"/>
        <v/>
      </c>
      <c r="X700" s="125" t="str">
        <f t="shared" si="65"/>
        <v/>
      </c>
    </row>
    <row r="701" spans="1:24" x14ac:dyDescent="0.3">
      <c r="A701" s="129"/>
      <c r="B701" s="129"/>
      <c r="C701" s="128"/>
      <c r="D701" s="128"/>
      <c r="E701" s="128"/>
      <c r="F701" s="166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6" t="str">
        <f t="shared" si="66"/>
        <v/>
      </c>
      <c r="S701" s="163" t="str">
        <f t="shared" si="67"/>
        <v/>
      </c>
      <c r="T701" s="160" t="str">
        <f>IFERROR(INDEX(当年标准成本!$I:$I,MATCH(K701,当年标准成本!$C:$C,0),1),"")</f>
        <v/>
      </c>
      <c r="U701" s="126" t="str">
        <f t="shared" si="68"/>
        <v/>
      </c>
      <c r="V701" s="126" t="str">
        <f t="shared" si="69"/>
        <v/>
      </c>
      <c r="W701" s="124" t="str">
        <f t="shared" si="70"/>
        <v/>
      </c>
      <c r="X701" s="125" t="str">
        <f t="shared" si="65"/>
        <v/>
      </c>
    </row>
    <row r="702" spans="1:24" x14ac:dyDescent="0.3">
      <c r="A702" s="129"/>
      <c r="B702" s="129"/>
      <c r="C702" s="128"/>
      <c r="D702" s="128"/>
      <c r="E702" s="128"/>
      <c r="F702" s="166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6" t="str">
        <f t="shared" si="66"/>
        <v/>
      </c>
      <c r="S702" s="163" t="str">
        <f t="shared" si="67"/>
        <v/>
      </c>
      <c r="T702" s="160" t="str">
        <f>IFERROR(INDEX(当年标准成本!$I:$I,MATCH(K702,当年标准成本!$C:$C,0),1),"")</f>
        <v/>
      </c>
      <c r="U702" s="126" t="str">
        <f t="shared" si="68"/>
        <v/>
      </c>
      <c r="V702" s="126" t="str">
        <f t="shared" si="69"/>
        <v/>
      </c>
      <c r="W702" s="124" t="str">
        <f t="shared" si="70"/>
        <v/>
      </c>
      <c r="X702" s="125" t="str">
        <f t="shared" si="65"/>
        <v/>
      </c>
    </row>
    <row r="703" spans="1:24" x14ac:dyDescent="0.3">
      <c r="A703" s="129"/>
      <c r="B703" s="129"/>
      <c r="C703" s="128"/>
      <c r="D703" s="128"/>
      <c r="E703" s="128"/>
      <c r="F703" s="166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6" t="str">
        <f t="shared" si="66"/>
        <v/>
      </c>
      <c r="S703" s="163" t="str">
        <f t="shared" si="67"/>
        <v/>
      </c>
      <c r="T703" s="160" t="str">
        <f>IFERROR(INDEX(当年标准成本!$I:$I,MATCH(K703,当年标准成本!$C:$C,0),1),"")</f>
        <v/>
      </c>
      <c r="U703" s="126" t="str">
        <f t="shared" si="68"/>
        <v/>
      </c>
      <c r="V703" s="126" t="str">
        <f t="shared" si="69"/>
        <v/>
      </c>
      <c r="W703" s="124" t="str">
        <f t="shared" si="70"/>
        <v/>
      </c>
      <c r="X703" s="125" t="str">
        <f t="shared" si="65"/>
        <v/>
      </c>
    </row>
    <row r="704" spans="1:24" x14ac:dyDescent="0.3">
      <c r="A704" s="129"/>
      <c r="B704" s="129"/>
      <c r="C704" s="128"/>
      <c r="D704" s="128"/>
      <c r="E704" s="128"/>
      <c r="F704" s="166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6" t="str">
        <f t="shared" si="66"/>
        <v/>
      </c>
      <c r="S704" s="163" t="str">
        <f t="shared" si="67"/>
        <v/>
      </c>
      <c r="T704" s="160" t="str">
        <f>IFERROR(INDEX(当年标准成本!$I:$I,MATCH(K704,当年标准成本!$C:$C,0),1),"")</f>
        <v/>
      </c>
      <c r="U704" s="126" t="str">
        <f t="shared" si="68"/>
        <v/>
      </c>
      <c r="V704" s="126" t="str">
        <f t="shared" si="69"/>
        <v/>
      </c>
      <c r="W704" s="124" t="str">
        <f t="shared" si="70"/>
        <v/>
      </c>
      <c r="X704" s="125" t="str">
        <f t="shared" si="65"/>
        <v/>
      </c>
    </row>
    <row r="705" spans="1:24" x14ac:dyDescent="0.3">
      <c r="A705" s="129"/>
      <c r="B705" s="129"/>
      <c r="C705" s="128"/>
      <c r="D705" s="128"/>
      <c r="E705" s="128"/>
      <c r="F705" s="166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6" t="str">
        <f t="shared" si="66"/>
        <v/>
      </c>
      <c r="S705" s="163" t="str">
        <f t="shared" si="67"/>
        <v/>
      </c>
      <c r="T705" s="160" t="str">
        <f>IFERROR(INDEX(当年标准成本!$I:$I,MATCH(K705,当年标准成本!$C:$C,0),1),"")</f>
        <v/>
      </c>
      <c r="U705" s="126" t="str">
        <f t="shared" si="68"/>
        <v/>
      </c>
      <c r="V705" s="126" t="str">
        <f t="shared" si="69"/>
        <v/>
      </c>
      <c r="W705" s="124" t="str">
        <f t="shared" si="70"/>
        <v/>
      </c>
      <c r="X705" s="125" t="str">
        <f t="shared" si="65"/>
        <v/>
      </c>
    </row>
    <row r="706" spans="1:24" x14ac:dyDescent="0.3">
      <c r="A706" s="129"/>
      <c r="B706" s="129"/>
      <c r="C706" s="128"/>
      <c r="D706" s="128"/>
      <c r="E706" s="128"/>
      <c r="F706" s="166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6" t="str">
        <f t="shared" si="66"/>
        <v/>
      </c>
      <c r="S706" s="163" t="str">
        <f t="shared" si="67"/>
        <v/>
      </c>
      <c r="T706" s="160" t="str">
        <f>IFERROR(INDEX(当年标准成本!$I:$I,MATCH(K706,当年标准成本!$C:$C,0),1),"")</f>
        <v/>
      </c>
      <c r="U706" s="126" t="str">
        <f t="shared" si="68"/>
        <v/>
      </c>
      <c r="V706" s="126" t="str">
        <f t="shared" si="69"/>
        <v/>
      </c>
      <c r="W706" s="124" t="str">
        <f t="shared" si="70"/>
        <v/>
      </c>
      <c r="X706" s="125" t="str">
        <f t="shared" ref="X706:X769" si="71">IFERROR(IF(W706/SUM(W:W)=0,"",W706/SUM(W:W)),"")</f>
        <v/>
      </c>
    </row>
    <row r="707" spans="1:24" x14ac:dyDescent="0.3">
      <c r="A707" s="129"/>
      <c r="B707" s="129"/>
      <c r="C707" s="128"/>
      <c r="D707" s="128"/>
      <c r="E707" s="128"/>
      <c r="F707" s="166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6" t="str">
        <f t="shared" si="66"/>
        <v/>
      </c>
      <c r="S707" s="163" t="str">
        <f t="shared" si="67"/>
        <v/>
      </c>
      <c r="T707" s="160" t="str">
        <f>IFERROR(INDEX(当年标准成本!$I:$I,MATCH(K707,当年标准成本!$C:$C,0),1),"")</f>
        <v/>
      </c>
      <c r="U707" s="126" t="str">
        <f t="shared" si="68"/>
        <v/>
      </c>
      <c r="V707" s="126" t="str">
        <f t="shared" si="69"/>
        <v/>
      </c>
      <c r="W707" s="124" t="str">
        <f t="shared" si="70"/>
        <v/>
      </c>
      <c r="X707" s="125" t="str">
        <f t="shared" si="71"/>
        <v/>
      </c>
    </row>
    <row r="708" spans="1:24" x14ac:dyDescent="0.3">
      <c r="A708" s="129"/>
      <c r="B708" s="129"/>
      <c r="C708" s="128"/>
      <c r="D708" s="128"/>
      <c r="E708" s="128"/>
      <c r="F708" s="166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6" t="str">
        <f t="shared" si="66"/>
        <v/>
      </c>
      <c r="S708" s="163" t="str">
        <f t="shared" si="67"/>
        <v/>
      </c>
      <c r="T708" s="160" t="str">
        <f>IFERROR(INDEX(当年标准成本!$I:$I,MATCH(K708,当年标准成本!$C:$C,0),1),"")</f>
        <v/>
      </c>
      <c r="U708" s="126" t="str">
        <f t="shared" si="68"/>
        <v/>
      </c>
      <c r="V708" s="126" t="str">
        <f t="shared" si="69"/>
        <v/>
      </c>
      <c r="W708" s="124" t="str">
        <f t="shared" si="70"/>
        <v/>
      </c>
      <c r="X708" s="125" t="str">
        <f t="shared" si="71"/>
        <v/>
      </c>
    </row>
    <row r="709" spans="1:24" x14ac:dyDescent="0.3">
      <c r="A709" s="129"/>
      <c r="B709" s="129"/>
      <c r="C709" s="128"/>
      <c r="D709" s="128"/>
      <c r="E709" s="128"/>
      <c r="F709" s="166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6" t="str">
        <f t="shared" si="66"/>
        <v/>
      </c>
      <c r="S709" s="163" t="str">
        <f t="shared" si="67"/>
        <v/>
      </c>
      <c r="T709" s="160" t="str">
        <f>IFERROR(INDEX(当年标准成本!$I:$I,MATCH(K709,当年标准成本!$C:$C,0),1),"")</f>
        <v/>
      </c>
      <c r="U709" s="126" t="str">
        <f t="shared" si="68"/>
        <v/>
      </c>
      <c r="V709" s="126" t="str">
        <f t="shared" si="69"/>
        <v/>
      </c>
      <c r="W709" s="124" t="str">
        <f t="shared" si="70"/>
        <v/>
      </c>
      <c r="X709" s="125" t="str">
        <f t="shared" si="71"/>
        <v/>
      </c>
    </row>
    <row r="710" spans="1:24" x14ac:dyDescent="0.3">
      <c r="A710" s="129"/>
      <c r="B710" s="129"/>
      <c r="C710" s="128"/>
      <c r="D710" s="128"/>
      <c r="E710" s="128"/>
      <c r="F710" s="166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6" t="str">
        <f t="shared" si="66"/>
        <v/>
      </c>
      <c r="S710" s="163" t="str">
        <f t="shared" si="67"/>
        <v/>
      </c>
      <c r="T710" s="160" t="str">
        <f>IFERROR(INDEX(当年标准成本!$I:$I,MATCH(K710,当年标准成本!$C:$C,0),1),"")</f>
        <v/>
      </c>
      <c r="U710" s="126" t="str">
        <f t="shared" si="68"/>
        <v/>
      </c>
      <c r="V710" s="126" t="str">
        <f t="shared" si="69"/>
        <v/>
      </c>
      <c r="W710" s="124" t="str">
        <f t="shared" si="70"/>
        <v/>
      </c>
      <c r="X710" s="125" t="str">
        <f t="shared" si="71"/>
        <v/>
      </c>
    </row>
    <row r="711" spans="1:24" x14ac:dyDescent="0.3">
      <c r="A711" s="129"/>
      <c r="B711" s="129"/>
      <c r="C711" s="128"/>
      <c r="D711" s="128"/>
      <c r="E711" s="128"/>
      <c r="F711" s="166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6" t="str">
        <f t="shared" si="66"/>
        <v/>
      </c>
      <c r="S711" s="163" t="str">
        <f t="shared" si="67"/>
        <v/>
      </c>
      <c r="T711" s="160" t="str">
        <f>IFERROR(INDEX(当年标准成本!$I:$I,MATCH(K711,当年标准成本!$C:$C,0),1),"")</f>
        <v/>
      </c>
      <c r="U711" s="126" t="str">
        <f t="shared" si="68"/>
        <v/>
      </c>
      <c r="V711" s="126" t="str">
        <f t="shared" si="69"/>
        <v/>
      </c>
      <c r="W711" s="124" t="str">
        <f t="shared" si="70"/>
        <v/>
      </c>
      <c r="X711" s="125" t="str">
        <f t="shared" si="71"/>
        <v/>
      </c>
    </row>
    <row r="712" spans="1:24" x14ac:dyDescent="0.3">
      <c r="A712" s="129"/>
      <c r="B712" s="129"/>
      <c r="C712" s="128"/>
      <c r="D712" s="128"/>
      <c r="E712" s="128"/>
      <c r="F712" s="166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6" t="str">
        <f t="shared" si="66"/>
        <v/>
      </c>
      <c r="S712" s="163" t="str">
        <f t="shared" si="67"/>
        <v/>
      </c>
      <c r="T712" s="160" t="str">
        <f>IFERROR(INDEX(当年标准成本!$I:$I,MATCH(K712,当年标准成本!$C:$C,0),1),"")</f>
        <v/>
      </c>
      <c r="U712" s="126" t="str">
        <f t="shared" si="68"/>
        <v/>
      </c>
      <c r="V712" s="126" t="str">
        <f t="shared" si="69"/>
        <v/>
      </c>
      <c r="W712" s="124" t="str">
        <f t="shared" si="70"/>
        <v/>
      </c>
      <c r="X712" s="125" t="str">
        <f t="shared" si="71"/>
        <v/>
      </c>
    </row>
    <row r="713" spans="1:24" x14ac:dyDescent="0.3">
      <c r="A713" s="129"/>
      <c r="B713" s="129"/>
      <c r="C713" s="128"/>
      <c r="D713" s="128"/>
      <c r="E713" s="128"/>
      <c r="F713" s="166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6" t="str">
        <f t="shared" si="66"/>
        <v/>
      </c>
      <c r="S713" s="163" t="str">
        <f t="shared" si="67"/>
        <v/>
      </c>
      <c r="T713" s="160" t="str">
        <f>IFERROR(INDEX(当年标准成本!$I:$I,MATCH(K713,当年标准成本!$C:$C,0),1),"")</f>
        <v/>
      </c>
      <c r="U713" s="126" t="str">
        <f t="shared" si="68"/>
        <v/>
      </c>
      <c r="V713" s="126" t="str">
        <f t="shared" si="69"/>
        <v/>
      </c>
      <c r="W713" s="124" t="str">
        <f t="shared" si="70"/>
        <v/>
      </c>
      <c r="X713" s="125" t="str">
        <f t="shared" si="71"/>
        <v/>
      </c>
    </row>
    <row r="714" spans="1:24" x14ac:dyDescent="0.3">
      <c r="A714" s="129"/>
      <c r="B714" s="129"/>
      <c r="C714" s="128"/>
      <c r="D714" s="128"/>
      <c r="E714" s="128"/>
      <c r="F714" s="166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6" t="str">
        <f t="shared" ref="R714:R777" si="72">IFERROR(P714/O714,"")</f>
        <v/>
      </c>
      <c r="S714" s="163" t="str">
        <f t="shared" ref="S714:S777" si="73">IFERROR(R714*(1+Q714),"")</f>
        <v/>
      </c>
      <c r="T714" s="160" t="str">
        <f>IFERROR(INDEX(当年标准成本!$I:$I,MATCH(K714,当年标准成本!$C:$C,0),1),"")</f>
        <v/>
      </c>
      <c r="U714" s="126" t="str">
        <f t="shared" ref="U714:U777" si="74">IFERROR(O714*T714,"")</f>
        <v/>
      </c>
      <c r="V714" s="126" t="str">
        <f t="shared" ref="V714:V777" si="75">IFERROR(P714-U714,"")</f>
        <v/>
      </c>
      <c r="W714" s="124" t="str">
        <f t="shared" ref="W714:W777" si="76">IFERROR(V714/P714,"")</f>
        <v/>
      </c>
      <c r="X714" s="125" t="str">
        <f t="shared" si="71"/>
        <v/>
      </c>
    </row>
    <row r="715" spans="1:24" x14ac:dyDescent="0.3">
      <c r="A715" s="129"/>
      <c r="B715" s="129"/>
      <c r="C715" s="128"/>
      <c r="D715" s="128"/>
      <c r="E715" s="128"/>
      <c r="F715" s="166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6" t="str">
        <f t="shared" si="72"/>
        <v/>
      </c>
      <c r="S715" s="163" t="str">
        <f t="shared" si="73"/>
        <v/>
      </c>
      <c r="T715" s="160" t="str">
        <f>IFERROR(INDEX(当年标准成本!$I:$I,MATCH(K715,当年标准成本!$C:$C,0),1),"")</f>
        <v/>
      </c>
      <c r="U715" s="126" t="str">
        <f t="shared" si="74"/>
        <v/>
      </c>
      <c r="V715" s="126" t="str">
        <f t="shared" si="75"/>
        <v/>
      </c>
      <c r="W715" s="124" t="str">
        <f t="shared" si="76"/>
        <v/>
      </c>
      <c r="X715" s="125" t="str">
        <f t="shared" si="71"/>
        <v/>
      </c>
    </row>
    <row r="716" spans="1:24" x14ac:dyDescent="0.3">
      <c r="A716" s="129"/>
      <c r="B716" s="129"/>
      <c r="C716" s="128"/>
      <c r="D716" s="128"/>
      <c r="E716" s="128"/>
      <c r="F716" s="166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6" t="str">
        <f t="shared" si="72"/>
        <v/>
      </c>
      <c r="S716" s="163" t="str">
        <f t="shared" si="73"/>
        <v/>
      </c>
      <c r="T716" s="160" t="str">
        <f>IFERROR(INDEX(当年标准成本!$I:$I,MATCH(K716,当年标准成本!$C:$C,0),1),"")</f>
        <v/>
      </c>
      <c r="U716" s="126" t="str">
        <f t="shared" si="74"/>
        <v/>
      </c>
      <c r="V716" s="126" t="str">
        <f t="shared" si="75"/>
        <v/>
      </c>
      <c r="W716" s="124" t="str">
        <f t="shared" si="76"/>
        <v/>
      </c>
      <c r="X716" s="125" t="str">
        <f t="shared" si="71"/>
        <v/>
      </c>
    </row>
    <row r="717" spans="1:24" x14ac:dyDescent="0.3">
      <c r="A717" s="129"/>
      <c r="B717" s="129"/>
      <c r="C717" s="128"/>
      <c r="D717" s="128"/>
      <c r="E717" s="128"/>
      <c r="F717" s="166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6" t="str">
        <f t="shared" si="72"/>
        <v/>
      </c>
      <c r="S717" s="163" t="str">
        <f t="shared" si="73"/>
        <v/>
      </c>
      <c r="T717" s="160" t="str">
        <f>IFERROR(INDEX(当年标准成本!$I:$I,MATCH(K717,当年标准成本!$C:$C,0),1),"")</f>
        <v/>
      </c>
      <c r="U717" s="126" t="str">
        <f t="shared" si="74"/>
        <v/>
      </c>
      <c r="V717" s="126" t="str">
        <f t="shared" si="75"/>
        <v/>
      </c>
      <c r="W717" s="124" t="str">
        <f t="shared" si="76"/>
        <v/>
      </c>
      <c r="X717" s="125" t="str">
        <f t="shared" si="71"/>
        <v/>
      </c>
    </row>
    <row r="718" spans="1:24" x14ac:dyDescent="0.3">
      <c r="A718" s="129"/>
      <c r="B718" s="129"/>
      <c r="C718" s="128"/>
      <c r="D718" s="128"/>
      <c r="E718" s="128"/>
      <c r="F718" s="166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6" t="str">
        <f t="shared" si="72"/>
        <v/>
      </c>
      <c r="S718" s="163" t="str">
        <f t="shared" si="73"/>
        <v/>
      </c>
      <c r="T718" s="160" t="str">
        <f>IFERROR(INDEX(当年标准成本!$I:$I,MATCH(K718,当年标准成本!$C:$C,0),1),"")</f>
        <v/>
      </c>
      <c r="U718" s="126" t="str">
        <f t="shared" si="74"/>
        <v/>
      </c>
      <c r="V718" s="126" t="str">
        <f t="shared" si="75"/>
        <v/>
      </c>
      <c r="W718" s="124" t="str">
        <f t="shared" si="76"/>
        <v/>
      </c>
      <c r="X718" s="125" t="str">
        <f t="shared" si="71"/>
        <v/>
      </c>
    </row>
    <row r="719" spans="1:24" x14ac:dyDescent="0.3">
      <c r="A719" s="129"/>
      <c r="B719" s="129"/>
      <c r="C719" s="128"/>
      <c r="D719" s="128"/>
      <c r="E719" s="128"/>
      <c r="F719" s="166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6" t="str">
        <f t="shared" si="72"/>
        <v/>
      </c>
      <c r="S719" s="163" t="str">
        <f t="shared" si="73"/>
        <v/>
      </c>
      <c r="T719" s="160" t="str">
        <f>IFERROR(INDEX(当年标准成本!$I:$I,MATCH(K719,当年标准成本!$C:$C,0),1),"")</f>
        <v/>
      </c>
      <c r="U719" s="126" t="str">
        <f t="shared" si="74"/>
        <v/>
      </c>
      <c r="V719" s="126" t="str">
        <f t="shared" si="75"/>
        <v/>
      </c>
      <c r="W719" s="124" t="str">
        <f t="shared" si="76"/>
        <v/>
      </c>
      <c r="X719" s="125" t="str">
        <f t="shared" si="71"/>
        <v/>
      </c>
    </row>
    <row r="720" spans="1:24" x14ac:dyDescent="0.3">
      <c r="A720" s="129"/>
      <c r="B720" s="129"/>
      <c r="C720" s="128"/>
      <c r="D720" s="128"/>
      <c r="E720" s="128"/>
      <c r="F720" s="166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6" t="str">
        <f t="shared" si="72"/>
        <v/>
      </c>
      <c r="S720" s="163" t="str">
        <f t="shared" si="73"/>
        <v/>
      </c>
      <c r="T720" s="160" t="str">
        <f>IFERROR(INDEX(当年标准成本!$I:$I,MATCH(K720,当年标准成本!$C:$C,0),1),"")</f>
        <v/>
      </c>
      <c r="U720" s="126" t="str">
        <f t="shared" si="74"/>
        <v/>
      </c>
      <c r="V720" s="126" t="str">
        <f t="shared" si="75"/>
        <v/>
      </c>
      <c r="W720" s="124" t="str">
        <f t="shared" si="76"/>
        <v/>
      </c>
      <c r="X720" s="125" t="str">
        <f t="shared" si="71"/>
        <v/>
      </c>
    </row>
    <row r="721" spans="1:24" x14ac:dyDescent="0.3">
      <c r="A721" s="129"/>
      <c r="B721" s="129"/>
      <c r="C721" s="128"/>
      <c r="D721" s="128"/>
      <c r="E721" s="128"/>
      <c r="F721" s="166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6" t="str">
        <f t="shared" si="72"/>
        <v/>
      </c>
      <c r="S721" s="163" t="str">
        <f t="shared" si="73"/>
        <v/>
      </c>
      <c r="T721" s="160" t="str">
        <f>IFERROR(INDEX(当年标准成本!$I:$I,MATCH(K721,当年标准成本!$C:$C,0),1),"")</f>
        <v/>
      </c>
      <c r="U721" s="126" t="str">
        <f t="shared" si="74"/>
        <v/>
      </c>
      <c r="V721" s="126" t="str">
        <f t="shared" si="75"/>
        <v/>
      </c>
      <c r="W721" s="124" t="str">
        <f t="shared" si="76"/>
        <v/>
      </c>
      <c r="X721" s="125" t="str">
        <f t="shared" si="71"/>
        <v/>
      </c>
    </row>
    <row r="722" spans="1:24" x14ac:dyDescent="0.3">
      <c r="A722" s="129"/>
      <c r="B722" s="129"/>
      <c r="C722" s="128"/>
      <c r="D722" s="128"/>
      <c r="E722" s="128"/>
      <c r="F722" s="166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6" t="str">
        <f t="shared" si="72"/>
        <v/>
      </c>
      <c r="S722" s="163" t="str">
        <f t="shared" si="73"/>
        <v/>
      </c>
      <c r="T722" s="160" t="str">
        <f>IFERROR(INDEX(当年标准成本!$I:$I,MATCH(K722,当年标准成本!$C:$C,0),1),"")</f>
        <v/>
      </c>
      <c r="U722" s="126" t="str">
        <f t="shared" si="74"/>
        <v/>
      </c>
      <c r="V722" s="126" t="str">
        <f t="shared" si="75"/>
        <v/>
      </c>
      <c r="W722" s="124" t="str">
        <f t="shared" si="76"/>
        <v/>
      </c>
      <c r="X722" s="125" t="str">
        <f t="shared" si="71"/>
        <v/>
      </c>
    </row>
    <row r="723" spans="1:24" x14ac:dyDescent="0.3">
      <c r="A723" s="129"/>
      <c r="B723" s="129"/>
      <c r="C723" s="128"/>
      <c r="D723" s="128"/>
      <c r="E723" s="128"/>
      <c r="F723" s="166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6" t="str">
        <f t="shared" si="72"/>
        <v/>
      </c>
      <c r="S723" s="163" t="str">
        <f t="shared" si="73"/>
        <v/>
      </c>
      <c r="T723" s="160" t="str">
        <f>IFERROR(INDEX(当年标准成本!$I:$I,MATCH(K723,当年标准成本!$C:$C,0),1),"")</f>
        <v/>
      </c>
      <c r="U723" s="126" t="str">
        <f t="shared" si="74"/>
        <v/>
      </c>
      <c r="V723" s="126" t="str">
        <f t="shared" si="75"/>
        <v/>
      </c>
      <c r="W723" s="124" t="str">
        <f t="shared" si="76"/>
        <v/>
      </c>
      <c r="X723" s="125" t="str">
        <f t="shared" si="71"/>
        <v/>
      </c>
    </row>
    <row r="724" spans="1:24" x14ac:dyDescent="0.3">
      <c r="A724" s="129"/>
      <c r="B724" s="129"/>
      <c r="C724" s="128"/>
      <c r="D724" s="128"/>
      <c r="E724" s="128"/>
      <c r="F724" s="166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6" t="str">
        <f t="shared" si="72"/>
        <v/>
      </c>
      <c r="S724" s="163" t="str">
        <f t="shared" si="73"/>
        <v/>
      </c>
      <c r="T724" s="160" t="str">
        <f>IFERROR(INDEX(当年标准成本!$I:$I,MATCH(K724,当年标准成本!$C:$C,0),1),"")</f>
        <v/>
      </c>
      <c r="U724" s="126" t="str">
        <f t="shared" si="74"/>
        <v/>
      </c>
      <c r="V724" s="126" t="str">
        <f t="shared" si="75"/>
        <v/>
      </c>
      <c r="W724" s="124" t="str">
        <f t="shared" si="76"/>
        <v/>
      </c>
      <c r="X724" s="125" t="str">
        <f t="shared" si="71"/>
        <v/>
      </c>
    </row>
    <row r="725" spans="1:24" x14ac:dyDescent="0.3">
      <c r="A725" s="129"/>
      <c r="B725" s="129"/>
      <c r="C725" s="128"/>
      <c r="D725" s="128"/>
      <c r="E725" s="128"/>
      <c r="F725" s="166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6" t="str">
        <f t="shared" si="72"/>
        <v/>
      </c>
      <c r="S725" s="163" t="str">
        <f t="shared" si="73"/>
        <v/>
      </c>
      <c r="T725" s="160" t="str">
        <f>IFERROR(INDEX(当年标准成本!$I:$I,MATCH(K725,当年标准成本!$C:$C,0),1),"")</f>
        <v/>
      </c>
      <c r="U725" s="126" t="str">
        <f t="shared" si="74"/>
        <v/>
      </c>
      <c r="V725" s="126" t="str">
        <f t="shared" si="75"/>
        <v/>
      </c>
      <c r="W725" s="124" t="str">
        <f t="shared" si="76"/>
        <v/>
      </c>
      <c r="X725" s="125" t="str">
        <f t="shared" si="71"/>
        <v/>
      </c>
    </row>
    <row r="726" spans="1:24" x14ac:dyDescent="0.3">
      <c r="A726" s="129"/>
      <c r="B726" s="129"/>
      <c r="C726" s="128"/>
      <c r="D726" s="128"/>
      <c r="E726" s="128"/>
      <c r="F726" s="166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6" t="str">
        <f t="shared" si="72"/>
        <v/>
      </c>
      <c r="S726" s="163" t="str">
        <f t="shared" si="73"/>
        <v/>
      </c>
      <c r="T726" s="160" t="str">
        <f>IFERROR(INDEX(当年标准成本!$I:$I,MATCH(K726,当年标准成本!$C:$C,0),1),"")</f>
        <v/>
      </c>
      <c r="U726" s="126" t="str">
        <f t="shared" si="74"/>
        <v/>
      </c>
      <c r="V726" s="126" t="str">
        <f t="shared" si="75"/>
        <v/>
      </c>
      <c r="W726" s="124" t="str">
        <f t="shared" si="76"/>
        <v/>
      </c>
      <c r="X726" s="125" t="str">
        <f t="shared" si="71"/>
        <v/>
      </c>
    </row>
    <row r="727" spans="1:24" x14ac:dyDescent="0.3">
      <c r="A727" s="129"/>
      <c r="B727" s="129"/>
      <c r="C727" s="128"/>
      <c r="D727" s="128"/>
      <c r="E727" s="128"/>
      <c r="F727" s="166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6" t="str">
        <f t="shared" si="72"/>
        <v/>
      </c>
      <c r="S727" s="163" t="str">
        <f t="shared" si="73"/>
        <v/>
      </c>
      <c r="T727" s="160" t="str">
        <f>IFERROR(INDEX(当年标准成本!$I:$I,MATCH(K727,当年标准成本!$C:$C,0),1),"")</f>
        <v/>
      </c>
      <c r="U727" s="126" t="str">
        <f t="shared" si="74"/>
        <v/>
      </c>
      <c r="V727" s="126" t="str">
        <f t="shared" si="75"/>
        <v/>
      </c>
      <c r="W727" s="124" t="str">
        <f t="shared" si="76"/>
        <v/>
      </c>
      <c r="X727" s="125" t="str">
        <f t="shared" si="71"/>
        <v/>
      </c>
    </row>
    <row r="728" spans="1:24" x14ac:dyDescent="0.3">
      <c r="A728" s="129"/>
      <c r="B728" s="129"/>
      <c r="C728" s="128"/>
      <c r="D728" s="128"/>
      <c r="E728" s="128"/>
      <c r="F728" s="166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6" t="str">
        <f t="shared" si="72"/>
        <v/>
      </c>
      <c r="S728" s="163" t="str">
        <f t="shared" si="73"/>
        <v/>
      </c>
      <c r="T728" s="160" t="str">
        <f>IFERROR(INDEX(当年标准成本!$I:$I,MATCH(K728,当年标准成本!$C:$C,0),1),"")</f>
        <v/>
      </c>
      <c r="U728" s="126" t="str">
        <f t="shared" si="74"/>
        <v/>
      </c>
      <c r="V728" s="126" t="str">
        <f t="shared" si="75"/>
        <v/>
      </c>
      <c r="W728" s="124" t="str">
        <f t="shared" si="76"/>
        <v/>
      </c>
      <c r="X728" s="125" t="str">
        <f t="shared" si="71"/>
        <v/>
      </c>
    </row>
    <row r="729" spans="1:24" x14ac:dyDescent="0.3">
      <c r="A729" s="129"/>
      <c r="B729" s="129"/>
      <c r="C729" s="128"/>
      <c r="D729" s="128"/>
      <c r="E729" s="128"/>
      <c r="F729" s="166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6" t="str">
        <f t="shared" si="72"/>
        <v/>
      </c>
      <c r="S729" s="163" t="str">
        <f t="shared" si="73"/>
        <v/>
      </c>
      <c r="T729" s="160" t="str">
        <f>IFERROR(INDEX(当年标准成本!$I:$I,MATCH(K729,当年标准成本!$C:$C,0),1),"")</f>
        <v/>
      </c>
      <c r="U729" s="126" t="str">
        <f t="shared" si="74"/>
        <v/>
      </c>
      <c r="V729" s="126" t="str">
        <f t="shared" si="75"/>
        <v/>
      </c>
      <c r="W729" s="124" t="str">
        <f t="shared" si="76"/>
        <v/>
      </c>
      <c r="X729" s="125" t="str">
        <f t="shared" si="71"/>
        <v/>
      </c>
    </row>
    <row r="730" spans="1:24" x14ac:dyDescent="0.3">
      <c r="A730" s="129"/>
      <c r="B730" s="129"/>
      <c r="C730" s="128"/>
      <c r="D730" s="128"/>
      <c r="E730" s="128"/>
      <c r="F730" s="166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6" t="str">
        <f t="shared" si="72"/>
        <v/>
      </c>
      <c r="S730" s="163" t="str">
        <f t="shared" si="73"/>
        <v/>
      </c>
      <c r="T730" s="160" t="str">
        <f>IFERROR(INDEX(当年标准成本!$I:$I,MATCH(K730,当年标准成本!$C:$C,0),1),"")</f>
        <v/>
      </c>
      <c r="U730" s="126" t="str">
        <f t="shared" si="74"/>
        <v/>
      </c>
      <c r="V730" s="126" t="str">
        <f t="shared" si="75"/>
        <v/>
      </c>
      <c r="W730" s="124" t="str">
        <f t="shared" si="76"/>
        <v/>
      </c>
      <c r="X730" s="125" t="str">
        <f t="shared" si="71"/>
        <v/>
      </c>
    </row>
    <row r="731" spans="1:24" x14ac:dyDescent="0.3">
      <c r="A731" s="129"/>
      <c r="B731" s="129"/>
      <c r="C731" s="128"/>
      <c r="D731" s="128"/>
      <c r="E731" s="128"/>
      <c r="F731" s="166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6" t="str">
        <f t="shared" si="72"/>
        <v/>
      </c>
      <c r="S731" s="163" t="str">
        <f t="shared" si="73"/>
        <v/>
      </c>
      <c r="T731" s="160" t="str">
        <f>IFERROR(INDEX(当年标准成本!$I:$I,MATCH(K731,当年标准成本!$C:$C,0),1),"")</f>
        <v/>
      </c>
      <c r="U731" s="126" t="str">
        <f t="shared" si="74"/>
        <v/>
      </c>
      <c r="V731" s="126" t="str">
        <f t="shared" si="75"/>
        <v/>
      </c>
      <c r="W731" s="124" t="str">
        <f t="shared" si="76"/>
        <v/>
      </c>
      <c r="X731" s="125" t="str">
        <f t="shared" si="71"/>
        <v/>
      </c>
    </row>
    <row r="732" spans="1:24" x14ac:dyDescent="0.3">
      <c r="A732" s="129"/>
      <c r="B732" s="129"/>
      <c r="C732" s="128"/>
      <c r="D732" s="128"/>
      <c r="E732" s="128"/>
      <c r="F732" s="166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6" t="str">
        <f t="shared" si="72"/>
        <v/>
      </c>
      <c r="S732" s="163" t="str">
        <f t="shared" si="73"/>
        <v/>
      </c>
      <c r="T732" s="160" t="str">
        <f>IFERROR(INDEX(当年标准成本!$I:$I,MATCH(K732,当年标准成本!$C:$C,0),1),"")</f>
        <v/>
      </c>
      <c r="U732" s="126" t="str">
        <f t="shared" si="74"/>
        <v/>
      </c>
      <c r="V732" s="126" t="str">
        <f t="shared" si="75"/>
        <v/>
      </c>
      <c r="W732" s="124" t="str">
        <f t="shared" si="76"/>
        <v/>
      </c>
      <c r="X732" s="125" t="str">
        <f t="shared" si="71"/>
        <v/>
      </c>
    </row>
    <row r="733" spans="1:24" x14ac:dyDescent="0.3">
      <c r="A733" s="129"/>
      <c r="B733" s="129"/>
      <c r="C733" s="128"/>
      <c r="D733" s="128"/>
      <c r="E733" s="128"/>
      <c r="F733" s="166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6" t="str">
        <f t="shared" si="72"/>
        <v/>
      </c>
      <c r="S733" s="163" t="str">
        <f t="shared" si="73"/>
        <v/>
      </c>
      <c r="T733" s="160" t="str">
        <f>IFERROR(INDEX(当年标准成本!$I:$I,MATCH(K733,当年标准成本!$C:$C,0),1),"")</f>
        <v/>
      </c>
      <c r="U733" s="126" t="str">
        <f t="shared" si="74"/>
        <v/>
      </c>
      <c r="V733" s="126" t="str">
        <f t="shared" si="75"/>
        <v/>
      </c>
      <c r="W733" s="124" t="str">
        <f t="shared" si="76"/>
        <v/>
      </c>
      <c r="X733" s="125" t="str">
        <f t="shared" si="71"/>
        <v/>
      </c>
    </row>
    <row r="734" spans="1:24" x14ac:dyDescent="0.3">
      <c r="A734" s="129"/>
      <c r="B734" s="129"/>
      <c r="C734" s="128"/>
      <c r="D734" s="128"/>
      <c r="E734" s="128"/>
      <c r="F734" s="166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6" t="str">
        <f t="shared" si="72"/>
        <v/>
      </c>
      <c r="S734" s="163" t="str">
        <f t="shared" si="73"/>
        <v/>
      </c>
      <c r="T734" s="160" t="str">
        <f>IFERROR(INDEX(当年标准成本!$I:$I,MATCH(K734,当年标准成本!$C:$C,0),1),"")</f>
        <v/>
      </c>
      <c r="U734" s="126" t="str">
        <f t="shared" si="74"/>
        <v/>
      </c>
      <c r="V734" s="126" t="str">
        <f t="shared" si="75"/>
        <v/>
      </c>
      <c r="W734" s="124" t="str">
        <f t="shared" si="76"/>
        <v/>
      </c>
      <c r="X734" s="125" t="str">
        <f t="shared" si="71"/>
        <v/>
      </c>
    </row>
    <row r="735" spans="1:24" x14ac:dyDescent="0.3">
      <c r="A735" s="129"/>
      <c r="B735" s="129"/>
      <c r="C735" s="128"/>
      <c r="D735" s="128"/>
      <c r="E735" s="128"/>
      <c r="F735" s="166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6" t="str">
        <f t="shared" si="72"/>
        <v/>
      </c>
      <c r="S735" s="163" t="str">
        <f t="shared" si="73"/>
        <v/>
      </c>
      <c r="T735" s="160" t="str">
        <f>IFERROR(INDEX(当年标准成本!$I:$I,MATCH(K735,当年标准成本!$C:$C,0),1),"")</f>
        <v/>
      </c>
      <c r="U735" s="126" t="str">
        <f t="shared" si="74"/>
        <v/>
      </c>
      <c r="V735" s="126" t="str">
        <f t="shared" si="75"/>
        <v/>
      </c>
      <c r="W735" s="124" t="str">
        <f t="shared" si="76"/>
        <v/>
      </c>
      <c r="X735" s="125" t="str">
        <f t="shared" si="71"/>
        <v/>
      </c>
    </row>
    <row r="736" spans="1:24" x14ac:dyDescent="0.3">
      <c r="A736" s="129"/>
      <c r="B736" s="129"/>
      <c r="C736" s="128"/>
      <c r="D736" s="128"/>
      <c r="E736" s="128"/>
      <c r="F736" s="166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6" t="str">
        <f t="shared" si="72"/>
        <v/>
      </c>
      <c r="S736" s="163" t="str">
        <f t="shared" si="73"/>
        <v/>
      </c>
      <c r="T736" s="160" t="str">
        <f>IFERROR(INDEX(当年标准成本!$I:$I,MATCH(K736,当年标准成本!$C:$C,0),1),"")</f>
        <v/>
      </c>
      <c r="U736" s="126" t="str">
        <f t="shared" si="74"/>
        <v/>
      </c>
      <c r="V736" s="126" t="str">
        <f t="shared" si="75"/>
        <v/>
      </c>
      <c r="W736" s="124" t="str">
        <f t="shared" si="76"/>
        <v/>
      </c>
      <c r="X736" s="125" t="str">
        <f t="shared" si="71"/>
        <v/>
      </c>
    </row>
    <row r="737" spans="1:24" x14ac:dyDescent="0.3">
      <c r="A737" s="129"/>
      <c r="B737" s="129"/>
      <c r="C737" s="128"/>
      <c r="D737" s="128"/>
      <c r="E737" s="128"/>
      <c r="F737" s="166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6" t="str">
        <f t="shared" si="72"/>
        <v/>
      </c>
      <c r="S737" s="163" t="str">
        <f t="shared" si="73"/>
        <v/>
      </c>
      <c r="T737" s="160" t="str">
        <f>IFERROR(INDEX(当年标准成本!$I:$I,MATCH(K737,当年标准成本!$C:$C,0),1),"")</f>
        <v/>
      </c>
      <c r="U737" s="126" t="str">
        <f t="shared" si="74"/>
        <v/>
      </c>
      <c r="V737" s="126" t="str">
        <f t="shared" si="75"/>
        <v/>
      </c>
      <c r="W737" s="124" t="str">
        <f t="shared" si="76"/>
        <v/>
      </c>
      <c r="X737" s="125" t="str">
        <f t="shared" si="71"/>
        <v/>
      </c>
    </row>
    <row r="738" spans="1:24" x14ac:dyDescent="0.3">
      <c r="A738" s="129"/>
      <c r="B738" s="129"/>
      <c r="C738" s="128"/>
      <c r="D738" s="128"/>
      <c r="E738" s="128"/>
      <c r="F738" s="166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6" t="str">
        <f t="shared" si="72"/>
        <v/>
      </c>
      <c r="S738" s="163" t="str">
        <f t="shared" si="73"/>
        <v/>
      </c>
      <c r="T738" s="160" t="str">
        <f>IFERROR(INDEX(当年标准成本!$I:$I,MATCH(K738,当年标准成本!$C:$C,0),1),"")</f>
        <v/>
      </c>
      <c r="U738" s="126" t="str">
        <f t="shared" si="74"/>
        <v/>
      </c>
      <c r="V738" s="126" t="str">
        <f t="shared" si="75"/>
        <v/>
      </c>
      <c r="W738" s="124" t="str">
        <f t="shared" si="76"/>
        <v/>
      </c>
      <c r="X738" s="125" t="str">
        <f t="shared" si="71"/>
        <v/>
      </c>
    </row>
    <row r="739" spans="1:24" x14ac:dyDescent="0.3">
      <c r="A739" s="129"/>
      <c r="B739" s="129"/>
      <c r="C739" s="128"/>
      <c r="D739" s="128"/>
      <c r="E739" s="128"/>
      <c r="F739" s="166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6" t="str">
        <f t="shared" si="72"/>
        <v/>
      </c>
      <c r="S739" s="163" t="str">
        <f t="shared" si="73"/>
        <v/>
      </c>
      <c r="T739" s="160" t="str">
        <f>IFERROR(INDEX(当年标准成本!$I:$I,MATCH(K739,当年标准成本!$C:$C,0),1),"")</f>
        <v/>
      </c>
      <c r="U739" s="126" t="str">
        <f t="shared" si="74"/>
        <v/>
      </c>
      <c r="V739" s="126" t="str">
        <f t="shared" si="75"/>
        <v/>
      </c>
      <c r="W739" s="124" t="str">
        <f t="shared" si="76"/>
        <v/>
      </c>
      <c r="X739" s="125" t="str">
        <f t="shared" si="71"/>
        <v/>
      </c>
    </row>
    <row r="740" spans="1:24" x14ac:dyDescent="0.3">
      <c r="A740" s="129"/>
      <c r="B740" s="129"/>
      <c r="C740" s="128"/>
      <c r="D740" s="128"/>
      <c r="E740" s="128"/>
      <c r="F740" s="166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6" t="str">
        <f t="shared" si="72"/>
        <v/>
      </c>
      <c r="S740" s="163" t="str">
        <f t="shared" si="73"/>
        <v/>
      </c>
      <c r="T740" s="160" t="str">
        <f>IFERROR(INDEX(当年标准成本!$I:$I,MATCH(K740,当年标准成本!$C:$C,0),1),"")</f>
        <v/>
      </c>
      <c r="U740" s="126" t="str">
        <f t="shared" si="74"/>
        <v/>
      </c>
      <c r="V740" s="126" t="str">
        <f t="shared" si="75"/>
        <v/>
      </c>
      <c r="W740" s="124" t="str">
        <f t="shared" si="76"/>
        <v/>
      </c>
      <c r="X740" s="125" t="str">
        <f t="shared" si="71"/>
        <v/>
      </c>
    </row>
    <row r="741" spans="1:24" x14ac:dyDescent="0.3">
      <c r="A741" s="129"/>
      <c r="B741" s="129"/>
      <c r="C741" s="128"/>
      <c r="D741" s="128"/>
      <c r="E741" s="128"/>
      <c r="F741" s="166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6" t="str">
        <f t="shared" si="72"/>
        <v/>
      </c>
      <c r="S741" s="163" t="str">
        <f t="shared" si="73"/>
        <v/>
      </c>
      <c r="T741" s="160" t="str">
        <f>IFERROR(INDEX(当年标准成本!$I:$I,MATCH(K741,当年标准成本!$C:$C,0),1),"")</f>
        <v/>
      </c>
      <c r="U741" s="126" t="str">
        <f t="shared" si="74"/>
        <v/>
      </c>
      <c r="V741" s="126" t="str">
        <f t="shared" si="75"/>
        <v/>
      </c>
      <c r="W741" s="124" t="str">
        <f t="shared" si="76"/>
        <v/>
      </c>
      <c r="X741" s="125" t="str">
        <f t="shared" si="71"/>
        <v/>
      </c>
    </row>
    <row r="742" spans="1:24" x14ac:dyDescent="0.3">
      <c r="A742" s="129"/>
      <c r="B742" s="129"/>
      <c r="C742" s="128"/>
      <c r="D742" s="128"/>
      <c r="E742" s="128"/>
      <c r="F742" s="166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6" t="str">
        <f t="shared" si="72"/>
        <v/>
      </c>
      <c r="S742" s="163" t="str">
        <f t="shared" si="73"/>
        <v/>
      </c>
      <c r="T742" s="160" t="str">
        <f>IFERROR(INDEX(当年标准成本!$I:$I,MATCH(K742,当年标准成本!$C:$C,0),1),"")</f>
        <v/>
      </c>
      <c r="U742" s="126" t="str">
        <f t="shared" si="74"/>
        <v/>
      </c>
      <c r="V742" s="126" t="str">
        <f t="shared" si="75"/>
        <v/>
      </c>
      <c r="W742" s="124" t="str">
        <f t="shared" si="76"/>
        <v/>
      </c>
      <c r="X742" s="125" t="str">
        <f t="shared" si="71"/>
        <v/>
      </c>
    </row>
    <row r="743" spans="1:24" x14ac:dyDescent="0.3">
      <c r="A743" s="129"/>
      <c r="B743" s="129"/>
      <c r="C743" s="128"/>
      <c r="D743" s="128"/>
      <c r="E743" s="128"/>
      <c r="F743" s="166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6" t="str">
        <f t="shared" si="72"/>
        <v/>
      </c>
      <c r="S743" s="163" t="str">
        <f t="shared" si="73"/>
        <v/>
      </c>
      <c r="T743" s="160" t="str">
        <f>IFERROR(INDEX(当年标准成本!$I:$I,MATCH(K743,当年标准成本!$C:$C,0),1),"")</f>
        <v/>
      </c>
      <c r="U743" s="126" t="str">
        <f t="shared" si="74"/>
        <v/>
      </c>
      <c r="V743" s="126" t="str">
        <f t="shared" si="75"/>
        <v/>
      </c>
      <c r="W743" s="124" t="str">
        <f t="shared" si="76"/>
        <v/>
      </c>
      <c r="X743" s="125" t="str">
        <f t="shared" si="71"/>
        <v/>
      </c>
    </row>
    <row r="744" spans="1:24" x14ac:dyDescent="0.3">
      <c r="A744" s="129"/>
      <c r="B744" s="129"/>
      <c r="C744" s="128"/>
      <c r="D744" s="128"/>
      <c r="E744" s="128"/>
      <c r="F744" s="166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6" t="str">
        <f t="shared" si="72"/>
        <v/>
      </c>
      <c r="S744" s="163" t="str">
        <f t="shared" si="73"/>
        <v/>
      </c>
      <c r="T744" s="160" t="str">
        <f>IFERROR(INDEX(当年标准成本!$I:$I,MATCH(K744,当年标准成本!$C:$C,0),1),"")</f>
        <v/>
      </c>
      <c r="U744" s="126" t="str">
        <f t="shared" si="74"/>
        <v/>
      </c>
      <c r="V744" s="126" t="str">
        <f t="shared" si="75"/>
        <v/>
      </c>
      <c r="W744" s="124" t="str">
        <f t="shared" si="76"/>
        <v/>
      </c>
      <c r="X744" s="125" t="str">
        <f t="shared" si="71"/>
        <v/>
      </c>
    </row>
    <row r="745" spans="1:24" x14ac:dyDescent="0.3">
      <c r="A745" s="129"/>
      <c r="B745" s="129"/>
      <c r="C745" s="128"/>
      <c r="D745" s="128"/>
      <c r="E745" s="128"/>
      <c r="F745" s="166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6" t="str">
        <f t="shared" si="72"/>
        <v/>
      </c>
      <c r="S745" s="163" t="str">
        <f t="shared" si="73"/>
        <v/>
      </c>
      <c r="T745" s="160" t="str">
        <f>IFERROR(INDEX(当年标准成本!$I:$I,MATCH(K745,当年标准成本!$C:$C,0),1),"")</f>
        <v/>
      </c>
      <c r="U745" s="126" t="str">
        <f t="shared" si="74"/>
        <v/>
      </c>
      <c r="V745" s="126" t="str">
        <f t="shared" si="75"/>
        <v/>
      </c>
      <c r="W745" s="124" t="str">
        <f t="shared" si="76"/>
        <v/>
      </c>
      <c r="X745" s="125" t="str">
        <f t="shared" si="71"/>
        <v/>
      </c>
    </row>
    <row r="746" spans="1:24" x14ac:dyDescent="0.3">
      <c r="A746" s="129"/>
      <c r="B746" s="129"/>
      <c r="C746" s="128"/>
      <c r="D746" s="128"/>
      <c r="E746" s="128"/>
      <c r="F746" s="166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6" t="str">
        <f t="shared" si="72"/>
        <v/>
      </c>
      <c r="S746" s="163" t="str">
        <f t="shared" si="73"/>
        <v/>
      </c>
      <c r="T746" s="160" t="str">
        <f>IFERROR(INDEX(当年标准成本!$I:$I,MATCH(K746,当年标准成本!$C:$C,0),1),"")</f>
        <v/>
      </c>
      <c r="U746" s="126" t="str">
        <f t="shared" si="74"/>
        <v/>
      </c>
      <c r="V746" s="126" t="str">
        <f t="shared" si="75"/>
        <v/>
      </c>
      <c r="W746" s="124" t="str">
        <f t="shared" si="76"/>
        <v/>
      </c>
      <c r="X746" s="125" t="str">
        <f t="shared" si="71"/>
        <v/>
      </c>
    </row>
    <row r="747" spans="1:24" x14ac:dyDescent="0.3">
      <c r="A747" s="129"/>
      <c r="B747" s="129"/>
      <c r="C747" s="128"/>
      <c r="D747" s="128"/>
      <c r="E747" s="128"/>
      <c r="F747" s="166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6" t="str">
        <f t="shared" si="72"/>
        <v/>
      </c>
      <c r="S747" s="163" t="str">
        <f t="shared" si="73"/>
        <v/>
      </c>
      <c r="T747" s="160" t="str">
        <f>IFERROR(INDEX(当年标准成本!$I:$I,MATCH(K747,当年标准成本!$C:$C,0),1),"")</f>
        <v/>
      </c>
      <c r="U747" s="126" t="str">
        <f t="shared" si="74"/>
        <v/>
      </c>
      <c r="V747" s="126" t="str">
        <f t="shared" si="75"/>
        <v/>
      </c>
      <c r="W747" s="124" t="str">
        <f t="shared" si="76"/>
        <v/>
      </c>
      <c r="X747" s="125" t="str">
        <f t="shared" si="71"/>
        <v/>
      </c>
    </row>
    <row r="748" spans="1:24" x14ac:dyDescent="0.3">
      <c r="A748" s="129"/>
      <c r="B748" s="129"/>
      <c r="C748" s="128"/>
      <c r="D748" s="128"/>
      <c r="E748" s="128"/>
      <c r="F748" s="166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6" t="str">
        <f t="shared" si="72"/>
        <v/>
      </c>
      <c r="S748" s="163" t="str">
        <f t="shared" si="73"/>
        <v/>
      </c>
      <c r="T748" s="160" t="str">
        <f>IFERROR(INDEX(当年标准成本!$I:$I,MATCH(K748,当年标准成本!$C:$C,0),1),"")</f>
        <v/>
      </c>
      <c r="U748" s="126" t="str">
        <f t="shared" si="74"/>
        <v/>
      </c>
      <c r="V748" s="126" t="str">
        <f t="shared" si="75"/>
        <v/>
      </c>
      <c r="W748" s="124" t="str">
        <f t="shared" si="76"/>
        <v/>
      </c>
      <c r="X748" s="125" t="str">
        <f t="shared" si="71"/>
        <v/>
      </c>
    </row>
    <row r="749" spans="1:24" x14ac:dyDescent="0.3">
      <c r="A749" s="129"/>
      <c r="B749" s="129"/>
      <c r="C749" s="128"/>
      <c r="D749" s="128"/>
      <c r="E749" s="128"/>
      <c r="F749" s="166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6" t="str">
        <f t="shared" si="72"/>
        <v/>
      </c>
      <c r="S749" s="163" t="str">
        <f t="shared" si="73"/>
        <v/>
      </c>
      <c r="T749" s="160" t="str">
        <f>IFERROR(INDEX(当年标准成本!$I:$I,MATCH(K749,当年标准成本!$C:$C,0),1),"")</f>
        <v/>
      </c>
      <c r="U749" s="126" t="str">
        <f t="shared" si="74"/>
        <v/>
      </c>
      <c r="V749" s="126" t="str">
        <f t="shared" si="75"/>
        <v/>
      </c>
      <c r="W749" s="124" t="str">
        <f t="shared" si="76"/>
        <v/>
      </c>
      <c r="X749" s="125" t="str">
        <f t="shared" si="71"/>
        <v/>
      </c>
    </row>
    <row r="750" spans="1:24" x14ac:dyDescent="0.3">
      <c r="A750" s="129"/>
      <c r="B750" s="129"/>
      <c r="C750" s="128"/>
      <c r="D750" s="128"/>
      <c r="E750" s="128"/>
      <c r="F750" s="166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6" t="str">
        <f t="shared" si="72"/>
        <v/>
      </c>
      <c r="S750" s="163" t="str">
        <f t="shared" si="73"/>
        <v/>
      </c>
      <c r="T750" s="160" t="str">
        <f>IFERROR(INDEX(当年标准成本!$I:$I,MATCH(K750,当年标准成本!$C:$C,0),1),"")</f>
        <v/>
      </c>
      <c r="U750" s="126" t="str">
        <f t="shared" si="74"/>
        <v/>
      </c>
      <c r="V750" s="126" t="str">
        <f t="shared" si="75"/>
        <v/>
      </c>
      <c r="W750" s="124" t="str">
        <f t="shared" si="76"/>
        <v/>
      </c>
      <c r="X750" s="125" t="str">
        <f t="shared" si="71"/>
        <v/>
      </c>
    </row>
    <row r="751" spans="1:24" x14ac:dyDescent="0.3">
      <c r="A751" s="129"/>
      <c r="B751" s="129"/>
      <c r="C751" s="128"/>
      <c r="D751" s="128"/>
      <c r="E751" s="128"/>
      <c r="F751" s="166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6" t="str">
        <f t="shared" si="72"/>
        <v/>
      </c>
      <c r="S751" s="163" t="str">
        <f t="shared" si="73"/>
        <v/>
      </c>
      <c r="T751" s="160" t="str">
        <f>IFERROR(INDEX(当年标准成本!$I:$I,MATCH(K751,当年标准成本!$C:$C,0),1),"")</f>
        <v/>
      </c>
      <c r="U751" s="126" t="str">
        <f t="shared" si="74"/>
        <v/>
      </c>
      <c r="V751" s="126" t="str">
        <f t="shared" si="75"/>
        <v/>
      </c>
      <c r="W751" s="124" t="str">
        <f t="shared" si="76"/>
        <v/>
      </c>
      <c r="X751" s="125" t="str">
        <f t="shared" si="71"/>
        <v/>
      </c>
    </row>
    <row r="752" spans="1:24" x14ac:dyDescent="0.3">
      <c r="A752" s="129"/>
      <c r="B752" s="129"/>
      <c r="C752" s="128"/>
      <c r="D752" s="128"/>
      <c r="E752" s="128"/>
      <c r="F752" s="166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6" t="str">
        <f t="shared" si="72"/>
        <v/>
      </c>
      <c r="S752" s="163" t="str">
        <f t="shared" si="73"/>
        <v/>
      </c>
      <c r="T752" s="160" t="str">
        <f>IFERROR(INDEX(当年标准成本!$I:$I,MATCH(K752,当年标准成本!$C:$C,0),1),"")</f>
        <v/>
      </c>
      <c r="U752" s="126" t="str">
        <f t="shared" si="74"/>
        <v/>
      </c>
      <c r="V752" s="126" t="str">
        <f t="shared" si="75"/>
        <v/>
      </c>
      <c r="W752" s="124" t="str">
        <f t="shared" si="76"/>
        <v/>
      </c>
      <c r="X752" s="125" t="str">
        <f t="shared" si="71"/>
        <v/>
      </c>
    </row>
    <row r="753" spans="1:24" x14ac:dyDescent="0.3">
      <c r="A753" s="129"/>
      <c r="B753" s="129"/>
      <c r="C753" s="128"/>
      <c r="D753" s="128"/>
      <c r="E753" s="128"/>
      <c r="F753" s="166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6" t="str">
        <f t="shared" si="72"/>
        <v/>
      </c>
      <c r="S753" s="163" t="str">
        <f t="shared" si="73"/>
        <v/>
      </c>
      <c r="T753" s="160" t="str">
        <f>IFERROR(INDEX(当年标准成本!$I:$I,MATCH(K753,当年标准成本!$C:$C,0),1),"")</f>
        <v/>
      </c>
      <c r="U753" s="126" t="str">
        <f t="shared" si="74"/>
        <v/>
      </c>
      <c r="V753" s="126" t="str">
        <f t="shared" si="75"/>
        <v/>
      </c>
      <c r="W753" s="124" t="str">
        <f t="shared" si="76"/>
        <v/>
      </c>
      <c r="X753" s="125" t="str">
        <f t="shared" si="71"/>
        <v/>
      </c>
    </row>
    <row r="754" spans="1:24" x14ac:dyDescent="0.3">
      <c r="A754" s="129"/>
      <c r="B754" s="129"/>
      <c r="C754" s="128"/>
      <c r="D754" s="128"/>
      <c r="E754" s="128"/>
      <c r="F754" s="166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6" t="str">
        <f t="shared" si="72"/>
        <v/>
      </c>
      <c r="S754" s="163" t="str">
        <f t="shared" si="73"/>
        <v/>
      </c>
      <c r="T754" s="160" t="str">
        <f>IFERROR(INDEX(当年标准成本!$I:$I,MATCH(K754,当年标准成本!$C:$C,0),1),"")</f>
        <v/>
      </c>
      <c r="U754" s="126" t="str">
        <f t="shared" si="74"/>
        <v/>
      </c>
      <c r="V754" s="126" t="str">
        <f t="shared" si="75"/>
        <v/>
      </c>
      <c r="W754" s="124" t="str">
        <f t="shared" si="76"/>
        <v/>
      </c>
      <c r="X754" s="125" t="str">
        <f t="shared" si="71"/>
        <v/>
      </c>
    </row>
    <row r="755" spans="1:24" x14ac:dyDescent="0.3">
      <c r="A755" s="129"/>
      <c r="B755" s="129"/>
      <c r="C755" s="128"/>
      <c r="D755" s="128"/>
      <c r="E755" s="128"/>
      <c r="F755" s="166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6" t="str">
        <f t="shared" si="72"/>
        <v/>
      </c>
      <c r="S755" s="163" t="str">
        <f t="shared" si="73"/>
        <v/>
      </c>
      <c r="T755" s="160" t="str">
        <f>IFERROR(INDEX(当年标准成本!$I:$I,MATCH(K755,当年标准成本!$C:$C,0),1),"")</f>
        <v/>
      </c>
      <c r="U755" s="126" t="str">
        <f t="shared" si="74"/>
        <v/>
      </c>
      <c r="V755" s="126" t="str">
        <f t="shared" si="75"/>
        <v/>
      </c>
      <c r="W755" s="124" t="str">
        <f t="shared" si="76"/>
        <v/>
      </c>
      <c r="X755" s="125" t="str">
        <f t="shared" si="71"/>
        <v/>
      </c>
    </row>
    <row r="756" spans="1:24" x14ac:dyDescent="0.3">
      <c r="A756" s="129"/>
      <c r="B756" s="129"/>
      <c r="C756" s="128"/>
      <c r="D756" s="128"/>
      <c r="E756" s="128"/>
      <c r="F756" s="166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6" t="str">
        <f t="shared" si="72"/>
        <v/>
      </c>
      <c r="S756" s="163" t="str">
        <f t="shared" si="73"/>
        <v/>
      </c>
      <c r="T756" s="160" t="str">
        <f>IFERROR(INDEX(当年标准成本!$I:$I,MATCH(K756,当年标准成本!$C:$C,0),1),"")</f>
        <v/>
      </c>
      <c r="U756" s="126" t="str">
        <f t="shared" si="74"/>
        <v/>
      </c>
      <c r="V756" s="126" t="str">
        <f t="shared" si="75"/>
        <v/>
      </c>
      <c r="W756" s="124" t="str">
        <f t="shared" si="76"/>
        <v/>
      </c>
      <c r="X756" s="125" t="str">
        <f t="shared" si="71"/>
        <v/>
      </c>
    </row>
    <row r="757" spans="1:24" x14ac:dyDescent="0.3">
      <c r="A757" s="129"/>
      <c r="B757" s="129"/>
      <c r="C757" s="128"/>
      <c r="D757" s="128"/>
      <c r="E757" s="128"/>
      <c r="F757" s="166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6" t="str">
        <f t="shared" si="72"/>
        <v/>
      </c>
      <c r="S757" s="163" t="str">
        <f t="shared" si="73"/>
        <v/>
      </c>
      <c r="T757" s="160" t="str">
        <f>IFERROR(INDEX(当年标准成本!$I:$I,MATCH(K757,当年标准成本!$C:$C,0),1),"")</f>
        <v/>
      </c>
      <c r="U757" s="126" t="str">
        <f t="shared" si="74"/>
        <v/>
      </c>
      <c r="V757" s="126" t="str">
        <f t="shared" si="75"/>
        <v/>
      </c>
      <c r="W757" s="124" t="str">
        <f t="shared" si="76"/>
        <v/>
      </c>
      <c r="X757" s="125" t="str">
        <f t="shared" si="71"/>
        <v/>
      </c>
    </row>
    <row r="758" spans="1:24" x14ac:dyDescent="0.3">
      <c r="A758" s="129"/>
      <c r="B758" s="129"/>
      <c r="C758" s="128"/>
      <c r="D758" s="128"/>
      <c r="E758" s="128"/>
      <c r="F758" s="166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6" t="str">
        <f t="shared" si="72"/>
        <v/>
      </c>
      <c r="S758" s="163" t="str">
        <f t="shared" si="73"/>
        <v/>
      </c>
      <c r="T758" s="160" t="str">
        <f>IFERROR(INDEX(当年标准成本!$I:$I,MATCH(K758,当年标准成本!$C:$C,0),1),"")</f>
        <v/>
      </c>
      <c r="U758" s="126" t="str">
        <f t="shared" si="74"/>
        <v/>
      </c>
      <c r="V758" s="126" t="str">
        <f t="shared" si="75"/>
        <v/>
      </c>
      <c r="W758" s="124" t="str">
        <f t="shared" si="76"/>
        <v/>
      </c>
      <c r="X758" s="125" t="str">
        <f t="shared" si="71"/>
        <v/>
      </c>
    </row>
    <row r="759" spans="1:24" x14ac:dyDescent="0.3">
      <c r="A759" s="129"/>
      <c r="B759" s="129"/>
      <c r="C759" s="128"/>
      <c r="D759" s="128"/>
      <c r="E759" s="128"/>
      <c r="F759" s="166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6" t="str">
        <f t="shared" si="72"/>
        <v/>
      </c>
      <c r="S759" s="163" t="str">
        <f t="shared" si="73"/>
        <v/>
      </c>
      <c r="T759" s="160" t="str">
        <f>IFERROR(INDEX(当年标准成本!$I:$I,MATCH(K759,当年标准成本!$C:$C,0),1),"")</f>
        <v/>
      </c>
      <c r="U759" s="126" t="str">
        <f t="shared" si="74"/>
        <v/>
      </c>
      <c r="V759" s="126" t="str">
        <f t="shared" si="75"/>
        <v/>
      </c>
      <c r="W759" s="124" t="str">
        <f t="shared" si="76"/>
        <v/>
      </c>
      <c r="X759" s="125" t="str">
        <f t="shared" si="71"/>
        <v/>
      </c>
    </row>
    <row r="760" spans="1:24" x14ac:dyDescent="0.3">
      <c r="A760" s="129"/>
      <c r="B760" s="129"/>
      <c r="C760" s="128"/>
      <c r="D760" s="128"/>
      <c r="E760" s="128"/>
      <c r="F760" s="166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6" t="str">
        <f t="shared" si="72"/>
        <v/>
      </c>
      <c r="S760" s="163" t="str">
        <f t="shared" si="73"/>
        <v/>
      </c>
      <c r="T760" s="160" t="str">
        <f>IFERROR(INDEX(当年标准成本!$I:$I,MATCH(K760,当年标准成本!$C:$C,0),1),"")</f>
        <v/>
      </c>
      <c r="U760" s="126" t="str">
        <f t="shared" si="74"/>
        <v/>
      </c>
      <c r="V760" s="126" t="str">
        <f t="shared" si="75"/>
        <v/>
      </c>
      <c r="W760" s="124" t="str">
        <f t="shared" si="76"/>
        <v/>
      </c>
      <c r="X760" s="125" t="str">
        <f t="shared" si="71"/>
        <v/>
      </c>
    </row>
    <row r="761" spans="1:24" x14ac:dyDescent="0.3">
      <c r="A761" s="129"/>
      <c r="B761" s="129"/>
      <c r="C761" s="128"/>
      <c r="D761" s="128"/>
      <c r="E761" s="128"/>
      <c r="F761" s="166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6" t="str">
        <f t="shared" si="72"/>
        <v/>
      </c>
      <c r="S761" s="163" t="str">
        <f t="shared" si="73"/>
        <v/>
      </c>
      <c r="T761" s="160" t="str">
        <f>IFERROR(INDEX(当年标准成本!$I:$I,MATCH(K761,当年标准成本!$C:$C,0),1),"")</f>
        <v/>
      </c>
      <c r="U761" s="126" t="str">
        <f t="shared" si="74"/>
        <v/>
      </c>
      <c r="V761" s="126" t="str">
        <f t="shared" si="75"/>
        <v/>
      </c>
      <c r="W761" s="124" t="str">
        <f t="shared" si="76"/>
        <v/>
      </c>
      <c r="X761" s="125" t="str">
        <f t="shared" si="71"/>
        <v/>
      </c>
    </row>
    <row r="762" spans="1:24" x14ac:dyDescent="0.3">
      <c r="A762" s="129"/>
      <c r="B762" s="129"/>
      <c r="C762" s="128"/>
      <c r="D762" s="128"/>
      <c r="E762" s="128"/>
      <c r="F762" s="166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6" t="str">
        <f t="shared" si="72"/>
        <v/>
      </c>
      <c r="S762" s="163" t="str">
        <f t="shared" si="73"/>
        <v/>
      </c>
      <c r="T762" s="160" t="str">
        <f>IFERROR(INDEX(当年标准成本!$I:$I,MATCH(K762,当年标准成本!$C:$C,0),1),"")</f>
        <v/>
      </c>
      <c r="U762" s="126" t="str">
        <f t="shared" si="74"/>
        <v/>
      </c>
      <c r="V762" s="126" t="str">
        <f t="shared" si="75"/>
        <v/>
      </c>
      <c r="W762" s="124" t="str">
        <f t="shared" si="76"/>
        <v/>
      </c>
      <c r="X762" s="125" t="str">
        <f t="shared" si="71"/>
        <v/>
      </c>
    </row>
    <row r="763" spans="1:24" x14ac:dyDescent="0.3">
      <c r="A763" s="129"/>
      <c r="B763" s="129"/>
      <c r="C763" s="128"/>
      <c r="D763" s="128"/>
      <c r="E763" s="128"/>
      <c r="F763" s="166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6" t="str">
        <f t="shared" si="72"/>
        <v/>
      </c>
      <c r="S763" s="163" t="str">
        <f t="shared" si="73"/>
        <v/>
      </c>
      <c r="T763" s="160" t="str">
        <f>IFERROR(INDEX(当年标准成本!$I:$I,MATCH(K763,当年标准成本!$C:$C,0),1),"")</f>
        <v/>
      </c>
      <c r="U763" s="126" t="str">
        <f t="shared" si="74"/>
        <v/>
      </c>
      <c r="V763" s="126" t="str">
        <f t="shared" si="75"/>
        <v/>
      </c>
      <c r="W763" s="124" t="str">
        <f t="shared" si="76"/>
        <v/>
      </c>
      <c r="X763" s="125" t="str">
        <f t="shared" si="71"/>
        <v/>
      </c>
    </row>
    <row r="764" spans="1:24" x14ac:dyDescent="0.3">
      <c r="A764" s="129"/>
      <c r="B764" s="129"/>
      <c r="C764" s="128"/>
      <c r="D764" s="128"/>
      <c r="E764" s="128"/>
      <c r="F764" s="166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6" t="str">
        <f t="shared" si="72"/>
        <v/>
      </c>
      <c r="S764" s="163" t="str">
        <f t="shared" si="73"/>
        <v/>
      </c>
      <c r="T764" s="160" t="str">
        <f>IFERROR(INDEX(当年标准成本!$I:$I,MATCH(K764,当年标准成本!$C:$C,0),1),"")</f>
        <v/>
      </c>
      <c r="U764" s="126" t="str">
        <f t="shared" si="74"/>
        <v/>
      </c>
      <c r="V764" s="126" t="str">
        <f t="shared" si="75"/>
        <v/>
      </c>
      <c r="W764" s="124" t="str">
        <f t="shared" si="76"/>
        <v/>
      </c>
      <c r="X764" s="125" t="str">
        <f t="shared" si="71"/>
        <v/>
      </c>
    </row>
    <row r="765" spans="1:24" x14ac:dyDescent="0.3">
      <c r="A765" s="129"/>
      <c r="B765" s="129"/>
      <c r="C765" s="128"/>
      <c r="D765" s="128"/>
      <c r="E765" s="128"/>
      <c r="F765" s="166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6" t="str">
        <f t="shared" si="72"/>
        <v/>
      </c>
      <c r="S765" s="163" t="str">
        <f t="shared" si="73"/>
        <v/>
      </c>
      <c r="T765" s="160" t="str">
        <f>IFERROR(INDEX(当年标准成本!$I:$I,MATCH(K765,当年标准成本!$C:$C,0),1),"")</f>
        <v/>
      </c>
      <c r="U765" s="126" t="str">
        <f t="shared" si="74"/>
        <v/>
      </c>
      <c r="V765" s="126" t="str">
        <f t="shared" si="75"/>
        <v/>
      </c>
      <c r="W765" s="124" t="str">
        <f t="shared" si="76"/>
        <v/>
      </c>
      <c r="X765" s="125" t="str">
        <f t="shared" si="71"/>
        <v/>
      </c>
    </row>
    <row r="766" spans="1:24" x14ac:dyDescent="0.3">
      <c r="A766" s="129"/>
      <c r="B766" s="129"/>
      <c r="C766" s="128"/>
      <c r="D766" s="128"/>
      <c r="E766" s="128"/>
      <c r="F766" s="166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6" t="str">
        <f t="shared" si="72"/>
        <v/>
      </c>
      <c r="S766" s="163" t="str">
        <f t="shared" si="73"/>
        <v/>
      </c>
      <c r="T766" s="160" t="str">
        <f>IFERROR(INDEX(当年标准成本!$I:$I,MATCH(K766,当年标准成本!$C:$C,0),1),"")</f>
        <v/>
      </c>
      <c r="U766" s="126" t="str">
        <f t="shared" si="74"/>
        <v/>
      </c>
      <c r="V766" s="126" t="str">
        <f t="shared" si="75"/>
        <v/>
      </c>
      <c r="W766" s="124" t="str">
        <f t="shared" si="76"/>
        <v/>
      </c>
      <c r="X766" s="125" t="str">
        <f t="shared" si="71"/>
        <v/>
      </c>
    </row>
    <row r="767" spans="1:24" x14ac:dyDescent="0.3">
      <c r="A767" s="129"/>
      <c r="B767" s="129"/>
      <c r="C767" s="128"/>
      <c r="D767" s="128"/>
      <c r="E767" s="128"/>
      <c r="F767" s="166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6" t="str">
        <f t="shared" si="72"/>
        <v/>
      </c>
      <c r="S767" s="163" t="str">
        <f t="shared" si="73"/>
        <v/>
      </c>
      <c r="T767" s="160" t="str">
        <f>IFERROR(INDEX(当年标准成本!$I:$I,MATCH(K767,当年标准成本!$C:$C,0),1),"")</f>
        <v/>
      </c>
      <c r="U767" s="126" t="str">
        <f t="shared" si="74"/>
        <v/>
      </c>
      <c r="V767" s="126" t="str">
        <f t="shared" si="75"/>
        <v/>
      </c>
      <c r="W767" s="124" t="str">
        <f t="shared" si="76"/>
        <v/>
      </c>
      <c r="X767" s="125" t="str">
        <f t="shared" si="71"/>
        <v/>
      </c>
    </row>
    <row r="768" spans="1:24" x14ac:dyDescent="0.3">
      <c r="A768" s="129"/>
      <c r="B768" s="129"/>
      <c r="C768" s="128"/>
      <c r="D768" s="128"/>
      <c r="E768" s="128"/>
      <c r="F768" s="166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6" t="str">
        <f t="shared" si="72"/>
        <v/>
      </c>
      <c r="S768" s="163" t="str">
        <f t="shared" si="73"/>
        <v/>
      </c>
      <c r="T768" s="160" t="str">
        <f>IFERROR(INDEX(当年标准成本!$I:$I,MATCH(K768,当年标准成本!$C:$C,0),1),"")</f>
        <v/>
      </c>
      <c r="U768" s="126" t="str">
        <f t="shared" si="74"/>
        <v/>
      </c>
      <c r="V768" s="126" t="str">
        <f t="shared" si="75"/>
        <v/>
      </c>
      <c r="W768" s="124" t="str">
        <f t="shared" si="76"/>
        <v/>
      </c>
      <c r="X768" s="125" t="str">
        <f t="shared" si="71"/>
        <v/>
      </c>
    </row>
    <row r="769" spans="1:24" x14ac:dyDescent="0.3">
      <c r="A769" s="129"/>
      <c r="B769" s="129"/>
      <c r="C769" s="128"/>
      <c r="D769" s="128"/>
      <c r="E769" s="128"/>
      <c r="F769" s="166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6" t="str">
        <f t="shared" si="72"/>
        <v/>
      </c>
      <c r="S769" s="163" t="str">
        <f t="shared" si="73"/>
        <v/>
      </c>
      <c r="T769" s="160" t="str">
        <f>IFERROR(INDEX(当年标准成本!$I:$I,MATCH(K769,当年标准成本!$C:$C,0),1),"")</f>
        <v/>
      </c>
      <c r="U769" s="126" t="str">
        <f t="shared" si="74"/>
        <v/>
      </c>
      <c r="V769" s="126" t="str">
        <f t="shared" si="75"/>
        <v/>
      </c>
      <c r="W769" s="124" t="str">
        <f t="shared" si="76"/>
        <v/>
      </c>
      <c r="X769" s="125" t="str">
        <f t="shared" si="71"/>
        <v/>
      </c>
    </row>
    <row r="770" spans="1:24" x14ac:dyDescent="0.3">
      <c r="A770" s="129"/>
      <c r="B770" s="129"/>
      <c r="C770" s="128"/>
      <c r="D770" s="128"/>
      <c r="E770" s="128"/>
      <c r="F770" s="166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6" t="str">
        <f t="shared" si="72"/>
        <v/>
      </c>
      <c r="S770" s="163" t="str">
        <f t="shared" si="73"/>
        <v/>
      </c>
      <c r="T770" s="160" t="str">
        <f>IFERROR(INDEX(当年标准成本!$I:$I,MATCH(K770,当年标准成本!$C:$C,0),1),"")</f>
        <v/>
      </c>
      <c r="U770" s="126" t="str">
        <f t="shared" si="74"/>
        <v/>
      </c>
      <c r="V770" s="126" t="str">
        <f t="shared" si="75"/>
        <v/>
      </c>
      <c r="W770" s="124" t="str">
        <f t="shared" si="76"/>
        <v/>
      </c>
      <c r="X770" s="125" t="str">
        <f t="shared" ref="X770:X833" si="77">IFERROR(IF(W770/SUM(W:W)=0,"",W770/SUM(W:W)),"")</f>
        <v/>
      </c>
    </row>
    <row r="771" spans="1:24" x14ac:dyDescent="0.3">
      <c r="A771" s="129"/>
      <c r="B771" s="129"/>
      <c r="C771" s="128"/>
      <c r="D771" s="128"/>
      <c r="E771" s="128"/>
      <c r="F771" s="166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6" t="str">
        <f t="shared" si="72"/>
        <v/>
      </c>
      <c r="S771" s="163" t="str">
        <f t="shared" si="73"/>
        <v/>
      </c>
      <c r="T771" s="160" t="str">
        <f>IFERROR(INDEX(当年标准成本!$I:$I,MATCH(K771,当年标准成本!$C:$C,0),1),"")</f>
        <v/>
      </c>
      <c r="U771" s="126" t="str">
        <f t="shared" si="74"/>
        <v/>
      </c>
      <c r="V771" s="126" t="str">
        <f t="shared" si="75"/>
        <v/>
      </c>
      <c r="W771" s="124" t="str">
        <f t="shared" si="76"/>
        <v/>
      </c>
      <c r="X771" s="125" t="str">
        <f t="shared" si="77"/>
        <v/>
      </c>
    </row>
    <row r="772" spans="1:24" x14ac:dyDescent="0.3">
      <c r="A772" s="129"/>
      <c r="B772" s="129"/>
      <c r="C772" s="128"/>
      <c r="D772" s="128"/>
      <c r="E772" s="128"/>
      <c r="F772" s="166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6" t="str">
        <f t="shared" si="72"/>
        <v/>
      </c>
      <c r="S772" s="163" t="str">
        <f t="shared" si="73"/>
        <v/>
      </c>
      <c r="T772" s="160" t="str">
        <f>IFERROR(INDEX(当年标准成本!$I:$I,MATCH(K772,当年标准成本!$C:$C,0),1),"")</f>
        <v/>
      </c>
      <c r="U772" s="126" t="str">
        <f t="shared" si="74"/>
        <v/>
      </c>
      <c r="V772" s="126" t="str">
        <f t="shared" si="75"/>
        <v/>
      </c>
      <c r="W772" s="124" t="str">
        <f t="shared" si="76"/>
        <v/>
      </c>
      <c r="X772" s="125" t="str">
        <f t="shared" si="77"/>
        <v/>
      </c>
    </row>
    <row r="773" spans="1:24" x14ac:dyDescent="0.3">
      <c r="A773" s="129"/>
      <c r="B773" s="129"/>
      <c r="C773" s="128"/>
      <c r="D773" s="128"/>
      <c r="E773" s="128"/>
      <c r="F773" s="166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6" t="str">
        <f t="shared" si="72"/>
        <v/>
      </c>
      <c r="S773" s="163" t="str">
        <f t="shared" si="73"/>
        <v/>
      </c>
      <c r="T773" s="160" t="str">
        <f>IFERROR(INDEX(当年标准成本!$I:$I,MATCH(K773,当年标准成本!$C:$C,0),1),"")</f>
        <v/>
      </c>
      <c r="U773" s="126" t="str">
        <f t="shared" si="74"/>
        <v/>
      </c>
      <c r="V773" s="126" t="str">
        <f t="shared" si="75"/>
        <v/>
      </c>
      <c r="W773" s="124" t="str">
        <f t="shared" si="76"/>
        <v/>
      </c>
      <c r="X773" s="125" t="str">
        <f t="shared" si="77"/>
        <v/>
      </c>
    </row>
    <row r="774" spans="1:24" x14ac:dyDescent="0.3">
      <c r="A774" s="129"/>
      <c r="B774" s="129"/>
      <c r="C774" s="128"/>
      <c r="D774" s="128"/>
      <c r="E774" s="128"/>
      <c r="F774" s="166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6" t="str">
        <f t="shared" si="72"/>
        <v/>
      </c>
      <c r="S774" s="163" t="str">
        <f t="shared" si="73"/>
        <v/>
      </c>
      <c r="T774" s="160" t="str">
        <f>IFERROR(INDEX(当年标准成本!$I:$I,MATCH(K774,当年标准成本!$C:$C,0),1),"")</f>
        <v/>
      </c>
      <c r="U774" s="126" t="str">
        <f t="shared" si="74"/>
        <v/>
      </c>
      <c r="V774" s="126" t="str">
        <f t="shared" si="75"/>
        <v/>
      </c>
      <c r="W774" s="124" t="str">
        <f t="shared" si="76"/>
        <v/>
      </c>
      <c r="X774" s="125" t="str">
        <f t="shared" si="77"/>
        <v/>
      </c>
    </row>
    <row r="775" spans="1:24" x14ac:dyDescent="0.3">
      <c r="A775" s="129"/>
      <c r="B775" s="129"/>
      <c r="C775" s="128"/>
      <c r="D775" s="128"/>
      <c r="E775" s="128"/>
      <c r="F775" s="166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6" t="str">
        <f t="shared" si="72"/>
        <v/>
      </c>
      <c r="S775" s="163" t="str">
        <f t="shared" si="73"/>
        <v/>
      </c>
      <c r="T775" s="160" t="str">
        <f>IFERROR(INDEX(当年标准成本!$I:$I,MATCH(K775,当年标准成本!$C:$C,0),1),"")</f>
        <v/>
      </c>
      <c r="U775" s="126" t="str">
        <f t="shared" si="74"/>
        <v/>
      </c>
      <c r="V775" s="126" t="str">
        <f t="shared" si="75"/>
        <v/>
      </c>
      <c r="W775" s="124" t="str">
        <f t="shared" si="76"/>
        <v/>
      </c>
      <c r="X775" s="125" t="str">
        <f t="shared" si="77"/>
        <v/>
      </c>
    </row>
    <row r="776" spans="1:24" x14ac:dyDescent="0.3">
      <c r="A776" s="129"/>
      <c r="B776" s="129"/>
      <c r="C776" s="128"/>
      <c r="D776" s="128"/>
      <c r="E776" s="128"/>
      <c r="F776" s="166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6" t="str">
        <f t="shared" si="72"/>
        <v/>
      </c>
      <c r="S776" s="163" t="str">
        <f t="shared" si="73"/>
        <v/>
      </c>
      <c r="T776" s="160" t="str">
        <f>IFERROR(INDEX(当年标准成本!$I:$I,MATCH(K776,当年标准成本!$C:$C,0),1),"")</f>
        <v/>
      </c>
      <c r="U776" s="126" t="str">
        <f t="shared" si="74"/>
        <v/>
      </c>
      <c r="V776" s="126" t="str">
        <f t="shared" si="75"/>
        <v/>
      </c>
      <c r="W776" s="124" t="str">
        <f t="shared" si="76"/>
        <v/>
      </c>
      <c r="X776" s="125" t="str">
        <f t="shared" si="77"/>
        <v/>
      </c>
    </row>
    <row r="777" spans="1:24" x14ac:dyDescent="0.3">
      <c r="A777" s="129"/>
      <c r="B777" s="129"/>
      <c r="C777" s="128"/>
      <c r="D777" s="128"/>
      <c r="E777" s="128"/>
      <c r="F777" s="166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6" t="str">
        <f t="shared" si="72"/>
        <v/>
      </c>
      <c r="S777" s="163" t="str">
        <f t="shared" si="73"/>
        <v/>
      </c>
      <c r="T777" s="160" t="str">
        <f>IFERROR(INDEX(当年标准成本!$I:$I,MATCH(K777,当年标准成本!$C:$C,0),1),"")</f>
        <v/>
      </c>
      <c r="U777" s="126" t="str">
        <f t="shared" si="74"/>
        <v/>
      </c>
      <c r="V777" s="126" t="str">
        <f t="shared" si="75"/>
        <v/>
      </c>
      <c r="W777" s="124" t="str">
        <f t="shared" si="76"/>
        <v/>
      </c>
      <c r="X777" s="125" t="str">
        <f t="shared" si="77"/>
        <v/>
      </c>
    </row>
    <row r="778" spans="1:24" x14ac:dyDescent="0.3">
      <c r="A778" s="129"/>
      <c r="B778" s="129"/>
      <c r="C778" s="128"/>
      <c r="D778" s="128"/>
      <c r="E778" s="128"/>
      <c r="F778" s="166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6" t="str">
        <f t="shared" ref="R778:R841" si="78">IFERROR(P778/O778,"")</f>
        <v/>
      </c>
      <c r="S778" s="163" t="str">
        <f t="shared" ref="S778:S841" si="79">IFERROR(R778*(1+Q778),"")</f>
        <v/>
      </c>
      <c r="T778" s="160" t="str">
        <f>IFERROR(INDEX(当年标准成本!$I:$I,MATCH(K778,当年标准成本!$C:$C,0),1),"")</f>
        <v/>
      </c>
      <c r="U778" s="126" t="str">
        <f t="shared" ref="U778:U841" si="80">IFERROR(O778*T778,"")</f>
        <v/>
      </c>
      <c r="V778" s="126" t="str">
        <f t="shared" ref="V778:V841" si="81">IFERROR(P778-U778,"")</f>
        <v/>
      </c>
      <c r="W778" s="124" t="str">
        <f t="shared" ref="W778:W841" si="82">IFERROR(V778/P778,"")</f>
        <v/>
      </c>
      <c r="X778" s="125" t="str">
        <f t="shared" si="77"/>
        <v/>
      </c>
    </row>
    <row r="779" spans="1:24" x14ac:dyDescent="0.3">
      <c r="A779" s="129"/>
      <c r="B779" s="129"/>
      <c r="C779" s="128"/>
      <c r="D779" s="128"/>
      <c r="E779" s="128"/>
      <c r="F779" s="166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6" t="str">
        <f t="shared" si="78"/>
        <v/>
      </c>
      <c r="S779" s="163" t="str">
        <f t="shared" si="79"/>
        <v/>
      </c>
      <c r="T779" s="160" t="str">
        <f>IFERROR(INDEX(当年标准成本!$I:$I,MATCH(K779,当年标准成本!$C:$C,0),1),"")</f>
        <v/>
      </c>
      <c r="U779" s="126" t="str">
        <f t="shared" si="80"/>
        <v/>
      </c>
      <c r="V779" s="126" t="str">
        <f t="shared" si="81"/>
        <v/>
      </c>
      <c r="W779" s="124" t="str">
        <f t="shared" si="82"/>
        <v/>
      </c>
      <c r="X779" s="125" t="str">
        <f t="shared" si="77"/>
        <v/>
      </c>
    </row>
    <row r="780" spans="1:24" x14ac:dyDescent="0.3">
      <c r="A780" s="129"/>
      <c r="B780" s="129"/>
      <c r="C780" s="128"/>
      <c r="D780" s="128"/>
      <c r="E780" s="128"/>
      <c r="F780" s="166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6" t="str">
        <f t="shared" si="78"/>
        <v/>
      </c>
      <c r="S780" s="163" t="str">
        <f t="shared" si="79"/>
        <v/>
      </c>
      <c r="T780" s="160" t="str">
        <f>IFERROR(INDEX(当年标准成本!$I:$I,MATCH(K780,当年标准成本!$C:$C,0),1),"")</f>
        <v/>
      </c>
      <c r="U780" s="126" t="str">
        <f t="shared" si="80"/>
        <v/>
      </c>
      <c r="V780" s="126" t="str">
        <f t="shared" si="81"/>
        <v/>
      </c>
      <c r="W780" s="124" t="str">
        <f t="shared" si="82"/>
        <v/>
      </c>
      <c r="X780" s="125" t="str">
        <f t="shared" si="77"/>
        <v/>
      </c>
    </row>
    <row r="781" spans="1:24" x14ac:dyDescent="0.3">
      <c r="A781" s="129"/>
      <c r="B781" s="129"/>
      <c r="C781" s="128"/>
      <c r="D781" s="128"/>
      <c r="E781" s="128"/>
      <c r="F781" s="166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6" t="str">
        <f t="shared" si="78"/>
        <v/>
      </c>
      <c r="S781" s="163" t="str">
        <f t="shared" si="79"/>
        <v/>
      </c>
      <c r="T781" s="160" t="str">
        <f>IFERROR(INDEX(当年标准成本!$I:$I,MATCH(K781,当年标准成本!$C:$C,0),1),"")</f>
        <v/>
      </c>
      <c r="U781" s="126" t="str">
        <f t="shared" si="80"/>
        <v/>
      </c>
      <c r="V781" s="126" t="str">
        <f t="shared" si="81"/>
        <v/>
      </c>
      <c r="W781" s="124" t="str">
        <f t="shared" si="82"/>
        <v/>
      </c>
      <c r="X781" s="125" t="str">
        <f t="shared" si="77"/>
        <v/>
      </c>
    </row>
    <row r="782" spans="1:24" x14ac:dyDescent="0.3">
      <c r="A782" s="129"/>
      <c r="B782" s="129"/>
      <c r="C782" s="128"/>
      <c r="D782" s="128"/>
      <c r="E782" s="128"/>
      <c r="F782" s="166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6" t="str">
        <f t="shared" si="78"/>
        <v/>
      </c>
      <c r="S782" s="163" t="str">
        <f t="shared" si="79"/>
        <v/>
      </c>
      <c r="T782" s="160" t="str">
        <f>IFERROR(INDEX(当年标准成本!$I:$I,MATCH(K782,当年标准成本!$C:$C,0),1),"")</f>
        <v/>
      </c>
      <c r="U782" s="126" t="str">
        <f t="shared" si="80"/>
        <v/>
      </c>
      <c r="V782" s="126" t="str">
        <f t="shared" si="81"/>
        <v/>
      </c>
      <c r="W782" s="124" t="str">
        <f t="shared" si="82"/>
        <v/>
      </c>
      <c r="X782" s="125" t="str">
        <f t="shared" si="77"/>
        <v/>
      </c>
    </row>
    <row r="783" spans="1:24" x14ac:dyDescent="0.3">
      <c r="A783" s="129"/>
      <c r="B783" s="129"/>
      <c r="C783" s="128"/>
      <c r="D783" s="128"/>
      <c r="E783" s="128"/>
      <c r="F783" s="166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6" t="str">
        <f t="shared" si="78"/>
        <v/>
      </c>
      <c r="S783" s="163" t="str">
        <f t="shared" si="79"/>
        <v/>
      </c>
      <c r="T783" s="160" t="str">
        <f>IFERROR(INDEX(当年标准成本!$I:$I,MATCH(K783,当年标准成本!$C:$C,0),1),"")</f>
        <v/>
      </c>
      <c r="U783" s="126" t="str">
        <f t="shared" si="80"/>
        <v/>
      </c>
      <c r="V783" s="126" t="str">
        <f t="shared" si="81"/>
        <v/>
      </c>
      <c r="W783" s="124" t="str">
        <f t="shared" si="82"/>
        <v/>
      </c>
      <c r="X783" s="125" t="str">
        <f t="shared" si="77"/>
        <v/>
      </c>
    </row>
    <row r="784" spans="1:24" x14ac:dyDescent="0.3">
      <c r="A784" s="129"/>
      <c r="B784" s="129"/>
      <c r="C784" s="128"/>
      <c r="D784" s="128"/>
      <c r="E784" s="128"/>
      <c r="F784" s="166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6" t="str">
        <f t="shared" si="78"/>
        <v/>
      </c>
      <c r="S784" s="163" t="str">
        <f t="shared" si="79"/>
        <v/>
      </c>
      <c r="T784" s="160" t="str">
        <f>IFERROR(INDEX(当年标准成本!$I:$I,MATCH(K784,当年标准成本!$C:$C,0),1),"")</f>
        <v/>
      </c>
      <c r="U784" s="126" t="str">
        <f t="shared" si="80"/>
        <v/>
      </c>
      <c r="V784" s="126" t="str">
        <f t="shared" si="81"/>
        <v/>
      </c>
      <c r="W784" s="124" t="str">
        <f t="shared" si="82"/>
        <v/>
      </c>
      <c r="X784" s="125" t="str">
        <f t="shared" si="77"/>
        <v/>
      </c>
    </row>
    <row r="785" spans="1:24" x14ac:dyDescent="0.3">
      <c r="A785" s="129"/>
      <c r="B785" s="129"/>
      <c r="C785" s="128"/>
      <c r="D785" s="128"/>
      <c r="E785" s="128"/>
      <c r="F785" s="166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6" t="str">
        <f t="shared" si="78"/>
        <v/>
      </c>
      <c r="S785" s="163" t="str">
        <f t="shared" si="79"/>
        <v/>
      </c>
      <c r="T785" s="160" t="str">
        <f>IFERROR(INDEX(当年标准成本!$I:$I,MATCH(K785,当年标准成本!$C:$C,0),1),"")</f>
        <v/>
      </c>
      <c r="U785" s="126" t="str">
        <f t="shared" si="80"/>
        <v/>
      </c>
      <c r="V785" s="126" t="str">
        <f t="shared" si="81"/>
        <v/>
      </c>
      <c r="W785" s="124" t="str">
        <f t="shared" si="82"/>
        <v/>
      </c>
      <c r="X785" s="125" t="str">
        <f t="shared" si="77"/>
        <v/>
      </c>
    </row>
    <row r="786" spans="1:24" x14ac:dyDescent="0.3">
      <c r="A786" s="129"/>
      <c r="B786" s="129"/>
      <c r="C786" s="128"/>
      <c r="D786" s="128"/>
      <c r="E786" s="128"/>
      <c r="F786" s="166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6" t="str">
        <f t="shared" si="78"/>
        <v/>
      </c>
      <c r="S786" s="163" t="str">
        <f t="shared" si="79"/>
        <v/>
      </c>
      <c r="T786" s="160" t="str">
        <f>IFERROR(INDEX(当年标准成本!$I:$I,MATCH(K786,当年标准成本!$C:$C,0),1),"")</f>
        <v/>
      </c>
      <c r="U786" s="126" t="str">
        <f t="shared" si="80"/>
        <v/>
      </c>
      <c r="V786" s="126" t="str">
        <f t="shared" si="81"/>
        <v/>
      </c>
      <c r="W786" s="124" t="str">
        <f t="shared" si="82"/>
        <v/>
      </c>
      <c r="X786" s="125" t="str">
        <f t="shared" si="77"/>
        <v/>
      </c>
    </row>
    <row r="787" spans="1:24" x14ac:dyDescent="0.3">
      <c r="A787" s="129"/>
      <c r="B787" s="129"/>
      <c r="C787" s="128"/>
      <c r="D787" s="128"/>
      <c r="E787" s="128"/>
      <c r="F787" s="166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6" t="str">
        <f t="shared" si="78"/>
        <v/>
      </c>
      <c r="S787" s="163" t="str">
        <f t="shared" si="79"/>
        <v/>
      </c>
      <c r="T787" s="160" t="str">
        <f>IFERROR(INDEX(当年标准成本!$I:$I,MATCH(K787,当年标准成本!$C:$C,0),1),"")</f>
        <v/>
      </c>
      <c r="U787" s="126" t="str">
        <f t="shared" si="80"/>
        <v/>
      </c>
      <c r="V787" s="126" t="str">
        <f t="shared" si="81"/>
        <v/>
      </c>
      <c r="W787" s="124" t="str">
        <f t="shared" si="82"/>
        <v/>
      </c>
      <c r="X787" s="125" t="str">
        <f t="shared" si="77"/>
        <v/>
      </c>
    </row>
    <row r="788" spans="1:24" x14ac:dyDescent="0.3">
      <c r="A788" s="129"/>
      <c r="B788" s="129"/>
      <c r="C788" s="128"/>
      <c r="D788" s="128"/>
      <c r="E788" s="128"/>
      <c r="F788" s="166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6" t="str">
        <f t="shared" si="78"/>
        <v/>
      </c>
      <c r="S788" s="163" t="str">
        <f t="shared" si="79"/>
        <v/>
      </c>
      <c r="T788" s="160" t="str">
        <f>IFERROR(INDEX(当年标准成本!$I:$I,MATCH(K788,当年标准成本!$C:$C,0),1),"")</f>
        <v/>
      </c>
      <c r="U788" s="126" t="str">
        <f t="shared" si="80"/>
        <v/>
      </c>
      <c r="V788" s="126" t="str">
        <f t="shared" si="81"/>
        <v/>
      </c>
      <c r="W788" s="124" t="str">
        <f t="shared" si="82"/>
        <v/>
      </c>
      <c r="X788" s="125" t="str">
        <f t="shared" si="77"/>
        <v/>
      </c>
    </row>
    <row r="789" spans="1:24" x14ac:dyDescent="0.3">
      <c r="A789" s="129"/>
      <c r="B789" s="129"/>
      <c r="C789" s="128"/>
      <c r="D789" s="128"/>
      <c r="E789" s="128"/>
      <c r="F789" s="166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6" t="str">
        <f t="shared" si="78"/>
        <v/>
      </c>
      <c r="S789" s="163" t="str">
        <f t="shared" si="79"/>
        <v/>
      </c>
      <c r="T789" s="160" t="str">
        <f>IFERROR(INDEX(当年标准成本!$I:$I,MATCH(K789,当年标准成本!$C:$C,0),1),"")</f>
        <v/>
      </c>
      <c r="U789" s="126" t="str">
        <f t="shared" si="80"/>
        <v/>
      </c>
      <c r="V789" s="126" t="str">
        <f t="shared" si="81"/>
        <v/>
      </c>
      <c r="W789" s="124" t="str">
        <f t="shared" si="82"/>
        <v/>
      </c>
      <c r="X789" s="125" t="str">
        <f t="shared" si="77"/>
        <v/>
      </c>
    </row>
    <row r="790" spans="1:24" x14ac:dyDescent="0.3">
      <c r="A790" s="129"/>
      <c r="B790" s="129"/>
      <c r="C790" s="128"/>
      <c r="D790" s="128"/>
      <c r="E790" s="128"/>
      <c r="F790" s="166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6" t="str">
        <f t="shared" si="78"/>
        <v/>
      </c>
      <c r="S790" s="163" t="str">
        <f t="shared" si="79"/>
        <v/>
      </c>
      <c r="T790" s="160" t="str">
        <f>IFERROR(INDEX(当年标准成本!$I:$I,MATCH(K790,当年标准成本!$C:$C,0),1),"")</f>
        <v/>
      </c>
      <c r="U790" s="126" t="str">
        <f t="shared" si="80"/>
        <v/>
      </c>
      <c r="V790" s="126" t="str">
        <f t="shared" si="81"/>
        <v/>
      </c>
      <c r="W790" s="124" t="str">
        <f t="shared" si="82"/>
        <v/>
      </c>
      <c r="X790" s="125" t="str">
        <f t="shared" si="77"/>
        <v/>
      </c>
    </row>
    <row r="791" spans="1:24" x14ac:dyDescent="0.3">
      <c r="A791" s="129"/>
      <c r="B791" s="129"/>
      <c r="C791" s="128"/>
      <c r="D791" s="128"/>
      <c r="E791" s="128"/>
      <c r="F791" s="166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6" t="str">
        <f t="shared" si="78"/>
        <v/>
      </c>
      <c r="S791" s="163" t="str">
        <f t="shared" si="79"/>
        <v/>
      </c>
      <c r="T791" s="160" t="str">
        <f>IFERROR(INDEX(当年标准成本!$I:$I,MATCH(K791,当年标准成本!$C:$C,0),1),"")</f>
        <v/>
      </c>
      <c r="U791" s="126" t="str">
        <f t="shared" si="80"/>
        <v/>
      </c>
      <c r="V791" s="126" t="str">
        <f t="shared" si="81"/>
        <v/>
      </c>
      <c r="W791" s="124" t="str">
        <f t="shared" si="82"/>
        <v/>
      </c>
      <c r="X791" s="125" t="str">
        <f t="shared" si="77"/>
        <v/>
      </c>
    </row>
    <row r="792" spans="1:24" x14ac:dyDescent="0.3">
      <c r="A792" s="129"/>
      <c r="B792" s="129"/>
      <c r="C792" s="128"/>
      <c r="D792" s="128"/>
      <c r="E792" s="128"/>
      <c r="F792" s="166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6" t="str">
        <f t="shared" si="78"/>
        <v/>
      </c>
      <c r="S792" s="163" t="str">
        <f t="shared" si="79"/>
        <v/>
      </c>
      <c r="T792" s="160" t="str">
        <f>IFERROR(INDEX(当年标准成本!$I:$I,MATCH(K792,当年标准成本!$C:$C,0),1),"")</f>
        <v/>
      </c>
      <c r="U792" s="126" t="str">
        <f t="shared" si="80"/>
        <v/>
      </c>
      <c r="V792" s="126" t="str">
        <f t="shared" si="81"/>
        <v/>
      </c>
      <c r="W792" s="124" t="str">
        <f t="shared" si="82"/>
        <v/>
      </c>
      <c r="X792" s="125" t="str">
        <f t="shared" si="77"/>
        <v/>
      </c>
    </row>
    <row r="793" spans="1:24" x14ac:dyDescent="0.3">
      <c r="A793" s="129"/>
      <c r="B793" s="129"/>
      <c r="C793" s="128"/>
      <c r="D793" s="128"/>
      <c r="E793" s="128"/>
      <c r="F793" s="166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6" t="str">
        <f t="shared" si="78"/>
        <v/>
      </c>
      <c r="S793" s="163" t="str">
        <f t="shared" si="79"/>
        <v/>
      </c>
      <c r="T793" s="160" t="str">
        <f>IFERROR(INDEX(当年标准成本!$I:$I,MATCH(K793,当年标准成本!$C:$C,0),1),"")</f>
        <v/>
      </c>
      <c r="U793" s="126" t="str">
        <f t="shared" si="80"/>
        <v/>
      </c>
      <c r="V793" s="126" t="str">
        <f t="shared" si="81"/>
        <v/>
      </c>
      <c r="W793" s="124" t="str">
        <f t="shared" si="82"/>
        <v/>
      </c>
      <c r="X793" s="125" t="str">
        <f t="shared" si="77"/>
        <v/>
      </c>
    </row>
    <row r="794" spans="1:24" x14ac:dyDescent="0.3">
      <c r="A794" s="129"/>
      <c r="B794" s="129"/>
      <c r="C794" s="128"/>
      <c r="D794" s="128"/>
      <c r="E794" s="128"/>
      <c r="F794" s="166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6" t="str">
        <f t="shared" si="78"/>
        <v/>
      </c>
      <c r="S794" s="163" t="str">
        <f t="shared" si="79"/>
        <v/>
      </c>
      <c r="T794" s="160" t="str">
        <f>IFERROR(INDEX(当年标准成本!$I:$I,MATCH(K794,当年标准成本!$C:$C,0),1),"")</f>
        <v/>
      </c>
      <c r="U794" s="126" t="str">
        <f t="shared" si="80"/>
        <v/>
      </c>
      <c r="V794" s="126" t="str">
        <f t="shared" si="81"/>
        <v/>
      </c>
      <c r="W794" s="124" t="str">
        <f t="shared" si="82"/>
        <v/>
      </c>
      <c r="X794" s="125" t="str">
        <f t="shared" si="77"/>
        <v/>
      </c>
    </row>
    <row r="795" spans="1:24" x14ac:dyDescent="0.3">
      <c r="A795" s="129"/>
      <c r="B795" s="129"/>
      <c r="C795" s="128"/>
      <c r="D795" s="128"/>
      <c r="E795" s="128"/>
      <c r="F795" s="166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6" t="str">
        <f t="shared" si="78"/>
        <v/>
      </c>
      <c r="S795" s="163" t="str">
        <f t="shared" si="79"/>
        <v/>
      </c>
      <c r="T795" s="160" t="str">
        <f>IFERROR(INDEX(当年标准成本!$I:$I,MATCH(K795,当年标准成本!$C:$C,0),1),"")</f>
        <v/>
      </c>
      <c r="U795" s="126" t="str">
        <f t="shared" si="80"/>
        <v/>
      </c>
      <c r="V795" s="126" t="str">
        <f t="shared" si="81"/>
        <v/>
      </c>
      <c r="W795" s="124" t="str">
        <f t="shared" si="82"/>
        <v/>
      </c>
      <c r="X795" s="125" t="str">
        <f t="shared" si="77"/>
        <v/>
      </c>
    </row>
    <row r="796" spans="1:24" x14ac:dyDescent="0.3">
      <c r="A796" s="129"/>
      <c r="B796" s="129"/>
      <c r="C796" s="128"/>
      <c r="D796" s="128"/>
      <c r="E796" s="128"/>
      <c r="F796" s="166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6" t="str">
        <f t="shared" si="78"/>
        <v/>
      </c>
      <c r="S796" s="163" t="str">
        <f t="shared" si="79"/>
        <v/>
      </c>
      <c r="T796" s="160" t="str">
        <f>IFERROR(INDEX(当年标准成本!$I:$I,MATCH(K796,当年标准成本!$C:$C,0),1),"")</f>
        <v/>
      </c>
      <c r="U796" s="126" t="str">
        <f t="shared" si="80"/>
        <v/>
      </c>
      <c r="V796" s="126" t="str">
        <f t="shared" si="81"/>
        <v/>
      </c>
      <c r="W796" s="124" t="str">
        <f t="shared" si="82"/>
        <v/>
      </c>
      <c r="X796" s="125" t="str">
        <f t="shared" si="77"/>
        <v/>
      </c>
    </row>
    <row r="797" spans="1:24" x14ac:dyDescent="0.3">
      <c r="A797" s="129"/>
      <c r="B797" s="129"/>
      <c r="C797" s="128"/>
      <c r="D797" s="128"/>
      <c r="E797" s="128"/>
      <c r="F797" s="166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6" t="str">
        <f t="shared" si="78"/>
        <v/>
      </c>
      <c r="S797" s="163" t="str">
        <f t="shared" si="79"/>
        <v/>
      </c>
      <c r="T797" s="160" t="str">
        <f>IFERROR(INDEX(当年标准成本!$I:$I,MATCH(K797,当年标准成本!$C:$C,0),1),"")</f>
        <v/>
      </c>
      <c r="U797" s="126" t="str">
        <f t="shared" si="80"/>
        <v/>
      </c>
      <c r="V797" s="126" t="str">
        <f t="shared" si="81"/>
        <v/>
      </c>
      <c r="W797" s="124" t="str">
        <f t="shared" si="82"/>
        <v/>
      </c>
      <c r="X797" s="125" t="str">
        <f t="shared" si="77"/>
        <v/>
      </c>
    </row>
    <row r="798" spans="1:24" x14ac:dyDescent="0.3">
      <c r="A798" s="129"/>
      <c r="B798" s="129"/>
      <c r="C798" s="128"/>
      <c r="D798" s="128"/>
      <c r="E798" s="128"/>
      <c r="F798" s="166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6" t="str">
        <f t="shared" si="78"/>
        <v/>
      </c>
      <c r="S798" s="163" t="str">
        <f t="shared" si="79"/>
        <v/>
      </c>
      <c r="T798" s="160" t="str">
        <f>IFERROR(INDEX(当年标准成本!$I:$I,MATCH(K798,当年标准成本!$C:$C,0),1),"")</f>
        <v/>
      </c>
      <c r="U798" s="126" t="str">
        <f t="shared" si="80"/>
        <v/>
      </c>
      <c r="V798" s="126" t="str">
        <f t="shared" si="81"/>
        <v/>
      </c>
      <c r="W798" s="124" t="str">
        <f t="shared" si="82"/>
        <v/>
      </c>
      <c r="X798" s="125" t="str">
        <f t="shared" si="77"/>
        <v/>
      </c>
    </row>
    <row r="799" spans="1:24" x14ac:dyDescent="0.3">
      <c r="A799" s="129"/>
      <c r="B799" s="129"/>
      <c r="C799" s="128"/>
      <c r="D799" s="128"/>
      <c r="E799" s="128"/>
      <c r="F799" s="166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6" t="str">
        <f t="shared" si="78"/>
        <v/>
      </c>
      <c r="S799" s="163" t="str">
        <f t="shared" si="79"/>
        <v/>
      </c>
      <c r="T799" s="160" t="str">
        <f>IFERROR(INDEX(当年标准成本!$I:$I,MATCH(K799,当年标准成本!$C:$C,0),1),"")</f>
        <v/>
      </c>
      <c r="U799" s="126" t="str">
        <f t="shared" si="80"/>
        <v/>
      </c>
      <c r="V799" s="126" t="str">
        <f t="shared" si="81"/>
        <v/>
      </c>
      <c r="W799" s="124" t="str">
        <f t="shared" si="82"/>
        <v/>
      </c>
      <c r="X799" s="125" t="str">
        <f t="shared" si="77"/>
        <v/>
      </c>
    </row>
    <row r="800" spans="1:24" x14ac:dyDescent="0.3">
      <c r="A800" s="129"/>
      <c r="B800" s="129"/>
      <c r="C800" s="128"/>
      <c r="D800" s="128"/>
      <c r="E800" s="128"/>
      <c r="F800" s="166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6" t="str">
        <f t="shared" si="78"/>
        <v/>
      </c>
      <c r="S800" s="163" t="str">
        <f t="shared" si="79"/>
        <v/>
      </c>
      <c r="T800" s="160" t="str">
        <f>IFERROR(INDEX(当年标准成本!$I:$I,MATCH(K800,当年标准成本!$C:$C,0),1),"")</f>
        <v/>
      </c>
      <c r="U800" s="126" t="str">
        <f t="shared" si="80"/>
        <v/>
      </c>
      <c r="V800" s="126" t="str">
        <f t="shared" si="81"/>
        <v/>
      </c>
      <c r="W800" s="124" t="str">
        <f t="shared" si="82"/>
        <v/>
      </c>
      <c r="X800" s="125" t="str">
        <f t="shared" si="77"/>
        <v/>
      </c>
    </row>
    <row r="801" spans="1:24" x14ac:dyDescent="0.3">
      <c r="A801" s="129"/>
      <c r="B801" s="129"/>
      <c r="C801" s="128"/>
      <c r="D801" s="128"/>
      <c r="E801" s="128"/>
      <c r="F801" s="166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6" t="str">
        <f t="shared" si="78"/>
        <v/>
      </c>
      <c r="S801" s="163" t="str">
        <f t="shared" si="79"/>
        <v/>
      </c>
      <c r="T801" s="160" t="str">
        <f>IFERROR(INDEX(当年标准成本!$I:$I,MATCH(K801,当年标准成本!$C:$C,0),1),"")</f>
        <v/>
      </c>
      <c r="U801" s="126" t="str">
        <f t="shared" si="80"/>
        <v/>
      </c>
      <c r="V801" s="126" t="str">
        <f t="shared" si="81"/>
        <v/>
      </c>
      <c r="W801" s="124" t="str">
        <f t="shared" si="82"/>
        <v/>
      </c>
      <c r="X801" s="125" t="str">
        <f t="shared" si="77"/>
        <v/>
      </c>
    </row>
    <row r="802" spans="1:24" x14ac:dyDescent="0.3">
      <c r="A802" s="129"/>
      <c r="B802" s="129"/>
      <c r="C802" s="128"/>
      <c r="D802" s="128"/>
      <c r="E802" s="128"/>
      <c r="F802" s="166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6" t="str">
        <f t="shared" si="78"/>
        <v/>
      </c>
      <c r="S802" s="163" t="str">
        <f t="shared" si="79"/>
        <v/>
      </c>
      <c r="T802" s="160" t="str">
        <f>IFERROR(INDEX(当年标准成本!$I:$I,MATCH(K802,当年标准成本!$C:$C,0),1),"")</f>
        <v/>
      </c>
      <c r="U802" s="126" t="str">
        <f t="shared" si="80"/>
        <v/>
      </c>
      <c r="V802" s="126" t="str">
        <f t="shared" si="81"/>
        <v/>
      </c>
      <c r="W802" s="124" t="str">
        <f t="shared" si="82"/>
        <v/>
      </c>
      <c r="X802" s="125" t="str">
        <f t="shared" si="77"/>
        <v/>
      </c>
    </row>
    <row r="803" spans="1:24" x14ac:dyDescent="0.3">
      <c r="A803" s="129"/>
      <c r="B803" s="129"/>
      <c r="C803" s="128"/>
      <c r="D803" s="128"/>
      <c r="E803" s="128"/>
      <c r="F803" s="166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6" t="str">
        <f t="shared" si="78"/>
        <v/>
      </c>
      <c r="S803" s="163" t="str">
        <f t="shared" si="79"/>
        <v/>
      </c>
      <c r="T803" s="160" t="str">
        <f>IFERROR(INDEX(当年标准成本!$I:$I,MATCH(K803,当年标准成本!$C:$C,0),1),"")</f>
        <v/>
      </c>
      <c r="U803" s="126" t="str">
        <f t="shared" si="80"/>
        <v/>
      </c>
      <c r="V803" s="126" t="str">
        <f t="shared" si="81"/>
        <v/>
      </c>
      <c r="W803" s="124" t="str">
        <f t="shared" si="82"/>
        <v/>
      </c>
      <c r="X803" s="125" t="str">
        <f t="shared" si="77"/>
        <v/>
      </c>
    </row>
    <row r="804" spans="1:24" x14ac:dyDescent="0.3">
      <c r="A804" s="129"/>
      <c r="B804" s="129"/>
      <c r="C804" s="128"/>
      <c r="D804" s="128"/>
      <c r="E804" s="128"/>
      <c r="F804" s="166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6" t="str">
        <f t="shared" si="78"/>
        <v/>
      </c>
      <c r="S804" s="163" t="str">
        <f t="shared" si="79"/>
        <v/>
      </c>
      <c r="T804" s="160" t="str">
        <f>IFERROR(INDEX(当年标准成本!$I:$I,MATCH(K804,当年标准成本!$C:$C,0),1),"")</f>
        <v/>
      </c>
      <c r="U804" s="126" t="str">
        <f t="shared" si="80"/>
        <v/>
      </c>
      <c r="V804" s="126" t="str">
        <f t="shared" si="81"/>
        <v/>
      </c>
      <c r="W804" s="124" t="str">
        <f t="shared" si="82"/>
        <v/>
      </c>
      <c r="X804" s="125" t="str">
        <f t="shared" si="77"/>
        <v/>
      </c>
    </row>
    <row r="805" spans="1:24" x14ac:dyDescent="0.3">
      <c r="A805" s="129"/>
      <c r="B805" s="129"/>
      <c r="C805" s="128"/>
      <c r="D805" s="128"/>
      <c r="E805" s="128"/>
      <c r="F805" s="166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6" t="str">
        <f t="shared" si="78"/>
        <v/>
      </c>
      <c r="S805" s="163" t="str">
        <f t="shared" si="79"/>
        <v/>
      </c>
      <c r="T805" s="160" t="str">
        <f>IFERROR(INDEX(当年标准成本!$I:$I,MATCH(K805,当年标准成本!$C:$C,0),1),"")</f>
        <v/>
      </c>
      <c r="U805" s="126" t="str">
        <f t="shared" si="80"/>
        <v/>
      </c>
      <c r="V805" s="126" t="str">
        <f t="shared" si="81"/>
        <v/>
      </c>
      <c r="W805" s="124" t="str">
        <f t="shared" si="82"/>
        <v/>
      </c>
      <c r="X805" s="125" t="str">
        <f t="shared" si="77"/>
        <v/>
      </c>
    </row>
    <row r="806" spans="1:24" x14ac:dyDescent="0.3">
      <c r="A806" s="129"/>
      <c r="B806" s="129"/>
      <c r="C806" s="128"/>
      <c r="D806" s="128"/>
      <c r="E806" s="128"/>
      <c r="F806" s="166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6" t="str">
        <f t="shared" si="78"/>
        <v/>
      </c>
      <c r="S806" s="163" t="str">
        <f t="shared" si="79"/>
        <v/>
      </c>
      <c r="T806" s="160" t="str">
        <f>IFERROR(INDEX(当年标准成本!$I:$I,MATCH(K806,当年标准成本!$C:$C,0),1),"")</f>
        <v/>
      </c>
      <c r="U806" s="126" t="str">
        <f t="shared" si="80"/>
        <v/>
      </c>
      <c r="V806" s="126" t="str">
        <f t="shared" si="81"/>
        <v/>
      </c>
      <c r="W806" s="124" t="str">
        <f t="shared" si="82"/>
        <v/>
      </c>
      <c r="X806" s="125" t="str">
        <f t="shared" si="77"/>
        <v/>
      </c>
    </row>
    <row r="807" spans="1:24" x14ac:dyDescent="0.3">
      <c r="A807" s="129"/>
      <c r="B807" s="129"/>
      <c r="C807" s="128"/>
      <c r="D807" s="128"/>
      <c r="E807" s="128"/>
      <c r="F807" s="166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6" t="str">
        <f t="shared" si="78"/>
        <v/>
      </c>
      <c r="S807" s="163" t="str">
        <f t="shared" si="79"/>
        <v/>
      </c>
      <c r="T807" s="160" t="str">
        <f>IFERROR(INDEX(当年标准成本!$I:$I,MATCH(K807,当年标准成本!$C:$C,0),1),"")</f>
        <v/>
      </c>
      <c r="U807" s="126" t="str">
        <f t="shared" si="80"/>
        <v/>
      </c>
      <c r="V807" s="126" t="str">
        <f t="shared" si="81"/>
        <v/>
      </c>
      <c r="W807" s="124" t="str">
        <f t="shared" si="82"/>
        <v/>
      </c>
      <c r="X807" s="125" t="str">
        <f t="shared" si="77"/>
        <v/>
      </c>
    </row>
    <row r="808" spans="1:24" x14ac:dyDescent="0.3">
      <c r="A808" s="129"/>
      <c r="B808" s="129"/>
      <c r="C808" s="128"/>
      <c r="D808" s="128"/>
      <c r="E808" s="128"/>
      <c r="F808" s="166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6" t="str">
        <f t="shared" si="78"/>
        <v/>
      </c>
      <c r="S808" s="163" t="str">
        <f t="shared" si="79"/>
        <v/>
      </c>
      <c r="T808" s="160" t="str">
        <f>IFERROR(INDEX(当年标准成本!$I:$I,MATCH(K808,当年标准成本!$C:$C,0),1),"")</f>
        <v/>
      </c>
      <c r="U808" s="126" t="str">
        <f t="shared" si="80"/>
        <v/>
      </c>
      <c r="V808" s="126" t="str">
        <f t="shared" si="81"/>
        <v/>
      </c>
      <c r="W808" s="124" t="str">
        <f t="shared" si="82"/>
        <v/>
      </c>
      <c r="X808" s="125" t="str">
        <f t="shared" si="77"/>
        <v/>
      </c>
    </row>
    <row r="809" spans="1:24" x14ac:dyDescent="0.3">
      <c r="A809" s="129"/>
      <c r="B809" s="129"/>
      <c r="C809" s="128"/>
      <c r="D809" s="128"/>
      <c r="E809" s="128"/>
      <c r="F809" s="166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6" t="str">
        <f t="shared" si="78"/>
        <v/>
      </c>
      <c r="S809" s="163" t="str">
        <f t="shared" si="79"/>
        <v/>
      </c>
      <c r="T809" s="160" t="str">
        <f>IFERROR(INDEX(当年标准成本!$I:$I,MATCH(K809,当年标准成本!$C:$C,0),1),"")</f>
        <v/>
      </c>
      <c r="U809" s="126" t="str">
        <f t="shared" si="80"/>
        <v/>
      </c>
      <c r="V809" s="126" t="str">
        <f t="shared" si="81"/>
        <v/>
      </c>
      <c r="W809" s="124" t="str">
        <f t="shared" si="82"/>
        <v/>
      </c>
      <c r="X809" s="125" t="str">
        <f t="shared" si="77"/>
        <v/>
      </c>
    </row>
    <row r="810" spans="1:24" x14ac:dyDescent="0.3">
      <c r="A810" s="129"/>
      <c r="B810" s="129"/>
      <c r="C810" s="128"/>
      <c r="D810" s="128"/>
      <c r="E810" s="128"/>
      <c r="F810" s="166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6" t="str">
        <f t="shared" si="78"/>
        <v/>
      </c>
      <c r="S810" s="163" t="str">
        <f t="shared" si="79"/>
        <v/>
      </c>
      <c r="T810" s="160" t="str">
        <f>IFERROR(INDEX(当年标准成本!$I:$I,MATCH(K810,当年标准成本!$C:$C,0),1),"")</f>
        <v/>
      </c>
      <c r="U810" s="126" t="str">
        <f t="shared" si="80"/>
        <v/>
      </c>
      <c r="V810" s="126" t="str">
        <f t="shared" si="81"/>
        <v/>
      </c>
      <c r="W810" s="124" t="str">
        <f t="shared" si="82"/>
        <v/>
      </c>
      <c r="X810" s="125" t="str">
        <f t="shared" si="77"/>
        <v/>
      </c>
    </row>
    <row r="811" spans="1:24" x14ac:dyDescent="0.3">
      <c r="A811" s="129"/>
      <c r="B811" s="129"/>
      <c r="C811" s="128"/>
      <c r="D811" s="128"/>
      <c r="E811" s="128"/>
      <c r="F811" s="166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6" t="str">
        <f t="shared" si="78"/>
        <v/>
      </c>
      <c r="S811" s="163" t="str">
        <f t="shared" si="79"/>
        <v/>
      </c>
      <c r="T811" s="160" t="str">
        <f>IFERROR(INDEX(当年标准成本!$I:$I,MATCH(K811,当年标准成本!$C:$C,0),1),"")</f>
        <v/>
      </c>
      <c r="U811" s="126" t="str">
        <f t="shared" si="80"/>
        <v/>
      </c>
      <c r="V811" s="126" t="str">
        <f t="shared" si="81"/>
        <v/>
      </c>
      <c r="W811" s="124" t="str">
        <f t="shared" si="82"/>
        <v/>
      </c>
      <c r="X811" s="125" t="str">
        <f t="shared" si="77"/>
        <v/>
      </c>
    </row>
    <row r="812" spans="1:24" x14ac:dyDescent="0.3">
      <c r="A812" s="129"/>
      <c r="B812" s="129"/>
      <c r="C812" s="128"/>
      <c r="D812" s="128"/>
      <c r="E812" s="128"/>
      <c r="F812" s="166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6" t="str">
        <f t="shared" si="78"/>
        <v/>
      </c>
      <c r="S812" s="163" t="str">
        <f t="shared" si="79"/>
        <v/>
      </c>
      <c r="T812" s="160" t="str">
        <f>IFERROR(INDEX(当年标准成本!$I:$I,MATCH(K812,当年标准成本!$C:$C,0),1),"")</f>
        <v/>
      </c>
      <c r="U812" s="126" t="str">
        <f t="shared" si="80"/>
        <v/>
      </c>
      <c r="V812" s="126" t="str">
        <f t="shared" si="81"/>
        <v/>
      </c>
      <c r="W812" s="124" t="str">
        <f t="shared" si="82"/>
        <v/>
      </c>
      <c r="X812" s="125" t="str">
        <f t="shared" si="77"/>
        <v/>
      </c>
    </row>
    <row r="813" spans="1:24" x14ac:dyDescent="0.3">
      <c r="A813" s="129"/>
      <c r="B813" s="129"/>
      <c r="C813" s="128"/>
      <c r="D813" s="128"/>
      <c r="E813" s="128"/>
      <c r="F813" s="166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6" t="str">
        <f t="shared" si="78"/>
        <v/>
      </c>
      <c r="S813" s="163" t="str">
        <f t="shared" si="79"/>
        <v/>
      </c>
      <c r="T813" s="160" t="str">
        <f>IFERROR(INDEX(当年标准成本!$I:$I,MATCH(K813,当年标准成本!$C:$C,0),1),"")</f>
        <v/>
      </c>
      <c r="U813" s="126" t="str">
        <f t="shared" si="80"/>
        <v/>
      </c>
      <c r="V813" s="126" t="str">
        <f t="shared" si="81"/>
        <v/>
      </c>
      <c r="W813" s="124" t="str">
        <f t="shared" si="82"/>
        <v/>
      </c>
      <c r="X813" s="125" t="str">
        <f t="shared" si="77"/>
        <v/>
      </c>
    </row>
    <row r="814" spans="1:24" x14ac:dyDescent="0.3">
      <c r="A814" s="129"/>
      <c r="B814" s="129"/>
      <c r="C814" s="128"/>
      <c r="D814" s="128"/>
      <c r="E814" s="128"/>
      <c r="F814" s="166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6" t="str">
        <f t="shared" si="78"/>
        <v/>
      </c>
      <c r="S814" s="163" t="str">
        <f t="shared" si="79"/>
        <v/>
      </c>
      <c r="T814" s="160" t="str">
        <f>IFERROR(INDEX(当年标准成本!$I:$I,MATCH(K814,当年标准成本!$C:$C,0),1),"")</f>
        <v/>
      </c>
      <c r="U814" s="126" t="str">
        <f t="shared" si="80"/>
        <v/>
      </c>
      <c r="V814" s="126" t="str">
        <f t="shared" si="81"/>
        <v/>
      </c>
      <c r="W814" s="124" t="str">
        <f t="shared" si="82"/>
        <v/>
      </c>
      <c r="X814" s="125" t="str">
        <f t="shared" si="77"/>
        <v/>
      </c>
    </row>
    <row r="815" spans="1:24" x14ac:dyDescent="0.3">
      <c r="A815" s="129"/>
      <c r="B815" s="129"/>
      <c r="C815" s="128"/>
      <c r="D815" s="128"/>
      <c r="E815" s="128"/>
      <c r="F815" s="166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6" t="str">
        <f t="shared" si="78"/>
        <v/>
      </c>
      <c r="S815" s="163" t="str">
        <f t="shared" si="79"/>
        <v/>
      </c>
      <c r="T815" s="160" t="str">
        <f>IFERROR(INDEX(当年标准成本!$I:$I,MATCH(K815,当年标准成本!$C:$C,0),1),"")</f>
        <v/>
      </c>
      <c r="U815" s="126" t="str">
        <f t="shared" si="80"/>
        <v/>
      </c>
      <c r="V815" s="126" t="str">
        <f t="shared" si="81"/>
        <v/>
      </c>
      <c r="W815" s="124" t="str">
        <f t="shared" si="82"/>
        <v/>
      </c>
      <c r="X815" s="125" t="str">
        <f t="shared" si="77"/>
        <v/>
      </c>
    </row>
    <row r="816" spans="1:24" x14ac:dyDescent="0.3">
      <c r="A816" s="129"/>
      <c r="B816" s="129"/>
      <c r="C816" s="128"/>
      <c r="D816" s="128"/>
      <c r="E816" s="128"/>
      <c r="F816" s="166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6" t="str">
        <f t="shared" si="78"/>
        <v/>
      </c>
      <c r="S816" s="163" t="str">
        <f t="shared" si="79"/>
        <v/>
      </c>
      <c r="T816" s="160" t="str">
        <f>IFERROR(INDEX(当年标准成本!$I:$I,MATCH(K816,当年标准成本!$C:$C,0),1),"")</f>
        <v/>
      </c>
      <c r="U816" s="126" t="str">
        <f t="shared" si="80"/>
        <v/>
      </c>
      <c r="V816" s="126" t="str">
        <f t="shared" si="81"/>
        <v/>
      </c>
      <c r="W816" s="124" t="str">
        <f t="shared" si="82"/>
        <v/>
      </c>
      <c r="X816" s="125" t="str">
        <f t="shared" si="77"/>
        <v/>
      </c>
    </row>
    <row r="817" spans="1:24" x14ac:dyDescent="0.3">
      <c r="A817" s="129"/>
      <c r="B817" s="129"/>
      <c r="C817" s="128"/>
      <c r="D817" s="128"/>
      <c r="E817" s="128"/>
      <c r="F817" s="166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6" t="str">
        <f t="shared" si="78"/>
        <v/>
      </c>
      <c r="S817" s="163" t="str">
        <f t="shared" si="79"/>
        <v/>
      </c>
      <c r="T817" s="160" t="str">
        <f>IFERROR(INDEX(当年标准成本!$I:$I,MATCH(K817,当年标准成本!$C:$C,0),1),"")</f>
        <v/>
      </c>
      <c r="U817" s="126" t="str">
        <f t="shared" si="80"/>
        <v/>
      </c>
      <c r="V817" s="126" t="str">
        <f t="shared" si="81"/>
        <v/>
      </c>
      <c r="W817" s="124" t="str">
        <f t="shared" si="82"/>
        <v/>
      </c>
      <c r="X817" s="125" t="str">
        <f t="shared" si="77"/>
        <v/>
      </c>
    </row>
    <row r="818" spans="1:24" x14ac:dyDescent="0.3">
      <c r="A818" s="129"/>
      <c r="B818" s="129"/>
      <c r="C818" s="128"/>
      <c r="D818" s="128"/>
      <c r="E818" s="128"/>
      <c r="F818" s="166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6" t="str">
        <f t="shared" si="78"/>
        <v/>
      </c>
      <c r="S818" s="163" t="str">
        <f t="shared" si="79"/>
        <v/>
      </c>
      <c r="T818" s="160" t="str">
        <f>IFERROR(INDEX(当年标准成本!$I:$I,MATCH(K818,当年标准成本!$C:$C,0),1),"")</f>
        <v/>
      </c>
      <c r="U818" s="126" t="str">
        <f t="shared" si="80"/>
        <v/>
      </c>
      <c r="V818" s="126" t="str">
        <f t="shared" si="81"/>
        <v/>
      </c>
      <c r="W818" s="124" t="str">
        <f t="shared" si="82"/>
        <v/>
      </c>
      <c r="X818" s="125" t="str">
        <f t="shared" si="77"/>
        <v/>
      </c>
    </row>
    <row r="819" spans="1:24" x14ac:dyDescent="0.3">
      <c r="A819" s="129"/>
      <c r="B819" s="129"/>
      <c r="C819" s="128"/>
      <c r="D819" s="128"/>
      <c r="E819" s="128"/>
      <c r="F819" s="166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6" t="str">
        <f t="shared" si="78"/>
        <v/>
      </c>
      <c r="S819" s="163" t="str">
        <f t="shared" si="79"/>
        <v/>
      </c>
      <c r="T819" s="160" t="str">
        <f>IFERROR(INDEX(当年标准成本!$I:$I,MATCH(K819,当年标准成本!$C:$C,0),1),"")</f>
        <v/>
      </c>
      <c r="U819" s="126" t="str">
        <f t="shared" si="80"/>
        <v/>
      </c>
      <c r="V819" s="126" t="str">
        <f t="shared" si="81"/>
        <v/>
      </c>
      <c r="W819" s="124" t="str">
        <f t="shared" si="82"/>
        <v/>
      </c>
      <c r="X819" s="125" t="str">
        <f t="shared" si="77"/>
        <v/>
      </c>
    </row>
    <row r="820" spans="1:24" x14ac:dyDescent="0.3">
      <c r="A820" s="129"/>
      <c r="B820" s="129"/>
      <c r="C820" s="128"/>
      <c r="D820" s="128"/>
      <c r="E820" s="128"/>
      <c r="F820" s="166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6" t="str">
        <f t="shared" si="78"/>
        <v/>
      </c>
      <c r="S820" s="163" t="str">
        <f t="shared" si="79"/>
        <v/>
      </c>
      <c r="T820" s="160" t="str">
        <f>IFERROR(INDEX(当年标准成本!$I:$I,MATCH(K820,当年标准成本!$C:$C,0),1),"")</f>
        <v/>
      </c>
      <c r="U820" s="126" t="str">
        <f t="shared" si="80"/>
        <v/>
      </c>
      <c r="V820" s="126" t="str">
        <f t="shared" si="81"/>
        <v/>
      </c>
      <c r="W820" s="124" t="str">
        <f t="shared" si="82"/>
        <v/>
      </c>
      <c r="X820" s="125" t="str">
        <f t="shared" si="77"/>
        <v/>
      </c>
    </row>
    <row r="821" spans="1:24" x14ac:dyDescent="0.3">
      <c r="A821" s="129"/>
      <c r="B821" s="129"/>
      <c r="C821" s="128"/>
      <c r="D821" s="128"/>
      <c r="E821" s="128"/>
      <c r="F821" s="166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6" t="str">
        <f t="shared" si="78"/>
        <v/>
      </c>
      <c r="S821" s="163" t="str">
        <f t="shared" si="79"/>
        <v/>
      </c>
      <c r="T821" s="160" t="str">
        <f>IFERROR(INDEX(当年标准成本!$I:$I,MATCH(K821,当年标准成本!$C:$C,0),1),"")</f>
        <v/>
      </c>
      <c r="U821" s="126" t="str">
        <f t="shared" si="80"/>
        <v/>
      </c>
      <c r="V821" s="126" t="str">
        <f t="shared" si="81"/>
        <v/>
      </c>
      <c r="W821" s="124" t="str">
        <f t="shared" si="82"/>
        <v/>
      </c>
      <c r="X821" s="125" t="str">
        <f t="shared" si="77"/>
        <v/>
      </c>
    </row>
    <row r="822" spans="1:24" x14ac:dyDescent="0.3">
      <c r="A822" s="129"/>
      <c r="B822" s="129"/>
      <c r="C822" s="128"/>
      <c r="D822" s="128"/>
      <c r="E822" s="128"/>
      <c r="F822" s="166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6" t="str">
        <f t="shared" si="78"/>
        <v/>
      </c>
      <c r="S822" s="163" t="str">
        <f t="shared" si="79"/>
        <v/>
      </c>
      <c r="T822" s="160" t="str">
        <f>IFERROR(INDEX(当年标准成本!$I:$I,MATCH(K822,当年标准成本!$C:$C,0),1),"")</f>
        <v/>
      </c>
      <c r="U822" s="126" t="str">
        <f t="shared" si="80"/>
        <v/>
      </c>
      <c r="V822" s="126" t="str">
        <f t="shared" si="81"/>
        <v/>
      </c>
      <c r="W822" s="124" t="str">
        <f t="shared" si="82"/>
        <v/>
      </c>
      <c r="X822" s="125" t="str">
        <f t="shared" si="77"/>
        <v/>
      </c>
    </row>
    <row r="823" spans="1:24" x14ac:dyDescent="0.3">
      <c r="A823" s="129"/>
      <c r="B823" s="129"/>
      <c r="C823" s="128"/>
      <c r="D823" s="128"/>
      <c r="E823" s="128"/>
      <c r="F823" s="166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6" t="str">
        <f t="shared" si="78"/>
        <v/>
      </c>
      <c r="S823" s="163" t="str">
        <f t="shared" si="79"/>
        <v/>
      </c>
      <c r="T823" s="160" t="str">
        <f>IFERROR(INDEX(当年标准成本!$I:$I,MATCH(K823,当年标准成本!$C:$C,0),1),"")</f>
        <v/>
      </c>
      <c r="U823" s="126" t="str">
        <f t="shared" si="80"/>
        <v/>
      </c>
      <c r="V823" s="126" t="str">
        <f t="shared" si="81"/>
        <v/>
      </c>
      <c r="W823" s="124" t="str">
        <f t="shared" si="82"/>
        <v/>
      </c>
      <c r="X823" s="125" t="str">
        <f t="shared" si="77"/>
        <v/>
      </c>
    </row>
    <row r="824" spans="1:24" x14ac:dyDescent="0.3">
      <c r="A824" s="129"/>
      <c r="B824" s="129"/>
      <c r="C824" s="128"/>
      <c r="D824" s="128"/>
      <c r="E824" s="128"/>
      <c r="F824" s="166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6" t="str">
        <f t="shared" si="78"/>
        <v/>
      </c>
      <c r="S824" s="163" t="str">
        <f t="shared" si="79"/>
        <v/>
      </c>
      <c r="T824" s="160" t="str">
        <f>IFERROR(INDEX(当年标准成本!$I:$I,MATCH(K824,当年标准成本!$C:$C,0),1),"")</f>
        <v/>
      </c>
      <c r="U824" s="126" t="str">
        <f t="shared" si="80"/>
        <v/>
      </c>
      <c r="V824" s="126" t="str">
        <f t="shared" si="81"/>
        <v/>
      </c>
      <c r="W824" s="124" t="str">
        <f t="shared" si="82"/>
        <v/>
      </c>
      <c r="X824" s="125" t="str">
        <f t="shared" si="77"/>
        <v/>
      </c>
    </row>
    <row r="825" spans="1:24" x14ac:dyDescent="0.3">
      <c r="A825" s="129"/>
      <c r="B825" s="129"/>
      <c r="C825" s="128"/>
      <c r="D825" s="128"/>
      <c r="E825" s="128"/>
      <c r="F825" s="166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6" t="str">
        <f t="shared" si="78"/>
        <v/>
      </c>
      <c r="S825" s="163" t="str">
        <f t="shared" si="79"/>
        <v/>
      </c>
      <c r="T825" s="160" t="str">
        <f>IFERROR(INDEX(当年标准成本!$I:$I,MATCH(K825,当年标准成本!$C:$C,0),1),"")</f>
        <v/>
      </c>
      <c r="U825" s="126" t="str">
        <f t="shared" si="80"/>
        <v/>
      </c>
      <c r="V825" s="126" t="str">
        <f t="shared" si="81"/>
        <v/>
      </c>
      <c r="W825" s="124" t="str">
        <f t="shared" si="82"/>
        <v/>
      </c>
      <c r="X825" s="125" t="str">
        <f t="shared" si="77"/>
        <v/>
      </c>
    </row>
    <row r="826" spans="1:24" x14ac:dyDescent="0.3">
      <c r="A826" s="129"/>
      <c r="B826" s="129"/>
      <c r="C826" s="128"/>
      <c r="D826" s="128"/>
      <c r="E826" s="128"/>
      <c r="F826" s="166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6" t="str">
        <f t="shared" si="78"/>
        <v/>
      </c>
      <c r="S826" s="163" t="str">
        <f t="shared" si="79"/>
        <v/>
      </c>
      <c r="T826" s="160" t="str">
        <f>IFERROR(INDEX(当年标准成本!$I:$I,MATCH(K826,当年标准成本!$C:$C,0),1),"")</f>
        <v/>
      </c>
      <c r="U826" s="126" t="str">
        <f t="shared" si="80"/>
        <v/>
      </c>
      <c r="V826" s="126" t="str">
        <f t="shared" si="81"/>
        <v/>
      </c>
      <c r="W826" s="124" t="str">
        <f t="shared" si="82"/>
        <v/>
      </c>
      <c r="X826" s="125" t="str">
        <f t="shared" si="77"/>
        <v/>
      </c>
    </row>
    <row r="827" spans="1:24" x14ac:dyDescent="0.3">
      <c r="A827" s="129"/>
      <c r="B827" s="129"/>
      <c r="C827" s="128"/>
      <c r="D827" s="128"/>
      <c r="E827" s="128"/>
      <c r="F827" s="166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6" t="str">
        <f t="shared" si="78"/>
        <v/>
      </c>
      <c r="S827" s="163" t="str">
        <f t="shared" si="79"/>
        <v/>
      </c>
      <c r="T827" s="160" t="str">
        <f>IFERROR(INDEX(当年标准成本!$I:$I,MATCH(K827,当年标准成本!$C:$C,0),1),"")</f>
        <v/>
      </c>
      <c r="U827" s="126" t="str">
        <f t="shared" si="80"/>
        <v/>
      </c>
      <c r="V827" s="126" t="str">
        <f t="shared" si="81"/>
        <v/>
      </c>
      <c r="W827" s="124" t="str">
        <f t="shared" si="82"/>
        <v/>
      </c>
      <c r="X827" s="125" t="str">
        <f t="shared" si="77"/>
        <v/>
      </c>
    </row>
    <row r="828" spans="1:24" x14ac:dyDescent="0.3">
      <c r="A828" s="129"/>
      <c r="B828" s="129"/>
      <c r="C828" s="128"/>
      <c r="D828" s="128"/>
      <c r="E828" s="128"/>
      <c r="F828" s="166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6" t="str">
        <f t="shared" si="78"/>
        <v/>
      </c>
      <c r="S828" s="163" t="str">
        <f t="shared" si="79"/>
        <v/>
      </c>
      <c r="T828" s="160" t="str">
        <f>IFERROR(INDEX(当年标准成本!$I:$I,MATCH(K828,当年标准成本!$C:$C,0),1),"")</f>
        <v/>
      </c>
      <c r="U828" s="126" t="str">
        <f t="shared" si="80"/>
        <v/>
      </c>
      <c r="V828" s="126" t="str">
        <f t="shared" si="81"/>
        <v/>
      </c>
      <c r="W828" s="124" t="str">
        <f t="shared" si="82"/>
        <v/>
      </c>
      <c r="X828" s="125" t="str">
        <f t="shared" si="77"/>
        <v/>
      </c>
    </row>
    <row r="829" spans="1:24" x14ac:dyDescent="0.3">
      <c r="A829" s="129"/>
      <c r="B829" s="129"/>
      <c r="C829" s="128"/>
      <c r="D829" s="128"/>
      <c r="E829" s="128"/>
      <c r="F829" s="166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6" t="str">
        <f t="shared" si="78"/>
        <v/>
      </c>
      <c r="S829" s="163" t="str">
        <f t="shared" si="79"/>
        <v/>
      </c>
      <c r="T829" s="160" t="str">
        <f>IFERROR(INDEX(当年标准成本!$I:$I,MATCH(K829,当年标准成本!$C:$C,0),1),"")</f>
        <v/>
      </c>
      <c r="U829" s="126" t="str">
        <f t="shared" si="80"/>
        <v/>
      </c>
      <c r="V829" s="126" t="str">
        <f t="shared" si="81"/>
        <v/>
      </c>
      <c r="W829" s="124" t="str">
        <f t="shared" si="82"/>
        <v/>
      </c>
      <c r="X829" s="125" t="str">
        <f t="shared" si="77"/>
        <v/>
      </c>
    </row>
    <row r="830" spans="1:24" x14ac:dyDescent="0.3">
      <c r="A830" s="129"/>
      <c r="B830" s="129"/>
      <c r="C830" s="128"/>
      <c r="D830" s="128"/>
      <c r="E830" s="128"/>
      <c r="F830" s="166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6" t="str">
        <f t="shared" si="78"/>
        <v/>
      </c>
      <c r="S830" s="163" t="str">
        <f t="shared" si="79"/>
        <v/>
      </c>
      <c r="T830" s="160" t="str">
        <f>IFERROR(INDEX(当年标准成本!$I:$I,MATCH(K830,当年标准成本!$C:$C,0),1),"")</f>
        <v/>
      </c>
      <c r="U830" s="126" t="str">
        <f t="shared" si="80"/>
        <v/>
      </c>
      <c r="V830" s="126" t="str">
        <f t="shared" si="81"/>
        <v/>
      </c>
      <c r="W830" s="124" t="str">
        <f t="shared" si="82"/>
        <v/>
      </c>
      <c r="X830" s="125" t="str">
        <f t="shared" si="77"/>
        <v/>
      </c>
    </row>
    <row r="831" spans="1:24" x14ac:dyDescent="0.3">
      <c r="A831" s="129"/>
      <c r="B831" s="129"/>
      <c r="C831" s="128"/>
      <c r="D831" s="128"/>
      <c r="E831" s="128"/>
      <c r="F831" s="166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6" t="str">
        <f t="shared" si="78"/>
        <v/>
      </c>
      <c r="S831" s="163" t="str">
        <f t="shared" si="79"/>
        <v/>
      </c>
      <c r="T831" s="160" t="str">
        <f>IFERROR(INDEX(当年标准成本!$I:$I,MATCH(K831,当年标准成本!$C:$C,0),1),"")</f>
        <v/>
      </c>
      <c r="U831" s="126" t="str">
        <f t="shared" si="80"/>
        <v/>
      </c>
      <c r="V831" s="126" t="str">
        <f t="shared" si="81"/>
        <v/>
      </c>
      <c r="W831" s="124" t="str">
        <f t="shared" si="82"/>
        <v/>
      </c>
      <c r="X831" s="125" t="str">
        <f t="shared" si="77"/>
        <v/>
      </c>
    </row>
    <row r="832" spans="1:24" x14ac:dyDescent="0.3">
      <c r="A832" s="129"/>
      <c r="B832" s="129"/>
      <c r="C832" s="128"/>
      <c r="D832" s="128"/>
      <c r="E832" s="128"/>
      <c r="F832" s="166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6" t="str">
        <f t="shared" si="78"/>
        <v/>
      </c>
      <c r="S832" s="163" t="str">
        <f t="shared" si="79"/>
        <v/>
      </c>
      <c r="T832" s="160" t="str">
        <f>IFERROR(INDEX(当年标准成本!$I:$I,MATCH(K832,当年标准成本!$C:$C,0),1),"")</f>
        <v/>
      </c>
      <c r="U832" s="126" t="str">
        <f t="shared" si="80"/>
        <v/>
      </c>
      <c r="V832" s="126" t="str">
        <f t="shared" si="81"/>
        <v/>
      </c>
      <c r="W832" s="124" t="str">
        <f t="shared" si="82"/>
        <v/>
      </c>
      <c r="X832" s="125" t="str">
        <f t="shared" si="77"/>
        <v/>
      </c>
    </row>
    <row r="833" spans="1:24" x14ac:dyDescent="0.3">
      <c r="A833" s="129"/>
      <c r="B833" s="129"/>
      <c r="C833" s="128"/>
      <c r="D833" s="128"/>
      <c r="E833" s="128"/>
      <c r="F833" s="166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6" t="str">
        <f t="shared" si="78"/>
        <v/>
      </c>
      <c r="S833" s="163" t="str">
        <f t="shared" si="79"/>
        <v/>
      </c>
      <c r="T833" s="160" t="str">
        <f>IFERROR(INDEX(当年标准成本!$I:$I,MATCH(K833,当年标准成本!$C:$C,0),1),"")</f>
        <v/>
      </c>
      <c r="U833" s="126" t="str">
        <f t="shared" si="80"/>
        <v/>
      </c>
      <c r="V833" s="126" t="str">
        <f t="shared" si="81"/>
        <v/>
      </c>
      <c r="W833" s="124" t="str">
        <f t="shared" si="82"/>
        <v/>
      </c>
      <c r="X833" s="125" t="str">
        <f t="shared" si="77"/>
        <v/>
      </c>
    </row>
    <row r="834" spans="1:24" x14ac:dyDescent="0.3">
      <c r="A834" s="129"/>
      <c r="B834" s="129"/>
      <c r="C834" s="128"/>
      <c r="D834" s="128"/>
      <c r="E834" s="128"/>
      <c r="F834" s="166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6" t="str">
        <f t="shared" si="78"/>
        <v/>
      </c>
      <c r="S834" s="163" t="str">
        <f t="shared" si="79"/>
        <v/>
      </c>
      <c r="T834" s="160" t="str">
        <f>IFERROR(INDEX(当年标准成本!$I:$I,MATCH(K834,当年标准成本!$C:$C,0),1),"")</f>
        <v/>
      </c>
      <c r="U834" s="126" t="str">
        <f t="shared" si="80"/>
        <v/>
      </c>
      <c r="V834" s="126" t="str">
        <f t="shared" si="81"/>
        <v/>
      </c>
      <c r="W834" s="124" t="str">
        <f t="shared" si="82"/>
        <v/>
      </c>
      <c r="X834" s="125" t="str">
        <f t="shared" ref="X834:X897" si="83">IFERROR(IF(W834/SUM(W:W)=0,"",W834/SUM(W:W)),"")</f>
        <v/>
      </c>
    </row>
    <row r="835" spans="1:24" x14ac:dyDescent="0.3">
      <c r="A835" s="129"/>
      <c r="B835" s="129"/>
      <c r="C835" s="128"/>
      <c r="D835" s="128"/>
      <c r="E835" s="128"/>
      <c r="F835" s="166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6" t="str">
        <f t="shared" si="78"/>
        <v/>
      </c>
      <c r="S835" s="163" t="str">
        <f t="shared" si="79"/>
        <v/>
      </c>
      <c r="T835" s="160" t="str">
        <f>IFERROR(INDEX(当年标准成本!$I:$I,MATCH(K835,当年标准成本!$C:$C,0),1),"")</f>
        <v/>
      </c>
      <c r="U835" s="126" t="str">
        <f t="shared" si="80"/>
        <v/>
      </c>
      <c r="V835" s="126" t="str">
        <f t="shared" si="81"/>
        <v/>
      </c>
      <c r="W835" s="124" t="str">
        <f t="shared" si="82"/>
        <v/>
      </c>
      <c r="X835" s="125" t="str">
        <f t="shared" si="83"/>
        <v/>
      </c>
    </row>
    <row r="836" spans="1:24" x14ac:dyDescent="0.3">
      <c r="A836" s="129"/>
      <c r="B836" s="129"/>
      <c r="C836" s="128"/>
      <c r="D836" s="128"/>
      <c r="E836" s="128"/>
      <c r="F836" s="166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6" t="str">
        <f t="shared" si="78"/>
        <v/>
      </c>
      <c r="S836" s="163" t="str">
        <f t="shared" si="79"/>
        <v/>
      </c>
      <c r="T836" s="160" t="str">
        <f>IFERROR(INDEX(当年标准成本!$I:$I,MATCH(K836,当年标准成本!$C:$C,0),1),"")</f>
        <v/>
      </c>
      <c r="U836" s="126" t="str">
        <f t="shared" si="80"/>
        <v/>
      </c>
      <c r="V836" s="126" t="str">
        <f t="shared" si="81"/>
        <v/>
      </c>
      <c r="W836" s="124" t="str">
        <f t="shared" si="82"/>
        <v/>
      </c>
      <c r="X836" s="125" t="str">
        <f t="shared" si="83"/>
        <v/>
      </c>
    </row>
    <row r="837" spans="1:24" x14ac:dyDescent="0.3">
      <c r="A837" s="129"/>
      <c r="B837" s="129"/>
      <c r="C837" s="128"/>
      <c r="D837" s="128"/>
      <c r="E837" s="128"/>
      <c r="F837" s="166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6" t="str">
        <f t="shared" si="78"/>
        <v/>
      </c>
      <c r="S837" s="163" t="str">
        <f t="shared" si="79"/>
        <v/>
      </c>
      <c r="T837" s="160" t="str">
        <f>IFERROR(INDEX(当年标准成本!$I:$I,MATCH(K837,当年标准成本!$C:$C,0),1),"")</f>
        <v/>
      </c>
      <c r="U837" s="126" t="str">
        <f t="shared" si="80"/>
        <v/>
      </c>
      <c r="V837" s="126" t="str">
        <f t="shared" si="81"/>
        <v/>
      </c>
      <c r="W837" s="124" t="str">
        <f t="shared" si="82"/>
        <v/>
      </c>
      <c r="X837" s="125" t="str">
        <f t="shared" si="83"/>
        <v/>
      </c>
    </row>
    <row r="838" spans="1:24" x14ac:dyDescent="0.3">
      <c r="A838" s="129"/>
      <c r="B838" s="129"/>
      <c r="C838" s="128"/>
      <c r="D838" s="128"/>
      <c r="E838" s="128"/>
      <c r="F838" s="166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6" t="str">
        <f t="shared" si="78"/>
        <v/>
      </c>
      <c r="S838" s="163" t="str">
        <f t="shared" si="79"/>
        <v/>
      </c>
      <c r="T838" s="160" t="str">
        <f>IFERROR(INDEX(当年标准成本!$I:$I,MATCH(K838,当年标准成本!$C:$C,0),1),"")</f>
        <v/>
      </c>
      <c r="U838" s="126" t="str">
        <f t="shared" si="80"/>
        <v/>
      </c>
      <c r="V838" s="126" t="str">
        <f t="shared" si="81"/>
        <v/>
      </c>
      <c r="W838" s="124" t="str">
        <f t="shared" si="82"/>
        <v/>
      </c>
      <c r="X838" s="125" t="str">
        <f t="shared" si="83"/>
        <v/>
      </c>
    </row>
    <row r="839" spans="1:24" x14ac:dyDescent="0.3">
      <c r="A839" s="129"/>
      <c r="B839" s="129"/>
      <c r="C839" s="128"/>
      <c r="D839" s="128"/>
      <c r="E839" s="128"/>
      <c r="F839" s="166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6" t="str">
        <f t="shared" si="78"/>
        <v/>
      </c>
      <c r="S839" s="163" t="str">
        <f t="shared" si="79"/>
        <v/>
      </c>
      <c r="T839" s="160" t="str">
        <f>IFERROR(INDEX(当年标准成本!$I:$I,MATCH(K839,当年标准成本!$C:$C,0),1),"")</f>
        <v/>
      </c>
      <c r="U839" s="126" t="str">
        <f t="shared" si="80"/>
        <v/>
      </c>
      <c r="V839" s="126" t="str">
        <f t="shared" si="81"/>
        <v/>
      </c>
      <c r="W839" s="124" t="str">
        <f t="shared" si="82"/>
        <v/>
      </c>
      <c r="X839" s="125" t="str">
        <f t="shared" si="83"/>
        <v/>
      </c>
    </row>
    <row r="840" spans="1:24" x14ac:dyDescent="0.3">
      <c r="A840" s="129"/>
      <c r="B840" s="129"/>
      <c r="C840" s="128"/>
      <c r="D840" s="128"/>
      <c r="E840" s="128"/>
      <c r="F840" s="166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6" t="str">
        <f t="shared" si="78"/>
        <v/>
      </c>
      <c r="S840" s="163" t="str">
        <f t="shared" si="79"/>
        <v/>
      </c>
      <c r="T840" s="160" t="str">
        <f>IFERROR(INDEX(当年标准成本!$I:$I,MATCH(K840,当年标准成本!$C:$C,0),1),"")</f>
        <v/>
      </c>
      <c r="U840" s="126" t="str">
        <f t="shared" si="80"/>
        <v/>
      </c>
      <c r="V840" s="126" t="str">
        <f t="shared" si="81"/>
        <v/>
      </c>
      <c r="W840" s="124" t="str">
        <f t="shared" si="82"/>
        <v/>
      </c>
      <c r="X840" s="125" t="str">
        <f t="shared" si="83"/>
        <v/>
      </c>
    </row>
    <row r="841" spans="1:24" x14ac:dyDescent="0.3">
      <c r="A841" s="129"/>
      <c r="B841" s="129"/>
      <c r="C841" s="128"/>
      <c r="D841" s="128"/>
      <c r="E841" s="128"/>
      <c r="F841" s="166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6" t="str">
        <f t="shared" si="78"/>
        <v/>
      </c>
      <c r="S841" s="163" t="str">
        <f t="shared" si="79"/>
        <v/>
      </c>
      <c r="T841" s="160" t="str">
        <f>IFERROR(INDEX(当年标准成本!$I:$I,MATCH(K841,当年标准成本!$C:$C,0),1),"")</f>
        <v/>
      </c>
      <c r="U841" s="126" t="str">
        <f t="shared" si="80"/>
        <v/>
      </c>
      <c r="V841" s="126" t="str">
        <f t="shared" si="81"/>
        <v/>
      </c>
      <c r="W841" s="124" t="str">
        <f t="shared" si="82"/>
        <v/>
      </c>
      <c r="X841" s="125" t="str">
        <f t="shared" si="83"/>
        <v/>
      </c>
    </row>
    <row r="842" spans="1:24" x14ac:dyDescent="0.3">
      <c r="A842" s="129"/>
      <c r="B842" s="129"/>
      <c r="C842" s="128"/>
      <c r="D842" s="128"/>
      <c r="E842" s="128"/>
      <c r="F842" s="166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6" t="str">
        <f t="shared" ref="R842:R905" si="84">IFERROR(P842/O842,"")</f>
        <v/>
      </c>
      <c r="S842" s="163" t="str">
        <f t="shared" ref="S842:S905" si="85">IFERROR(R842*(1+Q842),"")</f>
        <v/>
      </c>
      <c r="T842" s="160" t="str">
        <f>IFERROR(INDEX(当年标准成本!$I:$I,MATCH(K842,当年标准成本!$C:$C,0),1),"")</f>
        <v/>
      </c>
      <c r="U842" s="126" t="str">
        <f t="shared" ref="U842:U905" si="86">IFERROR(O842*T842,"")</f>
        <v/>
      </c>
      <c r="V842" s="126" t="str">
        <f t="shared" ref="V842:V905" si="87">IFERROR(P842-U842,"")</f>
        <v/>
      </c>
      <c r="W842" s="124" t="str">
        <f t="shared" ref="W842:W905" si="88">IFERROR(V842/P842,"")</f>
        <v/>
      </c>
      <c r="X842" s="125" t="str">
        <f t="shared" si="83"/>
        <v/>
      </c>
    </row>
    <row r="843" spans="1:24" x14ac:dyDescent="0.3">
      <c r="A843" s="129"/>
      <c r="B843" s="129"/>
      <c r="C843" s="128"/>
      <c r="D843" s="128"/>
      <c r="E843" s="128"/>
      <c r="F843" s="166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6" t="str">
        <f t="shared" si="84"/>
        <v/>
      </c>
      <c r="S843" s="163" t="str">
        <f t="shared" si="85"/>
        <v/>
      </c>
      <c r="T843" s="160" t="str">
        <f>IFERROR(INDEX(当年标准成本!$I:$I,MATCH(K843,当年标准成本!$C:$C,0),1),"")</f>
        <v/>
      </c>
      <c r="U843" s="126" t="str">
        <f t="shared" si="86"/>
        <v/>
      </c>
      <c r="V843" s="126" t="str">
        <f t="shared" si="87"/>
        <v/>
      </c>
      <c r="W843" s="124" t="str">
        <f t="shared" si="88"/>
        <v/>
      </c>
      <c r="X843" s="125" t="str">
        <f t="shared" si="83"/>
        <v/>
      </c>
    </row>
    <row r="844" spans="1:24" x14ac:dyDescent="0.3">
      <c r="A844" s="129"/>
      <c r="B844" s="129"/>
      <c r="C844" s="128"/>
      <c r="D844" s="128"/>
      <c r="E844" s="128"/>
      <c r="F844" s="166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6" t="str">
        <f t="shared" si="84"/>
        <v/>
      </c>
      <c r="S844" s="163" t="str">
        <f t="shared" si="85"/>
        <v/>
      </c>
      <c r="T844" s="160" t="str">
        <f>IFERROR(INDEX(当年标准成本!$I:$I,MATCH(K844,当年标准成本!$C:$C,0),1),"")</f>
        <v/>
      </c>
      <c r="U844" s="126" t="str">
        <f t="shared" si="86"/>
        <v/>
      </c>
      <c r="V844" s="126" t="str">
        <f t="shared" si="87"/>
        <v/>
      </c>
      <c r="W844" s="124" t="str">
        <f t="shared" si="88"/>
        <v/>
      </c>
      <c r="X844" s="125" t="str">
        <f t="shared" si="83"/>
        <v/>
      </c>
    </row>
    <row r="845" spans="1:24" x14ac:dyDescent="0.3">
      <c r="A845" s="129"/>
      <c r="B845" s="129"/>
      <c r="C845" s="128"/>
      <c r="D845" s="128"/>
      <c r="E845" s="128"/>
      <c r="F845" s="166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6" t="str">
        <f t="shared" si="84"/>
        <v/>
      </c>
      <c r="S845" s="163" t="str">
        <f t="shared" si="85"/>
        <v/>
      </c>
      <c r="T845" s="160" t="str">
        <f>IFERROR(INDEX(当年标准成本!$I:$I,MATCH(K845,当年标准成本!$C:$C,0),1),"")</f>
        <v/>
      </c>
      <c r="U845" s="126" t="str">
        <f t="shared" si="86"/>
        <v/>
      </c>
      <c r="V845" s="126" t="str">
        <f t="shared" si="87"/>
        <v/>
      </c>
      <c r="W845" s="124" t="str">
        <f t="shared" si="88"/>
        <v/>
      </c>
      <c r="X845" s="125" t="str">
        <f t="shared" si="83"/>
        <v/>
      </c>
    </row>
    <row r="846" spans="1:24" x14ac:dyDescent="0.3">
      <c r="A846" s="129"/>
      <c r="B846" s="129"/>
      <c r="C846" s="128"/>
      <c r="D846" s="128"/>
      <c r="E846" s="128"/>
      <c r="F846" s="166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6" t="str">
        <f t="shared" si="84"/>
        <v/>
      </c>
      <c r="S846" s="163" t="str">
        <f t="shared" si="85"/>
        <v/>
      </c>
      <c r="T846" s="160" t="str">
        <f>IFERROR(INDEX(当年标准成本!$I:$I,MATCH(K846,当年标准成本!$C:$C,0),1),"")</f>
        <v/>
      </c>
      <c r="U846" s="126" t="str">
        <f t="shared" si="86"/>
        <v/>
      </c>
      <c r="V846" s="126" t="str">
        <f t="shared" si="87"/>
        <v/>
      </c>
      <c r="W846" s="124" t="str">
        <f t="shared" si="88"/>
        <v/>
      </c>
      <c r="X846" s="125" t="str">
        <f t="shared" si="83"/>
        <v/>
      </c>
    </row>
    <row r="847" spans="1:24" x14ac:dyDescent="0.3">
      <c r="A847" s="129"/>
      <c r="B847" s="129"/>
      <c r="C847" s="128"/>
      <c r="D847" s="128"/>
      <c r="E847" s="128"/>
      <c r="F847" s="166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6" t="str">
        <f t="shared" si="84"/>
        <v/>
      </c>
      <c r="S847" s="163" t="str">
        <f t="shared" si="85"/>
        <v/>
      </c>
      <c r="T847" s="160" t="str">
        <f>IFERROR(INDEX(当年标准成本!$I:$I,MATCH(K847,当年标准成本!$C:$C,0),1),"")</f>
        <v/>
      </c>
      <c r="U847" s="126" t="str">
        <f t="shared" si="86"/>
        <v/>
      </c>
      <c r="V847" s="126" t="str">
        <f t="shared" si="87"/>
        <v/>
      </c>
      <c r="W847" s="124" t="str">
        <f t="shared" si="88"/>
        <v/>
      </c>
      <c r="X847" s="125" t="str">
        <f t="shared" si="83"/>
        <v/>
      </c>
    </row>
    <row r="848" spans="1:24" x14ac:dyDescent="0.3">
      <c r="A848" s="129"/>
      <c r="B848" s="129"/>
      <c r="C848" s="128"/>
      <c r="D848" s="128"/>
      <c r="E848" s="128"/>
      <c r="F848" s="166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6" t="str">
        <f t="shared" si="84"/>
        <v/>
      </c>
      <c r="S848" s="163" t="str">
        <f t="shared" si="85"/>
        <v/>
      </c>
      <c r="T848" s="160" t="str">
        <f>IFERROR(INDEX(当年标准成本!$I:$I,MATCH(K848,当年标准成本!$C:$C,0),1),"")</f>
        <v/>
      </c>
      <c r="U848" s="126" t="str">
        <f t="shared" si="86"/>
        <v/>
      </c>
      <c r="V848" s="126" t="str">
        <f t="shared" si="87"/>
        <v/>
      </c>
      <c r="W848" s="124" t="str">
        <f t="shared" si="88"/>
        <v/>
      </c>
      <c r="X848" s="125" t="str">
        <f t="shared" si="83"/>
        <v/>
      </c>
    </row>
    <row r="849" spans="1:24" x14ac:dyDescent="0.3">
      <c r="A849" s="129"/>
      <c r="B849" s="129"/>
      <c r="C849" s="128"/>
      <c r="D849" s="128"/>
      <c r="E849" s="128"/>
      <c r="F849" s="166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6" t="str">
        <f t="shared" si="84"/>
        <v/>
      </c>
      <c r="S849" s="163" t="str">
        <f t="shared" si="85"/>
        <v/>
      </c>
      <c r="T849" s="160" t="str">
        <f>IFERROR(INDEX(当年标准成本!$I:$I,MATCH(K849,当年标准成本!$C:$C,0),1),"")</f>
        <v/>
      </c>
      <c r="U849" s="126" t="str">
        <f t="shared" si="86"/>
        <v/>
      </c>
      <c r="V849" s="126" t="str">
        <f t="shared" si="87"/>
        <v/>
      </c>
      <c r="W849" s="124" t="str">
        <f t="shared" si="88"/>
        <v/>
      </c>
      <c r="X849" s="125" t="str">
        <f t="shared" si="83"/>
        <v/>
      </c>
    </row>
    <row r="850" spans="1:24" x14ac:dyDescent="0.3">
      <c r="A850" s="129"/>
      <c r="B850" s="129"/>
      <c r="C850" s="128"/>
      <c r="D850" s="128"/>
      <c r="E850" s="128"/>
      <c r="F850" s="166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6" t="str">
        <f t="shared" si="84"/>
        <v/>
      </c>
      <c r="S850" s="163" t="str">
        <f t="shared" si="85"/>
        <v/>
      </c>
      <c r="T850" s="160" t="str">
        <f>IFERROR(INDEX(当年标准成本!$I:$I,MATCH(K850,当年标准成本!$C:$C,0),1),"")</f>
        <v/>
      </c>
      <c r="U850" s="126" t="str">
        <f t="shared" si="86"/>
        <v/>
      </c>
      <c r="V850" s="126" t="str">
        <f t="shared" si="87"/>
        <v/>
      </c>
      <c r="W850" s="124" t="str">
        <f t="shared" si="88"/>
        <v/>
      </c>
      <c r="X850" s="125" t="str">
        <f t="shared" si="83"/>
        <v/>
      </c>
    </row>
    <row r="851" spans="1:24" x14ac:dyDescent="0.3">
      <c r="A851" s="129"/>
      <c r="B851" s="129"/>
      <c r="C851" s="128"/>
      <c r="D851" s="128"/>
      <c r="E851" s="128"/>
      <c r="F851" s="166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6" t="str">
        <f t="shared" si="84"/>
        <v/>
      </c>
      <c r="S851" s="163" t="str">
        <f t="shared" si="85"/>
        <v/>
      </c>
      <c r="T851" s="160" t="str">
        <f>IFERROR(INDEX(当年标准成本!$I:$I,MATCH(K851,当年标准成本!$C:$C,0),1),"")</f>
        <v/>
      </c>
      <c r="U851" s="126" t="str">
        <f t="shared" si="86"/>
        <v/>
      </c>
      <c r="V851" s="126" t="str">
        <f t="shared" si="87"/>
        <v/>
      </c>
      <c r="W851" s="124" t="str">
        <f t="shared" si="88"/>
        <v/>
      </c>
      <c r="X851" s="125" t="str">
        <f t="shared" si="83"/>
        <v/>
      </c>
    </row>
    <row r="852" spans="1:24" x14ac:dyDescent="0.3">
      <c r="A852" s="129"/>
      <c r="B852" s="129"/>
      <c r="C852" s="128"/>
      <c r="D852" s="128"/>
      <c r="E852" s="128"/>
      <c r="F852" s="166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6" t="str">
        <f t="shared" si="84"/>
        <v/>
      </c>
      <c r="S852" s="163" t="str">
        <f t="shared" si="85"/>
        <v/>
      </c>
      <c r="T852" s="160" t="str">
        <f>IFERROR(INDEX(当年标准成本!$I:$I,MATCH(K852,当年标准成本!$C:$C,0),1),"")</f>
        <v/>
      </c>
      <c r="U852" s="126" t="str">
        <f t="shared" si="86"/>
        <v/>
      </c>
      <c r="V852" s="126" t="str">
        <f t="shared" si="87"/>
        <v/>
      </c>
      <c r="W852" s="124" t="str">
        <f t="shared" si="88"/>
        <v/>
      </c>
      <c r="X852" s="125" t="str">
        <f t="shared" si="83"/>
        <v/>
      </c>
    </row>
    <row r="853" spans="1:24" x14ac:dyDescent="0.3">
      <c r="A853" s="129"/>
      <c r="B853" s="129"/>
      <c r="C853" s="128"/>
      <c r="D853" s="128"/>
      <c r="E853" s="128"/>
      <c r="F853" s="166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6" t="str">
        <f t="shared" si="84"/>
        <v/>
      </c>
      <c r="S853" s="163" t="str">
        <f t="shared" si="85"/>
        <v/>
      </c>
      <c r="T853" s="160" t="str">
        <f>IFERROR(INDEX(当年标准成本!$I:$I,MATCH(K853,当年标准成本!$C:$C,0),1),"")</f>
        <v/>
      </c>
      <c r="U853" s="126" t="str">
        <f t="shared" si="86"/>
        <v/>
      </c>
      <c r="V853" s="126" t="str">
        <f t="shared" si="87"/>
        <v/>
      </c>
      <c r="W853" s="124" t="str">
        <f t="shared" si="88"/>
        <v/>
      </c>
      <c r="X853" s="125" t="str">
        <f t="shared" si="83"/>
        <v/>
      </c>
    </row>
    <row r="854" spans="1:24" x14ac:dyDescent="0.3">
      <c r="A854" s="129"/>
      <c r="B854" s="129"/>
      <c r="C854" s="128"/>
      <c r="D854" s="128"/>
      <c r="E854" s="128"/>
      <c r="F854" s="166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6" t="str">
        <f t="shared" si="84"/>
        <v/>
      </c>
      <c r="S854" s="163" t="str">
        <f t="shared" si="85"/>
        <v/>
      </c>
      <c r="T854" s="160" t="str">
        <f>IFERROR(INDEX(当年标准成本!$I:$I,MATCH(K854,当年标准成本!$C:$C,0),1),"")</f>
        <v/>
      </c>
      <c r="U854" s="126" t="str">
        <f t="shared" si="86"/>
        <v/>
      </c>
      <c r="V854" s="126" t="str">
        <f t="shared" si="87"/>
        <v/>
      </c>
      <c r="W854" s="124" t="str">
        <f t="shared" si="88"/>
        <v/>
      </c>
      <c r="X854" s="125" t="str">
        <f t="shared" si="83"/>
        <v/>
      </c>
    </row>
    <row r="855" spans="1:24" x14ac:dyDescent="0.3">
      <c r="A855" s="129"/>
      <c r="B855" s="129"/>
      <c r="C855" s="128"/>
      <c r="D855" s="128"/>
      <c r="E855" s="128"/>
      <c r="F855" s="166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6" t="str">
        <f t="shared" si="84"/>
        <v/>
      </c>
      <c r="S855" s="163" t="str">
        <f t="shared" si="85"/>
        <v/>
      </c>
      <c r="T855" s="160" t="str">
        <f>IFERROR(INDEX(当年标准成本!$I:$I,MATCH(K855,当年标准成本!$C:$C,0),1),"")</f>
        <v/>
      </c>
      <c r="U855" s="126" t="str">
        <f t="shared" si="86"/>
        <v/>
      </c>
      <c r="V855" s="126" t="str">
        <f t="shared" si="87"/>
        <v/>
      </c>
      <c r="W855" s="124" t="str">
        <f t="shared" si="88"/>
        <v/>
      </c>
      <c r="X855" s="125" t="str">
        <f t="shared" si="83"/>
        <v/>
      </c>
    </row>
    <row r="856" spans="1:24" x14ac:dyDescent="0.3">
      <c r="A856" s="129"/>
      <c r="B856" s="129"/>
      <c r="C856" s="128"/>
      <c r="D856" s="128"/>
      <c r="E856" s="128"/>
      <c r="F856" s="166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6" t="str">
        <f t="shared" si="84"/>
        <v/>
      </c>
      <c r="S856" s="163" t="str">
        <f t="shared" si="85"/>
        <v/>
      </c>
      <c r="T856" s="160" t="str">
        <f>IFERROR(INDEX(当年标准成本!$I:$I,MATCH(K856,当年标准成本!$C:$C,0),1),"")</f>
        <v/>
      </c>
      <c r="U856" s="126" t="str">
        <f t="shared" si="86"/>
        <v/>
      </c>
      <c r="V856" s="126" t="str">
        <f t="shared" si="87"/>
        <v/>
      </c>
      <c r="W856" s="124" t="str">
        <f t="shared" si="88"/>
        <v/>
      </c>
      <c r="X856" s="125" t="str">
        <f t="shared" si="83"/>
        <v/>
      </c>
    </row>
    <row r="857" spans="1:24" x14ac:dyDescent="0.3">
      <c r="A857" s="129"/>
      <c r="B857" s="129"/>
      <c r="C857" s="128"/>
      <c r="D857" s="128"/>
      <c r="E857" s="128"/>
      <c r="F857" s="166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6" t="str">
        <f t="shared" si="84"/>
        <v/>
      </c>
      <c r="S857" s="163" t="str">
        <f t="shared" si="85"/>
        <v/>
      </c>
      <c r="T857" s="160" t="str">
        <f>IFERROR(INDEX(当年标准成本!$I:$I,MATCH(K857,当年标准成本!$C:$C,0),1),"")</f>
        <v/>
      </c>
      <c r="U857" s="126" t="str">
        <f t="shared" si="86"/>
        <v/>
      </c>
      <c r="V857" s="126" t="str">
        <f t="shared" si="87"/>
        <v/>
      </c>
      <c r="W857" s="124" t="str">
        <f t="shared" si="88"/>
        <v/>
      </c>
      <c r="X857" s="125" t="str">
        <f t="shared" si="83"/>
        <v/>
      </c>
    </row>
    <row r="858" spans="1:24" x14ac:dyDescent="0.3">
      <c r="A858" s="129"/>
      <c r="B858" s="129"/>
      <c r="C858" s="128"/>
      <c r="D858" s="128"/>
      <c r="E858" s="128"/>
      <c r="F858" s="166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6" t="str">
        <f t="shared" si="84"/>
        <v/>
      </c>
      <c r="S858" s="163" t="str">
        <f t="shared" si="85"/>
        <v/>
      </c>
      <c r="T858" s="160" t="str">
        <f>IFERROR(INDEX(当年标准成本!$I:$I,MATCH(K858,当年标准成本!$C:$C,0),1),"")</f>
        <v/>
      </c>
      <c r="U858" s="126" t="str">
        <f t="shared" si="86"/>
        <v/>
      </c>
      <c r="V858" s="126" t="str">
        <f t="shared" si="87"/>
        <v/>
      </c>
      <c r="W858" s="124" t="str">
        <f t="shared" si="88"/>
        <v/>
      </c>
      <c r="X858" s="125" t="str">
        <f t="shared" si="83"/>
        <v/>
      </c>
    </row>
    <row r="859" spans="1:24" x14ac:dyDescent="0.3">
      <c r="A859" s="129"/>
      <c r="B859" s="129"/>
      <c r="C859" s="128"/>
      <c r="D859" s="128"/>
      <c r="E859" s="128"/>
      <c r="F859" s="166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6" t="str">
        <f t="shared" si="84"/>
        <v/>
      </c>
      <c r="S859" s="163" t="str">
        <f t="shared" si="85"/>
        <v/>
      </c>
      <c r="T859" s="160" t="str">
        <f>IFERROR(INDEX(当年标准成本!$I:$I,MATCH(K859,当年标准成本!$C:$C,0),1),"")</f>
        <v/>
      </c>
      <c r="U859" s="126" t="str">
        <f t="shared" si="86"/>
        <v/>
      </c>
      <c r="V859" s="126" t="str">
        <f t="shared" si="87"/>
        <v/>
      </c>
      <c r="W859" s="124" t="str">
        <f t="shared" si="88"/>
        <v/>
      </c>
      <c r="X859" s="125" t="str">
        <f t="shared" si="83"/>
        <v/>
      </c>
    </row>
    <row r="860" spans="1:24" x14ac:dyDescent="0.3">
      <c r="A860" s="129"/>
      <c r="B860" s="129"/>
      <c r="C860" s="128"/>
      <c r="D860" s="128"/>
      <c r="E860" s="128"/>
      <c r="F860" s="166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6" t="str">
        <f t="shared" si="84"/>
        <v/>
      </c>
      <c r="S860" s="163" t="str">
        <f t="shared" si="85"/>
        <v/>
      </c>
      <c r="T860" s="160" t="str">
        <f>IFERROR(INDEX(当年标准成本!$I:$I,MATCH(K860,当年标准成本!$C:$C,0),1),"")</f>
        <v/>
      </c>
      <c r="U860" s="126" t="str">
        <f t="shared" si="86"/>
        <v/>
      </c>
      <c r="V860" s="126" t="str">
        <f t="shared" si="87"/>
        <v/>
      </c>
      <c r="W860" s="124" t="str">
        <f t="shared" si="88"/>
        <v/>
      </c>
      <c r="X860" s="125" t="str">
        <f t="shared" si="83"/>
        <v/>
      </c>
    </row>
    <row r="861" spans="1:24" x14ac:dyDescent="0.3">
      <c r="A861" s="129"/>
      <c r="B861" s="129"/>
      <c r="C861" s="128"/>
      <c r="D861" s="128"/>
      <c r="E861" s="128"/>
      <c r="F861" s="166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6" t="str">
        <f t="shared" si="84"/>
        <v/>
      </c>
      <c r="S861" s="163" t="str">
        <f t="shared" si="85"/>
        <v/>
      </c>
      <c r="T861" s="160" t="str">
        <f>IFERROR(INDEX(当年标准成本!$I:$I,MATCH(K861,当年标准成本!$C:$C,0),1),"")</f>
        <v/>
      </c>
      <c r="U861" s="126" t="str">
        <f t="shared" si="86"/>
        <v/>
      </c>
      <c r="V861" s="126" t="str">
        <f t="shared" si="87"/>
        <v/>
      </c>
      <c r="W861" s="124" t="str">
        <f t="shared" si="88"/>
        <v/>
      </c>
      <c r="X861" s="125" t="str">
        <f t="shared" si="83"/>
        <v/>
      </c>
    </row>
    <row r="862" spans="1:24" x14ac:dyDescent="0.3">
      <c r="A862" s="129"/>
      <c r="B862" s="129"/>
      <c r="C862" s="128"/>
      <c r="D862" s="128"/>
      <c r="E862" s="128"/>
      <c r="F862" s="166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6" t="str">
        <f t="shared" si="84"/>
        <v/>
      </c>
      <c r="S862" s="163" t="str">
        <f t="shared" si="85"/>
        <v/>
      </c>
      <c r="T862" s="160" t="str">
        <f>IFERROR(INDEX(当年标准成本!$I:$I,MATCH(K862,当年标准成本!$C:$C,0),1),"")</f>
        <v/>
      </c>
      <c r="U862" s="126" t="str">
        <f t="shared" si="86"/>
        <v/>
      </c>
      <c r="V862" s="126" t="str">
        <f t="shared" si="87"/>
        <v/>
      </c>
      <c r="W862" s="124" t="str">
        <f t="shared" si="88"/>
        <v/>
      </c>
      <c r="X862" s="125" t="str">
        <f t="shared" si="83"/>
        <v/>
      </c>
    </row>
    <row r="863" spans="1:24" x14ac:dyDescent="0.3">
      <c r="A863" s="129"/>
      <c r="B863" s="129"/>
      <c r="C863" s="128"/>
      <c r="D863" s="128"/>
      <c r="E863" s="128"/>
      <c r="F863" s="166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6" t="str">
        <f t="shared" si="84"/>
        <v/>
      </c>
      <c r="S863" s="163" t="str">
        <f t="shared" si="85"/>
        <v/>
      </c>
      <c r="T863" s="160" t="str">
        <f>IFERROR(INDEX(当年标准成本!$I:$I,MATCH(K863,当年标准成本!$C:$C,0),1),"")</f>
        <v/>
      </c>
      <c r="U863" s="126" t="str">
        <f t="shared" si="86"/>
        <v/>
      </c>
      <c r="V863" s="126" t="str">
        <f t="shared" si="87"/>
        <v/>
      </c>
      <c r="W863" s="124" t="str">
        <f t="shared" si="88"/>
        <v/>
      </c>
      <c r="X863" s="125" t="str">
        <f t="shared" si="83"/>
        <v/>
      </c>
    </row>
    <row r="864" spans="1:24" x14ac:dyDescent="0.3">
      <c r="A864" s="129"/>
      <c r="B864" s="129"/>
      <c r="C864" s="128"/>
      <c r="D864" s="128"/>
      <c r="E864" s="128"/>
      <c r="F864" s="166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6" t="str">
        <f t="shared" si="84"/>
        <v/>
      </c>
      <c r="S864" s="163" t="str">
        <f t="shared" si="85"/>
        <v/>
      </c>
      <c r="T864" s="160" t="str">
        <f>IFERROR(INDEX(当年标准成本!$I:$I,MATCH(K864,当年标准成本!$C:$C,0),1),"")</f>
        <v/>
      </c>
      <c r="U864" s="126" t="str">
        <f t="shared" si="86"/>
        <v/>
      </c>
      <c r="V864" s="126" t="str">
        <f t="shared" si="87"/>
        <v/>
      </c>
      <c r="W864" s="124" t="str">
        <f t="shared" si="88"/>
        <v/>
      </c>
      <c r="X864" s="125" t="str">
        <f t="shared" si="83"/>
        <v/>
      </c>
    </row>
    <row r="865" spans="1:24" x14ac:dyDescent="0.3">
      <c r="A865" s="129"/>
      <c r="B865" s="129"/>
      <c r="C865" s="128"/>
      <c r="D865" s="128"/>
      <c r="E865" s="128"/>
      <c r="F865" s="166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6" t="str">
        <f t="shared" si="84"/>
        <v/>
      </c>
      <c r="S865" s="163" t="str">
        <f t="shared" si="85"/>
        <v/>
      </c>
      <c r="T865" s="160" t="str">
        <f>IFERROR(INDEX(当年标准成本!$I:$I,MATCH(K865,当年标准成本!$C:$C,0),1),"")</f>
        <v/>
      </c>
      <c r="U865" s="126" t="str">
        <f t="shared" si="86"/>
        <v/>
      </c>
      <c r="V865" s="126" t="str">
        <f t="shared" si="87"/>
        <v/>
      </c>
      <c r="W865" s="124" t="str">
        <f t="shared" si="88"/>
        <v/>
      </c>
      <c r="X865" s="125" t="str">
        <f t="shared" si="83"/>
        <v/>
      </c>
    </row>
    <row r="866" spans="1:24" x14ac:dyDescent="0.3">
      <c r="A866" s="129"/>
      <c r="B866" s="129"/>
      <c r="C866" s="128"/>
      <c r="D866" s="128"/>
      <c r="E866" s="128"/>
      <c r="F866" s="166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6" t="str">
        <f t="shared" si="84"/>
        <v/>
      </c>
      <c r="S866" s="163" t="str">
        <f t="shared" si="85"/>
        <v/>
      </c>
      <c r="T866" s="160" t="str">
        <f>IFERROR(INDEX(当年标准成本!$I:$I,MATCH(K866,当年标准成本!$C:$C,0),1),"")</f>
        <v/>
      </c>
      <c r="U866" s="126" t="str">
        <f t="shared" si="86"/>
        <v/>
      </c>
      <c r="V866" s="126" t="str">
        <f t="shared" si="87"/>
        <v/>
      </c>
      <c r="W866" s="124" t="str">
        <f t="shared" si="88"/>
        <v/>
      </c>
      <c r="X866" s="125" t="str">
        <f t="shared" si="83"/>
        <v/>
      </c>
    </row>
    <row r="867" spans="1:24" x14ac:dyDescent="0.3">
      <c r="A867" s="129"/>
      <c r="B867" s="129"/>
      <c r="C867" s="128"/>
      <c r="D867" s="128"/>
      <c r="E867" s="128"/>
      <c r="F867" s="166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6" t="str">
        <f t="shared" si="84"/>
        <v/>
      </c>
      <c r="S867" s="163" t="str">
        <f t="shared" si="85"/>
        <v/>
      </c>
      <c r="T867" s="160" t="str">
        <f>IFERROR(INDEX(当年标准成本!$I:$I,MATCH(K867,当年标准成本!$C:$C,0),1),"")</f>
        <v/>
      </c>
      <c r="U867" s="126" t="str">
        <f t="shared" si="86"/>
        <v/>
      </c>
      <c r="V867" s="126" t="str">
        <f t="shared" si="87"/>
        <v/>
      </c>
      <c r="W867" s="124" t="str">
        <f t="shared" si="88"/>
        <v/>
      </c>
      <c r="X867" s="125" t="str">
        <f t="shared" si="83"/>
        <v/>
      </c>
    </row>
    <row r="868" spans="1:24" x14ac:dyDescent="0.3">
      <c r="A868" s="129"/>
      <c r="B868" s="129"/>
      <c r="C868" s="128"/>
      <c r="D868" s="128"/>
      <c r="E868" s="128"/>
      <c r="F868" s="166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6" t="str">
        <f t="shared" si="84"/>
        <v/>
      </c>
      <c r="S868" s="163" t="str">
        <f t="shared" si="85"/>
        <v/>
      </c>
      <c r="T868" s="160" t="str">
        <f>IFERROR(INDEX(当年标准成本!$I:$I,MATCH(K868,当年标准成本!$C:$C,0),1),"")</f>
        <v/>
      </c>
      <c r="U868" s="126" t="str">
        <f t="shared" si="86"/>
        <v/>
      </c>
      <c r="V868" s="126" t="str">
        <f t="shared" si="87"/>
        <v/>
      </c>
      <c r="W868" s="124" t="str">
        <f t="shared" si="88"/>
        <v/>
      </c>
      <c r="X868" s="125" t="str">
        <f t="shared" si="83"/>
        <v/>
      </c>
    </row>
    <row r="869" spans="1:24" x14ac:dyDescent="0.3">
      <c r="A869" s="129"/>
      <c r="B869" s="129"/>
      <c r="C869" s="128"/>
      <c r="D869" s="128"/>
      <c r="E869" s="128"/>
      <c r="F869" s="166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6" t="str">
        <f t="shared" si="84"/>
        <v/>
      </c>
      <c r="S869" s="163" t="str">
        <f t="shared" si="85"/>
        <v/>
      </c>
      <c r="T869" s="160" t="str">
        <f>IFERROR(INDEX(当年标准成本!$I:$I,MATCH(K869,当年标准成本!$C:$C,0),1),"")</f>
        <v/>
      </c>
      <c r="U869" s="126" t="str">
        <f t="shared" si="86"/>
        <v/>
      </c>
      <c r="V869" s="126" t="str">
        <f t="shared" si="87"/>
        <v/>
      </c>
      <c r="W869" s="124" t="str">
        <f t="shared" si="88"/>
        <v/>
      </c>
      <c r="X869" s="125" t="str">
        <f t="shared" si="83"/>
        <v/>
      </c>
    </row>
    <row r="870" spans="1:24" x14ac:dyDescent="0.3">
      <c r="A870" s="129"/>
      <c r="B870" s="129"/>
      <c r="C870" s="128"/>
      <c r="D870" s="128"/>
      <c r="E870" s="128"/>
      <c r="F870" s="166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6" t="str">
        <f t="shared" si="84"/>
        <v/>
      </c>
      <c r="S870" s="163" t="str">
        <f t="shared" si="85"/>
        <v/>
      </c>
      <c r="T870" s="160" t="str">
        <f>IFERROR(INDEX(当年标准成本!$I:$I,MATCH(K870,当年标准成本!$C:$C,0),1),"")</f>
        <v/>
      </c>
      <c r="U870" s="126" t="str">
        <f t="shared" si="86"/>
        <v/>
      </c>
      <c r="V870" s="126" t="str">
        <f t="shared" si="87"/>
        <v/>
      </c>
      <c r="W870" s="124" t="str">
        <f t="shared" si="88"/>
        <v/>
      </c>
      <c r="X870" s="125" t="str">
        <f t="shared" si="83"/>
        <v/>
      </c>
    </row>
    <row r="871" spans="1:24" x14ac:dyDescent="0.3">
      <c r="A871" s="129"/>
      <c r="B871" s="129"/>
      <c r="C871" s="128"/>
      <c r="D871" s="128"/>
      <c r="E871" s="128"/>
      <c r="F871" s="166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6" t="str">
        <f t="shared" si="84"/>
        <v/>
      </c>
      <c r="S871" s="163" t="str">
        <f t="shared" si="85"/>
        <v/>
      </c>
      <c r="T871" s="160" t="str">
        <f>IFERROR(INDEX(当年标准成本!$I:$I,MATCH(K871,当年标准成本!$C:$C,0),1),"")</f>
        <v/>
      </c>
      <c r="U871" s="126" t="str">
        <f t="shared" si="86"/>
        <v/>
      </c>
      <c r="V871" s="126" t="str">
        <f t="shared" si="87"/>
        <v/>
      </c>
      <c r="W871" s="124" t="str">
        <f t="shared" si="88"/>
        <v/>
      </c>
      <c r="X871" s="125" t="str">
        <f t="shared" si="83"/>
        <v/>
      </c>
    </row>
    <row r="872" spans="1:24" x14ac:dyDescent="0.3">
      <c r="A872" s="129"/>
      <c r="B872" s="129"/>
      <c r="C872" s="128"/>
      <c r="D872" s="128"/>
      <c r="E872" s="128"/>
      <c r="F872" s="166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6" t="str">
        <f t="shared" si="84"/>
        <v/>
      </c>
      <c r="S872" s="163" t="str">
        <f t="shared" si="85"/>
        <v/>
      </c>
      <c r="T872" s="160" t="str">
        <f>IFERROR(INDEX(当年标准成本!$I:$I,MATCH(K872,当年标准成本!$C:$C,0),1),"")</f>
        <v/>
      </c>
      <c r="U872" s="126" t="str">
        <f t="shared" si="86"/>
        <v/>
      </c>
      <c r="V872" s="126" t="str">
        <f t="shared" si="87"/>
        <v/>
      </c>
      <c r="W872" s="124" t="str">
        <f t="shared" si="88"/>
        <v/>
      </c>
      <c r="X872" s="125" t="str">
        <f t="shared" si="83"/>
        <v/>
      </c>
    </row>
    <row r="873" spans="1:24" x14ac:dyDescent="0.3">
      <c r="A873" s="129"/>
      <c r="B873" s="129"/>
      <c r="C873" s="128"/>
      <c r="D873" s="128"/>
      <c r="E873" s="128"/>
      <c r="F873" s="166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6" t="str">
        <f t="shared" si="84"/>
        <v/>
      </c>
      <c r="S873" s="163" t="str">
        <f t="shared" si="85"/>
        <v/>
      </c>
      <c r="T873" s="160" t="str">
        <f>IFERROR(INDEX(当年标准成本!$I:$I,MATCH(K873,当年标准成本!$C:$C,0),1),"")</f>
        <v/>
      </c>
      <c r="U873" s="126" t="str">
        <f t="shared" si="86"/>
        <v/>
      </c>
      <c r="V873" s="126" t="str">
        <f t="shared" si="87"/>
        <v/>
      </c>
      <c r="W873" s="124" t="str">
        <f t="shared" si="88"/>
        <v/>
      </c>
      <c r="X873" s="125" t="str">
        <f t="shared" si="83"/>
        <v/>
      </c>
    </row>
    <row r="874" spans="1:24" x14ac:dyDescent="0.3">
      <c r="A874" s="129"/>
      <c r="B874" s="129"/>
      <c r="C874" s="128"/>
      <c r="D874" s="128"/>
      <c r="E874" s="128"/>
      <c r="F874" s="166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6" t="str">
        <f t="shared" si="84"/>
        <v/>
      </c>
      <c r="S874" s="163" t="str">
        <f t="shared" si="85"/>
        <v/>
      </c>
      <c r="T874" s="160" t="str">
        <f>IFERROR(INDEX(当年标准成本!$I:$I,MATCH(K874,当年标准成本!$C:$C,0),1),"")</f>
        <v/>
      </c>
      <c r="U874" s="126" t="str">
        <f t="shared" si="86"/>
        <v/>
      </c>
      <c r="V874" s="126" t="str">
        <f t="shared" si="87"/>
        <v/>
      </c>
      <c r="W874" s="124" t="str">
        <f t="shared" si="88"/>
        <v/>
      </c>
      <c r="X874" s="125" t="str">
        <f t="shared" si="83"/>
        <v/>
      </c>
    </row>
    <row r="875" spans="1:24" x14ac:dyDescent="0.3">
      <c r="A875" s="129"/>
      <c r="B875" s="129"/>
      <c r="C875" s="128"/>
      <c r="D875" s="128"/>
      <c r="E875" s="128"/>
      <c r="F875" s="166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6" t="str">
        <f t="shared" si="84"/>
        <v/>
      </c>
      <c r="S875" s="163" t="str">
        <f t="shared" si="85"/>
        <v/>
      </c>
      <c r="T875" s="160" t="str">
        <f>IFERROR(INDEX(当年标准成本!$I:$I,MATCH(K875,当年标准成本!$C:$C,0),1),"")</f>
        <v/>
      </c>
      <c r="U875" s="126" t="str">
        <f t="shared" si="86"/>
        <v/>
      </c>
      <c r="V875" s="126" t="str">
        <f t="shared" si="87"/>
        <v/>
      </c>
      <c r="W875" s="124" t="str">
        <f t="shared" si="88"/>
        <v/>
      </c>
      <c r="X875" s="125" t="str">
        <f t="shared" si="83"/>
        <v/>
      </c>
    </row>
    <row r="876" spans="1:24" x14ac:dyDescent="0.3">
      <c r="A876" s="129"/>
      <c r="B876" s="129"/>
      <c r="C876" s="128"/>
      <c r="D876" s="128"/>
      <c r="E876" s="128"/>
      <c r="F876" s="166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6" t="str">
        <f t="shared" si="84"/>
        <v/>
      </c>
      <c r="S876" s="163" t="str">
        <f t="shared" si="85"/>
        <v/>
      </c>
      <c r="T876" s="160" t="str">
        <f>IFERROR(INDEX(当年标准成本!$I:$I,MATCH(K876,当年标准成本!$C:$C,0),1),"")</f>
        <v/>
      </c>
      <c r="U876" s="126" t="str">
        <f t="shared" si="86"/>
        <v/>
      </c>
      <c r="V876" s="126" t="str">
        <f t="shared" si="87"/>
        <v/>
      </c>
      <c r="W876" s="124" t="str">
        <f t="shared" si="88"/>
        <v/>
      </c>
      <c r="X876" s="125" t="str">
        <f t="shared" si="83"/>
        <v/>
      </c>
    </row>
    <row r="877" spans="1:24" x14ac:dyDescent="0.3">
      <c r="A877" s="129"/>
      <c r="B877" s="129"/>
      <c r="C877" s="128"/>
      <c r="D877" s="128"/>
      <c r="E877" s="128"/>
      <c r="F877" s="166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6" t="str">
        <f t="shared" si="84"/>
        <v/>
      </c>
      <c r="S877" s="163" t="str">
        <f t="shared" si="85"/>
        <v/>
      </c>
      <c r="T877" s="160" t="str">
        <f>IFERROR(INDEX(当年标准成本!$I:$I,MATCH(K877,当年标准成本!$C:$C,0),1),"")</f>
        <v/>
      </c>
      <c r="U877" s="126" t="str">
        <f t="shared" si="86"/>
        <v/>
      </c>
      <c r="V877" s="126" t="str">
        <f t="shared" si="87"/>
        <v/>
      </c>
      <c r="W877" s="124" t="str">
        <f t="shared" si="88"/>
        <v/>
      </c>
      <c r="X877" s="125" t="str">
        <f t="shared" si="83"/>
        <v/>
      </c>
    </row>
    <row r="878" spans="1:24" x14ac:dyDescent="0.3">
      <c r="A878" s="129"/>
      <c r="B878" s="129"/>
      <c r="C878" s="128"/>
      <c r="D878" s="128"/>
      <c r="E878" s="128"/>
      <c r="F878" s="166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6" t="str">
        <f t="shared" si="84"/>
        <v/>
      </c>
      <c r="S878" s="163" t="str">
        <f t="shared" si="85"/>
        <v/>
      </c>
      <c r="T878" s="160" t="str">
        <f>IFERROR(INDEX(当年标准成本!$I:$I,MATCH(K878,当年标准成本!$C:$C,0),1),"")</f>
        <v/>
      </c>
      <c r="U878" s="126" t="str">
        <f t="shared" si="86"/>
        <v/>
      </c>
      <c r="V878" s="126" t="str">
        <f t="shared" si="87"/>
        <v/>
      </c>
      <c r="W878" s="124" t="str">
        <f t="shared" si="88"/>
        <v/>
      </c>
      <c r="X878" s="125" t="str">
        <f t="shared" si="83"/>
        <v/>
      </c>
    </row>
    <row r="879" spans="1:24" x14ac:dyDescent="0.3">
      <c r="A879" s="129"/>
      <c r="B879" s="129"/>
      <c r="C879" s="128"/>
      <c r="D879" s="128"/>
      <c r="E879" s="128"/>
      <c r="F879" s="166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6" t="str">
        <f t="shared" si="84"/>
        <v/>
      </c>
      <c r="S879" s="163" t="str">
        <f t="shared" si="85"/>
        <v/>
      </c>
      <c r="T879" s="160" t="str">
        <f>IFERROR(INDEX(当年标准成本!$I:$I,MATCH(K879,当年标准成本!$C:$C,0),1),"")</f>
        <v/>
      </c>
      <c r="U879" s="126" t="str">
        <f t="shared" si="86"/>
        <v/>
      </c>
      <c r="V879" s="126" t="str">
        <f t="shared" si="87"/>
        <v/>
      </c>
      <c r="W879" s="124" t="str">
        <f t="shared" si="88"/>
        <v/>
      </c>
      <c r="X879" s="125" t="str">
        <f t="shared" si="83"/>
        <v/>
      </c>
    </row>
    <row r="880" spans="1:24" x14ac:dyDescent="0.3">
      <c r="A880" s="129"/>
      <c r="B880" s="129"/>
      <c r="C880" s="128"/>
      <c r="D880" s="128"/>
      <c r="E880" s="128"/>
      <c r="F880" s="166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6" t="str">
        <f t="shared" si="84"/>
        <v/>
      </c>
      <c r="S880" s="163" t="str">
        <f t="shared" si="85"/>
        <v/>
      </c>
      <c r="T880" s="160" t="str">
        <f>IFERROR(INDEX(当年标准成本!$I:$I,MATCH(K880,当年标准成本!$C:$C,0),1),"")</f>
        <v/>
      </c>
      <c r="U880" s="126" t="str">
        <f t="shared" si="86"/>
        <v/>
      </c>
      <c r="V880" s="126" t="str">
        <f t="shared" si="87"/>
        <v/>
      </c>
      <c r="W880" s="124" t="str">
        <f t="shared" si="88"/>
        <v/>
      </c>
      <c r="X880" s="125" t="str">
        <f t="shared" si="83"/>
        <v/>
      </c>
    </row>
    <row r="881" spans="1:24" x14ac:dyDescent="0.3">
      <c r="A881" s="129"/>
      <c r="B881" s="129"/>
      <c r="C881" s="128"/>
      <c r="D881" s="128"/>
      <c r="E881" s="128"/>
      <c r="F881" s="166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6" t="str">
        <f t="shared" si="84"/>
        <v/>
      </c>
      <c r="S881" s="163" t="str">
        <f t="shared" si="85"/>
        <v/>
      </c>
      <c r="T881" s="160" t="str">
        <f>IFERROR(INDEX(当年标准成本!$I:$I,MATCH(K881,当年标准成本!$C:$C,0),1),"")</f>
        <v/>
      </c>
      <c r="U881" s="126" t="str">
        <f t="shared" si="86"/>
        <v/>
      </c>
      <c r="V881" s="126" t="str">
        <f t="shared" si="87"/>
        <v/>
      </c>
      <c r="W881" s="124" t="str">
        <f t="shared" si="88"/>
        <v/>
      </c>
      <c r="X881" s="125" t="str">
        <f t="shared" si="83"/>
        <v/>
      </c>
    </row>
    <row r="882" spans="1:24" x14ac:dyDescent="0.3">
      <c r="A882" s="129"/>
      <c r="B882" s="129"/>
      <c r="C882" s="128"/>
      <c r="D882" s="128"/>
      <c r="E882" s="128"/>
      <c r="F882" s="166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6" t="str">
        <f t="shared" si="84"/>
        <v/>
      </c>
      <c r="S882" s="163" t="str">
        <f t="shared" si="85"/>
        <v/>
      </c>
      <c r="T882" s="160" t="str">
        <f>IFERROR(INDEX(当年标准成本!$I:$I,MATCH(K882,当年标准成本!$C:$C,0),1),"")</f>
        <v/>
      </c>
      <c r="U882" s="126" t="str">
        <f t="shared" si="86"/>
        <v/>
      </c>
      <c r="V882" s="126" t="str">
        <f t="shared" si="87"/>
        <v/>
      </c>
      <c r="W882" s="124" t="str">
        <f t="shared" si="88"/>
        <v/>
      </c>
      <c r="X882" s="125" t="str">
        <f t="shared" si="83"/>
        <v/>
      </c>
    </row>
    <row r="883" spans="1:24" x14ac:dyDescent="0.3">
      <c r="A883" s="129"/>
      <c r="B883" s="129"/>
      <c r="C883" s="128"/>
      <c r="D883" s="128"/>
      <c r="E883" s="128"/>
      <c r="F883" s="166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6" t="str">
        <f t="shared" si="84"/>
        <v/>
      </c>
      <c r="S883" s="163" t="str">
        <f t="shared" si="85"/>
        <v/>
      </c>
      <c r="T883" s="160" t="str">
        <f>IFERROR(INDEX(当年标准成本!$I:$I,MATCH(K883,当年标准成本!$C:$C,0),1),"")</f>
        <v/>
      </c>
      <c r="U883" s="126" t="str">
        <f t="shared" si="86"/>
        <v/>
      </c>
      <c r="V883" s="126" t="str">
        <f t="shared" si="87"/>
        <v/>
      </c>
      <c r="W883" s="124" t="str">
        <f t="shared" si="88"/>
        <v/>
      </c>
      <c r="X883" s="125" t="str">
        <f t="shared" si="83"/>
        <v/>
      </c>
    </row>
    <row r="884" spans="1:24" x14ac:dyDescent="0.3">
      <c r="A884" s="129"/>
      <c r="B884" s="129"/>
      <c r="C884" s="128"/>
      <c r="D884" s="128"/>
      <c r="E884" s="128"/>
      <c r="F884" s="166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6" t="str">
        <f t="shared" si="84"/>
        <v/>
      </c>
      <c r="S884" s="163" t="str">
        <f t="shared" si="85"/>
        <v/>
      </c>
      <c r="T884" s="160" t="str">
        <f>IFERROR(INDEX(当年标准成本!$I:$I,MATCH(K884,当年标准成本!$C:$C,0),1),"")</f>
        <v/>
      </c>
      <c r="U884" s="126" t="str">
        <f t="shared" si="86"/>
        <v/>
      </c>
      <c r="V884" s="126" t="str">
        <f t="shared" si="87"/>
        <v/>
      </c>
      <c r="W884" s="124" t="str">
        <f t="shared" si="88"/>
        <v/>
      </c>
      <c r="X884" s="125" t="str">
        <f t="shared" si="83"/>
        <v/>
      </c>
    </row>
    <row r="885" spans="1:24" x14ac:dyDescent="0.3">
      <c r="A885" s="129"/>
      <c r="B885" s="129"/>
      <c r="C885" s="128"/>
      <c r="D885" s="128"/>
      <c r="E885" s="128"/>
      <c r="F885" s="166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6" t="str">
        <f t="shared" si="84"/>
        <v/>
      </c>
      <c r="S885" s="163" t="str">
        <f t="shared" si="85"/>
        <v/>
      </c>
      <c r="T885" s="160" t="str">
        <f>IFERROR(INDEX(当年标准成本!$I:$I,MATCH(K885,当年标准成本!$C:$C,0),1),"")</f>
        <v/>
      </c>
      <c r="U885" s="126" t="str">
        <f t="shared" si="86"/>
        <v/>
      </c>
      <c r="V885" s="126" t="str">
        <f t="shared" si="87"/>
        <v/>
      </c>
      <c r="W885" s="124" t="str">
        <f t="shared" si="88"/>
        <v/>
      </c>
      <c r="X885" s="125" t="str">
        <f t="shared" si="83"/>
        <v/>
      </c>
    </row>
    <row r="886" spans="1:24" x14ac:dyDescent="0.3">
      <c r="A886" s="129"/>
      <c r="B886" s="129"/>
      <c r="C886" s="128"/>
      <c r="D886" s="128"/>
      <c r="E886" s="128"/>
      <c r="F886" s="166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6" t="str">
        <f t="shared" si="84"/>
        <v/>
      </c>
      <c r="S886" s="163" t="str">
        <f t="shared" si="85"/>
        <v/>
      </c>
      <c r="T886" s="160" t="str">
        <f>IFERROR(INDEX(当年标准成本!$I:$I,MATCH(K886,当年标准成本!$C:$C,0),1),"")</f>
        <v/>
      </c>
      <c r="U886" s="126" t="str">
        <f t="shared" si="86"/>
        <v/>
      </c>
      <c r="V886" s="126" t="str">
        <f t="shared" si="87"/>
        <v/>
      </c>
      <c r="W886" s="124" t="str">
        <f t="shared" si="88"/>
        <v/>
      </c>
      <c r="X886" s="125" t="str">
        <f t="shared" si="83"/>
        <v/>
      </c>
    </row>
    <row r="887" spans="1:24" x14ac:dyDescent="0.3">
      <c r="A887" s="129"/>
      <c r="B887" s="129"/>
      <c r="C887" s="128"/>
      <c r="D887" s="128"/>
      <c r="E887" s="128"/>
      <c r="F887" s="166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6" t="str">
        <f t="shared" si="84"/>
        <v/>
      </c>
      <c r="S887" s="163" t="str">
        <f t="shared" si="85"/>
        <v/>
      </c>
      <c r="T887" s="160" t="str">
        <f>IFERROR(INDEX(当年标准成本!$I:$I,MATCH(K887,当年标准成本!$C:$C,0),1),"")</f>
        <v/>
      </c>
      <c r="U887" s="126" t="str">
        <f t="shared" si="86"/>
        <v/>
      </c>
      <c r="V887" s="126" t="str">
        <f t="shared" si="87"/>
        <v/>
      </c>
      <c r="W887" s="124" t="str">
        <f t="shared" si="88"/>
        <v/>
      </c>
      <c r="X887" s="125" t="str">
        <f t="shared" si="83"/>
        <v/>
      </c>
    </row>
    <row r="888" spans="1:24" x14ac:dyDescent="0.3">
      <c r="A888" s="129"/>
      <c r="B888" s="129"/>
      <c r="C888" s="128"/>
      <c r="D888" s="128"/>
      <c r="E888" s="128"/>
      <c r="F888" s="166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6" t="str">
        <f t="shared" si="84"/>
        <v/>
      </c>
      <c r="S888" s="163" t="str">
        <f t="shared" si="85"/>
        <v/>
      </c>
      <c r="T888" s="160" t="str">
        <f>IFERROR(INDEX(当年标准成本!$I:$I,MATCH(K888,当年标准成本!$C:$C,0),1),"")</f>
        <v/>
      </c>
      <c r="U888" s="126" t="str">
        <f t="shared" si="86"/>
        <v/>
      </c>
      <c r="V888" s="126" t="str">
        <f t="shared" si="87"/>
        <v/>
      </c>
      <c r="W888" s="124" t="str">
        <f t="shared" si="88"/>
        <v/>
      </c>
      <c r="X888" s="125" t="str">
        <f t="shared" si="83"/>
        <v/>
      </c>
    </row>
    <row r="889" spans="1:24" x14ac:dyDescent="0.3">
      <c r="A889" s="129"/>
      <c r="B889" s="129"/>
      <c r="C889" s="128"/>
      <c r="D889" s="128"/>
      <c r="E889" s="128"/>
      <c r="F889" s="166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6" t="str">
        <f t="shared" si="84"/>
        <v/>
      </c>
      <c r="S889" s="163" t="str">
        <f t="shared" si="85"/>
        <v/>
      </c>
      <c r="T889" s="160" t="str">
        <f>IFERROR(INDEX(当年标准成本!$I:$I,MATCH(K889,当年标准成本!$C:$C,0),1),"")</f>
        <v/>
      </c>
      <c r="U889" s="126" t="str">
        <f t="shared" si="86"/>
        <v/>
      </c>
      <c r="V889" s="126" t="str">
        <f t="shared" si="87"/>
        <v/>
      </c>
      <c r="W889" s="124" t="str">
        <f t="shared" si="88"/>
        <v/>
      </c>
      <c r="X889" s="125" t="str">
        <f t="shared" si="83"/>
        <v/>
      </c>
    </row>
    <row r="890" spans="1:24" x14ac:dyDescent="0.3">
      <c r="A890" s="129"/>
      <c r="B890" s="129"/>
      <c r="C890" s="128"/>
      <c r="D890" s="128"/>
      <c r="E890" s="128"/>
      <c r="F890" s="166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6" t="str">
        <f t="shared" si="84"/>
        <v/>
      </c>
      <c r="S890" s="163" t="str">
        <f t="shared" si="85"/>
        <v/>
      </c>
      <c r="T890" s="160" t="str">
        <f>IFERROR(INDEX(当年标准成本!$I:$I,MATCH(K890,当年标准成本!$C:$C,0),1),"")</f>
        <v/>
      </c>
      <c r="U890" s="126" t="str">
        <f t="shared" si="86"/>
        <v/>
      </c>
      <c r="V890" s="126" t="str">
        <f t="shared" si="87"/>
        <v/>
      </c>
      <c r="W890" s="124" t="str">
        <f t="shared" si="88"/>
        <v/>
      </c>
      <c r="X890" s="125" t="str">
        <f t="shared" si="83"/>
        <v/>
      </c>
    </row>
    <row r="891" spans="1:24" x14ac:dyDescent="0.3">
      <c r="A891" s="129"/>
      <c r="B891" s="129"/>
      <c r="C891" s="128"/>
      <c r="D891" s="128"/>
      <c r="E891" s="128"/>
      <c r="F891" s="166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6" t="str">
        <f t="shared" si="84"/>
        <v/>
      </c>
      <c r="S891" s="163" t="str">
        <f t="shared" si="85"/>
        <v/>
      </c>
      <c r="T891" s="160" t="str">
        <f>IFERROR(INDEX(当年标准成本!$I:$I,MATCH(K891,当年标准成本!$C:$C,0),1),"")</f>
        <v/>
      </c>
      <c r="U891" s="126" t="str">
        <f t="shared" si="86"/>
        <v/>
      </c>
      <c r="V891" s="126" t="str">
        <f t="shared" si="87"/>
        <v/>
      </c>
      <c r="W891" s="124" t="str">
        <f t="shared" si="88"/>
        <v/>
      </c>
      <c r="X891" s="125" t="str">
        <f t="shared" si="83"/>
        <v/>
      </c>
    </row>
    <row r="892" spans="1:24" x14ac:dyDescent="0.3">
      <c r="A892" s="129"/>
      <c r="B892" s="129"/>
      <c r="C892" s="128"/>
      <c r="D892" s="128"/>
      <c r="E892" s="128"/>
      <c r="F892" s="166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6" t="str">
        <f t="shared" si="84"/>
        <v/>
      </c>
      <c r="S892" s="163" t="str">
        <f t="shared" si="85"/>
        <v/>
      </c>
      <c r="T892" s="160" t="str">
        <f>IFERROR(INDEX(当年标准成本!$I:$I,MATCH(K892,当年标准成本!$C:$C,0),1),"")</f>
        <v/>
      </c>
      <c r="U892" s="126" t="str">
        <f t="shared" si="86"/>
        <v/>
      </c>
      <c r="V892" s="126" t="str">
        <f t="shared" si="87"/>
        <v/>
      </c>
      <c r="W892" s="124" t="str">
        <f t="shared" si="88"/>
        <v/>
      </c>
      <c r="X892" s="125" t="str">
        <f t="shared" si="83"/>
        <v/>
      </c>
    </row>
    <row r="893" spans="1:24" x14ac:dyDescent="0.3">
      <c r="A893" s="129"/>
      <c r="B893" s="129"/>
      <c r="C893" s="128"/>
      <c r="D893" s="128"/>
      <c r="E893" s="128"/>
      <c r="F893" s="166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6" t="str">
        <f t="shared" si="84"/>
        <v/>
      </c>
      <c r="S893" s="163" t="str">
        <f t="shared" si="85"/>
        <v/>
      </c>
      <c r="T893" s="160" t="str">
        <f>IFERROR(INDEX(当年标准成本!$I:$I,MATCH(K893,当年标准成本!$C:$C,0),1),"")</f>
        <v/>
      </c>
      <c r="U893" s="126" t="str">
        <f t="shared" si="86"/>
        <v/>
      </c>
      <c r="V893" s="126" t="str">
        <f t="shared" si="87"/>
        <v/>
      </c>
      <c r="W893" s="124" t="str">
        <f t="shared" si="88"/>
        <v/>
      </c>
      <c r="X893" s="125" t="str">
        <f t="shared" si="83"/>
        <v/>
      </c>
    </row>
    <row r="894" spans="1:24" x14ac:dyDescent="0.3">
      <c r="A894" s="129"/>
      <c r="B894" s="129"/>
      <c r="C894" s="128"/>
      <c r="D894" s="128"/>
      <c r="E894" s="128"/>
      <c r="F894" s="166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6" t="str">
        <f t="shared" si="84"/>
        <v/>
      </c>
      <c r="S894" s="163" t="str">
        <f t="shared" si="85"/>
        <v/>
      </c>
      <c r="T894" s="160" t="str">
        <f>IFERROR(INDEX(当年标准成本!$I:$I,MATCH(K894,当年标准成本!$C:$C,0),1),"")</f>
        <v/>
      </c>
      <c r="U894" s="126" t="str">
        <f t="shared" si="86"/>
        <v/>
      </c>
      <c r="V894" s="126" t="str">
        <f t="shared" si="87"/>
        <v/>
      </c>
      <c r="W894" s="124" t="str">
        <f t="shared" si="88"/>
        <v/>
      </c>
      <c r="X894" s="125" t="str">
        <f t="shared" si="83"/>
        <v/>
      </c>
    </row>
    <row r="895" spans="1:24" x14ac:dyDescent="0.3">
      <c r="A895" s="129"/>
      <c r="B895" s="129"/>
      <c r="C895" s="128"/>
      <c r="D895" s="128"/>
      <c r="E895" s="128"/>
      <c r="F895" s="166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6" t="str">
        <f t="shared" si="84"/>
        <v/>
      </c>
      <c r="S895" s="163" t="str">
        <f t="shared" si="85"/>
        <v/>
      </c>
      <c r="T895" s="160" t="str">
        <f>IFERROR(INDEX(当年标准成本!$I:$I,MATCH(K895,当年标准成本!$C:$C,0),1),"")</f>
        <v/>
      </c>
      <c r="U895" s="126" t="str">
        <f t="shared" si="86"/>
        <v/>
      </c>
      <c r="V895" s="126" t="str">
        <f t="shared" si="87"/>
        <v/>
      </c>
      <c r="W895" s="124" t="str">
        <f t="shared" si="88"/>
        <v/>
      </c>
      <c r="X895" s="125" t="str">
        <f t="shared" si="83"/>
        <v/>
      </c>
    </row>
    <row r="896" spans="1:24" x14ac:dyDescent="0.3">
      <c r="A896" s="129"/>
      <c r="B896" s="129"/>
      <c r="C896" s="128"/>
      <c r="D896" s="128"/>
      <c r="E896" s="128"/>
      <c r="F896" s="166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6" t="str">
        <f t="shared" si="84"/>
        <v/>
      </c>
      <c r="S896" s="163" t="str">
        <f t="shared" si="85"/>
        <v/>
      </c>
      <c r="T896" s="160" t="str">
        <f>IFERROR(INDEX(当年标准成本!$I:$I,MATCH(K896,当年标准成本!$C:$C,0),1),"")</f>
        <v/>
      </c>
      <c r="U896" s="126" t="str">
        <f t="shared" si="86"/>
        <v/>
      </c>
      <c r="V896" s="126" t="str">
        <f t="shared" si="87"/>
        <v/>
      </c>
      <c r="W896" s="124" t="str">
        <f t="shared" si="88"/>
        <v/>
      </c>
      <c r="X896" s="125" t="str">
        <f t="shared" si="83"/>
        <v/>
      </c>
    </row>
    <row r="897" spans="1:24" x14ac:dyDescent="0.3">
      <c r="A897" s="129"/>
      <c r="B897" s="129"/>
      <c r="C897" s="128"/>
      <c r="D897" s="128"/>
      <c r="E897" s="128"/>
      <c r="F897" s="166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6" t="str">
        <f t="shared" si="84"/>
        <v/>
      </c>
      <c r="S897" s="163" t="str">
        <f t="shared" si="85"/>
        <v/>
      </c>
      <c r="T897" s="160" t="str">
        <f>IFERROR(INDEX(当年标准成本!$I:$I,MATCH(K897,当年标准成本!$C:$C,0),1),"")</f>
        <v/>
      </c>
      <c r="U897" s="126" t="str">
        <f t="shared" si="86"/>
        <v/>
      </c>
      <c r="V897" s="126" t="str">
        <f t="shared" si="87"/>
        <v/>
      </c>
      <c r="W897" s="124" t="str">
        <f t="shared" si="88"/>
        <v/>
      </c>
      <c r="X897" s="125" t="str">
        <f t="shared" si="83"/>
        <v/>
      </c>
    </row>
    <row r="898" spans="1:24" x14ac:dyDescent="0.3">
      <c r="A898" s="129"/>
      <c r="B898" s="129"/>
      <c r="C898" s="128"/>
      <c r="D898" s="128"/>
      <c r="E898" s="128"/>
      <c r="F898" s="166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6" t="str">
        <f t="shared" si="84"/>
        <v/>
      </c>
      <c r="S898" s="163" t="str">
        <f t="shared" si="85"/>
        <v/>
      </c>
      <c r="T898" s="160" t="str">
        <f>IFERROR(INDEX(当年标准成本!$I:$I,MATCH(K898,当年标准成本!$C:$C,0),1),"")</f>
        <v/>
      </c>
      <c r="U898" s="126" t="str">
        <f t="shared" si="86"/>
        <v/>
      </c>
      <c r="V898" s="126" t="str">
        <f t="shared" si="87"/>
        <v/>
      </c>
      <c r="W898" s="124" t="str">
        <f t="shared" si="88"/>
        <v/>
      </c>
      <c r="X898" s="125" t="str">
        <f t="shared" ref="X898:X961" si="89">IFERROR(IF(W898/SUM(W:W)=0,"",W898/SUM(W:W)),"")</f>
        <v/>
      </c>
    </row>
    <row r="899" spans="1:24" x14ac:dyDescent="0.3">
      <c r="A899" s="129"/>
      <c r="B899" s="129"/>
      <c r="C899" s="128"/>
      <c r="D899" s="128"/>
      <c r="E899" s="128"/>
      <c r="F899" s="166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6" t="str">
        <f t="shared" si="84"/>
        <v/>
      </c>
      <c r="S899" s="163" t="str">
        <f t="shared" si="85"/>
        <v/>
      </c>
      <c r="T899" s="160" t="str">
        <f>IFERROR(INDEX(当年标准成本!$I:$I,MATCH(K899,当年标准成本!$C:$C,0),1),"")</f>
        <v/>
      </c>
      <c r="U899" s="126" t="str">
        <f t="shared" si="86"/>
        <v/>
      </c>
      <c r="V899" s="126" t="str">
        <f t="shared" si="87"/>
        <v/>
      </c>
      <c r="W899" s="124" t="str">
        <f t="shared" si="88"/>
        <v/>
      </c>
      <c r="X899" s="125" t="str">
        <f t="shared" si="89"/>
        <v/>
      </c>
    </row>
    <row r="900" spans="1:24" x14ac:dyDescent="0.3">
      <c r="A900" s="129"/>
      <c r="B900" s="129"/>
      <c r="C900" s="128"/>
      <c r="D900" s="128"/>
      <c r="E900" s="128"/>
      <c r="F900" s="166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6" t="str">
        <f t="shared" si="84"/>
        <v/>
      </c>
      <c r="S900" s="163" t="str">
        <f t="shared" si="85"/>
        <v/>
      </c>
      <c r="T900" s="160" t="str">
        <f>IFERROR(INDEX(当年标准成本!$I:$I,MATCH(K900,当年标准成本!$C:$C,0),1),"")</f>
        <v/>
      </c>
      <c r="U900" s="126" t="str">
        <f t="shared" si="86"/>
        <v/>
      </c>
      <c r="V900" s="126" t="str">
        <f t="shared" si="87"/>
        <v/>
      </c>
      <c r="W900" s="124" t="str">
        <f t="shared" si="88"/>
        <v/>
      </c>
      <c r="X900" s="125" t="str">
        <f t="shared" si="89"/>
        <v/>
      </c>
    </row>
    <row r="901" spans="1:24" x14ac:dyDescent="0.3">
      <c r="A901" s="129"/>
      <c r="B901" s="129"/>
      <c r="C901" s="128"/>
      <c r="D901" s="128"/>
      <c r="E901" s="128"/>
      <c r="F901" s="166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6" t="str">
        <f t="shared" si="84"/>
        <v/>
      </c>
      <c r="S901" s="163" t="str">
        <f t="shared" si="85"/>
        <v/>
      </c>
      <c r="T901" s="160" t="str">
        <f>IFERROR(INDEX(当年标准成本!$I:$I,MATCH(K901,当年标准成本!$C:$C,0),1),"")</f>
        <v/>
      </c>
      <c r="U901" s="126" t="str">
        <f t="shared" si="86"/>
        <v/>
      </c>
      <c r="V901" s="126" t="str">
        <f t="shared" si="87"/>
        <v/>
      </c>
      <c r="W901" s="124" t="str">
        <f t="shared" si="88"/>
        <v/>
      </c>
      <c r="X901" s="125" t="str">
        <f t="shared" si="89"/>
        <v/>
      </c>
    </row>
    <row r="902" spans="1:24" x14ac:dyDescent="0.3">
      <c r="A902" s="129"/>
      <c r="B902" s="129"/>
      <c r="C902" s="128"/>
      <c r="D902" s="128"/>
      <c r="E902" s="128"/>
      <c r="F902" s="166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6" t="str">
        <f t="shared" si="84"/>
        <v/>
      </c>
      <c r="S902" s="163" t="str">
        <f t="shared" si="85"/>
        <v/>
      </c>
      <c r="T902" s="160" t="str">
        <f>IFERROR(INDEX(当年标准成本!$I:$I,MATCH(K902,当年标准成本!$C:$C,0),1),"")</f>
        <v/>
      </c>
      <c r="U902" s="126" t="str">
        <f t="shared" si="86"/>
        <v/>
      </c>
      <c r="V902" s="126" t="str">
        <f t="shared" si="87"/>
        <v/>
      </c>
      <c r="W902" s="124" t="str">
        <f t="shared" si="88"/>
        <v/>
      </c>
      <c r="X902" s="125" t="str">
        <f t="shared" si="89"/>
        <v/>
      </c>
    </row>
    <row r="903" spans="1:24" x14ac:dyDescent="0.3">
      <c r="A903" s="129"/>
      <c r="B903" s="129"/>
      <c r="C903" s="128"/>
      <c r="D903" s="128"/>
      <c r="E903" s="128"/>
      <c r="F903" s="166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6" t="str">
        <f t="shared" si="84"/>
        <v/>
      </c>
      <c r="S903" s="163" t="str">
        <f t="shared" si="85"/>
        <v/>
      </c>
      <c r="T903" s="160" t="str">
        <f>IFERROR(INDEX(当年标准成本!$I:$I,MATCH(K903,当年标准成本!$C:$C,0),1),"")</f>
        <v/>
      </c>
      <c r="U903" s="126" t="str">
        <f t="shared" si="86"/>
        <v/>
      </c>
      <c r="V903" s="126" t="str">
        <f t="shared" si="87"/>
        <v/>
      </c>
      <c r="W903" s="124" t="str">
        <f t="shared" si="88"/>
        <v/>
      </c>
      <c r="X903" s="125" t="str">
        <f t="shared" si="89"/>
        <v/>
      </c>
    </row>
    <row r="904" spans="1:24" x14ac:dyDescent="0.3">
      <c r="A904" s="129"/>
      <c r="B904" s="129"/>
      <c r="C904" s="128"/>
      <c r="D904" s="128"/>
      <c r="E904" s="128"/>
      <c r="F904" s="166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6" t="str">
        <f t="shared" si="84"/>
        <v/>
      </c>
      <c r="S904" s="163" t="str">
        <f t="shared" si="85"/>
        <v/>
      </c>
      <c r="T904" s="160" t="str">
        <f>IFERROR(INDEX(当年标准成本!$I:$I,MATCH(K904,当年标准成本!$C:$C,0),1),"")</f>
        <v/>
      </c>
      <c r="U904" s="126" t="str">
        <f t="shared" si="86"/>
        <v/>
      </c>
      <c r="V904" s="126" t="str">
        <f t="shared" si="87"/>
        <v/>
      </c>
      <c r="W904" s="124" t="str">
        <f t="shared" si="88"/>
        <v/>
      </c>
      <c r="X904" s="125" t="str">
        <f t="shared" si="89"/>
        <v/>
      </c>
    </row>
    <row r="905" spans="1:24" x14ac:dyDescent="0.3">
      <c r="A905" s="129"/>
      <c r="B905" s="129"/>
      <c r="C905" s="128"/>
      <c r="D905" s="128"/>
      <c r="E905" s="128"/>
      <c r="F905" s="166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6" t="str">
        <f t="shared" si="84"/>
        <v/>
      </c>
      <c r="S905" s="163" t="str">
        <f t="shared" si="85"/>
        <v/>
      </c>
      <c r="T905" s="160" t="str">
        <f>IFERROR(INDEX(当年标准成本!$I:$I,MATCH(K905,当年标准成本!$C:$C,0),1),"")</f>
        <v/>
      </c>
      <c r="U905" s="126" t="str">
        <f t="shared" si="86"/>
        <v/>
      </c>
      <c r="V905" s="126" t="str">
        <f t="shared" si="87"/>
        <v/>
      </c>
      <c r="W905" s="124" t="str">
        <f t="shared" si="88"/>
        <v/>
      </c>
      <c r="X905" s="125" t="str">
        <f t="shared" si="89"/>
        <v/>
      </c>
    </row>
    <row r="906" spans="1:24" x14ac:dyDescent="0.3">
      <c r="A906" s="129"/>
      <c r="B906" s="129"/>
      <c r="C906" s="128"/>
      <c r="D906" s="128"/>
      <c r="E906" s="128"/>
      <c r="F906" s="166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6" t="str">
        <f t="shared" ref="R906:R969" si="90">IFERROR(P906/O906,"")</f>
        <v/>
      </c>
      <c r="S906" s="163" t="str">
        <f t="shared" ref="S906:S969" si="91">IFERROR(R906*(1+Q906),"")</f>
        <v/>
      </c>
      <c r="T906" s="160" t="str">
        <f>IFERROR(INDEX(当年标准成本!$I:$I,MATCH(K906,当年标准成本!$C:$C,0),1),"")</f>
        <v/>
      </c>
      <c r="U906" s="126" t="str">
        <f t="shared" ref="U906:U969" si="92">IFERROR(O906*T906,"")</f>
        <v/>
      </c>
      <c r="V906" s="126" t="str">
        <f t="shared" ref="V906:V969" si="93">IFERROR(P906-U906,"")</f>
        <v/>
      </c>
      <c r="W906" s="124" t="str">
        <f t="shared" ref="W906:W969" si="94">IFERROR(V906/P906,"")</f>
        <v/>
      </c>
      <c r="X906" s="125" t="str">
        <f t="shared" si="89"/>
        <v/>
      </c>
    </row>
    <row r="907" spans="1:24" x14ac:dyDescent="0.3">
      <c r="A907" s="129"/>
      <c r="B907" s="129"/>
      <c r="C907" s="128"/>
      <c r="D907" s="128"/>
      <c r="E907" s="128"/>
      <c r="F907" s="166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6" t="str">
        <f t="shared" si="90"/>
        <v/>
      </c>
      <c r="S907" s="163" t="str">
        <f t="shared" si="91"/>
        <v/>
      </c>
      <c r="T907" s="160" t="str">
        <f>IFERROR(INDEX(当年标准成本!$I:$I,MATCH(K907,当年标准成本!$C:$C,0),1),"")</f>
        <v/>
      </c>
      <c r="U907" s="126" t="str">
        <f t="shared" si="92"/>
        <v/>
      </c>
      <c r="V907" s="126" t="str">
        <f t="shared" si="93"/>
        <v/>
      </c>
      <c r="W907" s="124" t="str">
        <f t="shared" si="94"/>
        <v/>
      </c>
      <c r="X907" s="125" t="str">
        <f t="shared" si="89"/>
        <v/>
      </c>
    </row>
    <row r="908" spans="1:24" x14ac:dyDescent="0.3">
      <c r="A908" s="129"/>
      <c r="B908" s="129"/>
      <c r="C908" s="128"/>
      <c r="D908" s="128"/>
      <c r="E908" s="128"/>
      <c r="F908" s="166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6" t="str">
        <f t="shared" si="90"/>
        <v/>
      </c>
      <c r="S908" s="163" t="str">
        <f t="shared" si="91"/>
        <v/>
      </c>
      <c r="T908" s="160" t="str">
        <f>IFERROR(INDEX(当年标准成本!$I:$I,MATCH(K908,当年标准成本!$C:$C,0),1),"")</f>
        <v/>
      </c>
      <c r="U908" s="126" t="str">
        <f t="shared" si="92"/>
        <v/>
      </c>
      <c r="V908" s="126" t="str">
        <f t="shared" si="93"/>
        <v/>
      </c>
      <c r="W908" s="124" t="str">
        <f t="shared" si="94"/>
        <v/>
      </c>
      <c r="X908" s="125" t="str">
        <f t="shared" si="89"/>
        <v/>
      </c>
    </row>
    <row r="909" spans="1:24" x14ac:dyDescent="0.3">
      <c r="A909" s="129"/>
      <c r="B909" s="129"/>
      <c r="C909" s="128"/>
      <c r="D909" s="128"/>
      <c r="E909" s="128"/>
      <c r="F909" s="166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6" t="str">
        <f t="shared" si="90"/>
        <v/>
      </c>
      <c r="S909" s="163" t="str">
        <f t="shared" si="91"/>
        <v/>
      </c>
      <c r="T909" s="160" t="str">
        <f>IFERROR(INDEX(当年标准成本!$I:$I,MATCH(K909,当年标准成本!$C:$C,0),1),"")</f>
        <v/>
      </c>
      <c r="U909" s="126" t="str">
        <f t="shared" si="92"/>
        <v/>
      </c>
      <c r="V909" s="126" t="str">
        <f t="shared" si="93"/>
        <v/>
      </c>
      <c r="W909" s="124" t="str">
        <f t="shared" si="94"/>
        <v/>
      </c>
      <c r="X909" s="125" t="str">
        <f t="shared" si="89"/>
        <v/>
      </c>
    </row>
    <row r="910" spans="1:24" x14ac:dyDescent="0.3">
      <c r="A910" s="129"/>
      <c r="B910" s="129"/>
      <c r="C910" s="128"/>
      <c r="D910" s="128"/>
      <c r="E910" s="128"/>
      <c r="F910" s="166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6" t="str">
        <f t="shared" si="90"/>
        <v/>
      </c>
      <c r="S910" s="163" t="str">
        <f t="shared" si="91"/>
        <v/>
      </c>
      <c r="T910" s="160" t="str">
        <f>IFERROR(INDEX(当年标准成本!$I:$I,MATCH(K910,当年标准成本!$C:$C,0),1),"")</f>
        <v/>
      </c>
      <c r="U910" s="126" t="str">
        <f t="shared" si="92"/>
        <v/>
      </c>
      <c r="V910" s="126" t="str">
        <f t="shared" si="93"/>
        <v/>
      </c>
      <c r="W910" s="124" t="str">
        <f t="shared" si="94"/>
        <v/>
      </c>
      <c r="X910" s="125" t="str">
        <f t="shared" si="89"/>
        <v/>
      </c>
    </row>
    <row r="911" spans="1:24" x14ac:dyDescent="0.3">
      <c r="A911" s="129"/>
      <c r="B911" s="129"/>
      <c r="C911" s="128"/>
      <c r="D911" s="128"/>
      <c r="E911" s="128"/>
      <c r="F911" s="166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6" t="str">
        <f t="shared" si="90"/>
        <v/>
      </c>
      <c r="S911" s="163" t="str">
        <f t="shared" si="91"/>
        <v/>
      </c>
      <c r="T911" s="160" t="str">
        <f>IFERROR(INDEX(当年标准成本!$I:$I,MATCH(K911,当年标准成本!$C:$C,0),1),"")</f>
        <v/>
      </c>
      <c r="U911" s="126" t="str">
        <f t="shared" si="92"/>
        <v/>
      </c>
      <c r="V911" s="126" t="str">
        <f t="shared" si="93"/>
        <v/>
      </c>
      <c r="W911" s="124" t="str">
        <f t="shared" si="94"/>
        <v/>
      </c>
      <c r="X911" s="125" t="str">
        <f t="shared" si="89"/>
        <v/>
      </c>
    </row>
    <row r="912" spans="1:24" x14ac:dyDescent="0.3">
      <c r="A912" s="129"/>
      <c r="B912" s="129"/>
      <c r="C912" s="128"/>
      <c r="D912" s="128"/>
      <c r="E912" s="128"/>
      <c r="F912" s="166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6" t="str">
        <f t="shared" si="90"/>
        <v/>
      </c>
      <c r="S912" s="163" t="str">
        <f t="shared" si="91"/>
        <v/>
      </c>
      <c r="T912" s="160" t="str">
        <f>IFERROR(INDEX(当年标准成本!$I:$I,MATCH(K912,当年标准成本!$C:$C,0),1),"")</f>
        <v/>
      </c>
      <c r="U912" s="126" t="str">
        <f t="shared" si="92"/>
        <v/>
      </c>
      <c r="V912" s="126" t="str">
        <f t="shared" si="93"/>
        <v/>
      </c>
      <c r="W912" s="124" t="str">
        <f t="shared" si="94"/>
        <v/>
      </c>
      <c r="X912" s="125" t="str">
        <f t="shared" si="89"/>
        <v/>
      </c>
    </row>
    <row r="913" spans="1:24" x14ac:dyDescent="0.3">
      <c r="A913" s="129"/>
      <c r="B913" s="129"/>
      <c r="C913" s="128"/>
      <c r="D913" s="128"/>
      <c r="E913" s="128"/>
      <c r="F913" s="166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6" t="str">
        <f t="shared" si="90"/>
        <v/>
      </c>
      <c r="S913" s="163" t="str">
        <f t="shared" si="91"/>
        <v/>
      </c>
      <c r="T913" s="160" t="str">
        <f>IFERROR(INDEX(当年标准成本!$I:$I,MATCH(K913,当年标准成本!$C:$C,0),1),"")</f>
        <v/>
      </c>
      <c r="U913" s="126" t="str">
        <f t="shared" si="92"/>
        <v/>
      </c>
      <c r="V913" s="126" t="str">
        <f t="shared" si="93"/>
        <v/>
      </c>
      <c r="W913" s="124" t="str">
        <f t="shared" si="94"/>
        <v/>
      </c>
      <c r="X913" s="125" t="str">
        <f t="shared" si="89"/>
        <v/>
      </c>
    </row>
    <row r="914" spans="1:24" x14ac:dyDescent="0.3">
      <c r="A914" s="129"/>
      <c r="B914" s="129"/>
      <c r="C914" s="128"/>
      <c r="D914" s="128"/>
      <c r="E914" s="128"/>
      <c r="F914" s="166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6" t="str">
        <f t="shared" si="90"/>
        <v/>
      </c>
      <c r="S914" s="163" t="str">
        <f t="shared" si="91"/>
        <v/>
      </c>
      <c r="T914" s="160" t="str">
        <f>IFERROR(INDEX(当年标准成本!$I:$I,MATCH(K914,当年标准成本!$C:$C,0),1),"")</f>
        <v/>
      </c>
      <c r="U914" s="126" t="str">
        <f t="shared" si="92"/>
        <v/>
      </c>
      <c r="V914" s="126" t="str">
        <f t="shared" si="93"/>
        <v/>
      </c>
      <c r="W914" s="124" t="str">
        <f t="shared" si="94"/>
        <v/>
      </c>
      <c r="X914" s="125" t="str">
        <f t="shared" si="89"/>
        <v/>
      </c>
    </row>
    <row r="915" spans="1:24" x14ac:dyDescent="0.3">
      <c r="A915" s="129"/>
      <c r="B915" s="129"/>
      <c r="C915" s="128"/>
      <c r="D915" s="128"/>
      <c r="E915" s="128"/>
      <c r="F915" s="166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6" t="str">
        <f t="shared" si="90"/>
        <v/>
      </c>
      <c r="S915" s="163" t="str">
        <f t="shared" si="91"/>
        <v/>
      </c>
      <c r="T915" s="160" t="str">
        <f>IFERROR(INDEX(当年标准成本!$I:$I,MATCH(K915,当年标准成本!$C:$C,0),1),"")</f>
        <v/>
      </c>
      <c r="U915" s="126" t="str">
        <f t="shared" si="92"/>
        <v/>
      </c>
      <c r="V915" s="126" t="str">
        <f t="shared" si="93"/>
        <v/>
      </c>
      <c r="W915" s="124" t="str">
        <f t="shared" si="94"/>
        <v/>
      </c>
      <c r="X915" s="125" t="str">
        <f t="shared" si="89"/>
        <v/>
      </c>
    </row>
    <row r="916" spans="1:24" x14ac:dyDescent="0.3">
      <c r="A916" s="129"/>
      <c r="B916" s="129"/>
      <c r="C916" s="128"/>
      <c r="D916" s="128"/>
      <c r="E916" s="128"/>
      <c r="F916" s="166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6" t="str">
        <f t="shared" si="90"/>
        <v/>
      </c>
      <c r="S916" s="163" t="str">
        <f t="shared" si="91"/>
        <v/>
      </c>
      <c r="T916" s="160" t="str">
        <f>IFERROR(INDEX(当年标准成本!$I:$I,MATCH(K916,当年标准成本!$C:$C,0),1),"")</f>
        <v/>
      </c>
      <c r="U916" s="126" t="str">
        <f t="shared" si="92"/>
        <v/>
      </c>
      <c r="V916" s="126" t="str">
        <f t="shared" si="93"/>
        <v/>
      </c>
      <c r="W916" s="124" t="str">
        <f t="shared" si="94"/>
        <v/>
      </c>
      <c r="X916" s="125" t="str">
        <f t="shared" si="89"/>
        <v/>
      </c>
    </row>
    <row r="917" spans="1:24" x14ac:dyDescent="0.3">
      <c r="A917" s="129"/>
      <c r="B917" s="129"/>
      <c r="C917" s="128"/>
      <c r="D917" s="128"/>
      <c r="E917" s="128"/>
      <c r="F917" s="166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6" t="str">
        <f t="shared" si="90"/>
        <v/>
      </c>
      <c r="S917" s="163" t="str">
        <f t="shared" si="91"/>
        <v/>
      </c>
      <c r="T917" s="160" t="str">
        <f>IFERROR(INDEX(当年标准成本!$I:$I,MATCH(K917,当年标准成本!$C:$C,0),1),"")</f>
        <v/>
      </c>
      <c r="U917" s="126" t="str">
        <f t="shared" si="92"/>
        <v/>
      </c>
      <c r="V917" s="126" t="str">
        <f t="shared" si="93"/>
        <v/>
      </c>
      <c r="W917" s="124" t="str">
        <f t="shared" si="94"/>
        <v/>
      </c>
      <c r="X917" s="125" t="str">
        <f t="shared" si="89"/>
        <v/>
      </c>
    </row>
    <row r="918" spans="1:24" x14ac:dyDescent="0.3">
      <c r="A918" s="129"/>
      <c r="B918" s="129"/>
      <c r="C918" s="128"/>
      <c r="D918" s="128"/>
      <c r="E918" s="128"/>
      <c r="F918" s="166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6" t="str">
        <f t="shared" si="90"/>
        <v/>
      </c>
      <c r="S918" s="163" t="str">
        <f t="shared" si="91"/>
        <v/>
      </c>
      <c r="T918" s="160" t="str">
        <f>IFERROR(INDEX(当年标准成本!$I:$I,MATCH(K918,当年标准成本!$C:$C,0),1),"")</f>
        <v/>
      </c>
      <c r="U918" s="126" t="str">
        <f t="shared" si="92"/>
        <v/>
      </c>
      <c r="V918" s="126" t="str">
        <f t="shared" si="93"/>
        <v/>
      </c>
      <c r="W918" s="124" t="str">
        <f t="shared" si="94"/>
        <v/>
      </c>
      <c r="X918" s="125" t="str">
        <f t="shared" si="89"/>
        <v/>
      </c>
    </row>
    <row r="919" spans="1:24" x14ac:dyDescent="0.3">
      <c r="A919" s="129"/>
      <c r="B919" s="129"/>
      <c r="C919" s="128"/>
      <c r="D919" s="128"/>
      <c r="E919" s="128"/>
      <c r="F919" s="166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6" t="str">
        <f t="shared" si="90"/>
        <v/>
      </c>
      <c r="S919" s="163" t="str">
        <f t="shared" si="91"/>
        <v/>
      </c>
      <c r="T919" s="160" t="str">
        <f>IFERROR(INDEX(当年标准成本!$I:$I,MATCH(K919,当年标准成本!$C:$C,0),1),"")</f>
        <v/>
      </c>
      <c r="U919" s="126" t="str">
        <f t="shared" si="92"/>
        <v/>
      </c>
      <c r="V919" s="126" t="str">
        <f t="shared" si="93"/>
        <v/>
      </c>
      <c r="W919" s="124" t="str">
        <f t="shared" si="94"/>
        <v/>
      </c>
      <c r="X919" s="125" t="str">
        <f t="shared" si="89"/>
        <v/>
      </c>
    </row>
    <row r="920" spans="1:24" x14ac:dyDescent="0.3">
      <c r="A920" s="129"/>
      <c r="B920" s="129"/>
      <c r="C920" s="128"/>
      <c r="D920" s="128"/>
      <c r="E920" s="128"/>
      <c r="F920" s="166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6" t="str">
        <f t="shared" si="90"/>
        <v/>
      </c>
      <c r="S920" s="163" t="str">
        <f t="shared" si="91"/>
        <v/>
      </c>
      <c r="T920" s="160" t="str">
        <f>IFERROR(INDEX(当年标准成本!$I:$I,MATCH(K920,当年标准成本!$C:$C,0),1),"")</f>
        <v/>
      </c>
      <c r="U920" s="126" t="str">
        <f t="shared" si="92"/>
        <v/>
      </c>
      <c r="V920" s="126" t="str">
        <f t="shared" si="93"/>
        <v/>
      </c>
      <c r="W920" s="124" t="str">
        <f t="shared" si="94"/>
        <v/>
      </c>
      <c r="X920" s="125" t="str">
        <f t="shared" si="89"/>
        <v/>
      </c>
    </row>
    <row r="921" spans="1:24" x14ac:dyDescent="0.3">
      <c r="A921" s="129"/>
      <c r="B921" s="129"/>
      <c r="C921" s="128"/>
      <c r="D921" s="128"/>
      <c r="E921" s="128"/>
      <c r="F921" s="166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6" t="str">
        <f t="shared" si="90"/>
        <v/>
      </c>
      <c r="S921" s="163" t="str">
        <f t="shared" si="91"/>
        <v/>
      </c>
      <c r="T921" s="160" t="str">
        <f>IFERROR(INDEX(当年标准成本!$I:$I,MATCH(K921,当年标准成本!$C:$C,0),1),"")</f>
        <v/>
      </c>
      <c r="U921" s="126" t="str">
        <f t="shared" si="92"/>
        <v/>
      </c>
      <c r="V921" s="126" t="str">
        <f t="shared" si="93"/>
        <v/>
      </c>
      <c r="W921" s="124" t="str">
        <f t="shared" si="94"/>
        <v/>
      </c>
      <c r="X921" s="125" t="str">
        <f t="shared" si="89"/>
        <v/>
      </c>
    </row>
    <row r="922" spans="1:24" x14ac:dyDescent="0.3">
      <c r="A922" s="129"/>
      <c r="B922" s="129"/>
      <c r="C922" s="128"/>
      <c r="D922" s="128"/>
      <c r="E922" s="128"/>
      <c r="F922" s="166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6" t="str">
        <f t="shared" si="90"/>
        <v/>
      </c>
      <c r="S922" s="163" t="str">
        <f t="shared" si="91"/>
        <v/>
      </c>
      <c r="T922" s="160" t="str">
        <f>IFERROR(INDEX(当年标准成本!$I:$I,MATCH(K922,当年标准成本!$C:$C,0),1),"")</f>
        <v/>
      </c>
      <c r="U922" s="126" t="str">
        <f t="shared" si="92"/>
        <v/>
      </c>
      <c r="V922" s="126" t="str">
        <f t="shared" si="93"/>
        <v/>
      </c>
      <c r="W922" s="124" t="str">
        <f t="shared" si="94"/>
        <v/>
      </c>
      <c r="X922" s="125" t="str">
        <f t="shared" si="89"/>
        <v/>
      </c>
    </row>
    <row r="923" spans="1:24" x14ac:dyDescent="0.3">
      <c r="A923" s="129"/>
      <c r="B923" s="129"/>
      <c r="C923" s="128"/>
      <c r="D923" s="128"/>
      <c r="E923" s="128"/>
      <c r="F923" s="166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6" t="str">
        <f t="shared" si="90"/>
        <v/>
      </c>
      <c r="S923" s="163" t="str">
        <f t="shared" si="91"/>
        <v/>
      </c>
      <c r="T923" s="160" t="str">
        <f>IFERROR(INDEX(当年标准成本!$I:$I,MATCH(K923,当年标准成本!$C:$C,0),1),"")</f>
        <v/>
      </c>
      <c r="U923" s="126" t="str">
        <f t="shared" si="92"/>
        <v/>
      </c>
      <c r="V923" s="126" t="str">
        <f t="shared" si="93"/>
        <v/>
      </c>
      <c r="W923" s="124" t="str">
        <f t="shared" si="94"/>
        <v/>
      </c>
      <c r="X923" s="125" t="str">
        <f t="shared" si="89"/>
        <v/>
      </c>
    </row>
    <row r="924" spans="1:24" x14ac:dyDescent="0.3">
      <c r="A924" s="129"/>
      <c r="B924" s="129"/>
      <c r="C924" s="128"/>
      <c r="D924" s="128"/>
      <c r="E924" s="128"/>
      <c r="F924" s="166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6" t="str">
        <f t="shared" si="90"/>
        <v/>
      </c>
      <c r="S924" s="163" t="str">
        <f t="shared" si="91"/>
        <v/>
      </c>
      <c r="T924" s="160" t="str">
        <f>IFERROR(INDEX(当年标准成本!$I:$I,MATCH(K924,当年标准成本!$C:$C,0),1),"")</f>
        <v/>
      </c>
      <c r="U924" s="126" t="str">
        <f t="shared" si="92"/>
        <v/>
      </c>
      <c r="V924" s="126" t="str">
        <f t="shared" si="93"/>
        <v/>
      </c>
      <c r="W924" s="124" t="str">
        <f t="shared" si="94"/>
        <v/>
      </c>
      <c r="X924" s="125" t="str">
        <f t="shared" si="89"/>
        <v/>
      </c>
    </row>
    <row r="925" spans="1:24" x14ac:dyDescent="0.3">
      <c r="A925" s="129"/>
      <c r="B925" s="129"/>
      <c r="C925" s="128"/>
      <c r="D925" s="128"/>
      <c r="E925" s="128"/>
      <c r="F925" s="166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6" t="str">
        <f t="shared" si="90"/>
        <v/>
      </c>
      <c r="S925" s="163" t="str">
        <f t="shared" si="91"/>
        <v/>
      </c>
      <c r="T925" s="160" t="str">
        <f>IFERROR(INDEX(当年标准成本!$I:$I,MATCH(K925,当年标准成本!$C:$C,0),1),"")</f>
        <v/>
      </c>
      <c r="U925" s="126" t="str">
        <f t="shared" si="92"/>
        <v/>
      </c>
      <c r="V925" s="126" t="str">
        <f t="shared" si="93"/>
        <v/>
      </c>
      <c r="W925" s="124" t="str">
        <f t="shared" si="94"/>
        <v/>
      </c>
      <c r="X925" s="125" t="str">
        <f t="shared" si="89"/>
        <v/>
      </c>
    </row>
    <row r="926" spans="1:24" x14ac:dyDescent="0.3">
      <c r="A926" s="129"/>
      <c r="B926" s="129"/>
      <c r="C926" s="128"/>
      <c r="D926" s="128"/>
      <c r="E926" s="128"/>
      <c r="F926" s="166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6" t="str">
        <f t="shared" si="90"/>
        <v/>
      </c>
      <c r="S926" s="163" t="str">
        <f t="shared" si="91"/>
        <v/>
      </c>
      <c r="T926" s="160" t="str">
        <f>IFERROR(INDEX(当年标准成本!$I:$I,MATCH(K926,当年标准成本!$C:$C,0),1),"")</f>
        <v/>
      </c>
      <c r="U926" s="126" t="str">
        <f t="shared" si="92"/>
        <v/>
      </c>
      <c r="V926" s="126" t="str">
        <f t="shared" si="93"/>
        <v/>
      </c>
      <c r="W926" s="124" t="str">
        <f t="shared" si="94"/>
        <v/>
      </c>
      <c r="X926" s="125" t="str">
        <f t="shared" si="89"/>
        <v/>
      </c>
    </row>
    <row r="927" spans="1:24" x14ac:dyDescent="0.3">
      <c r="A927" s="129"/>
      <c r="B927" s="129"/>
      <c r="C927" s="128"/>
      <c r="D927" s="128"/>
      <c r="E927" s="128"/>
      <c r="F927" s="166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6" t="str">
        <f t="shared" si="90"/>
        <v/>
      </c>
      <c r="S927" s="163" t="str">
        <f t="shared" si="91"/>
        <v/>
      </c>
      <c r="T927" s="160" t="str">
        <f>IFERROR(INDEX(当年标准成本!$I:$I,MATCH(K927,当年标准成本!$C:$C,0),1),"")</f>
        <v/>
      </c>
      <c r="U927" s="126" t="str">
        <f t="shared" si="92"/>
        <v/>
      </c>
      <c r="V927" s="126" t="str">
        <f t="shared" si="93"/>
        <v/>
      </c>
      <c r="W927" s="124" t="str">
        <f t="shared" si="94"/>
        <v/>
      </c>
      <c r="X927" s="125" t="str">
        <f t="shared" si="89"/>
        <v/>
      </c>
    </row>
    <row r="928" spans="1:24" x14ac:dyDescent="0.3">
      <c r="A928" s="129"/>
      <c r="B928" s="129"/>
      <c r="C928" s="128"/>
      <c r="D928" s="128"/>
      <c r="E928" s="128"/>
      <c r="F928" s="166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6" t="str">
        <f t="shared" si="90"/>
        <v/>
      </c>
      <c r="S928" s="163" t="str">
        <f t="shared" si="91"/>
        <v/>
      </c>
      <c r="T928" s="160" t="str">
        <f>IFERROR(INDEX(当年标准成本!$I:$I,MATCH(K928,当年标准成本!$C:$C,0),1),"")</f>
        <v/>
      </c>
      <c r="U928" s="126" t="str">
        <f t="shared" si="92"/>
        <v/>
      </c>
      <c r="V928" s="126" t="str">
        <f t="shared" si="93"/>
        <v/>
      </c>
      <c r="W928" s="124" t="str">
        <f t="shared" si="94"/>
        <v/>
      </c>
      <c r="X928" s="125" t="str">
        <f t="shared" si="89"/>
        <v/>
      </c>
    </row>
    <row r="929" spans="1:24" x14ac:dyDescent="0.3">
      <c r="A929" s="129"/>
      <c r="B929" s="129"/>
      <c r="C929" s="128"/>
      <c r="D929" s="128"/>
      <c r="E929" s="128"/>
      <c r="F929" s="166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6" t="str">
        <f t="shared" si="90"/>
        <v/>
      </c>
      <c r="S929" s="163" t="str">
        <f t="shared" si="91"/>
        <v/>
      </c>
      <c r="T929" s="160" t="str">
        <f>IFERROR(INDEX(当年标准成本!$I:$I,MATCH(K929,当年标准成本!$C:$C,0),1),"")</f>
        <v/>
      </c>
      <c r="U929" s="126" t="str">
        <f t="shared" si="92"/>
        <v/>
      </c>
      <c r="V929" s="126" t="str">
        <f t="shared" si="93"/>
        <v/>
      </c>
      <c r="W929" s="124" t="str">
        <f t="shared" si="94"/>
        <v/>
      </c>
      <c r="X929" s="125" t="str">
        <f t="shared" si="89"/>
        <v/>
      </c>
    </row>
    <row r="930" spans="1:24" x14ac:dyDescent="0.3">
      <c r="A930" s="129"/>
      <c r="B930" s="129"/>
      <c r="C930" s="128"/>
      <c r="D930" s="128"/>
      <c r="E930" s="128"/>
      <c r="F930" s="166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6" t="str">
        <f t="shared" si="90"/>
        <v/>
      </c>
      <c r="S930" s="163" t="str">
        <f t="shared" si="91"/>
        <v/>
      </c>
      <c r="T930" s="160" t="str">
        <f>IFERROR(INDEX(当年标准成本!$I:$I,MATCH(K930,当年标准成本!$C:$C,0),1),"")</f>
        <v/>
      </c>
      <c r="U930" s="126" t="str">
        <f t="shared" si="92"/>
        <v/>
      </c>
      <c r="V930" s="126" t="str">
        <f t="shared" si="93"/>
        <v/>
      </c>
      <c r="W930" s="124" t="str">
        <f t="shared" si="94"/>
        <v/>
      </c>
      <c r="X930" s="125" t="str">
        <f t="shared" si="89"/>
        <v/>
      </c>
    </row>
    <row r="931" spans="1:24" x14ac:dyDescent="0.3">
      <c r="A931" s="129"/>
      <c r="B931" s="129"/>
      <c r="C931" s="128"/>
      <c r="D931" s="128"/>
      <c r="E931" s="128"/>
      <c r="F931" s="166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6" t="str">
        <f t="shared" si="90"/>
        <v/>
      </c>
      <c r="S931" s="163" t="str">
        <f t="shared" si="91"/>
        <v/>
      </c>
      <c r="T931" s="160" t="str">
        <f>IFERROR(INDEX(当年标准成本!$I:$I,MATCH(K931,当年标准成本!$C:$C,0),1),"")</f>
        <v/>
      </c>
      <c r="U931" s="126" t="str">
        <f t="shared" si="92"/>
        <v/>
      </c>
      <c r="V931" s="126" t="str">
        <f t="shared" si="93"/>
        <v/>
      </c>
      <c r="W931" s="124" t="str">
        <f t="shared" si="94"/>
        <v/>
      </c>
      <c r="X931" s="125" t="str">
        <f t="shared" si="89"/>
        <v/>
      </c>
    </row>
    <row r="932" spans="1:24" x14ac:dyDescent="0.3">
      <c r="A932" s="129"/>
      <c r="B932" s="129"/>
      <c r="C932" s="128"/>
      <c r="D932" s="128"/>
      <c r="E932" s="128"/>
      <c r="F932" s="166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6" t="str">
        <f t="shared" si="90"/>
        <v/>
      </c>
      <c r="S932" s="163" t="str">
        <f t="shared" si="91"/>
        <v/>
      </c>
      <c r="T932" s="160" t="str">
        <f>IFERROR(INDEX(当年标准成本!$I:$I,MATCH(K932,当年标准成本!$C:$C,0),1),"")</f>
        <v/>
      </c>
      <c r="U932" s="126" t="str">
        <f t="shared" si="92"/>
        <v/>
      </c>
      <c r="V932" s="126" t="str">
        <f t="shared" si="93"/>
        <v/>
      </c>
      <c r="W932" s="124" t="str">
        <f t="shared" si="94"/>
        <v/>
      </c>
      <c r="X932" s="125" t="str">
        <f t="shared" si="89"/>
        <v/>
      </c>
    </row>
    <row r="933" spans="1:24" x14ac:dyDescent="0.3">
      <c r="A933" s="129"/>
      <c r="B933" s="129"/>
      <c r="C933" s="128"/>
      <c r="D933" s="128"/>
      <c r="E933" s="128"/>
      <c r="F933" s="166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6" t="str">
        <f t="shared" si="90"/>
        <v/>
      </c>
      <c r="S933" s="163" t="str">
        <f t="shared" si="91"/>
        <v/>
      </c>
      <c r="T933" s="160" t="str">
        <f>IFERROR(INDEX(当年标准成本!$I:$I,MATCH(K933,当年标准成本!$C:$C,0),1),"")</f>
        <v/>
      </c>
      <c r="U933" s="126" t="str">
        <f t="shared" si="92"/>
        <v/>
      </c>
      <c r="V933" s="126" t="str">
        <f t="shared" si="93"/>
        <v/>
      </c>
      <c r="W933" s="124" t="str">
        <f t="shared" si="94"/>
        <v/>
      </c>
      <c r="X933" s="125" t="str">
        <f t="shared" si="89"/>
        <v/>
      </c>
    </row>
    <row r="934" spans="1:24" x14ac:dyDescent="0.3">
      <c r="A934" s="129"/>
      <c r="B934" s="129"/>
      <c r="C934" s="128"/>
      <c r="D934" s="128"/>
      <c r="E934" s="128"/>
      <c r="F934" s="166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6" t="str">
        <f t="shared" si="90"/>
        <v/>
      </c>
      <c r="S934" s="163" t="str">
        <f t="shared" si="91"/>
        <v/>
      </c>
      <c r="T934" s="160" t="str">
        <f>IFERROR(INDEX(当年标准成本!$I:$I,MATCH(K934,当年标准成本!$C:$C,0),1),"")</f>
        <v/>
      </c>
      <c r="U934" s="126" t="str">
        <f t="shared" si="92"/>
        <v/>
      </c>
      <c r="V934" s="126" t="str">
        <f t="shared" si="93"/>
        <v/>
      </c>
      <c r="W934" s="124" t="str">
        <f t="shared" si="94"/>
        <v/>
      </c>
      <c r="X934" s="125" t="str">
        <f t="shared" si="89"/>
        <v/>
      </c>
    </row>
    <row r="935" spans="1:24" x14ac:dyDescent="0.3">
      <c r="A935" s="129"/>
      <c r="B935" s="129"/>
      <c r="C935" s="128"/>
      <c r="D935" s="128"/>
      <c r="E935" s="128"/>
      <c r="F935" s="166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6" t="str">
        <f t="shared" si="90"/>
        <v/>
      </c>
      <c r="S935" s="163" t="str">
        <f t="shared" si="91"/>
        <v/>
      </c>
      <c r="T935" s="160" t="str">
        <f>IFERROR(INDEX(当年标准成本!$I:$I,MATCH(K935,当年标准成本!$C:$C,0),1),"")</f>
        <v/>
      </c>
      <c r="U935" s="126" t="str">
        <f t="shared" si="92"/>
        <v/>
      </c>
      <c r="V935" s="126" t="str">
        <f t="shared" si="93"/>
        <v/>
      </c>
      <c r="W935" s="124" t="str">
        <f t="shared" si="94"/>
        <v/>
      </c>
      <c r="X935" s="125" t="str">
        <f t="shared" si="89"/>
        <v/>
      </c>
    </row>
    <row r="936" spans="1:24" x14ac:dyDescent="0.3">
      <c r="A936" s="129"/>
      <c r="B936" s="129"/>
      <c r="C936" s="128"/>
      <c r="D936" s="128"/>
      <c r="E936" s="128"/>
      <c r="F936" s="166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6" t="str">
        <f t="shared" si="90"/>
        <v/>
      </c>
      <c r="S936" s="163" t="str">
        <f t="shared" si="91"/>
        <v/>
      </c>
      <c r="T936" s="160" t="str">
        <f>IFERROR(INDEX(当年标准成本!$I:$I,MATCH(K936,当年标准成本!$C:$C,0),1),"")</f>
        <v/>
      </c>
      <c r="U936" s="126" t="str">
        <f t="shared" si="92"/>
        <v/>
      </c>
      <c r="V936" s="126" t="str">
        <f t="shared" si="93"/>
        <v/>
      </c>
      <c r="W936" s="124" t="str">
        <f t="shared" si="94"/>
        <v/>
      </c>
      <c r="X936" s="125" t="str">
        <f t="shared" si="89"/>
        <v/>
      </c>
    </row>
    <row r="937" spans="1:24" x14ac:dyDescent="0.3">
      <c r="A937" s="129"/>
      <c r="B937" s="129"/>
      <c r="C937" s="128"/>
      <c r="D937" s="128"/>
      <c r="E937" s="128"/>
      <c r="F937" s="166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6" t="str">
        <f t="shared" si="90"/>
        <v/>
      </c>
      <c r="S937" s="163" t="str">
        <f t="shared" si="91"/>
        <v/>
      </c>
      <c r="T937" s="160" t="str">
        <f>IFERROR(INDEX(当年标准成本!$I:$I,MATCH(K937,当年标准成本!$C:$C,0),1),"")</f>
        <v/>
      </c>
      <c r="U937" s="126" t="str">
        <f t="shared" si="92"/>
        <v/>
      </c>
      <c r="V937" s="126" t="str">
        <f t="shared" si="93"/>
        <v/>
      </c>
      <c r="W937" s="124" t="str">
        <f t="shared" si="94"/>
        <v/>
      </c>
      <c r="X937" s="125" t="str">
        <f t="shared" si="89"/>
        <v/>
      </c>
    </row>
    <row r="938" spans="1:24" x14ac:dyDescent="0.3">
      <c r="A938" s="129"/>
      <c r="B938" s="129"/>
      <c r="C938" s="128"/>
      <c r="D938" s="128"/>
      <c r="E938" s="128"/>
      <c r="F938" s="166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6" t="str">
        <f t="shared" si="90"/>
        <v/>
      </c>
      <c r="S938" s="163" t="str">
        <f t="shared" si="91"/>
        <v/>
      </c>
      <c r="T938" s="160" t="str">
        <f>IFERROR(INDEX(当年标准成本!$I:$I,MATCH(K938,当年标准成本!$C:$C,0),1),"")</f>
        <v/>
      </c>
      <c r="U938" s="126" t="str">
        <f t="shared" si="92"/>
        <v/>
      </c>
      <c r="V938" s="126" t="str">
        <f t="shared" si="93"/>
        <v/>
      </c>
      <c r="W938" s="124" t="str">
        <f t="shared" si="94"/>
        <v/>
      </c>
      <c r="X938" s="125" t="str">
        <f t="shared" si="89"/>
        <v/>
      </c>
    </row>
    <row r="939" spans="1:24" x14ac:dyDescent="0.3">
      <c r="A939" s="129"/>
      <c r="B939" s="129"/>
      <c r="C939" s="128"/>
      <c r="D939" s="128"/>
      <c r="E939" s="128"/>
      <c r="F939" s="166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6" t="str">
        <f t="shared" si="90"/>
        <v/>
      </c>
      <c r="S939" s="163" t="str">
        <f t="shared" si="91"/>
        <v/>
      </c>
      <c r="T939" s="160" t="str">
        <f>IFERROR(INDEX(当年标准成本!$I:$I,MATCH(K939,当年标准成本!$C:$C,0),1),"")</f>
        <v/>
      </c>
      <c r="U939" s="126" t="str">
        <f t="shared" si="92"/>
        <v/>
      </c>
      <c r="V939" s="126" t="str">
        <f t="shared" si="93"/>
        <v/>
      </c>
      <c r="W939" s="124" t="str">
        <f t="shared" si="94"/>
        <v/>
      </c>
      <c r="X939" s="125" t="str">
        <f t="shared" si="89"/>
        <v/>
      </c>
    </row>
    <row r="940" spans="1:24" x14ac:dyDescent="0.3">
      <c r="A940" s="129"/>
      <c r="B940" s="129"/>
      <c r="C940" s="128"/>
      <c r="D940" s="128"/>
      <c r="E940" s="128"/>
      <c r="F940" s="166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6" t="str">
        <f t="shared" si="90"/>
        <v/>
      </c>
      <c r="S940" s="163" t="str">
        <f t="shared" si="91"/>
        <v/>
      </c>
      <c r="T940" s="160" t="str">
        <f>IFERROR(INDEX(当年标准成本!$I:$I,MATCH(K940,当年标准成本!$C:$C,0),1),"")</f>
        <v/>
      </c>
      <c r="U940" s="126" t="str">
        <f t="shared" si="92"/>
        <v/>
      </c>
      <c r="V940" s="126" t="str">
        <f t="shared" si="93"/>
        <v/>
      </c>
      <c r="W940" s="124" t="str">
        <f t="shared" si="94"/>
        <v/>
      </c>
      <c r="X940" s="125" t="str">
        <f t="shared" si="89"/>
        <v/>
      </c>
    </row>
    <row r="941" spans="1:24" x14ac:dyDescent="0.3">
      <c r="A941" s="129"/>
      <c r="B941" s="129"/>
      <c r="C941" s="128"/>
      <c r="D941" s="128"/>
      <c r="E941" s="128"/>
      <c r="F941" s="166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6" t="str">
        <f t="shared" si="90"/>
        <v/>
      </c>
      <c r="S941" s="163" t="str">
        <f t="shared" si="91"/>
        <v/>
      </c>
      <c r="T941" s="160" t="str">
        <f>IFERROR(INDEX(当年标准成本!$I:$I,MATCH(K941,当年标准成本!$C:$C,0),1),"")</f>
        <v/>
      </c>
      <c r="U941" s="126" t="str">
        <f t="shared" si="92"/>
        <v/>
      </c>
      <c r="V941" s="126" t="str">
        <f t="shared" si="93"/>
        <v/>
      </c>
      <c r="W941" s="124" t="str">
        <f t="shared" si="94"/>
        <v/>
      </c>
      <c r="X941" s="125" t="str">
        <f t="shared" si="89"/>
        <v/>
      </c>
    </row>
    <row r="942" spans="1:24" x14ac:dyDescent="0.3">
      <c r="A942" s="129"/>
      <c r="B942" s="129"/>
      <c r="C942" s="128"/>
      <c r="D942" s="128"/>
      <c r="E942" s="128"/>
      <c r="F942" s="166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6" t="str">
        <f t="shared" si="90"/>
        <v/>
      </c>
      <c r="S942" s="163" t="str">
        <f t="shared" si="91"/>
        <v/>
      </c>
      <c r="T942" s="160" t="str">
        <f>IFERROR(INDEX(当年标准成本!$I:$I,MATCH(K942,当年标准成本!$C:$C,0),1),"")</f>
        <v/>
      </c>
      <c r="U942" s="126" t="str">
        <f t="shared" si="92"/>
        <v/>
      </c>
      <c r="V942" s="126" t="str">
        <f t="shared" si="93"/>
        <v/>
      </c>
      <c r="W942" s="124" t="str">
        <f t="shared" si="94"/>
        <v/>
      </c>
      <c r="X942" s="125" t="str">
        <f t="shared" si="89"/>
        <v/>
      </c>
    </row>
    <row r="943" spans="1:24" x14ac:dyDescent="0.3">
      <c r="A943" s="129"/>
      <c r="B943" s="129"/>
      <c r="C943" s="128"/>
      <c r="D943" s="128"/>
      <c r="E943" s="128"/>
      <c r="F943" s="166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6" t="str">
        <f t="shared" si="90"/>
        <v/>
      </c>
      <c r="S943" s="163" t="str">
        <f t="shared" si="91"/>
        <v/>
      </c>
      <c r="T943" s="160" t="str">
        <f>IFERROR(INDEX(当年标准成本!$I:$I,MATCH(K943,当年标准成本!$C:$C,0),1),"")</f>
        <v/>
      </c>
      <c r="U943" s="126" t="str">
        <f t="shared" si="92"/>
        <v/>
      </c>
      <c r="V943" s="126" t="str">
        <f t="shared" si="93"/>
        <v/>
      </c>
      <c r="W943" s="124" t="str">
        <f t="shared" si="94"/>
        <v/>
      </c>
      <c r="X943" s="125" t="str">
        <f t="shared" si="89"/>
        <v/>
      </c>
    </row>
    <row r="944" spans="1:24" x14ac:dyDescent="0.3">
      <c r="A944" s="129"/>
      <c r="B944" s="129"/>
      <c r="C944" s="128"/>
      <c r="D944" s="128"/>
      <c r="E944" s="128"/>
      <c r="F944" s="166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6" t="str">
        <f t="shared" si="90"/>
        <v/>
      </c>
      <c r="S944" s="163" t="str">
        <f t="shared" si="91"/>
        <v/>
      </c>
      <c r="T944" s="160" t="str">
        <f>IFERROR(INDEX(当年标准成本!$I:$I,MATCH(K944,当年标准成本!$C:$C,0),1),"")</f>
        <v/>
      </c>
      <c r="U944" s="126" t="str">
        <f t="shared" si="92"/>
        <v/>
      </c>
      <c r="V944" s="126" t="str">
        <f t="shared" si="93"/>
        <v/>
      </c>
      <c r="W944" s="124" t="str">
        <f t="shared" si="94"/>
        <v/>
      </c>
      <c r="X944" s="125" t="str">
        <f t="shared" si="89"/>
        <v/>
      </c>
    </row>
    <row r="945" spans="1:24" x14ac:dyDescent="0.3">
      <c r="A945" s="129"/>
      <c r="B945" s="129"/>
      <c r="C945" s="128"/>
      <c r="D945" s="128"/>
      <c r="E945" s="128"/>
      <c r="F945" s="166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6" t="str">
        <f t="shared" si="90"/>
        <v/>
      </c>
      <c r="S945" s="163" t="str">
        <f t="shared" si="91"/>
        <v/>
      </c>
      <c r="T945" s="160" t="str">
        <f>IFERROR(INDEX(当年标准成本!$I:$I,MATCH(K945,当年标准成本!$C:$C,0),1),"")</f>
        <v/>
      </c>
      <c r="U945" s="126" t="str">
        <f t="shared" si="92"/>
        <v/>
      </c>
      <c r="V945" s="126" t="str">
        <f t="shared" si="93"/>
        <v/>
      </c>
      <c r="W945" s="124" t="str">
        <f t="shared" si="94"/>
        <v/>
      </c>
      <c r="X945" s="125" t="str">
        <f t="shared" si="89"/>
        <v/>
      </c>
    </row>
    <row r="946" spans="1:24" x14ac:dyDescent="0.3">
      <c r="A946" s="129"/>
      <c r="B946" s="129"/>
      <c r="C946" s="128"/>
      <c r="D946" s="128"/>
      <c r="E946" s="128"/>
      <c r="F946" s="166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6" t="str">
        <f t="shared" si="90"/>
        <v/>
      </c>
      <c r="S946" s="163" t="str">
        <f t="shared" si="91"/>
        <v/>
      </c>
      <c r="T946" s="160" t="str">
        <f>IFERROR(INDEX(当年标准成本!$I:$I,MATCH(K946,当年标准成本!$C:$C,0),1),"")</f>
        <v/>
      </c>
      <c r="U946" s="126" t="str">
        <f t="shared" si="92"/>
        <v/>
      </c>
      <c r="V946" s="126" t="str">
        <f t="shared" si="93"/>
        <v/>
      </c>
      <c r="W946" s="124" t="str">
        <f t="shared" si="94"/>
        <v/>
      </c>
      <c r="X946" s="125" t="str">
        <f t="shared" si="89"/>
        <v/>
      </c>
    </row>
    <row r="947" spans="1:24" x14ac:dyDescent="0.3">
      <c r="A947" s="129"/>
      <c r="B947" s="129"/>
      <c r="C947" s="128"/>
      <c r="D947" s="128"/>
      <c r="E947" s="128"/>
      <c r="F947" s="166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6" t="str">
        <f t="shared" si="90"/>
        <v/>
      </c>
      <c r="S947" s="163" t="str">
        <f t="shared" si="91"/>
        <v/>
      </c>
      <c r="T947" s="160" t="str">
        <f>IFERROR(INDEX(当年标准成本!$I:$I,MATCH(K947,当年标准成本!$C:$C,0),1),"")</f>
        <v/>
      </c>
      <c r="U947" s="126" t="str">
        <f t="shared" si="92"/>
        <v/>
      </c>
      <c r="V947" s="126" t="str">
        <f t="shared" si="93"/>
        <v/>
      </c>
      <c r="W947" s="124" t="str">
        <f t="shared" si="94"/>
        <v/>
      </c>
      <c r="X947" s="125" t="str">
        <f t="shared" si="89"/>
        <v/>
      </c>
    </row>
    <row r="948" spans="1:24" x14ac:dyDescent="0.3">
      <c r="A948" s="129"/>
      <c r="B948" s="129"/>
      <c r="C948" s="128"/>
      <c r="D948" s="128"/>
      <c r="E948" s="128"/>
      <c r="F948" s="166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6" t="str">
        <f t="shared" si="90"/>
        <v/>
      </c>
      <c r="S948" s="163" t="str">
        <f t="shared" si="91"/>
        <v/>
      </c>
      <c r="T948" s="160" t="str">
        <f>IFERROR(INDEX(当年标准成本!$I:$I,MATCH(K948,当年标准成本!$C:$C,0),1),"")</f>
        <v/>
      </c>
      <c r="U948" s="126" t="str">
        <f t="shared" si="92"/>
        <v/>
      </c>
      <c r="V948" s="126" t="str">
        <f t="shared" si="93"/>
        <v/>
      </c>
      <c r="W948" s="124" t="str">
        <f t="shared" si="94"/>
        <v/>
      </c>
      <c r="X948" s="125" t="str">
        <f t="shared" si="89"/>
        <v/>
      </c>
    </row>
    <row r="949" spans="1:24" x14ac:dyDescent="0.3">
      <c r="A949" s="129"/>
      <c r="B949" s="129"/>
      <c r="C949" s="128"/>
      <c r="D949" s="128"/>
      <c r="E949" s="128"/>
      <c r="F949" s="166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6" t="str">
        <f t="shared" si="90"/>
        <v/>
      </c>
      <c r="S949" s="163" t="str">
        <f t="shared" si="91"/>
        <v/>
      </c>
      <c r="T949" s="160" t="str">
        <f>IFERROR(INDEX(当年标准成本!$I:$I,MATCH(K949,当年标准成本!$C:$C,0),1),"")</f>
        <v/>
      </c>
      <c r="U949" s="126" t="str">
        <f t="shared" si="92"/>
        <v/>
      </c>
      <c r="V949" s="126" t="str">
        <f t="shared" si="93"/>
        <v/>
      </c>
      <c r="W949" s="124" t="str">
        <f t="shared" si="94"/>
        <v/>
      </c>
      <c r="X949" s="125" t="str">
        <f t="shared" si="89"/>
        <v/>
      </c>
    </row>
    <row r="950" spans="1:24" x14ac:dyDescent="0.3">
      <c r="A950" s="129"/>
      <c r="B950" s="129"/>
      <c r="C950" s="128"/>
      <c r="D950" s="128"/>
      <c r="E950" s="128"/>
      <c r="F950" s="166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6" t="str">
        <f t="shared" si="90"/>
        <v/>
      </c>
      <c r="S950" s="163" t="str">
        <f t="shared" si="91"/>
        <v/>
      </c>
      <c r="T950" s="160" t="str">
        <f>IFERROR(INDEX(当年标准成本!$I:$I,MATCH(K950,当年标准成本!$C:$C,0),1),"")</f>
        <v/>
      </c>
      <c r="U950" s="126" t="str">
        <f t="shared" si="92"/>
        <v/>
      </c>
      <c r="V950" s="126" t="str">
        <f t="shared" si="93"/>
        <v/>
      </c>
      <c r="W950" s="124" t="str">
        <f t="shared" si="94"/>
        <v/>
      </c>
      <c r="X950" s="125" t="str">
        <f t="shared" si="89"/>
        <v/>
      </c>
    </row>
    <row r="951" spans="1:24" x14ac:dyDescent="0.3">
      <c r="A951" s="129"/>
      <c r="B951" s="129"/>
      <c r="C951" s="128"/>
      <c r="D951" s="128"/>
      <c r="E951" s="128"/>
      <c r="F951" s="166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6" t="str">
        <f t="shared" si="90"/>
        <v/>
      </c>
      <c r="S951" s="163" t="str">
        <f t="shared" si="91"/>
        <v/>
      </c>
      <c r="T951" s="160" t="str">
        <f>IFERROR(INDEX(当年标准成本!$I:$I,MATCH(K951,当年标准成本!$C:$C,0),1),"")</f>
        <v/>
      </c>
      <c r="U951" s="126" t="str">
        <f t="shared" si="92"/>
        <v/>
      </c>
      <c r="V951" s="126" t="str">
        <f t="shared" si="93"/>
        <v/>
      </c>
      <c r="W951" s="124" t="str">
        <f t="shared" si="94"/>
        <v/>
      </c>
      <c r="X951" s="125" t="str">
        <f t="shared" si="89"/>
        <v/>
      </c>
    </row>
    <row r="952" spans="1:24" x14ac:dyDescent="0.3">
      <c r="A952" s="129"/>
      <c r="B952" s="129"/>
      <c r="C952" s="128"/>
      <c r="D952" s="128"/>
      <c r="E952" s="128"/>
      <c r="F952" s="166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6" t="str">
        <f t="shared" si="90"/>
        <v/>
      </c>
      <c r="S952" s="163" t="str">
        <f t="shared" si="91"/>
        <v/>
      </c>
      <c r="T952" s="160" t="str">
        <f>IFERROR(INDEX(当年标准成本!$I:$I,MATCH(K952,当年标准成本!$C:$C,0),1),"")</f>
        <v/>
      </c>
      <c r="U952" s="126" t="str">
        <f t="shared" si="92"/>
        <v/>
      </c>
      <c r="V952" s="126" t="str">
        <f t="shared" si="93"/>
        <v/>
      </c>
      <c r="W952" s="124" t="str">
        <f t="shared" si="94"/>
        <v/>
      </c>
      <c r="X952" s="125" t="str">
        <f t="shared" si="89"/>
        <v/>
      </c>
    </row>
    <row r="953" spans="1:24" x14ac:dyDescent="0.3">
      <c r="A953" s="129"/>
      <c r="B953" s="129"/>
      <c r="C953" s="128"/>
      <c r="D953" s="128"/>
      <c r="E953" s="128"/>
      <c r="F953" s="166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6" t="str">
        <f t="shared" si="90"/>
        <v/>
      </c>
      <c r="S953" s="163" t="str">
        <f t="shared" si="91"/>
        <v/>
      </c>
      <c r="T953" s="160" t="str">
        <f>IFERROR(INDEX(当年标准成本!$I:$I,MATCH(K953,当年标准成本!$C:$C,0),1),"")</f>
        <v/>
      </c>
      <c r="U953" s="126" t="str">
        <f t="shared" si="92"/>
        <v/>
      </c>
      <c r="V953" s="126" t="str">
        <f t="shared" si="93"/>
        <v/>
      </c>
      <c r="W953" s="124" t="str">
        <f t="shared" si="94"/>
        <v/>
      </c>
      <c r="X953" s="125" t="str">
        <f t="shared" si="89"/>
        <v/>
      </c>
    </row>
    <row r="954" spans="1:24" x14ac:dyDescent="0.3">
      <c r="A954" s="129"/>
      <c r="B954" s="129"/>
      <c r="C954" s="128"/>
      <c r="D954" s="128"/>
      <c r="E954" s="128"/>
      <c r="F954" s="166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6" t="str">
        <f t="shared" si="90"/>
        <v/>
      </c>
      <c r="S954" s="163" t="str">
        <f t="shared" si="91"/>
        <v/>
      </c>
      <c r="T954" s="160" t="str">
        <f>IFERROR(INDEX(当年标准成本!$I:$I,MATCH(K954,当年标准成本!$C:$C,0),1),"")</f>
        <v/>
      </c>
      <c r="U954" s="126" t="str">
        <f t="shared" si="92"/>
        <v/>
      </c>
      <c r="V954" s="126" t="str">
        <f t="shared" si="93"/>
        <v/>
      </c>
      <c r="W954" s="124" t="str">
        <f t="shared" si="94"/>
        <v/>
      </c>
      <c r="X954" s="125" t="str">
        <f t="shared" si="89"/>
        <v/>
      </c>
    </row>
    <row r="955" spans="1:24" x14ac:dyDescent="0.3">
      <c r="A955" s="129"/>
      <c r="B955" s="129"/>
      <c r="C955" s="128"/>
      <c r="D955" s="128"/>
      <c r="E955" s="128"/>
      <c r="F955" s="166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6" t="str">
        <f t="shared" si="90"/>
        <v/>
      </c>
      <c r="S955" s="163" t="str">
        <f t="shared" si="91"/>
        <v/>
      </c>
      <c r="T955" s="160" t="str">
        <f>IFERROR(INDEX(当年标准成本!$I:$I,MATCH(K955,当年标准成本!$C:$C,0),1),"")</f>
        <v/>
      </c>
      <c r="U955" s="126" t="str">
        <f t="shared" si="92"/>
        <v/>
      </c>
      <c r="V955" s="126" t="str">
        <f t="shared" si="93"/>
        <v/>
      </c>
      <c r="W955" s="124" t="str">
        <f t="shared" si="94"/>
        <v/>
      </c>
      <c r="X955" s="125" t="str">
        <f t="shared" si="89"/>
        <v/>
      </c>
    </row>
    <row r="956" spans="1:24" x14ac:dyDescent="0.3">
      <c r="A956" s="129"/>
      <c r="B956" s="129"/>
      <c r="C956" s="128"/>
      <c r="D956" s="128"/>
      <c r="E956" s="128"/>
      <c r="F956" s="166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6" t="str">
        <f t="shared" si="90"/>
        <v/>
      </c>
      <c r="S956" s="163" t="str">
        <f t="shared" si="91"/>
        <v/>
      </c>
      <c r="T956" s="160" t="str">
        <f>IFERROR(INDEX(当年标准成本!$I:$I,MATCH(K956,当年标准成本!$C:$C,0),1),"")</f>
        <v/>
      </c>
      <c r="U956" s="126" t="str">
        <f t="shared" si="92"/>
        <v/>
      </c>
      <c r="V956" s="126" t="str">
        <f t="shared" si="93"/>
        <v/>
      </c>
      <c r="W956" s="124" t="str">
        <f t="shared" si="94"/>
        <v/>
      </c>
      <c r="X956" s="125" t="str">
        <f t="shared" si="89"/>
        <v/>
      </c>
    </row>
    <row r="957" spans="1:24" x14ac:dyDescent="0.3">
      <c r="A957" s="129"/>
      <c r="B957" s="129"/>
      <c r="C957" s="128"/>
      <c r="D957" s="128"/>
      <c r="E957" s="128"/>
      <c r="F957" s="166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6" t="str">
        <f t="shared" si="90"/>
        <v/>
      </c>
      <c r="S957" s="163" t="str">
        <f t="shared" si="91"/>
        <v/>
      </c>
      <c r="T957" s="160" t="str">
        <f>IFERROR(INDEX(当年标准成本!$I:$I,MATCH(K957,当年标准成本!$C:$C,0),1),"")</f>
        <v/>
      </c>
      <c r="U957" s="126" t="str">
        <f t="shared" si="92"/>
        <v/>
      </c>
      <c r="V957" s="126" t="str">
        <f t="shared" si="93"/>
        <v/>
      </c>
      <c r="W957" s="124" t="str">
        <f t="shared" si="94"/>
        <v/>
      </c>
      <c r="X957" s="125" t="str">
        <f t="shared" si="89"/>
        <v/>
      </c>
    </row>
    <row r="958" spans="1:24" x14ac:dyDescent="0.3">
      <c r="A958" s="129"/>
      <c r="B958" s="129"/>
      <c r="C958" s="128"/>
      <c r="D958" s="128"/>
      <c r="E958" s="128"/>
      <c r="F958" s="166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6" t="str">
        <f t="shared" si="90"/>
        <v/>
      </c>
      <c r="S958" s="163" t="str">
        <f t="shared" si="91"/>
        <v/>
      </c>
      <c r="T958" s="160" t="str">
        <f>IFERROR(INDEX(当年标准成本!$I:$I,MATCH(K958,当年标准成本!$C:$C,0),1),"")</f>
        <v/>
      </c>
      <c r="U958" s="126" t="str">
        <f t="shared" si="92"/>
        <v/>
      </c>
      <c r="V958" s="126" t="str">
        <f t="shared" si="93"/>
        <v/>
      </c>
      <c r="W958" s="124" t="str">
        <f t="shared" si="94"/>
        <v/>
      </c>
      <c r="X958" s="125" t="str">
        <f t="shared" si="89"/>
        <v/>
      </c>
    </row>
    <row r="959" spans="1:24" x14ac:dyDescent="0.3">
      <c r="A959" s="129"/>
      <c r="B959" s="129"/>
      <c r="C959" s="128"/>
      <c r="D959" s="128"/>
      <c r="E959" s="128"/>
      <c r="F959" s="166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6" t="str">
        <f t="shared" si="90"/>
        <v/>
      </c>
      <c r="S959" s="163" t="str">
        <f t="shared" si="91"/>
        <v/>
      </c>
      <c r="T959" s="160" t="str">
        <f>IFERROR(INDEX(当年标准成本!$I:$I,MATCH(K959,当年标准成本!$C:$C,0),1),"")</f>
        <v/>
      </c>
      <c r="U959" s="126" t="str">
        <f t="shared" si="92"/>
        <v/>
      </c>
      <c r="V959" s="126" t="str">
        <f t="shared" si="93"/>
        <v/>
      </c>
      <c r="W959" s="124" t="str">
        <f t="shared" si="94"/>
        <v/>
      </c>
      <c r="X959" s="125" t="str">
        <f t="shared" si="89"/>
        <v/>
      </c>
    </row>
    <row r="960" spans="1:24" x14ac:dyDescent="0.3">
      <c r="A960" s="129"/>
      <c r="B960" s="129"/>
      <c r="C960" s="128"/>
      <c r="D960" s="128"/>
      <c r="E960" s="128"/>
      <c r="F960" s="166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6" t="str">
        <f t="shared" si="90"/>
        <v/>
      </c>
      <c r="S960" s="163" t="str">
        <f t="shared" si="91"/>
        <v/>
      </c>
      <c r="T960" s="160" t="str">
        <f>IFERROR(INDEX(当年标准成本!$I:$I,MATCH(K960,当年标准成本!$C:$C,0),1),"")</f>
        <v/>
      </c>
      <c r="U960" s="126" t="str">
        <f t="shared" si="92"/>
        <v/>
      </c>
      <c r="V960" s="126" t="str">
        <f t="shared" si="93"/>
        <v/>
      </c>
      <c r="W960" s="124" t="str">
        <f t="shared" si="94"/>
        <v/>
      </c>
      <c r="X960" s="125" t="str">
        <f t="shared" si="89"/>
        <v/>
      </c>
    </row>
    <row r="961" spans="1:24" x14ac:dyDescent="0.3">
      <c r="A961" s="129"/>
      <c r="B961" s="129"/>
      <c r="C961" s="128"/>
      <c r="D961" s="128"/>
      <c r="E961" s="128"/>
      <c r="F961" s="166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6" t="str">
        <f t="shared" si="90"/>
        <v/>
      </c>
      <c r="S961" s="163" t="str">
        <f t="shared" si="91"/>
        <v/>
      </c>
      <c r="T961" s="160" t="str">
        <f>IFERROR(INDEX(当年标准成本!$I:$I,MATCH(K961,当年标准成本!$C:$C,0),1),"")</f>
        <v/>
      </c>
      <c r="U961" s="126" t="str">
        <f t="shared" si="92"/>
        <v/>
      </c>
      <c r="V961" s="126" t="str">
        <f t="shared" si="93"/>
        <v/>
      </c>
      <c r="W961" s="124" t="str">
        <f t="shared" si="94"/>
        <v/>
      </c>
      <c r="X961" s="125" t="str">
        <f t="shared" si="89"/>
        <v/>
      </c>
    </row>
    <row r="962" spans="1:24" x14ac:dyDescent="0.3">
      <c r="A962" s="129"/>
      <c r="B962" s="129"/>
      <c r="C962" s="128"/>
      <c r="D962" s="128"/>
      <c r="E962" s="128"/>
      <c r="F962" s="166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6" t="str">
        <f t="shared" si="90"/>
        <v/>
      </c>
      <c r="S962" s="163" t="str">
        <f t="shared" si="91"/>
        <v/>
      </c>
      <c r="T962" s="160" t="str">
        <f>IFERROR(INDEX(当年标准成本!$I:$I,MATCH(K962,当年标准成本!$C:$C,0),1),"")</f>
        <v/>
      </c>
      <c r="U962" s="126" t="str">
        <f t="shared" si="92"/>
        <v/>
      </c>
      <c r="V962" s="126" t="str">
        <f t="shared" si="93"/>
        <v/>
      </c>
      <c r="W962" s="124" t="str">
        <f t="shared" si="94"/>
        <v/>
      </c>
      <c r="X962" s="125" t="str">
        <f t="shared" ref="X962:X999" si="95">IFERROR(IF(W962/SUM(W:W)=0,"",W962/SUM(W:W)),"")</f>
        <v/>
      </c>
    </row>
    <row r="963" spans="1:24" x14ac:dyDescent="0.3">
      <c r="A963" s="129"/>
      <c r="B963" s="129"/>
      <c r="C963" s="128"/>
      <c r="D963" s="128"/>
      <c r="E963" s="128"/>
      <c r="F963" s="166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6" t="str">
        <f t="shared" si="90"/>
        <v/>
      </c>
      <c r="S963" s="163" t="str">
        <f t="shared" si="91"/>
        <v/>
      </c>
      <c r="T963" s="160" t="str">
        <f>IFERROR(INDEX(当年标准成本!$I:$I,MATCH(K963,当年标准成本!$C:$C,0),1),"")</f>
        <v/>
      </c>
      <c r="U963" s="126" t="str">
        <f t="shared" si="92"/>
        <v/>
      </c>
      <c r="V963" s="126" t="str">
        <f t="shared" si="93"/>
        <v/>
      </c>
      <c r="W963" s="124" t="str">
        <f t="shared" si="94"/>
        <v/>
      </c>
      <c r="X963" s="125" t="str">
        <f t="shared" si="95"/>
        <v/>
      </c>
    </row>
    <row r="964" spans="1:24" x14ac:dyDescent="0.3">
      <c r="A964" s="129"/>
      <c r="B964" s="129"/>
      <c r="C964" s="128"/>
      <c r="D964" s="128"/>
      <c r="E964" s="128"/>
      <c r="F964" s="166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6" t="str">
        <f t="shared" si="90"/>
        <v/>
      </c>
      <c r="S964" s="163" t="str">
        <f t="shared" si="91"/>
        <v/>
      </c>
      <c r="T964" s="160" t="str">
        <f>IFERROR(INDEX(当年标准成本!$I:$I,MATCH(K964,当年标准成本!$C:$C,0),1),"")</f>
        <v/>
      </c>
      <c r="U964" s="126" t="str">
        <f t="shared" si="92"/>
        <v/>
      </c>
      <c r="V964" s="126" t="str">
        <f t="shared" si="93"/>
        <v/>
      </c>
      <c r="W964" s="124" t="str">
        <f t="shared" si="94"/>
        <v/>
      </c>
      <c r="X964" s="125" t="str">
        <f t="shared" si="95"/>
        <v/>
      </c>
    </row>
    <row r="965" spans="1:24" x14ac:dyDescent="0.3">
      <c r="A965" s="129"/>
      <c r="B965" s="129"/>
      <c r="C965" s="128"/>
      <c r="D965" s="128"/>
      <c r="E965" s="128"/>
      <c r="F965" s="166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6" t="str">
        <f t="shared" si="90"/>
        <v/>
      </c>
      <c r="S965" s="163" t="str">
        <f t="shared" si="91"/>
        <v/>
      </c>
      <c r="T965" s="160" t="str">
        <f>IFERROR(INDEX(当年标准成本!$I:$I,MATCH(K965,当年标准成本!$C:$C,0),1),"")</f>
        <v/>
      </c>
      <c r="U965" s="126" t="str">
        <f t="shared" si="92"/>
        <v/>
      </c>
      <c r="V965" s="126" t="str">
        <f t="shared" si="93"/>
        <v/>
      </c>
      <c r="W965" s="124" t="str">
        <f t="shared" si="94"/>
        <v/>
      </c>
      <c r="X965" s="125" t="str">
        <f t="shared" si="95"/>
        <v/>
      </c>
    </row>
    <row r="966" spans="1:24" x14ac:dyDescent="0.3">
      <c r="A966" s="129"/>
      <c r="B966" s="129"/>
      <c r="C966" s="128"/>
      <c r="D966" s="128"/>
      <c r="E966" s="128"/>
      <c r="F966" s="166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6" t="str">
        <f t="shared" si="90"/>
        <v/>
      </c>
      <c r="S966" s="163" t="str">
        <f t="shared" si="91"/>
        <v/>
      </c>
      <c r="T966" s="160" t="str">
        <f>IFERROR(INDEX(当年标准成本!$I:$I,MATCH(K966,当年标准成本!$C:$C,0),1),"")</f>
        <v/>
      </c>
      <c r="U966" s="126" t="str">
        <f t="shared" si="92"/>
        <v/>
      </c>
      <c r="V966" s="126" t="str">
        <f t="shared" si="93"/>
        <v/>
      </c>
      <c r="W966" s="124" t="str">
        <f t="shared" si="94"/>
        <v/>
      </c>
      <c r="X966" s="125" t="str">
        <f t="shared" si="95"/>
        <v/>
      </c>
    </row>
    <row r="967" spans="1:24" x14ac:dyDescent="0.3">
      <c r="A967" s="129"/>
      <c r="B967" s="129"/>
      <c r="C967" s="128"/>
      <c r="D967" s="128"/>
      <c r="E967" s="128"/>
      <c r="F967" s="166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6" t="str">
        <f t="shared" si="90"/>
        <v/>
      </c>
      <c r="S967" s="163" t="str">
        <f t="shared" si="91"/>
        <v/>
      </c>
      <c r="T967" s="160" t="str">
        <f>IFERROR(INDEX(当年标准成本!$I:$I,MATCH(K967,当年标准成本!$C:$C,0),1),"")</f>
        <v/>
      </c>
      <c r="U967" s="126" t="str">
        <f t="shared" si="92"/>
        <v/>
      </c>
      <c r="V967" s="126" t="str">
        <f t="shared" si="93"/>
        <v/>
      </c>
      <c r="W967" s="124" t="str">
        <f t="shared" si="94"/>
        <v/>
      </c>
      <c r="X967" s="125" t="str">
        <f t="shared" si="95"/>
        <v/>
      </c>
    </row>
    <row r="968" spans="1:24" x14ac:dyDescent="0.3">
      <c r="A968" s="129"/>
      <c r="B968" s="129"/>
      <c r="C968" s="128"/>
      <c r="D968" s="128"/>
      <c r="E968" s="128"/>
      <c r="F968" s="166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6" t="str">
        <f t="shared" si="90"/>
        <v/>
      </c>
      <c r="S968" s="163" t="str">
        <f t="shared" si="91"/>
        <v/>
      </c>
      <c r="T968" s="160" t="str">
        <f>IFERROR(INDEX(当年标准成本!$I:$I,MATCH(K968,当年标准成本!$C:$C,0),1),"")</f>
        <v/>
      </c>
      <c r="U968" s="126" t="str">
        <f t="shared" si="92"/>
        <v/>
      </c>
      <c r="V968" s="126" t="str">
        <f t="shared" si="93"/>
        <v/>
      </c>
      <c r="W968" s="124" t="str">
        <f t="shared" si="94"/>
        <v/>
      </c>
      <c r="X968" s="125" t="str">
        <f t="shared" si="95"/>
        <v/>
      </c>
    </row>
    <row r="969" spans="1:24" x14ac:dyDescent="0.3">
      <c r="A969" s="129"/>
      <c r="B969" s="129"/>
      <c r="C969" s="128"/>
      <c r="D969" s="128"/>
      <c r="E969" s="128"/>
      <c r="F969" s="166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6" t="str">
        <f t="shared" si="90"/>
        <v/>
      </c>
      <c r="S969" s="163" t="str">
        <f t="shared" si="91"/>
        <v/>
      </c>
      <c r="T969" s="160" t="str">
        <f>IFERROR(INDEX(当年标准成本!$I:$I,MATCH(K969,当年标准成本!$C:$C,0),1),"")</f>
        <v/>
      </c>
      <c r="U969" s="126" t="str">
        <f t="shared" si="92"/>
        <v/>
      </c>
      <c r="V969" s="126" t="str">
        <f t="shared" si="93"/>
        <v/>
      </c>
      <c r="W969" s="124" t="str">
        <f t="shared" si="94"/>
        <v/>
      </c>
      <c r="X969" s="125" t="str">
        <f t="shared" si="95"/>
        <v/>
      </c>
    </row>
    <row r="970" spans="1:24" x14ac:dyDescent="0.3">
      <c r="A970" s="129"/>
      <c r="B970" s="129"/>
      <c r="C970" s="128"/>
      <c r="D970" s="128"/>
      <c r="E970" s="128"/>
      <c r="F970" s="166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6" t="str">
        <f t="shared" ref="R970:R999" si="96">IFERROR(P970/O970,"")</f>
        <v/>
      </c>
      <c r="S970" s="163" t="str">
        <f t="shared" ref="S970:S999" si="97">IFERROR(R970*(1+Q970),"")</f>
        <v/>
      </c>
      <c r="T970" s="160" t="str">
        <f>IFERROR(INDEX(当年标准成本!$I:$I,MATCH(K970,当年标准成本!$C:$C,0),1),"")</f>
        <v/>
      </c>
      <c r="U970" s="126" t="str">
        <f t="shared" ref="U970:U999" si="98">IFERROR(O970*T970,"")</f>
        <v/>
      </c>
      <c r="V970" s="126" t="str">
        <f t="shared" ref="V970:V999" si="99">IFERROR(P970-U970,"")</f>
        <v/>
      </c>
      <c r="W970" s="124" t="str">
        <f t="shared" ref="W970:W999" si="100">IFERROR(V970/P970,"")</f>
        <v/>
      </c>
      <c r="X970" s="125" t="str">
        <f t="shared" si="95"/>
        <v/>
      </c>
    </row>
    <row r="971" spans="1:24" x14ac:dyDescent="0.3">
      <c r="A971" s="129"/>
      <c r="B971" s="129"/>
      <c r="C971" s="128"/>
      <c r="D971" s="128"/>
      <c r="E971" s="128"/>
      <c r="F971" s="166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6" t="str">
        <f t="shared" si="96"/>
        <v/>
      </c>
      <c r="S971" s="163" t="str">
        <f t="shared" si="97"/>
        <v/>
      </c>
      <c r="T971" s="160" t="str">
        <f>IFERROR(INDEX(当年标准成本!$I:$I,MATCH(K971,当年标准成本!$C:$C,0),1),"")</f>
        <v/>
      </c>
      <c r="U971" s="126" t="str">
        <f t="shared" si="98"/>
        <v/>
      </c>
      <c r="V971" s="126" t="str">
        <f t="shared" si="99"/>
        <v/>
      </c>
      <c r="W971" s="124" t="str">
        <f t="shared" si="100"/>
        <v/>
      </c>
      <c r="X971" s="125" t="str">
        <f t="shared" si="95"/>
        <v/>
      </c>
    </row>
    <row r="972" spans="1:24" x14ac:dyDescent="0.3">
      <c r="A972" s="129"/>
      <c r="B972" s="129"/>
      <c r="C972" s="128"/>
      <c r="D972" s="128"/>
      <c r="E972" s="128"/>
      <c r="F972" s="166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6" t="str">
        <f t="shared" si="96"/>
        <v/>
      </c>
      <c r="S972" s="163" t="str">
        <f t="shared" si="97"/>
        <v/>
      </c>
      <c r="T972" s="160" t="str">
        <f>IFERROR(INDEX(当年标准成本!$I:$I,MATCH(K972,当年标准成本!$C:$C,0),1),"")</f>
        <v/>
      </c>
      <c r="U972" s="126" t="str">
        <f t="shared" si="98"/>
        <v/>
      </c>
      <c r="V972" s="126" t="str">
        <f t="shared" si="99"/>
        <v/>
      </c>
      <c r="W972" s="124" t="str">
        <f t="shared" si="100"/>
        <v/>
      </c>
      <c r="X972" s="125" t="str">
        <f t="shared" si="95"/>
        <v/>
      </c>
    </row>
    <row r="973" spans="1:24" x14ac:dyDescent="0.3">
      <c r="A973" s="129"/>
      <c r="B973" s="129"/>
      <c r="C973" s="128"/>
      <c r="D973" s="128"/>
      <c r="E973" s="128"/>
      <c r="F973" s="166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6" t="str">
        <f t="shared" si="96"/>
        <v/>
      </c>
      <c r="S973" s="163" t="str">
        <f t="shared" si="97"/>
        <v/>
      </c>
      <c r="T973" s="160" t="str">
        <f>IFERROR(INDEX(当年标准成本!$I:$I,MATCH(K973,当年标准成本!$C:$C,0),1),"")</f>
        <v/>
      </c>
      <c r="U973" s="126" t="str">
        <f t="shared" si="98"/>
        <v/>
      </c>
      <c r="V973" s="126" t="str">
        <f t="shared" si="99"/>
        <v/>
      </c>
      <c r="W973" s="124" t="str">
        <f t="shared" si="100"/>
        <v/>
      </c>
      <c r="X973" s="125" t="str">
        <f t="shared" si="95"/>
        <v/>
      </c>
    </row>
    <row r="974" spans="1:24" x14ac:dyDescent="0.3">
      <c r="A974" s="129"/>
      <c r="B974" s="129"/>
      <c r="C974" s="128"/>
      <c r="D974" s="128"/>
      <c r="E974" s="128"/>
      <c r="F974" s="166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6" t="str">
        <f t="shared" si="96"/>
        <v/>
      </c>
      <c r="S974" s="163" t="str">
        <f t="shared" si="97"/>
        <v/>
      </c>
      <c r="T974" s="160" t="str">
        <f>IFERROR(INDEX(当年标准成本!$I:$I,MATCH(K974,当年标准成本!$C:$C,0),1),"")</f>
        <v/>
      </c>
      <c r="U974" s="126" t="str">
        <f t="shared" si="98"/>
        <v/>
      </c>
      <c r="V974" s="126" t="str">
        <f t="shared" si="99"/>
        <v/>
      </c>
      <c r="W974" s="124" t="str">
        <f t="shared" si="100"/>
        <v/>
      </c>
      <c r="X974" s="125" t="str">
        <f t="shared" si="95"/>
        <v/>
      </c>
    </row>
    <row r="975" spans="1:24" x14ac:dyDescent="0.3">
      <c r="A975" s="129"/>
      <c r="B975" s="129"/>
      <c r="C975" s="128"/>
      <c r="D975" s="128"/>
      <c r="E975" s="128"/>
      <c r="F975" s="166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6" t="str">
        <f t="shared" si="96"/>
        <v/>
      </c>
      <c r="S975" s="163" t="str">
        <f t="shared" si="97"/>
        <v/>
      </c>
      <c r="T975" s="160" t="str">
        <f>IFERROR(INDEX(当年标准成本!$I:$I,MATCH(K975,当年标准成本!$C:$C,0),1),"")</f>
        <v/>
      </c>
      <c r="U975" s="126" t="str">
        <f t="shared" si="98"/>
        <v/>
      </c>
      <c r="V975" s="126" t="str">
        <f t="shared" si="99"/>
        <v/>
      </c>
      <c r="W975" s="124" t="str">
        <f t="shared" si="100"/>
        <v/>
      </c>
      <c r="X975" s="125" t="str">
        <f t="shared" si="95"/>
        <v/>
      </c>
    </row>
    <row r="976" spans="1:24" x14ac:dyDescent="0.3">
      <c r="A976" s="129"/>
      <c r="B976" s="129"/>
      <c r="C976" s="128"/>
      <c r="D976" s="128"/>
      <c r="E976" s="128"/>
      <c r="F976" s="166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6" t="str">
        <f t="shared" si="96"/>
        <v/>
      </c>
      <c r="S976" s="163" t="str">
        <f t="shared" si="97"/>
        <v/>
      </c>
      <c r="T976" s="160" t="str">
        <f>IFERROR(INDEX(当年标准成本!$I:$I,MATCH(K976,当年标准成本!$C:$C,0),1),"")</f>
        <v/>
      </c>
      <c r="U976" s="126" t="str">
        <f t="shared" si="98"/>
        <v/>
      </c>
      <c r="V976" s="126" t="str">
        <f t="shared" si="99"/>
        <v/>
      </c>
      <c r="W976" s="124" t="str">
        <f t="shared" si="100"/>
        <v/>
      </c>
      <c r="X976" s="125" t="str">
        <f t="shared" si="95"/>
        <v/>
      </c>
    </row>
    <row r="977" spans="1:24" x14ac:dyDescent="0.3">
      <c r="A977" s="129"/>
      <c r="B977" s="129"/>
      <c r="C977" s="128"/>
      <c r="D977" s="128"/>
      <c r="E977" s="128"/>
      <c r="F977" s="166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6" t="str">
        <f t="shared" si="96"/>
        <v/>
      </c>
      <c r="S977" s="163" t="str">
        <f t="shared" si="97"/>
        <v/>
      </c>
      <c r="T977" s="160" t="str">
        <f>IFERROR(INDEX(当年标准成本!$I:$I,MATCH(K977,当年标准成本!$C:$C,0),1),"")</f>
        <v/>
      </c>
      <c r="U977" s="126" t="str">
        <f t="shared" si="98"/>
        <v/>
      </c>
      <c r="V977" s="126" t="str">
        <f t="shared" si="99"/>
        <v/>
      </c>
      <c r="W977" s="124" t="str">
        <f t="shared" si="100"/>
        <v/>
      </c>
      <c r="X977" s="125" t="str">
        <f t="shared" si="95"/>
        <v/>
      </c>
    </row>
    <row r="978" spans="1:24" x14ac:dyDescent="0.3">
      <c r="A978" s="129"/>
      <c r="B978" s="129"/>
      <c r="C978" s="128"/>
      <c r="D978" s="128"/>
      <c r="E978" s="128"/>
      <c r="F978" s="166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6" t="str">
        <f t="shared" si="96"/>
        <v/>
      </c>
      <c r="S978" s="163" t="str">
        <f t="shared" si="97"/>
        <v/>
      </c>
      <c r="T978" s="160" t="str">
        <f>IFERROR(INDEX(当年标准成本!$I:$I,MATCH(K978,当年标准成本!$C:$C,0),1),"")</f>
        <v/>
      </c>
      <c r="U978" s="126" t="str">
        <f t="shared" si="98"/>
        <v/>
      </c>
      <c r="V978" s="126" t="str">
        <f t="shared" si="99"/>
        <v/>
      </c>
      <c r="W978" s="124" t="str">
        <f t="shared" si="100"/>
        <v/>
      </c>
      <c r="X978" s="125" t="str">
        <f t="shared" si="95"/>
        <v/>
      </c>
    </row>
    <row r="979" spans="1:24" x14ac:dyDescent="0.3">
      <c r="A979" s="129"/>
      <c r="B979" s="129"/>
      <c r="C979" s="128"/>
      <c r="D979" s="128"/>
      <c r="E979" s="128"/>
      <c r="F979" s="166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6" t="str">
        <f t="shared" si="96"/>
        <v/>
      </c>
      <c r="S979" s="163" t="str">
        <f t="shared" si="97"/>
        <v/>
      </c>
      <c r="T979" s="160" t="str">
        <f>IFERROR(INDEX(当年标准成本!$I:$I,MATCH(K979,当年标准成本!$C:$C,0),1),"")</f>
        <v/>
      </c>
      <c r="U979" s="126" t="str">
        <f t="shared" si="98"/>
        <v/>
      </c>
      <c r="V979" s="126" t="str">
        <f t="shared" si="99"/>
        <v/>
      </c>
      <c r="W979" s="124" t="str">
        <f t="shared" si="100"/>
        <v/>
      </c>
      <c r="X979" s="125" t="str">
        <f t="shared" si="95"/>
        <v/>
      </c>
    </row>
    <row r="980" spans="1:24" x14ac:dyDescent="0.3">
      <c r="A980" s="129"/>
      <c r="B980" s="129"/>
      <c r="C980" s="128"/>
      <c r="D980" s="128"/>
      <c r="E980" s="128"/>
      <c r="F980" s="166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6" t="str">
        <f t="shared" si="96"/>
        <v/>
      </c>
      <c r="S980" s="163" t="str">
        <f t="shared" si="97"/>
        <v/>
      </c>
      <c r="T980" s="160" t="str">
        <f>IFERROR(INDEX(当年标准成本!$I:$I,MATCH(K980,当年标准成本!$C:$C,0),1),"")</f>
        <v/>
      </c>
      <c r="U980" s="126" t="str">
        <f t="shared" si="98"/>
        <v/>
      </c>
      <c r="V980" s="126" t="str">
        <f t="shared" si="99"/>
        <v/>
      </c>
      <c r="W980" s="124" t="str">
        <f t="shared" si="100"/>
        <v/>
      </c>
      <c r="X980" s="125" t="str">
        <f t="shared" si="95"/>
        <v/>
      </c>
    </row>
    <row r="981" spans="1:24" x14ac:dyDescent="0.3">
      <c r="A981" s="129"/>
      <c r="B981" s="129"/>
      <c r="C981" s="128"/>
      <c r="D981" s="128"/>
      <c r="E981" s="128"/>
      <c r="F981" s="166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6" t="str">
        <f t="shared" si="96"/>
        <v/>
      </c>
      <c r="S981" s="163" t="str">
        <f t="shared" si="97"/>
        <v/>
      </c>
      <c r="T981" s="160" t="str">
        <f>IFERROR(INDEX(当年标准成本!$I:$I,MATCH(K981,当年标准成本!$C:$C,0),1),"")</f>
        <v/>
      </c>
      <c r="U981" s="126" t="str">
        <f t="shared" si="98"/>
        <v/>
      </c>
      <c r="V981" s="126" t="str">
        <f t="shared" si="99"/>
        <v/>
      </c>
      <c r="W981" s="124" t="str">
        <f t="shared" si="100"/>
        <v/>
      </c>
      <c r="X981" s="125" t="str">
        <f t="shared" si="95"/>
        <v/>
      </c>
    </row>
    <row r="982" spans="1:24" x14ac:dyDescent="0.3">
      <c r="A982" s="129"/>
      <c r="B982" s="129"/>
      <c r="C982" s="128"/>
      <c r="D982" s="128"/>
      <c r="E982" s="128"/>
      <c r="F982" s="166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6" t="str">
        <f t="shared" si="96"/>
        <v/>
      </c>
      <c r="S982" s="163" t="str">
        <f t="shared" si="97"/>
        <v/>
      </c>
      <c r="T982" s="160" t="str">
        <f>IFERROR(INDEX(当年标准成本!$I:$I,MATCH(K982,当年标准成本!$C:$C,0),1),"")</f>
        <v/>
      </c>
      <c r="U982" s="126" t="str">
        <f t="shared" si="98"/>
        <v/>
      </c>
      <c r="V982" s="126" t="str">
        <f t="shared" si="99"/>
        <v/>
      </c>
      <c r="W982" s="124" t="str">
        <f t="shared" si="100"/>
        <v/>
      </c>
      <c r="X982" s="125" t="str">
        <f t="shared" si="95"/>
        <v/>
      </c>
    </row>
    <row r="983" spans="1:24" x14ac:dyDescent="0.3">
      <c r="A983" s="129"/>
      <c r="B983" s="129"/>
      <c r="C983" s="128"/>
      <c r="D983" s="128"/>
      <c r="E983" s="128"/>
      <c r="F983" s="166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6" t="str">
        <f t="shared" si="96"/>
        <v/>
      </c>
      <c r="S983" s="163" t="str">
        <f t="shared" si="97"/>
        <v/>
      </c>
      <c r="T983" s="160" t="str">
        <f>IFERROR(INDEX(当年标准成本!$I:$I,MATCH(K983,当年标准成本!$C:$C,0),1),"")</f>
        <v/>
      </c>
      <c r="U983" s="126" t="str">
        <f t="shared" si="98"/>
        <v/>
      </c>
      <c r="V983" s="126" t="str">
        <f t="shared" si="99"/>
        <v/>
      </c>
      <c r="W983" s="124" t="str">
        <f t="shared" si="100"/>
        <v/>
      </c>
      <c r="X983" s="125" t="str">
        <f t="shared" si="95"/>
        <v/>
      </c>
    </row>
    <row r="984" spans="1:24" x14ac:dyDescent="0.3">
      <c r="A984" s="129"/>
      <c r="B984" s="129"/>
      <c r="C984" s="128"/>
      <c r="D984" s="128"/>
      <c r="E984" s="128"/>
      <c r="F984" s="166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6" t="str">
        <f t="shared" si="96"/>
        <v/>
      </c>
      <c r="S984" s="163" t="str">
        <f t="shared" si="97"/>
        <v/>
      </c>
      <c r="T984" s="160" t="str">
        <f>IFERROR(INDEX(当年标准成本!$I:$I,MATCH(K984,当年标准成本!$C:$C,0),1),"")</f>
        <v/>
      </c>
      <c r="U984" s="126" t="str">
        <f t="shared" si="98"/>
        <v/>
      </c>
      <c r="V984" s="126" t="str">
        <f t="shared" si="99"/>
        <v/>
      </c>
      <c r="W984" s="124" t="str">
        <f t="shared" si="100"/>
        <v/>
      </c>
      <c r="X984" s="125" t="str">
        <f t="shared" si="95"/>
        <v/>
      </c>
    </row>
    <row r="985" spans="1:24" x14ac:dyDescent="0.3">
      <c r="A985" s="129"/>
      <c r="B985" s="129"/>
      <c r="C985" s="128"/>
      <c r="D985" s="128"/>
      <c r="E985" s="128"/>
      <c r="F985" s="166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6" t="str">
        <f t="shared" si="96"/>
        <v/>
      </c>
      <c r="S985" s="163" t="str">
        <f t="shared" si="97"/>
        <v/>
      </c>
      <c r="T985" s="160" t="str">
        <f>IFERROR(INDEX(当年标准成本!$I:$I,MATCH(K985,当年标准成本!$C:$C,0),1),"")</f>
        <v/>
      </c>
      <c r="U985" s="126" t="str">
        <f t="shared" si="98"/>
        <v/>
      </c>
      <c r="V985" s="126" t="str">
        <f t="shared" si="99"/>
        <v/>
      </c>
      <c r="W985" s="124" t="str">
        <f t="shared" si="100"/>
        <v/>
      </c>
      <c r="X985" s="125" t="str">
        <f t="shared" si="95"/>
        <v/>
      </c>
    </row>
    <row r="986" spans="1:24" x14ac:dyDescent="0.3">
      <c r="A986" s="129"/>
      <c r="B986" s="129"/>
      <c r="C986" s="128"/>
      <c r="D986" s="128"/>
      <c r="E986" s="128"/>
      <c r="F986" s="166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6" t="str">
        <f t="shared" si="96"/>
        <v/>
      </c>
      <c r="S986" s="163" t="str">
        <f t="shared" si="97"/>
        <v/>
      </c>
      <c r="T986" s="160" t="str">
        <f>IFERROR(INDEX(当年标准成本!$I:$I,MATCH(K986,当年标准成本!$C:$C,0),1),"")</f>
        <v/>
      </c>
      <c r="U986" s="126" t="str">
        <f t="shared" si="98"/>
        <v/>
      </c>
      <c r="V986" s="126" t="str">
        <f t="shared" si="99"/>
        <v/>
      </c>
      <c r="W986" s="124" t="str">
        <f t="shared" si="100"/>
        <v/>
      </c>
      <c r="X986" s="125" t="str">
        <f t="shared" si="95"/>
        <v/>
      </c>
    </row>
    <row r="987" spans="1:24" x14ac:dyDescent="0.3">
      <c r="A987" s="129"/>
      <c r="B987" s="129"/>
      <c r="C987" s="128"/>
      <c r="D987" s="128"/>
      <c r="E987" s="128"/>
      <c r="F987" s="166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6" t="str">
        <f t="shared" si="96"/>
        <v/>
      </c>
      <c r="S987" s="163" t="str">
        <f t="shared" si="97"/>
        <v/>
      </c>
      <c r="T987" s="160" t="str">
        <f>IFERROR(INDEX(当年标准成本!$I:$I,MATCH(K987,当年标准成本!$C:$C,0),1),"")</f>
        <v/>
      </c>
      <c r="U987" s="126" t="str">
        <f t="shared" si="98"/>
        <v/>
      </c>
      <c r="V987" s="126" t="str">
        <f t="shared" si="99"/>
        <v/>
      </c>
      <c r="W987" s="124" t="str">
        <f t="shared" si="100"/>
        <v/>
      </c>
      <c r="X987" s="125" t="str">
        <f t="shared" si="95"/>
        <v/>
      </c>
    </row>
    <row r="988" spans="1:24" x14ac:dyDescent="0.3">
      <c r="A988" s="129"/>
      <c r="B988" s="129"/>
      <c r="C988" s="128"/>
      <c r="D988" s="128"/>
      <c r="E988" s="128"/>
      <c r="F988" s="166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6" t="str">
        <f t="shared" si="96"/>
        <v/>
      </c>
      <c r="S988" s="163" t="str">
        <f t="shared" si="97"/>
        <v/>
      </c>
      <c r="T988" s="160" t="str">
        <f>IFERROR(INDEX(当年标准成本!$I:$I,MATCH(K988,当年标准成本!$C:$C,0),1),"")</f>
        <v/>
      </c>
      <c r="U988" s="126" t="str">
        <f t="shared" si="98"/>
        <v/>
      </c>
      <c r="V988" s="126" t="str">
        <f t="shared" si="99"/>
        <v/>
      </c>
      <c r="W988" s="124" t="str">
        <f t="shared" si="100"/>
        <v/>
      </c>
      <c r="X988" s="125" t="str">
        <f t="shared" si="95"/>
        <v/>
      </c>
    </row>
    <row r="989" spans="1:24" x14ac:dyDescent="0.3">
      <c r="A989" s="129"/>
      <c r="B989" s="129"/>
      <c r="C989" s="128"/>
      <c r="D989" s="128"/>
      <c r="E989" s="128"/>
      <c r="F989" s="166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6" t="str">
        <f t="shared" si="96"/>
        <v/>
      </c>
      <c r="S989" s="163" t="str">
        <f t="shared" si="97"/>
        <v/>
      </c>
      <c r="T989" s="160" t="str">
        <f>IFERROR(INDEX(当年标准成本!$I:$I,MATCH(K989,当年标准成本!$C:$C,0),1),"")</f>
        <v/>
      </c>
      <c r="U989" s="126" t="str">
        <f t="shared" si="98"/>
        <v/>
      </c>
      <c r="V989" s="126" t="str">
        <f t="shared" si="99"/>
        <v/>
      </c>
      <c r="W989" s="124" t="str">
        <f t="shared" si="100"/>
        <v/>
      </c>
      <c r="X989" s="125" t="str">
        <f t="shared" si="95"/>
        <v/>
      </c>
    </row>
    <row r="990" spans="1:24" x14ac:dyDescent="0.3">
      <c r="A990" s="129"/>
      <c r="B990" s="129"/>
      <c r="C990" s="128"/>
      <c r="D990" s="128"/>
      <c r="E990" s="128"/>
      <c r="F990" s="166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6" t="str">
        <f t="shared" si="96"/>
        <v/>
      </c>
      <c r="S990" s="163" t="str">
        <f t="shared" si="97"/>
        <v/>
      </c>
      <c r="T990" s="160" t="str">
        <f>IFERROR(INDEX(当年标准成本!$I:$I,MATCH(K990,当年标准成本!$C:$C,0),1),"")</f>
        <v/>
      </c>
      <c r="U990" s="126" t="str">
        <f t="shared" si="98"/>
        <v/>
      </c>
      <c r="V990" s="126" t="str">
        <f t="shared" si="99"/>
        <v/>
      </c>
      <c r="W990" s="124" t="str">
        <f t="shared" si="100"/>
        <v/>
      </c>
      <c r="X990" s="125" t="str">
        <f t="shared" si="95"/>
        <v/>
      </c>
    </row>
    <row r="991" spans="1:24" x14ac:dyDescent="0.3">
      <c r="A991" s="129"/>
      <c r="B991" s="129"/>
      <c r="C991" s="128"/>
      <c r="D991" s="128"/>
      <c r="E991" s="128"/>
      <c r="F991" s="166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6" t="str">
        <f t="shared" si="96"/>
        <v/>
      </c>
      <c r="S991" s="163" t="str">
        <f t="shared" si="97"/>
        <v/>
      </c>
      <c r="T991" s="160" t="str">
        <f>IFERROR(INDEX(当年标准成本!$I:$I,MATCH(K991,当年标准成本!$C:$C,0),1),"")</f>
        <v/>
      </c>
      <c r="U991" s="126" t="str">
        <f t="shared" si="98"/>
        <v/>
      </c>
      <c r="V991" s="126" t="str">
        <f t="shared" si="99"/>
        <v/>
      </c>
      <c r="W991" s="124" t="str">
        <f t="shared" si="100"/>
        <v/>
      </c>
      <c r="X991" s="125" t="str">
        <f t="shared" si="95"/>
        <v/>
      </c>
    </row>
    <row r="992" spans="1:24" x14ac:dyDescent="0.3">
      <c r="A992" s="129"/>
      <c r="B992" s="129"/>
      <c r="C992" s="128"/>
      <c r="D992" s="128"/>
      <c r="E992" s="128"/>
      <c r="F992" s="166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6" t="str">
        <f t="shared" si="96"/>
        <v/>
      </c>
      <c r="S992" s="163" t="str">
        <f t="shared" si="97"/>
        <v/>
      </c>
      <c r="T992" s="160" t="str">
        <f>IFERROR(INDEX(当年标准成本!$I:$I,MATCH(K992,当年标准成本!$C:$C,0),1),"")</f>
        <v/>
      </c>
      <c r="U992" s="126" t="str">
        <f t="shared" si="98"/>
        <v/>
      </c>
      <c r="V992" s="126" t="str">
        <f t="shared" si="99"/>
        <v/>
      </c>
      <c r="W992" s="124" t="str">
        <f t="shared" si="100"/>
        <v/>
      </c>
      <c r="X992" s="125" t="str">
        <f t="shared" si="95"/>
        <v/>
      </c>
    </row>
    <row r="993" spans="1:24" x14ac:dyDescent="0.3">
      <c r="A993" s="129"/>
      <c r="B993" s="129"/>
      <c r="C993" s="128"/>
      <c r="D993" s="128"/>
      <c r="E993" s="128"/>
      <c r="F993" s="166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6" t="str">
        <f t="shared" si="96"/>
        <v/>
      </c>
      <c r="S993" s="163" t="str">
        <f t="shared" si="97"/>
        <v/>
      </c>
      <c r="T993" s="160" t="str">
        <f>IFERROR(INDEX(当年标准成本!$I:$I,MATCH(K993,当年标准成本!$C:$C,0),1),"")</f>
        <v/>
      </c>
      <c r="U993" s="126" t="str">
        <f t="shared" si="98"/>
        <v/>
      </c>
      <c r="V993" s="126" t="str">
        <f t="shared" si="99"/>
        <v/>
      </c>
      <c r="W993" s="124" t="str">
        <f t="shared" si="100"/>
        <v/>
      </c>
      <c r="X993" s="125" t="str">
        <f t="shared" si="95"/>
        <v/>
      </c>
    </row>
    <row r="994" spans="1:24" x14ac:dyDescent="0.3">
      <c r="A994" s="129"/>
      <c r="B994" s="129"/>
      <c r="C994" s="128"/>
      <c r="D994" s="128"/>
      <c r="E994" s="128"/>
      <c r="F994" s="166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6" t="str">
        <f t="shared" si="96"/>
        <v/>
      </c>
      <c r="S994" s="163" t="str">
        <f t="shared" si="97"/>
        <v/>
      </c>
      <c r="T994" s="160" t="str">
        <f>IFERROR(INDEX(当年标准成本!$I:$I,MATCH(K994,当年标准成本!$C:$C,0),1),"")</f>
        <v/>
      </c>
      <c r="U994" s="126" t="str">
        <f t="shared" si="98"/>
        <v/>
      </c>
      <c r="V994" s="126" t="str">
        <f t="shared" si="99"/>
        <v/>
      </c>
      <c r="W994" s="124" t="str">
        <f t="shared" si="100"/>
        <v/>
      </c>
      <c r="X994" s="125" t="str">
        <f t="shared" si="95"/>
        <v/>
      </c>
    </row>
    <row r="995" spans="1:24" x14ac:dyDescent="0.3">
      <c r="A995" s="129"/>
      <c r="B995" s="129"/>
      <c r="C995" s="128"/>
      <c r="D995" s="128"/>
      <c r="E995" s="128"/>
      <c r="F995" s="166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6" t="str">
        <f t="shared" si="96"/>
        <v/>
      </c>
      <c r="S995" s="163" t="str">
        <f t="shared" si="97"/>
        <v/>
      </c>
      <c r="T995" s="160" t="str">
        <f>IFERROR(INDEX(当年标准成本!$I:$I,MATCH(K995,当年标准成本!$C:$C,0),1),"")</f>
        <v/>
      </c>
      <c r="U995" s="126" t="str">
        <f t="shared" si="98"/>
        <v/>
      </c>
      <c r="V995" s="126" t="str">
        <f t="shared" si="99"/>
        <v/>
      </c>
      <c r="W995" s="124" t="str">
        <f t="shared" si="100"/>
        <v/>
      </c>
      <c r="X995" s="125" t="str">
        <f t="shared" si="95"/>
        <v/>
      </c>
    </row>
    <row r="996" spans="1:24" x14ac:dyDescent="0.3">
      <c r="A996" s="129"/>
      <c r="B996" s="129"/>
      <c r="C996" s="128"/>
      <c r="D996" s="128"/>
      <c r="E996" s="128"/>
      <c r="F996" s="166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6" t="str">
        <f t="shared" si="96"/>
        <v/>
      </c>
      <c r="S996" s="163" t="str">
        <f t="shared" si="97"/>
        <v/>
      </c>
      <c r="T996" s="160" t="str">
        <f>IFERROR(INDEX(当年标准成本!$I:$I,MATCH(K996,当年标准成本!$C:$C,0),1),"")</f>
        <v/>
      </c>
      <c r="U996" s="126" t="str">
        <f t="shared" si="98"/>
        <v/>
      </c>
      <c r="V996" s="126" t="str">
        <f t="shared" si="99"/>
        <v/>
      </c>
      <c r="W996" s="124" t="str">
        <f t="shared" si="100"/>
        <v/>
      </c>
      <c r="X996" s="125" t="str">
        <f t="shared" si="95"/>
        <v/>
      </c>
    </row>
    <row r="997" spans="1:24" x14ac:dyDescent="0.3">
      <c r="A997" s="129"/>
      <c r="B997" s="129"/>
      <c r="C997" s="128"/>
      <c r="D997" s="128"/>
      <c r="E997" s="128"/>
      <c r="F997" s="166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6" t="str">
        <f t="shared" si="96"/>
        <v/>
      </c>
      <c r="S997" s="163" t="str">
        <f t="shared" si="97"/>
        <v/>
      </c>
      <c r="T997" s="160" t="str">
        <f>IFERROR(INDEX(当年标准成本!$I:$I,MATCH(K997,当年标准成本!$C:$C,0),1),"")</f>
        <v/>
      </c>
      <c r="U997" s="126" t="str">
        <f t="shared" si="98"/>
        <v/>
      </c>
      <c r="V997" s="126" t="str">
        <f t="shared" si="99"/>
        <v/>
      </c>
      <c r="W997" s="124" t="str">
        <f t="shared" si="100"/>
        <v/>
      </c>
      <c r="X997" s="125" t="str">
        <f t="shared" si="95"/>
        <v/>
      </c>
    </row>
    <row r="998" spans="1:24" x14ac:dyDescent="0.3">
      <c r="A998" s="129"/>
      <c r="B998" s="129"/>
      <c r="C998" s="128"/>
      <c r="D998" s="128"/>
      <c r="E998" s="128"/>
      <c r="F998" s="166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6" t="str">
        <f t="shared" si="96"/>
        <v/>
      </c>
      <c r="S998" s="163" t="str">
        <f t="shared" si="97"/>
        <v/>
      </c>
      <c r="T998" s="160" t="str">
        <f>IFERROR(INDEX(当年标准成本!$I:$I,MATCH(K998,当年标准成本!$C:$C,0),1),"")</f>
        <v/>
      </c>
      <c r="U998" s="126" t="str">
        <f t="shared" si="98"/>
        <v/>
      </c>
      <c r="V998" s="126" t="str">
        <f t="shared" si="99"/>
        <v/>
      </c>
      <c r="W998" s="124" t="str">
        <f t="shared" si="100"/>
        <v/>
      </c>
      <c r="X998" s="125" t="str">
        <f t="shared" si="95"/>
        <v/>
      </c>
    </row>
    <row r="999" spans="1:24" x14ac:dyDescent="0.3">
      <c r="A999" s="129"/>
      <c r="B999" s="129"/>
      <c r="C999" s="128"/>
      <c r="D999" s="128"/>
      <c r="E999" s="128"/>
      <c r="F999" s="166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6" t="str">
        <f t="shared" si="96"/>
        <v/>
      </c>
      <c r="S999" s="163" t="str">
        <f t="shared" si="97"/>
        <v/>
      </c>
      <c r="T999" s="160" t="str">
        <f>IFERROR(INDEX(当年标准成本!$I:$I,MATCH(K999,当年标准成本!$C:$C,0),1),"")</f>
        <v/>
      </c>
      <c r="U999" s="126" t="str">
        <f t="shared" si="98"/>
        <v/>
      </c>
      <c r="V999" s="126" t="str">
        <f t="shared" si="99"/>
        <v/>
      </c>
      <c r="W999" s="124" t="str">
        <f t="shared" si="100"/>
        <v/>
      </c>
      <c r="X999" s="125" t="str">
        <f t="shared" si="95"/>
        <v/>
      </c>
    </row>
  </sheetData>
  <sheetProtection formatCells="0" formatColumns="0" formatRows="0" insertColumns="0" insertRows="0" sort="0" autoFilter="0" pivotTables="0"/>
  <phoneticPr fontId="3" type="noConversion"/>
  <hyperlinks>
    <hyperlink ref="Z1" location="主页!A1" display="主页!A1" xr:uid="{30DA27A7-89E2-46A5-B33A-7BB3EB9213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21BA-9DD1-44B4-A4B7-ACB2ACE939BB}">
  <dimension ref="A1:L1201"/>
  <sheetViews>
    <sheetView showGridLines="0" zoomScale="98" workbookViewId="0">
      <pane xSplit="5" ySplit="2" topLeftCell="F3" activePane="bottomRight" state="frozenSplit"/>
      <selection pane="topRight" activeCell="F1" sqref="F1"/>
      <selection pane="bottomLeft" activeCell="A10" sqref="A10"/>
      <selection pane="bottomRight" activeCell="G19" sqref="G19"/>
    </sheetView>
  </sheetViews>
  <sheetFormatPr defaultRowHeight="14" x14ac:dyDescent="0.3"/>
  <cols>
    <col min="1" max="1" width="10.08203125" bestFit="1" customWidth="1"/>
    <col min="2" max="2" width="12.4140625" customWidth="1"/>
    <col min="3" max="3" width="14.4140625" style="8" bestFit="1" customWidth="1"/>
    <col min="4" max="4" width="17.25" customWidth="1"/>
    <col min="5" max="5" width="10.58203125" style="6" bestFit="1" customWidth="1"/>
    <col min="6" max="6" width="7.58203125" bestFit="1" customWidth="1"/>
    <col min="7" max="7" width="9.58203125" bestFit="1" customWidth="1"/>
    <col min="8" max="8" width="10.58203125" style="6" bestFit="1" customWidth="1"/>
    <col min="9" max="9" width="3.33203125" customWidth="1"/>
    <col min="10" max="10" width="28.4140625" bestFit="1" customWidth="1"/>
  </cols>
  <sheetData>
    <row r="1" spans="1:12" s="154" customFormat="1" x14ac:dyDescent="0.3">
      <c r="A1" s="255" t="s">
        <v>29</v>
      </c>
      <c r="B1" s="255" t="s">
        <v>30</v>
      </c>
      <c r="C1" s="255" t="s">
        <v>31</v>
      </c>
      <c r="D1" s="131" t="str">
        <f>"当年剩余月份估计 E"&amp;TEXT(主页!$D$2,"YY")&amp;"YTG"</f>
        <v>当年剩余月份估计 E21YTG</v>
      </c>
      <c r="E1" s="131"/>
      <c r="F1" s="158"/>
      <c r="G1" s="131"/>
      <c r="H1" s="131"/>
      <c r="I1"/>
      <c r="J1" s="155" t="str">
        <f>"当年已过去月份实际 A"&amp;TEXT(主页!$D$2,"YY")&amp;"YTD"</f>
        <v>当年已过去月份实际 A21YTD</v>
      </c>
      <c r="L1" s="121" t="s">
        <v>197</v>
      </c>
    </row>
    <row r="2" spans="1:12" s="154" customFormat="1" x14ac:dyDescent="0.3">
      <c r="A2" s="255"/>
      <c r="B2" s="255"/>
      <c r="C2" s="255"/>
      <c r="D2" s="152" t="s">
        <v>13</v>
      </c>
      <c r="E2" s="152" t="s">
        <v>35</v>
      </c>
      <c r="F2" s="152" t="s">
        <v>9</v>
      </c>
      <c r="G2" s="152" t="s">
        <v>10</v>
      </c>
      <c r="H2" s="152" t="s">
        <v>36</v>
      </c>
      <c r="J2" s="156" t="s">
        <v>9</v>
      </c>
    </row>
    <row r="3" spans="1:12" x14ac:dyDescent="0.3">
      <c r="A3" s="130" t="s">
        <v>47</v>
      </c>
      <c r="B3" s="136" t="s">
        <v>50</v>
      </c>
      <c r="C3" s="137">
        <v>1</v>
      </c>
      <c r="D3" s="134">
        <v>500</v>
      </c>
      <c r="E3" s="140">
        <f>IF(D3/SUM(D:D)=0,"",D3/SUM(D:D))</f>
        <v>9.0909090909090912E-2</v>
      </c>
      <c r="F3" s="142">
        <v>0.16500000000000001</v>
      </c>
      <c r="G3" s="145">
        <f>D3*F3</f>
        <v>82.5</v>
      </c>
      <c r="H3" s="140">
        <f>IF(G3/SUM(G:G)=0,"",G3/SUM(G:G))</f>
        <v>6.6398390342052319E-2</v>
      </c>
      <c r="J3" s="148">
        <f>IFERROR(SUMIFS(当年实际!$V:$V,当年实际!$H:$H,$B3,当年实际!$C:$C,"&gt;="&amp;DATE(YEAR(主页!$D$2),1,1),当年实际!$C:$C,"&lt;="&amp;EOMONTH(DATE(YEAR(主页!$D$2),MONTH(主页!$D$2),1),0))/SUMIFS(当年实际!$P:$P,当年实际!$H:$H,$B3,当年实际!$C:$C,"&gt;="&amp;DATE(YEAR(主页!$D$2),1,1),当年实际!$C:$C,"&lt;="&amp;EOMONTH(DATE(YEAR(主页!$D$2),MONTH(主页!$D$2),1),0)),"")</f>
        <v>0.19400000000000001</v>
      </c>
    </row>
    <row r="4" spans="1:12" x14ac:dyDescent="0.3">
      <c r="A4" s="130" t="s">
        <v>46</v>
      </c>
      <c r="B4" s="136" t="s">
        <v>49</v>
      </c>
      <c r="C4" s="138">
        <v>2</v>
      </c>
      <c r="D4" s="135">
        <v>2000</v>
      </c>
      <c r="E4" s="141">
        <f>IF(D4/SUM(D:D)=0,"",D4/SUM(D:D))</f>
        <v>0.36363636363636365</v>
      </c>
      <c r="F4" s="143">
        <v>0.28000000000000003</v>
      </c>
      <c r="G4" s="146">
        <f>D4*F4</f>
        <v>560</v>
      </c>
      <c r="H4" s="141">
        <f>IF(G4/SUM(G:G)=0,"",G4/SUM(G:G))</f>
        <v>0.45070422535211269</v>
      </c>
      <c r="J4" s="148">
        <f>IFERROR(SUMIFS(当年实际!$V:$V,当年实际!$H:$H,$B4,当年实际!$C:$C,"&gt;="&amp;DATE(YEAR(主页!$D$2),1,1),当年实际!$C:$C,"&lt;="&amp;EOMONTH(DATE(YEAR(主页!$D$2),MONTH(主页!$D$2),1),0))/SUMIFS(当年实际!$P:$P,当年实际!$H:$H,$B4,当年实际!$C:$C,"&gt;="&amp;DATE(YEAR(主页!$D$2),1,1),当年实际!$C:$C,"&lt;="&amp;EOMONTH(DATE(YEAR(主页!$D$2),MONTH(主页!$D$2),1),0)),"")</f>
        <v>0.27777777777777779</v>
      </c>
    </row>
    <row r="5" spans="1:12" x14ac:dyDescent="0.3">
      <c r="A5" s="130" t="s">
        <v>48</v>
      </c>
      <c r="B5" s="136" t="s">
        <v>51</v>
      </c>
      <c r="C5" s="138">
        <v>3</v>
      </c>
      <c r="D5" s="135">
        <v>3000</v>
      </c>
      <c r="E5" s="141">
        <f>IF(D5/SUM(D:D)=0,"",D5/SUM(D:D))</f>
        <v>0.54545454545454541</v>
      </c>
      <c r="F5" s="143">
        <v>0.2</v>
      </c>
      <c r="G5" s="146">
        <f t="shared" ref="G5:G68" si="0">D5*F5</f>
        <v>600</v>
      </c>
      <c r="H5" s="141">
        <f>IF(G5/SUM(G:G)=0,"",G5/SUM(G:G))</f>
        <v>0.48289738430583501</v>
      </c>
      <c r="J5" s="148">
        <f>IFERROR(SUMIFS(当年实际!$V:$V,当年实际!$H:$H,$B5,当年实际!$C:$C,"&gt;="&amp;DATE(YEAR(主页!$D$2),1,1),当年实际!$C:$C,"&lt;="&amp;EOMONTH(DATE(YEAR(主页!$D$2),MONTH(主页!$D$2),1),0))/SUMIFS(当年实际!$P:$P,当年实际!$H:$H,$B5,当年实际!$C:$C,"&gt;="&amp;DATE(YEAR(主页!$D$2),1,1),当年实际!$C:$C,"&lt;="&amp;EOMONTH(DATE(YEAR(主页!$D$2),MONTH(主页!$D$2),1),0)),"")</f>
        <v>0.16</v>
      </c>
    </row>
    <row r="6" spans="1:12" x14ac:dyDescent="0.3">
      <c r="A6" s="130"/>
      <c r="B6" s="136"/>
      <c r="C6" s="138"/>
      <c r="D6" s="139"/>
      <c r="E6" s="141" t="str">
        <f>IF(D6/SUM(D:D)=0,"",D6/SUM(D:D))</f>
        <v/>
      </c>
      <c r="F6" s="144"/>
      <c r="G6" s="146">
        <f t="shared" si="0"/>
        <v>0</v>
      </c>
      <c r="H6" s="141" t="str">
        <f t="shared" ref="H6:H69" si="1">IF(G6/SUM(G:G)=0,"",G6/SUM(G:G))</f>
        <v/>
      </c>
      <c r="J6" s="148" t="str">
        <f>IFERROR(SUMIFS(当年实际!$V:$V,当年实际!$H:$H,$B6,当年实际!$C:$C,"&gt;="&amp;DATE(YEAR(主页!$D$2),1,1),当年实际!$C:$C,"&lt;="&amp;EOMONTH(DATE(YEAR(主页!$D$2),MONTH(主页!$D$2),1),0))/SUMIFS(当年实际!$P:$P,当年实际!$H:$H,$B6,当年实际!$C:$C,"&gt;="&amp;DATE(YEAR(主页!$D$2),1,1),当年实际!$C:$C,"&lt;="&amp;EOMONTH(DATE(YEAR(主页!$D$2),MONTH(主页!$D$2),1),0)),"")</f>
        <v/>
      </c>
    </row>
    <row r="7" spans="1:12" x14ac:dyDescent="0.3">
      <c r="A7" s="130"/>
      <c r="B7" s="136"/>
      <c r="C7" s="138"/>
      <c r="D7" s="139"/>
      <c r="E7" s="141" t="str">
        <f>IF(D7/SUM(D:D)=0,"",D7/SUM(D:D))</f>
        <v/>
      </c>
      <c r="F7" s="144"/>
      <c r="G7" s="146">
        <f t="shared" si="0"/>
        <v>0</v>
      </c>
      <c r="H7" s="141" t="str">
        <f t="shared" si="1"/>
        <v/>
      </c>
      <c r="J7" s="148" t="str">
        <f>IFERROR(SUMIFS(当年实际!$V:$V,当年实际!$H:$H,$B7,当年实际!$C:$C,"&gt;="&amp;DATE(YEAR(主页!$D$2),1,1),当年实际!$C:$C,"&lt;="&amp;EOMONTH(DATE(YEAR(主页!$D$2),MONTH(主页!$D$2),1),0))/SUMIFS(当年实际!$P:$P,当年实际!$H:$H,$B7,当年实际!$C:$C,"&gt;="&amp;DATE(YEAR(主页!$D$2),1,1),当年实际!$C:$C,"&lt;="&amp;EOMONTH(DATE(YEAR(主页!$D$2),MONTH(主页!$D$2),1),0)),"")</f>
        <v/>
      </c>
    </row>
    <row r="8" spans="1:12" x14ac:dyDescent="0.3">
      <c r="A8" s="135"/>
      <c r="B8" s="136"/>
      <c r="C8" s="138"/>
      <c r="D8" s="139"/>
      <c r="E8" s="141" t="str">
        <f t="shared" ref="E8:E71" si="2">IF(D8/SUM(D:D)=0,"",D8/SUM(D:D))</f>
        <v/>
      </c>
      <c r="F8" s="144"/>
      <c r="G8" s="146">
        <f t="shared" si="0"/>
        <v>0</v>
      </c>
      <c r="H8" s="141" t="str">
        <f t="shared" si="1"/>
        <v/>
      </c>
      <c r="J8" s="148" t="str">
        <f>IFERROR(SUMIFS(当年实际!$V:$V,当年实际!$H:$H,$B8,当年实际!$C:$C,"&gt;="&amp;DATE(YEAR(主页!$D$2),1,1),当年实际!$C:$C,"&lt;="&amp;EOMONTH(DATE(YEAR(主页!$D$2),MONTH(主页!$D$2),1),0))/SUMIFS(当年实际!$P:$P,当年实际!$H:$H,$B8,当年实际!$C:$C,"&gt;="&amp;DATE(YEAR(主页!$D$2),1,1),当年实际!$C:$C,"&lt;="&amp;EOMONTH(DATE(YEAR(主页!$D$2),MONTH(主页!$D$2),1),0)),"")</f>
        <v/>
      </c>
    </row>
    <row r="9" spans="1:12" x14ac:dyDescent="0.3">
      <c r="A9" s="135"/>
      <c r="B9" s="136"/>
      <c r="C9" s="138"/>
      <c r="D9" s="139"/>
      <c r="E9" s="141" t="str">
        <f t="shared" si="2"/>
        <v/>
      </c>
      <c r="F9" s="144"/>
      <c r="G9" s="146">
        <f t="shared" si="0"/>
        <v>0</v>
      </c>
      <c r="H9" s="141" t="str">
        <f t="shared" si="1"/>
        <v/>
      </c>
      <c r="J9" s="148" t="str">
        <f>IFERROR(SUMIFS(当年实际!$V:$V,当年实际!$H:$H,$B9,当年实际!$C:$C,"&gt;="&amp;DATE(YEAR(主页!$D$2),1,1),当年实际!$C:$C,"&lt;="&amp;EOMONTH(DATE(YEAR(主页!$D$2),MONTH(主页!$D$2),1),0))/SUMIFS(当年实际!$P:$P,当年实际!$H:$H,$B9,当年实际!$C:$C,"&gt;="&amp;DATE(YEAR(主页!$D$2),1,1),当年实际!$C:$C,"&lt;="&amp;EOMONTH(DATE(YEAR(主页!$D$2),MONTH(主页!$D$2),1),0)),"")</f>
        <v/>
      </c>
    </row>
    <row r="10" spans="1:12" x14ac:dyDescent="0.3">
      <c r="A10" s="135"/>
      <c r="B10" s="136"/>
      <c r="C10" s="138"/>
      <c r="D10" s="139"/>
      <c r="E10" s="141" t="str">
        <f t="shared" si="2"/>
        <v/>
      </c>
      <c r="F10" s="144"/>
      <c r="G10" s="146">
        <f t="shared" si="0"/>
        <v>0</v>
      </c>
      <c r="H10" s="141" t="str">
        <f t="shared" si="1"/>
        <v/>
      </c>
      <c r="J10" s="148" t="str">
        <f>IFERROR(SUMIFS(当年实际!$V:$V,当年实际!$H:$H,$B10,当年实际!$C:$C,"&gt;="&amp;DATE(YEAR(主页!$D$2),1,1),当年实际!$C:$C,"&lt;="&amp;EOMONTH(DATE(YEAR(主页!$D$2),MONTH(主页!$D$2),1),0))/SUMIFS(当年实际!$P:$P,当年实际!$H:$H,$B10,当年实际!$C:$C,"&gt;="&amp;DATE(YEAR(主页!$D$2),1,1),当年实际!$C:$C,"&lt;="&amp;EOMONTH(DATE(YEAR(主页!$D$2),MONTH(主页!$D$2),1),0)),"")</f>
        <v/>
      </c>
    </row>
    <row r="11" spans="1:12" x14ac:dyDescent="0.3">
      <c r="A11" s="135"/>
      <c r="B11" s="136"/>
      <c r="C11" s="138"/>
      <c r="D11" s="139"/>
      <c r="E11" s="141" t="str">
        <f t="shared" si="2"/>
        <v/>
      </c>
      <c r="F11" s="144"/>
      <c r="G11" s="146">
        <f t="shared" si="0"/>
        <v>0</v>
      </c>
      <c r="H11" s="141" t="str">
        <f t="shared" si="1"/>
        <v/>
      </c>
      <c r="J11" s="148" t="str">
        <f>IFERROR(SUMIFS(当年实际!$V:$V,当年实际!$H:$H,$B11,当年实际!$C:$C,"&gt;="&amp;DATE(YEAR(主页!$D$2),1,1),当年实际!$C:$C,"&lt;="&amp;EOMONTH(DATE(YEAR(主页!$D$2),MONTH(主页!$D$2),1),0))/SUMIFS(当年实际!$P:$P,当年实际!$H:$H,$B11,当年实际!$C:$C,"&gt;="&amp;DATE(YEAR(主页!$D$2),1,1),当年实际!$C:$C,"&lt;="&amp;EOMONTH(DATE(YEAR(主页!$D$2),MONTH(主页!$D$2),1),0)),"")</f>
        <v/>
      </c>
    </row>
    <row r="12" spans="1:12" x14ac:dyDescent="0.3">
      <c r="A12" s="135"/>
      <c r="B12" s="136"/>
      <c r="C12" s="138"/>
      <c r="D12" s="139"/>
      <c r="E12" s="141" t="str">
        <f t="shared" si="2"/>
        <v/>
      </c>
      <c r="F12" s="144"/>
      <c r="G12" s="146">
        <f t="shared" si="0"/>
        <v>0</v>
      </c>
      <c r="H12" s="141" t="str">
        <f t="shared" si="1"/>
        <v/>
      </c>
      <c r="J12" s="148" t="str">
        <f>IFERROR(SUMIFS(当年实际!$V:$V,当年实际!$H:$H,$B12,当年实际!$C:$C,"&gt;="&amp;DATE(YEAR(主页!$D$2),1,1),当年实际!$C:$C,"&lt;="&amp;EOMONTH(DATE(YEAR(主页!$D$2),MONTH(主页!$D$2),1),0))/SUMIFS(当年实际!$P:$P,当年实际!$H:$H,$B12,当年实际!$C:$C,"&gt;="&amp;DATE(YEAR(主页!$D$2),1,1),当年实际!$C:$C,"&lt;="&amp;EOMONTH(DATE(YEAR(主页!$D$2),MONTH(主页!$D$2),1),0)),"")</f>
        <v/>
      </c>
    </row>
    <row r="13" spans="1:12" x14ac:dyDescent="0.3">
      <c r="A13" s="135"/>
      <c r="B13" s="136"/>
      <c r="C13" s="138"/>
      <c r="D13" s="139"/>
      <c r="E13" s="141" t="str">
        <f t="shared" si="2"/>
        <v/>
      </c>
      <c r="F13" s="144"/>
      <c r="G13" s="146">
        <f t="shared" si="0"/>
        <v>0</v>
      </c>
      <c r="H13" s="141" t="str">
        <f t="shared" si="1"/>
        <v/>
      </c>
      <c r="J13" s="148" t="str">
        <f>IFERROR(SUMIFS(当年实际!$V:$V,当年实际!$H:$H,$B13,当年实际!$C:$C,"&gt;="&amp;DATE(YEAR(主页!$D$2),1,1),当年实际!$C:$C,"&lt;="&amp;EOMONTH(DATE(YEAR(主页!$D$2),MONTH(主页!$D$2),1),0))/SUMIFS(当年实际!$P:$P,当年实际!$H:$H,$B13,当年实际!$C:$C,"&gt;="&amp;DATE(YEAR(主页!$D$2),1,1),当年实际!$C:$C,"&lt;="&amp;EOMONTH(DATE(YEAR(主页!$D$2),MONTH(主页!$D$2),1),0)),"")</f>
        <v/>
      </c>
    </row>
    <row r="14" spans="1:12" x14ac:dyDescent="0.3">
      <c r="A14" s="135"/>
      <c r="B14" s="136"/>
      <c r="C14" s="138"/>
      <c r="D14" s="139"/>
      <c r="E14" s="141" t="str">
        <f t="shared" si="2"/>
        <v/>
      </c>
      <c r="F14" s="144"/>
      <c r="G14" s="146">
        <f t="shared" si="0"/>
        <v>0</v>
      </c>
      <c r="H14" s="141" t="str">
        <f t="shared" si="1"/>
        <v/>
      </c>
      <c r="J14" s="148" t="str">
        <f>IFERROR(SUMIFS(当年实际!$V:$V,当年实际!$H:$H,$B14,当年实际!$C:$C,"&gt;="&amp;DATE(YEAR(主页!$D$2),1,1),当年实际!$C:$C,"&lt;="&amp;EOMONTH(DATE(YEAR(主页!$D$2),MONTH(主页!$D$2),1),0))/SUMIFS(当年实际!$P:$P,当年实际!$H:$H,$B14,当年实际!$C:$C,"&gt;="&amp;DATE(YEAR(主页!$D$2),1,1),当年实际!$C:$C,"&lt;="&amp;EOMONTH(DATE(YEAR(主页!$D$2),MONTH(主页!$D$2),1),0)),"")</f>
        <v/>
      </c>
    </row>
    <row r="15" spans="1:12" x14ac:dyDescent="0.3">
      <c r="A15" s="135"/>
      <c r="B15" s="136"/>
      <c r="C15" s="138"/>
      <c r="D15" s="139"/>
      <c r="E15" s="141" t="str">
        <f t="shared" si="2"/>
        <v/>
      </c>
      <c r="F15" s="144"/>
      <c r="G15" s="146">
        <f t="shared" si="0"/>
        <v>0</v>
      </c>
      <c r="H15" s="141" t="str">
        <f t="shared" si="1"/>
        <v/>
      </c>
      <c r="J15" s="148" t="str">
        <f>IFERROR(SUMIFS(当年实际!$V:$V,当年实际!$H:$H,$B15,当年实际!$C:$C,"&gt;="&amp;DATE(YEAR(主页!$D$2),1,1),当年实际!$C:$C,"&lt;="&amp;EOMONTH(DATE(YEAR(主页!$D$2),MONTH(主页!$D$2),1),0))/SUMIFS(当年实际!$P:$P,当年实际!$H:$H,$B15,当年实际!$C:$C,"&gt;="&amp;DATE(YEAR(主页!$D$2),1,1),当年实际!$C:$C,"&lt;="&amp;EOMONTH(DATE(YEAR(主页!$D$2),MONTH(主页!$D$2),1),0)),"")</f>
        <v/>
      </c>
    </row>
    <row r="16" spans="1:12" x14ac:dyDescent="0.3">
      <c r="A16" s="135"/>
      <c r="B16" s="136"/>
      <c r="C16" s="138"/>
      <c r="D16" s="139"/>
      <c r="E16" s="141" t="str">
        <f t="shared" si="2"/>
        <v/>
      </c>
      <c r="F16" s="144"/>
      <c r="G16" s="146">
        <f t="shared" si="0"/>
        <v>0</v>
      </c>
      <c r="H16" s="141" t="str">
        <f t="shared" si="1"/>
        <v/>
      </c>
      <c r="J16" s="148" t="str">
        <f>IFERROR(SUMIFS(当年实际!$V:$V,当年实际!$H:$H,$B16,当年实际!$C:$C,"&gt;="&amp;DATE(YEAR(主页!$D$2),1,1),当年实际!$C:$C,"&lt;="&amp;EOMONTH(DATE(YEAR(主页!$D$2),MONTH(主页!$D$2),1),0))/SUMIFS(当年实际!$P:$P,当年实际!$H:$H,$B16,当年实际!$C:$C,"&gt;="&amp;DATE(YEAR(主页!$D$2),1,1),当年实际!$C:$C,"&lt;="&amp;EOMONTH(DATE(YEAR(主页!$D$2),MONTH(主页!$D$2),1),0)),"")</f>
        <v/>
      </c>
    </row>
    <row r="17" spans="1:10" x14ac:dyDescent="0.3">
      <c r="A17" s="135"/>
      <c r="B17" s="136"/>
      <c r="C17" s="138"/>
      <c r="D17" s="139"/>
      <c r="E17" s="141" t="str">
        <f t="shared" si="2"/>
        <v/>
      </c>
      <c r="F17" s="144"/>
      <c r="G17" s="146">
        <f t="shared" si="0"/>
        <v>0</v>
      </c>
      <c r="H17" s="141" t="str">
        <f t="shared" si="1"/>
        <v/>
      </c>
      <c r="J17" s="148" t="str">
        <f>IFERROR(SUMIFS(当年实际!$V:$V,当年实际!$H:$H,$B17,当年实际!$C:$C,"&gt;="&amp;DATE(YEAR(主页!$D$2),1,1),当年实际!$C:$C,"&lt;="&amp;EOMONTH(DATE(YEAR(主页!$D$2),MONTH(主页!$D$2),1),0))/SUMIFS(当年实际!$P:$P,当年实际!$H:$H,$B17,当年实际!$C:$C,"&gt;="&amp;DATE(YEAR(主页!$D$2),1,1),当年实际!$C:$C,"&lt;="&amp;EOMONTH(DATE(YEAR(主页!$D$2),MONTH(主页!$D$2),1),0)),"")</f>
        <v/>
      </c>
    </row>
    <row r="18" spans="1:10" x14ac:dyDescent="0.3">
      <c r="A18" s="135"/>
      <c r="B18" s="136"/>
      <c r="C18" s="138"/>
      <c r="D18" s="139"/>
      <c r="E18" s="141" t="str">
        <f t="shared" si="2"/>
        <v/>
      </c>
      <c r="F18" s="144"/>
      <c r="G18" s="146">
        <f t="shared" si="0"/>
        <v>0</v>
      </c>
      <c r="H18" s="141" t="str">
        <f t="shared" si="1"/>
        <v/>
      </c>
      <c r="J18" s="148" t="str">
        <f>IFERROR(SUMIFS(当年实际!$V:$V,当年实际!$H:$H,$B18,当年实际!$C:$C,"&gt;="&amp;DATE(YEAR(主页!$D$2),1,1),当年实际!$C:$C,"&lt;="&amp;EOMONTH(DATE(YEAR(主页!$D$2),MONTH(主页!$D$2),1),0))/SUMIFS(当年实际!$P:$P,当年实际!$H:$H,$B18,当年实际!$C:$C,"&gt;="&amp;DATE(YEAR(主页!$D$2),1,1),当年实际!$C:$C,"&lt;="&amp;EOMONTH(DATE(YEAR(主页!$D$2),MONTH(主页!$D$2),1),0)),"")</f>
        <v/>
      </c>
    </row>
    <row r="19" spans="1:10" x14ac:dyDescent="0.3">
      <c r="A19" s="135"/>
      <c r="B19" s="136"/>
      <c r="C19" s="138"/>
      <c r="D19" s="139"/>
      <c r="E19" s="141" t="str">
        <f t="shared" si="2"/>
        <v/>
      </c>
      <c r="F19" s="144"/>
      <c r="G19" s="146">
        <f t="shared" si="0"/>
        <v>0</v>
      </c>
      <c r="H19" s="141" t="str">
        <f t="shared" si="1"/>
        <v/>
      </c>
      <c r="J19" s="148" t="str">
        <f>IFERROR(SUMIFS(当年实际!$V:$V,当年实际!$H:$H,$B19,当年实际!$C:$C,"&gt;="&amp;DATE(YEAR(主页!$D$2),1,1),当年实际!$C:$C,"&lt;="&amp;EOMONTH(DATE(YEAR(主页!$D$2),MONTH(主页!$D$2),1),0))/SUMIFS(当年实际!$P:$P,当年实际!$H:$H,$B19,当年实际!$C:$C,"&gt;="&amp;DATE(YEAR(主页!$D$2),1,1),当年实际!$C:$C,"&lt;="&amp;EOMONTH(DATE(YEAR(主页!$D$2),MONTH(主页!$D$2),1),0)),"")</f>
        <v/>
      </c>
    </row>
    <row r="20" spans="1:10" x14ac:dyDescent="0.3">
      <c r="A20" s="135"/>
      <c r="B20" s="136"/>
      <c r="C20" s="138"/>
      <c r="D20" s="139"/>
      <c r="E20" s="141" t="str">
        <f t="shared" si="2"/>
        <v/>
      </c>
      <c r="F20" s="144"/>
      <c r="G20" s="146">
        <f t="shared" si="0"/>
        <v>0</v>
      </c>
      <c r="H20" s="141" t="str">
        <f t="shared" si="1"/>
        <v/>
      </c>
      <c r="J20" s="148" t="str">
        <f>IFERROR(SUMIFS(当年实际!$V:$V,当年实际!$H:$H,$B20,当年实际!$C:$C,"&gt;="&amp;DATE(YEAR(主页!$D$2),1,1),当年实际!$C:$C,"&lt;="&amp;EOMONTH(DATE(YEAR(主页!$D$2),MONTH(主页!$D$2),1),0))/SUMIFS(当年实际!$P:$P,当年实际!$H:$H,$B20,当年实际!$C:$C,"&gt;="&amp;DATE(YEAR(主页!$D$2),1,1),当年实际!$C:$C,"&lt;="&amp;EOMONTH(DATE(YEAR(主页!$D$2),MONTH(主页!$D$2),1),0)),"")</f>
        <v/>
      </c>
    </row>
    <row r="21" spans="1:10" x14ac:dyDescent="0.3">
      <c r="A21" s="135"/>
      <c r="B21" s="136"/>
      <c r="C21" s="138"/>
      <c r="D21" s="139"/>
      <c r="E21" s="141" t="str">
        <f t="shared" si="2"/>
        <v/>
      </c>
      <c r="F21" s="144"/>
      <c r="G21" s="146">
        <f t="shared" si="0"/>
        <v>0</v>
      </c>
      <c r="H21" s="141" t="str">
        <f t="shared" si="1"/>
        <v/>
      </c>
      <c r="J21" s="148" t="str">
        <f>IFERROR(SUMIFS(当年实际!$V:$V,当年实际!$H:$H,$B21,当年实际!$C:$C,"&gt;="&amp;DATE(YEAR(主页!$D$2),1,1),当年实际!$C:$C,"&lt;="&amp;EOMONTH(DATE(YEAR(主页!$D$2),MONTH(主页!$D$2),1),0))/SUMIFS(当年实际!$P:$P,当年实际!$H:$H,$B21,当年实际!$C:$C,"&gt;="&amp;DATE(YEAR(主页!$D$2),1,1),当年实际!$C:$C,"&lt;="&amp;EOMONTH(DATE(YEAR(主页!$D$2),MONTH(主页!$D$2),1),0)),"")</f>
        <v/>
      </c>
    </row>
    <row r="22" spans="1:10" x14ac:dyDescent="0.3">
      <c r="A22" s="135"/>
      <c r="B22" s="136"/>
      <c r="C22" s="138"/>
      <c r="D22" s="139"/>
      <c r="E22" s="141" t="str">
        <f t="shared" si="2"/>
        <v/>
      </c>
      <c r="F22" s="144"/>
      <c r="G22" s="146">
        <f t="shared" si="0"/>
        <v>0</v>
      </c>
      <c r="H22" s="141" t="str">
        <f t="shared" si="1"/>
        <v/>
      </c>
      <c r="J22" s="148" t="str">
        <f>IFERROR(SUMIFS(当年实际!$V:$V,当年实际!$H:$H,$B22,当年实际!$C:$C,"&gt;="&amp;DATE(YEAR(主页!$D$2),1,1),当年实际!$C:$C,"&lt;="&amp;EOMONTH(DATE(YEAR(主页!$D$2),MONTH(主页!$D$2),1),0))/SUMIFS(当年实际!$P:$P,当年实际!$H:$H,$B22,当年实际!$C:$C,"&gt;="&amp;DATE(YEAR(主页!$D$2),1,1),当年实际!$C:$C,"&lt;="&amp;EOMONTH(DATE(YEAR(主页!$D$2),MONTH(主页!$D$2),1),0)),"")</f>
        <v/>
      </c>
    </row>
    <row r="23" spans="1:10" x14ac:dyDescent="0.3">
      <c r="A23" s="135"/>
      <c r="B23" s="136"/>
      <c r="C23" s="138"/>
      <c r="D23" s="139"/>
      <c r="E23" s="141" t="str">
        <f t="shared" si="2"/>
        <v/>
      </c>
      <c r="F23" s="144"/>
      <c r="G23" s="146">
        <f t="shared" si="0"/>
        <v>0</v>
      </c>
      <c r="H23" s="141" t="str">
        <f t="shared" si="1"/>
        <v/>
      </c>
      <c r="J23" s="148" t="str">
        <f>IFERROR(SUMIFS(当年实际!$V:$V,当年实际!$H:$H,$B23,当年实际!$C:$C,"&gt;="&amp;DATE(YEAR(主页!$D$2),1,1),当年实际!$C:$C,"&lt;="&amp;EOMONTH(DATE(YEAR(主页!$D$2),MONTH(主页!$D$2),1),0))/SUMIFS(当年实际!$P:$P,当年实际!$H:$H,$B23,当年实际!$C:$C,"&gt;="&amp;DATE(YEAR(主页!$D$2),1,1),当年实际!$C:$C,"&lt;="&amp;EOMONTH(DATE(YEAR(主页!$D$2),MONTH(主页!$D$2),1),0)),"")</f>
        <v/>
      </c>
    </row>
    <row r="24" spans="1:10" x14ac:dyDescent="0.3">
      <c r="A24" s="135"/>
      <c r="B24" s="136"/>
      <c r="C24" s="138"/>
      <c r="D24" s="139"/>
      <c r="E24" s="141" t="str">
        <f t="shared" si="2"/>
        <v/>
      </c>
      <c r="F24" s="144"/>
      <c r="G24" s="146">
        <f t="shared" si="0"/>
        <v>0</v>
      </c>
      <c r="H24" s="141" t="str">
        <f t="shared" si="1"/>
        <v/>
      </c>
      <c r="J24" s="148" t="str">
        <f>IFERROR(SUMIFS(当年实际!$V:$V,当年实际!$H:$H,$B24,当年实际!$C:$C,"&gt;="&amp;DATE(YEAR(主页!$D$2),1,1),当年实际!$C:$C,"&lt;="&amp;EOMONTH(DATE(YEAR(主页!$D$2),MONTH(主页!$D$2),1),0))/SUMIFS(当年实际!$P:$P,当年实际!$H:$H,$B24,当年实际!$C:$C,"&gt;="&amp;DATE(YEAR(主页!$D$2),1,1),当年实际!$C:$C,"&lt;="&amp;EOMONTH(DATE(YEAR(主页!$D$2),MONTH(主页!$D$2),1),0)),"")</f>
        <v/>
      </c>
    </row>
    <row r="25" spans="1:10" x14ac:dyDescent="0.3">
      <c r="A25" s="135"/>
      <c r="B25" s="136"/>
      <c r="C25" s="138"/>
      <c r="D25" s="139"/>
      <c r="E25" s="141" t="str">
        <f t="shared" si="2"/>
        <v/>
      </c>
      <c r="F25" s="144"/>
      <c r="G25" s="146">
        <f t="shared" si="0"/>
        <v>0</v>
      </c>
      <c r="H25" s="141" t="str">
        <f t="shared" si="1"/>
        <v/>
      </c>
      <c r="J25" s="148" t="str">
        <f>IFERROR(SUMIFS(当年实际!$V:$V,当年实际!$H:$H,$B25,当年实际!$C:$C,"&gt;="&amp;DATE(YEAR(主页!$D$2),1,1),当年实际!$C:$C,"&lt;="&amp;EOMONTH(DATE(YEAR(主页!$D$2),MONTH(主页!$D$2),1),0))/SUMIFS(当年实际!$P:$P,当年实际!$H:$H,$B25,当年实际!$C:$C,"&gt;="&amp;DATE(YEAR(主页!$D$2),1,1),当年实际!$C:$C,"&lt;="&amp;EOMONTH(DATE(YEAR(主页!$D$2),MONTH(主页!$D$2),1),0)),"")</f>
        <v/>
      </c>
    </row>
    <row r="26" spans="1:10" x14ac:dyDescent="0.3">
      <c r="A26" s="135"/>
      <c r="B26" s="136"/>
      <c r="C26" s="138"/>
      <c r="D26" s="139"/>
      <c r="E26" s="141" t="str">
        <f t="shared" si="2"/>
        <v/>
      </c>
      <c r="F26" s="144"/>
      <c r="G26" s="146">
        <f t="shared" si="0"/>
        <v>0</v>
      </c>
      <c r="H26" s="141" t="str">
        <f t="shared" si="1"/>
        <v/>
      </c>
      <c r="J26" s="148" t="str">
        <f>IFERROR(SUMIFS(当年实际!$V:$V,当年实际!$H:$H,$B26,当年实际!$C:$C,"&gt;="&amp;DATE(YEAR(主页!$D$2),1,1),当年实际!$C:$C,"&lt;="&amp;EOMONTH(DATE(YEAR(主页!$D$2),MONTH(主页!$D$2),1),0))/SUMIFS(当年实际!$P:$P,当年实际!$H:$H,$B26,当年实际!$C:$C,"&gt;="&amp;DATE(YEAR(主页!$D$2),1,1),当年实际!$C:$C,"&lt;="&amp;EOMONTH(DATE(YEAR(主页!$D$2),MONTH(主页!$D$2),1),0)),"")</f>
        <v/>
      </c>
    </row>
    <row r="27" spans="1:10" x14ac:dyDescent="0.3">
      <c r="A27" s="135"/>
      <c r="B27" s="136"/>
      <c r="C27" s="138"/>
      <c r="D27" s="139"/>
      <c r="E27" s="141" t="str">
        <f t="shared" si="2"/>
        <v/>
      </c>
      <c r="F27" s="144"/>
      <c r="G27" s="146">
        <f t="shared" si="0"/>
        <v>0</v>
      </c>
      <c r="H27" s="141" t="str">
        <f t="shared" si="1"/>
        <v/>
      </c>
      <c r="J27" s="148" t="str">
        <f>IFERROR(SUMIFS(当年实际!$V:$V,当年实际!$H:$H,$B27,当年实际!$C:$C,"&gt;="&amp;DATE(YEAR(主页!$D$2),1,1),当年实际!$C:$C,"&lt;="&amp;EOMONTH(DATE(YEAR(主页!$D$2),MONTH(主页!$D$2),1),0))/SUMIFS(当年实际!$P:$P,当年实际!$H:$H,$B27,当年实际!$C:$C,"&gt;="&amp;DATE(YEAR(主页!$D$2),1,1),当年实际!$C:$C,"&lt;="&amp;EOMONTH(DATE(YEAR(主页!$D$2),MONTH(主页!$D$2),1),0)),"")</f>
        <v/>
      </c>
    </row>
    <row r="28" spans="1:10" x14ac:dyDescent="0.3">
      <c r="A28" s="135"/>
      <c r="B28" s="136"/>
      <c r="C28" s="138"/>
      <c r="D28" s="139"/>
      <c r="E28" s="141" t="str">
        <f t="shared" si="2"/>
        <v/>
      </c>
      <c r="F28" s="144"/>
      <c r="G28" s="146">
        <f t="shared" si="0"/>
        <v>0</v>
      </c>
      <c r="H28" s="141" t="str">
        <f t="shared" si="1"/>
        <v/>
      </c>
      <c r="J28" s="148" t="str">
        <f>IFERROR(SUMIFS(当年实际!$V:$V,当年实际!$H:$H,$B28,当年实际!$C:$C,"&gt;="&amp;DATE(YEAR(主页!$D$2),1,1),当年实际!$C:$C,"&lt;="&amp;EOMONTH(DATE(YEAR(主页!$D$2),MONTH(主页!$D$2),1),0))/SUMIFS(当年实际!$P:$P,当年实际!$H:$H,$B28,当年实际!$C:$C,"&gt;="&amp;DATE(YEAR(主页!$D$2),1,1),当年实际!$C:$C,"&lt;="&amp;EOMONTH(DATE(YEAR(主页!$D$2),MONTH(主页!$D$2),1),0)),"")</f>
        <v/>
      </c>
    </row>
    <row r="29" spans="1:10" x14ac:dyDescent="0.3">
      <c r="A29" s="135"/>
      <c r="B29" s="136"/>
      <c r="C29" s="138"/>
      <c r="D29" s="139"/>
      <c r="E29" s="141" t="str">
        <f t="shared" si="2"/>
        <v/>
      </c>
      <c r="F29" s="144"/>
      <c r="G29" s="146">
        <f t="shared" si="0"/>
        <v>0</v>
      </c>
      <c r="H29" s="141" t="str">
        <f t="shared" si="1"/>
        <v/>
      </c>
      <c r="J29" s="148" t="str">
        <f>IFERROR(SUMIFS(当年实际!$V:$V,当年实际!$H:$H,$B29,当年实际!$C:$C,"&gt;="&amp;DATE(YEAR(主页!$D$2),1,1),当年实际!$C:$C,"&lt;="&amp;EOMONTH(DATE(YEAR(主页!$D$2),MONTH(主页!$D$2),1),0))/SUMIFS(当年实际!$P:$P,当年实际!$H:$H,$B29,当年实际!$C:$C,"&gt;="&amp;DATE(YEAR(主页!$D$2),1,1),当年实际!$C:$C,"&lt;="&amp;EOMONTH(DATE(YEAR(主页!$D$2),MONTH(主页!$D$2),1),0)),"")</f>
        <v/>
      </c>
    </row>
    <row r="30" spans="1:10" x14ac:dyDescent="0.3">
      <c r="A30" s="135"/>
      <c r="B30" s="136"/>
      <c r="C30" s="138"/>
      <c r="D30" s="139"/>
      <c r="E30" s="141" t="str">
        <f t="shared" si="2"/>
        <v/>
      </c>
      <c r="F30" s="144"/>
      <c r="G30" s="146">
        <f t="shared" si="0"/>
        <v>0</v>
      </c>
      <c r="H30" s="141" t="str">
        <f t="shared" si="1"/>
        <v/>
      </c>
      <c r="J30" s="148" t="str">
        <f>IFERROR(SUMIFS(当年实际!$V:$V,当年实际!$H:$H,$B30,当年实际!$C:$C,"&gt;="&amp;DATE(YEAR(主页!$D$2),1,1),当年实际!$C:$C,"&lt;="&amp;EOMONTH(DATE(YEAR(主页!$D$2),MONTH(主页!$D$2),1),0))/SUMIFS(当年实际!$P:$P,当年实际!$H:$H,$B30,当年实际!$C:$C,"&gt;="&amp;DATE(YEAR(主页!$D$2),1,1),当年实际!$C:$C,"&lt;="&amp;EOMONTH(DATE(YEAR(主页!$D$2),MONTH(主页!$D$2),1),0)),"")</f>
        <v/>
      </c>
    </row>
    <row r="31" spans="1:10" x14ac:dyDescent="0.3">
      <c r="A31" s="135"/>
      <c r="B31" s="136"/>
      <c r="C31" s="138"/>
      <c r="D31" s="139"/>
      <c r="E31" s="141" t="str">
        <f t="shared" si="2"/>
        <v/>
      </c>
      <c r="F31" s="144"/>
      <c r="G31" s="146">
        <f t="shared" si="0"/>
        <v>0</v>
      </c>
      <c r="H31" s="141" t="str">
        <f t="shared" si="1"/>
        <v/>
      </c>
      <c r="J31" s="148" t="str">
        <f>IFERROR(SUMIFS(当年实际!$V:$V,当年实际!$H:$H,$B31,当年实际!$C:$C,"&gt;="&amp;DATE(YEAR(主页!$D$2),1,1),当年实际!$C:$C,"&lt;="&amp;EOMONTH(DATE(YEAR(主页!$D$2),MONTH(主页!$D$2),1),0))/SUMIFS(当年实际!$P:$P,当年实际!$H:$H,$B31,当年实际!$C:$C,"&gt;="&amp;DATE(YEAR(主页!$D$2),1,1),当年实际!$C:$C,"&lt;="&amp;EOMONTH(DATE(YEAR(主页!$D$2),MONTH(主页!$D$2),1),0)),"")</f>
        <v/>
      </c>
    </row>
    <row r="32" spans="1:10" x14ac:dyDescent="0.3">
      <c r="A32" s="135"/>
      <c r="B32" s="136"/>
      <c r="C32" s="138"/>
      <c r="D32" s="139"/>
      <c r="E32" s="141" t="str">
        <f t="shared" si="2"/>
        <v/>
      </c>
      <c r="F32" s="144"/>
      <c r="G32" s="146">
        <f t="shared" si="0"/>
        <v>0</v>
      </c>
      <c r="H32" s="141" t="str">
        <f t="shared" si="1"/>
        <v/>
      </c>
      <c r="J32" s="148" t="str">
        <f>IFERROR(SUMIFS(当年实际!$V:$V,当年实际!$H:$H,$B32,当年实际!$C:$C,"&gt;="&amp;DATE(YEAR(主页!$D$2),1,1),当年实际!$C:$C,"&lt;="&amp;EOMONTH(DATE(YEAR(主页!$D$2),MONTH(主页!$D$2),1),0))/SUMIFS(当年实际!$P:$P,当年实际!$H:$H,$B32,当年实际!$C:$C,"&gt;="&amp;DATE(YEAR(主页!$D$2),1,1),当年实际!$C:$C,"&lt;="&amp;EOMONTH(DATE(YEAR(主页!$D$2),MONTH(主页!$D$2),1),0)),"")</f>
        <v/>
      </c>
    </row>
    <row r="33" spans="1:10" x14ac:dyDescent="0.3">
      <c r="A33" s="135"/>
      <c r="B33" s="136"/>
      <c r="C33" s="138"/>
      <c r="D33" s="139"/>
      <c r="E33" s="141" t="str">
        <f t="shared" si="2"/>
        <v/>
      </c>
      <c r="F33" s="144"/>
      <c r="G33" s="146">
        <f t="shared" si="0"/>
        <v>0</v>
      </c>
      <c r="H33" s="141" t="str">
        <f t="shared" si="1"/>
        <v/>
      </c>
      <c r="J33" s="148" t="str">
        <f>IFERROR(SUMIFS(当年实际!$V:$V,当年实际!$H:$H,$B33,当年实际!$C:$C,"&gt;="&amp;DATE(YEAR(主页!$D$2),1,1),当年实际!$C:$C,"&lt;="&amp;EOMONTH(DATE(YEAR(主页!$D$2),MONTH(主页!$D$2),1),0))/SUMIFS(当年实际!$P:$P,当年实际!$H:$H,$B33,当年实际!$C:$C,"&gt;="&amp;DATE(YEAR(主页!$D$2),1,1),当年实际!$C:$C,"&lt;="&amp;EOMONTH(DATE(YEAR(主页!$D$2),MONTH(主页!$D$2),1),0)),"")</f>
        <v/>
      </c>
    </row>
    <row r="34" spans="1:10" x14ac:dyDescent="0.3">
      <c r="A34" s="135"/>
      <c r="B34" s="136"/>
      <c r="C34" s="138"/>
      <c r="D34" s="139"/>
      <c r="E34" s="141" t="str">
        <f t="shared" si="2"/>
        <v/>
      </c>
      <c r="F34" s="144"/>
      <c r="G34" s="146">
        <f t="shared" si="0"/>
        <v>0</v>
      </c>
      <c r="H34" s="141" t="str">
        <f t="shared" si="1"/>
        <v/>
      </c>
      <c r="J34" s="148" t="str">
        <f>IFERROR(SUMIFS(当年实际!$V:$V,当年实际!$H:$H,$B34,当年实际!$C:$C,"&gt;="&amp;DATE(YEAR(主页!$D$2),1,1),当年实际!$C:$C,"&lt;="&amp;EOMONTH(DATE(YEAR(主页!$D$2),MONTH(主页!$D$2),1),0))/SUMIFS(当年实际!$P:$P,当年实际!$H:$H,$B34,当年实际!$C:$C,"&gt;="&amp;DATE(YEAR(主页!$D$2),1,1),当年实际!$C:$C,"&lt;="&amp;EOMONTH(DATE(YEAR(主页!$D$2),MONTH(主页!$D$2),1),0)),"")</f>
        <v/>
      </c>
    </row>
    <row r="35" spans="1:10" x14ac:dyDescent="0.3">
      <c r="A35" s="135"/>
      <c r="B35" s="136"/>
      <c r="C35" s="138"/>
      <c r="D35" s="139"/>
      <c r="E35" s="141" t="str">
        <f t="shared" si="2"/>
        <v/>
      </c>
      <c r="F35" s="144"/>
      <c r="G35" s="146">
        <f t="shared" si="0"/>
        <v>0</v>
      </c>
      <c r="H35" s="141" t="str">
        <f t="shared" si="1"/>
        <v/>
      </c>
      <c r="J35" s="148" t="str">
        <f>IFERROR(SUMIFS(当年实际!$V:$V,当年实际!$H:$H,$B35,当年实际!$C:$C,"&gt;="&amp;DATE(YEAR(主页!$D$2),1,1),当年实际!$C:$C,"&lt;="&amp;EOMONTH(DATE(YEAR(主页!$D$2),MONTH(主页!$D$2),1),0))/SUMIFS(当年实际!$P:$P,当年实际!$H:$H,$B35,当年实际!$C:$C,"&gt;="&amp;DATE(YEAR(主页!$D$2),1,1),当年实际!$C:$C,"&lt;="&amp;EOMONTH(DATE(YEAR(主页!$D$2),MONTH(主页!$D$2),1),0)),"")</f>
        <v/>
      </c>
    </row>
    <row r="36" spans="1:10" x14ac:dyDescent="0.3">
      <c r="A36" s="135"/>
      <c r="B36" s="136"/>
      <c r="C36" s="138"/>
      <c r="D36" s="139"/>
      <c r="E36" s="141" t="str">
        <f t="shared" si="2"/>
        <v/>
      </c>
      <c r="F36" s="144"/>
      <c r="G36" s="146">
        <f t="shared" si="0"/>
        <v>0</v>
      </c>
      <c r="H36" s="141" t="str">
        <f t="shared" si="1"/>
        <v/>
      </c>
      <c r="J36" s="148" t="str">
        <f>IFERROR(SUMIFS(当年实际!$V:$V,当年实际!$H:$H,$B36,当年实际!$C:$C,"&gt;="&amp;DATE(YEAR(主页!$D$2),1,1),当年实际!$C:$C,"&lt;="&amp;EOMONTH(DATE(YEAR(主页!$D$2),MONTH(主页!$D$2),1),0))/SUMIFS(当年实际!$P:$P,当年实际!$H:$H,$B36,当年实际!$C:$C,"&gt;="&amp;DATE(YEAR(主页!$D$2),1,1),当年实际!$C:$C,"&lt;="&amp;EOMONTH(DATE(YEAR(主页!$D$2),MONTH(主页!$D$2),1),0)),"")</f>
        <v/>
      </c>
    </row>
    <row r="37" spans="1:10" x14ac:dyDescent="0.3">
      <c r="A37" s="135"/>
      <c r="B37" s="136"/>
      <c r="C37" s="138"/>
      <c r="D37" s="139"/>
      <c r="E37" s="141" t="str">
        <f t="shared" si="2"/>
        <v/>
      </c>
      <c r="F37" s="144"/>
      <c r="G37" s="146">
        <f t="shared" si="0"/>
        <v>0</v>
      </c>
      <c r="H37" s="141" t="str">
        <f t="shared" si="1"/>
        <v/>
      </c>
      <c r="J37" s="148" t="str">
        <f>IFERROR(SUMIFS(当年实际!$V:$V,当年实际!$H:$H,$B37,当年实际!$C:$C,"&gt;="&amp;DATE(YEAR(主页!$D$2),1,1),当年实际!$C:$C,"&lt;="&amp;EOMONTH(DATE(YEAR(主页!$D$2),MONTH(主页!$D$2),1),0))/SUMIFS(当年实际!$P:$P,当年实际!$H:$H,$B37,当年实际!$C:$C,"&gt;="&amp;DATE(YEAR(主页!$D$2),1,1),当年实际!$C:$C,"&lt;="&amp;EOMONTH(DATE(YEAR(主页!$D$2),MONTH(主页!$D$2),1),0)),"")</f>
        <v/>
      </c>
    </row>
    <row r="38" spans="1:10" x14ac:dyDescent="0.3">
      <c r="A38" s="135"/>
      <c r="B38" s="136"/>
      <c r="C38" s="138"/>
      <c r="D38" s="139"/>
      <c r="E38" s="141" t="str">
        <f t="shared" si="2"/>
        <v/>
      </c>
      <c r="F38" s="144"/>
      <c r="G38" s="146">
        <f t="shared" si="0"/>
        <v>0</v>
      </c>
      <c r="H38" s="141" t="str">
        <f t="shared" si="1"/>
        <v/>
      </c>
      <c r="J38" s="148" t="str">
        <f>IFERROR(SUMIFS(当年实际!$V:$V,当年实际!$H:$H,$B38,当年实际!$C:$C,"&gt;="&amp;DATE(YEAR(主页!$D$2),1,1),当年实际!$C:$C,"&lt;="&amp;EOMONTH(DATE(YEAR(主页!$D$2),MONTH(主页!$D$2),1),0))/SUMIFS(当年实际!$P:$P,当年实际!$H:$H,$B38,当年实际!$C:$C,"&gt;="&amp;DATE(YEAR(主页!$D$2),1,1),当年实际!$C:$C,"&lt;="&amp;EOMONTH(DATE(YEAR(主页!$D$2),MONTH(主页!$D$2),1),0)),"")</f>
        <v/>
      </c>
    </row>
    <row r="39" spans="1:10" x14ac:dyDescent="0.3">
      <c r="A39" s="135"/>
      <c r="B39" s="136"/>
      <c r="C39" s="138"/>
      <c r="D39" s="139"/>
      <c r="E39" s="141" t="str">
        <f t="shared" si="2"/>
        <v/>
      </c>
      <c r="F39" s="144"/>
      <c r="G39" s="146">
        <f t="shared" si="0"/>
        <v>0</v>
      </c>
      <c r="H39" s="141" t="str">
        <f t="shared" si="1"/>
        <v/>
      </c>
      <c r="J39" s="148" t="str">
        <f>IFERROR(SUMIFS(当年实际!$V:$V,当年实际!$H:$H,$B39,当年实际!$C:$C,"&gt;="&amp;DATE(YEAR(主页!$D$2),1,1),当年实际!$C:$C,"&lt;="&amp;EOMONTH(DATE(YEAR(主页!$D$2),MONTH(主页!$D$2),1),0))/SUMIFS(当年实际!$P:$P,当年实际!$H:$H,$B39,当年实际!$C:$C,"&gt;="&amp;DATE(YEAR(主页!$D$2),1,1),当年实际!$C:$C,"&lt;="&amp;EOMONTH(DATE(YEAR(主页!$D$2),MONTH(主页!$D$2),1),0)),"")</f>
        <v/>
      </c>
    </row>
    <row r="40" spans="1:10" x14ac:dyDescent="0.3">
      <c r="A40" s="135"/>
      <c r="B40" s="136"/>
      <c r="C40" s="138"/>
      <c r="D40" s="139"/>
      <c r="E40" s="141" t="str">
        <f t="shared" si="2"/>
        <v/>
      </c>
      <c r="F40" s="144"/>
      <c r="G40" s="146">
        <f t="shared" si="0"/>
        <v>0</v>
      </c>
      <c r="H40" s="141" t="str">
        <f t="shared" si="1"/>
        <v/>
      </c>
      <c r="J40" s="148" t="str">
        <f>IFERROR(SUMIFS(当年实际!$V:$V,当年实际!$H:$H,$B40,当年实际!$C:$C,"&gt;="&amp;DATE(YEAR(主页!$D$2),1,1),当年实际!$C:$C,"&lt;="&amp;EOMONTH(DATE(YEAR(主页!$D$2),MONTH(主页!$D$2),1),0))/SUMIFS(当年实际!$P:$P,当年实际!$H:$H,$B40,当年实际!$C:$C,"&gt;="&amp;DATE(YEAR(主页!$D$2),1,1),当年实际!$C:$C,"&lt;="&amp;EOMONTH(DATE(YEAR(主页!$D$2),MONTH(主页!$D$2),1),0)),"")</f>
        <v/>
      </c>
    </row>
    <row r="41" spans="1:10" x14ac:dyDescent="0.3">
      <c r="A41" s="135"/>
      <c r="B41" s="136"/>
      <c r="C41" s="138"/>
      <c r="D41" s="139"/>
      <c r="E41" s="141" t="str">
        <f t="shared" si="2"/>
        <v/>
      </c>
      <c r="F41" s="144"/>
      <c r="G41" s="146">
        <f t="shared" si="0"/>
        <v>0</v>
      </c>
      <c r="H41" s="141" t="str">
        <f t="shared" si="1"/>
        <v/>
      </c>
      <c r="J41" s="148" t="str">
        <f>IFERROR(SUMIFS(当年实际!$V:$V,当年实际!$H:$H,$B41,当年实际!$C:$C,"&gt;="&amp;DATE(YEAR(主页!$D$2),1,1),当年实际!$C:$C,"&lt;="&amp;EOMONTH(DATE(YEAR(主页!$D$2),MONTH(主页!$D$2),1),0))/SUMIFS(当年实际!$P:$P,当年实际!$H:$H,$B41,当年实际!$C:$C,"&gt;="&amp;DATE(YEAR(主页!$D$2),1,1),当年实际!$C:$C,"&lt;="&amp;EOMONTH(DATE(YEAR(主页!$D$2),MONTH(主页!$D$2),1),0)),"")</f>
        <v/>
      </c>
    </row>
    <row r="42" spans="1:10" x14ac:dyDescent="0.3">
      <c r="A42" s="135"/>
      <c r="B42" s="136"/>
      <c r="C42" s="138"/>
      <c r="D42" s="139"/>
      <c r="E42" s="141" t="str">
        <f t="shared" si="2"/>
        <v/>
      </c>
      <c r="F42" s="144"/>
      <c r="G42" s="146">
        <f t="shared" si="0"/>
        <v>0</v>
      </c>
      <c r="H42" s="141" t="str">
        <f t="shared" si="1"/>
        <v/>
      </c>
      <c r="J42" s="148" t="str">
        <f>IFERROR(SUMIFS(当年实际!$V:$V,当年实际!$H:$H,$B42,当年实际!$C:$C,"&gt;="&amp;DATE(YEAR(主页!$D$2),1,1),当年实际!$C:$C,"&lt;="&amp;EOMONTH(DATE(YEAR(主页!$D$2),MONTH(主页!$D$2),1),0))/SUMIFS(当年实际!$P:$P,当年实际!$H:$H,$B42,当年实际!$C:$C,"&gt;="&amp;DATE(YEAR(主页!$D$2),1,1),当年实际!$C:$C,"&lt;="&amp;EOMONTH(DATE(YEAR(主页!$D$2),MONTH(主页!$D$2),1),0)),"")</f>
        <v/>
      </c>
    </row>
    <row r="43" spans="1:10" x14ac:dyDescent="0.3">
      <c r="A43" s="135"/>
      <c r="B43" s="136"/>
      <c r="C43" s="138"/>
      <c r="D43" s="139"/>
      <c r="E43" s="141" t="str">
        <f t="shared" si="2"/>
        <v/>
      </c>
      <c r="F43" s="144"/>
      <c r="G43" s="146">
        <f t="shared" si="0"/>
        <v>0</v>
      </c>
      <c r="H43" s="141" t="str">
        <f t="shared" si="1"/>
        <v/>
      </c>
      <c r="J43" s="148" t="str">
        <f>IFERROR(SUMIFS(当年实际!$V:$V,当年实际!$H:$H,$B43,当年实际!$C:$C,"&gt;="&amp;DATE(YEAR(主页!$D$2),1,1),当年实际!$C:$C,"&lt;="&amp;EOMONTH(DATE(YEAR(主页!$D$2),MONTH(主页!$D$2),1),0))/SUMIFS(当年实际!$P:$P,当年实际!$H:$H,$B43,当年实际!$C:$C,"&gt;="&amp;DATE(YEAR(主页!$D$2),1,1),当年实际!$C:$C,"&lt;="&amp;EOMONTH(DATE(YEAR(主页!$D$2),MONTH(主页!$D$2),1),0)),"")</f>
        <v/>
      </c>
    </row>
    <row r="44" spans="1:10" x14ac:dyDescent="0.3">
      <c r="A44" s="135"/>
      <c r="B44" s="136"/>
      <c r="C44" s="138"/>
      <c r="D44" s="139"/>
      <c r="E44" s="141" t="str">
        <f t="shared" si="2"/>
        <v/>
      </c>
      <c r="F44" s="144"/>
      <c r="G44" s="146">
        <f t="shared" si="0"/>
        <v>0</v>
      </c>
      <c r="H44" s="141" t="str">
        <f t="shared" si="1"/>
        <v/>
      </c>
      <c r="J44" s="148" t="str">
        <f>IFERROR(SUMIFS(当年实际!$V:$V,当年实际!$H:$H,$B44,当年实际!$C:$C,"&gt;="&amp;DATE(YEAR(主页!$D$2),1,1),当年实际!$C:$C,"&lt;="&amp;EOMONTH(DATE(YEAR(主页!$D$2),MONTH(主页!$D$2),1),0))/SUMIFS(当年实际!$P:$P,当年实际!$H:$H,$B44,当年实际!$C:$C,"&gt;="&amp;DATE(YEAR(主页!$D$2),1,1),当年实际!$C:$C,"&lt;="&amp;EOMONTH(DATE(YEAR(主页!$D$2),MONTH(主页!$D$2),1),0)),"")</f>
        <v/>
      </c>
    </row>
    <row r="45" spans="1:10" x14ac:dyDescent="0.3">
      <c r="A45" s="135"/>
      <c r="B45" s="136"/>
      <c r="C45" s="138"/>
      <c r="D45" s="139"/>
      <c r="E45" s="141" t="str">
        <f t="shared" si="2"/>
        <v/>
      </c>
      <c r="F45" s="144"/>
      <c r="G45" s="146">
        <f t="shared" si="0"/>
        <v>0</v>
      </c>
      <c r="H45" s="141" t="str">
        <f t="shared" si="1"/>
        <v/>
      </c>
      <c r="J45" s="148" t="str">
        <f>IFERROR(SUMIFS(当年实际!$V:$V,当年实际!$H:$H,$B45,当年实际!$C:$C,"&gt;="&amp;DATE(YEAR(主页!$D$2),1,1),当年实际!$C:$C,"&lt;="&amp;EOMONTH(DATE(YEAR(主页!$D$2),MONTH(主页!$D$2),1),0))/SUMIFS(当年实际!$P:$P,当年实际!$H:$H,$B45,当年实际!$C:$C,"&gt;="&amp;DATE(YEAR(主页!$D$2),1,1),当年实际!$C:$C,"&lt;="&amp;EOMONTH(DATE(YEAR(主页!$D$2),MONTH(主页!$D$2),1),0)),"")</f>
        <v/>
      </c>
    </row>
    <row r="46" spans="1:10" x14ac:dyDescent="0.3">
      <c r="A46" s="135"/>
      <c r="B46" s="136"/>
      <c r="C46" s="138"/>
      <c r="D46" s="139"/>
      <c r="E46" s="141" t="str">
        <f t="shared" si="2"/>
        <v/>
      </c>
      <c r="F46" s="144"/>
      <c r="G46" s="146">
        <f t="shared" si="0"/>
        <v>0</v>
      </c>
      <c r="H46" s="141" t="str">
        <f t="shared" si="1"/>
        <v/>
      </c>
      <c r="J46" s="148" t="str">
        <f>IFERROR(SUMIFS(当年实际!$V:$V,当年实际!$H:$H,$B46,当年实际!$C:$C,"&gt;="&amp;DATE(YEAR(主页!$D$2),1,1),当年实际!$C:$C,"&lt;="&amp;EOMONTH(DATE(YEAR(主页!$D$2),MONTH(主页!$D$2),1),0))/SUMIFS(当年实际!$P:$P,当年实际!$H:$H,$B46,当年实际!$C:$C,"&gt;="&amp;DATE(YEAR(主页!$D$2),1,1),当年实际!$C:$C,"&lt;="&amp;EOMONTH(DATE(YEAR(主页!$D$2),MONTH(主页!$D$2),1),0)),"")</f>
        <v/>
      </c>
    </row>
    <row r="47" spans="1:10" x14ac:dyDescent="0.3">
      <c r="A47" s="135"/>
      <c r="B47" s="136"/>
      <c r="C47" s="138"/>
      <c r="D47" s="139"/>
      <c r="E47" s="141" t="str">
        <f t="shared" si="2"/>
        <v/>
      </c>
      <c r="F47" s="144"/>
      <c r="G47" s="146">
        <f t="shared" si="0"/>
        <v>0</v>
      </c>
      <c r="H47" s="141" t="str">
        <f t="shared" si="1"/>
        <v/>
      </c>
      <c r="J47" s="148" t="str">
        <f>IFERROR(SUMIFS(当年实际!$V:$V,当年实际!$H:$H,$B47,当年实际!$C:$C,"&gt;="&amp;DATE(YEAR(主页!$D$2),1,1),当年实际!$C:$C,"&lt;="&amp;EOMONTH(DATE(YEAR(主页!$D$2),MONTH(主页!$D$2),1),0))/SUMIFS(当年实际!$P:$P,当年实际!$H:$H,$B47,当年实际!$C:$C,"&gt;="&amp;DATE(YEAR(主页!$D$2),1,1),当年实际!$C:$C,"&lt;="&amp;EOMONTH(DATE(YEAR(主页!$D$2),MONTH(主页!$D$2),1),0)),"")</f>
        <v/>
      </c>
    </row>
    <row r="48" spans="1:10" x14ac:dyDescent="0.3">
      <c r="A48" s="135"/>
      <c r="B48" s="136"/>
      <c r="C48" s="138"/>
      <c r="D48" s="139"/>
      <c r="E48" s="141" t="str">
        <f t="shared" si="2"/>
        <v/>
      </c>
      <c r="F48" s="144"/>
      <c r="G48" s="146">
        <f t="shared" si="0"/>
        <v>0</v>
      </c>
      <c r="H48" s="141" t="str">
        <f t="shared" si="1"/>
        <v/>
      </c>
      <c r="J48" s="148" t="str">
        <f>IFERROR(SUMIFS(当年实际!$V:$V,当年实际!$H:$H,$B48,当年实际!$C:$C,"&gt;="&amp;DATE(YEAR(主页!$D$2),1,1),当年实际!$C:$C,"&lt;="&amp;EOMONTH(DATE(YEAR(主页!$D$2),MONTH(主页!$D$2),1),0))/SUMIFS(当年实际!$P:$P,当年实际!$H:$H,$B48,当年实际!$C:$C,"&gt;="&amp;DATE(YEAR(主页!$D$2),1,1),当年实际!$C:$C,"&lt;="&amp;EOMONTH(DATE(YEAR(主页!$D$2),MONTH(主页!$D$2),1),0)),"")</f>
        <v/>
      </c>
    </row>
    <row r="49" spans="1:10" x14ac:dyDescent="0.3">
      <c r="A49" s="135"/>
      <c r="B49" s="136"/>
      <c r="C49" s="138"/>
      <c r="D49" s="139"/>
      <c r="E49" s="141" t="str">
        <f t="shared" si="2"/>
        <v/>
      </c>
      <c r="F49" s="144"/>
      <c r="G49" s="146">
        <f t="shared" si="0"/>
        <v>0</v>
      </c>
      <c r="H49" s="141" t="str">
        <f t="shared" si="1"/>
        <v/>
      </c>
      <c r="J49" s="148" t="str">
        <f>IFERROR(SUMIFS(当年实际!$V:$V,当年实际!$H:$H,$B49,当年实际!$C:$C,"&gt;="&amp;DATE(YEAR(主页!$D$2),1,1),当年实际!$C:$C,"&lt;="&amp;EOMONTH(DATE(YEAR(主页!$D$2),MONTH(主页!$D$2),1),0))/SUMIFS(当年实际!$P:$P,当年实际!$H:$H,$B49,当年实际!$C:$C,"&gt;="&amp;DATE(YEAR(主页!$D$2),1,1),当年实际!$C:$C,"&lt;="&amp;EOMONTH(DATE(YEAR(主页!$D$2),MONTH(主页!$D$2),1),0)),"")</f>
        <v/>
      </c>
    </row>
    <row r="50" spans="1:10" x14ac:dyDescent="0.3">
      <c r="A50" s="135"/>
      <c r="B50" s="136"/>
      <c r="C50" s="138"/>
      <c r="D50" s="139"/>
      <c r="E50" s="141" t="str">
        <f t="shared" si="2"/>
        <v/>
      </c>
      <c r="F50" s="144"/>
      <c r="G50" s="146">
        <f t="shared" si="0"/>
        <v>0</v>
      </c>
      <c r="H50" s="141" t="str">
        <f t="shared" si="1"/>
        <v/>
      </c>
      <c r="J50" s="148" t="str">
        <f>IFERROR(SUMIFS(当年实际!$V:$V,当年实际!$H:$H,$B50,当年实际!$C:$C,"&gt;="&amp;DATE(YEAR(主页!$D$2),1,1),当年实际!$C:$C,"&lt;="&amp;EOMONTH(DATE(YEAR(主页!$D$2),MONTH(主页!$D$2),1),0))/SUMIFS(当年实际!$P:$P,当年实际!$H:$H,$B50,当年实际!$C:$C,"&gt;="&amp;DATE(YEAR(主页!$D$2),1,1),当年实际!$C:$C,"&lt;="&amp;EOMONTH(DATE(YEAR(主页!$D$2),MONTH(主页!$D$2),1),0)),"")</f>
        <v/>
      </c>
    </row>
    <row r="51" spans="1:10" x14ac:dyDescent="0.3">
      <c r="A51" s="135"/>
      <c r="B51" s="136"/>
      <c r="C51" s="138"/>
      <c r="D51" s="139"/>
      <c r="E51" s="141" t="str">
        <f t="shared" si="2"/>
        <v/>
      </c>
      <c r="F51" s="144"/>
      <c r="G51" s="146">
        <f t="shared" si="0"/>
        <v>0</v>
      </c>
      <c r="H51" s="141" t="str">
        <f t="shared" si="1"/>
        <v/>
      </c>
      <c r="J51" s="148" t="str">
        <f>IFERROR(SUMIFS(当年实际!$V:$V,当年实际!$H:$H,$B51,当年实际!$C:$C,"&gt;="&amp;DATE(YEAR(主页!$D$2),1,1),当年实际!$C:$C,"&lt;="&amp;EOMONTH(DATE(YEAR(主页!$D$2),MONTH(主页!$D$2),1),0))/SUMIFS(当年实际!$P:$P,当年实际!$H:$H,$B51,当年实际!$C:$C,"&gt;="&amp;DATE(YEAR(主页!$D$2),1,1),当年实际!$C:$C,"&lt;="&amp;EOMONTH(DATE(YEAR(主页!$D$2),MONTH(主页!$D$2),1),0)),"")</f>
        <v/>
      </c>
    </row>
    <row r="52" spans="1:10" x14ac:dyDescent="0.3">
      <c r="A52" s="135"/>
      <c r="B52" s="136"/>
      <c r="C52" s="138"/>
      <c r="D52" s="139"/>
      <c r="E52" s="141" t="str">
        <f t="shared" si="2"/>
        <v/>
      </c>
      <c r="F52" s="144"/>
      <c r="G52" s="146">
        <f t="shared" si="0"/>
        <v>0</v>
      </c>
      <c r="H52" s="141" t="str">
        <f t="shared" si="1"/>
        <v/>
      </c>
      <c r="J52" s="148" t="str">
        <f>IFERROR(SUMIFS(当年实际!$V:$V,当年实际!$H:$H,$B52,当年实际!$C:$C,"&gt;="&amp;DATE(YEAR(主页!$D$2),1,1),当年实际!$C:$C,"&lt;="&amp;EOMONTH(DATE(YEAR(主页!$D$2),MONTH(主页!$D$2),1),0))/SUMIFS(当年实际!$P:$P,当年实际!$H:$H,$B52,当年实际!$C:$C,"&gt;="&amp;DATE(YEAR(主页!$D$2),1,1),当年实际!$C:$C,"&lt;="&amp;EOMONTH(DATE(YEAR(主页!$D$2),MONTH(主页!$D$2),1),0)),"")</f>
        <v/>
      </c>
    </row>
    <row r="53" spans="1:10" x14ac:dyDescent="0.3">
      <c r="A53" s="135"/>
      <c r="B53" s="136"/>
      <c r="C53" s="138"/>
      <c r="D53" s="139"/>
      <c r="E53" s="141" t="str">
        <f t="shared" si="2"/>
        <v/>
      </c>
      <c r="F53" s="144"/>
      <c r="G53" s="146">
        <f t="shared" si="0"/>
        <v>0</v>
      </c>
      <c r="H53" s="141" t="str">
        <f t="shared" si="1"/>
        <v/>
      </c>
      <c r="J53" s="148" t="str">
        <f>IFERROR(SUMIFS(当年实际!$V:$V,当年实际!$H:$H,$B53,当年实际!$C:$C,"&gt;="&amp;DATE(YEAR(主页!$D$2),1,1),当年实际!$C:$C,"&lt;="&amp;EOMONTH(DATE(YEAR(主页!$D$2),MONTH(主页!$D$2),1),0))/SUMIFS(当年实际!$P:$P,当年实际!$H:$H,$B53,当年实际!$C:$C,"&gt;="&amp;DATE(YEAR(主页!$D$2),1,1),当年实际!$C:$C,"&lt;="&amp;EOMONTH(DATE(YEAR(主页!$D$2),MONTH(主页!$D$2),1),0)),"")</f>
        <v/>
      </c>
    </row>
    <row r="54" spans="1:10" x14ac:dyDescent="0.3">
      <c r="A54" s="135"/>
      <c r="B54" s="136"/>
      <c r="C54" s="138"/>
      <c r="D54" s="139"/>
      <c r="E54" s="141" t="str">
        <f t="shared" si="2"/>
        <v/>
      </c>
      <c r="F54" s="144"/>
      <c r="G54" s="146">
        <f t="shared" si="0"/>
        <v>0</v>
      </c>
      <c r="H54" s="141" t="str">
        <f t="shared" si="1"/>
        <v/>
      </c>
      <c r="J54" s="148" t="str">
        <f>IFERROR(SUMIFS(当年实际!$V:$V,当年实际!$H:$H,$B54,当年实际!$C:$C,"&gt;="&amp;DATE(YEAR(主页!$D$2),1,1),当年实际!$C:$C,"&lt;="&amp;EOMONTH(DATE(YEAR(主页!$D$2),MONTH(主页!$D$2),1),0))/SUMIFS(当年实际!$P:$P,当年实际!$H:$H,$B54,当年实际!$C:$C,"&gt;="&amp;DATE(YEAR(主页!$D$2),1,1),当年实际!$C:$C,"&lt;="&amp;EOMONTH(DATE(YEAR(主页!$D$2),MONTH(主页!$D$2),1),0)),"")</f>
        <v/>
      </c>
    </row>
    <row r="55" spans="1:10" x14ac:dyDescent="0.3">
      <c r="A55" s="135"/>
      <c r="B55" s="136"/>
      <c r="C55" s="138"/>
      <c r="D55" s="139"/>
      <c r="E55" s="141" t="str">
        <f t="shared" si="2"/>
        <v/>
      </c>
      <c r="F55" s="144"/>
      <c r="G55" s="146">
        <f t="shared" si="0"/>
        <v>0</v>
      </c>
      <c r="H55" s="141" t="str">
        <f t="shared" si="1"/>
        <v/>
      </c>
      <c r="J55" s="148" t="str">
        <f>IFERROR(SUMIFS(当年实际!$V:$V,当年实际!$H:$H,$B55,当年实际!$C:$C,"&gt;="&amp;DATE(YEAR(主页!$D$2),1,1),当年实际!$C:$C,"&lt;="&amp;EOMONTH(DATE(YEAR(主页!$D$2),MONTH(主页!$D$2),1),0))/SUMIFS(当年实际!$P:$P,当年实际!$H:$H,$B55,当年实际!$C:$C,"&gt;="&amp;DATE(YEAR(主页!$D$2),1,1),当年实际!$C:$C,"&lt;="&amp;EOMONTH(DATE(YEAR(主页!$D$2),MONTH(主页!$D$2),1),0)),"")</f>
        <v/>
      </c>
    </row>
    <row r="56" spans="1:10" x14ac:dyDescent="0.3">
      <c r="A56" s="135"/>
      <c r="B56" s="136"/>
      <c r="C56" s="138"/>
      <c r="D56" s="139"/>
      <c r="E56" s="141" t="str">
        <f t="shared" si="2"/>
        <v/>
      </c>
      <c r="F56" s="144"/>
      <c r="G56" s="146">
        <f t="shared" si="0"/>
        <v>0</v>
      </c>
      <c r="H56" s="141" t="str">
        <f t="shared" si="1"/>
        <v/>
      </c>
      <c r="J56" s="148" t="str">
        <f>IFERROR(SUMIFS(当年实际!$V:$V,当年实际!$H:$H,$B56,当年实际!$C:$C,"&gt;="&amp;DATE(YEAR(主页!$D$2),1,1),当年实际!$C:$C,"&lt;="&amp;EOMONTH(DATE(YEAR(主页!$D$2),MONTH(主页!$D$2),1),0))/SUMIFS(当年实际!$P:$P,当年实际!$H:$H,$B56,当年实际!$C:$C,"&gt;="&amp;DATE(YEAR(主页!$D$2),1,1),当年实际!$C:$C,"&lt;="&amp;EOMONTH(DATE(YEAR(主页!$D$2),MONTH(主页!$D$2),1),0)),"")</f>
        <v/>
      </c>
    </row>
    <row r="57" spans="1:10" x14ac:dyDescent="0.3">
      <c r="A57" s="135"/>
      <c r="B57" s="136"/>
      <c r="C57" s="138"/>
      <c r="D57" s="139"/>
      <c r="E57" s="141" t="str">
        <f t="shared" si="2"/>
        <v/>
      </c>
      <c r="F57" s="144"/>
      <c r="G57" s="146">
        <f t="shared" si="0"/>
        <v>0</v>
      </c>
      <c r="H57" s="141" t="str">
        <f t="shared" si="1"/>
        <v/>
      </c>
      <c r="J57" s="148" t="str">
        <f>IFERROR(SUMIFS(当年实际!$V:$V,当年实际!$H:$H,$B57,当年实际!$C:$C,"&gt;="&amp;DATE(YEAR(主页!$D$2),1,1),当年实际!$C:$C,"&lt;="&amp;EOMONTH(DATE(YEAR(主页!$D$2),MONTH(主页!$D$2),1),0))/SUMIFS(当年实际!$P:$P,当年实际!$H:$H,$B57,当年实际!$C:$C,"&gt;="&amp;DATE(YEAR(主页!$D$2),1,1),当年实际!$C:$C,"&lt;="&amp;EOMONTH(DATE(YEAR(主页!$D$2),MONTH(主页!$D$2),1),0)),"")</f>
        <v/>
      </c>
    </row>
    <row r="58" spans="1:10" x14ac:dyDescent="0.3">
      <c r="A58" s="135"/>
      <c r="B58" s="136"/>
      <c r="C58" s="138"/>
      <c r="D58" s="139"/>
      <c r="E58" s="141" t="str">
        <f t="shared" si="2"/>
        <v/>
      </c>
      <c r="F58" s="144"/>
      <c r="G58" s="146">
        <f t="shared" si="0"/>
        <v>0</v>
      </c>
      <c r="H58" s="141" t="str">
        <f t="shared" si="1"/>
        <v/>
      </c>
      <c r="J58" s="148" t="str">
        <f>IFERROR(SUMIFS(当年实际!$V:$V,当年实际!$H:$H,$B58,当年实际!$C:$C,"&gt;="&amp;DATE(YEAR(主页!$D$2),1,1),当年实际!$C:$C,"&lt;="&amp;EOMONTH(DATE(YEAR(主页!$D$2),MONTH(主页!$D$2),1),0))/SUMIFS(当年实际!$P:$P,当年实际!$H:$H,$B58,当年实际!$C:$C,"&gt;="&amp;DATE(YEAR(主页!$D$2),1,1),当年实际!$C:$C,"&lt;="&amp;EOMONTH(DATE(YEAR(主页!$D$2),MONTH(主页!$D$2),1),0)),"")</f>
        <v/>
      </c>
    </row>
    <row r="59" spans="1:10" x14ac:dyDescent="0.3">
      <c r="A59" s="135"/>
      <c r="B59" s="136"/>
      <c r="C59" s="138"/>
      <c r="D59" s="139"/>
      <c r="E59" s="141" t="str">
        <f t="shared" si="2"/>
        <v/>
      </c>
      <c r="F59" s="144"/>
      <c r="G59" s="146">
        <f t="shared" si="0"/>
        <v>0</v>
      </c>
      <c r="H59" s="141" t="str">
        <f t="shared" si="1"/>
        <v/>
      </c>
      <c r="J59" s="148" t="str">
        <f>IFERROR(SUMIFS(当年实际!$V:$V,当年实际!$H:$H,$B59,当年实际!$C:$C,"&gt;="&amp;DATE(YEAR(主页!$D$2),1,1),当年实际!$C:$C,"&lt;="&amp;EOMONTH(DATE(YEAR(主页!$D$2),MONTH(主页!$D$2),1),0))/SUMIFS(当年实际!$P:$P,当年实际!$H:$H,$B59,当年实际!$C:$C,"&gt;="&amp;DATE(YEAR(主页!$D$2),1,1),当年实际!$C:$C,"&lt;="&amp;EOMONTH(DATE(YEAR(主页!$D$2),MONTH(主页!$D$2),1),0)),"")</f>
        <v/>
      </c>
    </row>
    <row r="60" spans="1:10" x14ac:dyDescent="0.3">
      <c r="A60" s="135"/>
      <c r="B60" s="136"/>
      <c r="C60" s="138"/>
      <c r="D60" s="139"/>
      <c r="E60" s="141" t="str">
        <f t="shared" si="2"/>
        <v/>
      </c>
      <c r="F60" s="144"/>
      <c r="G60" s="146">
        <f t="shared" si="0"/>
        <v>0</v>
      </c>
      <c r="H60" s="141" t="str">
        <f t="shared" si="1"/>
        <v/>
      </c>
      <c r="J60" s="148" t="str">
        <f>IFERROR(SUMIFS(当年实际!$V:$V,当年实际!$H:$H,$B60,当年实际!$C:$C,"&gt;="&amp;DATE(YEAR(主页!$D$2),1,1),当年实际!$C:$C,"&lt;="&amp;EOMONTH(DATE(YEAR(主页!$D$2),MONTH(主页!$D$2),1),0))/SUMIFS(当年实际!$P:$P,当年实际!$H:$H,$B60,当年实际!$C:$C,"&gt;="&amp;DATE(YEAR(主页!$D$2),1,1),当年实际!$C:$C,"&lt;="&amp;EOMONTH(DATE(YEAR(主页!$D$2),MONTH(主页!$D$2),1),0)),"")</f>
        <v/>
      </c>
    </row>
    <row r="61" spans="1:10" x14ac:dyDescent="0.3">
      <c r="A61" s="135"/>
      <c r="B61" s="136"/>
      <c r="C61" s="138"/>
      <c r="D61" s="139"/>
      <c r="E61" s="141" t="str">
        <f t="shared" si="2"/>
        <v/>
      </c>
      <c r="F61" s="144"/>
      <c r="G61" s="146">
        <f t="shared" si="0"/>
        <v>0</v>
      </c>
      <c r="H61" s="141" t="str">
        <f t="shared" si="1"/>
        <v/>
      </c>
      <c r="J61" s="148" t="str">
        <f>IFERROR(SUMIFS(当年实际!$V:$V,当年实际!$H:$H,$B61,当年实际!$C:$C,"&gt;="&amp;DATE(YEAR(主页!$D$2),1,1),当年实际!$C:$C,"&lt;="&amp;EOMONTH(DATE(YEAR(主页!$D$2),MONTH(主页!$D$2),1),0))/SUMIFS(当年实际!$P:$P,当年实际!$H:$H,$B61,当年实际!$C:$C,"&gt;="&amp;DATE(YEAR(主页!$D$2),1,1),当年实际!$C:$C,"&lt;="&amp;EOMONTH(DATE(YEAR(主页!$D$2),MONTH(主页!$D$2),1),0)),"")</f>
        <v/>
      </c>
    </row>
    <row r="62" spans="1:10" x14ac:dyDescent="0.3">
      <c r="A62" s="135"/>
      <c r="B62" s="136"/>
      <c r="C62" s="138"/>
      <c r="D62" s="139"/>
      <c r="E62" s="141" t="str">
        <f t="shared" si="2"/>
        <v/>
      </c>
      <c r="F62" s="144"/>
      <c r="G62" s="146">
        <f t="shared" si="0"/>
        <v>0</v>
      </c>
      <c r="H62" s="141" t="str">
        <f t="shared" si="1"/>
        <v/>
      </c>
      <c r="J62" s="148" t="str">
        <f>IFERROR(SUMIFS(当年实际!$V:$V,当年实际!$H:$H,$B62,当年实际!$C:$C,"&gt;="&amp;DATE(YEAR(主页!$D$2),1,1),当年实际!$C:$C,"&lt;="&amp;EOMONTH(DATE(YEAR(主页!$D$2),MONTH(主页!$D$2),1),0))/SUMIFS(当年实际!$P:$P,当年实际!$H:$H,$B62,当年实际!$C:$C,"&gt;="&amp;DATE(YEAR(主页!$D$2),1,1),当年实际!$C:$C,"&lt;="&amp;EOMONTH(DATE(YEAR(主页!$D$2),MONTH(主页!$D$2),1),0)),"")</f>
        <v/>
      </c>
    </row>
    <row r="63" spans="1:10" x14ac:dyDescent="0.3">
      <c r="A63" s="135"/>
      <c r="B63" s="136"/>
      <c r="C63" s="138"/>
      <c r="D63" s="139"/>
      <c r="E63" s="141" t="str">
        <f t="shared" si="2"/>
        <v/>
      </c>
      <c r="F63" s="144"/>
      <c r="G63" s="146">
        <f t="shared" si="0"/>
        <v>0</v>
      </c>
      <c r="H63" s="141" t="str">
        <f t="shared" si="1"/>
        <v/>
      </c>
      <c r="J63" s="148" t="str">
        <f>IFERROR(SUMIFS(当年实际!$V:$V,当年实际!$H:$H,$B63,当年实际!$C:$C,"&gt;="&amp;DATE(YEAR(主页!$D$2),1,1),当年实际!$C:$C,"&lt;="&amp;EOMONTH(DATE(YEAR(主页!$D$2),MONTH(主页!$D$2),1),0))/SUMIFS(当年实际!$P:$P,当年实际!$H:$H,$B63,当年实际!$C:$C,"&gt;="&amp;DATE(YEAR(主页!$D$2),1,1),当年实际!$C:$C,"&lt;="&amp;EOMONTH(DATE(YEAR(主页!$D$2),MONTH(主页!$D$2),1),0)),"")</f>
        <v/>
      </c>
    </row>
    <row r="64" spans="1:10" x14ac:dyDescent="0.3">
      <c r="A64" s="135"/>
      <c r="B64" s="136"/>
      <c r="C64" s="138"/>
      <c r="D64" s="139"/>
      <c r="E64" s="141" t="str">
        <f t="shared" si="2"/>
        <v/>
      </c>
      <c r="F64" s="144"/>
      <c r="G64" s="146">
        <f t="shared" si="0"/>
        <v>0</v>
      </c>
      <c r="H64" s="141" t="str">
        <f t="shared" si="1"/>
        <v/>
      </c>
      <c r="J64" s="148" t="str">
        <f>IFERROR(SUMIFS(当年实际!$V:$V,当年实际!$H:$H,$B64,当年实际!$C:$C,"&gt;="&amp;DATE(YEAR(主页!$D$2),1,1),当年实际!$C:$C,"&lt;="&amp;EOMONTH(DATE(YEAR(主页!$D$2),MONTH(主页!$D$2),1),0))/SUMIFS(当年实际!$P:$P,当年实际!$H:$H,$B64,当年实际!$C:$C,"&gt;="&amp;DATE(YEAR(主页!$D$2),1,1),当年实际!$C:$C,"&lt;="&amp;EOMONTH(DATE(YEAR(主页!$D$2),MONTH(主页!$D$2),1),0)),"")</f>
        <v/>
      </c>
    </row>
    <row r="65" spans="1:10" x14ac:dyDescent="0.3">
      <c r="A65" s="135"/>
      <c r="B65" s="136"/>
      <c r="C65" s="138"/>
      <c r="D65" s="139"/>
      <c r="E65" s="141" t="str">
        <f t="shared" si="2"/>
        <v/>
      </c>
      <c r="F65" s="144"/>
      <c r="G65" s="146">
        <f t="shared" si="0"/>
        <v>0</v>
      </c>
      <c r="H65" s="141" t="str">
        <f t="shared" si="1"/>
        <v/>
      </c>
      <c r="J65" s="148" t="str">
        <f>IFERROR(SUMIFS(当年实际!$V:$V,当年实际!$H:$H,$B65,当年实际!$C:$C,"&gt;="&amp;DATE(YEAR(主页!$D$2),1,1),当年实际!$C:$C,"&lt;="&amp;EOMONTH(DATE(YEAR(主页!$D$2),MONTH(主页!$D$2),1),0))/SUMIFS(当年实际!$P:$P,当年实际!$H:$H,$B65,当年实际!$C:$C,"&gt;="&amp;DATE(YEAR(主页!$D$2),1,1),当年实际!$C:$C,"&lt;="&amp;EOMONTH(DATE(YEAR(主页!$D$2),MONTH(主页!$D$2),1),0)),"")</f>
        <v/>
      </c>
    </row>
    <row r="66" spans="1:10" x14ac:dyDescent="0.3">
      <c r="A66" s="135"/>
      <c r="B66" s="136"/>
      <c r="C66" s="138"/>
      <c r="D66" s="139"/>
      <c r="E66" s="141" t="str">
        <f t="shared" si="2"/>
        <v/>
      </c>
      <c r="F66" s="144"/>
      <c r="G66" s="146">
        <f t="shared" si="0"/>
        <v>0</v>
      </c>
      <c r="H66" s="141" t="str">
        <f t="shared" si="1"/>
        <v/>
      </c>
      <c r="J66" s="148" t="str">
        <f>IFERROR(SUMIFS(当年实际!$V:$V,当年实际!$H:$H,$B66,当年实际!$C:$C,"&gt;="&amp;DATE(YEAR(主页!$D$2),1,1),当年实际!$C:$C,"&lt;="&amp;EOMONTH(DATE(YEAR(主页!$D$2),MONTH(主页!$D$2),1),0))/SUMIFS(当年实际!$P:$P,当年实际!$H:$H,$B66,当年实际!$C:$C,"&gt;="&amp;DATE(YEAR(主页!$D$2),1,1),当年实际!$C:$C,"&lt;="&amp;EOMONTH(DATE(YEAR(主页!$D$2),MONTH(主页!$D$2),1),0)),"")</f>
        <v/>
      </c>
    </row>
    <row r="67" spans="1:10" x14ac:dyDescent="0.3">
      <c r="A67" s="135"/>
      <c r="B67" s="136"/>
      <c r="C67" s="138"/>
      <c r="D67" s="139"/>
      <c r="E67" s="141" t="str">
        <f t="shared" si="2"/>
        <v/>
      </c>
      <c r="F67" s="144"/>
      <c r="G67" s="146">
        <f t="shared" si="0"/>
        <v>0</v>
      </c>
      <c r="H67" s="141" t="str">
        <f t="shared" si="1"/>
        <v/>
      </c>
      <c r="J67" s="148" t="str">
        <f>IFERROR(SUMIFS(当年实际!$V:$V,当年实际!$H:$H,$B67,当年实际!$C:$C,"&gt;="&amp;DATE(YEAR(主页!$D$2),1,1),当年实际!$C:$C,"&lt;="&amp;EOMONTH(DATE(YEAR(主页!$D$2),MONTH(主页!$D$2),1),0))/SUMIFS(当年实际!$P:$P,当年实际!$H:$H,$B67,当年实际!$C:$C,"&gt;="&amp;DATE(YEAR(主页!$D$2),1,1),当年实际!$C:$C,"&lt;="&amp;EOMONTH(DATE(YEAR(主页!$D$2),MONTH(主页!$D$2),1),0)),"")</f>
        <v/>
      </c>
    </row>
    <row r="68" spans="1:10" x14ac:dyDescent="0.3">
      <c r="A68" s="135"/>
      <c r="B68" s="136"/>
      <c r="C68" s="138"/>
      <c r="D68" s="139"/>
      <c r="E68" s="141" t="str">
        <f t="shared" si="2"/>
        <v/>
      </c>
      <c r="F68" s="144"/>
      <c r="G68" s="146">
        <f t="shared" si="0"/>
        <v>0</v>
      </c>
      <c r="H68" s="141" t="str">
        <f t="shared" si="1"/>
        <v/>
      </c>
      <c r="J68" s="148" t="str">
        <f>IFERROR(SUMIFS(当年实际!$V:$V,当年实际!$H:$H,$B68,当年实际!$C:$C,"&gt;="&amp;DATE(YEAR(主页!$D$2),1,1),当年实际!$C:$C,"&lt;="&amp;EOMONTH(DATE(YEAR(主页!$D$2),MONTH(主页!$D$2),1),0))/SUMIFS(当年实际!$P:$P,当年实际!$H:$H,$B68,当年实际!$C:$C,"&gt;="&amp;DATE(YEAR(主页!$D$2),1,1),当年实际!$C:$C,"&lt;="&amp;EOMONTH(DATE(YEAR(主页!$D$2),MONTH(主页!$D$2),1),0)),"")</f>
        <v/>
      </c>
    </row>
    <row r="69" spans="1:10" x14ac:dyDescent="0.3">
      <c r="A69" s="135"/>
      <c r="B69" s="136"/>
      <c r="C69" s="138"/>
      <c r="D69" s="139"/>
      <c r="E69" s="141" t="str">
        <f t="shared" si="2"/>
        <v/>
      </c>
      <c r="F69" s="144"/>
      <c r="G69" s="146">
        <f t="shared" ref="G69:G132" si="3">D69*F69</f>
        <v>0</v>
      </c>
      <c r="H69" s="141" t="str">
        <f t="shared" si="1"/>
        <v/>
      </c>
      <c r="J69" s="148" t="str">
        <f>IFERROR(SUMIFS(当年实际!$V:$V,当年实际!$H:$H,$B69,当年实际!$C:$C,"&gt;="&amp;DATE(YEAR(主页!$D$2),1,1),当年实际!$C:$C,"&lt;="&amp;EOMONTH(DATE(YEAR(主页!$D$2),MONTH(主页!$D$2),1),0))/SUMIFS(当年实际!$P:$P,当年实际!$H:$H,$B69,当年实际!$C:$C,"&gt;="&amp;DATE(YEAR(主页!$D$2),1,1),当年实际!$C:$C,"&lt;="&amp;EOMONTH(DATE(YEAR(主页!$D$2),MONTH(主页!$D$2),1),0)),"")</f>
        <v/>
      </c>
    </row>
    <row r="70" spans="1:10" x14ac:dyDescent="0.3">
      <c r="A70" s="135"/>
      <c r="B70" s="136"/>
      <c r="C70" s="138"/>
      <c r="D70" s="139"/>
      <c r="E70" s="141" t="str">
        <f t="shared" si="2"/>
        <v/>
      </c>
      <c r="F70" s="144"/>
      <c r="G70" s="146">
        <f t="shared" si="3"/>
        <v>0</v>
      </c>
      <c r="H70" s="141" t="str">
        <f t="shared" ref="H70:H133" si="4">IF(G70/SUM(G:G)=0,"",G70/SUM(G:G))</f>
        <v/>
      </c>
      <c r="J70" s="148" t="str">
        <f>IFERROR(SUMIFS(当年实际!$V:$V,当年实际!$H:$H,$B70,当年实际!$C:$C,"&gt;="&amp;DATE(YEAR(主页!$D$2),1,1),当年实际!$C:$C,"&lt;="&amp;EOMONTH(DATE(YEAR(主页!$D$2),MONTH(主页!$D$2),1),0))/SUMIFS(当年实际!$P:$P,当年实际!$H:$H,$B70,当年实际!$C:$C,"&gt;="&amp;DATE(YEAR(主页!$D$2),1,1),当年实际!$C:$C,"&lt;="&amp;EOMONTH(DATE(YEAR(主页!$D$2),MONTH(主页!$D$2),1),0)),"")</f>
        <v/>
      </c>
    </row>
    <row r="71" spans="1:10" x14ac:dyDescent="0.3">
      <c r="A71" s="135"/>
      <c r="B71" s="136"/>
      <c r="C71" s="138"/>
      <c r="D71" s="139"/>
      <c r="E71" s="141" t="str">
        <f t="shared" si="2"/>
        <v/>
      </c>
      <c r="F71" s="144"/>
      <c r="G71" s="146">
        <f t="shared" si="3"/>
        <v>0</v>
      </c>
      <c r="H71" s="141" t="str">
        <f t="shared" si="4"/>
        <v/>
      </c>
      <c r="J71" s="148" t="str">
        <f>IFERROR(SUMIFS(当年实际!$V:$V,当年实际!$H:$H,$B71,当年实际!$C:$C,"&gt;="&amp;DATE(YEAR(主页!$D$2),1,1),当年实际!$C:$C,"&lt;="&amp;EOMONTH(DATE(YEAR(主页!$D$2),MONTH(主页!$D$2),1),0))/SUMIFS(当年实际!$P:$P,当年实际!$H:$H,$B71,当年实际!$C:$C,"&gt;="&amp;DATE(YEAR(主页!$D$2),1,1),当年实际!$C:$C,"&lt;="&amp;EOMONTH(DATE(YEAR(主页!$D$2),MONTH(主页!$D$2),1),0)),"")</f>
        <v/>
      </c>
    </row>
    <row r="72" spans="1:10" x14ac:dyDescent="0.3">
      <c r="A72" s="135"/>
      <c r="B72" s="136"/>
      <c r="C72" s="138"/>
      <c r="D72" s="139"/>
      <c r="E72" s="141" t="str">
        <f t="shared" ref="E72:E135" si="5">IF(D72/SUM(D:D)=0,"",D72/SUM(D:D))</f>
        <v/>
      </c>
      <c r="F72" s="144"/>
      <c r="G72" s="146">
        <f t="shared" si="3"/>
        <v>0</v>
      </c>
      <c r="H72" s="141" t="str">
        <f t="shared" si="4"/>
        <v/>
      </c>
      <c r="J72" s="148" t="str">
        <f>IFERROR(SUMIFS(当年实际!$V:$V,当年实际!$H:$H,$B72,当年实际!$C:$C,"&gt;="&amp;DATE(YEAR(主页!$D$2),1,1),当年实际!$C:$C,"&lt;="&amp;EOMONTH(DATE(YEAR(主页!$D$2),MONTH(主页!$D$2),1),0))/SUMIFS(当年实际!$P:$P,当年实际!$H:$H,$B72,当年实际!$C:$C,"&gt;="&amp;DATE(YEAR(主页!$D$2),1,1),当年实际!$C:$C,"&lt;="&amp;EOMONTH(DATE(YEAR(主页!$D$2),MONTH(主页!$D$2),1),0)),"")</f>
        <v/>
      </c>
    </row>
    <row r="73" spans="1:10" x14ac:dyDescent="0.3">
      <c r="A73" s="135"/>
      <c r="B73" s="136"/>
      <c r="C73" s="138"/>
      <c r="D73" s="139"/>
      <c r="E73" s="141" t="str">
        <f t="shared" si="5"/>
        <v/>
      </c>
      <c r="F73" s="144"/>
      <c r="G73" s="146">
        <f t="shared" si="3"/>
        <v>0</v>
      </c>
      <c r="H73" s="141" t="str">
        <f t="shared" si="4"/>
        <v/>
      </c>
      <c r="J73" s="148" t="str">
        <f>IFERROR(SUMIFS(当年实际!$V:$V,当年实际!$H:$H,$B73,当年实际!$C:$C,"&gt;="&amp;DATE(YEAR(主页!$D$2),1,1),当年实际!$C:$C,"&lt;="&amp;EOMONTH(DATE(YEAR(主页!$D$2),MONTH(主页!$D$2),1),0))/SUMIFS(当年实际!$P:$P,当年实际!$H:$H,$B73,当年实际!$C:$C,"&gt;="&amp;DATE(YEAR(主页!$D$2),1,1),当年实际!$C:$C,"&lt;="&amp;EOMONTH(DATE(YEAR(主页!$D$2),MONTH(主页!$D$2),1),0)),"")</f>
        <v/>
      </c>
    </row>
    <row r="74" spans="1:10" x14ac:dyDescent="0.3">
      <c r="A74" s="135"/>
      <c r="B74" s="136"/>
      <c r="C74" s="138"/>
      <c r="D74" s="139"/>
      <c r="E74" s="141" t="str">
        <f t="shared" si="5"/>
        <v/>
      </c>
      <c r="F74" s="144"/>
      <c r="G74" s="146">
        <f t="shared" si="3"/>
        <v>0</v>
      </c>
      <c r="H74" s="141" t="str">
        <f t="shared" si="4"/>
        <v/>
      </c>
      <c r="J74" s="148" t="str">
        <f>IFERROR(SUMIFS(当年实际!$V:$V,当年实际!$H:$H,$B74,当年实际!$C:$C,"&gt;="&amp;DATE(YEAR(主页!$D$2),1,1),当年实际!$C:$C,"&lt;="&amp;EOMONTH(DATE(YEAR(主页!$D$2),MONTH(主页!$D$2),1),0))/SUMIFS(当年实际!$P:$P,当年实际!$H:$H,$B74,当年实际!$C:$C,"&gt;="&amp;DATE(YEAR(主页!$D$2),1,1),当年实际!$C:$C,"&lt;="&amp;EOMONTH(DATE(YEAR(主页!$D$2),MONTH(主页!$D$2),1),0)),"")</f>
        <v/>
      </c>
    </row>
    <row r="75" spans="1:10" x14ac:dyDescent="0.3">
      <c r="A75" s="135"/>
      <c r="B75" s="136"/>
      <c r="C75" s="138"/>
      <c r="D75" s="139"/>
      <c r="E75" s="141" t="str">
        <f t="shared" si="5"/>
        <v/>
      </c>
      <c r="F75" s="144"/>
      <c r="G75" s="146">
        <f t="shared" si="3"/>
        <v>0</v>
      </c>
      <c r="H75" s="141" t="str">
        <f t="shared" si="4"/>
        <v/>
      </c>
      <c r="J75" s="148" t="str">
        <f>IFERROR(SUMIFS(当年实际!$V:$V,当年实际!$H:$H,$B75,当年实际!$C:$C,"&gt;="&amp;DATE(YEAR(主页!$D$2),1,1),当年实际!$C:$C,"&lt;="&amp;EOMONTH(DATE(YEAR(主页!$D$2),MONTH(主页!$D$2),1),0))/SUMIFS(当年实际!$P:$P,当年实际!$H:$H,$B75,当年实际!$C:$C,"&gt;="&amp;DATE(YEAR(主页!$D$2),1,1),当年实际!$C:$C,"&lt;="&amp;EOMONTH(DATE(YEAR(主页!$D$2),MONTH(主页!$D$2),1),0)),"")</f>
        <v/>
      </c>
    </row>
    <row r="76" spans="1:10" x14ac:dyDescent="0.3">
      <c r="A76" s="135"/>
      <c r="B76" s="136"/>
      <c r="C76" s="138"/>
      <c r="D76" s="139"/>
      <c r="E76" s="141" t="str">
        <f t="shared" si="5"/>
        <v/>
      </c>
      <c r="F76" s="144"/>
      <c r="G76" s="146">
        <f t="shared" si="3"/>
        <v>0</v>
      </c>
      <c r="H76" s="141" t="str">
        <f t="shared" si="4"/>
        <v/>
      </c>
      <c r="J76" s="148" t="str">
        <f>IFERROR(SUMIFS(当年实际!$V:$V,当年实际!$H:$H,$B76,当年实际!$C:$C,"&gt;="&amp;DATE(YEAR(主页!$D$2),1,1),当年实际!$C:$C,"&lt;="&amp;EOMONTH(DATE(YEAR(主页!$D$2),MONTH(主页!$D$2),1),0))/SUMIFS(当年实际!$P:$P,当年实际!$H:$H,$B76,当年实际!$C:$C,"&gt;="&amp;DATE(YEAR(主页!$D$2),1,1),当年实际!$C:$C,"&lt;="&amp;EOMONTH(DATE(YEAR(主页!$D$2),MONTH(主页!$D$2),1),0)),"")</f>
        <v/>
      </c>
    </row>
    <row r="77" spans="1:10" x14ac:dyDescent="0.3">
      <c r="A77" s="135"/>
      <c r="B77" s="136"/>
      <c r="C77" s="138"/>
      <c r="D77" s="139"/>
      <c r="E77" s="141" t="str">
        <f t="shared" si="5"/>
        <v/>
      </c>
      <c r="F77" s="144"/>
      <c r="G77" s="146">
        <f t="shared" si="3"/>
        <v>0</v>
      </c>
      <c r="H77" s="141" t="str">
        <f t="shared" si="4"/>
        <v/>
      </c>
      <c r="J77" s="148" t="str">
        <f>IFERROR(SUMIFS(当年实际!$V:$V,当年实际!$H:$H,$B77,当年实际!$C:$C,"&gt;="&amp;DATE(YEAR(主页!$D$2),1,1),当年实际!$C:$C,"&lt;="&amp;EOMONTH(DATE(YEAR(主页!$D$2),MONTH(主页!$D$2),1),0))/SUMIFS(当年实际!$P:$P,当年实际!$H:$H,$B77,当年实际!$C:$C,"&gt;="&amp;DATE(YEAR(主页!$D$2),1,1),当年实际!$C:$C,"&lt;="&amp;EOMONTH(DATE(YEAR(主页!$D$2),MONTH(主页!$D$2),1),0)),"")</f>
        <v/>
      </c>
    </row>
    <row r="78" spans="1:10" x14ac:dyDescent="0.3">
      <c r="A78" s="135"/>
      <c r="B78" s="136"/>
      <c r="C78" s="138"/>
      <c r="D78" s="139"/>
      <c r="E78" s="141" t="str">
        <f t="shared" si="5"/>
        <v/>
      </c>
      <c r="F78" s="144"/>
      <c r="G78" s="146">
        <f t="shared" si="3"/>
        <v>0</v>
      </c>
      <c r="H78" s="141" t="str">
        <f t="shared" si="4"/>
        <v/>
      </c>
      <c r="J78" s="148" t="str">
        <f>IFERROR(SUMIFS(当年实际!$V:$V,当年实际!$H:$H,$B78,当年实际!$C:$C,"&gt;="&amp;DATE(YEAR(主页!$D$2),1,1),当年实际!$C:$C,"&lt;="&amp;EOMONTH(DATE(YEAR(主页!$D$2),MONTH(主页!$D$2),1),0))/SUMIFS(当年实际!$P:$P,当年实际!$H:$H,$B78,当年实际!$C:$C,"&gt;="&amp;DATE(YEAR(主页!$D$2),1,1),当年实际!$C:$C,"&lt;="&amp;EOMONTH(DATE(YEAR(主页!$D$2),MONTH(主页!$D$2),1),0)),"")</f>
        <v/>
      </c>
    </row>
    <row r="79" spans="1:10" x14ac:dyDescent="0.3">
      <c r="A79" s="135"/>
      <c r="B79" s="136"/>
      <c r="C79" s="138"/>
      <c r="D79" s="139"/>
      <c r="E79" s="141" t="str">
        <f t="shared" si="5"/>
        <v/>
      </c>
      <c r="F79" s="144"/>
      <c r="G79" s="146">
        <f t="shared" si="3"/>
        <v>0</v>
      </c>
      <c r="H79" s="141" t="str">
        <f t="shared" si="4"/>
        <v/>
      </c>
      <c r="J79" s="148" t="str">
        <f>IFERROR(SUMIFS(当年实际!$V:$V,当年实际!$H:$H,$B79,当年实际!$C:$C,"&gt;="&amp;DATE(YEAR(主页!$D$2),1,1),当年实际!$C:$C,"&lt;="&amp;EOMONTH(DATE(YEAR(主页!$D$2),MONTH(主页!$D$2),1),0))/SUMIFS(当年实际!$P:$P,当年实际!$H:$H,$B79,当年实际!$C:$C,"&gt;="&amp;DATE(YEAR(主页!$D$2),1,1),当年实际!$C:$C,"&lt;="&amp;EOMONTH(DATE(YEAR(主页!$D$2),MONTH(主页!$D$2),1),0)),"")</f>
        <v/>
      </c>
    </row>
    <row r="80" spans="1:10" x14ac:dyDescent="0.3">
      <c r="A80" s="135"/>
      <c r="B80" s="136"/>
      <c r="C80" s="138"/>
      <c r="D80" s="139"/>
      <c r="E80" s="141" t="str">
        <f t="shared" si="5"/>
        <v/>
      </c>
      <c r="F80" s="144"/>
      <c r="G80" s="146">
        <f t="shared" si="3"/>
        <v>0</v>
      </c>
      <c r="H80" s="141" t="str">
        <f t="shared" si="4"/>
        <v/>
      </c>
      <c r="J80" s="148" t="str">
        <f>IFERROR(SUMIFS(当年实际!$V:$V,当年实际!$H:$H,$B80,当年实际!$C:$C,"&gt;="&amp;DATE(YEAR(主页!$D$2),1,1),当年实际!$C:$C,"&lt;="&amp;EOMONTH(DATE(YEAR(主页!$D$2),MONTH(主页!$D$2),1),0))/SUMIFS(当年实际!$P:$P,当年实际!$H:$H,$B80,当年实际!$C:$C,"&gt;="&amp;DATE(YEAR(主页!$D$2),1,1),当年实际!$C:$C,"&lt;="&amp;EOMONTH(DATE(YEAR(主页!$D$2),MONTH(主页!$D$2),1),0)),"")</f>
        <v/>
      </c>
    </row>
    <row r="81" spans="1:10" x14ac:dyDescent="0.3">
      <c r="A81" s="135"/>
      <c r="B81" s="136"/>
      <c r="C81" s="138"/>
      <c r="D81" s="139"/>
      <c r="E81" s="141" t="str">
        <f t="shared" si="5"/>
        <v/>
      </c>
      <c r="F81" s="144"/>
      <c r="G81" s="146">
        <f t="shared" si="3"/>
        <v>0</v>
      </c>
      <c r="H81" s="141" t="str">
        <f t="shared" si="4"/>
        <v/>
      </c>
      <c r="J81" s="148" t="str">
        <f>IFERROR(SUMIFS(当年实际!$V:$V,当年实际!$H:$H,$B81,当年实际!$C:$C,"&gt;="&amp;DATE(YEAR(主页!$D$2),1,1),当年实际!$C:$C,"&lt;="&amp;EOMONTH(DATE(YEAR(主页!$D$2),MONTH(主页!$D$2),1),0))/SUMIFS(当年实际!$P:$P,当年实际!$H:$H,$B81,当年实际!$C:$C,"&gt;="&amp;DATE(YEAR(主页!$D$2),1,1),当年实际!$C:$C,"&lt;="&amp;EOMONTH(DATE(YEAR(主页!$D$2),MONTH(主页!$D$2),1),0)),"")</f>
        <v/>
      </c>
    </row>
    <row r="82" spans="1:10" x14ac:dyDescent="0.3">
      <c r="A82" s="135"/>
      <c r="B82" s="136"/>
      <c r="C82" s="138"/>
      <c r="D82" s="139"/>
      <c r="E82" s="141" t="str">
        <f t="shared" si="5"/>
        <v/>
      </c>
      <c r="F82" s="144"/>
      <c r="G82" s="146">
        <f t="shared" si="3"/>
        <v>0</v>
      </c>
      <c r="H82" s="141" t="str">
        <f t="shared" si="4"/>
        <v/>
      </c>
      <c r="J82" s="148" t="str">
        <f>IFERROR(SUMIFS(当年实际!$V:$V,当年实际!$H:$H,$B82,当年实际!$C:$C,"&gt;="&amp;DATE(YEAR(主页!$D$2),1,1),当年实际!$C:$C,"&lt;="&amp;EOMONTH(DATE(YEAR(主页!$D$2),MONTH(主页!$D$2),1),0))/SUMIFS(当年实际!$P:$P,当年实际!$H:$H,$B82,当年实际!$C:$C,"&gt;="&amp;DATE(YEAR(主页!$D$2),1,1),当年实际!$C:$C,"&lt;="&amp;EOMONTH(DATE(YEAR(主页!$D$2),MONTH(主页!$D$2),1),0)),"")</f>
        <v/>
      </c>
    </row>
    <row r="83" spans="1:10" x14ac:dyDescent="0.3">
      <c r="A83" s="135"/>
      <c r="B83" s="136"/>
      <c r="C83" s="138"/>
      <c r="D83" s="139"/>
      <c r="E83" s="141" t="str">
        <f t="shared" si="5"/>
        <v/>
      </c>
      <c r="F83" s="144"/>
      <c r="G83" s="146">
        <f t="shared" si="3"/>
        <v>0</v>
      </c>
      <c r="H83" s="141" t="str">
        <f t="shared" si="4"/>
        <v/>
      </c>
      <c r="J83" s="148" t="str">
        <f>IFERROR(SUMIFS(当年实际!$V:$V,当年实际!$H:$H,$B83,当年实际!$C:$C,"&gt;="&amp;DATE(YEAR(主页!$D$2),1,1),当年实际!$C:$C,"&lt;="&amp;EOMONTH(DATE(YEAR(主页!$D$2),MONTH(主页!$D$2),1),0))/SUMIFS(当年实际!$P:$P,当年实际!$H:$H,$B83,当年实际!$C:$C,"&gt;="&amp;DATE(YEAR(主页!$D$2),1,1),当年实际!$C:$C,"&lt;="&amp;EOMONTH(DATE(YEAR(主页!$D$2),MONTH(主页!$D$2),1),0)),"")</f>
        <v/>
      </c>
    </row>
    <row r="84" spans="1:10" x14ac:dyDescent="0.3">
      <c r="A84" s="135"/>
      <c r="B84" s="136"/>
      <c r="C84" s="138"/>
      <c r="D84" s="139"/>
      <c r="E84" s="141" t="str">
        <f t="shared" si="5"/>
        <v/>
      </c>
      <c r="F84" s="144"/>
      <c r="G84" s="146">
        <f t="shared" si="3"/>
        <v>0</v>
      </c>
      <c r="H84" s="141" t="str">
        <f t="shared" si="4"/>
        <v/>
      </c>
      <c r="J84" s="148" t="str">
        <f>IFERROR(SUMIFS(当年实际!$V:$V,当年实际!$H:$H,$B84,当年实际!$C:$C,"&gt;="&amp;DATE(YEAR(主页!$D$2),1,1),当年实际!$C:$C,"&lt;="&amp;EOMONTH(DATE(YEAR(主页!$D$2),MONTH(主页!$D$2),1),0))/SUMIFS(当年实际!$P:$P,当年实际!$H:$H,$B84,当年实际!$C:$C,"&gt;="&amp;DATE(YEAR(主页!$D$2),1,1),当年实际!$C:$C,"&lt;="&amp;EOMONTH(DATE(YEAR(主页!$D$2),MONTH(主页!$D$2),1),0)),"")</f>
        <v/>
      </c>
    </row>
    <row r="85" spans="1:10" x14ac:dyDescent="0.3">
      <c r="A85" s="135"/>
      <c r="B85" s="136"/>
      <c r="C85" s="138"/>
      <c r="D85" s="139"/>
      <c r="E85" s="141" t="str">
        <f t="shared" si="5"/>
        <v/>
      </c>
      <c r="F85" s="144"/>
      <c r="G85" s="146">
        <f t="shared" si="3"/>
        <v>0</v>
      </c>
      <c r="H85" s="141" t="str">
        <f t="shared" si="4"/>
        <v/>
      </c>
      <c r="J85" s="148" t="str">
        <f>IFERROR(SUMIFS(当年实际!$V:$V,当年实际!$H:$H,$B85,当年实际!$C:$C,"&gt;="&amp;DATE(YEAR(主页!$D$2),1,1),当年实际!$C:$C,"&lt;="&amp;EOMONTH(DATE(YEAR(主页!$D$2),MONTH(主页!$D$2),1),0))/SUMIFS(当年实际!$P:$P,当年实际!$H:$H,$B85,当年实际!$C:$C,"&gt;="&amp;DATE(YEAR(主页!$D$2),1,1),当年实际!$C:$C,"&lt;="&amp;EOMONTH(DATE(YEAR(主页!$D$2),MONTH(主页!$D$2),1),0)),"")</f>
        <v/>
      </c>
    </row>
    <row r="86" spans="1:10" x14ac:dyDescent="0.3">
      <c r="A86" s="135"/>
      <c r="B86" s="136"/>
      <c r="C86" s="138"/>
      <c r="D86" s="139"/>
      <c r="E86" s="141" t="str">
        <f t="shared" si="5"/>
        <v/>
      </c>
      <c r="F86" s="144"/>
      <c r="G86" s="146">
        <f t="shared" si="3"/>
        <v>0</v>
      </c>
      <c r="H86" s="141" t="str">
        <f t="shared" si="4"/>
        <v/>
      </c>
      <c r="J86" s="148" t="str">
        <f>IFERROR(SUMIFS(当年实际!$V:$V,当年实际!$H:$H,$B86,当年实际!$C:$C,"&gt;="&amp;DATE(YEAR(主页!$D$2),1,1),当年实际!$C:$C,"&lt;="&amp;EOMONTH(DATE(YEAR(主页!$D$2),MONTH(主页!$D$2),1),0))/SUMIFS(当年实际!$P:$P,当年实际!$H:$H,$B86,当年实际!$C:$C,"&gt;="&amp;DATE(YEAR(主页!$D$2),1,1),当年实际!$C:$C,"&lt;="&amp;EOMONTH(DATE(YEAR(主页!$D$2),MONTH(主页!$D$2),1),0)),"")</f>
        <v/>
      </c>
    </row>
    <row r="87" spans="1:10" x14ac:dyDescent="0.3">
      <c r="A87" s="135"/>
      <c r="B87" s="136"/>
      <c r="C87" s="138"/>
      <c r="D87" s="139"/>
      <c r="E87" s="141" t="str">
        <f t="shared" si="5"/>
        <v/>
      </c>
      <c r="F87" s="144"/>
      <c r="G87" s="146">
        <f t="shared" si="3"/>
        <v>0</v>
      </c>
      <c r="H87" s="141" t="str">
        <f t="shared" si="4"/>
        <v/>
      </c>
      <c r="J87" s="148" t="str">
        <f>IFERROR(SUMIFS(当年实际!$V:$V,当年实际!$H:$H,$B87,当年实际!$C:$C,"&gt;="&amp;DATE(YEAR(主页!$D$2),1,1),当年实际!$C:$C,"&lt;="&amp;EOMONTH(DATE(YEAR(主页!$D$2),MONTH(主页!$D$2),1),0))/SUMIFS(当年实际!$P:$P,当年实际!$H:$H,$B87,当年实际!$C:$C,"&gt;="&amp;DATE(YEAR(主页!$D$2),1,1),当年实际!$C:$C,"&lt;="&amp;EOMONTH(DATE(YEAR(主页!$D$2),MONTH(主页!$D$2),1),0)),"")</f>
        <v/>
      </c>
    </row>
    <row r="88" spans="1:10" x14ac:dyDescent="0.3">
      <c r="A88" s="135"/>
      <c r="B88" s="136"/>
      <c r="C88" s="138"/>
      <c r="D88" s="139"/>
      <c r="E88" s="141" t="str">
        <f t="shared" si="5"/>
        <v/>
      </c>
      <c r="F88" s="144"/>
      <c r="G88" s="146">
        <f t="shared" si="3"/>
        <v>0</v>
      </c>
      <c r="H88" s="141" t="str">
        <f t="shared" si="4"/>
        <v/>
      </c>
      <c r="J88" s="148" t="str">
        <f>IFERROR(SUMIFS(当年实际!$V:$V,当年实际!$H:$H,$B88,当年实际!$C:$C,"&gt;="&amp;DATE(YEAR(主页!$D$2),1,1),当年实际!$C:$C,"&lt;="&amp;EOMONTH(DATE(YEAR(主页!$D$2),MONTH(主页!$D$2),1),0))/SUMIFS(当年实际!$P:$P,当年实际!$H:$H,$B88,当年实际!$C:$C,"&gt;="&amp;DATE(YEAR(主页!$D$2),1,1),当年实际!$C:$C,"&lt;="&amp;EOMONTH(DATE(YEAR(主页!$D$2),MONTH(主页!$D$2),1),0)),"")</f>
        <v/>
      </c>
    </row>
    <row r="89" spans="1:10" x14ac:dyDescent="0.3">
      <c r="A89" s="135"/>
      <c r="B89" s="136"/>
      <c r="C89" s="138"/>
      <c r="D89" s="139"/>
      <c r="E89" s="141" t="str">
        <f t="shared" si="5"/>
        <v/>
      </c>
      <c r="F89" s="144"/>
      <c r="G89" s="146">
        <f t="shared" si="3"/>
        <v>0</v>
      </c>
      <c r="H89" s="141" t="str">
        <f t="shared" si="4"/>
        <v/>
      </c>
      <c r="J89" s="148" t="str">
        <f>IFERROR(SUMIFS(当年实际!$V:$V,当年实际!$H:$H,$B89,当年实际!$C:$C,"&gt;="&amp;DATE(YEAR(主页!$D$2),1,1),当年实际!$C:$C,"&lt;="&amp;EOMONTH(DATE(YEAR(主页!$D$2),MONTH(主页!$D$2),1),0))/SUMIFS(当年实际!$P:$P,当年实际!$H:$H,$B89,当年实际!$C:$C,"&gt;="&amp;DATE(YEAR(主页!$D$2),1,1),当年实际!$C:$C,"&lt;="&amp;EOMONTH(DATE(YEAR(主页!$D$2),MONTH(主页!$D$2),1),0)),"")</f>
        <v/>
      </c>
    </row>
    <row r="90" spans="1:10" x14ac:dyDescent="0.3">
      <c r="A90" s="135"/>
      <c r="B90" s="136"/>
      <c r="C90" s="138"/>
      <c r="D90" s="139"/>
      <c r="E90" s="141" t="str">
        <f t="shared" si="5"/>
        <v/>
      </c>
      <c r="F90" s="144"/>
      <c r="G90" s="146">
        <f t="shared" si="3"/>
        <v>0</v>
      </c>
      <c r="H90" s="141" t="str">
        <f t="shared" si="4"/>
        <v/>
      </c>
      <c r="J90" s="148" t="str">
        <f>IFERROR(SUMIFS(当年实际!$V:$V,当年实际!$H:$H,$B90,当年实际!$C:$C,"&gt;="&amp;DATE(YEAR(主页!$D$2),1,1),当年实际!$C:$C,"&lt;="&amp;EOMONTH(DATE(YEAR(主页!$D$2),MONTH(主页!$D$2),1),0))/SUMIFS(当年实际!$P:$P,当年实际!$H:$H,$B90,当年实际!$C:$C,"&gt;="&amp;DATE(YEAR(主页!$D$2),1,1),当年实际!$C:$C,"&lt;="&amp;EOMONTH(DATE(YEAR(主页!$D$2),MONTH(主页!$D$2),1),0)),"")</f>
        <v/>
      </c>
    </row>
    <row r="91" spans="1:10" x14ac:dyDescent="0.3">
      <c r="A91" s="135"/>
      <c r="B91" s="136"/>
      <c r="C91" s="138"/>
      <c r="D91" s="139"/>
      <c r="E91" s="141" t="str">
        <f t="shared" si="5"/>
        <v/>
      </c>
      <c r="F91" s="144"/>
      <c r="G91" s="146">
        <f t="shared" si="3"/>
        <v>0</v>
      </c>
      <c r="H91" s="141" t="str">
        <f t="shared" si="4"/>
        <v/>
      </c>
      <c r="J91" s="148" t="str">
        <f>IFERROR(SUMIFS(当年实际!$V:$V,当年实际!$H:$H,$B91,当年实际!$C:$C,"&gt;="&amp;DATE(YEAR(主页!$D$2),1,1),当年实际!$C:$C,"&lt;="&amp;EOMONTH(DATE(YEAR(主页!$D$2),MONTH(主页!$D$2),1),0))/SUMIFS(当年实际!$P:$P,当年实际!$H:$H,$B91,当年实际!$C:$C,"&gt;="&amp;DATE(YEAR(主页!$D$2),1,1),当年实际!$C:$C,"&lt;="&amp;EOMONTH(DATE(YEAR(主页!$D$2),MONTH(主页!$D$2),1),0)),"")</f>
        <v/>
      </c>
    </row>
    <row r="92" spans="1:10" x14ac:dyDescent="0.3">
      <c r="A92" s="135"/>
      <c r="B92" s="136"/>
      <c r="C92" s="138"/>
      <c r="D92" s="139"/>
      <c r="E92" s="141" t="str">
        <f t="shared" si="5"/>
        <v/>
      </c>
      <c r="F92" s="144"/>
      <c r="G92" s="146">
        <f t="shared" si="3"/>
        <v>0</v>
      </c>
      <c r="H92" s="141" t="str">
        <f t="shared" si="4"/>
        <v/>
      </c>
      <c r="J92" s="148" t="str">
        <f>IFERROR(SUMIFS(当年实际!$V:$V,当年实际!$H:$H,$B92,当年实际!$C:$C,"&gt;="&amp;DATE(YEAR(主页!$D$2),1,1),当年实际!$C:$C,"&lt;="&amp;EOMONTH(DATE(YEAR(主页!$D$2),MONTH(主页!$D$2),1),0))/SUMIFS(当年实际!$P:$P,当年实际!$H:$H,$B92,当年实际!$C:$C,"&gt;="&amp;DATE(YEAR(主页!$D$2),1,1),当年实际!$C:$C,"&lt;="&amp;EOMONTH(DATE(YEAR(主页!$D$2),MONTH(主页!$D$2),1),0)),"")</f>
        <v/>
      </c>
    </row>
    <row r="93" spans="1:10" x14ac:dyDescent="0.3">
      <c r="A93" s="135"/>
      <c r="B93" s="136"/>
      <c r="C93" s="138"/>
      <c r="D93" s="139"/>
      <c r="E93" s="141" t="str">
        <f t="shared" si="5"/>
        <v/>
      </c>
      <c r="F93" s="144"/>
      <c r="G93" s="146">
        <f t="shared" si="3"/>
        <v>0</v>
      </c>
      <c r="H93" s="141" t="str">
        <f t="shared" si="4"/>
        <v/>
      </c>
      <c r="J93" s="148" t="str">
        <f>IFERROR(SUMIFS(当年实际!$V:$V,当年实际!$H:$H,$B93,当年实际!$C:$C,"&gt;="&amp;DATE(YEAR(主页!$D$2),1,1),当年实际!$C:$C,"&lt;="&amp;EOMONTH(DATE(YEAR(主页!$D$2),MONTH(主页!$D$2),1),0))/SUMIFS(当年实际!$P:$P,当年实际!$H:$H,$B93,当年实际!$C:$C,"&gt;="&amp;DATE(YEAR(主页!$D$2),1,1),当年实际!$C:$C,"&lt;="&amp;EOMONTH(DATE(YEAR(主页!$D$2),MONTH(主页!$D$2),1),0)),"")</f>
        <v/>
      </c>
    </row>
    <row r="94" spans="1:10" x14ac:dyDescent="0.3">
      <c r="A94" s="135"/>
      <c r="B94" s="136"/>
      <c r="C94" s="138"/>
      <c r="D94" s="139"/>
      <c r="E94" s="141" t="str">
        <f t="shared" si="5"/>
        <v/>
      </c>
      <c r="F94" s="144"/>
      <c r="G94" s="146">
        <f t="shared" si="3"/>
        <v>0</v>
      </c>
      <c r="H94" s="141" t="str">
        <f t="shared" si="4"/>
        <v/>
      </c>
      <c r="J94" s="148" t="str">
        <f>IFERROR(SUMIFS(当年实际!$V:$V,当年实际!$H:$H,$B94,当年实际!$C:$C,"&gt;="&amp;DATE(YEAR(主页!$D$2),1,1),当年实际!$C:$C,"&lt;="&amp;EOMONTH(DATE(YEAR(主页!$D$2),MONTH(主页!$D$2),1),0))/SUMIFS(当年实际!$P:$P,当年实际!$H:$H,$B94,当年实际!$C:$C,"&gt;="&amp;DATE(YEAR(主页!$D$2),1,1),当年实际!$C:$C,"&lt;="&amp;EOMONTH(DATE(YEAR(主页!$D$2),MONTH(主页!$D$2),1),0)),"")</f>
        <v/>
      </c>
    </row>
    <row r="95" spans="1:10" x14ac:dyDescent="0.3">
      <c r="A95" s="135"/>
      <c r="B95" s="136"/>
      <c r="C95" s="138"/>
      <c r="D95" s="139"/>
      <c r="E95" s="141" t="str">
        <f t="shared" si="5"/>
        <v/>
      </c>
      <c r="F95" s="144"/>
      <c r="G95" s="146">
        <f t="shared" si="3"/>
        <v>0</v>
      </c>
      <c r="H95" s="141" t="str">
        <f t="shared" si="4"/>
        <v/>
      </c>
      <c r="J95" s="148" t="str">
        <f>IFERROR(SUMIFS(当年实际!$V:$V,当年实际!$H:$H,$B95,当年实际!$C:$C,"&gt;="&amp;DATE(YEAR(主页!$D$2),1,1),当年实际!$C:$C,"&lt;="&amp;EOMONTH(DATE(YEAR(主页!$D$2),MONTH(主页!$D$2),1),0))/SUMIFS(当年实际!$P:$P,当年实际!$H:$H,$B95,当年实际!$C:$C,"&gt;="&amp;DATE(YEAR(主页!$D$2),1,1),当年实际!$C:$C,"&lt;="&amp;EOMONTH(DATE(YEAR(主页!$D$2),MONTH(主页!$D$2),1),0)),"")</f>
        <v/>
      </c>
    </row>
    <row r="96" spans="1:10" x14ac:dyDescent="0.3">
      <c r="A96" s="135"/>
      <c r="B96" s="136"/>
      <c r="C96" s="138"/>
      <c r="D96" s="139"/>
      <c r="E96" s="141" t="str">
        <f t="shared" si="5"/>
        <v/>
      </c>
      <c r="F96" s="144"/>
      <c r="G96" s="146">
        <f t="shared" si="3"/>
        <v>0</v>
      </c>
      <c r="H96" s="141" t="str">
        <f t="shared" si="4"/>
        <v/>
      </c>
      <c r="J96" s="148" t="str">
        <f>IFERROR(SUMIFS(当年实际!$V:$V,当年实际!$H:$H,$B96,当年实际!$C:$C,"&gt;="&amp;DATE(YEAR(主页!$D$2),1,1),当年实际!$C:$C,"&lt;="&amp;EOMONTH(DATE(YEAR(主页!$D$2),MONTH(主页!$D$2),1),0))/SUMIFS(当年实际!$P:$P,当年实际!$H:$H,$B96,当年实际!$C:$C,"&gt;="&amp;DATE(YEAR(主页!$D$2),1,1),当年实际!$C:$C,"&lt;="&amp;EOMONTH(DATE(YEAR(主页!$D$2),MONTH(主页!$D$2),1),0)),"")</f>
        <v/>
      </c>
    </row>
    <row r="97" spans="1:10" x14ac:dyDescent="0.3">
      <c r="A97" s="135"/>
      <c r="B97" s="136"/>
      <c r="C97" s="138"/>
      <c r="D97" s="139"/>
      <c r="E97" s="141" t="str">
        <f t="shared" si="5"/>
        <v/>
      </c>
      <c r="F97" s="144"/>
      <c r="G97" s="146">
        <f t="shared" si="3"/>
        <v>0</v>
      </c>
      <c r="H97" s="141" t="str">
        <f t="shared" si="4"/>
        <v/>
      </c>
      <c r="J97" s="148" t="str">
        <f>IFERROR(SUMIFS(当年实际!$V:$V,当年实际!$H:$H,$B97,当年实际!$C:$C,"&gt;="&amp;DATE(YEAR(主页!$D$2),1,1),当年实际!$C:$C,"&lt;="&amp;EOMONTH(DATE(YEAR(主页!$D$2),MONTH(主页!$D$2),1),0))/SUMIFS(当年实际!$P:$P,当年实际!$H:$H,$B97,当年实际!$C:$C,"&gt;="&amp;DATE(YEAR(主页!$D$2),1,1),当年实际!$C:$C,"&lt;="&amp;EOMONTH(DATE(YEAR(主页!$D$2),MONTH(主页!$D$2),1),0)),"")</f>
        <v/>
      </c>
    </row>
    <row r="98" spans="1:10" x14ac:dyDescent="0.3">
      <c r="A98" s="135"/>
      <c r="B98" s="136"/>
      <c r="C98" s="138"/>
      <c r="D98" s="139"/>
      <c r="E98" s="141" t="str">
        <f t="shared" si="5"/>
        <v/>
      </c>
      <c r="F98" s="144"/>
      <c r="G98" s="146">
        <f t="shared" si="3"/>
        <v>0</v>
      </c>
      <c r="H98" s="141" t="str">
        <f t="shared" si="4"/>
        <v/>
      </c>
      <c r="J98" s="148" t="str">
        <f>IFERROR(SUMIFS(当年实际!$V:$V,当年实际!$H:$H,$B98,当年实际!$C:$C,"&gt;="&amp;DATE(YEAR(主页!$D$2),1,1),当年实际!$C:$C,"&lt;="&amp;EOMONTH(DATE(YEAR(主页!$D$2),MONTH(主页!$D$2),1),0))/SUMIFS(当年实际!$P:$P,当年实际!$H:$H,$B98,当年实际!$C:$C,"&gt;="&amp;DATE(YEAR(主页!$D$2),1,1),当年实际!$C:$C,"&lt;="&amp;EOMONTH(DATE(YEAR(主页!$D$2),MONTH(主页!$D$2),1),0)),"")</f>
        <v/>
      </c>
    </row>
    <row r="99" spans="1:10" x14ac:dyDescent="0.3">
      <c r="A99" s="135"/>
      <c r="B99" s="136"/>
      <c r="C99" s="138"/>
      <c r="D99" s="139"/>
      <c r="E99" s="141" t="str">
        <f t="shared" si="5"/>
        <v/>
      </c>
      <c r="F99" s="144"/>
      <c r="G99" s="146">
        <f t="shared" si="3"/>
        <v>0</v>
      </c>
      <c r="H99" s="141" t="str">
        <f t="shared" si="4"/>
        <v/>
      </c>
      <c r="J99" s="148" t="str">
        <f>IFERROR(SUMIFS(当年实际!$V:$V,当年实际!$H:$H,$B99,当年实际!$C:$C,"&gt;="&amp;DATE(YEAR(主页!$D$2),1,1),当年实际!$C:$C,"&lt;="&amp;EOMONTH(DATE(YEAR(主页!$D$2),MONTH(主页!$D$2),1),0))/SUMIFS(当年实际!$P:$P,当年实际!$H:$H,$B99,当年实际!$C:$C,"&gt;="&amp;DATE(YEAR(主页!$D$2),1,1),当年实际!$C:$C,"&lt;="&amp;EOMONTH(DATE(YEAR(主页!$D$2),MONTH(主页!$D$2),1),0)),"")</f>
        <v/>
      </c>
    </row>
    <row r="100" spans="1:10" x14ac:dyDescent="0.3">
      <c r="A100" s="135"/>
      <c r="B100" s="136"/>
      <c r="C100" s="138"/>
      <c r="D100" s="139"/>
      <c r="E100" s="141" t="str">
        <f t="shared" si="5"/>
        <v/>
      </c>
      <c r="F100" s="144"/>
      <c r="G100" s="146">
        <f t="shared" si="3"/>
        <v>0</v>
      </c>
      <c r="H100" s="141" t="str">
        <f t="shared" si="4"/>
        <v/>
      </c>
      <c r="J100" s="148" t="str">
        <f>IFERROR(SUMIFS(当年实际!$V:$V,当年实际!$H:$H,$B100,当年实际!$C:$C,"&gt;="&amp;DATE(YEAR(主页!$D$2),1,1),当年实际!$C:$C,"&lt;="&amp;EOMONTH(DATE(YEAR(主页!$D$2),MONTH(主页!$D$2),1),0))/SUMIFS(当年实际!$P:$P,当年实际!$H:$H,$B100,当年实际!$C:$C,"&gt;="&amp;DATE(YEAR(主页!$D$2),1,1),当年实际!$C:$C,"&lt;="&amp;EOMONTH(DATE(YEAR(主页!$D$2),MONTH(主页!$D$2),1),0)),"")</f>
        <v/>
      </c>
    </row>
    <row r="101" spans="1:10" x14ac:dyDescent="0.3">
      <c r="A101" s="135"/>
      <c r="B101" s="136"/>
      <c r="C101" s="138"/>
      <c r="D101" s="139"/>
      <c r="E101" s="141" t="str">
        <f t="shared" si="5"/>
        <v/>
      </c>
      <c r="F101" s="144"/>
      <c r="G101" s="146">
        <f t="shared" si="3"/>
        <v>0</v>
      </c>
      <c r="H101" s="141" t="str">
        <f t="shared" si="4"/>
        <v/>
      </c>
      <c r="J101" s="148" t="str">
        <f>IFERROR(SUMIFS(当年实际!$V:$V,当年实际!$H:$H,$B101,当年实际!$C:$C,"&gt;="&amp;DATE(YEAR(主页!$D$2),1,1),当年实际!$C:$C,"&lt;="&amp;EOMONTH(DATE(YEAR(主页!$D$2),MONTH(主页!$D$2),1),0))/SUMIFS(当年实际!$P:$P,当年实际!$H:$H,$B101,当年实际!$C:$C,"&gt;="&amp;DATE(YEAR(主页!$D$2),1,1),当年实际!$C:$C,"&lt;="&amp;EOMONTH(DATE(YEAR(主页!$D$2),MONTH(主页!$D$2),1),0)),"")</f>
        <v/>
      </c>
    </row>
    <row r="102" spans="1:10" x14ac:dyDescent="0.3">
      <c r="A102" s="135"/>
      <c r="B102" s="136"/>
      <c r="C102" s="138"/>
      <c r="D102" s="139"/>
      <c r="E102" s="141" t="str">
        <f t="shared" si="5"/>
        <v/>
      </c>
      <c r="F102" s="144"/>
      <c r="G102" s="146">
        <f t="shared" si="3"/>
        <v>0</v>
      </c>
      <c r="H102" s="141" t="str">
        <f t="shared" si="4"/>
        <v/>
      </c>
      <c r="J102" s="148" t="str">
        <f>IFERROR(SUMIFS(当年实际!$V:$V,当年实际!$H:$H,$B102,当年实际!$C:$C,"&gt;="&amp;DATE(YEAR(主页!$D$2),1,1),当年实际!$C:$C,"&lt;="&amp;EOMONTH(DATE(YEAR(主页!$D$2),MONTH(主页!$D$2),1),0))/SUMIFS(当年实际!$P:$P,当年实际!$H:$H,$B102,当年实际!$C:$C,"&gt;="&amp;DATE(YEAR(主页!$D$2),1,1),当年实际!$C:$C,"&lt;="&amp;EOMONTH(DATE(YEAR(主页!$D$2),MONTH(主页!$D$2),1),0)),"")</f>
        <v/>
      </c>
    </row>
    <row r="103" spans="1:10" x14ac:dyDescent="0.3">
      <c r="A103" s="135"/>
      <c r="B103" s="136"/>
      <c r="C103" s="138"/>
      <c r="D103" s="139"/>
      <c r="E103" s="141" t="str">
        <f t="shared" si="5"/>
        <v/>
      </c>
      <c r="F103" s="144"/>
      <c r="G103" s="146">
        <f t="shared" si="3"/>
        <v>0</v>
      </c>
      <c r="H103" s="141" t="str">
        <f t="shared" si="4"/>
        <v/>
      </c>
      <c r="J103" s="148" t="str">
        <f>IFERROR(SUMIFS(当年实际!$V:$V,当年实际!$H:$H,$B103,当年实际!$C:$C,"&gt;="&amp;DATE(YEAR(主页!$D$2),1,1),当年实际!$C:$C,"&lt;="&amp;EOMONTH(DATE(YEAR(主页!$D$2),MONTH(主页!$D$2),1),0))/SUMIFS(当年实际!$P:$P,当年实际!$H:$H,$B103,当年实际!$C:$C,"&gt;="&amp;DATE(YEAR(主页!$D$2),1,1),当年实际!$C:$C,"&lt;="&amp;EOMONTH(DATE(YEAR(主页!$D$2),MONTH(主页!$D$2),1),0)),"")</f>
        <v/>
      </c>
    </row>
    <row r="104" spans="1:10" x14ac:dyDescent="0.3">
      <c r="A104" s="135"/>
      <c r="B104" s="136"/>
      <c r="C104" s="138"/>
      <c r="D104" s="139"/>
      <c r="E104" s="141" t="str">
        <f t="shared" si="5"/>
        <v/>
      </c>
      <c r="F104" s="144"/>
      <c r="G104" s="146">
        <f t="shared" si="3"/>
        <v>0</v>
      </c>
      <c r="H104" s="141" t="str">
        <f t="shared" si="4"/>
        <v/>
      </c>
      <c r="J104" s="148" t="str">
        <f>IFERROR(SUMIFS(当年实际!$V:$V,当年实际!$H:$H,$B104,当年实际!$C:$C,"&gt;="&amp;DATE(YEAR(主页!$D$2),1,1),当年实际!$C:$C,"&lt;="&amp;EOMONTH(DATE(YEAR(主页!$D$2),MONTH(主页!$D$2),1),0))/SUMIFS(当年实际!$P:$P,当年实际!$H:$H,$B104,当年实际!$C:$C,"&gt;="&amp;DATE(YEAR(主页!$D$2),1,1),当年实际!$C:$C,"&lt;="&amp;EOMONTH(DATE(YEAR(主页!$D$2),MONTH(主页!$D$2),1),0)),"")</f>
        <v/>
      </c>
    </row>
    <row r="105" spans="1:10" x14ac:dyDescent="0.3">
      <c r="A105" s="135"/>
      <c r="B105" s="136"/>
      <c r="C105" s="138"/>
      <c r="D105" s="139"/>
      <c r="E105" s="141" t="str">
        <f t="shared" si="5"/>
        <v/>
      </c>
      <c r="F105" s="144"/>
      <c r="G105" s="146">
        <f t="shared" si="3"/>
        <v>0</v>
      </c>
      <c r="H105" s="141" t="str">
        <f t="shared" si="4"/>
        <v/>
      </c>
      <c r="J105" s="148" t="str">
        <f>IFERROR(SUMIFS(当年实际!$V:$V,当年实际!$H:$H,$B105,当年实际!$C:$C,"&gt;="&amp;DATE(YEAR(主页!$D$2),1,1),当年实际!$C:$C,"&lt;="&amp;EOMONTH(DATE(YEAR(主页!$D$2),MONTH(主页!$D$2),1),0))/SUMIFS(当年实际!$P:$P,当年实际!$H:$H,$B105,当年实际!$C:$C,"&gt;="&amp;DATE(YEAR(主页!$D$2),1,1),当年实际!$C:$C,"&lt;="&amp;EOMONTH(DATE(YEAR(主页!$D$2),MONTH(主页!$D$2),1),0)),"")</f>
        <v/>
      </c>
    </row>
    <row r="106" spans="1:10" x14ac:dyDescent="0.3">
      <c r="A106" s="135"/>
      <c r="B106" s="136"/>
      <c r="C106" s="138"/>
      <c r="D106" s="139"/>
      <c r="E106" s="141" t="str">
        <f t="shared" si="5"/>
        <v/>
      </c>
      <c r="F106" s="144"/>
      <c r="G106" s="146">
        <f t="shared" si="3"/>
        <v>0</v>
      </c>
      <c r="H106" s="141" t="str">
        <f t="shared" si="4"/>
        <v/>
      </c>
      <c r="J106" s="148" t="str">
        <f>IFERROR(SUMIFS(当年实际!$V:$V,当年实际!$H:$H,$B106,当年实际!$C:$C,"&gt;="&amp;DATE(YEAR(主页!$D$2),1,1),当年实际!$C:$C,"&lt;="&amp;EOMONTH(DATE(YEAR(主页!$D$2),MONTH(主页!$D$2),1),0))/SUMIFS(当年实际!$P:$P,当年实际!$H:$H,$B106,当年实际!$C:$C,"&gt;="&amp;DATE(YEAR(主页!$D$2),1,1),当年实际!$C:$C,"&lt;="&amp;EOMONTH(DATE(YEAR(主页!$D$2),MONTH(主页!$D$2),1),0)),"")</f>
        <v/>
      </c>
    </row>
    <row r="107" spans="1:10" x14ac:dyDescent="0.3">
      <c r="A107" s="135"/>
      <c r="B107" s="136"/>
      <c r="C107" s="138"/>
      <c r="D107" s="139"/>
      <c r="E107" s="141" t="str">
        <f t="shared" si="5"/>
        <v/>
      </c>
      <c r="F107" s="144"/>
      <c r="G107" s="146">
        <f t="shared" si="3"/>
        <v>0</v>
      </c>
      <c r="H107" s="141" t="str">
        <f t="shared" si="4"/>
        <v/>
      </c>
      <c r="J107" s="148" t="str">
        <f>IFERROR(SUMIFS(当年实际!$V:$V,当年实际!$H:$H,$B107,当年实际!$C:$C,"&gt;="&amp;DATE(YEAR(主页!$D$2),1,1),当年实际!$C:$C,"&lt;="&amp;EOMONTH(DATE(YEAR(主页!$D$2),MONTH(主页!$D$2),1),0))/SUMIFS(当年实际!$P:$P,当年实际!$H:$H,$B107,当年实际!$C:$C,"&gt;="&amp;DATE(YEAR(主页!$D$2),1,1),当年实际!$C:$C,"&lt;="&amp;EOMONTH(DATE(YEAR(主页!$D$2),MONTH(主页!$D$2),1),0)),"")</f>
        <v/>
      </c>
    </row>
    <row r="108" spans="1:10" x14ac:dyDescent="0.3">
      <c r="A108" s="135"/>
      <c r="B108" s="136"/>
      <c r="C108" s="138"/>
      <c r="D108" s="139"/>
      <c r="E108" s="141" t="str">
        <f t="shared" si="5"/>
        <v/>
      </c>
      <c r="F108" s="144"/>
      <c r="G108" s="146">
        <f t="shared" si="3"/>
        <v>0</v>
      </c>
      <c r="H108" s="141" t="str">
        <f t="shared" si="4"/>
        <v/>
      </c>
      <c r="J108" s="148" t="str">
        <f>IFERROR(SUMIFS(当年实际!$V:$V,当年实际!$H:$H,$B108,当年实际!$C:$C,"&gt;="&amp;DATE(YEAR(主页!$D$2),1,1),当年实际!$C:$C,"&lt;="&amp;EOMONTH(DATE(YEAR(主页!$D$2),MONTH(主页!$D$2),1),0))/SUMIFS(当年实际!$P:$P,当年实际!$H:$H,$B108,当年实际!$C:$C,"&gt;="&amp;DATE(YEAR(主页!$D$2),1,1),当年实际!$C:$C,"&lt;="&amp;EOMONTH(DATE(YEAR(主页!$D$2),MONTH(主页!$D$2),1),0)),"")</f>
        <v/>
      </c>
    </row>
    <row r="109" spans="1:10" x14ac:dyDescent="0.3">
      <c r="A109" s="135"/>
      <c r="B109" s="136"/>
      <c r="C109" s="138"/>
      <c r="D109" s="139"/>
      <c r="E109" s="141" t="str">
        <f t="shared" si="5"/>
        <v/>
      </c>
      <c r="F109" s="144"/>
      <c r="G109" s="146">
        <f t="shared" si="3"/>
        <v>0</v>
      </c>
      <c r="H109" s="141" t="str">
        <f t="shared" si="4"/>
        <v/>
      </c>
      <c r="J109" s="148" t="str">
        <f>IFERROR(SUMIFS(当年实际!$V:$V,当年实际!$H:$H,$B109,当年实际!$C:$C,"&gt;="&amp;DATE(YEAR(主页!$D$2),1,1),当年实际!$C:$C,"&lt;="&amp;EOMONTH(DATE(YEAR(主页!$D$2),MONTH(主页!$D$2),1),0))/SUMIFS(当年实际!$P:$P,当年实际!$H:$H,$B109,当年实际!$C:$C,"&gt;="&amp;DATE(YEAR(主页!$D$2),1,1),当年实际!$C:$C,"&lt;="&amp;EOMONTH(DATE(YEAR(主页!$D$2),MONTH(主页!$D$2),1),0)),"")</f>
        <v/>
      </c>
    </row>
    <row r="110" spans="1:10" x14ac:dyDescent="0.3">
      <c r="A110" s="135"/>
      <c r="B110" s="136"/>
      <c r="C110" s="138"/>
      <c r="D110" s="139"/>
      <c r="E110" s="141" t="str">
        <f t="shared" si="5"/>
        <v/>
      </c>
      <c r="F110" s="144"/>
      <c r="G110" s="146">
        <f t="shared" si="3"/>
        <v>0</v>
      </c>
      <c r="H110" s="141" t="str">
        <f t="shared" si="4"/>
        <v/>
      </c>
      <c r="J110" s="148" t="str">
        <f>IFERROR(SUMIFS(当年实际!$V:$V,当年实际!$H:$H,$B110,当年实际!$C:$C,"&gt;="&amp;DATE(YEAR(主页!$D$2),1,1),当年实际!$C:$C,"&lt;="&amp;EOMONTH(DATE(YEAR(主页!$D$2),MONTH(主页!$D$2),1),0))/SUMIFS(当年实际!$P:$P,当年实际!$H:$H,$B110,当年实际!$C:$C,"&gt;="&amp;DATE(YEAR(主页!$D$2),1,1),当年实际!$C:$C,"&lt;="&amp;EOMONTH(DATE(YEAR(主页!$D$2),MONTH(主页!$D$2),1),0)),"")</f>
        <v/>
      </c>
    </row>
    <row r="111" spans="1:10" x14ac:dyDescent="0.3">
      <c r="A111" s="135"/>
      <c r="B111" s="136"/>
      <c r="C111" s="138"/>
      <c r="D111" s="139"/>
      <c r="E111" s="141" t="str">
        <f t="shared" si="5"/>
        <v/>
      </c>
      <c r="F111" s="144"/>
      <c r="G111" s="146">
        <f t="shared" si="3"/>
        <v>0</v>
      </c>
      <c r="H111" s="141" t="str">
        <f t="shared" si="4"/>
        <v/>
      </c>
      <c r="J111" s="148" t="str">
        <f>IFERROR(SUMIFS(当年实际!$V:$V,当年实际!$H:$H,$B111,当年实际!$C:$C,"&gt;="&amp;DATE(YEAR(主页!$D$2),1,1),当年实际!$C:$C,"&lt;="&amp;EOMONTH(DATE(YEAR(主页!$D$2),MONTH(主页!$D$2),1),0))/SUMIFS(当年实际!$P:$P,当年实际!$H:$H,$B111,当年实际!$C:$C,"&gt;="&amp;DATE(YEAR(主页!$D$2),1,1),当年实际!$C:$C,"&lt;="&amp;EOMONTH(DATE(YEAR(主页!$D$2),MONTH(主页!$D$2),1),0)),"")</f>
        <v/>
      </c>
    </row>
    <row r="112" spans="1:10" x14ac:dyDescent="0.3">
      <c r="A112" s="135"/>
      <c r="B112" s="136"/>
      <c r="C112" s="138"/>
      <c r="D112" s="139"/>
      <c r="E112" s="141" t="str">
        <f t="shared" si="5"/>
        <v/>
      </c>
      <c r="F112" s="144"/>
      <c r="G112" s="146">
        <f t="shared" si="3"/>
        <v>0</v>
      </c>
      <c r="H112" s="141" t="str">
        <f t="shared" si="4"/>
        <v/>
      </c>
      <c r="J112" s="148" t="str">
        <f>IFERROR(SUMIFS(当年实际!$V:$V,当年实际!$H:$H,$B112,当年实际!$C:$C,"&gt;="&amp;DATE(YEAR(主页!$D$2),1,1),当年实际!$C:$C,"&lt;="&amp;EOMONTH(DATE(YEAR(主页!$D$2),MONTH(主页!$D$2),1),0))/SUMIFS(当年实际!$P:$P,当年实际!$H:$H,$B112,当年实际!$C:$C,"&gt;="&amp;DATE(YEAR(主页!$D$2),1,1),当年实际!$C:$C,"&lt;="&amp;EOMONTH(DATE(YEAR(主页!$D$2),MONTH(主页!$D$2),1),0)),"")</f>
        <v/>
      </c>
    </row>
    <row r="113" spans="1:10" x14ac:dyDescent="0.3">
      <c r="A113" s="135"/>
      <c r="B113" s="136"/>
      <c r="C113" s="138"/>
      <c r="D113" s="139"/>
      <c r="E113" s="141" t="str">
        <f t="shared" si="5"/>
        <v/>
      </c>
      <c r="F113" s="144"/>
      <c r="G113" s="146">
        <f t="shared" si="3"/>
        <v>0</v>
      </c>
      <c r="H113" s="141" t="str">
        <f t="shared" si="4"/>
        <v/>
      </c>
      <c r="J113" s="148" t="str">
        <f>IFERROR(SUMIFS(当年实际!$V:$V,当年实际!$H:$H,$B113,当年实际!$C:$C,"&gt;="&amp;DATE(YEAR(主页!$D$2),1,1),当年实际!$C:$C,"&lt;="&amp;EOMONTH(DATE(YEAR(主页!$D$2),MONTH(主页!$D$2),1),0))/SUMIFS(当年实际!$P:$P,当年实际!$H:$H,$B113,当年实际!$C:$C,"&gt;="&amp;DATE(YEAR(主页!$D$2),1,1),当年实际!$C:$C,"&lt;="&amp;EOMONTH(DATE(YEAR(主页!$D$2),MONTH(主页!$D$2),1),0)),"")</f>
        <v/>
      </c>
    </row>
    <row r="114" spans="1:10" x14ac:dyDescent="0.3">
      <c r="A114" s="135"/>
      <c r="B114" s="136"/>
      <c r="C114" s="138"/>
      <c r="D114" s="139"/>
      <c r="E114" s="141" t="str">
        <f t="shared" si="5"/>
        <v/>
      </c>
      <c r="F114" s="144"/>
      <c r="G114" s="146">
        <f t="shared" si="3"/>
        <v>0</v>
      </c>
      <c r="H114" s="141" t="str">
        <f t="shared" si="4"/>
        <v/>
      </c>
      <c r="J114" s="148" t="str">
        <f>IFERROR(SUMIFS(当年实际!$V:$V,当年实际!$H:$H,$B114,当年实际!$C:$C,"&gt;="&amp;DATE(YEAR(主页!$D$2),1,1),当年实际!$C:$C,"&lt;="&amp;EOMONTH(DATE(YEAR(主页!$D$2),MONTH(主页!$D$2),1),0))/SUMIFS(当年实际!$P:$P,当年实际!$H:$H,$B114,当年实际!$C:$C,"&gt;="&amp;DATE(YEAR(主页!$D$2),1,1),当年实际!$C:$C,"&lt;="&amp;EOMONTH(DATE(YEAR(主页!$D$2),MONTH(主页!$D$2),1),0)),"")</f>
        <v/>
      </c>
    </row>
    <row r="115" spans="1:10" x14ac:dyDescent="0.3">
      <c r="A115" s="135"/>
      <c r="B115" s="136"/>
      <c r="C115" s="138"/>
      <c r="D115" s="139"/>
      <c r="E115" s="141" t="str">
        <f t="shared" si="5"/>
        <v/>
      </c>
      <c r="F115" s="144"/>
      <c r="G115" s="146">
        <f t="shared" si="3"/>
        <v>0</v>
      </c>
      <c r="H115" s="141" t="str">
        <f t="shared" si="4"/>
        <v/>
      </c>
      <c r="J115" s="148" t="str">
        <f>IFERROR(SUMIFS(当年实际!$V:$V,当年实际!$H:$H,$B115,当年实际!$C:$C,"&gt;="&amp;DATE(YEAR(主页!$D$2),1,1),当年实际!$C:$C,"&lt;="&amp;EOMONTH(DATE(YEAR(主页!$D$2),MONTH(主页!$D$2),1),0))/SUMIFS(当年实际!$P:$P,当年实际!$H:$H,$B115,当年实际!$C:$C,"&gt;="&amp;DATE(YEAR(主页!$D$2),1,1),当年实际!$C:$C,"&lt;="&amp;EOMONTH(DATE(YEAR(主页!$D$2),MONTH(主页!$D$2),1),0)),"")</f>
        <v/>
      </c>
    </row>
    <row r="116" spans="1:10" x14ac:dyDescent="0.3">
      <c r="A116" s="135"/>
      <c r="B116" s="136"/>
      <c r="C116" s="138"/>
      <c r="D116" s="139"/>
      <c r="E116" s="141" t="str">
        <f t="shared" si="5"/>
        <v/>
      </c>
      <c r="F116" s="144"/>
      <c r="G116" s="146">
        <f t="shared" si="3"/>
        <v>0</v>
      </c>
      <c r="H116" s="141" t="str">
        <f t="shared" si="4"/>
        <v/>
      </c>
      <c r="J116" s="148" t="str">
        <f>IFERROR(SUMIFS(当年实际!$V:$V,当年实际!$H:$H,$B116,当年实际!$C:$C,"&gt;="&amp;DATE(YEAR(主页!$D$2),1,1),当年实际!$C:$C,"&lt;="&amp;EOMONTH(DATE(YEAR(主页!$D$2),MONTH(主页!$D$2),1),0))/SUMIFS(当年实际!$P:$P,当年实际!$H:$H,$B116,当年实际!$C:$C,"&gt;="&amp;DATE(YEAR(主页!$D$2),1,1),当年实际!$C:$C,"&lt;="&amp;EOMONTH(DATE(YEAR(主页!$D$2),MONTH(主页!$D$2),1),0)),"")</f>
        <v/>
      </c>
    </row>
    <row r="117" spans="1:10" x14ac:dyDescent="0.3">
      <c r="A117" s="135"/>
      <c r="B117" s="136"/>
      <c r="C117" s="138"/>
      <c r="D117" s="139"/>
      <c r="E117" s="141" t="str">
        <f t="shared" si="5"/>
        <v/>
      </c>
      <c r="F117" s="144"/>
      <c r="G117" s="146">
        <f t="shared" si="3"/>
        <v>0</v>
      </c>
      <c r="H117" s="141" t="str">
        <f t="shared" si="4"/>
        <v/>
      </c>
      <c r="J117" s="148" t="str">
        <f>IFERROR(SUMIFS(当年实际!$V:$V,当年实际!$H:$H,$B117,当年实际!$C:$C,"&gt;="&amp;DATE(YEAR(主页!$D$2),1,1),当年实际!$C:$C,"&lt;="&amp;EOMONTH(DATE(YEAR(主页!$D$2),MONTH(主页!$D$2),1),0))/SUMIFS(当年实际!$P:$P,当年实际!$H:$H,$B117,当年实际!$C:$C,"&gt;="&amp;DATE(YEAR(主页!$D$2),1,1),当年实际!$C:$C,"&lt;="&amp;EOMONTH(DATE(YEAR(主页!$D$2),MONTH(主页!$D$2),1),0)),"")</f>
        <v/>
      </c>
    </row>
    <row r="118" spans="1:10" x14ac:dyDescent="0.3">
      <c r="A118" s="135"/>
      <c r="B118" s="136"/>
      <c r="C118" s="138"/>
      <c r="D118" s="139"/>
      <c r="E118" s="141" t="str">
        <f t="shared" si="5"/>
        <v/>
      </c>
      <c r="F118" s="144"/>
      <c r="G118" s="146">
        <f t="shared" si="3"/>
        <v>0</v>
      </c>
      <c r="H118" s="141" t="str">
        <f t="shared" si="4"/>
        <v/>
      </c>
      <c r="J118" s="148" t="str">
        <f>IFERROR(SUMIFS(当年实际!$V:$V,当年实际!$H:$H,$B118,当年实际!$C:$C,"&gt;="&amp;DATE(YEAR(主页!$D$2),1,1),当年实际!$C:$C,"&lt;="&amp;EOMONTH(DATE(YEAR(主页!$D$2),MONTH(主页!$D$2),1),0))/SUMIFS(当年实际!$P:$P,当年实际!$H:$H,$B118,当年实际!$C:$C,"&gt;="&amp;DATE(YEAR(主页!$D$2),1,1),当年实际!$C:$C,"&lt;="&amp;EOMONTH(DATE(YEAR(主页!$D$2),MONTH(主页!$D$2),1),0)),"")</f>
        <v/>
      </c>
    </row>
    <row r="119" spans="1:10" x14ac:dyDescent="0.3">
      <c r="A119" s="135"/>
      <c r="B119" s="136"/>
      <c r="C119" s="138"/>
      <c r="D119" s="139"/>
      <c r="E119" s="141" t="str">
        <f t="shared" si="5"/>
        <v/>
      </c>
      <c r="F119" s="144"/>
      <c r="G119" s="146">
        <f t="shared" si="3"/>
        <v>0</v>
      </c>
      <c r="H119" s="141" t="str">
        <f t="shared" si="4"/>
        <v/>
      </c>
      <c r="J119" s="148" t="str">
        <f>IFERROR(SUMIFS(当年实际!$V:$V,当年实际!$H:$H,$B119,当年实际!$C:$C,"&gt;="&amp;DATE(YEAR(主页!$D$2),1,1),当年实际!$C:$C,"&lt;="&amp;EOMONTH(DATE(YEAR(主页!$D$2),MONTH(主页!$D$2),1),0))/SUMIFS(当年实际!$P:$P,当年实际!$H:$H,$B119,当年实际!$C:$C,"&gt;="&amp;DATE(YEAR(主页!$D$2),1,1),当年实际!$C:$C,"&lt;="&amp;EOMONTH(DATE(YEAR(主页!$D$2),MONTH(主页!$D$2),1),0)),"")</f>
        <v/>
      </c>
    </row>
    <row r="120" spans="1:10" x14ac:dyDescent="0.3">
      <c r="A120" s="135"/>
      <c r="B120" s="136"/>
      <c r="C120" s="138"/>
      <c r="D120" s="139"/>
      <c r="E120" s="141" t="str">
        <f t="shared" si="5"/>
        <v/>
      </c>
      <c r="F120" s="144"/>
      <c r="G120" s="146">
        <f t="shared" si="3"/>
        <v>0</v>
      </c>
      <c r="H120" s="141" t="str">
        <f t="shared" si="4"/>
        <v/>
      </c>
      <c r="J120" s="148" t="str">
        <f>IFERROR(SUMIFS(当年实际!$V:$V,当年实际!$H:$H,$B120,当年实际!$C:$C,"&gt;="&amp;DATE(YEAR(主页!$D$2),1,1),当年实际!$C:$C,"&lt;="&amp;EOMONTH(DATE(YEAR(主页!$D$2),MONTH(主页!$D$2),1),0))/SUMIFS(当年实际!$P:$P,当年实际!$H:$H,$B120,当年实际!$C:$C,"&gt;="&amp;DATE(YEAR(主页!$D$2),1,1),当年实际!$C:$C,"&lt;="&amp;EOMONTH(DATE(YEAR(主页!$D$2),MONTH(主页!$D$2),1),0)),"")</f>
        <v/>
      </c>
    </row>
    <row r="121" spans="1:10" x14ac:dyDescent="0.3">
      <c r="A121" s="135"/>
      <c r="B121" s="136"/>
      <c r="C121" s="138"/>
      <c r="D121" s="139"/>
      <c r="E121" s="141" t="str">
        <f t="shared" si="5"/>
        <v/>
      </c>
      <c r="F121" s="144"/>
      <c r="G121" s="146">
        <f t="shared" si="3"/>
        <v>0</v>
      </c>
      <c r="H121" s="141" t="str">
        <f t="shared" si="4"/>
        <v/>
      </c>
      <c r="J121" s="148" t="str">
        <f>IFERROR(SUMIFS(当年实际!$V:$V,当年实际!$H:$H,$B121,当年实际!$C:$C,"&gt;="&amp;DATE(YEAR(主页!$D$2),1,1),当年实际!$C:$C,"&lt;="&amp;EOMONTH(DATE(YEAR(主页!$D$2),MONTH(主页!$D$2),1),0))/SUMIFS(当年实际!$P:$P,当年实际!$H:$H,$B121,当年实际!$C:$C,"&gt;="&amp;DATE(YEAR(主页!$D$2),1,1),当年实际!$C:$C,"&lt;="&amp;EOMONTH(DATE(YEAR(主页!$D$2),MONTH(主页!$D$2),1),0)),"")</f>
        <v/>
      </c>
    </row>
    <row r="122" spans="1:10" x14ac:dyDescent="0.3">
      <c r="A122" s="135"/>
      <c r="B122" s="136"/>
      <c r="C122" s="138"/>
      <c r="D122" s="139"/>
      <c r="E122" s="141" t="str">
        <f t="shared" si="5"/>
        <v/>
      </c>
      <c r="F122" s="144"/>
      <c r="G122" s="146">
        <f t="shared" si="3"/>
        <v>0</v>
      </c>
      <c r="H122" s="141" t="str">
        <f t="shared" si="4"/>
        <v/>
      </c>
      <c r="J122" s="148" t="str">
        <f>IFERROR(SUMIFS(当年实际!$V:$V,当年实际!$H:$H,$B122,当年实际!$C:$C,"&gt;="&amp;DATE(YEAR(主页!$D$2),1,1),当年实际!$C:$C,"&lt;="&amp;EOMONTH(DATE(YEAR(主页!$D$2),MONTH(主页!$D$2),1),0))/SUMIFS(当年实际!$P:$P,当年实际!$H:$H,$B122,当年实际!$C:$C,"&gt;="&amp;DATE(YEAR(主页!$D$2),1,1),当年实际!$C:$C,"&lt;="&amp;EOMONTH(DATE(YEAR(主页!$D$2),MONTH(主页!$D$2),1),0)),"")</f>
        <v/>
      </c>
    </row>
    <row r="123" spans="1:10" x14ac:dyDescent="0.3">
      <c r="A123" s="135"/>
      <c r="B123" s="136"/>
      <c r="C123" s="138"/>
      <c r="D123" s="139"/>
      <c r="E123" s="141" t="str">
        <f t="shared" si="5"/>
        <v/>
      </c>
      <c r="F123" s="144"/>
      <c r="G123" s="146">
        <f t="shared" si="3"/>
        <v>0</v>
      </c>
      <c r="H123" s="141" t="str">
        <f t="shared" si="4"/>
        <v/>
      </c>
      <c r="J123" s="148" t="str">
        <f>IFERROR(SUMIFS(当年实际!$V:$V,当年实际!$H:$H,$B123,当年实际!$C:$C,"&gt;="&amp;DATE(YEAR(主页!$D$2),1,1),当年实际!$C:$C,"&lt;="&amp;EOMONTH(DATE(YEAR(主页!$D$2),MONTH(主页!$D$2),1),0))/SUMIFS(当年实际!$P:$P,当年实际!$H:$H,$B123,当年实际!$C:$C,"&gt;="&amp;DATE(YEAR(主页!$D$2),1,1),当年实际!$C:$C,"&lt;="&amp;EOMONTH(DATE(YEAR(主页!$D$2),MONTH(主页!$D$2),1),0)),"")</f>
        <v/>
      </c>
    </row>
    <row r="124" spans="1:10" x14ac:dyDescent="0.3">
      <c r="A124" s="135"/>
      <c r="B124" s="136"/>
      <c r="C124" s="138"/>
      <c r="D124" s="139"/>
      <c r="E124" s="141" t="str">
        <f t="shared" si="5"/>
        <v/>
      </c>
      <c r="F124" s="144"/>
      <c r="G124" s="146">
        <f t="shared" si="3"/>
        <v>0</v>
      </c>
      <c r="H124" s="141" t="str">
        <f t="shared" si="4"/>
        <v/>
      </c>
      <c r="J124" s="148" t="str">
        <f>IFERROR(SUMIFS(当年实际!$V:$V,当年实际!$H:$H,$B124,当年实际!$C:$C,"&gt;="&amp;DATE(YEAR(主页!$D$2),1,1),当年实际!$C:$C,"&lt;="&amp;EOMONTH(DATE(YEAR(主页!$D$2),MONTH(主页!$D$2),1),0))/SUMIFS(当年实际!$P:$P,当年实际!$H:$H,$B124,当年实际!$C:$C,"&gt;="&amp;DATE(YEAR(主页!$D$2),1,1),当年实际!$C:$C,"&lt;="&amp;EOMONTH(DATE(YEAR(主页!$D$2),MONTH(主页!$D$2),1),0)),"")</f>
        <v/>
      </c>
    </row>
    <row r="125" spans="1:10" x14ac:dyDescent="0.3">
      <c r="A125" s="135"/>
      <c r="B125" s="136"/>
      <c r="C125" s="138"/>
      <c r="D125" s="139"/>
      <c r="E125" s="141" t="str">
        <f t="shared" si="5"/>
        <v/>
      </c>
      <c r="F125" s="144"/>
      <c r="G125" s="146">
        <f t="shared" si="3"/>
        <v>0</v>
      </c>
      <c r="H125" s="141" t="str">
        <f t="shared" si="4"/>
        <v/>
      </c>
      <c r="J125" s="148" t="str">
        <f>IFERROR(SUMIFS(当年实际!$V:$V,当年实际!$H:$H,$B125,当年实际!$C:$C,"&gt;="&amp;DATE(YEAR(主页!$D$2),1,1),当年实际!$C:$C,"&lt;="&amp;EOMONTH(DATE(YEAR(主页!$D$2),MONTH(主页!$D$2),1),0))/SUMIFS(当年实际!$P:$P,当年实际!$H:$H,$B125,当年实际!$C:$C,"&gt;="&amp;DATE(YEAR(主页!$D$2),1,1),当年实际!$C:$C,"&lt;="&amp;EOMONTH(DATE(YEAR(主页!$D$2),MONTH(主页!$D$2),1),0)),"")</f>
        <v/>
      </c>
    </row>
    <row r="126" spans="1:10" x14ac:dyDescent="0.3">
      <c r="A126" s="135"/>
      <c r="B126" s="136"/>
      <c r="C126" s="138"/>
      <c r="D126" s="139"/>
      <c r="E126" s="141" t="str">
        <f t="shared" si="5"/>
        <v/>
      </c>
      <c r="F126" s="144"/>
      <c r="G126" s="146">
        <f t="shared" si="3"/>
        <v>0</v>
      </c>
      <c r="H126" s="141" t="str">
        <f t="shared" si="4"/>
        <v/>
      </c>
      <c r="J126" s="148" t="str">
        <f>IFERROR(SUMIFS(当年实际!$V:$V,当年实际!$H:$H,$B126,当年实际!$C:$C,"&gt;="&amp;DATE(YEAR(主页!$D$2),1,1),当年实际!$C:$C,"&lt;="&amp;EOMONTH(DATE(YEAR(主页!$D$2),MONTH(主页!$D$2),1),0))/SUMIFS(当年实际!$P:$P,当年实际!$H:$H,$B126,当年实际!$C:$C,"&gt;="&amp;DATE(YEAR(主页!$D$2),1,1),当年实际!$C:$C,"&lt;="&amp;EOMONTH(DATE(YEAR(主页!$D$2),MONTH(主页!$D$2),1),0)),"")</f>
        <v/>
      </c>
    </row>
    <row r="127" spans="1:10" x14ac:dyDescent="0.3">
      <c r="A127" s="135"/>
      <c r="B127" s="136"/>
      <c r="C127" s="138"/>
      <c r="D127" s="139"/>
      <c r="E127" s="141" t="str">
        <f t="shared" si="5"/>
        <v/>
      </c>
      <c r="F127" s="144"/>
      <c r="G127" s="146">
        <f t="shared" si="3"/>
        <v>0</v>
      </c>
      <c r="H127" s="141" t="str">
        <f t="shared" si="4"/>
        <v/>
      </c>
      <c r="J127" s="148" t="str">
        <f>IFERROR(SUMIFS(当年实际!$V:$V,当年实际!$H:$H,$B127,当年实际!$C:$C,"&gt;="&amp;DATE(YEAR(主页!$D$2),1,1),当年实际!$C:$C,"&lt;="&amp;EOMONTH(DATE(YEAR(主页!$D$2),MONTH(主页!$D$2),1),0))/SUMIFS(当年实际!$P:$P,当年实际!$H:$H,$B127,当年实际!$C:$C,"&gt;="&amp;DATE(YEAR(主页!$D$2),1,1),当年实际!$C:$C,"&lt;="&amp;EOMONTH(DATE(YEAR(主页!$D$2),MONTH(主页!$D$2),1),0)),"")</f>
        <v/>
      </c>
    </row>
    <row r="128" spans="1:10" x14ac:dyDescent="0.3">
      <c r="A128" s="135"/>
      <c r="B128" s="136"/>
      <c r="C128" s="138"/>
      <c r="D128" s="139"/>
      <c r="E128" s="141" t="str">
        <f t="shared" si="5"/>
        <v/>
      </c>
      <c r="F128" s="144"/>
      <c r="G128" s="146">
        <f t="shared" si="3"/>
        <v>0</v>
      </c>
      <c r="H128" s="141" t="str">
        <f t="shared" si="4"/>
        <v/>
      </c>
      <c r="J128" s="148" t="str">
        <f>IFERROR(SUMIFS(当年实际!$V:$V,当年实际!$H:$H,$B128,当年实际!$C:$C,"&gt;="&amp;DATE(YEAR(主页!$D$2),1,1),当年实际!$C:$C,"&lt;="&amp;EOMONTH(DATE(YEAR(主页!$D$2),MONTH(主页!$D$2),1),0))/SUMIFS(当年实际!$P:$P,当年实际!$H:$H,$B128,当年实际!$C:$C,"&gt;="&amp;DATE(YEAR(主页!$D$2),1,1),当年实际!$C:$C,"&lt;="&amp;EOMONTH(DATE(YEAR(主页!$D$2),MONTH(主页!$D$2),1),0)),"")</f>
        <v/>
      </c>
    </row>
    <row r="129" spans="1:10" x14ac:dyDescent="0.3">
      <c r="A129" s="135"/>
      <c r="B129" s="136"/>
      <c r="C129" s="138"/>
      <c r="D129" s="139"/>
      <c r="E129" s="141" t="str">
        <f t="shared" si="5"/>
        <v/>
      </c>
      <c r="F129" s="144"/>
      <c r="G129" s="146">
        <f t="shared" si="3"/>
        <v>0</v>
      </c>
      <c r="H129" s="141" t="str">
        <f t="shared" si="4"/>
        <v/>
      </c>
      <c r="J129" s="148" t="str">
        <f>IFERROR(SUMIFS(当年实际!$V:$V,当年实际!$H:$H,$B129,当年实际!$C:$C,"&gt;="&amp;DATE(YEAR(主页!$D$2),1,1),当年实际!$C:$C,"&lt;="&amp;EOMONTH(DATE(YEAR(主页!$D$2),MONTH(主页!$D$2),1),0))/SUMIFS(当年实际!$P:$P,当年实际!$H:$H,$B129,当年实际!$C:$C,"&gt;="&amp;DATE(YEAR(主页!$D$2),1,1),当年实际!$C:$C,"&lt;="&amp;EOMONTH(DATE(YEAR(主页!$D$2),MONTH(主页!$D$2),1),0)),"")</f>
        <v/>
      </c>
    </row>
    <row r="130" spans="1:10" x14ac:dyDescent="0.3">
      <c r="A130" s="135"/>
      <c r="B130" s="136"/>
      <c r="C130" s="138"/>
      <c r="D130" s="139"/>
      <c r="E130" s="141" t="str">
        <f t="shared" si="5"/>
        <v/>
      </c>
      <c r="F130" s="144"/>
      <c r="G130" s="146">
        <f t="shared" si="3"/>
        <v>0</v>
      </c>
      <c r="H130" s="141" t="str">
        <f t="shared" si="4"/>
        <v/>
      </c>
      <c r="J130" s="148" t="str">
        <f>IFERROR(SUMIFS(当年实际!$V:$V,当年实际!$H:$H,$B130,当年实际!$C:$C,"&gt;="&amp;DATE(YEAR(主页!$D$2),1,1),当年实际!$C:$C,"&lt;="&amp;EOMONTH(DATE(YEAR(主页!$D$2),MONTH(主页!$D$2),1),0))/SUMIFS(当年实际!$P:$P,当年实际!$H:$H,$B130,当年实际!$C:$C,"&gt;="&amp;DATE(YEAR(主页!$D$2),1,1),当年实际!$C:$C,"&lt;="&amp;EOMONTH(DATE(YEAR(主页!$D$2),MONTH(主页!$D$2),1),0)),"")</f>
        <v/>
      </c>
    </row>
    <row r="131" spans="1:10" x14ac:dyDescent="0.3">
      <c r="A131" s="135"/>
      <c r="B131" s="136"/>
      <c r="C131" s="138"/>
      <c r="D131" s="139"/>
      <c r="E131" s="141" t="str">
        <f t="shared" si="5"/>
        <v/>
      </c>
      <c r="F131" s="144"/>
      <c r="G131" s="146">
        <f t="shared" si="3"/>
        <v>0</v>
      </c>
      <c r="H131" s="141" t="str">
        <f t="shared" si="4"/>
        <v/>
      </c>
      <c r="J131" s="148" t="str">
        <f>IFERROR(SUMIFS(当年实际!$V:$V,当年实际!$H:$H,$B131,当年实际!$C:$C,"&gt;="&amp;DATE(YEAR(主页!$D$2),1,1),当年实际!$C:$C,"&lt;="&amp;EOMONTH(DATE(YEAR(主页!$D$2),MONTH(主页!$D$2),1),0))/SUMIFS(当年实际!$P:$P,当年实际!$H:$H,$B131,当年实际!$C:$C,"&gt;="&amp;DATE(YEAR(主页!$D$2),1,1),当年实际!$C:$C,"&lt;="&amp;EOMONTH(DATE(YEAR(主页!$D$2),MONTH(主页!$D$2),1),0)),"")</f>
        <v/>
      </c>
    </row>
    <row r="132" spans="1:10" x14ac:dyDescent="0.3">
      <c r="A132" s="135"/>
      <c r="B132" s="136"/>
      <c r="C132" s="138"/>
      <c r="D132" s="139"/>
      <c r="E132" s="141" t="str">
        <f t="shared" si="5"/>
        <v/>
      </c>
      <c r="F132" s="144"/>
      <c r="G132" s="146">
        <f t="shared" si="3"/>
        <v>0</v>
      </c>
      <c r="H132" s="141" t="str">
        <f t="shared" si="4"/>
        <v/>
      </c>
      <c r="J132" s="148" t="str">
        <f>IFERROR(SUMIFS(当年实际!$V:$V,当年实际!$H:$H,$B132,当年实际!$C:$C,"&gt;="&amp;DATE(YEAR(主页!$D$2),1,1),当年实际!$C:$C,"&lt;="&amp;EOMONTH(DATE(YEAR(主页!$D$2),MONTH(主页!$D$2),1),0))/SUMIFS(当年实际!$P:$P,当年实际!$H:$H,$B132,当年实际!$C:$C,"&gt;="&amp;DATE(YEAR(主页!$D$2),1,1),当年实际!$C:$C,"&lt;="&amp;EOMONTH(DATE(YEAR(主页!$D$2),MONTH(主页!$D$2),1),0)),"")</f>
        <v/>
      </c>
    </row>
    <row r="133" spans="1:10" x14ac:dyDescent="0.3">
      <c r="A133" s="135"/>
      <c r="B133" s="136"/>
      <c r="C133" s="138"/>
      <c r="D133" s="139"/>
      <c r="E133" s="141" t="str">
        <f t="shared" si="5"/>
        <v/>
      </c>
      <c r="F133" s="144"/>
      <c r="G133" s="146">
        <f t="shared" ref="G133:G196" si="6">D133*F133</f>
        <v>0</v>
      </c>
      <c r="H133" s="141" t="str">
        <f t="shared" si="4"/>
        <v/>
      </c>
      <c r="J133" s="148" t="str">
        <f>IFERROR(SUMIFS(当年实际!$V:$V,当年实际!$H:$H,$B133,当年实际!$C:$C,"&gt;="&amp;DATE(YEAR(主页!$D$2),1,1),当年实际!$C:$C,"&lt;="&amp;EOMONTH(DATE(YEAR(主页!$D$2),MONTH(主页!$D$2),1),0))/SUMIFS(当年实际!$P:$P,当年实际!$H:$H,$B133,当年实际!$C:$C,"&gt;="&amp;DATE(YEAR(主页!$D$2),1,1),当年实际!$C:$C,"&lt;="&amp;EOMONTH(DATE(YEAR(主页!$D$2),MONTH(主页!$D$2),1),0)),"")</f>
        <v/>
      </c>
    </row>
    <row r="134" spans="1:10" x14ac:dyDescent="0.3">
      <c r="A134" s="135"/>
      <c r="B134" s="136"/>
      <c r="C134" s="138"/>
      <c r="D134" s="139"/>
      <c r="E134" s="141" t="str">
        <f t="shared" si="5"/>
        <v/>
      </c>
      <c r="F134" s="144"/>
      <c r="G134" s="146">
        <f t="shared" si="6"/>
        <v>0</v>
      </c>
      <c r="H134" s="141" t="str">
        <f t="shared" ref="H134:H197" si="7">IF(G134/SUM(G:G)=0,"",G134/SUM(G:G))</f>
        <v/>
      </c>
      <c r="J134" s="148" t="str">
        <f>IFERROR(SUMIFS(当年实际!$V:$V,当年实际!$H:$H,$B134,当年实际!$C:$C,"&gt;="&amp;DATE(YEAR(主页!$D$2),1,1),当年实际!$C:$C,"&lt;="&amp;EOMONTH(DATE(YEAR(主页!$D$2),MONTH(主页!$D$2),1),0))/SUMIFS(当年实际!$P:$P,当年实际!$H:$H,$B134,当年实际!$C:$C,"&gt;="&amp;DATE(YEAR(主页!$D$2),1,1),当年实际!$C:$C,"&lt;="&amp;EOMONTH(DATE(YEAR(主页!$D$2),MONTH(主页!$D$2),1),0)),"")</f>
        <v/>
      </c>
    </row>
    <row r="135" spans="1:10" x14ac:dyDescent="0.3">
      <c r="A135" s="135"/>
      <c r="B135" s="136"/>
      <c r="C135" s="138"/>
      <c r="D135" s="139"/>
      <c r="E135" s="141" t="str">
        <f t="shared" si="5"/>
        <v/>
      </c>
      <c r="F135" s="144"/>
      <c r="G135" s="146">
        <f t="shared" si="6"/>
        <v>0</v>
      </c>
      <c r="H135" s="141" t="str">
        <f t="shared" si="7"/>
        <v/>
      </c>
      <c r="J135" s="148" t="str">
        <f>IFERROR(SUMIFS(当年实际!$V:$V,当年实际!$H:$H,$B135,当年实际!$C:$C,"&gt;="&amp;DATE(YEAR(主页!$D$2),1,1),当年实际!$C:$C,"&lt;="&amp;EOMONTH(DATE(YEAR(主页!$D$2),MONTH(主页!$D$2),1),0))/SUMIFS(当年实际!$P:$P,当年实际!$H:$H,$B135,当年实际!$C:$C,"&gt;="&amp;DATE(YEAR(主页!$D$2),1,1),当年实际!$C:$C,"&lt;="&amp;EOMONTH(DATE(YEAR(主页!$D$2),MONTH(主页!$D$2),1),0)),"")</f>
        <v/>
      </c>
    </row>
    <row r="136" spans="1:10" x14ac:dyDescent="0.3">
      <c r="A136" s="135"/>
      <c r="B136" s="136"/>
      <c r="C136" s="138"/>
      <c r="D136" s="139"/>
      <c r="E136" s="141" t="str">
        <f t="shared" ref="E136:E199" si="8">IF(D136/SUM(D:D)=0,"",D136/SUM(D:D))</f>
        <v/>
      </c>
      <c r="F136" s="144"/>
      <c r="G136" s="146">
        <f t="shared" si="6"/>
        <v>0</v>
      </c>
      <c r="H136" s="141" t="str">
        <f t="shared" si="7"/>
        <v/>
      </c>
      <c r="J136" s="148" t="str">
        <f>IFERROR(SUMIFS(当年实际!$V:$V,当年实际!$H:$H,$B136,当年实际!$C:$C,"&gt;="&amp;DATE(YEAR(主页!$D$2),1,1),当年实际!$C:$C,"&lt;="&amp;EOMONTH(DATE(YEAR(主页!$D$2),MONTH(主页!$D$2),1),0))/SUMIFS(当年实际!$P:$P,当年实际!$H:$H,$B136,当年实际!$C:$C,"&gt;="&amp;DATE(YEAR(主页!$D$2),1,1),当年实际!$C:$C,"&lt;="&amp;EOMONTH(DATE(YEAR(主页!$D$2),MONTH(主页!$D$2),1),0)),"")</f>
        <v/>
      </c>
    </row>
    <row r="137" spans="1:10" x14ac:dyDescent="0.3">
      <c r="A137" s="135"/>
      <c r="B137" s="136"/>
      <c r="C137" s="138"/>
      <c r="D137" s="139"/>
      <c r="E137" s="141" t="str">
        <f t="shared" si="8"/>
        <v/>
      </c>
      <c r="F137" s="144"/>
      <c r="G137" s="146">
        <f t="shared" si="6"/>
        <v>0</v>
      </c>
      <c r="H137" s="141" t="str">
        <f t="shared" si="7"/>
        <v/>
      </c>
      <c r="J137" s="148" t="str">
        <f>IFERROR(SUMIFS(当年实际!$V:$V,当年实际!$H:$H,$B137,当年实际!$C:$C,"&gt;="&amp;DATE(YEAR(主页!$D$2),1,1),当年实际!$C:$C,"&lt;="&amp;EOMONTH(DATE(YEAR(主页!$D$2),MONTH(主页!$D$2),1),0))/SUMIFS(当年实际!$P:$P,当年实际!$H:$H,$B137,当年实际!$C:$C,"&gt;="&amp;DATE(YEAR(主页!$D$2),1,1),当年实际!$C:$C,"&lt;="&amp;EOMONTH(DATE(YEAR(主页!$D$2),MONTH(主页!$D$2),1),0)),"")</f>
        <v/>
      </c>
    </row>
    <row r="138" spans="1:10" x14ac:dyDescent="0.3">
      <c r="A138" s="135"/>
      <c r="B138" s="136"/>
      <c r="C138" s="138"/>
      <c r="D138" s="139"/>
      <c r="E138" s="141" t="str">
        <f t="shared" si="8"/>
        <v/>
      </c>
      <c r="F138" s="144"/>
      <c r="G138" s="146">
        <f t="shared" si="6"/>
        <v>0</v>
      </c>
      <c r="H138" s="141" t="str">
        <f t="shared" si="7"/>
        <v/>
      </c>
      <c r="J138" s="148" t="str">
        <f>IFERROR(SUMIFS(当年实际!$V:$V,当年实际!$H:$H,$B138,当年实际!$C:$C,"&gt;="&amp;DATE(YEAR(主页!$D$2),1,1),当年实际!$C:$C,"&lt;="&amp;EOMONTH(DATE(YEAR(主页!$D$2),MONTH(主页!$D$2),1),0))/SUMIFS(当年实际!$P:$P,当年实际!$H:$H,$B138,当年实际!$C:$C,"&gt;="&amp;DATE(YEAR(主页!$D$2),1,1),当年实际!$C:$C,"&lt;="&amp;EOMONTH(DATE(YEAR(主页!$D$2),MONTH(主页!$D$2),1),0)),"")</f>
        <v/>
      </c>
    </row>
    <row r="139" spans="1:10" x14ac:dyDescent="0.3">
      <c r="A139" s="135"/>
      <c r="B139" s="136"/>
      <c r="C139" s="138"/>
      <c r="D139" s="139"/>
      <c r="E139" s="141" t="str">
        <f t="shared" si="8"/>
        <v/>
      </c>
      <c r="F139" s="144"/>
      <c r="G139" s="146">
        <f t="shared" si="6"/>
        <v>0</v>
      </c>
      <c r="H139" s="141" t="str">
        <f t="shared" si="7"/>
        <v/>
      </c>
      <c r="J139" s="148" t="str">
        <f>IFERROR(SUMIFS(当年实际!$V:$V,当年实际!$H:$H,$B139,当年实际!$C:$C,"&gt;="&amp;DATE(YEAR(主页!$D$2),1,1),当年实际!$C:$C,"&lt;="&amp;EOMONTH(DATE(YEAR(主页!$D$2),MONTH(主页!$D$2),1),0))/SUMIFS(当年实际!$P:$P,当年实际!$H:$H,$B139,当年实际!$C:$C,"&gt;="&amp;DATE(YEAR(主页!$D$2),1,1),当年实际!$C:$C,"&lt;="&amp;EOMONTH(DATE(YEAR(主页!$D$2),MONTH(主页!$D$2),1),0)),"")</f>
        <v/>
      </c>
    </row>
    <row r="140" spans="1:10" x14ac:dyDescent="0.3">
      <c r="A140" s="135"/>
      <c r="B140" s="136"/>
      <c r="C140" s="138"/>
      <c r="D140" s="139"/>
      <c r="E140" s="141" t="str">
        <f t="shared" si="8"/>
        <v/>
      </c>
      <c r="F140" s="144"/>
      <c r="G140" s="146">
        <f t="shared" si="6"/>
        <v>0</v>
      </c>
      <c r="H140" s="141" t="str">
        <f t="shared" si="7"/>
        <v/>
      </c>
      <c r="J140" s="148" t="str">
        <f>IFERROR(SUMIFS(当年实际!$V:$V,当年实际!$H:$H,$B140,当年实际!$C:$C,"&gt;="&amp;DATE(YEAR(主页!$D$2),1,1),当年实际!$C:$C,"&lt;="&amp;EOMONTH(DATE(YEAR(主页!$D$2),MONTH(主页!$D$2),1),0))/SUMIFS(当年实际!$P:$P,当年实际!$H:$H,$B140,当年实际!$C:$C,"&gt;="&amp;DATE(YEAR(主页!$D$2),1,1),当年实际!$C:$C,"&lt;="&amp;EOMONTH(DATE(YEAR(主页!$D$2),MONTH(主页!$D$2),1),0)),"")</f>
        <v/>
      </c>
    </row>
    <row r="141" spans="1:10" x14ac:dyDescent="0.3">
      <c r="A141" s="135"/>
      <c r="B141" s="136"/>
      <c r="C141" s="138"/>
      <c r="D141" s="139"/>
      <c r="E141" s="141" t="str">
        <f t="shared" si="8"/>
        <v/>
      </c>
      <c r="F141" s="144"/>
      <c r="G141" s="146">
        <f t="shared" si="6"/>
        <v>0</v>
      </c>
      <c r="H141" s="141" t="str">
        <f t="shared" si="7"/>
        <v/>
      </c>
      <c r="J141" s="148" t="str">
        <f>IFERROR(SUMIFS(当年实际!$V:$V,当年实际!$H:$H,$B141,当年实际!$C:$C,"&gt;="&amp;DATE(YEAR(主页!$D$2),1,1),当年实际!$C:$C,"&lt;="&amp;EOMONTH(DATE(YEAR(主页!$D$2),MONTH(主页!$D$2),1),0))/SUMIFS(当年实际!$P:$P,当年实际!$H:$H,$B141,当年实际!$C:$C,"&gt;="&amp;DATE(YEAR(主页!$D$2),1,1),当年实际!$C:$C,"&lt;="&amp;EOMONTH(DATE(YEAR(主页!$D$2),MONTH(主页!$D$2),1),0)),"")</f>
        <v/>
      </c>
    </row>
    <row r="142" spans="1:10" x14ac:dyDescent="0.3">
      <c r="A142" s="135"/>
      <c r="B142" s="136"/>
      <c r="C142" s="138"/>
      <c r="D142" s="139"/>
      <c r="E142" s="141" t="str">
        <f t="shared" si="8"/>
        <v/>
      </c>
      <c r="F142" s="144"/>
      <c r="G142" s="146">
        <f t="shared" si="6"/>
        <v>0</v>
      </c>
      <c r="H142" s="141" t="str">
        <f t="shared" si="7"/>
        <v/>
      </c>
      <c r="J142" s="148" t="str">
        <f>IFERROR(SUMIFS(当年实际!$V:$V,当年实际!$H:$H,$B142,当年实际!$C:$C,"&gt;="&amp;DATE(YEAR(主页!$D$2),1,1),当年实际!$C:$C,"&lt;="&amp;EOMONTH(DATE(YEAR(主页!$D$2),MONTH(主页!$D$2),1),0))/SUMIFS(当年实际!$P:$P,当年实际!$H:$H,$B142,当年实际!$C:$C,"&gt;="&amp;DATE(YEAR(主页!$D$2),1,1),当年实际!$C:$C,"&lt;="&amp;EOMONTH(DATE(YEAR(主页!$D$2),MONTH(主页!$D$2),1),0)),"")</f>
        <v/>
      </c>
    </row>
    <row r="143" spans="1:10" x14ac:dyDescent="0.3">
      <c r="A143" s="135"/>
      <c r="B143" s="136"/>
      <c r="C143" s="138"/>
      <c r="D143" s="139"/>
      <c r="E143" s="141" t="str">
        <f t="shared" si="8"/>
        <v/>
      </c>
      <c r="F143" s="144"/>
      <c r="G143" s="146">
        <f t="shared" si="6"/>
        <v>0</v>
      </c>
      <c r="H143" s="141" t="str">
        <f t="shared" si="7"/>
        <v/>
      </c>
      <c r="J143" s="148" t="str">
        <f>IFERROR(SUMIFS(当年实际!$V:$V,当年实际!$H:$H,$B143,当年实际!$C:$C,"&gt;="&amp;DATE(YEAR(主页!$D$2),1,1),当年实际!$C:$C,"&lt;="&amp;EOMONTH(DATE(YEAR(主页!$D$2),MONTH(主页!$D$2),1),0))/SUMIFS(当年实际!$P:$P,当年实际!$H:$H,$B143,当年实际!$C:$C,"&gt;="&amp;DATE(YEAR(主页!$D$2),1,1),当年实际!$C:$C,"&lt;="&amp;EOMONTH(DATE(YEAR(主页!$D$2),MONTH(主页!$D$2),1),0)),"")</f>
        <v/>
      </c>
    </row>
    <row r="144" spans="1:10" x14ac:dyDescent="0.3">
      <c r="A144" s="135"/>
      <c r="B144" s="136"/>
      <c r="C144" s="138"/>
      <c r="D144" s="139"/>
      <c r="E144" s="141" t="str">
        <f t="shared" si="8"/>
        <v/>
      </c>
      <c r="F144" s="144"/>
      <c r="G144" s="146">
        <f t="shared" si="6"/>
        <v>0</v>
      </c>
      <c r="H144" s="141" t="str">
        <f t="shared" si="7"/>
        <v/>
      </c>
      <c r="J144" s="148" t="str">
        <f>IFERROR(SUMIFS(当年实际!$V:$V,当年实际!$H:$H,$B144,当年实际!$C:$C,"&gt;="&amp;DATE(YEAR(主页!$D$2),1,1),当年实际!$C:$C,"&lt;="&amp;EOMONTH(DATE(YEAR(主页!$D$2),MONTH(主页!$D$2),1),0))/SUMIFS(当年实际!$P:$P,当年实际!$H:$H,$B144,当年实际!$C:$C,"&gt;="&amp;DATE(YEAR(主页!$D$2),1,1),当年实际!$C:$C,"&lt;="&amp;EOMONTH(DATE(YEAR(主页!$D$2),MONTH(主页!$D$2),1),0)),"")</f>
        <v/>
      </c>
    </row>
    <row r="145" spans="1:10" x14ac:dyDescent="0.3">
      <c r="A145" s="135"/>
      <c r="B145" s="136"/>
      <c r="C145" s="138"/>
      <c r="D145" s="139"/>
      <c r="E145" s="141" t="str">
        <f t="shared" si="8"/>
        <v/>
      </c>
      <c r="F145" s="144"/>
      <c r="G145" s="146">
        <f t="shared" si="6"/>
        <v>0</v>
      </c>
      <c r="H145" s="141" t="str">
        <f t="shared" si="7"/>
        <v/>
      </c>
      <c r="J145" s="148" t="str">
        <f>IFERROR(SUMIFS(当年实际!$V:$V,当年实际!$H:$H,$B145,当年实际!$C:$C,"&gt;="&amp;DATE(YEAR(主页!$D$2),1,1),当年实际!$C:$C,"&lt;="&amp;EOMONTH(DATE(YEAR(主页!$D$2),MONTH(主页!$D$2),1),0))/SUMIFS(当年实际!$P:$P,当年实际!$H:$H,$B145,当年实际!$C:$C,"&gt;="&amp;DATE(YEAR(主页!$D$2),1,1),当年实际!$C:$C,"&lt;="&amp;EOMONTH(DATE(YEAR(主页!$D$2),MONTH(主页!$D$2),1),0)),"")</f>
        <v/>
      </c>
    </row>
    <row r="146" spans="1:10" x14ac:dyDescent="0.3">
      <c r="A146" s="135"/>
      <c r="B146" s="136"/>
      <c r="C146" s="138"/>
      <c r="D146" s="139"/>
      <c r="E146" s="141" t="str">
        <f t="shared" si="8"/>
        <v/>
      </c>
      <c r="F146" s="144"/>
      <c r="G146" s="146">
        <f t="shared" si="6"/>
        <v>0</v>
      </c>
      <c r="H146" s="141" t="str">
        <f t="shared" si="7"/>
        <v/>
      </c>
      <c r="J146" s="148" t="str">
        <f>IFERROR(SUMIFS(当年实际!$V:$V,当年实际!$H:$H,$B146,当年实际!$C:$C,"&gt;="&amp;DATE(YEAR(主页!$D$2),1,1),当年实际!$C:$C,"&lt;="&amp;EOMONTH(DATE(YEAR(主页!$D$2),MONTH(主页!$D$2),1),0))/SUMIFS(当年实际!$P:$P,当年实际!$H:$H,$B146,当年实际!$C:$C,"&gt;="&amp;DATE(YEAR(主页!$D$2),1,1),当年实际!$C:$C,"&lt;="&amp;EOMONTH(DATE(YEAR(主页!$D$2),MONTH(主页!$D$2),1),0)),"")</f>
        <v/>
      </c>
    </row>
    <row r="147" spans="1:10" x14ac:dyDescent="0.3">
      <c r="A147" s="135"/>
      <c r="B147" s="136"/>
      <c r="C147" s="138"/>
      <c r="D147" s="139"/>
      <c r="E147" s="141" t="str">
        <f t="shared" si="8"/>
        <v/>
      </c>
      <c r="F147" s="144"/>
      <c r="G147" s="146">
        <f t="shared" si="6"/>
        <v>0</v>
      </c>
      <c r="H147" s="141" t="str">
        <f t="shared" si="7"/>
        <v/>
      </c>
      <c r="J147" s="148" t="str">
        <f>IFERROR(SUMIFS(当年实际!$V:$V,当年实际!$H:$H,$B147,当年实际!$C:$C,"&gt;="&amp;DATE(YEAR(主页!$D$2),1,1),当年实际!$C:$C,"&lt;="&amp;EOMONTH(DATE(YEAR(主页!$D$2),MONTH(主页!$D$2),1),0))/SUMIFS(当年实际!$P:$P,当年实际!$H:$H,$B147,当年实际!$C:$C,"&gt;="&amp;DATE(YEAR(主页!$D$2),1,1),当年实际!$C:$C,"&lt;="&amp;EOMONTH(DATE(YEAR(主页!$D$2),MONTH(主页!$D$2),1),0)),"")</f>
        <v/>
      </c>
    </row>
    <row r="148" spans="1:10" x14ac:dyDescent="0.3">
      <c r="A148" s="135"/>
      <c r="B148" s="136"/>
      <c r="C148" s="138"/>
      <c r="D148" s="139"/>
      <c r="E148" s="141" t="str">
        <f t="shared" si="8"/>
        <v/>
      </c>
      <c r="F148" s="144"/>
      <c r="G148" s="146">
        <f t="shared" si="6"/>
        <v>0</v>
      </c>
      <c r="H148" s="141" t="str">
        <f t="shared" si="7"/>
        <v/>
      </c>
      <c r="J148" s="148" t="str">
        <f>IFERROR(SUMIFS(当年实际!$V:$V,当年实际!$H:$H,$B148,当年实际!$C:$C,"&gt;="&amp;DATE(YEAR(主页!$D$2),1,1),当年实际!$C:$C,"&lt;="&amp;EOMONTH(DATE(YEAR(主页!$D$2),MONTH(主页!$D$2),1),0))/SUMIFS(当年实际!$P:$P,当年实际!$H:$H,$B148,当年实际!$C:$C,"&gt;="&amp;DATE(YEAR(主页!$D$2),1,1),当年实际!$C:$C,"&lt;="&amp;EOMONTH(DATE(YEAR(主页!$D$2),MONTH(主页!$D$2),1),0)),"")</f>
        <v/>
      </c>
    </row>
    <row r="149" spans="1:10" x14ac:dyDescent="0.3">
      <c r="A149" s="135"/>
      <c r="B149" s="136"/>
      <c r="C149" s="138"/>
      <c r="D149" s="139"/>
      <c r="E149" s="141" t="str">
        <f t="shared" si="8"/>
        <v/>
      </c>
      <c r="F149" s="144"/>
      <c r="G149" s="146">
        <f t="shared" si="6"/>
        <v>0</v>
      </c>
      <c r="H149" s="141" t="str">
        <f t="shared" si="7"/>
        <v/>
      </c>
      <c r="J149" s="148" t="str">
        <f>IFERROR(SUMIFS(当年实际!$V:$V,当年实际!$H:$H,$B149,当年实际!$C:$C,"&gt;="&amp;DATE(YEAR(主页!$D$2),1,1),当年实际!$C:$C,"&lt;="&amp;EOMONTH(DATE(YEAR(主页!$D$2),MONTH(主页!$D$2),1),0))/SUMIFS(当年实际!$P:$P,当年实际!$H:$H,$B149,当年实际!$C:$C,"&gt;="&amp;DATE(YEAR(主页!$D$2),1,1),当年实际!$C:$C,"&lt;="&amp;EOMONTH(DATE(YEAR(主页!$D$2),MONTH(主页!$D$2),1),0)),"")</f>
        <v/>
      </c>
    </row>
    <row r="150" spans="1:10" x14ac:dyDescent="0.3">
      <c r="A150" s="135"/>
      <c r="B150" s="136"/>
      <c r="C150" s="138"/>
      <c r="D150" s="139"/>
      <c r="E150" s="141" t="str">
        <f t="shared" si="8"/>
        <v/>
      </c>
      <c r="F150" s="144"/>
      <c r="G150" s="146">
        <f t="shared" si="6"/>
        <v>0</v>
      </c>
      <c r="H150" s="141" t="str">
        <f t="shared" si="7"/>
        <v/>
      </c>
      <c r="J150" s="148" t="str">
        <f>IFERROR(SUMIFS(当年实际!$V:$V,当年实际!$H:$H,$B150,当年实际!$C:$C,"&gt;="&amp;DATE(YEAR(主页!$D$2),1,1),当年实际!$C:$C,"&lt;="&amp;EOMONTH(DATE(YEAR(主页!$D$2),MONTH(主页!$D$2),1),0))/SUMIFS(当年实际!$P:$P,当年实际!$H:$H,$B150,当年实际!$C:$C,"&gt;="&amp;DATE(YEAR(主页!$D$2),1,1),当年实际!$C:$C,"&lt;="&amp;EOMONTH(DATE(YEAR(主页!$D$2),MONTH(主页!$D$2),1),0)),"")</f>
        <v/>
      </c>
    </row>
    <row r="151" spans="1:10" x14ac:dyDescent="0.3">
      <c r="A151" s="135"/>
      <c r="B151" s="136"/>
      <c r="C151" s="138"/>
      <c r="D151" s="139"/>
      <c r="E151" s="141" t="str">
        <f t="shared" si="8"/>
        <v/>
      </c>
      <c r="F151" s="144"/>
      <c r="G151" s="146">
        <f t="shared" si="6"/>
        <v>0</v>
      </c>
      <c r="H151" s="141" t="str">
        <f t="shared" si="7"/>
        <v/>
      </c>
      <c r="J151" s="148" t="str">
        <f>IFERROR(SUMIFS(当年实际!$V:$V,当年实际!$H:$H,$B151,当年实际!$C:$C,"&gt;="&amp;DATE(YEAR(主页!$D$2),1,1),当年实际!$C:$C,"&lt;="&amp;EOMONTH(DATE(YEAR(主页!$D$2),MONTH(主页!$D$2),1),0))/SUMIFS(当年实际!$P:$P,当年实际!$H:$H,$B151,当年实际!$C:$C,"&gt;="&amp;DATE(YEAR(主页!$D$2),1,1),当年实际!$C:$C,"&lt;="&amp;EOMONTH(DATE(YEAR(主页!$D$2),MONTH(主页!$D$2),1),0)),"")</f>
        <v/>
      </c>
    </row>
    <row r="152" spans="1:10" x14ac:dyDescent="0.3">
      <c r="A152" s="135"/>
      <c r="B152" s="136"/>
      <c r="C152" s="138"/>
      <c r="D152" s="139"/>
      <c r="E152" s="141" t="str">
        <f t="shared" si="8"/>
        <v/>
      </c>
      <c r="F152" s="144"/>
      <c r="G152" s="146">
        <f t="shared" si="6"/>
        <v>0</v>
      </c>
      <c r="H152" s="141" t="str">
        <f t="shared" si="7"/>
        <v/>
      </c>
      <c r="J152" s="148" t="str">
        <f>IFERROR(SUMIFS(当年实际!$V:$V,当年实际!$H:$H,$B152,当年实际!$C:$C,"&gt;="&amp;DATE(YEAR(主页!$D$2),1,1),当年实际!$C:$C,"&lt;="&amp;EOMONTH(DATE(YEAR(主页!$D$2),MONTH(主页!$D$2),1),0))/SUMIFS(当年实际!$P:$P,当年实际!$H:$H,$B152,当年实际!$C:$C,"&gt;="&amp;DATE(YEAR(主页!$D$2),1,1),当年实际!$C:$C,"&lt;="&amp;EOMONTH(DATE(YEAR(主页!$D$2),MONTH(主页!$D$2),1),0)),"")</f>
        <v/>
      </c>
    </row>
    <row r="153" spans="1:10" x14ac:dyDescent="0.3">
      <c r="A153" s="135"/>
      <c r="B153" s="136"/>
      <c r="C153" s="138"/>
      <c r="D153" s="139"/>
      <c r="E153" s="141" t="str">
        <f t="shared" si="8"/>
        <v/>
      </c>
      <c r="F153" s="144"/>
      <c r="G153" s="146">
        <f t="shared" si="6"/>
        <v>0</v>
      </c>
      <c r="H153" s="141" t="str">
        <f t="shared" si="7"/>
        <v/>
      </c>
      <c r="J153" s="148" t="str">
        <f>IFERROR(SUMIFS(当年实际!$V:$V,当年实际!$H:$H,$B153,当年实际!$C:$C,"&gt;="&amp;DATE(YEAR(主页!$D$2),1,1),当年实际!$C:$C,"&lt;="&amp;EOMONTH(DATE(YEAR(主页!$D$2),MONTH(主页!$D$2),1),0))/SUMIFS(当年实际!$P:$P,当年实际!$H:$H,$B153,当年实际!$C:$C,"&gt;="&amp;DATE(YEAR(主页!$D$2),1,1),当年实际!$C:$C,"&lt;="&amp;EOMONTH(DATE(YEAR(主页!$D$2),MONTH(主页!$D$2),1),0)),"")</f>
        <v/>
      </c>
    </row>
    <row r="154" spans="1:10" x14ac:dyDescent="0.3">
      <c r="A154" s="135"/>
      <c r="B154" s="136"/>
      <c r="C154" s="138"/>
      <c r="D154" s="139"/>
      <c r="E154" s="141" t="str">
        <f t="shared" si="8"/>
        <v/>
      </c>
      <c r="F154" s="144"/>
      <c r="G154" s="146">
        <f t="shared" si="6"/>
        <v>0</v>
      </c>
      <c r="H154" s="141" t="str">
        <f t="shared" si="7"/>
        <v/>
      </c>
      <c r="J154" s="148" t="str">
        <f>IFERROR(SUMIFS(当年实际!$V:$V,当年实际!$H:$H,$B154,当年实际!$C:$C,"&gt;="&amp;DATE(YEAR(主页!$D$2),1,1),当年实际!$C:$C,"&lt;="&amp;EOMONTH(DATE(YEAR(主页!$D$2),MONTH(主页!$D$2),1),0))/SUMIFS(当年实际!$P:$P,当年实际!$H:$H,$B154,当年实际!$C:$C,"&gt;="&amp;DATE(YEAR(主页!$D$2),1,1),当年实际!$C:$C,"&lt;="&amp;EOMONTH(DATE(YEAR(主页!$D$2),MONTH(主页!$D$2),1),0)),"")</f>
        <v/>
      </c>
    </row>
    <row r="155" spans="1:10" x14ac:dyDescent="0.3">
      <c r="A155" s="135"/>
      <c r="B155" s="136"/>
      <c r="C155" s="138"/>
      <c r="D155" s="139"/>
      <c r="E155" s="141" t="str">
        <f t="shared" si="8"/>
        <v/>
      </c>
      <c r="F155" s="144"/>
      <c r="G155" s="146">
        <f t="shared" si="6"/>
        <v>0</v>
      </c>
      <c r="H155" s="141" t="str">
        <f t="shared" si="7"/>
        <v/>
      </c>
      <c r="J155" s="148" t="str">
        <f>IFERROR(SUMIFS(当年实际!$V:$V,当年实际!$H:$H,$B155,当年实际!$C:$C,"&gt;="&amp;DATE(YEAR(主页!$D$2),1,1),当年实际!$C:$C,"&lt;="&amp;EOMONTH(DATE(YEAR(主页!$D$2),MONTH(主页!$D$2),1),0))/SUMIFS(当年实际!$P:$P,当年实际!$H:$H,$B155,当年实际!$C:$C,"&gt;="&amp;DATE(YEAR(主页!$D$2),1,1),当年实际!$C:$C,"&lt;="&amp;EOMONTH(DATE(YEAR(主页!$D$2),MONTH(主页!$D$2),1),0)),"")</f>
        <v/>
      </c>
    </row>
    <row r="156" spans="1:10" x14ac:dyDescent="0.3">
      <c r="A156" s="135"/>
      <c r="B156" s="136"/>
      <c r="C156" s="138"/>
      <c r="D156" s="139"/>
      <c r="E156" s="141" t="str">
        <f t="shared" si="8"/>
        <v/>
      </c>
      <c r="F156" s="144"/>
      <c r="G156" s="146">
        <f t="shared" si="6"/>
        <v>0</v>
      </c>
      <c r="H156" s="141" t="str">
        <f t="shared" si="7"/>
        <v/>
      </c>
      <c r="J156" s="148" t="str">
        <f>IFERROR(SUMIFS(当年实际!$V:$V,当年实际!$H:$H,$B156,当年实际!$C:$C,"&gt;="&amp;DATE(YEAR(主页!$D$2),1,1),当年实际!$C:$C,"&lt;="&amp;EOMONTH(DATE(YEAR(主页!$D$2),MONTH(主页!$D$2),1),0))/SUMIFS(当年实际!$P:$P,当年实际!$H:$H,$B156,当年实际!$C:$C,"&gt;="&amp;DATE(YEAR(主页!$D$2),1,1),当年实际!$C:$C,"&lt;="&amp;EOMONTH(DATE(YEAR(主页!$D$2),MONTH(主页!$D$2),1),0)),"")</f>
        <v/>
      </c>
    </row>
    <row r="157" spans="1:10" x14ac:dyDescent="0.3">
      <c r="A157" s="135"/>
      <c r="B157" s="136"/>
      <c r="C157" s="138"/>
      <c r="D157" s="139"/>
      <c r="E157" s="141" t="str">
        <f t="shared" si="8"/>
        <v/>
      </c>
      <c r="F157" s="144"/>
      <c r="G157" s="146">
        <f t="shared" si="6"/>
        <v>0</v>
      </c>
      <c r="H157" s="141" t="str">
        <f t="shared" si="7"/>
        <v/>
      </c>
      <c r="J157" s="148" t="str">
        <f>IFERROR(SUMIFS(当年实际!$V:$V,当年实际!$H:$H,$B157,当年实际!$C:$C,"&gt;="&amp;DATE(YEAR(主页!$D$2),1,1),当年实际!$C:$C,"&lt;="&amp;EOMONTH(DATE(YEAR(主页!$D$2),MONTH(主页!$D$2),1),0))/SUMIFS(当年实际!$P:$P,当年实际!$H:$H,$B157,当年实际!$C:$C,"&gt;="&amp;DATE(YEAR(主页!$D$2),1,1),当年实际!$C:$C,"&lt;="&amp;EOMONTH(DATE(YEAR(主页!$D$2),MONTH(主页!$D$2),1),0)),"")</f>
        <v/>
      </c>
    </row>
    <row r="158" spans="1:10" x14ac:dyDescent="0.3">
      <c r="A158" s="135"/>
      <c r="B158" s="136"/>
      <c r="C158" s="138"/>
      <c r="D158" s="139"/>
      <c r="E158" s="141" t="str">
        <f t="shared" si="8"/>
        <v/>
      </c>
      <c r="F158" s="144"/>
      <c r="G158" s="146">
        <f t="shared" si="6"/>
        <v>0</v>
      </c>
      <c r="H158" s="141" t="str">
        <f t="shared" si="7"/>
        <v/>
      </c>
      <c r="J158" s="148" t="str">
        <f>IFERROR(SUMIFS(当年实际!$V:$V,当年实际!$H:$H,$B158,当年实际!$C:$C,"&gt;="&amp;DATE(YEAR(主页!$D$2),1,1),当年实际!$C:$C,"&lt;="&amp;EOMONTH(DATE(YEAR(主页!$D$2),MONTH(主页!$D$2),1),0))/SUMIFS(当年实际!$P:$P,当年实际!$H:$H,$B158,当年实际!$C:$C,"&gt;="&amp;DATE(YEAR(主页!$D$2),1,1),当年实际!$C:$C,"&lt;="&amp;EOMONTH(DATE(YEAR(主页!$D$2),MONTH(主页!$D$2),1),0)),"")</f>
        <v/>
      </c>
    </row>
    <row r="159" spans="1:10" x14ac:dyDescent="0.3">
      <c r="A159" s="135"/>
      <c r="B159" s="136"/>
      <c r="C159" s="138"/>
      <c r="D159" s="139"/>
      <c r="E159" s="141" t="str">
        <f t="shared" si="8"/>
        <v/>
      </c>
      <c r="F159" s="144"/>
      <c r="G159" s="146">
        <f t="shared" si="6"/>
        <v>0</v>
      </c>
      <c r="H159" s="141" t="str">
        <f t="shared" si="7"/>
        <v/>
      </c>
      <c r="J159" s="148" t="str">
        <f>IFERROR(SUMIFS(当年实际!$V:$V,当年实际!$H:$H,$B159,当年实际!$C:$C,"&gt;="&amp;DATE(YEAR(主页!$D$2),1,1),当年实际!$C:$C,"&lt;="&amp;EOMONTH(DATE(YEAR(主页!$D$2),MONTH(主页!$D$2),1),0))/SUMIFS(当年实际!$P:$P,当年实际!$H:$H,$B159,当年实际!$C:$C,"&gt;="&amp;DATE(YEAR(主页!$D$2),1,1),当年实际!$C:$C,"&lt;="&amp;EOMONTH(DATE(YEAR(主页!$D$2),MONTH(主页!$D$2),1),0)),"")</f>
        <v/>
      </c>
    </row>
    <row r="160" spans="1:10" x14ac:dyDescent="0.3">
      <c r="A160" s="135"/>
      <c r="B160" s="136"/>
      <c r="C160" s="138"/>
      <c r="D160" s="139"/>
      <c r="E160" s="141" t="str">
        <f t="shared" si="8"/>
        <v/>
      </c>
      <c r="F160" s="144"/>
      <c r="G160" s="146">
        <f t="shared" si="6"/>
        <v>0</v>
      </c>
      <c r="H160" s="141" t="str">
        <f t="shared" si="7"/>
        <v/>
      </c>
      <c r="J160" s="148" t="str">
        <f>IFERROR(SUMIFS(当年实际!$V:$V,当年实际!$H:$H,$B160,当年实际!$C:$C,"&gt;="&amp;DATE(YEAR(主页!$D$2),1,1),当年实际!$C:$C,"&lt;="&amp;EOMONTH(DATE(YEAR(主页!$D$2),MONTH(主页!$D$2),1),0))/SUMIFS(当年实际!$P:$P,当年实际!$H:$H,$B160,当年实际!$C:$C,"&gt;="&amp;DATE(YEAR(主页!$D$2),1,1),当年实际!$C:$C,"&lt;="&amp;EOMONTH(DATE(YEAR(主页!$D$2),MONTH(主页!$D$2),1),0)),"")</f>
        <v/>
      </c>
    </row>
    <row r="161" spans="1:10" x14ac:dyDescent="0.3">
      <c r="A161" s="135"/>
      <c r="B161" s="136"/>
      <c r="C161" s="138"/>
      <c r="D161" s="139"/>
      <c r="E161" s="141" t="str">
        <f t="shared" si="8"/>
        <v/>
      </c>
      <c r="F161" s="144"/>
      <c r="G161" s="146">
        <f t="shared" si="6"/>
        <v>0</v>
      </c>
      <c r="H161" s="141" t="str">
        <f t="shared" si="7"/>
        <v/>
      </c>
      <c r="J161" s="148" t="str">
        <f>IFERROR(SUMIFS(当年实际!$V:$V,当年实际!$H:$H,$B161,当年实际!$C:$C,"&gt;="&amp;DATE(YEAR(主页!$D$2),1,1),当年实际!$C:$C,"&lt;="&amp;EOMONTH(DATE(YEAR(主页!$D$2),MONTH(主页!$D$2),1),0))/SUMIFS(当年实际!$P:$P,当年实际!$H:$H,$B161,当年实际!$C:$C,"&gt;="&amp;DATE(YEAR(主页!$D$2),1,1),当年实际!$C:$C,"&lt;="&amp;EOMONTH(DATE(YEAR(主页!$D$2),MONTH(主页!$D$2),1),0)),"")</f>
        <v/>
      </c>
    </row>
    <row r="162" spans="1:10" x14ac:dyDescent="0.3">
      <c r="A162" s="135"/>
      <c r="B162" s="136"/>
      <c r="C162" s="138"/>
      <c r="D162" s="139"/>
      <c r="E162" s="141" t="str">
        <f t="shared" si="8"/>
        <v/>
      </c>
      <c r="F162" s="144"/>
      <c r="G162" s="146">
        <f t="shared" si="6"/>
        <v>0</v>
      </c>
      <c r="H162" s="141" t="str">
        <f t="shared" si="7"/>
        <v/>
      </c>
      <c r="J162" s="148" t="str">
        <f>IFERROR(SUMIFS(当年实际!$V:$V,当年实际!$H:$H,$B162,当年实际!$C:$C,"&gt;="&amp;DATE(YEAR(主页!$D$2),1,1),当年实际!$C:$C,"&lt;="&amp;EOMONTH(DATE(YEAR(主页!$D$2),MONTH(主页!$D$2),1),0))/SUMIFS(当年实际!$P:$P,当年实际!$H:$H,$B162,当年实际!$C:$C,"&gt;="&amp;DATE(YEAR(主页!$D$2),1,1),当年实际!$C:$C,"&lt;="&amp;EOMONTH(DATE(YEAR(主页!$D$2),MONTH(主页!$D$2),1),0)),"")</f>
        <v/>
      </c>
    </row>
    <row r="163" spans="1:10" x14ac:dyDescent="0.3">
      <c r="A163" s="135"/>
      <c r="B163" s="136"/>
      <c r="C163" s="138"/>
      <c r="D163" s="139"/>
      <c r="E163" s="141" t="str">
        <f t="shared" si="8"/>
        <v/>
      </c>
      <c r="F163" s="144"/>
      <c r="G163" s="146">
        <f t="shared" si="6"/>
        <v>0</v>
      </c>
      <c r="H163" s="141" t="str">
        <f t="shared" si="7"/>
        <v/>
      </c>
      <c r="J163" s="148" t="str">
        <f>IFERROR(SUMIFS(当年实际!$V:$V,当年实际!$H:$H,$B163,当年实际!$C:$C,"&gt;="&amp;DATE(YEAR(主页!$D$2),1,1),当年实际!$C:$C,"&lt;="&amp;EOMONTH(DATE(YEAR(主页!$D$2),MONTH(主页!$D$2),1),0))/SUMIFS(当年实际!$P:$P,当年实际!$H:$H,$B163,当年实际!$C:$C,"&gt;="&amp;DATE(YEAR(主页!$D$2),1,1),当年实际!$C:$C,"&lt;="&amp;EOMONTH(DATE(YEAR(主页!$D$2),MONTH(主页!$D$2),1),0)),"")</f>
        <v/>
      </c>
    </row>
    <row r="164" spans="1:10" x14ac:dyDescent="0.3">
      <c r="A164" s="135"/>
      <c r="B164" s="136"/>
      <c r="C164" s="138"/>
      <c r="D164" s="139"/>
      <c r="E164" s="141" t="str">
        <f t="shared" si="8"/>
        <v/>
      </c>
      <c r="F164" s="144"/>
      <c r="G164" s="146">
        <f t="shared" si="6"/>
        <v>0</v>
      </c>
      <c r="H164" s="141" t="str">
        <f t="shared" si="7"/>
        <v/>
      </c>
      <c r="J164" s="148" t="str">
        <f>IFERROR(SUMIFS(当年实际!$V:$V,当年实际!$H:$H,$B164,当年实际!$C:$C,"&gt;="&amp;DATE(YEAR(主页!$D$2),1,1),当年实际!$C:$C,"&lt;="&amp;EOMONTH(DATE(YEAR(主页!$D$2),MONTH(主页!$D$2),1),0))/SUMIFS(当年实际!$P:$P,当年实际!$H:$H,$B164,当年实际!$C:$C,"&gt;="&amp;DATE(YEAR(主页!$D$2),1,1),当年实际!$C:$C,"&lt;="&amp;EOMONTH(DATE(YEAR(主页!$D$2),MONTH(主页!$D$2),1),0)),"")</f>
        <v/>
      </c>
    </row>
    <row r="165" spans="1:10" x14ac:dyDescent="0.3">
      <c r="A165" s="135"/>
      <c r="B165" s="136"/>
      <c r="C165" s="138"/>
      <c r="D165" s="139"/>
      <c r="E165" s="141" t="str">
        <f t="shared" si="8"/>
        <v/>
      </c>
      <c r="F165" s="144"/>
      <c r="G165" s="146">
        <f t="shared" si="6"/>
        <v>0</v>
      </c>
      <c r="H165" s="141" t="str">
        <f t="shared" si="7"/>
        <v/>
      </c>
      <c r="J165" s="148" t="str">
        <f>IFERROR(SUMIFS(当年实际!$V:$V,当年实际!$H:$H,$B165,当年实际!$C:$C,"&gt;="&amp;DATE(YEAR(主页!$D$2),1,1),当年实际!$C:$C,"&lt;="&amp;EOMONTH(DATE(YEAR(主页!$D$2),MONTH(主页!$D$2),1),0))/SUMIFS(当年实际!$P:$P,当年实际!$H:$H,$B165,当年实际!$C:$C,"&gt;="&amp;DATE(YEAR(主页!$D$2),1,1),当年实际!$C:$C,"&lt;="&amp;EOMONTH(DATE(YEAR(主页!$D$2),MONTH(主页!$D$2),1),0)),"")</f>
        <v/>
      </c>
    </row>
    <row r="166" spans="1:10" x14ac:dyDescent="0.3">
      <c r="A166" s="135"/>
      <c r="B166" s="136"/>
      <c r="C166" s="138"/>
      <c r="D166" s="139"/>
      <c r="E166" s="141" t="str">
        <f t="shared" si="8"/>
        <v/>
      </c>
      <c r="F166" s="144"/>
      <c r="G166" s="146">
        <f t="shared" si="6"/>
        <v>0</v>
      </c>
      <c r="H166" s="141" t="str">
        <f t="shared" si="7"/>
        <v/>
      </c>
      <c r="J166" s="148" t="str">
        <f>IFERROR(SUMIFS(当年实际!$V:$V,当年实际!$H:$H,$B166,当年实际!$C:$C,"&gt;="&amp;DATE(YEAR(主页!$D$2),1,1),当年实际!$C:$C,"&lt;="&amp;EOMONTH(DATE(YEAR(主页!$D$2),MONTH(主页!$D$2),1),0))/SUMIFS(当年实际!$P:$P,当年实际!$H:$H,$B166,当年实际!$C:$C,"&gt;="&amp;DATE(YEAR(主页!$D$2),1,1),当年实际!$C:$C,"&lt;="&amp;EOMONTH(DATE(YEAR(主页!$D$2),MONTH(主页!$D$2),1),0)),"")</f>
        <v/>
      </c>
    </row>
    <row r="167" spans="1:10" x14ac:dyDescent="0.3">
      <c r="A167" s="135"/>
      <c r="B167" s="136"/>
      <c r="C167" s="138"/>
      <c r="D167" s="139"/>
      <c r="E167" s="141" t="str">
        <f t="shared" si="8"/>
        <v/>
      </c>
      <c r="F167" s="144"/>
      <c r="G167" s="146">
        <f t="shared" si="6"/>
        <v>0</v>
      </c>
      <c r="H167" s="141" t="str">
        <f t="shared" si="7"/>
        <v/>
      </c>
      <c r="J167" s="148" t="str">
        <f>IFERROR(SUMIFS(当年实际!$V:$V,当年实际!$H:$H,$B167,当年实际!$C:$C,"&gt;="&amp;DATE(YEAR(主页!$D$2),1,1),当年实际!$C:$C,"&lt;="&amp;EOMONTH(DATE(YEAR(主页!$D$2),MONTH(主页!$D$2),1),0))/SUMIFS(当年实际!$P:$P,当年实际!$H:$H,$B167,当年实际!$C:$C,"&gt;="&amp;DATE(YEAR(主页!$D$2),1,1),当年实际!$C:$C,"&lt;="&amp;EOMONTH(DATE(YEAR(主页!$D$2),MONTH(主页!$D$2),1),0)),"")</f>
        <v/>
      </c>
    </row>
    <row r="168" spans="1:10" x14ac:dyDescent="0.3">
      <c r="A168" s="135"/>
      <c r="B168" s="136"/>
      <c r="C168" s="138"/>
      <c r="D168" s="139"/>
      <c r="E168" s="141" t="str">
        <f t="shared" si="8"/>
        <v/>
      </c>
      <c r="F168" s="144"/>
      <c r="G168" s="146">
        <f t="shared" si="6"/>
        <v>0</v>
      </c>
      <c r="H168" s="141" t="str">
        <f t="shared" si="7"/>
        <v/>
      </c>
      <c r="J168" s="148" t="str">
        <f>IFERROR(SUMIFS(当年实际!$V:$V,当年实际!$H:$H,$B168,当年实际!$C:$C,"&gt;="&amp;DATE(YEAR(主页!$D$2),1,1),当年实际!$C:$C,"&lt;="&amp;EOMONTH(DATE(YEAR(主页!$D$2),MONTH(主页!$D$2),1),0))/SUMIFS(当年实际!$P:$P,当年实际!$H:$H,$B168,当年实际!$C:$C,"&gt;="&amp;DATE(YEAR(主页!$D$2),1,1),当年实际!$C:$C,"&lt;="&amp;EOMONTH(DATE(YEAR(主页!$D$2),MONTH(主页!$D$2),1),0)),"")</f>
        <v/>
      </c>
    </row>
    <row r="169" spans="1:10" x14ac:dyDescent="0.3">
      <c r="A169" s="135"/>
      <c r="B169" s="136"/>
      <c r="C169" s="138"/>
      <c r="D169" s="139"/>
      <c r="E169" s="141" t="str">
        <f t="shared" si="8"/>
        <v/>
      </c>
      <c r="F169" s="144"/>
      <c r="G169" s="146">
        <f t="shared" si="6"/>
        <v>0</v>
      </c>
      <c r="H169" s="141" t="str">
        <f t="shared" si="7"/>
        <v/>
      </c>
      <c r="J169" s="148" t="str">
        <f>IFERROR(SUMIFS(当年实际!$V:$V,当年实际!$H:$H,$B169,当年实际!$C:$C,"&gt;="&amp;DATE(YEAR(主页!$D$2),1,1),当年实际!$C:$C,"&lt;="&amp;EOMONTH(DATE(YEAR(主页!$D$2),MONTH(主页!$D$2),1),0))/SUMIFS(当年实际!$P:$P,当年实际!$H:$H,$B169,当年实际!$C:$C,"&gt;="&amp;DATE(YEAR(主页!$D$2),1,1),当年实际!$C:$C,"&lt;="&amp;EOMONTH(DATE(YEAR(主页!$D$2),MONTH(主页!$D$2),1),0)),"")</f>
        <v/>
      </c>
    </row>
    <row r="170" spans="1:10" x14ac:dyDescent="0.3">
      <c r="A170" s="135"/>
      <c r="B170" s="136"/>
      <c r="C170" s="138"/>
      <c r="D170" s="139"/>
      <c r="E170" s="141" t="str">
        <f t="shared" si="8"/>
        <v/>
      </c>
      <c r="F170" s="144"/>
      <c r="G170" s="146">
        <f t="shared" si="6"/>
        <v>0</v>
      </c>
      <c r="H170" s="141" t="str">
        <f t="shared" si="7"/>
        <v/>
      </c>
      <c r="J170" s="148" t="str">
        <f>IFERROR(SUMIFS(当年实际!$V:$V,当年实际!$H:$H,$B170,当年实际!$C:$C,"&gt;="&amp;DATE(YEAR(主页!$D$2),1,1),当年实际!$C:$C,"&lt;="&amp;EOMONTH(DATE(YEAR(主页!$D$2),MONTH(主页!$D$2),1),0))/SUMIFS(当年实际!$P:$P,当年实际!$H:$H,$B170,当年实际!$C:$C,"&gt;="&amp;DATE(YEAR(主页!$D$2),1,1),当年实际!$C:$C,"&lt;="&amp;EOMONTH(DATE(YEAR(主页!$D$2),MONTH(主页!$D$2),1),0)),"")</f>
        <v/>
      </c>
    </row>
    <row r="171" spans="1:10" x14ac:dyDescent="0.3">
      <c r="A171" s="135"/>
      <c r="B171" s="136"/>
      <c r="C171" s="138"/>
      <c r="D171" s="139"/>
      <c r="E171" s="141" t="str">
        <f t="shared" si="8"/>
        <v/>
      </c>
      <c r="F171" s="144"/>
      <c r="G171" s="146">
        <f t="shared" si="6"/>
        <v>0</v>
      </c>
      <c r="H171" s="141" t="str">
        <f t="shared" si="7"/>
        <v/>
      </c>
      <c r="J171" s="148" t="str">
        <f>IFERROR(SUMIFS(当年实际!$V:$V,当年实际!$H:$H,$B171,当年实际!$C:$C,"&gt;="&amp;DATE(YEAR(主页!$D$2),1,1),当年实际!$C:$C,"&lt;="&amp;EOMONTH(DATE(YEAR(主页!$D$2),MONTH(主页!$D$2),1),0))/SUMIFS(当年实际!$P:$P,当年实际!$H:$H,$B171,当年实际!$C:$C,"&gt;="&amp;DATE(YEAR(主页!$D$2),1,1),当年实际!$C:$C,"&lt;="&amp;EOMONTH(DATE(YEAR(主页!$D$2),MONTH(主页!$D$2),1),0)),"")</f>
        <v/>
      </c>
    </row>
    <row r="172" spans="1:10" x14ac:dyDescent="0.3">
      <c r="A172" s="135"/>
      <c r="B172" s="136"/>
      <c r="C172" s="138"/>
      <c r="D172" s="139"/>
      <c r="E172" s="141" t="str">
        <f t="shared" si="8"/>
        <v/>
      </c>
      <c r="F172" s="144"/>
      <c r="G172" s="146">
        <f t="shared" si="6"/>
        <v>0</v>
      </c>
      <c r="H172" s="141" t="str">
        <f t="shared" si="7"/>
        <v/>
      </c>
      <c r="J172" s="148" t="str">
        <f>IFERROR(SUMIFS(当年实际!$V:$V,当年实际!$H:$H,$B172,当年实际!$C:$C,"&gt;="&amp;DATE(YEAR(主页!$D$2),1,1),当年实际!$C:$C,"&lt;="&amp;EOMONTH(DATE(YEAR(主页!$D$2),MONTH(主页!$D$2),1),0))/SUMIFS(当年实际!$P:$P,当年实际!$H:$H,$B172,当年实际!$C:$C,"&gt;="&amp;DATE(YEAR(主页!$D$2),1,1),当年实际!$C:$C,"&lt;="&amp;EOMONTH(DATE(YEAR(主页!$D$2),MONTH(主页!$D$2),1),0)),"")</f>
        <v/>
      </c>
    </row>
    <row r="173" spans="1:10" x14ac:dyDescent="0.3">
      <c r="A173" s="135"/>
      <c r="B173" s="136"/>
      <c r="C173" s="138"/>
      <c r="D173" s="139"/>
      <c r="E173" s="141" t="str">
        <f t="shared" si="8"/>
        <v/>
      </c>
      <c r="F173" s="144"/>
      <c r="G173" s="146">
        <f t="shared" si="6"/>
        <v>0</v>
      </c>
      <c r="H173" s="141" t="str">
        <f t="shared" si="7"/>
        <v/>
      </c>
      <c r="J173" s="148" t="str">
        <f>IFERROR(SUMIFS(当年实际!$V:$V,当年实际!$H:$H,$B173,当年实际!$C:$C,"&gt;="&amp;DATE(YEAR(主页!$D$2),1,1),当年实际!$C:$C,"&lt;="&amp;EOMONTH(DATE(YEAR(主页!$D$2),MONTH(主页!$D$2),1),0))/SUMIFS(当年实际!$P:$P,当年实际!$H:$H,$B173,当年实际!$C:$C,"&gt;="&amp;DATE(YEAR(主页!$D$2),1,1),当年实际!$C:$C,"&lt;="&amp;EOMONTH(DATE(YEAR(主页!$D$2),MONTH(主页!$D$2),1),0)),"")</f>
        <v/>
      </c>
    </row>
    <row r="174" spans="1:10" x14ac:dyDescent="0.3">
      <c r="A174" s="135"/>
      <c r="B174" s="136"/>
      <c r="C174" s="138"/>
      <c r="D174" s="139"/>
      <c r="E174" s="141" t="str">
        <f t="shared" si="8"/>
        <v/>
      </c>
      <c r="F174" s="144"/>
      <c r="G174" s="146">
        <f t="shared" si="6"/>
        <v>0</v>
      </c>
      <c r="H174" s="141" t="str">
        <f t="shared" si="7"/>
        <v/>
      </c>
      <c r="J174" s="148" t="str">
        <f>IFERROR(SUMIFS(当年实际!$V:$V,当年实际!$H:$H,$B174,当年实际!$C:$C,"&gt;="&amp;DATE(YEAR(主页!$D$2),1,1),当年实际!$C:$C,"&lt;="&amp;EOMONTH(DATE(YEAR(主页!$D$2),MONTH(主页!$D$2),1),0))/SUMIFS(当年实际!$P:$P,当年实际!$H:$H,$B174,当年实际!$C:$C,"&gt;="&amp;DATE(YEAR(主页!$D$2),1,1),当年实际!$C:$C,"&lt;="&amp;EOMONTH(DATE(YEAR(主页!$D$2),MONTH(主页!$D$2),1),0)),"")</f>
        <v/>
      </c>
    </row>
    <row r="175" spans="1:10" x14ac:dyDescent="0.3">
      <c r="A175" s="135"/>
      <c r="B175" s="136"/>
      <c r="C175" s="138"/>
      <c r="D175" s="139"/>
      <c r="E175" s="141" t="str">
        <f t="shared" si="8"/>
        <v/>
      </c>
      <c r="F175" s="144"/>
      <c r="G175" s="146">
        <f t="shared" si="6"/>
        <v>0</v>
      </c>
      <c r="H175" s="141" t="str">
        <f t="shared" si="7"/>
        <v/>
      </c>
      <c r="J175" s="148" t="str">
        <f>IFERROR(SUMIFS(当年实际!$V:$V,当年实际!$H:$H,$B175,当年实际!$C:$C,"&gt;="&amp;DATE(YEAR(主页!$D$2),1,1),当年实际!$C:$C,"&lt;="&amp;EOMONTH(DATE(YEAR(主页!$D$2),MONTH(主页!$D$2),1),0))/SUMIFS(当年实际!$P:$P,当年实际!$H:$H,$B175,当年实际!$C:$C,"&gt;="&amp;DATE(YEAR(主页!$D$2),1,1),当年实际!$C:$C,"&lt;="&amp;EOMONTH(DATE(YEAR(主页!$D$2),MONTH(主页!$D$2),1),0)),"")</f>
        <v/>
      </c>
    </row>
    <row r="176" spans="1:10" x14ac:dyDescent="0.3">
      <c r="A176" s="135"/>
      <c r="B176" s="136"/>
      <c r="C176" s="138"/>
      <c r="D176" s="139"/>
      <c r="E176" s="141" t="str">
        <f t="shared" si="8"/>
        <v/>
      </c>
      <c r="F176" s="144"/>
      <c r="G176" s="146">
        <f t="shared" si="6"/>
        <v>0</v>
      </c>
      <c r="H176" s="141" t="str">
        <f t="shared" si="7"/>
        <v/>
      </c>
      <c r="J176" s="148" t="str">
        <f>IFERROR(SUMIFS(当年实际!$V:$V,当年实际!$H:$H,$B176,当年实际!$C:$C,"&gt;="&amp;DATE(YEAR(主页!$D$2),1,1),当年实际!$C:$C,"&lt;="&amp;EOMONTH(DATE(YEAR(主页!$D$2),MONTH(主页!$D$2),1),0))/SUMIFS(当年实际!$P:$P,当年实际!$H:$H,$B176,当年实际!$C:$C,"&gt;="&amp;DATE(YEAR(主页!$D$2),1,1),当年实际!$C:$C,"&lt;="&amp;EOMONTH(DATE(YEAR(主页!$D$2),MONTH(主页!$D$2),1),0)),"")</f>
        <v/>
      </c>
    </row>
    <row r="177" spans="1:10" x14ac:dyDescent="0.3">
      <c r="A177" s="135"/>
      <c r="B177" s="136"/>
      <c r="C177" s="138"/>
      <c r="D177" s="139"/>
      <c r="E177" s="141" t="str">
        <f t="shared" si="8"/>
        <v/>
      </c>
      <c r="F177" s="144"/>
      <c r="G177" s="146">
        <f t="shared" si="6"/>
        <v>0</v>
      </c>
      <c r="H177" s="141" t="str">
        <f t="shared" si="7"/>
        <v/>
      </c>
      <c r="J177" s="148" t="str">
        <f>IFERROR(SUMIFS(当年实际!$V:$V,当年实际!$H:$H,$B177,当年实际!$C:$C,"&gt;="&amp;DATE(YEAR(主页!$D$2),1,1),当年实际!$C:$C,"&lt;="&amp;EOMONTH(DATE(YEAR(主页!$D$2),MONTH(主页!$D$2),1),0))/SUMIFS(当年实际!$P:$P,当年实际!$H:$H,$B177,当年实际!$C:$C,"&gt;="&amp;DATE(YEAR(主页!$D$2),1,1),当年实际!$C:$C,"&lt;="&amp;EOMONTH(DATE(YEAR(主页!$D$2),MONTH(主页!$D$2),1),0)),"")</f>
        <v/>
      </c>
    </row>
    <row r="178" spans="1:10" x14ac:dyDescent="0.3">
      <c r="A178" s="135"/>
      <c r="B178" s="136"/>
      <c r="C178" s="138"/>
      <c r="D178" s="139"/>
      <c r="E178" s="141" t="str">
        <f t="shared" si="8"/>
        <v/>
      </c>
      <c r="F178" s="144"/>
      <c r="G178" s="146">
        <f t="shared" si="6"/>
        <v>0</v>
      </c>
      <c r="H178" s="141" t="str">
        <f t="shared" si="7"/>
        <v/>
      </c>
      <c r="J178" s="148" t="str">
        <f>IFERROR(SUMIFS(当年实际!$V:$V,当年实际!$H:$H,$B178,当年实际!$C:$C,"&gt;="&amp;DATE(YEAR(主页!$D$2),1,1),当年实际!$C:$C,"&lt;="&amp;EOMONTH(DATE(YEAR(主页!$D$2),MONTH(主页!$D$2),1),0))/SUMIFS(当年实际!$P:$P,当年实际!$H:$H,$B178,当年实际!$C:$C,"&gt;="&amp;DATE(YEAR(主页!$D$2),1,1),当年实际!$C:$C,"&lt;="&amp;EOMONTH(DATE(YEAR(主页!$D$2),MONTH(主页!$D$2),1),0)),"")</f>
        <v/>
      </c>
    </row>
    <row r="179" spans="1:10" x14ac:dyDescent="0.3">
      <c r="A179" s="135"/>
      <c r="B179" s="136"/>
      <c r="C179" s="138"/>
      <c r="D179" s="139"/>
      <c r="E179" s="141" t="str">
        <f t="shared" si="8"/>
        <v/>
      </c>
      <c r="F179" s="144"/>
      <c r="G179" s="146">
        <f t="shared" si="6"/>
        <v>0</v>
      </c>
      <c r="H179" s="141" t="str">
        <f t="shared" si="7"/>
        <v/>
      </c>
      <c r="J179" s="148" t="str">
        <f>IFERROR(SUMIFS(当年实际!$V:$V,当年实际!$H:$H,$B179,当年实际!$C:$C,"&gt;="&amp;DATE(YEAR(主页!$D$2),1,1),当年实际!$C:$C,"&lt;="&amp;EOMONTH(DATE(YEAR(主页!$D$2),MONTH(主页!$D$2),1),0))/SUMIFS(当年实际!$P:$P,当年实际!$H:$H,$B179,当年实际!$C:$C,"&gt;="&amp;DATE(YEAR(主页!$D$2),1,1),当年实际!$C:$C,"&lt;="&amp;EOMONTH(DATE(YEAR(主页!$D$2),MONTH(主页!$D$2),1),0)),"")</f>
        <v/>
      </c>
    </row>
    <row r="180" spans="1:10" x14ac:dyDescent="0.3">
      <c r="A180" s="135"/>
      <c r="B180" s="136"/>
      <c r="C180" s="138"/>
      <c r="D180" s="139"/>
      <c r="E180" s="141" t="str">
        <f t="shared" si="8"/>
        <v/>
      </c>
      <c r="F180" s="144"/>
      <c r="G180" s="146">
        <f t="shared" si="6"/>
        <v>0</v>
      </c>
      <c r="H180" s="141" t="str">
        <f t="shared" si="7"/>
        <v/>
      </c>
      <c r="J180" s="148" t="str">
        <f>IFERROR(SUMIFS(当年实际!$V:$V,当年实际!$H:$H,$B180,当年实际!$C:$C,"&gt;="&amp;DATE(YEAR(主页!$D$2),1,1),当年实际!$C:$C,"&lt;="&amp;EOMONTH(DATE(YEAR(主页!$D$2),MONTH(主页!$D$2),1),0))/SUMIFS(当年实际!$P:$P,当年实际!$H:$H,$B180,当年实际!$C:$C,"&gt;="&amp;DATE(YEAR(主页!$D$2),1,1),当年实际!$C:$C,"&lt;="&amp;EOMONTH(DATE(YEAR(主页!$D$2),MONTH(主页!$D$2),1),0)),"")</f>
        <v/>
      </c>
    </row>
    <row r="181" spans="1:10" x14ac:dyDescent="0.3">
      <c r="A181" s="135"/>
      <c r="B181" s="136"/>
      <c r="C181" s="138"/>
      <c r="D181" s="139"/>
      <c r="E181" s="141" t="str">
        <f t="shared" si="8"/>
        <v/>
      </c>
      <c r="F181" s="144"/>
      <c r="G181" s="146">
        <f t="shared" si="6"/>
        <v>0</v>
      </c>
      <c r="H181" s="141" t="str">
        <f t="shared" si="7"/>
        <v/>
      </c>
      <c r="J181" s="148" t="str">
        <f>IFERROR(SUMIFS(当年实际!$V:$V,当年实际!$H:$H,$B181,当年实际!$C:$C,"&gt;="&amp;DATE(YEAR(主页!$D$2),1,1),当年实际!$C:$C,"&lt;="&amp;EOMONTH(DATE(YEAR(主页!$D$2),MONTH(主页!$D$2),1),0))/SUMIFS(当年实际!$P:$P,当年实际!$H:$H,$B181,当年实际!$C:$C,"&gt;="&amp;DATE(YEAR(主页!$D$2),1,1),当年实际!$C:$C,"&lt;="&amp;EOMONTH(DATE(YEAR(主页!$D$2),MONTH(主页!$D$2),1),0)),"")</f>
        <v/>
      </c>
    </row>
    <row r="182" spans="1:10" x14ac:dyDescent="0.3">
      <c r="A182" s="135"/>
      <c r="B182" s="136"/>
      <c r="C182" s="138"/>
      <c r="D182" s="139"/>
      <c r="E182" s="141" t="str">
        <f t="shared" si="8"/>
        <v/>
      </c>
      <c r="F182" s="144"/>
      <c r="G182" s="146">
        <f t="shared" si="6"/>
        <v>0</v>
      </c>
      <c r="H182" s="141" t="str">
        <f t="shared" si="7"/>
        <v/>
      </c>
      <c r="J182" s="148" t="str">
        <f>IFERROR(SUMIFS(当年实际!$V:$V,当年实际!$H:$H,$B182,当年实际!$C:$C,"&gt;="&amp;DATE(YEAR(主页!$D$2),1,1),当年实际!$C:$C,"&lt;="&amp;EOMONTH(DATE(YEAR(主页!$D$2),MONTH(主页!$D$2),1),0))/SUMIFS(当年实际!$P:$P,当年实际!$H:$H,$B182,当年实际!$C:$C,"&gt;="&amp;DATE(YEAR(主页!$D$2),1,1),当年实际!$C:$C,"&lt;="&amp;EOMONTH(DATE(YEAR(主页!$D$2),MONTH(主页!$D$2),1),0)),"")</f>
        <v/>
      </c>
    </row>
    <row r="183" spans="1:10" x14ac:dyDescent="0.3">
      <c r="A183" s="135"/>
      <c r="B183" s="136"/>
      <c r="C183" s="138"/>
      <c r="D183" s="139"/>
      <c r="E183" s="141" t="str">
        <f t="shared" si="8"/>
        <v/>
      </c>
      <c r="F183" s="144"/>
      <c r="G183" s="146">
        <f t="shared" si="6"/>
        <v>0</v>
      </c>
      <c r="H183" s="141" t="str">
        <f t="shared" si="7"/>
        <v/>
      </c>
      <c r="J183" s="148" t="str">
        <f>IFERROR(SUMIFS(当年实际!$V:$V,当年实际!$H:$H,$B183,当年实际!$C:$C,"&gt;="&amp;DATE(YEAR(主页!$D$2),1,1),当年实际!$C:$C,"&lt;="&amp;EOMONTH(DATE(YEAR(主页!$D$2),MONTH(主页!$D$2),1),0))/SUMIFS(当年实际!$P:$P,当年实际!$H:$H,$B183,当年实际!$C:$C,"&gt;="&amp;DATE(YEAR(主页!$D$2),1,1),当年实际!$C:$C,"&lt;="&amp;EOMONTH(DATE(YEAR(主页!$D$2),MONTH(主页!$D$2),1),0)),"")</f>
        <v/>
      </c>
    </row>
    <row r="184" spans="1:10" x14ac:dyDescent="0.3">
      <c r="A184" s="135"/>
      <c r="B184" s="136"/>
      <c r="C184" s="138"/>
      <c r="D184" s="139"/>
      <c r="E184" s="141" t="str">
        <f t="shared" si="8"/>
        <v/>
      </c>
      <c r="F184" s="144"/>
      <c r="G184" s="146">
        <f t="shared" si="6"/>
        <v>0</v>
      </c>
      <c r="H184" s="141" t="str">
        <f t="shared" si="7"/>
        <v/>
      </c>
      <c r="J184" s="148" t="str">
        <f>IFERROR(SUMIFS(当年实际!$V:$V,当年实际!$H:$H,$B184,当年实际!$C:$C,"&gt;="&amp;DATE(YEAR(主页!$D$2),1,1),当年实际!$C:$C,"&lt;="&amp;EOMONTH(DATE(YEAR(主页!$D$2),MONTH(主页!$D$2),1),0))/SUMIFS(当年实际!$P:$P,当年实际!$H:$H,$B184,当年实际!$C:$C,"&gt;="&amp;DATE(YEAR(主页!$D$2),1,1),当年实际!$C:$C,"&lt;="&amp;EOMONTH(DATE(YEAR(主页!$D$2),MONTH(主页!$D$2),1),0)),"")</f>
        <v/>
      </c>
    </row>
    <row r="185" spans="1:10" x14ac:dyDescent="0.3">
      <c r="A185" s="135"/>
      <c r="B185" s="136"/>
      <c r="C185" s="138"/>
      <c r="D185" s="139"/>
      <c r="E185" s="141" t="str">
        <f t="shared" si="8"/>
        <v/>
      </c>
      <c r="F185" s="144"/>
      <c r="G185" s="146">
        <f t="shared" si="6"/>
        <v>0</v>
      </c>
      <c r="H185" s="141" t="str">
        <f t="shared" si="7"/>
        <v/>
      </c>
      <c r="J185" s="148" t="str">
        <f>IFERROR(SUMIFS(当年实际!$V:$V,当年实际!$H:$H,$B185,当年实际!$C:$C,"&gt;="&amp;DATE(YEAR(主页!$D$2),1,1),当年实际!$C:$C,"&lt;="&amp;EOMONTH(DATE(YEAR(主页!$D$2),MONTH(主页!$D$2),1),0))/SUMIFS(当年实际!$P:$P,当年实际!$H:$H,$B185,当年实际!$C:$C,"&gt;="&amp;DATE(YEAR(主页!$D$2),1,1),当年实际!$C:$C,"&lt;="&amp;EOMONTH(DATE(YEAR(主页!$D$2),MONTH(主页!$D$2),1),0)),"")</f>
        <v/>
      </c>
    </row>
    <row r="186" spans="1:10" x14ac:dyDescent="0.3">
      <c r="A186" s="135"/>
      <c r="B186" s="136"/>
      <c r="C186" s="138"/>
      <c r="D186" s="139"/>
      <c r="E186" s="141" t="str">
        <f t="shared" si="8"/>
        <v/>
      </c>
      <c r="F186" s="144"/>
      <c r="G186" s="146">
        <f t="shared" si="6"/>
        <v>0</v>
      </c>
      <c r="H186" s="141" t="str">
        <f t="shared" si="7"/>
        <v/>
      </c>
      <c r="J186" s="148" t="str">
        <f>IFERROR(SUMIFS(当年实际!$V:$V,当年实际!$H:$H,$B186,当年实际!$C:$C,"&gt;="&amp;DATE(YEAR(主页!$D$2),1,1),当年实际!$C:$C,"&lt;="&amp;EOMONTH(DATE(YEAR(主页!$D$2),MONTH(主页!$D$2),1),0))/SUMIFS(当年实际!$P:$P,当年实际!$H:$H,$B186,当年实际!$C:$C,"&gt;="&amp;DATE(YEAR(主页!$D$2),1,1),当年实际!$C:$C,"&lt;="&amp;EOMONTH(DATE(YEAR(主页!$D$2),MONTH(主页!$D$2),1),0)),"")</f>
        <v/>
      </c>
    </row>
    <row r="187" spans="1:10" x14ac:dyDescent="0.3">
      <c r="A187" s="135"/>
      <c r="B187" s="136"/>
      <c r="C187" s="138"/>
      <c r="D187" s="139"/>
      <c r="E187" s="141" t="str">
        <f t="shared" si="8"/>
        <v/>
      </c>
      <c r="F187" s="144"/>
      <c r="G187" s="146">
        <f t="shared" si="6"/>
        <v>0</v>
      </c>
      <c r="H187" s="141" t="str">
        <f t="shared" si="7"/>
        <v/>
      </c>
      <c r="J187" s="148" t="str">
        <f>IFERROR(SUMIFS(当年实际!$V:$V,当年实际!$H:$H,$B187,当年实际!$C:$C,"&gt;="&amp;DATE(YEAR(主页!$D$2),1,1),当年实际!$C:$C,"&lt;="&amp;EOMONTH(DATE(YEAR(主页!$D$2),MONTH(主页!$D$2),1),0))/SUMIFS(当年实际!$P:$P,当年实际!$H:$H,$B187,当年实际!$C:$C,"&gt;="&amp;DATE(YEAR(主页!$D$2),1,1),当年实际!$C:$C,"&lt;="&amp;EOMONTH(DATE(YEAR(主页!$D$2),MONTH(主页!$D$2),1),0)),"")</f>
        <v/>
      </c>
    </row>
    <row r="188" spans="1:10" x14ac:dyDescent="0.3">
      <c r="A188" s="135"/>
      <c r="B188" s="136"/>
      <c r="C188" s="138"/>
      <c r="D188" s="139"/>
      <c r="E188" s="141" t="str">
        <f t="shared" si="8"/>
        <v/>
      </c>
      <c r="F188" s="144"/>
      <c r="G188" s="146">
        <f t="shared" si="6"/>
        <v>0</v>
      </c>
      <c r="H188" s="141" t="str">
        <f t="shared" si="7"/>
        <v/>
      </c>
      <c r="J188" s="148" t="str">
        <f>IFERROR(SUMIFS(当年实际!$V:$V,当年实际!$H:$H,$B188,当年实际!$C:$C,"&gt;="&amp;DATE(YEAR(主页!$D$2),1,1),当年实际!$C:$C,"&lt;="&amp;EOMONTH(DATE(YEAR(主页!$D$2),MONTH(主页!$D$2),1),0))/SUMIFS(当年实际!$P:$P,当年实际!$H:$H,$B188,当年实际!$C:$C,"&gt;="&amp;DATE(YEAR(主页!$D$2),1,1),当年实际!$C:$C,"&lt;="&amp;EOMONTH(DATE(YEAR(主页!$D$2),MONTH(主页!$D$2),1),0)),"")</f>
        <v/>
      </c>
    </row>
    <row r="189" spans="1:10" x14ac:dyDescent="0.3">
      <c r="A189" s="135"/>
      <c r="B189" s="136"/>
      <c r="C189" s="138"/>
      <c r="D189" s="139"/>
      <c r="E189" s="141" t="str">
        <f t="shared" si="8"/>
        <v/>
      </c>
      <c r="F189" s="144"/>
      <c r="G189" s="146">
        <f t="shared" si="6"/>
        <v>0</v>
      </c>
      <c r="H189" s="141" t="str">
        <f t="shared" si="7"/>
        <v/>
      </c>
      <c r="J189" s="148" t="str">
        <f>IFERROR(SUMIFS(当年实际!$V:$V,当年实际!$H:$H,$B189,当年实际!$C:$C,"&gt;="&amp;DATE(YEAR(主页!$D$2),1,1),当年实际!$C:$C,"&lt;="&amp;EOMONTH(DATE(YEAR(主页!$D$2),MONTH(主页!$D$2),1),0))/SUMIFS(当年实际!$P:$P,当年实际!$H:$H,$B189,当年实际!$C:$C,"&gt;="&amp;DATE(YEAR(主页!$D$2),1,1),当年实际!$C:$C,"&lt;="&amp;EOMONTH(DATE(YEAR(主页!$D$2),MONTH(主页!$D$2),1),0)),"")</f>
        <v/>
      </c>
    </row>
    <row r="190" spans="1:10" x14ac:dyDescent="0.3">
      <c r="A190" s="135"/>
      <c r="B190" s="136"/>
      <c r="C190" s="138"/>
      <c r="D190" s="139"/>
      <c r="E190" s="141" t="str">
        <f t="shared" si="8"/>
        <v/>
      </c>
      <c r="F190" s="144"/>
      <c r="G190" s="146">
        <f t="shared" si="6"/>
        <v>0</v>
      </c>
      <c r="H190" s="141" t="str">
        <f t="shared" si="7"/>
        <v/>
      </c>
      <c r="J190" s="148" t="str">
        <f>IFERROR(SUMIFS(当年实际!$V:$V,当年实际!$H:$H,$B190,当年实际!$C:$C,"&gt;="&amp;DATE(YEAR(主页!$D$2),1,1),当年实际!$C:$C,"&lt;="&amp;EOMONTH(DATE(YEAR(主页!$D$2),MONTH(主页!$D$2),1),0))/SUMIFS(当年实际!$P:$P,当年实际!$H:$H,$B190,当年实际!$C:$C,"&gt;="&amp;DATE(YEAR(主页!$D$2),1,1),当年实际!$C:$C,"&lt;="&amp;EOMONTH(DATE(YEAR(主页!$D$2),MONTH(主页!$D$2),1),0)),"")</f>
        <v/>
      </c>
    </row>
    <row r="191" spans="1:10" x14ac:dyDescent="0.3">
      <c r="A191" s="135"/>
      <c r="B191" s="136"/>
      <c r="C191" s="138"/>
      <c r="D191" s="139"/>
      <c r="E191" s="141" t="str">
        <f t="shared" si="8"/>
        <v/>
      </c>
      <c r="F191" s="144"/>
      <c r="G191" s="146">
        <f t="shared" si="6"/>
        <v>0</v>
      </c>
      <c r="H191" s="141" t="str">
        <f t="shared" si="7"/>
        <v/>
      </c>
      <c r="J191" s="148" t="str">
        <f>IFERROR(SUMIFS(当年实际!$V:$V,当年实际!$H:$H,$B191,当年实际!$C:$C,"&gt;="&amp;DATE(YEAR(主页!$D$2),1,1),当年实际!$C:$C,"&lt;="&amp;EOMONTH(DATE(YEAR(主页!$D$2),MONTH(主页!$D$2),1),0))/SUMIFS(当年实际!$P:$P,当年实际!$H:$H,$B191,当年实际!$C:$C,"&gt;="&amp;DATE(YEAR(主页!$D$2),1,1),当年实际!$C:$C,"&lt;="&amp;EOMONTH(DATE(YEAR(主页!$D$2),MONTH(主页!$D$2),1),0)),"")</f>
        <v/>
      </c>
    </row>
    <row r="192" spans="1:10" x14ac:dyDescent="0.3">
      <c r="A192" s="135"/>
      <c r="B192" s="136"/>
      <c r="C192" s="138"/>
      <c r="D192" s="139"/>
      <c r="E192" s="141" t="str">
        <f t="shared" si="8"/>
        <v/>
      </c>
      <c r="F192" s="144"/>
      <c r="G192" s="146">
        <f t="shared" si="6"/>
        <v>0</v>
      </c>
      <c r="H192" s="141" t="str">
        <f t="shared" si="7"/>
        <v/>
      </c>
      <c r="J192" s="148" t="str">
        <f>IFERROR(SUMIFS(当年实际!$V:$V,当年实际!$H:$H,$B192,当年实际!$C:$C,"&gt;="&amp;DATE(YEAR(主页!$D$2),1,1),当年实际!$C:$C,"&lt;="&amp;EOMONTH(DATE(YEAR(主页!$D$2),MONTH(主页!$D$2),1),0))/SUMIFS(当年实际!$P:$P,当年实际!$H:$H,$B192,当年实际!$C:$C,"&gt;="&amp;DATE(YEAR(主页!$D$2),1,1),当年实际!$C:$C,"&lt;="&amp;EOMONTH(DATE(YEAR(主页!$D$2),MONTH(主页!$D$2),1),0)),"")</f>
        <v/>
      </c>
    </row>
    <row r="193" spans="1:10" x14ac:dyDescent="0.3">
      <c r="A193" s="135"/>
      <c r="B193" s="136"/>
      <c r="C193" s="138"/>
      <c r="D193" s="139"/>
      <c r="E193" s="141" t="str">
        <f t="shared" si="8"/>
        <v/>
      </c>
      <c r="F193" s="144"/>
      <c r="G193" s="146">
        <f t="shared" si="6"/>
        <v>0</v>
      </c>
      <c r="H193" s="141" t="str">
        <f t="shared" si="7"/>
        <v/>
      </c>
      <c r="J193" s="148" t="str">
        <f>IFERROR(SUMIFS(当年实际!$V:$V,当年实际!$H:$H,$B193,当年实际!$C:$C,"&gt;="&amp;DATE(YEAR(主页!$D$2),1,1),当年实际!$C:$C,"&lt;="&amp;EOMONTH(DATE(YEAR(主页!$D$2),MONTH(主页!$D$2),1),0))/SUMIFS(当年实际!$P:$P,当年实际!$H:$H,$B193,当年实际!$C:$C,"&gt;="&amp;DATE(YEAR(主页!$D$2),1,1),当年实际!$C:$C,"&lt;="&amp;EOMONTH(DATE(YEAR(主页!$D$2),MONTH(主页!$D$2),1),0)),"")</f>
        <v/>
      </c>
    </row>
    <row r="194" spans="1:10" x14ac:dyDescent="0.3">
      <c r="A194" s="135"/>
      <c r="B194" s="136"/>
      <c r="C194" s="138"/>
      <c r="D194" s="139"/>
      <c r="E194" s="141" t="str">
        <f t="shared" si="8"/>
        <v/>
      </c>
      <c r="F194" s="144"/>
      <c r="G194" s="146">
        <f t="shared" si="6"/>
        <v>0</v>
      </c>
      <c r="H194" s="141" t="str">
        <f t="shared" si="7"/>
        <v/>
      </c>
      <c r="J194" s="148" t="str">
        <f>IFERROR(SUMIFS(当年实际!$V:$V,当年实际!$H:$H,$B194,当年实际!$C:$C,"&gt;="&amp;DATE(YEAR(主页!$D$2),1,1),当年实际!$C:$C,"&lt;="&amp;EOMONTH(DATE(YEAR(主页!$D$2),MONTH(主页!$D$2),1),0))/SUMIFS(当年实际!$P:$P,当年实际!$H:$H,$B194,当年实际!$C:$C,"&gt;="&amp;DATE(YEAR(主页!$D$2),1,1),当年实际!$C:$C,"&lt;="&amp;EOMONTH(DATE(YEAR(主页!$D$2),MONTH(主页!$D$2),1),0)),"")</f>
        <v/>
      </c>
    </row>
    <row r="195" spans="1:10" x14ac:dyDescent="0.3">
      <c r="A195" s="135"/>
      <c r="B195" s="136"/>
      <c r="C195" s="138"/>
      <c r="D195" s="139"/>
      <c r="E195" s="141" t="str">
        <f t="shared" si="8"/>
        <v/>
      </c>
      <c r="F195" s="144"/>
      <c r="G195" s="146">
        <f t="shared" si="6"/>
        <v>0</v>
      </c>
      <c r="H195" s="141" t="str">
        <f t="shared" si="7"/>
        <v/>
      </c>
      <c r="J195" s="148" t="str">
        <f>IFERROR(SUMIFS(当年实际!$V:$V,当年实际!$H:$H,$B195,当年实际!$C:$C,"&gt;="&amp;DATE(YEAR(主页!$D$2),1,1),当年实际!$C:$C,"&lt;="&amp;EOMONTH(DATE(YEAR(主页!$D$2),MONTH(主页!$D$2),1),0))/SUMIFS(当年实际!$P:$P,当年实际!$H:$H,$B195,当年实际!$C:$C,"&gt;="&amp;DATE(YEAR(主页!$D$2),1,1),当年实际!$C:$C,"&lt;="&amp;EOMONTH(DATE(YEAR(主页!$D$2),MONTH(主页!$D$2),1),0)),"")</f>
        <v/>
      </c>
    </row>
    <row r="196" spans="1:10" x14ac:dyDescent="0.3">
      <c r="A196" s="135"/>
      <c r="B196" s="136"/>
      <c r="C196" s="138"/>
      <c r="D196" s="139"/>
      <c r="E196" s="141" t="str">
        <f t="shared" si="8"/>
        <v/>
      </c>
      <c r="F196" s="144"/>
      <c r="G196" s="146">
        <f t="shared" si="6"/>
        <v>0</v>
      </c>
      <c r="H196" s="141" t="str">
        <f t="shared" si="7"/>
        <v/>
      </c>
      <c r="J196" s="148" t="str">
        <f>IFERROR(SUMIFS(当年实际!$V:$V,当年实际!$H:$H,$B196,当年实际!$C:$C,"&gt;="&amp;DATE(YEAR(主页!$D$2),1,1),当年实际!$C:$C,"&lt;="&amp;EOMONTH(DATE(YEAR(主页!$D$2),MONTH(主页!$D$2),1),0))/SUMIFS(当年实际!$P:$P,当年实际!$H:$H,$B196,当年实际!$C:$C,"&gt;="&amp;DATE(YEAR(主页!$D$2),1,1),当年实际!$C:$C,"&lt;="&amp;EOMONTH(DATE(YEAR(主页!$D$2),MONTH(主页!$D$2),1),0)),"")</f>
        <v/>
      </c>
    </row>
    <row r="197" spans="1:10" x14ac:dyDescent="0.3">
      <c r="A197" s="135"/>
      <c r="B197" s="136"/>
      <c r="C197" s="138"/>
      <c r="D197" s="139"/>
      <c r="E197" s="141" t="str">
        <f t="shared" si="8"/>
        <v/>
      </c>
      <c r="F197" s="144"/>
      <c r="G197" s="146">
        <f t="shared" ref="G197:G260" si="9">D197*F197</f>
        <v>0</v>
      </c>
      <c r="H197" s="141" t="str">
        <f t="shared" si="7"/>
        <v/>
      </c>
      <c r="J197" s="148" t="str">
        <f>IFERROR(SUMIFS(当年实际!$V:$V,当年实际!$H:$H,$B197,当年实际!$C:$C,"&gt;="&amp;DATE(YEAR(主页!$D$2),1,1),当年实际!$C:$C,"&lt;="&amp;EOMONTH(DATE(YEAR(主页!$D$2),MONTH(主页!$D$2),1),0))/SUMIFS(当年实际!$P:$P,当年实际!$H:$H,$B197,当年实际!$C:$C,"&gt;="&amp;DATE(YEAR(主页!$D$2),1,1),当年实际!$C:$C,"&lt;="&amp;EOMONTH(DATE(YEAR(主页!$D$2),MONTH(主页!$D$2),1),0)),"")</f>
        <v/>
      </c>
    </row>
    <row r="198" spans="1:10" x14ac:dyDescent="0.3">
      <c r="A198" s="135"/>
      <c r="B198" s="136"/>
      <c r="C198" s="138"/>
      <c r="D198" s="139"/>
      <c r="E198" s="141" t="str">
        <f t="shared" si="8"/>
        <v/>
      </c>
      <c r="F198" s="144"/>
      <c r="G198" s="146">
        <f t="shared" si="9"/>
        <v>0</v>
      </c>
      <c r="H198" s="141" t="str">
        <f t="shared" ref="H198:H261" si="10">IF(G198/SUM(G:G)=0,"",G198/SUM(G:G))</f>
        <v/>
      </c>
      <c r="J198" s="148" t="str">
        <f>IFERROR(SUMIFS(当年实际!$V:$V,当年实际!$H:$H,$B198,当年实际!$C:$C,"&gt;="&amp;DATE(YEAR(主页!$D$2),1,1),当年实际!$C:$C,"&lt;="&amp;EOMONTH(DATE(YEAR(主页!$D$2),MONTH(主页!$D$2),1),0))/SUMIFS(当年实际!$P:$P,当年实际!$H:$H,$B198,当年实际!$C:$C,"&gt;="&amp;DATE(YEAR(主页!$D$2),1,1),当年实际!$C:$C,"&lt;="&amp;EOMONTH(DATE(YEAR(主页!$D$2),MONTH(主页!$D$2),1),0)),"")</f>
        <v/>
      </c>
    </row>
    <row r="199" spans="1:10" x14ac:dyDescent="0.3">
      <c r="A199" s="135"/>
      <c r="B199" s="136"/>
      <c r="C199" s="138"/>
      <c r="D199" s="139"/>
      <c r="E199" s="141" t="str">
        <f t="shared" si="8"/>
        <v/>
      </c>
      <c r="F199" s="144"/>
      <c r="G199" s="146">
        <f t="shared" si="9"/>
        <v>0</v>
      </c>
      <c r="H199" s="141" t="str">
        <f t="shared" si="10"/>
        <v/>
      </c>
      <c r="J199" s="148" t="str">
        <f>IFERROR(SUMIFS(当年实际!$V:$V,当年实际!$H:$H,$B199,当年实际!$C:$C,"&gt;="&amp;DATE(YEAR(主页!$D$2),1,1),当年实际!$C:$C,"&lt;="&amp;EOMONTH(DATE(YEAR(主页!$D$2),MONTH(主页!$D$2),1),0))/SUMIFS(当年实际!$P:$P,当年实际!$H:$H,$B199,当年实际!$C:$C,"&gt;="&amp;DATE(YEAR(主页!$D$2),1,1),当年实际!$C:$C,"&lt;="&amp;EOMONTH(DATE(YEAR(主页!$D$2),MONTH(主页!$D$2),1),0)),"")</f>
        <v/>
      </c>
    </row>
    <row r="200" spans="1:10" x14ac:dyDescent="0.3">
      <c r="A200" s="135"/>
      <c r="B200" s="136"/>
      <c r="C200" s="138"/>
      <c r="D200" s="139"/>
      <c r="E200" s="141" t="str">
        <f t="shared" ref="E200:E263" si="11">IF(D200/SUM(D:D)=0,"",D200/SUM(D:D))</f>
        <v/>
      </c>
      <c r="F200" s="144"/>
      <c r="G200" s="146">
        <f t="shared" si="9"/>
        <v>0</v>
      </c>
      <c r="H200" s="141" t="str">
        <f t="shared" si="10"/>
        <v/>
      </c>
      <c r="J200" s="148" t="str">
        <f>IFERROR(SUMIFS(当年实际!$V:$V,当年实际!$H:$H,$B200,当年实际!$C:$C,"&gt;="&amp;DATE(YEAR(主页!$D$2),1,1),当年实际!$C:$C,"&lt;="&amp;EOMONTH(DATE(YEAR(主页!$D$2),MONTH(主页!$D$2),1),0))/SUMIFS(当年实际!$P:$P,当年实际!$H:$H,$B200,当年实际!$C:$C,"&gt;="&amp;DATE(YEAR(主页!$D$2),1,1),当年实际!$C:$C,"&lt;="&amp;EOMONTH(DATE(YEAR(主页!$D$2),MONTH(主页!$D$2),1),0)),"")</f>
        <v/>
      </c>
    </row>
    <row r="201" spans="1:10" x14ac:dyDescent="0.3">
      <c r="A201" s="135"/>
      <c r="B201" s="136"/>
      <c r="C201" s="138"/>
      <c r="D201" s="139"/>
      <c r="E201" s="141" t="str">
        <f t="shared" si="11"/>
        <v/>
      </c>
      <c r="F201" s="144"/>
      <c r="G201" s="146">
        <f t="shared" si="9"/>
        <v>0</v>
      </c>
      <c r="H201" s="141" t="str">
        <f t="shared" si="10"/>
        <v/>
      </c>
      <c r="J201" s="148" t="str">
        <f>IFERROR(SUMIFS(当年实际!$V:$V,当年实际!$H:$H,$B201,当年实际!$C:$C,"&gt;="&amp;DATE(YEAR(主页!$D$2),1,1),当年实际!$C:$C,"&lt;="&amp;EOMONTH(DATE(YEAR(主页!$D$2),MONTH(主页!$D$2),1),0))/SUMIFS(当年实际!$P:$P,当年实际!$H:$H,$B201,当年实际!$C:$C,"&gt;="&amp;DATE(YEAR(主页!$D$2),1,1),当年实际!$C:$C,"&lt;="&amp;EOMONTH(DATE(YEAR(主页!$D$2),MONTH(主页!$D$2),1),0)),"")</f>
        <v/>
      </c>
    </row>
    <row r="202" spans="1:10" x14ac:dyDescent="0.3">
      <c r="A202" s="135"/>
      <c r="B202" s="136"/>
      <c r="C202" s="138"/>
      <c r="D202" s="139"/>
      <c r="E202" s="141" t="str">
        <f t="shared" si="11"/>
        <v/>
      </c>
      <c r="F202" s="144"/>
      <c r="G202" s="146">
        <f t="shared" si="9"/>
        <v>0</v>
      </c>
      <c r="H202" s="141" t="str">
        <f t="shared" si="10"/>
        <v/>
      </c>
      <c r="J202" s="148" t="str">
        <f>IFERROR(SUMIFS(当年实际!$V:$V,当年实际!$H:$H,$B202,当年实际!$C:$C,"&gt;="&amp;DATE(YEAR(主页!$D$2),1,1),当年实际!$C:$C,"&lt;="&amp;EOMONTH(DATE(YEAR(主页!$D$2),MONTH(主页!$D$2),1),0))/SUMIFS(当年实际!$P:$P,当年实际!$H:$H,$B202,当年实际!$C:$C,"&gt;="&amp;DATE(YEAR(主页!$D$2),1,1),当年实际!$C:$C,"&lt;="&amp;EOMONTH(DATE(YEAR(主页!$D$2),MONTH(主页!$D$2),1),0)),"")</f>
        <v/>
      </c>
    </row>
    <row r="203" spans="1:10" x14ac:dyDescent="0.3">
      <c r="A203" s="135"/>
      <c r="B203" s="136"/>
      <c r="C203" s="138"/>
      <c r="D203" s="139"/>
      <c r="E203" s="141" t="str">
        <f t="shared" si="11"/>
        <v/>
      </c>
      <c r="F203" s="144"/>
      <c r="G203" s="146">
        <f t="shared" si="9"/>
        <v>0</v>
      </c>
      <c r="H203" s="141" t="str">
        <f t="shared" si="10"/>
        <v/>
      </c>
      <c r="J203" s="148" t="str">
        <f>IFERROR(SUMIFS(当年实际!$V:$V,当年实际!$H:$H,$B203,当年实际!$C:$C,"&gt;="&amp;DATE(YEAR(主页!$D$2),1,1),当年实际!$C:$C,"&lt;="&amp;EOMONTH(DATE(YEAR(主页!$D$2),MONTH(主页!$D$2),1),0))/SUMIFS(当年实际!$P:$P,当年实际!$H:$H,$B203,当年实际!$C:$C,"&gt;="&amp;DATE(YEAR(主页!$D$2),1,1),当年实际!$C:$C,"&lt;="&amp;EOMONTH(DATE(YEAR(主页!$D$2),MONTH(主页!$D$2),1),0)),"")</f>
        <v/>
      </c>
    </row>
    <row r="204" spans="1:10" x14ac:dyDescent="0.3">
      <c r="A204" s="135"/>
      <c r="B204" s="136"/>
      <c r="C204" s="138"/>
      <c r="D204" s="139"/>
      <c r="E204" s="141" t="str">
        <f t="shared" si="11"/>
        <v/>
      </c>
      <c r="F204" s="144"/>
      <c r="G204" s="146">
        <f t="shared" si="9"/>
        <v>0</v>
      </c>
      <c r="H204" s="141" t="str">
        <f t="shared" si="10"/>
        <v/>
      </c>
      <c r="J204" s="148" t="str">
        <f>IFERROR(SUMIFS(当年实际!$V:$V,当年实际!$H:$H,$B204,当年实际!$C:$C,"&gt;="&amp;DATE(YEAR(主页!$D$2),1,1),当年实际!$C:$C,"&lt;="&amp;EOMONTH(DATE(YEAR(主页!$D$2),MONTH(主页!$D$2),1),0))/SUMIFS(当年实际!$P:$P,当年实际!$H:$H,$B204,当年实际!$C:$C,"&gt;="&amp;DATE(YEAR(主页!$D$2),1,1),当年实际!$C:$C,"&lt;="&amp;EOMONTH(DATE(YEAR(主页!$D$2),MONTH(主页!$D$2),1),0)),"")</f>
        <v/>
      </c>
    </row>
    <row r="205" spans="1:10" x14ac:dyDescent="0.3">
      <c r="A205" s="135"/>
      <c r="B205" s="136"/>
      <c r="C205" s="138"/>
      <c r="D205" s="139"/>
      <c r="E205" s="141" t="str">
        <f t="shared" si="11"/>
        <v/>
      </c>
      <c r="F205" s="144"/>
      <c r="G205" s="146">
        <f t="shared" si="9"/>
        <v>0</v>
      </c>
      <c r="H205" s="141" t="str">
        <f t="shared" si="10"/>
        <v/>
      </c>
      <c r="J205" s="148" t="str">
        <f>IFERROR(SUMIFS(当年实际!$V:$V,当年实际!$H:$H,$B205,当年实际!$C:$C,"&gt;="&amp;DATE(YEAR(主页!$D$2),1,1),当年实际!$C:$C,"&lt;="&amp;EOMONTH(DATE(YEAR(主页!$D$2),MONTH(主页!$D$2),1),0))/SUMIFS(当年实际!$P:$P,当年实际!$H:$H,$B205,当年实际!$C:$C,"&gt;="&amp;DATE(YEAR(主页!$D$2),1,1),当年实际!$C:$C,"&lt;="&amp;EOMONTH(DATE(YEAR(主页!$D$2),MONTH(主页!$D$2),1),0)),"")</f>
        <v/>
      </c>
    </row>
    <row r="206" spans="1:10" x14ac:dyDescent="0.3">
      <c r="A206" s="135"/>
      <c r="B206" s="136"/>
      <c r="C206" s="138"/>
      <c r="D206" s="139"/>
      <c r="E206" s="141" t="str">
        <f t="shared" si="11"/>
        <v/>
      </c>
      <c r="F206" s="144"/>
      <c r="G206" s="146">
        <f t="shared" si="9"/>
        <v>0</v>
      </c>
      <c r="H206" s="141" t="str">
        <f t="shared" si="10"/>
        <v/>
      </c>
      <c r="J206" s="148" t="str">
        <f>IFERROR(SUMIFS(当年实际!$V:$V,当年实际!$H:$H,$B206,当年实际!$C:$C,"&gt;="&amp;DATE(YEAR(主页!$D$2),1,1),当年实际!$C:$C,"&lt;="&amp;EOMONTH(DATE(YEAR(主页!$D$2),MONTH(主页!$D$2),1),0))/SUMIFS(当年实际!$P:$P,当年实际!$H:$H,$B206,当年实际!$C:$C,"&gt;="&amp;DATE(YEAR(主页!$D$2),1,1),当年实际!$C:$C,"&lt;="&amp;EOMONTH(DATE(YEAR(主页!$D$2),MONTH(主页!$D$2),1),0)),"")</f>
        <v/>
      </c>
    </row>
    <row r="207" spans="1:10" x14ac:dyDescent="0.3">
      <c r="A207" s="135"/>
      <c r="B207" s="136"/>
      <c r="C207" s="138"/>
      <c r="D207" s="139"/>
      <c r="E207" s="141" t="str">
        <f t="shared" si="11"/>
        <v/>
      </c>
      <c r="F207" s="144"/>
      <c r="G207" s="146">
        <f t="shared" si="9"/>
        <v>0</v>
      </c>
      <c r="H207" s="141" t="str">
        <f t="shared" si="10"/>
        <v/>
      </c>
      <c r="J207" s="148" t="str">
        <f>IFERROR(SUMIFS(当年实际!$V:$V,当年实际!$H:$H,$B207,当年实际!$C:$C,"&gt;="&amp;DATE(YEAR(主页!$D$2),1,1),当年实际!$C:$C,"&lt;="&amp;EOMONTH(DATE(YEAR(主页!$D$2),MONTH(主页!$D$2),1),0))/SUMIFS(当年实际!$P:$P,当年实际!$H:$H,$B207,当年实际!$C:$C,"&gt;="&amp;DATE(YEAR(主页!$D$2),1,1),当年实际!$C:$C,"&lt;="&amp;EOMONTH(DATE(YEAR(主页!$D$2),MONTH(主页!$D$2),1),0)),"")</f>
        <v/>
      </c>
    </row>
    <row r="208" spans="1:10" x14ac:dyDescent="0.3">
      <c r="A208" s="135"/>
      <c r="B208" s="136"/>
      <c r="C208" s="138"/>
      <c r="D208" s="139"/>
      <c r="E208" s="141" t="str">
        <f t="shared" si="11"/>
        <v/>
      </c>
      <c r="F208" s="144"/>
      <c r="G208" s="146">
        <f t="shared" si="9"/>
        <v>0</v>
      </c>
      <c r="H208" s="141" t="str">
        <f t="shared" si="10"/>
        <v/>
      </c>
      <c r="J208" s="148" t="str">
        <f>IFERROR(SUMIFS(当年实际!$V:$V,当年实际!$H:$H,$B208,当年实际!$C:$C,"&gt;="&amp;DATE(YEAR(主页!$D$2),1,1),当年实际!$C:$C,"&lt;="&amp;EOMONTH(DATE(YEAR(主页!$D$2),MONTH(主页!$D$2),1),0))/SUMIFS(当年实际!$P:$P,当年实际!$H:$H,$B208,当年实际!$C:$C,"&gt;="&amp;DATE(YEAR(主页!$D$2),1,1),当年实际!$C:$C,"&lt;="&amp;EOMONTH(DATE(YEAR(主页!$D$2),MONTH(主页!$D$2),1),0)),"")</f>
        <v/>
      </c>
    </row>
    <row r="209" spans="1:10" x14ac:dyDescent="0.3">
      <c r="A209" s="135"/>
      <c r="B209" s="136"/>
      <c r="C209" s="138"/>
      <c r="D209" s="139"/>
      <c r="E209" s="141" t="str">
        <f t="shared" si="11"/>
        <v/>
      </c>
      <c r="F209" s="144"/>
      <c r="G209" s="146">
        <f t="shared" si="9"/>
        <v>0</v>
      </c>
      <c r="H209" s="141" t="str">
        <f t="shared" si="10"/>
        <v/>
      </c>
      <c r="J209" s="148" t="str">
        <f>IFERROR(SUMIFS(当年实际!$V:$V,当年实际!$H:$H,$B209,当年实际!$C:$C,"&gt;="&amp;DATE(YEAR(主页!$D$2),1,1),当年实际!$C:$C,"&lt;="&amp;EOMONTH(DATE(YEAR(主页!$D$2),MONTH(主页!$D$2),1),0))/SUMIFS(当年实际!$P:$P,当年实际!$H:$H,$B209,当年实际!$C:$C,"&gt;="&amp;DATE(YEAR(主页!$D$2),1,1),当年实际!$C:$C,"&lt;="&amp;EOMONTH(DATE(YEAR(主页!$D$2),MONTH(主页!$D$2),1),0)),"")</f>
        <v/>
      </c>
    </row>
    <row r="210" spans="1:10" x14ac:dyDescent="0.3">
      <c r="A210" s="135"/>
      <c r="B210" s="136"/>
      <c r="C210" s="138"/>
      <c r="D210" s="139"/>
      <c r="E210" s="141" t="str">
        <f t="shared" si="11"/>
        <v/>
      </c>
      <c r="F210" s="144"/>
      <c r="G210" s="146">
        <f t="shared" si="9"/>
        <v>0</v>
      </c>
      <c r="H210" s="141" t="str">
        <f t="shared" si="10"/>
        <v/>
      </c>
      <c r="J210" s="148" t="str">
        <f>IFERROR(SUMIFS(当年实际!$V:$V,当年实际!$H:$H,$B210,当年实际!$C:$C,"&gt;="&amp;DATE(YEAR(主页!$D$2),1,1),当年实际!$C:$C,"&lt;="&amp;EOMONTH(DATE(YEAR(主页!$D$2),MONTH(主页!$D$2),1),0))/SUMIFS(当年实际!$P:$P,当年实际!$H:$H,$B210,当年实际!$C:$C,"&gt;="&amp;DATE(YEAR(主页!$D$2),1,1),当年实际!$C:$C,"&lt;="&amp;EOMONTH(DATE(YEAR(主页!$D$2),MONTH(主页!$D$2),1),0)),"")</f>
        <v/>
      </c>
    </row>
    <row r="211" spans="1:10" x14ac:dyDescent="0.3">
      <c r="A211" s="135"/>
      <c r="B211" s="136"/>
      <c r="C211" s="138"/>
      <c r="D211" s="139"/>
      <c r="E211" s="141" t="str">
        <f t="shared" si="11"/>
        <v/>
      </c>
      <c r="F211" s="144"/>
      <c r="G211" s="146">
        <f t="shared" si="9"/>
        <v>0</v>
      </c>
      <c r="H211" s="141" t="str">
        <f t="shared" si="10"/>
        <v/>
      </c>
      <c r="J211" s="148" t="str">
        <f>IFERROR(SUMIFS(当年实际!$V:$V,当年实际!$H:$H,$B211,当年实际!$C:$C,"&gt;="&amp;DATE(YEAR(主页!$D$2),1,1),当年实际!$C:$C,"&lt;="&amp;EOMONTH(DATE(YEAR(主页!$D$2),MONTH(主页!$D$2),1),0))/SUMIFS(当年实际!$P:$P,当年实际!$H:$H,$B211,当年实际!$C:$C,"&gt;="&amp;DATE(YEAR(主页!$D$2),1,1),当年实际!$C:$C,"&lt;="&amp;EOMONTH(DATE(YEAR(主页!$D$2),MONTH(主页!$D$2),1),0)),"")</f>
        <v/>
      </c>
    </row>
    <row r="212" spans="1:10" x14ac:dyDescent="0.3">
      <c r="A212" s="135"/>
      <c r="B212" s="136"/>
      <c r="C212" s="138"/>
      <c r="D212" s="139"/>
      <c r="E212" s="141" t="str">
        <f t="shared" si="11"/>
        <v/>
      </c>
      <c r="F212" s="144"/>
      <c r="G212" s="146">
        <f t="shared" si="9"/>
        <v>0</v>
      </c>
      <c r="H212" s="141" t="str">
        <f t="shared" si="10"/>
        <v/>
      </c>
      <c r="J212" s="148" t="str">
        <f>IFERROR(SUMIFS(当年实际!$V:$V,当年实际!$H:$H,$B212,当年实际!$C:$C,"&gt;="&amp;DATE(YEAR(主页!$D$2),1,1),当年实际!$C:$C,"&lt;="&amp;EOMONTH(DATE(YEAR(主页!$D$2),MONTH(主页!$D$2),1),0))/SUMIFS(当年实际!$P:$P,当年实际!$H:$H,$B212,当年实际!$C:$C,"&gt;="&amp;DATE(YEAR(主页!$D$2),1,1),当年实际!$C:$C,"&lt;="&amp;EOMONTH(DATE(YEAR(主页!$D$2),MONTH(主页!$D$2),1),0)),"")</f>
        <v/>
      </c>
    </row>
    <row r="213" spans="1:10" x14ac:dyDescent="0.3">
      <c r="A213" s="135"/>
      <c r="B213" s="136"/>
      <c r="C213" s="138"/>
      <c r="D213" s="139"/>
      <c r="E213" s="141" t="str">
        <f t="shared" si="11"/>
        <v/>
      </c>
      <c r="F213" s="144"/>
      <c r="G213" s="146">
        <f t="shared" si="9"/>
        <v>0</v>
      </c>
      <c r="H213" s="141" t="str">
        <f t="shared" si="10"/>
        <v/>
      </c>
      <c r="J213" s="148" t="str">
        <f>IFERROR(SUMIFS(当年实际!$V:$V,当年实际!$H:$H,$B213,当年实际!$C:$C,"&gt;="&amp;DATE(YEAR(主页!$D$2),1,1),当年实际!$C:$C,"&lt;="&amp;EOMONTH(DATE(YEAR(主页!$D$2),MONTH(主页!$D$2),1),0))/SUMIFS(当年实际!$P:$P,当年实际!$H:$H,$B213,当年实际!$C:$C,"&gt;="&amp;DATE(YEAR(主页!$D$2),1,1),当年实际!$C:$C,"&lt;="&amp;EOMONTH(DATE(YEAR(主页!$D$2),MONTH(主页!$D$2),1),0)),"")</f>
        <v/>
      </c>
    </row>
    <row r="214" spans="1:10" x14ac:dyDescent="0.3">
      <c r="A214" s="135"/>
      <c r="B214" s="136"/>
      <c r="C214" s="138"/>
      <c r="D214" s="139"/>
      <c r="E214" s="141" t="str">
        <f t="shared" si="11"/>
        <v/>
      </c>
      <c r="F214" s="144"/>
      <c r="G214" s="146">
        <f t="shared" si="9"/>
        <v>0</v>
      </c>
      <c r="H214" s="141" t="str">
        <f t="shared" si="10"/>
        <v/>
      </c>
      <c r="J214" s="148" t="str">
        <f>IFERROR(SUMIFS(当年实际!$V:$V,当年实际!$H:$H,$B214,当年实际!$C:$C,"&gt;="&amp;DATE(YEAR(主页!$D$2),1,1),当年实际!$C:$C,"&lt;="&amp;EOMONTH(DATE(YEAR(主页!$D$2),MONTH(主页!$D$2),1),0))/SUMIFS(当年实际!$P:$P,当年实际!$H:$H,$B214,当年实际!$C:$C,"&gt;="&amp;DATE(YEAR(主页!$D$2),1,1),当年实际!$C:$C,"&lt;="&amp;EOMONTH(DATE(YEAR(主页!$D$2),MONTH(主页!$D$2),1),0)),"")</f>
        <v/>
      </c>
    </row>
    <row r="215" spans="1:10" x14ac:dyDescent="0.3">
      <c r="A215" s="135"/>
      <c r="B215" s="136"/>
      <c r="C215" s="138"/>
      <c r="D215" s="139"/>
      <c r="E215" s="141" t="str">
        <f t="shared" si="11"/>
        <v/>
      </c>
      <c r="F215" s="144"/>
      <c r="G215" s="146">
        <f t="shared" si="9"/>
        <v>0</v>
      </c>
      <c r="H215" s="141" t="str">
        <f t="shared" si="10"/>
        <v/>
      </c>
      <c r="J215" s="148" t="str">
        <f>IFERROR(SUMIFS(当年实际!$V:$V,当年实际!$H:$H,$B215,当年实际!$C:$C,"&gt;="&amp;DATE(YEAR(主页!$D$2),1,1),当年实际!$C:$C,"&lt;="&amp;EOMONTH(DATE(YEAR(主页!$D$2),MONTH(主页!$D$2),1),0))/SUMIFS(当年实际!$P:$P,当年实际!$H:$H,$B215,当年实际!$C:$C,"&gt;="&amp;DATE(YEAR(主页!$D$2),1,1),当年实际!$C:$C,"&lt;="&amp;EOMONTH(DATE(YEAR(主页!$D$2),MONTH(主页!$D$2),1),0)),"")</f>
        <v/>
      </c>
    </row>
    <row r="216" spans="1:10" x14ac:dyDescent="0.3">
      <c r="A216" s="135"/>
      <c r="B216" s="136"/>
      <c r="C216" s="138"/>
      <c r="D216" s="139"/>
      <c r="E216" s="141" t="str">
        <f t="shared" si="11"/>
        <v/>
      </c>
      <c r="F216" s="144"/>
      <c r="G216" s="146">
        <f t="shared" si="9"/>
        <v>0</v>
      </c>
      <c r="H216" s="141" t="str">
        <f t="shared" si="10"/>
        <v/>
      </c>
      <c r="J216" s="148" t="str">
        <f>IFERROR(SUMIFS(当年实际!$V:$V,当年实际!$H:$H,$B216,当年实际!$C:$C,"&gt;="&amp;DATE(YEAR(主页!$D$2),1,1),当年实际!$C:$C,"&lt;="&amp;EOMONTH(DATE(YEAR(主页!$D$2),MONTH(主页!$D$2),1),0))/SUMIFS(当年实际!$P:$P,当年实际!$H:$H,$B216,当年实际!$C:$C,"&gt;="&amp;DATE(YEAR(主页!$D$2),1,1),当年实际!$C:$C,"&lt;="&amp;EOMONTH(DATE(YEAR(主页!$D$2),MONTH(主页!$D$2),1),0)),"")</f>
        <v/>
      </c>
    </row>
    <row r="217" spans="1:10" x14ac:dyDescent="0.3">
      <c r="A217" s="135"/>
      <c r="B217" s="136"/>
      <c r="C217" s="138"/>
      <c r="D217" s="139"/>
      <c r="E217" s="141" t="str">
        <f t="shared" si="11"/>
        <v/>
      </c>
      <c r="F217" s="144"/>
      <c r="G217" s="146">
        <f t="shared" si="9"/>
        <v>0</v>
      </c>
      <c r="H217" s="141" t="str">
        <f t="shared" si="10"/>
        <v/>
      </c>
      <c r="J217" s="148" t="str">
        <f>IFERROR(SUMIFS(当年实际!$V:$V,当年实际!$H:$H,$B217,当年实际!$C:$C,"&gt;="&amp;DATE(YEAR(主页!$D$2),1,1),当年实际!$C:$C,"&lt;="&amp;EOMONTH(DATE(YEAR(主页!$D$2),MONTH(主页!$D$2),1),0))/SUMIFS(当年实际!$P:$P,当年实际!$H:$H,$B217,当年实际!$C:$C,"&gt;="&amp;DATE(YEAR(主页!$D$2),1,1),当年实际!$C:$C,"&lt;="&amp;EOMONTH(DATE(YEAR(主页!$D$2),MONTH(主页!$D$2),1),0)),"")</f>
        <v/>
      </c>
    </row>
    <row r="218" spans="1:10" x14ac:dyDescent="0.3">
      <c r="A218" s="135"/>
      <c r="B218" s="136"/>
      <c r="C218" s="138"/>
      <c r="D218" s="139"/>
      <c r="E218" s="141" t="str">
        <f t="shared" si="11"/>
        <v/>
      </c>
      <c r="F218" s="144"/>
      <c r="G218" s="146">
        <f t="shared" si="9"/>
        <v>0</v>
      </c>
      <c r="H218" s="141" t="str">
        <f t="shared" si="10"/>
        <v/>
      </c>
      <c r="J218" s="148" t="str">
        <f>IFERROR(SUMIFS(当年实际!$V:$V,当年实际!$H:$H,$B218,当年实际!$C:$C,"&gt;="&amp;DATE(YEAR(主页!$D$2),1,1),当年实际!$C:$C,"&lt;="&amp;EOMONTH(DATE(YEAR(主页!$D$2),MONTH(主页!$D$2),1),0))/SUMIFS(当年实际!$P:$P,当年实际!$H:$H,$B218,当年实际!$C:$C,"&gt;="&amp;DATE(YEAR(主页!$D$2),1,1),当年实际!$C:$C,"&lt;="&amp;EOMONTH(DATE(YEAR(主页!$D$2),MONTH(主页!$D$2),1),0)),"")</f>
        <v/>
      </c>
    </row>
    <row r="219" spans="1:10" x14ac:dyDescent="0.3">
      <c r="A219" s="135"/>
      <c r="B219" s="136"/>
      <c r="C219" s="138"/>
      <c r="D219" s="139"/>
      <c r="E219" s="141" t="str">
        <f t="shared" si="11"/>
        <v/>
      </c>
      <c r="F219" s="144"/>
      <c r="G219" s="146">
        <f t="shared" si="9"/>
        <v>0</v>
      </c>
      <c r="H219" s="141" t="str">
        <f t="shared" si="10"/>
        <v/>
      </c>
      <c r="J219" s="148" t="str">
        <f>IFERROR(SUMIFS(当年实际!$V:$V,当年实际!$H:$H,$B219,当年实际!$C:$C,"&gt;="&amp;DATE(YEAR(主页!$D$2),1,1),当年实际!$C:$C,"&lt;="&amp;EOMONTH(DATE(YEAR(主页!$D$2),MONTH(主页!$D$2),1),0))/SUMIFS(当年实际!$P:$P,当年实际!$H:$H,$B219,当年实际!$C:$C,"&gt;="&amp;DATE(YEAR(主页!$D$2),1,1),当年实际!$C:$C,"&lt;="&amp;EOMONTH(DATE(YEAR(主页!$D$2),MONTH(主页!$D$2),1),0)),"")</f>
        <v/>
      </c>
    </row>
    <row r="220" spans="1:10" x14ac:dyDescent="0.3">
      <c r="A220" s="135"/>
      <c r="B220" s="136"/>
      <c r="C220" s="138"/>
      <c r="D220" s="139"/>
      <c r="E220" s="141" t="str">
        <f t="shared" si="11"/>
        <v/>
      </c>
      <c r="F220" s="144"/>
      <c r="G220" s="146">
        <f t="shared" si="9"/>
        <v>0</v>
      </c>
      <c r="H220" s="141" t="str">
        <f t="shared" si="10"/>
        <v/>
      </c>
      <c r="J220" s="148" t="str">
        <f>IFERROR(SUMIFS(当年实际!$V:$V,当年实际!$H:$H,$B220,当年实际!$C:$C,"&gt;="&amp;DATE(YEAR(主页!$D$2),1,1),当年实际!$C:$C,"&lt;="&amp;EOMONTH(DATE(YEAR(主页!$D$2),MONTH(主页!$D$2),1),0))/SUMIFS(当年实际!$P:$P,当年实际!$H:$H,$B220,当年实际!$C:$C,"&gt;="&amp;DATE(YEAR(主页!$D$2),1,1),当年实际!$C:$C,"&lt;="&amp;EOMONTH(DATE(YEAR(主页!$D$2),MONTH(主页!$D$2),1),0)),"")</f>
        <v/>
      </c>
    </row>
    <row r="221" spans="1:10" x14ac:dyDescent="0.3">
      <c r="A221" s="135"/>
      <c r="B221" s="136"/>
      <c r="C221" s="138"/>
      <c r="D221" s="139"/>
      <c r="E221" s="141" t="str">
        <f t="shared" si="11"/>
        <v/>
      </c>
      <c r="F221" s="144"/>
      <c r="G221" s="146">
        <f t="shared" si="9"/>
        <v>0</v>
      </c>
      <c r="H221" s="141" t="str">
        <f t="shared" si="10"/>
        <v/>
      </c>
      <c r="J221" s="148" t="str">
        <f>IFERROR(SUMIFS(当年实际!$V:$V,当年实际!$H:$H,$B221,当年实际!$C:$C,"&gt;="&amp;DATE(YEAR(主页!$D$2),1,1),当年实际!$C:$C,"&lt;="&amp;EOMONTH(DATE(YEAR(主页!$D$2),MONTH(主页!$D$2),1),0))/SUMIFS(当年实际!$P:$P,当年实际!$H:$H,$B221,当年实际!$C:$C,"&gt;="&amp;DATE(YEAR(主页!$D$2),1,1),当年实际!$C:$C,"&lt;="&amp;EOMONTH(DATE(YEAR(主页!$D$2),MONTH(主页!$D$2),1),0)),"")</f>
        <v/>
      </c>
    </row>
    <row r="222" spans="1:10" x14ac:dyDescent="0.3">
      <c r="A222" s="135"/>
      <c r="B222" s="136"/>
      <c r="C222" s="138"/>
      <c r="D222" s="139"/>
      <c r="E222" s="141" t="str">
        <f t="shared" si="11"/>
        <v/>
      </c>
      <c r="F222" s="144"/>
      <c r="G222" s="146">
        <f t="shared" si="9"/>
        <v>0</v>
      </c>
      <c r="H222" s="141" t="str">
        <f t="shared" si="10"/>
        <v/>
      </c>
      <c r="J222" s="148" t="str">
        <f>IFERROR(SUMIFS(当年实际!$V:$V,当年实际!$H:$H,$B222,当年实际!$C:$C,"&gt;="&amp;DATE(YEAR(主页!$D$2),1,1),当年实际!$C:$C,"&lt;="&amp;EOMONTH(DATE(YEAR(主页!$D$2),MONTH(主页!$D$2),1),0))/SUMIFS(当年实际!$P:$P,当年实际!$H:$H,$B222,当年实际!$C:$C,"&gt;="&amp;DATE(YEAR(主页!$D$2),1,1),当年实际!$C:$C,"&lt;="&amp;EOMONTH(DATE(YEAR(主页!$D$2),MONTH(主页!$D$2),1),0)),"")</f>
        <v/>
      </c>
    </row>
    <row r="223" spans="1:10" x14ac:dyDescent="0.3">
      <c r="A223" s="135"/>
      <c r="B223" s="136"/>
      <c r="C223" s="138"/>
      <c r="D223" s="139"/>
      <c r="E223" s="141" t="str">
        <f t="shared" si="11"/>
        <v/>
      </c>
      <c r="F223" s="144"/>
      <c r="G223" s="146">
        <f t="shared" si="9"/>
        <v>0</v>
      </c>
      <c r="H223" s="141" t="str">
        <f t="shared" si="10"/>
        <v/>
      </c>
      <c r="J223" s="148" t="str">
        <f>IFERROR(SUMIFS(当年实际!$V:$V,当年实际!$H:$H,$B223,当年实际!$C:$C,"&gt;="&amp;DATE(YEAR(主页!$D$2),1,1),当年实际!$C:$C,"&lt;="&amp;EOMONTH(DATE(YEAR(主页!$D$2),MONTH(主页!$D$2),1),0))/SUMIFS(当年实际!$P:$P,当年实际!$H:$H,$B223,当年实际!$C:$C,"&gt;="&amp;DATE(YEAR(主页!$D$2),1,1),当年实际!$C:$C,"&lt;="&amp;EOMONTH(DATE(YEAR(主页!$D$2),MONTH(主页!$D$2),1),0)),"")</f>
        <v/>
      </c>
    </row>
    <row r="224" spans="1:10" x14ac:dyDescent="0.3">
      <c r="A224" s="135"/>
      <c r="B224" s="136"/>
      <c r="C224" s="138"/>
      <c r="D224" s="139"/>
      <c r="E224" s="141" t="str">
        <f t="shared" si="11"/>
        <v/>
      </c>
      <c r="F224" s="144"/>
      <c r="G224" s="146">
        <f t="shared" si="9"/>
        <v>0</v>
      </c>
      <c r="H224" s="141" t="str">
        <f t="shared" si="10"/>
        <v/>
      </c>
      <c r="J224" s="148" t="str">
        <f>IFERROR(SUMIFS(当年实际!$V:$V,当年实际!$H:$H,$B224,当年实际!$C:$C,"&gt;="&amp;DATE(YEAR(主页!$D$2),1,1),当年实际!$C:$C,"&lt;="&amp;EOMONTH(DATE(YEAR(主页!$D$2),MONTH(主页!$D$2),1),0))/SUMIFS(当年实际!$P:$P,当年实际!$H:$H,$B224,当年实际!$C:$C,"&gt;="&amp;DATE(YEAR(主页!$D$2),1,1),当年实际!$C:$C,"&lt;="&amp;EOMONTH(DATE(YEAR(主页!$D$2),MONTH(主页!$D$2),1),0)),"")</f>
        <v/>
      </c>
    </row>
    <row r="225" spans="1:10" x14ac:dyDescent="0.3">
      <c r="A225" s="135"/>
      <c r="B225" s="136"/>
      <c r="C225" s="138"/>
      <c r="D225" s="139"/>
      <c r="E225" s="141" t="str">
        <f t="shared" si="11"/>
        <v/>
      </c>
      <c r="F225" s="144"/>
      <c r="G225" s="146">
        <f t="shared" si="9"/>
        <v>0</v>
      </c>
      <c r="H225" s="141" t="str">
        <f t="shared" si="10"/>
        <v/>
      </c>
      <c r="J225" s="148" t="str">
        <f>IFERROR(SUMIFS(当年实际!$V:$V,当年实际!$H:$H,$B225,当年实际!$C:$C,"&gt;="&amp;DATE(YEAR(主页!$D$2),1,1),当年实际!$C:$C,"&lt;="&amp;EOMONTH(DATE(YEAR(主页!$D$2),MONTH(主页!$D$2),1),0))/SUMIFS(当年实际!$P:$P,当年实际!$H:$H,$B225,当年实际!$C:$C,"&gt;="&amp;DATE(YEAR(主页!$D$2),1,1),当年实际!$C:$C,"&lt;="&amp;EOMONTH(DATE(YEAR(主页!$D$2),MONTH(主页!$D$2),1),0)),"")</f>
        <v/>
      </c>
    </row>
    <row r="226" spans="1:10" x14ac:dyDescent="0.3">
      <c r="A226" s="135"/>
      <c r="B226" s="136"/>
      <c r="C226" s="138"/>
      <c r="D226" s="139"/>
      <c r="E226" s="141" t="str">
        <f t="shared" si="11"/>
        <v/>
      </c>
      <c r="F226" s="144"/>
      <c r="G226" s="146">
        <f t="shared" si="9"/>
        <v>0</v>
      </c>
      <c r="H226" s="141" t="str">
        <f t="shared" si="10"/>
        <v/>
      </c>
      <c r="J226" s="148" t="str">
        <f>IFERROR(SUMIFS(当年实际!$V:$V,当年实际!$H:$H,$B226,当年实际!$C:$C,"&gt;="&amp;DATE(YEAR(主页!$D$2),1,1),当年实际!$C:$C,"&lt;="&amp;EOMONTH(DATE(YEAR(主页!$D$2),MONTH(主页!$D$2),1),0))/SUMIFS(当年实际!$P:$P,当年实际!$H:$H,$B226,当年实际!$C:$C,"&gt;="&amp;DATE(YEAR(主页!$D$2),1,1),当年实际!$C:$C,"&lt;="&amp;EOMONTH(DATE(YEAR(主页!$D$2),MONTH(主页!$D$2),1),0)),"")</f>
        <v/>
      </c>
    </row>
    <row r="227" spans="1:10" x14ac:dyDescent="0.3">
      <c r="A227" s="135"/>
      <c r="B227" s="136"/>
      <c r="C227" s="138"/>
      <c r="D227" s="139"/>
      <c r="E227" s="141" t="str">
        <f t="shared" si="11"/>
        <v/>
      </c>
      <c r="F227" s="144"/>
      <c r="G227" s="146">
        <f t="shared" si="9"/>
        <v>0</v>
      </c>
      <c r="H227" s="141" t="str">
        <f t="shared" si="10"/>
        <v/>
      </c>
      <c r="J227" s="148" t="str">
        <f>IFERROR(SUMIFS(当年实际!$V:$V,当年实际!$H:$H,$B227,当年实际!$C:$C,"&gt;="&amp;DATE(YEAR(主页!$D$2),1,1),当年实际!$C:$C,"&lt;="&amp;EOMONTH(DATE(YEAR(主页!$D$2),MONTH(主页!$D$2),1),0))/SUMIFS(当年实际!$P:$P,当年实际!$H:$H,$B227,当年实际!$C:$C,"&gt;="&amp;DATE(YEAR(主页!$D$2),1,1),当年实际!$C:$C,"&lt;="&amp;EOMONTH(DATE(YEAR(主页!$D$2),MONTH(主页!$D$2),1),0)),"")</f>
        <v/>
      </c>
    </row>
    <row r="228" spans="1:10" x14ac:dyDescent="0.3">
      <c r="A228" s="135"/>
      <c r="B228" s="136"/>
      <c r="C228" s="138"/>
      <c r="D228" s="139"/>
      <c r="E228" s="141" t="str">
        <f t="shared" si="11"/>
        <v/>
      </c>
      <c r="F228" s="144"/>
      <c r="G228" s="146">
        <f t="shared" si="9"/>
        <v>0</v>
      </c>
      <c r="H228" s="141" t="str">
        <f t="shared" si="10"/>
        <v/>
      </c>
      <c r="J228" s="148" t="str">
        <f>IFERROR(SUMIFS(当年实际!$V:$V,当年实际!$H:$H,$B228,当年实际!$C:$C,"&gt;="&amp;DATE(YEAR(主页!$D$2),1,1),当年实际!$C:$C,"&lt;="&amp;EOMONTH(DATE(YEAR(主页!$D$2),MONTH(主页!$D$2),1),0))/SUMIFS(当年实际!$P:$P,当年实际!$H:$H,$B228,当年实际!$C:$C,"&gt;="&amp;DATE(YEAR(主页!$D$2),1,1),当年实际!$C:$C,"&lt;="&amp;EOMONTH(DATE(YEAR(主页!$D$2),MONTH(主页!$D$2),1),0)),"")</f>
        <v/>
      </c>
    </row>
    <row r="229" spans="1:10" x14ac:dyDescent="0.3">
      <c r="A229" s="135"/>
      <c r="B229" s="136"/>
      <c r="C229" s="138"/>
      <c r="D229" s="139"/>
      <c r="E229" s="141" t="str">
        <f t="shared" si="11"/>
        <v/>
      </c>
      <c r="F229" s="144"/>
      <c r="G229" s="146">
        <f t="shared" si="9"/>
        <v>0</v>
      </c>
      <c r="H229" s="141" t="str">
        <f t="shared" si="10"/>
        <v/>
      </c>
      <c r="J229" s="148" t="str">
        <f>IFERROR(SUMIFS(当年实际!$V:$V,当年实际!$H:$H,$B229,当年实际!$C:$C,"&gt;="&amp;DATE(YEAR(主页!$D$2),1,1),当年实际!$C:$C,"&lt;="&amp;EOMONTH(DATE(YEAR(主页!$D$2),MONTH(主页!$D$2),1),0))/SUMIFS(当年实际!$P:$P,当年实际!$H:$H,$B229,当年实际!$C:$C,"&gt;="&amp;DATE(YEAR(主页!$D$2),1,1),当年实际!$C:$C,"&lt;="&amp;EOMONTH(DATE(YEAR(主页!$D$2),MONTH(主页!$D$2),1),0)),"")</f>
        <v/>
      </c>
    </row>
    <row r="230" spans="1:10" x14ac:dyDescent="0.3">
      <c r="A230" s="135"/>
      <c r="B230" s="136"/>
      <c r="C230" s="138"/>
      <c r="D230" s="139"/>
      <c r="E230" s="141" t="str">
        <f t="shared" si="11"/>
        <v/>
      </c>
      <c r="F230" s="144"/>
      <c r="G230" s="146">
        <f t="shared" si="9"/>
        <v>0</v>
      </c>
      <c r="H230" s="141" t="str">
        <f t="shared" si="10"/>
        <v/>
      </c>
      <c r="J230" s="148" t="str">
        <f>IFERROR(SUMIFS(当年实际!$V:$V,当年实际!$H:$H,$B230,当年实际!$C:$C,"&gt;="&amp;DATE(YEAR(主页!$D$2),1,1),当年实际!$C:$C,"&lt;="&amp;EOMONTH(DATE(YEAR(主页!$D$2),MONTH(主页!$D$2),1),0))/SUMIFS(当年实际!$P:$P,当年实际!$H:$H,$B230,当年实际!$C:$C,"&gt;="&amp;DATE(YEAR(主页!$D$2),1,1),当年实际!$C:$C,"&lt;="&amp;EOMONTH(DATE(YEAR(主页!$D$2),MONTH(主页!$D$2),1),0)),"")</f>
        <v/>
      </c>
    </row>
    <row r="231" spans="1:10" x14ac:dyDescent="0.3">
      <c r="A231" s="135"/>
      <c r="B231" s="136"/>
      <c r="C231" s="138"/>
      <c r="D231" s="139"/>
      <c r="E231" s="141" t="str">
        <f t="shared" si="11"/>
        <v/>
      </c>
      <c r="F231" s="144"/>
      <c r="G231" s="146">
        <f t="shared" si="9"/>
        <v>0</v>
      </c>
      <c r="H231" s="141" t="str">
        <f t="shared" si="10"/>
        <v/>
      </c>
      <c r="J231" s="148" t="str">
        <f>IFERROR(SUMIFS(当年实际!$V:$V,当年实际!$H:$H,$B231,当年实际!$C:$C,"&gt;="&amp;DATE(YEAR(主页!$D$2),1,1),当年实际!$C:$C,"&lt;="&amp;EOMONTH(DATE(YEAR(主页!$D$2),MONTH(主页!$D$2),1),0))/SUMIFS(当年实际!$P:$P,当年实际!$H:$H,$B231,当年实际!$C:$C,"&gt;="&amp;DATE(YEAR(主页!$D$2),1,1),当年实际!$C:$C,"&lt;="&amp;EOMONTH(DATE(YEAR(主页!$D$2),MONTH(主页!$D$2),1),0)),"")</f>
        <v/>
      </c>
    </row>
    <row r="232" spans="1:10" x14ac:dyDescent="0.3">
      <c r="A232" s="135"/>
      <c r="B232" s="136"/>
      <c r="C232" s="138"/>
      <c r="D232" s="139"/>
      <c r="E232" s="141" t="str">
        <f t="shared" si="11"/>
        <v/>
      </c>
      <c r="F232" s="144"/>
      <c r="G232" s="146">
        <f t="shared" si="9"/>
        <v>0</v>
      </c>
      <c r="H232" s="141" t="str">
        <f t="shared" si="10"/>
        <v/>
      </c>
      <c r="J232" s="148" t="str">
        <f>IFERROR(SUMIFS(当年实际!$V:$V,当年实际!$H:$H,$B232,当年实际!$C:$C,"&gt;="&amp;DATE(YEAR(主页!$D$2),1,1),当年实际!$C:$C,"&lt;="&amp;EOMONTH(DATE(YEAR(主页!$D$2),MONTH(主页!$D$2),1),0))/SUMIFS(当年实际!$P:$P,当年实际!$H:$H,$B232,当年实际!$C:$C,"&gt;="&amp;DATE(YEAR(主页!$D$2),1,1),当年实际!$C:$C,"&lt;="&amp;EOMONTH(DATE(YEAR(主页!$D$2),MONTH(主页!$D$2),1),0)),"")</f>
        <v/>
      </c>
    </row>
    <row r="233" spans="1:10" x14ac:dyDescent="0.3">
      <c r="A233" s="135"/>
      <c r="B233" s="136"/>
      <c r="C233" s="138"/>
      <c r="D233" s="139"/>
      <c r="E233" s="141" t="str">
        <f t="shared" si="11"/>
        <v/>
      </c>
      <c r="F233" s="144"/>
      <c r="G233" s="146">
        <f t="shared" si="9"/>
        <v>0</v>
      </c>
      <c r="H233" s="141" t="str">
        <f t="shared" si="10"/>
        <v/>
      </c>
      <c r="J233" s="148" t="str">
        <f>IFERROR(SUMIFS(当年实际!$V:$V,当年实际!$H:$H,$B233,当年实际!$C:$C,"&gt;="&amp;DATE(YEAR(主页!$D$2),1,1),当年实际!$C:$C,"&lt;="&amp;EOMONTH(DATE(YEAR(主页!$D$2),MONTH(主页!$D$2),1),0))/SUMIFS(当年实际!$P:$P,当年实际!$H:$H,$B233,当年实际!$C:$C,"&gt;="&amp;DATE(YEAR(主页!$D$2),1,1),当年实际!$C:$C,"&lt;="&amp;EOMONTH(DATE(YEAR(主页!$D$2),MONTH(主页!$D$2),1),0)),"")</f>
        <v/>
      </c>
    </row>
    <row r="234" spans="1:10" x14ac:dyDescent="0.3">
      <c r="A234" s="135"/>
      <c r="B234" s="136"/>
      <c r="C234" s="138"/>
      <c r="D234" s="139"/>
      <c r="E234" s="141" t="str">
        <f t="shared" si="11"/>
        <v/>
      </c>
      <c r="F234" s="144"/>
      <c r="G234" s="146">
        <f t="shared" si="9"/>
        <v>0</v>
      </c>
      <c r="H234" s="141" t="str">
        <f t="shared" si="10"/>
        <v/>
      </c>
      <c r="J234" s="148" t="str">
        <f>IFERROR(SUMIFS(当年实际!$V:$V,当年实际!$H:$H,$B234,当年实际!$C:$C,"&gt;="&amp;DATE(YEAR(主页!$D$2),1,1),当年实际!$C:$C,"&lt;="&amp;EOMONTH(DATE(YEAR(主页!$D$2),MONTH(主页!$D$2),1),0))/SUMIFS(当年实际!$P:$P,当年实际!$H:$H,$B234,当年实际!$C:$C,"&gt;="&amp;DATE(YEAR(主页!$D$2),1,1),当年实际!$C:$C,"&lt;="&amp;EOMONTH(DATE(YEAR(主页!$D$2),MONTH(主页!$D$2),1),0)),"")</f>
        <v/>
      </c>
    </row>
    <row r="235" spans="1:10" x14ac:dyDescent="0.3">
      <c r="A235" s="135"/>
      <c r="B235" s="136"/>
      <c r="C235" s="138"/>
      <c r="D235" s="139"/>
      <c r="E235" s="141" t="str">
        <f t="shared" si="11"/>
        <v/>
      </c>
      <c r="F235" s="144"/>
      <c r="G235" s="146">
        <f t="shared" si="9"/>
        <v>0</v>
      </c>
      <c r="H235" s="141" t="str">
        <f t="shared" si="10"/>
        <v/>
      </c>
      <c r="J235" s="148" t="str">
        <f>IFERROR(SUMIFS(当年实际!$V:$V,当年实际!$H:$H,$B235,当年实际!$C:$C,"&gt;="&amp;DATE(YEAR(主页!$D$2),1,1),当年实际!$C:$C,"&lt;="&amp;EOMONTH(DATE(YEAR(主页!$D$2),MONTH(主页!$D$2),1),0))/SUMIFS(当年实际!$P:$P,当年实际!$H:$H,$B235,当年实际!$C:$C,"&gt;="&amp;DATE(YEAR(主页!$D$2),1,1),当年实际!$C:$C,"&lt;="&amp;EOMONTH(DATE(YEAR(主页!$D$2),MONTH(主页!$D$2),1),0)),"")</f>
        <v/>
      </c>
    </row>
    <row r="236" spans="1:10" x14ac:dyDescent="0.3">
      <c r="A236" s="135"/>
      <c r="B236" s="136"/>
      <c r="C236" s="138"/>
      <c r="D236" s="139"/>
      <c r="E236" s="141" t="str">
        <f t="shared" si="11"/>
        <v/>
      </c>
      <c r="F236" s="144"/>
      <c r="G236" s="146">
        <f t="shared" si="9"/>
        <v>0</v>
      </c>
      <c r="H236" s="141" t="str">
        <f t="shared" si="10"/>
        <v/>
      </c>
      <c r="J236" s="148" t="str">
        <f>IFERROR(SUMIFS(当年实际!$V:$V,当年实际!$H:$H,$B236,当年实际!$C:$C,"&gt;="&amp;DATE(YEAR(主页!$D$2),1,1),当年实际!$C:$C,"&lt;="&amp;EOMONTH(DATE(YEAR(主页!$D$2),MONTH(主页!$D$2),1),0))/SUMIFS(当年实际!$P:$P,当年实际!$H:$H,$B236,当年实际!$C:$C,"&gt;="&amp;DATE(YEAR(主页!$D$2),1,1),当年实际!$C:$C,"&lt;="&amp;EOMONTH(DATE(YEAR(主页!$D$2),MONTH(主页!$D$2),1),0)),"")</f>
        <v/>
      </c>
    </row>
    <row r="237" spans="1:10" x14ac:dyDescent="0.3">
      <c r="A237" s="135"/>
      <c r="B237" s="136"/>
      <c r="C237" s="138"/>
      <c r="D237" s="139"/>
      <c r="E237" s="141" t="str">
        <f t="shared" si="11"/>
        <v/>
      </c>
      <c r="F237" s="144"/>
      <c r="G237" s="146">
        <f t="shared" si="9"/>
        <v>0</v>
      </c>
      <c r="H237" s="141" t="str">
        <f t="shared" si="10"/>
        <v/>
      </c>
      <c r="J237" s="148" t="str">
        <f>IFERROR(SUMIFS(当年实际!$V:$V,当年实际!$H:$H,$B237,当年实际!$C:$C,"&gt;="&amp;DATE(YEAR(主页!$D$2),1,1),当年实际!$C:$C,"&lt;="&amp;EOMONTH(DATE(YEAR(主页!$D$2),MONTH(主页!$D$2),1),0))/SUMIFS(当年实际!$P:$P,当年实际!$H:$H,$B237,当年实际!$C:$C,"&gt;="&amp;DATE(YEAR(主页!$D$2),1,1),当年实际!$C:$C,"&lt;="&amp;EOMONTH(DATE(YEAR(主页!$D$2),MONTH(主页!$D$2),1),0)),"")</f>
        <v/>
      </c>
    </row>
    <row r="238" spans="1:10" x14ac:dyDescent="0.3">
      <c r="A238" s="135"/>
      <c r="B238" s="136"/>
      <c r="C238" s="138"/>
      <c r="D238" s="139"/>
      <c r="E238" s="141" t="str">
        <f t="shared" si="11"/>
        <v/>
      </c>
      <c r="F238" s="144"/>
      <c r="G238" s="146">
        <f t="shared" si="9"/>
        <v>0</v>
      </c>
      <c r="H238" s="141" t="str">
        <f t="shared" si="10"/>
        <v/>
      </c>
      <c r="J238" s="148" t="str">
        <f>IFERROR(SUMIFS(当年实际!$V:$V,当年实际!$H:$H,$B238,当年实际!$C:$C,"&gt;="&amp;DATE(YEAR(主页!$D$2),1,1),当年实际!$C:$C,"&lt;="&amp;EOMONTH(DATE(YEAR(主页!$D$2),MONTH(主页!$D$2),1),0))/SUMIFS(当年实际!$P:$P,当年实际!$H:$H,$B238,当年实际!$C:$C,"&gt;="&amp;DATE(YEAR(主页!$D$2),1,1),当年实际!$C:$C,"&lt;="&amp;EOMONTH(DATE(YEAR(主页!$D$2),MONTH(主页!$D$2),1),0)),"")</f>
        <v/>
      </c>
    </row>
    <row r="239" spans="1:10" x14ac:dyDescent="0.3">
      <c r="A239" s="135"/>
      <c r="B239" s="136"/>
      <c r="C239" s="138"/>
      <c r="D239" s="139"/>
      <c r="E239" s="141" t="str">
        <f t="shared" si="11"/>
        <v/>
      </c>
      <c r="F239" s="144"/>
      <c r="G239" s="146">
        <f t="shared" si="9"/>
        <v>0</v>
      </c>
      <c r="H239" s="141" t="str">
        <f t="shared" si="10"/>
        <v/>
      </c>
      <c r="J239" s="148" t="str">
        <f>IFERROR(SUMIFS(当年实际!$V:$V,当年实际!$H:$H,$B239,当年实际!$C:$C,"&gt;="&amp;DATE(YEAR(主页!$D$2),1,1),当年实际!$C:$C,"&lt;="&amp;EOMONTH(DATE(YEAR(主页!$D$2),MONTH(主页!$D$2),1),0))/SUMIFS(当年实际!$P:$P,当年实际!$H:$H,$B239,当年实际!$C:$C,"&gt;="&amp;DATE(YEAR(主页!$D$2),1,1),当年实际!$C:$C,"&lt;="&amp;EOMONTH(DATE(YEAR(主页!$D$2),MONTH(主页!$D$2),1),0)),"")</f>
        <v/>
      </c>
    </row>
    <row r="240" spans="1:10" x14ac:dyDescent="0.3">
      <c r="A240" s="135"/>
      <c r="B240" s="136"/>
      <c r="C240" s="138"/>
      <c r="D240" s="139"/>
      <c r="E240" s="141" t="str">
        <f t="shared" si="11"/>
        <v/>
      </c>
      <c r="F240" s="144"/>
      <c r="G240" s="146">
        <f t="shared" si="9"/>
        <v>0</v>
      </c>
      <c r="H240" s="141" t="str">
        <f t="shared" si="10"/>
        <v/>
      </c>
      <c r="J240" s="148" t="str">
        <f>IFERROR(SUMIFS(当年实际!$V:$V,当年实际!$H:$H,$B240,当年实际!$C:$C,"&gt;="&amp;DATE(YEAR(主页!$D$2),1,1),当年实际!$C:$C,"&lt;="&amp;EOMONTH(DATE(YEAR(主页!$D$2),MONTH(主页!$D$2),1),0))/SUMIFS(当年实际!$P:$P,当年实际!$H:$H,$B240,当年实际!$C:$C,"&gt;="&amp;DATE(YEAR(主页!$D$2),1,1),当年实际!$C:$C,"&lt;="&amp;EOMONTH(DATE(YEAR(主页!$D$2),MONTH(主页!$D$2),1),0)),"")</f>
        <v/>
      </c>
    </row>
    <row r="241" spans="1:10" x14ac:dyDescent="0.3">
      <c r="A241" s="135"/>
      <c r="B241" s="136"/>
      <c r="C241" s="138"/>
      <c r="D241" s="139"/>
      <c r="E241" s="141" t="str">
        <f t="shared" si="11"/>
        <v/>
      </c>
      <c r="F241" s="144"/>
      <c r="G241" s="146">
        <f t="shared" si="9"/>
        <v>0</v>
      </c>
      <c r="H241" s="141" t="str">
        <f t="shared" si="10"/>
        <v/>
      </c>
      <c r="J241" s="148" t="str">
        <f>IFERROR(SUMIFS(当年实际!$V:$V,当年实际!$H:$H,$B241,当年实际!$C:$C,"&gt;="&amp;DATE(YEAR(主页!$D$2),1,1),当年实际!$C:$C,"&lt;="&amp;EOMONTH(DATE(YEAR(主页!$D$2),MONTH(主页!$D$2),1),0))/SUMIFS(当年实际!$P:$P,当年实际!$H:$H,$B241,当年实际!$C:$C,"&gt;="&amp;DATE(YEAR(主页!$D$2),1,1),当年实际!$C:$C,"&lt;="&amp;EOMONTH(DATE(YEAR(主页!$D$2),MONTH(主页!$D$2),1),0)),"")</f>
        <v/>
      </c>
    </row>
    <row r="242" spans="1:10" x14ac:dyDescent="0.3">
      <c r="A242" s="135"/>
      <c r="B242" s="136"/>
      <c r="C242" s="138"/>
      <c r="D242" s="139"/>
      <c r="E242" s="141" t="str">
        <f t="shared" si="11"/>
        <v/>
      </c>
      <c r="F242" s="144"/>
      <c r="G242" s="146">
        <f t="shared" si="9"/>
        <v>0</v>
      </c>
      <c r="H242" s="141" t="str">
        <f t="shared" si="10"/>
        <v/>
      </c>
      <c r="J242" s="148" t="str">
        <f>IFERROR(SUMIFS(当年实际!$V:$V,当年实际!$H:$H,$B242,当年实际!$C:$C,"&gt;="&amp;DATE(YEAR(主页!$D$2),1,1),当年实际!$C:$C,"&lt;="&amp;EOMONTH(DATE(YEAR(主页!$D$2),MONTH(主页!$D$2),1),0))/SUMIFS(当年实际!$P:$P,当年实际!$H:$H,$B242,当年实际!$C:$C,"&gt;="&amp;DATE(YEAR(主页!$D$2),1,1),当年实际!$C:$C,"&lt;="&amp;EOMONTH(DATE(YEAR(主页!$D$2),MONTH(主页!$D$2),1),0)),"")</f>
        <v/>
      </c>
    </row>
    <row r="243" spans="1:10" x14ac:dyDescent="0.3">
      <c r="A243" s="135"/>
      <c r="B243" s="136"/>
      <c r="C243" s="138"/>
      <c r="D243" s="139"/>
      <c r="E243" s="141" t="str">
        <f t="shared" si="11"/>
        <v/>
      </c>
      <c r="F243" s="144"/>
      <c r="G243" s="146">
        <f t="shared" si="9"/>
        <v>0</v>
      </c>
      <c r="H243" s="141" t="str">
        <f t="shared" si="10"/>
        <v/>
      </c>
      <c r="J243" s="148" t="str">
        <f>IFERROR(SUMIFS(当年实际!$V:$V,当年实际!$H:$H,$B243,当年实际!$C:$C,"&gt;="&amp;DATE(YEAR(主页!$D$2),1,1),当年实际!$C:$C,"&lt;="&amp;EOMONTH(DATE(YEAR(主页!$D$2),MONTH(主页!$D$2),1),0))/SUMIFS(当年实际!$P:$P,当年实际!$H:$H,$B243,当年实际!$C:$C,"&gt;="&amp;DATE(YEAR(主页!$D$2),1,1),当年实际!$C:$C,"&lt;="&amp;EOMONTH(DATE(YEAR(主页!$D$2),MONTH(主页!$D$2),1),0)),"")</f>
        <v/>
      </c>
    </row>
    <row r="244" spans="1:10" x14ac:dyDescent="0.3">
      <c r="A244" s="135"/>
      <c r="B244" s="136"/>
      <c r="C244" s="138"/>
      <c r="D244" s="139"/>
      <c r="E244" s="141" t="str">
        <f t="shared" si="11"/>
        <v/>
      </c>
      <c r="F244" s="144"/>
      <c r="G244" s="146">
        <f t="shared" si="9"/>
        <v>0</v>
      </c>
      <c r="H244" s="141" t="str">
        <f t="shared" si="10"/>
        <v/>
      </c>
      <c r="J244" s="148" t="str">
        <f>IFERROR(SUMIFS(当年实际!$V:$V,当年实际!$H:$H,$B244,当年实际!$C:$C,"&gt;="&amp;DATE(YEAR(主页!$D$2),1,1),当年实际!$C:$C,"&lt;="&amp;EOMONTH(DATE(YEAR(主页!$D$2),MONTH(主页!$D$2),1),0))/SUMIFS(当年实际!$P:$P,当年实际!$H:$H,$B244,当年实际!$C:$C,"&gt;="&amp;DATE(YEAR(主页!$D$2),1,1),当年实际!$C:$C,"&lt;="&amp;EOMONTH(DATE(YEAR(主页!$D$2),MONTH(主页!$D$2),1),0)),"")</f>
        <v/>
      </c>
    </row>
    <row r="245" spans="1:10" x14ac:dyDescent="0.3">
      <c r="A245" s="135"/>
      <c r="B245" s="136"/>
      <c r="C245" s="138"/>
      <c r="D245" s="139"/>
      <c r="E245" s="141" t="str">
        <f t="shared" si="11"/>
        <v/>
      </c>
      <c r="F245" s="144"/>
      <c r="G245" s="146">
        <f t="shared" si="9"/>
        <v>0</v>
      </c>
      <c r="H245" s="141" t="str">
        <f t="shared" si="10"/>
        <v/>
      </c>
      <c r="J245" s="148" t="str">
        <f>IFERROR(SUMIFS(当年实际!$V:$V,当年实际!$H:$H,$B245,当年实际!$C:$C,"&gt;="&amp;DATE(YEAR(主页!$D$2),1,1),当年实际!$C:$C,"&lt;="&amp;EOMONTH(DATE(YEAR(主页!$D$2),MONTH(主页!$D$2),1),0))/SUMIFS(当年实际!$P:$P,当年实际!$H:$H,$B245,当年实际!$C:$C,"&gt;="&amp;DATE(YEAR(主页!$D$2),1,1),当年实际!$C:$C,"&lt;="&amp;EOMONTH(DATE(YEAR(主页!$D$2),MONTH(主页!$D$2),1),0)),"")</f>
        <v/>
      </c>
    </row>
    <row r="246" spans="1:10" x14ac:dyDescent="0.3">
      <c r="A246" s="135"/>
      <c r="B246" s="136"/>
      <c r="C246" s="138"/>
      <c r="D246" s="139"/>
      <c r="E246" s="141" t="str">
        <f t="shared" si="11"/>
        <v/>
      </c>
      <c r="F246" s="144"/>
      <c r="G246" s="146">
        <f t="shared" si="9"/>
        <v>0</v>
      </c>
      <c r="H246" s="141" t="str">
        <f t="shared" si="10"/>
        <v/>
      </c>
      <c r="J246" s="148" t="str">
        <f>IFERROR(SUMIFS(当年实际!$V:$V,当年实际!$H:$H,$B246,当年实际!$C:$C,"&gt;="&amp;DATE(YEAR(主页!$D$2),1,1),当年实际!$C:$C,"&lt;="&amp;EOMONTH(DATE(YEAR(主页!$D$2),MONTH(主页!$D$2),1),0))/SUMIFS(当年实际!$P:$P,当年实际!$H:$H,$B246,当年实际!$C:$C,"&gt;="&amp;DATE(YEAR(主页!$D$2),1,1),当年实际!$C:$C,"&lt;="&amp;EOMONTH(DATE(YEAR(主页!$D$2),MONTH(主页!$D$2),1),0)),"")</f>
        <v/>
      </c>
    </row>
    <row r="247" spans="1:10" x14ac:dyDescent="0.3">
      <c r="A247" s="135"/>
      <c r="B247" s="136"/>
      <c r="C247" s="138"/>
      <c r="D247" s="139"/>
      <c r="E247" s="141" t="str">
        <f t="shared" si="11"/>
        <v/>
      </c>
      <c r="F247" s="144"/>
      <c r="G247" s="146">
        <f t="shared" si="9"/>
        <v>0</v>
      </c>
      <c r="H247" s="141" t="str">
        <f t="shared" si="10"/>
        <v/>
      </c>
      <c r="J247" s="148" t="str">
        <f>IFERROR(SUMIFS(当年实际!$V:$V,当年实际!$H:$H,$B247,当年实际!$C:$C,"&gt;="&amp;DATE(YEAR(主页!$D$2),1,1),当年实际!$C:$C,"&lt;="&amp;EOMONTH(DATE(YEAR(主页!$D$2),MONTH(主页!$D$2),1),0))/SUMIFS(当年实际!$P:$P,当年实际!$H:$H,$B247,当年实际!$C:$C,"&gt;="&amp;DATE(YEAR(主页!$D$2),1,1),当年实际!$C:$C,"&lt;="&amp;EOMONTH(DATE(YEAR(主页!$D$2),MONTH(主页!$D$2),1),0)),"")</f>
        <v/>
      </c>
    </row>
    <row r="248" spans="1:10" x14ac:dyDescent="0.3">
      <c r="A248" s="135"/>
      <c r="B248" s="136"/>
      <c r="C248" s="138"/>
      <c r="D248" s="139"/>
      <c r="E248" s="141" t="str">
        <f t="shared" si="11"/>
        <v/>
      </c>
      <c r="F248" s="144"/>
      <c r="G248" s="146">
        <f t="shared" si="9"/>
        <v>0</v>
      </c>
      <c r="H248" s="141" t="str">
        <f t="shared" si="10"/>
        <v/>
      </c>
      <c r="J248" s="148" t="str">
        <f>IFERROR(SUMIFS(当年实际!$V:$V,当年实际!$H:$H,$B248,当年实际!$C:$C,"&gt;="&amp;DATE(YEAR(主页!$D$2),1,1),当年实际!$C:$C,"&lt;="&amp;EOMONTH(DATE(YEAR(主页!$D$2),MONTH(主页!$D$2),1),0))/SUMIFS(当年实际!$P:$P,当年实际!$H:$H,$B248,当年实际!$C:$C,"&gt;="&amp;DATE(YEAR(主页!$D$2),1,1),当年实际!$C:$C,"&lt;="&amp;EOMONTH(DATE(YEAR(主页!$D$2),MONTH(主页!$D$2),1),0)),"")</f>
        <v/>
      </c>
    </row>
    <row r="249" spans="1:10" x14ac:dyDescent="0.3">
      <c r="A249" s="135"/>
      <c r="B249" s="136"/>
      <c r="C249" s="138"/>
      <c r="D249" s="139"/>
      <c r="E249" s="141" t="str">
        <f t="shared" si="11"/>
        <v/>
      </c>
      <c r="F249" s="144"/>
      <c r="G249" s="146">
        <f t="shared" si="9"/>
        <v>0</v>
      </c>
      <c r="H249" s="141" t="str">
        <f t="shared" si="10"/>
        <v/>
      </c>
      <c r="J249" s="148" t="str">
        <f>IFERROR(SUMIFS(当年实际!$V:$V,当年实际!$H:$H,$B249,当年实际!$C:$C,"&gt;="&amp;DATE(YEAR(主页!$D$2),1,1),当年实际!$C:$C,"&lt;="&amp;EOMONTH(DATE(YEAR(主页!$D$2),MONTH(主页!$D$2),1),0))/SUMIFS(当年实际!$P:$P,当年实际!$H:$H,$B249,当年实际!$C:$C,"&gt;="&amp;DATE(YEAR(主页!$D$2),1,1),当年实际!$C:$C,"&lt;="&amp;EOMONTH(DATE(YEAR(主页!$D$2),MONTH(主页!$D$2),1),0)),"")</f>
        <v/>
      </c>
    </row>
    <row r="250" spans="1:10" x14ac:dyDescent="0.3">
      <c r="A250" s="135"/>
      <c r="B250" s="136"/>
      <c r="C250" s="138"/>
      <c r="D250" s="139"/>
      <c r="E250" s="141" t="str">
        <f t="shared" si="11"/>
        <v/>
      </c>
      <c r="F250" s="144"/>
      <c r="G250" s="146">
        <f t="shared" si="9"/>
        <v>0</v>
      </c>
      <c r="H250" s="141" t="str">
        <f t="shared" si="10"/>
        <v/>
      </c>
      <c r="J250" s="148" t="str">
        <f>IFERROR(SUMIFS(当年实际!$V:$V,当年实际!$H:$H,$B250,当年实际!$C:$C,"&gt;="&amp;DATE(YEAR(主页!$D$2),1,1),当年实际!$C:$C,"&lt;="&amp;EOMONTH(DATE(YEAR(主页!$D$2),MONTH(主页!$D$2),1),0))/SUMIFS(当年实际!$P:$P,当年实际!$H:$H,$B250,当年实际!$C:$C,"&gt;="&amp;DATE(YEAR(主页!$D$2),1,1),当年实际!$C:$C,"&lt;="&amp;EOMONTH(DATE(YEAR(主页!$D$2),MONTH(主页!$D$2),1),0)),"")</f>
        <v/>
      </c>
    </row>
    <row r="251" spans="1:10" x14ac:dyDescent="0.3">
      <c r="A251" s="135"/>
      <c r="B251" s="136"/>
      <c r="C251" s="138"/>
      <c r="D251" s="139"/>
      <c r="E251" s="141" t="str">
        <f t="shared" si="11"/>
        <v/>
      </c>
      <c r="F251" s="144"/>
      <c r="G251" s="146">
        <f t="shared" si="9"/>
        <v>0</v>
      </c>
      <c r="H251" s="141" t="str">
        <f t="shared" si="10"/>
        <v/>
      </c>
      <c r="J251" s="148" t="str">
        <f>IFERROR(SUMIFS(当年实际!$V:$V,当年实际!$H:$H,$B251,当年实际!$C:$C,"&gt;="&amp;DATE(YEAR(主页!$D$2),1,1),当年实际!$C:$C,"&lt;="&amp;EOMONTH(DATE(YEAR(主页!$D$2),MONTH(主页!$D$2),1),0))/SUMIFS(当年实际!$P:$P,当年实际!$H:$H,$B251,当年实际!$C:$C,"&gt;="&amp;DATE(YEAR(主页!$D$2),1,1),当年实际!$C:$C,"&lt;="&amp;EOMONTH(DATE(YEAR(主页!$D$2),MONTH(主页!$D$2),1),0)),"")</f>
        <v/>
      </c>
    </row>
    <row r="252" spans="1:10" x14ac:dyDescent="0.3">
      <c r="A252" s="135"/>
      <c r="B252" s="136"/>
      <c r="C252" s="138"/>
      <c r="D252" s="139"/>
      <c r="E252" s="141" t="str">
        <f t="shared" si="11"/>
        <v/>
      </c>
      <c r="F252" s="144"/>
      <c r="G252" s="146">
        <f t="shared" si="9"/>
        <v>0</v>
      </c>
      <c r="H252" s="141" t="str">
        <f t="shared" si="10"/>
        <v/>
      </c>
      <c r="J252" s="148" t="str">
        <f>IFERROR(SUMIFS(当年实际!$V:$V,当年实际!$H:$H,$B252,当年实际!$C:$C,"&gt;="&amp;DATE(YEAR(主页!$D$2),1,1),当年实际!$C:$C,"&lt;="&amp;EOMONTH(DATE(YEAR(主页!$D$2),MONTH(主页!$D$2),1),0))/SUMIFS(当年实际!$P:$P,当年实际!$H:$H,$B252,当年实际!$C:$C,"&gt;="&amp;DATE(YEAR(主页!$D$2),1,1),当年实际!$C:$C,"&lt;="&amp;EOMONTH(DATE(YEAR(主页!$D$2),MONTH(主页!$D$2),1),0)),"")</f>
        <v/>
      </c>
    </row>
    <row r="253" spans="1:10" x14ac:dyDescent="0.3">
      <c r="A253" s="135"/>
      <c r="B253" s="136"/>
      <c r="C253" s="138"/>
      <c r="D253" s="139"/>
      <c r="E253" s="141" t="str">
        <f t="shared" si="11"/>
        <v/>
      </c>
      <c r="F253" s="144"/>
      <c r="G253" s="146">
        <f t="shared" si="9"/>
        <v>0</v>
      </c>
      <c r="H253" s="141" t="str">
        <f t="shared" si="10"/>
        <v/>
      </c>
      <c r="J253" s="148" t="str">
        <f>IFERROR(SUMIFS(当年实际!$V:$V,当年实际!$H:$H,$B253,当年实际!$C:$C,"&gt;="&amp;DATE(YEAR(主页!$D$2),1,1),当年实际!$C:$C,"&lt;="&amp;EOMONTH(DATE(YEAR(主页!$D$2),MONTH(主页!$D$2),1),0))/SUMIFS(当年实际!$P:$P,当年实际!$H:$H,$B253,当年实际!$C:$C,"&gt;="&amp;DATE(YEAR(主页!$D$2),1,1),当年实际!$C:$C,"&lt;="&amp;EOMONTH(DATE(YEAR(主页!$D$2),MONTH(主页!$D$2),1),0)),"")</f>
        <v/>
      </c>
    </row>
    <row r="254" spans="1:10" x14ac:dyDescent="0.3">
      <c r="A254" s="135"/>
      <c r="B254" s="136"/>
      <c r="C254" s="138"/>
      <c r="D254" s="139"/>
      <c r="E254" s="141" t="str">
        <f t="shared" si="11"/>
        <v/>
      </c>
      <c r="F254" s="144"/>
      <c r="G254" s="146">
        <f t="shared" si="9"/>
        <v>0</v>
      </c>
      <c r="H254" s="141" t="str">
        <f t="shared" si="10"/>
        <v/>
      </c>
      <c r="J254" s="148" t="str">
        <f>IFERROR(SUMIFS(当年实际!$V:$V,当年实际!$H:$H,$B254,当年实际!$C:$C,"&gt;="&amp;DATE(YEAR(主页!$D$2),1,1),当年实际!$C:$C,"&lt;="&amp;EOMONTH(DATE(YEAR(主页!$D$2),MONTH(主页!$D$2),1),0))/SUMIFS(当年实际!$P:$P,当年实际!$H:$H,$B254,当年实际!$C:$C,"&gt;="&amp;DATE(YEAR(主页!$D$2),1,1),当年实际!$C:$C,"&lt;="&amp;EOMONTH(DATE(YEAR(主页!$D$2),MONTH(主页!$D$2),1),0)),"")</f>
        <v/>
      </c>
    </row>
    <row r="255" spans="1:10" x14ac:dyDescent="0.3">
      <c r="A255" s="135"/>
      <c r="B255" s="136"/>
      <c r="C255" s="138"/>
      <c r="D255" s="139"/>
      <c r="E255" s="141" t="str">
        <f t="shared" si="11"/>
        <v/>
      </c>
      <c r="F255" s="144"/>
      <c r="G255" s="146">
        <f t="shared" si="9"/>
        <v>0</v>
      </c>
      <c r="H255" s="141" t="str">
        <f t="shared" si="10"/>
        <v/>
      </c>
      <c r="J255" s="148" t="str">
        <f>IFERROR(SUMIFS(当年实际!$V:$V,当年实际!$H:$H,$B255,当年实际!$C:$C,"&gt;="&amp;DATE(YEAR(主页!$D$2),1,1),当年实际!$C:$C,"&lt;="&amp;EOMONTH(DATE(YEAR(主页!$D$2),MONTH(主页!$D$2),1),0))/SUMIFS(当年实际!$P:$P,当年实际!$H:$H,$B255,当年实际!$C:$C,"&gt;="&amp;DATE(YEAR(主页!$D$2),1,1),当年实际!$C:$C,"&lt;="&amp;EOMONTH(DATE(YEAR(主页!$D$2),MONTH(主页!$D$2),1),0)),"")</f>
        <v/>
      </c>
    </row>
    <row r="256" spans="1:10" x14ac:dyDescent="0.3">
      <c r="A256" s="135"/>
      <c r="B256" s="136"/>
      <c r="C256" s="138"/>
      <c r="D256" s="139"/>
      <c r="E256" s="141" t="str">
        <f t="shared" si="11"/>
        <v/>
      </c>
      <c r="F256" s="144"/>
      <c r="G256" s="146">
        <f t="shared" si="9"/>
        <v>0</v>
      </c>
      <c r="H256" s="141" t="str">
        <f t="shared" si="10"/>
        <v/>
      </c>
      <c r="J256" s="148" t="str">
        <f>IFERROR(SUMIFS(当年实际!$V:$V,当年实际!$H:$H,$B256,当年实际!$C:$C,"&gt;="&amp;DATE(YEAR(主页!$D$2),1,1),当年实际!$C:$C,"&lt;="&amp;EOMONTH(DATE(YEAR(主页!$D$2),MONTH(主页!$D$2),1),0))/SUMIFS(当年实际!$P:$P,当年实际!$H:$H,$B256,当年实际!$C:$C,"&gt;="&amp;DATE(YEAR(主页!$D$2),1,1),当年实际!$C:$C,"&lt;="&amp;EOMONTH(DATE(YEAR(主页!$D$2),MONTH(主页!$D$2),1),0)),"")</f>
        <v/>
      </c>
    </row>
    <row r="257" spans="1:10" x14ac:dyDescent="0.3">
      <c r="A257" s="135"/>
      <c r="B257" s="136"/>
      <c r="C257" s="138"/>
      <c r="D257" s="139"/>
      <c r="E257" s="141" t="str">
        <f t="shared" si="11"/>
        <v/>
      </c>
      <c r="F257" s="144"/>
      <c r="G257" s="146">
        <f t="shared" si="9"/>
        <v>0</v>
      </c>
      <c r="H257" s="141" t="str">
        <f t="shared" si="10"/>
        <v/>
      </c>
      <c r="J257" s="148" t="str">
        <f>IFERROR(SUMIFS(当年实际!$V:$V,当年实际!$H:$H,$B257,当年实际!$C:$C,"&gt;="&amp;DATE(YEAR(主页!$D$2),1,1),当年实际!$C:$C,"&lt;="&amp;EOMONTH(DATE(YEAR(主页!$D$2),MONTH(主页!$D$2),1),0))/SUMIFS(当年实际!$P:$P,当年实际!$H:$H,$B257,当年实际!$C:$C,"&gt;="&amp;DATE(YEAR(主页!$D$2),1,1),当年实际!$C:$C,"&lt;="&amp;EOMONTH(DATE(YEAR(主页!$D$2),MONTH(主页!$D$2),1),0)),"")</f>
        <v/>
      </c>
    </row>
    <row r="258" spans="1:10" x14ac:dyDescent="0.3">
      <c r="A258" s="135"/>
      <c r="B258" s="136"/>
      <c r="C258" s="138"/>
      <c r="D258" s="139"/>
      <c r="E258" s="141" t="str">
        <f t="shared" si="11"/>
        <v/>
      </c>
      <c r="F258" s="144"/>
      <c r="G258" s="146">
        <f t="shared" si="9"/>
        <v>0</v>
      </c>
      <c r="H258" s="141" t="str">
        <f t="shared" si="10"/>
        <v/>
      </c>
      <c r="J258" s="148" t="str">
        <f>IFERROR(SUMIFS(当年实际!$V:$V,当年实际!$H:$H,$B258,当年实际!$C:$C,"&gt;="&amp;DATE(YEAR(主页!$D$2),1,1),当年实际!$C:$C,"&lt;="&amp;EOMONTH(DATE(YEAR(主页!$D$2),MONTH(主页!$D$2),1),0))/SUMIFS(当年实际!$P:$P,当年实际!$H:$H,$B258,当年实际!$C:$C,"&gt;="&amp;DATE(YEAR(主页!$D$2),1,1),当年实际!$C:$C,"&lt;="&amp;EOMONTH(DATE(YEAR(主页!$D$2),MONTH(主页!$D$2),1),0)),"")</f>
        <v/>
      </c>
    </row>
    <row r="259" spans="1:10" x14ac:dyDescent="0.3">
      <c r="A259" s="135"/>
      <c r="B259" s="136"/>
      <c r="C259" s="138"/>
      <c r="D259" s="139"/>
      <c r="E259" s="141" t="str">
        <f t="shared" si="11"/>
        <v/>
      </c>
      <c r="F259" s="144"/>
      <c r="G259" s="146">
        <f t="shared" si="9"/>
        <v>0</v>
      </c>
      <c r="H259" s="141" t="str">
        <f t="shared" si="10"/>
        <v/>
      </c>
      <c r="J259" s="148" t="str">
        <f>IFERROR(SUMIFS(当年实际!$V:$V,当年实际!$H:$H,$B259,当年实际!$C:$C,"&gt;="&amp;DATE(YEAR(主页!$D$2),1,1),当年实际!$C:$C,"&lt;="&amp;EOMONTH(DATE(YEAR(主页!$D$2),MONTH(主页!$D$2),1),0))/SUMIFS(当年实际!$P:$P,当年实际!$H:$H,$B259,当年实际!$C:$C,"&gt;="&amp;DATE(YEAR(主页!$D$2),1,1),当年实际!$C:$C,"&lt;="&amp;EOMONTH(DATE(YEAR(主页!$D$2),MONTH(主页!$D$2),1),0)),"")</f>
        <v/>
      </c>
    </row>
    <row r="260" spans="1:10" x14ac:dyDescent="0.3">
      <c r="A260" s="135"/>
      <c r="B260" s="136"/>
      <c r="C260" s="138"/>
      <c r="D260" s="139"/>
      <c r="E260" s="141" t="str">
        <f t="shared" si="11"/>
        <v/>
      </c>
      <c r="F260" s="144"/>
      <c r="G260" s="146">
        <f t="shared" si="9"/>
        <v>0</v>
      </c>
      <c r="H260" s="141" t="str">
        <f t="shared" si="10"/>
        <v/>
      </c>
      <c r="J260" s="148" t="str">
        <f>IFERROR(SUMIFS(当年实际!$V:$V,当年实际!$H:$H,$B260,当年实际!$C:$C,"&gt;="&amp;DATE(YEAR(主页!$D$2),1,1),当年实际!$C:$C,"&lt;="&amp;EOMONTH(DATE(YEAR(主页!$D$2),MONTH(主页!$D$2),1),0))/SUMIFS(当年实际!$P:$P,当年实际!$H:$H,$B260,当年实际!$C:$C,"&gt;="&amp;DATE(YEAR(主页!$D$2),1,1),当年实际!$C:$C,"&lt;="&amp;EOMONTH(DATE(YEAR(主页!$D$2),MONTH(主页!$D$2),1),0)),"")</f>
        <v/>
      </c>
    </row>
    <row r="261" spans="1:10" x14ac:dyDescent="0.3">
      <c r="A261" s="135"/>
      <c r="B261" s="136"/>
      <c r="C261" s="138"/>
      <c r="D261" s="139"/>
      <c r="E261" s="141" t="str">
        <f t="shared" si="11"/>
        <v/>
      </c>
      <c r="F261" s="144"/>
      <c r="G261" s="146">
        <f t="shared" ref="G261:G324" si="12">D261*F261</f>
        <v>0</v>
      </c>
      <c r="H261" s="141" t="str">
        <f t="shared" si="10"/>
        <v/>
      </c>
      <c r="J261" s="148" t="str">
        <f>IFERROR(SUMIFS(当年实际!$V:$V,当年实际!$H:$H,$B261,当年实际!$C:$C,"&gt;="&amp;DATE(YEAR(主页!$D$2),1,1),当年实际!$C:$C,"&lt;="&amp;EOMONTH(DATE(YEAR(主页!$D$2),MONTH(主页!$D$2),1),0))/SUMIFS(当年实际!$P:$P,当年实际!$H:$H,$B261,当年实际!$C:$C,"&gt;="&amp;DATE(YEAR(主页!$D$2),1,1),当年实际!$C:$C,"&lt;="&amp;EOMONTH(DATE(YEAR(主页!$D$2),MONTH(主页!$D$2),1),0)),"")</f>
        <v/>
      </c>
    </row>
    <row r="262" spans="1:10" x14ac:dyDescent="0.3">
      <c r="A262" s="135"/>
      <c r="B262" s="136"/>
      <c r="C262" s="138"/>
      <c r="D262" s="139"/>
      <c r="E262" s="141" t="str">
        <f t="shared" si="11"/>
        <v/>
      </c>
      <c r="F262" s="144"/>
      <c r="G262" s="146">
        <f t="shared" si="12"/>
        <v>0</v>
      </c>
      <c r="H262" s="141" t="str">
        <f t="shared" ref="H262:H325" si="13">IF(G262/SUM(G:G)=0,"",G262/SUM(G:G))</f>
        <v/>
      </c>
      <c r="J262" s="148" t="str">
        <f>IFERROR(SUMIFS(当年实际!$V:$V,当年实际!$H:$H,$B262,当年实际!$C:$C,"&gt;="&amp;DATE(YEAR(主页!$D$2),1,1),当年实际!$C:$C,"&lt;="&amp;EOMONTH(DATE(YEAR(主页!$D$2),MONTH(主页!$D$2),1),0))/SUMIFS(当年实际!$P:$P,当年实际!$H:$H,$B262,当年实际!$C:$C,"&gt;="&amp;DATE(YEAR(主页!$D$2),1,1),当年实际!$C:$C,"&lt;="&amp;EOMONTH(DATE(YEAR(主页!$D$2),MONTH(主页!$D$2),1),0)),"")</f>
        <v/>
      </c>
    </row>
    <row r="263" spans="1:10" x14ac:dyDescent="0.3">
      <c r="A263" s="135"/>
      <c r="B263" s="136"/>
      <c r="C263" s="138"/>
      <c r="D263" s="139"/>
      <c r="E263" s="141" t="str">
        <f t="shared" si="11"/>
        <v/>
      </c>
      <c r="F263" s="144"/>
      <c r="G263" s="146">
        <f t="shared" si="12"/>
        <v>0</v>
      </c>
      <c r="H263" s="141" t="str">
        <f t="shared" si="13"/>
        <v/>
      </c>
      <c r="J263" s="148" t="str">
        <f>IFERROR(SUMIFS(当年实际!$V:$V,当年实际!$H:$H,$B263,当年实际!$C:$C,"&gt;="&amp;DATE(YEAR(主页!$D$2),1,1),当年实际!$C:$C,"&lt;="&amp;EOMONTH(DATE(YEAR(主页!$D$2),MONTH(主页!$D$2),1),0))/SUMIFS(当年实际!$P:$P,当年实际!$H:$H,$B263,当年实际!$C:$C,"&gt;="&amp;DATE(YEAR(主页!$D$2),1,1),当年实际!$C:$C,"&lt;="&amp;EOMONTH(DATE(YEAR(主页!$D$2),MONTH(主页!$D$2),1),0)),"")</f>
        <v/>
      </c>
    </row>
    <row r="264" spans="1:10" x14ac:dyDescent="0.3">
      <c r="A264" s="135"/>
      <c r="B264" s="136"/>
      <c r="C264" s="138"/>
      <c r="D264" s="139"/>
      <c r="E264" s="141" t="str">
        <f t="shared" ref="E264:E327" si="14">IF(D264/SUM(D:D)=0,"",D264/SUM(D:D))</f>
        <v/>
      </c>
      <c r="F264" s="144"/>
      <c r="G264" s="146">
        <f t="shared" si="12"/>
        <v>0</v>
      </c>
      <c r="H264" s="141" t="str">
        <f t="shared" si="13"/>
        <v/>
      </c>
      <c r="J264" s="148" t="str">
        <f>IFERROR(SUMIFS(当年实际!$V:$V,当年实际!$H:$H,$B264,当年实际!$C:$C,"&gt;="&amp;DATE(YEAR(主页!$D$2),1,1),当年实际!$C:$C,"&lt;="&amp;EOMONTH(DATE(YEAR(主页!$D$2),MONTH(主页!$D$2),1),0))/SUMIFS(当年实际!$P:$P,当年实际!$H:$H,$B264,当年实际!$C:$C,"&gt;="&amp;DATE(YEAR(主页!$D$2),1,1),当年实际!$C:$C,"&lt;="&amp;EOMONTH(DATE(YEAR(主页!$D$2),MONTH(主页!$D$2),1),0)),"")</f>
        <v/>
      </c>
    </row>
    <row r="265" spans="1:10" x14ac:dyDescent="0.3">
      <c r="A265" s="135"/>
      <c r="B265" s="136"/>
      <c r="C265" s="138"/>
      <c r="D265" s="139"/>
      <c r="E265" s="141" t="str">
        <f t="shared" si="14"/>
        <v/>
      </c>
      <c r="F265" s="144"/>
      <c r="G265" s="146">
        <f t="shared" si="12"/>
        <v>0</v>
      </c>
      <c r="H265" s="141" t="str">
        <f t="shared" si="13"/>
        <v/>
      </c>
      <c r="J265" s="148" t="str">
        <f>IFERROR(SUMIFS(当年实际!$V:$V,当年实际!$H:$H,$B265,当年实际!$C:$C,"&gt;="&amp;DATE(YEAR(主页!$D$2),1,1),当年实际!$C:$C,"&lt;="&amp;EOMONTH(DATE(YEAR(主页!$D$2),MONTH(主页!$D$2),1),0))/SUMIFS(当年实际!$P:$P,当年实际!$H:$H,$B265,当年实际!$C:$C,"&gt;="&amp;DATE(YEAR(主页!$D$2),1,1),当年实际!$C:$C,"&lt;="&amp;EOMONTH(DATE(YEAR(主页!$D$2),MONTH(主页!$D$2),1),0)),"")</f>
        <v/>
      </c>
    </row>
    <row r="266" spans="1:10" x14ac:dyDescent="0.3">
      <c r="A266" s="135"/>
      <c r="B266" s="136"/>
      <c r="C266" s="138"/>
      <c r="D266" s="139"/>
      <c r="E266" s="141" t="str">
        <f t="shared" si="14"/>
        <v/>
      </c>
      <c r="F266" s="144"/>
      <c r="G266" s="146">
        <f t="shared" si="12"/>
        <v>0</v>
      </c>
      <c r="H266" s="141" t="str">
        <f t="shared" si="13"/>
        <v/>
      </c>
      <c r="J266" s="148" t="str">
        <f>IFERROR(SUMIFS(当年实际!$V:$V,当年实际!$H:$H,$B266,当年实际!$C:$C,"&gt;="&amp;DATE(YEAR(主页!$D$2),1,1),当年实际!$C:$C,"&lt;="&amp;EOMONTH(DATE(YEAR(主页!$D$2),MONTH(主页!$D$2),1),0))/SUMIFS(当年实际!$P:$P,当年实际!$H:$H,$B266,当年实际!$C:$C,"&gt;="&amp;DATE(YEAR(主页!$D$2),1,1),当年实际!$C:$C,"&lt;="&amp;EOMONTH(DATE(YEAR(主页!$D$2),MONTH(主页!$D$2),1),0)),"")</f>
        <v/>
      </c>
    </row>
    <row r="267" spans="1:10" x14ac:dyDescent="0.3">
      <c r="A267" s="135"/>
      <c r="B267" s="136"/>
      <c r="C267" s="138"/>
      <c r="D267" s="139"/>
      <c r="E267" s="141" t="str">
        <f t="shared" si="14"/>
        <v/>
      </c>
      <c r="F267" s="144"/>
      <c r="G267" s="146">
        <f t="shared" si="12"/>
        <v>0</v>
      </c>
      <c r="H267" s="141" t="str">
        <f t="shared" si="13"/>
        <v/>
      </c>
      <c r="J267" s="148" t="str">
        <f>IFERROR(SUMIFS(当年实际!$V:$V,当年实际!$H:$H,$B267,当年实际!$C:$C,"&gt;="&amp;DATE(YEAR(主页!$D$2),1,1),当年实际!$C:$C,"&lt;="&amp;EOMONTH(DATE(YEAR(主页!$D$2),MONTH(主页!$D$2),1),0))/SUMIFS(当年实际!$P:$P,当年实际!$H:$H,$B267,当年实际!$C:$C,"&gt;="&amp;DATE(YEAR(主页!$D$2),1,1),当年实际!$C:$C,"&lt;="&amp;EOMONTH(DATE(YEAR(主页!$D$2),MONTH(主页!$D$2),1),0)),"")</f>
        <v/>
      </c>
    </row>
    <row r="268" spans="1:10" x14ac:dyDescent="0.3">
      <c r="A268" s="135"/>
      <c r="B268" s="136"/>
      <c r="C268" s="138"/>
      <c r="D268" s="139"/>
      <c r="E268" s="141" t="str">
        <f t="shared" si="14"/>
        <v/>
      </c>
      <c r="F268" s="144"/>
      <c r="G268" s="146">
        <f t="shared" si="12"/>
        <v>0</v>
      </c>
      <c r="H268" s="141" t="str">
        <f t="shared" si="13"/>
        <v/>
      </c>
      <c r="J268" s="148" t="str">
        <f>IFERROR(SUMIFS(当年实际!$V:$V,当年实际!$H:$H,$B268,当年实际!$C:$C,"&gt;="&amp;DATE(YEAR(主页!$D$2),1,1),当年实际!$C:$C,"&lt;="&amp;EOMONTH(DATE(YEAR(主页!$D$2),MONTH(主页!$D$2),1),0))/SUMIFS(当年实际!$P:$P,当年实际!$H:$H,$B268,当年实际!$C:$C,"&gt;="&amp;DATE(YEAR(主页!$D$2),1,1),当年实际!$C:$C,"&lt;="&amp;EOMONTH(DATE(YEAR(主页!$D$2),MONTH(主页!$D$2),1),0)),"")</f>
        <v/>
      </c>
    </row>
    <row r="269" spans="1:10" x14ac:dyDescent="0.3">
      <c r="A269" s="135"/>
      <c r="B269" s="136"/>
      <c r="C269" s="138"/>
      <c r="D269" s="139"/>
      <c r="E269" s="141" t="str">
        <f t="shared" si="14"/>
        <v/>
      </c>
      <c r="F269" s="144"/>
      <c r="G269" s="146">
        <f t="shared" si="12"/>
        <v>0</v>
      </c>
      <c r="H269" s="141" t="str">
        <f t="shared" si="13"/>
        <v/>
      </c>
      <c r="J269" s="148" t="str">
        <f>IFERROR(SUMIFS(当年实际!$V:$V,当年实际!$H:$H,$B269,当年实际!$C:$C,"&gt;="&amp;DATE(YEAR(主页!$D$2),1,1),当年实际!$C:$C,"&lt;="&amp;EOMONTH(DATE(YEAR(主页!$D$2),MONTH(主页!$D$2),1),0))/SUMIFS(当年实际!$P:$P,当年实际!$H:$H,$B269,当年实际!$C:$C,"&gt;="&amp;DATE(YEAR(主页!$D$2),1,1),当年实际!$C:$C,"&lt;="&amp;EOMONTH(DATE(YEAR(主页!$D$2),MONTH(主页!$D$2),1),0)),"")</f>
        <v/>
      </c>
    </row>
    <row r="270" spans="1:10" x14ac:dyDescent="0.3">
      <c r="A270" s="135"/>
      <c r="B270" s="136"/>
      <c r="C270" s="138"/>
      <c r="D270" s="139"/>
      <c r="E270" s="141" t="str">
        <f t="shared" si="14"/>
        <v/>
      </c>
      <c r="F270" s="144"/>
      <c r="G270" s="146">
        <f t="shared" si="12"/>
        <v>0</v>
      </c>
      <c r="H270" s="141" t="str">
        <f t="shared" si="13"/>
        <v/>
      </c>
      <c r="J270" s="148" t="str">
        <f>IFERROR(SUMIFS(当年实际!$V:$V,当年实际!$H:$H,$B270,当年实际!$C:$C,"&gt;="&amp;DATE(YEAR(主页!$D$2),1,1),当年实际!$C:$C,"&lt;="&amp;EOMONTH(DATE(YEAR(主页!$D$2),MONTH(主页!$D$2),1),0))/SUMIFS(当年实际!$P:$P,当年实际!$H:$H,$B270,当年实际!$C:$C,"&gt;="&amp;DATE(YEAR(主页!$D$2),1,1),当年实际!$C:$C,"&lt;="&amp;EOMONTH(DATE(YEAR(主页!$D$2),MONTH(主页!$D$2),1),0)),"")</f>
        <v/>
      </c>
    </row>
    <row r="271" spans="1:10" x14ac:dyDescent="0.3">
      <c r="A271" s="135"/>
      <c r="B271" s="136"/>
      <c r="C271" s="138"/>
      <c r="D271" s="139"/>
      <c r="E271" s="141" t="str">
        <f t="shared" si="14"/>
        <v/>
      </c>
      <c r="F271" s="144"/>
      <c r="G271" s="146">
        <f t="shared" si="12"/>
        <v>0</v>
      </c>
      <c r="H271" s="141" t="str">
        <f t="shared" si="13"/>
        <v/>
      </c>
      <c r="J271" s="148" t="str">
        <f>IFERROR(SUMIFS(当年实际!$V:$V,当年实际!$H:$H,$B271,当年实际!$C:$C,"&gt;="&amp;DATE(YEAR(主页!$D$2),1,1),当年实际!$C:$C,"&lt;="&amp;EOMONTH(DATE(YEAR(主页!$D$2),MONTH(主页!$D$2),1),0))/SUMIFS(当年实际!$P:$P,当年实际!$H:$H,$B271,当年实际!$C:$C,"&gt;="&amp;DATE(YEAR(主页!$D$2),1,1),当年实际!$C:$C,"&lt;="&amp;EOMONTH(DATE(YEAR(主页!$D$2),MONTH(主页!$D$2),1),0)),"")</f>
        <v/>
      </c>
    </row>
    <row r="272" spans="1:10" x14ac:dyDescent="0.3">
      <c r="A272" s="135"/>
      <c r="B272" s="136"/>
      <c r="C272" s="138"/>
      <c r="D272" s="139"/>
      <c r="E272" s="141" t="str">
        <f t="shared" si="14"/>
        <v/>
      </c>
      <c r="F272" s="144"/>
      <c r="G272" s="146">
        <f t="shared" si="12"/>
        <v>0</v>
      </c>
      <c r="H272" s="141" t="str">
        <f t="shared" si="13"/>
        <v/>
      </c>
      <c r="J272" s="148" t="str">
        <f>IFERROR(SUMIFS(当年实际!$V:$V,当年实际!$H:$H,$B272,当年实际!$C:$C,"&gt;="&amp;DATE(YEAR(主页!$D$2),1,1),当年实际!$C:$C,"&lt;="&amp;EOMONTH(DATE(YEAR(主页!$D$2),MONTH(主页!$D$2),1),0))/SUMIFS(当年实际!$P:$P,当年实际!$H:$H,$B272,当年实际!$C:$C,"&gt;="&amp;DATE(YEAR(主页!$D$2),1,1),当年实际!$C:$C,"&lt;="&amp;EOMONTH(DATE(YEAR(主页!$D$2),MONTH(主页!$D$2),1),0)),"")</f>
        <v/>
      </c>
    </row>
    <row r="273" spans="1:10" x14ac:dyDescent="0.3">
      <c r="A273" s="135"/>
      <c r="B273" s="136"/>
      <c r="C273" s="138"/>
      <c r="D273" s="139"/>
      <c r="E273" s="141" t="str">
        <f t="shared" si="14"/>
        <v/>
      </c>
      <c r="F273" s="144"/>
      <c r="G273" s="146">
        <f t="shared" si="12"/>
        <v>0</v>
      </c>
      <c r="H273" s="141" t="str">
        <f t="shared" si="13"/>
        <v/>
      </c>
      <c r="J273" s="148" t="str">
        <f>IFERROR(SUMIFS(当年实际!$V:$V,当年实际!$H:$H,$B273,当年实际!$C:$C,"&gt;="&amp;DATE(YEAR(主页!$D$2),1,1),当年实际!$C:$C,"&lt;="&amp;EOMONTH(DATE(YEAR(主页!$D$2),MONTH(主页!$D$2),1),0))/SUMIFS(当年实际!$P:$P,当年实际!$H:$H,$B273,当年实际!$C:$C,"&gt;="&amp;DATE(YEAR(主页!$D$2),1,1),当年实际!$C:$C,"&lt;="&amp;EOMONTH(DATE(YEAR(主页!$D$2),MONTH(主页!$D$2),1),0)),"")</f>
        <v/>
      </c>
    </row>
    <row r="274" spans="1:10" x14ac:dyDescent="0.3">
      <c r="A274" s="135"/>
      <c r="B274" s="136"/>
      <c r="C274" s="138"/>
      <c r="D274" s="139"/>
      <c r="E274" s="141" t="str">
        <f t="shared" si="14"/>
        <v/>
      </c>
      <c r="F274" s="144"/>
      <c r="G274" s="146">
        <f t="shared" si="12"/>
        <v>0</v>
      </c>
      <c r="H274" s="141" t="str">
        <f t="shared" si="13"/>
        <v/>
      </c>
      <c r="J274" s="148" t="str">
        <f>IFERROR(SUMIFS(当年实际!$V:$V,当年实际!$H:$H,$B274,当年实际!$C:$C,"&gt;="&amp;DATE(YEAR(主页!$D$2),1,1),当年实际!$C:$C,"&lt;="&amp;EOMONTH(DATE(YEAR(主页!$D$2),MONTH(主页!$D$2),1),0))/SUMIFS(当年实际!$P:$P,当年实际!$H:$H,$B274,当年实际!$C:$C,"&gt;="&amp;DATE(YEAR(主页!$D$2),1,1),当年实际!$C:$C,"&lt;="&amp;EOMONTH(DATE(YEAR(主页!$D$2),MONTH(主页!$D$2),1),0)),"")</f>
        <v/>
      </c>
    </row>
    <row r="275" spans="1:10" x14ac:dyDescent="0.3">
      <c r="A275" s="135"/>
      <c r="B275" s="136"/>
      <c r="C275" s="138"/>
      <c r="D275" s="139"/>
      <c r="E275" s="141" t="str">
        <f t="shared" si="14"/>
        <v/>
      </c>
      <c r="F275" s="144"/>
      <c r="G275" s="146">
        <f t="shared" si="12"/>
        <v>0</v>
      </c>
      <c r="H275" s="141" t="str">
        <f t="shared" si="13"/>
        <v/>
      </c>
      <c r="J275" s="148" t="str">
        <f>IFERROR(SUMIFS(当年实际!$V:$V,当年实际!$H:$H,$B275,当年实际!$C:$C,"&gt;="&amp;DATE(YEAR(主页!$D$2),1,1),当年实际!$C:$C,"&lt;="&amp;EOMONTH(DATE(YEAR(主页!$D$2),MONTH(主页!$D$2),1),0))/SUMIFS(当年实际!$P:$P,当年实际!$H:$H,$B275,当年实际!$C:$C,"&gt;="&amp;DATE(YEAR(主页!$D$2),1,1),当年实际!$C:$C,"&lt;="&amp;EOMONTH(DATE(YEAR(主页!$D$2),MONTH(主页!$D$2),1),0)),"")</f>
        <v/>
      </c>
    </row>
    <row r="276" spans="1:10" x14ac:dyDescent="0.3">
      <c r="A276" s="135"/>
      <c r="B276" s="136"/>
      <c r="C276" s="138"/>
      <c r="D276" s="139"/>
      <c r="E276" s="141" t="str">
        <f t="shared" si="14"/>
        <v/>
      </c>
      <c r="F276" s="144"/>
      <c r="G276" s="146">
        <f t="shared" si="12"/>
        <v>0</v>
      </c>
      <c r="H276" s="141" t="str">
        <f t="shared" si="13"/>
        <v/>
      </c>
      <c r="J276" s="148" t="str">
        <f>IFERROR(SUMIFS(当年实际!$V:$V,当年实际!$H:$H,$B276,当年实际!$C:$C,"&gt;="&amp;DATE(YEAR(主页!$D$2),1,1),当年实际!$C:$C,"&lt;="&amp;EOMONTH(DATE(YEAR(主页!$D$2),MONTH(主页!$D$2),1),0))/SUMIFS(当年实际!$P:$P,当年实际!$H:$H,$B276,当年实际!$C:$C,"&gt;="&amp;DATE(YEAR(主页!$D$2),1,1),当年实际!$C:$C,"&lt;="&amp;EOMONTH(DATE(YEAR(主页!$D$2),MONTH(主页!$D$2),1),0)),"")</f>
        <v/>
      </c>
    </row>
    <row r="277" spans="1:10" x14ac:dyDescent="0.3">
      <c r="A277" s="135"/>
      <c r="B277" s="136"/>
      <c r="C277" s="138"/>
      <c r="D277" s="139"/>
      <c r="E277" s="141" t="str">
        <f t="shared" si="14"/>
        <v/>
      </c>
      <c r="F277" s="144"/>
      <c r="G277" s="146">
        <f t="shared" si="12"/>
        <v>0</v>
      </c>
      <c r="H277" s="141" t="str">
        <f t="shared" si="13"/>
        <v/>
      </c>
      <c r="J277" s="148" t="str">
        <f>IFERROR(SUMIFS(当年实际!$V:$V,当年实际!$H:$H,$B277,当年实际!$C:$C,"&gt;="&amp;DATE(YEAR(主页!$D$2),1,1),当年实际!$C:$C,"&lt;="&amp;EOMONTH(DATE(YEAR(主页!$D$2),MONTH(主页!$D$2),1),0))/SUMIFS(当年实际!$P:$P,当年实际!$H:$H,$B277,当年实际!$C:$C,"&gt;="&amp;DATE(YEAR(主页!$D$2),1,1),当年实际!$C:$C,"&lt;="&amp;EOMONTH(DATE(YEAR(主页!$D$2),MONTH(主页!$D$2),1),0)),"")</f>
        <v/>
      </c>
    </row>
    <row r="278" spans="1:10" x14ac:dyDescent="0.3">
      <c r="A278" s="135"/>
      <c r="B278" s="136"/>
      <c r="C278" s="138"/>
      <c r="D278" s="139"/>
      <c r="E278" s="141" t="str">
        <f t="shared" si="14"/>
        <v/>
      </c>
      <c r="F278" s="144"/>
      <c r="G278" s="146">
        <f t="shared" si="12"/>
        <v>0</v>
      </c>
      <c r="H278" s="141" t="str">
        <f t="shared" si="13"/>
        <v/>
      </c>
      <c r="J278" s="148" t="str">
        <f>IFERROR(SUMIFS(当年实际!$V:$V,当年实际!$H:$H,$B278,当年实际!$C:$C,"&gt;="&amp;DATE(YEAR(主页!$D$2),1,1),当年实际!$C:$C,"&lt;="&amp;EOMONTH(DATE(YEAR(主页!$D$2),MONTH(主页!$D$2),1),0))/SUMIFS(当年实际!$P:$P,当年实际!$H:$H,$B278,当年实际!$C:$C,"&gt;="&amp;DATE(YEAR(主页!$D$2),1,1),当年实际!$C:$C,"&lt;="&amp;EOMONTH(DATE(YEAR(主页!$D$2),MONTH(主页!$D$2),1),0)),"")</f>
        <v/>
      </c>
    </row>
    <row r="279" spans="1:10" x14ac:dyDescent="0.3">
      <c r="A279" s="135"/>
      <c r="B279" s="136"/>
      <c r="C279" s="138"/>
      <c r="D279" s="139"/>
      <c r="E279" s="141" t="str">
        <f t="shared" si="14"/>
        <v/>
      </c>
      <c r="F279" s="144"/>
      <c r="G279" s="146">
        <f t="shared" si="12"/>
        <v>0</v>
      </c>
      <c r="H279" s="141" t="str">
        <f t="shared" si="13"/>
        <v/>
      </c>
      <c r="J279" s="148" t="str">
        <f>IFERROR(SUMIFS(当年实际!$V:$V,当年实际!$H:$H,$B279,当年实际!$C:$C,"&gt;="&amp;DATE(YEAR(主页!$D$2),1,1),当年实际!$C:$C,"&lt;="&amp;EOMONTH(DATE(YEAR(主页!$D$2),MONTH(主页!$D$2),1),0))/SUMIFS(当年实际!$P:$P,当年实际!$H:$H,$B279,当年实际!$C:$C,"&gt;="&amp;DATE(YEAR(主页!$D$2),1,1),当年实际!$C:$C,"&lt;="&amp;EOMONTH(DATE(YEAR(主页!$D$2),MONTH(主页!$D$2),1),0)),"")</f>
        <v/>
      </c>
    </row>
    <row r="280" spans="1:10" x14ac:dyDescent="0.3">
      <c r="A280" s="135"/>
      <c r="B280" s="136"/>
      <c r="C280" s="138"/>
      <c r="D280" s="139"/>
      <c r="E280" s="141" t="str">
        <f t="shared" si="14"/>
        <v/>
      </c>
      <c r="F280" s="144"/>
      <c r="G280" s="146">
        <f t="shared" si="12"/>
        <v>0</v>
      </c>
      <c r="H280" s="141" t="str">
        <f t="shared" si="13"/>
        <v/>
      </c>
      <c r="J280" s="148" t="str">
        <f>IFERROR(SUMIFS(当年实际!$V:$V,当年实际!$H:$H,$B280,当年实际!$C:$C,"&gt;="&amp;DATE(YEAR(主页!$D$2),1,1),当年实际!$C:$C,"&lt;="&amp;EOMONTH(DATE(YEAR(主页!$D$2),MONTH(主页!$D$2),1),0))/SUMIFS(当年实际!$P:$P,当年实际!$H:$H,$B280,当年实际!$C:$C,"&gt;="&amp;DATE(YEAR(主页!$D$2),1,1),当年实际!$C:$C,"&lt;="&amp;EOMONTH(DATE(YEAR(主页!$D$2),MONTH(主页!$D$2),1),0)),"")</f>
        <v/>
      </c>
    </row>
    <row r="281" spans="1:10" x14ac:dyDescent="0.3">
      <c r="A281" s="135"/>
      <c r="B281" s="136"/>
      <c r="C281" s="138"/>
      <c r="D281" s="139"/>
      <c r="E281" s="141" t="str">
        <f t="shared" si="14"/>
        <v/>
      </c>
      <c r="F281" s="144"/>
      <c r="G281" s="146">
        <f t="shared" si="12"/>
        <v>0</v>
      </c>
      <c r="H281" s="141" t="str">
        <f t="shared" si="13"/>
        <v/>
      </c>
      <c r="J281" s="148" t="str">
        <f>IFERROR(SUMIFS(当年实际!$V:$V,当年实际!$H:$H,$B281,当年实际!$C:$C,"&gt;="&amp;DATE(YEAR(主页!$D$2),1,1),当年实际!$C:$C,"&lt;="&amp;EOMONTH(DATE(YEAR(主页!$D$2),MONTH(主页!$D$2),1),0))/SUMIFS(当年实际!$P:$P,当年实际!$H:$H,$B281,当年实际!$C:$C,"&gt;="&amp;DATE(YEAR(主页!$D$2),1,1),当年实际!$C:$C,"&lt;="&amp;EOMONTH(DATE(YEAR(主页!$D$2),MONTH(主页!$D$2),1),0)),"")</f>
        <v/>
      </c>
    </row>
    <row r="282" spans="1:10" x14ac:dyDescent="0.3">
      <c r="A282" s="135"/>
      <c r="B282" s="136"/>
      <c r="C282" s="138"/>
      <c r="D282" s="139"/>
      <c r="E282" s="141" t="str">
        <f t="shared" si="14"/>
        <v/>
      </c>
      <c r="F282" s="144"/>
      <c r="G282" s="146">
        <f t="shared" si="12"/>
        <v>0</v>
      </c>
      <c r="H282" s="141" t="str">
        <f t="shared" si="13"/>
        <v/>
      </c>
      <c r="J282" s="148" t="str">
        <f>IFERROR(SUMIFS(当年实际!$V:$V,当年实际!$H:$H,$B282,当年实际!$C:$C,"&gt;="&amp;DATE(YEAR(主页!$D$2),1,1),当年实际!$C:$C,"&lt;="&amp;EOMONTH(DATE(YEAR(主页!$D$2),MONTH(主页!$D$2),1),0))/SUMIFS(当年实际!$P:$P,当年实际!$H:$H,$B282,当年实际!$C:$C,"&gt;="&amp;DATE(YEAR(主页!$D$2),1,1),当年实际!$C:$C,"&lt;="&amp;EOMONTH(DATE(YEAR(主页!$D$2),MONTH(主页!$D$2),1),0)),"")</f>
        <v/>
      </c>
    </row>
    <row r="283" spans="1:10" x14ac:dyDescent="0.3">
      <c r="A283" s="135"/>
      <c r="B283" s="136"/>
      <c r="C283" s="138"/>
      <c r="D283" s="139"/>
      <c r="E283" s="141" t="str">
        <f t="shared" si="14"/>
        <v/>
      </c>
      <c r="F283" s="144"/>
      <c r="G283" s="146">
        <f t="shared" si="12"/>
        <v>0</v>
      </c>
      <c r="H283" s="141" t="str">
        <f t="shared" si="13"/>
        <v/>
      </c>
      <c r="J283" s="148" t="str">
        <f>IFERROR(SUMIFS(当年实际!$V:$V,当年实际!$H:$H,$B283,当年实际!$C:$C,"&gt;="&amp;DATE(YEAR(主页!$D$2),1,1),当年实际!$C:$C,"&lt;="&amp;EOMONTH(DATE(YEAR(主页!$D$2),MONTH(主页!$D$2),1),0))/SUMIFS(当年实际!$P:$P,当年实际!$H:$H,$B283,当年实际!$C:$C,"&gt;="&amp;DATE(YEAR(主页!$D$2),1,1),当年实际!$C:$C,"&lt;="&amp;EOMONTH(DATE(YEAR(主页!$D$2),MONTH(主页!$D$2),1),0)),"")</f>
        <v/>
      </c>
    </row>
    <row r="284" spans="1:10" x14ac:dyDescent="0.3">
      <c r="A284" s="135"/>
      <c r="B284" s="136"/>
      <c r="C284" s="138"/>
      <c r="D284" s="139"/>
      <c r="E284" s="141" t="str">
        <f t="shared" si="14"/>
        <v/>
      </c>
      <c r="F284" s="144"/>
      <c r="G284" s="146">
        <f t="shared" si="12"/>
        <v>0</v>
      </c>
      <c r="H284" s="141" t="str">
        <f t="shared" si="13"/>
        <v/>
      </c>
      <c r="J284" s="148" t="str">
        <f>IFERROR(SUMIFS(当年实际!$V:$V,当年实际!$H:$H,$B284,当年实际!$C:$C,"&gt;="&amp;DATE(YEAR(主页!$D$2),1,1),当年实际!$C:$C,"&lt;="&amp;EOMONTH(DATE(YEAR(主页!$D$2),MONTH(主页!$D$2),1),0))/SUMIFS(当年实际!$P:$P,当年实际!$H:$H,$B284,当年实际!$C:$C,"&gt;="&amp;DATE(YEAR(主页!$D$2),1,1),当年实际!$C:$C,"&lt;="&amp;EOMONTH(DATE(YEAR(主页!$D$2),MONTH(主页!$D$2),1),0)),"")</f>
        <v/>
      </c>
    </row>
    <row r="285" spans="1:10" x14ac:dyDescent="0.3">
      <c r="A285" s="135"/>
      <c r="B285" s="136"/>
      <c r="C285" s="138"/>
      <c r="D285" s="139"/>
      <c r="E285" s="141" t="str">
        <f t="shared" si="14"/>
        <v/>
      </c>
      <c r="F285" s="144"/>
      <c r="G285" s="146">
        <f t="shared" si="12"/>
        <v>0</v>
      </c>
      <c r="H285" s="141" t="str">
        <f t="shared" si="13"/>
        <v/>
      </c>
      <c r="J285" s="148" t="str">
        <f>IFERROR(SUMIFS(当年实际!$V:$V,当年实际!$H:$H,$B285,当年实际!$C:$C,"&gt;="&amp;DATE(YEAR(主页!$D$2),1,1),当年实际!$C:$C,"&lt;="&amp;EOMONTH(DATE(YEAR(主页!$D$2),MONTH(主页!$D$2),1),0))/SUMIFS(当年实际!$P:$P,当年实际!$H:$H,$B285,当年实际!$C:$C,"&gt;="&amp;DATE(YEAR(主页!$D$2),1,1),当年实际!$C:$C,"&lt;="&amp;EOMONTH(DATE(YEAR(主页!$D$2),MONTH(主页!$D$2),1),0)),"")</f>
        <v/>
      </c>
    </row>
    <row r="286" spans="1:10" x14ac:dyDescent="0.3">
      <c r="A286" s="135"/>
      <c r="B286" s="136"/>
      <c r="C286" s="138"/>
      <c r="D286" s="139"/>
      <c r="E286" s="141" t="str">
        <f t="shared" si="14"/>
        <v/>
      </c>
      <c r="F286" s="144"/>
      <c r="G286" s="146">
        <f t="shared" si="12"/>
        <v>0</v>
      </c>
      <c r="H286" s="141" t="str">
        <f t="shared" si="13"/>
        <v/>
      </c>
      <c r="J286" s="148" t="str">
        <f>IFERROR(SUMIFS(当年实际!$V:$V,当年实际!$H:$H,$B286,当年实际!$C:$C,"&gt;="&amp;DATE(YEAR(主页!$D$2),1,1),当年实际!$C:$C,"&lt;="&amp;EOMONTH(DATE(YEAR(主页!$D$2),MONTH(主页!$D$2),1),0))/SUMIFS(当年实际!$P:$P,当年实际!$H:$H,$B286,当年实际!$C:$C,"&gt;="&amp;DATE(YEAR(主页!$D$2),1,1),当年实际!$C:$C,"&lt;="&amp;EOMONTH(DATE(YEAR(主页!$D$2),MONTH(主页!$D$2),1),0)),"")</f>
        <v/>
      </c>
    </row>
    <row r="287" spans="1:10" x14ac:dyDescent="0.3">
      <c r="A287" s="135"/>
      <c r="B287" s="136"/>
      <c r="C287" s="138"/>
      <c r="D287" s="139"/>
      <c r="E287" s="141" t="str">
        <f t="shared" si="14"/>
        <v/>
      </c>
      <c r="F287" s="144"/>
      <c r="G287" s="146">
        <f t="shared" si="12"/>
        <v>0</v>
      </c>
      <c r="H287" s="141" t="str">
        <f t="shared" si="13"/>
        <v/>
      </c>
      <c r="J287" s="148" t="str">
        <f>IFERROR(SUMIFS(当年实际!$V:$V,当年实际!$H:$H,$B287,当年实际!$C:$C,"&gt;="&amp;DATE(YEAR(主页!$D$2),1,1),当年实际!$C:$C,"&lt;="&amp;EOMONTH(DATE(YEAR(主页!$D$2),MONTH(主页!$D$2),1),0))/SUMIFS(当年实际!$P:$P,当年实际!$H:$H,$B287,当年实际!$C:$C,"&gt;="&amp;DATE(YEAR(主页!$D$2),1,1),当年实际!$C:$C,"&lt;="&amp;EOMONTH(DATE(YEAR(主页!$D$2),MONTH(主页!$D$2),1),0)),"")</f>
        <v/>
      </c>
    </row>
    <row r="288" spans="1:10" x14ac:dyDescent="0.3">
      <c r="A288" s="135"/>
      <c r="B288" s="136"/>
      <c r="C288" s="138"/>
      <c r="D288" s="139"/>
      <c r="E288" s="141" t="str">
        <f t="shared" si="14"/>
        <v/>
      </c>
      <c r="F288" s="144"/>
      <c r="G288" s="146">
        <f t="shared" si="12"/>
        <v>0</v>
      </c>
      <c r="H288" s="141" t="str">
        <f t="shared" si="13"/>
        <v/>
      </c>
      <c r="J288" s="148" t="str">
        <f>IFERROR(SUMIFS(当年实际!$V:$V,当年实际!$H:$H,$B288,当年实际!$C:$C,"&gt;="&amp;DATE(YEAR(主页!$D$2),1,1),当年实际!$C:$C,"&lt;="&amp;EOMONTH(DATE(YEAR(主页!$D$2),MONTH(主页!$D$2),1),0))/SUMIFS(当年实际!$P:$P,当年实际!$H:$H,$B288,当年实际!$C:$C,"&gt;="&amp;DATE(YEAR(主页!$D$2),1,1),当年实际!$C:$C,"&lt;="&amp;EOMONTH(DATE(YEAR(主页!$D$2),MONTH(主页!$D$2),1),0)),"")</f>
        <v/>
      </c>
    </row>
    <row r="289" spans="1:10" x14ac:dyDescent="0.3">
      <c r="A289" s="135"/>
      <c r="B289" s="136"/>
      <c r="C289" s="138"/>
      <c r="D289" s="139"/>
      <c r="E289" s="141" t="str">
        <f t="shared" si="14"/>
        <v/>
      </c>
      <c r="F289" s="144"/>
      <c r="G289" s="146">
        <f t="shared" si="12"/>
        <v>0</v>
      </c>
      <c r="H289" s="141" t="str">
        <f t="shared" si="13"/>
        <v/>
      </c>
      <c r="J289" s="148" t="str">
        <f>IFERROR(SUMIFS(当年实际!$V:$V,当年实际!$H:$H,$B289,当年实际!$C:$C,"&gt;="&amp;DATE(YEAR(主页!$D$2),1,1),当年实际!$C:$C,"&lt;="&amp;EOMONTH(DATE(YEAR(主页!$D$2),MONTH(主页!$D$2),1),0))/SUMIFS(当年实际!$P:$P,当年实际!$H:$H,$B289,当年实际!$C:$C,"&gt;="&amp;DATE(YEAR(主页!$D$2),1,1),当年实际!$C:$C,"&lt;="&amp;EOMONTH(DATE(YEAR(主页!$D$2),MONTH(主页!$D$2),1),0)),"")</f>
        <v/>
      </c>
    </row>
    <row r="290" spans="1:10" x14ac:dyDescent="0.3">
      <c r="A290" s="135"/>
      <c r="B290" s="136"/>
      <c r="C290" s="138"/>
      <c r="D290" s="139"/>
      <c r="E290" s="141" t="str">
        <f t="shared" si="14"/>
        <v/>
      </c>
      <c r="F290" s="144"/>
      <c r="G290" s="146">
        <f t="shared" si="12"/>
        <v>0</v>
      </c>
      <c r="H290" s="141" t="str">
        <f t="shared" si="13"/>
        <v/>
      </c>
      <c r="J290" s="148" t="str">
        <f>IFERROR(SUMIFS(当年实际!$V:$V,当年实际!$H:$H,$B290,当年实际!$C:$C,"&gt;="&amp;DATE(YEAR(主页!$D$2),1,1),当年实际!$C:$C,"&lt;="&amp;EOMONTH(DATE(YEAR(主页!$D$2),MONTH(主页!$D$2),1),0))/SUMIFS(当年实际!$P:$P,当年实际!$H:$H,$B290,当年实际!$C:$C,"&gt;="&amp;DATE(YEAR(主页!$D$2),1,1),当年实际!$C:$C,"&lt;="&amp;EOMONTH(DATE(YEAR(主页!$D$2),MONTH(主页!$D$2),1),0)),"")</f>
        <v/>
      </c>
    </row>
    <row r="291" spans="1:10" x14ac:dyDescent="0.3">
      <c r="A291" s="135"/>
      <c r="B291" s="136"/>
      <c r="C291" s="138"/>
      <c r="D291" s="139"/>
      <c r="E291" s="141" t="str">
        <f t="shared" si="14"/>
        <v/>
      </c>
      <c r="F291" s="144"/>
      <c r="G291" s="146">
        <f t="shared" si="12"/>
        <v>0</v>
      </c>
      <c r="H291" s="141" t="str">
        <f t="shared" si="13"/>
        <v/>
      </c>
      <c r="J291" s="148" t="str">
        <f>IFERROR(SUMIFS(当年实际!$V:$V,当年实际!$H:$H,$B291,当年实际!$C:$C,"&gt;="&amp;DATE(YEAR(主页!$D$2),1,1),当年实际!$C:$C,"&lt;="&amp;EOMONTH(DATE(YEAR(主页!$D$2),MONTH(主页!$D$2),1),0))/SUMIFS(当年实际!$P:$P,当年实际!$H:$H,$B291,当年实际!$C:$C,"&gt;="&amp;DATE(YEAR(主页!$D$2),1,1),当年实际!$C:$C,"&lt;="&amp;EOMONTH(DATE(YEAR(主页!$D$2),MONTH(主页!$D$2),1),0)),"")</f>
        <v/>
      </c>
    </row>
    <row r="292" spans="1:10" x14ac:dyDescent="0.3">
      <c r="A292" s="135"/>
      <c r="B292" s="136"/>
      <c r="C292" s="138"/>
      <c r="D292" s="139"/>
      <c r="E292" s="141" t="str">
        <f t="shared" si="14"/>
        <v/>
      </c>
      <c r="F292" s="144"/>
      <c r="G292" s="146">
        <f t="shared" si="12"/>
        <v>0</v>
      </c>
      <c r="H292" s="141" t="str">
        <f t="shared" si="13"/>
        <v/>
      </c>
      <c r="J292" s="148" t="str">
        <f>IFERROR(SUMIFS(当年实际!$V:$V,当年实际!$H:$H,$B292,当年实际!$C:$C,"&gt;="&amp;DATE(YEAR(主页!$D$2),1,1),当年实际!$C:$C,"&lt;="&amp;EOMONTH(DATE(YEAR(主页!$D$2),MONTH(主页!$D$2),1),0))/SUMIFS(当年实际!$P:$P,当年实际!$H:$H,$B292,当年实际!$C:$C,"&gt;="&amp;DATE(YEAR(主页!$D$2),1,1),当年实际!$C:$C,"&lt;="&amp;EOMONTH(DATE(YEAR(主页!$D$2),MONTH(主页!$D$2),1),0)),"")</f>
        <v/>
      </c>
    </row>
    <row r="293" spans="1:10" x14ac:dyDescent="0.3">
      <c r="A293" s="135"/>
      <c r="B293" s="136"/>
      <c r="C293" s="138"/>
      <c r="D293" s="139"/>
      <c r="E293" s="141" t="str">
        <f t="shared" si="14"/>
        <v/>
      </c>
      <c r="F293" s="144"/>
      <c r="G293" s="146">
        <f t="shared" si="12"/>
        <v>0</v>
      </c>
      <c r="H293" s="141" t="str">
        <f t="shared" si="13"/>
        <v/>
      </c>
      <c r="J293" s="148" t="str">
        <f>IFERROR(SUMIFS(当年实际!$V:$V,当年实际!$H:$H,$B293,当年实际!$C:$C,"&gt;="&amp;DATE(YEAR(主页!$D$2),1,1),当年实际!$C:$C,"&lt;="&amp;EOMONTH(DATE(YEAR(主页!$D$2),MONTH(主页!$D$2),1),0))/SUMIFS(当年实际!$P:$P,当年实际!$H:$H,$B293,当年实际!$C:$C,"&gt;="&amp;DATE(YEAR(主页!$D$2),1,1),当年实际!$C:$C,"&lt;="&amp;EOMONTH(DATE(YEAR(主页!$D$2),MONTH(主页!$D$2),1),0)),"")</f>
        <v/>
      </c>
    </row>
    <row r="294" spans="1:10" x14ac:dyDescent="0.3">
      <c r="A294" s="135"/>
      <c r="B294" s="136"/>
      <c r="C294" s="138"/>
      <c r="D294" s="139"/>
      <c r="E294" s="141" t="str">
        <f t="shared" si="14"/>
        <v/>
      </c>
      <c r="F294" s="144"/>
      <c r="G294" s="146">
        <f t="shared" si="12"/>
        <v>0</v>
      </c>
      <c r="H294" s="141" t="str">
        <f t="shared" si="13"/>
        <v/>
      </c>
      <c r="J294" s="148" t="str">
        <f>IFERROR(SUMIFS(当年实际!$V:$V,当年实际!$H:$H,$B294,当年实际!$C:$C,"&gt;="&amp;DATE(YEAR(主页!$D$2),1,1),当年实际!$C:$C,"&lt;="&amp;EOMONTH(DATE(YEAR(主页!$D$2),MONTH(主页!$D$2),1),0))/SUMIFS(当年实际!$P:$P,当年实际!$H:$H,$B294,当年实际!$C:$C,"&gt;="&amp;DATE(YEAR(主页!$D$2),1,1),当年实际!$C:$C,"&lt;="&amp;EOMONTH(DATE(YEAR(主页!$D$2),MONTH(主页!$D$2),1),0)),"")</f>
        <v/>
      </c>
    </row>
    <row r="295" spans="1:10" x14ac:dyDescent="0.3">
      <c r="A295" s="135"/>
      <c r="B295" s="136"/>
      <c r="C295" s="138"/>
      <c r="D295" s="139"/>
      <c r="E295" s="141" t="str">
        <f t="shared" si="14"/>
        <v/>
      </c>
      <c r="F295" s="144"/>
      <c r="G295" s="146">
        <f t="shared" si="12"/>
        <v>0</v>
      </c>
      <c r="H295" s="141" t="str">
        <f t="shared" si="13"/>
        <v/>
      </c>
      <c r="J295" s="148" t="str">
        <f>IFERROR(SUMIFS(当年实际!$V:$V,当年实际!$H:$H,$B295,当年实际!$C:$C,"&gt;="&amp;DATE(YEAR(主页!$D$2),1,1),当年实际!$C:$C,"&lt;="&amp;EOMONTH(DATE(YEAR(主页!$D$2),MONTH(主页!$D$2),1),0))/SUMIFS(当年实际!$P:$P,当年实际!$H:$H,$B295,当年实际!$C:$C,"&gt;="&amp;DATE(YEAR(主页!$D$2),1,1),当年实际!$C:$C,"&lt;="&amp;EOMONTH(DATE(YEAR(主页!$D$2),MONTH(主页!$D$2),1),0)),"")</f>
        <v/>
      </c>
    </row>
    <row r="296" spans="1:10" x14ac:dyDescent="0.3">
      <c r="A296" s="135"/>
      <c r="B296" s="136"/>
      <c r="C296" s="138"/>
      <c r="D296" s="139"/>
      <c r="E296" s="141" t="str">
        <f t="shared" si="14"/>
        <v/>
      </c>
      <c r="F296" s="144"/>
      <c r="G296" s="146">
        <f t="shared" si="12"/>
        <v>0</v>
      </c>
      <c r="H296" s="141" t="str">
        <f t="shared" si="13"/>
        <v/>
      </c>
      <c r="J296" s="148" t="str">
        <f>IFERROR(SUMIFS(当年实际!$V:$V,当年实际!$H:$H,$B296,当年实际!$C:$C,"&gt;="&amp;DATE(YEAR(主页!$D$2),1,1),当年实际!$C:$C,"&lt;="&amp;EOMONTH(DATE(YEAR(主页!$D$2),MONTH(主页!$D$2),1),0))/SUMIFS(当年实际!$P:$P,当年实际!$H:$H,$B296,当年实际!$C:$C,"&gt;="&amp;DATE(YEAR(主页!$D$2),1,1),当年实际!$C:$C,"&lt;="&amp;EOMONTH(DATE(YEAR(主页!$D$2),MONTH(主页!$D$2),1),0)),"")</f>
        <v/>
      </c>
    </row>
    <row r="297" spans="1:10" x14ac:dyDescent="0.3">
      <c r="A297" s="135"/>
      <c r="B297" s="136"/>
      <c r="C297" s="138"/>
      <c r="D297" s="139"/>
      <c r="E297" s="141" t="str">
        <f t="shared" si="14"/>
        <v/>
      </c>
      <c r="F297" s="144"/>
      <c r="G297" s="146">
        <f t="shared" si="12"/>
        <v>0</v>
      </c>
      <c r="H297" s="141" t="str">
        <f t="shared" si="13"/>
        <v/>
      </c>
      <c r="J297" s="148" t="str">
        <f>IFERROR(SUMIFS(当年实际!$V:$V,当年实际!$H:$H,$B297,当年实际!$C:$C,"&gt;="&amp;DATE(YEAR(主页!$D$2),1,1),当年实际!$C:$C,"&lt;="&amp;EOMONTH(DATE(YEAR(主页!$D$2),MONTH(主页!$D$2),1),0))/SUMIFS(当年实际!$P:$P,当年实际!$H:$H,$B297,当年实际!$C:$C,"&gt;="&amp;DATE(YEAR(主页!$D$2),1,1),当年实际!$C:$C,"&lt;="&amp;EOMONTH(DATE(YEAR(主页!$D$2),MONTH(主页!$D$2),1),0)),"")</f>
        <v/>
      </c>
    </row>
    <row r="298" spans="1:10" x14ac:dyDescent="0.3">
      <c r="A298" s="135"/>
      <c r="B298" s="136"/>
      <c r="C298" s="138"/>
      <c r="D298" s="139"/>
      <c r="E298" s="141" t="str">
        <f t="shared" si="14"/>
        <v/>
      </c>
      <c r="F298" s="144"/>
      <c r="G298" s="146">
        <f t="shared" si="12"/>
        <v>0</v>
      </c>
      <c r="H298" s="141" t="str">
        <f t="shared" si="13"/>
        <v/>
      </c>
      <c r="J298" s="148" t="str">
        <f>IFERROR(SUMIFS(当年实际!$V:$V,当年实际!$H:$H,$B298,当年实际!$C:$C,"&gt;="&amp;DATE(YEAR(主页!$D$2),1,1),当年实际!$C:$C,"&lt;="&amp;EOMONTH(DATE(YEAR(主页!$D$2),MONTH(主页!$D$2),1),0))/SUMIFS(当年实际!$P:$P,当年实际!$H:$H,$B298,当年实际!$C:$C,"&gt;="&amp;DATE(YEAR(主页!$D$2),1,1),当年实际!$C:$C,"&lt;="&amp;EOMONTH(DATE(YEAR(主页!$D$2),MONTH(主页!$D$2),1),0)),"")</f>
        <v/>
      </c>
    </row>
    <row r="299" spans="1:10" x14ac:dyDescent="0.3">
      <c r="A299" s="135"/>
      <c r="B299" s="136"/>
      <c r="C299" s="138"/>
      <c r="D299" s="139"/>
      <c r="E299" s="141" t="str">
        <f t="shared" si="14"/>
        <v/>
      </c>
      <c r="F299" s="144"/>
      <c r="G299" s="146">
        <f t="shared" si="12"/>
        <v>0</v>
      </c>
      <c r="H299" s="141" t="str">
        <f t="shared" si="13"/>
        <v/>
      </c>
      <c r="J299" s="148" t="str">
        <f>IFERROR(SUMIFS(当年实际!$V:$V,当年实际!$H:$H,$B299,当年实际!$C:$C,"&gt;="&amp;DATE(YEAR(主页!$D$2),1,1),当年实际!$C:$C,"&lt;="&amp;EOMONTH(DATE(YEAR(主页!$D$2),MONTH(主页!$D$2),1),0))/SUMIFS(当年实际!$P:$P,当年实际!$H:$H,$B299,当年实际!$C:$C,"&gt;="&amp;DATE(YEAR(主页!$D$2),1,1),当年实际!$C:$C,"&lt;="&amp;EOMONTH(DATE(YEAR(主页!$D$2),MONTH(主页!$D$2),1),0)),"")</f>
        <v/>
      </c>
    </row>
    <row r="300" spans="1:10" x14ac:dyDescent="0.3">
      <c r="A300" s="135"/>
      <c r="B300" s="136"/>
      <c r="C300" s="138"/>
      <c r="D300" s="139"/>
      <c r="E300" s="141" t="str">
        <f t="shared" si="14"/>
        <v/>
      </c>
      <c r="F300" s="144"/>
      <c r="G300" s="146">
        <f t="shared" si="12"/>
        <v>0</v>
      </c>
      <c r="H300" s="141" t="str">
        <f t="shared" si="13"/>
        <v/>
      </c>
      <c r="J300" s="148" t="str">
        <f>IFERROR(SUMIFS(当年实际!$V:$V,当年实际!$H:$H,$B300,当年实际!$C:$C,"&gt;="&amp;DATE(YEAR(主页!$D$2),1,1),当年实际!$C:$C,"&lt;="&amp;EOMONTH(DATE(YEAR(主页!$D$2),MONTH(主页!$D$2),1),0))/SUMIFS(当年实际!$P:$P,当年实际!$H:$H,$B300,当年实际!$C:$C,"&gt;="&amp;DATE(YEAR(主页!$D$2),1,1),当年实际!$C:$C,"&lt;="&amp;EOMONTH(DATE(YEAR(主页!$D$2),MONTH(主页!$D$2),1),0)),"")</f>
        <v/>
      </c>
    </row>
    <row r="301" spans="1:10" x14ac:dyDescent="0.3">
      <c r="A301" s="135"/>
      <c r="B301" s="136"/>
      <c r="C301" s="138"/>
      <c r="D301" s="139"/>
      <c r="E301" s="141" t="str">
        <f t="shared" si="14"/>
        <v/>
      </c>
      <c r="F301" s="144"/>
      <c r="G301" s="146">
        <f t="shared" si="12"/>
        <v>0</v>
      </c>
      <c r="H301" s="141" t="str">
        <f t="shared" si="13"/>
        <v/>
      </c>
      <c r="J301" s="148" t="str">
        <f>IFERROR(SUMIFS(当年实际!$V:$V,当年实际!$H:$H,$B301,当年实际!$C:$C,"&gt;="&amp;DATE(YEAR(主页!$D$2),1,1),当年实际!$C:$C,"&lt;="&amp;EOMONTH(DATE(YEAR(主页!$D$2),MONTH(主页!$D$2),1),0))/SUMIFS(当年实际!$P:$P,当年实际!$H:$H,$B301,当年实际!$C:$C,"&gt;="&amp;DATE(YEAR(主页!$D$2),1,1),当年实际!$C:$C,"&lt;="&amp;EOMONTH(DATE(YEAR(主页!$D$2),MONTH(主页!$D$2),1),0)),"")</f>
        <v/>
      </c>
    </row>
    <row r="302" spans="1:10" x14ac:dyDescent="0.3">
      <c r="A302" s="135"/>
      <c r="B302" s="136"/>
      <c r="C302" s="138"/>
      <c r="D302" s="139"/>
      <c r="E302" s="141" t="str">
        <f t="shared" si="14"/>
        <v/>
      </c>
      <c r="F302" s="144"/>
      <c r="G302" s="146">
        <f t="shared" si="12"/>
        <v>0</v>
      </c>
      <c r="H302" s="141" t="str">
        <f t="shared" si="13"/>
        <v/>
      </c>
      <c r="J302" s="148" t="str">
        <f>IFERROR(SUMIFS(当年实际!$V:$V,当年实际!$H:$H,$B302,当年实际!$C:$C,"&gt;="&amp;DATE(YEAR(主页!$D$2),1,1),当年实际!$C:$C,"&lt;="&amp;EOMONTH(DATE(YEAR(主页!$D$2),MONTH(主页!$D$2),1),0))/SUMIFS(当年实际!$P:$P,当年实际!$H:$H,$B302,当年实际!$C:$C,"&gt;="&amp;DATE(YEAR(主页!$D$2),1,1),当年实际!$C:$C,"&lt;="&amp;EOMONTH(DATE(YEAR(主页!$D$2),MONTH(主页!$D$2),1),0)),"")</f>
        <v/>
      </c>
    </row>
    <row r="303" spans="1:10" x14ac:dyDescent="0.3">
      <c r="A303" s="135"/>
      <c r="B303" s="136"/>
      <c r="C303" s="138"/>
      <c r="D303" s="139"/>
      <c r="E303" s="141" t="str">
        <f t="shared" si="14"/>
        <v/>
      </c>
      <c r="F303" s="144"/>
      <c r="G303" s="146">
        <f t="shared" si="12"/>
        <v>0</v>
      </c>
      <c r="H303" s="141" t="str">
        <f t="shared" si="13"/>
        <v/>
      </c>
      <c r="J303" s="148" t="str">
        <f>IFERROR(SUMIFS(当年实际!$V:$V,当年实际!$H:$H,$B303,当年实际!$C:$C,"&gt;="&amp;DATE(YEAR(主页!$D$2),1,1),当年实际!$C:$C,"&lt;="&amp;EOMONTH(DATE(YEAR(主页!$D$2),MONTH(主页!$D$2),1),0))/SUMIFS(当年实际!$P:$P,当年实际!$H:$H,$B303,当年实际!$C:$C,"&gt;="&amp;DATE(YEAR(主页!$D$2),1,1),当年实际!$C:$C,"&lt;="&amp;EOMONTH(DATE(YEAR(主页!$D$2),MONTH(主页!$D$2),1),0)),"")</f>
        <v/>
      </c>
    </row>
    <row r="304" spans="1:10" x14ac:dyDescent="0.3">
      <c r="A304" s="135"/>
      <c r="B304" s="136"/>
      <c r="C304" s="138"/>
      <c r="D304" s="139"/>
      <c r="E304" s="141" t="str">
        <f t="shared" si="14"/>
        <v/>
      </c>
      <c r="F304" s="144"/>
      <c r="G304" s="146">
        <f t="shared" si="12"/>
        <v>0</v>
      </c>
      <c r="H304" s="141" t="str">
        <f t="shared" si="13"/>
        <v/>
      </c>
      <c r="J304" s="148" t="str">
        <f>IFERROR(SUMIFS(当年实际!$V:$V,当年实际!$H:$H,$B304,当年实际!$C:$C,"&gt;="&amp;DATE(YEAR(主页!$D$2),1,1),当年实际!$C:$C,"&lt;="&amp;EOMONTH(DATE(YEAR(主页!$D$2),MONTH(主页!$D$2),1),0))/SUMIFS(当年实际!$P:$P,当年实际!$H:$H,$B304,当年实际!$C:$C,"&gt;="&amp;DATE(YEAR(主页!$D$2),1,1),当年实际!$C:$C,"&lt;="&amp;EOMONTH(DATE(YEAR(主页!$D$2),MONTH(主页!$D$2),1),0)),"")</f>
        <v/>
      </c>
    </row>
    <row r="305" spans="1:10" x14ac:dyDescent="0.3">
      <c r="A305" s="135"/>
      <c r="B305" s="136"/>
      <c r="C305" s="138"/>
      <c r="D305" s="139"/>
      <c r="E305" s="141" t="str">
        <f t="shared" si="14"/>
        <v/>
      </c>
      <c r="F305" s="144"/>
      <c r="G305" s="146">
        <f t="shared" si="12"/>
        <v>0</v>
      </c>
      <c r="H305" s="141" t="str">
        <f t="shared" si="13"/>
        <v/>
      </c>
      <c r="J305" s="148" t="str">
        <f>IFERROR(SUMIFS(当年实际!$V:$V,当年实际!$H:$H,$B305,当年实际!$C:$C,"&gt;="&amp;DATE(YEAR(主页!$D$2),1,1),当年实际!$C:$C,"&lt;="&amp;EOMONTH(DATE(YEAR(主页!$D$2),MONTH(主页!$D$2),1),0))/SUMIFS(当年实际!$P:$P,当年实际!$H:$H,$B305,当年实际!$C:$C,"&gt;="&amp;DATE(YEAR(主页!$D$2),1,1),当年实际!$C:$C,"&lt;="&amp;EOMONTH(DATE(YEAR(主页!$D$2),MONTH(主页!$D$2),1),0)),"")</f>
        <v/>
      </c>
    </row>
    <row r="306" spans="1:10" x14ac:dyDescent="0.3">
      <c r="A306" s="135"/>
      <c r="B306" s="136"/>
      <c r="C306" s="138"/>
      <c r="D306" s="139"/>
      <c r="E306" s="141" t="str">
        <f t="shared" si="14"/>
        <v/>
      </c>
      <c r="F306" s="144"/>
      <c r="G306" s="146">
        <f t="shared" si="12"/>
        <v>0</v>
      </c>
      <c r="H306" s="141" t="str">
        <f t="shared" si="13"/>
        <v/>
      </c>
      <c r="J306" s="148" t="str">
        <f>IFERROR(SUMIFS(当年实际!$V:$V,当年实际!$H:$H,$B306,当年实际!$C:$C,"&gt;="&amp;DATE(YEAR(主页!$D$2),1,1),当年实际!$C:$C,"&lt;="&amp;EOMONTH(DATE(YEAR(主页!$D$2),MONTH(主页!$D$2),1),0))/SUMIFS(当年实际!$P:$P,当年实际!$H:$H,$B306,当年实际!$C:$C,"&gt;="&amp;DATE(YEAR(主页!$D$2),1,1),当年实际!$C:$C,"&lt;="&amp;EOMONTH(DATE(YEAR(主页!$D$2),MONTH(主页!$D$2),1),0)),"")</f>
        <v/>
      </c>
    </row>
    <row r="307" spans="1:10" x14ac:dyDescent="0.3">
      <c r="A307" s="135"/>
      <c r="B307" s="136"/>
      <c r="C307" s="138"/>
      <c r="D307" s="139"/>
      <c r="E307" s="141" t="str">
        <f t="shared" si="14"/>
        <v/>
      </c>
      <c r="F307" s="144"/>
      <c r="G307" s="146">
        <f t="shared" si="12"/>
        <v>0</v>
      </c>
      <c r="H307" s="141" t="str">
        <f t="shared" si="13"/>
        <v/>
      </c>
      <c r="J307" s="148" t="str">
        <f>IFERROR(SUMIFS(当年实际!$V:$V,当年实际!$H:$H,$B307,当年实际!$C:$C,"&gt;="&amp;DATE(YEAR(主页!$D$2),1,1),当年实际!$C:$C,"&lt;="&amp;EOMONTH(DATE(YEAR(主页!$D$2),MONTH(主页!$D$2),1),0))/SUMIFS(当年实际!$P:$P,当年实际!$H:$H,$B307,当年实际!$C:$C,"&gt;="&amp;DATE(YEAR(主页!$D$2),1,1),当年实际!$C:$C,"&lt;="&amp;EOMONTH(DATE(YEAR(主页!$D$2),MONTH(主页!$D$2),1),0)),"")</f>
        <v/>
      </c>
    </row>
    <row r="308" spans="1:10" x14ac:dyDescent="0.3">
      <c r="A308" s="135"/>
      <c r="B308" s="136"/>
      <c r="C308" s="138"/>
      <c r="D308" s="139"/>
      <c r="E308" s="141" t="str">
        <f t="shared" si="14"/>
        <v/>
      </c>
      <c r="F308" s="144"/>
      <c r="G308" s="146">
        <f t="shared" si="12"/>
        <v>0</v>
      </c>
      <c r="H308" s="141" t="str">
        <f t="shared" si="13"/>
        <v/>
      </c>
      <c r="J308" s="148" t="str">
        <f>IFERROR(SUMIFS(当年实际!$V:$V,当年实际!$H:$H,$B308,当年实际!$C:$C,"&gt;="&amp;DATE(YEAR(主页!$D$2),1,1),当年实际!$C:$C,"&lt;="&amp;EOMONTH(DATE(YEAR(主页!$D$2),MONTH(主页!$D$2),1),0))/SUMIFS(当年实际!$P:$P,当年实际!$H:$H,$B308,当年实际!$C:$C,"&gt;="&amp;DATE(YEAR(主页!$D$2),1,1),当年实际!$C:$C,"&lt;="&amp;EOMONTH(DATE(YEAR(主页!$D$2),MONTH(主页!$D$2),1),0)),"")</f>
        <v/>
      </c>
    </row>
    <row r="309" spans="1:10" x14ac:dyDescent="0.3">
      <c r="A309" s="135"/>
      <c r="B309" s="136"/>
      <c r="C309" s="138"/>
      <c r="D309" s="139"/>
      <c r="E309" s="141" t="str">
        <f t="shared" si="14"/>
        <v/>
      </c>
      <c r="F309" s="144"/>
      <c r="G309" s="146">
        <f t="shared" si="12"/>
        <v>0</v>
      </c>
      <c r="H309" s="141" t="str">
        <f t="shared" si="13"/>
        <v/>
      </c>
      <c r="J309" s="148" t="str">
        <f>IFERROR(SUMIFS(当年实际!$V:$V,当年实际!$H:$H,$B309,当年实际!$C:$C,"&gt;="&amp;DATE(YEAR(主页!$D$2),1,1),当年实际!$C:$C,"&lt;="&amp;EOMONTH(DATE(YEAR(主页!$D$2),MONTH(主页!$D$2),1),0))/SUMIFS(当年实际!$P:$P,当年实际!$H:$H,$B309,当年实际!$C:$C,"&gt;="&amp;DATE(YEAR(主页!$D$2),1,1),当年实际!$C:$C,"&lt;="&amp;EOMONTH(DATE(YEAR(主页!$D$2),MONTH(主页!$D$2),1),0)),"")</f>
        <v/>
      </c>
    </row>
    <row r="310" spans="1:10" x14ac:dyDescent="0.3">
      <c r="A310" s="135"/>
      <c r="B310" s="136"/>
      <c r="C310" s="138"/>
      <c r="D310" s="139"/>
      <c r="E310" s="141" t="str">
        <f t="shared" si="14"/>
        <v/>
      </c>
      <c r="F310" s="144"/>
      <c r="G310" s="146">
        <f t="shared" si="12"/>
        <v>0</v>
      </c>
      <c r="H310" s="141" t="str">
        <f t="shared" si="13"/>
        <v/>
      </c>
      <c r="J310" s="148" t="str">
        <f>IFERROR(SUMIFS(当年实际!$V:$V,当年实际!$H:$H,$B310,当年实际!$C:$C,"&gt;="&amp;DATE(YEAR(主页!$D$2),1,1),当年实际!$C:$C,"&lt;="&amp;EOMONTH(DATE(YEAR(主页!$D$2),MONTH(主页!$D$2),1),0))/SUMIFS(当年实际!$P:$P,当年实际!$H:$H,$B310,当年实际!$C:$C,"&gt;="&amp;DATE(YEAR(主页!$D$2),1,1),当年实际!$C:$C,"&lt;="&amp;EOMONTH(DATE(YEAR(主页!$D$2),MONTH(主页!$D$2),1),0)),"")</f>
        <v/>
      </c>
    </row>
    <row r="311" spans="1:10" x14ac:dyDescent="0.3">
      <c r="A311" s="135"/>
      <c r="B311" s="136"/>
      <c r="C311" s="138"/>
      <c r="D311" s="139"/>
      <c r="E311" s="141" t="str">
        <f t="shared" si="14"/>
        <v/>
      </c>
      <c r="F311" s="144"/>
      <c r="G311" s="146">
        <f t="shared" si="12"/>
        <v>0</v>
      </c>
      <c r="H311" s="141" t="str">
        <f t="shared" si="13"/>
        <v/>
      </c>
      <c r="J311" s="148" t="str">
        <f>IFERROR(SUMIFS(当年实际!$V:$V,当年实际!$H:$H,$B311,当年实际!$C:$C,"&gt;="&amp;DATE(YEAR(主页!$D$2),1,1),当年实际!$C:$C,"&lt;="&amp;EOMONTH(DATE(YEAR(主页!$D$2),MONTH(主页!$D$2),1),0))/SUMIFS(当年实际!$P:$P,当年实际!$H:$H,$B311,当年实际!$C:$C,"&gt;="&amp;DATE(YEAR(主页!$D$2),1,1),当年实际!$C:$C,"&lt;="&amp;EOMONTH(DATE(YEAR(主页!$D$2),MONTH(主页!$D$2),1),0)),"")</f>
        <v/>
      </c>
    </row>
    <row r="312" spans="1:10" x14ac:dyDescent="0.3">
      <c r="A312" s="135"/>
      <c r="B312" s="136"/>
      <c r="C312" s="138"/>
      <c r="D312" s="139"/>
      <c r="E312" s="141" t="str">
        <f t="shared" si="14"/>
        <v/>
      </c>
      <c r="F312" s="144"/>
      <c r="G312" s="146">
        <f t="shared" si="12"/>
        <v>0</v>
      </c>
      <c r="H312" s="141" t="str">
        <f t="shared" si="13"/>
        <v/>
      </c>
      <c r="J312" s="148" t="str">
        <f>IFERROR(SUMIFS(当年实际!$V:$V,当年实际!$H:$H,$B312,当年实际!$C:$C,"&gt;="&amp;DATE(YEAR(主页!$D$2),1,1),当年实际!$C:$C,"&lt;="&amp;EOMONTH(DATE(YEAR(主页!$D$2),MONTH(主页!$D$2),1),0))/SUMIFS(当年实际!$P:$P,当年实际!$H:$H,$B312,当年实际!$C:$C,"&gt;="&amp;DATE(YEAR(主页!$D$2),1,1),当年实际!$C:$C,"&lt;="&amp;EOMONTH(DATE(YEAR(主页!$D$2),MONTH(主页!$D$2),1),0)),"")</f>
        <v/>
      </c>
    </row>
    <row r="313" spans="1:10" x14ac:dyDescent="0.3">
      <c r="A313" s="135"/>
      <c r="B313" s="136"/>
      <c r="C313" s="138"/>
      <c r="D313" s="139"/>
      <c r="E313" s="141" t="str">
        <f t="shared" si="14"/>
        <v/>
      </c>
      <c r="F313" s="144"/>
      <c r="G313" s="146">
        <f t="shared" si="12"/>
        <v>0</v>
      </c>
      <c r="H313" s="141" t="str">
        <f t="shared" si="13"/>
        <v/>
      </c>
      <c r="J313" s="148" t="str">
        <f>IFERROR(SUMIFS(当年实际!$V:$V,当年实际!$H:$H,$B313,当年实际!$C:$C,"&gt;="&amp;DATE(YEAR(主页!$D$2),1,1),当年实际!$C:$C,"&lt;="&amp;EOMONTH(DATE(YEAR(主页!$D$2),MONTH(主页!$D$2),1),0))/SUMIFS(当年实际!$P:$P,当年实际!$H:$H,$B313,当年实际!$C:$C,"&gt;="&amp;DATE(YEAR(主页!$D$2),1,1),当年实际!$C:$C,"&lt;="&amp;EOMONTH(DATE(YEAR(主页!$D$2),MONTH(主页!$D$2),1),0)),"")</f>
        <v/>
      </c>
    </row>
    <row r="314" spans="1:10" x14ac:dyDescent="0.3">
      <c r="A314" s="135"/>
      <c r="B314" s="136"/>
      <c r="C314" s="138"/>
      <c r="D314" s="139"/>
      <c r="E314" s="141" t="str">
        <f t="shared" si="14"/>
        <v/>
      </c>
      <c r="F314" s="144"/>
      <c r="G314" s="146">
        <f t="shared" si="12"/>
        <v>0</v>
      </c>
      <c r="H314" s="141" t="str">
        <f t="shared" si="13"/>
        <v/>
      </c>
      <c r="J314" s="148" t="str">
        <f>IFERROR(SUMIFS(当年实际!$V:$V,当年实际!$H:$H,$B314,当年实际!$C:$C,"&gt;="&amp;DATE(YEAR(主页!$D$2),1,1),当年实际!$C:$C,"&lt;="&amp;EOMONTH(DATE(YEAR(主页!$D$2),MONTH(主页!$D$2),1),0))/SUMIFS(当年实际!$P:$P,当年实际!$H:$H,$B314,当年实际!$C:$C,"&gt;="&amp;DATE(YEAR(主页!$D$2),1,1),当年实际!$C:$C,"&lt;="&amp;EOMONTH(DATE(YEAR(主页!$D$2),MONTH(主页!$D$2),1),0)),"")</f>
        <v/>
      </c>
    </row>
    <row r="315" spans="1:10" x14ac:dyDescent="0.3">
      <c r="A315" s="135"/>
      <c r="B315" s="136"/>
      <c r="C315" s="138"/>
      <c r="D315" s="139"/>
      <c r="E315" s="141" t="str">
        <f t="shared" si="14"/>
        <v/>
      </c>
      <c r="F315" s="144"/>
      <c r="G315" s="146">
        <f t="shared" si="12"/>
        <v>0</v>
      </c>
      <c r="H315" s="141" t="str">
        <f t="shared" si="13"/>
        <v/>
      </c>
      <c r="J315" s="148" t="str">
        <f>IFERROR(SUMIFS(当年实际!$V:$V,当年实际!$H:$H,$B315,当年实际!$C:$C,"&gt;="&amp;DATE(YEAR(主页!$D$2),1,1),当年实际!$C:$C,"&lt;="&amp;EOMONTH(DATE(YEAR(主页!$D$2),MONTH(主页!$D$2),1),0))/SUMIFS(当年实际!$P:$P,当年实际!$H:$H,$B315,当年实际!$C:$C,"&gt;="&amp;DATE(YEAR(主页!$D$2),1,1),当年实际!$C:$C,"&lt;="&amp;EOMONTH(DATE(YEAR(主页!$D$2),MONTH(主页!$D$2),1),0)),"")</f>
        <v/>
      </c>
    </row>
    <row r="316" spans="1:10" x14ac:dyDescent="0.3">
      <c r="A316" s="135"/>
      <c r="B316" s="136"/>
      <c r="C316" s="138"/>
      <c r="D316" s="139"/>
      <c r="E316" s="141" t="str">
        <f t="shared" si="14"/>
        <v/>
      </c>
      <c r="F316" s="144"/>
      <c r="G316" s="146">
        <f t="shared" si="12"/>
        <v>0</v>
      </c>
      <c r="H316" s="141" t="str">
        <f t="shared" si="13"/>
        <v/>
      </c>
      <c r="J316" s="148" t="str">
        <f>IFERROR(SUMIFS(当年实际!$V:$V,当年实际!$H:$H,$B316,当年实际!$C:$C,"&gt;="&amp;DATE(YEAR(主页!$D$2),1,1),当年实际!$C:$C,"&lt;="&amp;EOMONTH(DATE(YEAR(主页!$D$2),MONTH(主页!$D$2),1),0))/SUMIFS(当年实际!$P:$P,当年实际!$H:$H,$B316,当年实际!$C:$C,"&gt;="&amp;DATE(YEAR(主页!$D$2),1,1),当年实际!$C:$C,"&lt;="&amp;EOMONTH(DATE(YEAR(主页!$D$2),MONTH(主页!$D$2),1),0)),"")</f>
        <v/>
      </c>
    </row>
    <row r="317" spans="1:10" x14ac:dyDescent="0.3">
      <c r="A317" s="135"/>
      <c r="B317" s="136"/>
      <c r="C317" s="138"/>
      <c r="D317" s="139"/>
      <c r="E317" s="141" t="str">
        <f t="shared" si="14"/>
        <v/>
      </c>
      <c r="F317" s="144"/>
      <c r="G317" s="146">
        <f t="shared" si="12"/>
        <v>0</v>
      </c>
      <c r="H317" s="141" t="str">
        <f t="shared" si="13"/>
        <v/>
      </c>
      <c r="J317" s="148" t="str">
        <f>IFERROR(SUMIFS(当年实际!$V:$V,当年实际!$H:$H,$B317,当年实际!$C:$C,"&gt;="&amp;DATE(YEAR(主页!$D$2),1,1),当年实际!$C:$C,"&lt;="&amp;EOMONTH(DATE(YEAR(主页!$D$2),MONTH(主页!$D$2),1),0))/SUMIFS(当年实际!$P:$P,当年实际!$H:$H,$B317,当年实际!$C:$C,"&gt;="&amp;DATE(YEAR(主页!$D$2),1,1),当年实际!$C:$C,"&lt;="&amp;EOMONTH(DATE(YEAR(主页!$D$2),MONTH(主页!$D$2),1),0)),"")</f>
        <v/>
      </c>
    </row>
    <row r="318" spans="1:10" x14ac:dyDescent="0.3">
      <c r="A318" s="135"/>
      <c r="B318" s="136"/>
      <c r="C318" s="138"/>
      <c r="D318" s="139"/>
      <c r="E318" s="141" t="str">
        <f t="shared" si="14"/>
        <v/>
      </c>
      <c r="F318" s="144"/>
      <c r="G318" s="146">
        <f t="shared" si="12"/>
        <v>0</v>
      </c>
      <c r="H318" s="141" t="str">
        <f t="shared" si="13"/>
        <v/>
      </c>
      <c r="J318" s="148" t="str">
        <f>IFERROR(SUMIFS(当年实际!$V:$V,当年实际!$H:$H,$B318,当年实际!$C:$C,"&gt;="&amp;DATE(YEAR(主页!$D$2),1,1),当年实际!$C:$C,"&lt;="&amp;EOMONTH(DATE(YEAR(主页!$D$2),MONTH(主页!$D$2),1),0))/SUMIFS(当年实际!$P:$P,当年实际!$H:$H,$B318,当年实际!$C:$C,"&gt;="&amp;DATE(YEAR(主页!$D$2),1,1),当年实际!$C:$C,"&lt;="&amp;EOMONTH(DATE(YEAR(主页!$D$2),MONTH(主页!$D$2),1),0)),"")</f>
        <v/>
      </c>
    </row>
    <row r="319" spans="1:10" x14ac:dyDescent="0.3">
      <c r="A319" s="135"/>
      <c r="B319" s="136"/>
      <c r="C319" s="138"/>
      <c r="D319" s="139"/>
      <c r="E319" s="141" t="str">
        <f t="shared" si="14"/>
        <v/>
      </c>
      <c r="F319" s="144"/>
      <c r="G319" s="146">
        <f t="shared" si="12"/>
        <v>0</v>
      </c>
      <c r="H319" s="141" t="str">
        <f t="shared" si="13"/>
        <v/>
      </c>
      <c r="J319" s="148" t="str">
        <f>IFERROR(SUMIFS(当年实际!$V:$V,当年实际!$H:$H,$B319,当年实际!$C:$C,"&gt;="&amp;DATE(YEAR(主页!$D$2),1,1),当年实际!$C:$C,"&lt;="&amp;EOMONTH(DATE(YEAR(主页!$D$2),MONTH(主页!$D$2),1),0))/SUMIFS(当年实际!$P:$P,当年实际!$H:$H,$B319,当年实际!$C:$C,"&gt;="&amp;DATE(YEAR(主页!$D$2),1,1),当年实际!$C:$C,"&lt;="&amp;EOMONTH(DATE(YEAR(主页!$D$2),MONTH(主页!$D$2),1),0)),"")</f>
        <v/>
      </c>
    </row>
    <row r="320" spans="1:10" x14ac:dyDescent="0.3">
      <c r="A320" s="135"/>
      <c r="B320" s="136"/>
      <c r="C320" s="138"/>
      <c r="D320" s="139"/>
      <c r="E320" s="141" t="str">
        <f t="shared" si="14"/>
        <v/>
      </c>
      <c r="F320" s="144"/>
      <c r="G320" s="146">
        <f t="shared" si="12"/>
        <v>0</v>
      </c>
      <c r="H320" s="141" t="str">
        <f t="shared" si="13"/>
        <v/>
      </c>
      <c r="J320" s="148" t="str">
        <f>IFERROR(SUMIFS(当年实际!$V:$V,当年实际!$H:$H,$B320,当年实际!$C:$C,"&gt;="&amp;DATE(YEAR(主页!$D$2),1,1),当年实际!$C:$C,"&lt;="&amp;EOMONTH(DATE(YEAR(主页!$D$2),MONTH(主页!$D$2),1),0))/SUMIFS(当年实际!$P:$P,当年实际!$H:$H,$B320,当年实际!$C:$C,"&gt;="&amp;DATE(YEAR(主页!$D$2),1,1),当年实际!$C:$C,"&lt;="&amp;EOMONTH(DATE(YEAR(主页!$D$2),MONTH(主页!$D$2),1),0)),"")</f>
        <v/>
      </c>
    </row>
    <row r="321" spans="1:10" x14ac:dyDescent="0.3">
      <c r="A321" s="135"/>
      <c r="B321" s="136"/>
      <c r="C321" s="138"/>
      <c r="D321" s="139"/>
      <c r="E321" s="141" t="str">
        <f t="shared" si="14"/>
        <v/>
      </c>
      <c r="F321" s="144"/>
      <c r="G321" s="146">
        <f t="shared" si="12"/>
        <v>0</v>
      </c>
      <c r="H321" s="141" t="str">
        <f t="shared" si="13"/>
        <v/>
      </c>
      <c r="J321" s="148" t="str">
        <f>IFERROR(SUMIFS(当年实际!$V:$V,当年实际!$H:$H,$B321,当年实际!$C:$C,"&gt;="&amp;DATE(YEAR(主页!$D$2),1,1),当年实际!$C:$C,"&lt;="&amp;EOMONTH(DATE(YEAR(主页!$D$2),MONTH(主页!$D$2),1),0))/SUMIFS(当年实际!$P:$P,当年实际!$H:$H,$B321,当年实际!$C:$C,"&gt;="&amp;DATE(YEAR(主页!$D$2),1,1),当年实际!$C:$C,"&lt;="&amp;EOMONTH(DATE(YEAR(主页!$D$2),MONTH(主页!$D$2),1),0)),"")</f>
        <v/>
      </c>
    </row>
    <row r="322" spans="1:10" x14ac:dyDescent="0.3">
      <c r="A322" s="135"/>
      <c r="B322" s="136"/>
      <c r="C322" s="138"/>
      <c r="D322" s="139"/>
      <c r="E322" s="141" t="str">
        <f t="shared" si="14"/>
        <v/>
      </c>
      <c r="F322" s="144"/>
      <c r="G322" s="146">
        <f t="shared" si="12"/>
        <v>0</v>
      </c>
      <c r="H322" s="141" t="str">
        <f t="shared" si="13"/>
        <v/>
      </c>
      <c r="J322" s="148" t="str">
        <f>IFERROR(SUMIFS(当年实际!$V:$V,当年实际!$H:$H,$B322,当年实际!$C:$C,"&gt;="&amp;DATE(YEAR(主页!$D$2),1,1),当年实际!$C:$C,"&lt;="&amp;EOMONTH(DATE(YEAR(主页!$D$2),MONTH(主页!$D$2),1),0))/SUMIFS(当年实际!$P:$P,当年实际!$H:$H,$B322,当年实际!$C:$C,"&gt;="&amp;DATE(YEAR(主页!$D$2),1,1),当年实际!$C:$C,"&lt;="&amp;EOMONTH(DATE(YEAR(主页!$D$2),MONTH(主页!$D$2),1),0)),"")</f>
        <v/>
      </c>
    </row>
    <row r="323" spans="1:10" x14ac:dyDescent="0.3">
      <c r="A323" s="135"/>
      <c r="B323" s="136"/>
      <c r="C323" s="138"/>
      <c r="D323" s="139"/>
      <c r="E323" s="141" t="str">
        <f t="shared" si="14"/>
        <v/>
      </c>
      <c r="F323" s="144"/>
      <c r="G323" s="146">
        <f t="shared" si="12"/>
        <v>0</v>
      </c>
      <c r="H323" s="141" t="str">
        <f t="shared" si="13"/>
        <v/>
      </c>
      <c r="J323" s="148" t="str">
        <f>IFERROR(SUMIFS(当年实际!$V:$V,当年实际!$H:$H,$B323,当年实际!$C:$C,"&gt;="&amp;DATE(YEAR(主页!$D$2),1,1),当年实际!$C:$C,"&lt;="&amp;EOMONTH(DATE(YEAR(主页!$D$2),MONTH(主页!$D$2),1),0))/SUMIFS(当年实际!$P:$P,当年实际!$H:$H,$B323,当年实际!$C:$C,"&gt;="&amp;DATE(YEAR(主页!$D$2),1,1),当年实际!$C:$C,"&lt;="&amp;EOMONTH(DATE(YEAR(主页!$D$2),MONTH(主页!$D$2),1),0)),"")</f>
        <v/>
      </c>
    </row>
    <row r="324" spans="1:10" x14ac:dyDescent="0.3">
      <c r="A324" s="135"/>
      <c r="B324" s="136"/>
      <c r="C324" s="138"/>
      <c r="D324" s="139"/>
      <c r="E324" s="141" t="str">
        <f t="shared" si="14"/>
        <v/>
      </c>
      <c r="F324" s="144"/>
      <c r="G324" s="146">
        <f t="shared" si="12"/>
        <v>0</v>
      </c>
      <c r="H324" s="141" t="str">
        <f t="shared" si="13"/>
        <v/>
      </c>
      <c r="J324" s="148" t="str">
        <f>IFERROR(SUMIFS(当年实际!$V:$V,当年实际!$H:$H,$B324,当年实际!$C:$C,"&gt;="&amp;DATE(YEAR(主页!$D$2),1,1),当年实际!$C:$C,"&lt;="&amp;EOMONTH(DATE(YEAR(主页!$D$2),MONTH(主页!$D$2),1),0))/SUMIFS(当年实际!$P:$P,当年实际!$H:$H,$B324,当年实际!$C:$C,"&gt;="&amp;DATE(YEAR(主页!$D$2),1,1),当年实际!$C:$C,"&lt;="&amp;EOMONTH(DATE(YEAR(主页!$D$2),MONTH(主页!$D$2),1),0)),"")</f>
        <v/>
      </c>
    </row>
    <row r="325" spans="1:10" x14ac:dyDescent="0.3">
      <c r="A325" s="135"/>
      <c r="B325" s="136"/>
      <c r="C325" s="138"/>
      <c r="D325" s="139"/>
      <c r="E325" s="141" t="str">
        <f t="shared" si="14"/>
        <v/>
      </c>
      <c r="F325" s="144"/>
      <c r="G325" s="146">
        <f t="shared" ref="G325:G388" si="15">D325*F325</f>
        <v>0</v>
      </c>
      <c r="H325" s="141" t="str">
        <f t="shared" si="13"/>
        <v/>
      </c>
      <c r="J325" s="148" t="str">
        <f>IFERROR(SUMIFS(当年实际!$V:$V,当年实际!$H:$H,$B325,当年实际!$C:$C,"&gt;="&amp;DATE(YEAR(主页!$D$2),1,1),当年实际!$C:$C,"&lt;="&amp;EOMONTH(DATE(YEAR(主页!$D$2),MONTH(主页!$D$2),1),0))/SUMIFS(当年实际!$P:$P,当年实际!$H:$H,$B325,当年实际!$C:$C,"&gt;="&amp;DATE(YEAR(主页!$D$2),1,1),当年实际!$C:$C,"&lt;="&amp;EOMONTH(DATE(YEAR(主页!$D$2),MONTH(主页!$D$2),1),0)),"")</f>
        <v/>
      </c>
    </row>
    <row r="326" spans="1:10" x14ac:dyDescent="0.3">
      <c r="A326" s="135"/>
      <c r="B326" s="136"/>
      <c r="C326" s="138"/>
      <c r="D326" s="139"/>
      <c r="E326" s="141" t="str">
        <f t="shared" si="14"/>
        <v/>
      </c>
      <c r="F326" s="144"/>
      <c r="G326" s="146">
        <f t="shared" si="15"/>
        <v>0</v>
      </c>
      <c r="H326" s="141" t="str">
        <f t="shared" ref="H326:H389" si="16">IF(G326/SUM(G:G)=0,"",G326/SUM(G:G))</f>
        <v/>
      </c>
      <c r="J326" s="148" t="str">
        <f>IFERROR(SUMIFS(当年实际!$V:$V,当年实际!$H:$H,$B326,当年实际!$C:$C,"&gt;="&amp;DATE(YEAR(主页!$D$2),1,1),当年实际!$C:$C,"&lt;="&amp;EOMONTH(DATE(YEAR(主页!$D$2),MONTH(主页!$D$2),1),0))/SUMIFS(当年实际!$P:$P,当年实际!$H:$H,$B326,当年实际!$C:$C,"&gt;="&amp;DATE(YEAR(主页!$D$2),1,1),当年实际!$C:$C,"&lt;="&amp;EOMONTH(DATE(YEAR(主页!$D$2),MONTH(主页!$D$2),1),0)),"")</f>
        <v/>
      </c>
    </row>
    <row r="327" spans="1:10" x14ac:dyDescent="0.3">
      <c r="A327" s="135"/>
      <c r="B327" s="136"/>
      <c r="C327" s="138"/>
      <c r="D327" s="139"/>
      <c r="E327" s="141" t="str">
        <f t="shared" si="14"/>
        <v/>
      </c>
      <c r="F327" s="144"/>
      <c r="G327" s="146">
        <f t="shared" si="15"/>
        <v>0</v>
      </c>
      <c r="H327" s="141" t="str">
        <f t="shared" si="16"/>
        <v/>
      </c>
      <c r="J327" s="148" t="str">
        <f>IFERROR(SUMIFS(当年实际!$V:$V,当年实际!$H:$H,$B327,当年实际!$C:$C,"&gt;="&amp;DATE(YEAR(主页!$D$2),1,1),当年实际!$C:$C,"&lt;="&amp;EOMONTH(DATE(YEAR(主页!$D$2),MONTH(主页!$D$2),1),0))/SUMIFS(当年实际!$P:$P,当年实际!$H:$H,$B327,当年实际!$C:$C,"&gt;="&amp;DATE(YEAR(主页!$D$2),1,1),当年实际!$C:$C,"&lt;="&amp;EOMONTH(DATE(YEAR(主页!$D$2),MONTH(主页!$D$2),1),0)),"")</f>
        <v/>
      </c>
    </row>
    <row r="328" spans="1:10" x14ac:dyDescent="0.3">
      <c r="A328" s="135"/>
      <c r="B328" s="136"/>
      <c r="C328" s="138"/>
      <c r="D328" s="139"/>
      <c r="E328" s="141" t="str">
        <f t="shared" ref="E328:E391" si="17">IF(D328/SUM(D:D)=0,"",D328/SUM(D:D))</f>
        <v/>
      </c>
      <c r="F328" s="144"/>
      <c r="G328" s="146">
        <f t="shared" si="15"/>
        <v>0</v>
      </c>
      <c r="H328" s="141" t="str">
        <f t="shared" si="16"/>
        <v/>
      </c>
      <c r="J328" s="148" t="str">
        <f>IFERROR(SUMIFS(当年实际!$V:$V,当年实际!$H:$H,$B328,当年实际!$C:$C,"&gt;="&amp;DATE(YEAR(主页!$D$2),1,1),当年实际!$C:$C,"&lt;="&amp;EOMONTH(DATE(YEAR(主页!$D$2),MONTH(主页!$D$2),1),0))/SUMIFS(当年实际!$P:$P,当年实际!$H:$H,$B328,当年实际!$C:$C,"&gt;="&amp;DATE(YEAR(主页!$D$2),1,1),当年实际!$C:$C,"&lt;="&amp;EOMONTH(DATE(YEAR(主页!$D$2),MONTH(主页!$D$2),1),0)),"")</f>
        <v/>
      </c>
    </row>
    <row r="329" spans="1:10" x14ac:dyDescent="0.3">
      <c r="A329" s="135"/>
      <c r="B329" s="136"/>
      <c r="C329" s="138"/>
      <c r="D329" s="139"/>
      <c r="E329" s="141" t="str">
        <f t="shared" si="17"/>
        <v/>
      </c>
      <c r="F329" s="144"/>
      <c r="G329" s="146">
        <f t="shared" si="15"/>
        <v>0</v>
      </c>
      <c r="H329" s="141" t="str">
        <f t="shared" si="16"/>
        <v/>
      </c>
      <c r="J329" s="148" t="str">
        <f>IFERROR(SUMIFS(当年实际!$V:$V,当年实际!$H:$H,$B329,当年实际!$C:$C,"&gt;="&amp;DATE(YEAR(主页!$D$2),1,1),当年实际!$C:$C,"&lt;="&amp;EOMONTH(DATE(YEAR(主页!$D$2),MONTH(主页!$D$2),1),0))/SUMIFS(当年实际!$P:$P,当年实际!$H:$H,$B329,当年实际!$C:$C,"&gt;="&amp;DATE(YEAR(主页!$D$2),1,1),当年实际!$C:$C,"&lt;="&amp;EOMONTH(DATE(YEAR(主页!$D$2),MONTH(主页!$D$2),1),0)),"")</f>
        <v/>
      </c>
    </row>
    <row r="330" spans="1:10" x14ac:dyDescent="0.3">
      <c r="A330" s="135"/>
      <c r="B330" s="136"/>
      <c r="C330" s="138"/>
      <c r="D330" s="139"/>
      <c r="E330" s="141" t="str">
        <f t="shared" si="17"/>
        <v/>
      </c>
      <c r="F330" s="144"/>
      <c r="G330" s="146">
        <f t="shared" si="15"/>
        <v>0</v>
      </c>
      <c r="H330" s="141" t="str">
        <f t="shared" si="16"/>
        <v/>
      </c>
      <c r="J330" s="148" t="str">
        <f>IFERROR(SUMIFS(当年实际!$V:$V,当年实际!$H:$H,$B330,当年实际!$C:$C,"&gt;="&amp;DATE(YEAR(主页!$D$2),1,1),当年实际!$C:$C,"&lt;="&amp;EOMONTH(DATE(YEAR(主页!$D$2),MONTH(主页!$D$2),1),0))/SUMIFS(当年实际!$P:$P,当年实际!$H:$H,$B330,当年实际!$C:$C,"&gt;="&amp;DATE(YEAR(主页!$D$2),1,1),当年实际!$C:$C,"&lt;="&amp;EOMONTH(DATE(YEAR(主页!$D$2),MONTH(主页!$D$2),1),0)),"")</f>
        <v/>
      </c>
    </row>
    <row r="331" spans="1:10" x14ac:dyDescent="0.3">
      <c r="A331" s="135"/>
      <c r="B331" s="136"/>
      <c r="C331" s="138"/>
      <c r="D331" s="139"/>
      <c r="E331" s="141" t="str">
        <f t="shared" si="17"/>
        <v/>
      </c>
      <c r="F331" s="144"/>
      <c r="G331" s="146">
        <f t="shared" si="15"/>
        <v>0</v>
      </c>
      <c r="H331" s="141" t="str">
        <f t="shared" si="16"/>
        <v/>
      </c>
      <c r="J331" s="148" t="str">
        <f>IFERROR(SUMIFS(当年实际!$V:$V,当年实际!$H:$H,$B331,当年实际!$C:$C,"&gt;="&amp;DATE(YEAR(主页!$D$2),1,1),当年实际!$C:$C,"&lt;="&amp;EOMONTH(DATE(YEAR(主页!$D$2),MONTH(主页!$D$2),1),0))/SUMIFS(当年实际!$P:$P,当年实际!$H:$H,$B331,当年实际!$C:$C,"&gt;="&amp;DATE(YEAR(主页!$D$2),1,1),当年实际!$C:$C,"&lt;="&amp;EOMONTH(DATE(YEAR(主页!$D$2),MONTH(主页!$D$2),1),0)),"")</f>
        <v/>
      </c>
    </row>
    <row r="332" spans="1:10" x14ac:dyDescent="0.3">
      <c r="A332" s="135"/>
      <c r="B332" s="136"/>
      <c r="C332" s="138"/>
      <c r="D332" s="139"/>
      <c r="E332" s="141" t="str">
        <f t="shared" si="17"/>
        <v/>
      </c>
      <c r="F332" s="144"/>
      <c r="G332" s="146">
        <f t="shared" si="15"/>
        <v>0</v>
      </c>
      <c r="H332" s="141" t="str">
        <f t="shared" si="16"/>
        <v/>
      </c>
      <c r="J332" s="148" t="str">
        <f>IFERROR(SUMIFS(当年实际!$V:$V,当年实际!$H:$H,$B332,当年实际!$C:$C,"&gt;="&amp;DATE(YEAR(主页!$D$2),1,1),当年实际!$C:$C,"&lt;="&amp;EOMONTH(DATE(YEAR(主页!$D$2),MONTH(主页!$D$2),1),0))/SUMIFS(当年实际!$P:$P,当年实际!$H:$H,$B332,当年实际!$C:$C,"&gt;="&amp;DATE(YEAR(主页!$D$2),1,1),当年实际!$C:$C,"&lt;="&amp;EOMONTH(DATE(YEAR(主页!$D$2),MONTH(主页!$D$2),1),0)),"")</f>
        <v/>
      </c>
    </row>
    <row r="333" spans="1:10" x14ac:dyDescent="0.3">
      <c r="A333" s="135"/>
      <c r="B333" s="136"/>
      <c r="C333" s="138"/>
      <c r="D333" s="139"/>
      <c r="E333" s="141" t="str">
        <f t="shared" si="17"/>
        <v/>
      </c>
      <c r="F333" s="144"/>
      <c r="G333" s="146">
        <f t="shared" si="15"/>
        <v>0</v>
      </c>
      <c r="H333" s="141" t="str">
        <f t="shared" si="16"/>
        <v/>
      </c>
      <c r="J333" s="148" t="str">
        <f>IFERROR(SUMIFS(当年实际!$V:$V,当年实际!$H:$H,$B333,当年实际!$C:$C,"&gt;="&amp;DATE(YEAR(主页!$D$2),1,1),当年实际!$C:$C,"&lt;="&amp;EOMONTH(DATE(YEAR(主页!$D$2),MONTH(主页!$D$2),1),0))/SUMIFS(当年实际!$P:$P,当年实际!$H:$H,$B333,当年实际!$C:$C,"&gt;="&amp;DATE(YEAR(主页!$D$2),1,1),当年实际!$C:$C,"&lt;="&amp;EOMONTH(DATE(YEAR(主页!$D$2),MONTH(主页!$D$2),1),0)),"")</f>
        <v/>
      </c>
    </row>
    <row r="334" spans="1:10" x14ac:dyDescent="0.3">
      <c r="A334" s="135"/>
      <c r="B334" s="136"/>
      <c r="C334" s="138"/>
      <c r="D334" s="139"/>
      <c r="E334" s="141" t="str">
        <f t="shared" si="17"/>
        <v/>
      </c>
      <c r="F334" s="144"/>
      <c r="G334" s="146">
        <f t="shared" si="15"/>
        <v>0</v>
      </c>
      <c r="H334" s="141" t="str">
        <f t="shared" si="16"/>
        <v/>
      </c>
      <c r="J334" s="148" t="str">
        <f>IFERROR(SUMIFS(当年实际!$V:$V,当年实际!$H:$H,$B334,当年实际!$C:$C,"&gt;="&amp;DATE(YEAR(主页!$D$2),1,1),当年实际!$C:$C,"&lt;="&amp;EOMONTH(DATE(YEAR(主页!$D$2),MONTH(主页!$D$2),1),0))/SUMIFS(当年实际!$P:$P,当年实际!$H:$H,$B334,当年实际!$C:$C,"&gt;="&amp;DATE(YEAR(主页!$D$2),1,1),当年实际!$C:$C,"&lt;="&amp;EOMONTH(DATE(YEAR(主页!$D$2),MONTH(主页!$D$2),1),0)),"")</f>
        <v/>
      </c>
    </row>
    <row r="335" spans="1:10" x14ac:dyDescent="0.3">
      <c r="A335" s="135"/>
      <c r="B335" s="136"/>
      <c r="C335" s="138"/>
      <c r="D335" s="139"/>
      <c r="E335" s="141" t="str">
        <f t="shared" si="17"/>
        <v/>
      </c>
      <c r="F335" s="144"/>
      <c r="G335" s="146">
        <f t="shared" si="15"/>
        <v>0</v>
      </c>
      <c r="H335" s="141" t="str">
        <f t="shared" si="16"/>
        <v/>
      </c>
      <c r="J335" s="148" t="str">
        <f>IFERROR(SUMIFS(当年实际!$V:$V,当年实际!$H:$H,$B335,当年实际!$C:$C,"&gt;="&amp;DATE(YEAR(主页!$D$2),1,1),当年实际!$C:$C,"&lt;="&amp;EOMONTH(DATE(YEAR(主页!$D$2),MONTH(主页!$D$2),1),0))/SUMIFS(当年实际!$P:$P,当年实际!$H:$H,$B335,当年实际!$C:$C,"&gt;="&amp;DATE(YEAR(主页!$D$2),1,1),当年实际!$C:$C,"&lt;="&amp;EOMONTH(DATE(YEAR(主页!$D$2),MONTH(主页!$D$2),1),0)),"")</f>
        <v/>
      </c>
    </row>
    <row r="336" spans="1:10" x14ac:dyDescent="0.3">
      <c r="A336" s="135"/>
      <c r="B336" s="136"/>
      <c r="C336" s="138"/>
      <c r="D336" s="139"/>
      <c r="E336" s="141" t="str">
        <f t="shared" si="17"/>
        <v/>
      </c>
      <c r="F336" s="144"/>
      <c r="G336" s="146">
        <f t="shared" si="15"/>
        <v>0</v>
      </c>
      <c r="H336" s="141" t="str">
        <f t="shared" si="16"/>
        <v/>
      </c>
      <c r="J336" s="148" t="str">
        <f>IFERROR(SUMIFS(当年实际!$V:$V,当年实际!$H:$H,$B336,当年实际!$C:$C,"&gt;="&amp;DATE(YEAR(主页!$D$2),1,1),当年实际!$C:$C,"&lt;="&amp;EOMONTH(DATE(YEAR(主页!$D$2),MONTH(主页!$D$2),1),0))/SUMIFS(当年实际!$P:$P,当年实际!$H:$H,$B336,当年实际!$C:$C,"&gt;="&amp;DATE(YEAR(主页!$D$2),1,1),当年实际!$C:$C,"&lt;="&amp;EOMONTH(DATE(YEAR(主页!$D$2),MONTH(主页!$D$2),1),0)),"")</f>
        <v/>
      </c>
    </row>
    <row r="337" spans="1:10" x14ac:dyDescent="0.3">
      <c r="A337" s="135"/>
      <c r="B337" s="136"/>
      <c r="C337" s="138"/>
      <c r="D337" s="139"/>
      <c r="E337" s="141" t="str">
        <f t="shared" si="17"/>
        <v/>
      </c>
      <c r="F337" s="144"/>
      <c r="G337" s="146">
        <f t="shared" si="15"/>
        <v>0</v>
      </c>
      <c r="H337" s="141" t="str">
        <f t="shared" si="16"/>
        <v/>
      </c>
      <c r="J337" s="148" t="str">
        <f>IFERROR(SUMIFS(当年实际!$V:$V,当年实际!$H:$H,$B337,当年实际!$C:$C,"&gt;="&amp;DATE(YEAR(主页!$D$2),1,1),当年实际!$C:$C,"&lt;="&amp;EOMONTH(DATE(YEAR(主页!$D$2),MONTH(主页!$D$2),1),0))/SUMIFS(当年实际!$P:$P,当年实际!$H:$H,$B337,当年实际!$C:$C,"&gt;="&amp;DATE(YEAR(主页!$D$2),1,1),当年实际!$C:$C,"&lt;="&amp;EOMONTH(DATE(YEAR(主页!$D$2),MONTH(主页!$D$2),1),0)),"")</f>
        <v/>
      </c>
    </row>
    <row r="338" spans="1:10" x14ac:dyDescent="0.3">
      <c r="A338" s="135"/>
      <c r="B338" s="136"/>
      <c r="C338" s="138"/>
      <c r="D338" s="139"/>
      <c r="E338" s="141" t="str">
        <f t="shared" si="17"/>
        <v/>
      </c>
      <c r="F338" s="144"/>
      <c r="G338" s="146">
        <f t="shared" si="15"/>
        <v>0</v>
      </c>
      <c r="H338" s="141" t="str">
        <f t="shared" si="16"/>
        <v/>
      </c>
      <c r="J338" s="148" t="str">
        <f>IFERROR(SUMIFS(当年实际!$V:$V,当年实际!$H:$H,$B338,当年实际!$C:$C,"&gt;="&amp;DATE(YEAR(主页!$D$2),1,1),当年实际!$C:$C,"&lt;="&amp;EOMONTH(DATE(YEAR(主页!$D$2),MONTH(主页!$D$2),1),0))/SUMIFS(当年实际!$P:$P,当年实际!$H:$H,$B338,当年实际!$C:$C,"&gt;="&amp;DATE(YEAR(主页!$D$2),1,1),当年实际!$C:$C,"&lt;="&amp;EOMONTH(DATE(YEAR(主页!$D$2),MONTH(主页!$D$2),1),0)),"")</f>
        <v/>
      </c>
    </row>
    <row r="339" spans="1:10" x14ac:dyDescent="0.3">
      <c r="A339" s="135"/>
      <c r="B339" s="136"/>
      <c r="C339" s="138"/>
      <c r="D339" s="139"/>
      <c r="E339" s="141" t="str">
        <f t="shared" si="17"/>
        <v/>
      </c>
      <c r="F339" s="144"/>
      <c r="G339" s="146">
        <f t="shared" si="15"/>
        <v>0</v>
      </c>
      <c r="H339" s="141" t="str">
        <f t="shared" si="16"/>
        <v/>
      </c>
      <c r="J339" s="148" t="str">
        <f>IFERROR(SUMIFS(当年实际!$V:$V,当年实际!$H:$H,$B339,当年实际!$C:$C,"&gt;="&amp;DATE(YEAR(主页!$D$2),1,1),当年实际!$C:$C,"&lt;="&amp;EOMONTH(DATE(YEAR(主页!$D$2),MONTH(主页!$D$2),1),0))/SUMIFS(当年实际!$P:$P,当年实际!$H:$H,$B339,当年实际!$C:$C,"&gt;="&amp;DATE(YEAR(主页!$D$2),1,1),当年实际!$C:$C,"&lt;="&amp;EOMONTH(DATE(YEAR(主页!$D$2),MONTH(主页!$D$2),1),0)),"")</f>
        <v/>
      </c>
    </row>
    <row r="340" spans="1:10" x14ac:dyDescent="0.3">
      <c r="A340" s="135"/>
      <c r="B340" s="136"/>
      <c r="C340" s="138"/>
      <c r="D340" s="139"/>
      <c r="E340" s="141" t="str">
        <f t="shared" si="17"/>
        <v/>
      </c>
      <c r="F340" s="144"/>
      <c r="G340" s="146">
        <f t="shared" si="15"/>
        <v>0</v>
      </c>
      <c r="H340" s="141" t="str">
        <f t="shared" si="16"/>
        <v/>
      </c>
      <c r="J340" s="148" t="str">
        <f>IFERROR(SUMIFS(当年实际!$V:$V,当年实际!$H:$H,$B340,当年实际!$C:$C,"&gt;="&amp;DATE(YEAR(主页!$D$2),1,1),当年实际!$C:$C,"&lt;="&amp;EOMONTH(DATE(YEAR(主页!$D$2),MONTH(主页!$D$2),1),0))/SUMIFS(当年实际!$P:$P,当年实际!$H:$H,$B340,当年实际!$C:$C,"&gt;="&amp;DATE(YEAR(主页!$D$2),1,1),当年实际!$C:$C,"&lt;="&amp;EOMONTH(DATE(YEAR(主页!$D$2),MONTH(主页!$D$2),1),0)),"")</f>
        <v/>
      </c>
    </row>
    <row r="341" spans="1:10" x14ac:dyDescent="0.3">
      <c r="A341" s="135"/>
      <c r="B341" s="136"/>
      <c r="C341" s="138"/>
      <c r="D341" s="139"/>
      <c r="E341" s="141" t="str">
        <f t="shared" si="17"/>
        <v/>
      </c>
      <c r="F341" s="144"/>
      <c r="G341" s="146">
        <f t="shared" si="15"/>
        <v>0</v>
      </c>
      <c r="H341" s="141" t="str">
        <f t="shared" si="16"/>
        <v/>
      </c>
      <c r="J341" s="148" t="str">
        <f>IFERROR(SUMIFS(当年实际!$V:$V,当年实际!$H:$H,$B341,当年实际!$C:$C,"&gt;="&amp;DATE(YEAR(主页!$D$2),1,1),当年实际!$C:$C,"&lt;="&amp;EOMONTH(DATE(YEAR(主页!$D$2),MONTH(主页!$D$2),1),0))/SUMIFS(当年实际!$P:$P,当年实际!$H:$H,$B341,当年实际!$C:$C,"&gt;="&amp;DATE(YEAR(主页!$D$2),1,1),当年实际!$C:$C,"&lt;="&amp;EOMONTH(DATE(YEAR(主页!$D$2),MONTH(主页!$D$2),1),0)),"")</f>
        <v/>
      </c>
    </row>
    <row r="342" spans="1:10" x14ac:dyDescent="0.3">
      <c r="A342" s="135"/>
      <c r="B342" s="136"/>
      <c r="C342" s="138"/>
      <c r="D342" s="139"/>
      <c r="E342" s="141" t="str">
        <f t="shared" si="17"/>
        <v/>
      </c>
      <c r="F342" s="144"/>
      <c r="G342" s="146">
        <f t="shared" si="15"/>
        <v>0</v>
      </c>
      <c r="H342" s="141" t="str">
        <f t="shared" si="16"/>
        <v/>
      </c>
      <c r="J342" s="148" t="str">
        <f>IFERROR(SUMIFS(当年实际!$V:$V,当年实际!$H:$H,$B342,当年实际!$C:$C,"&gt;="&amp;DATE(YEAR(主页!$D$2),1,1),当年实际!$C:$C,"&lt;="&amp;EOMONTH(DATE(YEAR(主页!$D$2),MONTH(主页!$D$2),1),0))/SUMIFS(当年实际!$P:$P,当年实际!$H:$H,$B342,当年实际!$C:$C,"&gt;="&amp;DATE(YEAR(主页!$D$2),1,1),当年实际!$C:$C,"&lt;="&amp;EOMONTH(DATE(YEAR(主页!$D$2),MONTH(主页!$D$2),1),0)),"")</f>
        <v/>
      </c>
    </row>
    <row r="343" spans="1:10" x14ac:dyDescent="0.3">
      <c r="A343" s="135"/>
      <c r="B343" s="136"/>
      <c r="C343" s="138"/>
      <c r="D343" s="139"/>
      <c r="E343" s="141" t="str">
        <f t="shared" si="17"/>
        <v/>
      </c>
      <c r="F343" s="144"/>
      <c r="G343" s="146">
        <f t="shared" si="15"/>
        <v>0</v>
      </c>
      <c r="H343" s="141" t="str">
        <f t="shared" si="16"/>
        <v/>
      </c>
      <c r="J343" s="148" t="str">
        <f>IFERROR(SUMIFS(当年实际!$V:$V,当年实际!$H:$H,$B343,当年实际!$C:$C,"&gt;="&amp;DATE(YEAR(主页!$D$2),1,1),当年实际!$C:$C,"&lt;="&amp;EOMONTH(DATE(YEAR(主页!$D$2),MONTH(主页!$D$2),1),0))/SUMIFS(当年实际!$P:$P,当年实际!$H:$H,$B343,当年实际!$C:$C,"&gt;="&amp;DATE(YEAR(主页!$D$2),1,1),当年实际!$C:$C,"&lt;="&amp;EOMONTH(DATE(YEAR(主页!$D$2),MONTH(主页!$D$2),1),0)),"")</f>
        <v/>
      </c>
    </row>
    <row r="344" spans="1:10" x14ac:dyDescent="0.3">
      <c r="A344" s="135"/>
      <c r="B344" s="136"/>
      <c r="C344" s="138"/>
      <c r="D344" s="139"/>
      <c r="E344" s="141" t="str">
        <f t="shared" si="17"/>
        <v/>
      </c>
      <c r="F344" s="144"/>
      <c r="G344" s="146">
        <f t="shared" si="15"/>
        <v>0</v>
      </c>
      <c r="H344" s="141" t="str">
        <f t="shared" si="16"/>
        <v/>
      </c>
      <c r="J344" s="148" t="str">
        <f>IFERROR(SUMIFS(当年实际!$V:$V,当年实际!$H:$H,$B344,当年实际!$C:$C,"&gt;="&amp;DATE(YEAR(主页!$D$2),1,1),当年实际!$C:$C,"&lt;="&amp;EOMONTH(DATE(YEAR(主页!$D$2),MONTH(主页!$D$2),1),0))/SUMIFS(当年实际!$P:$P,当年实际!$H:$H,$B344,当年实际!$C:$C,"&gt;="&amp;DATE(YEAR(主页!$D$2),1,1),当年实际!$C:$C,"&lt;="&amp;EOMONTH(DATE(YEAR(主页!$D$2),MONTH(主页!$D$2),1),0)),"")</f>
        <v/>
      </c>
    </row>
    <row r="345" spans="1:10" x14ac:dyDescent="0.3">
      <c r="A345" s="135"/>
      <c r="B345" s="136"/>
      <c r="C345" s="138"/>
      <c r="D345" s="139"/>
      <c r="E345" s="141" t="str">
        <f t="shared" si="17"/>
        <v/>
      </c>
      <c r="F345" s="144"/>
      <c r="G345" s="146">
        <f t="shared" si="15"/>
        <v>0</v>
      </c>
      <c r="H345" s="141" t="str">
        <f t="shared" si="16"/>
        <v/>
      </c>
      <c r="J345" s="148" t="str">
        <f>IFERROR(SUMIFS(当年实际!$V:$V,当年实际!$H:$H,$B345,当年实际!$C:$C,"&gt;="&amp;DATE(YEAR(主页!$D$2),1,1),当年实际!$C:$C,"&lt;="&amp;EOMONTH(DATE(YEAR(主页!$D$2),MONTH(主页!$D$2),1),0))/SUMIFS(当年实际!$P:$P,当年实际!$H:$H,$B345,当年实际!$C:$C,"&gt;="&amp;DATE(YEAR(主页!$D$2),1,1),当年实际!$C:$C,"&lt;="&amp;EOMONTH(DATE(YEAR(主页!$D$2),MONTH(主页!$D$2),1),0)),"")</f>
        <v/>
      </c>
    </row>
    <row r="346" spans="1:10" x14ac:dyDescent="0.3">
      <c r="A346" s="135"/>
      <c r="B346" s="136"/>
      <c r="C346" s="138"/>
      <c r="D346" s="139"/>
      <c r="E346" s="141" t="str">
        <f t="shared" si="17"/>
        <v/>
      </c>
      <c r="F346" s="144"/>
      <c r="G346" s="146">
        <f t="shared" si="15"/>
        <v>0</v>
      </c>
      <c r="H346" s="141" t="str">
        <f t="shared" si="16"/>
        <v/>
      </c>
      <c r="J346" s="148" t="str">
        <f>IFERROR(SUMIFS(当年实际!$V:$V,当年实际!$H:$H,$B346,当年实际!$C:$C,"&gt;="&amp;DATE(YEAR(主页!$D$2),1,1),当年实际!$C:$C,"&lt;="&amp;EOMONTH(DATE(YEAR(主页!$D$2),MONTH(主页!$D$2),1),0))/SUMIFS(当年实际!$P:$P,当年实际!$H:$H,$B346,当年实际!$C:$C,"&gt;="&amp;DATE(YEAR(主页!$D$2),1,1),当年实际!$C:$C,"&lt;="&amp;EOMONTH(DATE(YEAR(主页!$D$2),MONTH(主页!$D$2),1),0)),"")</f>
        <v/>
      </c>
    </row>
    <row r="347" spans="1:10" x14ac:dyDescent="0.3">
      <c r="A347" s="135"/>
      <c r="B347" s="136"/>
      <c r="C347" s="138"/>
      <c r="D347" s="139"/>
      <c r="E347" s="141" t="str">
        <f t="shared" si="17"/>
        <v/>
      </c>
      <c r="F347" s="144"/>
      <c r="G347" s="146">
        <f t="shared" si="15"/>
        <v>0</v>
      </c>
      <c r="H347" s="141" t="str">
        <f t="shared" si="16"/>
        <v/>
      </c>
      <c r="J347" s="148" t="str">
        <f>IFERROR(SUMIFS(当年实际!$V:$V,当年实际!$H:$H,$B347,当年实际!$C:$C,"&gt;="&amp;DATE(YEAR(主页!$D$2),1,1),当年实际!$C:$C,"&lt;="&amp;EOMONTH(DATE(YEAR(主页!$D$2),MONTH(主页!$D$2),1),0))/SUMIFS(当年实际!$P:$P,当年实际!$H:$H,$B347,当年实际!$C:$C,"&gt;="&amp;DATE(YEAR(主页!$D$2),1,1),当年实际!$C:$C,"&lt;="&amp;EOMONTH(DATE(YEAR(主页!$D$2),MONTH(主页!$D$2),1),0)),"")</f>
        <v/>
      </c>
    </row>
    <row r="348" spans="1:10" x14ac:dyDescent="0.3">
      <c r="A348" s="135"/>
      <c r="B348" s="136"/>
      <c r="C348" s="138"/>
      <c r="D348" s="139"/>
      <c r="E348" s="141" t="str">
        <f t="shared" si="17"/>
        <v/>
      </c>
      <c r="F348" s="144"/>
      <c r="G348" s="146">
        <f t="shared" si="15"/>
        <v>0</v>
      </c>
      <c r="H348" s="141" t="str">
        <f t="shared" si="16"/>
        <v/>
      </c>
      <c r="J348" s="148" t="str">
        <f>IFERROR(SUMIFS(当年实际!$V:$V,当年实际!$H:$H,$B348,当年实际!$C:$C,"&gt;="&amp;DATE(YEAR(主页!$D$2),1,1),当年实际!$C:$C,"&lt;="&amp;EOMONTH(DATE(YEAR(主页!$D$2),MONTH(主页!$D$2),1),0))/SUMIFS(当年实际!$P:$P,当年实际!$H:$H,$B348,当年实际!$C:$C,"&gt;="&amp;DATE(YEAR(主页!$D$2),1,1),当年实际!$C:$C,"&lt;="&amp;EOMONTH(DATE(YEAR(主页!$D$2),MONTH(主页!$D$2),1),0)),"")</f>
        <v/>
      </c>
    </row>
    <row r="349" spans="1:10" x14ac:dyDescent="0.3">
      <c r="A349" s="135"/>
      <c r="B349" s="136"/>
      <c r="C349" s="138"/>
      <c r="D349" s="139"/>
      <c r="E349" s="141" t="str">
        <f t="shared" si="17"/>
        <v/>
      </c>
      <c r="F349" s="144"/>
      <c r="G349" s="146">
        <f t="shared" si="15"/>
        <v>0</v>
      </c>
      <c r="H349" s="141" t="str">
        <f t="shared" si="16"/>
        <v/>
      </c>
      <c r="J349" s="148" t="str">
        <f>IFERROR(SUMIFS(当年实际!$V:$V,当年实际!$H:$H,$B349,当年实际!$C:$C,"&gt;="&amp;DATE(YEAR(主页!$D$2),1,1),当年实际!$C:$C,"&lt;="&amp;EOMONTH(DATE(YEAR(主页!$D$2),MONTH(主页!$D$2),1),0))/SUMIFS(当年实际!$P:$P,当年实际!$H:$H,$B349,当年实际!$C:$C,"&gt;="&amp;DATE(YEAR(主页!$D$2),1,1),当年实际!$C:$C,"&lt;="&amp;EOMONTH(DATE(YEAR(主页!$D$2),MONTH(主页!$D$2),1),0)),"")</f>
        <v/>
      </c>
    </row>
    <row r="350" spans="1:10" x14ac:dyDescent="0.3">
      <c r="A350" s="135"/>
      <c r="B350" s="136"/>
      <c r="C350" s="138"/>
      <c r="D350" s="139"/>
      <c r="E350" s="141" t="str">
        <f t="shared" si="17"/>
        <v/>
      </c>
      <c r="F350" s="144"/>
      <c r="G350" s="146">
        <f t="shared" si="15"/>
        <v>0</v>
      </c>
      <c r="H350" s="141" t="str">
        <f t="shared" si="16"/>
        <v/>
      </c>
      <c r="J350" s="148" t="str">
        <f>IFERROR(SUMIFS(当年实际!$V:$V,当年实际!$H:$H,$B350,当年实际!$C:$C,"&gt;="&amp;DATE(YEAR(主页!$D$2),1,1),当年实际!$C:$C,"&lt;="&amp;EOMONTH(DATE(YEAR(主页!$D$2),MONTH(主页!$D$2),1),0))/SUMIFS(当年实际!$P:$P,当年实际!$H:$H,$B350,当年实际!$C:$C,"&gt;="&amp;DATE(YEAR(主页!$D$2),1,1),当年实际!$C:$C,"&lt;="&amp;EOMONTH(DATE(YEAR(主页!$D$2),MONTH(主页!$D$2),1),0)),"")</f>
        <v/>
      </c>
    </row>
    <row r="351" spans="1:10" x14ac:dyDescent="0.3">
      <c r="A351" s="135"/>
      <c r="B351" s="136"/>
      <c r="C351" s="138"/>
      <c r="D351" s="139"/>
      <c r="E351" s="141" t="str">
        <f t="shared" si="17"/>
        <v/>
      </c>
      <c r="F351" s="144"/>
      <c r="G351" s="146">
        <f t="shared" si="15"/>
        <v>0</v>
      </c>
      <c r="H351" s="141" t="str">
        <f t="shared" si="16"/>
        <v/>
      </c>
      <c r="J351" s="148" t="str">
        <f>IFERROR(SUMIFS(当年实际!$V:$V,当年实际!$H:$H,$B351,当年实际!$C:$C,"&gt;="&amp;DATE(YEAR(主页!$D$2),1,1),当年实际!$C:$C,"&lt;="&amp;EOMONTH(DATE(YEAR(主页!$D$2),MONTH(主页!$D$2),1),0))/SUMIFS(当年实际!$P:$P,当年实际!$H:$H,$B351,当年实际!$C:$C,"&gt;="&amp;DATE(YEAR(主页!$D$2),1,1),当年实际!$C:$C,"&lt;="&amp;EOMONTH(DATE(YEAR(主页!$D$2),MONTH(主页!$D$2),1),0)),"")</f>
        <v/>
      </c>
    </row>
    <row r="352" spans="1:10" x14ac:dyDescent="0.3">
      <c r="A352" s="135"/>
      <c r="B352" s="136"/>
      <c r="C352" s="138"/>
      <c r="D352" s="139"/>
      <c r="E352" s="141" t="str">
        <f t="shared" si="17"/>
        <v/>
      </c>
      <c r="F352" s="144"/>
      <c r="G352" s="146">
        <f t="shared" si="15"/>
        <v>0</v>
      </c>
      <c r="H352" s="141" t="str">
        <f t="shared" si="16"/>
        <v/>
      </c>
      <c r="J352" s="148" t="str">
        <f>IFERROR(SUMIFS(当年实际!$V:$V,当年实际!$H:$H,$B352,当年实际!$C:$C,"&gt;="&amp;DATE(YEAR(主页!$D$2),1,1),当年实际!$C:$C,"&lt;="&amp;EOMONTH(DATE(YEAR(主页!$D$2),MONTH(主页!$D$2),1),0))/SUMIFS(当年实际!$P:$P,当年实际!$H:$H,$B352,当年实际!$C:$C,"&gt;="&amp;DATE(YEAR(主页!$D$2),1,1),当年实际!$C:$C,"&lt;="&amp;EOMONTH(DATE(YEAR(主页!$D$2),MONTH(主页!$D$2),1),0)),"")</f>
        <v/>
      </c>
    </row>
    <row r="353" spans="1:10" x14ac:dyDescent="0.3">
      <c r="A353" s="135"/>
      <c r="B353" s="136"/>
      <c r="C353" s="138"/>
      <c r="D353" s="139"/>
      <c r="E353" s="141" t="str">
        <f t="shared" si="17"/>
        <v/>
      </c>
      <c r="F353" s="144"/>
      <c r="G353" s="146">
        <f t="shared" si="15"/>
        <v>0</v>
      </c>
      <c r="H353" s="141" t="str">
        <f t="shared" si="16"/>
        <v/>
      </c>
      <c r="J353" s="148" t="str">
        <f>IFERROR(SUMIFS(当年实际!$V:$V,当年实际!$H:$H,$B353,当年实际!$C:$C,"&gt;="&amp;DATE(YEAR(主页!$D$2),1,1),当年实际!$C:$C,"&lt;="&amp;EOMONTH(DATE(YEAR(主页!$D$2),MONTH(主页!$D$2),1),0))/SUMIFS(当年实际!$P:$P,当年实际!$H:$H,$B353,当年实际!$C:$C,"&gt;="&amp;DATE(YEAR(主页!$D$2),1,1),当年实际!$C:$C,"&lt;="&amp;EOMONTH(DATE(YEAR(主页!$D$2),MONTH(主页!$D$2),1),0)),"")</f>
        <v/>
      </c>
    </row>
    <row r="354" spans="1:10" x14ac:dyDescent="0.3">
      <c r="A354" s="135"/>
      <c r="B354" s="136"/>
      <c r="C354" s="138"/>
      <c r="D354" s="139"/>
      <c r="E354" s="141" t="str">
        <f t="shared" si="17"/>
        <v/>
      </c>
      <c r="F354" s="144"/>
      <c r="G354" s="146">
        <f t="shared" si="15"/>
        <v>0</v>
      </c>
      <c r="H354" s="141" t="str">
        <f t="shared" si="16"/>
        <v/>
      </c>
      <c r="J354" s="148" t="str">
        <f>IFERROR(SUMIFS(当年实际!$V:$V,当年实际!$H:$H,$B354,当年实际!$C:$C,"&gt;="&amp;DATE(YEAR(主页!$D$2),1,1),当年实际!$C:$C,"&lt;="&amp;EOMONTH(DATE(YEAR(主页!$D$2),MONTH(主页!$D$2),1),0))/SUMIFS(当年实际!$P:$P,当年实际!$H:$H,$B354,当年实际!$C:$C,"&gt;="&amp;DATE(YEAR(主页!$D$2),1,1),当年实际!$C:$C,"&lt;="&amp;EOMONTH(DATE(YEAR(主页!$D$2),MONTH(主页!$D$2),1),0)),"")</f>
        <v/>
      </c>
    </row>
    <row r="355" spans="1:10" x14ac:dyDescent="0.3">
      <c r="A355" s="135"/>
      <c r="B355" s="136"/>
      <c r="C355" s="138"/>
      <c r="D355" s="139"/>
      <c r="E355" s="141" t="str">
        <f t="shared" si="17"/>
        <v/>
      </c>
      <c r="F355" s="144"/>
      <c r="G355" s="146">
        <f t="shared" si="15"/>
        <v>0</v>
      </c>
      <c r="H355" s="141" t="str">
        <f t="shared" si="16"/>
        <v/>
      </c>
      <c r="J355" s="148" t="str">
        <f>IFERROR(SUMIFS(当年实际!$V:$V,当年实际!$H:$H,$B355,当年实际!$C:$C,"&gt;="&amp;DATE(YEAR(主页!$D$2),1,1),当年实际!$C:$C,"&lt;="&amp;EOMONTH(DATE(YEAR(主页!$D$2),MONTH(主页!$D$2),1),0))/SUMIFS(当年实际!$P:$P,当年实际!$H:$H,$B355,当年实际!$C:$C,"&gt;="&amp;DATE(YEAR(主页!$D$2),1,1),当年实际!$C:$C,"&lt;="&amp;EOMONTH(DATE(YEAR(主页!$D$2),MONTH(主页!$D$2),1),0)),"")</f>
        <v/>
      </c>
    </row>
    <row r="356" spans="1:10" x14ac:dyDescent="0.3">
      <c r="A356" s="135"/>
      <c r="B356" s="136"/>
      <c r="C356" s="138"/>
      <c r="D356" s="139"/>
      <c r="E356" s="141" t="str">
        <f t="shared" si="17"/>
        <v/>
      </c>
      <c r="F356" s="144"/>
      <c r="G356" s="146">
        <f t="shared" si="15"/>
        <v>0</v>
      </c>
      <c r="H356" s="141" t="str">
        <f t="shared" si="16"/>
        <v/>
      </c>
      <c r="J356" s="148" t="str">
        <f>IFERROR(SUMIFS(当年实际!$V:$V,当年实际!$H:$H,$B356,当年实际!$C:$C,"&gt;="&amp;DATE(YEAR(主页!$D$2),1,1),当年实际!$C:$C,"&lt;="&amp;EOMONTH(DATE(YEAR(主页!$D$2),MONTH(主页!$D$2),1),0))/SUMIFS(当年实际!$P:$P,当年实际!$H:$H,$B356,当年实际!$C:$C,"&gt;="&amp;DATE(YEAR(主页!$D$2),1,1),当年实际!$C:$C,"&lt;="&amp;EOMONTH(DATE(YEAR(主页!$D$2),MONTH(主页!$D$2),1),0)),"")</f>
        <v/>
      </c>
    </row>
    <row r="357" spans="1:10" x14ac:dyDescent="0.3">
      <c r="A357" s="135"/>
      <c r="B357" s="136"/>
      <c r="C357" s="138"/>
      <c r="D357" s="139"/>
      <c r="E357" s="141" t="str">
        <f t="shared" si="17"/>
        <v/>
      </c>
      <c r="F357" s="144"/>
      <c r="G357" s="146">
        <f t="shared" si="15"/>
        <v>0</v>
      </c>
      <c r="H357" s="141" t="str">
        <f t="shared" si="16"/>
        <v/>
      </c>
      <c r="J357" s="148" t="str">
        <f>IFERROR(SUMIFS(当年实际!$V:$V,当年实际!$H:$H,$B357,当年实际!$C:$C,"&gt;="&amp;DATE(YEAR(主页!$D$2),1,1),当年实际!$C:$C,"&lt;="&amp;EOMONTH(DATE(YEAR(主页!$D$2),MONTH(主页!$D$2),1),0))/SUMIFS(当年实际!$P:$P,当年实际!$H:$H,$B357,当年实际!$C:$C,"&gt;="&amp;DATE(YEAR(主页!$D$2),1,1),当年实际!$C:$C,"&lt;="&amp;EOMONTH(DATE(YEAR(主页!$D$2),MONTH(主页!$D$2),1),0)),"")</f>
        <v/>
      </c>
    </row>
    <row r="358" spans="1:10" x14ac:dyDescent="0.3">
      <c r="A358" s="135"/>
      <c r="B358" s="136"/>
      <c r="C358" s="138"/>
      <c r="D358" s="139"/>
      <c r="E358" s="141" t="str">
        <f t="shared" si="17"/>
        <v/>
      </c>
      <c r="F358" s="144"/>
      <c r="G358" s="146">
        <f t="shared" si="15"/>
        <v>0</v>
      </c>
      <c r="H358" s="141" t="str">
        <f t="shared" si="16"/>
        <v/>
      </c>
      <c r="J358" s="148" t="str">
        <f>IFERROR(SUMIFS(当年实际!$V:$V,当年实际!$H:$H,$B358,当年实际!$C:$C,"&gt;="&amp;DATE(YEAR(主页!$D$2),1,1),当年实际!$C:$C,"&lt;="&amp;EOMONTH(DATE(YEAR(主页!$D$2),MONTH(主页!$D$2),1),0))/SUMIFS(当年实际!$P:$P,当年实际!$H:$H,$B358,当年实际!$C:$C,"&gt;="&amp;DATE(YEAR(主页!$D$2),1,1),当年实际!$C:$C,"&lt;="&amp;EOMONTH(DATE(YEAR(主页!$D$2),MONTH(主页!$D$2),1),0)),"")</f>
        <v/>
      </c>
    </row>
    <row r="359" spans="1:10" x14ac:dyDescent="0.3">
      <c r="A359" s="135"/>
      <c r="B359" s="136"/>
      <c r="C359" s="138"/>
      <c r="D359" s="139"/>
      <c r="E359" s="141" t="str">
        <f t="shared" si="17"/>
        <v/>
      </c>
      <c r="F359" s="144"/>
      <c r="G359" s="146">
        <f t="shared" si="15"/>
        <v>0</v>
      </c>
      <c r="H359" s="141" t="str">
        <f t="shared" si="16"/>
        <v/>
      </c>
      <c r="J359" s="148" t="str">
        <f>IFERROR(SUMIFS(当年实际!$V:$V,当年实际!$H:$H,$B359,当年实际!$C:$C,"&gt;="&amp;DATE(YEAR(主页!$D$2),1,1),当年实际!$C:$C,"&lt;="&amp;EOMONTH(DATE(YEAR(主页!$D$2),MONTH(主页!$D$2),1),0))/SUMIFS(当年实际!$P:$P,当年实际!$H:$H,$B359,当年实际!$C:$C,"&gt;="&amp;DATE(YEAR(主页!$D$2),1,1),当年实际!$C:$C,"&lt;="&amp;EOMONTH(DATE(YEAR(主页!$D$2),MONTH(主页!$D$2),1),0)),"")</f>
        <v/>
      </c>
    </row>
    <row r="360" spans="1:10" x14ac:dyDescent="0.3">
      <c r="A360" s="135"/>
      <c r="B360" s="136"/>
      <c r="C360" s="138"/>
      <c r="D360" s="139"/>
      <c r="E360" s="141" t="str">
        <f t="shared" si="17"/>
        <v/>
      </c>
      <c r="F360" s="144"/>
      <c r="G360" s="146">
        <f t="shared" si="15"/>
        <v>0</v>
      </c>
      <c r="H360" s="141" t="str">
        <f t="shared" si="16"/>
        <v/>
      </c>
      <c r="J360" s="148" t="str">
        <f>IFERROR(SUMIFS(当年实际!$V:$V,当年实际!$H:$H,$B360,当年实际!$C:$C,"&gt;="&amp;DATE(YEAR(主页!$D$2),1,1),当年实际!$C:$C,"&lt;="&amp;EOMONTH(DATE(YEAR(主页!$D$2),MONTH(主页!$D$2),1),0))/SUMIFS(当年实际!$P:$P,当年实际!$H:$H,$B360,当年实际!$C:$C,"&gt;="&amp;DATE(YEAR(主页!$D$2),1,1),当年实际!$C:$C,"&lt;="&amp;EOMONTH(DATE(YEAR(主页!$D$2),MONTH(主页!$D$2),1),0)),"")</f>
        <v/>
      </c>
    </row>
    <row r="361" spans="1:10" x14ac:dyDescent="0.3">
      <c r="A361" s="135"/>
      <c r="B361" s="136"/>
      <c r="C361" s="138"/>
      <c r="D361" s="139"/>
      <c r="E361" s="141" t="str">
        <f t="shared" si="17"/>
        <v/>
      </c>
      <c r="F361" s="144"/>
      <c r="G361" s="146">
        <f t="shared" si="15"/>
        <v>0</v>
      </c>
      <c r="H361" s="141" t="str">
        <f t="shared" si="16"/>
        <v/>
      </c>
      <c r="J361" s="148" t="str">
        <f>IFERROR(SUMIFS(当年实际!$V:$V,当年实际!$H:$H,$B361,当年实际!$C:$C,"&gt;="&amp;DATE(YEAR(主页!$D$2),1,1),当年实际!$C:$C,"&lt;="&amp;EOMONTH(DATE(YEAR(主页!$D$2),MONTH(主页!$D$2),1),0))/SUMIFS(当年实际!$P:$P,当年实际!$H:$H,$B361,当年实际!$C:$C,"&gt;="&amp;DATE(YEAR(主页!$D$2),1,1),当年实际!$C:$C,"&lt;="&amp;EOMONTH(DATE(YEAR(主页!$D$2),MONTH(主页!$D$2),1),0)),"")</f>
        <v/>
      </c>
    </row>
    <row r="362" spans="1:10" x14ac:dyDescent="0.3">
      <c r="A362" s="135"/>
      <c r="B362" s="136"/>
      <c r="C362" s="138"/>
      <c r="D362" s="139"/>
      <c r="E362" s="141" t="str">
        <f t="shared" si="17"/>
        <v/>
      </c>
      <c r="F362" s="144"/>
      <c r="G362" s="146">
        <f t="shared" si="15"/>
        <v>0</v>
      </c>
      <c r="H362" s="141" t="str">
        <f t="shared" si="16"/>
        <v/>
      </c>
      <c r="J362" s="148" t="str">
        <f>IFERROR(SUMIFS(当年实际!$V:$V,当年实际!$H:$H,$B362,当年实际!$C:$C,"&gt;="&amp;DATE(YEAR(主页!$D$2),1,1),当年实际!$C:$C,"&lt;="&amp;EOMONTH(DATE(YEAR(主页!$D$2),MONTH(主页!$D$2),1),0))/SUMIFS(当年实际!$P:$P,当年实际!$H:$H,$B362,当年实际!$C:$C,"&gt;="&amp;DATE(YEAR(主页!$D$2),1,1),当年实际!$C:$C,"&lt;="&amp;EOMONTH(DATE(YEAR(主页!$D$2),MONTH(主页!$D$2),1),0)),"")</f>
        <v/>
      </c>
    </row>
    <row r="363" spans="1:10" x14ac:dyDescent="0.3">
      <c r="A363" s="135"/>
      <c r="B363" s="136"/>
      <c r="C363" s="138"/>
      <c r="D363" s="139"/>
      <c r="E363" s="141" t="str">
        <f t="shared" si="17"/>
        <v/>
      </c>
      <c r="F363" s="144"/>
      <c r="G363" s="146">
        <f t="shared" si="15"/>
        <v>0</v>
      </c>
      <c r="H363" s="141" t="str">
        <f t="shared" si="16"/>
        <v/>
      </c>
      <c r="J363" s="148" t="str">
        <f>IFERROR(SUMIFS(当年实际!$V:$V,当年实际!$H:$H,$B363,当年实际!$C:$C,"&gt;="&amp;DATE(YEAR(主页!$D$2),1,1),当年实际!$C:$C,"&lt;="&amp;EOMONTH(DATE(YEAR(主页!$D$2),MONTH(主页!$D$2),1),0))/SUMIFS(当年实际!$P:$P,当年实际!$H:$H,$B363,当年实际!$C:$C,"&gt;="&amp;DATE(YEAR(主页!$D$2),1,1),当年实际!$C:$C,"&lt;="&amp;EOMONTH(DATE(YEAR(主页!$D$2),MONTH(主页!$D$2),1),0)),"")</f>
        <v/>
      </c>
    </row>
    <row r="364" spans="1:10" x14ac:dyDescent="0.3">
      <c r="A364" s="135"/>
      <c r="B364" s="136"/>
      <c r="C364" s="138"/>
      <c r="D364" s="139"/>
      <c r="E364" s="141" t="str">
        <f t="shared" si="17"/>
        <v/>
      </c>
      <c r="F364" s="144"/>
      <c r="G364" s="146">
        <f t="shared" si="15"/>
        <v>0</v>
      </c>
      <c r="H364" s="141" t="str">
        <f t="shared" si="16"/>
        <v/>
      </c>
      <c r="J364" s="148" t="str">
        <f>IFERROR(SUMIFS(当年实际!$V:$V,当年实际!$H:$H,$B364,当年实际!$C:$C,"&gt;="&amp;DATE(YEAR(主页!$D$2),1,1),当年实际!$C:$C,"&lt;="&amp;EOMONTH(DATE(YEAR(主页!$D$2),MONTH(主页!$D$2),1),0))/SUMIFS(当年实际!$P:$P,当年实际!$H:$H,$B364,当年实际!$C:$C,"&gt;="&amp;DATE(YEAR(主页!$D$2),1,1),当年实际!$C:$C,"&lt;="&amp;EOMONTH(DATE(YEAR(主页!$D$2),MONTH(主页!$D$2),1),0)),"")</f>
        <v/>
      </c>
    </row>
    <row r="365" spans="1:10" x14ac:dyDescent="0.3">
      <c r="A365" s="135"/>
      <c r="B365" s="136"/>
      <c r="C365" s="138"/>
      <c r="D365" s="139"/>
      <c r="E365" s="141" t="str">
        <f t="shared" si="17"/>
        <v/>
      </c>
      <c r="F365" s="144"/>
      <c r="G365" s="146">
        <f t="shared" si="15"/>
        <v>0</v>
      </c>
      <c r="H365" s="141" t="str">
        <f t="shared" si="16"/>
        <v/>
      </c>
      <c r="J365" s="148" t="str">
        <f>IFERROR(SUMIFS(当年实际!$V:$V,当年实际!$H:$H,$B365,当年实际!$C:$C,"&gt;="&amp;DATE(YEAR(主页!$D$2),1,1),当年实际!$C:$C,"&lt;="&amp;EOMONTH(DATE(YEAR(主页!$D$2),MONTH(主页!$D$2),1),0))/SUMIFS(当年实际!$P:$P,当年实际!$H:$H,$B365,当年实际!$C:$C,"&gt;="&amp;DATE(YEAR(主页!$D$2),1,1),当年实际!$C:$C,"&lt;="&amp;EOMONTH(DATE(YEAR(主页!$D$2),MONTH(主页!$D$2),1),0)),"")</f>
        <v/>
      </c>
    </row>
    <row r="366" spans="1:10" x14ac:dyDescent="0.3">
      <c r="A366" s="135"/>
      <c r="B366" s="136"/>
      <c r="C366" s="138"/>
      <c r="D366" s="139"/>
      <c r="E366" s="141" t="str">
        <f t="shared" si="17"/>
        <v/>
      </c>
      <c r="F366" s="144"/>
      <c r="G366" s="146">
        <f t="shared" si="15"/>
        <v>0</v>
      </c>
      <c r="H366" s="141" t="str">
        <f t="shared" si="16"/>
        <v/>
      </c>
      <c r="J366" s="148" t="str">
        <f>IFERROR(SUMIFS(当年实际!$V:$V,当年实际!$H:$H,$B366,当年实际!$C:$C,"&gt;="&amp;DATE(YEAR(主页!$D$2),1,1),当年实际!$C:$C,"&lt;="&amp;EOMONTH(DATE(YEAR(主页!$D$2),MONTH(主页!$D$2),1),0))/SUMIFS(当年实际!$P:$P,当年实际!$H:$H,$B366,当年实际!$C:$C,"&gt;="&amp;DATE(YEAR(主页!$D$2),1,1),当年实际!$C:$C,"&lt;="&amp;EOMONTH(DATE(YEAR(主页!$D$2),MONTH(主页!$D$2),1),0)),"")</f>
        <v/>
      </c>
    </row>
    <row r="367" spans="1:10" x14ac:dyDescent="0.3">
      <c r="A367" s="135"/>
      <c r="B367" s="136"/>
      <c r="C367" s="138"/>
      <c r="D367" s="139"/>
      <c r="E367" s="141" t="str">
        <f t="shared" si="17"/>
        <v/>
      </c>
      <c r="F367" s="144"/>
      <c r="G367" s="146">
        <f t="shared" si="15"/>
        <v>0</v>
      </c>
      <c r="H367" s="141" t="str">
        <f t="shared" si="16"/>
        <v/>
      </c>
      <c r="J367" s="148" t="str">
        <f>IFERROR(SUMIFS(当年实际!$V:$V,当年实际!$H:$H,$B367,当年实际!$C:$C,"&gt;="&amp;DATE(YEAR(主页!$D$2),1,1),当年实际!$C:$C,"&lt;="&amp;EOMONTH(DATE(YEAR(主页!$D$2),MONTH(主页!$D$2),1),0))/SUMIFS(当年实际!$P:$P,当年实际!$H:$H,$B367,当年实际!$C:$C,"&gt;="&amp;DATE(YEAR(主页!$D$2),1,1),当年实际!$C:$C,"&lt;="&amp;EOMONTH(DATE(YEAR(主页!$D$2),MONTH(主页!$D$2),1),0)),"")</f>
        <v/>
      </c>
    </row>
    <row r="368" spans="1:10" x14ac:dyDescent="0.3">
      <c r="A368" s="135"/>
      <c r="B368" s="136"/>
      <c r="C368" s="138"/>
      <c r="D368" s="139"/>
      <c r="E368" s="141" t="str">
        <f t="shared" si="17"/>
        <v/>
      </c>
      <c r="F368" s="144"/>
      <c r="G368" s="146">
        <f t="shared" si="15"/>
        <v>0</v>
      </c>
      <c r="H368" s="141" t="str">
        <f t="shared" si="16"/>
        <v/>
      </c>
      <c r="J368" s="148" t="str">
        <f>IFERROR(SUMIFS(当年实际!$V:$V,当年实际!$H:$H,$B368,当年实际!$C:$C,"&gt;="&amp;DATE(YEAR(主页!$D$2),1,1),当年实际!$C:$C,"&lt;="&amp;EOMONTH(DATE(YEAR(主页!$D$2),MONTH(主页!$D$2),1),0))/SUMIFS(当年实际!$P:$P,当年实际!$H:$H,$B368,当年实际!$C:$C,"&gt;="&amp;DATE(YEAR(主页!$D$2),1,1),当年实际!$C:$C,"&lt;="&amp;EOMONTH(DATE(YEAR(主页!$D$2),MONTH(主页!$D$2),1),0)),"")</f>
        <v/>
      </c>
    </row>
    <row r="369" spans="1:10" x14ac:dyDescent="0.3">
      <c r="A369" s="135"/>
      <c r="B369" s="136"/>
      <c r="C369" s="138"/>
      <c r="D369" s="139"/>
      <c r="E369" s="141" t="str">
        <f t="shared" si="17"/>
        <v/>
      </c>
      <c r="F369" s="144"/>
      <c r="G369" s="146">
        <f t="shared" si="15"/>
        <v>0</v>
      </c>
      <c r="H369" s="141" t="str">
        <f t="shared" si="16"/>
        <v/>
      </c>
      <c r="J369" s="148" t="str">
        <f>IFERROR(SUMIFS(当年实际!$V:$V,当年实际!$H:$H,$B369,当年实际!$C:$C,"&gt;="&amp;DATE(YEAR(主页!$D$2),1,1),当年实际!$C:$C,"&lt;="&amp;EOMONTH(DATE(YEAR(主页!$D$2),MONTH(主页!$D$2),1),0))/SUMIFS(当年实际!$P:$P,当年实际!$H:$H,$B369,当年实际!$C:$C,"&gt;="&amp;DATE(YEAR(主页!$D$2),1,1),当年实际!$C:$C,"&lt;="&amp;EOMONTH(DATE(YEAR(主页!$D$2),MONTH(主页!$D$2),1),0)),"")</f>
        <v/>
      </c>
    </row>
    <row r="370" spans="1:10" x14ac:dyDescent="0.3">
      <c r="A370" s="135"/>
      <c r="B370" s="136"/>
      <c r="C370" s="138"/>
      <c r="D370" s="139"/>
      <c r="E370" s="141" t="str">
        <f t="shared" si="17"/>
        <v/>
      </c>
      <c r="F370" s="144"/>
      <c r="G370" s="146">
        <f t="shared" si="15"/>
        <v>0</v>
      </c>
      <c r="H370" s="141" t="str">
        <f t="shared" si="16"/>
        <v/>
      </c>
      <c r="J370" s="148" t="str">
        <f>IFERROR(SUMIFS(当年实际!$V:$V,当年实际!$H:$H,$B370,当年实际!$C:$C,"&gt;="&amp;DATE(YEAR(主页!$D$2),1,1),当年实际!$C:$C,"&lt;="&amp;EOMONTH(DATE(YEAR(主页!$D$2),MONTH(主页!$D$2),1),0))/SUMIFS(当年实际!$P:$P,当年实际!$H:$H,$B370,当年实际!$C:$C,"&gt;="&amp;DATE(YEAR(主页!$D$2),1,1),当年实际!$C:$C,"&lt;="&amp;EOMONTH(DATE(YEAR(主页!$D$2),MONTH(主页!$D$2),1),0)),"")</f>
        <v/>
      </c>
    </row>
    <row r="371" spans="1:10" x14ac:dyDescent="0.3">
      <c r="A371" s="135"/>
      <c r="B371" s="136"/>
      <c r="C371" s="138"/>
      <c r="D371" s="139"/>
      <c r="E371" s="141" t="str">
        <f t="shared" si="17"/>
        <v/>
      </c>
      <c r="F371" s="144"/>
      <c r="G371" s="146">
        <f t="shared" si="15"/>
        <v>0</v>
      </c>
      <c r="H371" s="141" t="str">
        <f t="shared" si="16"/>
        <v/>
      </c>
      <c r="J371" s="148" t="str">
        <f>IFERROR(SUMIFS(当年实际!$V:$V,当年实际!$H:$H,$B371,当年实际!$C:$C,"&gt;="&amp;DATE(YEAR(主页!$D$2),1,1),当年实际!$C:$C,"&lt;="&amp;EOMONTH(DATE(YEAR(主页!$D$2),MONTH(主页!$D$2),1),0))/SUMIFS(当年实际!$P:$P,当年实际!$H:$H,$B371,当年实际!$C:$C,"&gt;="&amp;DATE(YEAR(主页!$D$2),1,1),当年实际!$C:$C,"&lt;="&amp;EOMONTH(DATE(YEAR(主页!$D$2),MONTH(主页!$D$2),1),0)),"")</f>
        <v/>
      </c>
    </row>
    <row r="372" spans="1:10" x14ac:dyDescent="0.3">
      <c r="A372" s="135"/>
      <c r="B372" s="136"/>
      <c r="C372" s="138"/>
      <c r="D372" s="139"/>
      <c r="E372" s="141" t="str">
        <f t="shared" si="17"/>
        <v/>
      </c>
      <c r="F372" s="144"/>
      <c r="G372" s="146">
        <f t="shared" si="15"/>
        <v>0</v>
      </c>
      <c r="H372" s="141" t="str">
        <f t="shared" si="16"/>
        <v/>
      </c>
      <c r="J372" s="148" t="str">
        <f>IFERROR(SUMIFS(当年实际!$V:$V,当年实际!$H:$H,$B372,当年实际!$C:$C,"&gt;="&amp;DATE(YEAR(主页!$D$2),1,1),当年实际!$C:$C,"&lt;="&amp;EOMONTH(DATE(YEAR(主页!$D$2),MONTH(主页!$D$2),1),0))/SUMIFS(当年实际!$P:$P,当年实际!$H:$H,$B372,当年实际!$C:$C,"&gt;="&amp;DATE(YEAR(主页!$D$2),1,1),当年实际!$C:$C,"&lt;="&amp;EOMONTH(DATE(YEAR(主页!$D$2),MONTH(主页!$D$2),1),0)),"")</f>
        <v/>
      </c>
    </row>
    <row r="373" spans="1:10" x14ac:dyDescent="0.3">
      <c r="A373" s="135"/>
      <c r="B373" s="136"/>
      <c r="C373" s="138"/>
      <c r="D373" s="139"/>
      <c r="E373" s="141" t="str">
        <f t="shared" si="17"/>
        <v/>
      </c>
      <c r="F373" s="144"/>
      <c r="G373" s="146">
        <f t="shared" si="15"/>
        <v>0</v>
      </c>
      <c r="H373" s="141" t="str">
        <f t="shared" si="16"/>
        <v/>
      </c>
      <c r="J373" s="148" t="str">
        <f>IFERROR(SUMIFS(当年实际!$V:$V,当年实际!$H:$H,$B373,当年实际!$C:$C,"&gt;="&amp;DATE(YEAR(主页!$D$2),1,1),当年实际!$C:$C,"&lt;="&amp;EOMONTH(DATE(YEAR(主页!$D$2),MONTH(主页!$D$2),1),0))/SUMIFS(当年实际!$P:$P,当年实际!$H:$H,$B373,当年实际!$C:$C,"&gt;="&amp;DATE(YEAR(主页!$D$2),1,1),当年实际!$C:$C,"&lt;="&amp;EOMONTH(DATE(YEAR(主页!$D$2),MONTH(主页!$D$2),1),0)),"")</f>
        <v/>
      </c>
    </row>
    <row r="374" spans="1:10" x14ac:dyDescent="0.3">
      <c r="A374" s="135"/>
      <c r="B374" s="136"/>
      <c r="C374" s="138"/>
      <c r="D374" s="139"/>
      <c r="E374" s="141" t="str">
        <f t="shared" si="17"/>
        <v/>
      </c>
      <c r="F374" s="144"/>
      <c r="G374" s="146">
        <f t="shared" si="15"/>
        <v>0</v>
      </c>
      <c r="H374" s="141" t="str">
        <f t="shared" si="16"/>
        <v/>
      </c>
      <c r="J374" s="148" t="str">
        <f>IFERROR(SUMIFS(当年实际!$V:$V,当年实际!$H:$H,$B374,当年实际!$C:$C,"&gt;="&amp;DATE(YEAR(主页!$D$2),1,1),当年实际!$C:$C,"&lt;="&amp;EOMONTH(DATE(YEAR(主页!$D$2),MONTH(主页!$D$2),1),0))/SUMIFS(当年实际!$P:$P,当年实际!$H:$H,$B374,当年实际!$C:$C,"&gt;="&amp;DATE(YEAR(主页!$D$2),1,1),当年实际!$C:$C,"&lt;="&amp;EOMONTH(DATE(YEAR(主页!$D$2),MONTH(主页!$D$2),1),0)),"")</f>
        <v/>
      </c>
    </row>
    <row r="375" spans="1:10" x14ac:dyDescent="0.3">
      <c r="A375" s="135"/>
      <c r="B375" s="136"/>
      <c r="C375" s="138"/>
      <c r="D375" s="139"/>
      <c r="E375" s="141" t="str">
        <f t="shared" si="17"/>
        <v/>
      </c>
      <c r="F375" s="144"/>
      <c r="G375" s="146">
        <f t="shared" si="15"/>
        <v>0</v>
      </c>
      <c r="H375" s="141" t="str">
        <f t="shared" si="16"/>
        <v/>
      </c>
      <c r="J375" s="148" t="str">
        <f>IFERROR(SUMIFS(当年实际!$V:$V,当年实际!$H:$H,$B375,当年实际!$C:$C,"&gt;="&amp;DATE(YEAR(主页!$D$2),1,1),当年实际!$C:$C,"&lt;="&amp;EOMONTH(DATE(YEAR(主页!$D$2),MONTH(主页!$D$2),1),0))/SUMIFS(当年实际!$P:$P,当年实际!$H:$H,$B375,当年实际!$C:$C,"&gt;="&amp;DATE(YEAR(主页!$D$2),1,1),当年实际!$C:$C,"&lt;="&amp;EOMONTH(DATE(YEAR(主页!$D$2),MONTH(主页!$D$2),1),0)),"")</f>
        <v/>
      </c>
    </row>
    <row r="376" spans="1:10" x14ac:dyDescent="0.3">
      <c r="A376" s="135"/>
      <c r="B376" s="136"/>
      <c r="C376" s="138"/>
      <c r="D376" s="139"/>
      <c r="E376" s="141" t="str">
        <f t="shared" si="17"/>
        <v/>
      </c>
      <c r="F376" s="144"/>
      <c r="G376" s="146">
        <f t="shared" si="15"/>
        <v>0</v>
      </c>
      <c r="H376" s="141" t="str">
        <f t="shared" si="16"/>
        <v/>
      </c>
      <c r="J376" s="148" t="str">
        <f>IFERROR(SUMIFS(当年实际!$V:$V,当年实际!$H:$H,$B376,当年实际!$C:$C,"&gt;="&amp;DATE(YEAR(主页!$D$2),1,1),当年实际!$C:$C,"&lt;="&amp;EOMONTH(DATE(YEAR(主页!$D$2),MONTH(主页!$D$2),1),0))/SUMIFS(当年实际!$P:$P,当年实际!$H:$H,$B376,当年实际!$C:$C,"&gt;="&amp;DATE(YEAR(主页!$D$2),1,1),当年实际!$C:$C,"&lt;="&amp;EOMONTH(DATE(YEAR(主页!$D$2),MONTH(主页!$D$2),1),0)),"")</f>
        <v/>
      </c>
    </row>
    <row r="377" spans="1:10" x14ac:dyDescent="0.3">
      <c r="A377" s="135"/>
      <c r="B377" s="136"/>
      <c r="C377" s="138"/>
      <c r="D377" s="139"/>
      <c r="E377" s="141" t="str">
        <f t="shared" si="17"/>
        <v/>
      </c>
      <c r="F377" s="144"/>
      <c r="G377" s="146">
        <f t="shared" si="15"/>
        <v>0</v>
      </c>
      <c r="H377" s="141" t="str">
        <f t="shared" si="16"/>
        <v/>
      </c>
      <c r="J377" s="148" t="str">
        <f>IFERROR(SUMIFS(当年实际!$V:$V,当年实际!$H:$H,$B377,当年实际!$C:$C,"&gt;="&amp;DATE(YEAR(主页!$D$2),1,1),当年实际!$C:$C,"&lt;="&amp;EOMONTH(DATE(YEAR(主页!$D$2),MONTH(主页!$D$2),1),0))/SUMIFS(当年实际!$P:$P,当年实际!$H:$H,$B377,当年实际!$C:$C,"&gt;="&amp;DATE(YEAR(主页!$D$2),1,1),当年实际!$C:$C,"&lt;="&amp;EOMONTH(DATE(YEAR(主页!$D$2),MONTH(主页!$D$2),1),0)),"")</f>
        <v/>
      </c>
    </row>
    <row r="378" spans="1:10" x14ac:dyDescent="0.3">
      <c r="A378" s="135"/>
      <c r="B378" s="136"/>
      <c r="C378" s="138"/>
      <c r="D378" s="139"/>
      <c r="E378" s="141" t="str">
        <f t="shared" si="17"/>
        <v/>
      </c>
      <c r="F378" s="144"/>
      <c r="G378" s="146">
        <f t="shared" si="15"/>
        <v>0</v>
      </c>
      <c r="H378" s="141" t="str">
        <f t="shared" si="16"/>
        <v/>
      </c>
      <c r="J378" s="148" t="str">
        <f>IFERROR(SUMIFS(当年实际!$V:$V,当年实际!$H:$H,$B378,当年实际!$C:$C,"&gt;="&amp;DATE(YEAR(主页!$D$2),1,1),当年实际!$C:$C,"&lt;="&amp;EOMONTH(DATE(YEAR(主页!$D$2),MONTH(主页!$D$2),1),0))/SUMIFS(当年实际!$P:$P,当年实际!$H:$H,$B378,当年实际!$C:$C,"&gt;="&amp;DATE(YEAR(主页!$D$2),1,1),当年实际!$C:$C,"&lt;="&amp;EOMONTH(DATE(YEAR(主页!$D$2),MONTH(主页!$D$2),1),0)),"")</f>
        <v/>
      </c>
    </row>
    <row r="379" spans="1:10" x14ac:dyDescent="0.3">
      <c r="A379" s="135"/>
      <c r="B379" s="136"/>
      <c r="C379" s="138"/>
      <c r="D379" s="139"/>
      <c r="E379" s="141" t="str">
        <f t="shared" si="17"/>
        <v/>
      </c>
      <c r="F379" s="144"/>
      <c r="G379" s="146">
        <f t="shared" si="15"/>
        <v>0</v>
      </c>
      <c r="H379" s="141" t="str">
        <f t="shared" si="16"/>
        <v/>
      </c>
      <c r="J379" s="148" t="str">
        <f>IFERROR(SUMIFS(当年实际!$V:$V,当年实际!$H:$H,$B379,当年实际!$C:$C,"&gt;="&amp;DATE(YEAR(主页!$D$2),1,1),当年实际!$C:$C,"&lt;="&amp;EOMONTH(DATE(YEAR(主页!$D$2),MONTH(主页!$D$2),1),0))/SUMIFS(当年实际!$P:$P,当年实际!$H:$H,$B379,当年实际!$C:$C,"&gt;="&amp;DATE(YEAR(主页!$D$2),1,1),当年实际!$C:$C,"&lt;="&amp;EOMONTH(DATE(YEAR(主页!$D$2),MONTH(主页!$D$2),1),0)),"")</f>
        <v/>
      </c>
    </row>
    <row r="380" spans="1:10" x14ac:dyDescent="0.3">
      <c r="A380" s="135"/>
      <c r="B380" s="136"/>
      <c r="C380" s="138"/>
      <c r="D380" s="139"/>
      <c r="E380" s="141" t="str">
        <f t="shared" si="17"/>
        <v/>
      </c>
      <c r="F380" s="144"/>
      <c r="G380" s="146">
        <f t="shared" si="15"/>
        <v>0</v>
      </c>
      <c r="H380" s="141" t="str">
        <f t="shared" si="16"/>
        <v/>
      </c>
      <c r="J380" s="148" t="str">
        <f>IFERROR(SUMIFS(当年实际!$V:$V,当年实际!$H:$H,$B380,当年实际!$C:$C,"&gt;="&amp;DATE(YEAR(主页!$D$2),1,1),当年实际!$C:$C,"&lt;="&amp;EOMONTH(DATE(YEAR(主页!$D$2),MONTH(主页!$D$2),1),0))/SUMIFS(当年实际!$P:$P,当年实际!$H:$H,$B380,当年实际!$C:$C,"&gt;="&amp;DATE(YEAR(主页!$D$2),1,1),当年实际!$C:$C,"&lt;="&amp;EOMONTH(DATE(YEAR(主页!$D$2),MONTH(主页!$D$2),1),0)),"")</f>
        <v/>
      </c>
    </row>
    <row r="381" spans="1:10" x14ac:dyDescent="0.3">
      <c r="A381" s="135"/>
      <c r="B381" s="136"/>
      <c r="C381" s="138"/>
      <c r="D381" s="139"/>
      <c r="E381" s="141" t="str">
        <f t="shared" si="17"/>
        <v/>
      </c>
      <c r="F381" s="144"/>
      <c r="G381" s="146">
        <f t="shared" si="15"/>
        <v>0</v>
      </c>
      <c r="H381" s="141" t="str">
        <f t="shared" si="16"/>
        <v/>
      </c>
      <c r="J381" s="148" t="str">
        <f>IFERROR(SUMIFS(当年实际!$V:$V,当年实际!$H:$H,$B381,当年实际!$C:$C,"&gt;="&amp;DATE(YEAR(主页!$D$2),1,1),当年实际!$C:$C,"&lt;="&amp;EOMONTH(DATE(YEAR(主页!$D$2),MONTH(主页!$D$2),1),0))/SUMIFS(当年实际!$P:$P,当年实际!$H:$H,$B381,当年实际!$C:$C,"&gt;="&amp;DATE(YEAR(主页!$D$2),1,1),当年实际!$C:$C,"&lt;="&amp;EOMONTH(DATE(YEAR(主页!$D$2),MONTH(主页!$D$2),1),0)),"")</f>
        <v/>
      </c>
    </row>
    <row r="382" spans="1:10" x14ac:dyDescent="0.3">
      <c r="A382" s="135"/>
      <c r="B382" s="136"/>
      <c r="C382" s="138"/>
      <c r="D382" s="139"/>
      <c r="E382" s="141" t="str">
        <f t="shared" si="17"/>
        <v/>
      </c>
      <c r="F382" s="144"/>
      <c r="G382" s="146">
        <f t="shared" si="15"/>
        <v>0</v>
      </c>
      <c r="H382" s="141" t="str">
        <f t="shared" si="16"/>
        <v/>
      </c>
      <c r="J382" s="148" t="str">
        <f>IFERROR(SUMIFS(当年实际!$V:$V,当年实际!$H:$H,$B382,当年实际!$C:$C,"&gt;="&amp;DATE(YEAR(主页!$D$2),1,1),当年实际!$C:$C,"&lt;="&amp;EOMONTH(DATE(YEAR(主页!$D$2),MONTH(主页!$D$2),1),0))/SUMIFS(当年实际!$P:$P,当年实际!$H:$H,$B382,当年实际!$C:$C,"&gt;="&amp;DATE(YEAR(主页!$D$2),1,1),当年实际!$C:$C,"&lt;="&amp;EOMONTH(DATE(YEAR(主页!$D$2),MONTH(主页!$D$2),1),0)),"")</f>
        <v/>
      </c>
    </row>
    <row r="383" spans="1:10" x14ac:dyDescent="0.3">
      <c r="A383" s="135"/>
      <c r="B383" s="136"/>
      <c r="C383" s="138"/>
      <c r="D383" s="139"/>
      <c r="E383" s="141" t="str">
        <f t="shared" si="17"/>
        <v/>
      </c>
      <c r="F383" s="144"/>
      <c r="G383" s="146">
        <f t="shared" si="15"/>
        <v>0</v>
      </c>
      <c r="H383" s="141" t="str">
        <f t="shared" si="16"/>
        <v/>
      </c>
      <c r="J383" s="148" t="str">
        <f>IFERROR(SUMIFS(当年实际!$V:$V,当年实际!$H:$H,$B383,当年实际!$C:$C,"&gt;="&amp;DATE(YEAR(主页!$D$2),1,1),当年实际!$C:$C,"&lt;="&amp;EOMONTH(DATE(YEAR(主页!$D$2),MONTH(主页!$D$2),1),0))/SUMIFS(当年实际!$P:$P,当年实际!$H:$H,$B383,当年实际!$C:$C,"&gt;="&amp;DATE(YEAR(主页!$D$2),1,1),当年实际!$C:$C,"&lt;="&amp;EOMONTH(DATE(YEAR(主页!$D$2),MONTH(主页!$D$2),1),0)),"")</f>
        <v/>
      </c>
    </row>
    <row r="384" spans="1:10" x14ac:dyDescent="0.3">
      <c r="A384" s="135"/>
      <c r="B384" s="136"/>
      <c r="C384" s="138"/>
      <c r="D384" s="139"/>
      <c r="E384" s="141" t="str">
        <f t="shared" si="17"/>
        <v/>
      </c>
      <c r="F384" s="144"/>
      <c r="G384" s="146">
        <f t="shared" si="15"/>
        <v>0</v>
      </c>
      <c r="H384" s="141" t="str">
        <f t="shared" si="16"/>
        <v/>
      </c>
      <c r="J384" s="148" t="str">
        <f>IFERROR(SUMIFS(当年实际!$V:$V,当年实际!$H:$H,$B384,当年实际!$C:$C,"&gt;="&amp;DATE(YEAR(主页!$D$2),1,1),当年实际!$C:$C,"&lt;="&amp;EOMONTH(DATE(YEAR(主页!$D$2),MONTH(主页!$D$2),1),0))/SUMIFS(当年实际!$P:$P,当年实际!$H:$H,$B384,当年实际!$C:$C,"&gt;="&amp;DATE(YEAR(主页!$D$2),1,1),当年实际!$C:$C,"&lt;="&amp;EOMONTH(DATE(YEAR(主页!$D$2),MONTH(主页!$D$2),1),0)),"")</f>
        <v/>
      </c>
    </row>
    <row r="385" spans="1:10" x14ac:dyDescent="0.3">
      <c r="A385" s="135"/>
      <c r="B385" s="136"/>
      <c r="C385" s="138"/>
      <c r="D385" s="139"/>
      <c r="E385" s="141" t="str">
        <f t="shared" si="17"/>
        <v/>
      </c>
      <c r="F385" s="144"/>
      <c r="G385" s="146">
        <f t="shared" si="15"/>
        <v>0</v>
      </c>
      <c r="H385" s="141" t="str">
        <f t="shared" si="16"/>
        <v/>
      </c>
      <c r="J385" s="148" t="str">
        <f>IFERROR(SUMIFS(当年实际!$V:$V,当年实际!$H:$H,$B385,当年实际!$C:$C,"&gt;="&amp;DATE(YEAR(主页!$D$2),1,1),当年实际!$C:$C,"&lt;="&amp;EOMONTH(DATE(YEAR(主页!$D$2),MONTH(主页!$D$2),1),0))/SUMIFS(当年实际!$P:$P,当年实际!$H:$H,$B385,当年实际!$C:$C,"&gt;="&amp;DATE(YEAR(主页!$D$2),1,1),当年实际!$C:$C,"&lt;="&amp;EOMONTH(DATE(YEAR(主页!$D$2),MONTH(主页!$D$2),1),0)),"")</f>
        <v/>
      </c>
    </row>
    <row r="386" spans="1:10" x14ac:dyDescent="0.3">
      <c r="A386" s="135"/>
      <c r="B386" s="136"/>
      <c r="C386" s="138"/>
      <c r="D386" s="139"/>
      <c r="E386" s="141" t="str">
        <f t="shared" si="17"/>
        <v/>
      </c>
      <c r="F386" s="144"/>
      <c r="G386" s="146">
        <f t="shared" si="15"/>
        <v>0</v>
      </c>
      <c r="H386" s="141" t="str">
        <f t="shared" si="16"/>
        <v/>
      </c>
      <c r="J386" s="148" t="str">
        <f>IFERROR(SUMIFS(当年实际!$V:$V,当年实际!$H:$H,$B386,当年实际!$C:$C,"&gt;="&amp;DATE(YEAR(主页!$D$2),1,1),当年实际!$C:$C,"&lt;="&amp;EOMONTH(DATE(YEAR(主页!$D$2),MONTH(主页!$D$2),1),0))/SUMIFS(当年实际!$P:$P,当年实际!$H:$H,$B386,当年实际!$C:$C,"&gt;="&amp;DATE(YEAR(主页!$D$2),1,1),当年实际!$C:$C,"&lt;="&amp;EOMONTH(DATE(YEAR(主页!$D$2),MONTH(主页!$D$2),1),0)),"")</f>
        <v/>
      </c>
    </row>
    <row r="387" spans="1:10" x14ac:dyDescent="0.3">
      <c r="A387" s="135"/>
      <c r="B387" s="136"/>
      <c r="C387" s="138"/>
      <c r="D387" s="139"/>
      <c r="E387" s="141" t="str">
        <f t="shared" si="17"/>
        <v/>
      </c>
      <c r="F387" s="144"/>
      <c r="G387" s="146">
        <f t="shared" si="15"/>
        <v>0</v>
      </c>
      <c r="H387" s="141" t="str">
        <f t="shared" si="16"/>
        <v/>
      </c>
      <c r="J387" s="148" t="str">
        <f>IFERROR(SUMIFS(当年实际!$V:$V,当年实际!$H:$H,$B387,当年实际!$C:$C,"&gt;="&amp;DATE(YEAR(主页!$D$2),1,1),当年实际!$C:$C,"&lt;="&amp;EOMONTH(DATE(YEAR(主页!$D$2),MONTH(主页!$D$2),1),0))/SUMIFS(当年实际!$P:$P,当年实际!$H:$H,$B387,当年实际!$C:$C,"&gt;="&amp;DATE(YEAR(主页!$D$2),1,1),当年实际!$C:$C,"&lt;="&amp;EOMONTH(DATE(YEAR(主页!$D$2),MONTH(主页!$D$2),1),0)),"")</f>
        <v/>
      </c>
    </row>
    <row r="388" spans="1:10" x14ac:dyDescent="0.3">
      <c r="A388" s="135"/>
      <c r="B388" s="136"/>
      <c r="C388" s="138"/>
      <c r="D388" s="139"/>
      <c r="E388" s="141" t="str">
        <f t="shared" si="17"/>
        <v/>
      </c>
      <c r="F388" s="144"/>
      <c r="G388" s="146">
        <f t="shared" si="15"/>
        <v>0</v>
      </c>
      <c r="H388" s="141" t="str">
        <f t="shared" si="16"/>
        <v/>
      </c>
      <c r="J388" s="148" t="str">
        <f>IFERROR(SUMIFS(当年实际!$V:$V,当年实际!$H:$H,$B388,当年实际!$C:$C,"&gt;="&amp;DATE(YEAR(主页!$D$2),1,1),当年实际!$C:$C,"&lt;="&amp;EOMONTH(DATE(YEAR(主页!$D$2),MONTH(主页!$D$2),1),0))/SUMIFS(当年实际!$P:$P,当年实际!$H:$H,$B388,当年实际!$C:$C,"&gt;="&amp;DATE(YEAR(主页!$D$2),1,1),当年实际!$C:$C,"&lt;="&amp;EOMONTH(DATE(YEAR(主页!$D$2),MONTH(主页!$D$2),1),0)),"")</f>
        <v/>
      </c>
    </row>
    <row r="389" spans="1:10" x14ac:dyDescent="0.3">
      <c r="A389" s="135"/>
      <c r="B389" s="136"/>
      <c r="C389" s="138"/>
      <c r="D389" s="139"/>
      <c r="E389" s="141" t="str">
        <f t="shared" si="17"/>
        <v/>
      </c>
      <c r="F389" s="144"/>
      <c r="G389" s="146">
        <f t="shared" ref="G389:G452" si="18">D389*F389</f>
        <v>0</v>
      </c>
      <c r="H389" s="141" t="str">
        <f t="shared" si="16"/>
        <v/>
      </c>
      <c r="J389" s="148" t="str">
        <f>IFERROR(SUMIFS(当年实际!$V:$V,当年实际!$H:$H,$B389,当年实际!$C:$C,"&gt;="&amp;DATE(YEAR(主页!$D$2),1,1),当年实际!$C:$C,"&lt;="&amp;EOMONTH(DATE(YEAR(主页!$D$2),MONTH(主页!$D$2),1),0))/SUMIFS(当年实际!$P:$P,当年实际!$H:$H,$B389,当年实际!$C:$C,"&gt;="&amp;DATE(YEAR(主页!$D$2),1,1),当年实际!$C:$C,"&lt;="&amp;EOMONTH(DATE(YEAR(主页!$D$2),MONTH(主页!$D$2),1),0)),"")</f>
        <v/>
      </c>
    </row>
    <row r="390" spans="1:10" x14ac:dyDescent="0.3">
      <c r="A390" s="135"/>
      <c r="B390" s="136"/>
      <c r="C390" s="138"/>
      <c r="D390" s="139"/>
      <c r="E390" s="141" t="str">
        <f t="shared" si="17"/>
        <v/>
      </c>
      <c r="F390" s="144"/>
      <c r="G390" s="146">
        <f t="shared" si="18"/>
        <v>0</v>
      </c>
      <c r="H390" s="141" t="str">
        <f t="shared" ref="H390:H453" si="19">IF(G390/SUM(G:G)=0,"",G390/SUM(G:G))</f>
        <v/>
      </c>
      <c r="J390" s="148" t="str">
        <f>IFERROR(SUMIFS(当年实际!$V:$V,当年实际!$H:$H,$B390,当年实际!$C:$C,"&gt;="&amp;DATE(YEAR(主页!$D$2),1,1),当年实际!$C:$C,"&lt;="&amp;EOMONTH(DATE(YEAR(主页!$D$2),MONTH(主页!$D$2),1),0))/SUMIFS(当年实际!$P:$P,当年实际!$H:$H,$B390,当年实际!$C:$C,"&gt;="&amp;DATE(YEAR(主页!$D$2),1,1),当年实际!$C:$C,"&lt;="&amp;EOMONTH(DATE(YEAR(主页!$D$2),MONTH(主页!$D$2),1),0)),"")</f>
        <v/>
      </c>
    </row>
    <row r="391" spans="1:10" x14ac:dyDescent="0.3">
      <c r="A391" s="135"/>
      <c r="B391" s="136"/>
      <c r="C391" s="138"/>
      <c r="D391" s="139"/>
      <c r="E391" s="141" t="str">
        <f t="shared" si="17"/>
        <v/>
      </c>
      <c r="F391" s="144"/>
      <c r="G391" s="146">
        <f t="shared" si="18"/>
        <v>0</v>
      </c>
      <c r="H391" s="141" t="str">
        <f t="shared" si="19"/>
        <v/>
      </c>
      <c r="J391" s="148" t="str">
        <f>IFERROR(SUMIFS(当年实际!$V:$V,当年实际!$H:$H,$B391,当年实际!$C:$C,"&gt;="&amp;DATE(YEAR(主页!$D$2),1,1),当年实际!$C:$C,"&lt;="&amp;EOMONTH(DATE(YEAR(主页!$D$2),MONTH(主页!$D$2),1),0))/SUMIFS(当年实际!$P:$P,当年实际!$H:$H,$B391,当年实际!$C:$C,"&gt;="&amp;DATE(YEAR(主页!$D$2),1,1),当年实际!$C:$C,"&lt;="&amp;EOMONTH(DATE(YEAR(主页!$D$2),MONTH(主页!$D$2),1),0)),"")</f>
        <v/>
      </c>
    </row>
    <row r="392" spans="1:10" x14ac:dyDescent="0.3">
      <c r="A392" s="135"/>
      <c r="B392" s="136"/>
      <c r="C392" s="138"/>
      <c r="D392" s="139"/>
      <c r="E392" s="141" t="str">
        <f t="shared" ref="E392:E455" si="20">IF(D392/SUM(D:D)=0,"",D392/SUM(D:D))</f>
        <v/>
      </c>
      <c r="F392" s="144"/>
      <c r="G392" s="146">
        <f t="shared" si="18"/>
        <v>0</v>
      </c>
      <c r="H392" s="141" t="str">
        <f t="shared" si="19"/>
        <v/>
      </c>
      <c r="J392" s="148" t="str">
        <f>IFERROR(SUMIFS(当年实际!$V:$V,当年实际!$H:$H,$B392,当年实际!$C:$C,"&gt;="&amp;DATE(YEAR(主页!$D$2),1,1),当年实际!$C:$C,"&lt;="&amp;EOMONTH(DATE(YEAR(主页!$D$2),MONTH(主页!$D$2),1),0))/SUMIFS(当年实际!$P:$P,当年实际!$H:$H,$B392,当年实际!$C:$C,"&gt;="&amp;DATE(YEAR(主页!$D$2),1,1),当年实际!$C:$C,"&lt;="&amp;EOMONTH(DATE(YEAR(主页!$D$2),MONTH(主页!$D$2),1),0)),"")</f>
        <v/>
      </c>
    </row>
    <row r="393" spans="1:10" x14ac:dyDescent="0.3">
      <c r="A393" s="135"/>
      <c r="B393" s="136"/>
      <c r="C393" s="138"/>
      <c r="D393" s="139"/>
      <c r="E393" s="141" t="str">
        <f t="shared" si="20"/>
        <v/>
      </c>
      <c r="F393" s="144"/>
      <c r="G393" s="146">
        <f t="shared" si="18"/>
        <v>0</v>
      </c>
      <c r="H393" s="141" t="str">
        <f t="shared" si="19"/>
        <v/>
      </c>
      <c r="J393" s="148" t="str">
        <f>IFERROR(SUMIFS(当年实际!$V:$V,当年实际!$H:$H,$B393,当年实际!$C:$C,"&gt;="&amp;DATE(YEAR(主页!$D$2),1,1),当年实际!$C:$C,"&lt;="&amp;EOMONTH(DATE(YEAR(主页!$D$2),MONTH(主页!$D$2),1),0))/SUMIFS(当年实际!$P:$P,当年实际!$H:$H,$B393,当年实际!$C:$C,"&gt;="&amp;DATE(YEAR(主页!$D$2),1,1),当年实际!$C:$C,"&lt;="&amp;EOMONTH(DATE(YEAR(主页!$D$2),MONTH(主页!$D$2),1),0)),"")</f>
        <v/>
      </c>
    </row>
    <row r="394" spans="1:10" x14ac:dyDescent="0.3">
      <c r="A394" s="135"/>
      <c r="B394" s="136"/>
      <c r="C394" s="138"/>
      <c r="D394" s="139"/>
      <c r="E394" s="141" t="str">
        <f t="shared" si="20"/>
        <v/>
      </c>
      <c r="F394" s="144"/>
      <c r="G394" s="146">
        <f t="shared" si="18"/>
        <v>0</v>
      </c>
      <c r="H394" s="141" t="str">
        <f t="shared" si="19"/>
        <v/>
      </c>
      <c r="J394" s="148" t="str">
        <f>IFERROR(SUMIFS(当年实际!$V:$V,当年实际!$H:$H,$B394,当年实际!$C:$C,"&gt;="&amp;DATE(YEAR(主页!$D$2),1,1),当年实际!$C:$C,"&lt;="&amp;EOMONTH(DATE(YEAR(主页!$D$2),MONTH(主页!$D$2),1),0))/SUMIFS(当年实际!$P:$P,当年实际!$H:$H,$B394,当年实际!$C:$C,"&gt;="&amp;DATE(YEAR(主页!$D$2),1,1),当年实际!$C:$C,"&lt;="&amp;EOMONTH(DATE(YEAR(主页!$D$2),MONTH(主页!$D$2),1),0)),"")</f>
        <v/>
      </c>
    </row>
    <row r="395" spans="1:10" x14ac:dyDescent="0.3">
      <c r="A395" s="135"/>
      <c r="B395" s="136"/>
      <c r="C395" s="138"/>
      <c r="D395" s="139"/>
      <c r="E395" s="141" t="str">
        <f t="shared" si="20"/>
        <v/>
      </c>
      <c r="F395" s="144"/>
      <c r="G395" s="146">
        <f t="shared" si="18"/>
        <v>0</v>
      </c>
      <c r="H395" s="141" t="str">
        <f t="shared" si="19"/>
        <v/>
      </c>
      <c r="J395" s="148" t="str">
        <f>IFERROR(SUMIFS(当年实际!$V:$V,当年实际!$H:$H,$B395,当年实际!$C:$C,"&gt;="&amp;DATE(YEAR(主页!$D$2),1,1),当年实际!$C:$C,"&lt;="&amp;EOMONTH(DATE(YEAR(主页!$D$2),MONTH(主页!$D$2),1),0))/SUMIFS(当年实际!$P:$P,当年实际!$H:$H,$B395,当年实际!$C:$C,"&gt;="&amp;DATE(YEAR(主页!$D$2),1,1),当年实际!$C:$C,"&lt;="&amp;EOMONTH(DATE(YEAR(主页!$D$2),MONTH(主页!$D$2),1),0)),"")</f>
        <v/>
      </c>
    </row>
    <row r="396" spans="1:10" x14ac:dyDescent="0.3">
      <c r="A396" s="135"/>
      <c r="B396" s="136"/>
      <c r="C396" s="138"/>
      <c r="D396" s="139"/>
      <c r="E396" s="141" t="str">
        <f t="shared" si="20"/>
        <v/>
      </c>
      <c r="F396" s="144"/>
      <c r="G396" s="146">
        <f t="shared" si="18"/>
        <v>0</v>
      </c>
      <c r="H396" s="141" t="str">
        <f t="shared" si="19"/>
        <v/>
      </c>
      <c r="J396" s="148" t="str">
        <f>IFERROR(SUMIFS(当年实际!$V:$V,当年实际!$H:$H,$B396,当年实际!$C:$C,"&gt;="&amp;DATE(YEAR(主页!$D$2),1,1),当年实际!$C:$C,"&lt;="&amp;EOMONTH(DATE(YEAR(主页!$D$2),MONTH(主页!$D$2),1),0))/SUMIFS(当年实际!$P:$P,当年实际!$H:$H,$B396,当年实际!$C:$C,"&gt;="&amp;DATE(YEAR(主页!$D$2),1,1),当年实际!$C:$C,"&lt;="&amp;EOMONTH(DATE(YEAR(主页!$D$2),MONTH(主页!$D$2),1),0)),"")</f>
        <v/>
      </c>
    </row>
    <row r="397" spans="1:10" x14ac:dyDescent="0.3">
      <c r="A397" s="135"/>
      <c r="B397" s="136"/>
      <c r="C397" s="138"/>
      <c r="D397" s="139"/>
      <c r="E397" s="141" t="str">
        <f t="shared" si="20"/>
        <v/>
      </c>
      <c r="F397" s="144"/>
      <c r="G397" s="146">
        <f t="shared" si="18"/>
        <v>0</v>
      </c>
      <c r="H397" s="141" t="str">
        <f t="shared" si="19"/>
        <v/>
      </c>
      <c r="J397" s="148" t="str">
        <f>IFERROR(SUMIFS(当年实际!$V:$V,当年实际!$H:$H,$B397,当年实际!$C:$C,"&gt;="&amp;DATE(YEAR(主页!$D$2),1,1),当年实际!$C:$C,"&lt;="&amp;EOMONTH(DATE(YEAR(主页!$D$2),MONTH(主页!$D$2),1),0))/SUMIFS(当年实际!$P:$P,当年实际!$H:$H,$B397,当年实际!$C:$C,"&gt;="&amp;DATE(YEAR(主页!$D$2),1,1),当年实际!$C:$C,"&lt;="&amp;EOMONTH(DATE(YEAR(主页!$D$2),MONTH(主页!$D$2),1),0)),"")</f>
        <v/>
      </c>
    </row>
    <row r="398" spans="1:10" x14ac:dyDescent="0.3">
      <c r="A398" s="135"/>
      <c r="B398" s="136"/>
      <c r="C398" s="138"/>
      <c r="D398" s="139"/>
      <c r="E398" s="141" t="str">
        <f t="shared" si="20"/>
        <v/>
      </c>
      <c r="F398" s="144"/>
      <c r="G398" s="146">
        <f t="shared" si="18"/>
        <v>0</v>
      </c>
      <c r="H398" s="141" t="str">
        <f t="shared" si="19"/>
        <v/>
      </c>
      <c r="J398" s="148" t="str">
        <f>IFERROR(SUMIFS(当年实际!$V:$V,当年实际!$H:$H,$B398,当年实际!$C:$C,"&gt;="&amp;DATE(YEAR(主页!$D$2),1,1),当年实际!$C:$C,"&lt;="&amp;EOMONTH(DATE(YEAR(主页!$D$2),MONTH(主页!$D$2),1),0))/SUMIFS(当年实际!$P:$P,当年实际!$H:$H,$B398,当年实际!$C:$C,"&gt;="&amp;DATE(YEAR(主页!$D$2),1,1),当年实际!$C:$C,"&lt;="&amp;EOMONTH(DATE(YEAR(主页!$D$2),MONTH(主页!$D$2),1),0)),"")</f>
        <v/>
      </c>
    </row>
    <row r="399" spans="1:10" x14ac:dyDescent="0.3">
      <c r="A399" s="135"/>
      <c r="B399" s="136"/>
      <c r="C399" s="138"/>
      <c r="D399" s="139"/>
      <c r="E399" s="141" t="str">
        <f t="shared" si="20"/>
        <v/>
      </c>
      <c r="F399" s="144"/>
      <c r="G399" s="146">
        <f t="shared" si="18"/>
        <v>0</v>
      </c>
      <c r="H399" s="141" t="str">
        <f t="shared" si="19"/>
        <v/>
      </c>
      <c r="J399" s="148" t="str">
        <f>IFERROR(SUMIFS(当年实际!$V:$V,当年实际!$H:$H,$B399,当年实际!$C:$C,"&gt;="&amp;DATE(YEAR(主页!$D$2),1,1),当年实际!$C:$C,"&lt;="&amp;EOMONTH(DATE(YEAR(主页!$D$2),MONTH(主页!$D$2),1),0))/SUMIFS(当年实际!$P:$P,当年实际!$H:$H,$B399,当年实际!$C:$C,"&gt;="&amp;DATE(YEAR(主页!$D$2),1,1),当年实际!$C:$C,"&lt;="&amp;EOMONTH(DATE(YEAR(主页!$D$2),MONTH(主页!$D$2),1),0)),"")</f>
        <v/>
      </c>
    </row>
    <row r="400" spans="1:10" x14ac:dyDescent="0.3">
      <c r="A400" s="135"/>
      <c r="B400" s="136"/>
      <c r="C400" s="138"/>
      <c r="D400" s="139"/>
      <c r="E400" s="141" t="str">
        <f t="shared" si="20"/>
        <v/>
      </c>
      <c r="F400" s="144"/>
      <c r="G400" s="146">
        <f t="shared" si="18"/>
        <v>0</v>
      </c>
      <c r="H400" s="141" t="str">
        <f t="shared" si="19"/>
        <v/>
      </c>
      <c r="J400" s="148" t="str">
        <f>IFERROR(SUMIFS(当年实际!$V:$V,当年实际!$H:$H,$B400,当年实际!$C:$C,"&gt;="&amp;DATE(YEAR(主页!$D$2),1,1),当年实际!$C:$C,"&lt;="&amp;EOMONTH(DATE(YEAR(主页!$D$2),MONTH(主页!$D$2),1),0))/SUMIFS(当年实际!$P:$P,当年实际!$H:$H,$B400,当年实际!$C:$C,"&gt;="&amp;DATE(YEAR(主页!$D$2),1,1),当年实际!$C:$C,"&lt;="&amp;EOMONTH(DATE(YEAR(主页!$D$2),MONTH(主页!$D$2),1),0)),"")</f>
        <v/>
      </c>
    </row>
    <row r="401" spans="1:10" x14ac:dyDescent="0.3">
      <c r="A401" s="135"/>
      <c r="B401" s="136"/>
      <c r="C401" s="138"/>
      <c r="D401" s="139"/>
      <c r="E401" s="141" t="str">
        <f t="shared" si="20"/>
        <v/>
      </c>
      <c r="F401" s="144"/>
      <c r="G401" s="146">
        <f t="shared" si="18"/>
        <v>0</v>
      </c>
      <c r="H401" s="141" t="str">
        <f t="shared" si="19"/>
        <v/>
      </c>
      <c r="J401" s="148" t="str">
        <f>IFERROR(SUMIFS(当年实际!$V:$V,当年实际!$H:$H,$B401,当年实际!$C:$C,"&gt;="&amp;DATE(YEAR(主页!$D$2),1,1),当年实际!$C:$C,"&lt;="&amp;EOMONTH(DATE(YEAR(主页!$D$2),MONTH(主页!$D$2),1),0))/SUMIFS(当年实际!$P:$P,当年实际!$H:$H,$B401,当年实际!$C:$C,"&gt;="&amp;DATE(YEAR(主页!$D$2),1,1),当年实际!$C:$C,"&lt;="&amp;EOMONTH(DATE(YEAR(主页!$D$2),MONTH(主页!$D$2),1),0)),"")</f>
        <v/>
      </c>
    </row>
    <row r="402" spans="1:10" x14ac:dyDescent="0.3">
      <c r="A402" s="135"/>
      <c r="B402" s="136"/>
      <c r="C402" s="138"/>
      <c r="D402" s="139"/>
      <c r="E402" s="141" t="str">
        <f t="shared" si="20"/>
        <v/>
      </c>
      <c r="F402" s="144"/>
      <c r="G402" s="146">
        <f t="shared" si="18"/>
        <v>0</v>
      </c>
      <c r="H402" s="141" t="str">
        <f t="shared" si="19"/>
        <v/>
      </c>
      <c r="J402" s="148" t="str">
        <f>IFERROR(SUMIFS(当年实际!$V:$V,当年实际!$H:$H,$B402,当年实际!$C:$C,"&gt;="&amp;DATE(YEAR(主页!$D$2),1,1),当年实际!$C:$C,"&lt;="&amp;EOMONTH(DATE(YEAR(主页!$D$2),MONTH(主页!$D$2),1),0))/SUMIFS(当年实际!$P:$P,当年实际!$H:$H,$B402,当年实际!$C:$C,"&gt;="&amp;DATE(YEAR(主页!$D$2),1,1),当年实际!$C:$C,"&lt;="&amp;EOMONTH(DATE(YEAR(主页!$D$2),MONTH(主页!$D$2),1),0)),"")</f>
        <v/>
      </c>
    </row>
    <row r="403" spans="1:10" x14ac:dyDescent="0.3">
      <c r="A403" s="135"/>
      <c r="B403" s="136"/>
      <c r="C403" s="138"/>
      <c r="D403" s="139"/>
      <c r="E403" s="141" t="str">
        <f t="shared" si="20"/>
        <v/>
      </c>
      <c r="F403" s="144"/>
      <c r="G403" s="146">
        <f t="shared" si="18"/>
        <v>0</v>
      </c>
      <c r="H403" s="141" t="str">
        <f t="shared" si="19"/>
        <v/>
      </c>
      <c r="J403" s="148" t="str">
        <f>IFERROR(SUMIFS(当年实际!$V:$V,当年实际!$H:$H,$B403,当年实际!$C:$C,"&gt;="&amp;DATE(YEAR(主页!$D$2),1,1),当年实际!$C:$C,"&lt;="&amp;EOMONTH(DATE(YEAR(主页!$D$2),MONTH(主页!$D$2),1),0))/SUMIFS(当年实际!$P:$P,当年实际!$H:$H,$B403,当年实际!$C:$C,"&gt;="&amp;DATE(YEAR(主页!$D$2),1,1),当年实际!$C:$C,"&lt;="&amp;EOMONTH(DATE(YEAR(主页!$D$2),MONTH(主页!$D$2),1),0)),"")</f>
        <v/>
      </c>
    </row>
    <row r="404" spans="1:10" x14ac:dyDescent="0.3">
      <c r="A404" s="135"/>
      <c r="B404" s="136"/>
      <c r="C404" s="138"/>
      <c r="D404" s="139"/>
      <c r="E404" s="141" t="str">
        <f t="shared" si="20"/>
        <v/>
      </c>
      <c r="F404" s="144"/>
      <c r="G404" s="146">
        <f t="shared" si="18"/>
        <v>0</v>
      </c>
      <c r="H404" s="141" t="str">
        <f t="shared" si="19"/>
        <v/>
      </c>
      <c r="J404" s="148" t="str">
        <f>IFERROR(SUMIFS(当年实际!$V:$V,当年实际!$H:$H,$B404,当年实际!$C:$C,"&gt;="&amp;DATE(YEAR(主页!$D$2),1,1),当年实际!$C:$C,"&lt;="&amp;EOMONTH(DATE(YEAR(主页!$D$2),MONTH(主页!$D$2),1),0))/SUMIFS(当年实际!$P:$P,当年实际!$H:$H,$B404,当年实际!$C:$C,"&gt;="&amp;DATE(YEAR(主页!$D$2),1,1),当年实际!$C:$C,"&lt;="&amp;EOMONTH(DATE(YEAR(主页!$D$2),MONTH(主页!$D$2),1),0)),"")</f>
        <v/>
      </c>
    </row>
    <row r="405" spans="1:10" x14ac:dyDescent="0.3">
      <c r="A405" s="135"/>
      <c r="B405" s="136"/>
      <c r="C405" s="138"/>
      <c r="D405" s="139"/>
      <c r="E405" s="141" t="str">
        <f t="shared" si="20"/>
        <v/>
      </c>
      <c r="F405" s="144"/>
      <c r="G405" s="146">
        <f t="shared" si="18"/>
        <v>0</v>
      </c>
      <c r="H405" s="141" t="str">
        <f t="shared" si="19"/>
        <v/>
      </c>
      <c r="J405" s="148" t="str">
        <f>IFERROR(SUMIFS(当年实际!$V:$V,当年实际!$H:$H,$B405,当年实际!$C:$C,"&gt;="&amp;DATE(YEAR(主页!$D$2),1,1),当年实际!$C:$C,"&lt;="&amp;EOMONTH(DATE(YEAR(主页!$D$2),MONTH(主页!$D$2),1),0))/SUMIFS(当年实际!$P:$P,当年实际!$H:$H,$B405,当年实际!$C:$C,"&gt;="&amp;DATE(YEAR(主页!$D$2),1,1),当年实际!$C:$C,"&lt;="&amp;EOMONTH(DATE(YEAR(主页!$D$2),MONTH(主页!$D$2),1),0)),"")</f>
        <v/>
      </c>
    </row>
    <row r="406" spans="1:10" x14ac:dyDescent="0.3">
      <c r="A406" s="135"/>
      <c r="B406" s="136"/>
      <c r="C406" s="138"/>
      <c r="D406" s="139"/>
      <c r="E406" s="141" t="str">
        <f t="shared" si="20"/>
        <v/>
      </c>
      <c r="F406" s="144"/>
      <c r="G406" s="146">
        <f t="shared" si="18"/>
        <v>0</v>
      </c>
      <c r="H406" s="141" t="str">
        <f t="shared" si="19"/>
        <v/>
      </c>
      <c r="J406" s="148" t="str">
        <f>IFERROR(SUMIFS(当年实际!$V:$V,当年实际!$H:$H,$B406,当年实际!$C:$C,"&gt;="&amp;DATE(YEAR(主页!$D$2),1,1),当年实际!$C:$C,"&lt;="&amp;EOMONTH(DATE(YEAR(主页!$D$2),MONTH(主页!$D$2),1),0))/SUMIFS(当年实际!$P:$P,当年实际!$H:$H,$B406,当年实际!$C:$C,"&gt;="&amp;DATE(YEAR(主页!$D$2),1,1),当年实际!$C:$C,"&lt;="&amp;EOMONTH(DATE(YEAR(主页!$D$2),MONTH(主页!$D$2),1),0)),"")</f>
        <v/>
      </c>
    </row>
    <row r="407" spans="1:10" x14ac:dyDescent="0.3">
      <c r="A407" s="135"/>
      <c r="B407" s="136"/>
      <c r="C407" s="138"/>
      <c r="D407" s="139"/>
      <c r="E407" s="141" t="str">
        <f t="shared" si="20"/>
        <v/>
      </c>
      <c r="F407" s="144"/>
      <c r="G407" s="146">
        <f t="shared" si="18"/>
        <v>0</v>
      </c>
      <c r="H407" s="141" t="str">
        <f t="shared" si="19"/>
        <v/>
      </c>
      <c r="J407" s="148" t="str">
        <f>IFERROR(SUMIFS(当年实际!$V:$V,当年实际!$H:$H,$B407,当年实际!$C:$C,"&gt;="&amp;DATE(YEAR(主页!$D$2),1,1),当年实际!$C:$C,"&lt;="&amp;EOMONTH(DATE(YEAR(主页!$D$2),MONTH(主页!$D$2),1),0))/SUMIFS(当年实际!$P:$P,当年实际!$H:$H,$B407,当年实际!$C:$C,"&gt;="&amp;DATE(YEAR(主页!$D$2),1,1),当年实际!$C:$C,"&lt;="&amp;EOMONTH(DATE(YEAR(主页!$D$2),MONTH(主页!$D$2),1),0)),"")</f>
        <v/>
      </c>
    </row>
    <row r="408" spans="1:10" x14ac:dyDescent="0.3">
      <c r="A408" s="135"/>
      <c r="B408" s="136"/>
      <c r="C408" s="138"/>
      <c r="D408" s="139"/>
      <c r="E408" s="141" t="str">
        <f t="shared" si="20"/>
        <v/>
      </c>
      <c r="F408" s="144"/>
      <c r="G408" s="146">
        <f t="shared" si="18"/>
        <v>0</v>
      </c>
      <c r="H408" s="141" t="str">
        <f t="shared" si="19"/>
        <v/>
      </c>
      <c r="J408" s="148" t="str">
        <f>IFERROR(SUMIFS(当年实际!$V:$V,当年实际!$H:$H,$B408,当年实际!$C:$C,"&gt;="&amp;DATE(YEAR(主页!$D$2),1,1),当年实际!$C:$C,"&lt;="&amp;EOMONTH(DATE(YEAR(主页!$D$2),MONTH(主页!$D$2),1),0))/SUMIFS(当年实际!$P:$P,当年实际!$H:$H,$B408,当年实际!$C:$C,"&gt;="&amp;DATE(YEAR(主页!$D$2),1,1),当年实际!$C:$C,"&lt;="&amp;EOMONTH(DATE(YEAR(主页!$D$2),MONTH(主页!$D$2),1),0)),"")</f>
        <v/>
      </c>
    </row>
    <row r="409" spans="1:10" x14ac:dyDescent="0.3">
      <c r="A409" s="135"/>
      <c r="B409" s="136"/>
      <c r="C409" s="138"/>
      <c r="D409" s="139"/>
      <c r="E409" s="141" t="str">
        <f t="shared" si="20"/>
        <v/>
      </c>
      <c r="F409" s="144"/>
      <c r="G409" s="146">
        <f t="shared" si="18"/>
        <v>0</v>
      </c>
      <c r="H409" s="141" t="str">
        <f t="shared" si="19"/>
        <v/>
      </c>
      <c r="J409" s="148" t="str">
        <f>IFERROR(SUMIFS(当年实际!$V:$V,当年实际!$H:$H,$B409,当年实际!$C:$C,"&gt;="&amp;DATE(YEAR(主页!$D$2),1,1),当年实际!$C:$C,"&lt;="&amp;EOMONTH(DATE(YEAR(主页!$D$2),MONTH(主页!$D$2),1),0))/SUMIFS(当年实际!$P:$P,当年实际!$H:$H,$B409,当年实际!$C:$C,"&gt;="&amp;DATE(YEAR(主页!$D$2),1,1),当年实际!$C:$C,"&lt;="&amp;EOMONTH(DATE(YEAR(主页!$D$2),MONTH(主页!$D$2),1),0)),"")</f>
        <v/>
      </c>
    </row>
    <row r="410" spans="1:10" x14ac:dyDescent="0.3">
      <c r="A410" s="135"/>
      <c r="B410" s="136"/>
      <c r="C410" s="138"/>
      <c r="D410" s="139"/>
      <c r="E410" s="141" t="str">
        <f t="shared" si="20"/>
        <v/>
      </c>
      <c r="F410" s="144"/>
      <c r="G410" s="146">
        <f t="shared" si="18"/>
        <v>0</v>
      </c>
      <c r="H410" s="141" t="str">
        <f t="shared" si="19"/>
        <v/>
      </c>
      <c r="J410" s="148" t="str">
        <f>IFERROR(SUMIFS(当年实际!$V:$V,当年实际!$H:$H,$B410,当年实际!$C:$C,"&gt;="&amp;DATE(YEAR(主页!$D$2),1,1),当年实际!$C:$C,"&lt;="&amp;EOMONTH(DATE(YEAR(主页!$D$2),MONTH(主页!$D$2),1),0))/SUMIFS(当年实际!$P:$P,当年实际!$H:$H,$B410,当年实际!$C:$C,"&gt;="&amp;DATE(YEAR(主页!$D$2),1,1),当年实际!$C:$C,"&lt;="&amp;EOMONTH(DATE(YEAR(主页!$D$2),MONTH(主页!$D$2),1),0)),"")</f>
        <v/>
      </c>
    </row>
    <row r="411" spans="1:10" x14ac:dyDescent="0.3">
      <c r="A411" s="135"/>
      <c r="B411" s="136"/>
      <c r="C411" s="138"/>
      <c r="D411" s="139"/>
      <c r="E411" s="141" t="str">
        <f t="shared" si="20"/>
        <v/>
      </c>
      <c r="F411" s="144"/>
      <c r="G411" s="146">
        <f t="shared" si="18"/>
        <v>0</v>
      </c>
      <c r="H411" s="141" t="str">
        <f t="shared" si="19"/>
        <v/>
      </c>
      <c r="J411" s="148" t="str">
        <f>IFERROR(SUMIFS(当年实际!$V:$V,当年实际!$H:$H,$B411,当年实际!$C:$C,"&gt;="&amp;DATE(YEAR(主页!$D$2),1,1),当年实际!$C:$C,"&lt;="&amp;EOMONTH(DATE(YEAR(主页!$D$2),MONTH(主页!$D$2),1),0))/SUMIFS(当年实际!$P:$P,当年实际!$H:$H,$B411,当年实际!$C:$C,"&gt;="&amp;DATE(YEAR(主页!$D$2),1,1),当年实际!$C:$C,"&lt;="&amp;EOMONTH(DATE(YEAR(主页!$D$2),MONTH(主页!$D$2),1),0)),"")</f>
        <v/>
      </c>
    </row>
    <row r="412" spans="1:10" x14ac:dyDescent="0.3">
      <c r="A412" s="135"/>
      <c r="B412" s="136"/>
      <c r="C412" s="138"/>
      <c r="D412" s="139"/>
      <c r="E412" s="141" t="str">
        <f t="shared" si="20"/>
        <v/>
      </c>
      <c r="F412" s="144"/>
      <c r="G412" s="146">
        <f t="shared" si="18"/>
        <v>0</v>
      </c>
      <c r="H412" s="141" t="str">
        <f t="shared" si="19"/>
        <v/>
      </c>
      <c r="J412" s="148" t="str">
        <f>IFERROR(SUMIFS(当年实际!$V:$V,当年实际!$H:$H,$B412,当年实际!$C:$C,"&gt;="&amp;DATE(YEAR(主页!$D$2),1,1),当年实际!$C:$C,"&lt;="&amp;EOMONTH(DATE(YEAR(主页!$D$2),MONTH(主页!$D$2),1),0))/SUMIFS(当年实际!$P:$P,当年实际!$H:$H,$B412,当年实际!$C:$C,"&gt;="&amp;DATE(YEAR(主页!$D$2),1,1),当年实际!$C:$C,"&lt;="&amp;EOMONTH(DATE(YEAR(主页!$D$2),MONTH(主页!$D$2),1),0)),"")</f>
        <v/>
      </c>
    </row>
    <row r="413" spans="1:10" x14ac:dyDescent="0.3">
      <c r="A413" s="135"/>
      <c r="B413" s="136"/>
      <c r="C413" s="138"/>
      <c r="D413" s="139"/>
      <c r="E413" s="141" t="str">
        <f t="shared" si="20"/>
        <v/>
      </c>
      <c r="F413" s="144"/>
      <c r="G413" s="146">
        <f t="shared" si="18"/>
        <v>0</v>
      </c>
      <c r="H413" s="141" t="str">
        <f t="shared" si="19"/>
        <v/>
      </c>
      <c r="J413" s="148" t="str">
        <f>IFERROR(SUMIFS(当年实际!$V:$V,当年实际!$H:$H,$B413,当年实际!$C:$C,"&gt;="&amp;DATE(YEAR(主页!$D$2),1,1),当年实际!$C:$C,"&lt;="&amp;EOMONTH(DATE(YEAR(主页!$D$2),MONTH(主页!$D$2),1),0))/SUMIFS(当年实际!$P:$P,当年实际!$H:$H,$B413,当年实际!$C:$C,"&gt;="&amp;DATE(YEAR(主页!$D$2),1,1),当年实际!$C:$C,"&lt;="&amp;EOMONTH(DATE(YEAR(主页!$D$2),MONTH(主页!$D$2),1),0)),"")</f>
        <v/>
      </c>
    </row>
    <row r="414" spans="1:10" x14ac:dyDescent="0.3">
      <c r="A414" s="135"/>
      <c r="B414" s="136"/>
      <c r="C414" s="138"/>
      <c r="D414" s="139"/>
      <c r="E414" s="141" t="str">
        <f t="shared" si="20"/>
        <v/>
      </c>
      <c r="F414" s="144"/>
      <c r="G414" s="146">
        <f t="shared" si="18"/>
        <v>0</v>
      </c>
      <c r="H414" s="141" t="str">
        <f t="shared" si="19"/>
        <v/>
      </c>
      <c r="J414" s="148" t="str">
        <f>IFERROR(SUMIFS(当年实际!$V:$V,当年实际!$H:$H,$B414,当年实际!$C:$C,"&gt;="&amp;DATE(YEAR(主页!$D$2),1,1),当年实际!$C:$C,"&lt;="&amp;EOMONTH(DATE(YEAR(主页!$D$2),MONTH(主页!$D$2),1),0))/SUMIFS(当年实际!$P:$P,当年实际!$H:$H,$B414,当年实际!$C:$C,"&gt;="&amp;DATE(YEAR(主页!$D$2),1,1),当年实际!$C:$C,"&lt;="&amp;EOMONTH(DATE(YEAR(主页!$D$2),MONTH(主页!$D$2),1),0)),"")</f>
        <v/>
      </c>
    </row>
    <row r="415" spans="1:10" x14ac:dyDescent="0.3">
      <c r="A415" s="135"/>
      <c r="B415" s="136"/>
      <c r="C415" s="138"/>
      <c r="D415" s="139"/>
      <c r="E415" s="141" t="str">
        <f t="shared" si="20"/>
        <v/>
      </c>
      <c r="F415" s="144"/>
      <c r="G415" s="146">
        <f t="shared" si="18"/>
        <v>0</v>
      </c>
      <c r="H415" s="141" t="str">
        <f t="shared" si="19"/>
        <v/>
      </c>
      <c r="J415" s="148" t="str">
        <f>IFERROR(SUMIFS(当年实际!$V:$V,当年实际!$H:$H,$B415,当年实际!$C:$C,"&gt;="&amp;DATE(YEAR(主页!$D$2),1,1),当年实际!$C:$C,"&lt;="&amp;EOMONTH(DATE(YEAR(主页!$D$2),MONTH(主页!$D$2),1),0))/SUMIFS(当年实际!$P:$P,当年实际!$H:$H,$B415,当年实际!$C:$C,"&gt;="&amp;DATE(YEAR(主页!$D$2),1,1),当年实际!$C:$C,"&lt;="&amp;EOMONTH(DATE(YEAR(主页!$D$2),MONTH(主页!$D$2),1),0)),"")</f>
        <v/>
      </c>
    </row>
    <row r="416" spans="1:10" x14ac:dyDescent="0.3">
      <c r="A416" s="135"/>
      <c r="B416" s="136"/>
      <c r="C416" s="138"/>
      <c r="D416" s="139"/>
      <c r="E416" s="141" t="str">
        <f t="shared" si="20"/>
        <v/>
      </c>
      <c r="F416" s="144"/>
      <c r="G416" s="146">
        <f t="shared" si="18"/>
        <v>0</v>
      </c>
      <c r="H416" s="141" t="str">
        <f t="shared" si="19"/>
        <v/>
      </c>
      <c r="J416" s="148" t="str">
        <f>IFERROR(SUMIFS(当年实际!$V:$V,当年实际!$H:$H,$B416,当年实际!$C:$C,"&gt;="&amp;DATE(YEAR(主页!$D$2),1,1),当年实际!$C:$C,"&lt;="&amp;EOMONTH(DATE(YEAR(主页!$D$2),MONTH(主页!$D$2),1),0))/SUMIFS(当年实际!$P:$P,当年实际!$H:$H,$B416,当年实际!$C:$C,"&gt;="&amp;DATE(YEAR(主页!$D$2),1,1),当年实际!$C:$C,"&lt;="&amp;EOMONTH(DATE(YEAR(主页!$D$2),MONTH(主页!$D$2),1),0)),"")</f>
        <v/>
      </c>
    </row>
    <row r="417" spans="1:10" x14ac:dyDescent="0.3">
      <c r="A417" s="135"/>
      <c r="B417" s="136"/>
      <c r="C417" s="138"/>
      <c r="D417" s="139"/>
      <c r="E417" s="141" t="str">
        <f t="shared" si="20"/>
        <v/>
      </c>
      <c r="F417" s="144"/>
      <c r="G417" s="146">
        <f t="shared" si="18"/>
        <v>0</v>
      </c>
      <c r="H417" s="141" t="str">
        <f t="shared" si="19"/>
        <v/>
      </c>
      <c r="J417" s="148" t="str">
        <f>IFERROR(SUMIFS(当年实际!$V:$V,当年实际!$H:$H,$B417,当年实际!$C:$C,"&gt;="&amp;DATE(YEAR(主页!$D$2),1,1),当年实际!$C:$C,"&lt;="&amp;EOMONTH(DATE(YEAR(主页!$D$2),MONTH(主页!$D$2),1),0))/SUMIFS(当年实际!$P:$P,当年实际!$H:$H,$B417,当年实际!$C:$C,"&gt;="&amp;DATE(YEAR(主页!$D$2),1,1),当年实际!$C:$C,"&lt;="&amp;EOMONTH(DATE(YEAR(主页!$D$2),MONTH(主页!$D$2),1),0)),"")</f>
        <v/>
      </c>
    </row>
    <row r="418" spans="1:10" x14ac:dyDescent="0.3">
      <c r="A418" s="135"/>
      <c r="B418" s="136"/>
      <c r="C418" s="138"/>
      <c r="D418" s="139"/>
      <c r="E418" s="141" t="str">
        <f t="shared" si="20"/>
        <v/>
      </c>
      <c r="F418" s="144"/>
      <c r="G418" s="146">
        <f t="shared" si="18"/>
        <v>0</v>
      </c>
      <c r="H418" s="141" t="str">
        <f t="shared" si="19"/>
        <v/>
      </c>
      <c r="J418" s="148" t="str">
        <f>IFERROR(SUMIFS(当年实际!$V:$V,当年实际!$H:$H,$B418,当年实际!$C:$C,"&gt;="&amp;DATE(YEAR(主页!$D$2),1,1),当年实际!$C:$C,"&lt;="&amp;EOMONTH(DATE(YEAR(主页!$D$2),MONTH(主页!$D$2),1),0))/SUMIFS(当年实际!$P:$P,当年实际!$H:$H,$B418,当年实际!$C:$C,"&gt;="&amp;DATE(YEAR(主页!$D$2),1,1),当年实际!$C:$C,"&lt;="&amp;EOMONTH(DATE(YEAR(主页!$D$2),MONTH(主页!$D$2),1),0)),"")</f>
        <v/>
      </c>
    </row>
    <row r="419" spans="1:10" x14ac:dyDescent="0.3">
      <c r="A419" s="135"/>
      <c r="B419" s="136"/>
      <c r="C419" s="138"/>
      <c r="D419" s="139"/>
      <c r="E419" s="141" t="str">
        <f t="shared" si="20"/>
        <v/>
      </c>
      <c r="F419" s="144"/>
      <c r="G419" s="146">
        <f t="shared" si="18"/>
        <v>0</v>
      </c>
      <c r="H419" s="141" t="str">
        <f t="shared" si="19"/>
        <v/>
      </c>
      <c r="J419" s="148" t="str">
        <f>IFERROR(SUMIFS(当年实际!$V:$V,当年实际!$H:$H,$B419,当年实际!$C:$C,"&gt;="&amp;DATE(YEAR(主页!$D$2),1,1),当年实际!$C:$C,"&lt;="&amp;EOMONTH(DATE(YEAR(主页!$D$2),MONTH(主页!$D$2),1),0))/SUMIFS(当年实际!$P:$P,当年实际!$H:$H,$B419,当年实际!$C:$C,"&gt;="&amp;DATE(YEAR(主页!$D$2),1,1),当年实际!$C:$C,"&lt;="&amp;EOMONTH(DATE(YEAR(主页!$D$2),MONTH(主页!$D$2),1),0)),"")</f>
        <v/>
      </c>
    </row>
    <row r="420" spans="1:10" x14ac:dyDescent="0.3">
      <c r="A420" s="135"/>
      <c r="B420" s="136"/>
      <c r="C420" s="138"/>
      <c r="D420" s="139"/>
      <c r="E420" s="141" t="str">
        <f t="shared" si="20"/>
        <v/>
      </c>
      <c r="F420" s="144"/>
      <c r="G420" s="146">
        <f t="shared" si="18"/>
        <v>0</v>
      </c>
      <c r="H420" s="141" t="str">
        <f t="shared" si="19"/>
        <v/>
      </c>
      <c r="J420" s="148" t="str">
        <f>IFERROR(SUMIFS(当年实际!$V:$V,当年实际!$H:$H,$B420,当年实际!$C:$C,"&gt;="&amp;DATE(YEAR(主页!$D$2),1,1),当年实际!$C:$C,"&lt;="&amp;EOMONTH(DATE(YEAR(主页!$D$2),MONTH(主页!$D$2),1),0))/SUMIFS(当年实际!$P:$P,当年实际!$H:$H,$B420,当年实际!$C:$C,"&gt;="&amp;DATE(YEAR(主页!$D$2),1,1),当年实际!$C:$C,"&lt;="&amp;EOMONTH(DATE(YEAR(主页!$D$2),MONTH(主页!$D$2),1),0)),"")</f>
        <v/>
      </c>
    </row>
    <row r="421" spans="1:10" x14ac:dyDescent="0.3">
      <c r="A421" s="135"/>
      <c r="B421" s="136"/>
      <c r="C421" s="138"/>
      <c r="D421" s="139"/>
      <c r="E421" s="141" t="str">
        <f t="shared" si="20"/>
        <v/>
      </c>
      <c r="F421" s="144"/>
      <c r="G421" s="146">
        <f t="shared" si="18"/>
        <v>0</v>
      </c>
      <c r="H421" s="141" t="str">
        <f t="shared" si="19"/>
        <v/>
      </c>
      <c r="J421" s="148" t="str">
        <f>IFERROR(SUMIFS(当年实际!$V:$V,当年实际!$H:$H,$B421,当年实际!$C:$C,"&gt;="&amp;DATE(YEAR(主页!$D$2),1,1),当年实际!$C:$C,"&lt;="&amp;EOMONTH(DATE(YEAR(主页!$D$2),MONTH(主页!$D$2),1),0))/SUMIFS(当年实际!$P:$P,当年实际!$H:$H,$B421,当年实际!$C:$C,"&gt;="&amp;DATE(YEAR(主页!$D$2),1,1),当年实际!$C:$C,"&lt;="&amp;EOMONTH(DATE(YEAR(主页!$D$2),MONTH(主页!$D$2),1),0)),"")</f>
        <v/>
      </c>
    </row>
    <row r="422" spans="1:10" x14ac:dyDescent="0.3">
      <c r="A422" s="135"/>
      <c r="B422" s="136"/>
      <c r="C422" s="138"/>
      <c r="D422" s="139"/>
      <c r="E422" s="141" t="str">
        <f t="shared" si="20"/>
        <v/>
      </c>
      <c r="F422" s="144"/>
      <c r="G422" s="146">
        <f t="shared" si="18"/>
        <v>0</v>
      </c>
      <c r="H422" s="141" t="str">
        <f t="shared" si="19"/>
        <v/>
      </c>
      <c r="J422" s="148" t="str">
        <f>IFERROR(SUMIFS(当年实际!$V:$V,当年实际!$H:$H,$B422,当年实际!$C:$C,"&gt;="&amp;DATE(YEAR(主页!$D$2),1,1),当年实际!$C:$C,"&lt;="&amp;EOMONTH(DATE(YEAR(主页!$D$2),MONTH(主页!$D$2),1),0))/SUMIFS(当年实际!$P:$P,当年实际!$H:$H,$B422,当年实际!$C:$C,"&gt;="&amp;DATE(YEAR(主页!$D$2),1,1),当年实际!$C:$C,"&lt;="&amp;EOMONTH(DATE(YEAR(主页!$D$2),MONTH(主页!$D$2),1),0)),"")</f>
        <v/>
      </c>
    </row>
    <row r="423" spans="1:10" x14ac:dyDescent="0.3">
      <c r="A423" s="135"/>
      <c r="B423" s="136"/>
      <c r="C423" s="138"/>
      <c r="D423" s="139"/>
      <c r="E423" s="141" t="str">
        <f t="shared" si="20"/>
        <v/>
      </c>
      <c r="F423" s="144"/>
      <c r="G423" s="146">
        <f t="shared" si="18"/>
        <v>0</v>
      </c>
      <c r="H423" s="141" t="str">
        <f t="shared" si="19"/>
        <v/>
      </c>
      <c r="J423" s="148" t="str">
        <f>IFERROR(SUMIFS(当年实际!$V:$V,当年实际!$H:$H,$B423,当年实际!$C:$C,"&gt;="&amp;DATE(YEAR(主页!$D$2),1,1),当年实际!$C:$C,"&lt;="&amp;EOMONTH(DATE(YEAR(主页!$D$2),MONTH(主页!$D$2),1),0))/SUMIFS(当年实际!$P:$P,当年实际!$H:$H,$B423,当年实际!$C:$C,"&gt;="&amp;DATE(YEAR(主页!$D$2),1,1),当年实际!$C:$C,"&lt;="&amp;EOMONTH(DATE(YEAR(主页!$D$2),MONTH(主页!$D$2),1),0)),"")</f>
        <v/>
      </c>
    </row>
    <row r="424" spans="1:10" x14ac:dyDescent="0.3">
      <c r="A424" s="135"/>
      <c r="B424" s="136"/>
      <c r="C424" s="138"/>
      <c r="D424" s="139"/>
      <c r="E424" s="141" t="str">
        <f t="shared" si="20"/>
        <v/>
      </c>
      <c r="F424" s="144"/>
      <c r="G424" s="146">
        <f t="shared" si="18"/>
        <v>0</v>
      </c>
      <c r="H424" s="141" t="str">
        <f t="shared" si="19"/>
        <v/>
      </c>
      <c r="J424" s="148" t="str">
        <f>IFERROR(SUMIFS(当年实际!$V:$V,当年实际!$H:$H,$B424,当年实际!$C:$C,"&gt;="&amp;DATE(YEAR(主页!$D$2),1,1),当年实际!$C:$C,"&lt;="&amp;EOMONTH(DATE(YEAR(主页!$D$2),MONTH(主页!$D$2),1),0))/SUMIFS(当年实际!$P:$P,当年实际!$H:$H,$B424,当年实际!$C:$C,"&gt;="&amp;DATE(YEAR(主页!$D$2),1,1),当年实际!$C:$C,"&lt;="&amp;EOMONTH(DATE(YEAR(主页!$D$2),MONTH(主页!$D$2),1),0)),"")</f>
        <v/>
      </c>
    </row>
    <row r="425" spans="1:10" x14ac:dyDescent="0.3">
      <c r="A425" s="135"/>
      <c r="B425" s="136"/>
      <c r="C425" s="138"/>
      <c r="D425" s="139"/>
      <c r="E425" s="141" t="str">
        <f t="shared" si="20"/>
        <v/>
      </c>
      <c r="F425" s="144"/>
      <c r="G425" s="146">
        <f t="shared" si="18"/>
        <v>0</v>
      </c>
      <c r="H425" s="141" t="str">
        <f t="shared" si="19"/>
        <v/>
      </c>
      <c r="J425" s="148" t="str">
        <f>IFERROR(SUMIFS(当年实际!$V:$V,当年实际!$H:$H,$B425,当年实际!$C:$C,"&gt;="&amp;DATE(YEAR(主页!$D$2),1,1),当年实际!$C:$C,"&lt;="&amp;EOMONTH(DATE(YEAR(主页!$D$2),MONTH(主页!$D$2),1),0))/SUMIFS(当年实际!$P:$P,当年实际!$H:$H,$B425,当年实际!$C:$C,"&gt;="&amp;DATE(YEAR(主页!$D$2),1,1),当年实际!$C:$C,"&lt;="&amp;EOMONTH(DATE(YEAR(主页!$D$2),MONTH(主页!$D$2),1),0)),"")</f>
        <v/>
      </c>
    </row>
    <row r="426" spans="1:10" x14ac:dyDescent="0.3">
      <c r="A426" s="135"/>
      <c r="B426" s="136"/>
      <c r="C426" s="138"/>
      <c r="D426" s="139"/>
      <c r="E426" s="141" t="str">
        <f t="shared" si="20"/>
        <v/>
      </c>
      <c r="F426" s="144"/>
      <c r="G426" s="146">
        <f t="shared" si="18"/>
        <v>0</v>
      </c>
      <c r="H426" s="141" t="str">
        <f t="shared" si="19"/>
        <v/>
      </c>
      <c r="J426" s="148" t="str">
        <f>IFERROR(SUMIFS(当年实际!$V:$V,当年实际!$H:$H,$B426,当年实际!$C:$C,"&gt;="&amp;DATE(YEAR(主页!$D$2),1,1),当年实际!$C:$C,"&lt;="&amp;EOMONTH(DATE(YEAR(主页!$D$2),MONTH(主页!$D$2),1),0))/SUMIFS(当年实际!$P:$P,当年实际!$H:$H,$B426,当年实际!$C:$C,"&gt;="&amp;DATE(YEAR(主页!$D$2),1,1),当年实际!$C:$C,"&lt;="&amp;EOMONTH(DATE(YEAR(主页!$D$2),MONTH(主页!$D$2),1),0)),"")</f>
        <v/>
      </c>
    </row>
    <row r="427" spans="1:10" x14ac:dyDescent="0.3">
      <c r="A427" s="135"/>
      <c r="B427" s="136"/>
      <c r="C427" s="138"/>
      <c r="D427" s="139"/>
      <c r="E427" s="141" t="str">
        <f t="shared" si="20"/>
        <v/>
      </c>
      <c r="F427" s="144"/>
      <c r="G427" s="146">
        <f t="shared" si="18"/>
        <v>0</v>
      </c>
      <c r="H427" s="141" t="str">
        <f t="shared" si="19"/>
        <v/>
      </c>
      <c r="J427" s="148" t="str">
        <f>IFERROR(SUMIFS(当年实际!$V:$V,当年实际!$H:$H,$B427,当年实际!$C:$C,"&gt;="&amp;DATE(YEAR(主页!$D$2),1,1),当年实际!$C:$C,"&lt;="&amp;EOMONTH(DATE(YEAR(主页!$D$2),MONTH(主页!$D$2),1),0))/SUMIFS(当年实际!$P:$P,当年实际!$H:$H,$B427,当年实际!$C:$C,"&gt;="&amp;DATE(YEAR(主页!$D$2),1,1),当年实际!$C:$C,"&lt;="&amp;EOMONTH(DATE(YEAR(主页!$D$2),MONTH(主页!$D$2),1),0)),"")</f>
        <v/>
      </c>
    </row>
    <row r="428" spans="1:10" x14ac:dyDescent="0.3">
      <c r="A428" s="135"/>
      <c r="B428" s="136"/>
      <c r="C428" s="138"/>
      <c r="D428" s="139"/>
      <c r="E428" s="141" t="str">
        <f t="shared" si="20"/>
        <v/>
      </c>
      <c r="F428" s="144"/>
      <c r="G428" s="146">
        <f t="shared" si="18"/>
        <v>0</v>
      </c>
      <c r="H428" s="141" t="str">
        <f t="shared" si="19"/>
        <v/>
      </c>
      <c r="J428" s="148" t="str">
        <f>IFERROR(SUMIFS(当年实际!$V:$V,当年实际!$H:$H,$B428,当年实际!$C:$C,"&gt;="&amp;DATE(YEAR(主页!$D$2),1,1),当年实际!$C:$C,"&lt;="&amp;EOMONTH(DATE(YEAR(主页!$D$2),MONTH(主页!$D$2),1),0))/SUMIFS(当年实际!$P:$P,当年实际!$H:$H,$B428,当年实际!$C:$C,"&gt;="&amp;DATE(YEAR(主页!$D$2),1,1),当年实际!$C:$C,"&lt;="&amp;EOMONTH(DATE(YEAR(主页!$D$2),MONTH(主页!$D$2),1),0)),"")</f>
        <v/>
      </c>
    </row>
    <row r="429" spans="1:10" x14ac:dyDescent="0.3">
      <c r="A429" s="135"/>
      <c r="B429" s="136"/>
      <c r="C429" s="138"/>
      <c r="D429" s="139"/>
      <c r="E429" s="141" t="str">
        <f t="shared" si="20"/>
        <v/>
      </c>
      <c r="F429" s="144"/>
      <c r="G429" s="146">
        <f t="shared" si="18"/>
        <v>0</v>
      </c>
      <c r="H429" s="141" t="str">
        <f t="shared" si="19"/>
        <v/>
      </c>
      <c r="J429" s="148" t="str">
        <f>IFERROR(SUMIFS(当年实际!$V:$V,当年实际!$H:$H,$B429,当年实际!$C:$C,"&gt;="&amp;DATE(YEAR(主页!$D$2),1,1),当年实际!$C:$C,"&lt;="&amp;EOMONTH(DATE(YEAR(主页!$D$2),MONTH(主页!$D$2),1),0))/SUMIFS(当年实际!$P:$P,当年实际!$H:$H,$B429,当年实际!$C:$C,"&gt;="&amp;DATE(YEAR(主页!$D$2),1,1),当年实际!$C:$C,"&lt;="&amp;EOMONTH(DATE(YEAR(主页!$D$2),MONTH(主页!$D$2),1),0)),"")</f>
        <v/>
      </c>
    </row>
    <row r="430" spans="1:10" x14ac:dyDescent="0.3">
      <c r="A430" s="135"/>
      <c r="B430" s="136"/>
      <c r="C430" s="138"/>
      <c r="D430" s="139"/>
      <c r="E430" s="141" t="str">
        <f t="shared" si="20"/>
        <v/>
      </c>
      <c r="F430" s="144"/>
      <c r="G430" s="146">
        <f t="shared" si="18"/>
        <v>0</v>
      </c>
      <c r="H430" s="141" t="str">
        <f t="shared" si="19"/>
        <v/>
      </c>
      <c r="J430" s="148" t="str">
        <f>IFERROR(SUMIFS(当年实际!$V:$V,当年实际!$H:$H,$B430,当年实际!$C:$C,"&gt;="&amp;DATE(YEAR(主页!$D$2),1,1),当年实际!$C:$C,"&lt;="&amp;EOMONTH(DATE(YEAR(主页!$D$2),MONTH(主页!$D$2),1),0))/SUMIFS(当年实际!$P:$P,当年实际!$H:$H,$B430,当年实际!$C:$C,"&gt;="&amp;DATE(YEAR(主页!$D$2),1,1),当年实际!$C:$C,"&lt;="&amp;EOMONTH(DATE(YEAR(主页!$D$2),MONTH(主页!$D$2),1),0)),"")</f>
        <v/>
      </c>
    </row>
    <row r="431" spans="1:10" x14ac:dyDescent="0.3">
      <c r="A431" s="135"/>
      <c r="B431" s="136"/>
      <c r="C431" s="138"/>
      <c r="D431" s="139"/>
      <c r="E431" s="141" t="str">
        <f t="shared" si="20"/>
        <v/>
      </c>
      <c r="F431" s="144"/>
      <c r="G431" s="146">
        <f t="shared" si="18"/>
        <v>0</v>
      </c>
      <c r="H431" s="141" t="str">
        <f t="shared" si="19"/>
        <v/>
      </c>
      <c r="J431" s="148" t="str">
        <f>IFERROR(SUMIFS(当年实际!$V:$V,当年实际!$H:$H,$B431,当年实际!$C:$C,"&gt;="&amp;DATE(YEAR(主页!$D$2),1,1),当年实际!$C:$C,"&lt;="&amp;EOMONTH(DATE(YEAR(主页!$D$2),MONTH(主页!$D$2),1),0))/SUMIFS(当年实际!$P:$P,当年实际!$H:$H,$B431,当年实际!$C:$C,"&gt;="&amp;DATE(YEAR(主页!$D$2),1,1),当年实际!$C:$C,"&lt;="&amp;EOMONTH(DATE(YEAR(主页!$D$2),MONTH(主页!$D$2),1),0)),"")</f>
        <v/>
      </c>
    </row>
    <row r="432" spans="1:10" x14ac:dyDescent="0.3">
      <c r="A432" s="135"/>
      <c r="B432" s="136"/>
      <c r="C432" s="138"/>
      <c r="D432" s="139"/>
      <c r="E432" s="141" t="str">
        <f t="shared" si="20"/>
        <v/>
      </c>
      <c r="F432" s="144"/>
      <c r="G432" s="146">
        <f t="shared" si="18"/>
        <v>0</v>
      </c>
      <c r="H432" s="141" t="str">
        <f t="shared" si="19"/>
        <v/>
      </c>
      <c r="J432" s="148" t="str">
        <f>IFERROR(SUMIFS(当年实际!$V:$V,当年实际!$H:$H,$B432,当年实际!$C:$C,"&gt;="&amp;DATE(YEAR(主页!$D$2),1,1),当年实际!$C:$C,"&lt;="&amp;EOMONTH(DATE(YEAR(主页!$D$2),MONTH(主页!$D$2),1),0))/SUMIFS(当年实际!$P:$P,当年实际!$H:$H,$B432,当年实际!$C:$C,"&gt;="&amp;DATE(YEAR(主页!$D$2),1,1),当年实际!$C:$C,"&lt;="&amp;EOMONTH(DATE(YEAR(主页!$D$2),MONTH(主页!$D$2),1),0)),"")</f>
        <v/>
      </c>
    </row>
    <row r="433" spans="1:10" x14ac:dyDescent="0.3">
      <c r="A433" s="135"/>
      <c r="B433" s="136"/>
      <c r="C433" s="138"/>
      <c r="D433" s="139"/>
      <c r="E433" s="141" t="str">
        <f t="shared" si="20"/>
        <v/>
      </c>
      <c r="F433" s="144"/>
      <c r="G433" s="146">
        <f t="shared" si="18"/>
        <v>0</v>
      </c>
      <c r="H433" s="141" t="str">
        <f t="shared" si="19"/>
        <v/>
      </c>
      <c r="J433" s="148" t="str">
        <f>IFERROR(SUMIFS(当年实际!$V:$V,当年实际!$H:$H,$B433,当年实际!$C:$C,"&gt;="&amp;DATE(YEAR(主页!$D$2),1,1),当年实际!$C:$C,"&lt;="&amp;EOMONTH(DATE(YEAR(主页!$D$2),MONTH(主页!$D$2),1),0))/SUMIFS(当年实际!$P:$P,当年实际!$H:$H,$B433,当年实际!$C:$C,"&gt;="&amp;DATE(YEAR(主页!$D$2),1,1),当年实际!$C:$C,"&lt;="&amp;EOMONTH(DATE(YEAR(主页!$D$2),MONTH(主页!$D$2),1),0)),"")</f>
        <v/>
      </c>
    </row>
    <row r="434" spans="1:10" x14ac:dyDescent="0.3">
      <c r="A434" s="135"/>
      <c r="B434" s="136"/>
      <c r="C434" s="138"/>
      <c r="D434" s="139"/>
      <c r="E434" s="141" t="str">
        <f t="shared" si="20"/>
        <v/>
      </c>
      <c r="F434" s="144"/>
      <c r="G434" s="146">
        <f t="shared" si="18"/>
        <v>0</v>
      </c>
      <c r="H434" s="141" t="str">
        <f t="shared" si="19"/>
        <v/>
      </c>
      <c r="J434" s="148" t="str">
        <f>IFERROR(SUMIFS(当年实际!$V:$V,当年实际!$H:$H,$B434,当年实际!$C:$C,"&gt;="&amp;DATE(YEAR(主页!$D$2),1,1),当年实际!$C:$C,"&lt;="&amp;EOMONTH(DATE(YEAR(主页!$D$2),MONTH(主页!$D$2),1),0))/SUMIFS(当年实际!$P:$P,当年实际!$H:$H,$B434,当年实际!$C:$C,"&gt;="&amp;DATE(YEAR(主页!$D$2),1,1),当年实际!$C:$C,"&lt;="&amp;EOMONTH(DATE(YEAR(主页!$D$2),MONTH(主页!$D$2),1),0)),"")</f>
        <v/>
      </c>
    </row>
    <row r="435" spans="1:10" x14ac:dyDescent="0.3">
      <c r="A435" s="135"/>
      <c r="B435" s="136"/>
      <c r="C435" s="138"/>
      <c r="D435" s="139"/>
      <c r="E435" s="141" t="str">
        <f t="shared" si="20"/>
        <v/>
      </c>
      <c r="F435" s="144"/>
      <c r="G435" s="146">
        <f t="shared" si="18"/>
        <v>0</v>
      </c>
      <c r="H435" s="141" t="str">
        <f t="shared" si="19"/>
        <v/>
      </c>
      <c r="J435" s="148" t="str">
        <f>IFERROR(SUMIFS(当年实际!$V:$V,当年实际!$H:$H,$B435,当年实际!$C:$C,"&gt;="&amp;DATE(YEAR(主页!$D$2),1,1),当年实际!$C:$C,"&lt;="&amp;EOMONTH(DATE(YEAR(主页!$D$2),MONTH(主页!$D$2),1),0))/SUMIFS(当年实际!$P:$P,当年实际!$H:$H,$B435,当年实际!$C:$C,"&gt;="&amp;DATE(YEAR(主页!$D$2),1,1),当年实际!$C:$C,"&lt;="&amp;EOMONTH(DATE(YEAR(主页!$D$2),MONTH(主页!$D$2),1),0)),"")</f>
        <v/>
      </c>
    </row>
    <row r="436" spans="1:10" x14ac:dyDescent="0.3">
      <c r="A436" s="135"/>
      <c r="B436" s="136"/>
      <c r="C436" s="138"/>
      <c r="D436" s="139"/>
      <c r="E436" s="141" t="str">
        <f t="shared" si="20"/>
        <v/>
      </c>
      <c r="F436" s="144"/>
      <c r="G436" s="146">
        <f t="shared" si="18"/>
        <v>0</v>
      </c>
      <c r="H436" s="141" t="str">
        <f t="shared" si="19"/>
        <v/>
      </c>
      <c r="J436" s="148" t="str">
        <f>IFERROR(SUMIFS(当年实际!$V:$V,当年实际!$H:$H,$B436,当年实际!$C:$C,"&gt;="&amp;DATE(YEAR(主页!$D$2),1,1),当年实际!$C:$C,"&lt;="&amp;EOMONTH(DATE(YEAR(主页!$D$2),MONTH(主页!$D$2),1),0))/SUMIFS(当年实际!$P:$P,当年实际!$H:$H,$B436,当年实际!$C:$C,"&gt;="&amp;DATE(YEAR(主页!$D$2),1,1),当年实际!$C:$C,"&lt;="&amp;EOMONTH(DATE(YEAR(主页!$D$2),MONTH(主页!$D$2),1),0)),"")</f>
        <v/>
      </c>
    </row>
    <row r="437" spans="1:10" x14ac:dyDescent="0.3">
      <c r="A437" s="135"/>
      <c r="B437" s="136"/>
      <c r="C437" s="138"/>
      <c r="D437" s="139"/>
      <c r="E437" s="141" t="str">
        <f t="shared" si="20"/>
        <v/>
      </c>
      <c r="F437" s="144"/>
      <c r="G437" s="146">
        <f t="shared" si="18"/>
        <v>0</v>
      </c>
      <c r="H437" s="141" t="str">
        <f t="shared" si="19"/>
        <v/>
      </c>
      <c r="J437" s="148" t="str">
        <f>IFERROR(SUMIFS(当年实际!$V:$V,当年实际!$H:$H,$B437,当年实际!$C:$C,"&gt;="&amp;DATE(YEAR(主页!$D$2),1,1),当年实际!$C:$C,"&lt;="&amp;EOMONTH(DATE(YEAR(主页!$D$2),MONTH(主页!$D$2),1),0))/SUMIFS(当年实际!$P:$P,当年实际!$H:$H,$B437,当年实际!$C:$C,"&gt;="&amp;DATE(YEAR(主页!$D$2),1,1),当年实际!$C:$C,"&lt;="&amp;EOMONTH(DATE(YEAR(主页!$D$2),MONTH(主页!$D$2),1),0)),"")</f>
        <v/>
      </c>
    </row>
    <row r="438" spans="1:10" x14ac:dyDescent="0.3">
      <c r="A438" s="135"/>
      <c r="B438" s="136"/>
      <c r="C438" s="138"/>
      <c r="D438" s="139"/>
      <c r="E438" s="141" t="str">
        <f t="shared" si="20"/>
        <v/>
      </c>
      <c r="F438" s="144"/>
      <c r="G438" s="146">
        <f t="shared" si="18"/>
        <v>0</v>
      </c>
      <c r="H438" s="141" t="str">
        <f t="shared" si="19"/>
        <v/>
      </c>
      <c r="J438" s="148" t="str">
        <f>IFERROR(SUMIFS(当年实际!$V:$V,当年实际!$H:$H,$B438,当年实际!$C:$C,"&gt;="&amp;DATE(YEAR(主页!$D$2),1,1),当年实际!$C:$C,"&lt;="&amp;EOMONTH(DATE(YEAR(主页!$D$2),MONTH(主页!$D$2),1),0))/SUMIFS(当年实际!$P:$P,当年实际!$H:$H,$B438,当年实际!$C:$C,"&gt;="&amp;DATE(YEAR(主页!$D$2),1,1),当年实际!$C:$C,"&lt;="&amp;EOMONTH(DATE(YEAR(主页!$D$2),MONTH(主页!$D$2),1),0)),"")</f>
        <v/>
      </c>
    </row>
    <row r="439" spans="1:10" x14ac:dyDescent="0.3">
      <c r="A439" s="135"/>
      <c r="B439" s="136"/>
      <c r="C439" s="138"/>
      <c r="D439" s="139"/>
      <c r="E439" s="141" t="str">
        <f t="shared" si="20"/>
        <v/>
      </c>
      <c r="F439" s="144"/>
      <c r="G439" s="146">
        <f t="shared" si="18"/>
        <v>0</v>
      </c>
      <c r="H439" s="141" t="str">
        <f t="shared" si="19"/>
        <v/>
      </c>
      <c r="J439" s="148" t="str">
        <f>IFERROR(SUMIFS(当年实际!$V:$V,当年实际!$H:$H,$B439,当年实际!$C:$C,"&gt;="&amp;DATE(YEAR(主页!$D$2),1,1),当年实际!$C:$C,"&lt;="&amp;EOMONTH(DATE(YEAR(主页!$D$2),MONTH(主页!$D$2),1),0))/SUMIFS(当年实际!$P:$P,当年实际!$H:$H,$B439,当年实际!$C:$C,"&gt;="&amp;DATE(YEAR(主页!$D$2),1,1),当年实际!$C:$C,"&lt;="&amp;EOMONTH(DATE(YEAR(主页!$D$2),MONTH(主页!$D$2),1),0)),"")</f>
        <v/>
      </c>
    </row>
    <row r="440" spans="1:10" x14ac:dyDescent="0.3">
      <c r="A440" s="135"/>
      <c r="B440" s="136"/>
      <c r="C440" s="138"/>
      <c r="D440" s="139"/>
      <c r="E440" s="141" t="str">
        <f t="shared" si="20"/>
        <v/>
      </c>
      <c r="F440" s="144"/>
      <c r="G440" s="146">
        <f t="shared" si="18"/>
        <v>0</v>
      </c>
      <c r="H440" s="141" t="str">
        <f t="shared" si="19"/>
        <v/>
      </c>
      <c r="J440" s="148" t="str">
        <f>IFERROR(SUMIFS(当年实际!$V:$V,当年实际!$H:$H,$B440,当年实际!$C:$C,"&gt;="&amp;DATE(YEAR(主页!$D$2),1,1),当年实际!$C:$C,"&lt;="&amp;EOMONTH(DATE(YEAR(主页!$D$2),MONTH(主页!$D$2),1),0))/SUMIFS(当年实际!$P:$P,当年实际!$H:$H,$B440,当年实际!$C:$C,"&gt;="&amp;DATE(YEAR(主页!$D$2),1,1),当年实际!$C:$C,"&lt;="&amp;EOMONTH(DATE(YEAR(主页!$D$2),MONTH(主页!$D$2),1),0)),"")</f>
        <v/>
      </c>
    </row>
    <row r="441" spans="1:10" x14ac:dyDescent="0.3">
      <c r="A441" s="135"/>
      <c r="B441" s="136"/>
      <c r="C441" s="138"/>
      <c r="D441" s="139"/>
      <c r="E441" s="141" t="str">
        <f t="shared" si="20"/>
        <v/>
      </c>
      <c r="F441" s="144"/>
      <c r="G441" s="146">
        <f t="shared" si="18"/>
        <v>0</v>
      </c>
      <c r="H441" s="141" t="str">
        <f t="shared" si="19"/>
        <v/>
      </c>
      <c r="J441" s="148" t="str">
        <f>IFERROR(SUMIFS(当年实际!$V:$V,当年实际!$H:$H,$B441,当年实际!$C:$C,"&gt;="&amp;DATE(YEAR(主页!$D$2),1,1),当年实际!$C:$C,"&lt;="&amp;EOMONTH(DATE(YEAR(主页!$D$2),MONTH(主页!$D$2),1),0))/SUMIFS(当年实际!$P:$P,当年实际!$H:$H,$B441,当年实际!$C:$C,"&gt;="&amp;DATE(YEAR(主页!$D$2),1,1),当年实际!$C:$C,"&lt;="&amp;EOMONTH(DATE(YEAR(主页!$D$2),MONTH(主页!$D$2),1),0)),"")</f>
        <v/>
      </c>
    </row>
    <row r="442" spans="1:10" x14ac:dyDescent="0.3">
      <c r="A442" s="135"/>
      <c r="B442" s="136"/>
      <c r="C442" s="138"/>
      <c r="D442" s="139"/>
      <c r="E442" s="141" t="str">
        <f t="shared" si="20"/>
        <v/>
      </c>
      <c r="F442" s="144"/>
      <c r="G442" s="146">
        <f t="shared" si="18"/>
        <v>0</v>
      </c>
      <c r="H442" s="141" t="str">
        <f t="shared" si="19"/>
        <v/>
      </c>
      <c r="J442" s="148" t="str">
        <f>IFERROR(SUMIFS(当年实际!$V:$V,当年实际!$H:$H,$B442,当年实际!$C:$C,"&gt;="&amp;DATE(YEAR(主页!$D$2),1,1),当年实际!$C:$C,"&lt;="&amp;EOMONTH(DATE(YEAR(主页!$D$2),MONTH(主页!$D$2),1),0))/SUMIFS(当年实际!$P:$P,当年实际!$H:$H,$B442,当年实际!$C:$C,"&gt;="&amp;DATE(YEAR(主页!$D$2),1,1),当年实际!$C:$C,"&lt;="&amp;EOMONTH(DATE(YEAR(主页!$D$2),MONTH(主页!$D$2),1),0)),"")</f>
        <v/>
      </c>
    </row>
    <row r="443" spans="1:10" x14ac:dyDescent="0.3">
      <c r="A443" s="135"/>
      <c r="B443" s="136"/>
      <c r="C443" s="138"/>
      <c r="D443" s="139"/>
      <c r="E443" s="141" t="str">
        <f t="shared" si="20"/>
        <v/>
      </c>
      <c r="F443" s="144"/>
      <c r="G443" s="146">
        <f t="shared" si="18"/>
        <v>0</v>
      </c>
      <c r="H443" s="141" t="str">
        <f t="shared" si="19"/>
        <v/>
      </c>
      <c r="J443" s="148" t="str">
        <f>IFERROR(SUMIFS(当年实际!$V:$V,当年实际!$H:$H,$B443,当年实际!$C:$C,"&gt;="&amp;DATE(YEAR(主页!$D$2),1,1),当年实际!$C:$C,"&lt;="&amp;EOMONTH(DATE(YEAR(主页!$D$2),MONTH(主页!$D$2),1),0))/SUMIFS(当年实际!$P:$P,当年实际!$H:$H,$B443,当年实际!$C:$C,"&gt;="&amp;DATE(YEAR(主页!$D$2),1,1),当年实际!$C:$C,"&lt;="&amp;EOMONTH(DATE(YEAR(主页!$D$2),MONTH(主页!$D$2),1),0)),"")</f>
        <v/>
      </c>
    </row>
    <row r="444" spans="1:10" x14ac:dyDescent="0.3">
      <c r="A444" s="135"/>
      <c r="B444" s="136"/>
      <c r="C444" s="138"/>
      <c r="D444" s="139"/>
      <c r="E444" s="141" t="str">
        <f t="shared" si="20"/>
        <v/>
      </c>
      <c r="F444" s="144"/>
      <c r="G444" s="146">
        <f t="shared" si="18"/>
        <v>0</v>
      </c>
      <c r="H444" s="141" t="str">
        <f t="shared" si="19"/>
        <v/>
      </c>
      <c r="J444" s="148" t="str">
        <f>IFERROR(SUMIFS(当年实际!$V:$V,当年实际!$H:$H,$B444,当年实际!$C:$C,"&gt;="&amp;DATE(YEAR(主页!$D$2),1,1),当年实际!$C:$C,"&lt;="&amp;EOMONTH(DATE(YEAR(主页!$D$2),MONTH(主页!$D$2),1),0))/SUMIFS(当年实际!$P:$P,当年实际!$H:$H,$B444,当年实际!$C:$C,"&gt;="&amp;DATE(YEAR(主页!$D$2),1,1),当年实际!$C:$C,"&lt;="&amp;EOMONTH(DATE(YEAR(主页!$D$2),MONTH(主页!$D$2),1),0)),"")</f>
        <v/>
      </c>
    </row>
    <row r="445" spans="1:10" x14ac:dyDescent="0.3">
      <c r="A445" s="135"/>
      <c r="B445" s="136"/>
      <c r="C445" s="138"/>
      <c r="D445" s="139"/>
      <c r="E445" s="141" t="str">
        <f t="shared" si="20"/>
        <v/>
      </c>
      <c r="F445" s="144"/>
      <c r="G445" s="146">
        <f t="shared" si="18"/>
        <v>0</v>
      </c>
      <c r="H445" s="141" t="str">
        <f t="shared" si="19"/>
        <v/>
      </c>
      <c r="J445" s="148" t="str">
        <f>IFERROR(SUMIFS(当年实际!$V:$V,当年实际!$H:$H,$B445,当年实际!$C:$C,"&gt;="&amp;DATE(YEAR(主页!$D$2),1,1),当年实际!$C:$C,"&lt;="&amp;EOMONTH(DATE(YEAR(主页!$D$2),MONTH(主页!$D$2),1),0))/SUMIFS(当年实际!$P:$P,当年实际!$H:$H,$B445,当年实际!$C:$C,"&gt;="&amp;DATE(YEAR(主页!$D$2),1,1),当年实际!$C:$C,"&lt;="&amp;EOMONTH(DATE(YEAR(主页!$D$2),MONTH(主页!$D$2),1),0)),"")</f>
        <v/>
      </c>
    </row>
    <row r="446" spans="1:10" x14ac:dyDescent="0.3">
      <c r="A446" s="135"/>
      <c r="B446" s="136"/>
      <c r="C446" s="138"/>
      <c r="D446" s="139"/>
      <c r="E446" s="141" t="str">
        <f t="shared" si="20"/>
        <v/>
      </c>
      <c r="F446" s="144"/>
      <c r="G446" s="146">
        <f t="shared" si="18"/>
        <v>0</v>
      </c>
      <c r="H446" s="141" t="str">
        <f t="shared" si="19"/>
        <v/>
      </c>
      <c r="J446" s="148" t="str">
        <f>IFERROR(SUMIFS(当年实际!$V:$V,当年实际!$H:$H,$B446,当年实际!$C:$C,"&gt;="&amp;DATE(YEAR(主页!$D$2),1,1),当年实际!$C:$C,"&lt;="&amp;EOMONTH(DATE(YEAR(主页!$D$2),MONTH(主页!$D$2),1),0))/SUMIFS(当年实际!$P:$P,当年实际!$H:$H,$B446,当年实际!$C:$C,"&gt;="&amp;DATE(YEAR(主页!$D$2),1,1),当年实际!$C:$C,"&lt;="&amp;EOMONTH(DATE(YEAR(主页!$D$2),MONTH(主页!$D$2),1),0)),"")</f>
        <v/>
      </c>
    </row>
    <row r="447" spans="1:10" x14ac:dyDescent="0.3">
      <c r="A447" s="135"/>
      <c r="B447" s="136"/>
      <c r="C447" s="138"/>
      <c r="D447" s="139"/>
      <c r="E447" s="141" t="str">
        <f t="shared" si="20"/>
        <v/>
      </c>
      <c r="F447" s="144"/>
      <c r="G447" s="146">
        <f t="shared" si="18"/>
        <v>0</v>
      </c>
      <c r="H447" s="141" t="str">
        <f t="shared" si="19"/>
        <v/>
      </c>
      <c r="J447" s="148" t="str">
        <f>IFERROR(SUMIFS(当年实际!$V:$V,当年实际!$H:$H,$B447,当年实际!$C:$C,"&gt;="&amp;DATE(YEAR(主页!$D$2),1,1),当年实际!$C:$C,"&lt;="&amp;EOMONTH(DATE(YEAR(主页!$D$2),MONTH(主页!$D$2),1),0))/SUMIFS(当年实际!$P:$P,当年实际!$H:$H,$B447,当年实际!$C:$C,"&gt;="&amp;DATE(YEAR(主页!$D$2),1,1),当年实际!$C:$C,"&lt;="&amp;EOMONTH(DATE(YEAR(主页!$D$2),MONTH(主页!$D$2),1),0)),"")</f>
        <v/>
      </c>
    </row>
    <row r="448" spans="1:10" x14ac:dyDescent="0.3">
      <c r="A448" s="135"/>
      <c r="B448" s="136"/>
      <c r="C448" s="138"/>
      <c r="D448" s="139"/>
      <c r="E448" s="141" t="str">
        <f t="shared" si="20"/>
        <v/>
      </c>
      <c r="F448" s="144"/>
      <c r="G448" s="146">
        <f t="shared" si="18"/>
        <v>0</v>
      </c>
      <c r="H448" s="141" t="str">
        <f t="shared" si="19"/>
        <v/>
      </c>
      <c r="J448" s="148" t="str">
        <f>IFERROR(SUMIFS(当年实际!$V:$V,当年实际!$H:$H,$B448,当年实际!$C:$C,"&gt;="&amp;DATE(YEAR(主页!$D$2),1,1),当年实际!$C:$C,"&lt;="&amp;EOMONTH(DATE(YEAR(主页!$D$2),MONTH(主页!$D$2),1),0))/SUMIFS(当年实际!$P:$P,当年实际!$H:$H,$B448,当年实际!$C:$C,"&gt;="&amp;DATE(YEAR(主页!$D$2),1,1),当年实际!$C:$C,"&lt;="&amp;EOMONTH(DATE(YEAR(主页!$D$2),MONTH(主页!$D$2),1),0)),"")</f>
        <v/>
      </c>
    </row>
    <row r="449" spans="1:10" x14ac:dyDescent="0.3">
      <c r="A449" s="135"/>
      <c r="B449" s="136"/>
      <c r="C449" s="138"/>
      <c r="D449" s="139"/>
      <c r="E449" s="141" t="str">
        <f t="shared" si="20"/>
        <v/>
      </c>
      <c r="F449" s="144"/>
      <c r="G449" s="146">
        <f t="shared" si="18"/>
        <v>0</v>
      </c>
      <c r="H449" s="141" t="str">
        <f t="shared" si="19"/>
        <v/>
      </c>
      <c r="J449" s="148" t="str">
        <f>IFERROR(SUMIFS(当年实际!$V:$V,当年实际!$H:$H,$B449,当年实际!$C:$C,"&gt;="&amp;DATE(YEAR(主页!$D$2),1,1),当年实际!$C:$C,"&lt;="&amp;EOMONTH(DATE(YEAR(主页!$D$2),MONTH(主页!$D$2),1),0))/SUMIFS(当年实际!$P:$P,当年实际!$H:$H,$B449,当年实际!$C:$C,"&gt;="&amp;DATE(YEAR(主页!$D$2),1,1),当年实际!$C:$C,"&lt;="&amp;EOMONTH(DATE(YEAR(主页!$D$2),MONTH(主页!$D$2),1),0)),"")</f>
        <v/>
      </c>
    </row>
    <row r="450" spans="1:10" x14ac:dyDescent="0.3">
      <c r="A450" s="135"/>
      <c r="B450" s="136"/>
      <c r="C450" s="138"/>
      <c r="D450" s="139"/>
      <c r="E450" s="141" t="str">
        <f t="shared" si="20"/>
        <v/>
      </c>
      <c r="F450" s="144"/>
      <c r="G450" s="146">
        <f t="shared" si="18"/>
        <v>0</v>
      </c>
      <c r="H450" s="141" t="str">
        <f t="shared" si="19"/>
        <v/>
      </c>
      <c r="J450" s="148" t="str">
        <f>IFERROR(SUMIFS(当年实际!$V:$V,当年实际!$H:$H,$B450,当年实际!$C:$C,"&gt;="&amp;DATE(YEAR(主页!$D$2),1,1),当年实际!$C:$C,"&lt;="&amp;EOMONTH(DATE(YEAR(主页!$D$2),MONTH(主页!$D$2),1),0))/SUMIFS(当年实际!$P:$P,当年实际!$H:$H,$B450,当年实际!$C:$C,"&gt;="&amp;DATE(YEAR(主页!$D$2),1,1),当年实际!$C:$C,"&lt;="&amp;EOMONTH(DATE(YEAR(主页!$D$2),MONTH(主页!$D$2),1),0)),"")</f>
        <v/>
      </c>
    </row>
    <row r="451" spans="1:10" x14ac:dyDescent="0.3">
      <c r="A451" s="135"/>
      <c r="B451" s="136"/>
      <c r="C451" s="138"/>
      <c r="D451" s="139"/>
      <c r="E451" s="141" t="str">
        <f t="shared" si="20"/>
        <v/>
      </c>
      <c r="F451" s="144"/>
      <c r="G451" s="146">
        <f t="shared" si="18"/>
        <v>0</v>
      </c>
      <c r="H451" s="141" t="str">
        <f t="shared" si="19"/>
        <v/>
      </c>
      <c r="J451" s="148" t="str">
        <f>IFERROR(SUMIFS(当年实际!$V:$V,当年实际!$H:$H,$B451,当年实际!$C:$C,"&gt;="&amp;DATE(YEAR(主页!$D$2),1,1),当年实际!$C:$C,"&lt;="&amp;EOMONTH(DATE(YEAR(主页!$D$2),MONTH(主页!$D$2),1),0))/SUMIFS(当年实际!$P:$P,当年实际!$H:$H,$B451,当年实际!$C:$C,"&gt;="&amp;DATE(YEAR(主页!$D$2),1,1),当年实际!$C:$C,"&lt;="&amp;EOMONTH(DATE(YEAR(主页!$D$2),MONTH(主页!$D$2),1),0)),"")</f>
        <v/>
      </c>
    </row>
    <row r="452" spans="1:10" x14ac:dyDescent="0.3">
      <c r="A452" s="135"/>
      <c r="B452" s="136"/>
      <c r="C452" s="138"/>
      <c r="D452" s="139"/>
      <c r="E452" s="141" t="str">
        <f t="shared" si="20"/>
        <v/>
      </c>
      <c r="F452" s="144"/>
      <c r="G452" s="146">
        <f t="shared" si="18"/>
        <v>0</v>
      </c>
      <c r="H452" s="141" t="str">
        <f t="shared" si="19"/>
        <v/>
      </c>
      <c r="J452" s="148" t="str">
        <f>IFERROR(SUMIFS(当年实际!$V:$V,当年实际!$H:$H,$B452,当年实际!$C:$C,"&gt;="&amp;DATE(YEAR(主页!$D$2),1,1),当年实际!$C:$C,"&lt;="&amp;EOMONTH(DATE(YEAR(主页!$D$2),MONTH(主页!$D$2),1),0))/SUMIFS(当年实际!$P:$P,当年实际!$H:$H,$B452,当年实际!$C:$C,"&gt;="&amp;DATE(YEAR(主页!$D$2),1,1),当年实际!$C:$C,"&lt;="&amp;EOMONTH(DATE(YEAR(主页!$D$2),MONTH(主页!$D$2),1),0)),"")</f>
        <v/>
      </c>
    </row>
    <row r="453" spans="1:10" x14ac:dyDescent="0.3">
      <c r="A453" s="135"/>
      <c r="B453" s="136"/>
      <c r="C453" s="138"/>
      <c r="D453" s="139"/>
      <c r="E453" s="141" t="str">
        <f t="shared" si="20"/>
        <v/>
      </c>
      <c r="F453" s="144"/>
      <c r="G453" s="146">
        <f t="shared" ref="G453:G516" si="21">D453*F453</f>
        <v>0</v>
      </c>
      <c r="H453" s="141" t="str">
        <f t="shared" si="19"/>
        <v/>
      </c>
      <c r="J453" s="148" t="str">
        <f>IFERROR(SUMIFS(当年实际!$V:$V,当年实际!$H:$H,$B453,当年实际!$C:$C,"&gt;="&amp;DATE(YEAR(主页!$D$2),1,1),当年实际!$C:$C,"&lt;="&amp;EOMONTH(DATE(YEAR(主页!$D$2),MONTH(主页!$D$2),1),0))/SUMIFS(当年实际!$P:$P,当年实际!$H:$H,$B453,当年实际!$C:$C,"&gt;="&amp;DATE(YEAR(主页!$D$2),1,1),当年实际!$C:$C,"&lt;="&amp;EOMONTH(DATE(YEAR(主页!$D$2),MONTH(主页!$D$2),1),0)),"")</f>
        <v/>
      </c>
    </row>
    <row r="454" spans="1:10" x14ac:dyDescent="0.3">
      <c r="A454" s="135"/>
      <c r="B454" s="136"/>
      <c r="C454" s="138"/>
      <c r="D454" s="139"/>
      <c r="E454" s="141" t="str">
        <f t="shared" si="20"/>
        <v/>
      </c>
      <c r="F454" s="144"/>
      <c r="G454" s="146">
        <f t="shared" si="21"/>
        <v>0</v>
      </c>
      <c r="H454" s="141" t="str">
        <f t="shared" ref="H454:H517" si="22">IF(G454/SUM(G:G)=0,"",G454/SUM(G:G))</f>
        <v/>
      </c>
      <c r="J454" s="148" t="str">
        <f>IFERROR(SUMIFS(当年实际!$V:$V,当年实际!$H:$H,$B454,当年实际!$C:$C,"&gt;="&amp;DATE(YEAR(主页!$D$2),1,1),当年实际!$C:$C,"&lt;="&amp;EOMONTH(DATE(YEAR(主页!$D$2),MONTH(主页!$D$2),1),0))/SUMIFS(当年实际!$P:$P,当年实际!$H:$H,$B454,当年实际!$C:$C,"&gt;="&amp;DATE(YEAR(主页!$D$2),1,1),当年实际!$C:$C,"&lt;="&amp;EOMONTH(DATE(YEAR(主页!$D$2),MONTH(主页!$D$2),1),0)),"")</f>
        <v/>
      </c>
    </row>
    <row r="455" spans="1:10" x14ac:dyDescent="0.3">
      <c r="A455" s="135"/>
      <c r="B455" s="136"/>
      <c r="C455" s="138"/>
      <c r="D455" s="139"/>
      <c r="E455" s="141" t="str">
        <f t="shared" si="20"/>
        <v/>
      </c>
      <c r="F455" s="144"/>
      <c r="G455" s="146">
        <f t="shared" si="21"/>
        <v>0</v>
      </c>
      <c r="H455" s="141" t="str">
        <f t="shared" si="22"/>
        <v/>
      </c>
      <c r="J455" s="148" t="str">
        <f>IFERROR(SUMIFS(当年实际!$V:$V,当年实际!$H:$H,$B455,当年实际!$C:$C,"&gt;="&amp;DATE(YEAR(主页!$D$2),1,1),当年实际!$C:$C,"&lt;="&amp;EOMONTH(DATE(YEAR(主页!$D$2),MONTH(主页!$D$2),1),0))/SUMIFS(当年实际!$P:$P,当年实际!$H:$H,$B455,当年实际!$C:$C,"&gt;="&amp;DATE(YEAR(主页!$D$2),1,1),当年实际!$C:$C,"&lt;="&amp;EOMONTH(DATE(YEAR(主页!$D$2),MONTH(主页!$D$2),1),0)),"")</f>
        <v/>
      </c>
    </row>
    <row r="456" spans="1:10" x14ac:dyDescent="0.3">
      <c r="A456" s="135"/>
      <c r="B456" s="136"/>
      <c r="C456" s="138"/>
      <c r="D456" s="139"/>
      <c r="E456" s="141" t="str">
        <f t="shared" ref="E456:E519" si="23">IF(D456/SUM(D:D)=0,"",D456/SUM(D:D))</f>
        <v/>
      </c>
      <c r="F456" s="144"/>
      <c r="G456" s="146">
        <f t="shared" si="21"/>
        <v>0</v>
      </c>
      <c r="H456" s="141" t="str">
        <f t="shared" si="22"/>
        <v/>
      </c>
      <c r="J456" s="148" t="str">
        <f>IFERROR(SUMIFS(当年实际!$V:$V,当年实际!$H:$H,$B456,当年实际!$C:$C,"&gt;="&amp;DATE(YEAR(主页!$D$2),1,1),当年实际!$C:$C,"&lt;="&amp;EOMONTH(DATE(YEAR(主页!$D$2),MONTH(主页!$D$2),1),0))/SUMIFS(当年实际!$P:$P,当年实际!$H:$H,$B456,当年实际!$C:$C,"&gt;="&amp;DATE(YEAR(主页!$D$2),1,1),当年实际!$C:$C,"&lt;="&amp;EOMONTH(DATE(YEAR(主页!$D$2),MONTH(主页!$D$2),1),0)),"")</f>
        <v/>
      </c>
    </row>
    <row r="457" spans="1:10" x14ac:dyDescent="0.3">
      <c r="A457" s="135"/>
      <c r="B457" s="136"/>
      <c r="C457" s="138"/>
      <c r="D457" s="139"/>
      <c r="E457" s="141" t="str">
        <f t="shared" si="23"/>
        <v/>
      </c>
      <c r="F457" s="144"/>
      <c r="G457" s="146">
        <f t="shared" si="21"/>
        <v>0</v>
      </c>
      <c r="H457" s="141" t="str">
        <f t="shared" si="22"/>
        <v/>
      </c>
      <c r="J457" s="148" t="str">
        <f>IFERROR(SUMIFS(当年实际!$V:$V,当年实际!$H:$H,$B457,当年实际!$C:$C,"&gt;="&amp;DATE(YEAR(主页!$D$2),1,1),当年实际!$C:$C,"&lt;="&amp;EOMONTH(DATE(YEAR(主页!$D$2),MONTH(主页!$D$2),1),0))/SUMIFS(当年实际!$P:$P,当年实际!$H:$H,$B457,当年实际!$C:$C,"&gt;="&amp;DATE(YEAR(主页!$D$2),1,1),当年实际!$C:$C,"&lt;="&amp;EOMONTH(DATE(YEAR(主页!$D$2),MONTH(主页!$D$2),1),0)),"")</f>
        <v/>
      </c>
    </row>
    <row r="458" spans="1:10" x14ac:dyDescent="0.3">
      <c r="A458" s="135"/>
      <c r="B458" s="136"/>
      <c r="C458" s="138"/>
      <c r="D458" s="139"/>
      <c r="E458" s="141" t="str">
        <f t="shared" si="23"/>
        <v/>
      </c>
      <c r="F458" s="144"/>
      <c r="G458" s="146">
        <f t="shared" si="21"/>
        <v>0</v>
      </c>
      <c r="H458" s="141" t="str">
        <f t="shared" si="22"/>
        <v/>
      </c>
      <c r="J458" s="148" t="str">
        <f>IFERROR(SUMIFS(当年实际!$V:$V,当年实际!$H:$H,$B458,当年实际!$C:$C,"&gt;="&amp;DATE(YEAR(主页!$D$2),1,1),当年实际!$C:$C,"&lt;="&amp;EOMONTH(DATE(YEAR(主页!$D$2),MONTH(主页!$D$2),1),0))/SUMIFS(当年实际!$P:$P,当年实际!$H:$H,$B458,当年实际!$C:$C,"&gt;="&amp;DATE(YEAR(主页!$D$2),1,1),当年实际!$C:$C,"&lt;="&amp;EOMONTH(DATE(YEAR(主页!$D$2),MONTH(主页!$D$2),1),0)),"")</f>
        <v/>
      </c>
    </row>
    <row r="459" spans="1:10" x14ac:dyDescent="0.3">
      <c r="A459" s="135"/>
      <c r="B459" s="136"/>
      <c r="C459" s="138"/>
      <c r="D459" s="139"/>
      <c r="E459" s="141" t="str">
        <f t="shared" si="23"/>
        <v/>
      </c>
      <c r="F459" s="144"/>
      <c r="G459" s="146">
        <f t="shared" si="21"/>
        <v>0</v>
      </c>
      <c r="H459" s="141" t="str">
        <f t="shared" si="22"/>
        <v/>
      </c>
      <c r="J459" s="148" t="str">
        <f>IFERROR(SUMIFS(当年实际!$V:$V,当年实际!$H:$H,$B459,当年实际!$C:$C,"&gt;="&amp;DATE(YEAR(主页!$D$2),1,1),当年实际!$C:$C,"&lt;="&amp;EOMONTH(DATE(YEAR(主页!$D$2),MONTH(主页!$D$2),1),0))/SUMIFS(当年实际!$P:$P,当年实际!$H:$H,$B459,当年实际!$C:$C,"&gt;="&amp;DATE(YEAR(主页!$D$2),1,1),当年实际!$C:$C,"&lt;="&amp;EOMONTH(DATE(YEAR(主页!$D$2),MONTH(主页!$D$2),1),0)),"")</f>
        <v/>
      </c>
    </row>
    <row r="460" spans="1:10" x14ac:dyDescent="0.3">
      <c r="A460" s="135"/>
      <c r="B460" s="136"/>
      <c r="C460" s="138"/>
      <c r="D460" s="139"/>
      <c r="E460" s="141" t="str">
        <f t="shared" si="23"/>
        <v/>
      </c>
      <c r="F460" s="144"/>
      <c r="G460" s="146">
        <f t="shared" si="21"/>
        <v>0</v>
      </c>
      <c r="H460" s="141" t="str">
        <f t="shared" si="22"/>
        <v/>
      </c>
      <c r="J460" s="148" t="str">
        <f>IFERROR(SUMIFS(当年实际!$V:$V,当年实际!$H:$H,$B460,当年实际!$C:$C,"&gt;="&amp;DATE(YEAR(主页!$D$2),1,1),当年实际!$C:$C,"&lt;="&amp;EOMONTH(DATE(YEAR(主页!$D$2),MONTH(主页!$D$2),1),0))/SUMIFS(当年实际!$P:$P,当年实际!$H:$H,$B460,当年实际!$C:$C,"&gt;="&amp;DATE(YEAR(主页!$D$2),1,1),当年实际!$C:$C,"&lt;="&amp;EOMONTH(DATE(YEAR(主页!$D$2),MONTH(主页!$D$2),1),0)),"")</f>
        <v/>
      </c>
    </row>
    <row r="461" spans="1:10" x14ac:dyDescent="0.3">
      <c r="A461" s="135"/>
      <c r="B461" s="136"/>
      <c r="C461" s="138"/>
      <c r="D461" s="139"/>
      <c r="E461" s="141" t="str">
        <f t="shared" si="23"/>
        <v/>
      </c>
      <c r="F461" s="144"/>
      <c r="G461" s="146">
        <f t="shared" si="21"/>
        <v>0</v>
      </c>
      <c r="H461" s="141" t="str">
        <f t="shared" si="22"/>
        <v/>
      </c>
      <c r="J461" s="148" t="str">
        <f>IFERROR(SUMIFS(当年实际!$V:$V,当年实际!$H:$H,$B461,当年实际!$C:$C,"&gt;="&amp;DATE(YEAR(主页!$D$2),1,1),当年实际!$C:$C,"&lt;="&amp;EOMONTH(DATE(YEAR(主页!$D$2),MONTH(主页!$D$2),1),0))/SUMIFS(当年实际!$P:$P,当年实际!$H:$H,$B461,当年实际!$C:$C,"&gt;="&amp;DATE(YEAR(主页!$D$2),1,1),当年实际!$C:$C,"&lt;="&amp;EOMONTH(DATE(YEAR(主页!$D$2),MONTH(主页!$D$2),1),0)),"")</f>
        <v/>
      </c>
    </row>
    <row r="462" spans="1:10" x14ac:dyDescent="0.3">
      <c r="A462" s="135"/>
      <c r="B462" s="136"/>
      <c r="C462" s="138"/>
      <c r="D462" s="139"/>
      <c r="E462" s="141" t="str">
        <f t="shared" si="23"/>
        <v/>
      </c>
      <c r="F462" s="144"/>
      <c r="G462" s="146">
        <f t="shared" si="21"/>
        <v>0</v>
      </c>
      <c r="H462" s="141" t="str">
        <f t="shared" si="22"/>
        <v/>
      </c>
      <c r="J462" s="148" t="str">
        <f>IFERROR(SUMIFS(当年实际!$V:$V,当年实际!$H:$H,$B462,当年实际!$C:$C,"&gt;="&amp;DATE(YEAR(主页!$D$2),1,1),当年实际!$C:$C,"&lt;="&amp;EOMONTH(DATE(YEAR(主页!$D$2),MONTH(主页!$D$2),1),0))/SUMIFS(当年实际!$P:$P,当年实际!$H:$H,$B462,当年实际!$C:$C,"&gt;="&amp;DATE(YEAR(主页!$D$2),1,1),当年实际!$C:$C,"&lt;="&amp;EOMONTH(DATE(YEAR(主页!$D$2),MONTH(主页!$D$2),1),0)),"")</f>
        <v/>
      </c>
    </row>
    <row r="463" spans="1:10" x14ac:dyDescent="0.3">
      <c r="A463" s="135"/>
      <c r="B463" s="136"/>
      <c r="C463" s="138"/>
      <c r="D463" s="139"/>
      <c r="E463" s="141" t="str">
        <f t="shared" si="23"/>
        <v/>
      </c>
      <c r="F463" s="144"/>
      <c r="G463" s="146">
        <f t="shared" si="21"/>
        <v>0</v>
      </c>
      <c r="H463" s="141" t="str">
        <f t="shared" si="22"/>
        <v/>
      </c>
      <c r="J463" s="148" t="str">
        <f>IFERROR(SUMIFS(当年实际!$V:$V,当年实际!$H:$H,$B463,当年实际!$C:$C,"&gt;="&amp;DATE(YEAR(主页!$D$2),1,1),当年实际!$C:$C,"&lt;="&amp;EOMONTH(DATE(YEAR(主页!$D$2),MONTH(主页!$D$2),1),0))/SUMIFS(当年实际!$P:$P,当年实际!$H:$H,$B463,当年实际!$C:$C,"&gt;="&amp;DATE(YEAR(主页!$D$2),1,1),当年实际!$C:$C,"&lt;="&amp;EOMONTH(DATE(YEAR(主页!$D$2),MONTH(主页!$D$2),1),0)),"")</f>
        <v/>
      </c>
    </row>
    <row r="464" spans="1:10" x14ac:dyDescent="0.3">
      <c r="A464" s="135"/>
      <c r="B464" s="136"/>
      <c r="C464" s="138"/>
      <c r="D464" s="139"/>
      <c r="E464" s="141" t="str">
        <f t="shared" si="23"/>
        <v/>
      </c>
      <c r="F464" s="144"/>
      <c r="G464" s="146">
        <f t="shared" si="21"/>
        <v>0</v>
      </c>
      <c r="H464" s="141" t="str">
        <f t="shared" si="22"/>
        <v/>
      </c>
      <c r="J464" s="148" t="str">
        <f>IFERROR(SUMIFS(当年实际!$V:$V,当年实际!$H:$H,$B464,当年实际!$C:$C,"&gt;="&amp;DATE(YEAR(主页!$D$2),1,1),当年实际!$C:$C,"&lt;="&amp;EOMONTH(DATE(YEAR(主页!$D$2),MONTH(主页!$D$2),1),0))/SUMIFS(当年实际!$P:$P,当年实际!$H:$H,$B464,当年实际!$C:$C,"&gt;="&amp;DATE(YEAR(主页!$D$2),1,1),当年实际!$C:$C,"&lt;="&amp;EOMONTH(DATE(YEAR(主页!$D$2),MONTH(主页!$D$2),1),0)),"")</f>
        <v/>
      </c>
    </row>
    <row r="465" spans="1:10" x14ac:dyDescent="0.3">
      <c r="A465" s="135"/>
      <c r="B465" s="136"/>
      <c r="C465" s="138"/>
      <c r="D465" s="139"/>
      <c r="E465" s="141" t="str">
        <f t="shared" si="23"/>
        <v/>
      </c>
      <c r="F465" s="144"/>
      <c r="G465" s="146">
        <f t="shared" si="21"/>
        <v>0</v>
      </c>
      <c r="H465" s="141" t="str">
        <f t="shared" si="22"/>
        <v/>
      </c>
      <c r="J465" s="148" t="str">
        <f>IFERROR(SUMIFS(当年实际!$V:$V,当年实际!$H:$H,$B465,当年实际!$C:$C,"&gt;="&amp;DATE(YEAR(主页!$D$2),1,1),当年实际!$C:$C,"&lt;="&amp;EOMONTH(DATE(YEAR(主页!$D$2),MONTH(主页!$D$2),1),0))/SUMIFS(当年实际!$P:$P,当年实际!$H:$H,$B465,当年实际!$C:$C,"&gt;="&amp;DATE(YEAR(主页!$D$2),1,1),当年实际!$C:$C,"&lt;="&amp;EOMONTH(DATE(YEAR(主页!$D$2),MONTH(主页!$D$2),1),0)),"")</f>
        <v/>
      </c>
    </row>
    <row r="466" spans="1:10" x14ac:dyDescent="0.3">
      <c r="A466" s="135"/>
      <c r="B466" s="136"/>
      <c r="C466" s="138"/>
      <c r="D466" s="139"/>
      <c r="E466" s="141" t="str">
        <f t="shared" si="23"/>
        <v/>
      </c>
      <c r="F466" s="144"/>
      <c r="G466" s="146">
        <f t="shared" si="21"/>
        <v>0</v>
      </c>
      <c r="H466" s="141" t="str">
        <f t="shared" si="22"/>
        <v/>
      </c>
      <c r="J466" s="148" t="str">
        <f>IFERROR(SUMIFS(当年实际!$V:$V,当年实际!$H:$H,$B466,当年实际!$C:$C,"&gt;="&amp;DATE(YEAR(主页!$D$2),1,1),当年实际!$C:$C,"&lt;="&amp;EOMONTH(DATE(YEAR(主页!$D$2),MONTH(主页!$D$2),1),0))/SUMIFS(当年实际!$P:$P,当年实际!$H:$H,$B466,当年实际!$C:$C,"&gt;="&amp;DATE(YEAR(主页!$D$2),1,1),当年实际!$C:$C,"&lt;="&amp;EOMONTH(DATE(YEAR(主页!$D$2),MONTH(主页!$D$2),1),0)),"")</f>
        <v/>
      </c>
    </row>
    <row r="467" spans="1:10" x14ac:dyDescent="0.3">
      <c r="A467" s="135"/>
      <c r="B467" s="136"/>
      <c r="C467" s="138"/>
      <c r="D467" s="139"/>
      <c r="E467" s="141" t="str">
        <f t="shared" si="23"/>
        <v/>
      </c>
      <c r="F467" s="144"/>
      <c r="G467" s="146">
        <f t="shared" si="21"/>
        <v>0</v>
      </c>
      <c r="H467" s="141" t="str">
        <f t="shared" si="22"/>
        <v/>
      </c>
      <c r="J467" s="148" t="str">
        <f>IFERROR(SUMIFS(当年实际!$V:$V,当年实际!$H:$H,$B467,当年实际!$C:$C,"&gt;="&amp;DATE(YEAR(主页!$D$2),1,1),当年实际!$C:$C,"&lt;="&amp;EOMONTH(DATE(YEAR(主页!$D$2),MONTH(主页!$D$2),1),0))/SUMIFS(当年实际!$P:$P,当年实际!$H:$H,$B467,当年实际!$C:$C,"&gt;="&amp;DATE(YEAR(主页!$D$2),1,1),当年实际!$C:$C,"&lt;="&amp;EOMONTH(DATE(YEAR(主页!$D$2),MONTH(主页!$D$2),1),0)),"")</f>
        <v/>
      </c>
    </row>
    <row r="468" spans="1:10" x14ac:dyDescent="0.3">
      <c r="A468" s="135"/>
      <c r="B468" s="136"/>
      <c r="C468" s="138"/>
      <c r="D468" s="139"/>
      <c r="E468" s="141" t="str">
        <f t="shared" si="23"/>
        <v/>
      </c>
      <c r="F468" s="144"/>
      <c r="G468" s="146">
        <f t="shared" si="21"/>
        <v>0</v>
      </c>
      <c r="H468" s="141" t="str">
        <f t="shared" si="22"/>
        <v/>
      </c>
      <c r="J468" s="148" t="str">
        <f>IFERROR(SUMIFS(当年实际!$V:$V,当年实际!$H:$H,$B468,当年实际!$C:$C,"&gt;="&amp;DATE(YEAR(主页!$D$2),1,1),当年实际!$C:$C,"&lt;="&amp;EOMONTH(DATE(YEAR(主页!$D$2),MONTH(主页!$D$2),1),0))/SUMIFS(当年实际!$P:$P,当年实际!$H:$H,$B468,当年实际!$C:$C,"&gt;="&amp;DATE(YEAR(主页!$D$2),1,1),当年实际!$C:$C,"&lt;="&amp;EOMONTH(DATE(YEAR(主页!$D$2),MONTH(主页!$D$2),1),0)),"")</f>
        <v/>
      </c>
    </row>
    <row r="469" spans="1:10" x14ac:dyDescent="0.3">
      <c r="A469" s="135"/>
      <c r="B469" s="136"/>
      <c r="C469" s="138"/>
      <c r="D469" s="139"/>
      <c r="E469" s="141" t="str">
        <f t="shared" si="23"/>
        <v/>
      </c>
      <c r="F469" s="144"/>
      <c r="G469" s="146">
        <f t="shared" si="21"/>
        <v>0</v>
      </c>
      <c r="H469" s="141" t="str">
        <f t="shared" si="22"/>
        <v/>
      </c>
      <c r="J469" s="148" t="str">
        <f>IFERROR(SUMIFS(当年实际!$V:$V,当年实际!$H:$H,$B469,当年实际!$C:$C,"&gt;="&amp;DATE(YEAR(主页!$D$2),1,1),当年实际!$C:$C,"&lt;="&amp;EOMONTH(DATE(YEAR(主页!$D$2),MONTH(主页!$D$2),1),0))/SUMIFS(当年实际!$P:$P,当年实际!$H:$H,$B469,当年实际!$C:$C,"&gt;="&amp;DATE(YEAR(主页!$D$2),1,1),当年实际!$C:$C,"&lt;="&amp;EOMONTH(DATE(YEAR(主页!$D$2),MONTH(主页!$D$2),1),0)),"")</f>
        <v/>
      </c>
    </row>
    <row r="470" spans="1:10" x14ac:dyDescent="0.3">
      <c r="A470" s="135"/>
      <c r="B470" s="136"/>
      <c r="C470" s="138"/>
      <c r="D470" s="139"/>
      <c r="E470" s="141" t="str">
        <f t="shared" si="23"/>
        <v/>
      </c>
      <c r="F470" s="144"/>
      <c r="G470" s="146">
        <f t="shared" si="21"/>
        <v>0</v>
      </c>
      <c r="H470" s="141" t="str">
        <f t="shared" si="22"/>
        <v/>
      </c>
      <c r="J470" s="148" t="str">
        <f>IFERROR(SUMIFS(当年实际!$V:$V,当年实际!$H:$H,$B470,当年实际!$C:$C,"&gt;="&amp;DATE(YEAR(主页!$D$2),1,1),当年实际!$C:$C,"&lt;="&amp;EOMONTH(DATE(YEAR(主页!$D$2),MONTH(主页!$D$2),1),0))/SUMIFS(当年实际!$P:$P,当年实际!$H:$H,$B470,当年实际!$C:$C,"&gt;="&amp;DATE(YEAR(主页!$D$2),1,1),当年实际!$C:$C,"&lt;="&amp;EOMONTH(DATE(YEAR(主页!$D$2),MONTH(主页!$D$2),1),0)),"")</f>
        <v/>
      </c>
    </row>
    <row r="471" spans="1:10" x14ac:dyDescent="0.3">
      <c r="A471" s="135"/>
      <c r="B471" s="136"/>
      <c r="C471" s="138"/>
      <c r="D471" s="139"/>
      <c r="E471" s="141" t="str">
        <f t="shared" si="23"/>
        <v/>
      </c>
      <c r="F471" s="144"/>
      <c r="G471" s="146">
        <f t="shared" si="21"/>
        <v>0</v>
      </c>
      <c r="H471" s="141" t="str">
        <f t="shared" si="22"/>
        <v/>
      </c>
      <c r="J471" s="148" t="str">
        <f>IFERROR(SUMIFS(当年实际!$V:$V,当年实际!$H:$H,$B471,当年实际!$C:$C,"&gt;="&amp;DATE(YEAR(主页!$D$2),1,1),当年实际!$C:$C,"&lt;="&amp;EOMONTH(DATE(YEAR(主页!$D$2),MONTH(主页!$D$2),1),0))/SUMIFS(当年实际!$P:$P,当年实际!$H:$H,$B471,当年实际!$C:$C,"&gt;="&amp;DATE(YEAR(主页!$D$2),1,1),当年实际!$C:$C,"&lt;="&amp;EOMONTH(DATE(YEAR(主页!$D$2),MONTH(主页!$D$2),1),0)),"")</f>
        <v/>
      </c>
    </row>
    <row r="472" spans="1:10" x14ac:dyDescent="0.3">
      <c r="A472" s="135"/>
      <c r="B472" s="136"/>
      <c r="C472" s="138"/>
      <c r="D472" s="139"/>
      <c r="E472" s="141" t="str">
        <f t="shared" si="23"/>
        <v/>
      </c>
      <c r="F472" s="144"/>
      <c r="G472" s="146">
        <f t="shared" si="21"/>
        <v>0</v>
      </c>
      <c r="H472" s="141" t="str">
        <f t="shared" si="22"/>
        <v/>
      </c>
      <c r="J472" s="148" t="str">
        <f>IFERROR(SUMIFS(当年实际!$V:$V,当年实际!$H:$H,$B472,当年实际!$C:$C,"&gt;="&amp;DATE(YEAR(主页!$D$2),1,1),当年实际!$C:$C,"&lt;="&amp;EOMONTH(DATE(YEAR(主页!$D$2),MONTH(主页!$D$2),1),0))/SUMIFS(当年实际!$P:$P,当年实际!$H:$H,$B472,当年实际!$C:$C,"&gt;="&amp;DATE(YEAR(主页!$D$2),1,1),当年实际!$C:$C,"&lt;="&amp;EOMONTH(DATE(YEAR(主页!$D$2),MONTH(主页!$D$2),1),0)),"")</f>
        <v/>
      </c>
    </row>
    <row r="473" spans="1:10" x14ac:dyDescent="0.3">
      <c r="A473" s="135"/>
      <c r="B473" s="136"/>
      <c r="C473" s="138"/>
      <c r="D473" s="139"/>
      <c r="E473" s="141" t="str">
        <f t="shared" si="23"/>
        <v/>
      </c>
      <c r="F473" s="144"/>
      <c r="G473" s="146">
        <f t="shared" si="21"/>
        <v>0</v>
      </c>
      <c r="H473" s="141" t="str">
        <f t="shared" si="22"/>
        <v/>
      </c>
      <c r="J473" s="148" t="str">
        <f>IFERROR(SUMIFS(当年实际!$V:$V,当年实际!$H:$H,$B473,当年实际!$C:$C,"&gt;="&amp;DATE(YEAR(主页!$D$2),1,1),当年实际!$C:$C,"&lt;="&amp;EOMONTH(DATE(YEAR(主页!$D$2),MONTH(主页!$D$2),1),0))/SUMIFS(当年实际!$P:$P,当年实际!$H:$H,$B473,当年实际!$C:$C,"&gt;="&amp;DATE(YEAR(主页!$D$2),1,1),当年实际!$C:$C,"&lt;="&amp;EOMONTH(DATE(YEAR(主页!$D$2),MONTH(主页!$D$2),1),0)),"")</f>
        <v/>
      </c>
    </row>
    <row r="474" spans="1:10" x14ac:dyDescent="0.3">
      <c r="A474" s="135"/>
      <c r="B474" s="136"/>
      <c r="C474" s="138"/>
      <c r="D474" s="139"/>
      <c r="E474" s="141" t="str">
        <f t="shared" si="23"/>
        <v/>
      </c>
      <c r="F474" s="144"/>
      <c r="G474" s="146">
        <f t="shared" si="21"/>
        <v>0</v>
      </c>
      <c r="H474" s="141" t="str">
        <f t="shared" si="22"/>
        <v/>
      </c>
      <c r="J474" s="148" t="str">
        <f>IFERROR(SUMIFS(当年实际!$V:$V,当年实际!$H:$H,$B474,当年实际!$C:$C,"&gt;="&amp;DATE(YEAR(主页!$D$2),1,1),当年实际!$C:$C,"&lt;="&amp;EOMONTH(DATE(YEAR(主页!$D$2),MONTH(主页!$D$2),1),0))/SUMIFS(当年实际!$P:$P,当年实际!$H:$H,$B474,当年实际!$C:$C,"&gt;="&amp;DATE(YEAR(主页!$D$2),1,1),当年实际!$C:$C,"&lt;="&amp;EOMONTH(DATE(YEAR(主页!$D$2),MONTH(主页!$D$2),1),0)),"")</f>
        <v/>
      </c>
    </row>
    <row r="475" spans="1:10" x14ac:dyDescent="0.3">
      <c r="A475" s="135"/>
      <c r="B475" s="136"/>
      <c r="C475" s="138"/>
      <c r="D475" s="139"/>
      <c r="E475" s="141" t="str">
        <f t="shared" si="23"/>
        <v/>
      </c>
      <c r="F475" s="144"/>
      <c r="G475" s="146">
        <f t="shared" si="21"/>
        <v>0</v>
      </c>
      <c r="H475" s="141" t="str">
        <f t="shared" si="22"/>
        <v/>
      </c>
      <c r="J475" s="148" t="str">
        <f>IFERROR(SUMIFS(当年实际!$V:$V,当年实际!$H:$H,$B475,当年实际!$C:$C,"&gt;="&amp;DATE(YEAR(主页!$D$2),1,1),当年实际!$C:$C,"&lt;="&amp;EOMONTH(DATE(YEAR(主页!$D$2),MONTH(主页!$D$2),1),0))/SUMIFS(当年实际!$P:$P,当年实际!$H:$H,$B475,当年实际!$C:$C,"&gt;="&amp;DATE(YEAR(主页!$D$2),1,1),当年实际!$C:$C,"&lt;="&amp;EOMONTH(DATE(YEAR(主页!$D$2),MONTH(主页!$D$2),1),0)),"")</f>
        <v/>
      </c>
    </row>
    <row r="476" spans="1:10" x14ac:dyDescent="0.3">
      <c r="A476" s="135"/>
      <c r="B476" s="136"/>
      <c r="C476" s="138"/>
      <c r="D476" s="139"/>
      <c r="E476" s="141" t="str">
        <f t="shared" si="23"/>
        <v/>
      </c>
      <c r="F476" s="144"/>
      <c r="G476" s="146">
        <f t="shared" si="21"/>
        <v>0</v>
      </c>
      <c r="H476" s="141" t="str">
        <f t="shared" si="22"/>
        <v/>
      </c>
      <c r="J476" s="148" t="str">
        <f>IFERROR(SUMIFS(当年实际!$V:$V,当年实际!$H:$H,$B476,当年实际!$C:$C,"&gt;="&amp;DATE(YEAR(主页!$D$2),1,1),当年实际!$C:$C,"&lt;="&amp;EOMONTH(DATE(YEAR(主页!$D$2),MONTH(主页!$D$2),1),0))/SUMIFS(当年实际!$P:$P,当年实际!$H:$H,$B476,当年实际!$C:$C,"&gt;="&amp;DATE(YEAR(主页!$D$2),1,1),当年实际!$C:$C,"&lt;="&amp;EOMONTH(DATE(YEAR(主页!$D$2),MONTH(主页!$D$2),1),0)),"")</f>
        <v/>
      </c>
    </row>
    <row r="477" spans="1:10" x14ac:dyDescent="0.3">
      <c r="A477" s="135"/>
      <c r="B477" s="136"/>
      <c r="C477" s="138"/>
      <c r="D477" s="139"/>
      <c r="E477" s="141" t="str">
        <f t="shared" si="23"/>
        <v/>
      </c>
      <c r="F477" s="144"/>
      <c r="G477" s="146">
        <f t="shared" si="21"/>
        <v>0</v>
      </c>
      <c r="H477" s="141" t="str">
        <f t="shared" si="22"/>
        <v/>
      </c>
      <c r="J477" s="148" t="str">
        <f>IFERROR(SUMIFS(当年实际!$V:$V,当年实际!$H:$H,$B477,当年实际!$C:$C,"&gt;="&amp;DATE(YEAR(主页!$D$2),1,1),当年实际!$C:$C,"&lt;="&amp;EOMONTH(DATE(YEAR(主页!$D$2),MONTH(主页!$D$2),1),0))/SUMIFS(当年实际!$P:$P,当年实际!$H:$H,$B477,当年实际!$C:$C,"&gt;="&amp;DATE(YEAR(主页!$D$2),1,1),当年实际!$C:$C,"&lt;="&amp;EOMONTH(DATE(YEAR(主页!$D$2),MONTH(主页!$D$2),1),0)),"")</f>
        <v/>
      </c>
    </row>
    <row r="478" spans="1:10" x14ac:dyDescent="0.3">
      <c r="A478" s="135"/>
      <c r="B478" s="136"/>
      <c r="C478" s="138"/>
      <c r="D478" s="139"/>
      <c r="E478" s="141" t="str">
        <f t="shared" si="23"/>
        <v/>
      </c>
      <c r="F478" s="144"/>
      <c r="G478" s="146">
        <f t="shared" si="21"/>
        <v>0</v>
      </c>
      <c r="H478" s="141" t="str">
        <f t="shared" si="22"/>
        <v/>
      </c>
      <c r="J478" s="148" t="str">
        <f>IFERROR(SUMIFS(当年实际!$V:$V,当年实际!$H:$H,$B478,当年实际!$C:$C,"&gt;="&amp;DATE(YEAR(主页!$D$2),1,1),当年实际!$C:$C,"&lt;="&amp;EOMONTH(DATE(YEAR(主页!$D$2),MONTH(主页!$D$2),1),0))/SUMIFS(当年实际!$P:$P,当年实际!$H:$H,$B478,当年实际!$C:$C,"&gt;="&amp;DATE(YEAR(主页!$D$2),1,1),当年实际!$C:$C,"&lt;="&amp;EOMONTH(DATE(YEAR(主页!$D$2),MONTH(主页!$D$2),1),0)),"")</f>
        <v/>
      </c>
    </row>
    <row r="479" spans="1:10" x14ac:dyDescent="0.3">
      <c r="A479" s="135"/>
      <c r="B479" s="136"/>
      <c r="C479" s="138"/>
      <c r="D479" s="139"/>
      <c r="E479" s="141" t="str">
        <f t="shared" si="23"/>
        <v/>
      </c>
      <c r="F479" s="144"/>
      <c r="G479" s="146">
        <f t="shared" si="21"/>
        <v>0</v>
      </c>
      <c r="H479" s="141" t="str">
        <f t="shared" si="22"/>
        <v/>
      </c>
      <c r="J479" s="148" t="str">
        <f>IFERROR(SUMIFS(当年实际!$V:$V,当年实际!$H:$H,$B479,当年实际!$C:$C,"&gt;="&amp;DATE(YEAR(主页!$D$2),1,1),当年实际!$C:$C,"&lt;="&amp;EOMONTH(DATE(YEAR(主页!$D$2),MONTH(主页!$D$2),1),0))/SUMIFS(当年实际!$P:$P,当年实际!$H:$H,$B479,当年实际!$C:$C,"&gt;="&amp;DATE(YEAR(主页!$D$2),1,1),当年实际!$C:$C,"&lt;="&amp;EOMONTH(DATE(YEAR(主页!$D$2),MONTH(主页!$D$2),1),0)),"")</f>
        <v/>
      </c>
    </row>
    <row r="480" spans="1:10" x14ac:dyDescent="0.3">
      <c r="A480" s="135"/>
      <c r="B480" s="136"/>
      <c r="C480" s="138"/>
      <c r="D480" s="139"/>
      <c r="E480" s="141" t="str">
        <f t="shared" si="23"/>
        <v/>
      </c>
      <c r="F480" s="144"/>
      <c r="G480" s="146">
        <f t="shared" si="21"/>
        <v>0</v>
      </c>
      <c r="H480" s="141" t="str">
        <f t="shared" si="22"/>
        <v/>
      </c>
      <c r="J480" s="148" t="str">
        <f>IFERROR(SUMIFS(当年实际!$V:$V,当年实际!$H:$H,$B480,当年实际!$C:$C,"&gt;="&amp;DATE(YEAR(主页!$D$2),1,1),当年实际!$C:$C,"&lt;="&amp;EOMONTH(DATE(YEAR(主页!$D$2),MONTH(主页!$D$2),1),0))/SUMIFS(当年实际!$P:$P,当年实际!$H:$H,$B480,当年实际!$C:$C,"&gt;="&amp;DATE(YEAR(主页!$D$2),1,1),当年实际!$C:$C,"&lt;="&amp;EOMONTH(DATE(YEAR(主页!$D$2),MONTH(主页!$D$2),1),0)),"")</f>
        <v/>
      </c>
    </row>
    <row r="481" spans="1:10" x14ac:dyDescent="0.3">
      <c r="A481" s="135"/>
      <c r="B481" s="136"/>
      <c r="C481" s="138"/>
      <c r="D481" s="139"/>
      <c r="E481" s="141" t="str">
        <f t="shared" si="23"/>
        <v/>
      </c>
      <c r="F481" s="144"/>
      <c r="G481" s="146">
        <f t="shared" si="21"/>
        <v>0</v>
      </c>
      <c r="H481" s="141" t="str">
        <f t="shared" si="22"/>
        <v/>
      </c>
      <c r="J481" s="148" t="str">
        <f>IFERROR(SUMIFS(当年实际!$V:$V,当年实际!$H:$H,$B481,当年实际!$C:$C,"&gt;="&amp;DATE(YEAR(主页!$D$2),1,1),当年实际!$C:$C,"&lt;="&amp;EOMONTH(DATE(YEAR(主页!$D$2),MONTH(主页!$D$2),1),0))/SUMIFS(当年实际!$P:$P,当年实际!$H:$H,$B481,当年实际!$C:$C,"&gt;="&amp;DATE(YEAR(主页!$D$2),1,1),当年实际!$C:$C,"&lt;="&amp;EOMONTH(DATE(YEAR(主页!$D$2),MONTH(主页!$D$2),1),0)),"")</f>
        <v/>
      </c>
    </row>
    <row r="482" spans="1:10" x14ac:dyDescent="0.3">
      <c r="A482" s="135"/>
      <c r="B482" s="136"/>
      <c r="C482" s="138"/>
      <c r="D482" s="139"/>
      <c r="E482" s="141" t="str">
        <f t="shared" si="23"/>
        <v/>
      </c>
      <c r="F482" s="144"/>
      <c r="G482" s="146">
        <f t="shared" si="21"/>
        <v>0</v>
      </c>
      <c r="H482" s="141" t="str">
        <f t="shared" si="22"/>
        <v/>
      </c>
      <c r="J482" s="148" t="str">
        <f>IFERROR(SUMIFS(当年实际!$V:$V,当年实际!$H:$H,$B482,当年实际!$C:$C,"&gt;="&amp;DATE(YEAR(主页!$D$2),1,1),当年实际!$C:$C,"&lt;="&amp;EOMONTH(DATE(YEAR(主页!$D$2),MONTH(主页!$D$2),1),0))/SUMIFS(当年实际!$P:$P,当年实际!$H:$H,$B482,当年实际!$C:$C,"&gt;="&amp;DATE(YEAR(主页!$D$2),1,1),当年实际!$C:$C,"&lt;="&amp;EOMONTH(DATE(YEAR(主页!$D$2),MONTH(主页!$D$2),1),0)),"")</f>
        <v/>
      </c>
    </row>
    <row r="483" spans="1:10" x14ac:dyDescent="0.3">
      <c r="A483" s="135"/>
      <c r="B483" s="136"/>
      <c r="C483" s="138"/>
      <c r="D483" s="139"/>
      <c r="E483" s="141" t="str">
        <f t="shared" si="23"/>
        <v/>
      </c>
      <c r="F483" s="144"/>
      <c r="G483" s="146">
        <f t="shared" si="21"/>
        <v>0</v>
      </c>
      <c r="H483" s="141" t="str">
        <f t="shared" si="22"/>
        <v/>
      </c>
      <c r="J483" s="148" t="str">
        <f>IFERROR(SUMIFS(当年实际!$V:$V,当年实际!$H:$H,$B483,当年实际!$C:$C,"&gt;="&amp;DATE(YEAR(主页!$D$2),1,1),当年实际!$C:$C,"&lt;="&amp;EOMONTH(DATE(YEAR(主页!$D$2),MONTH(主页!$D$2),1),0))/SUMIFS(当年实际!$P:$P,当年实际!$H:$H,$B483,当年实际!$C:$C,"&gt;="&amp;DATE(YEAR(主页!$D$2),1,1),当年实际!$C:$C,"&lt;="&amp;EOMONTH(DATE(YEAR(主页!$D$2),MONTH(主页!$D$2),1),0)),"")</f>
        <v/>
      </c>
    </row>
    <row r="484" spans="1:10" x14ac:dyDescent="0.3">
      <c r="A484" s="135"/>
      <c r="B484" s="136"/>
      <c r="C484" s="138"/>
      <c r="D484" s="139"/>
      <c r="E484" s="141" t="str">
        <f t="shared" si="23"/>
        <v/>
      </c>
      <c r="F484" s="144"/>
      <c r="G484" s="146">
        <f t="shared" si="21"/>
        <v>0</v>
      </c>
      <c r="H484" s="141" t="str">
        <f t="shared" si="22"/>
        <v/>
      </c>
      <c r="J484" s="148" t="str">
        <f>IFERROR(SUMIFS(当年实际!$V:$V,当年实际!$H:$H,$B484,当年实际!$C:$C,"&gt;="&amp;DATE(YEAR(主页!$D$2),1,1),当年实际!$C:$C,"&lt;="&amp;EOMONTH(DATE(YEAR(主页!$D$2),MONTH(主页!$D$2),1),0))/SUMIFS(当年实际!$P:$P,当年实际!$H:$H,$B484,当年实际!$C:$C,"&gt;="&amp;DATE(YEAR(主页!$D$2),1,1),当年实际!$C:$C,"&lt;="&amp;EOMONTH(DATE(YEAR(主页!$D$2),MONTH(主页!$D$2),1),0)),"")</f>
        <v/>
      </c>
    </row>
    <row r="485" spans="1:10" x14ac:dyDescent="0.3">
      <c r="A485" s="135"/>
      <c r="B485" s="136"/>
      <c r="C485" s="138"/>
      <c r="D485" s="139"/>
      <c r="E485" s="141" t="str">
        <f t="shared" si="23"/>
        <v/>
      </c>
      <c r="F485" s="144"/>
      <c r="G485" s="146">
        <f t="shared" si="21"/>
        <v>0</v>
      </c>
      <c r="H485" s="141" t="str">
        <f t="shared" si="22"/>
        <v/>
      </c>
      <c r="J485" s="148" t="str">
        <f>IFERROR(SUMIFS(当年实际!$V:$V,当年实际!$H:$H,$B485,当年实际!$C:$C,"&gt;="&amp;DATE(YEAR(主页!$D$2),1,1),当年实际!$C:$C,"&lt;="&amp;EOMONTH(DATE(YEAR(主页!$D$2),MONTH(主页!$D$2),1),0))/SUMIFS(当年实际!$P:$P,当年实际!$H:$H,$B485,当年实际!$C:$C,"&gt;="&amp;DATE(YEAR(主页!$D$2),1,1),当年实际!$C:$C,"&lt;="&amp;EOMONTH(DATE(YEAR(主页!$D$2),MONTH(主页!$D$2),1),0)),"")</f>
        <v/>
      </c>
    </row>
    <row r="486" spans="1:10" x14ac:dyDescent="0.3">
      <c r="A486" s="135"/>
      <c r="B486" s="136"/>
      <c r="C486" s="138"/>
      <c r="D486" s="139"/>
      <c r="E486" s="141" t="str">
        <f t="shared" si="23"/>
        <v/>
      </c>
      <c r="F486" s="144"/>
      <c r="G486" s="146">
        <f t="shared" si="21"/>
        <v>0</v>
      </c>
      <c r="H486" s="141" t="str">
        <f t="shared" si="22"/>
        <v/>
      </c>
      <c r="J486" s="148" t="str">
        <f>IFERROR(SUMIFS(当年实际!$V:$V,当年实际!$H:$H,$B486,当年实际!$C:$C,"&gt;="&amp;DATE(YEAR(主页!$D$2),1,1),当年实际!$C:$C,"&lt;="&amp;EOMONTH(DATE(YEAR(主页!$D$2),MONTH(主页!$D$2),1),0))/SUMIFS(当年实际!$P:$P,当年实际!$H:$H,$B486,当年实际!$C:$C,"&gt;="&amp;DATE(YEAR(主页!$D$2),1,1),当年实际!$C:$C,"&lt;="&amp;EOMONTH(DATE(YEAR(主页!$D$2),MONTH(主页!$D$2),1),0)),"")</f>
        <v/>
      </c>
    </row>
    <row r="487" spans="1:10" x14ac:dyDescent="0.3">
      <c r="A487" s="135"/>
      <c r="B487" s="136"/>
      <c r="C487" s="138"/>
      <c r="D487" s="139"/>
      <c r="E487" s="141" t="str">
        <f t="shared" si="23"/>
        <v/>
      </c>
      <c r="F487" s="144"/>
      <c r="G487" s="146">
        <f t="shared" si="21"/>
        <v>0</v>
      </c>
      <c r="H487" s="141" t="str">
        <f t="shared" si="22"/>
        <v/>
      </c>
      <c r="J487" s="148" t="str">
        <f>IFERROR(SUMIFS(当年实际!$V:$V,当年实际!$H:$H,$B487,当年实际!$C:$C,"&gt;="&amp;DATE(YEAR(主页!$D$2),1,1),当年实际!$C:$C,"&lt;="&amp;EOMONTH(DATE(YEAR(主页!$D$2),MONTH(主页!$D$2),1),0))/SUMIFS(当年实际!$P:$P,当年实际!$H:$H,$B487,当年实际!$C:$C,"&gt;="&amp;DATE(YEAR(主页!$D$2),1,1),当年实际!$C:$C,"&lt;="&amp;EOMONTH(DATE(YEAR(主页!$D$2),MONTH(主页!$D$2),1),0)),"")</f>
        <v/>
      </c>
    </row>
    <row r="488" spans="1:10" x14ac:dyDescent="0.3">
      <c r="A488" s="135"/>
      <c r="B488" s="136"/>
      <c r="C488" s="138"/>
      <c r="D488" s="139"/>
      <c r="E488" s="141" t="str">
        <f t="shared" si="23"/>
        <v/>
      </c>
      <c r="F488" s="144"/>
      <c r="G488" s="146">
        <f t="shared" si="21"/>
        <v>0</v>
      </c>
      <c r="H488" s="141" t="str">
        <f t="shared" si="22"/>
        <v/>
      </c>
      <c r="J488" s="148" t="str">
        <f>IFERROR(SUMIFS(当年实际!$V:$V,当年实际!$H:$H,$B488,当年实际!$C:$C,"&gt;="&amp;DATE(YEAR(主页!$D$2),1,1),当年实际!$C:$C,"&lt;="&amp;EOMONTH(DATE(YEAR(主页!$D$2),MONTH(主页!$D$2),1),0))/SUMIFS(当年实际!$P:$P,当年实际!$H:$H,$B488,当年实际!$C:$C,"&gt;="&amp;DATE(YEAR(主页!$D$2),1,1),当年实际!$C:$C,"&lt;="&amp;EOMONTH(DATE(YEAR(主页!$D$2),MONTH(主页!$D$2),1),0)),"")</f>
        <v/>
      </c>
    </row>
    <row r="489" spans="1:10" x14ac:dyDescent="0.3">
      <c r="A489" s="135"/>
      <c r="B489" s="136"/>
      <c r="C489" s="138"/>
      <c r="D489" s="139"/>
      <c r="E489" s="141" t="str">
        <f t="shared" si="23"/>
        <v/>
      </c>
      <c r="F489" s="144"/>
      <c r="G489" s="146">
        <f t="shared" si="21"/>
        <v>0</v>
      </c>
      <c r="H489" s="141" t="str">
        <f t="shared" si="22"/>
        <v/>
      </c>
      <c r="J489" s="148" t="str">
        <f>IFERROR(SUMIFS(当年实际!$V:$V,当年实际!$H:$H,$B489,当年实际!$C:$C,"&gt;="&amp;DATE(YEAR(主页!$D$2),1,1),当年实际!$C:$C,"&lt;="&amp;EOMONTH(DATE(YEAR(主页!$D$2),MONTH(主页!$D$2),1),0))/SUMIFS(当年实际!$P:$P,当年实际!$H:$H,$B489,当年实际!$C:$C,"&gt;="&amp;DATE(YEAR(主页!$D$2),1,1),当年实际!$C:$C,"&lt;="&amp;EOMONTH(DATE(YEAR(主页!$D$2),MONTH(主页!$D$2),1),0)),"")</f>
        <v/>
      </c>
    </row>
    <row r="490" spans="1:10" x14ac:dyDescent="0.3">
      <c r="A490" s="135"/>
      <c r="B490" s="136"/>
      <c r="C490" s="138"/>
      <c r="D490" s="139"/>
      <c r="E490" s="141" t="str">
        <f t="shared" si="23"/>
        <v/>
      </c>
      <c r="F490" s="144"/>
      <c r="G490" s="146">
        <f t="shared" si="21"/>
        <v>0</v>
      </c>
      <c r="H490" s="141" t="str">
        <f t="shared" si="22"/>
        <v/>
      </c>
      <c r="J490" s="148" t="str">
        <f>IFERROR(SUMIFS(当年实际!$V:$V,当年实际!$H:$H,$B490,当年实际!$C:$C,"&gt;="&amp;DATE(YEAR(主页!$D$2),1,1),当年实际!$C:$C,"&lt;="&amp;EOMONTH(DATE(YEAR(主页!$D$2),MONTH(主页!$D$2),1),0))/SUMIFS(当年实际!$P:$P,当年实际!$H:$H,$B490,当年实际!$C:$C,"&gt;="&amp;DATE(YEAR(主页!$D$2),1,1),当年实际!$C:$C,"&lt;="&amp;EOMONTH(DATE(YEAR(主页!$D$2),MONTH(主页!$D$2),1),0)),"")</f>
        <v/>
      </c>
    </row>
    <row r="491" spans="1:10" x14ac:dyDescent="0.3">
      <c r="A491" s="135"/>
      <c r="B491" s="136"/>
      <c r="C491" s="138"/>
      <c r="D491" s="139"/>
      <c r="E491" s="141" t="str">
        <f t="shared" si="23"/>
        <v/>
      </c>
      <c r="F491" s="144"/>
      <c r="G491" s="146">
        <f t="shared" si="21"/>
        <v>0</v>
      </c>
      <c r="H491" s="141" t="str">
        <f t="shared" si="22"/>
        <v/>
      </c>
      <c r="J491" s="148" t="str">
        <f>IFERROR(SUMIFS(当年实际!$V:$V,当年实际!$H:$H,$B491,当年实际!$C:$C,"&gt;="&amp;DATE(YEAR(主页!$D$2),1,1),当年实际!$C:$C,"&lt;="&amp;EOMONTH(DATE(YEAR(主页!$D$2),MONTH(主页!$D$2),1),0))/SUMIFS(当年实际!$P:$P,当年实际!$H:$H,$B491,当年实际!$C:$C,"&gt;="&amp;DATE(YEAR(主页!$D$2),1,1),当年实际!$C:$C,"&lt;="&amp;EOMONTH(DATE(YEAR(主页!$D$2),MONTH(主页!$D$2),1),0)),"")</f>
        <v/>
      </c>
    </row>
    <row r="492" spans="1:10" x14ac:dyDescent="0.3">
      <c r="A492" s="135"/>
      <c r="B492" s="136"/>
      <c r="C492" s="138"/>
      <c r="D492" s="139"/>
      <c r="E492" s="141" t="str">
        <f t="shared" si="23"/>
        <v/>
      </c>
      <c r="F492" s="144"/>
      <c r="G492" s="146">
        <f t="shared" si="21"/>
        <v>0</v>
      </c>
      <c r="H492" s="141" t="str">
        <f t="shared" si="22"/>
        <v/>
      </c>
      <c r="J492" s="148" t="str">
        <f>IFERROR(SUMIFS(当年实际!$V:$V,当年实际!$H:$H,$B492,当年实际!$C:$C,"&gt;="&amp;DATE(YEAR(主页!$D$2),1,1),当年实际!$C:$C,"&lt;="&amp;EOMONTH(DATE(YEAR(主页!$D$2),MONTH(主页!$D$2),1),0))/SUMIFS(当年实际!$P:$P,当年实际!$H:$H,$B492,当年实际!$C:$C,"&gt;="&amp;DATE(YEAR(主页!$D$2),1,1),当年实际!$C:$C,"&lt;="&amp;EOMONTH(DATE(YEAR(主页!$D$2),MONTH(主页!$D$2),1),0)),"")</f>
        <v/>
      </c>
    </row>
    <row r="493" spans="1:10" x14ac:dyDescent="0.3">
      <c r="A493" s="135"/>
      <c r="B493" s="136"/>
      <c r="C493" s="138"/>
      <c r="D493" s="139"/>
      <c r="E493" s="141" t="str">
        <f t="shared" si="23"/>
        <v/>
      </c>
      <c r="F493" s="144"/>
      <c r="G493" s="146">
        <f t="shared" si="21"/>
        <v>0</v>
      </c>
      <c r="H493" s="141" t="str">
        <f t="shared" si="22"/>
        <v/>
      </c>
      <c r="J493" s="148" t="str">
        <f>IFERROR(SUMIFS(当年实际!$V:$V,当年实际!$H:$H,$B493,当年实际!$C:$C,"&gt;="&amp;DATE(YEAR(主页!$D$2),1,1),当年实际!$C:$C,"&lt;="&amp;EOMONTH(DATE(YEAR(主页!$D$2),MONTH(主页!$D$2),1),0))/SUMIFS(当年实际!$P:$P,当年实际!$H:$H,$B493,当年实际!$C:$C,"&gt;="&amp;DATE(YEAR(主页!$D$2),1,1),当年实际!$C:$C,"&lt;="&amp;EOMONTH(DATE(YEAR(主页!$D$2),MONTH(主页!$D$2),1),0)),"")</f>
        <v/>
      </c>
    </row>
    <row r="494" spans="1:10" x14ac:dyDescent="0.3">
      <c r="A494" s="135"/>
      <c r="B494" s="136"/>
      <c r="C494" s="138"/>
      <c r="D494" s="139"/>
      <c r="E494" s="141" t="str">
        <f t="shared" si="23"/>
        <v/>
      </c>
      <c r="F494" s="144"/>
      <c r="G494" s="146">
        <f t="shared" si="21"/>
        <v>0</v>
      </c>
      <c r="H494" s="141" t="str">
        <f t="shared" si="22"/>
        <v/>
      </c>
      <c r="J494" s="148" t="str">
        <f>IFERROR(SUMIFS(当年实际!$V:$V,当年实际!$H:$H,$B494,当年实际!$C:$C,"&gt;="&amp;DATE(YEAR(主页!$D$2),1,1),当年实际!$C:$C,"&lt;="&amp;EOMONTH(DATE(YEAR(主页!$D$2),MONTH(主页!$D$2),1),0))/SUMIFS(当年实际!$P:$P,当年实际!$H:$H,$B494,当年实际!$C:$C,"&gt;="&amp;DATE(YEAR(主页!$D$2),1,1),当年实际!$C:$C,"&lt;="&amp;EOMONTH(DATE(YEAR(主页!$D$2),MONTH(主页!$D$2),1),0)),"")</f>
        <v/>
      </c>
    </row>
    <row r="495" spans="1:10" x14ac:dyDescent="0.3">
      <c r="A495" s="135"/>
      <c r="B495" s="136"/>
      <c r="C495" s="138"/>
      <c r="D495" s="139"/>
      <c r="E495" s="141" t="str">
        <f t="shared" si="23"/>
        <v/>
      </c>
      <c r="F495" s="144"/>
      <c r="G495" s="146">
        <f t="shared" si="21"/>
        <v>0</v>
      </c>
      <c r="H495" s="141" t="str">
        <f t="shared" si="22"/>
        <v/>
      </c>
      <c r="J495" s="148" t="str">
        <f>IFERROR(SUMIFS(当年实际!$V:$V,当年实际!$H:$H,$B495,当年实际!$C:$C,"&gt;="&amp;DATE(YEAR(主页!$D$2),1,1),当年实际!$C:$C,"&lt;="&amp;EOMONTH(DATE(YEAR(主页!$D$2),MONTH(主页!$D$2),1),0))/SUMIFS(当年实际!$P:$P,当年实际!$H:$H,$B495,当年实际!$C:$C,"&gt;="&amp;DATE(YEAR(主页!$D$2),1,1),当年实际!$C:$C,"&lt;="&amp;EOMONTH(DATE(YEAR(主页!$D$2),MONTH(主页!$D$2),1),0)),"")</f>
        <v/>
      </c>
    </row>
    <row r="496" spans="1:10" x14ac:dyDescent="0.3">
      <c r="A496" s="135"/>
      <c r="B496" s="136"/>
      <c r="C496" s="138"/>
      <c r="D496" s="139"/>
      <c r="E496" s="141" t="str">
        <f t="shared" si="23"/>
        <v/>
      </c>
      <c r="F496" s="144"/>
      <c r="G496" s="146">
        <f t="shared" si="21"/>
        <v>0</v>
      </c>
      <c r="H496" s="141" t="str">
        <f t="shared" si="22"/>
        <v/>
      </c>
      <c r="J496" s="148" t="str">
        <f>IFERROR(SUMIFS(当年实际!$V:$V,当年实际!$H:$H,$B496,当年实际!$C:$C,"&gt;="&amp;DATE(YEAR(主页!$D$2),1,1),当年实际!$C:$C,"&lt;="&amp;EOMONTH(DATE(YEAR(主页!$D$2),MONTH(主页!$D$2),1),0))/SUMIFS(当年实际!$P:$P,当年实际!$H:$H,$B496,当年实际!$C:$C,"&gt;="&amp;DATE(YEAR(主页!$D$2),1,1),当年实际!$C:$C,"&lt;="&amp;EOMONTH(DATE(YEAR(主页!$D$2),MONTH(主页!$D$2),1),0)),"")</f>
        <v/>
      </c>
    </row>
    <row r="497" spans="1:10" x14ac:dyDescent="0.3">
      <c r="A497" s="135"/>
      <c r="B497" s="136"/>
      <c r="C497" s="138"/>
      <c r="D497" s="139"/>
      <c r="E497" s="141" t="str">
        <f t="shared" si="23"/>
        <v/>
      </c>
      <c r="F497" s="144"/>
      <c r="G497" s="146">
        <f t="shared" si="21"/>
        <v>0</v>
      </c>
      <c r="H497" s="141" t="str">
        <f t="shared" si="22"/>
        <v/>
      </c>
      <c r="J497" s="148" t="str">
        <f>IFERROR(SUMIFS(当年实际!$V:$V,当年实际!$H:$H,$B497,当年实际!$C:$C,"&gt;="&amp;DATE(YEAR(主页!$D$2),1,1),当年实际!$C:$C,"&lt;="&amp;EOMONTH(DATE(YEAR(主页!$D$2),MONTH(主页!$D$2),1),0))/SUMIFS(当年实际!$P:$P,当年实际!$H:$H,$B497,当年实际!$C:$C,"&gt;="&amp;DATE(YEAR(主页!$D$2),1,1),当年实际!$C:$C,"&lt;="&amp;EOMONTH(DATE(YEAR(主页!$D$2),MONTH(主页!$D$2),1),0)),"")</f>
        <v/>
      </c>
    </row>
    <row r="498" spans="1:10" x14ac:dyDescent="0.3">
      <c r="A498" s="135"/>
      <c r="B498" s="136"/>
      <c r="C498" s="138"/>
      <c r="D498" s="139"/>
      <c r="E498" s="141" t="str">
        <f t="shared" si="23"/>
        <v/>
      </c>
      <c r="F498" s="144"/>
      <c r="G498" s="146">
        <f t="shared" si="21"/>
        <v>0</v>
      </c>
      <c r="H498" s="141" t="str">
        <f t="shared" si="22"/>
        <v/>
      </c>
      <c r="J498" s="148" t="str">
        <f>IFERROR(SUMIFS(当年实际!$V:$V,当年实际!$H:$H,$B498,当年实际!$C:$C,"&gt;="&amp;DATE(YEAR(主页!$D$2),1,1),当年实际!$C:$C,"&lt;="&amp;EOMONTH(DATE(YEAR(主页!$D$2),MONTH(主页!$D$2),1),0))/SUMIFS(当年实际!$P:$P,当年实际!$H:$H,$B498,当年实际!$C:$C,"&gt;="&amp;DATE(YEAR(主页!$D$2),1,1),当年实际!$C:$C,"&lt;="&amp;EOMONTH(DATE(YEAR(主页!$D$2),MONTH(主页!$D$2),1),0)),"")</f>
        <v/>
      </c>
    </row>
    <row r="499" spans="1:10" x14ac:dyDescent="0.3">
      <c r="A499" s="135"/>
      <c r="B499" s="136"/>
      <c r="C499" s="138"/>
      <c r="D499" s="139"/>
      <c r="E499" s="141" t="str">
        <f t="shared" si="23"/>
        <v/>
      </c>
      <c r="F499" s="144"/>
      <c r="G499" s="146">
        <f t="shared" si="21"/>
        <v>0</v>
      </c>
      <c r="H499" s="141" t="str">
        <f t="shared" si="22"/>
        <v/>
      </c>
      <c r="J499" s="148" t="str">
        <f>IFERROR(SUMIFS(当年实际!$V:$V,当年实际!$H:$H,$B499,当年实际!$C:$C,"&gt;="&amp;DATE(YEAR(主页!$D$2),1,1),当年实际!$C:$C,"&lt;="&amp;EOMONTH(DATE(YEAR(主页!$D$2),MONTH(主页!$D$2),1),0))/SUMIFS(当年实际!$P:$P,当年实际!$H:$H,$B499,当年实际!$C:$C,"&gt;="&amp;DATE(YEAR(主页!$D$2),1,1),当年实际!$C:$C,"&lt;="&amp;EOMONTH(DATE(YEAR(主页!$D$2),MONTH(主页!$D$2),1),0)),"")</f>
        <v/>
      </c>
    </row>
    <row r="500" spans="1:10" x14ac:dyDescent="0.3">
      <c r="A500" s="135"/>
      <c r="B500" s="136"/>
      <c r="C500" s="138"/>
      <c r="D500" s="139"/>
      <c r="E500" s="141" t="str">
        <f t="shared" si="23"/>
        <v/>
      </c>
      <c r="F500" s="144"/>
      <c r="G500" s="146">
        <f t="shared" si="21"/>
        <v>0</v>
      </c>
      <c r="H500" s="141" t="str">
        <f t="shared" si="22"/>
        <v/>
      </c>
      <c r="J500" s="148" t="str">
        <f>IFERROR(SUMIFS(当年实际!$V:$V,当年实际!$H:$H,$B500,当年实际!$C:$C,"&gt;="&amp;DATE(YEAR(主页!$D$2),1,1),当年实际!$C:$C,"&lt;="&amp;EOMONTH(DATE(YEAR(主页!$D$2),MONTH(主页!$D$2),1),0))/SUMIFS(当年实际!$P:$P,当年实际!$H:$H,$B500,当年实际!$C:$C,"&gt;="&amp;DATE(YEAR(主页!$D$2),1,1),当年实际!$C:$C,"&lt;="&amp;EOMONTH(DATE(YEAR(主页!$D$2),MONTH(主页!$D$2),1),0)),"")</f>
        <v/>
      </c>
    </row>
    <row r="501" spans="1:10" x14ac:dyDescent="0.3">
      <c r="A501" s="135"/>
      <c r="B501" s="136"/>
      <c r="C501" s="138"/>
      <c r="D501" s="139"/>
      <c r="E501" s="141" t="str">
        <f t="shared" si="23"/>
        <v/>
      </c>
      <c r="F501" s="144"/>
      <c r="G501" s="146">
        <f t="shared" si="21"/>
        <v>0</v>
      </c>
      <c r="H501" s="141" t="str">
        <f t="shared" si="22"/>
        <v/>
      </c>
      <c r="J501" s="148" t="str">
        <f>IFERROR(SUMIFS(当年实际!$V:$V,当年实际!$H:$H,$B501,当年实际!$C:$C,"&gt;="&amp;DATE(YEAR(主页!$D$2),1,1),当年实际!$C:$C,"&lt;="&amp;EOMONTH(DATE(YEAR(主页!$D$2),MONTH(主页!$D$2),1),0))/SUMIFS(当年实际!$P:$P,当年实际!$H:$H,$B501,当年实际!$C:$C,"&gt;="&amp;DATE(YEAR(主页!$D$2),1,1),当年实际!$C:$C,"&lt;="&amp;EOMONTH(DATE(YEAR(主页!$D$2),MONTH(主页!$D$2),1),0)),"")</f>
        <v/>
      </c>
    </row>
    <row r="502" spans="1:10" x14ac:dyDescent="0.3">
      <c r="A502" s="135"/>
      <c r="B502" s="136"/>
      <c r="C502" s="138"/>
      <c r="D502" s="139"/>
      <c r="E502" s="141" t="str">
        <f t="shared" si="23"/>
        <v/>
      </c>
      <c r="F502" s="144"/>
      <c r="G502" s="146">
        <f t="shared" si="21"/>
        <v>0</v>
      </c>
      <c r="H502" s="141" t="str">
        <f t="shared" si="22"/>
        <v/>
      </c>
      <c r="J502" s="148" t="str">
        <f>IFERROR(SUMIFS(当年实际!$V:$V,当年实际!$H:$H,$B502,当年实际!$C:$C,"&gt;="&amp;DATE(YEAR(主页!$D$2),1,1),当年实际!$C:$C,"&lt;="&amp;EOMONTH(DATE(YEAR(主页!$D$2),MONTH(主页!$D$2),1),0))/SUMIFS(当年实际!$P:$P,当年实际!$H:$H,$B502,当年实际!$C:$C,"&gt;="&amp;DATE(YEAR(主页!$D$2),1,1),当年实际!$C:$C,"&lt;="&amp;EOMONTH(DATE(YEAR(主页!$D$2),MONTH(主页!$D$2),1),0)),"")</f>
        <v/>
      </c>
    </row>
    <row r="503" spans="1:10" x14ac:dyDescent="0.3">
      <c r="A503" s="135"/>
      <c r="B503" s="136"/>
      <c r="C503" s="138"/>
      <c r="D503" s="139"/>
      <c r="E503" s="141" t="str">
        <f t="shared" si="23"/>
        <v/>
      </c>
      <c r="F503" s="144"/>
      <c r="G503" s="146">
        <f t="shared" si="21"/>
        <v>0</v>
      </c>
      <c r="H503" s="141" t="str">
        <f t="shared" si="22"/>
        <v/>
      </c>
      <c r="J503" s="148" t="str">
        <f>IFERROR(SUMIFS(当年实际!$V:$V,当年实际!$H:$H,$B503,当年实际!$C:$C,"&gt;="&amp;DATE(YEAR(主页!$D$2),1,1),当年实际!$C:$C,"&lt;="&amp;EOMONTH(DATE(YEAR(主页!$D$2),MONTH(主页!$D$2),1),0))/SUMIFS(当年实际!$P:$P,当年实际!$H:$H,$B503,当年实际!$C:$C,"&gt;="&amp;DATE(YEAR(主页!$D$2),1,1),当年实际!$C:$C,"&lt;="&amp;EOMONTH(DATE(YEAR(主页!$D$2),MONTH(主页!$D$2),1),0)),"")</f>
        <v/>
      </c>
    </row>
    <row r="504" spans="1:10" x14ac:dyDescent="0.3">
      <c r="A504" s="135"/>
      <c r="B504" s="136"/>
      <c r="C504" s="138"/>
      <c r="D504" s="139"/>
      <c r="E504" s="141" t="str">
        <f t="shared" si="23"/>
        <v/>
      </c>
      <c r="F504" s="144"/>
      <c r="G504" s="146">
        <f t="shared" si="21"/>
        <v>0</v>
      </c>
      <c r="H504" s="141" t="str">
        <f t="shared" si="22"/>
        <v/>
      </c>
      <c r="J504" s="148" t="str">
        <f>IFERROR(SUMIFS(当年实际!$V:$V,当年实际!$H:$H,$B504,当年实际!$C:$C,"&gt;="&amp;DATE(YEAR(主页!$D$2),1,1),当年实际!$C:$C,"&lt;="&amp;EOMONTH(DATE(YEAR(主页!$D$2),MONTH(主页!$D$2),1),0))/SUMIFS(当年实际!$P:$P,当年实际!$H:$H,$B504,当年实际!$C:$C,"&gt;="&amp;DATE(YEAR(主页!$D$2),1,1),当年实际!$C:$C,"&lt;="&amp;EOMONTH(DATE(YEAR(主页!$D$2),MONTH(主页!$D$2),1),0)),"")</f>
        <v/>
      </c>
    </row>
    <row r="505" spans="1:10" x14ac:dyDescent="0.3">
      <c r="A505" s="135"/>
      <c r="B505" s="136"/>
      <c r="C505" s="138"/>
      <c r="D505" s="139"/>
      <c r="E505" s="141" t="str">
        <f t="shared" si="23"/>
        <v/>
      </c>
      <c r="F505" s="144"/>
      <c r="G505" s="146">
        <f t="shared" si="21"/>
        <v>0</v>
      </c>
      <c r="H505" s="141" t="str">
        <f t="shared" si="22"/>
        <v/>
      </c>
      <c r="J505" s="148" t="str">
        <f>IFERROR(SUMIFS(当年实际!$V:$V,当年实际!$H:$H,$B505,当年实际!$C:$C,"&gt;="&amp;DATE(YEAR(主页!$D$2),1,1),当年实际!$C:$C,"&lt;="&amp;EOMONTH(DATE(YEAR(主页!$D$2),MONTH(主页!$D$2),1),0))/SUMIFS(当年实际!$P:$P,当年实际!$H:$H,$B505,当年实际!$C:$C,"&gt;="&amp;DATE(YEAR(主页!$D$2),1,1),当年实际!$C:$C,"&lt;="&amp;EOMONTH(DATE(YEAR(主页!$D$2),MONTH(主页!$D$2),1),0)),"")</f>
        <v/>
      </c>
    </row>
    <row r="506" spans="1:10" x14ac:dyDescent="0.3">
      <c r="A506" s="135"/>
      <c r="B506" s="136"/>
      <c r="C506" s="138"/>
      <c r="D506" s="139"/>
      <c r="E506" s="141" t="str">
        <f t="shared" si="23"/>
        <v/>
      </c>
      <c r="F506" s="144"/>
      <c r="G506" s="146">
        <f t="shared" si="21"/>
        <v>0</v>
      </c>
      <c r="H506" s="141" t="str">
        <f t="shared" si="22"/>
        <v/>
      </c>
      <c r="J506" s="148" t="str">
        <f>IFERROR(SUMIFS(当年实际!$V:$V,当年实际!$H:$H,$B506,当年实际!$C:$C,"&gt;="&amp;DATE(YEAR(主页!$D$2),1,1),当年实际!$C:$C,"&lt;="&amp;EOMONTH(DATE(YEAR(主页!$D$2),MONTH(主页!$D$2),1),0))/SUMIFS(当年实际!$P:$P,当年实际!$H:$H,$B506,当年实际!$C:$C,"&gt;="&amp;DATE(YEAR(主页!$D$2),1,1),当年实际!$C:$C,"&lt;="&amp;EOMONTH(DATE(YEAR(主页!$D$2),MONTH(主页!$D$2),1),0)),"")</f>
        <v/>
      </c>
    </row>
    <row r="507" spans="1:10" x14ac:dyDescent="0.3">
      <c r="A507" s="135"/>
      <c r="B507" s="136"/>
      <c r="C507" s="138"/>
      <c r="D507" s="139"/>
      <c r="E507" s="141" t="str">
        <f t="shared" si="23"/>
        <v/>
      </c>
      <c r="F507" s="144"/>
      <c r="G507" s="146">
        <f t="shared" si="21"/>
        <v>0</v>
      </c>
      <c r="H507" s="141" t="str">
        <f t="shared" si="22"/>
        <v/>
      </c>
      <c r="J507" s="148" t="str">
        <f>IFERROR(SUMIFS(当年实际!$V:$V,当年实际!$H:$H,$B507,当年实际!$C:$C,"&gt;="&amp;DATE(YEAR(主页!$D$2),1,1),当年实际!$C:$C,"&lt;="&amp;EOMONTH(DATE(YEAR(主页!$D$2),MONTH(主页!$D$2),1),0))/SUMIFS(当年实际!$P:$P,当年实际!$H:$H,$B507,当年实际!$C:$C,"&gt;="&amp;DATE(YEAR(主页!$D$2),1,1),当年实际!$C:$C,"&lt;="&amp;EOMONTH(DATE(YEAR(主页!$D$2),MONTH(主页!$D$2),1),0)),"")</f>
        <v/>
      </c>
    </row>
    <row r="508" spans="1:10" x14ac:dyDescent="0.3">
      <c r="A508" s="135"/>
      <c r="B508" s="136"/>
      <c r="C508" s="138"/>
      <c r="D508" s="139"/>
      <c r="E508" s="141" t="str">
        <f t="shared" si="23"/>
        <v/>
      </c>
      <c r="F508" s="144"/>
      <c r="G508" s="146">
        <f t="shared" si="21"/>
        <v>0</v>
      </c>
      <c r="H508" s="141" t="str">
        <f t="shared" si="22"/>
        <v/>
      </c>
      <c r="J508" s="148" t="str">
        <f>IFERROR(SUMIFS(当年实际!$V:$V,当年实际!$H:$H,$B508,当年实际!$C:$C,"&gt;="&amp;DATE(YEAR(主页!$D$2),1,1),当年实际!$C:$C,"&lt;="&amp;EOMONTH(DATE(YEAR(主页!$D$2),MONTH(主页!$D$2),1),0))/SUMIFS(当年实际!$P:$P,当年实际!$H:$H,$B508,当年实际!$C:$C,"&gt;="&amp;DATE(YEAR(主页!$D$2),1,1),当年实际!$C:$C,"&lt;="&amp;EOMONTH(DATE(YEAR(主页!$D$2),MONTH(主页!$D$2),1),0)),"")</f>
        <v/>
      </c>
    </row>
    <row r="509" spans="1:10" x14ac:dyDescent="0.3">
      <c r="A509" s="135"/>
      <c r="B509" s="136"/>
      <c r="C509" s="138"/>
      <c r="D509" s="139"/>
      <c r="E509" s="141" t="str">
        <f t="shared" si="23"/>
        <v/>
      </c>
      <c r="F509" s="144"/>
      <c r="G509" s="146">
        <f t="shared" si="21"/>
        <v>0</v>
      </c>
      <c r="H509" s="141" t="str">
        <f t="shared" si="22"/>
        <v/>
      </c>
      <c r="J509" s="148" t="str">
        <f>IFERROR(SUMIFS(当年实际!$V:$V,当年实际!$H:$H,$B509,当年实际!$C:$C,"&gt;="&amp;DATE(YEAR(主页!$D$2),1,1),当年实际!$C:$C,"&lt;="&amp;EOMONTH(DATE(YEAR(主页!$D$2),MONTH(主页!$D$2),1),0))/SUMIFS(当年实际!$P:$P,当年实际!$H:$H,$B509,当年实际!$C:$C,"&gt;="&amp;DATE(YEAR(主页!$D$2),1,1),当年实际!$C:$C,"&lt;="&amp;EOMONTH(DATE(YEAR(主页!$D$2),MONTH(主页!$D$2),1),0)),"")</f>
        <v/>
      </c>
    </row>
    <row r="510" spans="1:10" x14ac:dyDescent="0.3">
      <c r="A510" s="135"/>
      <c r="B510" s="136"/>
      <c r="C510" s="138"/>
      <c r="D510" s="139"/>
      <c r="E510" s="141" t="str">
        <f t="shared" si="23"/>
        <v/>
      </c>
      <c r="F510" s="144"/>
      <c r="G510" s="146">
        <f t="shared" si="21"/>
        <v>0</v>
      </c>
      <c r="H510" s="141" t="str">
        <f t="shared" si="22"/>
        <v/>
      </c>
      <c r="J510" s="148" t="str">
        <f>IFERROR(SUMIFS(当年实际!$V:$V,当年实际!$H:$H,$B510,当年实际!$C:$C,"&gt;="&amp;DATE(YEAR(主页!$D$2),1,1),当年实际!$C:$C,"&lt;="&amp;EOMONTH(DATE(YEAR(主页!$D$2),MONTH(主页!$D$2),1),0))/SUMIFS(当年实际!$P:$P,当年实际!$H:$H,$B510,当年实际!$C:$C,"&gt;="&amp;DATE(YEAR(主页!$D$2),1,1),当年实际!$C:$C,"&lt;="&amp;EOMONTH(DATE(YEAR(主页!$D$2),MONTH(主页!$D$2),1),0)),"")</f>
        <v/>
      </c>
    </row>
    <row r="511" spans="1:10" x14ac:dyDescent="0.3">
      <c r="A511" s="135"/>
      <c r="B511" s="136"/>
      <c r="C511" s="138"/>
      <c r="D511" s="139"/>
      <c r="E511" s="141" t="str">
        <f t="shared" si="23"/>
        <v/>
      </c>
      <c r="F511" s="144"/>
      <c r="G511" s="146">
        <f t="shared" si="21"/>
        <v>0</v>
      </c>
      <c r="H511" s="141" t="str">
        <f t="shared" si="22"/>
        <v/>
      </c>
      <c r="J511" s="148" t="str">
        <f>IFERROR(SUMIFS(当年实际!$V:$V,当年实际!$H:$H,$B511,当年实际!$C:$C,"&gt;="&amp;DATE(YEAR(主页!$D$2),1,1),当年实际!$C:$C,"&lt;="&amp;EOMONTH(DATE(YEAR(主页!$D$2),MONTH(主页!$D$2),1),0))/SUMIFS(当年实际!$P:$P,当年实际!$H:$H,$B511,当年实际!$C:$C,"&gt;="&amp;DATE(YEAR(主页!$D$2),1,1),当年实际!$C:$C,"&lt;="&amp;EOMONTH(DATE(YEAR(主页!$D$2),MONTH(主页!$D$2),1),0)),"")</f>
        <v/>
      </c>
    </row>
    <row r="512" spans="1:10" x14ac:dyDescent="0.3">
      <c r="A512" s="135"/>
      <c r="B512" s="136"/>
      <c r="C512" s="138"/>
      <c r="D512" s="139"/>
      <c r="E512" s="141" t="str">
        <f t="shared" si="23"/>
        <v/>
      </c>
      <c r="F512" s="144"/>
      <c r="G512" s="146">
        <f t="shared" si="21"/>
        <v>0</v>
      </c>
      <c r="H512" s="141" t="str">
        <f t="shared" si="22"/>
        <v/>
      </c>
      <c r="J512" s="148" t="str">
        <f>IFERROR(SUMIFS(当年实际!$V:$V,当年实际!$H:$H,$B512,当年实际!$C:$C,"&gt;="&amp;DATE(YEAR(主页!$D$2),1,1),当年实际!$C:$C,"&lt;="&amp;EOMONTH(DATE(YEAR(主页!$D$2),MONTH(主页!$D$2),1),0))/SUMIFS(当年实际!$P:$P,当年实际!$H:$H,$B512,当年实际!$C:$C,"&gt;="&amp;DATE(YEAR(主页!$D$2),1,1),当年实际!$C:$C,"&lt;="&amp;EOMONTH(DATE(YEAR(主页!$D$2),MONTH(主页!$D$2),1),0)),"")</f>
        <v/>
      </c>
    </row>
    <row r="513" spans="1:10" x14ac:dyDescent="0.3">
      <c r="A513" s="135"/>
      <c r="B513" s="136"/>
      <c r="C513" s="138"/>
      <c r="D513" s="139"/>
      <c r="E513" s="141" t="str">
        <f t="shared" si="23"/>
        <v/>
      </c>
      <c r="F513" s="144"/>
      <c r="G513" s="146">
        <f t="shared" si="21"/>
        <v>0</v>
      </c>
      <c r="H513" s="141" t="str">
        <f t="shared" si="22"/>
        <v/>
      </c>
      <c r="J513" s="148" t="str">
        <f>IFERROR(SUMIFS(当年实际!$V:$V,当年实际!$H:$H,$B513,当年实际!$C:$C,"&gt;="&amp;DATE(YEAR(主页!$D$2),1,1),当年实际!$C:$C,"&lt;="&amp;EOMONTH(DATE(YEAR(主页!$D$2),MONTH(主页!$D$2),1),0))/SUMIFS(当年实际!$P:$P,当年实际!$H:$H,$B513,当年实际!$C:$C,"&gt;="&amp;DATE(YEAR(主页!$D$2),1,1),当年实际!$C:$C,"&lt;="&amp;EOMONTH(DATE(YEAR(主页!$D$2),MONTH(主页!$D$2),1),0)),"")</f>
        <v/>
      </c>
    </row>
    <row r="514" spans="1:10" x14ac:dyDescent="0.3">
      <c r="A514" s="135"/>
      <c r="B514" s="136"/>
      <c r="C514" s="138"/>
      <c r="D514" s="139"/>
      <c r="E514" s="141" t="str">
        <f t="shared" si="23"/>
        <v/>
      </c>
      <c r="F514" s="144"/>
      <c r="G514" s="146">
        <f t="shared" si="21"/>
        <v>0</v>
      </c>
      <c r="H514" s="141" t="str">
        <f t="shared" si="22"/>
        <v/>
      </c>
      <c r="J514" s="148" t="str">
        <f>IFERROR(SUMIFS(当年实际!$V:$V,当年实际!$H:$H,$B514,当年实际!$C:$C,"&gt;="&amp;DATE(YEAR(主页!$D$2),1,1),当年实际!$C:$C,"&lt;="&amp;EOMONTH(DATE(YEAR(主页!$D$2),MONTH(主页!$D$2),1),0))/SUMIFS(当年实际!$P:$P,当年实际!$H:$H,$B514,当年实际!$C:$C,"&gt;="&amp;DATE(YEAR(主页!$D$2),1,1),当年实际!$C:$C,"&lt;="&amp;EOMONTH(DATE(YEAR(主页!$D$2),MONTH(主页!$D$2),1),0)),"")</f>
        <v/>
      </c>
    </row>
    <row r="515" spans="1:10" x14ac:dyDescent="0.3">
      <c r="A515" s="135"/>
      <c r="B515" s="136"/>
      <c r="C515" s="138"/>
      <c r="D515" s="139"/>
      <c r="E515" s="141" t="str">
        <f t="shared" si="23"/>
        <v/>
      </c>
      <c r="F515" s="144"/>
      <c r="G515" s="146">
        <f t="shared" si="21"/>
        <v>0</v>
      </c>
      <c r="H515" s="141" t="str">
        <f t="shared" si="22"/>
        <v/>
      </c>
      <c r="J515" s="148" t="str">
        <f>IFERROR(SUMIFS(当年实际!$V:$V,当年实际!$H:$H,$B515,当年实际!$C:$C,"&gt;="&amp;DATE(YEAR(主页!$D$2),1,1),当年实际!$C:$C,"&lt;="&amp;EOMONTH(DATE(YEAR(主页!$D$2),MONTH(主页!$D$2),1),0))/SUMIFS(当年实际!$P:$P,当年实际!$H:$H,$B515,当年实际!$C:$C,"&gt;="&amp;DATE(YEAR(主页!$D$2),1,1),当年实际!$C:$C,"&lt;="&amp;EOMONTH(DATE(YEAR(主页!$D$2),MONTH(主页!$D$2),1),0)),"")</f>
        <v/>
      </c>
    </row>
    <row r="516" spans="1:10" x14ac:dyDescent="0.3">
      <c r="A516" s="135"/>
      <c r="B516" s="136"/>
      <c r="C516" s="138"/>
      <c r="D516" s="139"/>
      <c r="E516" s="141" t="str">
        <f t="shared" si="23"/>
        <v/>
      </c>
      <c r="F516" s="144"/>
      <c r="G516" s="146">
        <f t="shared" si="21"/>
        <v>0</v>
      </c>
      <c r="H516" s="141" t="str">
        <f t="shared" si="22"/>
        <v/>
      </c>
      <c r="J516" s="148" t="str">
        <f>IFERROR(SUMIFS(当年实际!$V:$V,当年实际!$H:$H,$B516,当年实际!$C:$C,"&gt;="&amp;DATE(YEAR(主页!$D$2),1,1),当年实际!$C:$C,"&lt;="&amp;EOMONTH(DATE(YEAR(主页!$D$2),MONTH(主页!$D$2),1),0))/SUMIFS(当年实际!$P:$P,当年实际!$H:$H,$B516,当年实际!$C:$C,"&gt;="&amp;DATE(YEAR(主页!$D$2),1,1),当年实际!$C:$C,"&lt;="&amp;EOMONTH(DATE(YEAR(主页!$D$2),MONTH(主页!$D$2),1),0)),"")</f>
        <v/>
      </c>
    </row>
    <row r="517" spans="1:10" x14ac:dyDescent="0.3">
      <c r="A517" s="135"/>
      <c r="B517" s="136"/>
      <c r="C517" s="138"/>
      <c r="D517" s="139"/>
      <c r="E517" s="141" t="str">
        <f t="shared" si="23"/>
        <v/>
      </c>
      <c r="F517" s="144"/>
      <c r="G517" s="146">
        <f t="shared" ref="G517:G580" si="24">D517*F517</f>
        <v>0</v>
      </c>
      <c r="H517" s="141" t="str">
        <f t="shared" si="22"/>
        <v/>
      </c>
      <c r="J517" s="148" t="str">
        <f>IFERROR(SUMIFS(当年实际!$V:$V,当年实际!$H:$H,$B517,当年实际!$C:$C,"&gt;="&amp;DATE(YEAR(主页!$D$2),1,1),当年实际!$C:$C,"&lt;="&amp;EOMONTH(DATE(YEAR(主页!$D$2),MONTH(主页!$D$2),1),0))/SUMIFS(当年实际!$P:$P,当年实际!$H:$H,$B517,当年实际!$C:$C,"&gt;="&amp;DATE(YEAR(主页!$D$2),1,1),当年实际!$C:$C,"&lt;="&amp;EOMONTH(DATE(YEAR(主页!$D$2),MONTH(主页!$D$2),1),0)),"")</f>
        <v/>
      </c>
    </row>
    <row r="518" spans="1:10" x14ac:dyDescent="0.3">
      <c r="A518" s="135"/>
      <c r="B518" s="136"/>
      <c r="C518" s="138"/>
      <c r="D518" s="139"/>
      <c r="E518" s="141" t="str">
        <f t="shared" si="23"/>
        <v/>
      </c>
      <c r="F518" s="144"/>
      <c r="G518" s="146">
        <f t="shared" si="24"/>
        <v>0</v>
      </c>
      <c r="H518" s="141" t="str">
        <f t="shared" ref="H518:H581" si="25">IF(G518/SUM(G:G)=0,"",G518/SUM(G:G))</f>
        <v/>
      </c>
      <c r="J518" s="148" t="str">
        <f>IFERROR(SUMIFS(当年实际!$V:$V,当年实际!$H:$H,$B518,当年实际!$C:$C,"&gt;="&amp;DATE(YEAR(主页!$D$2),1,1),当年实际!$C:$C,"&lt;="&amp;EOMONTH(DATE(YEAR(主页!$D$2),MONTH(主页!$D$2),1),0))/SUMIFS(当年实际!$P:$P,当年实际!$H:$H,$B518,当年实际!$C:$C,"&gt;="&amp;DATE(YEAR(主页!$D$2),1,1),当年实际!$C:$C,"&lt;="&amp;EOMONTH(DATE(YEAR(主页!$D$2),MONTH(主页!$D$2),1),0)),"")</f>
        <v/>
      </c>
    </row>
    <row r="519" spans="1:10" x14ac:dyDescent="0.3">
      <c r="A519" s="135"/>
      <c r="B519" s="136"/>
      <c r="C519" s="138"/>
      <c r="D519" s="139"/>
      <c r="E519" s="141" t="str">
        <f t="shared" si="23"/>
        <v/>
      </c>
      <c r="F519" s="144"/>
      <c r="G519" s="146">
        <f t="shared" si="24"/>
        <v>0</v>
      </c>
      <c r="H519" s="141" t="str">
        <f t="shared" si="25"/>
        <v/>
      </c>
      <c r="J519" s="148" t="str">
        <f>IFERROR(SUMIFS(当年实际!$V:$V,当年实际!$H:$H,$B519,当年实际!$C:$C,"&gt;="&amp;DATE(YEAR(主页!$D$2),1,1),当年实际!$C:$C,"&lt;="&amp;EOMONTH(DATE(YEAR(主页!$D$2),MONTH(主页!$D$2),1),0))/SUMIFS(当年实际!$P:$P,当年实际!$H:$H,$B519,当年实际!$C:$C,"&gt;="&amp;DATE(YEAR(主页!$D$2),1,1),当年实际!$C:$C,"&lt;="&amp;EOMONTH(DATE(YEAR(主页!$D$2),MONTH(主页!$D$2),1),0)),"")</f>
        <v/>
      </c>
    </row>
    <row r="520" spans="1:10" x14ac:dyDescent="0.3">
      <c r="A520" s="135"/>
      <c r="B520" s="136"/>
      <c r="C520" s="138"/>
      <c r="D520" s="139"/>
      <c r="E520" s="141" t="str">
        <f t="shared" ref="E520:E583" si="26">IF(D520/SUM(D:D)=0,"",D520/SUM(D:D))</f>
        <v/>
      </c>
      <c r="F520" s="144"/>
      <c r="G520" s="146">
        <f t="shared" si="24"/>
        <v>0</v>
      </c>
      <c r="H520" s="141" t="str">
        <f t="shared" si="25"/>
        <v/>
      </c>
      <c r="J520" s="148" t="str">
        <f>IFERROR(SUMIFS(当年实际!$V:$V,当年实际!$H:$H,$B520,当年实际!$C:$C,"&gt;="&amp;DATE(YEAR(主页!$D$2),1,1),当年实际!$C:$C,"&lt;="&amp;EOMONTH(DATE(YEAR(主页!$D$2),MONTH(主页!$D$2),1),0))/SUMIFS(当年实际!$P:$P,当年实际!$H:$H,$B520,当年实际!$C:$C,"&gt;="&amp;DATE(YEAR(主页!$D$2),1,1),当年实际!$C:$C,"&lt;="&amp;EOMONTH(DATE(YEAR(主页!$D$2),MONTH(主页!$D$2),1),0)),"")</f>
        <v/>
      </c>
    </row>
    <row r="521" spans="1:10" x14ac:dyDescent="0.3">
      <c r="A521" s="135"/>
      <c r="B521" s="136"/>
      <c r="C521" s="138"/>
      <c r="D521" s="139"/>
      <c r="E521" s="141" t="str">
        <f t="shared" si="26"/>
        <v/>
      </c>
      <c r="F521" s="144"/>
      <c r="G521" s="146">
        <f t="shared" si="24"/>
        <v>0</v>
      </c>
      <c r="H521" s="141" t="str">
        <f t="shared" si="25"/>
        <v/>
      </c>
      <c r="J521" s="148" t="str">
        <f>IFERROR(SUMIFS(当年实际!$V:$V,当年实际!$H:$H,$B521,当年实际!$C:$C,"&gt;="&amp;DATE(YEAR(主页!$D$2),1,1),当年实际!$C:$C,"&lt;="&amp;EOMONTH(DATE(YEAR(主页!$D$2),MONTH(主页!$D$2),1),0))/SUMIFS(当年实际!$P:$P,当年实际!$H:$H,$B521,当年实际!$C:$C,"&gt;="&amp;DATE(YEAR(主页!$D$2),1,1),当年实际!$C:$C,"&lt;="&amp;EOMONTH(DATE(YEAR(主页!$D$2),MONTH(主页!$D$2),1),0)),"")</f>
        <v/>
      </c>
    </row>
    <row r="522" spans="1:10" x14ac:dyDescent="0.3">
      <c r="A522" s="135"/>
      <c r="B522" s="136"/>
      <c r="C522" s="138"/>
      <c r="D522" s="139"/>
      <c r="E522" s="141" t="str">
        <f t="shared" si="26"/>
        <v/>
      </c>
      <c r="F522" s="144"/>
      <c r="G522" s="146">
        <f t="shared" si="24"/>
        <v>0</v>
      </c>
      <c r="H522" s="141" t="str">
        <f t="shared" si="25"/>
        <v/>
      </c>
      <c r="J522" s="148" t="str">
        <f>IFERROR(SUMIFS(当年实际!$V:$V,当年实际!$H:$H,$B522,当年实际!$C:$C,"&gt;="&amp;DATE(YEAR(主页!$D$2),1,1),当年实际!$C:$C,"&lt;="&amp;EOMONTH(DATE(YEAR(主页!$D$2),MONTH(主页!$D$2),1),0))/SUMIFS(当年实际!$P:$P,当年实际!$H:$H,$B522,当年实际!$C:$C,"&gt;="&amp;DATE(YEAR(主页!$D$2),1,1),当年实际!$C:$C,"&lt;="&amp;EOMONTH(DATE(YEAR(主页!$D$2),MONTH(主页!$D$2),1),0)),"")</f>
        <v/>
      </c>
    </row>
    <row r="523" spans="1:10" x14ac:dyDescent="0.3">
      <c r="A523" s="135"/>
      <c r="B523" s="136"/>
      <c r="C523" s="138"/>
      <c r="D523" s="139"/>
      <c r="E523" s="141" t="str">
        <f t="shared" si="26"/>
        <v/>
      </c>
      <c r="F523" s="144"/>
      <c r="G523" s="146">
        <f t="shared" si="24"/>
        <v>0</v>
      </c>
      <c r="H523" s="141" t="str">
        <f t="shared" si="25"/>
        <v/>
      </c>
      <c r="J523" s="148" t="str">
        <f>IFERROR(SUMIFS(当年实际!$V:$V,当年实际!$H:$H,$B523,当年实际!$C:$C,"&gt;="&amp;DATE(YEAR(主页!$D$2),1,1),当年实际!$C:$C,"&lt;="&amp;EOMONTH(DATE(YEAR(主页!$D$2),MONTH(主页!$D$2),1),0))/SUMIFS(当年实际!$P:$P,当年实际!$H:$H,$B523,当年实际!$C:$C,"&gt;="&amp;DATE(YEAR(主页!$D$2),1,1),当年实际!$C:$C,"&lt;="&amp;EOMONTH(DATE(YEAR(主页!$D$2),MONTH(主页!$D$2),1),0)),"")</f>
        <v/>
      </c>
    </row>
    <row r="524" spans="1:10" x14ac:dyDescent="0.3">
      <c r="A524" s="135"/>
      <c r="B524" s="136"/>
      <c r="C524" s="138"/>
      <c r="D524" s="139"/>
      <c r="E524" s="141" t="str">
        <f t="shared" si="26"/>
        <v/>
      </c>
      <c r="F524" s="144"/>
      <c r="G524" s="146">
        <f t="shared" si="24"/>
        <v>0</v>
      </c>
      <c r="H524" s="141" t="str">
        <f t="shared" si="25"/>
        <v/>
      </c>
      <c r="J524" s="148" t="str">
        <f>IFERROR(SUMIFS(当年实际!$V:$V,当年实际!$H:$H,$B524,当年实际!$C:$C,"&gt;="&amp;DATE(YEAR(主页!$D$2),1,1),当年实际!$C:$C,"&lt;="&amp;EOMONTH(DATE(YEAR(主页!$D$2),MONTH(主页!$D$2),1),0))/SUMIFS(当年实际!$P:$P,当年实际!$H:$H,$B524,当年实际!$C:$C,"&gt;="&amp;DATE(YEAR(主页!$D$2),1,1),当年实际!$C:$C,"&lt;="&amp;EOMONTH(DATE(YEAR(主页!$D$2),MONTH(主页!$D$2),1),0)),"")</f>
        <v/>
      </c>
    </row>
    <row r="525" spans="1:10" x14ac:dyDescent="0.3">
      <c r="A525" s="135"/>
      <c r="B525" s="136"/>
      <c r="C525" s="138"/>
      <c r="D525" s="139"/>
      <c r="E525" s="141" t="str">
        <f t="shared" si="26"/>
        <v/>
      </c>
      <c r="F525" s="144"/>
      <c r="G525" s="146">
        <f t="shared" si="24"/>
        <v>0</v>
      </c>
      <c r="H525" s="141" t="str">
        <f t="shared" si="25"/>
        <v/>
      </c>
      <c r="J525" s="148" t="str">
        <f>IFERROR(SUMIFS(当年实际!$V:$V,当年实际!$H:$H,$B525,当年实际!$C:$C,"&gt;="&amp;DATE(YEAR(主页!$D$2),1,1),当年实际!$C:$C,"&lt;="&amp;EOMONTH(DATE(YEAR(主页!$D$2),MONTH(主页!$D$2),1),0))/SUMIFS(当年实际!$P:$P,当年实际!$H:$H,$B525,当年实际!$C:$C,"&gt;="&amp;DATE(YEAR(主页!$D$2),1,1),当年实际!$C:$C,"&lt;="&amp;EOMONTH(DATE(YEAR(主页!$D$2),MONTH(主页!$D$2),1),0)),"")</f>
        <v/>
      </c>
    </row>
    <row r="526" spans="1:10" x14ac:dyDescent="0.3">
      <c r="A526" s="135"/>
      <c r="B526" s="136"/>
      <c r="C526" s="138"/>
      <c r="D526" s="139"/>
      <c r="E526" s="141" t="str">
        <f t="shared" si="26"/>
        <v/>
      </c>
      <c r="F526" s="144"/>
      <c r="G526" s="146">
        <f t="shared" si="24"/>
        <v>0</v>
      </c>
      <c r="H526" s="141" t="str">
        <f t="shared" si="25"/>
        <v/>
      </c>
      <c r="J526" s="148" t="str">
        <f>IFERROR(SUMIFS(当年实际!$V:$V,当年实际!$H:$H,$B526,当年实际!$C:$C,"&gt;="&amp;DATE(YEAR(主页!$D$2),1,1),当年实际!$C:$C,"&lt;="&amp;EOMONTH(DATE(YEAR(主页!$D$2),MONTH(主页!$D$2),1),0))/SUMIFS(当年实际!$P:$P,当年实际!$H:$H,$B526,当年实际!$C:$C,"&gt;="&amp;DATE(YEAR(主页!$D$2),1,1),当年实际!$C:$C,"&lt;="&amp;EOMONTH(DATE(YEAR(主页!$D$2),MONTH(主页!$D$2),1),0)),"")</f>
        <v/>
      </c>
    </row>
    <row r="527" spans="1:10" x14ac:dyDescent="0.3">
      <c r="A527" s="135"/>
      <c r="B527" s="136"/>
      <c r="C527" s="138"/>
      <c r="D527" s="139"/>
      <c r="E527" s="141" t="str">
        <f t="shared" si="26"/>
        <v/>
      </c>
      <c r="F527" s="144"/>
      <c r="G527" s="146">
        <f t="shared" si="24"/>
        <v>0</v>
      </c>
      <c r="H527" s="141" t="str">
        <f t="shared" si="25"/>
        <v/>
      </c>
      <c r="J527" s="148" t="str">
        <f>IFERROR(SUMIFS(当年实际!$V:$V,当年实际!$H:$H,$B527,当年实际!$C:$C,"&gt;="&amp;DATE(YEAR(主页!$D$2),1,1),当年实际!$C:$C,"&lt;="&amp;EOMONTH(DATE(YEAR(主页!$D$2),MONTH(主页!$D$2),1),0))/SUMIFS(当年实际!$P:$P,当年实际!$H:$H,$B527,当年实际!$C:$C,"&gt;="&amp;DATE(YEAR(主页!$D$2),1,1),当年实际!$C:$C,"&lt;="&amp;EOMONTH(DATE(YEAR(主页!$D$2),MONTH(主页!$D$2),1),0)),"")</f>
        <v/>
      </c>
    </row>
    <row r="528" spans="1:10" x14ac:dyDescent="0.3">
      <c r="A528" s="135"/>
      <c r="B528" s="136"/>
      <c r="C528" s="138"/>
      <c r="D528" s="139"/>
      <c r="E528" s="141" t="str">
        <f t="shared" si="26"/>
        <v/>
      </c>
      <c r="F528" s="144"/>
      <c r="G528" s="146">
        <f t="shared" si="24"/>
        <v>0</v>
      </c>
      <c r="H528" s="141" t="str">
        <f t="shared" si="25"/>
        <v/>
      </c>
      <c r="J528" s="148" t="str">
        <f>IFERROR(SUMIFS(当年实际!$V:$V,当年实际!$H:$H,$B528,当年实际!$C:$C,"&gt;="&amp;DATE(YEAR(主页!$D$2),1,1),当年实际!$C:$C,"&lt;="&amp;EOMONTH(DATE(YEAR(主页!$D$2),MONTH(主页!$D$2),1),0))/SUMIFS(当年实际!$P:$P,当年实际!$H:$H,$B528,当年实际!$C:$C,"&gt;="&amp;DATE(YEAR(主页!$D$2),1,1),当年实际!$C:$C,"&lt;="&amp;EOMONTH(DATE(YEAR(主页!$D$2),MONTH(主页!$D$2),1),0)),"")</f>
        <v/>
      </c>
    </row>
    <row r="529" spans="1:10" x14ac:dyDescent="0.3">
      <c r="A529" s="135"/>
      <c r="B529" s="136"/>
      <c r="C529" s="138"/>
      <c r="D529" s="139"/>
      <c r="E529" s="141" t="str">
        <f t="shared" si="26"/>
        <v/>
      </c>
      <c r="F529" s="144"/>
      <c r="G529" s="146">
        <f t="shared" si="24"/>
        <v>0</v>
      </c>
      <c r="H529" s="141" t="str">
        <f t="shared" si="25"/>
        <v/>
      </c>
      <c r="J529" s="148" t="str">
        <f>IFERROR(SUMIFS(当年实际!$V:$V,当年实际!$H:$H,$B529,当年实际!$C:$C,"&gt;="&amp;DATE(YEAR(主页!$D$2),1,1),当年实际!$C:$C,"&lt;="&amp;EOMONTH(DATE(YEAR(主页!$D$2),MONTH(主页!$D$2),1),0))/SUMIFS(当年实际!$P:$P,当年实际!$H:$H,$B529,当年实际!$C:$C,"&gt;="&amp;DATE(YEAR(主页!$D$2),1,1),当年实际!$C:$C,"&lt;="&amp;EOMONTH(DATE(YEAR(主页!$D$2),MONTH(主页!$D$2),1),0)),"")</f>
        <v/>
      </c>
    </row>
    <row r="530" spans="1:10" x14ac:dyDescent="0.3">
      <c r="A530" s="135"/>
      <c r="B530" s="136"/>
      <c r="C530" s="138"/>
      <c r="D530" s="139"/>
      <c r="E530" s="141" t="str">
        <f t="shared" si="26"/>
        <v/>
      </c>
      <c r="F530" s="144"/>
      <c r="G530" s="146">
        <f t="shared" si="24"/>
        <v>0</v>
      </c>
      <c r="H530" s="141" t="str">
        <f t="shared" si="25"/>
        <v/>
      </c>
      <c r="J530" s="148" t="str">
        <f>IFERROR(SUMIFS(当年实际!$V:$V,当年实际!$H:$H,$B530,当年实际!$C:$C,"&gt;="&amp;DATE(YEAR(主页!$D$2),1,1),当年实际!$C:$C,"&lt;="&amp;EOMONTH(DATE(YEAR(主页!$D$2),MONTH(主页!$D$2),1),0))/SUMIFS(当年实际!$P:$P,当年实际!$H:$H,$B530,当年实际!$C:$C,"&gt;="&amp;DATE(YEAR(主页!$D$2),1,1),当年实际!$C:$C,"&lt;="&amp;EOMONTH(DATE(YEAR(主页!$D$2),MONTH(主页!$D$2),1),0)),"")</f>
        <v/>
      </c>
    </row>
    <row r="531" spans="1:10" x14ac:dyDescent="0.3">
      <c r="A531" s="135"/>
      <c r="B531" s="136"/>
      <c r="C531" s="138"/>
      <c r="D531" s="139"/>
      <c r="E531" s="141" t="str">
        <f t="shared" si="26"/>
        <v/>
      </c>
      <c r="F531" s="144"/>
      <c r="G531" s="146">
        <f t="shared" si="24"/>
        <v>0</v>
      </c>
      <c r="H531" s="141" t="str">
        <f t="shared" si="25"/>
        <v/>
      </c>
      <c r="J531" s="148" t="str">
        <f>IFERROR(SUMIFS(当年实际!$V:$V,当年实际!$H:$H,$B531,当年实际!$C:$C,"&gt;="&amp;DATE(YEAR(主页!$D$2),1,1),当年实际!$C:$C,"&lt;="&amp;EOMONTH(DATE(YEAR(主页!$D$2),MONTH(主页!$D$2),1),0))/SUMIFS(当年实际!$P:$P,当年实际!$H:$H,$B531,当年实际!$C:$C,"&gt;="&amp;DATE(YEAR(主页!$D$2),1,1),当年实际!$C:$C,"&lt;="&amp;EOMONTH(DATE(YEAR(主页!$D$2),MONTH(主页!$D$2),1),0)),"")</f>
        <v/>
      </c>
    </row>
    <row r="532" spans="1:10" x14ac:dyDescent="0.3">
      <c r="A532" s="135"/>
      <c r="B532" s="136"/>
      <c r="C532" s="138"/>
      <c r="D532" s="139"/>
      <c r="E532" s="141" t="str">
        <f t="shared" si="26"/>
        <v/>
      </c>
      <c r="F532" s="144"/>
      <c r="G532" s="146">
        <f t="shared" si="24"/>
        <v>0</v>
      </c>
      <c r="H532" s="141" t="str">
        <f t="shared" si="25"/>
        <v/>
      </c>
      <c r="J532" s="148" t="str">
        <f>IFERROR(SUMIFS(当年实际!$V:$V,当年实际!$H:$H,$B532,当年实际!$C:$C,"&gt;="&amp;DATE(YEAR(主页!$D$2),1,1),当年实际!$C:$C,"&lt;="&amp;EOMONTH(DATE(YEAR(主页!$D$2),MONTH(主页!$D$2),1),0))/SUMIFS(当年实际!$P:$P,当年实际!$H:$H,$B532,当年实际!$C:$C,"&gt;="&amp;DATE(YEAR(主页!$D$2),1,1),当年实际!$C:$C,"&lt;="&amp;EOMONTH(DATE(YEAR(主页!$D$2),MONTH(主页!$D$2),1),0)),"")</f>
        <v/>
      </c>
    </row>
    <row r="533" spans="1:10" x14ac:dyDescent="0.3">
      <c r="A533" s="135"/>
      <c r="B533" s="136"/>
      <c r="C533" s="138"/>
      <c r="D533" s="139"/>
      <c r="E533" s="141" t="str">
        <f t="shared" si="26"/>
        <v/>
      </c>
      <c r="F533" s="144"/>
      <c r="G533" s="146">
        <f t="shared" si="24"/>
        <v>0</v>
      </c>
      <c r="H533" s="141" t="str">
        <f t="shared" si="25"/>
        <v/>
      </c>
      <c r="J533" s="148" t="str">
        <f>IFERROR(SUMIFS(当年实际!$V:$V,当年实际!$H:$H,$B533,当年实际!$C:$C,"&gt;="&amp;DATE(YEAR(主页!$D$2),1,1),当年实际!$C:$C,"&lt;="&amp;EOMONTH(DATE(YEAR(主页!$D$2),MONTH(主页!$D$2),1),0))/SUMIFS(当年实际!$P:$P,当年实际!$H:$H,$B533,当年实际!$C:$C,"&gt;="&amp;DATE(YEAR(主页!$D$2),1,1),当年实际!$C:$C,"&lt;="&amp;EOMONTH(DATE(YEAR(主页!$D$2),MONTH(主页!$D$2),1),0)),"")</f>
        <v/>
      </c>
    </row>
    <row r="534" spans="1:10" x14ac:dyDescent="0.3">
      <c r="A534" s="135"/>
      <c r="B534" s="136"/>
      <c r="C534" s="138"/>
      <c r="D534" s="139"/>
      <c r="E534" s="141" t="str">
        <f t="shared" si="26"/>
        <v/>
      </c>
      <c r="F534" s="144"/>
      <c r="G534" s="146">
        <f t="shared" si="24"/>
        <v>0</v>
      </c>
      <c r="H534" s="141" t="str">
        <f t="shared" si="25"/>
        <v/>
      </c>
      <c r="J534" s="148" t="str">
        <f>IFERROR(SUMIFS(当年实际!$V:$V,当年实际!$H:$H,$B534,当年实际!$C:$C,"&gt;="&amp;DATE(YEAR(主页!$D$2),1,1),当年实际!$C:$C,"&lt;="&amp;EOMONTH(DATE(YEAR(主页!$D$2),MONTH(主页!$D$2),1),0))/SUMIFS(当年实际!$P:$P,当年实际!$H:$H,$B534,当年实际!$C:$C,"&gt;="&amp;DATE(YEAR(主页!$D$2),1,1),当年实际!$C:$C,"&lt;="&amp;EOMONTH(DATE(YEAR(主页!$D$2),MONTH(主页!$D$2),1),0)),"")</f>
        <v/>
      </c>
    </row>
    <row r="535" spans="1:10" x14ac:dyDescent="0.3">
      <c r="A535" s="135"/>
      <c r="B535" s="136"/>
      <c r="C535" s="138"/>
      <c r="D535" s="139"/>
      <c r="E535" s="141" t="str">
        <f t="shared" si="26"/>
        <v/>
      </c>
      <c r="F535" s="144"/>
      <c r="G535" s="146">
        <f t="shared" si="24"/>
        <v>0</v>
      </c>
      <c r="H535" s="141" t="str">
        <f t="shared" si="25"/>
        <v/>
      </c>
      <c r="J535" s="148" t="str">
        <f>IFERROR(SUMIFS(当年实际!$V:$V,当年实际!$H:$H,$B535,当年实际!$C:$C,"&gt;="&amp;DATE(YEAR(主页!$D$2),1,1),当年实际!$C:$C,"&lt;="&amp;EOMONTH(DATE(YEAR(主页!$D$2),MONTH(主页!$D$2),1),0))/SUMIFS(当年实际!$P:$P,当年实际!$H:$H,$B535,当年实际!$C:$C,"&gt;="&amp;DATE(YEAR(主页!$D$2),1,1),当年实际!$C:$C,"&lt;="&amp;EOMONTH(DATE(YEAR(主页!$D$2),MONTH(主页!$D$2),1),0)),"")</f>
        <v/>
      </c>
    </row>
    <row r="536" spans="1:10" x14ac:dyDescent="0.3">
      <c r="A536" s="135"/>
      <c r="B536" s="136"/>
      <c r="C536" s="138"/>
      <c r="D536" s="139"/>
      <c r="E536" s="141" t="str">
        <f t="shared" si="26"/>
        <v/>
      </c>
      <c r="F536" s="144"/>
      <c r="G536" s="146">
        <f t="shared" si="24"/>
        <v>0</v>
      </c>
      <c r="H536" s="141" t="str">
        <f t="shared" si="25"/>
        <v/>
      </c>
      <c r="J536" s="148" t="str">
        <f>IFERROR(SUMIFS(当年实际!$V:$V,当年实际!$H:$H,$B536,当年实际!$C:$C,"&gt;="&amp;DATE(YEAR(主页!$D$2),1,1),当年实际!$C:$C,"&lt;="&amp;EOMONTH(DATE(YEAR(主页!$D$2),MONTH(主页!$D$2),1),0))/SUMIFS(当年实际!$P:$P,当年实际!$H:$H,$B536,当年实际!$C:$C,"&gt;="&amp;DATE(YEAR(主页!$D$2),1,1),当年实际!$C:$C,"&lt;="&amp;EOMONTH(DATE(YEAR(主页!$D$2),MONTH(主页!$D$2),1),0)),"")</f>
        <v/>
      </c>
    </row>
    <row r="537" spans="1:10" x14ac:dyDescent="0.3">
      <c r="A537" s="135"/>
      <c r="B537" s="136"/>
      <c r="C537" s="138"/>
      <c r="D537" s="139"/>
      <c r="E537" s="141" t="str">
        <f t="shared" si="26"/>
        <v/>
      </c>
      <c r="F537" s="144"/>
      <c r="G537" s="146">
        <f t="shared" si="24"/>
        <v>0</v>
      </c>
      <c r="H537" s="141" t="str">
        <f t="shared" si="25"/>
        <v/>
      </c>
      <c r="J537" s="148" t="str">
        <f>IFERROR(SUMIFS(当年实际!$V:$V,当年实际!$H:$H,$B537,当年实际!$C:$C,"&gt;="&amp;DATE(YEAR(主页!$D$2),1,1),当年实际!$C:$C,"&lt;="&amp;EOMONTH(DATE(YEAR(主页!$D$2),MONTH(主页!$D$2),1),0))/SUMIFS(当年实际!$P:$P,当年实际!$H:$H,$B537,当年实际!$C:$C,"&gt;="&amp;DATE(YEAR(主页!$D$2),1,1),当年实际!$C:$C,"&lt;="&amp;EOMONTH(DATE(YEAR(主页!$D$2),MONTH(主页!$D$2),1),0)),"")</f>
        <v/>
      </c>
    </row>
    <row r="538" spans="1:10" x14ac:dyDescent="0.3">
      <c r="A538" s="135"/>
      <c r="B538" s="136"/>
      <c r="C538" s="138"/>
      <c r="D538" s="139"/>
      <c r="E538" s="141" t="str">
        <f t="shared" si="26"/>
        <v/>
      </c>
      <c r="F538" s="144"/>
      <c r="G538" s="146">
        <f t="shared" si="24"/>
        <v>0</v>
      </c>
      <c r="H538" s="141" t="str">
        <f t="shared" si="25"/>
        <v/>
      </c>
      <c r="J538" s="148" t="str">
        <f>IFERROR(SUMIFS(当年实际!$V:$V,当年实际!$H:$H,$B538,当年实际!$C:$C,"&gt;="&amp;DATE(YEAR(主页!$D$2),1,1),当年实际!$C:$C,"&lt;="&amp;EOMONTH(DATE(YEAR(主页!$D$2),MONTH(主页!$D$2),1),0))/SUMIFS(当年实际!$P:$P,当年实际!$H:$H,$B538,当年实际!$C:$C,"&gt;="&amp;DATE(YEAR(主页!$D$2),1,1),当年实际!$C:$C,"&lt;="&amp;EOMONTH(DATE(YEAR(主页!$D$2),MONTH(主页!$D$2),1),0)),"")</f>
        <v/>
      </c>
    </row>
    <row r="539" spans="1:10" x14ac:dyDescent="0.3">
      <c r="A539" s="135"/>
      <c r="B539" s="136"/>
      <c r="C539" s="138"/>
      <c r="D539" s="139"/>
      <c r="E539" s="141" t="str">
        <f t="shared" si="26"/>
        <v/>
      </c>
      <c r="F539" s="144"/>
      <c r="G539" s="146">
        <f t="shared" si="24"/>
        <v>0</v>
      </c>
      <c r="H539" s="141" t="str">
        <f t="shared" si="25"/>
        <v/>
      </c>
      <c r="J539" s="148" t="str">
        <f>IFERROR(SUMIFS(当年实际!$V:$V,当年实际!$H:$H,$B539,当年实际!$C:$C,"&gt;="&amp;DATE(YEAR(主页!$D$2),1,1),当年实际!$C:$C,"&lt;="&amp;EOMONTH(DATE(YEAR(主页!$D$2),MONTH(主页!$D$2),1),0))/SUMIFS(当年实际!$P:$P,当年实际!$H:$H,$B539,当年实际!$C:$C,"&gt;="&amp;DATE(YEAR(主页!$D$2),1,1),当年实际!$C:$C,"&lt;="&amp;EOMONTH(DATE(YEAR(主页!$D$2),MONTH(主页!$D$2),1),0)),"")</f>
        <v/>
      </c>
    </row>
    <row r="540" spans="1:10" x14ac:dyDescent="0.3">
      <c r="A540" s="135"/>
      <c r="B540" s="136"/>
      <c r="C540" s="138"/>
      <c r="D540" s="139"/>
      <c r="E540" s="141" t="str">
        <f t="shared" si="26"/>
        <v/>
      </c>
      <c r="F540" s="144"/>
      <c r="G540" s="146">
        <f t="shared" si="24"/>
        <v>0</v>
      </c>
      <c r="H540" s="141" t="str">
        <f t="shared" si="25"/>
        <v/>
      </c>
      <c r="J540" s="148" t="str">
        <f>IFERROR(SUMIFS(当年实际!$V:$V,当年实际!$H:$H,$B540,当年实际!$C:$C,"&gt;="&amp;DATE(YEAR(主页!$D$2),1,1),当年实际!$C:$C,"&lt;="&amp;EOMONTH(DATE(YEAR(主页!$D$2),MONTH(主页!$D$2),1),0))/SUMIFS(当年实际!$P:$P,当年实际!$H:$H,$B540,当年实际!$C:$C,"&gt;="&amp;DATE(YEAR(主页!$D$2),1,1),当年实际!$C:$C,"&lt;="&amp;EOMONTH(DATE(YEAR(主页!$D$2),MONTH(主页!$D$2),1),0)),"")</f>
        <v/>
      </c>
    </row>
    <row r="541" spans="1:10" x14ac:dyDescent="0.3">
      <c r="A541" s="135"/>
      <c r="B541" s="136"/>
      <c r="C541" s="138"/>
      <c r="D541" s="139"/>
      <c r="E541" s="141" t="str">
        <f t="shared" si="26"/>
        <v/>
      </c>
      <c r="F541" s="144"/>
      <c r="G541" s="146">
        <f t="shared" si="24"/>
        <v>0</v>
      </c>
      <c r="H541" s="141" t="str">
        <f t="shared" si="25"/>
        <v/>
      </c>
      <c r="J541" s="148" t="str">
        <f>IFERROR(SUMIFS(当年实际!$V:$V,当年实际!$H:$H,$B541,当年实际!$C:$C,"&gt;="&amp;DATE(YEAR(主页!$D$2),1,1),当年实际!$C:$C,"&lt;="&amp;EOMONTH(DATE(YEAR(主页!$D$2),MONTH(主页!$D$2),1),0))/SUMIFS(当年实际!$P:$P,当年实际!$H:$H,$B541,当年实际!$C:$C,"&gt;="&amp;DATE(YEAR(主页!$D$2),1,1),当年实际!$C:$C,"&lt;="&amp;EOMONTH(DATE(YEAR(主页!$D$2),MONTH(主页!$D$2),1),0)),"")</f>
        <v/>
      </c>
    </row>
    <row r="542" spans="1:10" x14ac:dyDescent="0.3">
      <c r="A542" s="135"/>
      <c r="B542" s="136"/>
      <c r="C542" s="138"/>
      <c r="D542" s="139"/>
      <c r="E542" s="141" t="str">
        <f t="shared" si="26"/>
        <v/>
      </c>
      <c r="F542" s="144"/>
      <c r="G542" s="146">
        <f t="shared" si="24"/>
        <v>0</v>
      </c>
      <c r="H542" s="141" t="str">
        <f t="shared" si="25"/>
        <v/>
      </c>
      <c r="J542" s="148" t="str">
        <f>IFERROR(SUMIFS(当年实际!$V:$V,当年实际!$H:$H,$B542,当年实际!$C:$C,"&gt;="&amp;DATE(YEAR(主页!$D$2),1,1),当年实际!$C:$C,"&lt;="&amp;EOMONTH(DATE(YEAR(主页!$D$2),MONTH(主页!$D$2),1),0))/SUMIFS(当年实际!$P:$P,当年实际!$H:$H,$B542,当年实际!$C:$C,"&gt;="&amp;DATE(YEAR(主页!$D$2),1,1),当年实际!$C:$C,"&lt;="&amp;EOMONTH(DATE(YEAR(主页!$D$2),MONTH(主页!$D$2),1),0)),"")</f>
        <v/>
      </c>
    </row>
    <row r="543" spans="1:10" x14ac:dyDescent="0.3">
      <c r="A543" s="135"/>
      <c r="B543" s="136"/>
      <c r="C543" s="138"/>
      <c r="D543" s="139"/>
      <c r="E543" s="141" t="str">
        <f t="shared" si="26"/>
        <v/>
      </c>
      <c r="F543" s="144"/>
      <c r="G543" s="146">
        <f t="shared" si="24"/>
        <v>0</v>
      </c>
      <c r="H543" s="141" t="str">
        <f t="shared" si="25"/>
        <v/>
      </c>
      <c r="J543" s="148" t="str">
        <f>IFERROR(SUMIFS(当年实际!$V:$V,当年实际!$H:$H,$B543,当年实际!$C:$C,"&gt;="&amp;DATE(YEAR(主页!$D$2),1,1),当年实际!$C:$C,"&lt;="&amp;EOMONTH(DATE(YEAR(主页!$D$2),MONTH(主页!$D$2),1),0))/SUMIFS(当年实际!$P:$P,当年实际!$H:$H,$B543,当年实际!$C:$C,"&gt;="&amp;DATE(YEAR(主页!$D$2),1,1),当年实际!$C:$C,"&lt;="&amp;EOMONTH(DATE(YEAR(主页!$D$2),MONTH(主页!$D$2),1),0)),"")</f>
        <v/>
      </c>
    </row>
    <row r="544" spans="1:10" x14ac:dyDescent="0.3">
      <c r="A544" s="135"/>
      <c r="B544" s="136"/>
      <c r="C544" s="138"/>
      <c r="D544" s="139"/>
      <c r="E544" s="141" t="str">
        <f t="shared" si="26"/>
        <v/>
      </c>
      <c r="F544" s="144"/>
      <c r="G544" s="146">
        <f t="shared" si="24"/>
        <v>0</v>
      </c>
      <c r="H544" s="141" t="str">
        <f t="shared" si="25"/>
        <v/>
      </c>
      <c r="J544" s="148" t="str">
        <f>IFERROR(SUMIFS(当年实际!$V:$V,当年实际!$H:$H,$B544,当年实际!$C:$C,"&gt;="&amp;DATE(YEAR(主页!$D$2),1,1),当年实际!$C:$C,"&lt;="&amp;EOMONTH(DATE(YEAR(主页!$D$2),MONTH(主页!$D$2),1),0))/SUMIFS(当年实际!$P:$P,当年实际!$H:$H,$B544,当年实际!$C:$C,"&gt;="&amp;DATE(YEAR(主页!$D$2),1,1),当年实际!$C:$C,"&lt;="&amp;EOMONTH(DATE(YEAR(主页!$D$2),MONTH(主页!$D$2),1),0)),"")</f>
        <v/>
      </c>
    </row>
    <row r="545" spans="1:10" x14ac:dyDescent="0.3">
      <c r="A545" s="135"/>
      <c r="B545" s="136"/>
      <c r="C545" s="138"/>
      <c r="D545" s="139"/>
      <c r="E545" s="141" t="str">
        <f t="shared" si="26"/>
        <v/>
      </c>
      <c r="F545" s="144"/>
      <c r="G545" s="146">
        <f t="shared" si="24"/>
        <v>0</v>
      </c>
      <c r="H545" s="141" t="str">
        <f t="shared" si="25"/>
        <v/>
      </c>
      <c r="J545" s="148" t="str">
        <f>IFERROR(SUMIFS(当年实际!$V:$V,当年实际!$H:$H,$B545,当年实际!$C:$C,"&gt;="&amp;DATE(YEAR(主页!$D$2),1,1),当年实际!$C:$C,"&lt;="&amp;EOMONTH(DATE(YEAR(主页!$D$2),MONTH(主页!$D$2),1),0))/SUMIFS(当年实际!$P:$P,当年实际!$H:$H,$B545,当年实际!$C:$C,"&gt;="&amp;DATE(YEAR(主页!$D$2),1,1),当年实际!$C:$C,"&lt;="&amp;EOMONTH(DATE(YEAR(主页!$D$2),MONTH(主页!$D$2),1),0)),"")</f>
        <v/>
      </c>
    </row>
    <row r="546" spans="1:10" x14ac:dyDescent="0.3">
      <c r="A546" s="135"/>
      <c r="B546" s="136"/>
      <c r="C546" s="138"/>
      <c r="D546" s="139"/>
      <c r="E546" s="141" t="str">
        <f t="shared" si="26"/>
        <v/>
      </c>
      <c r="F546" s="144"/>
      <c r="G546" s="146">
        <f t="shared" si="24"/>
        <v>0</v>
      </c>
      <c r="H546" s="141" t="str">
        <f t="shared" si="25"/>
        <v/>
      </c>
      <c r="J546" s="148" t="str">
        <f>IFERROR(SUMIFS(当年实际!$V:$V,当年实际!$H:$H,$B546,当年实际!$C:$C,"&gt;="&amp;DATE(YEAR(主页!$D$2),1,1),当年实际!$C:$C,"&lt;="&amp;EOMONTH(DATE(YEAR(主页!$D$2),MONTH(主页!$D$2),1),0))/SUMIFS(当年实际!$P:$P,当年实际!$H:$H,$B546,当年实际!$C:$C,"&gt;="&amp;DATE(YEAR(主页!$D$2),1,1),当年实际!$C:$C,"&lt;="&amp;EOMONTH(DATE(YEAR(主页!$D$2),MONTH(主页!$D$2),1),0)),"")</f>
        <v/>
      </c>
    </row>
    <row r="547" spans="1:10" x14ac:dyDescent="0.3">
      <c r="A547" s="135"/>
      <c r="B547" s="136"/>
      <c r="C547" s="138"/>
      <c r="D547" s="139"/>
      <c r="E547" s="141" t="str">
        <f t="shared" si="26"/>
        <v/>
      </c>
      <c r="F547" s="144"/>
      <c r="G547" s="146">
        <f t="shared" si="24"/>
        <v>0</v>
      </c>
      <c r="H547" s="141" t="str">
        <f t="shared" si="25"/>
        <v/>
      </c>
      <c r="J547" s="148" t="str">
        <f>IFERROR(SUMIFS(当年实际!$V:$V,当年实际!$H:$H,$B547,当年实际!$C:$C,"&gt;="&amp;DATE(YEAR(主页!$D$2),1,1),当年实际!$C:$C,"&lt;="&amp;EOMONTH(DATE(YEAR(主页!$D$2),MONTH(主页!$D$2),1),0))/SUMIFS(当年实际!$P:$P,当年实际!$H:$H,$B547,当年实际!$C:$C,"&gt;="&amp;DATE(YEAR(主页!$D$2),1,1),当年实际!$C:$C,"&lt;="&amp;EOMONTH(DATE(YEAR(主页!$D$2),MONTH(主页!$D$2),1),0)),"")</f>
        <v/>
      </c>
    </row>
    <row r="548" spans="1:10" x14ac:dyDescent="0.3">
      <c r="A548" s="135"/>
      <c r="B548" s="136"/>
      <c r="C548" s="138"/>
      <c r="D548" s="139"/>
      <c r="E548" s="141" t="str">
        <f t="shared" si="26"/>
        <v/>
      </c>
      <c r="F548" s="144"/>
      <c r="G548" s="146">
        <f t="shared" si="24"/>
        <v>0</v>
      </c>
      <c r="H548" s="141" t="str">
        <f t="shared" si="25"/>
        <v/>
      </c>
      <c r="J548" s="148" t="str">
        <f>IFERROR(SUMIFS(当年实际!$V:$V,当年实际!$H:$H,$B548,当年实际!$C:$C,"&gt;="&amp;DATE(YEAR(主页!$D$2),1,1),当年实际!$C:$C,"&lt;="&amp;EOMONTH(DATE(YEAR(主页!$D$2),MONTH(主页!$D$2),1),0))/SUMIFS(当年实际!$P:$P,当年实际!$H:$H,$B548,当年实际!$C:$C,"&gt;="&amp;DATE(YEAR(主页!$D$2),1,1),当年实际!$C:$C,"&lt;="&amp;EOMONTH(DATE(YEAR(主页!$D$2),MONTH(主页!$D$2),1),0)),"")</f>
        <v/>
      </c>
    </row>
    <row r="549" spans="1:10" x14ac:dyDescent="0.3">
      <c r="A549" s="135"/>
      <c r="B549" s="136"/>
      <c r="C549" s="138"/>
      <c r="D549" s="139"/>
      <c r="E549" s="141" t="str">
        <f t="shared" si="26"/>
        <v/>
      </c>
      <c r="F549" s="144"/>
      <c r="G549" s="146">
        <f t="shared" si="24"/>
        <v>0</v>
      </c>
      <c r="H549" s="141" t="str">
        <f t="shared" si="25"/>
        <v/>
      </c>
      <c r="J549" s="148" t="str">
        <f>IFERROR(SUMIFS(当年实际!$V:$V,当年实际!$H:$H,$B549,当年实际!$C:$C,"&gt;="&amp;DATE(YEAR(主页!$D$2),1,1),当年实际!$C:$C,"&lt;="&amp;EOMONTH(DATE(YEAR(主页!$D$2),MONTH(主页!$D$2),1),0))/SUMIFS(当年实际!$P:$P,当年实际!$H:$H,$B549,当年实际!$C:$C,"&gt;="&amp;DATE(YEAR(主页!$D$2),1,1),当年实际!$C:$C,"&lt;="&amp;EOMONTH(DATE(YEAR(主页!$D$2),MONTH(主页!$D$2),1),0)),"")</f>
        <v/>
      </c>
    </row>
    <row r="550" spans="1:10" x14ac:dyDescent="0.3">
      <c r="A550" s="135"/>
      <c r="B550" s="136"/>
      <c r="C550" s="138"/>
      <c r="D550" s="139"/>
      <c r="E550" s="141" t="str">
        <f t="shared" si="26"/>
        <v/>
      </c>
      <c r="F550" s="144"/>
      <c r="G550" s="146">
        <f t="shared" si="24"/>
        <v>0</v>
      </c>
      <c r="H550" s="141" t="str">
        <f t="shared" si="25"/>
        <v/>
      </c>
      <c r="J550" s="148" t="str">
        <f>IFERROR(SUMIFS(当年实际!$V:$V,当年实际!$H:$H,$B550,当年实际!$C:$C,"&gt;="&amp;DATE(YEAR(主页!$D$2),1,1),当年实际!$C:$C,"&lt;="&amp;EOMONTH(DATE(YEAR(主页!$D$2),MONTH(主页!$D$2),1),0))/SUMIFS(当年实际!$P:$P,当年实际!$H:$H,$B550,当年实际!$C:$C,"&gt;="&amp;DATE(YEAR(主页!$D$2),1,1),当年实际!$C:$C,"&lt;="&amp;EOMONTH(DATE(YEAR(主页!$D$2),MONTH(主页!$D$2),1),0)),"")</f>
        <v/>
      </c>
    </row>
    <row r="551" spans="1:10" x14ac:dyDescent="0.3">
      <c r="A551" s="135"/>
      <c r="B551" s="136"/>
      <c r="C551" s="138"/>
      <c r="D551" s="139"/>
      <c r="E551" s="141" t="str">
        <f t="shared" si="26"/>
        <v/>
      </c>
      <c r="F551" s="144"/>
      <c r="G551" s="146">
        <f t="shared" si="24"/>
        <v>0</v>
      </c>
      <c r="H551" s="141" t="str">
        <f t="shared" si="25"/>
        <v/>
      </c>
      <c r="J551" s="148" t="str">
        <f>IFERROR(SUMIFS(当年实际!$V:$V,当年实际!$H:$H,$B551,当年实际!$C:$C,"&gt;="&amp;DATE(YEAR(主页!$D$2),1,1),当年实际!$C:$C,"&lt;="&amp;EOMONTH(DATE(YEAR(主页!$D$2),MONTH(主页!$D$2),1),0))/SUMIFS(当年实际!$P:$P,当年实际!$H:$H,$B551,当年实际!$C:$C,"&gt;="&amp;DATE(YEAR(主页!$D$2),1,1),当年实际!$C:$C,"&lt;="&amp;EOMONTH(DATE(YEAR(主页!$D$2),MONTH(主页!$D$2),1),0)),"")</f>
        <v/>
      </c>
    </row>
    <row r="552" spans="1:10" x14ac:dyDescent="0.3">
      <c r="A552" s="135"/>
      <c r="B552" s="136"/>
      <c r="C552" s="138"/>
      <c r="D552" s="139"/>
      <c r="E552" s="141" t="str">
        <f t="shared" si="26"/>
        <v/>
      </c>
      <c r="F552" s="144"/>
      <c r="G552" s="146">
        <f t="shared" si="24"/>
        <v>0</v>
      </c>
      <c r="H552" s="141" t="str">
        <f t="shared" si="25"/>
        <v/>
      </c>
      <c r="J552" s="148" t="str">
        <f>IFERROR(SUMIFS(当年实际!$V:$V,当年实际!$H:$H,$B552,当年实际!$C:$C,"&gt;="&amp;DATE(YEAR(主页!$D$2),1,1),当年实际!$C:$C,"&lt;="&amp;EOMONTH(DATE(YEAR(主页!$D$2),MONTH(主页!$D$2),1),0))/SUMIFS(当年实际!$P:$P,当年实际!$H:$H,$B552,当年实际!$C:$C,"&gt;="&amp;DATE(YEAR(主页!$D$2),1,1),当年实际!$C:$C,"&lt;="&amp;EOMONTH(DATE(YEAR(主页!$D$2),MONTH(主页!$D$2),1),0)),"")</f>
        <v/>
      </c>
    </row>
    <row r="553" spans="1:10" x14ac:dyDescent="0.3">
      <c r="A553" s="135"/>
      <c r="B553" s="136"/>
      <c r="C553" s="138"/>
      <c r="D553" s="139"/>
      <c r="E553" s="141" t="str">
        <f t="shared" si="26"/>
        <v/>
      </c>
      <c r="F553" s="144"/>
      <c r="G553" s="146">
        <f t="shared" si="24"/>
        <v>0</v>
      </c>
      <c r="H553" s="141" t="str">
        <f t="shared" si="25"/>
        <v/>
      </c>
      <c r="J553" s="148" t="str">
        <f>IFERROR(SUMIFS(当年实际!$V:$V,当年实际!$H:$H,$B553,当年实际!$C:$C,"&gt;="&amp;DATE(YEAR(主页!$D$2),1,1),当年实际!$C:$C,"&lt;="&amp;EOMONTH(DATE(YEAR(主页!$D$2),MONTH(主页!$D$2),1),0))/SUMIFS(当年实际!$P:$P,当年实际!$H:$H,$B553,当年实际!$C:$C,"&gt;="&amp;DATE(YEAR(主页!$D$2),1,1),当年实际!$C:$C,"&lt;="&amp;EOMONTH(DATE(YEAR(主页!$D$2),MONTH(主页!$D$2),1),0)),"")</f>
        <v/>
      </c>
    </row>
    <row r="554" spans="1:10" x14ac:dyDescent="0.3">
      <c r="A554" s="135"/>
      <c r="B554" s="136"/>
      <c r="C554" s="138"/>
      <c r="D554" s="139"/>
      <c r="E554" s="141" t="str">
        <f t="shared" si="26"/>
        <v/>
      </c>
      <c r="F554" s="144"/>
      <c r="G554" s="146">
        <f t="shared" si="24"/>
        <v>0</v>
      </c>
      <c r="H554" s="141" t="str">
        <f t="shared" si="25"/>
        <v/>
      </c>
      <c r="J554" s="148" t="str">
        <f>IFERROR(SUMIFS(当年实际!$V:$V,当年实际!$H:$H,$B554,当年实际!$C:$C,"&gt;="&amp;DATE(YEAR(主页!$D$2),1,1),当年实际!$C:$C,"&lt;="&amp;EOMONTH(DATE(YEAR(主页!$D$2),MONTH(主页!$D$2),1),0))/SUMIFS(当年实际!$P:$P,当年实际!$H:$H,$B554,当年实际!$C:$C,"&gt;="&amp;DATE(YEAR(主页!$D$2),1,1),当年实际!$C:$C,"&lt;="&amp;EOMONTH(DATE(YEAR(主页!$D$2),MONTH(主页!$D$2),1),0)),"")</f>
        <v/>
      </c>
    </row>
    <row r="555" spans="1:10" x14ac:dyDescent="0.3">
      <c r="A555" s="135"/>
      <c r="B555" s="136"/>
      <c r="C555" s="138"/>
      <c r="D555" s="139"/>
      <c r="E555" s="141" t="str">
        <f t="shared" si="26"/>
        <v/>
      </c>
      <c r="F555" s="144"/>
      <c r="G555" s="146">
        <f t="shared" si="24"/>
        <v>0</v>
      </c>
      <c r="H555" s="141" t="str">
        <f t="shared" si="25"/>
        <v/>
      </c>
      <c r="J555" s="148" t="str">
        <f>IFERROR(SUMIFS(当年实际!$V:$V,当年实际!$H:$H,$B555,当年实际!$C:$C,"&gt;="&amp;DATE(YEAR(主页!$D$2),1,1),当年实际!$C:$C,"&lt;="&amp;EOMONTH(DATE(YEAR(主页!$D$2),MONTH(主页!$D$2),1),0))/SUMIFS(当年实际!$P:$P,当年实际!$H:$H,$B555,当年实际!$C:$C,"&gt;="&amp;DATE(YEAR(主页!$D$2),1,1),当年实际!$C:$C,"&lt;="&amp;EOMONTH(DATE(YEAR(主页!$D$2),MONTH(主页!$D$2),1),0)),"")</f>
        <v/>
      </c>
    </row>
    <row r="556" spans="1:10" x14ac:dyDescent="0.3">
      <c r="A556" s="135"/>
      <c r="B556" s="136"/>
      <c r="C556" s="138"/>
      <c r="D556" s="139"/>
      <c r="E556" s="141" t="str">
        <f t="shared" si="26"/>
        <v/>
      </c>
      <c r="F556" s="144"/>
      <c r="G556" s="146">
        <f t="shared" si="24"/>
        <v>0</v>
      </c>
      <c r="H556" s="141" t="str">
        <f t="shared" si="25"/>
        <v/>
      </c>
      <c r="J556" s="148" t="str">
        <f>IFERROR(SUMIFS(当年实际!$V:$V,当年实际!$H:$H,$B556,当年实际!$C:$C,"&gt;="&amp;DATE(YEAR(主页!$D$2),1,1),当年实际!$C:$C,"&lt;="&amp;EOMONTH(DATE(YEAR(主页!$D$2),MONTH(主页!$D$2),1),0))/SUMIFS(当年实际!$P:$P,当年实际!$H:$H,$B556,当年实际!$C:$C,"&gt;="&amp;DATE(YEAR(主页!$D$2),1,1),当年实际!$C:$C,"&lt;="&amp;EOMONTH(DATE(YEAR(主页!$D$2),MONTH(主页!$D$2),1),0)),"")</f>
        <v/>
      </c>
    </row>
    <row r="557" spans="1:10" x14ac:dyDescent="0.3">
      <c r="A557" s="135"/>
      <c r="B557" s="136"/>
      <c r="C557" s="138"/>
      <c r="D557" s="139"/>
      <c r="E557" s="141" t="str">
        <f t="shared" si="26"/>
        <v/>
      </c>
      <c r="F557" s="144"/>
      <c r="G557" s="146">
        <f t="shared" si="24"/>
        <v>0</v>
      </c>
      <c r="H557" s="141" t="str">
        <f t="shared" si="25"/>
        <v/>
      </c>
      <c r="J557" s="148" t="str">
        <f>IFERROR(SUMIFS(当年实际!$V:$V,当年实际!$H:$H,$B557,当年实际!$C:$C,"&gt;="&amp;DATE(YEAR(主页!$D$2),1,1),当年实际!$C:$C,"&lt;="&amp;EOMONTH(DATE(YEAR(主页!$D$2),MONTH(主页!$D$2),1),0))/SUMIFS(当年实际!$P:$P,当年实际!$H:$H,$B557,当年实际!$C:$C,"&gt;="&amp;DATE(YEAR(主页!$D$2),1,1),当年实际!$C:$C,"&lt;="&amp;EOMONTH(DATE(YEAR(主页!$D$2),MONTH(主页!$D$2),1),0)),"")</f>
        <v/>
      </c>
    </row>
    <row r="558" spans="1:10" x14ac:dyDescent="0.3">
      <c r="A558" s="135"/>
      <c r="B558" s="136"/>
      <c r="C558" s="138"/>
      <c r="D558" s="139"/>
      <c r="E558" s="141" t="str">
        <f t="shared" si="26"/>
        <v/>
      </c>
      <c r="F558" s="144"/>
      <c r="G558" s="146">
        <f t="shared" si="24"/>
        <v>0</v>
      </c>
      <c r="H558" s="141" t="str">
        <f t="shared" si="25"/>
        <v/>
      </c>
      <c r="J558" s="148" t="str">
        <f>IFERROR(SUMIFS(当年实际!$V:$V,当年实际!$H:$H,$B558,当年实际!$C:$C,"&gt;="&amp;DATE(YEAR(主页!$D$2),1,1),当年实际!$C:$C,"&lt;="&amp;EOMONTH(DATE(YEAR(主页!$D$2),MONTH(主页!$D$2),1),0))/SUMIFS(当年实际!$P:$P,当年实际!$H:$H,$B558,当年实际!$C:$C,"&gt;="&amp;DATE(YEAR(主页!$D$2),1,1),当年实际!$C:$C,"&lt;="&amp;EOMONTH(DATE(YEAR(主页!$D$2),MONTH(主页!$D$2),1),0)),"")</f>
        <v/>
      </c>
    </row>
    <row r="559" spans="1:10" x14ac:dyDescent="0.3">
      <c r="A559" s="135"/>
      <c r="B559" s="136"/>
      <c r="C559" s="138"/>
      <c r="D559" s="139"/>
      <c r="E559" s="141" t="str">
        <f t="shared" si="26"/>
        <v/>
      </c>
      <c r="F559" s="144"/>
      <c r="G559" s="146">
        <f t="shared" si="24"/>
        <v>0</v>
      </c>
      <c r="H559" s="141" t="str">
        <f t="shared" si="25"/>
        <v/>
      </c>
      <c r="J559" s="148" t="str">
        <f>IFERROR(SUMIFS(当年实际!$V:$V,当年实际!$H:$H,$B559,当年实际!$C:$C,"&gt;="&amp;DATE(YEAR(主页!$D$2),1,1),当年实际!$C:$C,"&lt;="&amp;EOMONTH(DATE(YEAR(主页!$D$2),MONTH(主页!$D$2),1),0))/SUMIFS(当年实际!$P:$P,当年实际!$H:$H,$B559,当年实际!$C:$C,"&gt;="&amp;DATE(YEAR(主页!$D$2),1,1),当年实际!$C:$C,"&lt;="&amp;EOMONTH(DATE(YEAR(主页!$D$2),MONTH(主页!$D$2),1),0)),"")</f>
        <v/>
      </c>
    </row>
    <row r="560" spans="1:10" x14ac:dyDescent="0.3">
      <c r="A560" s="135"/>
      <c r="B560" s="136"/>
      <c r="C560" s="138"/>
      <c r="D560" s="139"/>
      <c r="E560" s="141" t="str">
        <f t="shared" si="26"/>
        <v/>
      </c>
      <c r="F560" s="144"/>
      <c r="G560" s="146">
        <f t="shared" si="24"/>
        <v>0</v>
      </c>
      <c r="H560" s="141" t="str">
        <f t="shared" si="25"/>
        <v/>
      </c>
      <c r="J560" s="148" t="str">
        <f>IFERROR(SUMIFS(当年实际!$V:$V,当年实际!$H:$H,$B560,当年实际!$C:$C,"&gt;="&amp;DATE(YEAR(主页!$D$2),1,1),当年实际!$C:$C,"&lt;="&amp;EOMONTH(DATE(YEAR(主页!$D$2),MONTH(主页!$D$2),1),0))/SUMIFS(当年实际!$P:$P,当年实际!$H:$H,$B560,当年实际!$C:$C,"&gt;="&amp;DATE(YEAR(主页!$D$2),1,1),当年实际!$C:$C,"&lt;="&amp;EOMONTH(DATE(YEAR(主页!$D$2),MONTH(主页!$D$2),1),0)),"")</f>
        <v/>
      </c>
    </row>
    <row r="561" spans="1:10" x14ac:dyDescent="0.3">
      <c r="A561" s="135"/>
      <c r="B561" s="136"/>
      <c r="C561" s="138"/>
      <c r="D561" s="139"/>
      <c r="E561" s="141" t="str">
        <f t="shared" si="26"/>
        <v/>
      </c>
      <c r="F561" s="144"/>
      <c r="G561" s="146">
        <f t="shared" si="24"/>
        <v>0</v>
      </c>
      <c r="H561" s="141" t="str">
        <f t="shared" si="25"/>
        <v/>
      </c>
      <c r="J561" s="148" t="str">
        <f>IFERROR(SUMIFS(当年实际!$V:$V,当年实际!$H:$H,$B561,当年实际!$C:$C,"&gt;="&amp;DATE(YEAR(主页!$D$2),1,1),当年实际!$C:$C,"&lt;="&amp;EOMONTH(DATE(YEAR(主页!$D$2),MONTH(主页!$D$2),1),0))/SUMIFS(当年实际!$P:$P,当年实际!$H:$H,$B561,当年实际!$C:$C,"&gt;="&amp;DATE(YEAR(主页!$D$2),1,1),当年实际!$C:$C,"&lt;="&amp;EOMONTH(DATE(YEAR(主页!$D$2),MONTH(主页!$D$2),1),0)),"")</f>
        <v/>
      </c>
    </row>
    <row r="562" spans="1:10" x14ac:dyDescent="0.3">
      <c r="A562" s="135"/>
      <c r="B562" s="136"/>
      <c r="C562" s="138"/>
      <c r="D562" s="139"/>
      <c r="E562" s="141" t="str">
        <f t="shared" si="26"/>
        <v/>
      </c>
      <c r="F562" s="144"/>
      <c r="G562" s="146">
        <f t="shared" si="24"/>
        <v>0</v>
      </c>
      <c r="H562" s="141" t="str">
        <f t="shared" si="25"/>
        <v/>
      </c>
      <c r="J562" s="148" t="str">
        <f>IFERROR(SUMIFS(当年实际!$V:$V,当年实际!$H:$H,$B562,当年实际!$C:$C,"&gt;="&amp;DATE(YEAR(主页!$D$2),1,1),当年实际!$C:$C,"&lt;="&amp;EOMONTH(DATE(YEAR(主页!$D$2),MONTH(主页!$D$2),1),0))/SUMIFS(当年实际!$P:$P,当年实际!$H:$H,$B562,当年实际!$C:$C,"&gt;="&amp;DATE(YEAR(主页!$D$2),1,1),当年实际!$C:$C,"&lt;="&amp;EOMONTH(DATE(YEAR(主页!$D$2),MONTH(主页!$D$2),1),0)),"")</f>
        <v/>
      </c>
    </row>
    <row r="563" spans="1:10" x14ac:dyDescent="0.3">
      <c r="A563" s="135"/>
      <c r="B563" s="136"/>
      <c r="C563" s="138"/>
      <c r="D563" s="139"/>
      <c r="E563" s="141" t="str">
        <f t="shared" si="26"/>
        <v/>
      </c>
      <c r="F563" s="144"/>
      <c r="G563" s="146">
        <f t="shared" si="24"/>
        <v>0</v>
      </c>
      <c r="H563" s="141" t="str">
        <f t="shared" si="25"/>
        <v/>
      </c>
      <c r="J563" s="148" t="str">
        <f>IFERROR(SUMIFS(当年实际!$V:$V,当年实际!$H:$H,$B563,当年实际!$C:$C,"&gt;="&amp;DATE(YEAR(主页!$D$2),1,1),当年实际!$C:$C,"&lt;="&amp;EOMONTH(DATE(YEAR(主页!$D$2),MONTH(主页!$D$2),1),0))/SUMIFS(当年实际!$P:$P,当年实际!$H:$H,$B563,当年实际!$C:$C,"&gt;="&amp;DATE(YEAR(主页!$D$2),1,1),当年实际!$C:$C,"&lt;="&amp;EOMONTH(DATE(YEAR(主页!$D$2),MONTH(主页!$D$2),1),0)),"")</f>
        <v/>
      </c>
    </row>
    <row r="564" spans="1:10" x14ac:dyDescent="0.3">
      <c r="A564" s="135"/>
      <c r="B564" s="136"/>
      <c r="C564" s="138"/>
      <c r="D564" s="139"/>
      <c r="E564" s="141" t="str">
        <f t="shared" si="26"/>
        <v/>
      </c>
      <c r="F564" s="144"/>
      <c r="G564" s="146">
        <f t="shared" si="24"/>
        <v>0</v>
      </c>
      <c r="H564" s="141" t="str">
        <f t="shared" si="25"/>
        <v/>
      </c>
      <c r="J564" s="148" t="str">
        <f>IFERROR(SUMIFS(当年实际!$V:$V,当年实际!$H:$H,$B564,当年实际!$C:$C,"&gt;="&amp;DATE(YEAR(主页!$D$2),1,1),当年实际!$C:$C,"&lt;="&amp;EOMONTH(DATE(YEAR(主页!$D$2),MONTH(主页!$D$2),1),0))/SUMIFS(当年实际!$P:$P,当年实际!$H:$H,$B564,当年实际!$C:$C,"&gt;="&amp;DATE(YEAR(主页!$D$2),1,1),当年实际!$C:$C,"&lt;="&amp;EOMONTH(DATE(YEAR(主页!$D$2),MONTH(主页!$D$2),1),0)),"")</f>
        <v/>
      </c>
    </row>
    <row r="565" spans="1:10" x14ac:dyDescent="0.3">
      <c r="A565" s="135"/>
      <c r="B565" s="136"/>
      <c r="C565" s="138"/>
      <c r="D565" s="139"/>
      <c r="E565" s="141" t="str">
        <f t="shared" si="26"/>
        <v/>
      </c>
      <c r="F565" s="144"/>
      <c r="G565" s="146">
        <f t="shared" si="24"/>
        <v>0</v>
      </c>
      <c r="H565" s="141" t="str">
        <f t="shared" si="25"/>
        <v/>
      </c>
      <c r="J565" s="148" t="str">
        <f>IFERROR(SUMIFS(当年实际!$V:$V,当年实际!$H:$H,$B565,当年实际!$C:$C,"&gt;="&amp;DATE(YEAR(主页!$D$2),1,1),当年实际!$C:$C,"&lt;="&amp;EOMONTH(DATE(YEAR(主页!$D$2),MONTH(主页!$D$2),1),0))/SUMIFS(当年实际!$P:$P,当年实际!$H:$H,$B565,当年实际!$C:$C,"&gt;="&amp;DATE(YEAR(主页!$D$2),1,1),当年实际!$C:$C,"&lt;="&amp;EOMONTH(DATE(YEAR(主页!$D$2),MONTH(主页!$D$2),1),0)),"")</f>
        <v/>
      </c>
    </row>
    <row r="566" spans="1:10" x14ac:dyDescent="0.3">
      <c r="A566" s="135"/>
      <c r="B566" s="136"/>
      <c r="C566" s="138"/>
      <c r="D566" s="139"/>
      <c r="E566" s="141" t="str">
        <f t="shared" si="26"/>
        <v/>
      </c>
      <c r="F566" s="144"/>
      <c r="G566" s="146">
        <f t="shared" si="24"/>
        <v>0</v>
      </c>
      <c r="H566" s="141" t="str">
        <f t="shared" si="25"/>
        <v/>
      </c>
      <c r="J566" s="148" t="str">
        <f>IFERROR(SUMIFS(当年实际!$V:$V,当年实际!$H:$H,$B566,当年实际!$C:$C,"&gt;="&amp;DATE(YEAR(主页!$D$2),1,1),当年实际!$C:$C,"&lt;="&amp;EOMONTH(DATE(YEAR(主页!$D$2),MONTH(主页!$D$2),1),0))/SUMIFS(当年实际!$P:$P,当年实际!$H:$H,$B566,当年实际!$C:$C,"&gt;="&amp;DATE(YEAR(主页!$D$2),1,1),当年实际!$C:$C,"&lt;="&amp;EOMONTH(DATE(YEAR(主页!$D$2),MONTH(主页!$D$2),1),0)),"")</f>
        <v/>
      </c>
    </row>
    <row r="567" spans="1:10" x14ac:dyDescent="0.3">
      <c r="A567" s="135"/>
      <c r="B567" s="136"/>
      <c r="C567" s="138"/>
      <c r="D567" s="139"/>
      <c r="E567" s="141" t="str">
        <f t="shared" si="26"/>
        <v/>
      </c>
      <c r="F567" s="144"/>
      <c r="G567" s="146">
        <f t="shared" si="24"/>
        <v>0</v>
      </c>
      <c r="H567" s="141" t="str">
        <f t="shared" si="25"/>
        <v/>
      </c>
      <c r="J567" s="148" t="str">
        <f>IFERROR(SUMIFS(当年实际!$V:$V,当年实际!$H:$H,$B567,当年实际!$C:$C,"&gt;="&amp;DATE(YEAR(主页!$D$2),1,1),当年实际!$C:$C,"&lt;="&amp;EOMONTH(DATE(YEAR(主页!$D$2),MONTH(主页!$D$2),1),0))/SUMIFS(当年实际!$P:$P,当年实际!$H:$H,$B567,当年实际!$C:$C,"&gt;="&amp;DATE(YEAR(主页!$D$2),1,1),当年实际!$C:$C,"&lt;="&amp;EOMONTH(DATE(YEAR(主页!$D$2),MONTH(主页!$D$2),1),0)),"")</f>
        <v/>
      </c>
    </row>
    <row r="568" spans="1:10" x14ac:dyDescent="0.3">
      <c r="A568" s="135"/>
      <c r="B568" s="136"/>
      <c r="C568" s="138"/>
      <c r="D568" s="139"/>
      <c r="E568" s="141" t="str">
        <f t="shared" si="26"/>
        <v/>
      </c>
      <c r="F568" s="144"/>
      <c r="G568" s="146">
        <f t="shared" si="24"/>
        <v>0</v>
      </c>
      <c r="H568" s="141" t="str">
        <f t="shared" si="25"/>
        <v/>
      </c>
      <c r="J568" s="148" t="str">
        <f>IFERROR(SUMIFS(当年实际!$V:$V,当年实际!$H:$H,$B568,当年实际!$C:$C,"&gt;="&amp;DATE(YEAR(主页!$D$2),1,1),当年实际!$C:$C,"&lt;="&amp;EOMONTH(DATE(YEAR(主页!$D$2),MONTH(主页!$D$2),1),0))/SUMIFS(当年实际!$P:$P,当年实际!$H:$H,$B568,当年实际!$C:$C,"&gt;="&amp;DATE(YEAR(主页!$D$2),1,1),当年实际!$C:$C,"&lt;="&amp;EOMONTH(DATE(YEAR(主页!$D$2),MONTH(主页!$D$2),1),0)),"")</f>
        <v/>
      </c>
    </row>
    <row r="569" spans="1:10" x14ac:dyDescent="0.3">
      <c r="A569" s="135"/>
      <c r="B569" s="136"/>
      <c r="C569" s="138"/>
      <c r="D569" s="139"/>
      <c r="E569" s="141" t="str">
        <f t="shared" si="26"/>
        <v/>
      </c>
      <c r="F569" s="144"/>
      <c r="G569" s="146">
        <f t="shared" si="24"/>
        <v>0</v>
      </c>
      <c r="H569" s="141" t="str">
        <f t="shared" si="25"/>
        <v/>
      </c>
      <c r="J569" s="148" t="str">
        <f>IFERROR(SUMIFS(当年实际!$V:$V,当年实际!$H:$H,$B569,当年实际!$C:$C,"&gt;="&amp;DATE(YEAR(主页!$D$2),1,1),当年实际!$C:$C,"&lt;="&amp;EOMONTH(DATE(YEAR(主页!$D$2),MONTH(主页!$D$2),1),0))/SUMIFS(当年实际!$P:$P,当年实际!$H:$H,$B569,当年实际!$C:$C,"&gt;="&amp;DATE(YEAR(主页!$D$2),1,1),当年实际!$C:$C,"&lt;="&amp;EOMONTH(DATE(YEAR(主页!$D$2),MONTH(主页!$D$2),1),0)),"")</f>
        <v/>
      </c>
    </row>
    <row r="570" spans="1:10" x14ac:dyDescent="0.3">
      <c r="A570" s="135"/>
      <c r="B570" s="136"/>
      <c r="C570" s="138"/>
      <c r="D570" s="139"/>
      <c r="E570" s="141" t="str">
        <f t="shared" si="26"/>
        <v/>
      </c>
      <c r="F570" s="144"/>
      <c r="G570" s="146">
        <f t="shared" si="24"/>
        <v>0</v>
      </c>
      <c r="H570" s="141" t="str">
        <f t="shared" si="25"/>
        <v/>
      </c>
      <c r="J570" s="148" t="str">
        <f>IFERROR(SUMIFS(当年实际!$V:$V,当年实际!$H:$H,$B570,当年实际!$C:$C,"&gt;="&amp;DATE(YEAR(主页!$D$2),1,1),当年实际!$C:$C,"&lt;="&amp;EOMONTH(DATE(YEAR(主页!$D$2),MONTH(主页!$D$2),1),0))/SUMIFS(当年实际!$P:$P,当年实际!$H:$H,$B570,当年实际!$C:$C,"&gt;="&amp;DATE(YEAR(主页!$D$2),1,1),当年实际!$C:$C,"&lt;="&amp;EOMONTH(DATE(YEAR(主页!$D$2),MONTH(主页!$D$2),1),0)),"")</f>
        <v/>
      </c>
    </row>
    <row r="571" spans="1:10" x14ac:dyDescent="0.3">
      <c r="A571" s="135"/>
      <c r="B571" s="136"/>
      <c r="C571" s="138"/>
      <c r="D571" s="139"/>
      <c r="E571" s="141" t="str">
        <f t="shared" si="26"/>
        <v/>
      </c>
      <c r="F571" s="144"/>
      <c r="G571" s="146">
        <f t="shared" si="24"/>
        <v>0</v>
      </c>
      <c r="H571" s="141" t="str">
        <f t="shared" si="25"/>
        <v/>
      </c>
      <c r="J571" s="148" t="str">
        <f>IFERROR(SUMIFS(当年实际!$V:$V,当年实际!$H:$H,$B571,当年实际!$C:$C,"&gt;="&amp;DATE(YEAR(主页!$D$2),1,1),当年实际!$C:$C,"&lt;="&amp;EOMONTH(DATE(YEAR(主页!$D$2),MONTH(主页!$D$2),1),0))/SUMIFS(当年实际!$P:$P,当年实际!$H:$H,$B571,当年实际!$C:$C,"&gt;="&amp;DATE(YEAR(主页!$D$2),1,1),当年实际!$C:$C,"&lt;="&amp;EOMONTH(DATE(YEAR(主页!$D$2),MONTH(主页!$D$2),1),0)),"")</f>
        <v/>
      </c>
    </row>
    <row r="572" spans="1:10" x14ac:dyDescent="0.3">
      <c r="A572" s="135"/>
      <c r="B572" s="136"/>
      <c r="C572" s="138"/>
      <c r="D572" s="139"/>
      <c r="E572" s="141" t="str">
        <f t="shared" si="26"/>
        <v/>
      </c>
      <c r="F572" s="144"/>
      <c r="G572" s="146">
        <f t="shared" si="24"/>
        <v>0</v>
      </c>
      <c r="H572" s="141" t="str">
        <f t="shared" si="25"/>
        <v/>
      </c>
      <c r="J572" s="148" t="str">
        <f>IFERROR(SUMIFS(当年实际!$V:$V,当年实际!$H:$H,$B572,当年实际!$C:$C,"&gt;="&amp;DATE(YEAR(主页!$D$2),1,1),当年实际!$C:$C,"&lt;="&amp;EOMONTH(DATE(YEAR(主页!$D$2),MONTH(主页!$D$2),1),0))/SUMIFS(当年实际!$P:$P,当年实际!$H:$H,$B572,当年实际!$C:$C,"&gt;="&amp;DATE(YEAR(主页!$D$2),1,1),当年实际!$C:$C,"&lt;="&amp;EOMONTH(DATE(YEAR(主页!$D$2),MONTH(主页!$D$2),1),0)),"")</f>
        <v/>
      </c>
    </row>
    <row r="573" spans="1:10" x14ac:dyDescent="0.3">
      <c r="A573" s="135"/>
      <c r="B573" s="136"/>
      <c r="C573" s="138"/>
      <c r="D573" s="139"/>
      <c r="E573" s="141" t="str">
        <f t="shared" si="26"/>
        <v/>
      </c>
      <c r="F573" s="144"/>
      <c r="G573" s="146">
        <f t="shared" si="24"/>
        <v>0</v>
      </c>
      <c r="H573" s="141" t="str">
        <f t="shared" si="25"/>
        <v/>
      </c>
      <c r="J573" s="148" t="str">
        <f>IFERROR(SUMIFS(当年实际!$V:$V,当年实际!$H:$H,$B573,当年实际!$C:$C,"&gt;="&amp;DATE(YEAR(主页!$D$2),1,1),当年实际!$C:$C,"&lt;="&amp;EOMONTH(DATE(YEAR(主页!$D$2),MONTH(主页!$D$2),1),0))/SUMIFS(当年实际!$P:$P,当年实际!$H:$H,$B573,当年实际!$C:$C,"&gt;="&amp;DATE(YEAR(主页!$D$2),1,1),当年实际!$C:$C,"&lt;="&amp;EOMONTH(DATE(YEAR(主页!$D$2),MONTH(主页!$D$2),1),0)),"")</f>
        <v/>
      </c>
    </row>
    <row r="574" spans="1:10" x14ac:dyDescent="0.3">
      <c r="A574" s="135"/>
      <c r="B574" s="136"/>
      <c r="C574" s="138"/>
      <c r="D574" s="139"/>
      <c r="E574" s="141" t="str">
        <f t="shared" si="26"/>
        <v/>
      </c>
      <c r="F574" s="144"/>
      <c r="G574" s="146">
        <f t="shared" si="24"/>
        <v>0</v>
      </c>
      <c r="H574" s="141" t="str">
        <f t="shared" si="25"/>
        <v/>
      </c>
      <c r="J574" s="148" t="str">
        <f>IFERROR(SUMIFS(当年实际!$V:$V,当年实际!$H:$H,$B574,当年实际!$C:$C,"&gt;="&amp;DATE(YEAR(主页!$D$2),1,1),当年实际!$C:$C,"&lt;="&amp;EOMONTH(DATE(YEAR(主页!$D$2),MONTH(主页!$D$2),1),0))/SUMIFS(当年实际!$P:$P,当年实际!$H:$H,$B574,当年实际!$C:$C,"&gt;="&amp;DATE(YEAR(主页!$D$2),1,1),当年实际!$C:$C,"&lt;="&amp;EOMONTH(DATE(YEAR(主页!$D$2),MONTH(主页!$D$2),1),0)),"")</f>
        <v/>
      </c>
    </row>
    <row r="575" spans="1:10" x14ac:dyDescent="0.3">
      <c r="A575" s="135"/>
      <c r="B575" s="136"/>
      <c r="C575" s="138"/>
      <c r="D575" s="139"/>
      <c r="E575" s="141" t="str">
        <f t="shared" si="26"/>
        <v/>
      </c>
      <c r="F575" s="144"/>
      <c r="G575" s="146">
        <f t="shared" si="24"/>
        <v>0</v>
      </c>
      <c r="H575" s="141" t="str">
        <f t="shared" si="25"/>
        <v/>
      </c>
      <c r="J575" s="148" t="str">
        <f>IFERROR(SUMIFS(当年实际!$V:$V,当年实际!$H:$H,$B575,当年实际!$C:$C,"&gt;="&amp;DATE(YEAR(主页!$D$2),1,1),当年实际!$C:$C,"&lt;="&amp;EOMONTH(DATE(YEAR(主页!$D$2),MONTH(主页!$D$2),1),0))/SUMIFS(当年实际!$P:$P,当年实际!$H:$H,$B575,当年实际!$C:$C,"&gt;="&amp;DATE(YEAR(主页!$D$2),1,1),当年实际!$C:$C,"&lt;="&amp;EOMONTH(DATE(YEAR(主页!$D$2),MONTH(主页!$D$2),1),0)),"")</f>
        <v/>
      </c>
    </row>
    <row r="576" spans="1:10" x14ac:dyDescent="0.3">
      <c r="A576" s="135"/>
      <c r="B576" s="136"/>
      <c r="C576" s="138"/>
      <c r="D576" s="139"/>
      <c r="E576" s="141" t="str">
        <f t="shared" si="26"/>
        <v/>
      </c>
      <c r="F576" s="144"/>
      <c r="G576" s="146">
        <f t="shared" si="24"/>
        <v>0</v>
      </c>
      <c r="H576" s="141" t="str">
        <f t="shared" si="25"/>
        <v/>
      </c>
      <c r="J576" s="148" t="str">
        <f>IFERROR(SUMIFS(当年实际!$V:$V,当年实际!$H:$H,$B576,当年实际!$C:$C,"&gt;="&amp;DATE(YEAR(主页!$D$2),1,1),当年实际!$C:$C,"&lt;="&amp;EOMONTH(DATE(YEAR(主页!$D$2),MONTH(主页!$D$2),1),0))/SUMIFS(当年实际!$P:$P,当年实际!$H:$H,$B576,当年实际!$C:$C,"&gt;="&amp;DATE(YEAR(主页!$D$2),1,1),当年实际!$C:$C,"&lt;="&amp;EOMONTH(DATE(YEAR(主页!$D$2),MONTH(主页!$D$2),1),0)),"")</f>
        <v/>
      </c>
    </row>
    <row r="577" spans="1:10" x14ac:dyDescent="0.3">
      <c r="A577" s="135"/>
      <c r="B577" s="136"/>
      <c r="C577" s="138"/>
      <c r="D577" s="139"/>
      <c r="E577" s="141" t="str">
        <f t="shared" si="26"/>
        <v/>
      </c>
      <c r="F577" s="144"/>
      <c r="G577" s="146">
        <f t="shared" si="24"/>
        <v>0</v>
      </c>
      <c r="H577" s="141" t="str">
        <f t="shared" si="25"/>
        <v/>
      </c>
      <c r="J577" s="148" t="str">
        <f>IFERROR(SUMIFS(当年实际!$V:$V,当年实际!$H:$H,$B577,当年实际!$C:$C,"&gt;="&amp;DATE(YEAR(主页!$D$2),1,1),当年实际!$C:$C,"&lt;="&amp;EOMONTH(DATE(YEAR(主页!$D$2),MONTH(主页!$D$2),1),0))/SUMIFS(当年实际!$P:$P,当年实际!$H:$H,$B577,当年实际!$C:$C,"&gt;="&amp;DATE(YEAR(主页!$D$2),1,1),当年实际!$C:$C,"&lt;="&amp;EOMONTH(DATE(YEAR(主页!$D$2),MONTH(主页!$D$2),1),0)),"")</f>
        <v/>
      </c>
    </row>
    <row r="578" spans="1:10" x14ac:dyDescent="0.3">
      <c r="A578" s="135"/>
      <c r="B578" s="136"/>
      <c r="C578" s="138"/>
      <c r="D578" s="139"/>
      <c r="E578" s="141" t="str">
        <f t="shared" si="26"/>
        <v/>
      </c>
      <c r="F578" s="144"/>
      <c r="G578" s="146">
        <f t="shared" si="24"/>
        <v>0</v>
      </c>
      <c r="H578" s="141" t="str">
        <f t="shared" si="25"/>
        <v/>
      </c>
      <c r="J578" s="148" t="str">
        <f>IFERROR(SUMIFS(当年实际!$V:$V,当年实际!$H:$H,$B578,当年实际!$C:$C,"&gt;="&amp;DATE(YEAR(主页!$D$2),1,1),当年实际!$C:$C,"&lt;="&amp;EOMONTH(DATE(YEAR(主页!$D$2),MONTH(主页!$D$2),1),0))/SUMIFS(当年实际!$P:$P,当年实际!$H:$H,$B578,当年实际!$C:$C,"&gt;="&amp;DATE(YEAR(主页!$D$2),1,1),当年实际!$C:$C,"&lt;="&amp;EOMONTH(DATE(YEAR(主页!$D$2),MONTH(主页!$D$2),1),0)),"")</f>
        <v/>
      </c>
    </row>
    <row r="579" spans="1:10" x14ac:dyDescent="0.3">
      <c r="A579" s="135"/>
      <c r="B579" s="136"/>
      <c r="C579" s="138"/>
      <c r="D579" s="139"/>
      <c r="E579" s="141" t="str">
        <f t="shared" si="26"/>
        <v/>
      </c>
      <c r="F579" s="144"/>
      <c r="G579" s="146">
        <f t="shared" si="24"/>
        <v>0</v>
      </c>
      <c r="H579" s="141" t="str">
        <f t="shared" si="25"/>
        <v/>
      </c>
      <c r="J579" s="148" t="str">
        <f>IFERROR(SUMIFS(当年实际!$V:$V,当年实际!$H:$H,$B579,当年实际!$C:$C,"&gt;="&amp;DATE(YEAR(主页!$D$2),1,1),当年实际!$C:$C,"&lt;="&amp;EOMONTH(DATE(YEAR(主页!$D$2),MONTH(主页!$D$2),1),0))/SUMIFS(当年实际!$P:$P,当年实际!$H:$H,$B579,当年实际!$C:$C,"&gt;="&amp;DATE(YEAR(主页!$D$2),1,1),当年实际!$C:$C,"&lt;="&amp;EOMONTH(DATE(YEAR(主页!$D$2),MONTH(主页!$D$2),1),0)),"")</f>
        <v/>
      </c>
    </row>
    <row r="580" spans="1:10" x14ac:dyDescent="0.3">
      <c r="A580" s="135"/>
      <c r="B580" s="136"/>
      <c r="C580" s="138"/>
      <c r="D580" s="139"/>
      <c r="E580" s="141" t="str">
        <f t="shared" si="26"/>
        <v/>
      </c>
      <c r="F580" s="144"/>
      <c r="G580" s="146">
        <f t="shared" si="24"/>
        <v>0</v>
      </c>
      <c r="H580" s="141" t="str">
        <f t="shared" si="25"/>
        <v/>
      </c>
      <c r="J580" s="148" t="str">
        <f>IFERROR(SUMIFS(当年实际!$V:$V,当年实际!$H:$H,$B580,当年实际!$C:$C,"&gt;="&amp;DATE(YEAR(主页!$D$2),1,1),当年实际!$C:$C,"&lt;="&amp;EOMONTH(DATE(YEAR(主页!$D$2),MONTH(主页!$D$2),1),0))/SUMIFS(当年实际!$P:$P,当年实际!$H:$H,$B580,当年实际!$C:$C,"&gt;="&amp;DATE(YEAR(主页!$D$2),1,1),当年实际!$C:$C,"&lt;="&amp;EOMONTH(DATE(YEAR(主页!$D$2),MONTH(主页!$D$2),1),0)),"")</f>
        <v/>
      </c>
    </row>
    <row r="581" spans="1:10" x14ac:dyDescent="0.3">
      <c r="A581" s="135"/>
      <c r="B581" s="136"/>
      <c r="C581" s="138"/>
      <c r="D581" s="139"/>
      <c r="E581" s="141" t="str">
        <f t="shared" si="26"/>
        <v/>
      </c>
      <c r="F581" s="144"/>
      <c r="G581" s="146">
        <f t="shared" ref="G581:G644" si="27">D581*F581</f>
        <v>0</v>
      </c>
      <c r="H581" s="141" t="str">
        <f t="shared" si="25"/>
        <v/>
      </c>
      <c r="J581" s="148" t="str">
        <f>IFERROR(SUMIFS(当年实际!$V:$V,当年实际!$H:$H,$B581,当年实际!$C:$C,"&gt;="&amp;DATE(YEAR(主页!$D$2),1,1),当年实际!$C:$C,"&lt;="&amp;EOMONTH(DATE(YEAR(主页!$D$2),MONTH(主页!$D$2),1),0))/SUMIFS(当年实际!$P:$P,当年实际!$H:$H,$B581,当年实际!$C:$C,"&gt;="&amp;DATE(YEAR(主页!$D$2),1,1),当年实际!$C:$C,"&lt;="&amp;EOMONTH(DATE(YEAR(主页!$D$2),MONTH(主页!$D$2),1),0)),"")</f>
        <v/>
      </c>
    </row>
    <row r="582" spans="1:10" x14ac:dyDescent="0.3">
      <c r="A582" s="135"/>
      <c r="B582" s="136"/>
      <c r="C582" s="138"/>
      <c r="D582" s="139"/>
      <c r="E582" s="141" t="str">
        <f t="shared" si="26"/>
        <v/>
      </c>
      <c r="F582" s="144"/>
      <c r="G582" s="146">
        <f t="shared" si="27"/>
        <v>0</v>
      </c>
      <c r="H582" s="141" t="str">
        <f t="shared" ref="H582:H645" si="28">IF(G582/SUM(G:G)=0,"",G582/SUM(G:G))</f>
        <v/>
      </c>
      <c r="J582" s="148" t="str">
        <f>IFERROR(SUMIFS(当年实际!$V:$V,当年实际!$H:$H,$B582,当年实际!$C:$C,"&gt;="&amp;DATE(YEAR(主页!$D$2),1,1),当年实际!$C:$C,"&lt;="&amp;EOMONTH(DATE(YEAR(主页!$D$2),MONTH(主页!$D$2),1),0))/SUMIFS(当年实际!$P:$P,当年实际!$H:$H,$B582,当年实际!$C:$C,"&gt;="&amp;DATE(YEAR(主页!$D$2),1,1),当年实际!$C:$C,"&lt;="&amp;EOMONTH(DATE(YEAR(主页!$D$2),MONTH(主页!$D$2),1),0)),"")</f>
        <v/>
      </c>
    </row>
    <row r="583" spans="1:10" x14ac:dyDescent="0.3">
      <c r="A583" s="135"/>
      <c r="B583" s="136"/>
      <c r="C583" s="138"/>
      <c r="D583" s="139"/>
      <c r="E583" s="141" t="str">
        <f t="shared" si="26"/>
        <v/>
      </c>
      <c r="F583" s="144"/>
      <c r="G583" s="146">
        <f t="shared" si="27"/>
        <v>0</v>
      </c>
      <c r="H583" s="141" t="str">
        <f t="shared" si="28"/>
        <v/>
      </c>
      <c r="J583" s="148" t="str">
        <f>IFERROR(SUMIFS(当年实际!$V:$V,当年实际!$H:$H,$B583,当年实际!$C:$C,"&gt;="&amp;DATE(YEAR(主页!$D$2),1,1),当年实际!$C:$C,"&lt;="&amp;EOMONTH(DATE(YEAR(主页!$D$2),MONTH(主页!$D$2),1),0))/SUMIFS(当年实际!$P:$P,当年实际!$H:$H,$B583,当年实际!$C:$C,"&gt;="&amp;DATE(YEAR(主页!$D$2),1,1),当年实际!$C:$C,"&lt;="&amp;EOMONTH(DATE(YEAR(主页!$D$2),MONTH(主页!$D$2),1),0)),"")</f>
        <v/>
      </c>
    </row>
    <row r="584" spans="1:10" x14ac:dyDescent="0.3">
      <c r="A584" s="135"/>
      <c r="B584" s="136"/>
      <c r="C584" s="138"/>
      <c r="D584" s="139"/>
      <c r="E584" s="141" t="str">
        <f t="shared" ref="E584:E647" si="29">IF(D584/SUM(D:D)=0,"",D584/SUM(D:D))</f>
        <v/>
      </c>
      <c r="F584" s="144"/>
      <c r="G584" s="146">
        <f t="shared" si="27"/>
        <v>0</v>
      </c>
      <c r="H584" s="141" t="str">
        <f t="shared" si="28"/>
        <v/>
      </c>
      <c r="J584" s="148" t="str">
        <f>IFERROR(SUMIFS(当年实际!$V:$V,当年实际!$H:$H,$B584,当年实际!$C:$C,"&gt;="&amp;DATE(YEAR(主页!$D$2),1,1),当年实际!$C:$C,"&lt;="&amp;EOMONTH(DATE(YEAR(主页!$D$2),MONTH(主页!$D$2),1),0))/SUMIFS(当年实际!$P:$P,当年实际!$H:$H,$B584,当年实际!$C:$C,"&gt;="&amp;DATE(YEAR(主页!$D$2),1,1),当年实际!$C:$C,"&lt;="&amp;EOMONTH(DATE(YEAR(主页!$D$2),MONTH(主页!$D$2),1),0)),"")</f>
        <v/>
      </c>
    </row>
    <row r="585" spans="1:10" x14ac:dyDescent="0.3">
      <c r="A585" s="135"/>
      <c r="B585" s="136"/>
      <c r="C585" s="138"/>
      <c r="D585" s="139"/>
      <c r="E585" s="141" t="str">
        <f t="shared" si="29"/>
        <v/>
      </c>
      <c r="F585" s="144"/>
      <c r="G585" s="146">
        <f t="shared" si="27"/>
        <v>0</v>
      </c>
      <c r="H585" s="141" t="str">
        <f t="shared" si="28"/>
        <v/>
      </c>
      <c r="J585" s="148" t="str">
        <f>IFERROR(SUMIFS(当年实际!$V:$V,当年实际!$H:$H,$B585,当年实际!$C:$C,"&gt;="&amp;DATE(YEAR(主页!$D$2),1,1),当年实际!$C:$C,"&lt;="&amp;EOMONTH(DATE(YEAR(主页!$D$2),MONTH(主页!$D$2),1),0))/SUMIFS(当年实际!$P:$P,当年实际!$H:$H,$B585,当年实际!$C:$C,"&gt;="&amp;DATE(YEAR(主页!$D$2),1,1),当年实际!$C:$C,"&lt;="&amp;EOMONTH(DATE(YEAR(主页!$D$2),MONTH(主页!$D$2),1),0)),"")</f>
        <v/>
      </c>
    </row>
    <row r="586" spans="1:10" x14ac:dyDescent="0.3">
      <c r="A586" s="135"/>
      <c r="B586" s="136"/>
      <c r="C586" s="138"/>
      <c r="D586" s="139"/>
      <c r="E586" s="141" t="str">
        <f t="shared" si="29"/>
        <v/>
      </c>
      <c r="F586" s="144"/>
      <c r="G586" s="146">
        <f t="shared" si="27"/>
        <v>0</v>
      </c>
      <c r="H586" s="141" t="str">
        <f t="shared" si="28"/>
        <v/>
      </c>
      <c r="J586" s="148" t="str">
        <f>IFERROR(SUMIFS(当年实际!$V:$V,当年实际!$H:$H,$B586,当年实际!$C:$C,"&gt;="&amp;DATE(YEAR(主页!$D$2),1,1),当年实际!$C:$C,"&lt;="&amp;EOMONTH(DATE(YEAR(主页!$D$2),MONTH(主页!$D$2),1),0))/SUMIFS(当年实际!$P:$P,当年实际!$H:$H,$B586,当年实际!$C:$C,"&gt;="&amp;DATE(YEAR(主页!$D$2),1,1),当年实际!$C:$C,"&lt;="&amp;EOMONTH(DATE(YEAR(主页!$D$2),MONTH(主页!$D$2),1),0)),"")</f>
        <v/>
      </c>
    </row>
    <row r="587" spans="1:10" x14ac:dyDescent="0.3">
      <c r="A587" s="135"/>
      <c r="B587" s="136"/>
      <c r="C587" s="138"/>
      <c r="D587" s="139"/>
      <c r="E587" s="141" t="str">
        <f t="shared" si="29"/>
        <v/>
      </c>
      <c r="F587" s="144"/>
      <c r="G587" s="146">
        <f t="shared" si="27"/>
        <v>0</v>
      </c>
      <c r="H587" s="141" t="str">
        <f t="shared" si="28"/>
        <v/>
      </c>
      <c r="J587" s="148" t="str">
        <f>IFERROR(SUMIFS(当年实际!$V:$V,当年实际!$H:$H,$B587,当年实际!$C:$C,"&gt;="&amp;DATE(YEAR(主页!$D$2),1,1),当年实际!$C:$C,"&lt;="&amp;EOMONTH(DATE(YEAR(主页!$D$2),MONTH(主页!$D$2),1),0))/SUMIFS(当年实际!$P:$P,当年实际!$H:$H,$B587,当年实际!$C:$C,"&gt;="&amp;DATE(YEAR(主页!$D$2),1,1),当年实际!$C:$C,"&lt;="&amp;EOMONTH(DATE(YEAR(主页!$D$2),MONTH(主页!$D$2),1),0)),"")</f>
        <v/>
      </c>
    </row>
    <row r="588" spans="1:10" x14ac:dyDescent="0.3">
      <c r="A588" s="135"/>
      <c r="B588" s="136"/>
      <c r="C588" s="138"/>
      <c r="D588" s="139"/>
      <c r="E588" s="141" t="str">
        <f t="shared" si="29"/>
        <v/>
      </c>
      <c r="F588" s="144"/>
      <c r="G588" s="146">
        <f t="shared" si="27"/>
        <v>0</v>
      </c>
      <c r="H588" s="141" t="str">
        <f t="shared" si="28"/>
        <v/>
      </c>
      <c r="J588" s="148" t="str">
        <f>IFERROR(SUMIFS(当年实际!$V:$V,当年实际!$H:$H,$B588,当年实际!$C:$C,"&gt;="&amp;DATE(YEAR(主页!$D$2),1,1),当年实际!$C:$C,"&lt;="&amp;EOMONTH(DATE(YEAR(主页!$D$2),MONTH(主页!$D$2),1),0))/SUMIFS(当年实际!$P:$P,当年实际!$H:$H,$B588,当年实际!$C:$C,"&gt;="&amp;DATE(YEAR(主页!$D$2),1,1),当年实际!$C:$C,"&lt;="&amp;EOMONTH(DATE(YEAR(主页!$D$2),MONTH(主页!$D$2),1),0)),"")</f>
        <v/>
      </c>
    </row>
    <row r="589" spans="1:10" x14ac:dyDescent="0.3">
      <c r="A589" s="135"/>
      <c r="B589" s="136"/>
      <c r="C589" s="138"/>
      <c r="D589" s="139"/>
      <c r="E589" s="141" t="str">
        <f t="shared" si="29"/>
        <v/>
      </c>
      <c r="F589" s="144"/>
      <c r="G589" s="146">
        <f t="shared" si="27"/>
        <v>0</v>
      </c>
      <c r="H589" s="141" t="str">
        <f t="shared" si="28"/>
        <v/>
      </c>
      <c r="J589" s="148" t="str">
        <f>IFERROR(SUMIFS(当年实际!$V:$V,当年实际!$H:$H,$B589,当年实际!$C:$C,"&gt;="&amp;DATE(YEAR(主页!$D$2),1,1),当年实际!$C:$C,"&lt;="&amp;EOMONTH(DATE(YEAR(主页!$D$2),MONTH(主页!$D$2),1),0))/SUMIFS(当年实际!$P:$P,当年实际!$H:$H,$B589,当年实际!$C:$C,"&gt;="&amp;DATE(YEAR(主页!$D$2),1,1),当年实际!$C:$C,"&lt;="&amp;EOMONTH(DATE(YEAR(主页!$D$2),MONTH(主页!$D$2),1),0)),"")</f>
        <v/>
      </c>
    </row>
    <row r="590" spans="1:10" x14ac:dyDescent="0.3">
      <c r="A590" s="135"/>
      <c r="B590" s="136"/>
      <c r="C590" s="138"/>
      <c r="D590" s="139"/>
      <c r="E590" s="141" t="str">
        <f t="shared" si="29"/>
        <v/>
      </c>
      <c r="F590" s="144"/>
      <c r="G590" s="146">
        <f t="shared" si="27"/>
        <v>0</v>
      </c>
      <c r="H590" s="141" t="str">
        <f t="shared" si="28"/>
        <v/>
      </c>
      <c r="J590" s="148" t="str">
        <f>IFERROR(SUMIFS(当年实际!$V:$V,当年实际!$H:$H,$B590,当年实际!$C:$C,"&gt;="&amp;DATE(YEAR(主页!$D$2),1,1),当年实际!$C:$C,"&lt;="&amp;EOMONTH(DATE(YEAR(主页!$D$2),MONTH(主页!$D$2),1),0))/SUMIFS(当年实际!$P:$P,当年实际!$H:$H,$B590,当年实际!$C:$C,"&gt;="&amp;DATE(YEAR(主页!$D$2),1,1),当年实际!$C:$C,"&lt;="&amp;EOMONTH(DATE(YEAR(主页!$D$2),MONTH(主页!$D$2),1),0)),"")</f>
        <v/>
      </c>
    </row>
    <row r="591" spans="1:10" x14ac:dyDescent="0.3">
      <c r="A591" s="135"/>
      <c r="B591" s="136"/>
      <c r="C591" s="138"/>
      <c r="D591" s="139"/>
      <c r="E591" s="141" t="str">
        <f t="shared" si="29"/>
        <v/>
      </c>
      <c r="F591" s="144"/>
      <c r="G591" s="146">
        <f t="shared" si="27"/>
        <v>0</v>
      </c>
      <c r="H591" s="141" t="str">
        <f t="shared" si="28"/>
        <v/>
      </c>
      <c r="J591" s="148" t="str">
        <f>IFERROR(SUMIFS(当年实际!$V:$V,当年实际!$H:$H,$B591,当年实际!$C:$C,"&gt;="&amp;DATE(YEAR(主页!$D$2),1,1),当年实际!$C:$C,"&lt;="&amp;EOMONTH(DATE(YEAR(主页!$D$2),MONTH(主页!$D$2),1),0))/SUMIFS(当年实际!$P:$P,当年实际!$H:$H,$B591,当年实际!$C:$C,"&gt;="&amp;DATE(YEAR(主页!$D$2),1,1),当年实际!$C:$C,"&lt;="&amp;EOMONTH(DATE(YEAR(主页!$D$2),MONTH(主页!$D$2),1),0)),"")</f>
        <v/>
      </c>
    </row>
    <row r="592" spans="1:10" x14ac:dyDescent="0.3">
      <c r="A592" s="135"/>
      <c r="B592" s="136"/>
      <c r="C592" s="138"/>
      <c r="D592" s="139"/>
      <c r="E592" s="141" t="str">
        <f t="shared" si="29"/>
        <v/>
      </c>
      <c r="F592" s="144"/>
      <c r="G592" s="146">
        <f t="shared" si="27"/>
        <v>0</v>
      </c>
      <c r="H592" s="141" t="str">
        <f t="shared" si="28"/>
        <v/>
      </c>
      <c r="J592" s="148" t="str">
        <f>IFERROR(SUMIFS(当年实际!$V:$V,当年实际!$H:$H,$B592,当年实际!$C:$C,"&gt;="&amp;DATE(YEAR(主页!$D$2),1,1),当年实际!$C:$C,"&lt;="&amp;EOMONTH(DATE(YEAR(主页!$D$2),MONTH(主页!$D$2),1),0))/SUMIFS(当年实际!$P:$P,当年实际!$H:$H,$B592,当年实际!$C:$C,"&gt;="&amp;DATE(YEAR(主页!$D$2),1,1),当年实际!$C:$C,"&lt;="&amp;EOMONTH(DATE(YEAR(主页!$D$2),MONTH(主页!$D$2),1),0)),"")</f>
        <v/>
      </c>
    </row>
    <row r="593" spans="1:10" x14ac:dyDescent="0.3">
      <c r="A593" s="135"/>
      <c r="B593" s="136"/>
      <c r="C593" s="138"/>
      <c r="D593" s="139"/>
      <c r="E593" s="141" t="str">
        <f t="shared" si="29"/>
        <v/>
      </c>
      <c r="F593" s="144"/>
      <c r="G593" s="146">
        <f t="shared" si="27"/>
        <v>0</v>
      </c>
      <c r="H593" s="141" t="str">
        <f t="shared" si="28"/>
        <v/>
      </c>
      <c r="J593" s="148" t="str">
        <f>IFERROR(SUMIFS(当年实际!$V:$V,当年实际!$H:$H,$B593,当年实际!$C:$C,"&gt;="&amp;DATE(YEAR(主页!$D$2),1,1),当年实际!$C:$C,"&lt;="&amp;EOMONTH(DATE(YEAR(主页!$D$2),MONTH(主页!$D$2),1),0))/SUMIFS(当年实际!$P:$P,当年实际!$H:$H,$B593,当年实际!$C:$C,"&gt;="&amp;DATE(YEAR(主页!$D$2),1,1),当年实际!$C:$C,"&lt;="&amp;EOMONTH(DATE(YEAR(主页!$D$2),MONTH(主页!$D$2),1),0)),"")</f>
        <v/>
      </c>
    </row>
    <row r="594" spans="1:10" x14ac:dyDescent="0.3">
      <c r="A594" s="135"/>
      <c r="B594" s="136"/>
      <c r="C594" s="138"/>
      <c r="D594" s="139"/>
      <c r="E594" s="141" t="str">
        <f t="shared" si="29"/>
        <v/>
      </c>
      <c r="F594" s="144"/>
      <c r="G594" s="146">
        <f t="shared" si="27"/>
        <v>0</v>
      </c>
      <c r="H594" s="141" t="str">
        <f t="shared" si="28"/>
        <v/>
      </c>
      <c r="J594" s="148" t="str">
        <f>IFERROR(SUMIFS(当年实际!$V:$V,当年实际!$H:$H,$B594,当年实际!$C:$C,"&gt;="&amp;DATE(YEAR(主页!$D$2),1,1),当年实际!$C:$C,"&lt;="&amp;EOMONTH(DATE(YEAR(主页!$D$2),MONTH(主页!$D$2),1),0))/SUMIFS(当年实际!$P:$P,当年实际!$H:$H,$B594,当年实际!$C:$C,"&gt;="&amp;DATE(YEAR(主页!$D$2),1,1),当年实际!$C:$C,"&lt;="&amp;EOMONTH(DATE(YEAR(主页!$D$2),MONTH(主页!$D$2),1),0)),"")</f>
        <v/>
      </c>
    </row>
    <row r="595" spans="1:10" x14ac:dyDescent="0.3">
      <c r="A595" s="135"/>
      <c r="B595" s="136"/>
      <c r="C595" s="138"/>
      <c r="D595" s="139"/>
      <c r="E595" s="141" t="str">
        <f t="shared" si="29"/>
        <v/>
      </c>
      <c r="F595" s="144"/>
      <c r="G595" s="146">
        <f t="shared" si="27"/>
        <v>0</v>
      </c>
      <c r="H595" s="141" t="str">
        <f t="shared" si="28"/>
        <v/>
      </c>
      <c r="J595" s="148" t="str">
        <f>IFERROR(SUMIFS(当年实际!$V:$V,当年实际!$H:$H,$B595,当年实际!$C:$C,"&gt;="&amp;DATE(YEAR(主页!$D$2),1,1),当年实际!$C:$C,"&lt;="&amp;EOMONTH(DATE(YEAR(主页!$D$2),MONTH(主页!$D$2),1),0))/SUMIFS(当年实际!$P:$P,当年实际!$H:$H,$B595,当年实际!$C:$C,"&gt;="&amp;DATE(YEAR(主页!$D$2),1,1),当年实际!$C:$C,"&lt;="&amp;EOMONTH(DATE(YEAR(主页!$D$2),MONTH(主页!$D$2),1),0)),"")</f>
        <v/>
      </c>
    </row>
    <row r="596" spans="1:10" x14ac:dyDescent="0.3">
      <c r="A596" s="135"/>
      <c r="B596" s="136"/>
      <c r="C596" s="138"/>
      <c r="D596" s="139"/>
      <c r="E596" s="141" t="str">
        <f t="shared" si="29"/>
        <v/>
      </c>
      <c r="F596" s="144"/>
      <c r="G596" s="146">
        <f t="shared" si="27"/>
        <v>0</v>
      </c>
      <c r="H596" s="141" t="str">
        <f t="shared" si="28"/>
        <v/>
      </c>
      <c r="J596" s="148" t="str">
        <f>IFERROR(SUMIFS(当年实际!$V:$V,当年实际!$H:$H,$B596,当年实际!$C:$C,"&gt;="&amp;DATE(YEAR(主页!$D$2),1,1),当年实际!$C:$C,"&lt;="&amp;EOMONTH(DATE(YEAR(主页!$D$2),MONTH(主页!$D$2),1),0))/SUMIFS(当年实际!$P:$P,当年实际!$H:$H,$B596,当年实际!$C:$C,"&gt;="&amp;DATE(YEAR(主页!$D$2),1,1),当年实际!$C:$C,"&lt;="&amp;EOMONTH(DATE(YEAR(主页!$D$2),MONTH(主页!$D$2),1),0)),"")</f>
        <v/>
      </c>
    </row>
    <row r="597" spans="1:10" x14ac:dyDescent="0.3">
      <c r="A597" s="135"/>
      <c r="B597" s="136"/>
      <c r="C597" s="138"/>
      <c r="D597" s="139"/>
      <c r="E597" s="141" t="str">
        <f t="shared" si="29"/>
        <v/>
      </c>
      <c r="F597" s="144"/>
      <c r="G597" s="146">
        <f t="shared" si="27"/>
        <v>0</v>
      </c>
      <c r="H597" s="141" t="str">
        <f t="shared" si="28"/>
        <v/>
      </c>
      <c r="J597" s="148" t="str">
        <f>IFERROR(SUMIFS(当年实际!$V:$V,当年实际!$H:$H,$B597,当年实际!$C:$C,"&gt;="&amp;DATE(YEAR(主页!$D$2),1,1),当年实际!$C:$C,"&lt;="&amp;EOMONTH(DATE(YEAR(主页!$D$2),MONTH(主页!$D$2),1),0))/SUMIFS(当年实际!$P:$P,当年实际!$H:$H,$B597,当年实际!$C:$C,"&gt;="&amp;DATE(YEAR(主页!$D$2),1,1),当年实际!$C:$C,"&lt;="&amp;EOMONTH(DATE(YEAR(主页!$D$2),MONTH(主页!$D$2),1),0)),"")</f>
        <v/>
      </c>
    </row>
    <row r="598" spans="1:10" x14ac:dyDescent="0.3">
      <c r="A598" s="135"/>
      <c r="B598" s="136"/>
      <c r="C598" s="138"/>
      <c r="D598" s="139"/>
      <c r="E598" s="141" t="str">
        <f t="shared" si="29"/>
        <v/>
      </c>
      <c r="F598" s="144"/>
      <c r="G598" s="146">
        <f t="shared" si="27"/>
        <v>0</v>
      </c>
      <c r="H598" s="141" t="str">
        <f t="shared" si="28"/>
        <v/>
      </c>
      <c r="J598" s="148" t="str">
        <f>IFERROR(SUMIFS(当年实际!$V:$V,当年实际!$H:$H,$B598,当年实际!$C:$C,"&gt;="&amp;DATE(YEAR(主页!$D$2),1,1),当年实际!$C:$C,"&lt;="&amp;EOMONTH(DATE(YEAR(主页!$D$2),MONTH(主页!$D$2),1),0))/SUMIFS(当年实际!$P:$P,当年实际!$H:$H,$B598,当年实际!$C:$C,"&gt;="&amp;DATE(YEAR(主页!$D$2),1,1),当年实际!$C:$C,"&lt;="&amp;EOMONTH(DATE(YEAR(主页!$D$2),MONTH(主页!$D$2),1),0)),"")</f>
        <v/>
      </c>
    </row>
    <row r="599" spans="1:10" x14ac:dyDescent="0.3">
      <c r="A599" s="135"/>
      <c r="B599" s="136"/>
      <c r="C599" s="138"/>
      <c r="D599" s="139"/>
      <c r="E599" s="141" t="str">
        <f t="shared" si="29"/>
        <v/>
      </c>
      <c r="F599" s="144"/>
      <c r="G599" s="146">
        <f t="shared" si="27"/>
        <v>0</v>
      </c>
      <c r="H599" s="141" t="str">
        <f t="shared" si="28"/>
        <v/>
      </c>
      <c r="J599" s="148" t="str">
        <f>IFERROR(SUMIFS(当年实际!$V:$V,当年实际!$H:$H,$B599,当年实际!$C:$C,"&gt;="&amp;DATE(YEAR(主页!$D$2),1,1),当年实际!$C:$C,"&lt;="&amp;EOMONTH(DATE(YEAR(主页!$D$2),MONTH(主页!$D$2),1),0))/SUMIFS(当年实际!$P:$P,当年实际!$H:$H,$B599,当年实际!$C:$C,"&gt;="&amp;DATE(YEAR(主页!$D$2),1,1),当年实际!$C:$C,"&lt;="&amp;EOMONTH(DATE(YEAR(主页!$D$2),MONTH(主页!$D$2),1),0)),"")</f>
        <v/>
      </c>
    </row>
    <row r="600" spans="1:10" x14ac:dyDescent="0.3">
      <c r="A600" s="135"/>
      <c r="B600" s="136"/>
      <c r="C600" s="138"/>
      <c r="D600" s="139"/>
      <c r="E600" s="141" t="str">
        <f t="shared" si="29"/>
        <v/>
      </c>
      <c r="F600" s="144"/>
      <c r="G600" s="146">
        <f t="shared" si="27"/>
        <v>0</v>
      </c>
      <c r="H600" s="141" t="str">
        <f t="shared" si="28"/>
        <v/>
      </c>
      <c r="J600" s="148" t="str">
        <f>IFERROR(SUMIFS(当年实际!$V:$V,当年实际!$H:$H,$B600,当年实际!$C:$C,"&gt;="&amp;DATE(YEAR(主页!$D$2),1,1),当年实际!$C:$C,"&lt;="&amp;EOMONTH(DATE(YEAR(主页!$D$2),MONTH(主页!$D$2),1),0))/SUMIFS(当年实际!$P:$P,当年实际!$H:$H,$B600,当年实际!$C:$C,"&gt;="&amp;DATE(YEAR(主页!$D$2),1,1),当年实际!$C:$C,"&lt;="&amp;EOMONTH(DATE(YEAR(主页!$D$2),MONTH(主页!$D$2),1),0)),"")</f>
        <v/>
      </c>
    </row>
    <row r="601" spans="1:10" x14ac:dyDescent="0.3">
      <c r="A601" s="135"/>
      <c r="B601" s="136"/>
      <c r="C601" s="138"/>
      <c r="D601" s="139"/>
      <c r="E601" s="141" t="str">
        <f t="shared" si="29"/>
        <v/>
      </c>
      <c r="F601" s="144"/>
      <c r="G601" s="146">
        <f t="shared" si="27"/>
        <v>0</v>
      </c>
      <c r="H601" s="141" t="str">
        <f t="shared" si="28"/>
        <v/>
      </c>
      <c r="J601" s="148" t="str">
        <f>IFERROR(SUMIFS(当年实际!$V:$V,当年实际!$H:$H,$B601,当年实际!$C:$C,"&gt;="&amp;DATE(YEAR(主页!$D$2),1,1),当年实际!$C:$C,"&lt;="&amp;EOMONTH(DATE(YEAR(主页!$D$2),MONTH(主页!$D$2),1),0))/SUMIFS(当年实际!$P:$P,当年实际!$H:$H,$B601,当年实际!$C:$C,"&gt;="&amp;DATE(YEAR(主页!$D$2),1,1),当年实际!$C:$C,"&lt;="&amp;EOMONTH(DATE(YEAR(主页!$D$2),MONTH(主页!$D$2),1),0)),"")</f>
        <v/>
      </c>
    </row>
    <row r="602" spans="1:10" x14ac:dyDescent="0.3">
      <c r="A602" s="135"/>
      <c r="B602" s="136"/>
      <c r="C602" s="138"/>
      <c r="D602" s="139"/>
      <c r="E602" s="141" t="str">
        <f t="shared" si="29"/>
        <v/>
      </c>
      <c r="F602" s="144"/>
      <c r="G602" s="146">
        <f t="shared" si="27"/>
        <v>0</v>
      </c>
      <c r="H602" s="141" t="str">
        <f t="shared" si="28"/>
        <v/>
      </c>
      <c r="J602" s="148" t="str">
        <f>IFERROR(SUMIFS(当年实际!$V:$V,当年实际!$H:$H,$B602,当年实际!$C:$C,"&gt;="&amp;DATE(YEAR(主页!$D$2),1,1),当年实际!$C:$C,"&lt;="&amp;EOMONTH(DATE(YEAR(主页!$D$2),MONTH(主页!$D$2),1),0))/SUMIFS(当年实际!$P:$P,当年实际!$H:$H,$B602,当年实际!$C:$C,"&gt;="&amp;DATE(YEAR(主页!$D$2),1,1),当年实际!$C:$C,"&lt;="&amp;EOMONTH(DATE(YEAR(主页!$D$2),MONTH(主页!$D$2),1),0)),"")</f>
        <v/>
      </c>
    </row>
    <row r="603" spans="1:10" x14ac:dyDescent="0.3">
      <c r="A603" s="135"/>
      <c r="B603" s="136"/>
      <c r="C603" s="138"/>
      <c r="D603" s="139"/>
      <c r="E603" s="141" t="str">
        <f t="shared" si="29"/>
        <v/>
      </c>
      <c r="F603" s="144"/>
      <c r="G603" s="146">
        <f t="shared" si="27"/>
        <v>0</v>
      </c>
      <c r="H603" s="141" t="str">
        <f t="shared" si="28"/>
        <v/>
      </c>
      <c r="J603" s="148" t="str">
        <f>IFERROR(SUMIFS(当年实际!$V:$V,当年实际!$H:$H,$B603,当年实际!$C:$C,"&gt;="&amp;DATE(YEAR(主页!$D$2),1,1),当年实际!$C:$C,"&lt;="&amp;EOMONTH(DATE(YEAR(主页!$D$2),MONTH(主页!$D$2),1),0))/SUMIFS(当年实际!$P:$P,当年实际!$H:$H,$B603,当年实际!$C:$C,"&gt;="&amp;DATE(YEAR(主页!$D$2),1,1),当年实际!$C:$C,"&lt;="&amp;EOMONTH(DATE(YEAR(主页!$D$2),MONTH(主页!$D$2),1),0)),"")</f>
        <v/>
      </c>
    </row>
    <row r="604" spans="1:10" x14ac:dyDescent="0.3">
      <c r="A604" s="135"/>
      <c r="B604" s="136"/>
      <c r="C604" s="138"/>
      <c r="D604" s="139"/>
      <c r="E604" s="141" t="str">
        <f t="shared" si="29"/>
        <v/>
      </c>
      <c r="F604" s="144"/>
      <c r="G604" s="146">
        <f t="shared" si="27"/>
        <v>0</v>
      </c>
      <c r="H604" s="141" t="str">
        <f t="shared" si="28"/>
        <v/>
      </c>
      <c r="J604" s="148" t="str">
        <f>IFERROR(SUMIFS(当年实际!$V:$V,当年实际!$H:$H,$B604,当年实际!$C:$C,"&gt;="&amp;DATE(YEAR(主页!$D$2),1,1),当年实际!$C:$C,"&lt;="&amp;EOMONTH(DATE(YEAR(主页!$D$2),MONTH(主页!$D$2),1),0))/SUMIFS(当年实际!$P:$P,当年实际!$H:$H,$B604,当年实际!$C:$C,"&gt;="&amp;DATE(YEAR(主页!$D$2),1,1),当年实际!$C:$C,"&lt;="&amp;EOMONTH(DATE(YEAR(主页!$D$2),MONTH(主页!$D$2),1),0)),"")</f>
        <v/>
      </c>
    </row>
    <row r="605" spans="1:10" x14ac:dyDescent="0.3">
      <c r="A605" s="135"/>
      <c r="B605" s="136"/>
      <c r="C605" s="138"/>
      <c r="D605" s="139"/>
      <c r="E605" s="141" t="str">
        <f t="shared" si="29"/>
        <v/>
      </c>
      <c r="F605" s="144"/>
      <c r="G605" s="146">
        <f t="shared" si="27"/>
        <v>0</v>
      </c>
      <c r="H605" s="141" t="str">
        <f t="shared" si="28"/>
        <v/>
      </c>
      <c r="J605" s="148" t="str">
        <f>IFERROR(SUMIFS(当年实际!$V:$V,当年实际!$H:$H,$B605,当年实际!$C:$C,"&gt;="&amp;DATE(YEAR(主页!$D$2),1,1),当年实际!$C:$C,"&lt;="&amp;EOMONTH(DATE(YEAR(主页!$D$2),MONTH(主页!$D$2),1),0))/SUMIFS(当年实际!$P:$P,当年实际!$H:$H,$B605,当年实际!$C:$C,"&gt;="&amp;DATE(YEAR(主页!$D$2),1,1),当年实际!$C:$C,"&lt;="&amp;EOMONTH(DATE(YEAR(主页!$D$2),MONTH(主页!$D$2),1),0)),"")</f>
        <v/>
      </c>
    </row>
    <row r="606" spans="1:10" x14ac:dyDescent="0.3">
      <c r="A606" s="135"/>
      <c r="B606" s="136"/>
      <c r="C606" s="138"/>
      <c r="D606" s="139"/>
      <c r="E606" s="141" t="str">
        <f t="shared" si="29"/>
        <v/>
      </c>
      <c r="F606" s="144"/>
      <c r="G606" s="146">
        <f t="shared" si="27"/>
        <v>0</v>
      </c>
      <c r="H606" s="141" t="str">
        <f t="shared" si="28"/>
        <v/>
      </c>
      <c r="J606" s="148" t="str">
        <f>IFERROR(SUMIFS(当年实际!$V:$V,当年实际!$H:$H,$B606,当年实际!$C:$C,"&gt;="&amp;DATE(YEAR(主页!$D$2),1,1),当年实际!$C:$C,"&lt;="&amp;EOMONTH(DATE(YEAR(主页!$D$2),MONTH(主页!$D$2),1),0))/SUMIFS(当年实际!$P:$P,当年实际!$H:$H,$B606,当年实际!$C:$C,"&gt;="&amp;DATE(YEAR(主页!$D$2),1,1),当年实际!$C:$C,"&lt;="&amp;EOMONTH(DATE(YEAR(主页!$D$2),MONTH(主页!$D$2),1),0)),"")</f>
        <v/>
      </c>
    </row>
    <row r="607" spans="1:10" x14ac:dyDescent="0.3">
      <c r="A607" s="135"/>
      <c r="B607" s="136"/>
      <c r="C607" s="138"/>
      <c r="D607" s="139"/>
      <c r="E607" s="141" t="str">
        <f t="shared" si="29"/>
        <v/>
      </c>
      <c r="F607" s="144"/>
      <c r="G607" s="146">
        <f t="shared" si="27"/>
        <v>0</v>
      </c>
      <c r="H607" s="141" t="str">
        <f t="shared" si="28"/>
        <v/>
      </c>
      <c r="J607" s="148" t="str">
        <f>IFERROR(SUMIFS(当年实际!$V:$V,当年实际!$H:$H,$B607,当年实际!$C:$C,"&gt;="&amp;DATE(YEAR(主页!$D$2),1,1),当年实际!$C:$C,"&lt;="&amp;EOMONTH(DATE(YEAR(主页!$D$2),MONTH(主页!$D$2),1),0))/SUMIFS(当年实际!$P:$P,当年实际!$H:$H,$B607,当年实际!$C:$C,"&gt;="&amp;DATE(YEAR(主页!$D$2),1,1),当年实际!$C:$C,"&lt;="&amp;EOMONTH(DATE(YEAR(主页!$D$2),MONTH(主页!$D$2),1),0)),"")</f>
        <v/>
      </c>
    </row>
    <row r="608" spans="1:10" x14ac:dyDescent="0.3">
      <c r="A608" s="135"/>
      <c r="B608" s="136"/>
      <c r="C608" s="138"/>
      <c r="D608" s="139"/>
      <c r="E608" s="141" t="str">
        <f t="shared" si="29"/>
        <v/>
      </c>
      <c r="F608" s="144"/>
      <c r="G608" s="146">
        <f t="shared" si="27"/>
        <v>0</v>
      </c>
      <c r="H608" s="141" t="str">
        <f t="shared" si="28"/>
        <v/>
      </c>
      <c r="J608" s="148" t="str">
        <f>IFERROR(SUMIFS(当年实际!$V:$V,当年实际!$H:$H,$B608,当年实际!$C:$C,"&gt;="&amp;DATE(YEAR(主页!$D$2),1,1),当年实际!$C:$C,"&lt;="&amp;EOMONTH(DATE(YEAR(主页!$D$2),MONTH(主页!$D$2),1),0))/SUMIFS(当年实际!$P:$P,当年实际!$H:$H,$B608,当年实际!$C:$C,"&gt;="&amp;DATE(YEAR(主页!$D$2),1,1),当年实际!$C:$C,"&lt;="&amp;EOMONTH(DATE(YEAR(主页!$D$2),MONTH(主页!$D$2),1),0)),"")</f>
        <v/>
      </c>
    </row>
    <row r="609" spans="1:10" x14ac:dyDescent="0.3">
      <c r="A609" s="135"/>
      <c r="B609" s="136"/>
      <c r="C609" s="138"/>
      <c r="D609" s="139"/>
      <c r="E609" s="141" t="str">
        <f t="shared" si="29"/>
        <v/>
      </c>
      <c r="F609" s="144"/>
      <c r="G609" s="146">
        <f t="shared" si="27"/>
        <v>0</v>
      </c>
      <c r="H609" s="141" t="str">
        <f t="shared" si="28"/>
        <v/>
      </c>
      <c r="J609" s="148" t="str">
        <f>IFERROR(SUMIFS(当年实际!$V:$V,当年实际!$H:$H,$B609,当年实际!$C:$C,"&gt;="&amp;DATE(YEAR(主页!$D$2),1,1),当年实际!$C:$C,"&lt;="&amp;EOMONTH(DATE(YEAR(主页!$D$2),MONTH(主页!$D$2),1),0))/SUMIFS(当年实际!$P:$P,当年实际!$H:$H,$B609,当年实际!$C:$C,"&gt;="&amp;DATE(YEAR(主页!$D$2),1,1),当年实际!$C:$C,"&lt;="&amp;EOMONTH(DATE(YEAR(主页!$D$2),MONTH(主页!$D$2),1),0)),"")</f>
        <v/>
      </c>
    </row>
    <row r="610" spans="1:10" x14ac:dyDescent="0.3">
      <c r="A610" s="135"/>
      <c r="B610" s="136"/>
      <c r="C610" s="138"/>
      <c r="D610" s="139"/>
      <c r="E610" s="141" t="str">
        <f t="shared" si="29"/>
        <v/>
      </c>
      <c r="F610" s="144"/>
      <c r="G610" s="146">
        <f t="shared" si="27"/>
        <v>0</v>
      </c>
      <c r="H610" s="141" t="str">
        <f t="shared" si="28"/>
        <v/>
      </c>
      <c r="J610" s="148" t="str">
        <f>IFERROR(SUMIFS(当年实际!$V:$V,当年实际!$H:$H,$B610,当年实际!$C:$C,"&gt;="&amp;DATE(YEAR(主页!$D$2),1,1),当年实际!$C:$C,"&lt;="&amp;EOMONTH(DATE(YEAR(主页!$D$2),MONTH(主页!$D$2),1),0))/SUMIFS(当年实际!$P:$P,当年实际!$H:$H,$B610,当年实际!$C:$C,"&gt;="&amp;DATE(YEAR(主页!$D$2),1,1),当年实际!$C:$C,"&lt;="&amp;EOMONTH(DATE(YEAR(主页!$D$2),MONTH(主页!$D$2),1),0)),"")</f>
        <v/>
      </c>
    </row>
    <row r="611" spans="1:10" x14ac:dyDescent="0.3">
      <c r="A611" s="135"/>
      <c r="B611" s="136"/>
      <c r="C611" s="138"/>
      <c r="D611" s="139"/>
      <c r="E611" s="141" t="str">
        <f t="shared" si="29"/>
        <v/>
      </c>
      <c r="F611" s="144"/>
      <c r="G611" s="146">
        <f t="shared" si="27"/>
        <v>0</v>
      </c>
      <c r="H611" s="141" t="str">
        <f t="shared" si="28"/>
        <v/>
      </c>
      <c r="J611" s="148" t="str">
        <f>IFERROR(SUMIFS(当年实际!$V:$V,当年实际!$H:$H,$B611,当年实际!$C:$C,"&gt;="&amp;DATE(YEAR(主页!$D$2),1,1),当年实际!$C:$C,"&lt;="&amp;EOMONTH(DATE(YEAR(主页!$D$2),MONTH(主页!$D$2),1),0))/SUMIFS(当年实际!$P:$P,当年实际!$H:$H,$B611,当年实际!$C:$C,"&gt;="&amp;DATE(YEAR(主页!$D$2),1,1),当年实际!$C:$C,"&lt;="&amp;EOMONTH(DATE(YEAR(主页!$D$2),MONTH(主页!$D$2),1),0)),"")</f>
        <v/>
      </c>
    </row>
    <row r="612" spans="1:10" x14ac:dyDescent="0.3">
      <c r="A612" s="135"/>
      <c r="B612" s="136"/>
      <c r="C612" s="138"/>
      <c r="D612" s="139"/>
      <c r="E612" s="141" t="str">
        <f t="shared" si="29"/>
        <v/>
      </c>
      <c r="F612" s="144"/>
      <c r="G612" s="146">
        <f t="shared" si="27"/>
        <v>0</v>
      </c>
      <c r="H612" s="141" t="str">
        <f t="shared" si="28"/>
        <v/>
      </c>
      <c r="J612" s="148" t="str">
        <f>IFERROR(SUMIFS(当年实际!$V:$V,当年实际!$H:$H,$B612,当年实际!$C:$C,"&gt;="&amp;DATE(YEAR(主页!$D$2),1,1),当年实际!$C:$C,"&lt;="&amp;EOMONTH(DATE(YEAR(主页!$D$2),MONTH(主页!$D$2),1),0))/SUMIFS(当年实际!$P:$P,当年实际!$H:$H,$B612,当年实际!$C:$C,"&gt;="&amp;DATE(YEAR(主页!$D$2),1,1),当年实际!$C:$C,"&lt;="&amp;EOMONTH(DATE(YEAR(主页!$D$2),MONTH(主页!$D$2),1),0)),"")</f>
        <v/>
      </c>
    </row>
    <row r="613" spans="1:10" x14ac:dyDescent="0.3">
      <c r="A613" s="135"/>
      <c r="B613" s="136"/>
      <c r="C613" s="138"/>
      <c r="D613" s="139"/>
      <c r="E613" s="141" t="str">
        <f t="shared" si="29"/>
        <v/>
      </c>
      <c r="F613" s="144"/>
      <c r="G613" s="146">
        <f t="shared" si="27"/>
        <v>0</v>
      </c>
      <c r="H613" s="141" t="str">
        <f t="shared" si="28"/>
        <v/>
      </c>
      <c r="J613" s="148" t="str">
        <f>IFERROR(SUMIFS(当年实际!$V:$V,当年实际!$H:$H,$B613,当年实际!$C:$C,"&gt;="&amp;DATE(YEAR(主页!$D$2),1,1),当年实际!$C:$C,"&lt;="&amp;EOMONTH(DATE(YEAR(主页!$D$2),MONTH(主页!$D$2),1),0))/SUMIFS(当年实际!$P:$P,当年实际!$H:$H,$B613,当年实际!$C:$C,"&gt;="&amp;DATE(YEAR(主页!$D$2),1,1),当年实际!$C:$C,"&lt;="&amp;EOMONTH(DATE(YEAR(主页!$D$2),MONTH(主页!$D$2),1),0)),"")</f>
        <v/>
      </c>
    </row>
    <row r="614" spans="1:10" x14ac:dyDescent="0.3">
      <c r="A614" s="135"/>
      <c r="B614" s="136"/>
      <c r="C614" s="138"/>
      <c r="D614" s="139"/>
      <c r="E614" s="141" t="str">
        <f t="shared" si="29"/>
        <v/>
      </c>
      <c r="F614" s="144"/>
      <c r="G614" s="146">
        <f t="shared" si="27"/>
        <v>0</v>
      </c>
      <c r="H614" s="141" t="str">
        <f t="shared" si="28"/>
        <v/>
      </c>
      <c r="J614" s="148" t="str">
        <f>IFERROR(SUMIFS(当年实际!$V:$V,当年实际!$H:$H,$B614,当年实际!$C:$C,"&gt;="&amp;DATE(YEAR(主页!$D$2),1,1),当年实际!$C:$C,"&lt;="&amp;EOMONTH(DATE(YEAR(主页!$D$2),MONTH(主页!$D$2),1),0))/SUMIFS(当年实际!$P:$P,当年实际!$H:$H,$B614,当年实际!$C:$C,"&gt;="&amp;DATE(YEAR(主页!$D$2),1,1),当年实际!$C:$C,"&lt;="&amp;EOMONTH(DATE(YEAR(主页!$D$2),MONTH(主页!$D$2),1),0)),"")</f>
        <v/>
      </c>
    </row>
    <row r="615" spans="1:10" x14ac:dyDescent="0.3">
      <c r="A615" s="135"/>
      <c r="B615" s="136"/>
      <c r="C615" s="138"/>
      <c r="D615" s="139"/>
      <c r="E615" s="141" t="str">
        <f t="shared" si="29"/>
        <v/>
      </c>
      <c r="F615" s="144"/>
      <c r="G615" s="146">
        <f t="shared" si="27"/>
        <v>0</v>
      </c>
      <c r="H615" s="141" t="str">
        <f t="shared" si="28"/>
        <v/>
      </c>
      <c r="J615" s="148" t="str">
        <f>IFERROR(SUMIFS(当年实际!$V:$V,当年实际!$H:$H,$B615,当年实际!$C:$C,"&gt;="&amp;DATE(YEAR(主页!$D$2),1,1),当年实际!$C:$C,"&lt;="&amp;EOMONTH(DATE(YEAR(主页!$D$2),MONTH(主页!$D$2),1),0))/SUMIFS(当年实际!$P:$P,当年实际!$H:$H,$B615,当年实际!$C:$C,"&gt;="&amp;DATE(YEAR(主页!$D$2),1,1),当年实际!$C:$C,"&lt;="&amp;EOMONTH(DATE(YEAR(主页!$D$2),MONTH(主页!$D$2),1),0)),"")</f>
        <v/>
      </c>
    </row>
    <row r="616" spans="1:10" x14ac:dyDescent="0.3">
      <c r="A616" s="135"/>
      <c r="B616" s="136"/>
      <c r="C616" s="138"/>
      <c r="D616" s="139"/>
      <c r="E616" s="141" t="str">
        <f t="shared" si="29"/>
        <v/>
      </c>
      <c r="F616" s="144"/>
      <c r="G616" s="146">
        <f t="shared" si="27"/>
        <v>0</v>
      </c>
      <c r="H616" s="141" t="str">
        <f t="shared" si="28"/>
        <v/>
      </c>
      <c r="J616" s="148" t="str">
        <f>IFERROR(SUMIFS(当年实际!$V:$V,当年实际!$H:$H,$B616,当年实际!$C:$C,"&gt;="&amp;DATE(YEAR(主页!$D$2),1,1),当年实际!$C:$C,"&lt;="&amp;EOMONTH(DATE(YEAR(主页!$D$2),MONTH(主页!$D$2),1),0))/SUMIFS(当年实际!$P:$P,当年实际!$H:$H,$B616,当年实际!$C:$C,"&gt;="&amp;DATE(YEAR(主页!$D$2),1,1),当年实际!$C:$C,"&lt;="&amp;EOMONTH(DATE(YEAR(主页!$D$2),MONTH(主页!$D$2),1),0)),"")</f>
        <v/>
      </c>
    </row>
    <row r="617" spans="1:10" x14ac:dyDescent="0.3">
      <c r="A617" s="135"/>
      <c r="B617" s="136"/>
      <c r="C617" s="138"/>
      <c r="D617" s="139"/>
      <c r="E617" s="141" t="str">
        <f t="shared" si="29"/>
        <v/>
      </c>
      <c r="F617" s="144"/>
      <c r="G617" s="146">
        <f t="shared" si="27"/>
        <v>0</v>
      </c>
      <c r="H617" s="141" t="str">
        <f t="shared" si="28"/>
        <v/>
      </c>
      <c r="J617" s="148" t="str">
        <f>IFERROR(SUMIFS(当年实际!$V:$V,当年实际!$H:$H,$B617,当年实际!$C:$C,"&gt;="&amp;DATE(YEAR(主页!$D$2),1,1),当年实际!$C:$C,"&lt;="&amp;EOMONTH(DATE(YEAR(主页!$D$2),MONTH(主页!$D$2),1),0))/SUMIFS(当年实际!$P:$P,当年实际!$H:$H,$B617,当年实际!$C:$C,"&gt;="&amp;DATE(YEAR(主页!$D$2),1,1),当年实际!$C:$C,"&lt;="&amp;EOMONTH(DATE(YEAR(主页!$D$2),MONTH(主页!$D$2),1),0)),"")</f>
        <v/>
      </c>
    </row>
    <row r="618" spans="1:10" x14ac:dyDescent="0.3">
      <c r="A618" s="135"/>
      <c r="B618" s="136"/>
      <c r="C618" s="138"/>
      <c r="D618" s="139"/>
      <c r="E618" s="141" t="str">
        <f t="shared" si="29"/>
        <v/>
      </c>
      <c r="F618" s="144"/>
      <c r="G618" s="146">
        <f t="shared" si="27"/>
        <v>0</v>
      </c>
      <c r="H618" s="141" t="str">
        <f t="shared" si="28"/>
        <v/>
      </c>
      <c r="J618" s="148" t="str">
        <f>IFERROR(SUMIFS(当年实际!$V:$V,当年实际!$H:$H,$B618,当年实际!$C:$C,"&gt;="&amp;DATE(YEAR(主页!$D$2),1,1),当年实际!$C:$C,"&lt;="&amp;EOMONTH(DATE(YEAR(主页!$D$2),MONTH(主页!$D$2),1),0))/SUMIFS(当年实际!$P:$P,当年实际!$H:$H,$B618,当年实际!$C:$C,"&gt;="&amp;DATE(YEAR(主页!$D$2),1,1),当年实际!$C:$C,"&lt;="&amp;EOMONTH(DATE(YEAR(主页!$D$2),MONTH(主页!$D$2),1),0)),"")</f>
        <v/>
      </c>
    </row>
    <row r="619" spans="1:10" x14ac:dyDescent="0.3">
      <c r="A619" s="135"/>
      <c r="B619" s="136"/>
      <c r="C619" s="138"/>
      <c r="D619" s="139"/>
      <c r="E619" s="141" t="str">
        <f t="shared" si="29"/>
        <v/>
      </c>
      <c r="F619" s="144"/>
      <c r="G619" s="146">
        <f t="shared" si="27"/>
        <v>0</v>
      </c>
      <c r="H619" s="141" t="str">
        <f t="shared" si="28"/>
        <v/>
      </c>
      <c r="J619" s="148" t="str">
        <f>IFERROR(SUMIFS(当年实际!$V:$V,当年实际!$H:$H,$B619,当年实际!$C:$C,"&gt;="&amp;DATE(YEAR(主页!$D$2),1,1),当年实际!$C:$C,"&lt;="&amp;EOMONTH(DATE(YEAR(主页!$D$2),MONTH(主页!$D$2),1),0))/SUMIFS(当年实际!$P:$P,当年实际!$H:$H,$B619,当年实际!$C:$C,"&gt;="&amp;DATE(YEAR(主页!$D$2),1,1),当年实际!$C:$C,"&lt;="&amp;EOMONTH(DATE(YEAR(主页!$D$2),MONTH(主页!$D$2),1),0)),"")</f>
        <v/>
      </c>
    </row>
    <row r="620" spans="1:10" x14ac:dyDescent="0.3">
      <c r="A620" s="135"/>
      <c r="B620" s="136"/>
      <c r="C620" s="138"/>
      <c r="D620" s="139"/>
      <c r="E620" s="141" t="str">
        <f t="shared" si="29"/>
        <v/>
      </c>
      <c r="F620" s="144"/>
      <c r="G620" s="146">
        <f t="shared" si="27"/>
        <v>0</v>
      </c>
      <c r="H620" s="141" t="str">
        <f t="shared" si="28"/>
        <v/>
      </c>
      <c r="J620" s="148" t="str">
        <f>IFERROR(SUMIFS(当年实际!$V:$V,当年实际!$H:$H,$B620,当年实际!$C:$C,"&gt;="&amp;DATE(YEAR(主页!$D$2),1,1),当年实际!$C:$C,"&lt;="&amp;EOMONTH(DATE(YEAR(主页!$D$2),MONTH(主页!$D$2),1),0))/SUMIFS(当年实际!$P:$P,当年实际!$H:$H,$B620,当年实际!$C:$C,"&gt;="&amp;DATE(YEAR(主页!$D$2),1,1),当年实际!$C:$C,"&lt;="&amp;EOMONTH(DATE(YEAR(主页!$D$2),MONTH(主页!$D$2),1),0)),"")</f>
        <v/>
      </c>
    </row>
    <row r="621" spans="1:10" x14ac:dyDescent="0.3">
      <c r="A621" s="135"/>
      <c r="B621" s="136"/>
      <c r="C621" s="138"/>
      <c r="D621" s="139"/>
      <c r="E621" s="141" t="str">
        <f t="shared" si="29"/>
        <v/>
      </c>
      <c r="F621" s="144"/>
      <c r="G621" s="146">
        <f t="shared" si="27"/>
        <v>0</v>
      </c>
      <c r="H621" s="141" t="str">
        <f t="shared" si="28"/>
        <v/>
      </c>
      <c r="J621" s="148" t="str">
        <f>IFERROR(SUMIFS(当年实际!$V:$V,当年实际!$H:$H,$B621,当年实际!$C:$C,"&gt;="&amp;DATE(YEAR(主页!$D$2),1,1),当年实际!$C:$C,"&lt;="&amp;EOMONTH(DATE(YEAR(主页!$D$2),MONTH(主页!$D$2),1),0))/SUMIFS(当年实际!$P:$P,当年实际!$H:$H,$B621,当年实际!$C:$C,"&gt;="&amp;DATE(YEAR(主页!$D$2),1,1),当年实际!$C:$C,"&lt;="&amp;EOMONTH(DATE(YEAR(主页!$D$2),MONTH(主页!$D$2),1),0)),"")</f>
        <v/>
      </c>
    </row>
    <row r="622" spans="1:10" x14ac:dyDescent="0.3">
      <c r="A622" s="135"/>
      <c r="B622" s="136"/>
      <c r="C622" s="138"/>
      <c r="D622" s="139"/>
      <c r="E622" s="141" t="str">
        <f t="shared" si="29"/>
        <v/>
      </c>
      <c r="F622" s="144"/>
      <c r="G622" s="146">
        <f t="shared" si="27"/>
        <v>0</v>
      </c>
      <c r="H622" s="141" t="str">
        <f t="shared" si="28"/>
        <v/>
      </c>
      <c r="J622" s="148" t="str">
        <f>IFERROR(SUMIFS(当年实际!$V:$V,当年实际!$H:$H,$B622,当年实际!$C:$C,"&gt;="&amp;DATE(YEAR(主页!$D$2),1,1),当年实际!$C:$C,"&lt;="&amp;EOMONTH(DATE(YEAR(主页!$D$2),MONTH(主页!$D$2),1),0))/SUMIFS(当年实际!$P:$P,当年实际!$H:$H,$B622,当年实际!$C:$C,"&gt;="&amp;DATE(YEAR(主页!$D$2),1,1),当年实际!$C:$C,"&lt;="&amp;EOMONTH(DATE(YEAR(主页!$D$2),MONTH(主页!$D$2),1),0)),"")</f>
        <v/>
      </c>
    </row>
    <row r="623" spans="1:10" x14ac:dyDescent="0.3">
      <c r="A623" s="135"/>
      <c r="B623" s="136"/>
      <c r="C623" s="138"/>
      <c r="D623" s="139"/>
      <c r="E623" s="141" t="str">
        <f t="shared" si="29"/>
        <v/>
      </c>
      <c r="F623" s="144"/>
      <c r="G623" s="146">
        <f t="shared" si="27"/>
        <v>0</v>
      </c>
      <c r="H623" s="141" t="str">
        <f t="shared" si="28"/>
        <v/>
      </c>
      <c r="J623" s="148" t="str">
        <f>IFERROR(SUMIFS(当年实际!$V:$V,当年实际!$H:$H,$B623,当年实际!$C:$C,"&gt;="&amp;DATE(YEAR(主页!$D$2),1,1),当年实际!$C:$C,"&lt;="&amp;EOMONTH(DATE(YEAR(主页!$D$2),MONTH(主页!$D$2),1),0))/SUMIFS(当年实际!$P:$P,当年实际!$H:$H,$B623,当年实际!$C:$C,"&gt;="&amp;DATE(YEAR(主页!$D$2),1,1),当年实际!$C:$C,"&lt;="&amp;EOMONTH(DATE(YEAR(主页!$D$2),MONTH(主页!$D$2),1),0)),"")</f>
        <v/>
      </c>
    </row>
    <row r="624" spans="1:10" x14ac:dyDescent="0.3">
      <c r="A624" s="135"/>
      <c r="B624" s="136"/>
      <c r="C624" s="138"/>
      <c r="D624" s="139"/>
      <c r="E624" s="141" t="str">
        <f t="shared" si="29"/>
        <v/>
      </c>
      <c r="F624" s="144"/>
      <c r="G624" s="146">
        <f t="shared" si="27"/>
        <v>0</v>
      </c>
      <c r="H624" s="141" t="str">
        <f t="shared" si="28"/>
        <v/>
      </c>
      <c r="J624" s="148" t="str">
        <f>IFERROR(SUMIFS(当年实际!$V:$V,当年实际!$H:$H,$B624,当年实际!$C:$C,"&gt;="&amp;DATE(YEAR(主页!$D$2),1,1),当年实际!$C:$C,"&lt;="&amp;EOMONTH(DATE(YEAR(主页!$D$2),MONTH(主页!$D$2),1),0))/SUMIFS(当年实际!$P:$P,当年实际!$H:$H,$B624,当年实际!$C:$C,"&gt;="&amp;DATE(YEAR(主页!$D$2),1,1),当年实际!$C:$C,"&lt;="&amp;EOMONTH(DATE(YEAR(主页!$D$2),MONTH(主页!$D$2),1),0)),"")</f>
        <v/>
      </c>
    </row>
    <row r="625" spans="1:10" x14ac:dyDescent="0.3">
      <c r="A625" s="135"/>
      <c r="B625" s="136"/>
      <c r="C625" s="138"/>
      <c r="D625" s="139"/>
      <c r="E625" s="141" t="str">
        <f t="shared" si="29"/>
        <v/>
      </c>
      <c r="F625" s="144"/>
      <c r="G625" s="146">
        <f t="shared" si="27"/>
        <v>0</v>
      </c>
      <c r="H625" s="141" t="str">
        <f t="shared" si="28"/>
        <v/>
      </c>
      <c r="J625" s="148" t="str">
        <f>IFERROR(SUMIFS(当年实际!$V:$V,当年实际!$H:$H,$B625,当年实际!$C:$C,"&gt;="&amp;DATE(YEAR(主页!$D$2),1,1),当年实际!$C:$C,"&lt;="&amp;EOMONTH(DATE(YEAR(主页!$D$2),MONTH(主页!$D$2),1),0))/SUMIFS(当年实际!$P:$P,当年实际!$H:$H,$B625,当年实际!$C:$C,"&gt;="&amp;DATE(YEAR(主页!$D$2),1,1),当年实际!$C:$C,"&lt;="&amp;EOMONTH(DATE(YEAR(主页!$D$2),MONTH(主页!$D$2),1),0)),"")</f>
        <v/>
      </c>
    </row>
    <row r="626" spans="1:10" x14ac:dyDescent="0.3">
      <c r="A626" s="135"/>
      <c r="B626" s="136"/>
      <c r="C626" s="138"/>
      <c r="D626" s="139"/>
      <c r="E626" s="141" t="str">
        <f t="shared" si="29"/>
        <v/>
      </c>
      <c r="F626" s="144"/>
      <c r="G626" s="146">
        <f t="shared" si="27"/>
        <v>0</v>
      </c>
      <c r="H626" s="141" t="str">
        <f t="shared" si="28"/>
        <v/>
      </c>
      <c r="J626" s="148" t="str">
        <f>IFERROR(SUMIFS(当年实际!$V:$V,当年实际!$H:$H,$B626,当年实际!$C:$C,"&gt;="&amp;DATE(YEAR(主页!$D$2),1,1),当年实际!$C:$C,"&lt;="&amp;EOMONTH(DATE(YEAR(主页!$D$2),MONTH(主页!$D$2),1),0))/SUMIFS(当年实际!$P:$P,当年实际!$H:$H,$B626,当年实际!$C:$C,"&gt;="&amp;DATE(YEAR(主页!$D$2),1,1),当年实际!$C:$C,"&lt;="&amp;EOMONTH(DATE(YEAR(主页!$D$2),MONTH(主页!$D$2),1),0)),"")</f>
        <v/>
      </c>
    </row>
    <row r="627" spans="1:10" x14ac:dyDescent="0.3">
      <c r="A627" s="135"/>
      <c r="B627" s="136"/>
      <c r="C627" s="138"/>
      <c r="D627" s="139"/>
      <c r="E627" s="141" t="str">
        <f t="shared" si="29"/>
        <v/>
      </c>
      <c r="F627" s="144"/>
      <c r="G627" s="146">
        <f t="shared" si="27"/>
        <v>0</v>
      </c>
      <c r="H627" s="141" t="str">
        <f t="shared" si="28"/>
        <v/>
      </c>
      <c r="J627" s="148" t="str">
        <f>IFERROR(SUMIFS(当年实际!$V:$V,当年实际!$H:$H,$B627,当年实际!$C:$C,"&gt;="&amp;DATE(YEAR(主页!$D$2),1,1),当年实际!$C:$C,"&lt;="&amp;EOMONTH(DATE(YEAR(主页!$D$2),MONTH(主页!$D$2),1),0))/SUMIFS(当年实际!$P:$P,当年实际!$H:$H,$B627,当年实际!$C:$C,"&gt;="&amp;DATE(YEAR(主页!$D$2),1,1),当年实际!$C:$C,"&lt;="&amp;EOMONTH(DATE(YEAR(主页!$D$2),MONTH(主页!$D$2),1),0)),"")</f>
        <v/>
      </c>
    </row>
    <row r="628" spans="1:10" x14ac:dyDescent="0.3">
      <c r="A628" s="135"/>
      <c r="B628" s="136"/>
      <c r="C628" s="138"/>
      <c r="D628" s="139"/>
      <c r="E628" s="141" t="str">
        <f t="shared" si="29"/>
        <v/>
      </c>
      <c r="F628" s="144"/>
      <c r="G628" s="146">
        <f t="shared" si="27"/>
        <v>0</v>
      </c>
      <c r="H628" s="141" t="str">
        <f t="shared" si="28"/>
        <v/>
      </c>
      <c r="J628" s="148" t="str">
        <f>IFERROR(SUMIFS(当年实际!$V:$V,当年实际!$H:$H,$B628,当年实际!$C:$C,"&gt;="&amp;DATE(YEAR(主页!$D$2),1,1),当年实际!$C:$C,"&lt;="&amp;EOMONTH(DATE(YEAR(主页!$D$2),MONTH(主页!$D$2),1),0))/SUMIFS(当年实际!$P:$P,当年实际!$H:$H,$B628,当年实际!$C:$C,"&gt;="&amp;DATE(YEAR(主页!$D$2),1,1),当年实际!$C:$C,"&lt;="&amp;EOMONTH(DATE(YEAR(主页!$D$2),MONTH(主页!$D$2),1),0)),"")</f>
        <v/>
      </c>
    </row>
    <row r="629" spans="1:10" x14ac:dyDescent="0.3">
      <c r="A629" s="135"/>
      <c r="B629" s="136"/>
      <c r="C629" s="138"/>
      <c r="D629" s="139"/>
      <c r="E629" s="141" t="str">
        <f t="shared" si="29"/>
        <v/>
      </c>
      <c r="F629" s="144"/>
      <c r="G629" s="146">
        <f t="shared" si="27"/>
        <v>0</v>
      </c>
      <c r="H629" s="141" t="str">
        <f t="shared" si="28"/>
        <v/>
      </c>
      <c r="J629" s="148" t="str">
        <f>IFERROR(SUMIFS(当年实际!$V:$V,当年实际!$H:$H,$B629,当年实际!$C:$C,"&gt;="&amp;DATE(YEAR(主页!$D$2),1,1),当年实际!$C:$C,"&lt;="&amp;EOMONTH(DATE(YEAR(主页!$D$2),MONTH(主页!$D$2),1),0))/SUMIFS(当年实际!$P:$P,当年实际!$H:$H,$B629,当年实际!$C:$C,"&gt;="&amp;DATE(YEAR(主页!$D$2),1,1),当年实际!$C:$C,"&lt;="&amp;EOMONTH(DATE(YEAR(主页!$D$2),MONTH(主页!$D$2),1),0)),"")</f>
        <v/>
      </c>
    </row>
    <row r="630" spans="1:10" x14ac:dyDescent="0.3">
      <c r="A630" s="135"/>
      <c r="B630" s="136"/>
      <c r="C630" s="138"/>
      <c r="D630" s="139"/>
      <c r="E630" s="141" t="str">
        <f t="shared" si="29"/>
        <v/>
      </c>
      <c r="F630" s="144"/>
      <c r="G630" s="146">
        <f t="shared" si="27"/>
        <v>0</v>
      </c>
      <c r="H630" s="141" t="str">
        <f t="shared" si="28"/>
        <v/>
      </c>
      <c r="J630" s="148" t="str">
        <f>IFERROR(SUMIFS(当年实际!$V:$V,当年实际!$H:$H,$B630,当年实际!$C:$C,"&gt;="&amp;DATE(YEAR(主页!$D$2),1,1),当年实际!$C:$C,"&lt;="&amp;EOMONTH(DATE(YEAR(主页!$D$2),MONTH(主页!$D$2),1),0))/SUMIFS(当年实际!$P:$P,当年实际!$H:$H,$B630,当年实际!$C:$C,"&gt;="&amp;DATE(YEAR(主页!$D$2),1,1),当年实际!$C:$C,"&lt;="&amp;EOMONTH(DATE(YEAR(主页!$D$2),MONTH(主页!$D$2),1),0)),"")</f>
        <v/>
      </c>
    </row>
    <row r="631" spans="1:10" x14ac:dyDescent="0.3">
      <c r="A631" s="135"/>
      <c r="B631" s="136"/>
      <c r="C631" s="138"/>
      <c r="D631" s="139"/>
      <c r="E631" s="141" t="str">
        <f t="shared" si="29"/>
        <v/>
      </c>
      <c r="F631" s="144"/>
      <c r="G631" s="146">
        <f t="shared" si="27"/>
        <v>0</v>
      </c>
      <c r="H631" s="141" t="str">
        <f t="shared" si="28"/>
        <v/>
      </c>
      <c r="J631" s="148" t="str">
        <f>IFERROR(SUMIFS(当年实际!$V:$V,当年实际!$H:$H,$B631,当年实际!$C:$C,"&gt;="&amp;DATE(YEAR(主页!$D$2),1,1),当年实际!$C:$C,"&lt;="&amp;EOMONTH(DATE(YEAR(主页!$D$2),MONTH(主页!$D$2),1),0))/SUMIFS(当年实际!$P:$P,当年实际!$H:$H,$B631,当年实际!$C:$C,"&gt;="&amp;DATE(YEAR(主页!$D$2),1,1),当年实际!$C:$C,"&lt;="&amp;EOMONTH(DATE(YEAR(主页!$D$2),MONTH(主页!$D$2),1),0)),"")</f>
        <v/>
      </c>
    </row>
    <row r="632" spans="1:10" x14ac:dyDescent="0.3">
      <c r="A632" s="135"/>
      <c r="B632" s="136"/>
      <c r="C632" s="138"/>
      <c r="D632" s="139"/>
      <c r="E632" s="141" t="str">
        <f t="shared" si="29"/>
        <v/>
      </c>
      <c r="F632" s="144"/>
      <c r="G632" s="146">
        <f t="shared" si="27"/>
        <v>0</v>
      </c>
      <c r="H632" s="141" t="str">
        <f t="shared" si="28"/>
        <v/>
      </c>
      <c r="J632" s="148" t="str">
        <f>IFERROR(SUMIFS(当年实际!$V:$V,当年实际!$H:$H,$B632,当年实际!$C:$C,"&gt;="&amp;DATE(YEAR(主页!$D$2),1,1),当年实际!$C:$C,"&lt;="&amp;EOMONTH(DATE(YEAR(主页!$D$2),MONTH(主页!$D$2),1),0))/SUMIFS(当年实际!$P:$P,当年实际!$H:$H,$B632,当年实际!$C:$C,"&gt;="&amp;DATE(YEAR(主页!$D$2),1,1),当年实际!$C:$C,"&lt;="&amp;EOMONTH(DATE(YEAR(主页!$D$2),MONTH(主页!$D$2),1),0)),"")</f>
        <v/>
      </c>
    </row>
    <row r="633" spans="1:10" x14ac:dyDescent="0.3">
      <c r="A633" s="135"/>
      <c r="B633" s="136"/>
      <c r="C633" s="138"/>
      <c r="D633" s="139"/>
      <c r="E633" s="141" t="str">
        <f t="shared" si="29"/>
        <v/>
      </c>
      <c r="F633" s="144"/>
      <c r="G633" s="146">
        <f t="shared" si="27"/>
        <v>0</v>
      </c>
      <c r="H633" s="141" t="str">
        <f t="shared" si="28"/>
        <v/>
      </c>
      <c r="J633" s="148" t="str">
        <f>IFERROR(SUMIFS(当年实际!$V:$V,当年实际!$H:$H,$B633,当年实际!$C:$C,"&gt;="&amp;DATE(YEAR(主页!$D$2),1,1),当年实际!$C:$C,"&lt;="&amp;EOMONTH(DATE(YEAR(主页!$D$2),MONTH(主页!$D$2),1),0))/SUMIFS(当年实际!$P:$P,当年实际!$H:$H,$B633,当年实际!$C:$C,"&gt;="&amp;DATE(YEAR(主页!$D$2),1,1),当年实际!$C:$C,"&lt;="&amp;EOMONTH(DATE(YEAR(主页!$D$2),MONTH(主页!$D$2),1),0)),"")</f>
        <v/>
      </c>
    </row>
    <row r="634" spans="1:10" x14ac:dyDescent="0.3">
      <c r="A634" s="135"/>
      <c r="B634" s="136"/>
      <c r="C634" s="138"/>
      <c r="D634" s="139"/>
      <c r="E634" s="141" t="str">
        <f t="shared" si="29"/>
        <v/>
      </c>
      <c r="F634" s="144"/>
      <c r="G634" s="146">
        <f t="shared" si="27"/>
        <v>0</v>
      </c>
      <c r="H634" s="141" t="str">
        <f t="shared" si="28"/>
        <v/>
      </c>
      <c r="J634" s="148" t="str">
        <f>IFERROR(SUMIFS(当年实际!$V:$V,当年实际!$H:$H,$B634,当年实际!$C:$C,"&gt;="&amp;DATE(YEAR(主页!$D$2),1,1),当年实际!$C:$C,"&lt;="&amp;EOMONTH(DATE(YEAR(主页!$D$2),MONTH(主页!$D$2),1),0))/SUMIFS(当年实际!$P:$P,当年实际!$H:$H,$B634,当年实际!$C:$C,"&gt;="&amp;DATE(YEAR(主页!$D$2),1,1),当年实际!$C:$C,"&lt;="&amp;EOMONTH(DATE(YEAR(主页!$D$2),MONTH(主页!$D$2),1),0)),"")</f>
        <v/>
      </c>
    </row>
    <row r="635" spans="1:10" x14ac:dyDescent="0.3">
      <c r="A635" s="135"/>
      <c r="B635" s="136"/>
      <c r="C635" s="138"/>
      <c r="D635" s="139"/>
      <c r="E635" s="141" t="str">
        <f t="shared" si="29"/>
        <v/>
      </c>
      <c r="F635" s="144"/>
      <c r="G635" s="146">
        <f t="shared" si="27"/>
        <v>0</v>
      </c>
      <c r="H635" s="141" t="str">
        <f t="shared" si="28"/>
        <v/>
      </c>
      <c r="J635" s="148" t="str">
        <f>IFERROR(SUMIFS(当年实际!$V:$V,当年实际!$H:$H,$B635,当年实际!$C:$C,"&gt;="&amp;DATE(YEAR(主页!$D$2),1,1),当年实际!$C:$C,"&lt;="&amp;EOMONTH(DATE(YEAR(主页!$D$2),MONTH(主页!$D$2),1),0))/SUMIFS(当年实际!$P:$P,当年实际!$H:$H,$B635,当年实际!$C:$C,"&gt;="&amp;DATE(YEAR(主页!$D$2),1,1),当年实际!$C:$C,"&lt;="&amp;EOMONTH(DATE(YEAR(主页!$D$2),MONTH(主页!$D$2),1),0)),"")</f>
        <v/>
      </c>
    </row>
    <row r="636" spans="1:10" x14ac:dyDescent="0.3">
      <c r="A636" s="135"/>
      <c r="B636" s="136"/>
      <c r="C636" s="138"/>
      <c r="D636" s="139"/>
      <c r="E636" s="141" t="str">
        <f t="shared" si="29"/>
        <v/>
      </c>
      <c r="F636" s="144"/>
      <c r="G636" s="146">
        <f t="shared" si="27"/>
        <v>0</v>
      </c>
      <c r="H636" s="141" t="str">
        <f t="shared" si="28"/>
        <v/>
      </c>
      <c r="J636" s="148" t="str">
        <f>IFERROR(SUMIFS(当年实际!$V:$V,当年实际!$H:$H,$B636,当年实际!$C:$C,"&gt;="&amp;DATE(YEAR(主页!$D$2),1,1),当年实际!$C:$C,"&lt;="&amp;EOMONTH(DATE(YEAR(主页!$D$2),MONTH(主页!$D$2),1),0))/SUMIFS(当年实际!$P:$P,当年实际!$H:$H,$B636,当年实际!$C:$C,"&gt;="&amp;DATE(YEAR(主页!$D$2),1,1),当年实际!$C:$C,"&lt;="&amp;EOMONTH(DATE(YEAR(主页!$D$2),MONTH(主页!$D$2),1),0)),"")</f>
        <v/>
      </c>
    </row>
    <row r="637" spans="1:10" x14ac:dyDescent="0.3">
      <c r="A637" s="135"/>
      <c r="B637" s="136"/>
      <c r="C637" s="138"/>
      <c r="D637" s="139"/>
      <c r="E637" s="141" t="str">
        <f t="shared" si="29"/>
        <v/>
      </c>
      <c r="F637" s="144"/>
      <c r="G637" s="146">
        <f t="shared" si="27"/>
        <v>0</v>
      </c>
      <c r="H637" s="141" t="str">
        <f t="shared" si="28"/>
        <v/>
      </c>
      <c r="J637" s="148" t="str">
        <f>IFERROR(SUMIFS(当年实际!$V:$V,当年实际!$H:$H,$B637,当年实际!$C:$C,"&gt;="&amp;DATE(YEAR(主页!$D$2),1,1),当年实际!$C:$C,"&lt;="&amp;EOMONTH(DATE(YEAR(主页!$D$2),MONTH(主页!$D$2),1),0))/SUMIFS(当年实际!$P:$P,当年实际!$H:$H,$B637,当年实际!$C:$C,"&gt;="&amp;DATE(YEAR(主页!$D$2),1,1),当年实际!$C:$C,"&lt;="&amp;EOMONTH(DATE(YEAR(主页!$D$2),MONTH(主页!$D$2),1),0)),"")</f>
        <v/>
      </c>
    </row>
    <row r="638" spans="1:10" x14ac:dyDescent="0.3">
      <c r="A638" s="135"/>
      <c r="B638" s="136"/>
      <c r="C638" s="138"/>
      <c r="D638" s="139"/>
      <c r="E638" s="141" t="str">
        <f t="shared" si="29"/>
        <v/>
      </c>
      <c r="F638" s="144"/>
      <c r="G638" s="146">
        <f t="shared" si="27"/>
        <v>0</v>
      </c>
      <c r="H638" s="141" t="str">
        <f t="shared" si="28"/>
        <v/>
      </c>
      <c r="J638" s="148" t="str">
        <f>IFERROR(SUMIFS(当年实际!$V:$V,当年实际!$H:$H,$B638,当年实际!$C:$C,"&gt;="&amp;DATE(YEAR(主页!$D$2),1,1),当年实际!$C:$C,"&lt;="&amp;EOMONTH(DATE(YEAR(主页!$D$2),MONTH(主页!$D$2),1),0))/SUMIFS(当年实际!$P:$P,当年实际!$H:$H,$B638,当年实际!$C:$C,"&gt;="&amp;DATE(YEAR(主页!$D$2),1,1),当年实际!$C:$C,"&lt;="&amp;EOMONTH(DATE(YEAR(主页!$D$2),MONTH(主页!$D$2),1),0)),"")</f>
        <v/>
      </c>
    </row>
    <row r="639" spans="1:10" x14ac:dyDescent="0.3">
      <c r="A639" s="135"/>
      <c r="B639" s="136"/>
      <c r="C639" s="138"/>
      <c r="D639" s="139"/>
      <c r="E639" s="141" t="str">
        <f t="shared" si="29"/>
        <v/>
      </c>
      <c r="F639" s="144"/>
      <c r="G639" s="146">
        <f t="shared" si="27"/>
        <v>0</v>
      </c>
      <c r="H639" s="141" t="str">
        <f t="shared" si="28"/>
        <v/>
      </c>
      <c r="J639" s="148" t="str">
        <f>IFERROR(SUMIFS(当年实际!$V:$V,当年实际!$H:$H,$B639,当年实际!$C:$C,"&gt;="&amp;DATE(YEAR(主页!$D$2),1,1),当年实际!$C:$C,"&lt;="&amp;EOMONTH(DATE(YEAR(主页!$D$2),MONTH(主页!$D$2),1),0))/SUMIFS(当年实际!$P:$P,当年实际!$H:$H,$B639,当年实际!$C:$C,"&gt;="&amp;DATE(YEAR(主页!$D$2),1,1),当年实际!$C:$C,"&lt;="&amp;EOMONTH(DATE(YEAR(主页!$D$2),MONTH(主页!$D$2),1),0)),"")</f>
        <v/>
      </c>
    </row>
    <row r="640" spans="1:10" x14ac:dyDescent="0.3">
      <c r="A640" s="135"/>
      <c r="B640" s="136"/>
      <c r="C640" s="138"/>
      <c r="D640" s="139"/>
      <c r="E640" s="141" t="str">
        <f t="shared" si="29"/>
        <v/>
      </c>
      <c r="F640" s="144"/>
      <c r="G640" s="146">
        <f t="shared" si="27"/>
        <v>0</v>
      </c>
      <c r="H640" s="141" t="str">
        <f t="shared" si="28"/>
        <v/>
      </c>
      <c r="J640" s="148" t="str">
        <f>IFERROR(SUMIFS(当年实际!$V:$V,当年实际!$H:$H,$B640,当年实际!$C:$C,"&gt;="&amp;DATE(YEAR(主页!$D$2),1,1),当年实际!$C:$C,"&lt;="&amp;EOMONTH(DATE(YEAR(主页!$D$2),MONTH(主页!$D$2),1),0))/SUMIFS(当年实际!$P:$P,当年实际!$H:$H,$B640,当年实际!$C:$C,"&gt;="&amp;DATE(YEAR(主页!$D$2),1,1),当年实际!$C:$C,"&lt;="&amp;EOMONTH(DATE(YEAR(主页!$D$2),MONTH(主页!$D$2),1),0)),"")</f>
        <v/>
      </c>
    </row>
    <row r="641" spans="1:10" x14ac:dyDescent="0.3">
      <c r="A641" s="135"/>
      <c r="B641" s="136"/>
      <c r="C641" s="138"/>
      <c r="D641" s="139"/>
      <c r="E641" s="141" t="str">
        <f t="shared" si="29"/>
        <v/>
      </c>
      <c r="F641" s="144"/>
      <c r="G641" s="146">
        <f t="shared" si="27"/>
        <v>0</v>
      </c>
      <c r="H641" s="141" t="str">
        <f t="shared" si="28"/>
        <v/>
      </c>
      <c r="J641" s="148" t="str">
        <f>IFERROR(SUMIFS(当年实际!$V:$V,当年实际!$H:$H,$B641,当年实际!$C:$C,"&gt;="&amp;DATE(YEAR(主页!$D$2),1,1),当年实际!$C:$C,"&lt;="&amp;EOMONTH(DATE(YEAR(主页!$D$2),MONTH(主页!$D$2),1),0))/SUMIFS(当年实际!$P:$P,当年实际!$H:$H,$B641,当年实际!$C:$C,"&gt;="&amp;DATE(YEAR(主页!$D$2),1,1),当年实际!$C:$C,"&lt;="&amp;EOMONTH(DATE(YEAR(主页!$D$2),MONTH(主页!$D$2),1),0)),"")</f>
        <v/>
      </c>
    </row>
    <row r="642" spans="1:10" x14ac:dyDescent="0.3">
      <c r="A642" s="135"/>
      <c r="B642" s="136"/>
      <c r="C642" s="138"/>
      <c r="D642" s="139"/>
      <c r="E642" s="141" t="str">
        <f t="shared" si="29"/>
        <v/>
      </c>
      <c r="F642" s="144"/>
      <c r="G642" s="146">
        <f t="shared" si="27"/>
        <v>0</v>
      </c>
      <c r="H642" s="141" t="str">
        <f t="shared" si="28"/>
        <v/>
      </c>
      <c r="J642" s="148" t="str">
        <f>IFERROR(SUMIFS(当年实际!$V:$V,当年实际!$H:$H,$B642,当年实际!$C:$C,"&gt;="&amp;DATE(YEAR(主页!$D$2),1,1),当年实际!$C:$C,"&lt;="&amp;EOMONTH(DATE(YEAR(主页!$D$2),MONTH(主页!$D$2),1),0))/SUMIFS(当年实际!$P:$P,当年实际!$H:$H,$B642,当年实际!$C:$C,"&gt;="&amp;DATE(YEAR(主页!$D$2),1,1),当年实际!$C:$C,"&lt;="&amp;EOMONTH(DATE(YEAR(主页!$D$2),MONTH(主页!$D$2),1),0)),"")</f>
        <v/>
      </c>
    </row>
    <row r="643" spans="1:10" x14ac:dyDescent="0.3">
      <c r="A643" s="135"/>
      <c r="B643" s="136"/>
      <c r="C643" s="138"/>
      <c r="D643" s="139"/>
      <c r="E643" s="141" t="str">
        <f t="shared" si="29"/>
        <v/>
      </c>
      <c r="F643" s="144"/>
      <c r="G643" s="146">
        <f t="shared" si="27"/>
        <v>0</v>
      </c>
      <c r="H643" s="141" t="str">
        <f t="shared" si="28"/>
        <v/>
      </c>
      <c r="J643" s="148" t="str">
        <f>IFERROR(SUMIFS(当年实际!$V:$V,当年实际!$H:$H,$B643,当年实际!$C:$C,"&gt;="&amp;DATE(YEAR(主页!$D$2),1,1),当年实际!$C:$C,"&lt;="&amp;EOMONTH(DATE(YEAR(主页!$D$2),MONTH(主页!$D$2),1),0))/SUMIFS(当年实际!$P:$P,当年实际!$H:$H,$B643,当年实际!$C:$C,"&gt;="&amp;DATE(YEAR(主页!$D$2),1,1),当年实际!$C:$C,"&lt;="&amp;EOMONTH(DATE(YEAR(主页!$D$2),MONTH(主页!$D$2),1),0)),"")</f>
        <v/>
      </c>
    </row>
    <row r="644" spans="1:10" x14ac:dyDescent="0.3">
      <c r="A644" s="135"/>
      <c r="B644" s="136"/>
      <c r="C644" s="138"/>
      <c r="D644" s="139"/>
      <c r="E644" s="141" t="str">
        <f t="shared" si="29"/>
        <v/>
      </c>
      <c r="F644" s="144"/>
      <c r="G644" s="146">
        <f t="shared" si="27"/>
        <v>0</v>
      </c>
      <c r="H644" s="141" t="str">
        <f t="shared" si="28"/>
        <v/>
      </c>
      <c r="J644" s="148" t="str">
        <f>IFERROR(SUMIFS(当年实际!$V:$V,当年实际!$H:$H,$B644,当年实际!$C:$C,"&gt;="&amp;DATE(YEAR(主页!$D$2),1,1),当年实际!$C:$C,"&lt;="&amp;EOMONTH(DATE(YEAR(主页!$D$2),MONTH(主页!$D$2),1),0))/SUMIFS(当年实际!$P:$P,当年实际!$H:$H,$B644,当年实际!$C:$C,"&gt;="&amp;DATE(YEAR(主页!$D$2),1,1),当年实际!$C:$C,"&lt;="&amp;EOMONTH(DATE(YEAR(主页!$D$2),MONTH(主页!$D$2),1),0)),"")</f>
        <v/>
      </c>
    </row>
    <row r="645" spans="1:10" x14ac:dyDescent="0.3">
      <c r="A645" s="135"/>
      <c r="B645" s="136"/>
      <c r="C645" s="138"/>
      <c r="D645" s="139"/>
      <c r="E645" s="141" t="str">
        <f t="shared" si="29"/>
        <v/>
      </c>
      <c r="F645" s="144"/>
      <c r="G645" s="146">
        <f t="shared" ref="G645:G708" si="30">D645*F645</f>
        <v>0</v>
      </c>
      <c r="H645" s="141" t="str">
        <f t="shared" si="28"/>
        <v/>
      </c>
      <c r="J645" s="148" t="str">
        <f>IFERROR(SUMIFS(当年实际!$V:$V,当年实际!$H:$H,$B645,当年实际!$C:$C,"&gt;="&amp;DATE(YEAR(主页!$D$2),1,1),当年实际!$C:$C,"&lt;="&amp;EOMONTH(DATE(YEAR(主页!$D$2),MONTH(主页!$D$2),1),0))/SUMIFS(当年实际!$P:$P,当年实际!$H:$H,$B645,当年实际!$C:$C,"&gt;="&amp;DATE(YEAR(主页!$D$2),1,1),当年实际!$C:$C,"&lt;="&amp;EOMONTH(DATE(YEAR(主页!$D$2),MONTH(主页!$D$2),1),0)),"")</f>
        <v/>
      </c>
    </row>
    <row r="646" spans="1:10" x14ac:dyDescent="0.3">
      <c r="A646" s="135"/>
      <c r="B646" s="136"/>
      <c r="C646" s="138"/>
      <c r="D646" s="139"/>
      <c r="E646" s="141" t="str">
        <f t="shared" si="29"/>
        <v/>
      </c>
      <c r="F646" s="144"/>
      <c r="G646" s="146">
        <f t="shared" si="30"/>
        <v>0</v>
      </c>
      <c r="H646" s="141" t="str">
        <f t="shared" ref="H646:H709" si="31">IF(G646/SUM(G:G)=0,"",G646/SUM(G:G))</f>
        <v/>
      </c>
      <c r="J646" s="148" t="str">
        <f>IFERROR(SUMIFS(当年实际!$V:$V,当年实际!$H:$H,$B646,当年实际!$C:$C,"&gt;="&amp;DATE(YEAR(主页!$D$2),1,1),当年实际!$C:$C,"&lt;="&amp;EOMONTH(DATE(YEAR(主页!$D$2),MONTH(主页!$D$2),1),0))/SUMIFS(当年实际!$P:$P,当年实际!$H:$H,$B646,当年实际!$C:$C,"&gt;="&amp;DATE(YEAR(主页!$D$2),1,1),当年实际!$C:$C,"&lt;="&amp;EOMONTH(DATE(YEAR(主页!$D$2),MONTH(主页!$D$2),1),0)),"")</f>
        <v/>
      </c>
    </row>
    <row r="647" spans="1:10" x14ac:dyDescent="0.3">
      <c r="A647" s="135"/>
      <c r="B647" s="136"/>
      <c r="C647" s="138"/>
      <c r="D647" s="139"/>
      <c r="E647" s="141" t="str">
        <f t="shared" si="29"/>
        <v/>
      </c>
      <c r="F647" s="144"/>
      <c r="G647" s="146">
        <f t="shared" si="30"/>
        <v>0</v>
      </c>
      <c r="H647" s="141" t="str">
        <f t="shared" si="31"/>
        <v/>
      </c>
      <c r="J647" s="148" t="str">
        <f>IFERROR(SUMIFS(当年实际!$V:$V,当年实际!$H:$H,$B647,当年实际!$C:$C,"&gt;="&amp;DATE(YEAR(主页!$D$2),1,1),当年实际!$C:$C,"&lt;="&amp;EOMONTH(DATE(YEAR(主页!$D$2),MONTH(主页!$D$2),1),0))/SUMIFS(当年实际!$P:$P,当年实际!$H:$H,$B647,当年实际!$C:$C,"&gt;="&amp;DATE(YEAR(主页!$D$2),1,1),当年实际!$C:$C,"&lt;="&amp;EOMONTH(DATE(YEAR(主页!$D$2),MONTH(主页!$D$2),1),0)),"")</f>
        <v/>
      </c>
    </row>
    <row r="648" spans="1:10" x14ac:dyDescent="0.3">
      <c r="A648" s="135"/>
      <c r="B648" s="136"/>
      <c r="C648" s="138"/>
      <c r="D648" s="139"/>
      <c r="E648" s="141" t="str">
        <f t="shared" ref="E648:E711" si="32">IF(D648/SUM(D:D)=0,"",D648/SUM(D:D))</f>
        <v/>
      </c>
      <c r="F648" s="144"/>
      <c r="G648" s="146">
        <f t="shared" si="30"/>
        <v>0</v>
      </c>
      <c r="H648" s="141" t="str">
        <f t="shared" si="31"/>
        <v/>
      </c>
      <c r="J648" s="148" t="str">
        <f>IFERROR(SUMIFS(当年实际!$V:$V,当年实际!$H:$H,$B648,当年实际!$C:$C,"&gt;="&amp;DATE(YEAR(主页!$D$2),1,1),当年实际!$C:$C,"&lt;="&amp;EOMONTH(DATE(YEAR(主页!$D$2),MONTH(主页!$D$2),1),0))/SUMIFS(当年实际!$P:$P,当年实际!$H:$H,$B648,当年实际!$C:$C,"&gt;="&amp;DATE(YEAR(主页!$D$2),1,1),当年实际!$C:$C,"&lt;="&amp;EOMONTH(DATE(YEAR(主页!$D$2),MONTH(主页!$D$2),1),0)),"")</f>
        <v/>
      </c>
    </row>
    <row r="649" spans="1:10" x14ac:dyDescent="0.3">
      <c r="A649" s="135"/>
      <c r="B649" s="136"/>
      <c r="C649" s="138"/>
      <c r="D649" s="139"/>
      <c r="E649" s="141" t="str">
        <f t="shared" si="32"/>
        <v/>
      </c>
      <c r="F649" s="144"/>
      <c r="G649" s="146">
        <f t="shared" si="30"/>
        <v>0</v>
      </c>
      <c r="H649" s="141" t="str">
        <f t="shared" si="31"/>
        <v/>
      </c>
      <c r="J649" s="148" t="str">
        <f>IFERROR(SUMIFS(当年实际!$V:$V,当年实际!$H:$H,$B649,当年实际!$C:$C,"&gt;="&amp;DATE(YEAR(主页!$D$2),1,1),当年实际!$C:$C,"&lt;="&amp;EOMONTH(DATE(YEAR(主页!$D$2),MONTH(主页!$D$2),1),0))/SUMIFS(当年实际!$P:$P,当年实际!$H:$H,$B649,当年实际!$C:$C,"&gt;="&amp;DATE(YEAR(主页!$D$2),1,1),当年实际!$C:$C,"&lt;="&amp;EOMONTH(DATE(YEAR(主页!$D$2),MONTH(主页!$D$2),1),0)),"")</f>
        <v/>
      </c>
    </row>
    <row r="650" spans="1:10" x14ac:dyDescent="0.3">
      <c r="A650" s="135"/>
      <c r="B650" s="136"/>
      <c r="C650" s="138"/>
      <c r="D650" s="139"/>
      <c r="E650" s="141" t="str">
        <f t="shared" si="32"/>
        <v/>
      </c>
      <c r="F650" s="144"/>
      <c r="G650" s="146">
        <f t="shared" si="30"/>
        <v>0</v>
      </c>
      <c r="H650" s="141" t="str">
        <f t="shared" si="31"/>
        <v/>
      </c>
      <c r="J650" s="148" t="str">
        <f>IFERROR(SUMIFS(当年实际!$V:$V,当年实际!$H:$H,$B650,当年实际!$C:$C,"&gt;="&amp;DATE(YEAR(主页!$D$2),1,1),当年实际!$C:$C,"&lt;="&amp;EOMONTH(DATE(YEAR(主页!$D$2),MONTH(主页!$D$2),1),0))/SUMIFS(当年实际!$P:$P,当年实际!$H:$H,$B650,当年实际!$C:$C,"&gt;="&amp;DATE(YEAR(主页!$D$2),1,1),当年实际!$C:$C,"&lt;="&amp;EOMONTH(DATE(YEAR(主页!$D$2),MONTH(主页!$D$2),1),0)),"")</f>
        <v/>
      </c>
    </row>
    <row r="651" spans="1:10" x14ac:dyDescent="0.3">
      <c r="A651" s="135"/>
      <c r="B651" s="136"/>
      <c r="C651" s="138"/>
      <c r="D651" s="139"/>
      <c r="E651" s="141" t="str">
        <f t="shared" si="32"/>
        <v/>
      </c>
      <c r="F651" s="144"/>
      <c r="G651" s="146">
        <f t="shared" si="30"/>
        <v>0</v>
      </c>
      <c r="H651" s="141" t="str">
        <f t="shared" si="31"/>
        <v/>
      </c>
      <c r="J651" s="148" t="str">
        <f>IFERROR(SUMIFS(当年实际!$V:$V,当年实际!$H:$H,$B651,当年实际!$C:$C,"&gt;="&amp;DATE(YEAR(主页!$D$2),1,1),当年实际!$C:$C,"&lt;="&amp;EOMONTH(DATE(YEAR(主页!$D$2),MONTH(主页!$D$2),1),0))/SUMIFS(当年实际!$P:$P,当年实际!$H:$H,$B651,当年实际!$C:$C,"&gt;="&amp;DATE(YEAR(主页!$D$2),1,1),当年实际!$C:$C,"&lt;="&amp;EOMONTH(DATE(YEAR(主页!$D$2),MONTH(主页!$D$2),1),0)),"")</f>
        <v/>
      </c>
    </row>
    <row r="652" spans="1:10" x14ac:dyDescent="0.3">
      <c r="A652" s="135"/>
      <c r="B652" s="136"/>
      <c r="C652" s="138"/>
      <c r="D652" s="139"/>
      <c r="E652" s="141" t="str">
        <f t="shared" si="32"/>
        <v/>
      </c>
      <c r="F652" s="144"/>
      <c r="G652" s="146">
        <f t="shared" si="30"/>
        <v>0</v>
      </c>
      <c r="H652" s="141" t="str">
        <f t="shared" si="31"/>
        <v/>
      </c>
      <c r="J652" s="148" t="str">
        <f>IFERROR(SUMIFS(当年实际!$V:$V,当年实际!$H:$H,$B652,当年实际!$C:$C,"&gt;="&amp;DATE(YEAR(主页!$D$2),1,1),当年实际!$C:$C,"&lt;="&amp;EOMONTH(DATE(YEAR(主页!$D$2),MONTH(主页!$D$2),1),0))/SUMIFS(当年实际!$P:$P,当年实际!$H:$H,$B652,当年实际!$C:$C,"&gt;="&amp;DATE(YEAR(主页!$D$2),1,1),当年实际!$C:$C,"&lt;="&amp;EOMONTH(DATE(YEAR(主页!$D$2),MONTH(主页!$D$2),1),0)),"")</f>
        <v/>
      </c>
    </row>
    <row r="653" spans="1:10" x14ac:dyDescent="0.3">
      <c r="A653" s="135"/>
      <c r="B653" s="136"/>
      <c r="C653" s="138"/>
      <c r="D653" s="139"/>
      <c r="E653" s="141" t="str">
        <f t="shared" si="32"/>
        <v/>
      </c>
      <c r="F653" s="144"/>
      <c r="G653" s="146">
        <f t="shared" si="30"/>
        <v>0</v>
      </c>
      <c r="H653" s="141" t="str">
        <f t="shared" si="31"/>
        <v/>
      </c>
      <c r="J653" s="148" t="str">
        <f>IFERROR(SUMIFS(当年实际!$V:$V,当年实际!$H:$H,$B653,当年实际!$C:$C,"&gt;="&amp;DATE(YEAR(主页!$D$2),1,1),当年实际!$C:$C,"&lt;="&amp;EOMONTH(DATE(YEAR(主页!$D$2),MONTH(主页!$D$2),1),0))/SUMIFS(当年实际!$P:$P,当年实际!$H:$H,$B653,当年实际!$C:$C,"&gt;="&amp;DATE(YEAR(主页!$D$2),1,1),当年实际!$C:$C,"&lt;="&amp;EOMONTH(DATE(YEAR(主页!$D$2),MONTH(主页!$D$2),1),0)),"")</f>
        <v/>
      </c>
    </row>
    <row r="654" spans="1:10" x14ac:dyDescent="0.3">
      <c r="A654" s="135"/>
      <c r="B654" s="136"/>
      <c r="C654" s="138"/>
      <c r="D654" s="139"/>
      <c r="E654" s="141" t="str">
        <f t="shared" si="32"/>
        <v/>
      </c>
      <c r="F654" s="144"/>
      <c r="G654" s="146">
        <f t="shared" si="30"/>
        <v>0</v>
      </c>
      <c r="H654" s="141" t="str">
        <f t="shared" si="31"/>
        <v/>
      </c>
      <c r="J654" s="148" t="str">
        <f>IFERROR(SUMIFS(当年实际!$V:$V,当年实际!$H:$H,$B654,当年实际!$C:$C,"&gt;="&amp;DATE(YEAR(主页!$D$2),1,1),当年实际!$C:$C,"&lt;="&amp;EOMONTH(DATE(YEAR(主页!$D$2),MONTH(主页!$D$2),1),0))/SUMIFS(当年实际!$P:$P,当年实际!$H:$H,$B654,当年实际!$C:$C,"&gt;="&amp;DATE(YEAR(主页!$D$2),1,1),当年实际!$C:$C,"&lt;="&amp;EOMONTH(DATE(YEAR(主页!$D$2),MONTH(主页!$D$2),1),0)),"")</f>
        <v/>
      </c>
    </row>
    <row r="655" spans="1:10" x14ac:dyDescent="0.3">
      <c r="A655" s="135"/>
      <c r="B655" s="136"/>
      <c r="C655" s="138"/>
      <c r="D655" s="139"/>
      <c r="E655" s="141" t="str">
        <f t="shared" si="32"/>
        <v/>
      </c>
      <c r="F655" s="144"/>
      <c r="G655" s="146">
        <f t="shared" si="30"/>
        <v>0</v>
      </c>
      <c r="H655" s="141" t="str">
        <f t="shared" si="31"/>
        <v/>
      </c>
      <c r="J655" s="148" t="str">
        <f>IFERROR(SUMIFS(当年实际!$V:$V,当年实际!$H:$H,$B655,当年实际!$C:$C,"&gt;="&amp;DATE(YEAR(主页!$D$2),1,1),当年实际!$C:$C,"&lt;="&amp;EOMONTH(DATE(YEAR(主页!$D$2),MONTH(主页!$D$2),1),0))/SUMIFS(当年实际!$P:$P,当年实际!$H:$H,$B655,当年实际!$C:$C,"&gt;="&amp;DATE(YEAR(主页!$D$2),1,1),当年实际!$C:$C,"&lt;="&amp;EOMONTH(DATE(YEAR(主页!$D$2),MONTH(主页!$D$2),1),0)),"")</f>
        <v/>
      </c>
    </row>
    <row r="656" spans="1:10" x14ac:dyDescent="0.3">
      <c r="A656" s="135"/>
      <c r="B656" s="136"/>
      <c r="C656" s="138"/>
      <c r="D656" s="139"/>
      <c r="E656" s="141" t="str">
        <f t="shared" si="32"/>
        <v/>
      </c>
      <c r="F656" s="144"/>
      <c r="G656" s="146">
        <f t="shared" si="30"/>
        <v>0</v>
      </c>
      <c r="H656" s="141" t="str">
        <f t="shared" si="31"/>
        <v/>
      </c>
      <c r="J656" s="148" t="str">
        <f>IFERROR(SUMIFS(当年实际!$V:$V,当年实际!$H:$H,$B656,当年实际!$C:$C,"&gt;="&amp;DATE(YEAR(主页!$D$2),1,1),当年实际!$C:$C,"&lt;="&amp;EOMONTH(DATE(YEAR(主页!$D$2),MONTH(主页!$D$2),1),0))/SUMIFS(当年实际!$P:$P,当年实际!$H:$H,$B656,当年实际!$C:$C,"&gt;="&amp;DATE(YEAR(主页!$D$2),1,1),当年实际!$C:$C,"&lt;="&amp;EOMONTH(DATE(YEAR(主页!$D$2),MONTH(主页!$D$2),1),0)),"")</f>
        <v/>
      </c>
    </row>
    <row r="657" spans="1:10" x14ac:dyDescent="0.3">
      <c r="A657" s="135"/>
      <c r="B657" s="136"/>
      <c r="C657" s="138"/>
      <c r="D657" s="139"/>
      <c r="E657" s="141" t="str">
        <f t="shared" si="32"/>
        <v/>
      </c>
      <c r="F657" s="144"/>
      <c r="G657" s="146">
        <f t="shared" si="30"/>
        <v>0</v>
      </c>
      <c r="H657" s="141" t="str">
        <f t="shared" si="31"/>
        <v/>
      </c>
      <c r="J657" s="148" t="str">
        <f>IFERROR(SUMIFS(当年实际!$V:$V,当年实际!$H:$H,$B657,当年实际!$C:$C,"&gt;="&amp;DATE(YEAR(主页!$D$2),1,1),当年实际!$C:$C,"&lt;="&amp;EOMONTH(DATE(YEAR(主页!$D$2),MONTH(主页!$D$2),1),0))/SUMIFS(当年实际!$P:$P,当年实际!$H:$H,$B657,当年实际!$C:$C,"&gt;="&amp;DATE(YEAR(主页!$D$2),1,1),当年实际!$C:$C,"&lt;="&amp;EOMONTH(DATE(YEAR(主页!$D$2),MONTH(主页!$D$2),1),0)),"")</f>
        <v/>
      </c>
    </row>
    <row r="658" spans="1:10" x14ac:dyDescent="0.3">
      <c r="A658" s="135"/>
      <c r="B658" s="136"/>
      <c r="C658" s="138"/>
      <c r="D658" s="139"/>
      <c r="E658" s="141" t="str">
        <f t="shared" si="32"/>
        <v/>
      </c>
      <c r="F658" s="144"/>
      <c r="G658" s="146">
        <f t="shared" si="30"/>
        <v>0</v>
      </c>
      <c r="H658" s="141" t="str">
        <f t="shared" si="31"/>
        <v/>
      </c>
      <c r="J658" s="148" t="str">
        <f>IFERROR(SUMIFS(当年实际!$V:$V,当年实际!$H:$H,$B658,当年实际!$C:$C,"&gt;="&amp;DATE(YEAR(主页!$D$2),1,1),当年实际!$C:$C,"&lt;="&amp;EOMONTH(DATE(YEAR(主页!$D$2),MONTH(主页!$D$2),1),0))/SUMIFS(当年实际!$P:$P,当年实际!$H:$H,$B658,当年实际!$C:$C,"&gt;="&amp;DATE(YEAR(主页!$D$2),1,1),当年实际!$C:$C,"&lt;="&amp;EOMONTH(DATE(YEAR(主页!$D$2),MONTH(主页!$D$2),1),0)),"")</f>
        <v/>
      </c>
    </row>
    <row r="659" spans="1:10" x14ac:dyDescent="0.3">
      <c r="A659" s="135"/>
      <c r="B659" s="136"/>
      <c r="C659" s="138"/>
      <c r="D659" s="139"/>
      <c r="E659" s="141" t="str">
        <f t="shared" si="32"/>
        <v/>
      </c>
      <c r="F659" s="144"/>
      <c r="G659" s="146">
        <f t="shared" si="30"/>
        <v>0</v>
      </c>
      <c r="H659" s="141" t="str">
        <f t="shared" si="31"/>
        <v/>
      </c>
      <c r="J659" s="148" t="str">
        <f>IFERROR(SUMIFS(当年实际!$V:$V,当年实际!$H:$H,$B659,当年实际!$C:$C,"&gt;="&amp;DATE(YEAR(主页!$D$2),1,1),当年实际!$C:$C,"&lt;="&amp;EOMONTH(DATE(YEAR(主页!$D$2),MONTH(主页!$D$2),1),0))/SUMIFS(当年实际!$P:$P,当年实际!$H:$H,$B659,当年实际!$C:$C,"&gt;="&amp;DATE(YEAR(主页!$D$2),1,1),当年实际!$C:$C,"&lt;="&amp;EOMONTH(DATE(YEAR(主页!$D$2),MONTH(主页!$D$2),1),0)),"")</f>
        <v/>
      </c>
    </row>
    <row r="660" spans="1:10" x14ac:dyDescent="0.3">
      <c r="A660" s="135"/>
      <c r="B660" s="136"/>
      <c r="C660" s="138"/>
      <c r="D660" s="139"/>
      <c r="E660" s="141" t="str">
        <f t="shared" si="32"/>
        <v/>
      </c>
      <c r="F660" s="144"/>
      <c r="G660" s="146">
        <f t="shared" si="30"/>
        <v>0</v>
      </c>
      <c r="H660" s="141" t="str">
        <f t="shared" si="31"/>
        <v/>
      </c>
      <c r="J660" s="148" t="str">
        <f>IFERROR(SUMIFS(当年实际!$V:$V,当年实际!$H:$H,$B660,当年实际!$C:$C,"&gt;="&amp;DATE(YEAR(主页!$D$2),1,1),当年实际!$C:$C,"&lt;="&amp;EOMONTH(DATE(YEAR(主页!$D$2),MONTH(主页!$D$2),1),0))/SUMIFS(当年实际!$P:$P,当年实际!$H:$H,$B660,当年实际!$C:$C,"&gt;="&amp;DATE(YEAR(主页!$D$2),1,1),当年实际!$C:$C,"&lt;="&amp;EOMONTH(DATE(YEAR(主页!$D$2),MONTH(主页!$D$2),1),0)),"")</f>
        <v/>
      </c>
    </row>
    <row r="661" spans="1:10" x14ac:dyDescent="0.3">
      <c r="A661" s="135"/>
      <c r="B661" s="136"/>
      <c r="C661" s="138"/>
      <c r="D661" s="139"/>
      <c r="E661" s="141" t="str">
        <f t="shared" si="32"/>
        <v/>
      </c>
      <c r="F661" s="144"/>
      <c r="G661" s="146">
        <f t="shared" si="30"/>
        <v>0</v>
      </c>
      <c r="H661" s="141" t="str">
        <f t="shared" si="31"/>
        <v/>
      </c>
      <c r="J661" s="148" t="str">
        <f>IFERROR(SUMIFS(当年实际!$V:$V,当年实际!$H:$H,$B661,当年实际!$C:$C,"&gt;="&amp;DATE(YEAR(主页!$D$2),1,1),当年实际!$C:$C,"&lt;="&amp;EOMONTH(DATE(YEAR(主页!$D$2),MONTH(主页!$D$2),1),0))/SUMIFS(当年实际!$P:$P,当年实际!$H:$H,$B661,当年实际!$C:$C,"&gt;="&amp;DATE(YEAR(主页!$D$2),1,1),当年实际!$C:$C,"&lt;="&amp;EOMONTH(DATE(YEAR(主页!$D$2),MONTH(主页!$D$2),1),0)),"")</f>
        <v/>
      </c>
    </row>
    <row r="662" spans="1:10" x14ac:dyDescent="0.3">
      <c r="A662" s="135"/>
      <c r="B662" s="136"/>
      <c r="C662" s="138"/>
      <c r="D662" s="139"/>
      <c r="E662" s="141" t="str">
        <f t="shared" si="32"/>
        <v/>
      </c>
      <c r="F662" s="144"/>
      <c r="G662" s="146">
        <f t="shared" si="30"/>
        <v>0</v>
      </c>
      <c r="H662" s="141" t="str">
        <f t="shared" si="31"/>
        <v/>
      </c>
      <c r="J662" s="148" t="str">
        <f>IFERROR(SUMIFS(当年实际!$V:$V,当年实际!$H:$H,$B662,当年实际!$C:$C,"&gt;="&amp;DATE(YEAR(主页!$D$2),1,1),当年实际!$C:$C,"&lt;="&amp;EOMONTH(DATE(YEAR(主页!$D$2),MONTH(主页!$D$2),1),0))/SUMIFS(当年实际!$P:$P,当年实际!$H:$H,$B662,当年实际!$C:$C,"&gt;="&amp;DATE(YEAR(主页!$D$2),1,1),当年实际!$C:$C,"&lt;="&amp;EOMONTH(DATE(YEAR(主页!$D$2),MONTH(主页!$D$2),1),0)),"")</f>
        <v/>
      </c>
    </row>
    <row r="663" spans="1:10" x14ac:dyDescent="0.3">
      <c r="A663" s="135"/>
      <c r="B663" s="136"/>
      <c r="C663" s="138"/>
      <c r="D663" s="139"/>
      <c r="E663" s="141" t="str">
        <f t="shared" si="32"/>
        <v/>
      </c>
      <c r="F663" s="144"/>
      <c r="G663" s="146">
        <f t="shared" si="30"/>
        <v>0</v>
      </c>
      <c r="H663" s="141" t="str">
        <f t="shared" si="31"/>
        <v/>
      </c>
      <c r="J663" s="148" t="str">
        <f>IFERROR(SUMIFS(当年实际!$V:$V,当年实际!$H:$H,$B663,当年实际!$C:$C,"&gt;="&amp;DATE(YEAR(主页!$D$2),1,1),当年实际!$C:$C,"&lt;="&amp;EOMONTH(DATE(YEAR(主页!$D$2),MONTH(主页!$D$2),1),0))/SUMIFS(当年实际!$P:$P,当年实际!$H:$H,$B663,当年实际!$C:$C,"&gt;="&amp;DATE(YEAR(主页!$D$2),1,1),当年实际!$C:$C,"&lt;="&amp;EOMONTH(DATE(YEAR(主页!$D$2),MONTH(主页!$D$2),1),0)),"")</f>
        <v/>
      </c>
    </row>
    <row r="664" spans="1:10" x14ac:dyDescent="0.3">
      <c r="A664" s="135"/>
      <c r="B664" s="136"/>
      <c r="C664" s="138"/>
      <c r="D664" s="139"/>
      <c r="E664" s="141" t="str">
        <f t="shared" si="32"/>
        <v/>
      </c>
      <c r="F664" s="144"/>
      <c r="G664" s="146">
        <f t="shared" si="30"/>
        <v>0</v>
      </c>
      <c r="H664" s="141" t="str">
        <f t="shared" si="31"/>
        <v/>
      </c>
      <c r="J664" s="148" t="str">
        <f>IFERROR(SUMIFS(当年实际!$V:$V,当年实际!$H:$H,$B664,当年实际!$C:$C,"&gt;="&amp;DATE(YEAR(主页!$D$2),1,1),当年实际!$C:$C,"&lt;="&amp;EOMONTH(DATE(YEAR(主页!$D$2),MONTH(主页!$D$2),1),0))/SUMIFS(当年实际!$P:$P,当年实际!$H:$H,$B664,当年实际!$C:$C,"&gt;="&amp;DATE(YEAR(主页!$D$2),1,1),当年实际!$C:$C,"&lt;="&amp;EOMONTH(DATE(YEAR(主页!$D$2),MONTH(主页!$D$2),1),0)),"")</f>
        <v/>
      </c>
    </row>
    <row r="665" spans="1:10" x14ac:dyDescent="0.3">
      <c r="A665" s="135"/>
      <c r="B665" s="136"/>
      <c r="C665" s="138"/>
      <c r="D665" s="139"/>
      <c r="E665" s="141" t="str">
        <f t="shared" si="32"/>
        <v/>
      </c>
      <c r="F665" s="144"/>
      <c r="G665" s="146">
        <f t="shared" si="30"/>
        <v>0</v>
      </c>
      <c r="H665" s="141" t="str">
        <f t="shared" si="31"/>
        <v/>
      </c>
      <c r="J665" s="148" t="str">
        <f>IFERROR(SUMIFS(当年实际!$V:$V,当年实际!$H:$H,$B665,当年实际!$C:$C,"&gt;="&amp;DATE(YEAR(主页!$D$2),1,1),当年实际!$C:$C,"&lt;="&amp;EOMONTH(DATE(YEAR(主页!$D$2),MONTH(主页!$D$2),1),0))/SUMIFS(当年实际!$P:$P,当年实际!$H:$H,$B665,当年实际!$C:$C,"&gt;="&amp;DATE(YEAR(主页!$D$2),1,1),当年实际!$C:$C,"&lt;="&amp;EOMONTH(DATE(YEAR(主页!$D$2),MONTH(主页!$D$2),1),0)),"")</f>
        <v/>
      </c>
    </row>
    <row r="666" spans="1:10" x14ac:dyDescent="0.3">
      <c r="A666" s="135"/>
      <c r="B666" s="136"/>
      <c r="C666" s="138"/>
      <c r="D666" s="139"/>
      <c r="E666" s="141" t="str">
        <f t="shared" si="32"/>
        <v/>
      </c>
      <c r="F666" s="144"/>
      <c r="G666" s="146">
        <f t="shared" si="30"/>
        <v>0</v>
      </c>
      <c r="H666" s="141" t="str">
        <f t="shared" si="31"/>
        <v/>
      </c>
      <c r="J666" s="148" t="str">
        <f>IFERROR(SUMIFS(当年实际!$V:$V,当年实际!$H:$H,$B666,当年实际!$C:$C,"&gt;="&amp;DATE(YEAR(主页!$D$2),1,1),当年实际!$C:$C,"&lt;="&amp;EOMONTH(DATE(YEAR(主页!$D$2),MONTH(主页!$D$2),1),0))/SUMIFS(当年实际!$P:$P,当年实际!$H:$H,$B666,当年实际!$C:$C,"&gt;="&amp;DATE(YEAR(主页!$D$2),1,1),当年实际!$C:$C,"&lt;="&amp;EOMONTH(DATE(YEAR(主页!$D$2),MONTH(主页!$D$2),1),0)),"")</f>
        <v/>
      </c>
    </row>
    <row r="667" spans="1:10" x14ac:dyDescent="0.3">
      <c r="A667" s="135"/>
      <c r="B667" s="136"/>
      <c r="C667" s="138"/>
      <c r="D667" s="139"/>
      <c r="E667" s="141" t="str">
        <f t="shared" si="32"/>
        <v/>
      </c>
      <c r="F667" s="144"/>
      <c r="G667" s="146">
        <f t="shared" si="30"/>
        <v>0</v>
      </c>
      <c r="H667" s="141" t="str">
        <f t="shared" si="31"/>
        <v/>
      </c>
      <c r="J667" s="148" t="str">
        <f>IFERROR(SUMIFS(当年实际!$V:$V,当年实际!$H:$H,$B667,当年实际!$C:$C,"&gt;="&amp;DATE(YEAR(主页!$D$2),1,1),当年实际!$C:$C,"&lt;="&amp;EOMONTH(DATE(YEAR(主页!$D$2),MONTH(主页!$D$2),1),0))/SUMIFS(当年实际!$P:$P,当年实际!$H:$H,$B667,当年实际!$C:$C,"&gt;="&amp;DATE(YEAR(主页!$D$2),1,1),当年实际!$C:$C,"&lt;="&amp;EOMONTH(DATE(YEAR(主页!$D$2),MONTH(主页!$D$2),1),0)),"")</f>
        <v/>
      </c>
    </row>
    <row r="668" spans="1:10" x14ac:dyDescent="0.3">
      <c r="A668" s="135"/>
      <c r="B668" s="136"/>
      <c r="C668" s="138"/>
      <c r="D668" s="139"/>
      <c r="E668" s="141" t="str">
        <f t="shared" si="32"/>
        <v/>
      </c>
      <c r="F668" s="144"/>
      <c r="G668" s="146">
        <f t="shared" si="30"/>
        <v>0</v>
      </c>
      <c r="H668" s="141" t="str">
        <f t="shared" si="31"/>
        <v/>
      </c>
      <c r="J668" s="148" t="str">
        <f>IFERROR(SUMIFS(当年实际!$V:$V,当年实际!$H:$H,$B668,当年实际!$C:$C,"&gt;="&amp;DATE(YEAR(主页!$D$2),1,1),当年实际!$C:$C,"&lt;="&amp;EOMONTH(DATE(YEAR(主页!$D$2),MONTH(主页!$D$2),1),0))/SUMIFS(当年实际!$P:$P,当年实际!$H:$H,$B668,当年实际!$C:$C,"&gt;="&amp;DATE(YEAR(主页!$D$2),1,1),当年实际!$C:$C,"&lt;="&amp;EOMONTH(DATE(YEAR(主页!$D$2),MONTH(主页!$D$2),1),0)),"")</f>
        <v/>
      </c>
    </row>
    <row r="669" spans="1:10" x14ac:dyDescent="0.3">
      <c r="A669" s="135"/>
      <c r="B669" s="136"/>
      <c r="C669" s="138"/>
      <c r="D669" s="139"/>
      <c r="E669" s="141" t="str">
        <f t="shared" si="32"/>
        <v/>
      </c>
      <c r="F669" s="144"/>
      <c r="G669" s="146">
        <f t="shared" si="30"/>
        <v>0</v>
      </c>
      <c r="H669" s="141" t="str">
        <f t="shared" si="31"/>
        <v/>
      </c>
      <c r="J669" s="148" t="str">
        <f>IFERROR(SUMIFS(当年实际!$V:$V,当年实际!$H:$H,$B669,当年实际!$C:$C,"&gt;="&amp;DATE(YEAR(主页!$D$2),1,1),当年实际!$C:$C,"&lt;="&amp;EOMONTH(DATE(YEAR(主页!$D$2),MONTH(主页!$D$2),1),0))/SUMIFS(当年实际!$P:$P,当年实际!$H:$H,$B669,当年实际!$C:$C,"&gt;="&amp;DATE(YEAR(主页!$D$2),1,1),当年实际!$C:$C,"&lt;="&amp;EOMONTH(DATE(YEAR(主页!$D$2),MONTH(主页!$D$2),1),0)),"")</f>
        <v/>
      </c>
    </row>
    <row r="670" spans="1:10" x14ac:dyDescent="0.3">
      <c r="A670" s="135"/>
      <c r="B670" s="136"/>
      <c r="C670" s="138"/>
      <c r="D670" s="139"/>
      <c r="E670" s="141" t="str">
        <f t="shared" si="32"/>
        <v/>
      </c>
      <c r="F670" s="144"/>
      <c r="G670" s="146">
        <f t="shared" si="30"/>
        <v>0</v>
      </c>
      <c r="H670" s="141" t="str">
        <f t="shared" si="31"/>
        <v/>
      </c>
      <c r="J670" s="148" t="str">
        <f>IFERROR(SUMIFS(当年实际!$V:$V,当年实际!$H:$H,$B670,当年实际!$C:$C,"&gt;="&amp;DATE(YEAR(主页!$D$2),1,1),当年实际!$C:$C,"&lt;="&amp;EOMONTH(DATE(YEAR(主页!$D$2),MONTH(主页!$D$2),1),0))/SUMIFS(当年实际!$P:$P,当年实际!$H:$H,$B670,当年实际!$C:$C,"&gt;="&amp;DATE(YEAR(主页!$D$2),1,1),当年实际!$C:$C,"&lt;="&amp;EOMONTH(DATE(YEAR(主页!$D$2),MONTH(主页!$D$2),1),0)),"")</f>
        <v/>
      </c>
    </row>
    <row r="671" spans="1:10" x14ac:dyDescent="0.3">
      <c r="A671" s="135"/>
      <c r="B671" s="136"/>
      <c r="C671" s="138"/>
      <c r="D671" s="139"/>
      <c r="E671" s="141" t="str">
        <f t="shared" si="32"/>
        <v/>
      </c>
      <c r="F671" s="144"/>
      <c r="G671" s="146">
        <f t="shared" si="30"/>
        <v>0</v>
      </c>
      <c r="H671" s="141" t="str">
        <f t="shared" si="31"/>
        <v/>
      </c>
      <c r="J671" s="148" t="str">
        <f>IFERROR(SUMIFS(当年实际!$V:$V,当年实际!$H:$H,$B671,当年实际!$C:$C,"&gt;="&amp;DATE(YEAR(主页!$D$2),1,1),当年实际!$C:$C,"&lt;="&amp;EOMONTH(DATE(YEAR(主页!$D$2),MONTH(主页!$D$2),1),0))/SUMIFS(当年实际!$P:$P,当年实际!$H:$H,$B671,当年实际!$C:$C,"&gt;="&amp;DATE(YEAR(主页!$D$2),1,1),当年实际!$C:$C,"&lt;="&amp;EOMONTH(DATE(YEAR(主页!$D$2),MONTH(主页!$D$2),1),0)),"")</f>
        <v/>
      </c>
    </row>
    <row r="672" spans="1:10" x14ac:dyDescent="0.3">
      <c r="A672" s="135"/>
      <c r="B672" s="136"/>
      <c r="C672" s="138"/>
      <c r="D672" s="139"/>
      <c r="E672" s="141" t="str">
        <f t="shared" si="32"/>
        <v/>
      </c>
      <c r="F672" s="144"/>
      <c r="G672" s="146">
        <f t="shared" si="30"/>
        <v>0</v>
      </c>
      <c r="H672" s="141" t="str">
        <f t="shared" si="31"/>
        <v/>
      </c>
      <c r="J672" s="148" t="str">
        <f>IFERROR(SUMIFS(当年实际!$V:$V,当年实际!$H:$H,$B672,当年实际!$C:$C,"&gt;="&amp;DATE(YEAR(主页!$D$2),1,1),当年实际!$C:$C,"&lt;="&amp;EOMONTH(DATE(YEAR(主页!$D$2),MONTH(主页!$D$2),1),0))/SUMIFS(当年实际!$P:$P,当年实际!$H:$H,$B672,当年实际!$C:$C,"&gt;="&amp;DATE(YEAR(主页!$D$2),1,1),当年实际!$C:$C,"&lt;="&amp;EOMONTH(DATE(YEAR(主页!$D$2),MONTH(主页!$D$2),1),0)),"")</f>
        <v/>
      </c>
    </row>
    <row r="673" spans="1:10" x14ac:dyDescent="0.3">
      <c r="A673" s="135"/>
      <c r="B673" s="136"/>
      <c r="C673" s="138"/>
      <c r="D673" s="139"/>
      <c r="E673" s="141" t="str">
        <f t="shared" si="32"/>
        <v/>
      </c>
      <c r="F673" s="144"/>
      <c r="G673" s="146">
        <f t="shared" si="30"/>
        <v>0</v>
      </c>
      <c r="H673" s="141" t="str">
        <f t="shared" si="31"/>
        <v/>
      </c>
      <c r="J673" s="148" t="str">
        <f>IFERROR(SUMIFS(当年实际!$V:$V,当年实际!$H:$H,$B673,当年实际!$C:$C,"&gt;="&amp;DATE(YEAR(主页!$D$2),1,1),当年实际!$C:$C,"&lt;="&amp;EOMONTH(DATE(YEAR(主页!$D$2),MONTH(主页!$D$2),1),0))/SUMIFS(当年实际!$P:$P,当年实际!$H:$H,$B673,当年实际!$C:$C,"&gt;="&amp;DATE(YEAR(主页!$D$2),1,1),当年实际!$C:$C,"&lt;="&amp;EOMONTH(DATE(YEAR(主页!$D$2),MONTH(主页!$D$2),1),0)),"")</f>
        <v/>
      </c>
    </row>
    <row r="674" spans="1:10" x14ac:dyDescent="0.3">
      <c r="A674" s="135"/>
      <c r="B674" s="136"/>
      <c r="C674" s="138"/>
      <c r="D674" s="139"/>
      <c r="E674" s="141" t="str">
        <f t="shared" si="32"/>
        <v/>
      </c>
      <c r="F674" s="144"/>
      <c r="G674" s="146">
        <f t="shared" si="30"/>
        <v>0</v>
      </c>
      <c r="H674" s="141" t="str">
        <f t="shared" si="31"/>
        <v/>
      </c>
      <c r="J674" s="148" t="str">
        <f>IFERROR(SUMIFS(当年实际!$V:$V,当年实际!$H:$H,$B674,当年实际!$C:$C,"&gt;="&amp;DATE(YEAR(主页!$D$2),1,1),当年实际!$C:$C,"&lt;="&amp;EOMONTH(DATE(YEAR(主页!$D$2),MONTH(主页!$D$2),1),0))/SUMIFS(当年实际!$P:$P,当年实际!$H:$H,$B674,当年实际!$C:$C,"&gt;="&amp;DATE(YEAR(主页!$D$2),1,1),当年实际!$C:$C,"&lt;="&amp;EOMONTH(DATE(YEAR(主页!$D$2),MONTH(主页!$D$2),1),0)),"")</f>
        <v/>
      </c>
    </row>
    <row r="675" spans="1:10" x14ac:dyDescent="0.3">
      <c r="A675" s="135"/>
      <c r="B675" s="136"/>
      <c r="C675" s="138"/>
      <c r="D675" s="139"/>
      <c r="E675" s="141" t="str">
        <f t="shared" si="32"/>
        <v/>
      </c>
      <c r="F675" s="144"/>
      <c r="G675" s="146">
        <f t="shared" si="30"/>
        <v>0</v>
      </c>
      <c r="H675" s="141" t="str">
        <f t="shared" si="31"/>
        <v/>
      </c>
      <c r="J675" s="148" t="str">
        <f>IFERROR(SUMIFS(当年实际!$V:$V,当年实际!$H:$H,$B675,当年实际!$C:$C,"&gt;="&amp;DATE(YEAR(主页!$D$2),1,1),当年实际!$C:$C,"&lt;="&amp;EOMONTH(DATE(YEAR(主页!$D$2),MONTH(主页!$D$2),1),0))/SUMIFS(当年实际!$P:$P,当年实际!$H:$H,$B675,当年实际!$C:$C,"&gt;="&amp;DATE(YEAR(主页!$D$2),1,1),当年实际!$C:$C,"&lt;="&amp;EOMONTH(DATE(YEAR(主页!$D$2),MONTH(主页!$D$2),1),0)),"")</f>
        <v/>
      </c>
    </row>
    <row r="676" spans="1:10" x14ac:dyDescent="0.3">
      <c r="A676" s="135"/>
      <c r="B676" s="136"/>
      <c r="C676" s="138"/>
      <c r="D676" s="139"/>
      <c r="E676" s="141" t="str">
        <f t="shared" si="32"/>
        <v/>
      </c>
      <c r="F676" s="144"/>
      <c r="G676" s="146">
        <f t="shared" si="30"/>
        <v>0</v>
      </c>
      <c r="H676" s="141" t="str">
        <f t="shared" si="31"/>
        <v/>
      </c>
      <c r="J676" s="148" t="str">
        <f>IFERROR(SUMIFS(当年实际!$V:$V,当年实际!$H:$H,$B676,当年实际!$C:$C,"&gt;="&amp;DATE(YEAR(主页!$D$2),1,1),当年实际!$C:$C,"&lt;="&amp;EOMONTH(DATE(YEAR(主页!$D$2),MONTH(主页!$D$2),1),0))/SUMIFS(当年实际!$P:$P,当年实际!$H:$H,$B676,当年实际!$C:$C,"&gt;="&amp;DATE(YEAR(主页!$D$2),1,1),当年实际!$C:$C,"&lt;="&amp;EOMONTH(DATE(YEAR(主页!$D$2),MONTH(主页!$D$2),1),0)),"")</f>
        <v/>
      </c>
    </row>
    <row r="677" spans="1:10" x14ac:dyDescent="0.3">
      <c r="A677" s="135"/>
      <c r="B677" s="136"/>
      <c r="C677" s="138"/>
      <c r="D677" s="139"/>
      <c r="E677" s="141" t="str">
        <f t="shared" si="32"/>
        <v/>
      </c>
      <c r="F677" s="144"/>
      <c r="G677" s="146">
        <f t="shared" si="30"/>
        <v>0</v>
      </c>
      <c r="H677" s="141" t="str">
        <f t="shared" si="31"/>
        <v/>
      </c>
      <c r="J677" s="148" t="str">
        <f>IFERROR(SUMIFS(当年实际!$V:$V,当年实际!$H:$H,$B677,当年实际!$C:$C,"&gt;="&amp;DATE(YEAR(主页!$D$2),1,1),当年实际!$C:$C,"&lt;="&amp;EOMONTH(DATE(YEAR(主页!$D$2),MONTH(主页!$D$2),1),0))/SUMIFS(当年实际!$P:$P,当年实际!$H:$H,$B677,当年实际!$C:$C,"&gt;="&amp;DATE(YEAR(主页!$D$2),1,1),当年实际!$C:$C,"&lt;="&amp;EOMONTH(DATE(YEAR(主页!$D$2),MONTH(主页!$D$2),1),0)),"")</f>
        <v/>
      </c>
    </row>
    <row r="678" spans="1:10" x14ac:dyDescent="0.3">
      <c r="A678" s="135"/>
      <c r="B678" s="136"/>
      <c r="C678" s="138"/>
      <c r="D678" s="139"/>
      <c r="E678" s="141" t="str">
        <f t="shared" si="32"/>
        <v/>
      </c>
      <c r="F678" s="144"/>
      <c r="G678" s="146">
        <f t="shared" si="30"/>
        <v>0</v>
      </c>
      <c r="H678" s="141" t="str">
        <f t="shared" si="31"/>
        <v/>
      </c>
      <c r="J678" s="148" t="str">
        <f>IFERROR(SUMIFS(当年实际!$V:$V,当年实际!$H:$H,$B678,当年实际!$C:$C,"&gt;="&amp;DATE(YEAR(主页!$D$2),1,1),当年实际!$C:$C,"&lt;="&amp;EOMONTH(DATE(YEAR(主页!$D$2),MONTH(主页!$D$2),1),0))/SUMIFS(当年实际!$P:$P,当年实际!$H:$H,$B678,当年实际!$C:$C,"&gt;="&amp;DATE(YEAR(主页!$D$2),1,1),当年实际!$C:$C,"&lt;="&amp;EOMONTH(DATE(YEAR(主页!$D$2),MONTH(主页!$D$2),1),0)),"")</f>
        <v/>
      </c>
    </row>
    <row r="679" spans="1:10" x14ac:dyDescent="0.3">
      <c r="A679" s="135"/>
      <c r="B679" s="136"/>
      <c r="C679" s="138"/>
      <c r="D679" s="139"/>
      <c r="E679" s="141" t="str">
        <f t="shared" si="32"/>
        <v/>
      </c>
      <c r="F679" s="144"/>
      <c r="G679" s="146">
        <f t="shared" si="30"/>
        <v>0</v>
      </c>
      <c r="H679" s="141" t="str">
        <f t="shared" si="31"/>
        <v/>
      </c>
      <c r="J679" s="148" t="str">
        <f>IFERROR(SUMIFS(当年实际!$V:$V,当年实际!$H:$H,$B679,当年实际!$C:$C,"&gt;="&amp;DATE(YEAR(主页!$D$2),1,1),当年实际!$C:$C,"&lt;="&amp;EOMONTH(DATE(YEAR(主页!$D$2),MONTH(主页!$D$2),1),0))/SUMIFS(当年实际!$P:$P,当年实际!$H:$H,$B679,当年实际!$C:$C,"&gt;="&amp;DATE(YEAR(主页!$D$2),1,1),当年实际!$C:$C,"&lt;="&amp;EOMONTH(DATE(YEAR(主页!$D$2),MONTH(主页!$D$2),1),0)),"")</f>
        <v/>
      </c>
    </row>
    <row r="680" spans="1:10" x14ac:dyDescent="0.3">
      <c r="A680" s="135"/>
      <c r="B680" s="136"/>
      <c r="C680" s="138"/>
      <c r="D680" s="139"/>
      <c r="E680" s="141" t="str">
        <f t="shared" si="32"/>
        <v/>
      </c>
      <c r="F680" s="144"/>
      <c r="G680" s="146">
        <f t="shared" si="30"/>
        <v>0</v>
      </c>
      <c r="H680" s="141" t="str">
        <f t="shared" si="31"/>
        <v/>
      </c>
      <c r="J680" s="148" t="str">
        <f>IFERROR(SUMIFS(当年实际!$V:$V,当年实际!$H:$H,$B680,当年实际!$C:$C,"&gt;="&amp;DATE(YEAR(主页!$D$2),1,1),当年实际!$C:$C,"&lt;="&amp;EOMONTH(DATE(YEAR(主页!$D$2),MONTH(主页!$D$2),1),0))/SUMIFS(当年实际!$P:$P,当年实际!$H:$H,$B680,当年实际!$C:$C,"&gt;="&amp;DATE(YEAR(主页!$D$2),1,1),当年实际!$C:$C,"&lt;="&amp;EOMONTH(DATE(YEAR(主页!$D$2),MONTH(主页!$D$2),1),0)),"")</f>
        <v/>
      </c>
    </row>
    <row r="681" spans="1:10" x14ac:dyDescent="0.3">
      <c r="A681" s="135"/>
      <c r="B681" s="136"/>
      <c r="C681" s="138"/>
      <c r="D681" s="139"/>
      <c r="E681" s="141" t="str">
        <f t="shared" si="32"/>
        <v/>
      </c>
      <c r="F681" s="144"/>
      <c r="G681" s="146">
        <f t="shared" si="30"/>
        <v>0</v>
      </c>
      <c r="H681" s="141" t="str">
        <f t="shared" si="31"/>
        <v/>
      </c>
      <c r="J681" s="148" t="str">
        <f>IFERROR(SUMIFS(当年实际!$V:$V,当年实际!$H:$H,$B681,当年实际!$C:$C,"&gt;="&amp;DATE(YEAR(主页!$D$2),1,1),当年实际!$C:$C,"&lt;="&amp;EOMONTH(DATE(YEAR(主页!$D$2),MONTH(主页!$D$2),1),0))/SUMIFS(当年实际!$P:$P,当年实际!$H:$H,$B681,当年实际!$C:$C,"&gt;="&amp;DATE(YEAR(主页!$D$2),1,1),当年实际!$C:$C,"&lt;="&amp;EOMONTH(DATE(YEAR(主页!$D$2),MONTH(主页!$D$2),1),0)),"")</f>
        <v/>
      </c>
    </row>
    <row r="682" spans="1:10" x14ac:dyDescent="0.3">
      <c r="A682" s="135"/>
      <c r="B682" s="136"/>
      <c r="C682" s="138"/>
      <c r="D682" s="139"/>
      <c r="E682" s="141" t="str">
        <f t="shared" si="32"/>
        <v/>
      </c>
      <c r="F682" s="144"/>
      <c r="G682" s="146">
        <f t="shared" si="30"/>
        <v>0</v>
      </c>
      <c r="H682" s="141" t="str">
        <f t="shared" si="31"/>
        <v/>
      </c>
      <c r="J682" s="148" t="str">
        <f>IFERROR(SUMIFS(当年实际!$V:$V,当年实际!$H:$H,$B682,当年实际!$C:$C,"&gt;="&amp;DATE(YEAR(主页!$D$2),1,1),当年实际!$C:$C,"&lt;="&amp;EOMONTH(DATE(YEAR(主页!$D$2),MONTH(主页!$D$2),1),0))/SUMIFS(当年实际!$P:$P,当年实际!$H:$H,$B682,当年实际!$C:$C,"&gt;="&amp;DATE(YEAR(主页!$D$2),1,1),当年实际!$C:$C,"&lt;="&amp;EOMONTH(DATE(YEAR(主页!$D$2),MONTH(主页!$D$2),1),0)),"")</f>
        <v/>
      </c>
    </row>
    <row r="683" spans="1:10" x14ac:dyDescent="0.3">
      <c r="A683" s="135"/>
      <c r="B683" s="136"/>
      <c r="C683" s="138"/>
      <c r="D683" s="139"/>
      <c r="E683" s="141" t="str">
        <f t="shared" si="32"/>
        <v/>
      </c>
      <c r="F683" s="144"/>
      <c r="G683" s="146">
        <f t="shared" si="30"/>
        <v>0</v>
      </c>
      <c r="H683" s="141" t="str">
        <f t="shared" si="31"/>
        <v/>
      </c>
      <c r="J683" s="148" t="str">
        <f>IFERROR(SUMIFS(当年实际!$V:$V,当年实际!$H:$H,$B683,当年实际!$C:$C,"&gt;="&amp;DATE(YEAR(主页!$D$2),1,1),当年实际!$C:$C,"&lt;="&amp;EOMONTH(DATE(YEAR(主页!$D$2),MONTH(主页!$D$2),1),0))/SUMIFS(当年实际!$P:$P,当年实际!$H:$H,$B683,当年实际!$C:$C,"&gt;="&amp;DATE(YEAR(主页!$D$2),1,1),当年实际!$C:$C,"&lt;="&amp;EOMONTH(DATE(YEAR(主页!$D$2),MONTH(主页!$D$2),1),0)),"")</f>
        <v/>
      </c>
    </row>
    <row r="684" spans="1:10" x14ac:dyDescent="0.3">
      <c r="A684" s="135"/>
      <c r="B684" s="136"/>
      <c r="C684" s="138"/>
      <c r="D684" s="139"/>
      <c r="E684" s="141" t="str">
        <f t="shared" si="32"/>
        <v/>
      </c>
      <c r="F684" s="144"/>
      <c r="G684" s="146">
        <f t="shared" si="30"/>
        <v>0</v>
      </c>
      <c r="H684" s="141" t="str">
        <f t="shared" si="31"/>
        <v/>
      </c>
      <c r="J684" s="148" t="str">
        <f>IFERROR(SUMIFS(当年实际!$V:$V,当年实际!$H:$H,$B684,当年实际!$C:$C,"&gt;="&amp;DATE(YEAR(主页!$D$2),1,1),当年实际!$C:$C,"&lt;="&amp;EOMONTH(DATE(YEAR(主页!$D$2),MONTH(主页!$D$2),1),0))/SUMIFS(当年实际!$P:$P,当年实际!$H:$H,$B684,当年实际!$C:$C,"&gt;="&amp;DATE(YEAR(主页!$D$2),1,1),当年实际!$C:$C,"&lt;="&amp;EOMONTH(DATE(YEAR(主页!$D$2),MONTH(主页!$D$2),1),0)),"")</f>
        <v/>
      </c>
    </row>
    <row r="685" spans="1:10" x14ac:dyDescent="0.3">
      <c r="A685" s="135"/>
      <c r="B685" s="136"/>
      <c r="C685" s="138"/>
      <c r="D685" s="139"/>
      <c r="E685" s="141" t="str">
        <f t="shared" si="32"/>
        <v/>
      </c>
      <c r="F685" s="144"/>
      <c r="G685" s="146">
        <f t="shared" si="30"/>
        <v>0</v>
      </c>
      <c r="H685" s="141" t="str">
        <f t="shared" si="31"/>
        <v/>
      </c>
      <c r="J685" s="148" t="str">
        <f>IFERROR(SUMIFS(当年实际!$V:$V,当年实际!$H:$H,$B685,当年实际!$C:$C,"&gt;="&amp;DATE(YEAR(主页!$D$2),1,1),当年实际!$C:$C,"&lt;="&amp;EOMONTH(DATE(YEAR(主页!$D$2),MONTH(主页!$D$2),1),0))/SUMIFS(当年实际!$P:$P,当年实际!$H:$H,$B685,当年实际!$C:$C,"&gt;="&amp;DATE(YEAR(主页!$D$2),1,1),当年实际!$C:$C,"&lt;="&amp;EOMONTH(DATE(YEAR(主页!$D$2),MONTH(主页!$D$2),1),0)),"")</f>
        <v/>
      </c>
    </row>
    <row r="686" spans="1:10" x14ac:dyDescent="0.3">
      <c r="A686" s="135"/>
      <c r="B686" s="136"/>
      <c r="C686" s="138"/>
      <c r="D686" s="139"/>
      <c r="E686" s="141" t="str">
        <f t="shared" si="32"/>
        <v/>
      </c>
      <c r="F686" s="144"/>
      <c r="G686" s="146">
        <f t="shared" si="30"/>
        <v>0</v>
      </c>
      <c r="H686" s="141" t="str">
        <f t="shared" si="31"/>
        <v/>
      </c>
      <c r="J686" s="148" t="str">
        <f>IFERROR(SUMIFS(当年实际!$V:$V,当年实际!$H:$H,$B686,当年实际!$C:$C,"&gt;="&amp;DATE(YEAR(主页!$D$2),1,1),当年实际!$C:$C,"&lt;="&amp;EOMONTH(DATE(YEAR(主页!$D$2),MONTH(主页!$D$2),1),0))/SUMIFS(当年实际!$P:$P,当年实际!$H:$H,$B686,当年实际!$C:$C,"&gt;="&amp;DATE(YEAR(主页!$D$2),1,1),当年实际!$C:$C,"&lt;="&amp;EOMONTH(DATE(YEAR(主页!$D$2),MONTH(主页!$D$2),1),0)),"")</f>
        <v/>
      </c>
    </row>
    <row r="687" spans="1:10" x14ac:dyDescent="0.3">
      <c r="A687" s="135"/>
      <c r="B687" s="136"/>
      <c r="C687" s="138"/>
      <c r="D687" s="139"/>
      <c r="E687" s="141" t="str">
        <f t="shared" si="32"/>
        <v/>
      </c>
      <c r="F687" s="144"/>
      <c r="G687" s="146">
        <f t="shared" si="30"/>
        <v>0</v>
      </c>
      <c r="H687" s="141" t="str">
        <f t="shared" si="31"/>
        <v/>
      </c>
      <c r="J687" s="148" t="str">
        <f>IFERROR(SUMIFS(当年实际!$V:$V,当年实际!$H:$H,$B687,当年实际!$C:$C,"&gt;="&amp;DATE(YEAR(主页!$D$2),1,1),当年实际!$C:$C,"&lt;="&amp;EOMONTH(DATE(YEAR(主页!$D$2),MONTH(主页!$D$2),1),0))/SUMIFS(当年实际!$P:$P,当年实际!$H:$H,$B687,当年实际!$C:$C,"&gt;="&amp;DATE(YEAR(主页!$D$2),1,1),当年实际!$C:$C,"&lt;="&amp;EOMONTH(DATE(YEAR(主页!$D$2),MONTH(主页!$D$2),1),0)),"")</f>
        <v/>
      </c>
    </row>
    <row r="688" spans="1:10" x14ac:dyDescent="0.3">
      <c r="A688" s="135"/>
      <c r="B688" s="136"/>
      <c r="C688" s="138"/>
      <c r="D688" s="139"/>
      <c r="E688" s="141" t="str">
        <f t="shared" si="32"/>
        <v/>
      </c>
      <c r="F688" s="144"/>
      <c r="G688" s="146">
        <f t="shared" si="30"/>
        <v>0</v>
      </c>
      <c r="H688" s="141" t="str">
        <f t="shared" si="31"/>
        <v/>
      </c>
      <c r="J688" s="148" t="str">
        <f>IFERROR(SUMIFS(当年实际!$V:$V,当年实际!$H:$H,$B688,当年实际!$C:$C,"&gt;="&amp;DATE(YEAR(主页!$D$2),1,1),当年实际!$C:$C,"&lt;="&amp;EOMONTH(DATE(YEAR(主页!$D$2),MONTH(主页!$D$2),1),0))/SUMIFS(当年实际!$P:$P,当年实际!$H:$H,$B688,当年实际!$C:$C,"&gt;="&amp;DATE(YEAR(主页!$D$2),1,1),当年实际!$C:$C,"&lt;="&amp;EOMONTH(DATE(YEAR(主页!$D$2),MONTH(主页!$D$2),1),0)),"")</f>
        <v/>
      </c>
    </row>
    <row r="689" spans="1:10" x14ac:dyDescent="0.3">
      <c r="A689" s="135"/>
      <c r="B689" s="136"/>
      <c r="C689" s="138"/>
      <c r="D689" s="139"/>
      <c r="E689" s="141" t="str">
        <f t="shared" si="32"/>
        <v/>
      </c>
      <c r="F689" s="144"/>
      <c r="G689" s="146">
        <f t="shared" si="30"/>
        <v>0</v>
      </c>
      <c r="H689" s="141" t="str">
        <f t="shared" si="31"/>
        <v/>
      </c>
      <c r="J689" s="148" t="str">
        <f>IFERROR(SUMIFS(当年实际!$V:$V,当年实际!$H:$H,$B689,当年实际!$C:$C,"&gt;="&amp;DATE(YEAR(主页!$D$2),1,1),当年实际!$C:$C,"&lt;="&amp;EOMONTH(DATE(YEAR(主页!$D$2),MONTH(主页!$D$2),1),0))/SUMIFS(当年实际!$P:$P,当年实际!$H:$H,$B689,当年实际!$C:$C,"&gt;="&amp;DATE(YEAR(主页!$D$2),1,1),当年实际!$C:$C,"&lt;="&amp;EOMONTH(DATE(YEAR(主页!$D$2),MONTH(主页!$D$2),1),0)),"")</f>
        <v/>
      </c>
    </row>
    <row r="690" spans="1:10" x14ac:dyDescent="0.3">
      <c r="A690" s="135"/>
      <c r="B690" s="136"/>
      <c r="C690" s="138"/>
      <c r="D690" s="139"/>
      <c r="E690" s="141" t="str">
        <f t="shared" si="32"/>
        <v/>
      </c>
      <c r="F690" s="144"/>
      <c r="G690" s="146">
        <f t="shared" si="30"/>
        <v>0</v>
      </c>
      <c r="H690" s="141" t="str">
        <f t="shared" si="31"/>
        <v/>
      </c>
      <c r="J690" s="148" t="str">
        <f>IFERROR(SUMIFS(当年实际!$V:$V,当年实际!$H:$H,$B690,当年实际!$C:$C,"&gt;="&amp;DATE(YEAR(主页!$D$2),1,1),当年实际!$C:$C,"&lt;="&amp;EOMONTH(DATE(YEAR(主页!$D$2),MONTH(主页!$D$2),1),0))/SUMIFS(当年实际!$P:$P,当年实际!$H:$H,$B690,当年实际!$C:$C,"&gt;="&amp;DATE(YEAR(主页!$D$2),1,1),当年实际!$C:$C,"&lt;="&amp;EOMONTH(DATE(YEAR(主页!$D$2),MONTH(主页!$D$2),1),0)),"")</f>
        <v/>
      </c>
    </row>
    <row r="691" spans="1:10" x14ac:dyDescent="0.3">
      <c r="A691" s="135"/>
      <c r="B691" s="136"/>
      <c r="C691" s="138"/>
      <c r="D691" s="139"/>
      <c r="E691" s="141" t="str">
        <f t="shared" si="32"/>
        <v/>
      </c>
      <c r="F691" s="144"/>
      <c r="G691" s="146">
        <f t="shared" si="30"/>
        <v>0</v>
      </c>
      <c r="H691" s="141" t="str">
        <f t="shared" si="31"/>
        <v/>
      </c>
      <c r="J691" s="148" t="str">
        <f>IFERROR(SUMIFS(当年实际!$V:$V,当年实际!$H:$H,$B691,当年实际!$C:$C,"&gt;="&amp;DATE(YEAR(主页!$D$2),1,1),当年实际!$C:$C,"&lt;="&amp;EOMONTH(DATE(YEAR(主页!$D$2),MONTH(主页!$D$2),1),0))/SUMIFS(当年实际!$P:$P,当年实际!$H:$H,$B691,当年实际!$C:$C,"&gt;="&amp;DATE(YEAR(主页!$D$2),1,1),当年实际!$C:$C,"&lt;="&amp;EOMONTH(DATE(YEAR(主页!$D$2),MONTH(主页!$D$2),1),0)),"")</f>
        <v/>
      </c>
    </row>
    <row r="692" spans="1:10" x14ac:dyDescent="0.3">
      <c r="A692" s="135"/>
      <c r="B692" s="136"/>
      <c r="C692" s="138"/>
      <c r="D692" s="139"/>
      <c r="E692" s="141" t="str">
        <f t="shared" si="32"/>
        <v/>
      </c>
      <c r="F692" s="144"/>
      <c r="G692" s="146">
        <f t="shared" si="30"/>
        <v>0</v>
      </c>
      <c r="H692" s="141" t="str">
        <f t="shared" si="31"/>
        <v/>
      </c>
      <c r="J692" s="148" t="str">
        <f>IFERROR(SUMIFS(当年实际!$V:$V,当年实际!$H:$H,$B692,当年实际!$C:$C,"&gt;="&amp;DATE(YEAR(主页!$D$2),1,1),当年实际!$C:$C,"&lt;="&amp;EOMONTH(DATE(YEAR(主页!$D$2),MONTH(主页!$D$2),1),0))/SUMIFS(当年实际!$P:$P,当年实际!$H:$H,$B692,当年实际!$C:$C,"&gt;="&amp;DATE(YEAR(主页!$D$2),1,1),当年实际!$C:$C,"&lt;="&amp;EOMONTH(DATE(YEAR(主页!$D$2),MONTH(主页!$D$2),1),0)),"")</f>
        <v/>
      </c>
    </row>
    <row r="693" spans="1:10" x14ac:dyDescent="0.3">
      <c r="A693" s="135"/>
      <c r="B693" s="136"/>
      <c r="C693" s="138"/>
      <c r="D693" s="139"/>
      <c r="E693" s="141" t="str">
        <f t="shared" si="32"/>
        <v/>
      </c>
      <c r="F693" s="144"/>
      <c r="G693" s="146">
        <f t="shared" si="30"/>
        <v>0</v>
      </c>
      <c r="H693" s="141" t="str">
        <f t="shared" si="31"/>
        <v/>
      </c>
      <c r="J693" s="148" t="str">
        <f>IFERROR(SUMIFS(当年实际!$V:$V,当年实际!$H:$H,$B693,当年实际!$C:$C,"&gt;="&amp;DATE(YEAR(主页!$D$2),1,1),当年实际!$C:$C,"&lt;="&amp;EOMONTH(DATE(YEAR(主页!$D$2),MONTH(主页!$D$2),1),0))/SUMIFS(当年实际!$P:$P,当年实际!$H:$H,$B693,当年实际!$C:$C,"&gt;="&amp;DATE(YEAR(主页!$D$2),1,1),当年实际!$C:$C,"&lt;="&amp;EOMONTH(DATE(YEAR(主页!$D$2),MONTH(主页!$D$2),1),0)),"")</f>
        <v/>
      </c>
    </row>
    <row r="694" spans="1:10" x14ac:dyDescent="0.3">
      <c r="A694" s="135"/>
      <c r="B694" s="136"/>
      <c r="C694" s="138"/>
      <c r="D694" s="139"/>
      <c r="E694" s="141" t="str">
        <f t="shared" si="32"/>
        <v/>
      </c>
      <c r="F694" s="144"/>
      <c r="G694" s="146">
        <f t="shared" si="30"/>
        <v>0</v>
      </c>
      <c r="H694" s="141" t="str">
        <f t="shared" si="31"/>
        <v/>
      </c>
      <c r="J694" s="148" t="str">
        <f>IFERROR(SUMIFS(当年实际!$V:$V,当年实际!$H:$H,$B694,当年实际!$C:$C,"&gt;="&amp;DATE(YEAR(主页!$D$2),1,1),当年实际!$C:$C,"&lt;="&amp;EOMONTH(DATE(YEAR(主页!$D$2),MONTH(主页!$D$2),1),0))/SUMIFS(当年实际!$P:$P,当年实际!$H:$H,$B694,当年实际!$C:$C,"&gt;="&amp;DATE(YEAR(主页!$D$2),1,1),当年实际!$C:$C,"&lt;="&amp;EOMONTH(DATE(YEAR(主页!$D$2),MONTH(主页!$D$2),1),0)),"")</f>
        <v/>
      </c>
    </row>
    <row r="695" spans="1:10" x14ac:dyDescent="0.3">
      <c r="A695" s="135"/>
      <c r="B695" s="136"/>
      <c r="C695" s="138"/>
      <c r="D695" s="139"/>
      <c r="E695" s="141" t="str">
        <f t="shared" si="32"/>
        <v/>
      </c>
      <c r="F695" s="144"/>
      <c r="G695" s="146">
        <f t="shared" si="30"/>
        <v>0</v>
      </c>
      <c r="H695" s="141" t="str">
        <f t="shared" si="31"/>
        <v/>
      </c>
      <c r="J695" s="148" t="str">
        <f>IFERROR(SUMIFS(当年实际!$V:$V,当年实际!$H:$H,$B695,当年实际!$C:$C,"&gt;="&amp;DATE(YEAR(主页!$D$2),1,1),当年实际!$C:$C,"&lt;="&amp;EOMONTH(DATE(YEAR(主页!$D$2),MONTH(主页!$D$2),1),0))/SUMIFS(当年实际!$P:$P,当年实际!$H:$H,$B695,当年实际!$C:$C,"&gt;="&amp;DATE(YEAR(主页!$D$2),1,1),当年实际!$C:$C,"&lt;="&amp;EOMONTH(DATE(YEAR(主页!$D$2),MONTH(主页!$D$2),1),0)),"")</f>
        <v/>
      </c>
    </row>
    <row r="696" spans="1:10" x14ac:dyDescent="0.3">
      <c r="A696" s="135"/>
      <c r="B696" s="136"/>
      <c r="C696" s="138"/>
      <c r="D696" s="139"/>
      <c r="E696" s="141" t="str">
        <f t="shared" si="32"/>
        <v/>
      </c>
      <c r="F696" s="144"/>
      <c r="G696" s="146">
        <f t="shared" si="30"/>
        <v>0</v>
      </c>
      <c r="H696" s="141" t="str">
        <f t="shared" si="31"/>
        <v/>
      </c>
      <c r="J696" s="148" t="str">
        <f>IFERROR(SUMIFS(当年实际!$V:$V,当年实际!$H:$H,$B696,当年实际!$C:$C,"&gt;="&amp;DATE(YEAR(主页!$D$2),1,1),当年实际!$C:$C,"&lt;="&amp;EOMONTH(DATE(YEAR(主页!$D$2),MONTH(主页!$D$2),1),0))/SUMIFS(当年实际!$P:$P,当年实际!$H:$H,$B696,当年实际!$C:$C,"&gt;="&amp;DATE(YEAR(主页!$D$2),1,1),当年实际!$C:$C,"&lt;="&amp;EOMONTH(DATE(YEAR(主页!$D$2),MONTH(主页!$D$2),1),0)),"")</f>
        <v/>
      </c>
    </row>
    <row r="697" spans="1:10" x14ac:dyDescent="0.3">
      <c r="A697" s="135"/>
      <c r="B697" s="136"/>
      <c r="C697" s="138"/>
      <c r="D697" s="139"/>
      <c r="E697" s="141" t="str">
        <f t="shared" si="32"/>
        <v/>
      </c>
      <c r="F697" s="144"/>
      <c r="G697" s="146">
        <f t="shared" si="30"/>
        <v>0</v>
      </c>
      <c r="H697" s="141" t="str">
        <f t="shared" si="31"/>
        <v/>
      </c>
      <c r="J697" s="148" t="str">
        <f>IFERROR(SUMIFS(当年实际!$V:$V,当年实际!$H:$H,$B697,当年实际!$C:$C,"&gt;="&amp;DATE(YEAR(主页!$D$2),1,1),当年实际!$C:$C,"&lt;="&amp;EOMONTH(DATE(YEAR(主页!$D$2),MONTH(主页!$D$2),1),0))/SUMIFS(当年实际!$P:$P,当年实际!$H:$H,$B697,当年实际!$C:$C,"&gt;="&amp;DATE(YEAR(主页!$D$2),1,1),当年实际!$C:$C,"&lt;="&amp;EOMONTH(DATE(YEAR(主页!$D$2),MONTH(主页!$D$2),1),0)),"")</f>
        <v/>
      </c>
    </row>
    <row r="698" spans="1:10" x14ac:dyDescent="0.3">
      <c r="A698" s="135"/>
      <c r="B698" s="136"/>
      <c r="C698" s="138"/>
      <c r="D698" s="139"/>
      <c r="E698" s="141" t="str">
        <f t="shared" si="32"/>
        <v/>
      </c>
      <c r="F698" s="144"/>
      <c r="G698" s="146">
        <f t="shared" si="30"/>
        <v>0</v>
      </c>
      <c r="H698" s="141" t="str">
        <f t="shared" si="31"/>
        <v/>
      </c>
      <c r="J698" s="148" t="str">
        <f>IFERROR(SUMIFS(当年实际!$V:$V,当年实际!$H:$H,$B698,当年实际!$C:$C,"&gt;="&amp;DATE(YEAR(主页!$D$2),1,1),当年实际!$C:$C,"&lt;="&amp;EOMONTH(DATE(YEAR(主页!$D$2),MONTH(主页!$D$2),1),0))/SUMIFS(当年实际!$P:$P,当年实际!$H:$H,$B698,当年实际!$C:$C,"&gt;="&amp;DATE(YEAR(主页!$D$2),1,1),当年实际!$C:$C,"&lt;="&amp;EOMONTH(DATE(YEAR(主页!$D$2),MONTH(主页!$D$2),1),0)),"")</f>
        <v/>
      </c>
    </row>
    <row r="699" spans="1:10" x14ac:dyDescent="0.3">
      <c r="A699" s="135"/>
      <c r="B699" s="136"/>
      <c r="C699" s="138"/>
      <c r="D699" s="139"/>
      <c r="E699" s="141" t="str">
        <f t="shared" si="32"/>
        <v/>
      </c>
      <c r="F699" s="144"/>
      <c r="G699" s="146">
        <f t="shared" si="30"/>
        <v>0</v>
      </c>
      <c r="H699" s="141" t="str">
        <f t="shared" si="31"/>
        <v/>
      </c>
      <c r="J699" s="148" t="str">
        <f>IFERROR(SUMIFS(当年实际!$V:$V,当年实际!$H:$H,$B699,当年实际!$C:$C,"&gt;="&amp;DATE(YEAR(主页!$D$2),1,1),当年实际!$C:$C,"&lt;="&amp;EOMONTH(DATE(YEAR(主页!$D$2),MONTH(主页!$D$2),1),0))/SUMIFS(当年实际!$P:$P,当年实际!$H:$H,$B699,当年实际!$C:$C,"&gt;="&amp;DATE(YEAR(主页!$D$2),1,1),当年实际!$C:$C,"&lt;="&amp;EOMONTH(DATE(YEAR(主页!$D$2),MONTH(主页!$D$2),1),0)),"")</f>
        <v/>
      </c>
    </row>
    <row r="700" spans="1:10" x14ac:dyDescent="0.3">
      <c r="A700" s="135"/>
      <c r="B700" s="136"/>
      <c r="C700" s="138"/>
      <c r="D700" s="139"/>
      <c r="E700" s="141" t="str">
        <f t="shared" si="32"/>
        <v/>
      </c>
      <c r="F700" s="144"/>
      <c r="G700" s="146">
        <f t="shared" si="30"/>
        <v>0</v>
      </c>
      <c r="H700" s="141" t="str">
        <f t="shared" si="31"/>
        <v/>
      </c>
      <c r="J700" s="148" t="str">
        <f>IFERROR(SUMIFS(当年实际!$V:$V,当年实际!$H:$H,$B700,当年实际!$C:$C,"&gt;="&amp;DATE(YEAR(主页!$D$2),1,1),当年实际!$C:$C,"&lt;="&amp;EOMONTH(DATE(YEAR(主页!$D$2),MONTH(主页!$D$2),1),0))/SUMIFS(当年实际!$P:$P,当年实际!$H:$H,$B700,当年实际!$C:$C,"&gt;="&amp;DATE(YEAR(主页!$D$2),1,1),当年实际!$C:$C,"&lt;="&amp;EOMONTH(DATE(YEAR(主页!$D$2),MONTH(主页!$D$2),1),0)),"")</f>
        <v/>
      </c>
    </row>
    <row r="701" spans="1:10" x14ac:dyDescent="0.3">
      <c r="A701" s="135"/>
      <c r="B701" s="136"/>
      <c r="C701" s="138"/>
      <c r="D701" s="139"/>
      <c r="E701" s="141" t="str">
        <f t="shared" si="32"/>
        <v/>
      </c>
      <c r="F701" s="144"/>
      <c r="G701" s="146">
        <f t="shared" si="30"/>
        <v>0</v>
      </c>
      <c r="H701" s="141" t="str">
        <f t="shared" si="31"/>
        <v/>
      </c>
      <c r="J701" s="148" t="str">
        <f>IFERROR(SUMIFS(当年实际!$V:$V,当年实际!$H:$H,$B701,当年实际!$C:$C,"&gt;="&amp;DATE(YEAR(主页!$D$2),1,1),当年实际!$C:$C,"&lt;="&amp;EOMONTH(DATE(YEAR(主页!$D$2),MONTH(主页!$D$2),1),0))/SUMIFS(当年实际!$P:$P,当年实际!$H:$H,$B701,当年实际!$C:$C,"&gt;="&amp;DATE(YEAR(主页!$D$2),1,1),当年实际!$C:$C,"&lt;="&amp;EOMONTH(DATE(YEAR(主页!$D$2),MONTH(主页!$D$2),1),0)),"")</f>
        <v/>
      </c>
    </row>
    <row r="702" spans="1:10" x14ac:dyDescent="0.3">
      <c r="A702" s="135"/>
      <c r="B702" s="136"/>
      <c r="C702" s="138"/>
      <c r="D702" s="139"/>
      <c r="E702" s="141" t="str">
        <f t="shared" si="32"/>
        <v/>
      </c>
      <c r="F702" s="144"/>
      <c r="G702" s="146">
        <f t="shared" si="30"/>
        <v>0</v>
      </c>
      <c r="H702" s="141" t="str">
        <f t="shared" si="31"/>
        <v/>
      </c>
      <c r="J702" s="148" t="str">
        <f>IFERROR(SUMIFS(当年实际!$V:$V,当年实际!$H:$H,$B702,当年实际!$C:$C,"&gt;="&amp;DATE(YEAR(主页!$D$2),1,1),当年实际!$C:$C,"&lt;="&amp;EOMONTH(DATE(YEAR(主页!$D$2),MONTH(主页!$D$2),1),0))/SUMIFS(当年实际!$P:$P,当年实际!$H:$H,$B702,当年实际!$C:$C,"&gt;="&amp;DATE(YEAR(主页!$D$2),1,1),当年实际!$C:$C,"&lt;="&amp;EOMONTH(DATE(YEAR(主页!$D$2),MONTH(主页!$D$2),1),0)),"")</f>
        <v/>
      </c>
    </row>
    <row r="703" spans="1:10" x14ac:dyDescent="0.3">
      <c r="A703" s="135"/>
      <c r="B703" s="136"/>
      <c r="C703" s="138"/>
      <c r="D703" s="139"/>
      <c r="E703" s="141" t="str">
        <f t="shared" si="32"/>
        <v/>
      </c>
      <c r="F703" s="144"/>
      <c r="G703" s="146">
        <f t="shared" si="30"/>
        <v>0</v>
      </c>
      <c r="H703" s="141" t="str">
        <f t="shared" si="31"/>
        <v/>
      </c>
      <c r="J703" s="148" t="str">
        <f>IFERROR(SUMIFS(当年实际!$V:$V,当年实际!$H:$H,$B703,当年实际!$C:$C,"&gt;="&amp;DATE(YEAR(主页!$D$2),1,1),当年实际!$C:$C,"&lt;="&amp;EOMONTH(DATE(YEAR(主页!$D$2),MONTH(主页!$D$2),1),0))/SUMIFS(当年实际!$P:$P,当年实际!$H:$H,$B703,当年实际!$C:$C,"&gt;="&amp;DATE(YEAR(主页!$D$2),1,1),当年实际!$C:$C,"&lt;="&amp;EOMONTH(DATE(YEAR(主页!$D$2),MONTH(主页!$D$2),1),0)),"")</f>
        <v/>
      </c>
    </row>
    <row r="704" spans="1:10" x14ac:dyDescent="0.3">
      <c r="A704" s="135"/>
      <c r="B704" s="136"/>
      <c r="C704" s="138"/>
      <c r="D704" s="139"/>
      <c r="E704" s="141" t="str">
        <f t="shared" si="32"/>
        <v/>
      </c>
      <c r="F704" s="144"/>
      <c r="G704" s="146">
        <f t="shared" si="30"/>
        <v>0</v>
      </c>
      <c r="H704" s="141" t="str">
        <f t="shared" si="31"/>
        <v/>
      </c>
      <c r="J704" s="148" t="str">
        <f>IFERROR(SUMIFS(当年实际!$V:$V,当年实际!$H:$H,$B704,当年实际!$C:$C,"&gt;="&amp;DATE(YEAR(主页!$D$2),1,1),当年实际!$C:$C,"&lt;="&amp;EOMONTH(DATE(YEAR(主页!$D$2),MONTH(主页!$D$2),1),0))/SUMIFS(当年实际!$P:$P,当年实际!$H:$H,$B704,当年实际!$C:$C,"&gt;="&amp;DATE(YEAR(主页!$D$2),1,1),当年实际!$C:$C,"&lt;="&amp;EOMONTH(DATE(YEAR(主页!$D$2),MONTH(主页!$D$2),1),0)),"")</f>
        <v/>
      </c>
    </row>
    <row r="705" spans="1:10" x14ac:dyDescent="0.3">
      <c r="A705" s="135"/>
      <c r="B705" s="136"/>
      <c r="C705" s="138"/>
      <c r="D705" s="139"/>
      <c r="E705" s="141" t="str">
        <f t="shared" si="32"/>
        <v/>
      </c>
      <c r="F705" s="144"/>
      <c r="G705" s="146">
        <f t="shared" si="30"/>
        <v>0</v>
      </c>
      <c r="H705" s="141" t="str">
        <f t="shared" si="31"/>
        <v/>
      </c>
      <c r="J705" s="148" t="str">
        <f>IFERROR(SUMIFS(当年实际!$V:$V,当年实际!$H:$H,$B705,当年实际!$C:$C,"&gt;="&amp;DATE(YEAR(主页!$D$2),1,1),当年实际!$C:$C,"&lt;="&amp;EOMONTH(DATE(YEAR(主页!$D$2),MONTH(主页!$D$2),1),0))/SUMIFS(当年实际!$P:$P,当年实际!$H:$H,$B705,当年实际!$C:$C,"&gt;="&amp;DATE(YEAR(主页!$D$2),1,1),当年实际!$C:$C,"&lt;="&amp;EOMONTH(DATE(YEAR(主页!$D$2),MONTH(主页!$D$2),1),0)),"")</f>
        <v/>
      </c>
    </row>
    <row r="706" spans="1:10" x14ac:dyDescent="0.3">
      <c r="A706" s="135"/>
      <c r="B706" s="136"/>
      <c r="C706" s="138"/>
      <c r="D706" s="139"/>
      <c r="E706" s="141" t="str">
        <f t="shared" si="32"/>
        <v/>
      </c>
      <c r="F706" s="144"/>
      <c r="G706" s="146">
        <f t="shared" si="30"/>
        <v>0</v>
      </c>
      <c r="H706" s="141" t="str">
        <f t="shared" si="31"/>
        <v/>
      </c>
      <c r="J706" s="148" t="str">
        <f>IFERROR(SUMIFS(当年实际!$V:$V,当年实际!$H:$H,$B706,当年实际!$C:$C,"&gt;="&amp;DATE(YEAR(主页!$D$2),1,1),当年实际!$C:$C,"&lt;="&amp;EOMONTH(DATE(YEAR(主页!$D$2),MONTH(主页!$D$2),1),0))/SUMIFS(当年实际!$P:$P,当年实际!$H:$H,$B706,当年实际!$C:$C,"&gt;="&amp;DATE(YEAR(主页!$D$2),1,1),当年实际!$C:$C,"&lt;="&amp;EOMONTH(DATE(YEAR(主页!$D$2),MONTH(主页!$D$2),1),0)),"")</f>
        <v/>
      </c>
    </row>
    <row r="707" spans="1:10" x14ac:dyDescent="0.3">
      <c r="A707" s="135"/>
      <c r="B707" s="136"/>
      <c r="C707" s="138"/>
      <c r="D707" s="139"/>
      <c r="E707" s="141" t="str">
        <f t="shared" si="32"/>
        <v/>
      </c>
      <c r="F707" s="144"/>
      <c r="G707" s="146">
        <f t="shared" si="30"/>
        <v>0</v>
      </c>
      <c r="H707" s="141" t="str">
        <f t="shared" si="31"/>
        <v/>
      </c>
      <c r="J707" s="148" t="str">
        <f>IFERROR(SUMIFS(当年实际!$V:$V,当年实际!$H:$H,$B707,当年实际!$C:$C,"&gt;="&amp;DATE(YEAR(主页!$D$2),1,1),当年实际!$C:$C,"&lt;="&amp;EOMONTH(DATE(YEAR(主页!$D$2),MONTH(主页!$D$2),1),0))/SUMIFS(当年实际!$P:$P,当年实际!$H:$H,$B707,当年实际!$C:$C,"&gt;="&amp;DATE(YEAR(主页!$D$2),1,1),当年实际!$C:$C,"&lt;="&amp;EOMONTH(DATE(YEAR(主页!$D$2),MONTH(主页!$D$2),1),0)),"")</f>
        <v/>
      </c>
    </row>
    <row r="708" spans="1:10" x14ac:dyDescent="0.3">
      <c r="A708" s="135"/>
      <c r="B708" s="136"/>
      <c r="C708" s="138"/>
      <c r="D708" s="139"/>
      <c r="E708" s="141" t="str">
        <f t="shared" si="32"/>
        <v/>
      </c>
      <c r="F708" s="144"/>
      <c r="G708" s="146">
        <f t="shared" si="30"/>
        <v>0</v>
      </c>
      <c r="H708" s="141" t="str">
        <f t="shared" si="31"/>
        <v/>
      </c>
      <c r="J708" s="148" t="str">
        <f>IFERROR(SUMIFS(当年实际!$V:$V,当年实际!$H:$H,$B708,当年实际!$C:$C,"&gt;="&amp;DATE(YEAR(主页!$D$2),1,1),当年实际!$C:$C,"&lt;="&amp;EOMONTH(DATE(YEAR(主页!$D$2),MONTH(主页!$D$2),1),0))/SUMIFS(当年实际!$P:$P,当年实际!$H:$H,$B708,当年实际!$C:$C,"&gt;="&amp;DATE(YEAR(主页!$D$2),1,1),当年实际!$C:$C,"&lt;="&amp;EOMONTH(DATE(YEAR(主页!$D$2),MONTH(主页!$D$2),1),0)),"")</f>
        <v/>
      </c>
    </row>
    <row r="709" spans="1:10" x14ac:dyDescent="0.3">
      <c r="A709" s="135"/>
      <c r="B709" s="136"/>
      <c r="C709" s="138"/>
      <c r="D709" s="139"/>
      <c r="E709" s="141" t="str">
        <f t="shared" si="32"/>
        <v/>
      </c>
      <c r="F709" s="144"/>
      <c r="G709" s="146">
        <f t="shared" ref="G709:G772" si="33">D709*F709</f>
        <v>0</v>
      </c>
      <c r="H709" s="141" t="str">
        <f t="shared" si="31"/>
        <v/>
      </c>
      <c r="J709" s="148" t="str">
        <f>IFERROR(SUMIFS(当年实际!$V:$V,当年实际!$H:$H,$B709,当年实际!$C:$C,"&gt;="&amp;DATE(YEAR(主页!$D$2),1,1),当年实际!$C:$C,"&lt;="&amp;EOMONTH(DATE(YEAR(主页!$D$2),MONTH(主页!$D$2),1),0))/SUMIFS(当年实际!$P:$P,当年实际!$H:$H,$B709,当年实际!$C:$C,"&gt;="&amp;DATE(YEAR(主页!$D$2),1,1),当年实际!$C:$C,"&lt;="&amp;EOMONTH(DATE(YEAR(主页!$D$2),MONTH(主页!$D$2),1),0)),"")</f>
        <v/>
      </c>
    </row>
    <row r="710" spans="1:10" x14ac:dyDescent="0.3">
      <c r="A710" s="135"/>
      <c r="B710" s="136"/>
      <c r="C710" s="138"/>
      <c r="D710" s="139"/>
      <c r="E710" s="141" t="str">
        <f t="shared" si="32"/>
        <v/>
      </c>
      <c r="F710" s="144"/>
      <c r="G710" s="146">
        <f t="shared" si="33"/>
        <v>0</v>
      </c>
      <c r="H710" s="141" t="str">
        <f t="shared" ref="H710:H773" si="34">IF(G710/SUM(G:G)=0,"",G710/SUM(G:G))</f>
        <v/>
      </c>
      <c r="J710" s="148" t="str">
        <f>IFERROR(SUMIFS(当年实际!$V:$V,当年实际!$H:$H,$B710,当年实际!$C:$C,"&gt;="&amp;DATE(YEAR(主页!$D$2),1,1),当年实际!$C:$C,"&lt;="&amp;EOMONTH(DATE(YEAR(主页!$D$2),MONTH(主页!$D$2),1),0))/SUMIFS(当年实际!$P:$P,当年实际!$H:$H,$B710,当年实际!$C:$C,"&gt;="&amp;DATE(YEAR(主页!$D$2),1,1),当年实际!$C:$C,"&lt;="&amp;EOMONTH(DATE(YEAR(主页!$D$2),MONTH(主页!$D$2),1),0)),"")</f>
        <v/>
      </c>
    </row>
    <row r="711" spans="1:10" x14ac:dyDescent="0.3">
      <c r="A711" s="135"/>
      <c r="B711" s="136"/>
      <c r="C711" s="138"/>
      <c r="D711" s="139"/>
      <c r="E711" s="141" t="str">
        <f t="shared" si="32"/>
        <v/>
      </c>
      <c r="F711" s="144"/>
      <c r="G711" s="146">
        <f t="shared" si="33"/>
        <v>0</v>
      </c>
      <c r="H711" s="141" t="str">
        <f t="shared" si="34"/>
        <v/>
      </c>
      <c r="J711" s="148" t="str">
        <f>IFERROR(SUMIFS(当年实际!$V:$V,当年实际!$H:$H,$B711,当年实际!$C:$C,"&gt;="&amp;DATE(YEAR(主页!$D$2),1,1),当年实际!$C:$C,"&lt;="&amp;EOMONTH(DATE(YEAR(主页!$D$2),MONTH(主页!$D$2),1),0))/SUMIFS(当年实际!$P:$P,当年实际!$H:$H,$B711,当年实际!$C:$C,"&gt;="&amp;DATE(YEAR(主页!$D$2),1,1),当年实际!$C:$C,"&lt;="&amp;EOMONTH(DATE(YEAR(主页!$D$2),MONTH(主页!$D$2),1),0)),"")</f>
        <v/>
      </c>
    </row>
    <row r="712" spans="1:10" x14ac:dyDescent="0.3">
      <c r="A712" s="135"/>
      <c r="B712" s="136"/>
      <c r="C712" s="138"/>
      <c r="D712" s="139"/>
      <c r="E712" s="141" t="str">
        <f t="shared" ref="E712:E775" si="35">IF(D712/SUM(D:D)=0,"",D712/SUM(D:D))</f>
        <v/>
      </c>
      <c r="F712" s="144"/>
      <c r="G712" s="146">
        <f t="shared" si="33"/>
        <v>0</v>
      </c>
      <c r="H712" s="141" t="str">
        <f t="shared" si="34"/>
        <v/>
      </c>
      <c r="J712" s="148" t="str">
        <f>IFERROR(SUMIFS(当年实际!$V:$V,当年实际!$H:$H,$B712,当年实际!$C:$C,"&gt;="&amp;DATE(YEAR(主页!$D$2),1,1),当年实际!$C:$C,"&lt;="&amp;EOMONTH(DATE(YEAR(主页!$D$2),MONTH(主页!$D$2),1),0))/SUMIFS(当年实际!$P:$P,当年实际!$H:$H,$B712,当年实际!$C:$C,"&gt;="&amp;DATE(YEAR(主页!$D$2),1,1),当年实际!$C:$C,"&lt;="&amp;EOMONTH(DATE(YEAR(主页!$D$2),MONTH(主页!$D$2),1),0)),"")</f>
        <v/>
      </c>
    </row>
    <row r="713" spans="1:10" x14ac:dyDescent="0.3">
      <c r="A713" s="135"/>
      <c r="B713" s="136"/>
      <c r="C713" s="138"/>
      <c r="D713" s="139"/>
      <c r="E713" s="141" t="str">
        <f t="shared" si="35"/>
        <v/>
      </c>
      <c r="F713" s="144"/>
      <c r="G713" s="146">
        <f t="shared" si="33"/>
        <v>0</v>
      </c>
      <c r="H713" s="141" t="str">
        <f t="shared" si="34"/>
        <v/>
      </c>
      <c r="J713" s="148" t="str">
        <f>IFERROR(SUMIFS(当年实际!$V:$V,当年实际!$H:$H,$B713,当年实际!$C:$C,"&gt;="&amp;DATE(YEAR(主页!$D$2),1,1),当年实际!$C:$C,"&lt;="&amp;EOMONTH(DATE(YEAR(主页!$D$2),MONTH(主页!$D$2),1),0))/SUMIFS(当年实际!$P:$P,当年实际!$H:$H,$B713,当年实际!$C:$C,"&gt;="&amp;DATE(YEAR(主页!$D$2),1,1),当年实际!$C:$C,"&lt;="&amp;EOMONTH(DATE(YEAR(主页!$D$2),MONTH(主页!$D$2),1),0)),"")</f>
        <v/>
      </c>
    </row>
    <row r="714" spans="1:10" x14ac:dyDescent="0.3">
      <c r="A714" s="135"/>
      <c r="B714" s="136"/>
      <c r="C714" s="138"/>
      <c r="D714" s="139"/>
      <c r="E714" s="141" t="str">
        <f t="shared" si="35"/>
        <v/>
      </c>
      <c r="F714" s="144"/>
      <c r="G714" s="146">
        <f t="shared" si="33"/>
        <v>0</v>
      </c>
      <c r="H714" s="141" t="str">
        <f t="shared" si="34"/>
        <v/>
      </c>
      <c r="J714" s="148" t="str">
        <f>IFERROR(SUMIFS(当年实际!$V:$V,当年实际!$H:$H,$B714,当年实际!$C:$C,"&gt;="&amp;DATE(YEAR(主页!$D$2),1,1),当年实际!$C:$C,"&lt;="&amp;EOMONTH(DATE(YEAR(主页!$D$2),MONTH(主页!$D$2),1),0))/SUMIFS(当年实际!$P:$P,当年实际!$H:$H,$B714,当年实际!$C:$C,"&gt;="&amp;DATE(YEAR(主页!$D$2),1,1),当年实际!$C:$C,"&lt;="&amp;EOMONTH(DATE(YEAR(主页!$D$2),MONTH(主页!$D$2),1),0)),"")</f>
        <v/>
      </c>
    </row>
    <row r="715" spans="1:10" x14ac:dyDescent="0.3">
      <c r="A715" s="135"/>
      <c r="B715" s="136"/>
      <c r="C715" s="138"/>
      <c r="D715" s="139"/>
      <c r="E715" s="141" t="str">
        <f t="shared" si="35"/>
        <v/>
      </c>
      <c r="F715" s="144"/>
      <c r="G715" s="146">
        <f t="shared" si="33"/>
        <v>0</v>
      </c>
      <c r="H715" s="141" t="str">
        <f t="shared" si="34"/>
        <v/>
      </c>
      <c r="J715" s="148" t="str">
        <f>IFERROR(SUMIFS(当年实际!$V:$V,当年实际!$H:$H,$B715,当年实际!$C:$C,"&gt;="&amp;DATE(YEAR(主页!$D$2),1,1),当年实际!$C:$C,"&lt;="&amp;EOMONTH(DATE(YEAR(主页!$D$2),MONTH(主页!$D$2),1),0))/SUMIFS(当年实际!$P:$P,当年实际!$H:$H,$B715,当年实际!$C:$C,"&gt;="&amp;DATE(YEAR(主页!$D$2),1,1),当年实际!$C:$C,"&lt;="&amp;EOMONTH(DATE(YEAR(主页!$D$2),MONTH(主页!$D$2),1),0)),"")</f>
        <v/>
      </c>
    </row>
    <row r="716" spans="1:10" x14ac:dyDescent="0.3">
      <c r="A716" s="135"/>
      <c r="B716" s="136"/>
      <c r="C716" s="138"/>
      <c r="D716" s="139"/>
      <c r="E716" s="141" t="str">
        <f t="shared" si="35"/>
        <v/>
      </c>
      <c r="F716" s="144"/>
      <c r="G716" s="146">
        <f t="shared" si="33"/>
        <v>0</v>
      </c>
      <c r="H716" s="141" t="str">
        <f t="shared" si="34"/>
        <v/>
      </c>
      <c r="J716" s="148" t="str">
        <f>IFERROR(SUMIFS(当年实际!$V:$V,当年实际!$H:$H,$B716,当年实际!$C:$C,"&gt;="&amp;DATE(YEAR(主页!$D$2),1,1),当年实际!$C:$C,"&lt;="&amp;EOMONTH(DATE(YEAR(主页!$D$2),MONTH(主页!$D$2),1),0))/SUMIFS(当年实际!$P:$P,当年实际!$H:$H,$B716,当年实际!$C:$C,"&gt;="&amp;DATE(YEAR(主页!$D$2),1,1),当年实际!$C:$C,"&lt;="&amp;EOMONTH(DATE(YEAR(主页!$D$2),MONTH(主页!$D$2),1),0)),"")</f>
        <v/>
      </c>
    </row>
    <row r="717" spans="1:10" x14ac:dyDescent="0.3">
      <c r="A717" s="135"/>
      <c r="B717" s="136"/>
      <c r="C717" s="138"/>
      <c r="D717" s="139"/>
      <c r="E717" s="141" t="str">
        <f t="shared" si="35"/>
        <v/>
      </c>
      <c r="F717" s="144"/>
      <c r="G717" s="146">
        <f t="shared" si="33"/>
        <v>0</v>
      </c>
      <c r="H717" s="141" t="str">
        <f t="shared" si="34"/>
        <v/>
      </c>
      <c r="J717" s="148" t="str">
        <f>IFERROR(SUMIFS(当年实际!$V:$V,当年实际!$H:$H,$B717,当年实际!$C:$C,"&gt;="&amp;DATE(YEAR(主页!$D$2),1,1),当年实际!$C:$C,"&lt;="&amp;EOMONTH(DATE(YEAR(主页!$D$2),MONTH(主页!$D$2),1),0))/SUMIFS(当年实际!$P:$P,当年实际!$H:$H,$B717,当年实际!$C:$C,"&gt;="&amp;DATE(YEAR(主页!$D$2),1,1),当年实际!$C:$C,"&lt;="&amp;EOMONTH(DATE(YEAR(主页!$D$2),MONTH(主页!$D$2),1),0)),"")</f>
        <v/>
      </c>
    </row>
    <row r="718" spans="1:10" x14ac:dyDescent="0.3">
      <c r="A718" s="135"/>
      <c r="B718" s="136"/>
      <c r="C718" s="138"/>
      <c r="D718" s="139"/>
      <c r="E718" s="141" t="str">
        <f t="shared" si="35"/>
        <v/>
      </c>
      <c r="F718" s="144"/>
      <c r="G718" s="146">
        <f t="shared" si="33"/>
        <v>0</v>
      </c>
      <c r="H718" s="141" t="str">
        <f t="shared" si="34"/>
        <v/>
      </c>
      <c r="J718" s="148" t="str">
        <f>IFERROR(SUMIFS(当年实际!$V:$V,当年实际!$H:$H,$B718,当年实际!$C:$C,"&gt;="&amp;DATE(YEAR(主页!$D$2),1,1),当年实际!$C:$C,"&lt;="&amp;EOMONTH(DATE(YEAR(主页!$D$2),MONTH(主页!$D$2),1),0))/SUMIFS(当年实际!$P:$P,当年实际!$H:$H,$B718,当年实际!$C:$C,"&gt;="&amp;DATE(YEAR(主页!$D$2),1,1),当年实际!$C:$C,"&lt;="&amp;EOMONTH(DATE(YEAR(主页!$D$2),MONTH(主页!$D$2),1),0)),"")</f>
        <v/>
      </c>
    </row>
    <row r="719" spans="1:10" x14ac:dyDescent="0.3">
      <c r="A719" s="135"/>
      <c r="B719" s="136"/>
      <c r="C719" s="138"/>
      <c r="D719" s="139"/>
      <c r="E719" s="141" t="str">
        <f t="shared" si="35"/>
        <v/>
      </c>
      <c r="F719" s="144"/>
      <c r="G719" s="146">
        <f t="shared" si="33"/>
        <v>0</v>
      </c>
      <c r="H719" s="141" t="str">
        <f t="shared" si="34"/>
        <v/>
      </c>
      <c r="J719" s="148" t="str">
        <f>IFERROR(SUMIFS(当年实际!$V:$V,当年实际!$H:$H,$B719,当年实际!$C:$C,"&gt;="&amp;DATE(YEAR(主页!$D$2),1,1),当年实际!$C:$C,"&lt;="&amp;EOMONTH(DATE(YEAR(主页!$D$2),MONTH(主页!$D$2),1),0))/SUMIFS(当年实际!$P:$P,当年实际!$H:$H,$B719,当年实际!$C:$C,"&gt;="&amp;DATE(YEAR(主页!$D$2),1,1),当年实际!$C:$C,"&lt;="&amp;EOMONTH(DATE(YEAR(主页!$D$2),MONTH(主页!$D$2),1),0)),"")</f>
        <v/>
      </c>
    </row>
    <row r="720" spans="1:10" x14ac:dyDescent="0.3">
      <c r="A720" s="135"/>
      <c r="B720" s="136"/>
      <c r="C720" s="138"/>
      <c r="D720" s="139"/>
      <c r="E720" s="141" t="str">
        <f t="shared" si="35"/>
        <v/>
      </c>
      <c r="F720" s="144"/>
      <c r="G720" s="146">
        <f t="shared" si="33"/>
        <v>0</v>
      </c>
      <c r="H720" s="141" t="str">
        <f t="shared" si="34"/>
        <v/>
      </c>
      <c r="J720" s="148" t="str">
        <f>IFERROR(SUMIFS(当年实际!$V:$V,当年实际!$H:$H,$B720,当年实际!$C:$C,"&gt;="&amp;DATE(YEAR(主页!$D$2),1,1),当年实际!$C:$C,"&lt;="&amp;EOMONTH(DATE(YEAR(主页!$D$2),MONTH(主页!$D$2),1),0))/SUMIFS(当年实际!$P:$P,当年实际!$H:$H,$B720,当年实际!$C:$C,"&gt;="&amp;DATE(YEAR(主页!$D$2),1,1),当年实际!$C:$C,"&lt;="&amp;EOMONTH(DATE(YEAR(主页!$D$2),MONTH(主页!$D$2),1),0)),"")</f>
        <v/>
      </c>
    </row>
    <row r="721" spans="1:10" x14ac:dyDescent="0.3">
      <c r="A721" s="135"/>
      <c r="B721" s="136"/>
      <c r="C721" s="138"/>
      <c r="D721" s="139"/>
      <c r="E721" s="141" t="str">
        <f t="shared" si="35"/>
        <v/>
      </c>
      <c r="F721" s="144"/>
      <c r="G721" s="146">
        <f t="shared" si="33"/>
        <v>0</v>
      </c>
      <c r="H721" s="141" t="str">
        <f t="shared" si="34"/>
        <v/>
      </c>
      <c r="J721" s="148" t="str">
        <f>IFERROR(SUMIFS(当年实际!$V:$V,当年实际!$H:$H,$B721,当年实际!$C:$C,"&gt;="&amp;DATE(YEAR(主页!$D$2),1,1),当年实际!$C:$C,"&lt;="&amp;EOMONTH(DATE(YEAR(主页!$D$2),MONTH(主页!$D$2),1),0))/SUMIFS(当年实际!$P:$P,当年实际!$H:$H,$B721,当年实际!$C:$C,"&gt;="&amp;DATE(YEAR(主页!$D$2),1,1),当年实际!$C:$C,"&lt;="&amp;EOMONTH(DATE(YEAR(主页!$D$2),MONTH(主页!$D$2),1),0)),"")</f>
        <v/>
      </c>
    </row>
    <row r="722" spans="1:10" x14ac:dyDescent="0.3">
      <c r="A722" s="135"/>
      <c r="B722" s="136"/>
      <c r="C722" s="138"/>
      <c r="D722" s="139"/>
      <c r="E722" s="141" t="str">
        <f t="shared" si="35"/>
        <v/>
      </c>
      <c r="F722" s="144"/>
      <c r="G722" s="146">
        <f t="shared" si="33"/>
        <v>0</v>
      </c>
      <c r="H722" s="141" t="str">
        <f t="shared" si="34"/>
        <v/>
      </c>
      <c r="J722" s="148" t="str">
        <f>IFERROR(SUMIFS(当年实际!$V:$V,当年实际!$H:$H,$B722,当年实际!$C:$C,"&gt;="&amp;DATE(YEAR(主页!$D$2),1,1),当年实际!$C:$C,"&lt;="&amp;EOMONTH(DATE(YEAR(主页!$D$2),MONTH(主页!$D$2),1),0))/SUMIFS(当年实际!$P:$P,当年实际!$H:$H,$B722,当年实际!$C:$C,"&gt;="&amp;DATE(YEAR(主页!$D$2),1,1),当年实际!$C:$C,"&lt;="&amp;EOMONTH(DATE(YEAR(主页!$D$2),MONTH(主页!$D$2),1),0)),"")</f>
        <v/>
      </c>
    </row>
    <row r="723" spans="1:10" x14ac:dyDescent="0.3">
      <c r="A723" s="135"/>
      <c r="B723" s="136"/>
      <c r="C723" s="138"/>
      <c r="D723" s="139"/>
      <c r="E723" s="141" t="str">
        <f t="shared" si="35"/>
        <v/>
      </c>
      <c r="F723" s="144"/>
      <c r="G723" s="146">
        <f t="shared" si="33"/>
        <v>0</v>
      </c>
      <c r="H723" s="141" t="str">
        <f t="shared" si="34"/>
        <v/>
      </c>
      <c r="J723" s="148" t="str">
        <f>IFERROR(SUMIFS(当年实际!$V:$V,当年实际!$H:$H,$B723,当年实际!$C:$C,"&gt;="&amp;DATE(YEAR(主页!$D$2),1,1),当年实际!$C:$C,"&lt;="&amp;EOMONTH(DATE(YEAR(主页!$D$2),MONTH(主页!$D$2),1),0))/SUMIFS(当年实际!$P:$P,当年实际!$H:$H,$B723,当年实际!$C:$C,"&gt;="&amp;DATE(YEAR(主页!$D$2),1,1),当年实际!$C:$C,"&lt;="&amp;EOMONTH(DATE(YEAR(主页!$D$2),MONTH(主页!$D$2),1),0)),"")</f>
        <v/>
      </c>
    </row>
    <row r="724" spans="1:10" x14ac:dyDescent="0.3">
      <c r="A724" s="135"/>
      <c r="B724" s="136"/>
      <c r="C724" s="138"/>
      <c r="D724" s="139"/>
      <c r="E724" s="141" t="str">
        <f t="shared" si="35"/>
        <v/>
      </c>
      <c r="F724" s="144"/>
      <c r="G724" s="146">
        <f t="shared" si="33"/>
        <v>0</v>
      </c>
      <c r="H724" s="141" t="str">
        <f t="shared" si="34"/>
        <v/>
      </c>
      <c r="J724" s="148" t="str">
        <f>IFERROR(SUMIFS(当年实际!$V:$V,当年实际!$H:$H,$B724,当年实际!$C:$C,"&gt;="&amp;DATE(YEAR(主页!$D$2),1,1),当年实际!$C:$C,"&lt;="&amp;EOMONTH(DATE(YEAR(主页!$D$2),MONTH(主页!$D$2),1),0))/SUMIFS(当年实际!$P:$P,当年实际!$H:$H,$B724,当年实际!$C:$C,"&gt;="&amp;DATE(YEAR(主页!$D$2),1,1),当年实际!$C:$C,"&lt;="&amp;EOMONTH(DATE(YEAR(主页!$D$2),MONTH(主页!$D$2),1),0)),"")</f>
        <v/>
      </c>
    </row>
    <row r="725" spans="1:10" x14ac:dyDescent="0.3">
      <c r="A725" s="135"/>
      <c r="B725" s="136"/>
      <c r="C725" s="138"/>
      <c r="D725" s="139"/>
      <c r="E725" s="141" t="str">
        <f t="shared" si="35"/>
        <v/>
      </c>
      <c r="F725" s="144"/>
      <c r="G725" s="146">
        <f t="shared" si="33"/>
        <v>0</v>
      </c>
      <c r="H725" s="141" t="str">
        <f t="shared" si="34"/>
        <v/>
      </c>
      <c r="J725" s="148" t="str">
        <f>IFERROR(SUMIFS(当年实际!$V:$V,当年实际!$H:$H,$B725,当年实际!$C:$C,"&gt;="&amp;DATE(YEAR(主页!$D$2),1,1),当年实际!$C:$C,"&lt;="&amp;EOMONTH(DATE(YEAR(主页!$D$2),MONTH(主页!$D$2),1),0))/SUMIFS(当年实际!$P:$P,当年实际!$H:$H,$B725,当年实际!$C:$C,"&gt;="&amp;DATE(YEAR(主页!$D$2),1,1),当年实际!$C:$C,"&lt;="&amp;EOMONTH(DATE(YEAR(主页!$D$2),MONTH(主页!$D$2),1),0)),"")</f>
        <v/>
      </c>
    </row>
    <row r="726" spans="1:10" x14ac:dyDescent="0.3">
      <c r="A726" s="135"/>
      <c r="B726" s="136"/>
      <c r="C726" s="138"/>
      <c r="D726" s="139"/>
      <c r="E726" s="141" t="str">
        <f t="shared" si="35"/>
        <v/>
      </c>
      <c r="F726" s="144"/>
      <c r="G726" s="146">
        <f t="shared" si="33"/>
        <v>0</v>
      </c>
      <c r="H726" s="141" t="str">
        <f t="shared" si="34"/>
        <v/>
      </c>
      <c r="J726" s="148" t="str">
        <f>IFERROR(SUMIFS(当年实际!$V:$V,当年实际!$H:$H,$B726,当年实际!$C:$C,"&gt;="&amp;DATE(YEAR(主页!$D$2),1,1),当年实际!$C:$C,"&lt;="&amp;EOMONTH(DATE(YEAR(主页!$D$2),MONTH(主页!$D$2),1),0))/SUMIFS(当年实际!$P:$P,当年实际!$H:$H,$B726,当年实际!$C:$C,"&gt;="&amp;DATE(YEAR(主页!$D$2),1,1),当年实际!$C:$C,"&lt;="&amp;EOMONTH(DATE(YEAR(主页!$D$2),MONTH(主页!$D$2),1),0)),"")</f>
        <v/>
      </c>
    </row>
    <row r="727" spans="1:10" x14ac:dyDescent="0.3">
      <c r="A727" s="135"/>
      <c r="B727" s="136"/>
      <c r="C727" s="138"/>
      <c r="D727" s="139"/>
      <c r="E727" s="141" t="str">
        <f t="shared" si="35"/>
        <v/>
      </c>
      <c r="F727" s="144"/>
      <c r="G727" s="146">
        <f t="shared" si="33"/>
        <v>0</v>
      </c>
      <c r="H727" s="141" t="str">
        <f t="shared" si="34"/>
        <v/>
      </c>
      <c r="J727" s="148" t="str">
        <f>IFERROR(SUMIFS(当年实际!$V:$V,当年实际!$H:$H,$B727,当年实际!$C:$C,"&gt;="&amp;DATE(YEAR(主页!$D$2),1,1),当年实际!$C:$C,"&lt;="&amp;EOMONTH(DATE(YEAR(主页!$D$2),MONTH(主页!$D$2),1),0))/SUMIFS(当年实际!$P:$P,当年实际!$H:$H,$B727,当年实际!$C:$C,"&gt;="&amp;DATE(YEAR(主页!$D$2),1,1),当年实际!$C:$C,"&lt;="&amp;EOMONTH(DATE(YEAR(主页!$D$2),MONTH(主页!$D$2),1),0)),"")</f>
        <v/>
      </c>
    </row>
    <row r="728" spans="1:10" x14ac:dyDescent="0.3">
      <c r="A728" s="135"/>
      <c r="B728" s="136"/>
      <c r="C728" s="138"/>
      <c r="D728" s="139"/>
      <c r="E728" s="141" t="str">
        <f t="shared" si="35"/>
        <v/>
      </c>
      <c r="F728" s="144"/>
      <c r="G728" s="146">
        <f t="shared" si="33"/>
        <v>0</v>
      </c>
      <c r="H728" s="141" t="str">
        <f t="shared" si="34"/>
        <v/>
      </c>
      <c r="J728" s="148" t="str">
        <f>IFERROR(SUMIFS(当年实际!$V:$V,当年实际!$H:$H,$B728,当年实际!$C:$C,"&gt;="&amp;DATE(YEAR(主页!$D$2),1,1),当年实际!$C:$C,"&lt;="&amp;EOMONTH(DATE(YEAR(主页!$D$2),MONTH(主页!$D$2),1),0))/SUMIFS(当年实际!$P:$P,当年实际!$H:$H,$B728,当年实际!$C:$C,"&gt;="&amp;DATE(YEAR(主页!$D$2),1,1),当年实际!$C:$C,"&lt;="&amp;EOMONTH(DATE(YEAR(主页!$D$2),MONTH(主页!$D$2),1),0)),"")</f>
        <v/>
      </c>
    </row>
    <row r="729" spans="1:10" x14ac:dyDescent="0.3">
      <c r="A729" s="135"/>
      <c r="B729" s="136"/>
      <c r="C729" s="138"/>
      <c r="D729" s="139"/>
      <c r="E729" s="141" t="str">
        <f t="shared" si="35"/>
        <v/>
      </c>
      <c r="F729" s="144"/>
      <c r="G729" s="146">
        <f t="shared" si="33"/>
        <v>0</v>
      </c>
      <c r="H729" s="141" t="str">
        <f t="shared" si="34"/>
        <v/>
      </c>
      <c r="J729" s="148" t="str">
        <f>IFERROR(SUMIFS(当年实际!$V:$V,当年实际!$H:$H,$B729,当年实际!$C:$C,"&gt;="&amp;DATE(YEAR(主页!$D$2),1,1),当年实际!$C:$C,"&lt;="&amp;EOMONTH(DATE(YEAR(主页!$D$2),MONTH(主页!$D$2),1),0))/SUMIFS(当年实际!$P:$P,当年实际!$H:$H,$B729,当年实际!$C:$C,"&gt;="&amp;DATE(YEAR(主页!$D$2),1,1),当年实际!$C:$C,"&lt;="&amp;EOMONTH(DATE(YEAR(主页!$D$2),MONTH(主页!$D$2),1),0)),"")</f>
        <v/>
      </c>
    </row>
    <row r="730" spans="1:10" x14ac:dyDescent="0.3">
      <c r="A730" s="135"/>
      <c r="B730" s="136"/>
      <c r="C730" s="138"/>
      <c r="D730" s="139"/>
      <c r="E730" s="141" t="str">
        <f t="shared" si="35"/>
        <v/>
      </c>
      <c r="F730" s="144"/>
      <c r="G730" s="146">
        <f t="shared" si="33"/>
        <v>0</v>
      </c>
      <c r="H730" s="141" t="str">
        <f t="shared" si="34"/>
        <v/>
      </c>
      <c r="J730" s="148" t="str">
        <f>IFERROR(SUMIFS(当年实际!$V:$V,当年实际!$H:$H,$B730,当年实际!$C:$C,"&gt;="&amp;DATE(YEAR(主页!$D$2),1,1),当年实际!$C:$C,"&lt;="&amp;EOMONTH(DATE(YEAR(主页!$D$2),MONTH(主页!$D$2),1),0))/SUMIFS(当年实际!$P:$P,当年实际!$H:$H,$B730,当年实际!$C:$C,"&gt;="&amp;DATE(YEAR(主页!$D$2),1,1),当年实际!$C:$C,"&lt;="&amp;EOMONTH(DATE(YEAR(主页!$D$2),MONTH(主页!$D$2),1),0)),"")</f>
        <v/>
      </c>
    </row>
    <row r="731" spans="1:10" x14ac:dyDescent="0.3">
      <c r="A731" s="135"/>
      <c r="B731" s="136"/>
      <c r="C731" s="138"/>
      <c r="D731" s="139"/>
      <c r="E731" s="141" t="str">
        <f t="shared" si="35"/>
        <v/>
      </c>
      <c r="F731" s="144"/>
      <c r="G731" s="146">
        <f t="shared" si="33"/>
        <v>0</v>
      </c>
      <c r="H731" s="141" t="str">
        <f t="shared" si="34"/>
        <v/>
      </c>
      <c r="J731" s="148" t="str">
        <f>IFERROR(SUMIFS(当年实际!$V:$V,当年实际!$H:$H,$B731,当年实际!$C:$C,"&gt;="&amp;DATE(YEAR(主页!$D$2),1,1),当年实际!$C:$C,"&lt;="&amp;EOMONTH(DATE(YEAR(主页!$D$2),MONTH(主页!$D$2),1),0))/SUMIFS(当年实际!$P:$P,当年实际!$H:$H,$B731,当年实际!$C:$C,"&gt;="&amp;DATE(YEAR(主页!$D$2),1,1),当年实际!$C:$C,"&lt;="&amp;EOMONTH(DATE(YEAR(主页!$D$2),MONTH(主页!$D$2),1),0)),"")</f>
        <v/>
      </c>
    </row>
    <row r="732" spans="1:10" x14ac:dyDescent="0.3">
      <c r="A732" s="135"/>
      <c r="B732" s="136"/>
      <c r="C732" s="138"/>
      <c r="D732" s="139"/>
      <c r="E732" s="141" t="str">
        <f t="shared" si="35"/>
        <v/>
      </c>
      <c r="F732" s="144"/>
      <c r="G732" s="146">
        <f t="shared" si="33"/>
        <v>0</v>
      </c>
      <c r="H732" s="141" t="str">
        <f t="shared" si="34"/>
        <v/>
      </c>
      <c r="J732" s="148" t="str">
        <f>IFERROR(SUMIFS(当年实际!$V:$V,当年实际!$H:$H,$B732,当年实际!$C:$C,"&gt;="&amp;DATE(YEAR(主页!$D$2),1,1),当年实际!$C:$C,"&lt;="&amp;EOMONTH(DATE(YEAR(主页!$D$2),MONTH(主页!$D$2),1),0))/SUMIFS(当年实际!$P:$P,当年实际!$H:$H,$B732,当年实际!$C:$C,"&gt;="&amp;DATE(YEAR(主页!$D$2),1,1),当年实际!$C:$C,"&lt;="&amp;EOMONTH(DATE(YEAR(主页!$D$2),MONTH(主页!$D$2),1),0)),"")</f>
        <v/>
      </c>
    </row>
    <row r="733" spans="1:10" x14ac:dyDescent="0.3">
      <c r="A733" s="135"/>
      <c r="B733" s="136"/>
      <c r="C733" s="138"/>
      <c r="D733" s="139"/>
      <c r="E733" s="141" t="str">
        <f t="shared" si="35"/>
        <v/>
      </c>
      <c r="F733" s="144"/>
      <c r="G733" s="146">
        <f t="shared" si="33"/>
        <v>0</v>
      </c>
      <c r="H733" s="141" t="str">
        <f t="shared" si="34"/>
        <v/>
      </c>
      <c r="J733" s="148" t="str">
        <f>IFERROR(SUMIFS(当年实际!$V:$V,当年实际!$H:$H,$B733,当年实际!$C:$C,"&gt;="&amp;DATE(YEAR(主页!$D$2),1,1),当年实际!$C:$C,"&lt;="&amp;EOMONTH(DATE(YEAR(主页!$D$2),MONTH(主页!$D$2),1),0))/SUMIFS(当年实际!$P:$P,当年实际!$H:$H,$B733,当年实际!$C:$C,"&gt;="&amp;DATE(YEAR(主页!$D$2),1,1),当年实际!$C:$C,"&lt;="&amp;EOMONTH(DATE(YEAR(主页!$D$2),MONTH(主页!$D$2),1),0)),"")</f>
        <v/>
      </c>
    </row>
    <row r="734" spans="1:10" x14ac:dyDescent="0.3">
      <c r="A734" s="135"/>
      <c r="B734" s="136"/>
      <c r="C734" s="138"/>
      <c r="D734" s="139"/>
      <c r="E734" s="141" t="str">
        <f t="shared" si="35"/>
        <v/>
      </c>
      <c r="F734" s="144"/>
      <c r="G734" s="146">
        <f t="shared" si="33"/>
        <v>0</v>
      </c>
      <c r="H734" s="141" t="str">
        <f t="shared" si="34"/>
        <v/>
      </c>
      <c r="J734" s="148" t="str">
        <f>IFERROR(SUMIFS(当年实际!$V:$V,当年实际!$H:$H,$B734,当年实际!$C:$C,"&gt;="&amp;DATE(YEAR(主页!$D$2),1,1),当年实际!$C:$C,"&lt;="&amp;EOMONTH(DATE(YEAR(主页!$D$2),MONTH(主页!$D$2),1),0))/SUMIFS(当年实际!$P:$P,当年实际!$H:$H,$B734,当年实际!$C:$C,"&gt;="&amp;DATE(YEAR(主页!$D$2),1,1),当年实际!$C:$C,"&lt;="&amp;EOMONTH(DATE(YEAR(主页!$D$2),MONTH(主页!$D$2),1),0)),"")</f>
        <v/>
      </c>
    </row>
    <row r="735" spans="1:10" x14ac:dyDescent="0.3">
      <c r="A735" s="135"/>
      <c r="B735" s="136"/>
      <c r="C735" s="138"/>
      <c r="D735" s="139"/>
      <c r="E735" s="141" t="str">
        <f t="shared" si="35"/>
        <v/>
      </c>
      <c r="F735" s="144"/>
      <c r="G735" s="146">
        <f t="shared" si="33"/>
        <v>0</v>
      </c>
      <c r="H735" s="141" t="str">
        <f t="shared" si="34"/>
        <v/>
      </c>
      <c r="J735" s="148" t="str">
        <f>IFERROR(SUMIFS(当年实际!$V:$V,当年实际!$H:$H,$B735,当年实际!$C:$C,"&gt;="&amp;DATE(YEAR(主页!$D$2),1,1),当年实际!$C:$C,"&lt;="&amp;EOMONTH(DATE(YEAR(主页!$D$2),MONTH(主页!$D$2),1),0))/SUMIFS(当年实际!$P:$P,当年实际!$H:$H,$B735,当年实际!$C:$C,"&gt;="&amp;DATE(YEAR(主页!$D$2),1,1),当年实际!$C:$C,"&lt;="&amp;EOMONTH(DATE(YEAR(主页!$D$2),MONTH(主页!$D$2),1),0)),"")</f>
        <v/>
      </c>
    </row>
    <row r="736" spans="1:10" x14ac:dyDescent="0.3">
      <c r="A736" s="135"/>
      <c r="B736" s="136"/>
      <c r="C736" s="138"/>
      <c r="D736" s="139"/>
      <c r="E736" s="141" t="str">
        <f t="shared" si="35"/>
        <v/>
      </c>
      <c r="F736" s="144"/>
      <c r="G736" s="146">
        <f t="shared" si="33"/>
        <v>0</v>
      </c>
      <c r="H736" s="141" t="str">
        <f t="shared" si="34"/>
        <v/>
      </c>
      <c r="J736" s="148" t="str">
        <f>IFERROR(SUMIFS(当年实际!$V:$V,当年实际!$H:$H,$B736,当年实际!$C:$C,"&gt;="&amp;DATE(YEAR(主页!$D$2),1,1),当年实际!$C:$C,"&lt;="&amp;EOMONTH(DATE(YEAR(主页!$D$2),MONTH(主页!$D$2),1),0))/SUMIFS(当年实际!$P:$P,当年实际!$H:$H,$B736,当年实际!$C:$C,"&gt;="&amp;DATE(YEAR(主页!$D$2),1,1),当年实际!$C:$C,"&lt;="&amp;EOMONTH(DATE(YEAR(主页!$D$2),MONTH(主页!$D$2),1),0)),"")</f>
        <v/>
      </c>
    </row>
    <row r="737" spans="1:10" x14ac:dyDescent="0.3">
      <c r="A737" s="135"/>
      <c r="B737" s="136"/>
      <c r="C737" s="138"/>
      <c r="D737" s="139"/>
      <c r="E737" s="141" t="str">
        <f t="shared" si="35"/>
        <v/>
      </c>
      <c r="F737" s="144"/>
      <c r="G737" s="146">
        <f t="shared" si="33"/>
        <v>0</v>
      </c>
      <c r="H737" s="141" t="str">
        <f t="shared" si="34"/>
        <v/>
      </c>
      <c r="J737" s="148" t="str">
        <f>IFERROR(SUMIFS(当年实际!$V:$V,当年实际!$H:$H,$B737,当年实际!$C:$C,"&gt;="&amp;DATE(YEAR(主页!$D$2),1,1),当年实际!$C:$C,"&lt;="&amp;EOMONTH(DATE(YEAR(主页!$D$2),MONTH(主页!$D$2),1),0))/SUMIFS(当年实际!$P:$P,当年实际!$H:$H,$B737,当年实际!$C:$C,"&gt;="&amp;DATE(YEAR(主页!$D$2),1,1),当年实际!$C:$C,"&lt;="&amp;EOMONTH(DATE(YEAR(主页!$D$2),MONTH(主页!$D$2),1),0)),"")</f>
        <v/>
      </c>
    </row>
    <row r="738" spans="1:10" x14ac:dyDescent="0.3">
      <c r="A738" s="135"/>
      <c r="B738" s="136"/>
      <c r="C738" s="138"/>
      <c r="D738" s="139"/>
      <c r="E738" s="141" t="str">
        <f t="shared" si="35"/>
        <v/>
      </c>
      <c r="F738" s="144"/>
      <c r="G738" s="146">
        <f t="shared" si="33"/>
        <v>0</v>
      </c>
      <c r="H738" s="141" t="str">
        <f t="shared" si="34"/>
        <v/>
      </c>
      <c r="J738" s="148" t="str">
        <f>IFERROR(SUMIFS(当年实际!$V:$V,当年实际!$H:$H,$B738,当年实际!$C:$C,"&gt;="&amp;DATE(YEAR(主页!$D$2),1,1),当年实际!$C:$C,"&lt;="&amp;EOMONTH(DATE(YEAR(主页!$D$2),MONTH(主页!$D$2),1),0))/SUMIFS(当年实际!$P:$P,当年实际!$H:$H,$B738,当年实际!$C:$C,"&gt;="&amp;DATE(YEAR(主页!$D$2),1,1),当年实际!$C:$C,"&lt;="&amp;EOMONTH(DATE(YEAR(主页!$D$2),MONTH(主页!$D$2),1),0)),"")</f>
        <v/>
      </c>
    </row>
    <row r="739" spans="1:10" x14ac:dyDescent="0.3">
      <c r="A739" s="135"/>
      <c r="B739" s="136"/>
      <c r="C739" s="138"/>
      <c r="D739" s="139"/>
      <c r="E739" s="141" t="str">
        <f t="shared" si="35"/>
        <v/>
      </c>
      <c r="F739" s="144"/>
      <c r="G739" s="146">
        <f t="shared" si="33"/>
        <v>0</v>
      </c>
      <c r="H739" s="141" t="str">
        <f t="shared" si="34"/>
        <v/>
      </c>
      <c r="J739" s="148" t="str">
        <f>IFERROR(SUMIFS(当年实际!$V:$V,当年实际!$H:$H,$B739,当年实际!$C:$C,"&gt;="&amp;DATE(YEAR(主页!$D$2),1,1),当年实际!$C:$C,"&lt;="&amp;EOMONTH(DATE(YEAR(主页!$D$2),MONTH(主页!$D$2),1),0))/SUMIFS(当年实际!$P:$P,当年实际!$H:$H,$B739,当年实际!$C:$C,"&gt;="&amp;DATE(YEAR(主页!$D$2),1,1),当年实际!$C:$C,"&lt;="&amp;EOMONTH(DATE(YEAR(主页!$D$2),MONTH(主页!$D$2),1),0)),"")</f>
        <v/>
      </c>
    </row>
    <row r="740" spans="1:10" x14ac:dyDescent="0.3">
      <c r="A740" s="135"/>
      <c r="B740" s="136"/>
      <c r="C740" s="138"/>
      <c r="D740" s="139"/>
      <c r="E740" s="141" t="str">
        <f t="shared" si="35"/>
        <v/>
      </c>
      <c r="F740" s="144"/>
      <c r="G740" s="146">
        <f t="shared" si="33"/>
        <v>0</v>
      </c>
      <c r="H740" s="141" t="str">
        <f t="shared" si="34"/>
        <v/>
      </c>
      <c r="J740" s="148" t="str">
        <f>IFERROR(SUMIFS(当年实际!$V:$V,当年实际!$H:$H,$B740,当年实际!$C:$C,"&gt;="&amp;DATE(YEAR(主页!$D$2),1,1),当年实际!$C:$C,"&lt;="&amp;EOMONTH(DATE(YEAR(主页!$D$2),MONTH(主页!$D$2),1),0))/SUMIFS(当年实际!$P:$P,当年实际!$H:$H,$B740,当年实际!$C:$C,"&gt;="&amp;DATE(YEAR(主页!$D$2),1,1),当年实际!$C:$C,"&lt;="&amp;EOMONTH(DATE(YEAR(主页!$D$2),MONTH(主页!$D$2),1),0)),"")</f>
        <v/>
      </c>
    </row>
    <row r="741" spans="1:10" x14ac:dyDescent="0.3">
      <c r="A741" s="135"/>
      <c r="B741" s="136"/>
      <c r="C741" s="138"/>
      <c r="D741" s="139"/>
      <c r="E741" s="141" t="str">
        <f t="shared" si="35"/>
        <v/>
      </c>
      <c r="F741" s="144"/>
      <c r="G741" s="146">
        <f t="shared" si="33"/>
        <v>0</v>
      </c>
      <c r="H741" s="141" t="str">
        <f t="shared" si="34"/>
        <v/>
      </c>
      <c r="J741" s="148" t="str">
        <f>IFERROR(SUMIFS(当年实际!$V:$V,当年实际!$H:$H,$B741,当年实际!$C:$C,"&gt;="&amp;DATE(YEAR(主页!$D$2),1,1),当年实际!$C:$C,"&lt;="&amp;EOMONTH(DATE(YEAR(主页!$D$2),MONTH(主页!$D$2),1),0))/SUMIFS(当年实际!$P:$P,当年实际!$H:$H,$B741,当年实际!$C:$C,"&gt;="&amp;DATE(YEAR(主页!$D$2),1,1),当年实际!$C:$C,"&lt;="&amp;EOMONTH(DATE(YEAR(主页!$D$2),MONTH(主页!$D$2),1),0)),"")</f>
        <v/>
      </c>
    </row>
    <row r="742" spans="1:10" x14ac:dyDescent="0.3">
      <c r="A742" s="135"/>
      <c r="B742" s="136"/>
      <c r="C742" s="138"/>
      <c r="D742" s="139"/>
      <c r="E742" s="141" t="str">
        <f t="shared" si="35"/>
        <v/>
      </c>
      <c r="F742" s="144"/>
      <c r="G742" s="146">
        <f t="shared" si="33"/>
        <v>0</v>
      </c>
      <c r="H742" s="141" t="str">
        <f t="shared" si="34"/>
        <v/>
      </c>
      <c r="J742" s="148" t="str">
        <f>IFERROR(SUMIFS(当年实际!$V:$V,当年实际!$H:$H,$B742,当年实际!$C:$C,"&gt;="&amp;DATE(YEAR(主页!$D$2),1,1),当年实际!$C:$C,"&lt;="&amp;EOMONTH(DATE(YEAR(主页!$D$2),MONTH(主页!$D$2),1),0))/SUMIFS(当年实际!$P:$P,当年实际!$H:$H,$B742,当年实际!$C:$C,"&gt;="&amp;DATE(YEAR(主页!$D$2),1,1),当年实际!$C:$C,"&lt;="&amp;EOMONTH(DATE(YEAR(主页!$D$2),MONTH(主页!$D$2),1),0)),"")</f>
        <v/>
      </c>
    </row>
    <row r="743" spans="1:10" x14ac:dyDescent="0.3">
      <c r="A743" s="135"/>
      <c r="B743" s="136"/>
      <c r="C743" s="138"/>
      <c r="D743" s="139"/>
      <c r="E743" s="141" t="str">
        <f t="shared" si="35"/>
        <v/>
      </c>
      <c r="F743" s="144"/>
      <c r="G743" s="146">
        <f t="shared" si="33"/>
        <v>0</v>
      </c>
      <c r="H743" s="141" t="str">
        <f t="shared" si="34"/>
        <v/>
      </c>
      <c r="J743" s="148" t="str">
        <f>IFERROR(SUMIFS(当年实际!$V:$V,当年实际!$H:$H,$B743,当年实际!$C:$C,"&gt;="&amp;DATE(YEAR(主页!$D$2),1,1),当年实际!$C:$C,"&lt;="&amp;EOMONTH(DATE(YEAR(主页!$D$2),MONTH(主页!$D$2),1),0))/SUMIFS(当年实际!$P:$P,当年实际!$H:$H,$B743,当年实际!$C:$C,"&gt;="&amp;DATE(YEAR(主页!$D$2),1,1),当年实际!$C:$C,"&lt;="&amp;EOMONTH(DATE(YEAR(主页!$D$2),MONTH(主页!$D$2),1),0)),"")</f>
        <v/>
      </c>
    </row>
    <row r="744" spans="1:10" x14ac:dyDescent="0.3">
      <c r="A744" s="135"/>
      <c r="B744" s="136"/>
      <c r="C744" s="138"/>
      <c r="D744" s="139"/>
      <c r="E744" s="141" t="str">
        <f t="shared" si="35"/>
        <v/>
      </c>
      <c r="F744" s="144"/>
      <c r="G744" s="146">
        <f t="shared" si="33"/>
        <v>0</v>
      </c>
      <c r="H744" s="141" t="str">
        <f t="shared" si="34"/>
        <v/>
      </c>
      <c r="J744" s="148" t="str">
        <f>IFERROR(SUMIFS(当年实际!$V:$V,当年实际!$H:$H,$B744,当年实际!$C:$C,"&gt;="&amp;DATE(YEAR(主页!$D$2),1,1),当年实际!$C:$C,"&lt;="&amp;EOMONTH(DATE(YEAR(主页!$D$2),MONTH(主页!$D$2),1),0))/SUMIFS(当年实际!$P:$P,当年实际!$H:$H,$B744,当年实际!$C:$C,"&gt;="&amp;DATE(YEAR(主页!$D$2),1,1),当年实际!$C:$C,"&lt;="&amp;EOMONTH(DATE(YEAR(主页!$D$2),MONTH(主页!$D$2),1),0)),"")</f>
        <v/>
      </c>
    </row>
    <row r="745" spans="1:10" x14ac:dyDescent="0.3">
      <c r="A745" s="135"/>
      <c r="B745" s="136"/>
      <c r="C745" s="138"/>
      <c r="D745" s="139"/>
      <c r="E745" s="141" t="str">
        <f t="shared" si="35"/>
        <v/>
      </c>
      <c r="F745" s="144"/>
      <c r="G745" s="146">
        <f t="shared" si="33"/>
        <v>0</v>
      </c>
      <c r="H745" s="141" t="str">
        <f t="shared" si="34"/>
        <v/>
      </c>
      <c r="J745" s="148" t="str">
        <f>IFERROR(SUMIFS(当年实际!$V:$V,当年实际!$H:$H,$B745,当年实际!$C:$C,"&gt;="&amp;DATE(YEAR(主页!$D$2),1,1),当年实际!$C:$C,"&lt;="&amp;EOMONTH(DATE(YEAR(主页!$D$2),MONTH(主页!$D$2),1),0))/SUMIFS(当年实际!$P:$P,当年实际!$H:$H,$B745,当年实际!$C:$C,"&gt;="&amp;DATE(YEAR(主页!$D$2),1,1),当年实际!$C:$C,"&lt;="&amp;EOMONTH(DATE(YEAR(主页!$D$2),MONTH(主页!$D$2),1),0)),"")</f>
        <v/>
      </c>
    </row>
    <row r="746" spans="1:10" x14ac:dyDescent="0.3">
      <c r="A746" s="135"/>
      <c r="B746" s="136"/>
      <c r="C746" s="138"/>
      <c r="D746" s="139"/>
      <c r="E746" s="141" t="str">
        <f t="shared" si="35"/>
        <v/>
      </c>
      <c r="F746" s="144"/>
      <c r="G746" s="146">
        <f t="shared" si="33"/>
        <v>0</v>
      </c>
      <c r="H746" s="141" t="str">
        <f t="shared" si="34"/>
        <v/>
      </c>
      <c r="J746" s="148" t="str">
        <f>IFERROR(SUMIFS(当年实际!$V:$V,当年实际!$H:$H,$B746,当年实际!$C:$C,"&gt;="&amp;DATE(YEAR(主页!$D$2),1,1),当年实际!$C:$C,"&lt;="&amp;EOMONTH(DATE(YEAR(主页!$D$2),MONTH(主页!$D$2),1),0))/SUMIFS(当年实际!$P:$P,当年实际!$H:$H,$B746,当年实际!$C:$C,"&gt;="&amp;DATE(YEAR(主页!$D$2),1,1),当年实际!$C:$C,"&lt;="&amp;EOMONTH(DATE(YEAR(主页!$D$2),MONTH(主页!$D$2),1),0)),"")</f>
        <v/>
      </c>
    </row>
    <row r="747" spans="1:10" x14ac:dyDescent="0.3">
      <c r="A747" s="135"/>
      <c r="B747" s="136"/>
      <c r="C747" s="138"/>
      <c r="D747" s="139"/>
      <c r="E747" s="141" t="str">
        <f t="shared" si="35"/>
        <v/>
      </c>
      <c r="F747" s="144"/>
      <c r="G747" s="146">
        <f t="shared" si="33"/>
        <v>0</v>
      </c>
      <c r="H747" s="141" t="str">
        <f t="shared" si="34"/>
        <v/>
      </c>
      <c r="J747" s="148" t="str">
        <f>IFERROR(SUMIFS(当年实际!$V:$V,当年实际!$H:$H,$B747,当年实际!$C:$C,"&gt;="&amp;DATE(YEAR(主页!$D$2),1,1),当年实际!$C:$C,"&lt;="&amp;EOMONTH(DATE(YEAR(主页!$D$2),MONTH(主页!$D$2),1),0))/SUMIFS(当年实际!$P:$P,当年实际!$H:$H,$B747,当年实际!$C:$C,"&gt;="&amp;DATE(YEAR(主页!$D$2),1,1),当年实际!$C:$C,"&lt;="&amp;EOMONTH(DATE(YEAR(主页!$D$2),MONTH(主页!$D$2),1),0)),"")</f>
        <v/>
      </c>
    </row>
    <row r="748" spans="1:10" x14ac:dyDescent="0.3">
      <c r="A748" s="135"/>
      <c r="B748" s="136"/>
      <c r="C748" s="138"/>
      <c r="D748" s="139"/>
      <c r="E748" s="141" t="str">
        <f t="shared" si="35"/>
        <v/>
      </c>
      <c r="F748" s="144"/>
      <c r="G748" s="146">
        <f t="shared" si="33"/>
        <v>0</v>
      </c>
      <c r="H748" s="141" t="str">
        <f t="shared" si="34"/>
        <v/>
      </c>
      <c r="J748" s="148" t="str">
        <f>IFERROR(SUMIFS(当年实际!$V:$V,当年实际!$H:$H,$B748,当年实际!$C:$C,"&gt;="&amp;DATE(YEAR(主页!$D$2),1,1),当年实际!$C:$C,"&lt;="&amp;EOMONTH(DATE(YEAR(主页!$D$2),MONTH(主页!$D$2),1),0))/SUMIFS(当年实际!$P:$P,当年实际!$H:$H,$B748,当年实际!$C:$C,"&gt;="&amp;DATE(YEAR(主页!$D$2),1,1),当年实际!$C:$C,"&lt;="&amp;EOMONTH(DATE(YEAR(主页!$D$2),MONTH(主页!$D$2),1),0)),"")</f>
        <v/>
      </c>
    </row>
    <row r="749" spans="1:10" x14ac:dyDescent="0.3">
      <c r="A749" s="135"/>
      <c r="B749" s="136"/>
      <c r="C749" s="138"/>
      <c r="D749" s="139"/>
      <c r="E749" s="141" t="str">
        <f t="shared" si="35"/>
        <v/>
      </c>
      <c r="F749" s="144"/>
      <c r="G749" s="146">
        <f t="shared" si="33"/>
        <v>0</v>
      </c>
      <c r="H749" s="141" t="str">
        <f t="shared" si="34"/>
        <v/>
      </c>
      <c r="J749" s="148" t="str">
        <f>IFERROR(SUMIFS(当年实际!$V:$V,当年实际!$H:$H,$B749,当年实际!$C:$C,"&gt;="&amp;DATE(YEAR(主页!$D$2),1,1),当年实际!$C:$C,"&lt;="&amp;EOMONTH(DATE(YEAR(主页!$D$2),MONTH(主页!$D$2),1),0))/SUMIFS(当年实际!$P:$P,当年实际!$H:$H,$B749,当年实际!$C:$C,"&gt;="&amp;DATE(YEAR(主页!$D$2),1,1),当年实际!$C:$C,"&lt;="&amp;EOMONTH(DATE(YEAR(主页!$D$2),MONTH(主页!$D$2),1),0)),"")</f>
        <v/>
      </c>
    </row>
    <row r="750" spans="1:10" x14ac:dyDescent="0.3">
      <c r="A750" s="135"/>
      <c r="B750" s="136"/>
      <c r="C750" s="138"/>
      <c r="D750" s="139"/>
      <c r="E750" s="141" t="str">
        <f t="shared" si="35"/>
        <v/>
      </c>
      <c r="F750" s="144"/>
      <c r="G750" s="146">
        <f t="shared" si="33"/>
        <v>0</v>
      </c>
      <c r="H750" s="141" t="str">
        <f t="shared" si="34"/>
        <v/>
      </c>
      <c r="J750" s="148" t="str">
        <f>IFERROR(SUMIFS(当年实际!$V:$V,当年实际!$H:$H,$B750,当年实际!$C:$C,"&gt;="&amp;DATE(YEAR(主页!$D$2),1,1),当年实际!$C:$C,"&lt;="&amp;EOMONTH(DATE(YEAR(主页!$D$2),MONTH(主页!$D$2),1),0))/SUMIFS(当年实际!$P:$P,当年实际!$H:$H,$B750,当年实际!$C:$C,"&gt;="&amp;DATE(YEAR(主页!$D$2),1,1),当年实际!$C:$C,"&lt;="&amp;EOMONTH(DATE(YEAR(主页!$D$2),MONTH(主页!$D$2),1),0)),"")</f>
        <v/>
      </c>
    </row>
    <row r="751" spans="1:10" x14ac:dyDescent="0.3">
      <c r="A751" s="135"/>
      <c r="B751" s="136"/>
      <c r="C751" s="138"/>
      <c r="D751" s="139"/>
      <c r="E751" s="141" t="str">
        <f t="shared" si="35"/>
        <v/>
      </c>
      <c r="F751" s="144"/>
      <c r="G751" s="146">
        <f t="shared" si="33"/>
        <v>0</v>
      </c>
      <c r="H751" s="141" t="str">
        <f t="shared" si="34"/>
        <v/>
      </c>
      <c r="J751" s="148" t="str">
        <f>IFERROR(SUMIFS(当年实际!$V:$V,当年实际!$H:$H,$B751,当年实际!$C:$C,"&gt;="&amp;DATE(YEAR(主页!$D$2),1,1),当年实际!$C:$C,"&lt;="&amp;EOMONTH(DATE(YEAR(主页!$D$2),MONTH(主页!$D$2),1),0))/SUMIFS(当年实际!$P:$P,当年实际!$H:$H,$B751,当年实际!$C:$C,"&gt;="&amp;DATE(YEAR(主页!$D$2),1,1),当年实际!$C:$C,"&lt;="&amp;EOMONTH(DATE(YEAR(主页!$D$2),MONTH(主页!$D$2),1),0)),"")</f>
        <v/>
      </c>
    </row>
    <row r="752" spans="1:10" x14ac:dyDescent="0.3">
      <c r="A752" s="135"/>
      <c r="B752" s="136"/>
      <c r="C752" s="138"/>
      <c r="D752" s="139"/>
      <c r="E752" s="141" t="str">
        <f t="shared" si="35"/>
        <v/>
      </c>
      <c r="F752" s="144"/>
      <c r="G752" s="146">
        <f t="shared" si="33"/>
        <v>0</v>
      </c>
      <c r="H752" s="141" t="str">
        <f t="shared" si="34"/>
        <v/>
      </c>
      <c r="J752" s="148" t="str">
        <f>IFERROR(SUMIFS(当年实际!$V:$V,当年实际!$H:$H,$B752,当年实际!$C:$C,"&gt;="&amp;DATE(YEAR(主页!$D$2),1,1),当年实际!$C:$C,"&lt;="&amp;EOMONTH(DATE(YEAR(主页!$D$2),MONTH(主页!$D$2),1),0))/SUMIFS(当年实际!$P:$P,当年实际!$H:$H,$B752,当年实际!$C:$C,"&gt;="&amp;DATE(YEAR(主页!$D$2),1,1),当年实际!$C:$C,"&lt;="&amp;EOMONTH(DATE(YEAR(主页!$D$2),MONTH(主页!$D$2),1),0)),"")</f>
        <v/>
      </c>
    </row>
    <row r="753" spans="1:10" x14ac:dyDescent="0.3">
      <c r="A753" s="135"/>
      <c r="B753" s="136"/>
      <c r="C753" s="138"/>
      <c r="D753" s="139"/>
      <c r="E753" s="141" t="str">
        <f t="shared" si="35"/>
        <v/>
      </c>
      <c r="F753" s="144"/>
      <c r="G753" s="146">
        <f t="shared" si="33"/>
        <v>0</v>
      </c>
      <c r="H753" s="141" t="str">
        <f t="shared" si="34"/>
        <v/>
      </c>
      <c r="J753" s="148" t="str">
        <f>IFERROR(SUMIFS(当年实际!$V:$V,当年实际!$H:$H,$B753,当年实际!$C:$C,"&gt;="&amp;DATE(YEAR(主页!$D$2),1,1),当年实际!$C:$C,"&lt;="&amp;EOMONTH(DATE(YEAR(主页!$D$2),MONTH(主页!$D$2),1),0))/SUMIFS(当年实际!$P:$P,当年实际!$H:$H,$B753,当年实际!$C:$C,"&gt;="&amp;DATE(YEAR(主页!$D$2),1,1),当年实际!$C:$C,"&lt;="&amp;EOMONTH(DATE(YEAR(主页!$D$2),MONTH(主页!$D$2),1),0)),"")</f>
        <v/>
      </c>
    </row>
    <row r="754" spans="1:10" x14ac:dyDescent="0.3">
      <c r="A754" s="135"/>
      <c r="B754" s="136"/>
      <c r="C754" s="138"/>
      <c r="D754" s="139"/>
      <c r="E754" s="141" t="str">
        <f t="shared" si="35"/>
        <v/>
      </c>
      <c r="F754" s="144"/>
      <c r="G754" s="146">
        <f t="shared" si="33"/>
        <v>0</v>
      </c>
      <c r="H754" s="141" t="str">
        <f t="shared" si="34"/>
        <v/>
      </c>
      <c r="J754" s="148" t="str">
        <f>IFERROR(SUMIFS(当年实际!$V:$V,当年实际!$H:$H,$B754,当年实际!$C:$C,"&gt;="&amp;DATE(YEAR(主页!$D$2),1,1),当年实际!$C:$C,"&lt;="&amp;EOMONTH(DATE(YEAR(主页!$D$2),MONTH(主页!$D$2),1),0))/SUMIFS(当年实际!$P:$P,当年实际!$H:$H,$B754,当年实际!$C:$C,"&gt;="&amp;DATE(YEAR(主页!$D$2),1,1),当年实际!$C:$C,"&lt;="&amp;EOMONTH(DATE(YEAR(主页!$D$2),MONTH(主页!$D$2),1),0)),"")</f>
        <v/>
      </c>
    </row>
    <row r="755" spans="1:10" x14ac:dyDescent="0.3">
      <c r="A755" s="135"/>
      <c r="B755" s="136"/>
      <c r="C755" s="138"/>
      <c r="D755" s="139"/>
      <c r="E755" s="141" t="str">
        <f t="shared" si="35"/>
        <v/>
      </c>
      <c r="F755" s="144"/>
      <c r="G755" s="146">
        <f t="shared" si="33"/>
        <v>0</v>
      </c>
      <c r="H755" s="141" t="str">
        <f t="shared" si="34"/>
        <v/>
      </c>
      <c r="J755" s="148" t="str">
        <f>IFERROR(SUMIFS(当年实际!$V:$V,当年实际!$H:$H,$B755,当年实际!$C:$C,"&gt;="&amp;DATE(YEAR(主页!$D$2),1,1),当年实际!$C:$C,"&lt;="&amp;EOMONTH(DATE(YEAR(主页!$D$2),MONTH(主页!$D$2),1),0))/SUMIFS(当年实际!$P:$P,当年实际!$H:$H,$B755,当年实际!$C:$C,"&gt;="&amp;DATE(YEAR(主页!$D$2),1,1),当年实际!$C:$C,"&lt;="&amp;EOMONTH(DATE(YEAR(主页!$D$2),MONTH(主页!$D$2),1),0)),"")</f>
        <v/>
      </c>
    </row>
    <row r="756" spans="1:10" x14ac:dyDescent="0.3">
      <c r="A756" s="135"/>
      <c r="B756" s="136"/>
      <c r="C756" s="138"/>
      <c r="D756" s="139"/>
      <c r="E756" s="141" t="str">
        <f t="shared" si="35"/>
        <v/>
      </c>
      <c r="F756" s="144"/>
      <c r="G756" s="146">
        <f t="shared" si="33"/>
        <v>0</v>
      </c>
      <c r="H756" s="141" t="str">
        <f t="shared" si="34"/>
        <v/>
      </c>
      <c r="J756" s="148" t="str">
        <f>IFERROR(SUMIFS(当年实际!$V:$V,当年实际!$H:$H,$B756,当年实际!$C:$C,"&gt;="&amp;DATE(YEAR(主页!$D$2),1,1),当年实际!$C:$C,"&lt;="&amp;EOMONTH(DATE(YEAR(主页!$D$2),MONTH(主页!$D$2),1),0))/SUMIFS(当年实际!$P:$P,当年实际!$H:$H,$B756,当年实际!$C:$C,"&gt;="&amp;DATE(YEAR(主页!$D$2),1,1),当年实际!$C:$C,"&lt;="&amp;EOMONTH(DATE(YEAR(主页!$D$2),MONTH(主页!$D$2),1),0)),"")</f>
        <v/>
      </c>
    </row>
    <row r="757" spans="1:10" x14ac:dyDescent="0.3">
      <c r="A757" s="135"/>
      <c r="B757" s="136"/>
      <c r="C757" s="138"/>
      <c r="D757" s="139"/>
      <c r="E757" s="141" t="str">
        <f t="shared" si="35"/>
        <v/>
      </c>
      <c r="F757" s="144"/>
      <c r="G757" s="146">
        <f t="shared" si="33"/>
        <v>0</v>
      </c>
      <c r="H757" s="141" t="str">
        <f t="shared" si="34"/>
        <v/>
      </c>
      <c r="J757" s="148" t="str">
        <f>IFERROR(SUMIFS(当年实际!$V:$V,当年实际!$H:$H,$B757,当年实际!$C:$C,"&gt;="&amp;DATE(YEAR(主页!$D$2),1,1),当年实际!$C:$C,"&lt;="&amp;EOMONTH(DATE(YEAR(主页!$D$2),MONTH(主页!$D$2),1),0))/SUMIFS(当年实际!$P:$P,当年实际!$H:$H,$B757,当年实际!$C:$C,"&gt;="&amp;DATE(YEAR(主页!$D$2),1,1),当年实际!$C:$C,"&lt;="&amp;EOMONTH(DATE(YEAR(主页!$D$2),MONTH(主页!$D$2),1),0)),"")</f>
        <v/>
      </c>
    </row>
    <row r="758" spans="1:10" x14ac:dyDescent="0.3">
      <c r="A758" s="135"/>
      <c r="B758" s="136"/>
      <c r="C758" s="138"/>
      <c r="D758" s="139"/>
      <c r="E758" s="141" t="str">
        <f t="shared" si="35"/>
        <v/>
      </c>
      <c r="F758" s="144"/>
      <c r="G758" s="146">
        <f t="shared" si="33"/>
        <v>0</v>
      </c>
      <c r="H758" s="141" t="str">
        <f t="shared" si="34"/>
        <v/>
      </c>
      <c r="J758" s="148" t="str">
        <f>IFERROR(SUMIFS(当年实际!$V:$V,当年实际!$H:$H,$B758,当年实际!$C:$C,"&gt;="&amp;DATE(YEAR(主页!$D$2),1,1),当年实际!$C:$C,"&lt;="&amp;EOMONTH(DATE(YEAR(主页!$D$2),MONTH(主页!$D$2),1),0))/SUMIFS(当年实际!$P:$P,当年实际!$H:$H,$B758,当年实际!$C:$C,"&gt;="&amp;DATE(YEAR(主页!$D$2),1,1),当年实际!$C:$C,"&lt;="&amp;EOMONTH(DATE(YEAR(主页!$D$2),MONTH(主页!$D$2),1),0)),"")</f>
        <v/>
      </c>
    </row>
    <row r="759" spans="1:10" x14ac:dyDescent="0.3">
      <c r="A759" s="135"/>
      <c r="B759" s="136"/>
      <c r="C759" s="138"/>
      <c r="D759" s="139"/>
      <c r="E759" s="141" t="str">
        <f t="shared" si="35"/>
        <v/>
      </c>
      <c r="F759" s="144"/>
      <c r="G759" s="146">
        <f t="shared" si="33"/>
        <v>0</v>
      </c>
      <c r="H759" s="141" t="str">
        <f t="shared" si="34"/>
        <v/>
      </c>
      <c r="J759" s="148" t="str">
        <f>IFERROR(SUMIFS(当年实际!$V:$V,当年实际!$H:$H,$B759,当年实际!$C:$C,"&gt;="&amp;DATE(YEAR(主页!$D$2),1,1),当年实际!$C:$C,"&lt;="&amp;EOMONTH(DATE(YEAR(主页!$D$2),MONTH(主页!$D$2),1),0))/SUMIFS(当年实际!$P:$P,当年实际!$H:$H,$B759,当年实际!$C:$C,"&gt;="&amp;DATE(YEAR(主页!$D$2),1,1),当年实际!$C:$C,"&lt;="&amp;EOMONTH(DATE(YEAR(主页!$D$2),MONTH(主页!$D$2),1),0)),"")</f>
        <v/>
      </c>
    </row>
    <row r="760" spans="1:10" x14ac:dyDescent="0.3">
      <c r="A760" s="135"/>
      <c r="B760" s="136"/>
      <c r="C760" s="138"/>
      <c r="D760" s="139"/>
      <c r="E760" s="141" t="str">
        <f t="shared" si="35"/>
        <v/>
      </c>
      <c r="F760" s="144"/>
      <c r="G760" s="146">
        <f t="shared" si="33"/>
        <v>0</v>
      </c>
      <c r="H760" s="141" t="str">
        <f t="shared" si="34"/>
        <v/>
      </c>
      <c r="J760" s="148" t="str">
        <f>IFERROR(SUMIFS(当年实际!$V:$V,当年实际!$H:$H,$B760,当年实际!$C:$C,"&gt;="&amp;DATE(YEAR(主页!$D$2),1,1),当年实际!$C:$C,"&lt;="&amp;EOMONTH(DATE(YEAR(主页!$D$2),MONTH(主页!$D$2),1),0))/SUMIFS(当年实际!$P:$P,当年实际!$H:$H,$B760,当年实际!$C:$C,"&gt;="&amp;DATE(YEAR(主页!$D$2),1,1),当年实际!$C:$C,"&lt;="&amp;EOMONTH(DATE(YEAR(主页!$D$2),MONTH(主页!$D$2),1),0)),"")</f>
        <v/>
      </c>
    </row>
    <row r="761" spans="1:10" x14ac:dyDescent="0.3">
      <c r="A761" s="135"/>
      <c r="B761" s="136"/>
      <c r="C761" s="138"/>
      <c r="D761" s="139"/>
      <c r="E761" s="141" t="str">
        <f t="shared" si="35"/>
        <v/>
      </c>
      <c r="F761" s="144"/>
      <c r="G761" s="146">
        <f t="shared" si="33"/>
        <v>0</v>
      </c>
      <c r="H761" s="141" t="str">
        <f t="shared" si="34"/>
        <v/>
      </c>
      <c r="J761" s="148" t="str">
        <f>IFERROR(SUMIFS(当年实际!$V:$V,当年实际!$H:$H,$B761,当年实际!$C:$C,"&gt;="&amp;DATE(YEAR(主页!$D$2),1,1),当年实际!$C:$C,"&lt;="&amp;EOMONTH(DATE(YEAR(主页!$D$2),MONTH(主页!$D$2),1),0))/SUMIFS(当年实际!$P:$P,当年实际!$H:$H,$B761,当年实际!$C:$C,"&gt;="&amp;DATE(YEAR(主页!$D$2),1,1),当年实际!$C:$C,"&lt;="&amp;EOMONTH(DATE(YEAR(主页!$D$2),MONTH(主页!$D$2),1),0)),"")</f>
        <v/>
      </c>
    </row>
    <row r="762" spans="1:10" x14ac:dyDescent="0.3">
      <c r="A762" s="135"/>
      <c r="B762" s="136"/>
      <c r="C762" s="138"/>
      <c r="D762" s="139"/>
      <c r="E762" s="141" t="str">
        <f t="shared" si="35"/>
        <v/>
      </c>
      <c r="F762" s="144"/>
      <c r="G762" s="146">
        <f t="shared" si="33"/>
        <v>0</v>
      </c>
      <c r="H762" s="141" t="str">
        <f t="shared" si="34"/>
        <v/>
      </c>
      <c r="J762" s="148" t="str">
        <f>IFERROR(SUMIFS(当年实际!$V:$V,当年实际!$H:$H,$B762,当年实际!$C:$C,"&gt;="&amp;DATE(YEAR(主页!$D$2),1,1),当年实际!$C:$C,"&lt;="&amp;EOMONTH(DATE(YEAR(主页!$D$2),MONTH(主页!$D$2),1),0))/SUMIFS(当年实际!$P:$P,当年实际!$H:$H,$B762,当年实际!$C:$C,"&gt;="&amp;DATE(YEAR(主页!$D$2),1,1),当年实际!$C:$C,"&lt;="&amp;EOMONTH(DATE(YEAR(主页!$D$2),MONTH(主页!$D$2),1),0)),"")</f>
        <v/>
      </c>
    </row>
    <row r="763" spans="1:10" x14ac:dyDescent="0.3">
      <c r="A763" s="135"/>
      <c r="B763" s="136"/>
      <c r="C763" s="138"/>
      <c r="D763" s="139"/>
      <c r="E763" s="141" t="str">
        <f t="shared" si="35"/>
        <v/>
      </c>
      <c r="F763" s="144"/>
      <c r="G763" s="146">
        <f t="shared" si="33"/>
        <v>0</v>
      </c>
      <c r="H763" s="141" t="str">
        <f t="shared" si="34"/>
        <v/>
      </c>
      <c r="J763" s="148" t="str">
        <f>IFERROR(SUMIFS(当年实际!$V:$V,当年实际!$H:$H,$B763,当年实际!$C:$C,"&gt;="&amp;DATE(YEAR(主页!$D$2),1,1),当年实际!$C:$C,"&lt;="&amp;EOMONTH(DATE(YEAR(主页!$D$2),MONTH(主页!$D$2),1),0))/SUMIFS(当年实际!$P:$P,当年实际!$H:$H,$B763,当年实际!$C:$C,"&gt;="&amp;DATE(YEAR(主页!$D$2),1,1),当年实际!$C:$C,"&lt;="&amp;EOMONTH(DATE(YEAR(主页!$D$2),MONTH(主页!$D$2),1),0)),"")</f>
        <v/>
      </c>
    </row>
    <row r="764" spans="1:10" x14ac:dyDescent="0.3">
      <c r="A764" s="135"/>
      <c r="B764" s="136"/>
      <c r="C764" s="138"/>
      <c r="D764" s="139"/>
      <c r="E764" s="141" t="str">
        <f t="shared" si="35"/>
        <v/>
      </c>
      <c r="F764" s="144"/>
      <c r="G764" s="146">
        <f t="shared" si="33"/>
        <v>0</v>
      </c>
      <c r="H764" s="141" t="str">
        <f t="shared" si="34"/>
        <v/>
      </c>
      <c r="J764" s="148" t="str">
        <f>IFERROR(SUMIFS(当年实际!$V:$V,当年实际!$H:$H,$B764,当年实际!$C:$C,"&gt;="&amp;DATE(YEAR(主页!$D$2),1,1),当年实际!$C:$C,"&lt;="&amp;EOMONTH(DATE(YEAR(主页!$D$2),MONTH(主页!$D$2),1),0))/SUMIFS(当年实际!$P:$P,当年实际!$H:$H,$B764,当年实际!$C:$C,"&gt;="&amp;DATE(YEAR(主页!$D$2),1,1),当年实际!$C:$C,"&lt;="&amp;EOMONTH(DATE(YEAR(主页!$D$2),MONTH(主页!$D$2),1),0)),"")</f>
        <v/>
      </c>
    </row>
    <row r="765" spans="1:10" x14ac:dyDescent="0.3">
      <c r="A765" s="135"/>
      <c r="B765" s="136"/>
      <c r="C765" s="138"/>
      <c r="D765" s="139"/>
      <c r="E765" s="141" t="str">
        <f t="shared" si="35"/>
        <v/>
      </c>
      <c r="F765" s="144"/>
      <c r="G765" s="146">
        <f t="shared" si="33"/>
        <v>0</v>
      </c>
      <c r="H765" s="141" t="str">
        <f t="shared" si="34"/>
        <v/>
      </c>
      <c r="J765" s="148" t="str">
        <f>IFERROR(SUMIFS(当年实际!$V:$V,当年实际!$H:$H,$B765,当年实际!$C:$C,"&gt;="&amp;DATE(YEAR(主页!$D$2),1,1),当年实际!$C:$C,"&lt;="&amp;EOMONTH(DATE(YEAR(主页!$D$2),MONTH(主页!$D$2),1),0))/SUMIFS(当年实际!$P:$P,当年实际!$H:$H,$B765,当年实际!$C:$C,"&gt;="&amp;DATE(YEAR(主页!$D$2),1,1),当年实际!$C:$C,"&lt;="&amp;EOMONTH(DATE(YEAR(主页!$D$2),MONTH(主页!$D$2),1),0)),"")</f>
        <v/>
      </c>
    </row>
    <row r="766" spans="1:10" x14ac:dyDescent="0.3">
      <c r="A766" s="135"/>
      <c r="B766" s="136"/>
      <c r="C766" s="138"/>
      <c r="D766" s="139"/>
      <c r="E766" s="141" t="str">
        <f t="shared" si="35"/>
        <v/>
      </c>
      <c r="F766" s="144"/>
      <c r="G766" s="146">
        <f t="shared" si="33"/>
        <v>0</v>
      </c>
      <c r="H766" s="141" t="str">
        <f t="shared" si="34"/>
        <v/>
      </c>
      <c r="J766" s="148" t="str">
        <f>IFERROR(SUMIFS(当年实际!$V:$V,当年实际!$H:$H,$B766,当年实际!$C:$C,"&gt;="&amp;DATE(YEAR(主页!$D$2),1,1),当年实际!$C:$C,"&lt;="&amp;EOMONTH(DATE(YEAR(主页!$D$2),MONTH(主页!$D$2),1),0))/SUMIFS(当年实际!$P:$P,当年实际!$H:$H,$B766,当年实际!$C:$C,"&gt;="&amp;DATE(YEAR(主页!$D$2),1,1),当年实际!$C:$C,"&lt;="&amp;EOMONTH(DATE(YEAR(主页!$D$2),MONTH(主页!$D$2),1),0)),"")</f>
        <v/>
      </c>
    </row>
    <row r="767" spans="1:10" x14ac:dyDescent="0.3">
      <c r="A767" s="135"/>
      <c r="B767" s="136"/>
      <c r="C767" s="138"/>
      <c r="D767" s="139"/>
      <c r="E767" s="141" t="str">
        <f t="shared" si="35"/>
        <v/>
      </c>
      <c r="F767" s="144"/>
      <c r="G767" s="146">
        <f t="shared" si="33"/>
        <v>0</v>
      </c>
      <c r="H767" s="141" t="str">
        <f t="shared" si="34"/>
        <v/>
      </c>
      <c r="J767" s="148" t="str">
        <f>IFERROR(SUMIFS(当年实际!$V:$V,当年实际!$H:$H,$B767,当年实际!$C:$C,"&gt;="&amp;DATE(YEAR(主页!$D$2),1,1),当年实际!$C:$C,"&lt;="&amp;EOMONTH(DATE(YEAR(主页!$D$2),MONTH(主页!$D$2),1),0))/SUMIFS(当年实际!$P:$P,当年实际!$H:$H,$B767,当年实际!$C:$C,"&gt;="&amp;DATE(YEAR(主页!$D$2),1,1),当年实际!$C:$C,"&lt;="&amp;EOMONTH(DATE(YEAR(主页!$D$2),MONTH(主页!$D$2),1),0)),"")</f>
        <v/>
      </c>
    </row>
    <row r="768" spans="1:10" x14ac:dyDescent="0.3">
      <c r="A768" s="135"/>
      <c r="B768" s="136"/>
      <c r="C768" s="138"/>
      <c r="D768" s="139"/>
      <c r="E768" s="141" t="str">
        <f t="shared" si="35"/>
        <v/>
      </c>
      <c r="F768" s="144"/>
      <c r="G768" s="146">
        <f t="shared" si="33"/>
        <v>0</v>
      </c>
      <c r="H768" s="141" t="str">
        <f t="shared" si="34"/>
        <v/>
      </c>
      <c r="J768" s="148" t="str">
        <f>IFERROR(SUMIFS(当年实际!$V:$V,当年实际!$H:$H,$B768,当年实际!$C:$C,"&gt;="&amp;DATE(YEAR(主页!$D$2),1,1),当年实际!$C:$C,"&lt;="&amp;EOMONTH(DATE(YEAR(主页!$D$2),MONTH(主页!$D$2),1),0))/SUMIFS(当年实际!$P:$P,当年实际!$H:$H,$B768,当年实际!$C:$C,"&gt;="&amp;DATE(YEAR(主页!$D$2),1,1),当年实际!$C:$C,"&lt;="&amp;EOMONTH(DATE(YEAR(主页!$D$2),MONTH(主页!$D$2),1),0)),"")</f>
        <v/>
      </c>
    </row>
    <row r="769" spans="1:10" x14ac:dyDescent="0.3">
      <c r="A769" s="135"/>
      <c r="B769" s="136"/>
      <c r="C769" s="138"/>
      <c r="D769" s="139"/>
      <c r="E769" s="141" t="str">
        <f t="shared" si="35"/>
        <v/>
      </c>
      <c r="F769" s="144"/>
      <c r="G769" s="146">
        <f t="shared" si="33"/>
        <v>0</v>
      </c>
      <c r="H769" s="141" t="str">
        <f t="shared" si="34"/>
        <v/>
      </c>
      <c r="J769" s="148" t="str">
        <f>IFERROR(SUMIFS(当年实际!$V:$V,当年实际!$H:$H,$B769,当年实际!$C:$C,"&gt;="&amp;DATE(YEAR(主页!$D$2),1,1),当年实际!$C:$C,"&lt;="&amp;EOMONTH(DATE(YEAR(主页!$D$2),MONTH(主页!$D$2),1),0))/SUMIFS(当年实际!$P:$P,当年实际!$H:$H,$B769,当年实际!$C:$C,"&gt;="&amp;DATE(YEAR(主页!$D$2),1,1),当年实际!$C:$C,"&lt;="&amp;EOMONTH(DATE(YEAR(主页!$D$2),MONTH(主页!$D$2),1),0)),"")</f>
        <v/>
      </c>
    </row>
    <row r="770" spans="1:10" x14ac:dyDescent="0.3">
      <c r="A770" s="135"/>
      <c r="B770" s="136"/>
      <c r="C770" s="138"/>
      <c r="D770" s="139"/>
      <c r="E770" s="141" t="str">
        <f t="shared" si="35"/>
        <v/>
      </c>
      <c r="F770" s="144"/>
      <c r="G770" s="146">
        <f t="shared" si="33"/>
        <v>0</v>
      </c>
      <c r="H770" s="141" t="str">
        <f t="shared" si="34"/>
        <v/>
      </c>
      <c r="J770" s="148" t="str">
        <f>IFERROR(SUMIFS(当年实际!$V:$V,当年实际!$H:$H,$B770,当年实际!$C:$C,"&gt;="&amp;DATE(YEAR(主页!$D$2),1,1),当年实际!$C:$C,"&lt;="&amp;EOMONTH(DATE(YEAR(主页!$D$2),MONTH(主页!$D$2),1),0))/SUMIFS(当年实际!$P:$P,当年实际!$H:$H,$B770,当年实际!$C:$C,"&gt;="&amp;DATE(YEAR(主页!$D$2),1,1),当年实际!$C:$C,"&lt;="&amp;EOMONTH(DATE(YEAR(主页!$D$2),MONTH(主页!$D$2),1),0)),"")</f>
        <v/>
      </c>
    </row>
    <row r="771" spans="1:10" x14ac:dyDescent="0.3">
      <c r="A771" s="135"/>
      <c r="B771" s="136"/>
      <c r="C771" s="138"/>
      <c r="D771" s="139"/>
      <c r="E771" s="141" t="str">
        <f t="shared" si="35"/>
        <v/>
      </c>
      <c r="F771" s="144"/>
      <c r="G771" s="146">
        <f t="shared" si="33"/>
        <v>0</v>
      </c>
      <c r="H771" s="141" t="str">
        <f t="shared" si="34"/>
        <v/>
      </c>
      <c r="J771" s="148" t="str">
        <f>IFERROR(SUMIFS(当年实际!$V:$V,当年实际!$H:$H,$B771,当年实际!$C:$C,"&gt;="&amp;DATE(YEAR(主页!$D$2),1,1),当年实际!$C:$C,"&lt;="&amp;EOMONTH(DATE(YEAR(主页!$D$2),MONTH(主页!$D$2),1),0))/SUMIFS(当年实际!$P:$P,当年实际!$H:$H,$B771,当年实际!$C:$C,"&gt;="&amp;DATE(YEAR(主页!$D$2),1,1),当年实际!$C:$C,"&lt;="&amp;EOMONTH(DATE(YEAR(主页!$D$2),MONTH(主页!$D$2),1),0)),"")</f>
        <v/>
      </c>
    </row>
    <row r="772" spans="1:10" x14ac:dyDescent="0.3">
      <c r="A772" s="135"/>
      <c r="B772" s="136"/>
      <c r="C772" s="138"/>
      <c r="D772" s="139"/>
      <c r="E772" s="141" t="str">
        <f t="shared" si="35"/>
        <v/>
      </c>
      <c r="F772" s="144"/>
      <c r="G772" s="146">
        <f t="shared" si="33"/>
        <v>0</v>
      </c>
      <c r="H772" s="141" t="str">
        <f t="shared" si="34"/>
        <v/>
      </c>
      <c r="J772" s="148" t="str">
        <f>IFERROR(SUMIFS(当年实际!$V:$V,当年实际!$H:$H,$B772,当年实际!$C:$C,"&gt;="&amp;DATE(YEAR(主页!$D$2),1,1),当年实际!$C:$C,"&lt;="&amp;EOMONTH(DATE(YEAR(主页!$D$2),MONTH(主页!$D$2),1),0))/SUMIFS(当年实际!$P:$P,当年实际!$H:$H,$B772,当年实际!$C:$C,"&gt;="&amp;DATE(YEAR(主页!$D$2),1,1),当年实际!$C:$C,"&lt;="&amp;EOMONTH(DATE(YEAR(主页!$D$2),MONTH(主页!$D$2),1),0)),"")</f>
        <v/>
      </c>
    </row>
    <row r="773" spans="1:10" x14ac:dyDescent="0.3">
      <c r="A773" s="135"/>
      <c r="B773" s="136"/>
      <c r="C773" s="138"/>
      <c r="D773" s="139"/>
      <c r="E773" s="141" t="str">
        <f t="shared" si="35"/>
        <v/>
      </c>
      <c r="F773" s="144"/>
      <c r="G773" s="146">
        <f t="shared" ref="G773:G836" si="36">D773*F773</f>
        <v>0</v>
      </c>
      <c r="H773" s="141" t="str">
        <f t="shared" si="34"/>
        <v/>
      </c>
      <c r="J773" s="148" t="str">
        <f>IFERROR(SUMIFS(当年实际!$V:$V,当年实际!$H:$H,$B773,当年实际!$C:$C,"&gt;="&amp;DATE(YEAR(主页!$D$2),1,1),当年实际!$C:$C,"&lt;="&amp;EOMONTH(DATE(YEAR(主页!$D$2),MONTH(主页!$D$2),1),0))/SUMIFS(当年实际!$P:$P,当年实际!$H:$H,$B773,当年实际!$C:$C,"&gt;="&amp;DATE(YEAR(主页!$D$2),1,1),当年实际!$C:$C,"&lt;="&amp;EOMONTH(DATE(YEAR(主页!$D$2),MONTH(主页!$D$2),1),0)),"")</f>
        <v/>
      </c>
    </row>
    <row r="774" spans="1:10" x14ac:dyDescent="0.3">
      <c r="A774" s="135"/>
      <c r="B774" s="136"/>
      <c r="C774" s="138"/>
      <c r="D774" s="139"/>
      <c r="E774" s="141" t="str">
        <f t="shared" si="35"/>
        <v/>
      </c>
      <c r="F774" s="144"/>
      <c r="G774" s="146">
        <f t="shared" si="36"/>
        <v>0</v>
      </c>
      <c r="H774" s="141" t="str">
        <f t="shared" ref="H774:H837" si="37">IF(G774/SUM(G:G)=0,"",G774/SUM(G:G))</f>
        <v/>
      </c>
      <c r="J774" s="148" t="str">
        <f>IFERROR(SUMIFS(当年实际!$V:$V,当年实际!$H:$H,$B774,当年实际!$C:$C,"&gt;="&amp;DATE(YEAR(主页!$D$2),1,1),当年实际!$C:$C,"&lt;="&amp;EOMONTH(DATE(YEAR(主页!$D$2),MONTH(主页!$D$2),1),0))/SUMIFS(当年实际!$P:$P,当年实际!$H:$H,$B774,当年实际!$C:$C,"&gt;="&amp;DATE(YEAR(主页!$D$2),1,1),当年实际!$C:$C,"&lt;="&amp;EOMONTH(DATE(YEAR(主页!$D$2),MONTH(主页!$D$2),1),0)),"")</f>
        <v/>
      </c>
    </row>
    <row r="775" spans="1:10" x14ac:dyDescent="0.3">
      <c r="A775" s="135"/>
      <c r="B775" s="136"/>
      <c r="C775" s="138"/>
      <c r="D775" s="139"/>
      <c r="E775" s="141" t="str">
        <f t="shared" si="35"/>
        <v/>
      </c>
      <c r="F775" s="144"/>
      <c r="G775" s="146">
        <f t="shared" si="36"/>
        <v>0</v>
      </c>
      <c r="H775" s="141" t="str">
        <f t="shared" si="37"/>
        <v/>
      </c>
      <c r="J775" s="148" t="str">
        <f>IFERROR(SUMIFS(当年实际!$V:$V,当年实际!$H:$H,$B775,当年实际!$C:$C,"&gt;="&amp;DATE(YEAR(主页!$D$2),1,1),当年实际!$C:$C,"&lt;="&amp;EOMONTH(DATE(YEAR(主页!$D$2),MONTH(主页!$D$2),1),0))/SUMIFS(当年实际!$P:$P,当年实际!$H:$H,$B775,当年实际!$C:$C,"&gt;="&amp;DATE(YEAR(主页!$D$2),1,1),当年实际!$C:$C,"&lt;="&amp;EOMONTH(DATE(YEAR(主页!$D$2),MONTH(主页!$D$2),1),0)),"")</f>
        <v/>
      </c>
    </row>
    <row r="776" spans="1:10" x14ac:dyDescent="0.3">
      <c r="A776" s="135"/>
      <c r="B776" s="136"/>
      <c r="C776" s="138"/>
      <c r="D776" s="139"/>
      <c r="E776" s="141" t="str">
        <f t="shared" ref="E776:E839" si="38">IF(D776/SUM(D:D)=0,"",D776/SUM(D:D))</f>
        <v/>
      </c>
      <c r="F776" s="144"/>
      <c r="G776" s="146">
        <f t="shared" si="36"/>
        <v>0</v>
      </c>
      <c r="H776" s="141" t="str">
        <f t="shared" si="37"/>
        <v/>
      </c>
      <c r="J776" s="148" t="str">
        <f>IFERROR(SUMIFS(当年实际!$V:$V,当年实际!$H:$H,$B776,当年实际!$C:$C,"&gt;="&amp;DATE(YEAR(主页!$D$2),1,1),当年实际!$C:$C,"&lt;="&amp;EOMONTH(DATE(YEAR(主页!$D$2),MONTH(主页!$D$2),1),0))/SUMIFS(当年实际!$P:$P,当年实际!$H:$H,$B776,当年实际!$C:$C,"&gt;="&amp;DATE(YEAR(主页!$D$2),1,1),当年实际!$C:$C,"&lt;="&amp;EOMONTH(DATE(YEAR(主页!$D$2),MONTH(主页!$D$2),1),0)),"")</f>
        <v/>
      </c>
    </row>
    <row r="777" spans="1:10" x14ac:dyDescent="0.3">
      <c r="A777" s="135"/>
      <c r="B777" s="136"/>
      <c r="C777" s="138"/>
      <c r="D777" s="139"/>
      <c r="E777" s="141" t="str">
        <f t="shared" si="38"/>
        <v/>
      </c>
      <c r="F777" s="144"/>
      <c r="G777" s="146">
        <f t="shared" si="36"/>
        <v>0</v>
      </c>
      <c r="H777" s="141" t="str">
        <f t="shared" si="37"/>
        <v/>
      </c>
      <c r="J777" s="148" t="str">
        <f>IFERROR(SUMIFS(当年实际!$V:$V,当年实际!$H:$H,$B777,当年实际!$C:$C,"&gt;="&amp;DATE(YEAR(主页!$D$2),1,1),当年实际!$C:$C,"&lt;="&amp;EOMONTH(DATE(YEAR(主页!$D$2),MONTH(主页!$D$2),1),0))/SUMIFS(当年实际!$P:$P,当年实际!$H:$H,$B777,当年实际!$C:$C,"&gt;="&amp;DATE(YEAR(主页!$D$2),1,1),当年实际!$C:$C,"&lt;="&amp;EOMONTH(DATE(YEAR(主页!$D$2),MONTH(主页!$D$2),1),0)),"")</f>
        <v/>
      </c>
    </row>
    <row r="778" spans="1:10" x14ac:dyDescent="0.3">
      <c r="A778" s="135"/>
      <c r="B778" s="136"/>
      <c r="C778" s="138"/>
      <c r="D778" s="139"/>
      <c r="E778" s="141" t="str">
        <f t="shared" si="38"/>
        <v/>
      </c>
      <c r="F778" s="144"/>
      <c r="G778" s="146">
        <f t="shared" si="36"/>
        <v>0</v>
      </c>
      <c r="H778" s="141" t="str">
        <f t="shared" si="37"/>
        <v/>
      </c>
      <c r="J778" s="148" t="str">
        <f>IFERROR(SUMIFS(当年实际!$V:$V,当年实际!$H:$H,$B778,当年实际!$C:$C,"&gt;="&amp;DATE(YEAR(主页!$D$2),1,1),当年实际!$C:$C,"&lt;="&amp;EOMONTH(DATE(YEAR(主页!$D$2),MONTH(主页!$D$2),1),0))/SUMIFS(当年实际!$P:$P,当年实际!$H:$H,$B778,当年实际!$C:$C,"&gt;="&amp;DATE(YEAR(主页!$D$2),1,1),当年实际!$C:$C,"&lt;="&amp;EOMONTH(DATE(YEAR(主页!$D$2),MONTH(主页!$D$2),1),0)),"")</f>
        <v/>
      </c>
    </row>
    <row r="779" spans="1:10" x14ac:dyDescent="0.3">
      <c r="A779" s="135"/>
      <c r="B779" s="136"/>
      <c r="C779" s="138"/>
      <c r="D779" s="139"/>
      <c r="E779" s="141" t="str">
        <f t="shared" si="38"/>
        <v/>
      </c>
      <c r="F779" s="144"/>
      <c r="G779" s="146">
        <f t="shared" si="36"/>
        <v>0</v>
      </c>
      <c r="H779" s="141" t="str">
        <f t="shared" si="37"/>
        <v/>
      </c>
      <c r="J779" s="148" t="str">
        <f>IFERROR(SUMIFS(当年实际!$V:$V,当年实际!$H:$H,$B779,当年实际!$C:$C,"&gt;="&amp;DATE(YEAR(主页!$D$2),1,1),当年实际!$C:$C,"&lt;="&amp;EOMONTH(DATE(YEAR(主页!$D$2),MONTH(主页!$D$2),1),0))/SUMIFS(当年实际!$P:$P,当年实际!$H:$H,$B779,当年实际!$C:$C,"&gt;="&amp;DATE(YEAR(主页!$D$2),1,1),当年实际!$C:$C,"&lt;="&amp;EOMONTH(DATE(YEAR(主页!$D$2),MONTH(主页!$D$2),1),0)),"")</f>
        <v/>
      </c>
    </row>
    <row r="780" spans="1:10" x14ac:dyDescent="0.3">
      <c r="A780" s="135"/>
      <c r="B780" s="136"/>
      <c r="C780" s="138"/>
      <c r="D780" s="139"/>
      <c r="E780" s="141" t="str">
        <f t="shared" si="38"/>
        <v/>
      </c>
      <c r="F780" s="144"/>
      <c r="G780" s="146">
        <f t="shared" si="36"/>
        <v>0</v>
      </c>
      <c r="H780" s="141" t="str">
        <f t="shared" si="37"/>
        <v/>
      </c>
      <c r="J780" s="148" t="str">
        <f>IFERROR(SUMIFS(当年实际!$V:$V,当年实际!$H:$H,$B780,当年实际!$C:$C,"&gt;="&amp;DATE(YEAR(主页!$D$2),1,1),当年实际!$C:$C,"&lt;="&amp;EOMONTH(DATE(YEAR(主页!$D$2),MONTH(主页!$D$2),1),0))/SUMIFS(当年实际!$P:$P,当年实际!$H:$H,$B780,当年实际!$C:$C,"&gt;="&amp;DATE(YEAR(主页!$D$2),1,1),当年实际!$C:$C,"&lt;="&amp;EOMONTH(DATE(YEAR(主页!$D$2),MONTH(主页!$D$2),1),0)),"")</f>
        <v/>
      </c>
    </row>
    <row r="781" spans="1:10" x14ac:dyDescent="0.3">
      <c r="A781" s="135"/>
      <c r="B781" s="136"/>
      <c r="C781" s="138"/>
      <c r="D781" s="139"/>
      <c r="E781" s="141" t="str">
        <f t="shared" si="38"/>
        <v/>
      </c>
      <c r="F781" s="144"/>
      <c r="G781" s="146">
        <f t="shared" si="36"/>
        <v>0</v>
      </c>
      <c r="H781" s="141" t="str">
        <f t="shared" si="37"/>
        <v/>
      </c>
      <c r="J781" s="148" t="str">
        <f>IFERROR(SUMIFS(当年实际!$V:$V,当年实际!$H:$H,$B781,当年实际!$C:$C,"&gt;="&amp;DATE(YEAR(主页!$D$2),1,1),当年实际!$C:$C,"&lt;="&amp;EOMONTH(DATE(YEAR(主页!$D$2),MONTH(主页!$D$2),1),0))/SUMIFS(当年实际!$P:$P,当年实际!$H:$H,$B781,当年实际!$C:$C,"&gt;="&amp;DATE(YEAR(主页!$D$2),1,1),当年实际!$C:$C,"&lt;="&amp;EOMONTH(DATE(YEAR(主页!$D$2),MONTH(主页!$D$2),1),0)),"")</f>
        <v/>
      </c>
    </row>
    <row r="782" spans="1:10" x14ac:dyDescent="0.3">
      <c r="A782" s="135"/>
      <c r="B782" s="136"/>
      <c r="C782" s="138"/>
      <c r="D782" s="139"/>
      <c r="E782" s="141" t="str">
        <f t="shared" si="38"/>
        <v/>
      </c>
      <c r="F782" s="144"/>
      <c r="G782" s="146">
        <f t="shared" si="36"/>
        <v>0</v>
      </c>
      <c r="H782" s="141" t="str">
        <f t="shared" si="37"/>
        <v/>
      </c>
      <c r="J782" s="148" t="str">
        <f>IFERROR(SUMIFS(当年实际!$V:$V,当年实际!$H:$H,$B782,当年实际!$C:$C,"&gt;="&amp;DATE(YEAR(主页!$D$2),1,1),当年实际!$C:$C,"&lt;="&amp;EOMONTH(DATE(YEAR(主页!$D$2),MONTH(主页!$D$2),1),0))/SUMIFS(当年实际!$P:$P,当年实际!$H:$H,$B782,当年实际!$C:$C,"&gt;="&amp;DATE(YEAR(主页!$D$2),1,1),当年实际!$C:$C,"&lt;="&amp;EOMONTH(DATE(YEAR(主页!$D$2),MONTH(主页!$D$2),1),0)),"")</f>
        <v/>
      </c>
    </row>
    <row r="783" spans="1:10" x14ac:dyDescent="0.3">
      <c r="A783" s="135"/>
      <c r="B783" s="136"/>
      <c r="C783" s="138"/>
      <c r="D783" s="139"/>
      <c r="E783" s="141" t="str">
        <f t="shared" si="38"/>
        <v/>
      </c>
      <c r="F783" s="144"/>
      <c r="G783" s="146">
        <f t="shared" si="36"/>
        <v>0</v>
      </c>
      <c r="H783" s="141" t="str">
        <f t="shared" si="37"/>
        <v/>
      </c>
      <c r="J783" s="148" t="str">
        <f>IFERROR(SUMIFS(当年实际!$V:$V,当年实际!$H:$H,$B783,当年实际!$C:$C,"&gt;="&amp;DATE(YEAR(主页!$D$2),1,1),当年实际!$C:$C,"&lt;="&amp;EOMONTH(DATE(YEAR(主页!$D$2),MONTH(主页!$D$2),1),0))/SUMIFS(当年实际!$P:$P,当年实际!$H:$H,$B783,当年实际!$C:$C,"&gt;="&amp;DATE(YEAR(主页!$D$2),1,1),当年实际!$C:$C,"&lt;="&amp;EOMONTH(DATE(YEAR(主页!$D$2),MONTH(主页!$D$2),1),0)),"")</f>
        <v/>
      </c>
    </row>
    <row r="784" spans="1:10" x14ac:dyDescent="0.3">
      <c r="A784" s="135"/>
      <c r="B784" s="136"/>
      <c r="C784" s="138"/>
      <c r="D784" s="139"/>
      <c r="E784" s="141" t="str">
        <f t="shared" si="38"/>
        <v/>
      </c>
      <c r="F784" s="144"/>
      <c r="G784" s="146">
        <f t="shared" si="36"/>
        <v>0</v>
      </c>
      <c r="H784" s="141" t="str">
        <f t="shared" si="37"/>
        <v/>
      </c>
      <c r="J784" s="148" t="str">
        <f>IFERROR(SUMIFS(当年实际!$V:$V,当年实际!$H:$H,$B784,当年实际!$C:$C,"&gt;="&amp;DATE(YEAR(主页!$D$2),1,1),当年实际!$C:$C,"&lt;="&amp;EOMONTH(DATE(YEAR(主页!$D$2),MONTH(主页!$D$2),1),0))/SUMIFS(当年实际!$P:$P,当年实际!$H:$H,$B784,当年实际!$C:$C,"&gt;="&amp;DATE(YEAR(主页!$D$2),1,1),当年实际!$C:$C,"&lt;="&amp;EOMONTH(DATE(YEAR(主页!$D$2),MONTH(主页!$D$2),1),0)),"")</f>
        <v/>
      </c>
    </row>
    <row r="785" spans="1:10" x14ac:dyDescent="0.3">
      <c r="A785" s="135"/>
      <c r="B785" s="136"/>
      <c r="C785" s="138"/>
      <c r="D785" s="139"/>
      <c r="E785" s="141" t="str">
        <f t="shared" si="38"/>
        <v/>
      </c>
      <c r="F785" s="144"/>
      <c r="G785" s="146">
        <f t="shared" si="36"/>
        <v>0</v>
      </c>
      <c r="H785" s="141" t="str">
        <f t="shared" si="37"/>
        <v/>
      </c>
      <c r="J785" s="148" t="str">
        <f>IFERROR(SUMIFS(当年实际!$V:$V,当年实际!$H:$H,$B785,当年实际!$C:$C,"&gt;="&amp;DATE(YEAR(主页!$D$2),1,1),当年实际!$C:$C,"&lt;="&amp;EOMONTH(DATE(YEAR(主页!$D$2),MONTH(主页!$D$2),1),0))/SUMIFS(当年实际!$P:$P,当年实际!$H:$H,$B785,当年实际!$C:$C,"&gt;="&amp;DATE(YEAR(主页!$D$2),1,1),当年实际!$C:$C,"&lt;="&amp;EOMONTH(DATE(YEAR(主页!$D$2),MONTH(主页!$D$2),1),0)),"")</f>
        <v/>
      </c>
    </row>
    <row r="786" spans="1:10" x14ac:dyDescent="0.3">
      <c r="A786" s="135"/>
      <c r="B786" s="136"/>
      <c r="C786" s="138"/>
      <c r="D786" s="139"/>
      <c r="E786" s="141" t="str">
        <f t="shared" si="38"/>
        <v/>
      </c>
      <c r="F786" s="144"/>
      <c r="G786" s="146">
        <f t="shared" si="36"/>
        <v>0</v>
      </c>
      <c r="H786" s="141" t="str">
        <f t="shared" si="37"/>
        <v/>
      </c>
      <c r="J786" s="148" t="str">
        <f>IFERROR(SUMIFS(当年实际!$V:$V,当年实际!$H:$H,$B786,当年实际!$C:$C,"&gt;="&amp;DATE(YEAR(主页!$D$2),1,1),当年实际!$C:$C,"&lt;="&amp;EOMONTH(DATE(YEAR(主页!$D$2),MONTH(主页!$D$2),1),0))/SUMIFS(当年实际!$P:$P,当年实际!$H:$H,$B786,当年实际!$C:$C,"&gt;="&amp;DATE(YEAR(主页!$D$2),1,1),当年实际!$C:$C,"&lt;="&amp;EOMONTH(DATE(YEAR(主页!$D$2),MONTH(主页!$D$2),1),0)),"")</f>
        <v/>
      </c>
    </row>
    <row r="787" spans="1:10" x14ac:dyDescent="0.3">
      <c r="A787" s="135"/>
      <c r="B787" s="136"/>
      <c r="C787" s="138"/>
      <c r="D787" s="139"/>
      <c r="E787" s="141" t="str">
        <f t="shared" si="38"/>
        <v/>
      </c>
      <c r="F787" s="144"/>
      <c r="G787" s="146">
        <f t="shared" si="36"/>
        <v>0</v>
      </c>
      <c r="H787" s="141" t="str">
        <f t="shared" si="37"/>
        <v/>
      </c>
      <c r="J787" s="148" t="str">
        <f>IFERROR(SUMIFS(当年实际!$V:$V,当年实际!$H:$H,$B787,当年实际!$C:$C,"&gt;="&amp;DATE(YEAR(主页!$D$2),1,1),当年实际!$C:$C,"&lt;="&amp;EOMONTH(DATE(YEAR(主页!$D$2),MONTH(主页!$D$2),1),0))/SUMIFS(当年实际!$P:$P,当年实际!$H:$H,$B787,当年实际!$C:$C,"&gt;="&amp;DATE(YEAR(主页!$D$2),1,1),当年实际!$C:$C,"&lt;="&amp;EOMONTH(DATE(YEAR(主页!$D$2),MONTH(主页!$D$2),1),0)),"")</f>
        <v/>
      </c>
    </row>
    <row r="788" spans="1:10" x14ac:dyDescent="0.3">
      <c r="A788" s="135"/>
      <c r="B788" s="136"/>
      <c r="C788" s="138"/>
      <c r="D788" s="139"/>
      <c r="E788" s="141" t="str">
        <f t="shared" si="38"/>
        <v/>
      </c>
      <c r="F788" s="144"/>
      <c r="G788" s="146">
        <f t="shared" si="36"/>
        <v>0</v>
      </c>
      <c r="H788" s="141" t="str">
        <f t="shared" si="37"/>
        <v/>
      </c>
      <c r="J788" s="148" t="str">
        <f>IFERROR(SUMIFS(当年实际!$V:$V,当年实际!$H:$H,$B788,当年实际!$C:$C,"&gt;="&amp;DATE(YEAR(主页!$D$2),1,1),当年实际!$C:$C,"&lt;="&amp;EOMONTH(DATE(YEAR(主页!$D$2),MONTH(主页!$D$2),1),0))/SUMIFS(当年实际!$P:$P,当年实际!$H:$H,$B788,当年实际!$C:$C,"&gt;="&amp;DATE(YEAR(主页!$D$2),1,1),当年实际!$C:$C,"&lt;="&amp;EOMONTH(DATE(YEAR(主页!$D$2),MONTH(主页!$D$2),1),0)),"")</f>
        <v/>
      </c>
    </row>
    <row r="789" spans="1:10" x14ac:dyDescent="0.3">
      <c r="A789" s="135"/>
      <c r="B789" s="136"/>
      <c r="C789" s="138"/>
      <c r="D789" s="139"/>
      <c r="E789" s="141" t="str">
        <f t="shared" si="38"/>
        <v/>
      </c>
      <c r="F789" s="144"/>
      <c r="G789" s="146">
        <f t="shared" si="36"/>
        <v>0</v>
      </c>
      <c r="H789" s="141" t="str">
        <f t="shared" si="37"/>
        <v/>
      </c>
      <c r="J789" s="148" t="str">
        <f>IFERROR(SUMIFS(当年实际!$V:$V,当年实际!$H:$H,$B789,当年实际!$C:$C,"&gt;="&amp;DATE(YEAR(主页!$D$2),1,1),当年实际!$C:$C,"&lt;="&amp;EOMONTH(DATE(YEAR(主页!$D$2),MONTH(主页!$D$2),1),0))/SUMIFS(当年实际!$P:$P,当年实际!$H:$H,$B789,当年实际!$C:$C,"&gt;="&amp;DATE(YEAR(主页!$D$2),1,1),当年实际!$C:$C,"&lt;="&amp;EOMONTH(DATE(YEAR(主页!$D$2),MONTH(主页!$D$2),1),0)),"")</f>
        <v/>
      </c>
    </row>
    <row r="790" spans="1:10" x14ac:dyDescent="0.3">
      <c r="A790" s="135"/>
      <c r="B790" s="136"/>
      <c r="C790" s="138"/>
      <c r="D790" s="139"/>
      <c r="E790" s="141" t="str">
        <f t="shared" si="38"/>
        <v/>
      </c>
      <c r="F790" s="144"/>
      <c r="G790" s="146">
        <f t="shared" si="36"/>
        <v>0</v>
      </c>
      <c r="H790" s="141" t="str">
        <f t="shared" si="37"/>
        <v/>
      </c>
      <c r="J790" s="148" t="str">
        <f>IFERROR(SUMIFS(当年实际!$V:$V,当年实际!$H:$H,$B790,当年实际!$C:$C,"&gt;="&amp;DATE(YEAR(主页!$D$2),1,1),当年实际!$C:$C,"&lt;="&amp;EOMONTH(DATE(YEAR(主页!$D$2),MONTH(主页!$D$2),1),0))/SUMIFS(当年实际!$P:$P,当年实际!$H:$H,$B790,当年实际!$C:$C,"&gt;="&amp;DATE(YEAR(主页!$D$2),1,1),当年实际!$C:$C,"&lt;="&amp;EOMONTH(DATE(YEAR(主页!$D$2),MONTH(主页!$D$2),1),0)),"")</f>
        <v/>
      </c>
    </row>
    <row r="791" spans="1:10" x14ac:dyDescent="0.3">
      <c r="A791" s="135"/>
      <c r="B791" s="136"/>
      <c r="C791" s="138"/>
      <c r="D791" s="139"/>
      <c r="E791" s="141" t="str">
        <f t="shared" si="38"/>
        <v/>
      </c>
      <c r="F791" s="144"/>
      <c r="G791" s="146">
        <f t="shared" si="36"/>
        <v>0</v>
      </c>
      <c r="H791" s="141" t="str">
        <f t="shared" si="37"/>
        <v/>
      </c>
      <c r="J791" s="148" t="str">
        <f>IFERROR(SUMIFS(当年实际!$V:$V,当年实际!$H:$H,$B791,当年实际!$C:$C,"&gt;="&amp;DATE(YEAR(主页!$D$2),1,1),当年实际!$C:$C,"&lt;="&amp;EOMONTH(DATE(YEAR(主页!$D$2),MONTH(主页!$D$2),1),0))/SUMIFS(当年实际!$P:$P,当年实际!$H:$H,$B791,当年实际!$C:$C,"&gt;="&amp;DATE(YEAR(主页!$D$2),1,1),当年实际!$C:$C,"&lt;="&amp;EOMONTH(DATE(YEAR(主页!$D$2),MONTH(主页!$D$2),1),0)),"")</f>
        <v/>
      </c>
    </row>
    <row r="792" spans="1:10" x14ac:dyDescent="0.3">
      <c r="A792" s="135"/>
      <c r="B792" s="136"/>
      <c r="C792" s="138"/>
      <c r="D792" s="139"/>
      <c r="E792" s="141" t="str">
        <f t="shared" si="38"/>
        <v/>
      </c>
      <c r="F792" s="144"/>
      <c r="G792" s="146">
        <f t="shared" si="36"/>
        <v>0</v>
      </c>
      <c r="H792" s="141" t="str">
        <f t="shared" si="37"/>
        <v/>
      </c>
      <c r="J792" s="148" t="str">
        <f>IFERROR(SUMIFS(当年实际!$V:$V,当年实际!$H:$H,$B792,当年实际!$C:$C,"&gt;="&amp;DATE(YEAR(主页!$D$2),1,1),当年实际!$C:$C,"&lt;="&amp;EOMONTH(DATE(YEAR(主页!$D$2),MONTH(主页!$D$2),1),0))/SUMIFS(当年实际!$P:$P,当年实际!$H:$H,$B792,当年实际!$C:$C,"&gt;="&amp;DATE(YEAR(主页!$D$2),1,1),当年实际!$C:$C,"&lt;="&amp;EOMONTH(DATE(YEAR(主页!$D$2),MONTH(主页!$D$2),1),0)),"")</f>
        <v/>
      </c>
    </row>
    <row r="793" spans="1:10" x14ac:dyDescent="0.3">
      <c r="A793" s="135"/>
      <c r="B793" s="136"/>
      <c r="C793" s="138"/>
      <c r="D793" s="139"/>
      <c r="E793" s="141" t="str">
        <f t="shared" si="38"/>
        <v/>
      </c>
      <c r="F793" s="144"/>
      <c r="G793" s="146">
        <f t="shared" si="36"/>
        <v>0</v>
      </c>
      <c r="H793" s="141" t="str">
        <f t="shared" si="37"/>
        <v/>
      </c>
      <c r="J793" s="148" t="str">
        <f>IFERROR(SUMIFS(当年实际!$V:$V,当年实际!$H:$H,$B793,当年实际!$C:$C,"&gt;="&amp;DATE(YEAR(主页!$D$2),1,1),当年实际!$C:$C,"&lt;="&amp;EOMONTH(DATE(YEAR(主页!$D$2),MONTH(主页!$D$2),1),0))/SUMIFS(当年实际!$P:$P,当年实际!$H:$H,$B793,当年实际!$C:$C,"&gt;="&amp;DATE(YEAR(主页!$D$2),1,1),当年实际!$C:$C,"&lt;="&amp;EOMONTH(DATE(YEAR(主页!$D$2),MONTH(主页!$D$2),1),0)),"")</f>
        <v/>
      </c>
    </row>
    <row r="794" spans="1:10" x14ac:dyDescent="0.3">
      <c r="A794" s="135"/>
      <c r="B794" s="136"/>
      <c r="C794" s="138"/>
      <c r="D794" s="139"/>
      <c r="E794" s="141" t="str">
        <f t="shared" si="38"/>
        <v/>
      </c>
      <c r="F794" s="144"/>
      <c r="G794" s="146">
        <f t="shared" si="36"/>
        <v>0</v>
      </c>
      <c r="H794" s="141" t="str">
        <f t="shared" si="37"/>
        <v/>
      </c>
      <c r="J794" s="148" t="str">
        <f>IFERROR(SUMIFS(当年实际!$V:$V,当年实际!$H:$H,$B794,当年实际!$C:$C,"&gt;="&amp;DATE(YEAR(主页!$D$2),1,1),当年实际!$C:$C,"&lt;="&amp;EOMONTH(DATE(YEAR(主页!$D$2),MONTH(主页!$D$2),1),0))/SUMIFS(当年实际!$P:$P,当年实际!$H:$H,$B794,当年实际!$C:$C,"&gt;="&amp;DATE(YEAR(主页!$D$2),1,1),当年实际!$C:$C,"&lt;="&amp;EOMONTH(DATE(YEAR(主页!$D$2),MONTH(主页!$D$2),1),0)),"")</f>
        <v/>
      </c>
    </row>
    <row r="795" spans="1:10" x14ac:dyDescent="0.3">
      <c r="A795" s="135"/>
      <c r="B795" s="136"/>
      <c r="C795" s="138"/>
      <c r="D795" s="139"/>
      <c r="E795" s="141" t="str">
        <f t="shared" si="38"/>
        <v/>
      </c>
      <c r="F795" s="144"/>
      <c r="G795" s="146">
        <f t="shared" si="36"/>
        <v>0</v>
      </c>
      <c r="H795" s="141" t="str">
        <f t="shared" si="37"/>
        <v/>
      </c>
      <c r="J795" s="148" t="str">
        <f>IFERROR(SUMIFS(当年实际!$V:$V,当年实际!$H:$H,$B795,当年实际!$C:$C,"&gt;="&amp;DATE(YEAR(主页!$D$2),1,1),当年实际!$C:$C,"&lt;="&amp;EOMONTH(DATE(YEAR(主页!$D$2),MONTH(主页!$D$2),1),0))/SUMIFS(当年实际!$P:$P,当年实际!$H:$H,$B795,当年实际!$C:$C,"&gt;="&amp;DATE(YEAR(主页!$D$2),1,1),当年实际!$C:$C,"&lt;="&amp;EOMONTH(DATE(YEAR(主页!$D$2),MONTH(主页!$D$2),1),0)),"")</f>
        <v/>
      </c>
    </row>
    <row r="796" spans="1:10" x14ac:dyDescent="0.3">
      <c r="A796" s="135"/>
      <c r="B796" s="136"/>
      <c r="C796" s="138"/>
      <c r="D796" s="139"/>
      <c r="E796" s="141" t="str">
        <f t="shared" si="38"/>
        <v/>
      </c>
      <c r="F796" s="144"/>
      <c r="G796" s="146">
        <f t="shared" si="36"/>
        <v>0</v>
      </c>
      <c r="H796" s="141" t="str">
        <f t="shared" si="37"/>
        <v/>
      </c>
      <c r="J796" s="148" t="str">
        <f>IFERROR(SUMIFS(当年实际!$V:$V,当年实际!$H:$H,$B796,当年实际!$C:$C,"&gt;="&amp;DATE(YEAR(主页!$D$2),1,1),当年实际!$C:$C,"&lt;="&amp;EOMONTH(DATE(YEAR(主页!$D$2),MONTH(主页!$D$2),1),0))/SUMIFS(当年实际!$P:$P,当年实际!$H:$H,$B796,当年实际!$C:$C,"&gt;="&amp;DATE(YEAR(主页!$D$2),1,1),当年实际!$C:$C,"&lt;="&amp;EOMONTH(DATE(YEAR(主页!$D$2),MONTH(主页!$D$2),1),0)),"")</f>
        <v/>
      </c>
    </row>
    <row r="797" spans="1:10" x14ac:dyDescent="0.3">
      <c r="A797" s="135"/>
      <c r="B797" s="136"/>
      <c r="C797" s="138"/>
      <c r="D797" s="139"/>
      <c r="E797" s="141" t="str">
        <f t="shared" si="38"/>
        <v/>
      </c>
      <c r="F797" s="144"/>
      <c r="G797" s="146">
        <f t="shared" si="36"/>
        <v>0</v>
      </c>
      <c r="H797" s="141" t="str">
        <f t="shared" si="37"/>
        <v/>
      </c>
      <c r="J797" s="148" t="str">
        <f>IFERROR(SUMIFS(当年实际!$V:$V,当年实际!$H:$H,$B797,当年实际!$C:$C,"&gt;="&amp;DATE(YEAR(主页!$D$2),1,1),当年实际!$C:$C,"&lt;="&amp;EOMONTH(DATE(YEAR(主页!$D$2),MONTH(主页!$D$2),1),0))/SUMIFS(当年实际!$P:$P,当年实际!$H:$H,$B797,当年实际!$C:$C,"&gt;="&amp;DATE(YEAR(主页!$D$2),1,1),当年实际!$C:$C,"&lt;="&amp;EOMONTH(DATE(YEAR(主页!$D$2),MONTH(主页!$D$2),1),0)),"")</f>
        <v/>
      </c>
    </row>
    <row r="798" spans="1:10" x14ac:dyDescent="0.3">
      <c r="A798" s="135"/>
      <c r="B798" s="136"/>
      <c r="C798" s="138"/>
      <c r="D798" s="139"/>
      <c r="E798" s="141" t="str">
        <f t="shared" si="38"/>
        <v/>
      </c>
      <c r="F798" s="144"/>
      <c r="G798" s="146">
        <f t="shared" si="36"/>
        <v>0</v>
      </c>
      <c r="H798" s="141" t="str">
        <f t="shared" si="37"/>
        <v/>
      </c>
      <c r="J798" s="148" t="str">
        <f>IFERROR(SUMIFS(当年实际!$V:$V,当年实际!$H:$H,$B798,当年实际!$C:$C,"&gt;="&amp;DATE(YEAR(主页!$D$2),1,1),当年实际!$C:$C,"&lt;="&amp;EOMONTH(DATE(YEAR(主页!$D$2),MONTH(主页!$D$2),1),0))/SUMIFS(当年实际!$P:$P,当年实际!$H:$H,$B798,当年实际!$C:$C,"&gt;="&amp;DATE(YEAR(主页!$D$2),1,1),当年实际!$C:$C,"&lt;="&amp;EOMONTH(DATE(YEAR(主页!$D$2),MONTH(主页!$D$2),1),0)),"")</f>
        <v/>
      </c>
    </row>
    <row r="799" spans="1:10" x14ac:dyDescent="0.3">
      <c r="A799" s="135"/>
      <c r="B799" s="136"/>
      <c r="C799" s="138"/>
      <c r="D799" s="139"/>
      <c r="E799" s="141" t="str">
        <f t="shared" si="38"/>
        <v/>
      </c>
      <c r="F799" s="144"/>
      <c r="G799" s="146">
        <f t="shared" si="36"/>
        <v>0</v>
      </c>
      <c r="H799" s="141" t="str">
        <f t="shared" si="37"/>
        <v/>
      </c>
      <c r="J799" s="148" t="str">
        <f>IFERROR(SUMIFS(当年实际!$V:$V,当年实际!$H:$H,$B799,当年实际!$C:$C,"&gt;="&amp;DATE(YEAR(主页!$D$2),1,1),当年实际!$C:$C,"&lt;="&amp;EOMONTH(DATE(YEAR(主页!$D$2),MONTH(主页!$D$2),1),0))/SUMIFS(当年实际!$P:$P,当年实际!$H:$H,$B799,当年实际!$C:$C,"&gt;="&amp;DATE(YEAR(主页!$D$2),1,1),当年实际!$C:$C,"&lt;="&amp;EOMONTH(DATE(YEAR(主页!$D$2),MONTH(主页!$D$2),1),0)),"")</f>
        <v/>
      </c>
    </row>
    <row r="800" spans="1:10" x14ac:dyDescent="0.3">
      <c r="A800" s="135"/>
      <c r="B800" s="136"/>
      <c r="C800" s="138"/>
      <c r="D800" s="139"/>
      <c r="E800" s="141" t="str">
        <f t="shared" si="38"/>
        <v/>
      </c>
      <c r="F800" s="144"/>
      <c r="G800" s="146">
        <f t="shared" si="36"/>
        <v>0</v>
      </c>
      <c r="H800" s="141" t="str">
        <f t="shared" si="37"/>
        <v/>
      </c>
      <c r="J800" s="148" t="str">
        <f>IFERROR(SUMIFS(当年实际!$V:$V,当年实际!$H:$H,$B800,当年实际!$C:$C,"&gt;="&amp;DATE(YEAR(主页!$D$2),1,1),当年实际!$C:$C,"&lt;="&amp;EOMONTH(DATE(YEAR(主页!$D$2),MONTH(主页!$D$2),1),0))/SUMIFS(当年实际!$P:$P,当年实际!$H:$H,$B800,当年实际!$C:$C,"&gt;="&amp;DATE(YEAR(主页!$D$2),1,1),当年实际!$C:$C,"&lt;="&amp;EOMONTH(DATE(YEAR(主页!$D$2),MONTH(主页!$D$2),1),0)),"")</f>
        <v/>
      </c>
    </row>
    <row r="801" spans="1:10" x14ac:dyDescent="0.3">
      <c r="A801" s="135"/>
      <c r="B801" s="136"/>
      <c r="C801" s="138"/>
      <c r="D801" s="139"/>
      <c r="E801" s="141" t="str">
        <f t="shared" si="38"/>
        <v/>
      </c>
      <c r="F801" s="144"/>
      <c r="G801" s="146">
        <f t="shared" si="36"/>
        <v>0</v>
      </c>
      <c r="H801" s="141" t="str">
        <f t="shared" si="37"/>
        <v/>
      </c>
      <c r="J801" s="148" t="str">
        <f>IFERROR(SUMIFS(当年实际!$V:$V,当年实际!$H:$H,$B801,当年实际!$C:$C,"&gt;="&amp;DATE(YEAR(主页!$D$2),1,1),当年实际!$C:$C,"&lt;="&amp;EOMONTH(DATE(YEAR(主页!$D$2),MONTH(主页!$D$2),1),0))/SUMIFS(当年实际!$P:$P,当年实际!$H:$H,$B801,当年实际!$C:$C,"&gt;="&amp;DATE(YEAR(主页!$D$2),1,1),当年实际!$C:$C,"&lt;="&amp;EOMONTH(DATE(YEAR(主页!$D$2),MONTH(主页!$D$2),1),0)),"")</f>
        <v/>
      </c>
    </row>
    <row r="802" spans="1:10" x14ac:dyDescent="0.3">
      <c r="A802" s="135"/>
      <c r="B802" s="136"/>
      <c r="C802" s="138"/>
      <c r="D802" s="139"/>
      <c r="E802" s="141" t="str">
        <f t="shared" si="38"/>
        <v/>
      </c>
      <c r="F802" s="144"/>
      <c r="G802" s="146">
        <f t="shared" si="36"/>
        <v>0</v>
      </c>
      <c r="H802" s="141" t="str">
        <f t="shared" si="37"/>
        <v/>
      </c>
      <c r="J802" s="148" t="str">
        <f>IFERROR(SUMIFS(当年实际!$V:$V,当年实际!$H:$H,$B802,当年实际!$C:$C,"&gt;="&amp;DATE(YEAR(主页!$D$2),1,1),当年实际!$C:$C,"&lt;="&amp;EOMONTH(DATE(YEAR(主页!$D$2),MONTH(主页!$D$2),1),0))/SUMIFS(当年实际!$P:$P,当年实际!$H:$H,$B802,当年实际!$C:$C,"&gt;="&amp;DATE(YEAR(主页!$D$2),1,1),当年实际!$C:$C,"&lt;="&amp;EOMONTH(DATE(YEAR(主页!$D$2),MONTH(主页!$D$2),1),0)),"")</f>
        <v/>
      </c>
    </row>
    <row r="803" spans="1:10" x14ac:dyDescent="0.3">
      <c r="A803" s="135"/>
      <c r="B803" s="136"/>
      <c r="C803" s="138"/>
      <c r="D803" s="139"/>
      <c r="E803" s="141" t="str">
        <f t="shared" si="38"/>
        <v/>
      </c>
      <c r="F803" s="144"/>
      <c r="G803" s="146">
        <f t="shared" si="36"/>
        <v>0</v>
      </c>
      <c r="H803" s="141" t="str">
        <f t="shared" si="37"/>
        <v/>
      </c>
      <c r="J803" s="148" t="str">
        <f>IFERROR(SUMIFS(当年实际!$V:$V,当年实际!$H:$H,$B803,当年实际!$C:$C,"&gt;="&amp;DATE(YEAR(主页!$D$2),1,1),当年实际!$C:$C,"&lt;="&amp;EOMONTH(DATE(YEAR(主页!$D$2),MONTH(主页!$D$2),1),0))/SUMIFS(当年实际!$P:$P,当年实际!$H:$H,$B803,当年实际!$C:$C,"&gt;="&amp;DATE(YEAR(主页!$D$2),1,1),当年实际!$C:$C,"&lt;="&amp;EOMONTH(DATE(YEAR(主页!$D$2),MONTH(主页!$D$2),1),0)),"")</f>
        <v/>
      </c>
    </row>
    <row r="804" spans="1:10" x14ac:dyDescent="0.3">
      <c r="A804" s="135"/>
      <c r="B804" s="136"/>
      <c r="C804" s="138"/>
      <c r="D804" s="139"/>
      <c r="E804" s="141" t="str">
        <f t="shared" si="38"/>
        <v/>
      </c>
      <c r="F804" s="144"/>
      <c r="G804" s="146">
        <f t="shared" si="36"/>
        <v>0</v>
      </c>
      <c r="H804" s="141" t="str">
        <f t="shared" si="37"/>
        <v/>
      </c>
      <c r="J804" s="148" t="str">
        <f>IFERROR(SUMIFS(当年实际!$V:$V,当年实际!$H:$H,$B804,当年实际!$C:$C,"&gt;="&amp;DATE(YEAR(主页!$D$2),1,1),当年实际!$C:$C,"&lt;="&amp;EOMONTH(DATE(YEAR(主页!$D$2),MONTH(主页!$D$2),1),0))/SUMIFS(当年实际!$P:$P,当年实际!$H:$H,$B804,当年实际!$C:$C,"&gt;="&amp;DATE(YEAR(主页!$D$2),1,1),当年实际!$C:$C,"&lt;="&amp;EOMONTH(DATE(YEAR(主页!$D$2),MONTH(主页!$D$2),1),0)),"")</f>
        <v/>
      </c>
    </row>
    <row r="805" spans="1:10" x14ac:dyDescent="0.3">
      <c r="A805" s="135"/>
      <c r="B805" s="136"/>
      <c r="C805" s="138"/>
      <c r="D805" s="139"/>
      <c r="E805" s="141" t="str">
        <f t="shared" si="38"/>
        <v/>
      </c>
      <c r="F805" s="144"/>
      <c r="G805" s="146">
        <f t="shared" si="36"/>
        <v>0</v>
      </c>
      <c r="H805" s="141" t="str">
        <f t="shared" si="37"/>
        <v/>
      </c>
      <c r="J805" s="148" t="str">
        <f>IFERROR(SUMIFS(当年实际!$V:$V,当年实际!$H:$H,$B805,当年实际!$C:$C,"&gt;="&amp;DATE(YEAR(主页!$D$2),1,1),当年实际!$C:$C,"&lt;="&amp;EOMONTH(DATE(YEAR(主页!$D$2),MONTH(主页!$D$2),1),0))/SUMIFS(当年实际!$P:$P,当年实际!$H:$H,$B805,当年实际!$C:$C,"&gt;="&amp;DATE(YEAR(主页!$D$2),1,1),当年实际!$C:$C,"&lt;="&amp;EOMONTH(DATE(YEAR(主页!$D$2),MONTH(主页!$D$2),1),0)),"")</f>
        <v/>
      </c>
    </row>
    <row r="806" spans="1:10" x14ac:dyDescent="0.3">
      <c r="A806" s="135"/>
      <c r="B806" s="136"/>
      <c r="C806" s="138"/>
      <c r="D806" s="139"/>
      <c r="E806" s="141" t="str">
        <f t="shared" si="38"/>
        <v/>
      </c>
      <c r="F806" s="144"/>
      <c r="G806" s="146">
        <f t="shared" si="36"/>
        <v>0</v>
      </c>
      <c r="H806" s="141" t="str">
        <f t="shared" si="37"/>
        <v/>
      </c>
      <c r="J806" s="148" t="str">
        <f>IFERROR(SUMIFS(当年实际!$V:$V,当年实际!$H:$H,$B806,当年实际!$C:$C,"&gt;="&amp;DATE(YEAR(主页!$D$2),1,1),当年实际!$C:$C,"&lt;="&amp;EOMONTH(DATE(YEAR(主页!$D$2),MONTH(主页!$D$2),1),0))/SUMIFS(当年实际!$P:$P,当年实际!$H:$H,$B806,当年实际!$C:$C,"&gt;="&amp;DATE(YEAR(主页!$D$2),1,1),当年实际!$C:$C,"&lt;="&amp;EOMONTH(DATE(YEAR(主页!$D$2),MONTH(主页!$D$2),1),0)),"")</f>
        <v/>
      </c>
    </row>
    <row r="807" spans="1:10" x14ac:dyDescent="0.3">
      <c r="A807" s="135"/>
      <c r="B807" s="136"/>
      <c r="C807" s="138"/>
      <c r="D807" s="139"/>
      <c r="E807" s="141" t="str">
        <f t="shared" si="38"/>
        <v/>
      </c>
      <c r="F807" s="144"/>
      <c r="G807" s="146">
        <f t="shared" si="36"/>
        <v>0</v>
      </c>
      <c r="H807" s="141" t="str">
        <f t="shared" si="37"/>
        <v/>
      </c>
      <c r="J807" s="148" t="str">
        <f>IFERROR(SUMIFS(当年实际!$V:$V,当年实际!$H:$H,$B807,当年实际!$C:$C,"&gt;="&amp;DATE(YEAR(主页!$D$2),1,1),当年实际!$C:$C,"&lt;="&amp;EOMONTH(DATE(YEAR(主页!$D$2),MONTH(主页!$D$2),1),0))/SUMIFS(当年实际!$P:$P,当年实际!$H:$H,$B807,当年实际!$C:$C,"&gt;="&amp;DATE(YEAR(主页!$D$2),1,1),当年实际!$C:$C,"&lt;="&amp;EOMONTH(DATE(YEAR(主页!$D$2),MONTH(主页!$D$2),1),0)),"")</f>
        <v/>
      </c>
    </row>
    <row r="808" spans="1:10" x14ac:dyDescent="0.3">
      <c r="A808" s="135"/>
      <c r="B808" s="136"/>
      <c r="C808" s="138"/>
      <c r="D808" s="139"/>
      <c r="E808" s="141" t="str">
        <f t="shared" si="38"/>
        <v/>
      </c>
      <c r="F808" s="144"/>
      <c r="G808" s="146">
        <f t="shared" si="36"/>
        <v>0</v>
      </c>
      <c r="H808" s="141" t="str">
        <f t="shared" si="37"/>
        <v/>
      </c>
      <c r="J808" s="148" t="str">
        <f>IFERROR(SUMIFS(当年实际!$V:$V,当年实际!$H:$H,$B808,当年实际!$C:$C,"&gt;="&amp;DATE(YEAR(主页!$D$2),1,1),当年实际!$C:$C,"&lt;="&amp;EOMONTH(DATE(YEAR(主页!$D$2),MONTH(主页!$D$2),1),0))/SUMIFS(当年实际!$P:$P,当年实际!$H:$H,$B808,当年实际!$C:$C,"&gt;="&amp;DATE(YEAR(主页!$D$2),1,1),当年实际!$C:$C,"&lt;="&amp;EOMONTH(DATE(YEAR(主页!$D$2),MONTH(主页!$D$2),1),0)),"")</f>
        <v/>
      </c>
    </row>
    <row r="809" spans="1:10" x14ac:dyDescent="0.3">
      <c r="A809" s="135"/>
      <c r="B809" s="136"/>
      <c r="C809" s="138"/>
      <c r="D809" s="139"/>
      <c r="E809" s="141" t="str">
        <f t="shared" si="38"/>
        <v/>
      </c>
      <c r="F809" s="144"/>
      <c r="G809" s="146">
        <f t="shared" si="36"/>
        <v>0</v>
      </c>
      <c r="H809" s="141" t="str">
        <f t="shared" si="37"/>
        <v/>
      </c>
      <c r="J809" s="148" t="str">
        <f>IFERROR(SUMIFS(当年实际!$V:$V,当年实际!$H:$H,$B809,当年实际!$C:$C,"&gt;="&amp;DATE(YEAR(主页!$D$2),1,1),当年实际!$C:$C,"&lt;="&amp;EOMONTH(DATE(YEAR(主页!$D$2),MONTH(主页!$D$2),1),0))/SUMIFS(当年实际!$P:$P,当年实际!$H:$H,$B809,当年实际!$C:$C,"&gt;="&amp;DATE(YEAR(主页!$D$2),1,1),当年实际!$C:$C,"&lt;="&amp;EOMONTH(DATE(YEAR(主页!$D$2),MONTH(主页!$D$2),1),0)),"")</f>
        <v/>
      </c>
    </row>
    <row r="810" spans="1:10" x14ac:dyDescent="0.3">
      <c r="A810" s="135"/>
      <c r="B810" s="136"/>
      <c r="C810" s="138"/>
      <c r="D810" s="139"/>
      <c r="E810" s="141" t="str">
        <f t="shared" si="38"/>
        <v/>
      </c>
      <c r="F810" s="144"/>
      <c r="G810" s="146">
        <f t="shared" si="36"/>
        <v>0</v>
      </c>
      <c r="H810" s="141" t="str">
        <f t="shared" si="37"/>
        <v/>
      </c>
      <c r="J810" s="148" t="str">
        <f>IFERROR(SUMIFS(当年实际!$V:$V,当年实际!$H:$H,$B810,当年实际!$C:$C,"&gt;="&amp;DATE(YEAR(主页!$D$2),1,1),当年实际!$C:$C,"&lt;="&amp;EOMONTH(DATE(YEAR(主页!$D$2),MONTH(主页!$D$2),1),0))/SUMIFS(当年实际!$P:$P,当年实际!$H:$H,$B810,当年实际!$C:$C,"&gt;="&amp;DATE(YEAR(主页!$D$2),1,1),当年实际!$C:$C,"&lt;="&amp;EOMONTH(DATE(YEAR(主页!$D$2),MONTH(主页!$D$2),1),0)),"")</f>
        <v/>
      </c>
    </row>
    <row r="811" spans="1:10" x14ac:dyDescent="0.3">
      <c r="A811" s="135"/>
      <c r="B811" s="136"/>
      <c r="C811" s="138"/>
      <c r="D811" s="139"/>
      <c r="E811" s="141" t="str">
        <f t="shared" si="38"/>
        <v/>
      </c>
      <c r="F811" s="144"/>
      <c r="G811" s="146">
        <f t="shared" si="36"/>
        <v>0</v>
      </c>
      <c r="H811" s="141" t="str">
        <f t="shared" si="37"/>
        <v/>
      </c>
      <c r="J811" s="148" t="str">
        <f>IFERROR(SUMIFS(当年实际!$V:$V,当年实际!$H:$H,$B811,当年实际!$C:$C,"&gt;="&amp;DATE(YEAR(主页!$D$2),1,1),当年实际!$C:$C,"&lt;="&amp;EOMONTH(DATE(YEAR(主页!$D$2),MONTH(主页!$D$2),1),0))/SUMIFS(当年实际!$P:$P,当年实际!$H:$H,$B811,当年实际!$C:$C,"&gt;="&amp;DATE(YEAR(主页!$D$2),1,1),当年实际!$C:$C,"&lt;="&amp;EOMONTH(DATE(YEAR(主页!$D$2),MONTH(主页!$D$2),1),0)),"")</f>
        <v/>
      </c>
    </row>
    <row r="812" spans="1:10" x14ac:dyDescent="0.3">
      <c r="A812" s="135"/>
      <c r="B812" s="136"/>
      <c r="C812" s="138"/>
      <c r="D812" s="139"/>
      <c r="E812" s="141" t="str">
        <f t="shared" si="38"/>
        <v/>
      </c>
      <c r="F812" s="144"/>
      <c r="G812" s="146">
        <f t="shared" si="36"/>
        <v>0</v>
      </c>
      <c r="H812" s="141" t="str">
        <f t="shared" si="37"/>
        <v/>
      </c>
      <c r="J812" s="148" t="str">
        <f>IFERROR(SUMIFS(当年实际!$V:$V,当年实际!$H:$H,$B812,当年实际!$C:$C,"&gt;="&amp;DATE(YEAR(主页!$D$2),1,1),当年实际!$C:$C,"&lt;="&amp;EOMONTH(DATE(YEAR(主页!$D$2),MONTH(主页!$D$2),1),0))/SUMIFS(当年实际!$P:$P,当年实际!$H:$H,$B812,当年实际!$C:$C,"&gt;="&amp;DATE(YEAR(主页!$D$2),1,1),当年实际!$C:$C,"&lt;="&amp;EOMONTH(DATE(YEAR(主页!$D$2),MONTH(主页!$D$2),1),0)),"")</f>
        <v/>
      </c>
    </row>
    <row r="813" spans="1:10" x14ac:dyDescent="0.3">
      <c r="A813" s="135"/>
      <c r="B813" s="136"/>
      <c r="C813" s="138"/>
      <c r="D813" s="139"/>
      <c r="E813" s="141" t="str">
        <f t="shared" si="38"/>
        <v/>
      </c>
      <c r="F813" s="144"/>
      <c r="G813" s="146">
        <f t="shared" si="36"/>
        <v>0</v>
      </c>
      <c r="H813" s="141" t="str">
        <f t="shared" si="37"/>
        <v/>
      </c>
      <c r="J813" s="148" t="str">
        <f>IFERROR(SUMIFS(当年实际!$V:$V,当年实际!$H:$H,$B813,当年实际!$C:$C,"&gt;="&amp;DATE(YEAR(主页!$D$2),1,1),当年实际!$C:$C,"&lt;="&amp;EOMONTH(DATE(YEAR(主页!$D$2),MONTH(主页!$D$2),1),0))/SUMIFS(当年实际!$P:$P,当年实际!$H:$H,$B813,当年实际!$C:$C,"&gt;="&amp;DATE(YEAR(主页!$D$2),1,1),当年实际!$C:$C,"&lt;="&amp;EOMONTH(DATE(YEAR(主页!$D$2),MONTH(主页!$D$2),1),0)),"")</f>
        <v/>
      </c>
    </row>
    <row r="814" spans="1:10" x14ac:dyDescent="0.3">
      <c r="A814" s="135"/>
      <c r="B814" s="136"/>
      <c r="C814" s="138"/>
      <c r="D814" s="139"/>
      <c r="E814" s="141" t="str">
        <f t="shared" si="38"/>
        <v/>
      </c>
      <c r="F814" s="144"/>
      <c r="G814" s="146">
        <f t="shared" si="36"/>
        <v>0</v>
      </c>
      <c r="H814" s="141" t="str">
        <f t="shared" si="37"/>
        <v/>
      </c>
      <c r="J814" s="148" t="str">
        <f>IFERROR(SUMIFS(当年实际!$V:$V,当年实际!$H:$H,$B814,当年实际!$C:$C,"&gt;="&amp;DATE(YEAR(主页!$D$2),1,1),当年实际!$C:$C,"&lt;="&amp;EOMONTH(DATE(YEAR(主页!$D$2),MONTH(主页!$D$2),1),0))/SUMIFS(当年实际!$P:$P,当年实际!$H:$H,$B814,当年实际!$C:$C,"&gt;="&amp;DATE(YEAR(主页!$D$2),1,1),当年实际!$C:$C,"&lt;="&amp;EOMONTH(DATE(YEAR(主页!$D$2),MONTH(主页!$D$2),1),0)),"")</f>
        <v/>
      </c>
    </row>
    <row r="815" spans="1:10" x14ac:dyDescent="0.3">
      <c r="A815" s="135"/>
      <c r="B815" s="136"/>
      <c r="C815" s="138"/>
      <c r="D815" s="139"/>
      <c r="E815" s="141" t="str">
        <f t="shared" si="38"/>
        <v/>
      </c>
      <c r="F815" s="144"/>
      <c r="G815" s="146">
        <f t="shared" si="36"/>
        <v>0</v>
      </c>
      <c r="H815" s="141" t="str">
        <f t="shared" si="37"/>
        <v/>
      </c>
      <c r="J815" s="148" t="str">
        <f>IFERROR(SUMIFS(当年实际!$V:$V,当年实际!$H:$H,$B815,当年实际!$C:$C,"&gt;="&amp;DATE(YEAR(主页!$D$2),1,1),当年实际!$C:$C,"&lt;="&amp;EOMONTH(DATE(YEAR(主页!$D$2),MONTH(主页!$D$2),1),0))/SUMIFS(当年实际!$P:$P,当年实际!$H:$H,$B815,当年实际!$C:$C,"&gt;="&amp;DATE(YEAR(主页!$D$2),1,1),当年实际!$C:$C,"&lt;="&amp;EOMONTH(DATE(YEAR(主页!$D$2),MONTH(主页!$D$2),1),0)),"")</f>
        <v/>
      </c>
    </row>
    <row r="816" spans="1:10" x14ac:dyDescent="0.3">
      <c r="A816" s="135"/>
      <c r="B816" s="136"/>
      <c r="C816" s="138"/>
      <c r="D816" s="139"/>
      <c r="E816" s="141" t="str">
        <f t="shared" si="38"/>
        <v/>
      </c>
      <c r="F816" s="144"/>
      <c r="G816" s="146">
        <f t="shared" si="36"/>
        <v>0</v>
      </c>
      <c r="H816" s="141" t="str">
        <f t="shared" si="37"/>
        <v/>
      </c>
      <c r="J816" s="148" t="str">
        <f>IFERROR(SUMIFS(当年实际!$V:$V,当年实际!$H:$H,$B816,当年实际!$C:$C,"&gt;="&amp;DATE(YEAR(主页!$D$2),1,1),当年实际!$C:$C,"&lt;="&amp;EOMONTH(DATE(YEAR(主页!$D$2),MONTH(主页!$D$2),1),0))/SUMIFS(当年实际!$P:$P,当年实际!$H:$H,$B816,当年实际!$C:$C,"&gt;="&amp;DATE(YEAR(主页!$D$2),1,1),当年实际!$C:$C,"&lt;="&amp;EOMONTH(DATE(YEAR(主页!$D$2),MONTH(主页!$D$2),1),0)),"")</f>
        <v/>
      </c>
    </row>
    <row r="817" spans="1:10" x14ac:dyDescent="0.3">
      <c r="A817" s="135"/>
      <c r="B817" s="136"/>
      <c r="C817" s="138"/>
      <c r="D817" s="139"/>
      <c r="E817" s="141" t="str">
        <f t="shared" si="38"/>
        <v/>
      </c>
      <c r="F817" s="144"/>
      <c r="G817" s="146">
        <f t="shared" si="36"/>
        <v>0</v>
      </c>
      <c r="H817" s="141" t="str">
        <f t="shared" si="37"/>
        <v/>
      </c>
      <c r="J817" s="148" t="str">
        <f>IFERROR(SUMIFS(当年实际!$V:$V,当年实际!$H:$H,$B817,当年实际!$C:$C,"&gt;="&amp;DATE(YEAR(主页!$D$2),1,1),当年实际!$C:$C,"&lt;="&amp;EOMONTH(DATE(YEAR(主页!$D$2),MONTH(主页!$D$2),1),0))/SUMIFS(当年实际!$P:$P,当年实际!$H:$H,$B817,当年实际!$C:$C,"&gt;="&amp;DATE(YEAR(主页!$D$2),1,1),当年实际!$C:$C,"&lt;="&amp;EOMONTH(DATE(YEAR(主页!$D$2),MONTH(主页!$D$2),1),0)),"")</f>
        <v/>
      </c>
    </row>
    <row r="818" spans="1:10" x14ac:dyDescent="0.3">
      <c r="A818" s="135"/>
      <c r="B818" s="136"/>
      <c r="C818" s="138"/>
      <c r="D818" s="139"/>
      <c r="E818" s="141" t="str">
        <f t="shared" si="38"/>
        <v/>
      </c>
      <c r="F818" s="144"/>
      <c r="G818" s="146">
        <f t="shared" si="36"/>
        <v>0</v>
      </c>
      <c r="H818" s="141" t="str">
        <f t="shared" si="37"/>
        <v/>
      </c>
      <c r="J818" s="148" t="str">
        <f>IFERROR(SUMIFS(当年实际!$V:$V,当年实际!$H:$H,$B818,当年实际!$C:$C,"&gt;="&amp;DATE(YEAR(主页!$D$2),1,1),当年实际!$C:$C,"&lt;="&amp;EOMONTH(DATE(YEAR(主页!$D$2),MONTH(主页!$D$2),1),0))/SUMIFS(当年实际!$P:$P,当年实际!$H:$H,$B818,当年实际!$C:$C,"&gt;="&amp;DATE(YEAR(主页!$D$2),1,1),当年实际!$C:$C,"&lt;="&amp;EOMONTH(DATE(YEAR(主页!$D$2),MONTH(主页!$D$2),1),0)),"")</f>
        <v/>
      </c>
    </row>
    <row r="819" spans="1:10" x14ac:dyDescent="0.3">
      <c r="A819" s="135"/>
      <c r="B819" s="136"/>
      <c r="C819" s="138"/>
      <c r="D819" s="139"/>
      <c r="E819" s="141" t="str">
        <f t="shared" si="38"/>
        <v/>
      </c>
      <c r="F819" s="144"/>
      <c r="G819" s="146">
        <f t="shared" si="36"/>
        <v>0</v>
      </c>
      <c r="H819" s="141" t="str">
        <f t="shared" si="37"/>
        <v/>
      </c>
      <c r="J819" s="148" t="str">
        <f>IFERROR(SUMIFS(当年实际!$V:$V,当年实际!$H:$H,$B819,当年实际!$C:$C,"&gt;="&amp;DATE(YEAR(主页!$D$2),1,1),当年实际!$C:$C,"&lt;="&amp;EOMONTH(DATE(YEAR(主页!$D$2),MONTH(主页!$D$2),1),0))/SUMIFS(当年实际!$P:$P,当年实际!$H:$H,$B819,当年实际!$C:$C,"&gt;="&amp;DATE(YEAR(主页!$D$2),1,1),当年实际!$C:$C,"&lt;="&amp;EOMONTH(DATE(YEAR(主页!$D$2),MONTH(主页!$D$2),1),0)),"")</f>
        <v/>
      </c>
    </row>
    <row r="820" spans="1:10" x14ac:dyDescent="0.3">
      <c r="A820" s="135"/>
      <c r="B820" s="136"/>
      <c r="C820" s="138"/>
      <c r="D820" s="139"/>
      <c r="E820" s="141" t="str">
        <f t="shared" si="38"/>
        <v/>
      </c>
      <c r="F820" s="144"/>
      <c r="G820" s="146">
        <f t="shared" si="36"/>
        <v>0</v>
      </c>
      <c r="H820" s="141" t="str">
        <f t="shared" si="37"/>
        <v/>
      </c>
      <c r="J820" s="148" t="str">
        <f>IFERROR(SUMIFS(当年实际!$V:$V,当年实际!$H:$H,$B820,当年实际!$C:$C,"&gt;="&amp;DATE(YEAR(主页!$D$2),1,1),当年实际!$C:$C,"&lt;="&amp;EOMONTH(DATE(YEAR(主页!$D$2),MONTH(主页!$D$2),1),0))/SUMIFS(当年实际!$P:$P,当年实际!$H:$H,$B820,当年实际!$C:$C,"&gt;="&amp;DATE(YEAR(主页!$D$2),1,1),当年实际!$C:$C,"&lt;="&amp;EOMONTH(DATE(YEAR(主页!$D$2),MONTH(主页!$D$2),1),0)),"")</f>
        <v/>
      </c>
    </row>
    <row r="821" spans="1:10" x14ac:dyDescent="0.3">
      <c r="A821" s="135"/>
      <c r="B821" s="136"/>
      <c r="C821" s="138"/>
      <c r="D821" s="139"/>
      <c r="E821" s="141" t="str">
        <f t="shared" si="38"/>
        <v/>
      </c>
      <c r="F821" s="144"/>
      <c r="G821" s="146">
        <f t="shared" si="36"/>
        <v>0</v>
      </c>
      <c r="H821" s="141" t="str">
        <f t="shared" si="37"/>
        <v/>
      </c>
      <c r="J821" s="148" t="str">
        <f>IFERROR(SUMIFS(当年实际!$V:$V,当年实际!$H:$H,$B821,当年实际!$C:$C,"&gt;="&amp;DATE(YEAR(主页!$D$2),1,1),当年实际!$C:$C,"&lt;="&amp;EOMONTH(DATE(YEAR(主页!$D$2),MONTH(主页!$D$2),1),0))/SUMIFS(当年实际!$P:$P,当年实际!$H:$H,$B821,当年实际!$C:$C,"&gt;="&amp;DATE(YEAR(主页!$D$2),1,1),当年实际!$C:$C,"&lt;="&amp;EOMONTH(DATE(YEAR(主页!$D$2),MONTH(主页!$D$2),1),0)),"")</f>
        <v/>
      </c>
    </row>
    <row r="822" spans="1:10" x14ac:dyDescent="0.3">
      <c r="A822" s="135"/>
      <c r="B822" s="136"/>
      <c r="C822" s="138"/>
      <c r="D822" s="139"/>
      <c r="E822" s="141" t="str">
        <f t="shared" si="38"/>
        <v/>
      </c>
      <c r="F822" s="144"/>
      <c r="G822" s="146">
        <f t="shared" si="36"/>
        <v>0</v>
      </c>
      <c r="H822" s="141" t="str">
        <f t="shared" si="37"/>
        <v/>
      </c>
      <c r="J822" s="148" t="str">
        <f>IFERROR(SUMIFS(当年实际!$V:$V,当年实际!$H:$H,$B822,当年实际!$C:$C,"&gt;="&amp;DATE(YEAR(主页!$D$2),1,1),当年实际!$C:$C,"&lt;="&amp;EOMONTH(DATE(YEAR(主页!$D$2),MONTH(主页!$D$2),1),0))/SUMIFS(当年实际!$P:$P,当年实际!$H:$H,$B822,当年实际!$C:$C,"&gt;="&amp;DATE(YEAR(主页!$D$2),1,1),当年实际!$C:$C,"&lt;="&amp;EOMONTH(DATE(YEAR(主页!$D$2),MONTH(主页!$D$2),1),0)),"")</f>
        <v/>
      </c>
    </row>
    <row r="823" spans="1:10" x14ac:dyDescent="0.3">
      <c r="A823" s="135"/>
      <c r="B823" s="136"/>
      <c r="C823" s="138"/>
      <c r="D823" s="139"/>
      <c r="E823" s="141" t="str">
        <f t="shared" si="38"/>
        <v/>
      </c>
      <c r="F823" s="144"/>
      <c r="G823" s="146">
        <f t="shared" si="36"/>
        <v>0</v>
      </c>
      <c r="H823" s="141" t="str">
        <f t="shared" si="37"/>
        <v/>
      </c>
      <c r="J823" s="148" t="str">
        <f>IFERROR(SUMIFS(当年实际!$V:$V,当年实际!$H:$H,$B823,当年实际!$C:$C,"&gt;="&amp;DATE(YEAR(主页!$D$2),1,1),当年实际!$C:$C,"&lt;="&amp;EOMONTH(DATE(YEAR(主页!$D$2),MONTH(主页!$D$2),1),0))/SUMIFS(当年实际!$P:$P,当年实际!$H:$H,$B823,当年实际!$C:$C,"&gt;="&amp;DATE(YEAR(主页!$D$2),1,1),当年实际!$C:$C,"&lt;="&amp;EOMONTH(DATE(YEAR(主页!$D$2),MONTH(主页!$D$2),1),0)),"")</f>
        <v/>
      </c>
    </row>
    <row r="824" spans="1:10" x14ac:dyDescent="0.3">
      <c r="A824" s="135"/>
      <c r="B824" s="136"/>
      <c r="C824" s="138"/>
      <c r="D824" s="139"/>
      <c r="E824" s="141" t="str">
        <f t="shared" si="38"/>
        <v/>
      </c>
      <c r="F824" s="144"/>
      <c r="G824" s="146">
        <f t="shared" si="36"/>
        <v>0</v>
      </c>
      <c r="H824" s="141" t="str">
        <f t="shared" si="37"/>
        <v/>
      </c>
      <c r="J824" s="148" t="str">
        <f>IFERROR(SUMIFS(当年实际!$V:$V,当年实际!$H:$H,$B824,当年实际!$C:$C,"&gt;="&amp;DATE(YEAR(主页!$D$2),1,1),当年实际!$C:$C,"&lt;="&amp;EOMONTH(DATE(YEAR(主页!$D$2),MONTH(主页!$D$2),1),0))/SUMIFS(当年实际!$P:$P,当年实际!$H:$H,$B824,当年实际!$C:$C,"&gt;="&amp;DATE(YEAR(主页!$D$2),1,1),当年实际!$C:$C,"&lt;="&amp;EOMONTH(DATE(YEAR(主页!$D$2),MONTH(主页!$D$2),1),0)),"")</f>
        <v/>
      </c>
    </row>
    <row r="825" spans="1:10" x14ac:dyDescent="0.3">
      <c r="A825" s="135"/>
      <c r="B825" s="136"/>
      <c r="C825" s="138"/>
      <c r="D825" s="139"/>
      <c r="E825" s="141" t="str">
        <f t="shared" si="38"/>
        <v/>
      </c>
      <c r="F825" s="144"/>
      <c r="G825" s="146">
        <f t="shared" si="36"/>
        <v>0</v>
      </c>
      <c r="H825" s="141" t="str">
        <f t="shared" si="37"/>
        <v/>
      </c>
      <c r="J825" s="148" t="str">
        <f>IFERROR(SUMIFS(当年实际!$V:$V,当年实际!$H:$H,$B825,当年实际!$C:$C,"&gt;="&amp;DATE(YEAR(主页!$D$2),1,1),当年实际!$C:$C,"&lt;="&amp;EOMONTH(DATE(YEAR(主页!$D$2),MONTH(主页!$D$2),1),0))/SUMIFS(当年实际!$P:$P,当年实际!$H:$H,$B825,当年实际!$C:$C,"&gt;="&amp;DATE(YEAR(主页!$D$2),1,1),当年实际!$C:$C,"&lt;="&amp;EOMONTH(DATE(YEAR(主页!$D$2),MONTH(主页!$D$2),1),0)),"")</f>
        <v/>
      </c>
    </row>
    <row r="826" spans="1:10" x14ac:dyDescent="0.3">
      <c r="A826" s="135"/>
      <c r="B826" s="136"/>
      <c r="C826" s="138"/>
      <c r="D826" s="139"/>
      <c r="E826" s="141" t="str">
        <f t="shared" si="38"/>
        <v/>
      </c>
      <c r="F826" s="144"/>
      <c r="G826" s="146">
        <f t="shared" si="36"/>
        <v>0</v>
      </c>
      <c r="H826" s="141" t="str">
        <f t="shared" si="37"/>
        <v/>
      </c>
      <c r="J826" s="148" t="str">
        <f>IFERROR(SUMIFS(当年实际!$V:$V,当年实际!$H:$H,$B826,当年实际!$C:$C,"&gt;="&amp;DATE(YEAR(主页!$D$2),1,1),当年实际!$C:$C,"&lt;="&amp;EOMONTH(DATE(YEAR(主页!$D$2),MONTH(主页!$D$2),1),0))/SUMIFS(当年实际!$P:$P,当年实际!$H:$H,$B826,当年实际!$C:$C,"&gt;="&amp;DATE(YEAR(主页!$D$2),1,1),当年实际!$C:$C,"&lt;="&amp;EOMONTH(DATE(YEAR(主页!$D$2),MONTH(主页!$D$2),1),0)),"")</f>
        <v/>
      </c>
    </row>
    <row r="827" spans="1:10" x14ac:dyDescent="0.3">
      <c r="A827" s="135"/>
      <c r="B827" s="136"/>
      <c r="C827" s="138"/>
      <c r="D827" s="139"/>
      <c r="E827" s="141" t="str">
        <f t="shared" si="38"/>
        <v/>
      </c>
      <c r="F827" s="144"/>
      <c r="G827" s="146">
        <f t="shared" si="36"/>
        <v>0</v>
      </c>
      <c r="H827" s="141" t="str">
        <f t="shared" si="37"/>
        <v/>
      </c>
      <c r="J827" s="148" t="str">
        <f>IFERROR(SUMIFS(当年实际!$V:$V,当年实际!$H:$H,$B827,当年实际!$C:$C,"&gt;="&amp;DATE(YEAR(主页!$D$2),1,1),当年实际!$C:$C,"&lt;="&amp;EOMONTH(DATE(YEAR(主页!$D$2),MONTH(主页!$D$2),1),0))/SUMIFS(当年实际!$P:$P,当年实际!$H:$H,$B827,当年实际!$C:$C,"&gt;="&amp;DATE(YEAR(主页!$D$2),1,1),当年实际!$C:$C,"&lt;="&amp;EOMONTH(DATE(YEAR(主页!$D$2),MONTH(主页!$D$2),1),0)),"")</f>
        <v/>
      </c>
    </row>
    <row r="828" spans="1:10" x14ac:dyDescent="0.3">
      <c r="A828" s="135"/>
      <c r="B828" s="136"/>
      <c r="C828" s="138"/>
      <c r="D828" s="139"/>
      <c r="E828" s="141" t="str">
        <f t="shared" si="38"/>
        <v/>
      </c>
      <c r="F828" s="144"/>
      <c r="G828" s="146">
        <f t="shared" si="36"/>
        <v>0</v>
      </c>
      <c r="H828" s="141" t="str">
        <f t="shared" si="37"/>
        <v/>
      </c>
      <c r="J828" s="148" t="str">
        <f>IFERROR(SUMIFS(当年实际!$V:$V,当年实际!$H:$H,$B828,当年实际!$C:$C,"&gt;="&amp;DATE(YEAR(主页!$D$2),1,1),当年实际!$C:$C,"&lt;="&amp;EOMONTH(DATE(YEAR(主页!$D$2),MONTH(主页!$D$2),1),0))/SUMIFS(当年实际!$P:$P,当年实际!$H:$H,$B828,当年实际!$C:$C,"&gt;="&amp;DATE(YEAR(主页!$D$2),1,1),当年实际!$C:$C,"&lt;="&amp;EOMONTH(DATE(YEAR(主页!$D$2),MONTH(主页!$D$2),1),0)),"")</f>
        <v/>
      </c>
    </row>
    <row r="829" spans="1:10" x14ac:dyDescent="0.3">
      <c r="A829" s="135"/>
      <c r="B829" s="136"/>
      <c r="C829" s="138"/>
      <c r="D829" s="139"/>
      <c r="E829" s="141" t="str">
        <f t="shared" si="38"/>
        <v/>
      </c>
      <c r="F829" s="144"/>
      <c r="G829" s="146">
        <f t="shared" si="36"/>
        <v>0</v>
      </c>
      <c r="H829" s="141" t="str">
        <f t="shared" si="37"/>
        <v/>
      </c>
      <c r="J829" s="148" t="str">
        <f>IFERROR(SUMIFS(当年实际!$V:$V,当年实际!$H:$H,$B829,当年实际!$C:$C,"&gt;="&amp;DATE(YEAR(主页!$D$2),1,1),当年实际!$C:$C,"&lt;="&amp;EOMONTH(DATE(YEAR(主页!$D$2),MONTH(主页!$D$2),1),0))/SUMIFS(当年实际!$P:$P,当年实际!$H:$H,$B829,当年实际!$C:$C,"&gt;="&amp;DATE(YEAR(主页!$D$2),1,1),当年实际!$C:$C,"&lt;="&amp;EOMONTH(DATE(YEAR(主页!$D$2),MONTH(主页!$D$2),1),0)),"")</f>
        <v/>
      </c>
    </row>
    <row r="830" spans="1:10" x14ac:dyDescent="0.3">
      <c r="A830" s="135"/>
      <c r="B830" s="136"/>
      <c r="C830" s="138"/>
      <c r="D830" s="139"/>
      <c r="E830" s="141" t="str">
        <f t="shared" si="38"/>
        <v/>
      </c>
      <c r="F830" s="144"/>
      <c r="G830" s="146">
        <f t="shared" si="36"/>
        <v>0</v>
      </c>
      <c r="H830" s="141" t="str">
        <f t="shared" si="37"/>
        <v/>
      </c>
      <c r="J830" s="148" t="str">
        <f>IFERROR(SUMIFS(当年实际!$V:$V,当年实际!$H:$H,$B830,当年实际!$C:$C,"&gt;="&amp;DATE(YEAR(主页!$D$2),1,1),当年实际!$C:$C,"&lt;="&amp;EOMONTH(DATE(YEAR(主页!$D$2),MONTH(主页!$D$2),1),0))/SUMIFS(当年实际!$P:$P,当年实际!$H:$H,$B830,当年实际!$C:$C,"&gt;="&amp;DATE(YEAR(主页!$D$2),1,1),当年实际!$C:$C,"&lt;="&amp;EOMONTH(DATE(YEAR(主页!$D$2),MONTH(主页!$D$2),1),0)),"")</f>
        <v/>
      </c>
    </row>
    <row r="831" spans="1:10" x14ac:dyDescent="0.3">
      <c r="A831" s="135"/>
      <c r="B831" s="136"/>
      <c r="C831" s="138"/>
      <c r="D831" s="139"/>
      <c r="E831" s="141" t="str">
        <f t="shared" si="38"/>
        <v/>
      </c>
      <c r="F831" s="144"/>
      <c r="G831" s="146">
        <f t="shared" si="36"/>
        <v>0</v>
      </c>
      <c r="H831" s="141" t="str">
        <f t="shared" si="37"/>
        <v/>
      </c>
      <c r="J831" s="148" t="str">
        <f>IFERROR(SUMIFS(当年实际!$V:$V,当年实际!$H:$H,$B831,当年实际!$C:$C,"&gt;="&amp;DATE(YEAR(主页!$D$2),1,1),当年实际!$C:$C,"&lt;="&amp;EOMONTH(DATE(YEAR(主页!$D$2),MONTH(主页!$D$2),1),0))/SUMIFS(当年实际!$P:$P,当年实际!$H:$H,$B831,当年实际!$C:$C,"&gt;="&amp;DATE(YEAR(主页!$D$2),1,1),当年实际!$C:$C,"&lt;="&amp;EOMONTH(DATE(YEAR(主页!$D$2),MONTH(主页!$D$2),1),0)),"")</f>
        <v/>
      </c>
    </row>
    <row r="832" spans="1:10" x14ac:dyDescent="0.3">
      <c r="A832" s="135"/>
      <c r="B832" s="136"/>
      <c r="C832" s="138"/>
      <c r="D832" s="139"/>
      <c r="E832" s="141" t="str">
        <f t="shared" si="38"/>
        <v/>
      </c>
      <c r="F832" s="144"/>
      <c r="G832" s="146">
        <f t="shared" si="36"/>
        <v>0</v>
      </c>
      <c r="H832" s="141" t="str">
        <f t="shared" si="37"/>
        <v/>
      </c>
      <c r="J832" s="148" t="str">
        <f>IFERROR(SUMIFS(当年实际!$V:$V,当年实际!$H:$H,$B832,当年实际!$C:$C,"&gt;="&amp;DATE(YEAR(主页!$D$2),1,1),当年实际!$C:$C,"&lt;="&amp;EOMONTH(DATE(YEAR(主页!$D$2),MONTH(主页!$D$2),1),0))/SUMIFS(当年实际!$P:$P,当年实际!$H:$H,$B832,当年实际!$C:$C,"&gt;="&amp;DATE(YEAR(主页!$D$2),1,1),当年实际!$C:$C,"&lt;="&amp;EOMONTH(DATE(YEAR(主页!$D$2),MONTH(主页!$D$2),1),0)),"")</f>
        <v/>
      </c>
    </row>
    <row r="833" spans="1:10" x14ac:dyDescent="0.3">
      <c r="A833" s="135"/>
      <c r="B833" s="136"/>
      <c r="C833" s="138"/>
      <c r="D833" s="139"/>
      <c r="E833" s="141" t="str">
        <f t="shared" si="38"/>
        <v/>
      </c>
      <c r="F833" s="144"/>
      <c r="G833" s="146">
        <f t="shared" si="36"/>
        <v>0</v>
      </c>
      <c r="H833" s="141" t="str">
        <f t="shared" si="37"/>
        <v/>
      </c>
      <c r="J833" s="148" t="str">
        <f>IFERROR(SUMIFS(当年实际!$V:$V,当年实际!$H:$H,$B833,当年实际!$C:$C,"&gt;="&amp;DATE(YEAR(主页!$D$2),1,1),当年实际!$C:$C,"&lt;="&amp;EOMONTH(DATE(YEAR(主页!$D$2),MONTH(主页!$D$2),1),0))/SUMIFS(当年实际!$P:$P,当年实际!$H:$H,$B833,当年实际!$C:$C,"&gt;="&amp;DATE(YEAR(主页!$D$2),1,1),当年实际!$C:$C,"&lt;="&amp;EOMONTH(DATE(YEAR(主页!$D$2),MONTH(主页!$D$2),1),0)),"")</f>
        <v/>
      </c>
    </row>
    <row r="834" spans="1:10" x14ac:dyDescent="0.3">
      <c r="A834" s="135"/>
      <c r="B834" s="136"/>
      <c r="C834" s="138"/>
      <c r="D834" s="139"/>
      <c r="E834" s="141" t="str">
        <f t="shared" si="38"/>
        <v/>
      </c>
      <c r="F834" s="144"/>
      <c r="G834" s="146">
        <f t="shared" si="36"/>
        <v>0</v>
      </c>
      <c r="H834" s="141" t="str">
        <f t="shared" si="37"/>
        <v/>
      </c>
      <c r="J834" s="148" t="str">
        <f>IFERROR(SUMIFS(当年实际!$V:$V,当年实际!$H:$H,$B834,当年实际!$C:$C,"&gt;="&amp;DATE(YEAR(主页!$D$2),1,1),当年实际!$C:$C,"&lt;="&amp;EOMONTH(DATE(YEAR(主页!$D$2),MONTH(主页!$D$2),1),0))/SUMIFS(当年实际!$P:$P,当年实际!$H:$H,$B834,当年实际!$C:$C,"&gt;="&amp;DATE(YEAR(主页!$D$2),1,1),当年实际!$C:$C,"&lt;="&amp;EOMONTH(DATE(YEAR(主页!$D$2),MONTH(主页!$D$2),1),0)),"")</f>
        <v/>
      </c>
    </row>
    <row r="835" spans="1:10" x14ac:dyDescent="0.3">
      <c r="A835" s="135"/>
      <c r="B835" s="136"/>
      <c r="C835" s="138"/>
      <c r="D835" s="139"/>
      <c r="E835" s="141" t="str">
        <f t="shared" si="38"/>
        <v/>
      </c>
      <c r="F835" s="144"/>
      <c r="G835" s="146">
        <f t="shared" si="36"/>
        <v>0</v>
      </c>
      <c r="H835" s="141" t="str">
        <f t="shared" si="37"/>
        <v/>
      </c>
      <c r="J835" s="148" t="str">
        <f>IFERROR(SUMIFS(当年实际!$V:$V,当年实际!$H:$H,$B835,当年实际!$C:$C,"&gt;="&amp;DATE(YEAR(主页!$D$2),1,1),当年实际!$C:$C,"&lt;="&amp;EOMONTH(DATE(YEAR(主页!$D$2),MONTH(主页!$D$2),1),0))/SUMIFS(当年实际!$P:$P,当年实际!$H:$H,$B835,当年实际!$C:$C,"&gt;="&amp;DATE(YEAR(主页!$D$2),1,1),当年实际!$C:$C,"&lt;="&amp;EOMONTH(DATE(YEAR(主页!$D$2),MONTH(主页!$D$2),1),0)),"")</f>
        <v/>
      </c>
    </row>
    <row r="836" spans="1:10" x14ac:dyDescent="0.3">
      <c r="A836" s="135"/>
      <c r="B836" s="136"/>
      <c r="C836" s="138"/>
      <c r="D836" s="139"/>
      <c r="E836" s="141" t="str">
        <f t="shared" si="38"/>
        <v/>
      </c>
      <c r="F836" s="144"/>
      <c r="G836" s="146">
        <f t="shared" si="36"/>
        <v>0</v>
      </c>
      <c r="H836" s="141" t="str">
        <f t="shared" si="37"/>
        <v/>
      </c>
      <c r="J836" s="148" t="str">
        <f>IFERROR(SUMIFS(当年实际!$V:$V,当年实际!$H:$H,$B836,当年实际!$C:$C,"&gt;="&amp;DATE(YEAR(主页!$D$2),1,1),当年实际!$C:$C,"&lt;="&amp;EOMONTH(DATE(YEAR(主页!$D$2),MONTH(主页!$D$2),1),0))/SUMIFS(当年实际!$P:$P,当年实际!$H:$H,$B836,当年实际!$C:$C,"&gt;="&amp;DATE(YEAR(主页!$D$2),1,1),当年实际!$C:$C,"&lt;="&amp;EOMONTH(DATE(YEAR(主页!$D$2),MONTH(主页!$D$2),1),0)),"")</f>
        <v/>
      </c>
    </row>
    <row r="837" spans="1:10" x14ac:dyDescent="0.3">
      <c r="A837" s="135"/>
      <c r="B837" s="136"/>
      <c r="C837" s="138"/>
      <c r="D837" s="139"/>
      <c r="E837" s="141" t="str">
        <f t="shared" si="38"/>
        <v/>
      </c>
      <c r="F837" s="144"/>
      <c r="G837" s="146">
        <f t="shared" ref="G837:G900" si="39">D837*F837</f>
        <v>0</v>
      </c>
      <c r="H837" s="141" t="str">
        <f t="shared" si="37"/>
        <v/>
      </c>
      <c r="J837" s="148" t="str">
        <f>IFERROR(SUMIFS(当年实际!$V:$V,当年实际!$H:$H,$B837,当年实际!$C:$C,"&gt;="&amp;DATE(YEAR(主页!$D$2),1,1),当年实际!$C:$C,"&lt;="&amp;EOMONTH(DATE(YEAR(主页!$D$2),MONTH(主页!$D$2),1),0))/SUMIFS(当年实际!$P:$P,当年实际!$H:$H,$B837,当年实际!$C:$C,"&gt;="&amp;DATE(YEAR(主页!$D$2),1,1),当年实际!$C:$C,"&lt;="&amp;EOMONTH(DATE(YEAR(主页!$D$2),MONTH(主页!$D$2),1),0)),"")</f>
        <v/>
      </c>
    </row>
    <row r="838" spans="1:10" x14ac:dyDescent="0.3">
      <c r="A838" s="135"/>
      <c r="B838" s="136"/>
      <c r="C838" s="138"/>
      <c r="D838" s="139"/>
      <c r="E838" s="141" t="str">
        <f t="shared" si="38"/>
        <v/>
      </c>
      <c r="F838" s="144"/>
      <c r="G838" s="146">
        <f t="shared" si="39"/>
        <v>0</v>
      </c>
      <c r="H838" s="141" t="str">
        <f t="shared" ref="H838:H901" si="40">IF(G838/SUM(G:G)=0,"",G838/SUM(G:G))</f>
        <v/>
      </c>
      <c r="J838" s="148" t="str">
        <f>IFERROR(SUMIFS(当年实际!$V:$V,当年实际!$H:$H,$B838,当年实际!$C:$C,"&gt;="&amp;DATE(YEAR(主页!$D$2),1,1),当年实际!$C:$C,"&lt;="&amp;EOMONTH(DATE(YEAR(主页!$D$2),MONTH(主页!$D$2),1),0))/SUMIFS(当年实际!$P:$P,当年实际!$H:$H,$B838,当年实际!$C:$C,"&gt;="&amp;DATE(YEAR(主页!$D$2),1,1),当年实际!$C:$C,"&lt;="&amp;EOMONTH(DATE(YEAR(主页!$D$2),MONTH(主页!$D$2),1),0)),"")</f>
        <v/>
      </c>
    </row>
    <row r="839" spans="1:10" x14ac:dyDescent="0.3">
      <c r="A839" s="135"/>
      <c r="B839" s="136"/>
      <c r="C839" s="138"/>
      <c r="D839" s="139"/>
      <c r="E839" s="141" t="str">
        <f t="shared" si="38"/>
        <v/>
      </c>
      <c r="F839" s="144"/>
      <c r="G839" s="146">
        <f t="shared" si="39"/>
        <v>0</v>
      </c>
      <c r="H839" s="141" t="str">
        <f t="shared" si="40"/>
        <v/>
      </c>
      <c r="J839" s="148" t="str">
        <f>IFERROR(SUMIFS(当年实际!$V:$V,当年实际!$H:$H,$B839,当年实际!$C:$C,"&gt;="&amp;DATE(YEAR(主页!$D$2),1,1),当年实际!$C:$C,"&lt;="&amp;EOMONTH(DATE(YEAR(主页!$D$2),MONTH(主页!$D$2),1),0))/SUMIFS(当年实际!$P:$P,当年实际!$H:$H,$B839,当年实际!$C:$C,"&gt;="&amp;DATE(YEAR(主页!$D$2),1,1),当年实际!$C:$C,"&lt;="&amp;EOMONTH(DATE(YEAR(主页!$D$2),MONTH(主页!$D$2),1),0)),"")</f>
        <v/>
      </c>
    </row>
    <row r="840" spans="1:10" x14ac:dyDescent="0.3">
      <c r="A840" s="135"/>
      <c r="B840" s="136"/>
      <c r="C840" s="138"/>
      <c r="D840" s="139"/>
      <c r="E840" s="141" t="str">
        <f t="shared" ref="E840:E903" si="41">IF(D840/SUM(D:D)=0,"",D840/SUM(D:D))</f>
        <v/>
      </c>
      <c r="F840" s="144"/>
      <c r="G840" s="146">
        <f t="shared" si="39"/>
        <v>0</v>
      </c>
      <c r="H840" s="141" t="str">
        <f t="shared" si="40"/>
        <v/>
      </c>
      <c r="J840" s="148" t="str">
        <f>IFERROR(SUMIFS(当年实际!$V:$V,当年实际!$H:$H,$B840,当年实际!$C:$C,"&gt;="&amp;DATE(YEAR(主页!$D$2),1,1),当年实际!$C:$C,"&lt;="&amp;EOMONTH(DATE(YEAR(主页!$D$2),MONTH(主页!$D$2),1),0))/SUMIFS(当年实际!$P:$P,当年实际!$H:$H,$B840,当年实际!$C:$C,"&gt;="&amp;DATE(YEAR(主页!$D$2),1,1),当年实际!$C:$C,"&lt;="&amp;EOMONTH(DATE(YEAR(主页!$D$2),MONTH(主页!$D$2),1),0)),"")</f>
        <v/>
      </c>
    </row>
    <row r="841" spans="1:10" x14ac:dyDescent="0.3">
      <c r="A841" s="135"/>
      <c r="B841" s="136"/>
      <c r="C841" s="138"/>
      <c r="D841" s="139"/>
      <c r="E841" s="141" t="str">
        <f t="shared" si="41"/>
        <v/>
      </c>
      <c r="F841" s="144"/>
      <c r="G841" s="146">
        <f t="shared" si="39"/>
        <v>0</v>
      </c>
      <c r="H841" s="141" t="str">
        <f t="shared" si="40"/>
        <v/>
      </c>
      <c r="J841" s="148" t="str">
        <f>IFERROR(SUMIFS(当年实际!$V:$V,当年实际!$H:$H,$B841,当年实际!$C:$C,"&gt;="&amp;DATE(YEAR(主页!$D$2),1,1),当年实际!$C:$C,"&lt;="&amp;EOMONTH(DATE(YEAR(主页!$D$2),MONTH(主页!$D$2),1),0))/SUMIFS(当年实际!$P:$P,当年实际!$H:$H,$B841,当年实际!$C:$C,"&gt;="&amp;DATE(YEAR(主页!$D$2),1,1),当年实际!$C:$C,"&lt;="&amp;EOMONTH(DATE(YEAR(主页!$D$2),MONTH(主页!$D$2),1),0)),"")</f>
        <v/>
      </c>
    </row>
    <row r="842" spans="1:10" x14ac:dyDescent="0.3">
      <c r="A842" s="135"/>
      <c r="B842" s="136"/>
      <c r="C842" s="138"/>
      <c r="D842" s="139"/>
      <c r="E842" s="141" t="str">
        <f t="shared" si="41"/>
        <v/>
      </c>
      <c r="F842" s="144"/>
      <c r="G842" s="146">
        <f t="shared" si="39"/>
        <v>0</v>
      </c>
      <c r="H842" s="141" t="str">
        <f t="shared" si="40"/>
        <v/>
      </c>
      <c r="J842" s="148" t="str">
        <f>IFERROR(SUMIFS(当年实际!$V:$V,当年实际!$H:$H,$B842,当年实际!$C:$C,"&gt;="&amp;DATE(YEAR(主页!$D$2),1,1),当年实际!$C:$C,"&lt;="&amp;EOMONTH(DATE(YEAR(主页!$D$2),MONTH(主页!$D$2),1),0))/SUMIFS(当年实际!$P:$P,当年实际!$H:$H,$B842,当年实际!$C:$C,"&gt;="&amp;DATE(YEAR(主页!$D$2),1,1),当年实际!$C:$C,"&lt;="&amp;EOMONTH(DATE(YEAR(主页!$D$2),MONTH(主页!$D$2),1),0)),"")</f>
        <v/>
      </c>
    </row>
    <row r="843" spans="1:10" x14ac:dyDescent="0.3">
      <c r="A843" s="135"/>
      <c r="B843" s="136"/>
      <c r="C843" s="138"/>
      <c r="D843" s="139"/>
      <c r="E843" s="141" t="str">
        <f t="shared" si="41"/>
        <v/>
      </c>
      <c r="F843" s="144"/>
      <c r="G843" s="146">
        <f t="shared" si="39"/>
        <v>0</v>
      </c>
      <c r="H843" s="141" t="str">
        <f t="shared" si="40"/>
        <v/>
      </c>
      <c r="J843" s="148" t="str">
        <f>IFERROR(SUMIFS(当年实际!$V:$V,当年实际!$H:$H,$B843,当年实际!$C:$C,"&gt;="&amp;DATE(YEAR(主页!$D$2),1,1),当年实际!$C:$C,"&lt;="&amp;EOMONTH(DATE(YEAR(主页!$D$2),MONTH(主页!$D$2),1),0))/SUMIFS(当年实际!$P:$P,当年实际!$H:$H,$B843,当年实际!$C:$C,"&gt;="&amp;DATE(YEAR(主页!$D$2),1,1),当年实际!$C:$C,"&lt;="&amp;EOMONTH(DATE(YEAR(主页!$D$2),MONTH(主页!$D$2),1),0)),"")</f>
        <v/>
      </c>
    </row>
    <row r="844" spans="1:10" x14ac:dyDescent="0.3">
      <c r="A844" s="135"/>
      <c r="B844" s="136"/>
      <c r="C844" s="138"/>
      <c r="D844" s="139"/>
      <c r="E844" s="141" t="str">
        <f t="shared" si="41"/>
        <v/>
      </c>
      <c r="F844" s="144"/>
      <c r="G844" s="146">
        <f t="shared" si="39"/>
        <v>0</v>
      </c>
      <c r="H844" s="141" t="str">
        <f t="shared" si="40"/>
        <v/>
      </c>
      <c r="J844" s="148" t="str">
        <f>IFERROR(SUMIFS(当年实际!$V:$V,当年实际!$H:$H,$B844,当年实际!$C:$C,"&gt;="&amp;DATE(YEAR(主页!$D$2),1,1),当年实际!$C:$C,"&lt;="&amp;EOMONTH(DATE(YEAR(主页!$D$2),MONTH(主页!$D$2),1),0))/SUMIFS(当年实际!$P:$P,当年实际!$H:$H,$B844,当年实际!$C:$C,"&gt;="&amp;DATE(YEAR(主页!$D$2),1,1),当年实际!$C:$C,"&lt;="&amp;EOMONTH(DATE(YEAR(主页!$D$2),MONTH(主页!$D$2),1),0)),"")</f>
        <v/>
      </c>
    </row>
    <row r="845" spans="1:10" x14ac:dyDescent="0.3">
      <c r="A845" s="135"/>
      <c r="B845" s="136"/>
      <c r="C845" s="138"/>
      <c r="D845" s="139"/>
      <c r="E845" s="141" t="str">
        <f t="shared" si="41"/>
        <v/>
      </c>
      <c r="F845" s="144"/>
      <c r="G845" s="146">
        <f t="shared" si="39"/>
        <v>0</v>
      </c>
      <c r="H845" s="141" t="str">
        <f t="shared" si="40"/>
        <v/>
      </c>
      <c r="J845" s="148" t="str">
        <f>IFERROR(SUMIFS(当年实际!$V:$V,当年实际!$H:$H,$B845,当年实际!$C:$C,"&gt;="&amp;DATE(YEAR(主页!$D$2),1,1),当年实际!$C:$C,"&lt;="&amp;EOMONTH(DATE(YEAR(主页!$D$2),MONTH(主页!$D$2),1),0))/SUMIFS(当年实际!$P:$P,当年实际!$H:$H,$B845,当年实际!$C:$C,"&gt;="&amp;DATE(YEAR(主页!$D$2),1,1),当年实际!$C:$C,"&lt;="&amp;EOMONTH(DATE(YEAR(主页!$D$2),MONTH(主页!$D$2),1),0)),"")</f>
        <v/>
      </c>
    </row>
    <row r="846" spans="1:10" x14ac:dyDescent="0.3">
      <c r="A846" s="135"/>
      <c r="B846" s="136"/>
      <c r="C846" s="138"/>
      <c r="D846" s="139"/>
      <c r="E846" s="141" t="str">
        <f t="shared" si="41"/>
        <v/>
      </c>
      <c r="F846" s="144"/>
      <c r="G846" s="146">
        <f t="shared" si="39"/>
        <v>0</v>
      </c>
      <c r="H846" s="141" t="str">
        <f t="shared" si="40"/>
        <v/>
      </c>
      <c r="J846" s="148" t="str">
        <f>IFERROR(SUMIFS(当年实际!$V:$V,当年实际!$H:$H,$B846,当年实际!$C:$C,"&gt;="&amp;DATE(YEAR(主页!$D$2),1,1),当年实际!$C:$C,"&lt;="&amp;EOMONTH(DATE(YEAR(主页!$D$2),MONTH(主页!$D$2),1),0))/SUMIFS(当年实际!$P:$P,当年实际!$H:$H,$B846,当年实际!$C:$C,"&gt;="&amp;DATE(YEAR(主页!$D$2),1,1),当年实际!$C:$C,"&lt;="&amp;EOMONTH(DATE(YEAR(主页!$D$2),MONTH(主页!$D$2),1),0)),"")</f>
        <v/>
      </c>
    </row>
    <row r="847" spans="1:10" x14ac:dyDescent="0.3">
      <c r="A847" s="135"/>
      <c r="B847" s="136"/>
      <c r="C847" s="138"/>
      <c r="D847" s="139"/>
      <c r="E847" s="141" t="str">
        <f t="shared" si="41"/>
        <v/>
      </c>
      <c r="F847" s="144"/>
      <c r="G847" s="146">
        <f t="shared" si="39"/>
        <v>0</v>
      </c>
      <c r="H847" s="141" t="str">
        <f t="shared" si="40"/>
        <v/>
      </c>
      <c r="J847" s="148" t="str">
        <f>IFERROR(SUMIFS(当年实际!$V:$V,当年实际!$H:$H,$B847,当年实际!$C:$C,"&gt;="&amp;DATE(YEAR(主页!$D$2),1,1),当年实际!$C:$C,"&lt;="&amp;EOMONTH(DATE(YEAR(主页!$D$2),MONTH(主页!$D$2),1),0))/SUMIFS(当年实际!$P:$P,当年实际!$H:$H,$B847,当年实际!$C:$C,"&gt;="&amp;DATE(YEAR(主页!$D$2),1,1),当年实际!$C:$C,"&lt;="&amp;EOMONTH(DATE(YEAR(主页!$D$2),MONTH(主页!$D$2),1),0)),"")</f>
        <v/>
      </c>
    </row>
    <row r="848" spans="1:10" x14ac:dyDescent="0.3">
      <c r="A848" s="135"/>
      <c r="B848" s="136"/>
      <c r="C848" s="138"/>
      <c r="D848" s="139"/>
      <c r="E848" s="141" t="str">
        <f t="shared" si="41"/>
        <v/>
      </c>
      <c r="F848" s="144"/>
      <c r="G848" s="146">
        <f t="shared" si="39"/>
        <v>0</v>
      </c>
      <c r="H848" s="141" t="str">
        <f t="shared" si="40"/>
        <v/>
      </c>
      <c r="J848" s="148" t="str">
        <f>IFERROR(SUMIFS(当年实际!$V:$V,当年实际!$H:$H,$B848,当年实际!$C:$C,"&gt;="&amp;DATE(YEAR(主页!$D$2),1,1),当年实际!$C:$C,"&lt;="&amp;EOMONTH(DATE(YEAR(主页!$D$2),MONTH(主页!$D$2),1),0))/SUMIFS(当年实际!$P:$P,当年实际!$H:$H,$B848,当年实际!$C:$C,"&gt;="&amp;DATE(YEAR(主页!$D$2),1,1),当年实际!$C:$C,"&lt;="&amp;EOMONTH(DATE(YEAR(主页!$D$2),MONTH(主页!$D$2),1),0)),"")</f>
        <v/>
      </c>
    </row>
    <row r="849" spans="1:10" x14ac:dyDescent="0.3">
      <c r="A849" s="135"/>
      <c r="B849" s="136"/>
      <c r="C849" s="138"/>
      <c r="D849" s="139"/>
      <c r="E849" s="141" t="str">
        <f t="shared" si="41"/>
        <v/>
      </c>
      <c r="F849" s="144"/>
      <c r="G849" s="146">
        <f t="shared" si="39"/>
        <v>0</v>
      </c>
      <c r="H849" s="141" t="str">
        <f t="shared" si="40"/>
        <v/>
      </c>
      <c r="J849" s="148" t="str">
        <f>IFERROR(SUMIFS(当年实际!$V:$V,当年实际!$H:$H,$B849,当年实际!$C:$C,"&gt;="&amp;DATE(YEAR(主页!$D$2),1,1),当年实际!$C:$C,"&lt;="&amp;EOMONTH(DATE(YEAR(主页!$D$2),MONTH(主页!$D$2),1),0))/SUMIFS(当年实际!$P:$P,当年实际!$H:$H,$B849,当年实际!$C:$C,"&gt;="&amp;DATE(YEAR(主页!$D$2),1,1),当年实际!$C:$C,"&lt;="&amp;EOMONTH(DATE(YEAR(主页!$D$2),MONTH(主页!$D$2),1),0)),"")</f>
        <v/>
      </c>
    </row>
    <row r="850" spans="1:10" x14ac:dyDescent="0.3">
      <c r="A850" s="135"/>
      <c r="B850" s="136"/>
      <c r="C850" s="138"/>
      <c r="D850" s="139"/>
      <c r="E850" s="141" t="str">
        <f t="shared" si="41"/>
        <v/>
      </c>
      <c r="F850" s="144"/>
      <c r="G850" s="146">
        <f t="shared" si="39"/>
        <v>0</v>
      </c>
      <c r="H850" s="141" t="str">
        <f t="shared" si="40"/>
        <v/>
      </c>
      <c r="J850" s="148" t="str">
        <f>IFERROR(SUMIFS(当年实际!$V:$V,当年实际!$H:$H,$B850,当年实际!$C:$C,"&gt;="&amp;DATE(YEAR(主页!$D$2),1,1),当年实际!$C:$C,"&lt;="&amp;EOMONTH(DATE(YEAR(主页!$D$2),MONTH(主页!$D$2),1),0))/SUMIFS(当年实际!$P:$P,当年实际!$H:$H,$B850,当年实际!$C:$C,"&gt;="&amp;DATE(YEAR(主页!$D$2),1,1),当年实际!$C:$C,"&lt;="&amp;EOMONTH(DATE(YEAR(主页!$D$2),MONTH(主页!$D$2),1),0)),"")</f>
        <v/>
      </c>
    </row>
    <row r="851" spans="1:10" x14ac:dyDescent="0.3">
      <c r="A851" s="135"/>
      <c r="B851" s="136"/>
      <c r="C851" s="138"/>
      <c r="D851" s="139"/>
      <c r="E851" s="141" t="str">
        <f t="shared" si="41"/>
        <v/>
      </c>
      <c r="F851" s="144"/>
      <c r="G851" s="146">
        <f t="shared" si="39"/>
        <v>0</v>
      </c>
      <c r="H851" s="141" t="str">
        <f t="shared" si="40"/>
        <v/>
      </c>
      <c r="J851" s="148" t="str">
        <f>IFERROR(SUMIFS(当年实际!$V:$V,当年实际!$H:$H,$B851,当年实际!$C:$C,"&gt;="&amp;DATE(YEAR(主页!$D$2),1,1),当年实际!$C:$C,"&lt;="&amp;EOMONTH(DATE(YEAR(主页!$D$2),MONTH(主页!$D$2),1),0))/SUMIFS(当年实际!$P:$P,当年实际!$H:$H,$B851,当年实际!$C:$C,"&gt;="&amp;DATE(YEAR(主页!$D$2),1,1),当年实际!$C:$C,"&lt;="&amp;EOMONTH(DATE(YEAR(主页!$D$2),MONTH(主页!$D$2),1),0)),"")</f>
        <v/>
      </c>
    </row>
    <row r="852" spans="1:10" x14ac:dyDescent="0.3">
      <c r="A852" s="135"/>
      <c r="B852" s="136"/>
      <c r="C852" s="138"/>
      <c r="D852" s="139"/>
      <c r="E852" s="141" t="str">
        <f t="shared" si="41"/>
        <v/>
      </c>
      <c r="F852" s="144"/>
      <c r="G852" s="146">
        <f t="shared" si="39"/>
        <v>0</v>
      </c>
      <c r="H852" s="141" t="str">
        <f t="shared" si="40"/>
        <v/>
      </c>
      <c r="J852" s="148" t="str">
        <f>IFERROR(SUMIFS(当年实际!$V:$V,当年实际!$H:$H,$B852,当年实际!$C:$C,"&gt;="&amp;DATE(YEAR(主页!$D$2),1,1),当年实际!$C:$C,"&lt;="&amp;EOMONTH(DATE(YEAR(主页!$D$2),MONTH(主页!$D$2),1),0))/SUMIFS(当年实际!$P:$P,当年实际!$H:$H,$B852,当年实际!$C:$C,"&gt;="&amp;DATE(YEAR(主页!$D$2),1,1),当年实际!$C:$C,"&lt;="&amp;EOMONTH(DATE(YEAR(主页!$D$2),MONTH(主页!$D$2),1),0)),"")</f>
        <v/>
      </c>
    </row>
    <row r="853" spans="1:10" x14ac:dyDescent="0.3">
      <c r="A853" s="135"/>
      <c r="B853" s="136"/>
      <c r="C853" s="138"/>
      <c r="D853" s="139"/>
      <c r="E853" s="141" t="str">
        <f t="shared" si="41"/>
        <v/>
      </c>
      <c r="F853" s="144"/>
      <c r="G853" s="146">
        <f t="shared" si="39"/>
        <v>0</v>
      </c>
      <c r="H853" s="141" t="str">
        <f t="shared" si="40"/>
        <v/>
      </c>
      <c r="J853" s="148" t="str">
        <f>IFERROR(SUMIFS(当年实际!$V:$V,当年实际!$H:$H,$B853,当年实际!$C:$C,"&gt;="&amp;DATE(YEAR(主页!$D$2),1,1),当年实际!$C:$C,"&lt;="&amp;EOMONTH(DATE(YEAR(主页!$D$2),MONTH(主页!$D$2),1),0))/SUMIFS(当年实际!$P:$P,当年实际!$H:$H,$B853,当年实际!$C:$C,"&gt;="&amp;DATE(YEAR(主页!$D$2),1,1),当年实际!$C:$C,"&lt;="&amp;EOMONTH(DATE(YEAR(主页!$D$2),MONTH(主页!$D$2),1),0)),"")</f>
        <v/>
      </c>
    </row>
    <row r="854" spans="1:10" x14ac:dyDescent="0.3">
      <c r="A854" s="135"/>
      <c r="B854" s="136"/>
      <c r="C854" s="138"/>
      <c r="D854" s="139"/>
      <c r="E854" s="141" t="str">
        <f t="shared" si="41"/>
        <v/>
      </c>
      <c r="F854" s="144"/>
      <c r="G854" s="146">
        <f t="shared" si="39"/>
        <v>0</v>
      </c>
      <c r="H854" s="141" t="str">
        <f t="shared" si="40"/>
        <v/>
      </c>
      <c r="J854" s="148" t="str">
        <f>IFERROR(SUMIFS(当年实际!$V:$V,当年实际!$H:$H,$B854,当年实际!$C:$C,"&gt;="&amp;DATE(YEAR(主页!$D$2),1,1),当年实际!$C:$C,"&lt;="&amp;EOMONTH(DATE(YEAR(主页!$D$2),MONTH(主页!$D$2),1),0))/SUMIFS(当年实际!$P:$P,当年实际!$H:$H,$B854,当年实际!$C:$C,"&gt;="&amp;DATE(YEAR(主页!$D$2),1,1),当年实际!$C:$C,"&lt;="&amp;EOMONTH(DATE(YEAR(主页!$D$2),MONTH(主页!$D$2),1),0)),"")</f>
        <v/>
      </c>
    </row>
    <row r="855" spans="1:10" x14ac:dyDescent="0.3">
      <c r="A855" s="135"/>
      <c r="B855" s="136"/>
      <c r="C855" s="138"/>
      <c r="D855" s="139"/>
      <c r="E855" s="141" t="str">
        <f t="shared" si="41"/>
        <v/>
      </c>
      <c r="F855" s="144"/>
      <c r="G855" s="146">
        <f t="shared" si="39"/>
        <v>0</v>
      </c>
      <c r="H855" s="141" t="str">
        <f t="shared" si="40"/>
        <v/>
      </c>
      <c r="J855" s="148" t="str">
        <f>IFERROR(SUMIFS(当年实际!$V:$V,当年实际!$H:$H,$B855,当年实际!$C:$C,"&gt;="&amp;DATE(YEAR(主页!$D$2),1,1),当年实际!$C:$C,"&lt;="&amp;EOMONTH(DATE(YEAR(主页!$D$2),MONTH(主页!$D$2),1),0))/SUMIFS(当年实际!$P:$P,当年实际!$H:$H,$B855,当年实际!$C:$C,"&gt;="&amp;DATE(YEAR(主页!$D$2),1,1),当年实际!$C:$C,"&lt;="&amp;EOMONTH(DATE(YEAR(主页!$D$2),MONTH(主页!$D$2),1),0)),"")</f>
        <v/>
      </c>
    </row>
    <row r="856" spans="1:10" x14ac:dyDescent="0.3">
      <c r="A856" s="135"/>
      <c r="B856" s="136"/>
      <c r="C856" s="138"/>
      <c r="D856" s="139"/>
      <c r="E856" s="141" t="str">
        <f t="shared" si="41"/>
        <v/>
      </c>
      <c r="F856" s="144"/>
      <c r="G856" s="146">
        <f t="shared" si="39"/>
        <v>0</v>
      </c>
      <c r="H856" s="141" t="str">
        <f t="shared" si="40"/>
        <v/>
      </c>
      <c r="J856" s="148" t="str">
        <f>IFERROR(SUMIFS(当年实际!$V:$V,当年实际!$H:$H,$B856,当年实际!$C:$C,"&gt;="&amp;DATE(YEAR(主页!$D$2),1,1),当年实际!$C:$C,"&lt;="&amp;EOMONTH(DATE(YEAR(主页!$D$2),MONTH(主页!$D$2),1),0))/SUMIFS(当年实际!$P:$P,当年实际!$H:$H,$B856,当年实际!$C:$C,"&gt;="&amp;DATE(YEAR(主页!$D$2),1,1),当年实际!$C:$C,"&lt;="&amp;EOMONTH(DATE(YEAR(主页!$D$2),MONTH(主页!$D$2),1),0)),"")</f>
        <v/>
      </c>
    </row>
    <row r="857" spans="1:10" x14ac:dyDescent="0.3">
      <c r="A857" s="135"/>
      <c r="B857" s="136"/>
      <c r="C857" s="138"/>
      <c r="D857" s="139"/>
      <c r="E857" s="141" t="str">
        <f t="shared" si="41"/>
        <v/>
      </c>
      <c r="F857" s="144"/>
      <c r="G857" s="146">
        <f t="shared" si="39"/>
        <v>0</v>
      </c>
      <c r="H857" s="141" t="str">
        <f t="shared" si="40"/>
        <v/>
      </c>
      <c r="J857" s="148" t="str">
        <f>IFERROR(SUMIFS(当年实际!$V:$V,当年实际!$H:$H,$B857,当年实际!$C:$C,"&gt;="&amp;DATE(YEAR(主页!$D$2),1,1),当年实际!$C:$C,"&lt;="&amp;EOMONTH(DATE(YEAR(主页!$D$2),MONTH(主页!$D$2),1),0))/SUMIFS(当年实际!$P:$P,当年实际!$H:$H,$B857,当年实际!$C:$C,"&gt;="&amp;DATE(YEAR(主页!$D$2),1,1),当年实际!$C:$C,"&lt;="&amp;EOMONTH(DATE(YEAR(主页!$D$2),MONTH(主页!$D$2),1),0)),"")</f>
        <v/>
      </c>
    </row>
    <row r="858" spans="1:10" x14ac:dyDescent="0.3">
      <c r="A858" s="135"/>
      <c r="B858" s="136"/>
      <c r="C858" s="138"/>
      <c r="D858" s="139"/>
      <c r="E858" s="141" t="str">
        <f t="shared" si="41"/>
        <v/>
      </c>
      <c r="F858" s="144"/>
      <c r="G858" s="146">
        <f t="shared" si="39"/>
        <v>0</v>
      </c>
      <c r="H858" s="141" t="str">
        <f t="shared" si="40"/>
        <v/>
      </c>
      <c r="J858" s="148" t="str">
        <f>IFERROR(SUMIFS(当年实际!$V:$V,当年实际!$H:$H,$B858,当年实际!$C:$C,"&gt;="&amp;DATE(YEAR(主页!$D$2),1,1),当年实际!$C:$C,"&lt;="&amp;EOMONTH(DATE(YEAR(主页!$D$2),MONTH(主页!$D$2),1),0))/SUMIFS(当年实际!$P:$P,当年实际!$H:$H,$B858,当年实际!$C:$C,"&gt;="&amp;DATE(YEAR(主页!$D$2),1,1),当年实际!$C:$C,"&lt;="&amp;EOMONTH(DATE(YEAR(主页!$D$2),MONTH(主页!$D$2),1),0)),"")</f>
        <v/>
      </c>
    </row>
    <row r="859" spans="1:10" x14ac:dyDescent="0.3">
      <c r="A859" s="135"/>
      <c r="B859" s="136"/>
      <c r="C859" s="138"/>
      <c r="D859" s="139"/>
      <c r="E859" s="141" t="str">
        <f t="shared" si="41"/>
        <v/>
      </c>
      <c r="F859" s="144"/>
      <c r="G859" s="146">
        <f t="shared" si="39"/>
        <v>0</v>
      </c>
      <c r="H859" s="141" t="str">
        <f t="shared" si="40"/>
        <v/>
      </c>
      <c r="J859" s="148" t="str">
        <f>IFERROR(SUMIFS(当年实际!$V:$V,当年实际!$H:$H,$B859,当年实际!$C:$C,"&gt;="&amp;DATE(YEAR(主页!$D$2),1,1),当年实际!$C:$C,"&lt;="&amp;EOMONTH(DATE(YEAR(主页!$D$2),MONTH(主页!$D$2),1),0))/SUMIFS(当年实际!$P:$P,当年实际!$H:$H,$B859,当年实际!$C:$C,"&gt;="&amp;DATE(YEAR(主页!$D$2),1,1),当年实际!$C:$C,"&lt;="&amp;EOMONTH(DATE(YEAR(主页!$D$2),MONTH(主页!$D$2),1),0)),"")</f>
        <v/>
      </c>
    </row>
    <row r="860" spans="1:10" x14ac:dyDescent="0.3">
      <c r="A860" s="135"/>
      <c r="B860" s="136"/>
      <c r="C860" s="138"/>
      <c r="D860" s="139"/>
      <c r="E860" s="141" t="str">
        <f t="shared" si="41"/>
        <v/>
      </c>
      <c r="F860" s="144"/>
      <c r="G860" s="146">
        <f t="shared" si="39"/>
        <v>0</v>
      </c>
      <c r="H860" s="141" t="str">
        <f t="shared" si="40"/>
        <v/>
      </c>
      <c r="J860" s="148" t="str">
        <f>IFERROR(SUMIFS(当年实际!$V:$V,当年实际!$H:$H,$B860,当年实际!$C:$C,"&gt;="&amp;DATE(YEAR(主页!$D$2),1,1),当年实际!$C:$C,"&lt;="&amp;EOMONTH(DATE(YEAR(主页!$D$2),MONTH(主页!$D$2),1),0))/SUMIFS(当年实际!$P:$P,当年实际!$H:$H,$B860,当年实际!$C:$C,"&gt;="&amp;DATE(YEAR(主页!$D$2),1,1),当年实际!$C:$C,"&lt;="&amp;EOMONTH(DATE(YEAR(主页!$D$2),MONTH(主页!$D$2),1),0)),"")</f>
        <v/>
      </c>
    </row>
    <row r="861" spans="1:10" x14ac:dyDescent="0.3">
      <c r="A861" s="135"/>
      <c r="B861" s="136"/>
      <c r="C861" s="138"/>
      <c r="D861" s="139"/>
      <c r="E861" s="141" t="str">
        <f t="shared" si="41"/>
        <v/>
      </c>
      <c r="F861" s="144"/>
      <c r="G861" s="146">
        <f t="shared" si="39"/>
        <v>0</v>
      </c>
      <c r="H861" s="141" t="str">
        <f t="shared" si="40"/>
        <v/>
      </c>
      <c r="J861" s="148" t="str">
        <f>IFERROR(SUMIFS(当年实际!$V:$V,当年实际!$H:$H,$B861,当年实际!$C:$C,"&gt;="&amp;DATE(YEAR(主页!$D$2),1,1),当年实际!$C:$C,"&lt;="&amp;EOMONTH(DATE(YEAR(主页!$D$2),MONTH(主页!$D$2),1),0))/SUMIFS(当年实际!$P:$P,当年实际!$H:$H,$B861,当年实际!$C:$C,"&gt;="&amp;DATE(YEAR(主页!$D$2),1,1),当年实际!$C:$C,"&lt;="&amp;EOMONTH(DATE(YEAR(主页!$D$2),MONTH(主页!$D$2),1),0)),"")</f>
        <v/>
      </c>
    </row>
    <row r="862" spans="1:10" x14ac:dyDescent="0.3">
      <c r="A862" s="135"/>
      <c r="B862" s="136"/>
      <c r="C862" s="138"/>
      <c r="D862" s="139"/>
      <c r="E862" s="141" t="str">
        <f t="shared" si="41"/>
        <v/>
      </c>
      <c r="F862" s="144"/>
      <c r="G862" s="146">
        <f t="shared" si="39"/>
        <v>0</v>
      </c>
      <c r="H862" s="141" t="str">
        <f t="shared" si="40"/>
        <v/>
      </c>
      <c r="J862" s="148" t="str">
        <f>IFERROR(SUMIFS(当年实际!$V:$V,当年实际!$H:$H,$B862,当年实际!$C:$C,"&gt;="&amp;DATE(YEAR(主页!$D$2),1,1),当年实际!$C:$C,"&lt;="&amp;EOMONTH(DATE(YEAR(主页!$D$2),MONTH(主页!$D$2),1),0))/SUMIFS(当年实际!$P:$P,当年实际!$H:$H,$B862,当年实际!$C:$C,"&gt;="&amp;DATE(YEAR(主页!$D$2),1,1),当年实际!$C:$C,"&lt;="&amp;EOMONTH(DATE(YEAR(主页!$D$2),MONTH(主页!$D$2),1),0)),"")</f>
        <v/>
      </c>
    </row>
    <row r="863" spans="1:10" x14ac:dyDescent="0.3">
      <c r="A863" s="135"/>
      <c r="B863" s="136"/>
      <c r="C863" s="138"/>
      <c r="D863" s="139"/>
      <c r="E863" s="141" t="str">
        <f t="shared" si="41"/>
        <v/>
      </c>
      <c r="F863" s="144"/>
      <c r="G863" s="146">
        <f t="shared" si="39"/>
        <v>0</v>
      </c>
      <c r="H863" s="141" t="str">
        <f t="shared" si="40"/>
        <v/>
      </c>
      <c r="J863" s="148" t="str">
        <f>IFERROR(SUMIFS(当年实际!$V:$V,当年实际!$H:$H,$B863,当年实际!$C:$C,"&gt;="&amp;DATE(YEAR(主页!$D$2),1,1),当年实际!$C:$C,"&lt;="&amp;EOMONTH(DATE(YEAR(主页!$D$2),MONTH(主页!$D$2),1),0))/SUMIFS(当年实际!$P:$P,当年实际!$H:$H,$B863,当年实际!$C:$C,"&gt;="&amp;DATE(YEAR(主页!$D$2),1,1),当年实际!$C:$C,"&lt;="&amp;EOMONTH(DATE(YEAR(主页!$D$2),MONTH(主页!$D$2),1),0)),"")</f>
        <v/>
      </c>
    </row>
    <row r="864" spans="1:10" x14ac:dyDescent="0.3">
      <c r="A864" s="135"/>
      <c r="B864" s="136"/>
      <c r="C864" s="138"/>
      <c r="D864" s="139"/>
      <c r="E864" s="141" t="str">
        <f t="shared" si="41"/>
        <v/>
      </c>
      <c r="F864" s="144"/>
      <c r="G864" s="146">
        <f t="shared" si="39"/>
        <v>0</v>
      </c>
      <c r="H864" s="141" t="str">
        <f t="shared" si="40"/>
        <v/>
      </c>
      <c r="J864" s="148" t="str">
        <f>IFERROR(SUMIFS(当年实际!$V:$V,当年实际!$H:$H,$B864,当年实际!$C:$C,"&gt;="&amp;DATE(YEAR(主页!$D$2),1,1),当年实际!$C:$C,"&lt;="&amp;EOMONTH(DATE(YEAR(主页!$D$2),MONTH(主页!$D$2),1),0))/SUMIFS(当年实际!$P:$P,当年实际!$H:$H,$B864,当年实际!$C:$C,"&gt;="&amp;DATE(YEAR(主页!$D$2),1,1),当年实际!$C:$C,"&lt;="&amp;EOMONTH(DATE(YEAR(主页!$D$2),MONTH(主页!$D$2),1),0)),"")</f>
        <v/>
      </c>
    </row>
    <row r="865" spans="1:10" x14ac:dyDescent="0.3">
      <c r="A865" s="135"/>
      <c r="B865" s="136"/>
      <c r="C865" s="138"/>
      <c r="D865" s="139"/>
      <c r="E865" s="141" t="str">
        <f t="shared" si="41"/>
        <v/>
      </c>
      <c r="F865" s="144"/>
      <c r="G865" s="146">
        <f t="shared" si="39"/>
        <v>0</v>
      </c>
      <c r="H865" s="141" t="str">
        <f t="shared" si="40"/>
        <v/>
      </c>
      <c r="J865" s="148" t="str">
        <f>IFERROR(SUMIFS(当年实际!$V:$V,当年实际!$H:$H,$B865,当年实际!$C:$C,"&gt;="&amp;DATE(YEAR(主页!$D$2),1,1),当年实际!$C:$C,"&lt;="&amp;EOMONTH(DATE(YEAR(主页!$D$2),MONTH(主页!$D$2),1),0))/SUMIFS(当年实际!$P:$P,当年实际!$H:$H,$B865,当年实际!$C:$C,"&gt;="&amp;DATE(YEAR(主页!$D$2),1,1),当年实际!$C:$C,"&lt;="&amp;EOMONTH(DATE(YEAR(主页!$D$2),MONTH(主页!$D$2),1),0)),"")</f>
        <v/>
      </c>
    </row>
    <row r="866" spans="1:10" x14ac:dyDescent="0.3">
      <c r="A866" s="135"/>
      <c r="B866" s="136"/>
      <c r="C866" s="138"/>
      <c r="D866" s="139"/>
      <c r="E866" s="141" t="str">
        <f t="shared" si="41"/>
        <v/>
      </c>
      <c r="F866" s="144"/>
      <c r="G866" s="146">
        <f t="shared" si="39"/>
        <v>0</v>
      </c>
      <c r="H866" s="141" t="str">
        <f t="shared" si="40"/>
        <v/>
      </c>
      <c r="J866" s="148" t="str">
        <f>IFERROR(SUMIFS(当年实际!$V:$V,当年实际!$H:$H,$B866,当年实际!$C:$C,"&gt;="&amp;DATE(YEAR(主页!$D$2),1,1),当年实际!$C:$C,"&lt;="&amp;EOMONTH(DATE(YEAR(主页!$D$2),MONTH(主页!$D$2),1),0))/SUMIFS(当年实际!$P:$P,当年实际!$H:$H,$B866,当年实际!$C:$C,"&gt;="&amp;DATE(YEAR(主页!$D$2),1,1),当年实际!$C:$C,"&lt;="&amp;EOMONTH(DATE(YEAR(主页!$D$2),MONTH(主页!$D$2),1),0)),"")</f>
        <v/>
      </c>
    </row>
    <row r="867" spans="1:10" x14ac:dyDescent="0.3">
      <c r="A867" s="135"/>
      <c r="B867" s="136"/>
      <c r="C867" s="138"/>
      <c r="D867" s="139"/>
      <c r="E867" s="141" t="str">
        <f t="shared" si="41"/>
        <v/>
      </c>
      <c r="F867" s="144"/>
      <c r="G867" s="146">
        <f t="shared" si="39"/>
        <v>0</v>
      </c>
      <c r="H867" s="141" t="str">
        <f t="shared" si="40"/>
        <v/>
      </c>
      <c r="J867" s="148" t="str">
        <f>IFERROR(SUMIFS(当年实际!$V:$V,当年实际!$H:$H,$B867,当年实际!$C:$C,"&gt;="&amp;DATE(YEAR(主页!$D$2),1,1),当年实际!$C:$C,"&lt;="&amp;EOMONTH(DATE(YEAR(主页!$D$2),MONTH(主页!$D$2),1),0))/SUMIFS(当年实际!$P:$P,当年实际!$H:$H,$B867,当年实际!$C:$C,"&gt;="&amp;DATE(YEAR(主页!$D$2),1,1),当年实际!$C:$C,"&lt;="&amp;EOMONTH(DATE(YEAR(主页!$D$2),MONTH(主页!$D$2),1),0)),"")</f>
        <v/>
      </c>
    </row>
    <row r="868" spans="1:10" x14ac:dyDescent="0.3">
      <c r="A868" s="135"/>
      <c r="B868" s="136"/>
      <c r="C868" s="138"/>
      <c r="D868" s="139"/>
      <c r="E868" s="141" t="str">
        <f t="shared" si="41"/>
        <v/>
      </c>
      <c r="F868" s="144"/>
      <c r="G868" s="146">
        <f t="shared" si="39"/>
        <v>0</v>
      </c>
      <c r="H868" s="141" t="str">
        <f t="shared" si="40"/>
        <v/>
      </c>
      <c r="J868" s="148" t="str">
        <f>IFERROR(SUMIFS(当年实际!$V:$V,当年实际!$H:$H,$B868,当年实际!$C:$C,"&gt;="&amp;DATE(YEAR(主页!$D$2),1,1),当年实际!$C:$C,"&lt;="&amp;EOMONTH(DATE(YEAR(主页!$D$2),MONTH(主页!$D$2),1),0))/SUMIFS(当年实际!$P:$P,当年实际!$H:$H,$B868,当年实际!$C:$C,"&gt;="&amp;DATE(YEAR(主页!$D$2),1,1),当年实际!$C:$C,"&lt;="&amp;EOMONTH(DATE(YEAR(主页!$D$2),MONTH(主页!$D$2),1),0)),"")</f>
        <v/>
      </c>
    </row>
    <row r="869" spans="1:10" x14ac:dyDescent="0.3">
      <c r="A869" s="135"/>
      <c r="B869" s="136"/>
      <c r="C869" s="138"/>
      <c r="D869" s="139"/>
      <c r="E869" s="141" t="str">
        <f t="shared" si="41"/>
        <v/>
      </c>
      <c r="F869" s="144"/>
      <c r="G869" s="146">
        <f t="shared" si="39"/>
        <v>0</v>
      </c>
      <c r="H869" s="141" t="str">
        <f t="shared" si="40"/>
        <v/>
      </c>
      <c r="J869" s="148" t="str">
        <f>IFERROR(SUMIFS(当年实际!$V:$V,当年实际!$H:$H,$B869,当年实际!$C:$C,"&gt;="&amp;DATE(YEAR(主页!$D$2),1,1),当年实际!$C:$C,"&lt;="&amp;EOMONTH(DATE(YEAR(主页!$D$2),MONTH(主页!$D$2),1),0))/SUMIFS(当年实际!$P:$P,当年实际!$H:$H,$B869,当年实际!$C:$C,"&gt;="&amp;DATE(YEAR(主页!$D$2),1,1),当年实际!$C:$C,"&lt;="&amp;EOMONTH(DATE(YEAR(主页!$D$2),MONTH(主页!$D$2),1),0)),"")</f>
        <v/>
      </c>
    </row>
    <row r="870" spans="1:10" x14ac:dyDescent="0.3">
      <c r="A870" s="135"/>
      <c r="B870" s="136"/>
      <c r="C870" s="138"/>
      <c r="D870" s="139"/>
      <c r="E870" s="141" t="str">
        <f t="shared" si="41"/>
        <v/>
      </c>
      <c r="F870" s="144"/>
      <c r="G870" s="146">
        <f t="shared" si="39"/>
        <v>0</v>
      </c>
      <c r="H870" s="141" t="str">
        <f t="shared" si="40"/>
        <v/>
      </c>
      <c r="J870" s="148" t="str">
        <f>IFERROR(SUMIFS(当年实际!$V:$V,当年实际!$H:$H,$B870,当年实际!$C:$C,"&gt;="&amp;DATE(YEAR(主页!$D$2),1,1),当年实际!$C:$C,"&lt;="&amp;EOMONTH(DATE(YEAR(主页!$D$2),MONTH(主页!$D$2),1),0))/SUMIFS(当年实际!$P:$P,当年实际!$H:$H,$B870,当年实际!$C:$C,"&gt;="&amp;DATE(YEAR(主页!$D$2),1,1),当年实际!$C:$C,"&lt;="&amp;EOMONTH(DATE(YEAR(主页!$D$2),MONTH(主页!$D$2),1),0)),"")</f>
        <v/>
      </c>
    </row>
    <row r="871" spans="1:10" x14ac:dyDescent="0.3">
      <c r="A871" s="135"/>
      <c r="B871" s="136"/>
      <c r="C871" s="138"/>
      <c r="D871" s="139"/>
      <c r="E871" s="141" t="str">
        <f t="shared" si="41"/>
        <v/>
      </c>
      <c r="F871" s="144"/>
      <c r="G871" s="146">
        <f t="shared" si="39"/>
        <v>0</v>
      </c>
      <c r="H871" s="141" t="str">
        <f t="shared" si="40"/>
        <v/>
      </c>
      <c r="J871" s="148" t="str">
        <f>IFERROR(SUMIFS(当年实际!$V:$V,当年实际!$H:$H,$B871,当年实际!$C:$C,"&gt;="&amp;DATE(YEAR(主页!$D$2),1,1),当年实际!$C:$C,"&lt;="&amp;EOMONTH(DATE(YEAR(主页!$D$2),MONTH(主页!$D$2),1),0))/SUMIFS(当年实际!$P:$P,当年实际!$H:$H,$B871,当年实际!$C:$C,"&gt;="&amp;DATE(YEAR(主页!$D$2),1,1),当年实际!$C:$C,"&lt;="&amp;EOMONTH(DATE(YEAR(主页!$D$2),MONTH(主页!$D$2),1),0)),"")</f>
        <v/>
      </c>
    </row>
    <row r="872" spans="1:10" x14ac:dyDescent="0.3">
      <c r="A872" s="135"/>
      <c r="B872" s="136"/>
      <c r="C872" s="138"/>
      <c r="D872" s="139"/>
      <c r="E872" s="141" t="str">
        <f t="shared" si="41"/>
        <v/>
      </c>
      <c r="F872" s="144"/>
      <c r="G872" s="146">
        <f t="shared" si="39"/>
        <v>0</v>
      </c>
      <c r="H872" s="141" t="str">
        <f t="shared" si="40"/>
        <v/>
      </c>
      <c r="J872" s="148" t="str">
        <f>IFERROR(SUMIFS(当年实际!$V:$V,当年实际!$H:$H,$B872,当年实际!$C:$C,"&gt;="&amp;DATE(YEAR(主页!$D$2),1,1),当年实际!$C:$C,"&lt;="&amp;EOMONTH(DATE(YEAR(主页!$D$2),MONTH(主页!$D$2),1),0))/SUMIFS(当年实际!$P:$P,当年实际!$H:$H,$B872,当年实际!$C:$C,"&gt;="&amp;DATE(YEAR(主页!$D$2),1,1),当年实际!$C:$C,"&lt;="&amp;EOMONTH(DATE(YEAR(主页!$D$2),MONTH(主页!$D$2),1),0)),"")</f>
        <v/>
      </c>
    </row>
    <row r="873" spans="1:10" x14ac:dyDescent="0.3">
      <c r="A873" s="135"/>
      <c r="B873" s="136"/>
      <c r="C873" s="138"/>
      <c r="D873" s="139"/>
      <c r="E873" s="141" t="str">
        <f t="shared" si="41"/>
        <v/>
      </c>
      <c r="F873" s="144"/>
      <c r="G873" s="146">
        <f t="shared" si="39"/>
        <v>0</v>
      </c>
      <c r="H873" s="141" t="str">
        <f t="shared" si="40"/>
        <v/>
      </c>
      <c r="J873" s="148" t="str">
        <f>IFERROR(SUMIFS(当年实际!$V:$V,当年实际!$H:$H,$B873,当年实际!$C:$C,"&gt;="&amp;DATE(YEAR(主页!$D$2),1,1),当年实际!$C:$C,"&lt;="&amp;EOMONTH(DATE(YEAR(主页!$D$2),MONTH(主页!$D$2),1),0))/SUMIFS(当年实际!$P:$P,当年实际!$H:$H,$B873,当年实际!$C:$C,"&gt;="&amp;DATE(YEAR(主页!$D$2),1,1),当年实际!$C:$C,"&lt;="&amp;EOMONTH(DATE(YEAR(主页!$D$2),MONTH(主页!$D$2),1),0)),"")</f>
        <v/>
      </c>
    </row>
    <row r="874" spans="1:10" x14ac:dyDescent="0.3">
      <c r="A874" s="135"/>
      <c r="B874" s="136"/>
      <c r="C874" s="138"/>
      <c r="D874" s="139"/>
      <c r="E874" s="141" t="str">
        <f t="shared" si="41"/>
        <v/>
      </c>
      <c r="F874" s="144"/>
      <c r="G874" s="146">
        <f t="shared" si="39"/>
        <v>0</v>
      </c>
      <c r="H874" s="141" t="str">
        <f t="shared" si="40"/>
        <v/>
      </c>
      <c r="J874" s="148" t="str">
        <f>IFERROR(SUMIFS(当年实际!$V:$V,当年实际!$H:$H,$B874,当年实际!$C:$C,"&gt;="&amp;DATE(YEAR(主页!$D$2),1,1),当年实际!$C:$C,"&lt;="&amp;EOMONTH(DATE(YEAR(主页!$D$2),MONTH(主页!$D$2),1),0))/SUMIFS(当年实际!$P:$P,当年实际!$H:$H,$B874,当年实际!$C:$C,"&gt;="&amp;DATE(YEAR(主页!$D$2),1,1),当年实际!$C:$C,"&lt;="&amp;EOMONTH(DATE(YEAR(主页!$D$2),MONTH(主页!$D$2),1),0)),"")</f>
        <v/>
      </c>
    </row>
    <row r="875" spans="1:10" x14ac:dyDescent="0.3">
      <c r="A875" s="135"/>
      <c r="B875" s="136"/>
      <c r="C875" s="138"/>
      <c r="D875" s="139"/>
      <c r="E875" s="141" t="str">
        <f t="shared" si="41"/>
        <v/>
      </c>
      <c r="F875" s="144"/>
      <c r="G875" s="146">
        <f t="shared" si="39"/>
        <v>0</v>
      </c>
      <c r="H875" s="141" t="str">
        <f t="shared" si="40"/>
        <v/>
      </c>
      <c r="J875" s="148" t="str">
        <f>IFERROR(SUMIFS(当年实际!$V:$V,当年实际!$H:$H,$B875,当年实际!$C:$C,"&gt;="&amp;DATE(YEAR(主页!$D$2),1,1),当年实际!$C:$C,"&lt;="&amp;EOMONTH(DATE(YEAR(主页!$D$2),MONTH(主页!$D$2),1),0))/SUMIFS(当年实际!$P:$P,当年实际!$H:$H,$B875,当年实际!$C:$C,"&gt;="&amp;DATE(YEAR(主页!$D$2),1,1),当年实际!$C:$C,"&lt;="&amp;EOMONTH(DATE(YEAR(主页!$D$2),MONTH(主页!$D$2),1),0)),"")</f>
        <v/>
      </c>
    </row>
    <row r="876" spans="1:10" x14ac:dyDescent="0.3">
      <c r="A876" s="135"/>
      <c r="B876" s="136"/>
      <c r="C876" s="138"/>
      <c r="D876" s="139"/>
      <c r="E876" s="141" t="str">
        <f t="shared" si="41"/>
        <v/>
      </c>
      <c r="F876" s="144"/>
      <c r="G876" s="146">
        <f t="shared" si="39"/>
        <v>0</v>
      </c>
      <c r="H876" s="141" t="str">
        <f t="shared" si="40"/>
        <v/>
      </c>
      <c r="J876" s="148" t="str">
        <f>IFERROR(SUMIFS(当年实际!$V:$V,当年实际!$H:$H,$B876,当年实际!$C:$C,"&gt;="&amp;DATE(YEAR(主页!$D$2),1,1),当年实际!$C:$C,"&lt;="&amp;EOMONTH(DATE(YEAR(主页!$D$2),MONTH(主页!$D$2),1),0))/SUMIFS(当年实际!$P:$P,当年实际!$H:$H,$B876,当年实际!$C:$C,"&gt;="&amp;DATE(YEAR(主页!$D$2),1,1),当年实际!$C:$C,"&lt;="&amp;EOMONTH(DATE(YEAR(主页!$D$2),MONTH(主页!$D$2),1),0)),"")</f>
        <v/>
      </c>
    </row>
    <row r="877" spans="1:10" x14ac:dyDescent="0.3">
      <c r="A877" s="135"/>
      <c r="B877" s="136"/>
      <c r="C877" s="138"/>
      <c r="D877" s="139"/>
      <c r="E877" s="141" t="str">
        <f t="shared" si="41"/>
        <v/>
      </c>
      <c r="F877" s="144"/>
      <c r="G877" s="146">
        <f t="shared" si="39"/>
        <v>0</v>
      </c>
      <c r="H877" s="141" t="str">
        <f t="shared" si="40"/>
        <v/>
      </c>
      <c r="J877" s="148" t="str">
        <f>IFERROR(SUMIFS(当年实际!$V:$V,当年实际!$H:$H,$B877,当年实际!$C:$C,"&gt;="&amp;DATE(YEAR(主页!$D$2),1,1),当年实际!$C:$C,"&lt;="&amp;EOMONTH(DATE(YEAR(主页!$D$2),MONTH(主页!$D$2),1),0))/SUMIFS(当年实际!$P:$P,当年实际!$H:$H,$B877,当年实际!$C:$C,"&gt;="&amp;DATE(YEAR(主页!$D$2),1,1),当年实际!$C:$C,"&lt;="&amp;EOMONTH(DATE(YEAR(主页!$D$2),MONTH(主页!$D$2),1),0)),"")</f>
        <v/>
      </c>
    </row>
    <row r="878" spans="1:10" x14ac:dyDescent="0.3">
      <c r="A878" s="135"/>
      <c r="B878" s="136"/>
      <c r="C878" s="138"/>
      <c r="D878" s="139"/>
      <c r="E878" s="141" t="str">
        <f t="shared" si="41"/>
        <v/>
      </c>
      <c r="F878" s="144"/>
      <c r="G878" s="146">
        <f t="shared" si="39"/>
        <v>0</v>
      </c>
      <c r="H878" s="141" t="str">
        <f t="shared" si="40"/>
        <v/>
      </c>
      <c r="J878" s="148" t="str">
        <f>IFERROR(SUMIFS(当年实际!$V:$V,当年实际!$H:$H,$B878,当年实际!$C:$C,"&gt;="&amp;DATE(YEAR(主页!$D$2),1,1),当年实际!$C:$C,"&lt;="&amp;EOMONTH(DATE(YEAR(主页!$D$2),MONTH(主页!$D$2),1),0))/SUMIFS(当年实际!$P:$P,当年实际!$H:$H,$B878,当年实际!$C:$C,"&gt;="&amp;DATE(YEAR(主页!$D$2),1,1),当年实际!$C:$C,"&lt;="&amp;EOMONTH(DATE(YEAR(主页!$D$2),MONTH(主页!$D$2),1),0)),"")</f>
        <v/>
      </c>
    </row>
    <row r="879" spans="1:10" x14ac:dyDescent="0.3">
      <c r="A879" s="135"/>
      <c r="B879" s="136"/>
      <c r="C879" s="138"/>
      <c r="D879" s="139"/>
      <c r="E879" s="141" t="str">
        <f t="shared" si="41"/>
        <v/>
      </c>
      <c r="F879" s="144"/>
      <c r="G879" s="146">
        <f t="shared" si="39"/>
        <v>0</v>
      </c>
      <c r="H879" s="141" t="str">
        <f t="shared" si="40"/>
        <v/>
      </c>
      <c r="J879" s="148" t="str">
        <f>IFERROR(SUMIFS(当年实际!$V:$V,当年实际!$H:$H,$B879,当年实际!$C:$C,"&gt;="&amp;DATE(YEAR(主页!$D$2),1,1),当年实际!$C:$C,"&lt;="&amp;EOMONTH(DATE(YEAR(主页!$D$2),MONTH(主页!$D$2),1),0))/SUMIFS(当年实际!$P:$P,当年实际!$H:$H,$B879,当年实际!$C:$C,"&gt;="&amp;DATE(YEAR(主页!$D$2),1,1),当年实际!$C:$C,"&lt;="&amp;EOMONTH(DATE(YEAR(主页!$D$2),MONTH(主页!$D$2),1),0)),"")</f>
        <v/>
      </c>
    </row>
    <row r="880" spans="1:10" x14ac:dyDescent="0.3">
      <c r="A880" s="135"/>
      <c r="B880" s="136"/>
      <c r="C880" s="138"/>
      <c r="D880" s="139"/>
      <c r="E880" s="141" t="str">
        <f t="shared" si="41"/>
        <v/>
      </c>
      <c r="F880" s="144"/>
      <c r="G880" s="146">
        <f t="shared" si="39"/>
        <v>0</v>
      </c>
      <c r="H880" s="141" t="str">
        <f t="shared" si="40"/>
        <v/>
      </c>
      <c r="J880" s="148" t="str">
        <f>IFERROR(SUMIFS(当年实际!$V:$V,当年实际!$H:$H,$B880,当年实际!$C:$C,"&gt;="&amp;DATE(YEAR(主页!$D$2),1,1),当年实际!$C:$C,"&lt;="&amp;EOMONTH(DATE(YEAR(主页!$D$2),MONTH(主页!$D$2),1),0))/SUMIFS(当年实际!$P:$P,当年实际!$H:$H,$B880,当年实际!$C:$C,"&gt;="&amp;DATE(YEAR(主页!$D$2),1,1),当年实际!$C:$C,"&lt;="&amp;EOMONTH(DATE(YEAR(主页!$D$2),MONTH(主页!$D$2),1),0)),"")</f>
        <v/>
      </c>
    </row>
    <row r="881" spans="1:10" x14ac:dyDescent="0.3">
      <c r="A881" s="135"/>
      <c r="B881" s="136"/>
      <c r="C881" s="138"/>
      <c r="D881" s="139"/>
      <c r="E881" s="141" t="str">
        <f t="shared" si="41"/>
        <v/>
      </c>
      <c r="F881" s="144"/>
      <c r="G881" s="146">
        <f t="shared" si="39"/>
        <v>0</v>
      </c>
      <c r="H881" s="141" t="str">
        <f t="shared" si="40"/>
        <v/>
      </c>
      <c r="J881" s="148" t="str">
        <f>IFERROR(SUMIFS(当年实际!$V:$V,当年实际!$H:$H,$B881,当年实际!$C:$C,"&gt;="&amp;DATE(YEAR(主页!$D$2),1,1),当年实际!$C:$C,"&lt;="&amp;EOMONTH(DATE(YEAR(主页!$D$2),MONTH(主页!$D$2),1),0))/SUMIFS(当年实际!$P:$P,当年实际!$H:$H,$B881,当年实际!$C:$C,"&gt;="&amp;DATE(YEAR(主页!$D$2),1,1),当年实际!$C:$C,"&lt;="&amp;EOMONTH(DATE(YEAR(主页!$D$2),MONTH(主页!$D$2),1),0)),"")</f>
        <v/>
      </c>
    </row>
    <row r="882" spans="1:10" x14ac:dyDescent="0.3">
      <c r="A882" s="135"/>
      <c r="B882" s="136"/>
      <c r="C882" s="138"/>
      <c r="D882" s="139"/>
      <c r="E882" s="141" t="str">
        <f t="shared" si="41"/>
        <v/>
      </c>
      <c r="F882" s="144"/>
      <c r="G882" s="146">
        <f t="shared" si="39"/>
        <v>0</v>
      </c>
      <c r="H882" s="141" t="str">
        <f t="shared" si="40"/>
        <v/>
      </c>
      <c r="J882" s="148" t="str">
        <f>IFERROR(SUMIFS(当年实际!$V:$V,当年实际!$H:$H,$B882,当年实际!$C:$C,"&gt;="&amp;DATE(YEAR(主页!$D$2),1,1),当年实际!$C:$C,"&lt;="&amp;EOMONTH(DATE(YEAR(主页!$D$2),MONTH(主页!$D$2),1),0))/SUMIFS(当年实际!$P:$P,当年实际!$H:$H,$B882,当年实际!$C:$C,"&gt;="&amp;DATE(YEAR(主页!$D$2),1,1),当年实际!$C:$C,"&lt;="&amp;EOMONTH(DATE(YEAR(主页!$D$2),MONTH(主页!$D$2),1),0)),"")</f>
        <v/>
      </c>
    </row>
    <row r="883" spans="1:10" x14ac:dyDescent="0.3">
      <c r="A883" s="135"/>
      <c r="B883" s="136"/>
      <c r="C883" s="138"/>
      <c r="D883" s="139"/>
      <c r="E883" s="141" t="str">
        <f t="shared" si="41"/>
        <v/>
      </c>
      <c r="F883" s="144"/>
      <c r="G883" s="146">
        <f t="shared" si="39"/>
        <v>0</v>
      </c>
      <c r="H883" s="141" t="str">
        <f t="shared" si="40"/>
        <v/>
      </c>
      <c r="J883" s="148" t="str">
        <f>IFERROR(SUMIFS(当年实际!$V:$V,当年实际!$H:$H,$B883,当年实际!$C:$C,"&gt;="&amp;DATE(YEAR(主页!$D$2),1,1),当年实际!$C:$C,"&lt;="&amp;EOMONTH(DATE(YEAR(主页!$D$2),MONTH(主页!$D$2),1),0))/SUMIFS(当年实际!$P:$P,当年实际!$H:$H,$B883,当年实际!$C:$C,"&gt;="&amp;DATE(YEAR(主页!$D$2),1,1),当年实际!$C:$C,"&lt;="&amp;EOMONTH(DATE(YEAR(主页!$D$2),MONTH(主页!$D$2),1),0)),"")</f>
        <v/>
      </c>
    </row>
    <row r="884" spans="1:10" x14ac:dyDescent="0.3">
      <c r="A884" s="135"/>
      <c r="B884" s="136"/>
      <c r="C884" s="138"/>
      <c r="D884" s="139"/>
      <c r="E884" s="141" t="str">
        <f t="shared" si="41"/>
        <v/>
      </c>
      <c r="F884" s="144"/>
      <c r="G884" s="146">
        <f t="shared" si="39"/>
        <v>0</v>
      </c>
      <c r="H884" s="141" t="str">
        <f t="shared" si="40"/>
        <v/>
      </c>
      <c r="J884" s="148" t="str">
        <f>IFERROR(SUMIFS(当年实际!$V:$V,当年实际!$H:$H,$B884,当年实际!$C:$C,"&gt;="&amp;DATE(YEAR(主页!$D$2),1,1),当年实际!$C:$C,"&lt;="&amp;EOMONTH(DATE(YEAR(主页!$D$2),MONTH(主页!$D$2),1),0))/SUMIFS(当年实际!$P:$P,当年实际!$H:$H,$B884,当年实际!$C:$C,"&gt;="&amp;DATE(YEAR(主页!$D$2),1,1),当年实际!$C:$C,"&lt;="&amp;EOMONTH(DATE(YEAR(主页!$D$2),MONTH(主页!$D$2),1),0)),"")</f>
        <v/>
      </c>
    </row>
    <row r="885" spans="1:10" x14ac:dyDescent="0.3">
      <c r="A885" s="135"/>
      <c r="B885" s="136"/>
      <c r="C885" s="138"/>
      <c r="D885" s="139"/>
      <c r="E885" s="141" t="str">
        <f t="shared" si="41"/>
        <v/>
      </c>
      <c r="F885" s="144"/>
      <c r="G885" s="146">
        <f t="shared" si="39"/>
        <v>0</v>
      </c>
      <c r="H885" s="141" t="str">
        <f t="shared" si="40"/>
        <v/>
      </c>
      <c r="J885" s="148" t="str">
        <f>IFERROR(SUMIFS(当年实际!$V:$V,当年实际!$H:$H,$B885,当年实际!$C:$C,"&gt;="&amp;DATE(YEAR(主页!$D$2),1,1),当年实际!$C:$C,"&lt;="&amp;EOMONTH(DATE(YEAR(主页!$D$2),MONTH(主页!$D$2),1),0))/SUMIFS(当年实际!$P:$P,当年实际!$H:$H,$B885,当年实际!$C:$C,"&gt;="&amp;DATE(YEAR(主页!$D$2),1,1),当年实际!$C:$C,"&lt;="&amp;EOMONTH(DATE(YEAR(主页!$D$2),MONTH(主页!$D$2),1),0)),"")</f>
        <v/>
      </c>
    </row>
    <row r="886" spans="1:10" x14ac:dyDescent="0.3">
      <c r="A886" s="135"/>
      <c r="B886" s="136"/>
      <c r="C886" s="138"/>
      <c r="D886" s="139"/>
      <c r="E886" s="141" t="str">
        <f t="shared" si="41"/>
        <v/>
      </c>
      <c r="F886" s="144"/>
      <c r="G886" s="146">
        <f t="shared" si="39"/>
        <v>0</v>
      </c>
      <c r="H886" s="141" t="str">
        <f t="shared" si="40"/>
        <v/>
      </c>
      <c r="J886" s="148" t="str">
        <f>IFERROR(SUMIFS(当年实际!$V:$V,当年实际!$H:$H,$B886,当年实际!$C:$C,"&gt;="&amp;DATE(YEAR(主页!$D$2),1,1),当年实际!$C:$C,"&lt;="&amp;EOMONTH(DATE(YEAR(主页!$D$2),MONTH(主页!$D$2),1),0))/SUMIFS(当年实际!$P:$P,当年实际!$H:$H,$B886,当年实际!$C:$C,"&gt;="&amp;DATE(YEAR(主页!$D$2),1,1),当年实际!$C:$C,"&lt;="&amp;EOMONTH(DATE(YEAR(主页!$D$2),MONTH(主页!$D$2),1),0)),"")</f>
        <v/>
      </c>
    </row>
    <row r="887" spans="1:10" x14ac:dyDescent="0.3">
      <c r="A887" s="135"/>
      <c r="B887" s="136"/>
      <c r="C887" s="138"/>
      <c r="D887" s="139"/>
      <c r="E887" s="141" t="str">
        <f t="shared" si="41"/>
        <v/>
      </c>
      <c r="F887" s="144"/>
      <c r="G887" s="146">
        <f t="shared" si="39"/>
        <v>0</v>
      </c>
      <c r="H887" s="141" t="str">
        <f t="shared" si="40"/>
        <v/>
      </c>
      <c r="J887" s="148" t="str">
        <f>IFERROR(SUMIFS(当年实际!$V:$V,当年实际!$H:$H,$B887,当年实际!$C:$C,"&gt;="&amp;DATE(YEAR(主页!$D$2),1,1),当年实际!$C:$C,"&lt;="&amp;EOMONTH(DATE(YEAR(主页!$D$2),MONTH(主页!$D$2),1),0))/SUMIFS(当年实际!$P:$P,当年实际!$H:$H,$B887,当年实际!$C:$C,"&gt;="&amp;DATE(YEAR(主页!$D$2),1,1),当年实际!$C:$C,"&lt;="&amp;EOMONTH(DATE(YEAR(主页!$D$2),MONTH(主页!$D$2),1),0)),"")</f>
        <v/>
      </c>
    </row>
    <row r="888" spans="1:10" x14ac:dyDescent="0.3">
      <c r="A888" s="135"/>
      <c r="B888" s="136"/>
      <c r="C888" s="138"/>
      <c r="D888" s="139"/>
      <c r="E888" s="141" t="str">
        <f t="shared" si="41"/>
        <v/>
      </c>
      <c r="F888" s="144"/>
      <c r="G888" s="146">
        <f t="shared" si="39"/>
        <v>0</v>
      </c>
      <c r="H888" s="141" t="str">
        <f t="shared" si="40"/>
        <v/>
      </c>
      <c r="J888" s="148" t="str">
        <f>IFERROR(SUMIFS(当年实际!$V:$V,当年实际!$H:$H,$B888,当年实际!$C:$C,"&gt;="&amp;DATE(YEAR(主页!$D$2),1,1),当年实际!$C:$C,"&lt;="&amp;EOMONTH(DATE(YEAR(主页!$D$2),MONTH(主页!$D$2),1),0))/SUMIFS(当年实际!$P:$P,当年实际!$H:$H,$B888,当年实际!$C:$C,"&gt;="&amp;DATE(YEAR(主页!$D$2),1,1),当年实际!$C:$C,"&lt;="&amp;EOMONTH(DATE(YEAR(主页!$D$2),MONTH(主页!$D$2),1),0)),"")</f>
        <v/>
      </c>
    </row>
    <row r="889" spans="1:10" x14ac:dyDescent="0.3">
      <c r="A889" s="135"/>
      <c r="B889" s="136"/>
      <c r="C889" s="138"/>
      <c r="D889" s="139"/>
      <c r="E889" s="141" t="str">
        <f t="shared" si="41"/>
        <v/>
      </c>
      <c r="F889" s="144"/>
      <c r="G889" s="146">
        <f t="shared" si="39"/>
        <v>0</v>
      </c>
      <c r="H889" s="141" t="str">
        <f t="shared" si="40"/>
        <v/>
      </c>
      <c r="J889" s="148" t="str">
        <f>IFERROR(SUMIFS(当年实际!$V:$V,当年实际!$H:$H,$B889,当年实际!$C:$C,"&gt;="&amp;DATE(YEAR(主页!$D$2),1,1),当年实际!$C:$C,"&lt;="&amp;EOMONTH(DATE(YEAR(主页!$D$2),MONTH(主页!$D$2),1),0))/SUMIFS(当年实际!$P:$P,当年实际!$H:$H,$B889,当年实际!$C:$C,"&gt;="&amp;DATE(YEAR(主页!$D$2),1,1),当年实际!$C:$C,"&lt;="&amp;EOMONTH(DATE(YEAR(主页!$D$2),MONTH(主页!$D$2),1),0)),"")</f>
        <v/>
      </c>
    </row>
    <row r="890" spans="1:10" x14ac:dyDescent="0.3">
      <c r="A890" s="135"/>
      <c r="B890" s="136"/>
      <c r="C890" s="138"/>
      <c r="D890" s="139"/>
      <c r="E890" s="141" t="str">
        <f t="shared" si="41"/>
        <v/>
      </c>
      <c r="F890" s="144"/>
      <c r="G890" s="146">
        <f t="shared" si="39"/>
        <v>0</v>
      </c>
      <c r="H890" s="141" t="str">
        <f t="shared" si="40"/>
        <v/>
      </c>
      <c r="J890" s="148" t="str">
        <f>IFERROR(SUMIFS(当年实际!$V:$V,当年实际!$H:$H,$B890,当年实际!$C:$C,"&gt;="&amp;DATE(YEAR(主页!$D$2),1,1),当年实际!$C:$C,"&lt;="&amp;EOMONTH(DATE(YEAR(主页!$D$2),MONTH(主页!$D$2),1),0))/SUMIFS(当年实际!$P:$P,当年实际!$H:$H,$B890,当年实际!$C:$C,"&gt;="&amp;DATE(YEAR(主页!$D$2),1,1),当年实际!$C:$C,"&lt;="&amp;EOMONTH(DATE(YEAR(主页!$D$2),MONTH(主页!$D$2),1),0)),"")</f>
        <v/>
      </c>
    </row>
    <row r="891" spans="1:10" x14ac:dyDescent="0.3">
      <c r="A891" s="135"/>
      <c r="B891" s="136"/>
      <c r="C891" s="138"/>
      <c r="D891" s="139"/>
      <c r="E891" s="141" t="str">
        <f t="shared" si="41"/>
        <v/>
      </c>
      <c r="F891" s="144"/>
      <c r="G891" s="146">
        <f t="shared" si="39"/>
        <v>0</v>
      </c>
      <c r="H891" s="141" t="str">
        <f t="shared" si="40"/>
        <v/>
      </c>
      <c r="J891" s="148" t="str">
        <f>IFERROR(SUMIFS(当年实际!$V:$V,当年实际!$H:$H,$B891,当年实际!$C:$C,"&gt;="&amp;DATE(YEAR(主页!$D$2),1,1),当年实际!$C:$C,"&lt;="&amp;EOMONTH(DATE(YEAR(主页!$D$2),MONTH(主页!$D$2),1),0))/SUMIFS(当年实际!$P:$P,当年实际!$H:$H,$B891,当年实际!$C:$C,"&gt;="&amp;DATE(YEAR(主页!$D$2),1,1),当年实际!$C:$C,"&lt;="&amp;EOMONTH(DATE(YEAR(主页!$D$2),MONTH(主页!$D$2),1),0)),"")</f>
        <v/>
      </c>
    </row>
    <row r="892" spans="1:10" x14ac:dyDescent="0.3">
      <c r="A892" s="135"/>
      <c r="B892" s="136"/>
      <c r="C892" s="138"/>
      <c r="D892" s="139"/>
      <c r="E892" s="141" t="str">
        <f t="shared" si="41"/>
        <v/>
      </c>
      <c r="F892" s="144"/>
      <c r="G892" s="146">
        <f t="shared" si="39"/>
        <v>0</v>
      </c>
      <c r="H892" s="141" t="str">
        <f t="shared" si="40"/>
        <v/>
      </c>
      <c r="J892" s="148" t="str">
        <f>IFERROR(SUMIFS(当年实际!$V:$V,当年实际!$H:$H,$B892,当年实际!$C:$C,"&gt;="&amp;DATE(YEAR(主页!$D$2),1,1),当年实际!$C:$C,"&lt;="&amp;EOMONTH(DATE(YEAR(主页!$D$2),MONTH(主页!$D$2),1),0))/SUMIFS(当年实际!$P:$P,当年实际!$H:$H,$B892,当年实际!$C:$C,"&gt;="&amp;DATE(YEAR(主页!$D$2),1,1),当年实际!$C:$C,"&lt;="&amp;EOMONTH(DATE(YEAR(主页!$D$2),MONTH(主页!$D$2),1),0)),"")</f>
        <v/>
      </c>
    </row>
    <row r="893" spans="1:10" x14ac:dyDescent="0.3">
      <c r="A893" s="135"/>
      <c r="B893" s="136"/>
      <c r="C893" s="138"/>
      <c r="D893" s="139"/>
      <c r="E893" s="141" t="str">
        <f t="shared" si="41"/>
        <v/>
      </c>
      <c r="F893" s="144"/>
      <c r="G893" s="146">
        <f t="shared" si="39"/>
        <v>0</v>
      </c>
      <c r="H893" s="141" t="str">
        <f t="shared" si="40"/>
        <v/>
      </c>
      <c r="J893" s="148" t="str">
        <f>IFERROR(SUMIFS(当年实际!$V:$V,当年实际!$H:$H,$B893,当年实际!$C:$C,"&gt;="&amp;DATE(YEAR(主页!$D$2),1,1),当年实际!$C:$C,"&lt;="&amp;EOMONTH(DATE(YEAR(主页!$D$2),MONTH(主页!$D$2),1),0))/SUMIFS(当年实际!$P:$P,当年实际!$H:$H,$B893,当年实际!$C:$C,"&gt;="&amp;DATE(YEAR(主页!$D$2),1,1),当年实际!$C:$C,"&lt;="&amp;EOMONTH(DATE(YEAR(主页!$D$2),MONTH(主页!$D$2),1),0)),"")</f>
        <v/>
      </c>
    </row>
    <row r="894" spans="1:10" x14ac:dyDescent="0.3">
      <c r="A894" s="135"/>
      <c r="B894" s="136"/>
      <c r="C894" s="138"/>
      <c r="D894" s="139"/>
      <c r="E894" s="141" t="str">
        <f t="shared" si="41"/>
        <v/>
      </c>
      <c r="F894" s="144"/>
      <c r="G894" s="146">
        <f t="shared" si="39"/>
        <v>0</v>
      </c>
      <c r="H894" s="141" t="str">
        <f t="shared" si="40"/>
        <v/>
      </c>
      <c r="J894" s="148" t="str">
        <f>IFERROR(SUMIFS(当年实际!$V:$V,当年实际!$H:$H,$B894,当年实际!$C:$C,"&gt;="&amp;DATE(YEAR(主页!$D$2),1,1),当年实际!$C:$C,"&lt;="&amp;EOMONTH(DATE(YEAR(主页!$D$2),MONTH(主页!$D$2),1),0))/SUMIFS(当年实际!$P:$P,当年实际!$H:$H,$B894,当年实际!$C:$C,"&gt;="&amp;DATE(YEAR(主页!$D$2),1,1),当年实际!$C:$C,"&lt;="&amp;EOMONTH(DATE(YEAR(主页!$D$2),MONTH(主页!$D$2),1),0)),"")</f>
        <v/>
      </c>
    </row>
    <row r="895" spans="1:10" x14ac:dyDescent="0.3">
      <c r="A895" s="135"/>
      <c r="B895" s="136"/>
      <c r="C895" s="138"/>
      <c r="D895" s="139"/>
      <c r="E895" s="141" t="str">
        <f t="shared" si="41"/>
        <v/>
      </c>
      <c r="F895" s="144"/>
      <c r="G895" s="146">
        <f t="shared" si="39"/>
        <v>0</v>
      </c>
      <c r="H895" s="141" t="str">
        <f t="shared" si="40"/>
        <v/>
      </c>
      <c r="J895" s="148" t="str">
        <f>IFERROR(SUMIFS(当年实际!$V:$V,当年实际!$H:$H,$B895,当年实际!$C:$C,"&gt;="&amp;DATE(YEAR(主页!$D$2),1,1),当年实际!$C:$C,"&lt;="&amp;EOMONTH(DATE(YEAR(主页!$D$2),MONTH(主页!$D$2),1),0))/SUMIFS(当年实际!$P:$P,当年实际!$H:$H,$B895,当年实际!$C:$C,"&gt;="&amp;DATE(YEAR(主页!$D$2),1,1),当年实际!$C:$C,"&lt;="&amp;EOMONTH(DATE(YEAR(主页!$D$2),MONTH(主页!$D$2),1),0)),"")</f>
        <v/>
      </c>
    </row>
    <row r="896" spans="1:10" x14ac:dyDescent="0.3">
      <c r="A896" s="135"/>
      <c r="B896" s="136"/>
      <c r="C896" s="138"/>
      <c r="D896" s="139"/>
      <c r="E896" s="141" t="str">
        <f t="shared" si="41"/>
        <v/>
      </c>
      <c r="F896" s="144"/>
      <c r="G896" s="146">
        <f t="shared" si="39"/>
        <v>0</v>
      </c>
      <c r="H896" s="141" t="str">
        <f t="shared" si="40"/>
        <v/>
      </c>
      <c r="J896" s="148" t="str">
        <f>IFERROR(SUMIFS(当年实际!$V:$V,当年实际!$H:$H,$B896,当年实际!$C:$C,"&gt;="&amp;DATE(YEAR(主页!$D$2),1,1),当年实际!$C:$C,"&lt;="&amp;EOMONTH(DATE(YEAR(主页!$D$2),MONTH(主页!$D$2),1),0))/SUMIFS(当年实际!$P:$P,当年实际!$H:$H,$B896,当年实际!$C:$C,"&gt;="&amp;DATE(YEAR(主页!$D$2),1,1),当年实际!$C:$C,"&lt;="&amp;EOMONTH(DATE(YEAR(主页!$D$2),MONTH(主页!$D$2),1),0)),"")</f>
        <v/>
      </c>
    </row>
    <row r="897" spans="1:10" x14ac:dyDescent="0.3">
      <c r="A897" s="135"/>
      <c r="B897" s="136"/>
      <c r="C897" s="138"/>
      <c r="D897" s="139"/>
      <c r="E897" s="141" t="str">
        <f t="shared" si="41"/>
        <v/>
      </c>
      <c r="F897" s="144"/>
      <c r="G897" s="146">
        <f t="shared" si="39"/>
        <v>0</v>
      </c>
      <c r="H897" s="141" t="str">
        <f t="shared" si="40"/>
        <v/>
      </c>
      <c r="J897" s="148" t="str">
        <f>IFERROR(SUMIFS(当年实际!$V:$V,当年实际!$H:$H,$B897,当年实际!$C:$C,"&gt;="&amp;DATE(YEAR(主页!$D$2),1,1),当年实际!$C:$C,"&lt;="&amp;EOMONTH(DATE(YEAR(主页!$D$2),MONTH(主页!$D$2),1),0))/SUMIFS(当年实际!$P:$P,当年实际!$H:$H,$B897,当年实际!$C:$C,"&gt;="&amp;DATE(YEAR(主页!$D$2),1,1),当年实际!$C:$C,"&lt;="&amp;EOMONTH(DATE(YEAR(主页!$D$2),MONTH(主页!$D$2),1),0)),"")</f>
        <v/>
      </c>
    </row>
    <row r="898" spans="1:10" x14ac:dyDescent="0.3">
      <c r="A898" s="135"/>
      <c r="B898" s="136"/>
      <c r="C898" s="138"/>
      <c r="D898" s="139"/>
      <c r="E898" s="141" t="str">
        <f t="shared" si="41"/>
        <v/>
      </c>
      <c r="F898" s="144"/>
      <c r="G898" s="146">
        <f t="shared" si="39"/>
        <v>0</v>
      </c>
      <c r="H898" s="141" t="str">
        <f t="shared" si="40"/>
        <v/>
      </c>
      <c r="J898" s="148" t="str">
        <f>IFERROR(SUMIFS(当年实际!$V:$V,当年实际!$H:$H,$B898,当年实际!$C:$C,"&gt;="&amp;DATE(YEAR(主页!$D$2),1,1),当年实际!$C:$C,"&lt;="&amp;EOMONTH(DATE(YEAR(主页!$D$2),MONTH(主页!$D$2),1),0))/SUMIFS(当年实际!$P:$P,当年实际!$H:$H,$B898,当年实际!$C:$C,"&gt;="&amp;DATE(YEAR(主页!$D$2),1,1),当年实际!$C:$C,"&lt;="&amp;EOMONTH(DATE(YEAR(主页!$D$2),MONTH(主页!$D$2),1),0)),"")</f>
        <v/>
      </c>
    </row>
    <row r="899" spans="1:10" x14ac:dyDescent="0.3">
      <c r="A899" s="135"/>
      <c r="B899" s="136"/>
      <c r="C899" s="138"/>
      <c r="D899" s="139"/>
      <c r="E899" s="141" t="str">
        <f t="shared" si="41"/>
        <v/>
      </c>
      <c r="F899" s="144"/>
      <c r="G899" s="146">
        <f t="shared" si="39"/>
        <v>0</v>
      </c>
      <c r="H899" s="141" t="str">
        <f t="shared" si="40"/>
        <v/>
      </c>
      <c r="J899" s="148" t="str">
        <f>IFERROR(SUMIFS(当年实际!$V:$V,当年实际!$H:$H,$B899,当年实际!$C:$C,"&gt;="&amp;DATE(YEAR(主页!$D$2),1,1),当年实际!$C:$C,"&lt;="&amp;EOMONTH(DATE(YEAR(主页!$D$2),MONTH(主页!$D$2),1),0))/SUMIFS(当年实际!$P:$P,当年实际!$H:$H,$B899,当年实际!$C:$C,"&gt;="&amp;DATE(YEAR(主页!$D$2),1,1),当年实际!$C:$C,"&lt;="&amp;EOMONTH(DATE(YEAR(主页!$D$2),MONTH(主页!$D$2),1),0)),"")</f>
        <v/>
      </c>
    </row>
    <row r="900" spans="1:10" x14ac:dyDescent="0.3">
      <c r="A900" s="135"/>
      <c r="B900" s="136"/>
      <c r="C900" s="138"/>
      <c r="D900" s="139"/>
      <c r="E900" s="141" t="str">
        <f t="shared" si="41"/>
        <v/>
      </c>
      <c r="F900" s="144"/>
      <c r="G900" s="146">
        <f t="shared" si="39"/>
        <v>0</v>
      </c>
      <c r="H900" s="141" t="str">
        <f t="shared" si="40"/>
        <v/>
      </c>
      <c r="J900" s="148" t="str">
        <f>IFERROR(SUMIFS(当年实际!$V:$V,当年实际!$H:$H,$B900,当年实际!$C:$C,"&gt;="&amp;DATE(YEAR(主页!$D$2),1,1),当年实际!$C:$C,"&lt;="&amp;EOMONTH(DATE(YEAR(主页!$D$2),MONTH(主页!$D$2),1),0))/SUMIFS(当年实际!$P:$P,当年实际!$H:$H,$B900,当年实际!$C:$C,"&gt;="&amp;DATE(YEAR(主页!$D$2),1,1),当年实际!$C:$C,"&lt;="&amp;EOMONTH(DATE(YEAR(主页!$D$2),MONTH(主页!$D$2),1),0)),"")</f>
        <v/>
      </c>
    </row>
    <row r="901" spans="1:10" x14ac:dyDescent="0.3">
      <c r="A901" s="135"/>
      <c r="B901" s="136"/>
      <c r="C901" s="138"/>
      <c r="D901" s="139"/>
      <c r="E901" s="141" t="str">
        <f t="shared" si="41"/>
        <v/>
      </c>
      <c r="F901" s="144"/>
      <c r="G901" s="146">
        <f t="shared" ref="G901:G964" si="42">D901*F901</f>
        <v>0</v>
      </c>
      <c r="H901" s="141" t="str">
        <f t="shared" si="40"/>
        <v/>
      </c>
      <c r="J901" s="148" t="str">
        <f>IFERROR(SUMIFS(当年实际!$V:$V,当年实际!$H:$H,$B901,当年实际!$C:$C,"&gt;="&amp;DATE(YEAR(主页!$D$2),1,1),当年实际!$C:$C,"&lt;="&amp;EOMONTH(DATE(YEAR(主页!$D$2),MONTH(主页!$D$2),1),0))/SUMIFS(当年实际!$P:$P,当年实际!$H:$H,$B901,当年实际!$C:$C,"&gt;="&amp;DATE(YEAR(主页!$D$2),1,1),当年实际!$C:$C,"&lt;="&amp;EOMONTH(DATE(YEAR(主页!$D$2),MONTH(主页!$D$2),1),0)),"")</f>
        <v/>
      </c>
    </row>
    <row r="902" spans="1:10" x14ac:dyDescent="0.3">
      <c r="A902" s="135"/>
      <c r="B902" s="136"/>
      <c r="C902" s="138"/>
      <c r="D902" s="139"/>
      <c r="E902" s="141" t="str">
        <f t="shared" si="41"/>
        <v/>
      </c>
      <c r="F902" s="144"/>
      <c r="G902" s="146">
        <f t="shared" si="42"/>
        <v>0</v>
      </c>
      <c r="H902" s="141" t="str">
        <f t="shared" ref="H902:H965" si="43">IF(G902/SUM(G:G)=0,"",G902/SUM(G:G))</f>
        <v/>
      </c>
      <c r="J902" s="148" t="str">
        <f>IFERROR(SUMIFS(当年实际!$V:$V,当年实际!$H:$H,$B902,当年实际!$C:$C,"&gt;="&amp;DATE(YEAR(主页!$D$2),1,1),当年实际!$C:$C,"&lt;="&amp;EOMONTH(DATE(YEAR(主页!$D$2),MONTH(主页!$D$2),1),0))/SUMIFS(当年实际!$P:$P,当年实际!$H:$H,$B902,当年实际!$C:$C,"&gt;="&amp;DATE(YEAR(主页!$D$2),1,1),当年实际!$C:$C,"&lt;="&amp;EOMONTH(DATE(YEAR(主页!$D$2),MONTH(主页!$D$2),1),0)),"")</f>
        <v/>
      </c>
    </row>
    <row r="903" spans="1:10" x14ac:dyDescent="0.3">
      <c r="A903" s="135"/>
      <c r="B903" s="136"/>
      <c r="C903" s="138"/>
      <c r="D903" s="139"/>
      <c r="E903" s="141" t="str">
        <f t="shared" si="41"/>
        <v/>
      </c>
      <c r="F903" s="144"/>
      <c r="G903" s="146">
        <f t="shared" si="42"/>
        <v>0</v>
      </c>
      <c r="H903" s="141" t="str">
        <f t="shared" si="43"/>
        <v/>
      </c>
      <c r="J903" s="148" t="str">
        <f>IFERROR(SUMIFS(当年实际!$V:$V,当年实际!$H:$H,$B903,当年实际!$C:$C,"&gt;="&amp;DATE(YEAR(主页!$D$2),1,1),当年实际!$C:$C,"&lt;="&amp;EOMONTH(DATE(YEAR(主页!$D$2),MONTH(主页!$D$2),1),0))/SUMIFS(当年实际!$P:$P,当年实际!$H:$H,$B903,当年实际!$C:$C,"&gt;="&amp;DATE(YEAR(主页!$D$2),1,1),当年实际!$C:$C,"&lt;="&amp;EOMONTH(DATE(YEAR(主页!$D$2),MONTH(主页!$D$2),1),0)),"")</f>
        <v/>
      </c>
    </row>
    <row r="904" spans="1:10" x14ac:dyDescent="0.3">
      <c r="A904" s="135"/>
      <c r="B904" s="136"/>
      <c r="C904" s="138"/>
      <c r="D904" s="139"/>
      <c r="E904" s="141" t="str">
        <f t="shared" ref="E904:E967" si="44">IF(D904/SUM(D:D)=0,"",D904/SUM(D:D))</f>
        <v/>
      </c>
      <c r="F904" s="144"/>
      <c r="G904" s="146">
        <f t="shared" si="42"/>
        <v>0</v>
      </c>
      <c r="H904" s="141" t="str">
        <f t="shared" si="43"/>
        <v/>
      </c>
      <c r="J904" s="148" t="str">
        <f>IFERROR(SUMIFS(当年实际!$V:$V,当年实际!$H:$H,$B904,当年实际!$C:$C,"&gt;="&amp;DATE(YEAR(主页!$D$2),1,1),当年实际!$C:$C,"&lt;="&amp;EOMONTH(DATE(YEAR(主页!$D$2),MONTH(主页!$D$2),1),0))/SUMIFS(当年实际!$P:$P,当年实际!$H:$H,$B904,当年实际!$C:$C,"&gt;="&amp;DATE(YEAR(主页!$D$2),1,1),当年实际!$C:$C,"&lt;="&amp;EOMONTH(DATE(YEAR(主页!$D$2),MONTH(主页!$D$2),1),0)),"")</f>
        <v/>
      </c>
    </row>
    <row r="905" spans="1:10" x14ac:dyDescent="0.3">
      <c r="A905" s="135"/>
      <c r="B905" s="136"/>
      <c r="C905" s="138"/>
      <c r="D905" s="139"/>
      <c r="E905" s="141" t="str">
        <f t="shared" si="44"/>
        <v/>
      </c>
      <c r="F905" s="144"/>
      <c r="G905" s="146">
        <f t="shared" si="42"/>
        <v>0</v>
      </c>
      <c r="H905" s="141" t="str">
        <f t="shared" si="43"/>
        <v/>
      </c>
      <c r="J905" s="148" t="str">
        <f>IFERROR(SUMIFS(当年实际!$V:$V,当年实际!$H:$H,$B905,当年实际!$C:$C,"&gt;="&amp;DATE(YEAR(主页!$D$2),1,1),当年实际!$C:$C,"&lt;="&amp;EOMONTH(DATE(YEAR(主页!$D$2),MONTH(主页!$D$2),1),0))/SUMIFS(当年实际!$P:$P,当年实际!$H:$H,$B905,当年实际!$C:$C,"&gt;="&amp;DATE(YEAR(主页!$D$2),1,1),当年实际!$C:$C,"&lt;="&amp;EOMONTH(DATE(YEAR(主页!$D$2),MONTH(主页!$D$2),1),0)),"")</f>
        <v/>
      </c>
    </row>
    <row r="906" spans="1:10" x14ac:dyDescent="0.3">
      <c r="A906" s="135"/>
      <c r="B906" s="136"/>
      <c r="C906" s="138"/>
      <c r="D906" s="139"/>
      <c r="E906" s="141" t="str">
        <f t="shared" si="44"/>
        <v/>
      </c>
      <c r="F906" s="144"/>
      <c r="G906" s="146">
        <f t="shared" si="42"/>
        <v>0</v>
      </c>
      <c r="H906" s="141" t="str">
        <f t="shared" si="43"/>
        <v/>
      </c>
      <c r="J906" s="148" t="str">
        <f>IFERROR(SUMIFS(当年实际!$V:$V,当年实际!$H:$H,$B906,当年实际!$C:$C,"&gt;="&amp;DATE(YEAR(主页!$D$2),1,1),当年实际!$C:$C,"&lt;="&amp;EOMONTH(DATE(YEAR(主页!$D$2),MONTH(主页!$D$2),1),0))/SUMIFS(当年实际!$P:$P,当年实际!$H:$H,$B906,当年实际!$C:$C,"&gt;="&amp;DATE(YEAR(主页!$D$2),1,1),当年实际!$C:$C,"&lt;="&amp;EOMONTH(DATE(YEAR(主页!$D$2),MONTH(主页!$D$2),1),0)),"")</f>
        <v/>
      </c>
    </row>
    <row r="907" spans="1:10" x14ac:dyDescent="0.3">
      <c r="A907" s="135"/>
      <c r="B907" s="136"/>
      <c r="C907" s="138"/>
      <c r="D907" s="139"/>
      <c r="E907" s="141" t="str">
        <f t="shared" si="44"/>
        <v/>
      </c>
      <c r="F907" s="144"/>
      <c r="G907" s="146">
        <f t="shared" si="42"/>
        <v>0</v>
      </c>
      <c r="H907" s="141" t="str">
        <f t="shared" si="43"/>
        <v/>
      </c>
      <c r="J907" s="148" t="str">
        <f>IFERROR(SUMIFS(当年实际!$V:$V,当年实际!$H:$H,$B907,当年实际!$C:$C,"&gt;="&amp;DATE(YEAR(主页!$D$2),1,1),当年实际!$C:$C,"&lt;="&amp;EOMONTH(DATE(YEAR(主页!$D$2),MONTH(主页!$D$2),1),0))/SUMIFS(当年实际!$P:$P,当年实际!$H:$H,$B907,当年实际!$C:$C,"&gt;="&amp;DATE(YEAR(主页!$D$2),1,1),当年实际!$C:$C,"&lt;="&amp;EOMONTH(DATE(YEAR(主页!$D$2),MONTH(主页!$D$2),1),0)),"")</f>
        <v/>
      </c>
    </row>
    <row r="908" spans="1:10" x14ac:dyDescent="0.3">
      <c r="A908" s="135"/>
      <c r="B908" s="136"/>
      <c r="C908" s="138"/>
      <c r="D908" s="139"/>
      <c r="E908" s="141" t="str">
        <f t="shared" si="44"/>
        <v/>
      </c>
      <c r="F908" s="144"/>
      <c r="G908" s="146">
        <f t="shared" si="42"/>
        <v>0</v>
      </c>
      <c r="H908" s="141" t="str">
        <f t="shared" si="43"/>
        <v/>
      </c>
      <c r="J908" s="148" t="str">
        <f>IFERROR(SUMIFS(当年实际!$V:$V,当年实际!$H:$H,$B908,当年实际!$C:$C,"&gt;="&amp;DATE(YEAR(主页!$D$2),1,1),当年实际!$C:$C,"&lt;="&amp;EOMONTH(DATE(YEAR(主页!$D$2),MONTH(主页!$D$2),1),0))/SUMIFS(当年实际!$P:$P,当年实际!$H:$H,$B908,当年实际!$C:$C,"&gt;="&amp;DATE(YEAR(主页!$D$2),1,1),当年实际!$C:$C,"&lt;="&amp;EOMONTH(DATE(YEAR(主页!$D$2),MONTH(主页!$D$2),1),0)),"")</f>
        <v/>
      </c>
    </row>
    <row r="909" spans="1:10" x14ac:dyDescent="0.3">
      <c r="A909" s="135"/>
      <c r="B909" s="136"/>
      <c r="C909" s="138"/>
      <c r="D909" s="139"/>
      <c r="E909" s="141" t="str">
        <f t="shared" si="44"/>
        <v/>
      </c>
      <c r="F909" s="144"/>
      <c r="G909" s="146">
        <f t="shared" si="42"/>
        <v>0</v>
      </c>
      <c r="H909" s="141" t="str">
        <f t="shared" si="43"/>
        <v/>
      </c>
      <c r="J909" s="148" t="str">
        <f>IFERROR(SUMIFS(当年实际!$V:$V,当年实际!$H:$H,$B909,当年实际!$C:$C,"&gt;="&amp;DATE(YEAR(主页!$D$2),1,1),当年实际!$C:$C,"&lt;="&amp;EOMONTH(DATE(YEAR(主页!$D$2),MONTH(主页!$D$2),1),0))/SUMIFS(当年实际!$P:$P,当年实际!$H:$H,$B909,当年实际!$C:$C,"&gt;="&amp;DATE(YEAR(主页!$D$2),1,1),当年实际!$C:$C,"&lt;="&amp;EOMONTH(DATE(YEAR(主页!$D$2),MONTH(主页!$D$2),1),0)),"")</f>
        <v/>
      </c>
    </row>
    <row r="910" spans="1:10" x14ac:dyDescent="0.3">
      <c r="A910" s="135"/>
      <c r="B910" s="136"/>
      <c r="C910" s="138"/>
      <c r="D910" s="139"/>
      <c r="E910" s="141" t="str">
        <f t="shared" si="44"/>
        <v/>
      </c>
      <c r="F910" s="144"/>
      <c r="G910" s="146">
        <f t="shared" si="42"/>
        <v>0</v>
      </c>
      <c r="H910" s="141" t="str">
        <f t="shared" si="43"/>
        <v/>
      </c>
      <c r="J910" s="148" t="str">
        <f>IFERROR(SUMIFS(当年实际!$V:$V,当年实际!$H:$H,$B910,当年实际!$C:$C,"&gt;="&amp;DATE(YEAR(主页!$D$2),1,1),当年实际!$C:$C,"&lt;="&amp;EOMONTH(DATE(YEAR(主页!$D$2),MONTH(主页!$D$2),1),0))/SUMIFS(当年实际!$P:$P,当年实际!$H:$H,$B910,当年实际!$C:$C,"&gt;="&amp;DATE(YEAR(主页!$D$2),1,1),当年实际!$C:$C,"&lt;="&amp;EOMONTH(DATE(YEAR(主页!$D$2),MONTH(主页!$D$2),1),0)),"")</f>
        <v/>
      </c>
    </row>
    <row r="911" spans="1:10" x14ac:dyDescent="0.3">
      <c r="A911" s="135"/>
      <c r="B911" s="136"/>
      <c r="C911" s="138"/>
      <c r="D911" s="139"/>
      <c r="E911" s="141" t="str">
        <f t="shared" si="44"/>
        <v/>
      </c>
      <c r="F911" s="144"/>
      <c r="G911" s="146">
        <f t="shared" si="42"/>
        <v>0</v>
      </c>
      <c r="H911" s="141" t="str">
        <f t="shared" si="43"/>
        <v/>
      </c>
      <c r="J911" s="148" t="str">
        <f>IFERROR(SUMIFS(当年实际!$V:$V,当年实际!$H:$H,$B911,当年实际!$C:$C,"&gt;="&amp;DATE(YEAR(主页!$D$2),1,1),当年实际!$C:$C,"&lt;="&amp;EOMONTH(DATE(YEAR(主页!$D$2),MONTH(主页!$D$2),1),0))/SUMIFS(当年实际!$P:$P,当年实际!$H:$H,$B911,当年实际!$C:$C,"&gt;="&amp;DATE(YEAR(主页!$D$2),1,1),当年实际!$C:$C,"&lt;="&amp;EOMONTH(DATE(YEAR(主页!$D$2),MONTH(主页!$D$2),1),0)),"")</f>
        <v/>
      </c>
    </row>
    <row r="912" spans="1:10" x14ac:dyDescent="0.3">
      <c r="A912" s="135"/>
      <c r="B912" s="136"/>
      <c r="C912" s="138"/>
      <c r="D912" s="139"/>
      <c r="E912" s="141" t="str">
        <f t="shared" si="44"/>
        <v/>
      </c>
      <c r="F912" s="144"/>
      <c r="G912" s="146">
        <f t="shared" si="42"/>
        <v>0</v>
      </c>
      <c r="H912" s="141" t="str">
        <f t="shared" si="43"/>
        <v/>
      </c>
      <c r="J912" s="148" t="str">
        <f>IFERROR(SUMIFS(当年实际!$V:$V,当年实际!$H:$H,$B912,当年实际!$C:$C,"&gt;="&amp;DATE(YEAR(主页!$D$2),1,1),当年实际!$C:$C,"&lt;="&amp;EOMONTH(DATE(YEAR(主页!$D$2),MONTH(主页!$D$2),1),0))/SUMIFS(当年实际!$P:$P,当年实际!$H:$H,$B912,当年实际!$C:$C,"&gt;="&amp;DATE(YEAR(主页!$D$2),1,1),当年实际!$C:$C,"&lt;="&amp;EOMONTH(DATE(YEAR(主页!$D$2),MONTH(主页!$D$2),1),0)),"")</f>
        <v/>
      </c>
    </row>
    <row r="913" spans="1:10" x14ac:dyDescent="0.3">
      <c r="A913" s="135"/>
      <c r="B913" s="136"/>
      <c r="C913" s="138"/>
      <c r="D913" s="139"/>
      <c r="E913" s="141" t="str">
        <f t="shared" si="44"/>
        <v/>
      </c>
      <c r="F913" s="144"/>
      <c r="G913" s="146">
        <f t="shared" si="42"/>
        <v>0</v>
      </c>
      <c r="H913" s="141" t="str">
        <f t="shared" si="43"/>
        <v/>
      </c>
      <c r="J913" s="148" t="str">
        <f>IFERROR(SUMIFS(当年实际!$V:$V,当年实际!$H:$H,$B913,当年实际!$C:$C,"&gt;="&amp;DATE(YEAR(主页!$D$2),1,1),当年实际!$C:$C,"&lt;="&amp;EOMONTH(DATE(YEAR(主页!$D$2),MONTH(主页!$D$2),1),0))/SUMIFS(当年实际!$P:$P,当年实际!$H:$H,$B913,当年实际!$C:$C,"&gt;="&amp;DATE(YEAR(主页!$D$2),1,1),当年实际!$C:$C,"&lt;="&amp;EOMONTH(DATE(YEAR(主页!$D$2),MONTH(主页!$D$2),1),0)),"")</f>
        <v/>
      </c>
    </row>
    <row r="914" spans="1:10" x14ac:dyDescent="0.3">
      <c r="A914" s="135"/>
      <c r="B914" s="136"/>
      <c r="C914" s="138"/>
      <c r="D914" s="139"/>
      <c r="E914" s="141" t="str">
        <f t="shared" si="44"/>
        <v/>
      </c>
      <c r="F914" s="144"/>
      <c r="G914" s="146">
        <f t="shared" si="42"/>
        <v>0</v>
      </c>
      <c r="H914" s="141" t="str">
        <f t="shared" si="43"/>
        <v/>
      </c>
      <c r="J914" s="148" t="str">
        <f>IFERROR(SUMIFS(当年实际!$V:$V,当年实际!$H:$H,$B914,当年实际!$C:$C,"&gt;="&amp;DATE(YEAR(主页!$D$2),1,1),当年实际!$C:$C,"&lt;="&amp;EOMONTH(DATE(YEAR(主页!$D$2),MONTH(主页!$D$2),1),0))/SUMIFS(当年实际!$P:$P,当年实际!$H:$H,$B914,当年实际!$C:$C,"&gt;="&amp;DATE(YEAR(主页!$D$2),1,1),当年实际!$C:$C,"&lt;="&amp;EOMONTH(DATE(YEAR(主页!$D$2),MONTH(主页!$D$2),1),0)),"")</f>
        <v/>
      </c>
    </row>
    <row r="915" spans="1:10" x14ac:dyDescent="0.3">
      <c r="A915" s="135"/>
      <c r="B915" s="136"/>
      <c r="C915" s="138"/>
      <c r="D915" s="139"/>
      <c r="E915" s="141" t="str">
        <f t="shared" si="44"/>
        <v/>
      </c>
      <c r="F915" s="144"/>
      <c r="G915" s="146">
        <f t="shared" si="42"/>
        <v>0</v>
      </c>
      <c r="H915" s="141" t="str">
        <f t="shared" si="43"/>
        <v/>
      </c>
      <c r="J915" s="148" t="str">
        <f>IFERROR(SUMIFS(当年实际!$V:$V,当年实际!$H:$H,$B915,当年实际!$C:$C,"&gt;="&amp;DATE(YEAR(主页!$D$2),1,1),当年实际!$C:$C,"&lt;="&amp;EOMONTH(DATE(YEAR(主页!$D$2),MONTH(主页!$D$2),1),0))/SUMIFS(当年实际!$P:$P,当年实际!$H:$H,$B915,当年实际!$C:$C,"&gt;="&amp;DATE(YEAR(主页!$D$2),1,1),当年实际!$C:$C,"&lt;="&amp;EOMONTH(DATE(YEAR(主页!$D$2),MONTH(主页!$D$2),1),0)),"")</f>
        <v/>
      </c>
    </row>
    <row r="916" spans="1:10" x14ac:dyDescent="0.3">
      <c r="A916" s="135"/>
      <c r="B916" s="136"/>
      <c r="C916" s="138"/>
      <c r="D916" s="139"/>
      <c r="E916" s="141" t="str">
        <f t="shared" si="44"/>
        <v/>
      </c>
      <c r="F916" s="144"/>
      <c r="G916" s="146">
        <f t="shared" si="42"/>
        <v>0</v>
      </c>
      <c r="H916" s="141" t="str">
        <f t="shared" si="43"/>
        <v/>
      </c>
      <c r="J916" s="148" t="str">
        <f>IFERROR(SUMIFS(当年实际!$V:$V,当年实际!$H:$H,$B916,当年实际!$C:$C,"&gt;="&amp;DATE(YEAR(主页!$D$2),1,1),当年实际!$C:$C,"&lt;="&amp;EOMONTH(DATE(YEAR(主页!$D$2),MONTH(主页!$D$2),1),0))/SUMIFS(当年实际!$P:$P,当年实际!$H:$H,$B916,当年实际!$C:$C,"&gt;="&amp;DATE(YEAR(主页!$D$2),1,1),当年实际!$C:$C,"&lt;="&amp;EOMONTH(DATE(YEAR(主页!$D$2),MONTH(主页!$D$2),1),0)),"")</f>
        <v/>
      </c>
    </row>
    <row r="917" spans="1:10" x14ac:dyDescent="0.3">
      <c r="A917" s="135"/>
      <c r="B917" s="136"/>
      <c r="C917" s="138"/>
      <c r="D917" s="139"/>
      <c r="E917" s="141" t="str">
        <f t="shared" si="44"/>
        <v/>
      </c>
      <c r="F917" s="144"/>
      <c r="G917" s="146">
        <f t="shared" si="42"/>
        <v>0</v>
      </c>
      <c r="H917" s="141" t="str">
        <f t="shared" si="43"/>
        <v/>
      </c>
      <c r="J917" s="148" t="str">
        <f>IFERROR(SUMIFS(当年实际!$V:$V,当年实际!$H:$H,$B917,当年实际!$C:$C,"&gt;="&amp;DATE(YEAR(主页!$D$2),1,1),当年实际!$C:$C,"&lt;="&amp;EOMONTH(DATE(YEAR(主页!$D$2),MONTH(主页!$D$2),1),0))/SUMIFS(当年实际!$P:$P,当年实际!$H:$H,$B917,当年实际!$C:$C,"&gt;="&amp;DATE(YEAR(主页!$D$2),1,1),当年实际!$C:$C,"&lt;="&amp;EOMONTH(DATE(YEAR(主页!$D$2),MONTH(主页!$D$2),1),0)),"")</f>
        <v/>
      </c>
    </row>
    <row r="918" spans="1:10" x14ac:dyDescent="0.3">
      <c r="A918" s="135"/>
      <c r="B918" s="136"/>
      <c r="C918" s="138"/>
      <c r="D918" s="139"/>
      <c r="E918" s="141" t="str">
        <f t="shared" si="44"/>
        <v/>
      </c>
      <c r="F918" s="144"/>
      <c r="G918" s="146">
        <f t="shared" si="42"/>
        <v>0</v>
      </c>
      <c r="H918" s="141" t="str">
        <f t="shared" si="43"/>
        <v/>
      </c>
      <c r="J918" s="148" t="str">
        <f>IFERROR(SUMIFS(当年实际!$V:$V,当年实际!$H:$H,$B918,当年实际!$C:$C,"&gt;="&amp;DATE(YEAR(主页!$D$2),1,1),当年实际!$C:$C,"&lt;="&amp;EOMONTH(DATE(YEAR(主页!$D$2),MONTH(主页!$D$2),1),0))/SUMIFS(当年实际!$P:$P,当年实际!$H:$H,$B918,当年实际!$C:$C,"&gt;="&amp;DATE(YEAR(主页!$D$2),1,1),当年实际!$C:$C,"&lt;="&amp;EOMONTH(DATE(YEAR(主页!$D$2),MONTH(主页!$D$2),1),0)),"")</f>
        <v/>
      </c>
    </row>
    <row r="919" spans="1:10" x14ac:dyDescent="0.3">
      <c r="A919" s="135"/>
      <c r="B919" s="136"/>
      <c r="C919" s="138"/>
      <c r="D919" s="139"/>
      <c r="E919" s="141" t="str">
        <f t="shared" si="44"/>
        <v/>
      </c>
      <c r="F919" s="144"/>
      <c r="G919" s="146">
        <f t="shared" si="42"/>
        <v>0</v>
      </c>
      <c r="H919" s="141" t="str">
        <f t="shared" si="43"/>
        <v/>
      </c>
      <c r="J919" s="148" t="str">
        <f>IFERROR(SUMIFS(当年实际!$V:$V,当年实际!$H:$H,$B919,当年实际!$C:$C,"&gt;="&amp;DATE(YEAR(主页!$D$2),1,1),当年实际!$C:$C,"&lt;="&amp;EOMONTH(DATE(YEAR(主页!$D$2),MONTH(主页!$D$2),1),0))/SUMIFS(当年实际!$P:$P,当年实际!$H:$H,$B919,当年实际!$C:$C,"&gt;="&amp;DATE(YEAR(主页!$D$2),1,1),当年实际!$C:$C,"&lt;="&amp;EOMONTH(DATE(YEAR(主页!$D$2),MONTH(主页!$D$2),1),0)),"")</f>
        <v/>
      </c>
    </row>
    <row r="920" spans="1:10" x14ac:dyDescent="0.3">
      <c r="A920" s="135"/>
      <c r="B920" s="136"/>
      <c r="C920" s="138"/>
      <c r="D920" s="139"/>
      <c r="E920" s="141" t="str">
        <f t="shared" si="44"/>
        <v/>
      </c>
      <c r="F920" s="144"/>
      <c r="G920" s="146">
        <f t="shared" si="42"/>
        <v>0</v>
      </c>
      <c r="H920" s="141" t="str">
        <f t="shared" si="43"/>
        <v/>
      </c>
      <c r="J920" s="148" t="str">
        <f>IFERROR(SUMIFS(当年实际!$V:$V,当年实际!$H:$H,$B920,当年实际!$C:$C,"&gt;="&amp;DATE(YEAR(主页!$D$2),1,1),当年实际!$C:$C,"&lt;="&amp;EOMONTH(DATE(YEAR(主页!$D$2),MONTH(主页!$D$2),1),0))/SUMIFS(当年实际!$P:$P,当年实际!$H:$H,$B920,当年实际!$C:$C,"&gt;="&amp;DATE(YEAR(主页!$D$2),1,1),当年实际!$C:$C,"&lt;="&amp;EOMONTH(DATE(YEAR(主页!$D$2),MONTH(主页!$D$2),1),0)),"")</f>
        <v/>
      </c>
    </row>
    <row r="921" spans="1:10" x14ac:dyDescent="0.3">
      <c r="A921" s="135"/>
      <c r="B921" s="136"/>
      <c r="C921" s="138"/>
      <c r="D921" s="139"/>
      <c r="E921" s="141" t="str">
        <f t="shared" si="44"/>
        <v/>
      </c>
      <c r="F921" s="144"/>
      <c r="G921" s="146">
        <f t="shared" si="42"/>
        <v>0</v>
      </c>
      <c r="H921" s="141" t="str">
        <f t="shared" si="43"/>
        <v/>
      </c>
      <c r="J921" s="148" t="str">
        <f>IFERROR(SUMIFS(当年实际!$V:$V,当年实际!$H:$H,$B921,当年实际!$C:$C,"&gt;="&amp;DATE(YEAR(主页!$D$2),1,1),当年实际!$C:$C,"&lt;="&amp;EOMONTH(DATE(YEAR(主页!$D$2),MONTH(主页!$D$2),1),0))/SUMIFS(当年实际!$P:$P,当年实际!$H:$H,$B921,当年实际!$C:$C,"&gt;="&amp;DATE(YEAR(主页!$D$2),1,1),当年实际!$C:$C,"&lt;="&amp;EOMONTH(DATE(YEAR(主页!$D$2),MONTH(主页!$D$2),1),0)),"")</f>
        <v/>
      </c>
    </row>
    <row r="922" spans="1:10" x14ac:dyDescent="0.3">
      <c r="A922" s="135"/>
      <c r="B922" s="136"/>
      <c r="C922" s="138"/>
      <c r="D922" s="139"/>
      <c r="E922" s="141" t="str">
        <f t="shared" si="44"/>
        <v/>
      </c>
      <c r="F922" s="144"/>
      <c r="G922" s="146">
        <f t="shared" si="42"/>
        <v>0</v>
      </c>
      <c r="H922" s="141" t="str">
        <f t="shared" si="43"/>
        <v/>
      </c>
      <c r="J922" s="148" t="str">
        <f>IFERROR(SUMIFS(当年实际!$V:$V,当年实际!$H:$H,$B922,当年实际!$C:$C,"&gt;="&amp;DATE(YEAR(主页!$D$2),1,1),当年实际!$C:$C,"&lt;="&amp;EOMONTH(DATE(YEAR(主页!$D$2),MONTH(主页!$D$2),1),0))/SUMIFS(当年实际!$P:$P,当年实际!$H:$H,$B922,当年实际!$C:$C,"&gt;="&amp;DATE(YEAR(主页!$D$2),1,1),当年实际!$C:$C,"&lt;="&amp;EOMONTH(DATE(YEAR(主页!$D$2),MONTH(主页!$D$2),1),0)),"")</f>
        <v/>
      </c>
    </row>
    <row r="923" spans="1:10" x14ac:dyDescent="0.3">
      <c r="A923" s="135"/>
      <c r="B923" s="136"/>
      <c r="C923" s="138"/>
      <c r="D923" s="139"/>
      <c r="E923" s="141" t="str">
        <f t="shared" si="44"/>
        <v/>
      </c>
      <c r="F923" s="144"/>
      <c r="G923" s="146">
        <f t="shared" si="42"/>
        <v>0</v>
      </c>
      <c r="H923" s="141" t="str">
        <f t="shared" si="43"/>
        <v/>
      </c>
      <c r="J923" s="148" t="str">
        <f>IFERROR(SUMIFS(当年实际!$V:$V,当年实际!$H:$H,$B923,当年实际!$C:$C,"&gt;="&amp;DATE(YEAR(主页!$D$2),1,1),当年实际!$C:$C,"&lt;="&amp;EOMONTH(DATE(YEAR(主页!$D$2),MONTH(主页!$D$2),1),0))/SUMIFS(当年实际!$P:$P,当年实际!$H:$H,$B923,当年实际!$C:$C,"&gt;="&amp;DATE(YEAR(主页!$D$2),1,1),当年实际!$C:$C,"&lt;="&amp;EOMONTH(DATE(YEAR(主页!$D$2),MONTH(主页!$D$2),1),0)),"")</f>
        <v/>
      </c>
    </row>
    <row r="924" spans="1:10" x14ac:dyDescent="0.3">
      <c r="A924" s="135"/>
      <c r="B924" s="136"/>
      <c r="C924" s="138"/>
      <c r="D924" s="139"/>
      <c r="E924" s="141" t="str">
        <f t="shared" si="44"/>
        <v/>
      </c>
      <c r="F924" s="144"/>
      <c r="G924" s="146">
        <f t="shared" si="42"/>
        <v>0</v>
      </c>
      <c r="H924" s="141" t="str">
        <f t="shared" si="43"/>
        <v/>
      </c>
      <c r="J924" s="148" t="str">
        <f>IFERROR(SUMIFS(当年实际!$V:$V,当年实际!$H:$H,$B924,当年实际!$C:$C,"&gt;="&amp;DATE(YEAR(主页!$D$2),1,1),当年实际!$C:$C,"&lt;="&amp;EOMONTH(DATE(YEAR(主页!$D$2),MONTH(主页!$D$2),1),0))/SUMIFS(当年实际!$P:$P,当年实际!$H:$H,$B924,当年实际!$C:$C,"&gt;="&amp;DATE(YEAR(主页!$D$2),1,1),当年实际!$C:$C,"&lt;="&amp;EOMONTH(DATE(YEAR(主页!$D$2),MONTH(主页!$D$2),1),0)),"")</f>
        <v/>
      </c>
    </row>
    <row r="925" spans="1:10" x14ac:dyDescent="0.3">
      <c r="A925" s="135"/>
      <c r="B925" s="136"/>
      <c r="C925" s="138"/>
      <c r="D925" s="139"/>
      <c r="E925" s="141" t="str">
        <f t="shared" si="44"/>
        <v/>
      </c>
      <c r="F925" s="144"/>
      <c r="G925" s="146">
        <f t="shared" si="42"/>
        <v>0</v>
      </c>
      <c r="H925" s="141" t="str">
        <f t="shared" si="43"/>
        <v/>
      </c>
      <c r="J925" s="148" t="str">
        <f>IFERROR(SUMIFS(当年实际!$V:$V,当年实际!$H:$H,$B925,当年实际!$C:$C,"&gt;="&amp;DATE(YEAR(主页!$D$2),1,1),当年实际!$C:$C,"&lt;="&amp;EOMONTH(DATE(YEAR(主页!$D$2),MONTH(主页!$D$2),1),0))/SUMIFS(当年实际!$P:$P,当年实际!$H:$H,$B925,当年实际!$C:$C,"&gt;="&amp;DATE(YEAR(主页!$D$2),1,1),当年实际!$C:$C,"&lt;="&amp;EOMONTH(DATE(YEAR(主页!$D$2),MONTH(主页!$D$2),1),0)),"")</f>
        <v/>
      </c>
    </row>
    <row r="926" spans="1:10" x14ac:dyDescent="0.3">
      <c r="A926" s="135"/>
      <c r="B926" s="136"/>
      <c r="C926" s="138"/>
      <c r="D926" s="139"/>
      <c r="E926" s="141" t="str">
        <f t="shared" si="44"/>
        <v/>
      </c>
      <c r="F926" s="144"/>
      <c r="G926" s="146">
        <f t="shared" si="42"/>
        <v>0</v>
      </c>
      <c r="H926" s="141" t="str">
        <f t="shared" si="43"/>
        <v/>
      </c>
      <c r="J926" s="148" t="str">
        <f>IFERROR(SUMIFS(当年实际!$V:$V,当年实际!$H:$H,$B926,当年实际!$C:$C,"&gt;="&amp;DATE(YEAR(主页!$D$2),1,1),当年实际!$C:$C,"&lt;="&amp;EOMONTH(DATE(YEAR(主页!$D$2),MONTH(主页!$D$2),1),0))/SUMIFS(当年实际!$P:$P,当年实际!$H:$H,$B926,当年实际!$C:$C,"&gt;="&amp;DATE(YEAR(主页!$D$2),1,1),当年实际!$C:$C,"&lt;="&amp;EOMONTH(DATE(YEAR(主页!$D$2),MONTH(主页!$D$2),1),0)),"")</f>
        <v/>
      </c>
    </row>
    <row r="927" spans="1:10" x14ac:dyDescent="0.3">
      <c r="A927" s="135"/>
      <c r="B927" s="136"/>
      <c r="C927" s="138"/>
      <c r="D927" s="139"/>
      <c r="E927" s="141" t="str">
        <f t="shared" si="44"/>
        <v/>
      </c>
      <c r="F927" s="144"/>
      <c r="G927" s="146">
        <f t="shared" si="42"/>
        <v>0</v>
      </c>
      <c r="H927" s="141" t="str">
        <f t="shared" si="43"/>
        <v/>
      </c>
      <c r="J927" s="148" t="str">
        <f>IFERROR(SUMIFS(当年实际!$V:$V,当年实际!$H:$H,$B927,当年实际!$C:$C,"&gt;="&amp;DATE(YEAR(主页!$D$2),1,1),当年实际!$C:$C,"&lt;="&amp;EOMONTH(DATE(YEAR(主页!$D$2),MONTH(主页!$D$2),1),0))/SUMIFS(当年实际!$P:$P,当年实际!$H:$H,$B927,当年实际!$C:$C,"&gt;="&amp;DATE(YEAR(主页!$D$2),1,1),当年实际!$C:$C,"&lt;="&amp;EOMONTH(DATE(YEAR(主页!$D$2),MONTH(主页!$D$2),1),0)),"")</f>
        <v/>
      </c>
    </row>
    <row r="928" spans="1:10" x14ac:dyDescent="0.3">
      <c r="A928" s="135"/>
      <c r="B928" s="136"/>
      <c r="C928" s="138"/>
      <c r="D928" s="139"/>
      <c r="E928" s="141" t="str">
        <f t="shared" si="44"/>
        <v/>
      </c>
      <c r="F928" s="144"/>
      <c r="G928" s="146">
        <f t="shared" si="42"/>
        <v>0</v>
      </c>
      <c r="H928" s="141" t="str">
        <f t="shared" si="43"/>
        <v/>
      </c>
      <c r="J928" s="148" t="str">
        <f>IFERROR(SUMIFS(当年实际!$V:$V,当年实际!$H:$H,$B928,当年实际!$C:$C,"&gt;="&amp;DATE(YEAR(主页!$D$2),1,1),当年实际!$C:$C,"&lt;="&amp;EOMONTH(DATE(YEAR(主页!$D$2),MONTH(主页!$D$2),1),0))/SUMIFS(当年实际!$P:$P,当年实际!$H:$H,$B928,当年实际!$C:$C,"&gt;="&amp;DATE(YEAR(主页!$D$2),1,1),当年实际!$C:$C,"&lt;="&amp;EOMONTH(DATE(YEAR(主页!$D$2),MONTH(主页!$D$2),1),0)),"")</f>
        <v/>
      </c>
    </row>
    <row r="929" spans="1:10" x14ac:dyDescent="0.3">
      <c r="A929" s="135"/>
      <c r="B929" s="136"/>
      <c r="C929" s="138"/>
      <c r="D929" s="139"/>
      <c r="E929" s="141" t="str">
        <f t="shared" si="44"/>
        <v/>
      </c>
      <c r="F929" s="144"/>
      <c r="G929" s="146">
        <f t="shared" si="42"/>
        <v>0</v>
      </c>
      <c r="H929" s="141" t="str">
        <f t="shared" si="43"/>
        <v/>
      </c>
      <c r="J929" s="148" t="str">
        <f>IFERROR(SUMIFS(当年实际!$V:$V,当年实际!$H:$H,$B929,当年实际!$C:$C,"&gt;="&amp;DATE(YEAR(主页!$D$2),1,1),当年实际!$C:$C,"&lt;="&amp;EOMONTH(DATE(YEAR(主页!$D$2),MONTH(主页!$D$2),1),0))/SUMIFS(当年实际!$P:$P,当年实际!$H:$H,$B929,当年实际!$C:$C,"&gt;="&amp;DATE(YEAR(主页!$D$2),1,1),当年实际!$C:$C,"&lt;="&amp;EOMONTH(DATE(YEAR(主页!$D$2),MONTH(主页!$D$2),1),0)),"")</f>
        <v/>
      </c>
    </row>
    <row r="930" spans="1:10" x14ac:dyDescent="0.3">
      <c r="A930" s="135"/>
      <c r="B930" s="136"/>
      <c r="C930" s="138"/>
      <c r="D930" s="139"/>
      <c r="E930" s="141" t="str">
        <f t="shared" si="44"/>
        <v/>
      </c>
      <c r="F930" s="144"/>
      <c r="G930" s="146">
        <f t="shared" si="42"/>
        <v>0</v>
      </c>
      <c r="H930" s="141" t="str">
        <f t="shared" si="43"/>
        <v/>
      </c>
      <c r="J930" s="148" t="str">
        <f>IFERROR(SUMIFS(当年实际!$V:$V,当年实际!$H:$H,$B930,当年实际!$C:$C,"&gt;="&amp;DATE(YEAR(主页!$D$2),1,1),当年实际!$C:$C,"&lt;="&amp;EOMONTH(DATE(YEAR(主页!$D$2),MONTH(主页!$D$2),1),0))/SUMIFS(当年实际!$P:$P,当年实际!$H:$H,$B930,当年实际!$C:$C,"&gt;="&amp;DATE(YEAR(主页!$D$2),1,1),当年实际!$C:$C,"&lt;="&amp;EOMONTH(DATE(YEAR(主页!$D$2),MONTH(主页!$D$2),1),0)),"")</f>
        <v/>
      </c>
    </row>
    <row r="931" spans="1:10" x14ac:dyDescent="0.3">
      <c r="A931" s="135"/>
      <c r="B931" s="136"/>
      <c r="C931" s="138"/>
      <c r="D931" s="139"/>
      <c r="E931" s="141" t="str">
        <f t="shared" si="44"/>
        <v/>
      </c>
      <c r="F931" s="144"/>
      <c r="G931" s="146">
        <f t="shared" si="42"/>
        <v>0</v>
      </c>
      <c r="H931" s="141" t="str">
        <f t="shared" si="43"/>
        <v/>
      </c>
      <c r="J931" s="148" t="str">
        <f>IFERROR(SUMIFS(当年实际!$V:$V,当年实际!$H:$H,$B931,当年实际!$C:$C,"&gt;="&amp;DATE(YEAR(主页!$D$2),1,1),当年实际!$C:$C,"&lt;="&amp;EOMONTH(DATE(YEAR(主页!$D$2),MONTH(主页!$D$2),1),0))/SUMIFS(当年实际!$P:$P,当年实际!$H:$H,$B931,当年实际!$C:$C,"&gt;="&amp;DATE(YEAR(主页!$D$2),1,1),当年实际!$C:$C,"&lt;="&amp;EOMONTH(DATE(YEAR(主页!$D$2),MONTH(主页!$D$2),1),0)),"")</f>
        <v/>
      </c>
    </row>
    <row r="932" spans="1:10" x14ac:dyDescent="0.3">
      <c r="A932" s="135"/>
      <c r="B932" s="136"/>
      <c r="C932" s="138"/>
      <c r="D932" s="139"/>
      <c r="E932" s="141" t="str">
        <f t="shared" si="44"/>
        <v/>
      </c>
      <c r="F932" s="144"/>
      <c r="G932" s="146">
        <f t="shared" si="42"/>
        <v>0</v>
      </c>
      <c r="H932" s="141" t="str">
        <f t="shared" si="43"/>
        <v/>
      </c>
      <c r="J932" s="148" t="str">
        <f>IFERROR(SUMIFS(当年实际!$V:$V,当年实际!$H:$H,$B932,当年实际!$C:$C,"&gt;="&amp;DATE(YEAR(主页!$D$2),1,1),当年实际!$C:$C,"&lt;="&amp;EOMONTH(DATE(YEAR(主页!$D$2),MONTH(主页!$D$2),1),0))/SUMIFS(当年实际!$P:$P,当年实际!$H:$H,$B932,当年实际!$C:$C,"&gt;="&amp;DATE(YEAR(主页!$D$2),1,1),当年实际!$C:$C,"&lt;="&amp;EOMONTH(DATE(YEAR(主页!$D$2),MONTH(主页!$D$2),1),0)),"")</f>
        <v/>
      </c>
    </row>
    <row r="933" spans="1:10" x14ac:dyDescent="0.3">
      <c r="A933" s="135"/>
      <c r="B933" s="136"/>
      <c r="C933" s="138"/>
      <c r="D933" s="139"/>
      <c r="E933" s="141" t="str">
        <f t="shared" si="44"/>
        <v/>
      </c>
      <c r="F933" s="144"/>
      <c r="G933" s="146">
        <f t="shared" si="42"/>
        <v>0</v>
      </c>
      <c r="H933" s="141" t="str">
        <f t="shared" si="43"/>
        <v/>
      </c>
      <c r="J933" s="148" t="str">
        <f>IFERROR(SUMIFS(当年实际!$V:$V,当年实际!$H:$H,$B933,当年实际!$C:$C,"&gt;="&amp;DATE(YEAR(主页!$D$2),1,1),当年实际!$C:$C,"&lt;="&amp;EOMONTH(DATE(YEAR(主页!$D$2),MONTH(主页!$D$2),1),0))/SUMIFS(当年实际!$P:$P,当年实际!$H:$H,$B933,当年实际!$C:$C,"&gt;="&amp;DATE(YEAR(主页!$D$2),1,1),当年实际!$C:$C,"&lt;="&amp;EOMONTH(DATE(YEAR(主页!$D$2),MONTH(主页!$D$2),1),0)),"")</f>
        <v/>
      </c>
    </row>
    <row r="934" spans="1:10" x14ac:dyDescent="0.3">
      <c r="A934" s="135"/>
      <c r="B934" s="136"/>
      <c r="C934" s="138"/>
      <c r="D934" s="139"/>
      <c r="E934" s="141" t="str">
        <f t="shared" si="44"/>
        <v/>
      </c>
      <c r="F934" s="144"/>
      <c r="G934" s="146">
        <f t="shared" si="42"/>
        <v>0</v>
      </c>
      <c r="H934" s="141" t="str">
        <f t="shared" si="43"/>
        <v/>
      </c>
      <c r="J934" s="148" t="str">
        <f>IFERROR(SUMIFS(当年实际!$V:$V,当年实际!$H:$H,$B934,当年实际!$C:$C,"&gt;="&amp;DATE(YEAR(主页!$D$2),1,1),当年实际!$C:$C,"&lt;="&amp;EOMONTH(DATE(YEAR(主页!$D$2),MONTH(主页!$D$2),1),0))/SUMIFS(当年实际!$P:$P,当年实际!$H:$H,$B934,当年实际!$C:$C,"&gt;="&amp;DATE(YEAR(主页!$D$2),1,1),当年实际!$C:$C,"&lt;="&amp;EOMONTH(DATE(YEAR(主页!$D$2),MONTH(主页!$D$2),1),0)),"")</f>
        <v/>
      </c>
    </row>
    <row r="935" spans="1:10" x14ac:dyDescent="0.3">
      <c r="A935" s="135"/>
      <c r="B935" s="136"/>
      <c r="C935" s="138"/>
      <c r="D935" s="139"/>
      <c r="E935" s="141" t="str">
        <f t="shared" si="44"/>
        <v/>
      </c>
      <c r="F935" s="144"/>
      <c r="G935" s="146">
        <f t="shared" si="42"/>
        <v>0</v>
      </c>
      <c r="H935" s="141" t="str">
        <f t="shared" si="43"/>
        <v/>
      </c>
      <c r="J935" s="148" t="str">
        <f>IFERROR(SUMIFS(当年实际!$V:$V,当年实际!$H:$H,$B935,当年实际!$C:$C,"&gt;="&amp;DATE(YEAR(主页!$D$2),1,1),当年实际!$C:$C,"&lt;="&amp;EOMONTH(DATE(YEAR(主页!$D$2),MONTH(主页!$D$2),1),0))/SUMIFS(当年实际!$P:$P,当年实际!$H:$H,$B935,当年实际!$C:$C,"&gt;="&amp;DATE(YEAR(主页!$D$2),1,1),当年实际!$C:$C,"&lt;="&amp;EOMONTH(DATE(YEAR(主页!$D$2),MONTH(主页!$D$2),1),0)),"")</f>
        <v/>
      </c>
    </row>
    <row r="936" spans="1:10" x14ac:dyDescent="0.3">
      <c r="A936" s="135"/>
      <c r="B936" s="136"/>
      <c r="C936" s="138"/>
      <c r="D936" s="139"/>
      <c r="E936" s="141" t="str">
        <f t="shared" si="44"/>
        <v/>
      </c>
      <c r="F936" s="144"/>
      <c r="G936" s="146">
        <f t="shared" si="42"/>
        <v>0</v>
      </c>
      <c r="H936" s="141" t="str">
        <f t="shared" si="43"/>
        <v/>
      </c>
      <c r="J936" s="148" t="str">
        <f>IFERROR(SUMIFS(当年实际!$V:$V,当年实际!$H:$H,$B936,当年实际!$C:$C,"&gt;="&amp;DATE(YEAR(主页!$D$2),1,1),当年实际!$C:$C,"&lt;="&amp;EOMONTH(DATE(YEAR(主页!$D$2),MONTH(主页!$D$2),1),0))/SUMIFS(当年实际!$P:$P,当年实际!$H:$H,$B936,当年实际!$C:$C,"&gt;="&amp;DATE(YEAR(主页!$D$2),1,1),当年实际!$C:$C,"&lt;="&amp;EOMONTH(DATE(YEAR(主页!$D$2),MONTH(主页!$D$2),1),0)),"")</f>
        <v/>
      </c>
    </row>
    <row r="937" spans="1:10" x14ac:dyDescent="0.3">
      <c r="A937" s="135"/>
      <c r="B937" s="136"/>
      <c r="C937" s="138"/>
      <c r="D937" s="139"/>
      <c r="E937" s="141" t="str">
        <f t="shared" si="44"/>
        <v/>
      </c>
      <c r="F937" s="144"/>
      <c r="G937" s="146">
        <f t="shared" si="42"/>
        <v>0</v>
      </c>
      <c r="H937" s="141" t="str">
        <f t="shared" si="43"/>
        <v/>
      </c>
      <c r="J937" s="148" t="str">
        <f>IFERROR(SUMIFS(当年实际!$V:$V,当年实际!$H:$H,$B937,当年实际!$C:$C,"&gt;="&amp;DATE(YEAR(主页!$D$2),1,1),当年实际!$C:$C,"&lt;="&amp;EOMONTH(DATE(YEAR(主页!$D$2),MONTH(主页!$D$2),1),0))/SUMIFS(当年实际!$P:$P,当年实际!$H:$H,$B937,当年实际!$C:$C,"&gt;="&amp;DATE(YEAR(主页!$D$2),1,1),当年实际!$C:$C,"&lt;="&amp;EOMONTH(DATE(YEAR(主页!$D$2),MONTH(主页!$D$2),1),0)),"")</f>
        <v/>
      </c>
    </row>
    <row r="938" spans="1:10" x14ac:dyDescent="0.3">
      <c r="A938" s="135"/>
      <c r="B938" s="136"/>
      <c r="C938" s="138"/>
      <c r="D938" s="139"/>
      <c r="E938" s="141" t="str">
        <f t="shared" si="44"/>
        <v/>
      </c>
      <c r="F938" s="144"/>
      <c r="G938" s="146">
        <f t="shared" si="42"/>
        <v>0</v>
      </c>
      <c r="H938" s="141" t="str">
        <f t="shared" si="43"/>
        <v/>
      </c>
      <c r="J938" s="148" t="str">
        <f>IFERROR(SUMIFS(当年实际!$V:$V,当年实际!$H:$H,$B938,当年实际!$C:$C,"&gt;="&amp;DATE(YEAR(主页!$D$2),1,1),当年实际!$C:$C,"&lt;="&amp;EOMONTH(DATE(YEAR(主页!$D$2),MONTH(主页!$D$2),1),0))/SUMIFS(当年实际!$P:$P,当年实际!$H:$H,$B938,当年实际!$C:$C,"&gt;="&amp;DATE(YEAR(主页!$D$2),1,1),当年实际!$C:$C,"&lt;="&amp;EOMONTH(DATE(YEAR(主页!$D$2),MONTH(主页!$D$2),1),0)),"")</f>
        <v/>
      </c>
    </row>
    <row r="939" spans="1:10" x14ac:dyDescent="0.3">
      <c r="A939" s="135"/>
      <c r="B939" s="136"/>
      <c r="C939" s="138"/>
      <c r="D939" s="139"/>
      <c r="E939" s="141" t="str">
        <f t="shared" si="44"/>
        <v/>
      </c>
      <c r="F939" s="144"/>
      <c r="G939" s="146">
        <f t="shared" si="42"/>
        <v>0</v>
      </c>
      <c r="H939" s="141" t="str">
        <f t="shared" si="43"/>
        <v/>
      </c>
      <c r="J939" s="148" t="str">
        <f>IFERROR(SUMIFS(当年实际!$V:$V,当年实际!$H:$H,$B939,当年实际!$C:$C,"&gt;="&amp;DATE(YEAR(主页!$D$2),1,1),当年实际!$C:$C,"&lt;="&amp;EOMONTH(DATE(YEAR(主页!$D$2),MONTH(主页!$D$2),1),0))/SUMIFS(当年实际!$P:$P,当年实际!$H:$H,$B939,当年实际!$C:$C,"&gt;="&amp;DATE(YEAR(主页!$D$2),1,1),当年实际!$C:$C,"&lt;="&amp;EOMONTH(DATE(YEAR(主页!$D$2),MONTH(主页!$D$2),1),0)),"")</f>
        <v/>
      </c>
    </row>
    <row r="940" spans="1:10" x14ac:dyDescent="0.3">
      <c r="A940" s="135"/>
      <c r="B940" s="136"/>
      <c r="C940" s="138"/>
      <c r="D940" s="139"/>
      <c r="E940" s="141" t="str">
        <f t="shared" si="44"/>
        <v/>
      </c>
      <c r="F940" s="144"/>
      <c r="G940" s="146">
        <f t="shared" si="42"/>
        <v>0</v>
      </c>
      <c r="H940" s="141" t="str">
        <f t="shared" si="43"/>
        <v/>
      </c>
      <c r="J940" s="148" t="str">
        <f>IFERROR(SUMIFS(当年实际!$V:$V,当年实际!$H:$H,$B940,当年实际!$C:$C,"&gt;="&amp;DATE(YEAR(主页!$D$2),1,1),当年实际!$C:$C,"&lt;="&amp;EOMONTH(DATE(YEAR(主页!$D$2),MONTH(主页!$D$2),1),0))/SUMIFS(当年实际!$P:$P,当年实际!$H:$H,$B940,当年实际!$C:$C,"&gt;="&amp;DATE(YEAR(主页!$D$2),1,1),当年实际!$C:$C,"&lt;="&amp;EOMONTH(DATE(YEAR(主页!$D$2),MONTH(主页!$D$2),1),0)),"")</f>
        <v/>
      </c>
    </row>
    <row r="941" spans="1:10" x14ac:dyDescent="0.3">
      <c r="A941" s="135"/>
      <c r="B941" s="136"/>
      <c r="C941" s="138"/>
      <c r="D941" s="139"/>
      <c r="E941" s="141" t="str">
        <f t="shared" si="44"/>
        <v/>
      </c>
      <c r="F941" s="144"/>
      <c r="G941" s="146">
        <f t="shared" si="42"/>
        <v>0</v>
      </c>
      <c r="H941" s="141" t="str">
        <f t="shared" si="43"/>
        <v/>
      </c>
      <c r="J941" s="148" t="str">
        <f>IFERROR(SUMIFS(当年实际!$V:$V,当年实际!$H:$H,$B941,当年实际!$C:$C,"&gt;="&amp;DATE(YEAR(主页!$D$2),1,1),当年实际!$C:$C,"&lt;="&amp;EOMONTH(DATE(YEAR(主页!$D$2),MONTH(主页!$D$2),1),0))/SUMIFS(当年实际!$P:$P,当年实际!$H:$H,$B941,当年实际!$C:$C,"&gt;="&amp;DATE(YEAR(主页!$D$2),1,1),当年实际!$C:$C,"&lt;="&amp;EOMONTH(DATE(YEAR(主页!$D$2),MONTH(主页!$D$2),1),0)),"")</f>
        <v/>
      </c>
    </row>
    <row r="942" spans="1:10" x14ac:dyDescent="0.3">
      <c r="A942" s="135"/>
      <c r="B942" s="136"/>
      <c r="C942" s="138"/>
      <c r="D942" s="139"/>
      <c r="E942" s="141" t="str">
        <f t="shared" si="44"/>
        <v/>
      </c>
      <c r="F942" s="144"/>
      <c r="G942" s="146">
        <f t="shared" si="42"/>
        <v>0</v>
      </c>
      <c r="H942" s="141" t="str">
        <f t="shared" si="43"/>
        <v/>
      </c>
      <c r="J942" s="148" t="str">
        <f>IFERROR(SUMIFS(当年实际!$V:$V,当年实际!$H:$H,$B942,当年实际!$C:$C,"&gt;="&amp;DATE(YEAR(主页!$D$2),1,1),当年实际!$C:$C,"&lt;="&amp;EOMONTH(DATE(YEAR(主页!$D$2),MONTH(主页!$D$2),1),0))/SUMIFS(当年实际!$P:$P,当年实际!$H:$H,$B942,当年实际!$C:$C,"&gt;="&amp;DATE(YEAR(主页!$D$2),1,1),当年实际!$C:$C,"&lt;="&amp;EOMONTH(DATE(YEAR(主页!$D$2),MONTH(主页!$D$2),1),0)),"")</f>
        <v/>
      </c>
    </row>
    <row r="943" spans="1:10" x14ac:dyDescent="0.3">
      <c r="A943" s="135"/>
      <c r="B943" s="136"/>
      <c r="C943" s="138"/>
      <c r="D943" s="139"/>
      <c r="E943" s="141" t="str">
        <f t="shared" si="44"/>
        <v/>
      </c>
      <c r="F943" s="144"/>
      <c r="G943" s="146">
        <f t="shared" si="42"/>
        <v>0</v>
      </c>
      <c r="H943" s="141" t="str">
        <f t="shared" si="43"/>
        <v/>
      </c>
      <c r="J943" s="148" t="str">
        <f>IFERROR(SUMIFS(当年实际!$V:$V,当年实际!$H:$H,$B943,当年实际!$C:$C,"&gt;="&amp;DATE(YEAR(主页!$D$2),1,1),当年实际!$C:$C,"&lt;="&amp;EOMONTH(DATE(YEAR(主页!$D$2),MONTH(主页!$D$2),1),0))/SUMIFS(当年实际!$P:$P,当年实际!$H:$H,$B943,当年实际!$C:$C,"&gt;="&amp;DATE(YEAR(主页!$D$2),1,1),当年实际!$C:$C,"&lt;="&amp;EOMONTH(DATE(YEAR(主页!$D$2),MONTH(主页!$D$2),1),0)),"")</f>
        <v/>
      </c>
    </row>
    <row r="944" spans="1:10" x14ac:dyDescent="0.3">
      <c r="A944" s="135"/>
      <c r="B944" s="136"/>
      <c r="C944" s="138"/>
      <c r="D944" s="139"/>
      <c r="E944" s="141" t="str">
        <f t="shared" si="44"/>
        <v/>
      </c>
      <c r="F944" s="144"/>
      <c r="G944" s="146">
        <f t="shared" si="42"/>
        <v>0</v>
      </c>
      <c r="H944" s="141" t="str">
        <f t="shared" si="43"/>
        <v/>
      </c>
      <c r="J944" s="148" t="str">
        <f>IFERROR(SUMIFS(当年实际!$V:$V,当年实际!$H:$H,$B944,当年实际!$C:$C,"&gt;="&amp;DATE(YEAR(主页!$D$2),1,1),当年实际!$C:$C,"&lt;="&amp;EOMONTH(DATE(YEAR(主页!$D$2),MONTH(主页!$D$2),1),0))/SUMIFS(当年实际!$P:$P,当年实际!$H:$H,$B944,当年实际!$C:$C,"&gt;="&amp;DATE(YEAR(主页!$D$2),1,1),当年实际!$C:$C,"&lt;="&amp;EOMONTH(DATE(YEAR(主页!$D$2),MONTH(主页!$D$2),1),0)),"")</f>
        <v/>
      </c>
    </row>
    <row r="945" spans="1:10" x14ac:dyDescent="0.3">
      <c r="A945" s="135"/>
      <c r="B945" s="136"/>
      <c r="C945" s="138"/>
      <c r="D945" s="139"/>
      <c r="E945" s="141" t="str">
        <f t="shared" si="44"/>
        <v/>
      </c>
      <c r="F945" s="144"/>
      <c r="G945" s="146">
        <f t="shared" si="42"/>
        <v>0</v>
      </c>
      <c r="H945" s="141" t="str">
        <f t="shared" si="43"/>
        <v/>
      </c>
      <c r="J945" s="148" t="str">
        <f>IFERROR(SUMIFS(当年实际!$V:$V,当年实际!$H:$H,$B945,当年实际!$C:$C,"&gt;="&amp;DATE(YEAR(主页!$D$2),1,1),当年实际!$C:$C,"&lt;="&amp;EOMONTH(DATE(YEAR(主页!$D$2),MONTH(主页!$D$2),1),0))/SUMIFS(当年实际!$P:$P,当年实际!$H:$H,$B945,当年实际!$C:$C,"&gt;="&amp;DATE(YEAR(主页!$D$2),1,1),当年实际!$C:$C,"&lt;="&amp;EOMONTH(DATE(YEAR(主页!$D$2),MONTH(主页!$D$2),1),0)),"")</f>
        <v/>
      </c>
    </row>
    <row r="946" spans="1:10" x14ac:dyDescent="0.3">
      <c r="A946" s="135"/>
      <c r="B946" s="136"/>
      <c r="C946" s="138"/>
      <c r="D946" s="139"/>
      <c r="E946" s="141" t="str">
        <f t="shared" si="44"/>
        <v/>
      </c>
      <c r="F946" s="144"/>
      <c r="G946" s="146">
        <f t="shared" si="42"/>
        <v>0</v>
      </c>
      <c r="H946" s="141" t="str">
        <f t="shared" si="43"/>
        <v/>
      </c>
      <c r="J946" s="148" t="str">
        <f>IFERROR(SUMIFS(当年实际!$V:$V,当年实际!$H:$H,$B946,当年实际!$C:$C,"&gt;="&amp;DATE(YEAR(主页!$D$2),1,1),当年实际!$C:$C,"&lt;="&amp;EOMONTH(DATE(YEAR(主页!$D$2),MONTH(主页!$D$2),1),0))/SUMIFS(当年实际!$P:$P,当年实际!$H:$H,$B946,当年实际!$C:$C,"&gt;="&amp;DATE(YEAR(主页!$D$2),1,1),当年实际!$C:$C,"&lt;="&amp;EOMONTH(DATE(YEAR(主页!$D$2),MONTH(主页!$D$2),1),0)),"")</f>
        <v/>
      </c>
    </row>
    <row r="947" spans="1:10" x14ac:dyDescent="0.3">
      <c r="A947" s="135"/>
      <c r="B947" s="136"/>
      <c r="C947" s="138"/>
      <c r="D947" s="139"/>
      <c r="E947" s="141" t="str">
        <f t="shared" si="44"/>
        <v/>
      </c>
      <c r="F947" s="144"/>
      <c r="G947" s="146">
        <f t="shared" si="42"/>
        <v>0</v>
      </c>
      <c r="H947" s="141" t="str">
        <f t="shared" si="43"/>
        <v/>
      </c>
      <c r="J947" s="148" t="str">
        <f>IFERROR(SUMIFS(当年实际!$V:$V,当年实际!$H:$H,$B947,当年实际!$C:$C,"&gt;="&amp;DATE(YEAR(主页!$D$2),1,1),当年实际!$C:$C,"&lt;="&amp;EOMONTH(DATE(YEAR(主页!$D$2),MONTH(主页!$D$2),1),0))/SUMIFS(当年实际!$P:$P,当年实际!$H:$H,$B947,当年实际!$C:$C,"&gt;="&amp;DATE(YEAR(主页!$D$2),1,1),当年实际!$C:$C,"&lt;="&amp;EOMONTH(DATE(YEAR(主页!$D$2),MONTH(主页!$D$2),1),0)),"")</f>
        <v/>
      </c>
    </row>
    <row r="948" spans="1:10" x14ac:dyDescent="0.3">
      <c r="A948" s="135"/>
      <c r="B948" s="136"/>
      <c r="C948" s="138"/>
      <c r="D948" s="139"/>
      <c r="E948" s="141" t="str">
        <f t="shared" si="44"/>
        <v/>
      </c>
      <c r="F948" s="144"/>
      <c r="G948" s="146">
        <f t="shared" si="42"/>
        <v>0</v>
      </c>
      <c r="H948" s="141" t="str">
        <f t="shared" si="43"/>
        <v/>
      </c>
      <c r="J948" s="148" t="str">
        <f>IFERROR(SUMIFS(当年实际!$V:$V,当年实际!$H:$H,$B948,当年实际!$C:$C,"&gt;="&amp;DATE(YEAR(主页!$D$2),1,1),当年实际!$C:$C,"&lt;="&amp;EOMONTH(DATE(YEAR(主页!$D$2),MONTH(主页!$D$2),1),0))/SUMIFS(当年实际!$P:$P,当年实际!$H:$H,$B948,当年实际!$C:$C,"&gt;="&amp;DATE(YEAR(主页!$D$2),1,1),当年实际!$C:$C,"&lt;="&amp;EOMONTH(DATE(YEAR(主页!$D$2),MONTH(主页!$D$2),1),0)),"")</f>
        <v/>
      </c>
    </row>
    <row r="949" spans="1:10" x14ac:dyDescent="0.3">
      <c r="A949" s="135"/>
      <c r="B949" s="136"/>
      <c r="C949" s="138"/>
      <c r="D949" s="139"/>
      <c r="E949" s="141" t="str">
        <f t="shared" si="44"/>
        <v/>
      </c>
      <c r="F949" s="144"/>
      <c r="G949" s="146">
        <f t="shared" si="42"/>
        <v>0</v>
      </c>
      <c r="H949" s="141" t="str">
        <f t="shared" si="43"/>
        <v/>
      </c>
      <c r="J949" s="148" t="str">
        <f>IFERROR(SUMIFS(当年实际!$V:$V,当年实际!$H:$H,$B949,当年实际!$C:$C,"&gt;="&amp;DATE(YEAR(主页!$D$2),1,1),当年实际!$C:$C,"&lt;="&amp;EOMONTH(DATE(YEAR(主页!$D$2),MONTH(主页!$D$2),1),0))/SUMIFS(当年实际!$P:$P,当年实际!$H:$H,$B949,当年实际!$C:$C,"&gt;="&amp;DATE(YEAR(主页!$D$2),1,1),当年实际!$C:$C,"&lt;="&amp;EOMONTH(DATE(YEAR(主页!$D$2),MONTH(主页!$D$2),1),0)),"")</f>
        <v/>
      </c>
    </row>
    <row r="950" spans="1:10" x14ac:dyDescent="0.3">
      <c r="A950" s="135"/>
      <c r="B950" s="136"/>
      <c r="C950" s="138"/>
      <c r="D950" s="139"/>
      <c r="E950" s="141" t="str">
        <f t="shared" si="44"/>
        <v/>
      </c>
      <c r="F950" s="144"/>
      <c r="G950" s="146">
        <f t="shared" si="42"/>
        <v>0</v>
      </c>
      <c r="H950" s="141" t="str">
        <f t="shared" si="43"/>
        <v/>
      </c>
      <c r="J950" s="148" t="str">
        <f>IFERROR(SUMIFS(当年实际!$V:$V,当年实际!$H:$H,$B950,当年实际!$C:$C,"&gt;="&amp;DATE(YEAR(主页!$D$2),1,1),当年实际!$C:$C,"&lt;="&amp;EOMONTH(DATE(YEAR(主页!$D$2),MONTH(主页!$D$2),1),0))/SUMIFS(当年实际!$P:$P,当年实际!$H:$H,$B950,当年实际!$C:$C,"&gt;="&amp;DATE(YEAR(主页!$D$2),1,1),当年实际!$C:$C,"&lt;="&amp;EOMONTH(DATE(YEAR(主页!$D$2),MONTH(主页!$D$2),1),0)),"")</f>
        <v/>
      </c>
    </row>
    <row r="951" spans="1:10" x14ac:dyDescent="0.3">
      <c r="A951" s="135"/>
      <c r="B951" s="136"/>
      <c r="C951" s="138"/>
      <c r="D951" s="139"/>
      <c r="E951" s="141" t="str">
        <f t="shared" si="44"/>
        <v/>
      </c>
      <c r="F951" s="144"/>
      <c r="G951" s="146">
        <f t="shared" si="42"/>
        <v>0</v>
      </c>
      <c r="H951" s="141" t="str">
        <f t="shared" si="43"/>
        <v/>
      </c>
      <c r="J951" s="148" t="str">
        <f>IFERROR(SUMIFS(当年实际!$V:$V,当年实际!$H:$H,$B951,当年实际!$C:$C,"&gt;="&amp;DATE(YEAR(主页!$D$2),1,1),当年实际!$C:$C,"&lt;="&amp;EOMONTH(DATE(YEAR(主页!$D$2),MONTH(主页!$D$2),1),0))/SUMIFS(当年实际!$P:$P,当年实际!$H:$H,$B951,当年实际!$C:$C,"&gt;="&amp;DATE(YEAR(主页!$D$2),1,1),当年实际!$C:$C,"&lt;="&amp;EOMONTH(DATE(YEAR(主页!$D$2),MONTH(主页!$D$2),1),0)),"")</f>
        <v/>
      </c>
    </row>
    <row r="952" spans="1:10" x14ac:dyDescent="0.3">
      <c r="A952" s="135"/>
      <c r="B952" s="136"/>
      <c r="C952" s="138"/>
      <c r="D952" s="139"/>
      <c r="E952" s="141" t="str">
        <f t="shared" si="44"/>
        <v/>
      </c>
      <c r="F952" s="144"/>
      <c r="G952" s="146">
        <f t="shared" si="42"/>
        <v>0</v>
      </c>
      <c r="H952" s="141" t="str">
        <f t="shared" si="43"/>
        <v/>
      </c>
      <c r="J952" s="148" t="str">
        <f>IFERROR(SUMIFS(当年实际!$V:$V,当年实际!$H:$H,$B952,当年实际!$C:$C,"&gt;="&amp;DATE(YEAR(主页!$D$2),1,1),当年实际!$C:$C,"&lt;="&amp;EOMONTH(DATE(YEAR(主页!$D$2),MONTH(主页!$D$2),1),0))/SUMIFS(当年实际!$P:$P,当年实际!$H:$H,$B952,当年实际!$C:$C,"&gt;="&amp;DATE(YEAR(主页!$D$2),1,1),当年实际!$C:$C,"&lt;="&amp;EOMONTH(DATE(YEAR(主页!$D$2),MONTH(主页!$D$2),1),0)),"")</f>
        <v/>
      </c>
    </row>
    <row r="953" spans="1:10" x14ac:dyDescent="0.3">
      <c r="A953" s="135"/>
      <c r="B953" s="136"/>
      <c r="C953" s="138"/>
      <c r="D953" s="139"/>
      <c r="E953" s="141" t="str">
        <f t="shared" si="44"/>
        <v/>
      </c>
      <c r="F953" s="144"/>
      <c r="G953" s="146">
        <f t="shared" si="42"/>
        <v>0</v>
      </c>
      <c r="H953" s="141" t="str">
        <f t="shared" si="43"/>
        <v/>
      </c>
      <c r="J953" s="148" t="str">
        <f>IFERROR(SUMIFS(当年实际!$V:$V,当年实际!$H:$H,$B953,当年实际!$C:$C,"&gt;="&amp;DATE(YEAR(主页!$D$2),1,1),当年实际!$C:$C,"&lt;="&amp;EOMONTH(DATE(YEAR(主页!$D$2),MONTH(主页!$D$2),1),0))/SUMIFS(当年实际!$P:$P,当年实际!$H:$H,$B953,当年实际!$C:$C,"&gt;="&amp;DATE(YEAR(主页!$D$2),1,1),当年实际!$C:$C,"&lt;="&amp;EOMONTH(DATE(YEAR(主页!$D$2),MONTH(主页!$D$2),1),0)),"")</f>
        <v/>
      </c>
    </row>
    <row r="954" spans="1:10" x14ac:dyDescent="0.3">
      <c r="A954" s="135"/>
      <c r="B954" s="136"/>
      <c r="C954" s="138"/>
      <c r="D954" s="139"/>
      <c r="E954" s="141" t="str">
        <f t="shared" si="44"/>
        <v/>
      </c>
      <c r="F954" s="144"/>
      <c r="G954" s="146">
        <f t="shared" si="42"/>
        <v>0</v>
      </c>
      <c r="H954" s="141" t="str">
        <f t="shared" si="43"/>
        <v/>
      </c>
      <c r="J954" s="148" t="str">
        <f>IFERROR(SUMIFS(当年实际!$V:$V,当年实际!$H:$H,$B954,当年实际!$C:$C,"&gt;="&amp;DATE(YEAR(主页!$D$2),1,1),当年实际!$C:$C,"&lt;="&amp;EOMONTH(DATE(YEAR(主页!$D$2),MONTH(主页!$D$2),1),0))/SUMIFS(当年实际!$P:$P,当年实际!$H:$H,$B954,当年实际!$C:$C,"&gt;="&amp;DATE(YEAR(主页!$D$2),1,1),当年实际!$C:$C,"&lt;="&amp;EOMONTH(DATE(YEAR(主页!$D$2),MONTH(主页!$D$2),1),0)),"")</f>
        <v/>
      </c>
    </row>
    <row r="955" spans="1:10" x14ac:dyDescent="0.3">
      <c r="A955" s="135"/>
      <c r="B955" s="136"/>
      <c r="C955" s="138"/>
      <c r="D955" s="139"/>
      <c r="E955" s="141" t="str">
        <f t="shared" si="44"/>
        <v/>
      </c>
      <c r="F955" s="144"/>
      <c r="G955" s="146">
        <f t="shared" si="42"/>
        <v>0</v>
      </c>
      <c r="H955" s="141" t="str">
        <f t="shared" si="43"/>
        <v/>
      </c>
      <c r="J955" s="148" t="str">
        <f>IFERROR(SUMIFS(当年实际!$V:$V,当年实际!$H:$H,$B955,当年实际!$C:$C,"&gt;="&amp;DATE(YEAR(主页!$D$2),1,1),当年实际!$C:$C,"&lt;="&amp;EOMONTH(DATE(YEAR(主页!$D$2),MONTH(主页!$D$2),1),0))/SUMIFS(当年实际!$P:$P,当年实际!$H:$H,$B955,当年实际!$C:$C,"&gt;="&amp;DATE(YEAR(主页!$D$2),1,1),当年实际!$C:$C,"&lt;="&amp;EOMONTH(DATE(YEAR(主页!$D$2),MONTH(主页!$D$2),1),0)),"")</f>
        <v/>
      </c>
    </row>
    <row r="956" spans="1:10" x14ac:dyDescent="0.3">
      <c r="A956" s="135"/>
      <c r="B956" s="136"/>
      <c r="C956" s="138"/>
      <c r="D956" s="139"/>
      <c r="E956" s="141" t="str">
        <f t="shared" si="44"/>
        <v/>
      </c>
      <c r="F956" s="144"/>
      <c r="G956" s="146">
        <f t="shared" si="42"/>
        <v>0</v>
      </c>
      <c r="H956" s="141" t="str">
        <f t="shared" si="43"/>
        <v/>
      </c>
      <c r="J956" s="148" t="str">
        <f>IFERROR(SUMIFS(当年实际!$V:$V,当年实际!$H:$H,$B956,当年实际!$C:$C,"&gt;="&amp;DATE(YEAR(主页!$D$2),1,1),当年实际!$C:$C,"&lt;="&amp;EOMONTH(DATE(YEAR(主页!$D$2),MONTH(主页!$D$2),1),0))/SUMIFS(当年实际!$P:$P,当年实际!$H:$H,$B956,当年实际!$C:$C,"&gt;="&amp;DATE(YEAR(主页!$D$2),1,1),当年实际!$C:$C,"&lt;="&amp;EOMONTH(DATE(YEAR(主页!$D$2),MONTH(主页!$D$2),1),0)),"")</f>
        <v/>
      </c>
    </row>
    <row r="957" spans="1:10" x14ac:dyDescent="0.3">
      <c r="A957" s="135"/>
      <c r="B957" s="136"/>
      <c r="C957" s="138"/>
      <c r="D957" s="139"/>
      <c r="E957" s="141" t="str">
        <f t="shared" si="44"/>
        <v/>
      </c>
      <c r="F957" s="144"/>
      <c r="G957" s="146">
        <f t="shared" si="42"/>
        <v>0</v>
      </c>
      <c r="H957" s="141" t="str">
        <f t="shared" si="43"/>
        <v/>
      </c>
      <c r="J957" s="148" t="str">
        <f>IFERROR(SUMIFS(当年实际!$V:$V,当年实际!$H:$H,$B957,当年实际!$C:$C,"&gt;="&amp;DATE(YEAR(主页!$D$2),1,1),当年实际!$C:$C,"&lt;="&amp;EOMONTH(DATE(YEAR(主页!$D$2),MONTH(主页!$D$2),1),0))/SUMIFS(当年实际!$P:$P,当年实际!$H:$H,$B957,当年实际!$C:$C,"&gt;="&amp;DATE(YEAR(主页!$D$2),1,1),当年实际!$C:$C,"&lt;="&amp;EOMONTH(DATE(YEAR(主页!$D$2),MONTH(主页!$D$2),1),0)),"")</f>
        <v/>
      </c>
    </row>
    <row r="958" spans="1:10" x14ac:dyDescent="0.3">
      <c r="A958" s="135"/>
      <c r="B958" s="136"/>
      <c r="C958" s="138"/>
      <c r="D958" s="139"/>
      <c r="E958" s="141" t="str">
        <f t="shared" si="44"/>
        <v/>
      </c>
      <c r="F958" s="144"/>
      <c r="G958" s="146">
        <f t="shared" si="42"/>
        <v>0</v>
      </c>
      <c r="H958" s="141" t="str">
        <f t="shared" si="43"/>
        <v/>
      </c>
      <c r="J958" s="148" t="str">
        <f>IFERROR(SUMIFS(当年实际!$V:$V,当年实际!$H:$H,$B958,当年实际!$C:$C,"&gt;="&amp;DATE(YEAR(主页!$D$2),1,1),当年实际!$C:$C,"&lt;="&amp;EOMONTH(DATE(YEAR(主页!$D$2),MONTH(主页!$D$2),1),0))/SUMIFS(当年实际!$P:$P,当年实际!$H:$H,$B958,当年实际!$C:$C,"&gt;="&amp;DATE(YEAR(主页!$D$2),1,1),当年实际!$C:$C,"&lt;="&amp;EOMONTH(DATE(YEAR(主页!$D$2),MONTH(主页!$D$2),1),0)),"")</f>
        <v/>
      </c>
    </row>
    <row r="959" spans="1:10" x14ac:dyDescent="0.3">
      <c r="A959" s="135"/>
      <c r="B959" s="136"/>
      <c r="C959" s="138"/>
      <c r="D959" s="139"/>
      <c r="E959" s="141" t="str">
        <f t="shared" si="44"/>
        <v/>
      </c>
      <c r="F959" s="144"/>
      <c r="G959" s="146">
        <f t="shared" si="42"/>
        <v>0</v>
      </c>
      <c r="H959" s="141" t="str">
        <f t="shared" si="43"/>
        <v/>
      </c>
      <c r="J959" s="148" t="str">
        <f>IFERROR(SUMIFS(当年实际!$V:$V,当年实际!$H:$H,$B959,当年实际!$C:$C,"&gt;="&amp;DATE(YEAR(主页!$D$2),1,1),当年实际!$C:$C,"&lt;="&amp;EOMONTH(DATE(YEAR(主页!$D$2),MONTH(主页!$D$2),1),0))/SUMIFS(当年实际!$P:$P,当年实际!$H:$H,$B959,当年实际!$C:$C,"&gt;="&amp;DATE(YEAR(主页!$D$2),1,1),当年实际!$C:$C,"&lt;="&amp;EOMONTH(DATE(YEAR(主页!$D$2),MONTH(主页!$D$2),1),0)),"")</f>
        <v/>
      </c>
    </row>
    <row r="960" spans="1:10" x14ac:dyDescent="0.3">
      <c r="A960" s="135"/>
      <c r="B960" s="136"/>
      <c r="C960" s="138"/>
      <c r="D960" s="139"/>
      <c r="E960" s="141" t="str">
        <f t="shared" si="44"/>
        <v/>
      </c>
      <c r="F960" s="144"/>
      <c r="G960" s="146">
        <f t="shared" si="42"/>
        <v>0</v>
      </c>
      <c r="H960" s="141" t="str">
        <f t="shared" si="43"/>
        <v/>
      </c>
      <c r="J960" s="148" t="str">
        <f>IFERROR(SUMIFS(当年实际!$V:$V,当年实际!$H:$H,$B960,当年实际!$C:$C,"&gt;="&amp;DATE(YEAR(主页!$D$2),1,1),当年实际!$C:$C,"&lt;="&amp;EOMONTH(DATE(YEAR(主页!$D$2),MONTH(主页!$D$2),1),0))/SUMIFS(当年实际!$P:$P,当年实际!$H:$H,$B960,当年实际!$C:$C,"&gt;="&amp;DATE(YEAR(主页!$D$2),1,1),当年实际!$C:$C,"&lt;="&amp;EOMONTH(DATE(YEAR(主页!$D$2),MONTH(主页!$D$2),1),0)),"")</f>
        <v/>
      </c>
    </row>
    <row r="961" spans="1:10" x14ac:dyDescent="0.3">
      <c r="A961" s="135"/>
      <c r="B961" s="136"/>
      <c r="C961" s="138"/>
      <c r="D961" s="139"/>
      <c r="E961" s="141" t="str">
        <f t="shared" si="44"/>
        <v/>
      </c>
      <c r="F961" s="144"/>
      <c r="G961" s="146">
        <f t="shared" si="42"/>
        <v>0</v>
      </c>
      <c r="H961" s="141" t="str">
        <f t="shared" si="43"/>
        <v/>
      </c>
      <c r="J961" s="148" t="str">
        <f>IFERROR(SUMIFS(当年实际!$V:$V,当年实际!$H:$H,$B961,当年实际!$C:$C,"&gt;="&amp;DATE(YEAR(主页!$D$2),1,1),当年实际!$C:$C,"&lt;="&amp;EOMONTH(DATE(YEAR(主页!$D$2),MONTH(主页!$D$2),1),0))/SUMIFS(当年实际!$P:$P,当年实际!$H:$H,$B961,当年实际!$C:$C,"&gt;="&amp;DATE(YEAR(主页!$D$2),1,1),当年实际!$C:$C,"&lt;="&amp;EOMONTH(DATE(YEAR(主页!$D$2),MONTH(主页!$D$2),1),0)),"")</f>
        <v/>
      </c>
    </row>
    <row r="962" spans="1:10" x14ac:dyDescent="0.3">
      <c r="A962" s="135"/>
      <c r="B962" s="136"/>
      <c r="C962" s="138"/>
      <c r="D962" s="139"/>
      <c r="E962" s="141" t="str">
        <f t="shared" si="44"/>
        <v/>
      </c>
      <c r="F962" s="144"/>
      <c r="G962" s="146">
        <f t="shared" si="42"/>
        <v>0</v>
      </c>
      <c r="H962" s="141" t="str">
        <f t="shared" si="43"/>
        <v/>
      </c>
      <c r="J962" s="148" t="str">
        <f>IFERROR(SUMIFS(当年实际!$V:$V,当年实际!$H:$H,$B962,当年实际!$C:$C,"&gt;="&amp;DATE(YEAR(主页!$D$2),1,1),当年实际!$C:$C,"&lt;="&amp;EOMONTH(DATE(YEAR(主页!$D$2),MONTH(主页!$D$2),1),0))/SUMIFS(当年实际!$P:$P,当年实际!$H:$H,$B962,当年实际!$C:$C,"&gt;="&amp;DATE(YEAR(主页!$D$2),1,1),当年实际!$C:$C,"&lt;="&amp;EOMONTH(DATE(YEAR(主页!$D$2),MONTH(主页!$D$2),1),0)),"")</f>
        <v/>
      </c>
    </row>
    <row r="963" spans="1:10" x14ac:dyDescent="0.3">
      <c r="A963" s="135"/>
      <c r="B963" s="136"/>
      <c r="C963" s="138"/>
      <c r="D963" s="139"/>
      <c r="E963" s="141" t="str">
        <f t="shared" si="44"/>
        <v/>
      </c>
      <c r="F963" s="144"/>
      <c r="G963" s="146">
        <f t="shared" si="42"/>
        <v>0</v>
      </c>
      <c r="H963" s="141" t="str">
        <f t="shared" si="43"/>
        <v/>
      </c>
      <c r="J963" s="148" t="str">
        <f>IFERROR(SUMIFS(当年实际!$V:$V,当年实际!$H:$H,$B963,当年实际!$C:$C,"&gt;="&amp;DATE(YEAR(主页!$D$2),1,1),当年实际!$C:$C,"&lt;="&amp;EOMONTH(DATE(YEAR(主页!$D$2),MONTH(主页!$D$2),1),0))/SUMIFS(当年实际!$P:$P,当年实际!$H:$H,$B963,当年实际!$C:$C,"&gt;="&amp;DATE(YEAR(主页!$D$2),1,1),当年实际!$C:$C,"&lt;="&amp;EOMONTH(DATE(YEAR(主页!$D$2),MONTH(主页!$D$2),1),0)),"")</f>
        <v/>
      </c>
    </row>
    <row r="964" spans="1:10" x14ac:dyDescent="0.3">
      <c r="A964" s="135"/>
      <c r="B964" s="136"/>
      <c r="C964" s="138"/>
      <c r="D964" s="139"/>
      <c r="E964" s="141" t="str">
        <f t="shared" si="44"/>
        <v/>
      </c>
      <c r="F964" s="144"/>
      <c r="G964" s="146">
        <f t="shared" si="42"/>
        <v>0</v>
      </c>
      <c r="H964" s="141" t="str">
        <f t="shared" si="43"/>
        <v/>
      </c>
      <c r="J964" s="148" t="str">
        <f>IFERROR(SUMIFS(当年实际!$V:$V,当年实际!$H:$H,$B964,当年实际!$C:$C,"&gt;="&amp;DATE(YEAR(主页!$D$2),1,1),当年实际!$C:$C,"&lt;="&amp;EOMONTH(DATE(YEAR(主页!$D$2),MONTH(主页!$D$2),1),0))/SUMIFS(当年实际!$P:$P,当年实际!$H:$H,$B964,当年实际!$C:$C,"&gt;="&amp;DATE(YEAR(主页!$D$2),1,1),当年实际!$C:$C,"&lt;="&amp;EOMONTH(DATE(YEAR(主页!$D$2),MONTH(主页!$D$2),1),0)),"")</f>
        <v/>
      </c>
    </row>
    <row r="965" spans="1:10" x14ac:dyDescent="0.3">
      <c r="A965" s="135"/>
      <c r="B965" s="136"/>
      <c r="C965" s="138"/>
      <c r="D965" s="139"/>
      <c r="E965" s="141" t="str">
        <f t="shared" si="44"/>
        <v/>
      </c>
      <c r="F965" s="144"/>
      <c r="G965" s="146">
        <f t="shared" ref="G965:G1028" si="45">D965*F965</f>
        <v>0</v>
      </c>
      <c r="H965" s="141" t="str">
        <f t="shared" si="43"/>
        <v/>
      </c>
      <c r="J965" s="148" t="str">
        <f>IFERROR(SUMIFS(当年实际!$V:$V,当年实际!$H:$H,$B965,当年实际!$C:$C,"&gt;="&amp;DATE(YEAR(主页!$D$2),1,1),当年实际!$C:$C,"&lt;="&amp;EOMONTH(DATE(YEAR(主页!$D$2),MONTH(主页!$D$2),1),0))/SUMIFS(当年实际!$P:$P,当年实际!$H:$H,$B965,当年实际!$C:$C,"&gt;="&amp;DATE(YEAR(主页!$D$2),1,1),当年实际!$C:$C,"&lt;="&amp;EOMONTH(DATE(YEAR(主页!$D$2),MONTH(主页!$D$2),1),0)),"")</f>
        <v/>
      </c>
    </row>
    <row r="966" spans="1:10" x14ac:dyDescent="0.3">
      <c r="A966" s="135"/>
      <c r="B966" s="136"/>
      <c r="C966" s="138"/>
      <c r="D966" s="139"/>
      <c r="E966" s="141" t="str">
        <f t="shared" si="44"/>
        <v/>
      </c>
      <c r="F966" s="144"/>
      <c r="G966" s="146">
        <f t="shared" si="45"/>
        <v>0</v>
      </c>
      <c r="H966" s="141" t="str">
        <f t="shared" ref="H966:H1029" si="46">IF(G966/SUM(G:G)=0,"",G966/SUM(G:G))</f>
        <v/>
      </c>
      <c r="J966" s="148" t="str">
        <f>IFERROR(SUMIFS(当年实际!$V:$V,当年实际!$H:$H,$B966,当年实际!$C:$C,"&gt;="&amp;DATE(YEAR(主页!$D$2),1,1),当年实际!$C:$C,"&lt;="&amp;EOMONTH(DATE(YEAR(主页!$D$2),MONTH(主页!$D$2),1),0))/SUMIFS(当年实际!$P:$P,当年实际!$H:$H,$B966,当年实际!$C:$C,"&gt;="&amp;DATE(YEAR(主页!$D$2),1,1),当年实际!$C:$C,"&lt;="&amp;EOMONTH(DATE(YEAR(主页!$D$2),MONTH(主页!$D$2),1),0)),"")</f>
        <v/>
      </c>
    </row>
    <row r="967" spans="1:10" x14ac:dyDescent="0.3">
      <c r="A967" s="135"/>
      <c r="B967" s="136"/>
      <c r="C967" s="138"/>
      <c r="D967" s="139"/>
      <c r="E967" s="141" t="str">
        <f t="shared" si="44"/>
        <v/>
      </c>
      <c r="F967" s="144"/>
      <c r="G967" s="146">
        <f t="shared" si="45"/>
        <v>0</v>
      </c>
      <c r="H967" s="141" t="str">
        <f t="shared" si="46"/>
        <v/>
      </c>
      <c r="J967" s="148" t="str">
        <f>IFERROR(SUMIFS(当年实际!$V:$V,当年实际!$H:$H,$B967,当年实际!$C:$C,"&gt;="&amp;DATE(YEAR(主页!$D$2),1,1),当年实际!$C:$C,"&lt;="&amp;EOMONTH(DATE(YEAR(主页!$D$2),MONTH(主页!$D$2),1),0))/SUMIFS(当年实际!$P:$P,当年实际!$H:$H,$B967,当年实际!$C:$C,"&gt;="&amp;DATE(YEAR(主页!$D$2),1,1),当年实际!$C:$C,"&lt;="&amp;EOMONTH(DATE(YEAR(主页!$D$2),MONTH(主页!$D$2),1),0)),"")</f>
        <v/>
      </c>
    </row>
    <row r="968" spans="1:10" x14ac:dyDescent="0.3">
      <c r="A968" s="135"/>
      <c r="B968" s="136"/>
      <c r="C968" s="138"/>
      <c r="D968" s="139"/>
      <c r="E968" s="141" t="str">
        <f t="shared" ref="E968:E1031" si="47">IF(D968/SUM(D:D)=0,"",D968/SUM(D:D))</f>
        <v/>
      </c>
      <c r="F968" s="144"/>
      <c r="G968" s="146">
        <f t="shared" si="45"/>
        <v>0</v>
      </c>
      <c r="H968" s="141" t="str">
        <f t="shared" si="46"/>
        <v/>
      </c>
      <c r="J968" s="148" t="str">
        <f>IFERROR(SUMIFS(当年实际!$V:$V,当年实际!$H:$H,$B968,当年实际!$C:$C,"&gt;="&amp;DATE(YEAR(主页!$D$2),1,1),当年实际!$C:$C,"&lt;="&amp;EOMONTH(DATE(YEAR(主页!$D$2),MONTH(主页!$D$2),1),0))/SUMIFS(当年实际!$P:$P,当年实际!$H:$H,$B968,当年实际!$C:$C,"&gt;="&amp;DATE(YEAR(主页!$D$2),1,1),当年实际!$C:$C,"&lt;="&amp;EOMONTH(DATE(YEAR(主页!$D$2),MONTH(主页!$D$2),1),0)),"")</f>
        <v/>
      </c>
    </row>
    <row r="969" spans="1:10" x14ac:dyDescent="0.3">
      <c r="A969" s="135"/>
      <c r="B969" s="136"/>
      <c r="C969" s="138"/>
      <c r="D969" s="139"/>
      <c r="E969" s="141" t="str">
        <f t="shared" si="47"/>
        <v/>
      </c>
      <c r="F969" s="144"/>
      <c r="G969" s="146">
        <f t="shared" si="45"/>
        <v>0</v>
      </c>
      <c r="H969" s="141" t="str">
        <f t="shared" si="46"/>
        <v/>
      </c>
      <c r="J969" s="148" t="str">
        <f>IFERROR(SUMIFS(当年实际!$V:$V,当年实际!$H:$H,$B969,当年实际!$C:$C,"&gt;="&amp;DATE(YEAR(主页!$D$2),1,1),当年实际!$C:$C,"&lt;="&amp;EOMONTH(DATE(YEAR(主页!$D$2),MONTH(主页!$D$2),1),0))/SUMIFS(当年实际!$P:$P,当年实际!$H:$H,$B969,当年实际!$C:$C,"&gt;="&amp;DATE(YEAR(主页!$D$2),1,1),当年实际!$C:$C,"&lt;="&amp;EOMONTH(DATE(YEAR(主页!$D$2),MONTH(主页!$D$2),1),0)),"")</f>
        <v/>
      </c>
    </row>
    <row r="970" spans="1:10" x14ac:dyDescent="0.3">
      <c r="A970" s="135"/>
      <c r="B970" s="136"/>
      <c r="C970" s="138"/>
      <c r="D970" s="139"/>
      <c r="E970" s="141" t="str">
        <f t="shared" si="47"/>
        <v/>
      </c>
      <c r="F970" s="144"/>
      <c r="G970" s="146">
        <f t="shared" si="45"/>
        <v>0</v>
      </c>
      <c r="H970" s="141" t="str">
        <f t="shared" si="46"/>
        <v/>
      </c>
      <c r="J970" s="148" t="str">
        <f>IFERROR(SUMIFS(当年实际!$V:$V,当年实际!$H:$H,$B970,当年实际!$C:$C,"&gt;="&amp;DATE(YEAR(主页!$D$2),1,1),当年实际!$C:$C,"&lt;="&amp;EOMONTH(DATE(YEAR(主页!$D$2),MONTH(主页!$D$2),1),0))/SUMIFS(当年实际!$P:$P,当年实际!$H:$H,$B970,当年实际!$C:$C,"&gt;="&amp;DATE(YEAR(主页!$D$2),1,1),当年实际!$C:$C,"&lt;="&amp;EOMONTH(DATE(YEAR(主页!$D$2),MONTH(主页!$D$2),1),0)),"")</f>
        <v/>
      </c>
    </row>
    <row r="971" spans="1:10" x14ac:dyDescent="0.3">
      <c r="A971" s="135"/>
      <c r="B971" s="136"/>
      <c r="C971" s="138"/>
      <c r="D971" s="139"/>
      <c r="E971" s="141" t="str">
        <f t="shared" si="47"/>
        <v/>
      </c>
      <c r="F971" s="144"/>
      <c r="G971" s="146">
        <f t="shared" si="45"/>
        <v>0</v>
      </c>
      <c r="H971" s="141" t="str">
        <f t="shared" si="46"/>
        <v/>
      </c>
      <c r="J971" s="148" t="str">
        <f>IFERROR(SUMIFS(当年实际!$V:$V,当年实际!$H:$H,$B971,当年实际!$C:$C,"&gt;="&amp;DATE(YEAR(主页!$D$2),1,1),当年实际!$C:$C,"&lt;="&amp;EOMONTH(DATE(YEAR(主页!$D$2),MONTH(主页!$D$2),1),0))/SUMIFS(当年实际!$P:$P,当年实际!$H:$H,$B971,当年实际!$C:$C,"&gt;="&amp;DATE(YEAR(主页!$D$2),1,1),当年实际!$C:$C,"&lt;="&amp;EOMONTH(DATE(YEAR(主页!$D$2),MONTH(主页!$D$2),1),0)),"")</f>
        <v/>
      </c>
    </row>
    <row r="972" spans="1:10" x14ac:dyDescent="0.3">
      <c r="A972" s="135"/>
      <c r="B972" s="136"/>
      <c r="C972" s="138"/>
      <c r="D972" s="139"/>
      <c r="E972" s="141" t="str">
        <f t="shared" si="47"/>
        <v/>
      </c>
      <c r="F972" s="144"/>
      <c r="G972" s="146">
        <f t="shared" si="45"/>
        <v>0</v>
      </c>
      <c r="H972" s="141" t="str">
        <f t="shared" si="46"/>
        <v/>
      </c>
      <c r="J972" s="148" t="str">
        <f>IFERROR(SUMIFS(当年实际!$V:$V,当年实际!$H:$H,$B972,当年实际!$C:$C,"&gt;="&amp;DATE(YEAR(主页!$D$2),1,1),当年实际!$C:$C,"&lt;="&amp;EOMONTH(DATE(YEAR(主页!$D$2),MONTH(主页!$D$2),1),0))/SUMIFS(当年实际!$P:$P,当年实际!$H:$H,$B972,当年实际!$C:$C,"&gt;="&amp;DATE(YEAR(主页!$D$2),1,1),当年实际!$C:$C,"&lt;="&amp;EOMONTH(DATE(YEAR(主页!$D$2),MONTH(主页!$D$2),1),0)),"")</f>
        <v/>
      </c>
    </row>
    <row r="973" spans="1:10" x14ac:dyDescent="0.3">
      <c r="A973" s="135"/>
      <c r="B973" s="136"/>
      <c r="C973" s="138"/>
      <c r="D973" s="139"/>
      <c r="E973" s="141" t="str">
        <f t="shared" si="47"/>
        <v/>
      </c>
      <c r="F973" s="144"/>
      <c r="G973" s="146">
        <f t="shared" si="45"/>
        <v>0</v>
      </c>
      <c r="H973" s="141" t="str">
        <f t="shared" si="46"/>
        <v/>
      </c>
      <c r="J973" s="148" t="str">
        <f>IFERROR(SUMIFS(当年实际!$V:$V,当年实际!$H:$H,$B973,当年实际!$C:$C,"&gt;="&amp;DATE(YEAR(主页!$D$2),1,1),当年实际!$C:$C,"&lt;="&amp;EOMONTH(DATE(YEAR(主页!$D$2),MONTH(主页!$D$2),1),0))/SUMIFS(当年实际!$P:$P,当年实际!$H:$H,$B973,当年实际!$C:$C,"&gt;="&amp;DATE(YEAR(主页!$D$2),1,1),当年实际!$C:$C,"&lt;="&amp;EOMONTH(DATE(YEAR(主页!$D$2),MONTH(主页!$D$2),1),0)),"")</f>
        <v/>
      </c>
    </row>
    <row r="974" spans="1:10" x14ac:dyDescent="0.3">
      <c r="A974" s="135"/>
      <c r="B974" s="136"/>
      <c r="C974" s="138"/>
      <c r="D974" s="139"/>
      <c r="E974" s="141" t="str">
        <f t="shared" si="47"/>
        <v/>
      </c>
      <c r="F974" s="144"/>
      <c r="G974" s="146">
        <f t="shared" si="45"/>
        <v>0</v>
      </c>
      <c r="H974" s="141" t="str">
        <f t="shared" si="46"/>
        <v/>
      </c>
      <c r="J974" s="148" t="str">
        <f>IFERROR(SUMIFS(当年实际!$V:$V,当年实际!$H:$H,$B974,当年实际!$C:$C,"&gt;="&amp;DATE(YEAR(主页!$D$2),1,1),当年实际!$C:$C,"&lt;="&amp;EOMONTH(DATE(YEAR(主页!$D$2),MONTH(主页!$D$2),1),0))/SUMIFS(当年实际!$P:$P,当年实际!$H:$H,$B974,当年实际!$C:$C,"&gt;="&amp;DATE(YEAR(主页!$D$2),1,1),当年实际!$C:$C,"&lt;="&amp;EOMONTH(DATE(YEAR(主页!$D$2),MONTH(主页!$D$2),1),0)),"")</f>
        <v/>
      </c>
    </row>
    <row r="975" spans="1:10" x14ac:dyDescent="0.3">
      <c r="A975" s="135"/>
      <c r="B975" s="136"/>
      <c r="C975" s="138"/>
      <c r="D975" s="139"/>
      <c r="E975" s="141" t="str">
        <f t="shared" si="47"/>
        <v/>
      </c>
      <c r="F975" s="144"/>
      <c r="G975" s="146">
        <f t="shared" si="45"/>
        <v>0</v>
      </c>
      <c r="H975" s="141" t="str">
        <f t="shared" si="46"/>
        <v/>
      </c>
      <c r="J975" s="148" t="str">
        <f>IFERROR(SUMIFS(当年实际!$V:$V,当年实际!$H:$H,$B975,当年实际!$C:$C,"&gt;="&amp;DATE(YEAR(主页!$D$2),1,1),当年实际!$C:$C,"&lt;="&amp;EOMONTH(DATE(YEAR(主页!$D$2),MONTH(主页!$D$2),1),0))/SUMIFS(当年实际!$P:$P,当年实际!$H:$H,$B975,当年实际!$C:$C,"&gt;="&amp;DATE(YEAR(主页!$D$2),1,1),当年实际!$C:$C,"&lt;="&amp;EOMONTH(DATE(YEAR(主页!$D$2),MONTH(主页!$D$2),1),0)),"")</f>
        <v/>
      </c>
    </row>
    <row r="976" spans="1:10" x14ac:dyDescent="0.3">
      <c r="A976" s="135"/>
      <c r="B976" s="136"/>
      <c r="C976" s="138"/>
      <c r="D976" s="139"/>
      <c r="E976" s="141" t="str">
        <f t="shared" si="47"/>
        <v/>
      </c>
      <c r="F976" s="144"/>
      <c r="G976" s="146">
        <f t="shared" si="45"/>
        <v>0</v>
      </c>
      <c r="H976" s="141" t="str">
        <f t="shared" si="46"/>
        <v/>
      </c>
      <c r="J976" s="148" t="str">
        <f>IFERROR(SUMIFS(当年实际!$V:$V,当年实际!$H:$H,$B976,当年实际!$C:$C,"&gt;="&amp;DATE(YEAR(主页!$D$2),1,1),当年实际!$C:$C,"&lt;="&amp;EOMONTH(DATE(YEAR(主页!$D$2),MONTH(主页!$D$2),1),0))/SUMIFS(当年实际!$P:$P,当年实际!$H:$H,$B976,当年实际!$C:$C,"&gt;="&amp;DATE(YEAR(主页!$D$2),1,1),当年实际!$C:$C,"&lt;="&amp;EOMONTH(DATE(YEAR(主页!$D$2),MONTH(主页!$D$2),1),0)),"")</f>
        <v/>
      </c>
    </row>
    <row r="977" spans="1:10" x14ac:dyDescent="0.3">
      <c r="A977" s="135"/>
      <c r="B977" s="136"/>
      <c r="C977" s="138"/>
      <c r="D977" s="139"/>
      <c r="E977" s="141" t="str">
        <f t="shared" si="47"/>
        <v/>
      </c>
      <c r="F977" s="144"/>
      <c r="G977" s="146">
        <f t="shared" si="45"/>
        <v>0</v>
      </c>
      <c r="H977" s="141" t="str">
        <f t="shared" si="46"/>
        <v/>
      </c>
      <c r="J977" s="148" t="str">
        <f>IFERROR(SUMIFS(当年实际!$V:$V,当年实际!$H:$H,$B977,当年实际!$C:$C,"&gt;="&amp;DATE(YEAR(主页!$D$2),1,1),当年实际!$C:$C,"&lt;="&amp;EOMONTH(DATE(YEAR(主页!$D$2),MONTH(主页!$D$2),1),0))/SUMIFS(当年实际!$P:$P,当年实际!$H:$H,$B977,当年实际!$C:$C,"&gt;="&amp;DATE(YEAR(主页!$D$2),1,1),当年实际!$C:$C,"&lt;="&amp;EOMONTH(DATE(YEAR(主页!$D$2),MONTH(主页!$D$2),1),0)),"")</f>
        <v/>
      </c>
    </row>
    <row r="978" spans="1:10" x14ac:dyDescent="0.3">
      <c r="A978" s="135"/>
      <c r="B978" s="136"/>
      <c r="C978" s="138"/>
      <c r="D978" s="139"/>
      <c r="E978" s="141" t="str">
        <f t="shared" si="47"/>
        <v/>
      </c>
      <c r="F978" s="144"/>
      <c r="G978" s="146">
        <f t="shared" si="45"/>
        <v>0</v>
      </c>
      <c r="H978" s="141" t="str">
        <f t="shared" si="46"/>
        <v/>
      </c>
      <c r="J978" s="148" t="str">
        <f>IFERROR(SUMIFS(当年实际!$V:$V,当年实际!$H:$H,$B978,当年实际!$C:$C,"&gt;="&amp;DATE(YEAR(主页!$D$2),1,1),当年实际!$C:$C,"&lt;="&amp;EOMONTH(DATE(YEAR(主页!$D$2),MONTH(主页!$D$2),1),0))/SUMIFS(当年实际!$P:$P,当年实际!$H:$H,$B978,当年实际!$C:$C,"&gt;="&amp;DATE(YEAR(主页!$D$2),1,1),当年实际!$C:$C,"&lt;="&amp;EOMONTH(DATE(YEAR(主页!$D$2),MONTH(主页!$D$2),1),0)),"")</f>
        <v/>
      </c>
    </row>
    <row r="979" spans="1:10" x14ac:dyDescent="0.3">
      <c r="A979" s="135"/>
      <c r="B979" s="136"/>
      <c r="C979" s="138"/>
      <c r="D979" s="139"/>
      <c r="E979" s="141" t="str">
        <f t="shared" si="47"/>
        <v/>
      </c>
      <c r="F979" s="144"/>
      <c r="G979" s="146">
        <f t="shared" si="45"/>
        <v>0</v>
      </c>
      <c r="H979" s="141" t="str">
        <f t="shared" si="46"/>
        <v/>
      </c>
      <c r="J979" s="148" t="str">
        <f>IFERROR(SUMIFS(当年实际!$V:$V,当年实际!$H:$H,$B979,当年实际!$C:$C,"&gt;="&amp;DATE(YEAR(主页!$D$2),1,1),当年实际!$C:$C,"&lt;="&amp;EOMONTH(DATE(YEAR(主页!$D$2),MONTH(主页!$D$2),1),0))/SUMIFS(当年实际!$P:$P,当年实际!$H:$H,$B979,当年实际!$C:$C,"&gt;="&amp;DATE(YEAR(主页!$D$2),1,1),当年实际!$C:$C,"&lt;="&amp;EOMONTH(DATE(YEAR(主页!$D$2),MONTH(主页!$D$2),1),0)),"")</f>
        <v/>
      </c>
    </row>
    <row r="980" spans="1:10" x14ac:dyDescent="0.3">
      <c r="A980" s="135"/>
      <c r="B980" s="136"/>
      <c r="C980" s="138"/>
      <c r="D980" s="139"/>
      <c r="E980" s="141" t="str">
        <f t="shared" si="47"/>
        <v/>
      </c>
      <c r="F980" s="144"/>
      <c r="G980" s="146">
        <f t="shared" si="45"/>
        <v>0</v>
      </c>
      <c r="H980" s="141" t="str">
        <f t="shared" si="46"/>
        <v/>
      </c>
      <c r="J980" s="148" t="str">
        <f>IFERROR(SUMIFS(当年实际!$V:$V,当年实际!$H:$H,$B980,当年实际!$C:$C,"&gt;="&amp;DATE(YEAR(主页!$D$2),1,1),当年实际!$C:$C,"&lt;="&amp;EOMONTH(DATE(YEAR(主页!$D$2),MONTH(主页!$D$2),1),0))/SUMIFS(当年实际!$P:$P,当年实际!$H:$H,$B980,当年实际!$C:$C,"&gt;="&amp;DATE(YEAR(主页!$D$2),1,1),当年实际!$C:$C,"&lt;="&amp;EOMONTH(DATE(YEAR(主页!$D$2),MONTH(主页!$D$2),1),0)),"")</f>
        <v/>
      </c>
    </row>
    <row r="981" spans="1:10" x14ac:dyDescent="0.3">
      <c r="A981" s="135"/>
      <c r="B981" s="136"/>
      <c r="C981" s="138"/>
      <c r="D981" s="139"/>
      <c r="E981" s="141" t="str">
        <f t="shared" si="47"/>
        <v/>
      </c>
      <c r="F981" s="144"/>
      <c r="G981" s="146">
        <f t="shared" si="45"/>
        <v>0</v>
      </c>
      <c r="H981" s="141" t="str">
        <f t="shared" si="46"/>
        <v/>
      </c>
      <c r="J981" s="148" t="str">
        <f>IFERROR(SUMIFS(当年实际!$V:$V,当年实际!$H:$H,$B981,当年实际!$C:$C,"&gt;="&amp;DATE(YEAR(主页!$D$2),1,1),当年实际!$C:$C,"&lt;="&amp;EOMONTH(DATE(YEAR(主页!$D$2),MONTH(主页!$D$2),1),0))/SUMIFS(当年实际!$P:$P,当年实际!$H:$H,$B981,当年实际!$C:$C,"&gt;="&amp;DATE(YEAR(主页!$D$2),1,1),当年实际!$C:$C,"&lt;="&amp;EOMONTH(DATE(YEAR(主页!$D$2),MONTH(主页!$D$2),1),0)),"")</f>
        <v/>
      </c>
    </row>
    <row r="982" spans="1:10" x14ac:dyDescent="0.3">
      <c r="A982" s="135"/>
      <c r="B982" s="136"/>
      <c r="C982" s="138"/>
      <c r="D982" s="139"/>
      <c r="E982" s="141" t="str">
        <f t="shared" si="47"/>
        <v/>
      </c>
      <c r="F982" s="144"/>
      <c r="G982" s="146">
        <f t="shared" si="45"/>
        <v>0</v>
      </c>
      <c r="H982" s="141" t="str">
        <f t="shared" si="46"/>
        <v/>
      </c>
      <c r="J982" s="148" t="str">
        <f>IFERROR(SUMIFS(当年实际!$V:$V,当年实际!$H:$H,$B982,当年实际!$C:$C,"&gt;="&amp;DATE(YEAR(主页!$D$2),1,1),当年实际!$C:$C,"&lt;="&amp;EOMONTH(DATE(YEAR(主页!$D$2),MONTH(主页!$D$2),1),0))/SUMIFS(当年实际!$P:$P,当年实际!$H:$H,$B982,当年实际!$C:$C,"&gt;="&amp;DATE(YEAR(主页!$D$2),1,1),当年实际!$C:$C,"&lt;="&amp;EOMONTH(DATE(YEAR(主页!$D$2),MONTH(主页!$D$2),1),0)),"")</f>
        <v/>
      </c>
    </row>
    <row r="983" spans="1:10" x14ac:dyDescent="0.3">
      <c r="A983" s="135"/>
      <c r="B983" s="136"/>
      <c r="C983" s="138"/>
      <c r="D983" s="139"/>
      <c r="E983" s="141" t="str">
        <f t="shared" si="47"/>
        <v/>
      </c>
      <c r="F983" s="144"/>
      <c r="G983" s="146">
        <f t="shared" si="45"/>
        <v>0</v>
      </c>
      <c r="H983" s="141" t="str">
        <f t="shared" si="46"/>
        <v/>
      </c>
      <c r="J983" s="148" t="str">
        <f>IFERROR(SUMIFS(当年实际!$V:$V,当年实际!$H:$H,$B983,当年实际!$C:$C,"&gt;="&amp;DATE(YEAR(主页!$D$2),1,1),当年实际!$C:$C,"&lt;="&amp;EOMONTH(DATE(YEAR(主页!$D$2),MONTH(主页!$D$2),1),0))/SUMIFS(当年实际!$P:$P,当年实际!$H:$H,$B983,当年实际!$C:$C,"&gt;="&amp;DATE(YEAR(主页!$D$2),1,1),当年实际!$C:$C,"&lt;="&amp;EOMONTH(DATE(YEAR(主页!$D$2),MONTH(主页!$D$2),1),0)),"")</f>
        <v/>
      </c>
    </row>
    <row r="984" spans="1:10" x14ac:dyDescent="0.3">
      <c r="A984" s="135"/>
      <c r="B984" s="136"/>
      <c r="C984" s="138"/>
      <c r="D984" s="139"/>
      <c r="E984" s="141" t="str">
        <f t="shared" si="47"/>
        <v/>
      </c>
      <c r="F984" s="144"/>
      <c r="G984" s="146">
        <f t="shared" si="45"/>
        <v>0</v>
      </c>
      <c r="H984" s="141" t="str">
        <f t="shared" si="46"/>
        <v/>
      </c>
      <c r="J984" s="148" t="str">
        <f>IFERROR(SUMIFS(当年实际!$V:$V,当年实际!$H:$H,$B984,当年实际!$C:$C,"&gt;="&amp;DATE(YEAR(主页!$D$2),1,1),当年实际!$C:$C,"&lt;="&amp;EOMONTH(DATE(YEAR(主页!$D$2),MONTH(主页!$D$2),1),0))/SUMIFS(当年实际!$P:$P,当年实际!$H:$H,$B984,当年实际!$C:$C,"&gt;="&amp;DATE(YEAR(主页!$D$2),1,1),当年实际!$C:$C,"&lt;="&amp;EOMONTH(DATE(YEAR(主页!$D$2),MONTH(主页!$D$2),1),0)),"")</f>
        <v/>
      </c>
    </row>
    <row r="985" spans="1:10" x14ac:dyDescent="0.3">
      <c r="A985" s="135"/>
      <c r="B985" s="136"/>
      <c r="C985" s="138"/>
      <c r="D985" s="139"/>
      <c r="E985" s="141" t="str">
        <f t="shared" si="47"/>
        <v/>
      </c>
      <c r="F985" s="144"/>
      <c r="G985" s="146">
        <f t="shared" si="45"/>
        <v>0</v>
      </c>
      <c r="H985" s="141" t="str">
        <f t="shared" si="46"/>
        <v/>
      </c>
      <c r="J985" s="148" t="str">
        <f>IFERROR(SUMIFS(当年实际!$V:$V,当年实际!$H:$H,$B985,当年实际!$C:$C,"&gt;="&amp;DATE(YEAR(主页!$D$2),1,1),当年实际!$C:$C,"&lt;="&amp;EOMONTH(DATE(YEAR(主页!$D$2),MONTH(主页!$D$2),1),0))/SUMIFS(当年实际!$P:$P,当年实际!$H:$H,$B985,当年实际!$C:$C,"&gt;="&amp;DATE(YEAR(主页!$D$2),1,1),当年实际!$C:$C,"&lt;="&amp;EOMONTH(DATE(YEAR(主页!$D$2),MONTH(主页!$D$2),1),0)),"")</f>
        <v/>
      </c>
    </row>
    <row r="986" spans="1:10" x14ac:dyDescent="0.3">
      <c r="A986" s="135"/>
      <c r="B986" s="136"/>
      <c r="C986" s="138"/>
      <c r="D986" s="139"/>
      <c r="E986" s="141" t="str">
        <f t="shared" si="47"/>
        <v/>
      </c>
      <c r="F986" s="144"/>
      <c r="G986" s="146">
        <f t="shared" si="45"/>
        <v>0</v>
      </c>
      <c r="H986" s="141" t="str">
        <f t="shared" si="46"/>
        <v/>
      </c>
      <c r="J986" s="148" t="str">
        <f>IFERROR(SUMIFS(当年实际!$V:$V,当年实际!$H:$H,$B986,当年实际!$C:$C,"&gt;="&amp;DATE(YEAR(主页!$D$2),1,1),当年实际!$C:$C,"&lt;="&amp;EOMONTH(DATE(YEAR(主页!$D$2),MONTH(主页!$D$2),1),0))/SUMIFS(当年实际!$P:$P,当年实际!$H:$H,$B986,当年实际!$C:$C,"&gt;="&amp;DATE(YEAR(主页!$D$2),1,1),当年实际!$C:$C,"&lt;="&amp;EOMONTH(DATE(YEAR(主页!$D$2),MONTH(主页!$D$2),1),0)),"")</f>
        <v/>
      </c>
    </row>
    <row r="987" spans="1:10" x14ac:dyDescent="0.3">
      <c r="A987" s="135"/>
      <c r="B987" s="136"/>
      <c r="C987" s="138"/>
      <c r="D987" s="139"/>
      <c r="E987" s="141" t="str">
        <f t="shared" si="47"/>
        <v/>
      </c>
      <c r="F987" s="144"/>
      <c r="G987" s="146">
        <f t="shared" si="45"/>
        <v>0</v>
      </c>
      <c r="H987" s="141" t="str">
        <f t="shared" si="46"/>
        <v/>
      </c>
      <c r="J987" s="148" t="str">
        <f>IFERROR(SUMIFS(当年实际!$V:$V,当年实际!$H:$H,$B987,当年实际!$C:$C,"&gt;="&amp;DATE(YEAR(主页!$D$2),1,1),当年实际!$C:$C,"&lt;="&amp;EOMONTH(DATE(YEAR(主页!$D$2),MONTH(主页!$D$2),1),0))/SUMIFS(当年实际!$P:$P,当年实际!$H:$H,$B987,当年实际!$C:$C,"&gt;="&amp;DATE(YEAR(主页!$D$2),1,1),当年实际!$C:$C,"&lt;="&amp;EOMONTH(DATE(YEAR(主页!$D$2),MONTH(主页!$D$2),1),0)),"")</f>
        <v/>
      </c>
    </row>
    <row r="988" spans="1:10" x14ac:dyDescent="0.3">
      <c r="A988" s="135"/>
      <c r="B988" s="136"/>
      <c r="C988" s="138"/>
      <c r="D988" s="139"/>
      <c r="E988" s="141" t="str">
        <f t="shared" si="47"/>
        <v/>
      </c>
      <c r="F988" s="144"/>
      <c r="G988" s="146">
        <f t="shared" si="45"/>
        <v>0</v>
      </c>
      <c r="H988" s="141" t="str">
        <f t="shared" si="46"/>
        <v/>
      </c>
      <c r="J988" s="148" t="str">
        <f>IFERROR(SUMIFS(当年实际!$V:$V,当年实际!$H:$H,$B988,当年实际!$C:$C,"&gt;="&amp;DATE(YEAR(主页!$D$2),1,1),当年实际!$C:$C,"&lt;="&amp;EOMONTH(DATE(YEAR(主页!$D$2),MONTH(主页!$D$2),1),0))/SUMIFS(当年实际!$P:$P,当年实际!$H:$H,$B988,当年实际!$C:$C,"&gt;="&amp;DATE(YEAR(主页!$D$2),1,1),当年实际!$C:$C,"&lt;="&amp;EOMONTH(DATE(YEAR(主页!$D$2),MONTH(主页!$D$2),1),0)),"")</f>
        <v/>
      </c>
    </row>
    <row r="989" spans="1:10" x14ac:dyDescent="0.3">
      <c r="A989" s="135"/>
      <c r="B989" s="136"/>
      <c r="C989" s="138"/>
      <c r="D989" s="139"/>
      <c r="E989" s="141" t="str">
        <f t="shared" si="47"/>
        <v/>
      </c>
      <c r="F989" s="144"/>
      <c r="G989" s="146">
        <f t="shared" si="45"/>
        <v>0</v>
      </c>
      <c r="H989" s="141" t="str">
        <f t="shared" si="46"/>
        <v/>
      </c>
      <c r="J989" s="148" t="str">
        <f>IFERROR(SUMIFS(当年实际!$V:$V,当年实际!$H:$H,$B989,当年实际!$C:$C,"&gt;="&amp;DATE(YEAR(主页!$D$2),1,1),当年实际!$C:$C,"&lt;="&amp;EOMONTH(DATE(YEAR(主页!$D$2),MONTH(主页!$D$2),1),0))/SUMIFS(当年实际!$P:$P,当年实际!$H:$H,$B989,当年实际!$C:$C,"&gt;="&amp;DATE(YEAR(主页!$D$2),1,1),当年实际!$C:$C,"&lt;="&amp;EOMONTH(DATE(YEAR(主页!$D$2),MONTH(主页!$D$2),1),0)),"")</f>
        <v/>
      </c>
    </row>
    <row r="990" spans="1:10" x14ac:dyDescent="0.3">
      <c r="A990" s="135"/>
      <c r="B990" s="136"/>
      <c r="C990" s="138"/>
      <c r="D990" s="139"/>
      <c r="E990" s="141" t="str">
        <f t="shared" si="47"/>
        <v/>
      </c>
      <c r="F990" s="144"/>
      <c r="G990" s="146">
        <f t="shared" si="45"/>
        <v>0</v>
      </c>
      <c r="H990" s="141" t="str">
        <f t="shared" si="46"/>
        <v/>
      </c>
      <c r="J990" s="148" t="str">
        <f>IFERROR(SUMIFS(当年实际!$V:$V,当年实际!$H:$H,$B990,当年实际!$C:$C,"&gt;="&amp;DATE(YEAR(主页!$D$2),1,1),当年实际!$C:$C,"&lt;="&amp;EOMONTH(DATE(YEAR(主页!$D$2),MONTH(主页!$D$2),1),0))/SUMIFS(当年实际!$P:$P,当年实际!$H:$H,$B990,当年实际!$C:$C,"&gt;="&amp;DATE(YEAR(主页!$D$2),1,1),当年实际!$C:$C,"&lt;="&amp;EOMONTH(DATE(YEAR(主页!$D$2),MONTH(主页!$D$2),1),0)),"")</f>
        <v/>
      </c>
    </row>
    <row r="991" spans="1:10" x14ac:dyDescent="0.3">
      <c r="A991" s="135"/>
      <c r="B991" s="136"/>
      <c r="C991" s="138"/>
      <c r="D991" s="139"/>
      <c r="E991" s="141" t="str">
        <f t="shared" si="47"/>
        <v/>
      </c>
      <c r="F991" s="144"/>
      <c r="G991" s="146">
        <f t="shared" si="45"/>
        <v>0</v>
      </c>
      <c r="H991" s="141" t="str">
        <f t="shared" si="46"/>
        <v/>
      </c>
      <c r="J991" s="148" t="str">
        <f>IFERROR(SUMIFS(当年实际!$V:$V,当年实际!$H:$H,$B991,当年实际!$C:$C,"&gt;="&amp;DATE(YEAR(主页!$D$2),1,1),当年实际!$C:$C,"&lt;="&amp;EOMONTH(DATE(YEAR(主页!$D$2),MONTH(主页!$D$2),1),0))/SUMIFS(当年实际!$P:$P,当年实际!$H:$H,$B991,当年实际!$C:$C,"&gt;="&amp;DATE(YEAR(主页!$D$2),1,1),当年实际!$C:$C,"&lt;="&amp;EOMONTH(DATE(YEAR(主页!$D$2),MONTH(主页!$D$2),1),0)),"")</f>
        <v/>
      </c>
    </row>
    <row r="992" spans="1:10" x14ac:dyDescent="0.3">
      <c r="A992" s="135"/>
      <c r="B992" s="136"/>
      <c r="C992" s="138"/>
      <c r="D992" s="139"/>
      <c r="E992" s="141" t="str">
        <f t="shared" si="47"/>
        <v/>
      </c>
      <c r="F992" s="144"/>
      <c r="G992" s="146">
        <f t="shared" si="45"/>
        <v>0</v>
      </c>
      <c r="H992" s="141" t="str">
        <f t="shared" si="46"/>
        <v/>
      </c>
      <c r="J992" s="148" t="str">
        <f>IFERROR(SUMIFS(当年实际!$V:$V,当年实际!$H:$H,$B992,当年实际!$C:$C,"&gt;="&amp;DATE(YEAR(主页!$D$2),1,1),当年实际!$C:$C,"&lt;="&amp;EOMONTH(DATE(YEAR(主页!$D$2),MONTH(主页!$D$2),1),0))/SUMIFS(当年实际!$P:$P,当年实际!$H:$H,$B992,当年实际!$C:$C,"&gt;="&amp;DATE(YEAR(主页!$D$2),1,1),当年实际!$C:$C,"&lt;="&amp;EOMONTH(DATE(YEAR(主页!$D$2),MONTH(主页!$D$2),1),0)),"")</f>
        <v/>
      </c>
    </row>
    <row r="993" spans="1:10" x14ac:dyDescent="0.3">
      <c r="A993" s="135"/>
      <c r="B993" s="136"/>
      <c r="C993" s="138"/>
      <c r="D993" s="139"/>
      <c r="E993" s="141" t="str">
        <f t="shared" si="47"/>
        <v/>
      </c>
      <c r="F993" s="144"/>
      <c r="G993" s="146">
        <f t="shared" si="45"/>
        <v>0</v>
      </c>
      <c r="H993" s="141" t="str">
        <f t="shared" si="46"/>
        <v/>
      </c>
      <c r="J993" s="148" t="str">
        <f>IFERROR(SUMIFS(当年实际!$V:$V,当年实际!$H:$H,$B993,当年实际!$C:$C,"&gt;="&amp;DATE(YEAR(主页!$D$2),1,1),当年实际!$C:$C,"&lt;="&amp;EOMONTH(DATE(YEAR(主页!$D$2),MONTH(主页!$D$2),1),0))/SUMIFS(当年实际!$P:$P,当年实际!$H:$H,$B993,当年实际!$C:$C,"&gt;="&amp;DATE(YEAR(主页!$D$2),1,1),当年实际!$C:$C,"&lt;="&amp;EOMONTH(DATE(YEAR(主页!$D$2),MONTH(主页!$D$2),1),0)),"")</f>
        <v/>
      </c>
    </row>
    <row r="994" spans="1:10" x14ac:dyDescent="0.3">
      <c r="A994" s="135"/>
      <c r="B994" s="136"/>
      <c r="C994" s="138"/>
      <c r="D994" s="139"/>
      <c r="E994" s="141" t="str">
        <f t="shared" si="47"/>
        <v/>
      </c>
      <c r="F994" s="144"/>
      <c r="G994" s="146">
        <f t="shared" si="45"/>
        <v>0</v>
      </c>
      <c r="H994" s="141" t="str">
        <f t="shared" si="46"/>
        <v/>
      </c>
      <c r="J994" s="148" t="str">
        <f>IFERROR(SUMIFS(当年实际!$V:$V,当年实际!$H:$H,$B994,当年实际!$C:$C,"&gt;="&amp;DATE(YEAR(主页!$D$2),1,1),当年实际!$C:$C,"&lt;="&amp;EOMONTH(DATE(YEAR(主页!$D$2),MONTH(主页!$D$2),1),0))/SUMIFS(当年实际!$P:$P,当年实际!$H:$H,$B994,当年实际!$C:$C,"&gt;="&amp;DATE(YEAR(主页!$D$2),1,1),当年实际!$C:$C,"&lt;="&amp;EOMONTH(DATE(YEAR(主页!$D$2),MONTH(主页!$D$2),1),0)),"")</f>
        <v/>
      </c>
    </row>
    <row r="995" spans="1:10" x14ac:dyDescent="0.3">
      <c r="A995" s="135"/>
      <c r="B995" s="136"/>
      <c r="C995" s="138"/>
      <c r="D995" s="139"/>
      <c r="E995" s="141" t="str">
        <f t="shared" si="47"/>
        <v/>
      </c>
      <c r="F995" s="144"/>
      <c r="G995" s="146">
        <f t="shared" si="45"/>
        <v>0</v>
      </c>
      <c r="H995" s="141" t="str">
        <f t="shared" si="46"/>
        <v/>
      </c>
      <c r="J995" s="148" t="str">
        <f>IFERROR(SUMIFS(当年实际!$V:$V,当年实际!$H:$H,$B995,当年实际!$C:$C,"&gt;="&amp;DATE(YEAR(主页!$D$2),1,1),当年实际!$C:$C,"&lt;="&amp;EOMONTH(DATE(YEAR(主页!$D$2),MONTH(主页!$D$2),1),0))/SUMIFS(当年实际!$P:$P,当年实际!$H:$H,$B995,当年实际!$C:$C,"&gt;="&amp;DATE(YEAR(主页!$D$2),1,1),当年实际!$C:$C,"&lt;="&amp;EOMONTH(DATE(YEAR(主页!$D$2),MONTH(主页!$D$2),1),0)),"")</f>
        <v/>
      </c>
    </row>
    <row r="996" spans="1:10" x14ac:dyDescent="0.3">
      <c r="A996" s="135"/>
      <c r="B996" s="136"/>
      <c r="C996" s="138"/>
      <c r="D996" s="139"/>
      <c r="E996" s="141" t="str">
        <f t="shared" si="47"/>
        <v/>
      </c>
      <c r="F996" s="144"/>
      <c r="G996" s="146">
        <f t="shared" si="45"/>
        <v>0</v>
      </c>
      <c r="H996" s="141" t="str">
        <f t="shared" si="46"/>
        <v/>
      </c>
      <c r="J996" s="148" t="str">
        <f>IFERROR(SUMIFS(当年实际!$V:$V,当年实际!$H:$H,$B996,当年实际!$C:$C,"&gt;="&amp;DATE(YEAR(主页!$D$2),1,1),当年实际!$C:$C,"&lt;="&amp;EOMONTH(DATE(YEAR(主页!$D$2),MONTH(主页!$D$2),1),0))/SUMIFS(当年实际!$P:$P,当年实际!$H:$H,$B996,当年实际!$C:$C,"&gt;="&amp;DATE(YEAR(主页!$D$2),1,1),当年实际!$C:$C,"&lt;="&amp;EOMONTH(DATE(YEAR(主页!$D$2),MONTH(主页!$D$2),1),0)),"")</f>
        <v/>
      </c>
    </row>
    <row r="997" spans="1:10" x14ac:dyDescent="0.3">
      <c r="A997" s="135"/>
      <c r="B997" s="136"/>
      <c r="C997" s="138"/>
      <c r="D997" s="139"/>
      <c r="E997" s="141" t="str">
        <f t="shared" si="47"/>
        <v/>
      </c>
      <c r="F997" s="144"/>
      <c r="G997" s="146">
        <f t="shared" si="45"/>
        <v>0</v>
      </c>
      <c r="H997" s="141" t="str">
        <f t="shared" si="46"/>
        <v/>
      </c>
      <c r="J997" s="148" t="str">
        <f>IFERROR(SUMIFS(当年实际!$V:$V,当年实际!$H:$H,$B997,当年实际!$C:$C,"&gt;="&amp;DATE(YEAR(主页!$D$2),1,1),当年实际!$C:$C,"&lt;="&amp;EOMONTH(DATE(YEAR(主页!$D$2),MONTH(主页!$D$2),1),0))/SUMIFS(当年实际!$P:$P,当年实际!$H:$H,$B997,当年实际!$C:$C,"&gt;="&amp;DATE(YEAR(主页!$D$2),1,1),当年实际!$C:$C,"&lt;="&amp;EOMONTH(DATE(YEAR(主页!$D$2),MONTH(主页!$D$2),1),0)),"")</f>
        <v/>
      </c>
    </row>
    <row r="998" spans="1:10" x14ac:dyDescent="0.3">
      <c r="A998" s="135"/>
      <c r="B998" s="136"/>
      <c r="C998" s="138"/>
      <c r="D998" s="139"/>
      <c r="E998" s="141" t="str">
        <f t="shared" si="47"/>
        <v/>
      </c>
      <c r="F998" s="144"/>
      <c r="G998" s="146">
        <f t="shared" si="45"/>
        <v>0</v>
      </c>
      <c r="H998" s="141" t="str">
        <f t="shared" si="46"/>
        <v/>
      </c>
      <c r="J998" s="148" t="str">
        <f>IFERROR(SUMIFS(当年实际!$V:$V,当年实际!$H:$H,$B998,当年实际!$C:$C,"&gt;="&amp;DATE(YEAR(主页!$D$2),1,1),当年实际!$C:$C,"&lt;="&amp;EOMONTH(DATE(YEAR(主页!$D$2),MONTH(主页!$D$2),1),0))/SUMIFS(当年实际!$P:$P,当年实际!$H:$H,$B998,当年实际!$C:$C,"&gt;="&amp;DATE(YEAR(主页!$D$2),1,1),当年实际!$C:$C,"&lt;="&amp;EOMONTH(DATE(YEAR(主页!$D$2),MONTH(主页!$D$2),1),0)),"")</f>
        <v/>
      </c>
    </row>
    <row r="999" spans="1:10" x14ac:dyDescent="0.3">
      <c r="A999" s="135"/>
      <c r="B999" s="136"/>
      <c r="C999" s="138"/>
      <c r="D999" s="139"/>
      <c r="E999" s="141" t="str">
        <f t="shared" si="47"/>
        <v/>
      </c>
      <c r="F999" s="144"/>
      <c r="G999" s="146">
        <f t="shared" si="45"/>
        <v>0</v>
      </c>
      <c r="H999" s="141" t="str">
        <f t="shared" si="46"/>
        <v/>
      </c>
      <c r="J999" s="148" t="str">
        <f>IFERROR(SUMIFS(当年实际!$V:$V,当年实际!$H:$H,$B999,当年实际!$C:$C,"&gt;="&amp;DATE(YEAR(主页!$D$2),1,1),当年实际!$C:$C,"&lt;="&amp;EOMONTH(DATE(YEAR(主页!$D$2),MONTH(主页!$D$2),1),0))/SUMIFS(当年实际!$P:$P,当年实际!$H:$H,$B999,当年实际!$C:$C,"&gt;="&amp;DATE(YEAR(主页!$D$2),1,1),当年实际!$C:$C,"&lt;="&amp;EOMONTH(DATE(YEAR(主页!$D$2),MONTH(主页!$D$2),1),0)),"")</f>
        <v/>
      </c>
    </row>
    <row r="1000" spans="1:10" x14ac:dyDescent="0.3">
      <c r="A1000" s="135"/>
      <c r="B1000" s="136"/>
      <c r="C1000" s="138"/>
      <c r="D1000" s="139"/>
      <c r="E1000" s="141" t="str">
        <f t="shared" si="47"/>
        <v/>
      </c>
      <c r="F1000" s="144"/>
      <c r="G1000" s="146">
        <f t="shared" si="45"/>
        <v>0</v>
      </c>
      <c r="H1000" s="141" t="str">
        <f t="shared" si="46"/>
        <v/>
      </c>
      <c r="J1000" s="148" t="str">
        <f>IFERROR(SUMIFS(当年实际!$V:$V,当年实际!$H:$H,$B1000,当年实际!$C:$C,"&gt;="&amp;DATE(YEAR(主页!$D$2),1,1),当年实际!$C:$C,"&lt;="&amp;EOMONTH(DATE(YEAR(主页!$D$2),MONTH(主页!$D$2),1),0))/SUMIFS(当年实际!$P:$P,当年实际!$H:$H,$B1000,当年实际!$C:$C,"&gt;="&amp;DATE(YEAR(主页!$D$2),1,1),当年实际!$C:$C,"&lt;="&amp;EOMONTH(DATE(YEAR(主页!$D$2),MONTH(主页!$D$2),1),0)),"")</f>
        <v/>
      </c>
    </row>
    <row r="1001" spans="1:10" x14ac:dyDescent="0.3">
      <c r="A1001" s="135"/>
      <c r="B1001" s="136"/>
      <c r="C1001" s="138"/>
      <c r="D1001" s="139"/>
      <c r="E1001" s="141" t="str">
        <f t="shared" si="47"/>
        <v/>
      </c>
      <c r="F1001" s="144"/>
      <c r="G1001" s="146">
        <f t="shared" si="45"/>
        <v>0</v>
      </c>
      <c r="H1001" s="141" t="str">
        <f t="shared" si="46"/>
        <v/>
      </c>
      <c r="J1001" s="148" t="str">
        <f>IFERROR(SUMIFS(当年实际!$V:$V,当年实际!$H:$H,$B1001,当年实际!$C:$C,"&gt;="&amp;DATE(YEAR(主页!$D$2),1,1),当年实际!$C:$C,"&lt;="&amp;EOMONTH(DATE(YEAR(主页!$D$2),MONTH(主页!$D$2),1),0))/SUMIFS(当年实际!$P:$P,当年实际!$H:$H,$B1001,当年实际!$C:$C,"&gt;="&amp;DATE(YEAR(主页!$D$2),1,1),当年实际!$C:$C,"&lt;="&amp;EOMONTH(DATE(YEAR(主页!$D$2),MONTH(主页!$D$2),1),0)),"")</f>
        <v/>
      </c>
    </row>
    <row r="1002" spans="1:10" x14ac:dyDescent="0.3">
      <c r="A1002" s="135"/>
      <c r="B1002" s="136"/>
      <c r="C1002" s="138"/>
      <c r="D1002" s="139"/>
      <c r="E1002" s="141" t="str">
        <f t="shared" si="47"/>
        <v/>
      </c>
      <c r="F1002" s="144"/>
      <c r="G1002" s="146">
        <f t="shared" si="45"/>
        <v>0</v>
      </c>
      <c r="H1002" s="141" t="str">
        <f t="shared" si="46"/>
        <v/>
      </c>
      <c r="J1002" s="148" t="str">
        <f>IFERROR(SUMIFS(当年实际!$V:$V,当年实际!$H:$H,$B1002,当年实际!$C:$C,"&gt;="&amp;DATE(YEAR(主页!$D$2),1,1),当年实际!$C:$C,"&lt;="&amp;EOMONTH(DATE(YEAR(主页!$D$2),MONTH(主页!$D$2),1),0))/SUMIFS(当年实际!$P:$P,当年实际!$H:$H,$B1002,当年实际!$C:$C,"&gt;="&amp;DATE(YEAR(主页!$D$2),1,1),当年实际!$C:$C,"&lt;="&amp;EOMONTH(DATE(YEAR(主页!$D$2),MONTH(主页!$D$2),1),0)),"")</f>
        <v/>
      </c>
    </row>
    <row r="1003" spans="1:10" x14ac:dyDescent="0.3">
      <c r="A1003" s="135"/>
      <c r="B1003" s="136"/>
      <c r="C1003" s="138"/>
      <c r="D1003" s="139"/>
      <c r="E1003" s="141" t="str">
        <f t="shared" si="47"/>
        <v/>
      </c>
      <c r="F1003" s="144"/>
      <c r="G1003" s="146">
        <f t="shared" si="45"/>
        <v>0</v>
      </c>
      <c r="H1003" s="141" t="str">
        <f t="shared" si="46"/>
        <v/>
      </c>
      <c r="J1003" s="148" t="str">
        <f>IFERROR(SUMIFS(当年实际!$V:$V,当年实际!$H:$H,$B1003,当年实际!$C:$C,"&gt;="&amp;DATE(YEAR(主页!$D$2),1,1),当年实际!$C:$C,"&lt;="&amp;EOMONTH(DATE(YEAR(主页!$D$2),MONTH(主页!$D$2),1),0))/SUMIFS(当年实际!$P:$P,当年实际!$H:$H,$B1003,当年实际!$C:$C,"&gt;="&amp;DATE(YEAR(主页!$D$2),1,1),当年实际!$C:$C,"&lt;="&amp;EOMONTH(DATE(YEAR(主页!$D$2),MONTH(主页!$D$2),1),0)),"")</f>
        <v/>
      </c>
    </row>
    <row r="1004" spans="1:10" x14ac:dyDescent="0.3">
      <c r="A1004" s="135"/>
      <c r="B1004" s="136"/>
      <c r="C1004" s="138"/>
      <c r="D1004" s="139"/>
      <c r="E1004" s="141" t="str">
        <f t="shared" si="47"/>
        <v/>
      </c>
      <c r="F1004" s="144"/>
      <c r="G1004" s="146">
        <f t="shared" si="45"/>
        <v>0</v>
      </c>
      <c r="H1004" s="141" t="str">
        <f t="shared" si="46"/>
        <v/>
      </c>
      <c r="J1004" s="148" t="str">
        <f>IFERROR(SUMIFS(当年实际!$V:$V,当年实际!$H:$H,$B1004,当年实际!$C:$C,"&gt;="&amp;DATE(YEAR(主页!$D$2),1,1),当年实际!$C:$C,"&lt;="&amp;EOMONTH(DATE(YEAR(主页!$D$2),MONTH(主页!$D$2),1),0))/SUMIFS(当年实际!$P:$P,当年实际!$H:$H,$B1004,当年实际!$C:$C,"&gt;="&amp;DATE(YEAR(主页!$D$2),1,1),当年实际!$C:$C,"&lt;="&amp;EOMONTH(DATE(YEAR(主页!$D$2),MONTH(主页!$D$2),1),0)),"")</f>
        <v/>
      </c>
    </row>
    <row r="1005" spans="1:10" x14ac:dyDescent="0.3">
      <c r="A1005" s="135"/>
      <c r="B1005" s="136"/>
      <c r="C1005" s="138"/>
      <c r="D1005" s="139"/>
      <c r="E1005" s="141" t="str">
        <f t="shared" si="47"/>
        <v/>
      </c>
      <c r="F1005" s="144"/>
      <c r="G1005" s="146">
        <f t="shared" si="45"/>
        <v>0</v>
      </c>
      <c r="H1005" s="141" t="str">
        <f t="shared" si="46"/>
        <v/>
      </c>
      <c r="J1005" s="148" t="str">
        <f>IFERROR(SUMIFS(当年实际!$V:$V,当年实际!$H:$H,$B1005,当年实际!$C:$C,"&gt;="&amp;DATE(YEAR(主页!$D$2),1,1),当年实际!$C:$C,"&lt;="&amp;EOMONTH(DATE(YEAR(主页!$D$2),MONTH(主页!$D$2),1),0))/SUMIFS(当年实际!$P:$P,当年实际!$H:$H,$B1005,当年实际!$C:$C,"&gt;="&amp;DATE(YEAR(主页!$D$2),1,1),当年实际!$C:$C,"&lt;="&amp;EOMONTH(DATE(YEAR(主页!$D$2),MONTH(主页!$D$2),1),0)),"")</f>
        <v/>
      </c>
    </row>
    <row r="1006" spans="1:10" x14ac:dyDescent="0.3">
      <c r="A1006" s="135"/>
      <c r="B1006" s="136"/>
      <c r="C1006" s="138"/>
      <c r="D1006" s="139"/>
      <c r="E1006" s="141" t="str">
        <f t="shared" si="47"/>
        <v/>
      </c>
      <c r="F1006" s="144"/>
      <c r="G1006" s="146">
        <f t="shared" si="45"/>
        <v>0</v>
      </c>
      <c r="H1006" s="141" t="str">
        <f t="shared" si="46"/>
        <v/>
      </c>
      <c r="J1006" s="148" t="str">
        <f>IFERROR(SUMIFS(当年实际!$V:$V,当年实际!$H:$H,$B1006,当年实际!$C:$C,"&gt;="&amp;DATE(YEAR(主页!$D$2),1,1),当年实际!$C:$C,"&lt;="&amp;EOMONTH(DATE(YEAR(主页!$D$2),MONTH(主页!$D$2),1),0))/SUMIFS(当年实际!$P:$P,当年实际!$H:$H,$B1006,当年实际!$C:$C,"&gt;="&amp;DATE(YEAR(主页!$D$2),1,1),当年实际!$C:$C,"&lt;="&amp;EOMONTH(DATE(YEAR(主页!$D$2),MONTH(主页!$D$2),1),0)),"")</f>
        <v/>
      </c>
    </row>
    <row r="1007" spans="1:10" x14ac:dyDescent="0.3">
      <c r="A1007" s="135"/>
      <c r="B1007" s="136"/>
      <c r="C1007" s="138"/>
      <c r="D1007" s="139"/>
      <c r="E1007" s="141" t="str">
        <f t="shared" si="47"/>
        <v/>
      </c>
      <c r="F1007" s="144"/>
      <c r="G1007" s="146">
        <f t="shared" si="45"/>
        <v>0</v>
      </c>
      <c r="H1007" s="141" t="str">
        <f t="shared" si="46"/>
        <v/>
      </c>
      <c r="J1007" s="148" t="str">
        <f>IFERROR(SUMIFS(当年实际!$V:$V,当年实际!$H:$H,$B1007,当年实际!$C:$C,"&gt;="&amp;DATE(YEAR(主页!$D$2),1,1),当年实际!$C:$C,"&lt;="&amp;EOMONTH(DATE(YEAR(主页!$D$2),MONTH(主页!$D$2),1),0))/SUMIFS(当年实际!$P:$P,当年实际!$H:$H,$B1007,当年实际!$C:$C,"&gt;="&amp;DATE(YEAR(主页!$D$2),1,1),当年实际!$C:$C,"&lt;="&amp;EOMONTH(DATE(YEAR(主页!$D$2),MONTH(主页!$D$2),1),0)),"")</f>
        <v/>
      </c>
    </row>
    <row r="1008" spans="1:10" x14ac:dyDescent="0.3">
      <c r="A1008" s="135"/>
      <c r="B1008" s="136"/>
      <c r="C1008" s="138"/>
      <c r="D1008" s="139"/>
      <c r="E1008" s="141" t="str">
        <f t="shared" si="47"/>
        <v/>
      </c>
      <c r="F1008" s="144"/>
      <c r="G1008" s="146">
        <f t="shared" si="45"/>
        <v>0</v>
      </c>
      <c r="H1008" s="141" t="str">
        <f t="shared" si="46"/>
        <v/>
      </c>
      <c r="J1008" s="148" t="str">
        <f>IFERROR(SUMIFS(当年实际!$V:$V,当年实际!$H:$H,$B1008,当年实际!$C:$C,"&gt;="&amp;DATE(YEAR(主页!$D$2),1,1),当年实际!$C:$C,"&lt;="&amp;EOMONTH(DATE(YEAR(主页!$D$2),MONTH(主页!$D$2),1),0))/SUMIFS(当年实际!$P:$P,当年实际!$H:$H,$B1008,当年实际!$C:$C,"&gt;="&amp;DATE(YEAR(主页!$D$2),1,1),当年实际!$C:$C,"&lt;="&amp;EOMONTH(DATE(YEAR(主页!$D$2),MONTH(主页!$D$2),1),0)),"")</f>
        <v/>
      </c>
    </row>
    <row r="1009" spans="1:10" x14ac:dyDescent="0.3">
      <c r="A1009" s="135"/>
      <c r="B1009" s="136"/>
      <c r="C1009" s="138"/>
      <c r="D1009" s="139"/>
      <c r="E1009" s="141" t="str">
        <f t="shared" si="47"/>
        <v/>
      </c>
      <c r="F1009" s="144"/>
      <c r="G1009" s="146">
        <f t="shared" si="45"/>
        <v>0</v>
      </c>
      <c r="H1009" s="141" t="str">
        <f t="shared" si="46"/>
        <v/>
      </c>
      <c r="J1009" s="148" t="str">
        <f>IFERROR(SUMIFS(当年实际!$V:$V,当年实际!$H:$H,$B1009,当年实际!$C:$C,"&gt;="&amp;DATE(YEAR(主页!$D$2),1,1),当年实际!$C:$C,"&lt;="&amp;EOMONTH(DATE(YEAR(主页!$D$2),MONTH(主页!$D$2),1),0))/SUMIFS(当年实际!$P:$P,当年实际!$H:$H,$B1009,当年实际!$C:$C,"&gt;="&amp;DATE(YEAR(主页!$D$2),1,1),当年实际!$C:$C,"&lt;="&amp;EOMONTH(DATE(YEAR(主页!$D$2),MONTH(主页!$D$2),1),0)),"")</f>
        <v/>
      </c>
    </row>
    <row r="1010" spans="1:10" x14ac:dyDescent="0.3">
      <c r="A1010" s="135"/>
      <c r="B1010" s="136"/>
      <c r="C1010" s="138"/>
      <c r="D1010" s="139"/>
      <c r="E1010" s="141" t="str">
        <f t="shared" si="47"/>
        <v/>
      </c>
      <c r="F1010" s="144"/>
      <c r="G1010" s="146">
        <f t="shared" si="45"/>
        <v>0</v>
      </c>
      <c r="H1010" s="141" t="str">
        <f t="shared" si="46"/>
        <v/>
      </c>
      <c r="J1010" s="148" t="str">
        <f>IFERROR(SUMIFS(当年实际!$V:$V,当年实际!$H:$H,$B1010,当年实际!$C:$C,"&gt;="&amp;DATE(YEAR(主页!$D$2),1,1),当年实际!$C:$C,"&lt;="&amp;EOMONTH(DATE(YEAR(主页!$D$2),MONTH(主页!$D$2),1),0))/SUMIFS(当年实际!$P:$P,当年实际!$H:$H,$B1010,当年实际!$C:$C,"&gt;="&amp;DATE(YEAR(主页!$D$2),1,1),当年实际!$C:$C,"&lt;="&amp;EOMONTH(DATE(YEAR(主页!$D$2),MONTH(主页!$D$2),1),0)),"")</f>
        <v/>
      </c>
    </row>
    <row r="1011" spans="1:10" x14ac:dyDescent="0.3">
      <c r="A1011" s="135"/>
      <c r="B1011" s="136"/>
      <c r="C1011" s="138"/>
      <c r="D1011" s="139"/>
      <c r="E1011" s="141" t="str">
        <f t="shared" si="47"/>
        <v/>
      </c>
      <c r="F1011" s="144"/>
      <c r="G1011" s="146">
        <f t="shared" si="45"/>
        <v>0</v>
      </c>
      <c r="H1011" s="141" t="str">
        <f t="shared" si="46"/>
        <v/>
      </c>
      <c r="J1011" s="148" t="str">
        <f>IFERROR(SUMIFS(当年实际!$V:$V,当年实际!$H:$H,$B1011,当年实际!$C:$C,"&gt;="&amp;DATE(YEAR(主页!$D$2),1,1),当年实际!$C:$C,"&lt;="&amp;EOMONTH(DATE(YEAR(主页!$D$2),MONTH(主页!$D$2),1),0))/SUMIFS(当年实际!$P:$P,当年实际!$H:$H,$B1011,当年实际!$C:$C,"&gt;="&amp;DATE(YEAR(主页!$D$2),1,1),当年实际!$C:$C,"&lt;="&amp;EOMONTH(DATE(YEAR(主页!$D$2),MONTH(主页!$D$2),1),0)),"")</f>
        <v/>
      </c>
    </row>
    <row r="1012" spans="1:10" x14ac:dyDescent="0.3">
      <c r="A1012" s="135"/>
      <c r="B1012" s="136"/>
      <c r="C1012" s="138"/>
      <c r="D1012" s="139"/>
      <c r="E1012" s="141" t="str">
        <f t="shared" si="47"/>
        <v/>
      </c>
      <c r="F1012" s="144"/>
      <c r="G1012" s="146">
        <f t="shared" si="45"/>
        <v>0</v>
      </c>
      <c r="H1012" s="141" t="str">
        <f t="shared" si="46"/>
        <v/>
      </c>
      <c r="J1012" s="148" t="str">
        <f>IFERROR(SUMIFS(当年实际!$V:$V,当年实际!$H:$H,$B1012,当年实际!$C:$C,"&gt;="&amp;DATE(YEAR(主页!$D$2),1,1),当年实际!$C:$C,"&lt;="&amp;EOMONTH(DATE(YEAR(主页!$D$2),MONTH(主页!$D$2),1),0))/SUMIFS(当年实际!$P:$P,当年实际!$H:$H,$B1012,当年实际!$C:$C,"&gt;="&amp;DATE(YEAR(主页!$D$2),1,1),当年实际!$C:$C,"&lt;="&amp;EOMONTH(DATE(YEAR(主页!$D$2),MONTH(主页!$D$2),1),0)),"")</f>
        <v/>
      </c>
    </row>
    <row r="1013" spans="1:10" x14ac:dyDescent="0.3">
      <c r="A1013" s="135"/>
      <c r="B1013" s="136"/>
      <c r="C1013" s="138"/>
      <c r="D1013" s="139"/>
      <c r="E1013" s="141" t="str">
        <f t="shared" si="47"/>
        <v/>
      </c>
      <c r="F1013" s="144"/>
      <c r="G1013" s="146">
        <f t="shared" si="45"/>
        <v>0</v>
      </c>
      <c r="H1013" s="141" t="str">
        <f t="shared" si="46"/>
        <v/>
      </c>
      <c r="J1013" s="148" t="str">
        <f>IFERROR(SUMIFS(当年实际!$V:$V,当年实际!$H:$H,$B1013,当年实际!$C:$C,"&gt;="&amp;DATE(YEAR(主页!$D$2),1,1),当年实际!$C:$C,"&lt;="&amp;EOMONTH(DATE(YEAR(主页!$D$2),MONTH(主页!$D$2),1),0))/SUMIFS(当年实际!$P:$P,当年实际!$H:$H,$B1013,当年实际!$C:$C,"&gt;="&amp;DATE(YEAR(主页!$D$2),1,1),当年实际!$C:$C,"&lt;="&amp;EOMONTH(DATE(YEAR(主页!$D$2),MONTH(主页!$D$2),1),0)),"")</f>
        <v/>
      </c>
    </row>
    <row r="1014" spans="1:10" x14ac:dyDescent="0.3">
      <c r="A1014" s="135"/>
      <c r="B1014" s="136"/>
      <c r="C1014" s="138"/>
      <c r="D1014" s="139"/>
      <c r="E1014" s="141" t="str">
        <f t="shared" si="47"/>
        <v/>
      </c>
      <c r="F1014" s="144"/>
      <c r="G1014" s="146">
        <f t="shared" si="45"/>
        <v>0</v>
      </c>
      <c r="H1014" s="141" t="str">
        <f t="shared" si="46"/>
        <v/>
      </c>
      <c r="J1014" s="148" t="str">
        <f>IFERROR(SUMIFS(当年实际!$V:$V,当年实际!$H:$H,$B1014,当年实际!$C:$C,"&gt;="&amp;DATE(YEAR(主页!$D$2),1,1),当年实际!$C:$C,"&lt;="&amp;EOMONTH(DATE(YEAR(主页!$D$2),MONTH(主页!$D$2),1),0))/SUMIFS(当年实际!$P:$P,当年实际!$H:$H,$B1014,当年实际!$C:$C,"&gt;="&amp;DATE(YEAR(主页!$D$2),1,1),当年实际!$C:$C,"&lt;="&amp;EOMONTH(DATE(YEAR(主页!$D$2),MONTH(主页!$D$2),1),0)),"")</f>
        <v/>
      </c>
    </row>
    <row r="1015" spans="1:10" x14ac:dyDescent="0.3">
      <c r="A1015" s="135"/>
      <c r="B1015" s="136"/>
      <c r="C1015" s="138"/>
      <c r="D1015" s="139"/>
      <c r="E1015" s="141" t="str">
        <f t="shared" si="47"/>
        <v/>
      </c>
      <c r="F1015" s="144"/>
      <c r="G1015" s="146">
        <f t="shared" si="45"/>
        <v>0</v>
      </c>
      <c r="H1015" s="141" t="str">
        <f t="shared" si="46"/>
        <v/>
      </c>
      <c r="J1015" s="148" t="str">
        <f>IFERROR(SUMIFS(当年实际!$V:$V,当年实际!$H:$H,$B1015,当年实际!$C:$C,"&gt;="&amp;DATE(YEAR(主页!$D$2),1,1),当年实际!$C:$C,"&lt;="&amp;EOMONTH(DATE(YEAR(主页!$D$2),MONTH(主页!$D$2),1),0))/SUMIFS(当年实际!$P:$P,当年实际!$H:$H,$B1015,当年实际!$C:$C,"&gt;="&amp;DATE(YEAR(主页!$D$2),1,1),当年实际!$C:$C,"&lt;="&amp;EOMONTH(DATE(YEAR(主页!$D$2),MONTH(主页!$D$2),1),0)),"")</f>
        <v/>
      </c>
    </row>
    <row r="1016" spans="1:10" x14ac:dyDescent="0.3">
      <c r="A1016" s="135"/>
      <c r="B1016" s="136"/>
      <c r="C1016" s="138"/>
      <c r="D1016" s="139"/>
      <c r="E1016" s="141" t="str">
        <f t="shared" si="47"/>
        <v/>
      </c>
      <c r="F1016" s="144"/>
      <c r="G1016" s="146">
        <f t="shared" si="45"/>
        <v>0</v>
      </c>
      <c r="H1016" s="141" t="str">
        <f t="shared" si="46"/>
        <v/>
      </c>
      <c r="J1016" s="148" t="str">
        <f>IFERROR(SUMIFS(当年实际!$V:$V,当年实际!$H:$H,$B1016,当年实际!$C:$C,"&gt;="&amp;DATE(YEAR(主页!$D$2),1,1),当年实际!$C:$C,"&lt;="&amp;EOMONTH(DATE(YEAR(主页!$D$2),MONTH(主页!$D$2),1),0))/SUMIFS(当年实际!$P:$P,当年实际!$H:$H,$B1016,当年实际!$C:$C,"&gt;="&amp;DATE(YEAR(主页!$D$2),1,1),当年实际!$C:$C,"&lt;="&amp;EOMONTH(DATE(YEAR(主页!$D$2),MONTH(主页!$D$2),1),0)),"")</f>
        <v/>
      </c>
    </row>
    <row r="1017" spans="1:10" x14ac:dyDescent="0.3">
      <c r="A1017" s="135"/>
      <c r="B1017" s="136"/>
      <c r="C1017" s="138"/>
      <c r="D1017" s="139"/>
      <c r="E1017" s="141" t="str">
        <f t="shared" si="47"/>
        <v/>
      </c>
      <c r="F1017" s="144"/>
      <c r="G1017" s="146">
        <f t="shared" si="45"/>
        <v>0</v>
      </c>
      <c r="H1017" s="141" t="str">
        <f t="shared" si="46"/>
        <v/>
      </c>
      <c r="J1017" s="148" t="str">
        <f>IFERROR(SUMIFS(当年实际!$V:$V,当年实际!$H:$H,$B1017,当年实际!$C:$C,"&gt;="&amp;DATE(YEAR(主页!$D$2),1,1),当年实际!$C:$C,"&lt;="&amp;EOMONTH(DATE(YEAR(主页!$D$2),MONTH(主页!$D$2),1),0))/SUMIFS(当年实际!$P:$P,当年实际!$H:$H,$B1017,当年实际!$C:$C,"&gt;="&amp;DATE(YEAR(主页!$D$2),1,1),当年实际!$C:$C,"&lt;="&amp;EOMONTH(DATE(YEAR(主页!$D$2),MONTH(主页!$D$2),1),0)),"")</f>
        <v/>
      </c>
    </row>
    <row r="1018" spans="1:10" x14ac:dyDescent="0.3">
      <c r="A1018" s="135"/>
      <c r="B1018" s="136"/>
      <c r="C1018" s="138"/>
      <c r="D1018" s="139"/>
      <c r="E1018" s="141" t="str">
        <f t="shared" si="47"/>
        <v/>
      </c>
      <c r="F1018" s="144"/>
      <c r="G1018" s="146">
        <f t="shared" si="45"/>
        <v>0</v>
      </c>
      <c r="H1018" s="141" t="str">
        <f t="shared" si="46"/>
        <v/>
      </c>
      <c r="J1018" s="148" t="str">
        <f>IFERROR(SUMIFS(当年实际!$V:$V,当年实际!$H:$H,$B1018,当年实际!$C:$C,"&gt;="&amp;DATE(YEAR(主页!$D$2),1,1),当年实际!$C:$C,"&lt;="&amp;EOMONTH(DATE(YEAR(主页!$D$2),MONTH(主页!$D$2),1),0))/SUMIFS(当年实际!$P:$P,当年实际!$H:$H,$B1018,当年实际!$C:$C,"&gt;="&amp;DATE(YEAR(主页!$D$2),1,1),当年实际!$C:$C,"&lt;="&amp;EOMONTH(DATE(YEAR(主页!$D$2),MONTH(主页!$D$2),1),0)),"")</f>
        <v/>
      </c>
    </row>
    <row r="1019" spans="1:10" x14ac:dyDescent="0.3">
      <c r="A1019" s="135"/>
      <c r="B1019" s="136"/>
      <c r="C1019" s="138"/>
      <c r="D1019" s="139"/>
      <c r="E1019" s="141" t="str">
        <f t="shared" si="47"/>
        <v/>
      </c>
      <c r="F1019" s="144"/>
      <c r="G1019" s="146">
        <f t="shared" si="45"/>
        <v>0</v>
      </c>
      <c r="H1019" s="141" t="str">
        <f t="shared" si="46"/>
        <v/>
      </c>
      <c r="J1019" s="148" t="str">
        <f>IFERROR(SUMIFS(当年实际!$V:$V,当年实际!$H:$H,$B1019,当年实际!$C:$C,"&gt;="&amp;DATE(YEAR(主页!$D$2),1,1),当年实际!$C:$C,"&lt;="&amp;EOMONTH(DATE(YEAR(主页!$D$2),MONTH(主页!$D$2),1),0))/SUMIFS(当年实际!$P:$P,当年实际!$H:$H,$B1019,当年实际!$C:$C,"&gt;="&amp;DATE(YEAR(主页!$D$2),1,1),当年实际!$C:$C,"&lt;="&amp;EOMONTH(DATE(YEAR(主页!$D$2),MONTH(主页!$D$2),1),0)),"")</f>
        <v/>
      </c>
    </row>
    <row r="1020" spans="1:10" x14ac:dyDescent="0.3">
      <c r="A1020" s="135"/>
      <c r="B1020" s="136"/>
      <c r="C1020" s="138"/>
      <c r="D1020" s="139"/>
      <c r="E1020" s="141" t="str">
        <f t="shared" si="47"/>
        <v/>
      </c>
      <c r="F1020" s="144"/>
      <c r="G1020" s="146">
        <f t="shared" si="45"/>
        <v>0</v>
      </c>
      <c r="H1020" s="141" t="str">
        <f t="shared" si="46"/>
        <v/>
      </c>
      <c r="J1020" s="148" t="str">
        <f>IFERROR(SUMIFS(当年实际!$V:$V,当年实际!$H:$H,$B1020,当年实际!$C:$C,"&gt;="&amp;DATE(YEAR(主页!$D$2),1,1),当年实际!$C:$C,"&lt;="&amp;EOMONTH(DATE(YEAR(主页!$D$2),MONTH(主页!$D$2),1),0))/SUMIFS(当年实际!$P:$P,当年实际!$H:$H,$B1020,当年实际!$C:$C,"&gt;="&amp;DATE(YEAR(主页!$D$2),1,1),当年实际!$C:$C,"&lt;="&amp;EOMONTH(DATE(YEAR(主页!$D$2),MONTH(主页!$D$2),1),0)),"")</f>
        <v/>
      </c>
    </row>
    <row r="1021" spans="1:10" x14ac:dyDescent="0.3">
      <c r="A1021" s="135"/>
      <c r="B1021" s="136"/>
      <c r="C1021" s="138"/>
      <c r="D1021" s="139"/>
      <c r="E1021" s="141" t="str">
        <f t="shared" si="47"/>
        <v/>
      </c>
      <c r="F1021" s="144"/>
      <c r="G1021" s="146">
        <f t="shared" si="45"/>
        <v>0</v>
      </c>
      <c r="H1021" s="141" t="str">
        <f t="shared" si="46"/>
        <v/>
      </c>
      <c r="J1021" s="148" t="str">
        <f>IFERROR(SUMIFS(当年实际!$V:$V,当年实际!$H:$H,$B1021,当年实际!$C:$C,"&gt;="&amp;DATE(YEAR(主页!$D$2),1,1),当年实际!$C:$C,"&lt;="&amp;EOMONTH(DATE(YEAR(主页!$D$2),MONTH(主页!$D$2),1),0))/SUMIFS(当年实际!$P:$P,当年实际!$H:$H,$B1021,当年实际!$C:$C,"&gt;="&amp;DATE(YEAR(主页!$D$2),1,1),当年实际!$C:$C,"&lt;="&amp;EOMONTH(DATE(YEAR(主页!$D$2),MONTH(主页!$D$2),1),0)),"")</f>
        <v/>
      </c>
    </row>
    <row r="1022" spans="1:10" x14ac:dyDescent="0.3">
      <c r="A1022" s="135"/>
      <c r="B1022" s="136"/>
      <c r="C1022" s="138"/>
      <c r="D1022" s="139"/>
      <c r="E1022" s="141" t="str">
        <f t="shared" si="47"/>
        <v/>
      </c>
      <c r="F1022" s="144"/>
      <c r="G1022" s="146">
        <f t="shared" si="45"/>
        <v>0</v>
      </c>
      <c r="H1022" s="141" t="str">
        <f t="shared" si="46"/>
        <v/>
      </c>
      <c r="J1022" s="148" t="str">
        <f>IFERROR(SUMIFS(当年实际!$V:$V,当年实际!$H:$H,$B1022,当年实际!$C:$C,"&gt;="&amp;DATE(YEAR(主页!$D$2),1,1),当年实际!$C:$C,"&lt;="&amp;EOMONTH(DATE(YEAR(主页!$D$2),MONTH(主页!$D$2),1),0))/SUMIFS(当年实际!$P:$P,当年实际!$H:$H,$B1022,当年实际!$C:$C,"&gt;="&amp;DATE(YEAR(主页!$D$2),1,1),当年实际!$C:$C,"&lt;="&amp;EOMONTH(DATE(YEAR(主页!$D$2),MONTH(主页!$D$2),1),0)),"")</f>
        <v/>
      </c>
    </row>
    <row r="1023" spans="1:10" x14ac:dyDescent="0.3">
      <c r="A1023" s="135"/>
      <c r="B1023" s="136"/>
      <c r="C1023" s="138"/>
      <c r="D1023" s="139"/>
      <c r="E1023" s="141" t="str">
        <f t="shared" si="47"/>
        <v/>
      </c>
      <c r="F1023" s="144"/>
      <c r="G1023" s="146">
        <f t="shared" si="45"/>
        <v>0</v>
      </c>
      <c r="H1023" s="141" t="str">
        <f t="shared" si="46"/>
        <v/>
      </c>
      <c r="J1023" s="148" t="str">
        <f>IFERROR(SUMIFS(当年实际!$V:$V,当年实际!$H:$H,$B1023,当年实际!$C:$C,"&gt;="&amp;DATE(YEAR(主页!$D$2),1,1),当年实际!$C:$C,"&lt;="&amp;EOMONTH(DATE(YEAR(主页!$D$2),MONTH(主页!$D$2),1),0))/SUMIFS(当年实际!$P:$P,当年实际!$H:$H,$B1023,当年实际!$C:$C,"&gt;="&amp;DATE(YEAR(主页!$D$2),1,1),当年实际!$C:$C,"&lt;="&amp;EOMONTH(DATE(YEAR(主页!$D$2),MONTH(主页!$D$2),1),0)),"")</f>
        <v/>
      </c>
    </row>
    <row r="1024" spans="1:10" x14ac:dyDescent="0.3">
      <c r="A1024" s="135"/>
      <c r="B1024" s="136"/>
      <c r="C1024" s="138"/>
      <c r="D1024" s="139"/>
      <c r="E1024" s="141" t="str">
        <f t="shared" si="47"/>
        <v/>
      </c>
      <c r="F1024" s="144"/>
      <c r="G1024" s="146">
        <f t="shared" si="45"/>
        <v>0</v>
      </c>
      <c r="H1024" s="141" t="str">
        <f t="shared" si="46"/>
        <v/>
      </c>
      <c r="J1024" s="148" t="str">
        <f>IFERROR(SUMIFS(当年实际!$V:$V,当年实际!$H:$H,$B1024,当年实际!$C:$C,"&gt;="&amp;DATE(YEAR(主页!$D$2),1,1),当年实际!$C:$C,"&lt;="&amp;EOMONTH(DATE(YEAR(主页!$D$2),MONTH(主页!$D$2),1),0))/SUMIFS(当年实际!$P:$P,当年实际!$H:$H,$B1024,当年实际!$C:$C,"&gt;="&amp;DATE(YEAR(主页!$D$2),1,1),当年实际!$C:$C,"&lt;="&amp;EOMONTH(DATE(YEAR(主页!$D$2),MONTH(主页!$D$2),1),0)),"")</f>
        <v/>
      </c>
    </row>
    <row r="1025" spans="1:10" x14ac:dyDescent="0.3">
      <c r="A1025" s="135"/>
      <c r="B1025" s="136"/>
      <c r="C1025" s="138"/>
      <c r="D1025" s="139"/>
      <c r="E1025" s="141" t="str">
        <f t="shared" si="47"/>
        <v/>
      </c>
      <c r="F1025" s="144"/>
      <c r="G1025" s="146">
        <f t="shared" si="45"/>
        <v>0</v>
      </c>
      <c r="H1025" s="141" t="str">
        <f t="shared" si="46"/>
        <v/>
      </c>
      <c r="J1025" s="148" t="str">
        <f>IFERROR(SUMIFS(当年实际!$V:$V,当年实际!$H:$H,$B1025,当年实际!$C:$C,"&gt;="&amp;DATE(YEAR(主页!$D$2),1,1),当年实际!$C:$C,"&lt;="&amp;EOMONTH(DATE(YEAR(主页!$D$2),MONTH(主页!$D$2),1),0))/SUMIFS(当年实际!$P:$P,当年实际!$H:$H,$B1025,当年实际!$C:$C,"&gt;="&amp;DATE(YEAR(主页!$D$2),1,1),当年实际!$C:$C,"&lt;="&amp;EOMONTH(DATE(YEAR(主页!$D$2),MONTH(主页!$D$2),1),0)),"")</f>
        <v/>
      </c>
    </row>
    <row r="1026" spans="1:10" x14ac:dyDescent="0.3">
      <c r="A1026" s="135"/>
      <c r="B1026" s="136"/>
      <c r="C1026" s="138"/>
      <c r="D1026" s="139"/>
      <c r="E1026" s="141" t="str">
        <f t="shared" si="47"/>
        <v/>
      </c>
      <c r="F1026" s="144"/>
      <c r="G1026" s="146">
        <f t="shared" si="45"/>
        <v>0</v>
      </c>
      <c r="H1026" s="141" t="str">
        <f t="shared" si="46"/>
        <v/>
      </c>
      <c r="J1026" s="148" t="str">
        <f>IFERROR(SUMIFS(当年实际!$V:$V,当年实际!$H:$H,$B1026,当年实际!$C:$C,"&gt;="&amp;DATE(YEAR(主页!$D$2),1,1),当年实际!$C:$C,"&lt;="&amp;EOMONTH(DATE(YEAR(主页!$D$2),MONTH(主页!$D$2),1),0))/SUMIFS(当年实际!$P:$P,当年实际!$H:$H,$B1026,当年实际!$C:$C,"&gt;="&amp;DATE(YEAR(主页!$D$2),1,1),当年实际!$C:$C,"&lt;="&amp;EOMONTH(DATE(YEAR(主页!$D$2),MONTH(主页!$D$2),1),0)),"")</f>
        <v/>
      </c>
    </row>
    <row r="1027" spans="1:10" x14ac:dyDescent="0.3">
      <c r="A1027" s="135"/>
      <c r="B1027" s="136"/>
      <c r="C1027" s="138"/>
      <c r="D1027" s="139"/>
      <c r="E1027" s="141" t="str">
        <f t="shared" si="47"/>
        <v/>
      </c>
      <c r="F1027" s="144"/>
      <c r="G1027" s="146">
        <f t="shared" si="45"/>
        <v>0</v>
      </c>
      <c r="H1027" s="141" t="str">
        <f t="shared" si="46"/>
        <v/>
      </c>
      <c r="J1027" s="148" t="str">
        <f>IFERROR(SUMIFS(当年实际!$V:$V,当年实际!$H:$H,$B1027,当年实际!$C:$C,"&gt;="&amp;DATE(YEAR(主页!$D$2),1,1),当年实际!$C:$C,"&lt;="&amp;EOMONTH(DATE(YEAR(主页!$D$2),MONTH(主页!$D$2),1),0))/SUMIFS(当年实际!$P:$P,当年实际!$H:$H,$B1027,当年实际!$C:$C,"&gt;="&amp;DATE(YEAR(主页!$D$2),1,1),当年实际!$C:$C,"&lt;="&amp;EOMONTH(DATE(YEAR(主页!$D$2),MONTH(主页!$D$2),1),0)),"")</f>
        <v/>
      </c>
    </row>
    <row r="1028" spans="1:10" x14ac:dyDescent="0.3">
      <c r="A1028" s="135"/>
      <c r="B1028" s="136"/>
      <c r="C1028" s="138"/>
      <c r="D1028" s="139"/>
      <c r="E1028" s="141" t="str">
        <f t="shared" si="47"/>
        <v/>
      </c>
      <c r="F1028" s="144"/>
      <c r="G1028" s="146">
        <f t="shared" si="45"/>
        <v>0</v>
      </c>
      <c r="H1028" s="141" t="str">
        <f t="shared" si="46"/>
        <v/>
      </c>
      <c r="J1028" s="148" t="str">
        <f>IFERROR(SUMIFS(当年实际!$V:$V,当年实际!$H:$H,$B1028,当年实际!$C:$C,"&gt;="&amp;DATE(YEAR(主页!$D$2),1,1),当年实际!$C:$C,"&lt;="&amp;EOMONTH(DATE(YEAR(主页!$D$2),MONTH(主页!$D$2),1),0))/SUMIFS(当年实际!$P:$P,当年实际!$H:$H,$B1028,当年实际!$C:$C,"&gt;="&amp;DATE(YEAR(主页!$D$2),1,1),当年实际!$C:$C,"&lt;="&amp;EOMONTH(DATE(YEAR(主页!$D$2),MONTH(主页!$D$2),1),0)),"")</f>
        <v/>
      </c>
    </row>
    <row r="1029" spans="1:10" x14ac:dyDescent="0.3">
      <c r="A1029" s="135"/>
      <c r="B1029" s="136"/>
      <c r="C1029" s="138"/>
      <c r="D1029" s="139"/>
      <c r="E1029" s="141" t="str">
        <f t="shared" si="47"/>
        <v/>
      </c>
      <c r="F1029" s="144"/>
      <c r="G1029" s="146">
        <f t="shared" ref="G1029:G1092" si="48">D1029*F1029</f>
        <v>0</v>
      </c>
      <c r="H1029" s="141" t="str">
        <f t="shared" si="46"/>
        <v/>
      </c>
      <c r="J1029" s="148" t="str">
        <f>IFERROR(SUMIFS(当年实际!$V:$V,当年实际!$H:$H,$B1029,当年实际!$C:$C,"&gt;="&amp;DATE(YEAR(主页!$D$2),1,1),当年实际!$C:$C,"&lt;="&amp;EOMONTH(DATE(YEAR(主页!$D$2),MONTH(主页!$D$2),1),0))/SUMIFS(当年实际!$P:$P,当年实际!$H:$H,$B1029,当年实际!$C:$C,"&gt;="&amp;DATE(YEAR(主页!$D$2),1,1),当年实际!$C:$C,"&lt;="&amp;EOMONTH(DATE(YEAR(主页!$D$2),MONTH(主页!$D$2),1),0)),"")</f>
        <v/>
      </c>
    </row>
    <row r="1030" spans="1:10" x14ac:dyDescent="0.3">
      <c r="A1030" s="135"/>
      <c r="B1030" s="136"/>
      <c r="C1030" s="138"/>
      <c r="D1030" s="139"/>
      <c r="E1030" s="141" t="str">
        <f t="shared" si="47"/>
        <v/>
      </c>
      <c r="F1030" s="144"/>
      <c r="G1030" s="146">
        <f t="shared" si="48"/>
        <v>0</v>
      </c>
      <c r="H1030" s="141" t="str">
        <f t="shared" ref="H1030:H1093" si="49">IF(G1030/SUM(G:G)=0,"",G1030/SUM(G:G))</f>
        <v/>
      </c>
      <c r="J1030" s="148" t="str">
        <f>IFERROR(SUMIFS(当年实际!$V:$V,当年实际!$H:$H,$B1030,当年实际!$C:$C,"&gt;="&amp;DATE(YEAR(主页!$D$2),1,1),当年实际!$C:$C,"&lt;="&amp;EOMONTH(DATE(YEAR(主页!$D$2),MONTH(主页!$D$2),1),0))/SUMIFS(当年实际!$P:$P,当年实际!$H:$H,$B1030,当年实际!$C:$C,"&gt;="&amp;DATE(YEAR(主页!$D$2),1,1),当年实际!$C:$C,"&lt;="&amp;EOMONTH(DATE(YEAR(主页!$D$2),MONTH(主页!$D$2),1),0)),"")</f>
        <v/>
      </c>
    </row>
    <row r="1031" spans="1:10" x14ac:dyDescent="0.3">
      <c r="A1031" s="135"/>
      <c r="B1031" s="136"/>
      <c r="C1031" s="138"/>
      <c r="D1031" s="139"/>
      <c r="E1031" s="141" t="str">
        <f t="shared" si="47"/>
        <v/>
      </c>
      <c r="F1031" s="144"/>
      <c r="G1031" s="146">
        <f t="shared" si="48"/>
        <v>0</v>
      </c>
      <c r="H1031" s="141" t="str">
        <f t="shared" si="49"/>
        <v/>
      </c>
      <c r="J1031" s="148" t="str">
        <f>IFERROR(SUMIFS(当年实际!$V:$V,当年实际!$H:$H,$B1031,当年实际!$C:$C,"&gt;="&amp;DATE(YEAR(主页!$D$2),1,1),当年实际!$C:$C,"&lt;="&amp;EOMONTH(DATE(YEAR(主页!$D$2),MONTH(主页!$D$2),1),0))/SUMIFS(当年实际!$P:$P,当年实际!$H:$H,$B1031,当年实际!$C:$C,"&gt;="&amp;DATE(YEAR(主页!$D$2),1,1),当年实际!$C:$C,"&lt;="&amp;EOMONTH(DATE(YEAR(主页!$D$2),MONTH(主页!$D$2),1),0)),"")</f>
        <v/>
      </c>
    </row>
    <row r="1032" spans="1:10" x14ac:dyDescent="0.3">
      <c r="A1032" s="135"/>
      <c r="B1032" s="136"/>
      <c r="C1032" s="138"/>
      <c r="D1032" s="139"/>
      <c r="E1032" s="141" t="str">
        <f t="shared" ref="E1032:E1095" si="50">IF(D1032/SUM(D:D)=0,"",D1032/SUM(D:D))</f>
        <v/>
      </c>
      <c r="F1032" s="144"/>
      <c r="G1032" s="146">
        <f t="shared" si="48"/>
        <v>0</v>
      </c>
      <c r="H1032" s="141" t="str">
        <f t="shared" si="49"/>
        <v/>
      </c>
      <c r="J1032" s="148" t="str">
        <f>IFERROR(SUMIFS(当年实际!$V:$V,当年实际!$H:$H,$B1032,当年实际!$C:$C,"&gt;="&amp;DATE(YEAR(主页!$D$2),1,1),当年实际!$C:$C,"&lt;="&amp;EOMONTH(DATE(YEAR(主页!$D$2),MONTH(主页!$D$2),1),0))/SUMIFS(当年实际!$P:$P,当年实际!$H:$H,$B1032,当年实际!$C:$C,"&gt;="&amp;DATE(YEAR(主页!$D$2),1,1),当年实际!$C:$C,"&lt;="&amp;EOMONTH(DATE(YEAR(主页!$D$2),MONTH(主页!$D$2),1),0)),"")</f>
        <v/>
      </c>
    </row>
    <row r="1033" spans="1:10" x14ac:dyDescent="0.3">
      <c r="A1033" s="135"/>
      <c r="B1033" s="136"/>
      <c r="C1033" s="138"/>
      <c r="D1033" s="139"/>
      <c r="E1033" s="141" t="str">
        <f t="shared" si="50"/>
        <v/>
      </c>
      <c r="F1033" s="144"/>
      <c r="G1033" s="146">
        <f t="shared" si="48"/>
        <v>0</v>
      </c>
      <c r="H1033" s="141" t="str">
        <f t="shared" si="49"/>
        <v/>
      </c>
      <c r="J1033" s="148" t="str">
        <f>IFERROR(SUMIFS(当年实际!$V:$V,当年实际!$H:$H,$B1033,当年实际!$C:$C,"&gt;="&amp;DATE(YEAR(主页!$D$2),1,1),当年实际!$C:$C,"&lt;="&amp;EOMONTH(DATE(YEAR(主页!$D$2),MONTH(主页!$D$2),1),0))/SUMIFS(当年实际!$P:$P,当年实际!$H:$H,$B1033,当年实际!$C:$C,"&gt;="&amp;DATE(YEAR(主页!$D$2),1,1),当年实际!$C:$C,"&lt;="&amp;EOMONTH(DATE(YEAR(主页!$D$2),MONTH(主页!$D$2),1),0)),"")</f>
        <v/>
      </c>
    </row>
    <row r="1034" spans="1:10" x14ac:dyDescent="0.3">
      <c r="A1034" s="135"/>
      <c r="B1034" s="136"/>
      <c r="C1034" s="138"/>
      <c r="D1034" s="139"/>
      <c r="E1034" s="141" t="str">
        <f t="shared" si="50"/>
        <v/>
      </c>
      <c r="F1034" s="144"/>
      <c r="G1034" s="146">
        <f t="shared" si="48"/>
        <v>0</v>
      </c>
      <c r="H1034" s="141" t="str">
        <f t="shared" si="49"/>
        <v/>
      </c>
      <c r="J1034" s="148" t="str">
        <f>IFERROR(SUMIFS(当年实际!$V:$V,当年实际!$H:$H,$B1034,当年实际!$C:$C,"&gt;="&amp;DATE(YEAR(主页!$D$2),1,1),当年实际!$C:$C,"&lt;="&amp;EOMONTH(DATE(YEAR(主页!$D$2),MONTH(主页!$D$2),1),0))/SUMIFS(当年实际!$P:$P,当年实际!$H:$H,$B1034,当年实际!$C:$C,"&gt;="&amp;DATE(YEAR(主页!$D$2),1,1),当年实际!$C:$C,"&lt;="&amp;EOMONTH(DATE(YEAR(主页!$D$2),MONTH(主页!$D$2),1),0)),"")</f>
        <v/>
      </c>
    </row>
    <row r="1035" spans="1:10" x14ac:dyDescent="0.3">
      <c r="A1035" s="135"/>
      <c r="B1035" s="136"/>
      <c r="C1035" s="138"/>
      <c r="D1035" s="139"/>
      <c r="E1035" s="141" t="str">
        <f t="shared" si="50"/>
        <v/>
      </c>
      <c r="F1035" s="144"/>
      <c r="G1035" s="146">
        <f t="shared" si="48"/>
        <v>0</v>
      </c>
      <c r="H1035" s="141" t="str">
        <f t="shared" si="49"/>
        <v/>
      </c>
      <c r="J1035" s="148" t="str">
        <f>IFERROR(SUMIFS(当年实际!$V:$V,当年实际!$H:$H,$B1035,当年实际!$C:$C,"&gt;="&amp;DATE(YEAR(主页!$D$2),1,1),当年实际!$C:$C,"&lt;="&amp;EOMONTH(DATE(YEAR(主页!$D$2),MONTH(主页!$D$2),1),0))/SUMIFS(当年实际!$P:$P,当年实际!$H:$H,$B1035,当年实际!$C:$C,"&gt;="&amp;DATE(YEAR(主页!$D$2),1,1),当年实际!$C:$C,"&lt;="&amp;EOMONTH(DATE(YEAR(主页!$D$2),MONTH(主页!$D$2),1),0)),"")</f>
        <v/>
      </c>
    </row>
    <row r="1036" spans="1:10" x14ac:dyDescent="0.3">
      <c r="A1036" s="135"/>
      <c r="B1036" s="136"/>
      <c r="C1036" s="138"/>
      <c r="D1036" s="139"/>
      <c r="E1036" s="141" t="str">
        <f t="shared" si="50"/>
        <v/>
      </c>
      <c r="F1036" s="144"/>
      <c r="G1036" s="146">
        <f t="shared" si="48"/>
        <v>0</v>
      </c>
      <c r="H1036" s="141" t="str">
        <f t="shared" si="49"/>
        <v/>
      </c>
      <c r="J1036" s="148" t="str">
        <f>IFERROR(SUMIFS(当年实际!$V:$V,当年实际!$H:$H,$B1036,当年实际!$C:$C,"&gt;="&amp;DATE(YEAR(主页!$D$2),1,1),当年实际!$C:$C,"&lt;="&amp;EOMONTH(DATE(YEAR(主页!$D$2),MONTH(主页!$D$2),1),0))/SUMIFS(当年实际!$P:$P,当年实际!$H:$H,$B1036,当年实际!$C:$C,"&gt;="&amp;DATE(YEAR(主页!$D$2),1,1),当年实际!$C:$C,"&lt;="&amp;EOMONTH(DATE(YEAR(主页!$D$2),MONTH(主页!$D$2),1),0)),"")</f>
        <v/>
      </c>
    </row>
    <row r="1037" spans="1:10" x14ac:dyDescent="0.3">
      <c r="A1037" s="135"/>
      <c r="B1037" s="136"/>
      <c r="C1037" s="138"/>
      <c r="D1037" s="139"/>
      <c r="E1037" s="141" t="str">
        <f t="shared" si="50"/>
        <v/>
      </c>
      <c r="F1037" s="144"/>
      <c r="G1037" s="146">
        <f t="shared" si="48"/>
        <v>0</v>
      </c>
      <c r="H1037" s="141" t="str">
        <f t="shared" si="49"/>
        <v/>
      </c>
      <c r="J1037" s="148" t="str">
        <f>IFERROR(SUMIFS(当年实际!$V:$V,当年实际!$H:$H,$B1037,当年实际!$C:$C,"&gt;="&amp;DATE(YEAR(主页!$D$2),1,1),当年实际!$C:$C,"&lt;="&amp;EOMONTH(DATE(YEAR(主页!$D$2),MONTH(主页!$D$2),1),0))/SUMIFS(当年实际!$P:$P,当年实际!$H:$H,$B1037,当年实际!$C:$C,"&gt;="&amp;DATE(YEAR(主页!$D$2),1,1),当年实际!$C:$C,"&lt;="&amp;EOMONTH(DATE(YEAR(主页!$D$2),MONTH(主页!$D$2),1),0)),"")</f>
        <v/>
      </c>
    </row>
    <row r="1038" spans="1:10" x14ac:dyDescent="0.3">
      <c r="A1038" s="135"/>
      <c r="B1038" s="136"/>
      <c r="C1038" s="138"/>
      <c r="D1038" s="139"/>
      <c r="E1038" s="141" t="str">
        <f t="shared" si="50"/>
        <v/>
      </c>
      <c r="F1038" s="144"/>
      <c r="G1038" s="146">
        <f t="shared" si="48"/>
        <v>0</v>
      </c>
      <c r="H1038" s="141" t="str">
        <f t="shared" si="49"/>
        <v/>
      </c>
      <c r="J1038" s="148" t="str">
        <f>IFERROR(SUMIFS(当年实际!$V:$V,当年实际!$H:$H,$B1038,当年实际!$C:$C,"&gt;="&amp;DATE(YEAR(主页!$D$2),1,1),当年实际!$C:$C,"&lt;="&amp;EOMONTH(DATE(YEAR(主页!$D$2),MONTH(主页!$D$2),1),0))/SUMIFS(当年实际!$P:$P,当年实际!$H:$H,$B1038,当年实际!$C:$C,"&gt;="&amp;DATE(YEAR(主页!$D$2),1,1),当年实际!$C:$C,"&lt;="&amp;EOMONTH(DATE(YEAR(主页!$D$2),MONTH(主页!$D$2),1),0)),"")</f>
        <v/>
      </c>
    </row>
    <row r="1039" spans="1:10" x14ac:dyDescent="0.3">
      <c r="A1039" s="135"/>
      <c r="B1039" s="136"/>
      <c r="C1039" s="138"/>
      <c r="D1039" s="139"/>
      <c r="E1039" s="141" t="str">
        <f t="shared" si="50"/>
        <v/>
      </c>
      <c r="F1039" s="144"/>
      <c r="G1039" s="146">
        <f t="shared" si="48"/>
        <v>0</v>
      </c>
      <c r="H1039" s="141" t="str">
        <f t="shared" si="49"/>
        <v/>
      </c>
      <c r="J1039" s="148" t="str">
        <f>IFERROR(SUMIFS(当年实际!$V:$V,当年实际!$H:$H,$B1039,当年实际!$C:$C,"&gt;="&amp;DATE(YEAR(主页!$D$2),1,1),当年实际!$C:$C,"&lt;="&amp;EOMONTH(DATE(YEAR(主页!$D$2),MONTH(主页!$D$2),1),0))/SUMIFS(当年实际!$P:$P,当年实际!$H:$H,$B1039,当年实际!$C:$C,"&gt;="&amp;DATE(YEAR(主页!$D$2),1,1),当年实际!$C:$C,"&lt;="&amp;EOMONTH(DATE(YEAR(主页!$D$2),MONTH(主页!$D$2),1),0)),"")</f>
        <v/>
      </c>
    </row>
    <row r="1040" spans="1:10" x14ac:dyDescent="0.3">
      <c r="A1040" s="135"/>
      <c r="B1040" s="136"/>
      <c r="C1040" s="138"/>
      <c r="D1040" s="139"/>
      <c r="E1040" s="141" t="str">
        <f t="shared" si="50"/>
        <v/>
      </c>
      <c r="F1040" s="144"/>
      <c r="G1040" s="146">
        <f t="shared" si="48"/>
        <v>0</v>
      </c>
      <c r="H1040" s="141" t="str">
        <f t="shared" si="49"/>
        <v/>
      </c>
      <c r="J1040" s="148" t="str">
        <f>IFERROR(SUMIFS(当年实际!$V:$V,当年实际!$H:$H,$B1040,当年实际!$C:$C,"&gt;="&amp;DATE(YEAR(主页!$D$2),1,1),当年实际!$C:$C,"&lt;="&amp;EOMONTH(DATE(YEAR(主页!$D$2),MONTH(主页!$D$2),1),0))/SUMIFS(当年实际!$P:$P,当年实际!$H:$H,$B1040,当年实际!$C:$C,"&gt;="&amp;DATE(YEAR(主页!$D$2),1,1),当年实际!$C:$C,"&lt;="&amp;EOMONTH(DATE(YEAR(主页!$D$2),MONTH(主页!$D$2),1),0)),"")</f>
        <v/>
      </c>
    </row>
    <row r="1041" spans="1:10" x14ac:dyDescent="0.3">
      <c r="A1041" s="135"/>
      <c r="B1041" s="136"/>
      <c r="C1041" s="138"/>
      <c r="D1041" s="139"/>
      <c r="E1041" s="141" t="str">
        <f t="shared" si="50"/>
        <v/>
      </c>
      <c r="F1041" s="144"/>
      <c r="G1041" s="146">
        <f t="shared" si="48"/>
        <v>0</v>
      </c>
      <c r="H1041" s="141" t="str">
        <f t="shared" si="49"/>
        <v/>
      </c>
      <c r="J1041" s="148" t="str">
        <f>IFERROR(SUMIFS(当年实际!$V:$V,当年实际!$H:$H,$B1041,当年实际!$C:$C,"&gt;="&amp;DATE(YEAR(主页!$D$2),1,1),当年实际!$C:$C,"&lt;="&amp;EOMONTH(DATE(YEAR(主页!$D$2),MONTH(主页!$D$2),1),0))/SUMIFS(当年实际!$P:$P,当年实际!$H:$H,$B1041,当年实际!$C:$C,"&gt;="&amp;DATE(YEAR(主页!$D$2),1,1),当年实际!$C:$C,"&lt;="&amp;EOMONTH(DATE(YEAR(主页!$D$2),MONTH(主页!$D$2),1),0)),"")</f>
        <v/>
      </c>
    </row>
    <row r="1042" spans="1:10" x14ac:dyDescent="0.3">
      <c r="A1042" s="135"/>
      <c r="B1042" s="136"/>
      <c r="C1042" s="138"/>
      <c r="D1042" s="139"/>
      <c r="E1042" s="141" t="str">
        <f t="shared" si="50"/>
        <v/>
      </c>
      <c r="F1042" s="144"/>
      <c r="G1042" s="146">
        <f t="shared" si="48"/>
        <v>0</v>
      </c>
      <c r="H1042" s="141" t="str">
        <f t="shared" si="49"/>
        <v/>
      </c>
      <c r="J1042" s="148" t="str">
        <f>IFERROR(SUMIFS(当年实际!$V:$V,当年实际!$H:$H,$B1042,当年实际!$C:$C,"&gt;="&amp;DATE(YEAR(主页!$D$2),1,1),当年实际!$C:$C,"&lt;="&amp;EOMONTH(DATE(YEAR(主页!$D$2),MONTH(主页!$D$2),1),0))/SUMIFS(当年实际!$P:$P,当年实际!$H:$H,$B1042,当年实际!$C:$C,"&gt;="&amp;DATE(YEAR(主页!$D$2),1,1),当年实际!$C:$C,"&lt;="&amp;EOMONTH(DATE(YEAR(主页!$D$2),MONTH(主页!$D$2),1),0)),"")</f>
        <v/>
      </c>
    </row>
    <row r="1043" spans="1:10" x14ac:dyDescent="0.3">
      <c r="A1043" s="135"/>
      <c r="B1043" s="136"/>
      <c r="C1043" s="138"/>
      <c r="D1043" s="139"/>
      <c r="E1043" s="141" t="str">
        <f t="shared" si="50"/>
        <v/>
      </c>
      <c r="F1043" s="144"/>
      <c r="G1043" s="146">
        <f t="shared" si="48"/>
        <v>0</v>
      </c>
      <c r="H1043" s="141" t="str">
        <f t="shared" si="49"/>
        <v/>
      </c>
      <c r="J1043" s="148" t="str">
        <f>IFERROR(SUMIFS(当年实际!$V:$V,当年实际!$H:$H,$B1043,当年实际!$C:$C,"&gt;="&amp;DATE(YEAR(主页!$D$2),1,1),当年实际!$C:$C,"&lt;="&amp;EOMONTH(DATE(YEAR(主页!$D$2),MONTH(主页!$D$2),1),0))/SUMIFS(当年实际!$P:$P,当年实际!$H:$H,$B1043,当年实际!$C:$C,"&gt;="&amp;DATE(YEAR(主页!$D$2),1,1),当年实际!$C:$C,"&lt;="&amp;EOMONTH(DATE(YEAR(主页!$D$2),MONTH(主页!$D$2),1),0)),"")</f>
        <v/>
      </c>
    </row>
    <row r="1044" spans="1:10" x14ac:dyDescent="0.3">
      <c r="A1044" s="135"/>
      <c r="B1044" s="136"/>
      <c r="C1044" s="138"/>
      <c r="D1044" s="139"/>
      <c r="E1044" s="141" t="str">
        <f t="shared" si="50"/>
        <v/>
      </c>
      <c r="F1044" s="144"/>
      <c r="G1044" s="146">
        <f t="shared" si="48"/>
        <v>0</v>
      </c>
      <c r="H1044" s="141" t="str">
        <f t="shared" si="49"/>
        <v/>
      </c>
      <c r="J1044" s="148" t="str">
        <f>IFERROR(SUMIFS(当年实际!$V:$V,当年实际!$H:$H,$B1044,当年实际!$C:$C,"&gt;="&amp;DATE(YEAR(主页!$D$2),1,1),当年实际!$C:$C,"&lt;="&amp;EOMONTH(DATE(YEAR(主页!$D$2),MONTH(主页!$D$2),1),0))/SUMIFS(当年实际!$P:$P,当年实际!$H:$H,$B1044,当年实际!$C:$C,"&gt;="&amp;DATE(YEAR(主页!$D$2),1,1),当年实际!$C:$C,"&lt;="&amp;EOMONTH(DATE(YEAR(主页!$D$2),MONTH(主页!$D$2),1),0)),"")</f>
        <v/>
      </c>
    </row>
    <row r="1045" spans="1:10" x14ac:dyDescent="0.3">
      <c r="A1045" s="135"/>
      <c r="B1045" s="136"/>
      <c r="C1045" s="138"/>
      <c r="D1045" s="139"/>
      <c r="E1045" s="141" t="str">
        <f t="shared" si="50"/>
        <v/>
      </c>
      <c r="F1045" s="144"/>
      <c r="G1045" s="146">
        <f t="shared" si="48"/>
        <v>0</v>
      </c>
      <c r="H1045" s="141" t="str">
        <f t="shared" si="49"/>
        <v/>
      </c>
      <c r="J1045" s="148" t="str">
        <f>IFERROR(SUMIFS(当年实际!$V:$V,当年实际!$H:$H,$B1045,当年实际!$C:$C,"&gt;="&amp;DATE(YEAR(主页!$D$2),1,1),当年实际!$C:$C,"&lt;="&amp;EOMONTH(DATE(YEAR(主页!$D$2),MONTH(主页!$D$2),1),0))/SUMIFS(当年实际!$P:$P,当年实际!$H:$H,$B1045,当年实际!$C:$C,"&gt;="&amp;DATE(YEAR(主页!$D$2),1,1),当年实际!$C:$C,"&lt;="&amp;EOMONTH(DATE(YEAR(主页!$D$2),MONTH(主页!$D$2),1),0)),"")</f>
        <v/>
      </c>
    </row>
    <row r="1046" spans="1:10" x14ac:dyDescent="0.3">
      <c r="A1046" s="135"/>
      <c r="B1046" s="136"/>
      <c r="C1046" s="138"/>
      <c r="D1046" s="139"/>
      <c r="E1046" s="141" t="str">
        <f t="shared" si="50"/>
        <v/>
      </c>
      <c r="F1046" s="144"/>
      <c r="G1046" s="146">
        <f t="shared" si="48"/>
        <v>0</v>
      </c>
      <c r="H1046" s="141" t="str">
        <f t="shared" si="49"/>
        <v/>
      </c>
      <c r="J1046" s="148" t="str">
        <f>IFERROR(SUMIFS(当年实际!$V:$V,当年实际!$H:$H,$B1046,当年实际!$C:$C,"&gt;="&amp;DATE(YEAR(主页!$D$2),1,1),当年实际!$C:$C,"&lt;="&amp;EOMONTH(DATE(YEAR(主页!$D$2),MONTH(主页!$D$2),1),0))/SUMIFS(当年实际!$P:$P,当年实际!$H:$H,$B1046,当年实际!$C:$C,"&gt;="&amp;DATE(YEAR(主页!$D$2),1,1),当年实际!$C:$C,"&lt;="&amp;EOMONTH(DATE(YEAR(主页!$D$2),MONTH(主页!$D$2),1),0)),"")</f>
        <v/>
      </c>
    </row>
    <row r="1047" spans="1:10" x14ac:dyDescent="0.3">
      <c r="A1047" s="135"/>
      <c r="B1047" s="136"/>
      <c r="C1047" s="138"/>
      <c r="D1047" s="139"/>
      <c r="E1047" s="141" t="str">
        <f t="shared" si="50"/>
        <v/>
      </c>
      <c r="F1047" s="144"/>
      <c r="G1047" s="146">
        <f t="shared" si="48"/>
        <v>0</v>
      </c>
      <c r="H1047" s="141" t="str">
        <f t="shared" si="49"/>
        <v/>
      </c>
      <c r="J1047" s="148" t="str">
        <f>IFERROR(SUMIFS(当年实际!$V:$V,当年实际!$H:$H,$B1047,当年实际!$C:$C,"&gt;="&amp;DATE(YEAR(主页!$D$2),1,1),当年实际!$C:$C,"&lt;="&amp;EOMONTH(DATE(YEAR(主页!$D$2),MONTH(主页!$D$2),1),0))/SUMIFS(当年实际!$P:$P,当年实际!$H:$H,$B1047,当年实际!$C:$C,"&gt;="&amp;DATE(YEAR(主页!$D$2),1,1),当年实际!$C:$C,"&lt;="&amp;EOMONTH(DATE(YEAR(主页!$D$2),MONTH(主页!$D$2),1),0)),"")</f>
        <v/>
      </c>
    </row>
    <row r="1048" spans="1:10" x14ac:dyDescent="0.3">
      <c r="A1048" s="135"/>
      <c r="B1048" s="136"/>
      <c r="C1048" s="138"/>
      <c r="D1048" s="139"/>
      <c r="E1048" s="141" t="str">
        <f t="shared" si="50"/>
        <v/>
      </c>
      <c r="F1048" s="144"/>
      <c r="G1048" s="146">
        <f t="shared" si="48"/>
        <v>0</v>
      </c>
      <c r="H1048" s="141" t="str">
        <f t="shared" si="49"/>
        <v/>
      </c>
      <c r="J1048" s="148" t="str">
        <f>IFERROR(SUMIFS(当年实际!$V:$V,当年实际!$H:$H,$B1048,当年实际!$C:$C,"&gt;="&amp;DATE(YEAR(主页!$D$2),1,1),当年实际!$C:$C,"&lt;="&amp;EOMONTH(DATE(YEAR(主页!$D$2),MONTH(主页!$D$2),1),0))/SUMIFS(当年实际!$P:$P,当年实际!$H:$H,$B1048,当年实际!$C:$C,"&gt;="&amp;DATE(YEAR(主页!$D$2),1,1),当年实际!$C:$C,"&lt;="&amp;EOMONTH(DATE(YEAR(主页!$D$2),MONTH(主页!$D$2),1),0)),"")</f>
        <v/>
      </c>
    </row>
    <row r="1049" spans="1:10" x14ac:dyDescent="0.3">
      <c r="A1049" s="135"/>
      <c r="B1049" s="136"/>
      <c r="C1049" s="138"/>
      <c r="D1049" s="139"/>
      <c r="E1049" s="141" t="str">
        <f t="shared" si="50"/>
        <v/>
      </c>
      <c r="F1049" s="144"/>
      <c r="G1049" s="146">
        <f t="shared" si="48"/>
        <v>0</v>
      </c>
      <c r="H1049" s="141" t="str">
        <f t="shared" si="49"/>
        <v/>
      </c>
      <c r="J1049" s="148" t="str">
        <f>IFERROR(SUMIFS(当年实际!$V:$V,当年实际!$H:$H,$B1049,当年实际!$C:$C,"&gt;="&amp;DATE(YEAR(主页!$D$2),1,1),当年实际!$C:$C,"&lt;="&amp;EOMONTH(DATE(YEAR(主页!$D$2),MONTH(主页!$D$2),1),0))/SUMIFS(当年实际!$P:$P,当年实际!$H:$H,$B1049,当年实际!$C:$C,"&gt;="&amp;DATE(YEAR(主页!$D$2),1,1),当年实际!$C:$C,"&lt;="&amp;EOMONTH(DATE(YEAR(主页!$D$2),MONTH(主页!$D$2),1),0)),"")</f>
        <v/>
      </c>
    </row>
    <row r="1050" spans="1:10" x14ac:dyDescent="0.3">
      <c r="A1050" s="135"/>
      <c r="B1050" s="136"/>
      <c r="C1050" s="138"/>
      <c r="D1050" s="139"/>
      <c r="E1050" s="141" t="str">
        <f t="shared" si="50"/>
        <v/>
      </c>
      <c r="F1050" s="144"/>
      <c r="G1050" s="146">
        <f t="shared" si="48"/>
        <v>0</v>
      </c>
      <c r="H1050" s="141" t="str">
        <f t="shared" si="49"/>
        <v/>
      </c>
      <c r="J1050" s="148" t="str">
        <f>IFERROR(SUMIFS(当年实际!$V:$V,当年实际!$H:$H,$B1050,当年实际!$C:$C,"&gt;="&amp;DATE(YEAR(主页!$D$2),1,1),当年实际!$C:$C,"&lt;="&amp;EOMONTH(DATE(YEAR(主页!$D$2),MONTH(主页!$D$2),1),0))/SUMIFS(当年实际!$P:$P,当年实际!$H:$H,$B1050,当年实际!$C:$C,"&gt;="&amp;DATE(YEAR(主页!$D$2),1,1),当年实际!$C:$C,"&lt;="&amp;EOMONTH(DATE(YEAR(主页!$D$2),MONTH(主页!$D$2),1),0)),"")</f>
        <v/>
      </c>
    </row>
    <row r="1051" spans="1:10" x14ac:dyDescent="0.3">
      <c r="A1051" s="135"/>
      <c r="B1051" s="136"/>
      <c r="C1051" s="138"/>
      <c r="D1051" s="139"/>
      <c r="E1051" s="141" t="str">
        <f t="shared" si="50"/>
        <v/>
      </c>
      <c r="F1051" s="144"/>
      <c r="G1051" s="146">
        <f t="shared" si="48"/>
        <v>0</v>
      </c>
      <c r="H1051" s="141" t="str">
        <f t="shared" si="49"/>
        <v/>
      </c>
      <c r="J1051" s="148" t="str">
        <f>IFERROR(SUMIFS(当年实际!$V:$V,当年实际!$H:$H,$B1051,当年实际!$C:$C,"&gt;="&amp;DATE(YEAR(主页!$D$2),1,1),当年实际!$C:$C,"&lt;="&amp;EOMONTH(DATE(YEAR(主页!$D$2),MONTH(主页!$D$2),1),0))/SUMIFS(当年实际!$P:$P,当年实际!$H:$H,$B1051,当年实际!$C:$C,"&gt;="&amp;DATE(YEAR(主页!$D$2),1,1),当年实际!$C:$C,"&lt;="&amp;EOMONTH(DATE(YEAR(主页!$D$2),MONTH(主页!$D$2),1),0)),"")</f>
        <v/>
      </c>
    </row>
    <row r="1052" spans="1:10" x14ac:dyDescent="0.3">
      <c r="A1052" s="135"/>
      <c r="B1052" s="136"/>
      <c r="C1052" s="138"/>
      <c r="D1052" s="139"/>
      <c r="E1052" s="141" t="str">
        <f t="shared" si="50"/>
        <v/>
      </c>
      <c r="F1052" s="144"/>
      <c r="G1052" s="146">
        <f t="shared" si="48"/>
        <v>0</v>
      </c>
      <c r="H1052" s="141" t="str">
        <f t="shared" si="49"/>
        <v/>
      </c>
      <c r="J1052" s="148" t="str">
        <f>IFERROR(SUMIFS(当年实际!$V:$V,当年实际!$H:$H,$B1052,当年实际!$C:$C,"&gt;="&amp;DATE(YEAR(主页!$D$2),1,1),当年实际!$C:$C,"&lt;="&amp;EOMONTH(DATE(YEAR(主页!$D$2),MONTH(主页!$D$2),1),0))/SUMIFS(当年实际!$P:$P,当年实际!$H:$H,$B1052,当年实际!$C:$C,"&gt;="&amp;DATE(YEAR(主页!$D$2),1,1),当年实际!$C:$C,"&lt;="&amp;EOMONTH(DATE(YEAR(主页!$D$2),MONTH(主页!$D$2),1),0)),"")</f>
        <v/>
      </c>
    </row>
    <row r="1053" spans="1:10" x14ac:dyDescent="0.3">
      <c r="A1053" s="135"/>
      <c r="B1053" s="136"/>
      <c r="C1053" s="138"/>
      <c r="D1053" s="139"/>
      <c r="E1053" s="141" t="str">
        <f t="shared" si="50"/>
        <v/>
      </c>
      <c r="F1053" s="144"/>
      <c r="G1053" s="146">
        <f t="shared" si="48"/>
        <v>0</v>
      </c>
      <c r="H1053" s="141" t="str">
        <f t="shared" si="49"/>
        <v/>
      </c>
      <c r="J1053" s="148" t="str">
        <f>IFERROR(SUMIFS(当年实际!$V:$V,当年实际!$H:$H,$B1053,当年实际!$C:$C,"&gt;="&amp;DATE(YEAR(主页!$D$2),1,1),当年实际!$C:$C,"&lt;="&amp;EOMONTH(DATE(YEAR(主页!$D$2),MONTH(主页!$D$2),1),0))/SUMIFS(当年实际!$P:$P,当年实际!$H:$H,$B1053,当年实际!$C:$C,"&gt;="&amp;DATE(YEAR(主页!$D$2),1,1),当年实际!$C:$C,"&lt;="&amp;EOMONTH(DATE(YEAR(主页!$D$2),MONTH(主页!$D$2),1),0)),"")</f>
        <v/>
      </c>
    </row>
    <row r="1054" spans="1:10" x14ac:dyDescent="0.3">
      <c r="A1054" s="135"/>
      <c r="B1054" s="136"/>
      <c r="C1054" s="138"/>
      <c r="D1054" s="139"/>
      <c r="E1054" s="141" t="str">
        <f t="shared" si="50"/>
        <v/>
      </c>
      <c r="F1054" s="144"/>
      <c r="G1054" s="146">
        <f t="shared" si="48"/>
        <v>0</v>
      </c>
      <c r="H1054" s="141" t="str">
        <f t="shared" si="49"/>
        <v/>
      </c>
      <c r="J1054" s="148" t="str">
        <f>IFERROR(SUMIFS(当年实际!$V:$V,当年实际!$H:$H,$B1054,当年实际!$C:$C,"&gt;="&amp;DATE(YEAR(主页!$D$2),1,1),当年实际!$C:$C,"&lt;="&amp;EOMONTH(DATE(YEAR(主页!$D$2),MONTH(主页!$D$2),1),0))/SUMIFS(当年实际!$P:$P,当年实际!$H:$H,$B1054,当年实际!$C:$C,"&gt;="&amp;DATE(YEAR(主页!$D$2),1,1),当年实际!$C:$C,"&lt;="&amp;EOMONTH(DATE(YEAR(主页!$D$2),MONTH(主页!$D$2),1),0)),"")</f>
        <v/>
      </c>
    </row>
    <row r="1055" spans="1:10" x14ac:dyDescent="0.3">
      <c r="A1055" s="135"/>
      <c r="B1055" s="136"/>
      <c r="C1055" s="138"/>
      <c r="D1055" s="139"/>
      <c r="E1055" s="141" t="str">
        <f t="shared" si="50"/>
        <v/>
      </c>
      <c r="F1055" s="144"/>
      <c r="G1055" s="146">
        <f t="shared" si="48"/>
        <v>0</v>
      </c>
      <c r="H1055" s="141" t="str">
        <f t="shared" si="49"/>
        <v/>
      </c>
      <c r="J1055" s="148" t="str">
        <f>IFERROR(SUMIFS(当年实际!$V:$V,当年实际!$H:$H,$B1055,当年实际!$C:$C,"&gt;="&amp;DATE(YEAR(主页!$D$2),1,1),当年实际!$C:$C,"&lt;="&amp;EOMONTH(DATE(YEAR(主页!$D$2),MONTH(主页!$D$2),1),0))/SUMIFS(当年实际!$P:$P,当年实际!$H:$H,$B1055,当年实际!$C:$C,"&gt;="&amp;DATE(YEAR(主页!$D$2),1,1),当年实际!$C:$C,"&lt;="&amp;EOMONTH(DATE(YEAR(主页!$D$2),MONTH(主页!$D$2),1),0)),"")</f>
        <v/>
      </c>
    </row>
    <row r="1056" spans="1:10" x14ac:dyDescent="0.3">
      <c r="A1056" s="135"/>
      <c r="B1056" s="136"/>
      <c r="C1056" s="138"/>
      <c r="D1056" s="139"/>
      <c r="E1056" s="141" t="str">
        <f t="shared" si="50"/>
        <v/>
      </c>
      <c r="F1056" s="144"/>
      <c r="G1056" s="146">
        <f t="shared" si="48"/>
        <v>0</v>
      </c>
      <c r="H1056" s="141" t="str">
        <f t="shared" si="49"/>
        <v/>
      </c>
      <c r="J1056" s="148" t="str">
        <f>IFERROR(SUMIFS(当年实际!$V:$V,当年实际!$H:$H,$B1056,当年实际!$C:$C,"&gt;="&amp;DATE(YEAR(主页!$D$2),1,1),当年实际!$C:$C,"&lt;="&amp;EOMONTH(DATE(YEAR(主页!$D$2),MONTH(主页!$D$2),1),0))/SUMIFS(当年实际!$P:$P,当年实际!$H:$H,$B1056,当年实际!$C:$C,"&gt;="&amp;DATE(YEAR(主页!$D$2),1,1),当年实际!$C:$C,"&lt;="&amp;EOMONTH(DATE(YEAR(主页!$D$2),MONTH(主页!$D$2),1),0)),"")</f>
        <v/>
      </c>
    </row>
    <row r="1057" spans="1:10" x14ac:dyDescent="0.3">
      <c r="A1057" s="135"/>
      <c r="B1057" s="136"/>
      <c r="C1057" s="138"/>
      <c r="D1057" s="139"/>
      <c r="E1057" s="141" t="str">
        <f t="shared" si="50"/>
        <v/>
      </c>
      <c r="F1057" s="144"/>
      <c r="G1057" s="146">
        <f t="shared" si="48"/>
        <v>0</v>
      </c>
      <c r="H1057" s="141" t="str">
        <f t="shared" si="49"/>
        <v/>
      </c>
      <c r="J1057" s="148" t="str">
        <f>IFERROR(SUMIFS(当年实际!$V:$V,当年实际!$H:$H,$B1057,当年实际!$C:$C,"&gt;="&amp;DATE(YEAR(主页!$D$2),1,1),当年实际!$C:$C,"&lt;="&amp;EOMONTH(DATE(YEAR(主页!$D$2),MONTH(主页!$D$2),1),0))/SUMIFS(当年实际!$P:$P,当年实际!$H:$H,$B1057,当年实际!$C:$C,"&gt;="&amp;DATE(YEAR(主页!$D$2),1,1),当年实际!$C:$C,"&lt;="&amp;EOMONTH(DATE(YEAR(主页!$D$2),MONTH(主页!$D$2),1),0)),"")</f>
        <v/>
      </c>
    </row>
    <row r="1058" spans="1:10" x14ac:dyDescent="0.3">
      <c r="A1058" s="135"/>
      <c r="B1058" s="136"/>
      <c r="C1058" s="138"/>
      <c r="D1058" s="139"/>
      <c r="E1058" s="141" t="str">
        <f t="shared" si="50"/>
        <v/>
      </c>
      <c r="F1058" s="144"/>
      <c r="G1058" s="146">
        <f t="shared" si="48"/>
        <v>0</v>
      </c>
      <c r="H1058" s="141" t="str">
        <f t="shared" si="49"/>
        <v/>
      </c>
      <c r="J1058" s="148" t="str">
        <f>IFERROR(SUMIFS(当年实际!$V:$V,当年实际!$H:$H,$B1058,当年实际!$C:$C,"&gt;="&amp;DATE(YEAR(主页!$D$2),1,1),当年实际!$C:$C,"&lt;="&amp;EOMONTH(DATE(YEAR(主页!$D$2),MONTH(主页!$D$2),1),0))/SUMIFS(当年实际!$P:$P,当年实际!$H:$H,$B1058,当年实际!$C:$C,"&gt;="&amp;DATE(YEAR(主页!$D$2),1,1),当年实际!$C:$C,"&lt;="&amp;EOMONTH(DATE(YEAR(主页!$D$2),MONTH(主页!$D$2),1),0)),"")</f>
        <v/>
      </c>
    </row>
    <row r="1059" spans="1:10" x14ac:dyDescent="0.3">
      <c r="A1059" s="135"/>
      <c r="B1059" s="136"/>
      <c r="C1059" s="138"/>
      <c r="D1059" s="139"/>
      <c r="E1059" s="141" t="str">
        <f t="shared" si="50"/>
        <v/>
      </c>
      <c r="F1059" s="144"/>
      <c r="G1059" s="146">
        <f t="shared" si="48"/>
        <v>0</v>
      </c>
      <c r="H1059" s="141" t="str">
        <f t="shared" si="49"/>
        <v/>
      </c>
      <c r="J1059" s="148" t="str">
        <f>IFERROR(SUMIFS(当年实际!$V:$V,当年实际!$H:$H,$B1059,当年实际!$C:$C,"&gt;="&amp;DATE(YEAR(主页!$D$2),1,1),当年实际!$C:$C,"&lt;="&amp;EOMONTH(DATE(YEAR(主页!$D$2),MONTH(主页!$D$2),1),0))/SUMIFS(当年实际!$P:$P,当年实际!$H:$H,$B1059,当年实际!$C:$C,"&gt;="&amp;DATE(YEAR(主页!$D$2),1,1),当年实际!$C:$C,"&lt;="&amp;EOMONTH(DATE(YEAR(主页!$D$2),MONTH(主页!$D$2),1),0)),"")</f>
        <v/>
      </c>
    </row>
    <row r="1060" spans="1:10" x14ac:dyDescent="0.3">
      <c r="A1060" s="135"/>
      <c r="B1060" s="136"/>
      <c r="C1060" s="138"/>
      <c r="D1060" s="139"/>
      <c r="E1060" s="141" t="str">
        <f t="shared" si="50"/>
        <v/>
      </c>
      <c r="F1060" s="144"/>
      <c r="G1060" s="146">
        <f t="shared" si="48"/>
        <v>0</v>
      </c>
      <c r="H1060" s="141" t="str">
        <f t="shared" si="49"/>
        <v/>
      </c>
      <c r="J1060" s="148" t="str">
        <f>IFERROR(SUMIFS(当年实际!$V:$V,当年实际!$H:$H,$B1060,当年实际!$C:$C,"&gt;="&amp;DATE(YEAR(主页!$D$2),1,1),当年实际!$C:$C,"&lt;="&amp;EOMONTH(DATE(YEAR(主页!$D$2),MONTH(主页!$D$2),1),0))/SUMIFS(当年实际!$P:$P,当年实际!$H:$H,$B1060,当年实际!$C:$C,"&gt;="&amp;DATE(YEAR(主页!$D$2),1,1),当年实际!$C:$C,"&lt;="&amp;EOMONTH(DATE(YEAR(主页!$D$2),MONTH(主页!$D$2),1),0)),"")</f>
        <v/>
      </c>
    </row>
    <row r="1061" spans="1:10" x14ac:dyDescent="0.3">
      <c r="A1061" s="135"/>
      <c r="B1061" s="136"/>
      <c r="C1061" s="138"/>
      <c r="D1061" s="139"/>
      <c r="E1061" s="141" t="str">
        <f t="shared" si="50"/>
        <v/>
      </c>
      <c r="F1061" s="144"/>
      <c r="G1061" s="146">
        <f t="shared" si="48"/>
        <v>0</v>
      </c>
      <c r="H1061" s="141" t="str">
        <f t="shared" si="49"/>
        <v/>
      </c>
      <c r="J1061" s="148" t="str">
        <f>IFERROR(SUMIFS(当年实际!$V:$V,当年实际!$H:$H,$B1061,当年实际!$C:$C,"&gt;="&amp;DATE(YEAR(主页!$D$2),1,1),当年实际!$C:$C,"&lt;="&amp;EOMONTH(DATE(YEAR(主页!$D$2),MONTH(主页!$D$2),1),0))/SUMIFS(当年实际!$P:$P,当年实际!$H:$H,$B1061,当年实际!$C:$C,"&gt;="&amp;DATE(YEAR(主页!$D$2),1,1),当年实际!$C:$C,"&lt;="&amp;EOMONTH(DATE(YEAR(主页!$D$2),MONTH(主页!$D$2),1),0)),"")</f>
        <v/>
      </c>
    </row>
    <row r="1062" spans="1:10" x14ac:dyDescent="0.3">
      <c r="A1062" s="135"/>
      <c r="B1062" s="136"/>
      <c r="C1062" s="138"/>
      <c r="D1062" s="139"/>
      <c r="E1062" s="141" t="str">
        <f t="shared" si="50"/>
        <v/>
      </c>
      <c r="F1062" s="144"/>
      <c r="G1062" s="146">
        <f t="shared" si="48"/>
        <v>0</v>
      </c>
      <c r="H1062" s="141" t="str">
        <f t="shared" si="49"/>
        <v/>
      </c>
      <c r="J1062" s="148" t="str">
        <f>IFERROR(SUMIFS(当年实际!$V:$V,当年实际!$H:$H,$B1062,当年实际!$C:$C,"&gt;="&amp;DATE(YEAR(主页!$D$2),1,1),当年实际!$C:$C,"&lt;="&amp;EOMONTH(DATE(YEAR(主页!$D$2),MONTH(主页!$D$2),1),0))/SUMIFS(当年实际!$P:$P,当年实际!$H:$H,$B1062,当年实际!$C:$C,"&gt;="&amp;DATE(YEAR(主页!$D$2),1,1),当年实际!$C:$C,"&lt;="&amp;EOMONTH(DATE(YEAR(主页!$D$2),MONTH(主页!$D$2),1),0)),"")</f>
        <v/>
      </c>
    </row>
    <row r="1063" spans="1:10" x14ac:dyDescent="0.3">
      <c r="A1063" s="135"/>
      <c r="B1063" s="136"/>
      <c r="C1063" s="138"/>
      <c r="D1063" s="139"/>
      <c r="E1063" s="141" t="str">
        <f t="shared" si="50"/>
        <v/>
      </c>
      <c r="F1063" s="144"/>
      <c r="G1063" s="146">
        <f t="shared" si="48"/>
        <v>0</v>
      </c>
      <c r="H1063" s="141" t="str">
        <f t="shared" si="49"/>
        <v/>
      </c>
      <c r="J1063" s="148" t="str">
        <f>IFERROR(SUMIFS(当年实际!$V:$V,当年实际!$H:$H,$B1063,当年实际!$C:$C,"&gt;="&amp;DATE(YEAR(主页!$D$2),1,1),当年实际!$C:$C,"&lt;="&amp;EOMONTH(DATE(YEAR(主页!$D$2),MONTH(主页!$D$2),1),0))/SUMIFS(当年实际!$P:$P,当年实际!$H:$H,$B1063,当年实际!$C:$C,"&gt;="&amp;DATE(YEAR(主页!$D$2),1,1),当年实际!$C:$C,"&lt;="&amp;EOMONTH(DATE(YEAR(主页!$D$2),MONTH(主页!$D$2),1),0)),"")</f>
        <v/>
      </c>
    </row>
    <row r="1064" spans="1:10" x14ac:dyDescent="0.3">
      <c r="A1064" s="135"/>
      <c r="B1064" s="136"/>
      <c r="C1064" s="138"/>
      <c r="D1064" s="139"/>
      <c r="E1064" s="141" t="str">
        <f t="shared" si="50"/>
        <v/>
      </c>
      <c r="F1064" s="144"/>
      <c r="G1064" s="146">
        <f t="shared" si="48"/>
        <v>0</v>
      </c>
      <c r="H1064" s="141" t="str">
        <f t="shared" si="49"/>
        <v/>
      </c>
      <c r="J1064" s="148" t="str">
        <f>IFERROR(SUMIFS(当年实际!$V:$V,当年实际!$H:$H,$B1064,当年实际!$C:$C,"&gt;="&amp;DATE(YEAR(主页!$D$2),1,1),当年实际!$C:$C,"&lt;="&amp;EOMONTH(DATE(YEAR(主页!$D$2),MONTH(主页!$D$2),1),0))/SUMIFS(当年实际!$P:$P,当年实际!$H:$H,$B1064,当年实际!$C:$C,"&gt;="&amp;DATE(YEAR(主页!$D$2),1,1),当年实际!$C:$C,"&lt;="&amp;EOMONTH(DATE(YEAR(主页!$D$2),MONTH(主页!$D$2),1),0)),"")</f>
        <v/>
      </c>
    </row>
    <row r="1065" spans="1:10" x14ac:dyDescent="0.3">
      <c r="A1065" s="135"/>
      <c r="B1065" s="136"/>
      <c r="C1065" s="138"/>
      <c r="D1065" s="139"/>
      <c r="E1065" s="141" t="str">
        <f t="shared" si="50"/>
        <v/>
      </c>
      <c r="F1065" s="144"/>
      <c r="G1065" s="146">
        <f t="shared" si="48"/>
        <v>0</v>
      </c>
      <c r="H1065" s="141" t="str">
        <f t="shared" si="49"/>
        <v/>
      </c>
      <c r="J1065" s="148" t="str">
        <f>IFERROR(SUMIFS(当年实际!$V:$V,当年实际!$H:$H,$B1065,当年实际!$C:$C,"&gt;="&amp;DATE(YEAR(主页!$D$2),1,1),当年实际!$C:$C,"&lt;="&amp;EOMONTH(DATE(YEAR(主页!$D$2),MONTH(主页!$D$2),1),0))/SUMIFS(当年实际!$P:$P,当年实际!$H:$H,$B1065,当年实际!$C:$C,"&gt;="&amp;DATE(YEAR(主页!$D$2),1,1),当年实际!$C:$C,"&lt;="&amp;EOMONTH(DATE(YEAR(主页!$D$2),MONTH(主页!$D$2),1),0)),"")</f>
        <v/>
      </c>
    </row>
    <row r="1066" spans="1:10" x14ac:dyDescent="0.3">
      <c r="A1066" s="135"/>
      <c r="B1066" s="136"/>
      <c r="C1066" s="138"/>
      <c r="D1066" s="139"/>
      <c r="E1066" s="141" t="str">
        <f t="shared" si="50"/>
        <v/>
      </c>
      <c r="F1066" s="144"/>
      <c r="G1066" s="146">
        <f t="shared" si="48"/>
        <v>0</v>
      </c>
      <c r="H1066" s="141" t="str">
        <f t="shared" si="49"/>
        <v/>
      </c>
      <c r="J1066" s="148" t="str">
        <f>IFERROR(SUMIFS(当年实际!$V:$V,当年实际!$H:$H,$B1066,当年实际!$C:$C,"&gt;="&amp;DATE(YEAR(主页!$D$2),1,1),当年实际!$C:$C,"&lt;="&amp;EOMONTH(DATE(YEAR(主页!$D$2),MONTH(主页!$D$2),1),0))/SUMIFS(当年实际!$P:$P,当年实际!$H:$H,$B1066,当年实际!$C:$C,"&gt;="&amp;DATE(YEAR(主页!$D$2),1,1),当年实际!$C:$C,"&lt;="&amp;EOMONTH(DATE(YEAR(主页!$D$2),MONTH(主页!$D$2),1),0)),"")</f>
        <v/>
      </c>
    </row>
    <row r="1067" spans="1:10" x14ac:dyDescent="0.3">
      <c r="A1067" s="135"/>
      <c r="B1067" s="136"/>
      <c r="C1067" s="138"/>
      <c r="D1067" s="139"/>
      <c r="E1067" s="141" t="str">
        <f t="shared" si="50"/>
        <v/>
      </c>
      <c r="F1067" s="144"/>
      <c r="G1067" s="146">
        <f t="shared" si="48"/>
        <v>0</v>
      </c>
      <c r="H1067" s="141" t="str">
        <f t="shared" si="49"/>
        <v/>
      </c>
      <c r="J1067" s="148" t="str">
        <f>IFERROR(SUMIFS(当年实际!$V:$V,当年实际!$H:$H,$B1067,当年实际!$C:$C,"&gt;="&amp;DATE(YEAR(主页!$D$2),1,1),当年实际!$C:$C,"&lt;="&amp;EOMONTH(DATE(YEAR(主页!$D$2),MONTH(主页!$D$2),1),0))/SUMIFS(当年实际!$P:$P,当年实际!$H:$H,$B1067,当年实际!$C:$C,"&gt;="&amp;DATE(YEAR(主页!$D$2),1,1),当年实际!$C:$C,"&lt;="&amp;EOMONTH(DATE(YEAR(主页!$D$2),MONTH(主页!$D$2),1),0)),"")</f>
        <v/>
      </c>
    </row>
    <row r="1068" spans="1:10" x14ac:dyDescent="0.3">
      <c r="A1068" s="135"/>
      <c r="B1068" s="136"/>
      <c r="C1068" s="138"/>
      <c r="D1068" s="139"/>
      <c r="E1068" s="141" t="str">
        <f t="shared" si="50"/>
        <v/>
      </c>
      <c r="F1068" s="144"/>
      <c r="G1068" s="146">
        <f t="shared" si="48"/>
        <v>0</v>
      </c>
      <c r="H1068" s="141" t="str">
        <f t="shared" si="49"/>
        <v/>
      </c>
      <c r="J1068" s="148" t="str">
        <f>IFERROR(SUMIFS(当年实际!$V:$V,当年实际!$H:$H,$B1068,当年实际!$C:$C,"&gt;="&amp;DATE(YEAR(主页!$D$2),1,1),当年实际!$C:$C,"&lt;="&amp;EOMONTH(DATE(YEAR(主页!$D$2),MONTH(主页!$D$2),1),0))/SUMIFS(当年实际!$P:$P,当年实际!$H:$H,$B1068,当年实际!$C:$C,"&gt;="&amp;DATE(YEAR(主页!$D$2),1,1),当年实际!$C:$C,"&lt;="&amp;EOMONTH(DATE(YEAR(主页!$D$2),MONTH(主页!$D$2),1),0)),"")</f>
        <v/>
      </c>
    </row>
    <row r="1069" spans="1:10" x14ac:dyDescent="0.3">
      <c r="A1069" s="135"/>
      <c r="B1069" s="136"/>
      <c r="C1069" s="138"/>
      <c r="D1069" s="139"/>
      <c r="E1069" s="141" t="str">
        <f t="shared" si="50"/>
        <v/>
      </c>
      <c r="F1069" s="144"/>
      <c r="G1069" s="146">
        <f t="shared" si="48"/>
        <v>0</v>
      </c>
      <c r="H1069" s="141" t="str">
        <f t="shared" si="49"/>
        <v/>
      </c>
      <c r="J1069" s="148" t="str">
        <f>IFERROR(SUMIFS(当年实际!$V:$V,当年实际!$H:$H,$B1069,当年实际!$C:$C,"&gt;="&amp;DATE(YEAR(主页!$D$2),1,1),当年实际!$C:$C,"&lt;="&amp;EOMONTH(DATE(YEAR(主页!$D$2),MONTH(主页!$D$2),1),0))/SUMIFS(当年实际!$P:$P,当年实际!$H:$H,$B1069,当年实际!$C:$C,"&gt;="&amp;DATE(YEAR(主页!$D$2),1,1),当年实际!$C:$C,"&lt;="&amp;EOMONTH(DATE(YEAR(主页!$D$2),MONTH(主页!$D$2),1),0)),"")</f>
        <v/>
      </c>
    </row>
    <row r="1070" spans="1:10" x14ac:dyDescent="0.3">
      <c r="A1070" s="135"/>
      <c r="B1070" s="136"/>
      <c r="C1070" s="138"/>
      <c r="D1070" s="139"/>
      <c r="E1070" s="141" t="str">
        <f t="shared" si="50"/>
        <v/>
      </c>
      <c r="F1070" s="144"/>
      <c r="G1070" s="146">
        <f t="shared" si="48"/>
        <v>0</v>
      </c>
      <c r="H1070" s="141" t="str">
        <f t="shared" si="49"/>
        <v/>
      </c>
      <c r="J1070" s="148" t="str">
        <f>IFERROR(SUMIFS(当年实际!$V:$V,当年实际!$H:$H,$B1070,当年实际!$C:$C,"&gt;="&amp;DATE(YEAR(主页!$D$2),1,1),当年实际!$C:$C,"&lt;="&amp;EOMONTH(DATE(YEAR(主页!$D$2),MONTH(主页!$D$2),1),0))/SUMIFS(当年实际!$P:$P,当年实际!$H:$H,$B1070,当年实际!$C:$C,"&gt;="&amp;DATE(YEAR(主页!$D$2),1,1),当年实际!$C:$C,"&lt;="&amp;EOMONTH(DATE(YEAR(主页!$D$2),MONTH(主页!$D$2),1),0)),"")</f>
        <v/>
      </c>
    </row>
    <row r="1071" spans="1:10" x14ac:dyDescent="0.3">
      <c r="A1071" s="135"/>
      <c r="B1071" s="136"/>
      <c r="C1071" s="138"/>
      <c r="D1071" s="139"/>
      <c r="E1071" s="141" t="str">
        <f t="shared" si="50"/>
        <v/>
      </c>
      <c r="F1071" s="144"/>
      <c r="G1071" s="146">
        <f t="shared" si="48"/>
        <v>0</v>
      </c>
      <c r="H1071" s="141" t="str">
        <f t="shared" si="49"/>
        <v/>
      </c>
      <c r="J1071" s="148" t="str">
        <f>IFERROR(SUMIFS(当年实际!$V:$V,当年实际!$H:$H,$B1071,当年实际!$C:$C,"&gt;="&amp;DATE(YEAR(主页!$D$2),1,1),当年实际!$C:$C,"&lt;="&amp;EOMONTH(DATE(YEAR(主页!$D$2),MONTH(主页!$D$2),1),0))/SUMIFS(当年实际!$P:$P,当年实际!$H:$H,$B1071,当年实际!$C:$C,"&gt;="&amp;DATE(YEAR(主页!$D$2),1,1),当年实际!$C:$C,"&lt;="&amp;EOMONTH(DATE(YEAR(主页!$D$2),MONTH(主页!$D$2),1),0)),"")</f>
        <v/>
      </c>
    </row>
    <row r="1072" spans="1:10" x14ac:dyDescent="0.3">
      <c r="A1072" s="135"/>
      <c r="B1072" s="136"/>
      <c r="C1072" s="138"/>
      <c r="D1072" s="139"/>
      <c r="E1072" s="141" t="str">
        <f t="shared" si="50"/>
        <v/>
      </c>
      <c r="F1072" s="144"/>
      <c r="G1072" s="146">
        <f t="shared" si="48"/>
        <v>0</v>
      </c>
      <c r="H1072" s="141" t="str">
        <f t="shared" si="49"/>
        <v/>
      </c>
      <c r="J1072" s="148" t="str">
        <f>IFERROR(SUMIFS(当年实际!$V:$V,当年实际!$H:$H,$B1072,当年实际!$C:$C,"&gt;="&amp;DATE(YEAR(主页!$D$2),1,1),当年实际!$C:$C,"&lt;="&amp;EOMONTH(DATE(YEAR(主页!$D$2),MONTH(主页!$D$2),1),0))/SUMIFS(当年实际!$P:$P,当年实际!$H:$H,$B1072,当年实际!$C:$C,"&gt;="&amp;DATE(YEAR(主页!$D$2),1,1),当年实际!$C:$C,"&lt;="&amp;EOMONTH(DATE(YEAR(主页!$D$2),MONTH(主页!$D$2),1),0)),"")</f>
        <v/>
      </c>
    </row>
    <row r="1073" spans="1:10" x14ac:dyDescent="0.3">
      <c r="A1073" s="135"/>
      <c r="B1073" s="136"/>
      <c r="C1073" s="138"/>
      <c r="D1073" s="139"/>
      <c r="E1073" s="141" t="str">
        <f t="shared" si="50"/>
        <v/>
      </c>
      <c r="F1073" s="144"/>
      <c r="G1073" s="146">
        <f t="shared" si="48"/>
        <v>0</v>
      </c>
      <c r="H1073" s="141" t="str">
        <f t="shared" si="49"/>
        <v/>
      </c>
      <c r="J1073" s="148" t="str">
        <f>IFERROR(SUMIFS(当年实际!$V:$V,当年实际!$H:$H,$B1073,当年实际!$C:$C,"&gt;="&amp;DATE(YEAR(主页!$D$2),1,1),当年实际!$C:$C,"&lt;="&amp;EOMONTH(DATE(YEAR(主页!$D$2),MONTH(主页!$D$2),1),0))/SUMIFS(当年实际!$P:$P,当年实际!$H:$H,$B1073,当年实际!$C:$C,"&gt;="&amp;DATE(YEAR(主页!$D$2),1,1),当年实际!$C:$C,"&lt;="&amp;EOMONTH(DATE(YEAR(主页!$D$2),MONTH(主页!$D$2),1),0)),"")</f>
        <v/>
      </c>
    </row>
    <row r="1074" spans="1:10" x14ac:dyDescent="0.3">
      <c r="A1074" s="135"/>
      <c r="B1074" s="136"/>
      <c r="C1074" s="138"/>
      <c r="D1074" s="139"/>
      <c r="E1074" s="141" t="str">
        <f t="shared" si="50"/>
        <v/>
      </c>
      <c r="F1074" s="144"/>
      <c r="G1074" s="146">
        <f t="shared" si="48"/>
        <v>0</v>
      </c>
      <c r="H1074" s="141" t="str">
        <f t="shared" si="49"/>
        <v/>
      </c>
      <c r="J1074" s="148" t="str">
        <f>IFERROR(SUMIFS(当年实际!$V:$V,当年实际!$H:$H,$B1074,当年实际!$C:$C,"&gt;="&amp;DATE(YEAR(主页!$D$2),1,1),当年实际!$C:$C,"&lt;="&amp;EOMONTH(DATE(YEAR(主页!$D$2),MONTH(主页!$D$2),1),0))/SUMIFS(当年实际!$P:$P,当年实际!$H:$H,$B1074,当年实际!$C:$C,"&gt;="&amp;DATE(YEAR(主页!$D$2),1,1),当年实际!$C:$C,"&lt;="&amp;EOMONTH(DATE(YEAR(主页!$D$2),MONTH(主页!$D$2),1),0)),"")</f>
        <v/>
      </c>
    </row>
    <row r="1075" spans="1:10" x14ac:dyDescent="0.3">
      <c r="A1075" s="135"/>
      <c r="B1075" s="136"/>
      <c r="C1075" s="138"/>
      <c r="D1075" s="139"/>
      <c r="E1075" s="141" t="str">
        <f t="shared" si="50"/>
        <v/>
      </c>
      <c r="F1075" s="144"/>
      <c r="G1075" s="146">
        <f t="shared" si="48"/>
        <v>0</v>
      </c>
      <c r="H1075" s="141" t="str">
        <f t="shared" si="49"/>
        <v/>
      </c>
      <c r="J1075" s="148" t="str">
        <f>IFERROR(SUMIFS(当年实际!$V:$V,当年实际!$H:$H,$B1075,当年实际!$C:$C,"&gt;="&amp;DATE(YEAR(主页!$D$2),1,1),当年实际!$C:$C,"&lt;="&amp;EOMONTH(DATE(YEAR(主页!$D$2),MONTH(主页!$D$2),1),0))/SUMIFS(当年实际!$P:$P,当年实际!$H:$H,$B1075,当年实际!$C:$C,"&gt;="&amp;DATE(YEAR(主页!$D$2),1,1),当年实际!$C:$C,"&lt;="&amp;EOMONTH(DATE(YEAR(主页!$D$2),MONTH(主页!$D$2),1),0)),"")</f>
        <v/>
      </c>
    </row>
    <row r="1076" spans="1:10" x14ac:dyDescent="0.3">
      <c r="A1076" s="135"/>
      <c r="B1076" s="136"/>
      <c r="C1076" s="138"/>
      <c r="D1076" s="139"/>
      <c r="E1076" s="141" t="str">
        <f t="shared" si="50"/>
        <v/>
      </c>
      <c r="F1076" s="144"/>
      <c r="G1076" s="146">
        <f t="shared" si="48"/>
        <v>0</v>
      </c>
      <c r="H1076" s="141" t="str">
        <f t="shared" si="49"/>
        <v/>
      </c>
      <c r="J1076" s="148" t="str">
        <f>IFERROR(SUMIFS(当年实际!$V:$V,当年实际!$H:$H,$B1076,当年实际!$C:$C,"&gt;="&amp;DATE(YEAR(主页!$D$2),1,1),当年实际!$C:$C,"&lt;="&amp;EOMONTH(DATE(YEAR(主页!$D$2),MONTH(主页!$D$2),1),0))/SUMIFS(当年实际!$P:$P,当年实际!$H:$H,$B1076,当年实际!$C:$C,"&gt;="&amp;DATE(YEAR(主页!$D$2),1,1),当年实际!$C:$C,"&lt;="&amp;EOMONTH(DATE(YEAR(主页!$D$2),MONTH(主页!$D$2),1),0)),"")</f>
        <v/>
      </c>
    </row>
    <row r="1077" spans="1:10" x14ac:dyDescent="0.3">
      <c r="A1077" s="135"/>
      <c r="B1077" s="136"/>
      <c r="C1077" s="138"/>
      <c r="D1077" s="139"/>
      <c r="E1077" s="141" t="str">
        <f t="shared" si="50"/>
        <v/>
      </c>
      <c r="F1077" s="144"/>
      <c r="G1077" s="146">
        <f t="shared" si="48"/>
        <v>0</v>
      </c>
      <c r="H1077" s="141" t="str">
        <f t="shared" si="49"/>
        <v/>
      </c>
      <c r="J1077" s="148" t="str">
        <f>IFERROR(SUMIFS(当年实际!$V:$V,当年实际!$H:$H,$B1077,当年实际!$C:$C,"&gt;="&amp;DATE(YEAR(主页!$D$2),1,1),当年实际!$C:$C,"&lt;="&amp;EOMONTH(DATE(YEAR(主页!$D$2),MONTH(主页!$D$2),1),0))/SUMIFS(当年实际!$P:$P,当年实际!$H:$H,$B1077,当年实际!$C:$C,"&gt;="&amp;DATE(YEAR(主页!$D$2),1,1),当年实际!$C:$C,"&lt;="&amp;EOMONTH(DATE(YEAR(主页!$D$2),MONTH(主页!$D$2),1),0)),"")</f>
        <v/>
      </c>
    </row>
    <row r="1078" spans="1:10" x14ac:dyDescent="0.3">
      <c r="A1078" s="135"/>
      <c r="B1078" s="136"/>
      <c r="C1078" s="138"/>
      <c r="D1078" s="139"/>
      <c r="E1078" s="141" t="str">
        <f t="shared" si="50"/>
        <v/>
      </c>
      <c r="F1078" s="144"/>
      <c r="G1078" s="146">
        <f t="shared" si="48"/>
        <v>0</v>
      </c>
      <c r="H1078" s="141" t="str">
        <f t="shared" si="49"/>
        <v/>
      </c>
      <c r="J1078" s="148" t="str">
        <f>IFERROR(SUMIFS(当年实际!$V:$V,当年实际!$H:$H,$B1078,当年实际!$C:$C,"&gt;="&amp;DATE(YEAR(主页!$D$2),1,1),当年实际!$C:$C,"&lt;="&amp;EOMONTH(DATE(YEAR(主页!$D$2),MONTH(主页!$D$2),1),0))/SUMIFS(当年实际!$P:$P,当年实际!$H:$H,$B1078,当年实际!$C:$C,"&gt;="&amp;DATE(YEAR(主页!$D$2),1,1),当年实际!$C:$C,"&lt;="&amp;EOMONTH(DATE(YEAR(主页!$D$2),MONTH(主页!$D$2),1),0)),"")</f>
        <v/>
      </c>
    </row>
    <row r="1079" spans="1:10" x14ac:dyDescent="0.3">
      <c r="A1079" s="135"/>
      <c r="B1079" s="136"/>
      <c r="C1079" s="138"/>
      <c r="D1079" s="139"/>
      <c r="E1079" s="141" t="str">
        <f t="shared" si="50"/>
        <v/>
      </c>
      <c r="F1079" s="144"/>
      <c r="G1079" s="146">
        <f t="shared" si="48"/>
        <v>0</v>
      </c>
      <c r="H1079" s="141" t="str">
        <f t="shared" si="49"/>
        <v/>
      </c>
      <c r="J1079" s="148" t="str">
        <f>IFERROR(SUMIFS(当年实际!$V:$V,当年实际!$H:$H,$B1079,当年实际!$C:$C,"&gt;="&amp;DATE(YEAR(主页!$D$2),1,1),当年实际!$C:$C,"&lt;="&amp;EOMONTH(DATE(YEAR(主页!$D$2),MONTH(主页!$D$2),1),0))/SUMIFS(当年实际!$P:$P,当年实际!$H:$H,$B1079,当年实际!$C:$C,"&gt;="&amp;DATE(YEAR(主页!$D$2),1,1),当年实际!$C:$C,"&lt;="&amp;EOMONTH(DATE(YEAR(主页!$D$2),MONTH(主页!$D$2),1),0)),"")</f>
        <v/>
      </c>
    </row>
    <row r="1080" spans="1:10" x14ac:dyDescent="0.3">
      <c r="A1080" s="135"/>
      <c r="B1080" s="136"/>
      <c r="C1080" s="138"/>
      <c r="D1080" s="139"/>
      <c r="E1080" s="141" t="str">
        <f t="shared" si="50"/>
        <v/>
      </c>
      <c r="F1080" s="144"/>
      <c r="G1080" s="146">
        <f t="shared" si="48"/>
        <v>0</v>
      </c>
      <c r="H1080" s="141" t="str">
        <f t="shared" si="49"/>
        <v/>
      </c>
      <c r="J1080" s="148" t="str">
        <f>IFERROR(SUMIFS(当年实际!$V:$V,当年实际!$H:$H,$B1080,当年实际!$C:$C,"&gt;="&amp;DATE(YEAR(主页!$D$2),1,1),当年实际!$C:$C,"&lt;="&amp;EOMONTH(DATE(YEAR(主页!$D$2),MONTH(主页!$D$2),1),0))/SUMIFS(当年实际!$P:$P,当年实际!$H:$H,$B1080,当年实际!$C:$C,"&gt;="&amp;DATE(YEAR(主页!$D$2),1,1),当年实际!$C:$C,"&lt;="&amp;EOMONTH(DATE(YEAR(主页!$D$2),MONTH(主页!$D$2),1),0)),"")</f>
        <v/>
      </c>
    </row>
    <row r="1081" spans="1:10" x14ac:dyDescent="0.3">
      <c r="A1081" s="135"/>
      <c r="B1081" s="136"/>
      <c r="C1081" s="138"/>
      <c r="D1081" s="139"/>
      <c r="E1081" s="141" t="str">
        <f t="shared" si="50"/>
        <v/>
      </c>
      <c r="F1081" s="144"/>
      <c r="G1081" s="146">
        <f t="shared" si="48"/>
        <v>0</v>
      </c>
      <c r="H1081" s="141" t="str">
        <f t="shared" si="49"/>
        <v/>
      </c>
      <c r="J1081" s="148" t="str">
        <f>IFERROR(SUMIFS(当年实际!$V:$V,当年实际!$H:$H,$B1081,当年实际!$C:$C,"&gt;="&amp;DATE(YEAR(主页!$D$2),1,1),当年实际!$C:$C,"&lt;="&amp;EOMONTH(DATE(YEAR(主页!$D$2),MONTH(主页!$D$2),1),0))/SUMIFS(当年实际!$P:$P,当年实际!$H:$H,$B1081,当年实际!$C:$C,"&gt;="&amp;DATE(YEAR(主页!$D$2),1,1),当年实际!$C:$C,"&lt;="&amp;EOMONTH(DATE(YEAR(主页!$D$2),MONTH(主页!$D$2),1),0)),"")</f>
        <v/>
      </c>
    </row>
    <row r="1082" spans="1:10" x14ac:dyDescent="0.3">
      <c r="A1082" s="135"/>
      <c r="B1082" s="136"/>
      <c r="C1082" s="138"/>
      <c r="D1082" s="139"/>
      <c r="E1082" s="141" t="str">
        <f t="shared" si="50"/>
        <v/>
      </c>
      <c r="F1082" s="144"/>
      <c r="G1082" s="146">
        <f t="shared" si="48"/>
        <v>0</v>
      </c>
      <c r="H1082" s="141" t="str">
        <f t="shared" si="49"/>
        <v/>
      </c>
      <c r="J1082" s="148" t="str">
        <f>IFERROR(SUMIFS(当年实际!$V:$V,当年实际!$H:$H,$B1082,当年实际!$C:$C,"&gt;="&amp;DATE(YEAR(主页!$D$2),1,1),当年实际!$C:$C,"&lt;="&amp;EOMONTH(DATE(YEAR(主页!$D$2),MONTH(主页!$D$2),1),0))/SUMIFS(当年实际!$P:$P,当年实际!$H:$H,$B1082,当年实际!$C:$C,"&gt;="&amp;DATE(YEAR(主页!$D$2),1,1),当年实际!$C:$C,"&lt;="&amp;EOMONTH(DATE(YEAR(主页!$D$2),MONTH(主页!$D$2),1),0)),"")</f>
        <v/>
      </c>
    </row>
    <row r="1083" spans="1:10" x14ac:dyDescent="0.3">
      <c r="A1083" s="135"/>
      <c r="B1083" s="136"/>
      <c r="C1083" s="138"/>
      <c r="D1083" s="139"/>
      <c r="E1083" s="141" t="str">
        <f t="shared" si="50"/>
        <v/>
      </c>
      <c r="F1083" s="144"/>
      <c r="G1083" s="146">
        <f t="shared" si="48"/>
        <v>0</v>
      </c>
      <c r="H1083" s="141" t="str">
        <f t="shared" si="49"/>
        <v/>
      </c>
      <c r="J1083" s="148" t="str">
        <f>IFERROR(SUMIFS(当年实际!$V:$V,当年实际!$H:$H,$B1083,当年实际!$C:$C,"&gt;="&amp;DATE(YEAR(主页!$D$2),1,1),当年实际!$C:$C,"&lt;="&amp;EOMONTH(DATE(YEAR(主页!$D$2),MONTH(主页!$D$2),1),0))/SUMIFS(当年实际!$P:$P,当年实际!$H:$H,$B1083,当年实际!$C:$C,"&gt;="&amp;DATE(YEAR(主页!$D$2),1,1),当年实际!$C:$C,"&lt;="&amp;EOMONTH(DATE(YEAR(主页!$D$2),MONTH(主页!$D$2),1),0)),"")</f>
        <v/>
      </c>
    </row>
    <row r="1084" spans="1:10" x14ac:dyDescent="0.3">
      <c r="A1084" s="135"/>
      <c r="B1084" s="136"/>
      <c r="C1084" s="138"/>
      <c r="D1084" s="139"/>
      <c r="E1084" s="141" t="str">
        <f t="shared" si="50"/>
        <v/>
      </c>
      <c r="F1084" s="144"/>
      <c r="G1084" s="146">
        <f t="shared" si="48"/>
        <v>0</v>
      </c>
      <c r="H1084" s="141" t="str">
        <f t="shared" si="49"/>
        <v/>
      </c>
      <c r="J1084" s="148" t="str">
        <f>IFERROR(SUMIFS(当年实际!$V:$V,当年实际!$H:$H,$B1084,当年实际!$C:$C,"&gt;="&amp;DATE(YEAR(主页!$D$2),1,1),当年实际!$C:$C,"&lt;="&amp;EOMONTH(DATE(YEAR(主页!$D$2),MONTH(主页!$D$2),1),0))/SUMIFS(当年实际!$P:$P,当年实际!$H:$H,$B1084,当年实际!$C:$C,"&gt;="&amp;DATE(YEAR(主页!$D$2),1,1),当年实际!$C:$C,"&lt;="&amp;EOMONTH(DATE(YEAR(主页!$D$2),MONTH(主页!$D$2),1),0)),"")</f>
        <v/>
      </c>
    </row>
    <row r="1085" spans="1:10" x14ac:dyDescent="0.3">
      <c r="A1085" s="135"/>
      <c r="B1085" s="136"/>
      <c r="C1085" s="138"/>
      <c r="D1085" s="139"/>
      <c r="E1085" s="141" t="str">
        <f t="shared" si="50"/>
        <v/>
      </c>
      <c r="F1085" s="144"/>
      <c r="G1085" s="146">
        <f t="shared" si="48"/>
        <v>0</v>
      </c>
      <c r="H1085" s="141" t="str">
        <f t="shared" si="49"/>
        <v/>
      </c>
      <c r="J1085" s="148" t="str">
        <f>IFERROR(SUMIFS(当年实际!$V:$V,当年实际!$H:$H,$B1085,当年实际!$C:$C,"&gt;="&amp;DATE(YEAR(主页!$D$2),1,1),当年实际!$C:$C,"&lt;="&amp;EOMONTH(DATE(YEAR(主页!$D$2),MONTH(主页!$D$2),1),0))/SUMIFS(当年实际!$P:$P,当年实际!$H:$H,$B1085,当年实际!$C:$C,"&gt;="&amp;DATE(YEAR(主页!$D$2),1,1),当年实际!$C:$C,"&lt;="&amp;EOMONTH(DATE(YEAR(主页!$D$2),MONTH(主页!$D$2),1),0)),"")</f>
        <v/>
      </c>
    </row>
    <row r="1086" spans="1:10" x14ac:dyDescent="0.3">
      <c r="A1086" s="135"/>
      <c r="B1086" s="136"/>
      <c r="C1086" s="138"/>
      <c r="D1086" s="139"/>
      <c r="E1086" s="141" t="str">
        <f t="shared" si="50"/>
        <v/>
      </c>
      <c r="F1086" s="144"/>
      <c r="G1086" s="146">
        <f t="shared" si="48"/>
        <v>0</v>
      </c>
      <c r="H1086" s="141" t="str">
        <f t="shared" si="49"/>
        <v/>
      </c>
      <c r="J1086" s="148" t="str">
        <f>IFERROR(SUMIFS(当年实际!$V:$V,当年实际!$H:$H,$B1086,当年实际!$C:$C,"&gt;="&amp;DATE(YEAR(主页!$D$2),1,1),当年实际!$C:$C,"&lt;="&amp;EOMONTH(DATE(YEAR(主页!$D$2),MONTH(主页!$D$2),1),0))/SUMIFS(当年实际!$P:$P,当年实际!$H:$H,$B1086,当年实际!$C:$C,"&gt;="&amp;DATE(YEAR(主页!$D$2),1,1),当年实际!$C:$C,"&lt;="&amp;EOMONTH(DATE(YEAR(主页!$D$2),MONTH(主页!$D$2),1),0)),"")</f>
        <v/>
      </c>
    </row>
    <row r="1087" spans="1:10" x14ac:dyDescent="0.3">
      <c r="A1087" s="135"/>
      <c r="B1087" s="136"/>
      <c r="C1087" s="138"/>
      <c r="D1087" s="139"/>
      <c r="E1087" s="141" t="str">
        <f t="shared" si="50"/>
        <v/>
      </c>
      <c r="F1087" s="144"/>
      <c r="G1087" s="146">
        <f t="shared" si="48"/>
        <v>0</v>
      </c>
      <c r="H1087" s="141" t="str">
        <f t="shared" si="49"/>
        <v/>
      </c>
      <c r="J1087" s="148" t="str">
        <f>IFERROR(SUMIFS(当年实际!$V:$V,当年实际!$H:$H,$B1087,当年实际!$C:$C,"&gt;="&amp;DATE(YEAR(主页!$D$2),1,1),当年实际!$C:$C,"&lt;="&amp;EOMONTH(DATE(YEAR(主页!$D$2),MONTH(主页!$D$2),1),0))/SUMIFS(当年实际!$P:$P,当年实际!$H:$H,$B1087,当年实际!$C:$C,"&gt;="&amp;DATE(YEAR(主页!$D$2),1,1),当年实际!$C:$C,"&lt;="&amp;EOMONTH(DATE(YEAR(主页!$D$2),MONTH(主页!$D$2),1),0)),"")</f>
        <v/>
      </c>
    </row>
    <row r="1088" spans="1:10" x14ac:dyDescent="0.3">
      <c r="A1088" s="135"/>
      <c r="B1088" s="136"/>
      <c r="C1088" s="138"/>
      <c r="D1088" s="139"/>
      <c r="E1088" s="141" t="str">
        <f t="shared" si="50"/>
        <v/>
      </c>
      <c r="F1088" s="144"/>
      <c r="G1088" s="146">
        <f t="shared" si="48"/>
        <v>0</v>
      </c>
      <c r="H1088" s="141" t="str">
        <f t="shared" si="49"/>
        <v/>
      </c>
      <c r="J1088" s="148" t="str">
        <f>IFERROR(SUMIFS(当年实际!$V:$V,当年实际!$H:$H,$B1088,当年实际!$C:$C,"&gt;="&amp;DATE(YEAR(主页!$D$2),1,1),当年实际!$C:$C,"&lt;="&amp;EOMONTH(DATE(YEAR(主页!$D$2),MONTH(主页!$D$2),1),0))/SUMIFS(当年实际!$P:$P,当年实际!$H:$H,$B1088,当年实际!$C:$C,"&gt;="&amp;DATE(YEAR(主页!$D$2),1,1),当年实际!$C:$C,"&lt;="&amp;EOMONTH(DATE(YEAR(主页!$D$2),MONTH(主页!$D$2),1),0)),"")</f>
        <v/>
      </c>
    </row>
    <row r="1089" spans="1:10" x14ac:dyDescent="0.3">
      <c r="A1089" s="135"/>
      <c r="B1089" s="136"/>
      <c r="C1089" s="138"/>
      <c r="D1089" s="139"/>
      <c r="E1089" s="141" t="str">
        <f t="shared" si="50"/>
        <v/>
      </c>
      <c r="F1089" s="144"/>
      <c r="G1089" s="146">
        <f t="shared" si="48"/>
        <v>0</v>
      </c>
      <c r="H1089" s="141" t="str">
        <f t="shared" si="49"/>
        <v/>
      </c>
      <c r="J1089" s="148" t="str">
        <f>IFERROR(SUMIFS(当年实际!$V:$V,当年实际!$H:$H,$B1089,当年实际!$C:$C,"&gt;="&amp;DATE(YEAR(主页!$D$2),1,1),当年实际!$C:$C,"&lt;="&amp;EOMONTH(DATE(YEAR(主页!$D$2),MONTH(主页!$D$2),1),0))/SUMIFS(当年实际!$P:$P,当年实际!$H:$H,$B1089,当年实际!$C:$C,"&gt;="&amp;DATE(YEAR(主页!$D$2),1,1),当年实际!$C:$C,"&lt;="&amp;EOMONTH(DATE(YEAR(主页!$D$2),MONTH(主页!$D$2),1),0)),"")</f>
        <v/>
      </c>
    </row>
    <row r="1090" spans="1:10" x14ac:dyDescent="0.3">
      <c r="A1090" s="135"/>
      <c r="B1090" s="136"/>
      <c r="C1090" s="138"/>
      <c r="D1090" s="139"/>
      <c r="E1090" s="141" t="str">
        <f t="shared" si="50"/>
        <v/>
      </c>
      <c r="F1090" s="144"/>
      <c r="G1090" s="146">
        <f t="shared" si="48"/>
        <v>0</v>
      </c>
      <c r="H1090" s="141" t="str">
        <f t="shared" si="49"/>
        <v/>
      </c>
      <c r="J1090" s="148" t="str">
        <f>IFERROR(SUMIFS(当年实际!$V:$V,当年实际!$H:$H,$B1090,当年实际!$C:$C,"&gt;="&amp;DATE(YEAR(主页!$D$2),1,1),当年实际!$C:$C,"&lt;="&amp;EOMONTH(DATE(YEAR(主页!$D$2),MONTH(主页!$D$2),1),0))/SUMIFS(当年实际!$P:$P,当年实际!$H:$H,$B1090,当年实际!$C:$C,"&gt;="&amp;DATE(YEAR(主页!$D$2),1,1),当年实际!$C:$C,"&lt;="&amp;EOMONTH(DATE(YEAR(主页!$D$2),MONTH(主页!$D$2),1),0)),"")</f>
        <v/>
      </c>
    </row>
    <row r="1091" spans="1:10" x14ac:dyDescent="0.3">
      <c r="A1091" s="135"/>
      <c r="B1091" s="136"/>
      <c r="C1091" s="138"/>
      <c r="D1091" s="139"/>
      <c r="E1091" s="141" t="str">
        <f t="shared" si="50"/>
        <v/>
      </c>
      <c r="F1091" s="144"/>
      <c r="G1091" s="146">
        <f t="shared" si="48"/>
        <v>0</v>
      </c>
      <c r="H1091" s="141" t="str">
        <f t="shared" si="49"/>
        <v/>
      </c>
      <c r="J1091" s="148" t="str">
        <f>IFERROR(SUMIFS(当年实际!$V:$V,当年实际!$H:$H,$B1091,当年实际!$C:$C,"&gt;="&amp;DATE(YEAR(主页!$D$2),1,1),当年实际!$C:$C,"&lt;="&amp;EOMONTH(DATE(YEAR(主页!$D$2),MONTH(主页!$D$2),1),0))/SUMIFS(当年实际!$P:$P,当年实际!$H:$H,$B1091,当年实际!$C:$C,"&gt;="&amp;DATE(YEAR(主页!$D$2),1,1),当年实际!$C:$C,"&lt;="&amp;EOMONTH(DATE(YEAR(主页!$D$2),MONTH(主页!$D$2),1),0)),"")</f>
        <v/>
      </c>
    </row>
    <row r="1092" spans="1:10" x14ac:dyDescent="0.3">
      <c r="A1092" s="135"/>
      <c r="B1092" s="136"/>
      <c r="C1092" s="138"/>
      <c r="D1092" s="139"/>
      <c r="E1092" s="141" t="str">
        <f t="shared" si="50"/>
        <v/>
      </c>
      <c r="F1092" s="144"/>
      <c r="G1092" s="146">
        <f t="shared" si="48"/>
        <v>0</v>
      </c>
      <c r="H1092" s="141" t="str">
        <f t="shared" si="49"/>
        <v/>
      </c>
      <c r="J1092" s="148" t="str">
        <f>IFERROR(SUMIFS(当年实际!$V:$V,当年实际!$H:$H,$B1092,当年实际!$C:$C,"&gt;="&amp;DATE(YEAR(主页!$D$2),1,1),当年实际!$C:$C,"&lt;="&amp;EOMONTH(DATE(YEAR(主页!$D$2),MONTH(主页!$D$2),1),0))/SUMIFS(当年实际!$P:$P,当年实际!$H:$H,$B1092,当年实际!$C:$C,"&gt;="&amp;DATE(YEAR(主页!$D$2),1,1),当年实际!$C:$C,"&lt;="&amp;EOMONTH(DATE(YEAR(主页!$D$2),MONTH(主页!$D$2),1),0)),"")</f>
        <v/>
      </c>
    </row>
    <row r="1093" spans="1:10" x14ac:dyDescent="0.3">
      <c r="A1093" s="135"/>
      <c r="B1093" s="136"/>
      <c r="C1093" s="138"/>
      <c r="D1093" s="139"/>
      <c r="E1093" s="141" t="str">
        <f t="shared" si="50"/>
        <v/>
      </c>
      <c r="F1093" s="144"/>
      <c r="G1093" s="146">
        <f t="shared" ref="G1093:G1156" si="51">D1093*F1093</f>
        <v>0</v>
      </c>
      <c r="H1093" s="141" t="str">
        <f t="shared" si="49"/>
        <v/>
      </c>
      <c r="J1093" s="148" t="str">
        <f>IFERROR(SUMIFS(当年实际!$V:$V,当年实际!$H:$H,$B1093,当年实际!$C:$C,"&gt;="&amp;DATE(YEAR(主页!$D$2),1,1),当年实际!$C:$C,"&lt;="&amp;EOMONTH(DATE(YEAR(主页!$D$2),MONTH(主页!$D$2),1),0))/SUMIFS(当年实际!$P:$P,当年实际!$H:$H,$B1093,当年实际!$C:$C,"&gt;="&amp;DATE(YEAR(主页!$D$2),1,1),当年实际!$C:$C,"&lt;="&amp;EOMONTH(DATE(YEAR(主页!$D$2),MONTH(主页!$D$2),1),0)),"")</f>
        <v/>
      </c>
    </row>
    <row r="1094" spans="1:10" x14ac:dyDescent="0.3">
      <c r="A1094" s="135"/>
      <c r="B1094" s="136"/>
      <c r="C1094" s="138"/>
      <c r="D1094" s="139"/>
      <c r="E1094" s="141" t="str">
        <f t="shared" si="50"/>
        <v/>
      </c>
      <c r="F1094" s="144"/>
      <c r="G1094" s="146">
        <f t="shared" si="51"/>
        <v>0</v>
      </c>
      <c r="H1094" s="141" t="str">
        <f t="shared" ref="H1094:H1157" si="52">IF(G1094/SUM(G:G)=0,"",G1094/SUM(G:G))</f>
        <v/>
      </c>
      <c r="J1094" s="148" t="str">
        <f>IFERROR(SUMIFS(当年实际!$V:$V,当年实际!$H:$H,$B1094,当年实际!$C:$C,"&gt;="&amp;DATE(YEAR(主页!$D$2),1,1),当年实际!$C:$C,"&lt;="&amp;EOMONTH(DATE(YEAR(主页!$D$2),MONTH(主页!$D$2),1),0))/SUMIFS(当年实际!$P:$P,当年实际!$H:$H,$B1094,当年实际!$C:$C,"&gt;="&amp;DATE(YEAR(主页!$D$2),1,1),当年实际!$C:$C,"&lt;="&amp;EOMONTH(DATE(YEAR(主页!$D$2),MONTH(主页!$D$2),1),0)),"")</f>
        <v/>
      </c>
    </row>
    <row r="1095" spans="1:10" x14ac:dyDescent="0.3">
      <c r="A1095" s="135"/>
      <c r="B1095" s="136"/>
      <c r="C1095" s="138"/>
      <c r="D1095" s="139"/>
      <c r="E1095" s="141" t="str">
        <f t="shared" si="50"/>
        <v/>
      </c>
      <c r="F1095" s="144"/>
      <c r="G1095" s="146">
        <f t="shared" si="51"/>
        <v>0</v>
      </c>
      <c r="H1095" s="141" t="str">
        <f t="shared" si="52"/>
        <v/>
      </c>
      <c r="J1095" s="148" t="str">
        <f>IFERROR(SUMIFS(当年实际!$V:$V,当年实际!$H:$H,$B1095,当年实际!$C:$C,"&gt;="&amp;DATE(YEAR(主页!$D$2),1,1),当年实际!$C:$C,"&lt;="&amp;EOMONTH(DATE(YEAR(主页!$D$2),MONTH(主页!$D$2),1),0))/SUMIFS(当年实际!$P:$P,当年实际!$H:$H,$B1095,当年实际!$C:$C,"&gt;="&amp;DATE(YEAR(主页!$D$2),1,1),当年实际!$C:$C,"&lt;="&amp;EOMONTH(DATE(YEAR(主页!$D$2),MONTH(主页!$D$2),1),0)),"")</f>
        <v/>
      </c>
    </row>
    <row r="1096" spans="1:10" x14ac:dyDescent="0.3">
      <c r="A1096" s="135"/>
      <c r="B1096" s="136"/>
      <c r="C1096" s="138"/>
      <c r="D1096" s="139"/>
      <c r="E1096" s="141" t="str">
        <f t="shared" ref="E1096:E1159" si="53">IF(D1096/SUM(D:D)=0,"",D1096/SUM(D:D))</f>
        <v/>
      </c>
      <c r="F1096" s="144"/>
      <c r="G1096" s="146">
        <f t="shared" si="51"/>
        <v>0</v>
      </c>
      <c r="H1096" s="141" t="str">
        <f t="shared" si="52"/>
        <v/>
      </c>
      <c r="J1096" s="148" t="str">
        <f>IFERROR(SUMIFS(当年实际!$V:$V,当年实际!$H:$H,$B1096,当年实际!$C:$C,"&gt;="&amp;DATE(YEAR(主页!$D$2),1,1),当年实际!$C:$C,"&lt;="&amp;EOMONTH(DATE(YEAR(主页!$D$2),MONTH(主页!$D$2),1),0))/SUMIFS(当年实际!$P:$P,当年实际!$H:$H,$B1096,当年实际!$C:$C,"&gt;="&amp;DATE(YEAR(主页!$D$2),1,1),当年实际!$C:$C,"&lt;="&amp;EOMONTH(DATE(YEAR(主页!$D$2),MONTH(主页!$D$2),1),0)),"")</f>
        <v/>
      </c>
    </row>
    <row r="1097" spans="1:10" x14ac:dyDescent="0.3">
      <c r="A1097" s="135"/>
      <c r="B1097" s="136"/>
      <c r="C1097" s="138"/>
      <c r="D1097" s="139"/>
      <c r="E1097" s="141" t="str">
        <f t="shared" si="53"/>
        <v/>
      </c>
      <c r="F1097" s="144"/>
      <c r="G1097" s="146">
        <f t="shared" si="51"/>
        <v>0</v>
      </c>
      <c r="H1097" s="141" t="str">
        <f t="shared" si="52"/>
        <v/>
      </c>
      <c r="J1097" s="148" t="str">
        <f>IFERROR(SUMIFS(当年实际!$V:$V,当年实际!$H:$H,$B1097,当年实际!$C:$C,"&gt;="&amp;DATE(YEAR(主页!$D$2),1,1),当年实际!$C:$C,"&lt;="&amp;EOMONTH(DATE(YEAR(主页!$D$2),MONTH(主页!$D$2),1),0))/SUMIFS(当年实际!$P:$P,当年实际!$H:$H,$B1097,当年实际!$C:$C,"&gt;="&amp;DATE(YEAR(主页!$D$2),1,1),当年实际!$C:$C,"&lt;="&amp;EOMONTH(DATE(YEAR(主页!$D$2),MONTH(主页!$D$2),1),0)),"")</f>
        <v/>
      </c>
    </row>
    <row r="1098" spans="1:10" x14ac:dyDescent="0.3">
      <c r="A1098" s="135"/>
      <c r="B1098" s="136"/>
      <c r="C1098" s="138"/>
      <c r="D1098" s="139"/>
      <c r="E1098" s="141" t="str">
        <f t="shared" si="53"/>
        <v/>
      </c>
      <c r="F1098" s="144"/>
      <c r="G1098" s="146">
        <f t="shared" si="51"/>
        <v>0</v>
      </c>
      <c r="H1098" s="141" t="str">
        <f t="shared" si="52"/>
        <v/>
      </c>
      <c r="J1098" s="148" t="str">
        <f>IFERROR(SUMIFS(当年实际!$V:$V,当年实际!$H:$H,$B1098,当年实际!$C:$C,"&gt;="&amp;DATE(YEAR(主页!$D$2),1,1),当年实际!$C:$C,"&lt;="&amp;EOMONTH(DATE(YEAR(主页!$D$2),MONTH(主页!$D$2),1),0))/SUMIFS(当年实际!$P:$P,当年实际!$H:$H,$B1098,当年实际!$C:$C,"&gt;="&amp;DATE(YEAR(主页!$D$2),1,1),当年实际!$C:$C,"&lt;="&amp;EOMONTH(DATE(YEAR(主页!$D$2),MONTH(主页!$D$2),1),0)),"")</f>
        <v/>
      </c>
    </row>
    <row r="1099" spans="1:10" x14ac:dyDescent="0.3">
      <c r="A1099" s="135"/>
      <c r="B1099" s="136"/>
      <c r="C1099" s="138"/>
      <c r="D1099" s="139"/>
      <c r="E1099" s="141" t="str">
        <f t="shared" si="53"/>
        <v/>
      </c>
      <c r="F1099" s="144"/>
      <c r="G1099" s="146">
        <f t="shared" si="51"/>
        <v>0</v>
      </c>
      <c r="H1099" s="141" t="str">
        <f t="shared" si="52"/>
        <v/>
      </c>
      <c r="J1099" s="148" t="str">
        <f>IFERROR(SUMIFS(当年实际!$V:$V,当年实际!$H:$H,$B1099,当年实际!$C:$C,"&gt;="&amp;DATE(YEAR(主页!$D$2),1,1),当年实际!$C:$C,"&lt;="&amp;EOMONTH(DATE(YEAR(主页!$D$2),MONTH(主页!$D$2),1),0))/SUMIFS(当年实际!$P:$P,当年实际!$H:$H,$B1099,当年实际!$C:$C,"&gt;="&amp;DATE(YEAR(主页!$D$2),1,1),当年实际!$C:$C,"&lt;="&amp;EOMONTH(DATE(YEAR(主页!$D$2),MONTH(主页!$D$2),1),0)),"")</f>
        <v/>
      </c>
    </row>
    <row r="1100" spans="1:10" x14ac:dyDescent="0.3">
      <c r="A1100" s="135"/>
      <c r="B1100" s="136"/>
      <c r="C1100" s="138"/>
      <c r="D1100" s="139"/>
      <c r="E1100" s="141" t="str">
        <f t="shared" si="53"/>
        <v/>
      </c>
      <c r="F1100" s="144"/>
      <c r="G1100" s="146">
        <f t="shared" si="51"/>
        <v>0</v>
      </c>
      <c r="H1100" s="141" t="str">
        <f t="shared" si="52"/>
        <v/>
      </c>
      <c r="J1100" s="148" t="str">
        <f>IFERROR(SUMIFS(当年实际!$V:$V,当年实际!$H:$H,$B1100,当年实际!$C:$C,"&gt;="&amp;DATE(YEAR(主页!$D$2),1,1),当年实际!$C:$C,"&lt;="&amp;EOMONTH(DATE(YEAR(主页!$D$2),MONTH(主页!$D$2),1),0))/SUMIFS(当年实际!$P:$P,当年实际!$H:$H,$B1100,当年实际!$C:$C,"&gt;="&amp;DATE(YEAR(主页!$D$2),1,1),当年实际!$C:$C,"&lt;="&amp;EOMONTH(DATE(YEAR(主页!$D$2),MONTH(主页!$D$2),1),0)),"")</f>
        <v/>
      </c>
    </row>
    <row r="1101" spans="1:10" x14ac:dyDescent="0.3">
      <c r="A1101" s="135"/>
      <c r="B1101" s="136"/>
      <c r="C1101" s="138"/>
      <c r="D1101" s="139"/>
      <c r="E1101" s="141" t="str">
        <f t="shared" si="53"/>
        <v/>
      </c>
      <c r="F1101" s="144"/>
      <c r="G1101" s="146">
        <f t="shared" si="51"/>
        <v>0</v>
      </c>
      <c r="H1101" s="141" t="str">
        <f t="shared" si="52"/>
        <v/>
      </c>
      <c r="J1101" s="148" t="str">
        <f>IFERROR(SUMIFS(当年实际!$V:$V,当年实际!$H:$H,$B1101,当年实际!$C:$C,"&gt;="&amp;DATE(YEAR(主页!$D$2),1,1),当年实际!$C:$C,"&lt;="&amp;EOMONTH(DATE(YEAR(主页!$D$2),MONTH(主页!$D$2),1),0))/SUMIFS(当年实际!$P:$P,当年实际!$H:$H,$B1101,当年实际!$C:$C,"&gt;="&amp;DATE(YEAR(主页!$D$2),1,1),当年实际!$C:$C,"&lt;="&amp;EOMONTH(DATE(YEAR(主页!$D$2),MONTH(主页!$D$2),1),0)),"")</f>
        <v/>
      </c>
    </row>
    <row r="1102" spans="1:10" x14ac:dyDescent="0.3">
      <c r="A1102" s="135"/>
      <c r="B1102" s="136"/>
      <c r="C1102" s="138"/>
      <c r="D1102" s="139"/>
      <c r="E1102" s="141" t="str">
        <f t="shared" si="53"/>
        <v/>
      </c>
      <c r="F1102" s="144"/>
      <c r="G1102" s="146">
        <f t="shared" si="51"/>
        <v>0</v>
      </c>
      <c r="H1102" s="141" t="str">
        <f t="shared" si="52"/>
        <v/>
      </c>
      <c r="J1102" s="148" t="str">
        <f>IFERROR(SUMIFS(当年实际!$V:$V,当年实际!$H:$H,$B1102,当年实际!$C:$C,"&gt;="&amp;DATE(YEAR(主页!$D$2),1,1),当年实际!$C:$C,"&lt;="&amp;EOMONTH(DATE(YEAR(主页!$D$2),MONTH(主页!$D$2),1),0))/SUMIFS(当年实际!$P:$P,当年实际!$H:$H,$B1102,当年实际!$C:$C,"&gt;="&amp;DATE(YEAR(主页!$D$2),1,1),当年实际!$C:$C,"&lt;="&amp;EOMONTH(DATE(YEAR(主页!$D$2),MONTH(主页!$D$2),1),0)),"")</f>
        <v/>
      </c>
    </row>
    <row r="1103" spans="1:10" x14ac:dyDescent="0.3">
      <c r="A1103" s="135"/>
      <c r="B1103" s="136"/>
      <c r="C1103" s="138"/>
      <c r="D1103" s="139"/>
      <c r="E1103" s="141" t="str">
        <f t="shared" si="53"/>
        <v/>
      </c>
      <c r="F1103" s="144"/>
      <c r="G1103" s="146">
        <f t="shared" si="51"/>
        <v>0</v>
      </c>
      <c r="H1103" s="141" t="str">
        <f t="shared" si="52"/>
        <v/>
      </c>
      <c r="J1103" s="148" t="str">
        <f>IFERROR(SUMIFS(当年实际!$V:$V,当年实际!$H:$H,$B1103,当年实际!$C:$C,"&gt;="&amp;DATE(YEAR(主页!$D$2),1,1),当年实际!$C:$C,"&lt;="&amp;EOMONTH(DATE(YEAR(主页!$D$2),MONTH(主页!$D$2),1),0))/SUMIFS(当年实际!$P:$P,当年实际!$H:$H,$B1103,当年实际!$C:$C,"&gt;="&amp;DATE(YEAR(主页!$D$2),1,1),当年实际!$C:$C,"&lt;="&amp;EOMONTH(DATE(YEAR(主页!$D$2),MONTH(主页!$D$2),1),0)),"")</f>
        <v/>
      </c>
    </row>
    <row r="1104" spans="1:10" x14ac:dyDescent="0.3">
      <c r="A1104" s="135"/>
      <c r="B1104" s="136"/>
      <c r="C1104" s="138"/>
      <c r="D1104" s="139"/>
      <c r="E1104" s="141" t="str">
        <f t="shared" si="53"/>
        <v/>
      </c>
      <c r="F1104" s="144"/>
      <c r="G1104" s="146">
        <f t="shared" si="51"/>
        <v>0</v>
      </c>
      <c r="H1104" s="141" t="str">
        <f t="shared" si="52"/>
        <v/>
      </c>
      <c r="J1104" s="148" t="str">
        <f>IFERROR(SUMIFS(当年实际!$V:$V,当年实际!$H:$H,$B1104,当年实际!$C:$C,"&gt;="&amp;DATE(YEAR(主页!$D$2),1,1),当年实际!$C:$C,"&lt;="&amp;EOMONTH(DATE(YEAR(主页!$D$2),MONTH(主页!$D$2),1),0))/SUMIFS(当年实际!$P:$P,当年实际!$H:$H,$B1104,当年实际!$C:$C,"&gt;="&amp;DATE(YEAR(主页!$D$2),1,1),当年实际!$C:$C,"&lt;="&amp;EOMONTH(DATE(YEAR(主页!$D$2),MONTH(主页!$D$2),1),0)),"")</f>
        <v/>
      </c>
    </row>
    <row r="1105" spans="1:10" x14ac:dyDescent="0.3">
      <c r="A1105" s="135"/>
      <c r="B1105" s="136"/>
      <c r="C1105" s="138"/>
      <c r="D1105" s="139"/>
      <c r="E1105" s="141" t="str">
        <f t="shared" si="53"/>
        <v/>
      </c>
      <c r="F1105" s="144"/>
      <c r="G1105" s="146">
        <f t="shared" si="51"/>
        <v>0</v>
      </c>
      <c r="H1105" s="141" t="str">
        <f t="shared" si="52"/>
        <v/>
      </c>
      <c r="J1105" s="148" t="str">
        <f>IFERROR(SUMIFS(当年实际!$V:$V,当年实际!$H:$H,$B1105,当年实际!$C:$C,"&gt;="&amp;DATE(YEAR(主页!$D$2),1,1),当年实际!$C:$C,"&lt;="&amp;EOMONTH(DATE(YEAR(主页!$D$2),MONTH(主页!$D$2),1),0))/SUMIFS(当年实际!$P:$P,当年实际!$H:$H,$B1105,当年实际!$C:$C,"&gt;="&amp;DATE(YEAR(主页!$D$2),1,1),当年实际!$C:$C,"&lt;="&amp;EOMONTH(DATE(YEAR(主页!$D$2),MONTH(主页!$D$2),1),0)),"")</f>
        <v/>
      </c>
    </row>
    <row r="1106" spans="1:10" x14ac:dyDescent="0.3">
      <c r="A1106" s="135"/>
      <c r="B1106" s="136"/>
      <c r="C1106" s="138"/>
      <c r="D1106" s="139"/>
      <c r="E1106" s="141" t="str">
        <f t="shared" si="53"/>
        <v/>
      </c>
      <c r="F1106" s="144"/>
      <c r="G1106" s="146">
        <f t="shared" si="51"/>
        <v>0</v>
      </c>
      <c r="H1106" s="141" t="str">
        <f t="shared" si="52"/>
        <v/>
      </c>
      <c r="J1106" s="148" t="str">
        <f>IFERROR(SUMIFS(当年实际!$V:$V,当年实际!$H:$H,$B1106,当年实际!$C:$C,"&gt;="&amp;DATE(YEAR(主页!$D$2),1,1),当年实际!$C:$C,"&lt;="&amp;EOMONTH(DATE(YEAR(主页!$D$2),MONTH(主页!$D$2),1),0))/SUMIFS(当年实际!$P:$P,当年实际!$H:$H,$B1106,当年实际!$C:$C,"&gt;="&amp;DATE(YEAR(主页!$D$2),1,1),当年实际!$C:$C,"&lt;="&amp;EOMONTH(DATE(YEAR(主页!$D$2),MONTH(主页!$D$2),1),0)),"")</f>
        <v/>
      </c>
    </row>
    <row r="1107" spans="1:10" x14ac:dyDescent="0.3">
      <c r="A1107" s="135"/>
      <c r="B1107" s="136"/>
      <c r="C1107" s="138"/>
      <c r="D1107" s="139"/>
      <c r="E1107" s="141" t="str">
        <f t="shared" si="53"/>
        <v/>
      </c>
      <c r="F1107" s="144"/>
      <c r="G1107" s="146">
        <f t="shared" si="51"/>
        <v>0</v>
      </c>
      <c r="H1107" s="141" t="str">
        <f t="shared" si="52"/>
        <v/>
      </c>
      <c r="J1107" s="148" t="str">
        <f>IFERROR(SUMIFS(当年实际!$V:$V,当年实际!$H:$H,$B1107,当年实际!$C:$C,"&gt;="&amp;DATE(YEAR(主页!$D$2),1,1),当年实际!$C:$C,"&lt;="&amp;EOMONTH(DATE(YEAR(主页!$D$2),MONTH(主页!$D$2),1),0))/SUMIFS(当年实际!$P:$P,当年实际!$H:$H,$B1107,当年实际!$C:$C,"&gt;="&amp;DATE(YEAR(主页!$D$2),1,1),当年实际!$C:$C,"&lt;="&amp;EOMONTH(DATE(YEAR(主页!$D$2),MONTH(主页!$D$2),1),0)),"")</f>
        <v/>
      </c>
    </row>
    <row r="1108" spans="1:10" x14ac:dyDescent="0.3">
      <c r="A1108" s="135"/>
      <c r="B1108" s="136"/>
      <c r="C1108" s="138"/>
      <c r="D1108" s="139"/>
      <c r="E1108" s="141" t="str">
        <f t="shared" si="53"/>
        <v/>
      </c>
      <c r="F1108" s="144"/>
      <c r="G1108" s="146">
        <f t="shared" si="51"/>
        <v>0</v>
      </c>
      <c r="H1108" s="141" t="str">
        <f t="shared" si="52"/>
        <v/>
      </c>
      <c r="J1108" s="148" t="str">
        <f>IFERROR(SUMIFS(当年实际!$V:$V,当年实际!$H:$H,$B1108,当年实际!$C:$C,"&gt;="&amp;DATE(YEAR(主页!$D$2),1,1),当年实际!$C:$C,"&lt;="&amp;EOMONTH(DATE(YEAR(主页!$D$2),MONTH(主页!$D$2),1),0))/SUMIFS(当年实际!$P:$P,当年实际!$H:$H,$B1108,当年实际!$C:$C,"&gt;="&amp;DATE(YEAR(主页!$D$2),1,1),当年实际!$C:$C,"&lt;="&amp;EOMONTH(DATE(YEAR(主页!$D$2),MONTH(主页!$D$2),1),0)),"")</f>
        <v/>
      </c>
    </row>
    <row r="1109" spans="1:10" x14ac:dyDescent="0.3">
      <c r="A1109" s="135"/>
      <c r="B1109" s="136"/>
      <c r="C1109" s="138"/>
      <c r="D1109" s="139"/>
      <c r="E1109" s="141" t="str">
        <f t="shared" si="53"/>
        <v/>
      </c>
      <c r="F1109" s="144"/>
      <c r="G1109" s="146">
        <f t="shared" si="51"/>
        <v>0</v>
      </c>
      <c r="H1109" s="141" t="str">
        <f t="shared" si="52"/>
        <v/>
      </c>
      <c r="J1109" s="148" t="str">
        <f>IFERROR(SUMIFS(当年实际!$V:$V,当年实际!$H:$H,$B1109,当年实际!$C:$C,"&gt;="&amp;DATE(YEAR(主页!$D$2),1,1),当年实际!$C:$C,"&lt;="&amp;EOMONTH(DATE(YEAR(主页!$D$2),MONTH(主页!$D$2),1),0))/SUMIFS(当年实际!$P:$P,当年实际!$H:$H,$B1109,当年实际!$C:$C,"&gt;="&amp;DATE(YEAR(主页!$D$2),1,1),当年实际!$C:$C,"&lt;="&amp;EOMONTH(DATE(YEAR(主页!$D$2),MONTH(主页!$D$2),1),0)),"")</f>
        <v/>
      </c>
    </row>
    <row r="1110" spans="1:10" x14ac:dyDescent="0.3">
      <c r="A1110" s="135"/>
      <c r="B1110" s="136"/>
      <c r="C1110" s="138"/>
      <c r="D1110" s="139"/>
      <c r="E1110" s="141" t="str">
        <f t="shared" si="53"/>
        <v/>
      </c>
      <c r="F1110" s="144"/>
      <c r="G1110" s="146">
        <f t="shared" si="51"/>
        <v>0</v>
      </c>
      <c r="H1110" s="141" t="str">
        <f t="shared" si="52"/>
        <v/>
      </c>
      <c r="J1110" s="148" t="str">
        <f>IFERROR(SUMIFS(当年实际!$V:$V,当年实际!$H:$H,$B1110,当年实际!$C:$C,"&gt;="&amp;DATE(YEAR(主页!$D$2),1,1),当年实际!$C:$C,"&lt;="&amp;EOMONTH(DATE(YEAR(主页!$D$2),MONTH(主页!$D$2),1),0))/SUMIFS(当年实际!$P:$P,当年实际!$H:$H,$B1110,当年实际!$C:$C,"&gt;="&amp;DATE(YEAR(主页!$D$2),1,1),当年实际!$C:$C,"&lt;="&amp;EOMONTH(DATE(YEAR(主页!$D$2),MONTH(主页!$D$2),1),0)),"")</f>
        <v/>
      </c>
    </row>
    <row r="1111" spans="1:10" x14ac:dyDescent="0.3">
      <c r="A1111" s="135"/>
      <c r="B1111" s="136"/>
      <c r="C1111" s="138"/>
      <c r="D1111" s="139"/>
      <c r="E1111" s="141" t="str">
        <f t="shared" si="53"/>
        <v/>
      </c>
      <c r="F1111" s="144"/>
      <c r="G1111" s="146">
        <f t="shared" si="51"/>
        <v>0</v>
      </c>
      <c r="H1111" s="141" t="str">
        <f t="shared" si="52"/>
        <v/>
      </c>
      <c r="J1111" s="148" t="str">
        <f>IFERROR(SUMIFS(当年实际!$V:$V,当年实际!$H:$H,$B1111,当年实际!$C:$C,"&gt;="&amp;DATE(YEAR(主页!$D$2),1,1),当年实际!$C:$C,"&lt;="&amp;EOMONTH(DATE(YEAR(主页!$D$2),MONTH(主页!$D$2),1),0))/SUMIFS(当年实际!$P:$P,当年实际!$H:$H,$B1111,当年实际!$C:$C,"&gt;="&amp;DATE(YEAR(主页!$D$2),1,1),当年实际!$C:$C,"&lt;="&amp;EOMONTH(DATE(YEAR(主页!$D$2),MONTH(主页!$D$2),1),0)),"")</f>
        <v/>
      </c>
    </row>
    <row r="1112" spans="1:10" x14ac:dyDescent="0.3">
      <c r="A1112" s="135"/>
      <c r="B1112" s="136"/>
      <c r="C1112" s="138"/>
      <c r="D1112" s="139"/>
      <c r="E1112" s="141" t="str">
        <f t="shared" si="53"/>
        <v/>
      </c>
      <c r="F1112" s="144"/>
      <c r="G1112" s="146">
        <f t="shared" si="51"/>
        <v>0</v>
      </c>
      <c r="H1112" s="141" t="str">
        <f t="shared" si="52"/>
        <v/>
      </c>
      <c r="J1112" s="148" t="str">
        <f>IFERROR(SUMIFS(当年实际!$V:$V,当年实际!$H:$H,$B1112,当年实际!$C:$C,"&gt;="&amp;DATE(YEAR(主页!$D$2),1,1),当年实际!$C:$C,"&lt;="&amp;EOMONTH(DATE(YEAR(主页!$D$2),MONTH(主页!$D$2),1),0))/SUMIFS(当年实际!$P:$P,当年实际!$H:$H,$B1112,当年实际!$C:$C,"&gt;="&amp;DATE(YEAR(主页!$D$2),1,1),当年实际!$C:$C,"&lt;="&amp;EOMONTH(DATE(YEAR(主页!$D$2),MONTH(主页!$D$2),1),0)),"")</f>
        <v/>
      </c>
    </row>
    <row r="1113" spans="1:10" x14ac:dyDescent="0.3">
      <c r="A1113" s="135"/>
      <c r="B1113" s="136"/>
      <c r="C1113" s="138"/>
      <c r="D1113" s="139"/>
      <c r="E1113" s="141" t="str">
        <f t="shared" si="53"/>
        <v/>
      </c>
      <c r="F1113" s="144"/>
      <c r="G1113" s="146">
        <f t="shared" si="51"/>
        <v>0</v>
      </c>
      <c r="H1113" s="141" t="str">
        <f t="shared" si="52"/>
        <v/>
      </c>
      <c r="J1113" s="148" t="str">
        <f>IFERROR(SUMIFS(当年实际!$V:$V,当年实际!$H:$H,$B1113,当年实际!$C:$C,"&gt;="&amp;DATE(YEAR(主页!$D$2),1,1),当年实际!$C:$C,"&lt;="&amp;EOMONTH(DATE(YEAR(主页!$D$2),MONTH(主页!$D$2),1),0))/SUMIFS(当年实际!$P:$P,当年实际!$H:$H,$B1113,当年实际!$C:$C,"&gt;="&amp;DATE(YEAR(主页!$D$2),1,1),当年实际!$C:$C,"&lt;="&amp;EOMONTH(DATE(YEAR(主页!$D$2),MONTH(主页!$D$2),1),0)),"")</f>
        <v/>
      </c>
    </row>
    <row r="1114" spans="1:10" x14ac:dyDescent="0.3">
      <c r="A1114" s="135"/>
      <c r="B1114" s="136"/>
      <c r="C1114" s="138"/>
      <c r="D1114" s="139"/>
      <c r="E1114" s="141" t="str">
        <f t="shared" si="53"/>
        <v/>
      </c>
      <c r="F1114" s="144"/>
      <c r="G1114" s="146">
        <f t="shared" si="51"/>
        <v>0</v>
      </c>
      <c r="H1114" s="141" t="str">
        <f t="shared" si="52"/>
        <v/>
      </c>
      <c r="J1114" s="148" t="str">
        <f>IFERROR(SUMIFS(当年实际!$V:$V,当年实际!$H:$H,$B1114,当年实际!$C:$C,"&gt;="&amp;DATE(YEAR(主页!$D$2),1,1),当年实际!$C:$C,"&lt;="&amp;EOMONTH(DATE(YEAR(主页!$D$2),MONTH(主页!$D$2),1),0))/SUMIFS(当年实际!$P:$P,当年实际!$H:$H,$B1114,当年实际!$C:$C,"&gt;="&amp;DATE(YEAR(主页!$D$2),1,1),当年实际!$C:$C,"&lt;="&amp;EOMONTH(DATE(YEAR(主页!$D$2),MONTH(主页!$D$2),1),0)),"")</f>
        <v/>
      </c>
    </row>
    <row r="1115" spans="1:10" x14ac:dyDescent="0.3">
      <c r="A1115" s="135"/>
      <c r="B1115" s="136"/>
      <c r="C1115" s="138"/>
      <c r="D1115" s="139"/>
      <c r="E1115" s="141" t="str">
        <f t="shared" si="53"/>
        <v/>
      </c>
      <c r="F1115" s="144"/>
      <c r="G1115" s="146">
        <f t="shared" si="51"/>
        <v>0</v>
      </c>
      <c r="H1115" s="141" t="str">
        <f t="shared" si="52"/>
        <v/>
      </c>
      <c r="J1115" s="148" t="str">
        <f>IFERROR(SUMIFS(当年实际!$V:$V,当年实际!$H:$H,$B1115,当年实际!$C:$C,"&gt;="&amp;DATE(YEAR(主页!$D$2),1,1),当年实际!$C:$C,"&lt;="&amp;EOMONTH(DATE(YEAR(主页!$D$2),MONTH(主页!$D$2),1),0))/SUMIFS(当年实际!$P:$P,当年实际!$H:$H,$B1115,当年实际!$C:$C,"&gt;="&amp;DATE(YEAR(主页!$D$2),1,1),当年实际!$C:$C,"&lt;="&amp;EOMONTH(DATE(YEAR(主页!$D$2),MONTH(主页!$D$2),1),0)),"")</f>
        <v/>
      </c>
    </row>
    <row r="1116" spans="1:10" x14ac:dyDescent="0.3">
      <c r="A1116" s="135"/>
      <c r="B1116" s="136"/>
      <c r="C1116" s="138"/>
      <c r="D1116" s="139"/>
      <c r="E1116" s="141" t="str">
        <f t="shared" si="53"/>
        <v/>
      </c>
      <c r="F1116" s="144"/>
      <c r="G1116" s="146">
        <f t="shared" si="51"/>
        <v>0</v>
      </c>
      <c r="H1116" s="141" t="str">
        <f t="shared" si="52"/>
        <v/>
      </c>
      <c r="J1116" s="148" t="str">
        <f>IFERROR(SUMIFS(当年实际!$V:$V,当年实际!$H:$H,$B1116,当年实际!$C:$C,"&gt;="&amp;DATE(YEAR(主页!$D$2),1,1),当年实际!$C:$C,"&lt;="&amp;EOMONTH(DATE(YEAR(主页!$D$2),MONTH(主页!$D$2),1),0))/SUMIFS(当年实际!$P:$P,当年实际!$H:$H,$B1116,当年实际!$C:$C,"&gt;="&amp;DATE(YEAR(主页!$D$2),1,1),当年实际!$C:$C,"&lt;="&amp;EOMONTH(DATE(YEAR(主页!$D$2),MONTH(主页!$D$2),1),0)),"")</f>
        <v/>
      </c>
    </row>
    <row r="1117" spans="1:10" x14ac:dyDescent="0.3">
      <c r="A1117" s="135"/>
      <c r="B1117" s="136"/>
      <c r="C1117" s="138"/>
      <c r="D1117" s="139"/>
      <c r="E1117" s="141" t="str">
        <f t="shared" si="53"/>
        <v/>
      </c>
      <c r="F1117" s="144"/>
      <c r="G1117" s="146">
        <f t="shared" si="51"/>
        <v>0</v>
      </c>
      <c r="H1117" s="141" t="str">
        <f t="shared" si="52"/>
        <v/>
      </c>
      <c r="J1117" s="148" t="str">
        <f>IFERROR(SUMIFS(当年实际!$V:$V,当年实际!$H:$H,$B1117,当年实际!$C:$C,"&gt;="&amp;DATE(YEAR(主页!$D$2),1,1),当年实际!$C:$C,"&lt;="&amp;EOMONTH(DATE(YEAR(主页!$D$2),MONTH(主页!$D$2),1),0))/SUMIFS(当年实际!$P:$P,当年实际!$H:$H,$B1117,当年实际!$C:$C,"&gt;="&amp;DATE(YEAR(主页!$D$2),1,1),当年实际!$C:$C,"&lt;="&amp;EOMONTH(DATE(YEAR(主页!$D$2),MONTH(主页!$D$2),1),0)),"")</f>
        <v/>
      </c>
    </row>
    <row r="1118" spans="1:10" x14ac:dyDescent="0.3">
      <c r="A1118" s="135"/>
      <c r="B1118" s="136"/>
      <c r="C1118" s="138"/>
      <c r="D1118" s="139"/>
      <c r="E1118" s="141" t="str">
        <f t="shared" si="53"/>
        <v/>
      </c>
      <c r="F1118" s="144"/>
      <c r="G1118" s="146">
        <f t="shared" si="51"/>
        <v>0</v>
      </c>
      <c r="H1118" s="141" t="str">
        <f t="shared" si="52"/>
        <v/>
      </c>
      <c r="J1118" s="148" t="str">
        <f>IFERROR(SUMIFS(当年实际!$V:$V,当年实际!$H:$H,$B1118,当年实际!$C:$C,"&gt;="&amp;DATE(YEAR(主页!$D$2),1,1),当年实际!$C:$C,"&lt;="&amp;EOMONTH(DATE(YEAR(主页!$D$2),MONTH(主页!$D$2),1),0))/SUMIFS(当年实际!$P:$P,当年实际!$H:$H,$B1118,当年实际!$C:$C,"&gt;="&amp;DATE(YEAR(主页!$D$2),1,1),当年实际!$C:$C,"&lt;="&amp;EOMONTH(DATE(YEAR(主页!$D$2),MONTH(主页!$D$2),1),0)),"")</f>
        <v/>
      </c>
    </row>
    <row r="1119" spans="1:10" x14ac:dyDescent="0.3">
      <c r="A1119" s="135"/>
      <c r="B1119" s="136"/>
      <c r="C1119" s="138"/>
      <c r="D1119" s="139"/>
      <c r="E1119" s="141" t="str">
        <f t="shared" si="53"/>
        <v/>
      </c>
      <c r="F1119" s="144"/>
      <c r="G1119" s="146">
        <f t="shared" si="51"/>
        <v>0</v>
      </c>
      <c r="H1119" s="141" t="str">
        <f t="shared" si="52"/>
        <v/>
      </c>
      <c r="J1119" s="148" t="str">
        <f>IFERROR(SUMIFS(当年实际!$V:$V,当年实际!$H:$H,$B1119,当年实际!$C:$C,"&gt;="&amp;DATE(YEAR(主页!$D$2),1,1),当年实际!$C:$C,"&lt;="&amp;EOMONTH(DATE(YEAR(主页!$D$2),MONTH(主页!$D$2),1),0))/SUMIFS(当年实际!$P:$P,当年实际!$H:$H,$B1119,当年实际!$C:$C,"&gt;="&amp;DATE(YEAR(主页!$D$2),1,1),当年实际!$C:$C,"&lt;="&amp;EOMONTH(DATE(YEAR(主页!$D$2),MONTH(主页!$D$2),1),0)),"")</f>
        <v/>
      </c>
    </row>
    <row r="1120" spans="1:10" x14ac:dyDescent="0.3">
      <c r="A1120" s="135"/>
      <c r="B1120" s="136"/>
      <c r="C1120" s="138"/>
      <c r="D1120" s="139"/>
      <c r="E1120" s="141" t="str">
        <f t="shared" si="53"/>
        <v/>
      </c>
      <c r="F1120" s="144"/>
      <c r="G1120" s="146">
        <f t="shared" si="51"/>
        <v>0</v>
      </c>
      <c r="H1120" s="141" t="str">
        <f t="shared" si="52"/>
        <v/>
      </c>
      <c r="J1120" s="148" t="str">
        <f>IFERROR(SUMIFS(当年实际!$V:$V,当年实际!$H:$H,$B1120,当年实际!$C:$C,"&gt;="&amp;DATE(YEAR(主页!$D$2),1,1),当年实际!$C:$C,"&lt;="&amp;EOMONTH(DATE(YEAR(主页!$D$2),MONTH(主页!$D$2),1),0))/SUMIFS(当年实际!$P:$P,当年实际!$H:$H,$B1120,当年实际!$C:$C,"&gt;="&amp;DATE(YEAR(主页!$D$2),1,1),当年实际!$C:$C,"&lt;="&amp;EOMONTH(DATE(YEAR(主页!$D$2),MONTH(主页!$D$2),1),0)),"")</f>
        <v/>
      </c>
    </row>
    <row r="1121" spans="1:10" x14ac:dyDescent="0.3">
      <c r="A1121" s="135"/>
      <c r="B1121" s="136"/>
      <c r="C1121" s="138"/>
      <c r="D1121" s="139"/>
      <c r="E1121" s="141" t="str">
        <f t="shared" si="53"/>
        <v/>
      </c>
      <c r="F1121" s="144"/>
      <c r="G1121" s="146">
        <f t="shared" si="51"/>
        <v>0</v>
      </c>
      <c r="H1121" s="141" t="str">
        <f t="shared" si="52"/>
        <v/>
      </c>
      <c r="J1121" s="148" t="str">
        <f>IFERROR(SUMIFS(当年实际!$V:$V,当年实际!$H:$H,$B1121,当年实际!$C:$C,"&gt;="&amp;DATE(YEAR(主页!$D$2),1,1),当年实际!$C:$C,"&lt;="&amp;EOMONTH(DATE(YEAR(主页!$D$2),MONTH(主页!$D$2),1),0))/SUMIFS(当年实际!$P:$P,当年实际!$H:$H,$B1121,当年实际!$C:$C,"&gt;="&amp;DATE(YEAR(主页!$D$2),1,1),当年实际!$C:$C,"&lt;="&amp;EOMONTH(DATE(YEAR(主页!$D$2),MONTH(主页!$D$2),1),0)),"")</f>
        <v/>
      </c>
    </row>
    <row r="1122" spans="1:10" x14ac:dyDescent="0.3">
      <c r="A1122" s="135"/>
      <c r="B1122" s="136"/>
      <c r="C1122" s="138"/>
      <c r="D1122" s="139"/>
      <c r="E1122" s="141" t="str">
        <f t="shared" si="53"/>
        <v/>
      </c>
      <c r="F1122" s="144"/>
      <c r="G1122" s="146">
        <f t="shared" si="51"/>
        <v>0</v>
      </c>
      <c r="H1122" s="141" t="str">
        <f t="shared" si="52"/>
        <v/>
      </c>
      <c r="J1122" s="148" t="str">
        <f>IFERROR(SUMIFS(当年实际!$V:$V,当年实际!$H:$H,$B1122,当年实际!$C:$C,"&gt;="&amp;DATE(YEAR(主页!$D$2),1,1),当年实际!$C:$C,"&lt;="&amp;EOMONTH(DATE(YEAR(主页!$D$2),MONTH(主页!$D$2),1),0))/SUMIFS(当年实际!$P:$P,当年实际!$H:$H,$B1122,当年实际!$C:$C,"&gt;="&amp;DATE(YEAR(主页!$D$2),1,1),当年实际!$C:$C,"&lt;="&amp;EOMONTH(DATE(YEAR(主页!$D$2),MONTH(主页!$D$2),1),0)),"")</f>
        <v/>
      </c>
    </row>
    <row r="1123" spans="1:10" x14ac:dyDescent="0.3">
      <c r="A1123" s="135"/>
      <c r="B1123" s="136"/>
      <c r="C1123" s="138"/>
      <c r="D1123" s="139"/>
      <c r="E1123" s="141" t="str">
        <f t="shared" si="53"/>
        <v/>
      </c>
      <c r="F1123" s="144"/>
      <c r="G1123" s="146">
        <f t="shared" si="51"/>
        <v>0</v>
      </c>
      <c r="H1123" s="141" t="str">
        <f t="shared" si="52"/>
        <v/>
      </c>
      <c r="J1123" s="148" t="str">
        <f>IFERROR(SUMIFS(当年实际!$V:$V,当年实际!$H:$H,$B1123,当年实际!$C:$C,"&gt;="&amp;DATE(YEAR(主页!$D$2),1,1),当年实际!$C:$C,"&lt;="&amp;EOMONTH(DATE(YEAR(主页!$D$2),MONTH(主页!$D$2),1),0))/SUMIFS(当年实际!$P:$P,当年实际!$H:$H,$B1123,当年实际!$C:$C,"&gt;="&amp;DATE(YEAR(主页!$D$2),1,1),当年实际!$C:$C,"&lt;="&amp;EOMONTH(DATE(YEAR(主页!$D$2),MONTH(主页!$D$2),1),0)),"")</f>
        <v/>
      </c>
    </row>
    <row r="1124" spans="1:10" x14ac:dyDescent="0.3">
      <c r="A1124" s="135"/>
      <c r="B1124" s="136"/>
      <c r="C1124" s="138"/>
      <c r="D1124" s="139"/>
      <c r="E1124" s="141" t="str">
        <f t="shared" si="53"/>
        <v/>
      </c>
      <c r="F1124" s="144"/>
      <c r="G1124" s="146">
        <f t="shared" si="51"/>
        <v>0</v>
      </c>
      <c r="H1124" s="141" t="str">
        <f t="shared" si="52"/>
        <v/>
      </c>
      <c r="J1124" s="148" t="str">
        <f>IFERROR(SUMIFS(当年实际!$V:$V,当年实际!$H:$H,$B1124,当年实际!$C:$C,"&gt;="&amp;DATE(YEAR(主页!$D$2),1,1),当年实际!$C:$C,"&lt;="&amp;EOMONTH(DATE(YEAR(主页!$D$2),MONTH(主页!$D$2),1),0))/SUMIFS(当年实际!$P:$P,当年实际!$H:$H,$B1124,当年实际!$C:$C,"&gt;="&amp;DATE(YEAR(主页!$D$2),1,1),当年实际!$C:$C,"&lt;="&amp;EOMONTH(DATE(YEAR(主页!$D$2),MONTH(主页!$D$2),1),0)),"")</f>
        <v/>
      </c>
    </row>
    <row r="1125" spans="1:10" x14ac:dyDescent="0.3">
      <c r="A1125" s="135"/>
      <c r="B1125" s="136"/>
      <c r="C1125" s="138"/>
      <c r="D1125" s="139"/>
      <c r="E1125" s="141" t="str">
        <f t="shared" si="53"/>
        <v/>
      </c>
      <c r="F1125" s="144"/>
      <c r="G1125" s="146">
        <f t="shared" si="51"/>
        <v>0</v>
      </c>
      <c r="H1125" s="141" t="str">
        <f t="shared" si="52"/>
        <v/>
      </c>
      <c r="J1125" s="148" t="str">
        <f>IFERROR(SUMIFS(当年实际!$V:$V,当年实际!$H:$H,$B1125,当年实际!$C:$C,"&gt;="&amp;DATE(YEAR(主页!$D$2),1,1),当年实际!$C:$C,"&lt;="&amp;EOMONTH(DATE(YEAR(主页!$D$2),MONTH(主页!$D$2),1),0))/SUMIFS(当年实际!$P:$P,当年实际!$H:$H,$B1125,当年实际!$C:$C,"&gt;="&amp;DATE(YEAR(主页!$D$2),1,1),当年实际!$C:$C,"&lt;="&amp;EOMONTH(DATE(YEAR(主页!$D$2),MONTH(主页!$D$2),1),0)),"")</f>
        <v/>
      </c>
    </row>
    <row r="1126" spans="1:10" x14ac:dyDescent="0.3">
      <c r="A1126" s="135"/>
      <c r="B1126" s="136"/>
      <c r="C1126" s="138"/>
      <c r="D1126" s="139"/>
      <c r="E1126" s="141" t="str">
        <f t="shared" si="53"/>
        <v/>
      </c>
      <c r="F1126" s="144"/>
      <c r="G1126" s="146">
        <f t="shared" si="51"/>
        <v>0</v>
      </c>
      <c r="H1126" s="141" t="str">
        <f t="shared" si="52"/>
        <v/>
      </c>
      <c r="J1126" s="148" t="str">
        <f>IFERROR(SUMIFS(当年实际!$V:$V,当年实际!$H:$H,$B1126,当年实际!$C:$C,"&gt;="&amp;DATE(YEAR(主页!$D$2),1,1),当年实际!$C:$C,"&lt;="&amp;EOMONTH(DATE(YEAR(主页!$D$2),MONTH(主页!$D$2),1),0))/SUMIFS(当年实际!$P:$P,当年实际!$H:$H,$B1126,当年实际!$C:$C,"&gt;="&amp;DATE(YEAR(主页!$D$2),1,1),当年实际!$C:$C,"&lt;="&amp;EOMONTH(DATE(YEAR(主页!$D$2),MONTH(主页!$D$2),1),0)),"")</f>
        <v/>
      </c>
    </row>
    <row r="1127" spans="1:10" x14ac:dyDescent="0.3">
      <c r="A1127" s="135"/>
      <c r="B1127" s="136"/>
      <c r="C1127" s="138"/>
      <c r="D1127" s="139"/>
      <c r="E1127" s="141" t="str">
        <f t="shared" si="53"/>
        <v/>
      </c>
      <c r="F1127" s="144"/>
      <c r="G1127" s="146">
        <f t="shared" si="51"/>
        <v>0</v>
      </c>
      <c r="H1127" s="141" t="str">
        <f t="shared" si="52"/>
        <v/>
      </c>
      <c r="J1127" s="148" t="str">
        <f>IFERROR(SUMIFS(当年实际!$V:$V,当年实际!$H:$H,$B1127,当年实际!$C:$C,"&gt;="&amp;DATE(YEAR(主页!$D$2),1,1),当年实际!$C:$C,"&lt;="&amp;EOMONTH(DATE(YEAR(主页!$D$2),MONTH(主页!$D$2),1),0))/SUMIFS(当年实际!$P:$P,当年实际!$H:$H,$B1127,当年实际!$C:$C,"&gt;="&amp;DATE(YEAR(主页!$D$2),1,1),当年实际!$C:$C,"&lt;="&amp;EOMONTH(DATE(YEAR(主页!$D$2),MONTH(主页!$D$2),1),0)),"")</f>
        <v/>
      </c>
    </row>
    <row r="1128" spans="1:10" x14ac:dyDescent="0.3">
      <c r="A1128" s="135"/>
      <c r="B1128" s="136"/>
      <c r="C1128" s="138"/>
      <c r="D1128" s="139"/>
      <c r="E1128" s="141" t="str">
        <f t="shared" si="53"/>
        <v/>
      </c>
      <c r="F1128" s="144"/>
      <c r="G1128" s="146">
        <f t="shared" si="51"/>
        <v>0</v>
      </c>
      <c r="H1128" s="141" t="str">
        <f t="shared" si="52"/>
        <v/>
      </c>
      <c r="J1128" s="148" t="str">
        <f>IFERROR(SUMIFS(当年实际!$V:$V,当年实际!$H:$H,$B1128,当年实际!$C:$C,"&gt;="&amp;DATE(YEAR(主页!$D$2),1,1),当年实际!$C:$C,"&lt;="&amp;EOMONTH(DATE(YEAR(主页!$D$2),MONTH(主页!$D$2),1),0))/SUMIFS(当年实际!$P:$P,当年实际!$H:$H,$B1128,当年实际!$C:$C,"&gt;="&amp;DATE(YEAR(主页!$D$2),1,1),当年实际!$C:$C,"&lt;="&amp;EOMONTH(DATE(YEAR(主页!$D$2),MONTH(主页!$D$2),1),0)),"")</f>
        <v/>
      </c>
    </row>
    <row r="1129" spans="1:10" x14ac:dyDescent="0.3">
      <c r="A1129" s="135"/>
      <c r="B1129" s="136"/>
      <c r="C1129" s="138"/>
      <c r="D1129" s="139"/>
      <c r="E1129" s="141" t="str">
        <f t="shared" si="53"/>
        <v/>
      </c>
      <c r="F1129" s="144"/>
      <c r="G1129" s="146">
        <f t="shared" si="51"/>
        <v>0</v>
      </c>
      <c r="H1129" s="141" t="str">
        <f t="shared" si="52"/>
        <v/>
      </c>
      <c r="J1129" s="148" t="str">
        <f>IFERROR(SUMIFS(当年实际!$V:$V,当年实际!$H:$H,$B1129,当年实际!$C:$C,"&gt;="&amp;DATE(YEAR(主页!$D$2),1,1),当年实际!$C:$C,"&lt;="&amp;EOMONTH(DATE(YEAR(主页!$D$2),MONTH(主页!$D$2),1),0))/SUMIFS(当年实际!$P:$P,当年实际!$H:$H,$B1129,当年实际!$C:$C,"&gt;="&amp;DATE(YEAR(主页!$D$2),1,1),当年实际!$C:$C,"&lt;="&amp;EOMONTH(DATE(YEAR(主页!$D$2),MONTH(主页!$D$2),1),0)),"")</f>
        <v/>
      </c>
    </row>
    <row r="1130" spans="1:10" x14ac:dyDescent="0.3">
      <c r="A1130" s="135"/>
      <c r="B1130" s="136"/>
      <c r="C1130" s="138"/>
      <c r="D1130" s="139"/>
      <c r="E1130" s="141" t="str">
        <f t="shared" si="53"/>
        <v/>
      </c>
      <c r="F1130" s="144"/>
      <c r="G1130" s="146">
        <f t="shared" si="51"/>
        <v>0</v>
      </c>
      <c r="H1130" s="141" t="str">
        <f t="shared" si="52"/>
        <v/>
      </c>
      <c r="J1130" s="148" t="str">
        <f>IFERROR(SUMIFS(当年实际!$V:$V,当年实际!$H:$H,$B1130,当年实际!$C:$C,"&gt;="&amp;DATE(YEAR(主页!$D$2),1,1),当年实际!$C:$C,"&lt;="&amp;EOMONTH(DATE(YEAR(主页!$D$2),MONTH(主页!$D$2),1),0))/SUMIFS(当年实际!$P:$P,当年实际!$H:$H,$B1130,当年实际!$C:$C,"&gt;="&amp;DATE(YEAR(主页!$D$2),1,1),当年实际!$C:$C,"&lt;="&amp;EOMONTH(DATE(YEAR(主页!$D$2),MONTH(主页!$D$2),1),0)),"")</f>
        <v/>
      </c>
    </row>
    <row r="1131" spans="1:10" x14ac:dyDescent="0.3">
      <c r="A1131" s="135"/>
      <c r="B1131" s="136"/>
      <c r="C1131" s="138"/>
      <c r="D1131" s="139"/>
      <c r="E1131" s="141" t="str">
        <f t="shared" si="53"/>
        <v/>
      </c>
      <c r="F1131" s="144"/>
      <c r="G1131" s="146">
        <f t="shared" si="51"/>
        <v>0</v>
      </c>
      <c r="H1131" s="141" t="str">
        <f t="shared" si="52"/>
        <v/>
      </c>
      <c r="J1131" s="148" t="str">
        <f>IFERROR(SUMIFS(当年实际!$V:$V,当年实际!$H:$H,$B1131,当年实际!$C:$C,"&gt;="&amp;DATE(YEAR(主页!$D$2),1,1),当年实际!$C:$C,"&lt;="&amp;EOMONTH(DATE(YEAR(主页!$D$2),MONTH(主页!$D$2),1),0))/SUMIFS(当年实际!$P:$P,当年实际!$H:$H,$B1131,当年实际!$C:$C,"&gt;="&amp;DATE(YEAR(主页!$D$2),1,1),当年实际!$C:$C,"&lt;="&amp;EOMONTH(DATE(YEAR(主页!$D$2),MONTH(主页!$D$2),1),0)),"")</f>
        <v/>
      </c>
    </row>
    <row r="1132" spans="1:10" x14ac:dyDescent="0.3">
      <c r="A1132" s="135"/>
      <c r="B1132" s="136"/>
      <c r="C1132" s="138"/>
      <c r="D1132" s="139"/>
      <c r="E1132" s="141" t="str">
        <f t="shared" si="53"/>
        <v/>
      </c>
      <c r="F1132" s="144"/>
      <c r="G1132" s="146">
        <f t="shared" si="51"/>
        <v>0</v>
      </c>
      <c r="H1132" s="141" t="str">
        <f t="shared" si="52"/>
        <v/>
      </c>
      <c r="J1132" s="148" t="str">
        <f>IFERROR(SUMIFS(当年实际!$V:$V,当年实际!$H:$H,$B1132,当年实际!$C:$C,"&gt;="&amp;DATE(YEAR(主页!$D$2),1,1),当年实际!$C:$C,"&lt;="&amp;EOMONTH(DATE(YEAR(主页!$D$2),MONTH(主页!$D$2),1),0))/SUMIFS(当年实际!$P:$P,当年实际!$H:$H,$B1132,当年实际!$C:$C,"&gt;="&amp;DATE(YEAR(主页!$D$2),1,1),当年实际!$C:$C,"&lt;="&amp;EOMONTH(DATE(YEAR(主页!$D$2),MONTH(主页!$D$2),1),0)),"")</f>
        <v/>
      </c>
    </row>
    <row r="1133" spans="1:10" x14ac:dyDescent="0.3">
      <c r="A1133" s="135"/>
      <c r="B1133" s="136"/>
      <c r="C1133" s="138"/>
      <c r="D1133" s="139"/>
      <c r="E1133" s="141" t="str">
        <f t="shared" si="53"/>
        <v/>
      </c>
      <c r="F1133" s="144"/>
      <c r="G1133" s="146">
        <f t="shared" si="51"/>
        <v>0</v>
      </c>
      <c r="H1133" s="141" t="str">
        <f t="shared" si="52"/>
        <v/>
      </c>
      <c r="J1133" s="148" t="str">
        <f>IFERROR(SUMIFS(当年实际!$V:$V,当年实际!$H:$H,$B1133,当年实际!$C:$C,"&gt;="&amp;DATE(YEAR(主页!$D$2),1,1),当年实际!$C:$C,"&lt;="&amp;EOMONTH(DATE(YEAR(主页!$D$2),MONTH(主页!$D$2),1),0))/SUMIFS(当年实际!$P:$P,当年实际!$H:$H,$B1133,当年实际!$C:$C,"&gt;="&amp;DATE(YEAR(主页!$D$2),1,1),当年实际!$C:$C,"&lt;="&amp;EOMONTH(DATE(YEAR(主页!$D$2),MONTH(主页!$D$2),1),0)),"")</f>
        <v/>
      </c>
    </row>
    <row r="1134" spans="1:10" x14ac:dyDescent="0.3">
      <c r="A1134" s="135"/>
      <c r="B1134" s="136"/>
      <c r="C1134" s="138"/>
      <c r="D1134" s="139"/>
      <c r="E1134" s="141" t="str">
        <f t="shared" si="53"/>
        <v/>
      </c>
      <c r="F1134" s="144"/>
      <c r="G1134" s="146">
        <f t="shared" si="51"/>
        <v>0</v>
      </c>
      <c r="H1134" s="141" t="str">
        <f t="shared" si="52"/>
        <v/>
      </c>
      <c r="J1134" s="148" t="str">
        <f>IFERROR(SUMIFS(当年实际!$V:$V,当年实际!$H:$H,$B1134,当年实际!$C:$C,"&gt;="&amp;DATE(YEAR(主页!$D$2),1,1),当年实际!$C:$C,"&lt;="&amp;EOMONTH(DATE(YEAR(主页!$D$2),MONTH(主页!$D$2),1),0))/SUMIFS(当年实际!$P:$P,当年实际!$H:$H,$B1134,当年实际!$C:$C,"&gt;="&amp;DATE(YEAR(主页!$D$2),1,1),当年实际!$C:$C,"&lt;="&amp;EOMONTH(DATE(YEAR(主页!$D$2),MONTH(主页!$D$2),1),0)),"")</f>
        <v/>
      </c>
    </row>
    <row r="1135" spans="1:10" x14ac:dyDescent="0.3">
      <c r="A1135" s="135"/>
      <c r="B1135" s="136"/>
      <c r="C1135" s="138"/>
      <c r="D1135" s="139"/>
      <c r="E1135" s="141" t="str">
        <f t="shared" si="53"/>
        <v/>
      </c>
      <c r="F1135" s="144"/>
      <c r="G1135" s="146">
        <f t="shared" si="51"/>
        <v>0</v>
      </c>
      <c r="H1135" s="141" t="str">
        <f t="shared" si="52"/>
        <v/>
      </c>
      <c r="J1135" s="148" t="str">
        <f>IFERROR(SUMIFS(当年实际!$V:$V,当年实际!$H:$H,$B1135,当年实际!$C:$C,"&gt;="&amp;DATE(YEAR(主页!$D$2),1,1),当年实际!$C:$C,"&lt;="&amp;EOMONTH(DATE(YEAR(主页!$D$2),MONTH(主页!$D$2),1),0))/SUMIFS(当年实际!$P:$P,当年实际!$H:$H,$B1135,当年实际!$C:$C,"&gt;="&amp;DATE(YEAR(主页!$D$2),1,1),当年实际!$C:$C,"&lt;="&amp;EOMONTH(DATE(YEAR(主页!$D$2),MONTH(主页!$D$2),1),0)),"")</f>
        <v/>
      </c>
    </row>
    <row r="1136" spans="1:10" x14ac:dyDescent="0.3">
      <c r="A1136" s="135"/>
      <c r="B1136" s="136"/>
      <c r="C1136" s="138"/>
      <c r="D1136" s="139"/>
      <c r="E1136" s="141" t="str">
        <f t="shared" si="53"/>
        <v/>
      </c>
      <c r="F1136" s="144"/>
      <c r="G1136" s="146">
        <f t="shared" si="51"/>
        <v>0</v>
      </c>
      <c r="H1136" s="141" t="str">
        <f t="shared" si="52"/>
        <v/>
      </c>
      <c r="J1136" s="148" t="str">
        <f>IFERROR(SUMIFS(当年实际!$V:$V,当年实际!$H:$H,$B1136,当年实际!$C:$C,"&gt;="&amp;DATE(YEAR(主页!$D$2),1,1),当年实际!$C:$C,"&lt;="&amp;EOMONTH(DATE(YEAR(主页!$D$2),MONTH(主页!$D$2),1),0))/SUMIFS(当年实际!$P:$P,当年实际!$H:$H,$B1136,当年实际!$C:$C,"&gt;="&amp;DATE(YEAR(主页!$D$2),1,1),当年实际!$C:$C,"&lt;="&amp;EOMONTH(DATE(YEAR(主页!$D$2),MONTH(主页!$D$2),1),0)),"")</f>
        <v/>
      </c>
    </row>
    <row r="1137" spans="1:10" x14ac:dyDescent="0.3">
      <c r="A1137" s="135"/>
      <c r="B1137" s="136"/>
      <c r="C1137" s="138"/>
      <c r="D1137" s="139"/>
      <c r="E1137" s="141" t="str">
        <f t="shared" si="53"/>
        <v/>
      </c>
      <c r="F1137" s="144"/>
      <c r="G1137" s="146">
        <f t="shared" si="51"/>
        <v>0</v>
      </c>
      <c r="H1137" s="141" t="str">
        <f t="shared" si="52"/>
        <v/>
      </c>
      <c r="J1137" s="148" t="str">
        <f>IFERROR(SUMIFS(当年实际!$V:$V,当年实际!$H:$H,$B1137,当年实际!$C:$C,"&gt;="&amp;DATE(YEAR(主页!$D$2),1,1),当年实际!$C:$C,"&lt;="&amp;EOMONTH(DATE(YEAR(主页!$D$2),MONTH(主页!$D$2),1),0))/SUMIFS(当年实际!$P:$P,当年实际!$H:$H,$B1137,当年实际!$C:$C,"&gt;="&amp;DATE(YEAR(主页!$D$2),1,1),当年实际!$C:$C,"&lt;="&amp;EOMONTH(DATE(YEAR(主页!$D$2),MONTH(主页!$D$2),1),0)),"")</f>
        <v/>
      </c>
    </row>
    <row r="1138" spans="1:10" x14ac:dyDescent="0.3">
      <c r="A1138" s="135"/>
      <c r="B1138" s="136"/>
      <c r="C1138" s="138"/>
      <c r="D1138" s="139"/>
      <c r="E1138" s="141" t="str">
        <f t="shared" si="53"/>
        <v/>
      </c>
      <c r="F1138" s="144"/>
      <c r="G1138" s="146">
        <f t="shared" si="51"/>
        <v>0</v>
      </c>
      <c r="H1138" s="141" t="str">
        <f t="shared" si="52"/>
        <v/>
      </c>
      <c r="J1138" s="148" t="str">
        <f>IFERROR(SUMIFS(当年实际!$V:$V,当年实际!$H:$H,$B1138,当年实际!$C:$C,"&gt;="&amp;DATE(YEAR(主页!$D$2),1,1),当年实际!$C:$C,"&lt;="&amp;EOMONTH(DATE(YEAR(主页!$D$2),MONTH(主页!$D$2),1),0))/SUMIFS(当年实际!$P:$P,当年实际!$H:$H,$B1138,当年实际!$C:$C,"&gt;="&amp;DATE(YEAR(主页!$D$2),1,1),当年实际!$C:$C,"&lt;="&amp;EOMONTH(DATE(YEAR(主页!$D$2),MONTH(主页!$D$2),1),0)),"")</f>
        <v/>
      </c>
    </row>
    <row r="1139" spans="1:10" x14ac:dyDescent="0.3">
      <c r="A1139" s="135"/>
      <c r="B1139" s="136"/>
      <c r="C1139" s="138"/>
      <c r="D1139" s="139"/>
      <c r="E1139" s="141" t="str">
        <f t="shared" si="53"/>
        <v/>
      </c>
      <c r="F1139" s="144"/>
      <c r="G1139" s="146">
        <f t="shared" si="51"/>
        <v>0</v>
      </c>
      <c r="H1139" s="141" t="str">
        <f t="shared" si="52"/>
        <v/>
      </c>
      <c r="J1139" s="148" t="str">
        <f>IFERROR(SUMIFS(当年实际!$V:$V,当年实际!$H:$H,$B1139,当年实际!$C:$C,"&gt;="&amp;DATE(YEAR(主页!$D$2),1,1),当年实际!$C:$C,"&lt;="&amp;EOMONTH(DATE(YEAR(主页!$D$2),MONTH(主页!$D$2),1),0))/SUMIFS(当年实际!$P:$P,当年实际!$H:$H,$B1139,当年实际!$C:$C,"&gt;="&amp;DATE(YEAR(主页!$D$2),1,1),当年实际!$C:$C,"&lt;="&amp;EOMONTH(DATE(YEAR(主页!$D$2),MONTH(主页!$D$2),1),0)),"")</f>
        <v/>
      </c>
    </row>
    <row r="1140" spans="1:10" x14ac:dyDescent="0.3">
      <c r="A1140" s="135"/>
      <c r="B1140" s="136"/>
      <c r="C1140" s="138"/>
      <c r="D1140" s="139"/>
      <c r="E1140" s="141" t="str">
        <f t="shared" si="53"/>
        <v/>
      </c>
      <c r="F1140" s="144"/>
      <c r="G1140" s="146">
        <f t="shared" si="51"/>
        <v>0</v>
      </c>
      <c r="H1140" s="141" t="str">
        <f t="shared" si="52"/>
        <v/>
      </c>
      <c r="J1140" s="148" t="str">
        <f>IFERROR(SUMIFS(当年实际!$V:$V,当年实际!$H:$H,$B1140,当年实际!$C:$C,"&gt;="&amp;DATE(YEAR(主页!$D$2),1,1),当年实际!$C:$C,"&lt;="&amp;EOMONTH(DATE(YEAR(主页!$D$2),MONTH(主页!$D$2),1),0))/SUMIFS(当年实际!$P:$P,当年实际!$H:$H,$B1140,当年实际!$C:$C,"&gt;="&amp;DATE(YEAR(主页!$D$2),1,1),当年实际!$C:$C,"&lt;="&amp;EOMONTH(DATE(YEAR(主页!$D$2),MONTH(主页!$D$2),1),0)),"")</f>
        <v/>
      </c>
    </row>
    <row r="1141" spans="1:10" x14ac:dyDescent="0.3">
      <c r="A1141" s="135"/>
      <c r="B1141" s="136"/>
      <c r="C1141" s="138"/>
      <c r="D1141" s="139"/>
      <c r="E1141" s="141" t="str">
        <f t="shared" si="53"/>
        <v/>
      </c>
      <c r="F1141" s="144"/>
      <c r="G1141" s="146">
        <f t="shared" si="51"/>
        <v>0</v>
      </c>
      <c r="H1141" s="141" t="str">
        <f t="shared" si="52"/>
        <v/>
      </c>
      <c r="J1141" s="148" t="str">
        <f>IFERROR(SUMIFS(当年实际!$V:$V,当年实际!$H:$H,$B1141,当年实际!$C:$C,"&gt;="&amp;DATE(YEAR(主页!$D$2),1,1),当年实际!$C:$C,"&lt;="&amp;EOMONTH(DATE(YEAR(主页!$D$2),MONTH(主页!$D$2),1),0))/SUMIFS(当年实际!$P:$P,当年实际!$H:$H,$B1141,当年实际!$C:$C,"&gt;="&amp;DATE(YEAR(主页!$D$2),1,1),当年实际!$C:$C,"&lt;="&amp;EOMONTH(DATE(YEAR(主页!$D$2),MONTH(主页!$D$2),1),0)),"")</f>
        <v/>
      </c>
    </row>
    <row r="1142" spans="1:10" x14ac:dyDescent="0.3">
      <c r="A1142" s="135"/>
      <c r="B1142" s="136"/>
      <c r="C1142" s="138"/>
      <c r="D1142" s="139"/>
      <c r="E1142" s="141" t="str">
        <f t="shared" si="53"/>
        <v/>
      </c>
      <c r="F1142" s="144"/>
      <c r="G1142" s="146">
        <f t="shared" si="51"/>
        <v>0</v>
      </c>
      <c r="H1142" s="141" t="str">
        <f t="shared" si="52"/>
        <v/>
      </c>
      <c r="J1142" s="148" t="str">
        <f>IFERROR(SUMIFS(当年实际!$V:$V,当年实际!$H:$H,$B1142,当年实际!$C:$C,"&gt;="&amp;DATE(YEAR(主页!$D$2),1,1),当年实际!$C:$C,"&lt;="&amp;EOMONTH(DATE(YEAR(主页!$D$2),MONTH(主页!$D$2),1),0))/SUMIFS(当年实际!$P:$P,当年实际!$H:$H,$B1142,当年实际!$C:$C,"&gt;="&amp;DATE(YEAR(主页!$D$2),1,1),当年实际!$C:$C,"&lt;="&amp;EOMONTH(DATE(YEAR(主页!$D$2),MONTH(主页!$D$2),1),0)),"")</f>
        <v/>
      </c>
    </row>
    <row r="1143" spans="1:10" x14ac:dyDescent="0.3">
      <c r="A1143" s="135"/>
      <c r="B1143" s="136"/>
      <c r="C1143" s="138"/>
      <c r="D1143" s="139"/>
      <c r="E1143" s="141" t="str">
        <f t="shared" si="53"/>
        <v/>
      </c>
      <c r="F1143" s="144"/>
      <c r="G1143" s="146">
        <f t="shared" si="51"/>
        <v>0</v>
      </c>
      <c r="H1143" s="141" t="str">
        <f t="shared" si="52"/>
        <v/>
      </c>
      <c r="J1143" s="148" t="str">
        <f>IFERROR(SUMIFS(当年实际!$V:$V,当年实际!$H:$H,$B1143,当年实际!$C:$C,"&gt;="&amp;DATE(YEAR(主页!$D$2),1,1),当年实际!$C:$C,"&lt;="&amp;EOMONTH(DATE(YEAR(主页!$D$2),MONTH(主页!$D$2),1),0))/SUMIFS(当年实际!$P:$P,当年实际!$H:$H,$B1143,当年实际!$C:$C,"&gt;="&amp;DATE(YEAR(主页!$D$2),1,1),当年实际!$C:$C,"&lt;="&amp;EOMONTH(DATE(YEAR(主页!$D$2),MONTH(主页!$D$2),1),0)),"")</f>
        <v/>
      </c>
    </row>
    <row r="1144" spans="1:10" x14ac:dyDescent="0.3">
      <c r="A1144" s="135"/>
      <c r="B1144" s="136"/>
      <c r="C1144" s="138"/>
      <c r="D1144" s="139"/>
      <c r="E1144" s="141" t="str">
        <f t="shared" si="53"/>
        <v/>
      </c>
      <c r="F1144" s="144"/>
      <c r="G1144" s="146">
        <f t="shared" si="51"/>
        <v>0</v>
      </c>
      <c r="H1144" s="141" t="str">
        <f t="shared" si="52"/>
        <v/>
      </c>
      <c r="J1144" s="148" t="str">
        <f>IFERROR(SUMIFS(当年实际!$V:$V,当年实际!$H:$H,$B1144,当年实际!$C:$C,"&gt;="&amp;DATE(YEAR(主页!$D$2),1,1),当年实际!$C:$C,"&lt;="&amp;EOMONTH(DATE(YEAR(主页!$D$2),MONTH(主页!$D$2),1),0))/SUMIFS(当年实际!$P:$P,当年实际!$H:$H,$B1144,当年实际!$C:$C,"&gt;="&amp;DATE(YEAR(主页!$D$2),1,1),当年实际!$C:$C,"&lt;="&amp;EOMONTH(DATE(YEAR(主页!$D$2),MONTH(主页!$D$2),1),0)),"")</f>
        <v/>
      </c>
    </row>
    <row r="1145" spans="1:10" x14ac:dyDescent="0.3">
      <c r="A1145" s="135"/>
      <c r="B1145" s="136"/>
      <c r="C1145" s="138"/>
      <c r="D1145" s="139"/>
      <c r="E1145" s="141" t="str">
        <f t="shared" si="53"/>
        <v/>
      </c>
      <c r="F1145" s="144"/>
      <c r="G1145" s="146">
        <f t="shared" si="51"/>
        <v>0</v>
      </c>
      <c r="H1145" s="141" t="str">
        <f t="shared" si="52"/>
        <v/>
      </c>
      <c r="J1145" s="148" t="str">
        <f>IFERROR(SUMIFS(当年实际!$V:$V,当年实际!$H:$H,$B1145,当年实际!$C:$C,"&gt;="&amp;DATE(YEAR(主页!$D$2),1,1),当年实际!$C:$C,"&lt;="&amp;EOMONTH(DATE(YEAR(主页!$D$2),MONTH(主页!$D$2),1),0))/SUMIFS(当年实际!$P:$P,当年实际!$H:$H,$B1145,当年实际!$C:$C,"&gt;="&amp;DATE(YEAR(主页!$D$2),1,1),当年实际!$C:$C,"&lt;="&amp;EOMONTH(DATE(YEAR(主页!$D$2),MONTH(主页!$D$2),1),0)),"")</f>
        <v/>
      </c>
    </row>
    <row r="1146" spans="1:10" x14ac:dyDescent="0.3">
      <c r="A1146" s="135"/>
      <c r="B1146" s="136"/>
      <c r="C1146" s="138"/>
      <c r="D1146" s="139"/>
      <c r="E1146" s="141" t="str">
        <f t="shared" si="53"/>
        <v/>
      </c>
      <c r="F1146" s="144"/>
      <c r="G1146" s="146">
        <f t="shared" si="51"/>
        <v>0</v>
      </c>
      <c r="H1146" s="141" t="str">
        <f t="shared" si="52"/>
        <v/>
      </c>
      <c r="J1146" s="148" t="str">
        <f>IFERROR(SUMIFS(当年实际!$V:$V,当年实际!$H:$H,$B1146,当年实际!$C:$C,"&gt;="&amp;DATE(YEAR(主页!$D$2),1,1),当年实际!$C:$C,"&lt;="&amp;EOMONTH(DATE(YEAR(主页!$D$2),MONTH(主页!$D$2),1),0))/SUMIFS(当年实际!$P:$P,当年实际!$H:$H,$B1146,当年实际!$C:$C,"&gt;="&amp;DATE(YEAR(主页!$D$2),1,1),当年实际!$C:$C,"&lt;="&amp;EOMONTH(DATE(YEAR(主页!$D$2),MONTH(主页!$D$2),1),0)),"")</f>
        <v/>
      </c>
    </row>
    <row r="1147" spans="1:10" x14ac:dyDescent="0.3">
      <c r="A1147" s="135"/>
      <c r="B1147" s="136"/>
      <c r="C1147" s="138"/>
      <c r="D1147" s="139"/>
      <c r="E1147" s="141" t="str">
        <f t="shared" si="53"/>
        <v/>
      </c>
      <c r="F1147" s="144"/>
      <c r="G1147" s="146">
        <f t="shared" si="51"/>
        <v>0</v>
      </c>
      <c r="H1147" s="141" t="str">
        <f t="shared" si="52"/>
        <v/>
      </c>
      <c r="J1147" s="148" t="str">
        <f>IFERROR(SUMIFS(当年实际!$V:$V,当年实际!$H:$H,$B1147,当年实际!$C:$C,"&gt;="&amp;DATE(YEAR(主页!$D$2),1,1),当年实际!$C:$C,"&lt;="&amp;EOMONTH(DATE(YEAR(主页!$D$2),MONTH(主页!$D$2),1),0))/SUMIFS(当年实际!$P:$P,当年实际!$H:$H,$B1147,当年实际!$C:$C,"&gt;="&amp;DATE(YEAR(主页!$D$2),1,1),当年实际!$C:$C,"&lt;="&amp;EOMONTH(DATE(YEAR(主页!$D$2),MONTH(主页!$D$2),1),0)),"")</f>
        <v/>
      </c>
    </row>
    <row r="1148" spans="1:10" x14ac:dyDescent="0.3">
      <c r="A1148" s="135"/>
      <c r="B1148" s="136"/>
      <c r="C1148" s="138"/>
      <c r="D1148" s="139"/>
      <c r="E1148" s="141" t="str">
        <f t="shared" si="53"/>
        <v/>
      </c>
      <c r="F1148" s="144"/>
      <c r="G1148" s="146">
        <f t="shared" si="51"/>
        <v>0</v>
      </c>
      <c r="H1148" s="141" t="str">
        <f t="shared" si="52"/>
        <v/>
      </c>
      <c r="J1148" s="148" t="str">
        <f>IFERROR(SUMIFS(当年实际!$V:$V,当年实际!$H:$H,$B1148,当年实际!$C:$C,"&gt;="&amp;DATE(YEAR(主页!$D$2),1,1),当年实际!$C:$C,"&lt;="&amp;EOMONTH(DATE(YEAR(主页!$D$2),MONTH(主页!$D$2),1),0))/SUMIFS(当年实际!$P:$P,当年实际!$H:$H,$B1148,当年实际!$C:$C,"&gt;="&amp;DATE(YEAR(主页!$D$2),1,1),当年实际!$C:$C,"&lt;="&amp;EOMONTH(DATE(YEAR(主页!$D$2),MONTH(主页!$D$2),1),0)),"")</f>
        <v/>
      </c>
    </row>
    <row r="1149" spans="1:10" x14ac:dyDescent="0.3">
      <c r="A1149" s="135"/>
      <c r="B1149" s="136"/>
      <c r="C1149" s="138"/>
      <c r="D1149" s="139"/>
      <c r="E1149" s="141" t="str">
        <f t="shared" si="53"/>
        <v/>
      </c>
      <c r="F1149" s="144"/>
      <c r="G1149" s="146">
        <f t="shared" si="51"/>
        <v>0</v>
      </c>
      <c r="H1149" s="141" t="str">
        <f t="shared" si="52"/>
        <v/>
      </c>
      <c r="J1149" s="148" t="str">
        <f>IFERROR(SUMIFS(当年实际!$V:$V,当年实际!$H:$H,$B1149,当年实际!$C:$C,"&gt;="&amp;DATE(YEAR(主页!$D$2),1,1),当年实际!$C:$C,"&lt;="&amp;EOMONTH(DATE(YEAR(主页!$D$2),MONTH(主页!$D$2),1),0))/SUMIFS(当年实际!$P:$P,当年实际!$H:$H,$B1149,当年实际!$C:$C,"&gt;="&amp;DATE(YEAR(主页!$D$2),1,1),当年实际!$C:$C,"&lt;="&amp;EOMONTH(DATE(YEAR(主页!$D$2),MONTH(主页!$D$2),1),0)),"")</f>
        <v/>
      </c>
    </row>
    <row r="1150" spans="1:10" x14ac:dyDescent="0.3">
      <c r="A1150" s="135"/>
      <c r="B1150" s="136"/>
      <c r="C1150" s="138"/>
      <c r="D1150" s="139"/>
      <c r="E1150" s="141" t="str">
        <f t="shared" si="53"/>
        <v/>
      </c>
      <c r="F1150" s="144"/>
      <c r="G1150" s="146">
        <f t="shared" si="51"/>
        <v>0</v>
      </c>
      <c r="H1150" s="141" t="str">
        <f t="shared" si="52"/>
        <v/>
      </c>
      <c r="J1150" s="148" t="str">
        <f>IFERROR(SUMIFS(当年实际!$V:$V,当年实际!$H:$H,$B1150,当年实际!$C:$C,"&gt;="&amp;DATE(YEAR(主页!$D$2),1,1),当年实际!$C:$C,"&lt;="&amp;EOMONTH(DATE(YEAR(主页!$D$2),MONTH(主页!$D$2),1),0))/SUMIFS(当年实际!$P:$P,当年实际!$H:$H,$B1150,当年实际!$C:$C,"&gt;="&amp;DATE(YEAR(主页!$D$2),1,1),当年实际!$C:$C,"&lt;="&amp;EOMONTH(DATE(YEAR(主页!$D$2),MONTH(主页!$D$2),1),0)),"")</f>
        <v/>
      </c>
    </row>
    <row r="1151" spans="1:10" x14ac:dyDescent="0.3">
      <c r="A1151" s="135"/>
      <c r="B1151" s="136"/>
      <c r="C1151" s="138"/>
      <c r="D1151" s="139"/>
      <c r="E1151" s="141" t="str">
        <f t="shared" si="53"/>
        <v/>
      </c>
      <c r="F1151" s="144"/>
      <c r="G1151" s="146">
        <f t="shared" si="51"/>
        <v>0</v>
      </c>
      <c r="H1151" s="141" t="str">
        <f t="shared" si="52"/>
        <v/>
      </c>
      <c r="J1151" s="148" t="str">
        <f>IFERROR(SUMIFS(当年实际!$V:$V,当年实际!$H:$H,$B1151,当年实际!$C:$C,"&gt;="&amp;DATE(YEAR(主页!$D$2),1,1),当年实际!$C:$C,"&lt;="&amp;EOMONTH(DATE(YEAR(主页!$D$2),MONTH(主页!$D$2),1),0))/SUMIFS(当年实际!$P:$P,当年实际!$H:$H,$B1151,当年实际!$C:$C,"&gt;="&amp;DATE(YEAR(主页!$D$2),1,1),当年实际!$C:$C,"&lt;="&amp;EOMONTH(DATE(YEAR(主页!$D$2),MONTH(主页!$D$2),1),0)),"")</f>
        <v/>
      </c>
    </row>
    <row r="1152" spans="1:10" x14ac:dyDescent="0.3">
      <c r="A1152" s="135"/>
      <c r="B1152" s="136"/>
      <c r="C1152" s="138"/>
      <c r="D1152" s="139"/>
      <c r="E1152" s="141" t="str">
        <f t="shared" si="53"/>
        <v/>
      </c>
      <c r="F1152" s="144"/>
      <c r="G1152" s="146">
        <f t="shared" si="51"/>
        <v>0</v>
      </c>
      <c r="H1152" s="141" t="str">
        <f t="shared" si="52"/>
        <v/>
      </c>
      <c r="J1152" s="148" t="str">
        <f>IFERROR(SUMIFS(当年实际!$V:$V,当年实际!$H:$H,$B1152,当年实际!$C:$C,"&gt;="&amp;DATE(YEAR(主页!$D$2),1,1),当年实际!$C:$C,"&lt;="&amp;EOMONTH(DATE(YEAR(主页!$D$2),MONTH(主页!$D$2),1),0))/SUMIFS(当年实际!$P:$P,当年实际!$H:$H,$B1152,当年实际!$C:$C,"&gt;="&amp;DATE(YEAR(主页!$D$2),1,1),当年实际!$C:$C,"&lt;="&amp;EOMONTH(DATE(YEAR(主页!$D$2),MONTH(主页!$D$2),1),0)),"")</f>
        <v/>
      </c>
    </row>
    <row r="1153" spans="1:10" x14ac:dyDescent="0.3">
      <c r="A1153" s="135"/>
      <c r="B1153" s="136"/>
      <c r="C1153" s="138"/>
      <c r="D1153" s="139"/>
      <c r="E1153" s="141" t="str">
        <f t="shared" si="53"/>
        <v/>
      </c>
      <c r="F1153" s="144"/>
      <c r="G1153" s="146">
        <f t="shared" si="51"/>
        <v>0</v>
      </c>
      <c r="H1153" s="141" t="str">
        <f t="shared" si="52"/>
        <v/>
      </c>
      <c r="J1153" s="148" t="str">
        <f>IFERROR(SUMIFS(当年实际!$V:$V,当年实际!$H:$H,$B1153,当年实际!$C:$C,"&gt;="&amp;DATE(YEAR(主页!$D$2),1,1),当年实际!$C:$C,"&lt;="&amp;EOMONTH(DATE(YEAR(主页!$D$2),MONTH(主页!$D$2),1),0))/SUMIFS(当年实际!$P:$P,当年实际!$H:$H,$B1153,当年实际!$C:$C,"&gt;="&amp;DATE(YEAR(主页!$D$2),1,1),当年实际!$C:$C,"&lt;="&amp;EOMONTH(DATE(YEAR(主页!$D$2),MONTH(主页!$D$2),1),0)),"")</f>
        <v/>
      </c>
    </row>
    <row r="1154" spans="1:10" x14ac:dyDescent="0.3">
      <c r="A1154" s="135"/>
      <c r="B1154" s="136"/>
      <c r="C1154" s="138"/>
      <c r="D1154" s="139"/>
      <c r="E1154" s="141" t="str">
        <f t="shared" si="53"/>
        <v/>
      </c>
      <c r="F1154" s="144"/>
      <c r="G1154" s="146">
        <f t="shared" si="51"/>
        <v>0</v>
      </c>
      <c r="H1154" s="141" t="str">
        <f t="shared" si="52"/>
        <v/>
      </c>
      <c r="J1154" s="148" t="str">
        <f>IFERROR(SUMIFS(当年实际!$V:$V,当年实际!$H:$H,$B1154,当年实际!$C:$C,"&gt;="&amp;DATE(YEAR(主页!$D$2),1,1),当年实际!$C:$C,"&lt;="&amp;EOMONTH(DATE(YEAR(主页!$D$2),MONTH(主页!$D$2),1),0))/SUMIFS(当年实际!$P:$P,当年实际!$H:$H,$B1154,当年实际!$C:$C,"&gt;="&amp;DATE(YEAR(主页!$D$2),1,1),当年实际!$C:$C,"&lt;="&amp;EOMONTH(DATE(YEAR(主页!$D$2),MONTH(主页!$D$2),1),0)),"")</f>
        <v/>
      </c>
    </row>
    <row r="1155" spans="1:10" x14ac:dyDescent="0.3">
      <c r="A1155" s="135"/>
      <c r="B1155" s="136"/>
      <c r="C1155" s="138"/>
      <c r="D1155" s="139"/>
      <c r="E1155" s="141" t="str">
        <f t="shared" si="53"/>
        <v/>
      </c>
      <c r="F1155" s="144"/>
      <c r="G1155" s="146">
        <f t="shared" si="51"/>
        <v>0</v>
      </c>
      <c r="H1155" s="141" t="str">
        <f t="shared" si="52"/>
        <v/>
      </c>
      <c r="J1155" s="148" t="str">
        <f>IFERROR(SUMIFS(当年实际!$V:$V,当年实际!$H:$H,$B1155,当年实际!$C:$C,"&gt;="&amp;DATE(YEAR(主页!$D$2),1,1),当年实际!$C:$C,"&lt;="&amp;EOMONTH(DATE(YEAR(主页!$D$2),MONTH(主页!$D$2),1),0))/SUMIFS(当年实际!$P:$P,当年实际!$H:$H,$B1155,当年实际!$C:$C,"&gt;="&amp;DATE(YEAR(主页!$D$2),1,1),当年实际!$C:$C,"&lt;="&amp;EOMONTH(DATE(YEAR(主页!$D$2),MONTH(主页!$D$2),1),0)),"")</f>
        <v/>
      </c>
    </row>
    <row r="1156" spans="1:10" x14ac:dyDescent="0.3">
      <c r="A1156" s="135"/>
      <c r="B1156" s="136"/>
      <c r="C1156" s="138"/>
      <c r="D1156" s="139"/>
      <c r="E1156" s="141" t="str">
        <f t="shared" si="53"/>
        <v/>
      </c>
      <c r="F1156" s="144"/>
      <c r="G1156" s="146">
        <f t="shared" si="51"/>
        <v>0</v>
      </c>
      <c r="H1156" s="141" t="str">
        <f t="shared" si="52"/>
        <v/>
      </c>
      <c r="J1156" s="148" t="str">
        <f>IFERROR(SUMIFS(当年实际!$V:$V,当年实际!$H:$H,$B1156,当年实际!$C:$C,"&gt;="&amp;DATE(YEAR(主页!$D$2),1,1),当年实际!$C:$C,"&lt;="&amp;EOMONTH(DATE(YEAR(主页!$D$2),MONTH(主页!$D$2),1),0))/SUMIFS(当年实际!$P:$P,当年实际!$H:$H,$B1156,当年实际!$C:$C,"&gt;="&amp;DATE(YEAR(主页!$D$2),1,1),当年实际!$C:$C,"&lt;="&amp;EOMONTH(DATE(YEAR(主页!$D$2),MONTH(主页!$D$2),1),0)),"")</f>
        <v/>
      </c>
    </row>
    <row r="1157" spans="1:10" x14ac:dyDescent="0.3">
      <c r="A1157" s="135"/>
      <c r="B1157" s="136"/>
      <c r="C1157" s="138"/>
      <c r="D1157" s="139"/>
      <c r="E1157" s="141" t="str">
        <f t="shared" si="53"/>
        <v/>
      </c>
      <c r="F1157" s="144"/>
      <c r="G1157" s="146">
        <f t="shared" ref="G1157:G1201" si="54">D1157*F1157</f>
        <v>0</v>
      </c>
      <c r="H1157" s="141" t="str">
        <f t="shared" si="52"/>
        <v/>
      </c>
      <c r="J1157" s="148" t="str">
        <f>IFERROR(SUMIFS(当年实际!$V:$V,当年实际!$H:$H,$B1157,当年实际!$C:$C,"&gt;="&amp;DATE(YEAR(主页!$D$2),1,1),当年实际!$C:$C,"&lt;="&amp;EOMONTH(DATE(YEAR(主页!$D$2),MONTH(主页!$D$2),1),0))/SUMIFS(当年实际!$P:$P,当年实际!$H:$H,$B1157,当年实际!$C:$C,"&gt;="&amp;DATE(YEAR(主页!$D$2),1,1),当年实际!$C:$C,"&lt;="&amp;EOMONTH(DATE(YEAR(主页!$D$2),MONTH(主页!$D$2),1),0)),"")</f>
        <v/>
      </c>
    </row>
    <row r="1158" spans="1:10" x14ac:dyDescent="0.3">
      <c r="A1158" s="135"/>
      <c r="B1158" s="136"/>
      <c r="C1158" s="138"/>
      <c r="D1158" s="139"/>
      <c r="E1158" s="141" t="str">
        <f t="shared" si="53"/>
        <v/>
      </c>
      <c r="F1158" s="144"/>
      <c r="G1158" s="146">
        <f t="shared" si="54"/>
        <v>0</v>
      </c>
      <c r="H1158" s="141" t="str">
        <f t="shared" ref="H1158:H1201" si="55">IF(G1158/SUM(G:G)=0,"",G1158/SUM(G:G))</f>
        <v/>
      </c>
      <c r="J1158" s="148" t="str">
        <f>IFERROR(SUMIFS(当年实际!$V:$V,当年实际!$H:$H,$B1158,当年实际!$C:$C,"&gt;="&amp;DATE(YEAR(主页!$D$2),1,1),当年实际!$C:$C,"&lt;="&amp;EOMONTH(DATE(YEAR(主页!$D$2),MONTH(主页!$D$2),1),0))/SUMIFS(当年实际!$P:$P,当年实际!$H:$H,$B1158,当年实际!$C:$C,"&gt;="&amp;DATE(YEAR(主页!$D$2),1,1),当年实际!$C:$C,"&lt;="&amp;EOMONTH(DATE(YEAR(主页!$D$2),MONTH(主页!$D$2),1),0)),"")</f>
        <v/>
      </c>
    </row>
    <row r="1159" spans="1:10" x14ac:dyDescent="0.3">
      <c r="A1159" s="135"/>
      <c r="B1159" s="136"/>
      <c r="C1159" s="138"/>
      <c r="D1159" s="139"/>
      <c r="E1159" s="141" t="str">
        <f t="shared" si="53"/>
        <v/>
      </c>
      <c r="F1159" s="144"/>
      <c r="G1159" s="146">
        <f t="shared" si="54"/>
        <v>0</v>
      </c>
      <c r="H1159" s="141" t="str">
        <f t="shared" si="55"/>
        <v/>
      </c>
      <c r="J1159" s="148" t="str">
        <f>IFERROR(SUMIFS(当年实际!$V:$V,当年实际!$H:$H,$B1159,当年实际!$C:$C,"&gt;="&amp;DATE(YEAR(主页!$D$2),1,1),当年实际!$C:$C,"&lt;="&amp;EOMONTH(DATE(YEAR(主页!$D$2),MONTH(主页!$D$2),1),0))/SUMIFS(当年实际!$P:$P,当年实际!$H:$H,$B1159,当年实际!$C:$C,"&gt;="&amp;DATE(YEAR(主页!$D$2),1,1),当年实际!$C:$C,"&lt;="&amp;EOMONTH(DATE(YEAR(主页!$D$2),MONTH(主页!$D$2),1),0)),"")</f>
        <v/>
      </c>
    </row>
    <row r="1160" spans="1:10" x14ac:dyDescent="0.3">
      <c r="A1160" s="135"/>
      <c r="B1160" s="136"/>
      <c r="C1160" s="138"/>
      <c r="D1160" s="139"/>
      <c r="E1160" s="141" t="str">
        <f t="shared" ref="E1160:E1201" si="56">IF(D1160/SUM(D:D)=0,"",D1160/SUM(D:D))</f>
        <v/>
      </c>
      <c r="F1160" s="144"/>
      <c r="G1160" s="146">
        <f t="shared" si="54"/>
        <v>0</v>
      </c>
      <c r="H1160" s="141" t="str">
        <f t="shared" si="55"/>
        <v/>
      </c>
      <c r="J1160" s="148" t="str">
        <f>IFERROR(SUMIFS(当年实际!$V:$V,当年实际!$H:$H,$B1160,当年实际!$C:$C,"&gt;="&amp;DATE(YEAR(主页!$D$2),1,1),当年实际!$C:$C,"&lt;="&amp;EOMONTH(DATE(YEAR(主页!$D$2),MONTH(主页!$D$2),1),0))/SUMIFS(当年实际!$P:$P,当年实际!$H:$H,$B1160,当年实际!$C:$C,"&gt;="&amp;DATE(YEAR(主页!$D$2),1,1),当年实际!$C:$C,"&lt;="&amp;EOMONTH(DATE(YEAR(主页!$D$2),MONTH(主页!$D$2),1),0)),"")</f>
        <v/>
      </c>
    </row>
    <row r="1161" spans="1:10" x14ac:dyDescent="0.3">
      <c r="A1161" s="135"/>
      <c r="B1161" s="136"/>
      <c r="C1161" s="138"/>
      <c r="D1161" s="139"/>
      <c r="E1161" s="141" t="str">
        <f t="shared" si="56"/>
        <v/>
      </c>
      <c r="F1161" s="144"/>
      <c r="G1161" s="146">
        <f t="shared" si="54"/>
        <v>0</v>
      </c>
      <c r="H1161" s="141" t="str">
        <f t="shared" si="55"/>
        <v/>
      </c>
      <c r="J1161" s="148" t="str">
        <f>IFERROR(SUMIFS(当年实际!$V:$V,当年实际!$H:$H,$B1161,当年实际!$C:$C,"&gt;="&amp;DATE(YEAR(主页!$D$2),1,1),当年实际!$C:$C,"&lt;="&amp;EOMONTH(DATE(YEAR(主页!$D$2),MONTH(主页!$D$2),1),0))/SUMIFS(当年实际!$P:$P,当年实际!$H:$H,$B1161,当年实际!$C:$C,"&gt;="&amp;DATE(YEAR(主页!$D$2),1,1),当年实际!$C:$C,"&lt;="&amp;EOMONTH(DATE(YEAR(主页!$D$2),MONTH(主页!$D$2),1),0)),"")</f>
        <v/>
      </c>
    </row>
    <row r="1162" spans="1:10" x14ac:dyDescent="0.3">
      <c r="A1162" s="135"/>
      <c r="B1162" s="136"/>
      <c r="C1162" s="138"/>
      <c r="D1162" s="139"/>
      <c r="E1162" s="141" t="str">
        <f t="shared" si="56"/>
        <v/>
      </c>
      <c r="F1162" s="144"/>
      <c r="G1162" s="146">
        <f t="shared" si="54"/>
        <v>0</v>
      </c>
      <c r="H1162" s="141" t="str">
        <f t="shared" si="55"/>
        <v/>
      </c>
      <c r="J1162" s="148" t="str">
        <f>IFERROR(SUMIFS(当年实际!$V:$V,当年实际!$H:$H,$B1162,当年实际!$C:$C,"&gt;="&amp;DATE(YEAR(主页!$D$2),1,1),当年实际!$C:$C,"&lt;="&amp;EOMONTH(DATE(YEAR(主页!$D$2),MONTH(主页!$D$2),1),0))/SUMIFS(当年实际!$P:$P,当年实际!$H:$H,$B1162,当年实际!$C:$C,"&gt;="&amp;DATE(YEAR(主页!$D$2),1,1),当年实际!$C:$C,"&lt;="&amp;EOMONTH(DATE(YEAR(主页!$D$2),MONTH(主页!$D$2),1),0)),"")</f>
        <v/>
      </c>
    </row>
    <row r="1163" spans="1:10" x14ac:dyDescent="0.3">
      <c r="A1163" s="135"/>
      <c r="B1163" s="136"/>
      <c r="C1163" s="138"/>
      <c r="D1163" s="139"/>
      <c r="E1163" s="141" t="str">
        <f t="shared" si="56"/>
        <v/>
      </c>
      <c r="F1163" s="144"/>
      <c r="G1163" s="146">
        <f t="shared" si="54"/>
        <v>0</v>
      </c>
      <c r="H1163" s="141" t="str">
        <f t="shared" si="55"/>
        <v/>
      </c>
      <c r="J1163" s="148" t="str">
        <f>IFERROR(SUMIFS(当年实际!$V:$V,当年实际!$H:$H,$B1163,当年实际!$C:$C,"&gt;="&amp;DATE(YEAR(主页!$D$2),1,1),当年实际!$C:$C,"&lt;="&amp;EOMONTH(DATE(YEAR(主页!$D$2),MONTH(主页!$D$2),1),0))/SUMIFS(当年实际!$P:$P,当年实际!$H:$H,$B1163,当年实际!$C:$C,"&gt;="&amp;DATE(YEAR(主页!$D$2),1,1),当年实际!$C:$C,"&lt;="&amp;EOMONTH(DATE(YEAR(主页!$D$2),MONTH(主页!$D$2),1),0)),"")</f>
        <v/>
      </c>
    </row>
    <row r="1164" spans="1:10" x14ac:dyDescent="0.3">
      <c r="A1164" s="135"/>
      <c r="B1164" s="136"/>
      <c r="C1164" s="138"/>
      <c r="D1164" s="139"/>
      <c r="E1164" s="141" t="str">
        <f t="shared" si="56"/>
        <v/>
      </c>
      <c r="F1164" s="144"/>
      <c r="G1164" s="146">
        <f t="shared" si="54"/>
        <v>0</v>
      </c>
      <c r="H1164" s="141" t="str">
        <f t="shared" si="55"/>
        <v/>
      </c>
      <c r="J1164" s="148" t="str">
        <f>IFERROR(SUMIFS(当年实际!$V:$V,当年实际!$H:$H,$B1164,当年实际!$C:$C,"&gt;="&amp;DATE(YEAR(主页!$D$2),1,1),当年实际!$C:$C,"&lt;="&amp;EOMONTH(DATE(YEAR(主页!$D$2),MONTH(主页!$D$2),1),0))/SUMIFS(当年实际!$P:$P,当年实际!$H:$H,$B1164,当年实际!$C:$C,"&gt;="&amp;DATE(YEAR(主页!$D$2),1,1),当年实际!$C:$C,"&lt;="&amp;EOMONTH(DATE(YEAR(主页!$D$2),MONTH(主页!$D$2),1),0)),"")</f>
        <v/>
      </c>
    </row>
    <row r="1165" spans="1:10" x14ac:dyDescent="0.3">
      <c r="A1165" s="135"/>
      <c r="B1165" s="136"/>
      <c r="C1165" s="138"/>
      <c r="D1165" s="139"/>
      <c r="E1165" s="141" t="str">
        <f t="shared" si="56"/>
        <v/>
      </c>
      <c r="F1165" s="144"/>
      <c r="G1165" s="146">
        <f t="shared" si="54"/>
        <v>0</v>
      </c>
      <c r="H1165" s="141" t="str">
        <f t="shared" si="55"/>
        <v/>
      </c>
      <c r="J1165" s="148" t="str">
        <f>IFERROR(SUMIFS(当年实际!$V:$V,当年实际!$H:$H,$B1165,当年实际!$C:$C,"&gt;="&amp;DATE(YEAR(主页!$D$2),1,1),当年实际!$C:$C,"&lt;="&amp;EOMONTH(DATE(YEAR(主页!$D$2),MONTH(主页!$D$2),1),0))/SUMIFS(当年实际!$P:$P,当年实际!$H:$H,$B1165,当年实际!$C:$C,"&gt;="&amp;DATE(YEAR(主页!$D$2),1,1),当年实际!$C:$C,"&lt;="&amp;EOMONTH(DATE(YEAR(主页!$D$2),MONTH(主页!$D$2),1),0)),"")</f>
        <v/>
      </c>
    </row>
    <row r="1166" spans="1:10" x14ac:dyDescent="0.3">
      <c r="A1166" s="135"/>
      <c r="B1166" s="136"/>
      <c r="C1166" s="138"/>
      <c r="D1166" s="139"/>
      <c r="E1166" s="141" t="str">
        <f t="shared" si="56"/>
        <v/>
      </c>
      <c r="F1166" s="144"/>
      <c r="G1166" s="146">
        <f t="shared" si="54"/>
        <v>0</v>
      </c>
      <c r="H1166" s="141" t="str">
        <f t="shared" si="55"/>
        <v/>
      </c>
      <c r="J1166" s="148" t="str">
        <f>IFERROR(SUMIFS(当年实际!$V:$V,当年实际!$H:$H,$B1166,当年实际!$C:$C,"&gt;="&amp;DATE(YEAR(主页!$D$2),1,1),当年实际!$C:$C,"&lt;="&amp;EOMONTH(DATE(YEAR(主页!$D$2),MONTH(主页!$D$2),1),0))/SUMIFS(当年实际!$P:$P,当年实际!$H:$H,$B1166,当年实际!$C:$C,"&gt;="&amp;DATE(YEAR(主页!$D$2),1,1),当年实际!$C:$C,"&lt;="&amp;EOMONTH(DATE(YEAR(主页!$D$2),MONTH(主页!$D$2),1),0)),"")</f>
        <v/>
      </c>
    </row>
    <row r="1167" spans="1:10" x14ac:dyDescent="0.3">
      <c r="A1167" s="135"/>
      <c r="B1167" s="136"/>
      <c r="C1167" s="138"/>
      <c r="D1167" s="139"/>
      <c r="E1167" s="141" t="str">
        <f t="shared" si="56"/>
        <v/>
      </c>
      <c r="F1167" s="144"/>
      <c r="G1167" s="146">
        <f t="shared" si="54"/>
        <v>0</v>
      </c>
      <c r="H1167" s="141" t="str">
        <f t="shared" si="55"/>
        <v/>
      </c>
      <c r="J1167" s="148" t="str">
        <f>IFERROR(SUMIFS(当年实际!$V:$V,当年实际!$H:$H,$B1167,当年实际!$C:$C,"&gt;="&amp;DATE(YEAR(主页!$D$2),1,1),当年实际!$C:$C,"&lt;="&amp;EOMONTH(DATE(YEAR(主页!$D$2),MONTH(主页!$D$2),1),0))/SUMIFS(当年实际!$P:$P,当年实际!$H:$H,$B1167,当年实际!$C:$C,"&gt;="&amp;DATE(YEAR(主页!$D$2),1,1),当年实际!$C:$C,"&lt;="&amp;EOMONTH(DATE(YEAR(主页!$D$2),MONTH(主页!$D$2),1),0)),"")</f>
        <v/>
      </c>
    </row>
    <row r="1168" spans="1:10" x14ac:dyDescent="0.3">
      <c r="A1168" s="135"/>
      <c r="B1168" s="136"/>
      <c r="C1168" s="138"/>
      <c r="D1168" s="139"/>
      <c r="E1168" s="141" t="str">
        <f t="shared" si="56"/>
        <v/>
      </c>
      <c r="F1168" s="144"/>
      <c r="G1168" s="146">
        <f t="shared" si="54"/>
        <v>0</v>
      </c>
      <c r="H1168" s="141" t="str">
        <f t="shared" si="55"/>
        <v/>
      </c>
      <c r="J1168" s="148" t="str">
        <f>IFERROR(SUMIFS(当年实际!$V:$V,当年实际!$H:$H,$B1168,当年实际!$C:$C,"&gt;="&amp;DATE(YEAR(主页!$D$2),1,1),当年实际!$C:$C,"&lt;="&amp;EOMONTH(DATE(YEAR(主页!$D$2),MONTH(主页!$D$2),1),0))/SUMIFS(当年实际!$P:$P,当年实际!$H:$H,$B1168,当年实际!$C:$C,"&gt;="&amp;DATE(YEAR(主页!$D$2),1,1),当年实际!$C:$C,"&lt;="&amp;EOMONTH(DATE(YEAR(主页!$D$2),MONTH(主页!$D$2),1),0)),"")</f>
        <v/>
      </c>
    </row>
    <row r="1169" spans="1:10" x14ac:dyDescent="0.3">
      <c r="A1169" s="135"/>
      <c r="B1169" s="136"/>
      <c r="C1169" s="138"/>
      <c r="D1169" s="139"/>
      <c r="E1169" s="141" t="str">
        <f t="shared" si="56"/>
        <v/>
      </c>
      <c r="F1169" s="144"/>
      <c r="G1169" s="146">
        <f t="shared" si="54"/>
        <v>0</v>
      </c>
      <c r="H1169" s="141" t="str">
        <f t="shared" si="55"/>
        <v/>
      </c>
      <c r="J1169" s="148" t="str">
        <f>IFERROR(SUMIFS(当年实际!$V:$V,当年实际!$H:$H,$B1169,当年实际!$C:$C,"&gt;="&amp;DATE(YEAR(主页!$D$2),1,1),当年实际!$C:$C,"&lt;="&amp;EOMONTH(DATE(YEAR(主页!$D$2),MONTH(主页!$D$2),1),0))/SUMIFS(当年实际!$P:$P,当年实际!$H:$H,$B1169,当年实际!$C:$C,"&gt;="&amp;DATE(YEAR(主页!$D$2),1,1),当年实际!$C:$C,"&lt;="&amp;EOMONTH(DATE(YEAR(主页!$D$2),MONTH(主页!$D$2),1),0)),"")</f>
        <v/>
      </c>
    </row>
    <row r="1170" spans="1:10" x14ac:dyDescent="0.3">
      <c r="A1170" s="135"/>
      <c r="B1170" s="136"/>
      <c r="C1170" s="138"/>
      <c r="D1170" s="139"/>
      <c r="E1170" s="141" t="str">
        <f t="shared" si="56"/>
        <v/>
      </c>
      <c r="F1170" s="144"/>
      <c r="G1170" s="146">
        <f t="shared" si="54"/>
        <v>0</v>
      </c>
      <c r="H1170" s="141" t="str">
        <f t="shared" si="55"/>
        <v/>
      </c>
      <c r="J1170" s="148" t="str">
        <f>IFERROR(SUMIFS(当年实际!$V:$V,当年实际!$H:$H,$B1170,当年实际!$C:$C,"&gt;="&amp;DATE(YEAR(主页!$D$2),1,1),当年实际!$C:$C,"&lt;="&amp;EOMONTH(DATE(YEAR(主页!$D$2),MONTH(主页!$D$2),1),0))/SUMIFS(当年实际!$P:$P,当年实际!$H:$H,$B1170,当年实际!$C:$C,"&gt;="&amp;DATE(YEAR(主页!$D$2),1,1),当年实际!$C:$C,"&lt;="&amp;EOMONTH(DATE(YEAR(主页!$D$2),MONTH(主页!$D$2),1),0)),"")</f>
        <v/>
      </c>
    </row>
    <row r="1171" spans="1:10" x14ac:dyDescent="0.3">
      <c r="A1171" s="135"/>
      <c r="B1171" s="136"/>
      <c r="C1171" s="138"/>
      <c r="D1171" s="139"/>
      <c r="E1171" s="141" t="str">
        <f t="shared" si="56"/>
        <v/>
      </c>
      <c r="F1171" s="144"/>
      <c r="G1171" s="146">
        <f t="shared" si="54"/>
        <v>0</v>
      </c>
      <c r="H1171" s="141" t="str">
        <f t="shared" si="55"/>
        <v/>
      </c>
      <c r="J1171" s="148" t="str">
        <f>IFERROR(SUMIFS(当年实际!$V:$V,当年实际!$H:$H,$B1171,当年实际!$C:$C,"&gt;="&amp;DATE(YEAR(主页!$D$2),1,1),当年实际!$C:$C,"&lt;="&amp;EOMONTH(DATE(YEAR(主页!$D$2),MONTH(主页!$D$2),1),0))/SUMIFS(当年实际!$P:$P,当年实际!$H:$H,$B1171,当年实际!$C:$C,"&gt;="&amp;DATE(YEAR(主页!$D$2),1,1),当年实际!$C:$C,"&lt;="&amp;EOMONTH(DATE(YEAR(主页!$D$2),MONTH(主页!$D$2),1),0)),"")</f>
        <v/>
      </c>
    </row>
    <row r="1172" spans="1:10" x14ac:dyDescent="0.3">
      <c r="A1172" s="135"/>
      <c r="B1172" s="136"/>
      <c r="C1172" s="138"/>
      <c r="D1172" s="139"/>
      <c r="E1172" s="141" t="str">
        <f t="shared" si="56"/>
        <v/>
      </c>
      <c r="F1172" s="144"/>
      <c r="G1172" s="146">
        <f t="shared" si="54"/>
        <v>0</v>
      </c>
      <c r="H1172" s="141" t="str">
        <f t="shared" si="55"/>
        <v/>
      </c>
      <c r="J1172" s="148" t="str">
        <f>IFERROR(SUMIFS(当年实际!$V:$V,当年实际!$H:$H,$B1172,当年实际!$C:$C,"&gt;="&amp;DATE(YEAR(主页!$D$2),1,1),当年实际!$C:$C,"&lt;="&amp;EOMONTH(DATE(YEAR(主页!$D$2),MONTH(主页!$D$2),1),0))/SUMIFS(当年实际!$P:$P,当年实际!$H:$H,$B1172,当年实际!$C:$C,"&gt;="&amp;DATE(YEAR(主页!$D$2),1,1),当年实际!$C:$C,"&lt;="&amp;EOMONTH(DATE(YEAR(主页!$D$2),MONTH(主页!$D$2),1),0)),"")</f>
        <v/>
      </c>
    </row>
    <row r="1173" spans="1:10" x14ac:dyDescent="0.3">
      <c r="A1173" s="135"/>
      <c r="B1173" s="136"/>
      <c r="C1173" s="138"/>
      <c r="D1173" s="139"/>
      <c r="E1173" s="141" t="str">
        <f t="shared" si="56"/>
        <v/>
      </c>
      <c r="F1173" s="144"/>
      <c r="G1173" s="146">
        <f t="shared" si="54"/>
        <v>0</v>
      </c>
      <c r="H1173" s="141" t="str">
        <f t="shared" si="55"/>
        <v/>
      </c>
      <c r="J1173" s="148" t="str">
        <f>IFERROR(SUMIFS(当年实际!$V:$V,当年实际!$H:$H,$B1173,当年实际!$C:$C,"&gt;="&amp;DATE(YEAR(主页!$D$2),1,1),当年实际!$C:$C,"&lt;="&amp;EOMONTH(DATE(YEAR(主页!$D$2),MONTH(主页!$D$2),1),0))/SUMIFS(当年实际!$P:$P,当年实际!$H:$H,$B1173,当年实际!$C:$C,"&gt;="&amp;DATE(YEAR(主页!$D$2),1,1),当年实际!$C:$C,"&lt;="&amp;EOMONTH(DATE(YEAR(主页!$D$2),MONTH(主页!$D$2),1),0)),"")</f>
        <v/>
      </c>
    </row>
    <row r="1174" spans="1:10" x14ac:dyDescent="0.3">
      <c r="A1174" s="135"/>
      <c r="B1174" s="136"/>
      <c r="C1174" s="138"/>
      <c r="D1174" s="139"/>
      <c r="E1174" s="141" t="str">
        <f t="shared" si="56"/>
        <v/>
      </c>
      <c r="F1174" s="144"/>
      <c r="G1174" s="146">
        <f t="shared" si="54"/>
        <v>0</v>
      </c>
      <c r="H1174" s="141" t="str">
        <f t="shared" si="55"/>
        <v/>
      </c>
      <c r="J1174" s="148" t="str">
        <f>IFERROR(SUMIFS(当年实际!$V:$V,当年实际!$H:$H,$B1174,当年实际!$C:$C,"&gt;="&amp;DATE(YEAR(主页!$D$2),1,1),当年实际!$C:$C,"&lt;="&amp;EOMONTH(DATE(YEAR(主页!$D$2),MONTH(主页!$D$2),1),0))/SUMIFS(当年实际!$P:$P,当年实际!$H:$H,$B1174,当年实际!$C:$C,"&gt;="&amp;DATE(YEAR(主页!$D$2),1,1),当年实际!$C:$C,"&lt;="&amp;EOMONTH(DATE(YEAR(主页!$D$2),MONTH(主页!$D$2),1),0)),"")</f>
        <v/>
      </c>
    </row>
    <row r="1175" spans="1:10" x14ac:dyDescent="0.3">
      <c r="A1175" s="135"/>
      <c r="B1175" s="136"/>
      <c r="C1175" s="138"/>
      <c r="D1175" s="139"/>
      <c r="E1175" s="141" t="str">
        <f t="shared" si="56"/>
        <v/>
      </c>
      <c r="F1175" s="144"/>
      <c r="G1175" s="146">
        <f t="shared" si="54"/>
        <v>0</v>
      </c>
      <c r="H1175" s="141" t="str">
        <f t="shared" si="55"/>
        <v/>
      </c>
      <c r="J1175" s="148" t="str">
        <f>IFERROR(SUMIFS(当年实际!$V:$V,当年实际!$H:$H,$B1175,当年实际!$C:$C,"&gt;="&amp;DATE(YEAR(主页!$D$2),1,1),当年实际!$C:$C,"&lt;="&amp;EOMONTH(DATE(YEAR(主页!$D$2),MONTH(主页!$D$2),1),0))/SUMIFS(当年实际!$P:$P,当年实际!$H:$H,$B1175,当年实际!$C:$C,"&gt;="&amp;DATE(YEAR(主页!$D$2),1,1),当年实际!$C:$C,"&lt;="&amp;EOMONTH(DATE(YEAR(主页!$D$2),MONTH(主页!$D$2),1),0)),"")</f>
        <v/>
      </c>
    </row>
    <row r="1176" spans="1:10" x14ac:dyDescent="0.3">
      <c r="A1176" s="135"/>
      <c r="B1176" s="136"/>
      <c r="C1176" s="138"/>
      <c r="D1176" s="139"/>
      <c r="E1176" s="141" t="str">
        <f t="shared" si="56"/>
        <v/>
      </c>
      <c r="F1176" s="144"/>
      <c r="G1176" s="146">
        <f t="shared" si="54"/>
        <v>0</v>
      </c>
      <c r="H1176" s="141" t="str">
        <f t="shared" si="55"/>
        <v/>
      </c>
      <c r="J1176" s="148" t="str">
        <f>IFERROR(SUMIFS(当年实际!$V:$V,当年实际!$H:$H,$B1176,当年实际!$C:$C,"&gt;="&amp;DATE(YEAR(主页!$D$2),1,1),当年实际!$C:$C,"&lt;="&amp;EOMONTH(DATE(YEAR(主页!$D$2),MONTH(主页!$D$2),1),0))/SUMIFS(当年实际!$P:$P,当年实际!$H:$H,$B1176,当年实际!$C:$C,"&gt;="&amp;DATE(YEAR(主页!$D$2),1,1),当年实际!$C:$C,"&lt;="&amp;EOMONTH(DATE(YEAR(主页!$D$2),MONTH(主页!$D$2),1),0)),"")</f>
        <v/>
      </c>
    </row>
    <row r="1177" spans="1:10" x14ac:dyDescent="0.3">
      <c r="A1177" s="135"/>
      <c r="B1177" s="136"/>
      <c r="C1177" s="138"/>
      <c r="D1177" s="139"/>
      <c r="E1177" s="141" t="str">
        <f t="shared" si="56"/>
        <v/>
      </c>
      <c r="F1177" s="144"/>
      <c r="G1177" s="146">
        <f t="shared" si="54"/>
        <v>0</v>
      </c>
      <c r="H1177" s="141" t="str">
        <f t="shared" si="55"/>
        <v/>
      </c>
      <c r="J1177" s="148" t="str">
        <f>IFERROR(SUMIFS(当年实际!$V:$V,当年实际!$H:$H,$B1177,当年实际!$C:$C,"&gt;="&amp;DATE(YEAR(主页!$D$2),1,1),当年实际!$C:$C,"&lt;="&amp;EOMONTH(DATE(YEAR(主页!$D$2),MONTH(主页!$D$2),1),0))/SUMIFS(当年实际!$P:$P,当年实际!$H:$H,$B1177,当年实际!$C:$C,"&gt;="&amp;DATE(YEAR(主页!$D$2),1,1),当年实际!$C:$C,"&lt;="&amp;EOMONTH(DATE(YEAR(主页!$D$2),MONTH(主页!$D$2),1),0)),"")</f>
        <v/>
      </c>
    </row>
    <row r="1178" spans="1:10" x14ac:dyDescent="0.3">
      <c r="A1178" s="135"/>
      <c r="B1178" s="136"/>
      <c r="C1178" s="138"/>
      <c r="D1178" s="139"/>
      <c r="E1178" s="141" t="str">
        <f t="shared" si="56"/>
        <v/>
      </c>
      <c r="F1178" s="144"/>
      <c r="G1178" s="146">
        <f t="shared" si="54"/>
        <v>0</v>
      </c>
      <c r="H1178" s="141" t="str">
        <f t="shared" si="55"/>
        <v/>
      </c>
      <c r="J1178" s="148" t="str">
        <f>IFERROR(SUMIFS(当年实际!$V:$V,当年实际!$H:$H,$B1178,当年实际!$C:$C,"&gt;="&amp;DATE(YEAR(主页!$D$2),1,1),当年实际!$C:$C,"&lt;="&amp;EOMONTH(DATE(YEAR(主页!$D$2),MONTH(主页!$D$2),1),0))/SUMIFS(当年实际!$P:$P,当年实际!$H:$H,$B1178,当年实际!$C:$C,"&gt;="&amp;DATE(YEAR(主页!$D$2),1,1),当年实际!$C:$C,"&lt;="&amp;EOMONTH(DATE(YEAR(主页!$D$2),MONTH(主页!$D$2),1),0)),"")</f>
        <v/>
      </c>
    </row>
    <row r="1179" spans="1:10" x14ac:dyDescent="0.3">
      <c r="A1179" s="135"/>
      <c r="B1179" s="136"/>
      <c r="C1179" s="138"/>
      <c r="D1179" s="139"/>
      <c r="E1179" s="141" t="str">
        <f t="shared" si="56"/>
        <v/>
      </c>
      <c r="F1179" s="144"/>
      <c r="G1179" s="146">
        <f t="shared" si="54"/>
        <v>0</v>
      </c>
      <c r="H1179" s="141" t="str">
        <f t="shared" si="55"/>
        <v/>
      </c>
      <c r="J1179" s="148" t="str">
        <f>IFERROR(SUMIFS(当年实际!$V:$V,当年实际!$H:$H,$B1179,当年实际!$C:$C,"&gt;="&amp;DATE(YEAR(主页!$D$2),1,1),当年实际!$C:$C,"&lt;="&amp;EOMONTH(DATE(YEAR(主页!$D$2),MONTH(主页!$D$2),1),0))/SUMIFS(当年实际!$P:$P,当年实际!$H:$H,$B1179,当年实际!$C:$C,"&gt;="&amp;DATE(YEAR(主页!$D$2),1,1),当年实际!$C:$C,"&lt;="&amp;EOMONTH(DATE(YEAR(主页!$D$2),MONTH(主页!$D$2),1),0)),"")</f>
        <v/>
      </c>
    </row>
    <row r="1180" spans="1:10" x14ac:dyDescent="0.3">
      <c r="A1180" s="135"/>
      <c r="B1180" s="136"/>
      <c r="C1180" s="138"/>
      <c r="D1180" s="139"/>
      <c r="E1180" s="141" t="str">
        <f t="shared" si="56"/>
        <v/>
      </c>
      <c r="F1180" s="144"/>
      <c r="G1180" s="146">
        <f t="shared" si="54"/>
        <v>0</v>
      </c>
      <c r="H1180" s="141" t="str">
        <f t="shared" si="55"/>
        <v/>
      </c>
      <c r="J1180" s="148" t="str">
        <f>IFERROR(SUMIFS(当年实际!$V:$V,当年实际!$H:$H,$B1180,当年实际!$C:$C,"&gt;="&amp;DATE(YEAR(主页!$D$2),1,1),当年实际!$C:$C,"&lt;="&amp;EOMONTH(DATE(YEAR(主页!$D$2),MONTH(主页!$D$2),1),0))/SUMIFS(当年实际!$P:$P,当年实际!$H:$H,$B1180,当年实际!$C:$C,"&gt;="&amp;DATE(YEAR(主页!$D$2),1,1),当年实际!$C:$C,"&lt;="&amp;EOMONTH(DATE(YEAR(主页!$D$2),MONTH(主页!$D$2),1),0)),"")</f>
        <v/>
      </c>
    </row>
    <row r="1181" spans="1:10" x14ac:dyDescent="0.3">
      <c r="A1181" s="135"/>
      <c r="B1181" s="136"/>
      <c r="C1181" s="138"/>
      <c r="D1181" s="139"/>
      <c r="E1181" s="141" t="str">
        <f t="shared" si="56"/>
        <v/>
      </c>
      <c r="F1181" s="144"/>
      <c r="G1181" s="146">
        <f t="shared" si="54"/>
        <v>0</v>
      </c>
      <c r="H1181" s="141" t="str">
        <f t="shared" si="55"/>
        <v/>
      </c>
      <c r="J1181" s="148" t="str">
        <f>IFERROR(SUMIFS(当年实际!$V:$V,当年实际!$H:$H,$B1181,当年实际!$C:$C,"&gt;="&amp;DATE(YEAR(主页!$D$2),1,1),当年实际!$C:$C,"&lt;="&amp;EOMONTH(DATE(YEAR(主页!$D$2),MONTH(主页!$D$2),1),0))/SUMIFS(当年实际!$P:$P,当年实际!$H:$H,$B1181,当年实际!$C:$C,"&gt;="&amp;DATE(YEAR(主页!$D$2),1,1),当年实际!$C:$C,"&lt;="&amp;EOMONTH(DATE(YEAR(主页!$D$2),MONTH(主页!$D$2),1),0)),"")</f>
        <v/>
      </c>
    </row>
    <row r="1182" spans="1:10" x14ac:dyDescent="0.3">
      <c r="A1182" s="135"/>
      <c r="B1182" s="136"/>
      <c r="C1182" s="138"/>
      <c r="D1182" s="139"/>
      <c r="E1182" s="141" t="str">
        <f t="shared" si="56"/>
        <v/>
      </c>
      <c r="F1182" s="144"/>
      <c r="G1182" s="146">
        <f t="shared" si="54"/>
        <v>0</v>
      </c>
      <c r="H1182" s="141" t="str">
        <f t="shared" si="55"/>
        <v/>
      </c>
      <c r="J1182" s="148" t="str">
        <f>IFERROR(SUMIFS(当年实际!$V:$V,当年实际!$H:$H,$B1182,当年实际!$C:$C,"&gt;="&amp;DATE(YEAR(主页!$D$2),1,1),当年实际!$C:$C,"&lt;="&amp;EOMONTH(DATE(YEAR(主页!$D$2),MONTH(主页!$D$2),1),0))/SUMIFS(当年实际!$P:$P,当年实际!$H:$H,$B1182,当年实际!$C:$C,"&gt;="&amp;DATE(YEAR(主页!$D$2),1,1),当年实际!$C:$C,"&lt;="&amp;EOMONTH(DATE(YEAR(主页!$D$2),MONTH(主页!$D$2),1),0)),"")</f>
        <v/>
      </c>
    </row>
    <row r="1183" spans="1:10" x14ac:dyDescent="0.3">
      <c r="A1183" s="135"/>
      <c r="B1183" s="136"/>
      <c r="C1183" s="138"/>
      <c r="D1183" s="139"/>
      <c r="E1183" s="141" t="str">
        <f t="shared" si="56"/>
        <v/>
      </c>
      <c r="F1183" s="144"/>
      <c r="G1183" s="146">
        <f t="shared" si="54"/>
        <v>0</v>
      </c>
      <c r="H1183" s="141" t="str">
        <f t="shared" si="55"/>
        <v/>
      </c>
      <c r="J1183" s="148" t="str">
        <f>IFERROR(SUMIFS(当年实际!$V:$V,当年实际!$H:$H,$B1183,当年实际!$C:$C,"&gt;="&amp;DATE(YEAR(主页!$D$2),1,1),当年实际!$C:$C,"&lt;="&amp;EOMONTH(DATE(YEAR(主页!$D$2),MONTH(主页!$D$2),1),0))/SUMIFS(当年实际!$P:$P,当年实际!$H:$H,$B1183,当年实际!$C:$C,"&gt;="&amp;DATE(YEAR(主页!$D$2),1,1),当年实际!$C:$C,"&lt;="&amp;EOMONTH(DATE(YEAR(主页!$D$2),MONTH(主页!$D$2),1),0)),"")</f>
        <v/>
      </c>
    </row>
    <row r="1184" spans="1:10" x14ac:dyDescent="0.3">
      <c r="A1184" s="135"/>
      <c r="B1184" s="136"/>
      <c r="C1184" s="138"/>
      <c r="D1184" s="139"/>
      <c r="E1184" s="141" t="str">
        <f t="shared" si="56"/>
        <v/>
      </c>
      <c r="F1184" s="144"/>
      <c r="G1184" s="146">
        <f t="shared" si="54"/>
        <v>0</v>
      </c>
      <c r="H1184" s="141" t="str">
        <f t="shared" si="55"/>
        <v/>
      </c>
      <c r="J1184" s="148" t="str">
        <f>IFERROR(SUMIFS(当年实际!$V:$V,当年实际!$H:$H,$B1184,当年实际!$C:$C,"&gt;="&amp;DATE(YEAR(主页!$D$2),1,1),当年实际!$C:$C,"&lt;="&amp;EOMONTH(DATE(YEAR(主页!$D$2),MONTH(主页!$D$2),1),0))/SUMIFS(当年实际!$P:$P,当年实际!$H:$H,$B1184,当年实际!$C:$C,"&gt;="&amp;DATE(YEAR(主页!$D$2),1,1),当年实际!$C:$C,"&lt;="&amp;EOMONTH(DATE(YEAR(主页!$D$2),MONTH(主页!$D$2),1),0)),"")</f>
        <v/>
      </c>
    </row>
    <row r="1185" spans="1:10" x14ac:dyDescent="0.3">
      <c r="A1185" s="135"/>
      <c r="B1185" s="136"/>
      <c r="C1185" s="138"/>
      <c r="D1185" s="139"/>
      <c r="E1185" s="141" t="str">
        <f t="shared" si="56"/>
        <v/>
      </c>
      <c r="F1185" s="144"/>
      <c r="G1185" s="146">
        <f t="shared" si="54"/>
        <v>0</v>
      </c>
      <c r="H1185" s="141" t="str">
        <f t="shared" si="55"/>
        <v/>
      </c>
      <c r="J1185" s="148" t="str">
        <f>IFERROR(SUMIFS(当年实际!$V:$V,当年实际!$H:$H,$B1185,当年实际!$C:$C,"&gt;="&amp;DATE(YEAR(主页!$D$2),1,1),当年实际!$C:$C,"&lt;="&amp;EOMONTH(DATE(YEAR(主页!$D$2),MONTH(主页!$D$2),1),0))/SUMIFS(当年实际!$P:$P,当年实际!$H:$H,$B1185,当年实际!$C:$C,"&gt;="&amp;DATE(YEAR(主页!$D$2),1,1),当年实际!$C:$C,"&lt;="&amp;EOMONTH(DATE(YEAR(主页!$D$2),MONTH(主页!$D$2),1),0)),"")</f>
        <v/>
      </c>
    </row>
    <row r="1186" spans="1:10" x14ac:dyDescent="0.3">
      <c r="A1186" s="135"/>
      <c r="B1186" s="136"/>
      <c r="C1186" s="138"/>
      <c r="D1186" s="139"/>
      <c r="E1186" s="141" t="str">
        <f t="shared" si="56"/>
        <v/>
      </c>
      <c r="F1186" s="144"/>
      <c r="G1186" s="146">
        <f t="shared" si="54"/>
        <v>0</v>
      </c>
      <c r="H1186" s="141" t="str">
        <f t="shared" si="55"/>
        <v/>
      </c>
      <c r="J1186" s="148" t="str">
        <f>IFERROR(SUMIFS(当年实际!$V:$V,当年实际!$H:$H,$B1186,当年实际!$C:$C,"&gt;="&amp;DATE(YEAR(主页!$D$2),1,1),当年实际!$C:$C,"&lt;="&amp;EOMONTH(DATE(YEAR(主页!$D$2),MONTH(主页!$D$2),1),0))/SUMIFS(当年实际!$P:$P,当年实际!$H:$H,$B1186,当年实际!$C:$C,"&gt;="&amp;DATE(YEAR(主页!$D$2),1,1),当年实际!$C:$C,"&lt;="&amp;EOMONTH(DATE(YEAR(主页!$D$2),MONTH(主页!$D$2),1),0)),"")</f>
        <v/>
      </c>
    </row>
    <row r="1187" spans="1:10" x14ac:dyDescent="0.3">
      <c r="A1187" s="135"/>
      <c r="B1187" s="136"/>
      <c r="C1187" s="138"/>
      <c r="D1187" s="139"/>
      <c r="E1187" s="141" t="str">
        <f t="shared" si="56"/>
        <v/>
      </c>
      <c r="F1187" s="144"/>
      <c r="G1187" s="146">
        <f t="shared" si="54"/>
        <v>0</v>
      </c>
      <c r="H1187" s="141" t="str">
        <f t="shared" si="55"/>
        <v/>
      </c>
      <c r="J1187" s="148" t="str">
        <f>IFERROR(SUMIFS(当年实际!$V:$V,当年实际!$H:$H,$B1187,当年实际!$C:$C,"&gt;="&amp;DATE(YEAR(主页!$D$2),1,1),当年实际!$C:$C,"&lt;="&amp;EOMONTH(DATE(YEAR(主页!$D$2),MONTH(主页!$D$2),1),0))/SUMIFS(当年实际!$P:$P,当年实际!$H:$H,$B1187,当年实际!$C:$C,"&gt;="&amp;DATE(YEAR(主页!$D$2),1,1),当年实际!$C:$C,"&lt;="&amp;EOMONTH(DATE(YEAR(主页!$D$2),MONTH(主页!$D$2),1),0)),"")</f>
        <v/>
      </c>
    </row>
    <row r="1188" spans="1:10" x14ac:dyDescent="0.3">
      <c r="A1188" s="135"/>
      <c r="B1188" s="136"/>
      <c r="C1188" s="138"/>
      <c r="D1188" s="139"/>
      <c r="E1188" s="141" t="str">
        <f t="shared" si="56"/>
        <v/>
      </c>
      <c r="F1188" s="144"/>
      <c r="G1188" s="146">
        <f t="shared" si="54"/>
        <v>0</v>
      </c>
      <c r="H1188" s="141" t="str">
        <f t="shared" si="55"/>
        <v/>
      </c>
      <c r="J1188" s="148" t="str">
        <f>IFERROR(SUMIFS(当年实际!$V:$V,当年实际!$H:$H,$B1188,当年实际!$C:$C,"&gt;="&amp;DATE(YEAR(主页!$D$2),1,1),当年实际!$C:$C,"&lt;="&amp;EOMONTH(DATE(YEAR(主页!$D$2),MONTH(主页!$D$2),1),0))/SUMIFS(当年实际!$P:$P,当年实际!$H:$H,$B1188,当年实际!$C:$C,"&gt;="&amp;DATE(YEAR(主页!$D$2),1,1),当年实际!$C:$C,"&lt;="&amp;EOMONTH(DATE(YEAR(主页!$D$2),MONTH(主页!$D$2),1),0)),"")</f>
        <v/>
      </c>
    </row>
    <row r="1189" spans="1:10" x14ac:dyDescent="0.3">
      <c r="A1189" s="135"/>
      <c r="B1189" s="136"/>
      <c r="C1189" s="138"/>
      <c r="D1189" s="139"/>
      <c r="E1189" s="141" t="str">
        <f t="shared" si="56"/>
        <v/>
      </c>
      <c r="F1189" s="144"/>
      <c r="G1189" s="146">
        <f t="shared" si="54"/>
        <v>0</v>
      </c>
      <c r="H1189" s="141" t="str">
        <f t="shared" si="55"/>
        <v/>
      </c>
      <c r="J1189" s="148" t="str">
        <f>IFERROR(SUMIFS(当年实际!$V:$V,当年实际!$H:$H,$B1189,当年实际!$C:$C,"&gt;="&amp;DATE(YEAR(主页!$D$2),1,1),当年实际!$C:$C,"&lt;="&amp;EOMONTH(DATE(YEAR(主页!$D$2),MONTH(主页!$D$2),1),0))/SUMIFS(当年实际!$P:$P,当年实际!$H:$H,$B1189,当年实际!$C:$C,"&gt;="&amp;DATE(YEAR(主页!$D$2),1,1),当年实际!$C:$C,"&lt;="&amp;EOMONTH(DATE(YEAR(主页!$D$2),MONTH(主页!$D$2),1),0)),"")</f>
        <v/>
      </c>
    </row>
    <row r="1190" spans="1:10" x14ac:dyDescent="0.3">
      <c r="A1190" s="135"/>
      <c r="B1190" s="136"/>
      <c r="C1190" s="138"/>
      <c r="D1190" s="139"/>
      <c r="E1190" s="141" t="str">
        <f t="shared" si="56"/>
        <v/>
      </c>
      <c r="F1190" s="144"/>
      <c r="G1190" s="146">
        <f t="shared" si="54"/>
        <v>0</v>
      </c>
      <c r="H1190" s="141" t="str">
        <f t="shared" si="55"/>
        <v/>
      </c>
      <c r="J1190" s="148" t="str">
        <f>IFERROR(SUMIFS(当年实际!$V:$V,当年实际!$H:$H,$B1190,当年实际!$C:$C,"&gt;="&amp;DATE(YEAR(主页!$D$2),1,1),当年实际!$C:$C,"&lt;="&amp;EOMONTH(DATE(YEAR(主页!$D$2),MONTH(主页!$D$2),1),0))/SUMIFS(当年实际!$P:$P,当年实际!$H:$H,$B1190,当年实际!$C:$C,"&gt;="&amp;DATE(YEAR(主页!$D$2),1,1),当年实际!$C:$C,"&lt;="&amp;EOMONTH(DATE(YEAR(主页!$D$2),MONTH(主页!$D$2),1),0)),"")</f>
        <v/>
      </c>
    </row>
    <row r="1191" spans="1:10" x14ac:dyDescent="0.3">
      <c r="A1191" s="135"/>
      <c r="B1191" s="136"/>
      <c r="C1191" s="138"/>
      <c r="D1191" s="139"/>
      <c r="E1191" s="141" t="str">
        <f t="shared" si="56"/>
        <v/>
      </c>
      <c r="F1191" s="144"/>
      <c r="G1191" s="146">
        <f t="shared" si="54"/>
        <v>0</v>
      </c>
      <c r="H1191" s="141" t="str">
        <f t="shared" si="55"/>
        <v/>
      </c>
      <c r="J1191" s="148" t="str">
        <f>IFERROR(SUMIFS(当年实际!$V:$V,当年实际!$H:$H,$B1191,当年实际!$C:$C,"&gt;="&amp;DATE(YEAR(主页!$D$2),1,1),当年实际!$C:$C,"&lt;="&amp;EOMONTH(DATE(YEAR(主页!$D$2),MONTH(主页!$D$2),1),0))/SUMIFS(当年实际!$P:$P,当年实际!$H:$H,$B1191,当年实际!$C:$C,"&gt;="&amp;DATE(YEAR(主页!$D$2),1,1),当年实际!$C:$C,"&lt;="&amp;EOMONTH(DATE(YEAR(主页!$D$2),MONTH(主页!$D$2),1),0)),"")</f>
        <v/>
      </c>
    </row>
    <row r="1192" spans="1:10" x14ac:dyDescent="0.3">
      <c r="A1192" s="135"/>
      <c r="B1192" s="136"/>
      <c r="C1192" s="138"/>
      <c r="D1192" s="139"/>
      <c r="E1192" s="141" t="str">
        <f t="shared" si="56"/>
        <v/>
      </c>
      <c r="F1192" s="144"/>
      <c r="G1192" s="146">
        <f t="shared" si="54"/>
        <v>0</v>
      </c>
      <c r="H1192" s="141" t="str">
        <f t="shared" si="55"/>
        <v/>
      </c>
      <c r="J1192" s="148" t="str">
        <f>IFERROR(SUMIFS(当年实际!$V:$V,当年实际!$H:$H,$B1192,当年实际!$C:$C,"&gt;="&amp;DATE(YEAR(主页!$D$2),1,1),当年实际!$C:$C,"&lt;="&amp;EOMONTH(DATE(YEAR(主页!$D$2),MONTH(主页!$D$2),1),0))/SUMIFS(当年实际!$P:$P,当年实际!$H:$H,$B1192,当年实际!$C:$C,"&gt;="&amp;DATE(YEAR(主页!$D$2),1,1),当年实际!$C:$C,"&lt;="&amp;EOMONTH(DATE(YEAR(主页!$D$2),MONTH(主页!$D$2),1),0)),"")</f>
        <v/>
      </c>
    </row>
    <row r="1193" spans="1:10" x14ac:dyDescent="0.3">
      <c r="A1193" s="135"/>
      <c r="B1193" s="136"/>
      <c r="C1193" s="138"/>
      <c r="D1193" s="139"/>
      <c r="E1193" s="141" t="str">
        <f t="shared" si="56"/>
        <v/>
      </c>
      <c r="F1193" s="144"/>
      <c r="G1193" s="146">
        <f t="shared" si="54"/>
        <v>0</v>
      </c>
      <c r="H1193" s="141" t="str">
        <f t="shared" si="55"/>
        <v/>
      </c>
      <c r="J1193" s="148" t="str">
        <f>IFERROR(SUMIFS(当年实际!$V:$V,当年实际!$H:$H,$B1193,当年实际!$C:$C,"&gt;="&amp;DATE(YEAR(主页!$D$2),1,1),当年实际!$C:$C,"&lt;="&amp;EOMONTH(DATE(YEAR(主页!$D$2),MONTH(主页!$D$2),1),0))/SUMIFS(当年实际!$P:$P,当年实际!$H:$H,$B1193,当年实际!$C:$C,"&gt;="&amp;DATE(YEAR(主页!$D$2),1,1),当年实际!$C:$C,"&lt;="&amp;EOMONTH(DATE(YEAR(主页!$D$2),MONTH(主页!$D$2),1),0)),"")</f>
        <v/>
      </c>
    </row>
    <row r="1194" spans="1:10" x14ac:dyDescent="0.3">
      <c r="A1194" s="135"/>
      <c r="B1194" s="136"/>
      <c r="C1194" s="138"/>
      <c r="D1194" s="139"/>
      <c r="E1194" s="141" t="str">
        <f t="shared" si="56"/>
        <v/>
      </c>
      <c r="F1194" s="144"/>
      <c r="G1194" s="146">
        <f t="shared" si="54"/>
        <v>0</v>
      </c>
      <c r="H1194" s="141" t="str">
        <f t="shared" si="55"/>
        <v/>
      </c>
      <c r="J1194" s="148" t="str">
        <f>IFERROR(SUMIFS(当年实际!$V:$V,当年实际!$H:$H,$B1194,当年实际!$C:$C,"&gt;="&amp;DATE(YEAR(主页!$D$2),1,1),当年实际!$C:$C,"&lt;="&amp;EOMONTH(DATE(YEAR(主页!$D$2),MONTH(主页!$D$2),1),0))/SUMIFS(当年实际!$P:$P,当年实际!$H:$H,$B1194,当年实际!$C:$C,"&gt;="&amp;DATE(YEAR(主页!$D$2),1,1),当年实际!$C:$C,"&lt;="&amp;EOMONTH(DATE(YEAR(主页!$D$2),MONTH(主页!$D$2),1),0)),"")</f>
        <v/>
      </c>
    </row>
    <row r="1195" spans="1:10" x14ac:dyDescent="0.3">
      <c r="A1195" s="135"/>
      <c r="B1195" s="136"/>
      <c r="C1195" s="138"/>
      <c r="D1195" s="139"/>
      <c r="E1195" s="141" t="str">
        <f t="shared" si="56"/>
        <v/>
      </c>
      <c r="F1195" s="144"/>
      <c r="G1195" s="146">
        <f t="shared" si="54"/>
        <v>0</v>
      </c>
      <c r="H1195" s="141" t="str">
        <f t="shared" si="55"/>
        <v/>
      </c>
      <c r="J1195" s="148" t="str">
        <f>IFERROR(SUMIFS(当年实际!$V:$V,当年实际!$H:$H,$B1195,当年实际!$C:$C,"&gt;="&amp;DATE(YEAR(主页!$D$2),1,1),当年实际!$C:$C,"&lt;="&amp;EOMONTH(DATE(YEAR(主页!$D$2),MONTH(主页!$D$2),1),0))/SUMIFS(当年实际!$P:$P,当年实际!$H:$H,$B1195,当年实际!$C:$C,"&gt;="&amp;DATE(YEAR(主页!$D$2),1,1),当年实际!$C:$C,"&lt;="&amp;EOMONTH(DATE(YEAR(主页!$D$2),MONTH(主页!$D$2),1),0)),"")</f>
        <v/>
      </c>
    </row>
    <row r="1196" spans="1:10" x14ac:dyDescent="0.3">
      <c r="A1196" s="135"/>
      <c r="B1196" s="136"/>
      <c r="C1196" s="138"/>
      <c r="D1196" s="139"/>
      <c r="E1196" s="141" t="str">
        <f t="shared" si="56"/>
        <v/>
      </c>
      <c r="F1196" s="144"/>
      <c r="G1196" s="146">
        <f t="shared" si="54"/>
        <v>0</v>
      </c>
      <c r="H1196" s="141" t="str">
        <f t="shared" si="55"/>
        <v/>
      </c>
      <c r="J1196" s="148" t="str">
        <f>IFERROR(SUMIFS(当年实际!$V:$V,当年实际!$H:$H,$B1196,当年实际!$C:$C,"&gt;="&amp;DATE(YEAR(主页!$D$2),1,1),当年实际!$C:$C,"&lt;="&amp;EOMONTH(DATE(YEAR(主页!$D$2),MONTH(主页!$D$2),1),0))/SUMIFS(当年实际!$P:$P,当年实际!$H:$H,$B1196,当年实际!$C:$C,"&gt;="&amp;DATE(YEAR(主页!$D$2),1,1),当年实际!$C:$C,"&lt;="&amp;EOMONTH(DATE(YEAR(主页!$D$2),MONTH(主页!$D$2),1),0)),"")</f>
        <v/>
      </c>
    </row>
    <row r="1197" spans="1:10" x14ac:dyDescent="0.3">
      <c r="A1197" s="135"/>
      <c r="B1197" s="136"/>
      <c r="C1197" s="138"/>
      <c r="D1197" s="139"/>
      <c r="E1197" s="141" t="str">
        <f t="shared" si="56"/>
        <v/>
      </c>
      <c r="F1197" s="144"/>
      <c r="G1197" s="146">
        <f t="shared" si="54"/>
        <v>0</v>
      </c>
      <c r="H1197" s="141" t="str">
        <f t="shared" si="55"/>
        <v/>
      </c>
      <c r="J1197" s="148" t="str">
        <f>IFERROR(SUMIFS(当年实际!$V:$V,当年实际!$H:$H,$B1197,当年实际!$C:$C,"&gt;="&amp;DATE(YEAR(主页!$D$2),1,1),当年实际!$C:$C,"&lt;="&amp;EOMONTH(DATE(YEAR(主页!$D$2),MONTH(主页!$D$2),1),0))/SUMIFS(当年实际!$P:$P,当年实际!$H:$H,$B1197,当年实际!$C:$C,"&gt;="&amp;DATE(YEAR(主页!$D$2),1,1),当年实际!$C:$C,"&lt;="&amp;EOMONTH(DATE(YEAR(主页!$D$2),MONTH(主页!$D$2),1),0)),"")</f>
        <v/>
      </c>
    </row>
    <row r="1198" spans="1:10" x14ac:dyDescent="0.3">
      <c r="A1198" s="135"/>
      <c r="B1198" s="136"/>
      <c r="C1198" s="138"/>
      <c r="D1198" s="139"/>
      <c r="E1198" s="141" t="str">
        <f t="shared" si="56"/>
        <v/>
      </c>
      <c r="F1198" s="144"/>
      <c r="G1198" s="146">
        <f t="shared" si="54"/>
        <v>0</v>
      </c>
      <c r="H1198" s="141" t="str">
        <f t="shared" si="55"/>
        <v/>
      </c>
      <c r="J1198" s="148" t="str">
        <f>IFERROR(SUMIFS(当年实际!$V:$V,当年实际!$H:$H,$B1198,当年实际!$C:$C,"&gt;="&amp;DATE(YEAR(主页!$D$2),1,1),当年实际!$C:$C,"&lt;="&amp;EOMONTH(DATE(YEAR(主页!$D$2),MONTH(主页!$D$2),1),0))/SUMIFS(当年实际!$P:$P,当年实际!$H:$H,$B1198,当年实际!$C:$C,"&gt;="&amp;DATE(YEAR(主页!$D$2),1,1),当年实际!$C:$C,"&lt;="&amp;EOMONTH(DATE(YEAR(主页!$D$2),MONTH(主页!$D$2),1),0)),"")</f>
        <v/>
      </c>
    </row>
    <row r="1199" spans="1:10" x14ac:dyDescent="0.3">
      <c r="A1199" s="135"/>
      <c r="B1199" s="136"/>
      <c r="C1199" s="138"/>
      <c r="D1199" s="139"/>
      <c r="E1199" s="141" t="str">
        <f t="shared" si="56"/>
        <v/>
      </c>
      <c r="F1199" s="144"/>
      <c r="G1199" s="146">
        <f t="shared" si="54"/>
        <v>0</v>
      </c>
      <c r="H1199" s="141" t="str">
        <f t="shared" si="55"/>
        <v/>
      </c>
      <c r="J1199" s="148" t="str">
        <f>IFERROR(SUMIFS(当年实际!$V:$V,当年实际!$H:$H,$B1199,当年实际!$C:$C,"&gt;="&amp;DATE(YEAR(主页!$D$2),1,1),当年实际!$C:$C,"&lt;="&amp;EOMONTH(DATE(YEAR(主页!$D$2),MONTH(主页!$D$2),1),0))/SUMIFS(当年实际!$P:$P,当年实际!$H:$H,$B1199,当年实际!$C:$C,"&gt;="&amp;DATE(YEAR(主页!$D$2),1,1),当年实际!$C:$C,"&lt;="&amp;EOMONTH(DATE(YEAR(主页!$D$2),MONTH(主页!$D$2),1),0)),"")</f>
        <v/>
      </c>
    </row>
    <row r="1200" spans="1:10" x14ac:dyDescent="0.3">
      <c r="A1200" s="135"/>
      <c r="B1200" s="136"/>
      <c r="C1200" s="138"/>
      <c r="D1200" s="139"/>
      <c r="E1200" s="141" t="str">
        <f t="shared" si="56"/>
        <v/>
      </c>
      <c r="F1200" s="144"/>
      <c r="G1200" s="146">
        <f t="shared" si="54"/>
        <v>0</v>
      </c>
      <c r="H1200" s="141" t="str">
        <f t="shared" si="55"/>
        <v/>
      </c>
      <c r="J1200" s="148" t="str">
        <f>IFERROR(SUMIFS(当年实际!$V:$V,当年实际!$H:$H,$B1200,当年实际!$C:$C,"&gt;="&amp;DATE(YEAR(主页!$D$2),1,1),当年实际!$C:$C,"&lt;="&amp;EOMONTH(DATE(YEAR(主页!$D$2),MONTH(主页!$D$2),1),0))/SUMIFS(当年实际!$P:$P,当年实际!$H:$H,$B1200,当年实际!$C:$C,"&gt;="&amp;DATE(YEAR(主页!$D$2),1,1),当年实际!$C:$C,"&lt;="&amp;EOMONTH(DATE(YEAR(主页!$D$2),MONTH(主页!$D$2),1),0)),"")</f>
        <v/>
      </c>
    </row>
    <row r="1201" spans="1:10" x14ac:dyDescent="0.3">
      <c r="A1201" s="135"/>
      <c r="B1201" s="136"/>
      <c r="C1201" s="138"/>
      <c r="D1201" s="139"/>
      <c r="E1201" s="141" t="str">
        <f t="shared" si="56"/>
        <v/>
      </c>
      <c r="F1201" s="144"/>
      <c r="G1201" s="146">
        <f t="shared" si="54"/>
        <v>0</v>
      </c>
      <c r="H1201" s="141" t="str">
        <f t="shared" si="55"/>
        <v/>
      </c>
      <c r="J1201" s="148" t="str">
        <f>IFERROR(SUMIFS(当年实际!$V:$V,当年实际!$H:$H,$B1201,当年实际!$C:$C,"&gt;="&amp;DATE(YEAR(主页!$D$2),1,1),当年实际!$C:$C,"&lt;="&amp;EOMONTH(DATE(YEAR(主页!$D$2),MONTH(主页!$D$2),1),0))/SUMIFS(当年实际!$P:$P,当年实际!$H:$H,$B1201,当年实际!$C:$C,"&gt;="&amp;DATE(YEAR(主页!$D$2),1,1),当年实际!$C:$C,"&lt;="&amp;EOMONTH(DATE(YEAR(主页!$D$2),MONTH(主页!$D$2),1),0)),"")</f>
        <v/>
      </c>
    </row>
  </sheetData>
  <sheetProtection formatCells="0" formatColumns="0" formatRows="0" insertRows="0" insertHyperlinks="0" sort="0" autoFilter="0" pivotTables="0"/>
  <mergeCells count="3">
    <mergeCell ref="A1:A2"/>
    <mergeCell ref="B1:B2"/>
    <mergeCell ref="C1:C2"/>
  </mergeCells>
  <phoneticPr fontId="3" type="noConversion"/>
  <hyperlinks>
    <hyperlink ref="L1" location="主页!A1" display="主页!A1" xr:uid="{7C170241-DC59-4B8F-B043-3F346D0C62D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39F6-45D6-45BC-9523-197E60B54D24}">
  <dimension ref="A1:M1200"/>
  <sheetViews>
    <sheetView showGridLines="0" zoomScale="107" workbookViewId="0">
      <pane xSplit="7" ySplit="2" topLeftCell="H3" activePane="bottomRight" state="frozenSplit"/>
      <selection pane="topRight" activeCell="H1" sqref="H1"/>
      <selection pane="bottomLeft" activeCell="A2" sqref="A2"/>
      <selection pane="bottomRight" activeCell="M1186" sqref="M1186"/>
    </sheetView>
  </sheetViews>
  <sheetFormatPr defaultRowHeight="14" x14ac:dyDescent="0.3"/>
  <cols>
    <col min="1" max="1" width="9.58203125" bestFit="1" customWidth="1"/>
    <col min="2" max="3" width="9" bestFit="1" customWidth="1"/>
    <col min="4" max="4" width="10" bestFit="1" customWidth="1"/>
    <col min="5" max="5" width="11.75" style="6" customWidth="1"/>
    <col min="6" max="6" width="9" bestFit="1" customWidth="1"/>
    <col min="7" max="7" width="10" bestFit="1" customWidth="1"/>
    <col min="8" max="8" width="12.4140625" style="6" customWidth="1"/>
    <col min="9" max="9" width="4" customWidth="1"/>
    <col min="10" max="10" width="28.4140625" bestFit="1" customWidth="1"/>
  </cols>
  <sheetData>
    <row r="1" spans="1:13" x14ac:dyDescent="0.3">
      <c r="A1" s="256" t="s">
        <v>151</v>
      </c>
      <c r="B1" s="256" t="s">
        <v>152</v>
      </c>
      <c r="C1" s="256" t="s">
        <v>27</v>
      </c>
      <c r="D1" s="131" t="str">
        <f>"当年剩余月份估计 E"&amp;TEXT(主页!$D$2,"YY")&amp;"YTG"</f>
        <v>当年剩余月份估计 E21YTG</v>
      </c>
      <c r="E1" s="131"/>
      <c r="F1" s="158"/>
      <c r="G1" s="131"/>
      <c r="H1" s="131"/>
      <c r="J1" s="155" t="str">
        <f>"当年已过去月份实际 A"&amp;TEXT(主页!$D$2,"YY")&amp;"YTD"</f>
        <v>当年已过去月份实际 A21YTD</v>
      </c>
      <c r="M1" s="121" t="s">
        <v>197</v>
      </c>
    </row>
    <row r="2" spans="1:13" x14ac:dyDescent="0.3">
      <c r="A2" s="256" t="s">
        <v>151</v>
      </c>
      <c r="B2" s="256" t="s">
        <v>152</v>
      </c>
      <c r="C2" s="256" t="s">
        <v>27</v>
      </c>
      <c r="D2" s="132" t="s">
        <v>13</v>
      </c>
      <c r="E2" s="132" t="s">
        <v>35</v>
      </c>
      <c r="F2" s="132" t="s">
        <v>9</v>
      </c>
      <c r="G2" s="132" t="s">
        <v>10</v>
      </c>
      <c r="H2" s="132" t="s">
        <v>36</v>
      </c>
      <c r="I2" s="97"/>
      <c r="J2" s="153" t="s">
        <v>9</v>
      </c>
    </row>
    <row r="3" spans="1:13" x14ac:dyDescent="0.3">
      <c r="A3" s="129" t="s">
        <v>153</v>
      </c>
      <c r="B3" s="149" t="s">
        <v>156</v>
      </c>
      <c r="C3" s="127" t="s">
        <v>55</v>
      </c>
      <c r="D3" s="149">
        <v>1200</v>
      </c>
      <c r="E3" s="140">
        <f>IF(D3/SUM(D:D)=0,"",D3/SUM(D:D))</f>
        <v>0.19354838709677419</v>
      </c>
      <c r="F3" s="157">
        <v>0.17</v>
      </c>
      <c r="G3" s="145">
        <f>D3*F3</f>
        <v>204.00000000000003</v>
      </c>
      <c r="H3" s="140">
        <f t="shared" ref="H3:H30" si="0">IF(G3/SUM(G:G)=0,"",G3/SUM(G:G))</f>
        <v>0.1347424042272127</v>
      </c>
      <c r="J3" s="147">
        <f>IFERROR(SUMIFS(当年实际!$V:$V,当年实际!$J:$J,$C3,当年实际!$C:$C,"&gt;="&amp;DATE(YEAR(主页!$D$2),1,1),当年实际!$C:$C,"&lt;="&amp;EOMONTH(DATE(YEAR(主页!$D$2),MONTH(主页!$D$2),1),0))/SUMIFS(当年实际!$P:$P,当年实际!$J:$J,$C3,当年实际!$C:$C,"&gt;="&amp;DATE(YEAR(主页!$D$2),1,1),当年实际!$C:$C,"&lt;="&amp;EOMONTH(DATE(YEAR(主页!$D$2),MONTH(主页!$D$2),1),0)),"")</f>
        <v>0.27777777777777779</v>
      </c>
    </row>
    <row r="4" spans="1:13" x14ac:dyDescent="0.3">
      <c r="A4" s="129" t="s">
        <v>154</v>
      </c>
      <c r="B4" s="149" t="s">
        <v>157</v>
      </c>
      <c r="C4" s="127" t="s">
        <v>56</v>
      </c>
      <c r="D4" s="149">
        <v>2000</v>
      </c>
      <c r="E4" s="140">
        <f t="shared" ref="E4:E67" si="1">IF(D4/SUM(D:D)=0,"",D4/SUM(D:D))</f>
        <v>0.32258064516129031</v>
      </c>
      <c r="F4" s="157">
        <v>0.13</v>
      </c>
      <c r="G4" s="145">
        <f t="shared" ref="G4:G6" si="2">D4*F4</f>
        <v>260</v>
      </c>
      <c r="H4" s="140">
        <f t="shared" si="0"/>
        <v>0.17173051519154559</v>
      </c>
      <c r="J4" s="147">
        <f>IFERROR(SUMIFS(当年实际!$V:$V,当年实际!$J:$J,$C4,当年实际!$C:$C,"&gt;="&amp;DATE(YEAR(主页!$D$2),1,1),当年实际!$C:$C,"&lt;="&amp;EOMONTH(DATE(YEAR(主页!$D$2),MONTH(主页!$D$2),1),0))/SUMIFS(当年实际!$P:$P,当年实际!$J:$J,$C4,当年实际!$C:$C,"&gt;="&amp;DATE(YEAR(主页!$D$2),1,1),当年实际!$C:$C,"&lt;="&amp;EOMONTH(DATE(YEAR(主页!$D$2),MONTH(主页!$D$2),1),0)),"")</f>
        <v>0.19400000000000001</v>
      </c>
    </row>
    <row r="5" spans="1:13" x14ac:dyDescent="0.3">
      <c r="A5" s="129" t="s">
        <v>155</v>
      </c>
      <c r="B5" s="149" t="s">
        <v>158</v>
      </c>
      <c r="C5" s="127" t="s">
        <v>57</v>
      </c>
      <c r="D5" s="149">
        <v>3000</v>
      </c>
      <c r="E5" s="140">
        <f t="shared" si="1"/>
        <v>0.4838709677419355</v>
      </c>
      <c r="F5" s="157">
        <v>0.35</v>
      </c>
      <c r="G5" s="145">
        <f t="shared" si="2"/>
        <v>1050</v>
      </c>
      <c r="H5" s="140">
        <f t="shared" si="0"/>
        <v>0.69352708058124179</v>
      </c>
      <c r="J5" s="147">
        <f>IFERROR(SUMIFS(当年实际!$V:$V,当年实际!$J:$J,$C5,当年实际!$C:$C,"&gt;="&amp;DATE(YEAR(主页!$D$2),1,1),当年实际!$C:$C,"&lt;="&amp;EOMONTH(DATE(YEAR(主页!$D$2),MONTH(主页!$D$2),1),0))/SUMIFS(当年实际!$P:$P,当年实际!$J:$J,$C5,当年实际!$C:$C,"&gt;="&amp;DATE(YEAR(主页!$D$2),1,1),当年实际!$C:$C,"&lt;="&amp;EOMONTH(DATE(YEAR(主页!$D$2),MONTH(主页!$D$2),1),0)),"")</f>
        <v>0.16</v>
      </c>
    </row>
    <row r="6" spans="1:13" x14ac:dyDescent="0.3">
      <c r="A6" s="129"/>
      <c r="B6" s="150"/>
      <c r="C6" s="150"/>
      <c r="D6" s="150"/>
      <c r="E6" s="140" t="str">
        <f t="shared" si="1"/>
        <v/>
      </c>
      <c r="F6" s="157"/>
      <c r="G6" s="145">
        <f t="shared" si="2"/>
        <v>0</v>
      </c>
      <c r="H6" s="140" t="str">
        <f t="shared" si="0"/>
        <v/>
      </c>
      <c r="J6" s="147" t="str">
        <f>IFERROR(SUMIFS(当年实际!$V:$V,当年实际!$J:$J,$C6,当年实际!$C:$C,"&gt;="&amp;DATE(YEAR(主页!$D$2),1,1),当年实际!$C:$C,"&lt;="&amp;EOMONTH(DATE(YEAR(主页!$D$2),MONTH(主页!$D$2),1),0))/SUMIFS(当年实际!$P:$P,当年实际!$J:$J,$C6,当年实际!$C:$C,"&gt;="&amp;DATE(YEAR(主页!$D$2),1,1),当年实际!$C:$C,"&lt;="&amp;EOMONTH(DATE(YEAR(主页!$D$2),MONTH(主页!$D$2),1),0)),"")</f>
        <v/>
      </c>
    </row>
    <row r="7" spans="1:13" x14ac:dyDescent="0.3">
      <c r="A7" s="129"/>
      <c r="B7" s="150"/>
      <c r="C7" s="150"/>
      <c r="D7" s="150"/>
      <c r="E7" s="140" t="str">
        <f t="shared" si="1"/>
        <v/>
      </c>
      <c r="F7" s="157"/>
      <c r="G7" s="145">
        <f t="shared" ref="G7:G30" si="3">D7*F7</f>
        <v>0</v>
      </c>
      <c r="H7" s="140" t="str">
        <f t="shared" si="0"/>
        <v/>
      </c>
      <c r="J7" s="147" t="str">
        <f>IFERROR(SUMIFS(当年实际!$V:$V,当年实际!$J:$J,$C7,当年实际!$C:$C,"&gt;="&amp;DATE(YEAR(主页!$D$2),1,1),当年实际!$C:$C,"&lt;="&amp;EOMONTH(DATE(YEAR(主页!$D$2),MONTH(主页!$D$2),1),0))/SUMIFS(当年实际!$P:$P,当年实际!$J:$J,$C7,当年实际!$C:$C,"&gt;="&amp;DATE(YEAR(主页!$D$2),1,1),当年实际!$C:$C,"&lt;="&amp;EOMONTH(DATE(YEAR(主页!$D$2),MONTH(主页!$D$2),1),0)),"")</f>
        <v/>
      </c>
    </row>
    <row r="8" spans="1:13" x14ac:dyDescent="0.3">
      <c r="A8" s="129"/>
      <c r="B8" s="150"/>
      <c r="C8" s="150"/>
      <c r="D8" s="150"/>
      <c r="E8" s="140" t="str">
        <f t="shared" si="1"/>
        <v/>
      </c>
      <c r="F8" s="157"/>
      <c r="G8" s="145">
        <f t="shared" si="3"/>
        <v>0</v>
      </c>
      <c r="H8" s="140" t="str">
        <f t="shared" si="0"/>
        <v/>
      </c>
      <c r="J8" s="147" t="str">
        <f>IFERROR(SUMIFS(当年实际!$V:$V,当年实际!$J:$J,$C8,当年实际!$C:$C,"&gt;="&amp;DATE(YEAR(主页!$D$2),1,1),当年实际!$C:$C,"&lt;="&amp;EOMONTH(DATE(YEAR(主页!$D$2),MONTH(主页!$D$2),1),0))/SUMIFS(当年实际!$P:$P,当年实际!$J:$J,$C8,当年实际!$C:$C,"&gt;="&amp;DATE(YEAR(主页!$D$2),1,1),当年实际!$C:$C,"&lt;="&amp;EOMONTH(DATE(YEAR(主页!$D$2),MONTH(主页!$D$2),1),0)),"")</f>
        <v/>
      </c>
    </row>
    <row r="9" spans="1:13" x14ac:dyDescent="0.3">
      <c r="A9" s="129"/>
      <c r="B9" s="150"/>
      <c r="C9" s="150"/>
      <c r="D9" s="150"/>
      <c r="E9" s="140" t="str">
        <f t="shared" si="1"/>
        <v/>
      </c>
      <c r="F9" s="157"/>
      <c r="G9" s="145">
        <f t="shared" si="3"/>
        <v>0</v>
      </c>
      <c r="H9" s="140" t="str">
        <f t="shared" si="0"/>
        <v/>
      </c>
      <c r="J9" s="147" t="str">
        <f>IFERROR(SUMIFS(当年实际!$V:$V,当年实际!$J:$J,$C9,当年实际!$C:$C,"&gt;="&amp;DATE(YEAR(主页!$D$2),1,1),当年实际!$C:$C,"&lt;="&amp;EOMONTH(DATE(YEAR(主页!$D$2),MONTH(主页!$D$2),1),0))/SUMIFS(当年实际!$P:$P,当年实际!$J:$J,$C9,当年实际!$C:$C,"&gt;="&amp;DATE(YEAR(主页!$D$2),1,1),当年实际!$C:$C,"&lt;="&amp;EOMONTH(DATE(YEAR(主页!$D$2),MONTH(主页!$D$2),1),0)),"")</f>
        <v/>
      </c>
    </row>
    <row r="10" spans="1:13" x14ac:dyDescent="0.3">
      <c r="A10" s="129"/>
      <c r="B10" s="150"/>
      <c r="C10" s="150"/>
      <c r="D10" s="150"/>
      <c r="E10" s="140" t="str">
        <f t="shared" si="1"/>
        <v/>
      </c>
      <c r="F10" s="157"/>
      <c r="G10" s="145">
        <f t="shared" si="3"/>
        <v>0</v>
      </c>
      <c r="H10" s="140" t="str">
        <f t="shared" si="0"/>
        <v/>
      </c>
      <c r="J10" s="147" t="str">
        <f>IFERROR(SUMIFS(当年实际!$V:$V,当年实际!$J:$J,$C10,当年实际!$C:$C,"&gt;="&amp;DATE(YEAR(主页!$D$2),1,1),当年实际!$C:$C,"&lt;="&amp;EOMONTH(DATE(YEAR(主页!$D$2),MONTH(主页!$D$2),1),0))/SUMIFS(当年实际!$P:$P,当年实际!$J:$J,$C10,当年实际!$C:$C,"&gt;="&amp;DATE(YEAR(主页!$D$2),1,1),当年实际!$C:$C,"&lt;="&amp;EOMONTH(DATE(YEAR(主页!$D$2),MONTH(主页!$D$2),1),0)),"")</f>
        <v/>
      </c>
    </row>
    <row r="11" spans="1:13" x14ac:dyDescent="0.3">
      <c r="A11" s="129"/>
      <c r="B11" s="150"/>
      <c r="C11" s="150"/>
      <c r="D11" s="150"/>
      <c r="E11" s="140" t="str">
        <f t="shared" si="1"/>
        <v/>
      </c>
      <c r="F11" s="157"/>
      <c r="G11" s="145">
        <f t="shared" si="3"/>
        <v>0</v>
      </c>
      <c r="H11" s="140" t="str">
        <f t="shared" si="0"/>
        <v/>
      </c>
      <c r="J11" s="147" t="str">
        <f>IFERROR(SUMIFS(当年实际!$V:$V,当年实际!$J:$J,$C11,当年实际!$C:$C,"&gt;="&amp;DATE(YEAR(主页!$D$2),1,1),当年实际!$C:$C,"&lt;="&amp;EOMONTH(DATE(YEAR(主页!$D$2),MONTH(主页!$D$2),1),0))/SUMIFS(当年实际!$P:$P,当年实际!$J:$J,$C11,当年实际!$C:$C,"&gt;="&amp;DATE(YEAR(主页!$D$2),1,1),当年实际!$C:$C,"&lt;="&amp;EOMONTH(DATE(YEAR(主页!$D$2),MONTH(主页!$D$2),1),0)),"")</f>
        <v/>
      </c>
    </row>
    <row r="12" spans="1:13" x14ac:dyDescent="0.3">
      <c r="A12" s="129"/>
      <c r="B12" s="150"/>
      <c r="C12" s="150"/>
      <c r="D12" s="150"/>
      <c r="E12" s="140" t="str">
        <f t="shared" si="1"/>
        <v/>
      </c>
      <c r="F12" s="157"/>
      <c r="G12" s="145">
        <f t="shared" si="3"/>
        <v>0</v>
      </c>
      <c r="H12" s="140" t="str">
        <f t="shared" si="0"/>
        <v/>
      </c>
      <c r="J12" s="147" t="str">
        <f>IFERROR(SUMIFS(当年实际!$V:$V,当年实际!$J:$J,$C12,当年实际!$C:$C,"&gt;="&amp;DATE(YEAR(主页!$D$2),1,1),当年实际!$C:$C,"&lt;="&amp;EOMONTH(DATE(YEAR(主页!$D$2),MONTH(主页!$D$2),1),0))/SUMIFS(当年实际!$P:$P,当年实际!$J:$J,$C12,当年实际!$C:$C,"&gt;="&amp;DATE(YEAR(主页!$D$2),1,1),当年实际!$C:$C,"&lt;="&amp;EOMONTH(DATE(YEAR(主页!$D$2),MONTH(主页!$D$2),1),0)),"")</f>
        <v/>
      </c>
    </row>
    <row r="13" spans="1:13" x14ac:dyDescent="0.3">
      <c r="A13" s="129"/>
      <c r="B13" s="150"/>
      <c r="C13" s="150"/>
      <c r="D13" s="150"/>
      <c r="E13" s="140" t="str">
        <f t="shared" si="1"/>
        <v/>
      </c>
      <c r="F13" s="157"/>
      <c r="G13" s="145">
        <f t="shared" si="3"/>
        <v>0</v>
      </c>
      <c r="H13" s="140" t="str">
        <f t="shared" si="0"/>
        <v/>
      </c>
      <c r="J13" s="147" t="str">
        <f>IFERROR(SUMIFS(当年实际!$V:$V,当年实际!$J:$J,$C13,当年实际!$C:$C,"&gt;="&amp;DATE(YEAR(主页!$D$2),1,1),当年实际!$C:$C,"&lt;="&amp;EOMONTH(DATE(YEAR(主页!$D$2),MONTH(主页!$D$2),1),0))/SUMIFS(当年实际!$P:$P,当年实际!$J:$J,$C13,当年实际!$C:$C,"&gt;="&amp;DATE(YEAR(主页!$D$2),1,1),当年实际!$C:$C,"&lt;="&amp;EOMONTH(DATE(YEAR(主页!$D$2),MONTH(主页!$D$2),1),0)),"")</f>
        <v/>
      </c>
    </row>
    <row r="14" spans="1:13" x14ac:dyDescent="0.3">
      <c r="A14" s="129"/>
      <c r="B14" s="150"/>
      <c r="C14" s="150"/>
      <c r="D14" s="150"/>
      <c r="E14" s="140" t="str">
        <f t="shared" si="1"/>
        <v/>
      </c>
      <c r="F14" s="157"/>
      <c r="G14" s="145">
        <f t="shared" si="3"/>
        <v>0</v>
      </c>
      <c r="H14" s="140" t="str">
        <f t="shared" si="0"/>
        <v/>
      </c>
      <c r="J14" s="147" t="str">
        <f>IFERROR(SUMIFS(当年实际!$V:$V,当年实际!$J:$J,$C14,当年实际!$C:$C,"&gt;="&amp;DATE(YEAR(主页!$D$2),1,1),当年实际!$C:$C,"&lt;="&amp;EOMONTH(DATE(YEAR(主页!$D$2),MONTH(主页!$D$2),1),0))/SUMIFS(当年实际!$P:$P,当年实际!$J:$J,$C14,当年实际!$C:$C,"&gt;="&amp;DATE(YEAR(主页!$D$2),1,1),当年实际!$C:$C,"&lt;="&amp;EOMONTH(DATE(YEAR(主页!$D$2),MONTH(主页!$D$2),1),0)),"")</f>
        <v/>
      </c>
    </row>
    <row r="15" spans="1:13" x14ac:dyDescent="0.3">
      <c r="A15" s="129"/>
      <c r="B15" s="150"/>
      <c r="C15" s="150"/>
      <c r="D15" s="150"/>
      <c r="E15" s="140" t="str">
        <f t="shared" si="1"/>
        <v/>
      </c>
      <c r="F15" s="157"/>
      <c r="G15" s="145">
        <f t="shared" si="3"/>
        <v>0</v>
      </c>
      <c r="H15" s="140" t="str">
        <f t="shared" si="0"/>
        <v/>
      </c>
      <c r="J15" s="147" t="str">
        <f>IFERROR(SUMIFS(当年实际!$V:$V,当年实际!$J:$J,$C15,当年实际!$C:$C,"&gt;="&amp;DATE(YEAR(主页!$D$2),1,1),当年实际!$C:$C,"&lt;="&amp;EOMONTH(DATE(YEAR(主页!$D$2),MONTH(主页!$D$2),1),0))/SUMIFS(当年实际!$P:$P,当年实际!$J:$J,$C15,当年实际!$C:$C,"&gt;="&amp;DATE(YEAR(主页!$D$2),1,1),当年实际!$C:$C,"&lt;="&amp;EOMONTH(DATE(YEAR(主页!$D$2),MONTH(主页!$D$2),1),0)),"")</f>
        <v/>
      </c>
    </row>
    <row r="16" spans="1:13" x14ac:dyDescent="0.3">
      <c r="A16" s="129"/>
      <c r="B16" s="150"/>
      <c r="C16" s="150"/>
      <c r="D16" s="150"/>
      <c r="E16" s="140" t="str">
        <f t="shared" si="1"/>
        <v/>
      </c>
      <c r="F16" s="157"/>
      <c r="G16" s="145">
        <f t="shared" si="3"/>
        <v>0</v>
      </c>
      <c r="H16" s="140" t="str">
        <f t="shared" si="0"/>
        <v/>
      </c>
      <c r="J16" s="147" t="str">
        <f>IFERROR(SUMIFS(当年实际!$V:$V,当年实际!$J:$J,$C16,当年实际!$C:$C,"&gt;="&amp;DATE(YEAR(主页!$D$2),1,1),当年实际!$C:$C,"&lt;="&amp;EOMONTH(DATE(YEAR(主页!$D$2),MONTH(主页!$D$2),1),0))/SUMIFS(当年实际!$P:$P,当年实际!$J:$J,$C16,当年实际!$C:$C,"&gt;="&amp;DATE(YEAR(主页!$D$2),1,1),当年实际!$C:$C,"&lt;="&amp;EOMONTH(DATE(YEAR(主页!$D$2),MONTH(主页!$D$2),1),0)),"")</f>
        <v/>
      </c>
    </row>
    <row r="17" spans="1:10" x14ac:dyDescent="0.3">
      <c r="A17" s="129"/>
      <c r="B17" s="150"/>
      <c r="C17" s="150"/>
      <c r="D17" s="150"/>
      <c r="E17" s="140" t="str">
        <f t="shared" si="1"/>
        <v/>
      </c>
      <c r="F17" s="157"/>
      <c r="G17" s="145">
        <f t="shared" si="3"/>
        <v>0</v>
      </c>
      <c r="H17" s="140" t="str">
        <f t="shared" si="0"/>
        <v/>
      </c>
      <c r="J17" s="147" t="str">
        <f>IFERROR(SUMIFS(当年实际!$V:$V,当年实际!$J:$J,$C17,当年实际!$C:$C,"&gt;="&amp;DATE(YEAR(主页!$D$2),1,1),当年实际!$C:$C,"&lt;="&amp;EOMONTH(DATE(YEAR(主页!$D$2),MONTH(主页!$D$2),1),0))/SUMIFS(当年实际!$P:$P,当年实际!$J:$J,$C17,当年实际!$C:$C,"&gt;="&amp;DATE(YEAR(主页!$D$2),1,1),当年实际!$C:$C,"&lt;="&amp;EOMONTH(DATE(YEAR(主页!$D$2),MONTH(主页!$D$2),1),0)),"")</f>
        <v/>
      </c>
    </row>
    <row r="18" spans="1:10" x14ac:dyDescent="0.3">
      <c r="A18" s="129"/>
      <c r="B18" s="150"/>
      <c r="C18" s="150"/>
      <c r="D18" s="150"/>
      <c r="E18" s="140" t="str">
        <f t="shared" si="1"/>
        <v/>
      </c>
      <c r="F18" s="157"/>
      <c r="G18" s="145">
        <f t="shared" si="3"/>
        <v>0</v>
      </c>
      <c r="H18" s="140" t="str">
        <f t="shared" si="0"/>
        <v/>
      </c>
      <c r="J18" s="147" t="str">
        <f>IFERROR(SUMIFS(当年实际!$V:$V,当年实际!$J:$J,$C18,当年实际!$C:$C,"&gt;="&amp;DATE(YEAR(主页!$D$2),1,1),当年实际!$C:$C,"&lt;="&amp;EOMONTH(DATE(YEAR(主页!$D$2),MONTH(主页!$D$2),1),0))/SUMIFS(当年实际!$P:$P,当年实际!$J:$J,$C18,当年实际!$C:$C,"&gt;="&amp;DATE(YEAR(主页!$D$2),1,1),当年实际!$C:$C,"&lt;="&amp;EOMONTH(DATE(YEAR(主页!$D$2),MONTH(主页!$D$2),1),0)),"")</f>
        <v/>
      </c>
    </row>
    <row r="19" spans="1:10" x14ac:dyDescent="0.3">
      <c r="A19" s="129"/>
      <c r="B19" s="150"/>
      <c r="C19" s="150"/>
      <c r="D19" s="150"/>
      <c r="E19" s="140" t="str">
        <f t="shared" si="1"/>
        <v/>
      </c>
      <c r="F19" s="157"/>
      <c r="G19" s="145">
        <f t="shared" si="3"/>
        <v>0</v>
      </c>
      <c r="H19" s="140" t="str">
        <f t="shared" si="0"/>
        <v/>
      </c>
      <c r="J19" s="147" t="str">
        <f>IFERROR(SUMIFS(当年实际!$V:$V,当年实际!$J:$J,$C19,当年实际!$C:$C,"&gt;="&amp;DATE(YEAR(主页!$D$2),1,1),当年实际!$C:$C,"&lt;="&amp;EOMONTH(DATE(YEAR(主页!$D$2),MONTH(主页!$D$2),1),0))/SUMIFS(当年实际!$P:$P,当年实际!$J:$J,$C19,当年实际!$C:$C,"&gt;="&amp;DATE(YEAR(主页!$D$2),1,1),当年实际!$C:$C,"&lt;="&amp;EOMONTH(DATE(YEAR(主页!$D$2),MONTH(主页!$D$2),1),0)),"")</f>
        <v/>
      </c>
    </row>
    <row r="20" spans="1:10" x14ac:dyDescent="0.3">
      <c r="A20" s="129"/>
      <c r="B20" s="150"/>
      <c r="C20" s="150"/>
      <c r="D20" s="150"/>
      <c r="E20" s="140" t="str">
        <f t="shared" si="1"/>
        <v/>
      </c>
      <c r="F20" s="157"/>
      <c r="G20" s="145">
        <f t="shared" si="3"/>
        <v>0</v>
      </c>
      <c r="H20" s="140" t="str">
        <f t="shared" si="0"/>
        <v/>
      </c>
      <c r="J20" s="147" t="str">
        <f>IFERROR(SUMIFS(当年实际!$V:$V,当年实际!$J:$J,$C20,当年实际!$C:$C,"&gt;="&amp;DATE(YEAR(主页!$D$2),1,1),当年实际!$C:$C,"&lt;="&amp;EOMONTH(DATE(YEAR(主页!$D$2),MONTH(主页!$D$2),1),0))/SUMIFS(当年实际!$P:$P,当年实际!$J:$J,$C20,当年实际!$C:$C,"&gt;="&amp;DATE(YEAR(主页!$D$2),1,1),当年实际!$C:$C,"&lt;="&amp;EOMONTH(DATE(YEAR(主页!$D$2),MONTH(主页!$D$2),1),0)),"")</f>
        <v/>
      </c>
    </row>
    <row r="21" spans="1:10" x14ac:dyDescent="0.3">
      <c r="A21" s="129"/>
      <c r="B21" s="150"/>
      <c r="C21" s="150"/>
      <c r="D21" s="150"/>
      <c r="E21" s="140" t="str">
        <f t="shared" si="1"/>
        <v/>
      </c>
      <c r="F21" s="157"/>
      <c r="G21" s="145">
        <f t="shared" si="3"/>
        <v>0</v>
      </c>
      <c r="H21" s="140" t="str">
        <f t="shared" si="0"/>
        <v/>
      </c>
      <c r="J21" s="147" t="str">
        <f>IFERROR(SUMIFS(当年实际!$V:$V,当年实际!$J:$J,$C21,当年实际!$C:$C,"&gt;="&amp;DATE(YEAR(主页!$D$2),1,1),当年实际!$C:$C,"&lt;="&amp;EOMONTH(DATE(YEAR(主页!$D$2),MONTH(主页!$D$2),1),0))/SUMIFS(当年实际!$P:$P,当年实际!$J:$J,$C21,当年实际!$C:$C,"&gt;="&amp;DATE(YEAR(主页!$D$2),1,1),当年实际!$C:$C,"&lt;="&amp;EOMONTH(DATE(YEAR(主页!$D$2),MONTH(主页!$D$2),1),0)),"")</f>
        <v/>
      </c>
    </row>
    <row r="22" spans="1:10" x14ac:dyDescent="0.3">
      <c r="A22" s="129"/>
      <c r="B22" s="150"/>
      <c r="C22" s="150"/>
      <c r="D22" s="150"/>
      <c r="E22" s="140" t="str">
        <f t="shared" si="1"/>
        <v/>
      </c>
      <c r="F22" s="157"/>
      <c r="G22" s="145">
        <f t="shared" si="3"/>
        <v>0</v>
      </c>
      <c r="H22" s="140" t="str">
        <f t="shared" si="0"/>
        <v/>
      </c>
      <c r="J22" s="147" t="str">
        <f>IFERROR(SUMIFS(当年实际!$V:$V,当年实际!$J:$J,$C22,当年实际!$C:$C,"&gt;="&amp;DATE(YEAR(主页!$D$2),1,1),当年实际!$C:$C,"&lt;="&amp;EOMONTH(DATE(YEAR(主页!$D$2),MONTH(主页!$D$2),1),0))/SUMIFS(当年实际!$P:$P,当年实际!$J:$J,$C22,当年实际!$C:$C,"&gt;="&amp;DATE(YEAR(主页!$D$2),1,1),当年实际!$C:$C,"&lt;="&amp;EOMONTH(DATE(YEAR(主页!$D$2),MONTH(主页!$D$2),1),0)),"")</f>
        <v/>
      </c>
    </row>
    <row r="23" spans="1:10" x14ac:dyDescent="0.3">
      <c r="A23" s="129"/>
      <c r="B23" s="150"/>
      <c r="C23" s="150"/>
      <c r="D23" s="150"/>
      <c r="E23" s="140" t="str">
        <f t="shared" si="1"/>
        <v/>
      </c>
      <c r="F23" s="157"/>
      <c r="G23" s="145">
        <f t="shared" si="3"/>
        <v>0</v>
      </c>
      <c r="H23" s="140" t="str">
        <f t="shared" si="0"/>
        <v/>
      </c>
      <c r="J23" s="147" t="str">
        <f>IFERROR(SUMIFS(当年实际!$V:$V,当年实际!$J:$J,$C23,当年实际!$C:$C,"&gt;="&amp;DATE(YEAR(主页!$D$2),1,1),当年实际!$C:$C,"&lt;="&amp;EOMONTH(DATE(YEAR(主页!$D$2),MONTH(主页!$D$2),1),0))/SUMIFS(当年实际!$P:$P,当年实际!$J:$J,$C23,当年实际!$C:$C,"&gt;="&amp;DATE(YEAR(主页!$D$2),1,1),当年实际!$C:$C,"&lt;="&amp;EOMONTH(DATE(YEAR(主页!$D$2),MONTH(主页!$D$2),1),0)),"")</f>
        <v/>
      </c>
    </row>
    <row r="24" spans="1:10" x14ac:dyDescent="0.3">
      <c r="A24" s="129"/>
      <c r="B24" s="150"/>
      <c r="C24" s="150"/>
      <c r="D24" s="150"/>
      <c r="E24" s="140" t="str">
        <f t="shared" si="1"/>
        <v/>
      </c>
      <c r="F24" s="157"/>
      <c r="G24" s="145">
        <f t="shared" si="3"/>
        <v>0</v>
      </c>
      <c r="H24" s="140" t="str">
        <f t="shared" si="0"/>
        <v/>
      </c>
      <c r="J24" s="147" t="str">
        <f>IFERROR(SUMIFS(当年实际!$V:$V,当年实际!$J:$J,$C24,当年实际!$C:$C,"&gt;="&amp;DATE(YEAR(主页!$D$2),1,1),当年实际!$C:$C,"&lt;="&amp;EOMONTH(DATE(YEAR(主页!$D$2),MONTH(主页!$D$2),1),0))/SUMIFS(当年实际!$P:$P,当年实际!$J:$J,$C24,当年实际!$C:$C,"&gt;="&amp;DATE(YEAR(主页!$D$2),1,1),当年实际!$C:$C,"&lt;="&amp;EOMONTH(DATE(YEAR(主页!$D$2),MONTH(主页!$D$2),1),0)),"")</f>
        <v/>
      </c>
    </row>
    <row r="25" spans="1:10" x14ac:dyDescent="0.3">
      <c r="A25" s="129"/>
      <c r="B25" s="150"/>
      <c r="C25" s="150"/>
      <c r="D25" s="150"/>
      <c r="E25" s="140" t="str">
        <f t="shared" si="1"/>
        <v/>
      </c>
      <c r="F25" s="157"/>
      <c r="G25" s="145">
        <f t="shared" si="3"/>
        <v>0</v>
      </c>
      <c r="H25" s="140" t="str">
        <f t="shared" si="0"/>
        <v/>
      </c>
      <c r="J25" s="147" t="str">
        <f>IFERROR(SUMIFS(当年实际!$V:$V,当年实际!$J:$J,$C25,当年实际!$C:$C,"&gt;="&amp;DATE(YEAR(主页!$D$2),1,1),当年实际!$C:$C,"&lt;="&amp;EOMONTH(DATE(YEAR(主页!$D$2),MONTH(主页!$D$2),1),0))/SUMIFS(当年实际!$P:$P,当年实际!$J:$J,$C25,当年实际!$C:$C,"&gt;="&amp;DATE(YEAR(主页!$D$2),1,1),当年实际!$C:$C,"&lt;="&amp;EOMONTH(DATE(YEAR(主页!$D$2),MONTH(主页!$D$2),1),0)),"")</f>
        <v/>
      </c>
    </row>
    <row r="26" spans="1:10" x14ac:dyDescent="0.3">
      <c r="A26" s="129"/>
      <c r="B26" s="150"/>
      <c r="C26" s="150"/>
      <c r="D26" s="150"/>
      <c r="E26" s="140" t="str">
        <f t="shared" si="1"/>
        <v/>
      </c>
      <c r="F26" s="157"/>
      <c r="G26" s="145">
        <f t="shared" si="3"/>
        <v>0</v>
      </c>
      <c r="H26" s="140" t="str">
        <f t="shared" si="0"/>
        <v/>
      </c>
      <c r="J26" s="147" t="str">
        <f>IFERROR(SUMIFS(当年实际!$V:$V,当年实际!$J:$J,$C26,当年实际!$C:$C,"&gt;="&amp;DATE(YEAR(主页!$D$2),1,1),当年实际!$C:$C,"&lt;="&amp;EOMONTH(DATE(YEAR(主页!$D$2),MONTH(主页!$D$2),1),0))/SUMIFS(当年实际!$P:$P,当年实际!$J:$J,$C26,当年实际!$C:$C,"&gt;="&amp;DATE(YEAR(主页!$D$2),1,1),当年实际!$C:$C,"&lt;="&amp;EOMONTH(DATE(YEAR(主页!$D$2),MONTH(主页!$D$2),1),0)),"")</f>
        <v/>
      </c>
    </row>
    <row r="27" spans="1:10" x14ac:dyDescent="0.3">
      <c r="A27" s="129"/>
      <c r="B27" s="150"/>
      <c r="C27" s="150"/>
      <c r="D27" s="150"/>
      <c r="E27" s="140" t="str">
        <f t="shared" si="1"/>
        <v/>
      </c>
      <c r="F27" s="157"/>
      <c r="G27" s="145">
        <f t="shared" si="3"/>
        <v>0</v>
      </c>
      <c r="H27" s="140" t="str">
        <f t="shared" si="0"/>
        <v/>
      </c>
      <c r="J27" s="147" t="str">
        <f>IFERROR(SUMIFS(当年实际!$V:$V,当年实际!$J:$J,$C27,当年实际!$C:$C,"&gt;="&amp;DATE(YEAR(主页!$D$2),1,1),当年实际!$C:$C,"&lt;="&amp;EOMONTH(DATE(YEAR(主页!$D$2),MONTH(主页!$D$2),1),0))/SUMIFS(当年实际!$P:$P,当年实际!$J:$J,$C27,当年实际!$C:$C,"&gt;="&amp;DATE(YEAR(主页!$D$2),1,1),当年实际!$C:$C,"&lt;="&amp;EOMONTH(DATE(YEAR(主页!$D$2),MONTH(主页!$D$2),1),0)),"")</f>
        <v/>
      </c>
    </row>
    <row r="28" spans="1:10" x14ac:dyDescent="0.3">
      <c r="A28" s="129"/>
      <c r="B28" s="150"/>
      <c r="C28" s="150"/>
      <c r="D28" s="150"/>
      <c r="E28" s="140" t="str">
        <f t="shared" si="1"/>
        <v/>
      </c>
      <c r="F28" s="157"/>
      <c r="G28" s="145">
        <f t="shared" si="3"/>
        <v>0</v>
      </c>
      <c r="H28" s="140" t="str">
        <f t="shared" si="0"/>
        <v/>
      </c>
      <c r="J28" s="147" t="str">
        <f>IFERROR(SUMIFS(当年实际!$V:$V,当年实际!$J:$J,$C28,当年实际!$C:$C,"&gt;="&amp;DATE(YEAR(主页!$D$2),1,1),当年实际!$C:$C,"&lt;="&amp;EOMONTH(DATE(YEAR(主页!$D$2),MONTH(主页!$D$2),1),0))/SUMIFS(当年实际!$P:$P,当年实际!$J:$J,$C28,当年实际!$C:$C,"&gt;="&amp;DATE(YEAR(主页!$D$2),1,1),当年实际!$C:$C,"&lt;="&amp;EOMONTH(DATE(YEAR(主页!$D$2),MONTH(主页!$D$2),1),0)),"")</f>
        <v/>
      </c>
    </row>
    <row r="29" spans="1:10" x14ac:dyDescent="0.3">
      <c r="A29" s="129"/>
      <c r="B29" s="150"/>
      <c r="C29" s="150"/>
      <c r="D29" s="150"/>
      <c r="E29" s="140" t="str">
        <f t="shared" si="1"/>
        <v/>
      </c>
      <c r="F29" s="157"/>
      <c r="G29" s="145">
        <f t="shared" si="3"/>
        <v>0</v>
      </c>
      <c r="H29" s="140" t="str">
        <f t="shared" si="0"/>
        <v/>
      </c>
      <c r="J29" s="147" t="str">
        <f>IFERROR(SUMIFS(当年实际!$V:$V,当年实际!$J:$J,$C29,当年实际!$C:$C,"&gt;="&amp;DATE(YEAR(主页!$D$2),1,1),当年实际!$C:$C,"&lt;="&amp;EOMONTH(DATE(YEAR(主页!$D$2),MONTH(主页!$D$2),1),0))/SUMIFS(当年实际!$P:$P,当年实际!$J:$J,$C29,当年实际!$C:$C,"&gt;="&amp;DATE(YEAR(主页!$D$2),1,1),当年实际!$C:$C,"&lt;="&amp;EOMONTH(DATE(YEAR(主页!$D$2),MONTH(主页!$D$2),1),0)),"")</f>
        <v/>
      </c>
    </row>
    <row r="30" spans="1:10" x14ac:dyDescent="0.3">
      <c r="A30" s="129"/>
      <c r="B30" s="150"/>
      <c r="C30" s="150"/>
      <c r="D30" s="150"/>
      <c r="E30" s="140" t="str">
        <f t="shared" si="1"/>
        <v/>
      </c>
      <c r="F30" s="157"/>
      <c r="G30" s="145">
        <f t="shared" si="3"/>
        <v>0</v>
      </c>
      <c r="H30" s="140" t="str">
        <f t="shared" si="0"/>
        <v/>
      </c>
      <c r="J30" s="147" t="str">
        <f>IFERROR(SUMIFS(当年实际!$V:$V,当年实际!$J:$J,$C30,当年实际!$C:$C,"&gt;="&amp;DATE(YEAR(主页!$D$2),1,1),当年实际!$C:$C,"&lt;="&amp;EOMONTH(DATE(YEAR(主页!$D$2),MONTH(主页!$D$2),1),0))/SUMIFS(当年实际!$P:$P,当年实际!$J:$J,$C30,当年实际!$C:$C,"&gt;="&amp;DATE(YEAR(主页!$D$2),1,1),当年实际!$C:$C,"&lt;="&amp;EOMONTH(DATE(YEAR(主页!$D$2),MONTH(主页!$D$2),1),0)),"")</f>
        <v/>
      </c>
    </row>
    <row r="31" spans="1:10" x14ac:dyDescent="0.3">
      <c r="A31" s="129"/>
      <c r="B31" s="150"/>
      <c r="C31" s="150"/>
      <c r="D31" s="150"/>
      <c r="E31" s="140" t="str">
        <f t="shared" si="1"/>
        <v/>
      </c>
      <c r="F31" s="157"/>
      <c r="G31" s="145">
        <f t="shared" ref="G31:G94" si="4">D31*F31</f>
        <v>0</v>
      </c>
      <c r="H31" s="140" t="str">
        <f t="shared" ref="H31:H94" si="5">IF(G31/SUM(G:G)=0,"",G31/SUM(G:G))</f>
        <v/>
      </c>
      <c r="J31" s="147" t="str">
        <f>IFERROR(SUMIFS(当年实际!$V:$V,当年实际!$J:$J,$C31,当年实际!$C:$C,"&gt;="&amp;DATE(YEAR(主页!$D$2),1,1),当年实际!$C:$C,"&lt;="&amp;EOMONTH(DATE(YEAR(主页!$D$2),MONTH(主页!$D$2),1),0))/SUMIFS(当年实际!$P:$P,当年实际!$J:$J,$C31,当年实际!$C:$C,"&gt;="&amp;DATE(YEAR(主页!$D$2),1,1),当年实际!$C:$C,"&lt;="&amp;EOMONTH(DATE(YEAR(主页!$D$2),MONTH(主页!$D$2),1),0)),"")</f>
        <v/>
      </c>
    </row>
    <row r="32" spans="1:10" x14ac:dyDescent="0.3">
      <c r="A32" s="129"/>
      <c r="B32" s="150"/>
      <c r="C32" s="150"/>
      <c r="D32" s="150"/>
      <c r="E32" s="140" t="str">
        <f t="shared" si="1"/>
        <v/>
      </c>
      <c r="F32" s="157"/>
      <c r="G32" s="145">
        <f t="shared" si="4"/>
        <v>0</v>
      </c>
      <c r="H32" s="140" t="str">
        <f t="shared" si="5"/>
        <v/>
      </c>
      <c r="J32" s="147" t="str">
        <f>IFERROR(SUMIFS(当年实际!$V:$V,当年实际!$J:$J,$C32,当年实际!$C:$C,"&gt;="&amp;DATE(YEAR(主页!$D$2),1,1),当年实际!$C:$C,"&lt;="&amp;EOMONTH(DATE(YEAR(主页!$D$2),MONTH(主页!$D$2),1),0))/SUMIFS(当年实际!$P:$P,当年实际!$J:$J,$C32,当年实际!$C:$C,"&gt;="&amp;DATE(YEAR(主页!$D$2),1,1),当年实际!$C:$C,"&lt;="&amp;EOMONTH(DATE(YEAR(主页!$D$2),MONTH(主页!$D$2),1),0)),"")</f>
        <v/>
      </c>
    </row>
    <row r="33" spans="1:10" x14ac:dyDescent="0.3">
      <c r="A33" s="129"/>
      <c r="B33" s="150"/>
      <c r="C33" s="150"/>
      <c r="D33" s="150"/>
      <c r="E33" s="140" t="str">
        <f t="shared" si="1"/>
        <v/>
      </c>
      <c r="F33" s="157"/>
      <c r="G33" s="145">
        <f t="shared" si="4"/>
        <v>0</v>
      </c>
      <c r="H33" s="140" t="str">
        <f t="shared" si="5"/>
        <v/>
      </c>
      <c r="J33" s="147" t="str">
        <f>IFERROR(SUMIFS(当年实际!$V:$V,当年实际!$J:$J,$C33,当年实际!$C:$C,"&gt;="&amp;DATE(YEAR(主页!$D$2),1,1),当年实际!$C:$C,"&lt;="&amp;EOMONTH(DATE(YEAR(主页!$D$2),MONTH(主页!$D$2),1),0))/SUMIFS(当年实际!$P:$P,当年实际!$J:$J,$C33,当年实际!$C:$C,"&gt;="&amp;DATE(YEAR(主页!$D$2),1,1),当年实际!$C:$C,"&lt;="&amp;EOMONTH(DATE(YEAR(主页!$D$2),MONTH(主页!$D$2),1),0)),"")</f>
        <v/>
      </c>
    </row>
    <row r="34" spans="1:10" x14ac:dyDescent="0.3">
      <c r="A34" s="129"/>
      <c r="B34" s="150"/>
      <c r="C34" s="150"/>
      <c r="D34" s="150"/>
      <c r="E34" s="140" t="str">
        <f t="shared" si="1"/>
        <v/>
      </c>
      <c r="F34" s="157"/>
      <c r="G34" s="145">
        <f t="shared" si="4"/>
        <v>0</v>
      </c>
      <c r="H34" s="140" t="str">
        <f t="shared" si="5"/>
        <v/>
      </c>
      <c r="J34" s="147" t="str">
        <f>IFERROR(SUMIFS(当年实际!$V:$V,当年实际!$J:$J,$C34,当年实际!$C:$C,"&gt;="&amp;DATE(YEAR(主页!$D$2),1,1),当年实际!$C:$C,"&lt;="&amp;EOMONTH(DATE(YEAR(主页!$D$2),MONTH(主页!$D$2),1),0))/SUMIFS(当年实际!$P:$P,当年实际!$J:$J,$C34,当年实际!$C:$C,"&gt;="&amp;DATE(YEAR(主页!$D$2),1,1),当年实际!$C:$C,"&lt;="&amp;EOMONTH(DATE(YEAR(主页!$D$2),MONTH(主页!$D$2),1),0)),"")</f>
        <v/>
      </c>
    </row>
    <row r="35" spans="1:10" x14ac:dyDescent="0.3">
      <c r="A35" s="129"/>
      <c r="B35" s="150"/>
      <c r="C35" s="150"/>
      <c r="D35" s="150"/>
      <c r="E35" s="140" t="str">
        <f t="shared" si="1"/>
        <v/>
      </c>
      <c r="F35" s="157"/>
      <c r="G35" s="145">
        <f t="shared" si="4"/>
        <v>0</v>
      </c>
      <c r="H35" s="140" t="str">
        <f t="shared" si="5"/>
        <v/>
      </c>
      <c r="J35" s="147" t="str">
        <f>IFERROR(SUMIFS(当年实际!$V:$V,当年实际!$J:$J,$C35,当年实际!$C:$C,"&gt;="&amp;DATE(YEAR(主页!$D$2),1,1),当年实际!$C:$C,"&lt;="&amp;EOMONTH(DATE(YEAR(主页!$D$2),MONTH(主页!$D$2),1),0))/SUMIFS(当年实际!$P:$P,当年实际!$J:$J,$C35,当年实际!$C:$C,"&gt;="&amp;DATE(YEAR(主页!$D$2),1,1),当年实际!$C:$C,"&lt;="&amp;EOMONTH(DATE(YEAR(主页!$D$2),MONTH(主页!$D$2),1),0)),"")</f>
        <v/>
      </c>
    </row>
    <row r="36" spans="1:10" x14ac:dyDescent="0.3">
      <c r="A36" s="129"/>
      <c r="B36" s="150"/>
      <c r="C36" s="150"/>
      <c r="D36" s="150"/>
      <c r="E36" s="140" t="str">
        <f t="shared" si="1"/>
        <v/>
      </c>
      <c r="F36" s="157"/>
      <c r="G36" s="145">
        <f t="shared" si="4"/>
        <v>0</v>
      </c>
      <c r="H36" s="140" t="str">
        <f t="shared" si="5"/>
        <v/>
      </c>
      <c r="J36" s="147" t="str">
        <f>IFERROR(SUMIFS(当年实际!$V:$V,当年实际!$J:$J,$C36,当年实际!$C:$C,"&gt;="&amp;DATE(YEAR(主页!$D$2),1,1),当年实际!$C:$C,"&lt;="&amp;EOMONTH(DATE(YEAR(主页!$D$2),MONTH(主页!$D$2),1),0))/SUMIFS(当年实际!$P:$P,当年实际!$J:$J,$C36,当年实际!$C:$C,"&gt;="&amp;DATE(YEAR(主页!$D$2),1,1),当年实际!$C:$C,"&lt;="&amp;EOMONTH(DATE(YEAR(主页!$D$2),MONTH(主页!$D$2),1),0)),"")</f>
        <v/>
      </c>
    </row>
    <row r="37" spans="1:10" x14ac:dyDescent="0.3">
      <c r="A37" s="129"/>
      <c r="B37" s="150"/>
      <c r="C37" s="150"/>
      <c r="D37" s="150"/>
      <c r="E37" s="140" t="str">
        <f t="shared" si="1"/>
        <v/>
      </c>
      <c r="F37" s="157"/>
      <c r="G37" s="145">
        <f t="shared" si="4"/>
        <v>0</v>
      </c>
      <c r="H37" s="140" t="str">
        <f t="shared" si="5"/>
        <v/>
      </c>
      <c r="J37" s="147" t="str">
        <f>IFERROR(SUMIFS(当年实际!$V:$V,当年实际!$J:$J,$C37,当年实际!$C:$C,"&gt;="&amp;DATE(YEAR(主页!$D$2),1,1),当年实际!$C:$C,"&lt;="&amp;EOMONTH(DATE(YEAR(主页!$D$2),MONTH(主页!$D$2),1),0))/SUMIFS(当年实际!$P:$P,当年实际!$J:$J,$C37,当年实际!$C:$C,"&gt;="&amp;DATE(YEAR(主页!$D$2),1,1),当年实际!$C:$C,"&lt;="&amp;EOMONTH(DATE(YEAR(主页!$D$2),MONTH(主页!$D$2),1),0)),"")</f>
        <v/>
      </c>
    </row>
    <row r="38" spans="1:10" x14ac:dyDescent="0.3">
      <c r="A38" s="129"/>
      <c r="B38" s="150"/>
      <c r="C38" s="150"/>
      <c r="D38" s="150"/>
      <c r="E38" s="140" t="str">
        <f t="shared" si="1"/>
        <v/>
      </c>
      <c r="F38" s="157"/>
      <c r="G38" s="145">
        <f t="shared" si="4"/>
        <v>0</v>
      </c>
      <c r="H38" s="140" t="str">
        <f t="shared" si="5"/>
        <v/>
      </c>
      <c r="J38" s="147" t="str">
        <f>IFERROR(SUMIFS(当年实际!$V:$V,当年实际!$J:$J,$C38,当年实际!$C:$C,"&gt;="&amp;DATE(YEAR(主页!$D$2),1,1),当年实际!$C:$C,"&lt;="&amp;EOMONTH(DATE(YEAR(主页!$D$2),MONTH(主页!$D$2),1),0))/SUMIFS(当年实际!$P:$P,当年实际!$J:$J,$C38,当年实际!$C:$C,"&gt;="&amp;DATE(YEAR(主页!$D$2),1,1),当年实际!$C:$C,"&lt;="&amp;EOMONTH(DATE(YEAR(主页!$D$2),MONTH(主页!$D$2),1),0)),"")</f>
        <v/>
      </c>
    </row>
    <row r="39" spans="1:10" x14ac:dyDescent="0.3">
      <c r="A39" s="129"/>
      <c r="B39" s="150"/>
      <c r="C39" s="150"/>
      <c r="D39" s="150"/>
      <c r="E39" s="140" t="str">
        <f t="shared" si="1"/>
        <v/>
      </c>
      <c r="F39" s="157"/>
      <c r="G39" s="145">
        <f t="shared" si="4"/>
        <v>0</v>
      </c>
      <c r="H39" s="140" t="str">
        <f t="shared" si="5"/>
        <v/>
      </c>
      <c r="J39" s="147" t="str">
        <f>IFERROR(SUMIFS(当年实际!$V:$V,当年实际!$J:$J,$C39,当年实际!$C:$C,"&gt;="&amp;DATE(YEAR(主页!$D$2),1,1),当年实际!$C:$C,"&lt;="&amp;EOMONTH(DATE(YEAR(主页!$D$2),MONTH(主页!$D$2),1),0))/SUMIFS(当年实际!$P:$P,当年实际!$J:$J,$C39,当年实际!$C:$C,"&gt;="&amp;DATE(YEAR(主页!$D$2),1,1),当年实际!$C:$C,"&lt;="&amp;EOMONTH(DATE(YEAR(主页!$D$2),MONTH(主页!$D$2),1),0)),"")</f>
        <v/>
      </c>
    </row>
    <row r="40" spans="1:10" x14ac:dyDescent="0.3">
      <c r="A40" s="129"/>
      <c r="B40" s="150"/>
      <c r="C40" s="150"/>
      <c r="D40" s="150"/>
      <c r="E40" s="140" t="str">
        <f t="shared" si="1"/>
        <v/>
      </c>
      <c r="F40" s="157"/>
      <c r="G40" s="145">
        <f t="shared" si="4"/>
        <v>0</v>
      </c>
      <c r="H40" s="140" t="str">
        <f t="shared" si="5"/>
        <v/>
      </c>
      <c r="J40" s="147" t="str">
        <f>IFERROR(SUMIFS(当年实际!$V:$V,当年实际!$J:$J,$C40,当年实际!$C:$C,"&gt;="&amp;DATE(YEAR(主页!$D$2),1,1),当年实际!$C:$C,"&lt;="&amp;EOMONTH(DATE(YEAR(主页!$D$2),MONTH(主页!$D$2),1),0))/SUMIFS(当年实际!$P:$P,当年实际!$J:$J,$C40,当年实际!$C:$C,"&gt;="&amp;DATE(YEAR(主页!$D$2),1,1),当年实际!$C:$C,"&lt;="&amp;EOMONTH(DATE(YEAR(主页!$D$2),MONTH(主页!$D$2),1),0)),"")</f>
        <v/>
      </c>
    </row>
    <row r="41" spans="1:10" x14ac:dyDescent="0.3">
      <c r="A41" s="129"/>
      <c r="B41" s="150"/>
      <c r="C41" s="150"/>
      <c r="D41" s="150"/>
      <c r="E41" s="140" t="str">
        <f t="shared" si="1"/>
        <v/>
      </c>
      <c r="F41" s="157"/>
      <c r="G41" s="145">
        <f t="shared" si="4"/>
        <v>0</v>
      </c>
      <c r="H41" s="140" t="str">
        <f t="shared" si="5"/>
        <v/>
      </c>
      <c r="J41" s="147" t="str">
        <f>IFERROR(SUMIFS(当年实际!$V:$V,当年实际!$J:$J,$C41,当年实际!$C:$C,"&gt;="&amp;DATE(YEAR(主页!$D$2),1,1),当年实际!$C:$C,"&lt;="&amp;EOMONTH(DATE(YEAR(主页!$D$2),MONTH(主页!$D$2),1),0))/SUMIFS(当年实际!$P:$P,当年实际!$J:$J,$C41,当年实际!$C:$C,"&gt;="&amp;DATE(YEAR(主页!$D$2),1,1),当年实际!$C:$C,"&lt;="&amp;EOMONTH(DATE(YEAR(主页!$D$2),MONTH(主页!$D$2),1),0)),"")</f>
        <v/>
      </c>
    </row>
    <row r="42" spans="1:10" x14ac:dyDescent="0.3">
      <c r="A42" s="129"/>
      <c r="B42" s="150"/>
      <c r="C42" s="150"/>
      <c r="D42" s="150"/>
      <c r="E42" s="140" t="str">
        <f t="shared" si="1"/>
        <v/>
      </c>
      <c r="F42" s="157"/>
      <c r="G42" s="145">
        <f t="shared" si="4"/>
        <v>0</v>
      </c>
      <c r="H42" s="140" t="str">
        <f t="shared" si="5"/>
        <v/>
      </c>
      <c r="J42" s="147" t="str">
        <f>IFERROR(SUMIFS(当年实际!$V:$V,当年实际!$J:$J,$C42,当年实际!$C:$C,"&gt;="&amp;DATE(YEAR(主页!$D$2),1,1),当年实际!$C:$C,"&lt;="&amp;EOMONTH(DATE(YEAR(主页!$D$2),MONTH(主页!$D$2),1),0))/SUMIFS(当年实际!$P:$P,当年实际!$J:$J,$C42,当年实际!$C:$C,"&gt;="&amp;DATE(YEAR(主页!$D$2),1,1),当年实际!$C:$C,"&lt;="&amp;EOMONTH(DATE(YEAR(主页!$D$2),MONTH(主页!$D$2),1),0)),"")</f>
        <v/>
      </c>
    </row>
    <row r="43" spans="1:10" x14ac:dyDescent="0.3">
      <c r="A43" s="129"/>
      <c r="B43" s="150"/>
      <c r="C43" s="150"/>
      <c r="D43" s="150"/>
      <c r="E43" s="140" t="str">
        <f t="shared" si="1"/>
        <v/>
      </c>
      <c r="F43" s="157"/>
      <c r="G43" s="145">
        <f t="shared" si="4"/>
        <v>0</v>
      </c>
      <c r="H43" s="140" t="str">
        <f t="shared" si="5"/>
        <v/>
      </c>
      <c r="J43" s="147" t="str">
        <f>IFERROR(SUMIFS(当年实际!$V:$V,当年实际!$J:$J,$C43,当年实际!$C:$C,"&gt;="&amp;DATE(YEAR(主页!$D$2),1,1),当年实际!$C:$C,"&lt;="&amp;EOMONTH(DATE(YEAR(主页!$D$2),MONTH(主页!$D$2),1),0))/SUMIFS(当年实际!$P:$P,当年实际!$J:$J,$C43,当年实际!$C:$C,"&gt;="&amp;DATE(YEAR(主页!$D$2),1,1),当年实际!$C:$C,"&lt;="&amp;EOMONTH(DATE(YEAR(主页!$D$2),MONTH(主页!$D$2),1),0)),"")</f>
        <v/>
      </c>
    </row>
    <row r="44" spans="1:10" x14ac:dyDescent="0.3">
      <c r="A44" s="129"/>
      <c r="B44" s="150"/>
      <c r="C44" s="150"/>
      <c r="D44" s="150"/>
      <c r="E44" s="140" t="str">
        <f t="shared" si="1"/>
        <v/>
      </c>
      <c r="F44" s="157"/>
      <c r="G44" s="145">
        <f t="shared" si="4"/>
        <v>0</v>
      </c>
      <c r="H44" s="140" t="str">
        <f t="shared" si="5"/>
        <v/>
      </c>
      <c r="J44" s="147" t="str">
        <f>IFERROR(SUMIFS(当年实际!$V:$V,当年实际!$J:$J,$C44,当年实际!$C:$C,"&gt;="&amp;DATE(YEAR(主页!$D$2),1,1),当年实际!$C:$C,"&lt;="&amp;EOMONTH(DATE(YEAR(主页!$D$2),MONTH(主页!$D$2),1),0))/SUMIFS(当年实际!$P:$P,当年实际!$J:$J,$C44,当年实际!$C:$C,"&gt;="&amp;DATE(YEAR(主页!$D$2),1,1),当年实际!$C:$C,"&lt;="&amp;EOMONTH(DATE(YEAR(主页!$D$2),MONTH(主页!$D$2),1),0)),"")</f>
        <v/>
      </c>
    </row>
    <row r="45" spans="1:10" x14ac:dyDescent="0.3">
      <c r="A45" s="129"/>
      <c r="B45" s="150"/>
      <c r="C45" s="150"/>
      <c r="D45" s="150"/>
      <c r="E45" s="140" t="str">
        <f t="shared" si="1"/>
        <v/>
      </c>
      <c r="F45" s="157"/>
      <c r="G45" s="145">
        <f t="shared" si="4"/>
        <v>0</v>
      </c>
      <c r="H45" s="140" t="str">
        <f t="shared" si="5"/>
        <v/>
      </c>
      <c r="J45" s="147" t="str">
        <f>IFERROR(SUMIFS(当年实际!$V:$V,当年实际!$J:$J,$C45,当年实际!$C:$C,"&gt;="&amp;DATE(YEAR(主页!$D$2),1,1),当年实际!$C:$C,"&lt;="&amp;EOMONTH(DATE(YEAR(主页!$D$2),MONTH(主页!$D$2),1),0))/SUMIFS(当年实际!$P:$P,当年实际!$J:$J,$C45,当年实际!$C:$C,"&gt;="&amp;DATE(YEAR(主页!$D$2),1,1),当年实际!$C:$C,"&lt;="&amp;EOMONTH(DATE(YEAR(主页!$D$2),MONTH(主页!$D$2),1),0)),"")</f>
        <v/>
      </c>
    </row>
    <row r="46" spans="1:10" x14ac:dyDescent="0.3">
      <c r="A46" s="129"/>
      <c r="B46" s="150"/>
      <c r="C46" s="150"/>
      <c r="D46" s="150"/>
      <c r="E46" s="140" t="str">
        <f t="shared" si="1"/>
        <v/>
      </c>
      <c r="F46" s="157"/>
      <c r="G46" s="145">
        <f t="shared" si="4"/>
        <v>0</v>
      </c>
      <c r="H46" s="140" t="str">
        <f t="shared" si="5"/>
        <v/>
      </c>
      <c r="J46" s="147" t="str">
        <f>IFERROR(SUMIFS(当年实际!$V:$V,当年实际!$J:$J,$C46,当年实际!$C:$C,"&gt;="&amp;DATE(YEAR(主页!$D$2),1,1),当年实际!$C:$C,"&lt;="&amp;EOMONTH(DATE(YEAR(主页!$D$2),MONTH(主页!$D$2),1),0))/SUMIFS(当年实际!$P:$P,当年实际!$J:$J,$C46,当年实际!$C:$C,"&gt;="&amp;DATE(YEAR(主页!$D$2),1,1),当年实际!$C:$C,"&lt;="&amp;EOMONTH(DATE(YEAR(主页!$D$2),MONTH(主页!$D$2),1),0)),"")</f>
        <v/>
      </c>
    </row>
    <row r="47" spans="1:10" x14ac:dyDescent="0.3">
      <c r="A47" s="129"/>
      <c r="B47" s="150"/>
      <c r="C47" s="150"/>
      <c r="D47" s="150"/>
      <c r="E47" s="140" t="str">
        <f t="shared" si="1"/>
        <v/>
      </c>
      <c r="F47" s="157"/>
      <c r="G47" s="145">
        <f t="shared" si="4"/>
        <v>0</v>
      </c>
      <c r="H47" s="140" t="str">
        <f t="shared" si="5"/>
        <v/>
      </c>
      <c r="J47" s="147" t="str">
        <f>IFERROR(SUMIFS(当年实际!$V:$V,当年实际!$J:$J,$C47,当年实际!$C:$C,"&gt;="&amp;DATE(YEAR(主页!$D$2),1,1),当年实际!$C:$C,"&lt;="&amp;EOMONTH(DATE(YEAR(主页!$D$2),MONTH(主页!$D$2),1),0))/SUMIFS(当年实际!$P:$P,当年实际!$J:$J,$C47,当年实际!$C:$C,"&gt;="&amp;DATE(YEAR(主页!$D$2),1,1),当年实际!$C:$C,"&lt;="&amp;EOMONTH(DATE(YEAR(主页!$D$2),MONTH(主页!$D$2),1),0)),"")</f>
        <v/>
      </c>
    </row>
    <row r="48" spans="1:10" x14ac:dyDescent="0.3">
      <c r="A48" s="129"/>
      <c r="B48" s="150"/>
      <c r="C48" s="150"/>
      <c r="D48" s="150"/>
      <c r="E48" s="140" t="str">
        <f t="shared" si="1"/>
        <v/>
      </c>
      <c r="F48" s="157"/>
      <c r="G48" s="145">
        <f t="shared" si="4"/>
        <v>0</v>
      </c>
      <c r="H48" s="140" t="str">
        <f t="shared" si="5"/>
        <v/>
      </c>
      <c r="J48" s="147" t="str">
        <f>IFERROR(SUMIFS(当年实际!$V:$V,当年实际!$J:$J,$C48,当年实际!$C:$C,"&gt;="&amp;DATE(YEAR(主页!$D$2),1,1),当年实际!$C:$C,"&lt;="&amp;EOMONTH(DATE(YEAR(主页!$D$2),MONTH(主页!$D$2),1),0))/SUMIFS(当年实际!$P:$P,当年实际!$J:$J,$C48,当年实际!$C:$C,"&gt;="&amp;DATE(YEAR(主页!$D$2),1,1),当年实际!$C:$C,"&lt;="&amp;EOMONTH(DATE(YEAR(主页!$D$2),MONTH(主页!$D$2),1),0)),"")</f>
        <v/>
      </c>
    </row>
    <row r="49" spans="1:10" x14ac:dyDescent="0.3">
      <c r="A49" s="129"/>
      <c r="B49" s="150"/>
      <c r="C49" s="150"/>
      <c r="D49" s="150"/>
      <c r="E49" s="140" t="str">
        <f t="shared" si="1"/>
        <v/>
      </c>
      <c r="F49" s="157"/>
      <c r="G49" s="145">
        <f t="shared" si="4"/>
        <v>0</v>
      </c>
      <c r="H49" s="140" t="str">
        <f t="shared" si="5"/>
        <v/>
      </c>
      <c r="J49" s="147" t="str">
        <f>IFERROR(SUMIFS(当年实际!$V:$V,当年实际!$J:$J,$C49,当年实际!$C:$C,"&gt;="&amp;DATE(YEAR(主页!$D$2),1,1),当年实际!$C:$C,"&lt;="&amp;EOMONTH(DATE(YEAR(主页!$D$2),MONTH(主页!$D$2),1),0))/SUMIFS(当年实际!$P:$P,当年实际!$J:$J,$C49,当年实际!$C:$C,"&gt;="&amp;DATE(YEAR(主页!$D$2),1,1),当年实际!$C:$C,"&lt;="&amp;EOMONTH(DATE(YEAR(主页!$D$2),MONTH(主页!$D$2),1),0)),"")</f>
        <v/>
      </c>
    </row>
    <row r="50" spans="1:10" x14ac:dyDescent="0.3">
      <c r="A50" s="129"/>
      <c r="B50" s="150"/>
      <c r="C50" s="150"/>
      <c r="D50" s="150"/>
      <c r="E50" s="140" t="str">
        <f t="shared" si="1"/>
        <v/>
      </c>
      <c r="F50" s="157"/>
      <c r="G50" s="145">
        <f t="shared" si="4"/>
        <v>0</v>
      </c>
      <c r="H50" s="140" t="str">
        <f t="shared" si="5"/>
        <v/>
      </c>
      <c r="J50" s="147" t="str">
        <f>IFERROR(SUMIFS(当年实际!$V:$V,当年实际!$J:$J,$C50,当年实际!$C:$C,"&gt;="&amp;DATE(YEAR(主页!$D$2),1,1),当年实际!$C:$C,"&lt;="&amp;EOMONTH(DATE(YEAR(主页!$D$2),MONTH(主页!$D$2),1),0))/SUMIFS(当年实际!$P:$P,当年实际!$J:$J,$C50,当年实际!$C:$C,"&gt;="&amp;DATE(YEAR(主页!$D$2),1,1),当年实际!$C:$C,"&lt;="&amp;EOMONTH(DATE(YEAR(主页!$D$2),MONTH(主页!$D$2),1),0)),"")</f>
        <v/>
      </c>
    </row>
    <row r="51" spans="1:10" x14ac:dyDescent="0.3">
      <c r="A51" s="129"/>
      <c r="B51" s="150"/>
      <c r="C51" s="150"/>
      <c r="D51" s="150"/>
      <c r="E51" s="140" t="str">
        <f t="shared" si="1"/>
        <v/>
      </c>
      <c r="F51" s="157"/>
      <c r="G51" s="145">
        <f t="shared" si="4"/>
        <v>0</v>
      </c>
      <c r="H51" s="140" t="str">
        <f t="shared" si="5"/>
        <v/>
      </c>
      <c r="J51" s="147" t="str">
        <f>IFERROR(SUMIFS(当年实际!$V:$V,当年实际!$J:$J,$C51,当年实际!$C:$C,"&gt;="&amp;DATE(YEAR(主页!$D$2),1,1),当年实际!$C:$C,"&lt;="&amp;EOMONTH(DATE(YEAR(主页!$D$2),MONTH(主页!$D$2),1),0))/SUMIFS(当年实际!$P:$P,当年实际!$J:$J,$C51,当年实际!$C:$C,"&gt;="&amp;DATE(YEAR(主页!$D$2),1,1),当年实际!$C:$C,"&lt;="&amp;EOMONTH(DATE(YEAR(主页!$D$2),MONTH(主页!$D$2),1),0)),"")</f>
        <v/>
      </c>
    </row>
    <row r="52" spans="1:10" x14ac:dyDescent="0.3">
      <c r="A52" s="129"/>
      <c r="B52" s="150"/>
      <c r="C52" s="150"/>
      <c r="D52" s="150"/>
      <c r="E52" s="140" t="str">
        <f t="shared" si="1"/>
        <v/>
      </c>
      <c r="F52" s="157"/>
      <c r="G52" s="145">
        <f t="shared" si="4"/>
        <v>0</v>
      </c>
      <c r="H52" s="140" t="str">
        <f t="shared" si="5"/>
        <v/>
      </c>
      <c r="J52" s="147" t="str">
        <f>IFERROR(SUMIFS(当年实际!$V:$V,当年实际!$J:$J,$C52,当年实际!$C:$C,"&gt;="&amp;DATE(YEAR(主页!$D$2),1,1),当年实际!$C:$C,"&lt;="&amp;EOMONTH(DATE(YEAR(主页!$D$2),MONTH(主页!$D$2),1),0))/SUMIFS(当年实际!$P:$P,当年实际!$J:$J,$C52,当年实际!$C:$C,"&gt;="&amp;DATE(YEAR(主页!$D$2),1,1),当年实际!$C:$C,"&lt;="&amp;EOMONTH(DATE(YEAR(主页!$D$2),MONTH(主页!$D$2),1),0)),"")</f>
        <v/>
      </c>
    </row>
    <row r="53" spans="1:10" x14ac:dyDescent="0.3">
      <c r="A53" s="129"/>
      <c r="B53" s="150"/>
      <c r="C53" s="150"/>
      <c r="D53" s="150"/>
      <c r="E53" s="140" t="str">
        <f t="shared" si="1"/>
        <v/>
      </c>
      <c r="F53" s="157"/>
      <c r="G53" s="145">
        <f t="shared" si="4"/>
        <v>0</v>
      </c>
      <c r="H53" s="140" t="str">
        <f t="shared" si="5"/>
        <v/>
      </c>
      <c r="J53" s="147" t="str">
        <f>IFERROR(SUMIFS(当年实际!$V:$V,当年实际!$J:$J,$C53,当年实际!$C:$C,"&gt;="&amp;DATE(YEAR(主页!$D$2),1,1),当年实际!$C:$C,"&lt;="&amp;EOMONTH(DATE(YEAR(主页!$D$2),MONTH(主页!$D$2),1),0))/SUMIFS(当年实际!$P:$P,当年实际!$J:$J,$C53,当年实际!$C:$C,"&gt;="&amp;DATE(YEAR(主页!$D$2),1,1),当年实际!$C:$C,"&lt;="&amp;EOMONTH(DATE(YEAR(主页!$D$2),MONTH(主页!$D$2),1),0)),"")</f>
        <v/>
      </c>
    </row>
    <row r="54" spans="1:10" x14ac:dyDescent="0.3">
      <c r="A54" s="129"/>
      <c r="B54" s="150"/>
      <c r="C54" s="150"/>
      <c r="D54" s="150"/>
      <c r="E54" s="140" t="str">
        <f t="shared" si="1"/>
        <v/>
      </c>
      <c r="F54" s="157"/>
      <c r="G54" s="145">
        <f t="shared" si="4"/>
        <v>0</v>
      </c>
      <c r="H54" s="140" t="str">
        <f t="shared" si="5"/>
        <v/>
      </c>
      <c r="J54" s="147" t="str">
        <f>IFERROR(SUMIFS(当年实际!$V:$V,当年实际!$J:$J,$C54,当年实际!$C:$C,"&gt;="&amp;DATE(YEAR(主页!$D$2),1,1),当年实际!$C:$C,"&lt;="&amp;EOMONTH(DATE(YEAR(主页!$D$2),MONTH(主页!$D$2),1),0))/SUMIFS(当年实际!$P:$P,当年实际!$J:$J,$C54,当年实际!$C:$C,"&gt;="&amp;DATE(YEAR(主页!$D$2),1,1),当年实际!$C:$C,"&lt;="&amp;EOMONTH(DATE(YEAR(主页!$D$2),MONTH(主页!$D$2),1),0)),"")</f>
        <v/>
      </c>
    </row>
    <row r="55" spans="1:10" x14ac:dyDescent="0.3">
      <c r="A55" s="129"/>
      <c r="B55" s="150"/>
      <c r="C55" s="150"/>
      <c r="D55" s="150"/>
      <c r="E55" s="140" t="str">
        <f t="shared" si="1"/>
        <v/>
      </c>
      <c r="F55" s="157"/>
      <c r="G55" s="145">
        <f t="shared" si="4"/>
        <v>0</v>
      </c>
      <c r="H55" s="140" t="str">
        <f t="shared" si="5"/>
        <v/>
      </c>
      <c r="J55" s="147" t="str">
        <f>IFERROR(SUMIFS(当年实际!$V:$V,当年实际!$J:$J,$C55,当年实际!$C:$C,"&gt;="&amp;DATE(YEAR(主页!$D$2),1,1),当年实际!$C:$C,"&lt;="&amp;EOMONTH(DATE(YEAR(主页!$D$2),MONTH(主页!$D$2),1),0))/SUMIFS(当年实际!$P:$P,当年实际!$J:$J,$C55,当年实际!$C:$C,"&gt;="&amp;DATE(YEAR(主页!$D$2),1,1),当年实际!$C:$C,"&lt;="&amp;EOMONTH(DATE(YEAR(主页!$D$2),MONTH(主页!$D$2),1),0)),"")</f>
        <v/>
      </c>
    </row>
    <row r="56" spans="1:10" x14ac:dyDescent="0.3">
      <c r="A56" s="129"/>
      <c r="B56" s="150"/>
      <c r="C56" s="150"/>
      <c r="D56" s="150"/>
      <c r="E56" s="140" t="str">
        <f t="shared" si="1"/>
        <v/>
      </c>
      <c r="F56" s="157"/>
      <c r="G56" s="145">
        <f t="shared" si="4"/>
        <v>0</v>
      </c>
      <c r="H56" s="140" t="str">
        <f t="shared" si="5"/>
        <v/>
      </c>
      <c r="J56" s="147" t="str">
        <f>IFERROR(SUMIFS(当年实际!$V:$V,当年实际!$J:$J,$C56,当年实际!$C:$C,"&gt;="&amp;DATE(YEAR(主页!$D$2),1,1),当年实际!$C:$C,"&lt;="&amp;EOMONTH(DATE(YEAR(主页!$D$2),MONTH(主页!$D$2),1),0))/SUMIFS(当年实际!$P:$P,当年实际!$J:$J,$C56,当年实际!$C:$C,"&gt;="&amp;DATE(YEAR(主页!$D$2),1,1),当年实际!$C:$C,"&lt;="&amp;EOMONTH(DATE(YEAR(主页!$D$2),MONTH(主页!$D$2),1),0)),"")</f>
        <v/>
      </c>
    </row>
    <row r="57" spans="1:10" x14ac:dyDescent="0.3">
      <c r="A57" s="129"/>
      <c r="B57" s="150"/>
      <c r="C57" s="150"/>
      <c r="D57" s="150"/>
      <c r="E57" s="140" t="str">
        <f t="shared" si="1"/>
        <v/>
      </c>
      <c r="F57" s="157"/>
      <c r="G57" s="145">
        <f t="shared" si="4"/>
        <v>0</v>
      </c>
      <c r="H57" s="140" t="str">
        <f t="shared" si="5"/>
        <v/>
      </c>
      <c r="J57" s="147" t="str">
        <f>IFERROR(SUMIFS(当年实际!$V:$V,当年实际!$J:$J,$C57,当年实际!$C:$C,"&gt;="&amp;DATE(YEAR(主页!$D$2),1,1),当年实际!$C:$C,"&lt;="&amp;EOMONTH(DATE(YEAR(主页!$D$2),MONTH(主页!$D$2),1),0))/SUMIFS(当年实际!$P:$P,当年实际!$J:$J,$C57,当年实际!$C:$C,"&gt;="&amp;DATE(YEAR(主页!$D$2),1,1),当年实际!$C:$C,"&lt;="&amp;EOMONTH(DATE(YEAR(主页!$D$2),MONTH(主页!$D$2),1),0)),"")</f>
        <v/>
      </c>
    </row>
    <row r="58" spans="1:10" x14ac:dyDescent="0.3">
      <c r="A58" s="129"/>
      <c r="B58" s="150"/>
      <c r="C58" s="150"/>
      <c r="D58" s="150"/>
      <c r="E58" s="140" t="str">
        <f t="shared" si="1"/>
        <v/>
      </c>
      <c r="F58" s="157"/>
      <c r="G58" s="145">
        <f t="shared" si="4"/>
        <v>0</v>
      </c>
      <c r="H58" s="140" t="str">
        <f t="shared" si="5"/>
        <v/>
      </c>
      <c r="J58" s="147" t="str">
        <f>IFERROR(SUMIFS(当年实际!$V:$V,当年实际!$J:$J,$C58,当年实际!$C:$C,"&gt;="&amp;DATE(YEAR(主页!$D$2),1,1),当年实际!$C:$C,"&lt;="&amp;EOMONTH(DATE(YEAR(主页!$D$2),MONTH(主页!$D$2),1),0))/SUMIFS(当年实际!$P:$P,当年实际!$J:$J,$C58,当年实际!$C:$C,"&gt;="&amp;DATE(YEAR(主页!$D$2),1,1),当年实际!$C:$C,"&lt;="&amp;EOMONTH(DATE(YEAR(主页!$D$2),MONTH(主页!$D$2),1),0)),"")</f>
        <v/>
      </c>
    </row>
    <row r="59" spans="1:10" x14ac:dyDescent="0.3">
      <c r="A59" s="129"/>
      <c r="B59" s="150"/>
      <c r="C59" s="150"/>
      <c r="D59" s="150"/>
      <c r="E59" s="140" t="str">
        <f t="shared" si="1"/>
        <v/>
      </c>
      <c r="F59" s="157"/>
      <c r="G59" s="145">
        <f t="shared" si="4"/>
        <v>0</v>
      </c>
      <c r="H59" s="140" t="str">
        <f t="shared" si="5"/>
        <v/>
      </c>
      <c r="J59" s="147" t="str">
        <f>IFERROR(SUMIFS(当年实际!$V:$V,当年实际!$J:$J,$C59,当年实际!$C:$C,"&gt;="&amp;DATE(YEAR(主页!$D$2),1,1),当年实际!$C:$C,"&lt;="&amp;EOMONTH(DATE(YEAR(主页!$D$2),MONTH(主页!$D$2),1),0))/SUMIFS(当年实际!$P:$P,当年实际!$J:$J,$C59,当年实际!$C:$C,"&gt;="&amp;DATE(YEAR(主页!$D$2),1,1),当年实际!$C:$C,"&lt;="&amp;EOMONTH(DATE(YEAR(主页!$D$2),MONTH(主页!$D$2),1),0)),"")</f>
        <v/>
      </c>
    </row>
    <row r="60" spans="1:10" x14ac:dyDescent="0.3">
      <c r="A60" s="129"/>
      <c r="B60" s="150"/>
      <c r="C60" s="150"/>
      <c r="D60" s="150"/>
      <c r="E60" s="140" t="str">
        <f t="shared" si="1"/>
        <v/>
      </c>
      <c r="F60" s="157"/>
      <c r="G60" s="145">
        <f t="shared" si="4"/>
        <v>0</v>
      </c>
      <c r="H60" s="140" t="str">
        <f t="shared" si="5"/>
        <v/>
      </c>
      <c r="J60" s="147" t="str">
        <f>IFERROR(SUMIFS(当年实际!$V:$V,当年实际!$J:$J,$C60,当年实际!$C:$C,"&gt;="&amp;DATE(YEAR(主页!$D$2),1,1),当年实际!$C:$C,"&lt;="&amp;EOMONTH(DATE(YEAR(主页!$D$2),MONTH(主页!$D$2),1),0))/SUMIFS(当年实际!$P:$P,当年实际!$J:$J,$C60,当年实际!$C:$C,"&gt;="&amp;DATE(YEAR(主页!$D$2),1,1),当年实际!$C:$C,"&lt;="&amp;EOMONTH(DATE(YEAR(主页!$D$2),MONTH(主页!$D$2),1),0)),"")</f>
        <v/>
      </c>
    </row>
    <row r="61" spans="1:10" x14ac:dyDescent="0.3">
      <c r="A61" s="129"/>
      <c r="B61" s="150"/>
      <c r="C61" s="150"/>
      <c r="D61" s="150"/>
      <c r="E61" s="140" t="str">
        <f t="shared" si="1"/>
        <v/>
      </c>
      <c r="F61" s="157"/>
      <c r="G61" s="145">
        <f t="shared" si="4"/>
        <v>0</v>
      </c>
      <c r="H61" s="140" t="str">
        <f t="shared" si="5"/>
        <v/>
      </c>
      <c r="J61" s="147" t="str">
        <f>IFERROR(SUMIFS(当年实际!$V:$V,当年实际!$J:$J,$C61,当年实际!$C:$C,"&gt;="&amp;DATE(YEAR(主页!$D$2),1,1),当年实际!$C:$C,"&lt;="&amp;EOMONTH(DATE(YEAR(主页!$D$2),MONTH(主页!$D$2),1),0))/SUMIFS(当年实际!$P:$P,当年实际!$J:$J,$C61,当年实际!$C:$C,"&gt;="&amp;DATE(YEAR(主页!$D$2),1,1),当年实际!$C:$C,"&lt;="&amp;EOMONTH(DATE(YEAR(主页!$D$2),MONTH(主页!$D$2),1),0)),"")</f>
        <v/>
      </c>
    </row>
    <row r="62" spans="1:10" x14ac:dyDescent="0.3">
      <c r="A62" s="129"/>
      <c r="B62" s="150"/>
      <c r="C62" s="150"/>
      <c r="D62" s="150"/>
      <c r="E62" s="140" t="str">
        <f t="shared" si="1"/>
        <v/>
      </c>
      <c r="F62" s="157"/>
      <c r="G62" s="145">
        <f t="shared" si="4"/>
        <v>0</v>
      </c>
      <c r="H62" s="140" t="str">
        <f t="shared" si="5"/>
        <v/>
      </c>
      <c r="J62" s="147" t="str">
        <f>IFERROR(SUMIFS(当年实际!$V:$V,当年实际!$J:$J,$C62,当年实际!$C:$C,"&gt;="&amp;DATE(YEAR(主页!$D$2),1,1),当年实际!$C:$C,"&lt;="&amp;EOMONTH(DATE(YEAR(主页!$D$2),MONTH(主页!$D$2),1),0))/SUMIFS(当年实际!$P:$P,当年实际!$J:$J,$C62,当年实际!$C:$C,"&gt;="&amp;DATE(YEAR(主页!$D$2),1,1),当年实际!$C:$C,"&lt;="&amp;EOMONTH(DATE(YEAR(主页!$D$2),MONTH(主页!$D$2),1),0)),"")</f>
        <v/>
      </c>
    </row>
    <row r="63" spans="1:10" x14ac:dyDescent="0.3">
      <c r="A63" s="129"/>
      <c r="B63" s="150"/>
      <c r="C63" s="150"/>
      <c r="D63" s="150"/>
      <c r="E63" s="140" t="str">
        <f t="shared" si="1"/>
        <v/>
      </c>
      <c r="F63" s="157"/>
      <c r="G63" s="145">
        <f t="shared" si="4"/>
        <v>0</v>
      </c>
      <c r="H63" s="140" t="str">
        <f t="shared" si="5"/>
        <v/>
      </c>
      <c r="J63" s="147" t="str">
        <f>IFERROR(SUMIFS(当年实际!$V:$V,当年实际!$J:$J,$C63,当年实际!$C:$C,"&gt;="&amp;DATE(YEAR(主页!$D$2),1,1),当年实际!$C:$C,"&lt;="&amp;EOMONTH(DATE(YEAR(主页!$D$2),MONTH(主页!$D$2),1),0))/SUMIFS(当年实际!$P:$P,当年实际!$J:$J,$C63,当年实际!$C:$C,"&gt;="&amp;DATE(YEAR(主页!$D$2),1,1),当年实际!$C:$C,"&lt;="&amp;EOMONTH(DATE(YEAR(主页!$D$2),MONTH(主页!$D$2),1),0)),"")</f>
        <v/>
      </c>
    </row>
    <row r="64" spans="1:10" x14ac:dyDescent="0.3">
      <c r="A64" s="129"/>
      <c r="B64" s="150"/>
      <c r="C64" s="150"/>
      <c r="D64" s="150"/>
      <c r="E64" s="140" t="str">
        <f t="shared" si="1"/>
        <v/>
      </c>
      <c r="F64" s="157"/>
      <c r="G64" s="145">
        <f t="shared" si="4"/>
        <v>0</v>
      </c>
      <c r="H64" s="140" t="str">
        <f t="shared" si="5"/>
        <v/>
      </c>
      <c r="J64" s="147" t="str">
        <f>IFERROR(SUMIFS(当年实际!$V:$V,当年实际!$J:$J,$C64,当年实际!$C:$C,"&gt;="&amp;DATE(YEAR(主页!$D$2),1,1),当年实际!$C:$C,"&lt;="&amp;EOMONTH(DATE(YEAR(主页!$D$2),MONTH(主页!$D$2),1),0))/SUMIFS(当年实际!$P:$P,当年实际!$J:$J,$C64,当年实际!$C:$C,"&gt;="&amp;DATE(YEAR(主页!$D$2),1,1),当年实际!$C:$C,"&lt;="&amp;EOMONTH(DATE(YEAR(主页!$D$2),MONTH(主页!$D$2),1),0)),"")</f>
        <v/>
      </c>
    </row>
    <row r="65" spans="1:10" x14ac:dyDescent="0.3">
      <c r="A65" s="129"/>
      <c r="B65" s="150"/>
      <c r="C65" s="150"/>
      <c r="D65" s="150"/>
      <c r="E65" s="140" t="str">
        <f t="shared" si="1"/>
        <v/>
      </c>
      <c r="F65" s="157"/>
      <c r="G65" s="145">
        <f t="shared" si="4"/>
        <v>0</v>
      </c>
      <c r="H65" s="140" t="str">
        <f t="shared" si="5"/>
        <v/>
      </c>
      <c r="J65" s="147" t="str">
        <f>IFERROR(SUMIFS(当年实际!$V:$V,当年实际!$J:$J,$C65,当年实际!$C:$C,"&gt;="&amp;DATE(YEAR(主页!$D$2),1,1),当年实际!$C:$C,"&lt;="&amp;EOMONTH(DATE(YEAR(主页!$D$2),MONTH(主页!$D$2),1),0))/SUMIFS(当年实际!$P:$P,当年实际!$J:$J,$C65,当年实际!$C:$C,"&gt;="&amp;DATE(YEAR(主页!$D$2),1,1),当年实际!$C:$C,"&lt;="&amp;EOMONTH(DATE(YEAR(主页!$D$2),MONTH(主页!$D$2),1),0)),"")</f>
        <v/>
      </c>
    </row>
    <row r="66" spans="1:10" x14ac:dyDescent="0.3">
      <c r="A66" s="129"/>
      <c r="B66" s="150"/>
      <c r="C66" s="150"/>
      <c r="D66" s="150"/>
      <c r="E66" s="140" t="str">
        <f t="shared" si="1"/>
        <v/>
      </c>
      <c r="F66" s="157"/>
      <c r="G66" s="145">
        <f t="shared" si="4"/>
        <v>0</v>
      </c>
      <c r="H66" s="140" t="str">
        <f t="shared" si="5"/>
        <v/>
      </c>
      <c r="J66" s="147" t="str">
        <f>IFERROR(SUMIFS(当年实际!$V:$V,当年实际!$J:$J,$C66,当年实际!$C:$C,"&gt;="&amp;DATE(YEAR(主页!$D$2),1,1),当年实际!$C:$C,"&lt;="&amp;EOMONTH(DATE(YEAR(主页!$D$2),MONTH(主页!$D$2),1),0))/SUMIFS(当年实际!$P:$P,当年实际!$J:$J,$C66,当年实际!$C:$C,"&gt;="&amp;DATE(YEAR(主页!$D$2),1,1),当年实际!$C:$C,"&lt;="&amp;EOMONTH(DATE(YEAR(主页!$D$2),MONTH(主页!$D$2),1),0)),"")</f>
        <v/>
      </c>
    </row>
    <row r="67" spans="1:10" x14ac:dyDescent="0.3">
      <c r="A67" s="129"/>
      <c r="B67" s="150"/>
      <c r="C67" s="150"/>
      <c r="D67" s="150"/>
      <c r="E67" s="140" t="str">
        <f t="shared" si="1"/>
        <v/>
      </c>
      <c r="F67" s="157"/>
      <c r="G67" s="145">
        <f t="shared" si="4"/>
        <v>0</v>
      </c>
      <c r="H67" s="140" t="str">
        <f t="shared" si="5"/>
        <v/>
      </c>
      <c r="J67" s="147" t="str">
        <f>IFERROR(SUMIFS(当年实际!$V:$V,当年实际!$J:$J,$C67,当年实际!$C:$C,"&gt;="&amp;DATE(YEAR(主页!$D$2),1,1),当年实际!$C:$C,"&lt;="&amp;EOMONTH(DATE(YEAR(主页!$D$2),MONTH(主页!$D$2),1),0))/SUMIFS(当年实际!$P:$P,当年实际!$J:$J,$C67,当年实际!$C:$C,"&gt;="&amp;DATE(YEAR(主页!$D$2),1,1),当年实际!$C:$C,"&lt;="&amp;EOMONTH(DATE(YEAR(主页!$D$2),MONTH(主页!$D$2),1),0)),"")</f>
        <v/>
      </c>
    </row>
    <row r="68" spans="1:10" x14ac:dyDescent="0.3">
      <c r="A68" s="129"/>
      <c r="B68" s="150"/>
      <c r="C68" s="150"/>
      <c r="D68" s="150"/>
      <c r="E68" s="140" t="str">
        <f t="shared" ref="E68:E131" si="6">IF(D68/SUM(D:D)=0,"",D68/SUM(D:D))</f>
        <v/>
      </c>
      <c r="F68" s="157"/>
      <c r="G68" s="145">
        <f t="shared" si="4"/>
        <v>0</v>
      </c>
      <c r="H68" s="140" t="str">
        <f t="shared" si="5"/>
        <v/>
      </c>
      <c r="J68" s="147" t="str">
        <f>IFERROR(SUMIFS(当年实际!$V:$V,当年实际!$J:$J,$C68,当年实际!$C:$C,"&gt;="&amp;DATE(YEAR(主页!$D$2),1,1),当年实际!$C:$C,"&lt;="&amp;EOMONTH(DATE(YEAR(主页!$D$2),MONTH(主页!$D$2),1),0))/SUMIFS(当年实际!$P:$P,当年实际!$J:$J,$C68,当年实际!$C:$C,"&gt;="&amp;DATE(YEAR(主页!$D$2),1,1),当年实际!$C:$C,"&lt;="&amp;EOMONTH(DATE(YEAR(主页!$D$2),MONTH(主页!$D$2),1),0)),"")</f>
        <v/>
      </c>
    </row>
    <row r="69" spans="1:10" x14ac:dyDescent="0.3">
      <c r="A69" s="129"/>
      <c r="B69" s="150"/>
      <c r="C69" s="150"/>
      <c r="D69" s="150"/>
      <c r="E69" s="140" t="str">
        <f t="shared" si="6"/>
        <v/>
      </c>
      <c r="F69" s="157"/>
      <c r="G69" s="145">
        <f t="shared" si="4"/>
        <v>0</v>
      </c>
      <c r="H69" s="140" t="str">
        <f t="shared" si="5"/>
        <v/>
      </c>
      <c r="J69" s="147" t="str">
        <f>IFERROR(SUMIFS(当年实际!$V:$V,当年实际!$J:$J,$C69,当年实际!$C:$C,"&gt;="&amp;DATE(YEAR(主页!$D$2),1,1),当年实际!$C:$C,"&lt;="&amp;EOMONTH(DATE(YEAR(主页!$D$2),MONTH(主页!$D$2),1),0))/SUMIFS(当年实际!$P:$P,当年实际!$J:$J,$C69,当年实际!$C:$C,"&gt;="&amp;DATE(YEAR(主页!$D$2),1,1),当年实际!$C:$C,"&lt;="&amp;EOMONTH(DATE(YEAR(主页!$D$2),MONTH(主页!$D$2),1),0)),"")</f>
        <v/>
      </c>
    </row>
    <row r="70" spans="1:10" x14ac:dyDescent="0.3">
      <c r="A70" s="129"/>
      <c r="B70" s="150"/>
      <c r="C70" s="150"/>
      <c r="D70" s="150"/>
      <c r="E70" s="140" t="str">
        <f t="shared" si="6"/>
        <v/>
      </c>
      <c r="F70" s="157"/>
      <c r="G70" s="145">
        <f t="shared" si="4"/>
        <v>0</v>
      </c>
      <c r="H70" s="140" t="str">
        <f t="shared" si="5"/>
        <v/>
      </c>
      <c r="J70" s="147" t="str">
        <f>IFERROR(SUMIFS(当年实际!$V:$V,当年实际!$J:$J,$C70,当年实际!$C:$C,"&gt;="&amp;DATE(YEAR(主页!$D$2),1,1),当年实际!$C:$C,"&lt;="&amp;EOMONTH(DATE(YEAR(主页!$D$2),MONTH(主页!$D$2),1),0))/SUMIFS(当年实际!$P:$P,当年实际!$J:$J,$C70,当年实际!$C:$C,"&gt;="&amp;DATE(YEAR(主页!$D$2),1,1),当年实际!$C:$C,"&lt;="&amp;EOMONTH(DATE(YEAR(主页!$D$2),MONTH(主页!$D$2),1),0)),"")</f>
        <v/>
      </c>
    </row>
    <row r="71" spans="1:10" x14ac:dyDescent="0.3">
      <c r="A71" s="129"/>
      <c r="B71" s="150"/>
      <c r="C71" s="150"/>
      <c r="D71" s="150"/>
      <c r="E71" s="140" t="str">
        <f t="shared" si="6"/>
        <v/>
      </c>
      <c r="F71" s="157"/>
      <c r="G71" s="145">
        <f t="shared" si="4"/>
        <v>0</v>
      </c>
      <c r="H71" s="140" t="str">
        <f t="shared" si="5"/>
        <v/>
      </c>
      <c r="J71" s="147" t="str">
        <f>IFERROR(SUMIFS(当年实际!$V:$V,当年实际!$J:$J,$C71,当年实际!$C:$C,"&gt;="&amp;DATE(YEAR(主页!$D$2),1,1),当年实际!$C:$C,"&lt;="&amp;EOMONTH(DATE(YEAR(主页!$D$2),MONTH(主页!$D$2),1),0))/SUMIFS(当年实际!$P:$P,当年实际!$J:$J,$C71,当年实际!$C:$C,"&gt;="&amp;DATE(YEAR(主页!$D$2),1,1),当年实际!$C:$C,"&lt;="&amp;EOMONTH(DATE(YEAR(主页!$D$2),MONTH(主页!$D$2),1),0)),"")</f>
        <v/>
      </c>
    </row>
    <row r="72" spans="1:10" x14ac:dyDescent="0.3">
      <c r="A72" s="129"/>
      <c r="B72" s="150"/>
      <c r="C72" s="150"/>
      <c r="D72" s="150"/>
      <c r="E72" s="140" t="str">
        <f t="shared" si="6"/>
        <v/>
      </c>
      <c r="F72" s="157"/>
      <c r="G72" s="145">
        <f t="shared" si="4"/>
        <v>0</v>
      </c>
      <c r="H72" s="140" t="str">
        <f t="shared" si="5"/>
        <v/>
      </c>
      <c r="J72" s="147" t="str">
        <f>IFERROR(SUMIFS(当年实际!$V:$V,当年实际!$J:$J,$C72,当年实际!$C:$C,"&gt;="&amp;DATE(YEAR(主页!$D$2),1,1),当年实际!$C:$C,"&lt;="&amp;EOMONTH(DATE(YEAR(主页!$D$2),MONTH(主页!$D$2),1),0))/SUMIFS(当年实际!$P:$P,当年实际!$J:$J,$C72,当年实际!$C:$C,"&gt;="&amp;DATE(YEAR(主页!$D$2),1,1),当年实际!$C:$C,"&lt;="&amp;EOMONTH(DATE(YEAR(主页!$D$2),MONTH(主页!$D$2),1),0)),"")</f>
        <v/>
      </c>
    </row>
    <row r="73" spans="1:10" x14ac:dyDescent="0.3">
      <c r="A73" s="129"/>
      <c r="B73" s="150"/>
      <c r="C73" s="150"/>
      <c r="D73" s="150"/>
      <c r="E73" s="140" t="str">
        <f t="shared" si="6"/>
        <v/>
      </c>
      <c r="F73" s="157"/>
      <c r="G73" s="145">
        <f t="shared" si="4"/>
        <v>0</v>
      </c>
      <c r="H73" s="140" t="str">
        <f t="shared" si="5"/>
        <v/>
      </c>
      <c r="J73" s="147" t="str">
        <f>IFERROR(SUMIFS(当年实际!$V:$V,当年实际!$J:$J,$C73,当年实际!$C:$C,"&gt;="&amp;DATE(YEAR(主页!$D$2),1,1),当年实际!$C:$C,"&lt;="&amp;EOMONTH(DATE(YEAR(主页!$D$2),MONTH(主页!$D$2),1),0))/SUMIFS(当年实际!$P:$P,当年实际!$J:$J,$C73,当年实际!$C:$C,"&gt;="&amp;DATE(YEAR(主页!$D$2),1,1),当年实际!$C:$C,"&lt;="&amp;EOMONTH(DATE(YEAR(主页!$D$2),MONTH(主页!$D$2),1),0)),"")</f>
        <v/>
      </c>
    </row>
    <row r="74" spans="1:10" x14ac:dyDescent="0.3">
      <c r="A74" s="129"/>
      <c r="B74" s="150"/>
      <c r="C74" s="150"/>
      <c r="D74" s="150"/>
      <c r="E74" s="140" t="str">
        <f t="shared" si="6"/>
        <v/>
      </c>
      <c r="F74" s="157"/>
      <c r="G74" s="145">
        <f t="shared" si="4"/>
        <v>0</v>
      </c>
      <c r="H74" s="140" t="str">
        <f t="shared" si="5"/>
        <v/>
      </c>
      <c r="J74" s="147" t="str">
        <f>IFERROR(SUMIFS(当年实际!$V:$V,当年实际!$J:$J,$C74,当年实际!$C:$C,"&gt;="&amp;DATE(YEAR(主页!$D$2),1,1),当年实际!$C:$C,"&lt;="&amp;EOMONTH(DATE(YEAR(主页!$D$2),MONTH(主页!$D$2),1),0))/SUMIFS(当年实际!$P:$P,当年实际!$J:$J,$C74,当年实际!$C:$C,"&gt;="&amp;DATE(YEAR(主页!$D$2),1,1),当年实际!$C:$C,"&lt;="&amp;EOMONTH(DATE(YEAR(主页!$D$2),MONTH(主页!$D$2),1),0)),"")</f>
        <v/>
      </c>
    </row>
    <row r="75" spans="1:10" x14ac:dyDescent="0.3">
      <c r="A75" s="129"/>
      <c r="B75" s="150"/>
      <c r="C75" s="150"/>
      <c r="D75" s="150"/>
      <c r="E75" s="140" t="str">
        <f t="shared" si="6"/>
        <v/>
      </c>
      <c r="F75" s="157"/>
      <c r="G75" s="145">
        <f t="shared" si="4"/>
        <v>0</v>
      </c>
      <c r="H75" s="140" t="str">
        <f t="shared" si="5"/>
        <v/>
      </c>
      <c r="J75" s="147" t="str">
        <f>IFERROR(SUMIFS(当年实际!$V:$V,当年实际!$J:$J,$C75,当年实际!$C:$C,"&gt;="&amp;DATE(YEAR(主页!$D$2),1,1),当年实际!$C:$C,"&lt;="&amp;EOMONTH(DATE(YEAR(主页!$D$2),MONTH(主页!$D$2),1),0))/SUMIFS(当年实际!$P:$P,当年实际!$J:$J,$C75,当年实际!$C:$C,"&gt;="&amp;DATE(YEAR(主页!$D$2),1,1),当年实际!$C:$C,"&lt;="&amp;EOMONTH(DATE(YEAR(主页!$D$2),MONTH(主页!$D$2),1),0)),"")</f>
        <v/>
      </c>
    </row>
    <row r="76" spans="1:10" x14ac:dyDescent="0.3">
      <c r="A76" s="129"/>
      <c r="B76" s="150"/>
      <c r="C76" s="150"/>
      <c r="D76" s="150"/>
      <c r="E76" s="140" t="str">
        <f t="shared" si="6"/>
        <v/>
      </c>
      <c r="F76" s="157"/>
      <c r="G76" s="145">
        <f t="shared" si="4"/>
        <v>0</v>
      </c>
      <c r="H76" s="140" t="str">
        <f t="shared" si="5"/>
        <v/>
      </c>
      <c r="J76" s="147" t="str">
        <f>IFERROR(SUMIFS(当年实际!$V:$V,当年实际!$J:$J,$C76,当年实际!$C:$C,"&gt;="&amp;DATE(YEAR(主页!$D$2),1,1),当年实际!$C:$C,"&lt;="&amp;EOMONTH(DATE(YEAR(主页!$D$2),MONTH(主页!$D$2),1),0))/SUMIFS(当年实际!$P:$P,当年实际!$J:$J,$C76,当年实际!$C:$C,"&gt;="&amp;DATE(YEAR(主页!$D$2),1,1),当年实际!$C:$C,"&lt;="&amp;EOMONTH(DATE(YEAR(主页!$D$2),MONTH(主页!$D$2),1),0)),"")</f>
        <v/>
      </c>
    </row>
    <row r="77" spans="1:10" x14ac:dyDescent="0.3">
      <c r="A77" s="129"/>
      <c r="B77" s="150"/>
      <c r="C77" s="150"/>
      <c r="D77" s="150"/>
      <c r="E77" s="140" t="str">
        <f t="shared" si="6"/>
        <v/>
      </c>
      <c r="F77" s="157"/>
      <c r="G77" s="145">
        <f t="shared" si="4"/>
        <v>0</v>
      </c>
      <c r="H77" s="140" t="str">
        <f t="shared" si="5"/>
        <v/>
      </c>
      <c r="J77" s="147" t="str">
        <f>IFERROR(SUMIFS(当年实际!$V:$V,当年实际!$J:$J,$C77,当年实际!$C:$C,"&gt;="&amp;DATE(YEAR(主页!$D$2),1,1),当年实际!$C:$C,"&lt;="&amp;EOMONTH(DATE(YEAR(主页!$D$2),MONTH(主页!$D$2),1),0))/SUMIFS(当年实际!$P:$P,当年实际!$J:$J,$C77,当年实际!$C:$C,"&gt;="&amp;DATE(YEAR(主页!$D$2),1,1),当年实际!$C:$C,"&lt;="&amp;EOMONTH(DATE(YEAR(主页!$D$2),MONTH(主页!$D$2),1),0)),"")</f>
        <v/>
      </c>
    </row>
    <row r="78" spans="1:10" x14ac:dyDescent="0.3">
      <c r="A78" s="129"/>
      <c r="B78" s="150"/>
      <c r="C78" s="150"/>
      <c r="D78" s="150"/>
      <c r="E78" s="140" t="str">
        <f t="shared" si="6"/>
        <v/>
      </c>
      <c r="F78" s="157"/>
      <c r="G78" s="145">
        <f t="shared" si="4"/>
        <v>0</v>
      </c>
      <c r="H78" s="140" t="str">
        <f t="shared" si="5"/>
        <v/>
      </c>
      <c r="J78" s="147" t="str">
        <f>IFERROR(SUMIFS(当年实际!$V:$V,当年实际!$J:$J,$C78,当年实际!$C:$C,"&gt;="&amp;DATE(YEAR(主页!$D$2),1,1),当年实际!$C:$C,"&lt;="&amp;EOMONTH(DATE(YEAR(主页!$D$2),MONTH(主页!$D$2),1),0))/SUMIFS(当年实际!$P:$P,当年实际!$J:$J,$C78,当年实际!$C:$C,"&gt;="&amp;DATE(YEAR(主页!$D$2),1,1),当年实际!$C:$C,"&lt;="&amp;EOMONTH(DATE(YEAR(主页!$D$2),MONTH(主页!$D$2),1),0)),"")</f>
        <v/>
      </c>
    </row>
    <row r="79" spans="1:10" x14ac:dyDescent="0.3">
      <c r="A79" s="129"/>
      <c r="B79" s="150"/>
      <c r="C79" s="150"/>
      <c r="D79" s="150"/>
      <c r="E79" s="140" t="str">
        <f t="shared" si="6"/>
        <v/>
      </c>
      <c r="F79" s="157"/>
      <c r="G79" s="145">
        <f t="shared" si="4"/>
        <v>0</v>
      </c>
      <c r="H79" s="140" t="str">
        <f t="shared" si="5"/>
        <v/>
      </c>
      <c r="J79" s="147" t="str">
        <f>IFERROR(SUMIFS(当年实际!$V:$V,当年实际!$J:$J,$C79,当年实际!$C:$C,"&gt;="&amp;DATE(YEAR(主页!$D$2),1,1),当年实际!$C:$C,"&lt;="&amp;EOMONTH(DATE(YEAR(主页!$D$2),MONTH(主页!$D$2),1),0))/SUMIFS(当年实际!$P:$P,当年实际!$J:$J,$C79,当年实际!$C:$C,"&gt;="&amp;DATE(YEAR(主页!$D$2),1,1),当年实际!$C:$C,"&lt;="&amp;EOMONTH(DATE(YEAR(主页!$D$2),MONTH(主页!$D$2),1),0)),"")</f>
        <v/>
      </c>
    </row>
    <row r="80" spans="1:10" x14ac:dyDescent="0.3">
      <c r="A80" s="129"/>
      <c r="B80" s="150"/>
      <c r="C80" s="150"/>
      <c r="D80" s="150"/>
      <c r="E80" s="140" t="str">
        <f t="shared" si="6"/>
        <v/>
      </c>
      <c r="F80" s="157"/>
      <c r="G80" s="145">
        <f t="shared" si="4"/>
        <v>0</v>
      </c>
      <c r="H80" s="140" t="str">
        <f t="shared" si="5"/>
        <v/>
      </c>
      <c r="J80" s="147" t="str">
        <f>IFERROR(SUMIFS(当年实际!$V:$V,当年实际!$J:$J,$C80,当年实际!$C:$C,"&gt;="&amp;DATE(YEAR(主页!$D$2),1,1),当年实际!$C:$C,"&lt;="&amp;EOMONTH(DATE(YEAR(主页!$D$2),MONTH(主页!$D$2),1),0))/SUMIFS(当年实际!$P:$P,当年实际!$J:$J,$C80,当年实际!$C:$C,"&gt;="&amp;DATE(YEAR(主页!$D$2),1,1),当年实际!$C:$C,"&lt;="&amp;EOMONTH(DATE(YEAR(主页!$D$2),MONTH(主页!$D$2),1),0)),"")</f>
        <v/>
      </c>
    </row>
    <row r="81" spans="1:10" x14ac:dyDescent="0.3">
      <c r="A81" s="129"/>
      <c r="B81" s="150"/>
      <c r="C81" s="150"/>
      <c r="D81" s="150"/>
      <c r="E81" s="140" t="str">
        <f t="shared" si="6"/>
        <v/>
      </c>
      <c r="F81" s="157"/>
      <c r="G81" s="145">
        <f t="shared" si="4"/>
        <v>0</v>
      </c>
      <c r="H81" s="140" t="str">
        <f t="shared" si="5"/>
        <v/>
      </c>
      <c r="J81" s="147" t="str">
        <f>IFERROR(SUMIFS(当年实际!$V:$V,当年实际!$J:$J,$C81,当年实际!$C:$C,"&gt;="&amp;DATE(YEAR(主页!$D$2),1,1),当年实际!$C:$C,"&lt;="&amp;EOMONTH(DATE(YEAR(主页!$D$2),MONTH(主页!$D$2),1),0))/SUMIFS(当年实际!$P:$P,当年实际!$J:$J,$C81,当年实际!$C:$C,"&gt;="&amp;DATE(YEAR(主页!$D$2),1,1),当年实际!$C:$C,"&lt;="&amp;EOMONTH(DATE(YEAR(主页!$D$2),MONTH(主页!$D$2),1),0)),"")</f>
        <v/>
      </c>
    </row>
    <row r="82" spans="1:10" x14ac:dyDescent="0.3">
      <c r="A82" s="129"/>
      <c r="B82" s="150"/>
      <c r="C82" s="150"/>
      <c r="D82" s="150"/>
      <c r="E82" s="140" t="str">
        <f t="shared" si="6"/>
        <v/>
      </c>
      <c r="F82" s="157"/>
      <c r="G82" s="145">
        <f t="shared" si="4"/>
        <v>0</v>
      </c>
      <c r="H82" s="140" t="str">
        <f t="shared" si="5"/>
        <v/>
      </c>
      <c r="J82" s="147" t="str">
        <f>IFERROR(SUMIFS(当年实际!$V:$V,当年实际!$J:$J,$C82,当年实际!$C:$C,"&gt;="&amp;DATE(YEAR(主页!$D$2),1,1),当年实际!$C:$C,"&lt;="&amp;EOMONTH(DATE(YEAR(主页!$D$2),MONTH(主页!$D$2),1),0))/SUMIFS(当年实际!$P:$P,当年实际!$J:$J,$C82,当年实际!$C:$C,"&gt;="&amp;DATE(YEAR(主页!$D$2),1,1),当年实际!$C:$C,"&lt;="&amp;EOMONTH(DATE(YEAR(主页!$D$2),MONTH(主页!$D$2),1),0)),"")</f>
        <v/>
      </c>
    </row>
    <row r="83" spans="1:10" x14ac:dyDescent="0.3">
      <c r="A83" s="129"/>
      <c r="B83" s="150"/>
      <c r="C83" s="150"/>
      <c r="D83" s="150"/>
      <c r="E83" s="140" t="str">
        <f t="shared" si="6"/>
        <v/>
      </c>
      <c r="F83" s="157"/>
      <c r="G83" s="145">
        <f t="shared" si="4"/>
        <v>0</v>
      </c>
      <c r="H83" s="140" t="str">
        <f t="shared" si="5"/>
        <v/>
      </c>
      <c r="J83" s="147" t="str">
        <f>IFERROR(SUMIFS(当年实际!$V:$V,当年实际!$J:$J,$C83,当年实际!$C:$C,"&gt;="&amp;DATE(YEAR(主页!$D$2),1,1),当年实际!$C:$C,"&lt;="&amp;EOMONTH(DATE(YEAR(主页!$D$2),MONTH(主页!$D$2),1),0))/SUMIFS(当年实际!$P:$P,当年实际!$J:$J,$C83,当年实际!$C:$C,"&gt;="&amp;DATE(YEAR(主页!$D$2),1,1),当年实际!$C:$C,"&lt;="&amp;EOMONTH(DATE(YEAR(主页!$D$2),MONTH(主页!$D$2),1),0)),"")</f>
        <v/>
      </c>
    </row>
    <row r="84" spans="1:10" x14ac:dyDescent="0.3">
      <c r="A84" s="129"/>
      <c r="B84" s="150"/>
      <c r="C84" s="150"/>
      <c r="D84" s="150"/>
      <c r="E84" s="140" t="str">
        <f t="shared" si="6"/>
        <v/>
      </c>
      <c r="F84" s="157"/>
      <c r="G84" s="145">
        <f t="shared" si="4"/>
        <v>0</v>
      </c>
      <c r="H84" s="140" t="str">
        <f t="shared" si="5"/>
        <v/>
      </c>
      <c r="J84" s="147" t="str">
        <f>IFERROR(SUMIFS(当年实际!$V:$V,当年实际!$J:$J,$C84,当年实际!$C:$C,"&gt;="&amp;DATE(YEAR(主页!$D$2),1,1),当年实际!$C:$C,"&lt;="&amp;EOMONTH(DATE(YEAR(主页!$D$2),MONTH(主页!$D$2),1),0))/SUMIFS(当年实际!$P:$P,当年实际!$J:$J,$C84,当年实际!$C:$C,"&gt;="&amp;DATE(YEAR(主页!$D$2),1,1),当年实际!$C:$C,"&lt;="&amp;EOMONTH(DATE(YEAR(主页!$D$2),MONTH(主页!$D$2),1),0)),"")</f>
        <v/>
      </c>
    </row>
    <row r="85" spans="1:10" x14ac:dyDescent="0.3">
      <c r="A85" s="129"/>
      <c r="B85" s="150"/>
      <c r="C85" s="150"/>
      <c r="D85" s="150"/>
      <c r="E85" s="140" t="str">
        <f t="shared" si="6"/>
        <v/>
      </c>
      <c r="F85" s="157"/>
      <c r="G85" s="145">
        <f t="shared" si="4"/>
        <v>0</v>
      </c>
      <c r="H85" s="140" t="str">
        <f t="shared" si="5"/>
        <v/>
      </c>
      <c r="J85" s="147" t="str">
        <f>IFERROR(SUMIFS(当年实际!$V:$V,当年实际!$J:$J,$C85,当年实际!$C:$C,"&gt;="&amp;DATE(YEAR(主页!$D$2),1,1),当年实际!$C:$C,"&lt;="&amp;EOMONTH(DATE(YEAR(主页!$D$2),MONTH(主页!$D$2),1),0))/SUMIFS(当年实际!$P:$P,当年实际!$J:$J,$C85,当年实际!$C:$C,"&gt;="&amp;DATE(YEAR(主页!$D$2),1,1),当年实际!$C:$C,"&lt;="&amp;EOMONTH(DATE(YEAR(主页!$D$2),MONTH(主页!$D$2),1),0)),"")</f>
        <v/>
      </c>
    </row>
    <row r="86" spans="1:10" x14ac:dyDescent="0.3">
      <c r="A86" s="129"/>
      <c r="B86" s="150"/>
      <c r="C86" s="150"/>
      <c r="D86" s="150"/>
      <c r="E86" s="140" t="str">
        <f t="shared" si="6"/>
        <v/>
      </c>
      <c r="F86" s="157"/>
      <c r="G86" s="145">
        <f t="shared" si="4"/>
        <v>0</v>
      </c>
      <c r="H86" s="140" t="str">
        <f t="shared" si="5"/>
        <v/>
      </c>
      <c r="J86" s="147" t="str">
        <f>IFERROR(SUMIFS(当年实际!$V:$V,当年实际!$J:$J,$C86,当年实际!$C:$C,"&gt;="&amp;DATE(YEAR(主页!$D$2),1,1),当年实际!$C:$C,"&lt;="&amp;EOMONTH(DATE(YEAR(主页!$D$2),MONTH(主页!$D$2),1),0))/SUMIFS(当年实际!$P:$P,当年实际!$J:$J,$C86,当年实际!$C:$C,"&gt;="&amp;DATE(YEAR(主页!$D$2),1,1),当年实际!$C:$C,"&lt;="&amp;EOMONTH(DATE(YEAR(主页!$D$2),MONTH(主页!$D$2),1),0)),"")</f>
        <v/>
      </c>
    </row>
    <row r="87" spans="1:10" x14ac:dyDescent="0.3">
      <c r="A87" s="129"/>
      <c r="B87" s="150"/>
      <c r="C87" s="150"/>
      <c r="D87" s="150"/>
      <c r="E87" s="140" t="str">
        <f t="shared" si="6"/>
        <v/>
      </c>
      <c r="F87" s="157"/>
      <c r="G87" s="145">
        <f t="shared" si="4"/>
        <v>0</v>
      </c>
      <c r="H87" s="140" t="str">
        <f t="shared" si="5"/>
        <v/>
      </c>
      <c r="J87" s="147" t="str">
        <f>IFERROR(SUMIFS(当年实际!$V:$V,当年实际!$J:$J,$C87,当年实际!$C:$C,"&gt;="&amp;DATE(YEAR(主页!$D$2),1,1),当年实际!$C:$C,"&lt;="&amp;EOMONTH(DATE(YEAR(主页!$D$2),MONTH(主页!$D$2),1),0))/SUMIFS(当年实际!$P:$P,当年实际!$J:$J,$C87,当年实际!$C:$C,"&gt;="&amp;DATE(YEAR(主页!$D$2),1,1),当年实际!$C:$C,"&lt;="&amp;EOMONTH(DATE(YEAR(主页!$D$2),MONTH(主页!$D$2),1),0)),"")</f>
        <v/>
      </c>
    </row>
    <row r="88" spans="1:10" x14ac:dyDescent="0.3">
      <c r="A88" s="129"/>
      <c r="B88" s="150"/>
      <c r="C88" s="150"/>
      <c r="D88" s="150"/>
      <c r="E88" s="140" t="str">
        <f t="shared" si="6"/>
        <v/>
      </c>
      <c r="F88" s="157"/>
      <c r="G88" s="145">
        <f t="shared" si="4"/>
        <v>0</v>
      </c>
      <c r="H88" s="140" t="str">
        <f t="shared" si="5"/>
        <v/>
      </c>
      <c r="J88" s="147" t="str">
        <f>IFERROR(SUMIFS(当年实际!$V:$V,当年实际!$J:$J,$C88,当年实际!$C:$C,"&gt;="&amp;DATE(YEAR(主页!$D$2),1,1),当年实际!$C:$C,"&lt;="&amp;EOMONTH(DATE(YEAR(主页!$D$2),MONTH(主页!$D$2),1),0))/SUMIFS(当年实际!$P:$P,当年实际!$J:$J,$C88,当年实际!$C:$C,"&gt;="&amp;DATE(YEAR(主页!$D$2),1,1),当年实际!$C:$C,"&lt;="&amp;EOMONTH(DATE(YEAR(主页!$D$2),MONTH(主页!$D$2),1),0)),"")</f>
        <v/>
      </c>
    </row>
    <row r="89" spans="1:10" x14ac:dyDescent="0.3">
      <c r="A89" s="129"/>
      <c r="B89" s="150"/>
      <c r="C89" s="150"/>
      <c r="D89" s="150"/>
      <c r="E89" s="140" t="str">
        <f t="shared" si="6"/>
        <v/>
      </c>
      <c r="F89" s="157"/>
      <c r="G89" s="145">
        <f t="shared" si="4"/>
        <v>0</v>
      </c>
      <c r="H89" s="140" t="str">
        <f t="shared" si="5"/>
        <v/>
      </c>
      <c r="J89" s="147" t="str">
        <f>IFERROR(SUMIFS(当年实际!$V:$V,当年实际!$J:$J,$C89,当年实际!$C:$C,"&gt;="&amp;DATE(YEAR(主页!$D$2),1,1),当年实际!$C:$C,"&lt;="&amp;EOMONTH(DATE(YEAR(主页!$D$2),MONTH(主页!$D$2),1),0))/SUMIFS(当年实际!$P:$P,当年实际!$J:$J,$C89,当年实际!$C:$C,"&gt;="&amp;DATE(YEAR(主页!$D$2),1,1),当年实际!$C:$C,"&lt;="&amp;EOMONTH(DATE(YEAR(主页!$D$2),MONTH(主页!$D$2),1),0)),"")</f>
        <v/>
      </c>
    </row>
    <row r="90" spans="1:10" x14ac:dyDescent="0.3">
      <c r="A90" s="129"/>
      <c r="B90" s="150"/>
      <c r="C90" s="150"/>
      <c r="D90" s="150"/>
      <c r="E90" s="140" t="str">
        <f t="shared" si="6"/>
        <v/>
      </c>
      <c r="F90" s="157"/>
      <c r="G90" s="145">
        <f t="shared" si="4"/>
        <v>0</v>
      </c>
      <c r="H90" s="140" t="str">
        <f t="shared" si="5"/>
        <v/>
      </c>
      <c r="J90" s="147" t="str">
        <f>IFERROR(SUMIFS(当年实际!$V:$V,当年实际!$J:$J,$C90,当年实际!$C:$C,"&gt;="&amp;DATE(YEAR(主页!$D$2),1,1),当年实际!$C:$C,"&lt;="&amp;EOMONTH(DATE(YEAR(主页!$D$2),MONTH(主页!$D$2),1),0))/SUMIFS(当年实际!$P:$P,当年实际!$J:$J,$C90,当年实际!$C:$C,"&gt;="&amp;DATE(YEAR(主页!$D$2),1,1),当年实际!$C:$C,"&lt;="&amp;EOMONTH(DATE(YEAR(主页!$D$2),MONTH(主页!$D$2),1),0)),"")</f>
        <v/>
      </c>
    </row>
    <row r="91" spans="1:10" x14ac:dyDescent="0.3">
      <c r="A91" s="129"/>
      <c r="B91" s="150"/>
      <c r="C91" s="150"/>
      <c r="D91" s="150"/>
      <c r="E91" s="140" t="str">
        <f t="shared" si="6"/>
        <v/>
      </c>
      <c r="F91" s="157"/>
      <c r="G91" s="145">
        <f t="shared" si="4"/>
        <v>0</v>
      </c>
      <c r="H91" s="140" t="str">
        <f t="shared" si="5"/>
        <v/>
      </c>
      <c r="J91" s="147" t="str">
        <f>IFERROR(SUMIFS(当年实际!$V:$V,当年实际!$J:$J,$C91,当年实际!$C:$C,"&gt;="&amp;DATE(YEAR(主页!$D$2),1,1),当年实际!$C:$C,"&lt;="&amp;EOMONTH(DATE(YEAR(主页!$D$2),MONTH(主页!$D$2),1),0))/SUMIFS(当年实际!$P:$P,当年实际!$J:$J,$C91,当年实际!$C:$C,"&gt;="&amp;DATE(YEAR(主页!$D$2),1,1),当年实际!$C:$C,"&lt;="&amp;EOMONTH(DATE(YEAR(主页!$D$2),MONTH(主页!$D$2),1),0)),"")</f>
        <v/>
      </c>
    </row>
    <row r="92" spans="1:10" x14ac:dyDescent="0.3">
      <c r="A92" s="129"/>
      <c r="B92" s="150"/>
      <c r="C92" s="150"/>
      <c r="D92" s="150"/>
      <c r="E92" s="140" t="str">
        <f t="shared" si="6"/>
        <v/>
      </c>
      <c r="F92" s="157"/>
      <c r="G92" s="145">
        <f t="shared" si="4"/>
        <v>0</v>
      </c>
      <c r="H92" s="140" t="str">
        <f t="shared" si="5"/>
        <v/>
      </c>
      <c r="J92" s="147" t="str">
        <f>IFERROR(SUMIFS(当年实际!$V:$V,当年实际!$J:$J,$C92,当年实际!$C:$C,"&gt;="&amp;DATE(YEAR(主页!$D$2),1,1),当年实际!$C:$C,"&lt;="&amp;EOMONTH(DATE(YEAR(主页!$D$2),MONTH(主页!$D$2),1),0))/SUMIFS(当年实际!$P:$P,当年实际!$J:$J,$C92,当年实际!$C:$C,"&gt;="&amp;DATE(YEAR(主页!$D$2),1,1),当年实际!$C:$C,"&lt;="&amp;EOMONTH(DATE(YEAR(主页!$D$2),MONTH(主页!$D$2),1),0)),"")</f>
        <v/>
      </c>
    </row>
    <row r="93" spans="1:10" x14ac:dyDescent="0.3">
      <c r="A93" s="129"/>
      <c r="B93" s="150"/>
      <c r="C93" s="150"/>
      <c r="D93" s="150"/>
      <c r="E93" s="140" t="str">
        <f t="shared" si="6"/>
        <v/>
      </c>
      <c r="F93" s="157"/>
      <c r="G93" s="145">
        <f t="shared" si="4"/>
        <v>0</v>
      </c>
      <c r="H93" s="140" t="str">
        <f t="shared" si="5"/>
        <v/>
      </c>
      <c r="J93" s="147" t="str">
        <f>IFERROR(SUMIFS(当年实际!$V:$V,当年实际!$J:$J,$C93,当年实际!$C:$C,"&gt;="&amp;DATE(YEAR(主页!$D$2),1,1),当年实际!$C:$C,"&lt;="&amp;EOMONTH(DATE(YEAR(主页!$D$2),MONTH(主页!$D$2),1),0))/SUMIFS(当年实际!$P:$P,当年实际!$J:$J,$C93,当年实际!$C:$C,"&gt;="&amp;DATE(YEAR(主页!$D$2),1,1),当年实际!$C:$C,"&lt;="&amp;EOMONTH(DATE(YEAR(主页!$D$2),MONTH(主页!$D$2),1),0)),"")</f>
        <v/>
      </c>
    </row>
    <row r="94" spans="1:10" x14ac:dyDescent="0.3">
      <c r="A94" s="129"/>
      <c r="B94" s="150"/>
      <c r="C94" s="150"/>
      <c r="D94" s="150"/>
      <c r="E94" s="140" t="str">
        <f t="shared" si="6"/>
        <v/>
      </c>
      <c r="F94" s="157"/>
      <c r="G94" s="145">
        <f t="shared" si="4"/>
        <v>0</v>
      </c>
      <c r="H94" s="140" t="str">
        <f t="shared" si="5"/>
        <v/>
      </c>
      <c r="J94" s="147" t="str">
        <f>IFERROR(SUMIFS(当年实际!$V:$V,当年实际!$J:$J,$C94,当年实际!$C:$C,"&gt;="&amp;DATE(YEAR(主页!$D$2),1,1),当年实际!$C:$C,"&lt;="&amp;EOMONTH(DATE(YEAR(主页!$D$2),MONTH(主页!$D$2),1),0))/SUMIFS(当年实际!$P:$P,当年实际!$J:$J,$C94,当年实际!$C:$C,"&gt;="&amp;DATE(YEAR(主页!$D$2),1,1),当年实际!$C:$C,"&lt;="&amp;EOMONTH(DATE(YEAR(主页!$D$2),MONTH(主页!$D$2),1),0)),"")</f>
        <v/>
      </c>
    </row>
    <row r="95" spans="1:10" x14ac:dyDescent="0.3">
      <c r="A95" s="129"/>
      <c r="B95" s="150"/>
      <c r="C95" s="150"/>
      <c r="D95" s="150"/>
      <c r="E95" s="140" t="str">
        <f t="shared" si="6"/>
        <v/>
      </c>
      <c r="F95" s="157"/>
      <c r="G95" s="145">
        <f t="shared" ref="G95:G158" si="7">D95*F95</f>
        <v>0</v>
      </c>
      <c r="H95" s="140" t="str">
        <f t="shared" ref="H95:H158" si="8">IF(G95/SUM(G:G)=0,"",G95/SUM(G:G))</f>
        <v/>
      </c>
      <c r="J95" s="147" t="str">
        <f>IFERROR(SUMIFS(当年实际!$V:$V,当年实际!$J:$J,$C95,当年实际!$C:$C,"&gt;="&amp;DATE(YEAR(主页!$D$2),1,1),当年实际!$C:$C,"&lt;="&amp;EOMONTH(DATE(YEAR(主页!$D$2),MONTH(主页!$D$2),1),0))/SUMIFS(当年实际!$P:$P,当年实际!$J:$J,$C95,当年实际!$C:$C,"&gt;="&amp;DATE(YEAR(主页!$D$2),1,1),当年实际!$C:$C,"&lt;="&amp;EOMONTH(DATE(YEAR(主页!$D$2),MONTH(主页!$D$2),1),0)),"")</f>
        <v/>
      </c>
    </row>
    <row r="96" spans="1:10" x14ac:dyDescent="0.3">
      <c r="A96" s="129"/>
      <c r="B96" s="150"/>
      <c r="C96" s="150"/>
      <c r="D96" s="150"/>
      <c r="E96" s="140" t="str">
        <f t="shared" si="6"/>
        <v/>
      </c>
      <c r="F96" s="157"/>
      <c r="G96" s="145">
        <f t="shared" si="7"/>
        <v>0</v>
      </c>
      <c r="H96" s="140" t="str">
        <f t="shared" si="8"/>
        <v/>
      </c>
      <c r="J96" s="147" t="str">
        <f>IFERROR(SUMIFS(当年实际!$V:$V,当年实际!$J:$J,$C96,当年实际!$C:$C,"&gt;="&amp;DATE(YEAR(主页!$D$2),1,1),当年实际!$C:$C,"&lt;="&amp;EOMONTH(DATE(YEAR(主页!$D$2),MONTH(主页!$D$2),1),0))/SUMIFS(当年实际!$P:$P,当年实际!$J:$J,$C96,当年实际!$C:$C,"&gt;="&amp;DATE(YEAR(主页!$D$2),1,1),当年实际!$C:$C,"&lt;="&amp;EOMONTH(DATE(YEAR(主页!$D$2),MONTH(主页!$D$2),1),0)),"")</f>
        <v/>
      </c>
    </row>
    <row r="97" spans="1:10" x14ac:dyDescent="0.3">
      <c r="A97" s="129"/>
      <c r="B97" s="150"/>
      <c r="C97" s="150"/>
      <c r="D97" s="150"/>
      <c r="E97" s="140" t="str">
        <f t="shared" si="6"/>
        <v/>
      </c>
      <c r="F97" s="157"/>
      <c r="G97" s="145">
        <f t="shared" si="7"/>
        <v>0</v>
      </c>
      <c r="H97" s="140" t="str">
        <f t="shared" si="8"/>
        <v/>
      </c>
      <c r="J97" s="147" t="str">
        <f>IFERROR(SUMIFS(当年实际!$V:$V,当年实际!$J:$J,$C97,当年实际!$C:$C,"&gt;="&amp;DATE(YEAR(主页!$D$2),1,1),当年实际!$C:$C,"&lt;="&amp;EOMONTH(DATE(YEAR(主页!$D$2),MONTH(主页!$D$2),1),0))/SUMIFS(当年实际!$P:$P,当年实际!$J:$J,$C97,当年实际!$C:$C,"&gt;="&amp;DATE(YEAR(主页!$D$2),1,1),当年实际!$C:$C,"&lt;="&amp;EOMONTH(DATE(YEAR(主页!$D$2),MONTH(主页!$D$2),1),0)),"")</f>
        <v/>
      </c>
    </row>
    <row r="98" spans="1:10" x14ac:dyDescent="0.3">
      <c r="A98" s="129"/>
      <c r="B98" s="150"/>
      <c r="C98" s="150"/>
      <c r="D98" s="150"/>
      <c r="E98" s="140" t="str">
        <f t="shared" si="6"/>
        <v/>
      </c>
      <c r="F98" s="157"/>
      <c r="G98" s="145">
        <f t="shared" si="7"/>
        <v>0</v>
      </c>
      <c r="H98" s="140" t="str">
        <f t="shared" si="8"/>
        <v/>
      </c>
      <c r="J98" s="147" t="str">
        <f>IFERROR(SUMIFS(当年实际!$V:$V,当年实际!$J:$J,$C98,当年实际!$C:$C,"&gt;="&amp;DATE(YEAR(主页!$D$2),1,1),当年实际!$C:$C,"&lt;="&amp;EOMONTH(DATE(YEAR(主页!$D$2),MONTH(主页!$D$2),1),0))/SUMIFS(当年实际!$P:$P,当年实际!$J:$J,$C98,当年实际!$C:$C,"&gt;="&amp;DATE(YEAR(主页!$D$2),1,1),当年实际!$C:$C,"&lt;="&amp;EOMONTH(DATE(YEAR(主页!$D$2),MONTH(主页!$D$2),1),0)),"")</f>
        <v/>
      </c>
    </row>
    <row r="99" spans="1:10" x14ac:dyDescent="0.3">
      <c r="A99" s="129"/>
      <c r="B99" s="150"/>
      <c r="C99" s="150"/>
      <c r="D99" s="150"/>
      <c r="E99" s="140" t="str">
        <f t="shared" si="6"/>
        <v/>
      </c>
      <c r="F99" s="157"/>
      <c r="G99" s="145">
        <f t="shared" si="7"/>
        <v>0</v>
      </c>
      <c r="H99" s="140" t="str">
        <f t="shared" si="8"/>
        <v/>
      </c>
      <c r="J99" s="147" t="str">
        <f>IFERROR(SUMIFS(当年实际!$V:$V,当年实际!$J:$J,$C99,当年实际!$C:$C,"&gt;="&amp;DATE(YEAR(主页!$D$2),1,1),当年实际!$C:$C,"&lt;="&amp;EOMONTH(DATE(YEAR(主页!$D$2),MONTH(主页!$D$2),1),0))/SUMIFS(当年实际!$P:$P,当年实际!$J:$J,$C99,当年实际!$C:$C,"&gt;="&amp;DATE(YEAR(主页!$D$2),1,1),当年实际!$C:$C,"&lt;="&amp;EOMONTH(DATE(YEAR(主页!$D$2),MONTH(主页!$D$2),1),0)),"")</f>
        <v/>
      </c>
    </row>
    <row r="100" spans="1:10" x14ac:dyDescent="0.3">
      <c r="A100" s="129"/>
      <c r="B100" s="150"/>
      <c r="C100" s="150"/>
      <c r="D100" s="150"/>
      <c r="E100" s="140" t="str">
        <f t="shared" si="6"/>
        <v/>
      </c>
      <c r="F100" s="157"/>
      <c r="G100" s="145">
        <f t="shared" si="7"/>
        <v>0</v>
      </c>
      <c r="H100" s="140" t="str">
        <f t="shared" si="8"/>
        <v/>
      </c>
      <c r="J100" s="147" t="str">
        <f>IFERROR(SUMIFS(当年实际!$V:$V,当年实际!$J:$J,$C100,当年实际!$C:$C,"&gt;="&amp;DATE(YEAR(主页!$D$2),1,1),当年实际!$C:$C,"&lt;="&amp;EOMONTH(DATE(YEAR(主页!$D$2),MONTH(主页!$D$2),1),0))/SUMIFS(当年实际!$P:$P,当年实际!$J:$J,$C100,当年实际!$C:$C,"&gt;="&amp;DATE(YEAR(主页!$D$2),1,1),当年实际!$C:$C,"&lt;="&amp;EOMONTH(DATE(YEAR(主页!$D$2),MONTH(主页!$D$2),1),0)),"")</f>
        <v/>
      </c>
    </row>
    <row r="101" spans="1:10" x14ac:dyDescent="0.3">
      <c r="A101" s="129"/>
      <c r="B101" s="150"/>
      <c r="C101" s="150"/>
      <c r="D101" s="150"/>
      <c r="E101" s="140" t="str">
        <f t="shared" si="6"/>
        <v/>
      </c>
      <c r="F101" s="157"/>
      <c r="G101" s="145">
        <f t="shared" si="7"/>
        <v>0</v>
      </c>
      <c r="H101" s="140" t="str">
        <f t="shared" si="8"/>
        <v/>
      </c>
      <c r="J101" s="147" t="str">
        <f>IFERROR(SUMIFS(当年实际!$V:$V,当年实际!$J:$J,$C101,当年实际!$C:$C,"&gt;="&amp;DATE(YEAR(主页!$D$2),1,1),当年实际!$C:$C,"&lt;="&amp;EOMONTH(DATE(YEAR(主页!$D$2),MONTH(主页!$D$2),1),0))/SUMIFS(当年实际!$P:$P,当年实际!$J:$J,$C101,当年实际!$C:$C,"&gt;="&amp;DATE(YEAR(主页!$D$2),1,1),当年实际!$C:$C,"&lt;="&amp;EOMONTH(DATE(YEAR(主页!$D$2),MONTH(主页!$D$2),1),0)),"")</f>
        <v/>
      </c>
    </row>
    <row r="102" spans="1:10" x14ac:dyDescent="0.3">
      <c r="A102" s="129"/>
      <c r="B102" s="150"/>
      <c r="C102" s="150"/>
      <c r="D102" s="150"/>
      <c r="E102" s="140" t="str">
        <f t="shared" si="6"/>
        <v/>
      </c>
      <c r="F102" s="157"/>
      <c r="G102" s="145">
        <f t="shared" si="7"/>
        <v>0</v>
      </c>
      <c r="H102" s="140" t="str">
        <f t="shared" si="8"/>
        <v/>
      </c>
      <c r="J102" s="147" t="str">
        <f>IFERROR(SUMIFS(当年实际!$V:$V,当年实际!$J:$J,$C102,当年实际!$C:$C,"&gt;="&amp;DATE(YEAR(主页!$D$2),1,1),当年实际!$C:$C,"&lt;="&amp;EOMONTH(DATE(YEAR(主页!$D$2),MONTH(主页!$D$2),1),0))/SUMIFS(当年实际!$P:$P,当年实际!$J:$J,$C102,当年实际!$C:$C,"&gt;="&amp;DATE(YEAR(主页!$D$2),1,1),当年实际!$C:$C,"&lt;="&amp;EOMONTH(DATE(YEAR(主页!$D$2),MONTH(主页!$D$2),1),0)),"")</f>
        <v/>
      </c>
    </row>
    <row r="103" spans="1:10" x14ac:dyDescent="0.3">
      <c r="A103" s="129"/>
      <c r="B103" s="150"/>
      <c r="C103" s="150"/>
      <c r="D103" s="150"/>
      <c r="E103" s="140" t="str">
        <f t="shared" si="6"/>
        <v/>
      </c>
      <c r="F103" s="157"/>
      <c r="G103" s="145">
        <f t="shared" si="7"/>
        <v>0</v>
      </c>
      <c r="H103" s="140" t="str">
        <f t="shared" si="8"/>
        <v/>
      </c>
      <c r="J103" s="147" t="str">
        <f>IFERROR(SUMIFS(当年实际!$V:$V,当年实际!$J:$J,$C103,当年实际!$C:$C,"&gt;="&amp;DATE(YEAR(主页!$D$2),1,1),当年实际!$C:$C,"&lt;="&amp;EOMONTH(DATE(YEAR(主页!$D$2),MONTH(主页!$D$2),1),0))/SUMIFS(当年实际!$P:$P,当年实际!$J:$J,$C103,当年实际!$C:$C,"&gt;="&amp;DATE(YEAR(主页!$D$2),1,1),当年实际!$C:$C,"&lt;="&amp;EOMONTH(DATE(YEAR(主页!$D$2),MONTH(主页!$D$2),1),0)),"")</f>
        <v/>
      </c>
    </row>
    <row r="104" spans="1:10" x14ac:dyDescent="0.3">
      <c r="A104" s="129"/>
      <c r="B104" s="150"/>
      <c r="C104" s="150"/>
      <c r="D104" s="150"/>
      <c r="E104" s="140" t="str">
        <f t="shared" si="6"/>
        <v/>
      </c>
      <c r="F104" s="157"/>
      <c r="G104" s="145">
        <f t="shared" si="7"/>
        <v>0</v>
      </c>
      <c r="H104" s="140" t="str">
        <f t="shared" si="8"/>
        <v/>
      </c>
      <c r="J104" s="147" t="str">
        <f>IFERROR(SUMIFS(当年实际!$V:$V,当年实际!$J:$J,$C104,当年实际!$C:$C,"&gt;="&amp;DATE(YEAR(主页!$D$2),1,1),当年实际!$C:$C,"&lt;="&amp;EOMONTH(DATE(YEAR(主页!$D$2),MONTH(主页!$D$2),1),0))/SUMIFS(当年实际!$P:$P,当年实际!$J:$J,$C104,当年实际!$C:$C,"&gt;="&amp;DATE(YEAR(主页!$D$2),1,1),当年实际!$C:$C,"&lt;="&amp;EOMONTH(DATE(YEAR(主页!$D$2),MONTH(主页!$D$2),1),0)),"")</f>
        <v/>
      </c>
    </row>
    <row r="105" spans="1:10" x14ac:dyDescent="0.3">
      <c r="A105" s="129"/>
      <c r="B105" s="150"/>
      <c r="C105" s="150"/>
      <c r="D105" s="150"/>
      <c r="E105" s="140" t="str">
        <f t="shared" si="6"/>
        <v/>
      </c>
      <c r="F105" s="157"/>
      <c r="G105" s="145">
        <f t="shared" si="7"/>
        <v>0</v>
      </c>
      <c r="H105" s="140" t="str">
        <f t="shared" si="8"/>
        <v/>
      </c>
      <c r="J105" s="147" t="str">
        <f>IFERROR(SUMIFS(当年实际!$V:$V,当年实际!$J:$J,$C105,当年实际!$C:$C,"&gt;="&amp;DATE(YEAR(主页!$D$2),1,1),当年实际!$C:$C,"&lt;="&amp;EOMONTH(DATE(YEAR(主页!$D$2),MONTH(主页!$D$2),1),0))/SUMIFS(当年实际!$P:$P,当年实际!$J:$J,$C105,当年实际!$C:$C,"&gt;="&amp;DATE(YEAR(主页!$D$2),1,1),当年实际!$C:$C,"&lt;="&amp;EOMONTH(DATE(YEAR(主页!$D$2),MONTH(主页!$D$2),1),0)),"")</f>
        <v/>
      </c>
    </row>
    <row r="106" spans="1:10" x14ac:dyDescent="0.3">
      <c r="A106" s="129"/>
      <c r="B106" s="150"/>
      <c r="C106" s="150"/>
      <c r="D106" s="150"/>
      <c r="E106" s="140" t="str">
        <f t="shared" si="6"/>
        <v/>
      </c>
      <c r="F106" s="157"/>
      <c r="G106" s="145">
        <f t="shared" si="7"/>
        <v>0</v>
      </c>
      <c r="H106" s="140" t="str">
        <f t="shared" si="8"/>
        <v/>
      </c>
      <c r="J106" s="147" t="str">
        <f>IFERROR(SUMIFS(当年实际!$V:$V,当年实际!$J:$J,$C106,当年实际!$C:$C,"&gt;="&amp;DATE(YEAR(主页!$D$2),1,1),当年实际!$C:$C,"&lt;="&amp;EOMONTH(DATE(YEAR(主页!$D$2),MONTH(主页!$D$2),1),0))/SUMIFS(当年实际!$P:$P,当年实际!$J:$J,$C106,当年实际!$C:$C,"&gt;="&amp;DATE(YEAR(主页!$D$2),1,1),当年实际!$C:$C,"&lt;="&amp;EOMONTH(DATE(YEAR(主页!$D$2),MONTH(主页!$D$2),1),0)),"")</f>
        <v/>
      </c>
    </row>
    <row r="107" spans="1:10" x14ac:dyDescent="0.3">
      <c r="A107" s="129"/>
      <c r="B107" s="150"/>
      <c r="C107" s="150"/>
      <c r="D107" s="150"/>
      <c r="E107" s="140" t="str">
        <f t="shared" si="6"/>
        <v/>
      </c>
      <c r="F107" s="157"/>
      <c r="G107" s="145">
        <f t="shared" si="7"/>
        <v>0</v>
      </c>
      <c r="H107" s="140" t="str">
        <f t="shared" si="8"/>
        <v/>
      </c>
      <c r="J107" s="147" t="str">
        <f>IFERROR(SUMIFS(当年实际!$V:$V,当年实际!$J:$J,$C107,当年实际!$C:$C,"&gt;="&amp;DATE(YEAR(主页!$D$2),1,1),当年实际!$C:$C,"&lt;="&amp;EOMONTH(DATE(YEAR(主页!$D$2),MONTH(主页!$D$2),1),0))/SUMIFS(当年实际!$P:$P,当年实际!$J:$J,$C107,当年实际!$C:$C,"&gt;="&amp;DATE(YEAR(主页!$D$2),1,1),当年实际!$C:$C,"&lt;="&amp;EOMONTH(DATE(YEAR(主页!$D$2),MONTH(主页!$D$2),1),0)),"")</f>
        <v/>
      </c>
    </row>
    <row r="108" spans="1:10" x14ac:dyDescent="0.3">
      <c r="A108" s="129"/>
      <c r="B108" s="150"/>
      <c r="C108" s="150"/>
      <c r="D108" s="150"/>
      <c r="E108" s="140" t="str">
        <f t="shared" si="6"/>
        <v/>
      </c>
      <c r="F108" s="157"/>
      <c r="G108" s="145">
        <f t="shared" si="7"/>
        <v>0</v>
      </c>
      <c r="H108" s="140" t="str">
        <f t="shared" si="8"/>
        <v/>
      </c>
      <c r="J108" s="147" t="str">
        <f>IFERROR(SUMIFS(当年实际!$V:$V,当年实际!$J:$J,$C108,当年实际!$C:$C,"&gt;="&amp;DATE(YEAR(主页!$D$2),1,1),当年实际!$C:$C,"&lt;="&amp;EOMONTH(DATE(YEAR(主页!$D$2),MONTH(主页!$D$2),1),0))/SUMIFS(当年实际!$P:$P,当年实际!$J:$J,$C108,当年实际!$C:$C,"&gt;="&amp;DATE(YEAR(主页!$D$2),1,1),当年实际!$C:$C,"&lt;="&amp;EOMONTH(DATE(YEAR(主页!$D$2),MONTH(主页!$D$2),1),0)),"")</f>
        <v/>
      </c>
    </row>
    <row r="109" spans="1:10" x14ac:dyDescent="0.3">
      <c r="A109" s="129"/>
      <c r="B109" s="150"/>
      <c r="C109" s="150"/>
      <c r="D109" s="150"/>
      <c r="E109" s="140" t="str">
        <f t="shared" si="6"/>
        <v/>
      </c>
      <c r="F109" s="157"/>
      <c r="G109" s="145">
        <f t="shared" si="7"/>
        <v>0</v>
      </c>
      <c r="H109" s="140" t="str">
        <f t="shared" si="8"/>
        <v/>
      </c>
      <c r="J109" s="147" t="str">
        <f>IFERROR(SUMIFS(当年实际!$V:$V,当年实际!$J:$J,$C109,当年实际!$C:$C,"&gt;="&amp;DATE(YEAR(主页!$D$2),1,1),当年实际!$C:$C,"&lt;="&amp;EOMONTH(DATE(YEAR(主页!$D$2),MONTH(主页!$D$2),1),0))/SUMIFS(当年实际!$P:$P,当年实际!$J:$J,$C109,当年实际!$C:$C,"&gt;="&amp;DATE(YEAR(主页!$D$2),1,1),当年实际!$C:$C,"&lt;="&amp;EOMONTH(DATE(YEAR(主页!$D$2),MONTH(主页!$D$2),1),0)),"")</f>
        <v/>
      </c>
    </row>
    <row r="110" spans="1:10" x14ac:dyDescent="0.3">
      <c r="A110" s="129"/>
      <c r="B110" s="150"/>
      <c r="C110" s="150"/>
      <c r="D110" s="150"/>
      <c r="E110" s="140" t="str">
        <f t="shared" si="6"/>
        <v/>
      </c>
      <c r="F110" s="157"/>
      <c r="G110" s="145">
        <f t="shared" si="7"/>
        <v>0</v>
      </c>
      <c r="H110" s="140" t="str">
        <f t="shared" si="8"/>
        <v/>
      </c>
      <c r="J110" s="147" t="str">
        <f>IFERROR(SUMIFS(当年实际!$V:$V,当年实际!$J:$J,$C110,当年实际!$C:$C,"&gt;="&amp;DATE(YEAR(主页!$D$2),1,1),当年实际!$C:$C,"&lt;="&amp;EOMONTH(DATE(YEAR(主页!$D$2),MONTH(主页!$D$2),1),0))/SUMIFS(当年实际!$P:$P,当年实际!$J:$J,$C110,当年实际!$C:$C,"&gt;="&amp;DATE(YEAR(主页!$D$2),1,1),当年实际!$C:$C,"&lt;="&amp;EOMONTH(DATE(YEAR(主页!$D$2),MONTH(主页!$D$2),1),0)),"")</f>
        <v/>
      </c>
    </row>
    <row r="111" spans="1:10" x14ac:dyDescent="0.3">
      <c r="A111" s="129"/>
      <c r="B111" s="150"/>
      <c r="C111" s="150"/>
      <c r="D111" s="150"/>
      <c r="E111" s="140" t="str">
        <f t="shared" si="6"/>
        <v/>
      </c>
      <c r="F111" s="157"/>
      <c r="G111" s="145">
        <f t="shared" si="7"/>
        <v>0</v>
      </c>
      <c r="H111" s="140" t="str">
        <f t="shared" si="8"/>
        <v/>
      </c>
      <c r="J111" s="147" t="str">
        <f>IFERROR(SUMIFS(当年实际!$V:$V,当年实际!$J:$J,$C111,当年实际!$C:$C,"&gt;="&amp;DATE(YEAR(主页!$D$2),1,1),当年实际!$C:$C,"&lt;="&amp;EOMONTH(DATE(YEAR(主页!$D$2),MONTH(主页!$D$2),1),0))/SUMIFS(当年实际!$P:$P,当年实际!$J:$J,$C111,当年实际!$C:$C,"&gt;="&amp;DATE(YEAR(主页!$D$2),1,1),当年实际!$C:$C,"&lt;="&amp;EOMONTH(DATE(YEAR(主页!$D$2),MONTH(主页!$D$2),1),0)),"")</f>
        <v/>
      </c>
    </row>
    <row r="112" spans="1:10" x14ac:dyDescent="0.3">
      <c r="A112" s="129"/>
      <c r="B112" s="150"/>
      <c r="C112" s="150"/>
      <c r="D112" s="150"/>
      <c r="E112" s="140" t="str">
        <f t="shared" si="6"/>
        <v/>
      </c>
      <c r="F112" s="157"/>
      <c r="G112" s="145">
        <f t="shared" si="7"/>
        <v>0</v>
      </c>
      <c r="H112" s="140" t="str">
        <f t="shared" si="8"/>
        <v/>
      </c>
      <c r="J112" s="147" t="str">
        <f>IFERROR(SUMIFS(当年实际!$V:$V,当年实际!$J:$J,$C112,当年实际!$C:$C,"&gt;="&amp;DATE(YEAR(主页!$D$2),1,1),当年实际!$C:$C,"&lt;="&amp;EOMONTH(DATE(YEAR(主页!$D$2),MONTH(主页!$D$2),1),0))/SUMIFS(当年实际!$P:$P,当年实际!$J:$J,$C112,当年实际!$C:$C,"&gt;="&amp;DATE(YEAR(主页!$D$2),1,1),当年实际!$C:$C,"&lt;="&amp;EOMONTH(DATE(YEAR(主页!$D$2),MONTH(主页!$D$2),1),0)),"")</f>
        <v/>
      </c>
    </row>
    <row r="113" spans="1:10" x14ac:dyDescent="0.3">
      <c r="A113" s="129"/>
      <c r="B113" s="150"/>
      <c r="C113" s="150"/>
      <c r="D113" s="150"/>
      <c r="E113" s="140" t="str">
        <f t="shared" si="6"/>
        <v/>
      </c>
      <c r="F113" s="157"/>
      <c r="G113" s="145">
        <f t="shared" si="7"/>
        <v>0</v>
      </c>
      <c r="H113" s="140" t="str">
        <f t="shared" si="8"/>
        <v/>
      </c>
      <c r="J113" s="147" t="str">
        <f>IFERROR(SUMIFS(当年实际!$V:$V,当年实际!$J:$J,$C113,当年实际!$C:$C,"&gt;="&amp;DATE(YEAR(主页!$D$2),1,1),当年实际!$C:$C,"&lt;="&amp;EOMONTH(DATE(YEAR(主页!$D$2),MONTH(主页!$D$2),1),0))/SUMIFS(当年实际!$P:$P,当年实际!$J:$J,$C113,当年实际!$C:$C,"&gt;="&amp;DATE(YEAR(主页!$D$2),1,1),当年实际!$C:$C,"&lt;="&amp;EOMONTH(DATE(YEAR(主页!$D$2),MONTH(主页!$D$2),1),0)),"")</f>
        <v/>
      </c>
    </row>
    <row r="114" spans="1:10" x14ac:dyDescent="0.3">
      <c r="A114" s="129"/>
      <c r="B114" s="150"/>
      <c r="C114" s="150"/>
      <c r="D114" s="150"/>
      <c r="E114" s="140" t="str">
        <f t="shared" si="6"/>
        <v/>
      </c>
      <c r="F114" s="157"/>
      <c r="G114" s="145">
        <f t="shared" si="7"/>
        <v>0</v>
      </c>
      <c r="H114" s="140" t="str">
        <f t="shared" si="8"/>
        <v/>
      </c>
      <c r="J114" s="147" t="str">
        <f>IFERROR(SUMIFS(当年实际!$V:$V,当年实际!$J:$J,$C114,当年实际!$C:$C,"&gt;="&amp;DATE(YEAR(主页!$D$2),1,1),当年实际!$C:$C,"&lt;="&amp;EOMONTH(DATE(YEAR(主页!$D$2),MONTH(主页!$D$2),1),0))/SUMIFS(当年实际!$P:$P,当年实际!$J:$J,$C114,当年实际!$C:$C,"&gt;="&amp;DATE(YEAR(主页!$D$2),1,1),当年实际!$C:$C,"&lt;="&amp;EOMONTH(DATE(YEAR(主页!$D$2),MONTH(主页!$D$2),1),0)),"")</f>
        <v/>
      </c>
    </row>
    <row r="115" spans="1:10" x14ac:dyDescent="0.3">
      <c r="A115" s="129"/>
      <c r="B115" s="150"/>
      <c r="C115" s="150"/>
      <c r="D115" s="150"/>
      <c r="E115" s="140" t="str">
        <f t="shared" si="6"/>
        <v/>
      </c>
      <c r="F115" s="157"/>
      <c r="G115" s="145">
        <f t="shared" si="7"/>
        <v>0</v>
      </c>
      <c r="H115" s="140" t="str">
        <f t="shared" si="8"/>
        <v/>
      </c>
      <c r="J115" s="147" t="str">
        <f>IFERROR(SUMIFS(当年实际!$V:$V,当年实际!$J:$J,$C115,当年实际!$C:$C,"&gt;="&amp;DATE(YEAR(主页!$D$2),1,1),当年实际!$C:$C,"&lt;="&amp;EOMONTH(DATE(YEAR(主页!$D$2),MONTH(主页!$D$2),1),0))/SUMIFS(当年实际!$P:$P,当年实际!$J:$J,$C115,当年实际!$C:$C,"&gt;="&amp;DATE(YEAR(主页!$D$2),1,1),当年实际!$C:$C,"&lt;="&amp;EOMONTH(DATE(YEAR(主页!$D$2),MONTH(主页!$D$2),1),0)),"")</f>
        <v/>
      </c>
    </row>
    <row r="116" spans="1:10" x14ac:dyDescent="0.3">
      <c r="A116" s="129"/>
      <c r="B116" s="150"/>
      <c r="C116" s="150"/>
      <c r="D116" s="150"/>
      <c r="E116" s="140" t="str">
        <f t="shared" si="6"/>
        <v/>
      </c>
      <c r="F116" s="157"/>
      <c r="G116" s="145">
        <f t="shared" si="7"/>
        <v>0</v>
      </c>
      <c r="H116" s="140" t="str">
        <f t="shared" si="8"/>
        <v/>
      </c>
      <c r="J116" s="147" t="str">
        <f>IFERROR(SUMIFS(当年实际!$V:$V,当年实际!$J:$J,$C116,当年实际!$C:$C,"&gt;="&amp;DATE(YEAR(主页!$D$2),1,1),当年实际!$C:$C,"&lt;="&amp;EOMONTH(DATE(YEAR(主页!$D$2),MONTH(主页!$D$2),1),0))/SUMIFS(当年实际!$P:$P,当年实际!$J:$J,$C116,当年实际!$C:$C,"&gt;="&amp;DATE(YEAR(主页!$D$2),1,1),当年实际!$C:$C,"&lt;="&amp;EOMONTH(DATE(YEAR(主页!$D$2),MONTH(主页!$D$2),1),0)),"")</f>
        <v/>
      </c>
    </row>
    <row r="117" spans="1:10" x14ac:dyDescent="0.3">
      <c r="A117" s="129"/>
      <c r="B117" s="150"/>
      <c r="C117" s="150"/>
      <c r="D117" s="150"/>
      <c r="E117" s="140" t="str">
        <f t="shared" si="6"/>
        <v/>
      </c>
      <c r="F117" s="157"/>
      <c r="G117" s="145">
        <f t="shared" si="7"/>
        <v>0</v>
      </c>
      <c r="H117" s="140" t="str">
        <f t="shared" si="8"/>
        <v/>
      </c>
      <c r="J117" s="147" t="str">
        <f>IFERROR(SUMIFS(当年实际!$V:$V,当年实际!$J:$J,$C117,当年实际!$C:$C,"&gt;="&amp;DATE(YEAR(主页!$D$2),1,1),当年实际!$C:$C,"&lt;="&amp;EOMONTH(DATE(YEAR(主页!$D$2),MONTH(主页!$D$2),1),0))/SUMIFS(当年实际!$P:$P,当年实际!$J:$J,$C117,当年实际!$C:$C,"&gt;="&amp;DATE(YEAR(主页!$D$2),1,1),当年实际!$C:$C,"&lt;="&amp;EOMONTH(DATE(YEAR(主页!$D$2),MONTH(主页!$D$2),1),0)),"")</f>
        <v/>
      </c>
    </row>
    <row r="118" spans="1:10" x14ac:dyDescent="0.3">
      <c r="A118" s="129"/>
      <c r="B118" s="150"/>
      <c r="C118" s="150"/>
      <c r="D118" s="150"/>
      <c r="E118" s="140" t="str">
        <f t="shared" si="6"/>
        <v/>
      </c>
      <c r="F118" s="157"/>
      <c r="G118" s="145">
        <f t="shared" si="7"/>
        <v>0</v>
      </c>
      <c r="H118" s="140" t="str">
        <f t="shared" si="8"/>
        <v/>
      </c>
      <c r="J118" s="147" t="str">
        <f>IFERROR(SUMIFS(当年实际!$V:$V,当年实际!$J:$J,$C118,当年实际!$C:$C,"&gt;="&amp;DATE(YEAR(主页!$D$2),1,1),当年实际!$C:$C,"&lt;="&amp;EOMONTH(DATE(YEAR(主页!$D$2),MONTH(主页!$D$2),1),0))/SUMIFS(当年实际!$P:$P,当年实际!$J:$J,$C118,当年实际!$C:$C,"&gt;="&amp;DATE(YEAR(主页!$D$2),1,1),当年实际!$C:$C,"&lt;="&amp;EOMONTH(DATE(YEAR(主页!$D$2),MONTH(主页!$D$2),1),0)),"")</f>
        <v/>
      </c>
    </row>
    <row r="119" spans="1:10" x14ac:dyDescent="0.3">
      <c r="A119" s="129"/>
      <c r="B119" s="150"/>
      <c r="C119" s="150"/>
      <c r="D119" s="150"/>
      <c r="E119" s="140" t="str">
        <f t="shared" si="6"/>
        <v/>
      </c>
      <c r="F119" s="157"/>
      <c r="G119" s="145">
        <f t="shared" si="7"/>
        <v>0</v>
      </c>
      <c r="H119" s="140" t="str">
        <f t="shared" si="8"/>
        <v/>
      </c>
      <c r="J119" s="147" t="str">
        <f>IFERROR(SUMIFS(当年实际!$V:$V,当年实际!$J:$J,$C119,当年实际!$C:$C,"&gt;="&amp;DATE(YEAR(主页!$D$2),1,1),当年实际!$C:$C,"&lt;="&amp;EOMONTH(DATE(YEAR(主页!$D$2),MONTH(主页!$D$2),1),0))/SUMIFS(当年实际!$P:$P,当年实际!$J:$J,$C119,当年实际!$C:$C,"&gt;="&amp;DATE(YEAR(主页!$D$2),1,1),当年实际!$C:$C,"&lt;="&amp;EOMONTH(DATE(YEAR(主页!$D$2),MONTH(主页!$D$2),1),0)),"")</f>
        <v/>
      </c>
    </row>
    <row r="120" spans="1:10" x14ac:dyDescent="0.3">
      <c r="A120" s="129"/>
      <c r="B120" s="150"/>
      <c r="C120" s="150"/>
      <c r="D120" s="150"/>
      <c r="E120" s="140" t="str">
        <f t="shared" si="6"/>
        <v/>
      </c>
      <c r="F120" s="157"/>
      <c r="G120" s="145">
        <f t="shared" si="7"/>
        <v>0</v>
      </c>
      <c r="H120" s="140" t="str">
        <f t="shared" si="8"/>
        <v/>
      </c>
      <c r="J120" s="147" t="str">
        <f>IFERROR(SUMIFS(当年实际!$V:$V,当年实际!$J:$J,$C120,当年实际!$C:$C,"&gt;="&amp;DATE(YEAR(主页!$D$2),1,1),当年实际!$C:$C,"&lt;="&amp;EOMONTH(DATE(YEAR(主页!$D$2),MONTH(主页!$D$2),1),0))/SUMIFS(当年实际!$P:$P,当年实际!$J:$J,$C120,当年实际!$C:$C,"&gt;="&amp;DATE(YEAR(主页!$D$2),1,1),当年实际!$C:$C,"&lt;="&amp;EOMONTH(DATE(YEAR(主页!$D$2),MONTH(主页!$D$2),1),0)),"")</f>
        <v/>
      </c>
    </row>
    <row r="121" spans="1:10" x14ac:dyDescent="0.3">
      <c r="A121" s="129"/>
      <c r="B121" s="150"/>
      <c r="C121" s="150"/>
      <c r="D121" s="150"/>
      <c r="E121" s="140" t="str">
        <f t="shared" si="6"/>
        <v/>
      </c>
      <c r="F121" s="157"/>
      <c r="G121" s="145">
        <f t="shared" si="7"/>
        <v>0</v>
      </c>
      <c r="H121" s="140" t="str">
        <f t="shared" si="8"/>
        <v/>
      </c>
      <c r="J121" s="147" t="str">
        <f>IFERROR(SUMIFS(当年实际!$V:$V,当年实际!$J:$J,$C121,当年实际!$C:$C,"&gt;="&amp;DATE(YEAR(主页!$D$2),1,1),当年实际!$C:$C,"&lt;="&amp;EOMONTH(DATE(YEAR(主页!$D$2),MONTH(主页!$D$2),1),0))/SUMIFS(当年实际!$P:$P,当年实际!$J:$J,$C121,当年实际!$C:$C,"&gt;="&amp;DATE(YEAR(主页!$D$2),1,1),当年实际!$C:$C,"&lt;="&amp;EOMONTH(DATE(YEAR(主页!$D$2),MONTH(主页!$D$2),1),0)),"")</f>
        <v/>
      </c>
    </row>
    <row r="122" spans="1:10" x14ac:dyDescent="0.3">
      <c r="A122" s="129"/>
      <c r="B122" s="150"/>
      <c r="C122" s="150"/>
      <c r="D122" s="150"/>
      <c r="E122" s="140" t="str">
        <f t="shared" si="6"/>
        <v/>
      </c>
      <c r="F122" s="157"/>
      <c r="G122" s="145">
        <f t="shared" si="7"/>
        <v>0</v>
      </c>
      <c r="H122" s="140" t="str">
        <f t="shared" si="8"/>
        <v/>
      </c>
      <c r="J122" s="147" t="str">
        <f>IFERROR(SUMIFS(当年实际!$V:$V,当年实际!$J:$J,$C122,当年实际!$C:$C,"&gt;="&amp;DATE(YEAR(主页!$D$2),1,1),当年实际!$C:$C,"&lt;="&amp;EOMONTH(DATE(YEAR(主页!$D$2),MONTH(主页!$D$2),1),0))/SUMIFS(当年实际!$P:$P,当年实际!$J:$J,$C122,当年实际!$C:$C,"&gt;="&amp;DATE(YEAR(主页!$D$2),1,1),当年实际!$C:$C,"&lt;="&amp;EOMONTH(DATE(YEAR(主页!$D$2),MONTH(主页!$D$2),1),0)),"")</f>
        <v/>
      </c>
    </row>
    <row r="123" spans="1:10" x14ac:dyDescent="0.3">
      <c r="A123" s="129"/>
      <c r="B123" s="150"/>
      <c r="C123" s="150"/>
      <c r="D123" s="150"/>
      <c r="E123" s="140" t="str">
        <f t="shared" si="6"/>
        <v/>
      </c>
      <c r="F123" s="157"/>
      <c r="G123" s="145">
        <f t="shared" si="7"/>
        <v>0</v>
      </c>
      <c r="H123" s="140" t="str">
        <f t="shared" si="8"/>
        <v/>
      </c>
      <c r="J123" s="147" t="str">
        <f>IFERROR(SUMIFS(当年实际!$V:$V,当年实际!$J:$J,$C123,当年实际!$C:$C,"&gt;="&amp;DATE(YEAR(主页!$D$2),1,1),当年实际!$C:$C,"&lt;="&amp;EOMONTH(DATE(YEAR(主页!$D$2),MONTH(主页!$D$2),1),0))/SUMIFS(当年实际!$P:$P,当年实际!$J:$J,$C123,当年实际!$C:$C,"&gt;="&amp;DATE(YEAR(主页!$D$2),1,1),当年实际!$C:$C,"&lt;="&amp;EOMONTH(DATE(YEAR(主页!$D$2),MONTH(主页!$D$2),1),0)),"")</f>
        <v/>
      </c>
    </row>
    <row r="124" spans="1:10" x14ac:dyDescent="0.3">
      <c r="A124" s="129"/>
      <c r="B124" s="150"/>
      <c r="C124" s="150"/>
      <c r="D124" s="150"/>
      <c r="E124" s="140" t="str">
        <f t="shared" si="6"/>
        <v/>
      </c>
      <c r="F124" s="157"/>
      <c r="G124" s="145">
        <f t="shared" si="7"/>
        <v>0</v>
      </c>
      <c r="H124" s="140" t="str">
        <f t="shared" si="8"/>
        <v/>
      </c>
      <c r="J124" s="147" t="str">
        <f>IFERROR(SUMIFS(当年实际!$V:$V,当年实际!$J:$J,$C124,当年实际!$C:$C,"&gt;="&amp;DATE(YEAR(主页!$D$2),1,1),当年实际!$C:$C,"&lt;="&amp;EOMONTH(DATE(YEAR(主页!$D$2),MONTH(主页!$D$2),1),0))/SUMIFS(当年实际!$P:$P,当年实际!$J:$J,$C124,当年实际!$C:$C,"&gt;="&amp;DATE(YEAR(主页!$D$2),1,1),当年实际!$C:$C,"&lt;="&amp;EOMONTH(DATE(YEAR(主页!$D$2),MONTH(主页!$D$2),1),0)),"")</f>
        <v/>
      </c>
    </row>
    <row r="125" spans="1:10" x14ac:dyDescent="0.3">
      <c r="A125" s="129"/>
      <c r="B125" s="150"/>
      <c r="C125" s="150"/>
      <c r="D125" s="150"/>
      <c r="E125" s="140" t="str">
        <f t="shared" si="6"/>
        <v/>
      </c>
      <c r="F125" s="157"/>
      <c r="G125" s="145">
        <f t="shared" si="7"/>
        <v>0</v>
      </c>
      <c r="H125" s="140" t="str">
        <f t="shared" si="8"/>
        <v/>
      </c>
      <c r="J125" s="147" t="str">
        <f>IFERROR(SUMIFS(当年实际!$V:$V,当年实际!$J:$J,$C125,当年实际!$C:$C,"&gt;="&amp;DATE(YEAR(主页!$D$2),1,1),当年实际!$C:$C,"&lt;="&amp;EOMONTH(DATE(YEAR(主页!$D$2),MONTH(主页!$D$2),1),0))/SUMIFS(当年实际!$P:$P,当年实际!$J:$J,$C125,当年实际!$C:$C,"&gt;="&amp;DATE(YEAR(主页!$D$2),1,1),当年实际!$C:$C,"&lt;="&amp;EOMONTH(DATE(YEAR(主页!$D$2),MONTH(主页!$D$2),1),0)),"")</f>
        <v/>
      </c>
    </row>
    <row r="126" spans="1:10" x14ac:dyDescent="0.3">
      <c r="A126" s="129"/>
      <c r="B126" s="150"/>
      <c r="C126" s="150"/>
      <c r="D126" s="150"/>
      <c r="E126" s="140" t="str">
        <f t="shared" si="6"/>
        <v/>
      </c>
      <c r="F126" s="157"/>
      <c r="G126" s="145">
        <f t="shared" si="7"/>
        <v>0</v>
      </c>
      <c r="H126" s="140" t="str">
        <f t="shared" si="8"/>
        <v/>
      </c>
      <c r="J126" s="147" t="str">
        <f>IFERROR(SUMIFS(当年实际!$V:$V,当年实际!$J:$J,$C126,当年实际!$C:$C,"&gt;="&amp;DATE(YEAR(主页!$D$2),1,1),当年实际!$C:$C,"&lt;="&amp;EOMONTH(DATE(YEAR(主页!$D$2),MONTH(主页!$D$2),1),0))/SUMIFS(当年实际!$P:$P,当年实际!$J:$J,$C126,当年实际!$C:$C,"&gt;="&amp;DATE(YEAR(主页!$D$2),1,1),当年实际!$C:$C,"&lt;="&amp;EOMONTH(DATE(YEAR(主页!$D$2),MONTH(主页!$D$2),1),0)),"")</f>
        <v/>
      </c>
    </row>
    <row r="127" spans="1:10" x14ac:dyDescent="0.3">
      <c r="A127" s="129"/>
      <c r="B127" s="150"/>
      <c r="C127" s="150"/>
      <c r="D127" s="150"/>
      <c r="E127" s="140" t="str">
        <f t="shared" si="6"/>
        <v/>
      </c>
      <c r="F127" s="157"/>
      <c r="G127" s="145">
        <f t="shared" si="7"/>
        <v>0</v>
      </c>
      <c r="H127" s="140" t="str">
        <f t="shared" si="8"/>
        <v/>
      </c>
      <c r="J127" s="147" t="str">
        <f>IFERROR(SUMIFS(当年实际!$V:$V,当年实际!$J:$J,$C127,当年实际!$C:$C,"&gt;="&amp;DATE(YEAR(主页!$D$2),1,1),当年实际!$C:$C,"&lt;="&amp;EOMONTH(DATE(YEAR(主页!$D$2),MONTH(主页!$D$2),1),0))/SUMIFS(当年实际!$P:$P,当年实际!$J:$J,$C127,当年实际!$C:$C,"&gt;="&amp;DATE(YEAR(主页!$D$2),1,1),当年实际!$C:$C,"&lt;="&amp;EOMONTH(DATE(YEAR(主页!$D$2),MONTH(主页!$D$2),1),0)),"")</f>
        <v/>
      </c>
    </row>
    <row r="128" spans="1:10" x14ac:dyDescent="0.3">
      <c r="A128" s="129"/>
      <c r="B128" s="150"/>
      <c r="C128" s="150"/>
      <c r="D128" s="150"/>
      <c r="E128" s="140" t="str">
        <f t="shared" si="6"/>
        <v/>
      </c>
      <c r="F128" s="157"/>
      <c r="G128" s="145">
        <f t="shared" si="7"/>
        <v>0</v>
      </c>
      <c r="H128" s="140" t="str">
        <f t="shared" si="8"/>
        <v/>
      </c>
      <c r="J128" s="147" t="str">
        <f>IFERROR(SUMIFS(当年实际!$V:$V,当年实际!$J:$J,$C128,当年实际!$C:$C,"&gt;="&amp;DATE(YEAR(主页!$D$2),1,1),当年实际!$C:$C,"&lt;="&amp;EOMONTH(DATE(YEAR(主页!$D$2),MONTH(主页!$D$2),1),0))/SUMIFS(当年实际!$P:$P,当年实际!$J:$J,$C128,当年实际!$C:$C,"&gt;="&amp;DATE(YEAR(主页!$D$2),1,1),当年实际!$C:$C,"&lt;="&amp;EOMONTH(DATE(YEAR(主页!$D$2),MONTH(主页!$D$2),1),0)),"")</f>
        <v/>
      </c>
    </row>
    <row r="129" spans="1:10" x14ac:dyDescent="0.3">
      <c r="A129" s="129"/>
      <c r="B129" s="150"/>
      <c r="C129" s="150"/>
      <c r="D129" s="150"/>
      <c r="E129" s="140" t="str">
        <f t="shared" si="6"/>
        <v/>
      </c>
      <c r="F129" s="157"/>
      <c r="G129" s="145">
        <f t="shared" si="7"/>
        <v>0</v>
      </c>
      <c r="H129" s="140" t="str">
        <f t="shared" si="8"/>
        <v/>
      </c>
      <c r="J129" s="147" t="str">
        <f>IFERROR(SUMIFS(当年实际!$V:$V,当年实际!$J:$J,$C129,当年实际!$C:$C,"&gt;="&amp;DATE(YEAR(主页!$D$2),1,1),当年实际!$C:$C,"&lt;="&amp;EOMONTH(DATE(YEAR(主页!$D$2),MONTH(主页!$D$2),1),0))/SUMIFS(当年实际!$P:$P,当年实际!$J:$J,$C129,当年实际!$C:$C,"&gt;="&amp;DATE(YEAR(主页!$D$2),1,1),当年实际!$C:$C,"&lt;="&amp;EOMONTH(DATE(YEAR(主页!$D$2),MONTH(主页!$D$2),1),0)),"")</f>
        <v/>
      </c>
    </row>
    <row r="130" spans="1:10" x14ac:dyDescent="0.3">
      <c r="A130" s="129"/>
      <c r="B130" s="150"/>
      <c r="C130" s="150"/>
      <c r="D130" s="150"/>
      <c r="E130" s="140" t="str">
        <f t="shared" si="6"/>
        <v/>
      </c>
      <c r="F130" s="157"/>
      <c r="G130" s="145">
        <f t="shared" si="7"/>
        <v>0</v>
      </c>
      <c r="H130" s="140" t="str">
        <f t="shared" si="8"/>
        <v/>
      </c>
      <c r="J130" s="147" t="str">
        <f>IFERROR(SUMIFS(当年实际!$V:$V,当年实际!$J:$J,$C130,当年实际!$C:$C,"&gt;="&amp;DATE(YEAR(主页!$D$2),1,1),当年实际!$C:$C,"&lt;="&amp;EOMONTH(DATE(YEAR(主页!$D$2),MONTH(主页!$D$2),1),0))/SUMIFS(当年实际!$P:$P,当年实际!$J:$J,$C130,当年实际!$C:$C,"&gt;="&amp;DATE(YEAR(主页!$D$2),1,1),当年实际!$C:$C,"&lt;="&amp;EOMONTH(DATE(YEAR(主页!$D$2),MONTH(主页!$D$2),1),0)),"")</f>
        <v/>
      </c>
    </row>
    <row r="131" spans="1:10" x14ac:dyDescent="0.3">
      <c r="A131" s="129"/>
      <c r="B131" s="150"/>
      <c r="C131" s="150"/>
      <c r="D131" s="150"/>
      <c r="E131" s="140" t="str">
        <f t="shared" si="6"/>
        <v/>
      </c>
      <c r="F131" s="157"/>
      <c r="G131" s="145">
        <f t="shared" si="7"/>
        <v>0</v>
      </c>
      <c r="H131" s="140" t="str">
        <f t="shared" si="8"/>
        <v/>
      </c>
      <c r="J131" s="147" t="str">
        <f>IFERROR(SUMIFS(当年实际!$V:$V,当年实际!$J:$J,$C131,当年实际!$C:$C,"&gt;="&amp;DATE(YEAR(主页!$D$2),1,1),当年实际!$C:$C,"&lt;="&amp;EOMONTH(DATE(YEAR(主页!$D$2),MONTH(主页!$D$2),1),0))/SUMIFS(当年实际!$P:$P,当年实际!$J:$J,$C131,当年实际!$C:$C,"&gt;="&amp;DATE(YEAR(主页!$D$2),1,1),当年实际!$C:$C,"&lt;="&amp;EOMONTH(DATE(YEAR(主页!$D$2),MONTH(主页!$D$2),1),0)),"")</f>
        <v/>
      </c>
    </row>
    <row r="132" spans="1:10" x14ac:dyDescent="0.3">
      <c r="A132" s="129"/>
      <c r="B132" s="150"/>
      <c r="C132" s="150"/>
      <c r="D132" s="150"/>
      <c r="E132" s="140" t="str">
        <f t="shared" ref="E132:E195" si="9">IF(D132/SUM(D:D)=0,"",D132/SUM(D:D))</f>
        <v/>
      </c>
      <c r="F132" s="157"/>
      <c r="G132" s="145">
        <f t="shared" si="7"/>
        <v>0</v>
      </c>
      <c r="H132" s="140" t="str">
        <f t="shared" si="8"/>
        <v/>
      </c>
      <c r="J132" s="147" t="str">
        <f>IFERROR(SUMIFS(当年实际!$V:$V,当年实际!$J:$J,$C132,当年实际!$C:$C,"&gt;="&amp;DATE(YEAR(主页!$D$2),1,1),当年实际!$C:$C,"&lt;="&amp;EOMONTH(DATE(YEAR(主页!$D$2),MONTH(主页!$D$2),1),0))/SUMIFS(当年实际!$P:$P,当年实际!$J:$J,$C132,当年实际!$C:$C,"&gt;="&amp;DATE(YEAR(主页!$D$2),1,1),当年实际!$C:$C,"&lt;="&amp;EOMONTH(DATE(YEAR(主页!$D$2),MONTH(主页!$D$2),1),0)),"")</f>
        <v/>
      </c>
    </row>
    <row r="133" spans="1:10" x14ac:dyDescent="0.3">
      <c r="A133" s="129"/>
      <c r="B133" s="150"/>
      <c r="C133" s="150"/>
      <c r="D133" s="150"/>
      <c r="E133" s="140" t="str">
        <f t="shared" si="9"/>
        <v/>
      </c>
      <c r="F133" s="157"/>
      <c r="G133" s="145">
        <f t="shared" si="7"/>
        <v>0</v>
      </c>
      <c r="H133" s="140" t="str">
        <f t="shared" si="8"/>
        <v/>
      </c>
      <c r="J133" s="147" t="str">
        <f>IFERROR(SUMIFS(当年实际!$V:$V,当年实际!$J:$J,$C133,当年实际!$C:$C,"&gt;="&amp;DATE(YEAR(主页!$D$2),1,1),当年实际!$C:$C,"&lt;="&amp;EOMONTH(DATE(YEAR(主页!$D$2),MONTH(主页!$D$2),1),0))/SUMIFS(当年实际!$P:$P,当年实际!$J:$J,$C133,当年实际!$C:$C,"&gt;="&amp;DATE(YEAR(主页!$D$2),1,1),当年实际!$C:$C,"&lt;="&amp;EOMONTH(DATE(YEAR(主页!$D$2),MONTH(主页!$D$2),1),0)),"")</f>
        <v/>
      </c>
    </row>
    <row r="134" spans="1:10" x14ac:dyDescent="0.3">
      <c r="A134" s="129"/>
      <c r="B134" s="150"/>
      <c r="C134" s="150"/>
      <c r="D134" s="150"/>
      <c r="E134" s="140" t="str">
        <f t="shared" si="9"/>
        <v/>
      </c>
      <c r="F134" s="157"/>
      <c r="G134" s="145">
        <f t="shared" si="7"/>
        <v>0</v>
      </c>
      <c r="H134" s="140" t="str">
        <f t="shared" si="8"/>
        <v/>
      </c>
      <c r="J134" s="147" t="str">
        <f>IFERROR(SUMIFS(当年实际!$V:$V,当年实际!$J:$J,$C134,当年实际!$C:$C,"&gt;="&amp;DATE(YEAR(主页!$D$2),1,1),当年实际!$C:$C,"&lt;="&amp;EOMONTH(DATE(YEAR(主页!$D$2),MONTH(主页!$D$2),1),0))/SUMIFS(当年实际!$P:$P,当年实际!$J:$J,$C134,当年实际!$C:$C,"&gt;="&amp;DATE(YEAR(主页!$D$2),1,1),当年实际!$C:$C,"&lt;="&amp;EOMONTH(DATE(YEAR(主页!$D$2),MONTH(主页!$D$2),1),0)),"")</f>
        <v/>
      </c>
    </row>
    <row r="135" spans="1:10" x14ac:dyDescent="0.3">
      <c r="A135" s="129"/>
      <c r="B135" s="150"/>
      <c r="C135" s="150"/>
      <c r="D135" s="150"/>
      <c r="E135" s="140" t="str">
        <f t="shared" si="9"/>
        <v/>
      </c>
      <c r="F135" s="157"/>
      <c r="G135" s="145">
        <f t="shared" si="7"/>
        <v>0</v>
      </c>
      <c r="H135" s="140" t="str">
        <f t="shared" si="8"/>
        <v/>
      </c>
      <c r="J135" s="147" t="str">
        <f>IFERROR(SUMIFS(当年实际!$V:$V,当年实际!$J:$J,$C135,当年实际!$C:$C,"&gt;="&amp;DATE(YEAR(主页!$D$2),1,1),当年实际!$C:$C,"&lt;="&amp;EOMONTH(DATE(YEAR(主页!$D$2),MONTH(主页!$D$2),1),0))/SUMIFS(当年实际!$P:$P,当年实际!$J:$J,$C135,当年实际!$C:$C,"&gt;="&amp;DATE(YEAR(主页!$D$2),1,1),当年实际!$C:$C,"&lt;="&amp;EOMONTH(DATE(YEAR(主页!$D$2),MONTH(主页!$D$2),1),0)),"")</f>
        <v/>
      </c>
    </row>
    <row r="136" spans="1:10" x14ac:dyDescent="0.3">
      <c r="A136" s="129"/>
      <c r="B136" s="150"/>
      <c r="C136" s="150"/>
      <c r="D136" s="150"/>
      <c r="E136" s="140" t="str">
        <f t="shared" si="9"/>
        <v/>
      </c>
      <c r="F136" s="157"/>
      <c r="G136" s="145">
        <f t="shared" si="7"/>
        <v>0</v>
      </c>
      <c r="H136" s="140" t="str">
        <f t="shared" si="8"/>
        <v/>
      </c>
      <c r="J136" s="147" t="str">
        <f>IFERROR(SUMIFS(当年实际!$V:$V,当年实际!$J:$J,$C136,当年实际!$C:$C,"&gt;="&amp;DATE(YEAR(主页!$D$2),1,1),当年实际!$C:$C,"&lt;="&amp;EOMONTH(DATE(YEAR(主页!$D$2),MONTH(主页!$D$2),1),0))/SUMIFS(当年实际!$P:$P,当年实际!$J:$J,$C136,当年实际!$C:$C,"&gt;="&amp;DATE(YEAR(主页!$D$2),1,1),当年实际!$C:$C,"&lt;="&amp;EOMONTH(DATE(YEAR(主页!$D$2),MONTH(主页!$D$2),1),0)),"")</f>
        <v/>
      </c>
    </row>
    <row r="137" spans="1:10" x14ac:dyDescent="0.3">
      <c r="A137" s="129"/>
      <c r="B137" s="150"/>
      <c r="C137" s="150"/>
      <c r="D137" s="150"/>
      <c r="E137" s="140" t="str">
        <f t="shared" si="9"/>
        <v/>
      </c>
      <c r="F137" s="157"/>
      <c r="G137" s="145">
        <f t="shared" si="7"/>
        <v>0</v>
      </c>
      <c r="H137" s="140" t="str">
        <f t="shared" si="8"/>
        <v/>
      </c>
      <c r="J137" s="147" t="str">
        <f>IFERROR(SUMIFS(当年实际!$V:$V,当年实际!$J:$J,$C137,当年实际!$C:$C,"&gt;="&amp;DATE(YEAR(主页!$D$2),1,1),当年实际!$C:$C,"&lt;="&amp;EOMONTH(DATE(YEAR(主页!$D$2),MONTH(主页!$D$2),1),0))/SUMIFS(当年实际!$P:$P,当年实际!$J:$J,$C137,当年实际!$C:$C,"&gt;="&amp;DATE(YEAR(主页!$D$2),1,1),当年实际!$C:$C,"&lt;="&amp;EOMONTH(DATE(YEAR(主页!$D$2),MONTH(主页!$D$2),1),0)),"")</f>
        <v/>
      </c>
    </row>
    <row r="138" spans="1:10" x14ac:dyDescent="0.3">
      <c r="A138" s="129"/>
      <c r="B138" s="150"/>
      <c r="C138" s="150"/>
      <c r="D138" s="150"/>
      <c r="E138" s="140" t="str">
        <f t="shared" si="9"/>
        <v/>
      </c>
      <c r="F138" s="157"/>
      <c r="G138" s="145">
        <f t="shared" si="7"/>
        <v>0</v>
      </c>
      <c r="H138" s="140" t="str">
        <f t="shared" si="8"/>
        <v/>
      </c>
      <c r="J138" s="147" t="str">
        <f>IFERROR(SUMIFS(当年实际!$V:$V,当年实际!$J:$J,$C138,当年实际!$C:$C,"&gt;="&amp;DATE(YEAR(主页!$D$2),1,1),当年实际!$C:$C,"&lt;="&amp;EOMONTH(DATE(YEAR(主页!$D$2),MONTH(主页!$D$2),1),0))/SUMIFS(当年实际!$P:$P,当年实际!$J:$J,$C138,当年实际!$C:$C,"&gt;="&amp;DATE(YEAR(主页!$D$2),1,1),当年实际!$C:$C,"&lt;="&amp;EOMONTH(DATE(YEAR(主页!$D$2),MONTH(主页!$D$2),1),0)),"")</f>
        <v/>
      </c>
    </row>
    <row r="139" spans="1:10" x14ac:dyDescent="0.3">
      <c r="A139" s="129"/>
      <c r="B139" s="150"/>
      <c r="C139" s="150"/>
      <c r="D139" s="150"/>
      <c r="E139" s="140" t="str">
        <f t="shared" si="9"/>
        <v/>
      </c>
      <c r="F139" s="157"/>
      <c r="G139" s="145">
        <f t="shared" si="7"/>
        <v>0</v>
      </c>
      <c r="H139" s="140" t="str">
        <f t="shared" si="8"/>
        <v/>
      </c>
      <c r="J139" s="147" t="str">
        <f>IFERROR(SUMIFS(当年实际!$V:$V,当年实际!$J:$J,$C139,当年实际!$C:$C,"&gt;="&amp;DATE(YEAR(主页!$D$2),1,1),当年实际!$C:$C,"&lt;="&amp;EOMONTH(DATE(YEAR(主页!$D$2),MONTH(主页!$D$2),1),0))/SUMIFS(当年实际!$P:$P,当年实际!$J:$J,$C139,当年实际!$C:$C,"&gt;="&amp;DATE(YEAR(主页!$D$2),1,1),当年实际!$C:$C,"&lt;="&amp;EOMONTH(DATE(YEAR(主页!$D$2),MONTH(主页!$D$2),1),0)),"")</f>
        <v/>
      </c>
    </row>
    <row r="140" spans="1:10" x14ac:dyDescent="0.3">
      <c r="A140" s="129"/>
      <c r="B140" s="150"/>
      <c r="C140" s="150"/>
      <c r="D140" s="150"/>
      <c r="E140" s="140" t="str">
        <f t="shared" si="9"/>
        <v/>
      </c>
      <c r="F140" s="157"/>
      <c r="G140" s="145">
        <f t="shared" si="7"/>
        <v>0</v>
      </c>
      <c r="H140" s="140" t="str">
        <f t="shared" si="8"/>
        <v/>
      </c>
      <c r="J140" s="147" t="str">
        <f>IFERROR(SUMIFS(当年实际!$V:$V,当年实际!$J:$J,$C140,当年实际!$C:$C,"&gt;="&amp;DATE(YEAR(主页!$D$2),1,1),当年实际!$C:$C,"&lt;="&amp;EOMONTH(DATE(YEAR(主页!$D$2),MONTH(主页!$D$2),1),0))/SUMIFS(当年实际!$P:$P,当年实际!$J:$J,$C140,当年实际!$C:$C,"&gt;="&amp;DATE(YEAR(主页!$D$2),1,1),当年实际!$C:$C,"&lt;="&amp;EOMONTH(DATE(YEAR(主页!$D$2),MONTH(主页!$D$2),1),0)),"")</f>
        <v/>
      </c>
    </row>
    <row r="141" spans="1:10" x14ac:dyDescent="0.3">
      <c r="A141" s="129"/>
      <c r="B141" s="150"/>
      <c r="C141" s="150"/>
      <c r="D141" s="150"/>
      <c r="E141" s="140" t="str">
        <f t="shared" si="9"/>
        <v/>
      </c>
      <c r="F141" s="157"/>
      <c r="G141" s="145">
        <f t="shared" si="7"/>
        <v>0</v>
      </c>
      <c r="H141" s="140" t="str">
        <f t="shared" si="8"/>
        <v/>
      </c>
      <c r="J141" s="147" t="str">
        <f>IFERROR(SUMIFS(当年实际!$V:$V,当年实际!$J:$J,$C141,当年实际!$C:$C,"&gt;="&amp;DATE(YEAR(主页!$D$2),1,1),当年实际!$C:$C,"&lt;="&amp;EOMONTH(DATE(YEAR(主页!$D$2),MONTH(主页!$D$2),1),0))/SUMIFS(当年实际!$P:$P,当年实际!$J:$J,$C141,当年实际!$C:$C,"&gt;="&amp;DATE(YEAR(主页!$D$2),1,1),当年实际!$C:$C,"&lt;="&amp;EOMONTH(DATE(YEAR(主页!$D$2),MONTH(主页!$D$2),1),0)),"")</f>
        <v/>
      </c>
    </row>
    <row r="142" spans="1:10" x14ac:dyDescent="0.3">
      <c r="A142" s="129"/>
      <c r="B142" s="150"/>
      <c r="C142" s="150"/>
      <c r="D142" s="150"/>
      <c r="E142" s="140" t="str">
        <f t="shared" si="9"/>
        <v/>
      </c>
      <c r="F142" s="157"/>
      <c r="G142" s="145">
        <f t="shared" si="7"/>
        <v>0</v>
      </c>
      <c r="H142" s="140" t="str">
        <f t="shared" si="8"/>
        <v/>
      </c>
      <c r="J142" s="147" t="str">
        <f>IFERROR(SUMIFS(当年实际!$V:$V,当年实际!$J:$J,$C142,当年实际!$C:$C,"&gt;="&amp;DATE(YEAR(主页!$D$2),1,1),当年实际!$C:$C,"&lt;="&amp;EOMONTH(DATE(YEAR(主页!$D$2),MONTH(主页!$D$2),1),0))/SUMIFS(当年实际!$P:$P,当年实际!$J:$J,$C142,当年实际!$C:$C,"&gt;="&amp;DATE(YEAR(主页!$D$2),1,1),当年实际!$C:$C,"&lt;="&amp;EOMONTH(DATE(YEAR(主页!$D$2),MONTH(主页!$D$2),1),0)),"")</f>
        <v/>
      </c>
    </row>
    <row r="143" spans="1:10" x14ac:dyDescent="0.3">
      <c r="A143" s="129"/>
      <c r="B143" s="150"/>
      <c r="C143" s="150"/>
      <c r="D143" s="150"/>
      <c r="E143" s="140" t="str">
        <f t="shared" si="9"/>
        <v/>
      </c>
      <c r="F143" s="157"/>
      <c r="G143" s="145">
        <f t="shared" si="7"/>
        <v>0</v>
      </c>
      <c r="H143" s="140" t="str">
        <f t="shared" si="8"/>
        <v/>
      </c>
      <c r="J143" s="147" t="str">
        <f>IFERROR(SUMIFS(当年实际!$V:$V,当年实际!$J:$J,$C143,当年实际!$C:$C,"&gt;="&amp;DATE(YEAR(主页!$D$2),1,1),当年实际!$C:$C,"&lt;="&amp;EOMONTH(DATE(YEAR(主页!$D$2),MONTH(主页!$D$2),1),0))/SUMIFS(当年实际!$P:$P,当年实际!$J:$J,$C143,当年实际!$C:$C,"&gt;="&amp;DATE(YEAR(主页!$D$2),1,1),当年实际!$C:$C,"&lt;="&amp;EOMONTH(DATE(YEAR(主页!$D$2),MONTH(主页!$D$2),1),0)),"")</f>
        <v/>
      </c>
    </row>
    <row r="144" spans="1:10" x14ac:dyDescent="0.3">
      <c r="A144" s="129"/>
      <c r="B144" s="150"/>
      <c r="C144" s="150"/>
      <c r="D144" s="150"/>
      <c r="E144" s="140" t="str">
        <f t="shared" si="9"/>
        <v/>
      </c>
      <c r="F144" s="157"/>
      <c r="G144" s="145">
        <f t="shared" si="7"/>
        <v>0</v>
      </c>
      <c r="H144" s="140" t="str">
        <f t="shared" si="8"/>
        <v/>
      </c>
      <c r="J144" s="147" t="str">
        <f>IFERROR(SUMIFS(当年实际!$V:$V,当年实际!$J:$J,$C144,当年实际!$C:$C,"&gt;="&amp;DATE(YEAR(主页!$D$2),1,1),当年实际!$C:$C,"&lt;="&amp;EOMONTH(DATE(YEAR(主页!$D$2),MONTH(主页!$D$2),1),0))/SUMIFS(当年实际!$P:$P,当年实际!$J:$J,$C144,当年实际!$C:$C,"&gt;="&amp;DATE(YEAR(主页!$D$2),1,1),当年实际!$C:$C,"&lt;="&amp;EOMONTH(DATE(YEAR(主页!$D$2),MONTH(主页!$D$2),1),0)),"")</f>
        <v/>
      </c>
    </row>
    <row r="145" spans="1:10" x14ac:dyDescent="0.3">
      <c r="A145" s="129"/>
      <c r="B145" s="150"/>
      <c r="C145" s="150"/>
      <c r="D145" s="150"/>
      <c r="E145" s="140" t="str">
        <f t="shared" si="9"/>
        <v/>
      </c>
      <c r="F145" s="157"/>
      <c r="G145" s="145">
        <f t="shared" si="7"/>
        <v>0</v>
      </c>
      <c r="H145" s="140" t="str">
        <f t="shared" si="8"/>
        <v/>
      </c>
      <c r="J145" s="147" t="str">
        <f>IFERROR(SUMIFS(当年实际!$V:$V,当年实际!$J:$J,$C145,当年实际!$C:$C,"&gt;="&amp;DATE(YEAR(主页!$D$2),1,1),当年实际!$C:$C,"&lt;="&amp;EOMONTH(DATE(YEAR(主页!$D$2),MONTH(主页!$D$2),1),0))/SUMIFS(当年实际!$P:$P,当年实际!$J:$J,$C145,当年实际!$C:$C,"&gt;="&amp;DATE(YEAR(主页!$D$2),1,1),当年实际!$C:$C,"&lt;="&amp;EOMONTH(DATE(YEAR(主页!$D$2),MONTH(主页!$D$2),1),0)),"")</f>
        <v/>
      </c>
    </row>
    <row r="146" spans="1:10" x14ac:dyDescent="0.3">
      <c r="A146" s="129"/>
      <c r="B146" s="150"/>
      <c r="C146" s="150"/>
      <c r="D146" s="150"/>
      <c r="E146" s="140" t="str">
        <f t="shared" si="9"/>
        <v/>
      </c>
      <c r="F146" s="157"/>
      <c r="G146" s="145">
        <f t="shared" si="7"/>
        <v>0</v>
      </c>
      <c r="H146" s="140" t="str">
        <f t="shared" si="8"/>
        <v/>
      </c>
      <c r="J146" s="147" t="str">
        <f>IFERROR(SUMIFS(当年实际!$V:$V,当年实际!$J:$J,$C146,当年实际!$C:$C,"&gt;="&amp;DATE(YEAR(主页!$D$2),1,1),当年实际!$C:$C,"&lt;="&amp;EOMONTH(DATE(YEAR(主页!$D$2),MONTH(主页!$D$2),1),0))/SUMIFS(当年实际!$P:$P,当年实际!$J:$J,$C146,当年实际!$C:$C,"&gt;="&amp;DATE(YEAR(主页!$D$2),1,1),当年实际!$C:$C,"&lt;="&amp;EOMONTH(DATE(YEAR(主页!$D$2),MONTH(主页!$D$2),1),0)),"")</f>
        <v/>
      </c>
    </row>
    <row r="147" spans="1:10" x14ac:dyDescent="0.3">
      <c r="A147" s="129"/>
      <c r="B147" s="150"/>
      <c r="C147" s="150"/>
      <c r="D147" s="150"/>
      <c r="E147" s="140" t="str">
        <f t="shared" si="9"/>
        <v/>
      </c>
      <c r="F147" s="157"/>
      <c r="G147" s="145">
        <f t="shared" si="7"/>
        <v>0</v>
      </c>
      <c r="H147" s="140" t="str">
        <f t="shared" si="8"/>
        <v/>
      </c>
      <c r="J147" s="147" t="str">
        <f>IFERROR(SUMIFS(当年实际!$V:$V,当年实际!$J:$J,$C147,当年实际!$C:$C,"&gt;="&amp;DATE(YEAR(主页!$D$2),1,1),当年实际!$C:$C,"&lt;="&amp;EOMONTH(DATE(YEAR(主页!$D$2),MONTH(主页!$D$2),1),0))/SUMIFS(当年实际!$P:$P,当年实际!$J:$J,$C147,当年实际!$C:$C,"&gt;="&amp;DATE(YEAR(主页!$D$2),1,1),当年实际!$C:$C,"&lt;="&amp;EOMONTH(DATE(YEAR(主页!$D$2),MONTH(主页!$D$2),1),0)),"")</f>
        <v/>
      </c>
    </row>
    <row r="148" spans="1:10" x14ac:dyDescent="0.3">
      <c r="A148" s="129"/>
      <c r="B148" s="150"/>
      <c r="C148" s="150"/>
      <c r="D148" s="150"/>
      <c r="E148" s="140" t="str">
        <f t="shared" si="9"/>
        <v/>
      </c>
      <c r="F148" s="157"/>
      <c r="G148" s="145">
        <f t="shared" si="7"/>
        <v>0</v>
      </c>
      <c r="H148" s="140" t="str">
        <f t="shared" si="8"/>
        <v/>
      </c>
      <c r="J148" s="147" t="str">
        <f>IFERROR(SUMIFS(当年实际!$V:$V,当年实际!$J:$J,$C148,当年实际!$C:$C,"&gt;="&amp;DATE(YEAR(主页!$D$2),1,1),当年实际!$C:$C,"&lt;="&amp;EOMONTH(DATE(YEAR(主页!$D$2),MONTH(主页!$D$2),1),0))/SUMIFS(当年实际!$P:$P,当年实际!$J:$J,$C148,当年实际!$C:$C,"&gt;="&amp;DATE(YEAR(主页!$D$2),1,1),当年实际!$C:$C,"&lt;="&amp;EOMONTH(DATE(YEAR(主页!$D$2),MONTH(主页!$D$2),1),0)),"")</f>
        <v/>
      </c>
    </row>
    <row r="149" spans="1:10" x14ac:dyDescent="0.3">
      <c r="A149" s="129"/>
      <c r="B149" s="150"/>
      <c r="C149" s="150"/>
      <c r="D149" s="150"/>
      <c r="E149" s="140" t="str">
        <f t="shared" si="9"/>
        <v/>
      </c>
      <c r="F149" s="157"/>
      <c r="G149" s="145">
        <f t="shared" si="7"/>
        <v>0</v>
      </c>
      <c r="H149" s="140" t="str">
        <f t="shared" si="8"/>
        <v/>
      </c>
      <c r="J149" s="147" t="str">
        <f>IFERROR(SUMIFS(当年实际!$V:$V,当年实际!$J:$J,$C149,当年实际!$C:$C,"&gt;="&amp;DATE(YEAR(主页!$D$2),1,1),当年实际!$C:$C,"&lt;="&amp;EOMONTH(DATE(YEAR(主页!$D$2),MONTH(主页!$D$2),1),0))/SUMIFS(当年实际!$P:$P,当年实际!$J:$J,$C149,当年实际!$C:$C,"&gt;="&amp;DATE(YEAR(主页!$D$2),1,1),当年实际!$C:$C,"&lt;="&amp;EOMONTH(DATE(YEAR(主页!$D$2),MONTH(主页!$D$2),1),0)),"")</f>
        <v/>
      </c>
    </row>
    <row r="150" spans="1:10" x14ac:dyDescent="0.3">
      <c r="A150" s="129"/>
      <c r="B150" s="150"/>
      <c r="C150" s="150"/>
      <c r="D150" s="150"/>
      <c r="E150" s="140" t="str">
        <f t="shared" si="9"/>
        <v/>
      </c>
      <c r="F150" s="157"/>
      <c r="G150" s="145">
        <f t="shared" si="7"/>
        <v>0</v>
      </c>
      <c r="H150" s="140" t="str">
        <f t="shared" si="8"/>
        <v/>
      </c>
      <c r="J150" s="147" t="str">
        <f>IFERROR(SUMIFS(当年实际!$V:$V,当年实际!$J:$J,$C150,当年实际!$C:$C,"&gt;="&amp;DATE(YEAR(主页!$D$2),1,1),当年实际!$C:$C,"&lt;="&amp;EOMONTH(DATE(YEAR(主页!$D$2),MONTH(主页!$D$2),1),0))/SUMIFS(当年实际!$P:$P,当年实际!$J:$J,$C150,当年实际!$C:$C,"&gt;="&amp;DATE(YEAR(主页!$D$2),1,1),当年实际!$C:$C,"&lt;="&amp;EOMONTH(DATE(YEAR(主页!$D$2),MONTH(主页!$D$2),1),0)),"")</f>
        <v/>
      </c>
    </row>
    <row r="151" spans="1:10" x14ac:dyDescent="0.3">
      <c r="A151" s="129"/>
      <c r="B151" s="150"/>
      <c r="C151" s="150"/>
      <c r="D151" s="150"/>
      <c r="E151" s="140" t="str">
        <f t="shared" si="9"/>
        <v/>
      </c>
      <c r="F151" s="157"/>
      <c r="G151" s="145">
        <f t="shared" si="7"/>
        <v>0</v>
      </c>
      <c r="H151" s="140" t="str">
        <f t="shared" si="8"/>
        <v/>
      </c>
      <c r="J151" s="147" t="str">
        <f>IFERROR(SUMIFS(当年实际!$V:$V,当年实际!$J:$J,$C151,当年实际!$C:$C,"&gt;="&amp;DATE(YEAR(主页!$D$2),1,1),当年实际!$C:$C,"&lt;="&amp;EOMONTH(DATE(YEAR(主页!$D$2),MONTH(主页!$D$2),1),0))/SUMIFS(当年实际!$P:$P,当年实际!$J:$J,$C151,当年实际!$C:$C,"&gt;="&amp;DATE(YEAR(主页!$D$2),1,1),当年实际!$C:$C,"&lt;="&amp;EOMONTH(DATE(YEAR(主页!$D$2),MONTH(主页!$D$2),1),0)),"")</f>
        <v/>
      </c>
    </row>
    <row r="152" spans="1:10" x14ac:dyDescent="0.3">
      <c r="A152" s="129"/>
      <c r="B152" s="150"/>
      <c r="C152" s="150"/>
      <c r="D152" s="150"/>
      <c r="E152" s="140" t="str">
        <f t="shared" si="9"/>
        <v/>
      </c>
      <c r="F152" s="157"/>
      <c r="G152" s="145">
        <f t="shared" si="7"/>
        <v>0</v>
      </c>
      <c r="H152" s="140" t="str">
        <f t="shared" si="8"/>
        <v/>
      </c>
      <c r="J152" s="147" t="str">
        <f>IFERROR(SUMIFS(当年实际!$V:$V,当年实际!$J:$J,$C152,当年实际!$C:$C,"&gt;="&amp;DATE(YEAR(主页!$D$2),1,1),当年实际!$C:$C,"&lt;="&amp;EOMONTH(DATE(YEAR(主页!$D$2),MONTH(主页!$D$2),1),0))/SUMIFS(当年实际!$P:$P,当年实际!$J:$J,$C152,当年实际!$C:$C,"&gt;="&amp;DATE(YEAR(主页!$D$2),1,1),当年实际!$C:$C,"&lt;="&amp;EOMONTH(DATE(YEAR(主页!$D$2),MONTH(主页!$D$2),1),0)),"")</f>
        <v/>
      </c>
    </row>
    <row r="153" spans="1:10" x14ac:dyDescent="0.3">
      <c r="A153" s="129"/>
      <c r="B153" s="150"/>
      <c r="C153" s="150"/>
      <c r="D153" s="150"/>
      <c r="E153" s="140" t="str">
        <f t="shared" si="9"/>
        <v/>
      </c>
      <c r="F153" s="157"/>
      <c r="G153" s="145">
        <f t="shared" si="7"/>
        <v>0</v>
      </c>
      <c r="H153" s="140" t="str">
        <f t="shared" si="8"/>
        <v/>
      </c>
      <c r="J153" s="147" t="str">
        <f>IFERROR(SUMIFS(当年实际!$V:$V,当年实际!$J:$J,$C153,当年实际!$C:$C,"&gt;="&amp;DATE(YEAR(主页!$D$2),1,1),当年实际!$C:$C,"&lt;="&amp;EOMONTH(DATE(YEAR(主页!$D$2),MONTH(主页!$D$2),1),0))/SUMIFS(当年实际!$P:$P,当年实际!$J:$J,$C153,当年实际!$C:$C,"&gt;="&amp;DATE(YEAR(主页!$D$2),1,1),当年实际!$C:$C,"&lt;="&amp;EOMONTH(DATE(YEAR(主页!$D$2),MONTH(主页!$D$2),1),0)),"")</f>
        <v/>
      </c>
    </row>
    <row r="154" spans="1:10" x14ac:dyDescent="0.3">
      <c r="A154" s="129"/>
      <c r="B154" s="150"/>
      <c r="C154" s="150"/>
      <c r="D154" s="150"/>
      <c r="E154" s="140" t="str">
        <f t="shared" si="9"/>
        <v/>
      </c>
      <c r="F154" s="157"/>
      <c r="G154" s="145">
        <f t="shared" si="7"/>
        <v>0</v>
      </c>
      <c r="H154" s="140" t="str">
        <f t="shared" si="8"/>
        <v/>
      </c>
      <c r="J154" s="147" t="str">
        <f>IFERROR(SUMIFS(当年实际!$V:$V,当年实际!$J:$J,$C154,当年实际!$C:$C,"&gt;="&amp;DATE(YEAR(主页!$D$2),1,1),当年实际!$C:$C,"&lt;="&amp;EOMONTH(DATE(YEAR(主页!$D$2),MONTH(主页!$D$2),1),0))/SUMIFS(当年实际!$P:$P,当年实际!$J:$J,$C154,当年实际!$C:$C,"&gt;="&amp;DATE(YEAR(主页!$D$2),1,1),当年实际!$C:$C,"&lt;="&amp;EOMONTH(DATE(YEAR(主页!$D$2),MONTH(主页!$D$2),1),0)),"")</f>
        <v/>
      </c>
    </row>
    <row r="155" spans="1:10" x14ac:dyDescent="0.3">
      <c r="A155" s="129"/>
      <c r="B155" s="150"/>
      <c r="C155" s="150"/>
      <c r="D155" s="150"/>
      <c r="E155" s="140" t="str">
        <f t="shared" si="9"/>
        <v/>
      </c>
      <c r="F155" s="157"/>
      <c r="G155" s="145">
        <f t="shared" si="7"/>
        <v>0</v>
      </c>
      <c r="H155" s="140" t="str">
        <f t="shared" si="8"/>
        <v/>
      </c>
      <c r="J155" s="147" t="str">
        <f>IFERROR(SUMIFS(当年实际!$V:$V,当年实际!$J:$J,$C155,当年实际!$C:$C,"&gt;="&amp;DATE(YEAR(主页!$D$2),1,1),当年实际!$C:$C,"&lt;="&amp;EOMONTH(DATE(YEAR(主页!$D$2),MONTH(主页!$D$2),1),0))/SUMIFS(当年实际!$P:$P,当年实际!$J:$J,$C155,当年实际!$C:$C,"&gt;="&amp;DATE(YEAR(主页!$D$2),1,1),当年实际!$C:$C,"&lt;="&amp;EOMONTH(DATE(YEAR(主页!$D$2),MONTH(主页!$D$2),1),0)),"")</f>
        <v/>
      </c>
    </row>
    <row r="156" spans="1:10" x14ac:dyDescent="0.3">
      <c r="A156" s="129"/>
      <c r="B156" s="150"/>
      <c r="C156" s="150"/>
      <c r="D156" s="150"/>
      <c r="E156" s="140" t="str">
        <f t="shared" si="9"/>
        <v/>
      </c>
      <c r="F156" s="157"/>
      <c r="G156" s="145">
        <f t="shared" si="7"/>
        <v>0</v>
      </c>
      <c r="H156" s="140" t="str">
        <f t="shared" si="8"/>
        <v/>
      </c>
      <c r="J156" s="147" t="str">
        <f>IFERROR(SUMIFS(当年实际!$V:$V,当年实际!$J:$J,$C156,当年实际!$C:$C,"&gt;="&amp;DATE(YEAR(主页!$D$2),1,1),当年实际!$C:$C,"&lt;="&amp;EOMONTH(DATE(YEAR(主页!$D$2),MONTH(主页!$D$2),1),0))/SUMIFS(当年实际!$P:$P,当年实际!$J:$J,$C156,当年实际!$C:$C,"&gt;="&amp;DATE(YEAR(主页!$D$2),1,1),当年实际!$C:$C,"&lt;="&amp;EOMONTH(DATE(YEAR(主页!$D$2),MONTH(主页!$D$2),1),0)),"")</f>
        <v/>
      </c>
    </row>
    <row r="157" spans="1:10" x14ac:dyDescent="0.3">
      <c r="A157" s="129"/>
      <c r="B157" s="150"/>
      <c r="C157" s="150"/>
      <c r="D157" s="150"/>
      <c r="E157" s="140" t="str">
        <f t="shared" si="9"/>
        <v/>
      </c>
      <c r="F157" s="157"/>
      <c r="G157" s="145">
        <f t="shared" si="7"/>
        <v>0</v>
      </c>
      <c r="H157" s="140" t="str">
        <f t="shared" si="8"/>
        <v/>
      </c>
      <c r="J157" s="147" t="str">
        <f>IFERROR(SUMIFS(当年实际!$V:$V,当年实际!$J:$J,$C157,当年实际!$C:$C,"&gt;="&amp;DATE(YEAR(主页!$D$2),1,1),当年实际!$C:$C,"&lt;="&amp;EOMONTH(DATE(YEAR(主页!$D$2),MONTH(主页!$D$2),1),0))/SUMIFS(当年实际!$P:$P,当年实际!$J:$J,$C157,当年实际!$C:$C,"&gt;="&amp;DATE(YEAR(主页!$D$2),1,1),当年实际!$C:$C,"&lt;="&amp;EOMONTH(DATE(YEAR(主页!$D$2),MONTH(主页!$D$2),1),0)),"")</f>
        <v/>
      </c>
    </row>
    <row r="158" spans="1:10" x14ac:dyDescent="0.3">
      <c r="A158" s="129"/>
      <c r="B158" s="150"/>
      <c r="C158" s="150"/>
      <c r="D158" s="150"/>
      <c r="E158" s="140" t="str">
        <f t="shared" si="9"/>
        <v/>
      </c>
      <c r="F158" s="157"/>
      <c r="G158" s="145">
        <f t="shared" si="7"/>
        <v>0</v>
      </c>
      <c r="H158" s="140" t="str">
        <f t="shared" si="8"/>
        <v/>
      </c>
      <c r="J158" s="147" t="str">
        <f>IFERROR(SUMIFS(当年实际!$V:$V,当年实际!$J:$J,$C158,当年实际!$C:$C,"&gt;="&amp;DATE(YEAR(主页!$D$2),1,1),当年实际!$C:$C,"&lt;="&amp;EOMONTH(DATE(YEAR(主页!$D$2),MONTH(主页!$D$2),1),0))/SUMIFS(当年实际!$P:$P,当年实际!$J:$J,$C158,当年实际!$C:$C,"&gt;="&amp;DATE(YEAR(主页!$D$2),1,1),当年实际!$C:$C,"&lt;="&amp;EOMONTH(DATE(YEAR(主页!$D$2),MONTH(主页!$D$2),1),0)),"")</f>
        <v/>
      </c>
    </row>
    <row r="159" spans="1:10" x14ac:dyDescent="0.3">
      <c r="A159" s="129"/>
      <c r="B159" s="150"/>
      <c r="C159" s="150"/>
      <c r="D159" s="150"/>
      <c r="E159" s="140" t="str">
        <f t="shared" si="9"/>
        <v/>
      </c>
      <c r="F159" s="157"/>
      <c r="G159" s="145">
        <f t="shared" ref="G159:G222" si="10">D159*F159</f>
        <v>0</v>
      </c>
      <c r="H159" s="140" t="str">
        <f t="shared" ref="H159:H222" si="11">IF(G159/SUM(G:G)=0,"",G159/SUM(G:G))</f>
        <v/>
      </c>
      <c r="J159" s="147" t="str">
        <f>IFERROR(SUMIFS(当年实际!$V:$V,当年实际!$J:$J,$C159,当年实际!$C:$C,"&gt;="&amp;DATE(YEAR(主页!$D$2),1,1),当年实际!$C:$C,"&lt;="&amp;EOMONTH(DATE(YEAR(主页!$D$2),MONTH(主页!$D$2),1),0))/SUMIFS(当年实际!$P:$P,当年实际!$J:$J,$C159,当年实际!$C:$C,"&gt;="&amp;DATE(YEAR(主页!$D$2),1,1),当年实际!$C:$C,"&lt;="&amp;EOMONTH(DATE(YEAR(主页!$D$2),MONTH(主页!$D$2),1),0)),"")</f>
        <v/>
      </c>
    </row>
    <row r="160" spans="1:10" x14ac:dyDescent="0.3">
      <c r="A160" s="129"/>
      <c r="B160" s="150"/>
      <c r="C160" s="150"/>
      <c r="D160" s="150"/>
      <c r="E160" s="140" t="str">
        <f t="shared" si="9"/>
        <v/>
      </c>
      <c r="F160" s="157"/>
      <c r="G160" s="145">
        <f t="shared" si="10"/>
        <v>0</v>
      </c>
      <c r="H160" s="140" t="str">
        <f t="shared" si="11"/>
        <v/>
      </c>
      <c r="J160" s="147" t="str">
        <f>IFERROR(SUMIFS(当年实际!$V:$V,当年实际!$J:$J,$C160,当年实际!$C:$C,"&gt;="&amp;DATE(YEAR(主页!$D$2),1,1),当年实际!$C:$C,"&lt;="&amp;EOMONTH(DATE(YEAR(主页!$D$2),MONTH(主页!$D$2),1),0))/SUMIFS(当年实际!$P:$P,当年实际!$J:$J,$C160,当年实际!$C:$C,"&gt;="&amp;DATE(YEAR(主页!$D$2),1,1),当年实际!$C:$C,"&lt;="&amp;EOMONTH(DATE(YEAR(主页!$D$2),MONTH(主页!$D$2),1),0)),"")</f>
        <v/>
      </c>
    </row>
    <row r="161" spans="1:10" x14ac:dyDescent="0.3">
      <c r="A161" s="129"/>
      <c r="B161" s="150"/>
      <c r="C161" s="150"/>
      <c r="D161" s="150"/>
      <c r="E161" s="140" t="str">
        <f t="shared" si="9"/>
        <v/>
      </c>
      <c r="F161" s="157"/>
      <c r="G161" s="145">
        <f t="shared" si="10"/>
        <v>0</v>
      </c>
      <c r="H161" s="140" t="str">
        <f t="shared" si="11"/>
        <v/>
      </c>
      <c r="J161" s="147" t="str">
        <f>IFERROR(SUMIFS(当年实际!$V:$V,当年实际!$J:$J,$C161,当年实际!$C:$C,"&gt;="&amp;DATE(YEAR(主页!$D$2),1,1),当年实际!$C:$C,"&lt;="&amp;EOMONTH(DATE(YEAR(主页!$D$2),MONTH(主页!$D$2),1),0))/SUMIFS(当年实际!$P:$P,当年实际!$J:$J,$C161,当年实际!$C:$C,"&gt;="&amp;DATE(YEAR(主页!$D$2),1,1),当年实际!$C:$C,"&lt;="&amp;EOMONTH(DATE(YEAR(主页!$D$2),MONTH(主页!$D$2),1),0)),"")</f>
        <v/>
      </c>
    </row>
    <row r="162" spans="1:10" x14ac:dyDescent="0.3">
      <c r="A162" s="129"/>
      <c r="B162" s="150"/>
      <c r="C162" s="150"/>
      <c r="D162" s="150"/>
      <c r="E162" s="140" t="str">
        <f t="shared" si="9"/>
        <v/>
      </c>
      <c r="F162" s="157"/>
      <c r="G162" s="145">
        <f t="shared" si="10"/>
        <v>0</v>
      </c>
      <c r="H162" s="140" t="str">
        <f t="shared" si="11"/>
        <v/>
      </c>
      <c r="J162" s="147" t="str">
        <f>IFERROR(SUMIFS(当年实际!$V:$V,当年实际!$J:$J,$C162,当年实际!$C:$C,"&gt;="&amp;DATE(YEAR(主页!$D$2),1,1),当年实际!$C:$C,"&lt;="&amp;EOMONTH(DATE(YEAR(主页!$D$2),MONTH(主页!$D$2),1),0))/SUMIFS(当年实际!$P:$P,当年实际!$J:$J,$C162,当年实际!$C:$C,"&gt;="&amp;DATE(YEAR(主页!$D$2),1,1),当年实际!$C:$C,"&lt;="&amp;EOMONTH(DATE(YEAR(主页!$D$2),MONTH(主页!$D$2),1),0)),"")</f>
        <v/>
      </c>
    </row>
    <row r="163" spans="1:10" x14ac:dyDescent="0.3">
      <c r="A163" s="129"/>
      <c r="B163" s="150"/>
      <c r="C163" s="150"/>
      <c r="D163" s="150"/>
      <c r="E163" s="140" t="str">
        <f t="shared" si="9"/>
        <v/>
      </c>
      <c r="F163" s="157"/>
      <c r="G163" s="145">
        <f t="shared" si="10"/>
        <v>0</v>
      </c>
      <c r="H163" s="140" t="str">
        <f t="shared" si="11"/>
        <v/>
      </c>
      <c r="J163" s="147" t="str">
        <f>IFERROR(SUMIFS(当年实际!$V:$V,当年实际!$J:$J,$C163,当年实际!$C:$C,"&gt;="&amp;DATE(YEAR(主页!$D$2),1,1),当年实际!$C:$C,"&lt;="&amp;EOMONTH(DATE(YEAR(主页!$D$2),MONTH(主页!$D$2),1),0))/SUMIFS(当年实际!$P:$P,当年实际!$J:$J,$C163,当年实际!$C:$C,"&gt;="&amp;DATE(YEAR(主页!$D$2),1,1),当年实际!$C:$C,"&lt;="&amp;EOMONTH(DATE(YEAR(主页!$D$2),MONTH(主页!$D$2),1),0)),"")</f>
        <v/>
      </c>
    </row>
    <row r="164" spans="1:10" x14ac:dyDescent="0.3">
      <c r="A164" s="129"/>
      <c r="B164" s="150"/>
      <c r="C164" s="150"/>
      <c r="D164" s="150"/>
      <c r="E164" s="140" t="str">
        <f t="shared" si="9"/>
        <v/>
      </c>
      <c r="F164" s="157"/>
      <c r="G164" s="145">
        <f t="shared" si="10"/>
        <v>0</v>
      </c>
      <c r="H164" s="140" t="str">
        <f t="shared" si="11"/>
        <v/>
      </c>
      <c r="J164" s="147" t="str">
        <f>IFERROR(SUMIFS(当年实际!$V:$V,当年实际!$J:$J,$C164,当年实际!$C:$C,"&gt;="&amp;DATE(YEAR(主页!$D$2),1,1),当年实际!$C:$C,"&lt;="&amp;EOMONTH(DATE(YEAR(主页!$D$2),MONTH(主页!$D$2),1),0))/SUMIFS(当年实际!$P:$P,当年实际!$J:$J,$C164,当年实际!$C:$C,"&gt;="&amp;DATE(YEAR(主页!$D$2),1,1),当年实际!$C:$C,"&lt;="&amp;EOMONTH(DATE(YEAR(主页!$D$2),MONTH(主页!$D$2),1),0)),"")</f>
        <v/>
      </c>
    </row>
    <row r="165" spans="1:10" x14ac:dyDescent="0.3">
      <c r="A165" s="129"/>
      <c r="B165" s="150"/>
      <c r="C165" s="150"/>
      <c r="D165" s="150"/>
      <c r="E165" s="140" t="str">
        <f t="shared" si="9"/>
        <v/>
      </c>
      <c r="F165" s="157"/>
      <c r="G165" s="145">
        <f t="shared" si="10"/>
        <v>0</v>
      </c>
      <c r="H165" s="140" t="str">
        <f t="shared" si="11"/>
        <v/>
      </c>
      <c r="J165" s="147" t="str">
        <f>IFERROR(SUMIFS(当年实际!$V:$V,当年实际!$J:$J,$C165,当年实际!$C:$C,"&gt;="&amp;DATE(YEAR(主页!$D$2),1,1),当年实际!$C:$C,"&lt;="&amp;EOMONTH(DATE(YEAR(主页!$D$2),MONTH(主页!$D$2),1),0))/SUMIFS(当年实际!$P:$P,当年实际!$J:$J,$C165,当年实际!$C:$C,"&gt;="&amp;DATE(YEAR(主页!$D$2),1,1),当年实际!$C:$C,"&lt;="&amp;EOMONTH(DATE(YEAR(主页!$D$2),MONTH(主页!$D$2),1),0)),"")</f>
        <v/>
      </c>
    </row>
    <row r="166" spans="1:10" x14ac:dyDescent="0.3">
      <c r="A166" s="129"/>
      <c r="B166" s="150"/>
      <c r="C166" s="150"/>
      <c r="D166" s="150"/>
      <c r="E166" s="140" t="str">
        <f t="shared" si="9"/>
        <v/>
      </c>
      <c r="F166" s="157"/>
      <c r="G166" s="145">
        <f t="shared" si="10"/>
        <v>0</v>
      </c>
      <c r="H166" s="140" t="str">
        <f t="shared" si="11"/>
        <v/>
      </c>
      <c r="J166" s="147" t="str">
        <f>IFERROR(SUMIFS(当年实际!$V:$V,当年实际!$J:$J,$C166,当年实际!$C:$C,"&gt;="&amp;DATE(YEAR(主页!$D$2),1,1),当年实际!$C:$C,"&lt;="&amp;EOMONTH(DATE(YEAR(主页!$D$2),MONTH(主页!$D$2),1),0))/SUMIFS(当年实际!$P:$P,当年实际!$J:$J,$C166,当年实际!$C:$C,"&gt;="&amp;DATE(YEAR(主页!$D$2),1,1),当年实际!$C:$C,"&lt;="&amp;EOMONTH(DATE(YEAR(主页!$D$2),MONTH(主页!$D$2),1),0)),"")</f>
        <v/>
      </c>
    </row>
    <row r="167" spans="1:10" x14ac:dyDescent="0.3">
      <c r="A167" s="129"/>
      <c r="B167" s="150"/>
      <c r="C167" s="150"/>
      <c r="D167" s="150"/>
      <c r="E167" s="140" t="str">
        <f t="shared" si="9"/>
        <v/>
      </c>
      <c r="F167" s="157"/>
      <c r="G167" s="145">
        <f t="shared" si="10"/>
        <v>0</v>
      </c>
      <c r="H167" s="140" t="str">
        <f t="shared" si="11"/>
        <v/>
      </c>
      <c r="J167" s="147" t="str">
        <f>IFERROR(SUMIFS(当年实际!$V:$V,当年实际!$J:$J,$C167,当年实际!$C:$C,"&gt;="&amp;DATE(YEAR(主页!$D$2),1,1),当年实际!$C:$C,"&lt;="&amp;EOMONTH(DATE(YEAR(主页!$D$2),MONTH(主页!$D$2),1),0))/SUMIFS(当年实际!$P:$P,当年实际!$J:$J,$C167,当年实际!$C:$C,"&gt;="&amp;DATE(YEAR(主页!$D$2),1,1),当年实际!$C:$C,"&lt;="&amp;EOMONTH(DATE(YEAR(主页!$D$2),MONTH(主页!$D$2),1),0)),"")</f>
        <v/>
      </c>
    </row>
    <row r="168" spans="1:10" x14ac:dyDescent="0.3">
      <c r="A168" s="129"/>
      <c r="B168" s="150"/>
      <c r="C168" s="150"/>
      <c r="D168" s="150"/>
      <c r="E168" s="140" t="str">
        <f t="shared" si="9"/>
        <v/>
      </c>
      <c r="F168" s="157"/>
      <c r="G168" s="145">
        <f t="shared" si="10"/>
        <v>0</v>
      </c>
      <c r="H168" s="140" t="str">
        <f t="shared" si="11"/>
        <v/>
      </c>
      <c r="J168" s="147" t="str">
        <f>IFERROR(SUMIFS(当年实际!$V:$V,当年实际!$J:$J,$C168,当年实际!$C:$C,"&gt;="&amp;DATE(YEAR(主页!$D$2),1,1),当年实际!$C:$C,"&lt;="&amp;EOMONTH(DATE(YEAR(主页!$D$2),MONTH(主页!$D$2),1),0))/SUMIFS(当年实际!$P:$P,当年实际!$J:$J,$C168,当年实际!$C:$C,"&gt;="&amp;DATE(YEAR(主页!$D$2),1,1),当年实际!$C:$C,"&lt;="&amp;EOMONTH(DATE(YEAR(主页!$D$2),MONTH(主页!$D$2),1),0)),"")</f>
        <v/>
      </c>
    </row>
    <row r="169" spans="1:10" x14ac:dyDescent="0.3">
      <c r="A169" s="129"/>
      <c r="B169" s="150"/>
      <c r="C169" s="150"/>
      <c r="D169" s="150"/>
      <c r="E169" s="140" t="str">
        <f t="shared" si="9"/>
        <v/>
      </c>
      <c r="F169" s="157"/>
      <c r="G169" s="145">
        <f t="shared" si="10"/>
        <v>0</v>
      </c>
      <c r="H169" s="140" t="str">
        <f t="shared" si="11"/>
        <v/>
      </c>
      <c r="J169" s="147" t="str">
        <f>IFERROR(SUMIFS(当年实际!$V:$V,当年实际!$J:$J,$C169,当年实际!$C:$C,"&gt;="&amp;DATE(YEAR(主页!$D$2),1,1),当年实际!$C:$C,"&lt;="&amp;EOMONTH(DATE(YEAR(主页!$D$2),MONTH(主页!$D$2),1),0))/SUMIFS(当年实际!$P:$P,当年实际!$J:$J,$C169,当年实际!$C:$C,"&gt;="&amp;DATE(YEAR(主页!$D$2),1,1),当年实际!$C:$C,"&lt;="&amp;EOMONTH(DATE(YEAR(主页!$D$2),MONTH(主页!$D$2),1),0)),"")</f>
        <v/>
      </c>
    </row>
    <row r="170" spans="1:10" x14ac:dyDescent="0.3">
      <c r="A170" s="129"/>
      <c r="B170" s="150"/>
      <c r="C170" s="150"/>
      <c r="D170" s="150"/>
      <c r="E170" s="140" t="str">
        <f t="shared" si="9"/>
        <v/>
      </c>
      <c r="F170" s="157"/>
      <c r="G170" s="145">
        <f t="shared" si="10"/>
        <v>0</v>
      </c>
      <c r="H170" s="140" t="str">
        <f t="shared" si="11"/>
        <v/>
      </c>
      <c r="J170" s="147" t="str">
        <f>IFERROR(SUMIFS(当年实际!$V:$V,当年实际!$J:$J,$C170,当年实际!$C:$C,"&gt;="&amp;DATE(YEAR(主页!$D$2),1,1),当年实际!$C:$C,"&lt;="&amp;EOMONTH(DATE(YEAR(主页!$D$2),MONTH(主页!$D$2),1),0))/SUMIFS(当年实际!$P:$P,当年实际!$J:$J,$C170,当年实际!$C:$C,"&gt;="&amp;DATE(YEAR(主页!$D$2),1,1),当年实际!$C:$C,"&lt;="&amp;EOMONTH(DATE(YEAR(主页!$D$2),MONTH(主页!$D$2),1),0)),"")</f>
        <v/>
      </c>
    </row>
    <row r="171" spans="1:10" x14ac:dyDescent="0.3">
      <c r="A171" s="129"/>
      <c r="B171" s="150"/>
      <c r="C171" s="150"/>
      <c r="D171" s="150"/>
      <c r="E171" s="140" t="str">
        <f t="shared" si="9"/>
        <v/>
      </c>
      <c r="F171" s="157"/>
      <c r="G171" s="145">
        <f t="shared" si="10"/>
        <v>0</v>
      </c>
      <c r="H171" s="140" t="str">
        <f t="shared" si="11"/>
        <v/>
      </c>
      <c r="J171" s="147" t="str">
        <f>IFERROR(SUMIFS(当年实际!$V:$V,当年实际!$J:$J,$C171,当年实际!$C:$C,"&gt;="&amp;DATE(YEAR(主页!$D$2),1,1),当年实际!$C:$C,"&lt;="&amp;EOMONTH(DATE(YEAR(主页!$D$2),MONTH(主页!$D$2),1),0))/SUMIFS(当年实际!$P:$P,当年实际!$J:$J,$C171,当年实际!$C:$C,"&gt;="&amp;DATE(YEAR(主页!$D$2),1,1),当年实际!$C:$C,"&lt;="&amp;EOMONTH(DATE(YEAR(主页!$D$2),MONTH(主页!$D$2),1),0)),"")</f>
        <v/>
      </c>
    </row>
    <row r="172" spans="1:10" x14ac:dyDescent="0.3">
      <c r="A172" s="129"/>
      <c r="B172" s="150"/>
      <c r="C172" s="150"/>
      <c r="D172" s="150"/>
      <c r="E172" s="140" t="str">
        <f t="shared" si="9"/>
        <v/>
      </c>
      <c r="F172" s="157"/>
      <c r="G172" s="145">
        <f t="shared" si="10"/>
        <v>0</v>
      </c>
      <c r="H172" s="140" t="str">
        <f t="shared" si="11"/>
        <v/>
      </c>
      <c r="J172" s="147" t="str">
        <f>IFERROR(SUMIFS(当年实际!$V:$V,当年实际!$J:$J,$C172,当年实际!$C:$C,"&gt;="&amp;DATE(YEAR(主页!$D$2),1,1),当年实际!$C:$C,"&lt;="&amp;EOMONTH(DATE(YEAR(主页!$D$2),MONTH(主页!$D$2),1),0))/SUMIFS(当年实际!$P:$P,当年实际!$J:$J,$C172,当年实际!$C:$C,"&gt;="&amp;DATE(YEAR(主页!$D$2),1,1),当年实际!$C:$C,"&lt;="&amp;EOMONTH(DATE(YEAR(主页!$D$2),MONTH(主页!$D$2),1),0)),"")</f>
        <v/>
      </c>
    </row>
    <row r="173" spans="1:10" x14ac:dyDescent="0.3">
      <c r="A173" s="129"/>
      <c r="B173" s="150"/>
      <c r="C173" s="150"/>
      <c r="D173" s="150"/>
      <c r="E173" s="140" t="str">
        <f t="shared" si="9"/>
        <v/>
      </c>
      <c r="F173" s="157"/>
      <c r="G173" s="145">
        <f t="shared" si="10"/>
        <v>0</v>
      </c>
      <c r="H173" s="140" t="str">
        <f t="shared" si="11"/>
        <v/>
      </c>
      <c r="J173" s="147" t="str">
        <f>IFERROR(SUMIFS(当年实际!$V:$V,当年实际!$J:$J,$C173,当年实际!$C:$C,"&gt;="&amp;DATE(YEAR(主页!$D$2),1,1),当年实际!$C:$C,"&lt;="&amp;EOMONTH(DATE(YEAR(主页!$D$2),MONTH(主页!$D$2),1),0))/SUMIFS(当年实际!$P:$P,当年实际!$J:$J,$C173,当年实际!$C:$C,"&gt;="&amp;DATE(YEAR(主页!$D$2),1,1),当年实际!$C:$C,"&lt;="&amp;EOMONTH(DATE(YEAR(主页!$D$2),MONTH(主页!$D$2),1),0)),"")</f>
        <v/>
      </c>
    </row>
    <row r="174" spans="1:10" x14ac:dyDescent="0.3">
      <c r="A174" s="129"/>
      <c r="B174" s="150"/>
      <c r="C174" s="150"/>
      <c r="D174" s="150"/>
      <c r="E174" s="140" t="str">
        <f t="shared" si="9"/>
        <v/>
      </c>
      <c r="F174" s="157"/>
      <c r="G174" s="145">
        <f t="shared" si="10"/>
        <v>0</v>
      </c>
      <c r="H174" s="140" t="str">
        <f t="shared" si="11"/>
        <v/>
      </c>
      <c r="J174" s="147" t="str">
        <f>IFERROR(SUMIFS(当年实际!$V:$V,当年实际!$J:$J,$C174,当年实际!$C:$C,"&gt;="&amp;DATE(YEAR(主页!$D$2),1,1),当年实际!$C:$C,"&lt;="&amp;EOMONTH(DATE(YEAR(主页!$D$2),MONTH(主页!$D$2),1),0))/SUMIFS(当年实际!$P:$P,当年实际!$J:$J,$C174,当年实际!$C:$C,"&gt;="&amp;DATE(YEAR(主页!$D$2),1,1),当年实际!$C:$C,"&lt;="&amp;EOMONTH(DATE(YEAR(主页!$D$2),MONTH(主页!$D$2),1),0)),"")</f>
        <v/>
      </c>
    </row>
    <row r="175" spans="1:10" x14ac:dyDescent="0.3">
      <c r="A175" s="129"/>
      <c r="B175" s="150"/>
      <c r="C175" s="150"/>
      <c r="D175" s="150"/>
      <c r="E175" s="140" t="str">
        <f t="shared" si="9"/>
        <v/>
      </c>
      <c r="F175" s="157"/>
      <c r="G175" s="145">
        <f t="shared" si="10"/>
        <v>0</v>
      </c>
      <c r="H175" s="140" t="str">
        <f t="shared" si="11"/>
        <v/>
      </c>
      <c r="J175" s="147" t="str">
        <f>IFERROR(SUMIFS(当年实际!$V:$V,当年实际!$J:$J,$C175,当年实际!$C:$C,"&gt;="&amp;DATE(YEAR(主页!$D$2),1,1),当年实际!$C:$C,"&lt;="&amp;EOMONTH(DATE(YEAR(主页!$D$2),MONTH(主页!$D$2),1),0))/SUMIFS(当年实际!$P:$P,当年实际!$J:$J,$C175,当年实际!$C:$C,"&gt;="&amp;DATE(YEAR(主页!$D$2),1,1),当年实际!$C:$C,"&lt;="&amp;EOMONTH(DATE(YEAR(主页!$D$2),MONTH(主页!$D$2),1),0)),"")</f>
        <v/>
      </c>
    </row>
    <row r="176" spans="1:10" x14ac:dyDescent="0.3">
      <c r="A176" s="129"/>
      <c r="B176" s="150"/>
      <c r="C176" s="150"/>
      <c r="D176" s="150"/>
      <c r="E176" s="140" t="str">
        <f t="shared" si="9"/>
        <v/>
      </c>
      <c r="F176" s="157"/>
      <c r="G176" s="145">
        <f t="shared" si="10"/>
        <v>0</v>
      </c>
      <c r="H176" s="140" t="str">
        <f t="shared" si="11"/>
        <v/>
      </c>
      <c r="J176" s="147" t="str">
        <f>IFERROR(SUMIFS(当年实际!$V:$V,当年实际!$J:$J,$C176,当年实际!$C:$C,"&gt;="&amp;DATE(YEAR(主页!$D$2),1,1),当年实际!$C:$C,"&lt;="&amp;EOMONTH(DATE(YEAR(主页!$D$2),MONTH(主页!$D$2),1),0))/SUMIFS(当年实际!$P:$P,当年实际!$J:$J,$C176,当年实际!$C:$C,"&gt;="&amp;DATE(YEAR(主页!$D$2),1,1),当年实际!$C:$C,"&lt;="&amp;EOMONTH(DATE(YEAR(主页!$D$2),MONTH(主页!$D$2),1),0)),"")</f>
        <v/>
      </c>
    </row>
    <row r="177" spans="1:10" x14ac:dyDescent="0.3">
      <c r="A177" s="129"/>
      <c r="B177" s="150"/>
      <c r="C177" s="150"/>
      <c r="D177" s="150"/>
      <c r="E177" s="140" t="str">
        <f t="shared" si="9"/>
        <v/>
      </c>
      <c r="F177" s="157"/>
      <c r="G177" s="145">
        <f t="shared" si="10"/>
        <v>0</v>
      </c>
      <c r="H177" s="140" t="str">
        <f t="shared" si="11"/>
        <v/>
      </c>
      <c r="J177" s="147" t="str">
        <f>IFERROR(SUMIFS(当年实际!$V:$V,当年实际!$J:$J,$C177,当年实际!$C:$C,"&gt;="&amp;DATE(YEAR(主页!$D$2),1,1),当年实际!$C:$C,"&lt;="&amp;EOMONTH(DATE(YEAR(主页!$D$2),MONTH(主页!$D$2),1),0))/SUMIFS(当年实际!$P:$P,当年实际!$J:$J,$C177,当年实际!$C:$C,"&gt;="&amp;DATE(YEAR(主页!$D$2),1,1),当年实际!$C:$C,"&lt;="&amp;EOMONTH(DATE(YEAR(主页!$D$2),MONTH(主页!$D$2),1),0)),"")</f>
        <v/>
      </c>
    </row>
    <row r="178" spans="1:10" x14ac:dyDescent="0.3">
      <c r="A178" s="129"/>
      <c r="B178" s="150"/>
      <c r="C178" s="150"/>
      <c r="D178" s="150"/>
      <c r="E178" s="140" t="str">
        <f t="shared" si="9"/>
        <v/>
      </c>
      <c r="F178" s="157"/>
      <c r="G178" s="145">
        <f t="shared" si="10"/>
        <v>0</v>
      </c>
      <c r="H178" s="140" t="str">
        <f t="shared" si="11"/>
        <v/>
      </c>
      <c r="J178" s="147" t="str">
        <f>IFERROR(SUMIFS(当年实际!$V:$V,当年实际!$J:$J,$C178,当年实际!$C:$C,"&gt;="&amp;DATE(YEAR(主页!$D$2),1,1),当年实际!$C:$C,"&lt;="&amp;EOMONTH(DATE(YEAR(主页!$D$2),MONTH(主页!$D$2),1),0))/SUMIFS(当年实际!$P:$P,当年实际!$J:$J,$C178,当年实际!$C:$C,"&gt;="&amp;DATE(YEAR(主页!$D$2),1,1),当年实际!$C:$C,"&lt;="&amp;EOMONTH(DATE(YEAR(主页!$D$2),MONTH(主页!$D$2),1),0)),"")</f>
        <v/>
      </c>
    </row>
    <row r="179" spans="1:10" x14ac:dyDescent="0.3">
      <c r="A179" s="129"/>
      <c r="B179" s="150"/>
      <c r="C179" s="150"/>
      <c r="D179" s="150"/>
      <c r="E179" s="140" t="str">
        <f t="shared" si="9"/>
        <v/>
      </c>
      <c r="F179" s="157"/>
      <c r="G179" s="145">
        <f t="shared" si="10"/>
        <v>0</v>
      </c>
      <c r="H179" s="140" t="str">
        <f t="shared" si="11"/>
        <v/>
      </c>
      <c r="J179" s="147" t="str">
        <f>IFERROR(SUMIFS(当年实际!$V:$V,当年实际!$J:$J,$C179,当年实际!$C:$C,"&gt;="&amp;DATE(YEAR(主页!$D$2),1,1),当年实际!$C:$C,"&lt;="&amp;EOMONTH(DATE(YEAR(主页!$D$2),MONTH(主页!$D$2),1),0))/SUMIFS(当年实际!$P:$P,当年实际!$J:$J,$C179,当年实际!$C:$C,"&gt;="&amp;DATE(YEAR(主页!$D$2),1,1),当年实际!$C:$C,"&lt;="&amp;EOMONTH(DATE(YEAR(主页!$D$2),MONTH(主页!$D$2),1),0)),"")</f>
        <v/>
      </c>
    </row>
    <row r="180" spans="1:10" x14ac:dyDescent="0.3">
      <c r="A180" s="129"/>
      <c r="B180" s="150"/>
      <c r="C180" s="150"/>
      <c r="D180" s="150"/>
      <c r="E180" s="140" t="str">
        <f t="shared" si="9"/>
        <v/>
      </c>
      <c r="F180" s="157"/>
      <c r="G180" s="145">
        <f t="shared" si="10"/>
        <v>0</v>
      </c>
      <c r="H180" s="140" t="str">
        <f t="shared" si="11"/>
        <v/>
      </c>
      <c r="J180" s="147" t="str">
        <f>IFERROR(SUMIFS(当年实际!$V:$V,当年实际!$J:$J,$C180,当年实际!$C:$C,"&gt;="&amp;DATE(YEAR(主页!$D$2),1,1),当年实际!$C:$C,"&lt;="&amp;EOMONTH(DATE(YEAR(主页!$D$2),MONTH(主页!$D$2),1),0))/SUMIFS(当年实际!$P:$P,当年实际!$J:$J,$C180,当年实际!$C:$C,"&gt;="&amp;DATE(YEAR(主页!$D$2),1,1),当年实际!$C:$C,"&lt;="&amp;EOMONTH(DATE(YEAR(主页!$D$2),MONTH(主页!$D$2),1),0)),"")</f>
        <v/>
      </c>
    </row>
    <row r="181" spans="1:10" x14ac:dyDescent="0.3">
      <c r="A181" s="129"/>
      <c r="B181" s="150"/>
      <c r="C181" s="150"/>
      <c r="D181" s="150"/>
      <c r="E181" s="140" t="str">
        <f t="shared" si="9"/>
        <v/>
      </c>
      <c r="F181" s="157"/>
      <c r="G181" s="145">
        <f t="shared" si="10"/>
        <v>0</v>
      </c>
      <c r="H181" s="140" t="str">
        <f t="shared" si="11"/>
        <v/>
      </c>
      <c r="J181" s="147" t="str">
        <f>IFERROR(SUMIFS(当年实际!$V:$V,当年实际!$J:$J,$C181,当年实际!$C:$C,"&gt;="&amp;DATE(YEAR(主页!$D$2),1,1),当年实际!$C:$C,"&lt;="&amp;EOMONTH(DATE(YEAR(主页!$D$2),MONTH(主页!$D$2),1),0))/SUMIFS(当年实际!$P:$P,当年实际!$J:$J,$C181,当年实际!$C:$C,"&gt;="&amp;DATE(YEAR(主页!$D$2),1,1),当年实际!$C:$C,"&lt;="&amp;EOMONTH(DATE(YEAR(主页!$D$2),MONTH(主页!$D$2),1),0)),"")</f>
        <v/>
      </c>
    </row>
    <row r="182" spans="1:10" x14ac:dyDescent="0.3">
      <c r="A182" s="129"/>
      <c r="B182" s="150"/>
      <c r="C182" s="150"/>
      <c r="D182" s="150"/>
      <c r="E182" s="140" t="str">
        <f t="shared" si="9"/>
        <v/>
      </c>
      <c r="F182" s="157"/>
      <c r="G182" s="145">
        <f t="shared" si="10"/>
        <v>0</v>
      </c>
      <c r="H182" s="140" t="str">
        <f t="shared" si="11"/>
        <v/>
      </c>
      <c r="J182" s="147" t="str">
        <f>IFERROR(SUMIFS(当年实际!$V:$V,当年实际!$J:$J,$C182,当年实际!$C:$C,"&gt;="&amp;DATE(YEAR(主页!$D$2),1,1),当年实际!$C:$C,"&lt;="&amp;EOMONTH(DATE(YEAR(主页!$D$2),MONTH(主页!$D$2),1),0))/SUMIFS(当年实际!$P:$P,当年实际!$J:$J,$C182,当年实际!$C:$C,"&gt;="&amp;DATE(YEAR(主页!$D$2),1,1),当年实际!$C:$C,"&lt;="&amp;EOMONTH(DATE(YEAR(主页!$D$2),MONTH(主页!$D$2),1),0)),"")</f>
        <v/>
      </c>
    </row>
    <row r="183" spans="1:10" x14ac:dyDescent="0.3">
      <c r="A183" s="129"/>
      <c r="B183" s="150"/>
      <c r="C183" s="150"/>
      <c r="D183" s="150"/>
      <c r="E183" s="140" t="str">
        <f t="shared" si="9"/>
        <v/>
      </c>
      <c r="F183" s="157"/>
      <c r="G183" s="145">
        <f t="shared" si="10"/>
        <v>0</v>
      </c>
      <c r="H183" s="140" t="str">
        <f t="shared" si="11"/>
        <v/>
      </c>
      <c r="J183" s="147" t="str">
        <f>IFERROR(SUMIFS(当年实际!$V:$V,当年实际!$J:$J,$C183,当年实际!$C:$C,"&gt;="&amp;DATE(YEAR(主页!$D$2),1,1),当年实际!$C:$C,"&lt;="&amp;EOMONTH(DATE(YEAR(主页!$D$2),MONTH(主页!$D$2),1),0))/SUMIFS(当年实际!$P:$P,当年实际!$J:$J,$C183,当年实际!$C:$C,"&gt;="&amp;DATE(YEAR(主页!$D$2),1,1),当年实际!$C:$C,"&lt;="&amp;EOMONTH(DATE(YEAR(主页!$D$2),MONTH(主页!$D$2),1),0)),"")</f>
        <v/>
      </c>
    </row>
    <row r="184" spans="1:10" x14ac:dyDescent="0.3">
      <c r="A184" s="129"/>
      <c r="B184" s="150"/>
      <c r="C184" s="150"/>
      <c r="D184" s="150"/>
      <c r="E184" s="140" t="str">
        <f t="shared" si="9"/>
        <v/>
      </c>
      <c r="F184" s="157"/>
      <c r="G184" s="145">
        <f t="shared" si="10"/>
        <v>0</v>
      </c>
      <c r="H184" s="140" t="str">
        <f t="shared" si="11"/>
        <v/>
      </c>
      <c r="J184" s="147" t="str">
        <f>IFERROR(SUMIFS(当年实际!$V:$V,当年实际!$J:$J,$C184,当年实际!$C:$C,"&gt;="&amp;DATE(YEAR(主页!$D$2),1,1),当年实际!$C:$C,"&lt;="&amp;EOMONTH(DATE(YEAR(主页!$D$2),MONTH(主页!$D$2),1),0))/SUMIFS(当年实际!$P:$P,当年实际!$J:$J,$C184,当年实际!$C:$C,"&gt;="&amp;DATE(YEAR(主页!$D$2),1,1),当年实际!$C:$C,"&lt;="&amp;EOMONTH(DATE(YEAR(主页!$D$2),MONTH(主页!$D$2),1),0)),"")</f>
        <v/>
      </c>
    </row>
    <row r="185" spans="1:10" x14ac:dyDescent="0.3">
      <c r="A185" s="129"/>
      <c r="B185" s="150"/>
      <c r="C185" s="150"/>
      <c r="D185" s="150"/>
      <c r="E185" s="140" t="str">
        <f t="shared" si="9"/>
        <v/>
      </c>
      <c r="F185" s="157"/>
      <c r="G185" s="145">
        <f t="shared" si="10"/>
        <v>0</v>
      </c>
      <c r="H185" s="140" t="str">
        <f t="shared" si="11"/>
        <v/>
      </c>
      <c r="J185" s="147" t="str">
        <f>IFERROR(SUMIFS(当年实际!$V:$V,当年实际!$J:$J,$C185,当年实际!$C:$C,"&gt;="&amp;DATE(YEAR(主页!$D$2),1,1),当年实际!$C:$C,"&lt;="&amp;EOMONTH(DATE(YEAR(主页!$D$2),MONTH(主页!$D$2),1),0))/SUMIFS(当年实际!$P:$P,当年实际!$J:$J,$C185,当年实际!$C:$C,"&gt;="&amp;DATE(YEAR(主页!$D$2),1,1),当年实际!$C:$C,"&lt;="&amp;EOMONTH(DATE(YEAR(主页!$D$2),MONTH(主页!$D$2),1),0)),"")</f>
        <v/>
      </c>
    </row>
    <row r="186" spans="1:10" x14ac:dyDescent="0.3">
      <c r="A186" s="129"/>
      <c r="B186" s="150"/>
      <c r="C186" s="150"/>
      <c r="D186" s="150"/>
      <c r="E186" s="140" t="str">
        <f t="shared" si="9"/>
        <v/>
      </c>
      <c r="F186" s="157"/>
      <c r="G186" s="145">
        <f t="shared" si="10"/>
        <v>0</v>
      </c>
      <c r="H186" s="140" t="str">
        <f t="shared" si="11"/>
        <v/>
      </c>
      <c r="J186" s="147" t="str">
        <f>IFERROR(SUMIFS(当年实际!$V:$V,当年实际!$J:$J,$C186,当年实际!$C:$C,"&gt;="&amp;DATE(YEAR(主页!$D$2),1,1),当年实际!$C:$C,"&lt;="&amp;EOMONTH(DATE(YEAR(主页!$D$2),MONTH(主页!$D$2),1),0))/SUMIFS(当年实际!$P:$P,当年实际!$J:$J,$C186,当年实际!$C:$C,"&gt;="&amp;DATE(YEAR(主页!$D$2),1,1),当年实际!$C:$C,"&lt;="&amp;EOMONTH(DATE(YEAR(主页!$D$2),MONTH(主页!$D$2),1),0)),"")</f>
        <v/>
      </c>
    </row>
    <row r="187" spans="1:10" x14ac:dyDescent="0.3">
      <c r="A187" s="129"/>
      <c r="B187" s="150"/>
      <c r="C187" s="150"/>
      <c r="D187" s="150"/>
      <c r="E187" s="140" t="str">
        <f t="shared" si="9"/>
        <v/>
      </c>
      <c r="F187" s="157"/>
      <c r="G187" s="145">
        <f t="shared" si="10"/>
        <v>0</v>
      </c>
      <c r="H187" s="140" t="str">
        <f t="shared" si="11"/>
        <v/>
      </c>
      <c r="J187" s="147" t="str">
        <f>IFERROR(SUMIFS(当年实际!$V:$V,当年实际!$J:$J,$C187,当年实际!$C:$C,"&gt;="&amp;DATE(YEAR(主页!$D$2),1,1),当年实际!$C:$C,"&lt;="&amp;EOMONTH(DATE(YEAR(主页!$D$2),MONTH(主页!$D$2),1),0))/SUMIFS(当年实际!$P:$P,当年实际!$J:$J,$C187,当年实际!$C:$C,"&gt;="&amp;DATE(YEAR(主页!$D$2),1,1),当年实际!$C:$C,"&lt;="&amp;EOMONTH(DATE(YEAR(主页!$D$2),MONTH(主页!$D$2),1),0)),"")</f>
        <v/>
      </c>
    </row>
    <row r="188" spans="1:10" x14ac:dyDescent="0.3">
      <c r="A188" s="129"/>
      <c r="B188" s="150"/>
      <c r="C188" s="150"/>
      <c r="D188" s="150"/>
      <c r="E188" s="140" t="str">
        <f t="shared" si="9"/>
        <v/>
      </c>
      <c r="F188" s="157"/>
      <c r="G188" s="145">
        <f t="shared" si="10"/>
        <v>0</v>
      </c>
      <c r="H188" s="140" t="str">
        <f t="shared" si="11"/>
        <v/>
      </c>
      <c r="J188" s="147" t="str">
        <f>IFERROR(SUMIFS(当年实际!$V:$V,当年实际!$J:$J,$C188,当年实际!$C:$C,"&gt;="&amp;DATE(YEAR(主页!$D$2),1,1),当年实际!$C:$C,"&lt;="&amp;EOMONTH(DATE(YEAR(主页!$D$2),MONTH(主页!$D$2),1),0))/SUMIFS(当年实际!$P:$P,当年实际!$J:$J,$C188,当年实际!$C:$C,"&gt;="&amp;DATE(YEAR(主页!$D$2),1,1),当年实际!$C:$C,"&lt;="&amp;EOMONTH(DATE(YEAR(主页!$D$2),MONTH(主页!$D$2),1),0)),"")</f>
        <v/>
      </c>
    </row>
    <row r="189" spans="1:10" x14ac:dyDescent="0.3">
      <c r="A189" s="129"/>
      <c r="B189" s="150"/>
      <c r="C189" s="150"/>
      <c r="D189" s="150"/>
      <c r="E189" s="140" t="str">
        <f t="shared" si="9"/>
        <v/>
      </c>
      <c r="F189" s="157"/>
      <c r="G189" s="145">
        <f t="shared" si="10"/>
        <v>0</v>
      </c>
      <c r="H189" s="140" t="str">
        <f t="shared" si="11"/>
        <v/>
      </c>
      <c r="J189" s="147" t="str">
        <f>IFERROR(SUMIFS(当年实际!$V:$V,当年实际!$J:$J,$C189,当年实际!$C:$C,"&gt;="&amp;DATE(YEAR(主页!$D$2),1,1),当年实际!$C:$C,"&lt;="&amp;EOMONTH(DATE(YEAR(主页!$D$2),MONTH(主页!$D$2),1),0))/SUMIFS(当年实际!$P:$P,当年实际!$J:$J,$C189,当年实际!$C:$C,"&gt;="&amp;DATE(YEAR(主页!$D$2),1,1),当年实际!$C:$C,"&lt;="&amp;EOMONTH(DATE(YEAR(主页!$D$2),MONTH(主页!$D$2),1),0)),"")</f>
        <v/>
      </c>
    </row>
    <row r="190" spans="1:10" x14ac:dyDescent="0.3">
      <c r="A190" s="129"/>
      <c r="B190" s="150"/>
      <c r="C190" s="150"/>
      <c r="D190" s="150"/>
      <c r="E190" s="140" t="str">
        <f t="shared" si="9"/>
        <v/>
      </c>
      <c r="F190" s="157"/>
      <c r="G190" s="145">
        <f t="shared" si="10"/>
        <v>0</v>
      </c>
      <c r="H190" s="140" t="str">
        <f t="shared" si="11"/>
        <v/>
      </c>
      <c r="J190" s="147" t="str">
        <f>IFERROR(SUMIFS(当年实际!$V:$V,当年实际!$J:$J,$C190,当年实际!$C:$C,"&gt;="&amp;DATE(YEAR(主页!$D$2),1,1),当年实际!$C:$C,"&lt;="&amp;EOMONTH(DATE(YEAR(主页!$D$2),MONTH(主页!$D$2),1),0))/SUMIFS(当年实际!$P:$P,当年实际!$J:$J,$C190,当年实际!$C:$C,"&gt;="&amp;DATE(YEAR(主页!$D$2),1,1),当年实际!$C:$C,"&lt;="&amp;EOMONTH(DATE(YEAR(主页!$D$2),MONTH(主页!$D$2),1),0)),"")</f>
        <v/>
      </c>
    </row>
    <row r="191" spans="1:10" x14ac:dyDescent="0.3">
      <c r="A191" s="129"/>
      <c r="B191" s="150"/>
      <c r="C191" s="150"/>
      <c r="D191" s="150"/>
      <c r="E191" s="140" t="str">
        <f t="shared" si="9"/>
        <v/>
      </c>
      <c r="F191" s="157"/>
      <c r="G191" s="145">
        <f t="shared" si="10"/>
        <v>0</v>
      </c>
      <c r="H191" s="140" t="str">
        <f t="shared" si="11"/>
        <v/>
      </c>
      <c r="J191" s="147" t="str">
        <f>IFERROR(SUMIFS(当年实际!$V:$V,当年实际!$J:$J,$C191,当年实际!$C:$C,"&gt;="&amp;DATE(YEAR(主页!$D$2),1,1),当年实际!$C:$C,"&lt;="&amp;EOMONTH(DATE(YEAR(主页!$D$2),MONTH(主页!$D$2),1),0))/SUMIFS(当年实际!$P:$P,当年实际!$J:$J,$C191,当年实际!$C:$C,"&gt;="&amp;DATE(YEAR(主页!$D$2),1,1),当年实际!$C:$C,"&lt;="&amp;EOMONTH(DATE(YEAR(主页!$D$2),MONTH(主页!$D$2),1),0)),"")</f>
        <v/>
      </c>
    </row>
    <row r="192" spans="1:10" x14ac:dyDescent="0.3">
      <c r="A192" s="129"/>
      <c r="B192" s="150"/>
      <c r="C192" s="150"/>
      <c r="D192" s="150"/>
      <c r="E192" s="140" t="str">
        <f t="shared" si="9"/>
        <v/>
      </c>
      <c r="F192" s="157"/>
      <c r="G192" s="145">
        <f t="shared" si="10"/>
        <v>0</v>
      </c>
      <c r="H192" s="140" t="str">
        <f t="shared" si="11"/>
        <v/>
      </c>
      <c r="J192" s="147" t="str">
        <f>IFERROR(SUMIFS(当年实际!$V:$V,当年实际!$J:$J,$C192,当年实际!$C:$C,"&gt;="&amp;DATE(YEAR(主页!$D$2),1,1),当年实际!$C:$C,"&lt;="&amp;EOMONTH(DATE(YEAR(主页!$D$2),MONTH(主页!$D$2),1),0))/SUMIFS(当年实际!$P:$P,当年实际!$J:$J,$C192,当年实际!$C:$C,"&gt;="&amp;DATE(YEAR(主页!$D$2),1,1),当年实际!$C:$C,"&lt;="&amp;EOMONTH(DATE(YEAR(主页!$D$2),MONTH(主页!$D$2),1),0)),"")</f>
        <v/>
      </c>
    </row>
    <row r="193" spans="1:10" x14ac:dyDescent="0.3">
      <c r="A193" s="129"/>
      <c r="B193" s="150"/>
      <c r="C193" s="150"/>
      <c r="D193" s="150"/>
      <c r="E193" s="140" t="str">
        <f t="shared" si="9"/>
        <v/>
      </c>
      <c r="F193" s="157"/>
      <c r="G193" s="145">
        <f t="shared" si="10"/>
        <v>0</v>
      </c>
      <c r="H193" s="140" t="str">
        <f t="shared" si="11"/>
        <v/>
      </c>
      <c r="J193" s="147" t="str">
        <f>IFERROR(SUMIFS(当年实际!$V:$V,当年实际!$J:$J,$C193,当年实际!$C:$C,"&gt;="&amp;DATE(YEAR(主页!$D$2),1,1),当年实际!$C:$C,"&lt;="&amp;EOMONTH(DATE(YEAR(主页!$D$2),MONTH(主页!$D$2),1),0))/SUMIFS(当年实际!$P:$P,当年实际!$J:$J,$C193,当年实际!$C:$C,"&gt;="&amp;DATE(YEAR(主页!$D$2),1,1),当年实际!$C:$C,"&lt;="&amp;EOMONTH(DATE(YEAR(主页!$D$2),MONTH(主页!$D$2),1),0)),"")</f>
        <v/>
      </c>
    </row>
    <row r="194" spans="1:10" x14ac:dyDescent="0.3">
      <c r="A194" s="129"/>
      <c r="B194" s="150"/>
      <c r="C194" s="150"/>
      <c r="D194" s="150"/>
      <c r="E194" s="140" t="str">
        <f t="shared" si="9"/>
        <v/>
      </c>
      <c r="F194" s="157"/>
      <c r="G194" s="145">
        <f t="shared" si="10"/>
        <v>0</v>
      </c>
      <c r="H194" s="140" t="str">
        <f t="shared" si="11"/>
        <v/>
      </c>
      <c r="J194" s="147" t="str">
        <f>IFERROR(SUMIFS(当年实际!$V:$V,当年实际!$J:$J,$C194,当年实际!$C:$C,"&gt;="&amp;DATE(YEAR(主页!$D$2),1,1),当年实际!$C:$C,"&lt;="&amp;EOMONTH(DATE(YEAR(主页!$D$2),MONTH(主页!$D$2),1),0))/SUMIFS(当年实际!$P:$P,当年实际!$J:$J,$C194,当年实际!$C:$C,"&gt;="&amp;DATE(YEAR(主页!$D$2),1,1),当年实际!$C:$C,"&lt;="&amp;EOMONTH(DATE(YEAR(主页!$D$2),MONTH(主页!$D$2),1),0)),"")</f>
        <v/>
      </c>
    </row>
    <row r="195" spans="1:10" x14ac:dyDescent="0.3">
      <c r="A195" s="129"/>
      <c r="B195" s="150"/>
      <c r="C195" s="150"/>
      <c r="D195" s="150"/>
      <c r="E195" s="140" t="str">
        <f t="shared" si="9"/>
        <v/>
      </c>
      <c r="F195" s="157"/>
      <c r="G195" s="145">
        <f t="shared" si="10"/>
        <v>0</v>
      </c>
      <c r="H195" s="140" t="str">
        <f t="shared" si="11"/>
        <v/>
      </c>
      <c r="J195" s="147" t="str">
        <f>IFERROR(SUMIFS(当年实际!$V:$V,当年实际!$J:$J,$C195,当年实际!$C:$C,"&gt;="&amp;DATE(YEAR(主页!$D$2),1,1),当年实际!$C:$C,"&lt;="&amp;EOMONTH(DATE(YEAR(主页!$D$2),MONTH(主页!$D$2),1),0))/SUMIFS(当年实际!$P:$P,当年实际!$J:$J,$C195,当年实际!$C:$C,"&gt;="&amp;DATE(YEAR(主页!$D$2),1,1),当年实际!$C:$C,"&lt;="&amp;EOMONTH(DATE(YEAR(主页!$D$2),MONTH(主页!$D$2),1),0)),"")</f>
        <v/>
      </c>
    </row>
    <row r="196" spans="1:10" x14ac:dyDescent="0.3">
      <c r="A196" s="129"/>
      <c r="B196" s="150"/>
      <c r="C196" s="150"/>
      <c r="D196" s="150"/>
      <c r="E196" s="140" t="str">
        <f t="shared" ref="E196:E259" si="12">IF(D196/SUM(D:D)=0,"",D196/SUM(D:D))</f>
        <v/>
      </c>
      <c r="F196" s="157"/>
      <c r="G196" s="145">
        <f t="shared" si="10"/>
        <v>0</v>
      </c>
      <c r="H196" s="140" t="str">
        <f t="shared" si="11"/>
        <v/>
      </c>
      <c r="J196" s="147" t="str">
        <f>IFERROR(SUMIFS(当年实际!$V:$V,当年实际!$J:$J,$C196,当年实际!$C:$C,"&gt;="&amp;DATE(YEAR(主页!$D$2),1,1),当年实际!$C:$C,"&lt;="&amp;EOMONTH(DATE(YEAR(主页!$D$2),MONTH(主页!$D$2),1),0))/SUMIFS(当年实际!$P:$P,当年实际!$J:$J,$C196,当年实际!$C:$C,"&gt;="&amp;DATE(YEAR(主页!$D$2),1,1),当年实际!$C:$C,"&lt;="&amp;EOMONTH(DATE(YEAR(主页!$D$2),MONTH(主页!$D$2),1),0)),"")</f>
        <v/>
      </c>
    </row>
    <row r="197" spans="1:10" x14ac:dyDescent="0.3">
      <c r="A197" s="129"/>
      <c r="B197" s="150"/>
      <c r="C197" s="150"/>
      <c r="D197" s="150"/>
      <c r="E197" s="140" t="str">
        <f t="shared" si="12"/>
        <v/>
      </c>
      <c r="F197" s="157"/>
      <c r="G197" s="145">
        <f t="shared" si="10"/>
        <v>0</v>
      </c>
      <c r="H197" s="140" t="str">
        <f t="shared" si="11"/>
        <v/>
      </c>
      <c r="J197" s="147" t="str">
        <f>IFERROR(SUMIFS(当年实际!$V:$V,当年实际!$J:$J,$C197,当年实际!$C:$C,"&gt;="&amp;DATE(YEAR(主页!$D$2),1,1),当年实际!$C:$C,"&lt;="&amp;EOMONTH(DATE(YEAR(主页!$D$2),MONTH(主页!$D$2),1),0))/SUMIFS(当年实际!$P:$P,当年实际!$J:$J,$C197,当年实际!$C:$C,"&gt;="&amp;DATE(YEAR(主页!$D$2),1,1),当年实际!$C:$C,"&lt;="&amp;EOMONTH(DATE(YEAR(主页!$D$2),MONTH(主页!$D$2),1),0)),"")</f>
        <v/>
      </c>
    </row>
    <row r="198" spans="1:10" x14ac:dyDescent="0.3">
      <c r="A198" s="129"/>
      <c r="B198" s="150"/>
      <c r="C198" s="150"/>
      <c r="D198" s="150"/>
      <c r="E198" s="140" t="str">
        <f t="shared" si="12"/>
        <v/>
      </c>
      <c r="F198" s="157"/>
      <c r="G198" s="145">
        <f t="shared" si="10"/>
        <v>0</v>
      </c>
      <c r="H198" s="140" t="str">
        <f t="shared" si="11"/>
        <v/>
      </c>
      <c r="J198" s="147" t="str">
        <f>IFERROR(SUMIFS(当年实际!$V:$V,当年实际!$J:$J,$C198,当年实际!$C:$C,"&gt;="&amp;DATE(YEAR(主页!$D$2),1,1),当年实际!$C:$C,"&lt;="&amp;EOMONTH(DATE(YEAR(主页!$D$2),MONTH(主页!$D$2),1),0))/SUMIFS(当年实际!$P:$P,当年实际!$J:$J,$C198,当年实际!$C:$C,"&gt;="&amp;DATE(YEAR(主页!$D$2),1,1),当年实际!$C:$C,"&lt;="&amp;EOMONTH(DATE(YEAR(主页!$D$2),MONTH(主页!$D$2),1),0)),"")</f>
        <v/>
      </c>
    </row>
    <row r="199" spans="1:10" x14ac:dyDescent="0.3">
      <c r="A199" s="129"/>
      <c r="B199" s="150"/>
      <c r="C199" s="150"/>
      <c r="D199" s="150"/>
      <c r="E199" s="140" t="str">
        <f t="shared" si="12"/>
        <v/>
      </c>
      <c r="F199" s="157"/>
      <c r="G199" s="145">
        <f t="shared" si="10"/>
        <v>0</v>
      </c>
      <c r="H199" s="140" t="str">
        <f t="shared" si="11"/>
        <v/>
      </c>
      <c r="J199" s="147" t="str">
        <f>IFERROR(SUMIFS(当年实际!$V:$V,当年实际!$J:$J,$C199,当年实际!$C:$C,"&gt;="&amp;DATE(YEAR(主页!$D$2),1,1),当年实际!$C:$C,"&lt;="&amp;EOMONTH(DATE(YEAR(主页!$D$2),MONTH(主页!$D$2),1),0))/SUMIFS(当年实际!$P:$P,当年实际!$J:$J,$C199,当年实际!$C:$C,"&gt;="&amp;DATE(YEAR(主页!$D$2),1,1),当年实际!$C:$C,"&lt;="&amp;EOMONTH(DATE(YEAR(主页!$D$2),MONTH(主页!$D$2),1),0)),"")</f>
        <v/>
      </c>
    </row>
    <row r="200" spans="1:10" x14ac:dyDescent="0.3">
      <c r="A200" s="129"/>
      <c r="B200" s="150"/>
      <c r="C200" s="150"/>
      <c r="D200" s="150"/>
      <c r="E200" s="140" t="str">
        <f t="shared" si="12"/>
        <v/>
      </c>
      <c r="F200" s="157"/>
      <c r="G200" s="145">
        <f t="shared" si="10"/>
        <v>0</v>
      </c>
      <c r="H200" s="140" t="str">
        <f t="shared" si="11"/>
        <v/>
      </c>
      <c r="J200" s="147" t="str">
        <f>IFERROR(SUMIFS(当年实际!$V:$V,当年实际!$J:$J,$C200,当年实际!$C:$C,"&gt;="&amp;DATE(YEAR(主页!$D$2),1,1),当年实际!$C:$C,"&lt;="&amp;EOMONTH(DATE(YEAR(主页!$D$2),MONTH(主页!$D$2),1),0))/SUMIFS(当年实际!$P:$P,当年实际!$J:$J,$C200,当年实际!$C:$C,"&gt;="&amp;DATE(YEAR(主页!$D$2),1,1),当年实际!$C:$C,"&lt;="&amp;EOMONTH(DATE(YEAR(主页!$D$2),MONTH(主页!$D$2),1),0)),"")</f>
        <v/>
      </c>
    </row>
    <row r="201" spans="1:10" x14ac:dyDescent="0.3">
      <c r="A201" s="129"/>
      <c r="B201" s="150"/>
      <c r="C201" s="150"/>
      <c r="D201" s="150"/>
      <c r="E201" s="140" t="str">
        <f t="shared" si="12"/>
        <v/>
      </c>
      <c r="F201" s="157"/>
      <c r="G201" s="145">
        <f t="shared" si="10"/>
        <v>0</v>
      </c>
      <c r="H201" s="140" t="str">
        <f t="shared" si="11"/>
        <v/>
      </c>
      <c r="J201" s="147" t="str">
        <f>IFERROR(SUMIFS(当年实际!$V:$V,当年实际!$J:$J,$C201,当年实际!$C:$C,"&gt;="&amp;DATE(YEAR(主页!$D$2),1,1),当年实际!$C:$C,"&lt;="&amp;EOMONTH(DATE(YEAR(主页!$D$2),MONTH(主页!$D$2),1),0))/SUMIFS(当年实际!$P:$P,当年实际!$J:$J,$C201,当年实际!$C:$C,"&gt;="&amp;DATE(YEAR(主页!$D$2),1,1),当年实际!$C:$C,"&lt;="&amp;EOMONTH(DATE(YEAR(主页!$D$2),MONTH(主页!$D$2),1),0)),"")</f>
        <v/>
      </c>
    </row>
    <row r="202" spans="1:10" x14ac:dyDescent="0.3">
      <c r="A202" s="129"/>
      <c r="B202" s="150"/>
      <c r="C202" s="150"/>
      <c r="D202" s="150"/>
      <c r="E202" s="140" t="str">
        <f t="shared" si="12"/>
        <v/>
      </c>
      <c r="F202" s="157"/>
      <c r="G202" s="145">
        <f t="shared" si="10"/>
        <v>0</v>
      </c>
      <c r="H202" s="140" t="str">
        <f t="shared" si="11"/>
        <v/>
      </c>
      <c r="J202" s="147" t="str">
        <f>IFERROR(SUMIFS(当年实际!$V:$V,当年实际!$J:$J,$C202,当年实际!$C:$C,"&gt;="&amp;DATE(YEAR(主页!$D$2),1,1),当年实际!$C:$C,"&lt;="&amp;EOMONTH(DATE(YEAR(主页!$D$2),MONTH(主页!$D$2),1),0))/SUMIFS(当年实际!$P:$P,当年实际!$J:$J,$C202,当年实际!$C:$C,"&gt;="&amp;DATE(YEAR(主页!$D$2),1,1),当年实际!$C:$C,"&lt;="&amp;EOMONTH(DATE(YEAR(主页!$D$2),MONTH(主页!$D$2),1),0)),"")</f>
        <v/>
      </c>
    </row>
    <row r="203" spans="1:10" x14ac:dyDescent="0.3">
      <c r="A203" s="129"/>
      <c r="B203" s="150"/>
      <c r="C203" s="150"/>
      <c r="D203" s="150"/>
      <c r="E203" s="140" t="str">
        <f t="shared" si="12"/>
        <v/>
      </c>
      <c r="F203" s="157"/>
      <c r="G203" s="145">
        <f t="shared" si="10"/>
        <v>0</v>
      </c>
      <c r="H203" s="140" t="str">
        <f t="shared" si="11"/>
        <v/>
      </c>
      <c r="J203" s="147" t="str">
        <f>IFERROR(SUMIFS(当年实际!$V:$V,当年实际!$J:$J,$C203,当年实际!$C:$C,"&gt;="&amp;DATE(YEAR(主页!$D$2),1,1),当年实际!$C:$C,"&lt;="&amp;EOMONTH(DATE(YEAR(主页!$D$2),MONTH(主页!$D$2),1),0))/SUMIFS(当年实际!$P:$P,当年实际!$J:$J,$C203,当年实际!$C:$C,"&gt;="&amp;DATE(YEAR(主页!$D$2),1,1),当年实际!$C:$C,"&lt;="&amp;EOMONTH(DATE(YEAR(主页!$D$2),MONTH(主页!$D$2),1),0)),"")</f>
        <v/>
      </c>
    </row>
    <row r="204" spans="1:10" x14ac:dyDescent="0.3">
      <c r="A204" s="129"/>
      <c r="B204" s="150"/>
      <c r="C204" s="150"/>
      <c r="D204" s="150"/>
      <c r="E204" s="140" t="str">
        <f t="shared" si="12"/>
        <v/>
      </c>
      <c r="F204" s="157"/>
      <c r="G204" s="145">
        <f t="shared" si="10"/>
        <v>0</v>
      </c>
      <c r="H204" s="140" t="str">
        <f t="shared" si="11"/>
        <v/>
      </c>
      <c r="J204" s="147" t="str">
        <f>IFERROR(SUMIFS(当年实际!$V:$V,当年实际!$J:$J,$C204,当年实际!$C:$C,"&gt;="&amp;DATE(YEAR(主页!$D$2),1,1),当年实际!$C:$C,"&lt;="&amp;EOMONTH(DATE(YEAR(主页!$D$2),MONTH(主页!$D$2),1),0))/SUMIFS(当年实际!$P:$P,当年实际!$J:$J,$C204,当年实际!$C:$C,"&gt;="&amp;DATE(YEAR(主页!$D$2),1,1),当年实际!$C:$C,"&lt;="&amp;EOMONTH(DATE(YEAR(主页!$D$2),MONTH(主页!$D$2),1),0)),"")</f>
        <v/>
      </c>
    </row>
    <row r="205" spans="1:10" x14ac:dyDescent="0.3">
      <c r="A205" s="129"/>
      <c r="B205" s="150"/>
      <c r="C205" s="150"/>
      <c r="D205" s="150"/>
      <c r="E205" s="140" t="str">
        <f t="shared" si="12"/>
        <v/>
      </c>
      <c r="F205" s="157"/>
      <c r="G205" s="145">
        <f t="shared" si="10"/>
        <v>0</v>
      </c>
      <c r="H205" s="140" t="str">
        <f t="shared" si="11"/>
        <v/>
      </c>
      <c r="J205" s="147" t="str">
        <f>IFERROR(SUMIFS(当年实际!$V:$V,当年实际!$J:$J,$C205,当年实际!$C:$C,"&gt;="&amp;DATE(YEAR(主页!$D$2),1,1),当年实际!$C:$C,"&lt;="&amp;EOMONTH(DATE(YEAR(主页!$D$2),MONTH(主页!$D$2),1),0))/SUMIFS(当年实际!$P:$P,当年实际!$J:$J,$C205,当年实际!$C:$C,"&gt;="&amp;DATE(YEAR(主页!$D$2),1,1),当年实际!$C:$C,"&lt;="&amp;EOMONTH(DATE(YEAR(主页!$D$2),MONTH(主页!$D$2),1),0)),"")</f>
        <v/>
      </c>
    </row>
    <row r="206" spans="1:10" x14ac:dyDescent="0.3">
      <c r="A206" s="129"/>
      <c r="B206" s="150"/>
      <c r="C206" s="150"/>
      <c r="D206" s="150"/>
      <c r="E206" s="140" t="str">
        <f t="shared" si="12"/>
        <v/>
      </c>
      <c r="F206" s="157"/>
      <c r="G206" s="145">
        <f t="shared" si="10"/>
        <v>0</v>
      </c>
      <c r="H206" s="140" t="str">
        <f t="shared" si="11"/>
        <v/>
      </c>
      <c r="J206" s="147" t="str">
        <f>IFERROR(SUMIFS(当年实际!$V:$V,当年实际!$J:$J,$C206,当年实际!$C:$C,"&gt;="&amp;DATE(YEAR(主页!$D$2),1,1),当年实际!$C:$C,"&lt;="&amp;EOMONTH(DATE(YEAR(主页!$D$2),MONTH(主页!$D$2),1),0))/SUMIFS(当年实际!$P:$P,当年实际!$J:$J,$C206,当年实际!$C:$C,"&gt;="&amp;DATE(YEAR(主页!$D$2),1,1),当年实际!$C:$C,"&lt;="&amp;EOMONTH(DATE(YEAR(主页!$D$2),MONTH(主页!$D$2),1),0)),"")</f>
        <v/>
      </c>
    </row>
    <row r="207" spans="1:10" x14ac:dyDescent="0.3">
      <c r="A207" s="129"/>
      <c r="B207" s="150"/>
      <c r="C207" s="150"/>
      <c r="D207" s="150"/>
      <c r="E207" s="140" t="str">
        <f t="shared" si="12"/>
        <v/>
      </c>
      <c r="F207" s="157"/>
      <c r="G207" s="145">
        <f t="shared" si="10"/>
        <v>0</v>
      </c>
      <c r="H207" s="140" t="str">
        <f t="shared" si="11"/>
        <v/>
      </c>
      <c r="J207" s="147" t="str">
        <f>IFERROR(SUMIFS(当年实际!$V:$V,当年实际!$J:$J,$C207,当年实际!$C:$C,"&gt;="&amp;DATE(YEAR(主页!$D$2),1,1),当年实际!$C:$C,"&lt;="&amp;EOMONTH(DATE(YEAR(主页!$D$2),MONTH(主页!$D$2),1),0))/SUMIFS(当年实际!$P:$P,当年实际!$J:$J,$C207,当年实际!$C:$C,"&gt;="&amp;DATE(YEAR(主页!$D$2),1,1),当年实际!$C:$C,"&lt;="&amp;EOMONTH(DATE(YEAR(主页!$D$2),MONTH(主页!$D$2),1),0)),"")</f>
        <v/>
      </c>
    </row>
    <row r="208" spans="1:10" x14ac:dyDescent="0.3">
      <c r="A208" s="129"/>
      <c r="B208" s="150"/>
      <c r="C208" s="150"/>
      <c r="D208" s="150"/>
      <c r="E208" s="140" t="str">
        <f t="shared" si="12"/>
        <v/>
      </c>
      <c r="F208" s="157"/>
      <c r="G208" s="145">
        <f t="shared" si="10"/>
        <v>0</v>
      </c>
      <c r="H208" s="140" t="str">
        <f t="shared" si="11"/>
        <v/>
      </c>
      <c r="J208" s="147" t="str">
        <f>IFERROR(SUMIFS(当年实际!$V:$V,当年实际!$J:$J,$C208,当年实际!$C:$C,"&gt;="&amp;DATE(YEAR(主页!$D$2),1,1),当年实际!$C:$C,"&lt;="&amp;EOMONTH(DATE(YEAR(主页!$D$2),MONTH(主页!$D$2),1),0))/SUMIFS(当年实际!$P:$P,当年实际!$J:$J,$C208,当年实际!$C:$C,"&gt;="&amp;DATE(YEAR(主页!$D$2),1,1),当年实际!$C:$C,"&lt;="&amp;EOMONTH(DATE(YEAR(主页!$D$2),MONTH(主页!$D$2),1),0)),"")</f>
        <v/>
      </c>
    </row>
    <row r="209" spans="1:10" x14ac:dyDescent="0.3">
      <c r="A209" s="129"/>
      <c r="B209" s="150"/>
      <c r="C209" s="150"/>
      <c r="D209" s="150"/>
      <c r="E209" s="140" t="str">
        <f t="shared" si="12"/>
        <v/>
      </c>
      <c r="F209" s="157"/>
      <c r="G209" s="145">
        <f t="shared" si="10"/>
        <v>0</v>
      </c>
      <c r="H209" s="140" t="str">
        <f t="shared" si="11"/>
        <v/>
      </c>
      <c r="J209" s="147" t="str">
        <f>IFERROR(SUMIFS(当年实际!$V:$V,当年实际!$J:$J,$C209,当年实际!$C:$C,"&gt;="&amp;DATE(YEAR(主页!$D$2),1,1),当年实际!$C:$C,"&lt;="&amp;EOMONTH(DATE(YEAR(主页!$D$2),MONTH(主页!$D$2),1),0))/SUMIFS(当年实际!$P:$P,当年实际!$J:$J,$C209,当年实际!$C:$C,"&gt;="&amp;DATE(YEAR(主页!$D$2),1,1),当年实际!$C:$C,"&lt;="&amp;EOMONTH(DATE(YEAR(主页!$D$2),MONTH(主页!$D$2),1),0)),"")</f>
        <v/>
      </c>
    </row>
    <row r="210" spans="1:10" x14ac:dyDescent="0.3">
      <c r="A210" s="129"/>
      <c r="B210" s="150"/>
      <c r="C210" s="150"/>
      <c r="D210" s="150"/>
      <c r="E210" s="140" t="str">
        <f t="shared" si="12"/>
        <v/>
      </c>
      <c r="F210" s="157"/>
      <c r="G210" s="145">
        <f t="shared" si="10"/>
        <v>0</v>
      </c>
      <c r="H210" s="140" t="str">
        <f t="shared" si="11"/>
        <v/>
      </c>
      <c r="J210" s="147" t="str">
        <f>IFERROR(SUMIFS(当年实际!$V:$V,当年实际!$J:$J,$C210,当年实际!$C:$C,"&gt;="&amp;DATE(YEAR(主页!$D$2),1,1),当年实际!$C:$C,"&lt;="&amp;EOMONTH(DATE(YEAR(主页!$D$2),MONTH(主页!$D$2),1),0))/SUMIFS(当年实际!$P:$P,当年实际!$J:$J,$C210,当年实际!$C:$C,"&gt;="&amp;DATE(YEAR(主页!$D$2),1,1),当年实际!$C:$C,"&lt;="&amp;EOMONTH(DATE(YEAR(主页!$D$2),MONTH(主页!$D$2),1),0)),"")</f>
        <v/>
      </c>
    </row>
    <row r="211" spans="1:10" x14ac:dyDescent="0.3">
      <c r="A211" s="129"/>
      <c r="B211" s="150"/>
      <c r="C211" s="150"/>
      <c r="D211" s="150"/>
      <c r="E211" s="140" t="str">
        <f t="shared" si="12"/>
        <v/>
      </c>
      <c r="F211" s="157"/>
      <c r="G211" s="145">
        <f t="shared" si="10"/>
        <v>0</v>
      </c>
      <c r="H211" s="140" t="str">
        <f t="shared" si="11"/>
        <v/>
      </c>
      <c r="J211" s="147" t="str">
        <f>IFERROR(SUMIFS(当年实际!$V:$V,当年实际!$J:$J,$C211,当年实际!$C:$C,"&gt;="&amp;DATE(YEAR(主页!$D$2),1,1),当年实际!$C:$C,"&lt;="&amp;EOMONTH(DATE(YEAR(主页!$D$2),MONTH(主页!$D$2),1),0))/SUMIFS(当年实际!$P:$P,当年实际!$J:$J,$C211,当年实际!$C:$C,"&gt;="&amp;DATE(YEAR(主页!$D$2),1,1),当年实际!$C:$C,"&lt;="&amp;EOMONTH(DATE(YEAR(主页!$D$2),MONTH(主页!$D$2),1),0)),"")</f>
        <v/>
      </c>
    </row>
    <row r="212" spans="1:10" x14ac:dyDescent="0.3">
      <c r="A212" s="129"/>
      <c r="B212" s="150"/>
      <c r="C212" s="150"/>
      <c r="D212" s="150"/>
      <c r="E212" s="140" t="str">
        <f t="shared" si="12"/>
        <v/>
      </c>
      <c r="F212" s="157"/>
      <c r="G212" s="145">
        <f t="shared" si="10"/>
        <v>0</v>
      </c>
      <c r="H212" s="140" t="str">
        <f t="shared" si="11"/>
        <v/>
      </c>
      <c r="J212" s="147" t="str">
        <f>IFERROR(SUMIFS(当年实际!$V:$V,当年实际!$J:$J,$C212,当年实际!$C:$C,"&gt;="&amp;DATE(YEAR(主页!$D$2),1,1),当年实际!$C:$C,"&lt;="&amp;EOMONTH(DATE(YEAR(主页!$D$2),MONTH(主页!$D$2),1),0))/SUMIFS(当年实际!$P:$P,当年实际!$J:$J,$C212,当年实际!$C:$C,"&gt;="&amp;DATE(YEAR(主页!$D$2),1,1),当年实际!$C:$C,"&lt;="&amp;EOMONTH(DATE(YEAR(主页!$D$2),MONTH(主页!$D$2),1),0)),"")</f>
        <v/>
      </c>
    </row>
    <row r="213" spans="1:10" x14ac:dyDescent="0.3">
      <c r="A213" s="129"/>
      <c r="B213" s="150"/>
      <c r="C213" s="150"/>
      <c r="D213" s="150"/>
      <c r="E213" s="140" t="str">
        <f t="shared" si="12"/>
        <v/>
      </c>
      <c r="F213" s="157"/>
      <c r="G213" s="145">
        <f t="shared" si="10"/>
        <v>0</v>
      </c>
      <c r="H213" s="140" t="str">
        <f t="shared" si="11"/>
        <v/>
      </c>
      <c r="J213" s="147" t="str">
        <f>IFERROR(SUMIFS(当年实际!$V:$V,当年实际!$J:$J,$C213,当年实际!$C:$C,"&gt;="&amp;DATE(YEAR(主页!$D$2),1,1),当年实际!$C:$C,"&lt;="&amp;EOMONTH(DATE(YEAR(主页!$D$2),MONTH(主页!$D$2),1),0))/SUMIFS(当年实际!$P:$P,当年实际!$J:$J,$C213,当年实际!$C:$C,"&gt;="&amp;DATE(YEAR(主页!$D$2),1,1),当年实际!$C:$C,"&lt;="&amp;EOMONTH(DATE(YEAR(主页!$D$2),MONTH(主页!$D$2),1),0)),"")</f>
        <v/>
      </c>
    </row>
    <row r="214" spans="1:10" x14ac:dyDescent="0.3">
      <c r="A214" s="129"/>
      <c r="B214" s="150"/>
      <c r="C214" s="150"/>
      <c r="D214" s="150"/>
      <c r="E214" s="140" t="str">
        <f t="shared" si="12"/>
        <v/>
      </c>
      <c r="F214" s="157"/>
      <c r="G214" s="145">
        <f t="shared" si="10"/>
        <v>0</v>
      </c>
      <c r="H214" s="140" t="str">
        <f t="shared" si="11"/>
        <v/>
      </c>
      <c r="J214" s="147" t="str">
        <f>IFERROR(SUMIFS(当年实际!$V:$V,当年实际!$J:$J,$C214,当年实际!$C:$C,"&gt;="&amp;DATE(YEAR(主页!$D$2),1,1),当年实际!$C:$C,"&lt;="&amp;EOMONTH(DATE(YEAR(主页!$D$2),MONTH(主页!$D$2),1),0))/SUMIFS(当年实际!$P:$P,当年实际!$J:$J,$C214,当年实际!$C:$C,"&gt;="&amp;DATE(YEAR(主页!$D$2),1,1),当年实际!$C:$C,"&lt;="&amp;EOMONTH(DATE(YEAR(主页!$D$2),MONTH(主页!$D$2),1),0)),"")</f>
        <v/>
      </c>
    </row>
    <row r="215" spans="1:10" x14ac:dyDescent="0.3">
      <c r="A215" s="129"/>
      <c r="B215" s="150"/>
      <c r="C215" s="150"/>
      <c r="D215" s="150"/>
      <c r="E215" s="140" t="str">
        <f t="shared" si="12"/>
        <v/>
      </c>
      <c r="F215" s="157"/>
      <c r="G215" s="145">
        <f t="shared" si="10"/>
        <v>0</v>
      </c>
      <c r="H215" s="140" t="str">
        <f t="shared" si="11"/>
        <v/>
      </c>
      <c r="J215" s="147" t="str">
        <f>IFERROR(SUMIFS(当年实际!$V:$V,当年实际!$J:$J,$C215,当年实际!$C:$C,"&gt;="&amp;DATE(YEAR(主页!$D$2),1,1),当年实际!$C:$C,"&lt;="&amp;EOMONTH(DATE(YEAR(主页!$D$2),MONTH(主页!$D$2),1),0))/SUMIFS(当年实际!$P:$P,当年实际!$J:$J,$C215,当年实际!$C:$C,"&gt;="&amp;DATE(YEAR(主页!$D$2),1,1),当年实际!$C:$C,"&lt;="&amp;EOMONTH(DATE(YEAR(主页!$D$2),MONTH(主页!$D$2),1),0)),"")</f>
        <v/>
      </c>
    </row>
    <row r="216" spans="1:10" x14ac:dyDescent="0.3">
      <c r="A216" s="129"/>
      <c r="B216" s="150"/>
      <c r="C216" s="150"/>
      <c r="D216" s="150"/>
      <c r="E216" s="140" t="str">
        <f t="shared" si="12"/>
        <v/>
      </c>
      <c r="F216" s="157"/>
      <c r="G216" s="145">
        <f t="shared" si="10"/>
        <v>0</v>
      </c>
      <c r="H216" s="140" t="str">
        <f t="shared" si="11"/>
        <v/>
      </c>
      <c r="J216" s="147" t="str">
        <f>IFERROR(SUMIFS(当年实际!$V:$V,当年实际!$J:$J,$C216,当年实际!$C:$C,"&gt;="&amp;DATE(YEAR(主页!$D$2),1,1),当年实际!$C:$C,"&lt;="&amp;EOMONTH(DATE(YEAR(主页!$D$2),MONTH(主页!$D$2),1),0))/SUMIFS(当年实际!$P:$P,当年实际!$J:$J,$C216,当年实际!$C:$C,"&gt;="&amp;DATE(YEAR(主页!$D$2),1,1),当年实际!$C:$C,"&lt;="&amp;EOMONTH(DATE(YEAR(主页!$D$2),MONTH(主页!$D$2),1),0)),"")</f>
        <v/>
      </c>
    </row>
    <row r="217" spans="1:10" x14ac:dyDescent="0.3">
      <c r="A217" s="129"/>
      <c r="B217" s="150"/>
      <c r="C217" s="150"/>
      <c r="D217" s="150"/>
      <c r="E217" s="140" t="str">
        <f t="shared" si="12"/>
        <v/>
      </c>
      <c r="F217" s="157"/>
      <c r="G217" s="145">
        <f t="shared" si="10"/>
        <v>0</v>
      </c>
      <c r="H217" s="140" t="str">
        <f t="shared" si="11"/>
        <v/>
      </c>
      <c r="J217" s="147" t="str">
        <f>IFERROR(SUMIFS(当年实际!$V:$V,当年实际!$J:$J,$C217,当年实际!$C:$C,"&gt;="&amp;DATE(YEAR(主页!$D$2),1,1),当年实际!$C:$C,"&lt;="&amp;EOMONTH(DATE(YEAR(主页!$D$2),MONTH(主页!$D$2),1),0))/SUMIFS(当年实际!$P:$P,当年实际!$J:$J,$C217,当年实际!$C:$C,"&gt;="&amp;DATE(YEAR(主页!$D$2),1,1),当年实际!$C:$C,"&lt;="&amp;EOMONTH(DATE(YEAR(主页!$D$2),MONTH(主页!$D$2),1),0)),"")</f>
        <v/>
      </c>
    </row>
    <row r="218" spans="1:10" x14ac:dyDescent="0.3">
      <c r="A218" s="129"/>
      <c r="B218" s="150"/>
      <c r="C218" s="150"/>
      <c r="D218" s="150"/>
      <c r="E218" s="140" t="str">
        <f t="shared" si="12"/>
        <v/>
      </c>
      <c r="F218" s="157"/>
      <c r="G218" s="145">
        <f t="shared" si="10"/>
        <v>0</v>
      </c>
      <c r="H218" s="140" t="str">
        <f t="shared" si="11"/>
        <v/>
      </c>
      <c r="J218" s="147" t="str">
        <f>IFERROR(SUMIFS(当年实际!$V:$V,当年实际!$J:$J,$C218,当年实际!$C:$C,"&gt;="&amp;DATE(YEAR(主页!$D$2),1,1),当年实际!$C:$C,"&lt;="&amp;EOMONTH(DATE(YEAR(主页!$D$2),MONTH(主页!$D$2),1),0))/SUMIFS(当年实际!$P:$P,当年实际!$J:$J,$C218,当年实际!$C:$C,"&gt;="&amp;DATE(YEAR(主页!$D$2),1,1),当年实际!$C:$C,"&lt;="&amp;EOMONTH(DATE(YEAR(主页!$D$2),MONTH(主页!$D$2),1),0)),"")</f>
        <v/>
      </c>
    </row>
    <row r="219" spans="1:10" x14ac:dyDescent="0.3">
      <c r="A219" s="129"/>
      <c r="B219" s="150"/>
      <c r="C219" s="150"/>
      <c r="D219" s="150"/>
      <c r="E219" s="140" t="str">
        <f t="shared" si="12"/>
        <v/>
      </c>
      <c r="F219" s="157"/>
      <c r="G219" s="145">
        <f t="shared" si="10"/>
        <v>0</v>
      </c>
      <c r="H219" s="140" t="str">
        <f t="shared" si="11"/>
        <v/>
      </c>
      <c r="J219" s="147" t="str">
        <f>IFERROR(SUMIFS(当年实际!$V:$V,当年实际!$J:$J,$C219,当年实际!$C:$C,"&gt;="&amp;DATE(YEAR(主页!$D$2),1,1),当年实际!$C:$C,"&lt;="&amp;EOMONTH(DATE(YEAR(主页!$D$2),MONTH(主页!$D$2),1),0))/SUMIFS(当年实际!$P:$P,当年实际!$J:$J,$C219,当年实际!$C:$C,"&gt;="&amp;DATE(YEAR(主页!$D$2),1,1),当年实际!$C:$C,"&lt;="&amp;EOMONTH(DATE(YEAR(主页!$D$2),MONTH(主页!$D$2),1),0)),"")</f>
        <v/>
      </c>
    </row>
    <row r="220" spans="1:10" x14ac:dyDescent="0.3">
      <c r="A220" s="129"/>
      <c r="B220" s="150"/>
      <c r="C220" s="150"/>
      <c r="D220" s="150"/>
      <c r="E220" s="140" t="str">
        <f t="shared" si="12"/>
        <v/>
      </c>
      <c r="F220" s="157"/>
      <c r="G220" s="145">
        <f t="shared" si="10"/>
        <v>0</v>
      </c>
      <c r="H220" s="140" t="str">
        <f t="shared" si="11"/>
        <v/>
      </c>
      <c r="J220" s="147" t="str">
        <f>IFERROR(SUMIFS(当年实际!$V:$V,当年实际!$J:$J,$C220,当年实际!$C:$C,"&gt;="&amp;DATE(YEAR(主页!$D$2),1,1),当年实际!$C:$C,"&lt;="&amp;EOMONTH(DATE(YEAR(主页!$D$2),MONTH(主页!$D$2),1),0))/SUMIFS(当年实际!$P:$P,当年实际!$J:$J,$C220,当年实际!$C:$C,"&gt;="&amp;DATE(YEAR(主页!$D$2),1,1),当年实际!$C:$C,"&lt;="&amp;EOMONTH(DATE(YEAR(主页!$D$2),MONTH(主页!$D$2),1),0)),"")</f>
        <v/>
      </c>
    </row>
    <row r="221" spans="1:10" x14ac:dyDescent="0.3">
      <c r="A221" s="129"/>
      <c r="B221" s="150"/>
      <c r="C221" s="150"/>
      <c r="D221" s="150"/>
      <c r="E221" s="140" t="str">
        <f t="shared" si="12"/>
        <v/>
      </c>
      <c r="F221" s="157"/>
      <c r="G221" s="145">
        <f t="shared" si="10"/>
        <v>0</v>
      </c>
      <c r="H221" s="140" t="str">
        <f t="shared" si="11"/>
        <v/>
      </c>
      <c r="J221" s="147" t="str">
        <f>IFERROR(SUMIFS(当年实际!$V:$V,当年实际!$J:$J,$C221,当年实际!$C:$C,"&gt;="&amp;DATE(YEAR(主页!$D$2),1,1),当年实际!$C:$C,"&lt;="&amp;EOMONTH(DATE(YEAR(主页!$D$2),MONTH(主页!$D$2),1),0))/SUMIFS(当年实际!$P:$P,当年实际!$J:$J,$C221,当年实际!$C:$C,"&gt;="&amp;DATE(YEAR(主页!$D$2),1,1),当年实际!$C:$C,"&lt;="&amp;EOMONTH(DATE(YEAR(主页!$D$2),MONTH(主页!$D$2),1),0)),"")</f>
        <v/>
      </c>
    </row>
    <row r="222" spans="1:10" x14ac:dyDescent="0.3">
      <c r="A222" s="129"/>
      <c r="B222" s="150"/>
      <c r="C222" s="150"/>
      <c r="D222" s="150"/>
      <c r="E222" s="140" t="str">
        <f t="shared" si="12"/>
        <v/>
      </c>
      <c r="F222" s="157"/>
      <c r="G222" s="145">
        <f t="shared" si="10"/>
        <v>0</v>
      </c>
      <c r="H222" s="140" t="str">
        <f t="shared" si="11"/>
        <v/>
      </c>
      <c r="J222" s="147" t="str">
        <f>IFERROR(SUMIFS(当年实际!$V:$V,当年实际!$J:$J,$C222,当年实际!$C:$C,"&gt;="&amp;DATE(YEAR(主页!$D$2),1,1),当年实际!$C:$C,"&lt;="&amp;EOMONTH(DATE(YEAR(主页!$D$2),MONTH(主页!$D$2),1),0))/SUMIFS(当年实际!$P:$P,当年实际!$J:$J,$C222,当年实际!$C:$C,"&gt;="&amp;DATE(YEAR(主页!$D$2),1,1),当年实际!$C:$C,"&lt;="&amp;EOMONTH(DATE(YEAR(主页!$D$2),MONTH(主页!$D$2),1),0)),"")</f>
        <v/>
      </c>
    </row>
    <row r="223" spans="1:10" x14ac:dyDescent="0.3">
      <c r="A223" s="129"/>
      <c r="B223" s="150"/>
      <c r="C223" s="150"/>
      <c r="D223" s="150"/>
      <c r="E223" s="140" t="str">
        <f t="shared" si="12"/>
        <v/>
      </c>
      <c r="F223" s="157"/>
      <c r="G223" s="145">
        <f t="shared" ref="G223:G286" si="13">D223*F223</f>
        <v>0</v>
      </c>
      <c r="H223" s="140" t="str">
        <f t="shared" ref="H223:H286" si="14">IF(G223/SUM(G:G)=0,"",G223/SUM(G:G))</f>
        <v/>
      </c>
      <c r="J223" s="147" t="str">
        <f>IFERROR(SUMIFS(当年实际!$V:$V,当年实际!$J:$J,$C223,当年实际!$C:$C,"&gt;="&amp;DATE(YEAR(主页!$D$2),1,1),当年实际!$C:$C,"&lt;="&amp;EOMONTH(DATE(YEAR(主页!$D$2),MONTH(主页!$D$2),1),0))/SUMIFS(当年实际!$P:$P,当年实际!$J:$J,$C223,当年实际!$C:$C,"&gt;="&amp;DATE(YEAR(主页!$D$2),1,1),当年实际!$C:$C,"&lt;="&amp;EOMONTH(DATE(YEAR(主页!$D$2),MONTH(主页!$D$2),1),0)),"")</f>
        <v/>
      </c>
    </row>
    <row r="224" spans="1:10" x14ac:dyDescent="0.3">
      <c r="A224" s="129"/>
      <c r="B224" s="150"/>
      <c r="C224" s="150"/>
      <c r="D224" s="150"/>
      <c r="E224" s="140" t="str">
        <f t="shared" si="12"/>
        <v/>
      </c>
      <c r="F224" s="157"/>
      <c r="G224" s="145">
        <f t="shared" si="13"/>
        <v>0</v>
      </c>
      <c r="H224" s="140" t="str">
        <f t="shared" si="14"/>
        <v/>
      </c>
      <c r="J224" s="147" t="str">
        <f>IFERROR(SUMIFS(当年实际!$V:$V,当年实际!$J:$J,$C224,当年实际!$C:$C,"&gt;="&amp;DATE(YEAR(主页!$D$2),1,1),当年实际!$C:$C,"&lt;="&amp;EOMONTH(DATE(YEAR(主页!$D$2),MONTH(主页!$D$2),1),0))/SUMIFS(当年实际!$P:$P,当年实际!$J:$J,$C224,当年实际!$C:$C,"&gt;="&amp;DATE(YEAR(主页!$D$2),1,1),当年实际!$C:$C,"&lt;="&amp;EOMONTH(DATE(YEAR(主页!$D$2),MONTH(主页!$D$2),1),0)),"")</f>
        <v/>
      </c>
    </row>
    <row r="225" spans="1:10" x14ac:dyDescent="0.3">
      <c r="A225" s="129"/>
      <c r="B225" s="150"/>
      <c r="C225" s="150"/>
      <c r="D225" s="150"/>
      <c r="E225" s="140" t="str">
        <f t="shared" si="12"/>
        <v/>
      </c>
      <c r="F225" s="157"/>
      <c r="G225" s="145">
        <f t="shared" si="13"/>
        <v>0</v>
      </c>
      <c r="H225" s="140" t="str">
        <f t="shared" si="14"/>
        <v/>
      </c>
      <c r="J225" s="147" t="str">
        <f>IFERROR(SUMIFS(当年实际!$V:$V,当年实际!$J:$J,$C225,当年实际!$C:$C,"&gt;="&amp;DATE(YEAR(主页!$D$2),1,1),当年实际!$C:$C,"&lt;="&amp;EOMONTH(DATE(YEAR(主页!$D$2),MONTH(主页!$D$2),1),0))/SUMIFS(当年实际!$P:$P,当年实际!$J:$J,$C225,当年实际!$C:$C,"&gt;="&amp;DATE(YEAR(主页!$D$2),1,1),当年实际!$C:$C,"&lt;="&amp;EOMONTH(DATE(YEAR(主页!$D$2),MONTH(主页!$D$2),1),0)),"")</f>
        <v/>
      </c>
    </row>
    <row r="226" spans="1:10" x14ac:dyDescent="0.3">
      <c r="A226" s="129"/>
      <c r="B226" s="150"/>
      <c r="C226" s="150"/>
      <c r="D226" s="150"/>
      <c r="E226" s="140" t="str">
        <f t="shared" si="12"/>
        <v/>
      </c>
      <c r="F226" s="157"/>
      <c r="G226" s="145">
        <f t="shared" si="13"/>
        <v>0</v>
      </c>
      <c r="H226" s="140" t="str">
        <f t="shared" si="14"/>
        <v/>
      </c>
      <c r="J226" s="147" t="str">
        <f>IFERROR(SUMIFS(当年实际!$V:$V,当年实际!$J:$J,$C226,当年实际!$C:$C,"&gt;="&amp;DATE(YEAR(主页!$D$2),1,1),当年实际!$C:$C,"&lt;="&amp;EOMONTH(DATE(YEAR(主页!$D$2),MONTH(主页!$D$2),1),0))/SUMIFS(当年实际!$P:$P,当年实际!$J:$J,$C226,当年实际!$C:$C,"&gt;="&amp;DATE(YEAR(主页!$D$2),1,1),当年实际!$C:$C,"&lt;="&amp;EOMONTH(DATE(YEAR(主页!$D$2),MONTH(主页!$D$2),1),0)),"")</f>
        <v/>
      </c>
    </row>
    <row r="227" spans="1:10" x14ac:dyDescent="0.3">
      <c r="A227" s="129"/>
      <c r="B227" s="150"/>
      <c r="C227" s="150"/>
      <c r="D227" s="150"/>
      <c r="E227" s="140" t="str">
        <f t="shared" si="12"/>
        <v/>
      </c>
      <c r="F227" s="157"/>
      <c r="G227" s="145">
        <f t="shared" si="13"/>
        <v>0</v>
      </c>
      <c r="H227" s="140" t="str">
        <f t="shared" si="14"/>
        <v/>
      </c>
      <c r="J227" s="147" t="str">
        <f>IFERROR(SUMIFS(当年实际!$V:$V,当年实际!$J:$J,$C227,当年实际!$C:$C,"&gt;="&amp;DATE(YEAR(主页!$D$2),1,1),当年实际!$C:$C,"&lt;="&amp;EOMONTH(DATE(YEAR(主页!$D$2),MONTH(主页!$D$2),1),0))/SUMIFS(当年实际!$P:$P,当年实际!$J:$J,$C227,当年实际!$C:$C,"&gt;="&amp;DATE(YEAR(主页!$D$2),1,1),当年实际!$C:$C,"&lt;="&amp;EOMONTH(DATE(YEAR(主页!$D$2),MONTH(主页!$D$2),1),0)),"")</f>
        <v/>
      </c>
    </row>
    <row r="228" spans="1:10" x14ac:dyDescent="0.3">
      <c r="A228" s="129"/>
      <c r="B228" s="150"/>
      <c r="C228" s="150"/>
      <c r="D228" s="150"/>
      <c r="E228" s="140" t="str">
        <f t="shared" si="12"/>
        <v/>
      </c>
      <c r="F228" s="157"/>
      <c r="G228" s="145">
        <f t="shared" si="13"/>
        <v>0</v>
      </c>
      <c r="H228" s="140" t="str">
        <f t="shared" si="14"/>
        <v/>
      </c>
      <c r="J228" s="147" t="str">
        <f>IFERROR(SUMIFS(当年实际!$V:$V,当年实际!$J:$J,$C228,当年实际!$C:$C,"&gt;="&amp;DATE(YEAR(主页!$D$2),1,1),当年实际!$C:$C,"&lt;="&amp;EOMONTH(DATE(YEAR(主页!$D$2),MONTH(主页!$D$2),1),0))/SUMIFS(当年实际!$P:$P,当年实际!$J:$J,$C228,当年实际!$C:$C,"&gt;="&amp;DATE(YEAR(主页!$D$2),1,1),当年实际!$C:$C,"&lt;="&amp;EOMONTH(DATE(YEAR(主页!$D$2),MONTH(主页!$D$2),1),0)),"")</f>
        <v/>
      </c>
    </row>
    <row r="229" spans="1:10" x14ac:dyDescent="0.3">
      <c r="A229" s="129"/>
      <c r="B229" s="150"/>
      <c r="C229" s="150"/>
      <c r="D229" s="150"/>
      <c r="E229" s="140" t="str">
        <f t="shared" si="12"/>
        <v/>
      </c>
      <c r="F229" s="157"/>
      <c r="G229" s="145">
        <f t="shared" si="13"/>
        <v>0</v>
      </c>
      <c r="H229" s="140" t="str">
        <f t="shared" si="14"/>
        <v/>
      </c>
      <c r="J229" s="147" t="str">
        <f>IFERROR(SUMIFS(当年实际!$V:$V,当年实际!$J:$J,$C229,当年实际!$C:$C,"&gt;="&amp;DATE(YEAR(主页!$D$2),1,1),当年实际!$C:$C,"&lt;="&amp;EOMONTH(DATE(YEAR(主页!$D$2),MONTH(主页!$D$2),1),0))/SUMIFS(当年实际!$P:$P,当年实际!$J:$J,$C229,当年实际!$C:$C,"&gt;="&amp;DATE(YEAR(主页!$D$2),1,1),当年实际!$C:$C,"&lt;="&amp;EOMONTH(DATE(YEAR(主页!$D$2),MONTH(主页!$D$2),1),0)),"")</f>
        <v/>
      </c>
    </row>
    <row r="230" spans="1:10" x14ac:dyDescent="0.3">
      <c r="A230" s="129"/>
      <c r="B230" s="150"/>
      <c r="C230" s="150"/>
      <c r="D230" s="150"/>
      <c r="E230" s="140" t="str">
        <f t="shared" si="12"/>
        <v/>
      </c>
      <c r="F230" s="157"/>
      <c r="G230" s="145">
        <f t="shared" si="13"/>
        <v>0</v>
      </c>
      <c r="H230" s="140" t="str">
        <f t="shared" si="14"/>
        <v/>
      </c>
      <c r="J230" s="147" t="str">
        <f>IFERROR(SUMIFS(当年实际!$V:$V,当年实际!$J:$J,$C230,当年实际!$C:$C,"&gt;="&amp;DATE(YEAR(主页!$D$2),1,1),当年实际!$C:$C,"&lt;="&amp;EOMONTH(DATE(YEAR(主页!$D$2),MONTH(主页!$D$2),1),0))/SUMIFS(当年实际!$P:$P,当年实际!$J:$J,$C230,当年实际!$C:$C,"&gt;="&amp;DATE(YEAR(主页!$D$2),1,1),当年实际!$C:$C,"&lt;="&amp;EOMONTH(DATE(YEAR(主页!$D$2),MONTH(主页!$D$2),1),0)),"")</f>
        <v/>
      </c>
    </row>
    <row r="231" spans="1:10" x14ac:dyDescent="0.3">
      <c r="A231" s="129"/>
      <c r="B231" s="150"/>
      <c r="C231" s="150"/>
      <c r="D231" s="150"/>
      <c r="E231" s="140" t="str">
        <f t="shared" si="12"/>
        <v/>
      </c>
      <c r="F231" s="157"/>
      <c r="G231" s="145">
        <f t="shared" si="13"/>
        <v>0</v>
      </c>
      <c r="H231" s="140" t="str">
        <f t="shared" si="14"/>
        <v/>
      </c>
      <c r="J231" s="147" t="str">
        <f>IFERROR(SUMIFS(当年实际!$V:$V,当年实际!$J:$J,$C231,当年实际!$C:$C,"&gt;="&amp;DATE(YEAR(主页!$D$2),1,1),当年实际!$C:$C,"&lt;="&amp;EOMONTH(DATE(YEAR(主页!$D$2),MONTH(主页!$D$2),1),0))/SUMIFS(当年实际!$P:$P,当年实际!$J:$J,$C231,当年实际!$C:$C,"&gt;="&amp;DATE(YEAR(主页!$D$2),1,1),当年实际!$C:$C,"&lt;="&amp;EOMONTH(DATE(YEAR(主页!$D$2),MONTH(主页!$D$2),1),0)),"")</f>
        <v/>
      </c>
    </row>
    <row r="232" spans="1:10" x14ac:dyDescent="0.3">
      <c r="A232" s="129"/>
      <c r="B232" s="150"/>
      <c r="C232" s="150"/>
      <c r="D232" s="150"/>
      <c r="E232" s="140" t="str">
        <f t="shared" si="12"/>
        <v/>
      </c>
      <c r="F232" s="157"/>
      <c r="G232" s="145">
        <f t="shared" si="13"/>
        <v>0</v>
      </c>
      <c r="H232" s="140" t="str">
        <f t="shared" si="14"/>
        <v/>
      </c>
      <c r="J232" s="147" t="str">
        <f>IFERROR(SUMIFS(当年实际!$V:$V,当年实际!$J:$J,$C232,当年实际!$C:$C,"&gt;="&amp;DATE(YEAR(主页!$D$2),1,1),当年实际!$C:$C,"&lt;="&amp;EOMONTH(DATE(YEAR(主页!$D$2),MONTH(主页!$D$2),1),0))/SUMIFS(当年实际!$P:$P,当年实际!$J:$J,$C232,当年实际!$C:$C,"&gt;="&amp;DATE(YEAR(主页!$D$2),1,1),当年实际!$C:$C,"&lt;="&amp;EOMONTH(DATE(YEAR(主页!$D$2),MONTH(主页!$D$2),1),0)),"")</f>
        <v/>
      </c>
    </row>
    <row r="233" spans="1:10" x14ac:dyDescent="0.3">
      <c r="A233" s="129"/>
      <c r="B233" s="150"/>
      <c r="C233" s="150"/>
      <c r="D233" s="150"/>
      <c r="E233" s="140" t="str">
        <f t="shared" si="12"/>
        <v/>
      </c>
      <c r="F233" s="157"/>
      <c r="G233" s="145">
        <f t="shared" si="13"/>
        <v>0</v>
      </c>
      <c r="H233" s="140" t="str">
        <f t="shared" si="14"/>
        <v/>
      </c>
      <c r="J233" s="147" t="str">
        <f>IFERROR(SUMIFS(当年实际!$V:$V,当年实际!$J:$J,$C233,当年实际!$C:$C,"&gt;="&amp;DATE(YEAR(主页!$D$2),1,1),当年实际!$C:$C,"&lt;="&amp;EOMONTH(DATE(YEAR(主页!$D$2),MONTH(主页!$D$2),1),0))/SUMIFS(当年实际!$P:$P,当年实际!$J:$J,$C233,当年实际!$C:$C,"&gt;="&amp;DATE(YEAR(主页!$D$2),1,1),当年实际!$C:$C,"&lt;="&amp;EOMONTH(DATE(YEAR(主页!$D$2),MONTH(主页!$D$2),1),0)),"")</f>
        <v/>
      </c>
    </row>
    <row r="234" spans="1:10" x14ac:dyDescent="0.3">
      <c r="A234" s="129"/>
      <c r="B234" s="150"/>
      <c r="C234" s="150"/>
      <c r="D234" s="150"/>
      <c r="E234" s="140" t="str">
        <f t="shared" si="12"/>
        <v/>
      </c>
      <c r="F234" s="157"/>
      <c r="G234" s="145">
        <f t="shared" si="13"/>
        <v>0</v>
      </c>
      <c r="H234" s="140" t="str">
        <f t="shared" si="14"/>
        <v/>
      </c>
      <c r="J234" s="147" t="str">
        <f>IFERROR(SUMIFS(当年实际!$V:$V,当年实际!$J:$J,$C234,当年实际!$C:$C,"&gt;="&amp;DATE(YEAR(主页!$D$2),1,1),当年实际!$C:$C,"&lt;="&amp;EOMONTH(DATE(YEAR(主页!$D$2),MONTH(主页!$D$2),1),0))/SUMIFS(当年实际!$P:$P,当年实际!$J:$J,$C234,当年实际!$C:$C,"&gt;="&amp;DATE(YEAR(主页!$D$2),1,1),当年实际!$C:$C,"&lt;="&amp;EOMONTH(DATE(YEAR(主页!$D$2),MONTH(主页!$D$2),1),0)),"")</f>
        <v/>
      </c>
    </row>
    <row r="235" spans="1:10" x14ac:dyDescent="0.3">
      <c r="A235" s="129"/>
      <c r="B235" s="150"/>
      <c r="C235" s="150"/>
      <c r="D235" s="150"/>
      <c r="E235" s="140" t="str">
        <f t="shared" si="12"/>
        <v/>
      </c>
      <c r="F235" s="157"/>
      <c r="G235" s="145">
        <f t="shared" si="13"/>
        <v>0</v>
      </c>
      <c r="H235" s="140" t="str">
        <f t="shared" si="14"/>
        <v/>
      </c>
      <c r="J235" s="147" t="str">
        <f>IFERROR(SUMIFS(当年实际!$V:$V,当年实际!$J:$J,$C235,当年实际!$C:$C,"&gt;="&amp;DATE(YEAR(主页!$D$2),1,1),当年实际!$C:$C,"&lt;="&amp;EOMONTH(DATE(YEAR(主页!$D$2),MONTH(主页!$D$2),1),0))/SUMIFS(当年实际!$P:$P,当年实际!$J:$J,$C235,当年实际!$C:$C,"&gt;="&amp;DATE(YEAR(主页!$D$2),1,1),当年实际!$C:$C,"&lt;="&amp;EOMONTH(DATE(YEAR(主页!$D$2),MONTH(主页!$D$2),1),0)),"")</f>
        <v/>
      </c>
    </row>
    <row r="236" spans="1:10" x14ac:dyDescent="0.3">
      <c r="A236" s="129"/>
      <c r="B236" s="150"/>
      <c r="C236" s="150"/>
      <c r="D236" s="150"/>
      <c r="E236" s="140" t="str">
        <f t="shared" si="12"/>
        <v/>
      </c>
      <c r="F236" s="157"/>
      <c r="G236" s="145">
        <f t="shared" si="13"/>
        <v>0</v>
      </c>
      <c r="H236" s="140" t="str">
        <f t="shared" si="14"/>
        <v/>
      </c>
      <c r="J236" s="147" t="str">
        <f>IFERROR(SUMIFS(当年实际!$V:$V,当年实际!$J:$J,$C236,当年实际!$C:$C,"&gt;="&amp;DATE(YEAR(主页!$D$2),1,1),当年实际!$C:$C,"&lt;="&amp;EOMONTH(DATE(YEAR(主页!$D$2),MONTH(主页!$D$2),1),0))/SUMIFS(当年实际!$P:$P,当年实际!$J:$J,$C236,当年实际!$C:$C,"&gt;="&amp;DATE(YEAR(主页!$D$2),1,1),当年实际!$C:$C,"&lt;="&amp;EOMONTH(DATE(YEAR(主页!$D$2),MONTH(主页!$D$2),1),0)),"")</f>
        <v/>
      </c>
    </row>
    <row r="237" spans="1:10" x14ac:dyDescent="0.3">
      <c r="A237" s="129"/>
      <c r="B237" s="150"/>
      <c r="C237" s="150"/>
      <c r="D237" s="150"/>
      <c r="E237" s="140" t="str">
        <f t="shared" si="12"/>
        <v/>
      </c>
      <c r="F237" s="157"/>
      <c r="G237" s="145">
        <f t="shared" si="13"/>
        <v>0</v>
      </c>
      <c r="H237" s="140" t="str">
        <f t="shared" si="14"/>
        <v/>
      </c>
      <c r="J237" s="147" t="str">
        <f>IFERROR(SUMIFS(当年实际!$V:$V,当年实际!$J:$J,$C237,当年实际!$C:$C,"&gt;="&amp;DATE(YEAR(主页!$D$2),1,1),当年实际!$C:$C,"&lt;="&amp;EOMONTH(DATE(YEAR(主页!$D$2),MONTH(主页!$D$2),1),0))/SUMIFS(当年实际!$P:$P,当年实际!$J:$J,$C237,当年实际!$C:$C,"&gt;="&amp;DATE(YEAR(主页!$D$2),1,1),当年实际!$C:$C,"&lt;="&amp;EOMONTH(DATE(YEAR(主页!$D$2),MONTH(主页!$D$2),1),0)),"")</f>
        <v/>
      </c>
    </row>
    <row r="238" spans="1:10" x14ac:dyDescent="0.3">
      <c r="A238" s="129"/>
      <c r="B238" s="150"/>
      <c r="C238" s="150"/>
      <c r="D238" s="150"/>
      <c r="E238" s="140" t="str">
        <f t="shared" si="12"/>
        <v/>
      </c>
      <c r="F238" s="157"/>
      <c r="G238" s="145">
        <f t="shared" si="13"/>
        <v>0</v>
      </c>
      <c r="H238" s="140" t="str">
        <f t="shared" si="14"/>
        <v/>
      </c>
      <c r="J238" s="147" t="str">
        <f>IFERROR(SUMIFS(当年实际!$V:$V,当年实际!$J:$J,$C238,当年实际!$C:$C,"&gt;="&amp;DATE(YEAR(主页!$D$2),1,1),当年实际!$C:$C,"&lt;="&amp;EOMONTH(DATE(YEAR(主页!$D$2),MONTH(主页!$D$2),1),0))/SUMIFS(当年实际!$P:$P,当年实际!$J:$J,$C238,当年实际!$C:$C,"&gt;="&amp;DATE(YEAR(主页!$D$2),1,1),当年实际!$C:$C,"&lt;="&amp;EOMONTH(DATE(YEAR(主页!$D$2),MONTH(主页!$D$2),1),0)),"")</f>
        <v/>
      </c>
    </row>
    <row r="239" spans="1:10" x14ac:dyDescent="0.3">
      <c r="A239" s="129"/>
      <c r="B239" s="150"/>
      <c r="C239" s="150"/>
      <c r="D239" s="150"/>
      <c r="E239" s="140" t="str">
        <f t="shared" si="12"/>
        <v/>
      </c>
      <c r="F239" s="157"/>
      <c r="G239" s="145">
        <f t="shared" si="13"/>
        <v>0</v>
      </c>
      <c r="H239" s="140" t="str">
        <f t="shared" si="14"/>
        <v/>
      </c>
      <c r="J239" s="147" t="str">
        <f>IFERROR(SUMIFS(当年实际!$V:$V,当年实际!$J:$J,$C239,当年实际!$C:$C,"&gt;="&amp;DATE(YEAR(主页!$D$2),1,1),当年实际!$C:$C,"&lt;="&amp;EOMONTH(DATE(YEAR(主页!$D$2),MONTH(主页!$D$2),1),0))/SUMIFS(当年实际!$P:$P,当年实际!$J:$J,$C239,当年实际!$C:$C,"&gt;="&amp;DATE(YEAR(主页!$D$2),1,1),当年实际!$C:$C,"&lt;="&amp;EOMONTH(DATE(YEAR(主页!$D$2),MONTH(主页!$D$2),1),0)),"")</f>
        <v/>
      </c>
    </row>
    <row r="240" spans="1:10" x14ac:dyDescent="0.3">
      <c r="A240" s="129"/>
      <c r="B240" s="150"/>
      <c r="C240" s="150"/>
      <c r="D240" s="150"/>
      <c r="E240" s="140" t="str">
        <f t="shared" si="12"/>
        <v/>
      </c>
      <c r="F240" s="157"/>
      <c r="G240" s="145">
        <f t="shared" si="13"/>
        <v>0</v>
      </c>
      <c r="H240" s="140" t="str">
        <f t="shared" si="14"/>
        <v/>
      </c>
      <c r="J240" s="147" t="str">
        <f>IFERROR(SUMIFS(当年实际!$V:$V,当年实际!$J:$J,$C240,当年实际!$C:$C,"&gt;="&amp;DATE(YEAR(主页!$D$2),1,1),当年实际!$C:$C,"&lt;="&amp;EOMONTH(DATE(YEAR(主页!$D$2),MONTH(主页!$D$2),1),0))/SUMIFS(当年实际!$P:$P,当年实际!$J:$J,$C240,当年实际!$C:$C,"&gt;="&amp;DATE(YEAR(主页!$D$2),1,1),当年实际!$C:$C,"&lt;="&amp;EOMONTH(DATE(YEAR(主页!$D$2),MONTH(主页!$D$2),1),0)),"")</f>
        <v/>
      </c>
    </row>
    <row r="241" spans="1:10" x14ac:dyDescent="0.3">
      <c r="A241" s="129"/>
      <c r="B241" s="150"/>
      <c r="C241" s="150"/>
      <c r="D241" s="150"/>
      <c r="E241" s="140" t="str">
        <f t="shared" si="12"/>
        <v/>
      </c>
      <c r="F241" s="157"/>
      <c r="G241" s="145">
        <f t="shared" si="13"/>
        <v>0</v>
      </c>
      <c r="H241" s="140" t="str">
        <f t="shared" si="14"/>
        <v/>
      </c>
      <c r="J241" s="147" t="str">
        <f>IFERROR(SUMIFS(当年实际!$V:$V,当年实际!$J:$J,$C241,当年实际!$C:$C,"&gt;="&amp;DATE(YEAR(主页!$D$2),1,1),当年实际!$C:$C,"&lt;="&amp;EOMONTH(DATE(YEAR(主页!$D$2),MONTH(主页!$D$2),1),0))/SUMIFS(当年实际!$P:$P,当年实际!$J:$J,$C241,当年实际!$C:$C,"&gt;="&amp;DATE(YEAR(主页!$D$2),1,1),当年实际!$C:$C,"&lt;="&amp;EOMONTH(DATE(YEAR(主页!$D$2),MONTH(主页!$D$2),1),0)),"")</f>
        <v/>
      </c>
    </row>
    <row r="242" spans="1:10" x14ac:dyDescent="0.3">
      <c r="A242" s="129"/>
      <c r="B242" s="150"/>
      <c r="C242" s="150"/>
      <c r="D242" s="150"/>
      <c r="E242" s="140" t="str">
        <f t="shared" si="12"/>
        <v/>
      </c>
      <c r="F242" s="157"/>
      <c r="G242" s="145">
        <f t="shared" si="13"/>
        <v>0</v>
      </c>
      <c r="H242" s="140" t="str">
        <f t="shared" si="14"/>
        <v/>
      </c>
      <c r="J242" s="147" t="str">
        <f>IFERROR(SUMIFS(当年实际!$V:$V,当年实际!$J:$J,$C242,当年实际!$C:$C,"&gt;="&amp;DATE(YEAR(主页!$D$2),1,1),当年实际!$C:$C,"&lt;="&amp;EOMONTH(DATE(YEAR(主页!$D$2),MONTH(主页!$D$2),1),0))/SUMIFS(当年实际!$P:$P,当年实际!$J:$J,$C242,当年实际!$C:$C,"&gt;="&amp;DATE(YEAR(主页!$D$2),1,1),当年实际!$C:$C,"&lt;="&amp;EOMONTH(DATE(YEAR(主页!$D$2),MONTH(主页!$D$2),1),0)),"")</f>
        <v/>
      </c>
    </row>
    <row r="243" spans="1:10" x14ac:dyDescent="0.3">
      <c r="A243" s="129"/>
      <c r="B243" s="150"/>
      <c r="C243" s="150"/>
      <c r="D243" s="150"/>
      <c r="E243" s="140" t="str">
        <f t="shared" si="12"/>
        <v/>
      </c>
      <c r="F243" s="157"/>
      <c r="G243" s="145">
        <f t="shared" si="13"/>
        <v>0</v>
      </c>
      <c r="H243" s="140" t="str">
        <f t="shared" si="14"/>
        <v/>
      </c>
      <c r="J243" s="147" t="str">
        <f>IFERROR(SUMIFS(当年实际!$V:$V,当年实际!$J:$J,$C243,当年实际!$C:$C,"&gt;="&amp;DATE(YEAR(主页!$D$2),1,1),当年实际!$C:$C,"&lt;="&amp;EOMONTH(DATE(YEAR(主页!$D$2),MONTH(主页!$D$2),1),0))/SUMIFS(当年实际!$P:$P,当年实际!$J:$J,$C243,当年实际!$C:$C,"&gt;="&amp;DATE(YEAR(主页!$D$2),1,1),当年实际!$C:$C,"&lt;="&amp;EOMONTH(DATE(YEAR(主页!$D$2),MONTH(主页!$D$2),1),0)),"")</f>
        <v/>
      </c>
    </row>
    <row r="244" spans="1:10" x14ac:dyDescent="0.3">
      <c r="A244" s="129"/>
      <c r="B244" s="150"/>
      <c r="C244" s="150"/>
      <c r="D244" s="150"/>
      <c r="E244" s="140" t="str">
        <f t="shared" si="12"/>
        <v/>
      </c>
      <c r="F244" s="157"/>
      <c r="G244" s="145">
        <f t="shared" si="13"/>
        <v>0</v>
      </c>
      <c r="H244" s="140" t="str">
        <f t="shared" si="14"/>
        <v/>
      </c>
      <c r="J244" s="147" t="str">
        <f>IFERROR(SUMIFS(当年实际!$V:$V,当年实际!$J:$J,$C244,当年实际!$C:$C,"&gt;="&amp;DATE(YEAR(主页!$D$2),1,1),当年实际!$C:$C,"&lt;="&amp;EOMONTH(DATE(YEAR(主页!$D$2),MONTH(主页!$D$2),1),0))/SUMIFS(当年实际!$P:$P,当年实际!$J:$J,$C244,当年实际!$C:$C,"&gt;="&amp;DATE(YEAR(主页!$D$2),1,1),当年实际!$C:$C,"&lt;="&amp;EOMONTH(DATE(YEAR(主页!$D$2),MONTH(主页!$D$2),1),0)),"")</f>
        <v/>
      </c>
    </row>
    <row r="245" spans="1:10" x14ac:dyDescent="0.3">
      <c r="A245" s="129"/>
      <c r="B245" s="150"/>
      <c r="C245" s="150"/>
      <c r="D245" s="150"/>
      <c r="E245" s="140" t="str">
        <f t="shared" si="12"/>
        <v/>
      </c>
      <c r="F245" s="157"/>
      <c r="G245" s="145">
        <f t="shared" si="13"/>
        <v>0</v>
      </c>
      <c r="H245" s="140" t="str">
        <f t="shared" si="14"/>
        <v/>
      </c>
      <c r="J245" s="147" t="str">
        <f>IFERROR(SUMIFS(当年实际!$V:$V,当年实际!$J:$J,$C245,当年实际!$C:$C,"&gt;="&amp;DATE(YEAR(主页!$D$2),1,1),当年实际!$C:$C,"&lt;="&amp;EOMONTH(DATE(YEAR(主页!$D$2),MONTH(主页!$D$2),1),0))/SUMIFS(当年实际!$P:$P,当年实际!$J:$J,$C245,当年实际!$C:$C,"&gt;="&amp;DATE(YEAR(主页!$D$2),1,1),当年实际!$C:$C,"&lt;="&amp;EOMONTH(DATE(YEAR(主页!$D$2),MONTH(主页!$D$2),1),0)),"")</f>
        <v/>
      </c>
    </row>
    <row r="246" spans="1:10" x14ac:dyDescent="0.3">
      <c r="A246" s="129"/>
      <c r="B246" s="150"/>
      <c r="C246" s="150"/>
      <c r="D246" s="150"/>
      <c r="E246" s="140" t="str">
        <f t="shared" si="12"/>
        <v/>
      </c>
      <c r="F246" s="157"/>
      <c r="G246" s="145">
        <f t="shared" si="13"/>
        <v>0</v>
      </c>
      <c r="H246" s="140" t="str">
        <f t="shared" si="14"/>
        <v/>
      </c>
      <c r="J246" s="147" t="str">
        <f>IFERROR(SUMIFS(当年实际!$V:$V,当年实际!$J:$J,$C246,当年实际!$C:$C,"&gt;="&amp;DATE(YEAR(主页!$D$2),1,1),当年实际!$C:$C,"&lt;="&amp;EOMONTH(DATE(YEAR(主页!$D$2),MONTH(主页!$D$2),1),0))/SUMIFS(当年实际!$P:$P,当年实际!$J:$J,$C246,当年实际!$C:$C,"&gt;="&amp;DATE(YEAR(主页!$D$2),1,1),当年实际!$C:$C,"&lt;="&amp;EOMONTH(DATE(YEAR(主页!$D$2),MONTH(主页!$D$2),1),0)),"")</f>
        <v/>
      </c>
    </row>
    <row r="247" spans="1:10" x14ac:dyDescent="0.3">
      <c r="A247" s="129"/>
      <c r="B247" s="150"/>
      <c r="C247" s="150"/>
      <c r="D247" s="150"/>
      <c r="E247" s="140" t="str">
        <f t="shared" si="12"/>
        <v/>
      </c>
      <c r="F247" s="157"/>
      <c r="G247" s="145">
        <f t="shared" si="13"/>
        <v>0</v>
      </c>
      <c r="H247" s="140" t="str">
        <f t="shared" si="14"/>
        <v/>
      </c>
      <c r="J247" s="147" t="str">
        <f>IFERROR(SUMIFS(当年实际!$V:$V,当年实际!$J:$J,$C247,当年实际!$C:$C,"&gt;="&amp;DATE(YEAR(主页!$D$2),1,1),当年实际!$C:$C,"&lt;="&amp;EOMONTH(DATE(YEAR(主页!$D$2),MONTH(主页!$D$2),1),0))/SUMIFS(当年实际!$P:$P,当年实际!$J:$J,$C247,当年实际!$C:$C,"&gt;="&amp;DATE(YEAR(主页!$D$2),1,1),当年实际!$C:$C,"&lt;="&amp;EOMONTH(DATE(YEAR(主页!$D$2),MONTH(主页!$D$2),1),0)),"")</f>
        <v/>
      </c>
    </row>
    <row r="248" spans="1:10" x14ac:dyDescent="0.3">
      <c r="A248" s="129"/>
      <c r="B248" s="150"/>
      <c r="C248" s="150"/>
      <c r="D248" s="150"/>
      <c r="E248" s="140" t="str">
        <f t="shared" si="12"/>
        <v/>
      </c>
      <c r="F248" s="157"/>
      <c r="G248" s="145">
        <f t="shared" si="13"/>
        <v>0</v>
      </c>
      <c r="H248" s="140" t="str">
        <f t="shared" si="14"/>
        <v/>
      </c>
      <c r="J248" s="147" t="str">
        <f>IFERROR(SUMIFS(当年实际!$V:$V,当年实际!$J:$J,$C248,当年实际!$C:$C,"&gt;="&amp;DATE(YEAR(主页!$D$2),1,1),当年实际!$C:$C,"&lt;="&amp;EOMONTH(DATE(YEAR(主页!$D$2),MONTH(主页!$D$2),1),0))/SUMIFS(当年实际!$P:$P,当年实际!$J:$J,$C248,当年实际!$C:$C,"&gt;="&amp;DATE(YEAR(主页!$D$2),1,1),当年实际!$C:$C,"&lt;="&amp;EOMONTH(DATE(YEAR(主页!$D$2),MONTH(主页!$D$2),1),0)),"")</f>
        <v/>
      </c>
    </row>
    <row r="249" spans="1:10" x14ac:dyDescent="0.3">
      <c r="A249" s="129"/>
      <c r="B249" s="150"/>
      <c r="C249" s="150"/>
      <c r="D249" s="150"/>
      <c r="E249" s="140" t="str">
        <f t="shared" si="12"/>
        <v/>
      </c>
      <c r="F249" s="157"/>
      <c r="G249" s="145">
        <f t="shared" si="13"/>
        <v>0</v>
      </c>
      <c r="H249" s="140" t="str">
        <f t="shared" si="14"/>
        <v/>
      </c>
      <c r="J249" s="147" t="str">
        <f>IFERROR(SUMIFS(当年实际!$V:$V,当年实际!$J:$J,$C249,当年实际!$C:$C,"&gt;="&amp;DATE(YEAR(主页!$D$2),1,1),当年实际!$C:$C,"&lt;="&amp;EOMONTH(DATE(YEAR(主页!$D$2),MONTH(主页!$D$2),1),0))/SUMIFS(当年实际!$P:$P,当年实际!$J:$J,$C249,当年实际!$C:$C,"&gt;="&amp;DATE(YEAR(主页!$D$2),1,1),当年实际!$C:$C,"&lt;="&amp;EOMONTH(DATE(YEAR(主页!$D$2),MONTH(主页!$D$2),1),0)),"")</f>
        <v/>
      </c>
    </row>
    <row r="250" spans="1:10" x14ac:dyDescent="0.3">
      <c r="A250" s="129"/>
      <c r="B250" s="150"/>
      <c r="C250" s="150"/>
      <c r="D250" s="150"/>
      <c r="E250" s="140" t="str">
        <f t="shared" si="12"/>
        <v/>
      </c>
      <c r="F250" s="157"/>
      <c r="G250" s="145">
        <f t="shared" si="13"/>
        <v>0</v>
      </c>
      <c r="H250" s="140" t="str">
        <f t="shared" si="14"/>
        <v/>
      </c>
      <c r="J250" s="147" t="str">
        <f>IFERROR(SUMIFS(当年实际!$V:$V,当年实际!$J:$J,$C250,当年实际!$C:$C,"&gt;="&amp;DATE(YEAR(主页!$D$2),1,1),当年实际!$C:$C,"&lt;="&amp;EOMONTH(DATE(YEAR(主页!$D$2),MONTH(主页!$D$2),1),0))/SUMIFS(当年实际!$P:$P,当年实际!$J:$J,$C250,当年实际!$C:$C,"&gt;="&amp;DATE(YEAR(主页!$D$2),1,1),当年实际!$C:$C,"&lt;="&amp;EOMONTH(DATE(YEAR(主页!$D$2),MONTH(主页!$D$2),1),0)),"")</f>
        <v/>
      </c>
    </row>
    <row r="251" spans="1:10" x14ac:dyDescent="0.3">
      <c r="A251" s="129"/>
      <c r="B251" s="150"/>
      <c r="C251" s="150"/>
      <c r="D251" s="150"/>
      <c r="E251" s="140" t="str">
        <f t="shared" si="12"/>
        <v/>
      </c>
      <c r="F251" s="157"/>
      <c r="G251" s="145">
        <f t="shared" si="13"/>
        <v>0</v>
      </c>
      <c r="H251" s="140" t="str">
        <f t="shared" si="14"/>
        <v/>
      </c>
      <c r="J251" s="147" t="str">
        <f>IFERROR(SUMIFS(当年实际!$V:$V,当年实际!$J:$J,$C251,当年实际!$C:$C,"&gt;="&amp;DATE(YEAR(主页!$D$2),1,1),当年实际!$C:$C,"&lt;="&amp;EOMONTH(DATE(YEAR(主页!$D$2),MONTH(主页!$D$2),1),0))/SUMIFS(当年实际!$P:$P,当年实际!$J:$J,$C251,当年实际!$C:$C,"&gt;="&amp;DATE(YEAR(主页!$D$2),1,1),当年实际!$C:$C,"&lt;="&amp;EOMONTH(DATE(YEAR(主页!$D$2),MONTH(主页!$D$2),1),0)),"")</f>
        <v/>
      </c>
    </row>
    <row r="252" spans="1:10" x14ac:dyDescent="0.3">
      <c r="A252" s="129"/>
      <c r="B252" s="150"/>
      <c r="C252" s="150"/>
      <c r="D252" s="150"/>
      <c r="E252" s="140" t="str">
        <f t="shared" si="12"/>
        <v/>
      </c>
      <c r="F252" s="157"/>
      <c r="G252" s="145">
        <f t="shared" si="13"/>
        <v>0</v>
      </c>
      <c r="H252" s="140" t="str">
        <f t="shared" si="14"/>
        <v/>
      </c>
      <c r="J252" s="147" t="str">
        <f>IFERROR(SUMIFS(当年实际!$V:$V,当年实际!$J:$J,$C252,当年实际!$C:$C,"&gt;="&amp;DATE(YEAR(主页!$D$2),1,1),当年实际!$C:$C,"&lt;="&amp;EOMONTH(DATE(YEAR(主页!$D$2),MONTH(主页!$D$2),1),0))/SUMIFS(当年实际!$P:$P,当年实际!$J:$J,$C252,当年实际!$C:$C,"&gt;="&amp;DATE(YEAR(主页!$D$2),1,1),当年实际!$C:$C,"&lt;="&amp;EOMONTH(DATE(YEAR(主页!$D$2),MONTH(主页!$D$2),1),0)),"")</f>
        <v/>
      </c>
    </row>
    <row r="253" spans="1:10" x14ac:dyDescent="0.3">
      <c r="A253" s="129"/>
      <c r="B253" s="150"/>
      <c r="C253" s="150"/>
      <c r="D253" s="150"/>
      <c r="E253" s="140" t="str">
        <f t="shared" si="12"/>
        <v/>
      </c>
      <c r="F253" s="157"/>
      <c r="G253" s="145">
        <f t="shared" si="13"/>
        <v>0</v>
      </c>
      <c r="H253" s="140" t="str">
        <f t="shared" si="14"/>
        <v/>
      </c>
      <c r="J253" s="147" t="str">
        <f>IFERROR(SUMIFS(当年实际!$V:$V,当年实际!$J:$J,$C253,当年实际!$C:$C,"&gt;="&amp;DATE(YEAR(主页!$D$2),1,1),当年实际!$C:$C,"&lt;="&amp;EOMONTH(DATE(YEAR(主页!$D$2),MONTH(主页!$D$2),1),0))/SUMIFS(当年实际!$P:$P,当年实际!$J:$J,$C253,当年实际!$C:$C,"&gt;="&amp;DATE(YEAR(主页!$D$2),1,1),当年实际!$C:$C,"&lt;="&amp;EOMONTH(DATE(YEAR(主页!$D$2),MONTH(主页!$D$2),1),0)),"")</f>
        <v/>
      </c>
    </row>
    <row r="254" spans="1:10" x14ac:dyDescent="0.3">
      <c r="A254" s="129"/>
      <c r="B254" s="150"/>
      <c r="C254" s="150"/>
      <c r="D254" s="150"/>
      <c r="E254" s="140" t="str">
        <f t="shared" si="12"/>
        <v/>
      </c>
      <c r="F254" s="157"/>
      <c r="G254" s="145">
        <f t="shared" si="13"/>
        <v>0</v>
      </c>
      <c r="H254" s="140" t="str">
        <f t="shared" si="14"/>
        <v/>
      </c>
      <c r="J254" s="147" t="str">
        <f>IFERROR(SUMIFS(当年实际!$V:$V,当年实际!$J:$J,$C254,当年实际!$C:$C,"&gt;="&amp;DATE(YEAR(主页!$D$2),1,1),当年实际!$C:$C,"&lt;="&amp;EOMONTH(DATE(YEAR(主页!$D$2),MONTH(主页!$D$2),1),0))/SUMIFS(当年实际!$P:$P,当年实际!$J:$J,$C254,当年实际!$C:$C,"&gt;="&amp;DATE(YEAR(主页!$D$2),1,1),当年实际!$C:$C,"&lt;="&amp;EOMONTH(DATE(YEAR(主页!$D$2),MONTH(主页!$D$2),1),0)),"")</f>
        <v/>
      </c>
    </row>
    <row r="255" spans="1:10" x14ac:dyDescent="0.3">
      <c r="A255" s="129"/>
      <c r="B255" s="150"/>
      <c r="C255" s="150"/>
      <c r="D255" s="150"/>
      <c r="E255" s="140" t="str">
        <f t="shared" si="12"/>
        <v/>
      </c>
      <c r="F255" s="157"/>
      <c r="G255" s="145">
        <f t="shared" si="13"/>
        <v>0</v>
      </c>
      <c r="H255" s="140" t="str">
        <f t="shared" si="14"/>
        <v/>
      </c>
      <c r="J255" s="147" t="str">
        <f>IFERROR(SUMIFS(当年实际!$V:$V,当年实际!$J:$J,$C255,当年实际!$C:$C,"&gt;="&amp;DATE(YEAR(主页!$D$2),1,1),当年实际!$C:$C,"&lt;="&amp;EOMONTH(DATE(YEAR(主页!$D$2),MONTH(主页!$D$2),1),0))/SUMIFS(当年实际!$P:$P,当年实际!$J:$J,$C255,当年实际!$C:$C,"&gt;="&amp;DATE(YEAR(主页!$D$2),1,1),当年实际!$C:$C,"&lt;="&amp;EOMONTH(DATE(YEAR(主页!$D$2),MONTH(主页!$D$2),1),0)),"")</f>
        <v/>
      </c>
    </row>
    <row r="256" spans="1:10" x14ac:dyDescent="0.3">
      <c r="A256" s="129"/>
      <c r="B256" s="150"/>
      <c r="C256" s="150"/>
      <c r="D256" s="150"/>
      <c r="E256" s="140" t="str">
        <f t="shared" si="12"/>
        <v/>
      </c>
      <c r="F256" s="157"/>
      <c r="G256" s="145">
        <f t="shared" si="13"/>
        <v>0</v>
      </c>
      <c r="H256" s="140" t="str">
        <f t="shared" si="14"/>
        <v/>
      </c>
      <c r="J256" s="147" t="str">
        <f>IFERROR(SUMIFS(当年实际!$V:$V,当年实际!$J:$J,$C256,当年实际!$C:$C,"&gt;="&amp;DATE(YEAR(主页!$D$2),1,1),当年实际!$C:$C,"&lt;="&amp;EOMONTH(DATE(YEAR(主页!$D$2),MONTH(主页!$D$2),1),0))/SUMIFS(当年实际!$P:$P,当年实际!$J:$J,$C256,当年实际!$C:$C,"&gt;="&amp;DATE(YEAR(主页!$D$2),1,1),当年实际!$C:$C,"&lt;="&amp;EOMONTH(DATE(YEAR(主页!$D$2),MONTH(主页!$D$2),1),0)),"")</f>
        <v/>
      </c>
    </row>
    <row r="257" spans="1:10" x14ac:dyDescent="0.3">
      <c r="A257" s="129"/>
      <c r="B257" s="150"/>
      <c r="C257" s="150"/>
      <c r="D257" s="150"/>
      <c r="E257" s="140" t="str">
        <f t="shared" si="12"/>
        <v/>
      </c>
      <c r="F257" s="157"/>
      <c r="G257" s="145">
        <f t="shared" si="13"/>
        <v>0</v>
      </c>
      <c r="H257" s="140" t="str">
        <f t="shared" si="14"/>
        <v/>
      </c>
      <c r="J257" s="147" t="str">
        <f>IFERROR(SUMIFS(当年实际!$V:$V,当年实际!$J:$J,$C257,当年实际!$C:$C,"&gt;="&amp;DATE(YEAR(主页!$D$2),1,1),当年实际!$C:$C,"&lt;="&amp;EOMONTH(DATE(YEAR(主页!$D$2),MONTH(主页!$D$2),1),0))/SUMIFS(当年实际!$P:$P,当年实际!$J:$J,$C257,当年实际!$C:$C,"&gt;="&amp;DATE(YEAR(主页!$D$2),1,1),当年实际!$C:$C,"&lt;="&amp;EOMONTH(DATE(YEAR(主页!$D$2),MONTH(主页!$D$2),1),0)),"")</f>
        <v/>
      </c>
    </row>
    <row r="258" spans="1:10" x14ac:dyDescent="0.3">
      <c r="A258" s="129"/>
      <c r="B258" s="150"/>
      <c r="C258" s="150"/>
      <c r="D258" s="150"/>
      <c r="E258" s="140" t="str">
        <f t="shared" si="12"/>
        <v/>
      </c>
      <c r="F258" s="157"/>
      <c r="G258" s="145">
        <f t="shared" si="13"/>
        <v>0</v>
      </c>
      <c r="H258" s="140" t="str">
        <f t="shared" si="14"/>
        <v/>
      </c>
      <c r="J258" s="147" t="str">
        <f>IFERROR(SUMIFS(当年实际!$V:$V,当年实际!$J:$J,$C258,当年实际!$C:$C,"&gt;="&amp;DATE(YEAR(主页!$D$2),1,1),当年实际!$C:$C,"&lt;="&amp;EOMONTH(DATE(YEAR(主页!$D$2),MONTH(主页!$D$2),1),0))/SUMIFS(当年实际!$P:$P,当年实际!$J:$J,$C258,当年实际!$C:$C,"&gt;="&amp;DATE(YEAR(主页!$D$2),1,1),当年实际!$C:$C,"&lt;="&amp;EOMONTH(DATE(YEAR(主页!$D$2),MONTH(主页!$D$2),1),0)),"")</f>
        <v/>
      </c>
    </row>
    <row r="259" spans="1:10" x14ac:dyDescent="0.3">
      <c r="A259" s="129"/>
      <c r="B259" s="150"/>
      <c r="C259" s="150"/>
      <c r="D259" s="150"/>
      <c r="E259" s="140" t="str">
        <f t="shared" si="12"/>
        <v/>
      </c>
      <c r="F259" s="157"/>
      <c r="G259" s="145">
        <f t="shared" si="13"/>
        <v>0</v>
      </c>
      <c r="H259" s="140" t="str">
        <f t="shared" si="14"/>
        <v/>
      </c>
      <c r="J259" s="147" t="str">
        <f>IFERROR(SUMIFS(当年实际!$V:$V,当年实际!$J:$J,$C259,当年实际!$C:$C,"&gt;="&amp;DATE(YEAR(主页!$D$2),1,1),当年实际!$C:$C,"&lt;="&amp;EOMONTH(DATE(YEAR(主页!$D$2),MONTH(主页!$D$2),1),0))/SUMIFS(当年实际!$P:$P,当年实际!$J:$J,$C259,当年实际!$C:$C,"&gt;="&amp;DATE(YEAR(主页!$D$2),1,1),当年实际!$C:$C,"&lt;="&amp;EOMONTH(DATE(YEAR(主页!$D$2),MONTH(主页!$D$2),1),0)),"")</f>
        <v/>
      </c>
    </row>
    <row r="260" spans="1:10" x14ac:dyDescent="0.3">
      <c r="A260" s="129"/>
      <c r="B260" s="150"/>
      <c r="C260" s="150"/>
      <c r="D260" s="150"/>
      <c r="E260" s="140" t="str">
        <f t="shared" ref="E260:E323" si="15">IF(D260/SUM(D:D)=0,"",D260/SUM(D:D))</f>
        <v/>
      </c>
      <c r="F260" s="157"/>
      <c r="G260" s="145">
        <f t="shared" si="13"/>
        <v>0</v>
      </c>
      <c r="H260" s="140" t="str">
        <f t="shared" si="14"/>
        <v/>
      </c>
      <c r="J260" s="147" t="str">
        <f>IFERROR(SUMIFS(当年实际!$V:$V,当年实际!$J:$J,$C260,当年实际!$C:$C,"&gt;="&amp;DATE(YEAR(主页!$D$2),1,1),当年实际!$C:$C,"&lt;="&amp;EOMONTH(DATE(YEAR(主页!$D$2),MONTH(主页!$D$2),1),0))/SUMIFS(当年实际!$P:$P,当年实际!$J:$J,$C260,当年实际!$C:$C,"&gt;="&amp;DATE(YEAR(主页!$D$2),1,1),当年实际!$C:$C,"&lt;="&amp;EOMONTH(DATE(YEAR(主页!$D$2),MONTH(主页!$D$2),1),0)),"")</f>
        <v/>
      </c>
    </row>
    <row r="261" spans="1:10" x14ac:dyDescent="0.3">
      <c r="A261" s="129"/>
      <c r="B261" s="150"/>
      <c r="C261" s="150"/>
      <c r="D261" s="150"/>
      <c r="E261" s="140" t="str">
        <f t="shared" si="15"/>
        <v/>
      </c>
      <c r="F261" s="157"/>
      <c r="G261" s="145">
        <f t="shared" si="13"/>
        <v>0</v>
      </c>
      <c r="H261" s="140" t="str">
        <f t="shared" si="14"/>
        <v/>
      </c>
      <c r="J261" s="147" t="str">
        <f>IFERROR(SUMIFS(当年实际!$V:$V,当年实际!$J:$J,$C261,当年实际!$C:$C,"&gt;="&amp;DATE(YEAR(主页!$D$2),1,1),当年实际!$C:$C,"&lt;="&amp;EOMONTH(DATE(YEAR(主页!$D$2),MONTH(主页!$D$2),1),0))/SUMIFS(当年实际!$P:$P,当年实际!$J:$J,$C261,当年实际!$C:$C,"&gt;="&amp;DATE(YEAR(主页!$D$2),1,1),当年实际!$C:$C,"&lt;="&amp;EOMONTH(DATE(YEAR(主页!$D$2),MONTH(主页!$D$2),1),0)),"")</f>
        <v/>
      </c>
    </row>
    <row r="262" spans="1:10" x14ac:dyDescent="0.3">
      <c r="A262" s="129"/>
      <c r="B262" s="150"/>
      <c r="C262" s="150"/>
      <c r="D262" s="150"/>
      <c r="E262" s="140" t="str">
        <f t="shared" si="15"/>
        <v/>
      </c>
      <c r="F262" s="157"/>
      <c r="G262" s="145">
        <f t="shared" si="13"/>
        <v>0</v>
      </c>
      <c r="H262" s="140" t="str">
        <f t="shared" si="14"/>
        <v/>
      </c>
      <c r="J262" s="147" t="str">
        <f>IFERROR(SUMIFS(当年实际!$V:$V,当年实际!$J:$J,$C262,当年实际!$C:$C,"&gt;="&amp;DATE(YEAR(主页!$D$2),1,1),当年实际!$C:$C,"&lt;="&amp;EOMONTH(DATE(YEAR(主页!$D$2),MONTH(主页!$D$2),1),0))/SUMIFS(当年实际!$P:$P,当年实际!$J:$J,$C262,当年实际!$C:$C,"&gt;="&amp;DATE(YEAR(主页!$D$2),1,1),当年实际!$C:$C,"&lt;="&amp;EOMONTH(DATE(YEAR(主页!$D$2),MONTH(主页!$D$2),1),0)),"")</f>
        <v/>
      </c>
    </row>
    <row r="263" spans="1:10" x14ac:dyDescent="0.3">
      <c r="A263" s="129"/>
      <c r="B263" s="150"/>
      <c r="C263" s="150"/>
      <c r="D263" s="150"/>
      <c r="E263" s="140" t="str">
        <f t="shared" si="15"/>
        <v/>
      </c>
      <c r="F263" s="157"/>
      <c r="G263" s="145">
        <f t="shared" si="13"/>
        <v>0</v>
      </c>
      <c r="H263" s="140" t="str">
        <f t="shared" si="14"/>
        <v/>
      </c>
      <c r="J263" s="147" t="str">
        <f>IFERROR(SUMIFS(当年实际!$V:$V,当年实际!$J:$J,$C263,当年实际!$C:$C,"&gt;="&amp;DATE(YEAR(主页!$D$2),1,1),当年实际!$C:$C,"&lt;="&amp;EOMONTH(DATE(YEAR(主页!$D$2),MONTH(主页!$D$2),1),0))/SUMIFS(当年实际!$P:$P,当年实际!$J:$J,$C263,当年实际!$C:$C,"&gt;="&amp;DATE(YEAR(主页!$D$2),1,1),当年实际!$C:$C,"&lt;="&amp;EOMONTH(DATE(YEAR(主页!$D$2),MONTH(主页!$D$2),1),0)),"")</f>
        <v/>
      </c>
    </row>
    <row r="264" spans="1:10" x14ac:dyDescent="0.3">
      <c r="A264" s="129"/>
      <c r="B264" s="150"/>
      <c r="C264" s="150"/>
      <c r="D264" s="150"/>
      <c r="E264" s="140" t="str">
        <f t="shared" si="15"/>
        <v/>
      </c>
      <c r="F264" s="157"/>
      <c r="G264" s="145">
        <f t="shared" si="13"/>
        <v>0</v>
      </c>
      <c r="H264" s="140" t="str">
        <f t="shared" si="14"/>
        <v/>
      </c>
      <c r="J264" s="147" t="str">
        <f>IFERROR(SUMIFS(当年实际!$V:$V,当年实际!$J:$J,$C264,当年实际!$C:$C,"&gt;="&amp;DATE(YEAR(主页!$D$2),1,1),当年实际!$C:$C,"&lt;="&amp;EOMONTH(DATE(YEAR(主页!$D$2),MONTH(主页!$D$2),1),0))/SUMIFS(当年实际!$P:$P,当年实际!$J:$J,$C264,当年实际!$C:$C,"&gt;="&amp;DATE(YEAR(主页!$D$2),1,1),当年实际!$C:$C,"&lt;="&amp;EOMONTH(DATE(YEAR(主页!$D$2),MONTH(主页!$D$2),1),0)),"")</f>
        <v/>
      </c>
    </row>
    <row r="265" spans="1:10" x14ac:dyDescent="0.3">
      <c r="A265" s="129"/>
      <c r="B265" s="150"/>
      <c r="C265" s="150"/>
      <c r="D265" s="150"/>
      <c r="E265" s="140" t="str">
        <f t="shared" si="15"/>
        <v/>
      </c>
      <c r="F265" s="157"/>
      <c r="G265" s="145">
        <f t="shared" si="13"/>
        <v>0</v>
      </c>
      <c r="H265" s="140" t="str">
        <f t="shared" si="14"/>
        <v/>
      </c>
      <c r="J265" s="147" t="str">
        <f>IFERROR(SUMIFS(当年实际!$V:$V,当年实际!$J:$J,$C265,当年实际!$C:$C,"&gt;="&amp;DATE(YEAR(主页!$D$2),1,1),当年实际!$C:$C,"&lt;="&amp;EOMONTH(DATE(YEAR(主页!$D$2),MONTH(主页!$D$2),1),0))/SUMIFS(当年实际!$P:$P,当年实际!$J:$J,$C265,当年实际!$C:$C,"&gt;="&amp;DATE(YEAR(主页!$D$2),1,1),当年实际!$C:$C,"&lt;="&amp;EOMONTH(DATE(YEAR(主页!$D$2),MONTH(主页!$D$2),1),0)),"")</f>
        <v/>
      </c>
    </row>
    <row r="266" spans="1:10" x14ac:dyDescent="0.3">
      <c r="A266" s="129"/>
      <c r="B266" s="150"/>
      <c r="C266" s="150"/>
      <c r="D266" s="150"/>
      <c r="E266" s="140" t="str">
        <f t="shared" si="15"/>
        <v/>
      </c>
      <c r="F266" s="157"/>
      <c r="G266" s="145">
        <f t="shared" si="13"/>
        <v>0</v>
      </c>
      <c r="H266" s="140" t="str">
        <f t="shared" si="14"/>
        <v/>
      </c>
      <c r="J266" s="147" t="str">
        <f>IFERROR(SUMIFS(当年实际!$V:$V,当年实际!$J:$J,$C266,当年实际!$C:$C,"&gt;="&amp;DATE(YEAR(主页!$D$2),1,1),当年实际!$C:$C,"&lt;="&amp;EOMONTH(DATE(YEAR(主页!$D$2),MONTH(主页!$D$2),1),0))/SUMIFS(当年实际!$P:$P,当年实际!$J:$J,$C266,当年实际!$C:$C,"&gt;="&amp;DATE(YEAR(主页!$D$2),1,1),当年实际!$C:$C,"&lt;="&amp;EOMONTH(DATE(YEAR(主页!$D$2),MONTH(主页!$D$2),1),0)),"")</f>
        <v/>
      </c>
    </row>
    <row r="267" spans="1:10" x14ac:dyDescent="0.3">
      <c r="A267" s="129"/>
      <c r="B267" s="150"/>
      <c r="C267" s="150"/>
      <c r="D267" s="150"/>
      <c r="E267" s="140" t="str">
        <f t="shared" si="15"/>
        <v/>
      </c>
      <c r="F267" s="157"/>
      <c r="G267" s="145">
        <f t="shared" si="13"/>
        <v>0</v>
      </c>
      <c r="H267" s="140" t="str">
        <f t="shared" si="14"/>
        <v/>
      </c>
      <c r="J267" s="147" t="str">
        <f>IFERROR(SUMIFS(当年实际!$V:$V,当年实际!$J:$J,$C267,当年实际!$C:$C,"&gt;="&amp;DATE(YEAR(主页!$D$2),1,1),当年实际!$C:$C,"&lt;="&amp;EOMONTH(DATE(YEAR(主页!$D$2),MONTH(主页!$D$2),1),0))/SUMIFS(当年实际!$P:$P,当年实际!$J:$J,$C267,当年实际!$C:$C,"&gt;="&amp;DATE(YEAR(主页!$D$2),1,1),当年实际!$C:$C,"&lt;="&amp;EOMONTH(DATE(YEAR(主页!$D$2),MONTH(主页!$D$2),1),0)),"")</f>
        <v/>
      </c>
    </row>
    <row r="268" spans="1:10" x14ac:dyDescent="0.3">
      <c r="A268" s="129"/>
      <c r="B268" s="150"/>
      <c r="C268" s="150"/>
      <c r="D268" s="150"/>
      <c r="E268" s="140" t="str">
        <f t="shared" si="15"/>
        <v/>
      </c>
      <c r="F268" s="157"/>
      <c r="G268" s="145">
        <f t="shared" si="13"/>
        <v>0</v>
      </c>
      <c r="H268" s="140" t="str">
        <f t="shared" si="14"/>
        <v/>
      </c>
      <c r="J268" s="147" t="str">
        <f>IFERROR(SUMIFS(当年实际!$V:$V,当年实际!$J:$J,$C268,当年实际!$C:$C,"&gt;="&amp;DATE(YEAR(主页!$D$2),1,1),当年实际!$C:$C,"&lt;="&amp;EOMONTH(DATE(YEAR(主页!$D$2),MONTH(主页!$D$2),1),0))/SUMIFS(当年实际!$P:$P,当年实际!$J:$J,$C268,当年实际!$C:$C,"&gt;="&amp;DATE(YEAR(主页!$D$2),1,1),当年实际!$C:$C,"&lt;="&amp;EOMONTH(DATE(YEAR(主页!$D$2),MONTH(主页!$D$2),1),0)),"")</f>
        <v/>
      </c>
    </row>
    <row r="269" spans="1:10" x14ac:dyDescent="0.3">
      <c r="A269" s="129"/>
      <c r="B269" s="150"/>
      <c r="C269" s="150"/>
      <c r="D269" s="150"/>
      <c r="E269" s="140" t="str">
        <f t="shared" si="15"/>
        <v/>
      </c>
      <c r="F269" s="157"/>
      <c r="G269" s="145">
        <f t="shared" si="13"/>
        <v>0</v>
      </c>
      <c r="H269" s="140" t="str">
        <f t="shared" si="14"/>
        <v/>
      </c>
      <c r="J269" s="147" t="str">
        <f>IFERROR(SUMIFS(当年实际!$V:$V,当年实际!$J:$J,$C269,当年实际!$C:$C,"&gt;="&amp;DATE(YEAR(主页!$D$2),1,1),当年实际!$C:$C,"&lt;="&amp;EOMONTH(DATE(YEAR(主页!$D$2),MONTH(主页!$D$2),1),0))/SUMIFS(当年实际!$P:$P,当年实际!$J:$J,$C269,当年实际!$C:$C,"&gt;="&amp;DATE(YEAR(主页!$D$2),1,1),当年实际!$C:$C,"&lt;="&amp;EOMONTH(DATE(YEAR(主页!$D$2),MONTH(主页!$D$2),1),0)),"")</f>
        <v/>
      </c>
    </row>
    <row r="270" spans="1:10" x14ac:dyDescent="0.3">
      <c r="A270" s="129"/>
      <c r="B270" s="150"/>
      <c r="C270" s="150"/>
      <c r="D270" s="150"/>
      <c r="E270" s="140" t="str">
        <f t="shared" si="15"/>
        <v/>
      </c>
      <c r="F270" s="157"/>
      <c r="G270" s="145">
        <f t="shared" si="13"/>
        <v>0</v>
      </c>
      <c r="H270" s="140" t="str">
        <f t="shared" si="14"/>
        <v/>
      </c>
      <c r="J270" s="147" t="str">
        <f>IFERROR(SUMIFS(当年实际!$V:$V,当年实际!$J:$J,$C270,当年实际!$C:$C,"&gt;="&amp;DATE(YEAR(主页!$D$2),1,1),当年实际!$C:$C,"&lt;="&amp;EOMONTH(DATE(YEAR(主页!$D$2),MONTH(主页!$D$2),1),0))/SUMIFS(当年实际!$P:$P,当年实际!$J:$J,$C270,当年实际!$C:$C,"&gt;="&amp;DATE(YEAR(主页!$D$2),1,1),当年实际!$C:$C,"&lt;="&amp;EOMONTH(DATE(YEAR(主页!$D$2),MONTH(主页!$D$2),1),0)),"")</f>
        <v/>
      </c>
    </row>
    <row r="271" spans="1:10" x14ac:dyDescent="0.3">
      <c r="A271" s="129"/>
      <c r="B271" s="150"/>
      <c r="C271" s="150"/>
      <c r="D271" s="150"/>
      <c r="E271" s="140" t="str">
        <f t="shared" si="15"/>
        <v/>
      </c>
      <c r="F271" s="157"/>
      <c r="G271" s="145">
        <f t="shared" si="13"/>
        <v>0</v>
      </c>
      <c r="H271" s="140" t="str">
        <f t="shared" si="14"/>
        <v/>
      </c>
      <c r="J271" s="147" t="str">
        <f>IFERROR(SUMIFS(当年实际!$V:$V,当年实际!$J:$J,$C271,当年实际!$C:$C,"&gt;="&amp;DATE(YEAR(主页!$D$2),1,1),当年实际!$C:$C,"&lt;="&amp;EOMONTH(DATE(YEAR(主页!$D$2),MONTH(主页!$D$2),1),0))/SUMIFS(当年实际!$P:$P,当年实际!$J:$J,$C271,当年实际!$C:$C,"&gt;="&amp;DATE(YEAR(主页!$D$2),1,1),当年实际!$C:$C,"&lt;="&amp;EOMONTH(DATE(YEAR(主页!$D$2),MONTH(主页!$D$2),1),0)),"")</f>
        <v/>
      </c>
    </row>
    <row r="272" spans="1:10" x14ac:dyDescent="0.3">
      <c r="A272" s="129"/>
      <c r="B272" s="150"/>
      <c r="C272" s="150"/>
      <c r="D272" s="150"/>
      <c r="E272" s="140" t="str">
        <f t="shared" si="15"/>
        <v/>
      </c>
      <c r="F272" s="157"/>
      <c r="G272" s="145">
        <f t="shared" si="13"/>
        <v>0</v>
      </c>
      <c r="H272" s="140" t="str">
        <f t="shared" si="14"/>
        <v/>
      </c>
      <c r="J272" s="147" t="str">
        <f>IFERROR(SUMIFS(当年实际!$V:$V,当年实际!$J:$J,$C272,当年实际!$C:$C,"&gt;="&amp;DATE(YEAR(主页!$D$2),1,1),当年实际!$C:$C,"&lt;="&amp;EOMONTH(DATE(YEAR(主页!$D$2),MONTH(主页!$D$2),1),0))/SUMIFS(当年实际!$P:$P,当年实际!$J:$J,$C272,当年实际!$C:$C,"&gt;="&amp;DATE(YEAR(主页!$D$2),1,1),当年实际!$C:$C,"&lt;="&amp;EOMONTH(DATE(YEAR(主页!$D$2),MONTH(主页!$D$2),1),0)),"")</f>
        <v/>
      </c>
    </row>
    <row r="273" spans="1:10" x14ac:dyDescent="0.3">
      <c r="A273" s="129"/>
      <c r="B273" s="150"/>
      <c r="C273" s="150"/>
      <c r="D273" s="150"/>
      <c r="E273" s="140" t="str">
        <f t="shared" si="15"/>
        <v/>
      </c>
      <c r="F273" s="157"/>
      <c r="G273" s="145">
        <f t="shared" si="13"/>
        <v>0</v>
      </c>
      <c r="H273" s="140" t="str">
        <f t="shared" si="14"/>
        <v/>
      </c>
      <c r="J273" s="147" t="str">
        <f>IFERROR(SUMIFS(当年实际!$V:$V,当年实际!$J:$J,$C273,当年实际!$C:$C,"&gt;="&amp;DATE(YEAR(主页!$D$2),1,1),当年实际!$C:$C,"&lt;="&amp;EOMONTH(DATE(YEAR(主页!$D$2),MONTH(主页!$D$2),1),0))/SUMIFS(当年实际!$P:$P,当年实际!$J:$J,$C273,当年实际!$C:$C,"&gt;="&amp;DATE(YEAR(主页!$D$2),1,1),当年实际!$C:$C,"&lt;="&amp;EOMONTH(DATE(YEAR(主页!$D$2),MONTH(主页!$D$2),1),0)),"")</f>
        <v/>
      </c>
    </row>
    <row r="274" spans="1:10" x14ac:dyDescent="0.3">
      <c r="A274" s="129"/>
      <c r="B274" s="150"/>
      <c r="C274" s="150"/>
      <c r="D274" s="150"/>
      <c r="E274" s="140" t="str">
        <f t="shared" si="15"/>
        <v/>
      </c>
      <c r="F274" s="157"/>
      <c r="G274" s="145">
        <f t="shared" si="13"/>
        <v>0</v>
      </c>
      <c r="H274" s="140" t="str">
        <f t="shared" si="14"/>
        <v/>
      </c>
      <c r="J274" s="147" t="str">
        <f>IFERROR(SUMIFS(当年实际!$V:$V,当年实际!$J:$J,$C274,当年实际!$C:$C,"&gt;="&amp;DATE(YEAR(主页!$D$2),1,1),当年实际!$C:$C,"&lt;="&amp;EOMONTH(DATE(YEAR(主页!$D$2),MONTH(主页!$D$2),1),0))/SUMIFS(当年实际!$P:$P,当年实际!$J:$J,$C274,当年实际!$C:$C,"&gt;="&amp;DATE(YEAR(主页!$D$2),1,1),当年实际!$C:$C,"&lt;="&amp;EOMONTH(DATE(YEAR(主页!$D$2),MONTH(主页!$D$2),1),0)),"")</f>
        <v/>
      </c>
    </row>
    <row r="275" spans="1:10" x14ac:dyDescent="0.3">
      <c r="A275" s="129"/>
      <c r="B275" s="150"/>
      <c r="C275" s="150"/>
      <c r="D275" s="150"/>
      <c r="E275" s="140" t="str">
        <f t="shared" si="15"/>
        <v/>
      </c>
      <c r="F275" s="157"/>
      <c r="G275" s="145">
        <f t="shared" si="13"/>
        <v>0</v>
      </c>
      <c r="H275" s="140" t="str">
        <f t="shared" si="14"/>
        <v/>
      </c>
      <c r="J275" s="147" t="str">
        <f>IFERROR(SUMIFS(当年实际!$V:$V,当年实际!$J:$J,$C275,当年实际!$C:$C,"&gt;="&amp;DATE(YEAR(主页!$D$2),1,1),当年实际!$C:$C,"&lt;="&amp;EOMONTH(DATE(YEAR(主页!$D$2),MONTH(主页!$D$2),1),0))/SUMIFS(当年实际!$P:$P,当年实际!$J:$J,$C275,当年实际!$C:$C,"&gt;="&amp;DATE(YEAR(主页!$D$2),1,1),当年实际!$C:$C,"&lt;="&amp;EOMONTH(DATE(YEAR(主页!$D$2),MONTH(主页!$D$2),1),0)),"")</f>
        <v/>
      </c>
    </row>
    <row r="276" spans="1:10" x14ac:dyDescent="0.3">
      <c r="A276" s="129"/>
      <c r="B276" s="150"/>
      <c r="C276" s="150"/>
      <c r="D276" s="150"/>
      <c r="E276" s="140" t="str">
        <f t="shared" si="15"/>
        <v/>
      </c>
      <c r="F276" s="157"/>
      <c r="G276" s="145">
        <f t="shared" si="13"/>
        <v>0</v>
      </c>
      <c r="H276" s="140" t="str">
        <f t="shared" si="14"/>
        <v/>
      </c>
      <c r="J276" s="147" t="str">
        <f>IFERROR(SUMIFS(当年实际!$V:$V,当年实际!$J:$J,$C276,当年实际!$C:$C,"&gt;="&amp;DATE(YEAR(主页!$D$2),1,1),当年实际!$C:$C,"&lt;="&amp;EOMONTH(DATE(YEAR(主页!$D$2),MONTH(主页!$D$2),1),0))/SUMIFS(当年实际!$P:$P,当年实际!$J:$J,$C276,当年实际!$C:$C,"&gt;="&amp;DATE(YEAR(主页!$D$2),1,1),当年实际!$C:$C,"&lt;="&amp;EOMONTH(DATE(YEAR(主页!$D$2),MONTH(主页!$D$2),1),0)),"")</f>
        <v/>
      </c>
    </row>
    <row r="277" spans="1:10" x14ac:dyDescent="0.3">
      <c r="A277" s="129"/>
      <c r="B277" s="150"/>
      <c r="C277" s="150"/>
      <c r="D277" s="150"/>
      <c r="E277" s="140" t="str">
        <f t="shared" si="15"/>
        <v/>
      </c>
      <c r="F277" s="157"/>
      <c r="G277" s="145">
        <f t="shared" si="13"/>
        <v>0</v>
      </c>
      <c r="H277" s="140" t="str">
        <f t="shared" si="14"/>
        <v/>
      </c>
      <c r="J277" s="147" t="str">
        <f>IFERROR(SUMIFS(当年实际!$V:$V,当年实际!$J:$J,$C277,当年实际!$C:$C,"&gt;="&amp;DATE(YEAR(主页!$D$2),1,1),当年实际!$C:$C,"&lt;="&amp;EOMONTH(DATE(YEAR(主页!$D$2),MONTH(主页!$D$2),1),0))/SUMIFS(当年实际!$P:$P,当年实际!$J:$J,$C277,当年实际!$C:$C,"&gt;="&amp;DATE(YEAR(主页!$D$2),1,1),当年实际!$C:$C,"&lt;="&amp;EOMONTH(DATE(YEAR(主页!$D$2),MONTH(主页!$D$2),1),0)),"")</f>
        <v/>
      </c>
    </row>
    <row r="278" spans="1:10" x14ac:dyDescent="0.3">
      <c r="A278" s="129"/>
      <c r="B278" s="150"/>
      <c r="C278" s="150"/>
      <c r="D278" s="150"/>
      <c r="E278" s="140" t="str">
        <f t="shared" si="15"/>
        <v/>
      </c>
      <c r="F278" s="157"/>
      <c r="G278" s="145">
        <f t="shared" si="13"/>
        <v>0</v>
      </c>
      <c r="H278" s="140" t="str">
        <f t="shared" si="14"/>
        <v/>
      </c>
      <c r="J278" s="147" t="str">
        <f>IFERROR(SUMIFS(当年实际!$V:$V,当年实际!$J:$J,$C278,当年实际!$C:$C,"&gt;="&amp;DATE(YEAR(主页!$D$2),1,1),当年实际!$C:$C,"&lt;="&amp;EOMONTH(DATE(YEAR(主页!$D$2),MONTH(主页!$D$2),1),0))/SUMIFS(当年实际!$P:$P,当年实际!$J:$J,$C278,当年实际!$C:$C,"&gt;="&amp;DATE(YEAR(主页!$D$2),1,1),当年实际!$C:$C,"&lt;="&amp;EOMONTH(DATE(YEAR(主页!$D$2),MONTH(主页!$D$2),1),0)),"")</f>
        <v/>
      </c>
    </row>
    <row r="279" spans="1:10" x14ac:dyDescent="0.3">
      <c r="A279" s="129"/>
      <c r="B279" s="150"/>
      <c r="C279" s="150"/>
      <c r="D279" s="150"/>
      <c r="E279" s="140" t="str">
        <f t="shared" si="15"/>
        <v/>
      </c>
      <c r="F279" s="157"/>
      <c r="G279" s="145">
        <f t="shared" si="13"/>
        <v>0</v>
      </c>
      <c r="H279" s="140" t="str">
        <f t="shared" si="14"/>
        <v/>
      </c>
      <c r="J279" s="147" t="str">
        <f>IFERROR(SUMIFS(当年实际!$V:$V,当年实际!$J:$J,$C279,当年实际!$C:$C,"&gt;="&amp;DATE(YEAR(主页!$D$2),1,1),当年实际!$C:$C,"&lt;="&amp;EOMONTH(DATE(YEAR(主页!$D$2),MONTH(主页!$D$2),1),0))/SUMIFS(当年实际!$P:$P,当年实际!$J:$J,$C279,当年实际!$C:$C,"&gt;="&amp;DATE(YEAR(主页!$D$2),1,1),当年实际!$C:$C,"&lt;="&amp;EOMONTH(DATE(YEAR(主页!$D$2),MONTH(主页!$D$2),1),0)),"")</f>
        <v/>
      </c>
    </row>
    <row r="280" spans="1:10" x14ac:dyDescent="0.3">
      <c r="A280" s="129"/>
      <c r="B280" s="150"/>
      <c r="C280" s="150"/>
      <c r="D280" s="150"/>
      <c r="E280" s="140" t="str">
        <f t="shared" si="15"/>
        <v/>
      </c>
      <c r="F280" s="157"/>
      <c r="G280" s="145">
        <f t="shared" si="13"/>
        <v>0</v>
      </c>
      <c r="H280" s="140" t="str">
        <f t="shared" si="14"/>
        <v/>
      </c>
      <c r="J280" s="147" t="str">
        <f>IFERROR(SUMIFS(当年实际!$V:$V,当年实际!$J:$J,$C280,当年实际!$C:$C,"&gt;="&amp;DATE(YEAR(主页!$D$2),1,1),当年实际!$C:$C,"&lt;="&amp;EOMONTH(DATE(YEAR(主页!$D$2),MONTH(主页!$D$2),1),0))/SUMIFS(当年实际!$P:$P,当年实际!$J:$J,$C280,当年实际!$C:$C,"&gt;="&amp;DATE(YEAR(主页!$D$2),1,1),当年实际!$C:$C,"&lt;="&amp;EOMONTH(DATE(YEAR(主页!$D$2),MONTH(主页!$D$2),1),0)),"")</f>
        <v/>
      </c>
    </row>
    <row r="281" spans="1:10" x14ac:dyDescent="0.3">
      <c r="A281" s="129"/>
      <c r="B281" s="150"/>
      <c r="C281" s="150"/>
      <c r="D281" s="150"/>
      <c r="E281" s="140" t="str">
        <f t="shared" si="15"/>
        <v/>
      </c>
      <c r="F281" s="157"/>
      <c r="G281" s="145">
        <f t="shared" si="13"/>
        <v>0</v>
      </c>
      <c r="H281" s="140" t="str">
        <f t="shared" si="14"/>
        <v/>
      </c>
      <c r="J281" s="147" t="str">
        <f>IFERROR(SUMIFS(当年实际!$V:$V,当年实际!$J:$J,$C281,当年实际!$C:$C,"&gt;="&amp;DATE(YEAR(主页!$D$2),1,1),当年实际!$C:$C,"&lt;="&amp;EOMONTH(DATE(YEAR(主页!$D$2),MONTH(主页!$D$2),1),0))/SUMIFS(当年实际!$P:$P,当年实际!$J:$J,$C281,当年实际!$C:$C,"&gt;="&amp;DATE(YEAR(主页!$D$2),1,1),当年实际!$C:$C,"&lt;="&amp;EOMONTH(DATE(YEAR(主页!$D$2),MONTH(主页!$D$2),1),0)),"")</f>
        <v/>
      </c>
    </row>
    <row r="282" spans="1:10" x14ac:dyDescent="0.3">
      <c r="A282" s="129"/>
      <c r="B282" s="150"/>
      <c r="C282" s="150"/>
      <c r="D282" s="150"/>
      <c r="E282" s="140" t="str">
        <f t="shared" si="15"/>
        <v/>
      </c>
      <c r="F282" s="157"/>
      <c r="G282" s="145">
        <f t="shared" si="13"/>
        <v>0</v>
      </c>
      <c r="H282" s="140" t="str">
        <f t="shared" si="14"/>
        <v/>
      </c>
      <c r="J282" s="147" t="str">
        <f>IFERROR(SUMIFS(当年实际!$V:$V,当年实际!$J:$J,$C282,当年实际!$C:$C,"&gt;="&amp;DATE(YEAR(主页!$D$2),1,1),当年实际!$C:$C,"&lt;="&amp;EOMONTH(DATE(YEAR(主页!$D$2),MONTH(主页!$D$2),1),0))/SUMIFS(当年实际!$P:$P,当年实际!$J:$J,$C282,当年实际!$C:$C,"&gt;="&amp;DATE(YEAR(主页!$D$2),1,1),当年实际!$C:$C,"&lt;="&amp;EOMONTH(DATE(YEAR(主页!$D$2),MONTH(主页!$D$2),1),0)),"")</f>
        <v/>
      </c>
    </row>
    <row r="283" spans="1:10" x14ac:dyDescent="0.3">
      <c r="A283" s="129"/>
      <c r="B283" s="150"/>
      <c r="C283" s="150"/>
      <c r="D283" s="150"/>
      <c r="E283" s="140" t="str">
        <f t="shared" si="15"/>
        <v/>
      </c>
      <c r="F283" s="157"/>
      <c r="G283" s="145">
        <f t="shared" si="13"/>
        <v>0</v>
      </c>
      <c r="H283" s="140" t="str">
        <f t="shared" si="14"/>
        <v/>
      </c>
      <c r="J283" s="147" t="str">
        <f>IFERROR(SUMIFS(当年实际!$V:$V,当年实际!$J:$J,$C283,当年实际!$C:$C,"&gt;="&amp;DATE(YEAR(主页!$D$2),1,1),当年实际!$C:$C,"&lt;="&amp;EOMONTH(DATE(YEAR(主页!$D$2),MONTH(主页!$D$2),1),0))/SUMIFS(当年实际!$P:$P,当年实际!$J:$J,$C283,当年实际!$C:$C,"&gt;="&amp;DATE(YEAR(主页!$D$2),1,1),当年实际!$C:$C,"&lt;="&amp;EOMONTH(DATE(YEAR(主页!$D$2),MONTH(主页!$D$2),1),0)),"")</f>
        <v/>
      </c>
    </row>
    <row r="284" spans="1:10" x14ac:dyDescent="0.3">
      <c r="A284" s="129"/>
      <c r="B284" s="150"/>
      <c r="C284" s="150"/>
      <c r="D284" s="150"/>
      <c r="E284" s="140" t="str">
        <f t="shared" si="15"/>
        <v/>
      </c>
      <c r="F284" s="157"/>
      <c r="G284" s="145">
        <f t="shared" si="13"/>
        <v>0</v>
      </c>
      <c r="H284" s="140" t="str">
        <f t="shared" si="14"/>
        <v/>
      </c>
      <c r="J284" s="147" t="str">
        <f>IFERROR(SUMIFS(当年实际!$V:$V,当年实际!$J:$J,$C284,当年实际!$C:$C,"&gt;="&amp;DATE(YEAR(主页!$D$2),1,1),当年实际!$C:$C,"&lt;="&amp;EOMONTH(DATE(YEAR(主页!$D$2),MONTH(主页!$D$2),1),0))/SUMIFS(当年实际!$P:$P,当年实际!$J:$J,$C284,当年实际!$C:$C,"&gt;="&amp;DATE(YEAR(主页!$D$2),1,1),当年实际!$C:$C,"&lt;="&amp;EOMONTH(DATE(YEAR(主页!$D$2),MONTH(主页!$D$2),1),0)),"")</f>
        <v/>
      </c>
    </row>
    <row r="285" spans="1:10" x14ac:dyDescent="0.3">
      <c r="A285" s="129"/>
      <c r="B285" s="150"/>
      <c r="C285" s="150"/>
      <c r="D285" s="150"/>
      <c r="E285" s="140" t="str">
        <f t="shared" si="15"/>
        <v/>
      </c>
      <c r="F285" s="157"/>
      <c r="G285" s="145">
        <f t="shared" si="13"/>
        <v>0</v>
      </c>
      <c r="H285" s="140" t="str">
        <f t="shared" si="14"/>
        <v/>
      </c>
      <c r="J285" s="147" t="str">
        <f>IFERROR(SUMIFS(当年实际!$V:$V,当年实际!$J:$J,$C285,当年实际!$C:$C,"&gt;="&amp;DATE(YEAR(主页!$D$2),1,1),当年实际!$C:$C,"&lt;="&amp;EOMONTH(DATE(YEAR(主页!$D$2),MONTH(主页!$D$2),1),0))/SUMIFS(当年实际!$P:$P,当年实际!$J:$J,$C285,当年实际!$C:$C,"&gt;="&amp;DATE(YEAR(主页!$D$2),1,1),当年实际!$C:$C,"&lt;="&amp;EOMONTH(DATE(YEAR(主页!$D$2),MONTH(主页!$D$2),1),0)),"")</f>
        <v/>
      </c>
    </row>
    <row r="286" spans="1:10" x14ac:dyDescent="0.3">
      <c r="A286" s="129"/>
      <c r="B286" s="150"/>
      <c r="C286" s="150"/>
      <c r="D286" s="150"/>
      <c r="E286" s="140" t="str">
        <f t="shared" si="15"/>
        <v/>
      </c>
      <c r="F286" s="157"/>
      <c r="G286" s="145">
        <f t="shared" si="13"/>
        <v>0</v>
      </c>
      <c r="H286" s="140" t="str">
        <f t="shared" si="14"/>
        <v/>
      </c>
      <c r="J286" s="147" t="str">
        <f>IFERROR(SUMIFS(当年实际!$V:$V,当年实际!$J:$J,$C286,当年实际!$C:$C,"&gt;="&amp;DATE(YEAR(主页!$D$2),1,1),当年实际!$C:$C,"&lt;="&amp;EOMONTH(DATE(YEAR(主页!$D$2),MONTH(主页!$D$2),1),0))/SUMIFS(当年实际!$P:$P,当年实际!$J:$J,$C286,当年实际!$C:$C,"&gt;="&amp;DATE(YEAR(主页!$D$2),1,1),当年实际!$C:$C,"&lt;="&amp;EOMONTH(DATE(YEAR(主页!$D$2),MONTH(主页!$D$2),1),0)),"")</f>
        <v/>
      </c>
    </row>
    <row r="287" spans="1:10" x14ac:dyDescent="0.3">
      <c r="A287" s="129"/>
      <c r="B287" s="150"/>
      <c r="C287" s="150"/>
      <c r="D287" s="150"/>
      <c r="E287" s="140" t="str">
        <f t="shared" si="15"/>
        <v/>
      </c>
      <c r="F287" s="157"/>
      <c r="G287" s="145">
        <f t="shared" ref="G287:G350" si="16">D287*F287</f>
        <v>0</v>
      </c>
      <c r="H287" s="140" t="str">
        <f t="shared" ref="H287:H350" si="17">IF(G287/SUM(G:G)=0,"",G287/SUM(G:G))</f>
        <v/>
      </c>
      <c r="J287" s="147" t="str">
        <f>IFERROR(SUMIFS(当年实际!$V:$V,当年实际!$J:$J,$C287,当年实际!$C:$C,"&gt;="&amp;DATE(YEAR(主页!$D$2),1,1),当年实际!$C:$C,"&lt;="&amp;EOMONTH(DATE(YEAR(主页!$D$2),MONTH(主页!$D$2),1),0))/SUMIFS(当年实际!$P:$P,当年实际!$J:$J,$C287,当年实际!$C:$C,"&gt;="&amp;DATE(YEAR(主页!$D$2),1,1),当年实际!$C:$C,"&lt;="&amp;EOMONTH(DATE(YEAR(主页!$D$2),MONTH(主页!$D$2),1),0)),"")</f>
        <v/>
      </c>
    </row>
    <row r="288" spans="1:10" x14ac:dyDescent="0.3">
      <c r="A288" s="129"/>
      <c r="B288" s="150"/>
      <c r="C288" s="150"/>
      <c r="D288" s="150"/>
      <c r="E288" s="140" t="str">
        <f t="shared" si="15"/>
        <v/>
      </c>
      <c r="F288" s="157"/>
      <c r="G288" s="145">
        <f t="shared" si="16"/>
        <v>0</v>
      </c>
      <c r="H288" s="140" t="str">
        <f t="shared" si="17"/>
        <v/>
      </c>
      <c r="J288" s="147" t="str">
        <f>IFERROR(SUMIFS(当年实际!$V:$V,当年实际!$J:$J,$C288,当年实际!$C:$C,"&gt;="&amp;DATE(YEAR(主页!$D$2),1,1),当年实际!$C:$C,"&lt;="&amp;EOMONTH(DATE(YEAR(主页!$D$2),MONTH(主页!$D$2),1),0))/SUMIFS(当年实际!$P:$P,当年实际!$J:$J,$C288,当年实际!$C:$C,"&gt;="&amp;DATE(YEAR(主页!$D$2),1,1),当年实际!$C:$C,"&lt;="&amp;EOMONTH(DATE(YEAR(主页!$D$2),MONTH(主页!$D$2),1),0)),"")</f>
        <v/>
      </c>
    </row>
    <row r="289" spans="1:10" x14ac:dyDescent="0.3">
      <c r="A289" s="129"/>
      <c r="B289" s="150"/>
      <c r="C289" s="150"/>
      <c r="D289" s="150"/>
      <c r="E289" s="140" t="str">
        <f t="shared" si="15"/>
        <v/>
      </c>
      <c r="F289" s="157"/>
      <c r="G289" s="145">
        <f t="shared" si="16"/>
        <v>0</v>
      </c>
      <c r="H289" s="140" t="str">
        <f t="shared" si="17"/>
        <v/>
      </c>
      <c r="J289" s="147" t="str">
        <f>IFERROR(SUMIFS(当年实际!$V:$V,当年实际!$J:$J,$C289,当年实际!$C:$C,"&gt;="&amp;DATE(YEAR(主页!$D$2),1,1),当年实际!$C:$C,"&lt;="&amp;EOMONTH(DATE(YEAR(主页!$D$2),MONTH(主页!$D$2),1),0))/SUMIFS(当年实际!$P:$P,当年实际!$J:$J,$C289,当年实际!$C:$C,"&gt;="&amp;DATE(YEAR(主页!$D$2),1,1),当年实际!$C:$C,"&lt;="&amp;EOMONTH(DATE(YEAR(主页!$D$2),MONTH(主页!$D$2),1),0)),"")</f>
        <v/>
      </c>
    </row>
    <row r="290" spans="1:10" x14ac:dyDescent="0.3">
      <c r="A290" s="129"/>
      <c r="B290" s="150"/>
      <c r="C290" s="150"/>
      <c r="D290" s="150"/>
      <c r="E290" s="140" t="str">
        <f t="shared" si="15"/>
        <v/>
      </c>
      <c r="F290" s="157"/>
      <c r="G290" s="145">
        <f t="shared" si="16"/>
        <v>0</v>
      </c>
      <c r="H290" s="140" t="str">
        <f t="shared" si="17"/>
        <v/>
      </c>
      <c r="J290" s="147" t="str">
        <f>IFERROR(SUMIFS(当年实际!$V:$V,当年实际!$J:$J,$C290,当年实际!$C:$C,"&gt;="&amp;DATE(YEAR(主页!$D$2),1,1),当年实际!$C:$C,"&lt;="&amp;EOMONTH(DATE(YEAR(主页!$D$2),MONTH(主页!$D$2),1),0))/SUMIFS(当年实际!$P:$P,当年实际!$J:$J,$C290,当年实际!$C:$C,"&gt;="&amp;DATE(YEAR(主页!$D$2),1,1),当年实际!$C:$C,"&lt;="&amp;EOMONTH(DATE(YEAR(主页!$D$2),MONTH(主页!$D$2),1),0)),"")</f>
        <v/>
      </c>
    </row>
    <row r="291" spans="1:10" x14ac:dyDescent="0.3">
      <c r="A291" s="129"/>
      <c r="B291" s="150"/>
      <c r="C291" s="150"/>
      <c r="D291" s="150"/>
      <c r="E291" s="140" t="str">
        <f t="shared" si="15"/>
        <v/>
      </c>
      <c r="F291" s="157"/>
      <c r="G291" s="145">
        <f t="shared" si="16"/>
        <v>0</v>
      </c>
      <c r="H291" s="140" t="str">
        <f t="shared" si="17"/>
        <v/>
      </c>
      <c r="J291" s="147" t="str">
        <f>IFERROR(SUMIFS(当年实际!$V:$V,当年实际!$J:$J,$C291,当年实际!$C:$C,"&gt;="&amp;DATE(YEAR(主页!$D$2),1,1),当年实际!$C:$C,"&lt;="&amp;EOMONTH(DATE(YEAR(主页!$D$2),MONTH(主页!$D$2),1),0))/SUMIFS(当年实际!$P:$P,当年实际!$J:$J,$C291,当年实际!$C:$C,"&gt;="&amp;DATE(YEAR(主页!$D$2),1,1),当年实际!$C:$C,"&lt;="&amp;EOMONTH(DATE(YEAR(主页!$D$2),MONTH(主页!$D$2),1),0)),"")</f>
        <v/>
      </c>
    </row>
    <row r="292" spans="1:10" x14ac:dyDescent="0.3">
      <c r="A292" s="129"/>
      <c r="B292" s="150"/>
      <c r="C292" s="150"/>
      <c r="D292" s="150"/>
      <c r="E292" s="140" t="str">
        <f t="shared" si="15"/>
        <v/>
      </c>
      <c r="F292" s="157"/>
      <c r="G292" s="145">
        <f t="shared" si="16"/>
        <v>0</v>
      </c>
      <c r="H292" s="140" t="str">
        <f t="shared" si="17"/>
        <v/>
      </c>
      <c r="J292" s="147" t="str">
        <f>IFERROR(SUMIFS(当年实际!$V:$V,当年实际!$J:$J,$C292,当年实际!$C:$C,"&gt;="&amp;DATE(YEAR(主页!$D$2),1,1),当年实际!$C:$C,"&lt;="&amp;EOMONTH(DATE(YEAR(主页!$D$2),MONTH(主页!$D$2),1),0))/SUMIFS(当年实际!$P:$P,当年实际!$J:$J,$C292,当年实际!$C:$C,"&gt;="&amp;DATE(YEAR(主页!$D$2),1,1),当年实际!$C:$C,"&lt;="&amp;EOMONTH(DATE(YEAR(主页!$D$2),MONTH(主页!$D$2),1),0)),"")</f>
        <v/>
      </c>
    </row>
    <row r="293" spans="1:10" x14ac:dyDescent="0.3">
      <c r="A293" s="129"/>
      <c r="B293" s="150"/>
      <c r="C293" s="150"/>
      <c r="D293" s="150"/>
      <c r="E293" s="140" t="str">
        <f t="shared" si="15"/>
        <v/>
      </c>
      <c r="F293" s="157"/>
      <c r="G293" s="145">
        <f t="shared" si="16"/>
        <v>0</v>
      </c>
      <c r="H293" s="140" t="str">
        <f t="shared" si="17"/>
        <v/>
      </c>
      <c r="J293" s="147" t="str">
        <f>IFERROR(SUMIFS(当年实际!$V:$V,当年实际!$J:$J,$C293,当年实际!$C:$C,"&gt;="&amp;DATE(YEAR(主页!$D$2),1,1),当年实际!$C:$C,"&lt;="&amp;EOMONTH(DATE(YEAR(主页!$D$2),MONTH(主页!$D$2),1),0))/SUMIFS(当年实际!$P:$P,当年实际!$J:$J,$C293,当年实际!$C:$C,"&gt;="&amp;DATE(YEAR(主页!$D$2),1,1),当年实际!$C:$C,"&lt;="&amp;EOMONTH(DATE(YEAR(主页!$D$2),MONTH(主页!$D$2),1),0)),"")</f>
        <v/>
      </c>
    </row>
    <row r="294" spans="1:10" x14ac:dyDescent="0.3">
      <c r="A294" s="129"/>
      <c r="B294" s="150"/>
      <c r="C294" s="150"/>
      <c r="D294" s="150"/>
      <c r="E294" s="140" t="str">
        <f t="shared" si="15"/>
        <v/>
      </c>
      <c r="F294" s="157"/>
      <c r="G294" s="145">
        <f t="shared" si="16"/>
        <v>0</v>
      </c>
      <c r="H294" s="140" t="str">
        <f t="shared" si="17"/>
        <v/>
      </c>
      <c r="J294" s="147" t="str">
        <f>IFERROR(SUMIFS(当年实际!$V:$V,当年实际!$J:$J,$C294,当年实际!$C:$C,"&gt;="&amp;DATE(YEAR(主页!$D$2),1,1),当年实际!$C:$C,"&lt;="&amp;EOMONTH(DATE(YEAR(主页!$D$2),MONTH(主页!$D$2),1),0))/SUMIFS(当年实际!$P:$P,当年实际!$J:$J,$C294,当年实际!$C:$C,"&gt;="&amp;DATE(YEAR(主页!$D$2),1,1),当年实际!$C:$C,"&lt;="&amp;EOMONTH(DATE(YEAR(主页!$D$2),MONTH(主页!$D$2),1),0)),"")</f>
        <v/>
      </c>
    </row>
    <row r="295" spans="1:10" x14ac:dyDescent="0.3">
      <c r="A295" s="129"/>
      <c r="B295" s="150"/>
      <c r="C295" s="150"/>
      <c r="D295" s="150"/>
      <c r="E295" s="140" t="str">
        <f t="shared" si="15"/>
        <v/>
      </c>
      <c r="F295" s="157"/>
      <c r="G295" s="145">
        <f t="shared" si="16"/>
        <v>0</v>
      </c>
      <c r="H295" s="140" t="str">
        <f t="shared" si="17"/>
        <v/>
      </c>
      <c r="J295" s="147" t="str">
        <f>IFERROR(SUMIFS(当年实际!$V:$V,当年实际!$J:$J,$C295,当年实际!$C:$C,"&gt;="&amp;DATE(YEAR(主页!$D$2),1,1),当年实际!$C:$C,"&lt;="&amp;EOMONTH(DATE(YEAR(主页!$D$2),MONTH(主页!$D$2),1),0))/SUMIFS(当年实际!$P:$P,当年实际!$J:$J,$C295,当年实际!$C:$C,"&gt;="&amp;DATE(YEAR(主页!$D$2),1,1),当年实际!$C:$C,"&lt;="&amp;EOMONTH(DATE(YEAR(主页!$D$2),MONTH(主页!$D$2),1),0)),"")</f>
        <v/>
      </c>
    </row>
    <row r="296" spans="1:10" x14ac:dyDescent="0.3">
      <c r="A296" s="129"/>
      <c r="B296" s="150"/>
      <c r="C296" s="150"/>
      <c r="D296" s="150"/>
      <c r="E296" s="140" t="str">
        <f t="shared" si="15"/>
        <v/>
      </c>
      <c r="F296" s="157"/>
      <c r="G296" s="145">
        <f t="shared" si="16"/>
        <v>0</v>
      </c>
      <c r="H296" s="140" t="str">
        <f t="shared" si="17"/>
        <v/>
      </c>
      <c r="J296" s="147" t="str">
        <f>IFERROR(SUMIFS(当年实际!$V:$V,当年实际!$J:$J,$C296,当年实际!$C:$C,"&gt;="&amp;DATE(YEAR(主页!$D$2),1,1),当年实际!$C:$C,"&lt;="&amp;EOMONTH(DATE(YEAR(主页!$D$2),MONTH(主页!$D$2),1),0))/SUMIFS(当年实际!$P:$P,当年实际!$J:$J,$C296,当年实际!$C:$C,"&gt;="&amp;DATE(YEAR(主页!$D$2),1,1),当年实际!$C:$C,"&lt;="&amp;EOMONTH(DATE(YEAR(主页!$D$2),MONTH(主页!$D$2),1),0)),"")</f>
        <v/>
      </c>
    </row>
    <row r="297" spans="1:10" x14ac:dyDescent="0.3">
      <c r="A297" s="129"/>
      <c r="B297" s="150"/>
      <c r="C297" s="150"/>
      <c r="D297" s="150"/>
      <c r="E297" s="140" t="str">
        <f t="shared" si="15"/>
        <v/>
      </c>
      <c r="F297" s="157"/>
      <c r="G297" s="145">
        <f t="shared" si="16"/>
        <v>0</v>
      </c>
      <c r="H297" s="140" t="str">
        <f t="shared" si="17"/>
        <v/>
      </c>
      <c r="J297" s="147" t="str">
        <f>IFERROR(SUMIFS(当年实际!$V:$V,当年实际!$J:$J,$C297,当年实际!$C:$C,"&gt;="&amp;DATE(YEAR(主页!$D$2),1,1),当年实际!$C:$C,"&lt;="&amp;EOMONTH(DATE(YEAR(主页!$D$2),MONTH(主页!$D$2),1),0))/SUMIFS(当年实际!$P:$P,当年实际!$J:$J,$C297,当年实际!$C:$C,"&gt;="&amp;DATE(YEAR(主页!$D$2),1,1),当年实际!$C:$C,"&lt;="&amp;EOMONTH(DATE(YEAR(主页!$D$2),MONTH(主页!$D$2),1),0)),"")</f>
        <v/>
      </c>
    </row>
    <row r="298" spans="1:10" x14ac:dyDescent="0.3">
      <c r="A298" s="129"/>
      <c r="B298" s="150"/>
      <c r="C298" s="150"/>
      <c r="D298" s="150"/>
      <c r="E298" s="140" t="str">
        <f t="shared" si="15"/>
        <v/>
      </c>
      <c r="F298" s="157"/>
      <c r="G298" s="145">
        <f t="shared" si="16"/>
        <v>0</v>
      </c>
      <c r="H298" s="140" t="str">
        <f t="shared" si="17"/>
        <v/>
      </c>
      <c r="J298" s="147" t="str">
        <f>IFERROR(SUMIFS(当年实际!$V:$V,当年实际!$J:$J,$C298,当年实际!$C:$C,"&gt;="&amp;DATE(YEAR(主页!$D$2),1,1),当年实际!$C:$C,"&lt;="&amp;EOMONTH(DATE(YEAR(主页!$D$2),MONTH(主页!$D$2),1),0))/SUMIFS(当年实际!$P:$P,当年实际!$J:$J,$C298,当年实际!$C:$C,"&gt;="&amp;DATE(YEAR(主页!$D$2),1,1),当年实际!$C:$C,"&lt;="&amp;EOMONTH(DATE(YEAR(主页!$D$2),MONTH(主页!$D$2),1),0)),"")</f>
        <v/>
      </c>
    </row>
    <row r="299" spans="1:10" x14ac:dyDescent="0.3">
      <c r="A299" s="129"/>
      <c r="B299" s="150"/>
      <c r="C299" s="150"/>
      <c r="D299" s="150"/>
      <c r="E299" s="140" t="str">
        <f t="shared" si="15"/>
        <v/>
      </c>
      <c r="F299" s="157"/>
      <c r="G299" s="145">
        <f t="shared" si="16"/>
        <v>0</v>
      </c>
      <c r="H299" s="140" t="str">
        <f t="shared" si="17"/>
        <v/>
      </c>
      <c r="J299" s="147" t="str">
        <f>IFERROR(SUMIFS(当年实际!$V:$V,当年实际!$J:$J,$C299,当年实际!$C:$C,"&gt;="&amp;DATE(YEAR(主页!$D$2),1,1),当年实际!$C:$C,"&lt;="&amp;EOMONTH(DATE(YEAR(主页!$D$2),MONTH(主页!$D$2),1),0))/SUMIFS(当年实际!$P:$P,当年实际!$J:$J,$C299,当年实际!$C:$C,"&gt;="&amp;DATE(YEAR(主页!$D$2),1,1),当年实际!$C:$C,"&lt;="&amp;EOMONTH(DATE(YEAR(主页!$D$2),MONTH(主页!$D$2),1),0)),"")</f>
        <v/>
      </c>
    </row>
    <row r="300" spans="1:10" x14ac:dyDescent="0.3">
      <c r="A300" s="129"/>
      <c r="B300" s="150"/>
      <c r="C300" s="150"/>
      <c r="D300" s="150"/>
      <c r="E300" s="140" t="str">
        <f t="shared" si="15"/>
        <v/>
      </c>
      <c r="F300" s="157"/>
      <c r="G300" s="145">
        <f t="shared" si="16"/>
        <v>0</v>
      </c>
      <c r="H300" s="140" t="str">
        <f t="shared" si="17"/>
        <v/>
      </c>
      <c r="J300" s="147" t="str">
        <f>IFERROR(SUMIFS(当年实际!$V:$V,当年实际!$J:$J,$C300,当年实际!$C:$C,"&gt;="&amp;DATE(YEAR(主页!$D$2),1,1),当年实际!$C:$C,"&lt;="&amp;EOMONTH(DATE(YEAR(主页!$D$2),MONTH(主页!$D$2),1),0))/SUMIFS(当年实际!$P:$P,当年实际!$J:$J,$C300,当年实际!$C:$C,"&gt;="&amp;DATE(YEAR(主页!$D$2),1,1),当年实际!$C:$C,"&lt;="&amp;EOMONTH(DATE(YEAR(主页!$D$2),MONTH(主页!$D$2),1),0)),"")</f>
        <v/>
      </c>
    </row>
    <row r="301" spans="1:10" x14ac:dyDescent="0.3">
      <c r="A301" s="129"/>
      <c r="B301" s="150"/>
      <c r="C301" s="150"/>
      <c r="D301" s="150"/>
      <c r="E301" s="140" t="str">
        <f t="shared" si="15"/>
        <v/>
      </c>
      <c r="F301" s="157"/>
      <c r="G301" s="145">
        <f t="shared" si="16"/>
        <v>0</v>
      </c>
      <c r="H301" s="140" t="str">
        <f t="shared" si="17"/>
        <v/>
      </c>
      <c r="J301" s="147" t="str">
        <f>IFERROR(SUMIFS(当年实际!$V:$V,当年实际!$J:$J,$C301,当年实际!$C:$C,"&gt;="&amp;DATE(YEAR(主页!$D$2),1,1),当年实际!$C:$C,"&lt;="&amp;EOMONTH(DATE(YEAR(主页!$D$2),MONTH(主页!$D$2),1),0))/SUMIFS(当年实际!$P:$P,当年实际!$J:$J,$C301,当年实际!$C:$C,"&gt;="&amp;DATE(YEAR(主页!$D$2),1,1),当年实际!$C:$C,"&lt;="&amp;EOMONTH(DATE(YEAR(主页!$D$2),MONTH(主页!$D$2),1),0)),"")</f>
        <v/>
      </c>
    </row>
    <row r="302" spans="1:10" x14ac:dyDescent="0.3">
      <c r="A302" s="129"/>
      <c r="B302" s="150"/>
      <c r="C302" s="150"/>
      <c r="D302" s="150"/>
      <c r="E302" s="140" t="str">
        <f t="shared" si="15"/>
        <v/>
      </c>
      <c r="F302" s="157"/>
      <c r="G302" s="145">
        <f t="shared" si="16"/>
        <v>0</v>
      </c>
      <c r="H302" s="140" t="str">
        <f t="shared" si="17"/>
        <v/>
      </c>
      <c r="J302" s="147" t="str">
        <f>IFERROR(SUMIFS(当年实际!$V:$V,当年实际!$J:$J,$C302,当年实际!$C:$C,"&gt;="&amp;DATE(YEAR(主页!$D$2),1,1),当年实际!$C:$C,"&lt;="&amp;EOMONTH(DATE(YEAR(主页!$D$2),MONTH(主页!$D$2),1),0))/SUMIFS(当年实际!$P:$P,当年实际!$J:$J,$C302,当年实际!$C:$C,"&gt;="&amp;DATE(YEAR(主页!$D$2),1,1),当年实际!$C:$C,"&lt;="&amp;EOMONTH(DATE(YEAR(主页!$D$2),MONTH(主页!$D$2),1),0)),"")</f>
        <v/>
      </c>
    </row>
    <row r="303" spans="1:10" x14ac:dyDescent="0.3">
      <c r="A303" s="129"/>
      <c r="B303" s="150"/>
      <c r="C303" s="150"/>
      <c r="D303" s="150"/>
      <c r="E303" s="140" t="str">
        <f t="shared" si="15"/>
        <v/>
      </c>
      <c r="F303" s="157"/>
      <c r="G303" s="145">
        <f t="shared" si="16"/>
        <v>0</v>
      </c>
      <c r="H303" s="140" t="str">
        <f t="shared" si="17"/>
        <v/>
      </c>
      <c r="J303" s="147" t="str">
        <f>IFERROR(SUMIFS(当年实际!$V:$V,当年实际!$J:$J,$C303,当年实际!$C:$C,"&gt;="&amp;DATE(YEAR(主页!$D$2),1,1),当年实际!$C:$C,"&lt;="&amp;EOMONTH(DATE(YEAR(主页!$D$2),MONTH(主页!$D$2),1),0))/SUMIFS(当年实际!$P:$P,当年实际!$J:$J,$C303,当年实际!$C:$C,"&gt;="&amp;DATE(YEAR(主页!$D$2),1,1),当年实际!$C:$C,"&lt;="&amp;EOMONTH(DATE(YEAR(主页!$D$2),MONTH(主页!$D$2),1),0)),"")</f>
        <v/>
      </c>
    </row>
    <row r="304" spans="1:10" x14ac:dyDescent="0.3">
      <c r="A304" s="129"/>
      <c r="B304" s="150"/>
      <c r="C304" s="150"/>
      <c r="D304" s="150"/>
      <c r="E304" s="140" t="str">
        <f t="shared" si="15"/>
        <v/>
      </c>
      <c r="F304" s="157"/>
      <c r="G304" s="145">
        <f t="shared" si="16"/>
        <v>0</v>
      </c>
      <c r="H304" s="140" t="str">
        <f t="shared" si="17"/>
        <v/>
      </c>
      <c r="J304" s="147" t="str">
        <f>IFERROR(SUMIFS(当年实际!$V:$V,当年实际!$J:$J,$C304,当年实际!$C:$C,"&gt;="&amp;DATE(YEAR(主页!$D$2),1,1),当年实际!$C:$C,"&lt;="&amp;EOMONTH(DATE(YEAR(主页!$D$2),MONTH(主页!$D$2),1),0))/SUMIFS(当年实际!$P:$P,当年实际!$J:$J,$C304,当年实际!$C:$C,"&gt;="&amp;DATE(YEAR(主页!$D$2),1,1),当年实际!$C:$C,"&lt;="&amp;EOMONTH(DATE(YEAR(主页!$D$2),MONTH(主页!$D$2),1),0)),"")</f>
        <v/>
      </c>
    </row>
    <row r="305" spans="1:10" x14ac:dyDescent="0.3">
      <c r="A305" s="129"/>
      <c r="B305" s="150"/>
      <c r="C305" s="150"/>
      <c r="D305" s="150"/>
      <c r="E305" s="140" t="str">
        <f t="shared" si="15"/>
        <v/>
      </c>
      <c r="F305" s="157"/>
      <c r="G305" s="145">
        <f t="shared" si="16"/>
        <v>0</v>
      </c>
      <c r="H305" s="140" t="str">
        <f t="shared" si="17"/>
        <v/>
      </c>
      <c r="J305" s="147" t="str">
        <f>IFERROR(SUMIFS(当年实际!$V:$V,当年实际!$J:$J,$C305,当年实际!$C:$C,"&gt;="&amp;DATE(YEAR(主页!$D$2),1,1),当年实际!$C:$C,"&lt;="&amp;EOMONTH(DATE(YEAR(主页!$D$2),MONTH(主页!$D$2),1),0))/SUMIFS(当年实际!$P:$P,当年实际!$J:$J,$C305,当年实际!$C:$C,"&gt;="&amp;DATE(YEAR(主页!$D$2),1,1),当年实际!$C:$C,"&lt;="&amp;EOMONTH(DATE(YEAR(主页!$D$2),MONTH(主页!$D$2),1),0)),"")</f>
        <v/>
      </c>
    </row>
    <row r="306" spans="1:10" x14ac:dyDescent="0.3">
      <c r="A306" s="129"/>
      <c r="B306" s="150"/>
      <c r="C306" s="150"/>
      <c r="D306" s="150"/>
      <c r="E306" s="140" t="str">
        <f t="shared" si="15"/>
        <v/>
      </c>
      <c r="F306" s="157"/>
      <c r="G306" s="145">
        <f t="shared" si="16"/>
        <v>0</v>
      </c>
      <c r="H306" s="140" t="str">
        <f t="shared" si="17"/>
        <v/>
      </c>
      <c r="J306" s="147" t="str">
        <f>IFERROR(SUMIFS(当年实际!$V:$V,当年实际!$J:$J,$C306,当年实际!$C:$C,"&gt;="&amp;DATE(YEAR(主页!$D$2),1,1),当年实际!$C:$C,"&lt;="&amp;EOMONTH(DATE(YEAR(主页!$D$2),MONTH(主页!$D$2),1),0))/SUMIFS(当年实际!$P:$P,当年实际!$J:$J,$C306,当年实际!$C:$C,"&gt;="&amp;DATE(YEAR(主页!$D$2),1,1),当年实际!$C:$C,"&lt;="&amp;EOMONTH(DATE(YEAR(主页!$D$2),MONTH(主页!$D$2),1),0)),"")</f>
        <v/>
      </c>
    </row>
    <row r="307" spans="1:10" x14ac:dyDescent="0.3">
      <c r="A307" s="129"/>
      <c r="B307" s="150"/>
      <c r="C307" s="150"/>
      <c r="D307" s="150"/>
      <c r="E307" s="140" t="str">
        <f t="shared" si="15"/>
        <v/>
      </c>
      <c r="F307" s="157"/>
      <c r="G307" s="145">
        <f t="shared" si="16"/>
        <v>0</v>
      </c>
      <c r="H307" s="140" t="str">
        <f t="shared" si="17"/>
        <v/>
      </c>
      <c r="J307" s="147" t="str">
        <f>IFERROR(SUMIFS(当年实际!$V:$V,当年实际!$J:$J,$C307,当年实际!$C:$C,"&gt;="&amp;DATE(YEAR(主页!$D$2),1,1),当年实际!$C:$C,"&lt;="&amp;EOMONTH(DATE(YEAR(主页!$D$2),MONTH(主页!$D$2),1),0))/SUMIFS(当年实际!$P:$P,当年实际!$J:$J,$C307,当年实际!$C:$C,"&gt;="&amp;DATE(YEAR(主页!$D$2),1,1),当年实际!$C:$C,"&lt;="&amp;EOMONTH(DATE(YEAR(主页!$D$2),MONTH(主页!$D$2),1),0)),"")</f>
        <v/>
      </c>
    </row>
    <row r="308" spans="1:10" x14ac:dyDescent="0.3">
      <c r="A308" s="129"/>
      <c r="B308" s="150"/>
      <c r="C308" s="150"/>
      <c r="D308" s="150"/>
      <c r="E308" s="140" t="str">
        <f t="shared" si="15"/>
        <v/>
      </c>
      <c r="F308" s="157"/>
      <c r="G308" s="145">
        <f t="shared" si="16"/>
        <v>0</v>
      </c>
      <c r="H308" s="140" t="str">
        <f t="shared" si="17"/>
        <v/>
      </c>
      <c r="J308" s="147" t="str">
        <f>IFERROR(SUMIFS(当年实际!$V:$V,当年实际!$J:$J,$C308,当年实际!$C:$C,"&gt;="&amp;DATE(YEAR(主页!$D$2),1,1),当年实际!$C:$C,"&lt;="&amp;EOMONTH(DATE(YEAR(主页!$D$2),MONTH(主页!$D$2),1),0))/SUMIFS(当年实际!$P:$P,当年实际!$J:$J,$C308,当年实际!$C:$C,"&gt;="&amp;DATE(YEAR(主页!$D$2),1,1),当年实际!$C:$C,"&lt;="&amp;EOMONTH(DATE(YEAR(主页!$D$2),MONTH(主页!$D$2),1),0)),"")</f>
        <v/>
      </c>
    </row>
    <row r="309" spans="1:10" x14ac:dyDescent="0.3">
      <c r="A309" s="129"/>
      <c r="B309" s="150"/>
      <c r="C309" s="150"/>
      <c r="D309" s="150"/>
      <c r="E309" s="140" t="str">
        <f t="shared" si="15"/>
        <v/>
      </c>
      <c r="F309" s="157"/>
      <c r="G309" s="145">
        <f t="shared" si="16"/>
        <v>0</v>
      </c>
      <c r="H309" s="140" t="str">
        <f t="shared" si="17"/>
        <v/>
      </c>
      <c r="J309" s="147" t="str">
        <f>IFERROR(SUMIFS(当年实际!$V:$V,当年实际!$J:$J,$C309,当年实际!$C:$C,"&gt;="&amp;DATE(YEAR(主页!$D$2),1,1),当年实际!$C:$C,"&lt;="&amp;EOMONTH(DATE(YEAR(主页!$D$2),MONTH(主页!$D$2),1),0))/SUMIFS(当年实际!$P:$P,当年实际!$J:$J,$C309,当年实际!$C:$C,"&gt;="&amp;DATE(YEAR(主页!$D$2),1,1),当年实际!$C:$C,"&lt;="&amp;EOMONTH(DATE(YEAR(主页!$D$2),MONTH(主页!$D$2),1),0)),"")</f>
        <v/>
      </c>
    </row>
    <row r="310" spans="1:10" x14ac:dyDescent="0.3">
      <c r="A310" s="129"/>
      <c r="B310" s="150"/>
      <c r="C310" s="150"/>
      <c r="D310" s="150"/>
      <c r="E310" s="140" t="str">
        <f t="shared" si="15"/>
        <v/>
      </c>
      <c r="F310" s="157"/>
      <c r="G310" s="145">
        <f t="shared" si="16"/>
        <v>0</v>
      </c>
      <c r="H310" s="140" t="str">
        <f t="shared" si="17"/>
        <v/>
      </c>
      <c r="J310" s="147" t="str">
        <f>IFERROR(SUMIFS(当年实际!$V:$V,当年实际!$J:$J,$C310,当年实际!$C:$C,"&gt;="&amp;DATE(YEAR(主页!$D$2),1,1),当年实际!$C:$C,"&lt;="&amp;EOMONTH(DATE(YEAR(主页!$D$2),MONTH(主页!$D$2),1),0))/SUMIFS(当年实际!$P:$P,当年实际!$J:$J,$C310,当年实际!$C:$C,"&gt;="&amp;DATE(YEAR(主页!$D$2),1,1),当年实际!$C:$C,"&lt;="&amp;EOMONTH(DATE(YEAR(主页!$D$2),MONTH(主页!$D$2),1),0)),"")</f>
        <v/>
      </c>
    </row>
    <row r="311" spans="1:10" x14ac:dyDescent="0.3">
      <c r="A311" s="129"/>
      <c r="B311" s="150"/>
      <c r="C311" s="150"/>
      <c r="D311" s="150"/>
      <c r="E311" s="140" t="str">
        <f t="shared" si="15"/>
        <v/>
      </c>
      <c r="F311" s="157"/>
      <c r="G311" s="145">
        <f t="shared" si="16"/>
        <v>0</v>
      </c>
      <c r="H311" s="140" t="str">
        <f t="shared" si="17"/>
        <v/>
      </c>
      <c r="J311" s="147" t="str">
        <f>IFERROR(SUMIFS(当年实际!$V:$V,当年实际!$J:$J,$C311,当年实际!$C:$C,"&gt;="&amp;DATE(YEAR(主页!$D$2),1,1),当年实际!$C:$C,"&lt;="&amp;EOMONTH(DATE(YEAR(主页!$D$2),MONTH(主页!$D$2),1),0))/SUMIFS(当年实际!$P:$P,当年实际!$J:$J,$C311,当年实际!$C:$C,"&gt;="&amp;DATE(YEAR(主页!$D$2),1,1),当年实际!$C:$C,"&lt;="&amp;EOMONTH(DATE(YEAR(主页!$D$2),MONTH(主页!$D$2),1),0)),"")</f>
        <v/>
      </c>
    </row>
    <row r="312" spans="1:10" x14ac:dyDescent="0.3">
      <c r="A312" s="129"/>
      <c r="B312" s="150"/>
      <c r="C312" s="150"/>
      <c r="D312" s="150"/>
      <c r="E312" s="140" t="str">
        <f t="shared" si="15"/>
        <v/>
      </c>
      <c r="F312" s="157"/>
      <c r="G312" s="145">
        <f t="shared" si="16"/>
        <v>0</v>
      </c>
      <c r="H312" s="140" t="str">
        <f t="shared" si="17"/>
        <v/>
      </c>
      <c r="J312" s="147" t="str">
        <f>IFERROR(SUMIFS(当年实际!$V:$V,当年实际!$J:$J,$C312,当年实际!$C:$C,"&gt;="&amp;DATE(YEAR(主页!$D$2),1,1),当年实际!$C:$C,"&lt;="&amp;EOMONTH(DATE(YEAR(主页!$D$2),MONTH(主页!$D$2),1),0))/SUMIFS(当年实际!$P:$P,当年实际!$J:$J,$C312,当年实际!$C:$C,"&gt;="&amp;DATE(YEAR(主页!$D$2),1,1),当年实际!$C:$C,"&lt;="&amp;EOMONTH(DATE(YEAR(主页!$D$2),MONTH(主页!$D$2),1),0)),"")</f>
        <v/>
      </c>
    </row>
    <row r="313" spans="1:10" x14ac:dyDescent="0.3">
      <c r="A313" s="129"/>
      <c r="B313" s="150"/>
      <c r="C313" s="150"/>
      <c r="D313" s="150"/>
      <c r="E313" s="140" t="str">
        <f t="shared" si="15"/>
        <v/>
      </c>
      <c r="F313" s="157"/>
      <c r="G313" s="145">
        <f t="shared" si="16"/>
        <v>0</v>
      </c>
      <c r="H313" s="140" t="str">
        <f t="shared" si="17"/>
        <v/>
      </c>
      <c r="J313" s="147" t="str">
        <f>IFERROR(SUMIFS(当年实际!$V:$V,当年实际!$J:$J,$C313,当年实际!$C:$C,"&gt;="&amp;DATE(YEAR(主页!$D$2),1,1),当年实际!$C:$C,"&lt;="&amp;EOMONTH(DATE(YEAR(主页!$D$2),MONTH(主页!$D$2),1),0))/SUMIFS(当年实际!$P:$P,当年实际!$J:$J,$C313,当年实际!$C:$C,"&gt;="&amp;DATE(YEAR(主页!$D$2),1,1),当年实际!$C:$C,"&lt;="&amp;EOMONTH(DATE(YEAR(主页!$D$2),MONTH(主页!$D$2),1),0)),"")</f>
        <v/>
      </c>
    </row>
    <row r="314" spans="1:10" x14ac:dyDescent="0.3">
      <c r="A314" s="129"/>
      <c r="B314" s="150"/>
      <c r="C314" s="150"/>
      <c r="D314" s="150"/>
      <c r="E314" s="140" t="str">
        <f t="shared" si="15"/>
        <v/>
      </c>
      <c r="F314" s="157"/>
      <c r="G314" s="145">
        <f t="shared" si="16"/>
        <v>0</v>
      </c>
      <c r="H314" s="140" t="str">
        <f t="shared" si="17"/>
        <v/>
      </c>
      <c r="J314" s="147" t="str">
        <f>IFERROR(SUMIFS(当年实际!$V:$V,当年实际!$J:$J,$C314,当年实际!$C:$C,"&gt;="&amp;DATE(YEAR(主页!$D$2),1,1),当年实际!$C:$C,"&lt;="&amp;EOMONTH(DATE(YEAR(主页!$D$2),MONTH(主页!$D$2),1),0))/SUMIFS(当年实际!$P:$P,当年实际!$J:$J,$C314,当年实际!$C:$C,"&gt;="&amp;DATE(YEAR(主页!$D$2),1,1),当年实际!$C:$C,"&lt;="&amp;EOMONTH(DATE(YEAR(主页!$D$2),MONTH(主页!$D$2),1),0)),"")</f>
        <v/>
      </c>
    </row>
    <row r="315" spans="1:10" x14ac:dyDescent="0.3">
      <c r="A315" s="129"/>
      <c r="B315" s="150"/>
      <c r="C315" s="150"/>
      <c r="D315" s="150"/>
      <c r="E315" s="140" t="str">
        <f t="shared" si="15"/>
        <v/>
      </c>
      <c r="F315" s="157"/>
      <c r="G315" s="145">
        <f t="shared" si="16"/>
        <v>0</v>
      </c>
      <c r="H315" s="140" t="str">
        <f t="shared" si="17"/>
        <v/>
      </c>
      <c r="J315" s="147" t="str">
        <f>IFERROR(SUMIFS(当年实际!$V:$V,当年实际!$J:$J,$C315,当年实际!$C:$C,"&gt;="&amp;DATE(YEAR(主页!$D$2),1,1),当年实际!$C:$C,"&lt;="&amp;EOMONTH(DATE(YEAR(主页!$D$2),MONTH(主页!$D$2),1),0))/SUMIFS(当年实际!$P:$P,当年实际!$J:$J,$C315,当年实际!$C:$C,"&gt;="&amp;DATE(YEAR(主页!$D$2),1,1),当年实际!$C:$C,"&lt;="&amp;EOMONTH(DATE(YEAR(主页!$D$2),MONTH(主页!$D$2),1),0)),"")</f>
        <v/>
      </c>
    </row>
    <row r="316" spans="1:10" x14ac:dyDescent="0.3">
      <c r="A316" s="129"/>
      <c r="B316" s="150"/>
      <c r="C316" s="150"/>
      <c r="D316" s="150"/>
      <c r="E316" s="140" t="str">
        <f t="shared" si="15"/>
        <v/>
      </c>
      <c r="F316" s="157"/>
      <c r="G316" s="145">
        <f t="shared" si="16"/>
        <v>0</v>
      </c>
      <c r="H316" s="140" t="str">
        <f t="shared" si="17"/>
        <v/>
      </c>
      <c r="J316" s="147" t="str">
        <f>IFERROR(SUMIFS(当年实际!$V:$V,当年实际!$J:$J,$C316,当年实际!$C:$C,"&gt;="&amp;DATE(YEAR(主页!$D$2),1,1),当年实际!$C:$C,"&lt;="&amp;EOMONTH(DATE(YEAR(主页!$D$2),MONTH(主页!$D$2),1),0))/SUMIFS(当年实际!$P:$P,当年实际!$J:$J,$C316,当年实际!$C:$C,"&gt;="&amp;DATE(YEAR(主页!$D$2),1,1),当年实际!$C:$C,"&lt;="&amp;EOMONTH(DATE(YEAR(主页!$D$2),MONTH(主页!$D$2),1),0)),"")</f>
        <v/>
      </c>
    </row>
    <row r="317" spans="1:10" x14ac:dyDescent="0.3">
      <c r="A317" s="129"/>
      <c r="B317" s="150"/>
      <c r="C317" s="150"/>
      <c r="D317" s="150"/>
      <c r="E317" s="140" t="str">
        <f t="shared" si="15"/>
        <v/>
      </c>
      <c r="F317" s="157"/>
      <c r="G317" s="145">
        <f t="shared" si="16"/>
        <v>0</v>
      </c>
      <c r="H317" s="140" t="str">
        <f t="shared" si="17"/>
        <v/>
      </c>
      <c r="J317" s="147" t="str">
        <f>IFERROR(SUMIFS(当年实际!$V:$V,当年实际!$J:$J,$C317,当年实际!$C:$C,"&gt;="&amp;DATE(YEAR(主页!$D$2),1,1),当年实际!$C:$C,"&lt;="&amp;EOMONTH(DATE(YEAR(主页!$D$2),MONTH(主页!$D$2),1),0))/SUMIFS(当年实际!$P:$P,当年实际!$J:$J,$C317,当年实际!$C:$C,"&gt;="&amp;DATE(YEAR(主页!$D$2),1,1),当年实际!$C:$C,"&lt;="&amp;EOMONTH(DATE(YEAR(主页!$D$2),MONTH(主页!$D$2),1),0)),"")</f>
        <v/>
      </c>
    </row>
    <row r="318" spans="1:10" x14ac:dyDescent="0.3">
      <c r="A318" s="129"/>
      <c r="B318" s="150"/>
      <c r="C318" s="150"/>
      <c r="D318" s="150"/>
      <c r="E318" s="140" t="str">
        <f t="shared" si="15"/>
        <v/>
      </c>
      <c r="F318" s="157"/>
      <c r="G318" s="145">
        <f t="shared" si="16"/>
        <v>0</v>
      </c>
      <c r="H318" s="140" t="str">
        <f t="shared" si="17"/>
        <v/>
      </c>
      <c r="J318" s="147" t="str">
        <f>IFERROR(SUMIFS(当年实际!$V:$V,当年实际!$J:$J,$C318,当年实际!$C:$C,"&gt;="&amp;DATE(YEAR(主页!$D$2),1,1),当年实际!$C:$C,"&lt;="&amp;EOMONTH(DATE(YEAR(主页!$D$2),MONTH(主页!$D$2),1),0))/SUMIFS(当年实际!$P:$P,当年实际!$J:$J,$C318,当年实际!$C:$C,"&gt;="&amp;DATE(YEAR(主页!$D$2),1,1),当年实际!$C:$C,"&lt;="&amp;EOMONTH(DATE(YEAR(主页!$D$2),MONTH(主页!$D$2),1),0)),"")</f>
        <v/>
      </c>
    </row>
    <row r="319" spans="1:10" x14ac:dyDescent="0.3">
      <c r="A319" s="129"/>
      <c r="B319" s="150"/>
      <c r="C319" s="150"/>
      <c r="D319" s="150"/>
      <c r="E319" s="140" t="str">
        <f t="shared" si="15"/>
        <v/>
      </c>
      <c r="F319" s="157"/>
      <c r="G319" s="145">
        <f t="shared" si="16"/>
        <v>0</v>
      </c>
      <c r="H319" s="140" t="str">
        <f t="shared" si="17"/>
        <v/>
      </c>
      <c r="J319" s="147" t="str">
        <f>IFERROR(SUMIFS(当年实际!$V:$V,当年实际!$J:$J,$C319,当年实际!$C:$C,"&gt;="&amp;DATE(YEAR(主页!$D$2),1,1),当年实际!$C:$C,"&lt;="&amp;EOMONTH(DATE(YEAR(主页!$D$2),MONTH(主页!$D$2),1),0))/SUMIFS(当年实际!$P:$P,当年实际!$J:$J,$C319,当年实际!$C:$C,"&gt;="&amp;DATE(YEAR(主页!$D$2),1,1),当年实际!$C:$C,"&lt;="&amp;EOMONTH(DATE(YEAR(主页!$D$2),MONTH(主页!$D$2),1),0)),"")</f>
        <v/>
      </c>
    </row>
    <row r="320" spans="1:10" x14ac:dyDescent="0.3">
      <c r="A320" s="129"/>
      <c r="B320" s="150"/>
      <c r="C320" s="150"/>
      <c r="D320" s="150"/>
      <c r="E320" s="140" t="str">
        <f t="shared" si="15"/>
        <v/>
      </c>
      <c r="F320" s="157"/>
      <c r="G320" s="145">
        <f t="shared" si="16"/>
        <v>0</v>
      </c>
      <c r="H320" s="140" t="str">
        <f t="shared" si="17"/>
        <v/>
      </c>
      <c r="J320" s="147" t="str">
        <f>IFERROR(SUMIFS(当年实际!$V:$V,当年实际!$J:$J,$C320,当年实际!$C:$C,"&gt;="&amp;DATE(YEAR(主页!$D$2),1,1),当年实际!$C:$C,"&lt;="&amp;EOMONTH(DATE(YEAR(主页!$D$2),MONTH(主页!$D$2),1),0))/SUMIFS(当年实际!$P:$P,当年实际!$J:$J,$C320,当年实际!$C:$C,"&gt;="&amp;DATE(YEAR(主页!$D$2),1,1),当年实际!$C:$C,"&lt;="&amp;EOMONTH(DATE(YEAR(主页!$D$2),MONTH(主页!$D$2),1),0)),"")</f>
        <v/>
      </c>
    </row>
    <row r="321" spans="1:10" x14ac:dyDescent="0.3">
      <c r="A321" s="129"/>
      <c r="B321" s="150"/>
      <c r="C321" s="150"/>
      <c r="D321" s="150"/>
      <c r="E321" s="140" t="str">
        <f t="shared" si="15"/>
        <v/>
      </c>
      <c r="F321" s="157"/>
      <c r="G321" s="145">
        <f t="shared" si="16"/>
        <v>0</v>
      </c>
      <c r="H321" s="140" t="str">
        <f t="shared" si="17"/>
        <v/>
      </c>
      <c r="J321" s="147" t="str">
        <f>IFERROR(SUMIFS(当年实际!$V:$V,当年实际!$J:$J,$C321,当年实际!$C:$C,"&gt;="&amp;DATE(YEAR(主页!$D$2),1,1),当年实际!$C:$C,"&lt;="&amp;EOMONTH(DATE(YEAR(主页!$D$2),MONTH(主页!$D$2),1),0))/SUMIFS(当年实际!$P:$P,当年实际!$J:$J,$C321,当年实际!$C:$C,"&gt;="&amp;DATE(YEAR(主页!$D$2),1,1),当年实际!$C:$C,"&lt;="&amp;EOMONTH(DATE(YEAR(主页!$D$2),MONTH(主页!$D$2),1),0)),"")</f>
        <v/>
      </c>
    </row>
    <row r="322" spans="1:10" x14ac:dyDescent="0.3">
      <c r="A322" s="129"/>
      <c r="B322" s="150"/>
      <c r="C322" s="150"/>
      <c r="D322" s="150"/>
      <c r="E322" s="140" t="str">
        <f t="shared" si="15"/>
        <v/>
      </c>
      <c r="F322" s="157"/>
      <c r="G322" s="145">
        <f t="shared" si="16"/>
        <v>0</v>
      </c>
      <c r="H322" s="140" t="str">
        <f t="shared" si="17"/>
        <v/>
      </c>
      <c r="J322" s="147" t="str">
        <f>IFERROR(SUMIFS(当年实际!$V:$V,当年实际!$J:$J,$C322,当年实际!$C:$C,"&gt;="&amp;DATE(YEAR(主页!$D$2),1,1),当年实际!$C:$C,"&lt;="&amp;EOMONTH(DATE(YEAR(主页!$D$2),MONTH(主页!$D$2),1),0))/SUMIFS(当年实际!$P:$P,当年实际!$J:$J,$C322,当年实际!$C:$C,"&gt;="&amp;DATE(YEAR(主页!$D$2),1,1),当年实际!$C:$C,"&lt;="&amp;EOMONTH(DATE(YEAR(主页!$D$2),MONTH(主页!$D$2),1),0)),"")</f>
        <v/>
      </c>
    </row>
    <row r="323" spans="1:10" x14ac:dyDescent="0.3">
      <c r="A323" s="129"/>
      <c r="B323" s="150"/>
      <c r="C323" s="150"/>
      <c r="D323" s="150"/>
      <c r="E323" s="140" t="str">
        <f t="shared" si="15"/>
        <v/>
      </c>
      <c r="F323" s="157"/>
      <c r="G323" s="145">
        <f t="shared" si="16"/>
        <v>0</v>
      </c>
      <c r="H323" s="140" t="str">
        <f t="shared" si="17"/>
        <v/>
      </c>
      <c r="J323" s="147" t="str">
        <f>IFERROR(SUMIFS(当年实际!$V:$V,当年实际!$J:$J,$C323,当年实际!$C:$C,"&gt;="&amp;DATE(YEAR(主页!$D$2),1,1),当年实际!$C:$C,"&lt;="&amp;EOMONTH(DATE(YEAR(主页!$D$2),MONTH(主页!$D$2),1),0))/SUMIFS(当年实际!$P:$P,当年实际!$J:$J,$C323,当年实际!$C:$C,"&gt;="&amp;DATE(YEAR(主页!$D$2),1,1),当年实际!$C:$C,"&lt;="&amp;EOMONTH(DATE(YEAR(主页!$D$2),MONTH(主页!$D$2),1),0)),"")</f>
        <v/>
      </c>
    </row>
    <row r="324" spans="1:10" x14ac:dyDescent="0.3">
      <c r="A324" s="129"/>
      <c r="B324" s="150"/>
      <c r="C324" s="150"/>
      <c r="D324" s="150"/>
      <c r="E324" s="140" t="str">
        <f t="shared" ref="E324:E387" si="18">IF(D324/SUM(D:D)=0,"",D324/SUM(D:D))</f>
        <v/>
      </c>
      <c r="F324" s="157"/>
      <c r="G324" s="145">
        <f t="shared" si="16"/>
        <v>0</v>
      </c>
      <c r="H324" s="140" t="str">
        <f t="shared" si="17"/>
        <v/>
      </c>
      <c r="J324" s="147" t="str">
        <f>IFERROR(SUMIFS(当年实际!$V:$V,当年实际!$J:$J,$C324,当年实际!$C:$C,"&gt;="&amp;DATE(YEAR(主页!$D$2),1,1),当年实际!$C:$C,"&lt;="&amp;EOMONTH(DATE(YEAR(主页!$D$2),MONTH(主页!$D$2),1),0))/SUMIFS(当年实际!$P:$P,当年实际!$J:$J,$C324,当年实际!$C:$C,"&gt;="&amp;DATE(YEAR(主页!$D$2),1,1),当年实际!$C:$C,"&lt;="&amp;EOMONTH(DATE(YEAR(主页!$D$2),MONTH(主页!$D$2),1),0)),"")</f>
        <v/>
      </c>
    </row>
    <row r="325" spans="1:10" x14ac:dyDescent="0.3">
      <c r="A325" s="129"/>
      <c r="B325" s="150"/>
      <c r="C325" s="150"/>
      <c r="D325" s="150"/>
      <c r="E325" s="140" t="str">
        <f t="shared" si="18"/>
        <v/>
      </c>
      <c r="F325" s="157"/>
      <c r="G325" s="145">
        <f t="shared" si="16"/>
        <v>0</v>
      </c>
      <c r="H325" s="140" t="str">
        <f t="shared" si="17"/>
        <v/>
      </c>
      <c r="J325" s="147" t="str">
        <f>IFERROR(SUMIFS(当年实际!$V:$V,当年实际!$J:$J,$C325,当年实际!$C:$C,"&gt;="&amp;DATE(YEAR(主页!$D$2),1,1),当年实际!$C:$C,"&lt;="&amp;EOMONTH(DATE(YEAR(主页!$D$2),MONTH(主页!$D$2),1),0))/SUMIFS(当年实际!$P:$P,当年实际!$J:$J,$C325,当年实际!$C:$C,"&gt;="&amp;DATE(YEAR(主页!$D$2),1,1),当年实际!$C:$C,"&lt;="&amp;EOMONTH(DATE(YEAR(主页!$D$2),MONTH(主页!$D$2),1),0)),"")</f>
        <v/>
      </c>
    </row>
    <row r="326" spans="1:10" x14ac:dyDescent="0.3">
      <c r="A326" s="129"/>
      <c r="B326" s="150"/>
      <c r="C326" s="150"/>
      <c r="D326" s="150"/>
      <c r="E326" s="140" t="str">
        <f t="shared" si="18"/>
        <v/>
      </c>
      <c r="F326" s="157"/>
      <c r="G326" s="145">
        <f t="shared" si="16"/>
        <v>0</v>
      </c>
      <c r="H326" s="140" t="str">
        <f t="shared" si="17"/>
        <v/>
      </c>
      <c r="J326" s="147" t="str">
        <f>IFERROR(SUMIFS(当年实际!$V:$V,当年实际!$J:$J,$C326,当年实际!$C:$C,"&gt;="&amp;DATE(YEAR(主页!$D$2),1,1),当年实际!$C:$C,"&lt;="&amp;EOMONTH(DATE(YEAR(主页!$D$2),MONTH(主页!$D$2),1),0))/SUMIFS(当年实际!$P:$P,当年实际!$J:$J,$C326,当年实际!$C:$C,"&gt;="&amp;DATE(YEAR(主页!$D$2),1,1),当年实际!$C:$C,"&lt;="&amp;EOMONTH(DATE(YEAR(主页!$D$2),MONTH(主页!$D$2),1),0)),"")</f>
        <v/>
      </c>
    </row>
    <row r="327" spans="1:10" x14ac:dyDescent="0.3">
      <c r="A327" s="129"/>
      <c r="B327" s="150"/>
      <c r="C327" s="150"/>
      <c r="D327" s="150"/>
      <c r="E327" s="140" t="str">
        <f t="shared" si="18"/>
        <v/>
      </c>
      <c r="F327" s="157"/>
      <c r="G327" s="145">
        <f t="shared" si="16"/>
        <v>0</v>
      </c>
      <c r="H327" s="140" t="str">
        <f t="shared" si="17"/>
        <v/>
      </c>
      <c r="J327" s="147" t="str">
        <f>IFERROR(SUMIFS(当年实际!$V:$V,当年实际!$J:$J,$C327,当年实际!$C:$C,"&gt;="&amp;DATE(YEAR(主页!$D$2),1,1),当年实际!$C:$C,"&lt;="&amp;EOMONTH(DATE(YEAR(主页!$D$2),MONTH(主页!$D$2),1),0))/SUMIFS(当年实际!$P:$P,当年实际!$J:$J,$C327,当年实际!$C:$C,"&gt;="&amp;DATE(YEAR(主页!$D$2),1,1),当年实际!$C:$C,"&lt;="&amp;EOMONTH(DATE(YEAR(主页!$D$2),MONTH(主页!$D$2),1),0)),"")</f>
        <v/>
      </c>
    </row>
    <row r="328" spans="1:10" x14ac:dyDescent="0.3">
      <c r="A328" s="129"/>
      <c r="B328" s="150"/>
      <c r="C328" s="150"/>
      <c r="D328" s="150"/>
      <c r="E328" s="140" t="str">
        <f t="shared" si="18"/>
        <v/>
      </c>
      <c r="F328" s="157"/>
      <c r="G328" s="145">
        <f t="shared" si="16"/>
        <v>0</v>
      </c>
      <c r="H328" s="140" t="str">
        <f t="shared" si="17"/>
        <v/>
      </c>
      <c r="J328" s="147" t="str">
        <f>IFERROR(SUMIFS(当年实际!$V:$V,当年实际!$J:$J,$C328,当年实际!$C:$C,"&gt;="&amp;DATE(YEAR(主页!$D$2),1,1),当年实际!$C:$C,"&lt;="&amp;EOMONTH(DATE(YEAR(主页!$D$2),MONTH(主页!$D$2),1),0))/SUMIFS(当年实际!$P:$P,当年实际!$J:$J,$C328,当年实际!$C:$C,"&gt;="&amp;DATE(YEAR(主页!$D$2),1,1),当年实际!$C:$C,"&lt;="&amp;EOMONTH(DATE(YEAR(主页!$D$2),MONTH(主页!$D$2),1),0)),"")</f>
        <v/>
      </c>
    </row>
    <row r="329" spans="1:10" x14ac:dyDescent="0.3">
      <c r="A329" s="129"/>
      <c r="B329" s="150"/>
      <c r="C329" s="150"/>
      <c r="D329" s="150"/>
      <c r="E329" s="140" t="str">
        <f t="shared" si="18"/>
        <v/>
      </c>
      <c r="F329" s="157"/>
      <c r="G329" s="145">
        <f t="shared" si="16"/>
        <v>0</v>
      </c>
      <c r="H329" s="140" t="str">
        <f t="shared" si="17"/>
        <v/>
      </c>
      <c r="J329" s="147" t="str">
        <f>IFERROR(SUMIFS(当年实际!$V:$V,当年实际!$J:$J,$C329,当年实际!$C:$C,"&gt;="&amp;DATE(YEAR(主页!$D$2),1,1),当年实际!$C:$C,"&lt;="&amp;EOMONTH(DATE(YEAR(主页!$D$2),MONTH(主页!$D$2),1),0))/SUMIFS(当年实际!$P:$P,当年实际!$J:$J,$C329,当年实际!$C:$C,"&gt;="&amp;DATE(YEAR(主页!$D$2),1,1),当年实际!$C:$C,"&lt;="&amp;EOMONTH(DATE(YEAR(主页!$D$2),MONTH(主页!$D$2),1),0)),"")</f>
        <v/>
      </c>
    </row>
    <row r="330" spans="1:10" x14ac:dyDescent="0.3">
      <c r="A330" s="129"/>
      <c r="B330" s="150"/>
      <c r="C330" s="150"/>
      <c r="D330" s="150"/>
      <c r="E330" s="140" t="str">
        <f t="shared" si="18"/>
        <v/>
      </c>
      <c r="F330" s="157"/>
      <c r="G330" s="145">
        <f t="shared" si="16"/>
        <v>0</v>
      </c>
      <c r="H330" s="140" t="str">
        <f t="shared" si="17"/>
        <v/>
      </c>
      <c r="J330" s="147" t="str">
        <f>IFERROR(SUMIFS(当年实际!$V:$V,当年实际!$J:$J,$C330,当年实际!$C:$C,"&gt;="&amp;DATE(YEAR(主页!$D$2),1,1),当年实际!$C:$C,"&lt;="&amp;EOMONTH(DATE(YEAR(主页!$D$2),MONTH(主页!$D$2),1),0))/SUMIFS(当年实际!$P:$P,当年实际!$J:$J,$C330,当年实际!$C:$C,"&gt;="&amp;DATE(YEAR(主页!$D$2),1,1),当年实际!$C:$C,"&lt;="&amp;EOMONTH(DATE(YEAR(主页!$D$2),MONTH(主页!$D$2),1),0)),"")</f>
        <v/>
      </c>
    </row>
    <row r="331" spans="1:10" x14ac:dyDescent="0.3">
      <c r="A331" s="129"/>
      <c r="B331" s="150"/>
      <c r="C331" s="150"/>
      <c r="D331" s="150"/>
      <c r="E331" s="140" t="str">
        <f t="shared" si="18"/>
        <v/>
      </c>
      <c r="F331" s="157"/>
      <c r="G331" s="145">
        <f t="shared" si="16"/>
        <v>0</v>
      </c>
      <c r="H331" s="140" t="str">
        <f t="shared" si="17"/>
        <v/>
      </c>
      <c r="J331" s="147" t="str">
        <f>IFERROR(SUMIFS(当年实际!$V:$V,当年实际!$J:$J,$C331,当年实际!$C:$C,"&gt;="&amp;DATE(YEAR(主页!$D$2),1,1),当年实际!$C:$C,"&lt;="&amp;EOMONTH(DATE(YEAR(主页!$D$2),MONTH(主页!$D$2),1),0))/SUMIFS(当年实际!$P:$P,当年实际!$J:$J,$C331,当年实际!$C:$C,"&gt;="&amp;DATE(YEAR(主页!$D$2),1,1),当年实际!$C:$C,"&lt;="&amp;EOMONTH(DATE(YEAR(主页!$D$2),MONTH(主页!$D$2),1),0)),"")</f>
        <v/>
      </c>
    </row>
    <row r="332" spans="1:10" x14ac:dyDescent="0.3">
      <c r="A332" s="129"/>
      <c r="B332" s="150"/>
      <c r="C332" s="150"/>
      <c r="D332" s="150"/>
      <c r="E332" s="140" t="str">
        <f t="shared" si="18"/>
        <v/>
      </c>
      <c r="F332" s="157"/>
      <c r="G332" s="145">
        <f t="shared" si="16"/>
        <v>0</v>
      </c>
      <c r="H332" s="140" t="str">
        <f t="shared" si="17"/>
        <v/>
      </c>
      <c r="J332" s="147" t="str">
        <f>IFERROR(SUMIFS(当年实际!$V:$V,当年实际!$J:$J,$C332,当年实际!$C:$C,"&gt;="&amp;DATE(YEAR(主页!$D$2),1,1),当年实际!$C:$C,"&lt;="&amp;EOMONTH(DATE(YEAR(主页!$D$2),MONTH(主页!$D$2),1),0))/SUMIFS(当年实际!$P:$P,当年实际!$J:$J,$C332,当年实际!$C:$C,"&gt;="&amp;DATE(YEAR(主页!$D$2),1,1),当年实际!$C:$C,"&lt;="&amp;EOMONTH(DATE(YEAR(主页!$D$2),MONTH(主页!$D$2),1),0)),"")</f>
        <v/>
      </c>
    </row>
    <row r="333" spans="1:10" x14ac:dyDescent="0.3">
      <c r="A333" s="129"/>
      <c r="B333" s="150"/>
      <c r="C333" s="150"/>
      <c r="D333" s="150"/>
      <c r="E333" s="140" t="str">
        <f t="shared" si="18"/>
        <v/>
      </c>
      <c r="F333" s="157"/>
      <c r="G333" s="145">
        <f t="shared" si="16"/>
        <v>0</v>
      </c>
      <c r="H333" s="140" t="str">
        <f t="shared" si="17"/>
        <v/>
      </c>
      <c r="J333" s="147" t="str">
        <f>IFERROR(SUMIFS(当年实际!$V:$V,当年实际!$J:$J,$C333,当年实际!$C:$C,"&gt;="&amp;DATE(YEAR(主页!$D$2),1,1),当年实际!$C:$C,"&lt;="&amp;EOMONTH(DATE(YEAR(主页!$D$2),MONTH(主页!$D$2),1),0))/SUMIFS(当年实际!$P:$P,当年实际!$J:$J,$C333,当年实际!$C:$C,"&gt;="&amp;DATE(YEAR(主页!$D$2),1,1),当年实际!$C:$C,"&lt;="&amp;EOMONTH(DATE(YEAR(主页!$D$2),MONTH(主页!$D$2),1),0)),"")</f>
        <v/>
      </c>
    </row>
    <row r="334" spans="1:10" x14ac:dyDescent="0.3">
      <c r="A334" s="129"/>
      <c r="B334" s="150"/>
      <c r="C334" s="150"/>
      <c r="D334" s="150"/>
      <c r="E334" s="140" t="str">
        <f t="shared" si="18"/>
        <v/>
      </c>
      <c r="F334" s="157"/>
      <c r="G334" s="145">
        <f t="shared" si="16"/>
        <v>0</v>
      </c>
      <c r="H334" s="140" t="str">
        <f t="shared" si="17"/>
        <v/>
      </c>
      <c r="J334" s="147" t="str">
        <f>IFERROR(SUMIFS(当年实际!$V:$V,当年实际!$J:$J,$C334,当年实际!$C:$C,"&gt;="&amp;DATE(YEAR(主页!$D$2),1,1),当年实际!$C:$C,"&lt;="&amp;EOMONTH(DATE(YEAR(主页!$D$2),MONTH(主页!$D$2),1),0))/SUMIFS(当年实际!$P:$P,当年实际!$J:$J,$C334,当年实际!$C:$C,"&gt;="&amp;DATE(YEAR(主页!$D$2),1,1),当年实际!$C:$C,"&lt;="&amp;EOMONTH(DATE(YEAR(主页!$D$2),MONTH(主页!$D$2),1),0)),"")</f>
        <v/>
      </c>
    </row>
    <row r="335" spans="1:10" x14ac:dyDescent="0.3">
      <c r="A335" s="129"/>
      <c r="B335" s="150"/>
      <c r="C335" s="150"/>
      <c r="D335" s="150"/>
      <c r="E335" s="140" t="str">
        <f t="shared" si="18"/>
        <v/>
      </c>
      <c r="F335" s="157"/>
      <c r="G335" s="145">
        <f t="shared" si="16"/>
        <v>0</v>
      </c>
      <c r="H335" s="140" t="str">
        <f t="shared" si="17"/>
        <v/>
      </c>
      <c r="J335" s="147" t="str">
        <f>IFERROR(SUMIFS(当年实际!$V:$V,当年实际!$J:$J,$C335,当年实际!$C:$C,"&gt;="&amp;DATE(YEAR(主页!$D$2),1,1),当年实际!$C:$C,"&lt;="&amp;EOMONTH(DATE(YEAR(主页!$D$2),MONTH(主页!$D$2),1),0))/SUMIFS(当年实际!$P:$P,当年实际!$J:$J,$C335,当年实际!$C:$C,"&gt;="&amp;DATE(YEAR(主页!$D$2),1,1),当年实际!$C:$C,"&lt;="&amp;EOMONTH(DATE(YEAR(主页!$D$2),MONTH(主页!$D$2),1),0)),"")</f>
        <v/>
      </c>
    </row>
    <row r="336" spans="1:10" x14ac:dyDescent="0.3">
      <c r="A336" s="129"/>
      <c r="B336" s="150"/>
      <c r="C336" s="150"/>
      <c r="D336" s="150"/>
      <c r="E336" s="140" t="str">
        <f t="shared" si="18"/>
        <v/>
      </c>
      <c r="F336" s="157"/>
      <c r="G336" s="145">
        <f t="shared" si="16"/>
        <v>0</v>
      </c>
      <c r="H336" s="140" t="str">
        <f t="shared" si="17"/>
        <v/>
      </c>
      <c r="J336" s="147" t="str">
        <f>IFERROR(SUMIFS(当年实际!$V:$V,当年实际!$J:$J,$C336,当年实际!$C:$C,"&gt;="&amp;DATE(YEAR(主页!$D$2),1,1),当年实际!$C:$C,"&lt;="&amp;EOMONTH(DATE(YEAR(主页!$D$2),MONTH(主页!$D$2),1),0))/SUMIFS(当年实际!$P:$P,当年实际!$J:$J,$C336,当年实际!$C:$C,"&gt;="&amp;DATE(YEAR(主页!$D$2),1,1),当年实际!$C:$C,"&lt;="&amp;EOMONTH(DATE(YEAR(主页!$D$2),MONTH(主页!$D$2),1),0)),"")</f>
        <v/>
      </c>
    </row>
    <row r="337" spans="1:10" x14ac:dyDescent="0.3">
      <c r="A337" s="129"/>
      <c r="B337" s="150"/>
      <c r="C337" s="150"/>
      <c r="D337" s="150"/>
      <c r="E337" s="140" t="str">
        <f t="shared" si="18"/>
        <v/>
      </c>
      <c r="F337" s="157"/>
      <c r="G337" s="145">
        <f t="shared" si="16"/>
        <v>0</v>
      </c>
      <c r="H337" s="140" t="str">
        <f t="shared" si="17"/>
        <v/>
      </c>
      <c r="J337" s="147" t="str">
        <f>IFERROR(SUMIFS(当年实际!$V:$V,当年实际!$J:$J,$C337,当年实际!$C:$C,"&gt;="&amp;DATE(YEAR(主页!$D$2),1,1),当年实际!$C:$C,"&lt;="&amp;EOMONTH(DATE(YEAR(主页!$D$2),MONTH(主页!$D$2),1),0))/SUMIFS(当年实际!$P:$P,当年实际!$J:$J,$C337,当年实际!$C:$C,"&gt;="&amp;DATE(YEAR(主页!$D$2),1,1),当年实际!$C:$C,"&lt;="&amp;EOMONTH(DATE(YEAR(主页!$D$2),MONTH(主页!$D$2),1),0)),"")</f>
        <v/>
      </c>
    </row>
    <row r="338" spans="1:10" x14ac:dyDescent="0.3">
      <c r="A338" s="129"/>
      <c r="B338" s="150"/>
      <c r="C338" s="150"/>
      <c r="D338" s="150"/>
      <c r="E338" s="140" t="str">
        <f t="shared" si="18"/>
        <v/>
      </c>
      <c r="F338" s="157"/>
      <c r="G338" s="145">
        <f t="shared" si="16"/>
        <v>0</v>
      </c>
      <c r="H338" s="140" t="str">
        <f t="shared" si="17"/>
        <v/>
      </c>
      <c r="J338" s="147" t="str">
        <f>IFERROR(SUMIFS(当年实际!$V:$V,当年实际!$J:$J,$C338,当年实际!$C:$C,"&gt;="&amp;DATE(YEAR(主页!$D$2),1,1),当年实际!$C:$C,"&lt;="&amp;EOMONTH(DATE(YEAR(主页!$D$2),MONTH(主页!$D$2),1),0))/SUMIFS(当年实际!$P:$P,当年实际!$J:$J,$C338,当年实际!$C:$C,"&gt;="&amp;DATE(YEAR(主页!$D$2),1,1),当年实际!$C:$C,"&lt;="&amp;EOMONTH(DATE(YEAR(主页!$D$2),MONTH(主页!$D$2),1),0)),"")</f>
        <v/>
      </c>
    </row>
    <row r="339" spans="1:10" x14ac:dyDescent="0.3">
      <c r="A339" s="129"/>
      <c r="B339" s="150"/>
      <c r="C339" s="150"/>
      <c r="D339" s="150"/>
      <c r="E339" s="140" t="str">
        <f t="shared" si="18"/>
        <v/>
      </c>
      <c r="F339" s="157"/>
      <c r="G339" s="145">
        <f t="shared" si="16"/>
        <v>0</v>
      </c>
      <c r="H339" s="140" t="str">
        <f t="shared" si="17"/>
        <v/>
      </c>
      <c r="J339" s="147" t="str">
        <f>IFERROR(SUMIFS(当年实际!$V:$V,当年实际!$J:$J,$C339,当年实际!$C:$C,"&gt;="&amp;DATE(YEAR(主页!$D$2),1,1),当年实际!$C:$C,"&lt;="&amp;EOMONTH(DATE(YEAR(主页!$D$2),MONTH(主页!$D$2),1),0))/SUMIFS(当年实际!$P:$P,当年实际!$J:$J,$C339,当年实际!$C:$C,"&gt;="&amp;DATE(YEAR(主页!$D$2),1,1),当年实际!$C:$C,"&lt;="&amp;EOMONTH(DATE(YEAR(主页!$D$2),MONTH(主页!$D$2),1),0)),"")</f>
        <v/>
      </c>
    </row>
    <row r="340" spans="1:10" x14ac:dyDescent="0.3">
      <c r="A340" s="129"/>
      <c r="B340" s="150"/>
      <c r="C340" s="150"/>
      <c r="D340" s="150"/>
      <c r="E340" s="140" t="str">
        <f t="shared" si="18"/>
        <v/>
      </c>
      <c r="F340" s="157"/>
      <c r="G340" s="145">
        <f t="shared" si="16"/>
        <v>0</v>
      </c>
      <c r="H340" s="140" t="str">
        <f t="shared" si="17"/>
        <v/>
      </c>
      <c r="J340" s="147" t="str">
        <f>IFERROR(SUMIFS(当年实际!$V:$V,当年实际!$J:$J,$C340,当年实际!$C:$C,"&gt;="&amp;DATE(YEAR(主页!$D$2),1,1),当年实际!$C:$C,"&lt;="&amp;EOMONTH(DATE(YEAR(主页!$D$2),MONTH(主页!$D$2),1),0))/SUMIFS(当年实际!$P:$P,当年实际!$J:$J,$C340,当年实际!$C:$C,"&gt;="&amp;DATE(YEAR(主页!$D$2),1,1),当年实际!$C:$C,"&lt;="&amp;EOMONTH(DATE(YEAR(主页!$D$2),MONTH(主页!$D$2),1),0)),"")</f>
        <v/>
      </c>
    </row>
    <row r="341" spans="1:10" x14ac:dyDescent="0.3">
      <c r="A341" s="129"/>
      <c r="B341" s="150"/>
      <c r="C341" s="150"/>
      <c r="D341" s="150"/>
      <c r="E341" s="140" t="str">
        <f t="shared" si="18"/>
        <v/>
      </c>
      <c r="F341" s="157"/>
      <c r="G341" s="145">
        <f t="shared" si="16"/>
        <v>0</v>
      </c>
      <c r="H341" s="140" t="str">
        <f t="shared" si="17"/>
        <v/>
      </c>
      <c r="J341" s="147" t="str">
        <f>IFERROR(SUMIFS(当年实际!$V:$V,当年实际!$J:$J,$C341,当年实际!$C:$C,"&gt;="&amp;DATE(YEAR(主页!$D$2),1,1),当年实际!$C:$C,"&lt;="&amp;EOMONTH(DATE(YEAR(主页!$D$2),MONTH(主页!$D$2),1),0))/SUMIFS(当年实际!$P:$P,当年实际!$J:$J,$C341,当年实际!$C:$C,"&gt;="&amp;DATE(YEAR(主页!$D$2),1,1),当年实际!$C:$C,"&lt;="&amp;EOMONTH(DATE(YEAR(主页!$D$2),MONTH(主页!$D$2),1),0)),"")</f>
        <v/>
      </c>
    </row>
    <row r="342" spans="1:10" x14ac:dyDescent="0.3">
      <c r="A342" s="129"/>
      <c r="B342" s="150"/>
      <c r="C342" s="150"/>
      <c r="D342" s="150"/>
      <c r="E342" s="140" t="str">
        <f t="shared" si="18"/>
        <v/>
      </c>
      <c r="F342" s="157"/>
      <c r="G342" s="145">
        <f t="shared" si="16"/>
        <v>0</v>
      </c>
      <c r="H342" s="140" t="str">
        <f t="shared" si="17"/>
        <v/>
      </c>
      <c r="J342" s="147" t="str">
        <f>IFERROR(SUMIFS(当年实际!$V:$V,当年实际!$J:$J,$C342,当年实际!$C:$C,"&gt;="&amp;DATE(YEAR(主页!$D$2),1,1),当年实际!$C:$C,"&lt;="&amp;EOMONTH(DATE(YEAR(主页!$D$2),MONTH(主页!$D$2),1),0))/SUMIFS(当年实际!$P:$P,当年实际!$J:$J,$C342,当年实际!$C:$C,"&gt;="&amp;DATE(YEAR(主页!$D$2),1,1),当年实际!$C:$C,"&lt;="&amp;EOMONTH(DATE(YEAR(主页!$D$2),MONTH(主页!$D$2),1),0)),"")</f>
        <v/>
      </c>
    </row>
    <row r="343" spans="1:10" x14ac:dyDescent="0.3">
      <c r="A343" s="129"/>
      <c r="B343" s="150"/>
      <c r="C343" s="150"/>
      <c r="D343" s="150"/>
      <c r="E343" s="140" t="str">
        <f t="shared" si="18"/>
        <v/>
      </c>
      <c r="F343" s="157"/>
      <c r="G343" s="145">
        <f t="shared" si="16"/>
        <v>0</v>
      </c>
      <c r="H343" s="140" t="str">
        <f t="shared" si="17"/>
        <v/>
      </c>
      <c r="J343" s="147" t="str">
        <f>IFERROR(SUMIFS(当年实际!$V:$V,当年实际!$J:$J,$C343,当年实际!$C:$C,"&gt;="&amp;DATE(YEAR(主页!$D$2),1,1),当年实际!$C:$C,"&lt;="&amp;EOMONTH(DATE(YEAR(主页!$D$2),MONTH(主页!$D$2),1),0))/SUMIFS(当年实际!$P:$P,当年实际!$J:$J,$C343,当年实际!$C:$C,"&gt;="&amp;DATE(YEAR(主页!$D$2),1,1),当年实际!$C:$C,"&lt;="&amp;EOMONTH(DATE(YEAR(主页!$D$2),MONTH(主页!$D$2),1),0)),"")</f>
        <v/>
      </c>
    </row>
    <row r="344" spans="1:10" x14ac:dyDescent="0.3">
      <c r="A344" s="129"/>
      <c r="B344" s="150"/>
      <c r="C344" s="150"/>
      <c r="D344" s="150"/>
      <c r="E344" s="140" t="str">
        <f t="shared" si="18"/>
        <v/>
      </c>
      <c r="F344" s="157"/>
      <c r="G344" s="145">
        <f t="shared" si="16"/>
        <v>0</v>
      </c>
      <c r="H344" s="140" t="str">
        <f t="shared" si="17"/>
        <v/>
      </c>
      <c r="J344" s="147" t="str">
        <f>IFERROR(SUMIFS(当年实际!$V:$V,当年实际!$J:$J,$C344,当年实际!$C:$C,"&gt;="&amp;DATE(YEAR(主页!$D$2),1,1),当年实际!$C:$C,"&lt;="&amp;EOMONTH(DATE(YEAR(主页!$D$2),MONTH(主页!$D$2),1),0))/SUMIFS(当年实际!$P:$P,当年实际!$J:$J,$C344,当年实际!$C:$C,"&gt;="&amp;DATE(YEAR(主页!$D$2),1,1),当年实际!$C:$C,"&lt;="&amp;EOMONTH(DATE(YEAR(主页!$D$2),MONTH(主页!$D$2),1),0)),"")</f>
        <v/>
      </c>
    </row>
    <row r="345" spans="1:10" x14ac:dyDescent="0.3">
      <c r="A345" s="129"/>
      <c r="B345" s="150"/>
      <c r="C345" s="150"/>
      <c r="D345" s="150"/>
      <c r="E345" s="140" t="str">
        <f t="shared" si="18"/>
        <v/>
      </c>
      <c r="F345" s="157"/>
      <c r="G345" s="145">
        <f t="shared" si="16"/>
        <v>0</v>
      </c>
      <c r="H345" s="140" t="str">
        <f t="shared" si="17"/>
        <v/>
      </c>
      <c r="J345" s="147" t="str">
        <f>IFERROR(SUMIFS(当年实际!$V:$V,当年实际!$J:$J,$C345,当年实际!$C:$C,"&gt;="&amp;DATE(YEAR(主页!$D$2),1,1),当年实际!$C:$C,"&lt;="&amp;EOMONTH(DATE(YEAR(主页!$D$2),MONTH(主页!$D$2),1),0))/SUMIFS(当年实际!$P:$P,当年实际!$J:$J,$C345,当年实际!$C:$C,"&gt;="&amp;DATE(YEAR(主页!$D$2),1,1),当年实际!$C:$C,"&lt;="&amp;EOMONTH(DATE(YEAR(主页!$D$2),MONTH(主页!$D$2),1),0)),"")</f>
        <v/>
      </c>
    </row>
    <row r="346" spans="1:10" x14ac:dyDescent="0.3">
      <c r="A346" s="129"/>
      <c r="B346" s="150"/>
      <c r="C346" s="150"/>
      <c r="D346" s="150"/>
      <c r="E346" s="140" t="str">
        <f t="shared" si="18"/>
        <v/>
      </c>
      <c r="F346" s="157"/>
      <c r="G346" s="145">
        <f t="shared" si="16"/>
        <v>0</v>
      </c>
      <c r="H346" s="140" t="str">
        <f t="shared" si="17"/>
        <v/>
      </c>
      <c r="J346" s="147" t="str">
        <f>IFERROR(SUMIFS(当年实际!$V:$V,当年实际!$J:$J,$C346,当年实际!$C:$C,"&gt;="&amp;DATE(YEAR(主页!$D$2),1,1),当年实际!$C:$C,"&lt;="&amp;EOMONTH(DATE(YEAR(主页!$D$2),MONTH(主页!$D$2),1),0))/SUMIFS(当年实际!$P:$P,当年实际!$J:$J,$C346,当年实际!$C:$C,"&gt;="&amp;DATE(YEAR(主页!$D$2),1,1),当年实际!$C:$C,"&lt;="&amp;EOMONTH(DATE(YEAR(主页!$D$2),MONTH(主页!$D$2),1),0)),"")</f>
        <v/>
      </c>
    </row>
    <row r="347" spans="1:10" x14ac:dyDescent="0.3">
      <c r="A347" s="129"/>
      <c r="B347" s="150"/>
      <c r="C347" s="150"/>
      <c r="D347" s="150"/>
      <c r="E347" s="140" t="str">
        <f t="shared" si="18"/>
        <v/>
      </c>
      <c r="F347" s="157"/>
      <c r="G347" s="145">
        <f t="shared" si="16"/>
        <v>0</v>
      </c>
      <c r="H347" s="140" t="str">
        <f t="shared" si="17"/>
        <v/>
      </c>
      <c r="J347" s="147" t="str">
        <f>IFERROR(SUMIFS(当年实际!$V:$V,当年实际!$J:$J,$C347,当年实际!$C:$C,"&gt;="&amp;DATE(YEAR(主页!$D$2),1,1),当年实际!$C:$C,"&lt;="&amp;EOMONTH(DATE(YEAR(主页!$D$2),MONTH(主页!$D$2),1),0))/SUMIFS(当年实际!$P:$P,当年实际!$J:$J,$C347,当年实际!$C:$C,"&gt;="&amp;DATE(YEAR(主页!$D$2),1,1),当年实际!$C:$C,"&lt;="&amp;EOMONTH(DATE(YEAR(主页!$D$2),MONTH(主页!$D$2),1),0)),"")</f>
        <v/>
      </c>
    </row>
    <row r="348" spans="1:10" x14ac:dyDescent="0.3">
      <c r="A348" s="129"/>
      <c r="B348" s="150"/>
      <c r="C348" s="150"/>
      <c r="D348" s="150"/>
      <c r="E348" s="140" t="str">
        <f t="shared" si="18"/>
        <v/>
      </c>
      <c r="F348" s="157"/>
      <c r="G348" s="145">
        <f t="shared" si="16"/>
        <v>0</v>
      </c>
      <c r="H348" s="140" t="str">
        <f t="shared" si="17"/>
        <v/>
      </c>
      <c r="J348" s="147" t="str">
        <f>IFERROR(SUMIFS(当年实际!$V:$V,当年实际!$J:$J,$C348,当年实际!$C:$C,"&gt;="&amp;DATE(YEAR(主页!$D$2),1,1),当年实际!$C:$C,"&lt;="&amp;EOMONTH(DATE(YEAR(主页!$D$2),MONTH(主页!$D$2),1),0))/SUMIFS(当年实际!$P:$P,当年实际!$J:$J,$C348,当年实际!$C:$C,"&gt;="&amp;DATE(YEAR(主页!$D$2),1,1),当年实际!$C:$C,"&lt;="&amp;EOMONTH(DATE(YEAR(主页!$D$2),MONTH(主页!$D$2),1),0)),"")</f>
        <v/>
      </c>
    </row>
    <row r="349" spans="1:10" x14ac:dyDescent="0.3">
      <c r="A349" s="129"/>
      <c r="B349" s="150"/>
      <c r="C349" s="150"/>
      <c r="D349" s="150"/>
      <c r="E349" s="140" t="str">
        <f t="shared" si="18"/>
        <v/>
      </c>
      <c r="F349" s="157"/>
      <c r="G349" s="145">
        <f t="shared" si="16"/>
        <v>0</v>
      </c>
      <c r="H349" s="140" t="str">
        <f t="shared" si="17"/>
        <v/>
      </c>
      <c r="J349" s="147" t="str">
        <f>IFERROR(SUMIFS(当年实际!$V:$V,当年实际!$J:$J,$C349,当年实际!$C:$C,"&gt;="&amp;DATE(YEAR(主页!$D$2),1,1),当年实际!$C:$C,"&lt;="&amp;EOMONTH(DATE(YEAR(主页!$D$2),MONTH(主页!$D$2),1),0))/SUMIFS(当年实际!$P:$P,当年实际!$J:$J,$C349,当年实际!$C:$C,"&gt;="&amp;DATE(YEAR(主页!$D$2),1,1),当年实际!$C:$C,"&lt;="&amp;EOMONTH(DATE(YEAR(主页!$D$2),MONTH(主页!$D$2),1),0)),"")</f>
        <v/>
      </c>
    </row>
    <row r="350" spans="1:10" x14ac:dyDescent="0.3">
      <c r="A350" s="129"/>
      <c r="B350" s="150"/>
      <c r="C350" s="150"/>
      <c r="D350" s="150"/>
      <c r="E350" s="140" t="str">
        <f t="shared" si="18"/>
        <v/>
      </c>
      <c r="F350" s="157"/>
      <c r="G350" s="145">
        <f t="shared" si="16"/>
        <v>0</v>
      </c>
      <c r="H350" s="140" t="str">
        <f t="shared" si="17"/>
        <v/>
      </c>
      <c r="J350" s="147" t="str">
        <f>IFERROR(SUMIFS(当年实际!$V:$V,当年实际!$J:$J,$C350,当年实际!$C:$C,"&gt;="&amp;DATE(YEAR(主页!$D$2),1,1),当年实际!$C:$C,"&lt;="&amp;EOMONTH(DATE(YEAR(主页!$D$2),MONTH(主页!$D$2),1),0))/SUMIFS(当年实际!$P:$P,当年实际!$J:$J,$C350,当年实际!$C:$C,"&gt;="&amp;DATE(YEAR(主页!$D$2),1,1),当年实际!$C:$C,"&lt;="&amp;EOMONTH(DATE(YEAR(主页!$D$2),MONTH(主页!$D$2),1),0)),"")</f>
        <v/>
      </c>
    </row>
    <row r="351" spans="1:10" x14ac:dyDescent="0.3">
      <c r="A351" s="129"/>
      <c r="B351" s="150"/>
      <c r="C351" s="150"/>
      <c r="D351" s="150"/>
      <c r="E351" s="140" t="str">
        <f t="shared" si="18"/>
        <v/>
      </c>
      <c r="F351" s="157"/>
      <c r="G351" s="145">
        <f t="shared" ref="G351:G414" si="19">D351*F351</f>
        <v>0</v>
      </c>
      <c r="H351" s="140" t="str">
        <f t="shared" ref="H351:H414" si="20">IF(G351/SUM(G:G)=0,"",G351/SUM(G:G))</f>
        <v/>
      </c>
      <c r="J351" s="147" t="str">
        <f>IFERROR(SUMIFS(当年实际!$V:$V,当年实际!$J:$J,$C351,当年实际!$C:$C,"&gt;="&amp;DATE(YEAR(主页!$D$2),1,1),当年实际!$C:$C,"&lt;="&amp;EOMONTH(DATE(YEAR(主页!$D$2),MONTH(主页!$D$2),1),0))/SUMIFS(当年实际!$P:$P,当年实际!$J:$J,$C351,当年实际!$C:$C,"&gt;="&amp;DATE(YEAR(主页!$D$2),1,1),当年实际!$C:$C,"&lt;="&amp;EOMONTH(DATE(YEAR(主页!$D$2),MONTH(主页!$D$2),1),0)),"")</f>
        <v/>
      </c>
    </row>
    <row r="352" spans="1:10" x14ac:dyDescent="0.3">
      <c r="A352" s="129"/>
      <c r="B352" s="150"/>
      <c r="C352" s="150"/>
      <c r="D352" s="150"/>
      <c r="E352" s="140" t="str">
        <f t="shared" si="18"/>
        <v/>
      </c>
      <c r="F352" s="157"/>
      <c r="G352" s="145">
        <f t="shared" si="19"/>
        <v>0</v>
      </c>
      <c r="H352" s="140" t="str">
        <f t="shared" si="20"/>
        <v/>
      </c>
      <c r="J352" s="147" t="str">
        <f>IFERROR(SUMIFS(当年实际!$V:$V,当年实际!$J:$J,$C352,当年实际!$C:$C,"&gt;="&amp;DATE(YEAR(主页!$D$2),1,1),当年实际!$C:$C,"&lt;="&amp;EOMONTH(DATE(YEAR(主页!$D$2),MONTH(主页!$D$2),1),0))/SUMIFS(当年实际!$P:$P,当年实际!$J:$J,$C352,当年实际!$C:$C,"&gt;="&amp;DATE(YEAR(主页!$D$2),1,1),当年实际!$C:$C,"&lt;="&amp;EOMONTH(DATE(YEAR(主页!$D$2),MONTH(主页!$D$2),1),0)),"")</f>
        <v/>
      </c>
    </row>
    <row r="353" spans="1:10" x14ac:dyDescent="0.3">
      <c r="A353" s="129"/>
      <c r="B353" s="150"/>
      <c r="C353" s="150"/>
      <c r="D353" s="150"/>
      <c r="E353" s="140" t="str">
        <f t="shared" si="18"/>
        <v/>
      </c>
      <c r="F353" s="157"/>
      <c r="G353" s="145">
        <f t="shared" si="19"/>
        <v>0</v>
      </c>
      <c r="H353" s="140" t="str">
        <f t="shared" si="20"/>
        <v/>
      </c>
      <c r="J353" s="147" t="str">
        <f>IFERROR(SUMIFS(当年实际!$V:$V,当年实际!$J:$J,$C353,当年实际!$C:$C,"&gt;="&amp;DATE(YEAR(主页!$D$2),1,1),当年实际!$C:$C,"&lt;="&amp;EOMONTH(DATE(YEAR(主页!$D$2),MONTH(主页!$D$2),1),0))/SUMIFS(当年实际!$P:$P,当年实际!$J:$J,$C353,当年实际!$C:$C,"&gt;="&amp;DATE(YEAR(主页!$D$2),1,1),当年实际!$C:$C,"&lt;="&amp;EOMONTH(DATE(YEAR(主页!$D$2),MONTH(主页!$D$2),1),0)),"")</f>
        <v/>
      </c>
    </row>
    <row r="354" spans="1:10" x14ac:dyDescent="0.3">
      <c r="A354" s="129"/>
      <c r="B354" s="150"/>
      <c r="C354" s="150"/>
      <c r="D354" s="150"/>
      <c r="E354" s="140" t="str">
        <f t="shared" si="18"/>
        <v/>
      </c>
      <c r="F354" s="157"/>
      <c r="G354" s="145">
        <f t="shared" si="19"/>
        <v>0</v>
      </c>
      <c r="H354" s="140" t="str">
        <f t="shared" si="20"/>
        <v/>
      </c>
      <c r="J354" s="147" t="str">
        <f>IFERROR(SUMIFS(当年实际!$V:$V,当年实际!$J:$J,$C354,当年实际!$C:$C,"&gt;="&amp;DATE(YEAR(主页!$D$2),1,1),当年实际!$C:$C,"&lt;="&amp;EOMONTH(DATE(YEAR(主页!$D$2),MONTH(主页!$D$2),1),0))/SUMIFS(当年实际!$P:$P,当年实际!$J:$J,$C354,当年实际!$C:$C,"&gt;="&amp;DATE(YEAR(主页!$D$2),1,1),当年实际!$C:$C,"&lt;="&amp;EOMONTH(DATE(YEAR(主页!$D$2),MONTH(主页!$D$2),1),0)),"")</f>
        <v/>
      </c>
    </row>
    <row r="355" spans="1:10" x14ac:dyDescent="0.3">
      <c r="A355" s="129"/>
      <c r="B355" s="150"/>
      <c r="C355" s="150"/>
      <c r="D355" s="150"/>
      <c r="E355" s="140" t="str">
        <f t="shared" si="18"/>
        <v/>
      </c>
      <c r="F355" s="157"/>
      <c r="G355" s="145">
        <f t="shared" si="19"/>
        <v>0</v>
      </c>
      <c r="H355" s="140" t="str">
        <f t="shared" si="20"/>
        <v/>
      </c>
      <c r="J355" s="147" t="str">
        <f>IFERROR(SUMIFS(当年实际!$V:$V,当年实际!$J:$J,$C355,当年实际!$C:$C,"&gt;="&amp;DATE(YEAR(主页!$D$2),1,1),当年实际!$C:$C,"&lt;="&amp;EOMONTH(DATE(YEAR(主页!$D$2),MONTH(主页!$D$2),1),0))/SUMIFS(当年实际!$P:$P,当年实际!$J:$J,$C355,当年实际!$C:$C,"&gt;="&amp;DATE(YEAR(主页!$D$2),1,1),当年实际!$C:$C,"&lt;="&amp;EOMONTH(DATE(YEAR(主页!$D$2),MONTH(主页!$D$2),1),0)),"")</f>
        <v/>
      </c>
    </row>
    <row r="356" spans="1:10" x14ac:dyDescent="0.3">
      <c r="A356" s="129"/>
      <c r="B356" s="150"/>
      <c r="C356" s="150"/>
      <c r="D356" s="150"/>
      <c r="E356" s="140" t="str">
        <f t="shared" si="18"/>
        <v/>
      </c>
      <c r="F356" s="157"/>
      <c r="G356" s="145">
        <f t="shared" si="19"/>
        <v>0</v>
      </c>
      <c r="H356" s="140" t="str">
        <f t="shared" si="20"/>
        <v/>
      </c>
      <c r="J356" s="147" t="str">
        <f>IFERROR(SUMIFS(当年实际!$V:$V,当年实际!$J:$J,$C356,当年实际!$C:$C,"&gt;="&amp;DATE(YEAR(主页!$D$2),1,1),当年实际!$C:$C,"&lt;="&amp;EOMONTH(DATE(YEAR(主页!$D$2),MONTH(主页!$D$2),1),0))/SUMIFS(当年实际!$P:$P,当年实际!$J:$J,$C356,当年实际!$C:$C,"&gt;="&amp;DATE(YEAR(主页!$D$2),1,1),当年实际!$C:$C,"&lt;="&amp;EOMONTH(DATE(YEAR(主页!$D$2),MONTH(主页!$D$2),1),0)),"")</f>
        <v/>
      </c>
    </row>
    <row r="357" spans="1:10" x14ac:dyDescent="0.3">
      <c r="A357" s="129"/>
      <c r="B357" s="150"/>
      <c r="C357" s="150"/>
      <c r="D357" s="150"/>
      <c r="E357" s="140" t="str">
        <f t="shared" si="18"/>
        <v/>
      </c>
      <c r="F357" s="157"/>
      <c r="G357" s="145">
        <f t="shared" si="19"/>
        <v>0</v>
      </c>
      <c r="H357" s="140" t="str">
        <f t="shared" si="20"/>
        <v/>
      </c>
      <c r="J357" s="147" t="str">
        <f>IFERROR(SUMIFS(当年实际!$V:$V,当年实际!$J:$J,$C357,当年实际!$C:$C,"&gt;="&amp;DATE(YEAR(主页!$D$2),1,1),当年实际!$C:$C,"&lt;="&amp;EOMONTH(DATE(YEAR(主页!$D$2),MONTH(主页!$D$2),1),0))/SUMIFS(当年实际!$P:$P,当年实际!$J:$J,$C357,当年实际!$C:$C,"&gt;="&amp;DATE(YEAR(主页!$D$2),1,1),当年实际!$C:$C,"&lt;="&amp;EOMONTH(DATE(YEAR(主页!$D$2),MONTH(主页!$D$2),1),0)),"")</f>
        <v/>
      </c>
    </row>
    <row r="358" spans="1:10" x14ac:dyDescent="0.3">
      <c r="A358" s="129"/>
      <c r="B358" s="150"/>
      <c r="C358" s="150"/>
      <c r="D358" s="150"/>
      <c r="E358" s="140" t="str">
        <f t="shared" si="18"/>
        <v/>
      </c>
      <c r="F358" s="157"/>
      <c r="G358" s="145">
        <f t="shared" si="19"/>
        <v>0</v>
      </c>
      <c r="H358" s="140" t="str">
        <f t="shared" si="20"/>
        <v/>
      </c>
      <c r="J358" s="147" t="str">
        <f>IFERROR(SUMIFS(当年实际!$V:$V,当年实际!$J:$J,$C358,当年实际!$C:$C,"&gt;="&amp;DATE(YEAR(主页!$D$2),1,1),当年实际!$C:$C,"&lt;="&amp;EOMONTH(DATE(YEAR(主页!$D$2),MONTH(主页!$D$2),1),0))/SUMIFS(当年实际!$P:$P,当年实际!$J:$J,$C358,当年实际!$C:$C,"&gt;="&amp;DATE(YEAR(主页!$D$2),1,1),当年实际!$C:$C,"&lt;="&amp;EOMONTH(DATE(YEAR(主页!$D$2),MONTH(主页!$D$2),1),0)),"")</f>
        <v/>
      </c>
    </row>
    <row r="359" spans="1:10" x14ac:dyDescent="0.3">
      <c r="A359" s="129"/>
      <c r="B359" s="150"/>
      <c r="C359" s="150"/>
      <c r="D359" s="150"/>
      <c r="E359" s="140" t="str">
        <f t="shared" si="18"/>
        <v/>
      </c>
      <c r="F359" s="157"/>
      <c r="G359" s="145">
        <f t="shared" si="19"/>
        <v>0</v>
      </c>
      <c r="H359" s="140" t="str">
        <f t="shared" si="20"/>
        <v/>
      </c>
      <c r="J359" s="147" t="str">
        <f>IFERROR(SUMIFS(当年实际!$V:$V,当年实际!$J:$J,$C359,当年实际!$C:$C,"&gt;="&amp;DATE(YEAR(主页!$D$2),1,1),当年实际!$C:$C,"&lt;="&amp;EOMONTH(DATE(YEAR(主页!$D$2),MONTH(主页!$D$2),1),0))/SUMIFS(当年实际!$P:$P,当年实际!$J:$J,$C359,当年实际!$C:$C,"&gt;="&amp;DATE(YEAR(主页!$D$2),1,1),当年实际!$C:$C,"&lt;="&amp;EOMONTH(DATE(YEAR(主页!$D$2),MONTH(主页!$D$2),1),0)),"")</f>
        <v/>
      </c>
    </row>
    <row r="360" spans="1:10" x14ac:dyDescent="0.3">
      <c r="A360" s="129"/>
      <c r="B360" s="150"/>
      <c r="C360" s="150"/>
      <c r="D360" s="150"/>
      <c r="E360" s="140" t="str">
        <f t="shared" si="18"/>
        <v/>
      </c>
      <c r="F360" s="157"/>
      <c r="G360" s="145">
        <f t="shared" si="19"/>
        <v>0</v>
      </c>
      <c r="H360" s="140" t="str">
        <f t="shared" si="20"/>
        <v/>
      </c>
      <c r="J360" s="147" t="str">
        <f>IFERROR(SUMIFS(当年实际!$V:$V,当年实际!$J:$J,$C360,当年实际!$C:$C,"&gt;="&amp;DATE(YEAR(主页!$D$2),1,1),当年实际!$C:$C,"&lt;="&amp;EOMONTH(DATE(YEAR(主页!$D$2),MONTH(主页!$D$2),1),0))/SUMIFS(当年实际!$P:$P,当年实际!$J:$J,$C360,当年实际!$C:$C,"&gt;="&amp;DATE(YEAR(主页!$D$2),1,1),当年实际!$C:$C,"&lt;="&amp;EOMONTH(DATE(YEAR(主页!$D$2),MONTH(主页!$D$2),1),0)),"")</f>
        <v/>
      </c>
    </row>
    <row r="361" spans="1:10" x14ac:dyDescent="0.3">
      <c r="A361" s="129"/>
      <c r="B361" s="150"/>
      <c r="C361" s="150"/>
      <c r="D361" s="150"/>
      <c r="E361" s="140" t="str">
        <f t="shared" si="18"/>
        <v/>
      </c>
      <c r="F361" s="157"/>
      <c r="G361" s="145">
        <f t="shared" si="19"/>
        <v>0</v>
      </c>
      <c r="H361" s="140" t="str">
        <f t="shared" si="20"/>
        <v/>
      </c>
      <c r="J361" s="147" t="str">
        <f>IFERROR(SUMIFS(当年实际!$V:$V,当年实际!$J:$J,$C361,当年实际!$C:$C,"&gt;="&amp;DATE(YEAR(主页!$D$2),1,1),当年实际!$C:$C,"&lt;="&amp;EOMONTH(DATE(YEAR(主页!$D$2),MONTH(主页!$D$2),1),0))/SUMIFS(当年实际!$P:$P,当年实际!$J:$J,$C361,当年实际!$C:$C,"&gt;="&amp;DATE(YEAR(主页!$D$2),1,1),当年实际!$C:$C,"&lt;="&amp;EOMONTH(DATE(YEAR(主页!$D$2),MONTH(主页!$D$2),1),0)),"")</f>
        <v/>
      </c>
    </row>
    <row r="362" spans="1:10" x14ac:dyDescent="0.3">
      <c r="A362" s="129"/>
      <c r="B362" s="150"/>
      <c r="C362" s="150"/>
      <c r="D362" s="150"/>
      <c r="E362" s="140" t="str">
        <f t="shared" si="18"/>
        <v/>
      </c>
      <c r="F362" s="157"/>
      <c r="G362" s="145">
        <f t="shared" si="19"/>
        <v>0</v>
      </c>
      <c r="H362" s="140" t="str">
        <f t="shared" si="20"/>
        <v/>
      </c>
      <c r="J362" s="147" t="str">
        <f>IFERROR(SUMIFS(当年实际!$V:$V,当年实际!$J:$J,$C362,当年实际!$C:$C,"&gt;="&amp;DATE(YEAR(主页!$D$2),1,1),当年实际!$C:$C,"&lt;="&amp;EOMONTH(DATE(YEAR(主页!$D$2),MONTH(主页!$D$2),1),0))/SUMIFS(当年实际!$P:$P,当年实际!$J:$J,$C362,当年实际!$C:$C,"&gt;="&amp;DATE(YEAR(主页!$D$2),1,1),当年实际!$C:$C,"&lt;="&amp;EOMONTH(DATE(YEAR(主页!$D$2),MONTH(主页!$D$2),1),0)),"")</f>
        <v/>
      </c>
    </row>
    <row r="363" spans="1:10" x14ac:dyDescent="0.3">
      <c r="A363" s="129"/>
      <c r="B363" s="150"/>
      <c r="C363" s="150"/>
      <c r="D363" s="150"/>
      <c r="E363" s="140" t="str">
        <f t="shared" si="18"/>
        <v/>
      </c>
      <c r="F363" s="157"/>
      <c r="G363" s="145">
        <f t="shared" si="19"/>
        <v>0</v>
      </c>
      <c r="H363" s="140" t="str">
        <f t="shared" si="20"/>
        <v/>
      </c>
      <c r="J363" s="147" t="str">
        <f>IFERROR(SUMIFS(当年实际!$V:$V,当年实际!$J:$J,$C363,当年实际!$C:$C,"&gt;="&amp;DATE(YEAR(主页!$D$2),1,1),当年实际!$C:$C,"&lt;="&amp;EOMONTH(DATE(YEAR(主页!$D$2),MONTH(主页!$D$2),1),0))/SUMIFS(当年实际!$P:$P,当年实际!$J:$J,$C363,当年实际!$C:$C,"&gt;="&amp;DATE(YEAR(主页!$D$2),1,1),当年实际!$C:$C,"&lt;="&amp;EOMONTH(DATE(YEAR(主页!$D$2),MONTH(主页!$D$2),1),0)),"")</f>
        <v/>
      </c>
    </row>
    <row r="364" spans="1:10" x14ac:dyDescent="0.3">
      <c r="A364" s="129"/>
      <c r="B364" s="150"/>
      <c r="C364" s="150"/>
      <c r="D364" s="150"/>
      <c r="E364" s="140" t="str">
        <f t="shared" si="18"/>
        <v/>
      </c>
      <c r="F364" s="157"/>
      <c r="G364" s="145">
        <f t="shared" si="19"/>
        <v>0</v>
      </c>
      <c r="H364" s="140" t="str">
        <f t="shared" si="20"/>
        <v/>
      </c>
      <c r="J364" s="147" t="str">
        <f>IFERROR(SUMIFS(当年实际!$V:$V,当年实际!$J:$J,$C364,当年实际!$C:$C,"&gt;="&amp;DATE(YEAR(主页!$D$2),1,1),当年实际!$C:$C,"&lt;="&amp;EOMONTH(DATE(YEAR(主页!$D$2),MONTH(主页!$D$2),1),0))/SUMIFS(当年实际!$P:$P,当年实际!$J:$J,$C364,当年实际!$C:$C,"&gt;="&amp;DATE(YEAR(主页!$D$2),1,1),当年实际!$C:$C,"&lt;="&amp;EOMONTH(DATE(YEAR(主页!$D$2),MONTH(主页!$D$2),1),0)),"")</f>
        <v/>
      </c>
    </row>
    <row r="365" spans="1:10" x14ac:dyDescent="0.3">
      <c r="A365" s="129"/>
      <c r="B365" s="150"/>
      <c r="C365" s="150"/>
      <c r="D365" s="150"/>
      <c r="E365" s="140" t="str">
        <f t="shared" si="18"/>
        <v/>
      </c>
      <c r="F365" s="157"/>
      <c r="G365" s="145">
        <f t="shared" si="19"/>
        <v>0</v>
      </c>
      <c r="H365" s="140" t="str">
        <f t="shared" si="20"/>
        <v/>
      </c>
      <c r="J365" s="147" t="str">
        <f>IFERROR(SUMIFS(当年实际!$V:$V,当年实际!$J:$J,$C365,当年实际!$C:$C,"&gt;="&amp;DATE(YEAR(主页!$D$2),1,1),当年实际!$C:$C,"&lt;="&amp;EOMONTH(DATE(YEAR(主页!$D$2),MONTH(主页!$D$2),1),0))/SUMIFS(当年实际!$P:$P,当年实际!$J:$J,$C365,当年实际!$C:$C,"&gt;="&amp;DATE(YEAR(主页!$D$2),1,1),当年实际!$C:$C,"&lt;="&amp;EOMONTH(DATE(YEAR(主页!$D$2),MONTH(主页!$D$2),1),0)),"")</f>
        <v/>
      </c>
    </row>
    <row r="366" spans="1:10" x14ac:dyDescent="0.3">
      <c r="A366" s="129"/>
      <c r="B366" s="150"/>
      <c r="C366" s="150"/>
      <c r="D366" s="150"/>
      <c r="E366" s="140" t="str">
        <f t="shared" si="18"/>
        <v/>
      </c>
      <c r="F366" s="157"/>
      <c r="G366" s="145">
        <f t="shared" si="19"/>
        <v>0</v>
      </c>
      <c r="H366" s="140" t="str">
        <f t="shared" si="20"/>
        <v/>
      </c>
      <c r="J366" s="147" t="str">
        <f>IFERROR(SUMIFS(当年实际!$V:$V,当年实际!$J:$J,$C366,当年实际!$C:$C,"&gt;="&amp;DATE(YEAR(主页!$D$2),1,1),当年实际!$C:$C,"&lt;="&amp;EOMONTH(DATE(YEAR(主页!$D$2),MONTH(主页!$D$2),1),0))/SUMIFS(当年实际!$P:$P,当年实际!$J:$J,$C366,当年实际!$C:$C,"&gt;="&amp;DATE(YEAR(主页!$D$2),1,1),当年实际!$C:$C,"&lt;="&amp;EOMONTH(DATE(YEAR(主页!$D$2),MONTH(主页!$D$2),1),0)),"")</f>
        <v/>
      </c>
    </row>
    <row r="367" spans="1:10" x14ac:dyDescent="0.3">
      <c r="A367" s="129"/>
      <c r="B367" s="150"/>
      <c r="C367" s="150"/>
      <c r="D367" s="150"/>
      <c r="E367" s="140" t="str">
        <f t="shared" si="18"/>
        <v/>
      </c>
      <c r="F367" s="157"/>
      <c r="G367" s="145">
        <f t="shared" si="19"/>
        <v>0</v>
      </c>
      <c r="H367" s="140" t="str">
        <f t="shared" si="20"/>
        <v/>
      </c>
      <c r="J367" s="147" t="str">
        <f>IFERROR(SUMIFS(当年实际!$V:$V,当年实际!$J:$J,$C367,当年实际!$C:$C,"&gt;="&amp;DATE(YEAR(主页!$D$2),1,1),当年实际!$C:$C,"&lt;="&amp;EOMONTH(DATE(YEAR(主页!$D$2),MONTH(主页!$D$2),1),0))/SUMIFS(当年实际!$P:$P,当年实际!$J:$J,$C367,当年实际!$C:$C,"&gt;="&amp;DATE(YEAR(主页!$D$2),1,1),当年实际!$C:$C,"&lt;="&amp;EOMONTH(DATE(YEAR(主页!$D$2),MONTH(主页!$D$2),1),0)),"")</f>
        <v/>
      </c>
    </row>
    <row r="368" spans="1:10" x14ac:dyDescent="0.3">
      <c r="A368" s="129"/>
      <c r="B368" s="150"/>
      <c r="C368" s="150"/>
      <c r="D368" s="150"/>
      <c r="E368" s="140" t="str">
        <f t="shared" si="18"/>
        <v/>
      </c>
      <c r="F368" s="157"/>
      <c r="G368" s="145">
        <f t="shared" si="19"/>
        <v>0</v>
      </c>
      <c r="H368" s="140" t="str">
        <f t="shared" si="20"/>
        <v/>
      </c>
      <c r="J368" s="147" t="str">
        <f>IFERROR(SUMIFS(当年实际!$V:$V,当年实际!$J:$J,$C368,当年实际!$C:$C,"&gt;="&amp;DATE(YEAR(主页!$D$2),1,1),当年实际!$C:$C,"&lt;="&amp;EOMONTH(DATE(YEAR(主页!$D$2),MONTH(主页!$D$2),1),0))/SUMIFS(当年实际!$P:$P,当年实际!$J:$J,$C368,当年实际!$C:$C,"&gt;="&amp;DATE(YEAR(主页!$D$2),1,1),当年实际!$C:$C,"&lt;="&amp;EOMONTH(DATE(YEAR(主页!$D$2),MONTH(主页!$D$2),1),0)),"")</f>
        <v/>
      </c>
    </row>
    <row r="369" spans="1:10" x14ac:dyDescent="0.3">
      <c r="A369" s="129"/>
      <c r="B369" s="150"/>
      <c r="C369" s="150"/>
      <c r="D369" s="150"/>
      <c r="E369" s="140" t="str">
        <f t="shared" si="18"/>
        <v/>
      </c>
      <c r="F369" s="157"/>
      <c r="G369" s="145">
        <f t="shared" si="19"/>
        <v>0</v>
      </c>
      <c r="H369" s="140" t="str">
        <f t="shared" si="20"/>
        <v/>
      </c>
      <c r="J369" s="147" t="str">
        <f>IFERROR(SUMIFS(当年实际!$V:$V,当年实际!$J:$J,$C369,当年实际!$C:$C,"&gt;="&amp;DATE(YEAR(主页!$D$2),1,1),当年实际!$C:$C,"&lt;="&amp;EOMONTH(DATE(YEAR(主页!$D$2),MONTH(主页!$D$2),1),0))/SUMIFS(当年实际!$P:$P,当年实际!$J:$J,$C369,当年实际!$C:$C,"&gt;="&amp;DATE(YEAR(主页!$D$2),1,1),当年实际!$C:$C,"&lt;="&amp;EOMONTH(DATE(YEAR(主页!$D$2),MONTH(主页!$D$2),1),0)),"")</f>
        <v/>
      </c>
    </row>
    <row r="370" spans="1:10" x14ac:dyDescent="0.3">
      <c r="A370" s="129"/>
      <c r="B370" s="150"/>
      <c r="C370" s="150"/>
      <c r="D370" s="150"/>
      <c r="E370" s="140" t="str">
        <f t="shared" si="18"/>
        <v/>
      </c>
      <c r="F370" s="157"/>
      <c r="G370" s="145">
        <f t="shared" si="19"/>
        <v>0</v>
      </c>
      <c r="H370" s="140" t="str">
        <f t="shared" si="20"/>
        <v/>
      </c>
      <c r="J370" s="147" t="str">
        <f>IFERROR(SUMIFS(当年实际!$V:$V,当年实际!$J:$J,$C370,当年实际!$C:$C,"&gt;="&amp;DATE(YEAR(主页!$D$2),1,1),当年实际!$C:$C,"&lt;="&amp;EOMONTH(DATE(YEAR(主页!$D$2),MONTH(主页!$D$2),1),0))/SUMIFS(当年实际!$P:$P,当年实际!$J:$J,$C370,当年实际!$C:$C,"&gt;="&amp;DATE(YEAR(主页!$D$2),1,1),当年实际!$C:$C,"&lt;="&amp;EOMONTH(DATE(YEAR(主页!$D$2),MONTH(主页!$D$2),1),0)),"")</f>
        <v/>
      </c>
    </row>
    <row r="371" spans="1:10" x14ac:dyDescent="0.3">
      <c r="A371" s="129"/>
      <c r="B371" s="150"/>
      <c r="C371" s="150"/>
      <c r="D371" s="150"/>
      <c r="E371" s="140" t="str">
        <f t="shared" si="18"/>
        <v/>
      </c>
      <c r="F371" s="157"/>
      <c r="G371" s="145">
        <f t="shared" si="19"/>
        <v>0</v>
      </c>
      <c r="H371" s="140" t="str">
        <f t="shared" si="20"/>
        <v/>
      </c>
      <c r="J371" s="147" t="str">
        <f>IFERROR(SUMIFS(当年实际!$V:$V,当年实际!$J:$J,$C371,当年实际!$C:$C,"&gt;="&amp;DATE(YEAR(主页!$D$2),1,1),当年实际!$C:$C,"&lt;="&amp;EOMONTH(DATE(YEAR(主页!$D$2),MONTH(主页!$D$2),1),0))/SUMIFS(当年实际!$P:$P,当年实际!$J:$J,$C371,当年实际!$C:$C,"&gt;="&amp;DATE(YEAR(主页!$D$2),1,1),当年实际!$C:$C,"&lt;="&amp;EOMONTH(DATE(YEAR(主页!$D$2),MONTH(主页!$D$2),1),0)),"")</f>
        <v/>
      </c>
    </row>
    <row r="372" spans="1:10" x14ac:dyDescent="0.3">
      <c r="A372" s="129"/>
      <c r="B372" s="150"/>
      <c r="C372" s="150"/>
      <c r="D372" s="150"/>
      <c r="E372" s="140" t="str">
        <f t="shared" si="18"/>
        <v/>
      </c>
      <c r="F372" s="157"/>
      <c r="G372" s="145">
        <f t="shared" si="19"/>
        <v>0</v>
      </c>
      <c r="H372" s="140" t="str">
        <f t="shared" si="20"/>
        <v/>
      </c>
      <c r="J372" s="147" t="str">
        <f>IFERROR(SUMIFS(当年实际!$V:$V,当年实际!$J:$J,$C372,当年实际!$C:$C,"&gt;="&amp;DATE(YEAR(主页!$D$2),1,1),当年实际!$C:$C,"&lt;="&amp;EOMONTH(DATE(YEAR(主页!$D$2),MONTH(主页!$D$2),1),0))/SUMIFS(当年实际!$P:$P,当年实际!$J:$J,$C372,当年实际!$C:$C,"&gt;="&amp;DATE(YEAR(主页!$D$2),1,1),当年实际!$C:$C,"&lt;="&amp;EOMONTH(DATE(YEAR(主页!$D$2),MONTH(主页!$D$2),1),0)),"")</f>
        <v/>
      </c>
    </row>
    <row r="373" spans="1:10" x14ac:dyDescent="0.3">
      <c r="A373" s="129"/>
      <c r="B373" s="150"/>
      <c r="C373" s="150"/>
      <c r="D373" s="150"/>
      <c r="E373" s="140" t="str">
        <f t="shared" si="18"/>
        <v/>
      </c>
      <c r="F373" s="157"/>
      <c r="G373" s="145">
        <f t="shared" si="19"/>
        <v>0</v>
      </c>
      <c r="H373" s="140" t="str">
        <f t="shared" si="20"/>
        <v/>
      </c>
      <c r="J373" s="147" t="str">
        <f>IFERROR(SUMIFS(当年实际!$V:$V,当年实际!$J:$J,$C373,当年实际!$C:$C,"&gt;="&amp;DATE(YEAR(主页!$D$2),1,1),当年实际!$C:$C,"&lt;="&amp;EOMONTH(DATE(YEAR(主页!$D$2),MONTH(主页!$D$2),1),0))/SUMIFS(当年实际!$P:$P,当年实际!$J:$J,$C373,当年实际!$C:$C,"&gt;="&amp;DATE(YEAR(主页!$D$2),1,1),当年实际!$C:$C,"&lt;="&amp;EOMONTH(DATE(YEAR(主页!$D$2),MONTH(主页!$D$2),1),0)),"")</f>
        <v/>
      </c>
    </row>
    <row r="374" spans="1:10" x14ac:dyDescent="0.3">
      <c r="A374" s="129"/>
      <c r="B374" s="150"/>
      <c r="C374" s="150"/>
      <c r="D374" s="150"/>
      <c r="E374" s="140" t="str">
        <f t="shared" si="18"/>
        <v/>
      </c>
      <c r="F374" s="157"/>
      <c r="G374" s="145">
        <f t="shared" si="19"/>
        <v>0</v>
      </c>
      <c r="H374" s="140" t="str">
        <f t="shared" si="20"/>
        <v/>
      </c>
      <c r="J374" s="147" t="str">
        <f>IFERROR(SUMIFS(当年实际!$V:$V,当年实际!$J:$J,$C374,当年实际!$C:$C,"&gt;="&amp;DATE(YEAR(主页!$D$2),1,1),当年实际!$C:$C,"&lt;="&amp;EOMONTH(DATE(YEAR(主页!$D$2),MONTH(主页!$D$2),1),0))/SUMIFS(当年实际!$P:$P,当年实际!$J:$J,$C374,当年实际!$C:$C,"&gt;="&amp;DATE(YEAR(主页!$D$2),1,1),当年实际!$C:$C,"&lt;="&amp;EOMONTH(DATE(YEAR(主页!$D$2),MONTH(主页!$D$2),1),0)),"")</f>
        <v/>
      </c>
    </row>
    <row r="375" spans="1:10" x14ac:dyDescent="0.3">
      <c r="A375" s="129"/>
      <c r="B375" s="150"/>
      <c r="C375" s="150"/>
      <c r="D375" s="150"/>
      <c r="E375" s="140" t="str">
        <f t="shared" si="18"/>
        <v/>
      </c>
      <c r="F375" s="157"/>
      <c r="G375" s="145">
        <f t="shared" si="19"/>
        <v>0</v>
      </c>
      <c r="H375" s="140" t="str">
        <f t="shared" si="20"/>
        <v/>
      </c>
      <c r="J375" s="147" t="str">
        <f>IFERROR(SUMIFS(当年实际!$V:$V,当年实际!$J:$J,$C375,当年实际!$C:$C,"&gt;="&amp;DATE(YEAR(主页!$D$2),1,1),当年实际!$C:$C,"&lt;="&amp;EOMONTH(DATE(YEAR(主页!$D$2),MONTH(主页!$D$2),1),0))/SUMIFS(当年实际!$P:$P,当年实际!$J:$J,$C375,当年实际!$C:$C,"&gt;="&amp;DATE(YEAR(主页!$D$2),1,1),当年实际!$C:$C,"&lt;="&amp;EOMONTH(DATE(YEAR(主页!$D$2),MONTH(主页!$D$2),1),0)),"")</f>
        <v/>
      </c>
    </row>
    <row r="376" spans="1:10" x14ac:dyDescent="0.3">
      <c r="A376" s="129"/>
      <c r="B376" s="150"/>
      <c r="C376" s="150"/>
      <c r="D376" s="150"/>
      <c r="E376" s="140" t="str">
        <f t="shared" si="18"/>
        <v/>
      </c>
      <c r="F376" s="157"/>
      <c r="G376" s="145">
        <f t="shared" si="19"/>
        <v>0</v>
      </c>
      <c r="H376" s="140" t="str">
        <f t="shared" si="20"/>
        <v/>
      </c>
      <c r="J376" s="147" t="str">
        <f>IFERROR(SUMIFS(当年实际!$V:$V,当年实际!$J:$J,$C376,当年实际!$C:$C,"&gt;="&amp;DATE(YEAR(主页!$D$2),1,1),当年实际!$C:$C,"&lt;="&amp;EOMONTH(DATE(YEAR(主页!$D$2),MONTH(主页!$D$2),1),0))/SUMIFS(当年实际!$P:$P,当年实际!$J:$J,$C376,当年实际!$C:$C,"&gt;="&amp;DATE(YEAR(主页!$D$2),1,1),当年实际!$C:$C,"&lt;="&amp;EOMONTH(DATE(YEAR(主页!$D$2),MONTH(主页!$D$2),1),0)),"")</f>
        <v/>
      </c>
    </row>
    <row r="377" spans="1:10" x14ac:dyDescent="0.3">
      <c r="A377" s="129"/>
      <c r="B377" s="150"/>
      <c r="C377" s="150"/>
      <c r="D377" s="150"/>
      <c r="E377" s="140" t="str">
        <f t="shared" si="18"/>
        <v/>
      </c>
      <c r="F377" s="157"/>
      <c r="G377" s="145">
        <f t="shared" si="19"/>
        <v>0</v>
      </c>
      <c r="H377" s="140" t="str">
        <f t="shared" si="20"/>
        <v/>
      </c>
      <c r="J377" s="147" t="str">
        <f>IFERROR(SUMIFS(当年实际!$V:$V,当年实际!$J:$J,$C377,当年实际!$C:$C,"&gt;="&amp;DATE(YEAR(主页!$D$2),1,1),当年实际!$C:$C,"&lt;="&amp;EOMONTH(DATE(YEAR(主页!$D$2),MONTH(主页!$D$2),1),0))/SUMIFS(当年实际!$P:$P,当年实际!$J:$J,$C377,当年实际!$C:$C,"&gt;="&amp;DATE(YEAR(主页!$D$2),1,1),当年实际!$C:$C,"&lt;="&amp;EOMONTH(DATE(YEAR(主页!$D$2),MONTH(主页!$D$2),1),0)),"")</f>
        <v/>
      </c>
    </row>
    <row r="378" spans="1:10" x14ac:dyDescent="0.3">
      <c r="A378" s="129"/>
      <c r="B378" s="150"/>
      <c r="C378" s="150"/>
      <c r="D378" s="150"/>
      <c r="E378" s="140" t="str">
        <f t="shared" si="18"/>
        <v/>
      </c>
      <c r="F378" s="157"/>
      <c r="G378" s="145">
        <f t="shared" si="19"/>
        <v>0</v>
      </c>
      <c r="H378" s="140" t="str">
        <f t="shared" si="20"/>
        <v/>
      </c>
      <c r="J378" s="147" t="str">
        <f>IFERROR(SUMIFS(当年实际!$V:$V,当年实际!$J:$J,$C378,当年实际!$C:$C,"&gt;="&amp;DATE(YEAR(主页!$D$2),1,1),当年实际!$C:$C,"&lt;="&amp;EOMONTH(DATE(YEAR(主页!$D$2),MONTH(主页!$D$2),1),0))/SUMIFS(当年实际!$P:$P,当年实际!$J:$J,$C378,当年实际!$C:$C,"&gt;="&amp;DATE(YEAR(主页!$D$2),1,1),当年实际!$C:$C,"&lt;="&amp;EOMONTH(DATE(YEAR(主页!$D$2),MONTH(主页!$D$2),1),0)),"")</f>
        <v/>
      </c>
    </row>
    <row r="379" spans="1:10" x14ac:dyDescent="0.3">
      <c r="A379" s="129"/>
      <c r="B379" s="150"/>
      <c r="C379" s="150"/>
      <c r="D379" s="150"/>
      <c r="E379" s="140" t="str">
        <f t="shared" si="18"/>
        <v/>
      </c>
      <c r="F379" s="157"/>
      <c r="G379" s="145">
        <f t="shared" si="19"/>
        <v>0</v>
      </c>
      <c r="H379" s="140" t="str">
        <f t="shared" si="20"/>
        <v/>
      </c>
      <c r="J379" s="147" t="str">
        <f>IFERROR(SUMIFS(当年实际!$V:$V,当年实际!$J:$J,$C379,当年实际!$C:$C,"&gt;="&amp;DATE(YEAR(主页!$D$2),1,1),当年实际!$C:$C,"&lt;="&amp;EOMONTH(DATE(YEAR(主页!$D$2),MONTH(主页!$D$2),1),0))/SUMIFS(当年实际!$P:$P,当年实际!$J:$J,$C379,当年实际!$C:$C,"&gt;="&amp;DATE(YEAR(主页!$D$2),1,1),当年实际!$C:$C,"&lt;="&amp;EOMONTH(DATE(YEAR(主页!$D$2),MONTH(主页!$D$2),1),0)),"")</f>
        <v/>
      </c>
    </row>
    <row r="380" spans="1:10" x14ac:dyDescent="0.3">
      <c r="A380" s="129"/>
      <c r="B380" s="150"/>
      <c r="C380" s="150"/>
      <c r="D380" s="150"/>
      <c r="E380" s="140" t="str">
        <f t="shared" si="18"/>
        <v/>
      </c>
      <c r="F380" s="157"/>
      <c r="G380" s="145">
        <f t="shared" si="19"/>
        <v>0</v>
      </c>
      <c r="H380" s="140" t="str">
        <f t="shared" si="20"/>
        <v/>
      </c>
      <c r="J380" s="147" t="str">
        <f>IFERROR(SUMIFS(当年实际!$V:$V,当年实际!$J:$J,$C380,当年实际!$C:$C,"&gt;="&amp;DATE(YEAR(主页!$D$2),1,1),当年实际!$C:$C,"&lt;="&amp;EOMONTH(DATE(YEAR(主页!$D$2),MONTH(主页!$D$2),1),0))/SUMIFS(当年实际!$P:$P,当年实际!$J:$J,$C380,当年实际!$C:$C,"&gt;="&amp;DATE(YEAR(主页!$D$2),1,1),当年实际!$C:$C,"&lt;="&amp;EOMONTH(DATE(YEAR(主页!$D$2),MONTH(主页!$D$2),1),0)),"")</f>
        <v/>
      </c>
    </row>
    <row r="381" spans="1:10" x14ac:dyDescent="0.3">
      <c r="A381" s="129"/>
      <c r="B381" s="150"/>
      <c r="C381" s="150"/>
      <c r="D381" s="150"/>
      <c r="E381" s="140" t="str">
        <f t="shared" si="18"/>
        <v/>
      </c>
      <c r="F381" s="157"/>
      <c r="G381" s="145">
        <f t="shared" si="19"/>
        <v>0</v>
      </c>
      <c r="H381" s="140" t="str">
        <f t="shared" si="20"/>
        <v/>
      </c>
      <c r="J381" s="147" t="str">
        <f>IFERROR(SUMIFS(当年实际!$V:$V,当年实际!$J:$J,$C381,当年实际!$C:$C,"&gt;="&amp;DATE(YEAR(主页!$D$2),1,1),当年实际!$C:$C,"&lt;="&amp;EOMONTH(DATE(YEAR(主页!$D$2),MONTH(主页!$D$2),1),0))/SUMIFS(当年实际!$P:$P,当年实际!$J:$J,$C381,当年实际!$C:$C,"&gt;="&amp;DATE(YEAR(主页!$D$2),1,1),当年实际!$C:$C,"&lt;="&amp;EOMONTH(DATE(YEAR(主页!$D$2),MONTH(主页!$D$2),1),0)),"")</f>
        <v/>
      </c>
    </row>
    <row r="382" spans="1:10" x14ac:dyDescent="0.3">
      <c r="A382" s="129"/>
      <c r="B382" s="150"/>
      <c r="C382" s="150"/>
      <c r="D382" s="150"/>
      <c r="E382" s="140" t="str">
        <f t="shared" si="18"/>
        <v/>
      </c>
      <c r="F382" s="157"/>
      <c r="G382" s="145">
        <f t="shared" si="19"/>
        <v>0</v>
      </c>
      <c r="H382" s="140" t="str">
        <f t="shared" si="20"/>
        <v/>
      </c>
      <c r="J382" s="147" t="str">
        <f>IFERROR(SUMIFS(当年实际!$V:$V,当年实际!$J:$J,$C382,当年实际!$C:$C,"&gt;="&amp;DATE(YEAR(主页!$D$2),1,1),当年实际!$C:$C,"&lt;="&amp;EOMONTH(DATE(YEAR(主页!$D$2),MONTH(主页!$D$2),1),0))/SUMIFS(当年实际!$P:$P,当年实际!$J:$J,$C382,当年实际!$C:$C,"&gt;="&amp;DATE(YEAR(主页!$D$2),1,1),当年实际!$C:$C,"&lt;="&amp;EOMONTH(DATE(YEAR(主页!$D$2),MONTH(主页!$D$2),1),0)),"")</f>
        <v/>
      </c>
    </row>
    <row r="383" spans="1:10" x14ac:dyDescent="0.3">
      <c r="A383" s="129"/>
      <c r="B383" s="150"/>
      <c r="C383" s="150"/>
      <c r="D383" s="150"/>
      <c r="E383" s="140" t="str">
        <f t="shared" si="18"/>
        <v/>
      </c>
      <c r="F383" s="157"/>
      <c r="G383" s="145">
        <f t="shared" si="19"/>
        <v>0</v>
      </c>
      <c r="H383" s="140" t="str">
        <f t="shared" si="20"/>
        <v/>
      </c>
      <c r="J383" s="147" t="str">
        <f>IFERROR(SUMIFS(当年实际!$V:$V,当年实际!$J:$J,$C383,当年实际!$C:$C,"&gt;="&amp;DATE(YEAR(主页!$D$2),1,1),当年实际!$C:$C,"&lt;="&amp;EOMONTH(DATE(YEAR(主页!$D$2),MONTH(主页!$D$2),1),0))/SUMIFS(当年实际!$P:$P,当年实际!$J:$J,$C383,当年实际!$C:$C,"&gt;="&amp;DATE(YEAR(主页!$D$2),1,1),当年实际!$C:$C,"&lt;="&amp;EOMONTH(DATE(YEAR(主页!$D$2),MONTH(主页!$D$2),1),0)),"")</f>
        <v/>
      </c>
    </row>
    <row r="384" spans="1:10" x14ac:dyDescent="0.3">
      <c r="A384" s="129"/>
      <c r="B384" s="150"/>
      <c r="C384" s="150"/>
      <c r="D384" s="150"/>
      <c r="E384" s="140" t="str">
        <f t="shared" si="18"/>
        <v/>
      </c>
      <c r="F384" s="157"/>
      <c r="G384" s="145">
        <f t="shared" si="19"/>
        <v>0</v>
      </c>
      <c r="H384" s="140" t="str">
        <f t="shared" si="20"/>
        <v/>
      </c>
      <c r="J384" s="147" t="str">
        <f>IFERROR(SUMIFS(当年实际!$V:$V,当年实际!$J:$J,$C384,当年实际!$C:$C,"&gt;="&amp;DATE(YEAR(主页!$D$2),1,1),当年实际!$C:$C,"&lt;="&amp;EOMONTH(DATE(YEAR(主页!$D$2),MONTH(主页!$D$2),1),0))/SUMIFS(当年实际!$P:$P,当年实际!$J:$J,$C384,当年实际!$C:$C,"&gt;="&amp;DATE(YEAR(主页!$D$2),1,1),当年实际!$C:$C,"&lt;="&amp;EOMONTH(DATE(YEAR(主页!$D$2),MONTH(主页!$D$2),1),0)),"")</f>
        <v/>
      </c>
    </row>
    <row r="385" spans="1:10" x14ac:dyDescent="0.3">
      <c r="A385" s="129"/>
      <c r="B385" s="150"/>
      <c r="C385" s="150"/>
      <c r="D385" s="150"/>
      <c r="E385" s="140" t="str">
        <f t="shared" si="18"/>
        <v/>
      </c>
      <c r="F385" s="157"/>
      <c r="G385" s="145">
        <f t="shared" si="19"/>
        <v>0</v>
      </c>
      <c r="H385" s="140" t="str">
        <f t="shared" si="20"/>
        <v/>
      </c>
      <c r="J385" s="147" t="str">
        <f>IFERROR(SUMIFS(当年实际!$V:$V,当年实际!$J:$J,$C385,当年实际!$C:$C,"&gt;="&amp;DATE(YEAR(主页!$D$2),1,1),当年实际!$C:$C,"&lt;="&amp;EOMONTH(DATE(YEAR(主页!$D$2),MONTH(主页!$D$2),1),0))/SUMIFS(当年实际!$P:$P,当年实际!$J:$J,$C385,当年实际!$C:$C,"&gt;="&amp;DATE(YEAR(主页!$D$2),1,1),当年实际!$C:$C,"&lt;="&amp;EOMONTH(DATE(YEAR(主页!$D$2),MONTH(主页!$D$2),1),0)),"")</f>
        <v/>
      </c>
    </row>
    <row r="386" spans="1:10" x14ac:dyDescent="0.3">
      <c r="A386" s="129"/>
      <c r="B386" s="150"/>
      <c r="C386" s="150"/>
      <c r="D386" s="150"/>
      <c r="E386" s="140" t="str">
        <f t="shared" si="18"/>
        <v/>
      </c>
      <c r="F386" s="157"/>
      <c r="G386" s="145">
        <f t="shared" si="19"/>
        <v>0</v>
      </c>
      <c r="H386" s="140" t="str">
        <f t="shared" si="20"/>
        <v/>
      </c>
      <c r="J386" s="147" t="str">
        <f>IFERROR(SUMIFS(当年实际!$V:$V,当年实际!$J:$J,$C386,当年实际!$C:$C,"&gt;="&amp;DATE(YEAR(主页!$D$2),1,1),当年实际!$C:$C,"&lt;="&amp;EOMONTH(DATE(YEAR(主页!$D$2),MONTH(主页!$D$2),1),0))/SUMIFS(当年实际!$P:$P,当年实际!$J:$J,$C386,当年实际!$C:$C,"&gt;="&amp;DATE(YEAR(主页!$D$2),1,1),当年实际!$C:$C,"&lt;="&amp;EOMONTH(DATE(YEAR(主页!$D$2),MONTH(主页!$D$2),1),0)),"")</f>
        <v/>
      </c>
    </row>
    <row r="387" spans="1:10" x14ac:dyDescent="0.3">
      <c r="A387" s="129"/>
      <c r="B387" s="150"/>
      <c r="C387" s="150"/>
      <c r="D387" s="150"/>
      <c r="E387" s="140" t="str">
        <f t="shared" si="18"/>
        <v/>
      </c>
      <c r="F387" s="157"/>
      <c r="G387" s="145">
        <f t="shared" si="19"/>
        <v>0</v>
      </c>
      <c r="H387" s="140" t="str">
        <f t="shared" si="20"/>
        <v/>
      </c>
      <c r="J387" s="147" t="str">
        <f>IFERROR(SUMIFS(当年实际!$V:$V,当年实际!$J:$J,$C387,当年实际!$C:$C,"&gt;="&amp;DATE(YEAR(主页!$D$2),1,1),当年实际!$C:$C,"&lt;="&amp;EOMONTH(DATE(YEAR(主页!$D$2),MONTH(主页!$D$2),1),0))/SUMIFS(当年实际!$P:$P,当年实际!$J:$J,$C387,当年实际!$C:$C,"&gt;="&amp;DATE(YEAR(主页!$D$2),1,1),当年实际!$C:$C,"&lt;="&amp;EOMONTH(DATE(YEAR(主页!$D$2),MONTH(主页!$D$2),1),0)),"")</f>
        <v/>
      </c>
    </row>
    <row r="388" spans="1:10" x14ac:dyDescent="0.3">
      <c r="A388" s="129"/>
      <c r="B388" s="150"/>
      <c r="C388" s="150"/>
      <c r="D388" s="150"/>
      <c r="E388" s="140" t="str">
        <f t="shared" ref="E388:E451" si="21">IF(D388/SUM(D:D)=0,"",D388/SUM(D:D))</f>
        <v/>
      </c>
      <c r="F388" s="157"/>
      <c r="G388" s="145">
        <f t="shared" si="19"/>
        <v>0</v>
      </c>
      <c r="H388" s="140" t="str">
        <f t="shared" si="20"/>
        <v/>
      </c>
      <c r="J388" s="147" t="str">
        <f>IFERROR(SUMIFS(当年实际!$V:$V,当年实际!$J:$J,$C388,当年实际!$C:$C,"&gt;="&amp;DATE(YEAR(主页!$D$2),1,1),当年实际!$C:$C,"&lt;="&amp;EOMONTH(DATE(YEAR(主页!$D$2),MONTH(主页!$D$2),1),0))/SUMIFS(当年实际!$P:$P,当年实际!$J:$J,$C388,当年实际!$C:$C,"&gt;="&amp;DATE(YEAR(主页!$D$2),1,1),当年实际!$C:$C,"&lt;="&amp;EOMONTH(DATE(YEAR(主页!$D$2),MONTH(主页!$D$2),1),0)),"")</f>
        <v/>
      </c>
    </row>
    <row r="389" spans="1:10" x14ac:dyDescent="0.3">
      <c r="A389" s="129"/>
      <c r="B389" s="150"/>
      <c r="C389" s="150"/>
      <c r="D389" s="150"/>
      <c r="E389" s="140" t="str">
        <f t="shared" si="21"/>
        <v/>
      </c>
      <c r="F389" s="157"/>
      <c r="G389" s="145">
        <f t="shared" si="19"/>
        <v>0</v>
      </c>
      <c r="H389" s="140" t="str">
        <f t="shared" si="20"/>
        <v/>
      </c>
      <c r="J389" s="147" t="str">
        <f>IFERROR(SUMIFS(当年实际!$V:$V,当年实际!$J:$J,$C389,当年实际!$C:$C,"&gt;="&amp;DATE(YEAR(主页!$D$2),1,1),当年实际!$C:$C,"&lt;="&amp;EOMONTH(DATE(YEAR(主页!$D$2),MONTH(主页!$D$2),1),0))/SUMIFS(当年实际!$P:$P,当年实际!$J:$J,$C389,当年实际!$C:$C,"&gt;="&amp;DATE(YEAR(主页!$D$2),1,1),当年实际!$C:$C,"&lt;="&amp;EOMONTH(DATE(YEAR(主页!$D$2),MONTH(主页!$D$2),1),0)),"")</f>
        <v/>
      </c>
    </row>
    <row r="390" spans="1:10" x14ac:dyDescent="0.3">
      <c r="A390" s="129"/>
      <c r="B390" s="150"/>
      <c r="C390" s="150"/>
      <c r="D390" s="150"/>
      <c r="E390" s="140" t="str">
        <f t="shared" si="21"/>
        <v/>
      </c>
      <c r="F390" s="157"/>
      <c r="G390" s="145">
        <f t="shared" si="19"/>
        <v>0</v>
      </c>
      <c r="H390" s="140" t="str">
        <f t="shared" si="20"/>
        <v/>
      </c>
      <c r="J390" s="147" t="str">
        <f>IFERROR(SUMIFS(当年实际!$V:$V,当年实际!$J:$J,$C390,当年实际!$C:$C,"&gt;="&amp;DATE(YEAR(主页!$D$2),1,1),当年实际!$C:$C,"&lt;="&amp;EOMONTH(DATE(YEAR(主页!$D$2),MONTH(主页!$D$2),1),0))/SUMIFS(当年实际!$P:$P,当年实际!$J:$J,$C390,当年实际!$C:$C,"&gt;="&amp;DATE(YEAR(主页!$D$2),1,1),当年实际!$C:$C,"&lt;="&amp;EOMONTH(DATE(YEAR(主页!$D$2),MONTH(主页!$D$2),1),0)),"")</f>
        <v/>
      </c>
    </row>
    <row r="391" spans="1:10" x14ac:dyDescent="0.3">
      <c r="A391" s="129"/>
      <c r="B391" s="150"/>
      <c r="C391" s="150"/>
      <c r="D391" s="150"/>
      <c r="E391" s="140" t="str">
        <f t="shared" si="21"/>
        <v/>
      </c>
      <c r="F391" s="157"/>
      <c r="G391" s="145">
        <f t="shared" si="19"/>
        <v>0</v>
      </c>
      <c r="H391" s="140" t="str">
        <f t="shared" si="20"/>
        <v/>
      </c>
      <c r="J391" s="147" t="str">
        <f>IFERROR(SUMIFS(当年实际!$V:$V,当年实际!$J:$J,$C391,当年实际!$C:$C,"&gt;="&amp;DATE(YEAR(主页!$D$2),1,1),当年实际!$C:$C,"&lt;="&amp;EOMONTH(DATE(YEAR(主页!$D$2),MONTH(主页!$D$2),1),0))/SUMIFS(当年实际!$P:$P,当年实际!$J:$J,$C391,当年实际!$C:$C,"&gt;="&amp;DATE(YEAR(主页!$D$2),1,1),当年实际!$C:$C,"&lt;="&amp;EOMONTH(DATE(YEAR(主页!$D$2),MONTH(主页!$D$2),1),0)),"")</f>
        <v/>
      </c>
    </row>
    <row r="392" spans="1:10" x14ac:dyDescent="0.3">
      <c r="A392" s="129"/>
      <c r="B392" s="150"/>
      <c r="C392" s="150"/>
      <c r="D392" s="150"/>
      <c r="E392" s="140" t="str">
        <f t="shared" si="21"/>
        <v/>
      </c>
      <c r="F392" s="157"/>
      <c r="G392" s="145">
        <f t="shared" si="19"/>
        <v>0</v>
      </c>
      <c r="H392" s="140" t="str">
        <f t="shared" si="20"/>
        <v/>
      </c>
      <c r="J392" s="147" t="str">
        <f>IFERROR(SUMIFS(当年实际!$V:$V,当年实际!$J:$J,$C392,当年实际!$C:$C,"&gt;="&amp;DATE(YEAR(主页!$D$2),1,1),当年实际!$C:$C,"&lt;="&amp;EOMONTH(DATE(YEAR(主页!$D$2),MONTH(主页!$D$2),1),0))/SUMIFS(当年实际!$P:$P,当年实际!$J:$J,$C392,当年实际!$C:$C,"&gt;="&amp;DATE(YEAR(主页!$D$2),1,1),当年实际!$C:$C,"&lt;="&amp;EOMONTH(DATE(YEAR(主页!$D$2),MONTH(主页!$D$2),1),0)),"")</f>
        <v/>
      </c>
    </row>
    <row r="393" spans="1:10" x14ac:dyDescent="0.3">
      <c r="A393" s="129"/>
      <c r="B393" s="150"/>
      <c r="C393" s="150"/>
      <c r="D393" s="150"/>
      <c r="E393" s="140" t="str">
        <f t="shared" si="21"/>
        <v/>
      </c>
      <c r="F393" s="157"/>
      <c r="G393" s="145">
        <f t="shared" si="19"/>
        <v>0</v>
      </c>
      <c r="H393" s="140" t="str">
        <f t="shared" si="20"/>
        <v/>
      </c>
      <c r="J393" s="147" t="str">
        <f>IFERROR(SUMIFS(当年实际!$V:$V,当年实际!$J:$J,$C393,当年实际!$C:$C,"&gt;="&amp;DATE(YEAR(主页!$D$2),1,1),当年实际!$C:$C,"&lt;="&amp;EOMONTH(DATE(YEAR(主页!$D$2),MONTH(主页!$D$2),1),0))/SUMIFS(当年实际!$P:$P,当年实际!$J:$J,$C393,当年实际!$C:$C,"&gt;="&amp;DATE(YEAR(主页!$D$2),1,1),当年实际!$C:$C,"&lt;="&amp;EOMONTH(DATE(YEAR(主页!$D$2),MONTH(主页!$D$2),1),0)),"")</f>
        <v/>
      </c>
    </row>
    <row r="394" spans="1:10" x14ac:dyDescent="0.3">
      <c r="A394" s="129"/>
      <c r="B394" s="150"/>
      <c r="C394" s="150"/>
      <c r="D394" s="150"/>
      <c r="E394" s="140" t="str">
        <f t="shared" si="21"/>
        <v/>
      </c>
      <c r="F394" s="157"/>
      <c r="G394" s="145">
        <f t="shared" si="19"/>
        <v>0</v>
      </c>
      <c r="H394" s="140" t="str">
        <f t="shared" si="20"/>
        <v/>
      </c>
      <c r="J394" s="147" t="str">
        <f>IFERROR(SUMIFS(当年实际!$V:$V,当年实际!$J:$J,$C394,当年实际!$C:$C,"&gt;="&amp;DATE(YEAR(主页!$D$2),1,1),当年实际!$C:$C,"&lt;="&amp;EOMONTH(DATE(YEAR(主页!$D$2),MONTH(主页!$D$2),1),0))/SUMIFS(当年实际!$P:$P,当年实际!$J:$J,$C394,当年实际!$C:$C,"&gt;="&amp;DATE(YEAR(主页!$D$2),1,1),当年实际!$C:$C,"&lt;="&amp;EOMONTH(DATE(YEAR(主页!$D$2),MONTH(主页!$D$2),1),0)),"")</f>
        <v/>
      </c>
    </row>
    <row r="395" spans="1:10" x14ac:dyDescent="0.3">
      <c r="A395" s="129"/>
      <c r="B395" s="150"/>
      <c r="C395" s="150"/>
      <c r="D395" s="150"/>
      <c r="E395" s="140" t="str">
        <f t="shared" si="21"/>
        <v/>
      </c>
      <c r="F395" s="157"/>
      <c r="G395" s="145">
        <f t="shared" si="19"/>
        <v>0</v>
      </c>
      <c r="H395" s="140" t="str">
        <f t="shared" si="20"/>
        <v/>
      </c>
      <c r="J395" s="147" t="str">
        <f>IFERROR(SUMIFS(当年实际!$V:$V,当年实际!$J:$J,$C395,当年实际!$C:$C,"&gt;="&amp;DATE(YEAR(主页!$D$2),1,1),当年实际!$C:$C,"&lt;="&amp;EOMONTH(DATE(YEAR(主页!$D$2),MONTH(主页!$D$2),1),0))/SUMIFS(当年实际!$P:$P,当年实际!$J:$J,$C395,当年实际!$C:$C,"&gt;="&amp;DATE(YEAR(主页!$D$2),1,1),当年实际!$C:$C,"&lt;="&amp;EOMONTH(DATE(YEAR(主页!$D$2),MONTH(主页!$D$2),1),0)),"")</f>
        <v/>
      </c>
    </row>
    <row r="396" spans="1:10" x14ac:dyDescent="0.3">
      <c r="A396" s="129"/>
      <c r="B396" s="150"/>
      <c r="C396" s="150"/>
      <c r="D396" s="150"/>
      <c r="E396" s="140" t="str">
        <f t="shared" si="21"/>
        <v/>
      </c>
      <c r="F396" s="157"/>
      <c r="G396" s="145">
        <f t="shared" si="19"/>
        <v>0</v>
      </c>
      <c r="H396" s="140" t="str">
        <f t="shared" si="20"/>
        <v/>
      </c>
      <c r="J396" s="147" t="str">
        <f>IFERROR(SUMIFS(当年实际!$V:$V,当年实际!$J:$J,$C396,当年实际!$C:$C,"&gt;="&amp;DATE(YEAR(主页!$D$2),1,1),当年实际!$C:$C,"&lt;="&amp;EOMONTH(DATE(YEAR(主页!$D$2),MONTH(主页!$D$2),1),0))/SUMIFS(当年实际!$P:$P,当年实际!$J:$J,$C396,当年实际!$C:$C,"&gt;="&amp;DATE(YEAR(主页!$D$2),1,1),当年实际!$C:$C,"&lt;="&amp;EOMONTH(DATE(YEAR(主页!$D$2),MONTH(主页!$D$2),1),0)),"")</f>
        <v/>
      </c>
    </row>
    <row r="397" spans="1:10" x14ac:dyDescent="0.3">
      <c r="A397" s="129"/>
      <c r="B397" s="150"/>
      <c r="C397" s="150"/>
      <c r="D397" s="150"/>
      <c r="E397" s="140" t="str">
        <f t="shared" si="21"/>
        <v/>
      </c>
      <c r="F397" s="157"/>
      <c r="G397" s="145">
        <f t="shared" si="19"/>
        <v>0</v>
      </c>
      <c r="H397" s="140" t="str">
        <f t="shared" si="20"/>
        <v/>
      </c>
      <c r="J397" s="147" t="str">
        <f>IFERROR(SUMIFS(当年实际!$V:$V,当年实际!$J:$J,$C397,当年实际!$C:$C,"&gt;="&amp;DATE(YEAR(主页!$D$2),1,1),当年实际!$C:$C,"&lt;="&amp;EOMONTH(DATE(YEAR(主页!$D$2),MONTH(主页!$D$2),1),0))/SUMIFS(当年实际!$P:$P,当年实际!$J:$J,$C397,当年实际!$C:$C,"&gt;="&amp;DATE(YEAR(主页!$D$2),1,1),当年实际!$C:$C,"&lt;="&amp;EOMONTH(DATE(YEAR(主页!$D$2),MONTH(主页!$D$2),1),0)),"")</f>
        <v/>
      </c>
    </row>
    <row r="398" spans="1:10" x14ac:dyDescent="0.3">
      <c r="A398" s="129"/>
      <c r="B398" s="150"/>
      <c r="C398" s="150"/>
      <c r="D398" s="150"/>
      <c r="E398" s="140" t="str">
        <f t="shared" si="21"/>
        <v/>
      </c>
      <c r="F398" s="157"/>
      <c r="G398" s="145">
        <f t="shared" si="19"/>
        <v>0</v>
      </c>
      <c r="H398" s="140" t="str">
        <f t="shared" si="20"/>
        <v/>
      </c>
      <c r="J398" s="147" t="str">
        <f>IFERROR(SUMIFS(当年实际!$V:$V,当年实际!$J:$J,$C398,当年实际!$C:$C,"&gt;="&amp;DATE(YEAR(主页!$D$2),1,1),当年实际!$C:$C,"&lt;="&amp;EOMONTH(DATE(YEAR(主页!$D$2),MONTH(主页!$D$2),1),0))/SUMIFS(当年实际!$P:$P,当年实际!$J:$J,$C398,当年实际!$C:$C,"&gt;="&amp;DATE(YEAR(主页!$D$2),1,1),当年实际!$C:$C,"&lt;="&amp;EOMONTH(DATE(YEAR(主页!$D$2),MONTH(主页!$D$2),1),0)),"")</f>
        <v/>
      </c>
    </row>
    <row r="399" spans="1:10" x14ac:dyDescent="0.3">
      <c r="A399" s="129"/>
      <c r="B399" s="150"/>
      <c r="C399" s="150"/>
      <c r="D399" s="150"/>
      <c r="E399" s="140" t="str">
        <f t="shared" si="21"/>
        <v/>
      </c>
      <c r="F399" s="157"/>
      <c r="G399" s="145">
        <f t="shared" si="19"/>
        <v>0</v>
      </c>
      <c r="H399" s="140" t="str">
        <f t="shared" si="20"/>
        <v/>
      </c>
      <c r="J399" s="147" t="str">
        <f>IFERROR(SUMIFS(当年实际!$V:$V,当年实际!$J:$J,$C399,当年实际!$C:$C,"&gt;="&amp;DATE(YEAR(主页!$D$2),1,1),当年实际!$C:$C,"&lt;="&amp;EOMONTH(DATE(YEAR(主页!$D$2),MONTH(主页!$D$2),1),0))/SUMIFS(当年实际!$P:$P,当年实际!$J:$J,$C399,当年实际!$C:$C,"&gt;="&amp;DATE(YEAR(主页!$D$2),1,1),当年实际!$C:$C,"&lt;="&amp;EOMONTH(DATE(YEAR(主页!$D$2),MONTH(主页!$D$2),1),0)),"")</f>
        <v/>
      </c>
    </row>
    <row r="400" spans="1:10" x14ac:dyDescent="0.3">
      <c r="A400" s="129"/>
      <c r="B400" s="150"/>
      <c r="C400" s="150"/>
      <c r="D400" s="150"/>
      <c r="E400" s="140" t="str">
        <f t="shared" si="21"/>
        <v/>
      </c>
      <c r="F400" s="157"/>
      <c r="G400" s="145">
        <f t="shared" si="19"/>
        <v>0</v>
      </c>
      <c r="H400" s="140" t="str">
        <f t="shared" si="20"/>
        <v/>
      </c>
      <c r="J400" s="147" t="str">
        <f>IFERROR(SUMIFS(当年实际!$V:$V,当年实际!$J:$J,$C400,当年实际!$C:$C,"&gt;="&amp;DATE(YEAR(主页!$D$2),1,1),当年实际!$C:$C,"&lt;="&amp;EOMONTH(DATE(YEAR(主页!$D$2),MONTH(主页!$D$2),1),0))/SUMIFS(当年实际!$P:$P,当年实际!$J:$J,$C400,当年实际!$C:$C,"&gt;="&amp;DATE(YEAR(主页!$D$2),1,1),当年实际!$C:$C,"&lt;="&amp;EOMONTH(DATE(YEAR(主页!$D$2),MONTH(主页!$D$2),1),0)),"")</f>
        <v/>
      </c>
    </row>
    <row r="401" spans="1:10" x14ac:dyDescent="0.3">
      <c r="A401" s="129"/>
      <c r="B401" s="150"/>
      <c r="C401" s="150"/>
      <c r="D401" s="150"/>
      <c r="E401" s="140" t="str">
        <f t="shared" si="21"/>
        <v/>
      </c>
      <c r="F401" s="157"/>
      <c r="G401" s="145">
        <f t="shared" si="19"/>
        <v>0</v>
      </c>
      <c r="H401" s="140" t="str">
        <f t="shared" si="20"/>
        <v/>
      </c>
      <c r="J401" s="147" t="str">
        <f>IFERROR(SUMIFS(当年实际!$V:$V,当年实际!$J:$J,$C401,当年实际!$C:$C,"&gt;="&amp;DATE(YEAR(主页!$D$2),1,1),当年实际!$C:$C,"&lt;="&amp;EOMONTH(DATE(YEAR(主页!$D$2),MONTH(主页!$D$2),1),0))/SUMIFS(当年实际!$P:$P,当年实际!$J:$J,$C401,当年实际!$C:$C,"&gt;="&amp;DATE(YEAR(主页!$D$2),1,1),当年实际!$C:$C,"&lt;="&amp;EOMONTH(DATE(YEAR(主页!$D$2),MONTH(主页!$D$2),1),0)),"")</f>
        <v/>
      </c>
    </row>
    <row r="402" spans="1:10" x14ac:dyDescent="0.3">
      <c r="A402" s="129"/>
      <c r="B402" s="150"/>
      <c r="C402" s="150"/>
      <c r="D402" s="150"/>
      <c r="E402" s="140" t="str">
        <f t="shared" si="21"/>
        <v/>
      </c>
      <c r="F402" s="157"/>
      <c r="G402" s="145">
        <f t="shared" si="19"/>
        <v>0</v>
      </c>
      <c r="H402" s="140" t="str">
        <f t="shared" si="20"/>
        <v/>
      </c>
      <c r="J402" s="147" t="str">
        <f>IFERROR(SUMIFS(当年实际!$V:$V,当年实际!$J:$J,$C402,当年实际!$C:$C,"&gt;="&amp;DATE(YEAR(主页!$D$2),1,1),当年实际!$C:$C,"&lt;="&amp;EOMONTH(DATE(YEAR(主页!$D$2),MONTH(主页!$D$2),1),0))/SUMIFS(当年实际!$P:$P,当年实际!$J:$J,$C402,当年实际!$C:$C,"&gt;="&amp;DATE(YEAR(主页!$D$2),1,1),当年实际!$C:$C,"&lt;="&amp;EOMONTH(DATE(YEAR(主页!$D$2),MONTH(主页!$D$2),1),0)),"")</f>
        <v/>
      </c>
    </row>
    <row r="403" spans="1:10" x14ac:dyDescent="0.3">
      <c r="A403" s="129"/>
      <c r="B403" s="150"/>
      <c r="C403" s="150"/>
      <c r="D403" s="150"/>
      <c r="E403" s="140" t="str">
        <f t="shared" si="21"/>
        <v/>
      </c>
      <c r="F403" s="157"/>
      <c r="G403" s="145">
        <f t="shared" si="19"/>
        <v>0</v>
      </c>
      <c r="H403" s="140" t="str">
        <f t="shared" si="20"/>
        <v/>
      </c>
      <c r="J403" s="147" t="str">
        <f>IFERROR(SUMIFS(当年实际!$V:$V,当年实际!$J:$J,$C403,当年实际!$C:$C,"&gt;="&amp;DATE(YEAR(主页!$D$2),1,1),当年实际!$C:$C,"&lt;="&amp;EOMONTH(DATE(YEAR(主页!$D$2),MONTH(主页!$D$2),1),0))/SUMIFS(当年实际!$P:$P,当年实际!$J:$J,$C403,当年实际!$C:$C,"&gt;="&amp;DATE(YEAR(主页!$D$2),1,1),当年实际!$C:$C,"&lt;="&amp;EOMONTH(DATE(YEAR(主页!$D$2),MONTH(主页!$D$2),1),0)),"")</f>
        <v/>
      </c>
    </row>
    <row r="404" spans="1:10" x14ac:dyDescent="0.3">
      <c r="A404" s="129"/>
      <c r="B404" s="150"/>
      <c r="C404" s="150"/>
      <c r="D404" s="150"/>
      <c r="E404" s="140" t="str">
        <f t="shared" si="21"/>
        <v/>
      </c>
      <c r="F404" s="157"/>
      <c r="G404" s="145">
        <f t="shared" si="19"/>
        <v>0</v>
      </c>
      <c r="H404" s="140" t="str">
        <f t="shared" si="20"/>
        <v/>
      </c>
      <c r="J404" s="147" t="str">
        <f>IFERROR(SUMIFS(当年实际!$V:$V,当年实际!$J:$J,$C404,当年实际!$C:$C,"&gt;="&amp;DATE(YEAR(主页!$D$2),1,1),当年实际!$C:$C,"&lt;="&amp;EOMONTH(DATE(YEAR(主页!$D$2),MONTH(主页!$D$2),1),0))/SUMIFS(当年实际!$P:$P,当年实际!$J:$J,$C404,当年实际!$C:$C,"&gt;="&amp;DATE(YEAR(主页!$D$2),1,1),当年实际!$C:$C,"&lt;="&amp;EOMONTH(DATE(YEAR(主页!$D$2),MONTH(主页!$D$2),1),0)),"")</f>
        <v/>
      </c>
    </row>
    <row r="405" spans="1:10" x14ac:dyDescent="0.3">
      <c r="A405" s="129"/>
      <c r="B405" s="150"/>
      <c r="C405" s="150"/>
      <c r="D405" s="150"/>
      <c r="E405" s="140" t="str">
        <f t="shared" si="21"/>
        <v/>
      </c>
      <c r="F405" s="157"/>
      <c r="G405" s="145">
        <f t="shared" si="19"/>
        <v>0</v>
      </c>
      <c r="H405" s="140" t="str">
        <f t="shared" si="20"/>
        <v/>
      </c>
      <c r="J405" s="147" t="str">
        <f>IFERROR(SUMIFS(当年实际!$V:$V,当年实际!$J:$J,$C405,当年实际!$C:$C,"&gt;="&amp;DATE(YEAR(主页!$D$2),1,1),当年实际!$C:$C,"&lt;="&amp;EOMONTH(DATE(YEAR(主页!$D$2),MONTH(主页!$D$2),1),0))/SUMIFS(当年实际!$P:$P,当年实际!$J:$J,$C405,当年实际!$C:$C,"&gt;="&amp;DATE(YEAR(主页!$D$2),1,1),当年实际!$C:$C,"&lt;="&amp;EOMONTH(DATE(YEAR(主页!$D$2),MONTH(主页!$D$2),1),0)),"")</f>
        <v/>
      </c>
    </row>
    <row r="406" spans="1:10" x14ac:dyDescent="0.3">
      <c r="A406" s="129"/>
      <c r="B406" s="150"/>
      <c r="C406" s="150"/>
      <c r="D406" s="150"/>
      <c r="E406" s="140" t="str">
        <f t="shared" si="21"/>
        <v/>
      </c>
      <c r="F406" s="157"/>
      <c r="G406" s="145">
        <f t="shared" si="19"/>
        <v>0</v>
      </c>
      <c r="H406" s="140" t="str">
        <f t="shared" si="20"/>
        <v/>
      </c>
      <c r="J406" s="147" t="str">
        <f>IFERROR(SUMIFS(当年实际!$V:$V,当年实际!$J:$J,$C406,当年实际!$C:$C,"&gt;="&amp;DATE(YEAR(主页!$D$2),1,1),当年实际!$C:$C,"&lt;="&amp;EOMONTH(DATE(YEAR(主页!$D$2),MONTH(主页!$D$2),1),0))/SUMIFS(当年实际!$P:$P,当年实际!$J:$J,$C406,当年实际!$C:$C,"&gt;="&amp;DATE(YEAR(主页!$D$2),1,1),当年实际!$C:$C,"&lt;="&amp;EOMONTH(DATE(YEAR(主页!$D$2),MONTH(主页!$D$2),1),0)),"")</f>
        <v/>
      </c>
    </row>
    <row r="407" spans="1:10" x14ac:dyDescent="0.3">
      <c r="A407" s="129"/>
      <c r="B407" s="150"/>
      <c r="C407" s="150"/>
      <c r="D407" s="150"/>
      <c r="E407" s="140" t="str">
        <f t="shared" si="21"/>
        <v/>
      </c>
      <c r="F407" s="157"/>
      <c r="G407" s="145">
        <f t="shared" si="19"/>
        <v>0</v>
      </c>
      <c r="H407" s="140" t="str">
        <f t="shared" si="20"/>
        <v/>
      </c>
      <c r="J407" s="147" t="str">
        <f>IFERROR(SUMIFS(当年实际!$V:$V,当年实际!$J:$J,$C407,当年实际!$C:$C,"&gt;="&amp;DATE(YEAR(主页!$D$2),1,1),当年实际!$C:$C,"&lt;="&amp;EOMONTH(DATE(YEAR(主页!$D$2),MONTH(主页!$D$2),1),0))/SUMIFS(当年实际!$P:$P,当年实际!$J:$J,$C407,当年实际!$C:$C,"&gt;="&amp;DATE(YEAR(主页!$D$2),1,1),当年实际!$C:$C,"&lt;="&amp;EOMONTH(DATE(YEAR(主页!$D$2),MONTH(主页!$D$2),1),0)),"")</f>
        <v/>
      </c>
    </row>
    <row r="408" spans="1:10" x14ac:dyDescent="0.3">
      <c r="A408" s="129"/>
      <c r="B408" s="150"/>
      <c r="C408" s="150"/>
      <c r="D408" s="150"/>
      <c r="E408" s="140" t="str">
        <f t="shared" si="21"/>
        <v/>
      </c>
      <c r="F408" s="157"/>
      <c r="G408" s="145">
        <f t="shared" si="19"/>
        <v>0</v>
      </c>
      <c r="H408" s="140" t="str">
        <f t="shared" si="20"/>
        <v/>
      </c>
      <c r="J408" s="147" t="str">
        <f>IFERROR(SUMIFS(当年实际!$V:$V,当年实际!$J:$J,$C408,当年实际!$C:$C,"&gt;="&amp;DATE(YEAR(主页!$D$2),1,1),当年实际!$C:$C,"&lt;="&amp;EOMONTH(DATE(YEAR(主页!$D$2),MONTH(主页!$D$2),1),0))/SUMIFS(当年实际!$P:$P,当年实际!$J:$J,$C408,当年实际!$C:$C,"&gt;="&amp;DATE(YEAR(主页!$D$2),1,1),当年实际!$C:$C,"&lt;="&amp;EOMONTH(DATE(YEAR(主页!$D$2),MONTH(主页!$D$2),1),0)),"")</f>
        <v/>
      </c>
    </row>
    <row r="409" spans="1:10" x14ac:dyDescent="0.3">
      <c r="A409" s="129"/>
      <c r="B409" s="150"/>
      <c r="C409" s="150"/>
      <c r="D409" s="150"/>
      <c r="E409" s="140" t="str">
        <f t="shared" si="21"/>
        <v/>
      </c>
      <c r="F409" s="157"/>
      <c r="G409" s="145">
        <f t="shared" si="19"/>
        <v>0</v>
      </c>
      <c r="H409" s="140" t="str">
        <f t="shared" si="20"/>
        <v/>
      </c>
      <c r="J409" s="147" t="str">
        <f>IFERROR(SUMIFS(当年实际!$V:$V,当年实际!$J:$J,$C409,当年实际!$C:$C,"&gt;="&amp;DATE(YEAR(主页!$D$2),1,1),当年实际!$C:$C,"&lt;="&amp;EOMONTH(DATE(YEAR(主页!$D$2),MONTH(主页!$D$2),1),0))/SUMIFS(当年实际!$P:$P,当年实际!$J:$J,$C409,当年实际!$C:$C,"&gt;="&amp;DATE(YEAR(主页!$D$2),1,1),当年实际!$C:$C,"&lt;="&amp;EOMONTH(DATE(YEAR(主页!$D$2),MONTH(主页!$D$2),1),0)),"")</f>
        <v/>
      </c>
    </row>
    <row r="410" spans="1:10" x14ac:dyDescent="0.3">
      <c r="A410" s="129"/>
      <c r="B410" s="150"/>
      <c r="C410" s="150"/>
      <c r="D410" s="150"/>
      <c r="E410" s="140" t="str">
        <f t="shared" si="21"/>
        <v/>
      </c>
      <c r="F410" s="157"/>
      <c r="G410" s="145">
        <f t="shared" si="19"/>
        <v>0</v>
      </c>
      <c r="H410" s="140" t="str">
        <f t="shared" si="20"/>
        <v/>
      </c>
      <c r="J410" s="147" t="str">
        <f>IFERROR(SUMIFS(当年实际!$V:$V,当年实际!$J:$J,$C410,当年实际!$C:$C,"&gt;="&amp;DATE(YEAR(主页!$D$2),1,1),当年实际!$C:$C,"&lt;="&amp;EOMONTH(DATE(YEAR(主页!$D$2),MONTH(主页!$D$2),1),0))/SUMIFS(当年实际!$P:$P,当年实际!$J:$J,$C410,当年实际!$C:$C,"&gt;="&amp;DATE(YEAR(主页!$D$2),1,1),当年实际!$C:$C,"&lt;="&amp;EOMONTH(DATE(YEAR(主页!$D$2),MONTH(主页!$D$2),1),0)),"")</f>
        <v/>
      </c>
    </row>
    <row r="411" spans="1:10" x14ac:dyDescent="0.3">
      <c r="A411" s="129"/>
      <c r="B411" s="150"/>
      <c r="C411" s="150"/>
      <c r="D411" s="150"/>
      <c r="E411" s="140" t="str">
        <f t="shared" si="21"/>
        <v/>
      </c>
      <c r="F411" s="157"/>
      <c r="G411" s="145">
        <f t="shared" si="19"/>
        <v>0</v>
      </c>
      <c r="H411" s="140" t="str">
        <f t="shared" si="20"/>
        <v/>
      </c>
      <c r="J411" s="147" t="str">
        <f>IFERROR(SUMIFS(当年实际!$V:$V,当年实际!$J:$J,$C411,当年实际!$C:$C,"&gt;="&amp;DATE(YEAR(主页!$D$2),1,1),当年实际!$C:$C,"&lt;="&amp;EOMONTH(DATE(YEAR(主页!$D$2),MONTH(主页!$D$2),1),0))/SUMIFS(当年实际!$P:$P,当年实际!$J:$J,$C411,当年实际!$C:$C,"&gt;="&amp;DATE(YEAR(主页!$D$2),1,1),当年实际!$C:$C,"&lt;="&amp;EOMONTH(DATE(YEAR(主页!$D$2),MONTH(主页!$D$2),1),0)),"")</f>
        <v/>
      </c>
    </row>
    <row r="412" spans="1:10" x14ac:dyDescent="0.3">
      <c r="A412" s="129"/>
      <c r="B412" s="150"/>
      <c r="C412" s="150"/>
      <c r="D412" s="150"/>
      <c r="E412" s="140" t="str">
        <f t="shared" si="21"/>
        <v/>
      </c>
      <c r="F412" s="157"/>
      <c r="G412" s="145">
        <f t="shared" si="19"/>
        <v>0</v>
      </c>
      <c r="H412" s="140" t="str">
        <f t="shared" si="20"/>
        <v/>
      </c>
      <c r="J412" s="147" t="str">
        <f>IFERROR(SUMIFS(当年实际!$V:$V,当年实际!$J:$J,$C412,当年实际!$C:$C,"&gt;="&amp;DATE(YEAR(主页!$D$2),1,1),当年实际!$C:$C,"&lt;="&amp;EOMONTH(DATE(YEAR(主页!$D$2),MONTH(主页!$D$2),1),0))/SUMIFS(当年实际!$P:$P,当年实际!$J:$J,$C412,当年实际!$C:$C,"&gt;="&amp;DATE(YEAR(主页!$D$2),1,1),当年实际!$C:$C,"&lt;="&amp;EOMONTH(DATE(YEAR(主页!$D$2),MONTH(主页!$D$2),1),0)),"")</f>
        <v/>
      </c>
    </row>
    <row r="413" spans="1:10" x14ac:dyDescent="0.3">
      <c r="A413" s="129"/>
      <c r="B413" s="150"/>
      <c r="C413" s="150"/>
      <c r="D413" s="150"/>
      <c r="E413" s="140" t="str">
        <f t="shared" si="21"/>
        <v/>
      </c>
      <c r="F413" s="157"/>
      <c r="G413" s="145">
        <f t="shared" si="19"/>
        <v>0</v>
      </c>
      <c r="H413" s="140" t="str">
        <f t="shared" si="20"/>
        <v/>
      </c>
      <c r="J413" s="147" t="str">
        <f>IFERROR(SUMIFS(当年实际!$V:$V,当年实际!$J:$J,$C413,当年实际!$C:$C,"&gt;="&amp;DATE(YEAR(主页!$D$2),1,1),当年实际!$C:$C,"&lt;="&amp;EOMONTH(DATE(YEAR(主页!$D$2),MONTH(主页!$D$2),1),0))/SUMIFS(当年实际!$P:$P,当年实际!$J:$J,$C413,当年实际!$C:$C,"&gt;="&amp;DATE(YEAR(主页!$D$2),1,1),当年实际!$C:$C,"&lt;="&amp;EOMONTH(DATE(YEAR(主页!$D$2),MONTH(主页!$D$2),1),0)),"")</f>
        <v/>
      </c>
    </row>
    <row r="414" spans="1:10" x14ac:dyDescent="0.3">
      <c r="A414" s="129"/>
      <c r="B414" s="150"/>
      <c r="C414" s="150"/>
      <c r="D414" s="150"/>
      <c r="E414" s="140" t="str">
        <f t="shared" si="21"/>
        <v/>
      </c>
      <c r="F414" s="157"/>
      <c r="G414" s="145">
        <f t="shared" si="19"/>
        <v>0</v>
      </c>
      <c r="H414" s="140" t="str">
        <f t="shared" si="20"/>
        <v/>
      </c>
      <c r="J414" s="147" t="str">
        <f>IFERROR(SUMIFS(当年实际!$V:$V,当年实际!$J:$J,$C414,当年实际!$C:$C,"&gt;="&amp;DATE(YEAR(主页!$D$2),1,1),当年实际!$C:$C,"&lt;="&amp;EOMONTH(DATE(YEAR(主页!$D$2),MONTH(主页!$D$2),1),0))/SUMIFS(当年实际!$P:$P,当年实际!$J:$J,$C414,当年实际!$C:$C,"&gt;="&amp;DATE(YEAR(主页!$D$2),1,1),当年实际!$C:$C,"&lt;="&amp;EOMONTH(DATE(YEAR(主页!$D$2),MONTH(主页!$D$2),1),0)),"")</f>
        <v/>
      </c>
    </row>
    <row r="415" spans="1:10" x14ac:dyDescent="0.3">
      <c r="A415" s="129"/>
      <c r="B415" s="150"/>
      <c r="C415" s="150"/>
      <c r="D415" s="150"/>
      <c r="E415" s="140" t="str">
        <f t="shared" si="21"/>
        <v/>
      </c>
      <c r="F415" s="157"/>
      <c r="G415" s="145">
        <f t="shared" ref="G415:G478" si="22">D415*F415</f>
        <v>0</v>
      </c>
      <c r="H415" s="140" t="str">
        <f t="shared" ref="H415:H478" si="23">IF(G415/SUM(G:G)=0,"",G415/SUM(G:G))</f>
        <v/>
      </c>
      <c r="J415" s="147" t="str">
        <f>IFERROR(SUMIFS(当年实际!$V:$V,当年实际!$J:$J,$C415,当年实际!$C:$C,"&gt;="&amp;DATE(YEAR(主页!$D$2),1,1),当年实际!$C:$C,"&lt;="&amp;EOMONTH(DATE(YEAR(主页!$D$2),MONTH(主页!$D$2),1),0))/SUMIFS(当年实际!$P:$P,当年实际!$J:$J,$C415,当年实际!$C:$C,"&gt;="&amp;DATE(YEAR(主页!$D$2),1,1),当年实际!$C:$C,"&lt;="&amp;EOMONTH(DATE(YEAR(主页!$D$2),MONTH(主页!$D$2),1),0)),"")</f>
        <v/>
      </c>
    </row>
    <row r="416" spans="1:10" x14ac:dyDescent="0.3">
      <c r="A416" s="129"/>
      <c r="B416" s="150"/>
      <c r="C416" s="150"/>
      <c r="D416" s="150"/>
      <c r="E416" s="140" t="str">
        <f t="shared" si="21"/>
        <v/>
      </c>
      <c r="F416" s="157"/>
      <c r="G416" s="145">
        <f t="shared" si="22"/>
        <v>0</v>
      </c>
      <c r="H416" s="140" t="str">
        <f t="shared" si="23"/>
        <v/>
      </c>
      <c r="J416" s="147" t="str">
        <f>IFERROR(SUMIFS(当年实际!$V:$V,当年实际!$J:$J,$C416,当年实际!$C:$C,"&gt;="&amp;DATE(YEAR(主页!$D$2),1,1),当年实际!$C:$C,"&lt;="&amp;EOMONTH(DATE(YEAR(主页!$D$2),MONTH(主页!$D$2),1),0))/SUMIFS(当年实际!$P:$P,当年实际!$J:$J,$C416,当年实际!$C:$C,"&gt;="&amp;DATE(YEAR(主页!$D$2),1,1),当年实际!$C:$C,"&lt;="&amp;EOMONTH(DATE(YEAR(主页!$D$2),MONTH(主页!$D$2),1),0)),"")</f>
        <v/>
      </c>
    </row>
    <row r="417" spans="1:10" x14ac:dyDescent="0.3">
      <c r="A417" s="129"/>
      <c r="B417" s="150"/>
      <c r="C417" s="150"/>
      <c r="D417" s="150"/>
      <c r="E417" s="140" t="str">
        <f t="shared" si="21"/>
        <v/>
      </c>
      <c r="F417" s="157"/>
      <c r="G417" s="145">
        <f t="shared" si="22"/>
        <v>0</v>
      </c>
      <c r="H417" s="140" t="str">
        <f t="shared" si="23"/>
        <v/>
      </c>
      <c r="J417" s="147" t="str">
        <f>IFERROR(SUMIFS(当年实际!$V:$V,当年实际!$J:$J,$C417,当年实际!$C:$C,"&gt;="&amp;DATE(YEAR(主页!$D$2),1,1),当年实际!$C:$C,"&lt;="&amp;EOMONTH(DATE(YEAR(主页!$D$2),MONTH(主页!$D$2),1),0))/SUMIFS(当年实际!$P:$P,当年实际!$J:$J,$C417,当年实际!$C:$C,"&gt;="&amp;DATE(YEAR(主页!$D$2),1,1),当年实际!$C:$C,"&lt;="&amp;EOMONTH(DATE(YEAR(主页!$D$2),MONTH(主页!$D$2),1),0)),"")</f>
        <v/>
      </c>
    </row>
    <row r="418" spans="1:10" x14ac:dyDescent="0.3">
      <c r="A418" s="129"/>
      <c r="B418" s="150"/>
      <c r="C418" s="150"/>
      <c r="D418" s="150"/>
      <c r="E418" s="140" t="str">
        <f t="shared" si="21"/>
        <v/>
      </c>
      <c r="F418" s="157"/>
      <c r="G418" s="145">
        <f t="shared" si="22"/>
        <v>0</v>
      </c>
      <c r="H418" s="140" t="str">
        <f t="shared" si="23"/>
        <v/>
      </c>
      <c r="J418" s="147" t="str">
        <f>IFERROR(SUMIFS(当年实际!$V:$V,当年实际!$J:$J,$C418,当年实际!$C:$C,"&gt;="&amp;DATE(YEAR(主页!$D$2),1,1),当年实际!$C:$C,"&lt;="&amp;EOMONTH(DATE(YEAR(主页!$D$2),MONTH(主页!$D$2),1),0))/SUMIFS(当年实际!$P:$P,当年实际!$J:$J,$C418,当年实际!$C:$C,"&gt;="&amp;DATE(YEAR(主页!$D$2),1,1),当年实际!$C:$C,"&lt;="&amp;EOMONTH(DATE(YEAR(主页!$D$2),MONTH(主页!$D$2),1),0)),"")</f>
        <v/>
      </c>
    </row>
    <row r="419" spans="1:10" x14ac:dyDescent="0.3">
      <c r="A419" s="129"/>
      <c r="B419" s="150"/>
      <c r="C419" s="150"/>
      <c r="D419" s="150"/>
      <c r="E419" s="140" t="str">
        <f t="shared" si="21"/>
        <v/>
      </c>
      <c r="F419" s="157"/>
      <c r="G419" s="145">
        <f t="shared" si="22"/>
        <v>0</v>
      </c>
      <c r="H419" s="140" t="str">
        <f t="shared" si="23"/>
        <v/>
      </c>
      <c r="J419" s="147" t="str">
        <f>IFERROR(SUMIFS(当年实际!$V:$V,当年实际!$J:$J,$C419,当年实际!$C:$C,"&gt;="&amp;DATE(YEAR(主页!$D$2),1,1),当年实际!$C:$C,"&lt;="&amp;EOMONTH(DATE(YEAR(主页!$D$2),MONTH(主页!$D$2),1),0))/SUMIFS(当年实际!$P:$P,当年实际!$J:$J,$C419,当年实际!$C:$C,"&gt;="&amp;DATE(YEAR(主页!$D$2),1,1),当年实际!$C:$C,"&lt;="&amp;EOMONTH(DATE(YEAR(主页!$D$2),MONTH(主页!$D$2),1),0)),"")</f>
        <v/>
      </c>
    </row>
    <row r="420" spans="1:10" x14ac:dyDescent="0.3">
      <c r="A420" s="129"/>
      <c r="B420" s="150"/>
      <c r="C420" s="150"/>
      <c r="D420" s="150"/>
      <c r="E420" s="140" t="str">
        <f t="shared" si="21"/>
        <v/>
      </c>
      <c r="F420" s="157"/>
      <c r="G420" s="145">
        <f t="shared" si="22"/>
        <v>0</v>
      </c>
      <c r="H420" s="140" t="str">
        <f t="shared" si="23"/>
        <v/>
      </c>
      <c r="J420" s="147" t="str">
        <f>IFERROR(SUMIFS(当年实际!$V:$V,当年实际!$J:$J,$C420,当年实际!$C:$C,"&gt;="&amp;DATE(YEAR(主页!$D$2),1,1),当年实际!$C:$C,"&lt;="&amp;EOMONTH(DATE(YEAR(主页!$D$2),MONTH(主页!$D$2),1),0))/SUMIFS(当年实际!$P:$P,当年实际!$J:$J,$C420,当年实际!$C:$C,"&gt;="&amp;DATE(YEAR(主页!$D$2),1,1),当年实际!$C:$C,"&lt;="&amp;EOMONTH(DATE(YEAR(主页!$D$2),MONTH(主页!$D$2),1),0)),"")</f>
        <v/>
      </c>
    </row>
    <row r="421" spans="1:10" x14ac:dyDescent="0.3">
      <c r="A421" s="129"/>
      <c r="B421" s="150"/>
      <c r="C421" s="150"/>
      <c r="D421" s="150"/>
      <c r="E421" s="140" t="str">
        <f t="shared" si="21"/>
        <v/>
      </c>
      <c r="F421" s="157"/>
      <c r="G421" s="145">
        <f t="shared" si="22"/>
        <v>0</v>
      </c>
      <c r="H421" s="140" t="str">
        <f t="shared" si="23"/>
        <v/>
      </c>
      <c r="J421" s="147" t="str">
        <f>IFERROR(SUMIFS(当年实际!$V:$V,当年实际!$J:$J,$C421,当年实际!$C:$C,"&gt;="&amp;DATE(YEAR(主页!$D$2),1,1),当年实际!$C:$C,"&lt;="&amp;EOMONTH(DATE(YEAR(主页!$D$2),MONTH(主页!$D$2),1),0))/SUMIFS(当年实际!$P:$P,当年实际!$J:$J,$C421,当年实际!$C:$C,"&gt;="&amp;DATE(YEAR(主页!$D$2),1,1),当年实际!$C:$C,"&lt;="&amp;EOMONTH(DATE(YEAR(主页!$D$2),MONTH(主页!$D$2),1),0)),"")</f>
        <v/>
      </c>
    </row>
    <row r="422" spans="1:10" x14ac:dyDescent="0.3">
      <c r="A422" s="129"/>
      <c r="B422" s="150"/>
      <c r="C422" s="150"/>
      <c r="D422" s="150"/>
      <c r="E422" s="140" t="str">
        <f t="shared" si="21"/>
        <v/>
      </c>
      <c r="F422" s="157"/>
      <c r="G422" s="145">
        <f t="shared" si="22"/>
        <v>0</v>
      </c>
      <c r="H422" s="140" t="str">
        <f t="shared" si="23"/>
        <v/>
      </c>
      <c r="J422" s="147" t="str">
        <f>IFERROR(SUMIFS(当年实际!$V:$V,当年实际!$J:$J,$C422,当年实际!$C:$C,"&gt;="&amp;DATE(YEAR(主页!$D$2),1,1),当年实际!$C:$C,"&lt;="&amp;EOMONTH(DATE(YEAR(主页!$D$2),MONTH(主页!$D$2),1),0))/SUMIFS(当年实际!$P:$P,当年实际!$J:$J,$C422,当年实际!$C:$C,"&gt;="&amp;DATE(YEAR(主页!$D$2),1,1),当年实际!$C:$C,"&lt;="&amp;EOMONTH(DATE(YEAR(主页!$D$2),MONTH(主页!$D$2),1),0)),"")</f>
        <v/>
      </c>
    </row>
    <row r="423" spans="1:10" x14ac:dyDescent="0.3">
      <c r="A423" s="129"/>
      <c r="B423" s="150"/>
      <c r="C423" s="150"/>
      <c r="D423" s="150"/>
      <c r="E423" s="140" t="str">
        <f t="shared" si="21"/>
        <v/>
      </c>
      <c r="F423" s="157"/>
      <c r="G423" s="145">
        <f t="shared" si="22"/>
        <v>0</v>
      </c>
      <c r="H423" s="140" t="str">
        <f t="shared" si="23"/>
        <v/>
      </c>
      <c r="J423" s="147" t="str">
        <f>IFERROR(SUMIFS(当年实际!$V:$V,当年实际!$J:$J,$C423,当年实际!$C:$C,"&gt;="&amp;DATE(YEAR(主页!$D$2),1,1),当年实际!$C:$C,"&lt;="&amp;EOMONTH(DATE(YEAR(主页!$D$2),MONTH(主页!$D$2),1),0))/SUMIFS(当年实际!$P:$P,当年实际!$J:$J,$C423,当年实际!$C:$C,"&gt;="&amp;DATE(YEAR(主页!$D$2),1,1),当年实际!$C:$C,"&lt;="&amp;EOMONTH(DATE(YEAR(主页!$D$2),MONTH(主页!$D$2),1),0)),"")</f>
        <v/>
      </c>
    </row>
    <row r="424" spans="1:10" x14ac:dyDescent="0.3">
      <c r="A424" s="129"/>
      <c r="B424" s="150"/>
      <c r="C424" s="150"/>
      <c r="D424" s="150"/>
      <c r="E424" s="140" t="str">
        <f t="shared" si="21"/>
        <v/>
      </c>
      <c r="F424" s="157"/>
      <c r="G424" s="145">
        <f t="shared" si="22"/>
        <v>0</v>
      </c>
      <c r="H424" s="140" t="str">
        <f t="shared" si="23"/>
        <v/>
      </c>
      <c r="J424" s="147" t="str">
        <f>IFERROR(SUMIFS(当年实际!$V:$V,当年实际!$J:$J,$C424,当年实际!$C:$C,"&gt;="&amp;DATE(YEAR(主页!$D$2),1,1),当年实际!$C:$C,"&lt;="&amp;EOMONTH(DATE(YEAR(主页!$D$2),MONTH(主页!$D$2),1),0))/SUMIFS(当年实际!$P:$P,当年实际!$J:$J,$C424,当年实际!$C:$C,"&gt;="&amp;DATE(YEAR(主页!$D$2),1,1),当年实际!$C:$C,"&lt;="&amp;EOMONTH(DATE(YEAR(主页!$D$2),MONTH(主页!$D$2),1),0)),"")</f>
        <v/>
      </c>
    </row>
    <row r="425" spans="1:10" x14ac:dyDescent="0.3">
      <c r="A425" s="129"/>
      <c r="B425" s="150"/>
      <c r="C425" s="150"/>
      <c r="D425" s="150"/>
      <c r="E425" s="140" t="str">
        <f t="shared" si="21"/>
        <v/>
      </c>
      <c r="F425" s="157"/>
      <c r="G425" s="145">
        <f t="shared" si="22"/>
        <v>0</v>
      </c>
      <c r="H425" s="140" t="str">
        <f t="shared" si="23"/>
        <v/>
      </c>
      <c r="J425" s="147" t="str">
        <f>IFERROR(SUMIFS(当年实际!$V:$V,当年实际!$J:$J,$C425,当年实际!$C:$C,"&gt;="&amp;DATE(YEAR(主页!$D$2),1,1),当年实际!$C:$C,"&lt;="&amp;EOMONTH(DATE(YEAR(主页!$D$2),MONTH(主页!$D$2),1),0))/SUMIFS(当年实际!$P:$P,当年实际!$J:$J,$C425,当年实际!$C:$C,"&gt;="&amp;DATE(YEAR(主页!$D$2),1,1),当年实际!$C:$C,"&lt;="&amp;EOMONTH(DATE(YEAR(主页!$D$2),MONTH(主页!$D$2),1),0)),"")</f>
        <v/>
      </c>
    </row>
    <row r="426" spans="1:10" x14ac:dyDescent="0.3">
      <c r="A426" s="129"/>
      <c r="B426" s="150"/>
      <c r="C426" s="150"/>
      <c r="D426" s="150"/>
      <c r="E426" s="140" t="str">
        <f t="shared" si="21"/>
        <v/>
      </c>
      <c r="F426" s="157"/>
      <c r="G426" s="145">
        <f t="shared" si="22"/>
        <v>0</v>
      </c>
      <c r="H426" s="140" t="str">
        <f t="shared" si="23"/>
        <v/>
      </c>
      <c r="J426" s="147" t="str">
        <f>IFERROR(SUMIFS(当年实际!$V:$V,当年实际!$J:$J,$C426,当年实际!$C:$C,"&gt;="&amp;DATE(YEAR(主页!$D$2),1,1),当年实际!$C:$C,"&lt;="&amp;EOMONTH(DATE(YEAR(主页!$D$2),MONTH(主页!$D$2),1),0))/SUMIFS(当年实际!$P:$P,当年实际!$J:$J,$C426,当年实际!$C:$C,"&gt;="&amp;DATE(YEAR(主页!$D$2),1,1),当年实际!$C:$C,"&lt;="&amp;EOMONTH(DATE(YEAR(主页!$D$2),MONTH(主页!$D$2),1),0)),"")</f>
        <v/>
      </c>
    </row>
    <row r="427" spans="1:10" x14ac:dyDescent="0.3">
      <c r="A427" s="129"/>
      <c r="B427" s="150"/>
      <c r="C427" s="150"/>
      <c r="D427" s="150"/>
      <c r="E427" s="140" t="str">
        <f t="shared" si="21"/>
        <v/>
      </c>
      <c r="F427" s="157"/>
      <c r="G427" s="145">
        <f t="shared" si="22"/>
        <v>0</v>
      </c>
      <c r="H427" s="140" t="str">
        <f t="shared" si="23"/>
        <v/>
      </c>
      <c r="J427" s="147" t="str">
        <f>IFERROR(SUMIFS(当年实际!$V:$V,当年实际!$J:$J,$C427,当年实际!$C:$C,"&gt;="&amp;DATE(YEAR(主页!$D$2),1,1),当年实际!$C:$C,"&lt;="&amp;EOMONTH(DATE(YEAR(主页!$D$2),MONTH(主页!$D$2),1),0))/SUMIFS(当年实际!$P:$P,当年实际!$J:$J,$C427,当年实际!$C:$C,"&gt;="&amp;DATE(YEAR(主页!$D$2),1,1),当年实际!$C:$C,"&lt;="&amp;EOMONTH(DATE(YEAR(主页!$D$2),MONTH(主页!$D$2),1),0)),"")</f>
        <v/>
      </c>
    </row>
    <row r="428" spans="1:10" x14ac:dyDescent="0.3">
      <c r="A428" s="129"/>
      <c r="B428" s="150"/>
      <c r="C428" s="150"/>
      <c r="D428" s="150"/>
      <c r="E428" s="140" t="str">
        <f t="shared" si="21"/>
        <v/>
      </c>
      <c r="F428" s="157"/>
      <c r="G428" s="145">
        <f t="shared" si="22"/>
        <v>0</v>
      </c>
      <c r="H428" s="140" t="str">
        <f t="shared" si="23"/>
        <v/>
      </c>
      <c r="J428" s="147" t="str">
        <f>IFERROR(SUMIFS(当年实际!$V:$V,当年实际!$J:$J,$C428,当年实际!$C:$C,"&gt;="&amp;DATE(YEAR(主页!$D$2),1,1),当年实际!$C:$C,"&lt;="&amp;EOMONTH(DATE(YEAR(主页!$D$2),MONTH(主页!$D$2),1),0))/SUMIFS(当年实际!$P:$P,当年实际!$J:$J,$C428,当年实际!$C:$C,"&gt;="&amp;DATE(YEAR(主页!$D$2),1,1),当年实际!$C:$C,"&lt;="&amp;EOMONTH(DATE(YEAR(主页!$D$2),MONTH(主页!$D$2),1),0)),"")</f>
        <v/>
      </c>
    </row>
    <row r="429" spans="1:10" x14ac:dyDescent="0.3">
      <c r="A429" s="129"/>
      <c r="B429" s="150"/>
      <c r="C429" s="150"/>
      <c r="D429" s="150"/>
      <c r="E429" s="140" t="str">
        <f t="shared" si="21"/>
        <v/>
      </c>
      <c r="F429" s="157"/>
      <c r="G429" s="145">
        <f t="shared" si="22"/>
        <v>0</v>
      </c>
      <c r="H429" s="140" t="str">
        <f t="shared" si="23"/>
        <v/>
      </c>
      <c r="J429" s="147" t="str">
        <f>IFERROR(SUMIFS(当年实际!$V:$V,当年实际!$J:$J,$C429,当年实际!$C:$C,"&gt;="&amp;DATE(YEAR(主页!$D$2),1,1),当年实际!$C:$C,"&lt;="&amp;EOMONTH(DATE(YEAR(主页!$D$2),MONTH(主页!$D$2),1),0))/SUMIFS(当年实际!$P:$P,当年实际!$J:$J,$C429,当年实际!$C:$C,"&gt;="&amp;DATE(YEAR(主页!$D$2),1,1),当年实际!$C:$C,"&lt;="&amp;EOMONTH(DATE(YEAR(主页!$D$2),MONTH(主页!$D$2),1),0)),"")</f>
        <v/>
      </c>
    </row>
    <row r="430" spans="1:10" x14ac:dyDescent="0.3">
      <c r="A430" s="129"/>
      <c r="B430" s="150"/>
      <c r="C430" s="150"/>
      <c r="D430" s="150"/>
      <c r="E430" s="140" t="str">
        <f t="shared" si="21"/>
        <v/>
      </c>
      <c r="F430" s="157"/>
      <c r="G430" s="145">
        <f t="shared" si="22"/>
        <v>0</v>
      </c>
      <c r="H430" s="140" t="str">
        <f t="shared" si="23"/>
        <v/>
      </c>
      <c r="J430" s="147" t="str">
        <f>IFERROR(SUMIFS(当年实际!$V:$V,当年实际!$J:$J,$C430,当年实际!$C:$C,"&gt;="&amp;DATE(YEAR(主页!$D$2),1,1),当年实际!$C:$C,"&lt;="&amp;EOMONTH(DATE(YEAR(主页!$D$2),MONTH(主页!$D$2),1),0))/SUMIFS(当年实际!$P:$P,当年实际!$J:$J,$C430,当年实际!$C:$C,"&gt;="&amp;DATE(YEAR(主页!$D$2),1,1),当年实际!$C:$C,"&lt;="&amp;EOMONTH(DATE(YEAR(主页!$D$2),MONTH(主页!$D$2),1),0)),"")</f>
        <v/>
      </c>
    </row>
    <row r="431" spans="1:10" x14ac:dyDescent="0.3">
      <c r="A431" s="129"/>
      <c r="B431" s="150"/>
      <c r="C431" s="150"/>
      <c r="D431" s="150"/>
      <c r="E431" s="140" t="str">
        <f t="shared" si="21"/>
        <v/>
      </c>
      <c r="F431" s="157"/>
      <c r="G431" s="145">
        <f t="shared" si="22"/>
        <v>0</v>
      </c>
      <c r="H431" s="140" t="str">
        <f t="shared" si="23"/>
        <v/>
      </c>
      <c r="J431" s="147" t="str">
        <f>IFERROR(SUMIFS(当年实际!$V:$V,当年实际!$J:$J,$C431,当年实际!$C:$C,"&gt;="&amp;DATE(YEAR(主页!$D$2),1,1),当年实际!$C:$C,"&lt;="&amp;EOMONTH(DATE(YEAR(主页!$D$2),MONTH(主页!$D$2),1),0))/SUMIFS(当年实际!$P:$P,当年实际!$J:$J,$C431,当年实际!$C:$C,"&gt;="&amp;DATE(YEAR(主页!$D$2),1,1),当年实际!$C:$C,"&lt;="&amp;EOMONTH(DATE(YEAR(主页!$D$2),MONTH(主页!$D$2),1),0)),"")</f>
        <v/>
      </c>
    </row>
    <row r="432" spans="1:10" x14ac:dyDescent="0.3">
      <c r="A432" s="129"/>
      <c r="B432" s="150"/>
      <c r="C432" s="150"/>
      <c r="D432" s="150"/>
      <c r="E432" s="140" t="str">
        <f t="shared" si="21"/>
        <v/>
      </c>
      <c r="F432" s="157"/>
      <c r="G432" s="145">
        <f t="shared" si="22"/>
        <v>0</v>
      </c>
      <c r="H432" s="140" t="str">
        <f t="shared" si="23"/>
        <v/>
      </c>
      <c r="J432" s="147" t="str">
        <f>IFERROR(SUMIFS(当年实际!$V:$V,当年实际!$J:$J,$C432,当年实际!$C:$C,"&gt;="&amp;DATE(YEAR(主页!$D$2),1,1),当年实际!$C:$C,"&lt;="&amp;EOMONTH(DATE(YEAR(主页!$D$2),MONTH(主页!$D$2),1),0))/SUMIFS(当年实际!$P:$P,当年实际!$J:$J,$C432,当年实际!$C:$C,"&gt;="&amp;DATE(YEAR(主页!$D$2),1,1),当年实际!$C:$C,"&lt;="&amp;EOMONTH(DATE(YEAR(主页!$D$2),MONTH(主页!$D$2),1),0)),"")</f>
        <v/>
      </c>
    </row>
    <row r="433" spans="1:10" x14ac:dyDescent="0.3">
      <c r="A433" s="129"/>
      <c r="B433" s="150"/>
      <c r="C433" s="150"/>
      <c r="D433" s="150"/>
      <c r="E433" s="140" t="str">
        <f t="shared" si="21"/>
        <v/>
      </c>
      <c r="F433" s="157"/>
      <c r="G433" s="145">
        <f t="shared" si="22"/>
        <v>0</v>
      </c>
      <c r="H433" s="140" t="str">
        <f t="shared" si="23"/>
        <v/>
      </c>
      <c r="J433" s="147" t="str">
        <f>IFERROR(SUMIFS(当年实际!$V:$V,当年实际!$J:$J,$C433,当年实际!$C:$C,"&gt;="&amp;DATE(YEAR(主页!$D$2),1,1),当年实际!$C:$C,"&lt;="&amp;EOMONTH(DATE(YEAR(主页!$D$2),MONTH(主页!$D$2),1),0))/SUMIFS(当年实际!$P:$P,当年实际!$J:$J,$C433,当年实际!$C:$C,"&gt;="&amp;DATE(YEAR(主页!$D$2),1,1),当年实际!$C:$C,"&lt;="&amp;EOMONTH(DATE(YEAR(主页!$D$2),MONTH(主页!$D$2),1),0)),"")</f>
        <v/>
      </c>
    </row>
    <row r="434" spans="1:10" x14ac:dyDescent="0.3">
      <c r="A434" s="129"/>
      <c r="B434" s="150"/>
      <c r="C434" s="150"/>
      <c r="D434" s="150"/>
      <c r="E434" s="140" t="str">
        <f t="shared" si="21"/>
        <v/>
      </c>
      <c r="F434" s="157"/>
      <c r="G434" s="145">
        <f t="shared" si="22"/>
        <v>0</v>
      </c>
      <c r="H434" s="140" t="str">
        <f t="shared" si="23"/>
        <v/>
      </c>
      <c r="J434" s="147" t="str">
        <f>IFERROR(SUMIFS(当年实际!$V:$V,当年实际!$J:$J,$C434,当年实际!$C:$C,"&gt;="&amp;DATE(YEAR(主页!$D$2),1,1),当年实际!$C:$C,"&lt;="&amp;EOMONTH(DATE(YEAR(主页!$D$2),MONTH(主页!$D$2),1),0))/SUMIFS(当年实际!$P:$P,当年实际!$J:$J,$C434,当年实际!$C:$C,"&gt;="&amp;DATE(YEAR(主页!$D$2),1,1),当年实际!$C:$C,"&lt;="&amp;EOMONTH(DATE(YEAR(主页!$D$2),MONTH(主页!$D$2),1),0)),"")</f>
        <v/>
      </c>
    </row>
    <row r="435" spans="1:10" x14ac:dyDescent="0.3">
      <c r="A435" s="129"/>
      <c r="B435" s="150"/>
      <c r="C435" s="150"/>
      <c r="D435" s="150"/>
      <c r="E435" s="140" t="str">
        <f t="shared" si="21"/>
        <v/>
      </c>
      <c r="F435" s="157"/>
      <c r="G435" s="145">
        <f t="shared" si="22"/>
        <v>0</v>
      </c>
      <c r="H435" s="140" t="str">
        <f t="shared" si="23"/>
        <v/>
      </c>
      <c r="J435" s="147" t="str">
        <f>IFERROR(SUMIFS(当年实际!$V:$V,当年实际!$J:$J,$C435,当年实际!$C:$C,"&gt;="&amp;DATE(YEAR(主页!$D$2),1,1),当年实际!$C:$C,"&lt;="&amp;EOMONTH(DATE(YEAR(主页!$D$2),MONTH(主页!$D$2),1),0))/SUMIFS(当年实际!$P:$P,当年实际!$J:$J,$C435,当年实际!$C:$C,"&gt;="&amp;DATE(YEAR(主页!$D$2),1,1),当年实际!$C:$C,"&lt;="&amp;EOMONTH(DATE(YEAR(主页!$D$2),MONTH(主页!$D$2),1),0)),"")</f>
        <v/>
      </c>
    </row>
    <row r="436" spans="1:10" x14ac:dyDescent="0.3">
      <c r="A436" s="129"/>
      <c r="B436" s="150"/>
      <c r="C436" s="150"/>
      <c r="D436" s="150"/>
      <c r="E436" s="140" t="str">
        <f t="shared" si="21"/>
        <v/>
      </c>
      <c r="F436" s="157"/>
      <c r="G436" s="145">
        <f t="shared" si="22"/>
        <v>0</v>
      </c>
      <c r="H436" s="140" t="str">
        <f t="shared" si="23"/>
        <v/>
      </c>
      <c r="J436" s="147" t="str">
        <f>IFERROR(SUMIFS(当年实际!$V:$V,当年实际!$J:$J,$C436,当年实际!$C:$C,"&gt;="&amp;DATE(YEAR(主页!$D$2),1,1),当年实际!$C:$C,"&lt;="&amp;EOMONTH(DATE(YEAR(主页!$D$2),MONTH(主页!$D$2),1),0))/SUMIFS(当年实际!$P:$P,当年实际!$J:$J,$C436,当年实际!$C:$C,"&gt;="&amp;DATE(YEAR(主页!$D$2),1,1),当年实际!$C:$C,"&lt;="&amp;EOMONTH(DATE(YEAR(主页!$D$2),MONTH(主页!$D$2),1),0)),"")</f>
        <v/>
      </c>
    </row>
    <row r="437" spans="1:10" x14ac:dyDescent="0.3">
      <c r="A437" s="129"/>
      <c r="B437" s="150"/>
      <c r="C437" s="150"/>
      <c r="D437" s="150"/>
      <c r="E437" s="140" t="str">
        <f t="shared" si="21"/>
        <v/>
      </c>
      <c r="F437" s="157"/>
      <c r="G437" s="145">
        <f t="shared" si="22"/>
        <v>0</v>
      </c>
      <c r="H437" s="140" t="str">
        <f t="shared" si="23"/>
        <v/>
      </c>
      <c r="J437" s="147" t="str">
        <f>IFERROR(SUMIFS(当年实际!$V:$V,当年实际!$J:$J,$C437,当年实际!$C:$C,"&gt;="&amp;DATE(YEAR(主页!$D$2),1,1),当年实际!$C:$C,"&lt;="&amp;EOMONTH(DATE(YEAR(主页!$D$2),MONTH(主页!$D$2),1),0))/SUMIFS(当年实际!$P:$P,当年实际!$J:$J,$C437,当年实际!$C:$C,"&gt;="&amp;DATE(YEAR(主页!$D$2),1,1),当年实际!$C:$C,"&lt;="&amp;EOMONTH(DATE(YEAR(主页!$D$2),MONTH(主页!$D$2),1),0)),"")</f>
        <v/>
      </c>
    </row>
    <row r="438" spans="1:10" x14ac:dyDescent="0.3">
      <c r="A438" s="129"/>
      <c r="B438" s="150"/>
      <c r="C438" s="150"/>
      <c r="D438" s="150"/>
      <c r="E438" s="140" t="str">
        <f t="shared" si="21"/>
        <v/>
      </c>
      <c r="F438" s="157"/>
      <c r="G438" s="145">
        <f t="shared" si="22"/>
        <v>0</v>
      </c>
      <c r="H438" s="140" t="str">
        <f t="shared" si="23"/>
        <v/>
      </c>
      <c r="J438" s="147" t="str">
        <f>IFERROR(SUMIFS(当年实际!$V:$V,当年实际!$J:$J,$C438,当年实际!$C:$C,"&gt;="&amp;DATE(YEAR(主页!$D$2),1,1),当年实际!$C:$C,"&lt;="&amp;EOMONTH(DATE(YEAR(主页!$D$2),MONTH(主页!$D$2),1),0))/SUMIFS(当年实际!$P:$P,当年实际!$J:$J,$C438,当年实际!$C:$C,"&gt;="&amp;DATE(YEAR(主页!$D$2),1,1),当年实际!$C:$C,"&lt;="&amp;EOMONTH(DATE(YEAR(主页!$D$2),MONTH(主页!$D$2),1),0)),"")</f>
        <v/>
      </c>
    </row>
    <row r="439" spans="1:10" x14ac:dyDescent="0.3">
      <c r="A439" s="129"/>
      <c r="B439" s="150"/>
      <c r="C439" s="150"/>
      <c r="D439" s="150"/>
      <c r="E439" s="140" t="str">
        <f t="shared" si="21"/>
        <v/>
      </c>
      <c r="F439" s="157"/>
      <c r="G439" s="145">
        <f t="shared" si="22"/>
        <v>0</v>
      </c>
      <c r="H439" s="140" t="str">
        <f t="shared" si="23"/>
        <v/>
      </c>
      <c r="J439" s="147" t="str">
        <f>IFERROR(SUMIFS(当年实际!$V:$V,当年实际!$J:$J,$C439,当年实际!$C:$C,"&gt;="&amp;DATE(YEAR(主页!$D$2),1,1),当年实际!$C:$C,"&lt;="&amp;EOMONTH(DATE(YEAR(主页!$D$2),MONTH(主页!$D$2),1),0))/SUMIFS(当年实际!$P:$P,当年实际!$J:$J,$C439,当年实际!$C:$C,"&gt;="&amp;DATE(YEAR(主页!$D$2),1,1),当年实际!$C:$C,"&lt;="&amp;EOMONTH(DATE(YEAR(主页!$D$2),MONTH(主页!$D$2),1),0)),"")</f>
        <v/>
      </c>
    </row>
    <row r="440" spans="1:10" x14ac:dyDescent="0.3">
      <c r="A440" s="129"/>
      <c r="B440" s="150"/>
      <c r="C440" s="150"/>
      <c r="D440" s="150"/>
      <c r="E440" s="140" t="str">
        <f t="shared" si="21"/>
        <v/>
      </c>
      <c r="F440" s="157"/>
      <c r="G440" s="145">
        <f t="shared" si="22"/>
        <v>0</v>
      </c>
      <c r="H440" s="140" t="str">
        <f t="shared" si="23"/>
        <v/>
      </c>
      <c r="J440" s="147" t="str">
        <f>IFERROR(SUMIFS(当年实际!$V:$V,当年实际!$J:$J,$C440,当年实际!$C:$C,"&gt;="&amp;DATE(YEAR(主页!$D$2),1,1),当年实际!$C:$C,"&lt;="&amp;EOMONTH(DATE(YEAR(主页!$D$2),MONTH(主页!$D$2),1),0))/SUMIFS(当年实际!$P:$P,当年实际!$J:$J,$C440,当年实际!$C:$C,"&gt;="&amp;DATE(YEAR(主页!$D$2),1,1),当年实际!$C:$C,"&lt;="&amp;EOMONTH(DATE(YEAR(主页!$D$2),MONTH(主页!$D$2),1),0)),"")</f>
        <v/>
      </c>
    </row>
    <row r="441" spans="1:10" x14ac:dyDescent="0.3">
      <c r="A441" s="129"/>
      <c r="B441" s="150"/>
      <c r="C441" s="150"/>
      <c r="D441" s="150"/>
      <c r="E441" s="140" t="str">
        <f t="shared" si="21"/>
        <v/>
      </c>
      <c r="F441" s="157"/>
      <c r="G441" s="145">
        <f t="shared" si="22"/>
        <v>0</v>
      </c>
      <c r="H441" s="140" t="str">
        <f t="shared" si="23"/>
        <v/>
      </c>
      <c r="J441" s="147" t="str">
        <f>IFERROR(SUMIFS(当年实际!$V:$V,当年实际!$J:$J,$C441,当年实际!$C:$C,"&gt;="&amp;DATE(YEAR(主页!$D$2),1,1),当年实际!$C:$C,"&lt;="&amp;EOMONTH(DATE(YEAR(主页!$D$2),MONTH(主页!$D$2),1),0))/SUMIFS(当年实际!$P:$P,当年实际!$J:$J,$C441,当年实际!$C:$C,"&gt;="&amp;DATE(YEAR(主页!$D$2),1,1),当年实际!$C:$C,"&lt;="&amp;EOMONTH(DATE(YEAR(主页!$D$2),MONTH(主页!$D$2),1),0)),"")</f>
        <v/>
      </c>
    </row>
    <row r="442" spans="1:10" x14ac:dyDescent="0.3">
      <c r="A442" s="129"/>
      <c r="B442" s="150"/>
      <c r="C442" s="150"/>
      <c r="D442" s="150"/>
      <c r="E442" s="140" t="str">
        <f t="shared" si="21"/>
        <v/>
      </c>
      <c r="F442" s="157"/>
      <c r="G442" s="145">
        <f t="shared" si="22"/>
        <v>0</v>
      </c>
      <c r="H442" s="140" t="str">
        <f t="shared" si="23"/>
        <v/>
      </c>
      <c r="J442" s="147" t="str">
        <f>IFERROR(SUMIFS(当年实际!$V:$V,当年实际!$J:$J,$C442,当年实际!$C:$C,"&gt;="&amp;DATE(YEAR(主页!$D$2),1,1),当年实际!$C:$C,"&lt;="&amp;EOMONTH(DATE(YEAR(主页!$D$2),MONTH(主页!$D$2),1),0))/SUMIFS(当年实际!$P:$P,当年实际!$J:$J,$C442,当年实际!$C:$C,"&gt;="&amp;DATE(YEAR(主页!$D$2),1,1),当年实际!$C:$C,"&lt;="&amp;EOMONTH(DATE(YEAR(主页!$D$2),MONTH(主页!$D$2),1),0)),"")</f>
        <v/>
      </c>
    </row>
    <row r="443" spans="1:10" x14ac:dyDescent="0.3">
      <c r="A443" s="129"/>
      <c r="B443" s="150"/>
      <c r="C443" s="150"/>
      <c r="D443" s="150"/>
      <c r="E443" s="140" t="str">
        <f t="shared" si="21"/>
        <v/>
      </c>
      <c r="F443" s="157"/>
      <c r="G443" s="145">
        <f t="shared" si="22"/>
        <v>0</v>
      </c>
      <c r="H443" s="140" t="str">
        <f t="shared" si="23"/>
        <v/>
      </c>
      <c r="J443" s="147" t="str">
        <f>IFERROR(SUMIFS(当年实际!$V:$V,当年实际!$J:$J,$C443,当年实际!$C:$C,"&gt;="&amp;DATE(YEAR(主页!$D$2),1,1),当年实际!$C:$C,"&lt;="&amp;EOMONTH(DATE(YEAR(主页!$D$2),MONTH(主页!$D$2),1),0))/SUMIFS(当年实际!$P:$P,当年实际!$J:$J,$C443,当年实际!$C:$C,"&gt;="&amp;DATE(YEAR(主页!$D$2),1,1),当年实际!$C:$C,"&lt;="&amp;EOMONTH(DATE(YEAR(主页!$D$2),MONTH(主页!$D$2),1),0)),"")</f>
        <v/>
      </c>
    </row>
    <row r="444" spans="1:10" x14ac:dyDescent="0.3">
      <c r="A444" s="129"/>
      <c r="B444" s="150"/>
      <c r="C444" s="150"/>
      <c r="D444" s="150"/>
      <c r="E444" s="140" t="str">
        <f t="shared" si="21"/>
        <v/>
      </c>
      <c r="F444" s="157"/>
      <c r="G444" s="145">
        <f t="shared" si="22"/>
        <v>0</v>
      </c>
      <c r="H444" s="140" t="str">
        <f t="shared" si="23"/>
        <v/>
      </c>
      <c r="J444" s="147" t="str">
        <f>IFERROR(SUMIFS(当年实际!$V:$V,当年实际!$J:$J,$C444,当年实际!$C:$C,"&gt;="&amp;DATE(YEAR(主页!$D$2),1,1),当年实际!$C:$C,"&lt;="&amp;EOMONTH(DATE(YEAR(主页!$D$2),MONTH(主页!$D$2),1),0))/SUMIFS(当年实际!$P:$P,当年实际!$J:$J,$C444,当年实际!$C:$C,"&gt;="&amp;DATE(YEAR(主页!$D$2),1,1),当年实际!$C:$C,"&lt;="&amp;EOMONTH(DATE(YEAR(主页!$D$2),MONTH(主页!$D$2),1),0)),"")</f>
        <v/>
      </c>
    </row>
    <row r="445" spans="1:10" x14ac:dyDescent="0.3">
      <c r="A445" s="129"/>
      <c r="B445" s="150"/>
      <c r="C445" s="150"/>
      <c r="D445" s="150"/>
      <c r="E445" s="140" t="str">
        <f t="shared" si="21"/>
        <v/>
      </c>
      <c r="F445" s="157"/>
      <c r="G445" s="145">
        <f t="shared" si="22"/>
        <v>0</v>
      </c>
      <c r="H445" s="140" t="str">
        <f t="shared" si="23"/>
        <v/>
      </c>
      <c r="J445" s="147" t="str">
        <f>IFERROR(SUMIFS(当年实际!$V:$V,当年实际!$J:$J,$C445,当年实际!$C:$C,"&gt;="&amp;DATE(YEAR(主页!$D$2),1,1),当年实际!$C:$C,"&lt;="&amp;EOMONTH(DATE(YEAR(主页!$D$2),MONTH(主页!$D$2),1),0))/SUMIFS(当年实际!$P:$P,当年实际!$J:$J,$C445,当年实际!$C:$C,"&gt;="&amp;DATE(YEAR(主页!$D$2),1,1),当年实际!$C:$C,"&lt;="&amp;EOMONTH(DATE(YEAR(主页!$D$2),MONTH(主页!$D$2),1),0)),"")</f>
        <v/>
      </c>
    </row>
    <row r="446" spans="1:10" x14ac:dyDescent="0.3">
      <c r="A446" s="129"/>
      <c r="B446" s="150"/>
      <c r="C446" s="150"/>
      <c r="D446" s="150"/>
      <c r="E446" s="140" t="str">
        <f t="shared" si="21"/>
        <v/>
      </c>
      <c r="F446" s="157"/>
      <c r="G446" s="145">
        <f t="shared" si="22"/>
        <v>0</v>
      </c>
      <c r="H446" s="140" t="str">
        <f t="shared" si="23"/>
        <v/>
      </c>
      <c r="J446" s="147" t="str">
        <f>IFERROR(SUMIFS(当年实际!$V:$V,当年实际!$J:$J,$C446,当年实际!$C:$C,"&gt;="&amp;DATE(YEAR(主页!$D$2),1,1),当年实际!$C:$C,"&lt;="&amp;EOMONTH(DATE(YEAR(主页!$D$2),MONTH(主页!$D$2),1),0))/SUMIFS(当年实际!$P:$P,当年实际!$J:$J,$C446,当年实际!$C:$C,"&gt;="&amp;DATE(YEAR(主页!$D$2),1,1),当年实际!$C:$C,"&lt;="&amp;EOMONTH(DATE(YEAR(主页!$D$2),MONTH(主页!$D$2),1),0)),"")</f>
        <v/>
      </c>
    </row>
    <row r="447" spans="1:10" x14ac:dyDescent="0.3">
      <c r="A447" s="129"/>
      <c r="B447" s="150"/>
      <c r="C447" s="150"/>
      <c r="D447" s="150"/>
      <c r="E447" s="140" t="str">
        <f t="shared" si="21"/>
        <v/>
      </c>
      <c r="F447" s="157"/>
      <c r="G447" s="145">
        <f t="shared" si="22"/>
        <v>0</v>
      </c>
      <c r="H447" s="140" t="str">
        <f t="shared" si="23"/>
        <v/>
      </c>
      <c r="J447" s="147" t="str">
        <f>IFERROR(SUMIFS(当年实际!$V:$V,当年实际!$J:$J,$C447,当年实际!$C:$C,"&gt;="&amp;DATE(YEAR(主页!$D$2),1,1),当年实际!$C:$C,"&lt;="&amp;EOMONTH(DATE(YEAR(主页!$D$2),MONTH(主页!$D$2),1),0))/SUMIFS(当年实际!$P:$P,当年实际!$J:$J,$C447,当年实际!$C:$C,"&gt;="&amp;DATE(YEAR(主页!$D$2),1,1),当年实际!$C:$C,"&lt;="&amp;EOMONTH(DATE(YEAR(主页!$D$2),MONTH(主页!$D$2),1),0)),"")</f>
        <v/>
      </c>
    </row>
    <row r="448" spans="1:10" x14ac:dyDescent="0.3">
      <c r="A448" s="129"/>
      <c r="B448" s="150"/>
      <c r="C448" s="150"/>
      <c r="D448" s="150"/>
      <c r="E448" s="140" t="str">
        <f t="shared" si="21"/>
        <v/>
      </c>
      <c r="F448" s="157"/>
      <c r="G448" s="145">
        <f t="shared" si="22"/>
        <v>0</v>
      </c>
      <c r="H448" s="140" t="str">
        <f t="shared" si="23"/>
        <v/>
      </c>
      <c r="J448" s="147" t="str">
        <f>IFERROR(SUMIFS(当年实际!$V:$V,当年实际!$J:$J,$C448,当年实际!$C:$C,"&gt;="&amp;DATE(YEAR(主页!$D$2),1,1),当年实际!$C:$C,"&lt;="&amp;EOMONTH(DATE(YEAR(主页!$D$2),MONTH(主页!$D$2),1),0))/SUMIFS(当年实际!$P:$P,当年实际!$J:$J,$C448,当年实际!$C:$C,"&gt;="&amp;DATE(YEAR(主页!$D$2),1,1),当年实际!$C:$C,"&lt;="&amp;EOMONTH(DATE(YEAR(主页!$D$2),MONTH(主页!$D$2),1),0)),"")</f>
        <v/>
      </c>
    </row>
    <row r="449" spans="1:10" x14ac:dyDescent="0.3">
      <c r="A449" s="129"/>
      <c r="B449" s="150"/>
      <c r="C449" s="150"/>
      <c r="D449" s="150"/>
      <c r="E449" s="140" t="str">
        <f t="shared" si="21"/>
        <v/>
      </c>
      <c r="F449" s="157"/>
      <c r="G449" s="145">
        <f t="shared" si="22"/>
        <v>0</v>
      </c>
      <c r="H449" s="140" t="str">
        <f t="shared" si="23"/>
        <v/>
      </c>
      <c r="J449" s="147" t="str">
        <f>IFERROR(SUMIFS(当年实际!$V:$V,当年实际!$J:$J,$C449,当年实际!$C:$C,"&gt;="&amp;DATE(YEAR(主页!$D$2),1,1),当年实际!$C:$C,"&lt;="&amp;EOMONTH(DATE(YEAR(主页!$D$2),MONTH(主页!$D$2),1),0))/SUMIFS(当年实际!$P:$P,当年实际!$J:$J,$C449,当年实际!$C:$C,"&gt;="&amp;DATE(YEAR(主页!$D$2),1,1),当年实际!$C:$C,"&lt;="&amp;EOMONTH(DATE(YEAR(主页!$D$2),MONTH(主页!$D$2),1),0)),"")</f>
        <v/>
      </c>
    </row>
    <row r="450" spans="1:10" x14ac:dyDescent="0.3">
      <c r="A450" s="129"/>
      <c r="B450" s="150"/>
      <c r="C450" s="150"/>
      <c r="D450" s="150"/>
      <c r="E450" s="140" t="str">
        <f t="shared" si="21"/>
        <v/>
      </c>
      <c r="F450" s="157"/>
      <c r="G450" s="145">
        <f t="shared" si="22"/>
        <v>0</v>
      </c>
      <c r="H450" s="140" t="str">
        <f t="shared" si="23"/>
        <v/>
      </c>
      <c r="J450" s="147" t="str">
        <f>IFERROR(SUMIFS(当年实际!$V:$V,当年实际!$J:$J,$C450,当年实际!$C:$C,"&gt;="&amp;DATE(YEAR(主页!$D$2),1,1),当年实际!$C:$C,"&lt;="&amp;EOMONTH(DATE(YEAR(主页!$D$2),MONTH(主页!$D$2),1),0))/SUMIFS(当年实际!$P:$P,当年实际!$J:$J,$C450,当年实际!$C:$C,"&gt;="&amp;DATE(YEAR(主页!$D$2),1,1),当年实际!$C:$C,"&lt;="&amp;EOMONTH(DATE(YEAR(主页!$D$2),MONTH(主页!$D$2),1),0)),"")</f>
        <v/>
      </c>
    </row>
    <row r="451" spans="1:10" x14ac:dyDescent="0.3">
      <c r="A451" s="129"/>
      <c r="B451" s="150"/>
      <c r="C451" s="150"/>
      <c r="D451" s="150"/>
      <c r="E451" s="140" t="str">
        <f t="shared" si="21"/>
        <v/>
      </c>
      <c r="F451" s="157"/>
      <c r="G451" s="145">
        <f t="shared" si="22"/>
        <v>0</v>
      </c>
      <c r="H451" s="140" t="str">
        <f t="shared" si="23"/>
        <v/>
      </c>
      <c r="J451" s="147" t="str">
        <f>IFERROR(SUMIFS(当年实际!$V:$V,当年实际!$J:$J,$C451,当年实际!$C:$C,"&gt;="&amp;DATE(YEAR(主页!$D$2),1,1),当年实际!$C:$C,"&lt;="&amp;EOMONTH(DATE(YEAR(主页!$D$2),MONTH(主页!$D$2),1),0))/SUMIFS(当年实际!$P:$P,当年实际!$J:$J,$C451,当年实际!$C:$C,"&gt;="&amp;DATE(YEAR(主页!$D$2),1,1),当年实际!$C:$C,"&lt;="&amp;EOMONTH(DATE(YEAR(主页!$D$2),MONTH(主页!$D$2),1),0)),"")</f>
        <v/>
      </c>
    </row>
    <row r="452" spans="1:10" x14ac:dyDescent="0.3">
      <c r="A452" s="129"/>
      <c r="B452" s="150"/>
      <c r="C452" s="150"/>
      <c r="D452" s="150"/>
      <c r="E452" s="140" t="str">
        <f t="shared" ref="E452:E515" si="24">IF(D452/SUM(D:D)=0,"",D452/SUM(D:D))</f>
        <v/>
      </c>
      <c r="F452" s="157"/>
      <c r="G452" s="145">
        <f t="shared" si="22"/>
        <v>0</v>
      </c>
      <c r="H452" s="140" t="str">
        <f t="shared" si="23"/>
        <v/>
      </c>
      <c r="J452" s="147" t="str">
        <f>IFERROR(SUMIFS(当年实际!$V:$V,当年实际!$J:$J,$C452,当年实际!$C:$C,"&gt;="&amp;DATE(YEAR(主页!$D$2),1,1),当年实际!$C:$C,"&lt;="&amp;EOMONTH(DATE(YEAR(主页!$D$2),MONTH(主页!$D$2),1),0))/SUMIFS(当年实际!$P:$P,当年实际!$J:$J,$C452,当年实际!$C:$C,"&gt;="&amp;DATE(YEAR(主页!$D$2),1,1),当年实际!$C:$C,"&lt;="&amp;EOMONTH(DATE(YEAR(主页!$D$2),MONTH(主页!$D$2),1),0)),"")</f>
        <v/>
      </c>
    </row>
    <row r="453" spans="1:10" x14ac:dyDescent="0.3">
      <c r="A453" s="129"/>
      <c r="B453" s="150"/>
      <c r="C453" s="150"/>
      <c r="D453" s="150"/>
      <c r="E453" s="140" t="str">
        <f t="shared" si="24"/>
        <v/>
      </c>
      <c r="F453" s="157"/>
      <c r="G453" s="145">
        <f t="shared" si="22"/>
        <v>0</v>
      </c>
      <c r="H453" s="140" t="str">
        <f t="shared" si="23"/>
        <v/>
      </c>
      <c r="J453" s="147" t="str">
        <f>IFERROR(SUMIFS(当年实际!$V:$V,当年实际!$J:$J,$C453,当年实际!$C:$C,"&gt;="&amp;DATE(YEAR(主页!$D$2),1,1),当年实际!$C:$C,"&lt;="&amp;EOMONTH(DATE(YEAR(主页!$D$2),MONTH(主页!$D$2),1),0))/SUMIFS(当年实际!$P:$P,当年实际!$J:$J,$C453,当年实际!$C:$C,"&gt;="&amp;DATE(YEAR(主页!$D$2),1,1),当年实际!$C:$C,"&lt;="&amp;EOMONTH(DATE(YEAR(主页!$D$2),MONTH(主页!$D$2),1),0)),"")</f>
        <v/>
      </c>
    </row>
    <row r="454" spans="1:10" x14ac:dyDescent="0.3">
      <c r="A454" s="129"/>
      <c r="B454" s="150"/>
      <c r="C454" s="150"/>
      <c r="D454" s="150"/>
      <c r="E454" s="140" t="str">
        <f t="shared" si="24"/>
        <v/>
      </c>
      <c r="F454" s="157"/>
      <c r="G454" s="145">
        <f t="shared" si="22"/>
        <v>0</v>
      </c>
      <c r="H454" s="140" t="str">
        <f t="shared" si="23"/>
        <v/>
      </c>
      <c r="J454" s="147" t="str">
        <f>IFERROR(SUMIFS(当年实际!$V:$V,当年实际!$J:$J,$C454,当年实际!$C:$C,"&gt;="&amp;DATE(YEAR(主页!$D$2),1,1),当年实际!$C:$C,"&lt;="&amp;EOMONTH(DATE(YEAR(主页!$D$2),MONTH(主页!$D$2),1),0))/SUMIFS(当年实际!$P:$P,当年实际!$J:$J,$C454,当年实际!$C:$C,"&gt;="&amp;DATE(YEAR(主页!$D$2),1,1),当年实际!$C:$C,"&lt;="&amp;EOMONTH(DATE(YEAR(主页!$D$2),MONTH(主页!$D$2),1),0)),"")</f>
        <v/>
      </c>
    </row>
    <row r="455" spans="1:10" x14ac:dyDescent="0.3">
      <c r="A455" s="129"/>
      <c r="B455" s="150"/>
      <c r="C455" s="150"/>
      <c r="D455" s="150"/>
      <c r="E455" s="140" t="str">
        <f t="shared" si="24"/>
        <v/>
      </c>
      <c r="F455" s="157"/>
      <c r="G455" s="145">
        <f t="shared" si="22"/>
        <v>0</v>
      </c>
      <c r="H455" s="140" t="str">
        <f t="shared" si="23"/>
        <v/>
      </c>
      <c r="J455" s="147" t="str">
        <f>IFERROR(SUMIFS(当年实际!$V:$V,当年实际!$J:$J,$C455,当年实际!$C:$C,"&gt;="&amp;DATE(YEAR(主页!$D$2),1,1),当年实际!$C:$C,"&lt;="&amp;EOMONTH(DATE(YEAR(主页!$D$2),MONTH(主页!$D$2),1),0))/SUMIFS(当年实际!$P:$P,当年实际!$J:$J,$C455,当年实际!$C:$C,"&gt;="&amp;DATE(YEAR(主页!$D$2),1,1),当年实际!$C:$C,"&lt;="&amp;EOMONTH(DATE(YEAR(主页!$D$2),MONTH(主页!$D$2),1),0)),"")</f>
        <v/>
      </c>
    </row>
    <row r="456" spans="1:10" x14ac:dyDescent="0.3">
      <c r="A456" s="129"/>
      <c r="B456" s="150"/>
      <c r="C456" s="150"/>
      <c r="D456" s="150"/>
      <c r="E456" s="140" t="str">
        <f t="shared" si="24"/>
        <v/>
      </c>
      <c r="F456" s="157"/>
      <c r="G456" s="145">
        <f t="shared" si="22"/>
        <v>0</v>
      </c>
      <c r="H456" s="140" t="str">
        <f t="shared" si="23"/>
        <v/>
      </c>
      <c r="J456" s="147" t="str">
        <f>IFERROR(SUMIFS(当年实际!$V:$V,当年实际!$J:$J,$C456,当年实际!$C:$C,"&gt;="&amp;DATE(YEAR(主页!$D$2),1,1),当年实际!$C:$C,"&lt;="&amp;EOMONTH(DATE(YEAR(主页!$D$2),MONTH(主页!$D$2),1),0))/SUMIFS(当年实际!$P:$P,当年实际!$J:$J,$C456,当年实际!$C:$C,"&gt;="&amp;DATE(YEAR(主页!$D$2),1,1),当年实际!$C:$C,"&lt;="&amp;EOMONTH(DATE(YEAR(主页!$D$2),MONTH(主页!$D$2),1),0)),"")</f>
        <v/>
      </c>
    </row>
    <row r="457" spans="1:10" x14ac:dyDescent="0.3">
      <c r="A457" s="129"/>
      <c r="B457" s="150"/>
      <c r="C457" s="150"/>
      <c r="D457" s="150"/>
      <c r="E457" s="140" t="str">
        <f t="shared" si="24"/>
        <v/>
      </c>
      <c r="F457" s="157"/>
      <c r="G457" s="145">
        <f t="shared" si="22"/>
        <v>0</v>
      </c>
      <c r="H457" s="140" t="str">
        <f t="shared" si="23"/>
        <v/>
      </c>
      <c r="J457" s="147" t="str">
        <f>IFERROR(SUMIFS(当年实际!$V:$V,当年实际!$J:$J,$C457,当年实际!$C:$C,"&gt;="&amp;DATE(YEAR(主页!$D$2),1,1),当年实际!$C:$C,"&lt;="&amp;EOMONTH(DATE(YEAR(主页!$D$2),MONTH(主页!$D$2),1),0))/SUMIFS(当年实际!$P:$P,当年实际!$J:$J,$C457,当年实际!$C:$C,"&gt;="&amp;DATE(YEAR(主页!$D$2),1,1),当年实际!$C:$C,"&lt;="&amp;EOMONTH(DATE(YEAR(主页!$D$2),MONTH(主页!$D$2),1),0)),"")</f>
        <v/>
      </c>
    </row>
    <row r="458" spans="1:10" x14ac:dyDescent="0.3">
      <c r="A458" s="129"/>
      <c r="B458" s="150"/>
      <c r="C458" s="150"/>
      <c r="D458" s="150"/>
      <c r="E458" s="140" t="str">
        <f t="shared" si="24"/>
        <v/>
      </c>
      <c r="F458" s="157"/>
      <c r="G458" s="145">
        <f t="shared" si="22"/>
        <v>0</v>
      </c>
      <c r="H458" s="140" t="str">
        <f t="shared" si="23"/>
        <v/>
      </c>
      <c r="J458" s="147" t="str">
        <f>IFERROR(SUMIFS(当年实际!$V:$V,当年实际!$J:$J,$C458,当年实际!$C:$C,"&gt;="&amp;DATE(YEAR(主页!$D$2),1,1),当年实际!$C:$C,"&lt;="&amp;EOMONTH(DATE(YEAR(主页!$D$2),MONTH(主页!$D$2),1),0))/SUMIFS(当年实际!$P:$P,当年实际!$J:$J,$C458,当年实际!$C:$C,"&gt;="&amp;DATE(YEAR(主页!$D$2),1,1),当年实际!$C:$C,"&lt;="&amp;EOMONTH(DATE(YEAR(主页!$D$2),MONTH(主页!$D$2),1),0)),"")</f>
        <v/>
      </c>
    </row>
    <row r="459" spans="1:10" x14ac:dyDescent="0.3">
      <c r="A459" s="129"/>
      <c r="B459" s="150"/>
      <c r="C459" s="150"/>
      <c r="D459" s="150"/>
      <c r="E459" s="140" t="str">
        <f t="shared" si="24"/>
        <v/>
      </c>
      <c r="F459" s="157"/>
      <c r="G459" s="145">
        <f t="shared" si="22"/>
        <v>0</v>
      </c>
      <c r="H459" s="140" t="str">
        <f t="shared" si="23"/>
        <v/>
      </c>
      <c r="J459" s="147" t="str">
        <f>IFERROR(SUMIFS(当年实际!$V:$V,当年实际!$J:$J,$C459,当年实际!$C:$C,"&gt;="&amp;DATE(YEAR(主页!$D$2),1,1),当年实际!$C:$C,"&lt;="&amp;EOMONTH(DATE(YEAR(主页!$D$2),MONTH(主页!$D$2),1),0))/SUMIFS(当年实际!$P:$P,当年实际!$J:$J,$C459,当年实际!$C:$C,"&gt;="&amp;DATE(YEAR(主页!$D$2),1,1),当年实际!$C:$C,"&lt;="&amp;EOMONTH(DATE(YEAR(主页!$D$2),MONTH(主页!$D$2),1),0)),"")</f>
        <v/>
      </c>
    </row>
    <row r="460" spans="1:10" x14ac:dyDescent="0.3">
      <c r="A460" s="129"/>
      <c r="B460" s="150"/>
      <c r="C460" s="150"/>
      <c r="D460" s="150"/>
      <c r="E460" s="140" t="str">
        <f t="shared" si="24"/>
        <v/>
      </c>
      <c r="F460" s="157"/>
      <c r="G460" s="145">
        <f t="shared" si="22"/>
        <v>0</v>
      </c>
      <c r="H460" s="140" t="str">
        <f t="shared" si="23"/>
        <v/>
      </c>
      <c r="J460" s="147" t="str">
        <f>IFERROR(SUMIFS(当年实际!$V:$V,当年实际!$J:$J,$C460,当年实际!$C:$C,"&gt;="&amp;DATE(YEAR(主页!$D$2),1,1),当年实际!$C:$C,"&lt;="&amp;EOMONTH(DATE(YEAR(主页!$D$2),MONTH(主页!$D$2),1),0))/SUMIFS(当年实际!$P:$P,当年实际!$J:$J,$C460,当年实际!$C:$C,"&gt;="&amp;DATE(YEAR(主页!$D$2),1,1),当年实际!$C:$C,"&lt;="&amp;EOMONTH(DATE(YEAR(主页!$D$2),MONTH(主页!$D$2),1),0)),"")</f>
        <v/>
      </c>
    </row>
    <row r="461" spans="1:10" x14ac:dyDescent="0.3">
      <c r="A461" s="129"/>
      <c r="B461" s="150"/>
      <c r="C461" s="150"/>
      <c r="D461" s="150"/>
      <c r="E461" s="140" t="str">
        <f t="shared" si="24"/>
        <v/>
      </c>
      <c r="F461" s="157"/>
      <c r="G461" s="145">
        <f t="shared" si="22"/>
        <v>0</v>
      </c>
      <c r="H461" s="140" t="str">
        <f t="shared" si="23"/>
        <v/>
      </c>
      <c r="J461" s="147" t="str">
        <f>IFERROR(SUMIFS(当年实际!$V:$V,当年实际!$J:$J,$C461,当年实际!$C:$C,"&gt;="&amp;DATE(YEAR(主页!$D$2),1,1),当年实际!$C:$C,"&lt;="&amp;EOMONTH(DATE(YEAR(主页!$D$2),MONTH(主页!$D$2),1),0))/SUMIFS(当年实际!$P:$P,当年实际!$J:$J,$C461,当年实际!$C:$C,"&gt;="&amp;DATE(YEAR(主页!$D$2),1,1),当年实际!$C:$C,"&lt;="&amp;EOMONTH(DATE(YEAR(主页!$D$2),MONTH(主页!$D$2),1),0)),"")</f>
        <v/>
      </c>
    </row>
    <row r="462" spans="1:10" x14ac:dyDescent="0.3">
      <c r="A462" s="129"/>
      <c r="B462" s="150"/>
      <c r="C462" s="150"/>
      <c r="D462" s="150"/>
      <c r="E462" s="140" t="str">
        <f t="shared" si="24"/>
        <v/>
      </c>
      <c r="F462" s="157"/>
      <c r="G462" s="145">
        <f t="shared" si="22"/>
        <v>0</v>
      </c>
      <c r="H462" s="140" t="str">
        <f t="shared" si="23"/>
        <v/>
      </c>
      <c r="J462" s="147" t="str">
        <f>IFERROR(SUMIFS(当年实际!$V:$V,当年实际!$J:$J,$C462,当年实际!$C:$C,"&gt;="&amp;DATE(YEAR(主页!$D$2),1,1),当年实际!$C:$C,"&lt;="&amp;EOMONTH(DATE(YEAR(主页!$D$2),MONTH(主页!$D$2),1),0))/SUMIFS(当年实际!$P:$P,当年实际!$J:$J,$C462,当年实际!$C:$C,"&gt;="&amp;DATE(YEAR(主页!$D$2),1,1),当年实际!$C:$C,"&lt;="&amp;EOMONTH(DATE(YEAR(主页!$D$2),MONTH(主页!$D$2),1),0)),"")</f>
        <v/>
      </c>
    </row>
    <row r="463" spans="1:10" x14ac:dyDescent="0.3">
      <c r="A463" s="129"/>
      <c r="B463" s="150"/>
      <c r="C463" s="150"/>
      <c r="D463" s="150"/>
      <c r="E463" s="140" t="str">
        <f t="shared" si="24"/>
        <v/>
      </c>
      <c r="F463" s="157"/>
      <c r="G463" s="145">
        <f t="shared" si="22"/>
        <v>0</v>
      </c>
      <c r="H463" s="140" t="str">
        <f t="shared" si="23"/>
        <v/>
      </c>
      <c r="J463" s="147" t="str">
        <f>IFERROR(SUMIFS(当年实际!$V:$V,当年实际!$J:$J,$C463,当年实际!$C:$C,"&gt;="&amp;DATE(YEAR(主页!$D$2),1,1),当年实际!$C:$C,"&lt;="&amp;EOMONTH(DATE(YEAR(主页!$D$2),MONTH(主页!$D$2),1),0))/SUMIFS(当年实际!$P:$P,当年实际!$J:$J,$C463,当年实际!$C:$C,"&gt;="&amp;DATE(YEAR(主页!$D$2),1,1),当年实际!$C:$C,"&lt;="&amp;EOMONTH(DATE(YEAR(主页!$D$2),MONTH(主页!$D$2),1),0)),"")</f>
        <v/>
      </c>
    </row>
    <row r="464" spans="1:10" x14ac:dyDescent="0.3">
      <c r="A464" s="129"/>
      <c r="B464" s="150"/>
      <c r="C464" s="150"/>
      <c r="D464" s="150"/>
      <c r="E464" s="140" t="str">
        <f t="shared" si="24"/>
        <v/>
      </c>
      <c r="F464" s="157"/>
      <c r="G464" s="145">
        <f t="shared" si="22"/>
        <v>0</v>
      </c>
      <c r="H464" s="140" t="str">
        <f t="shared" si="23"/>
        <v/>
      </c>
      <c r="J464" s="147" t="str">
        <f>IFERROR(SUMIFS(当年实际!$V:$V,当年实际!$J:$J,$C464,当年实际!$C:$C,"&gt;="&amp;DATE(YEAR(主页!$D$2),1,1),当年实际!$C:$C,"&lt;="&amp;EOMONTH(DATE(YEAR(主页!$D$2),MONTH(主页!$D$2),1),0))/SUMIFS(当年实际!$P:$P,当年实际!$J:$J,$C464,当年实际!$C:$C,"&gt;="&amp;DATE(YEAR(主页!$D$2),1,1),当年实际!$C:$C,"&lt;="&amp;EOMONTH(DATE(YEAR(主页!$D$2),MONTH(主页!$D$2),1),0)),"")</f>
        <v/>
      </c>
    </row>
    <row r="465" spans="1:10" x14ac:dyDescent="0.3">
      <c r="A465" s="129"/>
      <c r="B465" s="150"/>
      <c r="C465" s="150"/>
      <c r="D465" s="150"/>
      <c r="E465" s="140" t="str">
        <f t="shared" si="24"/>
        <v/>
      </c>
      <c r="F465" s="157"/>
      <c r="G465" s="145">
        <f t="shared" si="22"/>
        <v>0</v>
      </c>
      <c r="H465" s="140" t="str">
        <f t="shared" si="23"/>
        <v/>
      </c>
      <c r="J465" s="147" t="str">
        <f>IFERROR(SUMIFS(当年实际!$V:$V,当年实际!$J:$J,$C465,当年实际!$C:$C,"&gt;="&amp;DATE(YEAR(主页!$D$2),1,1),当年实际!$C:$C,"&lt;="&amp;EOMONTH(DATE(YEAR(主页!$D$2),MONTH(主页!$D$2),1),0))/SUMIFS(当年实际!$P:$P,当年实际!$J:$J,$C465,当年实际!$C:$C,"&gt;="&amp;DATE(YEAR(主页!$D$2),1,1),当年实际!$C:$C,"&lt;="&amp;EOMONTH(DATE(YEAR(主页!$D$2),MONTH(主页!$D$2),1),0)),"")</f>
        <v/>
      </c>
    </row>
    <row r="466" spans="1:10" x14ac:dyDescent="0.3">
      <c r="A466" s="129"/>
      <c r="B466" s="150"/>
      <c r="C466" s="150"/>
      <c r="D466" s="150"/>
      <c r="E466" s="140" t="str">
        <f t="shared" si="24"/>
        <v/>
      </c>
      <c r="F466" s="157"/>
      <c r="G466" s="145">
        <f t="shared" si="22"/>
        <v>0</v>
      </c>
      <c r="H466" s="140" t="str">
        <f t="shared" si="23"/>
        <v/>
      </c>
      <c r="J466" s="147" t="str">
        <f>IFERROR(SUMIFS(当年实际!$V:$V,当年实际!$J:$J,$C466,当年实际!$C:$C,"&gt;="&amp;DATE(YEAR(主页!$D$2),1,1),当年实际!$C:$C,"&lt;="&amp;EOMONTH(DATE(YEAR(主页!$D$2),MONTH(主页!$D$2),1),0))/SUMIFS(当年实际!$P:$P,当年实际!$J:$J,$C466,当年实际!$C:$C,"&gt;="&amp;DATE(YEAR(主页!$D$2),1,1),当年实际!$C:$C,"&lt;="&amp;EOMONTH(DATE(YEAR(主页!$D$2),MONTH(主页!$D$2),1),0)),"")</f>
        <v/>
      </c>
    </row>
    <row r="467" spans="1:10" x14ac:dyDescent="0.3">
      <c r="A467" s="129"/>
      <c r="B467" s="150"/>
      <c r="C467" s="150"/>
      <c r="D467" s="150"/>
      <c r="E467" s="140" t="str">
        <f t="shared" si="24"/>
        <v/>
      </c>
      <c r="F467" s="157"/>
      <c r="G467" s="145">
        <f t="shared" si="22"/>
        <v>0</v>
      </c>
      <c r="H467" s="140" t="str">
        <f t="shared" si="23"/>
        <v/>
      </c>
      <c r="J467" s="147" t="str">
        <f>IFERROR(SUMIFS(当年实际!$V:$V,当年实际!$J:$J,$C467,当年实际!$C:$C,"&gt;="&amp;DATE(YEAR(主页!$D$2),1,1),当年实际!$C:$C,"&lt;="&amp;EOMONTH(DATE(YEAR(主页!$D$2),MONTH(主页!$D$2),1),0))/SUMIFS(当年实际!$P:$P,当年实际!$J:$J,$C467,当年实际!$C:$C,"&gt;="&amp;DATE(YEAR(主页!$D$2),1,1),当年实际!$C:$C,"&lt;="&amp;EOMONTH(DATE(YEAR(主页!$D$2),MONTH(主页!$D$2),1),0)),"")</f>
        <v/>
      </c>
    </row>
    <row r="468" spans="1:10" x14ac:dyDescent="0.3">
      <c r="A468" s="129"/>
      <c r="B468" s="150"/>
      <c r="C468" s="150"/>
      <c r="D468" s="150"/>
      <c r="E468" s="140" t="str">
        <f t="shared" si="24"/>
        <v/>
      </c>
      <c r="F468" s="157"/>
      <c r="G468" s="145">
        <f t="shared" si="22"/>
        <v>0</v>
      </c>
      <c r="H468" s="140" t="str">
        <f t="shared" si="23"/>
        <v/>
      </c>
      <c r="J468" s="147" t="str">
        <f>IFERROR(SUMIFS(当年实际!$V:$V,当年实际!$J:$J,$C468,当年实际!$C:$C,"&gt;="&amp;DATE(YEAR(主页!$D$2),1,1),当年实际!$C:$C,"&lt;="&amp;EOMONTH(DATE(YEAR(主页!$D$2),MONTH(主页!$D$2),1),0))/SUMIFS(当年实际!$P:$P,当年实际!$J:$J,$C468,当年实际!$C:$C,"&gt;="&amp;DATE(YEAR(主页!$D$2),1,1),当年实际!$C:$C,"&lt;="&amp;EOMONTH(DATE(YEAR(主页!$D$2),MONTH(主页!$D$2),1),0)),"")</f>
        <v/>
      </c>
    </row>
    <row r="469" spans="1:10" x14ac:dyDescent="0.3">
      <c r="A469" s="129"/>
      <c r="B469" s="150"/>
      <c r="C469" s="150"/>
      <c r="D469" s="150"/>
      <c r="E469" s="140" t="str">
        <f t="shared" si="24"/>
        <v/>
      </c>
      <c r="F469" s="157"/>
      <c r="G469" s="145">
        <f t="shared" si="22"/>
        <v>0</v>
      </c>
      <c r="H469" s="140" t="str">
        <f t="shared" si="23"/>
        <v/>
      </c>
      <c r="J469" s="147" t="str">
        <f>IFERROR(SUMIFS(当年实际!$V:$V,当年实际!$J:$J,$C469,当年实际!$C:$C,"&gt;="&amp;DATE(YEAR(主页!$D$2),1,1),当年实际!$C:$C,"&lt;="&amp;EOMONTH(DATE(YEAR(主页!$D$2),MONTH(主页!$D$2),1),0))/SUMIFS(当年实际!$P:$P,当年实际!$J:$J,$C469,当年实际!$C:$C,"&gt;="&amp;DATE(YEAR(主页!$D$2),1,1),当年实际!$C:$C,"&lt;="&amp;EOMONTH(DATE(YEAR(主页!$D$2),MONTH(主页!$D$2),1),0)),"")</f>
        <v/>
      </c>
    </row>
    <row r="470" spans="1:10" x14ac:dyDescent="0.3">
      <c r="A470" s="129"/>
      <c r="B470" s="150"/>
      <c r="C470" s="150"/>
      <c r="D470" s="150"/>
      <c r="E470" s="140" t="str">
        <f t="shared" si="24"/>
        <v/>
      </c>
      <c r="F470" s="157"/>
      <c r="G470" s="145">
        <f t="shared" si="22"/>
        <v>0</v>
      </c>
      <c r="H470" s="140" t="str">
        <f t="shared" si="23"/>
        <v/>
      </c>
      <c r="J470" s="147" t="str">
        <f>IFERROR(SUMIFS(当年实际!$V:$V,当年实际!$J:$J,$C470,当年实际!$C:$C,"&gt;="&amp;DATE(YEAR(主页!$D$2),1,1),当年实际!$C:$C,"&lt;="&amp;EOMONTH(DATE(YEAR(主页!$D$2),MONTH(主页!$D$2),1),0))/SUMIFS(当年实际!$P:$P,当年实际!$J:$J,$C470,当年实际!$C:$C,"&gt;="&amp;DATE(YEAR(主页!$D$2),1,1),当年实际!$C:$C,"&lt;="&amp;EOMONTH(DATE(YEAR(主页!$D$2),MONTH(主页!$D$2),1),0)),"")</f>
        <v/>
      </c>
    </row>
    <row r="471" spans="1:10" x14ac:dyDescent="0.3">
      <c r="A471" s="129"/>
      <c r="B471" s="150"/>
      <c r="C471" s="150"/>
      <c r="D471" s="150"/>
      <c r="E471" s="140" t="str">
        <f t="shared" si="24"/>
        <v/>
      </c>
      <c r="F471" s="157"/>
      <c r="G471" s="145">
        <f t="shared" si="22"/>
        <v>0</v>
      </c>
      <c r="H471" s="140" t="str">
        <f t="shared" si="23"/>
        <v/>
      </c>
      <c r="J471" s="147" t="str">
        <f>IFERROR(SUMIFS(当年实际!$V:$V,当年实际!$J:$J,$C471,当年实际!$C:$C,"&gt;="&amp;DATE(YEAR(主页!$D$2),1,1),当年实际!$C:$C,"&lt;="&amp;EOMONTH(DATE(YEAR(主页!$D$2),MONTH(主页!$D$2),1),0))/SUMIFS(当年实际!$P:$P,当年实际!$J:$J,$C471,当年实际!$C:$C,"&gt;="&amp;DATE(YEAR(主页!$D$2),1,1),当年实际!$C:$C,"&lt;="&amp;EOMONTH(DATE(YEAR(主页!$D$2),MONTH(主页!$D$2),1),0)),"")</f>
        <v/>
      </c>
    </row>
    <row r="472" spans="1:10" x14ac:dyDescent="0.3">
      <c r="A472" s="129"/>
      <c r="B472" s="150"/>
      <c r="C472" s="150"/>
      <c r="D472" s="150"/>
      <c r="E472" s="140" t="str">
        <f t="shared" si="24"/>
        <v/>
      </c>
      <c r="F472" s="157"/>
      <c r="G472" s="145">
        <f t="shared" si="22"/>
        <v>0</v>
      </c>
      <c r="H472" s="140" t="str">
        <f t="shared" si="23"/>
        <v/>
      </c>
      <c r="J472" s="147" t="str">
        <f>IFERROR(SUMIFS(当年实际!$V:$V,当年实际!$J:$J,$C472,当年实际!$C:$C,"&gt;="&amp;DATE(YEAR(主页!$D$2),1,1),当年实际!$C:$C,"&lt;="&amp;EOMONTH(DATE(YEAR(主页!$D$2),MONTH(主页!$D$2),1),0))/SUMIFS(当年实际!$P:$P,当年实际!$J:$J,$C472,当年实际!$C:$C,"&gt;="&amp;DATE(YEAR(主页!$D$2),1,1),当年实际!$C:$C,"&lt;="&amp;EOMONTH(DATE(YEAR(主页!$D$2),MONTH(主页!$D$2),1),0)),"")</f>
        <v/>
      </c>
    </row>
    <row r="473" spans="1:10" x14ac:dyDescent="0.3">
      <c r="A473" s="129"/>
      <c r="B473" s="150"/>
      <c r="C473" s="150"/>
      <c r="D473" s="150"/>
      <c r="E473" s="140" t="str">
        <f t="shared" si="24"/>
        <v/>
      </c>
      <c r="F473" s="157"/>
      <c r="G473" s="145">
        <f t="shared" si="22"/>
        <v>0</v>
      </c>
      <c r="H473" s="140" t="str">
        <f t="shared" si="23"/>
        <v/>
      </c>
      <c r="J473" s="147" t="str">
        <f>IFERROR(SUMIFS(当年实际!$V:$V,当年实际!$J:$J,$C473,当年实际!$C:$C,"&gt;="&amp;DATE(YEAR(主页!$D$2),1,1),当年实际!$C:$C,"&lt;="&amp;EOMONTH(DATE(YEAR(主页!$D$2),MONTH(主页!$D$2),1),0))/SUMIFS(当年实际!$P:$P,当年实际!$J:$J,$C473,当年实际!$C:$C,"&gt;="&amp;DATE(YEAR(主页!$D$2),1,1),当年实际!$C:$C,"&lt;="&amp;EOMONTH(DATE(YEAR(主页!$D$2),MONTH(主页!$D$2),1),0)),"")</f>
        <v/>
      </c>
    </row>
    <row r="474" spans="1:10" x14ac:dyDescent="0.3">
      <c r="A474" s="129"/>
      <c r="B474" s="150"/>
      <c r="C474" s="150"/>
      <c r="D474" s="150"/>
      <c r="E474" s="140" t="str">
        <f t="shared" si="24"/>
        <v/>
      </c>
      <c r="F474" s="157"/>
      <c r="G474" s="145">
        <f t="shared" si="22"/>
        <v>0</v>
      </c>
      <c r="H474" s="140" t="str">
        <f t="shared" si="23"/>
        <v/>
      </c>
      <c r="J474" s="147" t="str">
        <f>IFERROR(SUMIFS(当年实际!$V:$V,当年实际!$J:$J,$C474,当年实际!$C:$C,"&gt;="&amp;DATE(YEAR(主页!$D$2),1,1),当年实际!$C:$C,"&lt;="&amp;EOMONTH(DATE(YEAR(主页!$D$2),MONTH(主页!$D$2),1),0))/SUMIFS(当年实际!$P:$P,当年实际!$J:$J,$C474,当年实际!$C:$C,"&gt;="&amp;DATE(YEAR(主页!$D$2),1,1),当年实际!$C:$C,"&lt;="&amp;EOMONTH(DATE(YEAR(主页!$D$2),MONTH(主页!$D$2),1),0)),"")</f>
        <v/>
      </c>
    </row>
    <row r="475" spans="1:10" x14ac:dyDescent="0.3">
      <c r="A475" s="129"/>
      <c r="B475" s="150"/>
      <c r="C475" s="150"/>
      <c r="D475" s="150"/>
      <c r="E475" s="140" t="str">
        <f t="shared" si="24"/>
        <v/>
      </c>
      <c r="F475" s="157"/>
      <c r="G475" s="145">
        <f t="shared" si="22"/>
        <v>0</v>
      </c>
      <c r="H475" s="140" t="str">
        <f t="shared" si="23"/>
        <v/>
      </c>
      <c r="J475" s="147" t="str">
        <f>IFERROR(SUMIFS(当年实际!$V:$V,当年实际!$J:$J,$C475,当年实际!$C:$C,"&gt;="&amp;DATE(YEAR(主页!$D$2),1,1),当年实际!$C:$C,"&lt;="&amp;EOMONTH(DATE(YEAR(主页!$D$2),MONTH(主页!$D$2),1),0))/SUMIFS(当年实际!$P:$P,当年实际!$J:$J,$C475,当年实际!$C:$C,"&gt;="&amp;DATE(YEAR(主页!$D$2),1,1),当年实际!$C:$C,"&lt;="&amp;EOMONTH(DATE(YEAR(主页!$D$2),MONTH(主页!$D$2),1),0)),"")</f>
        <v/>
      </c>
    </row>
    <row r="476" spans="1:10" x14ac:dyDescent="0.3">
      <c r="A476" s="129"/>
      <c r="B476" s="150"/>
      <c r="C476" s="150"/>
      <c r="D476" s="150"/>
      <c r="E476" s="140" t="str">
        <f t="shared" si="24"/>
        <v/>
      </c>
      <c r="F476" s="157"/>
      <c r="G476" s="145">
        <f t="shared" si="22"/>
        <v>0</v>
      </c>
      <c r="H476" s="140" t="str">
        <f t="shared" si="23"/>
        <v/>
      </c>
      <c r="J476" s="147" t="str">
        <f>IFERROR(SUMIFS(当年实际!$V:$V,当年实际!$J:$J,$C476,当年实际!$C:$C,"&gt;="&amp;DATE(YEAR(主页!$D$2),1,1),当年实际!$C:$C,"&lt;="&amp;EOMONTH(DATE(YEAR(主页!$D$2),MONTH(主页!$D$2),1),0))/SUMIFS(当年实际!$P:$P,当年实际!$J:$J,$C476,当年实际!$C:$C,"&gt;="&amp;DATE(YEAR(主页!$D$2),1,1),当年实际!$C:$C,"&lt;="&amp;EOMONTH(DATE(YEAR(主页!$D$2),MONTH(主页!$D$2),1),0)),"")</f>
        <v/>
      </c>
    </row>
    <row r="477" spans="1:10" x14ac:dyDescent="0.3">
      <c r="A477" s="129"/>
      <c r="B477" s="150"/>
      <c r="C477" s="150"/>
      <c r="D477" s="150"/>
      <c r="E477" s="140" t="str">
        <f t="shared" si="24"/>
        <v/>
      </c>
      <c r="F477" s="157"/>
      <c r="G477" s="145">
        <f t="shared" si="22"/>
        <v>0</v>
      </c>
      <c r="H477" s="140" t="str">
        <f t="shared" si="23"/>
        <v/>
      </c>
      <c r="J477" s="147" t="str">
        <f>IFERROR(SUMIFS(当年实际!$V:$V,当年实际!$J:$J,$C477,当年实际!$C:$C,"&gt;="&amp;DATE(YEAR(主页!$D$2),1,1),当年实际!$C:$C,"&lt;="&amp;EOMONTH(DATE(YEAR(主页!$D$2),MONTH(主页!$D$2),1),0))/SUMIFS(当年实际!$P:$P,当年实际!$J:$J,$C477,当年实际!$C:$C,"&gt;="&amp;DATE(YEAR(主页!$D$2),1,1),当年实际!$C:$C,"&lt;="&amp;EOMONTH(DATE(YEAR(主页!$D$2),MONTH(主页!$D$2),1),0)),"")</f>
        <v/>
      </c>
    </row>
    <row r="478" spans="1:10" x14ac:dyDescent="0.3">
      <c r="A478" s="129"/>
      <c r="B478" s="150"/>
      <c r="C478" s="150"/>
      <c r="D478" s="150"/>
      <c r="E478" s="140" t="str">
        <f t="shared" si="24"/>
        <v/>
      </c>
      <c r="F478" s="157"/>
      <c r="G478" s="145">
        <f t="shared" si="22"/>
        <v>0</v>
      </c>
      <c r="H478" s="140" t="str">
        <f t="shared" si="23"/>
        <v/>
      </c>
      <c r="J478" s="147" t="str">
        <f>IFERROR(SUMIFS(当年实际!$V:$V,当年实际!$J:$J,$C478,当年实际!$C:$C,"&gt;="&amp;DATE(YEAR(主页!$D$2),1,1),当年实际!$C:$C,"&lt;="&amp;EOMONTH(DATE(YEAR(主页!$D$2),MONTH(主页!$D$2),1),0))/SUMIFS(当年实际!$P:$P,当年实际!$J:$J,$C478,当年实际!$C:$C,"&gt;="&amp;DATE(YEAR(主页!$D$2),1,1),当年实际!$C:$C,"&lt;="&amp;EOMONTH(DATE(YEAR(主页!$D$2),MONTH(主页!$D$2),1),0)),"")</f>
        <v/>
      </c>
    </row>
    <row r="479" spans="1:10" x14ac:dyDescent="0.3">
      <c r="A479" s="129"/>
      <c r="B479" s="150"/>
      <c r="C479" s="150"/>
      <c r="D479" s="150"/>
      <c r="E479" s="140" t="str">
        <f t="shared" si="24"/>
        <v/>
      </c>
      <c r="F479" s="157"/>
      <c r="G479" s="145">
        <f t="shared" ref="G479:G542" si="25">D479*F479</f>
        <v>0</v>
      </c>
      <c r="H479" s="140" t="str">
        <f t="shared" ref="H479:H542" si="26">IF(G479/SUM(G:G)=0,"",G479/SUM(G:G))</f>
        <v/>
      </c>
      <c r="J479" s="147" t="str">
        <f>IFERROR(SUMIFS(当年实际!$V:$V,当年实际!$J:$J,$C479,当年实际!$C:$C,"&gt;="&amp;DATE(YEAR(主页!$D$2),1,1),当年实际!$C:$C,"&lt;="&amp;EOMONTH(DATE(YEAR(主页!$D$2),MONTH(主页!$D$2),1),0))/SUMIFS(当年实际!$P:$P,当年实际!$J:$J,$C479,当年实际!$C:$C,"&gt;="&amp;DATE(YEAR(主页!$D$2),1,1),当年实际!$C:$C,"&lt;="&amp;EOMONTH(DATE(YEAR(主页!$D$2),MONTH(主页!$D$2),1),0)),"")</f>
        <v/>
      </c>
    </row>
    <row r="480" spans="1:10" x14ac:dyDescent="0.3">
      <c r="A480" s="129"/>
      <c r="B480" s="150"/>
      <c r="C480" s="150"/>
      <c r="D480" s="150"/>
      <c r="E480" s="140" t="str">
        <f t="shared" si="24"/>
        <v/>
      </c>
      <c r="F480" s="157"/>
      <c r="G480" s="145">
        <f t="shared" si="25"/>
        <v>0</v>
      </c>
      <c r="H480" s="140" t="str">
        <f t="shared" si="26"/>
        <v/>
      </c>
      <c r="J480" s="147" t="str">
        <f>IFERROR(SUMIFS(当年实际!$V:$V,当年实际!$J:$J,$C480,当年实际!$C:$C,"&gt;="&amp;DATE(YEAR(主页!$D$2),1,1),当年实际!$C:$C,"&lt;="&amp;EOMONTH(DATE(YEAR(主页!$D$2),MONTH(主页!$D$2),1),0))/SUMIFS(当年实际!$P:$P,当年实际!$J:$J,$C480,当年实际!$C:$C,"&gt;="&amp;DATE(YEAR(主页!$D$2),1,1),当年实际!$C:$C,"&lt;="&amp;EOMONTH(DATE(YEAR(主页!$D$2),MONTH(主页!$D$2),1),0)),"")</f>
        <v/>
      </c>
    </row>
    <row r="481" spans="1:10" x14ac:dyDescent="0.3">
      <c r="A481" s="129"/>
      <c r="B481" s="150"/>
      <c r="C481" s="150"/>
      <c r="D481" s="150"/>
      <c r="E481" s="140" t="str">
        <f t="shared" si="24"/>
        <v/>
      </c>
      <c r="F481" s="157"/>
      <c r="G481" s="145">
        <f t="shared" si="25"/>
        <v>0</v>
      </c>
      <c r="H481" s="140" t="str">
        <f t="shared" si="26"/>
        <v/>
      </c>
      <c r="J481" s="147" t="str">
        <f>IFERROR(SUMIFS(当年实际!$V:$V,当年实际!$J:$J,$C481,当年实际!$C:$C,"&gt;="&amp;DATE(YEAR(主页!$D$2),1,1),当年实际!$C:$C,"&lt;="&amp;EOMONTH(DATE(YEAR(主页!$D$2),MONTH(主页!$D$2),1),0))/SUMIFS(当年实际!$P:$P,当年实际!$J:$J,$C481,当年实际!$C:$C,"&gt;="&amp;DATE(YEAR(主页!$D$2),1,1),当年实际!$C:$C,"&lt;="&amp;EOMONTH(DATE(YEAR(主页!$D$2),MONTH(主页!$D$2),1),0)),"")</f>
        <v/>
      </c>
    </row>
    <row r="482" spans="1:10" x14ac:dyDescent="0.3">
      <c r="A482" s="129"/>
      <c r="B482" s="150"/>
      <c r="C482" s="150"/>
      <c r="D482" s="150"/>
      <c r="E482" s="140" t="str">
        <f t="shared" si="24"/>
        <v/>
      </c>
      <c r="F482" s="157"/>
      <c r="G482" s="145">
        <f t="shared" si="25"/>
        <v>0</v>
      </c>
      <c r="H482" s="140" t="str">
        <f t="shared" si="26"/>
        <v/>
      </c>
      <c r="J482" s="147" t="str">
        <f>IFERROR(SUMIFS(当年实际!$V:$V,当年实际!$J:$J,$C482,当年实际!$C:$C,"&gt;="&amp;DATE(YEAR(主页!$D$2),1,1),当年实际!$C:$C,"&lt;="&amp;EOMONTH(DATE(YEAR(主页!$D$2),MONTH(主页!$D$2),1),0))/SUMIFS(当年实际!$P:$P,当年实际!$J:$J,$C482,当年实际!$C:$C,"&gt;="&amp;DATE(YEAR(主页!$D$2),1,1),当年实际!$C:$C,"&lt;="&amp;EOMONTH(DATE(YEAR(主页!$D$2),MONTH(主页!$D$2),1),0)),"")</f>
        <v/>
      </c>
    </row>
    <row r="483" spans="1:10" x14ac:dyDescent="0.3">
      <c r="A483" s="129"/>
      <c r="B483" s="150"/>
      <c r="C483" s="150"/>
      <c r="D483" s="150"/>
      <c r="E483" s="140" t="str">
        <f t="shared" si="24"/>
        <v/>
      </c>
      <c r="F483" s="157"/>
      <c r="G483" s="145">
        <f t="shared" si="25"/>
        <v>0</v>
      </c>
      <c r="H483" s="140" t="str">
        <f t="shared" si="26"/>
        <v/>
      </c>
      <c r="J483" s="147" t="str">
        <f>IFERROR(SUMIFS(当年实际!$V:$V,当年实际!$J:$J,$C483,当年实际!$C:$C,"&gt;="&amp;DATE(YEAR(主页!$D$2),1,1),当年实际!$C:$C,"&lt;="&amp;EOMONTH(DATE(YEAR(主页!$D$2),MONTH(主页!$D$2),1),0))/SUMIFS(当年实际!$P:$P,当年实际!$J:$J,$C483,当年实际!$C:$C,"&gt;="&amp;DATE(YEAR(主页!$D$2),1,1),当年实际!$C:$C,"&lt;="&amp;EOMONTH(DATE(YEAR(主页!$D$2),MONTH(主页!$D$2),1),0)),"")</f>
        <v/>
      </c>
    </row>
    <row r="484" spans="1:10" x14ac:dyDescent="0.3">
      <c r="A484" s="129"/>
      <c r="B484" s="150"/>
      <c r="C484" s="150"/>
      <c r="D484" s="150"/>
      <c r="E484" s="140" t="str">
        <f t="shared" si="24"/>
        <v/>
      </c>
      <c r="F484" s="157"/>
      <c r="G484" s="145">
        <f t="shared" si="25"/>
        <v>0</v>
      </c>
      <c r="H484" s="140" t="str">
        <f t="shared" si="26"/>
        <v/>
      </c>
      <c r="J484" s="147" t="str">
        <f>IFERROR(SUMIFS(当年实际!$V:$V,当年实际!$J:$J,$C484,当年实际!$C:$C,"&gt;="&amp;DATE(YEAR(主页!$D$2),1,1),当年实际!$C:$C,"&lt;="&amp;EOMONTH(DATE(YEAR(主页!$D$2),MONTH(主页!$D$2),1),0))/SUMIFS(当年实际!$P:$P,当年实际!$J:$J,$C484,当年实际!$C:$C,"&gt;="&amp;DATE(YEAR(主页!$D$2),1,1),当年实际!$C:$C,"&lt;="&amp;EOMONTH(DATE(YEAR(主页!$D$2),MONTH(主页!$D$2),1),0)),"")</f>
        <v/>
      </c>
    </row>
    <row r="485" spans="1:10" x14ac:dyDescent="0.3">
      <c r="A485" s="129"/>
      <c r="B485" s="150"/>
      <c r="C485" s="150"/>
      <c r="D485" s="150"/>
      <c r="E485" s="140" t="str">
        <f t="shared" si="24"/>
        <v/>
      </c>
      <c r="F485" s="157"/>
      <c r="G485" s="145">
        <f t="shared" si="25"/>
        <v>0</v>
      </c>
      <c r="H485" s="140" t="str">
        <f t="shared" si="26"/>
        <v/>
      </c>
      <c r="J485" s="147" t="str">
        <f>IFERROR(SUMIFS(当年实际!$V:$V,当年实际!$J:$J,$C485,当年实际!$C:$C,"&gt;="&amp;DATE(YEAR(主页!$D$2),1,1),当年实际!$C:$C,"&lt;="&amp;EOMONTH(DATE(YEAR(主页!$D$2),MONTH(主页!$D$2),1),0))/SUMIFS(当年实际!$P:$P,当年实际!$J:$J,$C485,当年实际!$C:$C,"&gt;="&amp;DATE(YEAR(主页!$D$2),1,1),当年实际!$C:$C,"&lt;="&amp;EOMONTH(DATE(YEAR(主页!$D$2),MONTH(主页!$D$2),1),0)),"")</f>
        <v/>
      </c>
    </row>
    <row r="486" spans="1:10" x14ac:dyDescent="0.3">
      <c r="A486" s="129"/>
      <c r="B486" s="150"/>
      <c r="C486" s="150"/>
      <c r="D486" s="150"/>
      <c r="E486" s="140" t="str">
        <f t="shared" si="24"/>
        <v/>
      </c>
      <c r="F486" s="157"/>
      <c r="G486" s="145">
        <f t="shared" si="25"/>
        <v>0</v>
      </c>
      <c r="H486" s="140" t="str">
        <f t="shared" si="26"/>
        <v/>
      </c>
      <c r="J486" s="147" t="str">
        <f>IFERROR(SUMIFS(当年实际!$V:$V,当年实际!$J:$J,$C486,当年实际!$C:$C,"&gt;="&amp;DATE(YEAR(主页!$D$2),1,1),当年实际!$C:$C,"&lt;="&amp;EOMONTH(DATE(YEAR(主页!$D$2),MONTH(主页!$D$2),1),0))/SUMIFS(当年实际!$P:$P,当年实际!$J:$J,$C486,当年实际!$C:$C,"&gt;="&amp;DATE(YEAR(主页!$D$2),1,1),当年实际!$C:$C,"&lt;="&amp;EOMONTH(DATE(YEAR(主页!$D$2),MONTH(主页!$D$2),1),0)),"")</f>
        <v/>
      </c>
    </row>
    <row r="487" spans="1:10" x14ac:dyDescent="0.3">
      <c r="A487" s="129"/>
      <c r="B487" s="150"/>
      <c r="C487" s="150"/>
      <c r="D487" s="150"/>
      <c r="E487" s="140" t="str">
        <f t="shared" si="24"/>
        <v/>
      </c>
      <c r="F487" s="157"/>
      <c r="G487" s="145">
        <f t="shared" si="25"/>
        <v>0</v>
      </c>
      <c r="H487" s="140" t="str">
        <f t="shared" si="26"/>
        <v/>
      </c>
      <c r="J487" s="147" t="str">
        <f>IFERROR(SUMIFS(当年实际!$V:$V,当年实际!$J:$J,$C487,当年实际!$C:$C,"&gt;="&amp;DATE(YEAR(主页!$D$2),1,1),当年实际!$C:$C,"&lt;="&amp;EOMONTH(DATE(YEAR(主页!$D$2),MONTH(主页!$D$2),1),0))/SUMIFS(当年实际!$P:$P,当年实际!$J:$J,$C487,当年实际!$C:$C,"&gt;="&amp;DATE(YEAR(主页!$D$2),1,1),当年实际!$C:$C,"&lt;="&amp;EOMONTH(DATE(YEAR(主页!$D$2),MONTH(主页!$D$2),1),0)),"")</f>
        <v/>
      </c>
    </row>
    <row r="488" spans="1:10" x14ac:dyDescent="0.3">
      <c r="A488" s="129"/>
      <c r="B488" s="150"/>
      <c r="C488" s="150"/>
      <c r="D488" s="150"/>
      <c r="E488" s="140" t="str">
        <f t="shared" si="24"/>
        <v/>
      </c>
      <c r="F488" s="157"/>
      <c r="G488" s="145">
        <f t="shared" si="25"/>
        <v>0</v>
      </c>
      <c r="H488" s="140" t="str">
        <f t="shared" si="26"/>
        <v/>
      </c>
      <c r="J488" s="147" t="str">
        <f>IFERROR(SUMIFS(当年实际!$V:$V,当年实际!$J:$J,$C488,当年实际!$C:$C,"&gt;="&amp;DATE(YEAR(主页!$D$2),1,1),当年实际!$C:$C,"&lt;="&amp;EOMONTH(DATE(YEAR(主页!$D$2),MONTH(主页!$D$2),1),0))/SUMIFS(当年实际!$P:$P,当年实际!$J:$J,$C488,当年实际!$C:$C,"&gt;="&amp;DATE(YEAR(主页!$D$2),1,1),当年实际!$C:$C,"&lt;="&amp;EOMONTH(DATE(YEAR(主页!$D$2),MONTH(主页!$D$2),1),0)),"")</f>
        <v/>
      </c>
    </row>
    <row r="489" spans="1:10" x14ac:dyDescent="0.3">
      <c r="A489" s="129"/>
      <c r="B489" s="150"/>
      <c r="C489" s="150"/>
      <c r="D489" s="150"/>
      <c r="E489" s="140" t="str">
        <f t="shared" si="24"/>
        <v/>
      </c>
      <c r="F489" s="157"/>
      <c r="G489" s="145">
        <f t="shared" si="25"/>
        <v>0</v>
      </c>
      <c r="H489" s="140" t="str">
        <f t="shared" si="26"/>
        <v/>
      </c>
      <c r="J489" s="147" t="str">
        <f>IFERROR(SUMIFS(当年实际!$V:$V,当年实际!$J:$J,$C489,当年实际!$C:$C,"&gt;="&amp;DATE(YEAR(主页!$D$2),1,1),当年实际!$C:$C,"&lt;="&amp;EOMONTH(DATE(YEAR(主页!$D$2),MONTH(主页!$D$2),1),0))/SUMIFS(当年实际!$P:$P,当年实际!$J:$J,$C489,当年实际!$C:$C,"&gt;="&amp;DATE(YEAR(主页!$D$2),1,1),当年实际!$C:$C,"&lt;="&amp;EOMONTH(DATE(YEAR(主页!$D$2),MONTH(主页!$D$2),1),0)),"")</f>
        <v/>
      </c>
    </row>
    <row r="490" spans="1:10" x14ac:dyDescent="0.3">
      <c r="A490" s="129"/>
      <c r="B490" s="150"/>
      <c r="C490" s="150"/>
      <c r="D490" s="150"/>
      <c r="E490" s="140" t="str">
        <f t="shared" si="24"/>
        <v/>
      </c>
      <c r="F490" s="157"/>
      <c r="G490" s="145">
        <f t="shared" si="25"/>
        <v>0</v>
      </c>
      <c r="H490" s="140" t="str">
        <f t="shared" si="26"/>
        <v/>
      </c>
      <c r="J490" s="147" t="str">
        <f>IFERROR(SUMIFS(当年实际!$V:$V,当年实际!$J:$J,$C490,当年实际!$C:$C,"&gt;="&amp;DATE(YEAR(主页!$D$2),1,1),当年实际!$C:$C,"&lt;="&amp;EOMONTH(DATE(YEAR(主页!$D$2),MONTH(主页!$D$2),1),0))/SUMIFS(当年实际!$P:$P,当年实际!$J:$J,$C490,当年实际!$C:$C,"&gt;="&amp;DATE(YEAR(主页!$D$2),1,1),当年实际!$C:$C,"&lt;="&amp;EOMONTH(DATE(YEAR(主页!$D$2),MONTH(主页!$D$2),1),0)),"")</f>
        <v/>
      </c>
    </row>
    <row r="491" spans="1:10" x14ac:dyDescent="0.3">
      <c r="A491" s="129"/>
      <c r="B491" s="150"/>
      <c r="C491" s="150"/>
      <c r="D491" s="150"/>
      <c r="E491" s="140" t="str">
        <f t="shared" si="24"/>
        <v/>
      </c>
      <c r="F491" s="157"/>
      <c r="G491" s="145">
        <f t="shared" si="25"/>
        <v>0</v>
      </c>
      <c r="H491" s="140" t="str">
        <f t="shared" si="26"/>
        <v/>
      </c>
      <c r="J491" s="147" t="str">
        <f>IFERROR(SUMIFS(当年实际!$V:$V,当年实际!$J:$J,$C491,当年实际!$C:$C,"&gt;="&amp;DATE(YEAR(主页!$D$2),1,1),当年实际!$C:$C,"&lt;="&amp;EOMONTH(DATE(YEAR(主页!$D$2),MONTH(主页!$D$2),1),0))/SUMIFS(当年实际!$P:$P,当年实际!$J:$J,$C491,当年实际!$C:$C,"&gt;="&amp;DATE(YEAR(主页!$D$2),1,1),当年实际!$C:$C,"&lt;="&amp;EOMONTH(DATE(YEAR(主页!$D$2),MONTH(主页!$D$2),1),0)),"")</f>
        <v/>
      </c>
    </row>
    <row r="492" spans="1:10" x14ac:dyDescent="0.3">
      <c r="A492" s="129"/>
      <c r="B492" s="150"/>
      <c r="C492" s="150"/>
      <c r="D492" s="150"/>
      <c r="E492" s="140" t="str">
        <f t="shared" si="24"/>
        <v/>
      </c>
      <c r="F492" s="157"/>
      <c r="G492" s="145">
        <f t="shared" si="25"/>
        <v>0</v>
      </c>
      <c r="H492" s="140" t="str">
        <f t="shared" si="26"/>
        <v/>
      </c>
      <c r="J492" s="147" t="str">
        <f>IFERROR(SUMIFS(当年实际!$V:$V,当年实际!$J:$J,$C492,当年实际!$C:$C,"&gt;="&amp;DATE(YEAR(主页!$D$2),1,1),当年实际!$C:$C,"&lt;="&amp;EOMONTH(DATE(YEAR(主页!$D$2),MONTH(主页!$D$2),1),0))/SUMIFS(当年实际!$P:$P,当年实际!$J:$J,$C492,当年实际!$C:$C,"&gt;="&amp;DATE(YEAR(主页!$D$2),1,1),当年实际!$C:$C,"&lt;="&amp;EOMONTH(DATE(YEAR(主页!$D$2),MONTH(主页!$D$2),1),0)),"")</f>
        <v/>
      </c>
    </row>
    <row r="493" spans="1:10" x14ac:dyDescent="0.3">
      <c r="A493" s="129"/>
      <c r="B493" s="150"/>
      <c r="C493" s="150"/>
      <c r="D493" s="150"/>
      <c r="E493" s="140" t="str">
        <f t="shared" si="24"/>
        <v/>
      </c>
      <c r="F493" s="157"/>
      <c r="G493" s="145">
        <f t="shared" si="25"/>
        <v>0</v>
      </c>
      <c r="H493" s="140" t="str">
        <f t="shared" si="26"/>
        <v/>
      </c>
      <c r="J493" s="147" t="str">
        <f>IFERROR(SUMIFS(当年实际!$V:$V,当年实际!$J:$J,$C493,当年实际!$C:$C,"&gt;="&amp;DATE(YEAR(主页!$D$2),1,1),当年实际!$C:$C,"&lt;="&amp;EOMONTH(DATE(YEAR(主页!$D$2),MONTH(主页!$D$2),1),0))/SUMIFS(当年实际!$P:$P,当年实际!$J:$J,$C493,当年实际!$C:$C,"&gt;="&amp;DATE(YEAR(主页!$D$2),1,1),当年实际!$C:$C,"&lt;="&amp;EOMONTH(DATE(YEAR(主页!$D$2),MONTH(主页!$D$2),1),0)),"")</f>
        <v/>
      </c>
    </row>
    <row r="494" spans="1:10" x14ac:dyDescent="0.3">
      <c r="A494" s="129"/>
      <c r="B494" s="150"/>
      <c r="C494" s="150"/>
      <c r="D494" s="150"/>
      <c r="E494" s="140" t="str">
        <f t="shared" si="24"/>
        <v/>
      </c>
      <c r="F494" s="157"/>
      <c r="G494" s="145">
        <f t="shared" si="25"/>
        <v>0</v>
      </c>
      <c r="H494" s="140" t="str">
        <f t="shared" si="26"/>
        <v/>
      </c>
      <c r="J494" s="147" t="str">
        <f>IFERROR(SUMIFS(当年实际!$V:$V,当年实际!$J:$J,$C494,当年实际!$C:$C,"&gt;="&amp;DATE(YEAR(主页!$D$2),1,1),当年实际!$C:$C,"&lt;="&amp;EOMONTH(DATE(YEAR(主页!$D$2),MONTH(主页!$D$2),1),0))/SUMIFS(当年实际!$P:$P,当年实际!$J:$J,$C494,当年实际!$C:$C,"&gt;="&amp;DATE(YEAR(主页!$D$2),1,1),当年实际!$C:$C,"&lt;="&amp;EOMONTH(DATE(YEAR(主页!$D$2),MONTH(主页!$D$2),1),0)),"")</f>
        <v/>
      </c>
    </row>
    <row r="495" spans="1:10" x14ac:dyDescent="0.3">
      <c r="A495" s="129"/>
      <c r="B495" s="150"/>
      <c r="C495" s="150"/>
      <c r="D495" s="150"/>
      <c r="E495" s="140" t="str">
        <f t="shared" si="24"/>
        <v/>
      </c>
      <c r="F495" s="157"/>
      <c r="G495" s="145">
        <f t="shared" si="25"/>
        <v>0</v>
      </c>
      <c r="H495" s="140" t="str">
        <f t="shared" si="26"/>
        <v/>
      </c>
      <c r="J495" s="147" t="str">
        <f>IFERROR(SUMIFS(当年实际!$V:$V,当年实际!$J:$J,$C495,当年实际!$C:$C,"&gt;="&amp;DATE(YEAR(主页!$D$2),1,1),当年实际!$C:$C,"&lt;="&amp;EOMONTH(DATE(YEAR(主页!$D$2),MONTH(主页!$D$2),1),0))/SUMIFS(当年实际!$P:$P,当年实际!$J:$J,$C495,当年实际!$C:$C,"&gt;="&amp;DATE(YEAR(主页!$D$2),1,1),当年实际!$C:$C,"&lt;="&amp;EOMONTH(DATE(YEAR(主页!$D$2),MONTH(主页!$D$2),1),0)),"")</f>
        <v/>
      </c>
    </row>
    <row r="496" spans="1:10" x14ac:dyDescent="0.3">
      <c r="A496" s="129"/>
      <c r="B496" s="150"/>
      <c r="C496" s="150"/>
      <c r="D496" s="150"/>
      <c r="E496" s="140" t="str">
        <f t="shared" si="24"/>
        <v/>
      </c>
      <c r="F496" s="157"/>
      <c r="G496" s="145">
        <f t="shared" si="25"/>
        <v>0</v>
      </c>
      <c r="H496" s="140" t="str">
        <f t="shared" si="26"/>
        <v/>
      </c>
      <c r="J496" s="147" t="str">
        <f>IFERROR(SUMIFS(当年实际!$V:$V,当年实际!$J:$J,$C496,当年实际!$C:$C,"&gt;="&amp;DATE(YEAR(主页!$D$2),1,1),当年实际!$C:$C,"&lt;="&amp;EOMONTH(DATE(YEAR(主页!$D$2),MONTH(主页!$D$2),1),0))/SUMIFS(当年实际!$P:$P,当年实际!$J:$J,$C496,当年实际!$C:$C,"&gt;="&amp;DATE(YEAR(主页!$D$2),1,1),当年实际!$C:$C,"&lt;="&amp;EOMONTH(DATE(YEAR(主页!$D$2),MONTH(主页!$D$2),1),0)),"")</f>
        <v/>
      </c>
    </row>
    <row r="497" spans="1:10" x14ac:dyDescent="0.3">
      <c r="A497" s="129"/>
      <c r="B497" s="150"/>
      <c r="C497" s="150"/>
      <c r="D497" s="150"/>
      <c r="E497" s="140" t="str">
        <f t="shared" si="24"/>
        <v/>
      </c>
      <c r="F497" s="157"/>
      <c r="G497" s="145">
        <f t="shared" si="25"/>
        <v>0</v>
      </c>
      <c r="H497" s="140" t="str">
        <f t="shared" si="26"/>
        <v/>
      </c>
      <c r="J497" s="147" t="str">
        <f>IFERROR(SUMIFS(当年实际!$V:$V,当年实际!$J:$J,$C497,当年实际!$C:$C,"&gt;="&amp;DATE(YEAR(主页!$D$2),1,1),当年实际!$C:$C,"&lt;="&amp;EOMONTH(DATE(YEAR(主页!$D$2),MONTH(主页!$D$2),1),0))/SUMIFS(当年实际!$P:$P,当年实际!$J:$J,$C497,当年实际!$C:$C,"&gt;="&amp;DATE(YEAR(主页!$D$2),1,1),当年实际!$C:$C,"&lt;="&amp;EOMONTH(DATE(YEAR(主页!$D$2),MONTH(主页!$D$2),1),0)),"")</f>
        <v/>
      </c>
    </row>
    <row r="498" spans="1:10" x14ac:dyDescent="0.3">
      <c r="A498" s="129"/>
      <c r="B498" s="150"/>
      <c r="C498" s="150"/>
      <c r="D498" s="150"/>
      <c r="E498" s="140" t="str">
        <f t="shared" si="24"/>
        <v/>
      </c>
      <c r="F498" s="157"/>
      <c r="G498" s="145">
        <f t="shared" si="25"/>
        <v>0</v>
      </c>
      <c r="H498" s="140" t="str">
        <f t="shared" si="26"/>
        <v/>
      </c>
      <c r="J498" s="147" t="str">
        <f>IFERROR(SUMIFS(当年实际!$V:$V,当年实际!$J:$J,$C498,当年实际!$C:$C,"&gt;="&amp;DATE(YEAR(主页!$D$2),1,1),当年实际!$C:$C,"&lt;="&amp;EOMONTH(DATE(YEAR(主页!$D$2),MONTH(主页!$D$2),1),0))/SUMIFS(当年实际!$P:$P,当年实际!$J:$J,$C498,当年实际!$C:$C,"&gt;="&amp;DATE(YEAR(主页!$D$2),1,1),当年实际!$C:$C,"&lt;="&amp;EOMONTH(DATE(YEAR(主页!$D$2),MONTH(主页!$D$2),1),0)),"")</f>
        <v/>
      </c>
    </row>
    <row r="499" spans="1:10" x14ac:dyDescent="0.3">
      <c r="A499" s="129"/>
      <c r="B499" s="150"/>
      <c r="C499" s="150"/>
      <c r="D499" s="150"/>
      <c r="E499" s="140" t="str">
        <f t="shared" si="24"/>
        <v/>
      </c>
      <c r="F499" s="157"/>
      <c r="G499" s="145">
        <f t="shared" si="25"/>
        <v>0</v>
      </c>
      <c r="H499" s="140" t="str">
        <f t="shared" si="26"/>
        <v/>
      </c>
      <c r="J499" s="147" t="str">
        <f>IFERROR(SUMIFS(当年实际!$V:$V,当年实际!$J:$J,$C499,当年实际!$C:$C,"&gt;="&amp;DATE(YEAR(主页!$D$2),1,1),当年实际!$C:$C,"&lt;="&amp;EOMONTH(DATE(YEAR(主页!$D$2),MONTH(主页!$D$2),1),0))/SUMIFS(当年实际!$P:$P,当年实际!$J:$J,$C499,当年实际!$C:$C,"&gt;="&amp;DATE(YEAR(主页!$D$2),1,1),当年实际!$C:$C,"&lt;="&amp;EOMONTH(DATE(YEAR(主页!$D$2),MONTH(主页!$D$2),1),0)),"")</f>
        <v/>
      </c>
    </row>
    <row r="500" spans="1:10" x14ac:dyDescent="0.3">
      <c r="A500" s="129"/>
      <c r="B500" s="150"/>
      <c r="C500" s="150"/>
      <c r="D500" s="150"/>
      <c r="E500" s="140" t="str">
        <f t="shared" si="24"/>
        <v/>
      </c>
      <c r="F500" s="157"/>
      <c r="G500" s="145">
        <f t="shared" si="25"/>
        <v>0</v>
      </c>
      <c r="H500" s="140" t="str">
        <f t="shared" si="26"/>
        <v/>
      </c>
      <c r="J500" s="147" t="str">
        <f>IFERROR(SUMIFS(当年实际!$V:$V,当年实际!$J:$J,$C500,当年实际!$C:$C,"&gt;="&amp;DATE(YEAR(主页!$D$2),1,1),当年实际!$C:$C,"&lt;="&amp;EOMONTH(DATE(YEAR(主页!$D$2),MONTH(主页!$D$2),1),0))/SUMIFS(当年实际!$P:$P,当年实际!$J:$J,$C500,当年实际!$C:$C,"&gt;="&amp;DATE(YEAR(主页!$D$2),1,1),当年实际!$C:$C,"&lt;="&amp;EOMONTH(DATE(YEAR(主页!$D$2),MONTH(主页!$D$2),1),0)),"")</f>
        <v/>
      </c>
    </row>
    <row r="501" spans="1:10" x14ac:dyDescent="0.3">
      <c r="A501" s="129"/>
      <c r="B501" s="150"/>
      <c r="C501" s="150"/>
      <c r="D501" s="150"/>
      <c r="E501" s="140" t="str">
        <f t="shared" si="24"/>
        <v/>
      </c>
      <c r="F501" s="157"/>
      <c r="G501" s="145">
        <f t="shared" si="25"/>
        <v>0</v>
      </c>
      <c r="H501" s="140" t="str">
        <f t="shared" si="26"/>
        <v/>
      </c>
      <c r="J501" s="147" t="str">
        <f>IFERROR(SUMIFS(当年实际!$V:$V,当年实际!$J:$J,$C501,当年实际!$C:$C,"&gt;="&amp;DATE(YEAR(主页!$D$2),1,1),当年实际!$C:$C,"&lt;="&amp;EOMONTH(DATE(YEAR(主页!$D$2),MONTH(主页!$D$2),1),0))/SUMIFS(当年实际!$P:$P,当年实际!$J:$J,$C501,当年实际!$C:$C,"&gt;="&amp;DATE(YEAR(主页!$D$2),1,1),当年实际!$C:$C,"&lt;="&amp;EOMONTH(DATE(YEAR(主页!$D$2),MONTH(主页!$D$2),1),0)),"")</f>
        <v/>
      </c>
    </row>
    <row r="502" spans="1:10" x14ac:dyDescent="0.3">
      <c r="A502" s="129"/>
      <c r="B502" s="150"/>
      <c r="C502" s="150"/>
      <c r="D502" s="150"/>
      <c r="E502" s="140" t="str">
        <f t="shared" si="24"/>
        <v/>
      </c>
      <c r="F502" s="157"/>
      <c r="G502" s="145">
        <f t="shared" si="25"/>
        <v>0</v>
      </c>
      <c r="H502" s="140" t="str">
        <f t="shared" si="26"/>
        <v/>
      </c>
      <c r="J502" s="147" t="str">
        <f>IFERROR(SUMIFS(当年实际!$V:$V,当年实际!$J:$J,$C502,当年实际!$C:$C,"&gt;="&amp;DATE(YEAR(主页!$D$2),1,1),当年实际!$C:$C,"&lt;="&amp;EOMONTH(DATE(YEAR(主页!$D$2),MONTH(主页!$D$2),1),0))/SUMIFS(当年实际!$P:$P,当年实际!$J:$J,$C502,当年实际!$C:$C,"&gt;="&amp;DATE(YEAR(主页!$D$2),1,1),当年实际!$C:$C,"&lt;="&amp;EOMONTH(DATE(YEAR(主页!$D$2),MONTH(主页!$D$2),1),0)),"")</f>
        <v/>
      </c>
    </row>
    <row r="503" spans="1:10" x14ac:dyDescent="0.3">
      <c r="A503" s="129"/>
      <c r="B503" s="150"/>
      <c r="C503" s="150"/>
      <c r="D503" s="150"/>
      <c r="E503" s="140" t="str">
        <f t="shared" si="24"/>
        <v/>
      </c>
      <c r="F503" s="157"/>
      <c r="G503" s="145">
        <f t="shared" si="25"/>
        <v>0</v>
      </c>
      <c r="H503" s="140" t="str">
        <f t="shared" si="26"/>
        <v/>
      </c>
      <c r="J503" s="147" t="str">
        <f>IFERROR(SUMIFS(当年实际!$V:$V,当年实际!$J:$J,$C503,当年实际!$C:$C,"&gt;="&amp;DATE(YEAR(主页!$D$2),1,1),当年实际!$C:$C,"&lt;="&amp;EOMONTH(DATE(YEAR(主页!$D$2),MONTH(主页!$D$2),1),0))/SUMIFS(当年实际!$P:$P,当年实际!$J:$J,$C503,当年实际!$C:$C,"&gt;="&amp;DATE(YEAR(主页!$D$2),1,1),当年实际!$C:$C,"&lt;="&amp;EOMONTH(DATE(YEAR(主页!$D$2),MONTH(主页!$D$2),1),0)),"")</f>
        <v/>
      </c>
    </row>
    <row r="504" spans="1:10" x14ac:dyDescent="0.3">
      <c r="A504" s="129"/>
      <c r="B504" s="150"/>
      <c r="C504" s="150"/>
      <c r="D504" s="150"/>
      <c r="E504" s="140" t="str">
        <f t="shared" si="24"/>
        <v/>
      </c>
      <c r="F504" s="157"/>
      <c r="G504" s="145">
        <f t="shared" si="25"/>
        <v>0</v>
      </c>
      <c r="H504" s="140" t="str">
        <f t="shared" si="26"/>
        <v/>
      </c>
      <c r="J504" s="147" t="str">
        <f>IFERROR(SUMIFS(当年实际!$V:$V,当年实际!$J:$J,$C504,当年实际!$C:$C,"&gt;="&amp;DATE(YEAR(主页!$D$2),1,1),当年实际!$C:$C,"&lt;="&amp;EOMONTH(DATE(YEAR(主页!$D$2),MONTH(主页!$D$2),1),0))/SUMIFS(当年实际!$P:$P,当年实际!$J:$J,$C504,当年实际!$C:$C,"&gt;="&amp;DATE(YEAR(主页!$D$2),1,1),当年实际!$C:$C,"&lt;="&amp;EOMONTH(DATE(YEAR(主页!$D$2),MONTH(主页!$D$2),1),0)),"")</f>
        <v/>
      </c>
    </row>
    <row r="505" spans="1:10" x14ac:dyDescent="0.3">
      <c r="A505" s="129"/>
      <c r="B505" s="150"/>
      <c r="C505" s="150"/>
      <c r="D505" s="150"/>
      <c r="E505" s="140" t="str">
        <f t="shared" si="24"/>
        <v/>
      </c>
      <c r="F505" s="157"/>
      <c r="G505" s="145">
        <f t="shared" si="25"/>
        <v>0</v>
      </c>
      <c r="H505" s="140" t="str">
        <f t="shared" si="26"/>
        <v/>
      </c>
      <c r="J505" s="147" t="str">
        <f>IFERROR(SUMIFS(当年实际!$V:$V,当年实际!$J:$J,$C505,当年实际!$C:$C,"&gt;="&amp;DATE(YEAR(主页!$D$2),1,1),当年实际!$C:$C,"&lt;="&amp;EOMONTH(DATE(YEAR(主页!$D$2),MONTH(主页!$D$2),1),0))/SUMIFS(当年实际!$P:$P,当年实际!$J:$J,$C505,当年实际!$C:$C,"&gt;="&amp;DATE(YEAR(主页!$D$2),1,1),当年实际!$C:$C,"&lt;="&amp;EOMONTH(DATE(YEAR(主页!$D$2),MONTH(主页!$D$2),1),0)),"")</f>
        <v/>
      </c>
    </row>
    <row r="506" spans="1:10" x14ac:dyDescent="0.3">
      <c r="A506" s="129"/>
      <c r="B506" s="150"/>
      <c r="C506" s="150"/>
      <c r="D506" s="150"/>
      <c r="E506" s="140" t="str">
        <f t="shared" si="24"/>
        <v/>
      </c>
      <c r="F506" s="157"/>
      <c r="G506" s="145">
        <f t="shared" si="25"/>
        <v>0</v>
      </c>
      <c r="H506" s="140" t="str">
        <f t="shared" si="26"/>
        <v/>
      </c>
      <c r="J506" s="147" t="str">
        <f>IFERROR(SUMIFS(当年实际!$V:$V,当年实际!$J:$J,$C506,当年实际!$C:$C,"&gt;="&amp;DATE(YEAR(主页!$D$2),1,1),当年实际!$C:$C,"&lt;="&amp;EOMONTH(DATE(YEAR(主页!$D$2),MONTH(主页!$D$2),1),0))/SUMIFS(当年实际!$P:$P,当年实际!$J:$J,$C506,当年实际!$C:$C,"&gt;="&amp;DATE(YEAR(主页!$D$2),1,1),当年实际!$C:$C,"&lt;="&amp;EOMONTH(DATE(YEAR(主页!$D$2),MONTH(主页!$D$2),1),0)),"")</f>
        <v/>
      </c>
    </row>
    <row r="507" spans="1:10" x14ac:dyDescent="0.3">
      <c r="A507" s="129"/>
      <c r="B507" s="150"/>
      <c r="C507" s="150"/>
      <c r="D507" s="150"/>
      <c r="E507" s="140" t="str">
        <f t="shared" si="24"/>
        <v/>
      </c>
      <c r="F507" s="157"/>
      <c r="G507" s="145">
        <f t="shared" si="25"/>
        <v>0</v>
      </c>
      <c r="H507" s="140" t="str">
        <f t="shared" si="26"/>
        <v/>
      </c>
      <c r="J507" s="147" t="str">
        <f>IFERROR(SUMIFS(当年实际!$V:$V,当年实际!$J:$J,$C507,当年实际!$C:$C,"&gt;="&amp;DATE(YEAR(主页!$D$2),1,1),当年实际!$C:$C,"&lt;="&amp;EOMONTH(DATE(YEAR(主页!$D$2),MONTH(主页!$D$2),1),0))/SUMIFS(当年实际!$P:$P,当年实际!$J:$J,$C507,当年实际!$C:$C,"&gt;="&amp;DATE(YEAR(主页!$D$2),1,1),当年实际!$C:$C,"&lt;="&amp;EOMONTH(DATE(YEAR(主页!$D$2),MONTH(主页!$D$2),1),0)),"")</f>
        <v/>
      </c>
    </row>
    <row r="508" spans="1:10" x14ac:dyDescent="0.3">
      <c r="A508" s="129"/>
      <c r="B508" s="150"/>
      <c r="C508" s="150"/>
      <c r="D508" s="150"/>
      <c r="E508" s="140" t="str">
        <f t="shared" si="24"/>
        <v/>
      </c>
      <c r="F508" s="157"/>
      <c r="G508" s="145">
        <f t="shared" si="25"/>
        <v>0</v>
      </c>
      <c r="H508" s="140" t="str">
        <f t="shared" si="26"/>
        <v/>
      </c>
      <c r="J508" s="147" t="str">
        <f>IFERROR(SUMIFS(当年实际!$V:$V,当年实际!$J:$J,$C508,当年实际!$C:$C,"&gt;="&amp;DATE(YEAR(主页!$D$2),1,1),当年实际!$C:$C,"&lt;="&amp;EOMONTH(DATE(YEAR(主页!$D$2),MONTH(主页!$D$2),1),0))/SUMIFS(当年实际!$P:$P,当年实际!$J:$J,$C508,当年实际!$C:$C,"&gt;="&amp;DATE(YEAR(主页!$D$2),1,1),当年实际!$C:$C,"&lt;="&amp;EOMONTH(DATE(YEAR(主页!$D$2),MONTH(主页!$D$2),1),0)),"")</f>
        <v/>
      </c>
    </row>
    <row r="509" spans="1:10" x14ac:dyDescent="0.3">
      <c r="A509" s="129"/>
      <c r="B509" s="150"/>
      <c r="C509" s="150"/>
      <c r="D509" s="150"/>
      <c r="E509" s="140" t="str">
        <f t="shared" si="24"/>
        <v/>
      </c>
      <c r="F509" s="157"/>
      <c r="G509" s="145">
        <f t="shared" si="25"/>
        <v>0</v>
      </c>
      <c r="H509" s="140" t="str">
        <f t="shared" si="26"/>
        <v/>
      </c>
      <c r="J509" s="147" t="str">
        <f>IFERROR(SUMIFS(当年实际!$V:$V,当年实际!$J:$J,$C509,当年实际!$C:$C,"&gt;="&amp;DATE(YEAR(主页!$D$2),1,1),当年实际!$C:$C,"&lt;="&amp;EOMONTH(DATE(YEAR(主页!$D$2),MONTH(主页!$D$2),1),0))/SUMIFS(当年实际!$P:$P,当年实际!$J:$J,$C509,当年实际!$C:$C,"&gt;="&amp;DATE(YEAR(主页!$D$2),1,1),当年实际!$C:$C,"&lt;="&amp;EOMONTH(DATE(YEAR(主页!$D$2),MONTH(主页!$D$2),1),0)),"")</f>
        <v/>
      </c>
    </row>
    <row r="510" spans="1:10" x14ac:dyDescent="0.3">
      <c r="A510" s="129"/>
      <c r="B510" s="150"/>
      <c r="C510" s="150"/>
      <c r="D510" s="150"/>
      <c r="E510" s="140" t="str">
        <f t="shared" si="24"/>
        <v/>
      </c>
      <c r="F510" s="157"/>
      <c r="G510" s="145">
        <f t="shared" si="25"/>
        <v>0</v>
      </c>
      <c r="H510" s="140" t="str">
        <f t="shared" si="26"/>
        <v/>
      </c>
      <c r="J510" s="147" t="str">
        <f>IFERROR(SUMIFS(当年实际!$V:$V,当年实际!$J:$J,$C510,当年实际!$C:$C,"&gt;="&amp;DATE(YEAR(主页!$D$2),1,1),当年实际!$C:$C,"&lt;="&amp;EOMONTH(DATE(YEAR(主页!$D$2),MONTH(主页!$D$2),1),0))/SUMIFS(当年实际!$P:$P,当年实际!$J:$J,$C510,当年实际!$C:$C,"&gt;="&amp;DATE(YEAR(主页!$D$2),1,1),当年实际!$C:$C,"&lt;="&amp;EOMONTH(DATE(YEAR(主页!$D$2),MONTH(主页!$D$2),1),0)),"")</f>
        <v/>
      </c>
    </row>
    <row r="511" spans="1:10" x14ac:dyDescent="0.3">
      <c r="A511" s="129"/>
      <c r="B511" s="150"/>
      <c r="C511" s="150"/>
      <c r="D511" s="150"/>
      <c r="E511" s="140" t="str">
        <f t="shared" si="24"/>
        <v/>
      </c>
      <c r="F511" s="157"/>
      <c r="G511" s="145">
        <f t="shared" si="25"/>
        <v>0</v>
      </c>
      <c r="H511" s="140" t="str">
        <f t="shared" si="26"/>
        <v/>
      </c>
      <c r="J511" s="147" t="str">
        <f>IFERROR(SUMIFS(当年实际!$V:$V,当年实际!$J:$J,$C511,当年实际!$C:$C,"&gt;="&amp;DATE(YEAR(主页!$D$2),1,1),当年实际!$C:$C,"&lt;="&amp;EOMONTH(DATE(YEAR(主页!$D$2),MONTH(主页!$D$2),1),0))/SUMIFS(当年实际!$P:$P,当年实际!$J:$J,$C511,当年实际!$C:$C,"&gt;="&amp;DATE(YEAR(主页!$D$2),1,1),当年实际!$C:$C,"&lt;="&amp;EOMONTH(DATE(YEAR(主页!$D$2),MONTH(主页!$D$2),1),0)),"")</f>
        <v/>
      </c>
    </row>
    <row r="512" spans="1:10" x14ac:dyDescent="0.3">
      <c r="A512" s="129"/>
      <c r="B512" s="150"/>
      <c r="C512" s="150"/>
      <c r="D512" s="150"/>
      <c r="E512" s="140" t="str">
        <f t="shared" si="24"/>
        <v/>
      </c>
      <c r="F512" s="157"/>
      <c r="G512" s="145">
        <f t="shared" si="25"/>
        <v>0</v>
      </c>
      <c r="H512" s="140" t="str">
        <f t="shared" si="26"/>
        <v/>
      </c>
      <c r="J512" s="147" t="str">
        <f>IFERROR(SUMIFS(当年实际!$V:$V,当年实际!$J:$J,$C512,当年实际!$C:$C,"&gt;="&amp;DATE(YEAR(主页!$D$2),1,1),当年实际!$C:$C,"&lt;="&amp;EOMONTH(DATE(YEAR(主页!$D$2),MONTH(主页!$D$2),1),0))/SUMIFS(当年实际!$P:$P,当年实际!$J:$J,$C512,当年实际!$C:$C,"&gt;="&amp;DATE(YEAR(主页!$D$2),1,1),当年实际!$C:$C,"&lt;="&amp;EOMONTH(DATE(YEAR(主页!$D$2),MONTH(主页!$D$2),1),0)),"")</f>
        <v/>
      </c>
    </row>
    <row r="513" spans="1:10" x14ac:dyDescent="0.3">
      <c r="A513" s="129"/>
      <c r="B513" s="150"/>
      <c r="C513" s="150"/>
      <c r="D513" s="150"/>
      <c r="E513" s="140" t="str">
        <f t="shared" si="24"/>
        <v/>
      </c>
      <c r="F513" s="157"/>
      <c r="G513" s="145">
        <f t="shared" si="25"/>
        <v>0</v>
      </c>
      <c r="H513" s="140" t="str">
        <f t="shared" si="26"/>
        <v/>
      </c>
      <c r="J513" s="147" t="str">
        <f>IFERROR(SUMIFS(当年实际!$V:$V,当年实际!$J:$J,$C513,当年实际!$C:$C,"&gt;="&amp;DATE(YEAR(主页!$D$2),1,1),当年实际!$C:$C,"&lt;="&amp;EOMONTH(DATE(YEAR(主页!$D$2),MONTH(主页!$D$2),1),0))/SUMIFS(当年实际!$P:$P,当年实际!$J:$J,$C513,当年实际!$C:$C,"&gt;="&amp;DATE(YEAR(主页!$D$2),1,1),当年实际!$C:$C,"&lt;="&amp;EOMONTH(DATE(YEAR(主页!$D$2),MONTH(主页!$D$2),1),0)),"")</f>
        <v/>
      </c>
    </row>
    <row r="514" spans="1:10" x14ac:dyDescent="0.3">
      <c r="A514" s="129"/>
      <c r="B514" s="150"/>
      <c r="C514" s="150"/>
      <c r="D514" s="150"/>
      <c r="E514" s="140" t="str">
        <f t="shared" si="24"/>
        <v/>
      </c>
      <c r="F514" s="157"/>
      <c r="G514" s="145">
        <f t="shared" si="25"/>
        <v>0</v>
      </c>
      <c r="H514" s="140" t="str">
        <f t="shared" si="26"/>
        <v/>
      </c>
      <c r="J514" s="147" t="str">
        <f>IFERROR(SUMIFS(当年实际!$V:$V,当年实际!$J:$J,$C514,当年实际!$C:$C,"&gt;="&amp;DATE(YEAR(主页!$D$2),1,1),当年实际!$C:$C,"&lt;="&amp;EOMONTH(DATE(YEAR(主页!$D$2),MONTH(主页!$D$2),1),0))/SUMIFS(当年实际!$P:$P,当年实际!$J:$J,$C514,当年实际!$C:$C,"&gt;="&amp;DATE(YEAR(主页!$D$2),1,1),当年实际!$C:$C,"&lt;="&amp;EOMONTH(DATE(YEAR(主页!$D$2),MONTH(主页!$D$2),1),0)),"")</f>
        <v/>
      </c>
    </row>
    <row r="515" spans="1:10" x14ac:dyDescent="0.3">
      <c r="A515" s="129"/>
      <c r="B515" s="150"/>
      <c r="C515" s="150"/>
      <c r="D515" s="150"/>
      <c r="E515" s="140" t="str">
        <f t="shared" si="24"/>
        <v/>
      </c>
      <c r="F515" s="157"/>
      <c r="G515" s="145">
        <f t="shared" si="25"/>
        <v>0</v>
      </c>
      <c r="H515" s="140" t="str">
        <f t="shared" si="26"/>
        <v/>
      </c>
      <c r="J515" s="147" t="str">
        <f>IFERROR(SUMIFS(当年实际!$V:$V,当年实际!$J:$J,$C515,当年实际!$C:$C,"&gt;="&amp;DATE(YEAR(主页!$D$2),1,1),当年实际!$C:$C,"&lt;="&amp;EOMONTH(DATE(YEAR(主页!$D$2),MONTH(主页!$D$2),1),0))/SUMIFS(当年实际!$P:$P,当年实际!$J:$J,$C515,当年实际!$C:$C,"&gt;="&amp;DATE(YEAR(主页!$D$2),1,1),当年实际!$C:$C,"&lt;="&amp;EOMONTH(DATE(YEAR(主页!$D$2),MONTH(主页!$D$2),1),0)),"")</f>
        <v/>
      </c>
    </row>
    <row r="516" spans="1:10" x14ac:dyDescent="0.3">
      <c r="A516" s="129"/>
      <c r="B516" s="150"/>
      <c r="C516" s="150"/>
      <c r="D516" s="150"/>
      <c r="E516" s="140" t="str">
        <f t="shared" ref="E516:E579" si="27">IF(D516/SUM(D:D)=0,"",D516/SUM(D:D))</f>
        <v/>
      </c>
      <c r="F516" s="157"/>
      <c r="G516" s="145">
        <f t="shared" si="25"/>
        <v>0</v>
      </c>
      <c r="H516" s="140" t="str">
        <f t="shared" si="26"/>
        <v/>
      </c>
      <c r="J516" s="147" t="str">
        <f>IFERROR(SUMIFS(当年实际!$V:$V,当年实际!$J:$J,$C516,当年实际!$C:$C,"&gt;="&amp;DATE(YEAR(主页!$D$2),1,1),当年实际!$C:$C,"&lt;="&amp;EOMONTH(DATE(YEAR(主页!$D$2),MONTH(主页!$D$2),1),0))/SUMIFS(当年实际!$P:$P,当年实际!$J:$J,$C516,当年实际!$C:$C,"&gt;="&amp;DATE(YEAR(主页!$D$2),1,1),当年实际!$C:$C,"&lt;="&amp;EOMONTH(DATE(YEAR(主页!$D$2),MONTH(主页!$D$2),1),0)),"")</f>
        <v/>
      </c>
    </row>
    <row r="517" spans="1:10" x14ac:dyDescent="0.3">
      <c r="A517" s="129"/>
      <c r="B517" s="150"/>
      <c r="C517" s="150"/>
      <c r="D517" s="150"/>
      <c r="E517" s="140" t="str">
        <f t="shared" si="27"/>
        <v/>
      </c>
      <c r="F517" s="157"/>
      <c r="G517" s="145">
        <f t="shared" si="25"/>
        <v>0</v>
      </c>
      <c r="H517" s="140" t="str">
        <f t="shared" si="26"/>
        <v/>
      </c>
      <c r="J517" s="147" t="str">
        <f>IFERROR(SUMIFS(当年实际!$V:$V,当年实际!$J:$J,$C517,当年实际!$C:$C,"&gt;="&amp;DATE(YEAR(主页!$D$2),1,1),当年实际!$C:$C,"&lt;="&amp;EOMONTH(DATE(YEAR(主页!$D$2),MONTH(主页!$D$2),1),0))/SUMIFS(当年实际!$P:$P,当年实际!$J:$J,$C517,当年实际!$C:$C,"&gt;="&amp;DATE(YEAR(主页!$D$2),1,1),当年实际!$C:$C,"&lt;="&amp;EOMONTH(DATE(YEAR(主页!$D$2),MONTH(主页!$D$2),1),0)),"")</f>
        <v/>
      </c>
    </row>
    <row r="518" spans="1:10" x14ac:dyDescent="0.3">
      <c r="A518" s="129"/>
      <c r="B518" s="150"/>
      <c r="C518" s="150"/>
      <c r="D518" s="150"/>
      <c r="E518" s="140" t="str">
        <f t="shared" si="27"/>
        <v/>
      </c>
      <c r="F518" s="157"/>
      <c r="G518" s="145">
        <f t="shared" si="25"/>
        <v>0</v>
      </c>
      <c r="H518" s="140" t="str">
        <f t="shared" si="26"/>
        <v/>
      </c>
      <c r="J518" s="147" t="str">
        <f>IFERROR(SUMIFS(当年实际!$V:$V,当年实际!$J:$J,$C518,当年实际!$C:$C,"&gt;="&amp;DATE(YEAR(主页!$D$2),1,1),当年实际!$C:$C,"&lt;="&amp;EOMONTH(DATE(YEAR(主页!$D$2),MONTH(主页!$D$2),1),0))/SUMIFS(当年实际!$P:$P,当年实际!$J:$J,$C518,当年实际!$C:$C,"&gt;="&amp;DATE(YEAR(主页!$D$2),1,1),当年实际!$C:$C,"&lt;="&amp;EOMONTH(DATE(YEAR(主页!$D$2),MONTH(主页!$D$2),1),0)),"")</f>
        <v/>
      </c>
    </row>
    <row r="519" spans="1:10" x14ac:dyDescent="0.3">
      <c r="A519" s="129"/>
      <c r="B519" s="150"/>
      <c r="C519" s="150"/>
      <c r="D519" s="150"/>
      <c r="E519" s="140" t="str">
        <f t="shared" si="27"/>
        <v/>
      </c>
      <c r="F519" s="157"/>
      <c r="G519" s="145">
        <f t="shared" si="25"/>
        <v>0</v>
      </c>
      <c r="H519" s="140" t="str">
        <f t="shared" si="26"/>
        <v/>
      </c>
      <c r="J519" s="147" t="str">
        <f>IFERROR(SUMIFS(当年实际!$V:$V,当年实际!$J:$J,$C519,当年实际!$C:$C,"&gt;="&amp;DATE(YEAR(主页!$D$2),1,1),当年实际!$C:$C,"&lt;="&amp;EOMONTH(DATE(YEAR(主页!$D$2),MONTH(主页!$D$2),1),0))/SUMIFS(当年实际!$P:$P,当年实际!$J:$J,$C519,当年实际!$C:$C,"&gt;="&amp;DATE(YEAR(主页!$D$2),1,1),当年实际!$C:$C,"&lt;="&amp;EOMONTH(DATE(YEAR(主页!$D$2),MONTH(主页!$D$2),1),0)),"")</f>
        <v/>
      </c>
    </row>
    <row r="520" spans="1:10" x14ac:dyDescent="0.3">
      <c r="A520" s="129"/>
      <c r="B520" s="150"/>
      <c r="C520" s="150"/>
      <c r="D520" s="150"/>
      <c r="E520" s="140" t="str">
        <f t="shared" si="27"/>
        <v/>
      </c>
      <c r="F520" s="157"/>
      <c r="G520" s="145">
        <f t="shared" si="25"/>
        <v>0</v>
      </c>
      <c r="H520" s="140" t="str">
        <f t="shared" si="26"/>
        <v/>
      </c>
      <c r="J520" s="147" t="str">
        <f>IFERROR(SUMIFS(当年实际!$V:$V,当年实际!$J:$J,$C520,当年实际!$C:$C,"&gt;="&amp;DATE(YEAR(主页!$D$2),1,1),当年实际!$C:$C,"&lt;="&amp;EOMONTH(DATE(YEAR(主页!$D$2),MONTH(主页!$D$2),1),0))/SUMIFS(当年实际!$P:$P,当年实际!$J:$J,$C520,当年实际!$C:$C,"&gt;="&amp;DATE(YEAR(主页!$D$2),1,1),当年实际!$C:$C,"&lt;="&amp;EOMONTH(DATE(YEAR(主页!$D$2),MONTH(主页!$D$2),1),0)),"")</f>
        <v/>
      </c>
    </row>
    <row r="521" spans="1:10" x14ac:dyDescent="0.3">
      <c r="A521" s="129"/>
      <c r="B521" s="150"/>
      <c r="C521" s="150"/>
      <c r="D521" s="150"/>
      <c r="E521" s="140" t="str">
        <f t="shared" si="27"/>
        <v/>
      </c>
      <c r="F521" s="157"/>
      <c r="G521" s="145">
        <f t="shared" si="25"/>
        <v>0</v>
      </c>
      <c r="H521" s="140" t="str">
        <f t="shared" si="26"/>
        <v/>
      </c>
      <c r="J521" s="147" t="str">
        <f>IFERROR(SUMIFS(当年实际!$V:$V,当年实际!$J:$J,$C521,当年实际!$C:$C,"&gt;="&amp;DATE(YEAR(主页!$D$2),1,1),当年实际!$C:$C,"&lt;="&amp;EOMONTH(DATE(YEAR(主页!$D$2),MONTH(主页!$D$2),1),0))/SUMIFS(当年实际!$P:$P,当年实际!$J:$J,$C521,当年实际!$C:$C,"&gt;="&amp;DATE(YEAR(主页!$D$2),1,1),当年实际!$C:$C,"&lt;="&amp;EOMONTH(DATE(YEAR(主页!$D$2),MONTH(主页!$D$2),1),0)),"")</f>
        <v/>
      </c>
    </row>
    <row r="522" spans="1:10" x14ac:dyDescent="0.3">
      <c r="A522" s="129"/>
      <c r="B522" s="150"/>
      <c r="C522" s="150"/>
      <c r="D522" s="150"/>
      <c r="E522" s="140" t="str">
        <f t="shared" si="27"/>
        <v/>
      </c>
      <c r="F522" s="157"/>
      <c r="G522" s="145">
        <f t="shared" si="25"/>
        <v>0</v>
      </c>
      <c r="H522" s="140" t="str">
        <f t="shared" si="26"/>
        <v/>
      </c>
      <c r="J522" s="147" t="str">
        <f>IFERROR(SUMIFS(当年实际!$V:$V,当年实际!$J:$J,$C522,当年实际!$C:$C,"&gt;="&amp;DATE(YEAR(主页!$D$2),1,1),当年实际!$C:$C,"&lt;="&amp;EOMONTH(DATE(YEAR(主页!$D$2),MONTH(主页!$D$2),1),0))/SUMIFS(当年实际!$P:$P,当年实际!$J:$J,$C522,当年实际!$C:$C,"&gt;="&amp;DATE(YEAR(主页!$D$2),1,1),当年实际!$C:$C,"&lt;="&amp;EOMONTH(DATE(YEAR(主页!$D$2),MONTH(主页!$D$2),1),0)),"")</f>
        <v/>
      </c>
    </row>
    <row r="523" spans="1:10" x14ac:dyDescent="0.3">
      <c r="A523" s="129"/>
      <c r="B523" s="150"/>
      <c r="C523" s="150"/>
      <c r="D523" s="150"/>
      <c r="E523" s="140" t="str">
        <f t="shared" si="27"/>
        <v/>
      </c>
      <c r="F523" s="157"/>
      <c r="G523" s="145">
        <f t="shared" si="25"/>
        <v>0</v>
      </c>
      <c r="H523" s="140" t="str">
        <f t="shared" si="26"/>
        <v/>
      </c>
      <c r="J523" s="147" t="str">
        <f>IFERROR(SUMIFS(当年实际!$V:$V,当年实际!$J:$J,$C523,当年实际!$C:$C,"&gt;="&amp;DATE(YEAR(主页!$D$2),1,1),当年实际!$C:$C,"&lt;="&amp;EOMONTH(DATE(YEAR(主页!$D$2),MONTH(主页!$D$2),1),0))/SUMIFS(当年实际!$P:$P,当年实际!$J:$J,$C523,当年实际!$C:$C,"&gt;="&amp;DATE(YEAR(主页!$D$2),1,1),当年实际!$C:$C,"&lt;="&amp;EOMONTH(DATE(YEAR(主页!$D$2),MONTH(主页!$D$2),1),0)),"")</f>
        <v/>
      </c>
    </row>
    <row r="524" spans="1:10" x14ac:dyDescent="0.3">
      <c r="A524" s="129"/>
      <c r="B524" s="150"/>
      <c r="C524" s="150"/>
      <c r="D524" s="150"/>
      <c r="E524" s="140" t="str">
        <f t="shared" si="27"/>
        <v/>
      </c>
      <c r="F524" s="157"/>
      <c r="G524" s="145">
        <f t="shared" si="25"/>
        <v>0</v>
      </c>
      <c r="H524" s="140" t="str">
        <f t="shared" si="26"/>
        <v/>
      </c>
      <c r="J524" s="147" t="str">
        <f>IFERROR(SUMIFS(当年实际!$V:$V,当年实际!$J:$J,$C524,当年实际!$C:$C,"&gt;="&amp;DATE(YEAR(主页!$D$2),1,1),当年实际!$C:$C,"&lt;="&amp;EOMONTH(DATE(YEAR(主页!$D$2),MONTH(主页!$D$2),1),0))/SUMIFS(当年实际!$P:$P,当年实际!$J:$J,$C524,当年实际!$C:$C,"&gt;="&amp;DATE(YEAR(主页!$D$2),1,1),当年实际!$C:$C,"&lt;="&amp;EOMONTH(DATE(YEAR(主页!$D$2),MONTH(主页!$D$2),1),0)),"")</f>
        <v/>
      </c>
    </row>
    <row r="525" spans="1:10" x14ac:dyDescent="0.3">
      <c r="A525" s="129"/>
      <c r="B525" s="150"/>
      <c r="C525" s="150"/>
      <c r="D525" s="150"/>
      <c r="E525" s="140" t="str">
        <f t="shared" si="27"/>
        <v/>
      </c>
      <c r="F525" s="157"/>
      <c r="G525" s="145">
        <f t="shared" si="25"/>
        <v>0</v>
      </c>
      <c r="H525" s="140" t="str">
        <f t="shared" si="26"/>
        <v/>
      </c>
      <c r="J525" s="147" t="str">
        <f>IFERROR(SUMIFS(当年实际!$V:$V,当年实际!$J:$J,$C525,当年实际!$C:$C,"&gt;="&amp;DATE(YEAR(主页!$D$2),1,1),当年实际!$C:$C,"&lt;="&amp;EOMONTH(DATE(YEAR(主页!$D$2),MONTH(主页!$D$2),1),0))/SUMIFS(当年实际!$P:$P,当年实际!$J:$J,$C525,当年实际!$C:$C,"&gt;="&amp;DATE(YEAR(主页!$D$2),1,1),当年实际!$C:$C,"&lt;="&amp;EOMONTH(DATE(YEAR(主页!$D$2),MONTH(主页!$D$2),1),0)),"")</f>
        <v/>
      </c>
    </row>
    <row r="526" spans="1:10" x14ac:dyDescent="0.3">
      <c r="A526" s="129"/>
      <c r="B526" s="150"/>
      <c r="C526" s="150"/>
      <c r="D526" s="150"/>
      <c r="E526" s="140" t="str">
        <f t="shared" si="27"/>
        <v/>
      </c>
      <c r="F526" s="157"/>
      <c r="G526" s="145">
        <f t="shared" si="25"/>
        <v>0</v>
      </c>
      <c r="H526" s="140" t="str">
        <f t="shared" si="26"/>
        <v/>
      </c>
      <c r="J526" s="147" t="str">
        <f>IFERROR(SUMIFS(当年实际!$V:$V,当年实际!$J:$J,$C526,当年实际!$C:$C,"&gt;="&amp;DATE(YEAR(主页!$D$2),1,1),当年实际!$C:$C,"&lt;="&amp;EOMONTH(DATE(YEAR(主页!$D$2),MONTH(主页!$D$2),1),0))/SUMIFS(当年实际!$P:$P,当年实际!$J:$J,$C526,当年实际!$C:$C,"&gt;="&amp;DATE(YEAR(主页!$D$2),1,1),当年实际!$C:$C,"&lt;="&amp;EOMONTH(DATE(YEAR(主页!$D$2),MONTH(主页!$D$2),1),0)),"")</f>
        <v/>
      </c>
    </row>
    <row r="527" spans="1:10" x14ac:dyDescent="0.3">
      <c r="A527" s="129"/>
      <c r="B527" s="150"/>
      <c r="C527" s="150"/>
      <c r="D527" s="150"/>
      <c r="E527" s="140" t="str">
        <f t="shared" si="27"/>
        <v/>
      </c>
      <c r="F527" s="157"/>
      <c r="G527" s="145">
        <f t="shared" si="25"/>
        <v>0</v>
      </c>
      <c r="H527" s="140" t="str">
        <f t="shared" si="26"/>
        <v/>
      </c>
      <c r="J527" s="147" t="str">
        <f>IFERROR(SUMIFS(当年实际!$V:$V,当年实际!$J:$J,$C527,当年实际!$C:$C,"&gt;="&amp;DATE(YEAR(主页!$D$2),1,1),当年实际!$C:$C,"&lt;="&amp;EOMONTH(DATE(YEAR(主页!$D$2),MONTH(主页!$D$2),1),0))/SUMIFS(当年实际!$P:$P,当年实际!$J:$J,$C527,当年实际!$C:$C,"&gt;="&amp;DATE(YEAR(主页!$D$2),1,1),当年实际!$C:$C,"&lt;="&amp;EOMONTH(DATE(YEAR(主页!$D$2),MONTH(主页!$D$2),1),0)),"")</f>
        <v/>
      </c>
    </row>
    <row r="528" spans="1:10" x14ac:dyDescent="0.3">
      <c r="A528" s="129"/>
      <c r="B528" s="150"/>
      <c r="C528" s="150"/>
      <c r="D528" s="150"/>
      <c r="E528" s="140" t="str">
        <f t="shared" si="27"/>
        <v/>
      </c>
      <c r="F528" s="157"/>
      <c r="G528" s="145">
        <f t="shared" si="25"/>
        <v>0</v>
      </c>
      <c r="H528" s="140" t="str">
        <f t="shared" si="26"/>
        <v/>
      </c>
      <c r="J528" s="147" t="str">
        <f>IFERROR(SUMIFS(当年实际!$V:$V,当年实际!$J:$J,$C528,当年实际!$C:$C,"&gt;="&amp;DATE(YEAR(主页!$D$2),1,1),当年实际!$C:$C,"&lt;="&amp;EOMONTH(DATE(YEAR(主页!$D$2),MONTH(主页!$D$2),1),0))/SUMIFS(当年实际!$P:$P,当年实际!$J:$J,$C528,当年实际!$C:$C,"&gt;="&amp;DATE(YEAR(主页!$D$2),1,1),当年实际!$C:$C,"&lt;="&amp;EOMONTH(DATE(YEAR(主页!$D$2),MONTH(主页!$D$2),1),0)),"")</f>
        <v/>
      </c>
    </row>
    <row r="529" spans="1:10" x14ac:dyDescent="0.3">
      <c r="A529" s="129"/>
      <c r="B529" s="150"/>
      <c r="C529" s="150"/>
      <c r="D529" s="150"/>
      <c r="E529" s="140" t="str">
        <f t="shared" si="27"/>
        <v/>
      </c>
      <c r="F529" s="157"/>
      <c r="G529" s="145">
        <f t="shared" si="25"/>
        <v>0</v>
      </c>
      <c r="H529" s="140" t="str">
        <f t="shared" si="26"/>
        <v/>
      </c>
      <c r="J529" s="147" t="str">
        <f>IFERROR(SUMIFS(当年实际!$V:$V,当年实际!$J:$J,$C529,当年实际!$C:$C,"&gt;="&amp;DATE(YEAR(主页!$D$2),1,1),当年实际!$C:$C,"&lt;="&amp;EOMONTH(DATE(YEAR(主页!$D$2),MONTH(主页!$D$2),1),0))/SUMIFS(当年实际!$P:$P,当年实际!$J:$J,$C529,当年实际!$C:$C,"&gt;="&amp;DATE(YEAR(主页!$D$2),1,1),当年实际!$C:$C,"&lt;="&amp;EOMONTH(DATE(YEAR(主页!$D$2),MONTH(主页!$D$2),1),0)),"")</f>
        <v/>
      </c>
    </row>
    <row r="530" spans="1:10" x14ac:dyDescent="0.3">
      <c r="A530" s="129"/>
      <c r="B530" s="150"/>
      <c r="C530" s="150"/>
      <c r="D530" s="150"/>
      <c r="E530" s="140" t="str">
        <f t="shared" si="27"/>
        <v/>
      </c>
      <c r="F530" s="157"/>
      <c r="G530" s="145">
        <f t="shared" si="25"/>
        <v>0</v>
      </c>
      <c r="H530" s="140" t="str">
        <f t="shared" si="26"/>
        <v/>
      </c>
      <c r="J530" s="147" t="str">
        <f>IFERROR(SUMIFS(当年实际!$V:$V,当年实际!$J:$J,$C530,当年实际!$C:$C,"&gt;="&amp;DATE(YEAR(主页!$D$2),1,1),当年实际!$C:$C,"&lt;="&amp;EOMONTH(DATE(YEAR(主页!$D$2),MONTH(主页!$D$2),1),0))/SUMIFS(当年实际!$P:$P,当年实际!$J:$J,$C530,当年实际!$C:$C,"&gt;="&amp;DATE(YEAR(主页!$D$2),1,1),当年实际!$C:$C,"&lt;="&amp;EOMONTH(DATE(YEAR(主页!$D$2),MONTH(主页!$D$2),1),0)),"")</f>
        <v/>
      </c>
    </row>
    <row r="531" spans="1:10" x14ac:dyDescent="0.3">
      <c r="A531" s="129"/>
      <c r="B531" s="150"/>
      <c r="C531" s="150"/>
      <c r="D531" s="150"/>
      <c r="E531" s="140" t="str">
        <f t="shared" si="27"/>
        <v/>
      </c>
      <c r="F531" s="157"/>
      <c r="G531" s="145">
        <f t="shared" si="25"/>
        <v>0</v>
      </c>
      <c r="H531" s="140" t="str">
        <f t="shared" si="26"/>
        <v/>
      </c>
      <c r="J531" s="147" t="str">
        <f>IFERROR(SUMIFS(当年实际!$V:$V,当年实际!$J:$J,$C531,当年实际!$C:$C,"&gt;="&amp;DATE(YEAR(主页!$D$2),1,1),当年实际!$C:$C,"&lt;="&amp;EOMONTH(DATE(YEAR(主页!$D$2),MONTH(主页!$D$2),1),0))/SUMIFS(当年实际!$P:$P,当年实际!$J:$J,$C531,当年实际!$C:$C,"&gt;="&amp;DATE(YEAR(主页!$D$2),1,1),当年实际!$C:$C,"&lt;="&amp;EOMONTH(DATE(YEAR(主页!$D$2),MONTH(主页!$D$2),1),0)),"")</f>
        <v/>
      </c>
    </row>
    <row r="532" spans="1:10" x14ac:dyDescent="0.3">
      <c r="A532" s="129"/>
      <c r="B532" s="150"/>
      <c r="C532" s="150"/>
      <c r="D532" s="150"/>
      <c r="E532" s="140" t="str">
        <f t="shared" si="27"/>
        <v/>
      </c>
      <c r="F532" s="157"/>
      <c r="G532" s="145">
        <f t="shared" si="25"/>
        <v>0</v>
      </c>
      <c r="H532" s="140" t="str">
        <f t="shared" si="26"/>
        <v/>
      </c>
      <c r="J532" s="147" t="str">
        <f>IFERROR(SUMIFS(当年实际!$V:$V,当年实际!$J:$J,$C532,当年实际!$C:$C,"&gt;="&amp;DATE(YEAR(主页!$D$2),1,1),当年实际!$C:$C,"&lt;="&amp;EOMONTH(DATE(YEAR(主页!$D$2),MONTH(主页!$D$2),1),0))/SUMIFS(当年实际!$P:$P,当年实际!$J:$J,$C532,当年实际!$C:$C,"&gt;="&amp;DATE(YEAR(主页!$D$2),1,1),当年实际!$C:$C,"&lt;="&amp;EOMONTH(DATE(YEAR(主页!$D$2),MONTH(主页!$D$2),1),0)),"")</f>
        <v/>
      </c>
    </row>
    <row r="533" spans="1:10" x14ac:dyDescent="0.3">
      <c r="A533" s="129"/>
      <c r="B533" s="150"/>
      <c r="C533" s="150"/>
      <c r="D533" s="150"/>
      <c r="E533" s="140" t="str">
        <f t="shared" si="27"/>
        <v/>
      </c>
      <c r="F533" s="157"/>
      <c r="G533" s="145">
        <f t="shared" si="25"/>
        <v>0</v>
      </c>
      <c r="H533" s="140" t="str">
        <f t="shared" si="26"/>
        <v/>
      </c>
      <c r="J533" s="147" t="str">
        <f>IFERROR(SUMIFS(当年实际!$V:$V,当年实际!$J:$J,$C533,当年实际!$C:$C,"&gt;="&amp;DATE(YEAR(主页!$D$2),1,1),当年实际!$C:$C,"&lt;="&amp;EOMONTH(DATE(YEAR(主页!$D$2),MONTH(主页!$D$2),1),0))/SUMIFS(当年实际!$P:$P,当年实际!$J:$J,$C533,当年实际!$C:$C,"&gt;="&amp;DATE(YEAR(主页!$D$2),1,1),当年实际!$C:$C,"&lt;="&amp;EOMONTH(DATE(YEAR(主页!$D$2),MONTH(主页!$D$2),1),0)),"")</f>
        <v/>
      </c>
    </row>
    <row r="534" spans="1:10" x14ac:dyDescent="0.3">
      <c r="A534" s="129"/>
      <c r="B534" s="150"/>
      <c r="C534" s="150"/>
      <c r="D534" s="150"/>
      <c r="E534" s="140" t="str">
        <f t="shared" si="27"/>
        <v/>
      </c>
      <c r="F534" s="157"/>
      <c r="G534" s="145">
        <f t="shared" si="25"/>
        <v>0</v>
      </c>
      <c r="H534" s="140" t="str">
        <f t="shared" si="26"/>
        <v/>
      </c>
      <c r="J534" s="147" t="str">
        <f>IFERROR(SUMIFS(当年实际!$V:$V,当年实际!$J:$J,$C534,当年实际!$C:$C,"&gt;="&amp;DATE(YEAR(主页!$D$2),1,1),当年实际!$C:$C,"&lt;="&amp;EOMONTH(DATE(YEAR(主页!$D$2),MONTH(主页!$D$2),1),0))/SUMIFS(当年实际!$P:$P,当年实际!$J:$J,$C534,当年实际!$C:$C,"&gt;="&amp;DATE(YEAR(主页!$D$2),1,1),当年实际!$C:$C,"&lt;="&amp;EOMONTH(DATE(YEAR(主页!$D$2),MONTH(主页!$D$2),1),0)),"")</f>
        <v/>
      </c>
    </row>
    <row r="535" spans="1:10" x14ac:dyDescent="0.3">
      <c r="A535" s="129"/>
      <c r="B535" s="150"/>
      <c r="C535" s="150"/>
      <c r="D535" s="150"/>
      <c r="E535" s="140" t="str">
        <f t="shared" si="27"/>
        <v/>
      </c>
      <c r="F535" s="157"/>
      <c r="G535" s="145">
        <f t="shared" si="25"/>
        <v>0</v>
      </c>
      <c r="H535" s="140" t="str">
        <f t="shared" si="26"/>
        <v/>
      </c>
      <c r="J535" s="147" t="str">
        <f>IFERROR(SUMIFS(当年实际!$V:$V,当年实际!$J:$J,$C535,当年实际!$C:$C,"&gt;="&amp;DATE(YEAR(主页!$D$2),1,1),当年实际!$C:$C,"&lt;="&amp;EOMONTH(DATE(YEAR(主页!$D$2),MONTH(主页!$D$2),1),0))/SUMIFS(当年实际!$P:$P,当年实际!$J:$J,$C535,当年实际!$C:$C,"&gt;="&amp;DATE(YEAR(主页!$D$2),1,1),当年实际!$C:$C,"&lt;="&amp;EOMONTH(DATE(YEAR(主页!$D$2),MONTH(主页!$D$2),1),0)),"")</f>
        <v/>
      </c>
    </row>
    <row r="536" spans="1:10" x14ac:dyDescent="0.3">
      <c r="A536" s="129"/>
      <c r="B536" s="150"/>
      <c r="C536" s="150"/>
      <c r="D536" s="150"/>
      <c r="E536" s="140" t="str">
        <f t="shared" si="27"/>
        <v/>
      </c>
      <c r="F536" s="157"/>
      <c r="G536" s="145">
        <f t="shared" si="25"/>
        <v>0</v>
      </c>
      <c r="H536" s="140" t="str">
        <f t="shared" si="26"/>
        <v/>
      </c>
      <c r="J536" s="147" t="str">
        <f>IFERROR(SUMIFS(当年实际!$V:$V,当年实际!$J:$J,$C536,当年实际!$C:$C,"&gt;="&amp;DATE(YEAR(主页!$D$2),1,1),当年实际!$C:$C,"&lt;="&amp;EOMONTH(DATE(YEAR(主页!$D$2),MONTH(主页!$D$2),1),0))/SUMIFS(当年实际!$P:$P,当年实际!$J:$J,$C536,当年实际!$C:$C,"&gt;="&amp;DATE(YEAR(主页!$D$2),1,1),当年实际!$C:$C,"&lt;="&amp;EOMONTH(DATE(YEAR(主页!$D$2),MONTH(主页!$D$2),1),0)),"")</f>
        <v/>
      </c>
    </row>
    <row r="537" spans="1:10" x14ac:dyDescent="0.3">
      <c r="A537" s="129"/>
      <c r="B537" s="150"/>
      <c r="C537" s="150"/>
      <c r="D537" s="150"/>
      <c r="E537" s="140" t="str">
        <f t="shared" si="27"/>
        <v/>
      </c>
      <c r="F537" s="157"/>
      <c r="G537" s="145">
        <f t="shared" si="25"/>
        <v>0</v>
      </c>
      <c r="H537" s="140" t="str">
        <f t="shared" si="26"/>
        <v/>
      </c>
      <c r="J537" s="147" t="str">
        <f>IFERROR(SUMIFS(当年实际!$V:$V,当年实际!$J:$J,$C537,当年实际!$C:$C,"&gt;="&amp;DATE(YEAR(主页!$D$2),1,1),当年实际!$C:$C,"&lt;="&amp;EOMONTH(DATE(YEAR(主页!$D$2),MONTH(主页!$D$2),1),0))/SUMIFS(当年实际!$P:$P,当年实际!$J:$J,$C537,当年实际!$C:$C,"&gt;="&amp;DATE(YEAR(主页!$D$2),1,1),当年实际!$C:$C,"&lt;="&amp;EOMONTH(DATE(YEAR(主页!$D$2),MONTH(主页!$D$2),1),0)),"")</f>
        <v/>
      </c>
    </row>
    <row r="538" spans="1:10" x14ac:dyDescent="0.3">
      <c r="A538" s="129"/>
      <c r="B538" s="150"/>
      <c r="C538" s="150"/>
      <c r="D538" s="150"/>
      <c r="E538" s="140" t="str">
        <f t="shared" si="27"/>
        <v/>
      </c>
      <c r="F538" s="157"/>
      <c r="G538" s="145">
        <f t="shared" si="25"/>
        <v>0</v>
      </c>
      <c r="H538" s="140" t="str">
        <f t="shared" si="26"/>
        <v/>
      </c>
      <c r="J538" s="147" t="str">
        <f>IFERROR(SUMIFS(当年实际!$V:$V,当年实际!$J:$J,$C538,当年实际!$C:$C,"&gt;="&amp;DATE(YEAR(主页!$D$2),1,1),当年实际!$C:$C,"&lt;="&amp;EOMONTH(DATE(YEAR(主页!$D$2),MONTH(主页!$D$2),1),0))/SUMIFS(当年实际!$P:$P,当年实际!$J:$J,$C538,当年实际!$C:$C,"&gt;="&amp;DATE(YEAR(主页!$D$2),1,1),当年实际!$C:$C,"&lt;="&amp;EOMONTH(DATE(YEAR(主页!$D$2),MONTH(主页!$D$2),1),0)),"")</f>
        <v/>
      </c>
    </row>
    <row r="539" spans="1:10" x14ac:dyDescent="0.3">
      <c r="A539" s="129"/>
      <c r="B539" s="150"/>
      <c r="C539" s="150"/>
      <c r="D539" s="150"/>
      <c r="E539" s="140" t="str">
        <f t="shared" si="27"/>
        <v/>
      </c>
      <c r="F539" s="157"/>
      <c r="G539" s="145">
        <f t="shared" si="25"/>
        <v>0</v>
      </c>
      <c r="H539" s="140" t="str">
        <f t="shared" si="26"/>
        <v/>
      </c>
      <c r="J539" s="147" t="str">
        <f>IFERROR(SUMIFS(当年实际!$V:$V,当年实际!$J:$J,$C539,当年实际!$C:$C,"&gt;="&amp;DATE(YEAR(主页!$D$2),1,1),当年实际!$C:$C,"&lt;="&amp;EOMONTH(DATE(YEAR(主页!$D$2),MONTH(主页!$D$2),1),0))/SUMIFS(当年实际!$P:$P,当年实际!$J:$J,$C539,当年实际!$C:$C,"&gt;="&amp;DATE(YEAR(主页!$D$2),1,1),当年实际!$C:$C,"&lt;="&amp;EOMONTH(DATE(YEAR(主页!$D$2),MONTH(主页!$D$2),1),0)),"")</f>
        <v/>
      </c>
    </row>
    <row r="540" spans="1:10" x14ac:dyDescent="0.3">
      <c r="A540" s="129"/>
      <c r="B540" s="150"/>
      <c r="C540" s="150"/>
      <c r="D540" s="150"/>
      <c r="E540" s="140" t="str">
        <f t="shared" si="27"/>
        <v/>
      </c>
      <c r="F540" s="157"/>
      <c r="G540" s="145">
        <f t="shared" si="25"/>
        <v>0</v>
      </c>
      <c r="H540" s="140" t="str">
        <f t="shared" si="26"/>
        <v/>
      </c>
      <c r="J540" s="147" t="str">
        <f>IFERROR(SUMIFS(当年实际!$V:$V,当年实际!$J:$J,$C540,当年实际!$C:$C,"&gt;="&amp;DATE(YEAR(主页!$D$2),1,1),当年实际!$C:$C,"&lt;="&amp;EOMONTH(DATE(YEAR(主页!$D$2),MONTH(主页!$D$2),1),0))/SUMIFS(当年实际!$P:$P,当年实际!$J:$J,$C540,当年实际!$C:$C,"&gt;="&amp;DATE(YEAR(主页!$D$2),1,1),当年实际!$C:$C,"&lt;="&amp;EOMONTH(DATE(YEAR(主页!$D$2),MONTH(主页!$D$2),1),0)),"")</f>
        <v/>
      </c>
    </row>
    <row r="541" spans="1:10" x14ac:dyDescent="0.3">
      <c r="A541" s="129"/>
      <c r="B541" s="150"/>
      <c r="C541" s="150"/>
      <c r="D541" s="150"/>
      <c r="E541" s="140" t="str">
        <f t="shared" si="27"/>
        <v/>
      </c>
      <c r="F541" s="157"/>
      <c r="G541" s="145">
        <f t="shared" si="25"/>
        <v>0</v>
      </c>
      <c r="H541" s="140" t="str">
        <f t="shared" si="26"/>
        <v/>
      </c>
      <c r="J541" s="147" t="str">
        <f>IFERROR(SUMIFS(当年实际!$V:$V,当年实际!$J:$J,$C541,当年实际!$C:$C,"&gt;="&amp;DATE(YEAR(主页!$D$2),1,1),当年实际!$C:$C,"&lt;="&amp;EOMONTH(DATE(YEAR(主页!$D$2),MONTH(主页!$D$2),1),0))/SUMIFS(当年实际!$P:$P,当年实际!$J:$J,$C541,当年实际!$C:$C,"&gt;="&amp;DATE(YEAR(主页!$D$2),1,1),当年实际!$C:$C,"&lt;="&amp;EOMONTH(DATE(YEAR(主页!$D$2),MONTH(主页!$D$2),1),0)),"")</f>
        <v/>
      </c>
    </row>
    <row r="542" spans="1:10" x14ac:dyDescent="0.3">
      <c r="A542" s="129"/>
      <c r="B542" s="150"/>
      <c r="C542" s="150"/>
      <c r="D542" s="150"/>
      <c r="E542" s="140" t="str">
        <f t="shared" si="27"/>
        <v/>
      </c>
      <c r="F542" s="157"/>
      <c r="G542" s="145">
        <f t="shared" si="25"/>
        <v>0</v>
      </c>
      <c r="H542" s="140" t="str">
        <f t="shared" si="26"/>
        <v/>
      </c>
      <c r="J542" s="147" t="str">
        <f>IFERROR(SUMIFS(当年实际!$V:$V,当年实际!$J:$J,$C542,当年实际!$C:$C,"&gt;="&amp;DATE(YEAR(主页!$D$2),1,1),当年实际!$C:$C,"&lt;="&amp;EOMONTH(DATE(YEAR(主页!$D$2),MONTH(主页!$D$2),1),0))/SUMIFS(当年实际!$P:$P,当年实际!$J:$J,$C542,当年实际!$C:$C,"&gt;="&amp;DATE(YEAR(主页!$D$2),1,1),当年实际!$C:$C,"&lt;="&amp;EOMONTH(DATE(YEAR(主页!$D$2),MONTH(主页!$D$2),1),0)),"")</f>
        <v/>
      </c>
    </row>
    <row r="543" spans="1:10" x14ac:dyDescent="0.3">
      <c r="A543" s="129"/>
      <c r="B543" s="150"/>
      <c r="C543" s="150"/>
      <c r="D543" s="150"/>
      <c r="E543" s="140" t="str">
        <f t="shared" si="27"/>
        <v/>
      </c>
      <c r="F543" s="157"/>
      <c r="G543" s="145">
        <f t="shared" ref="G543:G606" si="28">D543*F543</f>
        <v>0</v>
      </c>
      <c r="H543" s="140" t="str">
        <f t="shared" ref="H543:H606" si="29">IF(G543/SUM(G:G)=0,"",G543/SUM(G:G))</f>
        <v/>
      </c>
      <c r="J543" s="147" t="str">
        <f>IFERROR(SUMIFS(当年实际!$V:$V,当年实际!$J:$J,$C543,当年实际!$C:$C,"&gt;="&amp;DATE(YEAR(主页!$D$2),1,1),当年实际!$C:$C,"&lt;="&amp;EOMONTH(DATE(YEAR(主页!$D$2),MONTH(主页!$D$2),1),0))/SUMIFS(当年实际!$P:$P,当年实际!$J:$J,$C543,当年实际!$C:$C,"&gt;="&amp;DATE(YEAR(主页!$D$2),1,1),当年实际!$C:$C,"&lt;="&amp;EOMONTH(DATE(YEAR(主页!$D$2),MONTH(主页!$D$2),1),0)),"")</f>
        <v/>
      </c>
    </row>
    <row r="544" spans="1:10" x14ac:dyDescent="0.3">
      <c r="A544" s="129"/>
      <c r="B544" s="150"/>
      <c r="C544" s="150"/>
      <c r="D544" s="150"/>
      <c r="E544" s="140" t="str">
        <f t="shared" si="27"/>
        <v/>
      </c>
      <c r="F544" s="157"/>
      <c r="G544" s="145">
        <f t="shared" si="28"/>
        <v>0</v>
      </c>
      <c r="H544" s="140" t="str">
        <f t="shared" si="29"/>
        <v/>
      </c>
      <c r="J544" s="147" t="str">
        <f>IFERROR(SUMIFS(当年实际!$V:$V,当年实际!$J:$J,$C544,当年实际!$C:$C,"&gt;="&amp;DATE(YEAR(主页!$D$2),1,1),当年实际!$C:$C,"&lt;="&amp;EOMONTH(DATE(YEAR(主页!$D$2),MONTH(主页!$D$2),1),0))/SUMIFS(当年实际!$P:$P,当年实际!$J:$J,$C544,当年实际!$C:$C,"&gt;="&amp;DATE(YEAR(主页!$D$2),1,1),当年实际!$C:$C,"&lt;="&amp;EOMONTH(DATE(YEAR(主页!$D$2),MONTH(主页!$D$2),1),0)),"")</f>
        <v/>
      </c>
    </row>
    <row r="545" spans="1:10" x14ac:dyDescent="0.3">
      <c r="A545" s="129"/>
      <c r="B545" s="150"/>
      <c r="C545" s="150"/>
      <c r="D545" s="150"/>
      <c r="E545" s="140" t="str">
        <f t="shared" si="27"/>
        <v/>
      </c>
      <c r="F545" s="157"/>
      <c r="G545" s="145">
        <f t="shared" si="28"/>
        <v>0</v>
      </c>
      <c r="H545" s="140" t="str">
        <f t="shared" si="29"/>
        <v/>
      </c>
      <c r="J545" s="147" t="str">
        <f>IFERROR(SUMIFS(当年实际!$V:$V,当年实际!$J:$J,$C545,当年实际!$C:$C,"&gt;="&amp;DATE(YEAR(主页!$D$2),1,1),当年实际!$C:$C,"&lt;="&amp;EOMONTH(DATE(YEAR(主页!$D$2),MONTH(主页!$D$2),1),0))/SUMIFS(当年实际!$P:$P,当年实际!$J:$J,$C545,当年实际!$C:$C,"&gt;="&amp;DATE(YEAR(主页!$D$2),1,1),当年实际!$C:$C,"&lt;="&amp;EOMONTH(DATE(YEAR(主页!$D$2),MONTH(主页!$D$2),1),0)),"")</f>
        <v/>
      </c>
    </row>
    <row r="546" spans="1:10" x14ac:dyDescent="0.3">
      <c r="A546" s="129"/>
      <c r="B546" s="150"/>
      <c r="C546" s="150"/>
      <c r="D546" s="150"/>
      <c r="E546" s="140" t="str">
        <f t="shared" si="27"/>
        <v/>
      </c>
      <c r="F546" s="157"/>
      <c r="G546" s="145">
        <f t="shared" si="28"/>
        <v>0</v>
      </c>
      <c r="H546" s="140" t="str">
        <f t="shared" si="29"/>
        <v/>
      </c>
      <c r="J546" s="147" t="str">
        <f>IFERROR(SUMIFS(当年实际!$V:$V,当年实际!$J:$J,$C546,当年实际!$C:$C,"&gt;="&amp;DATE(YEAR(主页!$D$2),1,1),当年实际!$C:$C,"&lt;="&amp;EOMONTH(DATE(YEAR(主页!$D$2),MONTH(主页!$D$2),1),0))/SUMIFS(当年实际!$P:$P,当年实际!$J:$J,$C546,当年实际!$C:$C,"&gt;="&amp;DATE(YEAR(主页!$D$2),1,1),当年实际!$C:$C,"&lt;="&amp;EOMONTH(DATE(YEAR(主页!$D$2),MONTH(主页!$D$2),1),0)),"")</f>
        <v/>
      </c>
    </row>
    <row r="547" spans="1:10" x14ac:dyDescent="0.3">
      <c r="A547" s="129"/>
      <c r="B547" s="150"/>
      <c r="C547" s="150"/>
      <c r="D547" s="150"/>
      <c r="E547" s="140" t="str">
        <f t="shared" si="27"/>
        <v/>
      </c>
      <c r="F547" s="157"/>
      <c r="G547" s="145">
        <f t="shared" si="28"/>
        <v>0</v>
      </c>
      <c r="H547" s="140" t="str">
        <f t="shared" si="29"/>
        <v/>
      </c>
      <c r="J547" s="147" t="str">
        <f>IFERROR(SUMIFS(当年实际!$V:$V,当年实际!$J:$J,$C547,当年实际!$C:$C,"&gt;="&amp;DATE(YEAR(主页!$D$2),1,1),当年实际!$C:$C,"&lt;="&amp;EOMONTH(DATE(YEAR(主页!$D$2),MONTH(主页!$D$2),1),0))/SUMIFS(当年实际!$P:$P,当年实际!$J:$J,$C547,当年实际!$C:$C,"&gt;="&amp;DATE(YEAR(主页!$D$2),1,1),当年实际!$C:$C,"&lt;="&amp;EOMONTH(DATE(YEAR(主页!$D$2),MONTH(主页!$D$2),1),0)),"")</f>
        <v/>
      </c>
    </row>
    <row r="548" spans="1:10" x14ac:dyDescent="0.3">
      <c r="A548" s="129"/>
      <c r="B548" s="150"/>
      <c r="C548" s="150"/>
      <c r="D548" s="150"/>
      <c r="E548" s="140" t="str">
        <f t="shared" si="27"/>
        <v/>
      </c>
      <c r="F548" s="157"/>
      <c r="G548" s="145">
        <f t="shared" si="28"/>
        <v>0</v>
      </c>
      <c r="H548" s="140" t="str">
        <f t="shared" si="29"/>
        <v/>
      </c>
      <c r="J548" s="147" t="str">
        <f>IFERROR(SUMIFS(当年实际!$V:$V,当年实际!$J:$J,$C548,当年实际!$C:$C,"&gt;="&amp;DATE(YEAR(主页!$D$2),1,1),当年实际!$C:$C,"&lt;="&amp;EOMONTH(DATE(YEAR(主页!$D$2),MONTH(主页!$D$2),1),0))/SUMIFS(当年实际!$P:$P,当年实际!$J:$J,$C548,当年实际!$C:$C,"&gt;="&amp;DATE(YEAR(主页!$D$2),1,1),当年实际!$C:$C,"&lt;="&amp;EOMONTH(DATE(YEAR(主页!$D$2),MONTH(主页!$D$2),1),0)),"")</f>
        <v/>
      </c>
    </row>
    <row r="549" spans="1:10" x14ac:dyDescent="0.3">
      <c r="A549" s="129"/>
      <c r="B549" s="150"/>
      <c r="C549" s="150"/>
      <c r="D549" s="150"/>
      <c r="E549" s="140" t="str">
        <f t="shared" si="27"/>
        <v/>
      </c>
      <c r="F549" s="157"/>
      <c r="G549" s="145">
        <f t="shared" si="28"/>
        <v>0</v>
      </c>
      <c r="H549" s="140" t="str">
        <f t="shared" si="29"/>
        <v/>
      </c>
      <c r="J549" s="147" t="str">
        <f>IFERROR(SUMIFS(当年实际!$V:$V,当年实际!$J:$J,$C549,当年实际!$C:$C,"&gt;="&amp;DATE(YEAR(主页!$D$2),1,1),当年实际!$C:$C,"&lt;="&amp;EOMONTH(DATE(YEAR(主页!$D$2),MONTH(主页!$D$2),1),0))/SUMIFS(当年实际!$P:$P,当年实际!$J:$J,$C549,当年实际!$C:$C,"&gt;="&amp;DATE(YEAR(主页!$D$2),1,1),当年实际!$C:$C,"&lt;="&amp;EOMONTH(DATE(YEAR(主页!$D$2),MONTH(主页!$D$2),1),0)),"")</f>
        <v/>
      </c>
    </row>
    <row r="550" spans="1:10" x14ac:dyDescent="0.3">
      <c r="A550" s="129"/>
      <c r="B550" s="150"/>
      <c r="C550" s="150"/>
      <c r="D550" s="150"/>
      <c r="E550" s="140" t="str">
        <f t="shared" si="27"/>
        <v/>
      </c>
      <c r="F550" s="157"/>
      <c r="G550" s="145">
        <f t="shared" si="28"/>
        <v>0</v>
      </c>
      <c r="H550" s="140" t="str">
        <f t="shared" si="29"/>
        <v/>
      </c>
      <c r="J550" s="147" t="str">
        <f>IFERROR(SUMIFS(当年实际!$V:$V,当年实际!$J:$J,$C550,当年实际!$C:$C,"&gt;="&amp;DATE(YEAR(主页!$D$2),1,1),当年实际!$C:$C,"&lt;="&amp;EOMONTH(DATE(YEAR(主页!$D$2),MONTH(主页!$D$2),1),0))/SUMIFS(当年实际!$P:$P,当年实际!$J:$J,$C550,当年实际!$C:$C,"&gt;="&amp;DATE(YEAR(主页!$D$2),1,1),当年实际!$C:$C,"&lt;="&amp;EOMONTH(DATE(YEAR(主页!$D$2),MONTH(主页!$D$2),1),0)),"")</f>
        <v/>
      </c>
    </row>
    <row r="551" spans="1:10" x14ac:dyDescent="0.3">
      <c r="A551" s="129"/>
      <c r="B551" s="150"/>
      <c r="C551" s="150"/>
      <c r="D551" s="150"/>
      <c r="E551" s="140" t="str">
        <f t="shared" si="27"/>
        <v/>
      </c>
      <c r="F551" s="157"/>
      <c r="G551" s="145">
        <f t="shared" si="28"/>
        <v>0</v>
      </c>
      <c r="H551" s="140" t="str">
        <f t="shared" si="29"/>
        <v/>
      </c>
      <c r="J551" s="147" t="str">
        <f>IFERROR(SUMIFS(当年实际!$V:$V,当年实际!$J:$J,$C551,当年实际!$C:$C,"&gt;="&amp;DATE(YEAR(主页!$D$2),1,1),当年实际!$C:$C,"&lt;="&amp;EOMONTH(DATE(YEAR(主页!$D$2),MONTH(主页!$D$2),1),0))/SUMIFS(当年实际!$P:$P,当年实际!$J:$J,$C551,当年实际!$C:$C,"&gt;="&amp;DATE(YEAR(主页!$D$2),1,1),当年实际!$C:$C,"&lt;="&amp;EOMONTH(DATE(YEAR(主页!$D$2),MONTH(主页!$D$2),1),0)),"")</f>
        <v/>
      </c>
    </row>
    <row r="552" spans="1:10" x14ac:dyDescent="0.3">
      <c r="A552" s="129"/>
      <c r="B552" s="150"/>
      <c r="C552" s="150"/>
      <c r="D552" s="150"/>
      <c r="E552" s="140" t="str">
        <f t="shared" si="27"/>
        <v/>
      </c>
      <c r="F552" s="157"/>
      <c r="G552" s="145">
        <f t="shared" si="28"/>
        <v>0</v>
      </c>
      <c r="H552" s="140" t="str">
        <f t="shared" si="29"/>
        <v/>
      </c>
      <c r="J552" s="147" t="str">
        <f>IFERROR(SUMIFS(当年实际!$V:$V,当年实际!$J:$J,$C552,当年实际!$C:$C,"&gt;="&amp;DATE(YEAR(主页!$D$2),1,1),当年实际!$C:$C,"&lt;="&amp;EOMONTH(DATE(YEAR(主页!$D$2),MONTH(主页!$D$2),1),0))/SUMIFS(当年实际!$P:$P,当年实际!$J:$J,$C552,当年实际!$C:$C,"&gt;="&amp;DATE(YEAR(主页!$D$2),1,1),当年实际!$C:$C,"&lt;="&amp;EOMONTH(DATE(YEAR(主页!$D$2),MONTH(主页!$D$2),1),0)),"")</f>
        <v/>
      </c>
    </row>
    <row r="553" spans="1:10" x14ac:dyDescent="0.3">
      <c r="A553" s="129"/>
      <c r="B553" s="150"/>
      <c r="C553" s="150"/>
      <c r="D553" s="150"/>
      <c r="E553" s="140" t="str">
        <f t="shared" si="27"/>
        <v/>
      </c>
      <c r="F553" s="157"/>
      <c r="G553" s="145">
        <f t="shared" si="28"/>
        <v>0</v>
      </c>
      <c r="H553" s="140" t="str">
        <f t="shared" si="29"/>
        <v/>
      </c>
      <c r="J553" s="147" t="str">
        <f>IFERROR(SUMIFS(当年实际!$V:$V,当年实际!$J:$J,$C553,当年实际!$C:$C,"&gt;="&amp;DATE(YEAR(主页!$D$2),1,1),当年实际!$C:$C,"&lt;="&amp;EOMONTH(DATE(YEAR(主页!$D$2),MONTH(主页!$D$2),1),0))/SUMIFS(当年实际!$P:$P,当年实际!$J:$J,$C553,当年实际!$C:$C,"&gt;="&amp;DATE(YEAR(主页!$D$2),1,1),当年实际!$C:$C,"&lt;="&amp;EOMONTH(DATE(YEAR(主页!$D$2),MONTH(主页!$D$2),1),0)),"")</f>
        <v/>
      </c>
    </row>
    <row r="554" spans="1:10" x14ac:dyDescent="0.3">
      <c r="A554" s="129"/>
      <c r="B554" s="150"/>
      <c r="C554" s="150"/>
      <c r="D554" s="150"/>
      <c r="E554" s="140" t="str">
        <f t="shared" si="27"/>
        <v/>
      </c>
      <c r="F554" s="157"/>
      <c r="G554" s="145">
        <f t="shared" si="28"/>
        <v>0</v>
      </c>
      <c r="H554" s="140" t="str">
        <f t="shared" si="29"/>
        <v/>
      </c>
      <c r="J554" s="147" t="str">
        <f>IFERROR(SUMIFS(当年实际!$V:$V,当年实际!$J:$J,$C554,当年实际!$C:$C,"&gt;="&amp;DATE(YEAR(主页!$D$2),1,1),当年实际!$C:$C,"&lt;="&amp;EOMONTH(DATE(YEAR(主页!$D$2),MONTH(主页!$D$2),1),0))/SUMIFS(当年实际!$P:$P,当年实际!$J:$J,$C554,当年实际!$C:$C,"&gt;="&amp;DATE(YEAR(主页!$D$2),1,1),当年实际!$C:$C,"&lt;="&amp;EOMONTH(DATE(YEAR(主页!$D$2),MONTH(主页!$D$2),1),0)),"")</f>
        <v/>
      </c>
    </row>
    <row r="555" spans="1:10" x14ac:dyDescent="0.3">
      <c r="A555" s="129"/>
      <c r="B555" s="150"/>
      <c r="C555" s="150"/>
      <c r="D555" s="150"/>
      <c r="E555" s="140" t="str">
        <f t="shared" si="27"/>
        <v/>
      </c>
      <c r="F555" s="157"/>
      <c r="G555" s="145">
        <f t="shared" si="28"/>
        <v>0</v>
      </c>
      <c r="H555" s="140" t="str">
        <f t="shared" si="29"/>
        <v/>
      </c>
      <c r="J555" s="147" t="str">
        <f>IFERROR(SUMIFS(当年实际!$V:$V,当年实际!$J:$J,$C555,当年实际!$C:$C,"&gt;="&amp;DATE(YEAR(主页!$D$2),1,1),当年实际!$C:$C,"&lt;="&amp;EOMONTH(DATE(YEAR(主页!$D$2),MONTH(主页!$D$2),1),0))/SUMIFS(当年实际!$P:$P,当年实际!$J:$J,$C555,当年实际!$C:$C,"&gt;="&amp;DATE(YEAR(主页!$D$2),1,1),当年实际!$C:$C,"&lt;="&amp;EOMONTH(DATE(YEAR(主页!$D$2),MONTH(主页!$D$2),1),0)),"")</f>
        <v/>
      </c>
    </row>
    <row r="556" spans="1:10" x14ac:dyDescent="0.3">
      <c r="A556" s="129"/>
      <c r="B556" s="150"/>
      <c r="C556" s="150"/>
      <c r="D556" s="150"/>
      <c r="E556" s="140" t="str">
        <f t="shared" si="27"/>
        <v/>
      </c>
      <c r="F556" s="157"/>
      <c r="G556" s="145">
        <f t="shared" si="28"/>
        <v>0</v>
      </c>
      <c r="H556" s="140" t="str">
        <f t="shared" si="29"/>
        <v/>
      </c>
      <c r="J556" s="147" t="str">
        <f>IFERROR(SUMIFS(当年实际!$V:$V,当年实际!$J:$J,$C556,当年实际!$C:$C,"&gt;="&amp;DATE(YEAR(主页!$D$2),1,1),当年实际!$C:$C,"&lt;="&amp;EOMONTH(DATE(YEAR(主页!$D$2),MONTH(主页!$D$2),1),0))/SUMIFS(当年实际!$P:$P,当年实际!$J:$J,$C556,当年实际!$C:$C,"&gt;="&amp;DATE(YEAR(主页!$D$2),1,1),当年实际!$C:$C,"&lt;="&amp;EOMONTH(DATE(YEAR(主页!$D$2),MONTH(主页!$D$2),1),0)),"")</f>
        <v/>
      </c>
    </row>
    <row r="557" spans="1:10" x14ac:dyDescent="0.3">
      <c r="A557" s="129"/>
      <c r="B557" s="150"/>
      <c r="C557" s="150"/>
      <c r="D557" s="150"/>
      <c r="E557" s="140" t="str">
        <f t="shared" si="27"/>
        <v/>
      </c>
      <c r="F557" s="157"/>
      <c r="G557" s="145">
        <f t="shared" si="28"/>
        <v>0</v>
      </c>
      <c r="H557" s="140" t="str">
        <f t="shared" si="29"/>
        <v/>
      </c>
      <c r="J557" s="147" t="str">
        <f>IFERROR(SUMIFS(当年实际!$V:$V,当年实际!$J:$J,$C557,当年实际!$C:$C,"&gt;="&amp;DATE(YEAR(主页!$D$2),1,1),当年实际!$C:$C,"&lt;="&amp;EOMONTH(DATE(YEAR(主页!$D$2),MONTH(主页!$D$2),1),0))/SUMIFS(当年实际!$P:$P,当年实际!$J:$J,$C557,当年实际!$C:$C,"&gt;="&amp;DATE(YEAR(主页!$D$2),1,1),当年实际!$C:$C,"&lt;="&amp;EOMONTH(DATE(YEAR(主页!$D$2),MONTH(主页!$D$2),1),0)),"")</f>
        <v/>
      </c>
    </row>
    <row r="558" spans="1:10" x14ac:dyDescent="0.3">
      <c r="A558" s="129"/>
      <c r="B558" s="150"/>
      <c r="C558" s="150"/>
      <c r="D558" s="150"/>
      <c r="E558" s="140" t="str">
        <f t="shared" si="27"/>
        <v/>
      </c>
      <c r="F558" s="157"/>
      <c r="G558" s="145">
        <f t="shared" si="28"/>
        <v>0</v>
      </c>
      <c r="H558" s="140" t="str">
        <f t="shared" si="29"/>
        <v/>
      </c>
      <c r="J558" s="147" t="str">
        <f>IFERROR(SUMIFS(当年实际!$V:$V,当年实际!$J:$J,$C558,当年实际!$C:$C,"&gt;="&amp;DATE(YEAR(主页!$D$2),1,1),当年实际!$C:$C,"&lt;="&amp;EOMONTH(DATE(YEAR(主页!$D$2),MONTH(主页!$D$2),1),0))/SUMIFS(当年实际!$P:$P,当年实际!$J:$J,$C558,当年实际!$C:$C,"&gt;="&amp;DATE(YEAR(主页!$D$2),1,1),当年实际!$C:$C,"&lt;="&amp;EOMONTH(DATE(YEAR(主页!$D$2),MONTH(主页!$D$2),1),0)),"")</f>
        <v/>
      </c>
    </row>
    <row r="559" spans="1:10" x14ac:dyDescent="0.3">
      <c r="A559" s="129"/>
      <c r="B559" s="150"/>
      <c r="C559" s="150"/>
      <c r="D559" s="150"/>
      <c r="E559" s="140" t="str">
        <f t="shared" si="27"/>
        <v/>
      </c>
      <c r="F559" s="157"/>
      <c r="G559" s="145">
        <f t="shared" si="28"/>
        <v>0</v>
      </c>
      <c r="H559" s="140" t="str">
        <f t="shared" si="29"/>
        <v/>
      </c>
      <c r="J559" s="147" t="str">
        <f>IFERROR(SUMIFS(当年实际!$V:$V,当年实际!$J:$J,$C559,当年实际!$C:$C,"&gt;="&amp;DATE(YEAR(主页!$D$2),1,1),当年实际!$C:$C,"&lt;="&amp;EOMONTH(DATE(YEAR(主页!$D$2),MONTH(主页!$D$2),1),0))/SUMIFS(当年实际!$P:$P,当年实际!$J:$J,$C559,当年实际!$C:$C,"&gt;="&amp;DATE(YEAR(主页!$D$2),1,1),当年实际!$C:$C,"&lt;="&amp;EOMONTH(DATE(YEAR(主页!$D$2),MONTH(主页!$D$2),1),0)),"")</f>
        <v/>
      </c>
    </row>
    <row r="560" spans="1:10" x14ac:dyDescent="0.3">
      <c r="A560" s="129"/>
      <c r="B560" s="150"/>
      <c r="C560" s="150"/>
      <c r="D560" s="150"/>
      <c r="E560" s="140" t="str">
        <f t="shared" si="27"/>
        <v/>
      </c>
      <c r="F560" s="157"/>
      <c r="G560" s="145">
        <f t="shared" si="28"/>
        <v>0</v>
      </c>
      <c r="H560" s="140" t="str">
        <f t="shared" si="29"/>
        <v/>
      </c>
      <c r="J560" s="147" t="str">
        <f>IFERROR(SUMIFS(当年实际!$V:$V,当年实际!$J:$J,$C560,当年实际!$C:$C,"&gt;="&amp;DATE(YEAR(主页!$D$2),1,1),当年实际!$C:$C,"&lt;="&amp;EOMONTH(DATE(YEAR(主页!$D$2),MONTH(主页!$D$2),1),0))/SUMIFS(当年实际!$P:$P,当年实际!$J:$J,$C560,当年实际!$C:$C,"&gt;="&amp;DATE(YEAR(主页!$D$2),1,1),当年实际!$C:$C,"&lt;="&amp;EOMONTH(DATE(YEAR(主页!$D$2),MONTH(主页!$D$2),1),0)),"")</f>
        <v/>
      </c>
    </row>
    <row r="561" spans="1:10" x14ac:dyDescent="0.3">
      <c r="A561" s="129"/>
      <c r="B561" s="150"/>
      <c r="C561" s="150"/>
      <c r="D561" s="150"/>
      <c r="E561" s="140" t="str">
        <f t="shared" si="27"/>
        <v/>
      </c>
      <c r="F561" s="157"/>
      <c r="G561" s="145">
        <f t="shared" si="28"/>
        <v>0</v>
      </c>
      <c r="H561" s="140" t="str">
        <f t="shared" si="29"/>
        <v/>
      </c>
      <c r="J561" s="147" t="str">
        <f>IFERROR(SUMIFS(当年实际!$V:$V,当年实际!$J:$J,$C561,当年实际!$C:$C,"&gt;="&amp;DATE(YEAR(主页!$D$2),1,1),当年实际!$C:$C,"&lt;="&amp;EOMONTH(DATE(YEAR(主页!$D$2),MONTH(主页!$D$2),1),0))/SUMIFS(当年实际!$P:$P,当年实际!$J:$J,$C561,当年实际!$C:$C,"&gt;="&amp;DATE(YEAR(主页!$D$2),1,1),当年实际!$C:$C,"&lt;="&amp;EOMONTH(DATE(YEAR(主页!$D$2),MONTH(主页!$D$2),1),0)),"")</f>
        <v/>
      </c>
    </row>
    <row r="562" spans="1:10" x14ac:dyDescent="0.3">
      <c r="A562" s="129"/>
      <c r="B562" s="150"/>
      <c r="C562" s="150"/>
      <c r="D562" s="150"/>
      <c r="E562" s="140" t="str">
        <f t="shared" si="27"/>
        <v/>
      </c>
      <c r="F562" s="157"/>
      <c r="G562" s="145">
        <f t="shared" si="28"/>
        <v>0</v>
      </c>
      <c r="H562" s="140" t="str">
        <f t="shared" si="29"/>
        <v/>
      </c>
      <c r="J562" s="147" t="str">
        <f>IFERROR(SUMIFS(当年实际!$V:$V,当年实际!$J:$J,$C562,当年实际!$C:$C,"&gt;="&amp;DATE(YEAR(主页!$D$2),1,1),当年实际!$C:$C,"&lt;="&amp;EOMONTH(DATE(YEAR(主页!$D$2),MONTH(主页!$D$2),1),0))/SUMIFS(当年实际!$P:$P,当年实际!$J:$J,$C562,当年实际!$C:$C,"&gt;="&amp;DATE(YEAR(主页!$D$2),1,1),当年实际!$C:$C,"&lt;="&amp;EOMONTH(DATE(YEAR(主页!$D$2),MONTH(主页!$D$2),1),0)),"")</f>
        <v/>
      </c>
    </row>
    <row r="563" spans="1:10" x14ac:dyDescent="0.3">
      <c r="A563" s="129"/>
      <c r="B563" s="150"/>
      <c r="C563" s="150"/>
      <c r="D563" s="150"/>
      <c r="E563" s="140" t="str">
        <f t="shared" si="27"/>
        <v/>
      </c>
      <c r="F563" s="157"/>
      <c r="G563" s="145">
        <f t="shared" si="28"/>
        <v>0</v>
      </c>
      <c r="H563" s="140" t="str">
        <f t="shared" si="29"/>
        <v/>
      </c>
      <c r="J563" s="147" t="str">
        <f>IFERROR(SUMIFS(当年实际!$V:$V,当年实际!$J:$J,$C563,当年实际!$C:$C,"&gt;="&amp;DATE(YEAR(主页!$D$2),1,1),当年实际!$C:$C,"&lt;="&amp;EOMONTH(DATE(YEAR(主页!$D$2),MONTH(主页!$D$2),1),0))/SUMIFS(当年实际!$P:$P,当年实际!$J:$J,$C563,当年实际!$C:$C,"&gt;="&amp;DATE(YEAR(主页!$D$2),1,1),当年实际!$C:$C,"&lt;="&amp;EOMONTH(DATE(YEAR(主页!$D$2),MONTH(主页!$D$2),1),0)),"")</f>
        <v/>
      </c>
    </row>
    <row r="564" spans="1:10" x14ac:dyDescent="0.3">
      <c r="A564" s="129"/>
      <c r="B564" s="150"/>
      <c r="C564" s="150"/>
      <c r="D564" s="150"/>
      <c r="E564" s="140" t="str">
        <f t="shared" si="27"/>
        <v/>
      </c>
      <c r="F564" s="157"/>
      <c r="G564" s="145">
        <f t="shared" si="28"/>
        <v>0</v>
      </c>
      <c r="H564" s="140" t="str">
        <f t="shared" si="29"/>
        <v/>
      </c>
      <c r="J564" s="147" t="str">
        <f>IFERROR(SUMIFS(当年实际!$V:$V,当年实际!$J:$J,$C564,当年实际!$C:$C,"&gt;="&amp;DATE(YEAR(主页!$D$2),1,1),当年实际!$C:$C,"&lt;="&amp;EOMONTH(DATE(YEAR(主页!$D$2),MONTH(主页!$D$2),1),0))/SUMIFS(当年实际!$P:$P,当年实际!$J:$J,$C564,当年实际!$C:$C,"&gt;="&amp;DATE(YEAR(主页!$D$2),1,1),当年实际!$C:$C,"&lt;="&amp;EOMONTH(DATE(YEAR(主页!$D$2),MONTH(主页!$D$2),1),0)),"")</f>
        <v/>
      </c>
    </row>
    <row r="565" spans="1:10" x14ac:dyDescent="0.3">
      <c r="A565" s="129"/>
      <c r="B565" s="150"/>
      <c r="C565" s="150"/>
      <c r="D565" s="150"/>
      <c r="E565" s="140" t="str">
        <f t="shared" si="27"/>
        <v/>
      </c>
      <c r="F565" s="157"/>
      <c r="G565" s="145">
        <f t="shared" si="28"/>
        <v>0</v>
      </c>
      <c r="H565" s="140" t="str">
        <f t="shared" si="29"/>
        <v/>
      </c>
      <c r="J565" s="147" t="str">
        <f>IFERROR(SUMIFS(当年实际!$V:$V,当年实际!$J:$J,$C565,当年实际!$C:$C,"&gt;="&amp;DATE(YEAR(主页!$D$2),1,1),当年实际!$C:$C,"&lt;="&amp;EOMONTH(DATE(YEAR(主页!$D$2),MONTH(主页!$D$2),1),0))/SUMIFS(当年实际!$P:$P,当年实际!$J:$J,$C565,当年实际!$C:$C,"&gt;="&amp;DATE(YEAR(主页!$D$2),1,1),当年实际!$C:$C,"&lt;="&amp;EOMONTH(DATE(YEAR(主页!$D$2),MONTH(主页!$D$2),1),0)),"")</f>
        <v/>
      </c>
    </row>
    <row r="566" spans="1:10" x14ac:dyDescent="0.3">
      <c r="A566" s="129"/>
      <c r="B566" s="150"/>
      <c r="C566" s="150"/>
      <c r="D566" s="150"/>
      <c r="E566" s="140" t="str">
        <f t="shared" si="27"/>
        <v/>
      </c>
      <c r="F566" s="157"/>
      <c r="G566" s="145">
        <f t="shared" si="28"/>
        <v>0</v>
      </c>
      <c r="H566" s="140" t="str">
        <f t="shared" si="29"/>
        <v/>
      </c>
      <c r="J566" s="147" t="str">
        <f>IFERROR(SUMIFS(当年实际!$V:$V,当年实际!$J:$J,$C566,当年实际!$C:$C,"&gt;="&amp;DATE(YEAR(主页!$D$2),1,1),当年实际!$C:$C,"&lt;="&amp;EOMONTH(DATE(YEAR(主页!$D$2),MONTH(主页!$D$2),1),0))/SUMIFS(当年实际!$P:$P,当年实际!$J:$J,$C566,当年实际!$C:$C,"&gt;="&amp;DATE(YEAR(主页!$D$2),1,1),当年实际!$C:$C,"&lt;="&amp;EOMONTH(DATE(YEAR(主页!$D$2),MONTH(主页!$D$2),1),0)),"")</f>
        <v/>
      </c>
    </row>
    <row r="567" spans="1:10" x14ac:dyDescent="0.3">
      <c r="A567" s="129"/>
      <c r="B567" s="150"/>
      <c r="C567" s="150"/>
      <c r="D567" s="150"/>
      <c r="E567" s="140" t="str">
        <f t="shared" si="27"/>
        <v/>
      </c>
      <c r="F567" s="157"/>
      <c r="G567" s="145">
        <f t="shared" si="28"/>
        <v>0</v>
      </c>
      <c r="H567" s="140" t="str">
        <f t="shared" si="29"/>
        <v/>
      </c>
      <c r="J567" s="147" t="str">
        <f>IFERROR(SUMIFS(当年实际!$V:$V,当年实际!$J:$J,$C567,当年实际!$C:$C,"&gt;="&amp;DATE(YEAR(主页!$D$2),1,1),当年实际!$C:$C,"&lt;="&amp;EOMONTH(DATE(YEAR(主页!$D$2),MONTH(主页!$D$2),1),0))/SUMIFS(当年实际!$P:$P,当年实际!$J:$J,$C567,当年实际!$C:$C,"&gt;="&amp;DATE(YEAR(主页!$D$2),1,1),当年实际!$C:$C,"&lt;="&amp;EOMONTH(DATE(YEAR(主页!$D$2),MONTH(主页!$D$2),1),0)),"")</f>
        <v/>
      </c>
    </row>
    <row r="568" spans="1:10" x14ac:dyDescent="0.3">
      <c r="A568" s="129"/>
      <c r="B568" s="150"/>
      <c r="C568" s="150"/>
      <c r="D568" s="150"/>
      <c r="E568" s="140" t="str">
        <f t="shared" si="27"/>
        <v/>
      </c>
      <c r="F568" s="157"/>
      <c r="G568" s="145">
        <f t="shared" si="28"/>
        <v>0</v>
      </c>
      <c r="H568" s="140" t="str">
        <f t="shared" si="29"/>
        <v/>
      </c>
      <c r="J568" s="147" t="str">
        <f>IFERROR(SUMIFS(当年实际!$V:$V,当年实际!$J:$J,$C568,当年实际!$C:$C,"&gt;="&amp;DATE(YEAR(主页!$D$2),1,1),当年实际!$C:$C,"&lt;="&amp;EOMONTH(DATE(YEAR(主页!$D$2),MONTH(主页!$D$2),1),0))/SUMIFS(当年实际!$P:$P,当年实际!$J:$J,$C568,当年实际!$C:$C,"&gt;="&amp;DATE(YEAR(主页!$D$2),1,1),当年实际!$C:$C,"&lt;="&amp;EOMONTH(DATE(YEAR(主页!$D$2),MONTH(主页!$D$2),1),0)),"")</f>
        <v/>
      </c>
    </row>
    <row r="569" spans="1:10" x14ac:dyDescent="0.3">
      <c r="A569" s="129"/>
      <c r="B569" s="150"/>
      <c r="C569" s="150"/>
      <c r="D569" s="150"/>
      <c r="E569" s="140" t="str">
        <f t="shared" si="27"/>
        <v/>
      </c>
      <c r="F569" s="157"/>
      <c r="G569" s="145">
        <f t="shared" si="28"/>
        <v>0</v>
      </c>
      <c r="H569" s="140" t="str">
        <f t="shared" si="29"/>
        <v/>
      </c>
      <c r="J569" s="147" t="str">
        <f>IFERROR(SUMIFS(当年实际!$V:$V,当年实际!$J:$J,$C569,当年实际!$C:$C,"&gt;="&amp;DATE(YEAR(主页!$D$2),1,1),当年实际!$C:$C,"&lt;="&amp;EOMONTH(DATE(YEAR(主页!$D$2),MONTH(主页!$D$2),1),0))/SUMIFS(当年实际!$P:$P,当年实际!$J:$J,$C569,当年实际!$C:$C,"&gt;="&amp;DATE(YEAR(主页!$D$2),1,1),当年实际!$C:$C,"&lt;="&amp;EOMONTH(DATE(YEAR(主页!$D$2),MONTH(主页!$D$2),1),0)),"")</f>
        <v/>
      </c>
    </row>
    <row r="570" spans="1:10" x14ac:dyDescent="0.3">
      <c r="A570" s="129"/>
      <c r="B570" s="150"/>
      <c r="C570" s="150"/>
      <c r="D570" s="150"/>
      <c r="E570" s="140" t="str">
        <f t="shared" si="27"/>
        <v/>
      </c>
      <c r="F570" s="157"/>
      <c r="G570" s="145">
        <f t="shared" si="28"/>
        <v>0</v>
      </c>
      <c r="H570" s="140" t="str">
        <f t="shared" si="29"/>
        <v/>
      </c>
      <c r="J570" s="147" t="str">
        <f>IFERROR(SUMIFS(当年实际!$V:$V,当年实际!$J:$J,$C570,当年实际!$C:$C,"&gt;="&amp;DATE(YEAR(主页!$D$2),1,1),当年实际!$C:$C,"&lt;="&amp;EOMONTH(DATE(YEAR(主页!$D$2),MONTH(主页!$D$2),1),0))/SUMIFS(当年实际!$P:$P,当年实际!$J:$J,$C570,当年实际!$C:$C,"&gt;="&amp;DATE(YEAR(主页!$D$2),1,1),当年实际!$C:$C,"&lt;="&amp;EOMONTH(DATE(YEAR(主页!$D$2),MONTH(主页!$D$2),1),0)),"")</f>
        <v/>
      </c>
    </row>
    <row r="571" spans="1:10" x14ac:dyDescent="0.3">
      <c r="A571" s="129"/>
      <c r="B571" s="150"/>
      <c r="C571" s="150"/>
      <c r="D571" s="150"/>
      <c r="E571" s="140" t="str">
        <f t="shared" si="27"/>
        <v/>
      </c>
      <c r="F571" s="157"/>
      <c r="G571" s="145">
        <f t="shared" si="28"/>
        <v>0</v>
      </c>
      <c r="H571" s="140" t="str">
        <f t="shared" si="29"/>
        <v/>
      </c>
      <c r="J571" s="147" t="str">
        <f>IFERROR(SUMIFS(当年实际!$V:$V,当年实际!$J:$J,$C571,当年实际!$C:$C,"&gt;="&amp;DATE(YEAR(主页!$D$2),1,1),当年实际!$C:$C,"&lt;="&amp;EOMONTH(DATE(YEAR(主页!$D$2),MONTH(主页!$D$2),1),0))/SUMIFS(当年实际!$P:$P,当年实际!$J:$J,$C571,当年实际!$C:$C,"&gt;="&amp;DATE(YEAR(主页!$D$2),1,1),当年实际!$C:$C,"&lt;="&amp;EOMONTH(DATE(YEAR(主页!$D$2),MONTH(主页!$D$2),1),0)),"")</f>
        <v/>
      </c>
    </row>
    <row r="572" spans="1:10" x14ac:dyDescent="0.3">
      <c r="A572" s="129"/>
      <c r="B572" s="150"/>
      <c r="C572" s="150"/>
      <c r="D572" s="150"/>
      <c r="E572" s="140" t="str">
        <f t="shared" si="27"/>
        <v/>
      </c>
      <c r="F572" s="157"/>
      <c r="G572" s="145">
        <f t="shared" si="28"/>
        <v>0</v>
      </c>
      <c r="H572" s="140" t="str">
        <f t="shared" si="29"/>
        <v/>
      </c>
      <c r="J572" s="147" t="str">
        <f>IFERROR(SUMIFS(当年实际!$V:$V,当年实际!$J:$J,$C572,当年实际!$C:$C,"&gt;="&amp;DATE(YEAR(主页!$D$2),1,1),当年实际!$C:$C,"&lt;="&amp;EOMONTH(DATE(YEAR(主页!$D$2),MONTH(主页!$D$2),1),0))/SUMIFS(当年实际!$P:$P,当年实际!$J:$J,$C572,当年实际!$C:$C,"&gt;="&amp;DATE(YEAR(主页!$D$2),1,1),当年实际!$C:$C,"&lt;="&amp;EOMONTH(DATE(YEAR(主页!$D$2),MONTH(主页!$D$2),1),0)),"")</f>
        <v/>
      </c>
    </row>
    <row r="573" spans="1:10" x14ac:dyDescent="0.3">
      <c r="A573" s="129"/>
      <c r="B573" s="150"/>
      <c r="C573" s="150"/>
      <c r="D573" s="150"/>
      <c r="E573" s="140" t="str">
        <f t="shared" si="27"/>
        <v/>
      </c>
      <c r="F573" s="157"/>
      <c r="G573" s="145">
        <f t="shared" si="28"/>
        <v>0</v>
      </c>
      <c r="H573" s="140" t="str">
        <f t="shared" si="29"/>
        <v/>
      </c>
      <c r="J573" s="147" t="str">
        <f>IFERROR(SUMIFS(当年实际!$V:$V,当年实际!$J:$J,$C573,当年实际!$C:$C,"&gt;="&amp;DATE(YEAR(主页!$D$2),1,1),当年实际!$C:$C,"&lt;="&amp;EOMONTH(DATE(YEAR(主页!$D$2),MONTH(主页!$D$2),1),0))/SUMIFS(当年实际!$P:$P,当年实际!$J:$J,$C573,当年实际!$C:$C,"&gt;="&amp;DATE(YEAR(主页!$D$2),1,1),当年实际!$C:$C,"&lt;="&amp;EOMONTH(DATE(YEAR(主页!$D$2),MONTH(主页!$D$2),1),0)),"")</f>
        <v/>
      </c>
    </row>
    <row r="574" spans="1:10" x14ac:dyDescent="0.3">
      <c r="A574" s="129"/>
      <c r="B574" s="150"/>
      <c r="C574" s="150"/>
      <c r="D574" s="150"/>
      <c r="E574" s="140" t="str">
        <f t="shared" si="27"/>
        <v/>
      </c>
      <c r="F574" s="157"/>
      <c r="G574" s="145">
        <f t="shared" si="28"/>
        <v>0</v>
      </c>
      <c r="H574" s="140" t="str">
        <f t="shared" si="29"/>
        <v/>
      </c>
      <c r="J574" s="147" t="str">
        <f>IFERROR(SUMIFS(当年实际!$V:$V,当年实际!$J:$J,$C574,当年实际!$C:$C,"&gt;="&amp;DATE(YEAR(主页!$D$2),1,1),当年实际!$C:$C,"&lt;="&amp;EOMONTH(DATE(YEAR(主页!$D$2),MONTH(主页!$D$2),1),0))/SUMIFS(当年实际!$P:$P,当年实际!$J:$J,$C574,当年实际!$C:$C,"&gt;="&amp;DATE(YEAR(主页!$D$2),1,1),当年实际!$C:$C,"&lt;="&amp;EOMONTH(DATE(YEAR(主页!$D$2),MONTH(主页!$D$2),1),0)),"")</f>
        <v/>
      </c>
    </row>
    <row r="575" spans="1:10" x14ac:dyDescent="0.3">
      <c r="A575" s="129"/>
      <c r="B575" s="150"/>
      <c r="C575" s="150"/>
      <c r="D575" s="150"/>
      <c r="E575" s="140" t="str">
        <f t="shared" si="27"/>
        <v/>
      </c>
      <c r="F575" s="157"/>
      <c r="G575" s="145">
        <f t="shared" si="28"/>
        <v>0</v>
      </c>
      <c r="H575" s="140" t="str">
        <f t="shared" si="29"/>
        <v/>
      </c>
      <c r="J575" s="147" t="str">
        <f>IFERROR(SUMIFS(当年实际!$V:$V,当年实际!$J:$J,$C575,当年实际!$C:$C,"&gt;="&amp;DATE(YEAR(主页!$D$2),1,1),当年实际!$C:$C,"&lt;="&amp;EOMONTH(DATE(YEAR(主页!$D$2),MONTH(主页!$D$2),1),0))/SUMIFS(当年实际!$P:$P,当年实际!$J:$J,$C575,当年实际!$C:$C,"&gt;="&amp;DATE(YEAR(主页!$D$2),1,1),当年实际!$C:$C,"&lt;="&amp;EOMONTH(DATE(YEAR(主页!$D$2),MONTH(主页!$D$2),1),0)),"")</f>
        <v/>
      </c>
    </row>
    <row r="576" spans="1:10" x14ac:dyDescent="0.3">
      <c r="A576" s="129"/>
      <c r="B576" s="150"/>
      <c r="C576" s="150"/>
      <c r="D576" s="150"/>
      <c r="E576" s="140" t="str">
        <f t="shared" si="27"/>
        <v/>
      </c>
      <c r="F576" s="157"/>
      <c r="G576" s="145">
        <f t="shared" si="28"/>
        <v>0</v>
      </c>
      <c r="H576" s="140" t="str">
        <f t="shared" si="29"/>
        <v/>
      </c>
      <c r="J576" s="147" t="str">
        <f>IFERROR(SUMIFS(当年实际!$V:$V,当年实际!$J:$J,$C576,当年实际!$C:$C,"&gt;="&amp;DATE(YEAR(主页!$D$2),1,1),当年实际!$C:$C,"&lt;="&amp;EOMONTH(DATE(YEAR(主页!$D$2),MONTH(主页!$D$2),1),0))/SUMIFS(当年实际!$P:$P,当年实际!$J:$J,$C576,当年实际!$C:$C,"&gt;="&amp;DATE(YEAR(主页!$D$2),1,1),当年实际!$C:$C,"&lt;="&amp;EOMONTH(DATE(YEAR(主页!$D$2),MONTH(主页!$D$2),1),0)),"")</f>
        <v/>
      </c>
    </row>
    <row r="577" spans="1:10" x14ac:dyDescent="0.3">
      <c r="A577" s="129"/>
      <c r="B577" s="150"/>
      <c r="C577" s="150"/>
      <c r="D577" s="150"/>
      <c r="E577" s="140" t="str">
        <f t="shared" si="27"/>
        <v/>
      </c>
      <c r="F577" s="157"/>
      <c r="G577" s="145">
        <f t="shared" si="28"/>
        <v>0</v>
      </c>
      <c r="H577" s="140" t="str">
        <f t="shared" si="29"/>
        <v/>
      </c>
      <c r="J577" s="147" t="str">
        <f>IFERROR(SUMIFS(当年实际!$V:$V,当年实际!$J:$J,$C577,当年实际!$C:$C,"&gt;="&amp;DATE(YEAR(主页!$D$2),1,1),当年实际!$C:$C,"&lt;="&amp;EOMONTH(DATE(YEAR(主页!$D$2),MONTH(主页!$D$2),1),0))/SUMIFS(当年实际!$P:$P,当年实际!$J:$J,$C577,当年实际!$C:$C,"&gt;="&amp;DATE(YEAR(主页!$D$2),1,1),当年实际!$C:$C,"&lt;="&amp;EOMONTH(DATE(YEAR(主页!$D$2),MONTH(主页!$D$2),1),0)),"")</f>
        <v/>
      </c>
    </row>
    <row r="578" spans="1:10" x14ac:dyDescent="0.3">
      <c r="A578" s="129"/>
      <c r="B578" s="150"/>
      <c r="C578" s="150"/>
      <c r="D578" s="150"/>
      <c r="E578" s="140" t="str">
        <f t="shared" si="27"/>
        <v/>
      </c>
      <c r="F578" s="157"/>
      <c r="G578" s="145">
        <f t="shared" si="28"/>
        <v>0</v>
      </c>
      <c r="H578" s="140" t="str">
        <f t="shared" si="29"/>
        <v/>
      </c>
      <c r="J578" s="147" t="str">
        <f>IFERROR(SUMIFS(当年实际!$V:$V,当年实际!$J:$J,$C578,当年实际!$C:$C,"&gt;="&amp;DATE(YEAR(主页!$D$2),1,1),当年实际!$C:$C,"&lt;="&amp;EOMONTH(DATE(YEAR(主页!$D$2),MONTH(主页!$D$2),1),0))/SUMIFS(当年实际!$P:$P,当年实际!$J:$J,$C578,当年实际!$C:$C,"&gt;="&amp;DATE(YEAR(主页!$D$2),1,1),当年实际!$C:$C,"&lt;="&amp;EOMONTH(DATE(YEAR(主页!$D$2),MONTH(主页!$D$2),1),0)),"")</f>
        <v/>
      </c>
    </row>
    <row r="579" spans="1:10" x14ac:dyDescent="0.3">
      <c r="A579" s="129"/>
      <c r="B579" s="150"/>
      <c r="C579" s="150"/>
      <c r="D579" s="150"/>
      <c r="E579" s="140" t="str">
        <f t="shared" si="27"/>
        <v/>
      </c>
      <c r="F579" s="157"/>
      <c r="G579" s="145">
        <f t="shared" si="28"/>
        <v>0</v>
      </c>
      <c r="H579" s="140" t="str">
        <f t="shared" si="29"/>
        <v/>
      </c>
      <c r="J579" s="147" t="str">
        <f>IFERROR(SUMIFS(当年实际!$V:$V,当年实际!$J:$J,$C579,当年实际!$C:$C,"&gt;="&amp;DATE(YEAR(主页!$D$2),1,1),当年实际!$C:$C,"&lt;="&amp;EOMONTH(DATE(YEAR(主页!$D$2),MONTH(主页!$D$2),1),0))/SUMIFS(当年实际!$P:$P,当年实际!$J:$J,$C579,当年实际!$C:$C,"&gt;="&amp;DATE(YEAR(主页!$D$2),1,1),当年实际!$C:$C,"&lt;="&amp;EOMONTH(DATE(YEAR(主页!$D$2),MONTH(主页!$D$2),1),0)),"")</f>
        <v/>
      </c>
    </row>
    <row r="580" spans="1:10" x14ac:dyDescent="0.3">
      <c r="A580" s="129"/>
      <c r="B580" s="150"/>
      <c r="C580" s="150"/>
      <c r="D580" s="150"/>
      <c r="E580" s="140" t="str">
        <f t="shared" ref="E580:E643" si="30">IF(D580/SUM(D:D)=0,"",D580/SUM(D:D))</f>
        <v/>
      </c>
      <c r="F580" s="157"/>
      <c r="G580" s="145">
        <f t="shared" si="28"/>
        <v>0</v>
      </c>
      <c r="H580" s="140" t="str">
        <f t="shared" si="29"/>
        <v/>
      </c>
      <c r="J580" s="147" t="str">
        <f>IFERROR(SUMIFS(当年实际!$V:$V,当年实际!$J:$J,$C580,当年实际!$C:$C,"&gt;="&amp;DATE(YEAR(主页!$D$2),1,1),当年实际!$C:$C,"&lt;="&amp;EOMONTH(DATE(YEAR(主页!$D$2),MONTH(主页!$D$2),1),0))/SUMIFS(当年实际!$P:$P,当年实际!$J:$J,$C580,当年实际!$C:$C,"&gt;="&amp;DATE(YEAR(主页!$D$2),1,1),当年实际!$C:$C,"&lt;="&amp;EOMONTH(DATE(YEAR(主页!$D$2),MONTH(主页!$D$2),1),0)),"")</f>
        <v/>
      </c>
    </row>
    <row r="581" spans="1:10" x14ac:dyDescent="0.3">
      <c r="A581" s="129"/>
      <c r="B581" s="150"/>
      <c r="C581" s="150"/>
      <c r="D581" s="150"/>
      <c r="E581" s="140" t="str">
        <f t="shared" si="30"/>
        <v/>
      </c>
      <c r="F581" s="157"/>
      <c r="G581" s="145">
        <f t="shared" si="28"/>
        <v>0</v>
      </c>
      <c r="H581" s="140" t="str">
        <f t="shared" si="29"/>
        <v/>
      </c>
      <c r="J581" s="147" t="str">
        <f>IFERROR(SUMIFS(当年实际!$V:$V,当年实际!$J:$J,$C581,当年实际!$C:$C,"&gt;="&amp;DATE(YEAR(主页!$D$2),1,1),当年实际!$C:$C,"&lt;="&amp;EOMONTH(DATE(YEAR(主页!$D$2),MONTH(主页!$D$2),1),0))/SUMIFS(当年实际!$P:$P,当年实际!$J:$J,$C581,当年实际!$C:$C,"&gt;="&amp;DATE(YEAR(主页!$D$2),1,1),当年实际!$C:$C,"&lt;="&amp;EOMONTH(DATE(YEAR(主页!$D$2),MONTH(主页!$D$2),1),0)),"")</f>
        <v/>
      </c>
    </row>
    <row r="582" spans="1:10" x14ac:dyDescent="0.3">
      <c r="A582" s="129"/>
      <c r="B582" s="150"/>
      <c r="C582" s="150"/>
      <c r="D582" s="150"/>
      <c r="E582" s="140" t="str">
        <f t="shared" si="30"/>
        <v/>
      </c>
      <c r="F582" s="157"/>
      <c r="G582" s="145">
        <f t="shared" si="28"/>
        <v>0</v>
      </c>
      <c r="H582" s="140" t="str">
        <f t="shared" si="29"/>
        <v/>
      </c>
      <c r="J582" s="147" t="str">
        <f>IFERROR(SUMIFS(当年实际!$V:$V,当年实际!$J:$J,$C582,当年实际!$C:$C,"&gt;="&amp;DATE(YEAR(主页!$D$2),1,1),当年实际!$C:$C,"&lt;="&amp;EOMONTH(DATE(YEAR(主页!$D$2),MONTH(主页!$D$2),1),0))/SUMIFS(当年实际!$P:$P,当年实际!$J:$J,$C582,当年实际!$C:$C,"&gt;="&amp;DATE(YEAR(主页!$D$2),1,1),当年实际!$C:$C,"&lt;="&amp;EOMONTH(DATE(YEAR(主页!$D$2),MONTH(主页!$D$2),1),0)),"")</f>
        <v/>
      </c>
    </row>
    <row r="583" spans="1:10" x14ac:dyDescent="0.3">
      <c r="A583" s="129"/>
      <c r="B583" s="150"/>
      <c r="C583" s="150"/>
      <c r="D583" s="150"/>
      <c r="E583" s="140" t="str">
        <f t="shared" si="30"/>
        <v/>
      </c>
      <c r="F583" s="157"/>
      <c r="G583" s="145">
        <f t="shared" si="28"/>
        <v>0</v>
      </c>
      <c r="H583" s="140" t="str">
        <f t="shared" si="29"/>
        <v/>
      </c>
      <c r="J583" s="147" t="str">
        <f>IFERROR(SUMIFS(当年实际!$V:$V,当年实际!$J:$J,$C583,当年实际!$C:$C,"&gt;="&amp;DATE(YEAR(主页!$D$2),1,1),当年实际!$C:$C,"&lt;="&amp;EOMONTH(DATE(YEAR(主页!$D$2),MONTH(主页!$D$2),1),0))/SUMIFS(当年实际!$P:$P,当年实际!$J:$J,$C583,当年实际!$C:$C,"&gt;="&amp;DATE(YEAR(主页!$D$2),1,1),当年实际!$C:$C,"&lt;="&amp;EOMONTH(DATE(YEAR(主页!$D$2),MONTH(主页!$D$2),1),0)),"")</f>
        <v/>
      </c>
    </row>
    <row r="584" spans="1:10" x14ac:dyDescent="0.3">
      <c r="A584" s="129"/>
      <c r="B584" s="150"/>
      <c r="C584" s="150"/>
      <c r="D584" s="150"/>
      <c r="E584" s="140" t="str">
        <f t="shared" si="30"/>
        <v/>
      </c>
      <c r="F584" s="157"/>
      <c r="G584" s="145">
        <f t="shared" si="28"/>
        <v>0</v>
      </c>
      <c r="H584" s="140" t="str">
        <f t="shared" si="29"/>
        <v/>
      </c>
      <c r="J584" s="147" t="str">
        <f>IFERROR(SUMIFS(当年实际!$V:$V,当年实际!$J:$J,$C584,当年实际!$C:$C,"&gt;="&amp;DATE(YEAR(主页!$D$2),1,1),当年实际!$C:$C,"&lt;="&amp;EOMONTH(DATE(YEAR(主页!$D$2),MONTH(主页!$D$2),1),0))/SUMIFS(当年实际!$P:$P,当年实际!$J:$J,$C584,当年实际!$C:$C,"&gt;="&amp;DATE(YEAR(主页!$D$2),1,1),当年实际!$C:$C,"&lt;="&amp;EOMONTH(DATE(YEAR(主页!$D$2),MONTH(主页!$D$2),1),0)),"")</f>
        <v/>
      </c>
    </row>
    <row r="585" spans="1:10" x14ac:dyDescent="0.3">
      <c r="A585" s="129"/>
      <c r="B585" s="150"/>
      <c r="C585" s="150"/>
      <c r="D585" s="150"/>
      <c r="E585" s="140" t="str">
        <f t="shared" si="30"/>
        <v/>
      </c>
      <c r="F585" s="157"/>
      <c r="G585" s="145">
        <f t="shared" si="28"/>
        <v>0</v>
      </c>
      <c r="H585" s="140" t="str">
        <f t="shared" si="29"/>
        <v/>
      </c>
      <c r="J585" s="147" t="str">
        <f>IFERROR(SUMIFS(当年实际!$V:$V,当年实际!$J:$J,$C585,当年实际!$C:$C,"&gt;="&amp;DATE(YEAR(主页!$D$2),1,1),当年实际!$C:$C,"&lt;="&amp;EOMONTH(DATE(YEAR(主页!$D$2),MONTH(主页!$D$2),1),0))/SUMIFS(当年实际!$P:$P,当年实际!$J:$J,$C585,当年实际!$C:$C,"&gt;="&amp;DATE(YEAR(主页!$D$2),1,1),当年实际!$C:$C,"&lt;="&amp;EOMONTH(DATE(YEAR(主页!$D$2),MONTH(主页!$D$2),1),0)),"")</f>
        <v/>
      </c>
    </row>
    <row r="586" spans="1:10" x14ac:dyDescent="0.3">
      <c r="A586" s="129"/>
      <c r="B586" s="150"/>
      <c r="C586" s="150"/>
      <c r="D586" s="150"/>
      <c r="E586" s="140" t="str">
        <f t="shared" si="30"/>
        <v/>
      </c>
      <c r="F586" s="157"/>
      <c r="G586" s="145">
        <f t="shared" si="28"/>
        <v>0</v>
      </c>
      <c r="H586" s="140" t="str">
        <f t="shared" si="29"/>
        <v/>
      </c>
      <c r="J586" s="147" t="str">
        <f>IFERROR(SUMIFS(当年实际!$V:$V,当年实际!$J:$J,$C586,当年实际!$C:$C,"&gt;="&amp;DATE(YEAR(主页!$D$2),1,1),当年实际!$C:$C,"&lt;="&amp;EOMONTH(DATE(YEAR(主页!$D$2),MONTH(主页!$D$2),1),0))/SUMIFS(当年实际!$P:$P,当年实际!$J:$J,$C586,当年实际!$C:$C,"&gt;="&amp;DATE(YEAR(主页!$D$2),1,1),当年实际!$C:$C,"&lt;="&amp;EOMONTH(DATE(YEAR(主页!$D$2),MONTH(主页!$D$2),1),0)),"")</f>
        <v/>
      </c>
    </row>
    <row r="587" spans="1:10" x14ac:dyDescent="0.3">
      <c r="A587" s="129"/>
      <c r="B587" s="150"/>
      <c r="C587" s="150"/>
      <c r="D587" s="150"/>
      <c r="E587" s="140" t="str">
        <f t="shared" si="30"/>
        <v/>
      </c>
      <c r="F587" s="157"/>
      <c r="G587" s="145">
        <f t="shared" si="28"/>
        <v>0</v>
      </c>
      <c r="H587" s="140" t="str">
        <f t="shared" si="29"/>
        <v/>
      </c>
      <c r="J587" s="147" t="str">
        <f>IFERROR(SUMIFS(当年实际!$V:$V,当年实际!$J:$J,$C587,当年实际!$C:$C,"&gt;="&amp;DATE(YEAR(主页!$D$2),1,1),当年实际!$C:$C,"&lt;="&amp;EOMONTH(DATE(YEAR(主页!$D$2),MONTH(主页!$D$2),1),0))/SUMIFS(当年实际!$P:$P,当年实际!$J:$J,$C587,当年实际!$C:$C,"&gt;="&amp;DATE(YEAR(主页!$D$2),1,1),当年实际!$C:$C,"&lt;="&amp;EOMONTH(DATE(YEAR(主页!$D$2),MONTH(主页!$D$2),1),0)),"")</f>
        <v/>
      </c>
    </row>
    <row r="588" spans="1:10" x14ac:dyDescent="0.3">
      <c r="A588" s="129"/>
      <c r="B588" s="150"/>
      <c r="C588" s="150"/>
      <c r="D588" s="150"/>
      <c r="E588" s="140" t="str">
        <f t="shared" si="30"/>
        <v/>
      </c>
      <c r="F588" s="157"/>
      <c r="G588" s="145">
        <f t="shared" si="28"/>
        <v>0</v>
      </c>
      <c r="H588" s="140" t="str">
        <f t="shared" si="29"/>
        <v/>
      </c>
      <c r="J588" s="147" t="str">
        <f>IFERROR(SUMIFS(当年实际!$V:$V,当年实际!$J:$J,$C588,当年实际!$C:$C,"&gt;="&amp;DATE(YEAR(主页!$D$2),1,1),当年实际!$C:$C,"&lt;="&amp;EOMONTH(DATE(YEAR(主页!$D$2),MONTH(主页!$D$2),1),0))/SUMIFS(当年实际!$P:$P,当年实际!$J:$J,$C588,当年实际!$C:$C,"&gt;="&amp;DATE(YEAR(主页!$D$2),1,1),当年实际!$C:$C,"&lt;="&amp;EOMONTH(DATE(YEAR(主页!$D$2),MONTH(主页!$D$2),1),0)),"")</f>
        <v/>
      </c>
    </row>
    <row r="589" spans="1:10" x14ac:dyDescent="0.3">
      <c r="A589" s="129"/>
      <c r="B589" s="150"/>
      <c r="C589" s="150"/>
      <c r="D589" s="150"/>
      <c r="E589" s="140" t="str">
        <f t="shared" si="30"/>
        <v/>
      </c>
      <c r="F589" s="157"/>
      <c r="G589" s="145">
        <f t="shared" si="28"/>
        <v>0</v>
      </c>
      <c r="H589" s="140" t="str">
        <f t="shared" si="29"/>
        <v/>
      </c>
      <c r="J589" s="147" t="str">
        <f>IFERROR(SUMIFS(当年实际!$V:$V,当年实际!$J:$J,$C589,当年实际!$C:$C,"&gt;="&amp;DATE(YEAR(主页!$D$2),1,1),当年实际!$C:$C,"&lt;="&amp;EOMONTH(DATE(YEAR(主页!$D$2),MONTH(主页!$D$2),1),0))/SUMIFS(当年实际!$P:$P,当年实际!$J:$J,$C589,当年实际!$C:$C,"&gt;="&amp;DATE(YEAR(主页!$D$2),1,1),当年实际!$C:$C,"&lt;="&amp;EOMONTH(DATE(YEAR(主页!$D$2),MONTH(主页!$D$2),1),0)),"")</f>
        <v/>
      </c>
    </row>
    <row r="590" spans="1:10" x14ac:dyDescent="0.3">
      <c r="A590" s="129"/>
      <c r="B590" s="150"/>
      <c r="C590" s="150"/>
      <c r="D590" s="150"/>
      <c r="E590" s="140" t="str">
        <f t="shared" si="30"/>
        <v/>
      </c>
      <c r="F590" s="157"/>
      <c r="G590" s="145">
        <f t="shared" si="28"/>
        <v>0</v>
      </c>
      <c r="H590" s="140" t="str">
        <f t="shared" si="29"/>
        <v/>
      </c>
      <c r="J590" s="147" t="str">
        <f>IFERROR(SUMIFS(当年实际!$V:$V,当年实际!$J:$J,$C590,当年实际!$C:$C,"&gt;="&amp;DATE(YEAR(主页!$D$2),1,1),当年实际!$C:$C,"&lt;="&amp;EOMONTH(DATE(YEAR(主页!$D$2),MONTH(主页!$D$2),1),0))/SUMIFS(当年实际!$P:$P,当年实际!$J:$J,$C590,当年实际!$C:$C,"&gt;="&amp;DATE(YEAR(主页!$D$2),1,1),当年实际!$C:$C,"&lt;="&amp;EOMONTH(DATE(YEAR(主页!$D$2),MONTH(主页!$D$2),1),0)),"")</f>
        <v/>
      </c>
    </row>
    <row r="591" spans="1:10" x14ac:dyDescent="0.3">
      <c r="A591" s="129"/>
      <c r="B591" s="150"/>
      <c r="C591" s="150"/>
      <c r="D591" s="150"/>
      <c r="E591" s="140" t="str">
        <f t="shared" si="30"/>
        <v/>
      </c>
      <c r="F591" s="157"/>
      <c r="G591" s="145">
        <f t="shared" si="28"/>
        <v>0</v>
      </c>
      <c r="H591" s="140" t="str">
        <f t="shared" si="29"/>
        <v/>
      </c>
      <c r="J591" s="147" t="str">
        <f>IFERROR(SUMIFS(当年实际!$V:$V,当年实际!$J:$J,$C591,当年实际!$C:$C,"&gt;="&amp;DATE(YEAR(主页!$D$2),1,1),当年实际!$C:$C,"&lt;="&amp;EOMONTH(DATE(YEAR(主页!$D$2),MONTH(主页!$D$2),1),0))/SUMIFS(当年实际!$P:$P,当年实际!$J:$J,$C591,当年实际!$C:$C,"&gt;="&amp;DATE(YEAR(主页!$D$2),1,1),当年实际!$C:$C,"&lt;="&amp;EOMONTH(DATE(YEAR(主页!$D$2),MONTH(主页!$D$2),1),0)),"")</f>
        <v/>
      </c>
    </row>
    <row r="592" spans="1:10" x14ac:dyDescent="0.3">
      <c r="A592" s="129"/>
      <c r="B592" s="150"/>
      <c r="C592" s="150"/>
      <c r="D592" s="150"/>
      <c r="E592" s="140" t="str">
        <f t="shared" si="30"/>
        <v/>
      </c>
      <c r="F592" s="157"/>
      <c r="G592" s="145">
        <f t="shared" si="28"/>
        <v>0</v>
      </c>
      <c r="H592" s="140" t="str">
        <f t="shared" si="29"/>
        <v/>
      </c>
      <c r="J592" s="147" t="str">
        <f>IFERROR(SUMIFS(当年实际!$V:$V,当年实际!$J:$J,$C592,当年实际!$C:$C,"&gt;="&amp;DATE(YEAR(主页!$D$2),1,1),当年实际!$C:$C,"&lt;="&amp;EOMONTH(DATE(YEAR(主页!$D$2),MONTH(主页!$D$2),1),0))/SUMIFS(当年实际!$P:$P,当年实际!$J:$J,$C592,当年实际!$C:$C,"&gt;="&amp;DATE(YEAR(主页!$D$2),1,1),当年实际!$C:$C,"&lt;="&amp;EOMONTH(DATE(YEAR(主页!$D$2),MONTH(主页!$D$2),1),0)),"")</f>
        <v/>
      </c>
    </row>
    <row r="593" spans="1:10" x14ac:dyDescent="0.3">
      <c r="A593" s="129"/>
      <c r="B593" s="150"/>
      <c r="C593" s="150"/>
      <c r="D593" s="150"/>
      <c r="E593" s="140" t="str">
        <f t="shared" si="30"/>
        <v/>
      </c>
      <c r="F593" s="157"/>
      <c r="G593" s="145">
        <f t="shared" si="28"/>
        <v>0</v>
      </c>
      <c r="H593" s="140" t="str">
        <f t="shared" si="29"/>
        <v/>
      </c>
      <c r="J593" s="147" t="str">
        <f>IFERROR(SUMIFS(当年实际!$V:$V,当年实际!$J:$J,$C593,当年实际!$C:$C,"&gt;="&amp;DATE(YEAR(主页!$D$2),1,1),当年实际!$C:$C,"&lt;="&amp;EOMONTH(DATE(YEAR(主页!$D$2),MONTH(主页!$D$2),1),0))/SUMIFS(当年实际!$P:$P,当年实际!$J:$J,$C593,当年实际!$C:$C,"&gt;="&amp;DATE(YEAR(主页!$D$2),1,1),当年实际!$C:$C,"&lt;="&amp;EOMONTH(DATE(YEAR(主页!$D$2),MONTH(主页!$D$2),1),0)),"")</f>
        <v/>
      </c>
    </row>
    <row r="594" spans="1:10" x14ac:dyDescent="0.3">
      <c r="A594" s="129"/>
      <c r="B594" s="150"/>
      <c r="C594" s="150"/>
      <c r="D594" s="150"/>
      <c r="E594" s="140" t="str">
        <f t="shared" si="30"/>
        <v/>
      </c>
      <c r="F594" s="157"/>
      <c r="G594" s="145">
        <f t="shared" si="28"/>
        <v>0</v>
      </c>
      <c r="H594" s="140" t="str">
        <f t="shared" si="29"/>
        <v/>
      </c>
      <c r="J594" s="147" t="str">
        <f>IFERROR(SUMIFS(当年实际!$V:$V,当年实际!$J:$J,$C594,当年实际!$C:$C,"&gt;="&amp;DATE(YEAR(主页!$D$2),1,1),当年实际!$C:$C,"&lt;="&amp;EOMONTH(DATE(YEAR(主页!$D$2),MONTH(主页!$D$2),1),0))/SUMIFS(当年实际!$P:$P,当年实际!$J:$J,$C594,当年实际!$C:$C,"&gt;="&amp;DATE(YEAR(主页!$D$2),1,1),当年实际!$C:$C,"&lt;="&amp;EOMONTH(DATE(YEAR(主页!$D$2),MONTH(主页!$D$2),1),0)),"")</f>
        <v/>
      </c>
    </row>
    <row r="595" spans="1:10" x14ac:dyDescent="0.3">
      <c r="A595" s="129"/>
      <c r="B595" s="150"/>
      <c r="C595" s="150"/>
      <c r="D595" s="150"/>
      <c r="E595" s="140" t="str">
        <f t="shared" si="30"/>
        <v/>
      </c>
      <c r="F595" s="157"/>
      <c r="G595" s="145">
        <f t="shared" si="28"/>
        <v>0</v>
      </c>
      <c r="H595" s="140" t="str">
        <f t="shared" si="29"/>
        <v/>
      </c>
      <c r="J595" s="147" t="str">
        <f>IFERROR(SUMIFS(当年实际!$V:$V,当年实际!$J:$J,$C595,当年实际!$C:$C,"&gt;="&amp;DATE(YEAR(主页!$D$2),1,1),当年实际!$C:$C,"&lt;="&amp;EOMONTH(DATE(YEAR(主页!$D$2),MONTH(主页!$D$2),1),0))/SUMIFS(当年实际!$P:$P,当年实际!$J:$J,$C595,当年实际!$C:$C,"&gt;="&amp;DATE(YEAR(主页!$D$2),1,1),当年实际!$C:$C,"&lt;="&amp;EOMONTH(DATE(YEAR(主页!$D$2),MONTH(主页!$D$2),1),0)),"")</f>
        <v/>
      </c>
    </row>
    <row r="596" spans="1:10" x14ac:dyDescent="0.3">
      <c r="A596" s="129"/>
      <c r="B596" s="150"/>
      <c r="C596" s="150"/>
      <c r="D596" s="150"/>
      <c r="E596" s="140" t="str">
        <f t="shared" si="30"/>
        <v/>
      </c>
      <c r="F596" s="157"/>
      <c r="G596" s="145">
        <f t="shared" si="28"/>
        <v>0</v>
      </c>
      <c r="H596" s="140" t="str">
        <f t="shared" si="29"/>
        <v/>
      </c>
      <c r="J596" s="147" t="str">
        <f>IFERROR(SUMIFS(当年实际!$V:$V,当年实际!$J:$J,$C596,当年实际!$C:$C,"&gt;="&amp;DATE(YEAR(主页!$D$2),1,1),当年实际!$C:$C,"&lt;="&amp;EOMONTH(DATE(YEAR(主页!$D$2),MONTH(主页!$D$2),1),0))/SUMIFS(当年实际!$P:$P,当年实际!$J:$J,$C596,当年实际!$C:$C,"&gt;="&amp;DATE(YEAR(主页!$D$2),1,1),当年实际!$C:$C,"&lt;="&amp;EOMONTH(DATE(YEAR(主页!$D$2),MONTH(主页!$D$2),1),0)),"")</f>
        <v/>
      </c>
    </row>
    <row r="597" spans="1:10" x14ac:dyDescent="0.3">
      <c r="A597" s="129"/>
      <c r="B597" s="150"/>
      <c r="C597" s="150"/>
      <c r="D597" s="150"/>
      <c r="E597" s="140" t="str">
        <f t="shared" si="30"/>
        <v/>
      </c>
      <c r="F597" s="157"/>
      <c r="G597" s="145">
        <f t="shared" si="28"/>
        <v>0</v>
      </c>
      <c r="H597" s="140" t="str">
        <f t="shared" si="29"/>
        <v/>
      </c>
      <c r="J597" s="147" t="str">
        <f>IFERROR(SUMIFS(当年实际!$V:$V,当年实际!$J:$J,$C597,当年实际!$C:$C,"&gt;="&amp;DATE(YEAR(主页!$D$2),1,1),当年实际!$C:$C,"&lt;="&amp;EOMONTH(DATE(YEAR(主页!$D$2),MONTH(主页!$D$2),1),0))/SUMIFS(当年实际!$P:$P,当年实际!$J:$J,$C597,当年实际!$C:$C,"&gt;="&amp;DATE(YEAR(主页!$D$2),1,1),当年实际!$C:$C,"&lt;="&amp;EOMONTH(DATE(YEAR(主页!$D$2),MONTH(主页!$D$2),1),0)),"")</f>
        <v/>
      </c>
    </row>
    <row r="598" spans="1:10" x14ac:dyDescent="0.3">
      <c r="A598" s="129"/>
      <c r="B598" s="150"/>
      <c r="C598" s="150"/>
      <c r="D598" s="150"/>
      <c r="E598" s="140" t="str">
        <f t="shared" si="30"/>
        <v/>
      </c>
      <c r="F598" s="157"/>
      <c r="G598" s="145">
        <f t="shared" si="28"/>
        <v>0</v>
      </c>
      <c r="H598" s="140" t="str">
        <f t="shared" si="29"/>
        <v/>
      </c>
      <c r="J598" s="147" t="str">
        <f>IFERROR(SUMIFS(当年实际!$V:$V,当年实际!$J:$J,$C598,当年实际!$C:$C,"&gt;="&amp;DATE(YEAR(主页!$D$2),1,1),当年实际!$C:$C,"&lt;="&amp;EOMONTH(DATE(YEAR(主页!$D$2),MONTH(主页!$D$2),1),0))/SUMIFS(当年实际!$P:$P,当年实际!$J:$J,$C598,当年实际!$C:$C,"&gt;="&amp;DATE(YEAR(主页!$D$2),1,1),当年实际!$C:$C,"&lt;="&amp;EOMONTH(DATE(YEAR(主页!$D$2),MONTH(主页!$D$2),1),0)),"")</f>
        <v/>
      </c>
    </row>
    <row r="599" spans="1:10" x14ac:dyDescent="0.3">
      <c r="A599" s="129"/>
      <c r="B599" s="150"/>
      <c r="C599" s="150"/>
      <c r="D599" s="150"/>
      <c r="E599" s="140" t="str">
        <f t="shared" si="30"/>
        <v/>
      </c>
      <c r="F599" s="157"/>
      <c r="G599" s="145">
        <f t="shared" si="28"/>
        <v>0</v>
      </c>
      <c r="H599" s="140" t="str">
        <f t="shared" si="29"/>
        <v/>
      </c>
      <c r="J599" s="147" t="str">
        <f>IFERROR(SUMIFS(当年实际!$V:$V,当年实际!$J:$J,$C599,当年实际!$C:$C,"&gt;="&amp;DATE(YEAR(主页!$D$2),1,1),当年实际!$C:$C,"&lt;="&amp;EOMONTH(DATE(YEAR(主页!$D$2),MONTH(主页!$D$2),1),0))/SUMIFS(当年实际!$P:$P,当年实际!$J:$J,$C599,当年实际!$C:$C,"&gt;="&amp;DATE(YEAR(主页!$D$2),1,1),当年实际!$C:$C,"&lt;="&amp;EOMONTH(DATE(YEAR(主页!$D$2),MONTH(主页!$D$2),1),0)),"")</f>
        <v/>
      </c>
    </row>
    <row r="600" spans="1:10" x14ac:dyDescent="0.3">
      <c r="A600" s="129"/>
      <c r="B600" s="150"/>
      <c r="C600" s="150"/>
      <c r="D600" s="150"/>
      <c r="E600" s="140" t="str">
        <f t="shared" si="30"/>
        <v/>
      </c>
      <c r="F600" s="157"/>
      <c r="G600" s="145">
        <f t="shared" si="28"/>
        <v>0</v>
      </c>
      <c r="H600" s="140" t="str">
        <f t="shared" si="29"/>
        <v/>
      </c>
      <c r="J600" s="147" t="str">
        <f>IFERROR(SUMIFS(当年实际!$V:$V,当年实际!$J:$J,$C600,当年实际!$C:$C,"&gt;="&amp;DATE(YEAR(主页!$D$2),1,1),当年实际!$C:$C,"&lt;="&amp;EOMONTH(DATE(YEAR(主页!$D$2),MONTH(主页!$D$2),1),0))/SUMIFS(当年实际!$P:$P,当年实际!$J:$J,$C600,当年实际!$C:$C,"&gt;="&amp;DATE(YEAR(主页!$D$2),1,1),当年实际!$C:$C,"&lt;="&amp;EOMONTH(DATE(YEAR(主页!$D$2),MONTH(主页!$D$2),1),0)),"")</f>
        <v/>
      </c>
    </row>
    <row r="601" spans="1:10" x14ac:dyDescent="0.3">
      <c r="A601" s="129"/>
      <c r="B601" s="150"/>
      <c r="C601" s="150"/>
      <c r="D601" s="150"/>
      <c r="E601" s="140" t="str">
        <f t="shared" si="30"/>
        <v/>
      </c>
      <c r="F601" s="157"/>
      <c r="G601" s="145">
        <f t="shared" si="28"/>
        <v>0</v>
      </c>
      <c r="H601" s="140" t="str">
        <f t="shared" si="29"/>
        <v/>
      </c>
      <c r="J601" s="147" t="str">
        <f>IFERROR(SUMIFS(当年实际!$V:$V,当年实际!$J:$J,$C601,当年实际!$C:$C,"&gt;="&amp;DATE(YEAR(主页!$D$2),1,1),当年实际!$C:$C,"&lt;="&amp;EOMONTH(DATE(YEAR(主页!$D$2),MONTH(主页!$D$2),1),0))/SUMIFS(当年实际!$P:$P,当年实际!$J:$J,$C601,当年实际!$C:$C,"&gt;="&amp;DATE(YEAR(主页!$D$2),1,1),当年实际!$C:$C,"&lt;="&amp;EOMONTH(DATE(YEAR(主页!$D$2),MONTH(主页!$D$2),1),0)),"")</f>
        <v/>
      </c>
    </row>
    <row r="602" spans="1:10" x14ac:dyDescent="0.3">
      <c r="A602" s="129"/>
      <c r="B602" s="150"/>
      <c r="C602" s="150"/>
      <c r="D602" s="150"/>
      <c r="E602" s="140" t="str">
        <f t="shared" si="30"/>
        <v/>
      </c>
      <c r="F602" s="157"/>
      <c r="G602" s="145">
        <f t="shared" si="28"/>
        <v>0</v>
      </c>
      <c r="H602" s="140" t="str">
        <f t="shared" si="29"/>
        <v/>
      </c>
      <c r="J602" s="147" t="str">
        <f>IFERROR(SUMIFS(当年实际!$V:$V,当年实际!$J:$J,$C602,当年实际!$C:$C,"&gt;="&amp;DATE(YEAR(主页!$D$2),1,1),当年实际!$C:$C,"&lt;="&amp;EOMONTH(DATE(YEAR(主页!$D$2),MONTH(主页!$D$2),1),0))/SUMIFS(当年实际!$P:$P,当年实际!$J:$J,$C602,当年实际!$C:$C,"&gt;="&amp;DATE(YEAR(主页!$D$2),1,1),当年实际!$C:$C,"&lt;="&amp;EOMONTH(DATE(YEAR(主页!$D$2),MONTH(主页!$D$2),1),0)),"")</f>
        <v/>
      </c>
    </row>
    <row r="603" spans="1:10" x14ac:dyDescent="0.3">
      <c r="A603" s="129"/>
      <c r="B603" s="150"/>
      <c r="C603" s="150"/>
      <c r="D603" s="150"/>
      <c r="E603" s="140" t="str">
        <f t="shared" si="30"/>
        <v/>
      </c>
      <c r="F603" s="157"/>
      <c r="G603" s="145">
        <f t="shared" si="28"/>
        <v>0</v>
      </c>
      <c r="H603" s="140" t="str">
        <f t="shared" si="29"/>
        <v/>
      </c>
      <c r="J603" s="147" t="str">
        <f>IFERROR(SUMIFS(当年实际!$V:$V,当年实际!$J:$J,$C603,当年实际!$C:$C,"&gt;="&amp;DATE(YEAR(主页!$D$2),1,1),当年实际!$C:$C,"&lt;="&amp;EOMONTH(DATE(YEAR(主页!$D$2),MONTH(主页!$D$2),1),0))/SUMIFS(当年实际!$P:$P,当年实际!$J:$J,$C603,当年实际!$C:$C,"&gt;="&amp;DATE(YEAR(主页!$D$2),1,1),当年实际!$C:$C,"&lt;="&amp;EOMONTH(DATE(YEAR(主页!$D$2),MONTH(主页!$D$2),1),0)),"")</f>
        <v/>
      </c>
    </row>
    <row r="604" spans="1:10" x14ac:dyDescent="0.3">
      <c r="A604" s="129"/>
      <c r="B604" s="150"/>
      <c r="C604" s="150"/>
      <c r="D604" s="150"/>
      <c r="E604" s="140" t="str">
        <f t="shared" si="30"/>
        <v/>
      </c>
      <c r="F604" s="157"/>
      <c r="G604" s="145">
        <f t="shared" si="28"/>
        <v>0</v>
      </c>
      <c r="H604" s="140" t="str">
        <f t="shared" si="29"/>
        <v/>
      </c>
      <c r="J604" s="147" t="str">
        <f>IFERROR(SUMIFS(当年实际!$V:$V,当年实际!$J:$J,$C604,当年实际!$C:$C,"&gt;="&amp;DATE(YEAR(主页!$D$2),1,1),当年实际!$C:$C,"&lt;="&amp;EOMONTH(DATE(YEAR(主页!$D$2),MONTH(主页!$D$2),1),0))/SUMIFS(当年实际!$P:$P,当年实际!$J:$J,$C604,当年实际!$C:$C,"&gt;="&amp;DATE(YEAR(主页!$D$2),1,1),当年实际!$C:$C,"&lt;="&amp;EOMONTH(DATE(YEAR(主页!$D$2),MONTH(主页!$D$2),1),0)),"")</f>
        <v/>
      </c>
    </row>
    <row r="605" spans="1:10" x14ac:dyDescent="0.3">
      <c r="A605" s="129"/>
      <c r="B605" s="150"/>
      <c r="C605" s="150"/>
      <c r="D605" s="150"/>
      <c r="E605" s="140" t="str">
        <f t="shared" si="30"/>
        <v/>
      </c>
      <c r="F605" s="157"/>
      <c r="G605" s="145">
        <f t="shared" si="28"/>
        <v>0</v>
      </c>
      <c r="H605" s="140" t="str">
        <f t="shared" si="29"/>
        <v/>
      </c>
      <c r="J605" s="147" t="str">
        <f>IFERROR(SUMIFS(当年实际!$V:$V,当年实际!$J:$J,$C605,当年实际!$C:$C,"&gt;="&amp;DATE(YEAR(主页!$D$2),1,1),当年实际!$C:$C,"&lt;="&amp;EOMONTH(DATE(YEAR(主页!$D$2),MONTH(主页!$D$2),1),0))/SUMIFS(当年实际!$P:$P,当年实际!$J:$J,$C605,当年实际!$C:$C,"&gt;="&amp;DATE(YEAR(主页!$D$2),1,1),当年实际!$C:$C,"&lt;="&amp;EOMONTH(DATE(YEAR(主页!$D$2),MONTH(主页!$D$2),1),0)),"")</f>
        <v/>
      </c>
    </row>
    <row r="606" spans="1:10" x14ac:dyDescent="0.3">
      <c r="A606" s="129"/>
      <c r="B606" s="150"/>
      <c r="C606" s="150"/>
      <c r="D606" s="150"/>
      <c r="E606" s="140" t="str">
        <f t="shared" si="30"/>
        <v/>
      </c>
      <c r="F606" s="157"/>
      <c r="G606" s="145">
        <f t="shared" si="28"/>
        <v>0</v>
      </c>
      <c r="H606" s="140" t="str">
        <f t="shared" si="29"/>
        <v/>
      </c>
      <c r="J606" s="147" t="str">
        <f>IFERROR(SUMIFS(当年实际!$V:$V,当年实际!$J:$J,$C606,当年实际!$C:$C,"&gt;="&amp;DATE(YEAR(主页!$D$2),1,1),当年实际!$C:$C,"&lt;="&amp;EOMONTH(DATE(YEAR(主页!$D$2),MONTH(主页!$D$2),1),0))/SUMIFS(当年实际!$P:$P,当年实际!$J:$J,$C606,当年实际!$C:$C,"&gt;="&amp;DATE(YEAR(主页!$D$2),1,1),当年实际!$C:$C,"&lt;="&amp;EOMONTH(DATE(YEAR(主页!$D$2),MONTH(主页!$D$2),1),0)),"")</f>
        <v/>
      </c>
    </row>
    <row r="607" spans="1:10" x14ac:dyDescent="0.3">
      <c r="A607" s="129"/>
      <c r="B607" s="150"/>
      <c r="C607" s="150"/>
      <c r="D607" s="150"/>
      <c r="E607" s="140" t="str">
        <f t="shared" si="30"/>
        <v/>
      </c>
      <c r="F607" s="157"/>
      <c r="G607" s="145">
        <f t="shared" ref="G607:G670" si="31">D607*F607</f>
        <v>0</v>
      </c>
      <c r="H607" s="140" t="str">
        <f t="shared" ref="H607:H670" si="32">IF(G607/SUM(G:G)=0,"",G607/SUM(G:G))</f>
        <v/>
      </c>
      <c r="J607" s="147" t="str">
        <f>IFERROR(SUMIFS(当年实际!$V:$V,当年实际!$J:$J,$C607,当年实际!$C:$C,"&gt;="&amp;DATE(YEAR(主页!$D$2),1,1),当年实际!$C:$C,"&lt;="&amp;EOMONTH(DATE(YEAR(主页!$D$2),MONTH(主页!$D$2),1),0))/SUMIFS(当年实际!$P:$P,当年实际!$J:$J,$C607,当年实际!$C:$C,"&gt;="&amp;DATE(YEAR(主页!$D$2),1,1),当年实际!$C:$C,"&lt;="&amp;EOMONTH(DATE(YEAR(主页!$D$2),MONTH(主页!$D$2),1),0)),"")</f>
        <v/>
      </c>
    </row>
    <row r="608" spans="1:10" x14ac:dyDescent="0.3">
      <c r="A608" s="129"/>
      <c r="B608" s="150"/>
      <c r="C608" s="150"/>
      <c r="D608" s="150"/>
      <c r="E608" s="140" t="str">
        <f t="shared" si="30"/>
        <v/>
      </c>
      <c r="F608" s="157"/>
      <c r="G608" s="145">
        <f t="shared" si="31"/>
        <v>0</v>
      </c>
      <c r="H608" s="140" t="str">
        <f t="shared" si="32"/>
        <v/>
      </c>
      <c r="J608" s="147" t="str">
        <f>IFERROR(SUMIFS(当年实际!$V:$V,当年实际!$J:$J,$C608,当年实际!$C:$C,"&gt;="&amp;DATE(YEAR(主页!$D$2),1,1),当年实际!$C:$C,"&lt;="&amp;EOMONTH(DATE(YEAR(主页!$D$2),MONTH(主页!$D$2),1),0))/SUMIFS(当年实际!$P:$P,当年实际!$J:$J,$C608,当年实际!$C:$C,"&gt;="&amp;DATE(YEAR(主页!$D$2),1,1),当年实际!$C:$C,"&lt;="&amp;EOMONTH(DATE(YEAR(主页!$D$2),MONTH(主页!$D$2),1),0)),"")</f>
        <v/>
      </c>
    </row>
    <row r="609" spans="1:10" x14ac:dyDescent="0.3">
      <c r="A609" s="129"/>
      <c r="B609" s="150"/>
      <c r="C609" s="150"/>
      <c r="D609" s="150"/>
      <c r="E609" s="140" t="str">
        <f t="shared" si="30"/>
        <v/>
      </c>
      <c r="F609" s="157"/>
      <c r="G609" s="145">
        <f t="shared" si="31"/>
        <v>0</v>
      </c>
      <c r="H609" s="140" t="str">
        <f t="shared" si="32"/>
        <v/>
      </c>
      <c r="J609" s="147" t="str">
        <f>IFERROR(SUMIFS(当年实际!$V:$V,当年实际!$J:$J,$C609,当年实际!$C:$C,"&gt;="&amp;DATE(YEAR(主页!$D$2),1,1),当年实际!$C:$C,"&lt;="&amp;EOMONTH(DATE(YEAR(主页!$D$2),MONTH(主页!$D$2),1),0))/SUMIFS(当年实际!$P:$P,当年实际!$J:$J,$C609,当年实际!$C:$C,"&gt;="&amp;DATE(YEAR(主页!$D$2),1,1),当年实际!$C:$C,"&lt;="&amp;EOMONTH(DATE(YEAR(主页!$D$2),MONTH(主页!$D$2),1),0)),"")</f>
        <v/>
      </c>
    </row>
    <row r="610" spans="1:10" x14ac:dyDescent="0.3">
      <c r="A610" s="129"/>
      <c r="B610" s="150"/>
      <c r="C610" s="150"/>
      <c r="D610" s="150"/>
      <c r="E610" s="140" t="str">
        <f t="shared" si="30"/>
        <v/>
      </c>
      <c r="F610" s="157"/>
      <c r="G610" s="145">
        <f t="shared" si="31"/>
        <v>0</v>
      </c>
      <c r="H610" s="140" t="str">
        <f t="shared" si="32"/>
        <v/>
      </c>
      <c r="J610" s="147" t="str">
        <f>IFERROR(SUMIFS(当年实际!$V:$V,当年实际!$J:$J,$C610,当年实际!$C:$C,"&gt;="&amp;DATE(YEAR(主页!$D$2),1,1),当年实际!$C:$C,"&lt;="&amp;EOMONTH(DATE(YEAR(主页!$D$2),MONTH(主页!$D$2),1),0))/SUMIFS(当年实际!$P:$P,当年实际!$J:$J,$C610,当年实际!$C:$C,"&gt;="&amp;DATE(YEAR(主页!$D$2),1,1),当年实际!$C:$C,"&lt;="&amp;EOMONTH(DATE(YEAR(主页!$D$2),MONTH(主页!$D$2),1),0)),"")</f>
        <v/>
      </c>
    </row>
    <row r="611" spans="1:10" x14ac:dyDescent="0.3">
      <c r="A611" s="129"/>
      <c r="B611" s="150"/>
      <c r="C611" s="150"/>
      <c r="D611" s="150"/>
      <c r="E611" s="140" t="str">
        <f t="shared" si="30"/>
        <v/>
      </c>
      <c r="F611" s="157"/>
      <c r="G611" s="145">
        <f t="shared" si="31"/>
        <v>0</v>
      </c>
      <c r="H611" s="140" t="str">
        <f t="shared" si="32"/>
        <v/>
      </c>
      <c r="J611" s="147" t="str">
        <f>IFERROR(SUMIFS(当年实际!$V:$V,当年实际!$J:$J,$C611,当年实际!$C:$C,"&gt;="&amp;DATE(YEAR(主页!$D$2),1,1),当年实际!$C:$C,"&lt;="&amp;EOMONTH(DATE(YEAR(主页!$D$2),MONTH(主页!$D$2),1),0))/SUMIFS(当年实际!$P:$P,当年实际!$J:$J,$C611,当年实际!$C:$C,"&gt;="&amp;DATE(YEAR(主页!$D$2),1,1),当年实际!$C:$C,"&lt;="&amp;EOMONTH(DATE(YEAR(主页!$D$2),MONTH(主页!$D$2),1),0)),"")</f>
        <v/>
      </c>
    </row>
    <row r="612" spans="1:10" x14ac:dyDescent="0.3">
      <c r="A612" s="129"/>
      <c r="B612" s="150"/>
      <c r="C612" s="150"/>
      <c r="D612" s="150"/>
      <c r="E612" s="140" t="str">
        <f t="shared" si="30"/>
        <v/>
      </c>
      <c r="F612" s="157"/>
      <c r="G612" s="145">
        <f t="shared" si="31"/>
        <v>0</v>
      </c>
      <c r="H612" s="140" t="str">
        <f t="shared" si="32"/>
        <v/>
      </c>
      <c r="J612" s="147" t="str">
        <f>IFERROR(SUMIFS(当年实际!$V:$V,当年实际!$J:$J,$C612,当年实际!$C:$C,"&gt;="&amp;DATE(YEAR(主页!$D$2),1,1),当年实际!$C:$C,"&lt;="&amp;EOMONTH(DATE(YEAR(主页!$D$2),MONTH(主页!$D$2),1),0))/SUMIFS(当年实际!$P:$P,当年实际!$J:$J,$C612,当年实际!$C:$C,"&gt;="&amp;DATE(YEAR(主页!$D$2),1,1),当年实际!$C:$C,"&lt;="&amp;EOMONTH(DATE(YEAR(主页!$D$2),MONTH(主页!$D$2),1),0)),"")</f>
        <v/>
      </c>
    </row>
    <row r="613" spans="1:10" x14ac:dyDescent="0.3">
      <c r="A613" s="129"/>
      <c r="B613" s="150"/>
      <c r="C613" s="150"/>
      <c r="D613" s="150"/>
      <c r="E613" s="140" t="str">
        <f t="shared" si="30"/>
        <v/>
      </c>
      <c r="F613" s="157"/>
      <c r="G613" s="145">
        <f t="shared" si="31"/>
        <v>0</v>
      </c>
      <c r="H613" s="140" t="str">
        <f t="shared" si="32"/>
        <v/>
      </c>
      <c r="J613" s="147" t="str">
        <f>IFERROR(SUMIFS(当年实际!$V:$V,当年实际!$J:$J,$C613,当年实际!$C:$C,"&gt;="&amp;DATE(YEAR(主页!$D$2),1,1),当年实际!$C:$C,"&lt;="&amp;EOMONTH(DATE(YEAR(主页!$D$2),MONTH(主页!$D$2),1),0))/SUMIFS(当年实际!$P:$P,当年实际!$J:$J,$C613,当年实际!$C:$C,"&gt;="&amp;DATE(YEAR(主页!$D$2),1,1),当年实际!$C:$C,"&lt;="&amp;EOMONTH(DATE(YEAR(主页!$D$2),MONTH(主页!$D$2),1),0)),"")</f>
        <v/>
      </c>
    </row>
    <row r="614" spans="1:10" x14ac:dyDescent="0.3">
      <c r="A614" s="129"/>
      <c r="B614" s="150"/>
      <c r="C614" s="150"/>
      <c r="D614" s="150"/>
      <c r="E614" s="140" t="str">
        <f t="shared" si="30"/>
        <v/>
      </c>
      <c r="F614" s="157"/>
      <c r="G614" s="145">
        <f t="shared" si="31"/>
        <v>0</v>
      </c>
      <c r="H614" s="140" t="str">
        <f t="shared" si="32"/>
        <v/>
      </c>
      <c r="J614" s="147" t="str">
        <f>IFERROR(SUMIFS(当年实际!$V:$V,当年实际!$J:$J,$C614,当年实际!$C:$C,"&gt;="&amp;DATE(YEAR(主页!$D$2),1,1),当年实际!$C:$C,"&lt;="&amp;EOMONTH(DATE(YEAR(主页!$D$2),MONTH(主页!$D$2),1),0))/SUMIFS(当年实际!$P:$P,当年实际!$J:$J,$C614,当年实际!$C:$C,"&gt;="&amp;DATE(YEAR(主页!$D$2),1,1),当年实际!$C:$C,"&lt;="&amp;EOMONTH(DATE(YEAR(主页!$D$2),MONTH(主页!$D$2),1),0)),"")</f>
        <v/>
      </c>
    </row>
    <row r="615" spans="1:10" x14ac:dyDescent="0.3">
      <c r="A615" s="129"/>
      <c r="B615" s="150"/>
      <c r="C615" s="150"/>
      <c r="D615" s="150"/>
      <c r="E615" s="140" t="str">
        <f t="shared" si="30"/>
        <v/>
      </c>
      <c r="F615" s="157"/>
      <c r="G615" s="145">
        <f t="shared" si="31"/>
        <v>0</v>
      </c>
      <c r="H615" s="140" t="str">
        <f t="shared" si="32"/>
        <v/>
      </c>
      <c r="J615" s="147" t="str">
        <f>IFERROR(SUMIFS(当年实际!$V:$V,当年实际!$J:$J,$C615,当年实际!$C:$C,"&gt;="&amp;DATE(YEAR(主页!$D$2),1,1),当年实际!$C:$C,"&lt;="&amp;EOMONTH(DATE(YEAR(主页!$D$2),MONTH(主页!$D$2),1),0))/SUMIFS(当年实际!$P:$P,当年实际!$J:$J,$C615,当年实际!$C:$C,"&gt;="&amp;DATE(YEAR(主页!$D$2),1,1),当年实际!$C:$C,"&lt;="&amp;EOMONTH(DATE(YEAR(主页!$D$2),MONTH(主页!$D$2),1),0)),"")</f>
        <v/>
      </c>
    </row>
    <row r="616" spans="1:10" x14ac:dyDescent="0.3">
      <c r="A616" s="129"/>
      <c r="B616" s="150"/>
      <c r="C616" s="150"/>
      <c r="D616" s="150"/>
      <c r="E616" s="140" t="str">
        <f t="shared" si="30"/>
        <v/>
      </c>
      <c r="F616" s="157"/>
      <c r="G616" s="145">
        <f t="shared" si="31"/>
        <v>0</v>
      </c>
      <c r="H616" s="140" t="str">
        <f t="shared" si="32"/>
        <v/>
      </c>
      <c r="J616" s="147" t="str">
        <f>IFERROR(SUMIFS(当年实际!$V:$V,当年实际!$J:$J,$C616,当年实际!$C:$C,"&gt;="&amp;DATE(YEAR(主页!$D$2),1,1),当年实际!$C:$C,"&lt;="&amp;EOMONTH(DATE(YEAR(主页!$D$2),MONTH(主页!$D$2),1),0))/SUMIFS(当年实际!$P:$P,当年实际!$J:$J,$C616,当年实际!$C:$C,"&gt;="&amp;DATE(YEAR(主页!$D$2),1,1),当年实际!$C:$C,"&lt;="&amp;EOMONTH(DATE(YEAR(主页!$D$2),MONTH(主页!$D$2),1),0)),"")</f>
        <v/>
      </c>
    </row>
    <row r="617" spans="1:10" x14ac:dyDescent="0.3">
      <c r="A617" s="129"/>
      <c r="B617" s="150"/>
      <c r="C617" s="150"/>
      <c r="D617" s="150"/>
      <c r="E617" s="140" t="str">
        <f t="shared" si="30"/>
        <v/>
      </c>
      <c r="F617" s="157"/>
      <c r="G617" s="145">
        <f t="shared" si="31"/>
        <v>0</v>
      </c>
      <c r="H617" s="140" t="str">
        <f t="shared" si="32"/>
        <v/>
      </c>
      <c r="J617" s="147" t="str">
        <f>IFERROR(SUMIFS(当年实际!$V:$V,当年实际!$J:$J,$C617,当年实际!$C:$C,"&gt;="&amp;DATE(YEAR(主页!$D$2),1,1),当年实际!$C:$C,"&lt;="&amp;EOMONTH(DATE(YEAR(主页!$D$2),MONTH(主页!$D$2),1),0))/SUMIFS(当年实际!$P:$P,当年实际!$J:$J,$C617,当年实际!$C:$C,"&gt;="&amp;DATE(YEAR(主页!$D$2),1,1),当年实际!$C:$C,"&lt;="&amp;EOMONTH(DATE(YEAR(主页!$D$2),MONTH(主页!$D$2),1),0)),"")</f>
        <v/>
      </c>
    </row>
    <row r="618" spans="1:10" x14ac:dyDescent="0.3">
      <c r="A618" s="129"/>
      <c r="B618" s="150"/>
      <c r="C618" s="150"/>
      <c r="D618" s="150"/>
      <c r="E618" s="140" t="str">
        <f t="shared" si="30"/>
        <v/>
      </c>
      <c r="F618" s="157"/>
      <c r="G618" s="145">
        <f t="shared" si="31"/>
        <v>0</v>
      </c>
      <c r="H618" s="140" t="str">
        <f t="shared" si="32"/>
        <v/>
      </c>
      <c r="J618" s="147" t="str">
        <f>IFERROR(SUMIFS(当年实际!$V:$V,当年实际!$J:$J,$C618,当年实际!$C:$C,"&gt;="&amp;DATE(YEAR(主页!$D$2),1,1),当年实际!$C:$C,"&lt;="&amp;EOMONTH(DATE(YEAR(主页!$D$2),MONTH(主页!$D$2),1),0))/SUMIFS(当年实际!$P:$P,当年实际!$J:$J,$C618,当年实际!$C:$C,"&gt;="&amp;DATE(YEAR(主页!$D$2),1,1),当年实际!$C:$C,"&lt;="&amp;EOMONTH(DATE(YEAR(主页!$D$2),MONTH(主页!$D$2),1),0)),"")</f>
        <v/>
      </c>
    </row>
    <row r="619" spans="1:10" x14ac:dyDescent="0.3">
      <c r="A619" s="129"/>
      <c r="B619" s="150"/>
      <c r="C619" s="150"/>
      <c r="D619" s="150"/>
      <c r="E619" s="140" t="str">
        <f t="shared" si="30"/>
        <v/>
      </c>
      <c r="F619" s="157"/>
      <c r="G619" s="145">
        <f t="shared" si="31"/>
        <v>0</v>
      </c>
      <c r="H619" s="140" t="str">
        <f t="shared" si="32"/>
        <v/>
      </c>
      <c r="J619" s="147" t="str">
        <f>IFERROR(SUMIFS(当年实际!$V:$V,当年实际!$J:$J,$C619,当年实际!$C:$C,"&gt;="&amp;DATE(YEAR(主页!$D$2),1,1),当年实际!$C:$C,"&lt;="&amp;EOMONTH(DATE(YEAR(主页!$D$2),MONTH(主页!$D$2),1),0))/SUMIFS(当年实际!$P:$P,当年实际!$J:$J,$C619,当年实际!$C:$C,"&gt;="&amp;DATE(YEAR(主页!$D$2),1,1),当年实际!$C:$C,"&lt;="&amp;EOMONTH(DATE(YEAR(主页!$D$2),MONTH(主页!$D$2),1),0)),"")</f>
        <v/>
      </c>
    </row>
    <row r="620" spans="1:10" x14ac:dyDescent="0.3">
      <c r="A620" s="129"/>
      <c r="B620" s="150"/>
      <c r="C620" s="150"/>
      <c r="D620" s="150"/>
      <c r="E620" s="140" t="str">
        <f t="shared" si="30"/>
        <v/>
      </c>
      <c r="F620" s="157"/>
      <c r="G620" s="145">
        <f t="shared" si="31"/>
        <v>0</v>
      </c>
      <c r="H620" s="140" t="str">
        <f t="shared" si="32"/>
        <v/>
      </c>
      <c r="J620" s="147" t="str">
        <f>IFERROR(SUMIFS(当年实际!$V:$V,当年实际!$J:$J,$C620,当年实际!$C:$C,"&gt;="&amp;DATE(YEAR(主页!$D$2),1,1),当年实际!$C:$C,"&lt;="&amp;EOMONTH(DATE(YEAR(主页!$D$2),MONTH(主页!$D$2),1),0))/SUMIFS(当年实际!$P:$P,当年实际!$J:$J,$C620,当年实际!$C:$C,"&gt;="&amp;DATE(YEAR(主页!$D$2),1,1),当年实际!$C:$C,"&lt;="&amp;EOMONTH(DATE(YEAR(主页!$D$2),MONTH(主页!$D$2),1),0)),"")</f>
        <v/>
      </c>
    </row>
    <row r="621" spans="1:10" x14ac:dyDescent="0.3">
      <c r="A621" s="129"/>
      <c r="B621" s="150"/>
      <c r="C621" s="150"/>
      <c r="D621" s="150"/>
      <c r="E621" s="140" t="str">
        <f t="shared" si="30"/>
        <v/>
      </c>
      <c r="F621" s="157"/>
      <c r="G621" s="145">
        <f t="shared" si="31"/>
        <v>0</v>
      </c>
      <c r="H621" s="140" t="str">
        <f t="shared" si="32"/>
        <v/>
      </c>
      <c r="J621" s="147" t="str">
        <f>IFERROR(SUMIFS(当年实际!$V:$V,当年实际!$J:$J,$C621,当年实际!$C:$C,"&gt;="&amp;DATE(YEAR(主页!$D$2),1,1),当年实际!$C:$C,"&lt;="&amp;EOMONTH(DATE(YEAR(主页!$D$2),MONTH(主页!$D$2),1),0))/SUMIFS(当年实际!$P:$P,当年实际!$J:$J,$C621,当年实际!$C:$C,"&gt;="&amp;DATE(YEAR(主页!$D$2),1,1),当年实际!$C:$C,"&lt;="&amp;EOMONTH(DATE(YEAR(主页!$D$2),MONTH(主页!$D$2),1),0)),"")</f>
        <v/>
      </c>
    </row>
    <row r="622" spans="1:10" x14ac:dyDescent="0.3">
      <c r="A622" s="129"/>
      <c r="B622" s="150"/>
      <c r="C622" s="150"/>
      <c r="D622" s="150"/>
      <c r="E622" s="140" t="str">
        <f t="shared" si="30"/>
        <v/>
      </c>
      <c r="F622" s="157"/>
      <c r="G622" s="145">
        <f t="shared" si="31"/>
        <v>0</v>
      </c>
      <c r="H622" s="140" t="str">
        <f t="shared" si="32"/>
        <v/>
      </c>
      <c r="J622" s="147" t="str">
        <f>IFERROR(SUMIFS(当年实际!$V:$V,当年实际!$J:$J,$C622,当年实际!$C:$C,"&gt;="&amp;DATE(YEAR(主页!$D$2),1,1),当年实际!$C:$C,"&lt;="&amp;EOMONTH(DATE(YEAR(主页!$D$2),MONTH(主页!$D$2),1),0))/SUMIFS(当年实际!$P:$P,当年实际!$J:$J,$C622,当年实际!$C:$C,"&gt;="&amp;DATE(YEAR(主页!$D$2),1,1),当年实际!$C:$C,"&lt;="&amp;EOMONTH(DATE(YEAR(主页!$D$2),MONTH(主页!$D$2),1),0)),"")</f>
        <v/>
      </c>
    </row>
    <row r="623" spans="1:10" x14ac:dyDescent="0.3">
      <c r="A623" s="129"/>
      <c r="B623" s="150"/>
      <c r="C623" s="150"/>
      <c r="D623" s="150"/>
      <c r="E623" s="140" t="str">
        <f t="shared" si="30"/>
        <v/>
      </c>
      <c r="F623" s="157"/>
      <c r="G623" s="145">
        <f t="shared" si="31"/>
        <v>0</v>
      </c>
      <c r="H623" s="140" t="str">
        <f t="shared" si="32"/>
        <v/>
      </c>
      <c r="J623" s="147" t="str">
        <f>IFERROR(SUMIFS(当年实际!$V:$V,当年实际!$J:$J,$C623,当年实际!$C:$C,"&gt;="&amp;DATE(YEAR(主页!$D$2),1,1),当年实际!$C:$C,"&lt;="&amp;EOMONTH(DATE(YEAR(主页!$D$2),MONTH(主页!$D$2),1),0))/SUMIFS(当年实际!$P:$P,当年实际!$J:$J,$C623,当年实际!$C:$C,"&gt;="&amp;DATE(YEAR(主页!$D$2),1,1),当年实际!$C:$C,"&lt;="&amp;EOMONTH(DATE(YEAR(主页!$D$2),MONTH(主页!$D$2),1),0)),"")</f>
        <v/>
      </c>
    </row>
    <row r="624" spans="1:10" x14ac:dyDescent="0.3">
      <c r="A624" s="129"/>
      <c r="B624" s="150"/>
      <c r="C624" s="150"/>
      <c r="D624" s="150"/>
      <c r="E624" s="140" t="str">
        <f t="shared" si="30"/>
        <v/>
      </c>
      <c r="F624" s="157"/>
      <c r="G624" s="145">
        <f t="shared" si="31"/>
        <v>0</v>
      </c>
      <c r="H624" s="140" t="str">
        <f t="shared" si="32"/>
        <v/>
      </c>
      <c r="J624" s="147" t="str">
        <f>IFERROR(SUMIFS(当年实际!$V:$V,当年实际!$J:$J,$C624,当年实际!$C:$C,"&gt;="&amp;DATE(YEAR(主页!$D$2),1,1),当年实际!$C:$C,"&lt;="&amp;EOMONTH(DATE(YEAR(主页!$D$2),MONTH(主页!$D$2),1),0))/SUMIFS(当年实际!$P:$P,当年实际!$J:$J,$C624,当年实际!$C:$C,"&gt;="&amp;DATE(YEAR(主页!$D$2),1,1),当年实际!$C:$C,"&lt;="&amp;EOMONTH(DATE(YEAR(主页!$D$2),MONTH(主页!$D$2),1),0)),"")</f>
        <v/>
      </c>
    </row>
    <row r="625" spans="1:10" x14ac:dyDescent="0.3">
      <c r="A625" s="129"/>
      <c r="B625" s="150"/>
      <c r="C625" s="150"/>
      <c r="D625" s="150"/>
      <c r="E625" s="140" t="str">
        <f t="shared" si="30"/>
        <v/>
      </c>
      <c r="F625" s="157"/>
      <c r="G625" s="145">
        <f t="shared" si="31"/>
        <v>0</v>
      </c>
      <c r="H625" s="140" t="str">
        <f t="shared" si="32"/>
        <v/>
      </c>
      <c r="J625" s="147" t="str">
        <f>IFERROR(SUMIFS(当年实际!$V:$V,当年实际!$J:$J,$C625,当年实际!$C:$C,"&gt;="&amp;DATE(YEAR(主页!$D$2),1,1),当年实际!$C:$C,"&lt;="&amp;EOMONTH(DATE(YEAR(主页!$D$2),MONTH(主页!$D$2),1),0))/SUMIFS(当年实际!$P:$P,当年实际!$J:$J,$C625,当年实际!$C:$C,"&gt;="&amp;DATE(YEAR(主页!$D$2),1,1),当年实际!$C:$C,"&lt;="&amp;EOMONTH(DATE(YEAR(主页!$D$2),MONTH(主页!$D$2),1),0)),"")</f>
        <v/>
      </c>
    </row>
    <row r="626" spans="1:10" x14ac:dyDescent="0.3">
      <c r="A626" s="129"/>
      <c r="B626" s="150"/>
      <c r="C626" s="150"/>
      <c r="D626" s="150"/>
      <c r="E626" s="140" t="str">
        <f t="shared" si="30"/>
        <v/>
      </c>
      <c r="F626" s="157"/>
      <c r="G626" s="145">
        <f t="shared" si="31"/>
        <v>0</v>
      </c>
      <c r="H626" s="140" t="str">
        <f t="shared" si="32"/>
        <v/>
      </c>
      <c r="J626" s="147" t="str">
        <f>IFERROR(SUMIFS(当年实际!$V:$V,当年实际!$J:$J,$C626,当年实际!$C:$C,"&gt;="&amp;DATE(YEAR(主页!$D$2),1,1),当年实际!$C:$C,"&lt;="&amp;EOMONTH(DATE(YEAR(主页!$D$2),MONTH(主页!$D$2),1),0))/SUMIFS(当年实际!$P:$P,当年实际!$J:$J,$C626,当年实际!$C:$C,"&gt;="&amp;DATE(YEAR(主页!$D$2),1,1),当年实际!$C:$C,"&lt;="&amp;EOMONTH(DATE(YEAR(主页!$D$2),MONTH(主页!$D$2),1),0)),"")</f>
        <v/>
      </c>
    </row>
    <row r="627" spans="1:10" x14ac:dyDescent="0.3">
      <c r="A627" s="129"/>
      <c r="B627" s="150"/>
      <c r="C627" s="150"/>
      <c r="D627" s="150"/>
      <c r="E627" s="140" t="str">
        <f t="shared" si="30"/>
        <v/>
      </c>
      <c r="F627" s="157"/>
      <c r="G627" s="145">
        <f t="shared" si="31"/>
        <v>0</v>
      </c>
      <c r="H627" s="140" t="str">
        <f t="shared" si="32"/>
        <v/>
      </c>
      <c r="J627" s="147" t="str">
        <f>IFERROR(SUMIFS(当年实际!$V:$V,当年实际!$J:$J,$C627,当年实际!$C:$C,"&gt;="&amp;DATE(YEAR(主页!$D$2),1,1),当年实际!$C:$C,"&lt;="&amp;EOMONTH(DATE(YEAR(主页!$D$2),MONTH(主页!$D$2),1),0))/SUMIFS(当年实际!$P:$P,当年实际!$J:$J,$C627,当年实际!$C:$C,"&gt;="&amp;DATE(YEAR(主页!$D$2),1,1),当年实际!$C:$C,"&lt;="&amp;EOMONTH(DATE(YEAR(主页!$D$2),MONTH(主页!$D$2),1),0)),"")</f>
        <v/>
      </c>
    </row>
    <row r="628" spans="1:10" x14ac:dyDescent="0.3">
      <c r="A628" s="129"/>
      <c r="B628" s="150"/>
      <c r="C628" s="150"/>
      <c r="D628" s="150"/>
      <c r="E628" s="140" t="str">
        <f t="shared" si="30"/>
        <v/>
      </c>
      <c r="F628" s="157"/>
      <c r="G628" s="145">
        <f t="shared" si="31"/>
        <v>0</v>
      </c>
      <c r="H628" s="140" t="str">
        <f t="shared" si="32"/>
        <v/>
      </c>
      <c r="J628" s="147" t="str">
        <f>IFERROR(SUMIFS(当年实际!$V:$V,当年实际!$J:$J,$C628,当年实际!$C:$C,"&gt;="&amp;DATE(YEAR(主页!$D$2),1,1),当年实际!$C:$C,"&lt;="&amp;EOMONTH(DATE(YEAR(主页!$D$2),MONTH(主页!$D$2),1),0))/SUMIFS(当年实际!$P:$P,当年实际!$J:$J,$C628,当年实际!$C:$C,"&gt;="&amp;DATE(YEAR(主页!$D$2),1,1),当年实际!$C:$C,"&lt;="&amp;EOMONTH(DATE(YEAR(主页!$D$2),MONTH(主页!$D$2),1),0)),"")</f>
        <v/>
      </c>
    </row>
    <row r="629" spans="1:10" x14ac:dyDescent="0.3">
      <c r="A629" s="129"/>
      <c r="B629" s="150"/>
      <c r="C629" s="150"/>
      <c r="D629" s="150"/>
      <c r="E629" s="140" t="str">
        <f t="shared" si="30"/>
        <v/>
      </c>
      <c r="F629" s="157"/>
      <c r="G629" s="145">
        <f t="shared" si="31"/>
        <v>0</v>
      </c>
      <c r="H629" s="140" t="str">
        <f t="shared" si="32"/>
        <v/>
      </c>
      <c r="J629" s="147" t="str">
        <f>IFERROR(SUMIFS(当年实际!$V:$V,当年实际!$J:$J,$C629,当年实际!$C:$C,"&gt;="&amp;DATE(YEAR(主页!$D$2),1,1),当年实际!$C:$C,"&lt;="&amp;EOMONTH(DATE(YEAR(主页!$D$2),MONTH(主页!$D$2),1),0))/SUMIFS(当年实际!$P:$P,当年实际!$J:$J,$C629,当年实际!$C:$C,"&gt;="&amp;DATE(YEAR(主页!$D$2),1,1),当年实际!$C:$C,"&lt;="&amp;EOMONTH(DATE(YEAR(主页!$D$2),MONTH(主页!$D$2),1),0)),"")</f>
        <v/>
      </c>
    </row>
    <row r="630" spans="1:10" x14ac:dyDescent="0.3">
      <c r="A630" s="129"/>
      <c r="B630" s="150"/>
      <c r="C630" s="150"/>
      <c r="D630" s="150"/>
      <c r="E630" s="140" t="str">
        <f t="shared" si="30"/>
        <v/>
      </c>
      <c r="F630" s="157"/>
      <c r="G630" s="145">
        <f t="shared" si="31"/>
        <v>0</v>
      </c>
      <c r="H630" s="140" t="str">
        <f t="shared" si="32"/>
        <v/>
      </c>
      <c r="J630" s="147" t="str">
        <f>IFERROR(SUMIFS(当年实际!$V:$V,当年实际!$J:$J,$C630,当年实际!$C:$C,"&gt;="&amp;DATE(YEAR(主页!$D$2),1,1),当年实际!$C:$C,"&lt;="&amp;EOMONTH(DATE(YEAR(主页!$D$2),MONTH(主页!$D$2),1),0))/SUMIFS(当年实际!$P:$P,当年实际!$J:$J,$C630,当年实际!$C:$C,"&gt;="&amp;DATE(YEAR(主页!$D$2),1,1),当年实际!$C:$C,"&lt;="&amp;EOMONTH(DATE(YEAR(主页!$D$2),MONTH(主页!$D$2),1),0)),"")</f>
        <v/>
      </c>
    </row>
    <row r="631" spans="1:10" x14ac:dyDescent="0.3">
      <c r="A631" s="129"/>
      <c r="B631" s="150"/>
      <c r="C631" s="150"/>
      <c r="D631" s="150"/>
      <c r="E631" s="140" t="str">
        <f t="shared" si="30"/>
        <v/>
      </c>
      <c r="F631" s="157"/>
      <c r="G631" s="145">
        <f t="shared" si="31"/>
        <v>0</v>
      </c>
      <c r="H631" s="140" t="str">
        <f t="shared" si="32"/>
        <v/>
      </c>
      <c r="J631" s="147" t="str">
        <f>IFERROR(SUMIFS(当年实际!$V:$V,当年实际!$J:$J,$C631,当年实际!$C:$C,"&gt;="&amp;DATE(YEAR(主页!$D$2),1,1),当年实际!$C:$C,"&lt;="&amp;EOMONTH(DATE(YEAR(主页!$D$2),MONTH(主页!$D$2),1),0))/SUMIFS(当年实际!$P:$P,当年实际!$J:$J,$C631,当年实际!$C:$C,"&gt;="&amp;DATE(YEAR(主页!$D$2),1,1),当年实际!$C:$C,"&lt;="&amp;EOMONTH(DATE(YEAR(主页!$D$2),MONTH(主页!$D$2),1),0)),"")</f>
        <v/>
      </c>
    </row>
    <row r="632" spans="1:10" x14ac:dyDescent="0.3">
      <c r="A632" s="129"/>
      <c r="B632" s="150"/>
      <c r="C632" s="150"/>
      <c r="D632" s="150"/>
      <c r="E632" s="140" t="str">
        <f t="shared" si="30"/>
        <v/>
      </c>
      <c r="F632" s="157"/>
      <c r="G632" s="145">
        <f t="shared" si="31"/>
        <v>0</v>
      </c>
      <c r="H632" s="140" t="str">
        <f t="shared" si="32"/>
        <v/>
      </c>
      <c r="J632" s="147" t="str">
        <f>IFERROR(SUMIFS(当年实际!$V:$V,当年实际!$J:$J,$C632,当年实际!$C:$C,"&gt;="&amp;DATE(YEAR(主页!$D$2),1,1),当年实际!$C:$C,"&lt;="&amp;EOMONTH(DATE(YEAR(主页!$D$2),MONTH(主页!$D$2),1),0))/SUMIFS(当年实际!$P:$P,当年实际!$J:$J,$C632,当年实际!$C:$C,"&gt;="&amp;DATE(YEAR(主页!$D$2),1,1),当年实际!$C:$C,"&lt;="&amp;EOMONTH(DATE(YEAR(主页!$D$2),MONTH(主页!$D$2),1),0)),"")</f>
        <v/>
      </c>
    </row>
    <row r="633" spans="1:10" x14ac:dyDescent="0.3">
      <c r="A633" s="129"/>
      <c r="B633" s="150"/>
      <c r="C633" s="150"/>
      <c r="D633" s="150"/>
      <c r="E633" s="140" t="str">
        <f t="shared" si="30"/>
        <v/>
      </c>
      <c r="F633" s="157"/>
      <c r="G633" s="145">
        <f t="shared" si="31"/>
        <v>0</v>
      </c>
      <c r="H633" s="140" t="str">
        <f t="shared" si="32"/>
        <v/>
      </c>
      <c r="J633" s="147" t="str">
        <f>IFERROR(SUMIFS(当年实际!$V:$V,当年实际!$J:$J,$C633,当年实际!$C:$C,"&gt;="&amp;DATE(YEAR(主页!$D$2),1,1),当年实际!$C:$C,"&lt;="&amp;EOMONTH(DATE(YEAR(主页!$D$2),MONTH(主页!$D$2),1),0))/SUMIFS(当年实际!$P:$P,当年实际!$J:$J,$C633,当年实际!$C:$C,"&gt;="&amp;DATE(YEAR(主页!$D$2),1,1),当年实际!$C:$C,"&lt;="&amp;EOMONTH(DATE(YEAR(主页!$D$2),MONTH(主页!$D$2),1),0)),"")</f>
        <v/>
      </c>
    </row>
    <row r="634" spans="1:10" x14ac:dyDescent="0.3">
      <c r="A634" s="129"/>
      <c r="B634" s="150"/>
      <c r="C634" s="150"/>
      <c r="D634" s="150"/>
      <c r="E634" s="140" t="str">
        <f t="shared" si="30"/>
        <v/>
      </c>
      <c r="F634" s="157"/>
      <c r="G634" s="145">
        <f t="shared" si="31"/>
        <v>0</v>
      </c>
      <c r="H634" s="140" t="str">
        <f t="shared" si="32"/>
        <v/>
      </c>
      <c r="J634" s="147" t="str">
        <f>IFERROR(SUMIFS(当年实际!$V:$V,当年实际!$J:$J,$C634,当年实际!$C:$C,"&gt;="&amp;DATE(YEAR(主页!$D$2),1,1),当年实际!$C:$C,"&lt;="&amp;EOMONTH(DATE(YEAR(主页!$D$2),MONTH(主页!$D$2),1),0))/SUMIFS(当年实际!$P:$P,当年实际!$J:$J,$C634,当年实际!$C:$C,"&gt;="&amp;DATE(YEAR(主页!$D$2),1,1),当年实际!$C:$C,"&lt;="&amp;EOMONTH(DATE(YEAR(主页!$D$2),MONTH(主页!$D$2),1),0)),"")</f>
        <v/>
      </c>
    </row>
    <row r="635" spans="1:10" x14ac:dyDescent="0.3">
      <c r="A635" s="129"/>
      <c r="B635" s="150"/>
      <c r="C635" s="150"/>
      <c r="D635" s="150"/>
      <c r="E635" s="140" t="str">
        <f t="shared" si="30"/>
        <v/>
      </c>
      <c r="F635" s="157"/>
      <c r="G635" s="145">
        <f t="shared" si="31"/>
        <v>0</v>
      </c>
      <c r="H635" s="140" t="str">
        <f t="shared" si="32"/>
        <v/>
      </c>
      <c r="J635" s="147" t="str">
        <f>IFERROR(SUMIFS(当年实际!$V:$V,当年实际!$J:$J,$C635,当年实际!$C:$C,"&gt;="&amp;DATE(YEAR(主页!$D$2),1,1),当年实际!$C:$C,"&lt;="&amp;EOMONTH(DATE(YEAR(主页!$D$2),MONTH(主页!$D$2),1),0))/SUMIFS(当年实际!$P:$P,当年实际!$J:$J,$C635,当年实际!$C:$C,"&gt;="&amp;DATE(YEAR(主页!$D$2),1,1),当年实际!$C:$C,"&lt;="&amp;EOMONTH(DATE(YEAR(主页!$D$2),MONTH(主页!$D$2),1),0)),"")</f>
        <v/>
      </c>
    </row>
    <row r="636" spans="1:10" x14ac:dyDescent="0.3">
      <c r="A636" s="129"/>
      <c r="B636" s="150"/>
      <c r="C636" s="150"/>
      <c r="D636" s="150"/>
      <c r="E636" s="140" t="str">
        <f t="shared" si="30"/>
        <v/>
      </c>
      <c r="F636" s="157"/>
      <c r="G636" s="145">
        <f t="shared" si="31"/>
        <v>0</v>
      </c>
      <c r="H636" s="140" t="str">
        <f t="shared" si="32"/>
        <v/>
      </c>
      <c r="J636" s="147" t="str">
        <f>IFERROR(SUMIFS(当年实际!$V:$V,当年实际!$J:$J,$C636,当年实际!$C:$C,"&gt;="&amp;DATE(YEAR(主页!$D$2),1,1),当年实际!$C:$C,"&lt;="&amp;EOMONTH(DATE(YEAR(主页!$D$2),MONTH(主页!$D$2),1),0))/SUMIFS(当年实际!$P:$P,当年实际!$J:$J,$C636,当年实际!$C:$C,"&gt;="&amp;DATE(YEAR(主页!$D$2),1,1),当年实际!$C:$C,"&lt;="&amp;EOMONTH(DATE(YEAR(主页!$D$2),MONTH(主页!$D$2),1),0)),"")</f>
        <v/>
      </c>
    </row>
    <row r="637" spans="1:10" x14ac:dyDescent="0.3">
      <c r="A637" s="129"/>
      <c r="B637" s="150"/>
      <c r="C637" s="150"/>
      <c r="D637" s="150"/>
      <c r="E637" s="140" t="str">
        <f t="shared" si="30"/>
        <v/>
      </c>
      <c r="F637" s="157"/>
      <c r="G637" s="145">
        <f t="shared" si="31"/>
        <v>0</v>
      </c>
      <c r="H637" s="140" t="str">
        <f t="shared" si="32"/>
        <v/>
      </c>
      <c r="J637" s="147" t="str">
        <f>IFERROR(SUMIFS(当年实际!$V:$V,当年实际!$J:$J,$C637,当年实际!$C:$C,"&gt;="&amp;DATE(YEAR(主页!$D$2),1,1),当年实际!$C:$C,"&lt;="&amp;EOMONTH(DATE(YEAR(主页!$D$2),MONTH(主页!$D$2),1),0))/SUMIFS(当年实际!$P:$P,当年实际!$J:$J,$C637,当年实际!$C:$C,"&gt;="&amp;DATE(YEAR(主页!$D$2),1,1),当年实际!$C:$C,"&lt;="&amp;EOMONTH(DATE(YEAR(主页!$D$2),MONTH(主页!$D$2),1),0)),"")</f>
        <v/>
      </c>
    </row>
    <row r="638" spans="1:10" x14ac:dyDescent="0.3">
      <c r="A638" s="129"/>
      <c r="B638" s="150"/>
      <c r="C638" s="150"/>
      <c r="D638" s="150"/>
      <c r="E638" s="140" t="str">
        <f t="shared" si="30"/>
        <v/>
      </c>
      <c r="F638" s="157"/>
      <c r="G638" s="145">
        <f t="shared" si="31"/>
        <v>0</v>
      </c>
      <c r="H638" s="140" t="str">
        <f t="shared" si="32"/>
        <v/>
      </c>
      <c r="J638" s="147" t="str">
        <f>IFERROR(SUMIFS(当年实际!$V:$V,当年实际!$J:$J,$C638,当年实际!$C:$C,"&gt;="&amp;DATE(YEAR(主页!$D$2),1,1),当年实际!$C:$C,"&lt;="&amp;EOMONTH(DATE(YEAR(主页!$D$2),MONTH(主页!$D$2),1),0))/SUMIFS(当年实际!$P:$P,当年实际!$J:$J,$C638,当年实际!$C:$C,"&gt;="&amp;DATE(YEAR(主页!$D$2),1,1),当年实际!$C:$C,"&lt;="&amp;EOMONTH(DATE(YEAR(主页!$D$2),MONTH(主页!$D$2),1),0)),"")</f>
        <v/>
      </c>
    </row>
    <row r="639" spans="1:10" x14ac:dyDescent="0.3">
      <c r="A639" s="129"/>
      <c r="B639" s="150"/>
      <c r="C639" s="150"/>
      <c r="D639" s="150"/>
      <c r="E639" s="140" t="str">
        <f t="shared" si="30"/>
        <v/>
      </c>
      <c r="F639" s="157"/>
      <c r="G639" s="145">
        <f t="shared" si="31"/>
        <v>0</v>
      </c>
      <c r="H639" s="140" t="str">
        <f t="shared" si="32"/>
        <v/>
      </c>
      <c r="J639" s="147" t="str">
        <f>IFERROR(SUMIFS(当年实际!$V:$V,当年实际!$J:$J,$C639,当年实际!$C:$C,"&gt;="&amp;DATE(YEAR(主页!$D$2),1,1),当年实际!$C:$C,"&lt;="&amp;EOMONTH(DATE(YEAR(主页!$D$2),MONTH(主页!$D$2),1),0))/SUMIFS(当年实际!$P:$P,当年实际!$J:$J,$C639,当年实际!$C:$C,"&gt;="&amp;DATE(YEAR(主页!$D$2),1,1),当年实际!$C:$C,"&lt;="&amp;EOMONTH(DATE(YEAR(主页!$D$2),MONTH(主页!$D$2),1),0)),"")</f>
        <v/>
      </c>
    </row>
    <row r="640" spans="1:10" x14ac:dyDescent="0.3">
      <c r="A640" s="129"/>
      <c r="B640" s="150"/>
      <c r="C640" s="150"/>
      <c r="D640" s="150"/>
      <c r="E640" s="140" t="str">
        <f t="shared" si="30"/>
        <v/>
      </c>
      <c r="F640" s="157"/>
      <c r="G640" s="145">
        <f t="shared" si="31"/>
        <v>0</v>
      </c>
      <c r="H640" s="140" t="str">
        <f t="shared" si="32"/>
        <v/>
      </c>
      <c r="J640" s="147" t="str">
        <f>IFERROR(SUMIFS(当年实际!$V:$V,当年实际!$J:$J,$C640,当年实际!$C:$C,"&gt;="&amp;DATE(YEAR(主页!$D$2),1,1),当年实际!$C:$C,"&lt;="&amp;EOMONTH(DATE(YEAR(主页!$D$2),MONTH(主页!$D$2),1),0))/SUMIFS(当年实际!$P:$P,当年实际!$J:$J,$C640,当年实际!$C:$C,"&gt;="&amp;DATE(YEAR(主页!$D$2),1,1),当年实际!$C:$C,"&lt;="&amp;EOMONTH(DATE(YEAR(主页!$D$2),MONTH(主页!$D$2),1),0)),"")</f>
        <v/>
      </c>
    </row>
    <row r="641" spans="1:10" x14ac:dyDescent="0.3">
      <c r="A641" s="129"/>
      <c r="B641" s="150"/>
      <c r="C641" s="150"/>
      <c r="D641" s="150"/>
      <c r="E641" s="140" t="str">
        <f t="shared" si="30"/>
        <v/>
      </c>
      <c r="F641" s="157"/>
      <c r="G641" s="145">
        <f t="shared" si="31"/>
        <v>0</v>
      </c>
      <c r="H641" s="140" t="str">
        <f t="shared" si="32"/>
        <v/>
      </c>
      <c r="J641" s="147" t="str">
        <f>IFERROR(SUMIFS(当年实际!$V:$V,当年实际!$J:$J,$C641,当年实际!$C:$C,"&gt;="&amp;DATE(YEAR(主页!$D$2),1,1),当年实际!$C:$C,"&lt;="&amp;EOMONTH(DATE(YEAR(主页!$D$2),MONTH(主页!$D$2),1),0))/SUMIFS(当年实际!$P:$P,当年实际!$J:$J,$C641,当年实际!$C:$C,"&gt;="&amp;DATE(YEAR(主页!$D$2),1,1),当年实际!$C:$C,"&lt;="&amp;EOMONTH(DATE(YEAR(主页!$D$2),MONTH(主页!$D$2),1),0)),"")</f>
        <v/>
      </c>
    </row>
    <row r="642" spans="1:10" x14ac:dyDescent="0.3">
      <c r="A642" s="129"/>
      <c r="B642" s="150"/>
      <c r="C642" s="150"/>
      <c r="D642" s="150"/>
      <c r="E642" s="140" t="str">
        <f t="shared" si="30"/>
        <v/>
      </c>
      <c r="F642" s="157"/>
      <c r="G642" s="145">
        <f t="shared" si="31"/>
        <v>0</v>
      </c>
      <c r="H642" s="140" t="str">
        <f t="shared" si="32"/>
        <v/>
      </c>
      <c r="J642" s="147" t="str">
        <f>IFERROR(SUMIFS(当年实际!$V:$V,当年实际!$J:$J,$C642,当年实际!$C:$C,"&gt;="&amp;DATE(YEAR(主页!$D$2),1,1),当年实际!$C:$C,"&lt;="&amp;EOMONTH(DATE(YEAR(主页!$D$2),MONTH(主页!$D$2),1),0))/SUMIFS(当年实际!$P:$P,当年实际!$J:$J,$C642,当年实际!$C:$C,"&gt;="&amp;DATE(YEAR(主页!$D$2),1,1),当年实际!$C:$C,"&lt;="&amp;EOMONTH(DATE(YEAR(主页!$D$2),MONTH(主页!$D$2),1),0)),"")</f>
        <v/>
      </c>
    </row>
    <row r="643" spans="1:10" x14ac:dyDescent="0.3">
      <c r="A643" s="129"/>
      <c r="B643" s="150"/>
      <c r="C643" s="150"/>
      <c r="D643" s="150"/>
      <c r="E643" s="140" t="str">
        <f t="shared" si="30"/>
        <v/>
      </c>
      <c r="F643" s="157"/>
      <c r="G643" s="145">
        <f t="shared" si="31"/>
        <v>0</v>
      </c>
      <c r="H643" s="140" t="str">
        <f t="shared" si="32"/>
        <v/>
      </c>
      <c r="J643" s="147" t="str">
        <f>IFERROR(SUMIFS(当年实际!$V:$V,当年实际!$J:$J,$C643,当年实际!$C:$C,"&gt;="&amp;DATE(YEAR(主页!$D$2),1,1),当年实际!$C:$C,"&lt;="&amp;EOMONTH(DATE(YEAR(主页!$D$2),MONTH(主页!$D$2),1),0))/SUMIFS(当年实际!$P:$P,当年实际!$J:$J,$C643,当年实际!$C:$C,"&gt;="&amp;DATE(YEAR(主页!$D$2),1,1),当年实际!$C:$C,"&lt;="&amp;EOMONTH(DATE(YEAR(主页!$D$2),MONTH(主页!$D$2),1),0)),"")</f>
        <v/>
      </c>
    </row>
    <row r="644" spans="1:10" x14ac:dyDescent="0.3">
      <c r="A644" s="129"/>
      <c r="B644" s="150"/>
      <c r="C644" s="150"/>
      <c r="D644" s="150"/>
      <c r="E644" s="140" t="str">
        <f t="shared" ref="E644:E707" si="33">IF(D644/SUM(D:D)=0,"",D644/SUM(D:D))</f>
        <v/>
      </c>
      <c r="F644" s="157"/>
      <c r="G644" s="145">
        <f t="shared" si="31"/>
        <v>0</v>
      </c>
      <c r="H644" s="140" t="str">
        <f t="shared" si="32"/>
        <v/>
      </c>
      <c r="J644" s="147" t="str">
        <f>IFERROR(SUMIFS(当年实际!$V:$V,当年实际!$J:$J,$C644,当年实际!$C:$C,"&gt;="&amp;DATE(YEAR(主页!$D$2),1,1),当年实际!$C:$C,"&lt;="&amp;EOMONTH(DATE(YEAR(主页!$D$2),MONTH(主页!$D$2),1),0))/SUMIFS(当年实际!$P:$P,当年实际!$J:$J,$C644,当年实际!$C:$C,"&gt;="&amp;DATE(YEAR(主页!$D$2),1,1),当年实际!$C:$C,"&lt;="&amp;EOMONTH(DATE(YEAR(主页!$D$2),MONTH(主页!$D$2),1),0)),"")</f>
        <v/>
      </c>
    </row>
    <row r="645" spans="1:10" x14ac:dyDescent="0.3">
      <c r="A645" s="129"/>
      <c r="B645" s="150"/>
      <c r="C645" s="150"/>
      <c r="D645" s="150"/>
      <c r="E645" s="140" t="str">
        <f t="shared" si="33"/>
        <v/>
      </c>
      <c r="F645" s="157"/>
      <c r="G645" s="145">
        <f t="shared" si="31"/>
        <v>0</v>
      </c>
      <c r="H645" s="140" t="str">
        <f t="shared" si="32"/>
        <v/>
      </c>
      <c r="J645" s="147" t="str">
        <f>IFERROR(SUMIFS(当年实际!$V:$V,当年实际!$J:$J,$C645,当年实际!$C:$C,"&gt;="&amp;DATE(YEAR(主页!$D$2),1,1),当年实际!$C:$C,"&lt;="&amp;EOMONTH(DATE(YEAR(主页!$D$2),MONTH(主页!$D$2),1),0))/SUMIFS(当年实际!$P:$P,当年实际!$J:$J,$C645,当年实际!$C:$C,"&gt;="&amp;DATE(YEAR(主页!$D$2),1,1),当年实际!$C:$C,"&lt;="&amp;EOMONTH(DATE(YEAR(主页!$D$2),MONTH(主页!$D$2),1),0)),"")</f>
        <v/>
      </c>
    </row>
    <row r="646" spans="1:10" x14ac:dyDescent="0.3">
      <c r="A646" s="129"/>
      <c r="B646" s="150"/>
      <c r="C646" s="150"/>
      <c r="D646" s="150"/>
      <c r="E646" s="140" t="str">
        <f t="shared" si="33"/>
        <v/>
      </c>
      <c r="F646" s="157"/>
      <c r="G646" s="145">
        <f t="shared" si="31"/>
        <v>0</v>
      </c>
      <c r="H646" s="140" t="str">
        <f t="shared" si="32"/>
        <v/>
      </c>
      <c r="J646" s="147" t="str">
        <f>IFERROR(SUMIFS(当年实际!$V:$V,当年实际!$J:$J,$C646,当年实际!$C:$C,"&gt;="&amp;DATE(YEAR(主页!$D$2),1,1),当年实际!$C:$C,"&lt;="&amp;EOMONTH(DATE(YEAR(主页!$D$2),MONTH(主页!$D$2),1),0))/SUMIFS(当年实际!$P:$P,当年实际!$J:$J,$C646,当年实际!$C:$C,"&gt;="&amp;DATE(YEAR(主页!$D$2),1,1),当年实际!$C:$C,"&lt;="&amp;EOMONTH(DATE(YEAR(主页!$D$2),MONTH(主页!$D$2),1),0)),"")</f>
        <v/>
      </c>
    </row>
    <row r="647" spans="1:10" x14ac:dyDescent="0.3">
      <c r="A647" s="129"/>
      <c r="B647" s="150"/>
      <c r="C647" s="150"/>
      <c r="D647" s="150"/>
      <c r="E647" s="140" t="str">
        <f t="shared" si="33"/>
        <v/>
      </c>
      <c r="F647" s="157"/>
      <c r="G647" s="145">
        <f t="shared" si="31"/>
        <v>0</v>
      </c>
      <c r="H647" s="140" t="str">
        <f t="shared" si="32"/>
        <v/>
      </c>
      <c r="J647" s="147" t="str">
        <f>IFERROR(SUMIFS(当年实际!$V:$V,当年实际!$J:$J,$C647,当年实际!$C:$C,"&gt;="&amp;DATE(YEAR(主页!$D$2),1,1),当年实际!$C:$C,"&lt;="&amp;EOMONTH(DATE(YEAR(主页!$D$2),MONTH(主页!$D$2),1),0))/SUMIFS(当年实际!$P:$P,当年实际!$J:$J,$C647,当年实际!$C:$C,"&gt;="&amp;DATE(YEAR(主页!$D$2),1,1),当年实际!$C:$C,"&lt;="&amp;EOMONTH(DATE(YEAR(主页!$D$2),MONTH(主页!$D$2),1),0)),"")</f>
        <v/>
      </c>
    </row>
    <row r="648" spans="1:10" x14ac:dyDescent="0.3">
      <c r="A648" s="129"/>
      <c r="B648" s="150"/>
      <c r="C648" s="150"/>
      <c r="D648" s="150"/>
      <c r="E648" s="140" t="str">
        <f t="shared" si="33"/>
        <v/>
      </c>
      <c r="F648" s="157"/>
      <c r="G648" s="145">
        <f t="shared" si="31"/>
        <v>0</v>
      </c>
      <c r="H648" s="140" t="str">
        <f t="shared" si="32"/>
        <v/>
      </c>
      <c r="J648" s="147" t="str">
        <f>IFERROR(SUMIFS(当年实际!$V:$V,当年实际!$J:$J,$C648,当年实际!$C:$C,"&gt;="&amp;DATE(YEAR(主页!$D$2),1,1),当年实际!$C:$C,"&lt;="&amp;EOMONTH(DATE(YEAR(主页!$D$2),MONTH(主页!$D$2),1),0))/SUMIFS(当年实际!$P:$P,当年实际!$J:$J,$C648,当年实际!$C:$C,"&gt;="&amp;DATE(YEAR(主页!$D$2),1,1),当年实际!$C:$C,"&lt;="&amp;EOMONTH(DATE(YEAR(主页!$D$2),MONTH(主页!$D$2),1),0)),"")</f>
        <v/>
      </c>
    </row>
    <row r="649" spans="1:10" x14ac:dyDescent="0.3">
      <c r="A649" s="129"/>
      <c r="B649" s="150"/>
      <c r="C649" s="150"/>
      <c r="D649" s="150"/>
      <c r="E649" s="140" t="str">
        <f t="shared" si="33"/>
        <v/>
      </c>
      <c r="F649" s="157"/>
      <c r="G649" s="145">
        <f t="shared" si="31"/>
        <v>0</v>
      </c>
      <c r="H649" s="140" t="str">
        <f t="shared" si="32"/>
        <v/>
      </c>
      <c r="J649" s="147" t="str">
        <f>IFERROR(SUMIFS(当年实际!$V:$V,当年实际!$J:$J,$C649,当年实际!$C:$C,"&gt;="&amp;DATE(YEAR(主页!$D$2),1,1),当年实际!$C:$C,"&lt;="&amp;EOMONTH(DATE(YEAR(主页!$D$2),MONTH(主页!$D$2),1),0))/SUMIFS(当年实际!$P:$P,当年实际!$J:$J,$C649,当年实际!$C:$C,"&gt;="&amp;DATE(YEAR(主页!$D$2),1,1),当年实际!$C:$C,"&lt;="&amp;EOMONTH(DATE(YEAR(主页!$D$2),MONTH(主页!$D$2),1),0)),"")</f>
        <v/>
      </c>
    </row>
    <row r="650" spans="1:10" x14ac:dyDescent="0.3">
      <c r="A650" s="129"/>
      <c r="B650" s="150"/>
      <c r="C650" s="150"/>
      <c r="D650" s="150"/>
      <c r="E650" s="140" t="str">
        <f t="shared" si="33"/>
        <v/>
      </c>
      <c r="F650" s="157"/>
      <c r="G650" s="145">
        <f t="shared" si="31"/>
        <v>0</v>
      </c>
      <c r="H650" s="140" t="str">
        <f t="shared" si="32"/>
        <v/>
      </c>
      <c r="J650" s="147" t="str">
        <f>IFERROR(SUMIFS(当年实际!$V:$V,当年实际!$J:$J,$C650,当年实际!$C:$C,"&gt;="&amp;DATE(YEAR(主页!$D$2),1,1),当年实际!$C:$C,"&lt;="&amp;EOMONTH(DATE(YEAR(主页!$D$2),MONTH(主页!$D$2),1),0))/SUMIFS(当年实际!$P:$P,当年实际!$J:$J,$C650,当年实际!$C:$C,"&gt;="&amp;DATE(YEAR(主页!$D$2),1,1),当年实际!$C:$C,"&lt;="&amp;EOMONTH(DATE(YEAR(主页!$D$2),MONTH(主页!$D$2),1),0)),"")</f>
        <v/>
      </c>
    </row>
    <row r="651" spans="1:10" x14ac:dyDescent="0.3">
      <c r="A651" s="129"/>
      <c r="B651" s="150"/>
      <c r="C651" s="150"/>
      <c r="D651" s="150"/>
      <c r="E651" s="140" t="str">
        <f t="shared" si="33"/>
        <v/>
      </c>
      <c r="F651" s="157"/>
      <c r="G651" s="145">
        <f t="shared" si="31"/>
        <v>0</v>
      </c>
      <c r="H651" s="140" t="str">
        <f t="shared" si="32"/>
        <v/>
      </c>
      <c r="J651" s="147" t="str">
        <f>IFERROR(SUMIFS(当年实际!$V:$V,当年实际!$J:$J,$C651,当年实际!$C:$C,"&gt;="&amp;DATE(YEAR(主页!$D$2),1,1),当年实际!$C:$C,"&lt;="&amp;EOMONTH(DATE(YEAR(主页!$D$2),MONTH(主页!$D$2),1),0))/SUMIFS(当年实际!$P:$P,当年实际!$J:$J,$C651,当年实际!$C:$C,"&gt;="&amp;DATE(YEAR(主页!$D$2),1,1),当年实际!$C:$C,"&lt;="&amp;EOMONTH(DATE(YEAR(主页!$D$2),MONTH(主页!$D$2),1),0)),"")</f>
        <v/>
      </c>
    </row>
    <row r="652" spans="1:10" x14ac:dyDescent="0.3">
      <c r="A652" s="129"/>
      <c r="B652" s="150"/>
      <c r="C652" s="150"/>
      <c r="D652" s="150"/>
      <c r="E652" s="140" t="str">
        <f t="shared" si="33"/>
        <v/>
      </c>
      <c r="F652" s="157"/>
      <c r="G652" s="145">
        <f t="shared" si="31"/>
        <v>0</v>
      </c>
      <c r="H652" s="140" t="str">
        <f t="shared" si="32"/>
        <v/>
      </c>
      <c r="J652" s="147" t="str">
        <f>IFERROR(SUMIFS(当年实际!$V:$V,当年实际!$J:$J,$C652,当年实际!$C:$C,"&gt;="&amp;DATE(YEAR(主页!$D$2),1,1),当年实际!$C:$C,"&lt;="&amp;EOMONTH(DATE(YEAR(主页!$D$2),MONTH(主页!$D$2),1),0))/SUMIFS(当年实际!$P:$P,当年实际!$J:$J,$C652,当年实际!$C:$C,"&gt;="&amp;DATE(YEAR(主页!$D$2),1,1),当年实际!$C:$C,"&lt;="&amp;EOMONTH(DATE(YEAR(主页!$D$2),MONTH(主页!$D$2),1),0)),"")</f>
        <v/>
      </c>
    </row>
    <row r="653" spans="1:10" x14ac:dyDescent="0.3">
      <c r="A653" s="129"/>
      <c r="B653" s="150"/>
      <c r="C653" s="150"/>
      <c r="D653" s="150"/>
      <c r="E653" s="140" t="str">
        <f t="shared" si="33"/>
        <v/>
      </c>
      <c r="F653" s="157"/>
      <c r="G653" s="145">
        <f t="shared" si="31"/>
        <v>0</v>
      </c>
      <c r="H653" s="140" t="str">
        <f t="shared" si="32"/>
        <v/>
      </c>
      <c r="J653" s="147" t="str">
        <f>IFERROR(SUMIFS(当年实际!$V:$V,当年实际!$J:$J,$C653,当年实际!$C:$C,"&gt;="&amp;DATE(YEAR(主页!$D$2),1,1),当年实际!$C:$C,"&lt;="&amp;EOMONTH(DATE(YEAR(主页!$D$2),MONTH(主页!$D$2),1),0))/SUMIFS(当年实际!$P:$P,当年实际!$J:$J,$C653,当年实际!$C:$C,"&gt;="&amp;DATE(YEAR(主页!$D$2),1,1),当年实际!$C:$C,"&lt;="&amp;EOMONTH(DATE(YEAR(主页!$D$2),MONTH(主页!$D$2),1),0)),"")</f>
        <v/>
      </c>
    </row>
    <row r="654" spans="1:10" x14ac:dyDescent="0.3">
      <c r="A654" s="129"/>
      <c r="B654" s="150"/>
      <c r="C654" s="150"/>
      <c r="D654" s="150"/>
      <c r="E654" s="140" t="str">
        <f t="shared" si="33"/>
        <v/>
      </c>
      <c r="F654" s="157"/>
      <c r="G654" s="145">
        <f t="shared" si="31"/>
        <v>0</v>
      </c>
      <c r="H654" s="140" t="str">
        <f t="shared" si="32"/>
        <v/>
      </c>
      <c r="J654" s="147" t="str">
        <f>IFERROR(SUMIFS(当年实际!$V:$V,当年实际!$J:$J,$C654,当年实际!$C:$C,"&gt;="&amp;DATE(YEAR(主页!$D$2),1,1),当年实际!$C:$C,"&lt;="&amp;EOMONTH(DATE(YEAR(主页!$D$2),MONTH(主页!$D$2),1),0))/SUMIFS(当年实际!$P:$P,当年实际!$J:$J,$C654,当年实际!$C:$C,"&gt;="&amp;DATE(YEAR(主页!$D$2),1,1),当年实际!$C:$C,"&lt;="&amp;EOMONTH(DATE(YEAR(主页!$D$2),MONTH(主页!$D$2),1),0)),"")</f>
        <v/>
      </c>
    </row>
    <row r="655" spans="1:10" x14ac:dyDescent="0.3">
      <c r="A655" s="129"/>
      <c r="B655" s="150"/>
      <c r="C655" s="150"/>
      <c r="D655" s="150"/>
      <c r="E655" s="140" t="str">
        <f t="shared" si="33"/>
        <v/>
      </c>
      <c r="F655" s="157"/>
      <c r="G655" s="145">
        <f t="shared" si="31"/>
        <v>0</v>
      </c>
      <c r="H655" s="140" t="str">
        <f t="shared" si="32"/>
        <v/>
      </c>
      <c r="J655" s="147" t="str">
        <f>IFERROR(SUMIFS(当年实际!$V:$V,当年实际!$J:$J,$C655,当年实际!$C:$C,"&gt;="&amp;DATE(YEAR(主页!$D$2),1,1),当年实际!$C:$C,"&lt;="&amp;EOMONTH(DATE(YEAR(主页!$D$2),MONTH(主页!$D$2),1),0))/SUMIFS(当年实际!$P:$P,当年实际!$J:$J,$C655,当年实际!$C:$C,"&gt;="&amp;DATE(YEAR(主页!$D$2),1,1),当年实际!$C:$C,"&lt;="&amp;EOMONTH(DATE(YEAR(主页!$D$2),MONTH(主页!$D$2),1),0)),"")</f>
        <v/>
      </c>
    </row>
    <row r="656" spans="1:10" x14ac:dyDescent="0.3">
      <c r="A656" s="129"/>
      <c r="B656" s="150"/>
      <c r="C656" s="150"/>
      <c r="D656" s="150"/>
      <c r="E656" s="140" t="str">
        <f t="shared" si="33"/>
        <v/>
      </c>
      <c r="F656" s="157"/>
      <c r="G656" s="145">
        <f t="shared" si="31"/>
        <v>0</v>
      </c>
      <c r="H656" s="140" t="str">
        <f t="shared" si="32"/>
        <v/>
      </c>
      <c r="J656" s="147" t="str">
        <f>IFERROR(SUMIFS(当年实际!$V:$V,当年实际!$J:$J,$C656,当年实际!$C:$C,"&gt;="&amp;DATE(YEAR(主页!$D$2),1,1),当年实际!$C:$C,"&lt;="&amp;EOMONTH(DATE(YEAR(主页!$D$2),MONTH(主页!$D$2),1),0))/SUMIFS(当年实际!$P:$P,当年实际!$J:$J,$C656,当年实际!$C:$C,"&gt;="&amp;DATE(YEAR(主页!$D$2),1,1),当年实际!$C:$C,"&lt;="&amp;EOMONTH(DATE(YEAR(主页!$D$2),MONTH(主页!$D$2),1),0)),"")</f>
        <v/>
      </c>
    </row>
    <row r="657" spans="1:10" x14ac:dyDescent="0.3">
      <c r="A657" s="129"/>
      <c r="B657" s="150"/>
      <c r="C657" s="150"/>
      <c r="D657" s="150"/>
      <c r="E657" s="140" t="str">
        <f t="shared" si="33"/>
        <v/>
      </c>
      <c r="F657" s="157"/>
      <c r="G657" s="145">
        <f t="shared" si="31"/>
        <v>0</v>
      </c>
      <c r="H657" s="140" t="str">
        <f t="shared" si="32"/>
        <v/>
      </c>
      <c r="J657" s="147" t="str">
        <f>IFERROR(SUMIFS(当年实际!$V:$V,当年实际!$J:$J,$C657,当年实际!$C:$C,"&gt;="&amp;DATE(YEAR(主页!$D$2),1,1),当年实际!$C:$C,"&lt;="&amp;EOMONTH(DATE(YEAR(主页!$D$2),MONTH(主页!$D$2),1),0))/SUMIFS(当年实际!$P:$P,当年实际!$J:$J,$C657,当年实际!$C:$C,"&gt;="&amp;DATE(YEAR(主页!$D$2),1,1),当年实际!$C:$C,"&lt;="&amp;EOMONTH(DATE(YEAR(主页!$D$2),MONTH(主页!$D$2),1),0)),"")</f>
        <v/>
      </c>
    </row>
    <row r="658" spans="1:10" x14ac:dyDescent="0.3">
      <c r="A658" s="129"/>
      <c r="B658" s="150"/>
      <c r="C658" s="150"/>
      <c r="D658" s="150"/>
      <c r="E658" s="140" t="str">
        <f t="shared" si="33"/>
        <v/>
      </c>
      <c r="F658" s="157"/>
      <c r="G658" s="145">
        <f t="shared" si="31"/>
        <v>0</v>
      </c>
      <c r="H658" s="140" t="str">
        <f t="shared" si="32"/>
        <v/>
      </c>
      <c r="J658" s="147" t="str">
        <f>IFERROR(SUMIFS(当年实际!$V:$V,当年实际!$J:$J,$C658,当年实际!$C:$C,"&gt;="&amp;DATE(YEAR(主页!$D$2),1,1),当年实际!$C:$C,"&lt;="&amp;EOMONTH(DATE(YEAR(主页!$D$2),MONTH(主页!$D$2),1),0))/SUMIFS(当年实际!$P:$P,当年实际!$J:$J,$C658,当年实际!$C:$C,"&gt;="&amp;DATE(YEAR(主页!$D$2),1,1),当年实际!$C:$C,"&lt;="&amp;EOMONTH(DATE(YEAR(主页!$D$2),MONTH(主页!$D$2),1),0)),"")</f>
        <v/>
      </c>
    </row>
    <row r="659" spans="1:10" x14ac:dyDescent="0.3">
      <c r="A659" s="129"/>
      <c r="B659" s="150"/>
      <c r="C659" s="150"/>
      <c r="D659" s="150"/>
      <c r="E659" s="140" t="str">
        <f t="shared" si="33"/>
        <v/>
      </c>
      <c r="F659" s="157"/>
      <c r="G659" s="145">
        <f t="shared" si="31"/>
        <v>0</v>
      </c>
      <c r="H659" s="140" t="str">
        <f t="shared" si="32"/>
        <v/>
      </c>
      <c r="J659" s="147" t="str">
        <f>IFERROR(SUMIFS(当年实际!$V:$V,当年实际!$J:$J,$C659,当年实际!$C:$C,"&gt;="&amp;DATE(YEAR(主页!$D$2),1,1),当年实际!$C:$C,"&lt;="&amp;EOMONTH(DATE(YEAR(主页!$D$2),MONTH(主页!$D$2),1),0))/SUMIFS(当年实际!$P:$P,当年实际!$J:$J,$C659,当年实际!$C:$C,"&gt;="&amp;DATE(YEAR(主页!$D$2),1,1),当年实际!$C:$C,"&lt;="&amp;EOMONTH(DATE(YEAR(主页!$D$2),MONTH(主页!$D$2),1),0)),"")</f>
        <v/>
      </c>
    </row>
    <row r="660" spans="1:10" x14ac:dyDescent="0.3">
      <c r="A660" s="129"/>
      <c r="B660" s="150"/>
      <c r="C660" s="150"/>
      <c r="D660" s="150"/>
      <c r="E660" s="140" t="str">
        <f t="shared" si="33"/>
        <v/>
      </c>
      <c r="F660" s="157"/>
      <c r="G660" s="145">
        <f t="shared" si="31"/>
        <v>0</v>
      </c>
      <c r="H660" s="140" t="str">
        <f t="shared" si="32"/>
        <v/>
      </c>
      <c r="J660" s="147" t="str">
        <f>IFERROR(SUMIFS(当年实际!$V:$V,当年实际!$J:$J,$C660,当年实际!$C:$C,"&gt;="&amp;DATE(YEAR(主页!$D$2),1,1),当年实际!$C:$C,"&lt;="&amp;EOMONTH(DATE(YEAR(主页!$D$2),MONTH(主页!$D$2),1),0))/SUMIFS(当年实际!$P:$P,当年实际!$J:$J,$C660,当年实际!$C:$C,"&gt;="&amp;DATE(YEAR(主页!$D$2),1,1),当年实际!$C:$C,"&lt;="&amp;EOMONTH(DATE(YEAR(主页!$D$2),MONTH(主页!$D$2),1),0)),"")</f>
        <v/>
      </c>
    </row>
    <row r="661" spans="1:10" x14ac:dyDescent="0.3">
      <c r="A661" s="129"/>
      <c r="B661" s="150"/>
      <c r="C661" s="150"/>
      <c r="D661" s="150"/>
      <c r="E661" s="140" t="str">
        <f t="shared" si="33"/>
        <v/>
      </c>
      <c r="F661" s="157"/>
      <c r="G661" s="145">
        <f t="shared" si="31"/>
        <v>0</v>
      </c>
      <c r="H661" s="140" t="str">
        <f t="shared" si="32"/>
        <v/>
      </c>
      <c r="J661" s="147" t="str">
        <f>IFERROR(SUMIFS(当年实际!$V:$V,当年实际!$J:$J,$C661,当年实际!$C:$C,"&gt;="&amp;DATE(YEAR(主页!$D$2),1,1),当年实际!$C:$C,"&lt;="&amp;EOMONTH(DATE(YEAR(主页!$D$2),MONTH(主页!$D$2),1),0))/SUMIFS(当年实际!$P:$P,当年实际!$J:$J,$C661,当年实际!$C:$C,"&gt;="&amp;DATE(YEAR(主页!$D$2),1,1),当年实际!$C:$C,"&lt;="&amp;EOMONTH(DATE(YEAR(主页!$D$2),MONTH(主页!$D$2),1),0)),"")</f>
        <v/>
      </c>
    </row>
    <row r="662" spans="1:10" x14ac:dyDescent="0.3">
      <c r="A662" s="129"/>
      <c r="B662" s="150"/>
      <c r="C662" s="150"/>
      <c r="D662" s="150"/>
      <c r="E662" s="140" t="str">
        <f t="shared" si="33"/>
        <v/>
      </c>
      <c r="F662" s="157"/>
      <c r="G662" s="145">
        <f t="shared" si="31"/>
        <v>0</v>
      </c>
      <c r="H662" s="140" t="str">
        <f t="shared" si="32"/>
        <v/>
      </c>
      <c r="J662" s="147" t="str">
        <f>IFERROR(SUMIFS(当年实际!$V:$V,当年实际!$J:$J,$C662,当年实际!$C:$C,"&gt;="&amp;DATE(YEAR(主页!$D$2),1,1),当年实际!$C:$C,"&lt;="&amp;EOMONTH(DATE(YEAR(主页!$D$2),MONTH(主页!$D$2),1),0))/SUMIFS(当年实际!$P:$P,当年实际!$J:$J,$C662,当年实际!$C:$C,"&gt;="&amp;DATE(YEAR(主页!$D$2),1,1),当年实际!$C:$C,"&lt;="&amp;EOMONTH(DATE(YEAR(主页!$D$2),MONTH(主页!$D$2),1),0)),"")</f>
        <v/>
      </c>
    </row>
    <row r="663" spans="1:10" x14ac:dyDescent="0.3">
      <c r="A663" s="129"/>
      <c r="B663" s="150"/>
      <c r="C663" s="150"/>
      <c r="D663" s="150"/>
      <c r="E663" s="140" t="str">
        <f t="shared" si="33"/>
        <v/>
      </c>
      <c r="F663" s="157"/>
      <c r="G663" s="145">
        <f t="shared" si="31"/>
        <v>0</v>
      </c>
      <c r="H663" s="140" t="str">
        <f t="shared" si="32"/>
        <v/>
      </c>
      <c r="J663" s="147" t="str">
        <f>IFERROR(SUMIFS(当年实际!$V:$V,当年实际!$J:$J,$C663,当年实际!$C:$C,"&gt;="&amp;DATE(YEAR(主页!$D$2),1,1),当年实际!$C:$C,"&lt;="&amp;EOMONTH(DATE(YEAR(主页!$D$2),MONTH(主页!$D$2),1),0))/SUMIFS(当年实际!$P:$P,当年实际!$J:$J,$C663,当年实际!$C:$C,"&gt;="&amp;DATE(YEAR(主页!$D$2),1,1),当年实际!$C:$C,"&lt;="&amp;EOMONTH(DATE(YEAR(主页!$D$2),MONTH(主页!$D$2),1),0)),"")</f>
        <v/>
      </c>
    </row>
    <row r="664" spans="1:10" x14ac:dyDescent="0.3">
      <c r="A664" s="129"/>
      <c r="B664" s="150"/>
      <c r="C664" s="150"/>
      <c r="D664" s="150"/>
      <c r="E664" s="140" t="str">
        <f t="shared" si="33"/>
        <v/>
      </c>
      <c r="F664" s="157"/>
      <c r="G664" s="145">
        <f t="shared" si="31"/>
        <v>0</v>
      </c>
      <c r="H664" s="140" t="str">
        <f t="shared" si="32"/>
        <v/>
      </c>
      <c r="J664" s="147" t="str">
        <f>IFERROR(SUMIFS(当年实际!$V:$V,当年实际!$J:$J,$C664,当年实际!$C:$C,"&gt;="&amp;DATE(YEAR(主页!$D$2),1,1),当年实际!$C:$C,"&lt;="&amp;EOMONTH(DATE(YEAR(主页!$D$2),MONTH(主页!$D$2),1),0))/SUMIFS(当年实际!$P:$P,当年实际!$J:$J,$C664,当年实际!$C:$C,"&gt;="&amp;DATE(YEAR(主页!$D$2),1,1),当年实际!$C:$C,"&lt;="&amp;EOMONTH(DATE(YEAR(主页!$D$2),MONTH(主页!$D$2),1),0)),"")</f>
        <v/>
      </c>
    </row>
    <row r="665" spans="1:10" x14ac:dyDescent="0.3">
      <c r="A665" s="129"/>
      <c r="B665" s="150"/>
      <c r="C665" s="150"/>
      <c r="D665" s="150"/>
      <c r="E665" s="140" t="str">
        <f t="shared" si="33"/>
        <v/>
      </c>
      <c r="F665" s="157"/>
      <c r="G665" s="145">
        <f t="shared" si="31"/>
        <v>0</v>
      </c>
      <c r="H665" s="140" t="str">
        <f t="shared" si="32"/>
        <v/>
      </c>
      <c r="J665" s="147" t="str">
        <f>IFERROR(SUMIFS(当年实际!$V:$V,当年实际!$J:$J,$C665,当年实际!$C:$C,"&gt;="&amp;DATE(YEAR(主页!$D$2),1,1),当年实际!$C:$C,"&lt;="&amp;EOMONTH(DATE(YEAR(主页!$D$2),MONTH(主页!$D$2),1),0))/SUMIFS(当年实际!$P:$P,当年实际!$J:$J,$C665,当年实际!$C:$C,"&gt;="&amp;DATE(YEAR(主页!$D$2),1,1),当年实际!$C:$C,"&lt;="&amp;EOMONTH(DATE(YEAR(主页!$D$2),MONTH(主页!$D$2),1),0)),"")</f>
        <v/>
      </c>
    </row>
    <row r="666" spans="1:10" x14ac:dyDescent="0.3">
      <c r="A666" s="129"/>
      <c r="B666" s="150"/>
      <c r="C666" s="150"/>
      <c r="D666" s="150"/>
      <c r="E666" s="140" t="str">
        <f t="shared" si="33"/>
        <v/>
      </c>
      <c r="F666" s="157"/>
      <c r="G666" s="145">
        <f t="shared" si="31"/>
        <v>0</v>
      </c>
      <c r="H666" s="140" t="str">
        <f t="shared" si="32"/>
        <v/>
      </c>
      <c r="J666" s="147" t="str">
        <f>IFERROR(SUMIFS(当年实际!$V:$V,当年实际!$J:$J,$C666,当年实际!$C:$C,"&gt;="&amp;DATE(YEAR(主页!$D$2),1,1),当年实际!$C:$C,"&lt;="&amp;EOMONTH(DATE(YEAR(主页!$D$2),MONTH(主页!$D$2),1),0))/SUMIFS(当年实际!$P:$P,当年实际!$J:$J,$C666,当年实际!$C:$C,"&gt;="&amp;DATE(YEAR(主页!$D$2),1,1),当年实际!$C:$C,"&lt;="&amp;EOMONTH(DATE(YEAR(主页!$D$2),MONTH(主页!$D$2),1),0)),"")</f>
        <v/>
      </c>
    </row>
    <row r="667" spans="1:10" x14ac:dyDescent="0.3">
      <c r="A667" s="129"/>
      <c r="B667" s="150"/>
      <c r="C667" s="150"/>
      <c r="D667" s="150"/>
      <c r="E667" s="140" t="str">
        <f t="shared" si="33"/>
        <v/>
      </c>
      <c r="F667" s="157"/>
      <c r="G667" s="145">
        <f t="shared" si="31"/>
        <v>0</v>
      </c>
      <c r="H667" s="140" t="str">
        <f t="shared" si="32"/>
        <v/>
      </c>
      <c r="J667" s="147" t="str">
        <f>IFERROR(SUMIFS(当年实际!$V:$V,当年实际!$J:$J,$C667,当年实际!$C:$C,"&gt;="&amp;DATE(YEAR(主页!$D$2),1,1),当年实际!$C:$C,"&lt;="&amp;EOMONTH(DATE(YEAR(主页!$D$2),MONTH(主页!$D$2),1),0))/SUMIFS(当年实际!$P:$P,当年实际!$J:$J,$C667,当年实际!$C:$C,"&gt;="&amp;DATE(YEAR(主页!$D$2),1,1),当年实际!$C:$C,"&lt;="&amp;EOMONTH(DATE(YEAR(主页!$D$2),MONTH(主页!$D$2),1),0)),"")</f>
        <v/>
      </c>
    </row>
    <row r="668" spans="1:10" x14ac:dyDescent="0.3">
      <c r="A668" s="129"/>
      <c r="B668" s="150"/>
      <c r="C668" s="150"/>
      <c r="D668" s="150"/>
      <c r="E668" s="140" t="str">
        <f t="shared" si="33"/>
        <v/>
      </c>
      <c r="F668" s="157"/>
      <c r="G668" s="145">
        <f t="shared" si="31"/>
        <v>0</v>
      </c>
      <c r="H668" s="140" t="str">
        <f t="shared" si="32"/>
        <v/>
      </c>
      <c r="J668" s="147" t="str">
        <f>IFERROR(SUMIFS(当年实际!$V:$V,当年实际!$J:$J,$C668,当年实际!$C:$C,"&gt;="&amp;DATE(YEAR(主页!$D$2),1,1),当年实际!$C:$C,"&lt;="&amp;EOMONTH(DATE(YEAR(主页!$D$2),MONTH(主页!$D$2),1),0))/SUMIFS(当年实际!$P:$P,当年实际!$J:$J,$C668,当年实际!$C:$C,"&gt;="&amp;DATE(YEAR(主页!$D$2),1,1),当年实际!$C:$C,"&lt;="&amp;EOMONTH(DATE(YEAR(主页!$D$2),MONTH(主页!$D$2),1),0)),"")</f>
        <v/>
      </c>
    </row>
    <row r="669" spans="1:10" x14ac:dyDescent="0.3">
      <c r="A669" s="129"/>
      <c r="B669" s="150"/>
      <c r="C669" s="150"/>
      <c r="D669" s="150"/>
      <c r="E669" s="140" t="str">
        <f t="shared" si="33"/>
        <v/>
      </c>
      <c r="F669" s="157"/>
      <c r="G669" s="145">
        <f t="shared" si="31"/>
        <v>0</v>
      </c>
      <c r="H669" s="140" t="str">
        <f t="shared" si="32"/>
        <v/>
      </c>
      <c r="J669" s="147" t="str">
        <f>IFERROR(SUMIFS(当年实际!$V:$V,当年实际!$J:$J,$C669,当年实际!$C:$C,"&gt;="&amp;DATE(YEAR(主页!$D$2),1,1),当年实际!$C:$C,"&lt;="&amp;EOMONTH(DATE(YEAR(主页!$D$2),MONTH(主页!$D$2),1),0))/SUMIFS(当年实际!$P:$P,当年实际!$J:$J,$C669,当年实际!$C:$C,"&gt;="&amp;DATE(YEAR(主页!$D$2),1,1),当年实际!$C:$C,"&lt;="&amp;EOMONTH(DATE(YEAR(主页!$D$2),MONTH(主页!$D$2),1),0)),"")</f>
        <v/>
      </c>
    </row>
    <row r="670" spans="1:10" x14ac:dyDescent="0.3">
      <c r="A670" s="129"/>
      <c r="B670" s="150"/>
      <c r="C670" s="150"/>
      <c r="D670" s="150"/>
      <c r="E670" s="140" t="str">
        <f t="shared" si="33"/>
        <v/>
      </c>
      <c r="F670" s="157"/>
      <c r="G670" s="145">
        <f t="shared" si="31"/>
        <v>0</v>
      </c>
      <c r="H670" s="140" t="str">
        <f t="shared" si="32"/>
        <v/>
      </c>
      <c r="J670" s="147" t="str">
        <f>IFERROR(SUMIFS(当年实际!$V:$V,当年实际!$J:$J,$C670,当年实际!$C:$C,"&gt;="&amp;DATE(YEAR(主页!$D$2),1,1),当年实际!$C:$C,"&lt;="&amp;EOMONTH(DATE(YEAR(主页!$D$2),MONTH(主页!$D$2),1),0))/SUMIFS(当年实际!$P:$P,当年实际!$J:$J,$C670,当年实际!$C:$C,"&gt;="&amp;DATE(YEAR(主页!$D$2),1,1),当年实际!$C:$C,"&lt;="&amp;EOMONTH(DATE(YEAR(主页!$D$2),MONTH(主页!$D$2),1),0)),"")</f>
        <v/>
      </c>
    </row>
    <row r="671" spans="1:10" x14ac:dyDescent="0.3">
      <c r="A671" s="129"/>
      <c r="B671" s="150"/>
      <c r="C671" s="150"/>
      <c r="D671" s="150"/>
      <c r="E671" s="140" t="str">
        <f t="shared" si="33"/>
        <v/>
      </c>
      <c r="F671" s="157"/>
      <c r="G671" s="145">
        <f t="shared" ref="G671:G734" si="34">D671*F671</f>
        <v>0</v>
      </c>
      <c r="H671" s="140" t="str">
        <f t="shared" ref="H671:H734" si="35">IF(G671/SUM(G:G)=0,"",G671/SUM(G:G))</f>
        <v/>
      </c>
      <c r="J671" s="147" t="str">
        <f>IFERROR(SUMIFS(当年实际!$V:$V,当年实际!$J:$J,$C671,当年实际!$C:$C,"&gt;="&amp;DATE(YEAR(主页!$D$2),1,1),当年实际!$C:$C,"&lt;="&amp;EOMONTH(DATE(YEAR(主页!$D$2),MONTH(主页!$D$2),1),0))/SUMIFS(当年实际!$P:$P,当年实际!$J:$J,$C671,当年实际!$C:$C,"&gt;="&amp;DATE(YEAR(主页!$D$2),1,1),当年实际!$C:$C,"&lt;="&amp;EOMONTH(DATE(YEAR(主页!$D$2),MONTH(主页!$D$2),1),0)),"")</f>
        <v/>
      </c>
    </row>
    <row r="672" spans="1:10" x14ac:dyDescent="0.3">
      <c r="A672" s="129"/>
      <c r="B672" s="150"/>
      <c r="C672" s="150"/>
      <c r="D672" s="150"/>
      <c r="E672" s="140" t="str">
        <f t="shared" si="33"/>
        <v/>
      </c>
      <c r="F672" s="157"/>
      <c r="G672" s="145">
        <f t="shared" si="34"/>
        <v>0</v>
      </c>
      <c r="H672" s="140" t="str">
        <f t="shared" si="35"/>
        <v/>
      </c>
      <c r="J672" s="147" t="str">
        <f>IFERROR(SUMIFS(当年实际!$V:$V,当年实际!$J:$J,$C672,当年实际!$C:$C,"&gt;="&amp;DATE(YEAR(主页!$D$2),1,1),当年实际!$C:$C,"&lt;="&amp;EOMONTH(DATE(YEAR(主页!$D$2),MONTH(主页!$D$2),1),0))/SUMIFS(当年实际!$P:$P,当年实际!$J:$J,$C672,当年实际!$C:$C,"&gt;="&amp;DATE(YEAR(主页!$D$2),1,1),当年实际!$C:$C,"&lt;="&amp;EOMONTH(DATE(YEAR(主页!$D$2),MONTH(主页!$D$2),1),0)),"")</f>
        <v/>
      </c>
    </row>
    <row r="673" spans="1:10" x14ac:dyDescent="0.3">
      <c r="A673" s="129"/>
      <c r="B673" s="150"/>
      <c r="C673" s="150"/>
      <c r="D673" s="150"/>
      <c r="E673" s="140" t="str">
        <f t="shared" si="33"/>
        <v/>
      </c>
      <c r="F673" s="157"/>
      <c r="G673" s="145">
        <f t="shared" si="34"/>
        <v>0</v>
      </c>
      <c r="H673" s="140" t="str">
        <f t="shared" si="35"/>
        <v/>
      </c>
      <c r="J673" s="147" t="str">
        <f>IFERROR(SUMIFS(当年实际!$V:$V,当年实际!$J:$J,$C673,当年实际!$C:$C,"&gt;="&amp;DATE(YEAR(主页!$D$2),1,1),当年实际!$C:$C,"&lt;="&amp;EOMONTH(DATE(YEAR(主页!$D$2),MONTH(主页!$D$2),1),0))/SUMIFS(当年实际!$P:$P,当年实际!$J:$J,$C673,当年实际!$C:$C,"&gt;="&amp;DATE(YEAR(主页!$D$2),1,1),当年实际!$C:$C,"&lt;="&amp;EOMONTH(DATE(YEAR(主页!$D$2),MONTH(主页!$D$2),1),0)),"")</f>
        <v/>
      </c>
    </row>
    <row r="674" spans="1:10" x14ac:dyDescent="0.3">
      <c r="A674" s="129"/>
      <c r="B674" s="150"/>
      <c r="C674" s="150"/>
      <c r="D674" s="150"/>
      <c r="E674" s="140" t="str">
        <f t="shared" si="33"/>
        <v/>
      </c>
      <c r="F674" s="157"/>
      <c r="G674" s="145">
        <f t="shared" si="34"/>
        <v>0</v>
      </c>
      <c r="H674" s="140" t="str">
        <f t="shared" si="35"/>
        <v/>
      </c>
      <c r="J674" s="147" t="str">
        <f>IFERROR(SUMIFS(当年实际!$V:$V,当年实际!$J:$J,$C674,当年实际!$C:$C,"&gt;="&amp;DATE(YEAR(主页!$D$2),1,1),当年实际!$C:$C,"&lt;="&amp;EOMONTH(DATE(YEAR(主页!$D$2),MONTH(主页!$D$2),1),0))/SUMIFS(当年实际!$P:$P,当年实际!$J:$J,$C674,当年实际!$C:$C,"&gt;="&amp;DATE(YEAR(主页!$D$2),1,1),当年实际!$C:$C,"&lt;="&amp;EOMONTH(DATE(YEAR(主页!$D$2),MONTH(主页!$D$2),1),0)),"")</f>
        <v/>
      </c>
    </row>
    <row r="675" spans="1:10" x14ac:dyDescent="0.3">
      <c r="A675" s="129"/>
      <c r="B675" s="150"/>
      <c r="C675" s="150"/>
      <c r="D675" s="150"/>
      <c r="E675" s="140" t="str">
        <f t="shared" si="33"/>
        <v/>
      </c>
      <c r="F675" s="157"/>
      <c r="G675" s="145">
        <f t="shared" si="34"/>
        <v>0</v>
      </c>
      <c r="H675" s="140" t="str">
        <f t="shared" si="35"/>
        <v/>
      </c>
      <c r="J675" s="147" t="str">
        <f>IFERROR(SUMIFS(当年实际!$V:$V,当年实际!$J:$J,$C675,当年实际!$C:$C,"&gt;="&amp;DATE(YEAR(主页!$D$2),1,1),当年实际!$C:$C,"&lt;="&amp;EOMONTH(DATE(YEAR(主页!$D$2),MONTH(主页!$D$2),1),0))/SUMIFS(当年实际!$P:$P,当年实际!$J:$J,$C675,当年实际!$C:$C,"&gt;="&amp;DATE(YEAR(主页!$D$2),1,1),当年实际!$C:$C,"&lt;="&amp;EOMONTH(DATE(YEAR(主页!$D$2),MONTH(主页!$D$2),1),0)),"")</f>
        <v/>
      </c>
    </row>
    <row r="676" spans="1:10" x14ac:dyDescent="0.3">
      <c r="A676" s="129"/>
      <c r="B676" s="150"/>
      <c r="C676" s="150"/>
      <c r="D676" s="150"/>
      <c r="E676" s="140" t="str">
        <f t="shared" si="33"/>
        <v/>
      </c>
      <c r="F676" s="157"/>
      <c r="G676" s="145">
        <f t="shared" si="34"/>
        <v>0</v>
      </c>
      <c r="H676" s="140" t="str">
        <f t="shared" si="35"/>
        <v/>
      </c>
      <c r="J676" s="147" t="str">
        <f>IFERROR(SUMIFS(当年实际!$V:$V,当年实际!$J:$J,$C676,当年实际!$C:$C,"&gt;="&amp;DATE(YEAR(主页!$D$2),1,1),当年实际!$C:$C,"&lt;="&amp;EOMONTH(DATE(YEAR(主页!$D$2),MONTH(主页!$D$2),1),0))/SUMIFS(当年实际!$P:$P,当年实际!$J:$J,$C676,当年实际!$C:$C,"&gt;="&amp;DATE(YEAR(主页!$D$2),1,1),当年实际!$C:$C,"&lt;="&amp;EOMONTH(DATE(YEAR(主页!$D$2),MONTH(主页!$D$2),1),0)),"")</f>
        <v/>
      </c>
    </row>
    <row r="677" spans="1:10" x14ac:dyDescent="0.3">
      <c r="A677" s="129"/>
      <c r="B677" s="150"/>
      <c r="C677" s="150"/>
      <c r="D677" s="150"/>
      <c r="E677" s="140" t="str">
        <f t="shared" si="33"/>
        <v/>
      </c>
      <c r="F677" s="157"/>
      <c r="G677" s="145">
        <f t="shared" si="34"/>
        <v>0</v>
      </c>
      <c r="H677" s="140" t="str">
        <f t="shared" si="35"/>
        <v/>
      </c>
      <c r="J677" s="147" t="str">
        <f>IFERROR(SUMIFS(当年实际!$V:$V,当年实际!$J:$J,$C677,当年实际!$C:$C,"&gt;="&amp;DATE(YEAR(主页!$D$2),1,1),当年实际!$C:$C,"&lt;="&amp;EOMONTH(DATE(YEAR(主页!$D$2),MONTH(主页!$D$2),1),0))/SUMIFS(当年实际!$P:$P,当年实际!$J:$J,$C677,当年实际!$C:$C,"&gt;="&amp;DATE(YEAR(主页!$D$2),1,1),当年实际!$C:$C,"&lt;="&amp;EOMONTH(DATE(YEAR(主页!$D$2),MONTH(主页!$D$2),1),0)),"")</f>
        <v/>
      </c>
    </row>
    <row r="678" spans="1:10" x14ac:dyDescent="0.3">
      <c r="A678" s="129"/>
      <c r="B678" s="150"/>
      <c r="C678" s="150"/>
      <c r="D678" s="150"/>
      <c r="E678" s="140" t="str">
        <f t="shared" si="33"/>
        <v/>
      </c>
      <c r="F678" s="157"/>
      <c r="G678" s="145">
        <f t="shared" si="34"/>
        <v>0</v>
      </c>
      <c r="H678" s="140" t="str">
        <f t="shared" si="35"/>
        <v/>
      </c>
      <c r="J678" s="147" t="str">
        <f>IFERROR(SUMIFS(当年实际!$V:$V,当年实际!$J:$J,$C678,当年实际!$C:$C,"&gt;="&amp;DATE(YEAR(主页!$D$2),1,1),当年实际!$C:$C,"&lt;="&amp;EOMONTH(DATE(YEAR(主页!$D$2),MONTH(主页!$D$2),1),0))/SUMIFS(当年实际!$P:$P,当年实际!$J:$J,$C678,当年实际!$C:$C,"&gt;="&amp;DATE(YEAR(主页!$D$2),1,1),当年实际!$C:$C,"&lt;="&amp;EOMONTH(DATE(YEAR(主页!$D$2),MONTH(主页!$D$2),1),0)),"")</f>
        <v/>
      </c>
    </row>
    <row r="679" spans="1:10" x14ac:dyDescent="0.3">
      <c r="A679" s="129"/>
      <c r="B679" s="150"/>
      <c r="C679" s="150"/>
      <c r="D679" s="150"/>
      <c r="E679" s="140" t="str">
        <f t="shared" si="33"/>
        <v/>
      </c>
      <c r="F679" s="157"/>
      <c r="G679" s="145">
        <f t="shared" si="34"/>
        <v>0</v>
      </c>
      <c r="H679" s="140" t="str">
        <f t="shared" si="35"/>
        <v/>
      </c>
      <c r="J679" s="147" t="str">
        <f>IFERROR(SUMIFS(当年实际!$V:$V,当年实际!$J:$J,$C679,当年实际!$C:$C,"&gt;="&amp;DATE(YEAR(主页!$D$2),1,1),当年实际!$C:$C,"&lt;="&amp;EOMONTH(DATE(YEAR(主页!$D$2),MONTH(主页!$D$2),1),0))/SUMIFS(当年实际!$P:$P,当年实际!$J:$J,$C679,当年实际!$C:$C,"&gt;="&amp;DATE(YEAR(主页!$D$2),1,1),当年实际!$C:$C,"&lt;="&amp;EOMONTH(DATE(YEAR(主页!$D$2),MONTH(主页!$D$2),1),0)),"")</f>
        <v/>
      </c>
    </row>
    <row r="680" spans="1:10" x14ac:dyDescent="0.3">
      <c r="A680" s="129"/>
      <c r="B680" s="150"/>
      <c r="C680" s="150"/>
      <c r="D680" s="150"/>
      <c r="E680" s="140" t="str">
        <f t="shared" si="33"/>
        <v/>
      </c>
      <c r="F680" s="157"/>
      <c r="G680" s="145">
        <f t="shared" si="34"/>
        <v>0</v>
      </c>
      <c r="H680" s="140" t="str">
        <f t="shared" si="35"/>
        <v/>
      </c>
      <c r="J680" s="147" t="str">
        <f>IFERROR(SUMIFS(当年实际!$V:$V,当年实际!$J:$J,$C680,当年实际!$C:$C,"&gt;="&amp;DATE(YEAR(主页!$D$2),1,1),当年实际!$C:$C,"&lt;="&amp;EOMONTH(DATE(YEAR(主页!$D$2),MONTH(主页!$D$2),1),0))/SUMIFS(当年实际!$P:$P,当年实际!$J:$J,$C680,当年实际!$C:$C,"&gt;="&amp;DATE(YEAR(主页!$D$2),1,1),当年实际!$C:$C,"&lt;="&amp;EOMONTH(DATE(YEAR(主页!$D$2),MONTH(主页!$D$2),1),0)),"")</f>
        <v/>
      </c>
    </row>
    <row r="681" spans="1:10" x14ac:dyDescent="0.3">
      <c r="A681" s="129"/>
      <c r="B681" s="150"/>
      <c r="C681" s="150"/>
      <c r="D681" s="150"/>
      <c r="E681" s="140" t="str">
        <f t="shared" si="33"/>
        <v/>
      </c>
      <c r="F681" s="157"/>
      <c r="G681" s="145">
        <f t="shared" si="34"/>
        <v>0</v>
      </c>
      <c r="H681" s="140" t="str">
        <f t="shared" si="35"/>
        <v/>
      </c>
      <c r="J681" s="147" t="str">
        <f>IFERROR(SUMIFS(当年实际!$V:$V,当年实际!$J:$J,$C681,当年实际!$C:$C,"&gt;="&amp;DATE(YEAR(主页!$D$2),1,1),当年实际!$C:$C,"&lt;="&amp;EOMONTH(DATE(YEAR(主页!$D$2),MONTH(主页!$D$2),1),0))/SUMIFS(当年实际!$P:$P,当年实际!$J:$J,$C681,当年实际!$C:$C,"&gt;="&amp;DATE(YEAR(主页!$D$2),1,1),当年实际!$C:$C,"&lt;="&amp;EOMONTH(DATE(YEAR(主页!$D$2),MONTH(主页!$D$2),1),0)),"")</f>
        <v/>
      </c>
    </row>
    <row r="682" spans="1:10" x14ac:dyDescent="0.3">
      <c r="A682" s="129"/>
      <c r="B682" s="150"/>
      <c r="C682" s="150"/>
      <c r="D682" s="150"/>
      <c r="E682" s="140" t="str">
        <f t="shared" si="33"/>
        <v/>
      </c>
      <c r="F682" s="157"/>
      <c r="G682" s="145">
        <f t="shared" si="34"/>
        <v>0</v>
      </c>
      <c r="H682" s="140" t="str">
        <f t="shared" si="35"/>
        <v/>
      </c>
      <c r="J682" s="147" t="str">
        <f>IFERROR(SUMIFS(当年实际!$V:$V,当年实际!$J:$J,$C682,当年实际!$C:$C,"&gt;="&amp;DATE(YEAR(主页!$D$2),1,1),当年实际!$C:$C,"&lt;="&amp;EOMONTH(DATE(YEAR(主页!$D$2),MONTH(主页!$D$2),1),0))/SUMIFS(当年实际!$P:$P,当年实际!$J:$J,$C682,当年实际!$C:$C,"&gt;="&amp;DATE(YEAR(主页!$D$2),1,1),当年实际!$C:$C,"&lt;="&amp;EOMONTH(DATE(YEAR(主页!$D$2),MONTH(主页!$D$2),1),0)),"")</f>
        <v/>
      </c>
    </row>
    <row r="683" spans="1:10" x14ac:dyDescent="0.3">
      <c r="A683" s="129"/>
      <c r="B683" s="150"/>
      <c r="C683" s="150"/>
      <c r="D683" s="150"/>
      <c r="E683" s="140" t="str">
        <f t="shared" si="33"/>
        <v/>
      </c>
      <c r="F683" s="157"/>
      <c r="G683" s="145">
        <f t="shared" si="34"/>
        <v>0</v>
      </c>
      <c r="H683" s="140" t="str">
        <f t="shared" si="35"/>
        <v/>
      </c>
      <c r="J683" s="147" t="str">
        <f>IFERROR(SUMIFS(当年实际!$V:$V,当年实际!$J:$J,$C683,当年实际!$C:$C,"&gt;="&amp;DATE(YEAR(主页!$D$2),1,1),当年实际!$C:$C,"&lt;="&amp;EOMONTH(DATE(YEAR(主页!$D$2),MONTH(主页!$D$2),1),0))/SUMIFS(当年实际!$P:$P,当年实际!$J:$J,$C683,当年实际!$C:$C,"&gt;="&amp;DATE(YEAR(主页!$D$2),1,1),当年实际!$C:$C,"&lt;="&amp;EOMONTH(DATE(YEAR(主页!$D$2),MONTH(主页!$D$2),1),0)),"")</f>
        <v/>
      </c>
    </row>
    <row r="684" spans="1:10" x14ac:dyDescent="0.3">
      <c r="A684" s="129"/>
      <c r="B684" s="150"/>
      <c r="C684" s="150"/>
      <c r="D684" s="150"/>
      <c r="E684" s="140" t="str">
        <f t="shared" si="33"/>
        <v/>
      </c>
      <c r="F684" s="157"/>
      <c r="G684" s="145">
        <f t="shared" si="34"/>
        <v>0</v>
      </c>
      <c r="H684" s="140" t="str">
        <f t="shared" si="35"/>
        <v/>
      </c>
      <c r="J684" s="147" t="str">
        <f>IFERROR(SUMIFS(当年实际!$V:$V,当年实际!$J:$J,$C684,当年实际!$C:$C,"&gt;="&amp;DATE(YEAR(主页!$D$2),1,1),当年实际!$C:$C,"&lt;="&amp;EOMONTH(DATE(YEAR(主页!$D$2),MONTH(主页!$D$2),1),0))/SUMIFS(当年实际!$P:$P,当年实际!$J:$J,$C684,当年实际!$C:$C,"&gt;="&amp;DATE(YEAR(主页!$D$2),1,1),当年实际!$C:$C,"&lt;="&amp;EOMONTH(DATE(YEAR(主页!$D$2),MONTH(主页!$D$2),1),0)),"")</f>
        <v/>
      </c>
    </row>
    <row r="685" spans="1:10" x14ac:dyDescent="0.3">
      <c r="A685" s="129"/>
      <c r="B685" s="150"/>
      <c r="C685" s="150"/>
      <c r="D685" s="150"/>
      <c r="E685" s="140" t="str">
        <f t="shared" si="33"/>
        <v/>
      </c>
      <c r="F685" s="157"/>
      <c r="G685" s="145">
        <f t="shared" si="34"/>
        <v>0</v>
      </c>
      <c r="H685" s="140" t="str">
        <f t="shared" si="35"/>
        <v/>
      </c>
      <c r="J685" s="147" t="str">
        <f>IFERROR(SUMIFS(当年实际!$V:$V,当年实际!$J:$J,$C685,当年实际!$C:$C,"&gt;="&amp;DATE(YEAR(主页!$D$2),1,1),当年实际!$C:$C,"&lt;="&amp;EOMONTH(DATE(YEAR(主页!$D$2),MONTH(主页!$D$2),1),0))/SUMIFS(当年实际!$P:$P,当年实际!$J:$J,$C685,当年实际!$C:$C,"&gt;="&amp;DATE(YEAR(主页!$D$2),1,1),当年实际!$C:$C,"&lt;="&amp;EOMONTH(DATE(YEAR(主页!$D$2),MONTH(主页!$D$2),1),0)),"")</f>
        <v/>
      </c>
    </row>
    <row r="686" spans="1:10" x14ac:dyDescent="0.3">
      <c r="A686" s="129"/>
      <c r="B686" s="150"/>
      <c r="C686" s="150"/>
      <c r="D686" s="150"/>
      <c r="E686" s="140" t="str">
        <f t="shared" si="33"/>
        <v/>
      </c>
      <c r="F686" s="157"/>
      <c r="G686" s="145">
        <f t="shared" si="34"/>
        <v>0</v>
      </c>
      <c r="H686" s="140" t="str">
        <f t="shared" si="35"/>
        <v/>
      </c>
      <c r="J686" s="147" t="str">
        <f>IFERROR(SUMIFS(当年实际!$V:$V,当年实际!$J:$J,$C686,当年实际!$C:$C,"&gt;="&amp;DATE(YEAR(主页!$D$2),1,1),当年实际!$C:$C,"&lt;="&amp;EOMONTH(DATE(YEAR(主页!$D$2),MONTH(主页!$D$2),1),0))/SUMIFS(当年实际!$P:$P,当年实际!$J:$J,$C686,当年实际!$C:$C,"&gt;="&amp;DATE(YEAR(主页!$D$2),1,1),当年实际!$C:$C,"&lt;="&amp;EOMONTH(DATE(YEAR(主页!$D$2),MONTH(主页!$D$2),1),0)),"")</f>
        <v/>
      </c>
    </row>
    <row r="687" spans="1:10" x14ac:dyDescent="0.3">
      <c r="A687" s="129"/>
      <c r="B687" s="150"/>
      <c r="C687" s="150"/>
      <c r="D687" s="150"/>
      <c r="E687" s="140" t="str">
        <f t="shared" si="33"/>
        <v/>
      </c>
      <c r="F687" s="157"/>
      <c r="G687" s="145">
        <f t="shared" si="34"/>
        <v>0</v>
      </c>
      <c r="H687" s="140" t="str">
        <f t="shared" si="35"/>
        <v/>
      </c>
      <c r="J687" s="147" t="str">
        <f>IFERROR(SUMIFS(当年实际!$V:$V,当年实际!$J:$J,$C687,当年实际!$C:$C,"&gt;="&amp;DATE(YEAR(主页!$D$2),1,1),当年实际!$C:$C,"&lt;="&amp;EOMONTH(DATE(YEAR(主页!$D$2),MONTH(主页!$D$2),1),0))/SUMIFS(当年实际!$P:$P,当年实际!$J:$J,$C687,当年实际!$C:$C,"&gt;="&amp;DATE(YEAR(主页!$D$2),1,1),当年实际!$C:$C,"&lt;="&amp;EOMONTH(DATE(YEAR(主页!$D$2),MONTH(主页!$D$2),1),0)),"")</f>
        <v/>
      </c>
    </row>
    <row r="688" spans="1:10" x14ac:dyDescent="0.3">
      <c r="A688" s="129"/>
      <c r="B688" s="150"/>
      <c r="C688" s="150"/>
      <c r="D688" s="150"/>
      <c r="E688" s="140" t="str">
        <f t="shared" si="33"/>
        <v/>
      </c>
      <c r="F688" s="157"/>
      <c r="G688" s="145">
        <f t="shared" si="34"/>
        <v>0</v>
      </c>
      <c r="H688" s="140" t="str">
        <f t="shared" si="35"/>
        <v/>
      </c>
      <c r="J688" s="147" t="str">
        <f>IFERROR(SUMIFS(当年实际!$V:$V,当年实际!$J:$J,$C688,当年实际!$C:$C,"&gt;="&amp;DATE(YEAR(主页!$D$2),1,1),当年实际!$C:$C,"&lt;="&amp;EOMONTH(DATE(YEAR(主页!$D$2),MONTH(主页!$D$2),1),0))/SUMIFS(当年实际!$P:$P,当年实际!$J:$J,$C688,当年实际!$C:$C,"&gt;="&amp;DATE(YEAR(主页!$D$2),1,1),当年实际!$C:$C,"&lt;="&amp;EOMONTH(DATE(YEAR(主页!$D$2),MONTH(主页!$D$2),1),0)),"")</f>
        <v/>
      </c>
    </row>
    <row r="689" spans="1:10" x14ac:dyDescent="0.3">
      <c r="A689" s="129"/>
      <c r="B689" s="150"/>
      <c r="C689" s="150"/>
      <c r="D689" s="150"/>
      <c r="E689" s="140" t="str">
        <f t="shared" si="33"/>
        <v/>
      </c>
      <c r="F689" s="157"/>
      <c r="G689" s="145">
        <f t="shared" si="34"/>
        <v>0</v>
      </c>
      <c r="H689" s="140" t="str">
        <f t="shared" si="35"/>
        <v/>
      </c>
      <c r="J689" s="147" t="str">
        <f>IFERROR(SUMIFS(当年实际!$V:$V,当年实际!$J:$J,$C689,当年实际!$C:$C,"&gt;="&amp;DATE(YEAR(主页!$D$2),1,1),当年实际!$C:$C,"&lt;="&amp;EOMONTH(DATE(YEAR(主页!$D$2),MONTH(主页!$D$2),1),0))/SUMIFS(当年实际!$P:$P,当年实际!$J:$J,$C689,当年实际!$C:$C,"&gt;="&amp;DATE(YEAR(主页!$D$2),1,1),当年实际!$C:$C,"&lt;="&amp;EOMONTH(DATE(YEAR(主页!$D$2),MONTH(主页!$D$2),1),0)),"")</f>
        <v/>
      </c>
    </row>
    <row r="690" spans="1:10" x14ac:dyDescent="0.3">
      <c r="A690" s="129"/>
      <c r="B690" s="150"/>
      <c r="C690" s="150"/>
      <c r="D690" s="150"/>
      <c r="E690" s="140" t="str">
        <f t="shared" si="33"/>
        <v/>
      </c>
      <c r="F690" s="157"/>
      <c r="G690" s="145">
        <f t="shared" si="34"/>
        <v>0</v>
      </c>
      <c r="H690" s="140" t="str">
        <f t="shared" si="35"/>
        <v/>
      </c>
      <c r="J690" s="147" t="str">
        <f>IFERROR(SUMIFS(当年实际!$V:$V,当年实际!$J:$J,$C690,当年实际!$C:$C,"&gt;="&amp;DATE(YEAR(主页!$D$2),1,1),当年实际!$C:$C,"&lt;="&amp;EOMONTH(DATE(YEAR(主页!$D$2),MONTH(主页!$D$2),1),0))/SUMIFS(当年实际!$P:$P,当年实际!$J:$J,$C690,当年实际!$C:$C,"&gt;="&amp;DATE(YEAR(主页!$D$2),1,1),当年实际!$C:$C,"&lt;="&amp;EOMONTH(DATE(YEAR(主页!$D$2),MONTH(主页!$D$2),1),0)),"")</f>
        <v/>
      </c>
    </row>
    <row r="691" spans="1:10" x14ac:dyDescent="0.3">
      <c r="A691" s="129"/>
      <c r="B691" s="150"/>
      <c r="C691" s="150"/>
      <c r="D691" s="150"/>
      <c r="E691" s="140" t="str">
        <f t="shared" si="33"/>
        <v/>
      </c>
      <c r="F691" s="157"/>
      <c r="G691" s="145">
        <f t="shared" si="34"/>
        <v>0</v>
      </c>
      <c r="H691" s="140" t="str">
        <f t="shared" si="35"/>
        <v/>
      </c>
      <c r="J691" s="147" t="str">
        <f>IFERROR(SUMIFS(当年实际!$V:$V,当年实际!$J:$J,$C691,当年实际!$C:$C,"&gt;="&amp;DATE(YEAR(主页!$D$2),1,1),当年实际!$C:$C,"&lt;="&amp;EOMONTH(DATE(YEAR(主页!$D$2),MONTH(主页!$D$2),1),0))/SUMIFS(当年实际!$P:$P,当年实际!$J:$J,$C691,当年实际!$C:$C,"&gt;="&amp;DATE(YEAR(主页!$D$2),1,1),当年实际!$C:$C,"&lt;="&amp;EOMONTH(DATE(YEAR(主页!$D$2),MONTH(主页!$D$2),1),0)),"")</f>
        <v/>
      </c>
    </row>
    <row r="692" spans="1:10" x14ac:dyDescent="0.3">
      <c r="A692" s="129"/>
      <c r="B692" s="150"/>
      <c r="C692" s="150"/>
      <c r="D692" s="150"/>
      <c r="E692" s="140" t="str">
        <f t="shared" si="33"/>
        <v/>
      </c>
      <c r="F692" s="157"/>
      <c r="G692" s="145">
        <f t="shared" si="34"/>
        <v>0</v>
      </c>
      <c r="H692" s="140" t="str">
        <f t="shared" si="35"/>
        <v/>
      </c>
      <c r="J692" s="147" t="str">
        <f>IFERROR(SUMIFS(当年实际!$V:$V,当年实际!$J:$J,$C692,当年实际!$C:$C,"&gt;="&amp;DATE(YEAR(主页!$D$2),1,1),当年实际!$C:$C,"&lt;="&amp;EOMONTH(DATE(YEAR(主页!$D$2),MONTH(主页!$D$2),1),0))/SUMIFS(当年实际!$P:$P,当年实际!$J:$J,$C692,当年实际!$C:$C,"&gt;="&amp;DATE(YEAR(主页!$D$2),1,1),当年实际!$C:$C,"&lt;="&amp;EOMONTH(DATE(YEAR(主页!$D$2),MONTH(主页!$D$2),1),0)),"")</f>
        <v/>
      </c>
    </row>
    <row r="693" spans="1:10" x14ac:dyDescent="0.3">
      <c r="A693" s="129"/>
      <c r="B693" s="150"/>
      <c r="C693" s="150"/>
      <c r="D693" s="150"/>
      <c r="E693" s="140" t="str">
        <f t="shared" si="33"/>
        <v/>
      </c>
      <c r="F693" s="157"/>
      <c r="G693" s="145">
        <f t="shared" si="34"/>
        <v>0</v>
      </c>
      <c r="H693" s="140" t="str">
        <f t="shared" si="35"/>
        <v/>
      </c>
      <c r="J693" s="147" t="str">
        <f>IFERROR(SUMIFS(当年实际!$V:$V,当年实际!$J:$J,$C693,当年实际!$C:$C,"&gt;="&amp;DATE(YEAR(主页!$D$2),1,1),当年实际!$C:$C,"&lt;="&amp;EOMONTH(DATE(YEAR(主页!$D$2),MONTH(主页!$D$2),1),0))/SUMIFS(当年实际!$P:$P,当年实际!$J:$J,$C693,当年实际!$C:$C,"&gt;="&amp;DATE(YEAR(主页!$D$2),1,1),当年实际!$C:$C,"&lt;="&amp;EOMONTH(DATE(YEAR(主页!$D$2),MONTH(主页!$D$2),1),0)),"")</f>
        <v/>
      </c>
    </row>
    <row r="694" spans="1:10" x14ac:dyDescent="0.3">
      <c r="A694" s="129"/>
      <c r="B694" s="150"/>
      <c r="C694" s="150"/>
      <c r="D694" s="150"/>
      <c r="E694" s="140" t="str">
        <f t="shared" si="33"/>
        <v/>
      </c>
      <c r="F694" s="157"/>
      <c r="G694" s="145">
        <f t="shared" si="34"/>
        <v>0</v>
      </c>
      <c r="H694" s="140" t="str">
        <f t="shared" si="35"/>
        <v/>
      </c>
      <c r="J694" s="147" t="str">
        <f>IFERROR(SUMIFS(当年实际!$V:$V,当年实际!$J:$J,$C694,当年实际!$C:$C,"&gt;="&amp;DATE(YEAR(主页!$D$2),1,1),当年实际!$C:$C,"&lt;="&amp;EOMONTH(DATE(YEAR(主页!$D$2),MONTH(主页!$D$2),1),0))/SUMIFS(当年实际!$P:$P,当年实际!$J:$J,$C694,当年实际!$C:$C,"&gt;="&amp;DATE(YEAR(主页!$D$2),1,1),当年实际!$C:$C,"&lt;="&amp;EOMONTH(DATE(YEAR(主页!$D$2),MONTH(主页!$D$2),1),0)),"")</f>
        <v/>
      </c>
    </row>
    <row r="695" spans="1:10" x14ac:dyDescent="0.3">
      <c r="A695" s="129"/>
      <c r="B695" s="150"/>
      <c r="C695" s="150"/>
      <c r="D695" s="150"/>
      <c r="E695" s="140" t="str">
        <f t="shared" si="33"/>
        <v/>
      </c>
      <c r="F695" s="157"/>
      <c r="G695" s="145">
        <f t="shared" si="34"/>
        <v>0</v>
      </c>
      <c r="H695" s="140" t="str">
        <f t="shared" si="35"/>
        <v/>
      </c>
      <c r="J695" s="147" t="str">
        <f>IFERROR(SUMIFS(当年实际!$V:$V,当年实际!$J:$J,$C695,当年实际!$C:$C,"&gt;="&amp;DATE(YEAR(主页!$D$2),1,1),当年实际!$C:$C,"&lt;="&amp;EOMONTH(DATE(YEAR(主页!$D$2),MONTH(主页!$D$2),1),0))/SUMIFS(当年实际!$P:$P,当年实际!$J:$J,$C695,当年实际!$C:$C,"&gt;="&amp;DATE(YEAR(主页!$D$2),1,1),当年实际!$C:$C,"&lt;="&amp;EOMONTH(DATE(YEAR(主页!$D$2),MONTH(主页!$D$2),1),0)),"")</f>
        <v/>
      </c>
    </row>
    <row r="696" spans="1:10" x14ac:dyDescent="0.3">
      <c r="A696" s="129"/>
      <c r="B696" s="150"/>
      <c r="C696" s="150"/>
      <c r="D696" s="150"/>
      <c r="E696" s="140" t="str">
        <f t="shared" si="33"/>
        <v/>
      </c>
      <c r="F696" s="157"/>
      <c r="G696" s="145">
        <f t="shared" si="34"/>
        <v>0</v>
      </c>
      <c r="H696" s="140" t="str">
        <f t="shared" si="35"/>
        <v/>
      </c>
      <c r="J696" s="147" t="str">
        <f>IFERROR(SUMIFS(当年实际!$V:$V,当年实际!$J:$J,$C696,当年实际!$C:$C,"&gt;="&amp;DATE(YEAR(主页!$D$2),1,1),当年实际!$C:$C,"&lt;="&amp;EOMONTH(DATE(YEAR(主页!$D$2),MONTH(主页!$D$2),1),0))/SUMIFS(当年实际!$P:$P,当年实际!$J:$J,$C696,当年实际!$C:$C,"&gt;="&amp;DATE(YEAR(主页!$D$2),1,1),当年实际!$C:$C,"&lt;="&amp;EOMONTH(DATE(YEAR(主页!$D$2),MONTH(主页!$D$2),1),0)),"")</f>
        <v/>
      </c>
    </row>
    <row r="697" spans="1:10" x14ac:dyDescent="0.3">
      <c r="A697" s="129"/>
      <c r="B697" s="150"/>
      <c r="C697" s="150"/>
      <c r="D697" s="150"/>
      <c r="E697" s="140" t="str">
        <f t="shared" si="33"/>
        <v/>
      </c>
      <c r="F697" s="157"/>
      <c r="G697" s="145">
        <f t="shared" si="34"/>
        <v>0</v>
      </c>
      <c r="H697" s="140" t="str">
        <f t="shared" si="35"/>
        <v/>
      </c>
      <c r="J697" s="147" t="str">
        <f>IFERROR(SUMIFS(当年实际!$V:$V,当年实际!$J:$J,$C697,当年实际!$C:$C,"&gt;="&amp;DATE(YEAR(主页!$D$2),1,1),当年实际!$C:$C,"&lt;="&amp;EOMONTH(DATE(YEAR(主页!$D$2),MONTH(主页!$D$2),1),0))/SUMIFS(当年实际!$P:$P,当年实际!$J:$J,$C697,当年实际!$C:$C,"&gt;="&amp;DATE(YEAR(主页!$D$2),1,1),当年实际!$C:$C,"&lt;="&amp;EOMONTH(DATE(YEAR(主页!$D$2),MONTH(主页!$D$2),1),0)),"")</f>
        <v/>
      </c>
    </row>
    <row r="698" spans="1:10" x14ac:dyDescent="0.3">
      <c r="A698" s="129"/>
      <c r="B698" s="150"/>
      <c r="C698" s="150"/>
      <c r="D698" s="150"/>
      <c r="E698" s="140" t="str">
        <f t="shared" si="33"/>
        <v/>
      </c>
      <c r="F698" s="157"/>
      <c r="G698" s="145">
        <f t="shared" si="34"/>
        <v>0</v>
      </c>
      <c r="H698" s="140" t="str">
        <f t="shared" si="35"/>
        <v/>
      </c>
      <c r="J698" s="147" t="str">
        <f>IFERROR(SUMIFS(当年实际!$V:$V,当年实际!$J:$J,$C698,当年实际!$C:$C,"&gt;="&amp;DATE(YEAR(主页!$D$2),1,1),当年实际!$C:$C,"&lt;="&amp;EOMONTH(DATE(YEAR(主页!$D$2),MONTH(主页!$D$2),1),0))/SUMIFS(当年实际!$P:$P,当年实际!$J:$J,$C698,当年实际!$C:$C,"&gt;="&amp;DATE(YEAR(主页!$D$2),1,1),当年实际!$C:$C,"&lt;="&amp;EOMONTH(DATE(YEAR(主页!$D$2),MONTH(主页!$D$2),1),0)),"")</f>
        <v/>
      </c>
    </row>
    <row r="699" spans="1:10" x14ac:dyDescent="0.3">
      <c r="A699" s="129"/>
      <c r="B699" s="150"/>
      <c r="C699" s="150"/>
      <c r="D699" s="150"/>
      <c r="E699" s="140" t="str">
        <f t="shared" si="33"/>
        <v/>
      </c>
      <c r="F699" s="157"/>
      <c r="G699" s="145">
        <f t="shared" si="34"/>
        <v>0</v>
      </c>
      <c r="H699" s="140" t="str">
        <f t="shared" si="35"/>
        <v/>
      </c>
      <c r="J699" s="147" t="str">
        <f>IFERROR(SUMIFS(当年实际!$V:$V,当年实际!$J:$J,$C699,当年实际!$C:$C,"&gt;="&amp;DATE(YEAR(主页!$D$2),1,1),当年实际!$C:$C,"&lt;="&amp;EOMONTH(DATE(YEAR(主页!$D$2),MONTH(主页!$D$2),1),0))/SUMIFS(当年实际!$P:$P,当年实际!$J:$J,$C699,当年实际!$C:$C,"&gt;="&amp;DATE(YEAR(主页!$D$2),1,1),当年实际!$C:$C,"&lt;="&amp;EOMONTH(DATE(YEAR(主页!$D$2),MONTH(主页!$D$2),1),0)),"")</f>
        <v/>
      </c>
    </row>
    <row r="700" spans="1:10" x14ac:dyDescent="0.3">
      <c r="A700" s="129"/>
      <c r="B700" s="150"/>
      <c r="C700" s="150"/>
      <c r="D700" s="150"/>
      <c r="E700" s="140" t="str">
        <f t="shared" si="33"/>
        <v/>
      </c>
      <c r="F700" s="157"/>
      <c r="G700" s="145">
        <f t="shared" si="34"/>
        <v>0</v>
      </c>
      <c r="H700" s="140" t="str">
        <f t="shared" si="35"/>
        <v/>
      </c>
      <c r="J700" s="147" t="str">
        <f>IFERROR(SUMIFS(当年实际!$V:$V,当年实际!$J:$J,$C700,当年实际!$C:$C,"&gt;="&amp;DATE(YEAR(主页!$D$2),1,1),当年实际!$C:$C,"&lt;="&amp;EOMONTH(DATE(YEAR(主页!$D$2),MONTH(主页!$D$2),1),0))/SUMIFS(当年实际!$P:$P,当年实际!$J:$J,$C700,当年实际!$C:$C,"&gt;="&amp;DATE(YEAR(主页!$D$2),1,1),当年实际!$C:$C,"&lt;="&amp;EOMONTH(DATE(YEAR(主页!$D$2),MONTH(主页!$D$2),1),0)),"")</f>
        <v/>
      </c>
    </row>
    <row r="701" spans="1:10" x14ac:dyDescent="0.3">
      <c r="A701" s="129"/>
      <c r="B701" s="150"/>
      <c r="C701" s="150"/>
      <c r="D701" s="150"/>
      <c r="E701" s="140" t="str">
        <f t="shared" si="33"/>
        <v/>
      </c>
      <c r="F701" s="157"/>
      <c r="G701" s="145">
        <f t="shared" si="34"/>
        <v>0</v>
      </c>
      <c r="H701" s="140" t="str">
        <f t="shared" si="35"/>
        <v/>
      </c>
      <c r="J701" s="147" t="str">
        <f>IFERROR(SUMIFS(当年实际!$V:$V,当年实际!$J:$J,$C701,当年实际!$C:$C,"&gt;="&amp;DATE(YEAR(主页!$D$2),1,1),当年实际!$C:$C,"&lt;="&amp;EOMONTH(DATE(YEAR(主页!$D$2),MONTH(主页!$D$2),1),0))/SUMIFS(当年实际!$P:$P,当年实际!$J:$J,$C701,当年实际!$C:$C,"&gt;="&amp;DATE(YEAR(主页!$D$2),1,1),当年实际!$C:$C,"&lt;="&amp;EOMONTH(DATE(YEAR(主页!$D$2),MONTH(主页!$D$2),1),0)),"")</f>
        <v/>
      </c>
    </row>
    <row r="702" spans="1:10" x14ac:dyDescent="0.3">
      <c r="A702" s="129"/>
      <c r="B702" s="150"/>
      <c r="C702" s="150"/>
      <c r="D702" s="150"/>
      <c r="E702" s="140" t="str">
        <f t="shared" si="33"/>
        <v/>
      </c>
      <c r="F702" s="157"/>
      <c r="G702" s="145">
        <f t="shared" si="34"/>
        <v>0</v>
      </c>
      <c r="H702" s="140" t="str">
        <f t="shared" si="35"/>
        <v/>
      </c>
      <c r="J702" s="147" t="str">
        <f>IFERROR(SUMIFS(当年实际!$V:$V,当年实际!$J:$J,$C702,当年实际!$C:$C,"&gt;="&amp;DATE(YEAR(主页!$D$2),1,1),当年实际!$C:$C,"&lt;="&amp;EOMONTH(DATE(YEAR(主页!$D$2),MONTH(主页!$D$2),1),0))/SUMIFS(当年实际!$P:$P,当年实际!$J:$J,$C702,当年实际!$C:$C,"&gt;="&amp;DATE(YEAR(主页!$D$2),1,1),当年实际!$C:$C,"&lt;="&amp;EOMONTH(DATE(YEAR(主页!$D$2),MONTH(主页!$D$2),1),0)),"")</f>
        <v/>
      </c>
    </row>
    <row r="703" spans="1:10" x14ac:dyDescent="0.3">
      <c r="A703" s="129"/>
      <c r="B703" s="150"/>
      <c r="C703" s="150"/>
      <c r="D703" s="150"/>
      <c r="E703" s="140" t="str">
        <f t="shared" si="33"/>
        <v/>
      </c>
      <c r="F703" s="157"/>
      <c r="G703" s="145">
        <f t="shared" si="34"/>
        <v>0</v>
      </c>
      <c r="H703" s="140" t="str">
        <f t="shared" si="35"/>
        <v/>
      </c>
      <c r="J703" s="147" t="str">
        <f>IFERROR(SUMIFS(当年实际!$V:$V,当年实际!$J:$J,$C703,当年实际!$C:$C,"&gt;="&amp;DATE(YEAR(主页!$D$2),1,1),当年实际!$C:$C,"&lt;="&amp;EOMONTH(DATE(YEAR(主页!$D$2),MONTH(主页!$D$2),1),0))/SUMIFS(当年实际!$P:$P,当年实际!$J:$J,$C703,当年实际!$C:$C,"&gt;="&amp;DATE(YEAR(主页!$D$2),1,1),当年实际!$C:$C,"&lt;="&amp;EOMONTH(DATE(YEAR(主页!$D$2),MONTH(主页!$D$2),1),0)),"")</f>
        <v/>
      </c>
    </row>
    <row r="704" spans="1:10" x14ac:dyDescent="0.3">
      <c r="A704" s="129"/>
      <c r="B704" s="150"/>
      <c r="C704" s="150"/>
      <c r="D704" s="150"/>
      <c r="E704" s="140" t="str">
        <f t="shared" si="33"/>
        <v/>
      </c>
      <c r="F704" s="157"/>
      <c r="G704" s="145">
        <f t="shared" si="34"/>
        <v>0</v>
      </c>
      <c r="H704" s="140" t="str">
        <f t="shared" si="35"/>
        <v/>
      </c>
      <c r="J704" s="147" t="str">
        <f>IFERROR(SUMIFS(当年实际!$V:$V,当年实际!$J:$J,$C704,当年实际!$C:$C,"&gt;="&amp;DATE(YEAR(主页!$D$2),1,1),当年实际!$C:$C,"&lt;="&amp;EOMONTH(DATE(YEAR(主页!$D$2),MONTH(主页!$D$2),1),0))/SUMIFS(当年实际!$P:$P,当年实际!$J:$J,$C704,当年实际!$C:$C,"&gt;="&amp;DATE(YEAR(主页!$D$2),1,1),当年实际!$C:$C,"&lt;="&amp;EOMONTH(DATE(YEAR(主页!$D$2),MONTH(主页!$D$2),1),0)),"")</f>
        <v/>
      </c>
    </row>
    <row r="705" spans="1:10" x14ac:dyDescent="0.3">
      <c r="A705" s="129"/>
      <c r="B705" s="150"/>
      <c r="C705" s="150"/>
      <c r="D705" s="150"/>
      <c r="E705" s="140" t="str">
        <f t="shared" si="33"/>
        <v/>
      </c>
      <c r="F705" s="157"/>
      <c r="G705" s="145">
        <f t="shared" si="34"/>
        <v>0</v>
      </c>
      <c r="H705" s="140" t="str">
        <f t="shared" si="35"/>
        <v/>
      </c>
      <c r="J705" s="147" t="str">
        <f>IFERROR(SUMIFS(当年实际!$V:$V,当年实际!$J:$J,$C705,当年实际!$C:$C,"&gt;="&amp;DATE(YEAR(主页!$D$2),1,1),当年实际!$C:$C,"&lt;="&amp;EOMONTH(DATE(YEAR(主页!$D$2),MONTH(主页!$D$2),1),0))/SUMIFS(当年实际!$P:$P,当年实际!$J:$J,$C705,当年实际!$C:$C,"&gt;="&amp;DATE(YEAR(主页!$D$2),1,1),当年实际!$C:$C,"&lt;="&amp;EOMONTH(DATE(YEAR(主页!$D$2),MONTH(主页!$D$2),1),0)),"")</f>
        <v/>
      </c>
    </row>
    <row r="706" spans="1:10" x14ac:dyDescent="0.3">
      <c r="A706" s="129"/>
      <c r="B706" s="150"/>
      <c r="C706" s="150"/>
      <c r="D706" s="150"/>
      <c r="E706" s="140" t="str">
        <f t="shared" si="33"/>
        <v/>
      </c>
      <c r="F706" s="157"/>
      <c r="G706" s="145">
        <f t="shared" si="34"/>
        <v>0</v>
      </c>
      <c r="H706" s="140" t="str">
        <f t="shared" si="35"/>
        <v/>
      </c>
      <c r="J706" s="147" t="str">
        <f>IFERROR(SUMIFS(当年实际!$V:$V,当年实际!$J:$J,$C706,当年实际!$C:$C,"&gt;="&amp;DATE(YEAR(主页!$D$2),1,1),当年实际!$C:$C,"&lt;="&amp;EOMONTH(DATE(YEAR(主页!$D$2),MONTH(主页!$D$2),1),0))/SUMIFS(当年实际!$P:$P,当年实际!$J:$J,$C706,当年实际!$C:$C,"&gt;="&amp;DATE(YEAR(主页!$D$2),1,1),当年实际!$C:$C,"&lt;="&amp;EOMONTH(DATE(YEAR(主页!$D$2),MONTH(主页!$D$2),1),0)),"")</f>
        <v/>
      </c>
    </row>
    <row r="707" spans="1:10" x14ac:dyDescent="0.3">
      <c r="A707" s="129"/>
      <c r="B707" s="150"/>
      <c r="C707" s="150"/>
      <c r="D707" s="150"/>
      <c r="E707" s="140" t="str">
        <f t="shared" si="33"/>
        <v/>
      </c>
      <c r="F707" s="157"/>
      <c r="G707" s="145">
        <f t="shared" si="34"/>
        <v>0</v>
      </c>
      <c r="H707" s="140" t="str">
        <f t="shared" si="35"/>
        <v/>
      </c>
      <c r="J707" s="147" t="str">
        <f>IFERROR(SUMIFS(当年实际!$V:$V,当年实际!$J:$J,$C707,当年实际!$C:$C,"&gt;="&amp;DATE(YEAR(主页!$D$2),1,1),当年实际!$C:$C,"&lt;="&amp;EOMONTH(DATE(YEAR(主页!$D$2),MONTH(主页!$D$2),1),0))/SUMIFS(当年实际!$P:$P,当年实际!$J:$J,$C707,当年实际!$C:$C,"&gt;="&amp;DATE(YEAR(主页!$D$2),1,1),当年实际!$C:$C,"&lt;="&amp;EOMONTH(DATE(YEAR(主页!$D$2),MONTH(主页!$D$2),1),0)),"")</f>
        <v/>
      </c>
    </row>
    <row r="708" spans="1:10" x14ac:dyDescent="0.3">
      <c r="A708" s="129"/>
      <c r="B708" s="150"/>
      <c r="C708" s="150"/>
      <c r="D708" s="150"/>
      <c r="E708" s="140" t="str">
        <f t="shared" ref="E708:E771" si="36">IF(D708/SUM(D:D)=0,"",D708/SUM(D:D))</f>
        <v/>
      </c>
      <c r="F708" s="157"/>
      <c r="G708" s="145">
        <f t="shared" si="34"/>
        <v>0</v>
      </c>
      <c r="H708" s="140" t="str">
        <f t="shared" si="35"/>
        <v/>
      </c>
      <c r="J708" s="147" t="str">
        <f>IFERROR(SUMIFS(当年实际!$V:$V,当年实际!$J:$J,$C708,当年实际!$C:$C,"&gt;="&amp;DATE(YEAR(主页!$D$2),1,1),当年实际!$C:$C,"&lt;="&amp;EOMONTH(DATE(YEAR(主页!$D$2),MONTH(主页!$D$2),1),0))/SUMIFS(当年实际!$P:$P,当年实际!$J:$J,$C708,当年实际!$C:$C,"&gt;="&amp;DATE(YEAR(主页!$D$2),1,1),当年实际!$C:$C,"&lt;="&amp;EOMONTH(DATE(YEAR(主页!$D$2),MONTH(主页!$D$2),1),0)),"")</f>
        <v/>
      </c>
    </row>
    <row r="709" spans="1:10" x14ac:dyDescent="0.3">
      <c r="A709" s="129"/>
      <c r="B709" s="150"/>
      <c r="C709" s="150"/>
      <c r="D709" s="150"/>
      <c r="E709" s="140" t="str">
        <f t="shared" si="36"/>
        <v/>
      </c>
      <c r="F709" s="157"/>
      <c r="G709" s="145">
        <f t="shared" si="34"/>
        <v>0</v>
      </c>
      <c r="H709" s="140" t="str">
        <f t="shared" si="35"/>
        <v/>
      </c>
      <c r="J709" s="147" t="str">
        <f>IFERROR(SUMIFS(当年实际!$V:$V,当年实际!$J:$J,$C709,当年实际!$C:$C,"&gt;="&amp;DATE(YEAR(主页!$D$2),1,1),当年实际!$C:$C,"&lt;="&amp;EOMONTH(DATE(YEAR(主页!$D$2),MONTH(主页!$D$2),1),0))/SUMIFS(当年实际!$P:$P,当年实际!$J:$J,$C709,当年实际!$C:$C,"&gt;="&amp;DATE(YEAR(主页!$D$2),1,1),当年实际!$C:$C,"&lt;="&amp;EOMONTH(DATE(YEAR(主页!$D$2),MONTH(主页!$D$2),1),0)),"")</f>
        <v/>
      </c>
    </row>
    <row r="710" spans="1:10" x14ac:dyDescent="0.3">
      <c r="A710" s="129"/>
      <c r="B710" s="150"/>
      <c r="C710" s="150"/>
      <c r="D710" s="150"/>
      <c r="E710" s="140" t="str">
        <f t="shared" si="36"/>
        <v/>
      </c>
      <c r="F710" s="157"/>
      <c r="G710" s="145">
        <f t="shared" si="34"/>
        <v>0</v>
      </c>
      <c r="H710" s="140" t="str">
        <f t="shared" si="35"/>
        <v/>
      </c>
      <c r="J710" s="147" t="str">
        <f>IFERROR(SUMIFS(当年实际!$V:$V,当年实际!$J:$J,$C710,当年实际!$C:$C,"&gt;="&amp;DATE(YEAR(主页!$D$2),1,1),当年实际!$C:$C,"&lt;="&amp;EOMONTH(DATE(YEAR(主页!$D$2),MONTH(主页!$D$2),1),0))/SUMIFS(当年实际!$P:$P,当年实际!$J:$J,$C710,当年实际!$C:$C,"&gt;="&amp;DATE(YEAR(主页!$D$2),1,1),当年实际!$C:$C,"&lt;="&amp;EOMONTH(DATE(YEAR(主页!$D$2),MONTH(主页!$D$2),1),0)),"")</f>
        <v/>
      </c>
    </row>
    <row r="711" spans="1:10" x14ac:dyDescent="0.3">
      <c r="A711" s="129"/>
      <c r="B711" s="150"/>
      <c r="C711" s="150"/>
      <c r="D711" s="150"/>
      <c r="E711" s="140" t="str">
        <f t="shared" si="36"/>
        <v/>
      </c>
      <c r="F711" s="157"/>
      <c r="G711" s="145">
        <f t="shared" si="34"/>
        <v>0</v>
      </c>
      <c r="H711" s="140" t="str">
        <f t="shared" si="35"/>
        <v/>
      </c>
      <c r="J711" s="147" t="str">
        <f>IFERROR(SUMIFS(当年实际!$V:$V,当年实际!$J:$J,$C711,当年实际!$C:$C,"&gt;="&amp;DATE(YEAR(主页!$D$2),1,1),当年实际!$C:$C,"&lt;="&amp;EOMONTH(DATE(YEAR(主页!$D$2),MONTH(主页!$D$2),1),0))/SUMIFS(当年实际!$P:$P,当年实际!$J:$J,$C711,当年实际!$C:$C,"&gt;="&amp;DATE(YEAR(主页!$D$2),1,1),当年实际!$C:$C,"&lt;="&amp;EOMONTH(DATE(YEAR(主页!$D$2),MONTH(主页!$D$2),1),0)),"")</f>
        <v/>
      </c>
    </row>
    <row r="712" spans="1:10" x14ac:dyDescent="0.3">
      <c r="A712" s="129"/>
      <c r="B712" s="150"/>
      <c r="C712" s="150"/>
      <c r="D712" s="150"/>
      <c r="E712" s="140" t="str">
        <f t="shared" si="36"/>
        <v/>
      </c>
      <c r="F712" s="157"/>
      <c r="G712" s="145">
        <f t="shared" si="34"/>
        <v>0</v>
      </c>
      <c r="H712" s="140" t="str">
        <f t="shared" si="35"/>
        <v/>
      </c>
      <c r="J712" s="147" t="str">
        <f>IFERROR(SUMIFS(当年实际!$V:$V,当年实际!$J:$J,$C712,当年实际!$C:$C,"&gt;="&amp;DATE(YEAR(主页!$D$2),1,1),当年实际!$C:$C,"&lt;="&amp;EOMONTH(DATE(YEAR(主页!$D$2),MONTH(主页!$D$2),1),0))/SUMIFS(当年实际!$P:$P,当年实际!$J:$J,$C712,当年实际!$C:$C,"&gt;="&amp;DATE(YEAR(主页!$D$2),1,1),当年实际!$C:$C,"&lt;="&amp;EOMONTH(DATE(YEAR(主页!$D$2),MONTH(主页!$D$2),1),0)),"")</f>
        <v/>
      </c>
    </row>
    <row r="713" spans="1:10" x14ac:dyDescent="0.3">
      <c r="A713" s="129"/>
      <c r="B713" s="150"/>
      <c r="C713" s="150"/>
      <c r="D713" s="150"/>
      <c r="E713" s="140" t="str">
        <f t="shared" si="36"/>
        <v/>
      </c>
      <c r="F713" s="157"/>
      <c r="G713" s="145">
        <f t="shared" si="34"/>
        <v>0</v>
      </c>
      <c r="H713" s="140" t="str">
        <f t="shared" si="35"/>
        <v/>
      </c>
      <c r="J713" s="147" t="str">
        <f>IFERROR(SUMIFS(当年实际!$V:$V,当年实际!$J:$J,$C713,当年实际!$C:$C,"&gt;="&amp;DATE(YEAR(主页!$D$2),1,1),当年实际!$C:$C,"&lt;="&amp;EOMONTH(DATE(YEAR(主页!$D$2),MONTH(主页!$D$2),1),0))/SUMIFS(当年实际!$P:$P,当年实际!$J:$J,$C713,当年实际!$C:$C,"&gt;="&amp;DATE(YEAR(主页!$D$2),1,1),当年实际!$C:$C,"&lt;="&amp;EOMONTH(DATE(YEAR(主页!$D$2),MONTH(主页!$D$2),1),0)),"")</f>
        <v/>
      </c>
    </row>
    <row r="714" spans="1:10" x14ac:dyDescent="0.3">
      <c r="A714" s="129"/>
      <c r="B714" s="150"/>
      <c r="C714" s="150"/>
      <c r="D714" s="150"/>
      <c r="E714" s="140" t="str">
        <f t="shared" si="36"/>
        <v/>
      </c>
      <c r="F714" s="157"/>
      <c r="G714" s="145">
        <f t="shared" si="34"/>
        <v>0</v>
      </c>
      <c r="H714" s="140" t="str">
        <f t="shared" si="35"/>
        <v/>
      </c>
      <c r="J714" s="147" t="str">
        <f>IFERROR(SUMIFS(当年实际!$V:$V,当年实际!$J:$J,$C714,当年实际!$C:$C,"&gt;="&amp;DATE(YEAR(主页!$D$2),1,1),当年实际!$C:$C,"&lt;="&amp;EOMONTH(DATE(YEAR(主页!$D$2),MONTH(主页!$D$2),1),0))/SUMIFS(当年实际!$P:$P,当年实际!$J:$J,$C714,当年实际!$C:$C,"&gt;="&amp;DATE(YEAR(主页!$D$2),1,1),当年实际!$C:$C,"&lt;="&amp;EOMONTH(DATE(YEAR(主页!$D$2),MONTH(主页!$D$2),1),0)),"")</f>
        <v/>
      </c>
    </row>
    <row r="715" spans="1:10" x14ac:dyDescent="0.3">
      <c r="A715" s="129"/>
      <c r="B715" s="150"/>
      <c r="C715" s="150"/>
      <c r="D715" s="150"/>
      <c r="E715" s="140" t="str">
        <f t="shared" si="36"/>
        <v/>
      </c>
      <c r="F715" s="157"/>
      <c r="G715" s="145">
        <f t="shared" si="34"/>
        <v>0</v>
      </c>
      <c r="H715" s="140" t="str">
        <f t="shared" si="35"/>
        <v/>
      </c>
      <c r="J715" s="147" t="str">
        <f>IFERROR(SUMIFS(当年实际!$V:$V,当年实际!$J:$J,$C715,当年实际!$C:$C,"&gt;="&amp;DATE(YEAR(主页!$D$2),1,1),当年实际!$C:$C,"&lt;="&amp;EOMONTH(DATE(YEAR(主页!$D$2),MONTH(主页!$D$2),1),0))/SUMIFS(当年实际!$P:$P,当年实际!$J:$J,$C715,当年实际!$C:$C,"&gt;="&amp;DATE(YEAR(主页!$D$2),1,1),当年实际!$C:$C,"&lt;="&amp;EOMONTH(DATE(YEAR(主页!$D$2),MONTH(主页!$D$2),1),0)),"")</f>
        <v/>
      </c>
    </row>
    <row r="716" spans="1:10" x14ac:dyDescent="0.3">
      <c r="A716" s="129"/>
      <c r="B716" s="150"/>
      <c r="C716" s="150"/>
      <c r="D716" s="150"/>
      <c r="E716" s="140" t="str">
        <f t="shared" si="36"/>
        <v/>
      </c>
      <c r="F716" s="157"/>
      <c r="G716" s="145">
        <f t="shared" si="34"/>
        <v>0</v>
      </c>
      <c r="H716" s="140" t="str">
        <f t="shared" si="35"/>
        <v/>
      </c>
      <c r="J716" s="147" t="str">
        <f>IFERROR(SUMIFS(当年实际!$V:$V,当年实际!$J:$J,$C716,当年实际!$C:$C,"&gt;="&amp;DATE(YEAR(主页!$D$2),1,1),当年实际!$C:$C,"&lt;="&amp;EOMONTH(DATE(YEAR(主页!$D$2),MONTH(主页!$D$2),1),0))/SUMIFS(当年实际!$P:$P,当年实际!$J:$J,$C716,当年实际!$C:$C,"&gt;="&amp;DATE(YEAR(主页!$D$2),1,1),当年实际!$C:$C,"&lt;="&amp;EOMONTH(DATE(YEAR(主页!$D$2),MONTH(主页!$D$2),1),0)),"")</f>
        <v/>
      </c>
    </row>
    <row r="717" spans="1:10" x14ac:dyDescent="0.3">
      <c r="A717" s="129"/>
      <c r="B717" s="150"/>
      <c r="C717" s="150"/>
      <c r="D717" s="150"/>
      <c r="E717" s="140" t="str">
        <f t="shared" si="36"/>
        <v/>
      </c>
      <c r="F717" s="157"/>
      <c r="G717" s="145">
        <f t="shared" si="34"/>
        <v>0</v>
      </c>
      <c r="H717" s="140" t="str">
        <f t="shared" si="35"/>
        <v/>
      </c>
      <c r="J717" s="147" t="str">
        <f>IFERROR(SUMIFS(当年实际!$V:$V,当年实际!$J:$J,$C717,当年实际!$C:$C,"&gt;="&amp;DATE(YEAR(主页!$D$2),1,1),当年实际!$C:$C,"&lt;="&amp;EOMONTH(DATE(YEAR(主页!$D$2),MONTH(主页!$D$2),1),0))/SUMIFS(当年实际!$P:$P,当年实际!$J:$J,$C717,当年实际!$C:$C,"&gt;="&amp;DATE(YEAR(主页!$D$2),1,1),当年实际!$C:$C,"&lt;="&amp;EOMONTH(DATE(YEAR(主页!$D$2),MONTH(主页!$D$2),1),0)),"")</f>
        <v/>
      </c>
    </row>
    <row r="718" spans="1:10" x14ac:dyDescent="0.3">
      <c r="A718" s="129"/>
      <c r="B718" s="150"/>
      <c r="C718" s="150"/>
      <c r="D718" s="150"/>
      <c r="E718" s="140" t="str">
        <f t="shared" si="36"/>
        <v/>
      </c>
      <c r="F718" s="157"/>
      <c r="G718" s="145">
        <f t="shared" si="34"/>
        <v>0</v>
      </c>
      <c r="H718" s="140" t="str">
        <f t="shared" si="35"/>
        <v/>
      </c>
      <c r="J718" s="147" t="str">
        <f>IFERROR(SUMIFS(当年实际!$V:$V,当年实际!$J:$J,$C718,当年实际!$C:$C,"&gt;="&amp;DATE(YEAR(主页!$D$2),1,1),当年实际!$C:$C,"&lt;="&amp;EOMONTH(DATE(YEAR(主页!$D$2),MONTH(主页!$D$2),1),0))/SUMIFS(当年实际!$P:$P,当年实际!$J:$J,$C718,当年实际!$C:$C,"&gt;="&amp;DATE(YEAR(主页!$D$2),1,1),当年实际!$C:$C,"&lt;="&amp;EOMONTH(DATE(YEAR(主页!$D$2),MONTH(主页!$D$2),1),0)),"")</f>
        <v/>
      </c>
    </row>
    <row r="719" spans="1:10" x14ac:dyDescent="0.3">
      <c r="A719" s="129"/>
      <c r="B719" s="150"/>
      <c r="C719" s="150"/>
      <c r="D719" s="150"/>
      <c r="E719" s="140" t="str">
        <f t="shared" si="36"/>
        <v/>
      </c>
      <c r="F719" s="157"/>
      <c r="G719" s="145">
        <f t="shared" si="34"/>
        <v>0</v>
      </c>
      <c r="H719" s="140" t="str">
        <f t="shared" si="35"/>
        <v/>
      </c>
      <c r="J719" s="147" t="str">
        <f>IFERROR(SUMIFS(当年实际!$V:$V,当年实际!$J:$J,$C719,当年实际!$C:$C,"&gt;="&amp;DATE(YEAR(主页!$D$2),1,1),当年实际!$C:$C,"&lt;="&amp;EOMONTH(DATE(YEAR(主页!$D$2),MONTH(主页!$D$2),1),0))/SUMIFS(当年实际!$P:$P,当年实际!$J:$J,$C719,当年实际!$C:$C,"&gt;="&amp;DATE(YEAR(主页!$D$2),1,1),当年实际!$C:$C,"&lt;="&amp;EOMONTH(DATE(YEAR(主页!$D$2),MONTH(主页!$D$2),1),0)),"")</f>
        <v/>
      </c>
    </row>
    <row r="720" spans="1:10" x14ac:dyDescent="0.3">
      <c r="A720" s="129"/>
      <c r="B720" s="150"/>
      <c r="C720" s="150"/>
      <c r="D720" s="150"/>
      <c r="E720" s="140" t="str">
        <f t="shared" si="36"/>
        <v/>
      </c>
      <c r="F720" s="157"/>
      <c r="G720" s="145">
        <f t="shared" si="34"/>
        <v>0</v>
      </c>
      <c r="H720" s="140" t="str">
        <f t="shared" si="35"/>
        <v/>
      </c>
      <c r="J720" s="147" t="str">
        <f>IFERROR(SUMIFS(当年实际!$V:$V,当年实际!$J:$J,$C720,当年实际!$C:$C,"&gt;="&amp;DATE(YEAR(主页!$D$2),1,1),当年实际!$C:$C,"&lt;="&amp;EOMONTH(DATE(YEAR(主页!$D$2),MONTH(主页!$D$2),1),0))/SUMIFS(当年实际!$P:$P,当年实际!$J:$J,$C720,当年实际!$C:$C,"&gt;="&amp;DATE(YEAR(主页!$D$2),1,1),当年实际!$C:$C,"&lt;="&amp;EOMONTH(DATE(YEAR(主页!$D$2),MONTH(主页!$D$2),1),0)),"")</f>
        <v/>
      </c>
    </row>
    <row r="721" spans="1:10" x14ac:dyDescent="0.3">
      <c r="A721" s="129"/>
      <c r="B721" s="150"/>
      <c r="C721" s="150"/>
      <c r="D721" s="150"/>
      <c r="E721" s="140" t="str">
        <f t="shared" si="36"/>
        <v/>
      </c>
      <c r="F721" s="157"/>
      <c r="G721" s="145">
        <f t="shared" si="34"/>
        <v>0</v>
      </c>
      <c r="H721" s="140" t="str">
        <f t="shared" si="35"/>
        <v/>
      </c>
      <c r="J721" s="147" t="str">
        <f>IFERROR(SUMIFS(当年实际!$V:$V,当年实际!$J:$J,$C721,当年实际!$C:$C,"&gt;="&amp;DATE(YEAR(主页!$D$2),1,1),当年实际!$C:$C,"&lt;="&amp;EOMONTH(DATE(YEAR(主页!$D$2),MONTH(主页!$D$2),1),0))/SUMIFS(当年实际!$P:$P,当年实际!$J:$J,$C721,当年实际!$C:$C,"&gt;="&amp;DATE(YEAR(主页!$D$2),1,1),当年实际!$C:$C,"&lt;="&amp;EOMONTH(DATE(YEAR(主页!$D$2),MONTH(主页!$D$2),1),0)),"")</f>
        <v/>
      </c>
    </row>
    <row r="722" spans="1:10" x14ac:dyDescent="0.3">
      <c r="A722" s="129"/>
      <c r="B722" s="150"/>
      <c r="C722" s="150"/>
      <c r="D722" s="150"/>
      <c r="E722" s="140" t="str">
        <f t="shared" si="36"/>
        <v/>
      </c>
      <c r="F722" s="157"/>
      <c r="G722" s="145">
        <f t="shared" si="34"/>
        <v>0</v>
      </c>
      <c r="H722" s="140" t="str">
        <f t="shared" si="35"/>
        <v/>
      </c>
      <c r="J722" s="147" t="str">
        <f>IFERROR(SUMIFS(当年实际!$V:$V,当年实际!$J:$J,$C722,当年实际!$C:$C,"&gt;="&amp;DATE(YEAR(主页!$D$2),1,1),当年实际!$C:$C,"&lt;="&amp;EOMONTH(DATE(YEAR(主页!$D$2),MONTH(主页!$D$2),1),0))/SUMIFS(当年实际!$P:$P,当年实际!$J:$J,$C722,当年实际!$C:$C,"&gt;="&amp;DATE(YEAR(主页!$D$2),1,1),当年实际!$C:$C,"&lt;="&amp;EOMONTH(DATE(YEAR(主页!$D$2),MONTH(主页!$D$2),1),0)),"")</f>
        <v/>
      </c>
    </row>
    <row r="723" spans="1:10" x14ac:dyDescent="0.3">
      <c r="A723" s="129"/>
      <c r="B723" s="150"/>
      <c r="C723" s="150"/>
      <c r="D723" s="150"/>
      <c r="E723" s="140" t="str">
        <f t="shared" si="36"/>
        <v/>
      </c>
      <c r="F723" s="157"/>
      <c r="G723" s="145">
        <f t="shared" si="34"/>
        <v>0</v>
      </c>
      <c r="H723" s="140" t="str">
        <f t="shared" si="35"/>
        <v/>
      </c>
      <c r="J723" s="147" t="str">
        <f>IFERROR(SUMIFS(当年实际!$V:$V,当年实际!$J:$J,$C723,当年实际!$C:$C,"&gt;="&amp;DATE(YEAR(主页!$D$2),1,1),当年实际!$C:$C,"&lt;="&amp;EOMONTH(DATE(YEAR(主页!$D$2),MONTH(主页!$D$2),1),0))/SUMIFS(当年实际!$P:$P,当年实际!$J:$J,$C723,当年实际!$C:$C,"&gt;="&amp;DATE(YEAR(主页!$D$2),1,1),当年实际!$C:$C,"&lt;="&amp;EOMONTH(DATE(YEAR(主页!$D$2),MONTH(主页!$D$2),1),0)),"")</f>
        <v/>
      </c>
    </row>
    <row r="724" spans="1:10" x14ac:dyDescent="0.3">
      <c r="A724" s="129"/>
      <c r="B724" s="150"/>
      <c r="C724" s="150"/>
      <c r="D724" s="150"/>
      <c r="E724" s="140" t="str">
        <f t="shared" si="36"/>
        <v/>
      </c>
      <c r="F724" s="157"/>
      <c r="G724" s="145">
        <f t="shared" si="34"/>
        <v>0</v>
      </c>
      <c r="H724" s="140" t="str">
        <f t="shared" si="35"/>
        <v/>
      </c>
      <c r="J724" s="147" t="str">
        <f>IFERROR(SUMIFS(当年实际!$V:$V,当年实际!$J:$J,$C724,当年实际!$C:$C,"&gt;="&amp;DATE(YEAR(主页!$D$2),1,1),当年实际!$C:$C,"&lt;="&amp;EOMONTH(DATE(YEAR(主页!$D$2),MONTH(主页!$D$2),1),0))/SUMIFS(当年实际!$P:$P,当年实际!$J:$J,$C724,当年实际!$C:$C,"&gt;="&amp;DATE(YEAR(主页!$D$2),1,1),当年实际!$C:$C,"&lt;="&amp;EOMONTH(DATE(YEAR(主页!$D$2),MONTH(主页!$D$2),1),0)),"")</f>
        <v/>
      </c>
    </row>
    <row r="725" spans="1:10" x14ac:dyDescent="0.3">
      <c r="A725" s="129"/>
      <c r="B725" s="150"/>
      <c r="C725" s="150"/>
      <c r="D725" s="150"/>
      <c r="E725" s="140" t="str">
        <f t="shared" si="36"/>
        <v/>
      </c>
      <c r="F725" s="157"/>
      <c r="G725" s="145">
        <f t="shared" si="34"/>
        <v>0</v>
      </c>
      <c r="H725" s="140" t="str">
        <f t="shared" si="35"/>
        <v/>
      </c>
      <c r="J725" s="147" t="str">
        <f>IFERROR(SUMIFS(当年实际!$V:$V,当年实际!$J:$J,$C725,当年实际!$C:$C,"&gt;="&amp;DATE(YEAR(主页!$D$2),1,1),当年实际!$C:$C,"&lt;="&amp;EOMONTH(DATE(YEAR(主页!$D$2),MONTH(主页!$D$2),1),0))/SUMIFS(当年实际!$P:$P,当年实际!$J:$J,$C725,当年实际!$C:$C,"&gt;="&amp;DATE(YEAR(主页!$D$2),1,1),当年实际!$C:$C,"&lt;="&amp;EOMONTH(DATE(YEAR(主页!$D$2),MONTH(主页!$D$2),1),0)),"")</f>
        <v/>
      </c>
    </row>
    <row r="726" spans="1:10" x14ac:dyDescent="0.3">
      <c r="A726" s="129"/>
      <c r="B726" s="150"/>
      <c r="C726" s="150"/>
      <c r="D726" s="150"/>
      <c r="E726" s="140" t="str">
        <f t="shared" si="36"/>
        <v/>
      </c>
      <c r="F726" s="157"/>
      <c r="G726" s="145">
        <f t="shared" si="34"/>
        <v>0</v>
      </c>
      <c r="H726" s="140" t="str">
        <f t="shared" si="35"/>
        <v/>
      </c>
      <c r="J726" s="147" t="str">
        <f>IFERROR(SUMIFS(当年实际!$V:$V,当年实际!$J:$J,$C726,当年实际!$C:$C,"&gt;="&amp;DATE(YEAR(主页!$D$2),1,1),当年实际!$C:$C,"&lt;="&amp;EOMONTH(DATE(YEAR(主页!$D$2),MONTH(主页!$D$2),1),0))/SUMIFS(当年实际!$P:$P,当年实际!$J:$J,$C726,当年实际!$C:$C,"&gt;="&amp;DATE(YEAR(主页!$D$2),1,1),当年实际!$C:$C,"&lt;="&amp;EOMONTH(DATE(YEAR(主页!$D$2),MONTH(主页!$D$2),1),0)),"")</f>
        <v/>
      </c>
    </row>
    <row r="727" spans="1:10" x14ac:dyDescent="0.3">
      <c r="A727" s="129"/>
      <c r="B727" s="150"/>
      <c r="C727" s="150"/>
      <c r="D727" s="150"/>
      <c r="E727" s="140" t="str">
        <f t="shared" si="36"/>
        <v/>
      </c>
      <c r="F727" s="157"/>
      <c r="G727" s="145">
        <f t="shared" si="34"/>
        <v>0</v>
      </c>
      <c r="H727" s="140" t="str">
        <f t="shared" si="35"/>
        <v/>
      </c>
      <c r="J727" s="147" t="str">
        <f>IFERROR(SUMIFS(当年实际!$V:$V,当年实际!$J:$J,$C727,当年实际!$C:$C,"&gt;="&amp;DATE(YEAR(主页!$D$2),1,1),当年实际!$C:$C,"&lt;="&amp;EOMONTH(DATE(YEAR(主页!$D$2),MONTH(主页!$D$2),1),0))/SUMIFS(当年实际!$P:$P,当年实际!$J:$J,$C727,当年实际!$C:$C,"&gt;="&amp;DATE(YEAR(主页!$D$2),1,1),当年实际!$C:$C,"&lt;="&amp;EOMONTH(DATE(YEAR(主页!$D$2),MONTH(主页!$D$2),1),0)),"")</f>
        <v/>
      </c>
    </row>
    <row r="728" spans="1:10" x14ac:dyDescent="0.3">
      <c r="A728" s="129"/>
      <c r="B728" s="150"/>
      <c r="C728" s="150"/>
      <c r="D728" s="150"/>
      <c r="E728" s="140" t="str">
        <f t="shared" si="36"/>
        <v/>
      </c>
      <c r="F728" s="157"/>
      <c r="G728" s="145">
        <f t="shared" si="34"/>
        <v>0</v>
      </c>
      <c r="H728" s="140" t="str">
        <f t="shared" si="35"/>
        <v/>
      </c>
      <c r="J728" s="147" t="str">
        <f>IFERROR(SUMIFS(当年实际!$V:$V,当年实际!$J:$J,$C728,当年实际!$C:$C,"&gt;="&amp;DATE(YEAR(主页!$D$2),1,1),当年实际!$C:$C,"&lt;="&amp;EOMONTH(DATE(YEAR(主页!$D$2),MONTH(主页!$D$2),1),0))/SUMIFS(当年实际!$P:$P,当年实际!$J:$J,$C728,当年实际!$C:$C,"&gt;="&amp;DATE(YEAR(主页!$D$2),1,1),当年实际!$C:$C,"&lt;="&amp;EOMONTH(DATE(YEAR(主页!$D$2),MONTH(主页!$D$2),1),0)),"")</f>
        <v/>
      </c>
    </row>
    <row r="729" spans="1:10" x14ac:dyDescent="0.3">
      <c r="A729" s="129"/>
      <c r="B729" s="150"/>
      <c r="C729" s="150"/>
      <c r="D729" s="150"/>
      <c r="E729" s="140" t="str">
        <f t="shared" si="36"/>
        <v/>
      </c>
      <c r="F729" s="157"/>
      <c r="G729" s="145">
        <f t="shared" si="34"/>
        <v>0</v>
      </c>
      <c r="H729" s="140" t="str">
        <f t="shared" si="35"/>
        <v/>
      </c>
      <c r="J729" s="147" t="str">
        <f>IFERROR(SUMIFS(当年实际!$V:$V,当年实际!$J:$J,$C729,当年实际!$C:$C,"&gt;="&amp;DATE(YEAR(主页!$D$2),1,1),当年实际!$C:$C,"&lt;="&amp;EOMONTH(DATE(YEAR(主页!$D$2),MONTH(主页!$D$2),1),0))/SUMIFS(当年实际!$P:$P,当年实际!$J:$J,$C729,当年实际!$C:$C,"&gt;="&amp;DATE(YEAR(主页!$D$2),1,1),当年实际!$C:$C,"&lt;="&amp;EOMONTH(DATE(YEAR(主页!$D$2),MONTH(主页!$D$2),1),0)),"")</f>
        <v/>
      </c>
    </row>
    <row r="730" spans="1:10" x14ac:dyDescent="0.3">
      <c r="A730" s="129"/>
      <c r="B730" s="150"/>
      <c r="C730" s="150"/>
      <c r="D730" s="150"/>
      <c r="E730" s="140" t="str">
        <f t="shared" si="36"/>
        <v/>
      </c>
      <c r="F730" s="157"/>
      <c r="G730" s="145">
        <f t="shared" si="34"/>
        <v>0</v>
      </c>
      <c r="H730" s="140" t="str">
        <f t="shared" si="35"/>
        <v/>
      </c>
      <c r="J730" s="147" t="str">
        <f>IFERROR(SUMIFS(当年实际!$V:$V,当年实际!$J:$J,$C730,当年实际!$C:$C,"&gt;="&amp;DATE(YEAR(主页!$D$2),1,1),当年实际!$C:$C,"&lt;="&amp;EOMONTH(DATE(YEAR(主页!$D$2),MONTH(主页!$D$2),1),0))/SUMIFS(当年实际!$P:$P,当年实际!$J:$J,$C730,当年实际!$C:$C,"&gt;="&amp;DATE(YEAR(主页!$D$2),1,1),当年实际!$C:$C,"&lt;="&amp;EOMONTH(DATE(YEAR(主页!$D$2),MONTH(主页!$D$2),1),0)),"")</f>
        <v/>
      </c>
    </row>
    <row r="731" spans="1:10" x14ac:dyDescent="0.3">
      <c r="A731" s="129"/>
      <c r="B731" s="150"/>
      <c r="C731" s="150"/>
      <c r="D731" s="150"/>
      <c r="E731" s="140" t="str">
        <f t="shared" si="36"/>
        <v/>
      </c>
      <c r="F731" s="157"/>
      <c r="G731" s="145">
        <f t="shared" si="34"/>
        <v>0</v>
      </c>
      <c r="H731" s="140" t="str">
        <f t="shared" si="35"/>
        <v/>
      </c>
      <c r="J731" s="147" t="str">
        <f>IFERROR(SUMIFS(当年实际!$V:$V,当年实际!$J:$J,$C731,当年实际!$C:$C,"&gt;="&amp;DATE(YEAR(主页!$D$2),1,1),当年实际!$C:$C,"&lt;="&amp;EOMONTH(DATE(YEAR(主页!$D$2),MONTH(主页!$D$2),1),0))/SUMIFS(当年实际!$P:$P,当年实际!$J:$J,$C731,当年实际!$C:$C,"&gt;="&amp;DATE(YEAR(主页!$D$2),1,1),当年实际!$C:$C,"&lt;="&amp;EOMONTH(DATE(YEAR(主页!$D$2),MONTH(主页!$D$2),1),0)),"")</f>
        <v/>
      </c>
    </row>
    <row r="732" spans="1:10" x14ac:dyDescent="0.3">
      <c r="A732" s="129"/>
      <c r="B732" s="150"/>
      <c r="C732" s="150"/>
      <c r="D732" s="150"/>
      <c r="E732" s="140" t="str">
        <f t="shared" si="36"/>
        <v/>
      </c>
      <c r="F732" s="157"/>
      <c r="G732" s="145">
        <f t="shared" si="34"/>
        <v>0</v>
      </c>
      <c r="H732" s="140" t="str">
        <f t="shared" si="35"/>
        <v/>
      </c>
      <c r="J732" s="147" t="str">
        <f>IFERROR(SUMIFS(当年实际!$V:$V,当年实际!$J:$J,$C732,当年实际!$C:$C,"&gt;="&amp;DATE(YEAR(主页!$D$2),1,1),当年实际!$C:$C,"&lt;="&amp;EOMONTH(DATE(YEAR(主页!$D$2),MONTH(主页!$D$2),1),0))/SUMIFS(当年实际!$P:$P,当年实际!$J:$J,$C732,当年实际!$C:$C,"&gt;="&amp;DATE(YEAR(主页!$D$2),1,1),当年实际!$C:$C,"&lt;="&amp;EOMONTH(DATE(YEAR(主页!$D$2),MONTH(主页!$D$2),1),0)),"")</f>
        <v/>
      </c>
    </row>
    <row r="733" spans="1:10" x14ac:dyDescent="0.3">
      <c r="A733" s="129"/>
      <c r="B733" s="150"/>
      <c r="C733" s="150"/>
      <c r="D733" s="150"/>
      <c r="E733" s="140" t="str">
        <f t="shared" si="36"/>
        <v/>
      </c>
      <c r="F733" s="157"/>
      <c r="G733" s="145">
        <f t="shared" si="34"/>
        <v>0</v>
      </c>
      <c r="H733" s="140" t="str">
        <f t="shared" si="35"/>
        <v/>
      </c>
      <c r="J733" s="147" t="str">
        <f>IFERROR(SUMIFS(当年实际!$V:$V,当年实际!$J:$J,$C733,当年实际!$C:$C,"&gt;="&amp;DATE(YEAR(主页!$D$2),1,1),当年实际!$C:$C,"&lt;="&amp;EOMONTH(DATE(YEAR(主页!$D$2),MONTH(主页!$D$2),1),0))/SUMIFS(当年实际!$P:$P,当年实际!$J:$J,$C733,当年实际!$C:$C,"&gt;="&amp;DATE(YEAR(主页!$D$2),1,1),当年实际!$C:$C,"&lt;="&amp;EOMONTH(DATE(YEAR(主页!$D$2),MONTH(主页!$D$2),1),0)),"")</f>
        <v/>
      </c>
    </row>
    <row r="734" spans="1:10" x14ac:dyDescent="0.3">
      <c r="A734" s="129"/>
      <c r="B734" s="150"/>
      <c r="C734" s="150"/>
      <c r="D734" s="150"/>
      <c r="E734" s="140" t="str">
        <f t="shared" si="36"/>
        <v/>
      </c>
      <c r="F734" s="157"/>
      <c r="G734" s="145">
        <f t="shared" si="34"/>
        <v>0</v>
      </c>
      <c r="H734" s="140" t="str">
        <f t="shared" si="35"/>
        <v/>
      </c>
      <c r="J734" s="147" t="str">
        <f>IFERROR(SUMIFS(当年实际!$V:$V,当年实际!$J:$J,$C734,当年实际!$C:$C,"&gt;="&amp;DATE(YEAR(主页!$D$2),1,1),当年实际!$C:$C,"&lt;="&amp;EOMONTH(DATE(YEAR(主页!$D$2),MONTH(主页!$D$2),1),0))/SUMIFS(当年实际!$P:$P,当年实际!$J:$J,$C734,当年实际!$C:$C,"&gt;="&amp;DATE(YEAR(主页!$D$2),1,1),当年实际!$C:$C,"&lt;="&amp;EOMONTH(DATE(YEAR(主页!$D$2),MONTH(主页!$D$2),1),0)),"")</f>
        <v/>
      </c>
    </row>
    <row r="735" spans="1:10" x14ac:dyDescent="0.3">
      <c r="A735" s="129"/>
      <c r="B735" s="150"/>
      <c r="C735" s="150"/>
      <c r="D735" s="150"/>
      <c r="E735" s="140" t="str">
        <f t="shared" si="36"/>
        <v/>
      </c>
      <c r="F735" s="157"/>
      <c r="G735" s="145">
        <f t="shared" ref="G735:G798" si="37">D735*F735</f>
        <v>0</v>
      </c>
      <c r="H735" s="140" t="str">
        <f t="shared" ref="H735:H798" si="38">IF(G735/SUM(G:G)=0,"",G735/SUM(G:G))</f>
        <v/>
      </c>
      <c r="J735" s="147" t="str">
        <f>IFERROR(SUMIFS(当年实际!$V:$V,当年实际!$J:$J,$C735,当年实际!$C:$C,"&gt;="&amp;DATE(YEAR(主页!$D$2),1,1),当年实际!$C:$C,"&lt;="&amp;EOMONTH(DATE(YEAR(主页!$D$2),MONTH(主页!$D$2),1),0))/SUMIFS(当年实际!$P:$P,当年实际!$J:$J,$C735,当年实际!$C:$C,"&gt;="&amp;DATE(YEAR(主页!$D$2),1,1),当年实际!$C:$C,"&lt;="&amp;EOMONTH(DATE(YEAR(主页!$D$2),MONTH(主页!$D$2),1),0)),"")</f>
        <v/>
      </c>
    </row>
    <row r="736" spans="1:10" x14ac:dyDescent="0.3">
      <c r="A736" s="129"/>
      <c r="B736" s="150"/>
      <c r="C736" s="150"/>
      <c r="D736" s="150"/>
      <c r="E736" s="140" t="str">
        <f t="shared" si="36"/>
        <v/>
      </c>
      <c r="F736" s="157"/>
      <c r="G736" s="145">
        <f t="shared" si="37"/>
        <v>0</v>
      </c>
      <c r="H736" s="140" t="str">
        <f t="shared" si="38"/>
        <v/>
      </c>
      <c r="J736" s="147" t="str">
        <f>IFERROR(SUMIFS(当年实际!$V:$V,当年实际!$J:$J,$C736,当年实际!$C:$C,"&gt;="&amp;DATE(YEAR(主页!$D$2),1,1),当年实际!$C:$C,"&lt;="&amp;EOMONTH(DATE(YEAR(主页!$D$2),MONTH(主页!$D$2),1),0))/SUMIFS(当年实际!$P:$P,当年实际!$J:$J,$C736,当年实际!$C:$C,"&gt;="&amp;DATE(YEAR(主页!$D$2),1,1),当年实际!$C:$C,"&lt;="&amp;EOMONTH(DATE(YEAR(主页!$D$2),MONTH(主页!$D$2),1),0)),"")</f>
        <v/>
      </c>
    </row>
    <row r="737" spans="1:10" x14ac:dyDescent="0.3">
      <c r="A737" s="129"/>
      <c r="B737" s="150"/>
      <c r="C737" s="150"/>
      <c r="D737" s="150"/>
      <c r="E737" s="140" t="str">
        <f t="shared" si="36"/>
        <v/>
      </c>
      <c r="F737" s="157"/>
      <c r="G737" s="145">
        <f t="shared" si="37"/>
        <v>0</v>
      </c>
      <c r="H737" s="140" t="str">
        <f t="shared" si="38"/>
        <v/>
      </c>
      <c r="J737" s="147" t="str">
        <f>IFERROR(SUMIFS(当年实际!$V:$V,当年实际!$J:$J,$C737,当年实际!$C:$C,"&gt;="&amp;DATE(YEAR(主页!$D$2),1,1),当年实际!$C:$C,"&lt;="&amp;EOMONTH(DATE(YEAR(主页!$D$2),MONTH(主页!$D$2),1),0))/SUMIFS(当年实际!$P:$P,当年实际!$J:$J,$C737,当年实际!$C:$C,"&gt;="&amp;DATE(YEAR(主页!$D$2),1,1),当年实际!$C:$C,"&lt;="&amp;EOMONTH(DATE(YEAR(主页!$D$2),MONTH(主页!$D$2),1),0)),"")</f>
        <v/>
      </c>
    </row>
    <row r="738" spans="1:10" x14ac:dyDescent="0.3">
      <c r="A738" s="129"/>
      <c r="B738" s="150"/>
      <c r="C738" s="150"/>
      <c r="D738" s="150"/>
      <c r="E738" s="140" t="str">
        <f t="shared" si="36"/>
        <v/>
      </c>
      <c r="F738" s="157"/>
      <c r="G738" s="145">
        <f t="shared" si="37"/>
        <v>0</v>
      </c>
      <c r="H738" s="140" t="str">
        <f t="shared" si="38"/>
        <v/>
      </c>
      <c r="J738" s="147" t="str">
        <f>IFERROR(SUMIFS(当年实际!$V:$V,当年实际!$J:$J,$C738,当年实际!$C:$C,"&gt;="&amp;DATE(YEAR(主页!$D$2),1,1),当年实际!$C:$C,"&lt;="&amp;EOMONTH(DATE(YEAR(主页!$D$2),MONTH(主页!$D$2),1),0))/SUMIFS(当年实际!$P:$P,当年实际!$J:$J,$C738,当年实际!$C:$C,"&gt;="&amp;DATE(YEAR(主页!$D$2),1,1),当年实际!$C:$C,"&lt;="&amp;EOMONTH(DATE(YEAR(主页!$D$2),MONTH(主页!$D$2),1),0)),"")</f>
        <v/>
      </c>
    </row>
    <row r="739" spans="1:10" x14ac:dyDescent="0.3">
      <c r="A739" s="129"/>
      <c r="B739" s="150"/>
      <c r="C739" s="150"/>
      <c r="D739" s="150"/>
      <c r="E739" s="140" t="str">
        <f t="shared" si="36"/>
        <v/>
      </c>
      <c r="F739" s="157"/>
      <c r="G739" s="145">
        <f t="shared" si="37"/>
        <v>0</v>
      </c>
      <c r="H739" s="140" t="str">
        <f t="shared" si="38"/>
        <v/>
      </c>
      <c r="J739" s="147" t="str">
        <f>IFERROR(SUMIFS(当年实际!$V:$V,当年实际!$J:$J,$C739,当年实际!$C:$C,"&gt;="&amp;DATE(YEAR(主页!$D$2),1,1),当年实际!$C:$C,"&lt;="&amp;EOMONTH(DATE(YEAR(主页!$D$2),MONTH(主页!$D$2),1),0))/SUMIFS(当年实际!$P:$P,当年实际!$J:$J,$C739,当年实际!$C:$C,"&gt;="&amp;DATE(YEAR(主页!$D$2),1,1),当年实际!$C:$C,"&lt;="&amp;EOMONTH(DATE(YEAR(主页!$D$2),MONTH(主页!$D$2),1),0)),"")</f>
        <v/>
      </c>
    </row>
    <row r="740" spans="1:10" x14ac:dyDescent="0.3">
      <c r="A740" s="129"/>
      <c r="B740" s="150"/>
      <c r="C740" s="150"/>
      <c r="D740" s="150"/>
      <c r="E740" s="140" t="str">
        <f t="shared" si="36"/>
        <v/>
      </c>
      <c r="F740" s="157"/>
      <c r="G740" s="145">
        <f t="shared" si="37"/>
        <v>0</v>
      </c>
      <c r="H740" s="140" t="str">
        <f t="shared" si="38"/>
        <v/>
      </c>
      <c r="J740" s="147" t="str">
        <f>IFERROR(SUMIFS(当年实际!$V:$V,当年实际!$J:$J,$C740,当年实际!$C:$C,"&gt;="&amp;DATE(YEAR(主页!$D$2),1,1),当年实际!$C:$C,"&lt;="&amp;EOMONTH(DATE(YEAR(主页!$D$2),MONTH(主页!$D$2),1),0))/SUMIFS(当年实际!$P:$P,当年实际!$J:$J,$C740,当年实际!$C:$C,"&gt;="&amp;DATE(YEAR(主页!$D$2),1,1),当年实际!$C:$C,"&lt;="&amp;EOMONTH(DATE(YEAR(主页!$D$2),MONTH(主页!$D$2),1),0)),"")</f>
        <v/>
      </c>
    </row>
    <row r="741" spans="1:10" x14ac:dyDescent="0.3">
      <c r="A741" s="129"/>
      <c r="B741" s="150"/>
      <c r="C741" s="150"/>
      <c r="D741" s="150"/>
      <c r="E741" s="140" t="str">
        <f t="shared" si="36"/>
        <v/>
      </c>
      <c r="F741" s="157"/>
      <c r="G741" s="145">
        <f t="shared" si="37"/>
        <v>0</v>
      </c>
      <c r="H741" s="140" t="str">
        <f t="shared" si="38"/>
        <v/>
      </c>
      <c r="J741" s="147" t="str">
        <f>IFERROR(SUMIFS(当年实际!$V:$V,当年实际!$J:$J,$C741,当年实际!$C:$C,"&gt;="&amp;DATE(YEAR(主页!$D$2),1,1),当年实际!$C:$C,"&lt;="&amp;EOMONTH(DATE(YEAR(主页!$D$2),MONTH(主页!$D$2),1),0))/SUMIFS(当年实际!$P:$P,当年实际!$J:$J,$C741,当年实际!$C:$C,"&gt;="&amp;DATE(YEAR(主页!$D$2),1,1),当年实际!$C:$C,"&lt;="&amp;EOMONTH(DATE(YEAR(主页!$D$2),MONTH(主页!$D$2),1),0)),"")</f>
        <v/>
      </c>
    </row>
    <row r="742" spans="1:10" x14ac:dyDescent="0.3">
      <c r="A742" s="129"/>
      <c r="B742" s="150"/>
      <c r="C742" s="150"/>
      <c r="D742" s="150"/>
      <c r="E742" s="140" t="str">
        <f t="shared" si="36"/>
        <v/>
      </c>
      <c r="F742" s="157"/>
      <c r="G742" s="145">
        <f t="shared" si="37"/>
        <v>0</v>
      </c>
      <c r="H742" s="140" t="str">
        <f t="shared" si="38"/>
        <v/>
      </c>
      <c r="J742" s="147" t="str">
        <f>IFERROR(SUMIFS(当年实际!$V:$V,当年实际!$J:$J,$C742,当年实际!$C:$C,"&gt;="&amp;DATE(YEAR(主页!$D$2),1,1),当年实际!$C:$C,"&lt;="&amp;EOMONTH(DATE(YEAR(主页!$D$2),MONTH(主页!$D$2),1),0))/SUMIFS(当年实际!$P:$P,当年实际!$J:$J,$C742,当年实际!$C:$C,"&gt;="&amp;DATE(YEAR(主页!$D$2),1,1),当年实际!$C:$C,"&lt;="&amp;EOMONTH(DATE(YEAR(主页!$D$2),MONTH(主页!$D$2),1),0)),"")</f>
        <v/>
      </c>
    </row>
    <row r="743" spans="1:10" x14ac:dyDescent="0.3">
      <c r="A743" s="129"/>
      <c r="B743" s="150"/>
      <c r="C743" s="150"/>
      <c r="D743" s="150"/>
      <c r="E743" s="140" t="str">
        <f t="shared" si="36"/>
        <v/>
      </c>
      <c r="F743" s="157"/>
      <c r="G743" s="145">
        <f t="shared" si="37"/>
        <v>0</v>
      </c>
      <c r="H743" s="140" t="str">
        <f t="shared" si="38"/>
        <v/>
      </c>
      <c r="J743" s="147" t="str">
        <f>IFERROR(SUMIFS(当年实际!$V:$V,当年实际!$J:$J,$C743,当年实际!$C:$C,"&gt;="&amp;DATE(YEAR(主页!$D$2),1,1),当年实际!$C:$C,"&lt;="&amp;EOMONTH(DATE(YEAR(主页!$D$2),MONTH(主页!$D$2),1),0))/SUMIFS(当年实际!$P:$P,当年实际!$J:$J,$C743,当年实际!$C:$C,"&gt;="&amp;DATE(YEAR(主页!$D$2),1,1),当年实际!$C:$C,"&lt;="&amp;EOMONTH(DATE(YEAR(主页!$D$2),MONTH(主页!$D$2),1),0)),"")</f>
        <v/>
      </c>
    </row>
    <row r="744" spans="1:10" x14ac:dyDescent="0.3">
      <c r="A744" s="129"/>
      <c r="B744" s="150"/>
      <c r="C744" s="150"/>
      <c r="D744" s="150"/>
      <c r="E744" s="140" t="str">
        <f t="shared" si="36"/>
        <v/>
      </c>
      <c r="F744" s="157"/>
      <c r="G744" s="145">
        <f t="shared" si="37"/>
        <v>0</v>
      </c>
      <c r="H744" s="140" t="str">
        <f t="shared" si="38"/>
        <v/>
      </c>
      <c r="J744" s="147" t="str">
        <f>IFERROR(SUMIFS(当年实际!$V:$V,当年实际!$J:$J,$C744,当年实际!$C:$C,"&gt;="&amp;DATE(YEAR(主页!$D$2),1,1),当年实际!$C:$C,"&lt;="&amp;EOMONTH(DATE(YEAR(主页!$D$2),MONTH(主页!$D$2),1),0))/SUMIFS(当年实际!$P:$P,当年实际!$J:$J,$C744,当年实际!$C:$C,"&gt;="&amp;DATE(YEAR(主页!$D$2),1,1),当年实际!$C:$C,"&lt;="&amp;EOMONTH(DATE(YEAR(主页!$D$2),MONTH(主页!$D$2),1),0)),"")</f>
        <v/>
      </c>
    </row>
    <row r="745" spans="1:10" x14ac:dyDescent="0.3">
      <c r="A745" s="129"/>
      <c r="B745" s="150"/>
      <c r="C745" s="150"/>
      <c r="D745" s="150"/>
      <c r="E745" s="140" t="str">
        <f t="shared" si="36"/>
        <v/>
      </c>
      <c r="F745" s="157"/>
      <c r="G745" s="145">
        <f t="shared" si="37"/>
        <v>0</v>
      </c>
      <c r="H745" s="140" t="str">
        <f t="shared" si="38"/>
        <v/>
      </c>
      <c r="J745" s="147" t="str">
        <f>IFERROR(SUMIFS(当年实际!$V:$V,当年实际!$J:$J,$C745,当年实际!$C:$C,"&gt;="&amp;DATE(YEAR(主页!$D$2),1,1),当年实际!$C:$C,"&lt;="&amp;EOMONTH(DATE(YEAR(主页!$D$2),MONTH(主页!$D$2),1),0))/SUMIFS(当年实际!$P:$P,当年实际!$J:$J,$C745,当年实际!$C:$C,"&gt;="&amp;DATE(YEAR(主页!$D$2),1,1),当年实际!$C:$C,"&lt;="&amp;EOMONTH(DATE(YEAR(主页!$D$2),MONTH(主页!$D$2),1),0)),"")</f>
        <v/>
      </c>
    </row>
    <row r="746" spans="1:10" x14ac:dyDescent="0.3">
      <c r="A746" s="129"/>
      <c r="B746" s="150"/>
      <c r="C746" s="150"/>
      <c r="D746" s="150"/>
      <c r="E746" s="140" t="str">
        <f t="shared" si="36"/>
        <v/>
      </c>
      <c r="F746" s="157"/>
      <c r="G746" s="145">
        <f t="shared" si="37"/>
        <v>0</v>
      </c>
      <c r="H746" s="140" t="str">
        <f t="shared" si="38"/>
        <v/>
      </c>
      <c r="J746" s="147" t="str">
        <f>IFERROR(SUMIFS(当年实际!$V:$V,当年实际!$J:$J,$C746,当年实际!$C:$C,"&gt;="&amp;DATE(YEAR(主页!$D$2),1,1),当年实际!$C:$C,"&lt;="&amp;EOMONTH(DATE(YEAR(主页!$D$2),MONTH(主页!$D$2),1),0))/SUMIFS(当年实际!$P:$P,当年实际!$J:$J,$C746,当年实际!$C:$C,"&gt;="&amp;DATE(YEAR(主页!$D$2),1,1),当年实际!$C:$C,"&lt;="&amp;EOMONTH(DATE(YEAR(主页!$D$2),MONTH(主页!$D$2),1),0)),"")</f>
        <v/>
      </c>
    </row>
    <row r="747" spans="1:10" x14ac:dyDescent="0.3">
      <c r="A747" s="129"/>
      <c r="B747" s="150"/>
      <c r="C747" s="150"/>
      <c r="D747" s="150"/>
      <c r="E747" s="140" t="str">
        <f t="shared" si="36"/>
        <v/>
      </c>
      <c r="F747" s="157"/>
      <c r="G747" s="145">
        <f t="shared" si="37"/>
        <v>0</v>
      </c>
      <c r="H747" s="140" t="str">
        <f t="shared" si="38"/>
        <v/>
      </c>
      <c r="J747" s="147" t="str">
        <f>IFERROR(SUMIFS(当年实际!$V:$V,当年实际!$J:$J,$C747,当年实际!$C:$C,"&gt;="&amp;DATE(YEAR(主页!$D$2),1,1),当年实际!$C:$C,"&lt;="&amp;EOMONTH(DATE(YEAR(主页!$D$2),MONTH(主页!$D$2),1),0))/SUMIFS(当年实际!$P:$P,当年实际!$J:$J,$C747,当年实际!$C:$C,"&gt;="&amp;DATE(YEAR(主页!$D$2),1,1),当年实际!$C:$C,"&lt;="&amp;EOMONTH(DATE(YEAR(主页!$D$2),MONTH(主页!$D$2),1),0)),"")</f>
        <v/>
      </c>
    </row>
    <row r="748" spans="1:10" x14ac:dyDescent="0.3">
      <c r="A748" s="129"/>
      <c r="B748" s="150"/>
      <c r="C748" s="150"/>
      <c r="D748" s="150"/>
      <c r="E748" s="140" t="str">
        <f t="shared" si="36"/>
        <v/>
      </c>
      <c r="F748" s="157"/>
      <c r="G748" s="145">
        <f t="shared" si="37"/>
        <v>0</v>
      </c>
      <c r="H748" s="140" t="str">
        <f t="shared" si="38"/>
        <v/>
      </c>
      <c r="J748" s="147" t="str">
        <f>IFERROR(SUMIFS(当年实际!$V:$V,当年实际!$J:$J,$C748,当年实际!$C:$C,"&gt;="&amp;DATE(YEAR(主页!$D$2),1,1),当年实际!$C:$C,"&lt;="&amp;EOMONTH(DATE(YEAR(主页!$D$2),MONTH(主页!$D$2),1),0))/SUMIFS(当年实际!$P:$P,当年实际!$J:$J,$C748,当年实际!$C:$C,"&gt;="&amp;DATE(YEAR(主页!$D$2),1,1),当年实际!$C:$C,"&lt;="&amp;EOMONTH(DATE(YEAR(主页!$D$2),MONTH(主页!$D$2),1),0)),"")</f>
        <v/>
      </c>
    </row>
    <row r="749" spans="1:10" x14ac:dyDescent="0.3">
      <c r="A749" s="129"/>
      <c r="B749" s="150"/>
      <c r="C749" s="150"/>
      <c r="D749" s="150"/>
      <c r="E749" s="140" t="str">
        <f t="shared" si="36"/>
        <v/>
      </c>
      <c r="F749" s="157"/>
      <c r="G749" s="145">
        <f t="shared" si="37"/>
        <v>0</v>
      </c>
      <c r="H749" s="140" t="str">
        <f t="shared" si="38"/>
        <v/>
      </c>
      <c r="J749" s="147" t="str">
        <f>IFERROR(SUMIFS(当年实际!$V:$V,当年实际!$J:$J,$C749,当年实际!$C:$C,"&gt;="&amp;DATE(YEAR(主页!$D$2),1,1),当年实际!$C:$C,"&lt;="&amp;EOMONTH(DATE(YEAR(主页!$D$2),MONTH(主页!$D$2),1),0))/SUMIFS(当年实际!$P:$P,当年实际!$J:$J,$C749,当年实际!$C:$C,"&gt;="&amp;DATE(YEAR(主页!$D$2),1,1),当年实际!$C:$C,"&lt;="&amp;EOMONTH(DATE(YEAR(主页!$D$2),MONTH(主页!$D$2),1),0)),"")</f>
        <v/>
      </c>
    </row>
    <row r="750" spans="1:10" x14ac:dyDescent="0.3">
      <c r="A750" s="129"/>
      <c r="B750" s="150"/>
      <c r="C750" s="150"/>
      <c r="D750" s="150"/>
      <c r="E750" s="140" t="str">
        <f t="shared" si="36"/>
        <v/>
      </c>
      <c r="F750" s="157"/>
      <c r="G750" s="145">
        <f t="shared" si="37"/>
        <v>0</v>
      </c>
      <c r="H750" s="140" t="str">
        <f t="shared" si="38"/>
        <v/>
      </c>
      <c r="J750" s="147" t="str">
        <f>IFERROR(SUMIFS(当年实际!$V:$V,当年实际!$J:$J,$C750,当年实际!$C:$C,"&gt;="&amp;DATE(YEAR(主页!$D$2),1,1),当年实际!$C:$C,"&lt;="&amp;EOMONTH(DATE(YEAR(主页!$D$2),MONTH(主页!$D$2),1),0))/SUMIFS(当年实际!$P:$P,当年实际!$J:$J,$C750,当年实际!$C:$C,"&gt;="&amp;DATE(YEAR(主页!$D$2),1,1),当年实际!$C:$C,"&lt;="&amp;EOMONTH(DATE(YEAR(主页!$D$2),MONTH(主页!$D$2),1),0)),"")</f>
        <v/>
      </c>
    </row>
    <row r="751" spans="1:10" x14ac:dyDescent="0.3">
      <c r="A751" s="129"/>
      <c r="B751" s="150"/>
      <c r="C751" s="150"/>
      <c r="D751" s="150"/>
      <c r="E751" s="140" t="str">
        <f t="shared" si="36"/>
        <v/>
      </c>
      <c r="F751" s="157"/>
      <c r="G751" s="145">
        <f t="shared" si="37"/>
        <v>0</v>
      </c>
      <c r="H751" s="140" t="str">
        <f t="shared" si="38"/>
        <v/>
      </c>
      <c r="J751" s="147" t="str">
        <f>IFERROR(SUMIFS(当年实际!$V:$V,当年实际!$J:$J,$C751,当年实际!$C:$C,"&gt;="&amp;DATE(YEAR(主页!$D$2),1,1),当年实际!$C:$C,"&lt;="&amp;EOMONTH(DATE(YEAR(主页!$D$2),MONTH(主页!$D$2),1),0))/SUMIFS(当年实际!$P:$P,当年实际!$J:$J,$C751,当年实际!$C:$C,"&gt;="&amp;DATE(YEAR(主页!$D$2),1,1),当年实际!$C:$C,"&lt;="&amp;EOMONTH(DATE(YEAR(主页!$D$2),MONTH(主页!$D$2),1),0)),"")</f>
        <v/>
      </c>
    </row>
    <row r="752" spans="1:10" x14ac:dyDescent="0.3">
      <c r="A752" s="129"/>
      <c r="B752" s="150"/>
      <c r="C752" s="150"/>
      <c r="D752" s="150"/>
      <c r="E752" s="140" t="str">
        <f t="shared" si="36"/>
        <v/>
      </c>
      <c r="F752" s="157"/>
      <c r="G752" s="145">
        <f t="shared" si="37"/>
        <v>0</v>
      </c>
      <c r="H752" s="140" t="str">
        <f t="shared" si="38"/>
        <v/>
      </c>
      <c r="J752" s="147" t="str">
        <f>IFERROR(SUMIFS(当年实际!$V:$V,当年实际!$J:$J,$C752,当年实际!$C:$C,"&gt;="&amp;DATE(YEAR(主页!$D$2),1,1),当年实际!$C:$C,"&lt;="&amp;EOMONTH(DATE(YEAR(主页!$D$2),MONTH(主页!$D$2),1),0))/SUMIFS(当年实际!$P:$P,当年实际!$J:$J,$C752,当年实际!$C:$C,"&gt;="&amp;DATE(YEAR(主页!$D$2),1,1),当年实际!$C:$C,"&lt;="&amp;EOMONTH(DATE(YEAR(主页!$D$2),MONTH(主页!$D$2),1),0)),"")</f>
        <v/>
      </c>
    </row>
    <row r="753" spans="1:10" x14ac:dyDescent="0.3">
      <c r="A753" s="129"/>
      <c r="B753" s="150"/>
      <c r="C753" s="150"/>
      <c r="D753" s="150"/>
      <c r="E753" s="140" t="str">
        <f t="shared" si="36"/>
        <v/>
      </c>
      <c r="F753" s="157"/>
      <c r="G753" s="145">
        <f t="shared" si="37"/>
        <v>0</v>
      </c>
      <c r="H753" s="140" t="str">
        <f t="shared" si="38"/>
        <v/>
      </c>
      <c r="J753" s="147" t="str">
        <f>IFERROR(SUMIFS(当年实际!$V:$V,当年实际!$J:$J,$C753,当年实际!$C:$C,"&gt;="&amp;DATE(YEAR(主页!$D$2),1,1),当年实际!$C:$C,"&lt;="&amp;EOMONTH(DATE(YEAR(主页!$D$2),MONTH(主页!$D$2),1),0))/SUMIFS(当年实际!$P:$P,当年实际!$J:$J,$C753,当年实际!$C:$C,"&gt;="&amp;DATE(YEAR(主页!$D$2),1,1),当年实际!$C:$C,"&lt;="&amp;EOMONTH(DATE(YEAR(主页!$D$2),MONTH(主页!$D$2),1),0)),"")</f>
        <v/>
      </c>
    </row>
    <row r="754" spans="1:10" x14ac:dyDescent="0.3">
      <c r="A754" s="129"/>
      <c r="B754" s="150"/>
      <c r="C754" s="150"/>
      <c r="D754" s="150"/>
      <c r="E754" s="140" t="str">
        <f t="shared" si="36"/>
        <v/>
      </c>
      <c r="F754" s="157"/>
      <c r="G754" s="145">
        <f t="shared" si="37"/>
        <v>0</v>
      </c>
      <c r="H754" s="140" t="str">
        <f t="shared" si="38"/>
        <v/>
      </c>
      <c r="J754" s="147" t="str">
        <f>IFERROR(SUMIFS(当年实际!$V:$V,当年实际!$J:$J,$C754,当年实际!$C:$C,"&gt;="&amp;DATE(YEAR(主页!$D$2),1,1),当年实际!$C:$C,"&lt;="&amp;EOMONTH(DATE(YEAR(主页!$D$2),MONTH(主页!$D$2),1),0))/SUMIFS(当年实际!$P:$P,当年实际!$J:$J,$C754,当年实际!$C:$C,"&gt;="&amp;DATE(YEAR(主页!$D$2),1,1),当年实际!$C:$C,"&lt;="&amp;EOMONTH(DATE(YEAR(主页!$D$2),MONTH(主页!$D$2),1),0)),"")</f>
        <v/>
      </c>
    </row>
    <row r="755" spans="1:10" x14ac:dyDescent="0.3">
      <c r="A755" s="129"/>
      <c r="B755" s="150"/>
      <c r="C755" s="150"/>
      <c r="D755" s="150"/>
      <c r="E755" s="140" t="str">
        <f t="shared" si="36"/>
        <v/>
      </c>
      <c r="F755" s="157"/>
      <c r="G755" s="145">
        <f t="shared" si="37"/>
        <v>0</v>
      </c>
      <c r="H755" s="140" t="str">
        <f t="shared" si="38"/>
        <v/>
      </c>
      <c r="J755" s="147" t="str">
        <f>IFERROR(SUMIFS(当年实际!$V:$V,当年实际!$J:$J,$C755,当年实际!$C:$C,"&gt;="&amp;DATE(YEAR(主页!$D$2),1,1),当年实际!$C:$C,"&lt;="&amp;EOMONTH(DATE(YEAR(主页!$D$2),MONTH(主页!$D$2),1),0))/SUMIFS(当年实际!$P:$P,当年实际!$J:$J,$C755,当年实际!$C:$C,"&gt;="&amp;DATE(YEAR(主页!$D$2),1,1),当年实际!$C:$C,"&lt;="&amp;EOMONTH(DATE(YEAR(主页!$D$2),MONTH(主页!$D$2),1),0)),"")</f>
        <v/>
      </c>
    </row>
    <row r="756" spans="1:10" x14ac:dyDescent="0.3">
      <c r="A756" s="129"/>
      <c r="B756" s="150"/>
      <c r="C756" s="150"/>
      <c r="D756" s="150"/>
      <c r="E756" s="140" t="str">
        <f t="shared" si="36"/>
        <v/>
      </c>
      <c r="F756" s="157"/>
      <c r="G756" s="145">
        <f t="shared" si="37"/>
        <v>0</v>
      </c>
      <c r="H756" s="140" t="str">
        <f t="shared" si="38"/>
        <v/>
      </c>
      <c r="J756" s="147" t="str">
        <f>IFERROR(SUMIFS(当年实际!$V:$V,当年实际!$J:$J,$C756,当年实际!$C:$C,"&gt;="&amp;DATE(YEAR(主页!$D$2),1,1),当年实际!$C:$C,"&lt;="&amp;EOMONTH(DATE(YEAR(主页!$D$2),MONTH(主页!$D$2),1),0))/SUMIFS(当年实际!$P:$P,当年实际!$J:$J,$C756,当年实际!$C:$C,"&gt;="&amp;DATE(YEAR(主页!$D$2),1,1),当年实际!$C:$C,"&lt;="&amp;EOMONTH(DATE(YEAR(主页!$D$2),MONTH(主页!$D$2),1),0)),"")</f>
        <v/>
      </c>
    </row>
    <row r="757" spans="1:10" x14ac:dyDescent="0.3">
      <c r="A757" s="129"/>
      <c r="B757" s="150"/>
      <c r="C757" s="150"/>
      <c r="D757" s="150"/>
      <c r="E757" s="140" t="str">
        <f t="shared" si="36"/>
        <v/>
      </c>
      <c r="F757" s="157"/>
      <c r="G757" s="145">
        <f t="shared" si="37"/>
        <v>0</v>
      </c>
      <c r="H757" s="140" t="str">
        <f t="shared" si="38"/>
        <v/>
      </c>
      <c r="J757" s="147" t="str">
        <f>IFERROR(SUMIFS(当年实际!$V:$V,当年实际!$J:$J,$C757,当年实际!$C:$C,"&gt;="&amp;DATE(YEAR(主页!$D$2),1,1),当年实际!$C:$C,"&lt;="&amp;EOMONTH(DATE(YEAR(主页!$D$2),MONTH(主页!$D$2),1),0))/SUMIFS(当年实际!$P:$P,当年实际!$J:$J,$C757,当年实际!$C:$C,"&gt;="&amp;DATE(YEAR(主页!$D$2),1,1),当年实际!$C:$C,"&lt;="&amp;EOMONTH(DATE(YEAR(主页!$D$2),MONTH(主页!$D$2),1),0)),"")</f>
        <v/>
      </c>
    </row>
    <row r="758" spans="1:10" x14ac:dyDescent="0.3">
      <c r="A758" s="129"/>
      <c r="B758" s="150"/>
      <c r="C758" s="150"/>
      <c r="D758" s="150"/>
      <c r="E758" s="140" t="str">
        <f t="shared" si="36"/>
        <v/>
      </c>
      <c r="F758" s="157"/>
      <c r="G758" s="145">
        <f t="shared" si="37"/>
        <v>0</v>
      </c>
      <c r="H758" s="140" t="str">
        <f t="shared" si="38"/>
        <v/>
      </c>
      <c r="J758" s="147" t="str">
        <f>IFERROR(SUMIFS(当年实际!$V:$V,当年实际!$J:$J,$C758,当年实际!$C:$C,"&gt;="&amp;DATE(YEAR(主页!$D$2),1,1),当年实际!$C:$C,"&lt;="&amp;EOMONTH(DATE(YEAR(主页!$D$2),MONTH(主页!$D$2),1),0))/SUMIFS(当年实际!$P:$P,当年实际!$J:$J,$C758,当年实际!$C:$C,"&gt;="&amp;DATE(YEAR(主页!$D$2),1,1),当年实际!$C:$C,"&lt;="&amp;EOMONTH(DATE(YEAR(主页!$D$2),MONTH(主页!$D$2),1),0)),"")</f>
        <v/>
      </c>
    </row>
    <row r="759" spans="1:10" x14ac:dyDescent="0.3">
      <c r="A759" s="129"/>
      <c r="B759" s="150"/>
      <c r="C759" s="150"/>
      <c r="D759" s="150"/>
      <c r="E759" s="140" t="str">
        <f t="shared" si="36"/>
        <v/>
      </c>
      <c r="F759" s="157"/>
      <c r="G759" s="145">
        <f t="shared" si="37"/>
        <v>0</v>
      </c>
      <c r="H759" s="140" t="str">
        <f t="shared" si="38"/>
        <v/>
      </c>
      <c r="J759" s="147" t="str">
        <f>IFERROR(SUMIFS(当年实际!$V:$V,当年实际!$J:$J,$C759,当年实际!$C:$C,"&gt;="&amp;DATE(YEAR(主页!$D$2),1,1),当年实际!$C:$C,"&lt;="&amp;EOMONTH(DATE(YEAR(主页!$D$2),MONTH(主页!$D$2),1),0))/SUMIFS(当年实际!$P:$P,当年实际!$J:$J,$C759,当年实际!$C:$C,"&gt;="&amp;DATE(YEAR(主页!$D$2),1,1),当年实际!$C:$C,"&lt;="&amp;EOMONTH(DATE(YEAR(主页!$D$2),MONTH(主页!$D$2),1),0)),"")</f>
        <v/>
      </c>
    </row>
    <row r="760" spans="1:10" x14ac:dyDescent="0.3">
      <c r="A760" s="129"/>
      <c r="B760" s="150"/>
      <c r="C760" s="150"/>
      <c r="D760" s="150"/>
      <c r="E760" s="140" t="str">
        <f t="shared" si="36"/>
        <v/>
      </c>
      <c r="F760" s="157"/>
      <c r="G760" s="145">
        <f t="shared" si="37"/>
        <v>0</v>
      </c>
      <c r="H760" s="140" t="str">
        <f t="shared" si="38"/>
        <v/>
      </c>
      <c r="J760" s="147" t="str">
        <f>IFERROR(SUMIFS(当年实际!$V:$V,当年实际!$J:$J,$C760,当年实际!$C:$C,"&gt;="&amp;DATE(YEAR(主页!$D$2),1,1),当年实际!$C:$C,"&lt;="&amp;EOMONTH(DATE(YEAR(主页!$D$2),MONTH(主页!$D$2),1),0))/SUMIFS(当年实际!$P:$P,当年实际!$J:$J,$C760,当年实际!$C:$C,"&gt;="&amp;DATE(YEAR(主页!$D$2),1,1),当年实际!$C:$C,"&lt;="&amp;EOMONTH(DATE(YEAR(主页!$D$2),MONTH(主页!$D$2),1),0)),"")</f>
        <v/>
      </c>
    </row>
    <row r="761" spans="1:10" x14ac:dyDescent="0.3">
      <c r="A761" s="129"/>
      <c r="B761" s="150"/>
      <c r="C761" s="150"/>
      <c r="D761" s="150"/>
      <c r="E761" s="140" t="str">
        <f t="shared" si="36"/>
        <v/>
      </c>
      <c r="F761" s="157"/>
      <c r="G761" s="145">
        <f t="shared" si="37"/>
        <v>0</v>
      </c>
      <c r="H761" s="140" t="str">
        <f t="shared" si="38"/>
        <v/>
      </c>
      <c r="J761" s="147" t="str">
        <f>IFERROR(SUMIFS(当年实际!$V:$V,当年实际!$J:$J,$C761,当年实际!$C:$C,"&gt;="&amp;DATE(YEAR(主页!$D$2),1,1),当年实际!$C:$C,"&lt;="&amp;EOMONTH(DATE(YEAR(主页!$D$2),MONTH(主页!$D$2),1),0))/SUMIFS(当年实际!$P:$P,当年实际!$J:$J,$C761,当年实际!$C:$C,"&gt;="&amp;DATE(YEAR(主页!$D$2),1,1),当年实际!$C:$C,"&lt;="&amp;EOMONTH(DATE(YEAR(主页!$D$2),MONTH(主页!$D$2),1),0)),"")</f>
        <v/>
      </c>
    </row>
    <row r="762" spans="1:10" x14ac:dyDescent="0.3">
      <c r="A762" s="129"/>
      <c r="B762" s="150"/>
      <c r="C762" s="150"/>
      <c r="D762" s="150"/>
      <c r="E762" s="140" t="str">
        <f t="shared" si="36"/>
        <v/>
      </c>
      <c r="F762" s="157"/>
      <c r="G762" s="145">
        <f t="shared" si="37"/>
        <v>0</v>
      </c>
      <c r="H762" s="140" t="str">
        <f t="shared" si="38"/>
        <v/>
      </c>
      <c r="J762" s="147" t="str">
        <f>IFERROR(SUMIFS(当年实际!$V:$V,当年实际!$J:$J,$C762,当年实际!$C:$C,"&gt;="&amp;DATE(YEAR(主页!$D$2),1,1),当年实际!$C:$C,"&lt;="&amp;EOMONTH(DATE(YEAR(主页!$D$2),MONTH(主页!$D$2),1),0))/SUMIFS(当年实际!$P:$P,当年实际!$J:$J,$C762,当年实际!$C:$C,"&gt;="&amp;DATE(YEAR(主页!$D$2),1,1),当年实际!$C:$C,"&lt;="&amp;EOMONTH(DATE(YEAR(主页!$D$2),MONTH(主页!$D$2),1),0)),"")</f>
        <v/>
      </c>
    </row>
    <row r="763" spans="1:10" x14ac:dyDescent="0.3">
      <c r="A763" s="129"/>
      <c r="B763" s="150"/>
      <c r="C763" s="150"/>
      <c r="D763" s="150"/>
      <c r="E763" s="140" t="str">
        <f t="shared" si="36"/>
        <v/>
      </c>
      <c r="F763" s="157"/>
      <c r="G763" s="145">
        <f t="shared" si="37"/>
        <v>0</v>
      </c>
      <c r="H763" s="140" t="str">
        <f t="shared" si="38"/>
        <v/>
      </c>
      <c r="J763" s="147" t="str">
        <f>IFERROR(SUMIFS(当年实际!$V:$V,当年实际!$J:$J,$C763,当年实际!$C:$C,"&gt;="&amp;DATE(YEAR(主页!$D$2),1,1),当年实际!$C:$C,"&lt;="&amp;EOMONTH(DATE(YEAR(主页!$D$2),MONTH(主页!$D$2),1),0))/SUMIFS(当年实际!$P:$P,当年实际!$J:$J,$C763,当年实际!$C:$C,"&gt;="&amp;DATE(YEAR(主页!$D$2),1,1),当年实际!$C:$C,"&lt;="&amp;EOMONTH(DATE(YEAR(主页!$D$2),MONTH(主页!$D$2),1),0)),"")</f>
        <v/>
      </c>
    </row>
    <row r="764" spans="1:10" x14ac:dyDescent="0.3">
      <c r="A764" s="129"/>
      <c r="B764" s="150"/>
      <c r="C764" s="150"/>
      <c r="D764" s="150"/>
      <c r="E764" s="140" t="str">
        <f t="shared" si="36"/>
        <v/>
      </c>
      <c r="F764" s="157"/>
      <c r="G764" s="145">
        <f t="shared" si="37"/>
        <v>0</v>
      </c>
      <c r="H764" s="140" t="str">
        <f t="shared" si="38"/>
        <v/>
      </c>
      <c r="J764" s="147" t="str">
        <f>IFERROR(SUMIFS(当年实际!$V:$V,当年实际!$J:$J,$C764,当年实际!$C:$C,"&gt;="&amp;DATE(YEAR(主页!$D$2),1,1),当年实际!$C:$C,"&lt;="&amp;EOMONTH(DATE(YEAR(主页!$D$2),MONTH(主页!$D$2),1),0))/SUMIFS(当年实际!$P:$P,当年实际!$J:$J,$C764,当年实际!$C:$C,"&gt;="&amp;DATE(YEAR(主页!$D$2),1,1),当年实际!$C:$C,"&lt;="&amp;EOMONTH(DATE(YEAR(主页!$D$2),MONTH(主页!$D$2),1),0)),"")</f>
        <v/>
      </c>
    </row>
    <row r="765" spans="1:10" x14ac:dyDescent="0.3">
      <c r="A765" s="129"/>
      <c r="B765" s="150"/>
      <c r="C765" s="150"/>
      <c r="D765" s="150"/>
      <c r="E765" s="140" t="str">
        <f t="shared" si="36"/>
        <v/>
      </c>
      <c r="F765" s="157"/>
      <c r="G765" s="145">
        <f t="shared" si="37"/>
        <v>0</v>
      </c>
      <c r="H765" s="140" t="str">
        <f t="shared" si="38"/>
        <v/>
      </c>
      <c r="J765" s="147" t="str">
        <f>IFERROR(SUMIFS(当年实际!$V:$V,当年实际!$J:$J,$C765,当年实际!$C:$C,"&gt;="&amp;DATE(YEAR(主页!$D$2),1,1),当年实际!$C:$C,"&lt;="&amp;EOMONTH(DATE(YEAR(主页!$D$2),MONTH(主页!$D$2),1),0))/SUMIFS(当年实际!$P:$P,当年实际!$J:$J,$C765,当年实际!$C:$C,"&gt;="&amp;DATE(YEAR(主页!$D$2),1,1),当年实际!$C:$C,"&lt;="&amp;EOMONTH(DATE(YEAR(主页!$D$2),MONTH(主页!$D$2),1),0)),"")</f>
        <v/>
      </c>
    </row>
    <row r="766" spans="1:10" x14ac:dyDescent="0.3">
      <c r="A766" s="129"/>
      <c r="B766" s="150"/>
      <c r="C766" s="150"/>
      <c r="D766" s="150"/>
      <c r="E766" s="140" t="str">
        <f t="shared" si="36"/>
        <v/>
      </c>
      <c r="F766" s="157"/>
      <c r="G766" s="145">
        <f t="shared" si="37"/>
        <v>0</v>
      </c>
      <c r="H766" s="140" t="str">
        <f t="shared" si="38"/>
        <v/>
      </c>
      <c r="J766" s="147" t="str">
        <f>IFERROR(SUMIFS(当年实际!$V:$V,当年实际!$J:$J,$C766,当年实际!$C:$C,"&gt;="&amp;DATE(YEAR(主页!$D$2),1,1),当年实际!$C:$C,"&lt;="&amp;EOMONTH(DATE(YEAR(主页!$D$2),MONTH(主页!$D$2),1),0))/SUMIFS(当年实际!$P:$P,当年实际!$J:$J,$C766,当年实际!$C:$C,"&gt;="&amp;DATE(YEAR(主页!$D$2),1,1),当年实际!$C:$C,"&lt;="&amp;EOMONTH(DATE(YEAR(主页!$D$2),MONTH(主页!$D$2),1),0)),"")</f>
        <v/>
      </c>
    </row>
    <row r="767" spans="1:10" x14ac:dyDescent="0.3">
      <c r="A767" s="129"/>
      <c r="B767" s="150"/>
      <c r="C767" s="150"/>
      <c r="D767" s="150"/>
      <c r="E767" s="140" t="str">
        <f t="shared" si="36"/>
        <v/>
      </c>
      <c r="F767" s="157"/>
      <c r="G767" s="145">
        <f t="shared" si="37"/>
        <v>0</v>
      </c>
      <c r="H767" s="140" t="str">
        <f t="shared" si="38"/>
        <v/>
      </c>
      <c r="J767" s="147" t="str">
        <f>IFERROR(SUMIFS(当年实际!$V:$V,当年实际!$J:$J,$C767,当年实际!$C:$C,"&gt;="&amp;DATE(YEAR(主页!$D$2),1,1),当年实际!$C:$C,"&lt;="&amp;EOMONTH(DATE(YEAR(主页!$D$2),MONTH(主页!$D$2),1),0))/SUMIFS(当年实际!$P:$P,当年实际!$J:$J,$C767,当年实际!$C:$C,"&gt;="&amp;DATE(YEAR(主页!$D$2),1,1),当年实际!$C:$C,"&lt;="&amp;EOMONTH(DATE(YEAR(主页!$D$2),MONTH(主页!$D$2),1),0)),"")</f>
        <v/>
      </c>
    </row>
    <row r="768" spans="1:10" x14ac:dyDescent="0.3">
      <c r="A768" s="129"/>
      <c r="B768" s="150"/>
      <c r="C768" s="150"/>
      <c r="D768" s="150"/>
      <c r="E768" s="140" t="str">
        <f t="shared" si="36"/>
        <v/>
      </c>
      <c r="F768" s="157"/>
      <c r="G768" s="145">
        <f t="shared" si="37"/>
        <v>0</v>
      </c>
      <c r="H768" s="140" t="str">
        <f t="shared" si="38"/>
        <v/>
      </c>
      <c r="J768" s="147" t="str">
        <f>IFERROR(SUMIFS(当年实际!$V:$V,当年实际!$J:$J,$C768,当年实际!$C:$C,"&gt;="&amp;DATE(YEAR(主页!$D$2),1,1),当年实际!$C:$C,"&lt;="&amp;EOMONTH(DATE(YEAR(主页!$D$2),MONTH(主页!$D$2),1),0))/SUMIFS(当年实际!$P:$P,当年实际!$J:$J,$C768,当年实际!$C:$C,"&gt;="&amp;DATE(YEAR(主页!$D$2),1,1),当年实际!$C:$C,"&lt;="&amp;EOMONTH(DATE(YEAR(主页!$D$2),MONTH(主页!$D$2),1),0)),"")</f>
        <v/>
      </c>
    </row>
    <row r="769" spans="1:10" x14ac:dyDescent="0.3">
      <c r="A769" s="129"/>
      <c r="B769" s="150"/>
      <c r="C769" s="150"/>
      <c r="D769" s="150"/>
      <c r="E769" s="140" t="str">
        <f t="shared" si="36"/>
        <v/>
      </c>
      <c r="F769" s="157"/>
      <c r="G769" s="145">
        <f t="shared" si="37"/>
        <v>0</v>
      </c>
      <c r="H769" s="140" t="str">
        <f t="shared" si="38"/>
        <v/>
      </c>
      <c r="J769" s="147" t="str">
        <f>IFERROR(SUMIFS(当年实际!$V:$V,当年实际!$J:$J,$C769,当年实际!$C:$C,"&gt;="&amp;DATE(YEAR(主页!$D$2),1,1),当年实际!$C:$C,"&lt;="&amp;EOMONTH(DATE(YEAR(主页!$D$2),MONTH(主页!$D$2),1),0))/SUMIFS(当年实际!$P:$P,当年实际!$J:$J,$C769,当年实际!$C:$C,"&gt;="&amp;DATE(YEAR(主页!$D$2),1,1),当年实际!$C:$C,"&lt;="&amp;EOMONTH(DATE(YEAR(主页!$D$2),MONTH(主页!$D$2),1),0)),"")</f>
        <v/>
      </c>
    </row>
    <row r="770" spans="1:10" x14ac:dyDescent="0.3">
      <c r="A770" s="129"/>
      <c r="B770" s="150"/>
      <c r="C770" s="150"/>
      <c r="D770" s="150"/>
      <c r="E770" s="140" t="str">
        <f t="shared" si="36"/>
        <v/>
      </c>
      <c r="F770" s="157"/>
      <c r="G770" s="145">
        <f t="shared" si="37"/>
        <v>0</v>
      </c>
      <c r="H770" s="140" t="str">
        <f t="shared" si="38"/>
        <v/>
      </c>
      <c r="J770" s="147" t="str">
        <f>IFERROR(SUMIFS(当年实际!$V:$V,当年实际!$J:$J,$C770,当年实际!$C:$C,"&gt;="&amp;DATE(YEAR(主页!$D$2),1,1),当年实际!$C:$C,"&lt;="&amp;EOMONTH(DATE(YEAR(主页!$D$2),MONTH(主页!$D$2),1),0))/SUMIFS(当年实际!$P:$P,当年实际!$J:$J,$C770,当年实际!$C:$C,"&gt;="&amp;DATE(YEAR(主页!$D$2),1,1),当年实际!$C:$C,"&lt;="&amp;EOMONTH(DATE(YEAR(主页!$D$2),MONTH(主页!$D$2),1),0)),"")</f>
        <v/>
      </c>
    </row>
    <row r="771" spans="1:10" x14ac:dyDescent="0.3">
      <c r="A771" s="129"/>
      <c r="B771" s="150"/>
      <c r="C771" s="150"/>
      <c r="D771" s="150"/>
      <c r="E771" s="140" t="str">
        <f t="shared" si="36"/>
        <v/>
      </c>
      <c r="F771" s="157"/>
      <c r="G771" s="145">
        <f t="shared" si="37"/>
        <v>0</v>
      </c>
      <c r="H771" s="140" t="str">
        <f t="shared" si="38"/>
        <v/>
      </c>
      <c r="J771" s="147" t="str">
        <f>IFERROR(SUMIFS(当年实际!$V:$V,当年实际!$J:$J,$C771,当年实际!$C:$C,"&gt;="&amp;DATE(YEAR(主页!$D$2),1,1),当年实际!$C:$C,"&lt;="&amp;EOMONTH(DATE(YEAR(主页!$D$2),MONTH(主页!$D$2),1),0))/SUMIFS(当年实际!$P:$P,当年实际!$J:$J,$C771,当年实际!$C:$C,"&gt;="&amp;DATE(YEAR(主页!$D$2),1,1),当年实际!$C:$C,"&lt;="&amp;EOMONTH(DATE(YEAR(主页!$D$2),MONTH(主页!$D$2),1),0)),"")</f>
        <v/>
      </c>
    </row>
    <row r="772" spans="1:10" x14ac:dyDescent="0.3">
      <c r="A772" s="129"/>
      <c r="B772" s="150"/>
      <c r="C772" s="150"/>
      <c r="D772" s="150"/>
      <c r="E772" s="140" t="str">
        <f t="shared" ref="E772:E835" si="39">IF(D772/SUM(D:D)=0,"",D772/SUM(D:D))</f>
        <v/>
      </c>
      <c r="F772" s="157"/>
      <c r="G772" s="145">
        <f t="shared" si="37"/>
        <v>0</v>
      </c>
      <c r="H772" s="140" t="str">
        <f t="shared" si="38"/>
        <v/>
      </c>
      <c r="J772" s="147" t="str">
        <f>IFERROR(SUMIFS(当年实际!$V:$V,当年实际!$J:$J,$C772,当年实际!$C:$C,"&gt;="&amp;DATE(YEAR(主页!$D$2),1,1),当年实际!$C:$C,"&lt;="&amp;EOMONTH(DATE(YEAR(主页!$D$2),MONTH(主页!$D$2),1),0))/SUMIFS(当年实际!$P:$P,当年实际!$J:$J,$C772,当年实际!$C:$C,"&gt;="&amp;DATE(YEAR(主页!$D$2),1,1),当年实际!$C:$C,"&lt;="&amp;EOMONTH(DATE(YEAR(主页!$D$2),MONTH(主页!$D$2),1),0)),"")</f>
        <v/>
      </c>
    </row>
    <row r="773" spans="1:10" x14ac:dyDescent="0.3">
      <c r="A773" s="129"/>
      <c r="B773" s="150"/>
      <c r="C773" s="150"/>
      <c r="D773" s="150"/>
      <c r="E773" s="140" t="str">
        <f t="shared" si="39"/>
        <v/>
      </c>
      <c r="F773" s="157"/>
      <c r="G773" s="145">
        <f t="shared" si="37"/>
        <v>0</v>
      </c>
      <c r="H773" s="140" t="str">
        <f t="shared" si="38"/>
        <v/>
      </c>
      <c r="J773" s="147" t="str">
        <f>IFERROR(SUMIFS(当年实际!$V:$V,当年实际!$J:$J,$C773,当年实际!$C:$C,"&gt;="&amp;DATE(YEAR(主页!$D$2),1,1),当年实际!$C:$C,"&lt;="&amp;EOMONTH(DATE(YEAR(主页!$D$2),MONTH(主页!$D$2),1),0))/SUMIFS(当年实际!$P:$P,当年实际!$J:$J,$C773,当年实际!$C:$C,"&gt;="&amp;DATE(YEAR(主页!$D$2),1,1),当年实际!$C:$C,"&lt;="&amp;EOMONTH(DATE(YEAR(主页!$D$2),MONTH(主页!$D$2),1),0)),"")</f>
        <v/>
      </c>
    </row>
    <row r="774" spans="1:10" x14ac:dyDescent="0.3">
      <c r="A774" s="129"/>
      <c r="B774" s="150"/>
      <c r="C774" s="150"/>
      <c r="D774" s="150"/>
      <c r="E774" s="140" t="str">
        <f t="shared" si="39"/>
        <v/>
      </c>
      <c r="F774" s="157"/>
      <c r="G774" s="145">
        <f t="shared" si="37"/>
        <v>0</v>
      </c>
      <c r="H774" s="140" t="str">
        <f t="shared" si="38"/>
        <v/>
      </c>
      <c r="J774" s="147" t="str">
        <f>IFERROR(SUMIFS(当年实际!$V:$V,当年实际!$J:$J,$C774,当年实际!$C:$C,"&gt;="&amp;DATE(YEAR(主页!$D$2),1,1),当年实际!$C:$C,"&lt;="&amp;EOMONTH(DATE(YEAR(主页!$D$2),MONTH(主页!$D$2),1),0))/SUMIFS(当年实际!$P:$P,当年实际!$J:$J,$C774,当年实际!$C:$C,"&gt;="&amp;DATE(YEAR(主页!$D$2),1,1),当年实际!$C:$C,"&lt;="&amp;EOMONTH(DATE(YEAR(主页!$D$2),MONTH(主页!$D$2),1),0)),"")</f>
        <v/>
      </c>
    </row>
    <row r="775" spans="1:10" x14ac:dyDescent="0.3">
      <c r="A775" s="129"/>
      <c r="B775" s="150"/>
      <c r="C775" s="150"/>
      <c r="D775" s="150"/>
      <c r="E775" s="140" t="str">
        <f t="shared" si="39"/>
        <v/>
      </c>
      <c r="F775" s="157"/>
      <c r="G775" s="145">
        <f t="shared" si="37"/>
        <v>0</v>
      </c>
      <c r="H775" s="140" t="str">
        <f t="shared" si="38"/>
        <v/>
      </c>
      <c r="J775" s="147" t="str">
        <f>IFERROR(SUMIFS(当年实际!$V:$V,当年实际!$J:$J,$C775,当年实际!$C:$C,"&gt;="&amp;DATE(YEAR(主页!$D$2),1,1),当年实际!$C:$C,"&lt;="&amp;EOMONTH(DATE(YEAR(主页!$D$2),MONTH(主页!$D$2),1),0))/SUMIFS(当年实际!$P:$P,当年实际!$J:$J,$C775,当年实际!$C:$C,"&gt;="&amp;DATE(YEAR(主页!$D$2),1,1),当年实际!$C:$C,"&lt;="&amp;EOMONTH(DATE(YEAR(主页!$D$2),MONTH(主页!$D$2),1),0)),"")</f>
        <v/>
      </c>
    </row>
    <row r="776" spans="1:10" x14ac:dyDescent="0.3">
      <c r="A776" s="129"/>
      <c r="B776" s="150"/>
      <c r="C776" s="150"/>
      <c r="D776" s="150"/>
      <c r="E776" s="140" t="str">
        <f t="shared" si="39"/>
        <v/>
      </c>
      <c r="F776" s="157"/>
      <c r="G776" s="145">
        <f t="shared" si="37"/>
        <v>0</v>
      </c>
      <c r="H776" s="140" t="str">
        <f t="shared" si="38"/>
        <v/>
      </c>
      <c r="J776" s="147" t="str">
        <f>IFERROR(SUMIFS(当年实际!$V:$V,当年实际!$J:$J,$C776,当年实际!$C:$C,"&gt;="&amp;DATE(YEAR(主页!$D$2),1,1),当年实际!$C:$C,"&lt;="&amp;EOMONTH(DATE(YEAR(主页!$D$2),MONTH(主页!$D$2),1),0))/SUMIFS(当年实际!$P:$P,当年实际!$J:$J,$C776,当年实际!$C:$C,"&gt;="&amp;DATE(YEAR(主页!$D$2),1,1),当年实际!$C:$C,"&lt;="&amp;EOMONTH(DATE(YEAR(主页!$D$2),MONTH(主页!$D$2),1),0)),"")</f>
        <v/>
      </c>
    </row>
    <row r="777" spans="1:10" x14ac:dyDescent="0.3">
      <c r="A777" s="129"/>
      <c r="B777" s="150"/>
      <c r="C777" s="150"/>
      <c r="D777" s="150"/>
      <c r="E777" s="140" t="str">
        <f t="shared" si="39"/>
        <v/>
      </c>
      <c r="F777" s="157"/>
      <c r="G777" s="145">
        <f t="shared" si="37"/>
        <v>0</v>
      </c>
      <c r="H777" s="140" t="str">
        <f t="shared" si="38"/>
        <v/>
      </c>
      <c r="J777" s="147" t="str">
        <f>IFERROR(SUMIFS(当年实际!$V:$V,当年实际!$J:$J,$C777,当年实际!$C:$C,"&gt;="&amp;DATE(YEAR(主页!$D$2),1,1),当年实际!$C:$C,"&lt;="&amp;EOMONTH(DATE(YEAR(主页!$D$2),MONTH(主页!$D$2),1),0))/SUMIFS(当年实际!$P:$P,当年实际!$J:$J,$C777,当年实际!$C:$C,"&gt;="&amp;DATE(YEAR(主页!$D$2),1,1),当年实际!$C:$C,"&lt;="&amp;EOMONTH(DATE(YEAR(主页!$D$2),MONTH(主页!$D$2),1),0)),"")</f>
        <v/>
      </c>
    </row>
    <row r="778" spans="1:10" x14ac:dyDescent="0.3">
      <c r="A778" s="129"/>
      <c r="B778" s="150"/>
      <c r="C778" s="150"/>
      <c r="D778" s="150"/>
      <c r="E778" s="140" t="str">
        <f t="shared" si="39"/>
        <v/>
      </c>
      <c r="F778" s="157"/>
      <c r="G778" s="145">
        <f t="shared" si="37"/>
        <v>0</v>
      </c>
      <c r="H778" s="140" t="str">
        <f t="shared" si="38"/>
        <v/>
      </c>
      <c r="J778" s="147" t="str">
        <f>IFERROR(SUMIFS(当年实际!$V:$V,当年实际!$J:$J,$C778,当年实际!$C:$C,"&gt;="&amp;DATE(YEAR(主页!$D$2),1,1),当年实际!$C:$C,"&lt;="&amp;EOMONTH(DATE(YEAR(主页!$D$2),MONTH(主页!$D$2),1),0))/SUMIFS(当年实际!$P:$P,当年实际!$J:$J,$C778,当年实际!$C:$C,"&gt;="&amp;DATE(YEAR(主页!$D$2),1,1),当年实际!$C:$C,"&lt;="&amp;EOMONTH(DATE(YEAR(主页!$D$2),MONTH(主页!$D$2),1),0)),"")</f>
        <v/>
      </c>
    </row>
    <row r="779" spans="1:10" x14ac:dyDescent="0.3">
      <c r="A779" s="129"/>
      <c r="B779" s="150"/>
      <c r="C779" s="150"/>
      <c r="D779" s="150"/>
      <c r="E779" s="140" t="str">
        <f t="shared" si="39"/>
        <v/>
      </c>
      <c r="F779" s="157"/>
      <c r="G779" s="145">
        <f t="shared" si="37"/>
        <v>0</v>
      </c>
      <c r="H779" s="140" t="str">
        <f t="shared" si="38"/>
        <v/>
      </c>
      <c r="J779" s="147" t="str">
        <f>IFERROR(SUMIFS(当年实际!$V:$V,当年实际!$J:$J,$C779,当年实际!$C:$C,"&gt;="&amp;DATE(YEAR(主页!$D$2),1,1),当年实际!$C:$C,"&lt;="&amp;EOMONTH(DATE(YEAR(主页!$D$2),MONTH(主页!$D$2),1),0))/SUMIFS(当年实际!$P:$P,当年实际!$J:$J,$C779,当年实际!$C:$C,"&gt;="&amp;DATE(YEAR(主页!$D$2),1,1),当年实际!$C:$C,"&lt;="&amp;EOMONTH(DATE(YEAR(主页!$D$2),MONTH(主页!$D$2),1),0)),"")</f>
        <v/>
      </c>
    </row>
    <row r="780" spans="1:10" x14ac:dyDescent="0.3">
      <c r="A780" s="129"/>
      <c r="B780" s="150"/>
      <c r="C780" s="150"/>
      <c r="D780" s="150"/>
      <c r="E780" s="140" t="str">
        <f t="shared" si="39"/>
        <v/>
      </c>
      <c r="F780" s="157"/>
      <c r="G780" s="145">
        <f t="shared" si="37"/>
        <v>0</v>
      </c>
      <c r="H780" s="140" t="str">
        <f t="shared" si="38"/>
        <v/>
      </c>
      <c r="J780" s="147" t="str">
        <f>IFERROR(SUMIFS(当年实际!$V:$V,当年实际!$J:$J,$C780,当年实际!$C:$C,"&gt;="&amp;DATE(YEAR(主页!$D$2),1,1),当年实际!$C:$C,"&lt;="&amp;EOMONTH(DATE(YEAR(主页!$D$2),MONTH(主页!$D$2),1),0))/SUMIFS(当年实际!$P:$P,当年实际!$J:$J,$C780,当年实际!$C:$C,"&gt;="&amp;DATE(YEAR(主页!$D$2),1,1),当年实际!$C:$C,"&lt;="&amp;EOMONTH(DATE(YEAR(主页!$D$2),MONTH(主页!$D$2),1),0)),"")</f>
        <v/>
      </c>
    </row>
    <row r="781" spans="1:10" x14ac:dyDescent="0.3">
      <c r="A781" s="129"/>
      <c r="B781" s="150"/>
      <c r="C781" s="150"/>
      <c r="D781" s="150"/>
      <c r="E781" s="140" t="str">
        <f t="shared" si="39"/>
        <v/>
      </c>
      <c r="F781" s="157"/>
      <c r="G781" s="145">
        <f t="shared" si="37"/>
        <v>0</v>
      </c>
      <c r="H781" s="140" t="str">
        <f t="shared" si="38"/>
        <v/>
      </c>
      <c r="J781" s="147" t="str">
        <f>IFERROR(SUMIFS(当年实际!$V:$V,当年实际!$J:$J,$C781,当年实际!$C:$C,"&gt;="&amp;DATE(YEAR(主页!$D$2),1,1),当年实际!$C:$C,"&lt;="&amp;EOMONTH(DATE(YEAR(主页!$D$2),MONTH(主页!$D$2),1),0))/SUMIFS(当年实际!$P:$P,当年实际!$J:$J,$C781,当年实际!$C:$C,"&gt;="&amp;DATE(YEAR(主页!$D$2),1,1),当年实际!$C:$C,"&lt;="&amp;EOMONTH(DATE(YEAR(主页!$D$2),MONTH(主页!$D$2),1),0)),"")</f>
        <v/>
      </c>
    </row>
    <row r="782" spans="1:10" x14ac:dyDescent="0.3">
      <c r="A782" s="129"/>
      <c r="B782" s="150"/>
      <c r="C782" s="150"/>
      <c r="D782" s="150"/>
      <c r="E782" s="140" t="str">
        <f t="shared" si="39"/>
        <v/>
      </c>
      <c r="F782" s="157"/>
      <c r="G782" s="145">
        <f t="shared" si="37"/>
        <v>0</v>
      </c>
      <c r="H782" s="140" t="str">
        <f t="shared" si="38"/>
        <v/>
      </c>
      <c r="J782" s="147" t="str">
        <f>IFERROR(SUMIFS(当年实际!$V:$V,当年实际!$J:$J,$C782,当年实际!$C:$C,"&gt;="&amp;DATE(YEAR(主页!$D$2),1,1),当年实际!$C:$C,"&lt;="&amp;EOMONTH(DATE(YEAR(主页!$D$2),MONTH(主页!$D$2),1),0))/SUMIFS(当年实际!$P:$P,当年实际!$J:$J,$C782,当年实际!$C:$C,"&gt;="&amp;DATE(YEAR(主页!$D$2),1,1),当年实际!$C:$C,"&lt;="&amp;EOMONTH(DATE(YEAR(主页!$D$2),MONTH(主页!$D$2),1),0)),"")</f>
        <v/>
      </c>
    </row>
    <row r="783" spans="1:10" x14ac:dyDescent="0.3">
      <c r="A783" s="129"/>
      <c r="B783" s="150"/>
      <c r="C783" s="150"/>
      <c r="D783" s="150"/>
      <c r="E783" s="140" t="str">
        <f t="shared" si="39"/>
        <v/>
      </c>
      <c r="F783" s="157"/>
      <c r="G783" s="145">
        <f t="shared" si="37"/>
        <v>0</v>
      </c>
      <c r="H783" s="140" t="str">
        <f t="shared" si="38"/>
        <v/>
      </c>
      <c r="J783" s="147" t="str">
        <f>IFERROR(SUMIFS(当年实际!$V:$V,当年实际!$J:$J,$C783,当年实际!$C:$C,"&gt;="&amp;DATE(YEAR(主页!$D$2),1,1),当年实际!$C:$C,"&lt;="&amp;EOMONTH(DATE(YEAR(主页!$D$2),MONTH(主页!$D$2),1),0))/SUMIFS(当年实际!$P:$P,当年实际!$J:$J,$C783,当年实际!$C:$C,"&gt;="&amp;DATE(YEAR(主页!$D$2),1,1),当年实际!$C:$C,"&lt;="&amp;EOMONTH(DATE(YEAR(主页!$D$2),MONTH(主页!$D$2),1),0)),"")</f>
        <v/>
      </c>
    </row>
    <row r="784" spans="1:10" x14ac:dyDescent="0.3">
      <c r="A784" s="129"/>
      <c r="B784" s="150"/>
      <c r="C784" s="150"/>
      <c r="D784" s="150"/>
      <c r="E784" s="140" t="str">
        <f t="shared" si="39"/>
        <v/>
      </c>
      <c r="F784" s="157"/>
      <c r="G784" s="145">
        <f t="shared" si="37"/>
        <v>0</v>
      </c>
      <c r="H784" s="140" t="str">
        <f t="shared" si="38"/>
        <v/>
      </c>
      <c r="J784" s="147" t="str">
        <f>IFERROR(SUMIFS(当年实际!$V:$V,当年实际!$J:$J,$C784,当年实际!$C:$C,"&gt;="&amp;DATE(YEAR(主页!$D$2),1,1),当年实际!$C:$C,"&lt;="&amp;EOMONTH(DATE(YEAR(主页!$D$2),MONTH(主页!$D$2),1),0))/SUMIFS(当年实际!$P:$P,当年实际!$J:$J,$C784,当年实际!$C:$C,"&gt;="&amp;DATE(YEAR(主页!$D$2),1,1),当年实际!$C:$C,"&lt;="&amp;EOMONTH(DATE(YEAR(主页!$D$2),MONTH(主页!$D$2),1),0)),"")</f>
        <v/>
      </c>
    </row>
    <row r="785" spans="1:10" x14ac:dyDescent="0.3">
      <c r="A785" s="129"/>
      <c r="B785" s="150"/>
      <c r="C785" s="150"/>
      <c r="D785" s="150"/>
      <c r="E785" s="140" t="str">
        <f t="shared" si="39"/>
        <v/>
      </c>
      <c r="F785" s="157"/>
      <c r="G785" s="145">
        <f t="shared" si="37"/>
        <v>0</v>
      </c>
      <c r="H785" s="140" t="str">
        <f t="shared" si="38"/>
        <v/>
      </c>
      <c r="J785" s="147" t="str">
        <f>IFERROR(SUMIFS(当年实际!$V:$V,当年实际!$J:$J,$C785,当年实际!$C:$C,"&gt;="&amp;DATE(YEAR(主页!$D$2),1,1),当年实际!$C:$C,"&lt;="&amp;EOMONTH(DATE(YEAR(主页!$D$2),MONTH(主页!$D$2),1),0))/SUMIFS(当年实际!$P:$P,当年实际!$J:$J,$C785,当年实际!$C:$C,"&gt;="&amp;DATE(YEAR(主页!$D$2),1,1),当年实际!$C:$C,"&lt;="&amp;EOMONTH(DATE(YEAR(主页!$D$2),MONTH(主页!$D$2),1),0)),"")</f>
        <v/>
      </c>
    </row>
    <row r="786" spans="1:10" x14ac:dyDescent="0.3">
      <c r="A786" s="129"/>
      <c r="B786" s="150"/>
      <c r="C786" s="150"/>
      <c r="D786" s="150"/>
      <c r="E786" s="140" t="str">
        <f t="shared" si="39"/>
        <v/>
      </c>
      <c r="F786" s="157"/>
      <c r="G786" s="145">
        <f t="shared" si="37"/>
        <v>0</v>
      </c>
      <c r="H786" s="140" t="str">
        <f t="shared" si="38"/>
        <v/>
      </c>
      <c r="J786" s="147" t="str">
        <f>IFERROR(SUMIFS(当年实际!$V:$V,当年实际!$J:$J,$C786,当年实际!$C:$C,"&gt;="&amp;DATE(YEAR(主页!$D$2),1,1),当年实际!$C:$C,"&lt;="&amp;EOMONTH(DATE(YEAR(主页!$D$2),MONTH(主页!$D$2),1),0))/SUMIFS(当年实际!$P:$P,当年实际!$J:$J,$C786,当年实际!$C:$C,"&gt;="&amp;DATE(YEAR(主页!$D$2),1,1),当年实际!$C:$C,"&lt;="&amp;EOMONTH(DATE(YEAR(主页!$D$2),MONTH(主页!$D$2),1),0)),"")</f>
        <v/>
      </c>
    </row>
    <row r="787" spans="1:10" x14ac:dyDescent="0.3">
      <c r="A787" s="129"/>
      <c r="B787" s="150"/>
      <c r="C787" s="150"/>
      <c r="D787" s="150"/>
      <c r="E787" s="140" t="str">
        <f t="shared" si="39"/>
        <v/>
      </c>
      <c r="F787" s="157"/>
      <c r="G787" s="145">
        <f t="shared" si="37"/>
        <v>0</v>
      </c>
      <c r="H787" s="140" t="str">
        <f t="shared" si="38"/>
        <v/>
      </c>
      <c r="J787" s="147" t="str">
        <f>IFERROR(SUMIFS(当年实际!$V:$V,当年实际!$J:$J,$C787,当年实际!$C:$C,"&gt;="&amp;DATE(YEAR(主页!$D$2),1,1),当年实际!$C:$C,"&lt;="&amp;EOMONTH(DATE(YEAR(主页!$D$2),MONTH(主页!$D$2),1),0))/SUMIFS(当年实际!$P:$P,当年实际!$J:$J,$C787,当年实际!$C:$C,"&gt;="&amp;DATE(YEAR(主页!$D$2),1,1),当年实际!$C:$C,"&lt;="&amp;EOMONTH(DATE(YEAR(主页!$D$2),MONTH(主页!$D$2),1),0)),"")</f>
        <v/>
      </c>
    </row>
    <row r="788" spans="1:10" x14ac:dyDescent="0.3">
      <c r="A788" s="129"/>
      <c r="B788" s="150"/>
      <c r="C788" s="150"/>
      <c r="D788" s="150"/>
      <c r="E788" s="140" t="str">
        <f t="shared" si="39"/>
        <v/>
      </c>
      <c r="F788" s="157"/>
      <c r="G788" s="145">
        <f t="shared" si="37"/>
        <v>0</v>
      </c>
      <c r="H788" s="140" t="str">
        <f t="shared" si="38"/>
        <v/>
      </c>
      <c r="J788" s="147" t="str">
        <f>IFERROR(SUMIFS(当年实际!$V:$V,当年实际!$J:$J,$C788,当年实际!$C:$C,"&gt;="&amp;DATE(YEAR(主页!$D$2),1,1),当年实际!$C:$C,"&lt;="&amp;EOMONTH(DATE(YEAR(主页!$D$2),MONTH(主页!$D$2),1),0))/SUMIFS(当年实际!$P:$P,当年实际!$J:$J,$C788,当年实际!$C:$C,"&gt;="&amp;DATE(YEAR(主页!$D$2),1,1),当年实际!$C:$C,"&lt;="&amp;EOMONTH(DATE(YEAR(主页!$D$2),MONTH(主页!$D$2),1),0)),"")</f>
        <v/>
      </c>
    </row>
    <row r="789" spans="1:10" x14ac:dyDescent="0.3">
      <c r="A789" s="129"/>
      <c r="B789" s="150"/>
      <c r="C789" s="150"/>
      <c r="D789" s="150"/>
      <c r="E789" s="140" t="str">
        <f t="shared" si="39"/>
        <v/>
      </c>
      <c r="F789" s="157"/>
      <c r="G789" s="145">
        <f t="shared" si="37"/>
        <v>0</v>
      </c>
      <c r="H789" s="140" t="str">
        <f t="shared" si="38"/>
        <v/>
      </c>
      <c r="J789" s="147" t="str">
        <f>IFERROR(SUMIFS(当年实际!$V:$V,当年实际!$J:$J,$C789,当年实际!$C:$C,"&gt;="&amp;DATE(YEAR(主页!$D$2),1,1),当年实际!$C:$C,"&lt;="&amp;EOMONTH(DATE(YEAR(主页!$D$2),MONTH(主页!$D$2),1),0))/SUMIFS(当年实际!$P:$P,当年实际!$J:$J,$C789,当年实际!$C:$C,"&gt;="&amp;DATE(YEAR(主页!$D$2),1,1),当年实际!$C:$C,"&lt;="&amp;EOMONTH(DATE(YEAR(主页!$D$2),MONTH(主页!$D$2),1),0)),"")</f>
        <v/>
      </c>
    </row>
    <row r="790" spans="1:10" x14ac:dyDescent="0.3">
      <c r="A790" s="129"/>
      <c r="B790" s="150"/>
      <c r="C790" s="150"/>
      <c r="D790" s="150"/>
      <c r="E790" s="140" t="str">
        <f t="shared" si="39"/>
        <v/>
      </c>
      <c r="F790" s="157"/>
      <c r="G790" s="145">
        <f t="shared" si="37"/>
        <v>0</v>
      </c>
      <c r="H790" s="140" t="str">
        <f t="shared" si="38"/>
        <v/>
      </c>
      <c r="J790" s="147" t="str">
        <f>IFERROR(SUMIFS(当年实际!$V:$V,当年实际!$J:$J,$C790,当年实际!$C:$C,"&gt;="&amp;DATE(YEAR(主页!$D$2),1,1),当年实际!$C:$C,"&lt;="&amp;EOMONTH(DATE(YEAR(主页!$D$2),MONTH(主页!$D$2),1),0))/SUMIFS(当年实际!$P:$P,当年实际!$J:$J,$C790,当年实际!$C:$C,"&gt;="&amp;DATE(YEAR(主页!$D$2),1,1),当年实际!$C:$C,"&lt;="&amp;EOMONTH(DATE(YEAR(主页!$D$2),MONTH(主页!$D$2),1),0)),"")</f>
        <v/>
      </c>
    </row>
    <row r="791" spans="1:10" x14ac:dyDescent="0.3">
      <c r="A791" s="129"/>
      <c r="B791" s="150"/>
      <c r="C791" s="150"/>
      <c r="D791" s="150"/>
      <c r="E791" s="140" t="str">
        <f t="shared" si="39"/>
        <v/>
      </c>
      <c r="F791" s="157"/>
      <c r="G791" s="145">
        <f t="shared" si="37"/>
        <v>0</v>
      </c>
      <c r="H791" s="140" t="str">
        <f t="shared" si="38"/>
        <v/>
      </c>
      <c r="J791" s="147" t="str">
        <f>IFERROR(SUMIFS(当年实际!$V:$V,当年实际!$J:$J,$C791,当年实际!$C:$C,"&gt;="&amp;DATE(YEAR(主页!$D$2),1,1),当年实际!$C:$C,"&lt;="&amp;EOMONTH(DATE(YEAR(主页!$D$2),MONTH(主页!$D$2),1),0))/SUMIFS(当年实际!$P:$P,当年实际!$J:$J,$C791,当年实际!$C:$C,"&gt;="&amp;DATE(YEAR(主页!$D$2),1,1),当年实际!$C:$C,"&lt;="&amp;EOMONTH(DATE(YEAR(主页!$D$2),MONTH(主页!$D$2),1),0)),"")</f>
        <v/>
      </c>
    </row>
    <row r="792" spans="1:10" x14ac:dyDescent="0.3">
      <c r="A792" s="129"/>
      <c r="B792" s="150"/>
      <c r="C792" s="150"/>
      <c r="D792" s="150"/>
      <c r="E792" s="140" t="str">
        <f t="shared" si="39"/>
        <v/>
      </c>
      <c r="F792" s="157"/>
      <c r="G792" s="145">
        <f t="shared" si="37"/>
        <v>0</v>
      </c>
      <c r="H792" s="140" t="str">
        <f t="shared" si="38"/>
        <v/>
      </c>
      <c r="J792" s="147" t="str">
        <f>IFERROR(SUMIFS(当年实际!$V:$V,当年实际!$J:$J,$C792,当年实际!$C:$C,"&gt;="&amp;DATE(YEAR(主页!$D$2),1,1),当年实际!$C:$C,"&lt;="&amp;EOMONTH(DATE(YEAR(主页!$D$2),MONTH(主页!$D$2),1),0))/SUMIFS(当年实际!$P:$P,当年实际!$J:$J,$C792,当年实际!$C:$C,"&gt;="&amp;DATE(YEAR(主页!$D$2),1,1),当年实际!$C:$C,"&lt;="&amp;EOMONTH(DATE(YEAR(主页!$D$2),MONTH(主页!$D$2),1),0)),"")</f>
        <v/>
      </c>
    </row>
    <row r="793" spans="1:10" x14ac:dyDescent="0.3">
      <c r="A793" s="129"/>
      <c r="B793" s="150"/>
      <c r="C793" s="150"/>
      <c r="D793" s="150"/>
      <c r="E793" s="140" t="str">
        <f t="shared" si="39"/>
        <v/>
      </c>
      <c r="F793" s="157"/>
      <c r="G793" s="145">
        <f t="shared" si="37"/>
        <v>0</v>
      </c>
      <c r="H793" s="140" t="str">
        <f t="shared" si="38"/>
        <v/>
      </c>
      <c r="J793" s="147" t="str">
        <f>IFERROR(SUMIFS(当年实际!$V:$V,当年实际!$J:$J,$C793,当年实际!$C:$C,"&gt;="&amp;DATE(YEAR(主页!$D$2),1,1),当年实际!$C:$C,"&lt;="&amp;EOMONTH(DATE(YEAR(主页!$D$2),MONTH(主页!$D$2),1),0))/SUMIFS(当年实际!$P:$P,当年实际!$J:$J,$C793,当年实际!$C:$C,"&gt;="&amp;DATE(YEAR(主页!$D$2),1,1),当年实际!$C:$C,"&lt;="&amp;EOMONTH(DATE(YEAR(主页!$D$2),MONTH(主页!$D$2),1),0)),"")</f>
        <v/>
      </c>
    </row>
    <row r="794" spans="1:10" x14ac:dyDescent="0.3">
      <c r="A794" s="129"/>
      <c r="B794" s="150"/>
      <c r="C794" s="150"/>
      <c r="D794" s="150"/>
      <c r="E794" s="140" t="str">
        <f t="shared" si="39"/>
        <v/>
      </c>
      <c r="F794" s="157"/>
      <c r="G794" s="145">
        <f t="shared" si="37"/>
        <v>0</v>
      </c>
      <c r="H794" s="140" t="str">
        <f t="shared" si="38"/>
        <v/>
      </c>
      <c r="J794" s="147" t="str">
        <f>IFERROR(SUMIFS(当年实际!$V:$V,当年实际!$J:$J,$C794,当年实际!$C:$C,"&gt;="&amp;DATE(YEAR(主页!$D$2),1,1),当年实际!$C:$C,"&lt;="&amp;EOMONTH(DATE(YEAR(主页!$D$2),MONTH(主页!$D$2),1),0))/SUMIFS(当年实际!$P:$P,当年实际!$J:$J,$C794,当年实际!$C:$C,"&gt;="&amp;DATE(YEAR(主页!$D$2),1,1),当年实际!$C:$C,"&lt;="&amp;EOMONTH(DATE(YEAR(主页!$D$2),MONTH(主页!$D$2),1),0)),"")</f>
        <v/>
      </c>
    </row>
    <row r="795" spans="1:10" x14ac:dyDescent="0.3">
      <c r="A795" s="129"/>
      <c r="B795" s="150"/>
      <c r="C795" s="150"/>
      <c r="D795" s="150"/>
      <c r="E795" s="140" t="str">
        <f t="shared" si="39"/>
        <v/>
      </c>
      <c r="F795" s="157"/>
      <c r="G795" s="145">
        <f t="shared" si="37"/>
        <v>0</v>
      </c>
      <c r="H795" s="140" t="str">
        <f t="shared" si="38"/>
        <v/>
      </c>
      <c r="J795" s="147" t="str">
        <f>IFERROR(SUMIFS(当年实际!$V:$V,当年实际!$J:$J,$C795,当年实际!$C:$C,"&gt;="&amp;DATE(YEAR(主页!$D$2),1,1),当年实际!$C:$C,"&lt;="&amp;EOMONTH(DATE(YEAR(主页!$D$2),MONTH(主页!$D$2),1),0))/SUMIFS(当年实际!$P:$P,当年实际!$J:$J,$C795,当年实际!$C:$C,"&gt;="&amp;DATE(YEAR(主页!$D$2),1,1),当年实际!$C:$C,"&lt;="&amp;EOMONTH(DATE(YEAR(主页!$D$2),MONTH(主页!$D$2),1),0)),"")</f>
        <v/>
      </c>
    </row>
    <row r="796" spans="1:10" x14ac:dyDescent="0.3">
      <c r="A796" s="129"/>
      <c r="B796" s="150"/>
      <c r="C796" s="150"/>
      <c r="D796" s="150"/>
      <c r="E796" s="140" t="str">
        <f t="shared" si="39"/>
        <v/>
      </c>
      <c r="F796" s="157"/>
      <c r="G796" s="145">
        <f t="shared" si="37"/>
        <v>0</v>
      </c>
      <c r="H796" s="140" t="str">
        <f t="shared" si="38"/>
        <v/>
      </c>
      <c r="J796" s="147" t="str">
        <f>IFERROR(SUMIFS(当年实际!$V:$V,当年实际!$J:$J,$C796,当年实际!$C:$C,"&gt;="&amp;DATE(YEAR(主页!$D$2),1,1),当年实际!$C:$C,"&lt;="&amp;EOMONTH(DATE(YEAR(主页!$D$2),MONTH(主页!$D$2),1),0))/SUMIFS(当年实际!$P:$P,当年实际!$J:$J,$C796,当年实际!$C:$C,"&gt;="&amp;DATE(YEAR(主页!$D$2),1,1),当年实际!$C:$C,"&lt;="&amp;EOMONTH(DATE(YEAR(主页!$D$2),MONTH(主页!$D$2),1),0)),"")</f>
        <v/>
      </c>
    </row>
    <row r="797" spans="1:10" x14ac:dyDescent="0.3">
      <c r="A797" s="129"/>
      <c r="B797" s="150"/>
      <c r="C797" s="150"/>
      <c r="D797" s="150"/>
      <c r="E797" s="140" t="str">
        <f t="shared" si="39"/>
        <v/>
      </c>
      <c r="F797" s="157"/>
      <c r="G797" s="145">
        <f t="shared" si="37"/>
        <v>0</v>
      </c>
      <c r="H797" s="140" t="str">
        <f t="shared" si="38"/>
        <v/>
      </c>
      <c r="J797" s="147" t="str">
        <f>IFERROR(SUMIFS(当年实际!$V:$V,当年实际!$J:$J,$C797,当年实际!$C:$C,"&gt;="&amp;DATE(YEAR(主页!$D$2),1,1),当年实际!$C:$C,"&lt;="&amp;EOMONTH(DATE(YEAR(主页!$D$2),MONTH(主页!$D$2),1),0))/SUMIFS(当年实际!$P:$P,当年实际!$J:$J,$C797,当年实际!$C:$C,"&gt;="&amp;DATE(YEAR(主页!$D$2),1,1),当年实际!$C:$C,"&lt;="&amp;EOMONTH(DATE(YEAR(主页!$D$2),MONTH(主页!$D$2),1),0)),"")</f>
        <v/>
      </c>
    </row>
    <row r="798" spans="1:10" x14ac:dyDescent="0.3">
      <c r="A798" s="129"/>
      <c r="B798" s="150"/>
      <c r="C798" s="150"/>
      <c r="D798" s="150"/>
      <c r="E798" s="140" t="str">
        <f t="shared" si="39"/>
        <v/>
      </c>
      <c r="F798" s="157"/>
      <c r="G798" s="145">
        <f t="shared" si="37"/>
        <v>0</v>
      </c>
      <c r="H798" s="140" t="str">
        <f t="shared" si="38"/>
        <v/>
      </c>
      <c r="J798" s="147" t="str">
        <f>IFERROR(SUMIFS(当年实际!$V:$V,当年实际!$J:$J,$C798,当年实际!$C:$C,"&gt;="&amp;DATE(YEAR(主页!$D$2),1,1),当年实际!$C:$C,"&lt;="&amp;EOMONTH(DATE(YEAR(主页!$D$2),MONTH(主页!$D$2),1),0))/SUMIFS(当年实际!$P:$P,当年实际!$J:$J,$C798,当年实际!$C:$C,"&gt;="&amp;DATE(YEAR(主页!$D$2),1,1),当年实际!$C:$C,"&lt;="&amp;EOMONTH(DATE(YEAR(主页!$D$2),MONTH(主页!$D$2),1),0)),"")</f>
        <v/>
      </c>
    </row>
    <row r="799" spans="1:10" x14ac:dyDescent="0.3">
      <c r="A799" s="129"/>
      <c r="B799" s="150"/>
      <c r="C799" s="150"/>
      <c r="D799" s="150"/>
      <c r="E799" s="140" t="str">
        <f t="shared" si="39"/>
        <v/>
      </c>
      <c r="F799" s="157"/>
      <c r="G799" s="145">
        <f t="shared" ref="G799:G862" si="40">D799*F799</f>
        <v>0</v>
      </c>
      <c r="H799" s="140" t="str">
        <f t="shared" ref="H799:H862" si="41">IF(G799/SUM(G:G)=0,"",G799/SUM(G:G))</f>
        <v/>
      </c>
      <c r="J799" s="147" t="str">
        <f>IFERROR(SUMIFS(当年实际!$V:$V,当年实际!$J:$J,$C799,当年实际!$C:$C,"&gt;="&amp;DATE(YEAR(主页!$D$2),1,1),当年实际!$C:$C,"&lt;="&amp;EOMONTH(DATE(YEAR(主页!$D$2),MONTH(主页!$D$2),1),0))/SUMIFS(当年实际!$P:$P,当年实际!$J:$J,$C799,当年实际!$C:$C,"&gt;="&amp;DATE(YEAR(主页!$D$2),1,1),当年实际!$C:$C,"&lt;="&amp;EOMONTH(DATE(YEAR(主页!$D$2),MONTH(主页!$D$2),1),0)),"")</f>
        <v/>
      </c>
    </row>
    <row r="800" spans="1:10" x14ac:dyDescent="0.3">
      <c r="A800" s="129"/>
      <c r="B800" s="150"/>
      <c r="C800" s="150"/>
      <c r="D800" s="150"/>
      <c r="E800" s="140" t="str">
        <f t="shared" si="39"/>
        <v/>
      </c>
      <c r="F800" s="157"/>
      <c r="G800" s="145">
        <f t="shared" si="40"/>
        <v>0</v>
      </c>
      <c r="H800" s="140" t="str">
        <f t="shared" si="41"/>
        <v/>
      </c>
      <c r="J800" s="147" t="str">
        <f>IFERROR(SUMIFS(当年实际!$V:$V,当年实际!$J:$J,$C800,当年实际!$C:$C,"&gt;="&amp;DATE(YEAR(主页!$D$2),1,1),当年实际!$C:$C,"&lt;="&amp;EOMONTH(DATE(YEAR(主页!$D$2),MONTH(主页!$D$2),1),0))/SUMIFS(当年实际!$P:$P,当年实际!$J:$J,$C800,当年实际!$C:$C,"&gt;="&amp;DATE(YEAR(主页!$D$2),1,1),当年实际!$C:$C,"&lt;="&amp;EOMONTH(DATE(YEAR(主页!$D$2),MONTH(主页!$D$2),1),0)),"")</f>
        <v/>
      </c>
    </row>
    <row r="801" spans="1:10" x14ac:dyDescent="0.3">
      <c r="A801" s="129"/>
      <c r="B801" s="150"/>
      <c r="C801" s="150"/>
      <c r="D801" s="150"/>
      <c r="E801" s="140" t="str">
        <f t="shared" si="39"/>
        <v/>
      </c>
      <c r="F801" s="157"/>
      <c r="G801" s="145">
        <f t="shared" si="40"/>
        <v>0</v>
      </c>
      <c r="H801" s="140" t="str">
        <f t="shared" si="41"/>
        <v/>
      </c>
      <c r="J801" s="147" t="str">
        <f>IFERROR(SUMIFS(当年实际!$V:$V,当年实际!$J:$J,$C801,当年实际!$C:$C,"&gt;="&amp;DATE(YEAR(主页!$D$2),1,1),当年实际!$C:$C,"&lt;="&amp;EOMONTH(DATE(YEAR(主页!$D$2),MONTH(主页!$D$2),1),0))/SUMIFS(当年实际!$P:$P,当年实际!$J:$J,$C801,当年实际!$C:$C,"&gt;="&amp;DATE(YEAR(主页!$D$2),1,1),当年实际!$C:$C,"&lt;="&amp;EOMONTH(DATE(YEAR(主页!$D$2),MONTH(主页!$D$2),1),0)),"")</f>
        <v/>
      </c>
    </row>
    <row r="802" spans="1:10" x14ac:dyDescent="0.3">
      <c r="A802" s="129"/>
      <c r="B802" s="150"/>
      <c r="C802" s="150"/>
      <c r="D802" s="150"/>
      <c r="E802" s="140" t="str">
        <f t="shared" si="39"/>
        <v/>
      </c>
      <c r="F802" s="157"/>
      <c r="G802" s="145">
        <f t="shared" si="40"/>
        <v>0</v>
      </c>
      <c r="H802" s="140" t="str">
        <f t="shared" si="41"/>
        <v/>
      </c>
      <c r="J802" s="147" t="str">
        <f>IFERROR(SUMIFS(当年实际!$V:$V,当年实际!$J:$J,$C802,当年实际!$C:$C,"&gt;="&amp;DATE(YEAR(主页!$D$2),1,1),当年实际!$C:$C,"&lt;="&amp;EOMONTH(DATE(YEAR(主页!$D$2),MONTH(主页!$D$2),1),0))/SUMIFS(当年实际!$P:$P,当年实际!$J:$J,$C802,当年实际!$C:$C,"&gt;="&amp;DATE(YEAR(主页!$D$2),1,1),当年实际!$C:$C,"&lt;="&amp;EOMONTH(DATE(YEAR(主页!$D$2),MONTH(主页!$D$2),1),0)),"")</f>
        <v/>
      </c>
    </row>
    <row r="803" spans="1:10" x14ac:dyDescent="0.3">
      <c r="A803" s="129"/>
      <c r="B803" s="150"/>
      <c r="C803" s="150"/>
      <c r="D803" s="150"/>
      <c r="E803" s="140" t="str">
        <f t="shared" si="39"/>
        <v/>
      </c>
      <c r="F803" s="157"/>
      <c r="G803" s="145">
        <f t="shared" si="40"/>
        <v>0</v>
      </c>
      <c r="H803" s="140" t="str">
        <f t="shared" si="41"/>
        <v/>
      </c>
      <c r="J803" s="147" t="str">
        <f>IFERROR(SUMIFS(当年实际!$V:$V,当年实际!$J:$J,$C803,当年实际!$C:$C,"&gt;="&amp;DATE(YEAR(主页!$D$2),1,1),当年实际!$C:$C,"&lt;="&amp;EOMONTH(DATE(YEAR(主页!$D$2),MONTH(主页!$D$2),1),0))/SUMIFS(当年实际!$P:$P,当年实际!$J:$J,$C803,当年实际!$C:$C,"&gt;="&amp;DATE(YEAR(主页!$D$2),1,1),当年实际!$C:$C,"&lt;="&amp;EOMONTH(DATE(YEAR(主页!$D$2),MONTH(主页!$D$2),1),0)),"")</f>
        <v/>
      </c>
    </row>
    <row r="804" spans="1:10" x14ac:dyDescent="0.3">
      <c r="A804" s="129"/>
      <c r="B804" s="150"/>
      <c r="C804" s="150"/>
      <c r="D804" s="150"/>
      <c r="E804" s="140" t="str">
        <f t="shared" si="39"/>
        <v/>
      </c>
      <c r="F804" s="157"/>
      <c r="G804" s="145">
        <f t="shared" si="40"/>
        <v>0</v>
      </c>
      <c r="H804" s="140" t="str">
        <f t="shared" si="41"/>
        <v/>
      </c>
      <c r="J804" s="147" t="str">
        <f>IFERROR(SUMIFS(当年实际!$V:$V,当年实际!$J:$J,$C804,当年实际!$C:$C,"&gt;="&amp;DATE(YEAR(主页!$D$2),1,1),当年实际!$C:$C,"&lt;="&amp;EOMONTH(DATE(YEAR(主页!$D$2),MONTH(主页!$D$2),1),0))/SUMIFS(当年实际!$P:$P,当年实际!$J:$J,$C804,当年实际!$C:$C,"&gt;="&amp;DATE(YEAR(主页!$D$2),1,1),当年实际!$C:$C,"&lt;="&amp;EOMONTH(DATE(YEAR(主页!$D$2),MONTH(主页!$D$2),1),0)),"")</f>
        <v/>
      </c>
    </row>
    <row r="805" spans="1:10" x14ac:dyDescent="0.3">
      <c r="A805" s="129"/>
      <c r="B805" s="150"/>
      <c r="C805" s="150"/>
      <c r="D805" s="150"/>
      <c r="E805" s="140" t="str">
        <f t="shared" si="39"/>
        <v/>
      </c>
      <c r="F805" s="157"/>
      <c r="G805" s="145">
        <f t="shared" si="40"/>
        <v>0</v>
      </c>
      <c r="H805" s="140" t="str">
        <f t="shared" si="41"/>
        <v/>
      </c>
      <c r="J805" s="147" t="str">
        <f>IFERROR(SUMIFS(当年实际!$V:$V,当年实际!$J:$J,$C805,当年实际!$C:$C,"&gt;="&amp;DATE(YEAR(主页!$D$2),1,1),当年实际!$C:$C,"&lt;="&amp;EOMONTH(DATE(YEAR(主页!$D$2),MONTH(主页!$D$2),1),0))/SUMIFS(当年实际!$P:$P,当年实际!$J:$J,$C805,当年实际!$C:$C,"&gt;="&amp;DATE(YEAR(主页!$D$2),1,1),当年实际!$C:$C,"&lt;="&amp;EOMONTH(DATE(YEAR(主页!$D$2),MONTH(主页!$D$2),1),0)),"")</f>
        <v/>
      </c>
    </row>
    <row r="806" spans="1:10" x14ac:dyDescent="0.3">
      <c r="A806" s="129"/>
      <c r="B806" s="150"/>
      <c r="C806" s="150"/>
      <c r="D806" s="150"/>
      <c r="E806" s="140" t="str">
        <f t="shared" si="39"/>
        <v/>
      </c>
      <c r="F806" s="157"/>
      <c r="G806" s="145">
        <f t="shared" si="40"/>
        <v>0</v>
      </c>
      <c r="H806" s="140" t="str">
        <f t="shared" si="41"/>
        <v/>
      </c>
      <c r="J806" s="147" t="str">
        <f>IFERROR(SUMIFS(当年实际!$V:$V,当年实际!$J:$J,$C806,当年实际!$C:$C,"&gt;="&amp;DATE(YEAR(主页!$D$2),1,1),当年实际!$C:$C,"&lt;="&amp;EOMONTH(DATE(YEAR(主页!$D$2),MONTH(主页!$D$2),1),0))/SUMIFS(当年实际!$P:$P,当年实际!$J:$J,$C806,当年实际!$C:$C,"&gt;="&amp;DATE(YEAR(主页!$D$2),1,1),当年实际!$C:$C,"&lt;="&amp;EOMONTH(DATE(YEAR(主页!$D$2),MONTH(主页!$D$2),1),0)),"")</f>
        <v/>
      </c>
    </row>
    <row r="807" spans="1:10" x14ac:dyDescent="0.3">
      <c r="A807" s="129"/>
      <c r="B807" s="150"/>
      <c r="C807" s="150"/>
      <c r="D807" s="150"/>
      <c r="E807" s="140" t="str">
        <f t="shared" si="39"/>
        <v/>
      </c>
      <c r="F807" s="157"/>
      <c r="G807" s="145">
        <f t="shared" si="40"/>
        <v>0</v>
      </c>
      <c r="H807" s="140" t="str">
        <f t="shared" si="41"/>
        <v/>
      </c>
      <c r="J807" s="147" t="str">
        <f>IFERROR(SUMIFS(当年实际!$V:$V,当年实际!$J:$J,$C807,当年实际!$C:$C,"&gt;="&amp;DATE(YEAR(主页!$D$2),1,1),当年实际!$C:$C,"&lt;="&amp;EOMONTH(DATE(YEAR(主页!$D$2),MONTH(主页!$D$2),1),0))/SUMIFS(当年实际!$P:$P,当年实际!$J:$J,$C807,当年实际!$C:$C,"&gt;="&amp;DATE(YEAR(主页!$D$2),1,1),当年实际!$C:$C,"&lt;="&amp;EOMONTH(DATE(YEAR(主页!$D$2),MONTH(主页!$D$2),1),0)),"")</f>
        <v/>
      </c>
    </row>
    <row r="808" spans="1:10" x14ac:dyDescent="0.3">
      <c r="A808" s="129"/>
      <c r="B808" s="150"/>
      <c r="C808" s="150"/>
      <c r="D808" s="150"/>
      <c r="E808" s="140" t="str">
        <f t="shared" si="39"/>
        <v/>
      </c>
      <c r="F808" s="157"/>
      <c r="G808" s="145">
        <f t="shared" si="40"/>
        <v>0</v>
      </c>
      <c r="H808" s="140" t="str">
        <f t="shared" si="41"/>
        <v/>
      </c>
      <c r="J808" s="147" t="str">
        <f>IFERROR(SUMIFS(当年实际!$V:$V,当年实际!$J:$J,$C808,当年实际!$C:$C,"&gt;="&amp;DATE(YEAR(主页!$D$2),1,1),当年实际!$C:$C,"&lt;="&amp;EOMONTH(DATE(YEAR(主页!$D$2),MONTH(主页!$D$2),1),0))/SUMIFS(当年实际!$P:$P,当年实际!$J:$J,$C808,当年实际!$C:$C,"&gt;="&amp;DATE(YEAR(主页!$D$2),1,1),当年实际!$C:$C,"&lt;="&amp;EOMONTH(DATE(YEAR(主页!$D$2),MONTH(主页!$D$2),1),0)),"")</f>
        <v/>
      </c>
    </row>
    <row r="809" spans="1:10" x14ac:dyDescent="0.3">
      <c r="A809" s="129"/>
      <c r="B809" s="150"/>
      <c r="C809" s="150"/>
      <c r="D809" s="150"/>
      <c r="E809" s="140" t="str">
        <f t="shared" si="39"/>
        <v/>
      </c>
      <c r="F809" s="157"/>
      <c r="G809" s="145">
        <f t="shared" si="40"/>
        <v>0</v>
      </c>
      <c r="H809" s="140" t="str">
        <f t="shared" si="41"/>
        <v/>
      </c>
      <c r="J809" s="147" t="str">
        <f>IFERROR(SUMIFS(当年实际!$V:$V,当年实际!$J:$J,$C809,当年实际!$C:$C,"&gt;="&amp;DATE(YEAR(主页!$D$2),1,1),当年实际!$C:$C,"&lt;="&amp;EOMONTH(DATE(YEAR(主页!$D$2),MONTH(主页!$D$2),1),0))/SUMIFS(当年实际!$P:$P,当年实际!$J:$J,$C809,当年实际!$C:$C,"&gt;="&amp;DATE(YEAR(主页!$D$2),1,1),当年实际!$C:$C,"&lt;="&amp;EOMONTH(DATE(YEAR(主页!$D$2),MONTH(主页!$D$2),1),0)),"")</f>
        <v/>
      </c>
    </row>
    <row r="810" spans="1:10" x14ac:dyDescent="0.3">
      <c r="A810" s="129"/>
      <c r="B810" s="150"/>
      <c r="C810" s="150"/>
      <c r="D810" s="150"/>
      <c r="E810" s="140" t="str">
        <f t="shared" si="39"/>
        <v/>
      </c>
      <c r="F810" s="157"/>
      <c r="G810" s="145">
        <f t="shared" si="40"/>
        <v>0</v>
      </c>
      <c r="H810" s="140" t="str">
        <f t="shared" si="41"/>
        <v/>
      </c>
      <c r="J810" s="147" t="str">
        <f>IFERROR(SUMIFS(当年实际!$V:$V,当年实际!$J:$J,$C810,当年实际!$C:$C,"&gt;="&amp;DATE(YEAR(主页!$D$2),1,1),当年实际!$C:$C,"&lt;="&amp;EOMONTH(DATE(YEAR(主页!$D$2),MONTH(主页!$D$2),1),0))/SUMIFS(当年实际!$P:$P,当年实际!$J:$J,$C810,当年实际!$C:$C,"&gt;="&amp;DATE(YEAR(主页!$D$2),1,1),当年实际!$C:$C,"&lt;="&amp;EOMONTH(DATE(YEAR(主页!$D$2),MONTH(主页!$D$2),1),0)),"")</f>
        <v/>
      </c>
    </row>
    <row r="811" spans="1:10" x14ac:dyDescent="0.3">
      <c r="A811" s="129"/>
      <c r="B811" s="150"/>
      <c r="C811" s="150"/>
      <c r="D811" s="150"/>
      <c r="E811" s="140" t="str">
        <f t="shared" si="39"/>
        <v/>
      </c>
      <c r="F811" s="157"/>
      <c r="G811" s="145">
        <f t="shared" si="40"/>
        <v>0</v>
      </c>
      <c r="H811" s="140" t="str">
        <f t="shared" si="41"/>
        <v/>
      </c>
      <c r="J811" s="147" t="str">
        <f>IFERROR(SUMIFS(当年实际!$V:$V,当年实际!$J:$J,$C811,当年实际!$C:$C,"&gt;="&amp;DATE(YEAR(主页!$D$2),1,1),当年实际!$C:$C,"&lt;="&amp;EOMONTH(DATE(YEAR(主页!$D$2),MONTH(主页!$D$2),1),0))/SUMIFS(当年实际!$P:$P,当年实际!$J:$J,$C811,当年实际!$C:$C,"&gt;="&amp;DATE(YEAR(主页!$D$2),1,1),当年实际!$C:$C,"&lt;="&amp;EOMONTH(DATE(YEAR(主页!$D$2),MONTH(主页!$D$2),1),0)),"")</f>
        <v/>
      </c>
    </row>
    <row r="812" spans="1:10" x14ac:dyDescent="0.3">
      <c r="A812" s="129"/>
      <c r="B812" s="150"/>
      <c r="C812" s="150"/>
      <c r="D812" s="150"/>
      <c r="E812" s="140" t="str">
        <f t="shared" si="39"/>
        <v/>
      </c>
      <c r="F812" s="157"/>
      <c r="G812" s="145">
        <f t="shared" si="40"/>
        <v>0</v>
      </c>
      <c r="H812" s="140" t="str">
        <f t="shared" si="41"/>
        <v/>
      </c>
      <c r="J812" s="147" t="str">
        <f>IFERROR(SUMIFS(当年实际!$V:$V,当年实际!$J:$J,$C812,当年实际!$C:$C,"&gt;="&amp;DATE(YEAR(主页!$D$2),1,1),当年实际!$C:$C,"&lt;="&amp;EOMONTH(DATE(YEAR(主页!$D$2),MONTH(主页!$D$2),1),0))/SUMIFS(当年实际!$P:$P,当年实际!$J:$J,$C812,当年实际!$C:$C,"&gt;="&amp;DATE(YEAR(主页!$D$2),1,1),当年实际!$C:$C,"&lt;="&amp;EOMONTH(DATE(YEAR(主页!$D$2),MONTH(主页!$D$2),1),0)),"")</f>
        <v/>
      </c>
    </row>
    <row r="813" spans="1:10" x14ac:dyDescent="0.3">
      <c r="A813" s="129"/>
      <c r="B813" s="150"/>
      <c r="C813" s="150"/>
      <c r="D813" s="150"/>
      <c r="E813" s="140" t="str">
        <f t="shared" si="39"/>
        <v/>
      </c>
      <c r="F813" s="157"/>
      <c r="G813" s="145">
        <f t="shared" si="40"/>
        <v>0</v>
      </c>
      <c r="H813" s="140" t="str">
        <f t="shared" si="41"/>
        <v/>
      </c>
      <c r="J813" s="147" t="str">
        <f>IFERROR(SUMIFS(当年实际!$V:$V,当年实际!$J:$J,$C813,当年实际!$C:$C,"&gt;="&amp;DATE(YEAR(主页!$D$2),1,1),当年实际!$C:$C,"&lt;="&amp;EOMONTH(DATE(YEAR(主页!$D$2),MONTH(主页!$D$2),1),0))/SUMIFS(当年实际!$P:$P,当年实际!$J:$J,$C813,当年实际!$C:$C,"&gt;="&amp;DATE(YEAR(主页!$D$2),1,1),当年实际!$C:$C,"&lt;="&amp;EOMONTH(DATE(YEAR(主页!$D$2),MONTH(主页!$D$2),1),0)),"")</f>
        <v/>
      </c>
    </row>
    <row r="814" spans="1:10" x14ac:dyDescent="0.3">
      <c r="A814" s="129"/>
      <c r="B814" s="150"/>
      <c r="C814" s="150"/>
      <c r="D814" s="150"/>
      <c r="E814" s="140" t="str">
        <f t="shared" si="39"/>
        <v/>
      </c>
      <c r="F814" s="157"/>
      <c r="G814" s="145">
        <f t="shared" si="40"/>
        <v>0</v>
      </c>
      <c r="H814" s="140" t="str">
        <f t="shared" si="41"/>
        <v/>
      </c>
      <c r="J814" s="147" t="str">
        <f>IFERROR(SUMIFS(当年实际!$V:$V,当年实际!$J:$J,$C814,当年实际!$C:$C,"&gt;="&amp;DATE(YEAR(主页!$D$2),1,1),当年实际!$C:$C,"&lt;="&amp;EOMONTH(DATE(YEAR(主页!$D$2),MONTH(主页!$D$2),1),0))/SUMIFS(当年实际!$P:$P,当年实际!$J:$J,$C814,当年实际!$C:$C,"&gt;="&amp;DATE(YEAR(主页!$D$2),1,1),当年实际!$C:$C,"&lt;="&amp;EOMONTH(DATE(YEAR(主页!$D$2),MONTH(主页!$D$2),1),0)),"")</f>
        <v/>
      </c>
    </row>
    <row r="815" spans="1:10" x14ac:dyDescent="0.3">
      <c r="A815" s="129"/>
      <c r="B815" s="150"/>
      <c r="C815" s="150"/>
      <c r="D815" s="150"/>
      <c r="E815" s="140" t="str">
        <f t="shared" si="39"/>
        <v/>
      </c>
      <c r="F815" s="157"/>
      <c r="G815" s="145">
        <f t="shared" si="40"/>
        <v>0</v>
      </c>
      <c r="H815" s="140" t="str">
        <f t="shared" si="41"/>
        <v/>
      </c>
      <c r="J815" s="147" t="str">
        <f>IFERROR(SUMIFS(当年实际!$V:$V,当年实际!$J:$J,$C815,当年实际!$C:$C,"&gt;="&amp;DATE(YEAR(主页!$D$2),1,1),当年实际!$C:$C,"&lt;="&amp;EOMONTH(DATE(YEAR(主页!$D$2),MONTH(主页!$D$2),1),0))/SUMIFS(当年实际!$P:$P,当年实际!$J:$J,$C815,当年实际!$C:$C,"&gt;="&amp;DATE(YEAR(主页!$D$2),1,1),当年实际!$C:$C,"&lt;="&amp;EOMONTH(DATE(YEAR(主页!$D$2),MONTH(主页!$D$2),1),0)),"")</f>
        <v/>
      </c>
    </row>
    <row r="816" spans="1:10" x14ac:dyDescent="0.3">
      <c r="A816" s="129"/>
      <c r="B816" s="150"/>
      <c r="C816" s="150"/>
      <c r="D816" s="150"/>
      <c r="E816" s="140" t="str">
        <f t="shared" si="39"/>
        <v/>
      </c>
      <c r="F816" s="157"/>
      <c r="G816" s="145">
        <f t="shared" si="40"/>
        <v>0</v>
      </c>
      <c r="H816" s="140" t="str">
        <f t="shared" si="41"/>
        <v/>
      </c>
      <c r="J816" s="147" t="str">
        <f>IFERROR(SUMIFS(当年实际!$V:$V,当年实际!$J:$J,$C816,当年实际!$C:$C,"&gt;="&amp;DATE(YEAR(主页!$D$2),1,1),当年实际!$C:$C,"&lt;="&amp;EOMONTH(DATE(YEAR(主页!$D$2),MONTH(主页!$D$2),1),0))/SUMIFS(当年实际!$P:$P,当年实际!$J:$J,$C816,当年实际!$C:$C,"&gt;="&amp;DATE(YEAR(主页!$D$2),1,1),当年实际!$C:$C,"&lt;="&amp;EOMONTH(DATE(YEAR(主页!$D$2),MONTH(主页!$D$2),1),0)),"")</f>
        <v/>
      </c>
    </row>
    <row r="817" spans="1:10" x14ac:dyDescent="0.3">
      <c r="A817" s="129"/>
      <c r="B817" s="150"/>
      <c r="C817" s="150"/>
      <c r="D817" s="150"/>
      <c r="E817" s="140" t="str">
        <f t="shared" si="39"/>
        <v/>
      </c>
      <c r="F817" s="157"/>
      <c r="G817" s="145">
        <f t="shared" si="40"/>
        <v>0</v>
      </c>
      <c r="H817" s="140" t="str">
        <f t="shared" si="41"/>
        <v/>
      </c>
      <c r="J817" s="147" t="str">
        <f>IFERROR(SUMIFS(当年实际!$V:$V,当年实际!$J:$J,$C817,当年实际!$C:$C,"&gt;="&amp;DATE(YEAR(主页!$D$2),1,1),当年实际!$C:$C,"&lt;="&amp;EOMONTH(DATE(YEAR(主页!$D$2),MONTH(主页!$D$2),1),0))/SUMIFS(当年实际!$P:$P,当年实际!$J:$J,$C817,当年实际!$C:$C,"&gt;="&amp;DATE(YEAR(主页!$D$2),1,1),当年实际!$C:$C,"&lt;="&amp;EOMONTH(DATE(YEAR(主页!$D$2),MONTH(主页!$D$2),1),0)),"")</f>
        <v/>
      </c>
    </row>
    <row r="818" spans="1:10" x14ac:dyDescent="0.3">
      <c r="A818" s="129"/>
      <c r="B818" s="150"/>
      <c r="C818" s="150"/>
      <c r="D818" s="150"/>
      <c r="E818" s="140" t="str">
        <f t="shared" si="39"/>
        <v/>
      </c>
      <c r="F818" s="157"/>
      <c r="G818" s="145">
        <f t="shared" si="40"/>
        <v>0</v>
      </c>
      <c r="H818" s="140" t="str">
        <f t="shared" si="41"/>
        <v/>
      </c>
      <c r="J818" s="147" t="str">
        <f>IFERROR(SUMIFS(当年实际!$V:$V,当年实际!$J:$J,$C818,当年实际!$C:$C,"&gt;="&amp;DATE(YEAR(主页!$D$2),1,1),当年实际!$C:$C,"&lt;="&amp;EOMONTH(DATE(YEAR(主页!$D$2),MONTH(主页!$D$2),1),0))/SUMIFS(当年实际!$P:$P,当年实际!$J:$J,$C818,当年实际!$C:$C,"&gt;="&amp;DATE(YEAR(主页!$D$2),1,1),当年实际!$C:$C,"&lt;="&amp;EOMONTH(DATE(YEAR(主页!$D$2),MONTH(主页!$D$2),1),0)),"")</f>
        <v/>
      </c>
    </row>
    <row r="819" spans="1:10" x14ac:dyDescent="0.3">
      <c r="A819" s="129"/>
      <c r="B819" s="150"/>
      <c r="C819" s="150"/>
      <c r="D819" s="150"/>
      <c r="E819" s="140" t="str">
        <f t="shared" si="39"/>
        <v/>
      </c>
      <c r="F819" s="157"/>
      <c r="G819" s="145">
        <f t="shared" si="40"/>
        <v>0</v>
      </c>
      <c r="H819" s="140" t="str">
        <f t="shared" si="41"/>
        <v/>
      </c>
      <c r="J819" s="147" t="str">
        <f>IFERROR(SUMIFS(当年实际!$V:$V,当年实际!$J:$J,$C819,当年实际!$C:$C,"&gt;="&amp;DATE(YEAR(主页!$D$2),1,1),当年实际!$C:$C,"&lt;="&amp;EOMONTH(DATE(YEAR(主页!$D$2),MONTH(主页!$D$2),1),0))/SUMIFS(当年实际!$P:$P,当年实际!$J:$J,$C819,当年实际!$C:$C,"&gt;="&amp;DATE(YEAR(主页!$D$2),1,1),当年实际!$C:$C,"&lt;="&amp;EOMONTH(DATE(YEAR(主页!$D$2),MONTH(主页!$D$2),1),0)),"")</f>
        <v/>
      </c>
    </row>
    <row r="820" spans="1:10" x14ac:dyDescent="0.3">
      <c r="A820" s="129"/>
      <c r="B820" s="150"/>
      <c r="C820" s="150"/>
      <c r="D820" s="150"/>
      <c r="E820" s="140" t="str">
        <f t="shared" si="39"/>
        <v/>
      </c>
      <c r="F820" s="157"/>
      <c r="G820" s="145">
        <f t="shared" si="40"/>
        <v>0</v>
      </c>
      <c r="H820" s="140" t="str">
        <f t="shared" si="41"/>
        <v/>
      </c>
      <c r="J820" s="147" t="str">
        <f>IFERROR(SUMIFS(当年实际!$V:$V,当年实际!$J:$J,$C820,当年实际!$C:$C,"&gt;="&amp;DATE(YEAR(主页!$D$2),1,1),当年实际!$C:$C,"&lt;="&amp;EOMONTH(DATE(YEAR(主页!$D$2),MONTH(主页!$D$2),1),0))/SUMIFS(当年实际!$P:$P,当年实际!$J:$J,$C820,当年实际!$C:$C,"&gt;="&amp;DATE(YEAR(主页!$D$2),1,1),当年实际!$C:$C,"&lt;="&amp;EOMONTH(DATE(YEAR(主页!$D$2),MONTH(主页!$D$2),1),0)),"")</f>
        <v/>
      </c>
    </row>
    <row r="821" spans="1:10" x14ac:dyDescent="0.3">
      <c r="A821" s="129"/>
      <c r="B821" s="150"/>
      <c r="C821" s="150"/>
      <c r="D821" s="150"/>
      <c r="E821" s="140" t="str">
        <f t="shared" si="39"/>
        <v/>
      </c>
      <c r="F821" s="157"/>
      <c r="G821" s="145">
        <f t="shared" si="40"/>
        <v>0</v>
      </c>
      <c r="H821" s="140" t="str">
        <f t="shared" si="41"/>
        <v/>
      </c>
      <c r="J821" s="147" t="str">
        <f>IFERROR(SUMIFS(当年实际!$V:$V,当年实际!$J:$J,$C821,当年实际!$C:$C,"&gt;="&amp;DATE(YEAR(主页!$D$2),1,1),当年实际!$C:$C,"&lt;="&amp;EOMONTH(DATE(YEAR(主页!$D$2),MONTH(主页!$D$2),1),0))/SUMIFS(当年实际!$P:$P,当年实际!$J:$J,$C821,当年实际!$C:$C,"&gt;="&amp;DATE(YEAR(主页!$D$2),1,1),当年实际!$C:$C,"&lt;="&amp;EOMONTH(DATE(YEAR(主页!$D$2),MONTH(主页!$D$2),1),0)),"")</f>
        <v/>
      </c>
    </row>
    <row r="822" spans="1:10" x14ac:dyDescent="0.3">
      <c r="A822" s="129"/>
      <c r="B822" s="150"/>
      <c r="C822" s="150"/>
      <c r="D822" s="150"/>
      <c r="E822" s="140" t="str">
        <f t="shared" si="39"/>
        <v/>
      </c>
      <c r="F822" s="157"/>
      <c r="G822" s="145">
        <f t="shared" si="40"/>
        <v>0</v>
      </c>
      <c r="H822" s="140" t="str">
        <f t="shared" si="41"/>
        <v/>
      </c>
      <c r="J822" s="147" t="str">
        <f>IFERROR(SUMIFS(当年实际!$V:$V,当年实际!$J:$J,$C822,当年实际!$C:$C,"&gt;="&amp;DATE(YEAR(主页!$D$2),1,1),当年实际!$C:$C,"&lt;="&amp;EOMONTH(DATE(YEAR(主页!$D$2),MONTH(主页!$D$2),1),0))/SUMIFS(当年实际!$P:$P,当年实际!$J:$J,$C822,当年实际!$C:$C,"&gt;="&amp;DATE(YEAR(主页!$D$2),1,1),当年实际!$C:$C,"&lt;="&amp;EOMONTH(DATE(YEAR(主页!$D$2),MONTH(主页!$D$2),1),0)),"")</f>
        <v/>
      </c>
    </row>
    <row r="823" spans="1:10" x14ac:dyDescent="0.3">
      <c r="A823" s="129"/>
      <c r="B823" s="150"/>
      <c r="C823" s="150"/>
      <c r="D823" s="150"/>
      <c r="E823" s="140" t="str">
        <f t="shared" si="39"/>
        <v/>
      </c>
      <c r="F823" s="157"/>
      <c r="G823" s="145">
        <f t="shared" si="40"/>
        <v>0</v>
      </c>
      <c r="H823" s="140" t="str">
        <f t="shared" si="41"/>
        <v/>
      </c>
      <c r="J823" s="147" t="str">
        <f>IFERROR(SUMIFS(当年实际!$V:$V,当年实际!$J:$J,$C823,当年实际!$C:$C,"&gt;="&amp;DATE(YEAR(主页!$D$2),1,1),当年实际!$C:$C,"&lt;="&amp;EOMONTH(DATE(YEAR(主页!$D$2),MONTH(主页!$D$2),1),0))/SUMIFS(当年实际!$P:$P,当年实际!$J:$J,$C823,当年实际!$C:$C,"&gt;="&amp;DATE(YEAR(主页!$D$2),1,1),当年实际!$C:$C,"&lt;="&amp;EOMONTH(DATE(YEAR(主页!$D$2),MONTH(主页!$D$2),1),0)),"")</f>
        <v/>
      </c>
    </row>
    <row r="824" spans="1:10" x14ac:dyDescent="0.3">
      <c r="A824" s="129"/>
      <c r="B824" s="150"/>
      <c r="C824" s="150"/>
      <c r="D824" s="150"/>
      <c r="E824" s="140" t="str">
        <f t="shared" si="39"/>
        <v/>
      </c>
      <c r="F824" s="157"/>
      <c r="G824" s="145">
        <f t="shared" si="40"/>
        <v>0</v>
      </c>
      <c r="H824" s="140" t="str">
        <f t="shared" si="41"/>
        <v/>
      </c>
      <c r="J824" s="147" t="str">
        <f>IFERROR(SUMIFS(当年实际!$V:$V,当年实际!$J:$J,$C824,当年实际!$C:$C,"&gt;="&amp;DATE(YEAR(主页!$D$2),1,1),当年实际!$C:$C,"&lt;="&amp;EOMONTH(DATE(YEAR(主页!$D$2),MONTH(主页!$D$2),1),0))/SUMIFS(当年实际!$P:$P,当年实际!$J:$J,$C824,当年实际!$C:$C,"&gt;="&amp;DATE(YEAR(主页!$D$2),1,1),当年实际!$C:$C,"&lt;="&amp;EOMONTH(DATE(YEAR(主页!$D$2),MONTH(主页!$D$2),1),0)),"")</f>
        <v/>
      </c>
    </row>
    <row r="825" spans="1:10" x14ac:dyDescent="0.3">
      <c r="A825" s="129"/>
      <c r="B825" s="150"/>
      <c r="C825" s="150"/>
      <c r="D825" s="150"/>
      <c r="E825" s="140" t="str">
        <f t="shared" si="39"/>
        <v/>
      </c>
      <c r="F825" s="157"/>
      <c r="G825" s="145">
        <f t="shared" si="40"/>
        <v>0</v>
      </c>
      <c r="H825" s="140" t="str">
        <f t="shared" si="41"/>
        <v/>
      </c>
      <c r="J825" s="147" t="str">
        <f>IFERROR(SUMIFS(当年实际!$V:$V,当年实际!$J:$J,$C825,当年实际!$C:$C,"&gt;="&amp;DATE(YEAR(主页!$D$2),1,1),当年实际!$C:$C,"&lt;="&amp;EOMONTH(DATE(YEAR(主页!$D$2),MONTH(主页!$D$2),1),0))/SUMIFS(当年实际!$P:$P,当年实际!$J:$J,$C825,当年实际!$C:$C,"&gt;="&amp;DATE(YEAR(主页!$D$2),1,1),当年实际!$C:$C,"&lt;="&amp;EOMONTH(DATE(YEAR(主页!$D$2),MONTH(主页!$D$2),1),0)),"")</f>
        <v/>
      </c>
    </row>
    <row r="826" spans="1:10" x14ac:dyDescent="0.3">
      <c r="A826" s="129"/>
      <c r="B826" s="150"/>
      <c r="C826" s="150"/>
      <c r="D826" s="150"/>
      <c r="E826" s="140" t="str">
        <f t="shared" si="39"/>
        <v/>
      </c>
      <c r="F826" s="157"/>
      <c r="G826" s="145">
        <f t="shared" si="40"/>
        <v>0</v>
      </c>
      <c r="H826" s="140" t="str">
        <f t="shared" si="41"/>
        <v/>
      </c>
      <c r="J826" s="147" t="str">
        <f>IFERROR(SUMIFS(当年实际!$V:$V,当年实际!$J:$J,$C826,当年实际!$C:$C,"&gt;="&amp;DATE(YEAR(主页!$D$2),1,1),当年实际!$C:$C,"&lt;="&amp;EOMONTH(DATE(YEAR(主页!$D$2),MONTH(主页!$D$2),1),0))/SUMIFS(当年实际!$P:$P,当年实际!$J:$J,$C826,当年实际!$C:$C,"&gt;="&amp;DATE(YEAR(主页!$D$2),1,1),当年实际!$C:$C,"&lt;="&amp;EOMONTH(DATE(YEAR(主页!$D$2),MONTH(主页!$D$2),1),0)),"")</f>
        <v/>
      </c>
    </row>
    <row r="827" spans="1:10" x14ac:dyDescent="0.3">
      <c r="A827" s="129"/>
      <c r="B827" s="150"/>
      <c r="C827" s="150"/>
      <c r="D827" s="150"/>
      <c r="E827" s="140" t="str">
        <f t="shared" si="39"/>
        <v/>
      </c>
      <c r="F827" s="157"/>
      <c r="G827" s="145">
        <f t="shared" si="40"/>
        <v>0</v>
      </c>
      <c r="H827" s="140" t="str">
        <f t="shared" si="41"/>
        <v/>
      </c>
      <c r="J827" s="147" t="str">
        <f>IFERROR(SUMIFS(当年实际!$V:$V,当年实际!$J:$J,$C827,当年实际!$C:$C,"&gt;="&amp;DATE(YEAR(主页!$D$2),1,1),当年实际!$C:$C,"&lt;="&amp;EOMONTH(DATE(YEAR(主页!$D$2),MONTH(主页!$D$2),1),0))/SUMIFS(当年实际!$P:$P,当年实际!$J:$J,$C827,当年实际!$C:$C,"&gt;="&amp;DATE(YEAR(主页!$D$2),1,1),当年实际!$C:$C,"&lt;="&amp;EOMONTH(DATE(YEAR(主页!$D$2),MONTH(主页!$D$2),1),0)),"")</f>
        <v/>
      </c>
    </row>
    <row r="828" spans="1:10" x14ac:dyDescent="0.3">
      <c r="A828" s="129"/>
      <c r="B828" s="150"/>
      <c r="C828" s="150"/>
      <c r="D828" s="150"/>
      <c r="E828" s="140" t="str">
        <f t="shared" si="39"/>
        <v/>
      </c>
      <c r="F828" s="157"/>
      <c r="G828" s="145">
        <f t="shared" si="40"/>
        <v>0</v>
      </c>
      <c r="H828" s="140" t="str">
        <f t="shared" si="41"/>
        <v/>
      </c>
      <c r="J828" s="147" t="str">
        <f>IFERROR(SUMIFS(当年实际!$V:$V,当年实际!$J:$J,$C828,当年实际!$C:$C,"&gt;="&amp;DATE(YEAR(主页!$D$2),1,1),当年实际!$C:$C,"&lt;="&amp;EOMONTH(DATE(YEAR(主页!$D$2),MONTH(主页!$D$2),1),0))/SUMIFS(当年实际!$P:$P,当年实际!$J:$J,$C828,当年实际!$C:$C,"&gt;="&amp;DATE(YEAR(主页!$D$2),1,1),当年实际!$C:$C,"&lt;="&amp;EOMONTH(DATE(YEAR(主页!$D$2),MONTH(主页!$D$2),1),0)),"")</f>
        <v/>
      </c>
    </row>
    <row r="829" spans="1:10" x14ac:dyDescent="0.3">
      <c r="A829" s="129"/>
      <c r="B829" s="150"/>
      <c r="C829" s="150"/>
      <c r="D829" s="150"/>
      <c r="E829" s="140" t="str">
        <f t="shared" si="39"/>
        <v/>
      </c>
      <c r="F829" s="157"/>
      <c r="G829" s="145">
        <f t="shared" si="40"/>
        <v>0</v>
      </c>
      <c r="H829" s="140" t="str">
        <f t="shared" si="41"/>
        <v/>
      </c>
      <c r="J829" s="147" t="str">
        <f>IFERROR(SUMIFS(当年实际!$V:$V,当年实际!$J:$J,$C829,当年实际!$C:$C,"&gt;="&amp;DATE(YEAR(主页!$D$2),1,1),当年实际!$C:$C,"&lt;="&amp;EOMONTH(DATE(YEAR(主页!$D$2),MONTH(主页!$D$2),1),0))/SUMIFS(当年实际!$P:$P,当年实际!$J:$J,$C829,当年实际!$C:$C,"&gt;="&amp;DATE(YEAR(主页!$D$2),1,1),当年实际!$C:$C,"&lt;="&amp;EOMONTH(DATE(YEAR(主页!$D$2),MONTH(主页!$D$2),1),0)),"")</f>
        <v/>
      </c>
    </row>
    <row r="830" spans="1:10" x14ac:dyDescent="0.3">
      <c r="A830" s="129"/>
      <c r="B830" s="150"/>
      <c r="C830" s="150"/>
      <c r="D830" s="150"/>
      <c r="E830" s="140" t="str">
        <f t="shared" si="39"/>
        <v/>
      </c>
      <c r="F830" s="157"/>
      <c r="G830" s="145">
        <f t="shared" si="40"/>
        <v>0</v>
      </c>
      <c r="H830" s="140" t="str">
        <f t="shared" si="41"/>
        <v/>
      </c>
      <c r="J830" s="147" t="str">
        <f>IFERROR(SUMIFS(当年实际!$V:$V,当年实际!$J:$J,$C830,当年实际!$C:$C,"&gt;="&amp;DATE(YEAR(主页!$D$2),1,1),当年实际!$C:$C,"&lt;="&amp;EOMONTH(DATE(YEAR(主页!$D$2),MONTH(主页!$D$2),1),0))/SUMIFS(当年实际!$P:$P,当年实际!$J:$J,$C830,当年实际!$C:$C,"&gt;="&amp;DATE(YEAR(主页!$D$2),1,1),当年实际!$C:$C,"&lt;="&amp;EOMONTH(DATE(YEAR(主页!$D$2),MONTH(主页!$D$2),1),0)),"")</f>
        <v/>
      </c>
    </row>
    <row r="831" spans="1:10" x14ac:dyDescent="0.3">
      <c r="A831" s="129"/>
      <c r="B831" s="150"/>
      <c r="C831" s="150"/>
      <c r="D831" s="150"/>
      <c r="E831" s="140" t="str">
        <f t="shared" si="39"/>
        <v/>
      </c>
      <c r="F831" s="157"/>
      <c r="G831" s="145">
        <f t="shared" si="40"/>
        <v>0</v>
      </c>
      <c r="H831" s="140" t="str">
        <f t="shared" si="41"/>
        <v/>
      </c>
      <c r="J831" s="147" t="str">
        <f>IFERROR(SUMIFS(当年实际!$V:$V,当年实际!$J:$J,$C831,当年实际!$C:$C,"&gt;="&amp;DATE(YEAR(主页!$D$2),1,1),当年实际!$C:$C,"&lt;="&amp;EOMONTH(DATE(YEAR(主页!$D$2),MONTH(主页!$D$2),1),0))/SUMIFS(当年实际!$P:$P,当年实际!$J:$J,$C831,当年实际!$C:$C,"&gt;="&amp;DATE(YEAR(主页!$D$2),1,1),当年实际!$C:$C,"&lt;="&amp;EOMONTH(DATE(YEAR(主页!$D$2),MONTH(主页!$D$2),1),0)),"")</f>
        <v/>
      </c>
    </row>
    <row r="832" spans="1:10" x14ac:dyDescent="0.3">
      <c r="A832" s="129"/>
      <c r="B832" s="150"/>
      <c r="C832" s="150"/>
      <c r="D832" s="150"/>
      <c r="E832" s="140" t="str">
        <f t="shared" si="39"/>
        <v/>
      </c>
      <c r="F832" s="157"/>
      <c r="G832" s="145">
        <f t="shared" si="40"/>
        <v>0</v>
      </c>
      <c r="H832" s="140" t="str">
        <f t="shared" si="41"/>
        <v/>
      </c>
      <c r="J832" s="147" t="str">
        <f>IFERROR(SUMIFS(当年实际!$V:$V,当年实际!$J:$J,$C832,当年实际!$C:$C,"&gt;="&amp;DATE(YEAR(主页!$D$2),1,1),当年实际!$C:$C,"&lt;="&amp;EOMONTH(DATE(YEAR(主页!$D$2),MONTH(主页!$D$2),1),0))/SUMIFS(当年实际!$P:$P,当年实际!$J:$J,$C832,当年实际!$C:$C,"&gt;="&amp;DATE(YEAR(主页!$D$2),1,1),当年实际!$C:$C,"&lt;="&amp;EOMONTH(DATE(YEAR(主页!$D$2),MONTH(主页!$D$2),1),0)),"")</f>
        <v/>
      </c>
    </row>
    <row r="833" spans="1:10" x14ac:dyDescent="0.3">
      <c r="A833" s="129"/>
      <c r="B833" s="150"/>
      <c r="C833" s="150"/>
      <c r="D833" s="150"/>
      <c r="E833" s="140" t="str">
        <f t="shared" si="39"/>
        <v/>
      </c>
      <c r="F833" s="157"/>
      <c r="G833" s="145">
        <f t="shared" si="40"/>
        <v>0</v>
      </c>
      <c r="H833" s="140" t="str">
        <f t="shared" si="41"/>
        <v/>
      </c>
      <c r="J833" s="147" t="str">
        <f>IFERROR(SUMIFS(当年实际!$V:$V,当年实际!$J:$J,$C833,当年实际!$C:$C,"&gt;="&amp;DATE(YEAR(主页!$D$2),1,1),当年实际!$C:$C,"&lt;="&amp;EOMONTH(DATE(YEAR(主页!$D$2),MONTH(主页!$D$2),1),0))/SUMIFS(当年实际!$P:$P,当年实际!$J:$J,$C833,当年实际!$C:$C,"&gt;="&amp;DATE(YEAR(主页!$D$2),1,1),当年实际!$C:$C,"&lt;="&amp;EOMONTH(DATE(YEAR(主页!$D$2),MONTH(主页!$D$2),1),0)),"")</f>
        <v/>
      </c>
    </row>
    <row r="834" spans="1:10" x14ac:dyDescent="0.3">
      <c r="A834" s="129"/>
      <c r="B834" s="150"/>
      <c r="C834" s="150"/>
      <c r="D834" s="150"/>
      <c r="E834" s="140" t="str">
        <f t="shared" si="39"/>
        <v/>
      </c>
      <c r="F834" s="157"/>
      <c r="G834" s="145">
        <f t="shared" si="40"/>
        <v>0</v>
      </c>
      <c r="H834" s="140" t="str">
        <f t="shared" si="41"/>
        <v/>
      </c>
      <c r="J834" s="147" t="str">
        <f>IFERROR(SUMIFS(当年实际!$V:$V,当年实际!$J:$J,$C834,当年实际!$C:$C,"&gt;="&amp;DATE(YEAR(主页!$D$2),1,1),当年实际!$C:$C,"&lt;="&amp;EOMONTH(DATE(YEAR(主页!$D$2),MONTH(主页!$D$2),1),0))/SUMIFS(当年实际!$P:$P,当年实际!$J:$J,$C834,当年实际!$C:$C,"&gt;="&amp;DATE(YEAR(主页!$D$2),1,1),当年实际!$C:$C,"&lt;="&amp;EOMONTH(DATE(YEAR(主页!$D$2),MONTH(主页!$D$2),1),0)),"")</f>
        <v/>
      </c>
    </row>
    <row r="835" spans="1:10" x14ac:dyDescent="0.3">
      <c r="A835" s="129"/>
      <c r="B835" s="150"/>
      <c r="C835" s="150"/>
      <c r="D835" s="150"/>
      <c r="E835" s="140" t="str">
        <f t="shared" si="39"/>
        <v/>
      </c>
      <c r="F835" s="157"/>
      <c r="G835" s="145">
        <f t="shared" si="40"/>
        <v>0</v>
      </c>
      <c r="H835" s="140" t="str">
        <f t="shared" si="41"/>
        <v/>
      </c>
      <c r="J835" s="147" t="str">
        <f>IFERROR(SUMIFS(当年实际!$V:$V,当年实际!$J:$J,$C835,当年实际!$C:$C,"&gt;="&amp;DATE(YEAR(主页!$D$2),1,1),当年实际!$C:$C,"&lt;="&amp;EOMONTH(DATE(YEAR(主页!$D$2),MONTH(主页!$D$2),1),0))/SUMIFS(当年实际!$P:$P,当年实际!$J:$J,$C835,当年实际!$C:$C,"&gt;="&amp;DATE(YEAR(主页!$D$2),1,1),当年实际!$C:$C,"&lt;="&amp;EOMONTH(DATE(YEAR(主页!$D$2),MONTH(主页!$D$2),1),0)),"")</f>
        <v/>
      </c>
    </row>
    <row r="836" spans="1:10" x14ac:dyDescent="0.3">
      <c r="A836" s="129"/>
      <c r="B836" s="150"/>
      <c r="C836" s="150"/>
      <c r="D836" s="150"/>
      <c r="E836" s="140" t="str">
        <f t="shared" ref="E836:E899" si="42">IF(D836/SUM(D:D)=0,"",D836/SUM(D:D))</f>
        <v/>
      </c>
      <c r="F836" s="157"/>
      <c r="G836" s="145">
        <f t="shared" si="40"/>
        <v>0</v>
      </c>
      <c r="H836" s="140" t="str">
        <f t="shared" si="41"/>
        <v/>
      </c>
      <c r="J836" s="147" t="str">
        <f>IFERROR(SUMIFS(当年实际!$V:$V,当年实际!$J:$J,$C836,当年实际!$C:$C,"&gt;="&amp;DATE(YEAR(主页!$D$2),1,1),当年实际!$C:$C,"&lt;="&amp;EOMONTH(DATE(YEAR(主页!$D$2),MONTH(主页!$D$2),1),0))/SUMIFS(当年实际!$P:$P,当年实际!$J:$J,$C836,当年实际!$C:$C,"&gt;="&amp;DATE(YEAR(主页!$D$2),1,1),当年实际!$C:$C,"&lt;="&amp;EOMONTH(DATE(YEAR(主页!$D$2),MONTH(主页!$D$2),1),0)),"")</f>
        <v/>
      </c>
    </row>
    <row r="837" spans="1:10" x14ac:dyDescent="0.3">
      <c r="A837" s="129"/>
      <c r="B837" s="150"/>
      <c r="C837" s="150"/>
      <c r="D837" s="150"/>
      <c r="E837" s="140" t="str">
        <f t="shared" si="42"/>
        <v/>
      </c>
      <c r="F837" s="157"/>
      <c r="G837" s="145">
        <f t="shared" si="40"/>
        <v>0</v>
      </c>
      <c r="H837" s="140" t="str">
        <f t="shared" si="41"/>
        <v/>
      </c>
      <c r="J837" s="147" t="str">
        <f>IFERROR(SUMIFS(当年实际!$V:$V,当年实际!$J:$J,$C837,当年实际!$C:$C,"&gt;="&amp;DATE(YEAR(主页!$D$2),1,1),当年实际!$C:$C,"&lt;="&amp;EOMONTH(DATE(YEAR(主页!$D$2),MONTH(主页!$D$2),1),0))/SUMIFS(当年实际!$P:$P,当年实际!$J:$J,$C837,当年实际!$C:$C,"&gt;="&amp;DATE(YEAR(主页!$D$2),1,1),当年实际!$C:$C,"&lt;="&amp;EOMONTH(DATE(YEAR(主页!$D$2),MONTH(主页!$D$2),1),0)),"")</f>
        <v/>
      </c>
    </row>
    <row r="838" spans="1:10" x14ac:dyDescent="0.3">
      <c r="A838" s="129"/>
      <c r="B838" s="150"/>
      <c r="C838" s="150"/>
      <c r="D838" s="150"/>
      <c r="E838" s="140" t="str">
        <f t="shared" si="42"/>
        <v/>
      </c>
      <c r="F838" s="157"/>
      <c r="G838" s="145">
        <f t="shared" si="40"/>
        <v>0</v>
      </c>
      <c r="H838" s="140" t="str">
        <f t="shared" si="41"/>
        <v/>
      </c>
      <c r="J838" s="147" t="str">
        <f>IFERROR(SUMIFS(当年实际!$V:$V,当年实际!$J:$J,$C838,当年实际!$C:$C,"&gt;="&amp;DATE(YEAR(主页!$D$2),1,1),当年实际!$C:$C,"&lt;="&amp;EOMONTH(DATE(YEAR(主页!$D$2),MONTH(主页!$D$2),1),0))/SUMIFS(当年实际!$P:$P,当年实际!$J:$J,$C838,当年实际!$C:$C,"&gt;="&amp;DATE(YEAR(主页!$D$2),1,1),当年实际!$C:$C,"&lt;="&amp;EOMONTH(DATE(YEAR(主页!$D$2),MONTH(主页!$D$2),1),0)),"")</f>
        <v/>
      </c>
    </row>
    <row r="839" spans="1:10" x14ac:dyDescent="0.3">
      <c r="A839" s="129"/>
      <c r="B839" s="150"/>
      <c r="C839" s="150"/>
      <c r="D839" s="150"/>
      <c r="E839" s="140" t="str">
        <f t="shared" si="42"/>
        <v/>
      </c>
      <c r="F839" s="157"/>
      <c r="G839" s="145">
        <f t="shared" si="40"/>
        <v>0</v>
      </c>
      <c r="H839" s="140" t="str">
        <f t="shared" si="41"/>
        <v/>
      </c>
      <c r="J839" s="147" t="str">
        <f>IFERROR(SUMIFS(当年实际!$V:$V,当年实际!$J:$J,$C839,当年实际!$C:$C,"&gt;="&amp;DATE(YEAR(主页!$D$2),1,1),当年实际!$C:$C,"&lt;="&amp;EOMONTH(DATE(YEAR(主页!$D$2),MONTH(主页!$D$2),1),0))/SUMIFS(当年实际!$P:$P,当年实际!$J:$J,$C839,当年实际!$C:$C,"&gt;="&amp;DATE(YEAR(主页!$D$2),1,1),当年实际!$C:$C,"&lt;="&amp;EOMONTH(DATE(YEAR(主页!$D$2),MONTH(主页!$D$2),1),0)),"")</f>
        <v/>
      </c>
    </row>
    <row r="840" spans="1:10" x14ac:dyDescent="0.3">
      <c r="A840" s="129"/>
      <c r="B840" s="150"/>
      <c r="C840" s="150"/>
      <c r="D840" s="150"/>
      <c r="E840" s="140" t="str">
        <f t="shared" si="42"/>
        <v/>
      </c>
      <c r="F840" s="157"/>
      <c r="G840" s="145">
        <f t="shared" si="40"/>
        <v>0</v>
      </c>
      <c r="H840" s="140" t="str">
        <f t="shared" si="41"/>
        <v/>
      </c>
      <c r="J840" s="147" t="str">
        <f>IFERROR(SUMIFS(当年实际!$V:$V,当年实际!$J:$J,$C840,当年实际!$C:$C,"&gt;="&amp;DATE(YEAR(主页!$D$2),1,1),当年实际!$C:$C,"&lt;="&amp;EOMONTH(DATE(YEAR(主页!$D$2),MONTH(主页!$D$2),1),0))/SUMIFS(当年实际!$P:$P,当年实际!$J:$J,$C840,当年实际!$C:$C,"&gt;="&amp;DATE(YEAR(主页!$D$2),1,1),当年实际!$C:$C,"&lt;="&amp;EOMONTH(DATE(YEAR(主页!$D$2),MONTH(主页!$D$2),1),0)),"")</f>
        <v/>
      </c>
    </row>
    <row r="841" spans="1:10" x14ac:dyDescent="0.3">
      <c r="A841" s="129"/>
      <c r="B841" s="150"/>
      <c r="C841" s="150"/>
      <c r="D841" s="150"/>
      <c r="E841" s="140" t="str">
        <f t="shared" si="42"/>
        <v/>
      </c>
      <c r="F841" s="157"/>
      <c r="G841" s="145">
        <f t="shared" si="40"/>
        <v>0</v>
      </c>
      <c r="H841" s="140" t="str">
        <f t="shared" si="41"/>
        <v/>
      </c>
      <c r="J841" s="147" t="str">
        <f>IFERROR(SUMIFS(当年实际!$V:$V,当年实际!$J:$J,$C841,当年实际!$C:$C,"&gt;="&amp;DATE(YEAR(主页!$D$2),1,1),当年实际!$C:$C,"&lt;="&amp;EOMONTH(DATE(YEAR(主页!$D$2),MONTH(主页!$D$2),1),0))/SUMIFS(当年实际!$P:$P,当年实际!$J:$J,$C841,当年实际!$C:$C,"&gt;="&amp;DATE(YEAR(主页!$D$2),1,1),当年实际!$C:$C,"&lt;="&amp;EOMONTH(DATE(YEAR(主页!$D$2),MONTH(主页!$D$2),1),0)),"")</f>
        <v/>
      </c>
    </row>
    <row r="842" spans="1:10" x14ac:dyDescent="0.3">
      <c r="A842" s="129"/>
      <c r="B842" s="150"/>
      <c r="C842" s="150"/>
      <c r="D842" s="150"/>
      <c r="E842" s="140" t="str">
        <f t="shared" si="42"/>
        <v/>
      </c>
      <c r="F842" s="157"/>
      <c r="G842" s="145">
        <f t="shared" si="40"/>
        <v>0</v>
      </c>
      <c r="H842" s="140" t="str">
        <f t="shared" si="41"/>
        <v/>
      </c>
      <c r="J842" s="147" t="str">
        <f>IFERROR(SUMIFS(当年实际!$V:$V,当年实际!$J:$J,$C842,当年实际!$C:$C,"&gt;="&amp;DATE(YEAR(主页!$D$2),1,1),当年实际!$C:$C,"&lt;="&amp;EOMONTH(DATE(YEAR(主页!$D$2),MONTH(主页!$D$2),1),0))/SUMIFS(当年实际!$P:$P,当年实际!$J:$J,$C842,当年实际!$C:$C,"&gt;="&amp;DATE(YEAR(主页!$D$2),1,1),当年实际!$C:$C,"&lt;="&amp;EOMONTH(DATE(YEAR(主页!$D$2),MONTH(主页!$D$2),1),0)),"")</f>
        <v/>
      </c>
    </row>
    <row r="843" spans="1:10" x14ac:dyDescent="0.3">
      <c r="A843" s="129"/>
      <c r="B843" s="150"/>
      <c r="C843" s="150"/>
      <c r="D843" s="150"/>
      <c r="E843" s="140" t="str">
        <f t="shared" si="42"/>
        <v/>
      </c>
      <c r="F843" s="157"/>
      <c r="G843" s="145">
        <f t="shared" si="40"/>
        <v>0</v>
      </c>
      <c r="H843" s="140" t="str">
        <f t="shared" si="41"/>
        <v/>
      </c>
      <c r="J843" s="147" t="str">
        <f>IFERROR(SUMIFS(当年实际!$V:$V,当年实际!$J:$J,$C843,当年实际!$C:$C,"&gt;="&amp;DATE(YEAR(主页!$D$2),1,1),当年实际!$C:$C,"&lt;="&amp;EOMONTH(DATE(YEAR(主页!$D$2),MONTH(主页!$D$2),1),0))/SUMIFS(当年实际!$P:$P,当年实际!$J:$J,$C843,当年实际!$C:$C,"&gt;="&amp;DATE(YEAR(主页!$D$2),1,1),当年实际!$C:$C,"&lt;="&amp;EOMONTH(DATE(YEAR(主页!$D$2),MONTH(主页!$D$2),1),0)),"")</f>
        <v/>
      </c>
    </row>
    <row r="844" spans="1:10" x14ac:dyDescent="0.3">
      <c r="A844" s="129"/>
      <c r="B844" s="150"/>
      <c r="C844" s="150"/>
      <c r="D844" s="150"/>
      <c r="E844" s="140" t="str">
        <f t="shared" si="42"/>
        <v/>
      </c>
      <c r="F844" s="157"/>
      <c r="G844" s="145">
        <f t="shared" si="40"/>
        <v>0</v>
      </c>
      <c r="H844" s="140" t="str">
        <f t="shared" si="41"/>
        <v/>
      </c>
      <c r="J844" s="147" t="str">
        <f>IFERROR(SUMIFS(当年实际!$V:$V,当年实际!$J:$J,$C844,当年实际!$C:$C,"&gt;="&amp;DATE(YEAR(主页!$D$2),1,1),当年实际!$C:$C,"&lt;="&amp;EOMONTH(DATE(YEAR(主页!$D$2),MONTH(主页!$D$2),1),0))/SUMIFS(当年实际!$P:$P,当年实际!$J:$J,$C844,当年实际!$C:$C,"&gt;="&amp;DATE(YEAR(主页!$D$2),1,1),当年实际!$C:$C,"&lt;="&amp;EOMONTH(DATE(YEAR(主页!$D$2),MONTH(主页!$D$2),1),0)),"")</f>
        <v/>
      </c>
    </row>
    <row r="845" spans="1:10" x14ac:dyDescent="0.3">
      <c r="A845" s="129"/>
      <c r="B845" s="150"/>
      <c r="C845" s="150"/>
      <c r="D845" s="150"/>
      <c r="E845" s="140" t="str">
        <f t="shared" si="42"/>
        <v/>
      </c>
      <c r="F845" s="157"/>
      <c r="G845" s="145">
        <f t="shared" si="40"/>
        <v>0</v>
      </c>
      <c r="H845" s="140" t="str">
        <f t="shared" si="41"/>
        <v/>
      </c>
      <c r="J845" s="147" t="str">
        <f>IFERROR(SUMIFS(当年实际!$V:$V,当年实际!$J:$J,$C845,当年实际!$C:$C,"&gt;="&amp;DATE(YEAR(主页!$D$2),1,1),当年实际!$C:$C,"&lt;="&amp;EOMONTH(DATE(YEAR(主页!$D$2),MONTH(主页!$D$2),1),0))/SUMIFS(当年实际!$P:$P,当年实际!$J:$J,$C845,当年实际!$C:$C,"&gt;="&amp;DATE(YEAR(主页!$D$2),1,1),当年实际!$C:$C,"&lt;="&amp;EOMONTH(DATE(YEAR(主页!$D$2),MONTH(主页!$D$2),1),0)),"")</f>
        <v/>
      </c>
    </row>
    <row r="846" spans="1:10" x14ac:dyDescent="0.3">
      <c r="A846" s="129"/>
      <c r="B846" s="150"/>
      <c r="C846" s="150"/>
      <c r="D846" s="150"/>
      <c r="E846" s="140" t="str">
        <f t="shared" si="42"/>
        <v/>
      </c>
      <c r="F846" s="157"/>
      <c r="G846" s="145">
        <f t="shared" si="40"/>
        <v>0</v>
      </c>
      <c r="H846" s="140" t="str">
        <f t="shared" si="41"/>
        <v/>
      </c>
      <c r="J846" s="147" t="str">
        <f>IFERROR(SUMIFS(当年实际!$V:$V,当年实际!$J:$J,$C846,当年实际!$C:$C,"&gt;="&amp;DATE(YEAR(主页!$D$2),1,1),当年实际!$C:$C,"&lt;="&amp;EOMONTH(DATE(YEAR(主页!$D$2),MONTH(主页!$D$2),1),0))/SUMIFS(当年实际!$P:$P,当年实际!$J:$J,$C846,当年实际!$C:$C,"&gt;="&amp;DATE(YEAR(主页!$D$2),1,1),当年实际!$C:$C,"&lt;="&amp;EOMONTH(DATE(YEAR(主页!$D$2),MONTH(主页!$D$2),1),0)),"")</f>
        <v/>
      </c>
    </row>
    <row r="847" spans="1:10" x14ac:dyDescent="0.3">
      <c r="A847" s="129"/>
      <c r="B847" s="150"/>
      <c r="C847" s="150"/>
      <c r="D847" s="150"/>
      <c r="E847" s="140" t="str">
        <f t="shared" si="42"/>
        <v/>
      </c>
      <c r="F847" s="157"/>
      <c r="G847" s="145">
        <f t="shared" si="40"/>
        <v>0</v>
      </c>
      <c r="H847" s="140" t="str">
        <f t="shared" si="41"/>
        <v/>
      </c>
      <c r="J847" s="147" t="str">
        <f>IFERROR(SUMIFS(当年实际!$V:$V,当年实际!$J:$J,$C847,当年实际!$C:$C,"&gt;="&amp;DATE(YEAR(主页!$D$2),1,1),当年实际!$C:$C,"&lt;="&amp;EOMONTH(DATE(YEAR(主页!$D$2),MONTH(主页!$D$2),1),0))/SUMIFS(当年实际!$P:$P,当年实际!$J:$J,$C847,当年实际!$C:$C,"&gt;="&amp;DATE(YEAR(主页!$D$2),1,1),当年实际!$C:$C,"&lt;="&amp;EOMONTH(DATE(YEAR(主页!$D$2),MONTH(主页!$D$2),1),0)),"")</f>
        <v/>
      </c>
    </row>
    <row r="848" spans="1:10" x14ac:dyDescent="0.3">
      <c r="A848" s="129"/>
      <c r="B848" s="150"/>
      <c r="C848" s="150"/>
      <c r="D848" s="150"/>
      <c r="E848" s="140" t="str">
        <f t="shared" si="42"/>
        <v/>
      </c>
      <c r="F848" s="157"/>
      <c r="G848" s="145">
        <f t="shared" si="40"/>
        <v>0</v>
      </c>
      <c r="H848" s="140" t="str">
        <f t="shared" si="41"/>
        <v/>
      </c>
      <c r="J848" s="147" t="str">
        <f>IFERROR(SUMIFS(当年实际!$V:$V,当年实际!$J:$J,$C848,当年实际!$C:$C,"&gt;="&amp;DATE(YEAR(主页!$D$2),1,1),当年实际!$C:$C,"&lt;="&amp;EOMONTH(DATE(YEAR(主页!$D$2),MONTH(主页!$D$2),1),0))/SUMIFS(当年实际!$P:$P,当年实际!$J:$J,$C848,当年实际!$C:$C,"&gt;="&amp;DATE(YEAR(主页!$D$2),1,1),当年实际!$C:$C,"&lt;="&amp;EOMONTH(DATE(YEAR(主页!$D$2),MONTH(主页!$D$2),1),0)),"")</f>
        <v/>
      </c>
    </row>
    <row r="849" spans="1:10" x14ac:dyDescent="0.3">
      <c r="A849" s="129"/>
      <c r="B849" s="150"/>
      <c r="C849" s="150"/>
      <c r="D849" s="150"/>
      <c r="E849" s="140" t="str">
        <f t="shared" si="42"/>
        <v/>
      </c>
      <c r="F849" s="157"/>
      <c r="G849" s="145">
        <f t="shared" si="40"/>
        <v>0</v>
      </c>
      <c r="H849" s="140" t="str">
        <f t="shared" si="41"/>
        <v/>
      </c>
      <c r="J849" s="147" t="str">
        <f>IFERROR(SUMIFS(当年实际!$V:$V,当年实际!$J:$J,$C849,当年实际!$C:$C,"&gt;="&amp;DATE(YEAR(主页!$D$2),1,1),当年实际!$C:$C,"&lt;="&amp;EOMONTH(DATE(YEAR(主页!$D$2),MONTH(主页!$D$2),1),0))/SUMIFS(当年实际!$P:$P,当年实际!$J:$J,$C849,当年实际!$C:$C,"&gt;="&amp;DATE(YEAR(主页!$D$2),1,1),当年实际!$C:$C,"&lt;="&amp;EOMONTH(DATE(YEAR(主页!$D$2),MONTH(主页!$D$2),1),0)),"")</f>
        <v/>
      </c>
    </row>
    <row r="850" spans="1:10" x14ac:dyDescent="0.3">
      <c r="A850" s="129"/>
      <c r="B850" s="150"/>
      <c r="C850" s="150"/>
      <c r="D850" s="150"/>
      <c r="E850" s="140" t="str">
        <f t="shared" si="42"/>
        <v/>
      </c>
      <c r="F850" s="157"/>
      <c r="G850" s="145">
        <f t="shared" si="40"/>
        <v>0</v>
      </c>
      <c r="H850" s="140" t="str">
        <f t="shared" si="41"/>
        <v/>
      </c>
      <c r="J850" s="147" t="str">
        <f>IFERROR(SUMIFS(当年实际!$V:$V,当年实际!$J:$J,$C850,当年实际!$C:$C,"&gt;="&amp;DATE(YEAR(主页!$D$2),1,1),当年实际!$C:$C,"&lt;="&amp;EOMONTH(DATE(YEAR(主页!$D$2),MONTH(主页!$D$2),1),0))/SUMIFS(当年实际!$P:$P,当年实际!$J:$J,$C850,当年实际!$C:$C,"&gt;="&amp;DATE(YEAR(主页!$D$2),1,1),当年实际!$C:$C,"&lt;="&amp;EOMONTH(DATE(YEAR(主页!$D$2),MONTH(主页!$D$2),1),0)),"")</f>
        <v/>
      </c>
    </row>
    <row r="851" spans="1:10" x14ac:dyDescent="0.3">
      <c r="A851" s="129"/>
      <c r="B851" s="150"/>
      <c r="C851" s="150"/>
      <c r="D851" s="150"/>
      <c r="E851" s="140" t="str">
        <f t="shared" si="42"/>
        <v/>
      </c>
      <c r="F851" s="157"/>
      <c r="G851" s="145">
        <f t="shared" si="40"/>
        <v>0</v>
      </c>
      <c r="H851" s="140" t="str">
        <f t="shared" si="41"/>
        <v/>
      </c>
      <c r="J851" s="147" t="str">
        <f>IFERROR(SUMIFS(当年实际!$V:$V,当年实际!$J:$J,$C851,当年实际!$C:$C,"&gt;="&amp;DATE(YEAR(主页!$D$2),1,1),当年实际!$C:$C,"&lt;="&amp;EOMONTH(DATE(YEAR(主页!$D$2),MONTH(主页!$D$2),1),0))/SUMIFS(当年实际!$P:$P,当年实际!$J:$J,$C851,当年实际!$C:$C,"&gt;="&amp;DATE(YEAR(主页!$D$2),1,1),当年实际!$C:$C,"&lt;="&amp;EOMONTH(DATE(YEAR(主页!$D$2),MONTH(主页!$D$2),1),0)),"")</f>
        <v/>
      </c>
    </row>
    <row r="852" spans="1:10" x14ac:dyDescent="0.3">
      <c r="A852" s="129"/>
      <c r="B852" s="150"/>
      <c r="C852" s="150"/>
      <c r="D852" s="150"/>
      <c r="E852" s="140" t="str">
        <f t="shared" si="42"/>
        <v/>
      </c>
      <c r="F852" s="157"/>
      <c r="G852" s="145">
        <f t="shared" si="40"/>
        <v>0</v>
      </c>
      <c r="H852" s="140" t="str">
        <f t="shared" si="41"/>
        <v/>
      </c>
      <c r="J852" s="147" t="str">
        <f>IFERROR(SUMIFS(当年实际!$V:$V,当年实际!$J:$J,$C852,当年实际!$C:$C,"&gt;="&amp;DATE(YEAR(主页!$D$2),1,1),当年实际!$C:$C,"&lt;="&amp;EOMONTH(DATE(YEAR(主页!$D$2),MONTH(主页!$D$2),1),0))/SUMIFS(当年实际!$P:$P,当年实际!$J:$J,$C852,当年实际!$C:$C,"&gt;="&amp;DATE(YEAR(主页!$D$2),1,1),当年实际!$C:$C,"&lt;="&amp;EOMONTH(DATE(YEAR(主页!$D$2),MONTH(主页!$D$2),1),0)),"")</f>
        <v/>
      </c>
    </row>
    <row r="853" spans="1:10" x14ac:dyDescent="0.3">
      <c r="A853" s="129"/>
      <c r="B853" s="150"/>
      <c r="C853" s="150"/>
      <c r="D853" s="150"/>
      <c r="E853" s="140" t="str">
        <f t="shared" si="42"/>
        <v/>
      </c>
      <c r="F853" s="157"/>
      <c r="G853" s="145">
        <f t="shared" si="40"/>
        <v>0</v>
      </c>
      <c r="H853" s="140" t="str">
        <f t="shared" si="41"/>
        <v/>
      </c>
      <c r="J853" s="147" t="str">
        <f>IFERROR(SUMIFS(当年实际!$V:$V,当年实际!$J:$J,$C853,当年实际!$C:$C,"&gt;="&amp;DATE(YEAR(主页!$D$2),1,1),当年实际!$C:$C,"&lt;="&amp;EOMONTH(DATE(YEAR(主页!$D$2),MONTH(主页!$D$2),1),0))/SUMIFS(当年实际!$P:$P,当年实际!$J:$J,$C853,当年实际!$C:$C,"&gt;="&amp;DATE(YEAR(主页!$D$2),1,1),当年实际!$C:$C,"&lt;="&amp;EOMONTH(DATE(YEAR(主页!$D$2),MONTH(主页!$D$2),1),0)),"")</f>
        <v/>
      </c>
    </row>
    <row r="854" spans="1:10" x14ac:dyDescent="0.3">
      <c r="A854" s="129"/>
      <c r="B854" s="150"/>
      <c r="C854" s="150"/>
      <c r="D854" s="150"/>
      <c r="E854" s="140" t="str">
        <f t="shared" si="42"/>
        <v/>
      </c>
      <c r="F854" s="157"/>
      <c r="G854" s="145">
        <f t="shared" si="40"/>
        <v>0</v>
      </c>
      <c r="H854" s="140" t="str">
        <f t="shared" si="41"/>
        <v/>
      </c>
      <c r="J854" s="147" t="str">
        <f>IFERROR(SUMIFS(当年实际!$V:$V,当年实际!$J:$J,$C854,当年实际!$C:$C,"&gt;="&amp;DATE(YEAR(主页!$D$2),1,1),当年实际!$C:$C,"&lt;="&amp;EOMONTH(DATE(YEAR(主页!$D$2),MONTH(主页!$D$2),1),0))/SUMIFS(当年实际!$P:$P,当年实际!$J:$J,$C854,当年实际!$C:$C,"&gt;="&amp;DATE(YEAR(主页!$D$2),1,1),当年实际!$C:$C,"&lt;="&amp;EOMONTH(DATE(YEAR(主页!$D$2),MONTH(主页!$D$2),1),0)),"")</f>
        <v/>
      </c>
    </row>
    <row r="855" spans="1:10" x14ac:dyDescent="0.3">
      <c r="A855" s="129"/>
      <c r="B855" s="150"/>
      <c r="C855" s="150"/>
      <c r="D855" s="150"/>
      <c r="E855" s="140" t="str">
        <f t="shared" si="42"/>
        <v/>
      </c>
      <c r="F855" s="157"/>
      <c r="G855" s="145">
        <f t="shared" si="40"/>
        <v>0</v>
      </c>
      <c r="H855" s="140" t="str">
        <f t="shared" si="41"/>
        <v/>
      </c>
      <c r="J855" s="147" t="str">
        <f>IFERROR(SUMIFS(当年实际!$V:$V,当年实际!$J:$J,$C855,当年实际!$C:$C,"&gt;="&amp;DATE(YEAR(主页!$D$2),1,1),当年实际!$C:$C,"&lt;="&amp;EOMONTH(DATE(YEAR(主页!$D$2),MONTH(主页!$D$2),1),0))/SUMIFS(当年实际!$P:$P,当年实际!$J:$J,$C855,当年实际!$C:$C,"&gt;="&amp;DATE(YEAR(主页!$D$2),1,1),当年实际!$C:$C,"&lt;="&amp;EOMONTH(DATE(YEAR(主页!$D$2),MONTH(主页!$D$2),1),0)),"")</f>
        <v/>
      </c>
    </row>
    <row r="856" spans="1:10" x14ac:dyDescent="0.3">
      <c r="A856" s="129"/>
      <c r="B856" s="150"/>
      <c r="C856" s="150"/>
      <c r="D856" s="150"/>
      <c r="E856" s="140" t="str">
        <f t="shared" si="42"/>
        <v/>
      </c>
      <c r="F856" s="157"/>
      <c r="G856" s="145">
        <f t="shared" si="40"/>
        <v>0</v>
      </c>
      <c r="H856" s="140" t="str">
        <f t="shared" si="41"/>
        <v/>
      </c>
      <c r="J856" s="147" t="str">
        <f>IFERROR(SUMIFS(当年实际!$V:$V,当年实际!$J:$J,$C856,当年实际!$C:$C,"&gt;="&amp;DATE(YEAR(主页!$D$2),1,1),当年实际!$C:$C,"&lt;="&amp;EOMONTH(DATE(YEAR(主页!$D$2),MONTH(主页!$D$2),1),0))/SUMIFS(当年实际!$P:$P,当年实际!$J:$J,$C856,当年实际!$C:$C,"&gt;="&amp;DATE(YEAR(主页!$D$2),1,1),当年实际!$C:$C,"&lt;="&amp;EOMONTH(DATE(YEAR(主页!$D$2),MONTH(主页!$D$2),1),0)),"")</f>
        <v/>
      </c>
    </row>
    <row r="857" spans="1:10" x14ac:dyDescent="0.3">
      <c r="A857" s="129"/>
      <c r="B857" s="150"/>
      <c r="C857" s="150"/>
      <c r="D857" s="150"/>
      <c r="E857" s="140" t="str">
        <f t="shared" si="42"/>
        <v/>
      </c>
      <c r="F857" s="157"/>
      <c r="G857" s="145">
        <f t="shared" si="40"/>
        <v>0</v>
      </c>
      <c r="H857" s="140" t="str">
        <f t="shared" si="41"/>
        <v/>
      </c>
      <c r="J857" s="147" t="str">
        <f>IFERROR(SUMIFS(当年实际!$V:$V,当年实际!$J:$J,$C857,当年实际!$C:$C,"&gt;="&amp;DATE(YEAR(主页!$D$2),1,1),当年实际!$C:$C,"&lt;="&amp;EOMONTH(DATE(YEAR(主页!$D$2),MONTH(主页!$D$2),1),0))/SUMIFS(当年实际!$P:$P,当年实际!$J:$J,$C857,当年实际!$C:$C,"&gt;="&amp;DATE(YEAR(主页!$D$2),1,1),当年实际!$C:$C,"&lt;="&amp;EOMONTH(DATE(YEAR(主页!$D$2),MONTH(主页!$D$2),1),0)),"")</f>
        <v/>
      </c>
    </row>
    <row r="858" spans="1:10" x14ac:dyDescent="0.3">
      <c r="A858" s="129"/>
      <c r="B858" s="150"/>
      <c r="C858" s="150"/>
      <c r="D858" s="150"/>
      <c r="E858" s="140" t="str">
        <f t="shared" si="42"/>
        <v/>
      </c>
      <c r="F858" s="157"/>
      <c r="G858" s="145">
        <f t="shared" si="40"/>
        <v>0</v>
      </c>
      <c r="H858" s="140" t="str">
        <f t="shared" si="41"/>
        <v/>
      </c>
      <c r="J858" s="147" t="str">
        <f>IFERROR(SUMIFS(当年实际!$V:$V,当年实际!$J:$J,$C858,当年实际!$C:$C,"&gt;="&amp;DATE(YEAR(主页!$D$2),1,1),当年实际!$C:$C,"&lt;="&amp;EOMONTH(DATE(YEAR(主页!$D$2),MONTH(主页!$D$2),1),0))/SUMIFS(当年实际!$P:$P,当年实际!$J:$J,$C858,当年实际!$C:$C,"&gt;="&amp;DATE(YEAR(主页!$D$2),1,1),当年实际!$C:$C,"&lt;="&amp;EOMONTH(DATE(YEAR(主页!$D$2),MONTH(主页!$D$2),1),0)),"")</f>
        <v/>
      </c>
    </row>
    <row r="859" spans="1:10" x14ac:dyDescent="0.3">
      <c r="A859" s="129"/>
      <c r="B859" s="150"/>
      <c r="C859" s="150"/>
      <c r="D859" s="150"/>
      <c r="E859" s="140" t="str">
        <f t="shared" si="42"/>
        <v/>
      </c>
      <c r="F859" s="157"/>
      <c r="G859" s="145">
        <f t="shared" si="40"/>
        <v>0</v>
      </c>
      <c r="H859" s="140" t="str">
        <f t="shared" si="41"/>
        <v/>
      </c>
      <c r="J859" s="147" t="str">
        <f>IFERROR(SUMIFS(当年实际!$V:$V,当年实际!$J:$J,$C859,当年实际!$C:$C,"&gt;="&amp;DATE(YEAR(主页!$D$2),1,1),当年实际!$C:$C,"&lt;="&amp;EOMONTH(DATE(YEAR(主页!$D$2),MONTH(主页!$D$2),1),0))/SUMIFS(当年实际!$P:$P,当年实际!$J:$J,$C859,当年实际!$C:$C,"&gt;="&amp;DATE(YEAR(主页!$D$2),1,1),当年实际!$C:$C,"&lt;="&amp;EOMONTH(DATE(YEAR(主页!$D$2),MONTH(主页!$D$2),1),0)),"")</f>
        <v/>
      </c>
    </row>
    <row r="860" spans="1:10" x14ac:dyDescent="0.3">
      <c r="A860" s="129"/>
      <c r="B860" s="150"/>
      <c r="C860" s="150"/>
      <c r="D860" s="150"/>
      <c r="E860" s="140" t="str">
        <f t="shared" si="42"/>
        <v/>
      </c>
      <c r="F860" s="157"/>
      <c r="G860" s="145">
        <f t="shared" si="40"/>
        <v>0</v>
      </c>
      <c r="H860" s="140" t="str">
        <f t="shared" si="41"/>
        <v/>
      </c>
      <c r="J860" s="147" t="str">
        <f>IFERROR(SUMIFS(当年实际!$V:$V,当年实际!$J:$J,$C860,当年实际!$C:$C,"&gt;="&amp;DATE(YEAR(主页!$D$2),1,1),当年实际!$C:$C,"&lt;="&amp;EOMONTH(DATE(YEAR(主页!$D$2),MONTH(主页!$D$2),1),0))/SUMIFS(当年实际!$P:$P,当年实际!$J:$J,$C860,当年实际!$C:$C,"&gt;="&amp;DATE(YEAR(主页!$D$2),1,1),当年实际!$C:$C,"&lt;="&amp;EOMONTH(DATE(YEAR(主页!$D$2),MONTH(主页!$D$2),1),0)),"")</f>
        <v/>
      </c>
    </row>
    <row r="861" spans="1:10" x14ac:dyDescent="0.3">
      <c r="A861" s="129"/>
      <c r="B861" s="150"/>
      <c r="C861" s="150"/>
      <c r="D861" s="150"/>
      <c r="E861" s="140" t="str">
        <f t="shared" si="42"/>
        <v/>
      </c>
      <c r="F861" s="157"/>
      <c r="G861" s="145">
        <f t="shared" si="40"/>
        <v>0</v>
      </c>
      <c r="H861" s="140" t="str">
        <f t="shared" si="41"/>
        <v/>
      </c>
      <c r="J861" s="147" t="str">
        <f>IFERROR(SUMIFS(当年实际!$V:$V,当年实际!$J:$J,$C861,当年实际!$C:$C,"&gt;="&amp;DATE(YEAR(主页!$D$2),1,1),当年实际!$C:$C,"&lt;="&amp;EOMONTH(DATE(YEAR(主页!$D$2),MONTH(主页!$D$2),1),0))/SUMIFS(当年实际!$P:$P,当年实际!$J:$J,$C861,当年实际!$C:$C,"&gt;="&amp;DATE(YEAR(主页!$D$2),1,1),当年实际!$C:$C,"&lt;="&amp;EOMONTH(DATE(YEAR(主页!$D$2),MONTH(主页!$D$2),1),0)),"")</f>
        <v/>
      </c>
    </row>
    <row r="862" spans="1:10" x14ac:dyDescent="0.3">
      <c r="A862" s="129"/>
      <c r="B862" s="150"/>
      <c r="C862" s="150"/>
      <c r="D862" s="150"/>
      <c r="E862" s="140" t="str">
        <f t="shared" si="42"/>
        <v/>
      </c>
      <c r="F862" s="157"/>
      <c r="G862" s="145">
        <f t="shared" si="40"/>
        <v>0</v>
      </c>
      <c r="H862" s="140" t="str">
        <f t="shared" si="41"/>
        <v/>
      </c>
      <c r="J862" s="147" t="str">
        <f>IFERROR(SUMIFS(当年实际!$V:$V,当年实际!$J:$J,$C862,当年实际!$C:$C,"&gt;="&amp;DATE(YEAR(主页!$D$2),1,1),当年实际!$C:$C,"&lt;="&amp;EOMONTH(DATE(YEAR(主页!$D$2),MONTH(主页!$D$2),1),0))/SUMIFS(当年实际!$P:$P,当年实际!$J:$J,$C862,当年实际!$C:$C,"&gt;="&amp;DATE(YEAR(主页!$D$2),1,1),当年实际!$C:$C,"&lt;="&amp;EOMONTH(DATE(YEAR(主页!$D$2),MONTH(主页!$D$2),1),0)),"")</f>
        <v/>
      </c>
    </row>
    <row r="863" spans="1:10" x14ac:dyDescent="0.3">
      <c r="A863" s="129"/>
      <c r="B863" s="150"/>
      <c r="C863" s="150"/>
      <c r="D863" s="150"/>
      <c r="E863" s="140" t="str">
        <f t="shared" si="42"/>
        <v/>
      </c>
      <c r="F863" s="157"/>
      <c r="G863" s="145">
        <f t="shared" ref="G863:G926" si="43">D863*F863</f>
        <v>0</v>
      </c>
      <c r="H863" s="140" t="str">
        <f t="shared" ref="H863:H926" si="44">IF(G863/SUM(G:G)=0,"",G863/SUM(G:G))</f>
        <v/>
      </c>
      <c r="J863" s="147" t="str">
        <f>IFERROR(SUMIFS(当年实际!$V:$V,当年实际!$J:$J,$C863,当年实际!$C:$C,"&gt;="&amp;DATE(YEAR(主页!$D$2),1,1),当年实际!$C:$C,"&lt;="&amp;EOMONTH(DATE(YEAR(主页!$D$2),MONTH(主页!$D$2),1),0))/SUMIFS(当年实际!$P:$P,当年实际!$J:$J,$C863,当年实际!$C:$C,"&gt;="&amp;DATE(YEAR(主页!$D$2),1,1),当年实际!$C:$C,"&lt;="&amp;EOMONTH(DATE(YEAR(主页!$D$2),MONTH(主页!$D$2),1),0)),"")</f>
        <v/>
      </c>
    </row>
    <row r="864" spans="1:10" x14ac:dyDescent="0.3">
      <c r="A864" s="129"/>
      <c r="B864" s="150"/>
      <c r="C864" s="150"/>
      <c r="D864" s="150"/>
      <c r="E864" s="140" t="str">
        <f t="shared" si="42"/>
        <v/>
      </c>
      <c r="F864" s="157"/>
      <c r="G864" s="145">
        <f t="shared" si="43"/>
        <v>0</v>
      </c>
      <c r="H864" s="140" t="str">
        <f t="shared" si="44"/>
        <v/>
      </c>
      <c r="J864" s="147" t="str">
        <f>IFERROR(SUMIFS(当年实际!$V:$V,当年实际!$J:$J,$C864,当年实际!$C:$C,"&gt;="&amp;DATE(YEAR(主页!$D$2),1,1),当年实际!$C:$C,"&lt;="&amp;EOMONTH(DATE(YEAR(主页!$D$2),MONTH(主页!$D$2),1),0))/SUMIFS(当年实际!$P:$P,当年实际!$J:$J,$C864,当年实际!$C:$C,"&gt;="&amp;DATE(YEAR(主页!$D$2),1,1),当年实际!$C:$C,"&lt;="&amp;EOMONTH(DATE(YEAR(主页!$D$2),MONTH(主页!$D$2),1),0)),"")</f>
        <v/>
      </c>
    </row>
    <row r="865" spans="1:10" x14ac:dyDescent="0.3">
      <c r="A865" s="129"/>
      <c r="B865" s="150"/>
      <c r="C865" s="150"/>
      <c r="D865" s="150"/>
      <c r="E865" s="140" t="str">
        <f t="shared" si="42"/>
        <v/>
      </c>
      <c r="F865" s="157"/>
      <c r="G865" s="145">
        <f t="shared" si="43"/>
        <v>0</v>
      </c>
      <c r="H865" s="140" t="str">
        <f t="shared" si="44"/>
        <v/>
      </c>
      <c r="J865" s="147" t="str">
        <f>IFERROR(SUMIFS(当年实际!$V:$V,当年实际!$J:$J,$C865,当年实际!$C:$C,"&gt;="&amp;DATE(YEAR(主页!$D$2),1,1),当年实际!$C:$C,"&lt;="&amp;EOMONTH(DATE(YEAR(主页!$D$2),MONTH(主页!$D$2),1),0))/SUMIFS(当年实际!$P:$P,当年实际!$J:$J,$C865,当年实际!$C:$C,"&gt;="&amp;DATE(YEAR(主页!$D$2),1,1),当年实际!$C:$C,"&lt;="&amp;EOMONTH(DATE(YEAR(主页!$D$2),MONTH(主页!$D$2),1),0)),"")</f>
        <v/>
      </c>
    </row>
    <row r="866" spans="1:10" x14ac:dyDescent="0.3">
      <c r="A866" s="129"/>
      <c r="B866" s="150"/>
      <c r="C866" s="150"/>
      <c r="D866" s="150"/>
      <c r="E866" s="140" t="str">
        <f t="shared" si="42"/>
        <v/>
      </c>
      <c r="F866" s="157"/>
      <c r="G866" s="145">
        <f t="shared" si="43"/>
        <v>0</v>
      </c>
      <c r="H866" s="140" t="str">
        <f t="shared" si="44"/>
        <v/>
      </c>
      <c r="J866" s="147" t="str">
        <f>IFERROR(SUMIFS(当年实际!$V:$V,当年实际!$J:$J,$C866,当年实际!$C:$C,"&gt;="&amp;DATE(YEAR(主页!$D$2),1,1),当年实际!$C:$C,"&lt;="&amp;EOMONTH(DATE(YEAR(主页!$D$2),MONTH(主页!$D$2),1),0))/SUMIFS(当年实际!$P:$P,当年实际!$J:$J,$C866,当年实际!$C:$C,"&gt;="&amp;DATE(YEAR(主页!$D$2),1,1),当年实际!$C:$C,"&lt;="&amp;EOMONTH(DATE(YEAR(主页!$D$2),MONTH(主页!$D$2),1),0)),"")</f>
        <v/>
      </c>
    </row>
    <row r="867" spans="1:10" x14ac:dyDescent="0.3">
      <c r="A867" s="129"/>
      <c r="B867" s="150"/>
      <c r="C867" s="150"/>
      <c r="D867" s="150"/>
      <c r="E867" s="140" t="str">
        <f t="shared" si="42"/>
        <v/>
      </c>
      <c r="F867" s="157"/>
      <c r="G867" s="145">
        <f t="shared" si="43"/>
        <v>0</v>
      </c>
      <c r="H867" s="140" t="str">
        <f t="shared" si="44"/>
        <v/>
      </c>
      <c r="J867" s="147" t="str">
        <f>IFERROR(SUMIFS(当年实际!$V:$V,当年实际!$J:$J,$C867,当年实际!$C:$C,"&gt;="&amp;DATE(YEAR(主页!$D$2),1,1),当年实际!$C:$C,"&lt;="&amp;EOMONTH(DATE(YEAR(主页!$D$2),MONTH(主页!$D$2),1),0))/SUMIFS(当年实际!$P:$P,当年实际!$J:$J,$C867,当年实际!$C:$C,"&gt;="&amp;DATE(YEAR(主页!$D$2),1,1),当年实际!$C:$C,"&lt;="&amp;EOMONTH(DATE(YEAR(主页!$D$2),MONTH(主页!$D$2),1),0)),"")</f>
        <v/>
      </c>
    </row>
    <row r="868" spans="1:10" x14ac:dyDescent="0.3">
      <c r="A868" s="129"/>
      <c r="B868" s="150"/>
      <c r="C868" s="150"/>
      <c r="D868" s="150"/>
      <c r="E868" s="140" t="str">
        <f t="shared" si="42"/>
        <v/>
      </c>
      <c r="F868" s="157"/>
      <c r="G868" s="145">
        <f t="shared" si="43"/>
        <v>0</v>
      </c>
      <c r="H868" s="140" t="str">
        <f t="shared" si="44"/>
        <v/>
      </c>
      <c r="J868" s="147" t="str">
        <f>IFERROR(SUMIFS(当年实际!$V:$V,当年实际!$J:$J,$C868,当年实际!$C:$C,"&gt;="&amp;DATE(YEAR(主页!$D$2),1,1),当年实际!$C:$C,"&lt;="&amp;EOMONTH(DATE(YEAR(主页!$D$2),MONTH(主页!$D$2),1),0))/SUMIFS(当年实际!$P:$P,当年实际!$J:$J,$C868,当年实际!$C:$C,"&gt;="&amp;DATE(YEAR(主页!$D$2),1,1),当年实际!$C:$C,"&lt;="&amp;EOMONTH(DATE(YEAR(主页!$D$2),MONTH(主页!$D$2),1),0)),"")</f>
        <v/>
      </c>
    </row>
    <row r="869" spans="1:10" x14ac:dyDescent="0.3">
      <c r="A869" s="129"/>
      <c r="B869" s="150"/>
      <c r="C869" s="150"/>
      <c r="D869" s="150"/>
      <c r="E869" s="140" t="str">
        <f t="shared" si="42"/>
        <v/>
      </c>
      <c r="F869" s="157"/>
      <c r="G869" s="145">
        <f t="shared" si="43"/>
        <v>0</v>
      </c>
      <c r="H869" s="140" t="str">
        <f t="shared" si="44"/>
        <v/>
      </c>
      <c r="J869" s="147" t="str">
        <f>IFERROR(SUMIFS(当年实际!$V:$V,当年实际!$J:$J,$C869,当年实际!$C:$C,"&gt;="&amp;DATE(YEAR(主页!$D$2),1,1),当年实际!$C:$C,"&lt;="&amp;EOMONTH(DATE(YEAR(主页!$D$2),MONTH(主页!$D$2),1),0))/SUMIFS(当年实际!$P:$P,当年实际!$J:$J,$C869,当年实际!$C:$C,"&gt;="&amp;DATE(YEAR(主页!$D$2),1,1),当年实际!$C:$C,"&lt;="&amp;EOMONTH(DATE(YEAR(主页!$D$2),MONTH(主页!$D$2),1),0)),"")</f>
        <v/>
      </c>
    </row>
    <row r="870" spans="1:10" x14ac:dyDescent="0.3">
      <c r="A870" s="129"/>
      <c r="B870" s="150"/>
      <c r="C870" s="150"/>
      <c r="D870" s="150"/>
      <c r="E870" s="140" t="str">
        <f t="shared" si="42"/>
        <v/>
      </c>
      <c r="F870" s="157"/>
      <c r="G870" s="145">
        <f t="shared" si="43"/>
        <v>0</v>
      </c>
      <c r="H870" s="140" t="str">
        <f t="shared" si="44"/>
        <v/>
      </c>
      <c r="J870" s="147" t="str">
        <f>IFERROR(SUMIFS(当年实际!$V:$V,当年实际!$J:$J,$C870,当年实际!$C:$C,"&gt;="&amp;DATE(YEAR(主页!$D$2),1,1),当年实际!$C:$C,"&lt;="&amp;EOMONTH(DATE(YEAR(主页!$D$2),MONTH(主页!$D$2),1),0))/SUMIFS(当年实际!$P:$P,当年实际!$J:$J,$C870,当年实际!$C:$C,"&gt;="&amp;DATE(YEAR(主页!$D$2),1,1),当年实际!$C:$C,"&lt;="&amp;EOMONTH(DATE(YEAR(主页!$D$2),MONTH(主页!$D$2),1),0)),"")</f>
        <v/>
      </c>
    </row>
    <row r="871" spans="1:10" x14ac:dyDescent="0.3">
      <c r="A871" s="129"/>
      <c r="B871" s="150"/>
      <c r="C871" s="150"/>
      <c r="D871" s="150"/>
      <c r="E871" s="140" t="str">
        <f t="shared" si="42"/>
        <v/>
      </c>
      <c r="F871" s="157"/>
      <c r="G871" s="145">
        <f t="shared" si="43"/>
        <v>0</v>
      </c>
      <c r="H871" s="140" t="str">
        <f t="shared" si="44"/>
        <v/>
      </c>
      <c r="J871" s="147" t="str">
        <f>IFERROR(SUMIFS(当年实际!$V:$V,当年实际!$J:$J,$C871,当年实际!$C:$C,"&gt;="&amp;DATE(YEAR(主页!$D$2),1,1),当年实际!$C:$C,"&lt;="&amp;EOMONTH(DATE(YEAR(主页!$D$2),MONTH(主页!$D$2),1),0))/SUMIFS(当年实际!$P:$P,当年实际!$J:$J,$C871,当年实际!$C:$C,"&gt;="&amp;DATE(YEAR(主页!$D$2),1,1),当年实际!$C:$C,"&lt;="&amp;EOMONTH(DATE(YEAR(主页!$D$2),MONTH(主页!$D$2),1),0)),"")</f>
        <v/>
      </c>
    </row>
    <row r="872" spans="1:10" x14ac:dyDescent="0.3">
      <c r="A872" s="129"/>
      <c r="B872" s="150"/>
      <c r="C872" s="150"/>
      <c r="D872" s="150"/>
      <c r="E872" s="140" t="str">
        <f t="shared" si="42"/>
        <v/>
      </c>
      <c r="F872" s="157"/>
      <c r="G872" s="145">
        <f t="shared" si="43"/>
        <v>0</v>
      </c>
      <c r="H872" s="140" t="str">
        <f t="shared" si="44"/>
        <v/>
      </c>
      <c r="J872" s="147" t="str">
        <f>IFERROR(SUMIFS(当年实际!$V:$V,当年实际!$J:$J,$C872,当年实际!$C:$C,"&gt;="&amp;DATE(YEAR(主页!$D$2),1,1),当年实际!$C:$C,"&lt;="&amp;EOMONTH(DATE(YEAR(主页!$D$2),MONTH(主页!$D$2),1),0))/SUMIFS(当年实际!$P:$P,当年实际!$J:$J,$C872,当年实际!$C:$C,"&gt;="&amp;DATE(YEAR(主页!$D$2),1,1),当年实际!$C:$C,"&lt;="&amp;EOMONTH(DATE(YEAR(主页!$D$2),MONTH(主页!$D$2),1),0)),"")</f>
        <v/>
      </c>
    </row>
    <row r="873" spans="1:10" x14ac:dyDescent="0.3">
      <c r="A873" s="129"/>
      <c r="B873" s="150"/>
      <c r="C873" s="150"/>
      <c r="D873" s="150"/>
      <c r="E873" s="140" t="str">
        <f t="shared" si="42"/>
        <v/>
      </c>
      <c r="F873" s="157"/>
      <c r="G873" s="145">
        <f t="shared" si="43"/>
        <v>0</v>
      </c>
      <c r="H873" s="140" t="str">
        <f t="shared" si="44"/>
        <v/>
      </c>
      <c r="J873" s="147" t="str">
        <f>IFERROR(SUMIFS(当年实际!$V:$V,当年实际!$J:$J,$C873,当年实际!$C:$C,"&gt;="&amp;DATE(YEAR(主页!$D$2),1,1),当年实际!$C:$C,"&lt;="&amp;EOMONTH(DATE(YEAR(主页!$D$2),MONTH(主页!$D$2),1),0))/SUMIFS(当年实际!$P:$P,当年实际!$J:$J,$C873,当年实际!$C:$C,"&gt;="&amp;DATE(YEAR(主页!$D$2),1,1),当年实际!$C:$C,"&lt;="&amp;EOMONTH(DATE(YEAR(主页!$D$2),MONTH(主页!$D$2),1),0)),"")</f>
        <v/>
      </c>
    </row>
    <row r="874" spans="1:10" x14ac:dyDescent="0.3">
      <c r="A874" s="129"/>
      <c r="B874" s="150"/>
      <c r="C874" s="150"/>
      <c r="D874" s="150"/>
      <c r="E874" s="140" t="str">
        <f t="shared" si="42"/>
        <v/>
      </c>
      <c r="F874" s="157"/>
      <c r="G874" s="145">
        <f t="shared" si="43"/>
        <v>0</v>
      </c>
      <c r="H874" s="140" t="str">
        <f t="shared" si="44"/>
        <v/>
      </c>
      <c r="J874" s="147" t="str">
        <f>IFERROR(SUMIFS(当年实际!$V:$V,当年实际!$J:$J,$C874,当年实际!$C:$C,"&gt;="&amp;DATE(YEAR(主页!$D$2),1,1),当年实际!$C:$C,"&lt;="&amp;EOMONTH(DATE(YEAR(主页!$D$2),MONTH(主页!$D$2),1),0))/SUMIFS(当年实际!$P:$P,当年实际!$J:$J,$C874,当年实际!$C:$C,"&gt;="&amp;DATE(YEAR(主页!$D$2),1,1),当年实际!$C:$C,"&lt;="&amp;EOMONTH(DATE(YEAR(主页!$D$2),MONTH(主页!$D$2),1),0)),"")</f>
        <v/>
      </c>
    </row>
    <row r="875" spans="1:10" x14ac:dyDescent="0.3">
      <c r="A875" s="129"/>
      <c r="B875" s="150"/>
      <c r="C875" s="150"/>
      <c r="D875" s="150"/>
      <c r="E875" s="140" t="str">
        <f t="shared" si="42"/>
        <v/>
      </c>
      <c r="F875" s="157"/>
      <c r="G875" s="145">
        <f t="shared" si="43"/>
        <v>0</v>
      </c>
      <c r="H875" s="140" t="str">
        <f t="shared" si="44"/>
        <v/>
      </c>
      <c r="J875" s="147" t="str">
        <f>IFERROR(SUMIFS(当年实际!$V:$V,当年实际!$J:$J,$C875,当年实际!$C:$C,"&gt;="&amp;DATE(YEAR(主页!$D$2),1,1),当年实际!$C:$C,"&lt;="&amp;EOMONTH(DATE(YEAR(主页!$D$2),MONTH(主页!$D$2),1),0))/SUMIFS(当年实际!$P:$P,当年实际!$J:$J,$C875,当年实际!$C:$C,"&gt;="&amp;DATE(YEAR(主页!$D$2),1,1),当年实际!$C:$C,"&lt;="&amp;EOMONTH(DATE(YEAR(主页!$D$2),MONTH(主页!$D$2),1),0)),"")</f>
        <v/>
      </c>
    </row>
    <row r="876" spans="1:10" x14ac:dyDescent="0.3">
      <c r="A876" s="129"/>
      <c r="B876" s="150"/>
      <c r="C876" s="150"/>
      <c r="D876" s="150"/>
      <c r="E876" s="140" t="str">
        <f t="shared" si="42"/>
        <v/>
      </c>
      <c r="F876" s="157"/>
      <c r="G876" s="145">
        <f t="shared" si="43"/>
        <v>0</v>
      </c>
      <c r="H876" s="140" t="str">
        <f t="shared" si="44"/>
        <v/>
      </c>
      <c r="J876" s="147" t="str">
        <f>IFERROR(SUMIFS(当年实际!$V:$V,当年实际!$J:$J,$C876,当年实际!$C:$C,"&gt;="&amp;DATE(YEAR(主页!$D$2),1,1),当年实际!$C:$C,"&lt;="&amp;EOMONTH(DATE(YEAR(主页!$D$2),MONTH(主页!$D$2),1),0))/SUMIFS(当年实际!$P:$P,当年实际!$J:$J,$C876,当年实际!$C:$C,"&gt;="&amp;DATE(YEAR(主页!$D$2),1,1),当年实际!$C:$C,"&lt;="&amp;EOMONTH(DATE(YEAR(主页!$D$2),MONTH(主页!$D$2),1),0)),"")</f>
        <v/>
      </c>
    </row>
    <row r="877" spans="1:10" x14ac:dyDescent="0.3">
      <c r="A877" s="129"/>
      <c r="B877" s="150"/>
      <c r="C877" s="150"/>
      <c r="D877" s="150"/>
      <c r="E877" s="140" t="str">
        <f t="shared" si="42"/>
        <v/>
      </c>
      <c r="F877" s="157"/>
      <c r="G877" s="145">
        <f t="shared" si="43"/>
        <v>0</v>
      </c>
      <c r="H877" s="140" t="str">
        <f t="shared" si="44"/>
        <v/>
      </c>
      <c r="J877" s="147" t="str">
        <f>IFERROR(SUMIFS(当年实际!$V:$V,当年实际!$J:$J,$C877,当年实际!$C:$C,"&gt;="&amp;DATE(YEAR(主页!$D$2),1,1),当年实际!$C:$C,"&lt;="&amp;EOMONTH(DATE(YEAR(主页!$D$2),MONTH(主页!$D$2),1),0))/SUMIFS(当年实际!$P:$P,当年实际!$J:$J,$C877,当年实际!$C:$C,"&gt;="&amp;DATE(YEAR(主页!$D$2),1,1),当年实际!$C:$C,"&lt;="&amp;EOMONTH(DATE(YEAR(主页!$D$2),MONTH(主页!$D$2),1),0)),"")</f>
        <v/>
      </c>
    </row>
    <row r="878" spans="1:10" x14ac:dyDescent="0.3">
      <c r="A878" s="129"/>
      <c r="B878" s="150"/>
      <c r="C878" s="150"/>
      <c r="D878" s="150"/>
      <c r="E878" s="140" t="str">
        <f t="shared" si="42"/>
        <v/>
      </c>
      <c r="F878" s="157"/>
      <c r="G878" s="145">
        <f t="shared" si="43"/>
        <v>0</v>
      </c>
      <c r="H878" s="140" t="str">
        <f t="shared" si="44"/>
        <v/>
      </c>
      <c r="J878" s="147" t="str">
        <f>IFERROR(SUMIFS(当年实际!$V:$V,当年实际!$J:$J,$C878,当年实际!$C:$C,"&gt;="&amp;DATE(YEAR(主页!$D$2),1,1),当年实际!$C:$C,"&lt;="&amp;EOMONTH(DATE(YEAR(主页!$D$2),MONTH(主页!$D$2),1),0))/SUMIFS(当年实际!$P:$P,当年实际!$J:$J,$C878,当年实际!$C:$C,"&gt;="&amp;DATE(YEAR(主页!$D$2),1,1),当年实际!$C:$C,"&lt;="&amp;EOMONTH(DATE(YEAR(主页!$D$2),MONTH(主页!$D$2),1),0)),"")</f>
        <v/>
      </c>
    </row>
    <row r="879" spans="1:10" x14ac:dyDescent="0.3">
      <c r="A879" s="129"/>
      <c r="B879" s="150"/>
      <c r="C879" s="150"/>
      <c r="D879" s="150"/>
      <c r="E879" s="140" t="str">
        <f t="shared" si="42"/>
        <v/>
      </c>
      <c r="F879" s="157"/>
      <c r="G879" s="145">
        <f t="shared" si="43"/>
        <v>0</v>
      </c>
      <c r="H879" s="140" t="str">
        <f t="shared" si="44"/>
        <v/>
      </c>
      <c r="J879" s="147" t="str">
        <f>IFERROR(SUMIFS(当年实际!$V:$V,当年实际!$J:$J,$C879,当年实际!$C:$C,"&gt;="&amp;DATE(YEAR(主页!$D$2),1,1),当年实际!$C:$C,"&lt;="&amp;EOMONTH(DATE(YEAR(主页!$D$2),MONTH(主页!$D$2),1),0))/SUMIFS(当年实际!$P:$P,当年实际!$J:$J,$C879,当年实际!$C:$C,"&gt;="&amp;DATE(YEAR(主页!$D$2),1,1),当年实际!$C:$C,"&lt;="&amp;EOMONTH(DATE(YEAR(主页!$D$2),MONTH(主页!$D$2),1),0)),"")</f>
        <v/>
      </c>
    </row>
    <row r="880" spans="1:10" x14ac:dyDescent="0.3">
      <c r="A880" s="129"/>
      <c r="B880" s="150"/>
      <c r="C880" s="150"/>
      <c r="D880" s="150"/>
      <c r="E880" s="140" t="str">
        <f t="shared" si="42"/>
        <v/>
      </c>
      <c r="F880" s="157"/>
      <c r="G880" s="145">
        <f t="shared" si="43"/>
        <v>0</v>
      </c>
      <c r="H880" s="140" t="str">
        <f t="shared" si="44"/>
        <v/>
      </c>
      <c r="J880" s="147" t="str">
        <f>IFERROR(SUMIFS(当年实际!$V:$V,当年实际!$J:$J,$C880,当年实际!$C:$C,"&gt;="&amp;DATE(YEAR(主页!$D$2),1,1),当年实际!$C:$C,"&lt;="&amp;EOMONTH(DATE(YEAR(主页!$D$2),MONTH(主页!$D$2),1),0))/SUMIFS(当年实际!$P:$P,当年实际!$J:$J,$C880,当年实际!$C:$C,"&gt;="&amp;DATE(YEAR(主页!$D$2),1,1),当年实际!$C:$C,"&lt;="&amp;EOMONTH(DATE(YEAR(主页!$D$2),MONTH(主页!$D$2),1),0)),"")</f>
        <v/>
      </c>
    </row>
    <row r="881" spans="1:10" x14ac:dyDescent="0.3">
      <c r="A881" s="129"/>
      <c r="B881" s="150"/>
      <c r="C881" s="150"/>
      <c r="D881" s="150"/>
      <c r="E881" s="140" t="str">
        <f t="shared" si="42"/>
        <v/>
      </c>
      <c r="F881" s="157"/>
      <c r="G881" s="145">
        <f t="shared" si="43"/>
        <v>0</v>
      </c>
      <c r="H881" s="140" t="str">
        <f t="shared" si="44"/>
        <v/>
      </c>
      <c r="J881" s="147" t="str">
        <f>IFERROR(SUMIFS(当年实际!$V:$V,当年实际!$J:$J,$C881,当年实际!$C:$C,"&gt;="&amp;DATE(YEAR(主页!$D$2),1,1),当年实际!$C:$C,"&lt;="&amp;EOMONTH(DATE(YEAR(主页!$D$2),MONTH(主页!$D$2),1),0))/SUMIFS(当年实际!$P:$P,当年实际!$J:$J,$C881,当年实际!$C:$C,"&gt;="&amp;DATE(YEAR(主页!$D$2),1,1),当年实际!$C:$C,"&lt;="&amp;EOMONTH(DATE(YEAR(主页!$D$2),MONTH(主页!$D$2),1),0)),"")</f>
        <v/>
      </c>
    </row>
    <row r="882" spans="1:10" x14ac:dyDescent="0.3">
      <c r="A882" s="129"/>
      <c r="B882" s="150"/>
      <c r="C882" s="150"/>
      <c r="D882" s="150"/>
      <c r="E882" s="140" t="str">
        <f t="shared" si="42"/>
        <v/>
      </c>
      <c r="F882" s="157"/>
      <c r="G882" s="145">
        <f t="shared" si="43"/>
        <v>0</v>
      </c>
      <c r="H882" s="140" t="str">
        <f t="shared" si="44"/>
        <v/>
      </c>
      <c r="J882" s="147" t="str">
        <f>IFERROR(SUMIFS(当年实际!$V:$V,当年实际!$J:$J,$C882,当年实际!$C:$C,"&gt;="&amp;DATE(YEAR(主页!$D$2),1,1),当年实际!$C:$C,"&lt;="&amp;EOMONTH(DATE(YEAR(主页!$D$2),MONTH(主页!$D$2),1),0))/SUMIFS(当年实际!$P:$P,当年实际!$J:$J,$C882,当年实际!$C:$C,"&gt;="&amp;DATE(YEAR(主页!$D$2),1,1),当年实际!$C:$C,"&lt;="&amp;EOMONTH(DATE(YEAR(主页!$D$2),MONTH(主页!$D$2),1),0)),"")</f>
        <v/>
      </c>
    </row>
    <row r="883" spans="1:10" x14ac:dyDescent="0.3">
      <c r="A883" s="129"/>
      <c r="B883" s="150"/>
      <c r="C883" s="150"/>
      <c r="D883" s="150"/>
      <c r="E883" s="140" t="str">
        <f t="shared" si="42"/>
        <v/>
      </c>
      <c r="F883" s="157"/>
      <c r="G883" s="145">
        <f t="shared" si="43"/>
        <v>0</v>
      </c>
      <c r="H883" s="140" t="str">
        <f t="shared" si="44"/>
        <v/>
      </c>
      <c r="J883" s="147" t="str">
        <f>IFERROR(SUMIFS(当年实际!$V:$V,当年实际!$J:$J,$C883,当年实际!$C:$C,"&gt;="&amp;DATE(YEAR(主页!$D$2),1,1),当年实际!$C:$C,"&lt;="&amp;EOMONTH(DATE(YEAR(主页!$D$2),MONTH(主页!$D$2),1),0))/SUMIFS(当年实际!$P:$P,当年实际!$J:$J,$C883,当年实际!$C:$C,"&gt;="&amp;DATE(YEAR(主页!$D$2),1,1),当年实际!$C:$C,"&lt;="&amp;EOMONTH(DATE(YEAR(主页!$D$2),MONTH(主页!$D$2),1),0)),"")</f>
        <v/>
      </c>
    </row>
    <row r="884" spans="1:10" x14ac:dyDescent="0.3">
      <c r="A884" s="129"/>
      <c r="B884" s="150"/>
      <c r="C884" s="150"/>
      <c r="D884" s="150"/>
      <c r="E884" s="140" t="str">
        <f t="shared" si="42"/>
        <v/>
      </c>
      <c r="F884" s="157"/>
      <c r="G884" s="145">
        <f t="shared" si="43"/>
        <v>0</v>
      </c>
      <c r="H884" s="140" t="str">
        <f t="shared" si="44"/>
        <v/>
      </c>
      <c r="J884" s="147" t="str">
        <f>IFERROR(SUMIFS(当年实际!$V:$V,当年实际!$J:$J,$C884,当年实际!$C:$C,"&gt;="&amp;DATE(YEAR(主页!$D$2),1,1),当年实际!$C:$C,"&lt;="&amp;EOMONTH(DATE(YEAR(主页!$D$2),MONTH(主页!$D$2),1),0))/SUMIFS(当年实际!$P:$P,当年实际!$J:$J,$C884,当年实际!$C:$C,"&gt;="&amp;DATE(YEAR(主页!$D$2),1,1),当年实际!$C:$C,"&lt;="&amp;EOMONTH(DATE(YEAR(主页!$D$2),MONTH(主页!$D$2),1),0)),"")</f>
        <v/>
      </c>
    </row>
    <row r="885" spans="1:10" x14ac:dyDescent="0.3">
      <c r="A885" s="129"/>
      <c r="B885" s="150"/>
      <c r="C885" s="150"/>
      <c r="D885" s="150"/>
      <c r="E885" s="140" t="str">
        <f t="shared" si="42"/>
        <v/>
      </c>
      <c r="F885" s="157"/>
      <c r="G885" s="145">
        <f t="shared" si="43"/>
        <v>0</v>
      </c>
      <c r="H885" s="140" t="str">
        <f t="shared" si="44"/>
        <v/>
      </c>
      <c r="J885" s="147" t="str">
        <f>IFERROR(SUMIFS(当年实际!$V:$V,当年实际!$J:$J,$C885,当年实际!$C:$C,"&gt;="&amp;DATE(YEAR(主页!$D$2),1,1),当年实际!$C:$C,"&lt;="&amp;EOMONTH(DATE(YEAR(主页!$D$2),MONTH(主页!$D$2),1),0))/SUMIFS(当年实际!$P:$P,当年实际!$J:$J,$C885,当年实际!$C:$C,"&gt;="&amp;DATE(YEAR(主页!$D$2),1,1),当年实际!$C:$C,"&lt;="&amp;EOMONTH(DATE(YEAR(主页!$D$2),MONTH(主页!$D$2),1),0)),"")</f>
        <v/>
      </c>
    </row>
    <row r="886" spans="1:10" x14ac:dyDescent="0.3">
      <c r="A886" s="129"/>
      <c r="B886" s="150"/>
      <c r="C886" s="150"/>
      <c r="D886" s="150"/>
      <c r="E886" s="140" t="str">
        <f t="shared" si="42"/>
        <v/>
      </c>
      <c r="F886" s="157"/>
      <c r="G886" s="145">
        <f t="shared" si="43"/>
        <v>0</v>
      </c>
      <c r="H886" s="140" t="str">
        <f t="shared" si="44"/>
        <v/>
      </c>
      <c r="J886" s="147" t="str">
        <f>IFERROR(SUMIFS(当年实际!$V:$V,当年实际!$J:$J,$C886,当年实际!$C:$C,"&gt;="&amp;DATE(YEAR(主页!$D$2),1,1),当年实际!$C:$C,"&lt;="&amp;EOMONTH(DATE(YEAR(主页!$D$2),MONTH(主页!$D$2),1),0))/SUMIFS(当年实际!$P:$P,当年实际!$J:$J,$C886,当年实际!$C:$C,"&gt;="&amp;DATE(YEAR(主页!$D$2),1,1),当年实际!$C:$C,"&lt;="&amp;EOMONTH(DATE(YEAR(主页!$D$2),MONTH(主页!$D$2),1),0)),"")</f>
        <v/>
      </c>
    </row>
    <row r="887" spans="1:10" x14ac:dyDescent="0.3">
      <c r="A887" s="129"/>
      <c r="B887" s="150"/>
      <c r="C887" s="150"/>
      <c r="D887" s="150"/>
      <c r="E887" s="140" t="str">
        <f t="shared" si="42"/>
        <v/>
      </c>
      <c r="F887" s="157"/>
      <c r="G887" s="145">
        <f t="shared" si="43"/>
        <v>0</v>
      </c>
      <c r="H887" s="140" t="str">
        <f t="shared" si="44"/>
        <v/>
      </c>
      <c r="J887" s="147" t="str">
        <f>IFERROR(SUMIFS(当年实际!$V:$V,当年实际!$J:$J,$C887,当年实际!$C:$C,"&gt;="&amp;DATE(YEAR(主页!$D$2),1,1),当年实际!$C:$C,"&lt;="&amp;EOMONTH(DATE(YEAR(主页!$D$2),MONTH(主页!$D$2),1),0))/SUMIFS(当年实际!$P:$P,当年实际!$J:$J,$C887,当年实际!$C:$C,"&gt;="&amp;DATE(YEAR(主页!$D$2),1,1),当年实际!$C:$C,"&lt;="&amp;EOMONTH(DATE(YEAR(主页!$D$2),MONTH(主页!$D$2),1),0)),"")</f>
        <v/>
      </c>
    </row>
    <row r="888" spans="1:10" x14ac:dyDescent="0.3">
      <c r="A888" s="129"/>
      <c r="B888" s="150"/>
      <c r="C888" s="150"/>
      <c r="D888" s="150"/>
      <c r="E888" s="140" t="str">
        <f t="shared" si="42"/>
        <v/>
      </c>
      <c r="F888" s="157"/>
      <c r="G888" s="145">
        <f t="shared" si="43"/>
        <v>0</v>
      </c>
      <c r="H888" s="140" t="str">
        <f t="shared" si="44"/>
        <v/>
      </c>
      <c r="J888" s="147" t="str">
        <f>IFERROR(SUMIFS(当年实际!$V:$V,当年实际!$J:$J,$C888,当年实际!$C:$C,"&gt;="&amp;DATE(YEAR(主页!$D$2),1,1),当年实际!$C:$C,"&lt;="&amp;EOMONTH(DATE(YEAR(主页!$D$2),MONTH(主页!$D$2),1),0))/SUMIFS(当年实际!$P:$P,当年实际!$J:$J,$C888,当年实际!$C:$C,"&gt;="&amp;DATE(YEAR(主页!$D$2),1,1),当年实际!$C:$C,"&lt;="&amp;EOMONTH(DATE(YEAR(主页!$D$2),MONTH(主页!$D$2),1),0)),"")</f>
        <v/>
      </c>
    </row>
    <row r="889" spans="1:10" x14ac:dyDescent="0.3">
      <c r="A889" s="129"/>
      <c r="B889" s="150"/>
      <c r="C889" s="150"/>
      <c r="D889" s="150"/>
      <c r="E889" s="140" t="str">
        <f t="shared" si="42"/>
        <v/>
      </c>
      <c r="F889" s="157"/>
      <c r="G889" s="145">
        <f t="shared" si="43"/>
        <v>0</v>
      </c>
      <c r="H889" s="140" t="str">
        <f t="shared" si="44"/>
        <v/>
      </c>
      <c r="J889" s="147" t="str">
        <f>IFERROR(SUMIFS(当年实际!$V:$V,当年实际!$J:$J,$C889,当年实际!$C:$C,"&gt;="&amp;DATE(YEAR(主页!$D$2),1,1),当年实际!$C:$C,"&lt;="&amp;EOMONTH(DATE(YEAR(主页!$D$2),MONTH(主页!$D$2),1),0))/SUMIFS(当年实际!$P:$P,当年实际!$J:$J,$C889,当年实际!$C:$C,"&gt;="&amp;DATE(YEAR(主页!$D$2),1,1),当年实际!$C:$C,"&lt;="&amp;EOMONTH(DATE(YEAR(主页!$D$2),MONTH(主页!$D$2),1),0)),"")</f>
        <v/>
      </c>
    </row>
    <row r="890" spans="1:10" x14ac:dyDescent="0.3">
      <c r="A890" s="129"/>
      <c r="B890" s="150"/>
      <c r="C890" s="150"/>
      <c r="D890" s="150"/>
      <c r="E890" s="140" t="str">
        <f t="shared" si="42"/>
        <v/>
      </c>
      <c r="F890" s="157"/>
      <c r="G890" s="145">
        <f t="shared" si="43"/>
        <v>0</v>
      </c>
      <c r="H890" s="140" t="str">
        <f t="shared" si="44"/>
        <v/>
      </c>
      <c r="J890" s="147" t="str">
        <f>IFERROR(SUMIFS(当年实际!$V:$V,当年实际!$J:$J,$C890,当年实际!$C:$C,"&gt;="&amp;DATE(YEAR(主页!$D$2),1,1),当年实际!$C:$C,"&lt;="&amp;EOMONTH(DATE(YEAR(主页!$D$2),MONTH(主页!$D$2),1),0))/SUMIFS(当年实际!$P:$P,当年实际!$J:$J,$C890,当年实际!$C:$C,"&gt;="&amp;DATE(YEAR(主页!$D$2),1,1),当年实际!$C:$C,"&lt;="&amp;EOMONTH(DATE(YEAR(主页!$D$2),MONTH(主页!$D$2),1),0)),"")</f>
        <v/>
      </c>
    </row>
    <row r="891" spans="1:10" x14ac:dyDescent="0.3">
      <c r="A891" s="129"/>
      <c r="B891" s="150"/>
      <c r="C891" s="150"/>
      <c r="D891" s="150"/>
      <c r="E891" s="140" t="str">
        <f t="shared" si="42"/>
        <v/>
      </c>
      <c r="F891" s="157"/>
      <c r="G891" s="145">
        <f t="shared" si="43"/>
        <v>0</v>
      </c>
      <c r="H891" s="140" t="str">
        <f t="shared" si="44"/>
        <v/>
      </c>
      <c r="J891" s="147" t="str">
        <f>IFERROR(SUMIFS(当年实际!$V:$V,当年实际!$J:$J,$C891,当年实际!$C:$C,"&gt;="&amp;DATE(YEAR(主页!$D$2),1,1),当年实际!$C:$C,"&lt;="&amp;EOMONTH(DATE(YEAR(主页!$D$2),MONTH(主页!$D$2),1),0))/SUMIFS(当年实际!$P:$P,当年实际!$J:$J,$C891,当年实际!$C:$C,"&gt;="&amp;DATE(YEAR(主页!$D$2),1,1),当年实际!$C:$C,"&lt;="&amp;EOMONTH(DATE(YEAR(主页!$D$2),MONTH(主页!$D$2),1),0)),"")</f>
        <v/>
      </c>
    </row>
    <row r="892" spans="1:10" x14ac:dyDescent="0.3">
      <c r="A892" s="129"/>
      <c r="B892" s="150"/>
      <c r="C892" s="150"/>
      <c r="D892" s="150"/>
      <c r="E892" s="140" t="str">
        <f t="shared" si="42"/>
        <v/>
      </c>
      <c r="F892" s="157"/>
      <c r="G892" s="145">
        <f t="shared" si="43"/>
        <v>0</v>
      </c>
      <c r="H892" s="140" t="str">
        <f t="shared" si="44"/>
        <v/>
      </c>
      <c r="J892" s="147" t="str">
        <f>IFERROR(SUMIFS(当年实际!$V:$V,当年实际!$J:$J,$C892,当年实际!$C:$C,"&gt;="&amp;DATE(YEAR(主页!$D$2),1,1),当年实际!$C:$C,"&lt;="&amp;EOMONTH(DATE(YEAR(主页!$D$2),MONTH(主页!$D$2),1),0))/SUMIFS(当年实际!$P:$P,当年实际!$J:$J,$C892,当年实际!$C:$C,"&gt;="&amp;DATE(YEAR(主页!$D$2),1,1),当年实际!$C:$C,"&lt;="&amp;EOMONTH(DATE(YEAR(主页!$D$2),MONTH(主页!$D$2),1),0)),"")</f>
        <v/>
      </c>
    </row>
    <row r="893" spans="1:10" x14ac:dyDescent="0.3">
      <c r="A893" s="129"/>
      <c r="B893" s="150"/>
      <c r="C893" s="150"/>
      <c r="D893" s="150"/>
      <c r="E893" s="140" t="str">
        <f t="shared" si="42"/>
        <v/>
      </c>
      <c r="F893" s="157"/>
      <c r="G893" s="145">
        <f t="shared" si="43"/>
        <v>0</v>
      </c>
      <c r="H893" s="140" t="str">
        <f t="shared" si="44"/>
        <v/>
      </c>
      <c r="J893" s="147" t="str">
        <f>IFERROR(SUMIFS(当年实际!$V:$V,当年实际!$J:$J,$C893,当年实际!$C:$C,"&gt;="&amp;DATE(YEAR(主页!$D$2),1,1),当年实际!$C:$C,"&lt;="&amp;EOMONTH(DATE(YEAR(主页!$D$2),MONTH(主页!$D$2),1),0))/SUMIFS(当年实际!$P:$P,当年实际!$J:$J,$C893,当年实际!$C:$C,"&gt;="&amp;DATE(YEAR(主页!$D$2),1,1),当年实际!$C:$C,"&lt;="&amp;EOMONTH(DATE(YEAR(主页!$D$2),MONTH(主页!$D$2),1),0)),"")</f>
        <v/>
      </c>
    </row>
    <row r="894" spans="1:10" x14ac:dyDescent="0.3">
      <c r="A894" s="129"/>
      <c r="B894" s="150"/>
      <c r="C894" s="150"/>
      <c r="D894" s="150"/>
      <c r="E894" s="140" t="str">
        <f t="shared" si="42"/>
        <v/>
      </c>
      <c r="F894" s="157"/>
      <c r="G894" s="145">
        <f t="shared" si="43"/>
        <v>0</v>
      </c>
      <c r="H894" s="140" t="str">
        <f t="shared" si="44"/>
        <v/>
      </c>
      <c r="J894" s="147" t="str">
        <f>IFERROR(SUMIFS(当年实际!$V:$V,当年实际!$J:$J,$C894,当年实际!$C:$C,"&gt;="&amp;DATE(YEAR(主页!$D$2),1,1),当年实际!$C:$C,"&lt;="&amp;EOMONTH(DATE(YEAR(主页!$D$2),MONTH(主页!$D$2),1),0))/SUMIFS(当年实际!$P:$P,当年实际!$J:$J,$C894,当年实际!$C:$C,"&gt;="&amp;DATE(YEAR(主页!$D$2),1,1),当年实际!$C:$C,"&lt;="&amp;EOMONTH(DATE(YEAR(主页!$D$2),MONTH(主页!$D$2),1),0)),"")</f>
        <v/>
      </c>
    </row>
    <row r="895" spans="1:10" x14ac:dyDescent="0.3">
      <c r="A895" s="129"/>
      <c r="B895" s="150"/>
      <c r="C895" s="150"/>
      <c r="D895" s="150"/>
      <c r="E895" s="140" t="str">
        <f t="shared" si="42"/>
        <v/>
      </c>
      <c r="F895" s="157"/>
      <c r="G895" s="145">
        <f t="shared" si="43"/>
        <v>0</v>
      </c>
      <c r="H895" s="140" t="str">
        <f t="shared" si="44"/>
        <v/>
      </c>
      <c r="J895" s="147" t="str">
        <f>IFERROR(SUMIFS(当年实际!$V:$V,当年实际!$J:$J,$C895,当年实际!$C:$C,"&gt;="&amp;DATE(YEAR(主页!$D$2),1,1),当年实际!$C:$C,"&lt;="&amp;EOMONTH(DATE(YEAR(主页!$D$2),MONTH(主页!$D$2),1),0))/SUMIFS(当年实际!$P:$P,当年实际!$J:$J,$C895,当年实际!$C:$C,"&gt;="&amp;DATE(YEAR(主页!$D$2),1,1),当年实际!$C:$C,"&lt;="&amp;EOMONTH(DATE(YEAR(主页!$D$2),MONTH(主页!$D$2),1),0)),"")</f>
        <v/>
      </c>
    </row>
    <row r="896" spans="1:10" x14ac:dyDescent="0.3">
      <c r="A896" s="129"/>
      <c r="B896" s="150"/>
      <c r="C896" s="150"/>
      <c r="D896" s="150"/>
      <c r="E896" s="140" t="str">
        <f t="shared" si="42"/>
        <v/>
      </c>
      <c r="F896" s="157"/>
      <c r="G896" s="145">
        <f t="shared" si="43"/>
        <v>0</v>
      </c>
      <c r="H896" s="140" t="str">
        <f t="shared" si="44"/>
        <v/>
      </c>
      <c r="J896" s="147" t="str">
        <f>IFERROR(SUMIFS(当年实际!$V:$V,当年实际!$J:$J,$C896,当年实际!$C:$C,"&gt;="&amp;DATE(YEAR(主页!$D$2),1,1),当年实际!$C:$C,"&lt;="&amp;EOMONTH(DATE(YEAR(主页!$D$2),MONTH(主页!$D$2),1),0))/SUMIFS(当年实际!$P:$P,当年实际!$J:$J,$C896,当年实际!$C:$C,"&gt;="&amp;DATE(YEAR(主页!$D$2),1,1),当年实际!$C:$C,"&lt;="&amp;EOMONTH(DATE(YEAR(主页!$D$2),MONTH(主页!$D$2),1),0)),"")</f>
        <v/>
      </c>
    </row>
    <row r="897" spans="1:10" x14ac:dyDescent="0.3">
      <c r="A897" s="129"/>
      <c r="B897" s="150"/>
      <c r="C897" s="150"/>
      <c r="D897" s="150"/>
      <c r="E897" s="140" t="str">
        <f t="shared" si="42"/>
        <v/>
      </c>
      <c r="F897" s="157"/>
      <c r="G897" s="145">
        <f t="shared" si="43"/>
        <v>0</v>
      </c>
      <c r="H897" s="140" t="str">
        <f t="shared" si="44"/>
        <v/>
      </c>
      <c r="J897" s="147" t="str">
        <f>IFERROR(SUMIFS(当年实际!$V:$V,当年实际!$J:$J,$C897,当年实际!$C:$C,"&gt;="&amp;DATE(YEAR(主页!$D$2),1,1),当年实际!$C:$C,"&lt;="&amp;EOMONTH(DATE(YEAR(主页!$D$2),MONTH(主页!$D$2),1),0))/SUMIFS(当年实际!$P:$P,当年实际!$J:$J,$C897,当年实际!$C:$C,"&gt;="&amp;DATE(YEAR(主页!$D$2),1,1),当年实际!$C:$C,"&lt;="&amp;EOMONTH(DATE(YEAR(主页!$D$2),MONTH(主页!$D$2),1),0)),"")</f>
        <v/>
      </c>
    </row>
    <row r="898" spans="1:10" x14ac:dyDescent="0.3">
      <c r="A898" s="129"/>
      <c r="B898" s="150"/>
      <c r="C898" s="150"/>
      <c r="D898" s="150"/>
      <c r="E898" s="140" t="str">
        <f t="shared" si="42"/>
        <v/>
      </c>
      <c r="F898" s="157"/>
      <c r="G898" s="145">
        <f t="shared" si="43"/>
        <v>0</v>
      </c>
      <c r="H898" s="140" t="str">
        <f t="shared" si="44"/>
        <v/>
      </c>
      <c r="J898" s="147" t="str">
        <f>IFERROR(SUMIFS(当年实际!$V:$V,当年实际!$J:$J,$C898,当年实际!$C:$C,"&gt;="&amp;DATE(YEAR(主页!$D$2),1,1),当年实际!$C:$C,"&lt;="&amp;EOMONTH(DATE(YEAR(主页!$D$2),MONTH(主页!$D$2),1),0))/SUMIFS(当年实际!$P:$P,当年实际!$J:$J,$C898,当年实际!$C:$C,"&gt;="&amp;DATE(YEAR(主页!$D$2),1,1),当年实际!$C:$C,"&lt;="&amp;EOMONTH(DATE(YEAR(主页!$D$2),MONTH(主页!$D$2),1),0)),"")</f>
        <v/>
      </c>
    </row>
    <row r="899" spans="1:10" x14ac:dyDescent="0.3">
      <c r="A899" s="129"/>
      <c r="B899" s="150"/>
      <c r="C899" s="150"/>
      <c r="D899" s="150"/>
      <c r="E899" s="140" t="str">
        <f t="shared" si="42"/>
        <v/>
      </c>
      <c r="F899" s="157"/>
      <c r="G899" s="145">
        <f t="shared" si="43"/>
        <v>0</v>
      </c>
      <c r="H899" s="140" t="str">
        <f t="shared" si="44"/>
        <v/>
      </c>
      <c r="J899" s="147" t="str">
        <f>IFERROR(SUMIFS(当年实际!$V:$V,当年实际!$J:$J,$C899,当年实际!$C:$C,"&gt;="&amp;DATE(YEAR(主页!$D$2),1,1),当年实际!$C:$C,"&lt;="&amp;EOMONTH(DATE(YEAR(主页!$D$2),MONTH(主页!$D$2),1),0))/SUMIFS(当年实际!$P:$P,当年实际!$J:$J,$C899,当年实际!$C:$C,"&gt;="&amp;DATE(YEAR(主页!$D$2),1,1),当年实际!$C:$C,"&lt;="&amp;EOMONTH(DATE(YEAR(主页!$D$2),MONTH(主页!$D$2),1),0)),"")</f>
        <v/>
      </c>
    </row>
    <row r="900" spans="1:10" x14ac:dyDescent="0.3">
      <c r="A900" s="129"/>
      <c r="B900" s="150"/>
      <c r="C900" s="150"/>
      <c r="D900" s="150"/>
      <c r="E900" s="140" t="str">
        <f t="shared" ref="E900:E963" si="45">IF(D900/SUM(D:D)=0,"",D900/SUM(D:D))</f>
        <v/>
      </c>
      <c r="F900" s="157"/>
      <c r="G900" s="145">
        <f t="shared" si="43"/>
        <v>0</v>
      </c>
      <c r="H900" s="140" t="str">
        <f t="shared" si="44"/>
        <v/>
      </c>
      <c r="J900" s="147" t="str">
        <f>IFERROR(SUMIFS(当年实际!$V:$V,当年实际!$J:$J,$C900,当年实际!$C:$C,"&gt;="&amp;DATE(YEAR(主页!$D$2),1,1),当年实际!$C:$C,"&lt;="&amp;EOMONTH(DATE(YEAR(主页!$D$2),MONTH(主页!$D$2),1),0))/SUMIFS(当年实际!$P:$P,当年实际!$J:$J,$C900,当年实际!$C:$C,"&gt;="&amp;DATE(YEAR(主页!$D$2),1,1),当年实际!$C:$C,"&lt;="&amp;EOMONTH(DATE(YEAR(主页!$D$2),MONTH(主页!$D$2),1),0)),"")</f>
        <v/>
      </c>
    </row>
    <row r="901" spans="1:10" x14ac:dyDescent="0.3">
      <c r="A901" s="129"/>
      <c r="B901" s="150"/>
      <c r="C901" s="150"/>
      <c r="D901" s="150"/>
      <c r="E901" s="140" t="str">
        <f t="shared" si="45"/>
        <v/>
      </c>
      <c r="F901" s="157"/>
      <c r="G901" s="145">
        <f t="shared" si="43"/>
        <v>0</v>
      </c>
      <c r="H901" s="140" t="str">
        <f t="shared" si="44"/>
        <v/>
      </c>
      <c r="J901" s="147" t="str">
        <f>IFERROR(SUMIFS(当年实际!$V:$V,当年实际!$J:$J,$C901,当年实际!$C:$C,"&gt;="&amp;DATE(YEAR(主页!$D$2),1,1),当年实际!$C:$C,"&lt;="&amp;EOMONTH(DATE(YEAR(主页!$D$2),MONTH(主页!$D$2),1),0))/SUMIFS(当年实际!$P:$P,当年实际!$J:$J,$C901,当年实际!$C:$C,"&gt;="&amp;DATE(YEAR(主页!$D$2),1,1),当年实际!$C:$C,"&lt;="&amp;EOMONTH(DATE(YEAR(主页!$D$2),MONTH(主页!$D$2),1),0)),"")</f>
        <v/>
      </c>
    </row>
    <row r="902" spans="1:10" x14ac:dyDescent="0.3">
      <c r="A902" s="129"/>
      <c r="B902" s="150"/>
      <c r="C902" s="150"/>
      <c r="D902" s="150"/>
      <c r="E902" s="140" t="str">
        <f t="shared" si="45"/>
        <v/>
      </c>
      <c r="F902" s="157"/>
      <c r="G902" s="145">
        <f t="shared" si="43"/>
        <v>0</v>
      </c>
      <c r="H902" s="140" t="str">
        <f t="shared" si="44"/>
        <v/>
      </c>
      <c r="J902" s="147" t="str">
        <f>IFERROR(SUMIFS(当年实际!$V:$V,当年实际!$J:$J,$C902,当年实际!$C:$C,"&gt;="&amp;DATE(YEAR(主页!$D$2),1,1),当年实际!$C:$C,"&lt;="&amp;EOMONTH(DATE(YEAR(主页!$D$2),MONTH(主页!$D$2),1),0))/SUMIFS(当年实际!$P:$P,当年实际!$J:$J,$C902,当年实际!$C:$C,"&gt;="&amp;DATE(YEAR(主页!$D$2),1,1),当年实际!$C:$C,"&lt;="&amp;EOMONTH(DATE(YEAR(主页!$D$2),MONTH(主页!$D$2),1),0)),"")</f>
        <v/>
      </c>
    </row>
    <row r="903" spans="1:10" x14ac:dyDescent="0.3">
      <c r="A903" s="129"/>
      <c r="B903" s="150"/>
      <c r="C903" s="150"/>
      <c r="D903" s="150"/>
      <c r="E903" s="140" t="str">
        <f t="shared" si="45"/>
        <v/>
      </c>
      <c r="F903" s="157"/>
      <c r="G903" s="145">
        <f t="shared" si="43"/>
        <v>0</v>
      </c>
      <c r="H903" s="140" t="str">
        <f t="shared" si="44"/>
        <v/>
      </c>
      <c r="J903" s="147" t="str">
        <f>IFERROR(SUMIFS(当年实际!$V:$V,当年实际!$J:$J,$C903,当年实际!$C:$C,"&gt;="&amp;DATE(YEAR(主页!$D$2),1,1),当年实际!$C:$C,"&lt;="&amp;EOMONTH(DATE(YEAR(主页!$D$2),MONTH(主页!$D$2),1),0))/SUMIFS(当年实际!$P:$P,当年实际!$J:$J,$C903,当年实际!$C:$C,"&gt;="&amp;DATE(YEAR(主页!$D$2),1,1),当年实际!$C:$C,"&lt;="&amp;EOMONTH(DATE(YEAR(主页!$D$2),MONTH(主页!$D$2),1),0)),"")</f>
        <v/>
      </c>
    </row>
    <row r="904" spans="1:10" x14ac:dyDescent="0.3">
      <c r="A904" s="129"/>
      <c r="B904" s="150"/>
      <c r="C904" s="150"/>
      <c r="D904" s="150"/>
      <c r="E904" s="140" t="str">
        <f t="shared" si="45"/>
        <v/>
      </c>
      <c r="F904" s="157"/>
      <c r="G904" s="145">
        <f t="shared" si="43"/>
        <v>0</v>
      </c>
      <c r="H904" s="140" t="str">
        <f t="shared" si="44"/>
        <v/>
      </c>
      <c r="J904" s="147" t="str">
        <f>IFERROR(SUMIFS(当年实际!$V:$V,当年实际!$J:$J,$C904,当年实际!$C:$C,"&gt;="&amp;DATE(YEAR(主页!$D$2),1,1),当年实际!$C:$C,"&lt;="&amp;EOMONTH(DATE(YEAR(主页!$D$2),MONTH(主页!$D$2),1),0))/SUMIFS(当年实际!$P:$P,当年实际!$J:$J,$C904,当年实际!$C:$C,"&gt;="&amp;DATE(YEAR(主页!$D$2),1,1),当年实际!$C:$C,"&lt;="&amp;EOMONTH(DATE(YEAR(主页!$D$2),MONTH(主页!$D$2),1),0)),"")</f>
        <v/>
      </c>
    </row>
    <row r="905" spans="1:10" x14ac:dyDescent="0.3">
      <c r="A905" s="129"/>
      <c r="B905" s="150"/>
      <c r="C905" s="150"/>
      <c r="D905" s="150"/>
      <c r="E905" s="140" t="str">
        <f t="shared" si="45"/>
        <v/>
      </c>
      <c r="F905" s="157"/>
      <c r="G905" s="145">
        <f t="shared" si="43"/>
        <v>0</v>
      </c>
      <c r="H905" s="140" t="str">
        <f t="shared" si="44"/>
        <v/>
      </c>
      <c r="J905" s="147" t="str">
        <f>IFERROR(SUMIFS(当年实际!$V:$V,当年实际!$J:$J,$C905,当年实际!$C:$C,"&gt;="&amp;DATE(YEAR(主页!$D$2),1,1),当年实际!$C:$C,"&lt;="&amp;EOMONTH(DATE(YEAR(主页!$D$2),MONTH(主页!$D$2),1),0))/SUMIFS(当年实际!$P:$P,当年实际!$J:$J,$C905,当年实际!$C:$C,"&gt;="&amp;DATE(YEAR(主页!$D$2),1,1),当年实际!$C:$C,"&lt;="&amp;EOMONTH(DATE(YEAR(主页!$D$2),MONTH(主页!$D$2),1),0)),"")</f>
        <v/>
      </c>
    </row>
    <row r="906" spans="1:10" x14ac:dyDescent="0.3">
      <c r="A906" s="129"/>
      <c r="B906" s="150"/>
      <c r="C906" s="150"/>
      <c r="D906" s="150"/>
      <c r="E906" s="140" t="str">
        <f t="shared" si="45"/>
        <v/>
      </c>
      <c r="F906" s="157"/>
      <c r="G906" s="145">
        <f t="shared" si="43"/>
        <v>0</v>
      </c>
      <c r="H906" s="140" t="str">
        <f t="shared" si="44"/>
        <v/>
      </c>
      <c r="J906" s="147" t="str">
        <f>IFERROR(SUMIFS(当年实际!$V:$V,当年实际!$J:$J,$C906,当年实际!$C:$C,"&gt;="&amp;DATE(YEAR(主页!$D$2),1,1),当年实际!$C:$C,"&lt;="&amp;EOMONTH(DATE(YEAR(主页!$D$2),MONTH(主页!$D$2),1),0))/SUMIFS(当年实际!$P:$P,当年实际!$J:$J,$C906,当年实际!$C:$C,"&gt;="&amp;DATE(YEAR(主页!$D$2),1,1),当年实际!$C:$C,"&lt;="&amp;EOMONTH(DATE(YEAR(主页!$D$2),MONTH(主页!$D$2),1),0)),"")</f>
        <v/>
      </c>
    </row>
    <row r="907" spans="1:10" x14ac:dyDescent="0.3">
      <c r="A907" s="129"/>
      <c r="B907" s="150"/>
      <c r="C907" s="150"/>
      <c r="D907" s="150"/>
      <c r="E907" s="140" t="str">
        <f t="shared" si="45"/>
        <v/>
      </c>
      <c r="F907" s="157"/>
      <c r="G907" s="145">
        <f t="shared" si="43"/>
        <v>0</v>
      </c>
      <c r="H907" s="140" t="str">
        <f t="shared" si="44"/>
        <v/>
      </c>
      <c r="J907" s="147" t="str">
        <f>IFERROR(SUMIFS(当年实际!$V:$V,当年实际!$J:$J,$C907,当年实际!$C:$C,"&gt;="&amp;DATE(YEAR(主页!$D$2),1,1),当年实际!$C:$C,"&lt;="&amp;EOMONTH(DATE(YEAR(主页!$D$2),MONTH(主页!$D$2),1),0))/SUMIFS(当年实际!$P:$P,当年实际!$J:$J,$C907,当年实际!$C:$C,"&gt;="&amp;DATE(YEAR(主页!$D$2),1,1),当年实际!$C:$C,"&lt;="&amp;EOMONTH(DATE(YEAR(主页!$D$2),MONTH(主页!$D$2),1),0)),"")</f>
        <v/>
      </c>
    </row>
    <row r="908" spans="1:10" x14ac:dyDescent="0.3">
      <c r="A908" s="129"/>
      <c r="B908" s="150"/>
      <c r="C908" s="150"/>
      <c r="D908" s="150"/>
      <c r="E908" s="140" t="str">
        <f t="shared" si="45"/>
        <v/>
      </c>
      <c r="F908" s="157"/>
      <c r="G908" s="145">
        <f t="shared" si="43"/>
        <v>0</v>
      </c>
      <c r="H908" s="140" t="str">
        <f t="shared" si="44"/>
        <v/>
      </c>
      <c r="J908" s="147" t="str">
        <f>IFERROR(SUMIFS(当年实际!$V:$V,当年实际!$J:$J,$C908,当年实际!$C:$C,"&gt;="&amp;DATE(YEAR(主页!$D$2),1,1),当年实际!$C:$C,"&lt;="&amp;EOMONTH(DATE(YEAR(主页!$D$2),MONTH(主页!$D$2),1),0))/SUMIFS(当年实际!$P:$P,当年实际!$J:$J,$C908,当年实际!$C:$C,"&gt;="&amp;DATE(YEAR(主页!$D$2),1,1),当年实际!$C:$C,"&lt;="&amp;EOMONTH(DATE(YEAR(主页!$D$2),MONTH(主页!$D$2),1),0)),"")</f>
        <v/>
      </c>
    </row>
    <row r="909" spans="1:10" x14ac:dyDescent="0.3">
      <c r="A909" s="129"/>
      <c r="B909" s="150"/>
      <c r="C909" s="150"/>
      <c r="D909" s="150"/>
      <c r="E909" s="140" t="str">
        <f t="shared" si="45"/>
        <v/>
      </c>
      <c r="F909" s="157"/>
      <c r="G909" s="145">
        <f t="shared" si="43"/>
        <v>0</v>
      </c>
      <c r="H909" s="140" t="str">
        <f t="shared" si="44"/>
        <v/>
      </c>
      <c r="J909" s="147" t="str">
        <f>IFERROR(SUMIFS(当年实际!$V:$V,当年实际!$J:$J,$C909,当年实际!$C:$C,"&gt;="&amp;DATE(YEAR(主页!$D$2),1,1),当年实际!$C:$C,"&lt;="&amp;EOMONTH(DATE(YEAR(主页!$D$2),MONTH(主页!$D$2),1),0))/SUMIFS(当年实际!$P:$P,当年实际!$J:$J,$C909,当年实际!$C:$C,"&gt;="&amp;DATE(YEAR(主页!$D$2),1,1),当年实际!$C:$C,"&lt;="&amp;EOMONTH(DATE(YEAR(主页!$D$2),MONTH(主页!$D$2),1),0)),"")</f>
        <v/>
      </c>
    </row>
    <row r="910" spans="1:10" x14ac:dyDescent="0.3">
      <c r="A910" s="129"/>
      <c r="B910" s="150"/>
      <c r="C910" s="150"/>
      <c r="D910" s="150"/>
      <c r="E910" s="140" t="str">
        <f t="shared" si="45"/>
        <v/>
      </c>
      <c r="F910" s="157"/>
      <c r="G910" s="145">
        <f t="shared" si="43"/>
        <v>0</v>
      </c>
      <c r="H910" s="140" t="str">
        <f t="shared" si="44"/>
        <v/>
      </c>
      <c r="J910" s="147" t="str">
        <f>IFERROR(SUMIFS(当年实际!$V:$V,当年实际!$J:$J,$C910,当年实际!$C:$C,"&gt;="&amp;DATE(YEAR(主页!$D$2),1,1),当年实际!$C:$C,"&lt;="&amp;EOMONTH(DATE(YEAR(主页!$D$2),MONTH(主页!$D$2),1),0))/SUMIFS(当年实际!$P:$P,当年实际!$J:$J,$C910,当年实际!$C:$C,"&gt;="&amp;DATE(YEAR(主页!$D$2),1,1),当年实际!$C:$C,"&lt;="&amp;EOMONTH(DATE(YEAR(主页!$D$2),MONTH(主页!$D$2),1),0)),"")</f>
        <v/>
      </c>
    </row>
    <row r="911" spans="1:10" x14ac:dyDescent="0.3">
      <c r="A911" s="129"/>
      <c r="B911" s="150"/>
      <c r="C911" s="150"/>
      <c r="D911" s="150"/>
      <c r="E911" s="140" t="str">
        <f t="shared" si="45"/>
        <v/>
      </c>
      <c r="F911" s="157"/>
      <c r="G911" s="145">
        <f t="shared" si="43"/>
        <v>0</v>
      </c>
      <c r="H911" s="140" t="str">
        <f t="shared" si="44"/>
        <v/>
      </c>
      <c r="J911" s="147" t="str">
        <f>IFERROR(SUMIFS(当年实际!$V:$V,当年实际!$J:$J,$C911,当年实际!$C:$C,"&gt;="&amp;DATE(YEAR(主页!$D$2),1,1),当年实际!$C:$C,"&lt;="&amp;EOMONTH(DATE(YEAR(主页!$D$2),MONTH(主页!$D$2),1),0))/SUMIFS(当年实际!$P:$P,当年实际!$J:$J,$C911,当年实际!$C:$C,"&gt;="&amp;DATE(YEAR(主页!$D$2),1,1),当年实际!$C:$C,"&lt;="&amp;EOMONTH(DATE(YEAR(主页!$D$2),MONTH(主页!$D$2),1),0)),"")</f>
        <v/>
      </c>
    </row>
    <row r="912" spans="1:10" x14ac:dyDescent="0.3">
      <c r="A912" s="129"/>
      <c r="B912" s="150"/>
      <c r="C912" s="150"/>
      <c r="D912" s="150"/>
      <c r="E912" s="140" t="str">
        <f t="shared" si="45"/>
        <v/>
      </c>
      <c r="F912" s="157"/>
      <c r="G912" s="145">
        <f t="shared" si="43"/>
        <v>0</v>
      </c>
      <c r="H912" s="140" t="str">
        <f t="shared" si="44"/>
        <v/>
      </c>
      <c r="J912" s="147" t="str">
        <f>IFERROR(SUMIFS(当年实际!$V:$V,当年实际!$J:$J,$C912,当年实际!$C:$C,"&gt;="&amp;DATE(YEAR(主页!$D$2),1,1),当年实际!$C:$C,"&lt;="&amp;EOMONTH(DATE(YEAR(主页!$D$2),MONTH(主页!$D$2),1),0))/SUMIFS(当年实际!$P:$P,当年实际!$J:$J,$C912,当年实际!$C:$C,"&gt;="&amp;DATE(YEAR(主页!$D$2),1,1),当年实际!$C:$C,"&lt;="&amp;EOMONTH(DATE(YEAR(主页!$D$2),MONTH(主页!$D$2),1),0)),"")</f>
        <v/>
      </c>
    </row>
    <row r="913" spans="1:10" x14ac:dyDescent="0.3">
      <c r="A913" s="129"/>
      <c r="B913" s="150"/>
      <c r="C913" s="150"/>
      <c r="D913" s="150"/>
      <c r="E913" s="140" t="str">
        <f t="shared" si="45"/>
        <v/>
      </c>
      <c r="F913" s="157"/>
      <c r="G913" s="145">
        <f t="shared" si="43"/>
        <v>0</v>
      </c>
      <c r="H913" s="140" t="str">
        <f t="shared" si="44"/>
        <v/>
      </c>
      <c r="J913" s="147" t="str">
        <f>IFERROR(SUMIFS(当年实际!$V:$V,当年实际!$J:$J,$C913,当年实际!$C:$C,"&gt;="&amp;DATE(YEAR(主页!$D$2),1,1),当年实际!$C:$C,"&lt;="&amp;EOMONTH(DATE(YEAR(主页!$D$2),MONTH(主页!$D$2),1),0))/SUMIFS(当年实际!$P:$P,当年实际!$J:$J,$C913,当年实际!$C:$C,"&gt;="&amp;DATE(YEAR(主页!$D$2),1,1),当年实际!$C:$C,"&lt;="&amp;EOMONTH(DATE(YEAR(主页!$D$2),MONTH(主页!$D$2),1),0)),"")</f>
        <v/>
      </c>
    </row>
    <row r="914" spans="1:10" x14ac:dyDescent="0.3">
      <c r="A914" s="129"/>
      <c r="B914" s="150"/>
      <c r="C914" s="150"/>
      <c r="D914" s="150"/>
      <c r="E914" s="140" t="str">
        <f t="shared" si="45"/>
        <v/>
      </c>
      <c r="F914" s="157"/>
      <c r="G914" s="145">
        <f t="shared" si="43"/>
        <v>0</v>
      </c>
      <c r="H914" s="140" t="str">
        <f t="shared" si="44"/>
        <v/>
      </c>
      <c r="J914" s="147" t="str">
        <f>IFERROR(SUMIFS(当年实际!$V:$V,当年实际!$J:$J,$C914,当年实际!$C:$C,"&gt;="&amp;DATE(YEAR(主页!$D$2),1,1),当年实际!$C:$C,"&lt;="&amp;EOMONTH(DATE(YEAR(主页!$D$2),MONTH(主页!$D$2),1),0))/SUMIFS(当年实际!$P:$P,当年实际!$J:$J,$C914,当年实际!$C:$C,"&gt;="&amp;DATE(YEAR(主页!$D$2),1,1),当年实际!$C:$C,"&lt;="&amp;EOMONTH(DATE(YEAR(主页!$D$2),MONTH(主页!$D$2),1),0)),"")</f>
        <v/>
      </c>
    </row>
    <row r="915" spans="1:10" x14ac:dyDescent="0.3">
      <c r="A915" s="129"/>
      <c r="B915" s="150"/>
      <c r="C915" s="150"/>
      <c r="D915" s="150"/>
      <c r="E915" s="140" t="str">
        <f t="shared" si="45"/>
        <v/>
      </c>
      <c r="F915" s="157"/>
      <c r="G915" s="145">
        <f t="shared" si="43"/>
        <v>0</v>
      </c>
      <c r="H915" s="140" t="str">
        <f t="shared" si="44"/>
        <v/>
      </c>
      <c r="J915" s="147" t="str">
        <f>IFERROR(SUMIFS(当年实际!$V:$V,当年实际!$J:$J,$C915,当年实际!$C:$C,"&gt;="&amp;DATE(YEAR(主页!$D$2),1,1),当年实际!$C:$C,"&lt;="&amp;EOMONTH(DATE(YEAR(主页!$D$2),MONTH(主页!$D$2),1),0))/SUMIFS(当年实际!$P:$P,当年实际!$J:$J,$C915,当年实际!$C:$C,"&gt;="&amp;DATE(YEAR(主页!$D$2),1,1),当年实际!$C:$C,"&lt;="&amp;EOMONTH(DATE(YEAR(主页!$D$2),MONTH(主页!$D$2),1),0)),"")</f>
        <v/>
      </c>
    </row>
    <row r="916" spans="1:10" x14ac:dyDescent="0.3">
      <c r="A916" s="129"/>
      <c r="B916" s="150"/>
      <c r="C916" s="150"/>
      <c r="D916" s="150"/>
      <c r="E916" s="140" t="str">
        <f t="shared" si="45"/>
        <v/>
      </c>
      <c r="F916" s="157"/>
      <c r="G916" s="145">
        <f t="shared" si="43"/>
        <v>0</v>
      </c>
      <c r="H916" s="140" t="str">
        <f t="shared" si="44"/>
        <v/>
      </c>
      <c r="J916" s="147" t="str">
        <f>IFERROR(SUMIFS(当年实际!$V:$V,当年实际!$J:$J,$C916,当年实际!$C:$C,"&gt;="&amp;DATE(YEAR(主页!$D$2),1,1),当年实际!$C:$C,"&lt;="&amp;EOMONTH(DATE(YEAR(主页!$D$2),MONTH(主页!$D$2),1),0))/SUMIFS(当年实际!$P:$P,当年实际!$J:$J,$C916,当年实际!$C:$C,"&gt;="&amp;DATE(YEAR(主页!$D$2),1,1),当年实际!$C:$C,"&lt;="&amp;EOMONTH(DATE(YEAR(主页!$D$2),MONTH(主页!$D$2),1),0)),"")</f>
        <v/>
      </c>
    </row>
    <row r="917" spans="1:10" x14ac:dyDescent="0.3">
      <c r="A917" s="129"/>
      <c r="B917" s="150"/>
      <c r="C917" s="150"/>
      <c r="D917" s="150"/>
      <c r="E917" s="140" t="str">
        <f t="shared" si="45"/>
        <v/>
      </c>
      <c r="F917" s="157"/>
      <c r="G917" s="145">
        <f t="shared" si="43"/>
        <v>0</v>
      </c>
      <c r="H917" s="140" t="str">
        <f t="shared" si="44"/>
        <v/>
      </c>
      <c r="J917" s="147" t="str">
        <f>IFERROR(SUMIFS(当年实际!$V:$V,当年实际!$J:$J,$C917,当年实际!$C:$C,"&gt;="&amp;DATE(YEAR(主页!$D$2),1,1),当年实际!$C:$C,"&lt;="&amp;EOMONTH(DATE(YEAR(主页!$D$2),MONTH(主页!$D$2),1),0))/SUMIFS(当年实际!$P:$P,当年实际!$J:$J,$C917,当年实际!$C:$C,"&gt;="&amp;DATE(YEAR(主页!$D$2),1,1),当年实际!$C:$C,"&lt;="&amp;EOMONTH(DATE(YEAR(主页!$D$2),MONTH(主页!$D$2),1),0)),"")</f>
        <v/>
      </c>
    </row>
    <row r="918" spans="1:10" x14ac:dyDescent="0.3">
      <c r="A918" s="129"/>
      <c r="B918" s="150"/>
      <c r="C918" s="150"/>
      <c r="D918" s="150"/>
      <c r="E918" s="140" t="str">
        <f t="shared" si="45"/>
        <v/>
      </c>
      <c r="F918" s="157"/>
      <c r="G918" s="145">
        <f t="shared" si="43"/>
        <v>0</v>
      </c>
      <c r="H918" s="140" t="str">
        <f t="shared" si="44"/>
        <v/>
      </c>
      <c r="J918" s="147" t="str">
        <f>IFERROR(SUMIFS(当年实际!$V:$V,当年实际!$J:$J,$C918,当年实际!$C:$C,"&gt;="&amp;DATE(YEAR(主页!$D$2),1,1),当年实际!$C:$C,"&lt;="&amp;EOMONTH(DATE(YEAR(主页!$D$2),MONTH(主页!$D$2),1),0))/SUMIFS(当年实际!$P:$P,当年实际!$J:$J,$C918,当年实际!$C:$C,"&gt;="&amp;DATE(YEAR(主页!$D$2),1,1),当年实际!$C:$C,"&lt;="&amp;EOMONTH(DATE(YEAR(主页!$D$2),MONTH(主页!$D$2),1),0)),"")</f>
        <v/>
      </c>
    </row>
    <row r="919" spans="1:10" x14ac:dyDescent="0.3">
      <c r="A919" s="129"/>
      <c r="B919" s="150"/>
      <c r="C919" s="150"/>
      <c r="D919" s="150"/>
      <c r="E919" s="140" t="str">
        <f t="shared" si="45"/>
        <v/>
      </c>
      <c r="F919" s="157"/>
      <c r="G919" s="145">
        <f t="shared" si="43"/>
        <v>0</v>
      </c>
      <c r="H919" s="140" t="str">
        <f t="shared" si="44"/>
        <v/>
      </c>
      <c r="J919" s="147" t="str">
        <f>IFERROR(SUMIFS(当年实际!$V:$V,当年实际!$J:$J,$C919,当年实际!$C:$C,"&gt;="&amp;DATE(YEAR(主页!$D$2),1,1),当年实际!$C:$C,"&lt;="&amp;EOMONTH(DATE(YEAR(主页!$D$2),MONTH(主页!$D$2),1),0))/SUMIFS(当年实际!$P:$P,当年实际!$J:$J,$C919,当年实际!$C:$C,"&gt;="&amp;DATE(YEAR(主页!$D$2),1,1),当年实际!$C:$C,"&lt;="&amp;EOMONTH(DATE(YEAR(主页!$D$2),MONTH(主页!$D$2),1),0)),"")</f>
        <v/>
      </c>
    </row>
    <row r="920" spans="1:10" x14ac:dyDescent="0.3">
      <c r="A920" s="129"/>
      <c r="B920" s="150"/>
      <c r="C920" s="150"/>
      <c r="D920" s="150"/>
      <c r="E920" s="140" t="str">
        <f t="shared" si="45"/>
        <v/>
      </c>
      <c r="F920" s="157"/>
      <c r="G920" s="145">
        <f t="shared" si="43"/>
        <v>0</v>
      </c>
      <c r="H920" s="140" t="str">
        <f t="shared" si="44"/>
        <v/>
      </c>
      <c r="J920" s="147" t="str">
        <f>IFERROR(SUMIFS(当年实际!$V:$V,当年实际!$J:$J,$C920,当年实际!$C:$C,"&gt;="&amp;DATE(YEAR(主页!$D$2),1,1),当年实际!$C:$C,"&lt;="&amp;EOMONTH(DATE(YEAR(主页!$D$2),MONTH(主页!$D$2),1),0))/SUMIFS(当年实际!$P:$P,当年实际!$J:$J,$C920,当年实际!$C:$C,"&gt;="&amp;DATE(YEAR(主页!$D$2),1,1),当年实际!$C:$C,"&lt;="&amp;EOMONTH(DATE(YEAR(主页!$D$2),MONTH(主页!$D$2),1),0)),"")</f>
        <v/>
      </c>
    </row>
    <row r="921" spans="1:10" x14ac:dyDescent="0.3">
      <c r="A921" s="129"/>
      <c r="B921" s="150"/>
      <c r="C921" s="150"/>
      <c r="D921" s="150"/>
      <c r="E921" s="140" t="str">
        <f t="shared" si="45"/>
        <v/>
      </c>
      <c r="F921" s="157"/>
      <c r="G921" s="145">
        <f t="shared" si="43"/>
        <v>0</v>
      </c>
      <c r="H921" s="140" t="str">
        <f t="shared" si="44"/>
        <v/>
      </c>
      <c r="J921" s="147" t="str">
        <f>IFERROR(SUMIFS(当年实际!$V:$V,当年实际!$J:$J,$C921,当年实际!$C:$C,"&gt;="&amp;DATE(YEAR(主页!$D$2),1,1),当年实际!$C:$C,"&lt;="&amp;EOMONTH(DATE(YEAR(主页!$D$2),MONTH(主页!$D$2),1),0))/SUMIFS(当年实际!$P:$P,当年实际!$J:$J,$C921,当年实际!$C:$C,"&gt;="&amp;DATE(YEAR(主页!$D$2),1,1),当年实际!$C:$C,"&lt;="&amp;EOMONTH(DATE(YEAR(主页!$D$2),MONTH(主页!$D$2),1),0)),"")</f>
        <v/>
      </c>
    </row>
    <row r="922" spans="1:10" x14ac:dyDescent="0.3">
      <c r="A922" s="129"/>
      <c r="B922" s="150"/>
      <c r="C922" s="150"/>
      <c r="D922" s="150"/>
      <c r="E922" s="140" t="str">
        <f t="shared" si="45"/>
        <v/>
      </c>
      <c r="F922" s="157"/>
      <c r="G922" s="145">
        <f t="shared" si="43"/>
        <v>0</v>
      </c>
      <c r="H922" s="140" t="str">
        <f t="shared" si="44"/>
        <v/>
      </c>
      <c r="J922" s="147" t="str">
        <f>IFERROR(SUMIFS(当年实际!$V:$V,当年实际!$J:$J,$C922,当年实际!$C:$C,"&gt;="&amp;DATE(YEAR(主页!$D$2),1,1),当年实际!$C:$C,"&lt;="&amp;EOMONTH(DATE(YEAR(主页!$D$2),MONTH(主页!$D$2),1),0))/SUMIFS(当年实际!$P:$P,当年实际!$J:$J,$C922,当年实际!$C:$C,"&gt;="&amp;DATE(YEAR(主页!$D$2),1,1),当年实际!$C:$C,"&lt;="&amp;EOMONTH(DATE(YEAR(主页!$D$2),MONTH(主页!$D$2),1),0)),"")</f>
        <v/>
      </c>
    </row>
    <row r="923" spans="1:10" x14ac:dyDescent="0.3">
      <c r="A923" s="129"/>
      <c r="B923" s="150"/>
      <c r="C923" s="150"/>
      <c r="D923" s="150"/>
      <c r="E923" s="140" t="str">
        <f t="shared" si="45"/>
        <v/>
      </c>
      <c r="F923" s="157"/>
      <c r="G923" s="145">
        <f t="shared" si="43"/>
        <v>0</v>
      </c>
      <c r="H923" s="140" t="str">
        <f t="shared" si="44"/>
        <v/>
      </c>
      <c r="J923" s="147" t="str">
        <f>IFERROR(SUMIFS(当年实际!$V:$V,当年实际!$J:$J,$C923,当年实际!$C:$C,"&gt;="&amp;DATE(YEAR(主页!$D$2),1,1),当年实际!$C:$C,"&lt;="&amp;EOMONTH(DATE(YEAR(主页!$D$2),MONTH(主页!$D$2),1),0))/SUMIFS(当年实际!$P:$P,当年实际!$J:$J,$C923,当年实际!$C:$C,"&gt;="&amp;DATE(YEAR(主页!$D$2),1,1),当年实际!$C:$C,"&lt;="&amp;EOMONTH(DATE(YEAR(主页!$D$2),MONTH(主页!$D$2),1),0)),"")</f>
        <v/>
      </c>
    </row>
    <row r="924" spans="1:10" x14ac:dyDescent="0.3">
      <c r="A924" s="129"/>
      <c r="B924" s="150"/>
      <c r="C924" s="150"/>
      <c r="D924" s="150"/>
      <c r="E924" s="140" t="str">
        <f t="shared" si="45"/>
        <v/>
      </c>
      <c r="F924" s="157"/>
      <c r="G924" s="145">
        <f t="shared" si="43"/>
        <v>0</v>
      </c>
      <c r="H924" s="140" t="str">
        <f t="shared" si="44"/>
        <v/>
      </c>
      <c r="J924" s="147" t="str">
        <f>IFERROR(SUMIFS(当年实际!$V:$V,当年实际!$J:$J,$C924,当年实际!$C:$C,"&gt;="&amp;DATE(YEAR(主页!$D$2),1,1),当年实际!$C:$C,"&lt;="&amp;EOMONTH(DATE(YEAR(主页!$D$2),MONTH(主页!$D$2),1),0))/SUMIFS(当年实际!$P:$P,当年实际!$J:$J,$C924,当年实际!$C:$C,"&gt;="&amp;DATE(YEAR(主页!$D$2),1,1),当年实际!$C:$C,"&lt;="&amp;EOMONTH(DATE(YEAR(主页!$D$2),MONTH(主页!$D$2),1),0)),"")</f>
        <v/>
      </c>
    </row>
    <row r="925" spans="1:10" x14ac:dyDescent="0.3">
      <c r="A925" s="129"/>
      <c r="B925" s="150"/>
      <c r="C925" s="150"/>
      <c r="D925" s="150"/>
      <c r="E925" s="140" t="str">
        <f t="shared" si="45"/>
        <v/>
      </c>
      <c r="F925" s="157"/>
      <c r="G925" s="145">
        <f t="shared" si="43"/>
        <v>0</v>
      </c>
      <c r="H925" s="140" t="str">
        <f t="shared" si="44"/>
        <v/>
      </c>
      <c r="J925" s="147" t="str">
        <f>IFERROR(SUMIFS(当年实际!$V:$V,当年实际!$J:$J,$C925,当年实际!$C:$C,"&gt;="&amp;DATE(YEAR(主页!$D$2),1,1),当年实际!$C:$C,"&lt;="&amp;EOMONTH(DATE(YEAR(主页!$D$2),MONTH(主页!$D$2),1),0))/SUMIFS(当年实际!$P:$P,当年实际!$J:$J,$C925,当年实际!$C:$C,"&gt;="&amp;DATE(YEAR(主页!$D$2),1,1),当年实际!$C:$C,"&lt;="&amp;EOMONTH(DATE(YEAR(主页!$D$2),MONTH(主页!$D$2),1),0)),"")</f>
        <v/>
      </c>
    </row>
    <row r="926" spans="1:10" x14ac:dyDescent="0.3">
      <c r="A926" s="129"/>
      <c r="B926" s="150"/>
      <c r="C926" s="150"/>
      <c r="D926" s="150"/>
      <c r="E926" s="140" t="str">
        <f t="shared" si="45"/>
        <v/>
      </c>
      <c r="F926" s="157"/>
      <c r="G926" s="145">
        <f t="shared" si="43"/>
        <v>0</v>
      </c>
      <c r="H926" s="140" t="str">
        <f t="shared" si="44"/>
        <v/>
      </c>
      <c r="J926" s="147" t="str">
        <f>IFERROR(SUMIFS(当年实际!$V:$V,当年实际!$J:$J,$C926,当年实际!$C:$C,"&gt;="&amp;DATE(YEAR(主页!$D$2),1,1),当年实际!$C:$C,"&lt;="&amp;EOMONTH(DATE(YEAR(主页!$D$2),MONTH(主页!$D$2),1),0))/SUMIFS(当年实际!$P:$P,当年实际!$J:$J,$C926,当年实际!$C:$C,"&gt;="&amp;DATE(YEAR(主页!$D$2),1,1),当年实际!$C:$C,"&lt;="&amp;EOMONTH(DATE(YEAR(主页!$D$2),MONTH(主页!$D$2),1),0)),"")</f>
        <v/>
      </c>
    </row>
    <row r="927" spans="1:10" x14ac:dyDescent="0.3">
      <c r="A927" s="129"/>
      <c r="B927" s="150"/>
      <c r="C927" s="150"/>
      <c r="D927" s="150"/>
      <c r="E927" s="140" t="str">
        <f t="shared" si="45"/>
        <v/>
      </c>
      <c r="F927" s="157"/>
      <c r="G927" s="145">
        <f t="shared" ref="G927:G990" si="46">D927*F927</f>
        <v>0</v>
      </c>
      <c r="H927" s="140" t="str">
        <f t="shared" ref="H927:H990" si="47">IF(G927/SUM(G:G)=0,"",G927/SUM(G:G))</f>
        <v/>
      </c>
      <c r="J927" s="147" t="str">
        <f>IFERROR(SUMIFS(当年实际!$V:$V,当年实际!$J:$J,$C927,当年实际!$C:$C,"&gt;="&amp;DATE(YEAR(主页!$D$2),1,1),当年实际!$C:$C,"&lt;="&amp;EOMONTH(DATE(YEAR(主页!$D$2),MONTH(主页!$D$2),1),0))/SUMIFS(当年实际!$P:$P,当年实际!$J:$J,$C927,当年实际!$C:$C,"&gt;="&amp;DATE(YEAR(主页!$D$2),1,1),当年实际!$C:$C,"&lt;="&amp;EOMONTH(DATE(YEAR(主页!$D$2),MONTH(主页!$D$2),1),0)),"")</f>
        <v/>
      </c>
    </row>
    <row r="928" spans="1:10" x14ac:dyDescent="0.3">
      <c r="A928" s="129"/>
      <c r="B928" s="150"/>
      <c r="C928" s="150"/>
      <c r="D928" s="150"/>
      <c r="E928" s="140" t="str">
        <f t="shared" si="45"/>
        <v/>
      </c>
      <c r="F928" s="157"/>
      <c r="G928" s="145">
        <f t="shared" si="46"/>
        <v>0</v>
      </c>
      <c r="H928" s="140" t="str">
        <f t="shared" si="47"/>
        <v/>
      </c>
      <c r="J928" s="147" t="str">
        <f>IFERROR(SUMIFS(当年实际!$V:$V,当年实际!$J:$J,$C928,当年实际!$C:$C,"&gt;="&amp;DATE(YEAR(主页!$D$2),1,1),当年实际!$C:$C,"&lt;="&amp;EOMONTH(DATE(YEAR(主页!$D$2),MONTH(主页!$D$2),1),0))/SUMIFS(当年实际!$P:$P,当年实际!$J:$J,$C928,当年实际!$C:$C,"&gt;="&amp;DATE(YEAR(主页!$D$2),1,1),当年实际!$C:$C,"&lt;="&amp;EOMONTH(DATE(YEAR(主页!$D$2),MONTH(主页!$D$2),1),0)),"")</f>
        <v/>
      </c>
    </row>
    <row r="929" spans="1:10" x14ac:dyDescent="0.3">
      <c r="A929" s="129"/>
      <c r="B929" s="150"/>
      <c r="C929" s="150"/>
      <c r="D929" s="150"/>
      <c r="E929" s="140" t="str">
        <f t="shared" si="45"/>
        <v/>
      </c>
      <c r="F929" s="157"/>
      <c r="G929" s="145">
        <f t="shared" si="46"/>
        <v>0</v>
      </c>
      <c r="H929" s="140" t="str">
        <f t="shared" si="47"/>
        <v/>
      </c>
      <c r="J929" s="147" t="str">
        <f>IFERROR(SUMIFS(当年实际!$V:$V,当年实际!$J:$J,$C929,当年实际!$C:$C,"&gt;="&amp;DATE(YEAR(主页!$D$2),1,1),当年实际!$C:$C,"&lt;="&amp;EOMONTH(DATE(YEAR(主页!$D$2),MONTH(主页!$D$2),1),0))/SUMIFS(当年实际!$P:$P,当年实际!$J:$J,$C929,当年实际!$C:$C,"&gt;="&amp;DATE(YEAR(主页!$D$2),1,1),当年实际!$C:$C,"&lt;="&amp;EOMONTH(DATE(YEAR(主页!$D$2),MONTH(主页!$D$2),1),0)),"")</f>
        <v/>
      </c>
    </row>
    <row r="930" spans="1:10" x14ac:dyDescent="0.3">
      <c r="A930" s="129"/>
      <c r="B930" s="150"/>
      <c r="C930" s="150"/>
      <c r="D930" s="150"/>
      <c r="E930" s="140" t="str">
        <f t="shared" si="45"/>
        <v/>
      </c>
      <c r="F930" s="157"/>
      <c r="G930" s="145">
        <f t="shared" si="46"/>
        <v>0</v>
      </c>
      <c r="H930" s="140" t="str">
        <f t="shared" si="47"/>
        <v/>
      </c>
      <c r="J930" s="147" t="str">
        <f>IFERROR(SUMIFS(当年实际!$V:$V,当年实际!$J:$J,$C930,当年实际!$C:$C,"&gt;="&amp;DATE(YEAR(主页!$D$2),1,1),当年实际!$C:$C,"&lt;="&amp;EOMONTH(DATE(YEAR(主页!$D$2),MONTH(主页!$D$2),1),0))/SUMIFS(当年实际!$P:$P,当年实际!$J:$J,$C930,当年实际!$C:$C,"&gt;="&amp;DATE(YEAR(主页!$D$2),1,1),当年实际!$C:$C,"&lt;="&amp;EOMONTH(DATE(YEAR(主页!$D$2),MONTH(主页!$D$2),1),0)),"")</f>
        <v/>
      </c>
    </row>
    <row r="931" spans="1:10" x14ac:dyDescent="0.3">
      <c r="A931" s="129"/>
      <c r="B931" s="150"/>
      <c r="C931" s="150"/>
      <c r="D931" s="150"/>
      <c r="E931" s="140" t="str">
        <f t="shared" si="45"/>
        <v/>
      </c>
      <c r="F931" s="157"/>
      <c r="G931" s="145">
        <f t="shared" si="46"/>
        <v>0</v>
      </c>
      <c r="H931" s="140" t="str">
        <f t="shared" si="47"/>
        <v/>
      </c>
      <c r="J931" s="147" t="str">
        <f>IFERROR(SUMIFS(当年实际!$V:$V,当年实际!$J:$J,$C931,当年实际!$C:$C,"&gt;="&amp;DATE(YEAR(主页!$D$2),1,1),当年实际!$C:$C,"&lt;="&amp;EOMONTH(DATE(YEAR(主页!$D$2),MONTH(主页!$D$2),1),0))/SUMIFS(当年实际!$P:$P,当年实际!$J:$J,$C931,当年实际!$C:$C,"&gt;="&amp;DATE(YEAR(主页!$D$2),1,1),当年实际!$C:$C,"&lt;="&amp;EOMONTH(DATE(YEAR(主页!$D$2),MONTH(主页!$D$2),1),0)),"")</f>
        <v/>
      </c>
    </row>
    <row r="932" spans="1:10" x14ac:dyDescent="0.3">
      <c r="A932" s="129"/>
      <c r="B932" s="150"/>
      <c r="C932" s="150"/>
      <c r="D932" s="150"/>
      <c r="E932" s="140" t="str">
        <f t="shared" si="45"/>
        <v/>
      </c>
      <c r="F932" s="157"/>
      <c r="G932" s="145">
        <f t="shared" si="46"/>
        <v>0</v>
      </c>
      <c r="H932" s="140" t="str">
        <f t="shared" si="47"/>
        <v/>
      </c>
      <c r="J932" s="147" t="str">
        <f>IFERROR(SUMIFS(当年实际!$V:$V,当年实际!$J:$J,$C932,当年实际!$C:$C,"&gt;="&amp;DATE(YEAR(主页!$D$2),1,1),当年实际!$C:$C,"&lt;="&amp;EOMONTH(DATE(YEAR(主页!$D$2),MONTH(主页!$D$2),1),0))/SUMIFS(当年实际!$P:$P,当年实际!$J:$J,$C932,当年实际!$C:$C,"&gt;="&amp;DATE(YEAR(主页!$D$2),1,1),当年实际!$C:$C,"&lt;="&amp;EOMONTH(DATE(YEAR(主页!$D$2),MONTH(主页!$D$2),1),0)),"")</f>
        <v/>
      </c>
    </row>
    <row r="933" spans="1:10" x14ac:dyDescent="0.3">
      <c r="A933" s="129"/>
      <c r="B933" s="150"/>
      <c r="C933" s="150"/>
      <c r="D933" s="150"/>
      <c r="E933" s="140" t="str">
        <f t="shared" si="45"/>
        <v/>
      </c>
      <c r="F933" s="157"/>
      <c r="G933" s="145">
        <f t="shared" si="46"/>
        <v>0</v>
      </c>
      <c r="H933" s="140" t="str">
        <f t="shared" si="47"/>
        <v/>
      </c>
      <c r="J933" s="147" t="str">
        <f>IFERROR(SUMIFS(当年实际!$V:$V,当年实际!$J:$J,$C933,当年实际!$C:$C,"&gt;="&amp;DATE(YEAR(主页!$D$2),1,1),当年实际!$C:$C,"&lt;="&amp;EOMONTH(DATE(YEAR(主页!$D$2),MONTH(主页!$D$2),1),0))/SUMIFS(当年实际!$P:$P,当年实际!$J:$J,$C933,当年实际!$C:$C,"&gt;="&amp;DATE(YEAR(主页!$D$2),1,1),当年实际!$C:$C,"&lt;="&amp;EOMONTH(DATE(YEAR(主页!$D$2),MONTH(主页!$D$2),1),0)),"")</f>
        <v/>
      </c>
    </row>
    <row r="934" spans="1:10" x14ac:dyDescent="0.3">
      <c r="A934" s="129"/>
      <c r="B934" s="150"/>
      <c r="C934" s="150"/>
      <c r="D934" s="150"/>
      <c r="E934" s="140" t="str">
        <f t="shared" si="45"/>
        <v/>
      </c>
      <c r="F934" s="157"/>
      <c r="G934" s="145">
        <f t="shared" si="46"/>
        <v>0</v>
      </c>
      <c r="H934" s="140" t="str">
        <f t="shared" si="47"/>
        <v/>
      </c>
      <c r="J934" s="147" t="str">
        <f>IFERROR(SUMIFS(当年实际!$V:$V,当年实际!$J:$J,$C934,当年实际!$C:$C,"&gt;="&amp;DATE(YEAR(主页!$D$2),1,1),当年实际!$C:$C,"&lt;="&amp;EOMONTH(DATE(YEAR(主页!$D$2),MONTH(主页!$D$2),1),0))/SUMIFS(当年实际!$P:$P,当年实际!$J:$J,$C934,当年实际!$C:$C,"&gt;="&amp;DATE(YEAR(主页!$D$2),1,1),当年实际!$C:$C,"&lt;="&amp;EOMONTH(DATE(YEAR(主页!$D$2),MONTH(主页!$D$2),1),0)),"")</f>
        <v/>
      </c>
    </row>
    <row r="935" spans="1:10" x14ac:dyDescent="0.3">
      <c r="A935" s="129"/>
      <c r="B935" s="150"/>
      <c r="C935" s="150"/>
      <c r="D935" s="150"/>
      <c r="E935" s="140" t="str">
        <f t="shared" si="45"/>
        <v/>
      </c>
      <c r="F935" s="157"/>
      <c r="G935" s="145">
        <f t="shared" si="46"/>
        <v>0</v>
      </c>
      <c r="H935" s="140" t="str">
        <f t="shared" si="47"/>
        <v/>
      </c>
      <c r="J935" s="147" t="str">
        <f>IFERROR(SUMIFS(当年实际!$V:$V,当年实际!$J:$J,$C935,当年实际!$C:$C,"&gt;="&amp;DATE(YEAR(主页!$D$2),1,1),当年实际!$C:$C,"&lt;="&amp;EOMONTH(DATE(YEAR(主页!$D$2),MONTH(主页!$D$2),1),0))/SUMIFS(当年实际!$P:$P,当年实际!$J:$J,$C935,当年实际!$C:$C,"&gt;="&amp;DATE(YEAR(主页!$D$2),1,1),当年实际!$C:$C,"&lt;="&amp;EOMONTH(DATE(YEAR(主页!$D$2),MONTH(主页!$D$2),1),0)),"")</f>
        <v/>
      </c>
    </row>
    <row r="936" spans="1:10" x14ac:dyDescent="0.3">
      <c r="A936" s="129"/>
      <c r="B936" s="150"/>
      <c r="C936" s="150"/>
      <c r="D936" s="150"/>
      <c r="E936" s="140" t="str">
        <f t="shared" si="45"/>
        <v/>
      </c>
      <c r="F936" s="157"/>
      <c r="G936" s="145">
        <f t="shared" si="46"/>
        <v>0</v>
      </c>
      <c r="H936" s="140" t="str">
        <f t="shared" si="47"/>
        <v/>
      </c>
      <c r="J936" s="147" t="str">
        <f>IFERROR(SUMIFS(当年实际!$V:$V,当年实际!$J:$J,$C936,当年实际!$C:$C,"&gt;="&amp;DATE(YEAR(主页!$D$2),1,1),当年实际!$C:$C,"&lt;="&amp;EOMONTH(DATE(YEAR(主页!$D$2),MONTH(主页!$D$2),1),0))/SUMIFS(当年实际!$P:$P,当年实际!$J:$J,$C936,当年实际!$C:$C,"&gt;="&amp;DATE(YEAR(主页!$D$2),1,1),当年实际!$C:$C,"&lt;="&amp;EOMONTH(DATE(YEAR(主页!$D$2),MONTH(主页!$D$2),1),0)),"")</f>
        <v/>
      </c>
    </row>
    <row r="937" spans="1:10" x14ac:dyDescent="0.3">
      <c r="A937" s="129"/>
      <c r="B937" s="150"/>
      <c r="C937" s="150"/>
      <c r="D937" s="150"/>
      <c r="E937" s="140" t="str">
        <f t="shared" si="45"/>
        <v/>
      </c>
      <c r="F937" s="157"/>
      <c r="G937" s="145">
        <f t="shared" si="46"/>
        <v>0</v>
      </c>
      <c r="H937" s="140" t="str">
        <f t="shared" si="47"/>
        <v/>
      </c>
      <c r="J937" s="147" t="str">
        <f>IFERROR(SUMIFS(当年实际!$V:$V,当年实际!$J:$J,$C937,当年实际!$C:$C,"&gt;="&amp;DATE(YEAR(主页!$D$2),1,1),当年实际!$C:$C,"&lt;="&amp;EOMONTH(DATE(YEAR(主页!$D$2),MONTH(主页!$D$2),1),0))/SUMIFS(当年实际!$P:$P,当年实际!$J:$J,$C937,当年实际!$C:$C,"&gt;="&amp;DATE(YEAR(主页!$D$2),1,1),当年实际!$C:$C,"&lt;="&amp;EOMONTH(DATE(YEAR(主页!$D$2),MONTH(主页!$D$2),1),0)),"")</f>
        <v/>
      </c>
    </row>
    <row r="938" spans="1:10" x14ac:dyDescent="0.3">
      <c r="A938" s="129"/>
      <c r="B938" s="150"/>
      <c r="C938" s="150"/>
      <c r="D938" s="150"/>
      <c r="E938" s="140" t="str">
        <f t="shared" si="45"/>
        <v/>
      </c>
      <c r="F938" s="157"/>
      <c r="G938" s="145">
        <f t="shared" si="46"/>
        <v>0</v>
      </c>
      <c r="H938" s="140" t="str">
        <f t="shared" si="47"/>
        <v/>
      </c>
      <c r="J938" s="147" t="str">
        <f>IFERROR(SUMIFS(当年实际!$V:$V,当年实际!$J:$J,$C938,当年实际!$C:$C,"&gt;="&amp;DATE(YEAR(主页!$D$2),1,1),当年实际!$C:$C,"&lt;="&amp;EOMONTH(DATE(YEAR(主页!$D$2),MONTH(主页!$D$2),1),0))/SUMIFS(当年实际!$P:$P,当年实际!$J:$J,$C938,当年实际!$C:$C,"&gt;="&amp;DATE(YEAR(主页!$D$2),1,1),当年实际!$C:$C,"&lt;="&amp;EOMONTH(DATE(YEAR(主页!$D$2),MONTH(主页!$D$2),1),0)),"")</f>
        <v/>
      </c>
    </row>
    <row r="939" spans="1:10" x14ac:dyDescent="0.3">
      <c r="A939" s="129"/>
      <c r="B939" s="150"/>
      <c r="C939" s="150"/>
      <c r="D939" s="150"/>
      <c r="E939" s="140" t="str">
        <f t="shared" si="45"/>
        <v/>
      </c>
      <c r="F939" s="157"/>
      <c r="G939" s="145">
        <f t="shared" si="46"/>
        <v>0</v>
      </c>
      <c r="H939" s="140" t="str">
        <f t="shared" si="47"/>
        <v/>
      </c>
      <c r="J939" s="147" t="str">
        <f>IFERROR(SUMIFS(当年实际!$V:$V,当年实际!$J:$J,$C939,当年实际!$C:$C,"&gt;="&amp;DATE(YEAR(主页!$D$2),1,1),当年实际!$C:$C,"&lt;="&amp;EOMONTH(DATE(YEAR(主页!$D$2),MONTH(主页!$D$2),1),0))/SUMIFS(当年实际!$P:$P,当年实际!$J:$J,$C939,当年实际!$C:$C,"&gt;="&amp;DATE(YEAR(主页!$D$2),1,1),当年实际!$C:$C,"&lt;="&amp;EOMONTH(DATE(YEAR(主页!$D$2),MONTH(主页!$D$2),1),0)),"")</f>
        <v/>
      </c>
    </row>
    <row r="940" spans="1:10" x14ac:dyDescent="0.3">
      <c r="A940" s="129"/>
      <c r="B940" s="150"/>
      <c r="C940" s="150"/>
      <c r="D940" s="150"/>
      <c r="E940" s="140" t="str">
        <f t="shared" si="45"/>
        <v/>
      </c>
      <c r="F940" s="157"/>
      <c r="G940" s="145">
        <f t="shared" si="46"/>
        <v>0</v>
      </c>
      <c r="H940" s="140" t="str">
        <f t="shared" si="47"/>
        <v/>
      </c>
      <c r="J940" s="147" t="str">
        <f>IFERROR(SUMIFS(当年实际!$V:$V,当年实际!$J:$J,$C940,当年实际!$C:$C,"&gt;="&amp;DATE(YEAR(主页!$D$2),1,1),当年实际!$C:$C,"&lt;="&amp;EOMONTH(DATE(YEAR(主页!$D$2),MONTH(主页!$D$2),1),0))/SUMIFS(当年实际!$P:$P,当年实际!$J:$J,$C940,当年实际!$C:$C,"&gt;="&amp;DATE(YEAR(主页!$D$2),1,1),当年实际!$C:$C,"&lt;="&amp;EOMONTH(DATE(YEAR(主页!$D$2),MONTH(主页!$D$2),1),0)),"")</f>
        <v/>
      </c>
    </row>
    <row r="941" spans="1:10" x14ac:dyDescent="0.3">
      <c r="A941" s="129"/>
      <c r="B941" s="150"/>
      <c r="C941" s="150"/>
      <c r="D941" s="150"/>
      <c r="E941" s="140" t="str">
        <f t="shared" si="45"/>
        <v/>
      </c>
      <c r="F941" s="157"/>
      <c r="G941" s="145">
        <f t="shared" si="46"/>
        <v>0</v>
      </c>
      <c r="H941" s="140" t="str">
        <f t="shared" si="47"/>
        <v/>
      </c>
      <c r="J941" s="147" t="str">
        <f>IFERROR(SUMIFS(当年实际!$V:$V,当年实际!$J:$J,$C941,当年实际!$C:$C,"&gt;="&amp;DATE(YEAR(主页!$D$2),1,1),当年实际!$C:$C,"&lt;="&amp;EOMONTH(DATE(YEAR(主页!$D$2),MONTH(主页!$D$2),1),0))/SUMIFS(当年实际!$P:$P,当年实际!$J:$J,$C941,当年实际!$C:$C,"&gt;="&amp;DATE(YEAR(主页!$D$2),1,1),当年实际!$C:$C,"&lt;="&amp;EOMONTH(DATE(YEAR(主页!$D$2),MONTH(主页!$D$2),1),0)),"")</f>
        <v/>
      </c>
    </row>
    <row r="942" spans="1:10" x14ac:dyDescent="0.3">
      <c r="A942" s="129"/>
      <c r="B942" s="150"/>
      <c r="C942" s="150"/>
      <c r="D942" s="150"/>
      <c r="E942" s="140" t="str">
        <f t="shared" si="45"/>
        <v/>
      </c>
      <c r="F942" s="157"/>
      <c r="G942" s="145">
        <f t="shared" si="46"/>
        <v>0</v>
      </c>
      <c r="H942" s="140" t="str">
        <f t="shared" si="47"/>
        <v/>
      </c>
      <c r="J942" s="147" t="str">
        <f>IFERROR(SUMIFS(当年实际!$V:$V,当年实际!$J:$J,$C942,当年实际!$C:$C,"&gt;="&amp;DATE(YEAR(主页!$D$2),1,1),当年实际!$C:$C,"&lt;="&amp;EOMONTH(DATE(YEAR(主页!$D$2),MONTH(主页!$D$2),1),0))/SUMIFS(当年实际!$P:$P,当年实际!$J:$J,$C942,当年实际!$C:$C,"&gt;="&amp;DATE(YEAR(主页!$D$2),1,1),当年实际!$C:$C,"&lt;="&amp;EOMONTH(DATE(YEAR(主页!$D$2),MONTH(主页!$D$2),1),0)),"")</f>
        <v/>
      </c>
    </row>
    <row r="943" spans="1:10" x14ac:dyDescent="0.3">
      <c r="A943" s="129"/>
      <c r="B943" s="150"/>
      <c r="C943" s="150"/>
      <c r="D943" s="150"/>
      <c r="E943" s="140" t="str">
        <f t="shared" si="45"/>
        <v/>
      </c>
      <c r="F943" s="157"/>
      <c r="G943" s="145">
        <f t="shared" si="46"/>
        <v>0</v>
      </c>
      <c r="H943" s="140" t="str">
        <f t="shared" si="47"/>
        <v/>
      </c>
      <c r="J943" s="147" t="str">
        <f>IFERROR(SUMIFS(当年实际!$V:$V,当年实际!$J:$J,$C943,当年实际!$C:$C,"&gt;="&amp;DATE(YEAR(主页!$D$2),1,1),当年实际!$C:$C,"&lt;="&amp;EOMONTH(DATE(YEAR(主页!$D$2),MONTH(主页!$D$2),1),0))/SUMIFS(当年实际!$P:$P,当年实际!$J:$J,$C943,当年实际!$C:$C,"&gt;="&amp;DATE(YEAR(主页!$D$2),1,1),当年实际!$C:$C,"&lt;="&amp;EOMONTH(DATE(YEAR(主页!$D$2),MONTH(主页!$D$2),1),0)),"")</f>
        <v/>
      </c>
    </row>
    <row r="944" spans="1:10" x14ac:dyDescent="0.3">
      <c r="A944" s="129"/>
      <c r="B944" s="150"/>
      <c r="C944" s="150"/>
      <c r="D944" s="150"/>
      <c r="E944" s="140" t="str">
        <f t="shared" si="45"/>
        <v/>
      </c>
      <c r="F944" s="157"/>
      <c r="G944" s="145">
        <f t="shared" si="46"/>
        <v>0</v>
      </c>
      <c r="H944" s="140" t="str">
        <f t="shared" si="47"/>
        <v/>
      </c>
      <c r="J944" s="147" t="str">
        <f>IFERROR(SUMIFS(当年实际!$V:$V,当年实际!$J:$J,$C944,当年实际!$C:$C,"&gt;="&amp;DATE(YEAR(主页!$D$2),1,1),当年实际!$C:$C,"&lt;="&amp;EOMONTH(DATE(YEAR(主页!$D$2),MONTH(主页!$D$2),1),0))/SUMIFS(当年实际!$P:$P,当年实际!$J:$J,$C944,当年实际!$C:$C,"&gt;="&amp;DATE(YEAR(主页!$D$2),1,1),当年实际!$C:$C,"&lt;="&amp;EOMONTH(DATE(YEAR(主页!$D$2),MONTH(主页!$D$2),1),0)),"")</f>
        <v/>
      </c>
    </row>
    <row r="945" spans="1:10" x14ac:dyDescent="0.3">
      <c r="A945" s="129"/>
      <c r="B945" s="150"/>
      <c r="C945" s="150"/>
      <c r="D945" s="150"/>
      <c r="E945" s="140" t="str">
        <f t="shared" si="45"/>
        <v/>
      </c>
      <c r="F945" s="157"/>
      <c r="G945" s="145">
        <f t="shared" si="46"/>
        <v>0</v>
      </c>
      <c r="H945" s="140" t="str">
        <f t="shared" si="47"/>
        <v/>
      </c>
      <c r="J945" s="147" t="str">
        <f>IFERROR(SUMIFS(当年实际!$V:$V,当年实际!$J:$J,$C945,当年实际!$C:$C,"&gt;="&amp;DATE(YEAR(主页!$D$2),1,1),当年实际!$C:$C,"&lt;="&amp;EOMONTH(DATE(YEAR(主页!$D$2),MONTH(主页!$D$2),1),0))/SUMIFS(当年实际!$P:$P,当年实际!$J:$J,$C945,当年实际!$C:$C,"&gt;="&amp;DATE(YEAR(主页!$D$2),1,1),当年实际!$C:$C,"&lt;="&amp;EOMONTH(DATE(YEAR(主页!$D$2),MONTH(主页!$D$2),1),0)),"")</f>
        <v/>
      </c>
    </row>
    <row r="946" spans="1:10" x14ac:dyDescent="0.3">
      <c r="A946" s="129"/>
      <c r="B946" s="150"/>
      <c r="C946" s="150"/>
      <c r="D946" s="150"/>
      <c r="E946" s="140" t="str">
        <f t="shared" si="45"/>
        <v/>
      </c>
      <c r="F946" s="157"/>
      <c r="G946" s="145">
        <f t="shared" si="46"/>
        <v>0</v>
      </c>
      <c r="H946" s="140" t="str">
        <f t="shared" si="47"/>
        <v/>
      </c>
      <c r="J946" s="147" t="str">
        <f>IFERROR(SUMIFS(当年实际!$V:$V,当年实际!$J:$J,$C946,当年实际!$C:$C,"&gt;="&amp;DATE(YEAR(主页!$D$2),1,1),当年实际!$C:$C,"&lt;="&amp;EOMONTH(DATE(YEAR(主页!$D$2),MONTH(主页!$D$2),1),0))/SUMIFS(当年实际!$P:$P,当年实际!$J:$J,$C946,当年实际!$C:$C,"&gt;="&amp;DATE(YEAR(主页!$D$2),1,1),当年实际!$C:$C,"&lt;="&amp;EOMONTH(DATE(YEAR(主页!$D$2),MONTH(主页!$D$2),1),0)),"")</f>
        <v/>
      </c>
    </row>
    <row r="947" spans="1:10" x14ac:dyDescent="0.3">
      <c r="A947" s="129"/>
      <c r="B947" s="150"/>
      <c r="C947" s="150"/>
      <c r="D947" s="150"/>
      <c r="E947" s="140" t="str">
        <f t="shared" si="45"/>
        <v/>
      </c>
      <c r="F947" s="157"/>
      <c r="G947" s="145">
        <f t="shared" si="46"/>
        <v>0</v>
      </c>
      <c r="H947" s="140" t="str">
        <f t="shared" si="47"/>
        <v/>
      </c>
      <c r="J947" s="147" t="str">
        <f>IFERROR(SUMIFS(当年实际!$V:$V,当年实际!$J:$J,$C947,当年实际!$C:$C,"&gt;="&amp;DATE(YEAR(主页!$D$2),1,1),当年实际!$C:$C,"&lt;="&amp;EOMONTH(DATE(YEAR(主页!$D$2),MONTH(主页!$D$2),1),0))/SUMIFS(当年实际!$P:$P,当年实际!$J:$J,$C947,当年实际!$C:$C,"&gt;="&amp;DATE(YEAR(主页!$D$2),1,1),当年实际!$C:$C,"&lt;="&amp;EOMONTH(DATE(YEAR(主页!$D$2),MONTH(主页!$D$2),1),0)),"")</f>
        <v/>
      </c>
    </row>
    <row r="948" spans="1:10" x14ac:dyDescent="0.3">
      <c r="A948" s="129"/>
      <c r="B948" s="150"/>
      <c r="C948" s="150"/>
      <c r="D948" s="150"/>
      <c r="E948" s="140" t="str">
        <f t="shared" si="45"/>
        <v/>
      </c>
      <c r="F948" s="157"/>
      <c r="G948" s="145">
        <f t="shared" si="46"/>
        <v>0</v>
      </c>
      <c r="H948" s="140" t="str">
        <f t="shared" si="47"/>
        <v/>
      </c>
      <c r="J948" s="147" t="str">
        <f>IFERROR(SUMIFS(当年实际!$V:$V,当年实际!$J:$J,$C948,当年实际!$C:$C,"&gt;="&amp;DATE(YEAR(主页!$D$2),1,1),当年实际!$C:$C,"&lt;="&amp;EOMONTH(DATE(YEAR(主页!$D$2),MONTH(主页!$D$2),1),0))/SUMIFS(当年实际!$P:$P,当年实际!$J:$J,$C948,当年实际!$C:$C,"&gt;="&amp;DATE(YEAR(主页!$D$2),1,1),当年实际!$C:$C,"&lt;="&amp;EOMONTH(DATE(YEAR(主页!$D$2),MONTH(主页!$D$2),1),0)),"")</f>
        <v/>
      </c>
    </row>
    <row r="949" spans="1:10" x14ac:dyDescent="0.3">
      <c r="A949" s="129"/>
      <c r="B949" s="150"/>
      <c r="C949" s="150"/>
      <c r="D949" s="150"/>
      <c r="E949" s="140" t="str">
        <f t="shared" si="45"/>
        <v/>
      </c>
      <c r="F949" s="157"/>
      <c r="G949" s="145">
        <f t="shared" si="46"/>
        <v>0</v>
      </c>
      <c r="H949" s="140" t="str">
        <f t="shared" si="47"/>
        <v/>
      </c>
      <c r="J949" s="147" t="str">
        <f>IFERROR(SUMIFS(当年实际!$V:$V,当年实际!$J:$J,$C949,当年实际!$C:$C,"&gt;="&amp;DATE(YEAR(主页!$D$2),1,1),当年实际!$C:$C,"&lt;="&amp;EOMONTH(DATE(YEAR(主页!$D$2),MONTH(主页!$D$2),1),0))/SUMIFS(当年实际!$P:$P,当年实际!$J:$J,$C949,当年实际!$C:$C,"&gt;="&amp;DATE(YEAR(主页!$D$2),1,1),当年实际!$C:$C,"&lt;="&amp;EOMONTH(DATE(YEAR(主页!$D$2),MONTH(主页!$D$2),1),0)),"")</f>
        <v/>
      </c>
    </row>
    <row r="950" spans="1:10" x14ac:dyDescent="0.3">
      <c r="A950" s="129"/>
      <c r="B950" s="150"/>
      <c r="C950" s="150"/>
      <c r="D950" s="150"/>
      <c r="E950" s="140" t="str">
        <f t="shared" si="45"/>
        <v/>
      </c>
      <c r="F950" s="157"/>
      <c r="G950" s="145">
        <f t="shared" si="46"/>
        <v>0</v>
      </c>
      <c r="H950" s="140" t="str">
        <f t="shared" si="47"/>
        <v/>
      </c>
      <c r="J950" s="147" t="str">
        <f>IFERROR(SUMIFS(当年实际!$V:$V,当年实际!$J:$J,$C950,当年实际!$C:$C,"&gt;="&amp;DATE(YEAR(主页!$D$2),1,1),当年实际!$C:$C,"&lt;="&amp;EOMONTH(DATE(YEAR(主页!$D$2),MONTH(主页!$D$2),1),0))/SUMIFS(当年实际!$P:$P,当年实际!$J:$J,$C950,当年实际!$C:$C,"&gt;="&amp;DATE(YEAR(主页!$D$2),1,1),当年实际!$C:$C,"&lt;="&amp;EOMONTH(DATE(YEAR(主页!$D$2),MONTH(主页!$D$2),1),0)),"")</f>
        <v/>
      </c>
    </row>
    <row r="951" spans="1:10" x14ac:dyDescent="0.3">
      <c r="A951" s="129"/>
      <c r="B951" s="150"/>
      <c r="C951" s="150"/>
      <c r="D951" s="150"/>
      <c r="E951" s="140" t="str">
        <f t="shared" si="45"/>
        <v/>
      </c>
      <c r="F951" s="157"/>
      <c r="G951" s="145">
        <f t="shared" si="46"/>
        <v>0</v>
      </c>
      <c r="H951" s="140" t="str">
        <f t="shared" si="47"/>
        <v/>
      </c>
      <c r="J951" s="147" t="str">
        <f>IFERROR(SUMIFS(当年实际!$V:$V,当年实际!$J:$J,$C951,当年实际!$C:$C,"&gt;="&amp;DATE(YEAR(主页!$D$2),1,1),当年实际!$C:$C,"&lt;="&amp;EOMONTH(DATE(YEAR(主页!$D$2),MONTH(主页!$D$2),1),0))/SUMIFS(当年实际!$P:$P,当年实际!$J:$J,$C951,当年实际!$C:$C,"&gt;="&amp;DATE(YEAR(主页!$D$2),1,1),当年实际!$C:$C,"&lt;="&amp;EOMONTH(DATE(YEAR(主页!$D$2),MONTH(主页!$D$2),1),0)),"")</f>
        <v/>
      </c>
    </row>
    <row r="952" spans="1:10" x14ac:dyDescent="0.3">
      <c r="A952" s="129"/>
      <c r="B952" s="150"/>
      <c r="C952" s="150"/>
      <c r="D952" s="150"/>
      <c r="E952" s="140" t="str">
        <f t="shared" si="45"/>
        <v/>
      </c>
      <c r="F952" s="157"/>
      <c r="G952" s="145">
        <f t="shared" si="46"/>
        <v>0</v>
      </c>
      <c r="H952" s="140" t="str">
        <f t="shared" si="47"/>
        <v/>
      </c>
      <c r="J952" s="147" t="str">
        <f>IFERROR(SUMIFS(当年实际!$V:$V,当年实际!$J:$J,$C952,当年实际!$C:$C,"&gt;="&amp;DATE(YEAR(主页!$D$2),1,1),当年实际!$C:$C,"&lt;="&amp;EOMONTH(DATE(YEAR(主页!$D$2),MONTH(主页!$D$2),1),0))/SUMIFS(当年实际!$P:$P,当年实际!$J:$J,$C952,当年实际!$C:$C,"&gt;="&amp;DATE(YEAR(主页!$D$2),1,1),当年实际!$C:$C,"&lt;="&amp;EOMONTH(DATE(YEAR(主页!$D$2),MONTH(主页!$D$2),1),0)),"")</f>
        <v/>
      </c>
    </row>
    <row r="953" spans="1:10" x14ac:dyDescent="0.3">
      <c r="A953" s="129"/>
      <c r="B953" s="150"/>
      <c r="C953" s="150"/>
      <c r="D953" s="150"/>
      <c r="E953" s="140" t="str">
        <f t="shared" si="45"/>
        <v/>
      </c>
      <c r="F953" s="157"/>
      <c r="G953" s="145">
        <f t="shared" si="46"/>
        <v>0</v>
      </c>
      <c r="H953" s="140" t="str">
        <f t="shared" si="47"/>
        <v/>
      </c>
      <c r="J953" s="147" t="str">
        <f>IFERROR(SUMIFS(当年实际!$V:$V,当年实际!$J:$J,$C953,当年实际!$C:$C,"&gt;="&amp;DATE(YEAR(主页!$D$2),1,1),当年实际!$C:$C,"&lt;="&amp;EOMONTH(DATE(YEAR(主页!$D$2),MONTH(主页!$D$2),1),0))/SUMIFS(当年实际!$P:$P,当年实际!$J:$J,$C953,当年实际!$C:$C,"&gt;="&amp;DATE(YEAR(主页!$D$2),1,1),当年实际!$C:$C,"&lt;="&amp;EOMONTH(DATE(YEAR(主页!$D$2),MONTH(主页!$D$2),1),0)),"")</f>
        <v/>
      </c>
    </row>
    <row r="954" spans="1:10" x14ac:dyDescent="0.3">
      <c r="A954" s="129"/>
      <c r="B954" s="150"/>
      <c r="C954" s="150"/>
      <c r="D954" s="150"/>
      <c r="E954" s="140" t="str">
        <f t="shared" si="45"/>
        <v/>
      </c>
      <c r="F954" s="157"/>
      <c r="G954" s="145">
        <f t="shared" si="46"/>
        <v>0</v>
      </c>
      <c r="H954" s="140" t="str">
        <f t="shared" si="47"/>
        <v/>
      </c>
      <c r="J954" s="147" t="str">
        <f>IFERROR(SUMIFS(当年实际!$V:$V,当年实际!$J:$J,$C954,当年实际!$C:$C,"&gt;="&amp;DATE(YEAR(主页!$D$2),1,1),当年实际!$C:$C,"&lt;="&amp;EOMONTH(DATE(YEAR(主页!$D$2),MONTH(主页!$D$2),1),0))/SUMIFS(当年实际!$P:$P,当年实际!$J:$J,$C954,当年实际!$C:$C,"&gt;="&amp;DATE(YEAR(主页!$D$2),1,1),当年实际!$C:$C,"&lt;="&amp;EOMONTH(DATE(YEAR(主页!$D$2),MONTH(主页!$D$2),1),0)),"")</f>
        <v/>
      </c>
    </row>
    <row r="955" spans="1:10" x14ac:dyDescent="0.3">
      <c r="A955" s="129"/>
      <c r="B955" s="150"/>
      <c r="C955" s="150"/>
      <c r="D955" s="150"/>
      <c r="E955" s="140" t="str">
        <f t="shared" si="45"/>
        <v/>
      </c>
      <c r="F955" s="157"/>
      <c r="G955" s="145">
        <f t="shared" si="46"/>
        <v>0</v>
      </c>
      <c r="H955" s="140" t="str">
        <f t="shared" si="47"/>
        <v/>
      </c>
      <c r="J955" s="147" t="str">
        <f>IFERROR(SUMIFS(当年实际!$V:$V,当年实际!$J:$J,$C955,当年实际!$C:$C,"&gt;="&amp;DATE(YEAR(主页!$D$2),1,1),当年实际!$C:$C,"&lt;="&amp;EOMONTH(DATE(YEAR(主页!$D$2),MONTH(主页!$D$2),1),0))/SUMIFS(当年实际!$P:$P,当年实际!$J:$J,$C955,当年实际!$C:$C,"&gt;="&amp;DATE(YEAR(主页!$D$2),1,1),当年实际!$C:$C,"&lt;="&amp;EOMONTH(DATE(YEAR(主页!$D$2),MONTH(主页!$D$2),1),0)),"")</f>
        <v/>
      </c>
    </row>
    <row r="956" spans="1:10" x14ac:dyDescent="0.3">
      <c r="A956" s="129"/>
      <c r="B956" s="150"/>
      <c r="C956" s="150"/>
      <c r="D956" s="150"/>
      <c r="E956" s="140" t="str">
        <f t="shared" si="45"/>
        <v/>
      </c>
      <c r="F956" s="157"/>
      <c r="G956" s="145">
        <f t="shared" si="46"/>
        <v>0</v>
      </c>
      <c r="H956" s="140" t="str">
        <f t="shared" si="47"/>
        <v/>
      </c>
      <c r="J956" s="147" t="str">
        <f>IFERROR(SUMIFS(当年实际!$V:$V,当年实际!$J:$J,$C956,当年实际!$C:$C,"&gt;="&amp;DATE(YEAR(主页!$D$2),1,1),当年实际!$C:$C,"&lt;="&amp;EOMONTH(DATE(YEAR(主页!$D$2),MONTH(主页!$D$2),1),0))/SUMIFS(当年实际!$P:$P,当年实际!$J:$J,$C956,当年实际!$C:$C,"&gt;="&amp;DATE(YEAR(主页!$D$2),1,1),当年实际!$C:$C,"&lt;="&amp;EOMONTH(DATE(YEAR(主页!$D$2),MONTH(主页!$D$2),1),0)),"")</f>
        <v/>
      </c>
    </row>
    <row r="957" spans="1:10" x14ac:dyDescent="0.3">
      <c r="A957" s="129"/>
      <c r="B957" s="150"/>
      <c r="C957" s="150"/>
      <c r="D957" s="150"/>
      <c r="E957" s="140" t="str">
        <f t="shared" si="45"/>
        <v/>
      </c>
      <c r="F957" s="157"/>
      <c r="G957" s="145">
        <f t="shared" si="46"/>
        <v>0</v>
      </c>
      <c r="H957" s="140" t="str">
        <f t="shared" si="47"/>
        <v/>
      </c>
      <c r="J957" s="147" t="str">
        <f>IFERROR(SUMIFS(当年实际!$V:$V,当年实际!$J:$J,$C957,当年实际!$C:$C,"&gt;="&amp;DATE(YEAR(主页!$D$2),1,1),当年实际!$C:$C,"&lt;="&amp;EOMONTH(DATE(YEAR(主页!$D$2),MONTH(主页!$D$2),1),0))/SUMIFS(当年实际!$P:$P,当年实际!$J:$J,$C957,当年实际!$C:$C,"&gt;="&amp;DATE(YEAR(主页!$D$2),1,1),当年实际!$C:$C,"&lt;="&amp;EOMONTH(DATE(YEAR(主页!$D$2),MONTH(主页!$D$2),1),0)),"")</f>
        <v/>
      </c>
    </row>
    <row r="958" spans="1:10" x14ac:dyDescent="0.3">
      <c r="A958" s="129"/>
      <c r="B958" s="150"/>
      <c r="C958" s="150"/>
      <c r="D958" s="150"/>
      <c r="E958" s="140" t="str">
        <f t="shared" si="45"/>
        <v/>
      </c>
      <c r="F958" s="157"/>
      <c r="G958" s="145">
        <f t="shared" si="46"/>
        <v>0</v>
      </c>
      <c r="H958" s="140" t="str">
        <f t="shared" si="47"/>
        <v/>
      </c>
      <c r="J958" s="147" t="str">
        <f>IFERROR(SUMIFS(当年实际!$V:$V,当年实际!$J:$J,$C958,当年实际!$C:$C,"&gt;="&amp;DATE(YEAR(主页!$D$2),1,1),当年实际!$C:$C,"&lt;="&amp;EOMONTH(DATE(YEAR(主页!$D$2),MONTH(主页!$D$2),1),0))/SUMIFS(当年实际!$P:$P,当年实际!$J:$J,$C958,当年实际!$C:$C,"&gt;="&amp;DATE(YEAR(主页!$D$2),1,1),当年实际!$C:$C,"&lt;="&amp;EOMONTH(DATE(YEAR(主页!$D$2),MONTH(主页!$D$2),1),0)),"")</f>
        <v/>
      </c>
    </row>
    <row r="959" spans="1:10" x14ac:dyDescent="0.3">
      <c r="A959" s="129"/>
      <c r="B959" s="150"/>
      <c r="C959" s="150"/>
      <c r="D959" s="150"/>
      <c r="E959" s="140" t="str">
        <f t="shared" si="45"/>
        <v/>
      </c>
      <c r="F959" s="157"/>
      <c r="G959" s="145">
        <f t="shared" si="46"/>
        <v>0</v>
      </c>
      <c r="H959" s="140" t="str">
        <f t="shared" si="47"/>
        <v/>
      </c>
      <c r="J959" s="147" t="str">
        <f>IFERROR(SUMIFS(当年实际!$V:$V,当年实际!$J:$J,$C959,当年实际!$C:$C,"&gt;="&amp;DATE(YEAR(主页!$D$2),1,1),当年实际!$C:$C,"&lt;="&amp;EOMONTH(DATE(YEAR(主页!$D$2),MONTH(主页!$D$2),1),0))/SUMIFS(当年实际!$P:$P,当年实际!$J:$J,$C959,当年实际!$C:$C,"&gt;="&amp;DATE(YEAR(主页!$D$2),1,1),当年实际!$C:$C,"&lt;="&amp;EOMONTH(DATE(YEAR(主页!$D$2),MONTH(主页!$D$2),1),0)),"")</f>
        <v/>
      </c>
    </row>
    <row r="960" spans="1:10" x14ac:dyDescent="0.3">
      <c r="A960" s="129"/>
      <c r="B960" s="150"/>
      <c r="C960" s="150"/>
      <c r="D960" s="150"/>
      <c r="E960" s="140" t="str">
        <f t="shared" si="45"/>
        <v/>
      </c>
      <c r="F960" s="157"/>
      <c r="G960" s="145">
        <f t="shared" si="46"/>
        <v>0</v>
      </c>
      <c r="H960" s="140" t="str">
        <f t="shared" si="47"/>
        <v/>
      </c>
      <c r="J960" s="147" t="str">
        <f>IFERROR(SUMIFS(当年实际!$V:$V,当年实际!$J:$J,$C960,当年实际!$C:$C,"&gt;="&amp;DATE(YEAR(主页!$D$2),1,1),当年实际!$C:$C,"&lt;="&amp;EOMONTH(DATE(YEAR(主页!$D$2),MONTH(主页!$D$2),1),0))/SUMIFS(当年实际!$P:$P,当年实际!$J:$J,$C960,当年实际!$C:$C,"&gt;="&amp;DATE(YEAR(主页!$D$2),1,1),当年实际!$C:$C,"&lt;="&amp;EOMONTH(DATE(YEAR(主页!$D$2),MONTH(主页!$D$2),1),0)),"")</f>
        <v/>
      </c>
    </row>
    <row r="961" spans="1:10" x14ac:dyDescent="0.3">
      <c r="A961" s="129"/>
      <c r="B961" s="150"/>
      <c r="C961" s="150"/>
      <c r="D961" s="150"/>
      <c r="E961" s="140" t="str">
        <f t="shared" si="45"/>
        <v/>
      </c>
      <c r="F961" s="157"/>
      <c r="G961" s="145">
        <f t="shared" si="46"/>
        <v>0</v>
      </c>
      <c r="H961" s="140" t="str">
        <f t="shared" si="47"/>
        <v/>
      </c>
      <c r="J961" s="147" t="str">
        <f>IFERROR(SUMIFS(当年实际!$V:$V,当年实际!$J:$J,$C961,当年实际!$C:$C,"&gt;="&amp;DATE(YEAR(主页!$D$2),1,1),当年实际!$C:$C,"&lt;="&amp;EOMONTH(DATE(YEAR(主页!$D$2),MONTH(主页!$D$2),1),0))/SUMIFS(当年实际!$P:$P,当年实际!$J:$J,$C961,当年实际!$C:$C,"&gt;="&amp;DATE(YEAR(主页!$D$2),1,1),当年实际!$C:$C,"&lt;="&amp;EOMONTH(DATE(YEAR(主页!$D$2),MONTH(主页!$D$2),1),0)),"")</f>
        <v/>
      </c>
    </row>
    <row r="962" spans="1:10" x14ac:dyDescent="0.3">
      <c r="A962" s="129"/>
      <c r="B962" s="150"/>
      <c r="C962" s="150"/>
      <c r="D962" s="150"/>
      <c r="E962" s="140" t="str">
        <f t="shared" si="45"/>
        <v/>
      </c>
      <c r="F962" s="157"/>
      <c r="G962" s="145">
        <f t="shared" si="46"/>
        <v>0</v>
      </c>
      <c r="H962" s="140" t="str">
        <f t="shared" si="47"/>
        <v/>
      </c>
      <c r="J962" s="147" t="str">
        <f>IFERROR(SUMIFS(当年实际!$V:$V,当年实际!$J:$J,$C962,当年实际!$C:$C,"&gt;="&amp;DATE(YEAR(主页!$D$2),1,1),当年实际!$C:$C,"&lt;="&amp;EOMONTH(DATE(YEAR(主页!$D$2),MONTH(主页!$D$2),1),0))/SUMIFS(当年实际!$P:$P,当年实际!$J:$J,$C962,当年实际!$C:$C,"&gt;="&amp;DATE(YEAR(主页!$D$2),1,1),当年实际!$C:$C,"&lt;="&amp;EOMONTH(DATE(YEAR(主页!$D$2),MONTH(主页!$D$2),1),0)),"")</f>
        <v/>
      </c>
    </row>
    <row r="963" spans="1:10" x14ac:dyDescent="0.3">
      <c r="A963" s="129"/>
      <c r="B963" s="150"/>
      <c r="C963" s="150"/>
      <c r="D963" s="150"/>
      <c r="E963" s="140" t="str">
        <f t="shared" si="45"/>
        <v/>
      </c>
      <c r="F963" s="157"/>
      <c r="G963" s="145">
        <f t="shared" si="46"/>
        <v>0</v>
      </c>
      <c r="H963" s="140" t="str">
        <f t="shared" si="47"/>
        <v/>
      </c>
      <c r="J963" s="147" t="str">
        <f>IFERROR(SUMIFS(当年实际!$V:$V,当年实际!$J:$J,$C963,当年实际!$C:$C,"&gt;="&amp;DATE(YEAR(主页!$D$2),1,1),当年实际!$C:$C,"&lt;="&amp;EOMONTH(DATE(YEAR(主页!$D$2),MONTH(主页!$D$2),1),0))/SUMIFS(当年实际!$P:$P,当年实际!$J:$J,$C963,当年实际!$C:$C,"&gt;="&amp;DATE(YEAR(主页!$D$2),1,1),当年实际!$C:$C,"&lt;="&amp;EOMONTH(DATE(YEAR(主页!$D$2),MONTH(主页!$D$2),1),0)),"")</f>
        <v/>
      </c>
    </row>
    <row r="964" spans="1:10" x14ac:dyDescent="0.3">
      <c r="A964" s="129"/>
      <c r="B964" s="150"/>
      <c r="C964" s="150"/>
      <c r="D964" s="150"/>
      <c r="E964" s="140" t="str">
        <f t="shared" ref="E964:E1027" si="48">IF(D964/SUM(D:D)=0,"",D964/SUM(D:D))</f>
        <v/>
      </c>
      <c r="F964" s="157"/>
      <c r="G964" s="145">
        <f t="shared" si="46"/>
        <v>0</v>
      </c>
      <c r="H964" s="140" t="str">
        <f t="shared" si="47"/>
        <v/>
      </c>
      <c r="J964" s="147" t="str">
        <f>IFERROR(SUMIFS(当年实际!$V:$V,当年实际!$J:$J,$C964,当年实际!$C:$C,"&gt;="&amp;DATE(YEAR(主页!$D$2),1,1),当年实际!$C:$C,"&lt;="&amp;EOMONTH(DATE(YEAR(主页!$D$2),MONTH(主页!$D$2),1),0))/SUMIFS(当年实际!$P:$P,当年实际!$J:$J,$C964,当年实际!$C:$C,"&gt;="&amp;DATE(YEAR(主页!$D$2),1,1),当年实际!$C:$C,"&lt;="&amp;EOMONTH(DATE(YEAR(主页!$D$2),MONTH(主页!$D$2),1),0)),"")</f>
        <v/>
      </c>
    </row>
    <row r="965" spans="1:10" x14ac:dyDescent="0.3">
      <c r="A965" s="129"/>
      <c r="B965" s="150"/>
      <c r="C965" s="150"/>
      <c r="D965" s="150"/>
      <c r="E965" s="140" t="str">
        <f t="shared" si="48"/>
        <v/>
      </c>
      <c r="F965" s="157"/>
      <c r="G965" s="145">
        <f t="shared" si="46"/>
        <v>0</v>
      </c>
      <c r="H965" s="140" t="str">
        <f t="shared" si="47"/>
        <v/>
      </c>
      <c r="J965" s="147" t="str">
        <f>IFERROR(SUMIFS(当年实际!$V:$V,当年实际!$J:$J,$C965,当年实际!$C:$C,"&gt;="&amp;DATE(YEAR(主页!$D$2),1,1),当年实际!$C:$C,"&lt;="&amp;EOMONTH(DATE(YEAR(主页!$D$2),MONTH(主页!$D$2),1),0))/SUMIFS(当年实际!$P:$P,当年实际!$J:$J,$C965,当年实际!$C:$C,"&gt;="&amp;DATE(YEAR(主页!$D$2),1,1),当年实际!$C:$C,"&lt;="&amp;EOMONTH(DATE(YEAR(主页!$D$2),MONTH(主页!$D$2),1),0)),"")</f>
        <v/>
      </c>
    </row>
    <row r="966" spans="1:10" x14ac:dyDescent="0.3">
      <c r="A966" s="129"/>
      <c r="B966" s="150"/>
      <c r="C966" s="150"/>
      <c r="D966" s="150"/>
      <c r="E966" s="140" t="str">
        <f t="shared" si="48"/>
        <v/>
      </c>
      <c r="F966" s="157"/>
      <c r="G966" s="145">
        <f t="shared" si="46"/>
        <v>0</v>
      </c>
      <c r="H966" s="140" t="str">
        <f t="shared" si="47"/>
        <v/>
      </c>
      <c r="J966" s="147" t="str">
        <f>IFERROR(SUMIFS(当年实际!$V:$V,当年实际!$J:$J,$C966,当年实际!$C:$C,"&gt;="&amp;DATE(YEAR(主页!$D$2),1,1),当年实际!$C:$C,"&lt;="&amp;EOMONTH(DATE(YEAR(主页!$D$2),MONTH(主页!$D$2),1),0))/SUMIFS(当年实际!$P:$P,当年实际!$J:$J,$C966,当年实际!$C:$C,"&gt;="&amp;DATE(YEAR(主页!$D$2),1,1),当年实际!$C:$C,"&lt;="&amp;EOMONTH(DATE(YEAR(主页!$D$2),MONTH(主页!$D$2),1),0)),"")</f>
        <v/>
      </c>
    </row>
    <row r="967" spans="1:10" x14ac:dyDescent="0.3">
      <c r="A967" s="129"/>
      <c r="B967" s="150"/>
      <c r="C967" s="150"/>
      <c r="D967" s="150"/>
      <c r="E967" s="140" t="str">
        <f t="shared" si="48"/>
        <v/>
      </c>
      <c r="F967" s="157"/>
      <c r="G967" s="145">
        <f t="shared" si="46"/>
        <v>0</v>
      </c>
      <c r="H967" s="140" t="str">
        <f t="shared" si="47"/>
        <v/>
      </c>
      <c r="J967" s="147" t="str">
        <f>IFERROR(SUMIFS(当年实际!$V:$V,当年实际!$J:$J,$C967,当年实际!$C:$C,"&gt;="&amp;DATE(YEAR(主页!$D$2),1,1),当年实际!$C:$C,"&lt;="&amp;EOMONTH(DATE(YEAR(主页!$D$2),MONTH(主页!$D$2),1),0))/SUMIFS(当年实际!$P:$P,当年实际!$J:$J,$C967,当年实际!$C:$C,"&gt;="&amp;DATE(YEAR(主页!$D$2),1,1),当年实际!$C:$C,"&lt;="&amp;EOMONTH(DATE(YEAR(主页!$D$2),MONTH(主页!$D$2),1),0)),"")</f>
        <v/>
      </c>
    </row>
    <row r="968" spans="1:10" x14ac:dyDescent="0.3">
      <c r="A968" s="129"/>
      <c r="B968" s="150"/>
      <c r="C968" s="150"/>
      <c r="D968" s="150"/>
      <c r="E968" s="140" t="str">
        <f t="shared" si="48"/>
        <v/>
      </c>
      <c r="F968" s="157"/>
      <c r="G968" s="145">
        <f t="shared" si="46"/>
        <v>0</v>
      </c>
      <c r="H968" s="140" t="str">
        <f t="shared" si="47"/>
        <v/>
      </c>
      <c r="J968" s="147" t="str">
        <f>IFERROR(SUMIFS(当年实际!$V:$V,当年实际!$J:$J,$C968,当年实际!$C:$C,"&gt;="&amp;DATE(YEAR(主页!$D$2),1,1),当年实际!$C:$C,"&lt;="&amp;EOMONTH(DATE(YEAR(主页!$D$2),MONTH(主页!$D$2),1),0))/SUMIFS(当年实际!$P:$P,当年实际!$J:$J,$C968,当年实际!$C:$C,"&gt;="&amp;DATE(YEAR(主页!$D$2),1,1),当年实际!$C:$C,"&lt;="&amp;EOMONTH(DATE(YEAR(主页!$D$2),MONTH(主页!$D$2),1),0)),"")</f>
        <v/>
      </c>
    </row>
    <row r="969" spans="1:10" x14ac:dyDescent="0.3">
      <c r="A969" s="129"/>
      <c r="B969" s="150"/>
      <c r="C969" s="150"/>
      <c r="D969" s="150"/>
      <c r="E969" s="140" t="str">
        <f t="shared" si="48"/>
        <v/>
      </c>
      <c r="F969" s="157"/>
      <c r="G969" s="145">
        <f t="shared" si="46"/>
        <v>0</v>
      </c>
      <c r="H969" s="140" t="str">
        <f t="shared" si="47"/>
        <v/>
      </c>
      <c r="J969" s="147" t="str">
        <f>IFERROR(SUMIFS(当年实际!$V:$V,当年实际!$J:$J,$C969,当年实际!$C:$C,"&gt;="&amp;DATE(YEAR(主页!$D$2),1,1),当年实际!$C:$C,"&lt;="&amp;EOMONTH(DATE(YEAR(主页!$D$2),MONTH(主页!$D$2),1),0))/SUMIFS(当年实际!$P:$P,当年实际!$J:$J,$C969,当年实际!$C:$C,"&gt;="&amp;DATE(YEAR(主页!$D$2),1,1),当年实际!$C:$C,"&lt;="&amp;EOMONTH(DATE(YEAR(主页!$D$2),MONTH(主页!$D$2),1),0)),"")</f>
        <v/>
      </c>
    </row>
    <row r="970" spans="1:10" x14ac:dyDescent="0.3">
      <c r="A970" s="129"/>
      <c r="B970" s="150"/>
      <c r="C970" s="150"/>
      <c r="D970" s="150"/>
      <c r="E970" s="140" t="str">
        <f t="shared" si="48"/>
        <v/>
      </c>
      <c r="F970" s="157"/>
      <c r="G970" s="145">
        <f t="shared" si="46"/>
        <v>0</v>
      </c>
      <c r="H970" s="140" t="str">
        <f t="shared" si="47"/>
        <v/>
      </c>
      <c r="J970" s="147" t="str">
        <f>IFERROR(SUMIFS(当年实际!$V:$V,当年实际!$J:$J,$C970,当年实际!$C:$C,"&gt;="&amp;DATE(YEAR(主页!$D$2),1,1),当年实际!$C:$C,"&lt;="&amp;EOMONTH(DATE(YEAR(主页!$D$2),MONTH(主页!$D$2),1),0))/SUMIFS(当年实际!$P:$P,当年实际!$J:$J,$C970,当年实际!$C:$C,"&gt;="&amp;DATE(YEAR(主页!$D$2),1,1),当年实际!$C:$C,"&lt;="&amp;EOMONTH(DATE(YEAR(主页!$D$2),MONTH(主页!$D$2),1),0)),"")</f>
        <v/>
      </c>
    </row>
    <row r="971" spans="1:10" x14ac:dyDescent="0.3">
      <c r="A971" s="129"/>
      <c r="B971" s="150"/>
      <c r="C971" s="150"/>
      <c r="D971" s="150"/>
      <c r="E971" s="140" t="str">
        <f t="shared" si="48"/>
        <v/>
      </c>
      <c r="F971" s="157"/>
      <c r="G971" s="145">
        <f t="shared" si="46"/>
        <v>0</v>
      </c>
      <c r="H971" s="140" t="str">
        <f t="shared" si="47"/>
        <v/>
      </c>
      <c r="J971" s="147" t="str">
        <f>IFERROR(SUMIFS(当年实际!$V:$V,当年实际!$J:$J,$C971,当年实际!$C:$C,"&gt;="&amp;DATE(YEAR(主页!$D$2),1,1),当年实际!$C:$C,"&lt;="&amp;EOMONTH(DATE(YEAR(主页!$D$2),MONTH(主页!$D$2),1),0))/SUMIFS(当年实际!$P:$P,当年实际!$J:$J,$C971,当年实际!$C:$C,"&gt;="&amp;DATE(YEAR(主页!$D$2),1,1),当年实际!$C:$C,"&lt;="&amp;EOMONTH(DATE(YEAR(主页!$D$2),MONTH(主页!$D$2),1),0)),"")</f>
        <v/>
      </c>
    </row>
    <row r="972" spans="1:10" x14ac:dyDescent="0.3">
      <c r="A972" s="129"/>
      <c r="B972" s="150"/>
      <c r="C972" s="150"/>
      <c r="D972" s="150"/>
      <c r="E972" s="140" t="str">
        <f t="shared" si="48"/>
        <v/>
      </c>
      <c r="F972" s="157"/>
      <c r="G972" s="145">
        <f t="shared" si="46"/>
        <v>0</v>
      </c>
      <c r="H972" s="140" t="str">
        <f t="shared" si="47"/>
        <v/>
      </c>
      <c r="J972" s="147" t="str">
        <f>IFERROR(SUMIFS(当年实际!$V:$V,当年实际!$J:$J,$C972,当年实际!$C:$C,"&gt;="&amp;DATE(YEAR(主页!$D$2),1,1),当年实际!$C:$C,"&lt;="&amp;EOMONTH(DATE(YEAR(主页!$D$2),MONTH(主页!$D$2),1),0))/SUMIFS(当年实际!$P:$P,当年实际!$J:$J,$C972,当年实际!$C:$C,"&gt;="&amp;DATE(YEAR(主页!$D$2),1,1),当年实际!$C:$C,"&lt;="&amp;EOMONTH(DATE(YEAR(主页!$D$2),MONTH(主页!$D$2),1),0)),"")</f>
        <v/>
      </c>
    </row>
    <row r="973" spans="1:10" x14ac:dyDescent="0.3">
      <c r="A973" s="129"/>
      <c r="B973" s="150"/>
      <c r="C973" s="150"/>
      <c r="D973" s="150"/>
      <c r="E973" s="140" t="str">
        <f t="shared" si="48"/>
        <v/>
      </c>
      <c r="F973" s="157"/>
      <c r="G973" s="145">
        <f t="shared" si="46"/>
        <v>0</v>
      </c>
      <c r="H973" s="140" t="str">
        <f t="shared" si="47"/>
        <v/>
      </c>
      <c r="J973" s="147" t="str">
        <f>IFERROR(SUMIFS(当年实际!$V:$V,当年实际!$J:$J,$C973,当年实际!$C:$C,"&gt;="&amp;DATE(YEAR(主页!$D$2),1,1),当年实际!$C:$C,"&lt;="&amp;EOMONTH(DATE(YEAR(主页!$D$2),MONTH(主页!$D$2),1),0))/SUMIFS(当年实际!$P:$P,当年实际!$J:$J,$C973,当年实际!$C:$C,"&gt;="&amp;DATE(YEAR(主页!$D$2),1,1),当年实际!$C:$C,"&lt;="&amp;EOMONTH(DATE(YEAR(主页!$D$2),MONTH(主页!$D$2),1),0)),"")</f>
        <v/>
      </c>
    </row>
    <row r="974" spans="1:10" x14ac:dyDescent="0.3">
      <c r="A974" s="129"/>
      <c r="B974" s="150"/>
      <c r="C974" s="150"/>
      <c r="D974" s="150"/>
      <c r="E974" s="140" t="str">
        <f t="shared" si="48"/>
        <v/>
      </c>
      <c r="F974" s="157"/>
      <c r="G974" s="145">
        <f t="shared" si="46"/>
        <v>0</v>
      </c>
      <c r="H974" s="140" t="str">
        <f t="shared" si="47"/>
        <v/>
      </c>
      <c r="J974" s="147" t="str">
        <f>IFERROR(SUMIFS(当年实际!$V:$V,当年实际!$J:$J,$C974,当年实际!$C:$C,"&gt;="&amp;DATE(YEAR(主页!$D$2),1,1),当年实际!$C:$C,"&lt;="&amp;EOMONTH(DATE(YEAR(主页!$D$2),MONTH(主页!$D$2),1),0))/SUMIFS(当年实际!$P:$P,当年实际!$J:$J,$C974,当年实际!$C:$C,"&gt;="&amp;DATE(YEAR(主页!$D$2),1,1),当年实际!$C:$C,"&lt;="&amp;EOMONTH(DATE(YEAR(主页!$D$2),MONTH(主页!$D$2),1),0)),"")</f>
        <v/>
      </c>
    </row>
    <row r="975" spans="1:10" x14ac:dyDescent="0.3">
      <c r="A975" s="129"/>
      <c r="B975" s="150"/>
      <c r="C975" s="150"/>
      <c r="D975" s="150"/>
      <c r="E975" s="140" t="str">
        <f t="shared" si="48"/>
        <v/>
      </c>
      <c r="F975" s="157"/>
      <c r="G975" s="145">
        <f t="shared" si="46"/>
        <v>0</v>
      </c>
      <c r="H975" s="140" t="str">
        <f t="shared" si="47"/>
        <v/>
      </c>
      <c r="J975" s="147" t="str">
        <f>IFERROR(SUMIFS(当年实际!$V:$V,当年实际!$J:$J,$C975,当年实际!$C:$C,"&gt;="&amp;DATE(YEAR(主页!$D$2),1,1),当年实际!$C:$C,"&lt;="&amp;EOMONTH(DATE(YEAR(主页!$D$2),MONTH(主页!$D$2),1),0))/SUMIFS(当年实际!$P:$P,当年实际!$J:$J,$C975,当年实际!$C:$C,"&gt;="&amp;DATE(YEAR(主页!$D$2),1,1),当年实际!$C:$C,"&lt;="&amp;EOMONTH(DATE(YEAR(主页!$D$2),MONTH(主页!$D$2),1),0)),"")</f>
        <v/>
      </c>
    </row>
    <row r="976" spans="1:10" x14ac:dyDescent="0.3">
      <c r="A976" s="129"/>
      <c r="B976" s="150"/>
      <c r="C976" s="150"/>
      <c r="D976" s="150"/>
      <c r="E976" s="140" t="str">
        <f t="shared" si="48"/>
        <v/>
      </c>
      <c r="F976" s="157"/>
      <c r="G976" s="145">
        <f t="shared" si="46"/>
        <v>0</v>
      </c>
      <c r="H976" s="140" t="str">
        <f t="shared" si="47"/>
        <v/>
      </c>
      <c r="J976" s="147" t="str">
        <f>IFERROR(SUMIFS(当年实际!$V:$V,当年实际!$J:$J,$C976,当年实际!$C:$C,"&gt;="&amp;DATE(YEAR(主页!$D$2),1,1),当年实际!$C:$C,"&lt;="&amp;EOMONTH(DATE(YEAR(主页!$D$2),MONTH(主页!$D$2),1),0))/SUMIFS(当年实际!$P:$P,当年实际!$J:$J,$C976,当年实际!$C:$C,"&gt;="&amp;DATE(YEAR(主页!$D$2),1,1),当年实际!$C:$C,"&lt;="&amp;EOMONTH(DATE(YEAR(主页!$D$2),MONTH(主页!$D$2),1),0)),"")</f>
        <v/>
      </c>
    </row>
    <row r="977" spans="1:10" x14ac:dyDescent="0.3">
      <c r="A977" s="129"/>
      <c r="B977" s="150"/>
      <c r="C977" s="150"/>
      <c r="D977" s="150"/>
      <c r="E977" s="140" t="str">
        <f t="shared" si="48"/>
        <v/>
      </c>
      <c r="F977" s="157"/>
      <c r="G977" s="145">
        <f t="shared" si="46"/>
        <v>0</v>
      </c>
      <c r="H977" s="140" t="str">
        <f t="shared" si="47"/>
        <v/>
      </c>
      <c r="J977" s="147" t="str">
        <f>IFERROR(SUMIFS(当年实际!$V:$V,当年实际!$J:$J,$C977,当年实际!$C:$C,"&gt;="&amp;DATE(YEAR(主页!$D$2),1,1),当年实际!$C:$C,"&lt;="&amp;EOMONTH(DATE(YEAR(主页!$D$2),MONTH(主页!$D$2),1),0))/SUMIFS(当年实际!$P:$P,当年实际!$J:$J,$C977,当年实际!$C:$C,"&gt;="&amp;DATE(YEAR(主页!$D$2),1,1),当年实际!$C:$C,"&lt;="&amp;EOMONTH(DATE(YEAR(主页!$D$2),MONTH(主页!$D$2),1),0)),"")</f>
        <v/>
      </c>
    </row>
    <row r="978" spans="1:10" x14ac:dyDescent="0.3">
      <c r="A978" s="129"/>
      <c r="B978" s="150"/>
      <c r="C978" s="150"/>
      <c r="D978" s="150"/>
      <c r="E978" s="140" t="str">
        <f t="shared" si="48"/>
        <v/>
      </c>
      <c r="F978" s="157"/>
      <c r="G978" s="145">
        <f t="shared" si="46"/>
        <v>0</v>
      </c>
      <c r="H978" s="140" t="str">
        <f t="shared" si="47"/>
        <v/>
      </c>
      <c r="J978" s="147" t="str">
        <f>IFERROR(SUMIFS(当年实际!$V:$V,当年实际!$J:$J,$C978,当年实际!$C:$C,"&gt;="&amp;DATE(YEAR(主页!$D$2),1,1),当年实际!$C:$C,"&lt;="&amp;EOMONTH(DATE(YEAR(主页!$D$2),MONTH(主页!$D$2),1),0))/SUMIFS(当年实际!$P:$P,当年实际!$J:$J,$C978,当年实际!$C:$C,"&gt;="&amp;DATE(YEAR(主页!$D$2),1,1),当年实际!$C:$C,"&lt;="&amp;EOMONTH(DATE(YEAR(主页!$D$2),MONTH(主页!$D$2),1),0)),"")</f>
        <v/>
      </c>
    </row>
    <row r="979" spans="1:10" x14ac:dyDescent="0.3">
      <c r="A979" s="129"/>
      <c r="B979" s="150"/>
      <c r="C979" s="150"/>
      <c r="D979" s="150"/>
      <c r="E979" s="140" t="str">
        <f t="shared" si="48"/>
        <v/>
      </c>
      <c r="F979" s="157"/>
      <c r="G979" s="145">
        <f t="shared" si="46"/>
        <v>0</v>
      </c>
      <c r="H979" s="140" t="str">
        <f t="shared" si="47"/>
        <v/>
      </c>
      <c r="J979" s="147" t="str">
        <f>IFERROR(SUMIFS(当年实际!$V:$V,当年实际!$J:$J,$C979,当年实际!$C:$C,"&gt;="&amp;DATE(YEAR(主页!$D$2),1,1),当年实际!$C:$C,"&lt;="&amp;EOMONTH(DATE(YEAR(主页!$D$2),MONTH(主页!$D$2),1),0))/SUMIFS(当年实际!$P:$P,当年实际!$J:$J,$C979,当年实际!$C:$C,"&gt;="&amp;DATE(YEAR(主页!$D$2),1,1),当年实际!$C:$C,"&lt;="&amp;EOMONTH(DATE(YEAR(主页!$D$2),MONTH(主页!$D$2),1),0)),"")</f>
        <v/>
      </c>
    </row>
    <row r="980" spans="1:10" x14ac:dyDescent="0.3">
      <c r="A980" s="129"/>
      <c r="B980" s="150"/>
      <c r="C980" s="150"/>
      <c r="D980" s="150"/>
      <c r="E980" s="140" t="str">
        <f t="shared" si="48"/>
        <v/>
      </c>
      <c r="F980" s="157"/>
      <c r="G980" s="145">
        <f t="shared" si="46"/>
        <v>0</v>
      </c>
      <c r="H980" s="140" t="str">
        <f t="shared" si="47"/>
        <v/>
      </c>
      <c r="J980" s="147" t="str">
        <f>IFERROR(SUMIFS(当年实际!$V:$V,当年实际!$J:$J,$C980,当年实际!$C:$C,"&gt;="&amp;DATE(YEAR(主页!$D$2),1,1),当年实际!$C:$C,"&lt;="&amp;EOMONTH(DATE(YEAR(主页!$D$2),MONTH(主页!$D$2),1),0))/SUMIFS(当年实际!$P:$P,当年实际!$J:$J,$C980,当年实际!$C:$C,"&gt;="&amp;DATE(YEAR(主页!$D$2),1,1),当年实际!$C:$C,"&lt;="&amp;EOMONTH(DATE(YEAR(主页!$D$2),MONTH(主页!$D$2),1),0)),"")</f>
        <v/>
      </c>
    </row>
    <row r="981" spans="1:10" x14ac:dyDescent="0.3">
      <c r="A981" s="129"/>
      <c r="B981" s="150"/>
      <c r="C981" s="150"/>
      <c r="D981" s="150"/>
      <c r="E981" s="140" t="str">
        <f t="shared" si="48"/>
        <v/>
      </c>
      <c r="F981" s="157"/>
      <c r="G981" s="145">
        <f t="shared" si="46"/>
        <v>0</v>
      </c>
      <c r="H981" s="140" t="str">
        <f t="shared" si="47"/>
        <v/>
      </c>
      <c r="J981" s="147" t="str">
        <f>IFERROR(SUMIFS(当年实际!$V:$V,当年实际!$J:$J,$C981,当年实际!$C:$C,"&gt;="&amp;DATE(YEAR(主页!$D$2),1,1),当年实际!$C:$C,"&lt;="&amp;EOMONTH(DATE(YEAR(主页!$D$2),MONTH(主页!$D$2),1),0))/SUMIFS(当年实际!$P:$P,当年实际!$J:$J,$C981,当年实际!$C:$C,"&gt;="&amp;DATE(YEAR(主页!$D$2),1,1),当年实际!$C:$C,"&lt;="&amp;EOMONTH(DATE(YEAR(主页!$D$2),MONTH(主页!$D$2),1),0)),"")</f>
        <v/>
      </c>
    </row>
    <row r="982" spans="1:10" x14ac:dyDescent="0.3">
      <c r="A982" s="129"/>
      <c r="B982" s="150"/>
      <c r="C982" s="150"/>
      <c r="D982" s="150"/>
      <c r="E982" s="140" t="str">
        <f t="shared" si="48"/>
        <v/>
      </c>
      <c r="F982" s="157"/>
      <c r="G982" s="145">
        <f t="shared" si="46"/>
        <v>0</v>
      </c>
      <c r="H982" s="140" t="str">
        <f t="shared" si="47"/>
        <v/>
      </c>
      <c r="J982" s="147" t="str">
        <f>IFERROR(SUMIFS(当年实际!$V:$V,当年实际!$J:$J,$C982,当年实际!$C:$C,"&gt;="&amp;DATE(YEAR(主页!$D$2),1,1),当年实际!$C:$C,"&lt;="&amp;EOMONTH(DATE(YEAR(主页!$D$2),MONTH(主页!$D$2),1),0))/SUMIFS(当年实际!$P:$P,当年实际!$J:$J,$C982,当年实际!$C:$C,"&gt;="&amp;DATE(YEAR(主页!$D$2),1,1),当年实际!$C:$C,"&lt;="&amp;EOMONTH(DATE(YEAR(主页!$D$2),MONTH(主页!$D$2),1),0)),"")</f>
        <v/>
      </c>
    </row>
    <row r="983" spans="1:10" x14ac:dyDescent="0.3">
      <c r="A983" s="129"/>
      <c r="B983" s="150"/>
      <c r="C983" s="150"/>
      <c r="D983" s="150"/>
      <c r="E983" s="140" t="str">
        <f t="shared" si="48"/>
        <v/>
      </c>
      <c r="F983" s="157"/>
      <c r="G983" s="145">
        <f t="shared" si="46"/>
        <v>0</v>
      </c>
      <c r="H983" s="140" t="str">
        <f t="shared" si="47"/>
        <v/>
      </c>
      <c r="J983" s="147" t="str">
        <f>IFERROR(SUMIFS(当年实际!$V:$V,当年实际!$J:$J,$C983,当年实际!$C:$C,"&gt;="&amp;DATE(YEAR(主页!$D$2),1,1),当年实际!$C:$C,"&lt;="&amp;EOMONTH(DATE(YEAR(主页!$D$2),MONTH(主页!$D$2),1),0))/SUMIFS(当年实际!$P:$P,当年实际!$J:$J,$C983,当年实际!$C:$C,"&gt;="&amp;DATE(YEAR(主页!$D$2),1,1),当年实际!$C:$C,"&lt;="&amp;EOMONTH(DATE(YEAR(主页!$D$2),MONTH(主页!$D$2),1),0)),"")</f>
        <v/>
      </c>
    </row>
    <row r="984" spans="1:10" x14ac:dyDescent="0.3">
      <c r="A984" s="129"/>
      <c r="B984" s="150"/>
      <c r="C984" s="150"/>
      <c r="D984" s="150"/>
      <c r="E984" s="140" t="str">
        <f t="shared" si="48"/>
        <v/>
      </c>
      <c r="F984" s="157"/>
      <c r="G984" s="145">
        <f t="shared" si="46"/>
        <v>0</v>
      </c>
      <c r="H984" s="140" t="str">
        <f t="shared" si="47"/>
        <v/>
      </c>
      <c r="J984" s="147" t="str">
        <f>IFERROR(SUMIFS(当年实际!$V:$V,当年实际!$J:$J,$C984,当年实际!$C:$C,"&gt;="&amp;DATE(YEAR(主页!$D$2),1,1),当年实际!$C:$C,"&lt;="&amp;EOMONTH(DATE(YEAR(主页!$D$2),MONTH(主页!$D$2),1),0))/SUMIFS(当年实际!$P:$P,当年实际!$J:$J,$C984,当年实际!$C:$C,"&gt;="&amp;DATE(YEAR(主页!$D$2),1,1),当年实际!$C:$C,"&lt;="&amp;EOMONTH(DATE(YEAR(主页!$D$2),MONTH(主页!$D$2),1),0)),"")</f>
        <v/>
      </c>
    </row>
    <row r="985" spans="1:10" x14ac:dyDescent="0.3">
      <c r="A985" s="129"/>
      <c r="B985" s="150"/>
      <c r="C985" s="150"/>
      <c r="D985" s="150"/>
      <c r="E985" s="140" t="str">
        <f t="shared" si="48"/>
        <v/>
      </c>
      <c r="F985" s="157"/>
      <c r="G985" s="145">
        <f t="shared" si="46"/>
        <v>0</v>
      </c>
      <c r="H985" s="140" t="str">
        <f t="shared" si="47"/>
        <v/>
      </c>
      <c r="J985" s="147" t="str">
        <f>IFERROR(SUMIFS(当年实际!$V:$V,当年实际!$J:$J,$C985,当年实际!$C:$C,"&gt;="&amp;DATE(YEAR(主页!$D$2),1,1),当年实际!$C:$C,"&lt;="&amp;EOMONTH(DATE(YEAR(主页!$D$2),MONTH(主页!$D$2),1),0))/SUMIFS(当年实际!$P:$P,当年实际!$J:$J,$C985,当年实际!$C:$C,"&gt;="&amp;DATE(YEAR(主页!$D$2),1,1),当年实际!$C:$C,"&lt;="&amp;EOMONTH(DATE(YEAR(主页!$D$2),MONTH(主页!$D$2),1),0)),"")</f>
        <v/>
      </c>
    </row>
    <row r="986" spans="1:10" x14ac:dyDescent="0.3">
      <c r="A986" s="129"/>
      <c r="B986" s="150"/>
      <c r="C986" s="150"/>
      <c r="D986" s="150"/>
      <c r="E986" s="140" t="str">
        <f t="shared" si="48"/>
        <v/>
      </c>
      <c r="F986" s="157"/>
      <c r="G986" s="145">
        <f t="shared" si="46"/>
        <v>0</v>
      </c>
      <c r="H986" s="140" t="str">
        <f t="shared" si="47"/>
        <v/>
      </c>
      <c r="J986" s="147" t="str">
        <f>IFERROR(SUMIFS(当年实际!$V:$V,当年实际!$J:$J,$C986,当年实际!$C:$C,"&gt;="&amp;DATE(YEAR(主页!$D$2),1,1),当年实际!$C:$C,"&lt;="&amp;EOMONTH(DATE(YEAR(主页!$D$2),MONTH(主页!$D$2),1),0))/SUMIFS(当年实际!$P:$P,当年实际!$J:$J,$C986,当年实际!$C:$C,"&gt;="&amp;DATE(YEAR(主页!$D$2),1,1),当年实际!$C:$C,"&lt;="&amp;EOMONTH(DATE(YEAR(主页!$D$2),MONTH(主页!$D$2),1),0)),"")</f>
        <v/>
      </c>
    </row>
    <row r="987" spans="1:10" x14ac:dyDescent="0.3">
      <c r="A987" s="129"/>
      <c r="B987" s="150"/>
      <c r="C987" s="150"/>
      <c r="D987" s="150"/>
      <c r="E987" s="140" t="str">
        <f t="shared" si="48"/>
        <v/>
      </c>
      <c r="F987" s="157"/>
      <c r="G987" s="145">
        <f t="shared" si="46"/>
        <v>0</v>
      </c>
      <c r="H987" s="140" t="str">
        <f t="shared" si="47"/>
        <v/>
      </c>
      <c r="J987" s="147" t="str">
        <f>IFERROR(SUMIFS(当年实际!$V:$V,当年实际!$J:$J,$C987,当年实际!$C:$C,"&gt;="&amp;DATE(YEAR(主页!$D$2),1,1),当年实际!$C:$C,"&lt;="&amp;EOMONTH(DATE(YEAR(主页!$D$2),MONTH(主页!$D$2),1),0))/SUMIFS(当年实际!$P:$P,当年实际!$J:$J,$C987,当年实际!$C:$C,"&gt;="&amp;DATE(YEAR(主页!$D$2),1,1),当年实际!$C:$C,"&lt;="&amp;EOMONTH(DATE(YEAR(主页!$D$2),MONTH(主页!$D$2),1),0)),"")</f>
        <v/>
      </c>
    </row>
    <row r="988" spans="1:10" x14ac:dyDescent="0.3">
      <c r="A988" s="129"/>
      <c r="B988" s="150"/>
      <c r="C988" s="150"/>
      <c r="D988" s="150"/>
      <c r="E988" s="140" t="str">
        <f t="shared" si="48"/>
        <v/>
      </c>
      <c r="F988" s="157"/>
      <c r="G988" s="145">
        <f t="shared" si="46"/>
        <v>0</v>
      </c>
      <c r="H988" s="140" t="str">
        <f t="shared" si="47"/>
        <v/>
      </c>
      <c r="J988" s="147" t="str">
        <f>IFERROR(SUMIFS(当年实际!$V:$V,当年实际!$J:$J,$C988,当年实际!$C:$C,"&gt;="&amp;DATE(YEAR(主页!$D$2),1,1),当年实际!$C:$C,"&lt;="&amp;EOMONTH(DATE(YEAR(主页!$D$2),MONTH(主页!$D$2),1),0))/SUMIFS(当年实际!$P:$P,当年实际!$J:$J,$C988,当年实际!$C:$C,"&gt;="&amp;DATE(YEAR(主页!$D$2),1,1),当年实际!$C:$C,"&lt;="&amp;EOMONTH(DATE(YEAR(主页!$D$2),MONTH(主页!$D$2),1),0)),"")</f>
        <v/>
      </c>
    </row>
    <row r="989" spans="1:10" x14ac:dyDescent="0.3">
      <c r="A989" s="129"/>
      <c r="B989" s="150"/>
      <c r="C989" s="150"/>
      <c r="D989" s="150"/>
      <c r="E989" s="140" t="str">
        <f t="shared" si="48"/>
        <v/>
      </c>
      <c r="F989" s="157"/>
      <c r="G989" s="145">
        <f t="shared" si="46"/>
        <v>0</v>
      </c>
      <c r="H989" s="140" t="str">
        <f t="shared" si="47"/>
        <v/>
      </c>
      <c r="J989" s="147" t="str">
        <f>IFERROR(SUMIFS(当年实际!$V:$V,当年实际!$J:$J,$C989,当年实际!$C:$C,"&gt;="&amp;DATE(YEAR(主页!$D$2),1,1),当年实际!$C:$C,"&lt;="&amp;EOMONTH(DATE(YEAR(主页!$D$2),MONTH(主页!$D$2),1),0))/SUMIFS(当年实际!$P:$P,当年实际!$J:$J,$C989,当年实际!$C:$C,"&gt;="&amp;DATE(YEAR(主页!$D$2),1,1),当年实际!$C:$C,"&lt;="&amp;EOMONTH(DATE(YEAR(主页!$D$2),MONTH(主页!$D$2),1),0)),"")</f>
        <v/>
      </c>
    </row>
    <row r="990" spans="1:10" x14ac:dyDescent="0.3">
      <c r="A990" s="129"/>
      <c r="B990" s="150"/>
      <c r="C990" s="150"/>
      <c r="D990" s="150"/>
      <c r="E990" s="140" t="str">
        <f t="shared" si="48"/>
        <v/>
      </c>
      <c r="F990" s="157"/>
      <c r="G990" s="145">
        <f t="shared" si="46"/>
        <v>0</v>
      </c>
      <c r="H990" s="140" t="str">
        <f t="shared" si="47"/>
        <v/>
      </c>
      <c r="J990" s="147" t="str">
        <f>IFERROR(SUMIFS(当年实际!$V:$V,当年实际!$J:$J,$C990,当年实际!$C:$C,"&gt;="&amp;DATE(YEAR(主页!$D$2),1,1),当年实际!$C:$C,"&lt;="&amp;EOMONTH(DATE(YEAR(主页!$D$2),MONTH(主页!$D$2),1),0))/SUMIFS(当年实际!$P:$P,当年实际!$J:$J,$C990,当年实际!$C:$C,"&gt;="&amp;DATE(YEAR(主页!$D$2),1,1),当年实际!$C:$C,"&lt;="&amp;EOMONTH(DATE(YEAR(主页!$D$2),MONTH(主页!$D$2),1),0)),"")</f>
        <v/>
      </c>
    </row>
    <row r="991" spans="1:10" x14ac:dyDescent="0.3">
      <c r="A991" s="129"/>
      <c r="B991" s="150"/>
      <c r="C991" s="150"/>
      <c r="D991" s="150"/>
      <c r="E991" s="140" t="str">
        <f t="shared" si="48"/>
        <v/>
      </c>
      <c r="F991" s="157"/>
      <c r="G991" s="145">
        <f t="shared" ref="G991:G1054" si="49">D991*F991</f>
        <v>0</v>
      </c>
      <c r="H991" s="140" t="str">
        <f t="shared" ref="H991:H1054" si="50">IF(G991/SUM(G:G)=0,"",G991/SUM(G:G))</f>
        <v/>
      </c>
      <c r="J991" s="147" t="str">
        <f>IFERROR(SUMIFS(当年实际!$V:$V,当年实际!$J:$J,$C991,当年实际!$C:$C,"&gt;="&amp;DATE(YEAR(主页!$D$2),1,1),当年实际!$C:$C,"&lt;="&amp;EOMONTH(DATE(YEAR(主页!$D$2),MONTH(主页!$D$2),1),0))/SUMIFS(当年实际!$P:$P,当年实际!$J:$J,$C991,当年实际!$C:$C,"&gt;="&amp;DATE(YEAR(主页!$D$2),1,1),当年实际!$C:$C,"&lt;="&amp;EOMONTH(DATE(YEAR(主页!$D$2),MONTH(主页!$D$2),1),0)),"")</f>
        <v/>
      </c>
    </row>
    <row r="992" spans="1:10" x14ac:dyDescent="0.3">
      <c r="A992" s="129"/>
      <c r="B992" s="150"/>
      <c r="C992" s="150"/>
      <c r="D992" s="150"/>
      <c r="E992" s="140" t="str">
        <f t="shared" si="48"/>
        <v/>
      </c>
      <c r="F992" s="157"/>
      <c r="G992" s="145">
        <f t="shared" si="49"/>
        <v>0</v>
      </c>
      <c r="H992" s="140" t="str">
        <f t="shared" si="50"/>
        <v/>
      </c>
      <c r="J992" s="147" t="str">
        <f>IFERROR(SUMIFS(当年实际!$V:$V,当年实际!$J:$J,$C992,当年实际!$C:$C,"&gt;="&amp;DATE(YEAR(主页!$D$2),1,1),当年实际!$C:$C,"&lt;="&amp;EOMONTH(DATE(YEAR(主页!$D$2),MONTH(主页!$D$2),1),0))/SUMIFS(当年实际!$P:$P,当年实际!$J:$J,$C992,当年实际!$C:$C,"&gt;="&amp;DATE(YEAR(主页!$D$2),1,1),当年实际!$C:$C,"&lt;="&amp;EOMONTH(DATE(YEAR(主页!$D$2),MONTH(主页!$D$2),1),0)),"")</f>
        <v/>
      </c>
    </row>
    <row r="993" spans="1:10" x14ac:dyDescent="0.3">
      <c r="A993" s="129"/>
      <c r="B993" s="150"/>
      <c r="C993" s="150"/>
      <c r="D993" s="150"/>
      <c r="E993" s="140" t="str">
        <f t="shared" si="48"/>
        <v/>
      </c>
      <c r="F993" s="157"/>
      <c r="G993" s="145">
        <f t="shared" si="49"/>
        <v>0</v>
      </c>
      <c r="H993" s="140" t="str">
        <f t="shared" si="50"/>
        <v/>
      </c>
      <c r="J993" s="147" t="str">
        <f>IFERROR(SUMIFS(当年实际!$V:$V,当年实际!$J:$J,$C993,当年实际!$C:$C,"&gt;="&amp;DATE(YEAR(主页!$D$2),1,1),当年实际!$C:$C,"&lt;="&amp;EOMONTH(DATE(YEAR(主页!$D$2),MONTH(主页!$D$2),1),0))/SUMIFS(当年实际!$P:$P,当年实际!$J:$J,$C993,当年实际!$C:$C,"&gt;="&amp;DATE(YEAR(主页!$D$2),1,1),当年实际!$C:$C,"&lt;="&amp;EOMONTH(DATE(YEAR(主页!$D$2),MONTH(主页!$D$2),1),0)),"")</f>
        <v/>
      </c>
    </row>
    <row r="994" spans="1:10" x14ac:dyDescent="0.3">
      <c r="A994" s="129"/>
      <c r="B994" s="150"/>
      <c r="C994" s="150"/>
      <c r="D994" s="150"/>
      <c r="E994" s="140" t="str">
        <f t="shared" si="48"/>
        <v/>
      </c>
      <c r="F994" s="157"/>
      <c r="G994" s="145">
        <f t="shared" si="49"/>
        <v>0</v>
      </c>
      <c r="H994" s="140" t="str">
        <f t="shared" si="50"/>
        <v/>
      </c>
      <c r="J994" s="147" t="str">
        <f>IFERROR(SUMIFS(当年实际!$V:$V,当年实际!$J:$J,$C994,当年实际!$C:$C,"&gt;="&amp;DATE(YEAR(主页!$D$2),1,1),当年实际!$C:$C,"&lt;="&amp;EOMONTH(DATE(YEAR(主页!$D$2),MONTH(主页!$D$2),1),0))/SUMIFS(当年实际!$P:$P,当年实际!$J:$J,$C994,当年实际!$C:$C,"&gt;="&amp;DATE(YEAR(主页!$D$2),1,1),当年实际!$C:$C,"&lt;="&amp;EOMONTH(DATE(YEAR(主页!$D$2),MONTH(主页!$D$2),1),0)),"")</f>
        <v/>
      </c>
    </row>
    <row r="995" spans="1:10" x14ac:dyDescent="0.3">
      <c r="A995" s="129"/>
      <c r="B995" s="150"/>
      <c r="C995" s="150"/>
      <c r="D995" s="150"/>
      <c r="E995" s="140" t="str">
        <f t="shared" si="48"/>
        <v/>
      </c>
      <c r="F995" s="157"/>
      <c r="G995" s="145">
        <f t="shared" si="49"/>
        <v>0</v>
      </c>
      <c r="H995" s="140" t="str">
        <f t="shared" si="50"/>
        <v/>
      </c>
      <c r="J995" s="147" t="str">
        <f>IFERROR(SUMIFS(当年实际!$V:$V,当年实际!$J:$J,$C995,当年实际!$C:$C,"&gt;="&amp;DATE(YEAR(主页!$D$2),1,1),当年实际!$C:$C,"&lt;="&amp;EOMONTH(DATE(YEAR(主页!$D$2),MONTH(主页!$D$2),1),0))/SUMIFS(当年实际!$P:$P,当年实际!$J:$J,$C995,当年实际!$C:$C,"&gt;="&amp;DATE(YEAR(主页!$D$2),1,1),当年实际!$C:$C,"&lt;="&amp;EOMONTH(DATE(YEAR(主页!$D$2),MONTH(主页!$D$2),1),0)),"")</f>
        <v/>
      </c>
    </row>
    <row r="996" spans="1:10" x14ac:dyDescent="0.3">
      <c r="A996" s="129"/>
      <c r="B996" s="150"/>
      <c r="C996" s="150"/>
      <c r="D996" s="150"/>
      <c r="E996" s="140" t="str">
        <f t="shared" si="48"/>
        <v/>
      </c>
      <c r="F996" s="157"/>
      <c r="G996" s="145">
        <f t="shared" si="49"/>
        <v>0</v>
      </c>
      <c r="H996" s="140" t="str">
        <f t="shared" si="50"/>
        <v/>
      </c>
      <c r="J996" s="147" t="str">
        <f>IFERROR(SUMIFS(当年实际!$V:$V,当年实际!$J:$J,$C996,当年实际!$C:$C,"&gt;="&amp;DATE(YEAR(主页!$D$2),1,1),当年实际!$C:$C,"&lt;="&amp;EOMONTH(DATE(YEAR(主页!$D$2),MONTH(主页!$D$2),1),0))/SUMIFS(当年实际!$P:$P,当年实际!$J:$J,$C996,当年实际!$C:$C,"&gt;="&amp;DATE(YEAR(主页!$D$2),1,1),当年实际!$C:$C,"&lt;="&amp;EOMONTH(DATE(YEAR(主页!$D$2),MONTH(主页!$D$2),1),0)),"")</f>
        <v/>
      </c>
    </row>
    <row r="997" spans="1:10" x14ac:dyDescent="0.3">
      <c r="A997" s="129"/>
      <c r="B997" s="150"/>
      <c r="C997" s="150"/>
      <c r="D997" s="150"/>
      <c r="E997" s="140" t="str">
        <f t="shared" si="48"/>
        <v/>
      </c>
      <c r="F997" s="157"/>
      <c r="G997" s="145">
        <f t="shared" si="49"/>
        <v>0</v>
      </c>
      <c r="H997" s="140" t="str">
        <f t="shared" si="50"/>
        <v/>
      </c>
      <c r="J997" s="147" t="str">
        <f>IFERROR(SUMIFS(当年实际!$V:$V,当年实际!$J:$J,$C997,当年实际!$C:$C,"&gt;="&amp;DATE(YEAR(主页!$D$2),1,1),当年实际!$C:$C,"&lt;="&amp;EOMONTH(DATE(YEAR(主页!$D$2),MONTH(主页!$D$2),1),0))/SUMIFS(当年实际!$P:$P,当年实际!$J:$J,$C997,当年实际!$C:$C,"&gt;="&amp;DATE(YEAR(主页!$D$2),1,1),当年实际!$C:$C,"&lt;="&amp;EOMONTH(DATE(YEAR(主页!$D$2),MONTH(主页!$D$2),1),0)),"")</f>
        <v/>
      </c>
    </row>
    <row r="998" spans="1:10" x14ac:dyDescent="0.3">
      <c r="A998" s="129"/>
      <c r="B998" s="150"/>
      <c r="C998" s="150"/>
      <c r="D998" s="150"/>
      <c r="E998" s="140" t="str">
        <f t="shared" si="48"/>
        <v/>
      </c>
      <c r="F998" s="157"/>
      <c r="G998" s="145">
        <f t="shared" si="49"/>
        <v>0</v>
      </c>
      <c r="H998" s="140" t="str">
        <f t="shared" si="50"/>
        <v/>
      </c>
      <c r="J998" s="147" t="str">
        <f>IFERROR(SUMIFS(当年实际!$V:$V,当年实际!$J:$J,$C998,当年实际!$C:$C,"&gt;="&amp;DATE(YEAR(主页!$D$2),1,1),当年实际!$C:$C,"&lt;="&amp;EOMONTH(DATE(YEAR(主页!$D$2),MONTH(主页!$D$2),1),0))/SUMIFS(当年实际!$P:$P,当年实际!$J:$J,$C998,当年实际!$C:$C,"&gt;="&amp;DATE(YEAR(主页!$D$2),1,1),当年实际!$C:$C,"&lt;="&amp;EOMONTH(DATE(YEAR(主页!$D$2),MONTH(主页!$D$2),1),0)),"")</f>
        <v/>
      </c>
    </row>
    <row r="999" spans="1:10" x14ac:dyDescent="0.3">
      <c r="A999" s="129"/>
      <c r="B999" s="150"/>
      <c r="C999" s="150"/>
      <c r="D999" s="150"/>
      <c r="E999" s="140" t="str">
        <f t="shared" si="48"/>
        <v/>
      </c>
      <c r="F999" s="157"/>
      <c r="G999" s="145">
        <f t="shared" si="49"/>
        <v>0</v>
      </c>
      <c r="H999" s="140" t="str">
        <f t="shared" si="50"/>
        <v/>
      </c>
      <c r="J999" s="147" t="str">
        <f>IFERROR(SUMIFS(当年实际!$V:$V,当年实际!$J:$J,$C999,当年实际!$C:$C,"&gt;="&amp;DATE(YEAR(主页!$D$2),1,1),当年实际!$C:$C,"&lt;="&amp;EOMONTH(DATE(YEAR(主页!$D$2),MONTH(主页!$D$2),1),0))/SUMIFS(当年实际!$P:$P,当年实际!$J:$J,$C999,当年实际!$C:$C,"&gt;="&amp;DATE(YEAR(主页!$D$2),1,1),当年实际!$C:$C,"&lt;="&amp;EOMONTH(DATE(YEAR(主页!$D$2),MONTH(主页!$D$2),1),0)),"")</f>
        <v/>
      </c>
    </row>
    <row r="1000" spans="1:10" x14ac:dyDescent="0.3">
      <c r="A1000" s="129"/>
      <c r="B1000" s="150"/>
      <c r="C1000" s="150"/>
      <c r="D1000" s="150"/>
      <c r="E1000" s="140" t="str">
        <f t="shared" si="48"/>
        <v/>
      </c>
      <c r="F1000" s="157"/>
      <c r="G1000" s="145">
        <f t="shared" si="49"/>
        <v>0</v>
      </c>
      <c r="H1000" s="140" t="str">
        <f t="shared" si="50"/>
        <v/>
      </c>
      <c r="J1000" s="147" t="str">
        <f>IFERROR(SUMIFS(当年实际!$V:$V,当年实际!$J:$J,$C1000,当年实际!$C:$C,"&gt;="&amp;DATE(YEAR(主页!$D$2),1,1),当年实际!$C:$C,"&lt;="&amp;EOMONTH(DATE(YEAR(主页!$D$2),MONTH(主页!$D$2),1),0))/SUMIFS(当年实际!$P:$P,当年实际!$J:$J,$C1000,当年实际!$C:$C,"&gt;="&amp;DATE(YEAR(主页!$D$2),1,1),当年实际!$C:$C,"&lt;="&amp;EOMONTH(DATE(YEAR(主页!$D$2),MONTH(主页!$D$2),1),0)),"")</f>
        <v/>
      </c>
    </row>
    <row r="1001" spans="1:10" x14ac:dyDescent="0.3">
      <c r="A1001" s="129"/>
      <c r="B1001" s="150"/>
      <c r="C1001" s="150"/>
      <c r="D1001" s="150"/>
      <c r="E1001" s="140" t="str">
        <f t="shared" si="48"/>
        <v/>
      </c>
      <c r="F1001" s="157"/>
      <c r="G1001" s="145">
        <f t="shared" si="49"/>
        <v>0</v>
      </c>
      <c r="H1001" s="140" t="str">
        <f t="shared" si="50"/>
        <v/>
      </c>
      <c r="J1001" s="147" t="str">
        <f>IFERROR(SUMIFS(当年实际!$V:$V,当年实际!$J:$J,$C1001,当年实际!$C:$C,"&gt;="&amp;DATE(YEAR(主页!$D$2),1,1),当年实际!$C:$C,"&lt;="&amp;EOMONTH(DATE(YEAR(主页!$D$2),MONTH(主页!$D$2),1),0))/SUMIFS(当年实际!$P:$P,当年实际!$J:$J,$C1001,当年实际!$C:$C,"&gt;="&amp;DATE(YEAR(主页!$D$2),1,1),当年实际!$C:$C,"&lt;="&amp;EOMONTH(DATE(YEAR(主页!$D$2),MONTH(主页!$D$2),1),0)),"")</f>
        <v/>
      </c>
    </row>
    <row r="1002" spans="1:10" x14ac:dyDescent="0.3">
      <c r="A1002" s="129"/>
      <c r="B1002" s="150"/>
      <c r="C1002" s="150"/>
      <c r="D1002" s="150"/>
      <c r="E1002" s="140" t="str">
        <f t="shared" si="48"/>
        <v/>
      </c>
      <c r="F1002" s="157"/>
      <c r="G1002" s="145">
        <f t="shared" si="49"/>
        <v>0</v>
      </c>
      <c r="H1002" s="140" t="str">
        <f t="shared" si="50"/>
        <v/>
      </c>
      <c r="J1002" s="147" t="str">
        <f>IFERROR(SUMIFS(当年实际!$V:$V,当年实际!$J:$J,$C1002,当年实际!$C:$C,"&gt;="&amp;DATE(YEAR(主页!$D$2),1,1),当年实际!$C:$C,"&lt;="&amp;EOMONTH(DATE(YEAR(主页!$D$2),MONTH(主页!$D$2),1),0))/SUMIFS(当年实际!$P:$P,当年实际!$J:$J,$C1002,当年实际!$C:$C,"&gt;="&amp;DATE(YEAR(主页!$D$2),1,1),当年实际!$C:$C,"&lt;="&amp;EOMONTH(DATE(YEAR(主页!$D$2),MONTH(主页!$D$2),1),0)),"")</f>
        <v/>
      </c>
    </row>
    <row r="1003" spans="1:10" x14ac:dyDescent="0.3">
      <c r="A1003" s="129"/>
      <c r="B1003" s="150"/>
      <c r="C1003" s="150"/>
      <c r="D1003" s="150"/>
      <c r="E1003" s="140" t="str">
        <f t="shared" si="48"/>
        <v/>
      </c>
      <c r="F1003" s="157"/>
      <c r="G1003" s="145">
        <f t="shared" si="49"/>
        <v>0</v>
      </c>
      <c r="H1003" s="140" t="str">
        <f t="shared" si="50"/>
        <v/>
      </c>
      <c r="J1003" s="147" t="str">
        <f>IFERROR(SUMIFS(当年实际!$V:$V,当年实际!$J:$J,$C1003,当年实际!$C:$C,"&gt;="&amp;DATE(YEAR(主页!$D$2),1,1),当年实际!$C:$C,"&lt;="&amp;EOMONTH(DATE(YEAR(主页!$D$2),MONTH(主页!$D$2),1),0))/SUMIFS(当年实际!$P:$P,当年实际!$J:$J,$C1003,当年实际!$C:$C,"&gt;="&amp;DATE(YEAR(主页!$D$2),1,1),当年实际!$C:$C,"&lt;="&amp;EOMONTH(DATE(YEAR(主页!$D$2),MONTH(主页!$D$2),1),0)),"")</f>
        <v/>
      </c>
    </row>
    <row r="1004" spans="1:10" x14ac:dyDescent="0.3">
      <c r="A1004" s="129"/>
      <c r="B1004" s="150"/>
      <c r="C1004" s="150"/>
      <c r="D1004" s="150"/>
      <c r="E1004" s="140" t="str">
        <f t="shared" si="48"/>
        <v/>
      </c>
      <c r="F1004" s="157"/>
      <c r="G1004" s="145">
        <f t="shared" si="49"/>
        <v>0</v>
      </c>
      <c r="H1004" s="140" t="str">
        <f t="shared" si="50"/>
        <v/>
      </c>
      <c r="J1004" s="147" t="str">
        <f>IFERROR(SUMIFS(当年实际!$V:$V,当年实际!$J:$J,$C1004,当年实际!$C:$C,"&gt;="&amp;DATE(YEAR(主页!$D$2),1,1),当年实际!$C:$C,"&lt;="&amp;EOMONTH(DATE(YEAR(主页!$D$2),MONTH(主页!$D$2),1),0))/SUMIFS(当年实际!$P:$P,当年实际!$J:$J,$C1004,当年实际!$C:$C,"&gt;="&amp;DATE(YEAR(主页!$D$2),1,1),当年实际!$C:$C,"&lt;="&amp;EOMONTH(DATE(YEAR(主页!$D$2),MONTH(主页!$D$2),1),0)),"")</f>
        <v/>
      </c>
    </row>
    <row r="1005" spans="1:10" x14ac:dyDescent="0.3">
      <c r="A1005" s="129"/>
      <c r="B1005" s="150"/>
      <c r="C1005" s="150"/>
      <c r="D1005" s="150"/>
      <c r="E1005" s="140" t="str">
        <f t="shared" si="48"/>
        <v/>
      </c>
      <c r="F1005" s="157"/>
      <c r="G1005" s="145">
        <f t="shared" si="49"/>
        <v>0</v>
      </c>
      <c r="H1005" s="140" t="str">
        <f t="shared" si="50"/>
        <v/>
      </c>
      <c r="J1005" s="147" t="str">
        <f>IFERROR(SUMIFS(当年实际!$V:$V,当年实际!$J:$J,$C1005,当年实际!$C:$C,"&gt;="&amp;DATE(YEAR(主页!$D$2),1,1),当年实际!$C:$C,"&lt;="&amp;EOMONTH(DATE(YEAR(主页!$D$2),MONTH(主页!$D$2),1),0))/SUMIFS(当年实际!$P:$P,当年实际!$J:$J,$C1005,当年实际!$C:$C,"&gt;="&amp;DATE(YEAR(主页!$D$2),1,1),当年实际!$C:$C,"&lt;="&amp;EOMONTH(DATE(YEAR(主页!$D$2),MONTH(主页!$D$2),1),0)),"")</f>
        <v/>
      </c>
    </row>
    <row r="1006" spans="1:10" x14ac:dyDescent="0.3">
      <c r="A1006" s="129"/>
      <c r="B1006" s="150"/>
      <c r="C1006" s="150"/>
      <c r="D1006" s="150"/>
      <c r="E1006" s="140" t="str">
        <f t="shared" si="48"/>
        <v/>
      </c>
      <c r="F1006" s="157"/>
      <c r="G1006" s="145">
        <f t="shared" si="49"/>
        <v>0</v>
      </c>
      <c r="H1006" s="140" t="str">
        <f t="shared" si="50"/>
        <v/>
      </c>
      <c r="J1006" s="147" t="str">
        <f>IFERROR(SUMIFS(当年实际!$V:$V,当年实际!$J:$J,$C1006,当年实际!$C:$C,"&gt;="&amp;DATE(YEAR(主页!$D$2),1,1),当年实际!$C:$C,"&lt;="&amp;EOMONTH(DATE(YEAR(主页!$D$2),MONTH(主页!$D$2),1),0))/SUMIFS(当年实际!$P:$P,当年实际!$J:$J,$C1006,当年实际!$C:$C,"&gt;="&amp;DATE(YEAR(主页!$D$2),1,1),当年实际!$C:$C,"&lt;="&amp;EOMONTH(DATE(YEAR(主页!$D$2),MONTH(主页!$D$2),1),0)),"")</f>
        <v/>
      </c>
    </row>
    <row r="1007" spans="1:10" x14ac:dyDescent="0.3">
      <c r="A1007" s="129"/>
      <c r="B1007" s="150"/>
      <c r="C1007" s="150"/>
      <c r="D1007" s="150"/>
      <c r="E1007" s="140" t="str">
        <f t="shared" si="48"/>
        <v/>
      </c>
      <c r="F1007" s="157"/>
      <c r="G1007" s="145">
        <f t="shared" si="49"/>
        <v>0</v>
      </c>
      <c r="H1007" s="140" t="str">
        <f t="shared" si="50"/>
        <v/>
      </c>
      <c r="J1007" s="147" t="str">
        <f>IFERROR(SUMIFS(当年实际!$V:$V,当年实际!$J:$J,$C1007,当年实际!$C:$C,"&gt;="&amp;DATE(YEAR(主页!$D$2),1,1),当年实际!$C:$C,"&lt;="&amp;EOMONTH(DATE(YEAR(主页!$D$2),MONTH(主页!$D$2),1),0))/SUMIFS(当年实际!$P:$P,当年实际!$J:$J,$C1007,当年实际!$C:$C,"&gt;="&amp;DATE(YEAR(主页!$D$2),1,1),当年实际!$C:$C,"&lt;="&amp;EOMONTH(DATE(YEAR(主页!$D$2),MONTH(主页!$D$2),1),0)),"")</f>
        <v/>
      </c>
    </row>
    <row r="1008" spans="1:10" x14ac:dyDescent="0.3">
      <c r="A1008" s="129"/>
      <c r="B1008" s="150"/>
      <c r="C1008" s="150"/>
      <c r="D1008" s="150"/>
      <c r="E1008" s="140" t="str">
        <f t="shared" si="48"/>
        <v/>
      </c>
      <c r="F1008" s="157"/>
      <c r="G1008" s="145">
        <f t="shared" si="49"/>
        <v>0</v>
      </c>
      <c r="H1008" s="140" t="str">
        <f t="shared" si="50"/>
        <v/>
      </c>
      <c r="J1008" s="147" t="str">
        <f>IFERROR(SUMIFS(当年实际!$V:$V,当年实际!$J:$J,$C1008,当年实际!$C:$C,"&gt;="&amp;DATE(YEAR(主页!$D$2),1,1),当年实际!$C:$C,"&lt;="&amp;EOMONTH(DATE(YEAR(主页!$D$2),MONTH(主页!$D$2),1),0))/SUMIFS(当年实际!$P:$P,当年实际!$J:$J,$C1008,当年实际!$C:$C,"&gt;="&amp;DATE(YEAR(主页!$D$2),1,1),当年实际!$C:$C,"&lt;="&amp;EOMONTH(DATE(YEAR(主页!$D$2),MONTH(主页!$D$2),1),0)),"")</f>
        <v/>
      </c>
    </row>
    <row r="1009" spans="1:10" x14ac:dyDescent="0.3">
      <c r="A1009" s="129"/>
      <c r="B1009" s="150"/>
      <c r="C1009" s="150"/>
      <c r="D1009" s="150"/>
      <c r="E1009" s="140" t="str">
        <f t="shared" si="48"/>
        <v/>
      </c>
      <c r="F1009" s="157"/>
      <c r="G1009" s="145">
        <f t="shared" si="49"/>
        <v>0</v>
      </c>
      <c r="H1009" s="140" t="str">
        <f t="shared" si="50"/>
        <v/>
      </c>
      <c r="J1009" s="147" t="str">
        <f>IFERROR(SUMIFS(当年实际!$V:$V,当年实际!$J:$J,$C1009,当年实际!$C:$C,"&gt;="&amp;DATE(YEAR(主页!$D$2),1,1),当年实际!$C:$C,"&lt;="&amp;EOMONTH(DATE(YEAR(主页!$D$2),MONTH(主页!$D$2),1),0))/SUMIFS(当年实际!$P:$P,当年实际!$J:$J,$C1009,当年实际!$C:$C,"&gt;="&amp;DATE(YEAR(主页!$D$2),1,1),当年实际!$C:$C,"&lt;="&amp;EOMONTH(DATE(YEAR(主页!$D$2),MONTH(主页!$D$2),1),0)),"")</f>
        <v/>
      </c>
    </row>
    <row r="1010" spans="1:10" x14ac:dyDescent="0.3">
      <c r="A1010" s="129"/>
      <c r="B1010" s="150"/>
      <c r="C1010" s="150"/>
      <c r="D1010" s="150"/>
      <c r="E1010" s="140" t="str">
        <f t="shared" si="48"/>
        <v/>
      </c>
      <c r="F1010" s="157"/>
      <c r="G1010" s="145">
        <f t="shared" si="49"/>
        <v>0</v>
      </c>
      <c r="H1010" s="140" t="str">
        <f t="shared" si="50"/>
        <v/>
      </c>
      <c r="J1010" s="147" t="str">
        <f>IFERROR(SUMIFS(当年实际!$V:$V,当年实际!$J:$J,$C1010,当年实际!$C:$C,"&gt;="&amp;DATE(YEAR(主页!$D$2),1,1),当年实际!$C:$C,"&lt;="&amp;EOMONTH(DATE(YEAR(主页!$D$2),MONTH(主页!$D$2),1),0))/SUMIFS(当年实际!$P:$P,当年实际!$J:$J,$C1010,当年实际!$C:$C,"&gt;="&amp;DATE(YEAR(主页!$D$2),1,1),当年实际!$C:$C,"&lt;="&amp;EOMONTH(DATE(YEAR(主页!$D$2),MONTH(主页!$D$2),1),0)),"")</f>
        <v/>
      </c>
    </row>
    <row r="1011" spans="1:10" x14ac:dyDescent="0.3">
      <c r="A1011" s="129"/>
      <c r="B1011" s="150"/>
      <c r="C1011" s="150"/>
      <c r="D1011" s="150"/>
      <c r="E1011" s="140" t="str">
        <f t="shared" si="48"/>
        <v/>
      </c>
      <c r="F1011" s="157"/>
      <c r="G1011" s="145">
        <f t="shared" si="49"/>
        <v>0</v>
      </c>
      <c r="H1011" s="140" t="str">
        <f t="shared" si="50"/>
        <v/>
      </c>
      <c r="J1011" s="147" t="str">
        <f>IFERROR(SUMIFS(当年实际!$V:$V,当年实际!$J:$J,$C1011,当年实际!$C:$C,"&gt;="&amp;DATE(YEAR(主页!$D$2),1,1),当年实际!$C:$C,"&lt;="&amp;EOMONTH(DATE(YEAR(主页!$D$2),MONTH(主页!$D$2),1),0))/SUMIFS(当年实际!$P:$P,当年实际!$J:$J,$C1011,当年实际!$C:$C,"&gt;="&amp;DATE(YEAR(主页!$D$2),1,1),当年实际!$C:$C,"&lt;="&amp;EOMONTH(DATE(YEAR(主页!$D$2),MONTH(主页!$D$2),1),0)),"")</f>
        <v/>
      </c>
    </row>
    <row r="1012" spans="1:10" x14ac:dyDescent="0.3">
      <c r="A1012" s="129"/>
      <c r="B1012" s="150"/>
      <c r="C1012" s="150"/>
      <c r="D1012" s="150"/>
      <c r="E1012" s="140" t="str">
        <f t="shared" si="48"/>
        <v/>
      </c>
      <c r="F1012" s="157"/>
      <c r="G1012" s="145">
        <f t="shared" si="49"/>
        <v>0</v>
      </c>
      <c r="H1012" s="140" t="str">
        <f t="shared" si="50"/>
        <v/>
      </c>
      <c r="J1012" s="147" t="str">
        <f>IFERROR(SUMIFS(当年实际!$V:$V,当年实际!$J:$J,$C1012,当年实际!$C:$C,"&gt;="&amp;DATE(YEAR(主页!$D$2),1,1),当年实际!$C:$C,"&lt;="&amp;EOMONTH(DATE(YEAR(主页!$D$2),MONTH(主页!$D$2),1),0))/SUMIFS(当年实际!$P:$P,当年实际!$J:$J,$C1012,当年实际!$C:$C,"&gt;="&amp;DATE(YEAR(主页!$D$2),1,1),当年实际!$C:$C,"&lt;="&amp;EOMONTH(DATE(YEAR(主页!$D$2),MONTH(主页!$D$2),1),0)),"")</f>
        <v/>
      </c>
    </row>
    <row r="1013" spans="1:10" x14ac:dyDescent="0.3">
      <c r="A1013" s="129"/>
      <c r="B1013" s="150"/>
      <c r="C1013" s="150"/>
      <c r="D1013" s="150"/>
      <c r="E1013" s="140" t="str">
        <f t="shared" si="48"/>
        <v/>
      </c>
      <c r="F1013" s="157"/>
      <c r="G1013" s="145">
        <f t="shared" si="49"/>
        <v>0</v>
      </c>
      <c r="H1013" s="140" t="str">
        <f t="shared" si="50"/>
        <v/>
      </c>
      <c r="J1013" s="147" t="str">
        <f>IFERROR(SUMIFS(当年实际!$V:$V,当年实际!$J:$J,$C1013,当年实际!$C:$C,"&gt;="&amp;DATE(YEAR(主页!$D$2),1,1),当年实际!$C:$C,"&lt;="&amp;EOMONTH(DATE(YEAR(主页!$D$2),MONTH(主页!$D$2),1),0))/SUMIFS(当年实际!$P:$P,当年实际!$J:$J,$C1013,当年实际!$C:$C,"&gt;="&amp;DATE(YEAR(主页!$D$2),1,1),当年实际!$C:$C,"&lt;="&amp;EOMONTH(DATE(YEAR(主页!$D$2),MONTH(主页!$D$2),1),0)),"")</f>
        <v/>
      </c>
    </row>
    <row r="1014" spans="1:10" x14ac:dyDescent="0.3">
      <c r="A1014" s="129"/>
      <c r="B1014" s="150"/>
      <c r="C1014" s="150"/>
      <c r="D1014" s="150"/>
      <c r="E1014" s="140" t="str">
        <f t="shared" si="48"/>
        <v/>
      </c>
      <c r="F1014" s="157"/>
      <c r="G1014" s="145">
        <f t="shared" si="49"/>
        <v>0</v>
      </c>
      <c r="H1014" s="140" t="str">
        <f t="shared" si="50"/>
        <v/>
      </c>
      <c r="J1014" s="147" t="str">
        <f>IFERROR(SUMIFS(当年实际!$V:$V,当年实际!$J:$J,$C1014,当年实际!$C:$C,"&gt;="&amp;DATE(YEAR(主页!$D$2),1,1),当年实际!$C:$C,"&lt;="&amp;EOMONTH(DATE(YEAR(主页!$D$2),MONTH(主页!$D$2),1),0))/SUMIFS(当年实际!$P:$P,当年实际!$J:$J,$C1014,当年实际!$C:$C,"&gt;="&amp;DATE(YEAR(主页!$D$2),1,1),当年实际!$C:$C,"&lt;="&amp;EOMONTH(DATE(YEAR(主页!$D$2),MONTH(主页!$D$2),1),0)),"")</f>
        <v/>
      </c>
    </row>
    <row r="1015" spans="1:10" x14ac:dyDescent="0.3">
      <c r="A1015" s="129"/>
      <c r="B1015" s="150"/>
      <c r="C1015" s="150"/>
      <c r="D1015" s="150"/>
      <c r="E1015" s="140" t="str">
        <f t="shared" si="48"/>
        <v/>
      </c>
      <c r="F1015" s="157"/>
      <c r="G1015" s="145">
        <f t="shared" si="49"/>
        <v>0</v>
      </c>
      <c r="H1015" s="140" t="str">
        <f t="shared" si="50"/>
        <v/>
      </c>
      <c r="J1015" s="147" t="str">
        <f>IFERROR(SUMIFS(当年实际!$V:$V,当年实际!$J:$J,$C1015,当年实际!$C:$C,"&gt;="&amp;DATE(YEAR(主页!$D$2),1,1),当年实际!$C:$C,"&lt;="&amp;EOMONTH(DATE(YEAR(主页!$D$2),MONTH(主页!$D$2),1),0))/SUMIFS(当年实际!$P:$P,当年实际!$J:$J,$C1015,当年实际!$C:$C,"&gt;="&amp;DATE(YEAR(主页!$D$2),1,1),当年实际!$C:$C,"&lt;="&amp;EOMONTH(DATE(YEAR(主页!$D$2),MONTH(主页!$D$2),1),0)),"")</f>
        <v/>
      </c>
    </row>
    <row r="1016" spans="1:10" x14ac:dyDescent="0.3">
      <c r="A1016" s="129"/>
      <c r="B1016" s="150"/>
      <c r="C1016" s="150"/>
      <c r="D1016" s="150"/>
      <c r="E1016" s="140" t="str">
        <f t="shared" si="48"/>
        <v/>
      </c>
      <c r="F1016" s="157"/>
      <c r="G1016" s="145">
        <f t="shared" si="49"/>
        <v>0</v>
      </c>
      <c r="H1016" s="140" t="str">
        <f t="shared" si="50"/>
        <v/>
      </c>
      <c r="J1016" s="147" t="str">
        <f>IFERROR(SUMIFS(当年实际!$V:$V,当年实际!$J:$J,$C1016,当年实际!$C:$C,"&gt;="&amp;DATE(YEAR(主页!$D$2),1,1),当年实际!$C:$C,"&lt;="&amp;EOMONTH(DATE(YEAR(主页!$D$2),MONTH(主页!$D$2),1),0))/SUMIFS(当年实际!$P:$P,当年实际!$J:$J,$C1016,当年实际!$C:$C,"&gt;="&amp;DATE(YEAR(主页!$D$2),1,1),当年实际!$C:$C,"&lt;="&amp;EOMONTH(DATE(YEAR(主页!$D$2),MONTH(主页!$D$2),1),0)),"")</f>
        <v/>
      </c>
    </row>
    <row r="1017" spans="1:10" x14ac:dyDescent="0.3">
      <c r="A1017" s="129"/>
      <c r="B1017" s="150"/>
      <c r="C1017" s="150"/>
      <c r="D1017" s="150"/>
      <c r="E1017" s="140" t="str">
        <f t="shared" si="48"/>
        <v/>
      </c>
      <c r="F1017" s="157"/>
      <c r="G1017" s="145">
        <f t="shared" si="49"/>
        <v>0</v>
      </c>
      <c r="H1017" s="140" t="str">
        <f t="shared" si="50"/>
        <v/>
      </c>
      <c r="J1017" s="147" t="str">
        <f>IFERROR(SUMIFS(当年实际!$V:$V,当年实际!$J:$J,$C1017,当年实际!$C:$C,"&gt;="&amp;DATE(YEAR(主页!$D$2),1,1),当年实际!$C:$C,"&lt;="&amp;EOMONTH(DATE(YEAR(主页!$D$2),MONTH(主页!$D$2),1),0))/SUMIFS(当年实际!$P:$P,当年实际!$J:$J,$C1017,当年实际!$C:$C,"&gt;="&amp;DATE(YEAR(主页!$D$2),1,1),当年实际!$C:$C,"&lt;="&amp;EOMONTH(DATE(YEAR(主页!$D$2),MONTH(主页!$D$2),1),0)),"")</f>
        <v/>
      </c>
    </row>
    <row r="1018" spans="1:10" x14ac:dyDescent="0.3">
      <c r="A1018" s="129"/>
      <c r="B1018" s="150"/>
      <c r="C1018" s="150"/>
      <c r="D1018" s="150"/>
      <c r="E1018" s="140" t="str">
        <f t="shared" si="48"/>
        <v/>
      </c>
      <c r="F1018" s="157"/>
      <c r="G1018" s="145">
        <f t="shared" si="49"/>
        <v>0</v>
      </c>
      <c r="H1018" s="140" t="str">
        <f t="shared" si="50"/>
        <v/>
      </c>
      <c r="J1018" s="147" t="str">
        <f>IFERROR(SUMIFS(当年实际!$V:$V,当年实际!$J:$J,$C1018,当年实际!$C:$C,"&gt;="&amp;DATE(YEAR(主页!$D$2),1,1),当年实际!$C:$C,"&lt;="&amp;EOMONTH(DATE(YEAR(主页!$D$2),MONTH(主页!$D$2),1),0))/SUMIFS(当年实际!$P:$P,当年实际!$J:$J,$C1018,当年实际!$C:$C,"&gt;="&amp;DATE(YEAR(主页!$D$2),1,1),当年实际!$C:$C,"&lt;="&amp;EOMONTH(DATE(YEAR(主页!$D$2),MONTH(主页!$D$2),1),0)),"")</f>
        <v/>
      </c>
    </row>
    <row r="1019" spans="1:10" x14ac:dyDescent="0.3">
      <c r="A1019" s="129"/>
      <c r="B1019" s="150"/>
      <c r="C1019" s="150"/>
      <c r="D1019" s="150"/>
      <c r="E1019" s="140" t="str">
        <f t="shared" si="48"/>
        <v/>
      </c>
      <c r="F1019" s="157"/>
      <c r="G1019" s="145">
        <f t="shared" si="49"/>
        <v>0</v>
      </c>
      <c r="H1019" s="140" t="str">
        <f t="shared" si="50"/>
        <v/>
      </c>
      <c r="J1019" s="147" t="str">
        <f>IFERROR(SUMIFS(当年实际!$V:$V,当年实际!$J:$J,$C1019,当年实际!$C:$C,"&gt;="&amp;DATE(YEAR(主页!$D$2),1,1),当年实际!$C:$C,"&lt;="&amp;EOMONTH(DATE(YEAR(主页!$D$2),MONTH(主页!$D$2),1),0))/SUMIFS(当年实际!$P:$P,当年实际!$J:$J,$C1019,当年实际!$C:$C,"&gt;="&amp;DATE(YEAR(主页!$D$2),1,1),当年实际!$C:$C,"&lt;="&amp;EOMONTH(DATE(YEAR(主页!$D$2),MONTH(主页!$D$2),1),0)),"")</f>
        <v/>
      </c>
    </row>
    <row r="1020" spans="1:10" x14ac:dyDescent="0.3">
      <c r="A1020" s="129"/>
      <c r="B1020" s="150"/>
      <c r="C1020" s="150"/>
      <c r="D1020" s="150"/>
      <c r="E1020" s="140" t="str">
        <f t="shared" si="48"/>
        <v/>
      </c>
      <c r="F1020" s="157"/>
      <c r="G1020" s="145">
        <f t="shared" si="49"/>
        <v>0</v>
      </c>
      <c r="H1020" s="140" t="str">
        <f t="shared" si="50"/>
        <v/>
      </c>
      <c r="J1020" s="147" t="str">
        <f>IFERROR(SUMIFS(当年实际!$V:$V,当年实际!$J:$J,$C1020,当年实际!$C:$C,"&gt;="&amp;DATE(YEAR(主页!$D$2),1,1),当年实际!$C:$C,"&lt;="&amp;EOMONTH(DATE(YEAR(主页!$D$2),MONTH(主页!$D$2),1),0))/SUMIFS(当年实际!$P:$P,当年实际!$J:$J,$C1020,当年实际!$C:$C,"&gt;="&amp;DATE(YEAR(主页!$D$2),1,1),当年实际!$C:$C,"&lt;="&amp;EOMONTH(DATE(YEAR(主页!$D$2),MONTH(主页!$D$2),1),0)),"")</f>
        <v/>
      </c>
    </row>
    <row r="1021" spans="1:10" x14ac:dyDescent="0.3">
      <c r="A1021" s="129"/>
      <c r="B1021" s="150"/>
      <c r="C1021" s="150"/>
      <c r="D1021" s="150"/>
      <c r="E1021" s="140" t="str">
        <f t="shared" si="48"/>
        <v/>
      </c>
      <c r="F1021" s="157"/>
      <c r="G1021" s="145">
        <f t="shared" si="49"/>
        <v>0</v>
      </c>
      <c r="H1021" s="140" t="str">
        <f t="shared" si="50"/>
        <v/>
      </c>
      <c r="J1021" s="147" t="str">
        <f>IFERROR(SUMIFS(当年实际!$V:$V,当年实际!$J:$J,$C1021,当年实际!$C:$C,"&gt;="&amp;DATE(YEAR(主页!$D$2),1,1),当年实际!$C:$C,"&lt;="&amp;EOMONTH(DATE(YEAR(主页!$D$2),MONTH(主页!$D$2),1),0))/SUMIFS(当年实际!$P:$P,当年实际!$J:$J,$C1021,当年实际!$C:$C,"&gt;="&amp;DATE(YEAR(主页!$D$2),1,1),当年实际!$C:$C,"&lt;="&amp;EOMONTH(DATE(YEAR(主页!$D$2),MONTH(主页!$D$2),1),0)),"")</f>
        <v/>
      </c>
    </row>
    <row r="1022" spans="1:10" x14ac:dyDescent="0.3">
      <c r="A1022" s="129"/>
      <c r="B1022" s="150"/>
      <c r="C1022" s="150"/>
      <c r="D1022" s="150"/>
      <c r="E1022" s="140" t="str">
        <f t="shared" si="48"/>
        <v/>
      </c>
      <c r="F1022" s="157"/>
      <c r="G1022" s="145">
        <f t="shared" si="49"/>
        <v>0</v>
      </c>
      <c r="H1022" s="140" t="str">
        <f t="shared" si="50"/>
        <v/>
      </c>
      <c r="J1022" s="147" t="str">
        <f>IFERROR(SUMIFS(当年实际!$V:$V,当年实际!$J:$J,$C1022,当年实际!$C:$C,"&gt;="&amp;DATE(YEAR(主页!$D$2),1,1),当年实际!$C:$C,"&lt;="&amp;EOMONTH(DATE(YEAR(主页!$D$2),MONTH(主页!$D$2),1),0))/SUMIFS(当年实际!$P:$P,当年实际!$J:$J,$C1022,当年实际!$C:$C,"&gt;="&amp;DATE(YEAR(主页!$D$2),1,1),当年实际!$C:$C,"&lt;="&amp;EOMONTH(DATE(YEAR(主页!$D$2),MONTH(主页!$D$2),1),0)),"")</f>
        <v/>
      </c>
    </row>
    <row r="1023" spans="1:10" x14ac:dyDescent="0.3">
      <c r="A1023" s="129"/>
      <c r="B1023" s="150"/>
      <c r="C1023" s="150"/>
      <c r="D1023" s="150"/>
      <c r="E1023" s="140" t="str">
        <f t="shared" si="48"/>
        <v/>
      </c>
      <c r="F1023" s="157"/>
      <c r="G1023" s="145">
        <f t="shared" si="49"/>
        <v>0</v>
      </c>
      <c r="H1023" s="140" t="str">
        <f t="shared" si="50"/>
        <v/>
      </c>
      <c r="J1023" s="147" t="str">
        <f>IFERROR(SUMIFS(当年实际!$V:$V,当年实际!$J:$J,$C1023,当年实际!$C:$C,"&gt;="&amp;DATE(YEAR(主页!$D$2),1,1),当年实际!$C:$C,"&lt;="&amp;EOMONTH(DATE(YEAR(主页!$D$2),MONTH(主页!$D$2),1),0))/SUMIFS(当年实际!$P:$P,当年实际!$J:$J,$C1023,当年实际!$C:$C,"&gt;="&amp;DATE(YEAR(主页!$D$2),1,1),当年实际!$C:$C,"&lt;="&amp;EOMONTH(DATE(YEAR(主页!$D$2),MONTH(主页!$D$2),1),0)),"")</f>
        <v/>
      </c>
    </row>
    <row r="1024" spans="1:10" x14ac:dyDescent="0.3">
      <c r="A1024" s="129"/>
      <c r="B1024" s="150"/>
      <c r="C1024" s="150"/>
      <c r="D1024" s="150"/>
      <c r="E1024" s="140" t="str">
        <f t="shared" si="48"/>
        <v/>
      </c>
      <c r="F1024" s="157"/>
      <c r="G1024" s="145">
        <f t="shared" si="49"/>
        <v>0</v>
      </c>
      <c r="H1024" s="140" t="str">
        <f t="shared" si="50"/>
        <v/>
      </c>
      <c r="J1024" s="147" t="str">
        <f>IFERROR(SUMIFS(当年实际!$V:$V,当年实际!$J:$J,$C1024,当年实际!$C:$C,"&gt;="&amp;DATE(YEAR(主页!$D$2),1,1),当年实际!$C:$C,"&lt;="&amp;EOMONTH(DATE(YEAR(主页!$D$2),MONTH(主页!$D$2),1),0))/SUMIFS(当年实际!$P:$P,当年实际!$J:$J,$C1024,当年实际!$C:$C,"&gt;="&amp;DATE(YEAR(主页!$D$2),1,1),当年实际!$C:$C,"&lt;="&amp;EOMONTH(DATE(YEAR(主页!$D$2),MONTH(主页!$D$2),1),0)),"")</f>
        <v/>
      </c>
    </row>
    <row r="1025" spans="1:10" x14ac:dyDescent="0.3">
      <c r="A1025" s="129"/>
      <c r="B1025" s="150"/>
      <c r="C1025" s="150"/>
      <c r="D1025" s="150"/>
      <c r="E1025" s="140" t="str">
        <f t="shared" si="48"/>
        <v/>
      </c>
      <c r="F1025" s="157"/>
      <c r="G1025" s="145">
        <f t="shared" si="49"/>
        <v>0</v>
      </c>
      <c r="H1025" s="140" t="str">
        <f t="shared" si="50"/>
        <v/>
      </c>
      <c r="J1025" s="147" t="str">
        <f>IFERROR(SUMIFS(当年实际!$V:$V,当年实际!$J:$J,$C1025,当年实际!$C:$C,"&gt;="&amp;DATE(YEAR(主页!$D$2),1,1),当年实际!$C:$C,"&lt;="&amp;EOMONTH(DATE(YEAR(主页!$D$2),MONTH(主页!$D$2),1),0))/SUMIFS(当年实际!$P:$P,当年实际!$J:$J,$C1025,当年实际!$C:$C,"&gt;="&amp;DATE(YEAR(主页!$D$2),1,1),当年实际!$C:$C,"&lt;="&amp;EOMONTH(DATE(YEAR(主页!$D$2),MONTH(主页!$D$2),1),0)),"")</f>
        <v/>
      </c>
    </row>
    <row r="1026" spans="1:10" x14ac:dyDescent="0.3">
      <c r="A1026" s="129"/>
      <c r="B1026" s="150"/>
      <c r="C1026" s="150"/>
      <c r="D1026" s="150"/>
      <c r="E1026" s="140" t="str">
        <f t="shared" si="48"/>
        <v/>
      </c>
      <c r="F1026" s="157"/>
      <c r="G1026" s="145">
        <f t="shared" si="49"/>
        <v>0</v>
      </c>
      <c r="H1026" s="140" t="str">
        <f t="shared" si="50"/>
        <v/>
      </c>
      <c r="J1026" s="147" t="str">
        <f>IFERROR(SUMIFS(当年实际!$V:$V,当年实际!$J:$J,$C1026,当年实际!$C:$C,"&gt;="&amp;DATE(YEAR(主页!$D$2),1,1),当年实际!$C:$C,"&lt;="&amp;EOMONTH(DATE(YEAR(主页!$D$2),MONTH(主页!$D$2),1),0))/SUMIFS(当年实际!$P:$P,当年实际!$J:$J,$C1026,当年实际!$C:$C,"&gt;="&amp;DATE(YEAR(主页!$D$2),1,1),当年实际!$C:$C,"&lt;="&amp;EOMONTH(DATE(YEAR(主页!$D$2),MONTH(主页!$D$2),1),0)),"")</f>
        <v/>
      </c>
    </row>
    <row r="1027" spans="1:10" x14ac:dyDescent="0.3">
      <c r="A1027" s="129"/>
      <c r="B1027" s="150"/>
      <c r="C1027" s="150"/>
      <c r="D1027" s="150"/>
      <c r="E1027" s="140" t="str">
        <f t="shared" si="48"/>
        <v/>
      </c>
      <c r="F1027" s="157"/>
      <c r="G1027" s="145">
        <f t="shared" si="49"/>
        <v>0</v>
      </c>
      <c r="H1027" s="140" t="str">
        <f t="shared" si="50"/>
        <v/>
      </c>
      <c r="J1027" s="147" t="str">
        <f>IFERROR(SUMIFS(当年实际!$V:$V,当年实际!$J:$J,$C1027,当年实际!$C:$C,"&gt;="&amp;DATE(YEAR(主页!$D$2),1,1),当年实际!$C:$C,"&lt;="&amp;EOMONTH(DATE(YEAR(主页!$D$2),MONTH(主页!$D$2),1),0))/SUMIFS(当年实际!$P:$P,当年实际!$J:$J,$C1027,当年实际!$C:$C,"&gt;="&amp;DATE(YEAR(主页!$D$2),1,1),当年实际!$C:$C,"&lt;="&amp;EOMONTH(DATE(YEAR(主页!$D$2),MONTH(主页!$D$2),1),0)),"")</f>
        <v/>
      </c>
    </row>
    <row r="1028" spans="1:10" x14ac:dyDescent="0.3">
      <c r="A1028" s="129"/>
      <c r="B1028" s="150"/>
      <c r="C1028" s="150"/>
      <c r="D1028" s="150"/>
      <c r="E1028" s="140" t="str">
        <f t="shared" ref="E1028:E1091" si="51">IF(D1028/SUM(D:D)=0,"",D1028/SUM(D:D))</f>
        <v/>
      </c>
      <c r="F1028" s="157"/>
      <c r="G1028" s="145">
        <f t="shared" si="49"/>
        <v>0</v>
      </c>
      <c r="H1028" s="140" t="str">
        <f t="shared" si="50"/>
        <v/>
      </c>
      <c r="J1028" s="147" t="str">
        <f>IFERROR(SUMIFS(当年实际!$V:$V,当年实际!$J:$J,$C1028,当年实际!$C:$C,"&gt;="&amp;DATE(YEAR(主页!$D$2),1,1),当年实际!$C:$C,"&lt;="&amp;EOMONTH(DATE(YEAR(主页!$D$2),MONTH(主页!$D$2),1),0))/SUMIFS(当年实际!$P:$P,当年实际!$J:$J,$C1028,当年实际!$C:$C,"&gt;="&amp;DATE(YEAR(主页!$D$2),1,1),当年实际!$C:$C,"&lt;="&amp;EOMONTH(DATE(YEAR(主页!$D$2),MONTH(主页!$D$2),1),0)),"")</f>
        <v/>
      </c>
    </row>
    <row r="1029" spans="1:10" x14ac:dyDescent="0.3">
      <c r="A1029" s="129"/>
      <c r="B1029" s="150"/>
      <c r="C1029" s="150"/>
      <c r="D1029" s="150"/>
      <c r="E1029" s="140" t="str">
        <f t="shared" si="51"/>
        <v/>
      </c>
      <c r="F1029" s="157"/>
      <c r="G1029" s="145">
        <f t="shared" si="49"/>
        <v>0</v>
      </c>
      <c r="H1029" s="140" t="str">
        <f t="shared" si="50"/>
        <v/>
      </c>
      <c r="J1029" s="147" t="str">
        <f>IFERROR(SUMIFS(当年实际!$V:$V,当年实际!$J:$J,$C1029,当年实际!$C:$C,"&gt;="&amp;DATE(YEAR(主页!$D$2),1,1),当年实际!$C:$C,"&lt;="&amp;EOMONTH(DATE(YEAR(主页!$D$2),MONTH(主页!$D$2),1),0))/SUMIFS(当年实际!$P:$P,当年实际!$J:$J,$C1029,当年实际!$C:$C,"&gt;="&amp;DATE(YEAR(主页!$D$2),1,1),当年实际!$C:$C,"&lt;="&amp;EOMONTH(DATE(YEAR(主页!$D$2),MONTH(主页!$D$2),1),0)),"")</f>
        <v/>
      </c>
    </row>
    <row r="1030" spans="1:10" x14ac:dyDescent="0.3">
      <c r="A1030" s="129"/>
      <c r="B1030" s="150"/>
      <c r="C1030" s="150"/>
      <c r="D1030" s="150"/>
      <c r="E1030" s="140" t="str">
        <f t="shared" si="51"/>
        <v/>
      </c>
      <c r="F1030" s="157"/>
      <c r="G1030" s="145">
        <f t="shared" si="49"/>
        <v>0</v>
      </c>
      <c r="H1030" s="140" t="str">
        <f t="shared" si="50"/>
        <v/>
      </c>
      <c r="J1030" s="147" t="str">
        <f>IFERROR(SUMIFS(当年实际!$V:$V,当年实际!$J:$J,$C1030,当年实际!$C:$C,"&gt;="&amp;DATE(YEAR(主页!$D$2),1,1),当年实际!$C:$C,"&lt;="&amp;EOMONTH(DATE(YEAR(主页!$D$2),MONTH(主页!$D$2),1),0))/SUMIFS(当年实际!$P:$P,当年实际!$J:$J,$C1030,当年实际!$C:$C,"&gt;="&amp;DATE(YEAR(主页!$D$2),1,1),当年实际!$C:$C,"&lt;="&amp;EOMONTH(DATE(YEAR(主页!$D$2),MONTH(主页!$D$2),1),0)),"")</f>
        <v/>
      </c>
    </row>
    <row r="1031" spans="1:10" x14ac:dyDescent="0.3">
      <c r="A1031" s="129"/>
      <c r="B1031" s="150"/>
      <c r="C1031" s="150"/>
      <c r="D1031" s="150"/>
      <c r="E1031" s="140" t="str">
        <f t="shared" si="51"/>
        <v/>
      </c>
      <c r="F1031" s="157"/>
      <c r="G1031" s="145">
        <f t="shared" si="49"/>
        <v>0</v>
      </c>
      <c r="H1031" s="140" t="str">
        <f t="shared" si="50"/>
        <v/>
      </c>
      <c r="J1031" s="147" t="str">
        <f>IFERROR(SUMIFS(当年实际!$V:$V,当年实际!$J:$J,$C1031,当年实际!$C:$C,"&gt;="&amp;DATE(YEAR(主页!$D$2),1,1),当年实际!$C:$C,"&lt;="&amp;EOMONTH(DATE(YEAR(主页!$D$2),MONTH(主页!$D$2),1),0))/SUMIFS(当年实际!$P:$P,当年实际!$J:$J,$C1031,当年实际!$C:$C,"&gt;="&amp;DATE(YEAR(主页!$D$2),1,1),当年实际!$C:$C,"&lt;="&amp;EOMONTH(DATE(YEAR(主页!$D$2),MONTH(主页!$D$2),1),0)),"")</f>
        <v/>
      </c>
    </row>
    <row r="1032" spans="1:10" x14ac:dyDescent="0.3">
      <c r="A1032" s="129"/>
      <c r="B1032" s="150"/>
      <c r="C1032" s="150"/>
      <c r="D1032" s="150"/>
      <c r="E1032" s="140" t="str">
        <f t="shared" si="51"/>
        <v/>
      </c>
      <c r="F1032" s="157"/>
      <c r="G1032" s="145">
        <f t="shared" si="49"/>
        <v>0</v>
      </c>
      <c r="H1032" s="140" t="str">
        <f t="shared" si="50"/>
        <v/>
      </c>
      <c r="J1032" s="147" t="str">
        <f>IFERROR(SUMIFS(当年实际!$V:$V,当年实际!$J:$J,$C1032,当年实际!$C:$C,"&gt;="&amp;DATE(YEAR(主页!$D$2),1,1),当年实际!$C:$C,"&lt;="&amp;EOMONTH(DATE(YEAR(主页!$D$2),MONTH(主页!$D$2),1),0))/SUMIFS(当年实际!$P:$P,当年实际!$J:$J,$C1032,当年实际!$C:$C,"&gt;="&amp;DATE(YEAR(主页!$D$2),1,1),当年实际!$C:$C,"&lt;="&amp;EOMONTH(DATE(YEAR(主页!$D$2),MONTH(主页!$D$2),1),0)),"")</f>
        <v/>
      </c>
    </row>
    <row r="1033" spans="1:10" x14ac:dyDescent="0.3">
      <c r="A1033" s="129"/>
      <c r="B1033" s="150"/>
      <c r="C1033" s="150"/>
      <c r="D1033" s="150"/>
      <c r="E1033" s="140" t="str">
        <f t="shared" si="51"/>
        <v/>
      </c>
      <c r="F1033" s="157"/>
      <c r="G1033" s="145">
        <f t="shared" si="49"/>
        <v>0</v>
      </c>
      <c r="H1033" s="140" t="str">
        <f t="shared" si="50"/>
        <v/>
      </c>
      <c r="J1033" s="147" t="str">
        <f>IFERROR(SUMIFS(当年实际!$V:$V,当年实际!$J:$J,$C1033,当年实际!$C:$C,"&gt;="&amp;DATE(YEAR(主页!$D$2),1,1),当年实际!$C:$C,"&lt;="&amp;EOMONTH(DATE(YEAR(主页!$D$2),MONTH(主页!$D$2),1),0))/SUMIFS(当年实际!$P:$P,当年实际!$J:$J,$C1033,当年实际!$C:$C,"&gt;="&amp;DATE(YEAR(主页!$D$2),1,1),当年实际!$C:$C,"&lt;="&amp;EOMONTH(DATE(YEAR(主页!$D$2),MONTH(主页!$D$2),1),0)),"")</f>
        <v/>
      </c>
    </row>
    <row r="1034" spans="1:10" x14ac:dyDescent="0.3">
      <c r="A1034" s="129"/>
      <c r="B1034" s="150"/>
      <c r="C1034" s="150"/>
      <c r="D1034" s="150"/>
      <c r="E1034" s="140" t="str">
        <f t="shared" si="51"/>
        <v/>
      </c>
      <c r="F1034" s="157"/>
      <c r="G1034" s="145">
        <f t="shared" si="49"/>
        <v>0</v>
      </c>
      <c r="H1034" s="140" t="str">
        <f t="shared" si="50"/>
        <v/>
      </c>
      <c r="J1034" s="147" t="str">
        <f>IFERROR(SUMIFS(当年实际!$V:$V,当年实际!$J:$J,$C1034,当年实际!$C:$C,"&gt;="&amp;DATE(YEAR(主页!$D$2),1,1),当年实际!$C:$C,"&lt;="&amp;EOMONTH(DATE(YEAR(主页!$D$2),MONTH(主页!$D$2),1),0))/SUMIFS(当年实际!$P:$P,当年实际!$J:$J,$C1034,当年实际!$C:$C,"&gt;="&amp;DATE(YEAR(主页!$D$2),1,1),当年实际!$C:$C,"&lt;="&amp;EOMONTH(DATE(YEAR(主页!$D$2),MONTH(主页!$D$2),1),0)),"")</f>
        <v/>
      </c>
    </row>
    <row r="1035" spans="1:10" x14ac:dyDescent="0.3">
      <c r="A1035" s="129"/>
      <c r="B1035" s="150"/>
      <c r="C1035" s="150"/>
      <c r="D1035" s="150"/>
      <c r="E1035" s="140" t="str">
        <f t="shared" si="51"/>
        <v/>
      </c>
      <c r="F1035" s="157"/>
      <c r="G1035" s="145">
        <f t="shared" si="49"/>
        <v>0</v>
      </c>
      <c r="H1035" s="140" t="str">
        <f t="shared" si="50"/>
        <v/>
      </c>
      <c r="J1035" s="147" t="str">
        <f>IFERROR(SUMIFS(当年实际!$V:$V,当年实际!$J:$J,$C1035,当年实际!$C:$C,"&gt;="&amp;DATE(YEAR(主页!$D$2),1,1),当年实际!$C:$C,"&lt;="&amp;EOMONTH(DATE(YEAR(主页!$D$2),MONTH(主页!$D$2),1),0))/SUMIFS(当年实际!$P:$P,当年实际!$J:$J,$C1035,当年实际!$C:$C,"&gt;="&amp;DATE(YEAR(主页!$D$2),1,1),当年实际!$C:$C,"&lt;="&amp;EOMONTH(DATE(YEAR(主页!$D$2),MONTH(主页!$D$2),1),0)),"")</f>
        <v/>
      </c>
    </row>
    <row r="1036" spans="1:10" x14ac:dyDescent="0.3">
      <c r="A1036" s="129"/>
      <c r="B1036" s="150"/>
      <c r="C1036" s="150"/>
      <c r="D1036" s="150"/>
      <c r="E1036" s="140" t="str">
        <f t="shared" si="51"/>
        <v/>
      </c>
      <c r="F1036" s="157"/>
      <c r="G1036" s="145">
        <f t="shared" si="49"/>
        <v>0</v>
      </c>
      <c r="H1036" s="140" t="str">
        <f t="shared" si="50"/>
        <v/>
      </c>
      <c r="J1036" s="147" t="str">
        <f>IFERROR(SUMIFS(当年实际!$V:$V,当年实际!$J:$J,$C1036,当年实际!$C:$C,"&gt;="&amp;DATE(YEAR(主页!$D$2),1,1),当年实际!$C:$C,"&lt;="&amp;EOMONTH(DATE(YEAR(主页!$D$2),MONTH(主页!$D$2),1),0))/SUMIFS(当年实际!$P:$P,当年实际!$J:$J,$C1036,当年实际!$C:$C,"&gt;="&amp;DATE(YEAR(主页!$D$2),1,1),当年实际!$C:$C,"&lt;="&amp;EOMONTH(DATE(YEAR(主页!$D$2),MONTH(主页!$D$2),1),0)),"")</f>
        <v/>
      </c>
    </row>
    <row r="1037" spans="1:10" x14ac:dyDescent="0.3">
      <c r="A1037" s="129"/>
      <c r="B1037" s="150"/>
      <c r="C1037" s="150"/>
      <c r="D1037" s="150"/>
      <c r="E1037" s="140" t="str">
        <f t="shared" si="51"/>
        <v/>
      </c>
      <c r="F1037" s="157"/>
      <c r="G1037" s="145">
        <f t="shared" si="49"/>
        <v>0</v>
      </c>
      <c r="H1037" s="140" t="str">
        <f t="shared" si="50"/>
        <v/>
      </c>
      <c r="J1037" s="147" t="str">
        <f>IFERROR(SUMIFS(当年实际!$V:$V,当年实际!$J:$J,$C1037,当年实际!$C:$C,"&gt;="&amp;DATE(YEAR(主页!$D$2),1,1),当年实际!$C:$C,"&lt;="&amp;EOMONTH(DATE(YEAR(主页!$D$2),MONTH(主页!$D$2),1),0))/SUMIFS(当年实际!$P:$P,当年实际!$J:$J,$C1037,当年实际!$C:$C,"&gt;="&amp;DATE(YEAR(主页!$D$2),1,1),当年实际!$C:$C,"&lt;="&amp;EOMONTH(DATE(YEAR(主页!$D$2),MONTH(主页!$D$2),1),0)),"")</f>
        <v/>
      </c>
    </row>
    <row r="1038" spans="1:10" x14ac:dyDescent="0.3">
      <c r="A1038" s="129"/>
      <c r="B1038" s="150"/>
      <c r="C1038" s="150"/>
      <c r="D1038" s="150"/>
      <c r="E1038" s="140" t="str">
        <f t="shared" si="51"/>
        <v/>
      </c>
      <c r="F1038" s="157"/>
      <c r="G1038" s="145">
        <f t="shared" si="49"/>
        <v>0</v>
      </c>
      <c r="H1038" s="140" t="str">
        <f t="shared" si="50"/>
        <v/>
      </c>
      <c r="J1038" s="147" t="str">
        <f>IFERROR(SUMIFS(当年实际!$V:$V,当年实际!$J:$J,$C1038,当年实际!$C:$C,"&gt;="&amp;DATE(YEAR(主页!$D$2),1,1),当年实际!$C:$C,"&lt;="&amp;EOMONTH(DATE(YEAR(主页!$D$2),MONTH(主页!$D$2),1),0))/SUMIFS(当年实际!$P:$P,当年实际!$J:$J,$C1038,当年实际!$C:$C,"&gt;="&amp;DATE(YEAR(主页!$D$2),1,1),当年实际!$C:$C,"&lt;="&amp;EOMONTH(DATE(YEAR(主页!$D$2),MONTH(主页!$D$2),1),0)),"")</f>
        <v/>
      </c>
    </row>
    <row r="1039" spans="1:10" x14ac:dyDescent="0.3">
      <c r="A1039" s="129"/>
      <c r="B1039" s="150"/>
      <c r="C1039" s="150"/>
      <c r="D1039" s="150"/>
      <c r="E1039" s="140" t="str">
        <f t="shared" si="51"/>
        <v/>
      </c>
      <c r="F1039" s="157"/>
      <c r="G1039" s="145">
        <f t="shared" si="49"/>
        <v>0</v>
      </c>
      <c r="H1039" s="140" t="str">
        <f t="shared" si="50"/>
        <v/>
      </c>
      <c r="J1039" s="147" t="str">
        <f>IFERROR(SUMIFS(当年实际!$V:$V,当年实际!$J:$J,$C1039,当年实际!$C:$C,"&gt;="&amp;DATE(YEAR(主页!$D$2),1,1),当年实际!$C:$C,"&lt;="&amp;EOMONTH(DATE(YEAR(主页!$D$2),MONTH(主页!$D$2),1),0))/SUMIFS(当年实际!$P:$P,当年实际!$J:$J,$C1039,当年实际!$C:$C,"&gt;="&amp;DATE(YEAR(主页!$D$2),1,1),当年实际!$C:$C,"&lt;="&amp;EOMONTH(DATE(YEAR(主页!$D$2),MONTH(主页!$D$2),1),0)),"")</f>
        <v/>
      </c>
    </row>
    <row r="1040" spans="1:10" x14ac:dyDescent="0.3">
      <c r="A1040" s="129"/>
      <c r="B1040" s="150"/>
      <c r="C1040" s="150"/>
      <c r="D1040" s="150"/>
      <c r="E1040" s="140" t="str">
        <f t="shared" si="51"/>
        <v/>
      </c>
      <c r="F1040" s="157"/>
      <c r="G1040" s="145">
        <f t="shared" si="49"/>
        <v>0</v>
      </c>
      <c r="H1040" s="140" t="str">
        <f t="shared" si="50"/>
        <v/>
      </c>
      <c r="J1040" s="147" t="str">
        <f>IFERROR(SUMIFS(当年实际!$V:$V,当年实际!$J:$J,$C1040,当年实际!$C:$C,"&gt;="&amp;DATE(YEAR(主页!$D$2),1,1),当年实际!$C:$C,"&lt;="&amp;EOMONTH(DATE(YEAR(主页!$D$2),MONTH(主页!$D$2),1),0))/SUMIFS(当年实际!$P:$P,当年实际!$J:$J,$C1040,当年实际!$C:$C,"&gt;="&amp;DATE(YEAR(主页!$D$2),1,1),当年实际!$C:$C,"&lt;="&amp;EOMONTH(DATE(YEAR(主页!$D$2),MONTH(主页!$D$2),1),0)),"")</f>
        <v/>
      </c>
    </row>
    <row r="1041" spans="1:10" x14ac:dyDescent="0.3">
      <c r="A1041" s="129"/>
      <c r="B1041" s="150"/>
      <c r="C1041" s="150"/>
      <c r="D1041" s="150"/>
      <c r="E1041" s="140" t="str">
        <f t="shared" si="51"/>
        <v/>
      </c>
      <c r="F1041" s="157"/>
      <c r="G1041" s="145">
        <f t="shared" si="49"/>
        <v>0</v>
      </c>
      <c r="H1041" s="140" t="str">
        <f t="shared" si="50"/>
        <v/>
      </c>
      <c r="J1041" s="147" t="str">
        <f>IFERROR(SUMIFS(当年实际!$V:$V,当年实际!$J:$J,$C1041,当年实际!$C:$C,"&gt;="&amp;DATE(YEAR(主页!$D$2),1,1),当年实际!$C:$C,"&lt;="&amp;EOMONTH(DATE(YEAR(主页!$D$2),MONTH(主页!$D$2),1),0))/SUMIFS(当年实际!$P:$P,当年实际!$J:$J,$C1041,当年实际!$C:$C,"&gt;="&amp;DATE(YEAR(主页!$D$2),1,1),当年实际!$C:$C,"&lt;="&amp;EOMONTH(DATE(YEAR(主页!$D$2),MONTH(主页!$D$2),1),0)),"")</f>
        <v/>
      </c>
    </row>
    <row r="1042" spans="1:10" x14ac:dyDescent="0.3">
      <c r="A1042" s="129"/>
      <c r="B1042" s="150"/>
      <c r="C1042" s="150"/>
      <c r="D1042" s="150"/>
      <c r="E1042" s="140" t="str">
        <f t="shared" si="51"/>
        <v/>
      </c>
      <c r="F1042" s="157"/>
      <c r="G1042" s="145">
        <f t="shared" si="49"/>
        <v>0</v>
      </c>
      <c r="H1042" s="140" t="str">
        <f t="shared" si="50"/>
        <v/>
      </c>
      <c r="J1042" s="147" t="str">
        <f>IFERROR(SUMIFS(当年实际!$V:$V,当年实际!$J:$J,$C1042,当年实际!$C:$C,"&gt;="&amp;DATE(YEAR(主页!$D$2),1,1),当年实际!$C:$C,"&lt;="&amp;EOMONTH(DATE(YEAR(主页!$D$2),MONTH(主页!$D$2),1),0))/SUMIFS(当年实际!$P:$P,当年实际!$J:$J,$C1042,当年实际!$C:$C,"&gt;="&amp;DATE(YEAR(主页!$D$2),1,1),当年实际!$C:$C,"&lt;="&amp;EOMONTH(DATE(YEAR(主页!$D$2),MONTH(主页!$D$2),1),0)),"")</f>
        <v/>
      </c>
    </row>
    <row r="1043" spans="1:10" x14ac:dyDescent="0.3">
      <c r="A1043" s="129"/>
      <c r="B1043" s="150"/>
      <c r="C1043" s="150"/>
      <c r="D1043" s="150"/>
      <c r="E1043" s="140" t="str">
        <f t="shared" si="51"/>
        <v/>
      </c>
      <c r="F1043" s="157"/>
      <c r="G1043" s="145">
        <f t="shared" si="49"/>
        <v>0</v>
      </c>
      <c r="H1043" s="140" t="str">
        <f t="shared" si="50"/>
        <v/>
      </c>
      <c r="J1043" s="147" t="str">
        <f>IFERROR(SUMIFS(当年实际!$V:$V,当年实际!$J:$J,$C1043,当年实际!$C:$C,"&gt;="&amp;DATE(YEAR(主页!$D$2),1,1),当年实际!$C:$C,"&lt;="&amp;EOMONTH(DATE(YEAR(主页!$D$2),MONTH(主页!$D$2),1),0))/SUMIFS(当年实际!$P:$P,当年实际!$J:$J,$C1043,当年实际!$C:$C,"&gt;="&amp;DATE(YEAR(主页!$D$2),1,1),当年实际!$C:$C,"&lt;="&amp;EOMONTH(DATE(YEAR(主页!$D$2),MONTH(主页!$D$2),1),0)),"")</f>
        <v/>
      </c>
    </row>
    <row r="1044" spans="1:10" x14ac:dyDescent="0.3">
      <c r="A1044" s="129"/>
      <c r="B1044" s="150"/>
      <c r="C1044" s="150"/>
      <c r="D1044" s="150"/>
      <c r="E1044" s="140" t="str">
        <f t="shared" si="51"/>
        <v/>
      </c>
      <c r="F1044" s="157"/>
      <c r="G1044" s="145">
        <f t="shared" si="49"/>
        <v>0</v>
      </c>
      <c r="H1044" s="140" t="str">
        <f t="shared" si="50"/>
        <v/>
      </c>
      <c r="J1044" s="147" t="str">
        <f>IFERROR(SUMIFS(当年实际!$V:$V,当年实际!$J:$J,$C1044,当年实际!$C:$C,"&gt;="&amp;DATE(YEAR(主页!$D$2),1,1),当年实际!$C:$C,"&lt;="&amp;EOMONTH(DATE(YEAR(主页!$D$2),MONTH(主页!$D$2),1),0))/SUMIFS(当年实际!$P:$P,当年实际!$J:$J,$C1044,当年实际!$C:$C,"&gt;="&amp;DATE(YEAR(主页!$D$2),1,1),当年实际!$C:$C,"&lt;="&amp;EOMONTH(DATE(YEAR(主页!$D$2),MONTH(主页!$D$2),1),0)),"")</f>
        <v/>
      </c>
    </row>
    <row r="1045" spans="1:10" x14ac:dyDescent="0.3">
      <c r="A1045" s="129"/>
      <c r="B1045" s="150"/>
      <c r="C1045" s="150"/>
      <c r="D1045" s="150"/>
      <c r="E1045" s="140" t="str">
        <f t="shared" si="51"/>
        <v/>
      </c>
      <c r="F1045" s="157"/>
      <c r="G1045" s="145">
        <f t="shared" si="49"/>
        <v>0</v>
      </c>
      <c r="H1045" s="140" t="str">
        <f t="shared" si="50"/>
        <v/>
      </c>
      <c r="J1045" s="147" t="str">
        <f>IFERROR(SUMIFS(当年实际!$V:$V,当年实际!$J:$J,$C1045,当年实际!$C:$C,"&gt;="&amp;DATE(YEAR(主页!$D$2),1,1),当年实际!$C:$C,"&lt;="&amp;EOMONTH(DATE(YEAR(主页!$D$2),MONTH(主页!$D$2),1),0))/SUMIFS(当年实际!$P:$P,当年实际!$J:$J,$C1045,当年实际!$C:$C,"&gt;="&amp;DATE(YEAR(主页!$D$2),1,1),当年实际!$C:$C,"&lt;="&amp;EOMONTH(DATE(YEAR(主页!$D$2),MONTH(主页!$D$2),1),0)),"")</f>
        <v/>
      </c>
    </row>
    <row r="1046" spans="1:10" x14ac:dyDescent="0.3">
      <c r="A1046" s="129"/>
      <c r="B1046" s="150"/>
      <c r="C1046" s="150"/>
      <c r="D1046" s="150"/>
      <c r="E1046" s="140" t="str">
        <f t="shared" si="51"/>
        <v/>
      </c>
      <c r="F1046" s="157"/>
      <c r="G1046" s="145">
        <f t="shared" si="49"/>
        <v>0</v>
      </c>
      <c r="H1046" s="140" t="str">
        <f t="shared" si="50"/>
        <v/>
      </c>
      <c r="J1046" s="147" t="str">
        <f>IFERROR(SUMIFS(当年实际!$V:$V,当年实际!$J:$J,$C1046,当年实际!$C:$C,"&gt;="&amp;DATE(YEAR(主页!$D$2),1,1),当年实际!$C:$C,"&lt;="&amp;EOMONTH(DATE(YEAR(主页!$D$2),MONTH(主页!$D$2),1),0))/SUMIFS(当年实际!$P:$P,当年实际!$J:$J,$C1046,当年实际!$C:$C,"&gt;="&amp;DATE(YEAR(主页!$D$2),1,1),当年实际!$C:$C,"&lt;="&amp;EOMONTH(DATE(YEAR(主页!$D$2),MONTH(主页!$D$2),1),0)),"")</f>
        <v/>
      </c>
    </row>
    <row r="1047" spans="1:10" x14ac:dyDescent="0.3">
      <c r="A1047" s="129"/>
      <c r="B1047" s="150"/>
      <c r="C1047" s="150"/>
      <c r="D1047" s="150"/>
      <c r="E1047" s="140" t="str">
        <f t="shared" si="51"/>
        <v/>
      </c>
      <c r="F1047" s="157"/>
      <c r="G1047" s="145">
        <f t="shared" si="49"/>
        <v>0</v>
      </c>
      <c r="H1047" s="140" t="str">
        <f t="shared" si="50"/>
        <v/>
      </c>
      <c r="J1047" s="147" t="str">
        <f>IFERROR(SUMIFS(当年实际!$V:$V,当年实际!$J:$J,$C1047,当年实际!$C:$C,"&gt;="&amp;DATE(YEAR(主页!$D$2),1,1),当年实际!$C:$C,"&lt;="&amp;EOMONTH(DATE(YEAR(主页!$D$2),MONTH(主页!$D$2),1),0))/SUMIFS(当年实际!$P:$P,当年实际!$J:$J,$C1047,当年实际!$C:$C,"&gt;="&amp;DATE(YEAR(主页!$D$2),1,1),当年实际!$C:$C,"&lt;="&amp;EOMONTH(DATE(YEAR(主页!$D$2),MONTH(主页!$D$2),1),0)),"")</f>
        <v/>
      </c>
    </row>
    <row r="1048" spans="1:10" x14ac:dyDescent="0.3">
      <c r="A1048" s="129"/>
      <c r="B1048" s="150"/>
      <c r="C1048" s="150"/>
      <c r="D1048" s="150"/>
      <c r="E1048" s="140" t="str">
        <f t="shared" si="51"/>
        <v/>
      </c>
      <c r="F1048" s="157"/>
      <c r="G1048" s="145">
        <f t="shared" si="49"/>
        <v>0</v>
      </c>
      <c r="H1048" s="140" t="str">
        <f t="shared" si="50"/>
        <v/>
      </c>
      <c r="J1048" s="147" t="str">
        <f>IFERROR(SUMIFS(当年实际!$V:$V,当年实际!$J:$J,$C1048,当年实际!$C:$C,"&gt;="&amp;DATE(YEAR(主页!$D$2),1,1),当年实际!$C:$C,"&lt;="&amp;EOMONTH(DATE(YEAR(主页!$D$2),MONTH(主页!$D$2),1),0))/SUMIFS(当年实际!$P:$P,当年实际!$J:$J,$C1048,当年实际!$C:$C,"&gt;="&amp;DATE(YEAR(主页!$D$2),1,1),当年实际!$C:$C,"&lt;="&amp;EOMONTH(DATE(YEAR(主页!$D$2),MONTH(主页!$D$2),1),0)),"")</f>
        <v/>
      </c>
    </row>
    <row r="1049" spans="1:10" x14ac:dyDescent="0.3">
      <c r="A1049" s="129"/>
      <c r="B1049" s="150"/>
      <c r="C1049" s="150"/>
      <c r="D1049" s="150"/>
      <c r="E1049" s="140" t="str">
        <f t="shared" si="51"/>
        <v/>
      </c>
      <c r="F1049" s="157"/>
      <c r="G1049" s="145">
        <f t="shared" si="49"/>
        <v>0</v>
      </c>
      <c r="H1049" s="140" t="str">
        <f t="shared" si="50"/>
        <v/>
      </c>
      <c r="J1049" s="147" t="str">
        <f>IFERROR(SUMIFS(当年实际!$V:$V,当年实际!$J:$J,$C1049,当年实际!$C:$C,"&gt;="&amp;DATE(YEAR(主页!$D$2),1,1),当年实际!$C:$C,"&lt;="&amp;EOMONTH(DATE(YEAR(主页!$D$2),MONTH(主页!$D$2),1),0))/SUMIFS(当年实际!$P:$P,当年实际!$J:$J,$C1049,当年实际!$C:$C,"&gt;="&amp;DATE(YEAR(主页!$D$2),1,1),当年实际!$C:$C,"&lt;="&amp;EOMONTH(DATE(YEAR(主页!$D$2),MONTH(主页!$D$2),1),0)),"")</f>
        <v/>
      </c>
    </row>
    <row r="1050" spans="1:10" x14ac:dyDescent="0.3">
      <c r="A1050" s="129"/>
      <c r="B1050" s="150"/>
      <c r="C1050" s="150"/>
      <c r="D1050" s="150"/>
      <c r="E1050" s="140" t="str">
        <f t="shared" si="51"/>
        <v/>
      </c>
      <c r="F1050" s="157"/>
      <c r="G1050" s="145">
        <f t="shared" si="49"/>
        <v>0</v>
      </c>
      <c r="H1050" s="140" t="str">
        <f t="shared" si="50"/>
        <v/>
      </c>
      <c r="J1050" s="147" t="str">
        <f>IFERROR(SUMIFS(当年实际!$V:$V,当年实际!$J:$J,$C1050,当年实际!$C:$C,"&gt;="&amp;DATE(YEAR(主页!$D$2),1,1),当年实际!$C:$C,"&lt;="&amp;EOMONTH(DATE(YEAR(主页!$D$2),MONTH(主页!$D$2),1),0))/SUMIFS(当年实际!$P:$P,当年实际!$J:$J,$C1050,当年实际!$C:$C,"&gt;="&amp;DATE(YEAR(主页!$D$2),1,1),当年实际!$C:$C,"&lt;="&amp;EOMONTH(DATE(YEAR(主页!$D$2),MONTH(主页!$D$2),1),0)),"")</f>
        <v/>
      </c>
    </row>
    <row r="1051" spans="1:10" x14ac:dyDescent="0.3">
      <c r="A1051" s="129"/>
      <c r="B1051" s="150"/>
      <c r="C1051" s="150"/>
      <c r="D1051" s="150"/>
      <c r="E1051" s="140" t="str">
        <f t="shared" si="51"/>
        <v/>
      </c>
      <c r="F1051" s="157"/>
      <c r="G1051" s="145">
        <f t="shared" si="49"/>
        <v>0</v>
      </c>
      <c r="H1051" s="140" t="str">
        <f t="shared" si="50"/>
        <v/>
      </c>
      <c r="J1051" s="147" t="str">
        <f>IFERROR(SUMIFS(当年实际!$V:$V,当年实际!$J:$J,$C1051,当年实际!$C:$C,"&gt;="&amp;DATE(YEAR(主页!$D$2),1,1),当年实际!$C:$C,"&lt;="&amp;EOMONTH(DATE(YEAR(主页!$D$2),MONTH(主页!$D$2),1),0))/SUMIFS(当年实际!$P:$P,当年实际!$J:$J,$C1051,当年实际!$C:$C,"&gt;="&amp;DATE(YEAR(主页!$D$2),1,1),当年实际!$C:$C,"&lt;="&amp;EOMONTH(DATE(YEAR(主页!$D$2),MONTH(主页!$D$2),1),0)),"")</f>
        <v/>
      </c>
    </row>
    <row r="1052" spans="1:10" x14ac:dyDescent="0.3">
      <c r="A1052" s="129"/>
      <c r="B1052" s="150"/>
      <c r="C1052" s="150"/>
      <c r="D1052" s="150"/>
      <c r="E1052" s="140" t="str">
        <f t="shared" si="51"/>
        <v/>
      </c>
      <c r="F1052" s="157"/>
      <c r="G1052" s="145">
        <f t="shared" si="49"/>
        <v>0</v>
      </c>
      <c r="H1052" s="140" t="str">
        <f t="shared" si="50"/>
        <v/>
      </c>
      <c r="J1052" s="147" t="str">
        <f>IFERROR(SUMIFS(当年实际!$V:$V,当年实际!$J:$J,$C1052,当年实际!$C:$C,"&gt;="&amp;DATE(YEAR(主页!$D$2),1,1),当年实际!$C:$C,"&lt;="&amp;EOMONTH(DATE(YEAR(主页!$D$2),MONTH(主页!$D$2),1),0))/SUMIFS(当年实际!$P:$P,当年实际!$J:$J,$C1052,当年实际!$C:$C,"&gt;="&amp;DATE(YEAR(主页!$D$2),1,1),当年实际!$C:$C,"&lt;="&amp;EOMONTH(DATE(YEAR(主页!$D$2),MONTH(主页!$D$2),1),0)),"")</f>
        <v/>
      </c>
    </row>
    <row r="1053" spans="1:10" x14ac:dyDescent="0.3">
      <c r="A1053" s="129"/>
      <c r="B1053" s="150"/>
      <c r="C1053" s="150"/>
      <c r="D1053" s="150"/>
      <c r="E1053" s="140" t="str">
        <f t="shared" si="51"/>
        <v/>
      </c>
      <c r="F1053" s="157"/>
      <c r="G1053" s="145">
        <f t="shared" si="49"/>
        <v>0</v>
      </c>
      <c r="H1053" s="140" t="str">
        <f t="shared" si="50"/>
        <v/>
      </c>
      <c r="J1053" s="147" t="str">
        <f>IFERROR(SUMIFS(当年实际!$V:$V,当年实际!$J:$J,$C1053,当年实际!$C:$C,"&gt;="&amp;DATE(YEAR(主页!$D$2),1,1),当年实际!$C:$C,"&lt;="&amp;EOMONTH(DATE(YEAR(主页!$D$2),MONTH(主页!$D$2),1),0))/SUMIFS(当年实际!$P:$P,当年实际!$J:$J,$C1053,当年实际!$C:$C,"&gt;="&amp;DATE(YEAR(主页!$D$2),1,1),当年实际!$C:$C,"&lt;="&amp;EOMONTH(DATE(YEAR(主页!$D$2),MONTH(主页!$D$2),1),0)),"")</f>
        <v/>
      </c>
    </row>
    <row r="1054" spans="1:10" x14ac:dyDescent="0.3">
      <c r="A1054" s="129"/>
      <c r="B1054" s="150"/>
      <c r="C1054" s="150"/>
      <c r="D1054" s="150"/>
      <c r="E1054" s="140" t="str">
        <f t="shared" si="51"/>
        <v/>
      </c>
      <c r="F1054" s="157"/>
      <c r="G1054" s="145">
        <f t="shared" si="49"/>
        <v>0</v>
      </c>
      <c r="H1054" s="140" t="str">
        <f t="shared" si="50"/>
        <v/>
      </c>
      <c r="J1054" s="147" t="str">
        <f>IFERROR(SUMIFS(当年实际!$V:$V,当年实际!$J:$J,$C1054,当年实际!$C:$C,"&gt;="&amp;DATE(YEAR(主页!$D$2),1,1),当年实际!$C:$C,"&lt;="&amp;EOMONTH(DATE(YEAR(主页!$D$2),MONTH(主页!$D$2),1),0))/SUMIFS(当年实际!$P:$P,当年实际!$J:$J,$C1054,当年实际!$C:$C,"&gt;="&amp;DATE(YEAR(主页!$D$2),1,1),当年实际!$C:$C,"&lt;="&amp;EOMONTH(DATE(YEAR(主页!$D$2),MONTH(主页!$D$2),1),0)),"")</f>
        <v/>
      </c>
    </row>
    <row r="1055" spans="1:10" x14ac:dyDescent="0.3">
      <c r="A1055" s="129"/>
      <c r="B1055" s="150"/>
      <c r="C1055" s="150"/>
      <c r="D1055" s="150"/>
      <c r="E1055" s="140" t="str">
        <f t="shared" si="51"/>
        <v/>
      </c>
      <c r="F1055" s="157"/>
      <c r="G1055" s="145">
        <f t="shared" ref="G1055:G1118" si="52">D1055*F1055</f>
        <v>0</v>
      </c>
      <c r="H1055" s="140" t="str">
        <f t="shared" ref="H1055:H1118" si="53">IF(G1055/SUM(G:G)=0,"",G1055/SUM(G:G))</f>
        <v/>
      </c>
      <c r="J1055" s="147" t="str">
        <f>IFERROR(SUMIFS(当年实际!$V:$V,当年实际!$J:$J,$C1055,当年实际!$C:$C,"&gt;="&amp;DATE(YEAR(主页!$D$2),1,1),当年实际!$C:$C,"&lt;="&amp;EOMONTH(DATE(YEAR(主页!$D$2),MONTH(主页!$D$2),1),0))/SUMIFS(当年实际!$P:$P,当年实际!$J:$J,$C1055,当年实际!$C:$C,"&gt;="&amp;DATE(YEAR(主页!$D$2),1,1),当年实际!$C:$C,"&lt;="&amp;EOMONTH(DATE(YEAR(主页!$D$2),MONTH(主页!$D$2),1),0)),"")</f>
        <v/>
      </c>
    </row>
    <row r="1056" spans="1:10" x14ac:dyDescent="0.3">
      <c r="A1056" s="129"/>
      <c r="B1056" s="150"/>
      <c r="C1056" s="150"/>
      <c r="D1056" s="150"/>
      <c r="E1056" s="140" t="str">
        <f t="shared" si="51"/>
        <v/>
      </c>
      <c r="F1056" s="157"/>
      <c r="G1056" s="145">
        <f t="shared" si="52"/>
        <v>0</v>
      </c>
      <c r="H1056" s="140" t="str">
        <f t="shared" si="53"/>
        <v/>
      </c>
      <c r="J1056" s="147" t="str">
        <f>IFERROR(SUMIFS(当年实际!$V:$V,当年实际!$J:$J,$C1056,当年实际!$C:$C,"&gt;="&amp;DATE(YEAR(主页!$D$2),1,1),当年实际!$C:$C,"&lt;="&amp;EOMONTH(DATE(YEAR(主页!$D$2),MONTH(主页!$D$2),1),0))/SUMIFS(当年实际!$P:$P,当年实际!$J:$J,$C1056,当年实际!$C:$C,"&gt;="&amp;DATE(YEAR(主页!$D$2),1,1),当年实际!$C:$C,"&lt;="&amp;EOMONTH(DATE(YEAR(主页!$D$2),MONTH(主页!$D$2),1),0)),"")</f>
        <v/>
      </c>
    </row>
    <row r="1057" spans="1:10" x14ac:dyDescent="0.3">
      <c r="A1057" s="129"/>
      <c r="B1057" s="150"/>
      <c r="C1057" s="150"/>
      <c r="D1057" s="150"/>
      <c r="E1057" s="140" t="str">
        <f t="shared" si="51"/>
        <v/>
      </c>
      <c r="F1057" s="157"/>
      <c r="G1057" s="145">
        <f t="shared" si="52"/>
        <v>0</v>
      </c>
      <c r="H1057" s="140" t="str">
        <f t="shared" si="53"/>
        <v/>
      </c>
      <c r="J1057" s="147" t="str">
        <f>IFERROR(SUMIFS(当年实际!$V:$V,当年实际!$J:$J,$C1057,当年实际!$C:$C,"&gt;="&amp;DATE(YEAR(主页!$D$2),1,1),当年实际!$C:$C,"&lt;="&amp;EOMONTH(DATE(YEAR(主页!$D$2),MONTH(主页!$D$2),1),0))/SUMIFS(当年实际!$P:$P,当年实际!$J:$J,$C1057,当年实际!$C:$C,"&gt;="&amp;DATE(YEAR(主页!$D$2),1,1),当年实际!$C:$C,"&lt;="&amp;EOMONTH(DATE(YEAR(主页!$D$2),MONTH(主页!$D$2),1),0)),"")</f>
        <v/>
      </c>
    </row>
    <row r="1058" spans="1:10" x14ac:dyDescent="0.3">
      <c r="A1058" s="129"/>
      <c r="B1058" s="150"/>
      <c r="C1058" s="150"/>
      <c r="D1058" s="150"/>
      <c r="E1058" s="140" t="str">
        <f t="shared" si="51"/>
        <v/>
      </c>
      <c r="F1058" s="157"/>
      <c r="G1058" s="145">
        <f t="shared" si="52"/>
        <v>0</v>
      </c>
      <c r="H1058" s="140" t="str">
        <f t="shared" si="53"/>
        <v/>
      </c>
      <c r="J1058" s="147" t="str">
        <f>IFERROR(SUMIFS(当年实际!$V:$V,当年实际!$J:$J,$C1058,当年实际!$C:$C,"&gt;="&amp;DATE(YEAR(主页!$D$2),1,1),当年实际!$C:$C,"&lt;="&amp;EOMONTH(DATE(YEAR(主页!$D$2),MONTH(主页!$D$2),1),0))/SUMIFS(当年实际!$P:$P,当年实际!$J:$J,$C1058,当年实际!$C:$C,"&gt;="&amp;DATE(YEAR(主页!$D$2),1,1),当年实际!$C:$C,"&lt;="&amp;EOMONTH(DATE(YEAR(主页!$D$2),MONTH(主页!$D$2),1),0)),"")</f>
        <v/>
      </c>
    </row>
    <row r="1059" spans="1:10" x14ac:dyDescent="0.3">
      <c r="A1059" s="129"/>
      <c r="B1059" s="150"/>
      <c r="C1059" s="150"/>
      <c r="D1059" s="150"/>
      <c r="E1059" s="140" t="str">
        <f t="shared" si="51"/>
        <v/>
      </c>
      <c r="F1059" s="157"/>
      <c r="G1059" s="145">
        <f t="shared" si="52"/>
        <v>0</v>
      </c>
      <c r="H1059" s="140" t="str">
        <f t="shared" si="53"/>
        <v/>
      </c>
      <c r="J1059" s="147" t="str">
        <f>IFERROR(SUMIFS(当年实际!$V:$V,当年实际!$J:$J,$C1059,当年实际!$C:$C,"&gt;="&amp;DATE(YEAR(主页!$D$2),1,1),当年实际!$C:$C,"&lt;="&amp;EOMONTH(DATE(YEAR(主页!$D$2),MONTH(主页!$D$2),1),0))/SUMIFS(当年实际!$P:$P,当年实际!$J:$J,$C1059,当年实际!$C:$C,"&gt;="&amp;DATE(YEAR(主页!$D$2),1,1),当年实际!$C:$C,"&lt;="&amp;EOMONTH(DATE(YEAR(主页!$D$2),MONTH(主页!$D$2),1),0)),"")</f>
        <v/>
      </c>
    </row>
    <row r="1060" spans="1:10" x14ac:dyDescent="0.3">
      <c r="A1060" s="129"/>
      <c r="B1060" s="150"/>
      <c r="C1060" s="150"/>
      <c r="D1060" s="150"/>
      <c r="E1060" s="140" t="str">
        <f t="shared" si="51"/>
        <v/>
      </c>
      <c r="F1060" s="157"/>
      <c r="G1060" s="145">
        <f t="shared" si="52"/>
        <v>0</v>
      </c>
      <c r="H1060" s="140" t="str">
        <f t="shared" si="53"/>
        <v/>
      </c>
      <c r="J1060" s="147" t="str">
        <f>IFERROR(SUMIFS(当年实际!$V:$V,当年实际!$J:$J,$C1060,当年实际!$C:$C,"&gt;="&amp;DATE(YEAR(主页!$D$2),1,1),当年实际!$C:$C,"&lt;="&amp;EOMONTH(DATE(YEAR(主页!$D$2),MONTH(主页!$D$2),1),0))/SUMIFS(当年实际!$P:$P,当年实际!$J:$J,$C1060,当年实际!$C:$C,"&gt;="&amp;DATE(YEAR(主页!$D$2),1,1),当年实际!$C:$C,"&lt;="&amp;EOMONTH(DATE(YEAR(主页!$D$2),MONTH(主页!$D$2),1),0)),"")</f>
        <v/>
      </c>
    </row>
    <row r="1061" spans="1:10" x14ac:dyDescent="0.3">
      <c r="A1061" s="129"/>
      <c r="B1061" s="150"/>
      <c r="C1061" s="150"/>
      <c r="D1061" s="150"/>
      <c r="E1061" s="140" t="str">
        <f t="shared" si="51"/>
        <v/>
      </c>
      <c r="F1061" s="157"/>
      <c r="G1061" s="145">
        <f t="shared" si="52"/>
        <v>0</v>
      </c>
      <c r="H1061" s="140" t="str">
        <f t="shared" si="53"/>
        <v/>
      </c>
      <c r="J1061" s="147" t="str">
        <f>IFERROR(SUMIFS(当年实际!$V:$V,当年实际!$J:$J,$C1061,当年实际!$C:$C,"&gt;="&amp;DATE(YEAR(主页!$D$2),1,1),当年实际!$C:$C,"&lt;="&amp;EOMONTH(DATE(YEAR(主页!$D$2),MONTH(主页!$D$2),1),0))/SUMIFS(当年实际!$P:$P,当年实际!$J:$J,$C1061,当年实际!$C:$C,"&gt;="&amp;DATE(YEAR(主页!$D$2),1,1),当年实际!$C:$C,"&lt;="&amp;EOMONTH(DATE(YEAR(主页!$D$2),MONTH(主页!$D$2),1),0)),"")</f>
        <v/>
      </c>
    </row>
    <row r="1062" spans="1:10" x14ac:dyDescent="0.3">
      <c r="A1062" s="129"/>
      <c r="B1062" s="150"/>
      <c r="C1062" s="150"/>
      <c r="D1062" s="150"/>
      <c r="E1062" s="140" t="str">
        <f t="shared" si="51"/>
        <v/>
      </c>
      <c r="F1062" s="157"/>
      <c r="G1062" s="145">
        <f t="shared" si="52"/>
        <v>0</v>
      </c>
      <c r="H1062" s="140" t="str">
        <f t="shared" si="53"/>
        <v/>
      </c>
      <c r="J1062" s="147" t="str">
        <f>IFERROR(SUMIFS(当年实际!$V:$V,当年实际!$J:$J,$C1062,当年实际!$C:$C,"&gt;="&amp;DATE(YEAR(主页!$D$2),1,1),当年实际!$C:$C,"&lt;="&amp;EOMONTH(DATE(YEAR(主页!$D$2),MONTH(主页!$D$2),1),0))/SUMIFS(当年实际!$P:$P,当年实际!$J:$J,$C1062,当年实际!$C:$C,"&gt;="&amp;DATE(YEAR(主页!$D$2),1,1),当年实际!$C:$C,"&lt;="&amp;EOMONTH(DATE(YEAR(主页!$D$2),MONTH(主页!$D$2),1),0)),"")</f>
        <v/>
      </c>
    </row>
    <row r="1063" spans="1:10" x14ac:dyDescent="0.3">
      <c r="A1063" s="129"/>
      <c r="B1063" s="150"/>
      <c r="C1063" s="150"/>
      <c r="D1063" s="150"/>
      <c r="E1063" s="140" t="str">
        <f t="shared" si="51"/>
        <v/>
      </c>
      <c r="F1063" s="157"/>
      <c r="G1063" s="145">
        <f t="shared" si="52"/>
        <v>0</v>
      </c>
      <c r="H1063" s="140" t="str">
        <f t="shared" si="53"/>
        <v/>
      </c>
      <c r="J1063" s="147" t="str">
        <f>IFERROR(SUMIFS(当年实际!$V:$V,当年实际!$J:$J,$C1063,当年实际!$C:$C,"&gt;="&amp;DATE(YEAR(主页!$D$2),1,1),当年实际!$C:$C,"&lt;="&amp;EOMONTH(DATE(YEAR(主页!$D$2),MONTH(主页!$D$2),1),0))/SUMIFS(当年实际!$P:$P,当年实际!$J:$J,$C1063,当年实际!$C:$C,"&gt;="&amp;DATE(YEAR(主页!$D$2),1,1),当年实际!$C:$C,"&lt;="&amp;EOMONTH(DATE(YEAR(主页!$D$2),MONTH(主页!$D$2),1),0)),"")</f>
        <v/>
      </c>
    </row>
    <row r="1064" spans="1:10" x14ac:dyDescent="0.3">
      <c r="A1064" s="129"/>
      <c r="B1064" s="150"/>
      <c r="C1064" s="150"/>
      <c r="D1064" s="150"/>
      <c r="E1064" s="140" t="str">
        <f t="shared" si="51"/>
        <v/>
      </c>
      <c r="F1064" s="157"/>
      <c r="G1064" s="145">
        <f t="shared" si="52"/>
        <v>0</v>
      </c>
      <c r="H1064" s="140" t="str">
        <f t="shared" si="53"/>
        <v/>
      </c>
      <c r="J1064" s="147" t="str">
        <f>IFERROR(SUMIFS(当年实际!$V:$V,当年实际!$J:$J,$C1064,当年实际!$C:$C,"&gt;="&amp;DATE(YEAR(主页!$D$2),1,1),当年实际!$C:$C,"&lt;="&amp;EOMONTH(DATE(YEAR(主页!$D$2),MONTH(主页!$D$2),1),0))/SUMIFS(当年实际!$P:$P,当年实际!$J:$J,$C1064,当年实际!$C:$C,"&gt;="&amp;DATE(YEAR(主页!$D$2),1,1),当年实际!$C:$C,"&lt;="&amp;EOMONTH(DATE(YEAR(主页!$D$2),MONTH(主页!$D$2),1),0)),"")</f>
        <v/>
      </c>
    </row>
    <row r="1065" spans="1:10" x14ac:dyDescent="0.3">
      <c r="A1065" s="129"/>
      <c r="B1065" s="150"/>
      <c r="C1065" s="150"/>
      <c r="D1065" s="150"/>
      <c r="E1065" s="140" t="str">
        <f t="shared" si="51"/>
        <v/>
      </c>
      <c r="F1065" s="157"/>
      <c r="G1065" s="145">
        <f t="shared" si="52"/>
        <v>0</v>
      </c>
      <c r="H1065" s="140" t="str">
        <f t="shared" si="53"/>
        <v/>
      </c>
      <c r="J1065" s="147" t="str">
        <f>IFERROR(SUMIFS(当年实际!$V:$V,当年实际!$J:$J,$C1065,当年实际!$C:$C,"&gt;="&amp;DATE(YEAR(主页!$D$2),1,1),当年实际!$C:$C,"&lt;="&amp;EOMONTH(DATE(YEAR(主页!$D$2),MONTH(主页!$D$2),1),0))/SUMIFS(当年实际!$P:$P,当年实际!$J:$J,$C1065,当年实际!$C:$C,"&gt;="&amp;DATE(YEAR(主页!$D$2),1,1),当年实际!$C:$C,"&lt;="&amp;EOMONTH(DATE(YEAR(主页!$D$2),MONTH(主页!$D$2),1),0)),"")</f>
        <v/>
      </c>
    </row>
    <row r="1066" spans="1:10" x14ac:dyDescent="0.3">
      <c r="A1066" s="129"/>
      <c r="B1066" s="150"/>
      <c r="C1066" s="150"/>
      <c r="D1066" s="150"/>
      <c r="E1066" s="140" t="str">
        <f t="shared" si="51"/>
        <v/>
      </c>
      <c r="F1066" s="157"/>
      <c r="G1066" s="145">
        <f t="shared" si="52"/>
        <v>0</v>
      </c>
      <c r="H1066" s="140" t="str">
        <f t="shared" si="53"/>
        <v/>
      </c>
      <c r="J1066" s="147" t="str">
        <f>IFERROR(SUMIFS(当年实际!$V:$V,当年实际!$J:$J,$C1066,当年实际!$C:$C,"&gt;="&amp;DATE(YEAR(主页!$D$2),1,1),当年实际!$C:$C,"&lt;="&amp;EOMONTH(DATE(YEAR(主页!$D$2),MONTH(主页!$D$2),1),0))/SUMIFS(当年实际!$P:$P,当年实际!$J:$J,$C1066,当年实际!$C:$C,"&gt;="&amp;DATE(YEAR(主页!$D$2),1,1),当年实际!$C:$C,"&lt;="&amp;EOMONTH(DATE(YEAR(主页!$D$2),MONTH(主页!$D$2),1),0)),"")</f>
        <v/>
      </c>
    </row>
    <row r="1067" spans="1:10" x14ac:dyDescent="0.3">
      <c r="A1067" s="129"/>
      <c r="B1067" s="150"/>
      <c r="C1067" s="150"/>
      <c r="D1067" s="150"/>
      <c r="E1067" s="140" t="str">
        <f t="shared" si="51"/>
        <v/>
      </c>
      <c r="F1067" s="157"/>
      <c r="G1067" s="145">
        <f t="shared" si="52"/>
        <v>0</v>
      </c>
      <c r="H1067" s="140" t="str">
        <f t="shared" si="53"/>
        <v/>
      </c>
      <c r="J1067" s="147" t="str">
        <f>IFERROR(SUMIFS(当年实际!$V:$V,当年实际!$J:$J,$C1067,当年实际!$C:$C,"&gt;="&amp;DATE(YEAR(主页!$D$2),1,1),当年实际!$C:$C,"&lt;="&amp;EOMONTH(DATE(YEAR(主页!$D$2),MONTH(主页!$D$2),1),0))/SUMIFS(当年实际!$P:$P,当年实际!$J:$J,$C1067,当年实际!$C:$C,"&gt;="&amp;DATE(YEAR(主页!$D$2),1,1),当年实际!$C:$C,"&lt;="&amp;EOMONTH(DATE(YEAR(主页!$D$2),MONTH(主页!$D$2),1),0)),"")</f>
        <v/>
      </c>
    </row>
    <row r="1068" spans="1:10" x14ac:dyDescent="0.3">
      <c r="A1068" s="129"/>
      <c r="B1068" s="150"/>
      <c r="C1068" s="150"/>
      <c r="D1068" s="150"/>
      <c r="E1068" s="140" t="str">
        <f t="shared" si="51"/>
        <v/>
      </c>
      <c r="F1068" s="157"/>
      <c r="G1068" s="145">
        <f t="shared" si="52"/>
        <v>0</v>
      </c>
      <c r="H1068" s="140" t="str">
        <f t="shared" si="53"/>
        <v/>
      </c>
      <c r="J1068" s="147" t="str">
        <f>IFERROR(SUMIFS(当年实际!$V:$V,当年实际!$J:$J,$C1068,当年实际!$C:$C,"&gt;="&amp;DATE(YEAR(主页!$D$2),1,1),当年实际!$C:$C,"&lt;="&amp;EOMONTH(DATE(YEAR(主页!$D$2),MONTH(主页!$D$2),1),0))/SUMIFS(当年实际!$P:$P,当年实际!$J:$J,$C1068,当年实际!$C:$C,"&gt;="&amp;DATE(YEAR(主页!$D$2),1,1),当年实际!$C:$C,"&lt;="&amp;EOMONTH(DATE(YEAR(主页!$D$2),MONTH(主页!$D$2),1),0)),"")</f>
        <v/>
      </c>
    </row>
    <row r="1069" spans="1:10" x14ac:dyDescent="0.3">
      <c r="A1069" s="129"/>
      <c r="B1069" s="150"/>
      <c r="C1069" s="150"/>
      <c r="D1069" s="150"/>
      <c r="E1069" s="140" t="str">
        <f t="shared" si="51"/>
        <v/>
      </c>
      <c r="F1069" s="157"/>
      <c r="G1069" s="145">
        <f t="shared" si="52"/>
        <v>0</v>
      </c>
      <c r="H1069" s="140" t="str">
        <f t="shared" si="53"/>
        <v/>
      </c>
      <c r="J1069" s="147" t="str">
        <f>IFERROR(SUMIFS(当年实际!$V:$V,当年实际!$J:$J,$C1069,当年实际!$C:$C,"&gt;="&amp;DATE(YEAR(主页!$D$2),1,1),当年实际!$C:$C,"&lt;="&amp;EOMONTH(DATE(YEAR(主页!$D$2),MONTH(主页!$D$2),1),0))/SUMIFS(当年实际!$P:$P,当年实际!$J:$J,$C1069,当年实际!$C:$C,"&gt;="&amp;DATE(YEAR(主页!$D$2),1,1),当年实际!$C:$C,"&lt;="&amp;EOMONTH(DATE(YEAR(主页!$D$2),MONTH(主页!$D$2),1),0)),"")</f>
        <v/>
      </c>
    </row>
    <row r="1070" spans="1:10" x14ac:dyDescent="0.3">
      <c r="A1070" s="129"/>
      <c r="B1070" s="150"/>
      <c r="C1070" s="150"/>
      <c r="D1070" s="150"/>
      <c r="E1070" s="140" t="str">
        <f t="shared" si="51"/>
        <v/>
      </c>
      <c r="F1070" s="157"/>
      <c r="G1070" s="145">
        <f t="shared" si="52"/>
        <v>0</v>
      </c>
      <c r="H1070" s="140" t="str">
        <f t="shared" si="53"/>
        <v/>
      </c>
      <c r="J1070" s="147" t="str">
        <f>IFERROR(SUMIFS(当年实际!$V:$V,当年实际!$J:$J,$C1070,当年实际!$C:$C,"&gt;="&amp;DATE(YEAR(主页!$D$2),1,1),当年实际!$C:$C,"&lt;="&amp;EOMONTH(DATE(YEAR(主页!$D$2),MONTH(主页!$D$2),1),0))/SUMIFS(当年实际!$P:$P,当年实际!$J:$J,$C1070,当年实际!$C:$C,"&gt;="&amp;DATE(YEAR(主页!$D$2),1,1),当年实际!$C:$C,"&lt;="&amp;EOMONTH(DATE(YEAR(主页!$D$2),MONTH(主页!$D$2),1),0)),"")</f>
        <v/>
      </c>
    </row>
    <row r="1071" spans="1:10" x14ac:dyDescent="0.3">
      <c r="A1071" s="129"/>
      <c r="B1071" s="150"/>
      <c r="C1071" s="150"/>
      <c r="D1071" s="150"/>
      <c r="E1071" s="140" t="str">
        <f t="shared" si="51"/>
        <v/>
      </c>
      <c r="F1071" s="157"/>
      <c r="G1071" s="145">
        <f t="shared" si="52"/>
        <v>0</v>
      </c>
      <c r="H1071" s="140" t="str">
        <f t="shared" si="53"/>
        <v/>
      </c>
      <c r="J1071" s="147" t="str">
        <f>IFERROR(SUMIFS(当年实际!$V:$V,当年实际!$J:$J,$C1071,当年实际!$C:$C,"&gt;="&amp;DATE(YEAR(主页!$D$2),1,1),当年实际!$C:$C,"&lt;="&amp;EOMONTH(DATE(YEAR(主页!$D$2),MONTH(主页!$D$2),1),0))/SUMIFS(当年实际!$P:$P,当年实际!$J:$J,$C1071,当年实际!$C:$C,"&gt;="&amp;DATE(YEAR(主页!$D$2),1,1),当年实际!$C:$C,"&lt;="&amp;EOMONTH(DATE(YEAR(主页!$D$2),MONTH(主页!$D$2),1),0)),"")</f>
        <v/>
      </c>
    </row>
    <row r="1072" spans="1:10" x14ac:dyDescent="0.3">
      <c r="A1072" s="129"/>
      <c r="B1072" s="150"/>
      <c r="C1072" s="150"/>
      <c r="D1072" s="150"/>
      <c r="E1072" s="140" t="str">
        <f t="shared" si="51"/>
        <v/>
      </c>
      <c r="F1072" s="157"/>
      <c r="G1072" s="145">
        <f t="shared" si="52"/>
        <v>0</v>
      </c>
      <c r="H1072" s="140" t="str">
        <f t="shared" si="53"/>
        <v/>
      </c>
      <c r="J1072" s="147" t="str">
        <f>IFERROR(SUMIFS(当年实际!$V:$V,当年实际!$J:$J,$C1072,当年实际!$C:$C,"&gt;="&amp;DATE(YEAR(主页!$D$2),1,1),当年实际!$C:$C,"&lt;="&amp;EOMONTH(DATE(YEAR(主页!$D$2),MONTH(主页!$D$2),1),0))/SUMIFS(当年实际!$P:$P,当年实际!$J:$J,$C1072,当年实际!$C:$C,"&gt;="&amp;DATE(YEAR(主页!$D$2),1,1),当年实际!$C:$C,"&lt;="&amp;EOMONTH(DATE(YEAR(主页!$D$2),MONTH(主页!$D$2),1),0)),"")</f>
        <v/>
      </c>
    </row>
    <row r="1073" spans="1:10" x14ac:dyDescent="0.3">
      <c r="A1073" s="129"/>
      <c r="B1073" s="150"/>
      <c r="C1073" s="150"/>
      <c r="D1073" s="150"/>
      <c r="E1073" s="140" t="str">
        <f t="shared" si="51"/>
        <v/>
      </c>
      <c r="F1073" s="157"/>
      <c r="G1073" s="145">
        <f t="shared" si="52"/>
        <v>0</v>
      </c>
      <c r="H1073" s="140" t="str">
        <f t="shared" si="53"/>
        <v/>
      </c>
      <c r="J1073" s="147" t="str">
        <f>IFERROR(SUMIFS(当年实际!$V:$V,当年实际!$J:$J,$C1073,当年实际!$C:$C,"&gt;="&amp;DATE(YEAR(主页!$D$2),1,1),当年实际!$C:$C,"&lt;="&amp;EOMONTH(DATE(YEAR(主页!$D$2),MONTH(主页!$D$2),1),0))/SUMIFS(当年实际!$P:$P,当年实际!$J:$J,$C1073,当年实际!$C:$C,"&gt;="&amp;DATE(YEAR(主页!$D$2),1,1),当年实际!$C:$C,"&lt;="&amp;EOMONTH(DATE(YEAR(主页!$D$2),MONTH(主页!$D$2),1),0)),"")</f>
        <v/>
      </c>
    </row>
    <row r="1074" spans="1:10" x14ac:dyDescent="0.3">
      <c r="A1074" s="129"/>
      <c r="B1074" s="150"/>
      <c r="C1074" s="150"/>
      <c r="D1074" s="150"/>
      <c r="E1074" s="140" t="str">
        <f t="shared" si="51"/>
        <v/>
      </c>
      <c r="F1074" s="157"/>
      <c r="G1074" s="145">
        <f t="shared" si="52"/>
        <v>0</v>
      </c>
      <c r="H1074" s="140" t="str">
        <f t="shared" si="53"/>
        <v/>
      </c>
      <c r="J1074" s="147" t="str">
        <f>IFERROR(SUMIFS(当年实际!$V:$V,当年实际!$J:$J,$C1074,当年实际!$C:$C,"&gt;="&amp;DATE(YEAR(主页!$D$2),1,1),当年实际!$C:$C,"&lt;="&amp;EOMONTH(DATE(YEAR(主页!$D$2),MONTH(主页!$D$2),1),0))/SUMIFS(当年实际!$P:$P,当年实际!$J:$J,$C1074,当年实际!$C:$C,"&gt;="&amp;DATE(YEAR(主页!$D$2),1,1),当年实际!$C:$C,"&lt;="&amp;EOMONTH(DATE(YEAR(主页!$D$2),MONTH(主页!$D$2),1),0)),"")</f>
        <v/>
      </c>
    </row>
    <row r="1075" spans="1:10" x14ac:dyDescent="0.3">
      <c r="A1075" s="129"/>
      <c r="B1075" s="150"/>
      <c r="C1075" s="150"/>
      <c r="D1075" s="150"/>
      <c r="E1075" s="140" t="str">
        <f t="shared" si="51"/>
        <v/>
      </c>
      <c r="F1075" s="157"/>
      <c r="G1075" s="145">
        <f t="shared" si="52"/>
        <v>0</v>
      </c>
      <c r="H1075" s="140" t="str">
        <f t="shared" si="53"/>
        <v/>
      </c>
      <c r="J1075" s="147" t="str">
        <f>IFERROR(SUMIFS(当年实际!$V:$V,当年实际!$J:$J,$C1075,当年实际!$C:$C,"&gt;="&amp;DATE(YEAR(主页!$D$2),1,1),当年实际!$C:$C,"&lt;="&amp;EOMONTH(DATE(YEAR(主页!$D$2),MONTH(主页!$D$2),1),0))/SUMIFS(当年实际!$P:$P,当年实际!$J:$J,$C1075,当年实际!$C:$C,"&gt;="&amp;DATE(YEAR(主页!$D$2),1,1),当年实际!$C:$C,"&lt;="&amp;EOMONTH(DATE(YEAR(主页!$D$2),MONTH(主页!$D$2),1),0)),"")</f>
        <v/>
      </c>
    </row>
    <row r="1076" spans="1:10" x14ac:dyDescent="0.3">
      <c r="A1076" s="129"/>
      <c r="B1076" s="150"/>
      <c r="C1076" s="150"/>
      <c r="D1076" s="150"/>
      <c r="E1076" s="140" t="str">
        <f t="shared" si="51"/>
        <v/>
      </c>
      <c r="F1076" s="157"/>
      <c r="G1076" s="145">
        <f t="shared" si="52"/>
        <v>0</v>
      </c>
      <c r="H1076" s="140" t="str">
        <f t="shared" si="53"/>
        <v/>
      </c>
      <c r="J1076" s="147" t="str">
        <f>IFERROR(SUMIFS(当年实际!$V:$V,当年实际!$J:$J,$C1076,当年实际!$C:$C,"&gt;="&amp;DATE(YEAR(主页!$D$2),1,1),当年实际!$C:$C,"&lt;="&amp;EOMONTH(DATE(YEAR(主页!$D$2),MONTH(主页!$D$2),1),0))/SUMIFS(当年实际!$P:$P,当年实际!$J:$J,$C1076,当年实际!$C:$C,"&gt;="&amp;DATE(YEAR(主页!$D$2),1,1),当年实际!$C:$C,"&lt;="&amp;EOMONTH(DATE(YEAR(主页!$D$2),MONTH(主页!$D$2),1),0)),"")</f>
        <v/>
      </c>
    </row>
    <row r="1077" spans="1:10" x14ac:dyDescent="0.3">
      <c r="A1077" s="129"/>
      <c r="B1077" s="150"/>
      <c r="C1077" s="150"/>
      <c r="D1077" s="150"/>
      <c r="E1077" s="140" t="str">
        <f t="shared" si="51"/>
        <v/>
      </c>
      <c r="F1077" s="157"/>
      <c r="G1077" s="145">
        <f t="shared" si="52"/>
        <v>0</v>
      </c>
      <c r="H1077" s="140" t="str">
        <f t="shared" si="53"/>
        <v/>
      </c>
      <c r="J1077" s="147" t="str">
        <f>IFERROR(SUMIFS(当年实际!$V:$V,当年实际!$J:$J,$C1077,当年实际!$C:$C,"&gt;="&amp;DATE(YEAR(主页!$D$2),1,1),当年实际!$C:$C,"&lt;="&amp;EOMONTH(DATE(YEAR(主页!$D$2),MONTH(主页!$D$2),1),0))/SUMIFS(当年实际!$P:$P,当年实际!$J:$J,$C1077,当年实际!$C:$C,"&gt;="&amp;DATE(YEAR(主页!$D$2),1,1),当年实际!$C:$C,"&lt;="&amp;EOMONTH(DATE(YEAR(主页!$D$2),MONTH(主页!$D$2),1),0)),"")</f>
        <v/>
      </c>
    </row>
    <row r="1078" spans="1:10" x14ac:dyDescent="0.3">
      <c r="A1078" s="129"/>
      <c r="B1078" s="150"/>
      <c r="C1078" s="150"/>
      <c r="D1078" s="150"/>
      <c r="E1078" s="140" t="str">
        <f t="shared" si="51"/>
        <v/>
      </c>
      <c r="F1078" s="157"/>
      <c r="G1078" s="145">
        <f t="shared" si="52"/>
        <v>0</v>
      </c>
      <c r="H1078" s="140" t="str">
        <f t="shared" si="53"/>
        <v/>
      </c>
      <c r="J1078" s="147" t="str">
        <f>IFERROR(SUMIFS(当年实际!$V:$V,当年实际!$J:$J,$C1078,当年实际!$C:$C,"&gt;="&amp;DATE(YEAR(主页!$D$2),1,1),当年实际!$C:$C,"&lt;="&amp;EOMONTH(DATE(YEAR(主页!$D$2),MONTH(主页!$D$2),1),0))/SUMIFS(当年实际!$P:$P,当年实际!$J:$J,$C1078,当年实际!$C:$C,"&gt;="&amp;DATE(YEAR(主页!$D$2),1,1),当年实际!$C:$C,"&lt;="&amp;EOMONTH(DATE(YEAR(主页!$D$2),MONTH(主页!$D$2),1),0)),"")</f>
        <v/>
      </c>
    </row>
    <row r="1079" spans="1:10" x14ac:dyDescent="0.3">
      <c r="A1079" s="129"/>
      <c r="B1079" s="150"/>
      <c r="C1079" s="150"/>
      <c r="D1079" s="150"/>
      <c r="E1079" s="140" t="str">
        <f t="shared" si="51"/>
        <v/>
      </c>
      <c r="F1079" s="157"/>
      <c r="G1079" s="145">
        <f t="shared" si="52"/>
        <v>0</v>
      </c>
      <c r="H1079" s="140" t="str">
        <f t="shared" si="53"/>
        <v/>
      </c>
      <c r="J1079" s="147" t="str">
        <f>IFERROR(SUMIFS(当年实际!$V:$V,当年实际!$J:$J,$C1079,当年实际!$C:$C,"&gt;="&amp;DATE(YEAR(主页!$D$2),1,1),当年实际!$C:$C,"&lt;="&amp;EOMONTH(DATE(YEAR(主页!$D$2),MONTH(主页!$D$2),1),0))/SUMIFS(当年实际!$P:$P,当年实际!$J:$J,$C1079,当年实际!$C:$C,"&gt;="&amp;DATE(YEAR(主页!$D$2),1,1),当年实际!$C:$C,"&lt;="&amp;EOMONTH(DATE(YEAR(主页!$D$2),MONTH(主页!$D$2),1),0)),"")</f>
        <v/>
      </c>
    </row>
    <row r="1080" spans="1:10" x14ac:dyDescent="0.3">
      <c r="A1080" s="129"/>
      <c r="B1080" s="150"/>
      <c r="C1080" s="150"/>
      <c r="D1080" s="150"/>
      <c r="E1080" s="140" t="str">
        <f t="shared" si="51"/>
        <v/>
      </c>
      <c r="F1080" s="157"/>
      <c r="G1080" s="145">
        <f t="shared" si="52"/>
        <v>0</v>
      </c>
      <c r="H1080" s="140" t="str">
        <f t="shared" si="53"/>
        <v/>
      </c>
      <c r="J1080" s="147" t="str">
        <f>IFERROR(SUMIFS(当年实际!$V:$V,当年实际!$J:$J,$C1080,当年实际!$C:$C,"&gt;="&amp;DATE(YEAR(主页!$D$2),1,1),当年实际!$C:$C,"&lt;="&amp;EOMONTH(DATE(YEAR(主页!$D$2),MONTH(主页!$D$2),1),0))/SUMIFS(当年实际!$P:$P,当年实际!$J:$J,$C1080,当年实际!$C:$C,"&gt;="&amp;DATE(YEAR(主页!$D$2),1,1),当年实际!$C:$C,"&lt;="&amp;EOMONTH(DATE(YEAR(主页!$D$2),MONTH(主页!$D$2),1),0)),"")</f>
        <v/>
      </c>
    </row>
    <row r="1081" spans="1:10" x14ac:dyDescent="0.3">
      <c r="A1081" s="129"/>
      <c r="B1081" s="150"/>
      <c r="C1081" s="150"/>
      <c r="D1081" s="150"/>
      <c r="E1081" s="140" t="str">
        <f t="shared" si="51"/>
        <v/>
      </c>
      <c r="F1081" s="157"/>
      <c r="G1081" s="145">
        <f t="shared" si="52"/>
        <v>0</v>
      </c>
      <c r="H1081" s="140" t="str">
        <f t="shared" si="53"/>
        <v/>
      </c>
      <c r="J1081" s="147" t="str">
        <f>IFERROR(SUMIFS(当年实际!$V:$V,当年实际!$J:$J,$C1081,当年实际!$C:$C,"&gt;="&amp;DATE(YEAR(主页!$D$2),1,1),当年实际!$C:$C,"&lt;="&amp;EOMONTH(DATE(YEAR(主页!$D$2),MONTH(主页!$D$2),1),0))/SUMIFS(当年实际!$P:$P,当年实际!$J:$J,$C1081,当年实际!$C:$C,"&gt;="&amp;DATE(YEAR(主页!$D$2),1,1),当年实际!$C:$C,"&lt;="&amp;EOMONTH(DATE(YEAR(主页!$D$2),MONTH(主页!$D$2),1),0)),"")</f>
        <v/>
      </c>
    </row>
    <row r="1082" spans="1:10" x14ac:dyDescent="0.3">
      <c r="A1082" s="129"/>
      <c r="B1082" s="150"/>
      <c r="C1082" s="150"/>
      <c r="D1082" s="150"/>
      <c r="E1082" s="140" t="str">
        <f t="shared" si="51"/>
        <v/>
      </c>
      <c r="F1082" s="157"/>
      <c r="G1082" s="145">
        <f t="shared" si="52"/>
        <v>0</v>
      </c>
      <c r="H1082" s="140" t="str">
        <f t="shared" si="53"/>
        <v/>
      </c>
      <c r="J1082" s="147" t="str">
        <f>IFERROR(SUMIFS(当年实际!$V:$V,当年实际!$J:$J,$C1082,当年实际!$C:$C,"&gt;="&amp;DATE(YEAR(主页!$D$2),1,1),当年实际!$C:$C,"&lt;="&amp;EOMONTH(DATE(YEAR(主页!$D$2),MONTH(主页!$D$2),1),0))/SUMIFS(当年实际!$P:$P,当年实际!$J:$J,$C1082,当年实际!$C:$C,"&gt;="&amp;DATE(YEAR(主页!$D$2),1,1),当年实际!$C:$C,"&lt;="&amp;EOMONTH(DATE(YEAR(主页!$D$2),MONTH(主页!$D$2),1),0)),"")</f>
        <v/>
      </c>
    </row>
    <row r="1083" spans="1:10" x14ac:dyDescent="0.3">
      <c r="A1083" s="129"/>
      <c r="B1083" s="150"/>
      <c r="C1083" s="150"/>
      <c r="D1083" s="150"/>
      <c r="E1083" s="140" t="str">
        <f t="shared" si="51"/>
        <v/>
      </c>
      <c r="F1083" s="157"/>
      <c r="G1083" s="145">
        <f t="shared" si="52"/>
        <v>0</v>
      </c>
      <c r="H1083" s="140" t="str">
        <f t="shared" si="53"/>
        <v/>
      </c>
      <c r="J1083" s="147" t="str">
        <f>IFERROR(SUMIFS(当年实际!$V:$V,当年实际!$J:$J,$C1083,当年实际!$C:$C,"&gt;="&amp;DATE(YEAR(主页!$D$2),1,1),当年实际!$C:$C,"&lt;="&amp;EOMONTH(DATE(YEAR(主页!$D$2),MONTH(主页!$D$2),1),0))/SUMIFS(当年实际!$P:$P,当年实际!$J:$J,$C1083,当年实际!$C:$C,"&gt;="&amp;DATE(YEAR(主页!$D$2),1,1),当年实际!$C:$C,"&lt;="&amp;EOMONTH(DATE(YEAR(主页!$D$2),MONTH(主页!$D$2),1),0)),"")</f>
        <v/>
      </c>
    </row>
    <row r="1084" spans="1:10" x14ac:dyDescent="0.3">
      <c r="A1084" s="129"/>
      <c r="B1084" s="150"/>
      <c r="C1084" s="150"/>
      <c r="D1084" s="150"/>
      <c r="E1084" s="140" t="str">
        <f t="shared" si="51"/>
        <v/>
      </c>
      <c r="F1084" s="157"/>
      <c r="G1084" s="145">
        <f t="shared" si="52"/>
        <v>0</v>
      </c>
      <c r="H1084" s="140" t="str">
        <f t="shared" si="53"/>
        <v/>
      </c>
      <c r="J1084" s="147" t="str">
        <f>IFERROR(SUMIFS(当年实际!$V:$V,当年实际!$J:$J,$C1084,当年实际!$C:$C,"&gt;="&amp;DATE(YEAR(主页!$D$2),1,1),当年实际!$C:$C,"&lt;="&amp;EOMONTH(DATE(YEAR(主页!$D$2),MONTH(主页!$D$2),1),0))/SUMIFS(当年实际!$P:$P,当年实际!$J:$J,$C1084,当年实际!$C:$C,"&gt;="&amp;DATE(YEAR(主页!$D$2),1,1),当年实际!$C:$C,"&lt;="&amp;EOMONTH(DATE(YEAR(主页!$D$2),MONTH(主页!$D$2),1),0)),"")</f>
        <v/>
      </c>
    </row>
    <row r="1085" spans="1:10" x14ac:dyDescent="0.3">
      <c r="A1085" s="129"/>
      <c r="B1085" s="150"/>
      <c r="C1085" s="150"/>
      <c r="D1085" s="150"/>
      <c r="E1085" s="140" t="str">
        <f t="shared" si="51"/>
        <v/>
      </c>
      <c r="F1085" s="157"/>
      <c r="G1085" s="145">
        <f t="shared" si="52"/>
        <v>0</v>
      </c>
      <c r="H1085" s="140" t="str">
        <f t="shared" si="53"/>
        <v/>
      </c>
      <c r="J1085" s="147" t="str">
        <f>IFERROR(SUMIFS(当年实际!$V:$V,当年实际!$J:$J,$C1085,当年实际!$C:$C,"&gt;="&amp;DATE(YEAR(主页!$D$2),1,1),当年实际!$C:$C,"&lt;="&amp;EOMONTH(DATE(YEAR(主页!$D$2),MONTH(主页!$D$2),1),0))/SUMIFS(当年实际!$P:$P,当年实际!$J:$J,$C1085,当年实际!$C:$C,"&gt;="&amp;DATE(YEAR(主页!$D$2),1,1),当年实际!$C:$C,"&lt;="&amp;EOMONTH(DATE(YEAR(主页!$D$2),MONTH(主页!$D$2),1),0)),"")</f>
        <v/>
      </c>
    </row>
    <row r="1086" spans="1:10" x14ac:dyDescent="0.3">
      <c r="A1086" s="129"/>
      <c r="B1086" s="150"/>
      <c r="C1086" s="150"/>
      <c r="D1086" s="150"/>
      <c r="E1086" s="140" t="str">
        <f t="shared" si="51"/>
        <v/>
      </c>
      <c r="F1086" s="157"/>
      <c r="G1086" s="145">
        <f t="shared" si="52"/>
        <v>0</v>
      </c>
      <c r="H1086" s="140" t="str">
        <f t="shared" si="53"/>
        <v/>
      </c>
      <c r="J1086" s="147" t="str">
        <f>IFERROR(SUMIFS(当年实际!$V:$V,当年实际!$J:$J,$C1086,当年实际!$C:$C,"&gt;="&amp;DATE(YEAR(主页!$D$2),1,1),当年实际!$C:$C,"&lt;="&amp;EOMONTH(DATE(YEAR(主页!$D$2),MONTH(主页!$D$2),1),0))/SUMIFS(当年实际!$P:$P,当年实际!$J:$J,$C1086,当年实际!$C:$C,"&gt;="&amp;DATE(YEAR(主页!$D$2),1,1),当年实际!$C:$C,"&lt;="&amp;EOMONTH(DATE(YEAR(主页!$D$2),MONTH(主页!$D$2),1),0)),"")</f>
        <v/>
      </c>
    </row>
    <row r="1087" spans="1:10" x14ac:dyDescent="0.3">
      <c r="A1087" s="129"/>
      <c r="B1087" s="150"/>
      <c r="C1087" s="150"/>
      <c r="D1087" s="150"/>
      <c r="E1087" s="140" t="str">
        <f t="shared" si="51"/>
        <v/>
      </c>
      <c r="F1087" s="157"/>
      <c r="G1087" s="145">
        <f t="shared" si="52"/>
        <v>0</v>
      </c>
      <c r="H1087" s="140" t="str">
        <f t="shared" si="53"/>
        <v/>
      </c>
      <c r="J1087" s="147" t="str">
        <f>IFERROR(SUMIFS(当年实际!$V:$V,当年实际!$J:$J,$C1087,当年实际!$C:$C,"&gt;="&amp;DATE(YEAR(主页!$D$2),1,1),当年实际!$C:$C,"&lt;="&amp;EOMONTH(DATE(YEAR(主页!$D$2),MONTH(主页!$D$2),1),0))/SUMIFS(当年实际!$P:$P,当年实际!$J:$J,$C1087,当年实际!$C:$C,"&gt;="&amp;DATE(YEAR(主页!$D$2),1,1),当年实际!$C:$C,"&lt;="&amp;EOMONTH(DATE(YEAR(主页!$D$2),MONTH(主页!$D$2),1),0)),"")</f>
        <v/>
      </c>
    </row>
    <row r="1088" spans="1:10" x14ac:dyDescent="0.3">
      <c r="A1088" s="129"/>
      <c r="B1088" s="150"/>
      <c r="C1088" s="150"/>
      <c r="D1088" s="150"/>
      <c r="E1088" s="140" t="str">
        <f t="shared" si="51"/>
        <v/>
      </c>
      <c r="F1088" s="157"/>
      <c r="G1088" s="145">
        <f t="shared" si="52"/>
        <v>0</v>
      </c>
      <c r="H1088" s="140" t="str">
        <f t="shared" si="53"/>
        <v/>
      </c>
      <c r="J1088" s="147" t="str">
        <f>IFERROR(SUMIFS(当年实际!$V:$V,当年实际!$J:$J,$C1088,当年实际!$C:$C,"&gt;="&amp;DATE(YEAR(主页!$D$2),1,1),当年实际!$C:$C,"&lt;="&amp;EOMONTH(DATE(YEAR(主页!$D$2),MONTH(主页!$D$2),1),0))/SUMIFS(当年实际!$P:$P,当年实际!$J:$J,$C1088,当年实际!$C:$C,"&gt;="&amp;DATE(YEAR(主页!$D$2),1,1),当年实际!$C:$C,"&lt;="&amp;EOMONTH(DATE(YEAR(主页!$D$2),MONTH(主页!$D$2),1),0)),"")</f>
        <v/>
      </c>
    </row>
    <row r="1089" spans="1:10" x14ac:dyDescent="0.3">
      <c r="A1089" s="129"/>
      <c r="B1089" s="150"/>
      <c r="C1089" s="150"/>
      <c r="D1089" s="150"/>
      <c r="E1089" s="140" t="str">
        <f t="shared" si="51"/>
        <v/>
      </c>
      <c r="F1089" s="157"/>
      <c r="G1089" s="145">
        <f t="shared" si="52"/>
        <v>0</v>
      </c>
      <c r="H1089" s="140" t="str">
        <f t="shared" si="53"/>
        <v/>
      </c>
      <c r="J1089" s="147" t="str">
        <f>IFERROR(SUMIFS(当年实际!$V:$V,当年实际!$J:$J,$C1089,当年实际!$C:$C,"&gt;="&amp;DATE(YEAR(主页!$D$2),1,1),当年实际!$C:$C,"&lt;="&amp;EOMONTH(DATE(YEAR(主页!$D$2),MONTH(主页!$D$2),1),0))/SUMIFS(当年实际!$P:$P,当年实际!$J:$J,$C1089,当年实际!$C:$C,"&gt;="&amp;DATE(YEAR(主页!$D$2),1,1),当年实际!$C:$C,"&lt;="&amp;EOMONTH(DATE(YEAR(主页!$D$2),MONTH(主页!$D$2),1),0)),"")</f>
        <v/>
      </c>
    </row>
    <row r="1090" spans="1:10" x14ac:dyDescent="0.3">
      <c r="A1090" s="129"/>
      <c r="B1090" s="150"/>
      <c r="C1090" s="150"/>
      <c r="D1090" s="150"/>
      <c r="E1090" s="140" t="str">
        <f t="shared" si="51"/>
        <v/>
      </c>
      <c r="F1090" s="157"/>
      <c r="G1090" s="145">
        <f t="shared" si="52"/>
        <v>0</v>
      </c>
      <c r="H1090" s="140" t="str">
        <f t="shared" si="53"/>
        <v/>
      </c>
      <c r="J1090" s="147" t="str">
        <f>IFERROR(SUMIFS(当年实际!$V:$V,当年实际!$J:$J,$C1090,当年实际!$C:$C,"&gt;="&amp;DATE(YEAR(主页!$D$2),1,1),当年实际!$C:$C,"&lt;="&amp;EOMONTH(DATE(YEAR(主页!$D$2),MONTH(主页!$D$2),1),0))/SUMIFS(当年实际!$P:$P,当年实际!$J:$J,$C1090,当年实际!$C:$C,"&gt;="&amp;DATE(YEAR(主页!$D$2),1,1),当年实际!$C:$C,"&lt;="&amp;EOMONTH(DATE(YEAR(主页!$D$2),MONTH(主页!$D$2),1),0)),"")</f>
        <v/>
      </c>
    </row>
    <row r="1091" spans="1:10" x14ac:dyDescent="0.3">
      <c r="A1091" s="129"/>
      <c r="B1091" s="150"/>
      <c r="C1091" s="150"/>
      <c r="D1091" s="150"/>
      <c r="E1091" s="140" t="str">
        <f t="shared" si="51"/>
        <v/>
      </c>
      <c r="F1091" s="157"/>
      <c r="G1091" s="145">
        <f t="shared" si="52"/>
        <v>0</v>
      </c>
      <c r="H1091" s="140" t="str">
        <f t="shared" si="53"/>
        <v/>
      </c>
      <c r="J1091" s="147" t="str">
        <f>IFERROR(SUMIFS(当年实际!$V:$V,当年实际!$J:$J,$C1091,当年实际!$C:$C,"&gt;="&amp;DATE(YEAR(主页!$D$2),1,1),当年实际!$C:$C,"&lt;="&amp;EOMONTH(DATE(YEAR(主页!$D$2),MONTH(主页!$D$2),1),0))/SUMIFS(当年实际!$P:$P,当年实际!$J:$J,$C1091,当年实际!$C:$C,"&gt;="&amp;DATE(YEAR(主页!$D$2),1,1),当年实际!$C:$C,"&lt;="&amp;EOMONTH(DATE(YEAR(主页!$D$2),MONTH(主页!$D$2),1),0)),"")</f>
        <v/>
      </c>
    </row>
    <row r="1092" spans="1:10" x14ac:dyDescent="0.3">
      <c r="A1092" s="129"/>
      <c r="B1092" s="150"/>
      <c r="C1092" s="150"/>
      <c r="D1092" s="150"/>
      <c r="E1092" s="140" t="str">
        <f t="shared" ref="E1092:E1155" si="54">IF(D1092/SUM(D:D)=0,"",D1092/SUM(D:D))</f>
        <v/>
      </c>
      <c r="F1092" s="157"/>
      <c r="G1092" s="145">
        <f t="shared" si="52"/>
        <v>0</v>
      </c>
      <c r="H1092" s="140" t="str">
        <f t="shared" si="53"/>
        <v/>
      </c>
      <c r="J1092" s="147" t="str">
        <f>IFERROR(SUMIFS(当年实际!$V:$V,当年实际!$J:$J,$C1092,当年实际!$C:$C,"&gt;="&amp;DATE(YEAR(主页!$D$2),1,1),当年实际!$C:$C,"&lt;="&amp;EOMONTH(DATE(YEAR(主页!$D$2),MONTH(主页!$D$2),1),0))/SUMIFS(当年实际!$P:$P,当年实际!$J:$J,$C1092,当年实际!$C:$C,"&gt;="&amp;DATE(YEAR(主页!$D$2),1,1),当年实际!$C:$C,"&lt;="&amp;EOMONTH(DATE(YEAR(主页!$D$2),MONTH(主页!$D$2),1),0)),"")</f>
        <v/>
      </c>
    </row>
    <row r="1093" spans="1:10" x14ac:dyDescent="0.3">
      <c r="A1093" s="129"/>
      <c r="B1093" s="150"/>
      <c r="C1093" s="150"/>
      <c r="D1093" s="150"/>
      <c r="E1093" s="140" t="str">
        <f t="shared" si="54"/>
        <v/>
      </c>
      <c r="F1093" s="157"/>
      <c r="G1093" s="145">
        <f t="shared" si="52"/>
        <v>0</v>
      </c>
      <c r="H1093" s="140" t="str">
        <f t="shared" si="53"/>
        <v/>
      </c>
      <c r="J1093" s="147" t="str">
        <f>IFERROR(SUMIFS(当年实际!$V:$V,当年实际!$J:$J,$C1093,当年实际!$C:$C,"&gt;="&amp;DATE(YEAR(主页!$D$2),1,1),当年实际!$C:$C,"&lt;="&amp;EOMONTH(DATE(YEAR(主页!$D$2),MONTH(主页!$D$2),1),0))/SUMIFS(当年实际!$P:$P,当年实际!$J:$J,$C1093,当年实际!$C:$C,"&gt;="&amp;DATE(YEAR(主页!$D$2),1,1),当年实际!$C:$C,"&lt;="&amp;EOMONTH(DATE(YEAR(主页!$D$2),MONTH(主页!$D$2),1),0)),"")</f>
        <v/>
      </c>
    </row>
    <row r="1094" spans="1:10" x14ac:dyDescent="0.3">
      <c r="A1094" s="129"/>
      <c r="B1094" s="150"/>
      <c r="C1094" s="150"/>
      <c r="D1094" s="150"/>
      <c r="E1094" s="140" t="str">
        <f t="shared" si="54"/>
        <v/>
      </c>
      <c r="F1094" s="157"/>
      <c r="G1094" s="145">
        <f t="shared" si="52"/>
        <v>0</v>
      </c>
      <c r="H1094" s="140" t="str">
        <f t="shared" si="53"/>
        <v/>
      </c>
      <c r="J1094" s="147" t="str">
        <f>IFERROR(SUMIFS(当年实际!$V:$V,当年实际!$J:$J,$C1094,当年实际!$C:$C,"&gt;="&amp;DATE(YEAR(主页!$D$2),1,1),当年实际!$C:$C,"&lt;="&amp;EOMONTH(DATE(YEAR(主页!$D$2),MONTH(主页!$D$2),1),0))/SUMIFS(当年实际!$P:$P,当年实际!$J:$J,$C1094,当年实际!$C:$C,"&gt;="&amp;DATE(YEAR(主页!$D$2),1,1),当年实际!$C:$C,"&lt;="&amp;EOMONTH(DATE(YEAR(主页!$D$2),MONTH(主页!$D$2),1),0)),"")</f>
        <v/>
      </c>
    </row>
    <row r="1095" spans="1:10" x14ac:dyDescent="0.3">
      <c r="A1095" s="129"/>
      <c r="B1095" s="150"/>
      <c r="C1095" s="150"/>
      <c r="D1095" s="150"/>
      <c r="E1095" s="140" t="str">
        <f t="shared" si="54"/>
        <v/>
      </c>
      <c r="F1095" s="157"/>
      <c r="G1095" s="145">
        <f t="shared" si="52"/>
        <v>0</v>
      </c>
      <c r="H1095" s="140" t="str">
        <f t="shared" si="53"/>
        <v/>
      </c>
      <c r="J1095" s="147" t="str">
        <f>IFERROR(SUMIFS(当年实际!$V:$V,当年实际!$J:$J,$C1095,当年实际!$C:$C,"&gt;="&amp;DATE(YEAR(主页!$D$2),1,1),当年实际!$C:$C,"&lt;="&amp;EOMONTH(DATE(YEAR(主页!$D$2),MONTH(主页!$D$2),1),0))/SUMIFS(当年实际!$P:$P,当年实际!$J:$J,$C1095,当年实际!$C:$C,"&gt;="&amp;DATE(YEAR(主页!$D$2),1,1),当年实际!$C:$C,"&lt;="&amp;EOMONTH(DATE(YEAR(主页!$D$2),MONTH(主页!$D$2),1),0)),"")</f>
        <v/>
      </c>
    </row>
    <row r="1096" spans="1:10" x14ac:dyDescent="0.3">
      <c r="A1096" s="129"/>
      <c r="B1096" s="150"/>
      <c r="C1096" s="150"/>
      <c r="D1096" s="150"/>
      <c r="E1096" s="140" t="str">
        <f t="shared" si="54"/>
        <v/>
      </c>
      <c r="F1096" s="157"/>
      <c r="G1096" s="145">
        <f t="shared" si="52"/>
        <v>0</v>
      </c>
      <c r="H1096" s="140" t="str">
        <f t="shared" si="53"/>
        <v/>
      </c>
      <c r="J1096" s="147" t="str">
        <f>IFERROR(SUMIFS(当年实际!$V:$V,当年实际!$J:$J,$C1096,当年实际!$C:$C,"&gt;="&amp;DATE(YEAR(主页!$D$2),1,1),当年实际!$C:$C,"&lt;="&amp;EOMONTH(DATE(YEAR(主页!$D$2),MONTH(主页!$D$2),1),0))/SUMIFS(当年实际!$P:$P,当年实际!$J:$J,$C1096,当年实际!$C:$C,"&gt;="&amp;DATE(YEAR(主页!$D$2),1,1),当年实际!$C:$C,"&lt;="&amp;EOMONTH(DATE(YEAR(主页!$D$2),MONTH(主页!$D$2),1),0)),"")</f>
        <v/>
      </c>
    </row>
    <row r="1097" spans="1:10" x14ac:dyDescent="0.3">
      <c r="A1097" s="129"/>
      <c r="B1097" s="150"/>
      <c r="C1097" s="150"/>
      <c r="D1097" s="150"/>
      <c r="E1097" s="140" t="str">
        <f t="shared" si="54"/>
        <v/>
      </c>
      <c r="F1097" s="157"/>
      <c r="G1097" s="145">
        <f t="shared" si="52"/>
        <v>0</v>
      </c>
      <c r="H1097" s="140" t="str">
        <f t="shared" si="53"/>
        <v/>
      </c>
      <c r="J1097" s="147" t="str">
        <f>IFERROR(SUMIFS(当年实际!$V:$V,当年实际!$J:$J,$C1097,当年实际!$C:$C,"&gt;="&amp;DATE(YEAR(主页!$D$2),1,1),当年实际!$C:$C,"&lt;="&amp;EOMONTH(DATE(YEAR(主页!$D$2),MONTH(主页!$D$2),1),0))/SUMIFS(当年实际!$P:$P,当年实际!$J:$J,$C1097,当年实际!$C:$C,"&gt;="&amp;DATE(YEAR(主页!$D$2),1,1),当年实际!$C:$C,"&lt;="&amp;EOMONTH(DATE(YEAR(主页!$D$2),MONTH(主页!$D$2),1),0)),"")</f>
        <v/>
      </c>
    </row>
    <row r="1098" spans="1:10" x14ac:dyDescent="0.3">
      <c r="A1098" s="129"/>
      <c r="B1098" s="150"/>
      <c r="C1098" s="150"/>
      <c r="D1098" s="150"/>
      <c r="E1098" s="140" t="str">
        <f t="shared" si="54"/>
        <v/>
      </c>
      <c r="F1098" s="157"/>
      <c r="G1098" s="145">
        <f t="shared" si="52"/>
        <v>0</v>
      </c>
      <c r="H1098" s="140" t="str">
        <f t="shared" si="53"/>
        <v/>
      </c>
      <c r="J1098" s="147" t="str">
        <f>IFERROR(SUMIFS(当年实际!$V:$V,当年实际!$J:$J,$C1098,当年实际!$C:$C,"&gt;="&amp;DATE(YEAR(主页!$D$2),1,1),当年实际!$C:$C,"&lt;="&amp;EOMONTH(DATE(YEAR(主页!$D$2),MONTH(主页!$D$2),1),0))/SUMIFS(当年实际!$P:$P,当年实际!$J:$J,$C1098,当年实际!$C:$C,"&gt;="&amp;DATE(YEAR(主页!$D$2),1,1),当年实际!$C:$C,"&lt;="&amp;EOMONTH(DATE(YEAR(主页!$D$2),MONTH(主页!$D$2),1),0)),"")</f>
        <v/>
      </c>
    </row>
    <row r="1099" spans="1:10" x14ac:dyDescent="0.3">
      <c r="A1099" s="129"/>
      <c r="B1099" s="150"/>
      <c r="C1099" s="150"/>
      <c r="D1099" s="150"/>
      <c r="E1099" s="140" t="str">
        <f t="shared" si="54"/>
        <v/>
      </c>
      <c r="F1099" s="157"/>
      <c r="G1099" s="145">
        <f t="shared" si="52"/>
        <v>0</v>
      </c>
      <c r="H1099" s="140" t="str">
        <f t="shared" si="53"/>
        <v/>
      </c>
      <c r="J1099" s="147" t="str">
        <f>IFERROR(SUMIFS(当年实际!$V:$V,当年实际!$J:$J,$C1099,当年实际!$C:$C,"&gt;="&amp;DATE(YEAR(主页!$D$2),1,1),当年实际!$C:$C,"&lt;="&amp;EOMONTH(DATE(YEAR(主页!$D$2),MONTH(主页!$D$2),1),0))/SUMIFS(当年实际!$P:$P,当年实际!$J:$J,$C1099,当年实际!$C:$C,"&gt;="&amp;DATE(YEAR(主页!$D$2),1,1),当年实际!$C:$C,"&lt;="&amp;EOMONTH(DATE(YEAR(主页!$D$2),MONTH(主页!$D$2),1),0)),"")</f>
        <v/>
      </c>
    </row>
    <row r="1100" spans="1:10" x14ac:dyDescent="0.3">
      <c r="A1100" s="129"/>
      <c r="B1100" s="150"/>
      <c r="C1100" s="150"/>
      <c r="D1100" s="150"/>
      <c r="E1100" s="140" t="str">
        <f t="shared" si="54"/>
        <v/>
      </c>
      <c r="F1100" s="157"/>
      <c r="G1100" s="145">
        <f t="shared" si="52"/>
        <v>0</v>
      </c>
      <c r="H1100" s="140" t="str">
        <f t="shared" si="53"/>
        <v/>
      </c>
      <c r="J1100" s="147" t="str">
        <f>IFERROR(SUMIFS(当年实际!$V:$V,当年实际!$J:$J,$C1100,当年实际!$C:$C,"&gt;="&amp;DATE(YEAR(主页!$D$2),1,1),当年实际!$C:$C,"&lt;="&amp;EOMONTH(DATE(YEAR(主页!$D$2),MONTH(主页!$D$2),1),0))/SUMIFS(当年实际!$P:$P,当年实际!$J:$J,$C1100,当年实际!$C:$C,"&gt;="&amp;DATE(YEAR(主页!$D$2),1,1),当年实际!$C:$C,"&lt;="&amp;EOMONTH(DATE(YEAR(主页!$D$2),MONTH(主页!$D$2),1),0)),"")</f>
        <v/>
      </c>
    </row>
    <row r="1101" spans="1:10" x14ac:dyDescent="0.3">
      <c r="A1101" s="129"/>
      <c r="B1101" s="150"/>
      <c r="C1101" s="150"/>
      <c r="D1101" s="150"/>
      <c r="E1101" s="140" t="str">
        <f t="shared" si="54"/>
        <v/>
      </c>
      <c r="F1101" s="157"/>
      <c r="G1101" s="145">
        <f t="shared" si="52"/>
        <v>0</v>
      </c>
      <c r="H1101" s="140" t="str">
        <f t="shared" si="53"/>
        <v/>
      </c>
      <c r="J1101" s="147" t="str">
        <f>IFERROR(SUMIFS(当年实际!$V:$V,当年实际!$J:$J,$C1101,当年实际!$C:$C,"&gt;="&amp;DATE(YEAR(主页!$D$2),1,1),当年实际!$C:$C,"&lt;="&amp;EOMONTH(DATE(YEAR(主页!$D$2),MONTH(主页!$D$2),1),0))/SUMIFS(当年实际!$P:$P,当年实际!$J:$J,$C1101,当年实际!$C:$C,"&gt;="&amp;DATE(YEAR(主页!$D$2),1,1),当年实际!$C:$C,"&lt;="&amp;EOMONTH(DATE(YEAR(主页!$D$2),MONTH(主页!$D$2),1),0)),"")</f>
        <v/>
      </c>
    </row>
    <row r="1102" spans="1:10" x14ac:dyDescent="0.3">
      <c r="A1102" s="129"/>
      <c r="B1102" s="150"/>
      <c r="C1102" s="150"/>
      <c r="D1102" s="150"/>
      <c r="E1102" s="140" t="str">
        <f t="shared" si="54"/>
        <v/>
      </c>
      <c r="F1102" s="157"/>
      <c r="G1102" s="145">
        <f t="shared" si="52"/>
        <v>0</v>
      </c>
      <c r="H1102" s="140" t="str">
        <f t="shared" si="53"/>
        <v/>
      </c>
      <c r="J1102" s="147" t="str">
        <f>IFERROR(SUMIFS(当年实际!$V:$V,当年实际!$J:$J,$C1102,当年实际!$C:$C,"&gt;="&amp;DATE(YEAR(主页!$D$2),1,1),当年实际!$C:$C,"&lt;="&amp;EOMONTH(DATE(YEAR(主页!$D$2),MONTH(主页!$D$2),1),0))/SUMIFS(当年实际!$P:$P,当年实际!$J:$J,$C1102,当年实际!$C:$C,"&gt;="&amp;DATE(YEAR(主页!$D$2),1,1),当年实际!$C:$C,"&lt;="&amp;EOMONTH(DATE(YEAR(主页!$D$2),MONTH(主页!$D$2),1),0)),"")</f>
        <v/>
      </c>
    </row>
    <row r="1103" spans="1:10" x14ac:dyDescent="0.3">
      <c r="A1103" s="129"/>
      <c r="B1103" s="150"/>
      <c r="C1103" s="150"/>
      <c r="D1103" s="150"/>
      <c r="E1103" s="140" t="str">
        <f t="shared" si="54"/>
        <v/>
      </c>
      <c r="F1103" s="157"/>
      <c r="G1103" s="145">
        <f t="shared" si="52"/>
        <v>0</v>
      </c>
      <c r="H1103" s="140" t="str">
        <f t="shared" si="53"/>
        <v/>
      </c>
      <c r="J1103" s="147" t="str">
        <f>IFERROR(SUMIFS(当年实际!$V:$V,当年实际!$J:$J,$C1103,当年实际!$C:$C,"&gt;="&amp;DATE(YEAR(主页!$D$2),1,1),当年实际!$C:$C,"&lt;="&amp;EOMONTH(DATE(YEAR(主页!$D$2),MONTH(主页!$D$2),1),0))/SUMIFS(当年实际!$P:$P,当年实际!$J:$J,$C1103,当年实际!$C:$C,"&gt;="&amp;DATE(YEAR(主页!$D$2),1,1),当年实际!$C:$C,"&lt;="&amp;EOMONTH(DATE(YEAR(主页!$D$2),MONTH(主页!$D$2),1),0)),"")</f>
        <v/>
      </c>
    </row>
    <row r="1104" spans="1:10" x14ac:dyDescent="0.3">
      <c r="A1104" s="129"/>
      <c r="B1104" s="150"/>
      <c r="C1104" s="150"/>
      <c r="D1104" s="150"/>
      <c r="E1104" s="140" t="str">
        <f t="shared" si="54"/>
        <v/>
      </c>
      <c r="F1104" s="157"/>
      <c r="G1104" s="145">
        <f t="shared" si="52"/>
        <v>0</v>
      </c>
      <c r="H1104" s="140" t="str">
        <f t="shared" si="53"/>
        <v/>
      </c>
      <c r="J1104" s="147" t="str">
        <f>IFERROR(SUMIFS(当年实际!$V:$V,当年实际!$J:$J,$C1104,当年实际!$C:$C,"&gt;="&amp;DATE(YEAR(主页!$D$2),1,1),当年实际!$C:$C,"&lt;="&amp;EOMONTH(DATE(YEAR(主页!$D$2),MONTH(主页!$D$2),1),0))/SUMIFS(当年实际!$P:$P,当年实际!$J:$J,$C1104,当年实际!$C:$C,"&gt;="&amp;DATE(YEAR(主页!$D$2),1,1),当年实际!$C:$C,"&lt;="&amp;EOMONTH(DATE(YEAR(主页!$D$2),MONTH(主页!$D$2),1),0)),"")</f>
        <v/>
      </c>
    </row>
    <row r="1105" spans="1:10" x14ac:dyDescent="0.3">
      <c r="A1105" s="129"/>
      <c r="B1105" s="150"/>
      <c r="C1105" s="150"/>
      <c r="D1105" s="150"/>
      <c r="E1105" s="140" t="str">
        <f t="shared" si="54"/>
        <v/>
      </c>
      <c r="F1105" s="157"/>
      <c r="G1105" s="145">
        <f t="shared" si="52"/>
        <v>0</v>
      </c>
      <c r="H1105" s="140" t="str">
        <f t="shared" si="53"/>
        <v/>
      </c>
      <c r="J1105" s="147" t="str">
        <f>IFERROR(SUMIFS(当年实际!$V:$V,当年实际!$J:$J,$C1105,当年实际!$C:$C,"&gt;="&amp;DATE(YEAR(主页!$D$2),1,1),当年实际!$C:$C,"&lt;="&amp;EOMONTH(DATE(YEAR(主页!$D$2),MONTH(主页!$D$2),1),0))/SUMIFS(当年实际!$P:$P,当年实际!$J:$J,$C1105,当年实际!$C:$C,"&gt;="&amp;DATE(YEAR(主页!$D$2),1,1),当年实际!$C:$C,"&lt;="&amp;EOMONTH(DATE(YEAR(主页!$D$2),MONTH(主页!$D$2),1),0)),"")</f>
        <v/>
      </c>
    </row>
    <row r="1106" spans="1:10" x14ac:dyDescent="0.3">
      <c r="A1106" s="129"/>
      <c r="B1106" s="150"/>
      <c r="C1106" s="150"/>
      <c r="D1106" s="150"/>
      <c r="E1106" s="140" t="str">
        <f t="shared" si="54"/>
        <v/>
      </c>
      <c r="F1106" s="157"/>
      <c r="G1106" s="145">
        <f t="shared" si="52"/>
        <v>0</v>
      </c>
      <c r="H1106" s="140" t="str">
        <f t="shared" si="53"/>
        <v/>
      </c>
      <c r="J1106" s="147" t="str">
        <f>IFERROR(SUMIFS(当年实际!$V:$V,当年实际!$J:$J,$C1106,当年实际!$C:$C,"&gt;="&amp;DATE(YEAR(主页!$D$2),1,1),当年实际!$C:$C,"&lt;="&amp;EOMONTH(DATE(YEAR(主页!$D$2),MONTH(主页!$D$2),1),0))/SUMIFS(当年实际!$P:$P,当年实际!$J:$J,$C1106,当年实际!$C:$C,"&gt;="&amp;DATE(YEAR(主页!$D$2),1,1),当年实际!$C:$C,"&lt;="&amp;EOMONTH(DATE(YEAR(主页!$D$2),MONTH(主页!$D$2),1),0)),"")</f>
        <v/>
      </c>
    </row>
    <row r="1107" spans="1:10" x14ac:dyDescent="0.3">
      <c r="A1107" s="129"/>
      <c r="B1107" s="150"/>
      <c r="C1107" s="150"/>
      <c r="D1107" s="150"/>
      <c r="E1107" s="140" t="str">
        <f t="shared" si="54"/>
        <v/>
      </c>
      <c r="F1107" s="157"/>
      <c r="G1107" s="145">
        <f t="shared" si="52"/>
        <v>0</v>
      </c>
      <c r="H1107" s="140" t="str">
        <f t="shared" si="53"/>
        <v/>
      </c>
      <c r="J1107" s="147" t="str">
        <f>IFERROR(SUMIFS(当年实际!$V:$V,当年实际!$J:$J,$C1107,当年实际!$C:$C,"&gt;="&amp;DATE(YEAR(主页!$D$2),1,1),当年实际!$C:$C,"&lt;="&amp;EOMONTH(DATE(YEAR(主页!$D$2),MONTH(主页!$D$2),1),0))/SUMIFS(当年实际!$P:$P,当年实际!$J:$J,$C1107,当年实际!$C:$C,"&gt;="&amp;DATE(YEAR(主页!$D$2),1,1),当年实际!$C:$C,"&lt;="&amp;EOMONTH(DATE(YEAR(主页!$D$2),MONTH(主页!$D$2),1),0)),"")</f>
        <v/>
      </c>
    </row>
    <row r="1108" spans="1:10" x14ac:dyDescent="0.3">
      <c r="A1108" s="129"/>
      <c r="B1108" s="150"/>
      <c r="C1108" s="150"/>
      <c r="D1108" s="150"/>
      <c r="E1108" s="140" t="str">
        <f t="shared" si="54"/>
        <v/>
      </c>
      <c r="F1108" s="157"/>
      <c r="G1108" s="145">
        <f t="shared" si="52"/>
        <v>0</v>
      </c>
      <c r="H1108" s="140" t="str">
        <f t="shared" si="53"/>
        <v/>
      </c>
      <c r="J1108" s="147" t="str">
        <f>IFERROR(SUMIFS(当年实际!$V:$V,当年实际!$J:$J,$C1108,当年实际!$C:$C,"&gt;="&amp;DATE(YEAR(主页!$D$2),1,1),当年实际!$C:$C,"&lt;="&amp;EOMONTH(DATE(YEAR(主页!$D$2),MONTH(主页!$D$2),1),0))/SUMIFS(当年实际!$P:$P,当年实际!$J:$J,$C1108,当年实际!$C:$C,"&gt;="&amp;DATE(YEAR(主页!$D$2),1,1),当年实际!$C:$C,"&lt;="&amp;EOMONTH(DATE(YEAR(主页!$D$2),MONTH(主页!$D$2),1),0)),"")</f>
        <v/>
      </c>
    </row>
    <row r="1109" spans="1:10" x14ac:dyDescent="0.3">
      <c r="A1109" s="129"/>
      <c r="B1109" s="150"/>
      <c r="C1109" s="150"/>
      <c r="D1109" s="150"/>
      <c r="E1109" s="140" t="str">
        <f t="shared" si="54"/>
        <v/>
      </c>
      <c r="F1109" s="157"/>
      <c r="G1109" s="145">
        <f t="shared" si="52"/>
        <v>0</v>
      </c>
      <c r="H1109" s="140" t="str">
        <f t="shared" si="53"/>
        <v/>
      </c>
      <c r="J1109" s="147" t="str">
        <f>IFERROR(SUMIFS(当年实际!$V:$V,当年实际!$J:$J,$C1109,当年实际!$C:$C,"&gt;="&amp;DATE(YEAR(主页!$D$2),1,1),当年实际!$C:$C,"&lt;="&amp;EOMONTH(DATE(YEAR(主页!$D$2),MONTH(主页!$D$2),1),0))/SUMIFS(当年实际!$P:$P,当年实际!$J:$J,$C1109,当年实际!$C:$C,"&gt;="&amp;DATE(YEAR(主页!$D$2),1,1),当年实际!$C:$C,"&lt;="&amp;EOMONTH(DATE(YEAR(主页!$D$2),MONTH(主页!$D$2),1),0)),"")</f>
        <v/>
      </c>
    </row>
    <row r="1110" spans="1:10" x14ac:dyDescent="0.3">
      <c r="A1110" s="129"/>
      <c r="B1110" s="150"/>
      <c r="C1110" s="150"/>
      <c r="D1110" s="150"/>
      <c r="E1110" s="140" t="str">
        <f t="shared" si="54"/>
        <v/>
      </c>
      <c r="F1110" s="157"/>
      <c r="G1110" s="145">
        <f t="shared" si="52"/>
        <v>0</v>
      </c>
      <c r="H1110" s="140" t="str">
        <f t="shared" si="53"/>
        <v/>
      </c>
      <c r="J1110" s="147" t="str">
        <f>IFERROR(SUMIFS(当年实际!$V:$V,当年实际!$J:$J,$C1110,当年实际!$C:$C,"&gt;="&amp;DATE(YEAR(主页!$D$2),1,1),当年实际!$C:$C,"&lt;="&amp;EOMONTH(DATE(YEAR(主页!$D$2),MONTH(主页!$D$2),1),0))/SUMIFS(当年实际!$P:$P,当年实际!$J:$J,$C1110,当年实际!$C:$C,"&gt;="&amp;DATE(YEAR(主页!$D$2),1,1),当年实际!$C:$C,"&lt;="&amp;EOMONTH(DATE(YEAR(主页!$D$2),MONTH(主页!$D$2),1),0)),"")</f>
        <v/>
      </c>
    </row>
    <row r="1111" spans="1:10" x14ac:dyDescent="0.3">
      <c r="A1111" s="129"/>
      <c r="B1111" s="150"/>
      <c r="C1111" s="150"/>
      <c r="D1111" s="150"/>
      <c r="E1111" s="140" t="str">
        <f t="shared" si="54"/>
        <v/>
      </c>
      <c r="F1111" s="157"/>
      <c r="G1111" s="145">
        <f t="shared" si="52"/>
        <v>0</v>
      </c>
      <c r="H1111" s="140" t="str">
        <f t="shared" si="53"/>
        <v/>
      </c>
      <c r="J1111" s="147" t="str">
        <f>IFERROR(SUMIFS(当年实际!$V:$V,当年实际!$J:$J,$C1111,当年实际!$C:$C,"&gt;="&amp;DATE(YEAR(主页!$D$2),1,1),当年实际!$C:$C,"&lt;="&amp;EOMONTH(DATE(YEAR(主页!$D$2),MONTH(主页!$D$2),1),0))/SUMIFS(当年实际!$P:$P,当年实际!$J:$J,$C1111,当年实际!$C:$C,"&gt;="&amp;DATE(YEAR(主页!$D$2),1,1),当年实际!$C:$C,"&lt;="&amp;EOMONTH(DATE(YEAR(主页!$D$2),MONTH(主页!$D$2),1),0)),"")</f>
        <v/>
      </c>
    </row>
    <row r="1112" spans="1:10" x14ac:dyDescent="0.3">
      <c r="A1112" s="129"/>
      <c r="B1112" s="150"/>
      <c r="C1112" s="150"/>
      <c r="D1112" s="150"/>
      <c r="E1112" s="140" t="str">
        <f t="shared" si="54"/>
        <v/>
      </c>
      <c r="F1112" s="157"/>
      <c r="G1112" s="145">
        <f t="shared" si="52"/>
        <v>0</v>
      </c>
      <c r="H1112" s="140" t="str">
        <f t="shared" si="53"/>
        <v/>
      </c>
      <c r="J1112" s="147" t="str">
        <f>IFERROR(SUMIFS(当年实际!$V:$V,当年实际!$J:$J,$C1112,当年实际!$C:$C,"&gt;="&amp;DATE(YEAR(主页!$D$2),1,1),当年实际!$C:$C,"&lt;="&amp;EOMONTH(DATE(YEAR(主页!$D$2),MONTH(主页!$D$2),1),0))/SUMIFS(当年实际!$P:$P,当年实际!$J:$J,$C1112,当年实际!$C:$C,"&gt;="&amp;DATE(YEAR(主页!$D$2),1,1),当年实际!$C:$C,"&lt;="&amp;EOMONTH(DATE(YEAR(主页!$D$2),MONTH(主页!$D$2),1),0)),"")</f>
        <v/>
      </c>
    </row>
    <row r="1113" spans="1:10" x14ac:dyDescent="0.3">
      <c r="A1113" s="129"/>
      <c r="B1113" s="150"/>
      <c r="C1113" s="150"/>
      <c r="D1113" s="150"/>
      <c r="E1113" s="140" t="str">
        <f t="shared" si="54"/>
        <v/>
      </c>
      <c r="F1113" s="157"/>
      <c r="G1113" s="145">
        <f t="shared" si="52"/>
        <v>0</v>
      </c>
      <c r="H1113" s="140" t="str">
        <f t="shared" si="53"/>
        <v/>
      </c>
      <c r="J1113" s="147" t="str">
        <f>IFERROR(SUMIFS(当年实际!$V:$V,当年实际!$J:$J,$C1113,当年实际!$C:$C,"&gt;="&amp;DATE(YEAR(主页!$D$2),1,1),当年实际!$C:$C,"&lt;="&amp;EOMONTH(DATE(YEAR(主页!$D$2),MONTH(主页!$D$2),1),0))/SUMIFS(当年实际!$P:$P,当年实际!$J:$J,$C1113,当年实际!$C:$C,"&gt;="&amp;DATE(YEAR(主页!$D$2),1,1),当年实际!$C:$C,"&lt;="&amp;EOMONTH(DATE(YEAR(主页!$D$2),MONTH(主页!$D$2),1),0)),"")</f>
        <v/>
      </c>
    </row>
    <row r="1114" spans="1:10" x14ac:dyDescent="0.3">
      <c r="A1114" s="129"/>
      <c r="B1114" s="150"/>
      <c r="C1114" s="150"/>
      <c r="D1114" s="150"/>
      <c r="E1114" s="140" t="str">
        <f t="shared" si="54"/>
        <v/>
      </c>
      <c r="F1114" s="157"/>
      <c r="G1114" s="145">
        <f t="shared" si="52"/>
        <v>0</v>
      </c>
      <c r="H1114" s="140" t="str">
        <f t="shared" si="53"/>
        <v/>
      </c>
      <c r="J1114" s="147" t="str">
        <f>IFERROR(SUMIFS(当年实际!$V:$V,当年实际!$J:$J,$C1114,当年实际!$C:$C,"&gt;="&amp;DATE(YEAR(主页!$D$2),1,1),当年实际!$C:$C,"&lt;="&amp;EOMONTH(DATE(YEAR(主页!$D$2),MONTH(主页!$D$2),1),0))/SUMIFS(当年实际!$P:$P,当年实际!$J:$J,$C1114,当年实际!$C:$C,"&gt;="&amp;DATE(YEAR(主页!$D$2),1,1),当年实际!$C:$C,"&lt;="&amp;EOMONTH(DATE(YEAR(主页!$D$2),MONTH(主页!$D$2),1),0)),"")</f>
        <v/>
      </c>
    </row>
    <row r="1115" spans="1:10" x14ac:dyDescent="0.3">
      <c r="A1115" s="129"/>
      <c r="B1115" s="150"/>
      <c r="C1115" s="150"/>
      <c r="D1115" s="150"/>
      <c r="E1115" s="140" t="str">
        <f t="shared" si="54"/>
        <v/>
      </c>
      <c r="F1115" s="157"/>
      <c r="G1115" s="145">
        <f t="shared" si="52"/>
        <v>0</v>
      </c>
      <c r="H1115" s="140" t="str">
        <f t="shared" si="53"/>
        <v/>
      </c>
      <c r="J1115" s="147" t="str">
        <f>IFERROR(SUMIFS(当年实际!$V:$V,当年实际!$J:$J,$C1115,当年实际!$C:$C,"&gt;="&amp;DATE(YEAR(主页!$D$2),1,1),当年实际!$C:$C,"&lt;="&amp;EOMONTH(DATE(YEAR(主页!$D$2),MONTH(主页!$D$2),1),0))/SUMIFS(当年实际!$P:$P,当年实际!$J:$J,$C1115,当年实际!$C:$C,"&gt;="&amp;DATE(YEAR(主页!$D$2),1,1),当年实际!$C:$C,"&lt;="&amp;EOMONTH(DATE(YEAR(主页!$D$2),MONTH(主页!$D$2),1),0)),"")</f>
        <v/>
      </c>
    </row>
    <row r="1116" spans="1:10" x14ac:dyDescent="0.3">
      <c r="A1116" s="129"/>
      <c r="B1116" s="150"/>
      <c r="C1116" s="150"/>
      <c r="D1116" s="150"/>
      <c r="E1116" s="140" t="str">
        <f t="shared" si="54"/>
        <v/>
      </c>
      <c r="F1116" s="157"/>
      <c r="G1116" s="145">
        <f t="shared" si="52"/>
        <v>0</v>
      </c>
      <c r="H1116" s="140" t="str">
        <f t="shared" si="53"/>
        <v/>
      </c>
      <c r="J1116" s="147" t="str">
        <f>IFERROR(SUMIFS(当年实际!$V:$V,当年实际!$J:$J,$C1116,当年实际!$C:$C,"&gt;="&amp;DATE(YEAR(主页!$D$2),1,1),当年实际!$C:$C,"&lt;="&amp;EOMONTH(DATE(YEAR(主页!$D$2),MONTH(主页!$D$2),1),0))/SUMIFS(当年实际!$P:$P,当年实际!$J:$J,$C1116,当年实际!$C:$C,"&gt;="&amp;DATE(YEAR(主页!$D$2),1,1),当年实际!$C:$C,"&lt;="&amp;EOMONTH(DATE(YEAR(主页!$D$2),MONTH(主页!$D$2),1),0)),"")</f>
        <v/>
      </c>
    </row>
    <row r="1117" spans="1:10" x14ac:dyDescent="0.3">
      <c r="A1117" s="129"/>
      <c r="B1117" s="150"/>
      <c r="C1117" s="150"/>
      <c r="D1117" s="150"/>
      <c r="E1117" s="140" t="str">
        <f t="shared" si="54"/>
        <v/>
      </c>
      <c r="F1117" s="157"/>
      <c r="G1117" s="145">
        <f t="shared" si="52"/>
        <v>0</v>
      </c>
      <c r="H1117" s="140" t="str">
        <f t="shared" si="53"/>
        <v/>
      </c>
      <c r="J1117" s="147" t="str">
        <f>IFERROR(SUMIFS(当年实际!$V:$V,当年实际!$J:$J,$C1117,当年实际!$C:$C,"&gt;="&amp;DATE(YEAR(主页!$D$2),1,1),当年实际!$C:$C,"&lt;="&amp;EOMONTH(DATE(YEAR(主页!$D$2),MONTH(主页!$D$2),1),0))/SUMIFS(当年实际!$P:$P,当年实际!$J:$J,$C1117,当年实际!$C:$C,"&gt;="&amp;DATE(YEAR(主页!$D$2),1,1),当年实际!$C:$C,"&lt;="&amp;EOMONTH(DATE(YEAR(主页!$D$2),MONTH(主页!$D$2),1),0)),"")</f>
        <v/>
      </c>
    </row>
    <row r="1118" spans="1:10" x14ac:dyDescent="0.3">
      <c r="A1118" s="129"/>
      <c r="B1118" s="150"/>
      <c r="C1118" s="150"/>
      <c r="D1118" s="150"/>
      <c r="E1118" s="140" t="str">
        <f t="shared" si="54"/>
        <v/>
      </c>
      <c r="F1118" s="157"/>
      <c r="G1118" s="145">
        <f t="shared" si="52"/>
        <v>0</v>
      </c>
      <c r="H1118" s="140" t="str">
        <f t="shared" si="53"/>
        <v/>
      </c>
      <c r="J1118" s="147" t="str">
        <f>IFERROR(SUMIFS(当年实际!$V:$V,当年实际!$J:$J,$C1118,当年实际!$C:$C,"&gt;="&amp;DATE(YEAR(主页!$D$2),1,1),当年实际!$C:$C,"&lt;="&amp;EOMONTH(DATE(YEAR(主页!$D$2),MONTH(主页!$D$2),1),0))/SUMIFS(当年实际!$P:$P,当年实际!$J:$J,$C1118,当年实际!$C:$C,"&gt;="&amp;DATE(YEAR(主页!$D$2),1,1),当年实际!$C:$C,"&lt;="&amp;EOMONTH(DATE(YEAR(主页!$D$2),MONTH(主页!$D$2),1),0)),"")</f>
        <v/>
      </c>
    </row>
    <row r="1119" spans="1:10" x14ac:dyDescent="0.3">
      <c r="A1119" s="129"/>
      <c r="B1119" s="150"/>
      <c r="C1119" s="150"/>
      <c r="D1119" s="150"/>
      <c r="E1119" s="140" t="str">
        <f t="shared" si="54"/>
        <v/>
      </c>
      <c r="F1119" s="157"/>
      <c r="G1119" s="145">
        <f t="shared" ref="G1119:G1182" si="55">D1119*F1119</f>
        <v>0</v>
      </c>
      <c r="H1119" s="140" t="str">
        <f t="shared" ref="H1119:H1182" si="56">IF(G1119/SUM(G:G)=0,"",G1119/SUM(G:G))</f>
        <v/>
      </c>
      <c r="J1119" s="147" t="str">
        <f>IFERROR(SUMIFS(当年实际!$V:$V,当年实际!$J:$J,$C1119,当年实际!$C:$C,"&gt;="&amp;DATE(YEAR(主页!$D$2),1,1),当年实际!$C:$C,"&lt;="&amp;EOMONTH(DATE(YEAR(主页!$D$2),MONTH(主页!$D$2),1),0))/SUMIFS(当年实际!$P:$P,当年实际!$J:$J,$C1119,当年实际!$C:$C,"&gt;="&amp;DATE(YEAR(主页!$D$2),1,1),当年实际!$C:$C,"&lt;="&amp;EOMONTH(DATE(YEAR(主页!$D$2),MONTH(主页!$D$2),1),0)),"")</f>
        <v/>
      </c>
    </row>
    <row r="1120" spans="1:10" x14ac:dyDescent="0.3">
      <c r="A1120" s="129"/>
      <c r="B1120" s="150"/>
      <c r="C1120" s="150"/>
      <c r="D1120" s="150"/>
      <c r="E1120" s="140" t="str">
        <f t="shared" si="54"/>
        <v/>
      </c>
      <c r="F1120" s="157"/>
      <c r="G1120" s="145">
        <f t="shared" si="55"/>
        <v>0</v>
      </c>
      <c r="H1120" s="140" t="str">
        <f t="shared" si="56"/>
        <v/>
      </c>
      <c r="J1120" s="147" t="str">
        <f>IFERROR(SUMIFS(当年实际!$V:$V,当年实际!$J:$J,$C1120,当年实际!$C:$C,"&gt;="&amp;DATE(YEAR(主页!$D$2),1,1),当年实际!$C:$C,"&lt;="&amp;EOMONTH(DATE(YEAR(主页!$D$2),MONTH(主页!$D$2),1),0))/SUMIFS(当年实际!$P:$P,当年实际!$J:$J,$C1120,当年实际!$C:$C,"&gt;="&amp;DATE(YEAR(主页!$D$2),1,1),当年实际!$C:$C,"&lt;="&amp;EOMONTH(DATE(YEAR(主页!$D$2),MONTH(主页!$D$2),1),0)),"")</f>
        <v/>
      </c>
    </row>
    <row r="1121" spans="1:10" x14ac:dyDescent="0.3">
      <c r="A1121" s="129"/>
      <c r="B1121" s="150"/>
      <c r="C1121" s="150"/>
      <c r="D1121" s="150"/>
      <c r="E1121" s="140" t="str">
        <f t="shared" si="54"/>
        <v/>
      </c>
      <c r="F1121" s="157"/>
      <c r="G1121" s="145">
        <f t="shared" si="55"/>
        <v>0</v>
      </c>
      <c r="H1121" s="140" t="str">
        <f t="shared" si="56"/>
        <v/>
      </c>
      <c r="J1121" s="147" t="str">
        <f>IFERROR(SUMIFS(当年实际!$V:$V,当年实际!$J:$J,$C1121,当年实际!$C:$C,"&gt;="&amp;DATE(YEAR(主页!$D$2),1,1),当年实际!$C:$C,"&lt;="&amp;EOMONTH(DATE(YEAR(主页!$D$2),MONTH(主页!$D$2),1),0))/SUMIFS(当年实际!$P:$P,当年实际!$J:$J,$C1121,当年实际!$C:$C,"&gt;="&amp;DATE(YEAR(主页!$D$2),1,1),当年实际!$C:$C,"&lt;="&amp;EOMONTH(DATE(YEAR(主页!$D$2),MONTH(主页!$D$2),1),0)),"")</f>
        <v/>
      </c>
    </row>
    <row r="1122" spans="1:10" x14ac:dyDescent="0.3">
      <c r="A1122" s="129"/>
      <c r="B1122" s="150"/>
      <c r="C1122" s="150"/>
      <c r="D1122" s="150"/>
      <c r="E1122" s="140" t="str">
        <f t="shared" si="54"/>
        <v/>
      </c>
      <c r="F1122" s="157"/>
      <c r="G1122" s="145">
        <f t="shared" si="55"/>
        <v>0</v>
      </c>
      <c r="H1122" s="140" t="str">
        <f t="shared" si="56"/>
        <v/>
      </c>
      <c r="J1122" s="147" t="str">
        <f>IFERROR(SUMIFS(当年实际!$V:$V,当年实际!$J:$J,$C1122,当年实际!$C:$C,"&gt;="&amp;DATE(YEAR(主页!$D$2),1,1),当年实际!$C:$C,"&lt;="&amp;EOMONTH(DATE(YEAR(主页!$D$2),MONTH(主页!$D$2),1),0))/SUMIFS(当年实际!$P:$P,当年实际!$J:$J,$C1122,当年实际!$C:$C,"&gt;="&amp;DATE(YEAR(主页!$D$2),1,1),当年实际!$C:$C,"&lt;="&amp;EOMONTH(DATE(YEAR(主页!$D$2),MONTH(主页!$D$2),1),0)),"")</f>
        <v/>
      </c>
    </row>
    <row r="1123" spans="1:10" x14ac:dyDescent="0.3">
      <c r="A1123" s="129"/>
      <c r="B1123" s="150"/>
      <c r="C1123" s="150"/>
      <c r="D1123" s="150"/>
      <c r="E1123" s="140" t="str">
        <f t="shared" si="54"/>
        <v/>
      </c>
      <c r="F1123" s="157"/>
      <c r="G1123" s="145">
        <f t="shared" si="55"/>
        <v>0</v>
      </c>
      <c r="H1123" s="140" t="str">
        <f t="shared" si="56"/>
        <v/>
      </c>
      <c r="J1123" s="147" t="str">
        <f>IFERROR(SUMIFS(当年实际!$V:$V,当年实际!$J:$J,$C1123,当年实际!$C:$C,"&gt;="&amp;DATE(YEAR(主页!$D$2),1,1),当年实际!$C:$C,"&lt;="&amp;EOMONTH(DATE(YEAR(主页!$D$2),MONTH(主页!$D$2),1),0))/SUMIFS(当年实际!$P:$P,当年实际!$J:$J,$C1123,当年实际!$C:$C,"&gt;="&amp;DATE(YEAR(主页!$D$2),1,1),当年实际!$C:$C,"&lt;="&amp;EOMONTH(DATE(YEAR(主页!$D$2),MONTH(主页!$D$2),1),0)),"")</f>
        <v/>
      </c>
    </row>
    <row r="1124" spans="1:10" x14ac:dyDescent="0.3">
      <c r="A1124" s="129"/>
      <c r="B1124" s="150"/>
      <c r="C1124" s="150"/>
      <c r="D1124" s="150"/>
      <c r="E1124" s="140" t="str">
        <f t="shared" si="54"/>
        <v/>
      </c>
      <c r="F1124" s="157"/>
      <c r="G1124" s="145">
        <f t="shared" si="55"/>
        <v>0</v>
      </c>
      <c r="H1124" s="140" t="str">
        <f t="shared" si="56"/>
        <v/>
      </c>
      <c r="J1124" s="147" t="str">
        <f>IFERROR(SUMIFS(当年实际!$V:$V,当年实际!$J:$J,$C1124,当年实际!$C:$C,"&gt;="&amp;DATE(YEAR(主页!$D$2),1,1),当年实际!$C:$C,"&lt;="&amp;EOMONTH(DATE(YEAR(主页!$D$2),MONTH(主页!$D$2),1),0))/SUMIFS(当年实际!$P:$P,当年实际!$J:$J,$C1124,当年实际!$C:$C,"&gt;="&amp;DATE(YEAR(主页!$D$2),1,1),当年实际!$C:$C,"&lt;="&amp;EOMONTH(DATE(YEAR(主页!$D$2),MONTH(主页!$D$2),1),0)),"")</f>
        <v/>
      </c>
    </row>
    <row r="1125" spans="1:10" x14ac:dyDescent="0.3">
      <c r="A1125" s="129"/>
      <c r="B1125" s="150"/>
      <c r="C1125" s="150"/>
      <c r="D1125" s="150"/>
      <c r="E1125" s="140" t="str">
        <f t="shared" si="54"/>
        <v/>
      </c>
      <c r="F1125" s="157"/>
      <c r="G1125" s="145">
        <f t="shared" si="55"/>
        <v>0</v>
      </c>
      <c r="H1125" s="140" t="str">
        <f t="shared" si="56"/>
        <v/>
      </c>
      <c r="J1125" s="147" t="str">
        <f>IFERROR(SUMIFS(当年实际!$V:$V,当年实际!$J:$J,$C1125,当年实际!$C:$C,"&gt;="&amp;DATE(YEAR(主页!$D$2),1,1),当年实际!$C:$C,"&lt;="&amp;EOMONTH(DATE(YEAR(主页!$D$2),MONTH(主页!$D$2),1),0))/SUMIFS(当年实际!$P:$P,当年实际!$J:$J,$C1125,当年实际!$C:$C,"&gt;="&amp;DATE(YEAR(主页!$D$2),1,1),当年实际!$C:$C,"&lt;="&amp;EOMONTH(DATE(YEAR(主页!$D$2),MONTH(主页!$D$2),1),0)),"")</f>
        <v/>
      </c>
    </row>
    <row r="1126" spans="1:10" x14ac:dyDescent="0.3">
      <c r="A1126" s="129"/>
      <c r="B1126" s="150"/>
      <c r="C1126" s="150"/>
      <c r="D1126" s="150"/>
      <c r="E1126" s="140" t="str">
        <f t="shared" si="54"/>
        <v/>
      </c>
      <c r="F1126" s="157"/>
      <c r="G1126" s="145">
        <f t="shared" si="55"/>
        <v>0</v>
      </c>
      <c r="H1126" s="140" t="str">
        <f t="shared" si="56"/>
        <v/>
      </c>
      <c r="J1126" s="147" t="str">
        <f>IFERROR(SUMIFS(当年实际!$V:$V,当年实际!$J:$J,$C1126,当年实际!$C:$C,"&gt;="&amp;DATE(YEAR(主页!$D$2),1,1),当年实际!$C:$C,"&lt;="&amp;EOMONTH(DATE(YEAR(主页!$D$2),MONTH(主页!$D$2),1),0))/SUMIFS(当年实际!$P:$P,当年实际!$J:$J,$C1126,当年实际!$C:$C,"&gt;="&amp;DATE(YEAR(主页!$D$2),1,1),当年实际!$C:$C,"&lt;="&amp;EOMONTH(DATE(YEAR(主页!$D$2),MONTH(主页!$D$2),1),0)),"")</f>
        <v/>
      </c>
    </row>
    <row r="1127" spans="1:10" x14ac:dyDescent="0.3">
      <c r="A1127" s="129"/>
      <c r="B1127" s="150"/>
      <c r="C1127" s="150"/>
      <c r="D1127" s="150"/>
      <c r="E1127" s="140" t="str">
        <f t="shared" si="54"/>
        <v/>
      </c>
      <c r="F1127" s="157"/>
      <c r="G1127" s="145">
        <f t="shared" si="55"/>
        <v>0</v>
      </c>
      <c r="H1127" s="140" t="str">
        <f t="shared" si="56"/>
        <v/>
      </c>
      <c r="J1127" s="147" t="str">
        <f>IFERROR(SUMIFS(当年实际!$V:$V,当年实际!$J:$J,$C1127,当年实际!$C:$C,"&gt;="&amp;DATE(YEAR(主页!$D$2),1,1),当年实际!$C:$C,"&lt;="&amp;EOMONTH(DATE(YEAR(主页!$D$2),MONTH(主页!$D$2),1),0))/SUMIFS(当年实际!$P:$P,当年实际!$J:$J,$C1127,当年实际!$C:$C,"&gt;="&amp;DATE(YEAR(主页!$D$2),1,1),当年实际!$C:$C,"&lt;="&amp;EOMONTH(DATE(YEAR(主页!$D$2),MONTH(主页!$D$2),1),0)),"")</f>
        <v/>
      </c>
    </row>
    <row r="1128" spans="1:10" x14ac:dyDescent="0.3">
      <c r="A1128" s="129"/>
      <c r="B1128" s="150"/>
      <c r="C1128" s="150"/>
      <c r="D1128" s="150"/>
      <c r="E1128" s="140" t="str">
        <f t="shared" si="54"/>
        <v/>
      </c>
      <c r="F1128" s="157"/>
      <c r="G1128" s="145">
        <f t="shared" si="55"/>
        <v>0</v>
      </c>
      <c r="H1128" s="140" t="str">
        <f t="shared" si="56"/>
        <v/>
      </c>
      <c r="J1128" s="147" t="str">
        <f>IFERROR(SUMIFS(当年实际!$V:$V,当年实际!$J:$J,$C1128,当年实际!$C:$C,"&gt;="&amp;DATE(YEAR(主页!$D$2),1,1),当年实际!$C:$C,"&lt;="&amp;EOMONTH(DATE(YEAR(主页!$D$2),MONTH(主页!$D$2),1),0))/SUMIFS(当年实际!$P:$P,当年实际!$J:$J,$C1128,当年实际!$C:$C,"&gt;="&amp;DATE(YEAR(主页!$D$2),1,1),当年实际!$C:$C,"&lt;="&amp;EOMONTH(DATE(YEAR(主页!$D$2),MONTH(主页!$D$2),1),0)),"")</f>
        <v/>
      </c>
    </row>
    <row r="1129" spans="1:10" x14ac:dyDescent="0.3">
      <c r="A1129" s="129"/>
      <c r="B1129" s="150"/>
      <c r="C1129" s="150"/>
      <c r="D1129" s="150"/>
      <c r="E1129" s="140" t="str">
        <f t="shared" si="54"/>
        <v/>
      </c>
      <c r="F1129" s="157"/>
      <c r="G1129" s="145">
        <f t="shared" si="55"/>
        <v>0</v>
      </c>
      <c r="H1129" s="140" t="str">
        <f t="shared" si="56"/>
        <v/>
      </c>
      <c r="J1129" s="147" t="str">
        <f>IFERROR(SUMIFS(当年实际!$V:$V,当年实际!$J:$J,$C1129,当年实际!$C:$C,"&gt;="&amp;DATE(YEAR(主页!$D$2),1,1),当年实际!$C:$C,"&lt;="&amp;EOMONTH(DATE(YEAR(主页!$D$2),MONTH(主页!$D$2),1),0))/SUMIFS(当年实际!$P:$P,当年实际!$J:$J,$C1129,当年实际!$C:$C,"&gt;="&amp;DATE(YEAR(主页!$D$2),1,1),当年实际!$C:$C,"&lt;="&amp;EOMONTH(DATE(YEAR(主页!$D$2),MONTH(主页!$D$2),1),0)),"")</f>
        <v/>
      </c>
    </row>
    <row r="1130" spans="1:10" x14ac:dyDescent="0.3">
      <c r="A1130" s="129"/>
      <c r="B1130" s="150"/>
      <c r="C1130" s="150"/>
      <c r="D1130" s="150"/>
      <c r="E1130" s="140" t="str">
        <f t="shared" si="54"/>
        <v/>
      </c>
      <c r="F1130" s="157"/>
      <c r="G1130" s="145">
        <f t="shared" si="55"/>
        <v>0</v>
      </c>
      <c r="H1130" s="140" t="str">
        <f t="shared" si="56"/>
        <v/>
      </c>
      <c r="J1130" s="147" t="str">
        <f>IFERROR(SUMIFS(当年实际!$V:$V,当年实际!$J:$J,$C1130,当年实际!$C:$C,"&gt;="&amp;DATE(YEAR(主页!$D$2),1,1),当年实际!$C:$C,"&lt;="&amp;EOMONTH(DATE(YEAR(主页!$D$2),MONTH(主页!$D$2),1),0))/SUMIFS(当年实际!$P:$P,当年实际!$J:$J,$C1130,当年实际!$C:$C,"&gt;="&amp;DATE(YEAR(主页!$D$2),1,1),当年实际!$C:$C,"&lt;="&amp;EOMONTH(DATE(YEAR(主页!$D$2),MONTH(主页!$D$2),1),0)),"")</f>
        <v/>
      </c>
    </row>
    <row r="1131" spans="1:10" x14ac:dyDescent="0.3">
      <c r="A1131" s="129"/>
      <c r="B1131" s="150"/>
      <c r="C1131" s="150"/>
      <c r="D1131" s="150"/>
      <c r="E1131" s="140" t="str">
        <f t="shared" si="54"/>
        <v/>
      </c>
      <c r="F1131" s="157"/>
      <c r="G1131" s="145">
        <f t="shared" si="55"/>
        <v>0</v>
      </c>
      <c r="H1131" s="140" t="str">
        <f t="shared" si="56"/>
        <v/>
      </c>
      <c r="J1131" s="147" t="str">
        <f>IFERROR(SUMIFS(当年实际!$V:$V,当年实际!$J:$J,$C1131,当年实际!$C:$C,"&gt;="&amp;DATE(YEAR(主页!$D$2),1,1),当年实际!$C:$C,"&lt;="&amp;EOMONTH(DATE(YEAR(主页!$D$2),MONTH(主页!$D$2),1),0))/SUMIFS(当年实际!$P:$P,当年实际!$J:$J,$C1131,当年实际!$C:$C,"&gt;="&amp;DATE(YEAR(主页!$D$2),1,1),当年实际!$C:$C,"&lt;="&amp;EOMONTH(DATE(YEAR(主页!$D$2),MONTH(主页!$D$2),1),0)),"")</f>
        <v/>
      </c>
    </row>
    <row r="1132" spans="1:10" x14ac:dyDescent="0.3">
      <c r="A1132" s="129"/>
      <c r="B1132" s="150"/>
      <c r="C1132" s="150"/>
      <c r="D1132" s="150"/>
      <c r="E1132" s="140" t="str">
        <f t="shared" si="54"/>
        <v/>
      </c>
      <c r="F1132" s="157"/>
      <c r="G1132" s="145">
        <f t="shared" si="55"/>
        <v>0</v>
      </c>
      <c r="H1132" s="140" t="str">
        <f t="shared" si="56"/>
        <v/>
      </c>
      <c r="J1132" s="147" t="str">
        <f>IFERROR(SUMIFS(当年实际!$V:$V,当年实际!$J:$J,$C1132,当年实际!$C:$C,"&gt;="&amp;DATE(YEAR(主页!$D$2),1,1),当年实际!$C:$C,"&lt;="&amp;EOMONTH(DATE(YEAR(主页!$D$2),MONTH(主页!$D$2),1),0))/SUMIFS(当年实际!$P:$P,当年实际!$J:$J,$C1132,当年实际!$C:$C,"&gt;="&amp;DATE(YEAR(主页!$D$2),1,1),当年实际!$C:$C,"&lt;="&amp;EOMONTH(DATE(YEAR(主页!$D$2),MONTH(主页!$D$2),1),0)),"")</f>
        <v/>
      </c>
    </row>
    <row r="1133" spans="1:10" x14ac:dyDescent="0.3">
      <c r="A1133" s="129"/>
      <c r="B1133" s="150"/>
      <c r="C1133" s="150"/>
      <c r="D1133" s="150"/>
      <c r="E1133" s="140" t="str">
        <f t="shared" si="54"/>
        <v/>
      </c>
      <c r="F1133" s="157"/>
      <c r="G1133" s="145">
        <f t="shared" si="55"/>
        <v>0</v>
      </c>
      <c r="H1133" s="140" t="str">
        <f t="shared" si="56"/>
        <v/>
      </c>
      <c r="J1133" s="147" t="str">
        <f>IFERROR(SUMIFS(当年实际!$V:$V,当年实际!$J:$J,$C1133,当年实际!$C:$C,"&gt;="&amp;DATE(YEAR(主页!$D$2),1,1),当年实际!$C:$C,"&lt;="&amp;EOMONTH(DATE(YEAR(主页!$D$2),MONTH(主页!$D$2),1),0))/SUMIFS(当年实际!$P:$P,当年实际!$J:$J,$C1133,当年实际!$C:$C,"&gt;="&amp;DATE(YEAR(主页!$D$2),1,1),当年实际!$C:$C,"&lt;="&amp;EOMONTH(DATE(YEAR(主页!$D$2),MONTH(主页!$D$2),1),0)),"")</f>
        <v/>
      </c>
    </row>
    <row r="1134" spans="1:10" x14ac:dyDescent="0.3">
      <c r="A1134" s="129"/>
      <c r="B1134" s="150"/>
      <c r="C1134" s="150"/>
      <c r="D1134" s="150"/>
      <c r="E1134" s="140" t="str">
        <f t="shared" si="54"/>
        <v/>
      </c>
      <c r="F1134" s="157"/>
      <c r="G1134" s="145">
        <f t="shared" si="55"/>
        <v>0</v>
      </c>
      <c r="H1134" s="140" t="str">
        <f t="shared" si="56"/>
        <v/>
      </c>
      <c r="J1134" s="147" t="str">
        <f>IFERROR(SUMIFS(当年实际!$V:$V,当年实际!$J:$J,$C1134,当年实际!$C:$C,"&gt;="&amp;DATE(YEAR(主页!$D$2),1,1),当年实际!$C:$C,"&lt;="&amp;EOMONTH(DATE(YEAR(主页!$D$2),MONTH(主页!$D$2),1),0))/SUMIFS(当年实际!$P:$P,当年实际!$J:$J,$C1134,当年实际!$C:$C,"&gt;="&amp;DATE(YEAR(主页!$D$2),1,1),当年实际!$C:$C,"&lt;="&amp;EOMONTH(DATE(YEAR(主页!$D$2),MONTH(主页!$D$2),1),0)),"")</f>
        <v/>
      </c>
    </row>
    <row r="1135" spans="1:10" x14ac:dyDescent="0.3">
      <c r="A1135" s="129"/>
      <c r="B1135" s="150"/>
      <c r="C1135" s="150"/>
      <c r="D1135" s="150"/>
      <c r="E1135" s="140" t="str">
        <f t="shared" si="54"/>
        <v/>
      </c>
      <c r="F1135" s="157"/>
      <c r="G1135" s="145">
        <f t="shared" si="55"/>
        <v>0</v>
      </c>
      <c r="H1135" s="140" t="str">
        <f t="shared" si="56"/>
        <v/>
      </c>
      <c r="J1135" s="147" t="str">
        <f>IFERROR(SUMIFS(当年实际!$V:$V,当年实际!$J:$J,$C1135,当年实际!$C:$C,"&gt;="&amp;DATE(YEAR(主页!$D$2),1,1),当年实际!$C:$C,"&lt;="&amp;EOMONTH(DATE(YEAR(主页!$D$2),MONTH(主页!$D$2),1),0))/SUMIFS(当年实际!$P:$P,当年实际!$J:$J,$C1135,当年实际!$C:$C,"&gt;="&amp;DATE(YEAR(主页!$D$2),1,1),当年实际!$C:$C,"&lt;="&amp;EOMONTH(DATE(YEAR(主页!$D$2),MONTH(主页!$D$2),1),0)),"")</f>
        <v/>
      </c>
    </row>
    <row r="1136" spans="1:10" x14ac:dyDescent="0.3">
      <c r="A1136" s="129"/>
      <c r="B1136" s="150"/>
      <c r="C1136" s="150"/>
      <c r="D1136" s="150"/>
      <c r="E1136" s="140" t="str">
        <f t="shared" si="54"/>
        <v/>
      </c>
      <c r="F1136" s="157"/>
      <c r="G1136" s="145">
        <f t="shared" si="55"/>
        <v>0</v>
      </c>
      <c r="H1136" s="140" t="str">
        <f t="shared" si="56"/>
        <v/>
      </c>
      <c r="J1136" s="147" t="str">
        <f>IFERROR(SUMIFS(当年实际!$V:$V,当年实际!$J:$J,$C1136,当年实际!$C:$C,"&gt;="&amp;DATE(YEAR(主页!$D$2),1,1),当年实际!$C:$C,"&lt;="&amp;EOMONTH(DATE(YEAR(主页!$D$2),MONTH(主页!$D$2),1),0))/SUMIFS(当年实际!$P:$P,当年实际!$J:$J,$C1136,当年实际!$C:$C,"&gt;="&amp;DATE(YEAR(主页!$D$2),1,1),当年实际!$C:$C,"&lt;="&amp;EOMONTH(DATE(YEAR(主页!$D$2),MONTH(主页!$D$2),1),0)),"")</f>
        <v/>
      </c>
    </row>
    <row r="1137" spans="1:10" x14ac:dyDescent="0.3">
      <c r="A1137" s="129"/>
      <c r="B1137" s="150"/>
      <c r="C1137" s="150"/>
      <c r="D1137" s="150"/>
      <c r="E1137" s="140" t="str">
        <f t="shared" si="54"/>
        <v/>
      </c>
      <c r="F1137" s="157"/>
      <c r="G1137" s="145">
        <f t="shared" si="55"/>
        <v>0</v>
      </c>
      <c r="H1137" s="140" t="str">
        <f t="shared" si="56"/>
        <v/>
      </c>
      <c r="J1137" s="147" t="str">
        <f>IFERROR(SUMIFS(当年实际!$V:$V,当年实际!$J:$J,$C1137,当年实际!$C:$C,"&gt;="&amp;DATE(YEAR(主页!$D$2),1,1),当年实际!$C:$C,"&lt;="&amp;EOMONTH(DATE(YEAR(主页!$D$2),MONTH(主页!$D$2),1),0))/SUMIFS(当年实际!$P:$P,当年实际!$J:$J,$C1137,当年实际!$C:$C,"&gt;="&amp;DATE(YEAR(主页!$D$2),1,1),当年实际!$C:$C,"&lt;="&amp;EOMONTH(DATE(YEAR(主页!$D$2),MONTH(主页!$D$2),1),0)),"")</f>
        <v/>
      </c>
    </row>
    <row r="1138" spans="1:10" x14ac:dyDescent="0.3">
      <c r="A1138" s="129"/>
      <c r="B1138" s="150"/>
      <c r="C1138" s="150"/>
      <c r="D1138" s="150"/>
      <c r="E1138" s="140" t="str">
        <f t="shared" si="54"/>
        <v/>
      </c>
      <c r="F1138" s="157"/>
      <c r="G1138" s="145">
        <f t="shared" si="55"/>
        <v>0</v>
      </c>
      <c r="H1138" s="140" t="str">
        <f t="shared" si="56"/>
        <v/>
      </c>
      <c r="J1138" s="147" t="str">
        <f>IFERROR(SUMIFS(当年实际!$V:$V,当年实际!$J:$J,$C1138,当年实际!$C:$C,"&gt;="&amp;DATE(YEAR(主页!$D$2),1,1),当年实际!$C:$C,"&lt;="&amp;EOMONTH(DATE(YEAR(主页!$D$2),MONTH(主页!$D$2),1),0))/SUMIFS(当年实际!$P:$P,当年实际!$J:$J,$C1138,当年实际!$C:$C,"&gt;="&amp;DATE(YEAR(主页!$D$2),1,1),当年实际!$C:$C,"&lt;="&amp;EOMONTH(DATE(YEAR(主页!$D$2),MONTH(主页!$D$2),1),0)),"")</f>
        <v/>
      </c>
    </row>
    <row r="1139" spans="1:10" x14ac:dyDescent="0.3">
      <c r="A1139" s="129"/>
      <c r="B1139" s="150"/>
      <c r="C1139" s="150"/>
      <c r="D1139" s="150"/>
      <c r="E1139" s="140" t="str">
        <f t="shared" si="54"/>
        <v/>
      </c>
      <c r="F1139" s="157"/>
      <c r="G1139" s="145">
        <f t="shared" si="55"/>
        <v>0</v>
      </c>
      <c r="H1139" s="140" t="str">
        <f t="shared" si="56"/>
        <v/>
      </c>
      <c r="J1139" s="147" t="str">
        <f>IFERROR(SUMIFS(当年实际!$V:$V,当年实际!$J:$J,$C1139,当年实际!$C:$C,"&gt;="&amp;DATE(YEAR(主页!$D$2),1,1),当年实际!$C:$C,"&lt;="&amp;EOMONTH(DATE(YEAR(主页!$D$2),MONTH(主页!$D$2),1),0))/SUMIFS(当年实际!$P:$P,当年实际!$J:$J,$C1139,当年实际!$C:$C,"&gt;="&amp;DATE(YEAR(主页!$D$2),1,1),当年实际!$C:$C,"&lt;="&amp;EOMONTH(DATE(YEAR(主页!$D$2),MONTH(主页!$D$2),1),0)),"")</f>
        <v/>
      </c>
    </row>
    <row r="1140" spans="1:10" x14ac:dyDescent="0.3">
      <c r="A1140" s="129"/>
      <c r="B1140" s="150"/>
      <c r="C1140" s="150"/>
      <c r="D1140" s="150"/>
      <c r="E1140" s="140" t="str">
        <f t="shared" si="54"/>
        <v/>
      </c>
      <c r="F1140" s="157"/>
      <c r="G1140" s="145">
        <f t="shared" si="55"/>
        <v>0</v>
      </c>
      <c r="H1140" s="140" t="str">
        <f t="shared" si="56"/>
        <v/>
      </c>
      <c r="J1140" s="147" t="str">
        <f>IFERROR(SUMIFS(当年实际!$V:$V,当年实际!$J:$J,$C1140,当年实际!$C:$C,"&gt;="&amp;DATE(YEAR(主页!$D$2),1,1),当年实际!$C:$C,"&lt;="&amp;EOMONTH(DATE(YEAR(主页!$D$2),MONTH(主页!$D$2),1),0))/SUMIFS(当年实际!$P:$P,当年实际!$J:$J,$C1140,当年实际!$C:$C,"&gt;="&amp;DATE(YEAR(主页!$D$2),1,1),当年实际!$C:$C,"&lt;="&amp;EOMONTH(DATE(YEAR(主页!$D$2),MONTH(主页!$D$2),1),0)),"")</f>
        <v/>
      </c>
    </row>
    <row r="1141" spans="1:10" x14ac:dyDescent="0.3">
      <c r="A1141" s="129"/>
      <c r="B1141" s="150"/>
      <c r="C1141" s="150"/>
      <c r="D1141" s="150"/>
      <c r="E1141" s="140" t="str">
        <f t="shared" si="54"/>
        <v/>
      </c>
      <c r="F1141" s="157"/>
      <c r="G1141" s="145">
        <f t="shared" si="55"/>
        <v>0</v>
      </c>
      <c r="H1141" s="140" t="str">
        <f t="shared" si="56"/>
        <v/>
      </c>
      <c r="J1141" s="147" t="str">
        <f>IFERROR(SUMIFS(当年实际!$V:$V,当年实际!$J:$J,$C1141,当年实际!$C:$C,"&gt;="&amp;DATE(YEAR(主页!$D$2),1,1),当年实际!$C:$C,"&lt;="&amp;EOMONTH(DATE(YEAR(主页!$D$2),MONTH(主页!$D$2),1),0))/SUMIFS(当年实际!$P:$P,当年实际!$J:$J,$C1141,当年实际!$C:$C,"&gt;="&amp;DATE(YEAR(主页!$D$2),1,1),当年实际!$C:$C,"&lt;="&amp;EOMONTH(DATE(YEAR(主页!$D$2),MONTH(主页!$D$2),1),0)),"")</f>
        <v/>
      </c>
    </row>
    <row r="1142" spans="1:10" x14ac:dyDescent="0.3">
      <c r="A1142" s="129"/>
      <c r="B1142" s="150"/>
      <c r="C1142" s="150"/>
      <c r="D1142" s="150"/>
      <c r="E1142" s="140" t="str">
        <f t="shared" si="54"/>
        <v/>
      </c>
      <c r="F1142" s="157"/>
      <c r="G1142" s="145">
        <f t="shared" si="55"/>
        <v>0</v>
      </c>
      <c r="H1142" s="140" t="str">
        <f t="shared" si="56"/>
        <v/>
      </c>
      <c r="J1142" s="147" t="str">
        <f>IFERROR(SUMIFS(当年实际!$V:$V,当年实际!$J:$J,$C1142,当年实际!$C:$C,"&gt;="&amp;DATE(YEAR(主页!$D$2),1,1),当年实际!$C:$C,"&lt;="&amp;EOMONTH(DATE(YEAR(主页!$D$2),MONTH(主页!$D$2),1),0))/SUMIFS(当年实际!$P:$P,当年实际!$J:$J,$C1142,当年实际!$C:$C,"&gt;="&amp;DATE(YEAR(主页!$D$2),1,1),当年实际!$C:$C,"&lt;="&amp;EOMONTH(DATE(YEAR(主页!$D$2),MONTH(主页!$D$2),1),0)),"")</f>
        <v/>
      </c>
    </row>
    <row r="1143" spans="1:10" x14ac:dyDescent="0.3">
      <c r="A1143" s="129"/>
      <c r="B1143" s="150"/>
      <c r="C1143" s="150"/>
      <c r="D1143" s="150"/>
      <c r="E1143" s="140" t="str">
        <f t="shared" si="54"/>
        <v/>
      </c>
      <c r="F1143" s="157"/>
      <c r="G1143" s="145">
        <f t="shared" si="55"/>
        <v>0</v>
      </c>
      <c r="H1143" s="140" t="str">
        <f t="shared" si="56"/>
        <v/>
      </c>
      <c r="J1143" s="147" t="str">
        <f>IFERROR(SUMIFS(当年实际!$V:$V,当年实际!$J:$J,$C1143,当年实际!$C:$C,"&gt;="&amp;DATE(YEAR(主页!$D$2),1,1),当年实际!$C:$C,"&lt;="&amp;EOMONTH(DATE(YEAR(主页!$D$2),MONTH(主页!$D$2),1),0))/SUMIFS(当年实际!$P:$P,当年实际!$J:$J,$C1143,当年实际!$C:$C,"&gt;="&amp;DATE(YEAR(主页!$D$2),1,1),当年实际!$C:$C,"&lt;="&amp;EOMONTH(DATE(YEAR(主页!$D$2),MONTH(主页!$D$2),1),0)),"")</f>
        <v/>
      </c>
    </row>
    <row r="1144" spans="1:10" x14ac:dyDescent="0.3">
      <c r="A1144" s="129"/>
      <c r="B1144" s="150"/>
      <c r="C1144" s="150"/>
      <c r="D1144" s="150"/>
      <c r="E1144" s="140" t="str">
        <f t="shared" si="54"/>
        <v/>
      </c>
      <c r="F1144" s="157"/>
      <c r="G1144" s="145">
        <f t="shared" si="55"/>
        <v>0</v>
      </c>
      <c r="H1144" s="140" t="str">
        <f t="shared" si="56"/>
        <v/>
      </c>
      <c r="J1144" s="147" t="str">
        <f>IFERROR(SUMIFS(当年实际!$V:$V,当年实际!$J:$J,$C1144,当年实际!$C:$C,"&gt;="&amp;DATE(YEAR(主页!$D$2),1,1),当年实际!$C:$C,"&lt;="&amp;EOMONTH(DATE(YEAR(主页!$D$2),MONTH(主页!$D$2),1),0))/SUMIFS(当年实际!$P:$P,当年实际!$J:$J,$C1144,当年实际!$C:$C,"&gt;="&amp;DATE(YEAR(主页!$D$2),1,1),当年实际!$C:$C,"&lt;="&amp;EOMONTH(DATE(YEAR(主页!$D$2),MONTH(主页!$D$2),1),0)),"")</f>
        <v/>
      </c>
    </row>
    <row r="1145" spans="1:10" x14ac:dyDescent="0.3">
      <c r="A1145" s="129"/>
      <c r="B1145" s="150"/>
      <c r="C1145" s="150"/>
      <c r="D1145" s="150"/>
      <c r="E1145" s="140" t="str">
        <f t="shared" si="54"/>
        <v/>
      </c>
      <c r="F1145" s="157"/>
      <c r="G1145" s="145">
        <f t="shared" si="55"/>
        <v>0</v>
      </c>
      <c r="H1145" s="140" t="str">
        <f t="shared" si="56"/>
        <v/>
      </c>
      <c r="J1145" s="147" t="str">
        <f>IFERROR(SUMIFS(当年实际!$V:$V,当年实际!$J:$J,$C1145,当年实际!$C:$C,"&gt;="&amp;DATE(YEAR(主页!$D$2),1,1),当年实际!$C:$C,"&lt;="&amp;EOMONTH(DATE(YEAR(主页!$D$2),MONTH(主页!$D$2),1),0))/SUMIFS(当年实际!$P:$P,当年实际!$J:$J,$C1145,当年实际!$C:$C,"&gt;="&amp;DATE(YEAR(主页!$D$2),1,1),当年实际!$C:$C,"&lt;="&amp;EOMONTH(DATE(YEAR(主页!$D$2),MONTH(主页!$D$2),1),0)),"")</f>
        <v/>
      </c>
    </row>
    <row r="1146" spans="1:10" x14ac:dyDescent="0.3">
      <c r="A1146" s="129"/>
      <c r="B1146" s="150"/>
      <c r="C1146" s="150"/>
      <c r="D1146" s="150"/>
      <c r="E1146" s="140" t="str">
        <f t="shared" si="54"/>
        <v/>
      </c>
      <c r="F1146" s="157"/>
      <c r="G1146" s="145">
        <f t="shared" si="55"/>
        <v>0</v>
      </c>
      <c r="H1146" s="140" t="str">
        <f t="shared" si="56"/>
        <v/>
      </c>
      <c r="J1146" s="147" t="str">
        <f>IFERROR(SUMIFS(当年实际!$V:$V,当年实际!$J:$J,$C1146,当年实际!$C:$C,"&gt;="&amp;DATE(YEAR(主页!$D$2),1,1),当年实际!$C:$C,"&lt;="&amp;EOMONTH(DATE(YEAR(主页!$D$2),MONTH(主页!$D$2),1),0))/SUMIFS(当年实际!$P:$P,当年实际!$J:$J,$C1146,当年实际!$C:$C,"&gt;="&amp;DATE(YEAR(主页!$D$2),1,1),当年实际!$C:$C,"&lt;="&amp;EOMONTH(DATE(YEAR(主页!$D$2),MONTH(主页!$D$2),1),0)),"")</f>
        <v/>
      </c>
    </row>
    <row r="1147" spans="1:10" x14ac:dyDescent="0.3">
      <c r="A1147" s="129"/>
      <c r="B1147" s="150"/>
      <c r="C1147" s="150"/>
      <c r="D1147" s="150"/>
      <c r="E1147" s="140" t="str">
        <f t="shared" si="54"/>
        <v/>
      </c>
      <c r="F1147" s="157"/>
      <c r="G1147" s="145">
        <f t="shared" si="55"/>
        <v>0</v>
      </c>
      <c r="H1147" s="140" t="str">
        <f t="shared" si="56"/>
        <v/>
      </c>
      <c r="J1147" s="147" t="str">
        <f>IFERROR(SUMIFS(当年实际!$V:$V,当年实际!$J:$J,$C1147,当年实际!$C:$C,"&gt;="&amp;DATE(YEAR(主页!$D$2),1,1),当年实际!$C:$C,"&lt;="&amp;EOMONTH(DATE(YEAR(主页!$D$2),MONTH(主页!$D$2),1),0))/SUMIFS(当年实际!$P:$P,当年实际!$J:$J,$C1147,当年实际!$C:$C,"&gt;="&amp;DATE(YEAR(主页!$D$2),1,1),当年实际!$C:$C,"&lt;="&amp;EOMONTH(DATE(YEAR(主页!$D$2),MONTH(主页!$D$2),1),0)),"")</f>
        <v/>
      </c>
    </row>
    <row r="1148" spans="1:10" x14ac:dyDescent="0.3">
      <c r="A1148" s="129"/>
      <c r="B1148" s="150"/>
      <c r="C1148" s="150"/>
      <c r="D1148" s="150"/>
      <c r="E1148" s="140" t="str">
        <f t="shared" si="54"/>
        <v/>
      </c>
      <c r="F1148" s="157"/>
      <c r="G1148" s="145">
        <f t="shared" si="55"/>
        <v>0</v>
      </c>
      <c r="H1148" s="140" t="str">
        <f t="shared" si="56"/>
        <v/>
      </c>
      <c r="J1148" s="147" t="str">
        <f>IFERROR(SUMIFS(当年实际!$V:$V,当年实际!$J:$J,$C1148,当年实际!$C:$C,"&gt;="&amp;DATE(YEAR(主页!$D$2),1,1),当年实际!$C:$C,"&lt;="&amp;EOMONTH(DATE(YEAR(主页!$D$2),MONTH(主页!$D$2),1),0))/SUMIFS(当年实际!$P:$P,当年实际!$J:$J,$C1148,当年实际!$C:$C,"&gt;="&amp;DATE(YEAR(主页!$D$2),1,1),当年实际!$C:$C,"&lt;="&amp;EOMONTH(DATE(YEAR(主页!$D$2),MONTH(主页!$D$2),1),0)),"")</f>
        <v/>
      </c>
    </row>
    <row r="1149" spans="1:10" x14ac:dyDescent="0.3">
      <c r="A1149" s="129"/>
      <c r="B1149" s="150"/>
      <c r="C1149" s="150"/>
      <c r="D1149" s="150"/>
      <c r="E1149" s="140" t="str">
        <f t="shared" si="54"/>
        <v/>
      </c>
      <c r="F1149" s="157"/>
      <c r="G1149" s="145">
        <f t="shared" si="55"/>
        <v>0</v>
      </c>
      <c r="H1149" s="140" t="str">
        <f t="shared" si="56"/>
        <v/>
      </c>
      <c r="J1149" s="147" t="str">
        <f>IFERROR(SUMIFS(当年实际!$V:$V,当年实际!$J:$J,$C1149,当年实际!$C:$C,"&gt;="&amp;DATE(YEAR(主页!$D$2),1,1),当年实际!$C:$C,"&lt;="&amp;EOMONTH(DATE(YEAR(主页!$D$2),MONTH(主页!$D$2),1),0))/SUMIFS(当年实际!$P:$P,当年实际!$J:$J,$C1149,当年实际!$C:$C,"&gt;="&amp;DATE(YEAR(主页!$D$2),1,1),当年实际!$C:$C,"&lt;="&amp;EOMONTH(DATE(YEAR(主页!$D$2),MONTH(主页!$D$2),1),0)),"")</f>
        <v/>
      </c>
    </row>
    <row r="1150" spans="1:10" x14ac:dyDescent="0.3">
      <c r="A1150" s="129"/>
      <c r="B1150" s="150"/>
      <c r="C1150" s="150"/>
      <c r="D1150" s="150"/>
      <c r="E1150" s="140" t="str">
        <f t="shared" si="54"/>
        <v/>
      </c>
      <c r="F1150" s="157"/>
      <c r="G1150" s="145">
        <f t="shared" si="55"/>
        <v>0</v>
      </c>
      <c r="H1150" s="140" t="str">
        <f t="shared" si="56"/>
        <v/>
      </c>
      <c r="J1150" s="147" t="str">
        <f>IFERROR(SUMIFS(当年实际!$V:$V,当年实际!$J:$J,$C1150,当年实际!$C:$C,"&gt;="&amp;DATE(YEAR(主页!$D$2),1,1),当年实际!$C:$C,"&lt;="&amp;EOMONTH(DATE(YEAR(主页!$D$2),MONTH(主页!$D$2),1),0))/SUMIFS(当年实际!$P:$P,当年实际!$J:$J,$C1150,当年实际!$C:$C,"&gt;="&amp;DATE(YEAR(主页!$D$2),1,1),当年实际!$C:$C,"&lt;="&amp;EOMONTH(DATE(YEAR(主页!$D$2),MONTH(主页!$D$2),1),0)),"")</f>
        <v/>
      </c>
    </row>
    <row r="1151" spans="1:10" x14ac:dyDescent="0.3">
      <c r="A1151" s="129"/>
      <c r="B1151" s="150"/>
      <c r="C1151" s="150"/>
      <c r="D1151" s="150"/>
      <c r="E1151" s="140" t="str">
        <f t="shared" si="54"/>
        <v/>
      </c>
      <c r="F1151" s="157"/>
      <c r="G1151" s="145">
        <f t="shared" si="55"/>
        <v>0</v>
      </c>
      <c r="H1151" s="140" t="str">
        <f t="shared" si="56"/>
        <v/>
      </c>
      <c r="J1151" s="147" t="str">
        <f>IFERROR(SUMIFS(当年实际!$V:$V,当年实际!$J:$J,$C1151,当年实际!$C:$C,"&gt;="&amp;DATE(YEAR(主页!$D$2),1,1),当年实际!$C:$C,"&lt;="&amp;EOMONTH(DATE(YEAR(主页!$D$2),MONTH(主页!$D$2),1),0))/SUMIFS(当年实际!$P:$P,当年实际!$J:$J,$C1151,当年实际!$C:$C,"&gt;="&amp;DATE(YEAR(主页!$D$2),1,1),当年实际!$C:$C,"&lt;="&amp;EOMONTH(DATE(YEAR(主页!$D$2),MONTH(主页!$D$2),1),0)),"")</f>
        <v/>
      </c>
    </row>
    <row r="1152" spans="1:10" x14ac:dyDescent="0.3">
      <c r="A1152" s="129"/>
      <c r="B1152" s="150"/>
      <c r="C1152" s="150"/>
      <c r="D1152" s="150"/>
      <c r="E1152" s="140" t="str">
        <f t="shared" si="54"/>
        <v/>
      </c>
      <c r="F1152" s="157"/>
      <c r="G1152" s="145">
        <f t="shared" si="55"/>
        <v>0</v>
      </c>
      <c r="H1152" s="140" t="str">
        <f t="shared" si="56"/>
        <v/>
      </c>
      <c r="J1152" s="147" t="str">
        <f>IFERROR(SUMIFS(当年实际!$V:$V,当年实际!$J:$J,$C1152,当年实际!$C:$C,"&gt;="&amp;DATE(YEAR(主页!$D$2),1,1),当年实际!$C:$C,"&lt;="&amp;EOMONTH(DATE(YEAR(主页!$D$2),MONTH(主页!$D$2),1),0))/SUMIFS(当年实际!$P:$P,当年实际!$J:$J,$C1152,当年实际!$C:$C,"&gt;="&amp;DATE(YEAR(主页!$D$2),1,1),当年实际!$C:$C,"&lt;="&amp;EOMONTH(DATE(YEAR(主页!$D$2),MONTH(主页!$D$2),1),0)),"")</f>
        <v/>
      </c>
    </row>
    <row r="1153" spans="1:10" x14ac:dyDescent="0.3">
      <c r="A1153" s="129"/>
      <c r="B1153" s="150"/>
      <c r="C1153" s="150"/>
      <c r="D1153" s="150"/>
      <c r="E1153" s="140" t="str">
        <f t="shared" si="54"/>
        <v/>
      </c>
      <c r="F1153" s="157"/>
      <c r="G1153" s="145">
        <f t="shared" si="55"/>
        <v>0</v>
      </c>
      <c r="H1153" s="140" t="str">
        <f t="shared" si="56"/>
        <v/>
      </c>
      <c r="J1153" s="147" t="str">
        <f>IFERROR(SUMIFS(当年实际!$V:$V,当年实际!$J:$J,$C1153,当年实际!$C:$C,"&gt;="&amp;DATE(YEAR(主页!$D$2),1,1),当年实际!$C:$C,"&lt;="&amp;EOMONTH(DATE(YEAR(主页!$D$2),MONTH(主页!$D$2),1),0))/SUMIFS(当年实际!$P:$P,当年实际!$J:$J,$C1153,当年实际!$C:$C,"&gt;="&amp;DATE(YEAR(主页!$D$2),1,1),当年实际!$C:$C,"&lt;="&amp;EOMONTH(DATE(YEAR(主页!$D$2),MONTH(主页!$D$2),1),0)),"")</f>
        <v/>
      </c>
    </row>
    <row r="1154" spans="1:10" x14ac:dyDescent="0.3">
      <c r="A1154" s="129"/>
      <c r="B1154" s="150"/>
      <c r="C1154" s="150"/>
      <c r="D1154" s="150"/>
      <c r="E1154" s="140" t="str">
        <f t="shared" si="54"/>
        <v/>
      </c>
      <c r="F1154" s="157"/>
      <c r="G1154" s="145">
        <f t="shared" si="55"/>
        <v>0</v>
      </c>
      <c r="H1154" s="140" t="str">
        <f t="shared" si="56"/>
        <v/>
      </c>
      <c r="J1154" s="147" t="str">
        <f>IFERROR(SUMIFS(当年实际!$V:$V,当年实际!$J:$J,$C1154,当年实际!$C:$C,"&gt;="&amp;DATE(YEAR(主页!$D$2),1,1),当年实际!$C:$C,"&lt;="&amp;EOMONTH(DATE(YEAR(主页!$D$2),MONTH(主页!$D$2),1),0))/SUMIFS(当年实际!$P:$P,当年实际!$J:$J,$C1154,当年实际!$C:$C,"&gt;="&amp;DATE(YEAR(主页!$D$2),1,1),当年实际!$C:$C,"&lt;="&amp;EOMONTH(DATE(YEAR(主页!$D$2),MONTH(主页!$D$2),1),0)),"")</f>
        <v/>
      </c>
    </row>
    <row r="1155" spans="1:10" x14ac:dyDescent="0.3">
      <c r="A1155" s="129"/>
      <c r="B1155" s="150"/>
      <c r="C1155" s="150"/>
      <c r="D1155" s="150"/>
      <c r="E1155" s="140" t="str">
        <f t="shared" si="54"/>
        <v/>
      </c>
      <c r="F1155" s="157"/>
      <c r="G1155" s="145">
        <f t="shared" si="55"/>
        <v>0</v>
      </c>
      <c r="H1155" s="140" t="str">
        <f t="shared" si="56"/>
        <v/>
      </c>
      <c r="J1155" s="147" t="str">
        <f>IFERROR(SUMIFS(当年实际!$V:$V,当年实际!$J:$J,$C1155,当年实际!$C:$C,"&gt;="&amp;DATE(YEAR(主页!$D$2),1,1),当年实际!$C:$C,"&lt;="&amp;EOMONTH(DATE(YEAR(主页!$D$2),MONTH(主页!$D$2),1),0))/SUMIFS(当年实际!$P:$P,当年实际!$J:$J,$C1155,当年实际!$C:$C,"&gt;="&amp;DATE(YEAR(主页!$D$2),1,1),当年实际!$C:$C,"&lt;="&amp;EOMONTH(DATE(YEAR(主页!$D$2),MONTH(主页!$D$2),1),0)),"")</f>
        <v/>
      </c>
    </row>
    <row r="1156" spans="1:10" x14ac:dyDescent="0.3">
      <c r="A1156" s="129"/>
      <c r="B1156" s="150"/>
      <c r="C1156" s="150"/>
      <c r="D1156" s="150"/>
      <c r="E1156" s="140" t="str">
        <f t="shared" ref="E1156:E1200" si="57">IF(D1156/SUM(D:D)=0,"",D1156/SUM(D:D))</f>
        <v/>
      </c>
      <c r="F1156" s="157"/>
      <c r="G1156" s="145">
        <f t="shared" si="55"/>
        <v>0</v>
      </c>
      <c r="H1156" s="140" t="str">
        <f t="shared" si="56"/>
        <v/>
      </c>
      <c r="J1156" s="147" t="str">
        <f>IFERROR(SUMIFS(当年实际!$V:$V,当年实际!$J:$J,$C1156,当年实际!$C:$C,"&gt;="&amp;DATE(YEAR(主页!$D$2),1,1),当年实际!$C:$C,"&lt;="&amp;EOMONTH(DATE(YEAR(主页!$D$2),MONTH(主页!$D$2),1),0))/SUMIFS(当年实际!$P:$P,当年实际!$J:$J,$C1156,当年实际!$C:$C,"&gt;="&amp;DATE(YEAR(主页!$D$2),1,1),当年实际!$C:$C,"&lt;="&amp;EOMONTH(DATE(YEAR(主页!$D$2),MONTH(主页!$D$2),1),0)),"")</f>
        <v/>
      </c>
    </row>
    <row r="1157" spans="1:10" x14ac:dyDescent="0.3">
      <c r="A1157" s="129"/>
      <c r="B1157" s="150"/>
      <c r="C1157" s="150"/>
      <c r="D1157" s="150"/>
      <c r="E1157" s="140" t="str">
        <f t="shared" si="57"/>
        <v/>
      </c>
      <c r="F1157" s="157"/>
      <c r="G1157" s="145">
        <f t="shared" si="55"/>
        <v>0</v>
      </c>
      <c r="H1157" s="140" t="str">
        <f t="shared" si="56"/>
        <v/>
      </c>
      <c r="J1157" s="147" t="str">
        <f>IFERROR(SUMIFS(当年实际!$V:$V,当年实际!$J:$J,$C1157,当年实际!$C:$C,"&gt;="&amp;DATE(YEAR(主页!$D$2),1,1),当年实际!$C:$C,"&lt;="&amp;EOMONTH(DATE(YEAR(主页!$D$2),MONTH(主页!$D$2),1),0))/SUMIFS(当年实际!$P:$P,当年实际!$J:$J,$C1157,当年实际!$C:$C,"&gt;="&amp;DATE(YEAR(主页!$D$2),1,1),当年实际!$C:$C,"&lt;="&amp;EOMONTH(DATE(YEAR(主页!$D$2),MONTH(主页!$D$2),1),0)),"")</f>
        <v/>
      </c>
    </row>
    <row r="1158" spans="1:10" x14ac:dyDescent="0.3">
      <c r="A1158" s="129"/>
      <c r="B1158" s="150"/>
      <c r="C1158" s="150"/>
      <c r="D1158" s="150"/>
      <c r="E1158" s="140" t="str">
        <f t="shared" si="57"/>
        <v/>
      </c>
      <c r="F1158" s="157"/>
      <c r="G1158" s="145">
        <f t="shared" si="55"/>
        <v>0</v>
      </c>
      <c r="H1158" s="140" t="str">
        <f t="shared" si="56"/>
        <v/>
      </c>
      <c r="J1158" s="147" t="str">
        <f>IFERROR(SUMIFS(当年实际!$V:$V,当年实际!$J:$J,$C1158,当年实际!$C:$C,"&gt;="&amp;DATE(YEAR(主页!$D$2),1,1),当年实际!$C:$C,"&lt;="&amp;EOMONTH(DATE(YEAR(主页!$D$2),MONTH(主页!$D$2),1),0))/SUMIFS(当年实际!$P:$P,当年实际!$J:$J,$C1158,当年实际!$C:$C,"&gt;="&amp;DATE(YEAR(主页!$D$2),1,1),当年实际!$C:$C,"&lt;="&amp;EOMONTH(DATE(YEAR(主页!$D$2),MONTH(主页!$D$2),1),0)),"")</f>
        <v/>
      </c>
    </row>
    <row r="1159" spans="1:10" x14ac:dyDescent="0.3">
      <c r="A1159" s="129"/>
      <c r="B1159" s="150"/>
      <c r="C1159" s="150"/>
      <c r="D1159" s="150"/>
      <c r="E1159" s="140" t="str">
        <f t="shared" si="57"/>
        <v/>
      </c>
      <c r="F1159" s="157"/>
      <c r="G1159" s="145">
        <f t="shared" si="55"/>
        <v>0</v>
      </c>
      <c r="H1159" s="140" t="str">
        <f t="shared" si="56"/>
        <v/>
      </c>
      <c r="J1159" s="147" t="str">
        <f>IFERROR(SUMIFS(当年实际!$V:$V,当年实际!$J:$J,$C1159,当年实际!$C:$C,"&gt;="&amp;DATE(YEAR(主页!$D$2),1,1),当年实际!$C:$C,"&lt;="&amp;EOMONTH(DATE(YEAR(主页!$D$2),MONTH(主页!$D$2),1),0))/SUMIFS(当年实际!$P:$P,当年实际!$J:$J,$C1159,当年实际!$C:$C,"&gt;="&amp;DATE(YEAR(主页!$D$2),1,1),当年实际!$C:$C,"&lt;="&amp;EOMONTH(DATE(YEAR(主页!$D$2),MONTH(主页!$D$2),1),0)),"")</f>
        <v/>
      </c>
    </row>
    <row r="1160" spans="1:10" x14ac:dyDescent="0.3">
      <c r="A1160" s="129"/>
      <c r="B1160" s="150"/>
      <c r="C1160" s="150"/>
      <c r="D1160" s="150"/>
      <c r="E1160" s="140" t="str">
        <f t="shared" si="57"/>
        <v/>
      </c>
      <c r="F1160" s="157"/>
      <c r="G1160" s="145">
        <f t="shared" si="55"/>
        <v>0</v>
      </c>
      <c r="H1160" s="140" t="str">
        <f t="shared" si="56"/>
        <v/>
      </c>
      <c r="J1160" s="147" t="str">
        <f>IFERROR(SUMIFS(当年实际!$V:$V,当年实际!$J:$J,$C1160,当年实际!$C:$C,"&gt;="&amp;DATE(YEAR(主页!$D$2),1,1),当年实际!$C:$C,"&lt;="&amp;EOMONTH(DATE(YEAR(主页!$D$2),MONTH(主页!$D$2),1),0))/SUMIFS(当年实际!$P:$P,当年实际!$J:$J,$C1160,当年实际!$C:$C,"&gt;="&amp;DATE(YEAR(主页!$D$2),1,1),当年实际!$C:$C,"&lt;="&amp;EOMONTH(DATE(YEAR(主页!$D$2),MONTH(主页!$D$2),1),0)),"")</f>
        <v/>
      </c>
    </row>
    <row r="1161" spans="1:10" x14ac:dyDescent="0.3">
      <c r="A1161" s="129"/>
      <c r="B1161" s="150"/>
      <c r="C1161" s="150"/>
      <c r="D1161" s="150"/>
      <c r="E1161" s="140" t="str">
        <f t="shared" si="57"/>
        <v/>
      </c>
      <c r="F1161" s="157"/>
      <c r="G1161" s="145">
        <f t="shared" si="55"/>
        <v>0</v>
      </c>
      <c r="H1161" s="140" t="str">
        <f t="shared" si="56"/>
        <v/>
      </c>
      <c r="J1161" s="147" t="str">
        <f>IFERROR(SUMIFS(当年实际!$V:$V,当年实际!$J:$J,$C1161,当年实际!$C:$C,"&gt;="&amp;DATE(YEAR(主页!$D$2),1,1),当年实际!$C:$C,"&lt;="&amp;EOMONTH(DATE(YEAR(主页!$D$2),MONTH(主页!$D$2),1),0))/SUMIFS(当年实际!$P:$P,当年实际!$J:$J,$C1161,当年实际!$C:$C,"&gt;="&amp;DATE(YEAR(主页!$D$2),1,1),当年实际!$C:$C,"&lt;="&amp;EOMONTH(DATE(YEAR(主页!$D$2),MONTH(主页!$D$2),1),0)),"")</f>
        <v/>
      </c>
    </row>
    <row r="1162" spans="1:10" x14ac:dyDescent="0.3">
      <c r="A1162" s="129"/>
      <c r="B1162" s="150"/>
      <c r="C1162" s="150"/>
      <c r="D1162" s="150"/>
      <c r="E1162" s="140" t="str">
        <f t="shared" si="57"/>
        <v/>
      </c>
      <c r="F1162" s="157"/>
      <c r="G1162" s="145">
        <f t="shared" si="55"/>
        <v>0</v>
      </c>
      <c r="H1162" s="140" t="str">
        <f t="shared" si="56"/>
        <v/>
      </c>
      <c r="J1162" s="147" t="str">
        <f>IFERROR(SUMIFS(当年实际!$V:$V,当年实际!$J:$J,$C1162,当年实际!$C:$C,"&gt;="&amp;DATE(YEAR(主页!$D$2),1,1),当年实际!$C:$C,"&lt;="&amp;EOMONTH(DATE(YEAR(主页!$D$2),MONTH(主页!$D$2),1),0))/SUMIFS(当年实际!$P:$P,当年实际!$J:$J,$C1162,当年实际!$C:$C,"&gt;="&amp;DATE(YEAR(主页!$D$2),1,1),当年实际!$C:$C,"&lt;="&amp;EOMONTH(DATE(YEAR(主页!$D$2),MONTH(主页!$D$2),1),0)),"")</f>
        <v/>
      </c>
    </row>
    <row r="1163" spans="1:10" x14ac:dyDescent="0.3">
      <c r="A1163" s="129"/>
      <c r="B1163" s="150"/>
      <c r="C1163" s="150"/>
      <c r="D1163" s="150"/>
      <c r="E1163" s="140" t="str">
        <f t="shared" si="57"/>
        <v/>
      </c>
      <c r="F1163" s="157"/>
      <c r="G1163" s="145">
        <f t="shared" si="55"/>
        <v>0</v>
      </c>
      <c r="H1163" s="140" t="str">
        <f t="shared" si="56"/>
        <v/>
      </c>
      <c r="J1163" s="147" t="str">
        <f>IFERROR(SUMIFS(当年实际!$V:$V,当年实际!$J:$J,$C1163,当年实际!$C:$C,"&gt;="&amp;DATE(YEAR(主页!$D$2),1,1),当年实际!$C:$C,"&lt;="&amp;EOMONTH(DATE(YEAR(主页!$D$2),MONTH(主页!$D$2),1),0))/SUMIFS(当年实际!$P:$P,当年实际!$J:$J,$C1163,当年实际!$C:$C,"&gt;="&amp;DATE(YEAR(主页!$D$2),1,1),当年实际!$C:$C,"&lt;="&amp;EOMONTH(DATE(YEAR(主页!$D$2),MONTH(主页!$D$2),1),0)),"")</f>
        <v/>
      </c>
    </row>
    <row r="1164" spans="1:10" x14ac:dyDescent="0.3">
      <c r="A1164" s="129"/>
      <c r="B1164" s="150"/>
      <c r="C1164" s="150"/>
      <c r="D1164" s="150"/>
      <c r="E1164" s="140" t="str">
        <f t="shared" si="57"/>
        <v/>
      </c>
      <c r="F1164" s="157"/>
      <c r="G1164" s="145">
        <f t="shared" si="55"/>
        <v>0</v>
      </c>
      <c r="H1164" s="140" t="str">
        <f t="shared" si="56"/>
        <v/>
      </c>
      <c r="J1164" s="147" t="str">
        <f>IFERROR(SUMIFS(当年实际!$V:$V,当年实际!$J:$J,$C1164,当年实际!$C:$C,"&gt;="&amp;DATE(YEAR(主页!$D$2),1,1),当年实际!$C:$C,"&lt;="&amp;EOMONTH(DATE(YEAR(主页!$D$2),MONTH(主页!$D$2),1),0))/SUMIFS(当年实际!$P:$P,当年实际!$J:$J,$C1164,当年实际!$C:$C,"&gt;="&amp;DATE(YEAR(主页!$D$2),1,1),当年实际!$C:$C,"&lt;="&amp;EOMONTH(DATE(YEAR(主页!$D$2),MONTH(主页!$D$2),1),0)),"")</f>
        <v/>
      </c>
    </row>
    <row r="1165" spans="1:10" x14ac:dyDescent="0.3">
      <c r="A1165" s="129"/>
      <c r="B1165" s="150"/>
      <c r="C1165" s="150"/>
      <c r="D1165" s="150"/>
      <c r="E1165" s="140" t="str">
        <f t="shared" si="57"/>
        <v/>
      </c>
      <c r="F1165" s="157"/>
      <c r="G1165" s="145">
        <f t="shared" si="55"/>
        <v>0</v>
      </c>
      <c r="H1165" s="140" t="str">
        <f t="shared" si="56"/>
        <v/>
      </c>
      <c r="J1165" s="147" t="str">
        <f>IFERROR(SUMIFS(当年实际!$V:$V,当年实际!$J:$J,$C1165,当年实际!$C:$C,"&gt;="&amp;DATE(YEAR(主页!$D$2),1,1),当年实际!$C:$C,"&lt;="&amp;EOMONTH(DATE(YEAR(主页!$D$2),MONTH(主页!$D$2),1),0))/SUMIFS(当年实际!$P:$P,当年实际!$J:$J,$C1165,当年实际!$C:$C,"&gt;="&amp;DATE(YEAR(主页!$D$2),1,1),当年实际!$C:$C,"&lt;="&amp;EOMONTH(DATE(YEAR(主页!$D$2),MONTH(主页!$D$2),1),0)),"")</f>
        <v/>
      </c>
    </row>
    <row r="1166" spans="1:10" x14ac:dyDescent="0.3">
      <c r="A1166" s="129"/>
      <c r="B1166" s="150"/>
      <c r="C1166" s="150"/>
      <c r="D1166" s="150"/>
      <c r="E1166" s="140" t="str">
        <f t="shared" si="57"/>
        <v/>
      </c>
      <c r="F1166" s="157"/>
      <c r="G1166" s="145">
        <f t="shared" si="55"/>
        <v>0</v>
      </c>
      <c r="H1166" s="140" t="str">
        <f t="shared" si="56"/>
        <v/>
      </c>
      <c r="J1166" s="147" t="str">
        <f>IFERROR(SUMIFS(当年实际!$V:$V,当年实际!$J:$J,$C1166,当年实际!$C:$C,"&gt;="&amp;DATE(YEAR(主页!$D$2),1,1),当年实际!$C:$C,"&lt;="&amp;EOMONTH(DATE(YEAR(主页!$D$2),MONTH(主页!$D$2),1),0))/SUMIFS(当年实际!$P:$P,当年实际!$J:$J,$C1166,当年实际!$C:$C,"&gt;="&amp;DATE(YEAR(主页!$D$2),1,1),当年实际!$C:$C,"&lt;="&amp;EOMONTH(DATE(YEAR(主页!$D$2),MONTH(主页!$D$2),1),0)),"")</f>
        <v/>
      </c>
    </row>
    <row r="1167" spans="1:10" x14ac:dyDescent="0.3">
      <c r="A1167" s="129"/>
      <c r="B1167" s="150"/>
      <c r="C1167" s="150"/>
      <c r="D1167" s="150"/>
      <c r="E1167" s="140" t="str">
        <f t="shared" si="57"/>
        <v/>
      </c>
      <c r="F1167" s="157"/>
      <c r="G1167" s="145">
        <f t="shared" si="55"/>
        <v>0</v>
      </c>
      <c r="H1167" s="140" t="str">
        <f t="shared" si="56"/>
        <v/>
      </c>
      <c r="J1167" s="147" t="str">
        <f>IFERROR(SUMIFS(当年实际!$V:$V,当年实际!$J:$J,$C1167,当年实际!$C:$C,"&gt;="&amp;DATE(YEAR(主页!$D$2),1,1),当年实际!$C:$C,"&lt;="&amp;EOMONTH(DATE(YEAR(主页!$D$2),MONTH(主页!$D$2),1),0))/SUMIFS(当年实际!$P:$P,当年实际!$J:$J,$C1167,当年实际!$C:$C,"&gt;="&amp;DATE(YEAR(主页!$D$2),1,1),当年实际!$C:$C,"&lt;="&amp;EOMONTH(DATE(YEAR(主页!$D$2),MONTH(主页!$D$2),1),0)),"")</f>
        <v/>
      </c>
    </row>
    <row r="1168" spans="1:10" x14ac:dyDescent="0.3">
      <c r="A1168" s="129"/>
      <c r="B1168" s="150"/>
      <c r="C1168" s="150"/>
      <c r="D1168" s="150"/>
      <c r="E1168" s="140" t="str">
        <f t="shared" si="57"/>
        <v/>
      </c>
      <c r="F1168" s="157"/>
      <c r="G1168" s="145">
        <f t="shared" si="55"/>
        <v>0</v>
      </c>
      <c r="H1168" s="140" t="str">
        <f t="shared" si="56"/>
        <v/>
      </c>
      <c r="J1168" s="147" t="str">
        <f>IFERROR(SUMIFS(当年实际!$V:$V,当年实际!$J:$J,$C1168,当年实际!$C:$C,"&gt;="&amp;DATE(YEAR(主页!$D$2),1,1),当年实际!$C:$C,"&lt;="&amp;EOMONTH(DATE(YEAR(主页!$D$2),MONTH(主页!$D$2),1),0))/SUMIFS(当年实际!$P:$P,当年实际!$J:$J,$C1168,当年实际!$C:$C,"&gt;="&amp;DATE(YEAR(主页!$D$2),1,1),当年实际!$C:$C,"&lt;="&amp;EOMONTH(DATE(YEAR(主页!$D$2),MONTH(主页!$D$2),1),0)),"")</f>
        <v/>
      </c>
    </row>
    <row r="1169" spans="1:10" x14ac:dyDescent="0.3">
      <c r="A1169" s="129"/>
      <c r="B1169" s="150"/>
      <c r="C1169" s="150"/>
      <c r="D1169" s="150"/>
      <c r="E1169" s="140" t="str">
        <f t="shared" si="57"/>
        <v/>
      </c>
      <c r="F1169" s="157"/>
      <c r="G1169" s="145">
        <f t="shared" si="55"/>
        <v>0</v>
      </c>
      <c r="H1169" s="140" t="str">
        <f t="shared" si="56"/>
        <v/>
      </c>
      <c r="J1169" s="147" t="str">
        <f>IFERROR(SUMIFS(当年实际!$V:$V,当年实际!$J:$J,$C1169,当年实际!$C:$C,"&gt;="&amp;DATE(YEAR(主页!$D$2),1,1),当年实际!$C:$C,"&lt;="&amp;EOMONTH(DATE(YEAR(主页!$D$2),MONTH(主页!$D$2),1),0))/SUMIFS(当年实际!$P:$P,当年实际!$J:$J,$C1169,当年实际!$C:$C,"&gt;="&amp;DATE(YEAR(主页!$D$2),1,1),当年实际!$C:$C,"&lt;="&amp;EOMONTH(DATE(YEAR(主页!$D$2),MONTH(主页!$D$2),1),0)),"")</f>
        <v/>
      </c>
    </row>
    <row r="1170" spans="1:10" x14ac:dyDescent="0.3">
      <c r="A1170" s="129"/>
      <c r="B1170" s="150"/>
      <c r="C1170" s="150"/>
      <c r="D1170" s="150"/>
      <c r="E1170" s="140" t="str">
        <f t="shared" si="57"/>
        <v/>
      </c>
      <c r="F1170" s="157"/>
      <c r="G1170" s="145">
        <f t="shared" si="55"/>
        <v>0</v>
      </c>
      <c r="H1170" s="140" t="str">
        <f t="shared" si="56"/>
        <v/>
      </c>
      <c r="J1170" s="147" t="str">
        <f>IFERROR(SUMIFS(当年实际!$V:$V,当年实际!$J:$J,$C1170,当年实际!$C:$C,"&gt;="&amp;DATE(YEAR(主页!$D$2),1,1),当年实际!$C:$C,"&lt;="&amp;EOMONTH(DATE(YEAR(主页!$D$2),MONTH(主页!$D$2),1),0))/SUMIFS(当年实际!$P:$P,当年实际!$J:$J,$C1170,当年实际!$C:$C,"&gt;="&amp;DATE(YEAR(主页!$D$2),1,1),当年实际!$C:$C,"&lt;="&amp;EOMONTH(DATE(YEAR(主页!$D$2),MONTH(主页!$D$2),1),0)),"")</f>
        <v/>
      </c>
    </row>
    <row r="1171" spans="1:10" x14ac:dyDescent="0.3">
      <c r="A1171" s="129"/>
      <c r="B1171" s="150"/>
      <c r="C1171" s="150"/>
      <c r="D1171" s="150"/>
      <c r="E1171" s="140" t="str">
        <f t="shared" si="57"/>
        <v/>
      </c>
      <c r="F1171" s="157"/>
      <c r="G1171" s="145">
        <f t="shared" si="55"/>
        <v>0</v>
      </c>
      <c r="H1171" s="140" t="str">
        <f t="shared" si="56"/>
        <v/>
      </c>
      <c r="J1171" s="147" t="str">
        <f>IFERROR(SUMIFS(当年实际!$V:$V,当年实际!$J:$J,$C1171,当年实际!$C:$C,"&gt;="&amp;DATE(YEAR(主页!$D$2),1,1),当年实际!$C:$C,"&lt;="&amp;EOMONTH(DATE(YEAR(主页!$D$2),MONTH(主页!$D$2),1),0))/SUMIFS(当年实际!$P:$P,当年实际!$J:$J,$C1171,当年实际!$C:$C,"&gt;="&amp;DATE(YEAR(主页!$D$2),1,1),当年实际!$C:$C,"&lt;="&amp;EOMONTH(DATE(YEAR(主页!$D$2),MONTH(主页!$D$2),1),0)),"")</f>
        <v/>
      </c>
    </row>
    <row r="1172" spans="1:10" x14ac:dyDescent="0.3">
      <c r="A1172" s="129"/>
      <c r="B1172" s="150"/>
      <c r="C1172" s="150"/>
      <c r="D1172" s="150"/>
      <c r="E1172" s="140" t="str">
        <f t="shared" si="57"/>
        <v/>
      </c>
      <c r="F1172" s="157"/>
      <c r="G1172" s="145">
        <f t="shared" si="55"/>
        <v>0</v>
      </c>
      <c r="H1172" s="140" t="str">
        <f t="shared" si="56"/>
        <v/>
      </c>
      <c r="J1172" s="147" t="str">
        <f>IFERROR(SUMIFS(当年实际!$V:$V,当年实际!$J:$J,$C1172,当年实际!$C:$C,"&gt;="&amp;DATE(YEAR(主页!$D$2),1,1),当年实际!$C:$C,"&lt;="&amp;EOMONTH(DATE(YEAR(主页!$D$2),MONTH(主页!$D$2),1),0))/SUMIFS(当年实际!$P:$P,当年实际!$J:$J,$C1172,当年实际!$C:$C,"&gt;="&amp;DATE(YEAR(主页!$D$2),1,1),当年实际!$C:$C,"&lt;="&amp;EOMONTH(DATE(YEAR(主页!$D$2),MONTH(主页!$D$2),1),0)),"")</f>
        <v/>
      </c>
    </row>
    <row r="1173" spans="1:10" x14ac:dyDescent="0.3">
      <c r="A1173" s="129"/>
      <c r="B1173" s="150"/>
      <c r="C1173" s="150"/>
      <c r="D1173" s="150"/>
      <c r="E1173" s="140" t="str">
        <f t="shared" si="57"/>
        <v/>
      </c>
      <c r="F1173" s="157"/>
      <c r="G1173" s="145">
        <f t="shared" si="55"/>
        <v>0</v>
      </c>
      <c r="H1173" s="140" t="str">
        <f t="shared" si="56"/>
        <v/>
      </c>
      <c r="J1173" s="147" t="str">
        <f>IFERROR(SUMIFS(当年实际!$V:$V,当年实际!$J:$J,$C1173,当年实际!$C:$C,"&gt;="&amp;DATE(YEAR(主页!$D$2),1,1),当年实际!$C:$C,"&lt;="&amp;EOMONTH(DATE(YEAR(主页!$D$2),MONTH(主页!$D$2),1),0))/SUMIFS(当年实际!$P:$P,当年实际!$J:$J,$C1173,当年实际!$C:$C,"&gt;="&amp;DATE(YEAR(主页!$D$2),1,1),当年实际!$C:$C,"&lt;="&amp;EOMONTH(DATE(YEAR(主页!$D$2),MONTH(主页!$D$2),1),0)),"")</f>
        <v/>
      </c>
    </row>
    <row r="1174" spans="1:10" x14ac:dyDescent="0.3">
      <c r="A1174" s="129"/>
      <c r="B1174" s="150"/>
      <c r="C1174" s="150"/>
      <c r="D1174" s="150"/>
      <c r="E1174" s="140" t="str">
        <f t="shared" si="57"/>
        <v/>
      </c>
      <c r="F1174" s="157"/>
      <c r="G1174" s="145">
        <f t="shared" si="55"/>
        <v>0</v>
      </c>
      <c r="H1174" s="140" t="str">
        <f t="shared" si="56"/>
        <v/>
      </c>
      <c r="J1174" s="147" t="str">
        <f>IFERROR(SUMIFS(当年实际!$V:$V,当年实际!$J:$J,$C1174,当年实际!$C:$C,"&gt;="&amp;DATE(YEAR(主页!$D$2),1,1),当年实际!$C:$C,"&lt;="&amp;EOMONTH(DATE(YEAR(主页!$D$2),MONTH(主页!$D$2),1),0))/SUMIFS(当年实际!$P:$P,当年实际!$J:$J,$C1174,当年实际!$C:$C,"&gt;="&amp;DATE(YEAR(主页!$D$2),1,1),当年实际!$C:$C,"&lt;="&amp;EOMONTH(DATE(YEAR(主页!$D$2),MONTH(主页!$D$2),1),0)),"")</f>
        <v/>
      </c>
    </row>
    <row r="1175" spans="1:10" x14ac:dyDescent="0.3">
      <c r="A1175" s="129"/>
      <c r="B1175" s="150"/>
      <c r="C1175" s="150"/>
      <c r="D1175" s="150"/>
      <c r="E1175" s="140" t="str">
        <f t="shared" si="57"/>
        <v/>
      </c>
      <c r="F1175" s="157"/>
      <c r="G1175" s="145">
        <f t="shared" si="55"/>
        <v>0</v>
      </c>
      <c r="H1175" s="140" t="str">
        <f t="shared" si="56"/>
        <v/>
      </c>
      <c r="J1175" s="147" t="str">
        <f>IFERROR(SUMIFS(当年实际!$V:$V,当年实际!$J:$J,$C1175,当年实际!$C:$C,"&gt;="&amp;DATE(YEAR(主页!$D$2),1,1),当年实际!$C:$C,"&lt;="&amp;EOMONTH(DATE(YEAR(主页!$D$2),MONTH(主页!$D$2),1),0))/SUMIFS(当年实际!$P:$P,当年实际!$J:$J,$C1175,当年实际!$C:$C,"&gt;="&amp;DATE(YEAR(主页!$D$2),1,1),当年实际!$C:$C,"&lt;="&amp;EOMONTH(DATE(YEAR(主页!$D$2),MONTH(主页!$D$2),1),0)),"")</f>
        <v/>
      </c>
    </row>
    <row r="1176" spans="1:10" x14ac:dyDescent="0.3">
      <c r="A1176" s="129"/>
      <c r="B1176" s="150"/>
      <c r="C1176" s="150"/>
      <c r="D1176" s="150"/>
      <c r="E1176" s="140" t="str">
        <f t="shared" si="57"/>
        <v/>
      </c>
      <c r="F1176" s="157"/>
      <c r="G1176" s="145">
        <f t="shared" si="55"/>
        <v>0</v>
      </c>
      <c r="H1176" s="140" t="str">
        <f t="shared" si="56"/>
        <v/>
      </c>
      <c r="J1176" s="147" t="str">
        <f>IFERROR(SUMIFS(当年实际!$V:$V,当年实际!$J:$J,$C1176,当年实际!$C:$C,"&gt;="&amp;DATE(YEAR(主页!$D$2),1,1),当年实际!$C:$C,"&lt;="&amp;EOMONTH(DATE(YEAR(主页!$D$2),MONTH(主页!$D$2),1),0))/SUMIFS(当年实际!$P:$P,当年实际!$J:$J,$C1176,当年实际!$C:$C,"&gt;="&amp;DATE(YEAR(主页!$D$2),1,1),当年实际!$C:$C,"&lt;="&amp;EOMONTH(DATE(YEAR(主页!$D$2),MONTH(主页!$D$2),1),0)),"")</f>
        <v/>
      </c>
    </row>
    <row r="1177" spans="1:10" x14ac:dyDescent="0.3">
      <c r="A1177" s="129"/>
      <c r="B1177" s="150"/>
      <c r="C1177" s="150"/>
      <c r="D1177" s="150"/>
      <c r="E1177" s="140" t="str">
        <f t="shared" si="57"/>
        <v/>
      </c>
      <c r="F1177" s="157"/>
      <c r="G1177" s="145">
        <f t="shared" si="55"/>
        <v>0</v>
      </c>
      <c r="H1177" s="140" t="str">
        <f t="shared" si="56"/>
        <v/>
      </c>
      <c r="J1177" s="147" t="str">
        <f>IFERROR(SUMIFS(当年实际!$V:$V,当年实际!$J:$J,$C1177,当年实际!$C:$C,"&gt;="&amp;DATE(YEAR(主页!$D$2),1,1),当年实际!$C:$C,"&lt;="&amp;EOMONTH(DATE(YEAR(主页!$D$2),MONTH(主页!$D$2),1),0))/SUMIFS(当年实际!$P:$P,当年实际!$J:$J,$C1177,当年实际!$C:$C,"&gt;="&amp;DATE(YEAR(主页!$D$2),1,1),当年实际!$C:$C,"&lt;="&amp;EOMONTH(DATE(YEAR(主页!$D$2),MONTH(主页!$D$2),1),0)),"")</f>
        <v/>
      </c>
    </row>
    <row r="1178" spans="1:10" x14ac:dyDescent="0.3">
      <c r="A1178" s="129"/>
      <c r="B1178" s="150"/>
      <c r="C1178" s="150"/>
      <c r="D1178" s="150"/>
      <c r="E1178" s="140" t="str">
        <f t="shared" si="57"/>
        <v/>
      </c>
      <c r="F1178" s="157"/>
      <c r="G1178" s="145">
        <f t="shared" si="55"/>
        <v>0</v>
      </c>
      <c r="H1178" s="140" t="str">
        <f t="shared" si="56"/>
        <v/>
      </c>
      <c r="J1178" s="147" t="str">
        <f>IFERROR(SUMIFS(当年实际!$V:$V,当年实际!$J:$J,$C1178,当年实际!$C:$C,"&gt;="&amp;DATE(YEAR(主页!$D$2),1,1),当年实际!$C:$C,"&lt;="&amp;EOMONTH(DATE(YEAR(主页!$D$2),MONTH(主页!$D$2),1),0))/SUMIFS(当年实际!$P:$P,当年实际!$J:$J,$C1178,当年实际!$C:$C,"&gt;="&amp;DATE(YEAR(主页!$D$2),1,1),当年实际!$C:$C,"&lt;="&amp;EOMONTH(DATE(YEAR(主页!$D$2),MONTH(主页!$D$2),1),0)),"")</f>
        <v/>
      </c>
    </row>
    <row r="1179" spans="1:10" x14ac:dyDescent="0.3">
      <c r="A1179" s="129"/>
      <c r="B1179" s="150"/>
      <c r="C1179" s="150"/>
      <c r="D1179" s="150"/>
      <c r="E1179" s="140" t="str">
        <f t="shared" si="57"/>
        <v/>
      </c>
      <c r="F1179" s="157"/>
      <c r="G1179" s="145">
        <f t="shared" si="55"/>
        <v>0</v>
      </c>
      <c r="H1179" s="140" t="str">
        <f t="shared" si="56"/>
        <v/>
      </c>
      <c r="J1179" s="147" t="str">
        <f>IFERROR(SUMIFS(当年实际!$V:$V,当年实际!$J:$J,$C1179,当年实际!$C:$C,"&gt;="&amp;DATE(YEAR(主页!$D$2),1,1),当年实际!$C:$C,"&lt;="&amp;EOMONTH(DATE(YEAR(主页!$D$2),MONTH(主页!$D$2),1),0))/SUMIFS(当年实际!$P:$P,当年实际!$J:$J,$C1179,当年实际!$C:$C,"&gt;="&amp;DATE(YEAR(主页!$D$2),1,1),当年实际!$C:$C,"&lt;="&amp;EOMONTH(DATE(YEAR(主页!$D$2),MONTH(主页!$D$2),1),0)),"")</f>
        <v/>
      </c>
    </row>
    <row r="1180" spans="1:10" x14ac:dyDescent="0.3">
      <c r="A1180" s="129"/>
      <c r="B1180" s="150"/>
      <c r="C1180" s="150"/>
      <c r="D1180" s="150"/>
      <c r="E1180" s="140" t="str">
        <f t="shared" si="57"/>
        <v/>
      </c>
      <c r="F1180" s="157"/>
      <c r="G1180" s="145">
        <f t="shared" si="55"/>
        <v>0</v>
      </c>
      <c r="H1180" s="140" t="str">
        <f t="shared" si="56"/>
        <v/>
      </c>
      <c r="J1180" s="147" t="str">
        <f>IFERROR(SUMIFS(当年实际!$V:$V,当年实际!$J:$J,$C1180,当年实际!$C:$C,"&gt;="&amp;DATE(YEAR(主页!$D$2),1,1),当年实际!$C:$C,"&lt;="&amp;EOMONTH(DATE(YEAR(主页!$D$2),MONTH(主页!$D$2),1),0))/SUMIFS(当年实际!$P:$P,当年实际!$J:$J,$C1180,当年实际!$C:$C,"&gt;="&amp;DATE(YEAR(主页!$D$2),1,1),当年实际!$C:$C,"&lt;="&amp;EOMONTH(DATE(YEAR(主页!$D$2),MONTH(主页!$D$2),1),0)),"")</f>
        <v/>
      </c>
    </row>
    <row r="1181" spans="1:10" x14ac:dyDescent="0.3">
      <c r="A1181" s="129"/>
      <c r="B1181" s="150"/>
      <c r="C1181" s="150"/>
      <c r="D1181" s="150"/>
      <c r="E1181" s="140" t="str">
        <f t="shared" si="57"/>
        <v/>
      </c>
      <c r="F1181" s="157"/>
      <c r="G1181" s="145">
        <f t="shared" si="55"/>
        <v>0</v>
      </c>
      <c r="H1181" s="140" t="str">
        <f t="shared" si="56"/>
        <v/>
      </c>
      <c r="J1181" s="147" t="str">
        <f>IFERROR(SUMIFS(当年实际!$V:$V,当年实际!$J:$J,$C1181,当年实际!$C:$C,"&gt;="&amp;DATE(YEAR(主页!$D$2),1,1),当年实际!$C:$C,"&lt;="&amp;EOMONTH(DATE(YEAR(主页!$D$2),MONTH(主页!$D$2),1),0))/SUMIFS(当年实际!$P:$P,当年实际!$J:$J,$C1181,当年实际!$C:$C,"&gt;="&amp;DATE(YEAR(主页!$D$2),1,1),当年实际!$C:$C,"&lt;="&amp;EOMONTH(DATE(YEAR(主页!$D$2),MONTH(主页!$D$2),1),0)),"")</f>
        <v/>
      </c>
    </row>
    <row r="1182" spans="1:10" x14ac:dyDescent="0.3">
      <c r="A1182" s="129"/>
      <c r="B1182" s="150"/>
      <c r="C1182" s="150"/>
      <c r="D1182" s="150"/>
      <c r="E1182" s="140" t="str">
        <f t="shared" si="57"/>
        <v/>
      </c>
      <c r="F1182" s="157"/>
      <c r="G1182" s="145">
        <f t="shared" si="55"/>
        <v>0</v>
      </c>
      <c r="H1182" s="140" t="str">
        <f t="shared" si="56"/>
        <v/>
      </c>
      <c r="J1182" s="147" t="str">
        <f>IFERROR(SUMIFS(当年实际!$V:$V,当年实际!$J:$J,$C1182,当年实际!$C:$C,"&gt;="&amp;DATE(YEAR(主页!$D$2),1,1),当年实际!$C:$C,"&lt;="&amp;EOMONTH(DATE(YEAR(主页!$D$2),MONTH(主页!$D$2),1),0))/SUMIFS(当年实际!$P:$P,当年实际!$J:$J,$C1182,当年实际!$C:$C,"&gt;="&amp;DATE(YEAR(主页!$D$2),1,1),当年实际!$C:$C,"&lt;="&amp;EOMONTH(DATE(YEAR(主页!$D$2),MONTH(主页!$D$2),1),0)),"")</f>
        <v/>
      </c>
    </row>
    <row r="1183" spans="1:10" x14ac:dyDescent="0.3">
      <c r="A1183" s="129"/>
      <c r="B1183" s="150"/>
      <c r="C1183" s="150"/>
      <c r="D1183" s="150"/>
      <c r="E1183" s="140" t="str">
        <f t="shared" si="57"/>
        <v/>
      </c>
      <c r="F1183" s="157"/>
      <c r="G1183" s="145">
        <f t="shared" ref="G1183:G1200" si="58">D1183*F1183</f>
        <v>0</v>
      </c>
      <c r="H1183" s="140" t="str">
        <f t="shared" ref="H1183:H1200" si="59">IF(G1183/SUM(G:G)=0,"",G1183/SUM(G:G))</f>
        <v/>
      </c>
      <c r="J1183" s="147" t="str">
        <f>IFERROR(SUMIFS(当年实际!$V:$V,当年实际!$J:$J,$C1183,当年实际!$C:$C,"&gt;="&amp;DATE(YEAR(主页!$D$2),1,1),当年实际!$C:$C,"&lt;="&amp;EOMONTH(DATE(YEAR(主页!$D$2),MONTH(主页!$D$2),1),0))/SUMIFS(当年实际!$P:$P,当年实际!$J:$J,$C1183,当年实际!$C:$C,"&gt;="&amp;DATE(YEAR(主页!$D$2),1,1),当年实际!$C:$C,"&lt;="&amp;EOMONTH(DATE(YEAR(主页!$D$2),MONTH(主页!$D$2),1),0)),"")</f>
        <v/>
      </c>
    </row>
    <row r="1184" spans="1:10" x14ac:dyDescent="0.3">
      <c r="A1184" s="129"/>
      <c r="B1184" s="150"/>
      <c r="C1184" s="150"/>
      <c r="D1184" s="150"/>
      <c r="E1184" s="140" t="str">
        <f t="shared" si="57"/>
        <v/>
      </c>
      <c r="F1184" s="157"/>
      <c r="G1184" s="145">
        <f t="shared" si="58"/>
        <v>0</v>
      </c>
      <c r="H1184" s="140" t="str">
        <f t="shared" si="59"/>
        <v/>
      </c>
      <c r="J1184" s="147" t="str">
        <f>IFERROR(SUMIFS(当年实际!$V:$V,当年实际!$J:$J,$C1184,当年实际!$C:$C,"&gt;="&amp;DATE(YEAR(主页!$D$2),1,1),当年实际!$C:$C,"&lt;="&amp;EOMONTH(DATE(YEAR(主页!$D$2),MONTH(主页!$D$2),1),0))/SUMIFS(当年实际!$P:$P,当年实际!$J:$J,$C1184,当年实际!$C:$C,"&gt;="&amp;DATE(YEAR(主页!$D$2),1,1),当年实际!$C:$C,"&lt;="&amp;EOMONTH(DATE(YEAR(主页!$D$2),MONTH(主页!$D$2),1),0)),"")</f>
        <v/>
      </c>
    </row>
    <row r="1185" spans="1:10" x14ac:dyDescent="0.3">
      <c r="A1185" s="129"/>
      <c r="B1185" s="150"/>
      <c r="C1185" s="150"/>
      <c r="D1185" s="150"/>
      <c r="E1185" s="140" t="str">
        <f t="shared" si="57"/>
        <v/>
      </c>
      <c r="F1185" s="157"/>
      <c r="G1185" s="145">
        <f t="shared" si="58"/>
        <v>0</v>
      </c>
      <c r="H1185" s="140" t="str">
        <f t="shared" si="59"/>
        <v/>
      </c>
      <c r="J1185" s="147" t="str">
        <f>IFERROR(SUMIFS(当年实际!$V:$V,当年实际!$J:$J,$C1185,当年实际!$C:$C,"&gt;="&amp;DATE(YEAR(主页!$D$2),1,1),当年实际!$C:$C,"&lt;="&amp;EOMONTH(DATE(YEAR(主页!$D$2),MONTH(主页!$D$2),1),0))/SUMIFS(当年实际!$P:$P,当年实际!$J:$J,$C1185,当年实际!$C:$C,"&gt;="&amp;DATE(YEAR(主页!$D$2),1,1),当年实际!$C:$C,"&lt;="&amp;EOMONTH(DATE(YEAR(主页!$D$2),MONTH(主页!$D$2),1),0)),"")</f>
        <v/>
      </c>
    </row>
    <row r="1186" spans="1:10" x14ac:dyDescent="0.3">
      <c r="A1186" s="129"/>
      <c r="B1186" s="150"/>
      <c r="C1186" s="150"/>
      <c r="D1186" s="150"/>
      <c r="E1186" s="140" t="str">
        <f t="shared" si="57"/>
        <v/>
      </c>
      <c r="F1186" s="157"/>
      <c r="G1186" s="145">
        <f t="shared" si="58"/>
        <v>0</v>
      </c>
      <c r="H1186" s="140" t="str">
        <f t="shared" si="59"/>
        <v/>
      </c>
      <c r="J1186" s="147" t="str">
        <f>IFERROR(SUMIFS(当年实际!$V:$V,当年实际!$J:$J,$C1186,当年实际!$C:$C,"&gt;="&amp;DATE(YEAR(主页!$D$2),1,1),当年实际!$C:$C,"&lt;="&amp;EOMONTH(DATE(YEAR(主页!$D$2),MONTH(主页!$D$2),1),0))/SUMIFS(当年实际!$P:$P,当年实际!$J:$J,$C1186,当年实际!$C:$C,"&gt;="&amp;DATE(YEAR(主页!$D$2),1,1),当年实际!$C:$C,"&lt;="&amp;EOMONTH(DATE(YEAR(主页!$D$2),MONTH(主页!$D$2),1),0)),"")</f>
        <v/>
      </c>
    </row>
    <row r="1187" spans="1:10" x14ac:dyDescent="0.3">
      <c r="A1187" s="129"/>
      <c r="B1187" s="150"/>
      <c r="C1187" s="150"/>
      <c r="D1187" s="150"/>
      <c r="E1187" s="140" t="str">
        <f t="shared" si="57"/>
        <v/>
      </c>
      <c r="F1187" s="157"/>
      <c r="G1187" s="145">
        <f t="shared" si="58"/>
        <v>0</v>
      </c>
      <c r="H1187" s="140" t="str">
        <f t="shared" si="59"/>
        <v/>
      </c>
      <c r="J1187" s="147" t="str">
        <f>IFERROR(SUMIFS(当年实际!$V:$V,当年实际!$J:$J,$C1187,当年实际!$C:$C,"&gt;="&amp;DATE(YEAR(主页!$D$2),1,1),当年实际!$C:$C,"&lt;="&amp;EOMONTH(DATE(YEAR(主页!$D$2),MONTH(主页!$D$2),1),0))/SUMIFS(当年实际!$P:$P,当年实际!$J:$J,$C1187,当年实际!$C:$C,"&gt;="&amp;DATE(YEAR(主页!$D$2),1,1),当年实际!$C:$C,"&lt;="&amp;EOMONTH(DATE(YEAR(主页!$D$2),MONTH(主页!$D$2),1),0)),"")</f>
        <v/>
      </c>
    </row>
    <row r="1188" spans="1:10" x14ac:dyDescent="0.3">
      <c r="A1188" s="129"/>
      <c r="B1188" s="150"/>
      <c r="C1188" s="150"/>
      <c r="D1188" s="150"/>
      <c r="E1188" s="140" t="str">
        <f t="shared" si="57"/>
        <v/>
      </c>
      <c r="F1188" s="157"/>
      <c r="G1188" s="145">
        <f t="shared" si="58"/>
        <v>0</v>
      </c>
      <c r="H1188" s="140" t="str">
        <f t="shared" si="59"/>
        <v/>
      </c>
      <c r="J1188" s="147" t="str">
        <f>IFERROR(SUMIFS(当年实际!$V:$V,当年实际!$J:$J,$C1188,当年实际!$C:$C,"&gt;="&amp;DATE(YEAR(主页!$D$2),1,1),当年实际!$C:$C,"&lt;="&amp;EOMONTH(DATE(YEAR(主页!$D$2),MONTH(主页!$D$2),1),0))/SUMIFS(当年实际!$P:$P,当年实际!$J:$J,$C1188,当年实际!$C:$C,"&gt;="&amp;DATE(YEAR(主页!$D$2),1,1),当年实际!$C:$C,"&lt;="&amp;EOMONTH(DATE(YEAR(主页!$D$2),MONTH(主页!$D$2),1),0)),"")</f>
        <v/>
      </c>
    </row>
    <row r="1189" spans="1:10" x14ac:dyDescent="0.3">
      <c r="A1189" s="129"/>
      <c r="B1189" s="150"/>
      <c r="C1189" s="150"/>
      <c r="D1189" s="150"/>
      <c r="E1189" s="140" t="str">
        <f t="shared" si="57"/>
        <v/>
      </c>
      <c r="F1189" s="157"/>
      <c r="G1189" s="145">
        <f t="shared" si="58"/>
        <v>0</v>
      </c>
      <c r="H1189" s="140" t="str">
        <f t="shared" si="59"/>
        <v/>
      </c>
      <c r="J1189" s="147" t="str">
        <f>IFERROR(SUMIFS(当年实际!$V:$V,当年实际!$J:$J,$C1189,当年实际!$C:$C,"&gt;="&amp;DATE(YEAR(主页!$D$2),1,1),当年实际!$C:$C,"&lt;="&amp;EOMONTH(DATE(YEAR(主页!$D$2),MONTH(主页!$D$2),1),0))/SUMIFS(当年实际!$P:$P,当年实际!$J:$J,$C1189,当年实际!$C:$C,"&gt;="&amp;DATE(YEAR(主页!$D$2),1,1),当年实际!$C:$C,"&lt;="&amp;EOMONTH(DATE(YEAR(主页!$D$2),MONTH(主页!$D$2),1),0)),"")</f>
        <v/>
      </c>
    </row>
    <row r="1190" spans="1:10" x14ac:dyDescent="0.3">
      <c r="A1190" s="129"/>
      <c r="B1190" s="150"/>
      <c r="C1190" s="150"/>
      <c r="D1190" s="150"/>
      <c r="E1190" s="140" t="str">
        <f t="shared" si="57"/>
        <v/>
      </c>
      <c r="F1190" s="157"/>
      <c r="G1190" s="145">
        <f t="shared" si="58"/>
        <v>0</v>
      </c>
      <c r="H1190" s="140" t="str">
        <f t="shared" si="59"/>
        <v/>
      </c>
      <c r="J1190" s="147" t="str">
        <f>IFERROR(SUMIFS(当年实际!$V:$V,当年实际!$J:$J,$C1190,当年实际!$C:$C,"&gt;="&amp;DATE(YEAR(主页!$D$2),1,1),当年实际!$C:$C,"&lt;="&amp;EOMONTH(DATE(YEAR(主页!$D$2),MONTH(主页!$D$2),1),0))/SUMIFS(当年实际!$P:$P,当年实际!$J:$J,$C1190,当年实际!$C:$C,"&gt;="&amp;DATE(YEAR(主页!$D$2),1,1),当年实际!$C:$C,"&lt;="&amp;EOMONTH(DATE(YEAR(主页!$D$2),MONTH(主页!$D$2),1),0)),"")</f>
        <v/>
      </c>
    </row>
    <row r="1191" spans="1:10" x14ac:dyDescent="0.3">
      <c r="A1191" s="129"/>
      <c r="B1191" s="150"/>
      <c r="C1191" s="150"/>
      <c r="D1191" s="150"/>
      <c r="E1191" s="140" t="str">
        <f t="shared" si="57"/>
        <v/>
      </c>
      <c r="F1191" s="157"/>
      <c r="G1191" s="145">
        <f t="shared" si="58"/>
        <v>0</v>
      </c>
      <c r="H1191" s="140" t="str">
        <f t="shared" si="59"/>
        <v/>
      </c>
      <c r="J1191" s="147" t="str">
        <f>IFERROR(SUMIFS(当年实际!$V:$V,当年实际!$J:$J,$C1191,当年实际!$C:$C,"&gt;="&amp;DATE(YEAR(主页!$D$2),1,1),当年实际!$C:$C,"&lt;="&amp;EOMONTH(DATE(YEAR(主页!$D$2),MONTH(主页!$D$2),1),0))/SUMIFS(当年实际!$P:$P,当年实际!$J:$J,$C1191,当年实际!$C:$C,"&gt;="&amp;DATE(YEAR(主页!$D$2),1,1),当年实际!$C:$C,"&lt;="&amp;EOMONTH(DATE(YEAR(主页!$D$2),MONTH(主页!$D$2),1),0)),"")</f>
        <v/>
      </c>
    </row>
    <row r="1192" spans="1:10" x14ac:dyDescent="0.3">
      <c r="A1192" s="129"/>
      <c r="B1192" s="150"/>
      <c r="C1192" s="150"/>
      <c r="D1192" s="150"/>
      <c r="E1192" s="140" t="str">
        <f t="shared" si="57"/>
        <v/>
      </c>
      <c r="F1192" s="157"/>
      <c r="G1192" s="145">
        <f t="shared" si="58"/>
        <v>0</v>
      </c>
      <c r="H1192" s="140" t="str">
        <f t="shared" si="59"/>
        <v/>
      </c>
      <c r="J1192" s="147" t="str">
        <f>IFERROR(SUMIFS(当年实际!$V:$V,当年实际!$J:$J,$C1192,当年实际!$C:$C,"&gt;="&amp;DATE(YEAR(主页!$D$2),1,1),当年实际!$C:$C,"&lt;="&amp;EOMONTH(DATE(YEAR(主页!$D$2),MONTH(主页!$D$2),1),0))/SUMIFS(当年实际!$P:$P,当年实际!$J:$J,$C1192,当年实际!$C:$C,"&gt;="&amp;DATE(YEAR(主页!$D$2),1,1),当年实际!$C:$C,"&lt;="&amp;EOMONTH(DATE(YEAR(主页!$D$2),MONTH(主页!$D$2),1),0)),"")</f>
        <v/>
      </c>
    </row>
    <row r="1193" spans="1:10" x14ac:dyDescent="0.3">
      <c r="A1193" s="129"/>
      <c r="B1193" s="150"/>
      <c r="C1193" s="150"/>
      <c r="D1193" s="150"/>
      <c r="E1193" s="140" t="str">
        <f t="shared" si="57"/>
        <v/>
      </c>
      <c r="F1193" s="157"/>
      <c r="G1193" s="145">
        <f t="shared" si="58"/>
        <v>0</v>
      </c>
      <c r="H1193" s="140" t="str">
        <f t="shared" si="59"/>
        <v/>
      </c>
      <c r="J1193" s="147" t="str">
        <f>IFERROR(SUMIFS(当年实际!$V:$V,当年实际!$J:$J,$C1193,当年实际!$C:$C,"&gt;="&amp;DATE(YEAR(主页!$D$2),1,1),当年实际!$C:$C,"&lt;="&amp;EOMONTH(DATE(YEAR(主页!$D$2),MONTH(主页!$D$2),1),0))/SUMIFS(当年实际!$P:$P,当年实际!$J:$J,$C1193,当年实际!$C:$C,"&gt;="&amp;DATE(YEAR(主页!$D$2),1,1),当年实际!$C:$C,"&lt;="&amp;EOMONTH(DATE(YEAR(主页!$D$2),MONTH(主页!$D$2),1),0)),"")</f>
        <v/>
      </c>
    </row>
    <row r="1194" spans="1:10" x14ac:dyDescent="0.3">
      <c r="A1194" s="129"/>
      <c r="B1194" s="150"/>
      <c r="C1194" s="150"/>
      <c r="D1194" s="150"/>
      <c r="E1194" s="140" t="str">
        <f t="shared" si="57"/>
        <v/>
      </c>
      <c r="F1194" s="157"/>
      <c r="G1194" s="145">
        <f t="shared" si="58"/>
        <v>0</v>
      </c>
      <c r="H1194" s="140" t="str">
        <f t="shared" si="59"/>
        <v/>
      </c>
      <c r="J1194" s="147" t="str">
        <f>IFERROR(SUMIFS(当年实际!$V:$V,当年实际!$J:$J,$C1194,当年实际!$C:$C,"&gt;="&amp;DATE(YEAR(主页!$D$2),1,1),当年实际!$C:$C,"&lt;="&amp;EOMONTH(DATE(YEAR(主页!$D$2),MONTH(主页!$D$2),1),0))/SUMIFS(当年实际!$P:$P,当年实际!$J:$J,$C1194,当年实际!$C:$C,"&gt;="&amp;DATE(YEAR(主页!$D$2),1,1),当年实际!$C:$C,"&lt;="&amp;EOMONTH(DATE(YEAR(主页!$D$2),MONTH(主页!$D$2),1),0)),"")</f>
        <v/>
      </c>
    </row>
    <row r="1195" spans="1:10" x14ac:dyDescent="0.3">
      <c r="A1195" s="129"/>
      <c r="B1195" s="150"/>
      <c r="C1195" s="150"/>
      <c r="D1195" s="150"/>
      <c r="E1195" s="140" t="str">
        <f t="shared" si="57"/>
        <v/>
      </c>
      <c r="F1195" s="157"/>
      <c r="G1195" s="145">
        <f t="shared" si="58"/>
        <v>0</v>
      </c>
      <c r="H1195" s="140" t="str">
        <f t="shared" si="59"/>
        <v/>
      </c>
      <c r="J1195" s="147" t="str">
        <f>IFERROR(SUMIFS(当年实际!$V:$V,当年实际!$J:$J,$C1195,当年实际!$C:$C,"&gt;="&amp;DATE(YEAR(主页!$D$2),1,1),当年实际!$C:$C,"&lt;="&amp;EOMONTH(DATE(YEAR(主页!$D$2),MONTH(主页!$D$2),1),0))/SUMIFS(当年实际!$P:$P,当年实际!$J:$J,$C1195,当年实际!$C:$C,"&gt;="&amp;DATE(YEAR(主页!$D$2),1,1),当年实际!$C:$C,"&lt;="&amp;EOMONTH(DATE(YEAR(主页!$D$2),MONTH(主页!$D$2),1),0)),"")</f>
        <v/>
      </c>
    </row>
    <row r="1196" spans="1:10" x14ac:dyDescent="0.3">
      <c r="A1196" s="129"/>
      <c r="B1196" s="150"/>
      <c r="C1196" s="150"/>
      <c r="D1196" s="150"/>
      <c r="E1196" s="140" t="str">
        <f t="shared" si="57"/>
        <v/>
      </c>
      <c r="F1196" s="157"/>
      <c r="G1196" s="145">
        <f t="shared" si="58"/>
        <v>0</v>
      </c>
      <c r="H1196" s="140" t="str">
        <f t="shared" si="59"/>
        <v/>
      </c>
      <c r="J1196" s="147" t="str">
        <f>IFERROR(SUMIFS(当年实际!$V:$V,当年实际!$J:$J,$C1196,当年实际!$C:$C,"&gt;="&amp;DATE(YEAR(主页!$D$2),1,1),当年实际!$C:$C,"&lt;="&amp;EOMONTH(DATE(YEAR(主页!$D$2),MONTH(主页!$D$2),1),0))/SUMIFS(当年实际!$P:$P,当年实际!$J:$J,$C1196,当年实际!$C:$C,"&gt;="&amp;DATE(YEAR(主页!$D$2),1,1),当年实际!$C:$C,"&lt;="&amp;EOMONTH(DATE(YEAR(主页!$D$2),MONTH(主页!$D$2),1),0)),"")</f>
        <v/>
      </c>
    </row>
    <row r="1197" spans="1:10" x14ac:dyDescent="0.3">
      <c r="A1197" s="129"/>
      <c r="B1197" s="150"/>
      <c r="C1197" s="150"/>
      <c r="D1197" s="150"/>
      <c r="E1197" s="140" t="str">
        <f t="shared" si="57"/>
        <v/>
      </c>
      <c r="F1197" s="157"/>
      <c r="G1197" s="145">
        <f t="shared" si="58"/>
        <v>0</v>
      </c>
      <c r="H1197" s="140" t="str">
        <f t="shared" si="59"/>
        <v/>
      </c>
      <c r="J1197" s="147" t="str">
        <f>IFERROR(SUMIFS(当年实际!$V:$V,当年实际!$J:$J,$C1197,当年实际!$C:$C,"&gt;="&amp;DATE(YEAR(主页!$D$2),1,1),当年实际!$C:$C,"&lt;="&amp;EOMONTH(DATE(YEAR(主页!$D$2),MONTH(主页!$D$2),1),0))/SUMIFS(当年实际!$P:$P,当年实际!$J:$J,$C1197,当年实际!$C:$C,"&gt;="&amp;DATE(YEAR(主页!$D$2),1,1),当年实际!$C:$C,"&lt;="&amp;EOMONTH(DATE(YEAR(主页!$D$2),MONTH(主页!$D$2),1),0)),"")</f>
        <v/>
      </c>
    </row>
    <row r="1198" spans="1:10" x14ac:dyDescent="0.3">
      <c r="A1198" s="129"/>
      <c r="B1198" s="150"/>
      <c r="C1198" s="150"/>
      <c r="D1198" s="150"/>
      <c r="E1198" s="140" t="str">
        <f t="shared" si="57"/>
        <v/>
      </c>
      <c r="F1198" s="157"/>
      <c r="G1198" s="145">
        <f t="shared" si="58"/>
        <v>0</v>
      </c>
      <c r="H1198" s="140" t="str">
        <f t="shared" si="59"/>
        <v/>
      </c>
      <c r="J1198" s="147" t="str">
        <f>IFERROR(SUMIFS(当年实际!$V:$V,当年实际!$J:$J,$C1198,当年实际!$C:$C,"&gt;="&amp;DATE(YEAR(主页!$D$2),1,1),当年实际!$C:$C,"&lt;="&amp;EOMONTH(DATE(YEAR(主页!$D$2),MONTH(主页!$D$2),1),0))/SUMIFS(当年实际!$P:$P,当年实际!$J:$J,$C1198,当年实际!$C:$C,"&gt;="&amp;DATE(YEAR(主页!$D$2),1,1),当年实际!$C:$C,"&lt;="&amp;EOMONTH(DATE(YEAR(主页!$D$2),MONTH(主页!$D$2),1),0)),"")</f>
        <v/>
      </c>
    </row>
    <row r="1199" spans="1:10" x14ac:dyDescent="0.3">
      <c r="A1199" s="129"/>
      <c r="B1199" s="150"/>
      <c r="C1199" s="150"/>
      <c r="D1199" s="150"/>
      <c r="E1199" s="140" t="str">
        <f t="shared" si="57"/>
        <v/>
      </c>
      <c r="F1199" s="157"/>
      <c r="G1199" s="145">
        <f t="shared" si="58"/>
        <v>0</v>
      </c>
      <c r="H1199" s="140" t="str">
        <f t="shared" si="59"/>
        <v/>
      </c>
      <c r="J1199" s="147" t="str">
        <f>IFERROR(SUMIFS(当年实际!$V:$V,当年实际!$J:$J,$C1199,当年实际!$C:$C,"&gt;="&amp;DATE(YEAR(主页!$D$2),1,1),当年实际!$C:$C,"&lt;="&amp;EOMONTH(DATE(YEAR(主页!$D$2),MONTH(主页!$D$2),1),0))/SUMIFS(当年实际!$P:$P,当年实际!$J:$J,$C1199,当年实际!$C:$C,"&gt;="&amp;DATE(YEAR(主页!$D$2),1,1),当年实际!$C:$C,"&lt;="&amp;EOMONTH(DATE(YEAR(主页!$D$2),MONTH(主页!$D$2),1),0)),"")</f>
        <v/>
      </c>
    </row>
    <row r="1200" spans="1:10" x14ac:dyDescent="0.3">
      <c r="A1200" s="129"/>
      <c r="B1200" s="150"/>
      <c r="C1200" s="150"/>
      <c r="D1200" s="150"/>
      <c r="E1200" s="140" t="str">
        <f t="shared" si="57"/>
        <v/>
      </c>
      <c r="F1200" s="157"/>
      <c r="G1200" s="145">
        <f t="shared" si="58"/>
        <v>0</v>
      </c>
      <c r="H1200" s="140" t="str">
        <f t="shared" si="59"/>
        <v/>
      </c>
      <c r="J1200" s="147" t="str">
        <f>IFERROR(SUMIFS(当年实际!$V:$V,当年实际!$J:$J,$C1200,当年实际!$C:$C,"&gt;="&amp;DATE(YEAR(主页!$D$2),1,1),当年实际!$C:$C,"&lt;="&amp;EOMONTH(DATE(YEAR(主页!$D$2),MONTH(主页!$D$2),1),0))/SUMIFS(当年实际!$P:$P,当年实际!$J:$J,$C1200,当年实际!$C:$C,"&gt;="&amp;DATE(YEAR(主页!$D$2),1,1),当年实际!$C:$C,"&lt;="&amp;EOMONTH(DATE(YEAR(主页!$D$2),MONTH(主页!$D$2),1),0)),"")</f>
        <v/>
      </c>
    </row>
  </sheetData>
  <sheetProtection formatCells="0" formatColumns="0" formatRows="0" insertRows="0" insertHyperlinks="0" sort="0" autoFilter="0" pivotTables="0"/>
  <mergeCells count="3">
    <mergeCell ref="A1:A2"/>
    <mergeCell ref="B1:B2"/>
    <mergeCell ref="C1:C2"/>
  </mergeCells>
  <phoneticPr fontId="3" type="noConversion"/>
  <hyperlinks>
    <hyperlink ref="M1" location="主页!A1" display="主页!A1" xr:uid="{0B001EBA-F67B-4636-A730-95D28093855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9C0E-02A9-4531-A29F-2B357B27BFE9}">
  <dimension ref="A1:L1200"/>
  <sheetViews>
    <sheetView showGridLines="0" workbookViewId="0">
      <selection activeCell="L1" sqref="L1"/>
    </sheetView>
  </sheetViews>
  <sheetFormatPr defaultRowHeight="14" x14ac:dyDescent="0.3"/>
  <cols>
    <col min="1" max="3" width="10.08203125" bestFit="1" customWidth="1"/>
    <col min="4" max="4" width="9.58203125" bestFit="1" customWidth="1"/>
    <col min="5" max="5" width="11.08203125" style="6" customWidth="1"/>
    <col min="6" max="6" width="9.58203125" style="1" bestFit="1" customWidth="1"/>
    <col min="7" max="7" width="9.58203125" bestFit="1" customWidth="1"/>
    <col min="8" max="8" width="11.25" style="6" customWidth="1"/>
    <col min="9" max="9" width="4.75" customWidth="1"/>
    <col min="10" max="10" width="28.4140625" bestFit="1" customWidth="1"/>
  </cols>
  <sheetData>
    <row r="1" spans="1:12" x14ac:dyDescent="0.3">
      <c r="A1" s="256" t="s">
        <v>25</v>
      </c>
      <c r="B1" s="256" t="s">
        <v>26</v>
      </c>
      <c r="C1" s="256" t="s">
        <v>39</v>
      </c>
      <c r="D1" s="131" t="str">
        <f>"当年剩余月份估计 E"&amp;TEXT(主页!$D$2,"YY")&amp;"YTG"</f>
        <v>当年剩余月份估计 E21YTG</v>
      </c>
      <c r="E1" s="131"/>
      <c r="F1" s="158"/>
      <c r="G1" s="131"/>
      <c r="H1" s="131"/>
      <c r="J1" s="155" t="str">
        <f>"当年已过去月份实际 A"&amp;TEXT(主页!$D$2,"YY")&amp;"YTD"</f>
        <v>当年已过去月份实际 A21YTD</v>
      </c>
      <c r="L1" s="121" t="s">
        <v>197</v>
      </c>
    </row>
    <row r="2" spans="1:12" x14ac:dyDescent="0.3">
      <c r="A2" s="256" t="s">
        <v>25</v>
      </c>
      <c r="B2" s="256" t="s">
        <v>26</v>
      </c>
      <c r="C2" s="256" t="s">
        <v>39</v>
      </c>
      <c r="D2" s="132" t="s">
        <v>13</v>
      </c>
      <c r="E2" s="132" t="s">
        <v>35</v>
      </c>
      <c r="F2" s="133" t="s">
        <v>9</v>
      </c>
      <c r="G2" s="132" t="s">
        <v>10</v>
      </c>
      <c r="H2" s="132" t="s">
        <v>36</v>
      </c>
      <c r="I2" s="97"/>
      <c r="J2" s="153" t="s">
        <v>9</v>
      </c>
    </row>
    <row r="3" spans="1:12" x14ac:dyDescent="0.3">
      <c r="A3" s="150" t="s">
        <v>8</v>
      </c>
      <c r="B3" s="150" t="s">
        <v>7</v>
      </c>
      <c r="C3" s="150" t="s">
        <v>159</v>
      </c>
      <c r="D3" s="149">
        <v>1200</v>
      </c>
      <c r="E3" s="140">
        <f>IF(D3/SUM(D:D)=0,"",D3/SUM(D:D))</f>
        <v>0.19354838709677419</v>
      </c>
      <c r="F3" s="159">
        <v>0.35</v>
      </c>
      <c r="G3" s="145">
        <f>D3*F3</f>
        <v>420</v>
      </c>
      <c r="H3" s="140">
        <f>IF(G3/SUM(G:G)=0,"",G3/SUM(G:G))</f>
        <v>0.36238136324417602</v>
      </c>
      <c r="J3" s="147">
        <f>IFERROR(SUMIFS(当年实际!$V:$V,当年实际!$F:$F,$C3,当年实际!$C:$C,"&gt;="&amp;DATE(YEAR(主页!$D$2),1,1),当年实际!$C:$C,"&lt;="&amp;EOMONTH(DATE(YEAR(主页!$D$2),MONTH(主页!$D$2),1),0))/SUMIFS(当年实际!$P:$P,当年实际!$F:$F,$C3,当年实际!$C:$C,"&gt;="&amp;DATE(YEAR(主页!$D$2),1,1),当年实际!$C:$C,"&lt;="&amp;EOMONTH(DATE(YEAR(主页!$D$2),MONTH(主页!$D$2),1),0)),"")</f>
        <v>0.16</v>
      </c>
    </row>
    <row r="4" spans="1:12" x14ac:dyDescent="0.3">
      <c r="A4" s="150" t="s">
        <v>5</v>
      </c>
      <c r="B4" s="150" t="s">
        <v>4</v>
      </c>
      <c r="C4" s="150" t="s">
        <v>160</v>
      </c>
      <c r="D4" s="149">
        <v>2000</v>
      </c>
      <c r="E4" s="140">
        <f t="shared" ref="E4:E67" si="0">IF(D4/SUM(D:D)=0,"",D4/SUM(D:D))</f>
        <v>0.32258064516129031</v>
      </c>
      <c r="F4" s="159">
        <v>0.17</v>
      </c>
      <c r="G4" s="145">
        <f t="shared" ref="G4:G7" si="1">D4*F4</f>
        <v>340</v>
      </c>
      <c r="H4" s="140">
        <f t="shared" ref="H4:H67" si="2">IF(G4/SUM(G:G)=0,"",G4/SUM(G:G))</f>
        <v>0.29335634167385677</v>
      </c>
      <c r="J4" s="147">
        <f>IFERROR(SUMIFS(当年实际!$V:$V,当年实际!$F:$F,$C4,当年实际!$C:$C,"&gt;="&amp;DATE(YEAR(主页!$D$2),1,1),当年实际!$C:$C,"&lt;="&amp;EOMONTH(DATE(YEAR(主页!$D$2),MONTH(主页!$D$2),1),0))/SUMIFS(当年实际!$P:$P,当年实际!$F:$F,$C4,当年实际!$C:$C,"&gt;="&amp;DATE(YEAR(主页!$D$2),1,1),当年实际!$C:$C,"&lt;="&amp;EOMONTH(DATE(YEAR(主页!$D$2),MONTH(主页!$D$2),1),0)),"")</f>
        <v>0.27777777777777779</v>
      </c>
    </row>
    <row r="5" spans="1:12" x14ac:dyDescent="0.3">
      <c r="A5" s="150" t="s">
        <v>2</v>
      </c>
      <c r="B5" s="150" t="s">
        <v>1</v>
      </c>
      <c r="C5" s="150" t="s">
        <v>161</v>
      </c>
      <c r="D5" s="149">
        <v>3000</v>
      </c>
      <c r="E5" s="140">
        <f t="shared" si="0"/>
        <v>0.4838709677419355</v>
      </c>
      <c r="F5" s="159">
        <v>0.13300000000000001</v>
      </c>
      <c r="G5" s="145">
        <f t="shared" si="1"/>
        <v>399</v>
      </c>
      <c r="H5" s="140">
        <f t="shared" si="2"/>
        <v>0.34426229508196721</v>
      </c>
      <c r="J5" s="147">
        <f>IFERROR(SUMIFS(当年实际!$V:$V,当年实际!$F:$F,$C5,当年实际!$C:$C,"&gt;="&amp;DATE(YEAR(主页!$D$2),1,1),当年实际!$C:$C,"&lt;="&amp;EOMONTH(DATE(YEAR(主页!$D$2),MONTH(主页!$D$2),1),0))/SUMIFS(当年实际!$P:$P,当年实际!$F:$F,$C5,当年实际!$C:$C,"&gt;="&amp;DATE(YEAR(主页!$D$2),1,1),当年实际!$C:$C,"&lt;="&amp;EOMONTH(DATE(YEAR(主页!$D$2),MONTH(主页!$D$2),1),0)),"")</f>
        <v>0.19400000000000001</v>
      </c>
    </row>
    <row r="6" spans="1:12" x14ac:dyDescent="0.3">
      <c r="A6" s="150"/>
      <c r="B6" s="150"/>
      <c r="C6" s="150"/>
      <c r="D6" s="150"/>
      <c r="E6" s="140" t="str">
        <f t="shared" si="0"/>
        <v/>
      </c>
      <c r="F6" s="159"/>
      <c r="G6" s="145">
        <f t="shared" si="1"/>
        <v>0</v>
      </c>
      <c r="H6" s="140" t="str">
        <f t="shared" si="2"/>
        <v/>
      </c>
      <c r="J6" s="147" t="str">
        <f>IFERROR(SUMIFS(当年实际!$V:$V,当年实际!$F:$F,$C6,当年实际!$C:$C,"&gt;="&amp;DATE(YEAR(主页!$D$2),1,1),当年实际!$C:$C,"&lt;="&amp;EOMONTH(DATE(YEAR(主页!$D$2),MONTH(主页!$D$2),1),0))/SUMIFS(当年实际!$P:$P,当年实际!$F:$F,$C6,当年实际!$C:$C,"&gt;="&amp;DATE(YEAR(主页!$D$2),1,1),当年实际!$C:$C,"&lt;="&amp;EOMONTH(DATE(YEAR(主页!$D$2),MONTH(主页!$D$2),1),0)),"")</f>
        <v/>
      </c>
    </row>
    <row r="7" spans="1:12" x14ac:dyDescent="0.3">
      <c r="A7" s="150"/>
      <c r="B7" s="150"/>
      <c r="C7" s="150"/>
      <c r="D7" s="150"/>
      <c r="E7" s="140" t="str">
        <f t="shared" si="0"/>
        <v/>
      </c>
      <c r="F7" s="159"/>
      <c r="G7" s="145">
        <f t="shared" si="1"/>
        <v>0</v>
      </c>
      <c r="H7" s="140" t="str">
        <f t="shared" si="2"/>
        <v/>
      </c>
      <c r="J7" s="147" t="str">
        <f>IFERROR(SUMIFS(当年实际!$V:$V,当年实际!$F:$F,$C7,当年实际!$C:$C,"&gt;="&amp;DATE(YEAR(主页!$D$2),1,1),当年实际!$C:$C,"&lt;="&amp;EOMONTH(DATE(YEAR(主页!$D$2),MONTH(主页!$D$2),1),0))/SUMIFS(当年实际!$P:$P,当年实际!$F:$F,$C7,当年实际!$C:$C,"&gt;="&amp;DATE(YEAR(主页!$D$2),1,1),当年实际!$C:$C,"&lt;="&amp;EOMONTH(DATE(YEAR(主页!$D$2),MONTH(主页!$D$2),1),0)),"")</f>
        <v/>
      </c>
    </row>
    <row r="8" spans="1:12" x14ac:dyDescent="0.3">
      <c r="A8" s="150"/>
      <c r="B8" s="150"/>
      <c r="C8" s="150"/>
      <c r="D8" s="150"/>
      <c r="E8" s="140" t="str">
        <f t="shared" si="0"/>
        <v/>
      </c>
      <c r="F8" s="159"/>
      <c r="G8" s="145">
        <f t="shared" ref="G8:G71" si="3">D8*F8</f>
        <v>0</v>
      </c>
      <c r="H8" s="140" t="str">
        <f t="shared" si="2"/>
        <v/>
      </c>
      <c r="J8" s="147" t="str">
        <f>IFERROR(SUMIFS(当年实际!$V:$V,当年实际!$F:$F,$C8,当年实际!$C:$C,"&gt;="&amp;DATE(YEAR(主页!$D$2),1,1),当年实际!$C:$C,"&lt;="&amp;EOMONTH(DATE(YEAR(主页!$D$2),MONTH(主页!$D$2),1),0))/SUMIFS(当年实际!$P:$P,当年实际!$F:$F,$C8,当年实际!$C:$C,"&gt;="&amp;DATE(YEAR(主页!$D$2),1,1),当年实际!$C:$C,"&lt;="&amp;EOMONTH(DATE(YEAR(主页!$D$2),MONTH(主页!$D$2),1),0)),"")</f>
        <v/>
      </c>
    </row>
    <row r="9" spans="1:12" x14ac:dyDescent="0.3">
      <c r="A9" s="150"/>
      <c r="B9" s="150"/>
      <c r="C9" s="150"/>
      <c r="D9" s="150"/>
      <c r="E9" s="140" t="str">
        <f t="shared" si="0"/>
        <v/>
      </c>
      <c r="F9" s="159"/>
      <c r="G9" s="145">
        <f t="shared" si="3"/>
        <v>0</v>
      </c>
      <c r="H9" s="140" t="str">
        <f t="shared" si="2"/>
        <v/>
      </c>
      <c r="J9" s="147" t="str">
        <f>IFERROR(SUMIFS(当年实际!$V:$V,当年实际!$F:$F,$C9,当年实际!$C:$C,"&gt;="&amp;DATE(YEAR(主页!$D$2),1,1),当年实际!$C:$C,"&lt;="&amp;EOMONTH(DATE(YEAR(主页!$D$2),MONTH(主页!$D$2),1),0))/SUMIFS(当年实际!$P:$P,当年实际!$F:$F,$C9,当年实际!$C:$C,"&gt;="&amp;DATE(YEAR(主页!$D$2),1,1),当年实际!$C:$C,"&lt;="&amp;EOMONTH(DATE(YEAR(主页!$D$2),MONTH(主页!$D$2),1),0)),"")</f>
        <v/>
      </c>
    </row>
    <row r="10" spans="1:12" x14ac:dyDescent="0.3">
      <c r="A10" s="150"/>
      <c r="B10" s="150"/>
      <c r="C10" s="150"/>
      <c r="D10" s="150"/>
      <c r="E10" s="140" t="str">
        <f t="shared" si="0"/>
        <v/>
      </c>
      <c r="F10" s="159"/>
      <c r="G10" s="145">
        <f t="shared" si="3"/>
        <v>0</v>
      </c>
      <c r="H10" s="140" t="str">
        <f t="shared" si="2"/>
        <v/>
      </c>
      <c r="J10" s="147" t="str">
        <f>IFERROR(SUMIFS(当年实际!$V:$V,当年实际!$F:$F,$C10,当年实际!$C:$C,"&gt;="&amp;DATE(YEAR(主页!$D$2),1,1),当年实际!$C:$C,"&lt;="&amp;EOMONTH(DATE(YEAR(主页!$D$2),MONTH(主页!$D$2),1),0))/SUMIFS(当年实际!$P:$P,当年实际!$F:$F,$C10,当年实际!$C:$C,"&gt;="&amp;DATE(YEAR(主页!$D$2),1,1),当年实际!$C:$C,"&lt;="&amp;EOMONTH(DATE(YEAR(主页!$D$2),MONTH(主页!$D$2),1),0)),"")</f>
        <v/>
      </c>
    </row>
    <row r="11" spans="1:12" x14ac:dyDescent="0.3">
      <c r="A11" s="150"/>
      <c r="B11" s="150"/>
      <c r="C11" s="150"/>
      <c r="D11" s="150"/>
      <c r="E11" s="140" t="str">
        <f t="shared" si="0"/>
        <v/>
      </c>
      <c r="F11" s="159"/>
      <c r="G11" s="145">
        <f t="shared" si="3"/>
        <v>0</v>
      </c>
      <c r="H11" s="140" t="str">
        <f t="shared" si="2"/>
        <v/>
      </c>
      <c r="J11" s="147" t="str">
        <f>IFERROR(SUMIFS(当年实际!$V:$V,当年实际!$F:$F,$C11,当年实际!$C:$C,"&gt;="&amp;DATE(YEAR(主页!$D$2),1,1),当年实际!$C:$C,"&lt;="&amp;EOMONTH(DATE(YEAR(主页!$D$2),MONTH(主页!$D$2),1),0))/SUMIFS(当年实际!$P:$P,当年实际!$F:$F,$C11,当年实际!$C:$C,"&gt;="&amp;DATE(YEAR(主页!$D$2),1,1),当年实际!$C:$C,"&lt;="&amp;EOMONTH(DATE(YEAR(主页!$D$2),MONTH(主页!$D$2),1),0)),"")</f>
        <v/>
      </c>
    </row>
    <row r="12" spans="1:12" x14ac:dyDescent="0.3">
      <c r="A12" s="150"/>
      <c r="B12" s="150"/>
      <c r="C12" s="150"/>
      <c r="D12" s="150"/>
      <c r="E12" s="140" t="str">
        <f t="shared" si="0"/>
        <v/>
      </c>
      <c r="F12" s="159"/>
      <c r="G12" s="145">
        <f t="shared" si="3"/>
        <v>0</v>
      </c>
      <c r="H12" s="140" t="str">
        <f t="shared" si="2"/>
        <v/>
      </c>
      <c r="J12" s="147" t="str">
        <f>IFERROR(SUMIFS(当年实际!$V:$V,当年实际!$F:$F,$C12,当年实际!$C:$C,"&gt;="&amp;DATE(YEAR(主页!$D$2),1,1),当年实际!$C:$C,"&lt;="&amp;EOMONTH(DATE(YEAR(主页!$D$2),MONTH(主页!$D$2),1),0))/SUMIFS(当年实际!$P:$P,当年实际!$F:$F,$C12,当年实际!$C:$C,"&gt;="&amp;DATE(YEAR(主页!$D$2),1,1),当年实际!$C:$C,"&lt;="&amp;EOMONTH(DATE(YEAR(主页!$D$2),MONTH(主页!$D$2),1),0)),"")</f>
        <v/>
      </c>
    </row>
    <row r="13" spans="1:12" x14ac:dyDescent="0.3">
      <c r="A13" s="150"/>
      <c r="B13" s="150"/>
      <c r="C13" s="150"/>
      <c r="D13" s="150"/>
      <c r="E13" s="140" t="str">
        <f t="shared" si="0"/>
        <v/>
      </c>
      <c r="F13" s="159"/>
      <c r="G13" s="145">
        <f t="shared" si="3"/>
        <v>0</v>
      </c>
      <c r="H13" s="140" t="str">
        <f t="shared" si="2"/>
        <v/>
      </c>
      <c r="J13" s="147" t="str">
        <f>IFERROR(SUMIFS(当年实际!$V:$V,当年实际!$F:$F,$C13,当年实际!$C:$C,"&gt;="&amp;DATE(YEAR(主页!$D$2),1,1),当年实际!$C:$C,"&lt;="&amp;EOMONTH(DATE(YEAR(主页!$D$2),MONTH(主页!$D$2),1),0))/SUMIFS(当年实际!$P:$P,当年实际!$F:$F,$C13,当年实际!$C:$C,"&gt;="&amp;DATE(YEAR(主页!$D$2),1,1),当年实际!$C:$C,"&lt;="&amp;EOMONTH(DATE(YEAR(主页!$D$2),MONTH(主页!$D$2),1),0)),"")</f>
        <v/>
      </c>
    </row>
    <row r="14" spans="1:12" x14ac:dyDescent="0.3">
      <c r="A14" s="150"/>
      <c r="B14" s="150"/>
      <c r="C14" s="150"/>
      <c r="D14" s="150"/>
      <c r="E14" s="140" t="str">
        <f t="shared" si="0"/>
        <v/>
      </c>
      <c r="F14" s="159"/>
      <c r="G14" s="145">
        <f t="shared" si="3"/>
        <v>0</v>
      </c>
      <c r="H14" s="140" t="str">
        <f t="shared" si="2"/>
        <v/>
      </c>
      <c r="J14" s="147" t="str">
        <f>IFERROR(SUMIFS(当年实际!$V:$V,当年实际!$F:$F,$C14,当年实际!$C:$C,"&gt;="&amp;DATE(YEAR(主页!$D$2),1,1),当年实际!$C:$C,"&lt;="&amp;EOMONTH(DATE(YEAR(主页!$D$2),MONTH(主页!$D$2),1),0))/SUMIFS(当年实际!$P:$P,当年实际!$F:$F,$C14,当年实际!$C:$C,"&gt;="&amp;DATE(YEAR(主页!$D$2),1,1),当年实际!$C:$C,"&lt;="&amp;EOMONTH(DATE(YEAR(主页!$D$2),MONTH(主页!$D$2),1),0)),"")</f>
        <v/>
      </c>
    </row>
    <row r="15" spans="1:12" x14ac:dyDescent="0.3">
      <c r="A15" s="150"/>
      <c r="B15" s="150"/>
      <c r="C15" s="150"/>
      <c r="D15" s="150"/>
      <c r="E15" s="140" t="str">
        <f t="shared" si="0"/>
        <v/>
      </c>
      <c r="F15" s="159"/>
      <c r="G15" s="145">
        <f t="shared" si="3"/>
        <v>0</v>
      </c>
      <c r="H15" s="140" t="str">
        <f t="shared" si="2"/>
        <v/>
      </c>
      <c r="J15" s="147" t="str">
        <f>IFERROR(SUMIFS(当年实际!$V:$V,当年实际!$F:$F,$C15,当年实际!$C:$C,"&gt;="&amp;DATE(YEAR(主页!$D$2),1,1),当年实际!$C:$C,"&lt;="&amp;EOMONTH(DATE(YEAR(主页!$D$2),MONTH(主页!$D$2),1),0))/SUMIFS(当年实际!$P:$P,当年实际!$F:$F,$C15,当年实际!$C:$C,"&gt;="&amp;DATE(YEAR(主页!$D$2),1,1),当年实际!$C:$C,"&lt;="&amp;EOMONTH(DATE(YEAR(主页!$D$2),MONTH(主页!$D$2),1),0)),"")</f>
        <v/>
      </c>
    </row>
    <row r="16" spans="1:12" x14ac:dyDescent="0.3">
      <c r="A16" s="150"/>
      <c r="B16" s="150"/>
      <c r="C16" s="150"/>
      <c r="D16" s="150"/>
      <c r="E16" s="140" t="str">
        <f t="shared" si="0"/>
        <v/>
      </c>
      <c r="F16" s="159"/>
      <c r="G16" s="145">
        <f t="shared" si="3"/>
        <v>0</v>
      </c>
      <c r="H16" s="140" t="str">
        <f t="shared" si="2"/>
        <v/>
      </c>
      <c r="J16" s="147" t="str">
        <f>IFERROR(SUMIFS(当年实际!$V:$V,当年实际!$F:$F,$C16,当年实际!$C:$C,"&gt;="&amp;DATE(YEAR(主页!$D$2),1,1),当年实际!$C:$C,"&lt;="&amp;EOMONTH(DATE(YEAR(主页!$D$2),MONTH(主页!$D$2),1),0))/SUMIFS(当年实际!$P:$P,当年实际!$F:$F,$C16,当年实际!$C:$C,"&gt;="&amp;DATE(YEAR(主页!$D$2),1,1),当年实际!$C:$C,"&lt;="&amp;EOMONTH(DATE(YEAR(主页!$D$2),MONTH(主页!$D$2),1),0)),"")</f>
        <v/>
      </c>
    </row>
    <row r="17" spans="1:10" x14ac:dyDescent="0.3">
      <c r="A17" s="150"/>
      <c r="B17" s="150"/>
      <c r="C17" s="150"/>
      <c r="D17" s="150"/>
      <c r="E17" s="140" t="str">
        <f t="shared" si="0"/>
        <v/>
      </c>
      <c r="F17" s="159"/>
      <c r="G17" s="145">
        <f t="shared" si="3"/>
        <v>0</v>
      </c>
      <c r="H17" s="140" t="str">
        <f t="shared" si="2"/>
        <v/>
      </c>
      <c r="J17" s="147" t="str">
        <f>IFERROR(SUMIFS(当年实际!$V:$V,当年实际!$F:$F,$C17,当年实际!$C:$C,"&gt;="&amp;DATE(YEAR(主页!$D$2),1,1),当年实际!$C:$C,"&lt;="&amp;EOMONTH(DATE(YEAR(主页!$D$2),MONTH(主页!$D$2),1),0))/SUMIFS(当年实际!$P:$P,当年实际!$F:$F,$C17,当年实际!$C:$C,"&gt;="&amp;DATE(YEAR(主页!$D$2),1,1),当年实际!$C:$C,"&lt;="&amp;EOMONTH(DATE(YEAR(主页!$D$2),MONTH(主页!$D$2),1),0)),"")</f>
        <v/>
      </c>
    </row>
    <row r="18" spans="1:10" x14ac:dyDescent="0.3">
      <c r="A18" s="150"/>
      <c r="B18" s="150"/>
      <c r="C18" s="150"/>
      <c r="D18" s="150"/>
      <c r="E18" s="140" t="str">
        <f t="shared" si="0"/>
        <v/>
      </c>
      <c r="F18" s="159"/>
      <c r="G18" s="145">
        <f t="shared" si="3"/>
        <v>0</v>
      </c>
      <c r="H18" s="140" t="str">
        <f t="shared" si="2"/>
        <v/>
      </c>
      <c r="J18" s="147" t="str">
        <f>IFERROR(SUMIFS(当年实际!$V:$V,当年实际!$F:$F,$C18,当年实际!$C:$C,"&gt;="&amp;DATE(YEAR(主页!$D$2),1,1),当年实际!$C:$C,"&lt;="&amp;EOMONTH(DATE(YEAR(主页!$D$2),MONTH(主页!$D$2),1),0))/SUMIFS(当年实际!$P:$P,当年实际!$F:$F,$C18,当年实际!$C:$C,"&gt;="&amp;DATE(YEAR(主页!$D$2),1,1),当年实际!$C:$C,"&lt;="&amp;EOMONTH(DATE(YEAR(主页!$D$2),MONTH(主页!$D$2),1),0)),"")</f>
        <v/>
      </c>
    </row>
    <row r="19" spans="1:10" x14ac:dyDescent="0.3">
      <c r="A19" s="150"/>
      <c r="B19" s="150"/>
      <c r="C19" s="150"/>
      <c r="D19" s="150"/>
      <c r="E19" s="140" t="str">
        <f t="shared" si="0"/>
        <v/>
      </c>
      <c r="F19" s="159"/>
      <c r="G19" s="145">
        <f t="shared" si="3"/>
        <v>0</v>
      </c>
      <c r="H19" s="140" t="str">
        <f t="shared" si="2"/>
        <v/>
      </c>
      <c r="J19" s="147" t="str">
        <f>IFERROR(SUMIFS(当年实际!$V:$V,当年实际!$F:$F,$C19,当年实际!$C:$C,"&gt;="&amp;DATE(YEAR(主页!$D$2),1,1),当年实际!$C:$C,"&lt;="&amp;EOMONTH(DATE(YEAR(主页!$D$2),MONTH(主页!$D$2),1),0))/SUMIFS(当年实际!$P:$P,当年实际!$F:$F,$C19,当年实际!$C:$C,"&gt;="&amp;DATE(YEAR(主页!$D$2),1,1),当年实际!$C:$C,"&lt;="&amp;EOMONTH(DATE(YEAR(主页!$D$2),MONTH(主页!$D$2),1),0)),"")</f>
        <v/>
      </c>
    </row>
    <row r="20" spans="1:10" x14ac:dyDescent="0.3">
      <c r="A20" s="150"/>
      <c r="B20" s="150"/>
      <c r="C20" s="150"/>
      <c r="D20" s="150"/>
      <c r="E20" s="140" t="str">
        <f t="shared" si="0"/>
        <v/>
      </c>
      <c r="F20" s="159"/>
      <c r="G20" s="145">
        <f t="shared" si="3"/>
        <v>0</v>
      </c>
      <c r="H20" s="140" t="str">
        <f t="shared" si="2"/>
        <v/>
      </c>
      <c r="J20" s="147" t="str">
        <f>IFERROR(SUMIFS(当年实际!$V:$V,当年实际!$F:$F,$C20,当年实际!$C:$C,"&gt;="&amp;DATE(YEAR(主页!$D$2),1,1),当年实际!$C:$C,"&lt;="&amp;EOMONTH(DATE(YEAR(主页!$D$2),MONTH(主页!$D$2),1),0))/SUMIFS(当年实际!$P:$P,当年实际!$F:$F,$C20,当年实际!$C:$C,"&gt;="&amp;DATE(YEAR(主页!$D$2),1,1),当年实际!$C:$C,"&lt;="&amp;EOMONTH(DATE(YEAR(主页!$D$2),MONTH(主页!$D$2),1),0)),"")</f>
        <v/>
      </c>
    </row>
    <row r="21" spans="1:10" x14ac:dyDescent="0.3">
      <c r="A21" s="150"/>
      <c r="B21" s="150"/>
      <c r="C21" s="150"/>
      <c r="D21" s="150"/>
      <c r="E21" s="140" t="str">
        <f t="shared" si="0"/>
        <v/>
      </c>
      <c r="F21" s="159"/>
      <c r="G21" s="145">
        <f t="shared" si="3"/>
        <v>0</v>
      </c>
      <c r="H21" s="140" t="str">
        <f t="shared" si="2"/>
        <v/>
      </c>
      <c r="J21" s="147" t="str">
        <f>IFERROR(SUMIFS(当年实际!$V:$V,当年实际!$F:$F,$C21,当年实际!$C:$C,"&gt;="&amp;DATE(YEAR(主页!$D$2),1,1),当年实际!$C:$C,"&lt;="&amp;EOMONTH(DATE(YEAR(主页!$D$2),MONTH(主页!$D$2),1),0))/SUMIFS(当年实际!$P:$P,当年实际!$F:$F,$C21,当年实际!$C:$C,"&gt;="&amp;DATE(YEAR(主页!$D$2),1,1),当年实际!$C:$C,"&lt;="&amp;EOMONTH(DATE(YEAR(主页!$D$2),MONTH(主页!$D$2),1),0)),"")</f>
        <v/>
      </c>
    </row>
    <row r="22" spans="1:10" x14ac:dyDescent="0.3">
      <c r="A22" s="150"/>
      <c r="B22" s="150"/>
      <c r="C22" s="150"/>
      <c r="D22" s="150"/>
      <c r="E22" s="140" t="str">
        <f t="shared" si="0"/>
        <v/>
      </c>
      <c r="F22" s="159"/>
      <c r="G22" s="145">
        <f t="shared" si="3"/>
        <v>0</v>
      </c>
      <c r="H22" s="140" t="str">
        <f t="shared" si="2"/>
        <v/>
      </c>
      <c r="J22" s="147" t="str">
        <f>IFERROR(SUMIFS(当年实际!$V:$V,当年实际!$F:$F,$C22,当年实际!$C:$C,"&gt;="&amp;DATE(YEAR(主页!$D$2),1,1),当年实际!$C:$C,"&lt;="&amp;EOMONTH(DATE(YEAR(主页!$D$2),MONTH(主页!$D$2),1),0))/SUMIFS(当年实际!$P:$P,当年实际!$F:$F,$C22,当年实际!$C:$C,"&gt;="&amp;DATE(YEAR(主页!$D$2),1,1),当年实际!$C:$C,"&lt;="&amp;EOMONTH(DATE(YEAR(主页!$D$2),MONTH(主页!$D$2),1),0)),"")</f>
        <v/>
      </c>
    </row>
    <row r="23" spans="1:10" x14ac:dyDescent="0.3">
      <c r="A23" s="150"/>
      <c r="B23" s="150"/>
      <c r="C23" s="150"/>
      <c r="D23" s="150"/>
      <c r="E23" s="140" t="str">
        <f t="shared" si="0"/>
        <v/>
      </c>
      <c r="F23" s="159"/>
      <c r="G23" s="145">
        <f t="shared" si="3"/>
        <v>0</v>
      </c>
      <c r="H23" s="140" t="str">
        <f t="shared" si="2"/>
        <v/>
      </c>
      <c r="J23" s="147" t="str">
        <f>IFERROR(SUMIFS(当年实际!$V:$V,当年实际!$F:$F,$C23,当年实际!$C:$C,"&gt;="&amp;DATE(YEAR(主页!$D$2),1,1),当年实际!$C:$C,"&lt;="&amp;EOMONTH(DATE(YEAR(主页!$D$2),MONTH(主页!$D$2),1),0))/SUMIFS(当年实际!$P:$P,当年实际!$F:$F,$C23,当年实际!$C:$C,"&gt;="&amp;DATE(YEAR(主页!$D$2),1,1),当年实际!$C:$C,"&lt;="&amp;EOMONTH(DATE(YEAR(主页!$D$2),MONTH(主页!$D$2),1),0)),"")</f>
        <v/>
      </c>
    </row>
    <row r="24" spans="1:10" x14ac:dyDescent="0.3">
      <c r="A24" s="150"/>
      <c r="B24" s="150"/>
      <c r="C24" s="150"/>
      <c r="D24" s="150"/>
      <c r="E24" s="140" t="str">
        <f t="shared" si="0"/>
        <v/>
      </c>
      <c r="F24" s="159"/>
      <c r="G24" s="145">
        <f t="shared" si="3"/>
        <v>0</v>
      </c>
      <c r="H24" s="140" t="str">
        <f t="shared" si="2"/>
        <v/>
      </c>
      <c r="J24" s="147" t="str">
        <f>IFERROR(SUMIFS(当年实际!$V:$V,当年实际!$F:$F,$C24,当年实际!$C:$C,"&gt;="&amp;DATE(YEAR(主页!$D$2),1,1),当年实际!$C:$C,"&lt;="&amp;EOMONTH(DATE(YEAR(主页!$D$2),MONTH(主页!$D$2),1),0))/SUMIFS(当年实际!$P:$P,当年实际!$F:$F,$C24,当年实际!$C:$C,"&gt;="&amp;DATE(YEAR(主页!$D$2),1,1),当年实际!$C:$C,"&lt;="&amp;EOMONTH(DATE(YEAR(主页!$D$2),MONTH(主页!$D$2),1),0)),"")</f>
        <v/>
      </c>
    </row>
    <row r="25" spans="1:10" x14ac:dyDescent="0.3">
      <c r="A25" s="150"/>
      <c r="B25" s="150"/>
      <c r="C25" s="150"/>
      <c r="D25" s="150"/>
      <c r="E25" s="140" t="str">
        <f t="shared" si="0"/>
        <v/>
      </c>
      <c r="F25" s="159"/>
      <c r="G25" s="145">
        <f t="shared" si="3"/>
        <v>0</v>
      </c>
      <c r="H25" s="140" t="str">
        <f t="shared" si="2"/>
        <v/>
      </c>
      <c r="J25" s="147" t="str">
        <f>IFERROR(SUMIFS(当年实际!$V:$V,当年实际!$F:$F,$C25,当年实际!$C:$C,"&gt;="&amp;DATE(YEAR(主页!$D$2),1,1),当年实际!$C:$C,"&lt;="&amp;EOMONTH(DATE(YEAR(主页!$D$2),MONTH(主页!$D$2),1),0))/SUMIFS(当年实际!$P:$P,当年实际!$F:$F,$C25,当年实际!$C:$C,"&gt;="&amp;DATE(YEAR(主页!$D$2),1,1),当年实际!$C:$C,"&lt;="&amp;EOMONTH(DATE(YEAR(主页!$D$2),MONTH(主页!$D$2),1),0)),"")</f>
        <v/>
      </c>
    </row>
    <row r="26" spans="1:10" x14ac:dyDescent="0.3">
      <c r="A26" s="150"/>
      <c r="B26" s="150"/>
      <c r="C26" s="150"/>
      <c r="D26" s="150"/>
      <c r="E26" s="140" t="str">
        <f t="shared" si="0"/>
        <v/>
      </c>
      <c r="F26" s="159"/>
      <c r="G26" s="145">
        <f t="shared" si="3"/>
        <v>0</v>
      </c>
      <c r="H26" s="140" t="str">
        <f t="shared" si="2"/>
        <v/>
      </c>
      <c r="J26" s="147" t="str">
        <f>IFERROR(SUMIFS(当年实际!$V:$V,当年实际!$F:$F,$C26,当年实际!$C:$C,"&gt;="&amp;DATE(YEAR(主页!$D$2),1,1),当年实际!$C:$C,"&lt;="&amp;EOMONTH(DATE(YEAR(主页!$D$2),MONTH(主页!$D$2),1),0))/SUMIFS(当年实际!$P:$P,当年实际!$F:$F,$C26,当年实际!$C:$C,"&gt;="&amp;DATE(YEAR(主页!$D$2),1,1),当年实际!$C:$C,"&lt;="&amp;EOMONTH(DATE(YEAR(主页!$D$2),MONTH(主页!$D$2),1),0)),"")</f>
        <v/>
      </c>
    </row>
    <row r="27" spans="1:10" x14ac:dyDescent="0.3">
      <c r="A27" s="150"/>
      <c r="B27" s="150"/>
      <c r="C27" s="150"/>
      <c r="D27" s="150"/>
      <c r="E27" s="140" t="str">
        <f t="shared" si="0"/>
        <v/>
      </c>
      <c r="F27" s="159"/>
      <c r="G27" s="145">
        <f t="shared" si="3"/>
        <v>0</v>
      </c>
      <c r="H27" s="140" t="str">
        <f t="shared" si="2"/>
        <v/>
      </c>
      <c r="J27" s="147" t="str">
        <f>IFERROR(SUMIFS(当年实际!$V:$V,当年实际!$F:$F,$C27,当年实际!$C:$C,"&gt;="&amp;DATE(YEAR(主页!$D$2),1,1),当年实际!$C:$C,"&lt;="&amp;EOMONTH(DATE(YEAR(主页!$D$2),MONTH(主页!$D$2),1),0))/SUMIFS(当年实际!$P:$P,当年实际!$F:$F,$C27,当年实际!$C:$C,"&gt;="&amp;DATE(YEAR(主页!$D$2),1,1),当年实际!$C:$C,"&lt;="&amp;EOMONTH(DATE(YEAR(主页!$D$2),MONTH(主页!$D$2),1),0)),"")</f>
        <v/>
      </c>
    </row>
    <row r="28" spans="1:10" x14ac:dyDescent="0.3">
      <c r="A28" s="150"/>
      <c r="B28" s="150"/>
      <c r="C28" s="150"/>
      <c r="D28" s="150"/>
      <c r="E28" s="140" t="str">
        <f t="shared" si="0"/>
        <v/>
      </c>
      <c r="F28" s="159"/>
      <c r="G28" s="145">
        <f t="shared" si="3"/>
        <v>0</v>
      </c>
      <c r="H28" s="140" t="str">
        <f t="shared" si="2"/>
        <v/>
      </c>
      <c r="J28" s="147" t="str">
        <f>IFERROR(SUMIFS(当年实际!$V:$V,当年实际!$F:$F,$C28,当年实际!$C:$C,"&gt;="&amp;DATE(YEAR(主页!$D$2),1,1),当年实际!$C:$C,"&lt;="&amp;EOMONTH(DATE(YEAR(主页!$D$2),MONTH(主页!$D$2),1),0))/SUMIFS(当年实际!$P:$P,当年实际!$F:$F,$C28,当年实际!$C:$C,"&gt;="&amp;DATE(YEAR(主页!$D$2),1,1),当年实际!$C:$C,"&lt;="&amp;EOMONTH(DATE(YEAR(主页!$D$2),MONTH(主页!$D$2),1),0)),"")</f>
        <v/>
      </c>
    </row>
    <row r="29" spans="1:10" x14ac:dyDescent="0.3">
      <c r="A29" s="150"/>
      <c r="B29" s="150"/>
      <c r="C29" s="150"/>
      <c r="D29" s="150"/>
      <c r="E29" s="140" t="str">
        <f t="shared" si="0"/>
        <v/>
      </c>
      <c r="F29" s="159"/>
      <c r="G29" s="145">
        <f t="shared" si="3"/>
        <v>0</v>
      </c>
      <c r="H29" s="140" t="str">
        <f t="shared" si="2"/>
        <v/>
      </c>
      <c r="J29" s="147" t="str">
        <f>IFERROR(SUMIFS(当年实际!$V:$V,当年实际!$F:$F,$C29,当年实际!$C:$C,"&gt;="&amp;DATE(YEAR(主页!$D$2),1,1),当年实际!$C:$C,"&lt;="&amp;EOMONTH(DATE(YEAR(主页!$D$2),MONTH(主页!$D$2),1),0))/SUMIFS(当年实际!$P:$P,当年实际!$F:$F,$C29,当年实际!$C:$C,"&gt;="&amp;DATE(YEAR(主页!$D$2),1,1),当年实际!$C:$C,"&lt;="&amp;EOMONTH(DATE(YEAR(主页!$D$2),MONTH(主页!$D$2),1),0)),"")</f>
        <v/>
      </c>
    </row>
    <row r="30" spans="1:10" x14ac:dyDescent="0.3">
      <c r="A30" s="150"/>
      <c r="B30" s="150"/>
      <c r="C30" s="150"/>
      <c r="D30" s="150"/>
      <c r="E30" s="140" t="str">
        <f t="shared" si="0"/>
        <v/>
      </c>
      <c r="F30" s="159"/>
      <c r="G30" s="145">
        <f t="shared" si="3"/>
        <v>0</v>
      </c>
      <c r="H30" s="140" t="str">
        <f t="shared" si="2"/>
        <v/>
      </c>
      <c r="J30" s="147" t="str">
        <f>IFERROR(SUMIFS(当年实际!$V:$V,当年实际!$F:$F,$C30,当年实际!$C:$C,"&gt;="&amp;DATE(YEAR(主页!$D$2),1,1),当年实际!$C:$C,"&lt;="&amp;EOMONTH(DATE(YEAR(主页!$D$2),MONTH(主页!$D$2),1),0))/SUMIFS(当年实际!$P:$P,当年实际!$F:$F,$C30,当年实际!$C:$C,"&gt;="&amp;DATE(YEAR(主页!$D$2),1,1),当年实际!$C:$C,"&lt;="&amp;EOMONTH(DATE(YEAR(主页!$D$2),MONTH(主页!$D$2),1),0)),"")</f>
        <v/>
      </c>
    </row>
    <row r="31" spans="1:10" x14ac:dyDescent="0.3">
      <c r="A31" s="150"/>
      <c r="B31" s="150"/>
      <c r="C31" s="150"/>
      <c r="D31" s="150"/>
      <c r="E31" s="140" t="str">
        <f t="shared" si="0"/>
        <v/>
      </c>
      <c r="F31" s="159"/>
      <c r="G31" s="145">
        <f t="shared" si="3"/>
        <v>0</v>
      </c>
      <c r="H31" s="140" t="str">
        <f t="shared" si="2"/>
        <v/>
      </c>
      <c r="J31" s="147" t="str">
        <f>IFERROR(SUMIFS(当年实际!$V:$V,当年实际!$F:$F,$C31,当年实际!$C:$C,"&gt;="&amp;DATE(YEAR(主页!$D$2),1,1),当年实际!$C:$C,"&lt;="&amp;EOMONTH(DATE(YEAR(主页!$D$2),MONTH(主页!$D$2),1),0))/SUMIFS(当年实际!$P:$P,当年实际!$F:$F,$C31,当年实际!$C:$C,"&gt;="&amp;DATE(YEAR(主页!$D$2),1,1),当年实际!$C:$C,"&lt;="&amp;EOMONTH(DATE(YEAR(主页!$D$2),MONTH(主页!$D$2),1),0)),"")</f>
        <v/>
      </c>
    </row>
    <row r="32" spans="1:10" x14ac:dyDescent="0.3">
      <c r="A32" s="150"/>
      <c r="B32" s="150"/>
      <c r="C32" s="150"/>
      <c r="D32" s="150"/>
      <c r="E32" s="140" t="str">
        <f t="shared" si="0"/>
        <v/>
      </c>
      <c r="F32" s="159"/>
      <c r="G32" s="145">
        <f t="shared" si="3"/>
        <v>0</v>
      </c>
      <c r="H32" s="140" t="str">
        <f t="shared" si="2"/>
        <v/>
      </c>
      <c r="J32" s="147" t="str">
        <f>IFERROR(SUMIFS(当年实际!$V:$V,当年实际!$F:$F,$C32,当年实际!$C:$C,"&gt;="&amp;DATE(YEAR(主页!$D$2),1,1),当年实际!$C:$C,"&lt;="&amp;EOMONTH(DATE(YEAR(主页!$D$2),MONTH(主页!$D$2),1),0))/SUMIFS(当年实际!$P:$P,当年实际!$F:$F,$C32,当年实际!$C:$C,"&gt;="&amp;DATE(YEAR(主页!$D$2),1,1),当年实际!$C:$C,"&lt;="&amp;EOMONTH(DATE(YEAR(主页!$D$2),MONTH(主页!$D$2),1),0)),"")</f>
        <v/>
      </c>
    </row>
    <row r="33" spans="1:10" x14ac:dyDescent="0.3">
      <c r="A33" s="150"/>
      <c r="B33" s="150"/>
      <c r="C33" s="150"/>
      <c r="D33" s="150"/>
      <c r="E33" s="140" t="str">
        <f t="shared" si="0"/>
        <v/>
      </c>
      <c r="F33" s="159"/>
      <c r="G33" s="145">
        <f t="shared" si="3"/>
        <v>0</v>
      </c>
      <c r="H33" s="140" t="str">
        <f t="shared" si="2"/>
        <v/>
      </c>
      <c r="J33" s="147" t="str">
        <f>IFERROR(SUMIFS(当年实际!$V:$V,当年实际!$F:$F,$C33,当年实际!$C:$C,"&gt;="&amp;DATE(YEAR(主页!$D$2),1,1),当年实际!$C:$C,"&lt;="&amp;EOMONTH(DATE(YEAR(主页!$D$2),MONTH(主页!$D$2),1),0))/SUMIFS(当年实际!$P:$P,当年实际!$F:$F,$C33,当年实际!$C:$C,"&gt;="&amp;DATE(YEAR(主页!$D$2),1,1),当年实际!$C:$C,"&lt;="&amp;EOMONTH(DATE(YEAR(主页!$D$2),MONTH(主页!$D$2),1),0)),"")</f>
        <v/>
      </c>
    </row>
    <row r="34" spans="1:10" x14ac:dyDescent="0.3">
      <c r="A34" s="150"/>
      <c r="B34" s="150"/>
      <c r="C34" s="150"/>
      <c r="D34" s="150"/>
      <c r="E34" s="140" t="str">
        <f t="shared" si="0"/>
        <v/>
      </c>
      <c r="F34" s="159"/>
      <c r="G34" s="145">
        <f t="shared" si="3"/>
        <v>0</v>
      </c>
      <c r="H34" s="140" t="str">
        <f t="shared" si="2"/>
        <v/>
      </c>
      <c r="J34" s="147" t="str">
        <f>IFERROR(SUMIFS(当年实际!$V:$V,当年实际!$F:$F,$C34,当年实际!$C:$C,"&gt;="&amp;DATE(YEAR(主页!$D$2),1,1),当年实际!$C:$C,"&lt;="&amp;EOMONTH(DATE(YEAR(主页!$D$2),MONTH(主页!$D$2),1),0))/SUMIFS(当年实际!$P:$P,当年实际!$F:$F,$C34,当年实际!$C:$C,"&gt;="&amp;DATE(YEAR(主页!$D$2),1,1),当年实际!$C:$C,"&lt;="&amp;EOMONTH(DATE(YEAR(主页!$D$2),MONTH(主页!$D$2),1),0)),"")</f>
        <v/>
      </c>
    </row>
    <row r="35" spans="1:10" x14ac:dyDescent="0.3">
      <c r="A35" s="150"/>
      <c r="B35" s="150"/>
      <c r="C35" s="150"/>
      <c r="D35" s="150"/>
      <c r="E35" s="140" t="str">
        <f t="shared" si="0"/>
        <v/>
      </c>
      <c r="F35" s="159"/>
      <c r="G35" s="145">
        <f t="shared" si="3"/>
        <v>0</v>
      </c>
      <c r="H35" s="140" t="str">
        <f t="shared" si="2"/>
        <v/>
      </c>
      <c r="J35" s="147" t="str">
        <f>IFERROR(SUMIFS(当年实际!$V:$V,当年实际!$F:$F,$C35,当年实际!$C:$C,"&gt;="&amp;DATE(YEAR(主页!$D$2),1,1),当年实际!$C:$C,"&lt;="&amp;EOMONTH(DATE(YEAR(主页!$D$2),MONTH(主页!$D$2),1),0))/SUMIFS(当年实际!$P:$P,当年实际!$F:$F,$C35,当年实际!$C:$C,"&gt;="&amp;DATE(YEAR(主页!$D$2),1,1),当年实际!$C:$C,"&lt;="&amp;EOMONTH(DATE(YEAR(主页!$D$2),MONTH(主页!$D$2),1),0)),"")</f>
        <v/>
      </c>
    </row>
    <row r="36" spans="1:10" x14ac:dyDescent="0.3">
      <c r="A36" s="150"/>
      <c r="B36" s="150"/>
      <c r="C36" s="150"/>
      <c r="D36" s="150"/>
      <c r="E36" s="140" t="str">
        <f t="shared" si="0"/>
        <v/>
      </c>
      <c r="F36" s="159"/>
      <c r="G36" s="145">
        <f t="shared" si="3"/>
        <v>0</v>
      </c>
      <c r="H36" s="140" t="str">
        <f t="shared" si="2"/>
        <v/>
      </c>
      <c r="J36" s="147" t="str">
        <f>IFERROR(SUMIFS(当年实际!$V:$V,当年实际!$F:$F,$C36,当年实际!$C:$C,"&gt;="&amp;DATE(YEAR(主页!$D$2),1,1),当年实际!$C:$C,"&lt;="&amp;EOMONTH(DATE(YEAR(主页!$D$2),MONTH(主页!$D$2),1),0))/SUMIFS(当年实际!$P:$P,当年实际!$F:$F,$C36,当年实际!$C:$C,"&gt;="&amp;DATE(YEAR(主页!$D$2),1,1),当年实际!$C:$C,"&lt;="&amp;EOMONTH(DATE(YEAR(主页!$D$2),MONTH(主页!$D$2),1),0)),"")</f>
        <v/>
      </c>
    </row>
    <row r="37" spans="1:10" x14ac:dyDescent="0.3">
      <c r="A37" s="150"/>
      <c r="B37" s="150"/>
      <c r="C37" s="150"/>
      <c r="D37" s="150"/>
      <c r="E37" s="140" t="str">
        <f t="shared" si="0"/>
        <v/>
      </c>
      <c r="F37" s="159"/>
      <c r="G37" s="145">
        <f t="shared" si="3"/>
        <v>0</v>
      </c>
      <c r="H37" s="140" t="str">
        <f t="shared" si="2"/>
        <v/>
      </c>
      <c r="J37" s="147" t="str">
        <f>IFERROR(SUMIFS(当年实际!$V:$V,当年实际!$F:$F,$C37,当年实际!$C:$C,"&gt;="&amp;DATE(YEAR(主页!$D$2),1,1),当年实际!$C:$C,"&lt;="&amp;EOMONTH(DATE(YEAR(主页!$D$2),MONTH(主页!$D$2),1),0))/SUMIFS(当年实际!$P:$P,当年实际!$F:$F,$C37,当年实际!$C:$C,"&gt;="&amp;DATE(YEAR(主页!$D$2),1,1),当年实际!$C:$C,"&lt;="&amp;EOMONTH(DATE(YEAR(主页!$D$2),MONTH(主页!$D$2),1),0)),"")</f>
        <v/>
      </c>
    </row>
    <row r="38" spans="1:10" x14ac:dyDescent="0.3">
      <c r="A38" s="150"/>
      <c r="B38" s="150"/>
      <c r="C38" s="150"/>
      <c r="D38" s="150"/>
      <c r="E38" s="140" t="str">
        <f t="shared" si="0"/>
        <v/>
      </c>
      <c r="F38" s="159"/>
      <c r="G38" s="145">
        <f t="shared" si="3"/>
        <v>0</v>
      </c>
      <c r="H38" s="140" t="str">
        <f t="shared" si="2"/>
        <v/>
      </c>
      <c r="J38" s="147" t="str">
        <f>IFERROR(SUMIFS(当年实际!$V:$V,当年实际!$F:$F,$C38,当年实际!$C:$C,"&gt;="&amp;DATE(YEAR(主页!$D$2),1,1),当年实际!$C:$C,"&lt;="&amp;EOMONTH(DATE(YEAR(主页!$D$2),MONTH(主页!$D$2),1),0))/SUMIFS(当年实际!$P:$P,当年实际!$F:$F,$C38,当年实际!$C:$C,"&gt;="&amp;DATE(YEAR(主页!$D$2),1,1),当年实际!$C:$C,"&lt;="&amp;EOMONTH(DATE(YEAR(主页!$D$2),MONTH(主页!$D$2),1),0)),"")</f>
        <v/>
      </c>
    </row>
    <row r="39" spans="1:10" x14ac:dyDescent="0.3">
      <c r="A39" s="150"/>
      <c r="B39" s="150"/>
      <c r="C39" s="150"/>
      <c r="D39" s="150"/>
      <c r="E39" s="140" t="str">
        <f t="shared" si="0"/>
        <v/>
      </c>
      <c r="F39" s="159"/>
      <c r="G39" s="145">
        <f t="shared" si="3"/>
        <v>0</v>
      </c>
      <c r="H39" s="140" t="str">
        <f t="shared" si="2"/>
        <v/>
      </c>
      <c r="J39" s="147" t="str">
        <f>IFERROR(SUMIFS(当年实际!$V:$V,当年实际!$F:$F,$C39,当年实际!$C:$C,"&gt;="&amp;DATE(YEAR(主页!$D$2),1,1),当年实际!$C:$C,"&lt;="&amp;EOMONTH(DATE(YEAR(主页!$D$2),MONTH(主页!$D$2),1),0))/SUMIFS(当年实际!$P:$P,当年实际!$F:$F,$C39,当年实际!$C:$C,"&gt;="&amp;DATE(YEAR(主页!$D$2),1,1),当年实际!$C:$C,"&lt;="&amp;EOMONTH(DATE(YEAR(主页!$D$2),MONTH(主页!$D$2),1),0)),"")</f>
        <v/>
      </c>
    </row>
    <row r="40" spans="1:10" x14ac:dyDescent="0.3">
      <c r="A40" s="150"/>
      <c r="B40" s="150"/>
      <c r="C40" s="150"/>
      <c r="D40" s="150"/>
      <c r="E40" s="140" t="str">
        <f t="shared" si="0"/>
        <v/>
      </c>
      <c r="F40" s="159"/>
      <c r="G40" s="145">
        <f t="shared" si="3"/>
        <v>0</v>
      </c>
      <c r="H40" s="140" t="str">
        <f t="shared" si="2"/>
        <v/>
      </c>
      <c r="J40" s="147" t="str">
        <f>IFERROR(SUMIFS(当年实际!$V:$V,当年实际!$F:$F,$C40,当年实际!$C:$C,"&gt;="&amp;DATE(YEAR(主页!$D$2),1,1),当年实际!$C:$C,"&lt;="&amp;EOMONTH(DATE(YEAR(主页!$D$2),MONTH(主页!$D$2),1),0))/SUMIFS(当年实际!$P:$P,当年实际!$F:$F,$C40,当年实际!$C:$C,"&gt;="&amp;DATE(YEAR(主页!$D$2),1,1),当年实际!$C:$C,"&lt;="&amp;EOMONTH(DATE(YEAR(主页!$D$2),MONTH(主页!$D$2),1),0)),"")</f>
        <v/>
      </c>
    </row>
    <row r="41" spans="1:10" x14ac:dyDescent="0.3">
      <c r="A41" s="150"/>
      <c r="B41" s="150"/>
      <c r="C41" s="150"/>
      <c r="D41" s="150"/>
      <c r="E41" s="140" t="str">
        <f t="shared" si="0"/>
        <v/>
      </c>
      <c r="F41" s="159"/>
      <c r="G41" s="145">
        <f t="shared" si="3"/>
        <v>0</v>
      </c>
      <c r="H41" s="140" t="str">
        <f t="shared" si="2"/>
        <v/>
      </c>
      <c r="J41" s="147" t="str">
        <f>IFERROR(SUMIFS(当年实际!$V:$V,当年实际!$F:$F,$C41,当年实际!$C:$C,"&gt;="&amp;DATE(YEAR(主页!$D$2),1,1),当年实际!$C:$C,"&lt;="&amp;EOMONTH(DATE(YEAR(主页!$D$2),MONTH(主页!$D$2),1),0))/SUMIFS(当年实际!$P:$P,当年实际!$F:$F,$C41,当年实际!$C:$C,"&gt;="&amp;DATE(YEAR(主页!$D$2),1,1),当年实际!$C:$C,"&lt;="&amp;EOMONTH(DATE(YEAR(主页!$D$2),MONTH(主页!$D$2),1),0)),"")</f>
        <v/>
      </c>
    </row>
    <row r="42" spans="1:10" x14ac:dyDescent="0.3">
      <c r="A42" s="150"/>
      <c r="B42" s="150"/>
      <c r="C42" s="150"/>
      <c r="D42" s="150"/>
      <c r="E42" s="140" t="str">
        <f t="shared" si="0"/>
        <v/>
      </c>
      <c r="F42" s="159"/>
      <c r="G42" s="145">
        <f t="shared" si="3"/>
        <v>0</v>
      </c>
      <c r="H42" s="140" t="str">
        <f t="shared" si="2"/>
        <v/>
      </c>
      <c r="J42" s="147" t="str">
        <f>IFERROR(SUMIFS(当年实际!$V:$V,当年实际!$F:$F,$C42,当年实际!$C:$C,"&gt;="&amp;DATE(YEAR(主页!$D$2),1,1),当年实际!$C:$C,"&lt;="&amp;EOMONTH(DATE(YEAR(主页!$D$2),MONTH(主页!$D$2),1),0))/SUMIFS(当年实际!$P:$P,当年实际!$F:$F,$C42,当年实际!$C:$C,"&gt;="&amp;DATE(YEAR(主页!$D$2),1,1),当年实际!$C:$C,"&lt;="&amp;EOMONTH(DATE(YEAR(主页!$D$2),MONTH(主页!$D$2),1),0)),"")</f>
        <v/>
      </c>
    </row>
    <row r="43" spans="1:10" x14ac:dyDescent="0.3">
      <c r="A43" s="150"/>
      <c r="B43" s="150"/>
      <c r="C43" s="150"/>
      <c r="D43" s="150"/>
      <c r="E43" s="140" t="str">
        <f t="shared" si="0"/>
        <v/>
      </c>
      <c r="F43" s="159"/>
      <c r="G43" s="145">
        <f t="shared" si="3"/>
        <v>0</v>
      </c>
      <c r="H43" s="140" t="str">
        <f t="shared" si="2"/>
        <v/>
      </c>
      <c r="J43" s="147" t="str">
        <f>IFERROR(SUMIFS(当年实际!$V:$V,当年实际!$F:$F,$C43,当年实际!$C:$C,"&gt;="&amp;DATE(YEAR(主页!$D$2),1,1),当年实际!$C:$C,"&lt;="&amp;EOMONTH(DATE(YEAR(主页!$D$2),MONTH(主页!$D$2),1),0))/SUMIFS(当年实际!$P:$P,当年实际!$F:$F,$C43,当年实际!$C:$C,"&gt;="&amp;DATE(YEAR(主页!$D$2),1,1),当年实际!$C:$C,"&lt;="&amp;EOMONTH(DATE(YEAR(主页!$D$2),MONTH(主页!$D$2),1),0)),"")</f>
        <v/>
      </c>
    </row>
    <row r="44" spans="1:10" x14ac:dyDescent="0.3">
      <c r="A44" s="150"/>
      <c r="B44" s="150"/>
      <c r="C44" s="150"/>
      <c r="D44" s="150"/>
      <c r="E44" s="140" t="str">
        <f t="shared" si="0"/>
        <v/>
      </c>
      <c r="F44" s="159"/>
      <c r="G44" s="145">
        <f t="shared" si="3"/>
        <v>0</v>
      </c>
      <c r="H44" s="140" t="str">
        <f t="shared" si="2"/>
        <v/>
      </c>
      <c r="J44" s="147" t="str">
        <f>IFERROR(SUMIFS(当年实际!$V:$V,当年实际!$F:$F,$C44,当年实际!$C:$C,"&gt;="&amp;DATE(YEAR(主页!$D$2),1,1),当年实际!$C:$C,"&lt;="&amp;EOMONTH(DATE(YEAR(主页!$D$2),MONTH(主页!$D$2),1),0))/SUMIFS(当年实际!$P:$P,当年实际!$F:$F,$C44,当年实际!$C:$C,"&gt;="&amp;DATE(YEAR(主页!$D$2),1,1),当年实际!$C:$C,"&lt;="&amp;EOMONTH(DATE(YEAR(主页!$D$2),MONTH(主页!$D$2),1),0)),"")</f>
        <v/>
      </c>
    </row>
    <row r="45" spans="1:10" x14ac:dyDescent="0.3">
      <c r="A45" s="150"/>
      <c r="B45" s="150"/>
      <c r="C45" s="150"/>
      <c r="D45" s="150"/>
      <c r="E45" s="140" t="str">
        <f t="shared" si="0"/>
        <v/>
      </c>
      <c r="F45" s="159"/>
      <c r="G45" s="145">
        <f t="shared" si="3"/>
        <v>0</v>
      </c>
      <c r="H45" s="140" t="str">
        <f t="shared" si="2"/>
        <v/>
      </c>
      <c r="J45" s="147" t="str">
        <f>IFERROR(SUMIFS(当年实际!$V:$V,当年实际!$F:$F,$C45,当年实际!$C:$C,"&gt;="&amp;DATE(YEAR(主页!$D$2),1,1),当年实际!$C:$C,"&lt;="&amp;EOMONTH(DATE(YEAR(主页!$D$2),MONTH(主页!$D$2),1),0))/SUMIFS(当年实际!$P:$P,当年实际!$F:$F,$C45,当年实际!$C:$C,"&gt;="&amp;DATE(YEAR(主页!$D$2),1,1),当年实际!$C:$C,"&lt;="&amp;EOMONTH(DATE(YEAR(主页!$D$2),MONTH(主页!$D$2),1),0)),"")</f>
        <v/>
      </c>
    </row>
    <row r="46" spans="1:10" x14ac:dyDescent="0.3">
      <c r="A46" s="150"/>
      <c r="B46" s="150"/>
      <c r="C46" s="150"/>
      <c r="D46" s="150"/>
      <c r="E46" s="140" t="str">
        <f t="shared" si="0"/>
        <v/>
      </c>
      <c r="F46" s="159"/>
      <c r="G46" s="145">
        <f t="shared" si="3"/>
        <v>0</v>
      </c>
      <c r="H46" s="140" t="str">
        <f t="shared" si="2"/>
        <v/>
      </c>
      <c r="J46" s="147" t="str">
        <f>IFERROR(SUMIFS(当年实际!$V:$V,当年实际!$F:$F,$C46,当年实际!$C:$C,"&gt;="&amp;DATE(YEAR(主页!$D$2),1,1),当年实际!$C:$C,"&lt;="&amp;EOMONTH(DATE(YEAR(主页!$D$2),MONTH(主页!$D$2),1),0))/SUMIFS(当年实际!$P:$P,当年实际!$F:$F,$C46,当年实际!$C:$C,"&gt;="&amp;DATE(YEAR(主页!$D$2),1,1),当年实际!$C:$C,"&lt;="&amp;EOMONTH(DATE(YEAR(主页!$D$2),MONTH(主页!$D$2),1),0)),"")</f>
        <v/>
      </c>
    </row>
    <row r="47" spans="1:10" x14ac:dyDescent="0.3">
      <c r="A47" s="150"/>
      <c r="B47" s="150"/>
      <c r="C47" s="150"/>
      <c r="D47" s="150"/>
      <c r="E47" s="140" t="str">
        <f t="shared" si="0"/>
        <v/>
      </c>
      <c r="F47" s="159"/>
      <c r="G47" s="145">
        <f t="shared" si="3"/>
        <v>0</v>
      </c>
      <c r="H47" s="140" t="str">
        <f t="shared" si="2"/>
        <v/>
      </c>
      <c r="J47" s="147" t="str">
        <f>IFERROR(SUMIFS(当年实际!$V:$V,当年实际!$F:$F,$C47,当年实际!$C:$C,"&gt;="&amp;DATE(YEAR(主页!$D$2),1,1),当年实际!$C:$C,"&lt;="&amp;EOMONTH(DATE(YEAR(主页!$D$2),MONTH(主页!$D$2),1),0))/SUMIFS(当年实际!$P:$P,当年实际!$F:$F,$C47,当年实际!$C:$C,"&gt;="&amp;DATE(YEAR(主页!$D$2),1,1),当年实际!$C:$C,"&lt;="&amp;EOMONTH(DATE(YEAR(主页!$D$2),MONTH(主页!$D$2),1),0)),"")</f>
        <v/>
      </c>
    </row>
    <row r="48" spans="1:10" x14ac:dyDescent="0.3">
      <c r="A48" s="150"/>
      <c r="B48" s="150"/>
      <c r="C48" s="150"/>
      <c r="D48" s="150"/>
      <c r="E48" s="140" t="str">
        <f t="shared" si="0"/>
        <v/>
      </c>
      <c r="F48" s="159"/>
      <c r="G48" s="145">
        <f t="shared" si="3"/>
        <v>0</v>
      </c>
      <c r="H48" s="140" t="str">
        <f t="shared" si="2"/>
        <v/>
      </c>
      <c r="J48" s="147" t="str">
        <f>IFERROR(SUMIFS(当年实际!$V:$V,当年实际!$F:$F,$C48,当年实际!$C:$C,"&gt;="&amp;DATE(YEAR(主页!$D$2),1,1),当年实际!$C:$C,"&lt;="&amp;EOMONTH(DATE(YEAR(主页!$D$2),MONTH(主页!$D$2),1),0))/SUMIFS(当年实际!$P:$P,当年实际!$F:$F,$C48,当年实际!$C:$C,"&gt;="&amp;DATE(YEAR(主页!$D$2),1,1),当年实际!$C:$C,"&lt;="&amp;EOMONTH(DATE(YEAR(主页!$D$2),MONTH(主页!$D$2),1),0)),"")</f>
        <v/>
      </c>
    </row>
    <row r="49" spans="1:10" x14ac:dyDescent="0.3">
      <c r="A49" s="150"/>
      <c r="B49" s="150"/>
      <c r="C49" s="150"/>
      <c r="D49" s="150"/>
      <c r="E49" s="140" t="str">
        <f t="shared" si="0"/>
        <v/>
      </c>
      <c r="F49" s="159"/>
      <c r="G49" s="145">
        <f t="shared" si="3"/>
        <v>0</v>
      </c>
      <c r="H49" s="140" t="str">
        <f t="shared" si="2"/>
        <v/>
      </c>
      <c r="J49" s="147" t="str">
        <f>IFERROR(SUMIFS(当年实际!$V:$V,当年实际!$F:$F,$C49,当年实际!$C:$C,"&gt;="&amp;DATE(YEAR(主页!$D$2),1,1),当年实际!$C:$C,"&lt;="&amp;EOMONTH(DATE(YEAR(主页!$D$2),MONTH(主页!$D$2),1),0))/SUMIFS(当年实际!$P:$P,当年实际!$F:$F,$C49,当年实际!$C:$C,"&gt;="&amp;DATE(YEAR(主页!$D$2),1,1),当年实际!$C:$C,"&lt;="&amp;EOMONTH(DATE(YEAR(主页!$D$2),MONTH(主页!$D$2),1),0)),"")</f>
        <v/>
      </c>
    </row>
    <row r="50" spans="1:10" x14ac:dyDescent="0.3">
      <c r="A50" s="150"/>
      <c r="B50" s="150"/>
      <c r="C50" s="150"/>
      <c r="D50" s="150"/>
      <c r="E50" s="140" t="str">
        <f t="shared" si="0"/>
        <v/>
      </c>
      <c r="F50" s="159"/>
      <c r="G50" s="145">
        <f t="shared" si="3"/>
        <v>0</v>
      </c>
      <c r="H50" s="140" t="str">
        <f t="shared" si="2"/>
        <v/>
      </c>
      <c r="J50" s="147" t="str">
        <f>IFERROR(SUMIFS(当年实际!$V:$V,当年实际!$F:$F,$C50,当年实际!$C:$C,"&gt;="&amp;DATE(YEAR(主页!$D$2),1,1),当年实际!$C:$C,"&lt;="&amp;EOMONTH(DATE(YEAR(主页!$D$2),MONTH(主页!$D$2),1),0))/SUMIFS(当年实际!$P:$P,当年实际!$F:$F,$C50,当年实际!$C:$C,"&gt;="&amp;DATE(YEAR(主页!$D$2),1,1),当年实际!$C:$C,"&lt;="&amp;EOMONTH(DATE(YEAR(主页!$D$2),MONTH(主页!$D$2),1),0)),"")</f>
        <v/>
      </c>
    </row>
    <row r="51" spans="1:10" x14ac:dyDescent="0.3">
      <c r="A51" s="150"/>
      <c r="B51" s="150"/>
      <c r="C51" s="150"/>
      <c r="D51" s="150"/>
      <c r="E51" s="140" t="str">
        <f t="shared" si="0"/>
        <v/>
      </c>
      <c r="F51" s="159"/>
      <c r="G51" s="145">
        <f t="shared" si="3"/>
        <v>0</v>
      </c>
      <c r="H51" s="140" t="str">
        <f t="shared" si="2"/>
        <v/>
      </c>
      <c r="J51" s="147" t="str">
        <f>IFERROR(SUMIFS(当年实际!$V:$V,当年实际!$F:$F,$C51,当年实际!$C:$C,"&gt;="&amp;DATE(YEAR(主页!$D$2),1,1),当年实际!$C:$C,"&lt;="&amp;EOMONTH(DATE(YEAR(主页!$D$2),MONTH(主页!$D$2),1),0))/SUMIFS(当年实际!$P:$P,当年实际!$F:$F,$C51,当年实际!$C:$C,"&gt;="&amp;DATE(YEAR(主页!$D$2),1,1),当年实际!$C:$C,"&lt;="&amp;EOMONTH(DATE(YEAR(主页!$D$2),MONTH(主页!$D$2),1),0)),"")</f>
        <v/>
      </c>
    </row>
    <row r="52" spans="1:10" x14ac:dyDescent="0.3">
      <c r="A52" s="150"/>
      <c r="B52" s="150"/>
      <c r="C52" s="150"/>
      <c r="D52" s="150"/>
      <c r="E52" s="140" t="str">
        <f t="shared" si="0"/>
        <v/>
      </c>
      <c r="F52" s="159"/>
      <c r="G52" s="145">
        <f t="shared" si="3"/>
        <v>0</v>
      </c>
      <c r="H52" s="140" t="str">
        <f t="shared" si="2"/>
        <v/>
      </c>
      <c r="J52" s="147" t="str">
        <f>IFERROR(SUMIFS(当年实际!$V:$V,当年实际!$F:$F,$C52,当年实际!$C:$C,"&gt;="&amp;DATE(YEAR(主页!$D$2),1,1),当年实际!$C:$C,"&lt;="&amp;EOMONTH(DATE(YEAR(主页!$D$2),MONTH(主页!$D$2),1),0))/SUMIFS(当年实际!$P:$P,当年实际!$F:$F,$C52,当年实际!$C:$C,"&gt;="&amp;DATE(YEAR(主页!$D$2),1,1),当年实际!$C:$C,"&lt;="&amp;EOMONTH(DATE(YEAR(主页!$D$2),MONTH(主页!$D$2),1),0)),"")</f>
        <v/>
      </c>
    </row>
    <row r="53" spans="1:10" x14ac:dyDescent="0.3">
      <c r="A53" s="150"/>
      <c r="B53" s="150"/>
      <c r="C53" s="150"/>
      <c r="D53" s="150"/>
      <c r="E53" s="140" t="str">
        <f t="shared" si="0"/>
        <v/>
      </c>
      <c r="F53" s="159"/>
      <c r="G53" s="145">
        <f t="shared" si="3"/>
        <v>0</v>
      </c>
      <c r="H53" s="140" t="str">
        <f t="shared" si="2"/>
        <v/>
      </c>
      <c r="J53" s="147" t="str">
        <f>IFERROR(SUMIFS(当年实际!$V:$V,当年实际!$F:$F,$C53,当年实际!$C:$C,"&gt;="&amp;DATE(YEAR(主页!$D$2),1,1),当年实际!$C:$C,"&lt;="&amp;EOMONTH(DATE(YEAR(主页!$D$2),MONTH(主页!$D$2),1),0))/SUMIFS(当年实际!$P:$P,当年实际!$F:$F,$C53,当年实际!$C:$C,"&gt;="&amp;DATE(YEAR(主页!$D$2),1,1),当年实际!$C:$C,"&lt;="&amp;EOMONTH(DATE(YEAR(主页!$D$2),MONTH(主页!$D$2),1),0)),"")</f>
        <v/>
      </c>
    </row>
    <row r="54" spans="1:10" x14ac:dyDescent="0.3">
      <c r="A54" s="150"/>
      <c r="B54" s="150"/>
      <c r="C54" s="150"/>
      <c r="D54" s="150"/>
      <c r="E54" s="140" t="str">
        <f t="shared" si="0"/>
        <v/>
      </c>
      <c r="F54" s="159"/>
      <c r="G54" s="145">
        <f t="shared" si="3"/>
        <v>0</v>
      </c>
      <c r="H54" s="140" t="str">
        <f t="shared" si="2"/>
        <v/>
      </c>
      <c r="J54" s="147" t="str">
        <f>IFERROR(SUMIFS(当年实际!$V:$V,当年实际!$F:$F,$C54,当年实际!$C:$C,"&gt;="&amp;DATE(YEAR(主页!$D$2),1,1),当年实际!$C:$C,"&lt;="&amp;EOMONTH(DATE(YEAR(主页!$D$2),MONTH(主页!$D$2),1),0))/SUMIFS(当年实际!$P:$P,当年实际!$F:$F,$C54,当年实际!$C:$C,"&gt;="&amp;DATE(YEAR(主页!$D$2),1,1),当年实际!$C:$C,"&lt;="&amp;EOMONTH(DATE(YEAR(主页!$D$2),MONTH(主页!$D$2),1),0)),"")</f>
        <v/>
      </c>
    </row>
    <row r="55" spans="1:10" x14ac:dyDescent="0.3">
      <c r="A55" s="150"/>
      <c r="B55" s="150"/>
      <c r="C55" s="150"/>
      <c r="D55" s="150"/>
      <c r="E55" s="140" t="str">
        <f t="shared" si="0"/>
        <v/>
      </c>
      <c r="F55" s="159"/>
      <c r="G55" s="145">
        <f t="shared" si="3"/>
        <v>0</v>
      </c>
      <c r="H55" s="140" t="str">
        <f t="shared" si="2"/>
        <v/>
      </c>
      <c r="J55" s="147" t="str">
        <f>IFERROR(SUMIFS(当年实际!$V:$V,当年实际!$F:$F,$C55,当年实际!$C:$C,"&gt;="&amp;DATE(YEAR(主页!$D$2),1,1),当年实际!$C:$C,"&lt;="&amp;EOMONTH(DATE(YEAR(主页!$D$2),MONTH(主页!$D$2),1),0))/SUMIFS(当年实际!$P:$P,当年实际!$F:$F,$C55,当年实际!$C:$C,"&gt;="&amp;DATE(YEAR(主页!$D$2),1,1),当年实际!$C:$C,"&lt;="&amp;EOMONTH(DATE(YEAR(主页!$D$2),MONTH(主页!$D$2),1),0)),"")</f>
        <v/>
      </c>
    </row>
    <row r="56" spans="1:10" x14ac:dyDescent="0.3">
      <c r="A56" s="150"/>
      <c r="B56" s="150"/>
      <c r="C56" s="150"/>
      <c r="D56" s="150"/>
      <c r="E56" s="140" t="str">
        <f t="shared" si="0"/>
        <v/>
      </c>
      <c r="F56" s="159"/>
      <c r="G56" s="145">
        <f t="shared" si="3"/>
        <v>0</v>
      </c>
      <c r="H56" s="140" t="str">
        <f t="shared" si="2"/>
        <v/>
      </c>
      <c r="J56" s="147" t="str">
        <f>IFERROR(SUMIFS(当年实际!$V:$V,当年实际!$F:$F,$C56,当年实际!$C:$C,"&gt;="&amp;DATE(YEAR(主页!$D$2),1,1),当年实际!$C:$C,"&lt;="&amp;EOMONTH(DATE(YEAR(主页!$D$2),MONTH(主页!$D$2),1),0))/SUMIFS(当年实际!$P:$P,当年实际!$F:$F,$C56,当年实际!$C:$C,"&gt;="&amp;DATE(YEAR(主页!$D$2),1,1),当年实际!$C:$C,"&lt;="&amp;EOMONTH(DATE(YEAR(主页!$D$2),MONTH(主页!$D$2),1),0)),"")</f>
        <v/>
      </c>
    </row>
    <row r="57" spans="1:10" x14ac:dyDescent="0.3">
      <c r="A57" s="150"/>
      <c r="B57" s="150"/>
      <c r="C57" s="150"/>
      <c r="D57" s="150"/>
      <c r="E57" s="140" t="str">
        <f t="shared" si="0"/>
        <v/>
      </c>
      <c r="F57" s="159"/>
      <c r="G57" s="145">
        <f t="shared" si="3"/>
        <v>0</v>
      </c>
      <c r="H57" s="140" t="str">
        <f t="shared" si="2"/>
        <v/>
      </c>
      <c r="J57" s="147" t="str">
        <f>IFERROR(SUMIFS(当年实际!$V:$V,当年实际!$F:$F,$C57,当年实际!$C:$C,"&gt;="&amp;DATE(YEAR(主页!$D$2),1,1),当年实际!$C:$C,"&lt;="&amp;EOMONTH(DATE(YEAR(主页!$D$2),MONTH(主页!$D$2),1),0))/SUMIFS(当年实际!$P:$P,当年实际!$F:$F,$C57,当年实际!$C:$C,"&gt;="&amp;DATE(YEAR(主页!$D$2),1,1),当年实际!$C:$C,"&lt;="&amp;EOMONTH(DATE(YEAR(主页!$D$2),MONTH(主页!$D$2),1),0)),"")</f>
        <v/>
      </c>
    </row>
    <row r="58" spans="1:10" x14ac:dyDescent="0.3">
      <c r="A58" s="150"/>
      <c r="B58" s="150"/>
      <c r="C58" s="150"/>
      <c r="D58" s="150"/>
      <c r="E58" s="140" t="str">
        <f t="shared" si="0"/>
        <v/>
      </c>
      <c r="F58" s="159"/>
      <c r="G58" s="145">
        <f t="shared" si="3"/>
        <v>0</v>
      </c>
      <c r="H58" s="140" t="str">
        <f t="shared" si="2"/>
        <v/>
      </c>
      <c r="J58" s="147" t="str">
        <f>IFERROR(SUMIFS(当年实际!$V:$V,当年实际!$F:$F,$C58,当年实际!$C:$C,"&gt;="&amp;DATE(YEAR(主页!$D$2),1,1),当年实际!$C:$C,"&lt;="&amp;EOMONTH(DATE(YEAR(主页!$D$2),MONTH(主页!$D$2),1),0))/SUMIFS(当年实际!$P:$P,当年实际!$F:$F,$C58,当年实际!$C:$C,"&gt;="&amp;DATE(YEAR(主页!$D$2),1,1),当年实际!$C:$C,"&lt;="&amp;EOMONTH(DATE(YEAR(主页!$D$2),MONTH(主页!$D$2),1),0)),"")</f>
        <v/>
      </c>
    </row>
    <row r="59" spans="1:10" x14ac:dyDescent="0.3">
      <c r="A59" s="150"/>
      <c r="B59" s="150"/>
      <c r="C59" s="150"/>
      <c r="D59" s="150"/>
      <c r="E59" s="140" t="str">
        <f t="shared" si="0"/>
        <v/>
      </c>
      <c r="F59" s="159"/>
      <c r="G59" s="145">
        <f t="shared" si="3"/>
        <v>0</v>
      </c>
      <c r="H59" s="140" t="str">
        <f t="shared" si="2"/>
        <v/>
      </c>
      <c r="J59" s="147" t="str">
        <f>IFERROR(SUMIFS(当年实际!$V:$V,当年实际!$F:$F,$C59,当年实际!$C:$C,"&gt;="&amp;DATE(YEAR(主页!$D$2),1,1),当年实际!$C:$C,"&lt;="&amp;EOMONTH(DATE(YEAR(主页!$D$2),MONTH(主页!$D$2),1),0))/SUMIFS(当年实际!$P:$P,当年实际!$F:$F,$C59,当年实际!$C:$C,"&gt;="&amp;DATE(YEAR(主页!$D$2),1,1),当年实际!$C:$C,"&lt;="&amp;EOMONTH(DATE(YEAR(主页!$D$2),MONTH(主页!$D$2),1),0)),"")</f>
        <v/>
      </c>
    </row>
    <row r="60" spans="1:10" x14ac:dyDescent="0.3">
      <c r="A60" s="150"/>
      <c r="B60" s="150"/>
      <c r="C60" s="150"/>
      <c r="D60" s="150"/>
      <c r="E60" s="140" t="str">
        <f t="shared" si="0"/>
        <v/>
      </c>
      <c r="F60" s="159"/>
      <c r="G60" s="145">
        <f t="shared" si="3"/>
        <v>0</v>
      </c>
      <c r="H60" s="140" t="str">
        <f t="shared" si="2"/>
        <v/>
      </c>
      <c r="J60" s="147" t="str">
        <f>IFERROR(SUMIFS(当年实际!$V:$V,当年实际!$F:$F,$C60,当年实际!$C:$C,"&gt;="&amp;DATE(YEAR(主页!$D$2),1,1),当年实际!$C:$C,"&lt;="&amp;EOMONTH(DATE(YEAR(主页!$D$2),MONTH(主页!$D$2),1),0))/SUMIFS(当年实际!$P:$P,当年实际!$F:$F,$C60,当年实际!$C:$C,"&gt;="&amp;DATE(YEAR(主页!$D$2),1,1),当年实际!$C:$C,"&lt;="&amp;EOMONTH(DATE(YEAR(主页!$D$2),MONTH(主页!$D$2),1),0)),"")</f>
        <v/>
      </c>
    </row>
    <row r="61" spans="1:10" x14ac:dyDescent="0.3">
      <c r="A61" s="150"/>
      <c r="B61" s="150"/>
      <c r="C61" s="150"/>
      <c r="D61" s="150"/>
      <c r="E61" s="140" t="str">
        <f t="shared" si="0"/>
        <v/>
      </c>
      <c r="F61" s="159"/>
      <c r="G61" s="145">
        <f t="shared" si="3"/>
        <v>0</v>
      </c>
      <c r="H61" s="140" t="str">
        <f t="shared" si="2"/>
        <v/>
      </c>
      <c r="J61" s="147" t="str">
        <f>IFERROR(SUMIFS(当年实际!$V:$V,当年实际!$F:$F,$C61,当年实际!$C:$C,"&gt;="&amp;DATE(YEAR(主页!$D$2),1,1),当年实际!$C:$C,"&lt;="&amp;EOMONTH(DATE(YEAR(主页!$D$2),MONTH(主页!$D$2),1),0))/SUMIFS(当年实际!$P:$P,当年实际!$F:$F,$C61,当年实际!$C:$C,"&gt;="&amp;DATE(YEAR(主页!$D$2),1,1),当年实际!$C:$C,"&lt;="&amp;EOMONTH(DATE(YEAR(主页!$D$2),MONTH(主页!$D$2),1),0)),"")</f>
        <v/>
      </c>
    </row>
    <row r="62" spans="1:10" x14ac:dyDescent="0.3">
      <c r="A62" s="150"/>
      <c r="B62" s="150"/>
      <c r="C62" s="150"/>
      <c r="D62" s="150"/>
      <c r="E62" s="140" t="str">
        <f t="shared" si="0"/>
        <v/>
      </c>
      <c r="F62" s="159"/>
      <c r="G62" s="145">
        <f t="shared" si="3"/>
        <v>0</v>
      </c>
      <c r="H62" s="140" t="str">
        <f t="shared" si="2"/>
        <v/>
      </c>
      <c r="J62" s="147" t="str">
        <f>IFERROR(SUMIFS(当年实际!$V:$V,当年实际!$F:$F,$C62,当年实际!$C:$C,"&gt;="&amp;DATE(YEAR(主页!$D$2),1,1),当年实际!$C:$C,"&lt;="&amp;EOMONTH(DATE(YEAR(主页!$D$2),MONTH(主页!$D$2),1),0))/SUMIFS(当年实际!$P:$P,当年实际!$F:$F,$C62,当年实际!$C:$C,"&gt;="&amp;DATE(YEAR(主页!$D$2),1,1),当年实际!$C:$C,"&lt;="&amp;EOMONTH(DATE(YEAR(主页!$D$2),MONTH(主页!$D$2),1),0)),"")</f>
        <v/>
      </c>
    </row>
    <row r="63" spans="1:10" x14ac:dyDescent="0.3">
      <c r="A63" s="150"/>
      <c r="B63" s="150"/>
      <c r="C63" s="150"/>
      <c r="D63" s="150"/>
      <c r="E63" s="140" t="str">
        <f t="shared" si="0"/>
        <v/>
      </c>
      <c r="F63" s="159"/>
      <c r="G63" s="145">
        <f t="shared" si="3"/>
        <v>0</v>
      </c>
      <c r="H63" s="140" t="str">
        <f t="shared" si="2"/>
        <v/>
      </c>
      <c r="J63" s="147" t="str">
        <f>IFERROR(SUMIFS(当年实际!$V:$V,当年实际!$F:$F,$C63,当年实际!$C:$C,"&gt;="&amp;DATE(YEAR(主页!$D$2),1,1),当年实际!$C:$C,"&lt;="&amp;EOMONTH(DATE(YEAR(主页!$D$2),MONTH(主页!$D$2),1),0))/SUMIFS(当年实际!$P:$P,当年实际!$F:$F,$C63,当年实际!$C:$C,"&gt;="&amp;DATE(YEAR(主页!$D$2),1,1),当年实际!$C:$C,"&lt;="&amp;EOMONTH(DATE(YEAR(主页!$D$2),MONTH(主页!$D$2),1),0)),"")</f>
        <v/>
      </c>
    </row>
    <row r="64" spans="1:10" x14ac:dyDescent="0.3">
      <c r="A64" s="150"/>
      <c r="B64" s="150"/>
      <c r="C64" s="150"/>
      <c r="D64" s="150"/>
      <c r="E64" s="140" t="str">
        <f t="shared" si="0"/>
        <v/>
      </c>
      <c r="F64" s="159"/>
      <c r="G64" s="145">
        <f t="shared" si="3"/>
        <v>0</v>
      </c>
      <c r="H64" s="140" t="str">
        <f t="shared" si="2"/>
        <v/>
      </c>
      <c r="J64" s="147" t="str">
        <f>IFERROR(SUMIFS(当年实际!$V:$V,当年实际!$F:$F,$C64,当年实际!$C:$C,"&gt;="&amp;DATE(YEAR(主页!$D$2),1,1),当年实际!$C:$C,"&lt;="&amp;EOMONTH(DATE(YEAR(主页!$D$2),MONTH(主页!$D$2),1),0))/SUMIFS(当年实际!$P:$P,当年实际!$F:$F,$C64,当年实际!$C:$C,"&gt;="&amp;DATE(YEAR(主页!$D$2),1,1),当年实际!$C:$C,"&lt;="&amp;EOMONTH(DATE(YEAR(主页!$D$2),MONTH(主页!$D$2),1),0)),"")</f>
        <v/>
      </c>
    </row>
    <row r="65" spans="1:10" x14ac:dyDescent="0.3">
      <c r="A65" s="150"/>
      <c r="B65" s="150"/>
      <c r="C65" s="150"/>
      <c r="D65" s="150"/>
      <c r="E65" s="140" t="str">
        <f t="shared" si="0"/>
        <v/>
      </c>
      <c r="F65" s="159"/>
      <c r="G65" s="145">
        <f t="shared" si="3"/>
        <v>0</v>
      </c>
      <c r="H65" s="140" t="str">
        <f t="shared" si="2"/>
        <v/>
      </c>
      <c r="J65" s="147" t="str">
        <f>IFERROR(SUMIFS(当年实际!$V:$V,当年实际!$F:$F,$C65,当年实际!$C:$C,"&gt;="&amp;DATE(YEAR(主页!$D$2),1,1),当年实际!$C:$C,"&lt;="&amp;EOMONTH(DATE(YEAR(主页!$D$2),MONTH(主页!$D$2),1),0))/SUMIFS(当年实际!$P:$P,当年实际!$F:$F,$C65,当年实际!$C:$C,"&gt;="&amp;DATE(YEAR(主页!$D$2),1,1),当年实际!$C:$C,"&lt;="&amp;EOMONTH(DATE(YEAR(主页!$D$2),MONTH(主页!$D$2),1),0)),"")</f>
        <v/>
      </c>
    </row>
    <row r="66" spans="1:10" x14ac:dyDescent="0.3">
      <c r="A66" s="150"/>
      <c r="B66" s="150"/>
      <c r="C66" s="150"/>
      <c r="D66" s="150"/>
      <c r="E66" s="140" t="str">
        <f t="shared" si="0"/>
        <v/>
      </c>
      <c r="F66" s="159"/>
      <c r="G66" s="145">
        <f t="shared" si="3"/>
        <v>0</v>
      </c>
      <c r="H66" s="140" t="str">
        <f t="shared" si="2"/>
        <v/>
      </c>
      <c r="J66" s="147" t="str">
        <f>IFERROR(SUMIFS(当年实际!$V:$V,当年实际!$F:$F,$C66,当年实际!$C:$C,"&gt;="&amp;DATE(YEAR(主页!$D$2),1,1),当年实际!$C:$C,"&lt;="&amp;EOMONTH(DATE(YEAR(主页!$D$2),MONTH(主页!$D$2),1),0))/SUMIFS(当年实际!$P:$P,当年实际!$F:$F,$C66,当年实际!$C:$C,"&gt;="&amp;DATE(YEAR(主页!$D$2),1,1),当年实际!$C:$C,"&lt;="&amp;EOMONTH(DATE(YEAR(主页!$D$2),MONTH(主页!$D$2),1),0)),"")</f>
        <v/>
      </c>
    </row>
    <row r="67" spans="1:10" x14ac:dyDescent="0.3">
      <c r="A67" s="150"/>
      <c r="B67" s="150"/>
      <c r="C67" s="150"/>
      <c r="D67" s="150"/>
      <c r="E67" s="140" t="str">
        <f t="shared" si="0"/>
        <v/>
      </c>
      <c r="F67" s="159"/>
      <c r="G67" s="145">
        <f t="shared" si="3"/>
        <v>0</v>
      </c>
      <c r="H67" s="140" t="str">
        <f t="shared" si="2"/>
        <v/>
      </c>
      <c r="J67" s="147" t="str">
        <f>IFERROR(SUMIFS(当年实际!$V:$V,当年实际!$F:$F,$C67,当年实际!$C:$C,"&gt;="&amp;DATE(YEAR(主页!$D$2),1,1),当年实际!$C:$C,"&lt;="&amp;EOMONTH(DATE(YEAR(主页!$D$2),MONTH(主页!$D$2),1),0))/SUMIFS(当年实际!$P:$P,当年实际!$F:$F,$C67,当年实际!$C:$C,"&gt;="&amp;DATE(YEAR(主页!$D$2),1,1),当年实际!$C:$C,"&lt;="&amp;EOMONTH(DATE(YEAR(主页!$D$2),MONTH(主页!$D$2),1),0)),"")</f>
        <v/>
      </c>
    </row>
    <row r="68" spans="1:10" x14ac:dyDescent="0.3">
      <c r="A68" s="150"/>
      <c r="B68" s="150"/>
      <c r="C68" s="150"/>
      <c r="D68" s="150"/>
      <c r="E68" s="140" t="str">
        <f t="shared" ref="E68:E131" si="4">IF(D68/SUM(D:D)=0,"",D68/SUM(D:D))</f>
        <v/>
      </c>
      <c r="F68" s="159"/>
      <c r="G68" s="145">
        <f t="shared" si="3"/>
        <v>0</v>
      </c>
      <c r="H68" s="140" t="str">
        <f t="shared" ref="H68:H131" si="5">IF(G68/SUM(G:G)=0,"",G68/SUM(G:G))</f>
        <v/>
      </c>
      <c r="J68" s="147" t="str">
        <f>IFERROR(SUMIFS(当年实际!$V:$V,当年实际!$F:$F,$C68,当年实际!$C:$C,"&gt;="&amp;DATE(YEAR(主页!$D$2),1,1),当年实际!$C:$C,"&lt;="&amp;EOMONTH(DATE(YEAR(主页!$D$2),MONTH(主页!$D$2),1),0))/SUMIFS(当年实际!$P:$P,当年实际!$F:$F,$C68,当年实际!$C:$C,"&gt;="&amp;DATE(YEAR(主页!$D$2),1,1),当年实际!$C:$C,"&lt;="&amp;EOMONTH(DATE(YEAR(主页!$D$2),MONTH(主页!$D$2),1),0)),"")</f>
        <v/>
      </c>
    </row>
    <row r="69" spans="1:10" x14ac:dyDescent="0.3">
      <c r="A69" s="150"/>
      <c r="B69" s="150"/>
      <c r="C69" s="150"/>
      <c r="D69" s="150"/>
      <c r="E69" s="140" t="str">
        <f t="shared" si="4"/>
        <v/>
      </c>
      <c r="F69" s="159"/>
      <c r="G69" s="145">
        <f t="shared" si="3"/>
        <v>0</v>
      </c>
      <c r="H69" s="140" t="str">
        <f t="shared" si="5"/>
        <v/>
      </c>
      <c r="J69" s="147" t="str">
        <f>IFERROR(SUMIFS(当年实际!$V:$V,当年实际!$F:$F,$C69,当年实际!$C:$C,"&gt;="&amp;DATE(YEAR(主页!$D$2),1,1),当年实际!$C:$C,"&lt;="&amp;EOMONTH(DATE(YEAR(主页!$D$2),MONTH(主页!$D$2),1),0))/SUMIFS(当年实际!$P:$P,当年实际!$F:$F,$C69,当年实际!$C:$C,"&gt;="&amp;DATE(YEAR(主页!$D$2),1,1),当年实际!$C:$C,"&lt;="&amp;EOMONTH(DATE(YEAR(主页!$D$2),MONTH(主页!$D$2),1),0)),"")</f>
        <v/>
      </c>
    </row>
    <row r="70" spans="1:10" x14ac:dyDescent="0.3">
      <c r="A70" s="150"/>
      <c r="B70" s="150"/>
      <c r="C70" s="150"/>
      <c r="D70" s="150"/>
      <c r="E70" s="140" t="str">
        <f t="shared" si="4"/>
        <v/>
      </c>
      <c r="F70" s="159"/>
      <c r="G70" s="145">
        <f t="shared" si="3"/>
        <v>0</v>
      </c>
      <c r="H70" s="140" t="str">
        <f t="shared" si="5"/>
        <v/>
      </c>
      <c r="J70" s="147" t="str">
        <f>IFERROR(SUMIFS(当年实际!$V:$V,当年实际!$F:$F,$C70,当年实际!$C:$C,"&gt;="&amp;DATE(YEAR(主页!$D$2),1,1),当年实际!$C:$C,"&lt;="&amp;EOMONTH(DATE(YEAR(主页!$D$2),MONTH(主页!$D$2),1),0))/SUMIFS(当年实际!$P:$P,当年实际!$F:$F,$C70,当年实际!$C:$C,"&gt;="&amp;DATE(YEAR(主页!$D$2),1,1),当年实际!$C:$C,"&lt;="&amp;EOMONTH(DATE(YEAR(主页!$D$2),MONTH(主页!$D$2),1),0)),"")</f>
        <v/>
      </c>
    </row>
    <row r="71" spans="1:10" x14ac:dyDescent="0.3">
      <c r="A71" s="150"/>
      <c r="B71" s="150"/>
      <c r="C71" s="150"/>
      <c r="D71" s="150"/>
      <c r="E71" s="140" t="str">
        <f t="shared" si="4"/>
        <v/>
      </c>
      <c r="F71" s="159"/>
      <c r="G71" s="145">
        <f t="shared" si="3"/>
        <v>0</v>
      </c>
      <c r="H71" s="140" t="str">
        <f t="shared" si="5"/>
        <v/>
      </c>
      <c r="J71" s="147" t="str">
        <f>IFERROR(SUMIFS(当年实际!$V:$V,当年实际!$F:$F,$C71,当年实际!$C:$C,"&gt;="&amp;DATE(YEAR(主页!$D$2),1,1),当年实际!$C:$C,"&lt;="&amp;EOMONTH(DATE(YEAR(主页!$D$2),MONTH(主页!$D$2),1),0))/SUMIFS(当年实际!$P:$P,当年实际!$F:$F,$C71,当年实际!$C:$C,"&gt;="&amp;DATE(YEAR(主页!$D$2),1,1),当年实际!$C:$C,"&lt;="&amp;EOMONTH(DATE(YEAR(主页!$D$2),MONTH(主页!$D$2),1),0)),"")</f>
        <v/>
      </c>
    </row>
    <row r="72" spans="1:10" x14ac:dyDescent="0.3">
      <c r="A72" s="150"/>
      <c r="B72" s="150"/>
      <c r="C72" s="150"/>
      <c r="D72" s="150"/>
      <c r="E72" s="140" t="str">
        <f t="shared" si="4"/>
        <v/>
      </c>
      <c r="F72" s="159"/>
      <c r="G72" s="145">
        <f t="shared" ref="G72:G135" si="6">D72*F72</f>
        <v>0</v>
      </c>
      <c r="H72" s="140" t="str">
        <f t="shared" si="5"/>
        <v/>
      </c>
      <c r="J72" s="147" t="str">
        <f>IFERROR(SUMIFS(当年实际!$V:$V,当年实际!$F:$F,$C72,当年实际!$C:$C,"&gt;="&amp;DATE(YEAR(主页!$D$2),1,1),当年实际!$C:$C,"&lt;="&amp;EOMONTH(DATE(YEAR(主页!$D$2),MONTH(主页!$D$2),1),0))/SUMIFS(当年实际!$P:$P,当年实际!$F:$F,$C72,当年实际!$C:$C,"&gt;="&amp;DATE(YEAR(主页!$D$2),1,1),当年实际!$C:$C,"&lt;="&amp;EOMONTH(DATE(YEAR(主页!$D$2),MONTH(主页!$D$2),1),0)),"")</f>
        <v/>
      </c>
    </row>
    <row r="73" spans="1:10" x14ac:dyDescent="0.3">
      <c r="A73" s="150"/>
      <c r="B73" s="150"/>
      <c r="C73" s="150"/>
      <c r="D73" s="150"/>
      <c r="E73" s="140" t="str">
        <f t="shared" si="4"/>
        <v/>
      </c>
      <c r="F73" s="159"/>
      <c r="G73" s="145">
        <f t="shared" si="6"/>
        <v>0</v>
      </c>
      <c r="H73" s="140" t="str">
        <f t="shared" si="5"/>
        <v/>
      </c>
      <c r="J73" s="147" t="str">
        <f>IFERROR(SUMIFS(当年实际!$V:$V,当年实际!$F:$F,$C73,当年实际!$C:$C,"&gt;="&amp;DATE(YEAR(主页!$D$2),1,1),当年实际!$C:$C,"&lt;="&amp;EOMONTH(DATE(YEAR(主页!$D$2),MONTH(主页!$D$2),1),0))/SUMIFS(当年实际!$P:$P,当年实际!$F:$F,$C73,当年实际!$C:$C,"&gt;="&amp;DATE(YEAR(主页!$D$2),1,1),当年实际!$C:$C,"&lt;="&amp;EOMONTH(DATE(YEAR(主页!$D$2),MONTH(主页!$D$2),1),0)),"")</f>
        <v/>
      </c>
    </row>
    <row r="74" spans="1:10" x14ac:dyDescent="0.3">
      <c r="A74" s="150"/>
      <c r="B74" s="150"/>
      <c r="C74" s="150"/>
      <c r="D74" s="150"/>
      <c r="E74" s="140" t="str">
        <f t="shared" si="4"/>
        <v/>
      </c>
      <c r="F74" s="159"/>
      <c r="G74" s="145">
        <f t="shared" si="6"/>
        <v>0</v>
      </c>
      <c r="H74" s="140" t="str">
        <f t="shared" si="5"/>
        <v/>
      </c>
      <c r="J74" s="147" t="str">
        <f>IFERROR(SUMIFS(当年实际!$V:$V,当年实际!$F:$F,$C74,当年实际!$C:$C,"&gt;="&amp;DATE(YEAR(主页!$D$2),1,1),当年实际!$C:$C,"&lt;="&amp;EOMONTH(DATE(YEAR(主页!$D$2),MONTH(主页!$D$2),1),0))/SUMIFS(当年实际!$P:$P,当年实际!$F:$F,$C74,当年实际!$C:$C,"&gt;="&amp;DATE(YEAR(主页!$D$2),1,1),当年实际!$C:$C,"&lt;="&amp;EOMONTH(DATE(YEAR(主页!$D$2),MONTH(主页!$D$2),1),0)),"")</f>
        <v/>
      </c>
    </row>
    <row r="75" spans="1:10" x14ac:dyDescent="0.3">
      <c r="A75" s="150"/>
      <c r="B75" s="150"/>
      <c r="C75" s="150"/>
      <c r="D75" s="150"/>
      <c r="E75" s="140" t="str">
        <f t="shared" si="4"/>
        <v/>
      </c>
      <c r="F75" s="159"/>
      <c r="G75" s="145">
        <f t="shared" si="6"/>
        <v>0</v>
      </c>
      <c r="H75" s="140" t="str">
        <f t="shared" si="5"/>
        <v/>
      </c>
      <c r="J75" s="147" t="str">
        <f>IFERROR(SUMIFS(当年实际!$V:$V,当年实际!$F:$F,$C75,当年实际!$C:$C,"&gt;="&amp;DATE(YEAR(主页!$D$2),1,1),当年实际!$C:$C,"&lt;="&amp;EOMONTH(DATE(YEAR(主页!$D$2),MONTH(主页!$D$2),1),0))/SUMIFS(当年实际!$P:$P,当年实际!$F:$F,$C75,当年实际!$C:$C,"&gt;="&amp;DATE(YEAR(主页!$D$2),1,1),当年实际!$C:$C,"&lt;="&amp;EOMONTH(DATE(YEAR(主页!$D$2),MONTH(主页!$D$2),1),0)),"")</f>
        <v/>
      </c>
    </row>
    <row r="76" spans="1:10" x14ac:dyDescent="0.3">
      <c r="A76" s="150"/>
      <c r="B76" s="150"/>
      <c r="C76" s="150"/>
      <c r="D76" s="150"/>
      <c r="E76" s="140" t="str">
        <f t="shared" si="4"/>
        <v/>
      </c>
      <c r="F76" s="159"/>
      <c r="G76" s="145">
        <f t="shared" si="6"/>
        <v>0</v>
      </c>
      <c r="H76" s="140" t="str">
        <f t="shared" si="5"/>
        <v/>
      </c>
      <c r="J76" s="147" t="str">
        <f>IFERROR(SUMIFS(当年实际!$V:$V,当年实际!$F:$F,$C76,当年实际!$C:$C,"&gt;="&amp;DATE(YEAR(主页!$D$2),1,1),当年实际!$C:$C,"&lt;="&amp;EOMONTH(DATE(YEAR(主页!$D$2),MONTH(主页!$D$2),1),0))/SUMIFS(当年实际!$P:$P,当年实际!$F:$F,$C76,当年实际!$C:$C,"&gt;="&amp;DATE(YEAR(主页!$D$2),1,1),当年实际!$C:$C,"&lt;="&amp;EOMONTH(DATE(YEAR(主页!$D$2),MONTH(主页!$D$2),1),0)),"")</f>
        <v/>
      </c>
    </row>
    <row r="77" spans="1:10" x14ac:dyDescent="0.3">
      <c r="A77" s="150"/>
      <c r="B77" s="150"/>
      <c r="C77" s="150"/>
      <c r="D77" s="150"/>
      <c r="E77" s="140" t="str">
        <f t="shared" si="4"/>
        <v/>
      </c>
      <c r="F77" s="159"/>
      <c r="G77" s="145">
        <f t="shared" si="6"/>
        <v>0</v>
      </c>
      <c r="H77" s="140" t="str">
        <f t="shared" si="5"/>
        <v/>
      </c>
      <c r="J77" s="147" t="str">
        <f>IFERROR(SUMIFS(当年实际!$V:$V,当年实际!$F:$F,$C77,当年实际!$C:$C,"&gt;="&amp;DATE(YEAR(主页!$D$2),1,1),当年实际!$C:$C,"&lt;="&amp;EOMONTH(DATE(YEAR(主页!$D$2),MONTH(主页!$D$2),1),0))/SUMIFS(当年实际!$P:$P,当年实际!$F:$F,$C77,当年实际!$C:$C,"&gt;="&amp;DATE(YEAR(主页!$D$2),1,1),当年实际!$C:$C,"&lt;="&amp;EOMONTH(DATE(YEAR(主页!$D$2),MONTH(主页!$D$2),1),0)),"")</f>
        <v/>
      </c>
    </row>
    <row r="78" spans="1:10" x14ac:dyDescent="0.3">
      <c r="A78" s="150"/>
      <c r="B78" s="150"/>
      <c r="C78" s="150"/>
      <c r="D78" s="150"/>
      <c r="E78" s="140" t="str">
        <f t="shared" si="4"/>
        <v/>
      </c>
      <c r="F78" s="159"/>
      <c r="G78" s="145">
        <f t="shared" si="6"/>
        <v>0</v>
      </c>
      <c r="H78" s="140" t="str">
        <f t="shared" si="5"/>
        <v/>
      </c>
      <c r="J78" s="147" t="str">
        <f>IFERROR(SUMIFS(当年实际!$V:$V,当年实际!$F:$F,$C78,当年实际!$C:$C,"&gt;="&amp;DATE(YEAR(主页!$D$2),1,1),当年实际!$C:$C,"&lt;="&amp;EOMONTH(DATE(YEAR(主页!$D$2),MONTH(主页!$D$2),1),0))/SUMIFS(当年实际!$P:$P,当年实际!$F:$F,$C78,当年实际!$C:$C,"&gt;="&amp;DATE(YEAR(主页!$D$2),1,1),当年实际!$C:$C,"&lt;="&amp;EOMONTH(DATE(YEAR(主页!$D$2),MONTH(主页!$D$2),1),0)),"")</f>
        <v/>
      </c>
    </row>
    <row r="79" spans="1:10" x14ac:dyDescent="0.3">
      <c r="A79" s="150"/>
      <c r="B79" s="150"/>
      <c r="C79" s="150"/>
      <c r="D79" s="150"/>
      <c r="E79" s="140" t="str">
        <f t="shared" si="4"/>
        <v/>
      </c>
      <c r="F79" s="159"/>
      <c r="G79" s="145">
        <f t="shared" si="6"/>
        <v>0</v>
      </c>
      <c r="H79" s="140" t="str">
        <f t="shared" si="5"/>
        <v/>
      </c>
      <c r="J79" s="147" t="str">
        <f>IFERROR(SUMIFS(当年实际!$V:$V,当年实际!$F:$F,$C79,当年实际!$C:$C,"&gt;="&amp;DATE(YEAR(主页!$D$2),1,1),当年实际!$C:$C,"&lt;="&amp;EOMONTH(DATE(YEAR(主页!$D$2),MONTH(主页!$D$2),1),0))/SUMIFS(当年实际!$P:$P,当年实际!$F:$F,$C79,当年实际!$C:$C,"&gt;="&amp;DATE(YEAR(主页!$D$2),1,1),当年实际!$C:$C,"&lt;="&amp;EOMONTH(DATE(YEAR(主页!$D$2),MONTH(主页!$D$2),1),0)),"")</f>
        <v/>
      </c>
    </row>
    <row r="80" spans="1:10" x14ac:dyDescent="0.3">
      <c r="A80" s="150"/>
      <c r="B80" s="150"/>
      <c r="C80" s="150"/>
      <c r="D80" s="150"/>
      <c r="E80" s="140" t="str">
        <f t="shared" si="4"/>
        <v/>
      </c>
      <c r="F80" s="159"/>
      <c r="G80" s="145">
        <f t="shared" si="6"/>
        <v>0</v>
      </c>
      <c r="H80" s="140" t="str">
        <f t="shared" si="5"/>
        <v/>
      </c>
      <c r="J80" s="147" t="str">
        <f>IFERROR(SUMIFS(当年实际!$V:$V,当年实际!$F:$F,$C80,当年实际!$C:$C,"&gt;="&amp;DATE(YEAR(主页!$D$2),1,1),当年实际!$C:$C,"&lt;="&amp;EOMONTH(DATE(YEAR(主页!$D$2),MONTH(主页!$D$2),1),0))/SUMIFS(当年实际!$P:$P,当年实际!$F:$F,$C80,当年实际!$C:$C,"&gt;="&amp;DATE(YEAR(主页!$D$2),1,1),当年实际!$C:$C,"&lt;="&amp;EOMONTH(DATE(YEAR(主页!$D$2),MONTH(主页!$D$2),1),0)),"")</f>
        <v/>
      </c>
    </row>
    <row r="81" spans="1:10" x14ac:dyDescent="0.3">
      <c r="A81" s="150"/>
      <c r="B81" s="150"/>
      <c r="C81" s="150"/>
      <c r="D81" s="150"/>
      <c r="E81" s="140" t="str">
        <f t="shared" si="4"/>
        <v/>
      </c>
      <c r="F81" s="159"/>
      <c r="G81" s="145">
        <f t="shared" si="6"/>
        <v>0</v>
      </c>
      <c r="H81" s="140" t="str">
        <f t="shared" si="5"/>
        <v/>
      </c>
      <c r="J81" s="147" t="str">
        <f>IFERROR(SUMIFS(当年实际!$V:$V,当年实际!$F:$F,$C81,当年实际!$C:$C,"&gt;="&amp;DATE(YEAR(主页!$D$2),1,1),当年实际!$C:$C,"&lt;="&amp;EOMONTH(DATE(YEAR(主页!$D$2),MONTH(主页!$D$2),1),0))/SUMIFS(当年实际!$P:$P,当年实际!$F:$F,$C81,当年实际!$C:$C,"&gt;="&amp;DATE(YEAR(主页!$D$2),1,1),当年实际!$C:$C,"&lt;="&amp;EOMONTH(DATE(YEAR(主页!$D$2),MONTH(主页!$D$2),1),0)),"")</f>
        <v/>
      </c>
    </row>
    <row r="82" spans="1:10" x14ac:dyDescent="0.3">
      <c r="A82" s="150"/>
      <c r="B82" s="150"/>
      <c r="C82" s="150"/>
      <c r="D82" s="150"/>
      <c r="E82" s="140" t="str">
        <f t="shared" si="4"/>
        <v/>
      </c>
      <c r="F82" s="159"/>
      <c r="G82" s="145">
        <f t="shared" si="6"/>
        <v>0</v>
      </c>
      <c r="H82" s="140" t="str">
        <f t="shared" si="5"/>
        <v/>
      </c>
      <c r="J82" s="147" t="str">
        <f>IFERROR(SUMIFS(当年实际!$V:$V,当年实际!$F:$F,$C82,当年实际!$C:$C,"&gt;="&amp;DATE(YEAR(主页!$D$2),1,1),当年实际!$C:$C,"&lt;="&amp;EOMONTH(DATE(YEAR(主页!$D$2),MONTH(主页!$D$2),1),0))/SUMIFS(当年实际!$P:$P,当年实际!$F:$F,$C82,当年实际!$C:$C,"&gt;="&amp;DATE(YEAR(主页!$D$2),1,1),当年实际!$C:$C,"&lt;="&amp;EOMONTH(DATE(YEAR(主页!$D$2),MONTH(主页!$D$2),1),0)),"")</f>
        <v/>
      </c>
    </row>
    <row r="83" spans="1:10" x14ac:dyDescent="0.3">
      <c r="A83" s="150"/>
      <c r="B83" s="150"/>
      <c r="C83" s="150"/>
      <c r="D83" s="150"/>
      <c r="E83" s="140" t="str">
        <f t="shared" si="4"/>
        <v/>
      </c>
      <c r="F83" s="159"/>
      <c r="G83" s="145">
        <f t="shared" si="6"/>
        <v>0</v>
      </c>
      <c r="H83" s="140" t="str">
        <f t="shared" si="5"/>
        <v/>
      </c>
      <c r="J83" s="147" t="str">
        <f>IFERROR(SUMIFS(当年实际!$V:$V,当年实际!$F:$F,$C83,当年实际!$C:$C,"&gt;="&amp;DATE(YEAR(主页!$D$2),1,1),当年实际!$C:$C,"&lt;="&amp;EOMONTH(DATE(YEAR(主页!$D$2),MONTH(主页!$D$2),1),0))/SUMIFS(当年实际!$P:$P,当年实际!$F:$F,$C83,当年实际!$C:$C,"&gt;="&amp;DATE(YEAR(主页!$D$2),1,1),当年实际!$C:$C,"&lt;="&amp;EOMONTH(DATE(YEAR(主页!$D$2),MONTH(主页!$D$2),1),0)),"")</f>
        <v/>
      </c>
    </row>
    <row r="84" spans="1:10" x14ac:dyDescent="0.3">
      <c r="A84" s="150"/>
      <c r="B84" s="150"/>
      <c r="C84" s="150"/>
      <c r="D84" s="150"/>
      <c r="E84" s="140" t="str">
        <f t="shared" si="4"/>
        <v/>
      </c>
      <c r="F84" s="159"/>
      <c r="G84" s="145">
        <f t="shared" si="6"/>
        <v>0</v>
      </c>
      <c r="H84" s="140" t="str">
        <f t="shared" si="5"/>
        <v/>
      </c>
      <c r="J84" s="147" t="str">
        <f>IFERROR(SUMIFS(当年实际!$V:$V,当年实际!$F:$F,$C84,当年实际!$C:$C,"&gt;="&amp;DATE(YEAR(主页!$D$2),1,1),当年实际!$C:$C,"&lt;="&amp;EOMONTH(DATE(YEAR(主页!$D$2),MONTH(主页!$D$2),1),0))/SUMIFS(当年实际!$P:$P,当年实际!$F:$F,$C84,当年实际!$C:$C,"&gt;="&amp;DATE(YEAR(主页!$D$2),1,1),当年实际!$C:$C,"&lt;="&amp;EOMONTH(DATE(YEAR(主页!$D$2),MONTH(主页!$D$2),1),0)),"")</f>
        <v/>
      </c>
    </row>
    <row r="85" spans="1:10" x14ac:dyDescent="0.3">
      <c r="A85" s="150"/>
      <c r="B85" s="150"/>
      <c r="C85" s="150"/>
      <c r="D85" s="150"/>
      <c r="E85" s="140" t="str">
        <f t="shared" si="4"/>
        <v/>
      </c>
      <c r="F85" s="159"/>
      <c r="G85" s="145">
        <f t="shared" si="6"/>
        <v>0</v>
      </c>
      <c r="H85" s="140" t="str">
        <f t="shared" si="5"/>
        <v/>
      </c>
      <c r="J85" s="147" t="str">
        <f>IFERROR(SUMIFS(当年实际!$V:$V,当年实际!$F:$F,$C85,当年实际!$C:$C,"&gt;="&amp;DATE(YEAR(主页!$D$2),1,1),当年实际!$C:$C,"&lt;="&amp;EOMONTH(DATE(YEAR(主页!$D$2),MONTH(主页!$D$2),1),0))/SUMIFS(当年实际!$P:$P,当年实际!$F:$F,$C85,当年实际!$C:$C,"&gt;="&amp;DATE(YEAR(主页!$D$2),1,1),当年实际!$C:$C,"&lt;="&amp;EOMONTH(DATE(YEAR(主页!$D$2),MONTH(主页!$D$2),1),0)),"")</f>
        <v/>
      </c>
    </row>
    <row r="86" spans="1:10" x14ac:dyDescent="0.3">
      <c r="A86" s="150"/>
      <c r="B86" s="150"/>
      <c r="C86" s="150"/>
      <c r="D86" s="150"/>
      <c r="E86" s="140" t="str">
        <f t="shared" si="4"/>
        <v/>
      </c>
      <c r="F86" s="159"/>
      <c r="G86" s="145">
        <f t="shared" si="6"/>
        <v>0</v>
      </c>
      <c r="H86" s="140" t="str">
        <f t="shared" si="5"/>
        <v/>
      </c>
      <c r="J86" s="147" t="str">
        <f>IFERROR(SUMIFS(当年实际!$V:$V,当年实际!$F:$F,$C86,当年实际!$C:$C,"&gt;="&amp;DATE(YEAR(主页!$D$2),1,1),当年实际!$C:$C,"&lt;="&amp;EOMONTH(DATE(YEAR(主页!$D$2),MONTH(主页!$D$2),1),0))/SUMIFS(当年实际!$P:$P,当年实际!$F:$F,$C86,当年实际!$C:$C,"&gt;="&amp;DATE(YEAR(主页!$D$2),1,1),当年实际!$C:$C,"&lt;="&amp;EOMONTH(DATE(YEAR(主页!$D$2),MONTH(主页!$D$2),1),0)),"")</f>
        <v/>
      </c>
    </row>
    <row r="87" spans="1:10" x14ac:dyDescent="0.3">
      <c r="A87" s="150"/>
      <c r="B87" s="150"/>
      <c r="C87" s="150"/>
      <c r="D87" s="150"/>
      <c r="E87" s="140" t="str">
        <f t="shared" si="4"/>
        <v/>
      </c>
      <c r="F87" s="159"/>
      <c r="G87" s="145">
        <f t="shared" si="6"/>
        <v>0</v>
      </c>
      <c r="H87" s="140" t="str">
        <f t="shared" si="5"/>
        <v/>
      </c>
      <c r="J87" s="147" t="str">
        <f>IFERROR(SUMIFS(当年实际!$V:$V,当年实际!$F:$F,$C87,当年实际!$C:$C,"&gt;="&amp;DATE(YEAR(主页!$D$2),1,1),当年实际!$C:$C,"&lt;="&amp;EOMONTH(DATE(YEAR(主页!$D$2),MONTH(主页!$D$2),1),0))/SUMIFS(当年实际!$P:$P,当年实际!$F:$F,$C87,当年实际!$C:$C,"&gt;="&amp;DATE(YEAR(主页!$D$2),1,1),当年实际!$C:$C,"&lt;="&amp;EOMONTH(DATE(YEAR(主页!$D$2),MONTH(主页!$D$2),1),0)),"")</f>
        <v/>
      </c>
    </row>
    <row r="88" spans="1:10" x14ac:dyDescent="0.3">
      <c r="A88" s="150"/>
      <c r="B88" s="150"/>
      <c r="C88" s="150"/>
      <c r="D88" s="150"/>
      <c r="E88" s="140" t="str">
        <f t="shared" si="4"/>
        <v/>
      </c>
      <c r="F88" s="159"/>
      <c r="G88" s="145">
        <f t="shared" si="6"/>
        <v>0</v>
      </c>
      <c r="H88" s="140" t="str">
        <f t="shared" si="5"/>
        <v/>
      </c>
      <c r="J88" s="147" t="str">
        <f>IFERROR(SUMIFS(当年实际!$V:$V,当年实际!$F:$F,$C88,当年实际!$C:$C,"&gt;="&amp;DATE(YEAR(主页!$D$2),1,1),当年实际!$C:$C,"&lt;="&amp;EOMONTH(DATE(YEAR(主页!$D$2),MONTH(主页!$D$2),1),0))/SUMIFS(当年实际!$P:$P,当年实际!$F:$F,$C88,当年实际!$C:$C,"&gt;="&amp;DATE(YEAR(主页!$D$2),1,1),当年实际!$C:$C,"&lt;="&amp;EOMONTH(DATE(YEAR(主页!$D$2),MONTH(主页!$D$2),1),0)),"")</f>
        <v/>
      </c>
    </row>
    <row r="89" spans="1:10" x14ac:dyDescent="0.3">
      <c r="A89" s="150"/>
      <c r="B89" s="150"/>
      <c r="C89" s="150"/>
      <c r="D89" s="150"/>
      <c r="E89" s="140" t="str">
        <f t="shared" si="4"/>
        <v/>
      </c>
      <c r="F89" s="159"/>
      <c r="G89" s="145">
        <f t="shared" si="6"/>
        <v>0</v>
      </c>
      <c r="H89" s="140" t="str">
        <f t="shared" si="5"/>
        <v/>
      </c>
      <c r="J89" s="147" t="str">
        <f>IFERROR(SUMIFS(当年实际!$V:$V,当年实际!$F:$F,$C89,当年实际!$C:$C,"&gt;="&amp;DATE(YEAR(主页!$D$2),1,1),当年实际!$C:$C,"&lt;="&amp;EOMONTH(DATE(YEAR(主页!$D$2),MONTH(主页!$D$2),1),0))/SUMIFS(当年实际!$P:$P,当年实际!$F:$F,$C89,当年实际!$C:$C,"&gt;="&amp;DATE(YEAR(主页!$D$2),1,1),当年实际!$C:$C,"&lt;="&amp;EOMONTH(DATE(YEAR(主页!$D$2),MONTH(主页!$D$2),1),0)),"")</f>
        <v/>
      </c>
    </row>
    <row r="90" spans="1:10" x14ac:dyDescent="0.3">
      <c r="A90" s="150"/>
      <c r="B90" s="150"/>
      <c r="C90" s="150"/>
      <c r="D90" s="150"/>
      <c r="E90" s="140" t="str">
        <f t="shared" si="4"/>
        <v/>
      </c>
      <c r="F90" s="159"/>
      <c r="G90" s="145">
        <f t="shared" si="6"/>
        <v>0</v>
      </c>
      <c r="H90" s="140" t="str">
        <f t="shared" si="5"/>
        <v/>
      </c>
      <c r="J90" s="147" t="str">
        <f>IFERROR(SUMIFS(当年实际!$V:$V,当年实际!$F:$F,$C90,当年实际!$C:$C,"&gt;="&amp;DATE(YEAR(主页!$D$2),1,1),当年实际!$C:$C,"&lt;="&amp;EOMONTH(DATE(YEAR(主页!$D$2),MONTH(主页!$D$2),1),0))/SUMIFS(当年实际!$P:$P,当年实际!$F:$F,$C90,当年实际!$C:$C,"&gt;="&amp;DATE(YEAR(主页!$D$2),1,1),当年实际!$C:$C,"&lt;="&amp;EOMONTH(DATE(YEAR(主页!$D$2),MONTH(主页!$D$2),1),0)),"")</f>
        <v/>
      </c>
    </row>
    <row r="91" spans="1:10" x14ac:dyDescent="0.3">
      <c r="A91" s="150"/>
      <c r="B91" s="150"/>
      <c r="C91" s="150"/>
      <c r="D91" s="150"/>
      <c r="E91" s="140" t="str">
        <f t="shared" si="4"/>
        <v/>
      </c>
      <c r="F91" s="159"/>
      <c r="G91" s="145">
        <f t="shared" si="6"/>
        <v>0</v>
      </c>
      <c r="H91" s="140" t="str">
        <f t="shared" si="5"/>
        <v/>
      </c>
      <c r="J91" s="147" t="str">
        <f>IFERROR(SUMIFS(当年实际!$V:$V,当年实际!$F:$F,$C91,当年实际!$C:$C,"&gt;="&amp;DATE(YEAR(主页!$D$2),1,1),当年实际!$C:$C,"&lt;="&amp;EOMONTH(DATE(YEAR(主页!$D$2),MONTH(主页!$D$2),1),0))/SUMIFS(当年实际!$P:$P,当年实际!$F:$F,$C91,当年实际!$C:$C,"&gt;="&amp;DATE(YEAR(主页!$D$2),1,1),当年实际!$C:$C,"&lt;="&amp;EOMONTH(DATE(YEAR(主页!$D$2),MONTH(主页!$D$2),1),0)),"")</f>
        <v/>
      </c>
    </row>
    <row r="92" spans="1:10" x14ac:dyDescent="0.3">
      <c r="A92" s="150"/>
      <c r="B92" s="150"/>
      <c r="C92" s="150"/>
      <c r="D92" s="150"/>
      <c r="E92" s="140" t="str">
        <f t="shared" si="4"/>
        <v/>
      </c>
      <c r="F92" s="159"/>
      <c r="G92" s="145">
        <f t="shared" si="6"/>
        <v>0</v>
      </c>
      <c r="H92" s="140" t="str">
        <f t="shared" si="5"/>
        <v/>
      </c>
      <c r="J92" s="147" t="str">
        <f>IFERROR(SUMIFS(当年实际!$V:$V,当年实际!$F:$F,$C92,当年实际!$C:$C,"&gt;="&amp;DATE(YEAR(主页!$D$2),1,1),当年实际!$C:$C,"&lt;="&amp;EOMONTH(DATE(YEAR(主页!$D$2),MONTH(主页!$D$2),1),0))/SUMIFS(当年实际!$P:$P,当年实际!$F:$F,$C92,当年实际!$C:$C,"&gt;="&amp;DATE(YEAR(主页!$D$2),1,1),当年实际!$C:$C,"&lt;="&amp;EOMONTH(DATE(YEAR(主页!$D$2),MONTH(主页!$D$2),1),0)),"")</f>
        <v/>
      </c>
    </row>
    <row r="93" spans="1:10" x14ac:dyDescent="0.3">
      <c r="A93" s="150"/>
      <c r="B93" s="150"/>
      <c r="C93" s="150"/>
      <c r="D93" s="150"/>
      <c r="E93" s="140" t="str">
        <f t="shared" si="4"/>
        <v/>
      </c>
      <c r="F93" s="159"/>
      <c r="G93" s="145">
        <f t="shared" si="6"/>
        <v>0</v>
      </c>
      <c r="H93" s="140" t="str">
        <f t="shared" si="5"/>
        <v/>
      </c>
      <c r="J93" s="147" t="str">
        <f>IFERROR(SUMIFS(当年实际!$V:$V,当年实际!$F:$F,$C93,当年实际!$C:$C,"&gt;="&amp;DATE(YEAR(主页!$D$2),1,1),当年实际!$C:$C,"&lt;="&amp;EOMONTH(DATE(YEAR(主页!$D$2),MONTH(主页!$D$2),1),0))/SUMIFS(当年实际!$P:$P,当年实际!$F:$F,$C93,当年实际!$C:$C,"&gt;="&amp;DATE(YEAR(主页!$D$2),1,1),当年实际!$C:$C,"&lt;="&amp;EOMONTH(DATE(YEAR(主页!$D$2),MONTH(主页!$D$2),1),0)),"")</f>
        <v/>
      </c>
    </row>
    <row r="94" spans="1:10" x14ac:dyDescent="0.3">
      <c r="A94" s="150"/>
      <c r="B94" s="150"/>
      <c r="C94" s="150"/>
      <c r="D94" s="150"/>
      <c r="E94" s="140" t="str">
        <f t="shared" si="4"/>
        <v/>
      </c>
      <c r="F94" s="159"/>
      <c r="G94" s="145">
        <f t="shared" si="6"/>
        <v>0</v>
      </c>
      <c r="H94" s="140" t="str">
        <f t="shared" si="5"/>
        <v/>
      </c>
      <c r="J94" s="147" t="str">
        <f>IFERROR(SUMIFS(当年实际!$V:$V,当年实际!$F:$F,$C94,当年实际!$C:$C,"&gt;="&amp;DATE(YEAR(主页!$D$2),1,1),当年实际!$C:$C,"&lt;="&amp;EOMONTH(DATE(YEAR(主页!$D$2),MONTH(主页!$D$2),1),0))/SUMIFS(当年实际!$P:$P,当年实际!$F:$F,$C94,当年实际!$C:$C,"&gt;="&amp;DATE(YEAR(主页!$D$2),1,1),当年实际!$C:$C,"&lt;="&amp;EOMONTH(DATE(YEAR(主页!$D$2),MONTH(主页!$D$2),1),0)),"")</f>
        <v/>
      </c>
    </row>
    <row r="95" spans="1:10" x14ac:dyDescent="0.3">
      <c r="A95" s="150"/>
      <c r="B95" s="150"/>
      <c r="C95" s="150"/>
      <c r="D95" s="150"/>
      <c r="E95" s="140" t="str">
        <f t="shared" si="4"/>
        <v/>
      </c>
      <c r="F95" s="159"/>
      <c r="G95" s="145">
        <f t="shared" si="6"/>
        <v>0</v>
      </c>
      <c r="H95" s="140" t="str">
        <f t="shared" si="5"/>
        <v/>
      </c>
      <c r="J95" s="147" t="str">
        <f>IFERROR(SUMIFS(当年实际!$V:$V,当年实际!$F:$F,$C95,当年实际!$C:$C,"&gt;="&amp;DATE(YEAR(主页!$D$2),1,1),当年实际!$C:$C,"&lt;="&amp;EOMONTH(DATE(YEAR(主页!$D$2),MONTH(主页!$D$2),1),0))/SUMIFS(当年实际!$P:$P,当年实际!$F:$F,$C95,当年实际!$C:$C,"&gt;="&amp;DATE(YEAR(主页!$D$2),1,1),当年实际!$C:$C,"&lt;="&amp;EOMONTH(DATE(YEAR(主页!$D$2),MONTH(主页!$D$2),1),0)),"")</f>
        <v/>
      </c>
    </row>
    <row r="96" spans="1:10" x14ac:dyDescent="0.3">
      <c r="A96" s="150"/>
      <c r="B96" s="150"/>
      <c r="C96" s="150"/>
      <c r="D96" s="150"/>
      <c r="E96" s="140" t="str">
        <f t="shared" si="4"/>
        <v/>
      </c>
      <c r="F96" s="159"/>
      <c r="G96" s="145">
        <f t="shared" si="6"/>
        <v>0</v>
      </c>
      <c r="H96" s="140" t="str">
        <f t="shared" si="5"/>
        <v/>
      </c>
      <c r="J96" s="147" t="str">
        <f>IFERROR(SUMIFS(当年实际!$V:$V,当年实际!$F:$F,$C96,当年实际!$C:$C,"&gt;="&amp;DATE(YEAR(主页!$D$2),1,1),当年实际!$C:$C,"&lt;="&amp;EOMONTH(DATE(YEAR(主页!$D$2),MONTH(主页!$D$2),1),0))/SUMIFS(当年实际!$P:$P,当年实际!$F:$F,$C96,当年实际!$C:$C,"&gt;="&amp;DATE(YEAR(主页!$D$2),1,1),当年实际!$C:$C,"&lt;="&amp;EOMONTH(DATE(YEAR(主页!$D$2),MONTH(主页!$D$2),1),0)),"")</f>
        <v/>
      </c>
    </row>
    <row r="97" spans="1:10" x14ac:dyDescent="0.3">
      <c r="A97" s="150"/>
      <c r="B97" s="150"/>
      <c r="C97" s="150"/>
      <c r="D97" s="150"/>
      <c r="E97" s="140" t="str">
        <f t="shared" si="4"/>
        <v/>
      </c>
      <c r="F97" s="159"/>
      <c r="G97" s="145">
        <f t="shared" si="6"/>
        <v>0</v>
      </c>
      <c r="H97" s="140" t="str">
        <f t="shared" si="5"/>
        <v/>
      </c>
      <c r="J97" s="147" t="str">
        <f>IFERROR(SUMIFS(当年实际!$V:$V,当年实际!$F:$F,$C97,当年实际!$C:$C,"&gt;="&amp;DATE(YEAR(主页!$D$2),1,1),当年实际!$C:$C,"&lt;="&amp;EOMONTH(DATE(YEAR(主页!$D$2),MONTH(主页!$D$2),1),0))/SUMIFS(当年实际!$P:$P,当年实际!$F:$F,$C97,当年实际!$C:$C,"&gt;="&amp;DATE(YEAR(主页!$D$2),1,1),当年实际!$C:$C,"&lt;="&amp;EOMONTH(DATE(YEAR(主页!$D$2),MONTH(主页!$D$2),1),0)),"")</f>
        <v/>
      </c>
    </row>
    <row r="98" spans="1:10" x14ac:dyDescent="0.3">
      <c r="A98" s="150"/>
      <c r="B98" s="150"/>
      <c r="C98" s="150"/>
      <c r="D98" s="150"/>
      <c r="E98" s="140" t="str">
        <f t="shared" si="4"/>
        <v/>
      </c>
      <c r="F98" s="159"/>
      <c r="G98" s="145">
        <f t="shared" si="6"/>
        <v>0</v>
      </c>
      <c r="H98" s="140" t="str">
        <f t="shared" si="5"/>
        <v/>
      </c>
      <c r="J98" s="147" t="str">
        <f>IFERROR(SUMIFS(当年实际!$V:$V,当年实际!$F:$F,$C98,当年实际!$C:$C,"&gt;="&amp;DATE(YEAR(主页!$D$2),1,1),当年实际!$C:$C,"&lt;="&amp;EOMONTH(DATE(YEAR(主页!$D$2),MONTH(主页!$D$2),1),0))/SUMIFS(当年实际!$P:$P,当年实际!$F:$F,$C98,当年实际!$C:$C,"&gt;="&amp;DATE(YEAR(主页!$D$2),1,1),当年实际!$C:$C,"&lt;="&amp;EOMONTH(DATE(YEAR(主页!$D$2),MONTH(主页!$D$2),1),0)),"")</f>
        <v/>
      </c>
    </row>
    <row r="99" spans="1:10" x14ac:dyDescent="0.3">
      <c r="A99" s="150"/>
      <c r="B99" s="150"/>
      <c r="C99" s="150"/>
      <c r="D99" s="150"/>
      <c r="E99" s="140" t="str">
        <f t="shared" si="4"/>
        <v/>
      </c>
      <c r="F99" s="159"/>
      <c r="G99" s="145">
        <f t="shared" si="6"/>
        <v>0</v>
      </c>
      <c r="H99" s="140" t="str">
        <f t="shared" si="5"/>
        <v/>
      </c>
      <c r="J99" s="147" t="str">
        <f>IFERROR(SUMIFS(当年实际!$V:$V,当年实际!$F:$F,$C99,当年实际!$C:$C,"&gt;="&amp;DATE(YEAR(主页!$D$2),1,1),当年实际!$C:$C,"&lt;="&amp;EOMONTH(DATE(YEAR(主页!$D$2),MONTH(主页!$D$2),1),0))/SUMIFS(当年实际!$P:$P,当年实际!$F:$F,$C99,当年实际!$C:$C,"&gt;="&amp;DATE(YEAR(主页!$D$2),1,1),当年实际!$C:$C,"&lt;="&amp;EOMONTH(DATE(YEAR(主页!$D$2),MONTH(主页!$D$2),1),0)),"")</f>
        <v/>
      </c>
    </row>
    <row r="100" spans="1:10" x14ac:dyDescent="0.3">
      <c r="A100" s="150"/>
      <c r="B100" s="150"/>
      <c r="C100" s="150"/>
      <c r="D100" s="150"/>
      <c r="E100" s="140" t="str">
        <f t="shared" si="4"/>
        <v/>
      </c>
      <c r="F100" s="159"/>
      <c r="G100" s="145">
        <f t="shared" si="6"/>
        <v>0</v>
      </c>
      <c r="H100" s="140" t="str">
        <f t="shared" si="5"/>
        <v/>
      </c>
      <c r="J100" s="147" t="str">
        <f>IFERROR(SUMIFS(当年实际!$V:$V,当年实际!$F:$F,$C100,当年实际!$C:$C,"&gt;="&amp;DATE(YEAR(主页!$D$2),1,1),当年实际!$C:$C,"&lt;="&amp;EOMONTH(DATE(YEAR(主页!$D$2),MONTH(主页!$D$2),1),0))/SUMIFS(当年实际!$P:$P,当年实际!$F:$F,$C100,当年实际!$C:$C,"&gt;="&amp;DATE(YEAR(主页!$D$2),1,1),当年实际!$C:$C,"&lt;="&amp;EOMONTH(DATE(YEAR(主页!$D$2),MONTH(主页!$D$2),1),0)),"")</f>
        <v/>
      </c>
    </row>
    <row r="101" spans="1:10" x14ac:dyDescent="0.3">
      <c r="A101" s="150"/>
      <c r="B101" s="150"/>
      <c r="C101" s="150"/>
      <c r="D101" s="150"/>
      <c r="E101" s="140" t="str">
        <f t="shared" si="4"/>
        <v/>
      </c>
      <c r="F101" s="159"/>
      <c r="G101" s="145">
        <f t="shared" si="6"/>
        <v>0</v>
      </c>
      <c r="H101" s="140" t="str">
        <f t="shared" si="5"/>
        <v/>
      </c>
      <c r="J101" s="147" t="str">
        <f>IFERROR(SUMIFS(当年实际!$V:$V,当年实际!$F:$F,$C101,当年实际!$C:$C,"&gt;="&amp;DATE(YEAR(主页!$D$2),1,1),当年实际!$C:$C,"&lt;="&amp;EOMONTH(DATE(YEAR(主页!$D$2),MONTH(主页!$D$2),1),0))/SUMIFS(当年实际!$P:$P,当年实际!$F:$F,$C101,当年实际!$C:$C,"&gt;="&amp;DATE(YEAR(主页!$D$2),1,1),当年实际!$C:$C,"&lt;="&amp;EOMONTH(DATE(YEAR(主页!$D$2),MONTH(主页!$D$2),1),0)),"")</f>
        <v/>
      </c>
    </row>
    <row r="102" spans="1:10" x14ac:dyDescent="0.3">
      <c r="A102" s="150"/>
      <c r="B102" s="150"/>
      <c r="C102" s="150"/>
      <c r="D102" s="150"/>
      <c r="E102" s="140" t="str">
        <f t="shared" si="4"/>
        <v/>
      </c>
      <c r="F102" s="159"/>
      <c r="G102" s="145">
        <f t="shared" si="6"/>
        <v>0</v>
      </c>
      <c r="H102" s="140" t="str">
        <f t="shared" si="5"/>
        <v/>
      </c>
      <c r="J102" s="147" t="str">
        <f>IFERROR(SUMIFS(当年实际!$V:$V,当年实际!$F:$F,$C102,当年实际!$C:$C,"&gt;="&amp;DATE(YEAR(主页!$D$2),1,1),当年实际!$C:$C,"&lt;="&amp;EOMONTH(DATE(YEAR(主页!$D$2),MONTH(主页!$D$2),1),0))/SUMIFS(当年实际!$P:$P,当年实际!$F:$F,$C102,当年实际!$C:$C,"&gt;="&amp;DATE(YEAR(主页!$D$2),1,1),当年实际!$C:$C,"&lt;="&amp;EOMONTH(DATE(YEAR(主页!$D$2),MONTH(主页!$D$2),1),0)),"")</f>
        <v/>
      </c>
    </row>
    <row r="103" spans="1:10" x14ac:dyDescent="0.3">
      <c r="A103" s="150"/>
      <c r="B103" s="150"/>
      <c r="C103" s="150"/>
      <c r="D103" s="150"/>
      <c r="E103" s="140" t="str">
        <f t="shared" si="4"/>
        <v/>
      </c>
      <c r="F103" s="159"/>
      <c r="G103" s="145">
        <f t="shared" si="6"/>
        <v>0</v>
      </c>
      <c r="H103" s="140" t="str">
        <f t="shared" si="5"/>
        <v/>
      </c>
      <c r="J103" s="147" t="str">
        <f>IFERROR(SUMIFS(当年实际!$V:$V,当年实际!$F:$F,$C103,当年实际!$C:$C,"&gt;="&amp;DATE(YEAR(主页!$D$2),1,1),当年实际!$C:$C,"&lt;="&amp;EOMONTH(DATE(YEAR(主页!$D$2),MONTH(主页!$D$2),1),0))/SUMIFS(当年实际!$P:$P,当年实际!$F:$F,$C103,当年实际!$C:$C,"&gt;="&amp;DATE(YEAR(主页!$D$2),1,1),当年实际!$C:$C,"&lt;="&amp;EOMONTH(DATE(YEAR(主页!$D$2),MONTH(主页!$D$2),1),0)),"")</f>
        <v/>
      </c>
    </row>
    <row r="104" spans="1:10" x14ac:dyDescent="0.3">
      <c r="A104" s="150"/>
      <c r="B104" s="150"/>
      <c r="C104" s="150"/>
      <c r="D104" s="150"/>
      <c r="E104" s="140" t="str">
        <f t="shared" si="4"/>
        <v/>
      </c>
      <c r="F104" s="159"/>
      <c r="G104" s="145">
        <f t="shared" si="6"/>
        <v>0</v>
      </c>
      <c r="H104" s="140" t="str">
        <f t="shared" si="5"/>
        <v/>
      </c>
      <c r="J104" s="147" t="str">
        <f>IFERROR(SUMIFS(当年实际!$V:$V,当年实际!$F:$F,$C104,当年实际!$C:$C,"&gt;="&amp;DATE(YEAR(主页!$D$2),1,1),当年实际!$C:$C,"&lt;="&amp;EOMONTH(DATE(YEAR(主页!$D$2),MONTH(主页!$D$2),1),0))/SUMIFS(当年实际!$P:$P,当年实际!$F:$F,$C104,当年实际!$C:$C,"&gt;="&amp;DATE(YEAR(主页!$D$2),1,1),当年实际!$C:$C,"&lt;="&amp;EOMONTH(DATE(YEAR(主页!$D$2),MONTH(主页!$D$2),1),0)),"")</f>
        <v/>
      </c>
    </row>
    <row r="105" spans="1:10" x14ac:dyDescent="0.3">
      <c r="A105" s="150"/>
      <c r="B105" s="150"/>
      <c r="C105" s="150"/>
      <c r="D105" s="150"/>
      <c r="E105" s="140" t="str">
        <f t="shared" si="4"/>
        <v/>
      </c>
      <c r="F105" s="159"/>
      <c r="G105" s="145">
        <f t="shared" si="6"/>
        <v>0</v>
      </c>
      <c r="H105" s="140" t="str">
        <f t="shared" si="5"/>
        <v/>
      </c>
      <c r="J105" s="147" t="str">
        <f>IFERROR(SUMIFS(当年实际!$V:$V,当年实际!$F:$F,$C105,当年实际!$C:$C,"&gt;="&amp;DATE(YEAR(主页!$D$2),1,1),当年实际!$C:$C,"&lt;="&amp;EOMONTH(DATE(YEAR(主页!$D$2),MONTH(主页!$D$2),1),0))/SUMIFS(当年实际!$P:$P,当年实际!$F:$F,$C105,当年实际!$C:$C,"&gt;="&amp;DATE(YEAR(主页!$D$2),1,1),当年实际!$C:$C,"&lt;="&amp;EOMONTH(DATE(YEAR(主页!$D$2),MONTH(主页!$D$2),1),0)),"")</f>
        <v/>
      </c>
    </row>
    <row r="106" spans="1:10" x14ac:dyDescent="0.3">
      <c r="A106" s="150"/>
      <c r="B106" s="150"/>
      <c r="C106" s="150"/>
      <c r="D106" s="150"/>
      <c r="E106" s="140" t="str">
        <f t="shared" si="4"/>
        <v/>
      </c>
      <c r="F106" s="159"/>
      <c r="G106" s="145">
        <f t="shared" si="6"/>
        <v>0</v>
      </c>
      <c r="H106" s="140" t="str">
        <f t="shared" si="5"/>
        <v/>
      </c>
      <c r="J106" s="147" t="str">
        <f>IFERROR(SUMIFS(当年实际!$V:$V,当年实际!$F:$F,$C106,当年实际!$C:$C,"&gt;="&amp;DATE(YEAR(主页!$D$2),1,1),当年实际!$C:$C,"&lt;="&amp;EOMONTH(DATE(YEAR(主页!$D$2),MONTH(主页!$D$2),1),0))/SUMIFS(当年实际!$P:$P,当年实际!$F:$F,$C106,当年实际!$C:$C,"&gt;="&amp;DATE(YEAR(主页!$D$2),1,1),当年实际!$C:$C,"&lt;="&amp;EOMONTH(DATE(YEAR(主页!$D$2),MONTH(主页!$D$2),1),0)),"")</f>
        <v/>
      </c>
    </row>
    <row r="107" spans="1:10" x14ac:dyDescent="0.3">
      <c r="A107" s="150"/>
      <c r="B107" s="150"/>
      <c r="C107" s="150"/>
      <c r="D107" s="150"/>
      <c r="E107" s="140" t="str">
        <f t="shared" si="4"/>
        <v/>
      </c>
      <c r="F107" s="159"/>
      <c r="G107" s="145">
        <f t="shared" si="6"/>
        <v>0</v>
      </c>
      <c r="H107" s="140" t="str">
        <f t="shared" si="5"/>
        <v/>
      </c>
      <c r="J107" s="147" t="str">
        <f>IFERROR(SUMIFS(当年实际!$V:$V,当年实际!$F:$F,$C107,当年实际!$C:$C,"&gt;="&amp;DATE(YEAR(主页!$D$2),1,1),当年实际!$C:$C,"&lt;="&amp;EOMONTH(DATE(YEAR(主页!$D$2),MONTH(主页!$D$2),1),0))/SUMIFS(当年实际!$P:$P,当年实际!$F:$F,$C107,当年实际!$C:$C,"&gt;="&amp;DATE(YEAR(主页!$D$2),1,1),当年实际!$C:$C,"&lt;="&amp;EOMONTH(DATE(YEAR(主页!$D$2),MONTH(主页!$D$2),1),0)),"")</f>
        <v/>
      </c>
    </row>
    <row r="108" spans="1:10" x14ac:dyDescent="0.3">
      <c r="A108" s="150"/>
      <c r="B108" s="150"/>
      <c r="C108" s="150"/>
      <c r="D108" s="150"/>
      <c r="E108" s="140" t="str">
        <f t="shared" si="4"/>
        <v/>
      </c>
      <c r="F108" s="159"/>
      <c r="G108" s="145">
        <f t="shared" si="6"/>
        <v>0</v>
      </c>
      <c r="H108" s="140" t="str">
        <f t="shared" si="5"/>
        <v/>
      </c>
      <c r="J108" s="147" t="str">
        <f>IFERROR(SUMIFS(当年实际!$V:$V,当年实际!$F:$F,$C108,当年实际!$C:$C,"&gt;="&amp;DATE(YEAR(主页!$D$2),1,1),当年实际!$C:$C,"&lt;="&amp;EOMONTH(DATE(YEAR(主页!$D$2),MONTH(主页!$D$2),1),0))/SUMIFS(当年实际!$P:$P,当年实际!$F:$F,$C108,当年实际!$C:$C,"&gt;="&amp;DATE(YEAR(主页!$D$2),1,1),当年实际!$C:$C,"&lt;="&amp;EOMONTH(DATE(YEAR(主页!$D$2),MONTH(主页!$D$2),1),0)),"")</f>
        <v/>
      </c>
    </row>
    <row r="109" spans="1:10" x14ac:dyDescent="0.3">
      <c r="A109" s="150"/>
      <c r="B109" s="150"/>
      <c r="C109" s="150"/>
      <c r="D109" s="150"/>
      <c r="E109" s="140" t="str">
        <f t="shared" si="4"/>
        <v/>
      </c>
      <c r="F109" s="159"/>
      <c r="G109" s="145">
        <f t="shared" si="6"/>
        <v>0</v>
      </c>
      <c r="H109" s="140" t="str">
        <f t="shared" si="5"/>
        <v/>
      </c>
      <c r="J109" s="147" t="str">
        <f>IFERROR(SUMIFS(当年实际!$V:$V,当年实际!$F:$F,$C109,当年实际!$C:$C,"&gt;="&amp;DATE(YEAR(主页!$D$2),1,1),当年实际!$C:$C,"&lt;="&amp;EOMONTH(DATE(YEAR(主页!$D$2),MONTH(主页!$D$2),1),0))/SUMIFS(当年实际!$P:$P,当年实际!$F:$F,$C109,当年实际!$C:$C,"&gt;="&amp;DATE(YEAR(主页!$D$2),1,1),当年实际!$C:$C,"&lt;="&amp;EOMONTH(DATE(YEAR(主页!$D$2),MONTH(主页!$D$2),1),0)),"")</f>
        <v/>
      </c>
    </row>
    <row r="110" spans="1:10" x14ac:dyDescent="0.3">
      <c r="A110" s="150"/>
      <c r="B110" s="150"/>
      <c r="C110" s="150"/>
      <c r="D110" s="150"/>
      <c r="E110" s="140" t="str">
        <f t="shared" si="4"/>
        <v/>
      </c>
      <c r="F110" s="159"/>
      <c r="G110" s="145">
        <f t="shared" si="6"/>
        <v>0</v>
      </c>
      <c r="H110" s="140" t="str">
        <f t="shared" si="5"/>
        <v/>
      </c>
      <c r="J110" s="147" t="str">
        <f>IFERROR(SUMIFS(当年实际!$V:$V,当年实际!$F:$F,$C110,当年实际!$C:$C,"&gt;="&amp;DATE(YEAR(主页!$D$2),1,1),当年实际!$C:$C,"&lt;="&amp;EOMONTH(DATE(YEAR(主页!$D$2),MONTH(主页!$D$2),1),0))/SUMIFS(当年实际!$P:$P,当年实际!$F:$F,$C110,当年实际!$C:$C,"&gt;="&amp;DATE(YEAR(主页!$D$2),1,1),当年实际!$C:$C,"&lt;="&amp;EOMONTH(DATE(YEAR(主页!$D$2),MONTH(主页!$D$2),1),0)),"")</f>
        <v/>
      </c>
    </row>
    <row r="111" spans="1:10" x14ac:dyDescent="0.3">
      <c r="A111" s="150"/>
      <c r="B111" s="150"/>
      <c r="C111" s="150"/>
      <c r="D111" s="150"/>
      <c r="E111" s="140" t="str">
        <f t="shared" si="4"/>
        <v/>
      </c>
      <c r="F111" s="159"/>
      <c r="G111" s="145">
        <f t="shared" si="6"/>
        <v>0</v>
      </c>
      <c r="H111" s="140" t="str">
        <f t="shared" si="5"/>
        <v/>
      </c>
      <c r="J111" s="147" t="str">
        <f>IFERROR(SUMIFS(当年实际!$V:$V,当年实际!$F:$F,$C111,当年实际!$C:$C,"&gt;="&amp;DATE(YEAR(主页!$D$2),1,1),当年实际!$C:$C,"&lt;="&amp;EOMONTH(DATE(YEAR(主页!$D$2),MONTH(主页!$D$2),1),0))/SUMIFS(当年实际!$P:$P,当年实际!$F:$F,$C111,当年实际!$C:$C,"&gt;="&amp;DATE(YEAR(主页!$D$2),1,1),当年实际!$C:$C,"&lt;="&amp;EOMONTH(DATE(YEAR(主页!$D$2),MONTH(主页!$D$2),1),0)),"")</f>
        <v/>
      </c>
    </row>
    <row r="112" spans="1:10" x14ac:dyDescent="0.3">
      <c r="A112" s="150"/>
      <c r="B112" s="150"/>
      <c r="C112" s="150"/>
      <c r="D112" s="150"/>
      <c r="E112" s="140" t="str">
        <f t="shared" si="4"/>
        <v/>
      </c>
      <c r="F112" s="159"/>
      <c r="G112" s="145">
        <f t="shared" si="6"/>
        <v>0</v>
      </c>
      <c r="H112" s="140" t="str">
        <f t="shared" si="5"/>
        <v/>
      </c>
      <c r="J112" s="147" t="str">
        <f>IFERROR(SUMIFS(当年实际!$V:$V,当年实际!$F:$F,$C112,当年实际!$C:$C,"&gt;="&amp;DATE(YEAR(主页!$D$2),1,1),当年实际!$C:$C,"&lt;="&amp;EOMONTH(DATE(YEAR(主页!$D$2),MONTH(主页!$D$2),1),0))/SUMIFS(当年实际!$P:$P,当年实际!$F:$F,$C112,当年实际!$C:$C,"&gt;="&amp;DATE(YEAR(主页!$D$2),1,1),当年实际!$C:$C,"&lt;="&amp;EOMONTH(DATE(YEAR(主页!$D$2),MONTH(主页!$D$2),1),0)),"")</f>
        <v/>
      </c>
    </row>
    <row r="113" spans="1:10" x14ac:dyDescent="0.3">
      <c r="A113" s="150"/>
      <c r="B113" s="150"/>
      <c r="C113" s="150"/>
      <c r="D113" s="150"/>
      <c r="E113" s="140" t="str">
        <f t="shared" si="4"/>
        <v/>
      </c>
      <c r="F113" s="159"/>
      <c r="G113" s="145">
        <f t="shared" si="6"/>
        <v>0</v>
      </c>
      <c r="H113" s="140" t="str">
        <f t="shared" si="5"/>
        <v/>
      </c>
      <c r="J113" s="147" t="str">
        <f>IFERROR(SUMIFS(当年实际!$V:$V,当年实际!$F:$F,$C113,当年实际!$C:$C,"&gt;="&amp;DATE(YEAR(主页!$D$2),1,1),当年实际!$C:$C,"&lt;="&amp;EOMONTH(DATE(YEAR(主页!$D$2),MONTH(主页!$D$2),1),0))/SUMIFS(当年实际!$P:$P,当年实际!$F:$F,$C113,当年实际!$C:$C,"&gt;="&amp;DATE(YEAR(主页!$D$2),1,1),当年实际!$C:$C,"&lt;="&amp;EOMONTH(DATE(YEAR(主页!$D$2),MONTH(主页!$D$2),1),0)),"")</f>
        <v/>
      </c>
    </row>
    <row r="114" spans="1:10" x14ac:dyDescent="0.3">
      <c r="A114" s="150"/>
      <c r="B114" s="150"/>
      <c r="C114" s="150"/>
      <c r="D114" s="150"/>
      <c r="E114" s="140" t="str">
        <f t="shared" si="4"/>
        <v/>
      </c>
      <c r="F114" s="159"/>
      <c r="G114" s="145">
        <f t="shared" si="6"/>
        <v>0</v>
      </c>
      <c r="H114" s="140" t="str">
        <f t="shared" si="5"/>
        <v/>
      </c>
      <c r="J114" s="147" t="str">
        <f>IFERROR(SUMIFS(当年实际!$V:$V,当年实际!$F:$F,$C114,当年实际!$C:$C,"&gt;="&amp;DATE(YEAR(主页!$D$2),1,1),当年实际!$C:$C,"&lt;="&amp;EOMONTH(DATE(YEAR(主页!$D$2),MONTH(主页!$D$2),1),0))/SUMIFS(当年实际!$P:$P,当年实际!$F:$F,$C114,当年实际!$C:$C,"&gt;="&amp;DATE(YEAR(主页!$D$2),1,1),当年实际!$C:$C,"&lt;="&amp;EOMONTH(DATE(YEAR(主页!$D$2),MONTH(主页!$D$2),1),0)),"")</f>
        <v/>
      </c>
    </row>
    <row r="115" spans="1:10" x14ac:dyDescent="0.3">
      <c r="A115" s="150"/>
      <c r="B115" s="150"/>
      <c r="C115" s="150"/>
      <c r="D115" s="150"/>
      <c r="E115" s="140" t="str">
        <f t="shared" si="4"/>
        <v/>
      </c>
      <c r="F115" s="159"/>
      <c r="G115" s="145">
        <f t="shared" si="6"/>
        <v>0</v>
      </c>
      <c r="H115" s="140" t="str">
        <f t="shared" si="5"/>
        <v/>
      </c>
      <c r="J115" s="147" t="str">
        <f>IFERROR(SUMIFS(当年实际!$V:$V,当年实际!$F:$F,$C115,当年实际!$C:$C,"&gt;="&amp;DATE(YEAR(主页!$D$2),1,1),当年实际!$C:$C,"&lt;="&amp;EOMONTH(DATE(YEAR(主页!$D$2),MONTH(主页!$D$2),1),0))/SUMIFS(当年实际!$P:$P,当年实际!$F:$F,$C115,当年实际!$C:$C,"&gt;="&amp;DATE(YEAR(主页!$D$2),1,1),当年实际!$C:$C,"&lt;="&amp;EOMONTH(DATE(YEAR(主页!$D$2),MONTH(主页!$D$2),1),0)),"")</f>
        <v/>
      </c>
    </row>
    <row r="116" spans="1:10" x14ac:dyDescent="0.3">
      <c r="A116" s="150"/>
      <c r="B116" s="150"/>
      <c r="C116" s="150"/>
      <c r="D116" s="150"/>
      <c r="E116" s="140" t="str">
        <f t="shared" si="4"/>
        <v/>
      </c>
      <c r="F116" s="159"/>
      <c r="G116" s="145">
        <f t="shared" si="6"/>
        <v>0</v>
      </c>
      <c r="H116" s="140" t="str">
        <f t="shared" si="5"/>
        <v/>
      </c>
      <c r="J116" s="147" t="str">
        <f>IFERROR(SUMIFS(当年实际!$V:$V,当年实际!$F:$F,$C116,当年实际!$C:$C,"&gt;="&amp;DATE(YEAR(主页!$D$2),1,1),当年实际!$C:$C,"&lt;="&amp;EOMONTH(DATE(YEAR(主页!$D$2),MONTH(主页!$D$2),1),0))/SUMIFS(当年实际!$P:$P,当年实际!$F:$F,$C116,当年实际!$C:$C,"&gt;="&amp;DATE(YEAR(主页!$D$2),1,1),当年实际!$C:$C,"&lt;="&amp;EOMONTH(DATE(YEAR(主页!$D$2),MONTH(主页!$D$2),1),0)),"")</f>
        <v/>
      </c>
    </row>
    <row r="117" spans="1:10" x14ac:dyDescent="0.3">
      <c r="A117" s="150"/>
      <c r="B117" s="150"/>
      <c r="C117" s="150"/>
      <c r="D117" s="150"/>
      <c r="E117" s="140" t="str">
        <f t="shared" si="4"/>
        <v/>
      </c>
      <c r="F117" s="159"/>
      <c r="G117" s="145">
        <f t="shared" si="6"/>
        <v>0</v>
      </c>
      <c r="H117" s="140" t="str">
        <f t="shared" si="5"/>
        <v/>
      </c>
      <c r="J117" s="147" t="str">
        <f>IFERROR(SUMIFS(当年实际!$V:$V,当年实际!$F:$F,$C117,当年实际!$C:$C,"&gt;="&amp;DATE(YEAR(主页!$D$2),1,1),当年实际!$C:$C,"&lt;="&amp;EOMONTH(DATE(YEAR(主页!$D$2),MONTH(主页!$D$2),1),0))/SUMIFS(当年实际!$P:$P,当年实际!$F:$F,$C117,当年实际!$C:$C,"&gt;="&amp;DATE(YEAR(主页!$D$2),1,1),当年实际!$C:$C,"&lt;="&amp;EOMONTH(DATE(YEAR(主页!$D$2),MONTH(主页!$D$2),1),0)),"")</f>
        <v/>
      </c>
    </row>
    <row r="118" spans="1:10" x14ac:dyDescent="0.3">
      <c r="A118" s="150"/>
      <c r="B118" s="150"/>
      <c r="C118" s="150"/>
      <c r="D118" s="150"/>
      <c r="E118" s="140" t="str">
        <f t="shared" si="4"/>
        <v/>
      </c>
      <c r="F118" s="159"/>
      <c r="G118" s="145">
        <f t="shared" si="6"/>
        <v>0</v>
      </c>
      <c r="H118" s="140" t="str">
        <f t="shared" si="5"/>
        <v/>
      </c>
      <c r="J118" s="147" t="str">
        <f>IFERROR(SUMIFS(当年实际!$V:$V,当年实际!$F:$F,$C118,当年实际!$C:$C,"&gt;="&amp;DATE(YEAR(主页!$D$2),1,1),当年实际!$C:$C,"&lt;="&amp;EOMONTH(DATE(YEAR(主页!$D$2),MONTH(主页!$D$2),1),0))/SUMIFS(当年实际!$P:$P,当年实际!$F:$F,$C118,当年实际!$C:$C,"&gt;="&amp;DATE(YEAR(主页!$D$2),1,1),当年实际!$C:$C,"&lt;="&amp;EOMONTH(DATE(YEAR(主页!$D$2),MONTH(主页!$D$2),1),0)),"")</f>
        <v/>
      </c>
    </row>
    <row r="119" spans="1:10" x14ac:dyDescent="0.3">
      <c r="A119" s="150"/>
      <c r="B119" s="150"/>
      <c r="C119" s="150"/>
      <c r="D119" s="150"/>
      <c r="E119" s="140" t="str">
        <f t="shared" si="4"/>
        <v/>
      </c>
      <c r="F119" s="159"/>
      <c r="G119" s="145">
        <f t="shared" si="6"/>
        <v>0</v>
      </c>
      <c r="H119" s="140" t="str">
        <f t="shared" si="5"/>
        <v/>
      </c>
      <c r="J119" s="147" t="str">
        <f>IFERROR(SUMIFS(当年实际!$V:$V,当年实际!$F:$F,$C119,当年实际!$C:$C,"&gt;="&amp;DATE(YEAR(主页!$D$2),1,1),当年实际!$C:$C,"&lt;="&amp;EOMONTH(DATE(YEAR(主页!$D$2),MONTH(主页!$D$2),1),0))/SUMIFS(当年实际!$P:$P,当年实际!$F:$F,$C119,当年实际!$C:$C,"&gt;="&amp;DATE(YEAR(主页!$D$2),1,1),当年实际!$C:$C,"&lt;="&amp;EOMONTH(DATE(YEAR(主页!$D$2),MONTH(主页!$D$2),1),0)),"")</f>
        <v/>
      </c>
    </row>
    <row r="120" spans="1:10" x14ac:dyDescent="0.3">
      <c r="A120" s="150"/>
      <c r="B120" s="150"/>
      <c r="C120" s="150"/>
      <c r="D120" s="150"/>
      <c r="E120" s="140" t="str">
        <f t="shared" si="4"/>
        <v/>
      </c>
      <c r="F120" s="159"/>
      <c r="G120" s="145">
        <f t="shared" si="6"/>
        <v>0</v>
      </c>
      <c r="H120" s="140" t="str">
        <f t="shared" si="5"/>
        <v/>
      </c>
      <c r="J120" s="147" t="str">
        <f>IFERROR(SUMIFS(当年实际!$V:$V,当年实际!$F:$F,$C120,当年实际!$C:$C,"&gt;="&amp;DATE(YEAR(主页!$D$2),1,1),当年实际!$C:$C,"&lt;="&amp;EOMONTH(DATE(YEAR(主页!$D$2),MONTH(主页!$D$2),1),0))/SUMIFS(当年实际!$P:$P,当年实际!$F:$F,$C120,当年实际!$C:$C,"&gt;="&amp;DATE(YEAR(主页!$D$2),1,1),当年实际!$C:$C,"&lt;="&amp;EOMONTH(DATE(YEAR(主页!$D$2),MONTH(主页!$D$2),1),0)),"")</f>
        <v/>
      </c>
    </row>
    <row r="121" spans="1:10" x14ac:dyDescent="0.3">
      <c r="A121" s="150"/>
      <c r="B121" s="150"/>
      <c r="C121" s="150"/>
      <c r="D121" s="150"/>
      <c r="E121" s="140" t="str">
        <f t="shared" si="4"/>
        <v/>
      </c>
      <c r="F121" s="159"/>
      <c r="G121" s="145">
        <f t="shared" si="6"/>
        <v>0</v>
      </c>
      <c r="H121" s="140" t="str">
        <f t="shared" si="5"/>
        <v/>
      </c>
      <c r="J121" s="147" t="str">
        <f>IFERROR(SUMIFS(当年实际!$V:$V,当年实际!$F:$F,$C121,当年实际!$C:$C,"&gt;="&amp;DATE(YEAR(主页!$D$2),1,1),当年实际!$C:$C,"&lt;="&amp;EOMONTH(DATE(YEAR(主页!$D$2),MONTH(主页!$D$2),1),0))/SUMIFS(当年实际!$P:$P,当年实际!$F:$F,$C121,当年实际!$C:$C,"&gt;="&amp;DATE(YEAR(主页!$D$2),1,1),当年实际!$C:$C,"&lt;="&amp;EOMONTH(DATE(YEAR(主页!$D$2),MONTH(主页!$D$2),1),0)),"")</f>
        <v/>
      </c>
    </row>
    <row r="122" spans="1:10" x14ac:dyDescent="0.3">
      <c r="A122" s="150"/>
      <c r="B122" s="150"/>
      <c r="C122" s="150"/>
      <c r="D122" s="150"/>
      <c r="E122" s="140" t="str">
        <f t="shared" si="4"/>
        <v/>
      </c>
      <c r="F122" s="159"/>
      <c r="G122" s="145">
        <f t="shared" si="6"/>
        <v>0</v>
      </c>
      <c r="H122" s="140" t="str">
        <f t="shared" si="5"/>
        <v/>
      </c>
      <c r="J122" s="147" t="str">
        <f>IFERROR(SUMIFS(当年实际!$V:$V,当年实际!$F:$F,$C122,当年实际!$C:$C,"&gt;="&amp;DATE(YEAR(主页!$D$2),1,1),当年实际!$C:$C,"&lt;="&amp;EOMONTH(DATE(YEAR(主页!$D$2),MONTH(主页!$D$2),1),0))/SUMIFS(当年实际!$P:$P,当年实际!$F:$F,$C122,当年实际!$C:$C,"&gt;="&amp;DATE(YEAR(主页!$D$2),1,1),当年实际!$C:$C,"&lt;="&amp;EOMONTH(DATE(YEAR(主页!$D$2),MONTH(主页!$D$2),1),0)),"")</f>
        <v/>
      </c>
    </row>
    <row r="123" spans="1:10" x14ac:dyDescent="0.3">
      <c r="A123" s="150"/>
      <c r="B123" s="150"/>
      <c r="C123" s="150"/>
      <c r="D123" s="150"/>
      <c r="E123" s="140" t="str">
        <f t="shared" si="4"/>
        <v/>
      </c>
      <c r="F123" s="159"/>
      <c r="G123" s="145">
        <f t="shared" si="6"/>
        <v>0</v>
      </c>
      <c r="H123" s="140" t="str">
        <f t="shared" si="5"/>
        <v/>
      </c>
      <c r="J123" s="147" t="str">
        <f>IFERROR(SUMIFS(当年实际!$V:$V,当年实际!$F:$F,$C123,当年实际!$C:$C,"&gt;="&amp;DATE(YEAR(主页!$D$2),1,1),当年实际!$C:$C,"&lt;="&amp;EOMONTH(DATE(YEAR(主页!$D$2),MONTH(主页!$D$2),1),0))/SUMIFS(当年实际!$P:$P,当年实际!$F:$F,$C123,当年实际!$C:$C,"&gt;="&amp;DATE(YEAR(主页!$D$2),1,1),当年实际!$C:$C,"&lt;="&amp;EOMONTH(DATE(YEAR(主页!$D$2),MONTH(主页!$D$2),1),0)),"")</f>
        <v/>
      </c>
    </row>
    <row r="124" spans="1:10" x14ac:dyDescent="0.3">
      <c r="A124" s="150"/>
      <c r="B124" s="150"/>
      <c r="C124" s="150"/>
      <c r="D124" s="150"/>
      <c r="E124" s="140" t="str">
        <f t="shared" si="4"/>
        <v/>
      </c>
      <c r="F124" s="159"/>
      <c r="G124" s="145">
        <f t="shared" si="6"/>
        <v>0</v>
      </c>
      <c r="H124" s="140" t="str">
        <f t="shared" si="5"/>
        <v/>
      </c>
      <c r="J124" s="147" t="str">
        <f>IFERROR(SUMIFS(当年实际!$V:$V,当年实际!$F:$F,$C124,当年实际!$C:$C,"&gt;="&amp;DATE(YEAR(主页!$D$2),1,1),当年实际!$C:$C,"&lt;="&amp;EOMONTH(DATE(YEAR(主页!$D$2),MONTH(主页!$D$2),1),0))/SUMIFS(当年实际!$P:$P,当年实际!$F:$F,$C124,当年实际!$C:$C,"&gt;="&amp;DATE(YEAR(主页!$D$2),1,1),当年实际!$C:$C,"&lt;="&amp;EOMONTH(DATE(YEAR(主页!$D$2),MONTH(主页!$D$2),1),0)),"")</f>
        <v/>
      </c>
    </row>
    <row r="125" spans="1:10" x14ac:dyDescent="0.3">
      <c r="A125" s="150"/>
      <c r="B125" s="150"/>
      <c r="C125" s="150"/>
      <c r="D125" s="150"/>
      <c r="E125" s="140" t="str">
        <f t="shared" si="4"/>
        <v/>
      </c>
      <c r="F125" s="159"/>
      <c r="G125" s="145">
        <f t="shared" si="6"/>
        <v>0</v>
      </c>
      <c r="H125" s="140" t="str">
        <f t="shared" si="5"/>
        <v/>
      </c>
      <c r="J125" s="147" t="str">
        <f>IFERROR(SUMIFS(当年实际!$V:$V,当年实际!$F:$F,$C125,当年实际!$C:$C,"&gt;="&amp;DATE(YEAR(主页!$D$2),1,1),当年实际!$C:$C,"&lt;="&amp;EOMONTH(DATE(YEAR(主页!$D$2),MONTH(主页!$D$2),1),0))/SUMIFS(当年实际!$P:$P,当年实际!$F:$F,$C125,当年实际!$C:$C,"&gt;="&amp;DATE(YEAR(主页!$D$2),1,1),当年实际!$C:$C,"&lt;="&amp;EOMONTH(DATE(YEAR(主页!$D$2),MONTH(主页!$D$2),1),0)),"")</f>
        <v/>
      </c>
    </row>
    <row r="126" spans="1:10" x14ac:dyDescent="0.3">
      <c r="A126" s="150"/>
      <c r="B126" s="150"/>
      <c r="C126" s="150"/>
      <c r="D126" s="150"/>
      <c r="E126" s="140" t="str">
        <f t="shared" si="4"/>
        <v/>
      </c>
      <c r="F126" s="159"/>
      <c r="G126" s="145">
        <f t="shared" si="6"/>
        <v>0</v>
      </c>
      <c r="H126" s="140" t="str">
        <f t="shared" si="5"/>
        <v/>
      </c>
      <c r="J126" s="147" t="str">
        <f>IFERROR(SUMIFS(当年实际!$V:$V,当年实际!$F:$F,$C126,当年实际!$C:$C,"&gt;="&amp;DATE(YEAR(主页!$D$2),1,1),当年实际!$C:$C,"&lt;="&amp;EOMONTH(DATE(YEAR(主页!$D$2),MONTH(主页!$D$2),1),0))/SUMIFS(当年实际!$P:$P,当年实际!$F:$F,$C126,当年实际!$C:$C,"&gt;="&amp;DATE(YEAR(主页!$D$2),1,1),当年实际!$C:$C,"&lt;="&amp;EOMONTH(DATE(YEAR(主页!$D$2),MONTH(主页!$D$2),1),0)),"")</f>
        <v/>
      </c>
    </row>
    <row r="127" spans="1:10" x14ac:dyDescent="0.3">
      <c r="A127" s="150"/>
      <c r="B127" s="150"/>
      <c r="C127" s="150"/>
      <c r="D127" s="150"/>
      <c r="E127" s="140" t="str">
        <f t="shared" si="4"/>
        <v/>
      </c>
      <c r="F127" s="159"/>
      <c r="G127" s="145">
        <f t="shared" si="6"/>
        <v>0</v>
      </c>
      <c r="H127" s="140" t="str">
        <f t="shared" si="5"/>
        <v/>
      </c>
      <c r="J127" s="147" t="str">
        <f>IFERROR(SUMIFS(当年实际!$V:$V,当年实际!$F:$F,$C127,当年实际!$C:$C,"&gt;="&amp;DATE(YEAR(主页!$D$2),1,1),当年实际!$C:$C,"&lt;="&amp;EOMONTH(DATE(YEAR(主页!$D$2),MONTH(主页!$D$2),1),0))/SUMIFS(当年实际!$P:$P,当年实际!$F:$F,$C127,当年实际!$C:$C,"&gt;="&amp;DATE(YEAR(主页!$D$2),1,1),当年实际!$C:$C,"&lt;="&amp;EOMONTH(DATE(YEAR(主页!$D$2),MONTH(主页!$D$2),1),0)),"")</f>
        <v/>
      </c>
    </row>
    <row r="128" spans="1:10" x14ac:dyDescent="0.3">
      <c r="A128" s="150"/>
      <c r="B128" s="150"/>
      <c r="C128" s="150"/>
      <c r="D128" s="150"/>
      <c r="E128" s="140" t="str">
        <f t="shared" si="4"/>
        <v/>
      </c>
      <c r="F128" s="159"/>
      <c r="G128" s="145">
        <f t="shared" si="6"/>
        <v>0</v>
      </c>
      <c r="H128" s="140" t="str">
        <f t="shared" si="5"/>
        <v/>
      </c>
      <c r="J128" s="147" t="str">
        <f>IFERROR(SUMIFS(当年实际!$V:$V,当年实际!$F:$F,$C128,当年实际!$C:$C,"&gt;="&amp;DATE(YEAR(主页!$D$2),1,1),当年实际!$C:$C,"&lt;="&amp;EOMONTH(DATE(YEAR(主页!$D$2),MONTH(主页!$D$2),1),0))/SUMIFS(当年实际!$P:$P,当年实际!$F:$F,$C128,当年实际!$C:$C,"&gt;="&amp;DATE(YEAR(主页!$D$2),1,1),当年实际!$C:$C,"&lt;="&amp;EOMONTH(DATE(YEAR(主页!$D$2),MONTH(主页!$D$2),1),0)),"")</f>
        <v/>
      </c>
    </row>
    <row r="129" spans="1:10" x14ac:dyDescent="0.3">
      <c r="A129" s="150"/>
      <c r="B129" s="150"/>
      <c r="C129" s="150"/>
      <c r="D129" s="150"/>
      <c r="E129" s="140" t="str">
        <f t="shared" si="4"/>
        <v/>
      </c>
      <c r="F129" s="159"/>
      <c r="G129" s="145">
        <f t="shared" si="6"/>
        <v>0</v>
      </c>
      <c r="H129" s="140" t="str">
        <f t="shared" si="5"/>
        <v/>
      </c>
      <c r="J129" s="147" t="str">
        <f>IFERROR(SUMIFS(当年实际!$V:$V,当年实际!$F:$F,$C129,当年实际!$C:$C,"&gt;="&amp;DATE(YEAR(主页!$D$2),1,1),当年实际!$C:$C,"&lt;="&amp;EOMONTH(DATE(YEAR(主页!$D$2),MONTH(主页!$D$2),1),0))/SUMIFS(当年实际!$P:$P,当年实际!$F:$F,$C129,当年实际!$C:$C,"&gt;="&amp;DATE(YEAR(主页!$D$2),1,1),当年实际!$C:$C,"&lt;="&amp;EOMONTH(DATE(YEAR(主页!$D$2),MONTH(主页!$D$2),1),0)),"")</f>
        <v/>
      </c>
    </row>
    <row r="130" spans="1:10" x14ac:dyDescent="0.3">
      <c r="A130" s="150"/>
      <c r="B130" s="150"/>
      <c r="C130" s="150"/>
      <c r="D130" s="150"/>
      <c r="E130" s="140" t="str">
        <f t="shared" si="4"/>
        <v/>
      </c>
      <c r="F130" s="159"/>
      <c r="G130" s="145">
        <f t="shared" si="6"/>
        <v>0</v>
      </c>
      <c r="H130" s="140" t="str">
        <f t="shared" si="5"/>
        <v/>
      </c>
      <c r="J130" s="147" t="str">
        <f>IFERROR(SUMIFS(当年实际!$V:$V,当年实际!$F:$F,$C130,当年实际!$C:$C,"&gt;="&amp;DATE(YEAR(主页!$D$2),1,1),当年实际!$C:$C,"&lt;="&amp;EOMONTH(DATE(YEAR(主页!$D$2),MONTH(主页!$D$2),1),0))/SUMIFS(当年实际!$P:$P,当年实际!$F:$F,$C130,当年实际!$C:$C,"&gt;="&amp;DATE(YEAR(主页!$D$2),1,1),当年实际!$C:$C,"&lt;="&amp;EOMONTH(DATE(YEAR(主页!$D$2),MONTH(主页!$D$2),1),0)),"")</f>
        <v/>
      </c>
    </row>
    <row r="131" spans="1:10" x14ac:dyDescent="0.3">
      <c r="A131" s="150"/>
      <c r="B131" s="150"/>
      <c r="C131" s="150"/>
      <c r="D131" s="150"/>
      <c r="E131" s="140" t="str">
        <f t="shared" si="4"/>
        <v/>
      </c>
      <c r="F131" s="159"/>
      <c r="G131" s="145">
        <f t="shared" si="6"/>
        <v>0</v>
      </c>
      <c r="H131" s="140" t="str">
        <f t="shared" si="5"/>
        <v/>
      </c>
      <c r="J131" s="147" t="str">
        <f>IFERROR(SUMIFS(当年实际!$V:$V,当年实际!$F:$F,$C131,当年实际!$C:$C,"&gt;="&amp;DATE(YEAR(主页!$D$2),1,1),当年实际!$C:$C,"&lt;="&amp;EOMONTH(DATE(YEAR(主页!$D$2),MONTH(主页!$D$2),1),0))/SUMIFS(当年实际!$P:$P,当年实际!$F:$F,$C131,当年实际!$C:$C,"&gt;="&amp;DATE(YEAR(主页!$D$2),1,1),当年实际!$C:$C,"&lt;="&amp;EOMONTH(DATE(YEAR(主页!$D$2),MONTH(主页!$D$2),1),0)),"")</f>
        <v/>
      </c>
    </row>
    <row r="132" spans="1:10" x14ac:dyDescent="0.3">
      <c r="A132" s="150"/>
      <c r="B132" s="150"/>
      <c r="C132" s="150"/>
      <c r="D132" s="150"/>
      <c r="E132" s="140" t="str">
        <f t="shared" ref="E132:E195" si="7">IF(D132/SUM(D:D)=0,"",D132/SUM(D:D))</f>
        <v/>
      </c>
      <c r="F132" s="159"/>
      <c r="G132" s="145">
        <f t="shared" si="6"/>
        <v>0</v>
      </c>
      <c r="H132" s="140" t="str">
        <f t="shared" ref="H132:H195" si="8">IF(G132/SUM(G:G)=0,"",G132/SUM(G:G))</f>
        <v/>
      </c>
      <c r="J132" s="147" t="str">
        <f>IFERROR(SUMIFS(当年实际!$V:$V,当年实际!$F:$F,$C132,当年实际!$C:$C,"&gt;="&amp;DATE(YEAR(主页!$D$2),1,1),当年实际!$C:$C,"&lt;="&amp;EOMONTH(DATE(YEAR(主页!$D$2),MONTH(主页!$D$2),1),0))/SUMIFS(当年实际!$P:$P,当年实际!$F:$F,$C132,当年实际!$C:$C,"&gt;="&amp;DATE(YEAR(主页!$D$2),1,1),当年实际!$C:$C,"&lt;="&amp;EOMONTH(DATE(YEAR(主页!$D$2),MONTH(主页!$D$2),1),0)),"")</f>
        <v/>
      </c>
    </row>
    <row r="133" spans="1:10" x14ac:dyDescent="0.3">
      <c r="A133" s="150"/>
      <c r="B133" s="150"/>
      <c r="C133" s="150"/>
      <c r="D133" s="150"/>
      <c r="E133" s="140" t="str">
        <f t="shared" si="7"/>
        <v/>
      </c>
      <c r="F133" s="159"/>
      <c r="G133" s="145">
        <f t="shared" si="6"/>
        <v>0</v>
      </c>
      <c r="H133" s="140" t="str">
        <f t="shared" si="8"/>
        <v/>
      </c>
      <c r="J133" s="147" t="str">
        <f>IFERROR(SUMIFS(当年实际!$V:$V,当年实际!$F:$F,$C133,当年实际!$C:$C,"&gt;="&amp;DATE(YEAR(主页!$D$2),1,1),当年实际!$C:$C,"&lt;="&amp;EOMONTH(DATE(YEAR(主页!$D$2),MONTH(主页!$D$2),1),0))/SUMIFS(当年实际!$P:$P,当年实际!$F:$F,$C133,当年实际!$C:$C,"&gt;="&amp;DATE(YEAR(主页!$D$2),1,1),当年实际!$C:$C,"&lt;="&amp;EOMONTH(DATE(YEAR(主页!$D$2),MONTH(主页!$D$2),1),0)),"")</f>
        <v/>
      </c>
    </row>
    <row r="134" spans="1:10" x14ac:dyDescent="0.3">
      <c r="A134" s="150"/>
      <c r="B134" s="150"/>
      <c r="C134" s="150"/>
      <c r="D134" s="150"/>
      <c r="E134" s="140" t="str">
        <f t="shared" si="7"/>
        <v/>
      </c>
      <c r="F134" s="159"/>
      <c r="G134" s="145">
        <f t="shared" si="6"/>
        <v>0</v>
      </c>
      <c r="H134" s="140" t="str">
        <f t="shared" si="8"/>
        <v/>
      </c>
      <c r="J134" s="147" t="str">
        <f>IFERROR(SUMIFS(当年实际!$V:$V,当年实际!$F:$F,$C134,当年实际!$C:$C,"&gt;="&amp;DATE(YEAR(主页!$D$2),1,1),当年实际!$C:$C,"&lt;="&amp;EOMONTH(DATE(YEAR(主页!$D$2),MONTH(主页!$D$2),1),0))/SUMIFS(当年实际!$P:$P,当年实际!$F:$F,$C134,当年实际!$C:$C,"&gt;="&amp;DATE(YEAR(主页!$D$2),1,1),当年实际!$C:$C,"&lt;="&amp;EOMONTH(DATE(YEAR(主页!$D$2),MONTH(主页!$D$2),1),0)),"")</f>
        <v/>
      </c>
    </row>
    <row r="135" spans="1:10" x14ac:dyDescent="0.3">
      <c r="A135" s="150"/>
      <c r="B135" s="150"/>
      <c r="C135" s="150"/>
      <c r="D135" s="150"/>
      <c r="E135" s="140" t="str">
        <f t="shared" si="7"/>
        <v/>
      </c>
      <c r="F135" s="159"/>
      <c r="G135" s="145">
        <f t="shared" si="6"/>
        <v>0</v>
      </c>
      <c r="H135" s="140" t="str">
        <f t="shared" si="8"/>
        <v/>
      </c>
      <c r="J135" s="147" t="str">
        <f>IFERROR(SUMIFS(当年实际!$V:$V,当年实际!$F:$F,$C135,当年实际!$C:$C,"&gt;="&amp;DATE(YEAR(主页!$D$2),1,1),当年实际!$C:$C,"&lt;="&amp;EOMONTH(DATE(YEAR(主页!$D$2),MONTH(主页!$D$2),1),0))/SUMIFS(当年实际!$P:$P,当年实际!$F:$F,$C135,当年实际!$C:$C,"&gt;="&amp;DATE(YEAR(主页!$D$2),1,1),当年实际!$C:$C,"&lt;="&amp;EOMONTH(DATE(YEAR(主页!$D$2),MONTH(主页!$D$2),1),0)),"")</f>
        <v/>
      </c>
    </row>
    <row r="136" spans="1:10" x14ac:dyDescent="0.3">
      <c r="A136" s="150"/>
      <c r="B136" s="150"/>
      <c r="C136" s="150"/>
      <c r="D136" s="150"/>
      <c r="E136" s="140" t="str">
        <f t="shared" si="7"/>
        <v/>
      </c>
      <c r="F136" s="159"/>
      <c r="G136" s="145">
        <f t="shared" ref="G136:G199" si="9">D136*F136</f>
        <v>0</v>
      </c>
      <c r="H136" s="140" t="str">
        <f t="shared" si="8"/>
        <v/>
      </c>
      <c r="J136" s="147" t="str">
        <f>IFERROR(SUMIFS(当年实际!$V:$V,当年实际!$F:$F,$C136,当年实际!$C:$C,"&gt;="&amp;DATE(YEAR(主页!$D$2),1,1),当年实际!$C:$C,"&lt;="&amp;EOMONTH(DATE(YEAR(主页!$D$2),MONTH(主页!$D$2),1),0))/SUMIFS(当年实际!$P:$P,当年实际!$F:$F,$C136,当年实际!$C:$C,"&gt;="&amp;DATE(YEAR(主页!$D$2),1,1),当年实际!$C:$C,"&lt;="&amp;EOMONTH(DATE(YEAR(主页!$D$2),MONTH(主页!$D$2),1),0)),"")</f>
        <v/>
      </c>
    </row>
    <row r="137" spans="1:10" x14ac:dyDescent="0.3">
      <c r="A137" s="150"/>
      <c r="B137" s="150"/>
      <c r="C137" s="150"/>
      <c r="D137" s="150"/>
      <c r="E137" s="140" t="str">
        <f t="shared" si="7"/>
        <v/>
      </c>
      <c r="F137" s="159"/>
      <c r="G137" s="145">
        <f t="shared" si="9"/>
        <v>0</v>
      </c>
      <c r="H137" s="140" t="str">
        <f t="shared" si="8"/>
        <v/>
      </c>
      <c r="J137" s="147" t="str">
        <f>IFERROR(SUMIFS(当年实际!$V:$V,当年实际!$F:$F,$C137,当年实际!$C:$C,"&gt;="&amp;DATE(YEAR(主页!$D$2),1,1),当年实际!$C:$C,"&lt;="&amp;EOMONTH(DATE(YEAR(主页!$D$2),MONTH(主页!$D$2),1),0))/SUMIFS(当年实际!$P:$P,当年实际!$F:$F,$C137,当年实际!$C:$C,"&gt;="&amp;DATE(YEAR(主页!$D$2),1,1),当年实际!$C:$C,"&lt;="&amp;EOMONTH(DATE(YEAR(主页!$D$2),MONTH(主页!$D$2),1),0)),"")</f>
        <v/>
      </c>
    </row>
    <row r="138" spans="1:10" x14ac:dyDescent="0.3">
      <c r="A138" s="150"/>
      <c r="B138" s="150"/>
      <c r="C138" s="150"/>
      <c r="D138" s="150"/>
      <c r="E138" s="140" t="str">
        <f t="shared" si="7"/>
        <v/>
      </c>
      <c r="F138" s="159"/>
      <c r="G138" s="145">
        <f t="shared" si="9"/>
        <v>0</v>
      </c>
      <c r="H138" s="140" t="str">
        <f t="shared" si="8"/>
        <v/>
      </c>
      <c r="J138" s="147" t="str">
        <f>IFERROR(SUMIFS(当年实际!$V:$V,当年实际!$F:$F,$C138,当年实际!$C:$C,"&gt;="&amp;DATE(YEAR(主页!$D$2),1,1),当年实际!$C:$C,"&lt;="&amp;EOMONTH(DATE(YEAR(主页!$D$2),MONTH(主页!$D$2),1),0))/SUMIFS(当年实际!$P:$P,当年实际!$F:$F,$C138,当年实际!$C:$C,"&gt;="&amp;DATE(YEAR(主页!$D$2),1,1),当年实际!$C:$C,"&lt;="&amp;EOMONTH(DATE(YEAR(主页!$D$2),MONTH(主页!$D$2),1),0)),"")</f>
        <v/>
      </c>
    </row>
    <row r="139" spans="1:10" x14ac:dyDescent="0.3">
      <c r="A139" s="150"/>
      <c r="B139" s="150"/>
      <c r="C139" s="150"/>
      <c r="D139" s="150"/>
      <c r="E139" s="140" t="str">
        <f t="shared" si="7"/>
        <v/>
      </c>
      <c r="F139" s="159"/>
      <c r="G139" s="145">
        <f t="shared" si="9"/>
        <v>0</v>
      </c>
      <c r="H139" s="140" t="str">
        <f t="shared" si="8"/>
        <v/>
      </c>
      <c r="J139" s="147" t="str">
        <f>IFERROR(SUMIFS(当年实际!$V:$V,当年实际!$F:$F,$C139,当年实际!$C:$C,"&gt;="&amp;DATE(YEAR(主页!$D$2),1,1),当年实际!$C:$C,"&lt;="&amp;EOMONTH(DATE(YEAR(主页!$D$2),MONTH(主页!$D$2),1),0))/SUMIFS(当年实际!$P:$P,当年实际!$F:$F,$C139,当年实际!$C:$C,"&gt;="&amp;DATE(YEAR(主页!$D$2),1,1),当年实际!$C:$C,"&lt;="&amp;EOMONTH(DATE(YEAR(主页!$D$2),MONTH(主页!$D$2),1),0)),"")</f>
        <v/>
      </c>
    </row>
    <row r="140" spans="1:10" x14ac:dyDescent="0.3">
      <c r="A140" s="150"/>
      <c r="B140" s="150"/>
      <c r="C140" s="150"/>
      <c r="D140" s="150"/>
      <c r="E140" s="140" t="str">
        <f t="shared" si="7"/>
        <v/>
      </c>
      <c r="F140" s="159"/>
      <c r="G140" s="145">
        <f t="shared" si="9"/>
        <v>0</v>
      </c>
      <c r="H140" s="140" t="str">
        <f t="shared" si="8"/>
        <v/>
      </c>
      <c r="J140" s="147" t="str">
        <f>IFERROR(SUMIFS(当年实际!$V:$V,当年实际!$F:$F,$C140,当年实际!$C:$C,"&gt;="&amp;DATE(YEAR(主页!$D$2),1,1),当年实际!$C:$C,"&lt;="&amp;EOMONTH(DATE(YEAR(主页!$D$2),MONTH(主页!$D$2),1),0))/SUMIFS(当年实际!$P:$P,当年实际!$F:$F,$C140,当年实际!$C:$C,"&gt;="&amp;DATE(YEAR(主页!$D$2),1,1),当年实际!$C:$C,"&lt;="&amp;EOMONTH(DATE(YEAR(主页!$D$2),MONTH(主页!$D$2),1),0)),"")</f>
        <v/>
      </c>
    </row>
    <row r="141" spans="1:10" x14ac:dyDescent="0.3">
      <c r="A141" s="150"/>
      <c r="B141" s="150"/>
      <c r="C141" s="150"/>
      <c r="D141" s="150"/>
      <c r="E141" s="140" t="str">
        <f t="shared" si="7"/>
        <v/>
      </c>
      <c r="F141" s="159"/>
      <c r="G141" s="145">
        <f t="shared" si="9"/>
        <v>0</v>
      </c>
      <c r="H141" s="140" t="str">
        <f t="shared" si="8"/>
        <v/>
      </c>
      <c r="J141" s="147" t="str">
        <f>IFERROR(SUMIFS(当年实际!$V:$V,当年实际!$F:$F,$C141,当年实际!$C:$C,"&gt;="&amp;DATE(YEAR(主页!$D$2),1,1),当年实际!$C:$C,"&lt;="&amp;EOMONTH(DATE(YEAR(主页!$D$2),MONTH(主页!$D$2),1),0))/SUMIFS(当年实际!$P:$P,当年实际!$F:$F,$C141,当年实际!$C:$C,"&gt;="&amp;DATE(YEAR(主页!$D$2),1,1),当年实际!$C:$C,"&lt;="&amp;EOMONTH(DATE(YEAR(主页!$D$2),MONTH(主页!$D$2),1),0)),"")</f>
        <v/>
      </c>
    </row>
    <row r="142" spans="1:10" x14ac:dyDescent="0.3">
      <c r="A142" s="150"/>
      <c r="B142" s="150"/>
      <c r="C142" s="150"/>
      <c r="D142" s="150"/>
      <c r="E142" s="140" t="str">
        <f t="shared" si="7"/>
        <v/>
      </c>
      <c r="F142" s="159"/>
      <c r="G142" s="145">
        <f t="shared" si="9"/>
        <v>0</v>
      </c>
      <c r="H142" s="140" t="str">
        <f t="shared" si="8"/>
        <v/>
      </c>
      <c r="J142" s="147" t="str">
        <f>IFERROR(SUMIFS(当年实际!$V:$V,当年实际!$F:$F,$C142,当年实际!$C:$C,"&gt;="&amp;DATE(YEAR(主页!$D$2),1,1),当年实际!$C:$C,"&lt;="&amp;EOMONTH(DATE(YEAR(主页!$D$2),MONTH(主页!$D$2),1),0))/SUMIFS(当年实际!$P:$P,当年实际!$F:$F,$C142,当年实际!$C:$C,"&gt;="&amp;DATE(YEAR(主页!$D$2),1,1),当年实际!$C:$C,"&lt;="&amp;EOMONTH(DATE(YEAR(主页!$D$2),MONTH(主页!$D$2),1),0)),"")</f>
        <v/>
      </c>
    </row>
    <row r="143" spans="1:10" x14ac:dyDescent="0.3">
      <c r="A143" s="150"/>
      <c r="B143" s="150"/>
      <c r="C143" s="150"/>
      <c r="D143" s="150"/>
      <c r="E143" s="140" t="str">
        <f t="shared" si="7"/>
        <v/>
      </c>
      <c r="F143" s="159"/>
      <c r="G143" s="145">
        <f t="shared" si="9"/>
        <v>0</v>
      </c>
      <c r="H143" s="140" t="str">
        <f t="shared" si="8"/>
        <v/>
      </c>
      <c r="J143" s="147" t="str">
        <f>IFERROR(SUMIFS(当年实际!$V:$V,当年实际!$F:$F,$C143,当年实际!$C:$C,"&gt;="&amp;DATE(YEAR(主页!$D$2),1,1),当年实际!$C:$C,"&lt;="&amp;EOMONTH(DATE(YEAR(主页!$D$2),MONTH(主页!$D$2),1),0))/SUMIFS(当年实际!$P:$P,当年实际!$F:$F,$C143,当年实际!$C:$C,"&gt;="&amp;DATE(YEAR(主页!$D$2),1,1),当年实际!$C:$C,"&lt;="&amp;EOMONTH(DATE(YEAR(主页!$D$2),MONTH(主页!$D$2),1),0)),"")</f>
        <v/>
      </c>
    </row>
    <row r="144" spans="1:10" x14ac:dyDescent="0.3">
      <c r="A144" s="150"/>
      <c r="B144" s="150"/>
      <c r="C144" s="150"/>
      <c r="D144" s="150"/>
      <c r="E144" s="140" t="str">
        <f t="shared" si="7"/>
        <v/>
      </c>
      <c r="F144" s="159"/>
      <c r="G144" s="145">
        <f t="shared" si="9"/>
        <v>0</v>
      </c>
      <c r="H144" s="140" t="str">
        <f t="shared" si="8"/>
        <v/>
      </c>
      <c r="J144" s="147" t="str">
        <f>IFERROR(SUMIFS(当年实际!$V:$V,当年实际!$F:$F,$C144,当年实际!$C:$C,"&gt;="&amp;DATE(YEAR(主页!$D$2),1,1),当年实际!$C:$C,"&lt;="&amp;EOMONTH(DATE(YEAR(主页!$D$2),MONTH(主页!$D$2),1),0))/SUMIFS(当年实际!$P:$P,当年实际!$F:$F,$C144,当年实际!$C:$C,"&gt;="&amp;DATE(YEAR(主页!$D$2),1,1),当年实际!$C:$C,"&lt;="&amp;EOMONTH(DATE(YEAR(主页!$D$2),MONTH(主页!$D$2),1),0)),"")</f>
        <v/>
      </c>
    </row>
    <row r="145" spans="1:10" x14ac:dyDescent="0.3">
      <c r="A145" s="150"/>
      <c r="B145" s="150"/>
      <c r="C145" s="150"/>
      <c r="D145" s="150"/>
      <c r="E145" s="140" t="str">
        <f t="shared" si="7"/>
        <v/>
      </c>
      <c r="F145" s="159"/>
      <c r="G145" s="145">
        <f t="shared" si="9"/>
        <v>0</v>
      </c>
      <c r="H145" s="140" t="str">
        <f t="shared" si="8"/>
        <v/>
      </c>
      <c r="J145" s="147" t="str">
        <f>IFERROR(SUMIFS(当年实际!$V:$V,当年实际!$F:$F,$C145,当年实际!$C:$C,"&gt;="&amp;DATE(YEAR(主页!$D$2),1,1),当年实际!$C:$C,"&lt;="&amp;EOMONTH(DATE(YEAR(主页!$D$2),MONTH(主页!$D$2),1),0))/SUMIFS(当年实际!$P:$P,当年实际!$F:$F,$C145,当年实际!$C:$C,"&gt;="&amp;DATE(YEAR(主页!$D$2),1,1),当年实际!$C:$C,"&lt;="&amp;EOMONTH(DATE(YEAR(主页!$D$2),MONTH(主页!$D$2),1),0)),"")</f>
        <v/>
      </c>
    </row>
    <row r="146" spans="1:10" x14ac:dyDescent="0.3">
      <c r="A146" s="150"/>
      <c r="B146" s="150"/>
      <c r="C146" s="150"/>
      <c r="D146" s="150"/>
      <c r="E146" s="140" t="str">
        <f t="shared" si="7"/>
        <v/>
      </c>
      <c r="F146" s="159"/>
      <c r="G146" s="145">
        <f t="shared" si="9"/>
        <v>0</v>
      </c>
      <c r="H146" s="140" t="str">
        <f t="shared" si="8"/>
        <v/>
      </c>
      <c r="J146" s="147" t="str">
        <f>IFERROR(SUMIFS(当年实际!$V:$V,当年实际!$F:$F,$C146,当年实际!$C:$C,"&gt;="&amp;DATE(YEAR(主页!$D$2),1,1),当年实际!$C:$C,"&lt;="&amp;EOMONTH(DATE(YEAR(主页!$D$2),MONTH(主页!$D$2),1),0))/SUMIFS(当年实际!$P:$P,当年实际!$F:$F,$C146,当年实际!$C:$C,"&gt;="&amp;DATE(YEAR(主页!$D$2),1,1),当年实际!$C:$C,"&lt;="&amp;EOMONTH(DATE(YEAR(主页!$D$2),MONTH(主页!$D$2),1),0)),"")</f>
        <v/>
      </c>
    </row>
    <row r="147" spans="1:10" x14ac:dyDescent="0.3">
      <c r="A147" s="150"/>
      <c r="B147" s="150"/>
      <c r="C147" s="150"/>
      <c r="D147" s="150"/>
      <c r="E147" s="140" t="str">
        <f t="shared" si="7"/>
        <v/>
      </c>
      <c r="F147" s="159"/>
      <c r="G147" s="145">
        <f t="shared" si="9"/>
        <v>0</v>
      </c>
      <c r="H147" s="140" t="str">
        <f t="shared" si="8"/>
        <v/>
      </c>
      <c r="J147" s="147" t="str">
        <f>IFERROR(SUMIFS(当年实际!$V:$V,当年实际!$F:$F,$C147,当年实际!$C:$C,"&gt;="&amp;DATE(YEAR(主页!$D$2),1,1),当年实际!$C:$C,"&lt;="&amp;EOMONTH(DATE(YEAR(主页!$D$2),MONTH(主页!$D$2),1),0))/SUMIFS(当年实际!$P:$P,当年实际!$F:$F,$C147,当年实际!$C:$C,"&gt;="&amp;DATE(YEAR(主页!$D$2),1,1),当年实际!$C:$C,"&lt;="&amp;EOMONTH(DATE(YEAR(主页!$D$2),MONTH(主页!$D$2),1),0)),"")</f>
        <v/>
      </c>
    </row>
    <row r="148" spans="1:10" x14ac:dyDescent="0.3">
      <c r="A148" s="150"/>
      <c r="B148" s="150"/>
      <c r="C148" s="150"/>
      <c r="D148" s="150"/>
      <c r="E148" s="140" t="str">
        <f t="shared" si="7"/>
        <v/>
      </c>
      <c r="F148" s="159"/>
      <c r="G148" s="145">
        <f t="shared" si="9"/>
        <v>0</v>
      </c>
      <c r="H148" s="140" t="str">
        <f t="shared" si="8"/>
        <v/>
      </c>
      <c r="J148" s="147" t="str">
        <f>IFERROR(SUMIFS(当年实际!$V:$V,当年实际!$F:$F,$C148,当年实际!$C:$C,"&gt;="&amp;DATE(YEAR(主页!$D$2),1,1),当年实际!$C:$C,"&lt;="&amp;EOMONTH(DATE(YEAR(主页!$D$2),MONTH(主页!$D$2),1),0))/SUMIFS(当年实际!$P:$P,当年实际!$F:$F,$C148,当年实际!$C:$C,"&gt;="&amp;DATE(YEAR(主页!$D$2),1,1),当年实际!$C:$C,"&lt;="&amp;EOMONTH(DATE(YEAR(主页!$D$2),MONTH(主页!$D$2),1),0)),"")</f>
        <v/>
      </c>
    </row>
    <row r="149" spans="1:10" x14ac:dyDescent="0.3">
      <c r="A149" s="150"/>
      <c r="B149" s="150"/>
      <c r="C149" s="150"/>
      <c r="D149" s="150"/>
      <c r="E149" s="140" t="str">
        <f t="shared" si="7"/>
        <v/>
      </c>
      <c r="F149" s="159"/>
      <c r="G149" s="145">
        <f t="shared" si="9"/>
        <v>0</v>
      </c>
      <c r="H149" s="140" t="str">
        <f t="shared" si="8"/>
        <v/>
      </c>
      <c r="J149" s="147" t="str">
        <f>IFERROR(SUMIFS(当年实际!$V:$V,当年实际!$F:$F,$C149,当年实际!$C:$C,"&gt;="&amp;DATE(YEAR(主页!$D$2),1,1),当年实际!$C:$C,"&lt;="&amp;EOMONTH(DATE(YEAR(主页!$D$2),MONTH(主页!$D$2),1),0))/SUMIFS(当年实际!$P:$P,当年实际!$F:$F,$C149,当年实际!$C:$C,"&gt;="&amp;DATE(YEAR(主页!$D$2),1,1),当年实际!$C:$C,"&lt;="&amp;EOMONTH(DATE(YEAR(主页!$D$2),MONTH(主页!$D$2),1),0)),"")</f>
        <v/>
      </c>
    </row>
    <row r="150" spans="1:10" x14ac:dyDescent="0.3">
      <c r="A150" s="150"/>
      <c r="B150" s="150"/>
      <c r="C150" s="150"/>
      <c r="D150" s="150"/>
      <c r="E150" s="140" t="str">
        <f t="shared" si="7"/>
        <v/>
      </c>
      <c r="F150" s="159"/>
      <c r="G150" s="145">
        <f t="shared" si="9"/>
        <v>0</v>
      </c>
      <c r="H150" s="140" t="str">
        <f t="shared" si="8"/>
        <v/>
      </c>
      <c r="J150" s="147" t="str">
        <f>IFERROR(SUMIFS(当年实际!$V:$V,当年实际!$F:$F,$C150,当年实际!$C:$C,"&gt;="&amp;DATE(YEAR(主页!$D$2),1,1),当年实际!$C:$C,"&lt;="&amp;EOMONTH(DATE(YEAR(主页!$D$2),MONTH(主页!$D$2),1),0))/SUMIFS(当年实际!$P:$P,当年实际!$F:$F,$C150,当年实际!$C:$C,"&gt;="&amp;DATE(YEAR(主页!$D$2),1,1),当年实际!$C:$C,"&lt;="&amp;EOMONTH(DATE(YEAR(主页!$D$2),MONTH(主页!$D$2),1),0)),"")</f>
        <v/>
      </c>
    </row>
    <row r="151" spans="1:10" x14ac:dyDescent="0.3">
      <c r="A151" s="150"/>
      <c r="B151" s="150"/>
      <c r="C151" s="150"/>
      <c r="D151" s="150"/>
      <c r="E151" s="140" t="str">
        <f t="shared" si="7"/>
        <v/>
      </c>
      <c r="F151" s="159"/>
      <c r="G151" s="145">
        <f t="shared" si="9"/>
        <v>0</v>
      </c>
      <c r="H151" s="140" t="str">
        <f t="shared" si="8"/>
        <v/>
      </c>
      <c r="J151" s="147" t="str">
        <f>IFERROR(SUMIFS(当年实际!$V:$V,当年实际!$F:$F,$C151,当年实际!$C:$C,"&gt;="&amp;DATE(YEAR(主页!$D$2),1,1),当年实际!$C:$C,"&lt;="&amp;EOMONTH(DATE(YEAR(主页!$D$2),MONTH(主页!$D$2),1),0))/SUMIFS(当年实际!$P:$P,当年实际!$F:$F,$C151,当年实际!$C:$C,"&gt;="&amp;DATE(YEAR(主页!$D$2),1,1),当年实际!$C:$C,"&lt;="&amp;EOMONTH(DATE(YEAR(主页!$D$2),MONTH(主页!$D$2),1),0)),"")</f>
        <v/>
      </c>
    </row>
    <row r="152" spans="1:10" x14ac:dyDescent="0.3">
      <c r="A152" s="150"/>
      <c r="B152" s="150"/>
      <c r="C152" s="150"/>
      <c r="D152" s="150"/>
      <c r="E152" s="140" t="str">
        <f t="shared" si="7"/>
        <v/>
      </c>
      <c r="F152" s="159"/>
      <c r="G152" s="145">
        <f t="shared" si="9"/>
        <v>0</v>
      </c>
      <c r="H152" s="140" t="str">
        <f t="shared" si="8"/>
        <v/>
      </c>
      <c r="J152" s="147" t="str">
        <f>IFERROR(SUMIFS(当年实际!$V:$V,当年实际!$F:$F,$C152,当年实际!$C:$C,"&gt;="&amp;DATE(YEAR(主页!$D$2),1,1),当年实际!$C:$C,"&lt;="&amp;EOMONTH(DATE(YEAR(主页!$D$2),MONTH(主页!$D$2),1),0))/SUMIFS(当年实际!$P:$P,当年实际!$F:$F,$C152,当年实际!$C:$C,"&gt;="&amp;DATE(YEAR(主页!$D$2),1,1),当年实际!$C:$C,"&lt;="&amp;EOMONTH(DATE(YEAR(主页!$D$2),MONTH(主页!$D$2),1),0)),"")</f>
        <v/>
      </c>
    </row>
    <row r="153" spans="1:10" x14ac:dyDescent="0.3">
      <c r="A153" s="150"/>
      <c r="B153" s="150"/>
      <c r="C153" s="150"/>
      <c r="D153" s="150"/>
      <c r="E153" s="140" t="str">
        <f t="shared" si="7"/>
        <v/>
      </c>
      <c r="F153" s="159"/>
      <c r="G153" s="145">
        <f t="shared" si="9"/>
        <v>0</v>
      </c>
      <c r="H153" s="140" t="str">
        <f t="shared" si="8"/>
        <v/>
      </c>
      <c r="J153" s="147" t="str">
        <f>IFERROR(SUMIFS(当年实际!$V:$V,当年实际!$F:$F,$C153,当年实际!$C:$C,"&gt;="&amp;DATE(YEAR(主页!$D$2),1,1),当年实际!$C:$C,"&lt;="&amp;EOMONTH(DATE(YEAR(主页!$D$2),MONTH(主页!$D$2),1),0))/SUMIFS(当年实际!$P:$P,当年实际!$F:$F,$C153,当年实际!$C:$C,"&gt;="&amp;DATE(YEAR(主页!$D$2),1,1),当年实际!$C:$C,"&lt;="&amp;EOMONTH(DATE(YEAR(主页!$D$2),MONTH(主页!$D$2),1),0)),"")</f>
        <v/>
      </c>
    </row>
    <row r="154" spans="1:10" x14ac:dyDescent="0.3">
      <c r="A154" s="150"/>
      <c r="B154" s="150"/>
      <c r="C154" s="150"/>
      <c r="D154" s="150"/>
      <c r="E154" s="140" t="str">
        <f t="shared" si="7"/>
        <v/>
      </c>
      <c r="F154" s="159"/>
      <c r="G154" s="145">
        <f t="shared" si="9"/>
        <v>0</v>
      </c>
      <c r="H154" s="140" t="str">
        <f t="shared" si="8"/>
        <v/>
      </c>
      <c r="J154" s="147" t="str">
        <f>IFERROR(SUMIFS(当年实际!$V:$V,当年实际!$F:$F,$C154,当年实际!$C:$C,"&gt;="&amp;DATE(YEAR(主页!$D$2),1,1),当年实际!$C:$C,"&lt;="&amp;EOMONTH(DATE(YEAR(主页!$D$2),MONTH(主页!$D$2),1),0))/SUMIFS(当年实际!$P:$P,当年实际!$F:$F,$C154,当年实际!$C:$C,"&gt;="&amp;DATE(YEAR(主页!$D$2),1,1),当年实际!$C:$C,"&lt;="&amp;EOMONTH(DATE(YEAR(主页!$D$2),MONTH(主页!$D$2),1),0)),"")</f>
        <v/>
      </c>
    </row>
    <row r="155" spans="1:10" x14ac:dyDescent="0.3">
      <c r="A155" s="150"/>
      <c r="B155" s="150"/>
      <c r="C155" s="150"/>
      <c r="D155" s="150"/>
      <c r="E155" s="140" t="str">
        <f t="shared" si="7"/>
        <v/>
      </c>
      <c r="F155" s="159"/>
      <c r="G155" s="145">
        <f t="shared" si="9"/>
        <v>0</v>
      </c>
      <c r="H155" s="140" t="str">
        <f t="shared" si="8"/>
        <v/>
      </c>
      <c r="J155" s="147" t="str">
        <f>IFERROR(SUMIFS(当年实际!$V:$V,当年实际!$F:$F,$C155,当年实际!$C:$C,"&gt;="&amp;DATE(YEAR(主页!$D$2),1,1),当年实际!$C:$C,"&lt;="&amp;EOMONTH(DATE(YEAR(主页!$D$2),MONTH(主页!$D$2),1),0))/SUMIFS(当年实际!$P:$P,当年实际!$F:$F,$C155,当年实际!$C:$C,"&gt;="&amp;DATE(YEAR(主页!$D$2),1,1),当年实际!$C:$C,"&lt;="&amp;EOMONTH(DATE(YEAR(主页!$D$2),MONTH(主页!$D$2),1),0)),"")</f>
        <v/>
      </c>
    </row>
    <row r="156" spans="1:10" x14ac:dyDescent="0.3">
      <c r="A156" s="150"/>
      <c r="B156" s="150"/>
      <c r="C156" s="150"/>
      <c r="D156" s="150"/>
      <c r="E156" s="140" t="str">
        <f t="shared" si="7"/>
        <v/>
      </c>
      <c r="F156" s="159"/>
      <c r="G156" s="145">
        <f t="shared" si="9"/>
        <v>0</v>
      </c>
      <c r="H156" s="140" t="str">
        <f t="shared" si="8"/>
        <v/>
      </c>
      <c r="J156" s="147" t="str">
        <f>IFERROR(SUMIFS(当年实际!$V:$V,当年实际!$F:$F,$C156,当年实际!$C:$C,"&gt;="&amp;DATE(YEAR(主页!$D$2),1,1),当年实际!$C:$C,"&lt;="&amp;EOMONTH(DATE(YEAR(主页!$D$2),MONTH(主页!$D$2),1),0))/SUMIFS(当年实际!$P:$P,当年实际!$F:$F,$C156,当年实际!$C:$C,"&gt;="&amp;DATE(YEAR(主页!$D$2),1,1),当年实际!$C:$C,"&lt;="&amp;EOMONTH(DATE(YEAR(主页!$D$2),MONTH(主页!$D$2),1),0)),"")</f>
        <v/>
      </c>
    </row>
    <row r="157" spans="1:10" x14ac:dyDescent="0.3">
      <c r="A157" s="150"/>
      <c r="B157" s="150"/>
      <c r="C157" s="150"/>
      <c r="D157" s="150"/>
      <c r="E157" s="140" t="str">
        <f t="shared" si="7"/>
        <v/>
      </c>
      <c r="F157" s="159"/>
      <c r="G157" s="145">
        <f t="shared" si="9"/>
        <v>0</v>
      </c>
      <c r="H157" s="140" t="str">
        <f t="shared" si="8"/>
        <v/>
      </c>
      <c r="J157" s="147" t="str">
        <f>IFERROR(SUMIFS(当年实际!$V:$V,当年实际!$F:$F,$C157,当年实际!$C:$C,"&gt;="&amp;DATE(YEAR(主页!$D$2),1,1),当年实际!$C:$C,"&lt;="&amp;EOMONTH(DATE(YEAR(主页!$D$2),MONTH(主页!$D$2),1),0))/SUMIFS(当年实际!$P:$P,当年实际!$F:$F,$C157,当年实际!$C:$C,"&gt;="&amp;DATE(YEAR(主页!$D$2),1,1),当年实际!$C:$C,"&lt;="&amp;EOMONTH(DATE(YEAR(主页!$D$2),MONTH(主页!$D$2),1),0)),"")</f>
        <v/>
      </c>
    </row>
    <row r="158" spans="1:10" x14ac:dyDescent="0.3">
      <c r="A158" s="150"/>
      <c r="B158" s="150"/>
      <c r="C158" s="150"/>
      <c r="D158" s="150"/>
      <c r="E158" s="140" t="str">
        <f t="shared" si="7"/>
        <v/>
      </c>
      <c r="F158" s="159"/>
      <c r="G158" s="145">
        <f t="shared" si="9"/>
        <v>0</v>
      </c>
      <c r="H158" s="140" t="str">
        <f t="shared" si="8"/>
        <v/>
      </c>
      <c r="J158" s="147" t="str">
        <f>IFERROR(SUMIFS(当年实际!$V:$V,当年实际!$F:$F,$C158,当年实际!$C:$C,"&gt;="&amp;DATE(YEAR(主页!$D$2),1,1),当年实际!$C:$C,"&lt;="&amp;EOMONTH(DATE(YEAR(主页!$D$2),MONTH(主页!$D$2),1),0))/SUMIFS(当年实际!$P:$P,当年实际!$F:$F,$C158,当年实际!$C:$C,"&gt;="&amp;DATE(YEAR(主页!$D$2),1,1),当年实际!$C:$C,"&lt;="&amp;EOMONTH(DATE(YEAR(主页!$D$2),MONTH(主页!$D$2),1),0)),"")</f>
        <v/>
      </c>
    </row>
    <row r="159" spans="1:10" x14ac:dyDescent="0.3">
      <c r="A159" s="150"/>
      <c r="B159" s="150"/>
      <c r="C159" s="150"/>
      <c r="D159" s="150"/>
      <c r="E159" s="140" t="str">
        <f t="shared" si="7"/>
        <v/>
      </c>
      <c r="F159" s="159"/>
      <c r="G159" s="145">
        <f t="shared" si="9"/>
        <v>0</v>
      </c>
      <c r="H159" s="140" t="str">
        <f t="shared" si="8"/>
        <v/>
      </c>
      <c r="J159" s="147" t="str">
        <f>IFERROR(SUMIFS(当年实际!$V:$V,当年实际!$F:$F,$C159,当年实际!$C:$C,"&gt;="&amp;DATE(YEAR(主页!$D$2),1,1),当年实际!$C:$C,"&lt;="&amp;EOMONTH(DATE(YEAR(主页!$D$2),MONTH(主页!$D$2),1),0))/SUMIFS(当年实际!$P:$P,当年实际!$F:$F,$C159,当年实际!$C:$C,"&gt;="&amp;DATE(YEAR(主页!$D$2),1,1),当年实际!$C:$C,"&lt;="&amp;EOMONTH(DATE(YEAR(主页!$D$2),MONTH(主页!$D$2),1),0)),"")</f>
        <v/>
      </c>
    </row>
    <row r="160" spans="1:10" x14ac:dyDescent="0.3">
      <c r="A160" s="150"/>
      <c r="B160" s="150"/>
      <c r="C160" s="150"/>
      <c r="D160" s="150"/>
      <c r="E160" s="140" t="str">
        <f t="shared" si="7"/>
        <v/>
      </c>
      <c r="F160" s="159"/>
      <c r="G160" s="145">
        <f t="shared" si="9"/>
        <v>0</v>
      </c>
      <c r="H160" s="140" t="str">
        <f t="shared" si="8"/>
        <v/>
      </c>
      <c r="J160" s="147" t="str">
        <f>IFERROR(SUMIFS(当年实际!$V:$V,当年实际!$F:$F,$C160,当年实际!$C:$C,"&gt;="&amp;DATE(YEAR(主页!$D$2),1,1),当年实际!$C:$C,"&lt;="&amp;EOMONTH(DATE(YEAR(主页!$D$2),MONTH(主页!$D$2),1),0))/SUMIFS(当年实际!$P:$P,当年实际!$F:$F,$C160,当年实际!$C:$C,"&gt;="&amp;DATE(YEAR(主页!$D$2),1,1),当年实际!$C:$C,"&lt;="&amp;EOMONTH(DATE(YEAR(主页!$D$2),MONTH(主页!$D$2),1),0)),"")</f>
        <v/>
      </c>
    </row>
    <row r="161" spans="1:10" x14ac:dyDescent="0.3">
      <c r="A161" s="150"/>
      <c r="B161" s="150"/>
      <c r="C161" s="150"/>
      <c r="D161" s="150"/>
      <c r="E161" s="140" t="str">
        <f t="shared" si="7"/>
        <v/>
      </c>
      <c r="F161" s="159"/>
      <c r="G161" s="145">
        <f t="shared" si="9"/>
        <v>0</v>
      </c>
      <c r="H161" s="140" t="str">
        <f t="shared" si="8"/>
        <v/>
      </c>
      <c r="J161" s="147" t="str">
        <f>IFERROR(SUMIFS(当年实际!$V:$V,当年实际!$F:$F,$C161,当年实际!$C:$C,"&gt;="&amp;DATE(YEAR(主页!$D$2),1,1),当年实际!$C:$C,"&lt;="&amp;EOMONTH(DATE(YEAR(主页!$D$2),MONTH(主页!$D$2),1),0))/SUMIFS(当年实际!$P:$P,当年实际!$F:$F,$C161,当年实际!$C:$C,"&gt;="&amp;DATE(YEAR(主页!$D$2),1,1),当年实际!$C:$C,"&lt;="&amp;EOMONTH(DATE(YEAR(主页!$D$2),MONTH(主页!$D$2),1),0)),"")</f>
        <v/>
      </c>
    </row>
    <row r="162" spans="1:10" x14ac:dyDescent="0.3">
      <c r="A162" s="150"/>
      <c r="B162" s="150"/>
      <c r="C162" s="150"/>
      <c r="D162" s="150"/>
      <c r="E162" s="140" t="str">
        <f t="shared" si="7"/>
        <v/>
      </c>
      <c r="F162" s="159"/>
      <c r="G162" s="145">
        <f t="shared" si="9"/>
        <v>0</v>
      </c>
      <c r="H162" s="140" t="str">
        <f t="shared" si="8"/>
        <v/>
      </c>
      <c r="J162" s="147" t="str">
        <f>IFERROR(SUMIFS(当年实际!$V:$V,当年实际!$F:$F,$C162,当年实际!$C:$C,"&gt;="&amp;DATE(YEAR(主页!$D$2),1,1),当年实际!$C:$C,"&lt;="&amp;EOMONTH(DATE(YEAR(主页!$D$2),MONTH(主页!$D$2),1),0))/SUMIFS(当年实际!$P:$P,当年实际!$F:$F,$C162,当年实际!$C:$C,"&gt;="&amp;DATE(YEAR(主页!$D$2),1,1),当年实际!$C:$C,"&lt;="&amp;EOMONTH(DATE(YEAR(主页!$D$2),MONTH(主页!$D$2),1),0)),"")</f>
        <v/>
      </c>
    </row>
    <row r="163" spans="1:10" x14ac:dyDescent="0.3">
      <c r="A163" s="150"/>
      <c r="B163" s="150"/>
      <c r="C163" s="150"/>
      <c r="D163" s="150"/>
      <c r="E163" s="140" t="str">
        <f t="shared" si="7"/>
        <v/>
      </c>
      <c r="F163" s="159"/>
      <c r="G163" s="145">
        <f t="shared" si="9"/>
        <v>0</v>
      </c>
      <c r="H163" s="140" t="str">
        <f t="shared" si="8"/>
        <v/>
      </c>
      <c r="J163" s="147" t="str">
        <f>IFERROR(SUMIFS(当年实际!$V:$V,当年实际!$F:$F,$C163,当年实际!$C:$C,"&gt;="&amp;DATE(YEAR(主页!$D$2),1,1),当年实际!$C:$C,"&lt;="&amp;EOMONTH(DATE(YEAR(主页!$D$2),MONTH(主页!$D$2),1),0))/SUMIFS(当年实际!$P:$P,当年实际!$F:$F,$C163,当年实际!$C:$C,"&gt;="&amp;DATE(YEAR(主页!$D$2),1,1),当年实际!$C:$C,"&lt;="&amp;EOMONTH(DATE(YEAR(主页!$D$2),MONTH(主页!$D$2),1),0)),"")</f>
        <v/>
      </c>
    </row>
    <row r="164" spans="1:10" x14ac:dyDescent="0.3">
      <c r="A164" s="150"/>
      <c r="B164" s="150"/>
      <c r="C164" s="150"/>
      <c r="D164" s="150"/>
      <c r="E164" s="140" t="str">
        <f t="shared" si="7"/>
        <v/>
      </c>
      <c r="F164" s="159"/>
      <c r="G164" s="145">
        <f t="shared" si="9"/>
        <v>0</v>
      </c>
      <c r="H164" s="140" t="str">
        <f t="shared" si="8"/>
        <v/>
      </c>
      <c r="J164" s="147" t="str">
        <f>IFERROR(SUMIFS(当年实际!$V:$V,当年实际!$F:$F,$C164,当年实际!$C:$C,"&gt;="&amp;DATE(YEAR(主页!$D$2),1,1),当年实际!$C:$C,"&lt;="&amp;EOMONTH(DATE(YEAR(主页!$D$2),MONTH(主页!$D$2),1),0))/SUMIFS(当年实际!$P:$P,当年实际!$F:$F,$C164,当年实际!$C:$C,"&gt;="&amp;DATE(YEAR(主页!$D$2),1,1),当年实际!$C:$C,"&lt;="&amp;EOMONTH(DATE(YEAR(主页!$D$2),MONTH(主页!$D$2),1),0)),"")</f>
        <v/>
      </c>
    </row>
    <row r="165" spans="1:10" x14ac:dyDescent="0.3">
      <c r="A165" s="150"/>
      <c r="B165" s="150"/>
      <c r="C165" s="150"/>
      <c r="D165" s="150"/>
      <c r="E165" s="140" t="str">
        <f t="shared" si="7"/>
        <v/>
      </c>
      <c r="F165" s="159"/>
      <c r="G165" s="145">
        <f t="shared" si="9"/>
        <v>0</v>
      </c>
      <c r="H165" s="140" t="str">
        <f t="shared" si="8"/>
        <v/>
      </c>
      <c r="J165" s="147" t="str">
        <f>IFERROR(SUMIFS(当年实际!$V:$V,当年实际!$F:$F,$C165,当年实际!$C:$C,"&gt;="&amp;DATE(YEAR(主页!$D$2),1,1),当年实际!$C:$C,"&lt;="&amp;EOMONTH(DATE(YEAR(主页!$D$2),MONTH(主页!$D$2),1),0))/SUMIFS(当年实际!$P:$P,当年实际!$F:$F,$C165,当年实际!$C:$C,"&gt;="&amp;DATE(YEAR(主页!$D$2),1,1),当年实际!$C:$C,"&lt;="&amp;EOMONTH(DATE(YEAR(主页!$D$2),MONTH(主页!$D$2),1),0)),"")</f>
        <v/>
      </c>
    </row>
    <row r="166" spans="1:10" x14ac:dyDescent="0.3">
      <c r="A166" s="150"/>
      <c r="B166" s="150"/>
      <c r="C166" s="150"/>
      <c r="D166" s="150"/>
      <c r="E166" s="140" t="str">
        <f t="shared" si="7"/>
        <v/>
      </c>
      <c r="F166" s="159"/>
      <c r="G166" s="145">
        <f t="shared" si="9"/>
        <v>0</v>
      </c>
      <c r="H166" s="140" t="str">
        <f t="shared" si="8"/>
        <v/>
      </c>
      <c r="J166" s="147" t="str">
        <f>IFERROR(SUMIFS(当年实际!$V:$V,当年实际!$F:$F,$C166,当年实际!$C:$C,"&gt;="&amp;DATE(YEAR(主页!$D$2),1,1),当年实际!$C:$C,"&lt;="&amp;EOMONTH(DATE(YEAR(主页!$D$2),MONTH(主页!$D$2),1),0))/SUMIFS(当年实际!$P:$P,当年实际!$F:$F,$C166,当年实际!$C:$C,"&gt;="&amp;DATE(YEAR(主页!$D$2),1,1),当年实际!$C:$C,"&lt;="&amp;EOMONTH(DATE(YEAR(主页!$D$2),MONTH(主页!$D$2),1),0)),"")</f>
        <v/>
      </c>
    </row>
    <row r="167" spans="1:10" x14ac:dyDescent="0.3">
      <c r="A167" s="150"/>
      <c r="B167" s="150"/>
      <c r="C167" s="150"/>
      <c r="D167" s="150"/>
      <c r="E167" s="140" t="str">
        <f t="shared" si="7"/>
        <v/>
      </c>
      <c r="F167" s="159"/>
      <c r="G167" s="145">
        <f t="shared" si="9"/>
        <v>0</v>
      </c>
      <c r="H167" s="140" t="str">
        <f t="shared" si="8"/>
        <v/>
      </c>
      <c r="J167" s="147" t="str">
        <f>IFERROR(SUMIFS(当年实际!$V:$V,当年实际!$F:$F,$C167,当年实际!$C:$C,"&gt;="&amp;DATE(YEAR(主页!$D$2),1,1),当年实际!$C:$C,"&lt;="&amp;EOMONTH(DATE(YEAR(主页!$D$2),MONTH(主页!$D$2),1),0))/SUMIFS(当年实际!$P:$P,当年实际!$F:$F,$C167,当年实际!$C:$C,"&gt;="&amp;DATE(YEAR(主页!$D$2),1,1),当年实际!$C:$C,"&lt;="&amp;EOMONTH(DATE(YEAR(主页!$D$2),MONTH(主页!$D$2),1),0)),"")</f>
        <v/>
      </c>
    </row>
    <row r="168" spans="1:10" x14ac:dyDescent="0.3">
      <c r="A168" s="150"/>
      <c r="B168" s="150"/>
      <c r="C168" s="150"/>
      <c r="D168" s="150"/>
      <c r="E168" s="140" t="str">
        <f t="shared" si="7"/>
        <v/>
      </c>
      <c r="F168" s="159"/>
      <c r="G168" s="145">
        <f t="shared" si="9"/>
        <v>0</v>
      </c>
      <c r="H168" s="140" t="str">
        <f t="shared" si="8"/>
        <v/>
      </c>
      <c r="J168" s="147" t="str">
        <f>IFERROR(SUMIFS(当年实际!$V:$V,当年实际!$F:$F,$C168,当年实际!$C:$C,"&gt;="&amp;DATE(YEAR(主页!$D$2),1,1),当年实际!$C:$C,"&lt;="&amp;EOMONTH(DATE(YEAR(主页!$D$2),MONTH(主页!$D$2),1),0))/SUMIFS(当年实际!$P:$P,当年实际!$F:$F,$C168,当年实际!$C:$C,"&gt;="&amp;DATE(YEAR(主页!$D$2),1,1),当年实际!$C:$C,"&lt;="&amp;EOMONTH(DATE(YEAR(主页!$D$2),MONTH(主页!$D$2),1),0)),"")</f>
        <v/>
      </c>
    </row>
    <row r="169" spans="1:10" x14ac:dyDescent="0.3">
      <c r="A169" s="150"/>
      <c r="B169" s="150"/>
      <c r="C169" s="150"/>
      <c r="D169" s="150"/>
      <c r="E169" s="140" t="str">
        <f t="shared" si="7"/>
        <v/>
      </c>
      <c r="F169" s="159"/>
      <c r="G169" s="145">
        <f t="shared" si="9"/>
        <v>0</v>
      </c>
      <c r="H169" s="140" t="str">
        <f t="shared" si="8"/>
        <v/>
      </c>
      <c r="J169" s="147" t="str">
        <f>IFERROR(SUMIFS(当年实际!$V:$V,当年实际!$F:$F,$C169,当年实际!$C:$C,"&gt;="&amp;DATE(YEAR(主页!$D$2),1,1),当年实际!$C:$C,"&lt;="&amp;EOMONTH(DATE(YEAR(主页!$D$2),MONTH(主页!$D$2),1),0))/SUMIFS(当年实际!$P:$P,当年实际!$F:$F,$C169,当年实际!$C:$C,"&gt;="&amp;DATE(YEAR(主页!$D$2),1,1),当年实际!$C:$C,"&lt;="&amp;EOMONTH(DATE(YEAR(主页!$D$2),MONTH(主页!$D$2),1),0)),"")</f>
        <v/>
      </c>
    </row>
    <row r="170" spans="1:10" x14ac:dyDescent="0.3">
      <c r="A170" s="150"/>
      <c r="B170" s="150"/>
      <c r="C170" s="150"/>
      <c r="D170" s="150"/>
      <c r="E170" s="140" t="str">
        <f t="shared" si="7"/>
        <v/>
      </c>
      <c r="F170" s="159"/>
      <c r="G170" s="145">
        <f t="shared" si="9"/>
        <v>0</v>
      </c>
      <c r="H170" s="140" t="str">
        <f t="shared" si="8"/>
        <v/>
      </c>
      <c r="J170" s="147" t="str">
        <f>IFERROR(SUMIFS(当年实际!$V:$V,当年实际!$F:$F,$C170,当年实际!$C:$C,"&gt;="&amp;DATE(YEAR(主页!$D$2),1,1),当年实际!$C:$C,"&lt;="&amp;EOMONTH(DATE(YEAR(主页!$D$2),MONTH(主页!$D$2),1),0))/SUMIFS(当年实际!$P:$P,当年实际!$F:$F,$C170,当年实际!$C:$C,"&gt;="&amp;DATE(YEAR(主页!$D$2),1,1),当年实际!$C:$C,"&lt;="&amp;EOMONTH(DATE(YEAR(主页!$D$2),MONTH(主页!$D$2),1),0)),"")</f>
        <v/>
      </c>
    </row>
    <row r="171" spans="1:10" x14ac:dyDescent="0.3">
      <c r="A171" s="150"/>
      <c r="B171" s="150"/>
      <c r="C171" s="150"/>
      <c r="D171" s="150"/>
      <c r="E171" s="140" t="str">
        <f t="shared" si="7"/>
        <v/>
      </c>
      <c r="F171" s="159"/>
      <c r="G171" s="145">
        <f t="shared" si="9"/>
        <v>0</v>
      </c>
      <c r="H171" s="140" t="str">
        <f t="shared" si="8"/>
        <v/>
      </c>
      <c r="J171" s="147" t="str">
        <f>IFERROR(SUMIFS(当年实际!$V:$V,当年实际!$F:$F,$C171,当年实际!$C:$C,"&gt;="&amp;DATE(YEAR(主页!$D$2),1,1),当年实际!$C:$C,"&lt;="&amp;EOMONTH(DATE(YEAR(主页!$D$2),MONTH(主页!$D$2),1),0))/SUMIFS(当年实际!$P:$P,当年实际!$F:$F,$C171,当年实际!$C:$C,"&gt;="&amp;DATE(YEAR(主页!$D$2),1,1),当年实际!$C:$C,"&lt;="&amp;EOMONTH(DATE(YEAR(主页!$D$2),MONTH(主页!$D$2),1),0)),"")</f>
        <v/>
      </c>
    </row>
    <row r="172" spans="1:10" x14ac:dyDescent="0.3">
      <c r="A172" s="150"/>
      <c r="B172" s="150"/>
      <c r="C172" s="150"/>
      <c r="D172" s="150"/>
      <c r="E172" s="140" t="str">
        <f t="shared" si="7"/>
        <v/>
      </c>
      <c r="F172" s="159"/>
      <c r="G172" s="145">
        <f t="shared" si="9"/>
        <v>0</v>
      </c>
      <c r="H172" s="140" t="str">
        <f t="shared" si="8"/>
        <v/>
      </c>
      <c r="J172" s="147" t="str">
        <f>IFERROR(SUMIFS(当年实际!$V:$V,当年实际!$F:$F,$C172,当年实际!$C:$C,"&gt;="&amp;DATE(YEAR(主页!$D$2),1,1),当年实际!$C:$C,"&lt;="&amp;EOMONTH(DATE(YEAR(主页!$D$2),MONTH(主页!$D$2),1),0))/SUMIFS(当年实际!$P:$P,当年实际!$F:$F,$C172,当年实际!$C:$C,"&gt;="&amp;DATE(YEAR(主页!$D$2),1,1),当年实际!$C:$C,"&lt;="&amp;EOMONTH(DATE(YEAR(主页!$D$2),MONTH(主页!$D$2),1),0)),"")</f>
        <v/>
      </c>
    </row>
    <row r="173" spans="1:10" x14ac:dyDescent="0.3">
      <c r="A173" s="150"/>
      <c r="B173" s="150"/>
      <c r="C173" s="150"/>
      <c r="D173" s="150"/>
      <c r="E173" s="140" t="str">
        <f t="shared" si="7"/>
        <v/>
      </c>
      <c r="F173" s="159"/>
      <c r="G173" s="145">
        <f t="shared" si="9"/>
        <v>0</v>
      </c>
      <c r="H173" s="140" t="str">
        <f t="shared" si="8"/>
        <v/>
      </c>
      <c r="J173" s="147" t="str">
        <f>IFERROR(SUMIFS(当年实际!$V:$V,当年实际!$F:$F,$C173,当年实际!$C:$C,"&gt;="&amp;DATE(YEAR(主页!$D$2),1,1),当年实际!$C:$C,"&lt;="&amp;EOMONTH(DATE(YEAR(主页!$D$2),MONTH(主页!$D$2),1),0))/SUMIFS(当年实际!$P:$P,当年实际!$F:$F,$C173,当年实际!$C:$C,"&gt;="&amp;DATE(YEAR(主页!$D$2),1,1),当年实际!$C:$C,"&lt;="&amp;EOMONTH(DATE(YEAR(主页!$D$2),MONTH(主页!$D$2),1),0)),"")</f>
        <v/>
      </c>
    </row>
    <row r="174" spans="1:10" x14ac:dyDescent="0.3">
      <c r="A174" s="150"/>
      <c r="B174" s="150"/>
      <c r="C174" s="150"/>
      <c r="D174" s="150"/>
      <c r="E174" s="140" t="str">
        <f t="shared" si="7"/>
        <v/>
      </c>
      <c r="F174" s="159"/>
      <c r="G174" s="145">
        <f t="shared" si="9"/>
        <v>0</v>
      </c>
      <c r="H174" s="140" t="str">
        <f t="shared" si="8"/>
        <v/>
      </c>
      <c r="J174" s="147" t="str">
        <f>IFERROR(SUMIFS(当年实际!$V:$V,当年实际!$F:$F,$C174,当年实际!$C:$C,"&gt;="&amp;DATE(YEAR(主页!$D$2),1,1),当年实际!$C:$C,"&lt;="&amp;EOMONTH(DATE(YEAR(主页!$D$2),MONTH(主页!$D$2),1),0))/SUMIFS(当年实际!$P:$P,当年实际!$F:$F,$C174,当年实际!$C:$C,"&gt;="&amp;DATE(YEAR(主页!$D$2),1,1),当年实际!$C:$C,"&lt;="&amp;EOMONTH(DATE(YEAR(主页!$D$2),MONTH(主页!$D$2),1),0)),"")</f>
        <v/>
      </c>
    </row>
    <row r="175" spans="1:10" x14ac:dyDescent="0.3">
      <c r="A175" s="150"/>
      <c r="B175" s="150"/>
      <c r="C175" s="150"/>
      <c r="D175" s="150"/>
      <c r="E175" s="140" t="str">
        <f t="shared" si="7"/>
        <v/>
      </c>
      <c r="F175" s="159"/>
      <c r="G175" s="145">
        <f t="shared" si="9"/>
        <v>0</v>
      </c>
      <c r="H175" s="140" t="str">
        <f t="shared" si="8"/>
        <v/>
      </c>
      <c r="J175" s="147" t="str">
        <f>IFERROR(SUMIFS(当年实际!$V:$V,当年实际!$F:$F,$C175,当年实际!$C:$C,"&gt;="&amp;DATE(YEAR(主页!$D$2),1,1),当年实际!$C:$C,"&lt;="&amp;EOMONTH(DATE(YEAR(主页!$D$2),MONTH(主页!$D$2),1),0))/SUMIFS(当年实际!$P:$P,当年实际!$F:$F,$C175,当年实际!$C:$C,"&gt;="&amp;DATE(YEAR(主页!$D$2),1,1),当年实际!$C:$C,"&lt;="&amp;EOMONTH(DATE(YEAR(主页!$D$2),MONTH(主页!$D$2),1),0)),"")</f>
        <v/>
      </c>
    </row>
    <row r="176" spans="1:10" x14ac:dyDescent="0.3">
      <c r="A176" s="150"/>
      <c r="B176" s="150"/>
      <c r="C176" s="150"/>
      <c r="D176" s="150"/>
      <c r="E176" s="140" t="str">
        <f t="shared" si="7"/>
        <v/>
      </c>
      <c r="F176" s="159"/>
      <c r="G176" s="145">
        <f t="shared" si="9"/>
        <v>0</v>
      </c>
      <c r="H176" s="140" t="str">
        <f t="shared" si="8"/>
        <v/>
      </c>
      <c r="J176" s="147" t="str">
        <f>IFERROR(SUMIFS(当年实际!$V:$V,当年实际!$F:$F,$C176,当年实际!$C:$C,"&gt;="&amp;DATE(YEAR(主页!$D$2),1,1),当年实际!$C:$C,"&lt;="&amp;EOMONTH(DATE(YEAR(主页!$D$2),MONTH(主页!$D$2),1),0))/SUMIFS(当年实际!$P:$P,当年实际!$F:$F,$C176,当年实际!$C:$C,"&gt;="&amp;DATE(YEAR(主页!$D$2),1,1),当年实际!$C:$C,"&lt;="&amp;EOMONTH(DATE(YEAR(主页!$D$2),MONTH(主页!$D$2),1),0)),"")</f>
        <v/>
      </c>
    </row>
    <row r="177" spans="1:10" x14ac:dyDescent="0.3">
      <c r="A177" s="150"/>
      <c r="B177" s="150"/>
      <c r="C177" s="150"/>
      <c r="D177" s="150"/>
      <c r="E177" s="140" t="str">
        <f t="shared" si="7"/>
        <v/>
      </c>
      <c r="F177" s="159"/>
      <c r="G177" s="145">
        <f t="shared" si="9"/>
        <v>0</v>
      </c>
      <c r="H177" s="140" t="str">
        <f t="shared" si="8"/>
        <v/>
      </c>
      <c r="J177" s="147" t="str">
        <f>IFERROR(SUMIFS(当年实际!$V:$V,当年实际!$F:$F,$C177,当年实际!$C:$C,"&gt;="&amp;DATE(YEAR(主页!$D$2),1,1),当年实际!$C:$C,"&lt;="&amp;EOMONTH(DATE(YEAR(主页!$D$2),MONTH(主页!$D$2),1),0))/SUMIFS(当年实际!$P:$P,当年实际!$F:$F,$C177,当年实际!$C:$C,"&gt;="&amp;DATE(YEAR(主页!$D$2),1,1),当年实际!$C:$C,"&lt;="&amp;EOMONTH(DATE(YEAR(主页!$D$2),MONTH(主页!$D$2),1),0)),"")</f>
        <v/>
      </c>
    </row>
    <row r="178" spans="1:10" x14ac:dyDescent="0.3">
      <c r="A178" s="150"/>
      <c r="B178" s="150"/>
      <c r="C178" s="150"/>
      <c r="D178" s="150"/>
      <c r="E178" s="140" t="str">
        <f t="shared" si="7"/>
        <v/>
      </c>
      <c r="F178" s="159"/>
      <c r="G178" s="145">
        <f t="shared" si="9"/>
        <v>0</v>
      </c>
      <c r="H178" s="140" t="str">
        <f t="shared" si="8"/>
        <v/>
      </c>
      <c r="J178" s="147" t="str">
        <f>IFERROR(SUMIFS(当年实际!$V:$V,当年实际!$F:$F,$C178,当年实际!$C:$C,"&gt;="&amp;DATE(YEAR(主页!$D$2),1,1),当年实际!$C:$C,"&lt;="&amp;EOMONTH(DATE(YEAR(主页!$D$2),MONTH(主页!$D$2),1),0))/SUMIFS(当年实际!$P:$P,当年实际!$F:$F,$C178,当年实际!$C:$C,"&gt;="&amp;DATE(YEAR(主页!$D$2),1,1),当年实际!$C:$C,"&lt;="&amp;EOMONTH(DATE(YEAR(主页!$D$2),MONTH(主页!$D$2),1),0)),"")</f>
        <v/>
      </c>
    </row>
    <row r="179" spans="1:10" x14ac:dyDescent="0.3">
      <c r="A179" s="150"/>
      <c r="B179" s="150"/>
      <c r="C179" s="150"/>
      <c r="D179" s="150"/>
      <c r="E179" s="140" t="str">
        <f t="shared" si="7"/>
        <v/>
      </c>
      <c r="F179" s="159"/>
      <c r="G179" s="145">
        <f t="shared" si="9"/>
        <v>0</v>
      </c>
      <c r="H179" s="140" t="str">
        <f t="shared" si="8"/>
        <v/>
      </c>
      <c r="J179" s="147" t="str">
        <f>IFERROR(SUMIFS(当年实际!$V:$V,当年实际!$F:$F,$C179,当年实际!$C:$C,"&gt;="&amp;DATE(YEAR(主页!$D$2),1,1),当年实际!$C:$C,"&lt;="&amp;EOMONTH(DATE(YEAR(主页!$D$2),MONTH(主页!$D$2),1),0))/SUMIFS(当年实际!$P:$P,当年实际!$F:$F,$C179,当年实际!$C:$C,"&gt;="&amp;DATE(YEAR(主页!$D$2),1,1),当年实际!$C:$C,"&lt;="&amp;EOMONTH(DATE(YEAR(主页!$D$2),MONTH(主页!$D$2),1),0)),"")</f>
        <v/>
      </c>
    </row>
    <row r="180" spans="1:10" x14ac:dyDescent="0.3">
      <c r="A180" s="150"/>
      <c r="B180" s="150"/>
      <c r="C180" s="150"/>
      <c r="D180" s="150"/>
      <c r="E180" s="140" t="str">
        <f t="shared" si="7"/>
        <v/>
      </c>
      <c r="F180" s="159"/>
      <c r="G180" s="145">
        <f t="shared" si="9"/>
        <v>0</v>
      </c>
      <c r="H180" s="140" t="str">
        <f t="shared" si="8"/>
        <v/>
      </c>
      <c r="J180" s="147" t="str">
        <f>IFERROR(SUMIFS(当年实际!$V:$V,当年实际!$F:$F,$C180,当年实际!$C:$C,"&gt;="&amp;DATE(YEAR(主页!$D$2),1,1),当年实际!$C:$C,"&lt;="&amp;EOMONTH(DATE(YEAR(主页!$D$2),MONTH(主页!$D$2),1),0))/SUMIFS(当年实际!$P:$P,当年实际!$F:$F,$C180,当年实际!$C:$C,"&gt;="&amp;DATE(YEAR(主页!$D$2),1,1),当年实际!$C:$C,"&lt;="&amp;EOMONTH(DATE(YEAR(主页!$D$2),MONTH(主页!$D$2),1),0)),"")</f>
        <v/>
      </c>
    </row>
    <row r="181" spans="1:10" x14ac:dyDescent="0.3">
      <c r="A181" s="150"/>
      <c r="B181" s="150"/>
      <c r="C181" s="150"/>
      <c r="D181" s="150"/>
      <c r="E181" s="140" t="str">
        <f t="shared" si="7"/>
        <v/>
      </c>
      <c r="F181" s="159"/>
      <c r="G181" s="145">
        <f t="shared" si="9"/>
        <v>0</v>
      </c>
      <c r="H181" s="140" t="str">
        <f t="shared" si="8"/>
        <v/>
      </c>
      <c r="J181" s="147" t="str">
        <f>IFERROR(SUMIFS(当年实际!$V:$V,当年实际!$F:$F,$C181,当年实际!$C:$C,"&gt;="&amp;DATE(YEAR(主页!$D$2),1,1),当年实际!$C:$C,"&lt;="&amp;EOMONTH(DATE(YEAR(主页!$D$2),MONTH(主页!$D$2),1),0))/SUMIFS(当年实际!$P:$P,当年实际!$F:$F,$C181,当年实际!$C:$C,"&gt;="&amp;DATE(YEAR(主页!$D$2),1,1),当年实际!$C:$C,"&lt;="&amp;EOMONTH(DATE(YEAR(主页!$D$2),MONTH(主页!$D$2),1),0)),"")</f>
        <v/>
      </c>
    </row>
    <row r="182" spans="1:10" x14ac:dyDescent="0.3">
      <c r="A182" s="150"/>
      <c r="B182" s="150"/>
      <c r="C182" s="150"/>
      <c r="D182" s="150"/>
      <c r="E182" s="140" t="str">
        <f t="shared" si="7"/>
        <v/>
      </c>
      <c r="F182" s="159"/>
      <c r="G182" s="145">
        <f t="shared" si="9"/>
        <v>0</v>
      </c>
      <c r="H182" s="140" t="str">
        <f t="shared" si="8"/>
        <v/>
      </c>
      <c r="J182" s="147" t="str">
        <f>IFERROR(SUMIFS(当年实际!$V:$V,当年实际!$F:$F,$C182,当年实际!$C:$C,"&gt;="&amp;DATE(YEAR(主页!$D$2),1,1),当年实际!$C:$C,"&lt;="&amp;EOMONTH(DATE(YEAR(主页!$D$2),MONTH(主页!$D$2),1),0))/SUMIFS(当年实际!$P:$P,当年实际!$F:$F,$C182,当年实际!$C:$C,"&gt;="&amp;DATE(YEAR(主页!$D$2),1,1),当年实际!$C:$C,"&lt;="&amp;EOMONTH(DATE(YEAR(主页!$D$2),MONTH(主页!$D$2),1),0)),"")</f>
        <v/>
      </c>
    </row>
    <row r="183" spans="1:10" x14ac:dyDescent="0.3">
      <c r="A183" s="150"/>
      <c r="B183" s="150"/>
      <c r="C183" s="150"/>
      <c r="D183" s="150"/>
      <c r="E183" s="140" t="str">
        <f t="shared" si="7"/>
        <v/>
      </c>
      <c r="F183" s="159"/>
      <c r="G183" s="145">
        <f t="shared" si="9"/>
        <v>0</v>
      </c>
      <c r="H183" s="140" t="str">
        <f t="shared" si="8"/>
        <v/>
      </c>
      <c r="J183" s="147" t="str">
        <f>IFERROR(SUMIFS(当年实际!$V:$V,当年实际!$F:$F,$C183,当年实际!$C:$C,"&gt;="&amp;DATE(YEAR(主页!$D$2),1,1),当年实际!$C:$C,"&lt;="&amp;EOMONTH(DATE(YEAR(主页!$D$2),MONTH(主页!$D$2),1),0))/SUMIFS(当年实际!$P:$P,当年实际!$F:$F,$C183,当年实际!$C:$C,"&gt;="&amp;DATE(YEAR(主页!$D$2),1,1),当年实际!$C:$C,"&lt;="&amp;EOMONTH(DATE(YEAR(主页!$D$2),MONTH(主页!$D$2),1),0)),"")</f>
        <v/>
      </c>
    </row>
    <row r="184" spans="1:10" x14ac:dyDescent="0.3">
      <c r="A184" s="150"/>
      <c r="B184" s="150"/>
      <c r="C184" s="150"/>
      <c r="D184" s="150"/>
      <c r="E184" s="140" t="str">
        <f t="shared" si="7"/>
        <v/>
      </c>
      <c r="F184" s="159"/>
      <c r="G184" s="145">
        <f t="shared" si="9"/>
        <v>0</v>
      </c>
      <c r="H184" s="140" t="str">
        <f t="shared" si="8"/>
        <v/>
      </c>
      <c r="J184" s="147" t="str">
        <f>IFERROR(SUMIFS(当年实际!$V:$V,当年实际!$F:$F,$C184,当年实际!$C:$C,"&gt;="&amp;DATE(YEAR(主页!$D$2),1,1),当年实际!$C:$C,"&lt;="&amp;EOMONTH(DATE(YEAR(主页!$D$2),MONTH(主页!$D$2),1),0))/SUMIFS(当年实际!$P:$P,当年实际!$F:$F,$C184,当年实际!$C:$C,"&gt;="&amp;DATE(YEAR(主页!$D$2),1,1),当年实际!$C:$C,"&lt;="&amp;EOMONTH(DATE(YEAR(主页!$D$2),MONTH(主页!$D$2),1),0)),"")</f>
        <v/>
      </c>
    </row>
    <row r="185" spans="1:10" x14ac:dyDescent="0.3">
      <c r="A185" s="150"/>
      <c r="B185" s="150"/>
      <c r="C185" s="150"/>
      <c r="D185" s="150"/>
      <c r="E185" s="140" t="str">
        <f t="shared" si="7"/>
        <v/>
      </c>
      <c r="F185" s="159"/>
      <c r="G185" s="145">
        <f t="shared" si="9"/>
        <v>0</v>
      </c>
      <c r="H185" s="140" t="str">
        <f t="shared" si="8"/>
        <v/>
      </c>
      <c r="J185" s="147" t="str">
        <f>IFERROR(SUMIFS(当年实际!$V:$V,当年实际!$F:$F,$C185,当年实际!$C:$C,"&gt;="&amp;DATE(YEAR(主页!$D$2),1,1),当年实际!$C:$C,"&lt;="&amp;EOMONTH(DATE(YEAR(主页!$D$2),MONTH(主页!$D$2),1),0))/SUMIFS(当年实际!$P:$P,当年实际!$F:$F,$C185,当年实际!$C:$C,"&gt;="&amp;DATE(YEAR(主页!$D$2),1,1),当年实际!$C:$C,"&lt;="&amp;EOMONTH(DATE(YEAR(主页!$D$2),MONTH(主页!$D$2),1),0)),"")</f>
        <v/>
      </c>
    </row>
    <row r="186" spans="1:10" x14ac:dyDescent="0.3">
      <c r="A186" s="150"/>
      <c r="B186" s="150"/>
      <c r="C186" s="150"/>
      <c r="D186" s="150"/>
      <c r="E186" s="140" t="str">
        <f t="shared" si="7"/>
        <v/>
      </c>
      <c r="F186" s="159"/>
      <c r="G186" s="145">
        <f t="shared" si="9"/>
        <v>0</v>
      </c>
      <c r="H186" s="140" t="str">
        <f t="shared" si="8"/>
        <v/>
      </c>
      <c r="J186" s="147" t="str">
        <f>IFERROR(SUMIFS(当年实际!$V:$V,当年实际!$F:$F,$C186,当年实际!$C:$C,"&gt;="&amp;DATE(YEAR(主页!$D$2),1,1),当年实际!$C:$C,"&lt;="&amp;EOMONTH(DATE(YEAR(主页!$D$2),MONTH(主页!$D$2),1),0))/SUMIFS(当年实际!$P:$P,当年实际!$F:$F,$C186,当年实际!$C:$C,"&gt;="&amp;DATE(YEAR(主页!$D$2),1,1),当年实际!$C:$C,"&lt;="&amp;EOMONTH(DATE(YEAR(主页!$D$2),MONTH(主页!$D$2),1),0)),"")</f>
        <v/>
      </c>
    </row>
    <row r="187" spans="1:10" x14ac:dyDescent="0.3">
      <c r="A187" s="150"/>
      <c r="B187" s="150"/>
      <c r="C187" s="150"/>
      <c r="D187" s="150"/>
      <c r="E187" s="140" t="str">
        <f t="shared" si="7"/>
        <v/>
      </c>
      <c r="F187" s="159"/>
      <c r="G187" s="145">
        <f t="shared" si="9"/>
        <v>0</v>
      </c>
      <c r="H187" s="140" t="str">
        <f t="shared" si="8"/>
        <v/>
      </c>
      <c r="J187" s="147" t="str">
        <f>IFERROR(SUMIFS(当年实际!$V:$V,当年实际!$F:$F,$C187,当年实际!$C:$C,"&gt;="&amp;DATE(YEAR(主页!$D$2),1,1),当年实际!$C:$C,"&lt;="&amp;EOMONTH(DATE(YEAR(主页!$D$2),MONTH(主页!$D$2),1),0))/SUMIFS(当年实际!$P:$P,当年实际!$F:$F,$C187,当年实际!$C:$C,"&gt;="&amp;DATE(YEAR(主页!$D$2),1,1),当年实际!$C:$C,"&lt;="&amp;EOMONTH(DATE(YEAR(主页!$D$2),MONTH(主页!$D$2),1),0)),"")</f>
        <v/>
      </c>
    </row>
    <row r="188" spans="1:10" x14ac:dyDescent="0.3">
      <c r="A188" s="150"/>
      <c r="B188" s="150"/>
      <c r="C188" s="150"/>
      <c r="D188" s="150"/>
      <c r="E188" s="140" t="str">
        <f t="shared" si="7"/>
        <v/>
      </c>
      <c r="F188" s="159"/>
      <c r="G188" s="145">
        <f t="shared" si="9"/>
        <v>0</v>
      </c>
      <c r="H188" s="140" t="str">
        <f t="shared" si="8"/>
        <v/>
      </c>
      <c r="J188" s="147" t="str">
        <f>IFERROR(SUMIFS(当年实际!$V:$V,当年实际!$F:$F,$C188,当年实际!$C:$C,"&gt;="&amp;DATE(YEAR(主页!$D$2),1,1),当年实际!$C:$C,"&lt;="&amp;EOMONTH(DATE(YEAR(主页!$D$2),MONTH(主页!$D$2),1),0))/SUMIFS(当年实际!$P:$P,当年实际!$F:$F,$C188,当年实际!$C:$C,"&gt;="&amp;DATE(YEAR(主页!$D$2),1,1),当年实际!$C:$C,"&lt;="&amp;EOMONTH(DATE(YEAR(主页!$D$2),MONTH(主页!$D$2),1),0)),"")</f>
        <v/>
      </c>
    </row>
    <row r="189" spans="1:10" x14ac:dyDescent="0.3">
      <c r="A189" s="150"/>
      <c r="B189" s="150"/>
      <c r="C189" s="150"/>
      <c r="D189" s="150"/>
      <c r="E189" s="140" t="str">
        <f t="shared" si="7"/>
        <v/>
      </c>
      <c r="F189" s="159"/>
      <c r="G189" s="145">
        <f t="shared" si="9"/>
        <v>0</v>
      </c>
      <c r="H189" s="140" t="str">
        <f t="shared" si="8"/>
        <v/>
      </c>
      <c r="J189" s="147" t="str">
        <f>IFERROR(SUMIFS(当年实际!$V:$V,当年实际!$F:$F,$C189,当年实际!$C:$C,"&gt;="&amp;DATE(YEAR(主页!$D$2),1,1),当年实际!$C:$C,"&lt;="&amp;EOMONTH(DATE(YEAR(主页!$D$2),MONTH(主页!$D$2),1),0))/SUMIFS(当年实际!$P:$P,当年实际!$F:$F,$C189,当年实际!$C:$C,"&gt;="&amp;DATE(YEAR(主页!$D$2),1,1),当年实际!$C:$C,"&lt;="&amp;EOMONTH(DATE(YEAR(主页!$D$2),MONTH(主页!$D$2),1),0)),"")</f>
        <v/>
      </c>
    </row>
    <row r="190" spans="1:10" x14ac:dyDescent="0.3">
      <c r="A190" s="150"/>
      <c r="B190" s="150"/>
      <c r="C190" s="150"/>
      <c r="D190" s="150"/>
      <c r="E190" s="140" t="str">
        <f t="shared" si="7"/>
        <v/>
      </c>
      <c r="F190" s="159"/>
      <c r="G190" s="145">
        <f t="shared" si="9"/>
        <v>0</v>
      </c>
      <c r="H190" s="140" t="str">
        <f t="shared" si="8"/>
        <v/>
      </c>
      <c r="J190" s="147" t="str">
        <f>IFERROR(SUMIFS(当年实际!$V:$V,当年实际!$F:$F,$C190,当年实际!$C:$C,"&gt;="&amp;DATE(YEAR(主页!$D$2),1,1),当年实际!$C:$C,"&lt;="&amp;EOMONTH(DATE(YEAR(主页!$D$2),MONTH(主页!$D$2),1),0))/SUMIFS(当年实际!$P:$P,当年实际!$F:$F,$C190,当年实际!$C:$C,"&gt;="&amp;DATE(YEAR(主页!$D$2),1,1),当年实际!$C:$C,"&lt;="&amp;EOMONTH(DATE(YEAR(主页!$D$2),MONTH(主页!$D$2),1),0)),"")</f>
        <v/>
      </c>
    </row>
    <row r="191" spans="1:10" x14ac:dyDescent="0.3">
      <c r="A191" s="150"/>
      <c r="B191" s="150"/>
      <c r="C191" s="150"/>
      <c r="D191" s="150"/>
      <c r="E191" s="140" t="str">
        <f t="shared" si="7"/>
        <v/>
      </c>
      <c r="F191" s="159"/>
      <c r="G191" s="145">
        <f t="shared" si="9"/>
        <v>0</v>
      </c>
      <c r="H191" s="140" t="str">
        <f t="shared" si="8"/>
        <v/>
      </c>
      <c r="J191" s="147" t="str">
        <f>IFERROR(SUMIFS(当年实际!$V:$V,当年实际!$F:$F,$C191,当年实际!$C:$C,"&gt;="&amp;DATE(YEAR(主页!$D$2),1,1),当年实际!$C:$C,"&lt;="&amp;EOMONTH(DATE(YEAR(主页!$D$2),MONTH(主页!$D$2),1),0))/SUMIFS(当年实际!$P:$P,当年实际!$F:$F,$C191,当年实际!$C:$C,"&gt;="&amp;DATE(YEAR(主页!$D$2),1,1),当年实际!$C:$C,"&lt;="&amp;EOMONTH(DATE(YEAR(主页!$D$2),MONTH(主页!$D$2),1),0)),"")</f>
        <v/>
      </c>
    </row>
    <row r="192" spans="1:10" x14ac:dyDescent="0.3">
      <c r="A192" s="150"/>
      <c r="B192" s="150"/>
      <c r="C192" s="150"/>
      <c r="D192" s="150"/>
      <c r="E192" s="140" t="str">
        <f t="shared" si="7"/>
        <v/>
      </c>
      <c r="F192" s="159"/>
      <c r="G192" s="145">
        <f t="shared" si="9"/>
        <v>0</v>
      </c>
      <c r="H192" s="140" t="str">
        <f t="shared" si="8"/>
        <v/>
      </c>
      <c r="J192" s="147" t="str">
        <f>IFERROR(SUMIFS(当年实际!$V:$V,当年实际!$F:$F,$C192,当年实际!$C:$C,"&gt;="&amp;DATE(YEAR(主页!$D$2),1,1),当年实际!$C:$C,"&lt;="&amp;EOMONTH(DATE(YEAR(主页!$D$2),MONTH(主页!$D$2),1),0))/SUMIFS(当年实际!$P:$P,当年实际!$F:$F,$C192,当年实际!$C:$C,"&gt;="&amp;DATE(YEAR(主页!$D$2),1,1),当年实际!$C:$C,"&lt;="&amp;EOMONTH(DATE(YEAR(主页!$D$2),MONTH(主页!$D$2),1),0)),"")</f>
        <v/>
      </c>
    </row>
    <row r="193" spans="1:10" x14ac:dyDescent="0.3">
      <c r="A193" s="150"/>
      <c r="B193" s="150"/>
      <c r="C193" s="150"/>
      <c r="D193" s="150"/>
      <c r="E193" s="140" t="str">
        <f t="shared" si="7"/>
        <v/>
      </c>
      <c r="F193" s="159"/>
      <c r="G193" s="145">
        <f t="shared" si="9"/>
        <v>0</v>
      </c>
      <c r="H193" s="140" t="str">
        <f t="shared" si="8"/>
        <v/>
      </c>
      <c r="J193" s="147" t="str">
        <f>IFERROR(SUMIFS(当年实际!$V:$V,当年实际!$F:$F,$C193,当年实际!$C:$C,"&gt;="&amp;DATE(YEAR(主页!$D$2),1,1),当年实际!$C:$C,"&lt;="&amp;EOMONTH(DATE(YEAR(主页!$D$2),MONTH(主页!$D$2),1),0))/SUMIFS(当年实际!$P:$P,当年实际!$F:$F,$C193,当年实际!$C:$C,"&gt;="&amp;DATE(YEAR(主页!$D$2),1,1),当年实际!$C:$C,"&lt;="&amp;EOMONTH(DATE(YEAR(主页!$D$2),MONTH(主页!$D$2),1),0)),"")</f>
        <v/>
      </c>
    </row>
    <row r="194" spans="1:10" x14ac:dyDescent="0.3">
      <c r="A194" s="150"/>
      <c r="B194" s="150"/>
      <c r="C194" s="150"/>
      <c r="D194" s="150"/>
      <c r="E194" s="140" t="str">
        <f t="shared" si="7"/>
        <v/>
      </c>
      <c r="F194" s="159"/>
      <c r="G194" s="145">
        <f t="shared" si="9"/>
        <v>0</v>
      </c>
      <c r="H194" s="140" t="str">
        <f t="shared" si="8"/>
        <v/>
      </c>
      <c r="J194" s="147" t="str">
        <f>IFERROR(SUMIFS(当年实际!$V:$V,当年实际!$F:$F,$C194,当年实际!$C:$C,"&gt;="&amp;DATE(YEAR(主页!$D$2),1,1),当年实际!$C:$C,"&lt;="&amp;EOMONTH(DATE(YEAR(主页!$D$2),MONTH(主页!$D$2),1),0))/SUMIFS(当年实际!$P:$P,当年实际!$F:$F,$C194,当年实际!$C:$C,"&gt;="&amp;DATE(YEAR(主页!$D$2),1,1),当年实际!$C:$C,"&lt;="&amp;EOMONTH(DATE(YEAR(主页!$D$2),MONTH(主页!$D$2),1),0)),"")</f>
        <v/>
      </c>
    </row>
    <row r="195" spans="1:10" x14ac:dyDescent="0.3">
      <c r="A195" s="150"/>
      <c r="B195" s="150"/>
      <c r="C195" s="150"/>
      <c r="D195" s="150"/>
      <c r="E195" s="140" t="str">
        <f t="shared" si="7"/>
        <v/>
      </c>
      <c r="F195" s="159"/>
      <c r="G195" s="145">
        <f t="shared" si="9"/>
        <v>0</v>
      </c>
      <c r="H195" s="140" t="str">
        <f t="shared" si="8"/>
        <v/>
      </c>
      <c r="J195" s="147" t="str">
        <f>IFERROR(SUMIFS(当年实际!$V:$V,当年实际!$F:$F,$C195,当年实际!$C:$C,"&gt;="&amp;DATE(YEAR(主页!$D$2),1,1),当年实际!$C:$C,"&lt;="&amp;EOMONTH(DATE(YEAR(主页!$D$2),MONTH(主页!$D$2),1),0))/SUMIFS(当年实际!$P:$P,当年实际!$F:$F,$C195,当年实际!$C:$C,"&gt;="&amp;DATE(YEAR(主页!$D$2),1,1),当年实际!$C:$C,"&lt;="&amp;EOMONTH(DATE(YEAR(主页!$D$2),MONTH(主页!$D$2),1),0)),"")</f>
        <v/>
      </c>
    </row>
    <row r="196" spans="1:10" x14ac:dyDescent="0.3">
      <c r="A196" s="150"/>
      <c r="B196" s="150"/>
      <c r="C196" s="150"/>
      <c r="D196" s="150"/>
      <c r="E196" s="140" t="str">
        <f t="shared" ref="E196:E259" si="10">IF(D196/SUM(D:D)=0,"",D196/SUM(D:D))</f>
        <v/>
      </c>
      <c r="F196" s="159"/>
      <c r="G196" s="145">
        <f t="shared" si="9"/>
        <v>0</v>
      </c>
      <c r="H196" s="140" t="str">
        <f t="shared" ref="H196:H259" si="11">IF(G196/SUM(G:G)=0,"",G196/SUM(G:G))</f>
        <v/>
      </c>
      <c r="J196" s="147" t="str">
        <f>IFERROR(SUMIFS(当年实际!$V:$V,当年实际!$F:$F,$C196,当年实际!$C:$C,"&gt;="&amp;DATE(YEAR(主页!$D$2),1,1),当年实际!$C:$C,"&lt;="&amp;EOMONTH(DATE(YEAR(主页!$D$2),MONTH(主页!$D$2),1),0))/SUMIFS(当年实际!$P:$P,当年实际!$F:$F,$C196,当年实际!$C:$C,"&gt;="&amp;DATE(YEAR(主页!$D$2),1,1),当年实际!$C:$C,"&lt;="&amp;EOMONTH(DATE(YEAR(主页!$D$2),MONTH(主页!$D$2),1),0)),"")</f>
        <v/>
      </c>
    </row>
    <row r="197" spans="1:10" x14ac:dyDescent="0.3">
      <c r="A197" s="150"/>
      <c r="B197" s="150"/>
      <c r="C197" s="150"/>
      <c r="D197" s="150"/>
      <c r="E197" s="140" t="str">
        <f t="shared" si="10"/>
        <v/>
      </c>
      <c r="F197" s="159"/>
      <c r="G197" s="145">
        <f t="shared" si="9"/>
        <v>0</v>
      </c>
      <c r="H197" s="140" t="str">
        <f t="shared" si="11"/>
        <v/>
      </c>
      <c r="J197" s="147" t="str">
        <f>IFERROR(SUMIFS(当年实际!$V:$V,当年实际!$F:$F,$C197,当年实际!$C:$C,"&gt;="&amp;DATE(YEAR(主页!$D$2),1,1),当年实际!$C:$C,"&lt;="&amp;EOMONTH(DATE(YEAR(主页!$D$2),MONTH(主页!$D$2),1),0))/SUMIFS(当年实际!$P:$P,当年实际!$F:$F,$C197,当年实际!$C:$C,"&gt;="&amp;DATE(YEAR(主页!$D$2),1,1),当年实际!$C:$C,"&lt;="&amp;EOMONTH(DATE(YEAR(主页!$D$2),MONTH(主页!$D$2),1),0)),"")</f>
        <v/>
      </c>
    </row>
    <row r="198" spans="1:10" x14ac:dyDescent="0.3">
      <c r="A198" s="150"/>
      <c r="B198" s="150"/>
      <c r="C198" s="150"/>
      <c r="D198" s="150"/>
      <c r="E198" s="140" t="str">
        <f t="shared" si="10"/>
        <v/>
      </c>
      <c r="F198" s="159"/>
      <c r="G198" s="145">
        <f t="shared" si="9"/>
        <v>0</v>
      </c>
      <c r="H198" s="140" t="str">
        <f t="shared" si="11"/>
        <v/>
      </c>
      <c r="J198" s="147" t="str">
        <f>IFERROR(SUMIFS(当年实际!$V:$V,当年实际!$F:$F,$C198,当年实际!$C:$C,"&gt;="&amp;DATE(YEAR(主页!$D$2),1,1),当年实际!$C:$C,"&lt;="&amp;EOMONTH(DATE(YEAR(主页!$D$2),MONTH(主页!$D$2),1),0))/SUMIFS(当年实际!$P:$P,当年实际!$F:$F,$C198,当年实际!$C:$C,"&gt;="&amp;DATE(YEAR(主页!$D$2),1,1),当年实际!$C:$C,"&lt;="&amp;EOMONTH(DATE(YEAR(主页!$D$2),MONTH(主页!$D$2),1),0)),"")</f>
        <v/>
      </c>
    </row>
    <row r="199" spans="1:10" x14ac:dyDescent="0.3">
      <c r="A199" s="150"/>
      <c r="B199" s="150"/>
      <c r="C199" s="150"/>
      <c r="D199" s="150"/>
      <c r="E199" s="140" t="str">
        <f t="shared" si="10"/>
        <v/>
      </c>
      <c r="F199" s="159"/>
      <c r="G199" s="145">
        <f t="shared" si="9"/>
        <v>0</v>
      </c>
      <c r="H199" s="140" t="str">
        <f t="shared" si="11"/>
        <v/>
      </c>
      <c r="J199" s="147" t="str">
        <f>IFERROR(SUMIFS(当年实际!$V:$V,当年实际!$F:$F,$C199,当年实际!$C:$C,"&gt;="&amp;DATE(YEAR(主页!$D$2),1,1),当年实际!$C:$C,"&lt;="&amp;EOMONTH(DATE(YEAR(主页!$D$2),MONTH(主页!$D$2),1),0))/SUMIFS(当年实际!$P:$P,当年实际!$F:$F,$C199,当年实际!$C:$C,"&gt;="&amp;DATE(YEAR(主页!$D$2),1,1),当年实际!$C:$C,"&lt;="&amp;EOMONTH(DATE(YEAR(主页!$D$2),MONTH(主页!$D$2),1),0)),"")</f>
        <v/>
      </c>
    </row>
    <row r="200" spans="1:10" x14ac:dyDescent="0.3">
      <c r="A200" s="150"/>
      <c r="B200" s="150"/>
      <c r="C200" s="150"/>
      <c r="D200" s="150"/>
      <c r="E200" s="140" t="str">
        <f t="shared" si="10"/>
        <v/>
      </c>
      <c r="F200" s="159"/>
      <c r="G200" s="145">
        <f t="shared" ref="G200:G263" si="12">D200*F200</f>
        <v>0</v>
      </c>
      <c r="H200" s="140" t="str">
        <f t="shared" si="11"/>
        <v/>
      </c>
      <c r="J200" s="147" t="str">
        <f>IFERROR(SUMIFS(当年实际!$V:$V,当年实际!$F:$F,$C200,当年实际!$C:$C,"&gt;="&amp;DATE(YEAR(主页!$D$2),1,1),当年实际!$C:$C,"&lt;="&amp;EOMONTH(DATE(YEAR(主页!$D$2),MONTH(主页!$D$2),1),0))/SUMIFS(当年实际!$P:$P,当年实际!$F:$F,$C200,当年实际!$C:$C,"&gt;="&amp;DATE(YEAR(主页!$D$2),1,1),当年实际!$C:$C,"&lt;="&amp;EOMONTH(DATE(YEAR(主页!$D$2),MONTH(主页!$D$2),1),0)),"")</f>
        <v/>
      </c>
    </row>
    <row r="201" spans="1:10" x14ac:dyDescent="0.3">
      <c r="A201" s="150"/>
      <c r="B201" s="150"/>
      <c r="C201" s="150"/>
      <c r="D201" s="150"/>
      <c r="E201" s="140" t="str">
        <f t="shared" si="10"/>
        <v/>
      </c>
      <c r="F201" s="159"/>
      <c r="G201" s="145">
        <f t="shared" si="12"/>
        <v>0</v>
      </c>
      <c r="H201" s="140" t="str">
        <f t="shared" si="11"/>
        <v/>
      </c>
      <c r="J201" s="147" t="str">
        <f>IFERROR(SUMIFS(当年实际!$V:$V,当年实际!$F:$F,$C201,当年实际!$C:$C,"&gt;="&amp;DATE(YEAR(主页!$D$2),1,1),当年实际!$C:$C,"&lt;="&amp;EOMONTH(DATE(YEAR(主页!$D$2),MONTH(主页!$D$2),1),0))/SUMIFS(当年实际!$P:$P,当年实际!$F:$F,$C201,当年实际!$C:$C,"&gt;="&amp;DATE(YEAR(主页!$D$2),1,1),当年实际!$C:$C,"&lt;="&amp;EOMONTH(DATE(YEAR(主页!$D$2),MONTH(主页!$D$2),1),0)),"")</f>
        <v/>
      </c>
    </row>
    <row r="202" spans="1:10" x14ac:dyDescent="0.3">
      <c r="A202" s="150"/>
      <c r="B202" s="150"/>
      <c r="C202" s="150"/>
      <c r="D202" s="150"/>
      <c r="E202" s="140" t="str">
        <f t="shared" si="10"/>
        <v/>
      </c>
      <c r="F202" s="159"/>
      <c r="G202" s="145">
        <f t="shared" si="12"/>
        <v>0</v>
      </c>
      <c r="H202" s="140" t="str">
        <f t="shared" si="11"/>
        <v/>
      </c>
      <c r="J202" s="147" t="str">
        <f>IFERROR(SUMIFS(当年实际!$V:$V,当年实际!$F:$F,$C202,当年实际!$C:$C,"&gt;="&amp;DATE(YEAR(主页!$D$2),1,1),当年实际!$C:$C,"&lt;="&amp;EOMONTH(DATE(YEAR(主页!$D$2),MONTH(主页!$D$2),1),0))/SUMIFS(当年实际!$P:$P,当年实际!$F:$F,$C202,当年实际!$C:$C,"&gt;="&amp;DATE(YEAR(主页!$D$2),1,1),当年实际!$C:$C,"&lt;="&amp;EOMONTH(DATE(YEAR(主页!$D$2),MONTH(主页!$D$2),1),0)),"")</f>
        <v/>
      </c>
    </row>
    <row r="203" spans="1:10" x14ac:dyDescent="0.3">
      <c r="A203" s="150"/>
      <c r="B203" s="150"/>
      <c r="C203" s="150"/>
      <c r="D203" s="150"/>
      <c r="E203" s="140" t="str">
        <f t="shared" si="10"/>
        <v/>
      </c>
      <c r="F203" s="159"/>
      <c r="G203" s="145">
        <f t="shared" si="12"/>
        <v>0</v>
      </c>
      <c r="H203" s="140" t="str">
        <f t="shared" si="11"/>
        <v/>
      </c>
      <c r="J203" s="147" t="str">
        <f>IFERROR(SUMIFS(当年实际!$V:$V,当年实际!$F:$F,$C203,当年实际!$C:$C,"&gt;="&amp;DATE(YEAR(主页!$D$2),1,1),当年实际!$C:$C,"&lt;="&amp;EOMONTH(DATE(YEAR(主页!$D$2),MONTH(主页!$D$2),1),0))/SUMIFS(当年实际!$P:$P,当年实际!$F:$F,$C203,当年实际!$C:$C,"&gt;="&amp;DATE(YEAR(主页!$D$2),1,1),当年实际!$C:$C,"&lt;="&amp;EOMONTH(DATE(YEAR(主页!$D$2),MONTH(主页!$D$2),1),0)),"")</f>
        <v/>
      </c>
    </row>
    <row r="204" spans="1:10" x14ac:dyDescent="0.3">
      <c r="A204" s="150"/>
      <c r="B204" s="150"/>
      <c r="C204" s="150"/>
      <c r="D204" s="150"/>
      <c r="E204" s="140" t="str">
        <f t="shared" si="10"/>
        <v/>
      </c>
      <c r="F204" s="159"/>
      <c r="G204" s="145">
        <f t="shared" si="12"/>
        <v>0</v>
      </c>
      <c r="H204" s="140" t="str">
        <f t="shared" si="11"/>
        <v/>
      </c>
      <c r="J204" s="147" t="str">
        <f>IFERROR(SUMIFS(当年实际!$V:$V,当年实际!$F:$F,$C204,当年实际!$C:$C,"&gt;="&amp;DATE(YEAR(主页!$D$2),1,1),当年实际!$C:$C,"&lt;="&amp;EOMONTH(DATE(YEAR(主页!$D$2),MONTH(主页!$D$2),1),0))/SUMIFS(当年实际!$P:$P,当年实际!$F:$F,$C204,当年实际!$C:$C,"&gt;="&amp;DATE(YEAR(主页!$D$2),1,1),当年实际!$C:$C,"&lt;="&amp;EOMONTH(DATE(YEAR(主页!$D$2),MONTH(主页!$D$2),1),0)),"")</f>
        <v/>
      </c>
    </row>
    <row r="205" spans="1:10" x14ac:dyDescent="0.3">
      <c r="A205" s="150"/>
      <c r="B205" s="150"/>
      <c r="C205" s="150"/>
      <c r="D205" s="150"/>
      <c r="E205" s="140" t="str">
        <f t="shared" si="10"/>
        <v/>
      </c>
      <c r="F205" s="159"/>
      <c r="G205" s="145">
        <f t="shared" si="12"/>
        <v>0</v>
      </c>
      <c r="H205" s="140" t="str">
        <f t="shared" si="11"/>
        <v/>
      </c>
      <c r="J205" s="147" t="str">
        <f>IFERROR(SUMIFS(当年实际!$V:$V,当年实际!$F:$F,$C205,当年实际!$C:$C,"&gt;="&amp;DATE(YEAR(主页!$D$2),1,1),当年实际!$C:$C,"&lt;="&amp;EOMONTH(DATE(YEAR(主页!$D$2),MONTH(主页!$D$2),1),0))/SUMIFS(当年实际!$P:$P,当年实际!$F:$F,$C205,当年实际!$C:$C,"&gt;="&amp;DATE(YEAR(主页!$D$2),1,1),当年实际!$C:$C,"&lt;="&amp;EOMONTH(DATE(YEAR(主页!$D$2),MONTH(主页!$D$2),1),0)),"")</f>
        <v/>
      </c>
    </row>
    <row r="206" spans="1:10" x14ac:dyDescent="0.3">
      <c r="A206" s="150"/>
      <c r="B206" s="150"/>
      <c r="C206" s="150"/>
      <c r="D206" s="150"/>
      <c r="E206" s="140" t="str">
        <f t="shared" si="10"/>
        <v/>
      </c>
      <c r="F206" s="159"/>
      <c r="G206" s="145">
        <f t="shared" si="12"/>
        <v>0</v>
      </c>
      <c r="H206" s="140" t="str">
        <f t="shared" si="11"/>
        <v/>
      </c>
      <c r="J206" s="147" t="str">
        <f>IFERROR(SUMIFS(当年实际!$V:$V,当年实际!$F:$F,$C206,当年实际!$C:$C,"&gt;="&amp;DATE(YEAR(主页!$D$2),1,1),当年实际!$C:$C,"&lt;="&amp;EOMONTH(DATE(YEAR(主页!$D$2),MONTH(主页!$D$2),1),0))/SUMIFS(当年实际!$P:$P,当年实际!$F:$F,$C206,当年实际!$C:$C,"&gt;="&amp;DATE(YEAR(主页!$D$2),1,1),当年实际!$C:$C,"&lt;="&amp;EOMONTH(DATE(YEAR(主页!$D$2),MONTH(主页!$D$2),1),0)),"")</f>
        <v/>
      </c>
    </row>
    <row r="207" spans="1:10" x14ac:dyDescent="0.3">
      <c r="A207" s="150"/>
      <c r="B207" s="150"/>
      <c r="C207" s="150"/>
      <c r="D207" s="150"/>
      <c r="E207" s="140" t="str">
        <f t="shared" si="10"/>
        <v/>
      </c>
      <c r="F207" s="159"/>
      <c r="G207" s="145">
        <f t="shared" si="12"/>
        <v>0</v>
      </c>
      <c r="H207" s="140" t="str">
        <f t="shared" si="11"/>
        <v/>
      </c>
      <c r="J207" s="147" t="str">
        <f>IFERROR(SUMIFS(当年实际!$V:$V,当年实际!$F:$F,$C207,当年实际!$C:$C,"&gt;="&amp;DATE(YEAR(主页!$D$2),1,1),当年实际!$C:$C,"&lt;="&amp;EOMONTH(DATE(YEAR(主页!$D$2),MONTH(主页!$D$2),1),0))/SUMIFS(当年实际!$P:$P,当年实际!$F:$F,$C207,当年实际!$C:$C,"&gt;="&amp;DATE(YEAR(主页!$D$2),1,1),当年实际!$C:$C,"&lt;="&amp;EOMONTH(DATE(YEAR(主页!$D$2),MONTH(主页!$D$2),1),0)),"")</f>
        <v/>
      </c>
    </row>
    <row r="208" spans="1:10" x14ac:dyDescent="0.3">
      <c r="A208" s="150"/>
      <c r="B208" s="150"/>
      <c r="C208" s="150"/>
      <c r="D208" s="150"/>
      <c r="E208" s="140" t="str">
        <f t="shared" si="10"/>
        <v/>
      </c>
      <c r="F208" s="159"/>
      <c r="G208" s="145">
        <f t="shared" si="12"/>
        <v>0</v>
      </c>
      <c r="H208" s="140" t="str">
        <f t="shared" si="11"/>
        <v/>
      </c>
      <c r="J208" s="147" t="str">
        <f>IFERROR(SUMIFS(当年实际!$V:$V,当年实际!$F:$F,$C208,当年实际!$C:$C,"&gt;="&amp;DATE(YEAR(主页!$D$2),1,1),当年实际!$C:$C,"&lt;="&amp;EOMONTH(DATE(YEAR(主页!$D$2),MONTH(主页!$D$2),1),0))/SUMIFS(当年实际!$P:$P,当年实际!$F:$F,$C208,当年实际!$C:$C,"&gt;="&amp;DATE(YEAR(主页!$D$2),1,1),当年实际!$C:$C,"&lt;="&amp;EOMONTH(DATE(YEAR(主页!$D$2),MONTH(主页!$D$2),1),0)),"")</f>
        <v/>
      </c>
    </row>
    <row r="209" spans="1:10" x14ac:dyDescent="0.3">
      <c r="A209" s="150"/>
      <c r="B209" s="150"/>
      <c r="C209" s="150"/>
      <c r="D209" s="150"/>
      <c r="E209" s="140" t="str">
        <f t="shared" si="10"/>
        <v/>
      </c>
      <c r="F209" s="159"/>
      <c r="G209" s="145">
        <f t="shared" si="12"/>
        <v>0</v>
      </c>
      <c r="H209" s="140" t="str">
        <f t="shared" si="11"/>
        <v/>
      </c>
      <c r="J209" s="147" t="str">
        <f>IFERROR(SUMIFS(当年实际!$V:$V,当年实际!$F:$F,$C209,当年实际!$C:$C,"&gt;="&amp;DATE(YEAR(主页!$D$2),1,1),当年实际!$C:$C,"&lt;="&amp;EOMONTH(DATE(YEAR(主页!$D$2),MONTH(主页!$D$2),1),0))/SUMIFS(当年实际!$P:$P,当年实际!$F:$F,$C209,当年实际!$C:$C,"&gt;="&amp;DATE(YEAR(主页!$D$2),1,1),当年实际!$C:$C,"&lt;="&amp;EOMONTH(DATE(YEAR(主页!$D$2),MONTH(主页!$D$2),1),0)),"")</f>
        <v/>
      </c>
    </row>
    <row r="210" spans="1:10" x14ac:dyDescent="0.3">
      <c r="A210" s="150"/>
      <c r="B210" s="150"/>
      <c r="C210" s="150"/>
      <c r="D210" s="150"/>
      <c r="E210" s="140" t="str">
        <f t="shared" si="10"/>
        <v/>
      </c>
      <c r="F210" s="159"/>
      <c r="G210" s="145">
        <f t="shared" si="12"/>
        <v>0</v>
      </c>
      <c r="H210" s="140" t="str">
        <f t="shared" si="11"/>
        <v/>
      </c>
      <c r="J210" s="147" t="str">
        <f>IFERROR(SUMIFS(当年实际!$V:$V,当年实际!$F:$F,$C210,当年实际!$C:$C,"&gt;="&amp;DATE(YEAR(主页!$D$2),1,1),当年实际!$C:$C,"&lt;="&amp;EOMONTH(DATE(YEAR(主页!$D$2),MONTH(主页!$D$2),1),0))/SUMIFS(当年实际!$P:$P,当年实际!$F:$F,$C210,当年实际!$C:$C,"&gt;="&amp;DATE(YEAR(主页!$D$2),1,1),当年实际!$C:$C,"&lt;="&amp;EOMONTH(DATE(YEAR(主页!$D$2),MONTH(主页!$D$2),1),0)),"")</f>
        <v/>
      </c>
    </row>
    <row r="211" spans="1:10" x14ac:dyDescent="0.3">
      <c r="A211" s="150"/>
      <c r="B211" s="150"/>
      <c r="C211" s="150"/>
      <c r="D211" s="150"/>
      <c r="E211" s="140" t="str">
        <f t="shared" si="10"/>
        <v/>
      </c>
      <c r="F211" s="159"/>
      <c r="G211" s="145">
        <f t="shared" si="12"/>
        <v>0</v>
      </c>
      <c r="H211" s="140" t="str">
        <f t="shared" si="11"/>
        <v/>
      </c>
      <c r="J211" s="147" t="str">
        <f>IFERROR(SUMIFS(当年实际!$V:$V,当年实际!$F:$F,$C211,当年实际!$C:$C,"&gt;="&amp;DATE(YEAR(主页!$D$2),1,1),当年实际!$C:$C,"&lt;="&amp;EOMONTH(DATE(YEAR(主页!$D$2),MONTH(主页!$D$2),1),0))/SUMIFS(当年实际!$P:$P,当年实际!$F:$F,$C211,当年实际!$C:$C,"&gt;="&amp;DATE(YEAR(主页!$D$2),1,1),当年实际!$C:$C,"&lt;="&amp;EOMONTH(DATE(YEAR(主页!$D$2),MONTH(主页!$D$2),1),0)),"")</f>
        <v/>
      </c>
    </row>
    <row r="212" spans="1:10" x14ac:dyDescent="0.3">
      <c r="A212" s="150"/>
      <c r="B212" s="150"/>
      <c r="C212" s="150"/>
      <c r="D212" s="150"/>
      <c r="E212" s="140" t="str">
        <f t="shared" si="10"/>
        <v/>
      </c>
      <c r="F212" s="159"/>
      <c r="G212" s="145">
        <f t="shared" si="12"/>
        <v>0</v>
      </c>
      <c r="H212" s="140" t="str">
        <f t="shared" si="11"/>
        <v/>
      </c>
      <c r="J212" s="147" t="str">
        <f>IFERROR(SUMIFS(当年实际!$V:$V,当年实际!$F:$F,$C212,当年实际!$C:$C,"&gt;="&amp;DATE(YEAR(主页!$D$2),1,1),当年实际!$C:$C,"&lt;="&amp;EOMONTH(DATE(YEAR(主页!$D$2),MONTH(主页!$D$2),1),0))/SUMIFS(当年实际!$P:$P,当年实际!$F:$F,$C212,当年实际!$C:$C,"&gt;="&amp;DATE(YEAR(主页!$D$2),1,1),当年实际!$C:$C,"&lt;="&amp;EOMONTH(DATE(YEAR(主页!$D$2),MONTH(主页!$D$2),1),0)),"")</f>
        <v/>
      </c>
    </row>
    <row r="213" spans="1:10" x14ac:dyDescent="0.3">
      <c r="A213" s="150"/>
      <c r="B213" s="150"/>
      <c r="C213" s="150"/>
      <c r="D213" s="150"/>
      <c r="E213" s="140" t="str">
        <f t="shared" si="10"/>
        <v/>
      </c>
      <c r="F213" s="159"/>
      <c r="G213" s="145">
        <f t="shared" si="12"/>
        <v>0</v>
      </c>
      <c r="H213" s="140" t="str">
        <f t="shared" si="11"/>
        <v/>
      </c>
      <c r="J213" s="147" t="str">
        <f>IFERROR(SUMIFS(当年实际!$V:$V,当年实际!$F:$F,$C213,当年实际!$C:$C,"&gt;="&amp;DATE(YEAR(主页!$D$2),1,1),当年实际!$C:$C,"&lt;="&amp;EOMONTH(DATE(YEAR(主页!$D$2),MONTH(主页!$D$2),1),0))/SUMIFS(当年实际!$P:$P,当年实际!$F:$F,$C213,当年实际!$C:$C,"&gt;="&amp;DATE(YEAR(主页!$D$2),1,1),当年实际!$C:$C,"&lt;="&amp;EOMONTH(DATE(YEAR(主页!$D$2),MONTH(主页!$D$2),1),0)),"")</f>
        <v/>
      </c>
    </row>
    <row r="214" spans="1:10" x14ac:dyDescent="0.3">
      <c r="A214" s="150"/>
      <c r="B214" s="150"/>
      <c r="C214" s="150"/>
      <c r="D214" s="150"/>
      <c r="E214" s="140" t="str">
        <f t="shared" si="10"/>
        <v/>
      </c>
      <c r="F214" s="159"/>
      <c r="G214" s="145">
        <f t="shared" si="12"/>
        <v>0</v>
      </c>
      <c r="H214" s="140" t="str">
        <f t="shared" si="11"/>
        <v/>
      </c>
      <c r="J214" s="147" t="str">
        <f>IFERROR(SUMIFS(当年实际!$V:$V,当年实际!$F:$F,$C214,当年实际!$C:$C,"&gt;="&amp;DATE(YEAR(主页!$D$2),1,1),当年实际!$C:$C,"&lt;="&amp;EOMONTH(DATE(YEAR(主页!$D$2),MONTH(主页!$D$2),1),0))/SUMIFS(当年实际!$P:$P,当年实际!$F:$F,$C214,当年实际!$C:$C,"&gt;="&amp;DATE(YEAR(主页!$D$2),1,1),当年实际!$C:$C,"&lt;="&amp;EOMONTH(DATE(YEAR(主页!$D$2),MONTH(主页!$D$2),1),0)),"")</f>
        <v/>
      </c>
    </row>
    <row r="215" spans="1:10" x14ac:dyDescent="0.3">
      <c r="A215" s="150"/>
      <c r="B215" s="150"/>
      <c r="C215" s="150"/>
      <c r="D215" s="150"/>
      <c r="E215" s="140" t="str">
        <f t="shared" si="10"/>
        <v/>
      </c>
      <c r="F215" s="159"/>
      <c r="G215" s="145">
        <f t="shared" si="12"/>
        <v>0</v>
      </c>
      <c r="H215" s="140" t="str">
        <f t="shared" si="11"/>
        <v/>
      </c>
      <c r="J215" s="147" t="str">
        <f>IFERROR(SUMIFS(当年实际!$V:$V,当年实际!$F:$F,$C215,当年实际!$C:$C,"&gt;="&amp;DATE(YEAR(主页!$D$2),1,1),当年实际!$C:$C,"&lt;="&amp;EOMONTH(DATE(YEAR(主页!$D$2),MONTH(主页!$D$2),1),0))/SUMIFS(当年实际!$P:$P,当年实际!$F:$F,$C215,当年实际!$C:$C,"&gt;="&amp;DATE(YEAR(主页!$D$2),1,1),当年实际!$C:$C,"&lt;="&amp;EOMONTH(DATE(YEAR(主页!$D$2),MONTH(主页!$D$2),1),0)),"")</f>
        <v/>
      </c>
    </row>
    <row r="216" spans="1:10" x14ac:dyDescent="0.3">
      <c r="A216" s="150"/>
      <c r="B216" s="150"/>
      <c r="C216" s="150"/>
      <c r="D216" s="150"/>
      <c r="E216" s="140" t="str">
        <f t="shared" si="10"/>
        <v/>
      </c>
      <c r="F216" s="159"/>
      <c r="G216" s="145">
        <f t="shared" si="12"/>
        <v>0</v>
      </c>
      <c r="H216" s="140" t="str">
        <f t="shared" si="11"/>
        <v/>
      </c>
      <c r="J216" s="147" t="str">
        <f>IFERROR(SUMIFS(当年实际!$V:$V,当年实际!$F:$F,$C216,当年实际!$C:$C,"&gt;="&amp;DATE(YEAR(主页!$D$2),1,1),当年实际!$C:$C,"&lt;="&amp;EOMONTH(DATE(YEAR(主页!$D$2),MONTH(主页!$D$2),1),0))/SUMIFS(当年实际!$P:$P,当年实际!$F:$F,$C216,当年实际!$C:$C,"&gt;="&amp;DATE(YEAR(主页!$D$2),1,1),当年实际!$C:$C,"&lt;="&amp;EOMONTH(DATE(YEAR(主页!$D$2),MONTH(主页!$D$2),1),0)),"")</f>
        <v/>
      </c>
    </row>
    <row r="217" spans="1:10" x14ac:dyDescent="0.3">
      <c r="A217" s="150"/>
      <c r="B217" s="150"/>
      <c r="C217" s="150"/>
      <c r="D217" s="150"/>
      <c r="E217" s="140" t="str">
        <f t="shared" si="10"/>
        <v/>
      </c>
      <c r="F217" s="159"/>
      <c r="G217" s="145">
        <f t="shared" si="12"/>
        <v>0</v>
      </c>
      <c r="H217" s="140" t="str">
        <f t="shared" si="11"/>
        <v/>
      </c>
      <c r="J217" s="147" t="str">
        <f>IFERROR(SUMIFS(当年实际!$V:$V,当年实际!$F:$F,$C217,当年实际!$C:$C,"&gt;="&amp;DATE(YEAR(主页!$D$2),1,1),当年实际!$C:$C,"&lt;="&amp;EOMONTH(DATE(YEAR(主页!$D$2),MONTH(主页!$D$2),1),0))/SUMIFS(当年实际!$P:$P,当年实际!$F:$F,$C217,当年实际!$C:$C,"&gt;="&amp;DATE(YEAR(主页!$D$2),1,1),当年实际!$C:$C,"&lt;="&amp;EOMONTH(DATE(YEAR(主页!$D$2),MONTH(主页!$D$2),1),0)),"")</f>
        <v/>
      </c>
    </row>
    <row r="218" spans="1:10" x14ac:dyDescent="0.3">
      <c r="A218" s="150"/>
      <c r="B218" s="150"/>
      <c r="C218" s="150"/>
      <c r="D218" s="150"/>
      <c r="E218" s="140" t="str">
        <f t="shared" si="10"/>
        <v/>
      </c>
      <c r="F218" s="159"/>
      <c r="G218" s="145">
        <f t="shared" si="12"/>
        <v>0</v>
      </c>
      <c r="H218" s="140" t="str">
        <f t="shared" si="11"/>
        <v/>
      </c>
      <c r="J218" s="147" t="str">
        <f>IFERROR(SUMIFS(当年实际!$V:$V,当年实际!$F:$F,$C218,当年实际!$C:$C,"&gt;="&amp;DATE(YEAR(主页!$D$2),1,1),当年实际!$C:$C,"&lt;="&amp;EOMONTH(DATE(YEAR(主页!$D$2),MONTH(主页!$D$2),1),0))/SUMIFS(当年实际!$P:$P,当年实际!$F:$F,$C218,当年实际!$C:$C,"&gt;="&amp;DATE(YEAR(主页!$D$2),1,1),当年实际!$C:$C,"&lt;="&amp;EOMONTH(DATE(YEAR(主页!$D$2),MONTH(主页!$D$2),1),0)),"")</f>
        <v/>
      </c>
    </row>
    <row r="219" spans="1:10" x14ac:dyDescent="0.3">
      <c r="A219" s="150"/>
      <c r="B219" s="150"/>
      <c r="C219" s="150"/>
      <c r="D219" s="150"/>
      <c r="E219" s="140" t="str">
        <f t="shared" si="10"/>
        <v/>
      </c>
      <c r="F219" s="159"/>
      <c r="G219" s="145">
        <f t="shared" si="12"/>
        <v>0</v>
      </c>
      <c r="H219" s="140" t="str">
        <f t="shared" si="11"/>
        <v/>
      </c>
      <c r="J219" s="147" t="str">
        <f>IFERROR(SUMIFS(当年实际!$V:$V,当年实际!$F:$F,$C219,当年实际!$C:$C,"&gt;="&amp;DATE(YEAR(主页!$D$2),1,1),当年实际!$C:$C,"&lt;="&amp;EOMONTH(DATE(YEAR(主页!$D$2),MONTH(主页!$D$2),1),0))/SUMIFS(当年实际!$P:$P,当年实际!$F:$F,$C219,当年实际!$C:$C,"&gt;="&amp;DATE(YEAR(主页!$D$2),1,1),当年实际!$C:$C,"&lt;="&amp;EOMONTH(DATE(YEAR(主页!$D$2),MONTH(主页!$D$2),1),0)),"")</f>
        <v/>
      </c>
    </row>
    <row r="220" spans="1:10" x14ac:dyDescent="0.3">
      <c r="A220" s="150"/>
      <c r="B220" s="150"/>
      <c r="C220" s="150"/>
      <c r="D220" s="150"/>
      <c r="E220" s="140" t="str">
        <f t="shared" si="10"/>
        <v/>
      </c>
      <c r="F220" s="159"/>
      <c r="G220" s="145">
        <f t="shared" si="12"/>
        <v>0</v>
      </c>
      <c r="H220" s="140" t="str">
        <f t="shared" si="11"/>
        <v/>
      </c>
      <c r="J220" s="147" t="str">
        <f>IFERROR(SUMIFS(当年实际!$V:$V,当年实际!$F:$F,$C220,当年实际!$C:$C,"&gt;="&amp;DATE(YEAR(主页!$D$2),1,1),当年实际!$C:$C,"&lt;="&amp;EOMONTH(DATE(YEAR(主页!$D$2),MONTH(主页!$D$2),1),0))/SUMIFS(当年实际!$P:$P,当年实际!$F:$F,$C220,当年实际!$C:$C,"&gt;="&amp;DATE(YEAR(主页!$D$2),1,1),当年实际!$C:$C,"&lt;="&amp;EOMONTH(DATE(YEAR(主页!$D$2),MONTH(主页!$D$2),1),0)),"")</f>
        <v/>
      </c>
    </row>
    <row r="221" spans="1:10" x14ac:dyDescent="0.3">
      <c r="A221" s="150"/>
      <c r="B221" s="150"/>
      <c r="C221" s="150"/>
      <c r="D221" s="150"/>
      <c r="E221" s="140" t="str">
        <f t="shared" si="10"/>
        <v/>
      </c>
      <c r="F221" s="159"/>
      <c r="G221" s="145">
        <f t="shared" si="12"/>
        <v>0</v>
      </c>
      <c r="H221" s="140" t="str">
        <f t="shared" si="11"/>
        <v/>
      </c>
      <c r="J221" s="147" t="str">
        <f>IFERROR(SUMIFS(当年实际!$V:$V,当年实际!$F:$F,$C221,当年实际!$C:$C,"&gt;="&amp;DATE(YEAR(主页!$D$2),1,1),当年实际!$C:$C,"&lt;="&amp;EOMONTH(DATE(YEAR(主页!$D$2),MONTH(主页!$D$2),1),0))/SUMIFS(当年实际!$P:$P,当年实际!$F:$F,$C221,当年实际!$C:$C,"&gt;="&amp;DATE(YEAR(主页!$D$2),1,1),当年实际!$C:$C,"&lt;="&amp;EOMONTH(DATE(YEAR(主页!$D$2),MONTH(主页!$D$2),1),0)),"")</f>
        <v/>
      </c>
    </row>
    <row r="222" spans="1:10" x14ac:dyDescent="0.3">
      <c r="A222" s="150"/>
      <c r="B222" s="150"/>
      <c r="C222" s="150"/>
      <c r="D222" s="150"/>
      <c r="E222" s="140" t="str">
        <f t="shared" si="10"/>
        <v/>
      </c>
      <c r="F222" s="159"/>
      <c r="G222" s="145">
        <f t="shared" si="12"/>
        <v>0</v>
      </c>
      <c r="H222" s="140" t="str">
        <f t="shared" si="11"/>
        <v/>
      </c>
      <c r="J222" s="147" t="str">
        <f>IFERROR(SUMIFS(当年实际!$V:$V,当年实际!$F:$F,$C222,当年实际!$C:$C,"&gt;="&amp;DATE(YEAR(主页!$D$2),1,1),当年实际!$C:$C,"&lt;="&amp;EOMONTH(DATE(YEAR(主页!$D$2),MONTH(主页!$D$2),1),0))/SUMIFS(当年实际!$P:$P,当年实际!$F:$F,$C222,当年实际!$C:$C,"&gt;="&amp;DATE(YEAR(主页!$D$2),1,1),当年实际!$C:$C,"&lt;="&amp;EOMONTH(DATE(YEAR(主页!$D$2),MONTH(主页!$D$2),1),0)),"")</f>
        <v/>
      </c>
    </row>
    <row r="223" spans="1:10" x14ac:dyDescent="0.3">
      <c r="A223" s="150"/>
      <c r="B223" s="150"/>
      <c r="C223" s="150"/>
      <c r="D223" s="150"/>
      <c r="E223" s="140" t="str">
        <f t="shared" si="10"/>
        <v/>
      </c>
      <c r="F223" s="159"/>
      <c r="G223" s="145">
        <f t="shared" si="12"/>
        <v>0</v>
      </c>
      <c r="H223" s="140" t="str">
        <f t="shared" si="11"/>
        <v/>
      </c>
      <c r="J223" s="147" t="str">
        <f>IFERROR(SUMIFS(当年实际!$V:$V,当年实际!$F:$F,$C223,当年实际!$C:$C,"&gt;="&amp;DATE(YEAR(主页!$D$2),1,1),当年实际!$C:$C,"&lt;="&amp;EOMONTH(DATE(YEAR(主页!$D$2),MONTH(主页!$D$2),1),0))/SUMIFS(当年实际!$P:$P,当年实际!$F:$F,$C223,当年实际!$C:$C,"&gt;="&amp;DATE(YEAR(主页!$D$2),1,1),当年实际!$C:$C,"&lt;="&amp;EOMONTH(DATE(YEAR(主页!$D$2),MONTH(主页!$D$2),1),0)),"")</f>
        <v/>
      </c>
    </row>
    <row r="224" spans="1:10" x14ac:dyDescent="0.3">
      <c r="A224" s="150"/>
      <c r="B224" s="150"/>
      <c r="C224" s="150"/>
      <c r="D224" s="150"/>
      <c r="E224" s="140" t="str">
        <f t="shared" si="10"/>
        <v/>
      </c>
      <c r="F224" s="159"/>
      <c r="G224" s="145">
        <f t="shared" si="12"/>
        <v>0</v>
      </c>
      <c r="H224" s="140" t="str">
        <f t="shared" si="11"/>
        <v/>
      </c>
      <c r="J224" s="147" t="str">
        <f>IFERROR(SUMIFS(当年实际!$V:$V,当年实际!$F:$F,$C224,当年实际!$C:$C,"&gt;="&amp;DATE(YEAR(主页!$D$2),1,1),当年实际!$C:$C,"&lt;="&amp;EOMONTH(DATE(YEAR(主页!$D$2),MONTH(主页!$D$2),1),0))/SUMIFS(当年实际!$P:$P,当年实际!$F:$F,$C224,当年实际!$C:$C,"&gt;="&amp;DATE(YEAR(主页!$D$2),1,1),当年实际!$C:$C,"&lt;="&amp;EOMONTH(DATE(YEAR(主页!$D$2),MONTH(主页!$D$2),1),0)),"")</f>
        <v/>
      </c>
    </row>
    <row r="225" spans="1:10" x14ac:dyDescent="0.3">
      <c r="A225" s="150"/>
      <c r="B225" s="150"/>
      <c r="C225" s="150"/>
      <c r="D225" s="150"/>
      <c r="E225" s="140" t="str">
        <f t="shared" si="10"/>
        <v/>
      </c>
      <c r="F225" s="159"/>
      <c r="G225" s="145">
        <f t="shared" si="12"/>
        <v>0</v>
      </c>
      <c r="H225" s="140" t="str">
        <f t="shared" si="11"/>
        <v/>
      </c>
      <c r="J225" s="147" t="str">
        <f>IFERROR(SUMIFS(当年实际!$V:$V,当年实际!$F:$F,$C225,当年实际!$C:$C,"&gt;="&amp;DATE(YEAR(主页!$D$2),1,1),当年实际!$C:$C,"&lt;="&amp;EOMONTH(DATE(YEAR(主页!$D$2),MONTH(主页!$D$2),1),0))/SUMIFS(当年实际!$P:$P,当年实际!$F:$F,$C225,当年实际!$C:$C,"&gt;="&amp;DATE(YEAR(主页!$D$2),1,1),当年实际!$C:$C,"&lt;="&amp;EOMONTH(DATE(YEAR(主页!$D$2),MONTH(主页!$D$2),1),0)),"")</f>
        <v/>
      </c>
    </row>
    <row r="226" spans="1:10" x14ac:dyDescent="0.3">
      <c r="A226" s="150"/>
      <c r="B226" s="150"/>
      <c r="C226" s="150"/>
      <c r="D226" s="150"/>
      <c r="E226" s="140" t="str">
        <f t="shared" si="10"/>
        <v/>
      </c>
      <c r="F226" s="159"/>
      <c r="G226" s="145">
        <f t="shared" si="12"/>
        <v>0</v>
      </c>
      <c r="H226" s="140" t="str">
        <f t="shared" si="11"/>
        <v/>
      </c>
      <c r="J226" s="147" t="str">
        <f>IFERROR(SUMIFS(当年实际!$V:$V,当年实际!$F:$F,$C226,当年实际!$C:$C,"&gt;="&amp;DATE(YEAR(主页!$D$2),1,1),当年实际!$C:$C,"&lt;="&amp;EOMONTH(DATE(YEAR(主页!$D$2),MONTH(主页!$D$2),1),0))/SUMIFS(当年实际!$P:$P,当年实际!$F:$F,$C226,当年实际!$C:$C,"&gt;="&amp;DATE(YEAR(主页!$D$2),1,1),当年实际!$C:$C,"&lt;="&amp;EOMONTH(DATE(YEAR(主页!$D$2),MONTH(主页!$D$2),1),0)),"")</f>
        <v/>
      </c>
    </row>
    <row r="227" spans="1:10" x14ac:dyDescent="0.3">
      <c r="A227" s="150"/>
      <c r="B227" s="150"/>
      <c r="C227" s="150"/>
      <c r="D227" s="150"/>
      <c r="E227" s="140" t="str">
        <f t="shared" si="10"/>
        <v/>
      </c>
      <c r="F227" s="159"/>
      <c r="G227" s="145">
        <f t="shared" si="12"/>
        <v>0</v>
      </c>
      <c r="H227" s="140" t="str">
        <f t="shared" si="11"/>
        <v/>
      </c>
      <c r="J227" s="147" t="str">
        <f>IFERROR(SUMIFS(当年实际!$V:$V,当年实际!$F:$F,$C227,当年实际!$C:$C,"&gt;="&amp;DATE(YEAR(主页!$D$2),1,1),当年实际!$C:$C,"&lt;="&amp;EOMONTH(DATE(YEAR(主页!$D$2),MONTH(主页!$D$2),1),0))/SUMIFS(当年实际!$P:$P,当年实际!$F:$F,$C227,当年实际!$C:$C,"&gt;="&amp;DATE(YEAR(主页!$D$2),1,1),当年实际!$C:$C,"&lt;="&amp;EOMONTH(DATE(YEAR(主页!$D$2),MONTH(主页!$D$2),1),0)),"")</f>
        <v/>
      </c>
    </row>
    <row r="228" spans="1:10" x14ac:dyDescent="0.3">
      <c r="A228" s="150"/>
      <c r="B228" s="150"/>
      <c r="C228" s="150"/>
      <c r="D228" s="150"/>
      <c r="E228" s="140" t="str">
        <f t="shared" si="10"/>
        <v/>
      </c>
      <c r="F228" s="159"/>
      <c r="G228" s="145">
        <f t="shared" si="12"/>
        <v>0</v>
      </c>
      <c r="H228" s="140" t="str">
        <f t="shared" si="11"/>
        <v/>
      </c>
      <c r="J228" s="147" t="str">
        <f>IFERROR(SUMIFS(当年实际!$V:$V,当年实际!$F:$F,$C228,当年实际!$C:$C,"&gt;="&amp;DATE(YEAR(主页!$D$2),1,1),当年实际!$C:$C,"&lt;="&amp;EOMONTH(DATE(YEAR(主页!$D$2),MONTH(主页!$D$2),1),0))/SUMIFS(当年实际!$P:$P,当年实际!$F:$F,$C228,当年实际!$C:$C,"&gt;="&amp;DATE(YEAR(主页!$D$2),1,1),当年实际!$C:$C,"&lt;="&amp;EOMONTH(DATE(YEAR(主页!$D$2),MONTH(主页!$D$2),1),0)),"")</f>
        <v/>
      </c>
    </row>
    <row r="229" spans="1:10" x14ac:dyDescent="0.3">
      <c r="A229" s="150"/>
      <c r="B229" s="150"/>
      <c r="C229" s="150"/>
      <c r="D229" s="150"/>
      <c r="E229" s="140" t="str">
        <f t="shared" si="10"/>
        <v/>
      </c>
      <c r="F229" s="159"/>
      <c r="G229" s="145">
        <f t="shared" si="12"/>
        <v>0</v>
      </c>
      <c r="H229" s="140" t="str">
        <f t="shared" si="11"/>
        <v/>
      </c>
      <c r="J229" s="147" t="str">
        <f>IFERROR(SUMIFS(当年实际!$V:$V,当年实际!$F:$F,$C229,当年实际!$C:$C,"&gt;="&amp;DATE(YEAR(主页!$D$2),1,1),当年实际!$C:$C,"&lt;="&amp;EOMONTH(DATE(YEAR(主页!$D$2),MONTH(主页!$D$2),1),0))/SUMIFS(当年实际!$P:$P,当年实际!$F:$F,$C229,当年实际!$C:$C,"&gt;="&amp;DATE(YEAR(主页!$D$2),1,1),当年实际!$C:$C,"&lt;="&amp;EOMONTH(DATE(YEAR(主页!$D$2),MONTH(主页!$D$2),1),0)),"")</f>
        <v/>
      </c>
    </row>
    <row r="230" spans="1:10" x14ac:dyDescent="0.3">
      <c r="A230" s="150"/>
      <c r="B230" s="150"/>
      <c r="C230" s="150"/>
      <c r="D230" s="150"/>
      <c r="E230" s="140" t="str">
        <f t="shared" si="10"/>
        <v/>
      </c>
      <c r="F230" s="159"/>
      <c r="G230" s="145">
        <f t="shared" si="12"/>
        <v>0</v>
      </c>
      <c r="H230" s="140" t="str">
        <f t="shared" si="11"/>
        <v/>
      </c>
      <c r="J230" s="147" t="str">
        <f>IFERROR(SUMIFS(当年实际!$V:$V,当年实际!$F:$F,$C230,当年实际!$C:$C,"&gt;="&amp;DATE(YEAR(主页!$D$2),1,1),当年实际!$C:$C,"&lt;="&amp;EOMONTH(DATE(YEAR(主页!$D$2),MONTH(主页!$D$2),1),0))/SUMIFS(当年实际!$P:$P,当年实际!$F:$F,$C230,当年实际!$C:$C,"&gt;="&amp;DATE(YEAR(主页!$D$2),1,1),当年实际!$C:$C,"&lt;="&amp;EOMONTH(DATE(YEAR(主页!$D$2),MONTH(主页!$D$2),1),0)),"")</f>
        <v/>
      </c>
    </row>
    <row r="231" spans="1:10" x14ac:dyDescent="0.3">
      <c r="A231" s="150"/>
      <c r="B231" s="150"/>
      <c r="C231" s="150"/>
      <c r="D231" s="150"/>
      <c r="E231" s="140" t="str">
        <f t="shared" si="10"/>
        <v/>
      </c>
      <c r="F231" s="159"/>
      <c r="G231" s="145">
        <f t="shared" si="12"/>
        <v>0</v>
      </c>
      <c r="H231" s="140" t="str">
        <f t="shared" si="11"/>
        <v/>
      </c>
      <c r="J231" s="147" t="str">
        <f>IFERROR(SUMIFS(当年实际!$V:$V,当年实际!$F:$F,$C231,当年实际!$C:$C,"&gt;="&amp;DATE(YEAR(主页!$D$2),1,1),当年实际!$C:$C,"&lt;="&amp;EOMONTH(DATE(YEAR(主页!$D$2),MONTH(主页!$D$2),1),0))/SUMIFS(当年实际!$P:$P,当年实际!$F:$F,$C231,当年实际!$C:$C,"&gt;="&amp;DATE(YEAR(主页!$D$2),1,1),当年实际!$C:$C,"&lt;="&amp;EOMONTH(DATE(YEAR(主页!$D$2),MONTH(主页!$D$2),1),0)),"")</f>
        <v/>
      </c>
    </row>
    <row r="232" spans="1:10" x14ac:dyDescent="0.3">
      <c r="A232" s="150"/>
      <c r="B232" s="150"/>
      <c r="C232" s="150"/>
      <c r="D232" s="150"/>
      <c r="E232" s="140" t="str">
        <f t="shared" si="10"/>
        <v/>
      </c>
      <c r="F232" s="159"/>
      <c r="G232" s="145">
        <f t="shared" si="12"/>
        <v>0</v>
      </c>
      <c r="H232" s="140" t="str">
        <f t="shared" si="11"/>
        <v/>
      </c>
      <c r="J232" s="147" t="str">
        <f>IFERROR(SUMIFS(当年实际!$V:$V,当年实际!$F:$F,$C232,当年实际!$C:$C,"&gt;="&amp;DATE(YEAR(主页!$D$2),1,1),当年实际!$C:$C,"&lt;="&amp;EOMONTH(DATE(YEAR(主页!$D$2),MONTH(主页!$D$2),1),0))/SUMIFS(当年实际!$P:$P,当年实际!$F:$F,$C232,当年实际!$C:$C,"&gt;="&amp;DATE(YEAR(主页!$D$2),1,1),当年实际!$C:$C,"&lt;="&amp;EOMONTH(DATE(YEAR(主页!$D$2),MONTH(主页!$D$2),1),0)),"")</f>
        <v/>
      </c>
    </row>
    <row r="233" spans="1:10" x14ac:dyDescent="0.3">
      <c r="A233" s="150"/>
      <c r="B233" s="150"/>
      <c r="C233" s="150"/>
      <c r="D233" s="150"/>
      <c r="E233" s="140" t="str">
        <f t="shared" si="10"/>
        <v/>
      </c>
      <c r="F233" s="159"/>
      <c r="G233" s="145">
        <f t="shared" si="12"/>
        <v>0</v>
      </c>
      <c r="H233" s="140" t="str">
        <f t="shared" si="11"/>
        <v/>
      </c>
      <c r="J233" s="147" t="str">
        <f>IFERROR(SUMIFS(当年实际!$V:$V,当年实际!$F:$F,$C233,当年实际!$C:$C,"&gt;="&amp;DATE(YEAR(主页!$D$2),1,1),当年实际!$C:$C,"&lt;="&amp;EOMONTH(DATE(YEAR(主页!$D$2),MONTH(主页!$D$2),1),0))/SUMIFS(当年实际!$P:$P,当年实际!$F:$F,$C233,当年实际!$C:$C,"&gt;="&amp;DATE(YEAR(主页!$D$2),1,1),当年实际!$C:$C,"&lt;="&amp;EOMONTH(DATE(YEAR(主页!$D$2),MONTH(主页!$D$2),1),0)),"")</f>
        <v/>
      </c>
    </row>
    <row r="234" spans="1:10" x14ac:dyDescent="0.3">
      <c r="A234" s="150"/>
      <c r="B234" s="150"/>
      <c r="C234" s="150"/>
      <c r="D234" s="150"/>
      <c r="E234" s="140" t="str">
        <f t="shared" si="10"/>
        <v/>
      </c>
      <c r="F234" s="159"/>
      <c r="G234" s="145">
        <f t="shared" si="12"/>
        <v>0</v>
      </c>
      <c r="H234" s="140" t="str">
        <f t="shared" si="11"/>
        <v/>
      </c>
      <c r="J234" s="147" t="str">
        <f>IFERROR(SUMIFS(当年实际!$V:$V,当年实际!$F:$F,$C234,当年实际!$C:$C,"&gt;="&amp;DATE(YEAR(主页!$D$2),1,1),当年实际!$C:$C,"&lt;="&amp;EOMONTH(DATE(YEAR(主页!$D$2),MONTH(主页!$D$2),1),0))/SUMIFS(当年实际!$P:$P,当年实际!$F:$F,$C234,当年实际!$C:$C,"&gt;="&amp;DATE(YEAR(主页!$D$2),1,1),当年实际!$C:$C,"&lt;="&amp;EOMONTH(DATE(YEAR(主页!$D$2),MONTH(主页!$D$2),1),0)),"")</f>
        <v/>
      </c>
    </row>
    <row r="235" spans="1:10" x14ac:dyDescent="0.3">
      <c r="A235" s="150"/>
      <c r="B235" s="150"/>
      <c r="C235" s="150"/>
      <c r="D235" s="150"/>
      <c r="E235" s="140" t="str">
        <f t="shared" si="10"/>
        <v/>
      </c>
      <c r="F235" s="159"/>
      <c r="G235" s="145">
        <f t="shared" si="12"/>
        <v>0</v>
      </c>
      <c r="H235" s="140" t="str">
        <f t="shared" si="11"/>
        <v/>
      </c>
      <c r="J235" s="147" t="str">
        <f>IFERROR(SUMIFS(当年实际!$V:$V,当年实际!$F:$F,$C235,当年实际!$C:$C,"&gt;="&amp;DATE(YEAR(主页!$D$2),1,1),当年实际!$C:$C,"&lt;="&amp;EOMONTH(DATE(YEAR(主页!$D$2),MONTH(主页!$D$2),1),0))/SUMIFS(当年实际!$P:$P,当年实际!$F:$F,$C235,当年实际!$C:$C,"&gt;="&amp;DATE(YEAR(主页!$D$2),1,1),当年实际!$C:$C,"&lt;="&amp;EOMONTH(DATE(YEAR(主页!$D$2),MONTH(主页!$D$2),1),0)),"")</f>
        <v/>
      </c>
    </row>
    <row r="236" spans="1:10" x14ac:dyDescent="0.3">
      <c r="A236" s="150"/>
      <c r="B236" s="150"/>
      <c r="C236" s="150"/>
      <c r="D236" s="150"/>
      <c r="E236" s="140" t="str">
        <f t="shared" si="10"/>
        <v/>
      </c>
      <c r="F236" s="159"/>
      <c r="G236" s="145">
        <f t="shared" si="12"/>
        <v>0</v>
      </c>
      <c r="H236" s="140" t="str">
        <f t="shared" si="11"/>
        <v/>
      </c>
      <c r="J236" s="147" t="str">
        <f>IFERROR(SUMIFS(当年实际!$V:$V,当年实际!$F:$F,$C236,当年实际!$C:$C,"&gt;="&amp;DATE(YEAR(主页!$D$2),1,1),当年实际!$C:$C,"&lt;="&amp;EOMONTH(DATE(YEAR(主页!$D$2),MONTH(主页!$D$2),1),0))/SUMIFS(当年实际!$P:$P,当年实际!$F:$F,$C236,当年实际!$C:$C,"&gt;="&amp;DATE(YEAR(主页!$D$2),1,1),当年实际!$C:$C,"&lt;="&amp;EOMONTH(DATE(YEAR(主页!$D$2),MONTH(主页!$D$2),1),0)),"")</f>
        <v/>
      </c>
    </row>
    <row r="237" spans="1:10" x14ac:dyDescent="0.3">
      <c r="A237" s="150"/>
      <c r="B237" s="150"/>
      <c r="C237" s="150"/>
      <c r="D237" s="150"/>
      <c r="E237" s="140" t="str">
        <f t="shared" si="10"/>
        <v/>
      </c>
      <c r="F237" s="159"/>
      <c r="G237" s="145">
        <f t="shared" si="12"/>
        <v>0</v>
      </c>
      <c r="H237" s="140" t="str">
        <f t="shared" si="11"/>
        <v/>
      </c>
      <c r="J237" s="147" t="str">
        <f>IFERROR(SUMIFS(当年实际!$V:$V,当年实际!$F:$F,$C237,当年实际!$C:$C,"&gt;="&amp;DATE(YEAR(主页!$D$2),1,1),当年实际!$C:$C,"&lt;="&amp;EOMONTH(DATE(YEAR(主页!$D$2),MONTH(主页!$D$2),1),0))/SUMIFS(当年实际!$P:$P,当年实际!$F:$F,$C237,当年实际!$C:$C,"&gt;="&amp;DATE(YEAR(主页!$D$2),1,1),当年实际!$C:$C,"&lt;="&amp;EOMONTH(DATE(YEAR(主页!$D$2),MONTH(主页!$D$2),1),0)),"")</f>
        <v/>
      </c>
    </row>
    <row r="238" spans="1:10" x14ac:dyDescent="0.3">
      <c r="A238" s="150"/>
      <c r="B238" s="150"/>
      <c r="C238" s="150"/>
      <c r="D238" s="150"/>
      <c r="E238" s="140" t="str">
        <f t="shared" si="10"/>
        <v/>
      </c>
      <c r="F238" s="159"/>
      <c r="G238" s="145">
        <f t="shared" si="12"/>
        <v>0</v>
      </c>
      <c r="H238" s="140" t="str">
        <f t="shared" si="11"/>
        <v/>
      </c>
      <c r="J238" s="147" t="str">
        <f>IFERROR(SUMIFS(当年实际!$V:$V,当年实际!$F:$F,$C238,当年实际!$C:$C,"&gt;="&amp;DATE(YEAR(主页!$D$2),1,1),当年实际!$C:$C,"&lt;="&amp;EOMONTH(DATE(YEAR(主页!$D$2),MONTH(主页!$D$2),1),0))/SUMIFS(当年实际!$P:$P,当年实际!$F:$F,$C238,当年实际!$C:$C,"&gt;="&amp;DATE(YEAR(主页!$D$2),1,1),当年实际!$C:$C,"&lt;="&amp;EOMONTH(DATE(YEAR(主页!$D$2),MONTH(主页!$D$2),1),0)),"")</f>
        <v/>
      </c>
    </row>
    <row r="239" spans="1:10" x14ac:dyDescent="0.3">
      <c r="A239" s="150"/>
      <c r="B239" s="150"/>
      <c r="C239" s="150"/>
      <c r="D239" s="150"/>
      <c r="E239" s="140" t="str">
        <f t="shared" si="10"/>
        <v/>
      </c>
      <c r="F239" s="159"/>
      <c r="G239" s="145">
        <f t="shared" si="12"/>
        <v>0</v>
      </c>
      <c r="H239" s="140" t="str">
        <f t="shared" si="11"/>
        <v/>
      </c>
      <c r="J239" s="147" t="str">
        <f>IFERROR(SUMIFS(当年实际!$V:$V,当年实际!$F:$F,$C239,当年实际!$C:$C,"&gt;="&amp;DATE(YEAR(主页!$D$2),1,1),当年实际!$C:$C,"&lt;="&amp;EOMONTH(DATE(YEAR(主页!$D$2),MONTH(主页!$D$2),1),0))/SUMIFS(当年实际!$P:$P,当年实际!$F:$F,$C239,当年实际!$C:$C,"&gt;="&amp;DATE(YEAR(主页!$D$2),1,1),当年实际!$C:$C,"&lt;="&amp;EOMONTH(DATE(YEAR(主页!$D$2),MONTH(主页!$D$2),1),0)),"")</f>
        <v/>
      </c>
    </row>
    <row r="240" spans="1:10" x14ac:dyDescent="0.3">
      <c r="A240" s="150"/>
      <c r="B240" s="150"/>
      <c r="C240" s="150"/>
      <c r="D240" s="150"/>
      <c r="E240" s="140" t="str">
        <f t="shared" si="10"/>
        <v/>
      </c>
      <c r="F240" s="159"/>
      <c r="G240" s="145">
        <f t="shared" si="12"/>
        <v>0</v>
      </c>
      <c r="H240" s="140" t="str">
        <f t="shared" si="11"/>
        <v/>
      </c>
      <c r="J240" s="147" t="str">
        <f>IFERROR(SUMIFS(当年实际!$V:$V,当年实际!$F:$F,$C240,当年实际!$C:$C,"&gt;="&amp;DATE(YEAR(主页!$D$2),1,1),当年实际!$C:$C,"&lt;="&amp;EOMONTH(DATE(YEAR(主页!$D$2),MONTH(主页!$D$2),1),0))/SUMIFS(当年实际!$P:$P,当年实际!$F:$F,$C240,当年实际!$C:$C,"&gt;="&amp;DATE(YEAR(主页!$D$2),1,1),当年实际!$C:$C,"&lt;="&amp;EOMONTH(DATE(YEAR(主页!$D$2),MONTH(主页!$D$2),1),0)),"")</f>
        <v/>
      </c>
    </row>
    <row r="241" spans="1:10" x14ac:dyDescent="0.3">
      <c r="A241" s="150"/>
      <c r="B241" s="150"/>
      <c r="C241" s="150"/>
      <c r="D241" s="150"/>
      <c r="E241" s="140" t="str">
        <f t="shared" si="10"/>
        <v/>
      </c>
      <c r="F241" s="159"/>
      <c r="G241" s="145">
        <f t="shared" si="12"/>
        <v>0</v>
      </c>
      <c r="H241" s="140" t="str">
        <f t="shared" si="11"/>
        <v/>
      </c>
      <c r="J241" s="147" t="str">
        <f>IFERROR(SUMIFS(当年实际!$V:$V,当年实际!$F:$F,$C241,当年实际!$C:$C,"&gt;="&amp;DATE(YEAR(主页!$D$2),1,1),当年实际!$C:$C,"&lt;="&amp;EOMONTH(DATE(YEAR(主页!$D$2),MONTH(主页!$D$2),1),0))/SUMIFS(当年实际!$P:$P,当年实际!$F:$F,$C241,当年实际!$C:$C,"&gt;="&amp;DATE(YEAR(主页!$D$2),1,1),当年实际!$C:$C,"&lt;="&amp;EOMONTH(DATE(YEAR(主页!$D$2),MONTH(主页!$D$2),1),0)),"")</f>
        <v/>
      </c>
    </row>
    <row r="242" spans="1:10" x14ac:dyDescent="0.3">
      <c r="A242" s="150"/>
      <c r="B242" s="150"/>
      <c r="C242" s="150"/>
      <c r="D242" s="150"/>
      <c r="E242" s="140" t="str">
        <f t="shared" si="10"/>
        <v/>
      </c>
      <c r="F242" s="159"/>
      <c r="G242" s="145">
        <f t="shared" si="12"/>
        <v>0</v>
      </c>
      <c r="H242" s="140" t="str">
        <f t="shared" si="11"/>
        <v/>
      </c>
      <c r="J242" s="147" t="str">
        <f>IFERROR(SUMIFS(当年实际!$V:$V,当年实际!$F:$F,$C242,当年实际!$C:$C,"&gt;="&amp;DATE(YEAR(主页!$D$2),1,1),当年实际!$C:$C,"&lt;="&amp;EOMONTH(DATE(YEAR(主页!$D$2),MONTH(主页!$D$2),1),0))/SUMIFS(当年实际!$P:$P,当年实际!$F:$F,$C242,当年实际!$C:$C,"&gt;="&amp;DATE(YEAR(主页!$D$2),1,1),当年实际!$C:$C,"&lt;="&amp;EOMONTH(DATE(YEAR(主页!$D$2),MONTH(主页!$D$2),1),0)),"")</f>
        <v/>
      </c>
    </row>
    <row r="243" spans="1:10" x14ac:dyDescent="0.3">
      <c r="A243" s="150"/>
      <c r="B243" s="150"/>
      <c r="C243" s="150"/>
      <c r="D243" s="150"/>
      <c r="E243" s="140" t="str">
        <f t="shared" si="10"/>
        <v/>
      </c>
      <c r="F243" s="159"/>
      <c r="G243" s="145">
        <f t="shared" si="12"/>
        <v>0</v>
      </c>
      <c r="H243" s="140" t="str">
        <f t="shared" si="11"/>
        <v/>
      </c>
      <c r="J243" s="147" t="str">
        <f>IFERROR(SUMIFS(当年实际!$V:$V,当年实际!$F:$F,$C243,当年实际!$C:$C,"&gt;="&amp;DATE(YEAR(主页!$D$2),1,1),当年实际!$C:$C,"&lt;="&amp;EOMONTH(DATE(YEAR(主页!$D$2),MONTH(主页!$D$2),1),0))/SUMIFS(当年实际!$P:$P,当年实际!$F:$F,$C243,当年实际!$C:$C,"&gt;="&amp;DATE(YEAR(主页!$D$2),1,1),当年实际!$C:$C,"&lt;="&amp;EOMONTH(DATE(YEAR(主页!$D$2),MONTH(主页!$D$2),1),0)),"")</f>
        <v/>
      </c>
    </row>
    <row r="244" spans="1:10" x14ac:dyDescent="0.3">
      <c r="A244" s="150"/>
      <c r="B244" s="150"/>
      <c r="C244" s="150"/>
      <c r="D244" s="150"/>
      <c r="E244" s="140" t="str">
        <f t="shared" si="10"/>
        <v/>
      </c>
      <c r="F244" s="159"/>
      <c r="G244" s="145">
        <f t="shared" si="12"/>
        <v>0</v>
      </c>
      <c r="H244" s="140" t="str">
        <f t="shared" si="11"/>
        <v/>
      </c>
      <c r="J244" s="147" t="str">
        <f>IFERROR(SUMIFS(当年实际!$V:$V,当年实际!$F:$F,$C244,当年实际!$C:$C,"&gt;="&amp;DATE(YEAR(主页!$D$2),1,1),当年实际!$C:$C,"&lt;="&amp;EOMONTH(DATE(YEAR(主页!$D$2),MONTH(主页!$D$2),1),0))/SUMIFS(当年实际!$P:$P,当年实际!$F:$F,$C244,当年实际!$C:$C,"&gt;="&amp;DATE(YEAR(主页!$D$2),1,1),当年实际!$C:$C,"&lt;="&amp;EOMONTH(DATE(YEAR(主页!$D$2),MONTH(主页!$D$2),1),0)),"")</f>
        <v/>
      </c>
    </row>
    <row r="245" spans="1:10" x14ac:dyDescent="0.3">
      <c r="A245" s="150"/>
      <c r="B245" s="150"/>
      <c r="C245" s="150"/>
      <c r="D245" s="150"/>
      <c r="E245" s="140" t="str">
        <f t="shared" si="10"/>
        <v/>
      </c>
      <c r="F245" s="159"/>
      <c r="G245" s="145">
        <f t="shared" si="12"/>
        <v>0</v>
      </c>
      <c r="H245" s="140" t="str">
        <f t="shared" si="11"/>
        <v/>
      </c>
      <c r="J245" s="147" t="str">
        <f>IFERROR(SUMIFS(当年实际!$V:$V,当年实际!$F:$F,$C245,当年实际!$C:$C,"&gt;="&amp;DATE(YEAR(主页!$D$2),1,1),当年实际!$C:$C,"&lt;="&amp;EOMONTH(DATE(YEAR(主页!$D$2),MONTH(主页!$D$2),1),0))/SUMIFS(当年实际!$P:$P,当年实际!$F:$F,$C245,当年实际!$C:$C,"&gt;="&amp;DATE(YEAR(主页!$D$2),1,1),当年实际!$C:$C,"&lt;="&amp;EOMONTH(DATE(YEAR(主页!$D$2),MONTH(主页!$D$2),1),0)),"")</f>
        <v/>
      </c>
    </row>
    <row r="246" spans="1:10" x14ac:dyDescent="0.3">
      <c r="A246" s="150"/>
      <c r="B246" s="150"/>
      <c r="C246" s="150"/>
      <c r="D246" s="150"/>
      <c r="E246" s="140" t="str">
        <f t="shared" si="10"/>
        <v/>
      </c>
      <c r="F246" s="159"/>
      <c r="G246" s="145">
        <f t="shared" si="12"/>
        <v>0</v>
      </c>
      <c r="H246" s="140" t="str">
        <f t="shared" si="11"/>
        <v/>
      </c>
      <c r="J246" s="147" t="str">
        <f>IFERROR(SUMIFS(当年实际!$V:$V,当年实际!$F:$F,$C246,当年实际!$C:$C,"&gt;="&amp;DATE(YEAR(主页!$D$2),1,1),当年实际!$C:$C,"&lt;="&amp;EOMONTH(DATE(YEAR(主页!$D$2),MONTH(主页!$D$2),1),0))/SUMIFS(当年实际!$P:$P,当年实际!$F:$F,$C246,当年实际!$C:$C,"&gt;="&amp;DATE(YEAR(主页!$D$2),1,1),当年实际!$C:$C,"&lt;="&amp;EOMONTH(DATE(YEAR(主页!$D$2),MONTH(主页!$D$2),1),0)),"")</f>
        <v/>
      </c>
    </row>
    <row r="247" spans="1:10" x14ac:dyDescent="0.3">
      <c r="A247" s="150"/>
      <c r="B247" s="150"/>
      <c r="C247" s="150"/>
      <c r="D247" s="150"/>
      <c r="E247" s="140" t="str">
        <f t="shared" si="10"/>
        <v/>
      </c>
      <c r="F247" s="159"/>
      <c r="G247" s="145">
        <f t="shared" si="12"/>
        <v>0</v>
      </c>
      <c r="H247" s="140" t="str">
        <f t="shared" si="11"/>
        <v/>
      </c>
      <c r="J247" s="147" t="str">
        <f>IFERROR(SUMIFS(当年实际!$V:$V,当年实际!$F:$F,$C247,当年实际!$C:$C,"&gt;="&amp;DATE(YEAR(主页!$D$2),1,1),当年实际!$C:$C,"&lt;="&amp;EOMONTH(DATE(YEAR(主页!$D$2),MONTH(主页!$D$2),1),0))/SUMIFS(当年实际!$P:$P,当年实际!$F:$F,$C247,当年实际!$C:$C,"&gt;="&amp;DATE(YEAR(主页!$D$2),1,1),当年实际!$C:$C,"&lt;="&amp;EOMONTH(DATE(YEAR(主页!$D$2),MONTH(主页!$D$2),1),0)),"")</f>
        <v/>
      </c>
    </row>
    <row r="248" spans="1:10" x14ac:dyDescent="0.3">
      <c r="A248" s="150"/>
      <c r="B248" s="150"/>
      <c r="C248" s="150"/>
      <c r="D248" s="150"/>
      <c r="E248" s="140" t="str">
        <f t="shared" si="10"/>
        <v/>
      </c>
      <c r="F248" s="159"/>
      <c r="G248" s="145">
        <f t="shared" si="12"/>
        <v>0</v>
      </c>
      <c r="H248" s="140" t="str">
        <f t="shared" si="11"/>
        <v/>
      </c>
      <c r="J248" s="147" t="str">
        <f>IFERROR(SUMIFS(当年实际!$V:$V,当年实际!$F:$F,$C248,当年实际!$C:$C,"&gt;="&amp;DATE(YEAR(主页!$D$2),1,1),当年实际!$C:$C,"&lt;="&amp;EOMONTH(DATE(YEAR(主页!$D$2),MONTH(主页!$D$2),1),0))/SUMIFS(当年实际!$P:$P,当年实际!$F:$F,$C248,当年实际!$C:$C,"&gt;="&amp;DATE(YEAR(主页!$D$2),1,1),当年实际!$C:$C,"&lt;="&amp;EOMONTH(DATE(YEAR(主页!$D$2),MONTH(主页!$D$2),1),0)),"")</f>
        <v/>
      </c>
    </row>
    <row r="249" spans="1:10" x14ac:dyDescent="0.3">
      <c r="A249" s="150"/>
      <c r="B249" s="150"/>
      <c r="C249" s="150"/>
      <c r="D249" s="150"/>
      <c r="E249" s="140" t="str">
        <f t="shared" si="10"/>
        <v/>
      </c>
      <c r="F249" s="159"/>
      <c r="G249" s="145">
        <f t="shared" si="12"/>
        <v>0</v>
      </c>
      <c r="H249" s="140" t="str">
        <f t="shared" si="11"/>
        <v/>
      </c>
      <c r="J249" s="147" t="str">
        <f>IFERROR(SUMIFS(当年实际!$V:$V,当年实际!$F:$F,$C249,当年实际!$C:$C,"&gt;="&amp;DATE(YEAR(主页!$D$2),1,1),当年实际!$C:$C,"&lt;="&amp;EOMONTH(DATE(YEAR(主页!$D$2),MONTH(主页!$D$2),1),0))/SUMIFS(当年实际!$P:$P,当年实际!$F:$F,$C249,当年实际!$C:$C,"&gt;="&amp;DATE(YEAR(主页!$D$2),1,1),当年实际!$C:$C,"&lt;="&amp;EOMONTH(DATE(YEAR(主页!$D$2),MONTH(主页!$D$2),1),0)),"")</f>
        <v/>
      </c>
    </row>
    <row r="250" spans="1:10" x14ac:dyDescent="0.3">
      <c r="A250" s="150"/>
      <c r="B250" s="150"/>
      <c r="C250" s="150"/>
      <c r="D250" s="150"/>
      <c r="E250" s="140" t="str">
        <f t="shared" si="10"/>
        <v/>
      </c>
      <c r="F250" s="159"/>
      <c r="G250" s="145">
        <f t="shared" si="12"/>
        <v>0</v>
      </c>
      <c r="H250" s="140" t="str">
        <f t="shared" si="11"/>
        <v/>
      </c>
      <c r="J250" s="147" t="str">
        <f>IFERROR(SUMIFS(当年实际!$V:$V,当年实际!$F:$F,$C250,当年实际!$C:$C,"&gt;="&amp;DATE(YEAR(主页!$D$2),1,1),当年实际!$C:$C,"&lt;="&amp;EOMONTH(DATE(YEAR(主页!$D$2),MONTH(主页!$D$2),1),0))/SUMIFS(当年实际!$P:$P,当年实际!$F:$F,$C250,当年实际!$C:$C,"&gt;="&amp;DATE(YEAR(主页!$D$2),1,1),当年实际!$C:$C,"&lt;="&amp;EOMONTH(DATE(YEAR(主页!$D$2),MONTH(主页!$D$2),1),0)),"")</f>
        <v/>
      </c>
    </row>
    <row r="251" spans="1:10" x14ac:dyDescent="0.3">
      <c r="A251" s="150"/>
      <c r="B251" s="150"/>
      <c r="C251" s="150"/>
      <c r="D251" s="150"/>
      <c r="E251" s="140" t="str">
        <f t="shared" si="10"/>
        <v/>
      </c>
      <c r="F251" s="159"/>
      <c r="G251" s="145">
        <f t="shared" si="12"/>
        <v>0</v>
      </c>
      <c r="H251" s="140" t="str">
        <f t="shared" si="11"/>
        <v/>
      </c>
      <c r="J251" s="147" t="str">
        <f>IFERROR(SUMIFS(当年实际!$V:$V,当年实际!$F:$F,$C251,当年实际!$C:$C,"&gt;="&amp;DATE(YEAR(主页!$D$2),1,1),当年实际!$C:$C,"&lt;="&amp;EOMONTH(DATE(YEAR(主页!$D$2),MONTH(主页!$D$2),1),0))/SUMIFS(当年实际!$P:$P,当年实际!$F:$F,$C251,当年实际!$C:$C,"&gt;="&amp;DATE(YEAR(主页!$D$2),1,1),当年实际!$C:$C,"&lt;="&amp;EOMONTH(DATE(YEAR(主页!$D$2),MONTH(主页!$D$2),1),0)),"")</f>
        <v/>
      </c>
    </row>
    <row r="252" spans="1:10" x14ac:dyDescent="0.3">
      <c r="A252" s="150"/>
      <c r="B252" s="150"/>
      <c r="C252" s="150"/>
      <c r="D252" s="150"/>
      <c r="E252" s="140" t="str">
        <f t="shared" si="10"/>
        <v/>
      </c>
      <c r="F252" s="159"/>
      <c r="G252" s="145">
        <f t="shared" si="12"/>
        <v>0</v>
      </c>
      <c r="H252" s="140" t="str">
        <f t="shared" si="11"/>
        <v/>
      </c>
      <c r="J252" s="147" t="str">
        <f>IFERROR(SUMIFS(当年实际!$V:$V,当年实际!$F:$F,$C252,当年实际!$C:$C,"&gt;="&amp;DATE(YEAR(主页!$D$2),1,1),当年实际!$C:$C,"&lt;="&amp;EOMONTH(DATE(YEAR(主页!$D$2),MONTH(主页!$D$2),1),0))/SUMIFS(当年实际!$P:$P,当年实际!$F:$F,$C252,当年实际!$C:$C,"&gt;="&amp;DATE(YEAR(主页!$D$2),1,1),当年实际!$C:$C,"&lt;="&amp;EOMONTH(DATE(YEAR(主页!$D$2),MONTH(主页!$D$2),1),0)),"")</f>
        <v/>
      </c>
    </row>
    <row r="253" spans="1:10" x14ac:dyDescent="0.3">
      <c r="A253" s="150"/>
      <c r="B253" s="150"/>
      <c r="C253" s="150"/>
      <c r="D253" s="150"/>
      <c r="E253" s="140" t="str">
        <f t="shared" si="10"/>
        <v/>
      </c>
      <c r="F253" s="159"/>
      <c r="G253" s="145">
        <f t="shared" si="12"/>
        <v>0</v>
      </c>
      <c r="H253" s="140" t="str">
        <f t="shared" si="11"/>
        <v/>
      </c>
      <c r="J253" s="147" t="str">
        <f>IFERROR(SUMIFS(当年实际!$V:$V,当年实际!$F:$F,$C253,当年实际!$C:$C,"&gt;="&amp;DATE(YEAR(主页!$D$2),1,1),当年实际!$C:$C,"&lt;="&amp;EOMONTH(DATE(YEAR(主页!$D$2),MONTH(主页!$D$2),1),0))/SUMIFS(当年实际!$P:$P,当年实际!$F:$F,$C253,当年实际!$C:$C,"&gt;="&amp;DATE(YEAR(主页!$D$2),1,1),当年实际!$C:$C,"&lt;="&amp;EOMONTH(DATE(YEAR(主页!$D$2),MONTH(主页!$D$2),1),0)),"")</f>
        <v/>
      </c>
    </row>
    <row r="254" spans="1:10" x14ac:dyDescent="0.3">
      <c r="A254" s="150"/>
      <c r="B254" s="150"/>
      <c r="C254" s="150"/>
      <c r="D254" s="150"/>
      <c r="E254" s="140" t="str">
        <f t="shared" si="10"/>
        <v/>
      </c>
      <c r="F254" s="159"/>
      <c r="G254" s="145">
        <f t="shared" si="12"/>
        <v>0</v>
      </c>
      <c r="H254" s="140" t="str">
        <f t="shared" si="11"/>
        <v/>
      </c>
      <c r="J254" s="147" t="str">
        <f>IFERROR(SUMIFS(当年实际!$V:$V,当年实际!$F:$F,$C254,当年实际!$C:$C,"&gt;="&amp;DATE(YEAR(主页!$D$2),1,1),当年实际!$C:$C,"&lt;="&amp;EOMONTH(DATE(YEAR(主页!$D$2),MONTH(主页!$D$2),1),0))/SUMIFS(当年实际!$P:$P,当年实际!$F:$F,$C254,当年实际!$C:$C,"&gt;="&amp;DATE(YEAR(主页!$D$2),1,1),当年实际!$C:$C,"&lt;="&amp;EOMONTH(DATE(YEAR(主页!$D$2),MONTH(主页!$D$2),1),0)),"")</f>
        <v/>
      </c>
    </row>
    <row r="255" spans="1:10" x14ac:dyDescent="0.3">
      <c r="A255" s="150"/>
      <c r="B255" s="150"/>
      <c r="C255" s="150"/>
      <c r="D255" s="150"/>
      <c r="E255" s="140" t="str">
        <f t="shared" si="10"/>
        <v/>
      </c>
      <c r="F255" s="159"/>
      <c r="G255" s="145">
        <f t="shared" si="12"/>
        <v>0</v>
      </c>
      <c r="H255" s="140" t="str">
        <f t="shared" si="11"/>
        <v/>
      </c>
      <c r="J255" s="147" t="str">
        <f>IFERROR(SUMIFS(当年实际!$V:$V,当年实际!$F:$F,$C255,当年实际!$C:$C,"&gt;="&amp;DATE(YEAR(主页!$D$2),1,1),当年实际!$C:$C,"&lt;="&amp;EOMONTH(DATE(YEAR(主页!$D$2),MONTH(主页!$D$2),1),0))/SUMIFS(当年实际!$P:$P,当年实际!$F:$F,$C255,当年实际!$C:$C,"&gt;="&amp;DATE(YEAR(主页!$D$2),1,1),当年实际!$C:$C,"&lt;="&amp;EOMONTH(DATE(YEAR(主页!$D$2),MONTH(主页!$D$2),1),0)),"")</f>
        <v/>
      </c>
    </row>
    <row r="256" spans="1:10" x14ac:dyDescent="0.3">
      <c r="A256" s="150"/>
      <c r="B256" s="150"/>
      <c r="C256" s="150"/>
      <c r="D256" s="150"/>
      <c r="E256" s="140" t="str">
        <f t="shared" si="10"/>
        <v/>
      </c>
      <c r="F256" s="159"/>
      <c r="G256" s="145">
        <f t="shared" si="12"/>
        <v>0</v>
      </c>
      <c r="H256" s="140" t="str">
        <f t="shared" si="11"/>
        <v/>
      </c>
      <c r="J256" s="147" t="str">
        <f>IFERROR(SUMIFS(当年实际!$V:$V,当年实际!$F:$F,$C256,当年实际!$C:$C,"&gt;="&amp;DATE(YEAR(主页!$D$2),1,1),当年实际!$C:$C,"&lt;="&amp;EOMONTH(DATE(YEAR(主页!$D$2),MONTH(主页!$D$2),1),0))/SUMIFS(当年实际!$P:$P,当年实际!$F:$F,$C256,当年实际!$C:$C,"&gt;="&amp;DATE(YEAR(主页!$D$2),1,1),当年实际!$C:$C,"&lt;="&amp;EOMONTH(DATE(YEAR(主页!$D$2),MONTH(主页!$D$2),1),0)),"")</f>
        <v/>
      </c>
    </row>
    <row r="257" spans="1:10" x14ac:dyDescent="0.3">
      <c r="A257" s="150"/>
      <c r="B257" s="150"/>
      <c r="C257" s="150"/>
      <c r="D257" s="150"/>
      <c r="E257" s="140" t="str">
        <f t="shared" si="10"/>
        <v/>
      </c>
      <c r="F257" s="159"/>
      <c r="G257" s="145">
        <f t="shared" si="12"/>
        <v>0</v>
      </c>
      <c r="H257" s="140" t="str">
        <f t="shared" si="11"/>
        <v/>
      </c>
      <c r="J257" s="147" t="str">
        <f>IFERROR(SUMIFS(当年实际!$V:$V,当年实际!$F:$F,$C257,当年实际!$C:$C,"&gt;="&amp;DATE(YEAR(主页!$D$2),1,1),当年实际!$C:$C,"&lt;="&amp;EOMONTH(DATE(YEAR(主页!$D$2),MONTH(主页!$D$2),1),0))/SUMIFS(当年实际!$P:$P,当年实际!$F:$F,$C257,当年实际!$C:$C,"&gt;="&amp;DATE(YEAR(主页!$D$2),1,1),当年实际!$C:$C,"&lt;="&amp;EOMONTH(DATE(YEAR(主页!$D$2),MONTH(主页!$D$2),1),0)),"")</f>
        <v/>
      </c>
    </row>
    <row r="258" spans="1:10" x14ac:dyDescent="0.3">
      <c r="A258" s="150"/>
      <c r="B258" s="150"/>
      <c r="C258" s="150"/>
      <c r="D258" s="150"/>
      <c r="E258" s="140" t="str">
        <f t="shared" si="10"/>
        <v/>
      </c>
      <c r="F258" s="159"/>
      <c r="G258" s="145">
        <f t="shared" si="12"/>
        <v>0</v>
      </c>
      <c r="H258" s="140" t="str">
        <f t="shared" si="11"/>
        <v/>
      </c>
      <c r="J258" s="147" t="str">
        <f>IFERROR(SUMIFS(当年实际!$V:$V,当年实际!$F:$F,$C258,当年实际!$C:$C,"&gt;="&amp;DATE(YEAR(主页!$D$2),1,1),当年实际!$C:$C,"&lt;="&amp;EOMONTH(DATE(YEAR(主页!$D$2),MONTH(主页!$D$2),1),0))/SUMIFS(当年实际!$P:$P,当年实际!$F:$F,$C258,当年实际!$C:$C,"&gt;="&amp;DATE(YEAR(主页!$D$2),1,1),当年实际!$C:$C,"&lt;="&amp;EOMONTH(DATE(YEAR(主页!$D$2),MONTH(主页!$D$2),1),0)),"")</f>
        <v/>
      </c>
    </row>
    <row r="259" spans="1:10" x14ac:dyDescent="0.3">
      <c r="A259" s="150"/>
      <c r="B259" s="150"/>
      <c r="C259" s="150"/>
      <c r="D259" s="150"/>
      <c r="E259" s="140" t="str">
        <f t="shared" si="10"/>
        <v/>
      </c>
      <c r="F259" s="159"/>
      <c r="G259" s="145">
        <f t="shared" si="12"/>
        <v>0</v>
      </c>
      <c r="H259" s="140" t="str">
        <f t="shared" si="11"/>
        <v/>
      </c>
      <c r="J259" s="147" t="str">
        <f>IFERROR(SUMIFS(当年实际!$V:$V,当年实际!$F:$F,$C259,当年实际!$C:$C,"&gt;="&amp;DATE(YEAR(主页!$D$2),1,1),当年实际!$C:$C,"&lt;="&amp;EOMONTH(DATE(YEAR(主页!$D$2),MONTH(主页!$D$2),1),0))/SUMIFS(当年实际!$P:$P,当年实际!$F:$F,$C259,当年实际!$C:$C,"&gt;="&amp;DATE(YEAR(主页!$D$2),1,1),当年实际!$C:$C,"&lt;="&amp;EOMONTH(DATE(YEAR(主页!$D$2),MONTH(主页!$D$2),1),0)),"")</f>
        <v/>
      </c>
    </row>
    <row r="260" spans="1:10" x14ac:dyDescent="0.3">
      <c r="A260" s="150"/>
      <c r="B260" s="150"/>
      <c r="C260" s="150"/>
      <c r="D260" s="150"/>
      <c r="E260" s="140" t="str">
        <f t="shared" ref="E260:E323" si="13">IF(D260/SUM(D:D)=0,"",D260/SUM(D:D))</f>
        <v/>
      </c>
      <c r="F260" s="159"/>
      <c r="G260" s="145">
        <f t="shared" si="12"/>
        <v>0</v>
      </c>
      <c r="H260" s="140" t="str">
        <f t="shared" ref="H260:H323" si="14">IF(G260/SUM(G:G)=0,"",G260/SUM(G:G))</f>
        <v/>
      </c>
      <c r="J260" s="147" t="str">
        <f>IFERROR(SUMIFS(当年实际!$V:$V,当年实际!$F:$F,$C260,当年实际!$C:$C,"&gt;="&amp;DATE(YEAR(主页!$D$2),1,1),当年实际!$C:$C,"&lt;="&amp;EOMONTH(DATE(YEAR(主页!$D$2),MONTH(主页!$D$2),1),0))/SUMIFS(当年实际!$P:$P,当年实际!$F:$F,$C260,当年实际!$C:$C,"&gt;="&amp;DATE(YEAR(主页!$D$2),1,1),当年实际!$C:$C,"&lt;="&amp;EOMONTH(DATE(YEAR(主页!$D$2),MONTH(主页!$D$2),1),0)),"")</f>
        <v/>
      </c>
    </row>
    <row r="261" spans="1:10" x14ac:dyDescent="0.3">
      <c r="A261" s="150"/>
      <c r="B261" s="150"/>
      <c r="C261" s="150"/>
      <c r="D261" s="150"/>
      <c r="E261" s="140" t="str">
        <f t="shared" si="13"/>
        <v/>
      </c>
      <c r="F261" s="159"/>
      <c r="G261" s="145">
        <f t="shared" si="12"/>
        <v>0</v>
      </c>
      <c r="H261" s="140" t="str">
        <f t="shared" si="14"/>
        <v/>
      </c>
      <c r="J261" s="147" t="str">
        <f>IFERROR(SUMIFS(当年实际!$V:$V,当年实际!$F:$F,$C261,当年实际!$C:$C,"&gt;="&amp;DATE(YEAR(主页!$D$2),1,1),当年实际!$C:$C,"&lt;="&amp;EOMONTH(DATE(YEAR(主页!$D$2),MONTH(主页!$D$2),1),0))/SUMIFS(当年实际!$P:$P,当年实际!$F:$F,$C261,当年实际!$C:$C,"&gt;="&amp;DATE(YEAR(主页!$D$2),1,1),当年实际!$C:$C,"&lt;="&amp;EOMONTH(DATE(YEAR(主页!$D$2),MONTH(主页!$D$2),1),0)),"")</f>
        <v/>
      </c>
    </row>
    <row r="262" spans="1:10" x14ac:dyDescent="0.3">
      <c r="A262" s="150"/>
      <c r="B262" s="150"/>
      <c r="C262" s="150"/>
      <c r="D262" s="150"/>
      <c r="E262" s="140" t="str">
        <f t="shared" si="13"/>
        <v/>
      </c>
      <c r="F262" s="159"/>
      <c r="G262" s="145">
        <f t="shared" si="12"/>
        <v>0</v>
      </c>
      <c r="H262" s="140" t="str">
        <f t="shared" si="14"/>
        <v/>
      </c>
      <c r="J262" s="147" t="str">
        <f>IFERROR(SUMIFS(当年实际!$V:$V,当年实际!$F:$F,$C262,当年实际!$C:$C,"&gt;="&amp;DATE(YEAR(主页!$D$2),1,1),当年实际!$C:$C,"&lt;="&amp;EOMONTH(DATE(YEAR(主页!$D$2),MONTH(主页!$D$2),1),0))/SUMIFS(当年实际!$P:$P,当年实际!$F:$F,$C262,当年实际!$C:$C,"&gt;="&amp;DATE(YEAR(主页!$D$2),1,1),当年实际!$C:$C,"&lt;="&amp;EOMONTH(DATE(YEAR(主页!$D$2),MONTH(主页!$D$2),1),0)),"")</f>
        <v/>
      </c>
    </row>
    <row r="263" spans="1:10" x14ac:dyDescent="0.3">
      <c r="A263" s="150"/>
      <c r="B263" s="150"/>
      <c r="C263" s="150"/>
      <c r="D263" s="150"/>
      <c r="E263" s="140" t="str">
        <f t="shared" si="13"/>
        <v/>
      </c>
      <c r="F263" s="159"/>
      <c r="G263" s="145">
        <f t="shared" si="12"/>
        <v>0</v>
      </c>
      <c r="H263" s="140" t="str">
        <f t="shared" si="14"/>
        <v/>
      </c>
      <c r="J263" s="147" t="str">
        <f>IFERROR(SUMIFS(当年实际!$V:$V,当年实际!$F:$F,$C263,当年实际!$C:$C,"&gt;="&amp;DATE(YEAR(主页!$D$2),1,1),当年实际!$C:$C,"&lt;="&amp;EOMONTH(DATE(YEAR(主页!$D$2),MONTH(主页!$D$2),1),0))/SUMIFS(当年实际!$P:$P,当年实际!$F:$F,$C263,当年实际!$C:$C,"&gt;="&amp;DATE(YEAR(主页!$D$2),1,1),当年实际!$C:$C,"&lt;="&amp;EOMONTH(DATE(YEAR(主页!$D$2),MONTH(主页!$D$2),1),0)),"")</f>
        <v/>
      </c>
    </row>
    <row r="264" spans="1:10" x14ac:dyDescent="0.3">
      <c r="A264" s="150"/>
      <c r="B264" s="150"/>
      <c r="C264" s="150"/>
      <c r="D264" s="150"/>
      <c r="E264" s="140" t="str">
        <f t="shared" si="13"/>
        <v/>
      </c>
      <c r="F264" s="159"/>
      <c r="G264" s="145">
        <f t="shared" ref="G264:G327" si="15">D264*F264</f>
        <v>0</v>
      </c>
      <c r="H264" s="140" t="str">
        <f t="shared" si="14"/>
        <v/>
      </c>
      <c r="J264" s="147" t="str">
        <f>IFERROR(SUMIFS(当年实际!$V:$V,当年实际!$F:$F,$C264,当年实际!$C:$C,"&gt;="&amp;DATE(YEAR(主页!$D$2),1,1),当年实际!$C:$C,"&lt;="&amp;EOMONTH(DATE(YEAR(主页!$D$2),MONTH(主页!$D$2),1),0))/SUMIFS(当年实际!$P:$P,当年实际!$F:$F,$C264,当年实际!$C:$C,"&gt;="&amp;DATE(YEAR(主页!$D$2),1,1),当年实际!$C:$C,"&lt;="&amp;EOMONTH(DATE(YEAR(主页!$D$2),MONTH(主页!$D$2),1),0)),"")</f>
        <v/>
      </c>
    </row>
    <row r="265" spans="1:10" x14ac:dyDescent="0.3">
      <c r="A265" s="150"/>
      <c r="B265" s="150"/>
      <c r="C265" s="150"/>
      <c r="D265" s="150"/>
      <c r="E265" s="140" t="str">
        <f t="shared" si="13"/>
        <v/>
      </c>
      <c r="F265" s="159"/>
      <c r="G265" s="145">
        <f t="shared" si="15"/>
        <v>0</v>
      </c>
      <c r="H265" s="140" t="str">
        <f t="shared" si="14"/>
        <v/>
      </c>
      <c r="J265" s="147" t="str">
        <f>IFERROR(SUMIFS(当年实际!$V:$V,当年实际!$F:$F,$C265,当年实际!$C:$C,"&gt;="&amp;DATE(YEAR(主页!$D$2),1,1),当年实际!$C:$C,"&lt;="&amp;EOMONTH(DATE(YEAR(主页!$D$2),MONTH(主页!$D$2),1),0))/SUMIFS(当年实际!$P:$P,当年实际!$F:$F,$C265,当年实际!$C:$C,"&gt;="&amp;DATE(YEAR(主页!$D$2),1,1),当年实际!$C:$C,"&lt;="&amp;EOMONTH(DATE(YEAR(主页!$D$2),MONTH(主页!$D$2),1),0)),"")</f>
        <v/>
      </c>
    </row>
    <row r="266" spans="1:10" x14ac:dyDescent="0.3">
      <c r="A266" s="150"/>
      <c r="B266" s="150"/>
      <c r="C266" s="150"/>
      <c r="D266" s="150"/>
      <c r="E266" s="140" t="str">
        <f t="shared" si="13"/>
        <v/>
      </c>
      <c r="F266" s="159"/>
      <c r="G266" s="145">
        <f t="shared" si="15"/>
        <v>0</v>
      </c>
      <c r="H266" s="140" t="str">
        <f t="shared" si="14"/>
        <v/>
      </c>
      <c r="J266" s="147" t="str">
        <f>IFERROR(SUMIFS(当年实际!$V:$V,当年实际!$F:$F,$C266,当年实际!$C:$C,"&gt;="&amp;DATE(YEAR(主页!$D$2),1,1),当年实际!$C:$C,"&lt;="&amp;EOMONTH(DATE(YEAR(主页!$D$2),MONTH(主页!$D$2),1),0))/SUMIFS(当年实际!$P:$P,当年实际!$F:$F,$C266,当年实际!$C:$C,"&gt;="&amp;DATE(YEAR(主页!$D$2),1,1),当年实际!$C:$C,"&lt;="&amp;EOMONTH(DATE(YEAR(主页!$D$2),MONTH(主页!$D$2),1),0)),"")</f>
        <v/>
      </c>
    </row>
    <row r="267" spans="1:10" x14ac:dyDescent="0.3">
      <c r="A267" s="150"/>
      <c r="B267" s="150"/>
      <c r="C267" s="150"/>
      <c r="D267" s="150"/>
      <c r="E267" s="140" t="str">
        <f t="shared" si="13"/>
        <v/>
      </c>
      <c r="F267" s="159"/>
      <c r="G267" s="145">
        <f t="shared" si="15"/>
        <v>0</v>
      </c>
      <c r="H267" s="140" t="str">
        <f t="shared" si="14"/>
        <v/>
      </c>
      <c r="J267" s="147" t="str">
        <f>IFERROR(SUMIFS(当年实际!$V:$V,当年实际!$F:$F,$C267,当年实际!$C:$C,"&gt;="&amp;DATE(YEAR(主页!$D$2),1,1),当年实际!$C:$C,"&lt;="&amp;EOMONTH(DATE(YEAR(主页!$D$2),MONTH(主页!$D$2),1),0))/SUMIFS(当年实际!$P:$P,当年实际!$F:$F,$C267,当年实际!$C:$C,"&gt;="&amp;DATE(YEAR(主页!$D$2),1,1),当年实际!$C:$C,"&lt;="&amp;EOMONTH(DATE(YEAR(主页!$D$2),MONTH(主页!$D$2),1),0)),"")</f>
        <v/>
      </c>
    </row>
    <row r="268" spans="1:10" x14ac:dyDescent="0.3">
      <c r="A268" s="150"/>
      <c r="B268" s="150"/>
      <c r="C268" s="150"/>
      <c r="D268" s="150"/>
      <c r="E268" s="140" t="str">
        <f t="shared" si="13"/>
        <v/>
      </c>
      <c r="F268" s="159"/>
      <c r="G268" s="145">
        <f t="shared" si="15"/>
        <v>0</v>
      </c>
      <c r="H268" s="140" t="str">
        <f t="shared" si="14"/>
        <v/>
      </c>
      <c r="J268" s="147" t="str">
        <f>IFERROR(SUMIFS(当年实际!$V:$V,当年实际!$F:$F,$C268,当年实际!$C:$C,"&gt;="&amp;DATE(YEAR(主页!$D$2),1,1),当年实际!$C:$C,"&lt;="&amp;EOMONTH(DATE(YEAR(主页!$D$2),MONTH(主页!$D$2),1),0))/SUMIFS(当年实际!$P:$P,当年实际!$F:$F,$C268,当年实际!$C:$C,"&gt;="&amp;DATE(YEAR(主页!$D$2),1,1),当年实际!$C:$C,"&lt;="&amp;EOMONTH(DATE(YEAR(主页!$D$2),MONTH(主页!$D$2),1),0)),"")</f>
        <v/>
      </c>
    </row>
    <row r="269" spans="1:10" x14ac:dyDescent="0.3">
      <c r="A269" s="150"/>
      <c r="B269" s="150"/>
      <c r="C269" s="150"/>
      <c r="D269" s="150"/>
      <c r="E269" s="140" t="str">
        <f t="shared" si="13"/>
        <v/>
      </c>
      <c r="F269" s="159"/>
      <c r="G269" s="145">
        <f t="shared" si="15"/>
        <v>0</v>
      </c>
      <c r="H269" s="140" t="str">
        <f t="shared" si="14"/>
        <v/>
      </c>
      <c r="J269" s="147" t="str">
        <f>IFERROR(SUMIFS(当年实际!$V:$V,当年实际!$F:$F,$C269,当年实际!$C:$C,"&gt;="&amp;DATE(YEAR(主页!$D$2),1,1),当年实际!$C:$C,"&lt;="&amp;EOMONTH(DATE(YEAR(主页!$D$2),MONTH(主页!$D$2),1),0))/SUMIFS(当年实际!$P:$P,当年实际!$F:$F,$C269,当年实际!$C:$C,"&gt;="&amp;DATE(YEAR(主页!$D$2),1,1),当年实际!$C:$C,"&lt;="&amp;EOMONTH(DATE(YEAR(主页!$D$2),MONTH(主页!$D$2),1),0)),"")</f>
        <v/>
      </c>
    </row>
    <row r="270" spans="1:10" x14ac:dyDescent="0.3">
      <c r="A270" s="150"/>
      <c r="B270" s="150"/>
      <c r="C270" s="150"/>
      <c r="D270" s="150"/>
      <c r="E270" s="140" t="str">
        <f t="shared" si="13"/>
        <v/>
      </c>
      <c r="F270" s="159"/>
      <c r="G270" s="145">
        <f t="shared" si="15"/>
        <v>0</v>
      </c>
      <c r="H270" s="140" t="str">
        <f t="shared" si="14"/>
        <v/>
      </c>
      <c r="J270" s="147" t="str">
        <f>IFERROR(SUMIFS(当年实际!$V:$V,当年实际!$F:$F,$C270,当年实际!$C:$C,"&gt;="&amp;DATE(YEAR(主页!$D$2),1,1),当年实际!$C:$C,"&lt;="&amp;EOMONTH(DATE(YEAR(主页!$D$2),MONTH(主页!$D$2),1),0))/SUMIFS(当年实际!$P:$P,当年实际!$F:$F,$C270,当年实际!$C:$C,"&gt;="&amp;DATE(YEAR(主页!$D$2),1,1),当年实际!$C:$C,"&lt;="&amp;EOMONTH(DATE(YEAR(主页!$D$2),MONTH(主页!$D$2),1),0)),"")</f>
        <v/>
      </c>
    </row>
    <row r="271" spans="1:10" x14ac:dyDescent="0.3">
      <c r="A271" s="150"/>
      <c r="B271" s="150"/>
      <c r="C271" s="150"/>
      <c r="D271" s="150"/>
      <c r="E271" s="140" t="str">
        <f t="shared" si="13"/>
        <v/>
      </c>
      <c r="F271" s="159"/>
      <c r="G271" s="145">
        <f t="shared" si="15"/>
        <v>0</v>
      </c>
      <c r="H271" s="140" t="str">
        <f t="shared" si="14"/>
        <v/>
      </c>
      <c r="J271" s="147" t="str">
        <f>IFERROR(SUMIFS(当年实际!$V:$V,当年实际!$F:$F,$C271,当年实际!$C:$C,"&gt;="&amp;DATE(YEAR(主页!$D$2),1,1),当年实际!$C:$C,"&lt;="&amp;EOMONTH(DATE(YEAR(主页!$D$2),MONTH(主页!$D$2),1),0))/SUMIFS(当年实际!$P:$P,当年实际!$F:$F,$C271,当年实际!$C:$C,"&gt;="&amp;DATE(YEAR(主页!$D$2),1,1),当年实际!$C:$C,"&lt;="&amp;EOMONTH(DATE(YEAR(主页!$D$2),MONTH(主页!$D$2),1),0)),"")</f>
        <v/>
      </c>
    </row>
    <row r="272" spans="1:10" x14ac:dyDescent="0.3">
      <c r="A272" s="150"/>
      <c r="B272" s="150"/>
      <c r="C272" s="150"/>
      <c r="D272" s="150"/>
      <c r="E272" s="140" t="str">
        <f t="shared" si="13"/>
        <v/>
      </c>
      <c r="F272" s="159"/>
      <c r="G272" s="145">
        <f t="shared" si="15"/>
        <v>0</v>
      </c>
      <c r="H272" s="140" t="str">
        <f t="shared" si="14"/>
        <v/>
      </c>
      <c r="J272" s="147" t="str">
        <f>IFERROR(SUMIFS(当年实际!$V:$V,当年实际!$F:$F,$C272,当年实际!$C:$C,"&gt;="&amp;DATE(YEAR(主页!$D$2),1,1),当年实际!$C:$C,"&lt;="&amp;EOMONTH(DATE(YEAR(主页!$D$2),MONTH(主页!$D$2),1),0))/SUMIFS(当年实际!$P:$P,当年实际!$F:$F,$C272,当年实际!$C:$C,"&gt;="&amp;DATE(YEAR(主页!$D$2),1,1),当年实际!$C:$C,"&lt;="&amp;EOMONTH(DATE(YEAR(主页!$D$2),MONTH(主页!$D$2),1),0)),"")</f>
        <v/>
      </c>
    </row>
    <row r="273" spans="1:10" x14ac:dyDescent="0.3">
      <c r="A273" s="150"/>
      <c r="B273" s="150"/>
      <c r="C273" s="150"/>
      <c r="D273" s="150"/>
      <c r="E273" s="140" t="str">
        <f t="shared" si="13"/>
        <v/>
      </c>
      <c r="F273" s="159"/>
      <c r="G273" s="145">
        <f t="shared" si="15"/>
        <v>0</v>
      </c>
      <c r="H273" s="140" t="str">
        <f t="shared" si="14"/>
        <v/>
      </c>
      <c r="J273" s="147" t="str">
        <f>IFERROR(SUMIFS(当年实际!$V:$V,当年实际!$F:$F,$C273,当年实际!$C:$C,"&gt;="&amp;DATE(YEAR(主页!$D$2),1,1),当年实际!$C:$C,"&lt;="&amp;EOMONTH(DATE(YEAR(主页!$D$2),MONTH(主页!$D$2),1),0))/SUMIFS(当年实际!$P:$P,当年实际!$F:$F,$C273,当年实际!$C:$C,"&gt;="&amp;DATE(YEAR(主页!$D$2),1,1),当年实际!$C:$C,"&lt;="&amp;EOMONTH(DATE(YEAR(主页!$D$2),MONTH(主页!$D$2),1),0)),"")</f>
        <v/>
      </c>
    </row>
    <row r="274" spans="1:10" x14ac:dyDescent="0.3">
      <c r="A274" s="150"/>
      <c r="B274" s="150"/>
      <c r="C274" s="150"/>
      <c r="D274" s="150"/>
      <c r="E274" s="140" t="str">
        <f t="shared" si="13"/>
        <v/>
      </c>
      <c r="F274" s="159"/>
      <c r="G274" s="145">
        <f t="shared" si="15"/>
        <v>0</v>
      </c>
      <c r="H274" s="140" t="str">
        <f t="shared" si="14"/>
        <v/>
      </c>
      <c r="J274" s="147" t="str">
        <f>IFERROR(SUMIFS(当年实际!$V:$V,当年实际!$F:$F,$C274,当年实际!$C:$C,"&gt;="&amp;DATE(YEAR(主页!$D$2),1,1),当年实际!$C:$C,"&lt;="&amp;EOMONTH(DATE(YEAR(主页!$D$2),MONTH(主页!$D$2),1),0))/SUMIFS(当年实际!$P:$P,当年实际!$F:$F,$C274,当年实际!$C:$C,"&gt;="&amp;DATE(YEAR(主页!$D$2),1,1),当年实际!$C:$C,"&lt;="&amp;EOMONTH(DATE(YEAR(主页!$D$2),MONTH(主页!$D$2),1),0)),"")</f>
        <v/>
      </c>
    </row>
    <row r="275" spans="1:10" x14ac:dyDescent="0.3">
      <c r="A275" s="150"/>
      <c r="B275" s="150"/>
      <c r="C275" s="150"/>
      <c r="D275" s="150"/>
      <c r="E275" s="140" t="str">
        <f t="shared" si="13"/>
        <v/>
      </c>
      <c r="F275" s="159"/>
      <c r="G275" s="145">
        <f t="shared" si="15"/>
        <v>0</v>
      </c>
      <c r="H275" s="140" t="str">
        <f t="shared" si="14"/>
        <v/>
      </c>
      <c r="J275" s="147" t="str">
        <f>IFERROR(SUMIFS(当年实际!$V:$V,当年实际!$F:$F,$C275,当年实际!$C:$C,"&gt;="&amp;DATE(YEAR(主页!$D$2),1,1),当年实际!$C:$C,"&lt;="&amp;EOMONTH(DATE(YEAR(主页!$D$2),MONTH(主页!$D$2),1),0))/SUMIFS(当年实际!$P:$P,当年实际!$F:$F,$C275,当年实际!$C:$C,"&gt;="&amp;DATE(YEAR(主页!$D$2),1,1),当年实际!$C:$C,"&lt;="&amp;EOMONTH(DATE(YEAR(主页!$D$2),MONTH(主页!$D$2),1),0)),"")</f>
        <v/>
      </c>
    </row>
    <row r="276" spans="1:10" x14ac:dyDescent="0.3">
      <c r="A276" s="150"/>
      <c r="B276" s="150"/>
      <c r="C276" s="150"/>
      <c r="D276" s="150"/>
      <c r="E276" s="140" t="str">
        <f t="shared" si="13"/>
        <v/>
      </c>
      <c r="F276" s="159"/>
      <c r="G276" s="145">
        <f t="shared" si="15"/>
        <v>0</v>
      </c>
      <c r="H276" s="140" t="str">
        <f t="shared" si="14"/>
        <v/>
      </c>
      <c r="J276" s="147" t="str">
        <f>IFERROR(SUMIFS(当年实际!$V:$V,当年实际!$F:$F,$C276,当年实际!$C:$C,"&gt;="&amp;DATE(YEAR(主页!$D$2),1,1),当年实际!$C:$C,"&lt;="&amp;EOMONTH(DATE(YEAR(主页!$D$2),MONTH(主页!$D$2),1),0))/SUMIFS(当年实际!$P:$P,当年实际!$F:$F,$C276,当年实际!$C:$C,"&gt;="&amp;DATE(YEAR(主页!$D$2),1,1),当年实际!$C:$C,"&lt;="&amp;EOMONTH(DATE(YEAR(主页!$D$2),MONTH(主页!$D$2),1),0)),"")</f>
        <v/>
      </c>
    </row>
    <row r="277" spans="1:10" x14ac:dyDescent="0.3">
      <c r="A277" s="150"/>
      <c r="B277" s="150"/>
      <c r="C277" s="150"/>
      <c r="D277" s="150"/>
      <c r="E277" s="140" t="str">
        <f t="shared" si="13"/>
        <v/>
      </c>
      <c r="F277" s="159"/>
      <c r="G277" s="145">
        <f t="shared" si="15"/>
        <v>0</v>
      </c>
      <c r="H277" s="140" t="str">
        <f t="shared" si="14"/>
        <v/>
      </c>
      <c r="J277" s="147" t="str">
        <f>IFERROR(SUMIFS(当年实际!$V:$V,当年实际!$F:$F,$C277,当年实际!$C:$C,"&gt;="&amp;DATE(YEAR(主页!$D$2),1,1),当年实际!$C:$C,"&lt;="&amp;EOMONTH(DATE(YEAR(主页!$D$2),MONTH(主页!$D$2),1),0))/SUMIFS(当年实际!$P:$P,当年实际!$F:$F,$C277,当年实际!$C:$C,"&gt;="&amp;DATE(YEAR(主页!$D$2),1,1),当年实际!$C:$C,"&lt;="&amp;EOMONTH(DATE(YEAR(主页!$D$2),MONTH(主页!$D$2),1),0)),"")</f>
        <v/>
      </c>
    </row>
    <row r="278" spans="1:10" x14ac:dyDescent="0.3">
      <c r="A278" s="150"/>
      <c r="B278" s="150"/>
      <c r="C278" s="150"/>
      <c r="D278" s="150"/>
      <c r="E278" s="140" t="str">
        <f t="shared" si="13"/>
        <v/>
      </c>
      <c r="F278" s="159"/>
      <c r="G278" s="145">
        <f t="shared" si="15"/>
        <v>0</v>
      </c>
      <c r="H278" s="140" t="str">
        <f t="shared" si="14"/>
        <v/>
      </c>
      <c r="J278" s="147" t="str">
        <f>IFERROR(SUMIFS(当年实际!$V:$V,当年实际!$F:$F,$C278,当年实际!$C:$C,"&gt;="&amp;DATE(YEAR(主页!$D$2),1,1),当年实际!$C:$C,"&lt;="&amp;EOMONTH(DATE(YEAR(主页!$D$2),MONTH(主页!$D$2),1),0))/SUMIFS(当年实际!$P:$P,当年实际!$F:$F,$C278,当年实际!$C:$C,"&gt;="&amp;DATE(YEAR(主页!$D$2),1,1),当年实际!$C:$C,"&lt;="&amp;EOMONTH(DATE(YEAR(主页!$D$2),MONTH(主页!$D$2),1),0)),"")</f>
        <v/>
      </c>
    </row>
    <row r="279" spans="1:10" x14ac:dyDescent="0.3">
      <c r="A279" s="150"/>
      <c r="B279" s="150"/>
      <c r="C279" s="150"/>
      <c r="D279" s="150"/>
      <c r="E279" s="140" t="str">
        <f t="shared" si="13"/>
        <v/>
      </c>
      <c r="F279" s="159"/>
      <c r="G279" s="145">
        <f t="shared" si="15"/>
        <v>0</v>
      </c>
      <c r="H279" s="140" t="str">
        <f t="shared" si="14"/>
        <v/>
      </c>
      <c r="J279" s="147" t="str">
        <f>IFERROR(SUMIFS(当年实际!$V:$V,当年实际!$F:$F,$C279,当年实际!$C:$C,"&gt;="&amp;DATE(YEAR(主页!$D$2),1,1),当年实际!$C:$C,"&lt;="&amp;EOMONTH(DATE(YEAR(主页!$D$2),MONTH(主页!$D$2),1),0))/SUMIFS(当年实际!$P:$P,当年实际!$F:$F,$C279,当年实际!$C:$C,"&gt;="&amp;DATE(YEAR(主页!$D$2),1,1),当年实际!$C:$C,"&lt;="&amp;EOMONTH(DATE(YEAR(主页!$D$2),MONTH(主页!$D$2),1),0)),"")</f>
        <v/>
      </c>
    </row>
    <row r="280" spans="1:10" x14ac:dyDescent="0.3">
      <c r="A280" s="150"/>
      <c r="B280" s="150"/>
      <c r="C280" s="150"/>
      <c r="D280" s="150"/>
      <c r="E280" s="140" t="str">
        <f t="shared" si="13"/>
        <v/>
      </c>
      <c r="F280" s="159"/>
      <c r="G280" s="145">
        <f t="shared" si="15"/>
        <v>0</v>
      </c>
      <c r="H280" s="140" t="str">
        <f t="shared" si="14"/>
        <v/>
      </c>
      <c r="J280" s="147" t="str">
        <f>IFERROR(SUMIFS(当年实际!$V:$V,当年实际!$F:$F,$C280,当年实际!$C:$C,"&gt;="&amp;DATE(YEAR(主页!$D$2),1,1),当年实际!$C:$C,"&lt;="&amp;EOMONTH(DATE(YEAR(主页!$D$2),MONTH(主页!$D$2),1),0))/SUMIFS(当年实际!$P:$P,当年实际!$F:$F,$C280,当年实际!$C:$C,"&gt;="&amp;DATE(YEAR(主页!$D$2),1,1),当年实际!$C:$C,"&lt;="&amp;EOMONTH(DATE(YEAR(主页!$D$2),MONTH(主页!$D$2),1),0)),"")</f>
        <v/>
      </c>
    </row>
    <row r="281" spans="1:10" x14ac:dyDescent="0.3">
      <c r="A281" s="150"/>
      <c r="B281" s="150"/>
      <c r="C281" s="150"/>
      <c r="D281" s="150"/>
      <c r="E281" s="140" t="str">
        <f t="shared" si="13"/>
        <v/>
      </c>
      <c r="F281" s="159"/>
      <c r="G281" s="145">
        <f t="shared" si="15"/>
        <v>0</v>
      </c>
      <c r="H281" s="140" t="str">
        <f t="shared" si="14"/>
        <v/>
      </c>
      <c r="J281" s="147" t="str">
        <f>IFERROR(SUMIFS(当年实际!$V:$V,当年实际!$F:$F,$C281,当年实际!$C:$C,"&gt;="&amp;DATE(YEAR(主页!$D$2),1,1),当年实际!$C:$C,"&lt;="&amp;EOMONTH(DATE(YEAR(主页!$D$2),MONTH(主页!$D$2),1),0))/SUMIFS(当年实际!$P:$P,当年实际!$F:$F,$C281,当年实际!$C:$C,"&gt;="&amp;DATE(YEAR(主页!$D$2),1,1),当年实际!$C:$C,"&lt;="&amp;EOMONTH(DATE(YEAR(主页!$D$2),MONTH(主页!$D$2),1),0)),"")</f>
        <v/>
      </c>
    </row>
    <row r="282" spans="1:10" x14ac:dyDescent="0.3">
      <c r="A282" s="150"/>
      <c r="B282" s="150"/>
      <c r="C282" s="150"/>
      <c r="D282" s="150"/>
      <c r="E282" s="140" t="str">
        <f t="shared" si="13"/>
        <v/>
      </c>
      <c r="F282" s="159"/>
      <c r="G282" s="145">
        <f t="shared" si="15"/>
        <v>0</v>
      </c>
      <c r="H282" s="140" t="str">
        <f t="shared" si="14"/>
        <v/>
      </c>
      <c r="J282" s="147" t="str">
        <f>IFERROR(SUMIFS(当年实际!$V:$V,当年实际!$F:$F,$C282,当年实际!$C:$C,"&gt;="&amp;DATE(YEAR(主页!$D$2),1,1),当年实际!$C:$C,"&lt;="&amp;EOMONTH(DATE(YEAR(主页!$D$2),MONTH(主页!$D$2),1),0))/SUMIFS(当年实际!$P:$P,当年实际!$F:$F,$C282,当年实际!$C:$C,"&gt;="&amp;DATE(YEAR(主页!$D$2),1,1),当年实际!$C:$C,"&lt;="&amp;EOMONTH(DATE(YEAR(主页!$D$2),MONTH(主页!$D$2),1),0)),"")</f>
        <v/>
      </c>
    </row>
    <row r="283" spans="1:10" x14ac:dyDescent="0.3">
      <c r="A283" s="150"/>
      <c r="B283" s="150"/>
      <c r="C283" s="150"/>
      <c r="D283" s="150"/>
      <c r="E283" s="140" t="str">
        <f t="shared" si="13"/>
        <v/>
      </c>
      <c r="F283" s="159"/>
      <c r="G283" s="145">
        <f t="shared" si="15"/>
        <v>0</v>
      </c>
      <c r="H283" s="140" t="str">
        <f t="shared" si="14"/>
        <v/>
      </c>
      <c r="J283" s="147" t="str">
        <f>IFERROR(SUMIFS(当年实际!$V:$V,当年实际!$F:$F,$C283,当年实际!$C:$C,"&gt;="&amp;DATE(YEAR(主页!$D$2),1,1),当年实际!$C:$C,"&lt;="&amp;EOMONTH(DATE(YEAR(主页!$D$2),MONTH(主页!$D$2),1),0))/SUMIFS(当年实际!$P:$P,当年实际!$F:$F,$C283,当年实际!$C:$C,"&gt;="&amp;DATE(YEAR(主页!$D$2),1,1),当年实际!$C:$C,"&lt;="&amp;EOMONTH(DATE(YEAR(主页!$D$2),MONTH(主页!$D$2),1),0)),"")</f>
        <v/>
      </c>
    </row>
    <row r="284" spans="1:10" x14ac:dyDescent="0.3">
      <c r="A284" s="150"/>
      <c r="B284" s="150"/>
      <c r="C284" s="150"/>
      <c r="D284" s="150"/>
      <c r="E284" s="140" t="str">
        <f t="shared" si="13"/>
        <v/>
      </c>
      <c r="F284" s="159"/>
      <c r="G284" s="145">
        <f t="shared" si="15"/>
        <v>0</v>
      </c>
      <c r="H284" s="140" t="str">
        <f t="shared" si="14"/>
        <v/>
      </c>
      <c r="J284" s="147" t="str">
        <f>IFERROR(SUMIFS(当年实际!$V:$V,当年实际!$F:$F,$C284,当年实际!$C:$C,"&gt;="&amp;DATE(YEAR(主页!$D$2),1,1),当年实际!$C:$C,"&lt;="&amp;EOMONTH(DATE(YEAR(主页!$D$2),MONTH(主页!$D$2),1),0))/SUMIFS(当年实际!$P:$P,当年实际!$F:$F,$C284,当年实际!$C:$C,"&gt;="&amp;DATE(YEAR(主页!$D$2),1,1),当年实际!$C:$C,"&lt;="&amp;EOMONTH(DATE(YEAR(主页!$D$2),MONTH(主页!$D$2),1),0)),"")</f>
        <v/>
      </c>
    </row>
    <row r="285" spans="1:10" x14ac:dyDescent="0.3">
      <c r="A285" s="150"/>
      <c r="B285" s="150"/>
      <c r="C285" s="150"/>
      <c r="D285" s="150"/>
      <c r="E285" s="140" t="str">
        <f t="shared" si="13"/>
        <v/>
      </c>
      <c r="F285" s="159"/>
      <c r="G285" s="145">
        <f t="shared" si="15"/>
        <v>0</v>
      </c>
      <c r="H285" s="140" t="str">
        <f t="shared" si="14"/>
        <v/>
      </c>
      <c r="J285" s="147" t="str">
        <f>IFERROR(SUMIFS(当年实际!$V:$V,当年实际!$F:$F,$C285,当年实际!$C:$C,"&gt;="&amp;DATE(YEAR(主页!$D$2),1,1),当年实际!$C:$C,"&lt;="&amp;EOMONTH(DATE(YEAR(主页!$D$2),MONTH(主页!$D$2),1),0))/SUMIFS(当年实际!$P:$P,当年实际!$F:$F,$C285,当年实际!$C:$C,"&gt;="&amp;DATE(YEAR(主页!$D$2),1,1),当年实际!$C:$C,"&lt;="&amp;EOMONTH(DATE(YEAR(主页!$D$2),MONTH(主页!$D$2),1),0)),"")</f>
        <v/>
      </c>
    </row>
    <row r="286" spans="1:10" x14ac:dyDescent="0.3">
      <c r="A286" s="150"/>
      <c r="B286" s="150"/>
      <c r="C286" s="150"/>
      <c r="D286" s="150"/>
      <c r="E286" s="140" t="str">
        <f t="shared" si="13"/>
        <v/>
      </c>
      <c r="F286" s="159"/>
      <c r="G286" s="145">
        <f t="shared" si="15"/>
        <v>0</v>
      </c>
      <c r="H286" s="140" t="str">
        <f t="shared" si="14"/>
        <v/>
      </c>
      <c r="J286" s="147" t="str">
        <f>IFERROR(SUMIFS(当年实际!$V:$V,当年实际!$F:$F,$C286,当年实际!$C:$C,"&gt;="&amp;DATE(YEAR(主页!$D$2),1,1),当年实际!$C:$C,"&lt;="&amp;EOMONTH(DATE(YEAR(主页!$D$2),MONTH(主页!$D$2),1),0))/SUMIFS(当年实际!$P:$P,当年实际!$F:$F,$C286,当年实际!$C:$C,"&gt;="&amp;DATE(YEAR(主页!$D$2),1,1),当年实际!$C:$C,"&lt;="&amp;EOMONTH(DATE(YEAR(主页!$D$2),MONTH(主页!$D$2),1),0)),"")</f>
        <v/>
      </c>
    </row>
    <row r="287" spans="1:10" x14ac:dyDescent="0.3">
      <c r="A287" s="150"/>
      <c r="B287" s="150"/>
      <c r="C287" s="150"/>
      <c r="D287" s="150"/>
      <c r="E287" s="140" t="str">
        <f t="shared" si="13"/>
        <v/>
      </c>
      <c r="F287" s="159"/>
      <c r="G287" s="145">
        <f t="shared" si="15"/>
        <v>0</v>
      </c>
      <c r="H287" s="140" t="str">
        <f t="shared" si="14"/>
        <v/>
      </c>
      <c r="J287" s="147" t="str">
        <f>IFERROR(SUMIFS(当年实际!$V:$V,当年实际!$F:$F,$C287,当年实际!$C:$C,"&gt;="&amp;DATE(YEAR(主页!$D$2),1,1),当年实际!$C:$C,"&lt;="&amp;EOMONTH(DATE(YEAR(主页!$D$2),MONTH(主页!$D$2),1),0))/SUMIFS(当年实际!$P:$P,当年实际!$F:$F,$C287,当年实际!$C:$C,"&gt;="&amp;DATE(YEAR(主页!$D$2),1,1),当年实际!$C:$C,"&lt;="&amp;EOMONTH(DATE(YEAR(主页!$D$2),MONTH(主页!$D$2),1),0)),"")</f>
        <v/>
      </c>
    </row>
    <row r="288" spans="1:10" x14ac:dyDescent="0.3">
      <c r="A288" s="150"/>
      <c r="B288" s="150"/>
      <c r="C288" s="150"/>
      <c r="D288" s="150"/>
      <c r="E288" s="140" t="str">
        <f t="shared" si="13"/>
        <v/>
      </c>
      <c r="F288" s="159"/>
      <c r="G288" s="145">
        <f t="shared" si="15"/>
        <v>0</v>
      </c>
      <c r="H288" s="140" t="str">
        <f t="shared" si="14"/>
        <v/>
      </c>
      <c r="J288" s="147" t="str">
        <f>IFERROR(SUMIFS(当年实际!$V:$V,当年实际!$F:$F,$C288,当年实际!$C:$C,"&gt;="&amp;DATE(YEAR(主页!$D$2),1,1),当年实际!$C:$C,"&lt;="&amp;EOMONTH(DATE(YEAR(主页!$D$2),MONTH(主页!$D$2),1),0))/SUMIFS(当年实际!$P:$P,当年实际!$F:$F,$C288,当年实际!$C:$C,"&gt;="&amp;DATE(YEAR(主页!$D$2),1,1),当年实际!$C:$C,"&lt;="&amp;EOMONTH(DATE(YEAR(主页!$D$2),MONTH(主页!$D$2),1),0)),"")</f>
        <v/>
      </c>
    </row>
    <row r="289" spans="1:10" x14ac:dyDescent="0.3">
      <c r="A289" s="150"/>
      <c r="B289" s="150"/>
      <c r="C289" s="150"/>
      <c r="D289" s="150"/>
      <c r="E289" s="140" t="str">
        <f t="shared" si="13"/>
        <v/>
      </c>
      <c r="F289" s="159"/>
      <c r="G289" s="145">
        <f t="shared" si="15"/>
        <v>0</v>
      </c>
      <c r="H289" s="140" t="str">
        <f t="shared" si="14"/>
        <v/>
      </c>
      <c r="J289" s="147" t="str">
        <f>IFERROR(SUMIFS(当年实际!$V:$V,当年实际!$F:$F,$C289,当年实际!$C:$C,"&gt;="&amp;DATE(YEAR(主页!$D$2),1,1),当年实际!$C:$C,"&lt;="&amp;EOMONTH(DATE(YEAR(主页!$D$2),MONTH(主页!$D$2),1),0))/SUMIFS(当年实际!$P:$P,当年实际!$F:$F,$C289,当年实际!$C:$C,"&gt;="&amp;DATE(YEAR(主页!$D$2),1,1),当年实际!$C:$C,"&lt;="&amp;EOMONTH(DATE(YEAR(主页!$D$2),MONTH(主页!$D$2),1),0)),"")</f>
        <v/>
      </c>
    </row>
    <row r="290" spans="1:10" x14ac:dyDescent="0.3">
      <c r="A290" s="150"/>
      <c r="B290" s="150"/>
      <c r="C290" s="150"/>
      <c r="D290" s="150"/>
      <c r="E290" s="140" t="str">
        <f t="shared" si="13"/>
        <v/>
      </c>
      <c r="F290" s="159"/>
      <c r="G290" s="145">
        <f t="shared" si="15"/>
        <v>0</v>
      </c>
      <c r="H290" s="140" t="str">
        <f t="shared" si="14"/>
        <v/>
      </c>
      <c r="J290" s="147" t="str">
        <f>IFERROR(SUMIFS(当年实际!$V:$V,当年实际!$F:$F,$C290,当年实际!$C:$C,"&gt;="&amp;DATE(YEAR(主页!$D$2),1,1),当年实际!$C:$C,"&lt;="&amp;EOMONTH(DATE(YEAR(主页!$D$2),MONTH(主页!$D$2),1),0))/SUMIFS(当年实际!$P:$P,当年实际!$F:$F,$C290,当年实际!$C:$C,"&gt;="&amp;DATE(YEAR(主页!$D$2),1,1),当年实际!$C:$C,"&lt;="&amp;EOMONTH(DATE(YEAR(主页!$D$2),MONTH(主页!$D$2),1),0)),"")</f>
        <v/>
      </c>
    </row>
    <row r="291" spans="1:10" x14ac:dyDescent="0.3">
      <c r="A291" s="150"/>
      <c r="B291" s="150"/>
      <c r="C291" s="150"/>
      <c r="D291" s="150"/>
      <c r="E291" s="140" t="str">
        <f t="shared" si="13"/>
        <v/>
      </c>
      <c r="F291" s="159"/>
      <c r="G291" s="145">
        <f t="shared" si="15"/>
        <v>0</v>
      </c>
      <c r="H291" s="140" t="str">
        <f t="shared" si="14"/>
        <v/>
      </c>
      <c r="J291" s="147" t="str">
        <f>IFERROR(SUMIFS(当年实际!$V:$V,当年实际!$F:$F,$C291,当年实际!$C:$C,"&gt;="&amp;DATE(YEAR(主页!$D$2),1,1),当年实际!$C:$C,"&lt;="&amp;EOMONTH(DATE(YEAR(主页!$D$2),MONTH(主页!$D$2),1),0))/SUMIFS(当年实际!$P:$P,当年实际!$F:$F,$C291,当年实际!$C:$C,"&gt;="&amp;DATE(YEAR(主页!$D$2),1,1),当年实际!$C:$C,"&lt;="&amp;EOMONTH(DATE(YEAR(主页!$D$2),MONTH(主页!$D$2),1),0)),"")</f>
        <v/>
      </c>
    </row>
    <row r="292" spans="1:10" x14ac:dyDescent="0.3">
      <c r="A292" s="150"/>
      <c r="B292" s="150"/>
      <c r="C292" s="150"/>
      <c r="D292" s="150"/>
      <c r="E292" s="140" t="str">
        <f t="shared" si="13"/>
        <v/>
      </c>
      <c r="F292" s="159"/>
      <c r="G292" s="145">
        <f t="shared" si="15"/>
        <v>0</v>
      </c>
      <c r="H292" s="140" t="str">
        <f t="shared" si="14"/>
        <v/>
      </c>
      <c r="J292" s="147" t="str">
        <f>IFERROR(SUMIFS(当年实际!$V:$V,当年实际!$F:$F,$C292,当年实际!$C:$C,"&gt;="&amp;DATE(YEAR(主页!$D$2),1,1),当年实际!$C:$C,"&lt;="&amp;EOMONTH(DATE(YEAR(主页!$D$2),MONTH(主页!$D$2),1),0))/SUMIFS(当年实际!$P:$P,当年实际!$F:$F,$C292,当年实际!$C:$C,"&gt;="&amp;DATE(YEAR(主页!$D$2),1,1),当年实际!$C:$C,"&lt;="&amp;EOMONTH(DATE(YEAR(主页!$D$2),MONTH(主页!$D$2),1),0)),"")</f>
        <v/>
      </c>
    </row>
    <row r="293" spans="1:10" x14ac:dyDescent="0.3">
      <c r="A293" s="150"/>
      <c r="B293" s="150"/>
      <c r="C293" s="150"/>
      <c r="D293" s="150"/>
      <c r="E293" s="140" t="str">
        <f t="shared" si="13"/>
        <v/>
      </c>
      <c r="F293" s="159"/>
      <c r="G293" s="145">
        <f t="shared" si="15"/>
        <v>0</v>
      </c>
      <c r="H293" s="140" t="str">
        <f t="shared" si="14"/>
        <v/>
      </c>
      <c r="J293" s="147" t="str">
        <f>IFERROR(SUMIFS(当年实际!$V:$V,当年实际!$F:$F,$C293,当年实际!$C:$C,"&gt;="&amp;DATE(YEAR(主页!$D$2),1,1),当年实际!$C:$C,"&lt;="&amp;EOMONTH(DATE(YEAR(主页!$D$2),MONTH(主页!$D$2),1),0))/SUMIFS(当年实际!$P:$P,当年实际!$F:$F,$C293,当年实际!$C:$C,"&gt;="&amp;DATE(YEAR(主页!$D$2),1,1),当年实际!$C:$C,"&lt;="&amp;EOMONTH(DATE(YEAR(主页!$D$2),MONTH(主页!$D$2),1),0)),"")</f>
        <v/>
      </c>
    </row>
    <row r="294" spans="1:10" x14ac:dyDescent="0.3">
      <c r="A294" s="150"/>
      <c r="B294" s="150"/>
      <c r="C294" s="150"/>
      <c r="D294" s="150"/>
      <c r="E294" s="140" t="str">
        <f t="shared" si="13"/>
        <v/>
      </c>
      <c r="F294" s="159"/>
      <c r="G294" s="145">
        <f t="shared" si="15"/>
        <v>0</v>
      </c>
      <c r="H294" s="140" t="str">
        <f t="shared" si="14"/>
        <v/>
      </c>
      <c r="J294" s="147" t="str">
        <f>IFERROR(SUMIFS(当年实际!$V:$V,当年实际!$F:$F,$C294,当年实际!$C:$C,"&gt;="&amp;DATE(YEAR(主页!$D$2),1,1),当年实际!$C:$C,"&lt;="&amp;EOMONTH(DATE(YEAR(主页!$D$2),MONTH(主页!$D$2),1),0))/SUMIFS(当年实际!$P:$P,当年实际!$F:$F,$C294,当年实际!$C:$C,"&gt;="&amp;DATE(YEAR(主页!$D$2),1,1),当年实际!$C:$C,"&lt;="&amp;EOMONTH(DATE(YEAR(主页!$D$2),MONTH(主页!$D$2),1),0)),"")</f>
        <v/>
      </c>
    </row>
    <row r="295" spans="1:10" x14ac:dyDescent="0.3">
      <c r="A295" s="150"/>
      <c r="B295" s="150"/>
      <c r="C295" s="150"/>
      <c r="D295" s="150"/>
      <c r="E295" s="140" t="str">
        <f t="shared" si="13"/>
        <v/>
      </c>
      <c r="F295" s="159"/>
      <c r="G295" s="145">
        <f t="shared" si="15"/>
        <v>0</v>
      </c>
      <c r="H295" s="140" t="str">
        <f t="shared" si="14"/>
        <v/>
      </c>
      <c r="J295" s="147" t="str">
        <f>IFERROR(SUMIFS(当年实际!$V:$V,当年实际!$F:$F,$C295,当年实际!$C:$C,"&gt;="&amp;DATE(YEAR(主页!$D$2),1,1),当年实际!$C:$C,"&lt;="&amp;EOMONTH(DATE(YEAR(主页!$D$2),MONTH(主页!$D$2),1),0))/SUMIFS(当年实际!$P:$P,当年实际!$F:$F,$C295,当年实际!$C:$C,"&gt;="&amp;DATE(YEAR(主页!$D$2),1,1),当年实际!$C:$C,"&lt;="&amp;EOMONTH(DATE(YEAR(主页!$D$2),MONTH(主页!$D$2),1),0)),"")</f>
        <v/>
      </c>
    </row>
    <row r="296" spans="1:10" x14ac:dyDescent="0.3">
      <c r="A296" s="150"/>
      <c r="B296" s="150"/>
      <c r="C296" s="150"/>
      <c r="D296" s="150"/>
      <c r="E296" s="140" t="str">
        <f t="shared" si="13"/>
        <v/>
      </c>
      <c r="F296" s="159"/>
      <c r="G296" s="145">
        <f t="shared" si="15"/>
        <v>0</v>
      </c>
      <c r="H296" s="140" t="str">
        <f t="shared" si="14"/>
        <v/>
      </c>
      <c r="J296" s="147" t="str">
        <f>IFERROR(SUMIFS(当年实际!$V:$V,当年实际!$F:$F,$C296,当年实际!$C:$C,"&gt;="&amp;DATE(YEAR(主页!$D$2),1,1),当年实际!$C:$C,"&lt;="&amp;EOMONTH(DATE(YEAR(主页!$D$2),MONTH(主页!$D$2),1),0))/SUMIFS(当年实际!$P:$P,当年实际!$F:$F,$C296,当年实际!$C:$C,"&gt;="&amp;DATE(YEAR(主页!$D$2),1,1),当年实际!$C:$C,"&lt;="&amp;EOMONTH(DATE(YEAR(主页!$D$2),MONTH(主页!$D$2),1),0)),"")</f>
        <v/>
      </c>
    </row>
    <row r="297" spans="1:10" x14ac:dyDescent="0.3">
      <c r="A297" s="150"/>
      <c r="B297" s="150"/>
      <c r="C297" s="150"/>
      <c r="D297" s="150"/>
      <c r="E297" s="140" t="str">
        <f t="shared" si="13"/>
        <v/>
      </c>
      <c r="F297" s="159"/>
      <c r="G297" s="145">
        <f t="shared" si="15"/>
        <v>0</v>
      </c>
      <c r="H297" s="140" t="str">
        <f t="shared" si="14"/>
        <v/>
      </c>
      <c r="J297" s="147" t="str">
        <f>IFERROR(SUMIFS(当年实际!$V:$V,当年实际!$F:$F,$C297,当年实际!$C:$C,"&gt;="&amp;DATE(YEAR(主页!$D$2),1,1),当年实际!$C:$C,"&lt;="&amp;EOMONTH(DATE(YEAR(主页!$D$2),MONTH(主页!$D$2),1),0))/SUMIFS(当年实际!$P:$P,当年实际!$F:$F,$C297,当年实际!$C:$C,"&gt;="&amp;DATE(YEAR(主页!$D$2),1,1),当年实际!$C:$C,"&lt;="&amp;EOMONTH(DATE(YEAR(主页!$D$2),MONTH(主页!$D$2),1),0)),"")</f>
        <v/>
      </c>
    </row>
    <row r="298" spans="1:10" x14ac:dyDescent="0.3">
      <c r="A298" s="150"/>
      <c r="B298" s="150"/>
      <c r="C298" s="150"/>
      <c r="D298" s="150"/>
      <c r="E298" s="140" t="str">
        <f t="shared" si="13"/>
        <v/>
      </c>
      <c r="F298" s="159"/>
      <c r="G298" s="145">
        <f t="shared" si="15"/>
        <v>0</v>
      </c>
      <c r="H298" s="140" t="str">
        <f t="shared" si="14"/>
        <v/>
      </c>
      <c r="J298" s="147" t="str">
        <f>IFERROR(SUMIFS(当年实际!$V:$V,当年实际!$F:$F,$C298,当年实际!$C:$C,"&gt;="&amp;DATE(YEAR(主页!$D$2),1,1),当年实际!$C:$C,"&lt;="&amp;EOMONTH(DATE(YEAR(主页!$D$2),MONTH(主页!$D$2),1),0))/SUMIFS(当年实际!$P:$P,当年实际!$F:$F,$C298,当年实际!$C:$C,"&gt;="&amp;DATE(YEAR(主页!$D$2),1,1),当年实际!$C:$C,"&lt;="&amp;EOMONTH(DATE(YEAR(主页!$D$2),MONTH(主页!$D$2),1),0)),"")</f>
        <v/>
      </c>
    </row>
    <row r="299" spans="1:10" x14ac:dyDescent="0.3">
      <c r="A299" s="150"/>
      <c r="B299" s="150"/>
      <c r="C299" s="150"/>
      <c r="D299" s="150"/>
      <c r="E299" s="140" t="str">
        <f t="shared" si="13"/>
        <v/>
      </c>
      <c r="F299" s="159"/>
      <c r="G299" s="145">
        <f t="shared" si="15"/>
        <v>0</v>
      </c>
      <c r="H299" s="140" t="str">
        <f t="shared" si="14"/>
        <v/>
      </c>
      <c r="J299" s="147" t="str">
        <f>IFERROR(SUMIFS(当年实际!$V:$V,当年实际!$F:$F,$C299,当年实际!$C:$C,"&gt;="&amp;DATE(YEAR(主页!$D$2),1,1),当年实际!$C:$C,"&lt;="&amp;EOMONTH(DATE(YEAR(主页!$D$2),MONTH(主页!$D$2),1),0))/SUMIFS(当年实际!$P:$P,当年实际!$F:$F,$C299,当年实际!$C:$C,"&gt;="&amp;DATE(YEAR(主页!$D$2),1,1),当年实际!$C:$C,"&lt;="&amp;EOMONTH(DATE(YEAR(主页!$D$2),MONTH(主页!$D$2),1),0)),"")</f>
        <v/>
      </c>
    </row>
    <row r="300" spans="1:10" x14ac:dyDescent="0.3">
      <c r="A300" s="150"/>
      <c r="B300" s="150"/>
      <c r="C300" s="150"/>
      <c r="D300" s="150"/>
      <c r="E300" s="140" t="str">
        <f t="shared" si="13"/>
        <v/>
      </c>
      <c r="F300" s="159"/>
      <c r="G300" s="145">
        <f t="shared" si="15"/>
        <v>0</v>
      </c>
      <c r="H300" s="140" t="str">
        <f t="shared" si="14"/>
        <v/>
      </c>
      <c r="J300" s="147" t="str">
        <f>IFERROR(SUMIFS(当年实际!$V:$V,当年实际!$F:$F,$C300,当年实际!$C:$C,"&gt;="&amp;DATE(YEAR(主页!$D$2),1,1),当年实际!$C:$C,"&lt;="&amp;EOMONTH(DATE(YEAR(主页!$D$2),MONTH(主页!$D$2),1),0))/SUMIFS(当年实际!$P:$P,当年实际!$F:$F,$C300,当年实际!$C:$C,"&gt;="&amp;DATE(YEAR(主页!$D$2),1,1),当年实际!$C:$C,"&lt;="&amp;EOMONTH(DATE(YEAR(主页!$D$2),MONTH(主页!$D$2),1),0)),"")</f>
        <v/>
      </c>
    </row>
    <row r="301" spans="1:10" x14ac:dyDescent="0.3">
      <c r="A301" s="150"/>
      <c r="B301" s="150"/>
      <c r="C301" s="150"/>
      <c r="D301" s="150"/>
      <c r="E301" s="140" t="str">
        <f t="shared" si="13"/>
        <v/>
      </c>
      <c r="F301" s="159"/>
      <c r="G301" s="145">
        <f t="shared" si="15"/>
        <v>0</v>
      </c>
      <c r="H301" s="140" t="str">
        <f t="shared" si="14"/>
        <v/>
      </c>
      <c r="J301" s="147" t="str">
        <f>IFERROR(SUMIFS(当年实际!$V:$V,当年实际!$F:$F,$C301,当年实际!$C:$C,"&gt;="&amp;DATE(YEAR(主页!$D$2),1,1),当年实际!$C:$C,"&lt;="&amp;EOMONTH(DATE(YEAR(主页!$D$2),MONTH(主页!$D$2),1),0))/SUMIFS(当年实际!$P:$P,当年实际!$F:$F,$C301,当年实际!$C:$C,"&gt;="&amp;DATE(YEAR(主页!$D$2),1,1),当年实际!$C:$C,"&lt;="&amp;EOMONTH(DATE(YEAR(主页!$D$2),MONTH(主页!$D$2),1),0)),"")</f>
        <v/>
      </c>
    </row>
    <row r="302" spans="1:10" x14ac:dyDescent="0.3">
      <c r="A302" s="150"/>
      <c r="B302" s="150"/>
      <c r="C302" s="150"/>
      <c r="D302" s="150"/>
      <c r="E302" s="140" t="str">
        <f t="shared" si="13"/>
        <v/>
      </c>
      <c r="F302" s="159"/>
      <c r="G302" s="145">
        <f t="shared" si="15"/>
        <v>0</v>
      </c>
      <c r="H302" s="140" t="str">
        <f t="shared" si="14"/>
        <v/>
      </c>
      <c r="J302" s="147" t="str">
        <f>IFERROR(SUMIFS(当年实际!$V:$V,当年实际!$F:$F,$C302,当年实际!$C:$C,"&gt;="&amp;DATE(YEAR(主页!$D$2),1,1),当年实际!$C:$C,"&lt;="&amp;EOMONTH(DATE(YEAR(主页!$D$2),MONTH(主页!$D$2),1),0))/SUMIFS(当年实际!$P:$P,当年实际!$F:$F,$C302,当年实际!$C:$C,"&gt;="&amp;DATE(YEAR(主页!$D$2),1,1),当年实际!$C:$C,"&lt;="&amp;EOMONTH(DATE(YEAR(主页!$D$2),MONTH(主页!$D$2),1),0)),"")</f>
        <v/>
      </c>
    </row>
    <row r="303" spans="1:10" x14ac:dyDescent="0.3">
      <c r="A303" s="150"/>
      <c r="B303" s="150"/>
      <c r="C303" s="150"/>
      <c r="D303" s="150"/>
      <c r="E303" s="140" t="str">
        <f t="shared" si="13"/>
        <v/>
      </c>
      <c r="F303" s="159"/>
      <c r="G303" s="145">
        <f t="shared" si="15"/>
        <v>0</v>
      </c>
      <c r="H303" s="140" t="str">
        <f t="shared" si="14"/>
        <v/>
      </c>
      <c r="J303" s="147" t="str">
        <f>IFERROR(SUMIFS(当年实际!$V:$V,当年实际!$F:$F,$C303,当年实际!$C:$C,"&gt;="&amp;DATE(YEAR(主页!$D$2),1,1),当年实际!$C:$C,"&lt;="&amp;EOMONTH(DATE(YEAR(主页!$D$2),MONTH(主页!$D$2),1),0))/SUMIFS(当年实际!$P:$P,当年实际!$F:$F,$C303,当年实际!$C:$C,"&gt;="&amp;DATE(YEAR(主页!$D$2),1,1),当年实际!$C:$C,"&lt;="&amp;EOMONTH(DATE(YEAR(主页!$D$2),MONTH(主页!$D$2),1),0)),"")</f>
        <v/>
      </c>
    </row>
    <row r="304" spans="1:10" x14ac:dyDescent="0.3">
      <c r="A304" s="150"/>
      <c r="B304" s="150"/>
      <c r="C304" s="150"/>
      <c r="D304" s="150"/>
      <c r="E304" s="140" t="str">
        <f t="shared" si="13"/>
        <v/>
      </c>
      <c r="F304" s="159"/>
      <c r="G304" s="145">
        <f t="shared" si="15"/>
        <v>0</v>
      </c>
      <c r="H304" s="140" t="str">
        <f t="shared" si="14"/>
        <v/>
      </c>
      <c r="J304" s="147" t="str">
        <f>IFERROR(SUMIFS(当年实际!$V:$V,当年实际!$F:$F,$C304,当年实际!$C:$C,"&gt;="&amp;DATE(YEAR(主页!$D$2),1,1),当年实际!$C:$C,"&lt;="&amp;EOMONTH(DATE(YEAR(主页!$D$2),MONTH(主页!$D$2),1),0))/SUMIFS(当年实际!$P:$P,当年实际!$F:$F,$C304,当年实际!$C:$C,"&gt;="&amp;DATE(YEAR(主页!$D$2),1,1),当年实际!$C:$C,"&lt;="&amp;EOMONTH(DATE(YEAR(主页!$D$2),MONTH(主页!$D$2),1),0)),"")</f>
        <v/>
      </c>
    </row>
    <row r="305" spans="1:10" x14ac:dyDescent="0.3">
      <c r="A305" s="150"/>
      <c r="B305" s="150"/>
      <c r="C305" s="150"/>
      <c r="D305" s="150"/>
      <c r="E305" s="140" t="str">
        <f t="shared" si="13"/>
        <v/>
      </c>
      <c r="F305" s="159"/>
      <c r="G305" s="145">
        <f t="shared" si="15"/>
        <v>0</v>
      </c>
      <c r="H305" s="140" t="str">
        <f t="shared" si="14"/>
        <v/>
      </c>
      <c r="J305" s="147" t="str">
        <f>IFERROR(SUMIFS(当年实际!$V:$V,当年实际!$F:$F,$C305,当年实际!$C:$C,"&gt;="&amp;DATE(YEAR(主页!$D$2),1,1),当年实际!$C:$C,"&lt;="&amp;EOMONTH(DATE(YEAR(主页!$D$2),MONTH(主页!$D$2),1),0))/SUMIFS(当年实际!$P:$P,当年实际!$F:$F,$C305,当年实际!$C:$C,"&gt;="&amp;DATE(YEAR(主页!$D$2),1,1),当年实际!$C:$C,"&lt;="&amp;EOMONTH(DATE(YEAR(主页!$D$2),MONTH(主页!$D$2),1),0)),"")</f>
        <v/>
      </c>
    </row>
    <row r="306" spans="1:10" x14ac:dyDescent="0.3">
      <c r="A306" s="150"/>
      <c r="B306" s="150"/>
      <c r="C306" s="150"/>
      <c r="D306" s="150"/>
      <c r="E306" s="140" t="str">
        <f t="shared" si="13"/>
        <v/>
      </c>
      <c r="F306" s="159"/>
      <c r="G306" s="145">
        <f t="shared" si="15"/>
        <v>0</v>
      </c>
      <c r="H306" s="140" t="str">
        <f t="shared" si="14"/>
        <v/>
      </c>
      <c r="J306" s="147" t="str">
        <f>IFERROR(SUMIFS(当年实际!$V:$V,当年实际!$F:$F,$C306,当年实际!$C:$C,"&gt;="&amp;DATE(YEAR(主页!$D$2),1,1),当年实际!$C:$C,"&lt;="&amp;EOMONTH(DATE(YEAR(主页!$D$2),MONTH(主页!$D$2),1),0))/SUMIFS(当年实际!$P:$P,当年实际!$F:$F,$C306,当年实际!$C:$C,"&gt;="&amp;DATE(YEAR(主页!$D$2),1,1),当年实际!$C:$C,"&lt;="&amp;EOMONTH(DATE(YEAR(主页!$D$2),MONTH(主页!$D$2),1),0)),"")</f>
        <v/>
      </c>
    </row>
    <row r="307" spans="1:10" x14ac:dyDescent="0.3">
      <c r="A307" s="150"/>
      <c r="B307" s="150"/>
      <c r="C307" s="150"/>
      <c r="D307" s="150"/>
      <c r="E307" s="140" t="str">
        <f t="shared" si="13"/>
        <v/>
      </c>
      <c r="F307" s="159"/>
      <c r="G307" s="145">
        <f t="shared" si="15"/>
        <v>0</v>
      </c>
      <c r="H307" s="140" t="str">
        <f t="shared" si="14"/>
        <v/>
      </c>
      <c r="J307" s="147" t="str">
        <f>IFERROR(SUMIFS(当年实际!$V:$V,当年实际!$F:$F,$C307,当年实际!$C:$C,"&gt;="&amp;DATE(YEAR(主页!$D$2),1,1),当年实际!$C:$C,"&lt;="&amp;EOMONTH(DATE(YEAR(主页!$D$2),MONTH(主页!$D$2),1),0))/SUMIFS(当年实际!$P:$P,当年实际!$F:$F,$C307,当年实际!$C:$C,"&gt;="&amp;DATE(YEAR(主页!$D$2),1,1),当年实际!$C:$C,"&lt;="&amp;EOMONTH(DATE(YEAR(主页!$D$2),MONTH(主页!$D$2),1),0)),"")</f>
        <v/>
      </c>
    </row>
    <row r="308" spans="1:10" x14ac:dyDescent="0.3">
      <c r="A308" s="150"/>
      <c r="B308" s="150"/>
      <c r="C308" s="150"/>
      <c r="D308" s="150"/>
      <c r="E308" s="140" t="str">
        <f t="shared" si="13"/>
        <v/>
      </c>
      <c r="F308" s="159"/>
      <c r="G308" s="145">
        <f t="shared" si="15"/>
        <v>0</v>
      </c>
      <c r="H308" s="140" t="str">
        <f t="shared" si="14"/>
        <v/>
      </c>
      <c r="J308" s="147" t="str">
        <f>IFERROR(SUMIFS(当年实际!$V:$V,当年实际!$F:$F,$C308,当年实际!$C:$C,"&gt;="&amp;DATE(YEAR(主页!$D$2),1,1),当年实际!$C:$C,"&lt;="&amp;EOMONTH(DATE(YEAR(主页!$D$2),MONTH(主页!$D$2),1),0))/SUMIFS(当年实际!$P:$P,当年实际!$F:$F,$C308,当年实际!$C:$C,"&gt;="&amp;DATE(YEAR(主页!$D$2),1,1),当年实际!$C:$C,"&lt;="&amp;EOMONTH(DATE(YEAR(主页!$D$2),MONTH(主页!$D$2),1),0)),"")</f>
        <v/>
      </c>
    </row>
    <row r="309" spans="1:10" x14ac:dyDescent="0.3">
      <c r="A309" s="150"/>
      <c r="B309" s="150"/>
      <c r="C309" s="150"/>
      <c r="D309" s="150"/>
      <c r="E309" s="140" t="str">
        <f t="shared" si="13"/>
        <v/>
      </c>
      <c r="F309" s="159"/>
      <c r="G309" s="145">
        <f t="shared" si="15"/>
        <v>0</v>
      </c>
      <c r="H309" s="140" t="str">
        <f t="shared" si="14"/>
        <v/>
      </c>
      <c r="J309" s="147" t="str">
        <f>IFERROR(SUMIFS(当年实际!$V:$V,当年实际!$F:$F,$C309,当年实际!$C:$C,"&gt;="&amp;DATE(YEAR(主页!$D$2),1,1),当年实际!$C:$C,"&lt;="&amp;EOMONTH(DATE(YEAR(主页!$D$2),MONTH(主页!$D$2),1),0))/SUMIFS(当年实际!$P:$P,当年实际!$F:$F,$C309,当年实际!$C:$C,"&gt;="&amp;DATE(YEAR(主页!$D$2),1,1),当年实际!$C:$C,"&lt;="&amp;EOMONTH(DATE(YEAR(主页!$D$2),MONTH(主页!$D$2),1),0)),"")</f>
        <v/>
      </c>
    </row>
    <row r="310" spans="1:10" x14ac:dyDescent="0.3">
      <c r="A310" s="150"/>
      <c r="B310" s="150"/>
      <c r="C310" s="150"/>
      <c r="D310" s="150"/>
      <c r="E310" s="140" t="str">
        <f t="shared" si="13"/>
        <v/>
      </c>
      <c r="F310" s="159"/>
      <c r="G310" s="145">
        <f t="shared" si="15"/>
        <v>0</v>
      </c>
      <c r="H310" s="140" t="str">
        <f t="shared" si="14"/>
        <v/>
      </c>
      <c r="J310" s="147" t="str">
        <f>IFERROR(SUMIFS(当年实际!$V:$V,当年实际!$F:$F,$C310,当年实际!$C:$C,"&gt;="&amp;DATE(YEAR(主页!$D$2),1,1),当年实际!$C:$C,"&lt;="&amp;EOMONTH(DATE(YEAR(主页!$D$2),MONTH(主页!$D$2),1),0))/SUMIFS(当年实际!$P:$P,当年实际!$F:$F,$C310,当年实际!$C:$C,"&gt;="&amp;DATE(YEAR(主页!$D$2),1,1),当年实际!$C:$C,"&lt;="&amp;EOMONTH(DATE(YEAR(主页!$D$2),MONTH(主页!$D$2),1),0)),"")</f>
        <v/>
      </c>
    </row>
    <row r="311" spans="1:10" x14ac:dyDescent="0.3">
      <c r="A311" s="150"/>
      <c r="B311" s="150"/>
      <c r="C311" s="150"/>
      <c r="D311" s="150"/>
      <c r="E311" s="140" t="str">
        <f t="shared" si="13"/>
        <v/>
      </c>
      <c r="F311" s="159"/>
      <c r="G311" s="145">
        <f t="shared" si="15"/>
        <v>0</v>
      </c>
      <c r="H311" s="140" t="str">
        <f t="shared" si="14"/>
        <v/>
      </c>
      <c r="J311" s="147" t="str">
        <f>IFERROR(SUMIFS(当年实际!$V:$V,当年实际!$F:$F,$C311,当年实际!$C:$C,"&gt;="&amp;DATE(YEAR(主页!$D$2),1,1),当年实际!$C:$C,"&lt;="&amp;EOMONTH(DATE(YEAR(主页!$D$2),MONTH(主页!$D$2),1),0))/SUMIFS(当年实际!$P:$P,当年实际!$F:$F,$C311,当年实际!$C:$C,"&gt;="&amp;DATE(YEAR(主页!$D$2),1,1),当年实际!$C:$C,"&lt;="&amp;EOMONTH(DATE(YEAR(主页!$D$2),MONTH(主页!$D$2),1),0)),"")</f>
        <v/>
      </c>
    </row>
    <row r="312" spans="1:10" x14ac:dyDescent="0.3">
      <c r="A312" s="150"/>
      <c r="B312" s="150"/>
      <c r="C312" s="150"/>
      <c r="D312" s="150"/>
      <c r="E312" s="140" t="str">
        <f t="shared" si="13"/>
        <v/>
      </c>
      <c r="F312" s="159"/>
      <c r="G312" s="145">
        <f t="shared" si="15"/>
        <v>0</v>
      </c>
      <c r="H312" s="140" t="str">
        <f t="shared" si="14"/>
        <v/>
      </c>
      <c r="J312" s="147" t="str">
        <f>IFERROR(SUMIFS(当年实际!$V:$V,当年实际!$F:$F,$C312,当年实际!$C:$C,"&gt;="&amp;DATE(YEAR(主页!$D$2),1,1),当年实际!$C:$C,"&lt;="&amp;EOMONTH(DATE(YEAR(主页!$D$2),MONTH(主页!$D$2),1),0))/SUMIFS(当年实际!$P:$P,当年实际!$F:$F,$C312,当年实际!$C:$C,"&gt;="&amp;DATE(YEAR(主页!$D$2),1,1),当年实际!$C:$C,"&lt;="&amp;EOMONTH(DATE(YEAR(主页!$D$2),MONTH(主页!$D$2),1),0)),"")</f>
        <v/>
      </c>
    </row>
    <row r="313" spans="1:10" x14ac:dyDescent="0.3">
      <c r="A313" s="150"/>
      <c r="B313" s="150"/>
      <c r="C313" s="150"/>
      <c r="D313" s="150"/>
      <c r="E313" s="140" t="str">
        <f t="shared" si="13"/>
        <v/>
      </c>
      <c r="F313" s="159"/>
      <c r="G313" s="145">
        <f t="shared" si="15"/>
        <v>0</v>
      </c>
      <c r="H313" s="140" t="str">
        <f t="shared" si="14"/>
        <v/>
      </c>
      <c r="J313" s="147" t="str">
        <f>IFERROR(SUMIFS(当年实际!$V:$V,当年实际!$F:$F,$C313,当年实际!$C:$C,"&gt;="&amp;DATE(YEAR(主页!$D$2),1,1),当年实际!$C:$C,"&lt;="&amp;EOMONTH(DATE(YEAR(主页!$D$2),MONTH(主页!$D$2),1),0))/SUMIFS(当年实际!$P:$P,当年实际!$F:$F,$C313,当年实际!$C:$C,"&gt;="&amp;DATE(YEAR(主页!$D$2),1,1),当年实际!$C:$C,"&lt;="&amp;EOMONTH(DATE(YEAR(主页!$D$2),MONTH(主页!$D$2),1),0)),"")</f>
        <v/>
      </c>
    </row>
    <row r="314" spans="1:10" x14ac:dyDescent="0.3">
      <c r="A314" s="150"/>
      <c r="B314" s="150"/>
      <c r="C314" s="150"/>
      <c r="D314" s="150"/>
      <c r="E314" s="140" t="str">
        <f t="shared" si="13"/>
        <v/>
      </c>
      <c r="F314" s="159"/>
      <c r="G314" s="145">
        <f t="shared" si="15"/>
        <v>0</v>
      </c>
      <c r="H314" s="140" t="str">
        <f t="shared" si="14"/>
        <v/>
      </c>
      <c r="J314" s="147" t="str">
        <f>IFERROR(SUMIFS(当年实际!$V:$V,当年实际!$F:$F,$C314,当年实际!$C:$C,"&gt;="&amp;DATE(YEAR(主页!$D$2),1,1),当年实际!$C:$C,"&lt;="&amp;EOMONTH(DATE(YEAR(主页!$D$2),MONTH(主页!$D$2),1),0))/SUMIFS(当年实际!$P:$P,当年实际!$F:$F,$C314,当年实际!$C:$C,"&gt;="&amp;DATE(YEAR(主页!$D$2),1,1),当年实际!$C:$C,"&lt;="&amp;EOMONTH(DATE(YEAR(主页!$D$2),MONTH(主页!$D$2),1),0)),"")</f>
        <v/>
      </c>
    </row>
    <row r="315" spans="1:10" x14ac:dyDescent="0.3">
      <c r="A315" s="150"/>
      <c r="B315" s="150"/>
      <c r="C315" s="150"/>
      <c r="D315" s="150"/>
      <c r="E315" s="140" t="str">
        <f t="shared" si="13"/>
        <v/>
      </c>
      <c r="F315" s="159"/>
      <c r="G315" s="145">
        <f t="shared" si="15"/>
        <v>0</v>
      </c>
      <c r="H315" s="140" t="str">
        <f t="shared" si="14"/>
        <v/>
      </c>
      <c r="J315" s="147" t="str">
        <f>IFERROR(SUMIFS(当年实际!$V:$V,当年实际!$F:$F,$C315,当年实际!$C:$C,"&gt;="&amp;DATE(YEAR(主页!$D$2),1,1),当年实际!$C:$C,"&lt;="&amp;EOMONTH(DATE(YEAR(主页!$D$2),MONTH(主页!$D$2),1),0))/SUMIFS(当年实际!$P:$P,当年实际!$F:$F,$C315,当年实际!$C:$C,"&gt;="&amp;DATE(YEAR(主页!$D$2),1,1),当年实际!$C:$C,"&lt;="&amp;EOMONTH(DATE(YEAR(主页!$D$2),MONTH(主页!$D$2),1),0)),"")</f>
        <v/>
      </c>
    </row>
    <row r="316" spans="1:10" x14ac:dyDescent="0.3">
      <c r="A316" s="150"/>
      <c r="B316" s="150"/>
      <c r="C316" s="150"/>
      <c r="D316" s="150"/>
      <c r="E316" s="140" t="str">
        <f t="shared" si="13"/>
        <v/>
      </c>
      <c r="F316" s="159"/>
      <c r="G316" s="145">
        <f t="shared" si="15"/>
        <v>0</v>
      </c>
      <c r="H316" s="140" t="str">
        <f t="shared" si="14"/>
        <v/>
      </c>
      <c r="J316" s="147" t="str">
        <f>IFERROR(SUMIFS(当年实际!$V:$V,当年实际!$F:$F,$C316,当年实际!$C:$C,"&gt;="&amp;DATE(YEAR(主页!$D$2),1,1),当年实际!$C:$C,"&lt;="&amp;EOMONTH(DATE(YEAR(主页!$D$2),MONTH(主页!$D$2),1),0))/SUMIFS(当年实际!$P:$P,当年实际!$F:$F,$C316,当年实际!$C:$C,"&gt;="&amp;DATE(YEAR(主页!$D$2),1,1),当年实际!$C:$C,"&lt;="&amp;EOMONTH(DATE(YEAR(主页!$D$2),MONTH(主页!$D$2),1),0)),"")</f>
        <v/>
      </c>
    </row>
    <row r="317" spans="1:10" x14ac:dyDescent="0.3">
      <c r="A317" s="150"/>
      <c r="B317" s="150"/>
      <c r="C317" s="150"/>
      <c r="D317" s="150"/>
      <c r="E317" s="140" t="str">
        <f t="shared" si="13"/>
        <v/>
      </c>
      <c r="F317" s="159"/>
      <c r="G317" s="145">
        <f t="shared" si="15"/>
        <v>0</v>
      </c>
      <c r="H317" s="140" t="str">
        <f t="shared" si="14"/>
        <v/>
      </c>
      <c r="J317" s="147" t="str">
        <f>IFERROR(SUMIFS(当年实际!$V:$V,当年实际!$F:$F,$C317,当年实际!$C:$C,"&gt;="&amp;DATE(YEAR(主页!$D$2),1,1),当年实际!$C:$C,"&lt;="&amp;EOMONTH(DATE(YEAR(主页!$D$2),MONTH(主页!$D$2),1),0))/SUMIFS(当年实际!$P:$P,当年实际!$F:$F,$C317,当年实际!$C:$C,"&gt;="&amp;DATE(YEAR(主页!$D$2),1,1),当年实际!$C:$C,"&lt;="&amp;EOMONTH(DATE(YEAR(主页!$D$2),MONTH(主页!$D$2),1),0)),"")</f>
        <v/>
      </c>
    </row>
    <row r="318" spans="1:10" x14ac:dyDescent="0.3">
      <c r="A318" s="150"/>
      <c r="B318" s="150"/>
      <c r="C318" s="150"/>
      <c r="D318" s="150"/>
      <c r="E318" s="140" t="str">
        <f t="shared" si="13"/>
        <v/>
      </c>
      <c r="F318" s="159"/>
      <c r="G318" s="145">
        <f t="shared" si="15"/>
        <v>0</v>
      </c>
      <c r="H318" s="140" t="str">
        <f t="shared" si="14"/>
        <v/>
      </c>
      <c r="J318" s="147" t="str">
        <f>IFERROR(SUMIFS(当年实际!$V:$V,当年实际!$F:$F,$C318,当年实际!$C:$C,"&gt;="&amp;DATE(YEAR(主页!$D$2),1,1),当年实际!$C:$C,"&lt;="&amp;EOMONTH(DATE(YEAR(主页!$D$2),MONTH(主页!$D$2),1),0))/SUMIFS(当年实际!$P:$P,当年实际!$F:$F,$C318,当年实际!$C:$C,"&gt;="&amp;DATE(YEAR(主页!$D$2),1,1),当年实际!$C:$C,"&lt;="&amp;EOMONTH(DATE(YEAR(主页!$D$2),MONTH(主页!$D$2),1),0)),"")</f>
        <v/>
      </c>
    </row>
    <row r="319" spans="1:10" x14ac:dyDescent="0.3">
      <c r="A319" s="150"/>
      <c r="B319" s="150"/>
      <c r="C319" s="150"/>
      <c r="D319" s="150"/>
      <c r="E319" s="140" t="str">
        <f t="shared" si="13"/>
        <v/>
      </c>
      <c r="F319" s="159"/>
      <c r="G319" s="145">
        <f t="shared" si="15"/>
        <v>0</v>
      </c>
      <c r="H319" s="140" t="str">
        <f t="shared" si="14"/>
        <v/>
      </c>
      <c r="J319" s="147" t="str">
        <f>IFERROR(SUMIFS(当年实际!$V:$V,当年实际!$F:$F,$C319,当年实际!$C:$C,"&gt;="&amp;DATE(YEAR(主页!$D$2),1,1),当年实际!$C:$C,"&lt;="&amp;EOMONTH(DATE(YEAR(主页!$D$2),MONTH(主页!$D$2),1),0))/SUMIFS(当年实际!$P:$P,当年实际!$F:$F,$C319,当年实际!$C:$C,"&gt;="&amp;DATE(YEAR(主页!$D$2),1,1),当年实际!$C:$C,"&lt;="&amp;EOMONTH(DATE(YEAR(主页!$D$2),MONTH(主页!$D$2),1),0)),"")</f>
        <v/>
      </c>
    </row>
    <row r="320" spans="1:10" x14ac:dyDescent="0.3">
      <c r="A320" s="150"/>
      <c r="B320" s="150"/>
      <c r="C320" s="150"/>
      <c r="D320" s="150"/>
      <c r="E320" s="140" t="str">
        <f t="shared" si="13"/>
        <v/>
      </c>
      <c r="F320" s="159"/>
      <c r="G320" s="145">
        <f t="shared" si="15"/>
        <v>0</v>
      </c>
      <c r="H320" s="140" t="str">
        <f t="shared" si="14"/>
        <v/>
      </c>
      <c r="J320" s="147" t="str">
        <f>IFERROR(SUMIFS(当年实际!$V:$V,当年实际!$F:$F,$C320,当年实际!$C:$C,"&gt;="&amp;DATE(YEAR(主页!$D$2),1,1),当年实际!$C:$C,"&lt;="&amp;EOMONTH(DATE(YEAR(主页!$D$2),MONTH(主页!$D$2),1),0))/SUMIFS(当年实际!$P:$P,当年实际!$F:$F,$C320,当年实际!$C:$C,"&gt;="&amp;DATE(YEAR(主页!$D$2),1,1),当年实际!$C:$C,"&lt;="&amp;EOMONTH(DATE(YEAR(主页!$D$2),MONTH(主页!$D$2),1),0)),"")</f>
        <v/>
      </c>
    </row>
    <row r="321" spans="1:10" x14ac:dyDescent="0.3">
      <c r="A321" s="150"/>
      <c r="B321" s="150"/>
      <c r="C321" s="150"/>
      <c r="D321" s="150"/>
      <c r="E321" s="140" t="str">
        <f t="shared" si="13"/>
        <v/>
      </c>
      <c r="F321" s="159"/>
      <c r="G321" s="145">
        <f t="shared" si="15"/>
        <v>0</v>
      </c>
      <c r="H321" s="140" t="str">
        <f t="shared" si="14"/>
        <v/>
      </c>
      <c r="J321" s="147" t="str">
        <f>IFERROR(SUMIFS(当年实际!$V:$V,当年实际!$F:$F,$C321,当年实际!$C:$C,"&gt;="&amp;DATE(YEAR(主页!$D$2),1,1),当年实际!$C:$C,"&lt;="&amp;EOMONTH(DATE(YEAR(主页!$D$2),MONTH(主页!$D$2),1),0))/SUMIFS(当年实际!$P:$P,当年实际!$F:$F,$C321,当年实际!$C:$C,"&gt;="&amp;DATE(YEAR(主页!$D$2),1,1),当年实际!$C:$C,"&lt;="&amp;EOMONTH(DATE(YEAR(主页!$D$2),MONTH(主页!$D$2),1),0)),"")</f>
        <v/>
      </c>
    </row>
    <row r="322" spans="1:10" x14ac:dyDescent="0.3">
      <c r="A322" s="150"/>
      <c r="B322" s="150"/>
      <c r="C322" s="150"/>
      <c r="D322" s="150"/>
      <c r="E322" s="140" t="str">
        <f t="shared" si="13"/>
        <v/>
      </c>
      <c r="F322" s="159"/>
      <c r="G322" s="145">
        <f t="shared" si="15"/>
        <v>0</v>
      </c>
      <c r="H322" s="140" t="str">
        <f t="shared" si="14"/>
        <v/>
      </c>
      <c r="J322" s="147" t="str">
        <f>IFERROR(SUMIFS(当年实际!$V:$V,当年实际!$F:$F,$C322,当年实际!$C:$C,"&gt;="&amp;DATE(YEAR(主页!$D$2),1,1),当年实际!$C:$C,"&lt;="&amp;EOMONTH(DATE(YEAR(主页!$D$2),MONTH(主页!$D$2),1),0))/SUMIFS(当年实际!$P:$P,当年实际!$F:$F,$C322,当年实际!$C:$C,"&gt;="&amp;DATE(YEAR(主页!$D$2),1,1),当年实际!$C:$C,"&lt;="&amp;EOMONTH(DATE(YEAR(主页!$D$2),MONTH(主页!$D$2),1),0)),"")</f>
        <v/>
      </c>
    </row>
    <row r="323" spans="1:10" x14ac:dyDescent="0.3">
      <c r="A323" s="150"/>
      <c r="B323" s="150"/>
      <c r="C323" s="150"/>
      <c r="D323" s="150"/>
      <c r="E323" s="140" t="str">
        <f t="shared" si="13"/>
        <v/>
      </c>
      <c r="F323" s="159"/>
      <c r="G323" s="145">
        <f t="shared" si="15"/>
        <v>0</v>
      </c>
      <c r="H323" s="140" t="str">
        <f t="shared" si="14"/>
        <v/>
      </c>
      <c r="J323" s="147" t="str">
        <f>IFERROR(SUMIFS(当年实际!$V:$V,当年实际!$F:$F,$C323,当年实际!$C:$C,"&gt;="&amp;DATE(YEAR(主页!$D$2),1,1),当年实际!$C:$C,"&lt;="&amp;EOMONTH(DATE(YEAR(主页!$D$2),MONTH(主页!$D$2),1),0))/SUMIFS(当年实际!$P:$P,当年实际!$F:$F,$C323,当年实际!$C:$C,"&gt;="&amp;DATE(YEAR(主页!$D$2),1,1),当年实际!$C:$C,"&lt;="&amp;EOMONTH(DATE(YEAR(主页!$D$2),MONTH(主页!$D$2),1),0)),"")</f>
        <v/>
      </c>
    </row>
    <row r="324" spans="1:10" x14ac:dyDescent="0.3">
      <c r="A324" s="150"/>
      <c r="B324" s="150"/>
      <c r="C324" s="150"/>
      <c r="D324" s="150"/>
      <c r="E324" s="140" t="str">
        <f t="shared" ref="E324:E387" si="16">IF(D324/SUM(D:D)=0,"",D324/SUM(D:D))</f>
        <v/>
      </c>
      <c r="F324" s="159"/>
      <c r="G324" s="145">
        <f t="shared" si="15"/>
        <v>0</v>
      </c>
      <c r="H324" s="140" t="str">
        <f t="shared" ref="H324:H387" si="17">IF(G324/SUM(G:G)=0,"",G324/SUM(G:G))</f>
        <v/>
      </c>
      <c r="J324" s="147" t="str">
        <f>IFERROR(SUMIFS(当年实际!$V:$V,当年实际!$F:$F,$C324,当年实际!$C:$C,"&gt;="&amp;DATE(YEAR(主页!$D$2),1,1),当年实际!$C:$C,"&lt;="&amp;EOMONTH(DATE(YEAR(主页!$D$2),MONTH(主页!$D$2),1),0))/SUMIFS(当年实际!$P:$P,当年实际!$F:$F,$C324,当年实际!$C:$C,"&gt;="&amp;DATE(YEAR(主页!$D$2),1,1),当年实际!$C:$C,"&lt;="&amp;EOMONTH(DATE(YEAR(主页!$D$2),MONTH(主页!$D$2),1),0)),"")</f>
        <v/>
      </c>
    </row>
    <row r="325" spans="1:10" x14ac:dyDescent="0.3">
      <c r="A325" s="150"/>
      <c r="B325" s="150"/>
      <c r="C325" s="150"/>
      <c r="D325" s="150"/>
      <c r="E325" s="140" t="str">
        <f t="shared" si="16"/>
        <v/>
      </c>
      <c r="F325" s="159"/>
      <c r="G325" s="145">
        <f t="shared" si="15"/>
        <v>0</v>
      </c>
      <c r="H325" s="140" t="str">
        <f t="shared" si="17"/>
        <v/>
      </c>
      <c r="J325" s="147" t="str">
        <f>IFERROR(SUMIFS(当年实际!$V:$V,当年实际!$F:$F,$C325,当年实际!$C:$C,"&gt;="&amp;DATE(YEAR(主页!$D$2),1,1),当年实际!$C:$C,"&lt;="&amp;EOMONTH(DATE(YEAR(主页!$D$2),MONTH(主页!$D$2),1),0))/SUMIFS(当年实际!$P:$P,当年实际!$F:$F,$C325,当年实际!$C:$C,"&gt;="&amp;DATE(YEAR(主页!$D$2),1,1),当年实际!$C:$C,"&lt;="&amp;EOMONTH(DATE(YEAR(主页!$D$2),MONTH(主页!$D$2),1),0)),"")</f>
        <v/>
      </c>
    </row>
    <row r="326" spans="1:10" x14ac:dyDescent="0.3">
      <c r="A326" s="150"/>
      <c r="B326" s="150"/>
      <c r="C326" s="150"/>
      <c r="D326" s="150"/>
      <c r="E326" s="140" t="str">
        <f t="shared" si="16"/>
        <v/>
      </c>
      <c r="F326" s="159"/>
      <c r="G326" s="145">
        <f t="shared" si="15"/>
        <v>0</v>
      </c>
      <c r="H326" s="140" t="str">
        <f t="shared" si="17"/>
        <v/>
      </c>
      <c r="J326" s="147" t="str">
        <f>IFERROR(SUMIFS(当年实际!$V:$V,当年实际!$F:$F,$C326,当年实际!$C:$C,"&gt;="&amp;DATE(YEAR(主页!$D$2),1,1),当年实际!$C:$C,"&lt;="&amp;EOMONTH(DATE(YEAR(主页!$D$2),MONTH(主页!$D$2),1),0))/SUMIFS(当年实际!$P:$P,当年实际!$F:$F,$C326,当年实际!$C:$C,"&gt;="&amp;DATE(YEAR(主页!$D$2),1,1),当年实际!$C:$C,"&lt;="&amp;EOMONTH(DATE(YEAR(主页!$D$2),MONTH(主页!$D$2),1),0)),"")</f>
        <v/>
      </c>
    </row>
    <row r="327" spans="1:10" x14ac:dyDescent="0.3">
      <c r="A327" s="150"/>
      <c r="B327" s="150"/>
      <c r="C327" s="150"/>
      <c r="D327" s="150"/>
      <c r="E327" s="140" t="str">
        <f t="shared" si="16"/>
        <v/>
      </c>
      <c r="F327" s="159"/>
      <c r="G327" s="145">
        <f t="shared" si="15"/>
        <v>0</v>
      </c>
      <c r="H327" s="140" t="str">
        <f t="shared" si="17"/>
        <v/>
      </c>
      <c r="J327" s="147" t="str">
        <f>IFERROR(SUMIFS(当年实际!$V:$V,当年实际!$F:$F,$C327,当年实际!$C:$C,"&gt;="&amp;DATE(YEAR(主页!$D$2),1,1),当年实际!$C:$C,"&lt;="&amp;EOMONTH(DATE(YEAR(主页!$D$2),MONTH(主页!$D$2),1),0))/SUMIFS(当年实际!$P:$P,当年实际!$F:$F,$C327,当年实际!$C:$C,"&gt;="&amp;DATE(YEAR(主页!$D$2),1,1),当年实际!$C:$C,"&lt;="&amp;EOMONTH(DATE(YEAR(主页!$D$2),MONTH(主页!$D$2),1),0)),"")</f>
        <v/>
      </c>
    </row>
    <row r="328" spans="1:10" x14ac:dyDescent="0.3">
      <c r="A328" s="150"/>
      <c r="B328" s="150"/>
      <c r="C328" s="150"/>
      <c r="D328" s="150"/>
      <c r="E328" s="140" t="str">
        <f t="shared" si="16"/>
        <v/>
      </c>
      <c r="F328" s="159"/>
      <c r="G328" s="145">
        <f t="shared" ref="G328:G391" si="18">D328*F328</f>
        <v>0</v>
      </c>
      <c r="H328" s="140" t="str">
        <f t="shared" si="17"/>
        <v/>
      </c>
      <c r="J328" s="147" t="str">
        <f>IFERROR(SUMIFS(当年实际!$V:$V,当年实际!$F:$F,$C328,当年实际!$C:$C,"&gt;="&amp;DATE(YEAR(主页!$D$2),1,1),当年实际!$C:$C,"&lt;="&amp;EOMONTH(DATE(YEAR(主页!$D$2),MONTH(主页!$D$2),1),0))/SUMIFS(当年实际!$P:$P,当年实际!$F:$F,$C328,当年实际!$C:$C,"&gt;="&amp;DATE(YEAR(主页!$D$2),1,1),当年实际!$C:$C,"&lt;="&amp;EOMONTH(DATE(YEAR(主页!$D$2),MONTH(主页!$D$2),1),0)),"")</f>
        <v/>
      </c>
    </row>
    <row r="329" spans="1:10" x14ac:dyDescent="0.3">
      <c r="A329" s="150"/>
      <c r="B329" s="150"/>
      <c r="C329" s="150"/>
      <c r="D329" s="150"/>
      <c r="E329" s="140" t="str">
        <f t="shared" si="16"/>
        <v/>
      </c>
      <c r="F329" s="159"/>
      <c r="G329" s="145">
        <f t="shared" si="18"/>
        <v>0</v>
      </c>
      <c r="H329" s="140" t="str">
        <f t="shared" si="17"/>
        <v/>
      </c>
      <c r="J329" s="147" t="str">
        <f>IFERROR(SUMIFS(当年实际!$V:$V,当年实际!$F:$F,$C329,当年实际!$C:$C,"&gt;="&amp;DATE(YEAR(主页!$D$2),1,1),当年实际!$C:$C,"&lt;="&amp;EOMONTH(DATE(YEAR(主页!$D$2),MONTH(主页!$D$2),1),0))/SUMIFS(当年实际!$P:$P,当年实际!$F:$F,$C329,当年实际!$C:$C,"&gt;="&amp;DATE(YEAR(主页!$D$2),1,1),当年实际!$C:$C,"&lt;="&amp;EOMONTH(DATE(YEAR(主页!$D$2),MONTH(主页!$D$2),1),0)),"")</f>
        <v/>
      </c>
    </row>
    <row r="330" spans="1:10" x14ac:dyDescent="0.3">
      <c r="A330" s="150"/>
      <c r="B330" s="150"/>
      <c r="C330" s="150"/>
      <c r="D330" s="150"/>
      <c r="E330" s="140" t="str">
        <f t="shared" si="16"/>
        <v/>
      </c>
      <c r="F330" s="159"/>
      <c r="G330" s="145">
        <f t="shared" si="18"/>
        <v>0</v>
      </c>
      <c r="H330" s="140" t="str">
        <f t="shared" si="17"/>
        <v/>
      </c>
      <c r="J330" s="147" t="str">
        <f>IFERROR(SUMIFS(当年实际!$V:$V,当年实际!$F:$F,$C330,当年实际!$C:$C,"&gt;="&amp;DATE(YEAR(主页!$D$2),1,1),当年实际!$C:$C,"&lt;="&amp;EOMONTH(DATE(YEAR(主页!$D$2),MONTH(主页!$D$2),1),0))/SUMIFS(当年实际!$P:$P,当年实际!$F:$F,$C330,当年实际!$C:$C,"&gt;="&amp;DATE(YEAR(主页!$D$2),1,1),当年实际!$C:$C,"&lt;="&amp;EOMONTH(DATE(YEAR(主页!$D$2),MONTH(主页!$D$2),1),0)),"")</f>
        <v/>
      </c>
    </row>
    <row r="331" spans="1:10" x14ac:dyDescent="0.3">
      <c r="A331" s="150"/>
      <c r="B331" s="150"/>
      <c r="C331" s="150"/>
      <c r="D331" s="150"/>
      <c r="E331" s="140" t="str">
        <f t="shared" si="16"/>
        <v/>
      </c>
      <c r="F331" s="159"/>
      <c r="G331" s="145">
        <f t="shared" si="18"/>
        <v>0</v>
      </c>
      <c r="H331" s="140" t="str">
        <f t="shared" si="17"/>
        <v/>
      </c>
      <c r="J331" s="147" t="str">
        <f>IFERROR(SUMIFS(当年实际!$V:$V,当年实际!$F:$F,$C331,当年实际!$C:$C,"&gt;="&amp;DATE(YEAR(主页!$D$2),1,1),当年实际!$C:$C,"&lt;="&amp;EOMONTH(DATE(YEAR(主页!$D$2),MONTH(主页!$D$2),1),0))/SUMIFS(当年实际!$P:$P,当年实际!$F:$F,$C331,当年实际!$C:$C,"&gt;="&amp;DATE(YEAR(主页!$D$2),1,1),当年实际!$C:$C,"&lt;="&amp;EOMONTH(DATE(YEAR(主页!$D$2),MONTH(主页!$D$2),1),0)),"")</f>
        <v/>
      </c>
    </row>
    <row r="332" spans="1:10" x14ac:dyDescent="0.3">
      <c r="A332" s="150"/>
      <c r="B332" s="150"/>
      <c r="C332" s="150"/>
      <c r="D332" s="150"/>
      <c r="E332" s="140" t="str">
        <f t="shared" si="16"/>
        <v/>
      </c>
      <c r="F332" s="159"/>
      <c r="G332" s="145">
        <f t="shared" si="18"/>
        <v>0</v>
      </c>
      <c r="H332" s="140" t="str">
        <f t="shared" si="17"/>
        <v/>
      </c>
      <c r="J332" s="147" t="str">
        <f>IFERROR(SUMIFS(当年实际!$V:$V,当年实际!$F:$F,$C332,当年实际!$C:$C,"&gt;="&amp;DATE(YEAR(主页!$D$2),1,1),当年实际!$C:$C,"&lt;="&amp;EOMONTH(DATE(YEAR(主页!$D$2),MONTH(主页!$D$2),1),0))/SUMIFS(当年实际!$P:$P,当年实际!$F:$F,$C332,当年实际!$C:$C,"&gt;="&amp;DATE(YEAR(主页!$D$2),1,1),当年实际!$C:$C,"&lt;="&amp;EOMONTH(DATE(YEAR(主页!$D$2),MONTH(主页!$D$2),1),0)),"")</f>
        <v/>
      </c>
    </row>
    <row r="333" spans="1:10" x14ac:dyDescent="0.3">
      <c r="A333" s="150"/>
      <c r="B333" s="150"/>
      <c r="C333" s="150"/>
      <c r="D333" s="150"/>
      <c r="E333" s="140" t="str">
        <f t="shared" si="16"/>
        <v/>
      </c>
      <c r="F333" s="159"/>
      <c r="G333" s="145">
        <f t="shared" si="18"/>
        <v>0</v>
      </c>
      <c r="H333" s="140" t="str">
        <f t="shared" si="17"/>
        <v/>
      </c>
      <c r="J333" s="147" t="str">
        <f>IFERROR(SUMIFS(当年实际!$V:$V,当年实际!$F:$F,$C333,当年实际!$C:$C,"&gt;="&amp;DATE(YEAR(主页!$D$2),1,1),当年实际!$C:$C,"&lt;="&amp;EOMONTH(DATE(YEAR(主页!$D$2),MONTH(主页!$D$2),1),0))/SUMIFS(当年实际!$P:$P,当年实际!$F:$F,$C333,当年实际!$C:$C,"&gt;="&amp;DATE(YEAR(主页!$D$2),1,1),当年实际!$C:$C,"&lt;="&amp;EOMONTH(DATE(YEAR(主页!$D$2),MONTH(主页!$D$2),1),0)),"")</f>
        <v/>
      </c>
    </row>
    <row r="334" spans="1:10" x14ac:dyDescent="0.3">
      <c r="A334" s="150"/>
      <c r="B334" s="150"/>
      <c r="C334" s="150"/>
      <c r="D334" s="150"/>
      <c r="E334" s="140" t="str">
        <f t="shared" si="16"/>
        <v/>
      </c>
      <c r="F334" s="159"/>
      <c r="G334" s="145">
        <f t="shared" si="18"/>
        <v>0</v>
      </c>
      <c r="H334" s="140" t="str">
        <f t="shared" si="17"/>
        <v/>
      </c>
      <c r="J334" s="147" t="str">
        <f>IFERROR(SUMIFS(当年实际!$V:$V,当年实际!$F:$F,$C334,当年实际!$C:$C,"&gt;="&amp;DATE(YEAR(主页!$D$2),1,1),当年实际!$C:$C,"&lt;="&amp;EOMONTH(DATE(YEAR(主页!$D$2),MONTH(主页!$D$2),1),0))/SUMIFS(当年实际!$P:$P,当年实际!$F:$F,$C334,当年实际!$C:$C,"&gt;="&amp;DATE(YEAR(主页!$D$2),1,1),当年实际!$C:$C,"&lt;="&amp;EOMONTH(DATE(YEAR(主页!$D$2),MONTH(主页!$D$2),1),0)),"")</f>
        <v/>
      </c>
    </row>
    <row r="335" spans="1:10" x14ac:dyDescent="0.3">
      <c r="A335" s="150"/>
      <c r="B335" s="150"/>
      <c r="C335" s="150"/>
      <c r="D335" s="150"/>
      <c r="E335" s="140" t="str">
        <f t="shared" si="16"/>
        <v/>
      </c>
      <c r="F335" s="159"/>
      <c r="G335" s="145">
        <f t="shared" si="18"/>
        <v>0</v>
      </c>
      <c r="H335" s="140" t="str">
        <f t="shared" si="17"/>
        <v/>
      </c>
      <c r="J335" s="147" t="str">
        <f>IFERROR(SUMIFS(当年实际!$V:$V,当年实际!$F:$F,$C335,当年实际!$C:$C,"&gt;="&amp;DATE(YEAR(主页!$D$2),1,1),当年实际!$C:$C,"&lt;="&amp;EOMONTH(DATE(YEAR(主页!$D$2),MONTH(主页!$D$2),1),0))/SUMIFS(当年实际!$P:$P,当年实际!$F:$F,$C335,当年实际!$C:$C,"&gt;="&amp;DATE(YEAR(主页!$D$2),1,1),当年实际!$C:$C,"&lt;="&amp;EOMONTH(DATE(YEAR(主页!$D$2),MONTH(主页!$D$2),1),0)),"")</f>
        <v/>
      </c>
    </row>
    <row r="336" spans="1:10" x14ac:dyDescent="0.3">
      <c r="A336" s="150"/>
      <c r="B336" s="150"/>
      <c r="C336" s="150"/>
      <c r="D336" s="150"/>
      <c r="E336" s="140" t="str">
        <f t="shared" si="16"/>
        <v/>
      </c>
      <c r="F336" s="159"/>
      <c r="G336" s="145">
        <f t="shared" si="18"/>
        <v>0</v>
      </c>
      <c r="H336" s="140" t="str">
        <f t="shared" si="17"/>
        <v/>
      </c>
      <c r="J336" s="147" t="str">
        <f>IFERROR(SUMIFS(当年实际!$V:$V,当年实际!$F:$F,$C336,当年实际!$C:$C,"&gt;="&amp;DATE(YEAR(主页!$D$2),1,1),当年实际!$C:$C,"&lt;="&amp;EOMONTH(DATE(YEAR(主页!$D$2),MONTH(主页!$D$2),1),0))/SUMIFS(当年实际!$P:$P,当年实际!$F:$F,$C336,当年实际!$C:$C,"&gt;="&amp;DATE(YEAR(主页!$D$2),1,1),当年实际!$C:$C,"&lt;="&amp;EOMONTH(DATE(YEAR(主页!$D$2),MONTH(主页!$D$2),1),0)),"")</f>
        <v/>
      </c>
    </row>
    <row r="337" spans="1:10" x14ac:dyDescent="0.3">
      <c r="A337" s="150"/>
      <c r="B337" s="150"/>
      <c r="C337" s="150"/>
      <c r="D337" s="150"/>
      <c r="E337" s="140" t="str">
        <f t="shared" si="16"/>
        <v/>
      </c>
      <c r="F337" s="159"/>
      <c r="G337" s="145">
        <f t="shared" si="18"/>
        <v>0</v>
      </c>
      <c r="H337" s="140" t="str">
        <f t="shared" si="17"/>
        <v/>
      </c>
      <c r="J337" s="147" t="str">
        <f>IFERROR(SUMIFS(当年实际!$V:$V,当年实际!$F:$F,$C337,当年实际!$C:$C,"&gt;="&amp;DATE(YEAR(主页!$D$2),1,1),当年实际!$C:$C,"&lt;="&amp;EOMONTH(DATE(YEAR(主页!$D$2),MONTH(主页!$D$2),1),0))/SUMIFS(当年实际!$P:$P,当年实际!$F:$F,$C337,当年实际!$C:$C,"&gt;="&amp;DATE(YEAR(主页!$D$2),1,1),当年实际!$C:$C,"&lt;="&amp;EOMONTH(DATE(YEAR(主页!$D$2),MONTH(主页!$D$2),1),0)),"")</f>
        <v/>
      </c>
    </row>
    <row r="338" spans="1:10" x14ac:dyDescent="0.3">
      <c r="A338" s="150"/>
      <c r="B338" s="150"/>
      <c r="C338" s="150"/>
      <c r="D338" s="150"/>
      <c r="E338" s="140" t="str">
        <f t="shared" si="16"/>
        <v/>
      </c>
      <c r="F338" s="159"/>
      <c r="G338" s="145">
        <f t="shared" si="18"/>
        <v>0</v>
      </c>
      <c r="H338" s="140" t="str">
        <f t="shared" si="17"/>
        <v/>
      </c>
      <c r="J338" s="147" t="str">
        <f>IFERROR(SUMIFS(当年实际!$V:$V,当年实际!$F:$F,$C338,当年实际!$C:$C,"&gt;="&amp;DATE(YEAR(主页!$D$2),1,1),当年实际!$C:$C,"&lt;="&amp;EOMONTH(DATE(YEAR(主页!$D$2),MONTH(主页!$D$2),1),0))/SUMIFS(当年实际!$P:$P,当年实际!$F:$F,$C338,当年实际!$C:$C,"&gt;="&amp;DATE(YEAR(主页!$D$2),1,1),当年实际!$C:$C,"&lt;="&amp;EOMONTH(DATE(YEAR(主页!$D$2),MONTH(主页!$D$2),1),0)),"")</f>
        <v/>
      </c>
    </row>
    <row r="339" spans="1:10" x14ac:dyDescent="0.3">
      <c r="A339" s="150"/>
      <c r="B339" s="150"/>
      <c r="C339" s="150"/>
      <c r="D339" s="150"/>
      <c r="E339" s="140" t="str">
        <f t="shared" si="16"/>
        <v/>
      </c>
      <c r="F339" s="159"/>
      <c r="G339" s="145">
        <f t="shared" si="18"/>
        <v>0</v>
      </c>
      <c r="H339" s="140" t="str">
        <f t="shared" si="17"/>
        <v/>
      </c>
      <c r="J339" s="147" t="str">
        <f>IFERROR(SUMIFS(当年实际!$V:$V,当年实际!$F:$F,$C339,当年实际!$C:$C,"&gt;="&amp;DATE(YEAR(主页!$D$2),1,1),当年实际!$C:$C,"&lt;="&amp;EOMONTH(DATE(YEAR(主页!$D$2),MONTH(主页!$D$2),1),0))/SUMIFS(当年实际!$P:$P,当年实际!$F:$F,$C339,当年实际!$C:$C,"&gt;="&amp;DATE(YEAR(主页!$D$2),1,1),当年实际!$C:$C,"&lt;="&amp;EOMONTH(DATE(YEAR(主页!$D$2),MONTH(主页!$D$2),1),0)),"")</f>
        <v/>
      </c>
    </row>
    <row r="340" spans="1:10" x14ac:dyDescent="0.3">
      <c r="A340" s="150"/>
      <c r="B340" s="150"/>
      <c r="C340" s="150"/>
      <c r="D340" s="150"/>
      <c r="E340" s="140" t="str">
        <f t="shared" si="16"/>
        <v/>
      </c>
      <c r="F340" s="159"/>
      <c r="G340" s="145">
        <f t="shared" si="18"/>
        <v>0</v>
      </c>
      <c r="H340" s="140" t="str">
        <f t="shared" si="17"/>
        <v/>
      </c>
      <c r="J340" s="147" t="str">
        <f>IFERROR(SUMIFS(当年实际!$V:$V,当年实际!$F:$F,$C340,当年实际!$C:$C,"&gt;="&amp;DATE(YEAR(主页!$D$2),1,1),当年实际!$C:$C,"&lt;="&amp;EOMONTH(DATE(YEAR(主页!$D$2),MONTH(主页!$D$2),1),0))/SUMIFS(当年实际!$P:$P,当年实际!$F:$F,$C340,当年实际!$C:$C,"&gt;="&amp;DATE(YEAR(主页!$D$2),1,1),当年实际!$C:$C,"&lt;="&amp;EOMONTH(DATE(YEAR(主页!$D$2),MONTH(主页!$D$2),1),0)),"")</f>
        <v/>
      </c>
    </row>
    <row r="341" spans="1:10" x14ac:dyDescent="0.3">
      <c r="A341" s="150"/>
      <c r="B341" s="150"/>
      <c r="C341" s="150"/>
      <c r="D341" s="150"/>
      <c r="E341" s="140" t="str">
        <f t="shared" si="16"/>
        <v/>
      </c>
      <c r="F341" s="159"/>
      <c r="G341" s="145">
        <f t="shared" si="18"/>
        <v>0</v>
      </c>
      <c r="H341" s="140" t="str">
        <f t="shared" si="17"/>
        <v/>
      </c>
      <c r="J341" s="147" t="str">
        <f>IFERROR(SUMIFS(当年实际!$V:$V,当年实际!$F:$F,$C341,当年实际!$C:$C,"&gt;="&amp;DATE(YEAR(主页!$D$2),1,1),当年实际!$C:$C,"&lt;="&amp;EOMONTH(DATE(YEAR(主页!$D$2),MONTH(主页!$D$2),1),0))/SUMIFS(当年实际!$P:$P,当年实际!$F:$F,$C341,当年实际!$C:$C,"&gt;="&amp;DATE(YEAR(主页!$D$2),1,1),当年实际!$C:$C,"&lt;="&amp;EOMONTH(DATE(YEAR(主页!$D$2),MONTH(主页!$D$2),1),0)),"")</f>
        <v/>
      </c>
    </row>
    <row r="342" spans="1:10" x14ac:dyDescent="0.3">
      <c r="A342" s="150"/>
      <c r="B342" s="150"/>
      <c r="C342" s="150"/>
      <c r="D342" s="150"/>
      <c r="E342" s="140" t="str">
        <f t="shared" si="16"/>
        <v/>
      </c>
      <c r="F342" s="159"/>
      <c r="G342" s="145">
        <f t="shared" si="18"/>
        <v>0</v>
      </c>
      <c r="H342" s="140" t="str">
        <f t="shared" si="17"/>
        <v/>
      </c>
      <c r="J342" s="147" t="str">
        <f>IFERROR(SUMIFS(当年实际!$V:$V,当年实际!$F:$F,$C342,当年实际!$C:$C,"&gt;="&amp;DATE(YEAR(主页!$D$2),1,1),当年实际!$C:$C,"&lt;="&amp;EOMONTH(DATE(YEAR(主页!$D$2),MONTH(主页!$D$2),1),0))/SUMIFS(当年实际!$P:$P,当年实际!$F:$F,$C342,当年实际!$C:$C,"&gt;="&amp;DATE(YEAR(主页!$D$2),1,1),当年实际!$C:$C,"&lt;="&amp;EOMONTH(DATE(YEAR(主页!$D$2),MONTH(主页!$D$2),1),0)),"")</f>
        <v/>
      </c>
    </row>
    <row r="343" spans="1:10" x14ac:dyDescent="0.3">
      <c r="A343" s="150"/>
      <c r="B343" s="150"/>
      <c r="C343" s="150"/>
      <c r="D343" s="150"/>
      <c r="E343" s="140" t="str">
        <f t="shared" si="16"/>
        <v/>
      </c>
      <c r="F343" s="159"/>
      <c r="G343" s="145">
        <f t="shared" si="18"/>
        <v>0</v>
      </c>
      <c r="H343" s="140" t="str">
        <f t="shared" si="17"/>
        <v/>
      </c>
      <c r="J343" s="147" t="str">
        <f>IFERROR(SUMIFS(当年实际!$V:$V,当年实际!$F:$F,$C343,当年实际!$C:$C,"&gt;="&amp;DATE(YEAR(主页!$D$2),1,1),当年实际!$C:$C,"&lt;="&amp;EOMONTH(DATE(YEAR(主页!$D$2),MONTH(主页!$D$2),1),0))/SUMIFS(当年实际!$P:$P,当年实际!$F:$F,$C343,当年实际!$C:$C,"&gt;="&amp;DATE(YEAR(主页!$D$2),1,1),当年实际!$C:$C,"&lt;="&amp;EOMONTH(DATE(YEAR(主页!$D$2),MONTH(主页!$D$2),1),0)),"")</f>
        <v/>
      </c>
    </row>
    <row r="344" spans="1:10" x14ac:dyDescent="0.3">
      <c r="A344" s="150"/>
      <c r="B344" s="150"/>
      <c r="C344" s="150"/>
      <c r="D344" s="150"/>
      <c r="E344" s="140" t="str">
        <f t="shared" si="16"/>
        <v/>
      </c>
      <c r="F344" s="159"/>
      <c r="G344" s="145">
        <f t="shared" si="18"/>
        <v>0</v>
      </c>
      <c r="H344" s="140" t="str">
        <f t="shared" si="17"/>
        <v/>
      </c>
      <c r="J344" s="147" t="str">
        <f>IFERROR(SUMIFS(当年实际!$V:$V,当年实际!$F:$F,$C344,当年实际!$C:$C,"&gt;="&amp;DATE(YEAR(主页!$D$2),1,1),当年实际!$C:$C,"&lt;="&amp;EOMONTH(DATE(YEAR(主页!$D$2),MONTH(主页!$D$2),1),0))/SUMIFS(当年实际!$P:$P,当年实际!$F:$F,$C344,当年实际!$C:$C,"&gt;="&amp;DATE(YEAR(主页!$D$2),1,1),当年实际!$C:$C,"&lt;="&amp;EOMONTH(DATE(YEAR(主页!$D$2),MONTH(主页!$D$2),1),0)),"")</f>
        <v/>
      </c>
    </row>
    <row r="345" spans="1:10" x14ac:dyDescent="0.3">
      <c r="A345" s="150"/>
      <c r="B345" s="150"/>
      <c r="C345" s="150"/>
      <c r="D345" s="150"/>
      <c r="E345" s="140" t="str">
        <f t="shared" si="16"/>
        <v/>
      </c>
      <c r="F345" s="159"/>
      <c r="G345" s="145">
        <f t="shared" si="18"/>
        <v>0</v>
      </c>
      <c r="H345" s="140" t="str">
        <f t="shared" si="17"/>
        <v/>
      </c>
      <c r="J345" s="147" t="str">
        <f>IFERROR(SUMIFS(当年实际!$V:$V,当年实际!$F:$F,$C345,当年实际!$C:$C,"&gt;="&amp;DATE(YEAR(主页!$D$2),1,1),当年实际!$C:$C,"&lt;="&amp;EOMONTH(DATE(YEAR(主页!$D$2),MONTH(主页!$D$2),1),0))/SUMIFS(当年实际!$P:$P,当年实际!$F:$F,$C345,当年实际!$C:$C,"&gt;="&amp;DATE(YEAR(主页!$D$2),1,1),当年实际!$C:$C,"&lt;="&amp;EOMONTH(DATE(YEAR(主页!$D$2),MONTH(主页!$D$2),1),0)),"")</f>
        <v/>
      </c>
    </row>
    <row r="346" spans="1:10" x14ac:dyDescent="0.3">
      <c r="A346" s="150"/>
      <c r="B346" s="150"/>
      <c r="C346" s="150"/>
      <c r="D346" s="150"/>
      <c r="E346" s="140" t="str">
        <f t="shared" si="16"/>
        <v/>
      </c>
      <c r="F346" s="159"/>
      <c r="G346" s="145">
        <f t="shared" si="18"/>
        <v>0</v>
      </c>
      <c r="H346" s="140" t="str">
        <f t="shared" si="17"/>
        <v/>
      </c>
      <c r="J346" s="147" t="str">
        <f>IFERROR(SUMIFS(当年实际!$V:$V,当年实际!$F:$F,$C346,当年实际!$C:$C,"&gt;="&amp;DATE(YEAR(主页!$D$2),1,1),当年实际!$C:$C,"&lt;="&amp;EOMONTH(DATE(YEAR(主页!$D$2),MONTH(主页!$D$2),1),0))/SUMIFS(当年实际!$P:$P,当年实际!$F:$F,$C346,当年实际!$C:$C,"&gt;="&amp;DATE(YEAR(主页!$D$2),1,1),当年实际!$C:$C,"&lt;="&amp;EOMONTH(DATE(YEAR(主页!$D$2),MONTH(主页!$D$2),1),0)),"")</f>
        <v/>
      </c>
    </row>
    <row r="347" spans="1:10" x14ac:dyDescent="0.3">
      <c r="A347" s="150"/>
      <c r="B347" s="150"/>
      <c r="C347" s="150"/>
      <c r="D347" s="150"/>
      <c r="E347" s="140" t="str">
        <f t="shared" si="16"/>
        <v/>
      </c>
      <c r="F347" s="159"/>
      <c r="G347" s="145">
        <f t="shared" si="18"/>
        <v>0</v>
      </c>
      <c r="H347" s="140" t="str">
        <f t="shared" si="17"/>
        <v/>
      </c>
      <c r="J347" s="147" t="str">
        <f>IFERROR(SUMIFS(当年实际!$V:$V,当年实际!$F:$F,$C347,当年实际!$C:$C,"&gt;="&amp;DATE(YEAR(主页!$D$2),1,1),当年实际!$C:$C,"&lt;="&amp;EOMONTH(DATE(YEAR(主页!$D$2),MONTH(主页!$D$2),1),0))/SUMIFS(当年实际!$P:$P,当年实际!$F:$F,$C347,当年实际!$C:$C,"&gt;="&amp;DATE(YEAR(主页!$D$2),1,1),当年实际!$C:$C,"&lt;="&amp;EOMONTH(DATE(YEAR(主页!$D$2),MONTH(主页!$D$2),1),0)),"")</f>
        <v/>
      </c>
    </row>
    <row r="348" spans="1:10" x14ac:dyDescent="0.3">
      <c r="A348" s="150"/>
      <c r="B348" s="150"/>
      <c r="C348" s="150"/>
      <c r="D348" s="150"/>
      <c r="E348" s="140" t="str">
        <f t="shared" si="16"/>
        <v/>
      </c>
      <c r="F348" s="159"/>
      <c r="G348" s="145">
        <f t="shared" si="18"/>
        <v>0</v>
      </c>
      <c r="H348" s="140" t="str">
        <f t="shared" si="17"/>
        <v/>
      </c>
      <c r="J348" s="147" t="str">
        <f>IFERROR(SUMIFS(当年实际!$V:$V,当年实际!$F:$F,$C348,当年实际!$C:$C,"&gt;="&amp;DATE(YEAR(主页!$D$2),1,1),当年实际!$C:$C,"&lt;="&amp;EOMONTH(DATE(YEAR(主页!$D$2),MONTH(主页!$D$2),1),0))/SUMIFS(当年实际!$P:$P,当年实际!$F:$F,$C348,当年实际!$C:$C,"&gt;="&amp;DATE(YEAR(主页!$D$2),1,1),当年实际!$C:$C,"&lt;="&amp;EOMONTH(DATE(YEAR(主页!$D$2),MONTH(主页!$D$2),1),0)),"")</f>
        <v/>
      </c>
    </row>
    <row r="349" spans="1:10" x14ac:dyDescent="0.3">
      <c r="A349" s="150"/>
      <c r="B349" s="150"/>
      <c r="C349" s="150"/>
      <c r="D349" s="150"/>
      <c r="E349" s="140" t="str">
        <f t="shared" si="16"/>
        <v/>
      </c>
      <c r="F349" s="159"/>
      <c r="G349" s="145">
        <f t="shared" si="18"/>
        <v>0</v>
      </c>
      <c r="H349" s="140" t="str">
        <f t="shared" si="17"/>
        <v/>
      </c>
      <c r="J349" s="147" t="str">
        <f>IFERROR(SUMIFS(当年实际!$V:$V,当年实际!$F:$F,$C349,当年实际!$C:$C,"&gt;="&amp;DATE(YEAR(主页!$D$2),1,1),当年实际!$C:$C,"&lt;="&amp;EOMONTH(DATE(YEAR(主页!$D$2),MONTH(主页!$D$2),1),0))/SUMIFS(当年实际!$P:$P,当年实际!$F:$F,$C349,当年实际!$C:$C,"&gt;="&amp;DATE(YEAR(主页!$D$2),1,1),当年实际!$C:$C,"&lt;="&amp;EOMONTH(DATE(YEAR(主页!$D$2),MONTH(主页!$D$2),1),0)),"")</f>
        <v/>
      </c>
    </row>
    <row r="350" spans="1:10" x14ac:dyDescent="0.3">
      <c r="A350" s="150"/>
      <c r="B350" s="150"/>
      <c r="C350" s="150"/>
      <c r="D350" s="150"/>
      <c r="E350" s="140" t="str">
        <f t="shared" si="16"/>
        <v/>
      </c>
      <c r="F350" s="159"/>
      <c r="G350" s="145">
        <f t="shared" si="18"/>
        <v>0</v>
      </c>
      <c r="H350" s="140" t="str">
        <f t="shared" si="17"/>
        <v/>
      </c>
      <c r="J350" s="147" t="str">
        <f>IFERROR(SUMIFS(当年实际!$V:$V,当年实际!$F:$F,$C350,当年实际!$C:$C,"&gt;="&amp;DATE(YEAR(主页!$D$2),1,1),当年实际!$C:$C,"&lt;="&amp;EOMONTH(DATE(YEAR(主页!$D$2),MONTH(主页!$D$2),1),0))/SUMIFS(当年实际!$P:$P,当年实际!$F:$F,$C350,当年实际!$C:$C,"&gt;="&amp;DATE(YEAR(主页!$D$2),1,1),当年实际!$C:$C,"&lt;="&amp;EOMONTH(DATE(YEAR(主页!$D$2),MONTH(主页!$D$2),1),0)),"")</f>
        <v/>
      </c>
    </row>
    <row r="351" spans="1:10" x14ac:dyDescent="0.3">
      <c r="A351" s="150"/>
      <c r="B351" s="150"/>
      <c r="C351" s="150"/>
      <c r="D351" s="150"/>
      <c r="E351" s="140" t="str">
        <f t="shared" si="16"/>
        <v/>
      </c>
      <c r="F351" s="159"/>
      <c r="G351" s="145">
        <f t="shared" si="18"/>
        <v>0</v>
      </c>
      <c r="H351" s="140" t="str">
        <f t="shared" si="17"/>
        <v/>
      </c>
      <c r="J351" s="147" t="str">
        <f>IFERROR(SUMIFS(当年实际!$V:$V,当年实际!$F:$F,$C351,当年实际!$C:$C,"&gt;="&amp;DATE(YEAR(主页!$D$2),1,1),当年实际!$C:$C,"&lt;="&amp;EOMONTH(DATE(YEAR(主页!$D$2),MONTH(主页!$D$2),1),0))/SUMIFS(当年实际!$P:$P,当年实际!$F:$F,$C351,当年实际!$C:$C,"&gt;="&amp;DATE(YEAR(主页!$D$2),1,1),当年实际!$C:$C,"&lt;="&amp;EOMONTH(DATE(YEAR(主页!$D$2),MONTH(主页!$D$2),1),0)),"")</f>
        <v/>
      </c>
    </row>
    <row r="352" spans="1:10" x14ac:dyDescent="0.3">
      <c r="A352" s="150"/>
      <c r="B352" s="150"/>
      <c r="C352" s="150"/>
      <c r="D352" s="150"/>
      <c r="E352" s="140" t="str">
        <f t="shared" si="16"/>
        <v/>
      </c>
      <c r="F352" s="159"/>
      <c r="G352" s="145">
        <f t="shared" si="18"/>
        <v>0</v>
      </c>
      <c r="H352" s="140" t="str">
        <f t="shared" si="17"/>
        <v/>
      </c>
      <c r="J352" s="147" t="str">
        <f>IFERROR(SUMIFS(当年实际!$V:$V,当年实际!$F:$F,$C352,当年实际!$C:$C,"&gt;="&amp;DATE(YEAR(主页!$D$2),1,1),当年实际!$C:$C,"&lt;="&amp;EOMONTH(DATE(YEAR(主页!$D$2),MONTH(主页!$D$2),1),0))/SUMIFS(当年实际!$P:$P,当年实际!$F:$F,$C352,当年实际!$C:$C,"&gt;="&amp;DATE(YEAR(主页!$D$2),1,1),当年实际!$C:$C,"&lt;="&amp;EOMONTH(DATE(YEAR(主页!$D$2),MONTH(主页!$D$2),1),0)),"")</f>
        <v/>
      </c>
    </row>
    <row r="353" spans="1:10" x14ac:dyDescent="0.3">
      <c r="A353" s="150"/>
      <c r="B353" s="150"/>
      <c r="C353" s="150"/>
      <c r="D353" s="150"/>
      <c r="E353" s="140" t="str">
        <f t="shared" si="16"/>
        <v/>
      </c>
      <c r="F353" s="159"/>
      <c r="G353" s="145">
        <f t="shared" si="18"/>
        <v>0</v>
      </c>
      <c r="H353" s="140" t="str">
        <f t="shared" si="17"/>
        <v/>
      </c>
      <c r="J353" s="147" t="str">
        <f>IFERROR(SUMIFS(当年实际!$V:$V,当年实际!$F:$F,$C353,当年实际!$C:$C,"&gt;="&amp;DATE(YEAR(主页!$D$2),1,1),当年实际!$C:$C,"&lt;="&amp;EOMONTH(DATE(YEAR(主页!$D$2),MONTH(主页!$D$2),1),0))/SUMIFS(当年实际!$P:$P,当年实际!$F:$F,$C353,当年实际!$C:$C,"&gt;="&amp;DATE(YEAR(主页!$D$2),1,1),当年实际!$C:$C,"&lt;="&amp;EOMONTH(DATE(YEAR(主页!$D$2),MONTH(主页!$D$2),1),0)),"")</f>
        <v/>
      </c>
    </row>
    <row r="354" spans="1:10" x14ac:dyDescent="0.3">
      <c r="A354" s="150"/>
      <c r="B354" s="150"/>
      <c r="C354" s="150"/>
      <c r="D354" s="150"/>
      <c r="E354" s="140" t="str">
        <f t="shared" si="16"/>
        <v/>
      </c>
      <c r="F354" s="159"/>
      <c r="G354" s="145">
        <f t="shared" si="18"/>
        <v>0</v>
      </c>
      <c r="H354" s="140" t="str">
        <f t="shared" si="17"/>
        <v/>
      </c>
      <c r="J354" s="147" t="str">
        <f>IFERROR(SUMIFS(当年实际!$V:$V,当年实际!$F:$F,$C354,当年实际!$C:$C,"&gt;="&amp;DATE(YEAR(主页!$D$2),1,1),当年实际!$C:$C,"&lt;="&amp;EOMONTH(DATE(YEAR(主页!$D$2),MONTH(主页!$D$2),1),0))/SUMIFS(当年实际!$P:$P,当年实际!$F:$F,$C354,当年实际!$C:$C,"&gt;="&amp;DATE(YEAR(主页!$D$2),1,1),当年实际!$C:$C,"&lt;="&amp;EOMONTH(DATE(YEAR(主页!$D$2),MONTH(主页!$D$2),1),0)),"")</f>
        <v/>
      </c>
    </row>
    <row r="355" spans="1:10" x14ac:dyDescent="0.3">
      <c r="A355" s="150"/>
      <c r="B355" s="150"/>
      <c r="C355" s="150"/>
      <c r="D355" s="150"/>
      <c r="E355" s="140" t="str">
        <f t="shared" si="16"/>
        <v/>
      </c>
      <c r="F355" s="159"/>
      <c r="G355" s="145">
        <f t="shared" si="18"/>
        <v>0</v>
      </c>
      <c r="H355" s="140" t="str">
        <f t="shared" si="17"/>
        <v/>
      </c>
      <c r="J355" s="147" t="str">
        <f>IFERROR(SUMIFS(当年实际!$V:$V,当年实际!$F:$F,$C355,当年实际!$C:$C,"&gt;="&amp;DATE(YEAR(主页!$D$2),1,1),当年实际!$C:$C,"&lt;="&amp;EOMONTH(DATE(YEAR(主页!$D$2),MONTH(主页!$D$2),1),0))/SUMIFS(当年实际!$P:$P,当年实际!$F:$F,$C355,当年实际!$C:$C,"&gt;="&amp;DATE(YEAR(主页!$D$2),1,1),当年实际!$C:$C,"&lt;="&amp;EOMONTH(DATE(YEAR(主页!$D$2),MONTH(主页!$D$2),1),0)),"")</f>
        <v/>
      </c>
    </row>
    <row r="356" spans="1:10" x14ac:dyDescent="0.3">
      <c r="A356" s="150"/>
      <c r="B356" s="150"/>
      <c r="C356" s="150"/>
      <c r="D356" s="150"/>
      <c r="E356" s="140" t="str">
        <f t="shared" si="16"/>
        <v/>
      </c>
      <c r="F356" s="159"/>
      <c r="G356" s="145">
        <f t="shared" si="18"/>
        <v>0</v>
      </c>
      <c r="H356" s="140" t="str">
        <f t="shared" si="17"/>
        <v/>
      </c>
      <c r="J356" s="147" t="str">
        <f>IFERROR(SUMIFS(当年实际!$V:$V,当年实际!$F:$F,$C356,当年实际!$C:$C,"&gt;="&amp;DATE(YEAR(主页!$D$2),1,1),当年实际!$C:$C,"&lt;="&amp;EOMONTH(DATE(YEAR(主页!$D$2),MONTH(主页!$D$2),1),0))/SUMIFS(当年实际!$P:$P,当年实际!$F:$F,$C356,当年实际!$C:$C,"&gt;="&amp;DATE(YEAR(主页!$D$2),1,1),当年实际!$C:$C,"&lt;="&amp;EOMONTH(DATE(YEAR(主页!$D$2),MONTH(主页!$D$2),1),0)),"")</f>
        <v/>
      </c>
    </row>
    <row r="357" spans="1:10" x14ac:dyDescent="0.3">
      <c r="A357" s="150"/>
      <c r="B357" s="150"/>
      <c r="C357" s="150"/>
      <c r="D357" s="150"/>
      <c r="E357" s="140" t="str">
        <f t="shared" si="16"/>
        <v/>
      </c>
      <c r="F357" s="159"/>
      <c r="G357" s="145">
        <f t="shared" si="18"/>
        <v>0</v>
      </c>
      <c r="H357" s="140" t="str">
        <f t="shared" si="17"/>
        <v/>
      </c>
      <c r="J357" s="147" t="str">
        <f>IFERROR(SUMIFS(当年实际!$V:$V,当年实际!$F:$F,$C357,当年实际!$C:$C,"&gt;="&amp;DATE(YEAR(主页!$D$2),1,1),当年实际!$C:$C,"&lt;="&amp;EOMONTH(DATE(YEAR(主页!$D$2),MONTH(主页!$D$2),1),0))/SUMIFS(当年实际!$P:$P,当年实际!$F:$F,$C357,当年实际!$C:$C,"&gt;="&amp;DATE(YEAR(主页!$D$2),1,1),当年实际!$C:$C,"&lt;="&amp;EOMONTH(DATE(YEAR(主页!$D$2),MONTH(主页!$D$2),1),0)),"")</f>
        <v/>
      </c>
    </row>
    <row r="358" spans="1:10" x14ac:dyDescent="0.3">
      <c r="A358" s="150"/>
      <c r="B358" s="150"/>
      <c r="C358" s="150"/>
      <c r="D358" s="150"/>
      <c r="E358" s="140" t="str">
        <f t="shared" si="16"/>
        <v/>
      </c>
      <c r="F358" s="159"/>
      <c r="G358" s="145">
        <f t="shared" si="18"/>
        <v>0</v>
      </c>
      <c r="H358" s="140" t="str">
        <f t="shared" si="17"/>
        <v/>
      </c>
      <c r="J358" s="147" t="str">
        <f>IFERROR(SUMIFS(当年实际!$V:$V,当年实际!$F:$F,$C358,当年实际!$C:$C,"&gt;="&amp;DATE(YEAR(主页!$D$2),1,1),当年实际!$C:$C,"&lt;="&amp;EOMONTH(DATE(YEAR(主页!$D$2),MONTH(主页!$D$2),1),0))/SUMIFS(当年实际!$P:$P,当年实际!$F:$F,$C358,当年实际!$C:$C,"&gt;="&amp;DATE(YEAR(主页!$D$2),1,1),当年实际!$C:$C,"&lt;="&amp;EOMONTH(DATE(YEAR(主页!$D$2),MONTH(主页!$D$2),1),0)),"")</f>
        <v/>
      </c>
    </row>
    <row r="359" spans="1:10" x14ac:dyDescent="0.3">
      <c r="A359" s="150"/>
      <c r="B359" s="150"/>
      <c r="C359" s="150"/>
      <c r="D359" s="150"/>
      <c r="E359" s="140" t="str">
        <f t="shared" si="16"/>
        <v/>
      </c>
      <c r="F359" s="159"/>
      <c r="G359" s="145">
        <f t="shared" si="18"/>
        <v>0</v>
      </c>
      <c r="H359" s="140" t="str">
        <f t="shared" si="17"/>
        <v/>
      </c>
      <c r="J359" s="147" t="str">
        <f>IFERROR(SUMIFS(当年实际!$V:$V,当年实际!$F:$F,$C359,当年实际!$C:$C,"&gt;="&amp;DATE(YEAR(主页!$D$2),1,1),当年实际!$C:$C,"&lt;="&amp;EOMONTH(DATE(YEAR(主页!$D$2),MONTH(主页!$D$2),1),0))/SUMIFS(当年实际!$P:$P,当年实际!$F:$F,$C359,当年实际!$C:$C,"&gt;="&amp;DATE(YEAR(主页!$D$2),1,1),当年实际!$C:$C,"&lt;="&amp;EOMONTH(DATE(YEAR(主页!$D$2),MONTH(主页!$D$2),1),0)),"")</f>
        <v/>
      </c>
    </row>
    <row r="360" spans="1:10" x14ac:dyDescent="0.3">
      <c r="A360" s="150"/>
      <c r="B360" s="150"/>
      <c r="C360" s="150"/>
      <c r="D360" s="150"/>
      <c r="E360" s="140" t="str">
        <f t="shared" si="16"/>
        <v/>
      </c>
      <c r="F360" s="159"/>
      <c r="G360" s="145">
        <f t="shared" si="18"/>
        <v>0</v>
      </c>
      <c r="H360" s="140" t="str">
        <f t="shared" si="17"/>
        <v/>
      </c>
      <c r="J360" s="147" t="str">
        <f>IFERROR(SUMIFS(当年实际!$V:$V,当年实际!$F:$F,$C360,当年实际!$C:$C,"&gt;="&amp;DATE(YEAR(主页!$D$2),1,1),当年实际!$C:$C,"&lt;="&amp;EOMONTH(DATE(YEAR(主页!$D$2),MONTH(主页!$D$2),1),0))/SUMIFS(当年实际!$P:$P,当年实际!$F:$F,$C360,当年实际!$C:$C,"&gt;="&amp;DATE(YEAR(主页!$D$2),1,1),当年实际!$C:$C,"&lt;="&amp;EOMONTH(DATE(YEAR(主页!$D$2),MONTH(主页!$D$2),1),0)),"")</f>
        <v/>
      </c>
    </row>
    <row r="361" spans="1:10" x14ac:dyDescent="0.3">
      <c r="A361" s="150"/>
      <c r="B361" s="150"/>
      <c r="C361" s="150"/>
      <c r="D361" s="150"/>
      <c r="E361" s="140" t="str">
        <f t="shared" si="16"/>
        <v/>
      </c>
      <c r="F361" s="159"/>
      <c r="G361" s="145">
        <f t="shared" si="18"/>
        <v>0</v>
      </c>
      <c r="H361" s="140" t="str">
        <f t="shared" si="17"/>
        <v/>
      </c>
      <c r="J361" s="147" t="str">
        <f>IFERROR(SUMIFS(当年实际!$V:$V,当年实际!$F:$F,$C361,当年实际!$C:$C,"&gt;="&amp;DATE(YEAR(主页!$D$2),1,1),当年实际!$C:$C,"&lt;="&amp;EOMONTH(DATE(YEAR(主页!$D$2),MONTH(主页!$D$2),1),0))/SUMIFS(当年实际!$P:$P,当年实际!$F:$F,$C361,当年实际!$C:$C,"&gt;="&amp;DATE(YEAR(主页!$D$2),1,1),当年实际!$C:$C,"&lt;="&amp;EOMONTH(DATE(YEAR(主页!$D$2),MONTH(主页!$D$2),1),0)),"")</f>
        <v/>
      </c>
    </row>
    <row r="362" spans="1:10" x14ac:dyDescent="0.3">
      <c r="A362" s="150"/>
      <c r="B362" s="150"/>
      <c r="C362" s="150"/>
      <c r="D362" s="150"/>
      <c r="E362" s="140" t="str">
        <f t="shared" si="16"/>
        <v/>
      </c>
      <c r="F362" s="159"/>
      <c r="G362" s="145">
        <f t="shared" si="18"/>
        <v>0</v>
      </c>
      <c r="H362" s="140" t="str">
        <f t="shared" si="17"/>
        <v/>
      </c>
      <c r="J362" s="147" t="str">
        <f>IFERROR(SUMIFS(当年实际!$V:$V,当年实际!$F:$F,$C362,当年实际!$C:$C,"&gt;="&amp;DATE(YEAR(主页!$D$2),1,1),当年实际!$C:$C,"&lt;="&amp;EOMONTH(DATE(YEAR(主页!$D$2),MONTH(主页!$D$2),1),0))/SUMIFS(当年实际!$P:$P,当年实际!$F:$F,$C362,当年实际!$C:$C,"&gt;="&amp;DATE(YEAR(主页!$D$2),1,1),当年实际!$C:$C,"&lt;="&amp;EOMONTH(DATE(YEAR(主页!$D$2),MONTH(主页!$D$2),1),0)),"")</f>
        <v/>
      </c>
    </row>
    <row r="363" spans="1:10" x14ac:dyDescent="0.3">
      <c r="A363" s="150"/>
      <c r="B363" s="150"/>
      <c r="C363" s="150"/>
      <c r="D363" s="150"/>
      <c r="E363" s="140" t="str">
        <f t="shared" si="16"/>
        <v/>
      </c>
      <c r="F363" s="159"/>
      <c r="G363" s="145">
        <f t="shared" si="18"/>
        <v>0</v>
      </c>
      <c r="H363" s="140" t="str">
        <f t="shared" si="17"/>
        <v/>
      </c>
      <c r="J363" s="147" t="str">
        <f>IFERROR(SUMIFS(当年实际!$V:$V,当年实际!$F:$F,$C363,当年实际!$C:$C,"&gt;="&amp;DATE(YEAR(主页!$D$2),1,1),当年实际!$C:$C,"&lt;="&amp;EOMONTH(DATE(YEAR(主页!$D$2),MONTH(主页!$D$2),1),0))/SUMIFS(当年实际!$P:$P,当年实际!$F:$F,$C363,当年实际!$C:$C,"&gt;="&amp;DATE(YEAR(主页!$D$2),1,1),当年实际!$C:$C,"&lt;="&amp;EOMONTH(DATE(YEAR(主页!$D$2),MONTH(主页!$D$2),1),0)),"")</f>
        <v/>
      </c>
    </row>
    <row r="364" spans="1:10" x14ac:dyDescent="0.3">
      <c r="A364" s="150"/>
      <c r="B364" s="150"/>
      <c r="C364" s="150"/>
      <c r="D364" s="150"/>
      <c r="E364" s="140" t="str">
        <f t="shared" si="16"/>
        <v/>
      </c>
      <c r="F364" s="159"/>
      <c r="G364" s="145">
        <f t="shared" si="18"/>
        <v>0</v>
      </c>
      <c r="H364" s="140" t="str">
        <f t="shared" si="17"/>
        <v/>
      </c>
      <c r="J364" s="147" t="str">
        <f>IFERROR(SUMIFS(当年实际!$V:$V,当年实际!$F:$F,$C364,当年实际!$C:$C,"&gt;="&amp;DATE(YEAR(主页!$D$2),1,1),当年实际!$C:$C,"&lt;="&amp;EOMONTH(DATE(YEAR(主页!$D$2),MONTH(主页!$D$2),1),0))/SUMIFS(当年实际!$P:$P,当年实际!$F:$F,$C364,当年实际!$C:$C,"&gt;="&amp;DATE(YEAR(主页!$D$2),1,1),当年实际!$C:$C,"&lt;="&amp;EOMONTH(DATE(YEAR(主页!$D$2),MONTH(主页!$D$2),1),0)),"")</f>
        <v/>
      </c>
    </row>
    <row r="365" spans="1:10" x14ac:dyDescent="0.3">
      <c r="A365" s="150"/>
      <c r="B365" s="150"/>
      <c r="C365" s="150"/>
      <c r="D365" s="150"/>
      <c r="E365" s="140" t="str">
        <f t="shared" si="16"/>
        <v/>
      </c>
      <c r="F365" s="159"/>
      <c r="G365" s="145">
        <f t="shared" si="18"/>
        <v>0</v>
      </c>
      <c r="H365" s="140" t="str">
        <f t="shared" si="17"/>
        <v/>
      </c>
      <c r="J365" s="147" t="str">
        <f>IFERROR(SUMIFS(当年实际!$V:$V,当年实际!$F:$F,$C365,当年实际!$C:$C,"&gt;="&amp;DATE(YEAR(主页!$D$2),1,1),当年实际!$C:$C,"&lt;="&amp;EOMONTH(DATE(YEAR(主页!$D$2),MONTH(主页!$D$2),1),0))/SUMIFS(当年实际!$P:$P,当年实际!$F:$F,$C365,当年实际!$C:$C,"&gt;="&amp;DATE(YEAR(主页!$D$2),1,1),当年实际!$C:$C,"&lt;="&amp;EOMONTH(DATE(YEAR(主页!$D$2),MONTH(主页!$D$2),1),0)),"")</f>
        <v/>
      </c>
    </row>
    <row r="366" spans="1:10" x14ac:dyDescent="0.3">
      <c r="A366" s="150"/>
      <c r="B366" s="150"/>
      <c r="C366" s="150"/>
      <c r="D366" s="150"/>
      <c r="E366" s="140" t="str">
        <f t="shared" si="16"/>
        <v/>
      </c>
      <c r="F366" s="159"/>
      <c r="G366" s="145">
        <f t="shared" si="18"/>
        <v>0</v>
      </c>
      <c r="H366" s="140" t="str">
        <f t="shared" si="17"/>
        <v/>
      </c>
      <c r="J366" s="147" t="str">
        <f>IFERROR(SUMIFS(当年实际!$V:$V,当年实际!$F:$F,$C366,当年实际!$C:$C,"&gt;="&amp;DATE(YEAR(主页!$D$2),1,1),当年实际!$C:$C,"&lt;="&amp;EOMONTH(DATE(YEAR(主页!$D$2),MONTH(主页!$D$2),1),0))/SUMIFS(当年实际!$P:$P,当年实际!$F:$F,$C366,当年实际!$C:$C,"&gt;="&amp;DATE(YEAR(主页!$D$2),1,1),当年实际!$C:$C,"&lt;="&amp;EOMONTH(DATE(YEAR(主页!$D$2),MONTH(主页!$D$2),1),0)),"")</f>
        <v/>
      </c>
    </row>
    <row r="367" spans="1:10" x14ac:dyDescent="0.3">
      <c r="A367" s="150"/>
      <c r="B367" s="150"/>
      <c r="C367" s="150"/>
      <c r="D367" s="150"/>
      <c r="E367" s="140" t="str">
        <f t="shared" si="16"/>
        <v/>
      </c>
      <c r="F367" s="159"/>
      <c r="G367" s="145">
        <f t="shared" si="18"/>
        <v>0</v>
      </c>
      <c r="H367" s="140" t="str">
        <f t="shared" si="17"/>
        <v/>
      </c>
      <c r="J367" s="147" t="str">
        <f>IFERROR(SUMIFS(当年实际!$V:$V,当年实际!$F:$F,$C367,当年实际!$C:$C,"&gt;="&amp;DATE(YEAR(主页!$D$2),1,1),当年实际!$C:$C,"&lt;="&amp;EOMONTH(DATE(YEAR(主页!$D$2),MONTH(主页!$D$2),1),0))/SUMIFS(当年实际!$P:$P,当年实际!$F:$F,$C367,当年实际!$C:$C,"&gt;="&amp;DATE(YEAR(主页!$D$2),1,1),当年实际!$C:$C,"&lt;="&amp;EOMONTH(DATE(YEAR(主页!$D$2),MONTH(主页!$D$2),1),0)),"")</f>
        <v/>
      </c>
    </row>
    <row r="368" spans="1:10" x14ac:dyDescent="0.3">
      <c r="A368" s="150"/>
      <c r="B368" s="150"/>
      <c r="C368" s="150"/>
      <c r="D368" s="150"/>
      <c r="E368" s="140" t="str">
        <f t="shared" si="16"/>
        <v/>
      </c>
      <c r="F368" s="159"/>
      <c r="G368" s="145">
        <f t="shared" si="18"/>
        <v>0</v>
      </c>
      <c r="H368" s="140" t="str">
        <f t="shared" si="17"/>
        <v/>
      </c>
      <c r="J368" s="147" t="str">
        <f>IFERROR(SUMIFS(当年实际!$V:$V,当年实际!$F:$F,$C368,当年实际!$C:$C,"&gt;="&amp;DATE(YEAR(主页!$D$2),1,1),当年实际!$C:$C,"&lt;="&amp;EOMONTH(DATE(YEAR(主页!$D$2),MONTH(主页!$D$2),1),0))/SUMIFS(当年实际!$P:$P,当年实际!$F:$F,$C368,当年实际!$C:$C,"&gt;="&amp;DATE(YEAR(主页!$D$2),1,1),当年实际!$C:$C,"&lt;="&amp;EOMONTH(DATE(YEAR(主页!$D$2),MONTH(主页!$D$2),1),0)),"")</f>
        <v/>
      </c>
    </row>
    <row r="369" spans="1:10" x14ac:dyDescent="0.3">
      <c r="A369" s="150"/>
      <c r="B369" s="150"/>
      <c r="C369" s="150"/>
      <c r="D369" s="150"/>
      <c r="E369" s="140" t="str">
        <f t="shared" si="16"/>
        <v/>
      </c>
      <c r="F369" s="159"/>
      <c r="G369" s="145">
        <f t="shared" si="18"/>
        <v>0</v>
      </c>
      <c r="H369" s="140" t="str">
        <f t="shared" si="17"/>
        <v/>
      </c>
      <c r="J369" s="147" t="str">
        <f>IFERROR(SUMIFS(当年实际!$V:$V,当年实际!$F:$F,$C369,当年实际!$C:$C,"&gt;="&amp;DATE(YEAR(主页!$D$2),1,1),当年实际!$C:$C,"&lt;="&amp;EOMONTH(DATE(YEAR(主页!$D$2),MONTH(主页!$D$2),1),0))/SUMIFS(当年实际!$P:$P,当年实际!$F:$F,$C369,当年实际!$C:$C,"&gt;="&amp;DATE(YEAR(主页!$D$2),1,1),当年实际!$C:$C,"&lt;="&amp;EOMONTH(DATE(YEAR(主页!$D$2),MONTH(主页!$D$2),1),0)),"")</f>
        <v/>
      </c>
    </row>
    <row r="370" spans="1:10" x14ac:dyDescent="0.3">
      <c r="A370" s="150"/>
      <c r="B370" s="150"/>
      <c r="C370" s="150"/>
      <c r="D370" s="150"/>
      <c r="E370" s="140" t="str">
        <f t="shared" si="16"/>
        <v/>
      </c>
      <c r="F370" s="159"/>
      <c r="G370" s="145">
        <f t="shared" si="18"/>
        <v>0</v>
      </c>
      <c r="H370" s="140" t="str">
        <f t="shared" si="17"/>
        <v/>
      </c>
      <c r="J370" s="147" t="str">
        <f>IFERROR(SUMIFS(当年实际!$V:$V,当年实际!$F:$F,$C370,当年实际!$C:$C,"&gt;="&amp;DATE(YEAR(主页!$D$2),1,1),当年实际!$C:$C,"&lt;="&amp;EOMONTH(DATE(YEAR(主页!$D$2),MONTH(主页!$D$2),1),0))/SUMIFS(当年实际!$P:$P,当年实际!$F:$F,$C370,当年实际!$C:$C,"&gt;="&amp;DATE(YEAR(主页!$D$2),1,1),当年实际!$C:$C,"&lt;="&amp;EOMONTH(DATE(YEAR(主页!$D$2),MONTH(主页!$D$2),1),0)),"")</f>
        <v/>
      </c>
    </row>
    <row r="371" spans="1:10" x14ac:dyDescent="0.3">
      <c r="A371" s="150"/>
      <c r="B371" s="150"/>
      <c r="C371" s="150"/>
      <c r="D371" s="150"/>
      <c r="E371" s="140" t="str">
        <f t="shared" si="16"/>
        <v/>
      </c>
      <c r="F371" s="159"/>
      <c r="G371" s="145">
        <f t="shared" si="18"/>
        <v>0</v>
      </c>
      <c r="H371" s="140" t="str">
        <f t="shared" si="17"/>
        <v/>
      </c>
      <c r="J371" s="147" t="str">
        <f>IFERROR(SUMIFS(当年实际!$V:$V,当年实际!$F:$F,$C371,当年实际!$C:$C,"&gt;="&amp;DATE(YEAR(主页!$D$2),1,1),当年实际!$C:$C,"&lt;="&amp;EOMONTH(DATE(YEAR(主页!$D$2),MONTH(主页!$D$2),1),0))/SUMIFS(当年实际!$P:$P,当年实际!$F:$F,$C371,当年实际!$C:$C,"&gt;="&amp;DATE(YEAR(主页!$D$2),1,1),当年实际!$C:$C,"&lt;="&amp;EOMONTH(DATE(YEAR(主页!$D$2),MONTH(主页!$D$2),1),0)),"")</f>
        <v/>
      </c>
    </row>
    <row r="372" spans="1:10" x14ac:dyDescent="0.3">
      <c r="A372" s="150"/>
      <c r="B372" s="150"/>
      <c r="C372" s="150"/>
      <c r="D372" s="150"/>
      <c r="E372" s="140" t="str">
        <f t="shared" si="16"/>
        <v/>
      </c>
      <c r="F372" s="159"/>
      <c r="G372" s="145">
        <f t="shared" si="18"/>
        <v>0</v>
      </c>
      <c r="H372" s="140" t="str">
        <f t="shared" si="17"/>
        <v/>
      </c>
      <c r="J372" s="147" t="str">
        <f>IFERROR(SUMIFS(当年实际!$V:$V,当年实际!$F:$F,$C372,当年实际!$C:$C,"&gt;="&amp;DATE(YEAR(主页!$D$2),1,1),当年实际!$C:$C,"&lt;="&amp;EOMONTH(DATE(YEAR(主页!$D$2),MONTH(主页!$D$2),1),0))/SUMIFS(当年实际!$P:$P,当年实际!$F:$F,$C372,当年实际!$C:$C,"&gt;="&amp;DATE(YEAR(主页!$D$2),1,1),当年实际!$C:$C,"&lt;="&amp;EOMONTH(DATE(YEAR(主页!$D$2),MONTH(主页!$D$2),1),0)),"")</f>
        <v/>
      </c>
    </row>
    <row r="373" spans="1:10" x14ac:dyDescent="0.3">
      <c r="A373" s="150"/>
      <c r="B373" s="150"/>
      <c r="C373" s="150"/>
      <c r="D373" s="150"/>
      <c r="E373" s="140" t="str">
        <f t="shared" si="16"/>
        <v/>
      </c>
      <c r="F373" s="159"/>
      <c r="G373" s="145">
        <f t="shared" si="18"/>
        <v>0</v>
      </c>
      <c r="H373" s="140" t="str">
        <f t="shared" si="17"/>
        <v/>
      </c>
      <c r="J373" s="147" t="str">
        <f>IFERROR(SUMIFS(当年实际!$V:$V,当年实际!$F:$F,$C373,当年实际!$C:$C,"&gt;="&amp;DATE(YEAR(主页!$D$2),1,1),当年实际!$C:$C,"&lt;="&amp;EOMONTH(DATE(YEAR(主页!$D$2),MONTH(主页!$D$2),1),0))/SUMIFS(当年实际!$P:$P,当年实际!$F:$F,$C373,当年实际!$C:$C,"&gt;="&amp;DATE(YEAR(主页!$D$2),1,1),当年实际!$C:$C,"&lt;="&amp;EOMONTH(DATE(YEAR(主页!$D$2),MONTH(主页!$D$2),1),0)),"")</f>
        <v/>
      </c>
    </row>
    <row r="374" spans="1:10" x14ac:dyDescent="0.3">
      <c r="A374" s="150"/>
      <c r="B374" s="150"/>
      <c r="C374" s="150"/>
      <c r="D374" s="150"/>
      <c r="E374" s="140" t="str">
        <f t="shared" si="16"/>
        <v/>
      </c>
      <c r="F374" s="159"/>
      <c r="G374" s="145">
        <f t="shared" si="18"/>
        <v>0</v>
      </c>
      <c r="H374" s="140" t="str">
        <f t="shared" si="17"/>
        <v/>
      </c>
      <c r="J374" s="147" t="str">
        <f>IFERROR(SUMIFS(当年实际!$V:$V,当年实际!$F:$F,$C374,当年实际!$C:$C,"&gt;="&amp;DATE(YEAR(主页!$D$2),1,1),当年实际!$C:$C,"&lt;="&amp;EOMONTH(DATE(YEAR(主页!$D$2),MONTH(主页!$D$2),1),0))/SUMIFS(当年实际!$P:$P,当年实际!$F:$F,$C374,当年实际!$C:$C,"&gt;="&amp;DATE(YEAR(主页!$D$2),1,1),当年实际!$C:$C,"&lt;="&amp;EOMONTH(DATE(YEAR(主页!$D$2),MONTH(主页!$D$2),1),0)),"")</f>
        <v/>
      </c>
    </row>
    <row r="375" spans="1:10" x14ac:dyDescent="0.3">
      <c r="A375" s="150"/>
      <c r="B375" s="150"/>
      <c r="C375" s="150"/>
      <c r="D375" s="150"/>
      <c r="E375" s="140" t="str">
        <f t="shared" si="16"/>
        <v/>
      </c>
      <c r="F375" s="159"/>
      <c r="G375" s="145">
        <f t="shared" si="18"/>
        <v>0</v>
      </c>
      <c r="H375" s="140" t="str">
        <f t="shared" si="17"/>
        <v/>
      </c>
      <c r="J375" s="147" t="str">
        <f>IFERROR(SUMIFS(当年实际!$V:$V,当年实际!$F:$F,$C375,当年实际!$C:$C,"&gt;="&amp;DATE(YEAR(主页!$D$2),1,1),当年实际!$C:$C,"&lt;="&amp;EOMONTH(DATE(YEAR(主页!$D$2),MONTH(主页!$D$2),1),0))/SUMIFS(当年实际!$P:$P,当年实际!$F:$F,$C375,当年实际!$C:$C,"&gt;="&amp;DATE(YEAR(主页!$D$2),1,1),当年实际!$C:$C,"&lt;="&amp;EOMONTH(DATE(YEAR(主页!$D$2),MONTH(主页!$D$2),1),0)),"")</f>
        <v/>
      </c>
    </row>
    <row r="376" spans="1:10" x14ac:dyDescent="0.3">
      <c r="A376" s="150"/>
      <c r="B376" s="150"/>
      <c r="C376" s="150"/>
      <c r="D376" s="150"/>
      <c r="E376" s="140" t="str">
        <f t="shared" si="16"/>
        <v/>
      </c>
      <c r="F376" s="159"/>
      <c r="G376" s="145">
        <f t="shared" si="18"/>
        <v>0</v>
      </c>
      <c r="H376" s="140" t="str">
        <f t="shared" si="17"/>
        <v/>
      </c>
      <c r="J376" s="147" t="str">
        <f>IFERROR(SUMIFS(当年实际!$V:$V,当年实际!$F:$F,$C376,当年实际!$C:$C,"&gt;="&amp;DATE(YEAR(主页!$D$2),1,1),当年实际!$C:$C,"&lt;="&amp;EOMONTH(DATE(YEAR(主页!$D$2),MONTH(主页!$D$2),1),0))/SUMIFS(当年实际!$P:$P,当年实际!$F:$F,$C376,当年实际!$C:$C,"&gt;="&amp;DATE(YEAR(主页!$D$2),1,1),当年实际!$C:$C,"&lt;="&amp;EOMONTH(DATE(YEAR(主页!$D$2),MONTH(主页!$D$2),1),0)),"")</f>
        <v/>
      </c>
    </row>
    <row r="377" spans="1:10" x14ac:dyDescent="0.3">
      <c r="A377" s="150"/>
      <c r="B377" s="150"/>
      <c r="C377" s="150"/>
      <c r="D377" s="150"/>
      <c r="E377" s="140" t="str">
        <f t="shared" si="16"/>
        <v/>
      </c>
      <c r="F377" s="159"/>
      <c r="G377" s="145">
        <f t="shared" si="18"/>
        <v>0</v>
      </c>
      <c r="H377" s="140" t="str">
        <f t="shared" si="17"/>
        <v/>
      </c>
      <c r="J377" s="147" t="str">
        <f>IFERROR(SUMIFS(当年实际!$V:$V,当年实际!$F:$F,$C377,当年实际!$C:$C,"&gt;="&amp;DATE(YEAR(主页!$D$2),1,1),当年实际!$C:$C,"&lt;="&amp;EOMONTH(DATE(YEAR(主页!$D$2),MONTH(主页!$D$2),1),0))/SUMIFS(当年实际!$P:$P,当年实际!$F:$F,$C377,当年实际!$C:$C,"&gt;="&amp;DATE(YEAR(主页!$D$2),1,1),当年实际!$C:$C,"&lt;="&amp;EOMONTH(DATE(YEAR(主页!$D$2),MONTH(主页!$D$2),1),0)),"")</f>
        <v/>
      </c>
    </row>
    <row r="378" spans="1:10" x14ac:dyDescent="0.3">
      <c r="A378" s="150"/>
      <c r="B378" s="150"/>
      <c r="C378" s="150"/>
      <c r="D378" s="150"/>
      <c r="E378" s="140" t="str">
        <f t="shared" si="16"/>
        <v/>
      </c>
      <c r="F378" s="159"/>
      <c r="G378" s="145">
        <f t="shared" si="18"/>
        <v>0</v>
      </c>
      <c r="H378" s="140" t="str">
        <f t="shared" si="17"/>
        <v/>
      </c>
      <c r="J378" s="147" t="str">
        <f>IFERROR(SUMIFS(当年实际!$V:$V,当年实际!$F:$F,$C378,当年实际!$C:$C,"&gt;="&amp;DATE(YEAR(主页!$D$2),1,1),当年实际!$C:$C,"&lt;="&amp;EOMONTH(DATE(YEAR(主页!$D$2),MONTH(主页!$D$2),1),0))/SUMIFS(当年实际!$P:$P,当年实际!$F:$F,$C378,当年实际!$C:$C,"&gt;="&amp;DATE(YEAR(主页!$D$2),1,1),当年实际!$C:$C,"&lt;="&amp;EOMONTH(DATE(YEAR(主页!$D$2),MONTH(主页!$D$2),1),0)),"")</f>
        <v/>
      </c>
    </row>
    <row r="379" spans="1:10" x14ac:dyDescent="0.3">
      <c r="A379" s="150"/>
      <c r="B379" s="150"/>
      <c r="C379" s="150"/>
      <c r="D379" s="150"/>
      <c r="E379" s="140" t="str">
        <f t="shared" si="16"/>
        <v/>
      </c>
      <c r="F379" s="159"/>
      <c r="G379" s="145">
        <f t="shared" si="18"/>
        <v>0</v>
      </c>
      <c r="H379" s="140" t="str">
        <f t="shared" si="17"/>
        <v/>
      </c>
      <c r="J379" s="147" t="str">
        <f>IFERROR(SUMIFS(当年实际!$V:$V,当年实际!$F:$F,$C379,当年实际!$C:$C,"&gt;="&amp;DATE(YEAR(主页!$D$2),1,1),当年实际!$C:$C,"&lt;="&amp;EOMONTH(DATE(YEAR(主页!$D$2),MONTH(主页!$D$2),1),0))/SUMIFS(当年实际!$P:$P,当年实际!$F:$F,$C379,当年实际!$C:$C,"&gt;="&amp;DATE(YEAR(主页!$D$2),1,1),当年实际!$C:$C,"&lt;="&amp;EOMONTH(DATE(YEAR(主页!$D$2),MONTH(主页!$D$2),1),0)),"")</f>
        <v/>
      </c>
    </row>
    <row r="380" spans="1:10" x14ac:dyDescent="0.3">
      <c r="A380" s="150"/>
      <c r="B380" s="150"/>
      <c r="C380" s="150"/>
      <c r="D380" s="150"/>
      <c r="E380" s="140" t="str">
        <f t="shared" si="16"/>
        <v/>
      </c>
      <c r="F380" s="159"/>
      <c r="G380" s="145">
        <f t="shared" si="18"/>
        <v>0</v>
      </c>
      <c r="H380" s="140" t="str">
        <f t="shared" si="17"/>
        <v/>
      </c>
      <c r="J380" s="147" t="str">
        <f>IFERROR(SUMIFS(当年实际!$V:$V,当年实际!$F:$F,$C380,当年实际!$C:$C,"&gt;="&amp;DATE(YEAR(主页!$D$2),1,1),当年实际!$C:$C,"&lt;="&amp;EOMONTH(DATE(YEAR(主页!$D$2),MONTH(主页!$D$2),1),0))/SUMIFS(当年实际!$P:$P,当年实际!$F:$F,$C380,当年实际!$C:$C,"&gt;="&amp;DATE(YEAR(主页!$D$2),1,1),当年实际!$C:$C,"&lt;="&amp;EOMONTH(DATE(YEAR(主页!$D$2),MONTH(主页!$D$2),1),0)),"")</f>
        <v/>
      </c>
    </row>
    <row r="381" spans="1:10" x14ac:dyDescent="0.3">
      <c r="A381" s="150"/>
      <c r="B381" s="150"/>
      <c r="C381" s="150"/>
      <c r="D381" s="150"/>
      <c r="E381" s="140" t="str">
        <f t="shared" si="16"/>
        <v/>
      </c>
      <c r="F381" s="159"/>
      <c r="G381" s="145">
        <f t="shared" si="18"/>
        <v>0</v>
      </c>
      <c r="H381" s="140" t="str">
        <f t="shared" si="17"/>
        <v/>
      </c>
      <c r="J381" s="147" t="str">
        <f>IFERROR(SUMIFS(当年实际!$V:$V,当年实际!$F:$F,$C381,当年实际!$C:$C,"&gt;="&amp;DATE(YEAR(主页!$D$2),1,1),当年实际!$C:$C,"&lt;="&amp;EOMONTH(DATE(YEAR(主页!$D$2),MONTH(主页!$D$2),1),0))/SUMIFS(当年实际!$P:$P,当年实际!$F:$F,$C381,当年实际!$C:$C,"&gt;="&amp;DATE(YEAR(主页!$D$2),1,1),当年实际!$C:$C,"&lt;="&amp;EOMONTH(DATE(YEAR(主页!$D$2),MONTH(主页!$D$2),1),0)),"")</f>
        <v/>
      </c>
    </row>
    <row r="382" spans="1:10" x14ac:dyDescent="0.3">
      <c r="A382" s="150"/>
      <c r="B382" s="150"/>
      <c r="C382" s="150"/>
      <c r="D382" s="150"/>
      <c r="E382" s="140" t="str">
        <f t="shared" si="16"/>
        <v/>
      </c>
      <c r="F382" s="159"/>
      <c r="G382" s="145">
        <f t="shared" si="18"/>
        <v>0</v>
      </c>
      <c r="H382" s="140" t="str">
        <f t="shared" si="17"/>
        <v/>
      </c>
      <c r="J382" s="147" t="str">
        <f>IFERROR(SUMIFS(当年实际!$V:$V,当年实际!$F:$F,$C382,当年实际!$C:$C,"&gt;="&amp;DATE(YEAR(主页!$D$2),1,1),当年实际!$C:$C,"&lt;="&amp;EOMONTH(DATE(YEAR(主页!$D$2),MONTH(主页!$D$2),1),0))/SUMIFS(当年实际!$P:$P,当年实际!$F:$F,$C382,当年实际!$C:$C,"&gt;="&amp;DATE(YEAR(主页!$D$2),1,1),当年实际!$C:$C,"&lt;="&amp;EOMONTH(DATE(YEAR(主页!$D$2),MONTH(主页!$D$2),1),0)),"")</f>
        <v/>
      </c>
    </row>
    <row r="383" spans="1:10" x14ac:dyDescent="0.3">
      <c r="A383" s="150"/>
      <c r="B383" s="150"/>
      <c r="C383" s="150"/>
      <c r="D383" s="150"/>
      <c r="E383" s="140" t="str">
        <f t="shared" si="16"/>
        <v/>
      </c>
      <c r="F383" s="159"/>
      <c r="G383" s="145">
        <f t="shared" si="18"/>
        <v>0</v>
      </c>
      <c r="H383" s="140" t="str">
        <f t="shared" si="17"/>
        <v/>
      </c>
      <c r="J383" s="147" t="str">
        <f>IFERROR(SUMIFS(当年实际!$V:$V,当年实际!$F:$F,$C383,当年实际!$C:$C,"&gt;="&amp;DATE(YEAR(主页!$D$2),1,1),当年实际!$C:$C,"&lt;="&amp;EOMONTH(DATE(YEAR(主页!$D$2),MONTH(主页!$D$2),1),0))/SUMIFS(当年实际!$P:$P,当年实际!$F:$F,$C383,当年实际!$C:$C,"&gt;="&amp;DATE(YEAR(主页!$D$2),1,1),当年实际!$C:$C,"&lt;="&amp;EOMONTH(DATE(YEAR(主页!$D$2),MONTH(主页!$D$2),1),0)),"")</f>
        <v/>
      </c>
    </row>
    <row r="384" spans="1:10" x14ac:dyDescent="0.3">
      <c r="A384" s="150"/>
      <c r="B384" s="150"/>
      <c r="C384" s="150"/>
      <c r="D384" s="150"/>
      <c r="E384" s="140" t="str">
        <f t="shared" si="16"/>
        <v/>
      </c>
      <c r="F384" s="159"/>
      <c r="G384" s="145">
        <f t="shared" si="18"/>
        <v>0</v>
      </c>
      <c r="H384" s="140" t="str">
        <f t="shared" si="17"/>
        <v/>
      </c>
      <c r="J384" s="147" t="str">
        <f>IFERROR(SUMIFS(当年实际!$V:$V,当年实际!$F:$F,$C384,当年实际!$C:$C,"&gt;="&amp;DATE(YEAR(主页!$D$2),1,1),当年实际!$C:$C,"&lt;="&amp;EOMONTH(DATE(YEAR(主页!$D$2),MONTH(主页!$D$2),1),0))/SUMIFS(当年实际!$P:$P,当年实际!$F:$F,$C384,当年实际!$C:$C,"&gt;="&amp;DATE(YEAR(主页!$D$2),1,1),当年实际!$C:$C,"&lt;="&amp;EOMONTH(DATE(YEAR(主页!$D$2),MONTH(主页!$D$2),1),0)),"")</f>
        <v/>
      </c>
    </row>
    <row r="385" spans="1:10" x14ac:dyDescent="0.3">
      <c r="A385" s="150"/>
      <c r="B385" s="150"/>
      <c r="C385" s="150"/>
      <c r="D385" s="150"/>
      <c r="E385" s="140" t="str">
        <f t="shared" si="16"/>
        <v/>
      </c>
      <c r="F385" s="159"/>
      <c r="G385" s="145">
        <f t="shared" si="18"/>
        <v>0</v>
      </c>
      <c r="H385" s="140" t="str">
        <f t="shared" si="17"/>
        <v/>
      </c>
      <c r="J385" s="147" t="str">
        <f>IFERROR(SUMIFS(当年实际!$V:$V,当年实际!$F:$F,$C385,当年实际!$C:$C,"&gt;="&amp;DATE(YEAR(主页!$D$2),1,1),当年实际!$C:$C,"&lt;="&amp;EOMONTH(DATE(YEAR(主页!$D$2),MONTH(主页!$D$2),1),0))/SUMIFS(当年实际!$P:$P,当年实际!$F:$F,$C385,当年实际!$C:$C,"&gt;="&amp;DATE(YEAR(主页!$D$2),1,1),当年实际!$C:$C,"&lt;="&amp;EOMONTH(DATE(YEAR(主页!$D$2),MONTH(主页!$D$2),1),0)),"")</f>
        <v/>
      </c>
    </row>
    <row r="386" spans="1:10" x14ac:dyDescent="0.3">
      <c r="A386" s="150"/>
      <c r="B386" s="150"/>
      <c r="C386" s="150"/>
      <c r="D386" s="150"/>
      <c r="E386" s="140" t="str">
        <f t="shared" si="16"/>
        <v/>
      </c>
      <c r="F386" s="159"/>
      <c r="G386" s="145">
        <f t="shared" si="18"/>
        <v>0</v>
      </c>
      <c r="H386" s="140" t="str">
        <f t="shared" si="17"/>
        <v/>
      </c>
      <c r="J386" s="147" t="str">
        <f>IFERROR(SUMIFS(当年实际!$V:$V,当年实际!$F:$F,$C386,当年实际!$C:$C,"&gt;="&amp;DATE(YEAR(主页!$D$2),1,1),当年实际!$C:$C,"&lt;="&amp;EOMONTH(DATE(YEAR(主页!$D$2),MONTH(主页!$D$2),1),0))/SUMIFS(当年实际!$P:$P,当年实际!$F:$F,$C386,当年实际!$C:$C,"&gt;="&amp;DATE(YEAR(主页!$D$2),1,1),当年实际!$C:$C,"&lt;="&amp;EOMONTH(DATE(YEAR(主页!$D$2),MONTH(主页!$D$2),1),0)),"")</f>
        <v/>
      </c>
    </row>
    <row r="387" spans="1:10" x14ac:dyDescent="0.3">
      <c r="A387" s="150"/>
      <c r="B387" s="150"/>
      <c r="C387" s="150"/>
      <c r="D387" s="150"/>
      <c r="E387" s="140" t="str">
        <f t="shared" si="16"/>
        <v/>
      </c>
      <c r="F387" s="159"/>
      <c r="G387" s="145">
        <f t="shared" si="18"/>
        <v>0</v>
      </c>
      <c r="H387" s="140" t="str">
        <f t="shared" si="17"/>
        <v/>
      </c>
      <c r="J387" s="147" t="str">
        <f>IFERROR(SUMIFS(当年实际!$V:$V,当年实际!$F:$F,$C387,当年实际!$C:$C,"&gt;="&amp;DATE(YEAR(主页!$D$2),1,1),当年实际!$C:$C,"&lt;="&amp;EOMONTH(DATE(YEAR(主页!$D$2),MONTH(主页!$D$2),1),0))/SUMIFS(当年实际!$P:$P,当年实际!$F:$F,$C387,当年实际!$C:$C,"&gt;="&amp;DATE(YEAR(主页!$D$2),1,1),当年实际!$C:$C,"&lt;="&amp;EOMONTH(DATE(YEAR(主页!$D$2),MONTH(主页!$D$2),1),0)),"")</f>
        <v/>
      </c>
    </row>
    <row r="388" spans="1:10" x14ac:dyDescent="0.3">
      <c r="A388" s="150"/>
      <c r="B388" s="150"/>
      <c r="C388" s="150"/>
      <c r="D388" s="150"/>
      <c r="E388" s="140" t="str">
        <f t="shared" ref="E388:E451" si="19">IF(D388/SUM(D:D)=0,"",D388/SUM(D:D))</f>
        <v/>
      </c>
      <c r="F388" s="159"/>
      <c r="G388" s="145">
        <f t="shared" si="18"/>
        <v>0</v>
      </c>
      <c r="H388" s="140" t="str">
        <f t="shared" ref="H388:H451" si="20">IF(G388/SUM(G:G)=0,"",G388/SUM(G:G))</f>
        <v/>
      </c>
      <c r="J388" s="147" t="str">
        <f>IFERROR(SUMIFS(当年实际!$V:$V,当年实际!$F:$F,$C388,当年实际!$C:$C,"&gt;="&amp;DATE(YEAR(主页!$D$2),1,1),当年实际!$C:$C,"&lt;="&amp;EOMONTH(DATE(YEAR(主页!$D$2),MONTH(主页!$D$2),1),0))/SUMIFS(当年实际!$P:$P,当年实际!$F:$F,$C388,当年实际!$C:$C,"&gt;="&amp;DATE(YEAR(主页!$D$2),1,1),当年实际!$C:$C,"&lt;="&amp;EOMONTH(DATE(YEAR(主页!$D$2),MONTH(主页!$D$2),1),0)),"")</f>
        <v/>
      </c>
    </row>
    <row r="389" spans="1:10" x14ac:dyDescent="0.3">
      <c r="A389" s="150"/>
      <c r="B389" s="150"/>
      <c r="C389" s="150"/>
      <c r="D389" s="150"/>
      <c r="E389" s="140" t="str">
        <f t="shared" si="19"/>
        <v/>
      </c>
      <c r="F389" s="159"/>
      <c r="G389" s="145">
        <f t="shared" si="18"/>
        <v>0</v>
      </c>
      <c r="H389" s="140" t="str">
        <f t="shared" si="20"/>
        <v/>
      </c>
      <c r="J389" s="147" t="str">
        <f>IFERROR(SUMIFS(当年实际!$V:$V,当年实际!$F:$F,$C389,当年实际!$C:$C,"&gt;="&amp;DATE(YEAR(主页!$D$2),1,1),当年实际!$C:$C,"&lt;="&amp;EOMONTH(DATE(YEAR(主页!$D$2),MONTH(主页!$D$2),1),0))/SUMIFS(当年实际!$P:$P,当年实际!$F:$F,$C389,当年实际!$C:$C,"&gt;="&amp;DATE(YEAR(主页!$D$2),1,1),当年实际!$C:$C,"&lt;="&amp;EOMONTH(DATE(YEAR(主页!$D$2),MONTH(主页!$D$2),1),0)),"")</f>
        <v/>
      </c>
    </row>
    <row r="390" spans="1:10" x14ac:dyDescent="0.3">
      <c r="A390" s="150"/>
      <c r="B390" s="150"/>
      <c r="C390" s="150"/>
      <c r="D390" s="150"/>
      <c r="E390" s="140" t="str">
        <f t="shared" si="19"/>
        <v/>
      </c>
      <c r="F390" s="159"/>
      <c r="G390" s="145">
        <f t="shared" si="18"/>
        <v>0</v>
      </c>
      <c r="H390" s="140" t="str">
        <f t="shared" si="20"/>
        <v/>
      </c>
      <c r="J390" s="147" t="str">
        <f>IFERROR(SUMIFS(当年实际!$V:$V,当年实际!$F:$F,$C390,当年实际!$C:$C,"&gt;="&amp;DATE(YEAR(主页!$D$2),1,1),当年实际!$C:$C,"&lt;="&amp;EOMONTH(DATE(YEAR(主页!$D$2),MONTH(主页!$D$2),1),0))/SUMIFS(当年实际!$P:$P,当年实际!$F:$F,$C390,当年实际!$C:$C,"&gt;="&amp;DATE(YEAR(主页!$D$2),1,1),当年实际!$C:$C,"&lt;="&amp;EOMONTH(DATE(YEAR(主页!$D$2),MONTH(主页!$D$2),1),0)),"")</f>
        <v/>
      </c>
    </row>
    <row r="391" spans="1:10" x14ac:dyDescent="0.3">
      <c r="A391" s="150"/>
      <c r="B391" s="150"/>
      <c r="C391" s="150"/>
      <c r="D391" s="150"/>
      <c r="E391" s="140" t="str">
        <f t="shared" si="19"/>
        <v/>
      </c>
      <c r="F391" s="159"/>
      <c r="G391" s="145">
        <f t="shared" si="18"/>
        <v>0</v>
      </c>
      <c r="H391" s="140" t="str">
        <f t="shared" si="20"/>
        <v/>
      </c>
      <c r="J391" s="147" t="str">
        <f>IFERROR(SUMIFS(当年实际!$V:$V,当年实际!$F:$F,$C391,当年实际!$C:$C,"&gt;="&amp;DATE(YEAR(主页!$D$2),1,1),当年实际!$C:$C,"&lt;="&amp;EOMONTH(DATE(YEAR(主页!$D$2),MONTH(主页!$D$2),1),0))/SUMIFS(当年实际!$P:$P,当年实际!$F:$F,$C391,当年实际!$C:$C,"&gt;="&amp;DATE(YEAR(主页!$D$2),1,1),当年实际!$C:$C,"&lt;="&amp;EOMONTH(DATE(YEAR(主页!$D$2),MONTH(主页!$D$2),1),0)),"")</f>
        <v/>
      </c>
    </row>
    <row r="392" spans="1:10" x14ac:dyDescent="0.3">
      <c r="A392" s="150"/>
      <c r="B392" s="150"/>
      <c r="C392" s="150"/>
      <c r="D392" s="150"/>
      <c r="E392" s="140" t="str">
        <f t="shared" si="19"/>
        <v/>
      </c>
      <c r="F392" s="159"/>
      <c r="G392" s="145">
        <f t="shared" ref="G392:G455" si="21">D392*F392</f>
        <v>0</v>
      </c>
      <c r="H392" s="140" t="str">
        <f t="shared" si="20"/>
        <v/>
      </c>
      <c r="J392" s="147" t="str">
        <f>IFERROR(SUMIFS(当年实际!$V:$V,当年实际!$F:$F,$C392,当年实际!$C:$C,"&gt;="&amp;DATE(YEAR(主页!$D$2),1,1),当年实际!$C:$C,"&lt;="&amp;EOMONTH(DATE(YEAR(主页!$D$2),MONTH(主页!$D$2),1),0))/SUMIFS(当年实际!$P:$P,当年实际!$F:$F,$C392,当年实际!$C:$C,"&gt;="&amp;DATE(YEAR(主页!$D$2),1,1),当年实际!$C:$C,"&lt;="&amp;EOMONTH(DATE(YEAR(主页!$D$2),MONTH(主页!$D$2),1),0)),"")</f>
        <v/>
      </c>
    </row>
    <row r="393" spans="1:10" x14ac:dyDescent="0.3">
      <c r="A393" s="150"/>
      <c r="B393" s="150"/>
      <c r="C393" s="150"/>
      <c r="D393" s="150"/>
      <c r="E393" s="140" t="str">
        <f t="shared" si="19"/>
        <v/>
      </c>
      <c r="F393" s="159"/>
      <c r="G393" s="145">
        <f t="shared" si="21"/>
        <v>0</v>
      </c>
      <c r="H393" s="140" t="str">
        <f t="shared" si="20"/>
        <v/>
      </c>
      <c r="J393" s="147" t="str">
        <f>IFERROR(SUMIFS(当年实际!$V:$V,当年实际!$F:$F,$C393,当年实际!$C:$C,"&gt;="&amp;DATE(YEAR(主页!$D$2),1,1),当年实际!$C:$C,"&lt;="&amp;EOMONTH(DATE(YEAR(主页!$D$2),MONTH(主页!$D$2),1),0))/SUMIFS(当年实际!$P:$P,当年实际!$F:$F,$C393,当年实际!$C:$C,"&gt;="&amp;DATE(YEAR(主页!$D$2),1,1),当年实际!$C:$C,"&lt;="&amp;EOMONTH(DATE(YEAR(主页!$D$2),MONTH(主页!$D$2),1),0)),"")</f>
        <v/>
      </c>
    </row>
    <row r="394" spans="1:10" x14ac:dyDescent="0.3">
      <c r="A394" s="150"/>
      <c r="B394" s="150"/>
      <c r="C394" s="150"/>
      <c r="D394" s="150"/>
      <c r="E394" s="140" t="str">
        <f t="shared" si="19"/>
        <v/>
      </c>
      <c r="F394" s="159"/>
      <c r="G394" s="145">
        <f t="shared" si="21"/>
        <v>0</v>
      </c>
      <c r="H394" s="140" t="str">
        <f t="shared" si="20"/>
        <v/>
      </c>
      <c r="J394" s="147" t="str">
        <f>IFERROR(SUMIFS(当年实际!$V:$V,当年实际!$F:$F,$C394,当年实际!$C:$C,"&gt;="&amp;DATE(YEAR(主页!$D$2),1,1),当年实际!$C:$C,"&lt;="&amp;EOMONTH(DATE(YEAR(主页!$D$2),MONTH(主页!$D$2),1),0))/SUMIFS(当年实际!$P:$P,当年实际!$F:$F,$C394,当年实际!$C:$C,"&gt;="&amp;DATE(YEAR(主页!$D$2),1,1),当年实际!$C:$C,"&lt;="&amp;EOMONTH(DATE(YEAR(主页!$D$2),MONTH(主页!$D$2),1),0)),"")</f>
        <v/>
      </c>
    </row>
    <row r="395" spans="1:10" x14ac:dyDescent="0.3">
      <c r="A395" s="150"/>
      <c r="B395" s="150"/>
      <c r="C395" s="150"/>
      <c r="D395" s="150"/>
      <c r="E395" s="140" t="str">
        <f t="shared" si="19"/>
        <v/>
      </c>
      <c r="F395" s="159"/>
      <c r="G395" s="145">
        <f t="shared" si="21"/>
        <v>0</v>
      </c>
      <c r="H395" s="140" t="str">
        <f t="shared" si="20"/>
        <v/>
      </c>
      <c r="J395" s="147" t="str">
        <f>IFERROR(SUMIFS(当年实际!$V:$V,当年实际!$F:$F,$C395,当年实际!$C:$C,"&gt;="&amp;DATE(YEAR(主页!$D$2),1,1),当年实际!$C:$C,"&lt;="&amp;EOMONTH(DATE(YEAR(主页!$D$2),MONTH(主页!$D$2),1),0))/SUMIFS(当年实际!$P:$P,当年实际!$F:$F,$C395,当年实际!$C:$C,"&gt;="&amp;DATE(YEAR(主页!$D$2),1,1),当年实际!$C:$C,"&lt;="&amp;EOMONTH(DATE(YEAR(主页!$D$2),MONTH(主页!$D$2),1),0)),"")</f>
        <v/>
      </c>
    </row>
    <row r="396" spans="1:10" x14ac:dyDescent="0.3">
      <c r="A396" s="150"/>
      <c r="B396" s="150"/>
      <c r="C396" s="150"/>
      <c r="D396" s="150"/>
      <c r="E396" s="140" t="str">
        <f t="shared" si="19"/>
        <v/>
      </c>
      <c r="F396" s="159"/>
      <c r="G396" s="145">
        <f t="shared" si="21"/>
        <v>0</v>
      </c>
      <c r="H396" s="140" t="str">
        <f t="shared" si="20"/>
        <v/>
      </c>
      <c r="J396" s="147" t="str">
        <f>IFERROR(SUMIFS(当年实际!$V:$V,当年实际!$F:$F,$C396,当年实际!$C:$C,"&gt;="&amp;DATE(YEAR(主页!$D$2),1,1),当年实际!$C:$C,"&lt;="&amp;EOMONTH(DATE(YEAR(主页!$D$2),MONTH(主页!$D$2),1),0))/SUMIFS(当年实际!$P:$P,当年实际!$F:$F,$C396,当年实际!$C:$C,"&gt;="&amp;DATE(YEAR(主页!$D$2),1,1),当年实际!$C:$C,"&lt;="&amp;EOMONTH(DATE(YEAR(主页!$D$2),MONTH(主页!$D$2),1),0)),"")</f>
        <v/>
      </c>
    </row>
    <row r="397" spans="1:10" x14ac:dyDescent="0.3">
      <c r="A397" s="150"/>
      <c r="B397" s="150"/>
      <c r="C397" s="150"/>
      <c r="D397" s="150"/>
      <c r="E397" s="140" t="str">
        <f t="shared" si="19"/>
        <v/>
      </c>
      <c r="F397" s="159"/>
      <c r="G397" s="145">
        <f t="shared" si="21"/>
        <v>0</v>
      </c>
      <c r="H397" s="140" t="str">
        <f t="shared" si="20"/>
        <v/>
      </c>
      <c r="J397" s="147" t="str">
        <f>IFERROR(SUMIFS(当年实际!$V:$V,当年实际!$F:$F,$C397,当年实际!$C:$C,"&gt;="&amp;DATE(YEAR(主页!$D$2),1,1),当年实际!$C:$C,"&lt;="&amp;EOMONTH(DATE(YEAR(主页!$D$2),MONTH(主页!$D$2),1),0))/SUMIFS(当年实际!$P:$P,当年实际!$F:$F,$C397,当年实际!$C:$C,"&gt;="&amp;DATE(YEAR(主页!$D$2),1,1),当年实际!$C:$C,"&lt;="&amp;EOMONTH(DATE(YEAR(主页!$D$2),MONTH(主页!$D$2),1),0)),"")</f>
        <v/>
      </c>
    </row>
    <row r="398" spans="1:10" x14ac:dyDescent="0.3">
      <c r="A398" s="150"/>
      <c r="B398" s="150"/>
      <c r="C398" s="150"/>
      <c r="D398" s="150"/>
      <c r="E398" s="140" t="str">
        <f t="shared" si="19"/>
        <v/>
      </c>
      <c r="F398" s="159"/>
      <c r="G398" s="145">
        <f t="shared" si="21"/>
        <v>0</v>
      </c>
      <c r="H398" s="140" t="str">
        <f t="shared" si="20"/>
        <v/>
      </c>
      <c r="J398" s="147" t="str">
        <f>IFERROR(SUMIFS(当年实际!$V:$V,当年实际!$F:$F,$C398,当年实际!$C:$C,"&gt;="&amp;DATE(YEAR(主页!$D$2),1,1),当年实际!$C:$C,"&lt;="&amp;EOMONTH(DATE(YEAR(主页!$D$2),MONTH(主页!$D$2),1),0))/SUMIFS(当年实际!$P:$P,当年实际!$F:$F,$C398,当年实际!$C:$C,"&gt;="&amp;DATE(YEAR(主页!$D$2),1,1),当年实际!$C:$C,"&lt;="&amp;EOMONTH(DATE(YEAR(主页!$D$2),MONTH(主页!$D$2),1),0)),"")</f>
        <v/>
      </c>
    </row>
    <row r="399" spans="1:10" x14ac:dyDescent="0.3">
      <c r="A399" s="150"/>
      <c r="B399" s="150"/>
      <c r="C399" s="150"/>
      <c r="D399" s="150"/>
      <c r="E399" s="140" t="str">
        <f t="shared" si="19"/>
        <v/>
      </c>
      <c r="F399" s="159"/>
      <c r="G399" s="145">
        <f t="shared" si="21"/>
        <v>0</v>
      </c>
      <c r="H399" s="140" t="str">
        <f t="shared" si="20"/>
        <v/>
      </c>
      <c r="J399" s="147" t="str">
        <f>IFERROR(SUMIFS(当年实际!$V:$V,当年实际!$F:$F,$C399,当年实际!$C:$C,"&gt;="&amp;DATE(YEAR(主页!$D$2),1,1),当年实际!$C:$C,"&lt;="&amp;EOMONTH(DATE(YEAR(主页!$D$2),MONTH(主页!$D$2),1),0))/SUMIFS(当年实际!$P:$P,当年实际!$F:$F,$C399,当年实际!$C:$C,"&gt;="&amp;DATE(YEAR(主页!$D$2),1,1),当年实际!$C:$C,"&lt;="&amp;EOMONTH(DATE(YEAR(主页!$D$2),MONTH(主页!$D$2),1),0)),"")</f>
        <v/>
      </c>
    </row>
    <row r="400" spans="1:10" x14ac:dyDescent="0.3">
      <c r="A400" s="150"/>
      <c r="B400" s="150"/>
      <c r="C400" s="150"/>
      <c r="D400" s="150"/>
      <c r="E400" s="140" t="str">
        <f t="shared" si="19"/>
        <v/>
      </c>
      <c r="F400" s="159"/>
      <c r="G400" s="145">
        <f t="shared" si="21"/>
        <v>0</v>
      </c>
      <c r="H400" s="140" t="str">
        <f t="shared" si="20"/>
        <v/>
      </c>
      <c r="J400" s="147" t="str">
        <f>IFERROR(SUMIFS(当年实际!$V:$V,当年实际!$F:$F,$C400,当年实际!$C:$C,"&gt;="&amp;DATE(YEAR(主页!$D$2),1,1),当年实际!$C:$C,"&lt;="&amp;EOMONTH(DATE(YEAR(主页!$D$2),MONTH(主页!$D$2),1),0))/SUMIFS(当年实际!$P:$P,当年实际!$F:$F,$C400,当年实际!$C:$C,"&gt;="&amp;DATE(YEAR(主页!$D$2),1,1),当年实际!$C:$C,"&lt;="&amp;EOMONTH(DATE(YEAR(主页!$D$2),MONTH(主页!$D$2),1),0)),"")</f>
        <v/>
      </c>
    </row>
    <row r="401" spans="1:10" x14ac:dyDescent="0.3">
      <c r="A401" s="150"/>
      <c r="B401" s="150"/>
      <c r="C401" s="150"/>
      <c r="D401" s="150"/>
      <c r="E401" s="140" t="str">
        <f t="shared" si="19"/>
        <v/>
      </c>
      <c r="F401" s="159"/>
      <c r="G401" s="145">
        <f t="shared" si="21"/>
        <v>0</v>
      </c>
      <c r="H401" s="140" t="str">
        <f t="shared" si="20"/>
        <v/>
      </c>
      <c r="J401" s="147" t="str">
        <f>IFERROR(SUMIFS(当年实际!$V:$V,当年实际!$F:$F,$C401,当年实际!$C:$C,"&gt;="&amp;DATE(YEAR(主页!$D$2),1,1),当年实际!$C:$C,"&lt;="&amp;EOMONTH(DATE(YEAR(主页!$D$2),MONTH(主页!$D$2),1),0))/SUMIFS(当年实际!$P:$P,当年实际!$F:$F,$C401,当年实际!$C:$C,"&gt;="&amp;DATE(YEAR(主页!$D$2),1,1),当年实际!$C:$C,"&lt;="&amp;EOMONTH(DATE(YEAR(主页!$D$2),MONTH(主页!$D$2),1),0)),"")</f>
        <v/>
      </c>
    </row>
    <row r="402" spans="1:10" x14ac:dyDescent="0.3">
      <c r="A402" s="150"/>
      <c r="B402" s="150"/>
      <c r="C402" s="150"/>
      <c r="D402" s="150"/>
      <c r="E402" s="140" t="str">
        <f t="shared" si="19"/>
        <v/>
      </c>
      <c r="F402" s="159"/>
      <c r="G402" s="145">
        <f t="shared" si="21"/>
        <v>0</v>
      </c>
      <c r="H402" s="140" t="str">
        <f t="shared" si="20"/>
        <v/>
      </c>
      <c r="J402" s="147" t="str">
        <f>IFERROR(SUMIFS(当年实际!$V:$V,当年实际!$F:$F,$C402,当年实际!$C:$C,"&gt;="&amp;DATE(YEAR(主页!$D$2),1,1),当年实际!$C:$C,"&lt;="&amp;EOMONTH(DATE(YEAR(主页!$D$2),MONTH(主页!$D$2),1),0))/SUMIFS(当年实际!$P:$P,当年实际!$F:$F,$C402,当年实际!$C:$C,"&gt;="&amp;DATE(YEAR(主页!$D$2),1,1),当年实际!$C:$C,"&lt;="&amp;EOMONTH(DATE(YEAR(主页!$D$2),MONTH(主页!$D$2),1),0)),"")</f>
        <v/>
      </c>
    </row>
    <row r="403" spans="1:10" x14ac:dyDescent="0.3">
      <c r="A403" s="150"/>
      <c r="B403" s="150"/>
      <c r="C403" s="150"/>
      <c r="D403" s="150"/>
      <c r="E403" s="140" t="str">
        <f t="shared" si="19"/>
        <v/>
      </c>
      <c r="F403" s="159"/>
      <c r="G403" s="145">
        <f t="shared" si="21"/>
        <v>0</v>
      </c>
      <c r="H403" s="140" t="str">
        <f t="shared" si="20"/>
        <v/>
      </c>
      <c r="J403" s="147" t="str">
        <f>IFERROR(SUMIFS(当年实际!$V:$V,当年实际!$F:$F,$C403,当年实际!$C:$C,"&gt;="&amp;DATE(YEAR(主页!$D$2),1,1),当年实际!$C:$C,"&lt;="&amp;EOMONTH(DATE(YEAR(主页!$D$2),MONTH(主页!$D$2),1),0))/SUMIFS(当年实际!$P:$P,当年实际!$F:$F,$C403,当年实际!$C:$C,"&gt;="&amp;DATE(YEAR(主页!$D$2),1,1),当年实际!$C:$C,"&lt;="&amp;EOMONTH(DATE(YEAR(主页!$D$2),MONTH(主页!$D$2),1),0)),"")</f>
        <v/>
      </c>
    </row>
    <row r="404" spans="1:10" x14ac:dyDescent="0.3">
      <c r="A404" s="150"/>
      <c r="B404" s="150"/>
      <c r="C404" s="150"/>
      <c r="D404" s="150"/>
      <c r="E404" s="140" t="str">
        <f t="shared" si="19"/>
        <v/>
      </c>
      <c r="F404" s="159"/>
      <c r="G404" s="145">
        <f t="shared" si="21"/>
        <v>0</v>
      </c>
      <c r="H404" s="140" t="str">
        <f t="shared" si="20"/>
        <v/>
      </c>
      <c r="J404" s="147" t="str">
        <f>IFERROR(SUMIFS(当年实际!$V:$V,当年实际!$F:$F,$C404,当年实际!$C:$C,"&gt;="&amp;DATE(YEAR(主页!$D$2),1,1),当年实际!$C:$C,"&lt;="&amp;EOMONTH(DATE(YEAR(主页!$D$2),MONTH(主页!$D$2),1),0))/SUMIFS(当年实际!$P:$P,当年实际!$F:$F,$C404,当年实际!$C:$C,"&gt;="&amp;DATE(YEAR(主页!$D$2),1,1),当年实际!$C:$C,"&lt;="&amp;EOMONTH(DATE(YEAR(主页!$D$2),MONTH(主页!$D$2),1),0)),"")</f>
        <v/>
      </c>
    </row>
    <row r="405" spans="1:10" x14ac:dyDescent="0.3">
      <c r="A405" s="150"/>
      <c r="B405" s="150"/>
      <c r="C405" s="150"/>
      <c r="D405" s="150"/>
      <c r="E405" s="140" t="str">
        <f t="shared" si="19"/>
        <v/>
      </c>
      <c r="F405" s="159"/>
      <c r="G405" s="145">
        <f t="shared" si="21"/>
        <v>0</v>
      </c>
      <c r="H405" s="140" t="str">
        <f t="shared" si="20"/>
        <v/>
      </c>
      <c r="J405" s="147" t="str">
        <f>IFERROR(SUMIFS(当年实际!$V:$V,当年实际!$F:$F,$C405,当年实际!$C:$C,"&gt;="&amp;DATE(YEAR(主页!$D$2),1,1),当年实际!$C:$C,"&lt;="&amp;EOMONTH(DATE(YEAR(主页!$D$2),MONTH(主页!$D$2),1),0))/SUMIFS(当年实际!$P:$P,当年实际!$F:$F,$C405,当年实际!$C:$C,"&gt;="&amp;DATE(YEAR(主页!$D$2),1,1),当年实际!$C:$C,"&lt;="&amp;EOMONTH(DATE(YEAR(主页!$D$2),MONTH(主页!$D$2),1),0)),"")</f>
        <v/>
      </c>
    </row>
    <row r="406" spans="1:10" x14ac:dyDescent="0.3">
      <c r="A406" s="150"/>
      <c r="B406" s="150"/>
      <c r="C406" s="150"/>
      <c r="D406" s="150"/>
      <c r="E406" s="140" t="str">
        <f t="shared" si="19"/>
        <v/>
      </c>
      <c r="F406" s="159"/>
      <c r="G406" s="145">
        <f t="shared" si="21"/>
        <v>0</v>
      </c>
      <c r="H406" s="140" t="str">
        <f t="shared" si="20"/>
        <v/>
      </c>
      <c r="J406" s="147" t="str">
        <f>IFERROR(SUMIFS(当年实际!$V:$V,当年实际!$F:$F,$C406,当年实际!$C:$C,"&gt;="&amp;DATE(YEAR(主页!$D$2),1,1),当年实际!$C:$C,"&lt;="&amp;EOMONTH(DATE(YEAR(主页!$D$2),MONTH(主页!$D$2),1),0))/SUMIFS(当年实际!$P:$P,当年实际!$F:$F,$C406,当年实际!$C:$C,"&gt;="&amp;DATE(YEAR(主页!$D$2),1,1),当年实际!$C:$C,"&lt;="&amp;EOMONTH(DATE(YEAR(主页!$D$2),MONTH(主页!$D$2),1),0)),"")</f>
        <v/>
      </c>
    </row>
    <row r="407" spans="1:10" x14ac:dyDescent="0.3">
      <c r="A407" s="150"/>
      <c r="B407" s="150"/>
      <c r="C407" s="150"/>
      <c r="D407" s="150"/>
      <c r="E407" s="140" t="str">
        <f t="shared" si="19"/>
        <v/>
      </c>
      <c r="F407" s="159"/>
      <c r="G407" s="145">
        <f t="shared" si="21"/>
        <v>0</v>
      </c>
      <c r="H407" s="140" t="str">
        <f t="shared" si="20"/>
        <v/>
      </c>
      <c r="J407" s="147" t="str">
        <f>IFERROR(SUMIFS(当年实际!$V:$V,当年实际!$F:$F,$C407,当年实际!$C:$C,"&gt;="&amp;DATE(YEAR(主页!$D$2),1,1),当年实际!$C:$C,"&lt;="&amp;EOMONTH(DATE(YEAR(主页!$D$2),MONTH(主页!$D$2),1),0))/SUMIFS(当年实际!$P:$P,当年实际!$F:$F,$C407,当年实际!$C:$C,"&gt;="&amp;DATE(YEAR(主页!$D$2),1,1),当年实际!$C:$C,"&lt;="&amp;EOMONTH(DATE(YEAR(主页!$D$2),MONTH(主页!$D$2),1),0)),"")</f>
        <v/>
      </c>
    </row>
    <row r="408" spans="1:10" x14ac:dyDescent="0.3">
      <c r="A408" s="150"/>
      <c r="B408" s="150"/>
      <c r="C408" s="150"/>
      <c r="D408" s="150"/>
      <c r="E408" s="140" t="str">
        <f t="shared" si="19"/>
        <v/>
      </c>
      <c r="F408" s="159"/>
      <c r="G408" s="145">
        <f t="shared" si="21"/>
        <v>0</v>
      </c>
      <c r="H408" s="140" t="str">
        <f t="shared" si="20"/>
        <v/>
      </c>
      <c r="J408" s="147" t="str">
        <f>IFERROR(SUMIFS(当年实际!$V:$V,当年实际!$F:$F,$C408,当年实际!$C:$C,"&gt;="&amp;DATE(YEAR(主页!$D$2),1,1),当年实际!$C:$C,"&lt;="&amp;EOMONTH(DATE(YEAR(主页!$D$2),MONTH(主页!$D$2),1),0))/SUMIFS(当年实际!$P:$P,当年实际!$F:$F,$C408,当年实际!$C:$C,"&gt;="&amp;DATE(YEAR(主页!$D$2),1,1),当年实际!$C:$C,"&lt;="&amp;EOMONTH(DATE(YEAR(主页!$D$2),MONTH(主页!$D$2),1),0)),"")</f>
        <v/>
      </c>
    </row>
    <row r="409" spans="1:10" x14ac:dyDescent="0.3">
      <c r="A409" s="150"/>
      <c r="B409" s="150"/>
      <c r="C409" s="150"/>
      <c r="D409" s="150"/>
      <c r="E409" s="140" t="str">
        <f t="shared" si="19"/>
        <v/>
      </c>
      <c r="F409" s="159"/>
      <c r="G409" s="145">
        <f t="shared" si="21"/>
        <v>0</v>
      </c>
      <c r="H409" s="140" t="str">
        <f t="shared" si="20"/>
        <v/>
      </c>
      <c r="J409" s="147" t="str">
        <f>IFERROR(SUMIFS(当年实际!$V:$V,当年实际!$F:$F,$C409,当年实际!$C:$C,"&gt;="&amp;DATE(YEAR(主页!$D$2),1,1),当年实际!$C:$C,"&lt;="&amp;EOMONTH(DATE(YEAR(主页!$D$2),MONTH(主页!$D$2),1),0))/SUMIFS(当年实际!$P:$P,当年实际!$F:$F,$C409,当年实际!$C:$C,"&gt;="&amp;DATE(YEAR(主页!$D$2),1,1),当年实际!$C:$C,"&lt;="&amp;EOMONTH(DATE(YEAR(主页!$D$2),MONTH(主页!$D$2),1),0)),"")</f>
        <v/>
      </c>
    </row>
    <row r="410" spans="1:10" x14ac:dyDescent="0.3">
      <c r="A410" s="150"/>
      <c r="B410" s="150"/>
      <c r="C410" s="150"/>
      <c r="D410" s="150"/>
      <c r="E410" s="140" t="str">
        <f t="shared" si="19"/>
        <v/>
      </c>
      <c r="F410" s="159"/>
      <c r="G410" s="145">
        <f t="shared" si="21"/>
        <v>0</v>
      </c>
      <c r="H410" s="140" t="str">
        <f t="shared" si="20"/>
        <v/>
      </c>
      <c r="J410" s="147" t="str">
        <f>IFERROR(SUMIFS(当年实际!$V:$V,当年实际!$F:$F,$C410,当年实际!$C:$C,"&gt;="&amp;DATE(YEAR(主页!$D$2),1,1),当年实际!$C:$C,"&lt;="&amp;EOMONTH(DATE(YEAR(主页!$D$2),MONTH(主页!$D$2),1),0))/SUMIFS(当年实际!$P:$P,当年实际!$F:$F,$C410,当年实际!$C:$C,"&gt;="&amp;DATE(YEAR(主页!$D$2),1,1),当年实际!$C:$C,"&lt;="&amp;EOMONTH(DATE(YEAR(主页!$D$2),MONTH(主页!$D$2),1),0)),"")</f>
        <v/>
      </c>
    </row>
    <row r="411" spans="1:10" x14ac:dyDescent="0.3">
      <c r="A411" s="150"/>
      <c r="B411" s="150"/>
      <c r="C411" s="150"/>
      <c r="D411" s="150"/>
      <c r="E411" s="140" t="str">
        <f t="shared" si="19"/>
        <v/>
      </c>
      <c r="F411" s="159"/>
      <c r="G411" s="145">
        <f t="shared" si="21"/>
        <v>0</v>
      </c>
      <c r="H411" s="140" t="str">
        <f t="shared" si="20"/>
        <v/>
      </c>
      <c r="J411" s="147" t="str">
        <f>IFERROR(SUMIFS(当年实际!$V:$V,当年实际!$F:$F,$C411,当年实际!$C:$C,"&gt;="&amp;DATE(YEAR(主页!$D$2),1,1),当年实际!$C:$C,"&lt;="&amp;EOMONTH(DATE(YEAR(主页!$D$2),MONTH(主页!$D$2),1),0))/SUMIFS(当年实际!$P:$P,当年实际!$F:$F,$C411,当年实际!$C:$C,"&gt;="&amp;DATE(YEAR(主页!$D$2),1,1),当年实际!$C:$C,"&lt;="&amp;EOMONTH(DATE(YEAR(主页!$D$2),MONTH(主页!$D$2),1),0)),"")</f>
        <v/>
      </c>
    </row>
    <row r="412" spans="1:10" x14ac:dyDescent="0.3">
      <c r="A412" s="150"/>
      <c r="B412" s="150"/>
      <c r="C412" s="150"/>
      <c r="D412" s="150"/>
      <c r="E412" s="140" t="str">
        <f t="shared" si="19"/>
        <v/>
      </c>
      <c r="F412" s="159"/>
      <c r="G412" s="145">
        <f t="shared" si="21"/>
        <v>0</v>
      </c>
      <c r="H412" s="140" t="str">
        <f t="shared" si="20"/>
        <v/>
      </c>
      <c r="J412" s="147" t="str">
        <f>IFERROR(SUMIFS(当年实际!$V:$V,当年实际!$F:$F,$C412,当年实际!$C:$C,"&gt;="&amp;DATE(YEAR(主页!$D$2),1,1),当年实际!$C:$C,"&lt;="&amp;EOMONTH(DATE(YEAR(主页!$D$2),MONTH(主页!$D$2),1),0))/SUMIFS(当年实际!$P:$P,当年实际!$F:$F,$C412,当年实际!$C:$C,"&gt;="&amp;DATE(YEAR(主页!$D$2),1,1),当年实际!$C:$C,"&lt;="&amp;EOMONTH(DATE(YEAR(主页!$D$2),MONTH(主页!$D$2),1),0)),"")</f>
        <v/>
      </c>
    </row>
    <row r="413" spans="1:10" x14ac:dyDescent="0.3">
      <c r="A413" s="150"/>
      <c r="B413" s="150"/>
      <c r="C413" s="150"/>
      <c r="D413" s="150"/>
      <c r="E413" s="140" t="str">
        <f t="shared" si="19"/>
        <v/>
      </c>
      <c r="F413" s="159"/>
      <c r="G413" s="145">
        <f t="shared" si="21"/>
        <v>0</v>
      </c>
      <c r="H413" s="140" t="str">
        <f t="shared" si="20"/>
        <v/>
      </c>
      <c r="J413" s="147" t="str">
        <f>IFERROR(SUMIFS(当年实际!$V:$V,当年实际!$F:$F,$C413,当年实际!$C:$C,"&gt;="&amp;DATE(YEAR(主页!$D$2),1,1),当年实际!$C:$C,"&lt;="&amp;EOMONTH(DATE(YEAR(主页!$D$2),MONTH(主页!$D$2),1),0))/SUMIFS(当年实际!$P:$P,当年实际!$F:$F,$C413,当年实际!$C:$C,"&gt;="&amp;DATE(YEAR(主页!$D$2),1,1),当年实际!$C:$C,"&lt;="&amp;EOMONTH(DATE(YEAR(主页!$D$2),MONTH(主页!$D$2),1),0)),"")</f>
        <v/>
      </c>
    </row>
    <row r="414" spans="1:10" x14ac:dyDescent="0.3">
      <c r="A414" s="150"/>
      <c r="B414" s="150"/>
      <c r="C414" s="150"/>
      <c r="D414" s="150"/>
      <c r="E414" s="140" t="str">
        <f t="shared" si="19"/>
        <v/>
      </c>
      <c r="F414" s="159"/>
      <c r="G414" s="145">
        <f t="shared" si="21"/>
        <v>0</v>
      </c>
      <c r="H414" s="140" t="str">
        <f t="shared" si="20"/>
        <v/>
      </c>
      <c r="J414" s="147" t="str">
        <f>IFERROR(SUMIFS(当年实际!$V:$V,当年实际!$F:$F,$C414,当年实际!$C:$C,"&gt;="&amp;DATE(YEAR(主页!$D$2),1,1),当年实际!$C:$C,"&lt;="&amp;EOMONTH(DATE(YEAR(主页!$D$2),MONTH(主页!$D$2),1),0))/SUMIFS(当年实际!$P:$P,当年实际!$F:$F,$C414,当年实际!$C:$C,"&gt;="&amp;DATE(YEAR(主页!$D$2),1,1),当年实际!$C:$C,"&lt;="&amp;EOMONTH(DATE(YEAR(主页!$D$2),MONTH(主页!$D$2),1),0)),"")</f>
        <v/>
      </c>
    </row>
    <row r="415" spans="1:10" x14ac:dyDescent="0.3">
      <c r="A415" s="150"/>
      <c r="B415" s="150"/>
      <c r="C415" s="150"/>
      <c r="D415" s="150"/>
      <c r="E415" s="140" t="str">
        <f t="shared" si="19"/>
        <v/>
      </c>
      <c r="F415" s="159"/>
      <c r="G415" s="145">
        <f t="shared" si="21"/>
        <v>0</v>
      </c>
      <c r="H415" s="140" t="str">
        <f t="shared" si="20"/>
        <v/>
      </c>
      <c r="J415" s="147" t="str">
        <f>IFERROR(SUMIFS(当年实际!$V:$V,当年实际!$F:$F,$C415,当年实际!$C:$C,"&gt;="&amp;DATE(YEAR(主页!$D$2),1,1),当年实际!$C:$C,"&lt;="&amp;EOMONTH(DATE(YEAR(主页!$D$2),MONTH(主页!$D$2),1),0))/SUMIFS(当年实际!$P:$P,当年实际!$F:$F,$C415,当年实际!$C:$C,"&gt;="&amp;DATE(YEAR(主页!$D$2),1,1),当年实际!$C:$C,"&lt;="&amp;EOMONTH(DATE(YEAR(主页!$D$2),MONTH(主页!$D$2),1),0)),"")</f>
        <v/>
      </c>
    </row>
    <row r="416" spans="1:10" x14ac:dyDescent="0.3">
      <c r="A416" s="150"/>
      <c r="B416" s="150"/>
      <c r="C416" s="150"/>
      <c r="D416" s="150"/>
      <c r="E416" s="140" t="str">
        <f t="shared" si="19"/>
        <v/>
      </c>
      <c r="F416" s="159"/>
      <c r="G416" s="145">
        <f t="shared" si="21"/>
        <v>0</v>
      </c>
      <c r="H416" s="140" t="str">
        <f t="shared" si="20"/>
        <v/>
      </c>
      <c r="J416" s="147" t="str">
        <f>IFERROR(SUMIFS(当年实际!$V:$V,当年实际!$F:$F,$C416,当年实际!$C:$C,"&gt;="&amp;DATE(YEAR(主页!$D$2),1,1),当年实际!$C:$C,"&lt;="&amp;EOMONTH(DATE(YEAR(主页!$D$2),MONTH(主页!$D$2),1),0))/SUMIFS(当年实际!$P:$P,当年实际!$F:$F,$C416,当年实际!$C:$C,"&gt;="&amp;DATE(YEAR(主页!$D$2),1,1),当年实际!$C:$C,"&lt;="&amp;EOMONTH(DATE(YEAR(主页!$D$2),MONTH(主页!$D$2),1),0)),"")</f>
        <v/>
      </c>
    </row>
    <row r="417" spans="1:10" x14ac:dyDescent="0.3">
      <c r="A417" s="150"/>
      <c r="B417" s="150"/>
      <c r="C417" s="150"/>
      <c r="D417" s="150"/>
      <c r="E417" s="140" t="str">
        <f t="shared" si="19"/>
        <v/>
      </c>
      <c r="F417" s="159"/>
      <c r="G417" s="145">
        <f t="shared" si="21"/>
        <v>0</v>
      </c>
      <c r="H417" s="140" t="str">
        <f t="shared" si="20"/>
        <v/>
      </c>
      <c r="J417" s="147" t="str">
        <f>IFERROR(SUMIFS(当年实际!$V:$V,当年实际!$F:$F,$C417,当年实际!$C:$C,"&gt;="&amp;DATE(YEAR(主页!$D$2),1,1),当年实际!$C:$C,"&lt;="&amp;EOMONTH(DATE(YEAR(主页!$D$2),MONTH(主页!$D$2),1),0))/SUMIFS(当年实际!$P:$P,当年实际!$F:$F,$C417,当年实际!$C:$C,"&gt;="&amp;DATE(YEAR(主页!$D$2),1,1),当年实际!$C:$C,"&lt;="&amp;EOMONTH(DATE(YEAR(主页!$D$2),MONTH(主页!$D$2),1),0)),"")</f>
        <v/>
      </c>
    </row>
    <row r="418" spans="1:10" x14ac:dyDescent="0.3">
      <c r="A418" s="150"/>
      <c r="B418" s="150"/>
      <c r="C418" s="150"/>
      <c r="D418" s="150"/>
      <c r="E418" s="140" t="str">
        <f t="shared" si="19"/>
        <v/>
      </c>
      <c r="F418" s="159"/>
      <c r="G418" s="145">
        <f t="shared" si="21"/>
        <v>0</v>
      </c>
      <c r="H418" s="140" t="str">
        <f t="shared" si="20"/>
        <v/>
      </c>
      <c r="J418" s="147" t="str">
        <f>IFERROR(SUMIFS(当年实际!$V:$V,当年实际!$F:$F,$C418,当年实际!$C:$C,"&gt;="&amp;DATE(YEAR(主页!$D$2),1,1),当年实际!$C:$C,"&lt;="&amp;EOMONTH(DATE(YEAR(主页!$D$2),MONTH(主页!$D$2),1),0))/SUMIFS(当年实际!$P:$P,当年实际!$F:$F,$C418,当年实际!$C:$C,"&gt;="&amp;DATE(YEAR(主页!$D$2),1,1),当年实际!$C:$C,"&lt;="&amp;EOMONTH(DATE(YEAR(主页!$D$2),MONTH(主页!$D$2),1),0)),"")</f>
        <v/>
      </c>
    </row>
    <row r="419" spans="1:10" x14ac:dyDescent="0.3">
      <c r="A419" s="150"/>
      <c r="B419" s="150"/>
      <c r="C419" s="150"/>
      <c r="D419" s="150"/>
      <c r="E419" s="140" t="str">
        <f t="shared" si="19"/>
        <v/>
      </c>
      <c r="F419" s="159"/>
      <c r="G419" s="145">
        <f t="shared" si="21"/>
        <v>0</v>
      </c>
      <c r="H419" s="140" t="str">
        <f t="shared" si="20"/>
        <v/>
      </c>
      <c r="J419" s="147" t="str">
        <f>IFERROR(SUMIFS(当年实际!$V:$V,当年实际!$F:$F,$C419,当年实际!$C:$C,"&gt;="&amp;DATE(YEAR(主页!$D$2),1,1),当年实际!$C:$C,"&lt;="&amp;EOMONTH(DATE(YEAR(主页!$D$2),MONTH(主页!$D$2),1),0))/SUMIFS(当年实际!$P:$P,当年实际!$F:$F,$C419,当年实际!$C:$C,"&gt;="&amp;DATE(YEAR(主页!$D$2),1,1),当年实际!$C:$C,"&lt;="&amp;EOMONTH(DATE(YEAR(主页!$D$2),MONTH(主页!$D$2),1),0)),"")</f>
        <v/>
      </c>
    </row>
    <row r="420" spans="1:10" x14ac:dyDescent="0.3">
      <c r="A420" s="150"/>
      <c r="B420" s="150"/>
      <c r="C420" s="150"/>
      <c r="D420" s="150"/>
      <c r="E420" s="140" t="str">
        <f t="shared" si="19"/>
        <v/>
      </c>
      <c r="F420" s="159"/>
      <c r="G420" s="145">
        <f t="shared" si="21"/>
        <v>0</v>
      </c>
      <c r="H420" s="140" t="str">
        <f t="shared" si="20"/>
        <v/>
      </c>
      <c r="J420" s="147" t="str">
        <f>IFERROR(SUMIFS(当年实际!$V:$V,当年实际!$F:$F,$C420,当年实际!$C:$C,"&gt;="&amp;DATE(YEAR(主页!$D$2),1,1),当年实际!$C:$C,"&lt;="&amp;EOMONTH(DATE(YEAR(主页!$D$2),MONTH(主页!$D$2),1),0))/SUMIFS(当年实际!$P:$P,当年实际!$F:$F,$C420,当年实际!$C:$C,"&gt;="&amp;DATE(YEAR(主页!$D$2),1,1),当年实际!$C:$C,"&lt;="&amp;EOMONTH(DATE(YEAR(主页!$D$2),MONTH(主页!$D$2),1),0)),"")</f>
        <v/>
      </c>
    </row>
    <row r="421" spans="1:10" x14ac:dyDescent="0.3">
      <c r="A421" s="150"/>
      <c r="B421" s="150"/>
      <c r="C421" s="150"/>
      <c r="D421" s="150"/>
      <c r="E421" s="140" t="str">
        <f t="shared" si="19"/>
        <v/>
      </c>
      <c r="F421" s="159"/>
      <c r="G421" s="145">
        <f t="shared" si="21"/>
        <v>0</v>
      </c>
      <c r="H421" s="140" t="str">
        <f t="shared" si="20"/>
        <v/>
      </c>
      <c r="J421" s="147" t="str">
        <f>IFERROR(SUMIFS(当年实际!$V:$V,当年实际!$F:$F,$C421,当年实际!$C:$C,"&gt;="&amp;DATE(YEAR(主页!$D$2),1,1),当年实际!$C:$C,"&lt;="&amp;EOMONTH(DATE(YEAR(主页!$D$2),MONTH(主页!$D$2),1),0))/SUMIFS(当年实际!$P:$P,当年实际!$F:$F,$C421,当年实际!$C:$C,"&gt;="&amp;DATE(YEAR(主页!$D$2),1,1),当年实际!$C:$C,"&lt;="&amp;EOMONTH(DATE(YEAR(主页!$D$2),MONTH(主页!$D$2),1),0)),"")</f>
        <v/>
      </c>
    </row>
    <row r="422" spans="1:10" x14ac:dyDescent="0.3">
      <c r="A422" s="150"/>
      <c r="B422" s="150"/>
      <c r="C422" s="150"/>
      <c r="D422" s="150"/>
      <c r="E422" s="140" t="str">
        <f t="shared" si="19"/>
        <v/>
      </c>
      <c r="F422" s="159"/>
      <c r="G422" s="145">
        <f t="shared" si="21"/>
        <v>0</v>
      </c>
      <c r="H422" s="140" t="str">
        <f t="shared" si="20"/>
        <v/>
      </c>
      <c r="J422" s="147" t="str">
        <f>IFERROR(SUMIFS(当年实际!$V:$V,当年实际!$F:$F,$C422,当年实际!$C:$C,"&gt;="&amp;DATE(YEAR(主页!$D$2),1,1),当年实际!$C:$C,"&lt;="&amp;EOMONTH(DATE(YEAR(主页!$D$2),MONTH(主页!$D$2),1),0))/SUMIFS(当年实际!$P:$P,当年实际!$F:$F,$C422,当年实际!$C:$C,"&gt;="&amp;DATE(YEAR(主页!$D$2),1,1),当年实际!$C:$C,"&lt;="&amp;EOMONTH(DATE(YEAR(主页!$D$2),MONTH(主页!$D$2),1),0)),"")</f>
        <v/>
      </c>
    </row>
    <row r="423" spans="1:10" x14ac:dyDescent="0.3">
      <c r="A423" s="150"/>
      <c r="B423" s="150"/>
      <c r="C423" s="150"/>
      <c r="D423" s="150"/>
      <c r="E423" s="140" t="str">
        <f t="shared" si="19"/>
        <v/>
      </c>
      <c r="F423" s="159"/>
      <c r="G423" s="145">
        <f t="shared" si="21"/>
        <v>0</v>
      </c>
      <c r="H423" s="140" t="str">
        <f t="shared" si="20"/>
        <v/>
      </c>
      <c r="J423" s="147" t="str">
        <f>IFERROR(SUMIFS(当年实际!$V:$V,当年实际!$F:$F,$C423,当年实际!$C:$C,"&gt;="&amp;DATE(YEAR(主页!$D$2),1,1),当年实际!$C:$C,"&lt;="&amp;EOMONTH(DATE(YEAR(主页!$D$2),MONTH(主页!$D$2),1),0))/SUMIFS(当年实际!$P:$P,当年实际!$F:$F,$C423,当年实际!$C:$C,"&gt;="&amp;DATE(YEAR(主页!$D$2),1,1),当年实际!$C:$C,"&lt;="&amp;EOMONTH(DATE(YEAR(主页!$D$2),MONTH(主页!$D$2),1),0)),"")</f>
        <v/>
      </c>
    </row>
    <row r="424" spans="1:10" x14ac:dyDescent="0.3">
      <c r="A424" s="150"/>
      <c r="B424" s="150"/>
      <c r="C424" s="150"/>
      <c r="D424" s="150"/>
      <c r="E424" s="140" t="str">
        <f t="shared" si="19"/>
        <v/>
      </c>
      <c r="F424" s="159"/>
      <c r="G424" s="145">
        <f t="shared" si="21"/>
        <v>0</v>
      </c>
      <c r="H424" s="140" t="str">
        <f t="shared" si="20"/>
        <v/>
      </c>
      <c r="J424" s="147" t="str">
        <f>IFERROR(SUMIFS(当年实际!$V:$V,当年实际!$F:$F,$C424,当年实际!$C:$C,"&gt;="&amp;DATE(YEAR(主页!$D$2),1,1),当年实际!$C:$C,"&lt;="&amp;EOMONTH(DATE(YEAR(主页!$D$2),MONTH(主页!$D$2),1),0))/SUMIFS(当年实际!$P:$P,当年实际!$F:$F,$C424,当年实际!$C:$C,"&gt;="&amp;DATE(YEAR(主页!$D$2),1,1),当年实际!$C:$C,"&lt;="&amp;EOMONTH(DATE(YEAR(主页!$D$2),MONTH(主页!$D$2),1),0)),"")</f>
        <v/>
      </c>
    </row>
    <row r="425" spans="1:10" x14ac:dyDescent="0.3">
      <c r="A425" s="150"/>
      <c r="B425" s="150"/>
      <c r="C425" s="150"/>
      <c r="D425" s="150"/>
      <c r="E425" s="140" t="str">
        <f t="shared" si="19"/>
        <v/>
      </c>
      <c r="F425" s="159"/>
      <c r="G425" s="145">
        <f t="shared" si="21"/>
        <v>0</v>
      </c>
      <c r="H425" s="140" t="str">
        <f t="shared" si="20"/>
        <v/>
      </c>
      <c r="J425" s="147" t="str">
        <f>IFERROR(SUMIFS(当年实际!$V:$V,当年实际!$F:$F,$C425,当年实际!$C:$C,"&gt;="&amp;DATE(YEAR(主页!$D$2),1,1),当年实际!$C:$C,"&lt;="&amp;EOMONTH(DATE(YEAR(主页!$D$2),MONTH(主页!$D$2),1),0))/SUMIFS(当年实际!$P:$P,当年实际!$F:$F,$C425,当年实际!$C:$C,"&gt;="&amp;DATE(YEAR(主页!$D$2),1,1),当年实际!$C:$C,"&lt;="&amp;EOMONTH(DATE(YEAR(主页!$D$2),MONTH(主页!$D$2),1),0)),"")</f>
        <v/>
      </c>
    </row>
    <row r="426" spans="1:10" x14ac:dyDescent="0.3">
      <c r="A426" s="150"/>
      <c r="B426" s="150"/>
      <c r="C426" s="150"/>
      <c r="D426" s="150"/>
      <c r="E426" s="140" t="str">
        <f t="shared" si="19"/>
        <v/>
      </c>
      <c r="F426" s="159"/>
      <c r="G426" s="145">
        <f t="shared" si="21"/>
        <v>0</v>
      </c>
      <c r="H426" s="140" t="str">
        <f t="shared" si="20"/>
        <v/>
      </c>
      <c r="J426" s="147" t="str">
        <f>IFERROR(SUMIFS(当年实际!$V:$V,当年实际!$F:$F,$C426,当年实际!$C:$C,"&gt;="&amp;DATE(YEAR(主页!$D$2),1,1),当年实际!$C:$C,"&lt;="&amp;EOMONTH(DATE(YEAR(主页!$D$2),MONTH(主页!$D$2),1),0))/SUMIFS(当年实际!$P:$P,当年实际!$F:$F,$C426,当年实际!$C:$C,"&gt;="&amp;DATE(YEAR(主页!$D$2),1,1),当年实际!$C:$C,"&lt;="&amp;EOMONTH(DATE(YEAR(主页!$D$2),MONTH(主页!$D$2),1),0)),"")</f>
        <v/>
      </c>
    </row>
    <row r="427" spans="1:10" x14ac:dyDescent="0.3">
      <c r="A427" s="150"/>
      <c r="B427" s="150"/>
      <c r="C427" s="150"/>
      <c r="D427" s="150"/>
      <c r="E427" s="140" t="str">
        <f t="shared" si="19"/>
        <v/>
      </c>
      <c r="F427" s="159"/>
      <c r="G427" s="145">
        <f t="shared" si="21"/>
        <v>0</v>
      </c>
      <c r="H427" s="140" t="str">
        <f t="shared" si="20"/>
        <v/>
      </c>
      <c r="J427" s="147" t="str">
        <f>IFERROR(SUMIFS(当年实际!$V:$V,当年实际!$F:$F,$C427,当年实际!$C:$C,"&gt;="&amp;DATE(YEAR(主页!$D$2),1,1),当年实际!$C:$C,"&lt;="&amp;EOMONTH(DATE(YEAR(主页!$D$2),MONTH(主页!$D$2),1),0))/SUMIFS(当年实际!$P:$P,当年实际!$F:$F,$C427,当年实际!$C:$C,"&gt;="&amp;DATE(YEAR(主页!$D$2),1,1),当年实际!$C:$C,"&lt;="&amp;EOMONTH(DATE(YEAR(主页!$D$2),MONTH(主页!$D$2),1),0)),"")</f>
        <v/>
      </c>
    </row>
    <row r="428" spans="1:10" x14ac:dyDescent="0.3">
      <c r="A428" s="150"/>
      <c r="B428" s="150"/>
      <c r="C428" s="150"/>
      <c r="D428" s="150"/>
      <c r="E428" s="140" t="str">
        <f t="shared" si="19"/>
        <v/>
      </c>
      <c r="F428" s="159"/>
      <c r="G428" s="145">
        <f t="shared" si="21"/>
        <v>0</v>
      </c>
      <c r="H428" s="140" t="str">
        <f t="shared" si="20"/>
        <v/>
      </c>
      <c r="J428" s="147" t="str">
        <f>IFERROR(SUMIFS(当年实际!$V:$V,当年实际!$F:$F,$C428,当年实际!$C:$C,"&gt;="&amp;DATE(YEAR(主页!$D$2),1,1),当年实际!$C:$C,"&lt;="&amp;EOMONTH(DATE(YEAR(主页!$D$2),MONTH(主页!$D$2),1),0))/SUMIFS(当年实际!$P:$P,当年实际!$F:$F,$C428,当年实际!$C:$C,"&gt;="&amp;DATE(YEAR(主页!$D$2),1,1),当年实际!$C:$C,"&lt;="&amp;EOMONTH(DATE(YEAR(主页!$D$2),MONTH(主页!$D$2),1),0)),"")</f>
        <v/>
      </c>
    </row>
    <row r="429" spans="1:10" x14ac:dyDescent="0.3">
      <c r="A429" s="150"/>
      <c r="B429" s="150"/>
      <c r="C429" s="150"/>
      <c r="D429" s="150"/>
      <c r="E429" s="140" t="str">
        <f t="shared" si="19"/>
        <v/>
      </c>
      <c r="F429" s="159"/>
      <c r="G429" s="145">
        <f t="shared" si="21"/>
        <v>0</v>
      </c>
      <c r="H429" s="140" t="str">
        <f t="shared" si="20"/>
        <v/>
      </c>
      <c r="J429" s="147" t="str">
        <f>IFERROR(SUMIFS(当年实际!$V:$V,当年实际!$F:$F,$C429,当年实际!$C:$C,"&gt;="&amp;DATE(YEAR(主页!$D$2),1,1),当年实际!$C:$C,"&lt;="&amp;EOMONTH(DATE(YEAR(主页!$D$2),MONTH(主页!$D$2),1),0))/SUMIFS(当年实际!$P:$P,当年实际!$F:$F,$C429,当年实际!$C:$C,"&gt;="&amp;DATE(YEAR(主页!$D$2),1,1),当年实际!$C:$C,"&lt;="&amp;EOMONTH(DATE(YEAR(主页!$D$2),MONTH(主页!$D$2),1),0)),"")</f>
        <v/>
      </c>
    </row>
    <row r="430" spans="1:10" x14ac:dyDescent="0.3">
      <c r="A430" s="150"/>
      <c r="B430" s="150"/>
      <c r="C430" s="150"/>
      <c r="D430" s="150"/>
      <c r="E430" s="140" t="str">
        <f t="shared" si="19"/>
        <v/>
      </c>
      <c r="F430" s="159"/>
      <c r="G430" s="145">
        <f t="shared" si="21"/>
        <v>0</v>
      </c>
      <c r="H430" s="140" t="str">
        <f t="shared" si="20"/>
        <v/>
      </c>
      <c r="J430" s="147" t="str">
        <f>IFERROR(SUMIFS(当年实际!$V:$V,当年实际!$F:$F,$C430,当年实际!$C:$C,"&gt;="&amp;DATE(YEAR(主页!$D$2),1,1),当年实际!$C:$C,"&lt;="&amp;EOMONTH(DATE(YEAR(主页!$D$2),MONTH(主页!$D$2),1),0))/SUMIFS(当年实际!$P:$P,当年实际!$F:$F,$C430,当年实际!$C:$C,"&gt;="&amp;DATE(YEAR(主页!$D$2),1,1),当年实际!$C:$C,"&lt;="&amp;EOMONTH(DATE(YEAR(主页!$D$2),MONTH(主页!$D$2),1),0)),"")</f>
        <v/>
      </c>
    </row>
    <row r="431" spans="1:10" x14ac:dyDescent="0.3">
      <c r="A431" s="150"/>
      <c r="B431" s="150"/>
      <c r="C431" s="150"/>
      <c r="D431" s="150"/>
      <c r="E431" s="140" t="str">
        <f t="shared" si="19"/>
        <v/>
      </c>
      <c r="F431" s="159"/>
      <c r="G431" s="145">
        <f t="shared" si="21"/>
        <v>0</v>
      </c>
      <c r="H431" s="140" t="str">
        <f t="shared" si="20"/>
        <v/>
      </c>
      <c r="J431" s="147" t="str">
        <f>IFERROR(SUMIFS(当年实际!$V:$V,当年实际!$F:$F,$C431,当年实际!$C:$C,"&gt;="&amp;DATE(YEAR(主页!$D$2),1,1),当年实际!$C:$C,"&lt;="&amp;EOMONTH(DATE(YEAR(主页!$D$2),MONTH(主页!$D$2),1),0))/SUMIFS(当年实际!$P:$P,当年实际!$F:$F,$C431,当年实际!$C:$C,"&gt;="&amp;DATE(YEAR(主页!$D$2),1,1),当年实际!$C:$C,"&lt;="&amp;EOMONTH(DATE(YEAR(主页!$D$2),MONTH(主页!$D$2),1),0)),"")</f>
        <v/>
      </c>
    </row>
    <row r="432" spans="1:10" x14ac:dyDescent="0.3">
      <c r="A432" s="150"/>
      <c r="B432" s="150"/>
      <c r="C432" s="150"/>
      <c r="D432" s="150"/>
      <c r="E432" s="140" t="str">
        <f t="shared" si="19"/>
        <v/>
      </c>
      <c r="F432" s="159"/>
      <c r="G432" s="145">
        <f t="shared" si="21"/>
        <v>0</v>
      </c>
      <c r="H432" s="140" t="str">
        <f t="shared" si="20"/>
        <v/>
      </c>
      <c r="J432" s="147" t="str">
        <f>IFERROR(SUMIFS(当年实际!$V:$V,当年实际!$F:$F,$C432,当年实际!$C:$C,"&gt;="&amp;DATE(YEAR(主页!$D$2),1,1),当年实际!$C:$C,"&lt;="&amp;EOMONTH(DATE(YEAR(主页!$D$2),MONTH(主页!$D$2),1),0))/SUMIFS(当年实际!$P:$P,当年实际!$F:$F,$C432,当年实际!$C:$C,"&gt;="&amp;DATE(YEAR(主页!$D$2),1,1),当年实际!$C:$C,"&lt;="&amp;EOMONTH(DATE(YEAR(主页!$D$2),MONTH(主页!$D$2),1),0)),"")</f>
        <v/>
      </c>
    </row>
    <row r="433" spans="1:10" x14ac:dyDescent="0.3">
      <c r="A433" s="150"/>
      <c r="B433" s="150"/>
      <c r="C433" s="150"/>
      <c r="D433" s="150"/>
      <c r="E433" s="140" t="str">
        <f t="shared" si="19"/>
        <v/>
      </c>
      <c r="F433" s="159"/>
      <c r="G433" s="145">
        <f t="shared" si="21"/>
        <v>0</v>
      </c>
      <c r="H433" s="140" t="str">
        <f t="shared" si="20"/>
        <v/>
      </c>
      <c r="J433" s="147" t="str">
        <f>IFERROR(SUMIFS(当年实际!$V:$V,当年实际!$F:$F,$C433,当年实际!$C:$C,"&gt;="&amp;DATE(YEAR(主页!$D$2),1,1),当年实际!$C:$C,"&lt;="&amp;EOMONTH(DATE(YEAR(主页!$D$2),MONTH(主页!$D$2),1),0))/SUMIFS(当年实际!$P:$P,当年实际!$F:$F,$C433,当年实际!$C:$C,"&gt;="&amp;DATE(YEAR(主页!$D$2),1,1),当年实际!$C:$C,"&lt;="&amp;EOMONTH(DATE(YEAR(主页!$D$2),MONTH(主页!$D$2),1),0)),"")</f>
        <v/>
      </c>
    </row>
    <row r="434" spans="1:10" x14ac:dyDescent="0.3">
      <c r="A434" s="150"/>
      <c r="B434" s="150"/>
      <c r="C434" s="150"/>
      <c r="D434" s="150"/>
      <c r="E434" s="140" t="str">
        <f t="shared" si="19"/>
        <v/>
      </c>
      <c r="F434" s="159"/>
      <c r="G434" s="145">
        <f t="shared" si="21"/>
        <v>0</v>
      </c>
      <c r="H434" s="140" t="str">
        <f t="shared" si="20"/>
        <v/>
      </c>
      <c r="J434" s="147" t="str">
        <f>IFERROR(SUMIFS(当年实际!$V:$V,当年实际!$F:$F,$C434,当年实际!$C:$C,"&gt;="&amp;DATE(YEAR(主页!$D$2),1,1),当年实际!$C:$C,"&lt;="&amp;EOMONTH(DATE(YEAR(主页!$D$2),MONTH(主页!$D$2),1),0))/SUMIFS(当年实际!$P:$P,当年实际!$F:$F,$C434,当年实际!$C:$C,"&gt;="&amp;DATE(YEAR(主页!$D$2),1,1),当年实际!$C:$C,"&lt;="&amp;EOMONTH(DATE(YEAR(主页!$D$2),MONTH(主页!$D$2),1),0)),"")</f>
        <v/>
      </c>
    </row>
    <row r="435" spans="1:10" x14ac:dyDescent="0.3">
      <c r="A435" s="150"/>
      <c r="B435" s="150"/>
      <c r="C435" s="150"/>
      <c r="D435" s="150"/>
      <c r="E435" s="140" t="str">
        <f t="shared" si="19"/>
        <v/>
      </c>
      <c r="F435" s="159"/>
      <c r="G435" s="145">
        <f t="shared" si="21"/>
        <v>0</v>
      </c>
      <c r="H435" s="140" t="str">
        <f t="shared" si="20"/>
        <v/>
      </c>
      <c r="J435" s="147" t="str">
        <f>IFERROR(SUMIFS(当年实际!$V:$V,当年实际!$F:$F,$C435,当年实际!$C:$C,"&gt;="&amp;DATE(YEAR(主页!$D$2),1,1),当年实际!$C:$C,"&lt;="&amp;EOMONTH(DATE(YEAR(主页!$D$2),MONTH(主页!$D$2),1),0))/SUMIFS(当年实际!$P:$P,当年实际!$F:$F,$C435,当年实际!$C:$C,"&gt;="&amp;DATE(YEAR(主页!$D$2),1,1),当年实际!$C:$C,"&lt;="&amp;EOMONTH(DATE(YEAR(主页!$D$2),MONTH(主页!$D$2),1),0)),"")</f>
        <v/>
      </c>
    </row>
    <row r="436" spans="1:10" x14ac:dyDescent="0.3">
      <c r="A436" s="150"/>
      <c r="B436" s="150"/>
      <c r="C436" s="150"/>
      <c r="D436" s="150"/>
      <c r="E436" s="140" t="str">
        <f t="shared" si="19"/>
        <v/>
      </c>
      <c r="F436" s="159"/>
      <c r="G436" s="145">
        <f t="shared" si="21"/>
        <v>0</v>
      </c>
      <c r="H436" s="140" t="str">
        <f t="shared" si="20"/>
        <v/>
      </c>
      <c r="J436" s="147" t="str">
        <f>IFERROR(SUMIFS(当年实际!$V:$V,当年实际!$F:$F,$C436,当年实际!$C:$C,"&gt;="&amp;DATE(YEAR(主页!$D$2),1,1),当年实际!$C:$C,"&lt;="&amp;EOMONTH(DATE(YEAR(主页!$D$2),MONTH(主页!$D$2),1),0))/SUMIFS(当年实际!$P:$P,当年实际!$F:$F,$C436,当年实际!$C:$C,"&gt;="&amp;DATE(YEAR(主页!$D$2),1,1),当年实际!$C:$C,"&lt;="&amp;EOMONTH(DATE(YEAR(主页!$D$2),MONTH(主页!$D$2),1),0)),"")</f>
        <v/>
      </c>
    </row>
    <row r="437" spans="1:10" x14ac:dyDescent="0.3">
      <c r="A437" s="150"/>
      <c r="B437" s="150"/>
      <c r="C437" s="150"/>
      <c r="D437" s="150"/>
      <c r="E437" s="140" t="str">
        <f t="shared" si="19"/>
        <v/>
      </c>
      <c r="F437" s="159"/>
      <c r="G437" s="145">
        <f t="shared" si="21"/>
        <v>0</v>
      </c>
      <c r="H437" s="140" t="str">
        <f t="shared" si="20"/>
        <v/>
      </c>
      <c r="J437" s="147" t="str">
        <f>IFERROR(SUMIFS(当年实际!$V:$V,当年实际!$F:$F,$C437,当年实际!$C:$C,"&gt;="&amp;DATE(YEAR(主页!$D$2),1,1),当年实际!$C:$C,"&lt;="&amp;EOMONTH(DATE(YEAR(主页!$D$2),MONTH(主页!$D$2),1),0))/SUMIFS(当年实际!$P:$P,当年实际!$F:$F,$C437,当年实际!$C:$C,"&gt;="&amp;DATE(YEAR(主页!$D$2),1,1),当年实际!$C:$C,"&lt;="&amp;EOMONTH(DATE(YEAR(主页!$D$2),MONTH(主页!$D$2),1),0)),"")</f>
        <v/>
      </c>
    </row>
    <row r="438" spans="1:10" x14ac:dyDescent="0.3">
      <c r="A438" s="150"/>
      <c r="B438" s="150"/>
      <c r="C438" s="150"/>
      <c r="D438" s="150"/>
      <c r="E438" s="140" t="str">
        <f t="shared" si="19"/>
        <v/>
      </c>
      <c r="F438" s="159"/>
      <c r="G438" s="145">
        <f t="shared" si="21"/>
        <v>0</v>
      </c>
      <c r="H438" s="140" t="str">
        <f t="shared" si="20"/>
        <v/>
      </c>
      <c r="J438" s="147" t="str">
        <f>IFERROR(SUMIFS(当年实际!$V:$V,当年实际!$F:$F,$C438,当年实际!$C:$C,"&gt;="&amp;DATE(YEAR(主页!$D$2),1,1),当年实际!$C:$C,"&lt;="&amp;EOMONTH(DATE(YEAR(主页!$D$2),MONTH(主页!$D$2),1),0))/SUMIFS(当年实际!$P:$P,当年实际!$F:$F,$C438,当年实际!$C:$C,"&gt;="&amp;DATE(YEAR(主页!$D$2),1,1),当年实际!$C:$C,"&lt;="&amp;EOMONTH(DATE(YEAR(主页!$D$2),MONTH(主页!$D$2),1),0)),"")</f>
        <v/>
      </c>
    </row>
    <row r="439" spans="1:10" x14ac:dyDescent="0.3">
      <c r="A439" s="150"/>
      <c r="B439" s="150"/>
      <c r="C439" s="150"/>
      <c r="D439" s="150"/>
      <c r="E439" s="140" t="str">
        <f t="shared" si="19"/>
        <v/>
      </c>
      <c r="F439" s="159"/>
      <c r="G439" s="145">
        <f t="shared" si="21"/>
        <v>0</v>
      </c>
      <c r="H439" s="140" t="str">
        <f t="shared" si="20"/>
        <v/>
      </c>
      <c r="J439" s="147" t="str">
        <f>IFERROR(SUMIFS(当年实际!$V:$V,当年实际!$F:$F,$C439,当年实际!$C:$C,"&gt;="&amp;DATE(YEAR(主页!$D$2),1,1),当年实际!$C:$C,"&lt;="&amp;EOMONTH(DATE(YEAR(主页!$D$2),MONTH(主页!$D$2),1),0))/SUMIFS(当年实际!$P:$P,当年实际!$F:$F,$C439,当年实际!$C:$C,"&gt;="&amp;DATE(YEAR(主页!$D$2),1,1),当年实际!$C:$C,"&lt;="&amp;EOMONTH(DATE(YEAR(主页!$D$2),MONTH(主页!$D$2),1),0)),"")</f>
        <v/>
      </c>
    </row>
    <row r="440" spans="1:10" x14ac:dyDescent="0.3">
      <c r="A440" s="150"/>
      <c r="B440" s="150"/>
      <c r="C440" s="150"/>
      <c r="D440" s="150"/>
      <c r="E440" s="140" t="str">
        <f t="shared" si="19"/>
        <v/>
      </c>
      <c r="F440" s="159"/>
      <c r="G440" s="145">
        <f t="shared" si="21"/>
        <v>0</v>
      </c>
      <c r="H440" s="140" t="str">
        <f t="shared" si="20"/>
        <v/>
      </c>
      <c r="J440" s="147" t="str">
        <f>IFERROR(SUMIFS(当年实际!$V:$V,当年实际!$F:$F,$C440,当年实际!$C:$C,"&gt;="&amp;DATE(YEAR(主页!$D$2),1,1),当年实际!$C:$C,"&lt;="&amp;EOMONTH(DATE(YEAR(主页!$D$2),MONTH(主页!$D$2),1),0))/SUMIFS(当年实际!$P:$P,当年实际!$F:$F,$C440,当年实际!$C:$C,"&gt;="&amp;DATE(YEAR(主页!$D$2),1,1),当年实际!$C:$C,"&lt;="&amp;EOMONTH(DATE(YEAR(主页!$D$2),MONTH(主页!$D$2),1),0)),"")</f>
        <v/>
      </c>
    </row>
    <row r="441" spans="1:10" x14ac:dyDescent="0.3">
      <c r="A441" s="150"/>
      <c r="B441" s="150"/>
      <c r="C441" s="150"/>
      <c r="D441" s="150"/>
      <c r="E441" s="140" t="str">
        <f t="shared" si="19"/>
        <v/>
      </c>
      <c r="F441" s="159"/>
      <c r="G441" s="145">
        <f t="shared" si="21"/>
        <v>0</v>
      </c>
      <c r="H441" s="140" t="str">
        <f t="shared" si="20"/>
        <v/>
      </c>
      <c r="J441" s="147" t="str">
        <f>IFERROR(SUMIFS(当年实际!$V:$V,当年实际!$F:$F,$C441,当年实际!$C:$C,"&gt;="&amp;DATE(YEAR(主页!$D$2),1,1),当年实际!$C:$C,"&lt;="&amp;EOMONTH(DATE(YEAR(主页!$D$2),MONTH(主页!$D$2),1),0))/SUMIFS(当年实际!$P:$P,当年实际!$F:$F,$C441,当年实际!$C:$C,"&gt;="&amp;DATE(YEAR(主页!$D$2),1,1),当年实际!$C:$C,"&lt;="&amp;EOMONTH(DATE(YEAR(主页!$D$2),MONTH(主页!$D$2),1),0)),"")</f>
        <v/>
      </c>
    </row>
    <row r="442" spans="1:10" x14ac:dyDescent="0.3">
      <c r="A442" s="150"/>
      <c r="B442" s="150"/>
      <c r="C442" s="150"/>
      <c r="D442" s="150"/>
      <c r="E442" s="140" t="str">
        <f t="shared" si="19"/>
        <v/>
      </c>
      <c r="F442" s="159"/>
      <c r="G442" s="145">
        <f t="shared" si="21"/>
        <v>0</v>
      </c>
      <c r="H442" s="140" t="str">
        <f t="shared" si="20"/>
        <v/>
      </c>
      <c r="J442" s="147" t="str">
        <f>IFERROR(SUMIFS(当年实际!$V:$V,当年实际!$F:$F,$C442,当年实际!$C:$C,"&gt;="&amp;DATE(YEAR(主页!$D$2),1,1),当年实际!$C:$C,"&lt;="&amp;EOMONTH(DATE(YEAR(主页!$D$2),MONTH(主页!$D$2),1),0))/SUMIFS(当年实际!$P:$P,当年实际!$F:$F,$C442,当年实际!$C:$C,"&gt;="&amp;DATE(YEAR(主页!$D$2),1,1),当年实际!$C:$C,"&lt;="&amp;EOMONTH(DATE(YEAR(主页!$D$2),MONTH(主页!$D$2),1),0)),"")</f>
        <v/>
      </c>
    </row>
    <row r="443" spans="1:10" x14ac:dyDescent="0.3">
      <c r="A443" s="150"/>
      <c r="B443" s="150"/>
      <c r="C443" s="150"/>
      <c r="D443" s="150"/>
      <c r="E443" s="140" t="str">
        <f t="shared" si="19"/>
        <v/>
      </c>
      <c r="F443" s="159"/>
      <c r="G443" s="145">
        <f t="shared" si="21"/>
        <v>0</v>
      </c>
      <c r="H443" s="140" t="str">
        <f t="shared" si="20"/>
        <v/>
      </c>
      <c r="J443" s="147" t="str">
        <f>IFERROR(SUMIFS(当年实际!$V:$V,当年实际!$F:$F,$C443,当年实际!$C:$C,"&gt;="&amp;DATE(YEAR(主页!$D$2),1,1),当年实际!$C:$C,"&lt;="&amp;EOMONTH(DATE(YEAR(主页!$D$2),MONTH(主页!$D$2),1),0))/SUMIFS(当年实际!$P:$P,当年实际!$F:$F,$C443,当年实际!$C:$C,"&gt;="&amp;DATE(YEAR(主页!$D$2),1,1),当年实际!$C:$C,"&lt;="&amp;EOMONTH(DATE(YEAR(主页!$D$2),MONTH(主页!$D$2),1),0)),"")</f>
        <v/>
      </c>
    </row>
    <row r="444" spans="1:10" x14ac:dyDescent="0.3">
      <c r="A444" s="150"/>
      <c r="B444" s="150"/>
      <c r="C444" s="150"/>
      <c r="D444" s="150"/>
      <c r="E444" s="140" t="str">
        <f t="shared" si="19"/>
        <v/>
      </c>
      <c r="F444" s="159"/>
      <c r="G444" s="145">
        <f t="shared" si="21"/>
        <v>0</v>
      </c>
      <c r="H444" s="140" t="str">
        <f t="shared" si="20"/>
        <v/>
      </c>
      <c r="J444" s="147" t="str">
        <f>IFERROR(SUMIFS(当年实际!$V:$V,当年实际!$F:$F,$C444,当年实际!$C:$C,"&gt;="&amp;DATE(YEAR(主页!$D$2),1,1),当年实际!$C:$C,"&lt;="&amp;EOMONTH(DATE(YEAR(主页!$D$2),MONTH(主页!$D$2),1),0))/SUMIFS(当年实际!$P:$P,当年实际!$F:$F,$C444,当年实际!$C:$C,"&gt;="&amp;DATE(YEAR(主页!$D$2),1,1),当年实际!$C:$C,"&lt;="&amp;EOMONTH(DATE(YEAR(主页!$D$2),MONTH(主页!$D$2),1),0)),"")</f>
        <v/>
      </c>
    </row>
    <row r="445" spans="1:10" x14ac:dyDescent="0.3">
      <c r="A445" s="150"/>
      <c r="B445" s="150"/>
      <c r="C445" s="150"/>
      <c r="D445" s="150"/>
      <c r="E445" s="140" t="str">
        <f t="shared" si="19"/>
        <v/>
      </c>
      <c r="F445" s="159"/>
      <c r="G445" s="145">
        <f t="shared" si="21"/>
        <v>0</v>
      </c>
      <c r="H445" s="140" t="str">
        <f t="shared" si="20"/>
        <v/>
      </c>
      <c r="J445" s="147" t="str">
        <f>IFERROR(SUMIFS(当年实际!$V:$V,当年实际!$F:$F,$C445,当年实际!$C:$C,"&gt;="&amp;DATE(YEAR(主页!$D$2),1,1),当年实际!$C:$C,"&lt;="&amp;EOMONTH(DATE(YEAR(主页!$D$2),MONTH(主页!$D$2),1),0))/SUMIFS(当年实际!$P:$P,当年实际!$F:$F,$C445,当年实际!$C:$C,"&gt;="&amp;DATE(YEAR(主页!$D$2),1,1),当年实际!$C:$C,"&lt;="&amp;EOMONTH(DATE(YEAR(主页!$D$2),MONTH(主页!$D$2),1),0)),"")</f>
        <v/>
      </c>
    </row>
    <row r="446" spans="1:10" x14ac:dyDescent="0.3">
      <c r="A446" s="150"/>
      <c r="B446" s="150"/>
      <c r="C446" s="150"/>
      <c r="D446" s="150"/>
      <c r="E446" s="140" t="str">
        <f t="shared" si="19"/>
        <v/>
      </c>
      <c r="F446" s="159"/>
      <c r="G446" s="145">
        <f t="shared" si="21"/>
        <v>0</v>
      </c>
      <c r="H446" s="140" t="str">
        <f t="shared" si="20"/>
        <v/>
      </c>
      <c r="J446" s="147" t="str">
        <f>IFERROR(SUMIFS(当年实际!$V:$V,当年实际!$F:$F,$C446,当年实际!$C:$C,"&gt;="&amp;DATE(YEAR(主页!$D$2),1,1),当年实际!$C:$C,"&lt;="&amp;EOMONTH(DATE(YEAR(主页!$D$2),MONTH(主页!$D$2),1),0))/SUMIFS(当年实际!$P:$P,当年实际!$F:$F,$C446,当年实际!$C:$C,"&gt;="&amp;DATE(YEAR(主页!$D$2),1,1),当年实际!$C:$C,"&lt;="&amp;EOMONTH(DATE(YEAR(主页!$D$2),MONTH(主页!$D$2),1),0)),"")</f>
        <v/>
      </c>
    </row>
    <row r="447" spans="1:10" x14ac:dyDescent="0.3">
      <c r="A447" s="150"/>
      <c r="B447" s="150"/>
      <c r="C447" s="150"/>
      <c r="D447" s="150"/>
      <c r="E447" s="140" t="str">
        <f t="shared" si="19"/>
        <v/>
      </c>
      <c r="F447" s="159"/>
      <c r="G447" s="145">
        <f t="shared" si="21"/>
        <v>0</v>
      </c>
      <c r="H447" s="140" t="str">
        <f t="shared" si="20"/>
        <v/>
      </c>
      <c r="J447" s="147" t="str">
        <f>IFERROR(SUMIFS(当年实际!$V:$V,当年实际!$F:$F,$C447,当年实际!$C:$C,"&gt;="&amp;DATE(YEAR(主页!$D$2),1,1),当年实际!$C:$C,"&lt;="&amp;EOMONTH(DATE(YEAR(主页!$D$2),MONTH(主页!$D$2),1),0))/SUMIFS(当年实际!$P:$P,当年实际!$F:$F,$C447,当年实际!$C:$C,"&gt;="&amp;DATE(YEAR(主页!$D$2),1,1),当年实际!$C:$C,"&lt;="&amp;EOMONTH(DATE(YEAR(主页!$D$2),MONTH(主页!$D$2),1),0)),"")</f>
        <v/>
      </c>
    </row>
    <row r="448" spans="1:10" x14ac:dyDescent="0.3">
      <c r="A448" s="150"/>
      <c r="B448" s="150"/>
      <c r="C448" s="150"/>
      <c r="D448" s="150"/>
      <c r="E448" s="140" t="str">
        <f t="shared" si="19"/>
        <v/>
      </c>
      <c r="F448" s="159"/>
      <c r="G448" s="145">
        <f t="shared" si="21"/>
        <v>0</v>
      </c>
      <c r="H448" s="140" t="str">
        <f t="shared" si="20"/>
        <v/>
      </c>
      <c r="J448" s="147" t="str">
        <f>IFERROR(SUMIFS(当年实际!$V:$V,当年实际!$F:$F,$C448,当年实际!$C:$C,"&gt;="&amp;DATE(YEAR(主页!$D$2),1,1),当年实际!$C:$C,"&lt;="&amp;EOMONTH(DATE(YEAR(主页!$D$2),MONTH(主页!$D$2),1),0))/SUMIFS(当年实际!$P:$P,当年实际!$F:$F,$C448,当年实际!$C:$C,"&gt;="&amp;DATE(YEAR(主页!$D$2),1,1),当年实际!$C:$C,"&lt;="&amp;EOMONTH(DATE(YEAR(主页!$D$2),MONTH(主页!$D$2),1),0)),"")</f>
        <v/>
      </c>
    </row>
    <row r="449" spans="1:10" x14ac:dyDescent="0.3">
      <c r="A449" s="150"/>
      <c r="B449" s="150"/>
      <c r="C449" s="150"/>
      <c r="D449" s="150"/>
      <c r="E449" s="140" t="str">
        <f t="shared" si="19"/>
        <v/>
      </c>
      <c r="F449" s="159"/>
      <c r="G449" s="145">
        <f t="shared" si="21"/>
        <v>0</v>
      </c>
      <c r="H449" s="140" t="str">
        <f t="shared" si="20"/>
        <v/>
      </c>
      <c r="J449" s="147" t="str">
        <f>IFERROR(SUMIFS(当年实际!$V:$V,当年实际!$F:$F,$C449,当年实际!$C:$C,"&gt;="&amp;DATE(YEAR(主页!$D$2),1,1),当年实际!$C:$C,"&lt;="&amp;EOMONTH(DATE(YEAR(主页!$D$2),MONTH(主页!$D$2),1),0))/SUMIFS(当年实际!$P:$P,当年实际!$F:$F,$C449,当年实际!$C:$C,"&gt;="&amp;DATE(YEAR(主页!$D$2),1,1),当年实际!$C:$C,"&lt;="&amp;EOMONTH(DATE(YEAR(主页!$D$2),MONTH(主页!$D$2),1),0)),"")</f>
        <v/>
      </c>
    </row>
    <row r="450" spans="1:10" x14ac:dyDescent="0.3">
      <c r="A450" s="150"/>
      <c r="B450" s="150"/>
      <c r="C450" s="150"/>
      <c r="D450" s="150"/>
      <c r="E450" s="140" t="str">
        <f t="shared" si="19"/>
        <v/>
      </c>
      <c r="F450" s="159"/>
      <c r="G450" s="145">
        <f t="shared" si="21"/>
        <v>0</v>
      </c>
      <c r="H450" s="140" t="str">
        <f t="shared" si="20"/>
        <v/>
      </c>
      <c r="J450" s="147" t="str">
        <f>IFERROR(SUMIFS(当年实际!$V:$V,当年实际!$F:$F,$C450,当年实际!$C:$C,"&gt;="&amp;DATE(YEAR(主页!$D$2),1,1),当年实际!$C:$C,"&lt;="&amp;EOMONTH(DATE(YEAR(主页!$D$2),MONTH(主页!$D$2),1),0))/SUMIFS(当年实际!$P:$P,当年实际!$F:$F,$C450,当年实际!$C:$C,"&gt;="&amp;DATE(YEAR(主页!$D$2),1,1),当年实际!$C:$C,"&lt;="&amp;EOMONTH(DATE(YEAR(主页!$D$2),MONTH(主页!$D$2),1),0)),"")</f>
        <v/>
      </c>
    </row>
    <row r="451" spans="1:10" x14ac:dyDescent="0.3">
      <c r="A451" s="150"/>
      <c r="B451" s="150"/>
      <c r="C451" s="150"/>
      <c r="D451" s="150"/>
      <c r="E451" s="140" t="str">
        <f t="shared" si="19"/>
        <v/>
      </c>
      <c r="F451" s="159"/>
      <c r="G451" s="145">
        <f t="shared" si="21"/>
        <v>0</v>
      </c>
      <c r="H451" s="140" t="str">
        <f t="shared" si="20"/>
        <v/>
      </c>
      <c r="J451" s="147" t="str">
        <f>IFERROR(SUMIFS(当年实际!$V:$V,当年实际!$F:$F,$C451,当年实际!$C:$C,"&gt;="&amp;DATE(YEAR(主页!$D$2),1,1),当年实际!$C:$C,"&lt;="&amp;EOMONTH(DATE(YEAR(主页!$D$2),MONTH(主页!$D$2),1),0))/SUMIFS(当年实际!$P:$P,当年实际!$F:$F,$C451,当年实际!$C:$C,"&gt;="&amp;DATE(YEAR(主页!$D$2),1,1),当年实际!$C:$C,"&lt;="&amp;EOMONTH(DATE(YEAR(主页!$D$2),MONTH(主页!$D$2),1),0)),"")</f>
        <v/>
      </c>
    </row>
    <row r="452" spans="1:10" x14ac:dyDescent="0.3">
      <c r="A452" s="150"/>
      <c r="B452" s="150"/>
      <c r="C452" s="150"/>
      <c r="D452" s="150"/>
      <c r="E452" s="140" t="str">
        <f t="shared" ref="E452:E515" si="22">IF(D452/SUM(D:D)=0,"",D452/SUM(D:D))</f>
        <v/>
      </c>
      <c r="F452" s="159"/>
      <c r="G452" s="145">
        <f t="shared" si="21"/>
        <v>0</v>
      </c>
      <c r="H452" s="140" t="str">
        <f t="shared" ref="H452:H515" si="23">IF(G452/SUM(G:G)=0,"",G452/SUM(G:G))</f>
        <v/>
      </c>
      <c r="J452" s="147" t="str">
        <f>IFERROR(SUMIFS(当年实际!$V:$V,当年实际!$F:$F,$C452,当年实际!$C:$C,"&gt;="&amp;DATE(YEAR(主页!$D$2),1,1),当年实际!$C:$C,"&lt;="&amp;EOMONTH(DATE(YEAR(主页!$D$2),MONTH(主页!$D$2),1),0))/SUMIFS(当年实际!$P:$P,当年实际!$F:$F,$C452,当年实际!$C:$C,"&gt;="&amp;DATE(YEAR(主页!$D$2),1,1),当年实际!$C:$C,"&lt;="&amp;EOMONTH(DATE(YEAR(主页!$D$2),MONTH(主页!$D$2),1),0)),"")</f>
        <v/>
      </c>
    </row>
    <row r="453" spans="1:10" x14ac:dyDescent="0.3">
      <c r="A453" s="150"/>
      <c r="B453" s="150"/>
      <c r="C453" s="150"/>
      <c r="D453" s="150"/>
      <c r="E453" s="140" t="str">
        <f t="shared" si="22"/>
        <v/>
      </c>
      <c r="F453" s="159"/>
      <c r="G453" s="145">
        <f t="shared" si="21"/>
        <v>0</v>
      </c>
      <c r="H453" s="140" t="str">
        <f t="shared" si="23"/>
        <v/>
      </c>
      <c r="J453" s="147" t="str">
        <f>IFERROR(SUMIFS(当年实际!$V:$V,当年实际!$F:$F,$C453,当年实际!$C:$C,"&gt;="&amp;DATE(YEAR(主页!$D$2),1,1),当年实际!$C:$C,"&lt;="&amp;EOMONTH(DATE(YEAR(主页!$D$2),MONTH(主页!$D$2),1),0))/SUMIFS(当年实际!$P:$P,当年实际!$F:$F,$C453,当年实际!$C:$C,"&gt;="&amp;DATE(YEAR(主页!$D$2),1,1),当年实际!$C:$C,"&lt;="&amp;EOMONTH(DATE(YEAR(主页!$D$2),MONTH(主页!$D$2),1),0)),"")</f>
        <v/>
      </c>
    </row>
    <row r="454" spans="1:10" x14ac:dyDescent="0.3">
      <c r="A454" s="150"/>
      <c r="B454" s="150"/>
      <c r="C454" s="150"/>
      <c r="D454" s="150"/>
      <c r="E454" s="140" t="str">
        <f t="shared" si="22"/>
        <v/>
      </c>
      <c r="F454" s="159"/>
      <c r="G454" s="145">
        <f t="shared" si="21"/>
        <v>0</v>
      </c>
      <c r="H454" s="140" t="str">
        <f t="shared" si="23"/>
        <v/>
      </c>
      <c r="J454" s="147" t="str">
        <f>IFERROR(SUMIFS(当年实际!$V:$V,当年实际!$F:$F,$C454,当年实际!$C:$C,"&gt;="&amp;DATE(YEAR(主页!$D$2),1,1),当年实际!$C:$C,"&lt;="&amp;EOMONTH(DATE(YEAR(主页!$D$2),MONTH(主页!$D$2),1),0))/SUMIFS(当年实际!$P:$P,当年实际!$F:$F,$C454,当年实际!$C:$C,"&gt;="&amp;DATE(YEAR(主页!$D$2),1,1),当年实际!$C:$C,"&lt;="&amp;EOMONTH(DATE(YEAR(主页!$D$2),MONTH(主页!$D$2),1),0)),"")</f>
        <v/>
      </c>
    </row>
    <row r="455" spans="1:10" x14ac:dyDescent="0.3">
      <c r="A455" s="150"/>
      <c r="B455" s="150"/>
      <c r="C455" s="150"/>
      <c r="D455" s="150"/>
      <c r="E455" s="140" t="str">
        <f t="shared" si="22"/>
        <v/>
      </c>
      <c r="F455" s="159"/>
      <c r="G455" s="145">
        <f t="shared" si="21"/>
        <v>0</v>
      </c>
      <c r="H455" s="140" t="str">
        <f t="shared" si="23"/>
        <v/>
      </c>
      <c r="J455" s="147" t="str">
        <f>IFERROR(SUMIFS(当年实际!$V:$V,当年实际!$F:$F,$C455,当年实际!$C:$C,"&gt;="&amp;DATE(YEAR(主页!$D$2),1,1),当年实际!$C:$C,"&lt;="&amp;EOMONTH(DATE(YEAR(主页!$D$2),MONTH(主页!$D$2),1),0))/SUMIFS(当年实际!$P:$P,当年实际!$F:$F,$C455,当年实际!$C:$C,"&gt;="&amp;DATE(YEAR(主页!$D$2),1,1),当年实际!$C:$C,"&lt;="&amp;EOMONTH(DATE(YEAR(主页!$D$2),MONTH(主页!$D$2),1),0)),"")</f>
        <v/>
      </c>
    </row>
    <row r="456" spans="1:10" x14ac:dyDescent="0.3">
      <c r="A456" s="150"/>
      <c r="B456" s="150"/>
      <c r="C456" s="150"/>
      <c r="D456" s="150"/>
      <c r="E456" s="140" t="str">
        <f t="shared" si="22"/>
        <v/>
      </c>
      <c r="F456" s="159"/>
      <c r="G456" s="145">
        <f t="shared" ref="G456:G519" si="24">D456*F456</f>
        <v>0</v>
      </c>
      <c r="H456" s="140" t="str">
        <f t="shared" si="23"/>
        <v/>
      </c>
      <c r="J456" s="147" t="str">
        <f>IFERROR(SUMIFS(当年实际!$V:$V,当年实际!$F:$F,$C456,当年实际!$C:$C,"&gt;="&amp;DATE(YEAR(主页!$D$2),1,1),当年实际!$C:$C,"&lt;="&amp;EOMONTH(DATE(YEAR(主页!$D$2),MONTH(主页!$D$2),1),0))/SUMIFS(当年实际!$P:$P,当年实际!$F:$F,$C456,当年实际!$C:$C,"&gt;="&amp;DATE(YEAR(主页!$D$2),1,1),当年实际!$C:$C,"&lt;="&amp;EOMONTH(DATE(YEAR(主页!$D$2),MONTH(主页!$D$2),1),0)),"")</f>
        <v/>
      </c>
    </row>
    <row r="457" spans="1:10" x14ac:dyDescent="0.3">
      <c r="A457" s="150"/>
      <c r="B457" s="150"/>
      <c r="C457" s="150"/>
      <c r="D457" s="150"/>
      <c r="E457" s="140" t="str">
        <f t="shared" si="22"/>
        <v/>
      </c>
      <c r="F457" s="159"/>
      <c r="G457" s="145">
        <f t="shared" si="24"/>
        <v>0</v>
      </c>
      <c r="H457" s="140" t="str">
        <f t="shared" si="23"/>
        <v/>
      </c>
      <c r="J457" s="147" t="str">
        <f>IFERROR(SUMIFS(当年实际!$V:$V,当年实际!$F:$F,$C457,当年实际!$C:$C,"&gt;="&amp;DATE(YEAR(主页!$D$2),1,1),当年实际!$C:$C,"&lt;="&amp;EOMONTH(DATE(YEAR(主页!$D$2),MONTH(主页!$D$2),1),0))/SUMIFS(当年实际!$P:$P,当年实际!$F:$F,$C457,当年实际!$C:$C,"&gt;="&amp;DATE(YEAR(主页!$D$2),1,1),当年实际!$C:$C,"&lt;="&amp;EOMONTH(DATE(YEAR(主页!$D$2),MONTH(主页!$D$2),1),0)),"")</f>
        <v/>
      </c>
    </row>
    <row r="458" spans="1:10" x14ac:dyDescent="0.3">
      <c r="A458" s="150"/>
      <c r="B458" s="150"/>
      <c r="C458" s="150"/>
      <c r="D458" s="150"/>
      <c r="E458" s="140" t="str">
        <f t="shared" si="22"/>
        <v/>
      </c>
      <c r="F458" s="159"/>
      <c r="G458" s="145">
        <f t="shared" si="24"/>
        <v>0</v>
      </c>
      <c r="H458" s="140" t="str">
        <f t="shared" si="23"/>
        <v/>
      </c>
      <c r="J458" s="147" t="str">
        <f>IFERROR(SUMIFS(当年实际!$V:$V,当年实际!$F:$F,$C458,当年实际!$C:$C,"&gt;="&amp;DATE(YEAR(主页!$D$2),1,1),当年实际!$C:$C,"&lt;="&amp;EOMONTH(DATE(YEAR(主页!$D$2),MONTH(主页!$D$2),1),0))/SUMIFS(当年实际!$P:$P,当年实际!$F:$F,$C458,当年实际!$C:$C,"&gt;="&amp;DATE(YEAR(主页!$D$2),1,1),当年实际!$C:$C,"&lt;="&amp;EOMONTH(DATE(YEAR(主页!$D$2),MONTH(主页!$D$2),1),0)),"")</f>
        <v/>
      </c>
    </row>
    <row r="459" spans="1:10" x14ac:dyDescent="0.3">
      <c r="A459" s="150"/>
      <c r="B459" s="150"/>
      <c r="C459" s="150"/>
      <c r="D459" s="150"/>
      <c r="E459" s="140" t="str">
        <f t="shared" si="22"/>
        <v/>
      </c>
      <c r="F459" s="159"/>
      <c r="G459" s="145">
        <f t="shared" si="24"/>
        <v>0</v>
      </c>
      <c r="H459" s="140" t="str">
        <f t="shared" si="23"/>
        <v/>
      </c>
      <c r="J459" s="147" t="str">
        <f>IFERROR(SUMIFS(当年实际!$V:$V,当年实际!$F:$F,$C459,当年实际!$C:$C,"&gt;="&amp;DATE(YEAR(主页!$D$2),1,1),当年实际!$C:$C,"&lt;="&amp;EOMONTH(DATE(YEAR(主页!$D$2),MONTH(主页!$D$2),1),0))/SUMIFS(当年实际!$P:$P,当年实际!$F:$F,$C459,当年实际!$C:$C,"&gt;="&amp;DATE(YEAR(主页!$D$2),1,1),当年实际!$C:$C,"&lt;="&amp;EOMONTH(DATE(YEAR(主页!$D$2),MONTH(主页!$D$2),1),0)),"")</f>
        <v/>
      </c>
    </row>
    <row r="460" spans="1:10" x14ac:dyDescent="0.3">
      <c r="A460" s="150"/>
      <c r="B460" s="150"/>
      <c r="C460" s="150"/>
      <c r="D460" s="150"/>
      <c r="E460" s="140" t="str">
        <f t="shared" si="22"/>
        <v/>
      </c>
      <c r="F460" s="159"/>
      <c r="G460" s="145">
        <f t="shared" si="24"/>
        <v>0</v>
      </c>
      <c r="H460" s="140" t="str">
        <f t="shared" si="23"/>
        <v/>
      </c>
      <c r="J460" s="147" t="str">
        <f>IFERROR(SUMIFS(当年实际!$V:$V,当年实际!$F:$F,$C460,当年实际!$C:$C,"&gt;="&amp;DATE(YEAR(主页!$D$2),1,1),当年实际!$C:$C,"&lt;="&amp;EOMONTH(DATE(YEAR(主页!$D$2),MONTH(主页!$D$2),1),0))/SUMIFS(当年实际!$P:$P,当年实际!$F:$F,$C460,当年实际!$C:$C,"&gt;="&amp;DATE(YEAR(主页!$D$2),1,1),当年实际!$C:$C,"&lt;="&amp;EOMONTH(DATE(YEAR(主页!$D$2),MONTH(主页!$D$2),1),0)),"")</f>
        <v/>
      </c>
    </row>
    <row r="461" spans="1:10" x14ac:dyDescent="0.3">
      <c r="A461" s="150"/>
      <c r="B461" s="150"/>
      <c r="C461" s="150"/>
      <c r="D461" s="150"/>
      <c r="E461" s="140" t="str">
        <f t="shared" si="22"/>
        <v/>
      </c>
      <c r="F461" s="159"/>
      <c r="G461" s="145">
        <f t="shared" si="24"/>
        <v>0</v>
      </c>
      <c r="H461" s="140" t="str">
        <f t="shared" si="23"/>
        <v/>
      </c>
      <c r="J461" s="147" t="str">
        <f>IFERROR(SUMIFS(当年实际!$V:$V,当年实际!$F:$F,$C461,当年实际!$C:$C,"&gt;="&amp;DATE(YEAR(主页!$D$2),1,1),当年实际!$C:$C,"&lt;="&amp;EOMONTH(DATE(YEAR(主页!$D$2),MONTH(主页!$D$2),1),0))/SUMIFS(当年实际!$P:$P,当年实际!$F:$F,$C461,当年实际!$C:$C,"&gt;="&amp;DATE(YEAR(主页!$D$2),1,1),当年实际!$C:$C,"&lt;="&amp;EOMONTH(DATE(YEAR(主页!$D$2),MONTH(主页!$D$2),1),0)),"")</f>
        <v/>
      </c>
    </row>
    <row r="462" spans="1:10" x14ac:dyDescent="0.3">
      <c r="A462" s="150"/>
      <c r="B462" s="150"/>
      <c r="C462" s="150"/>
      <c r="D462" s="150"/>
      <c r="E462" s="140" t="str">
        <f t="shared" si="22"/>
        <v/>
      </c>
      <c r="F462" s="159"/>
      <c r="G462" s="145">
        <f t="shared" si="24"/>
        <v>0</v>
      </c>
      <c r="H462" s="140" t="str">
        <f t="shared" si="23"/>
        <v/>
      </c>
      <c r="J462" s="147" t="str">
        <f>IFERROR(SUMIFS(当年实际!$V:$V,当年实际!$F:$F,$C462,当年实际!$C:$C,"&gt;="&amp;DATE(YEAR(主页!$D$2),1,1),当年实际!$C:$C,"&lt;="&amp;EOMONTH(DATE(YEAR(主页!$D$2),MONTH(主页!$D$2),1),0))/SUMIFS(当年实际!$P:$P,当年实际!$F:$F,$C462,当年实际!$C:$C,"&gt;="&amp;DATE(YEAR(主页!$D$2),1,1),当年实际!$C:$C,"&lt;="&amp;EOMONTH(DATE(YEAR(主页!$D$2),MONTH(主页!$D$2),1),0)),"")</f>
        <v/>
      </c>
    </row>
    <row r="463" spans="1:10" x14ac:dyDescent="0.3">
      <c r="A463" s="150"/>
      <c r="B463" s="150"/>
      <c r="C463" s="150"/>
      <c r="D463" s="150"/>
      <c r="E463" s="140" t="str">
        <f t="shared" si="22"/>
        <v/>
      </c>
      <c r="F463" s="159"/>
      <c r="G463" s="145">
        <f t="shared" si="24"/>
        <v>0</v>
      </c>
      <c r="H463" s="140" t="str">
        <f t="shared" si="23"/>
        <v/>
      </c>
      <c r="J463" s="147" t="str">
        <f>IFERROR(SUMIFS(当年实际!$V:$V,当年实际!$F:$F,$C463,当年实际!$C:$C,"&gt;="&amp;DATE(YEAR(主页!$D$2),1,1),当年实际!$C:$C,"&lt;="&amp;EOMONTH(DATE(YEAR(主页!$D$2),MONTH(主页!$D$2),1),0))/SUMIFS(当年实际!$P:$P,当年实际!$F:$F,$C463,当年实际!$C:$C,"&gt;="&amp;DATE(YEAR(主页!$D$2),1,1),当年实际!$C:$C,"&lt;="&amp;EOMONTH(DATE(YEAR(主页!$D$2),MONTH(主页!$D$2),1),0)),"")</f>
        <v/>
      </c>
    </row>
    <row r="464" spans="1:10" x14ac:dyDescent="0.3">
      <c r="A464" s="150"/>
      <c r="B464" s="150"/>
      <c r="C464" s="150"/>
      <c r="D464" s="150"/>
      <c r="E464" s="140" t="str">
        <f t="shared" si="22"/>
        <v/>
      </c>
      <c r="F464" s="159"/>
      <c r="G464" s="145">
        <f t="shared" si="24"/>
        <v>0</v>
      </c>
      <c r="H464" s="140" t="str">
        <f t="shared" si="23"/>
        <v/>
      </c>
      <c r="J464" s="147" t="str">
        <f>IFERROR(SUMIFS(当年实际!$V:$V,当年实际!$F:$F,$C464,当年实际!$C:$C,"&gt;="&amp;DATE(YEAR(主页!$D$2),1,1),当年实际!$C:$C,"&lt;="&amp;EOMONTH(DATE(YEAR(主页!$D$2),MONTH(主页!$D$2),1),0))/SUMIFS(当年实际!$P:$P,当年实际!$F:$F,$C464,当年实际!$C:$C,"&gt;="&amp;DATE(YEAR(主页!$D$2),1,1),当年实际!$C:$C,"&lt;="&amp;EOMONTH(DATE(YEAR(主页!$D$2),MONTH(主页!$D$2),1),0)),"")</f>
        <v/>
      </c>
    </row>
    <row r="465" spans="1:10" x14ac:dyDescent="0.3">
      <c r="A465" s="150"/>
      <c r="B465" s="150"/>
      <c r="C465" s="150"/>
      <c r="D465" s="150"/>
      <c r="E465" s="140" t="str">
        <f t="shared" si="22"/>
        <v/>
      </c>
      <c r="F465" s="159"/>
      <c r="G465" s="145">
        <f t="shared" si="24"/>
        <v>0</v>
      </c>
      <c r="H465" s="140" t="str">
        <f t="shared" si="23"/>
        <v/>
      </c>
      <c r="J465" s="147" t="str">
        <f>IFERROR(SUMIFS(当年实际!$V:$V,当年实际!$F:$F,$C465,当年实际!$C:$C,"&gt;="&amp;DATE(YEAR(主页!$D$2),1,1),当年实际!$C:$C,"&lt;="&amp;EOMONTH(DATE(YEAR(主页!$D$2),MONTH(主页!$D$2),1),0))/SUMIFS(当年实际!$P:$P,当年实际!$F:$F,$C465,当年实际!$C:$C,"&gt;="&amp;DATE(YEAR(主页!$D$2),1,1),当年实际!$C:$C,"&lt;="&amp;EOMONTH(DATE(YEAR(主页!$D$2),MONTH(主页!$D$2),1),0)),"")</f>
        <v/>
      </c>
    </row>
    <row r="466" spans="1:10" x14ac:dyDescent="0.3">
      <c r="A466" s="150"/>
      <c r="B466" s="150"/>
      <c r="C466" s="150"/>
      <c r="D466" s="150"/>
      <c r="E466" s="140" t="str">
        <f t="shared" si="22"/>
        <v/>
      </c>
      <c r="F466" s="159"/>
      <c r="G466" s="145">
        <f t="shared" si="24"/>
        <v>0</v>
      </c>
      <c r="H466" s="140" t="str">
        <f t="shared" si="23"/>
        <v/>
      </c>
      <c r="J466" s="147" t="str">
        <f>IFERROR(SUMIFS(当年实际!$V:$V,当年实际!$F:$F,$C466,当年实际!$C:$C,"&gt;="&amp;DATE(YEAR(主页!$D$2),1,1),当年实际!$C:$C,"&lt;="&amp;EOMONTH(DATE(YEAR(主页!$D$2),MONTH(主页!$D$2),1),0))/SUMIFS(当年实际!$P:$P,当年实际!$F:$F,$C466,当年实际!$C:$C,"&gt;="&amp;DATE(YEAR(主页!$D$2),1,1),当年实际!$C:$C,"&lt;="&amp;EOMONTH(DATE(YEAR(主页!$D$2),MONTH(主页!$D$2),1),0)),"")</f>
        <v/>
      </c>
    </row>
    <row r="467" spans="1:10" x14ac:dyDescent="0.3">
      <c r="A467" s="150"/>
      <c r="B467" s="150"/>
      <c r="C467" s="150"/>
      <c r="D467" s="150"/>
      <c r="E467" s="140" t="str">
        <f t="shared" si="22"/>
        <v/>
      </c>
      <c r="F467" s="159"/>
      <c r="G467" s="145">
        <f t="shared" si="24"/>
        <v>0</v>
      </c>
      <c r="H467" s="140" t="str">
        <f t="shared" si="23"/>
        <v/>
      </c>
      <c r="J467" s="147" t="str">
        <f>IFERROR(SUMIFS(当年实际!$V:$V,当年实际!$F:$F,$C467,当年实际!$C:$C,"&gt;="&amp;DATE(YEAR(主页!$D$2),1,1),当年实际!$C:$C,"&lt;="&amp;EOMONTH(DATE(YEAR(主页!$D$2),MONTH(主页!$D$2),1),0))/SUMIFS(当年实际!$P:$P,当年实际!$F:$F,$C467,当年实际!$C:$C,"&gt;="&amp;DATE(YEAR(主页!$D$2),1,1),当年实际!$C:$C,"&lt;="&amp;EOMONTH(DATE(YEAR(主页!$D$2),MONTH(主页!$D$2),1),0)),"")</f>
        <v/>
      </c>
    </row>
    <row r="468" spans="1:10" x14ac:dyDescent="0.3">
      <c r="A468" s="150"/>
      <c r="B468" s="150"/>
      <c r="C468" s="150"/>
      <c r="D468" s="150"/>
      <c r="E468" s="140" t="str">
        <f t="shared" si="22"/>
        <v/>
      </c>
      <c r="F468" s="159"/>
      <c r="G468" s="145">
        <f t="shared" si="24"/>
        <v>0</v>
      </c>
      <c r="H468" s="140" t="str">
        <f t="shared" si="23"/>
        <v/>
      </c>
      <c r="J468" s="147" t="str">
        <f>IFERROR(SUMIFS(当年实际!$V:$V,当年实际!$F:$F,$C468,当年实际!$C:$C,"&gt;="&amp;DATE(YEAR(主页!$D$2),1,1),当年实际!$C:$C,"&lt;="&amp;EOMONTH(DATE(YEAR(主页!$D$2),MONTH(主页!$D$2),1),0))/SUMIFS(当年实际!$P:$P,当年实际!$F:$F,$C468,当年实际!$C:$C,"&gt;="&amp;DATE(YEAR(主页!$D$2),1,1),当年实际!$C:$C,"&lt;="&amp;EOMONTH(DATE(YEAR(主页!$D$2),MONTH(主页!$D$2),1),0)),"")</f>
        <v/>
      </c>
    </row>
    <row r="469" spans="1:10" x14ac:dyDescent="0.3">
      <c r="A469" s="150"/>
      <c r="B469" s="150"/>
      <c r="C469" s="150"/>
      <c r="D469" s="150"/>
      <c r="E469" s="140" t="str">
        <f t="shared" si="22"/>
        <v/>
      </c>
      <c r="F469" s="159"/>
      <c r="G469" s="145">
        <f t="shared" si="24"/>
        <v>0</v>
      </c>
      <c r="H469" s="140" t="str">
        <f t="shared" si="23"/>
        <v/>
      </c>
      <c r="J469" s="147" t="str">
        <f>IFERROR(SUMIFS(当年实际!$V:$V,当年实际!$F:$F,$C469,当年实际!$C:$C,"&gt;="&amp;DATE(YEAR(主页!$D$2),1,1),当年实际!$C:$C,"&lt;="&amp;EOMONTH(DATE(YEAR(主页!$D$2),MONTH(主页!$D$2),1),0))/SUMIFS(当年实际!$P:$P,当年实际!$F:$F,$C469,当年实际!$C:$C,"&gt;="&amp;DATE(YEAR(主页!$D$2),1,1),当年实际!$C:$C,"&lt;="&amp;EOMONTH(DATE(YEAR(主页!$D$2),MONTH(主页!$D$2),1),0)),"")</f>
        <v/>
      </c>
    </row>
    <row r="470" spans="1:10" x14ac:dyDescent="0.3">
      <c r="A470" s="150"/>
      <c r="B470" s="150"/>
      <c r="C470" s="150"/>
      <c r="D470" s="150"/>
      <c r="E470" s="140" t="str">
        <f t="shared" si="22"/>
        <v/>
      </c>
      <c r="F470" s="159"/>
      <c r="G470" s="145">
        <f t="shared" si="24"/>
        <v>0</v>
      </c>
      <c r="H470" s="140" t="str">
        <f t="shared" si="23"/>
        <v/>
      </c>
      <c r="J470" s="147" t="str">
        <f>IFERROR(SUMIFS(当年实际!$V:$V,当年实际!$F:$F,$C470,当年实际!$C:$C,"&gt;="&amp;DATE(YEAR(主页!$D$2),1,1),当年实际!$C:$C,"&lt;="&amp;EOMONTH(DATE(YEAR(主页!$D$2),MONTH(主页!$D$2),1),0))/SUMIFS(当年实际!$P:$P,当年实际!$F:$F,$C470,当年实际!$C:$C,"&gt;="&amp;DATE(YEAR(主页!$D$2),1,1),当年实际!$C:$C,"&lt;="&amp;EOMONTH(DATE(YEAR(主页!$D$2),MONTH(主页!$D$2),1),0)),"")</f>
        <v/>
      </c>
    </row>
    <row r="471" spans="1:10" x14ac:dyDescent="0.3">
      <c r="A471" s="150"/>
      <c r="B471" s="150"/>
      <c r="C471" s="150"/>
      <c r="D471" s="150"/>
      <c r="E471" s="140" t="str">
        <f t="shared" si="22"/>
        <v/>
      </c>
      <c r="F471" s="159"/>
      <c r="G471" s="145">
        <f t="shared" si="24"/>
        <v>0</v>
      </c>
      <c r="H471" s="140" t="str">
        <f t="shared" si="23"/>
        <v/>
      </c>
      <c r="J471" s="147" t="str">
        <f>IFERROR(SUMIFS(当年实际!$V:$V,当年实际!$F:$F,$C471,当年实际!$C:$C,"&gt;="&amp;DATE(YEAR(主页!$D$2),1,1),当年实际!$C:$C,"&lt;="&amp;EOMONTH(DATE(YEAR(主页!$D$2),MONTH(主页!$D$2),1),0))/SUMIFS(当年实际!$P:$P,当年实际!$F:$F,$C471,当年实际!$C:$C,"&gt;="&amp;DATE(YEAR(主页!$D$2),1,1),当年实际!$C:$C,"&lt;="&amp;EOMONTH(DATE(YEAR(主页!$D$2),MONTH(主页!$D$2),1),0)),"")</f>
        <v/>
      </c>
    </row>
    <row r="472" spans="1:10" x14ac:dyDescent="0.3">
      <c r="A472" s="150"/>
      <c r="B472" s="150"/>
      <c r="C472" s="150"/>
      <c r="D472" s="150"/>
      <c r="E472" s="140" t="str">
        <f t="shared" si="22"/>
        <v/>
      </c>
      <c r="F472" s="159"/>
      <c r="G472" s="145">
        <f t="shared" si="24"/>
        <v>0</v>
      </c>
      <c r="H472" s="140" t="str">
        <f t="shared" si="23"/>
        <v/>
      </c>
      <c r="J472" s="147" t="str">
        <f>IFERROR(SUMIFS(当年实际!$V:$V,当年实际!$F:$F,$C472,当年实际!$C:$C,"&gt;="&amp;DATE(YEAR(主页!$D$2),1,1),当年实际!$C:$C,"&lt;="&amp;EOMONTH(DATE(YEAR(主页!$D$2),MONTH(主页!$D$2),1),0))/SUMIFS(当年实际!$P:$P,当年实际!$F:$F,$C472,当年实际!$C:$C,"&gt;="&amp;DATE(YEAR(主页!$D$2),1,1),当年实际!$C:$C,"&lt;="&amp;EOMONTH(DATE(YEAR(主页!$D$2),MONTH(主页!$D$2),1),0)),"")</f>
        <v/>
      </c>
    </row>
    <row r="473" spans="1:10" x14ac:dyDescent="0.3">
      <c r="A473" s="150"/>
      <c r="B473" s="150"/>
      <c r="C473" s="150"/>
      <c r="D473" s="150"/>
      <c r="E473" s="140" t="str">
        <f t="shared" si="22"/>
        <v/>
      </c>
      <c r="F473" s="159"/>
      <c r="G473" s="145">
        <f t="shared" si="24"/>
        <v>0</v>
      </c>
      <c r="H473" s="140" t="str">
        <f t="shared" si="23"/>
        <v/>
      </c>
      <c r="J473" s="147" t="str">
        <f>IFERROR(SUMIFS(当年实际!$V:$V,当年实际!$F:$F,$C473,当年实际!$C:$C,"&gt;="&amp;DATE(YEAR(主页!$D$2),1,1),当年实际!$C:$C,"&lt;="&amp;EOMONTH(DATE(YEAR(主页!$D$2),MONTH(主页!$D$2),1),0))/SUMIFS(当年实际!$P:$P,当年实际!$F:$F,$C473,当年实际!$C:$C,"&gt;="&amp;DATE(YEAR(主页!$D$2),1,1),当年实际!$C:$C,"&lt;="&amp;EOMONTH(DATE(YEAR(主页!$D$2),MONTH(主页!$D$2),1),0)),"")</f>
        <v/>
      </c>
    </row>
    <row r="474" spans="1:10" x14ac:dyDescent="0.3">
      <c r="A474" s="150"/>
      <c r="B474" s="150"/>
      <c r="C474" s="150"/>
      <c r="D474" s="150"/>
      <c r="E474" s="140" t="str">
        <f t="shared" si="22"/>
        <v/>
      </c>
      <c r="F474" s="159"/>
      <c r="G474" s="145">
        <f t="shared" si="24"/>
        <v>0</v>
      </c>
      <c r="H474" s="140" t="str">
        <f t="shared" si="23"/>
        <v/>
      </c>
      <c r="J474" s="147" t="str">
        <f>IFERROR(SUMIFS(当年实际!$V:$V,当年实际!$F:$F,$C474,当年实际!$C:$C,"&gt;="&amp;DATE(YEAR(主页!$D$2),1,1),当年实际!$C:$C,"&lt;="&amp;EOMONTH(DATE(YEAR(主页!$D$2),MONTH(主页!$D$2),1),0))/SUMIFS(当年实际!$P:$P,当年实际!$F:$F,$C474,当年实际!$C:$C,"&gt;="&amp;DATE(YEAR(主页!$D$2),1,1),当年实际!$C:$C,"&lt;="&amp;EOMONTH(DATE(YEAR(主页!$D$2),MONTH(主页!$D$2),1),0)),"")</f>
        <v/>
      </c>
    </row>
    <row r="475" spans="1:10" x14ac:dyDescent="0.3">
      <c r="A475" s="150"/>
      <c r="B475" s="150"/>
      <c r="C475" s="150"/>
      <c r="D475" s="150"/>
      <c r="E475" s="140" t="str">
        <f t="shared" si="22"/>
        <v/>
      </c>
      <c r="F475" s="159"/>
      <c r="G475" s="145">
        <f t="shared" si="24"/>
        <v>0</v>
      </c>
      <c r="H475" s="140" t="str">
        <f t="shared" si="23"/>
        <v/>
      </c>
      <c r="J475" s="147" t="str">
        <f>IFERROR(SUMIFS(当年实际!$V:$V,当年实际!$F:$F,$C475,当年实际!$C:$C,"&gt;="&amp;DATE(YEAR(主页!$D$2),1,1),当年实际!$C:$C,"&lt;="&amp;EOMONTH(DATE(YEAR(主页!$D$2),MONTH(主页!$D$2),1),0))/SUMIFS(当年实际!$P:$P,当年实际!$F:$F,$C475,当年实际!$C:$C,"&gt;="&amp;DATE(YEAR(主页!$D$2),1,1),当年实际!$C:$C,"&lt;="&amp;EOMONTH(DATE(YEAR(主页!$D$2),MONTH(主页!$D$2),1),0)),"")</f>
        <v/>
      </c>
    </row>
    <row r="476" spans="1:10" x14ac:dyDescent="0.3">
      <c r="A476" s="150"/>
      <c r="B476" s="150"/>
      <c r="C476" s="150"/>
      <c r="D476" s="150"/>
      <c r="E476" s="140" t="str">
        <f t="shared" si="22"/>
        <v/>
      </c>
      <c r="F476" s="159"/>
      <c r="G476" s="145">
        <f t="shared" si="24"/>
        <v>0</v>
      </c>
      <c r="H476" s="140" t="str">
        <f t="shared" si="23"/>
        <v/>
      </c>
      <c r="J476" s="147" t="str">
        <f>IFERROR(SUMIFS(当年实际!$V:$V,当年实际!$F:$F,$C476,当年实际!$C:$C,"&gt;="&amp;DATE(YEAR(主页!$D$2),1,1),当年实际!$C:$C,"&lt;="&amp;EOMONTH(DATE(YEAR(主页!$D$2),MONTH(主页!$D$2),1),0))/SUMIFS(当年实际!$P:$P,当年实际!$F:$F,$C476,当年实际!$C:$C,"&gt;="&amp;DATE(YEAR(主页!$D$2),1,1),当年实际!$C:$C,"&lt;="&amp;EOMONTH(DATE(YEAR(主页!$D$2),MONTH(主页!$D$2),1),0)),"")</f>
        <v/>
      </c>
    </row>
    <row r="477" spans="1:10" x14ac:dyDescent="0.3">
      <c r="A477" s="150"/>
      <c r="B477" s="150"/>
      <c r="C477" s="150"/>
      <c r="D477" s="150"/>
      <c r="E477" s="140" t="str">
        <f t="shared" si="22"/>
        <v/>
      </c>
      <c r="F477" s="159"/>
      <c r="G477" s="145">
        <f t="shared" si="24"/>
        <v>0</v>
      </c>
      <c r="H477" s="140" t="str">
        <f t="shared" si="23"/>
        <v/>
      </c>
      <c r="J477" s="147" t="str">
        <f>IFERROR(SUMIFS(当年实际!$V:$V,当年实际!$F:$F,$C477,当年实际!$C:$C,"&gt;="&amp;DATE(YEAR(主页!$D$2),1,1),当年实际!$C:$C,"&lt;="&amp;EOMONTH(DATE(YEAR(主页!$D$2),MONTH(主页!$D$2),1),0))/SUMIFS(当年实际!$P:$P,当年实际!$F:$F,$C477,当年实际!$C:$C,"&gt;="&amp;DATE(YEAR(主页!$D$2),1,1),当年实际!$C:$C,"&lt;="&amp;EOMONTH(DATE(YEAR(主页!$D$2),MONTH(主页!$D$2),1),0)),"")</f>
        <v/>
      </c>
    </row>
    <row r="478" spans="1:10" x14ac:dyDescent="0.3">
      <c r="A478" s="150"/>
      <c r="B478" s="150"/>
      <c r="C478" s="150"/>
      <c r="D478" s="150"/>
      <c r="E478" s="140" t="str">
        <f t="shared" si="22"/>
        <v/>
      </c>
      <c r="F478" s="159"/>
      <c r="G478" s="145">
        <f t="shared" si="24"/>
        <v>0</v>
      </c>
      <c r="H478" s="140" t="str">
        <f t="shared" si="23"/>
        <v/>
      </c>
      <c r="J478" s="147" t="str">
        <f>IFERROR(SUMIFS(当年实际!$V:$V,当年实际!$F:$F,$C478,当年实际!$C:$C,"&gt;="&amp;DATE(YEAR(主页!$D$2),1,1),当年实际!$C:$C,"&lt;="&amp;EOMONTH(DATE(YEAR(主页!$D$2),MONTH(主页!$D$2),1),0))/SUMIFS(当年实际!$P:$P,当年实际!$F:$F,$C478,当年实际!$C:$C,"&gt;="&amp;DATE(YEAR(主页!$D$2),1,1),当年实际!$C:$C,"&lt;="&amp;EOMONTH(DATE(YEAR(主页!$D$2),MONTH(主页!$D$2),1),0)),"")</f>
        <v/>
      </c>
    </row>
    <row r="479" spans="1:10" x14ac:dyDescent="0.3">
      <c r="A479" s="150"/>
      <c r="B479" s="150"/>
      <c r="C479" s="150"/>
      <c r="D479" s="150"/>
      <c r="E479" s="140" t="str">
        <f t="shared" si="22"/>
        <v/>
      </c>
      <c r="F479" s="159"/>
      <c r="G479" s="145">
        <f t="shared" si="24"/>
        <v>0</v>
      </c>
      <c r="H479" s="140" t="str">
        <f t="shared" si="23"/>
        <v/>
      </c>
      <c r="J479" s="147" t="str">
        <f>IFERROR(SUMIFS(当年实际!$V:$V,当年实际!$F:$F,$C479,当年实际!$C:$C,"&gt;="&amp;DATE(YEAR(主页!$D$2),1,1),当年实际!$C:$C,"&lt;="&amp;EOMONTH(DATE(YEAR(主页!$D$2),MONTH(主页!$D$2),1),0))/SUMIFS(当年实际!$P:$P,当年实际!$F:$F,$C479,当年实际!$C:$C,"&gt;="&amp;DATE(YEAR(主页!$D$2),1,1),当年实际!$C:$C,"&lt;="&amp;EOMONTH(DATE(YEAR(主页!$D$2),MONTH(主页!$D$2),1),0)),"")</f>
        <v/>
      </c>
    </row>
    <row r="480" spans="1:10" x14ac:dyDescent="0.3">
      <c r="A480" s="150"/>
      <c r="B480" s="150"/>
      <c r="C480" s="150"/>
      <c r="D480" s="150"/>
      <c r="E480" s="140" t="str">
        <f t="shared" si="22"/>
        <v/>
      </c>
      <c r="F480" s="159"/>
      <c r="G480" s="145">
        <f t="shared" si="24"/>
        <v>0</v>
      </c>
      <c r="H480" s="140" t="str">
        <f t="shared" si="23"/>
        <v/>
      </c>
      <c r="J480" s="147" t="str">
        <f>IFERROR(SUMIFS(当年实际!$V:$V,当年实际!$F:$F,$C480,当年实际!$C:$C,"&gt;="&amp;DATE(YEAR(主页!$D$2),1,1),当年实际!$C:$C,"&lt;="&amp;EOMONTH(DATE(YEAR(主页!$D$2),MONTH(主页!$D$2),1),0))/SUMIFS(当年实际!$P:$P,当年实际!$F:$F,$C480,当年实际!$C:$C,"&gt;="&amp;DATE(YEAR(主页!$D$2),1,1),当年实际!$C:$C,"&lt;="&amp;EOMONTH(DATE(YEAR(主页!$D$2),MONTH(主页!$D$2),1),0)),"")</f>
        <v/>
      </c>
    </row>
    <row r="481" spans="1:10" x14ac:dyDescent="0.3">
      <c r="A481" s="150"/>
      <c r="B481" s="150"/>
      <c r="C481" s="150"/>
      <c r="D481" s="150"/>
      <c r="E481" s="140" t="str">
        <f t="shared" si="22"/>
        <v/>
      </c>
      <c r="F481" s="159"/>
      <c r="G481" s="145">
        <f t="shared" si="24"/>
        <v>0</v>
      </c>
      <c r="H481" s="140" t="str">
        <f t="shared" si="23"/>
        <v/>
      </c>
      <c r="J481" s="147" t="str">
        <f>IFERROR(SUMIFS(当年实际!$V:$V,当年实际!$F:$F,$C481,当年实际!$C:$C,"&gt;="&amp;DATE(YEAR(主页!$D$2),1,1),当年实际!$C:$C,"&lt;="&amp;EOMONTH(DATE(YEAR(主页!$D$2),MONTH(主页!$D$2),1),0))/SUMIFS(当年实际!$P:$P,当年实际!$F:$F,$C481,当年实际!$C:$C,"&gt;="&amp;DATE(YEAR(主页!$D$2),1,1),当年实际!$C:$C,"&lt;="&amp;EOMONTH(DATE(YEAR(主页!$D$2),MONTH(主页!$D$2),1),0)),"")</f>
        <v/>
      </c>
    </row>
    <row r="482" spans="1:10" x14ac:dyDescent="0.3">
      <c r="A482" s="150"/>
      <c r="B482" s="150"/>
      <c r="C482" s="150"/>
      <c r="D482" s="150"/>
      <c r="E482" s="140" t="str">
        <f t="shared" si="22"/>
        <v/>
      </c>
      <c r="F482" s="159"/>
      <c r="G482" s="145">
        <f t="shared" si="24"/>
        <v>0</v>
      </c>
      <c r="H482" s="140" t="str">
        <f t="shared" si="23"/>
        <v/>
      </c>
      <c r="J482" s="147" t="str">
        <f>IFERROR(SUMIFS(当年实际!$V:$V,当年实际!$F:$F,$C482,当年实际!$C:$C,"&gt;="&amp;DATE(YEAR(主页!$D$2),1,1),当年实际!$C:$C,"&lt;="&amp;EOMONTH(DATE(YEAR(主页!$D$2),MONTH(主页!$D$2),1),0))/SUMIFS(当年实际!$P:$P,当年实际!$F:$F,$C482,当年实际!$C:$C,"&gt;="&amp;DATE(YEAR(主页!$D$2),1,1),当年实际!$C:$C,"&lt;="&amp;EOMONTH(DATE(YEAR(主页!$D$2),MONTH(主页!$D$2),1),0)),"")</f>
        <v/>
      </c>
    </row>
    <row r="483" spans="1:10" x14ac:dyDescent="0.3">
      <c r="A483" s="150"/>
      <c r="B483" s="150"/>
      <c r="C483" s="150"/>
      <c r="D483" s="150"/>
      <c r="E483" s="140" t="str">
        <f t="shared" si="22"/>
        <v/>
      </c>
      <c r="F483" s="159"/>
      <c r="G483" s="145">
        <f t="shared" si="24"/>
        <v>0</v>
      </c>
      <c r="H483" s="140" t="str">
        <f t="shared" si="23"/>
        <v/>
      </c>
      <c r="J483" s="147" t="str">
        <f>IFERROR(SUMIFS(当年实际!$V:$V,当年实际!$F:$F,$C483,当年实际!$C:$C,"&gt;="&amp;DATE(YEAR(主页!$D$2),1,1),当年实际!$C:$C,"&lt;="&amp;EOMONTH(DATE(YEAR(主页!$D$2),MONTH(主页!$D$2),1),0))/SUMIFS(当年实际!$P:$P,当年实际!$F:$F,$C483,当年实际!$C:$C,"&gt;="&amp;DATE(YEAR(主页!$D$2),1,1),当年实际!$C:$C,"&lt;="&amp;EOMONTH(DATE(YEAR(主页!$D$2),MONTH(主页!$D$2),1),0)),"")</f>
        <v/>
      </c>
    </row>
    <row r="484" spans="1:10" x14ac:dyDescent="0.3">
      <c r="A484" s="150"/>
      <c r="B484" s="150"/>
      <c r="C484" s="150"/>
      <c r="D484" s="150"/>
      <c r="E484" s="140" t="str">
        <f t="shared" si="22"/>
        <v/>
      </c>
      <c r="F484" s="159"/>
      <c r="G484" s="145">
        <f t="shared" si="24"/>
        <v>0</v>
      </c>
      <c r="H484" s="140" t="str">
        <f t="shared" si="23"/>
        <v/>
      </c>
      <c r="J484" s="147" t="str">
        <f>IFERROR(SUMIFS(当年实际!$V:$V,当年实际!$F:$F,$C484,当年实际!$C:$C,"&gt;="&amp;DATE(YEAR(主页!$D$2),1,1),当年实际!$C:$C,"&lt;="&amp;EOMONTH(DATE(YEAR(主页!$D$2),MONTH(主页!$D$2),1),0))/SUMIFS(当年实际!$P:$P,当年实际!$F:$F,$C484,当年实际!$C:$C,"&gt;="&amp;DATE(YEAR(主页!$D$2),1,1),当年实际!$C:$C,"&lt;="&amp;EOMONTH(DATE(YEAR(主页!$D$2),MONTH(主页!$D$2),1),0)),"")</f>
        <v/>
      </c>
    </row>
    <row r="485" spans="1:10" x14ac:dyDescent="0.3">
      <c r="A485" s="150"/>
      <c r="B485" s="150"/>
      <c r="C485" s="150"/>
      <c r="D485" s="150"/>
      <c r="E485" s="140" t="str">
        <f t="shared" si="22"/>
        <v/>
      </c>
      <c r="F485" s="159"/>
      <c r="G485" s="145">
        <f t="shared" si="24"/>
        <v>0</v>
      </c>
      <c r="H485" s="140" t="str">
        <f t="shared" si="23"/>
        <v/>
      </c>
      <c r="J485" s="147" t="str">
        <f>IFERROR(SUMIFS(当年实际!$V:$V,当年实际!$F:$F,$C485,当年实际!$C:$C,"&gt;="&amp;DATE(YEAR(主页!$D$2),1,1),当年实际!$C:$C,"&lt;="&amp;EOMONTH(DATE(YEAR(主页!$D$2),MONTH(主页!$D$2),1),0))/SUMIFS(当年实际!$P:$P,当年实际!$F:$F,$C485,当年实际!$C:$C,"&gt;="&amp;DATE(YEAR(主页!$D$2),1,1),当年实际!$C:$C,"&lt;="&amp;EOMONTH(DATE(YEAR(主页!$D$2),MONTH(主页!$D$2),1),0)),"")</f>
        <v/>
      </c>
    </row>
    <row r="486" spans="1:10" x14ac:dyDescent="0.3">
      <c r="A486" s="150"/>
      <c r="B486" s="150"/>
      <c r="C486" s="150"/>
      <c r="D486" s="150"/>
      <c r="E486" s="140" t="str">
        <f t="shared" si="22"/>
        <v/>
      </c>
      <c r="F486" s="159"/>
      <c r="G486" s="145">
        <f t="shared" si="24"/>
        <v>0</v>
      </c>
      <c r="H486" s="140" t="str">
        <f t="shared" si="23"/>
        <v/>
      </c>
      <c r="J486" s="147" t="str">
        <f>IFERROR(SUMIFS(当年实际!$V:$V,当年实际!$F:$F,$C486,当年实际!$C:$C,"&gt;="&amp;DATE(YEAR(主页!$D$2),1,1),当年实际!$C:$C,"&lt;="&amp;EOMONTH(DATE(YEAR(主页!$D$2),MONTH(主页!$D$2),1),0))/SUMIFS(当年实际!$P:$P,当年实际!$F:$F,$C486,当年实际!$C:$C,"&gt;="&amp;DATE(YEAR(主页!$D$2),1,1),当年实际!$C:$C,"&lt;="&amp;EOMONTH(DATE(YEAR(主页!$D$2),MONTH(主页!$D$2),1),0)),"")</f>
        <v/>
      </c>
    </row>
    <row r="487" spans="1:10" x14ac:dyDescent="0.3">
      <c r="A487" s="150"/>
      <c r="B487" s="150"/>
      <c r="C487" s="150"/>
      <c r="D487" s="150"/>
      <c r="E487" s="140" t="str">
        <f t="shared" si="22"/>
        <v/>
      </c>
      <c r="F487" s="159"/>
      <c r="G487" s="145">
        <f t="shared" si="24"/>
        <v>0</v>
      </c>
      <c r="H487" s="140" t="str">
        <f t="shared" si="23"/>
        <v/>
      </c>
      <c r="J487" s="147" t="str">
        <f>IFERROR(SUMIFS(当年实际!$V:$V,当年实际!$F:$F,$C487,当年实际!$C:$C,"&gt;="&amp;DATE(YEAR(主页!$D$2),1,1),当年实际!$C:$C,"&lt;="&amp;EOMONTH(DATE(YEAR(主页!$D$2),MONTH(主页!$D$2),1),0))/SUMIFS(当年实际!$P:$P,当年实际!$F:$F,$C487,当年实际!$C:$C,"&gt;="&amp;DATE(YEAR(主页!$D$2),1,1),当年实际!$C:$C,"&lt;="&amp;EOMONTH(DATE(YEAR(主页!$D$2),MONTH(主页!$D$2),1),0)),"")</f>
        <v/>
      </c>
    </row>
    <row r="488" spans="1:10" x14ac:dyDescent="0.3">
      <c r="A488" s="150"/>
      <c r="B488" s="150"/>
      <c r="C488" s="150"/>
      <c r="D488" s="150"/>
      <c r="E488" s="140" t="str">
        <f t="shared" si="22"/>
        <v/>
      </c>
      <c r="F488" s="159"/>
      <c r="G488" s="145">
        <f t="shared" si="24"/>
        <v>0</v>
      </c>
      <c r="H488" s="140" t="str">
        <f t="shared" si="23"/>
        <v/>
      </c>
      <c r="J488" s="147" t="str">
        <f>IFERROR(SUMIFS(当年实际!$V:$V,当年实际!$F:$F,$C488,当年实际!$C:$C,"&gt;="&amp;DATE(YEAR(主页!$D$2),1,1),当年实际!$C:$C,"&lt;="&amp;EOMONTH(DATE(YEAR(主页!$D$2),MONTH(主页!$D$2),1),0))/SUMIFS(当年实际!$P:$P,当年实际!$F:$F,$C488,当年实际!$C:$C,"&gt;="&amp;DATE(YEAR(主页!$D$2),1,1),当年实际!$C:$C,"&lt;="&amp;EOMONTH(DATE(YEAR(主页!$D$2),MONTH(主页!$D$2),1),0)),"")</f>
        <v/>
      </c>
    </row>
    <row r="489" spans="1:10" x14ac:dyDescent="0.3">
      <c r="A489" s="150"/>
      <c r="B489" s="150"/>
      <c r="C489" s="150"/>
      <c r="D489" s="150"/>
      <c r="E489" s="140" t="str">
        <f t="shared" si="22"/>
        <v/>
      </c>
      <c r="F489" s="159"/>
      <c r="G489" s="145">
        <f t="shared" si="24"/>
        <v>0</v>
      </c>
      <c r="H489" s="140" t="str">
        <f t="shared" si="23"/>
        <v/>
      </c>
      <c r="J489" s="147" t="str">
        <f>IFERROR(SUMIFS(当年实际!$V:$V,当年实际!$F:$F,$C489,当年实际!$C:$C,"&gt;="&amp;DATE(YEAR(主页!$D$2),1,1),当年实际!$C:$C,"&lt;="&amp;EOMONTH(DATE(YEAR(主页!$D$2),MONTH(主页!$D$2),1),0))/SUMIFS(当年实际!$P:$P,当年实际!$F:$F,$C489,当年实际!$C:$C,"&gt;="&amp;DATE(YEAR(主页!$D$2),1,1),当年实际!$C:$C,"&lt;="&amp;EOMONTH(DATE(YEAR(主页!$D$2),MONTH(主页!$D$2),1),0)),"")</f>
        <v/>
      </c>
    </row>
    <row r="490" spans="1:10" x14ac:dyDescent="0.3">
      <c r="A490" s="150"/>
      <c r="B490" s="150"/>
      <c r="C490" s="150"/>
      <c r="D490" s="150"/>
      <c r="E490" s="140" t="str">
        <f t="shared" si="22"/>
        <v/>
      </c>
      <c r="F490" s="159"/>
      <c r="G490" s="145">
        <f t="shared" si="24"/>
        <v>0</v>
      </c>
      <c r="H490" s="140" t="str">
        <f t="shared" si="23"/>
        <v/>
      </c>
      <c r="J490" s="147" t="str">
        <f>IFERROR(SUMIFS(当年实际!$V:$V,当年实际!$F:$F,$C490,当年实际!$C:$C,"&gt;="&amp;DATE(YEAR(主页!$D$2),1,1),当年实际!$C:$C,"&lt;="&amp;EOMONTH(DATE(YEAR(主页!$D$2),MONTH(主页!$D$2),1),0))/SUMIFS(当年实际!$P:$P,当年实际!$F:$F,$C490,当年实际!$C:$C,"&gt;="&amp;DATE(YEAR(主页!$D$2),1,1),当年实际!$C:$C,"&lt;="&amp;EOMONTH(DATE(YEAR(主页!$D$2),MONTH(主页!$D$2),1),0)),"")</f>
        <v/>
      </c>
    </row>
    <row r="491" spans="1:10" x14ac:dyDescent="0.3">
      <c r="A491" s="150"/>
      <c r="B491" s="150"/>
      <c r="C491" s="150"/>
      <c r="D491" s="150"/>
      <c r="E491" s="140" t="str">
        <f t="shared" si="22"/>
        <v/>
      </c>
      <c r="F491" s="159"/>
      <c r="G491" s="145">
        <f t="shared" si="24"/>
        <v>0</v>
      </c>
      <c r="H491" s="140" t="str">
        <f t="shared" si="23"/>
        <v/>
      </c>
      <c r="J491" s="147" t="str">
        <f>IFERROR(SUMIFS(当年实际!$V:$V,当年实际!$F:$F,$C491,当年实际!$C:$C,"&gt;="&amp;DATE(YEAR(主页!$D$2),1,1),当年实际!$C:$C,"&lt;="&amp;EOMONTH(DATE(YEAR(主页!$D$2),MONTH(主页!$D$2),1),0))/SUMIFS(当年实际!$P:$P,当年实际!$F:$F,$C491,当年实际!$C:$C,"&gt;="&amp;DATE(YEAR(主页!$D$2),1,1),当年实际!$C:$C,"&lt;="&amp;EOMONTH(DATE(YEAR(主页!$D$2),MONTH(主页!$D$2),1),0)),"")</f>
        <v/>
      </c>
    </row>
    <row r="492" spans="1:10" x14ac:dyDescent="0.3">
      <c r="A492" s="150"/>
      <c r="B492" s="150"/>
      <c r="C492" s="150"/>
      <c r="D492" s="150"/>
      <c r="E492" s="140" t="str">
        <f t="shared" si="22"/>
        <v/>
      </c>
      <c r="F492" s="159"/>
      <c r="G492" s="145">
        <f t="shared" si="24"/>
        <v>0</v>
      </c>
      <c r="H492" s="140" t="str">
        <f t="shared" si="23"/>
        <v/>
      </c>
      <c r="J492" s="147" t="str">
        <f>IFERROR(SUMIFS(当年实际!$V:$V,当年实际!$F:$F,$C492,当年实际!$C:$C,"&gt;="&amp;DATE(YEAR(主页!$D$2),1,1),当年实际!$C:$C,"&lt;="&amp;EOMONTH(DATE(YEAR(主页!$D$2),MONTH(主页!$D$2),1),0))/SUMIFS(当年实际!$P:$P,当年实际!$F:$F,$C492,当年实际!$C:$C,"&gt;="&amp;DATE(YEAR(主页!$D$2),1,1),当年实际!$C:$C,"&lt;="&amp;EOMONTH(DATE(YEAR(主页!$D$2),MONTH(主页!$D$2),1),0)),"")</f>
        <v/>
      </c>
    </row>
    <row r="493" spans="1:10" x14ac:dyDescent="0.3">
      <c r="A493" s="150"/>
      <c r="B493" s="150"/>
      <c r="C493" s="150"/>
      <c r="D493" s="150"/>
      <c r="E493" s="140" t="str">
        <f t="shared" si="22"/>
        <v/>
      </c>
      <c r="F493" s="159"/>
      <c r="G493" s="145">
        <f t="shared" si="24"/>
        <v>0</v>
      </c>
      <c r="H493" s="140" t="str">
        <f t="shared" si="23"/>
        <v/>
      </c>
      <c r="J493" s="147" t="str">
        <f>IFERROR(SUMIFS(当年实际!$V:$V,当年实际!$F:$F,$C493,当年实际!$C:$C,"&gt;="&amp;DATE(YEAR(主页!$D$2),1,1),当年实际!$C:$C,"&lt;="&amp;EOMONTH(DATE(YEAR(主页!$D$2),MONTH(主页!$D$2),1),0))/SUMIFS(当年实际!$P:$P,当年实际!$F:$F,$C493,当年实际!$C:$C,"&gt;="&amp;DATE(YEAR(主页!$D$2),1,1),当年实际!$C:$C,"&lt;="&amp;EOMONTH(DATE(YEAR(主页!$D$2),MONTH(主页!$D$2),1),0)),"")</f>
        <v/>
      </c>
    </row>
    <row r="494" spans="1:10" x14ac:dyDescent="0.3">
      <c r="A494" s="150"/>
      <c r="B494" s="150"/>
      <c r="C494" s="150"/>
      <c r="D494" s="150"/>
      <c r="E494" s="140" t="str">
        <f t="shared" si="22"/>
        <v/>
      </c>
      <c r="F494" s="159"/>
      <c r="G494" s="145">
        <f t="shared" si="24"/>
        <v>0</v>
      </c>
      <c r="H494" s="140" t="str">
        <f t="shared" si="23"/>
        <v/>
      </c>
      <c r="J494" s="147" t="str">
        <f>IFERROR(SUMIFS(当年实际!$V:$V,当年实际!$F:$F,$C494,当年实际!$C:$C,"&gt;="&amp;DATE(YEAR(主页!$D$2),1,1),当年实际!$C:$C,"&lt;="&amp;EOMONTH(DATE(YEAR(主页!$D$2),MONTH(主页!$D$2),1),0))/SUMIFS(当年实际!$P:$P,当年实际!$F:$F,$C494,当年实际!$C:$C,"&gt;="&amp;DATE(YEAR(主页!$D$2),1,1),当年实际!$C:$C,"&lt;="&amp;EOMONTH(DATE(YEAR(主页!$D$2),MONTH(主页!$D$2),1),0)),"")</f>
        <v/>
      </c>
    </row>
    <row r="495" spans="1:10" x14ac:dyDescent="0.3">
      <c r="A495" s="150"/>
      <c r="B495" s="150"/>
      <c r="C495" s="150"/>
      <c r="D495" s="150"/>
      <c r="E495" s="140" t="str">
        <f t="shared" si="22"/>
        <v/>
      </c>
      <c r="F495" s="159"/>
      <c r="G495" s="145">
        <f t="shared" si="24"/>
        <v>0</v>
      </c>
      <c r="H495" s="140" t="str">
        <f t="shared" si="23"/>
        <v/>
      </c>
      <c r="J495" s="147" t="str">
        <f>IFERROR(SUMIFS(当年实际!$V:$V,当年实际!$F:$F,$C495,当年实际!$C:$C,"&gt;="&amp;DATE(YEAR(主页!$D$2),1,1),当年实际!$C:$C,"&lt;="&amp;EOMONTH(DATE(YEAR(主页!$D$2),MONTH(主页!$D$2),1),0))/SUMIFS(当年实际!$P:$P,当年实际!$F:$F,$C495,当年实际!$C:$C,"&gt;="&amp;DATE(YEAR(主页!$D$2),1,1),当年实际!$C:$C,"&lt;="&amp;EOMONTH(DATE(YEAR(主页!$D$2),MONTH(主页!$D$2),1),0)),"")</f>
        <v/>
      </c>
    </row>
    <row r="496" spans="1:10" x14ac:dyDescent="0.3">
      <c r="A496" s="150"/>
      <c r="B496" s="150"/>
      <c r="C496" s="150"/>
      <c r="D496" s="150"/>
      <c r="E496" s="140" t="str">
        <f t="shared" si="22"/>
        <v/>
      </c>
      <c r="F496" s="159"/>
      <c r="G496" s="145">
        <f t="shared" si="24"/>
        <v>0</v>
      </c>
      <c r="H496" s="140" t="str">
        <f t="shared" si="23"/>
        <v/>
      </c>
      <c r="J496" s="147" t="str">
        <f>IFERROR(SUMIFS(当年实际!$V:$V,当年实际!$F:$F,$C496,当年实际!$C:$C,"&gt;="&amp;DATE(YEAR(主页!$D$2),1,1),当年实际!$C:$C,"&lt;="&amp;EOMONTH(DATE(YEAR(主页!$D$2),MONTH(主页!$D$2),1),0))/SUMIFS(当年实际!$P:$P,当年实际!$F:$F,$C496,当年实际!$C:$C,"&gt;="&amp;DATE(YEAR(主页!$D$2),1,1),当年实际!$C:$C,"&lt;="&amp;EOMONTH(DATE(YEAR(主页!$D$2),MONTH(主页!$D$2),1),0)),"")</f>
        <v/>
      </c>
    </row>
    <row r="497" spans="1:10" x14ac:dyDescent="0.3">
      <c r="A497" s="150"/>
      <c r="B497" s="150"/>
      <c r="C497" s="150"/>
      <c r="D497" s="150"/>
      <c r="E497" s="140" t="str">
        <f t="shared" si="22"/>
        <v/>
      </c>
      <c r="F497" s="159"/>
      <c r="G497" s="145">
        <f t="shared" si="24"/>
        <v>0</v>
      </c>
      <c r="H497" s="140" t="str">
        <f t="shared" si="23"/>
        <v/>
      </c>
      <c r="J497" s="147" t="str">
        <f>IFERROR(SUMIFS(当年实际!$V:$V,当年实际!$F:$F,$C497,当年实际!$C:$C,"&gt;="&amp;DATE(YEAR(主页!$D$2),1,1),当年实际!$C:$C,"&lt;="&amp;EOMONTH(DATE(YEAR(主页!$D$2),MONTH(主页!$D$2),1),0))/SUMIFS(当年实际!$P:$P,当年实际!$F:$F,$C497,当年实际!$C:$C,"&gt;="&amp;DATE(YEAR(主页!$D$2),1,1),当年实际!$C:$C,"&lt;="&amp;EOMONTH(DATE(YEAR(主页!$D$2),MONTH(主页!$D$2),1),0)),"")</f>
        <v/>
      </c>
    </row>
    <row r="498" spans="1:10" x14ac:dyDescent="0.3">
      <c r="A498" s="150"/>
      <c r="B498" s="150"/>
      <c r="C498" s="150"/>
      <c r="D498" s="150"/>
      <c r="E498" s="140" t="str">
        <f t="shared" si="22"/>
        <v/>
      </c>
      <c r="F498" s="159"/>
      <c r="G498" s="145">
        <f t="shared" si="24"/>
        <v>0</v>
      </c>
      <c r="H498" s="140" t="str">
        <f t="shared" si="23"/>
        <v/>
      </c>
      <c r="J498" s="147" t="str">
        <f>IFERROR(SUMIFS(当年实际!$V:$V,当年实际!$F:$F,$C498,当年实际!$C:$C,"&gt;="&amp;DATE(YEAR(主页!$D$2),1,1),当年实际!$C:$C,"&lt;="&amp;EOMONTH(DATE(YEAR(主页!$D$2),MONTH(主页!$D$2),1),0))/SUMIFS(当年实际!$P:$P,当年实际!$F:$F,$C498,当年实际!$C:$C,"&gt;="&amp;DATE(YEAR(主页!$D$2),1,1),当年实际!$C:$C,"&lt;="&amp;EOMONTH(DATE(YEAR(主页!$D$2),MONTH(主页!$D$2),1),0)),"")</f>
        <v/>
      </c>
    </row>
    <row r="499" spans="1:10" x14ac:dyDescent="0.3">
      <c r="A499" s="150"/>
      <c r="B499" s="150"/>
      <c r="C499" s="150"/>
      <c r="D499" s="150"/>
      <c r="E499" s="140" t="str">
        <f t="shared" si="22"/>
        <v/>
      </c>
      <c r="F499" s="159"/>
      <c r="G499" s="145">
        <f t="shared" si="24"/>
        <v>0</v>
      </c>
      <c r="H499" s="140" t="str">
        <f t="shared" si="23"/>
        <v/>
      </c>
      <c r="J499" s="147" t="str">
        <f>IFERROR(SUMIFS(当年实际!$V:$V,当年实际!$F:$F,$C499,当年实际!$C:$C,"&gt;="&amp;DATE(YEAR(主页!$D$2),1,1),当年实际!$C:$C,"&lt;="&amp;EOMONTH(DATE(YEAR(主页!$D$2),MONTH(主页!$D$2),1),0))/SUMIFS(当年实际!$P:$P,当年实际!$F:$F,$C499,当年实际!$C:$C,"&gt;="&amp;DATE(YEAR(主页!$D$2),1,1),当年实际!$C:$C,"&lt;="&amp;EOMONTH(DATE(YEAR(主页!$D$2),MONTH(主页!$D$2),1),0)),"")</f>
        <v/>
      </c>
    </row>
    <row r="500" spans="1:10" x14ac:dyDescent="0.3">
      <c r="A500" s="150"/>
      <c r="B500" s="150"/>
      <c r="C500" s="150"/>
      <c r="D500" s="150"/>
      <c r="E500" s="140" t="str">
        <f t="shared" si="22"/>
        <v/>
      </c>
      <c r="F500" s="159"/>
      <c r="G500" s="145">
        <f t="shared" si="24"/>
        <v>0</v>
      </c>
      <c r="H500" s="140" t="str">
        <f t="shared" si="23"/>
        <v/>
      </c>
      <c r="J500" s="147" t="str">
        <f>IFERROR(SUMIFS(当年实际!$V:$V,当年实际!$F:$F,$C500,当年实际!$C:$C,"&gt;="&amp;DATE(YEAR(主页!$D$2),1,1),当年实际!$C:$C,"&lt;="&amp;EOMONTH(DATE(YEAR(主页!$D$2),MONTH(主页!$D$2),1),0))/SUMIFS(当年实际!$P:$P,当年实际!$F:$F,$C500,当年实际!$C:$C,"&gt;="&amp;DATE(YEAR(主页!$D$2),1,1),当年实际!$C:$C,"&lt;="&amp;EOMONTH(DATE(YEAR(主页!$D$2),MONTH(主页!$D$2),1),0)),"")</f>
        <v/>
      </c>
    </row>
    <row r="501" spans="1:10" x14ac:dyDescent="0.3">
      <c r="A501" s="150"/>
      <c r="B501" s="150"/>
      <c r="C501" s="150"/>
      <c r="D501" s="150"/>
      <c r="E501" s="140" t="str">
        <f t="shared" si="22"/>
        <v/>
      </c>
      <c r="F501" s="159"/>
      <c r="G501" s="145">
        <f t="shared" si="24"/>
        <v>0</v>
      </c>
      <c r="H501" s="140" t="str">
        <f t="shared" si="23"/>
        <v/>
      </c>
      <c r="J501" s="147" t="str">
        <f>IFERROR(SUMIFS(当年实际!$V:$V,当年实际!$F:$F,$C501,当年实际!$C:$C,"&gt;="&amp;DATE(YEAR(主页!$D$2),1,1),当年实际!$C:$C,"&lt;="&amp;EOMONTH(DATE(YEAR(主页!$D$2),MONTH(主页!$D$2),1),0))/SUMIFS(当年实际!$P:$P,当年实际!$F:$F,$C501,当年实际!$C:$C,"&gt;="&amp;DATE(YEAR(主页!$D$2),1,1),当年实际!$C:$C,"&lt;="&amp;EOMONTH(DATE(YEAR(主页!$D$2),MONTH(主页!$D$2),1),0)),"")</f>
        <v/>
      </c>
    </row>
    <row r="502" spans="1:10" x14ac:dyDescent="0.3">
      <c r="A502" s="150"/>
      <c r="B502" s="150"/>
      <c r="C502" s="150"/>
      <c r="D502" s="150"/>
      <c r="E502" s="140" t="str">
        <f t="shared" si="22"/>
        <v/>
      </c>
      <c r="F502" s="159"/>
      <c r="G502" s="145">
        <f t="shared" si="24"/>
        <v>0</v>
      </c>
      <c r="H502" s="140" t="str">
        <f t="shared" si="23"/>
        <v/>
      </c>
      <c r="J502" s="147" t="str">
        <f>IFERROR(SUMIFS(当年实际!$V:$V,当年实际!$F:$F,$C502,当年实际!$C:$C,"&gt;="&amp;DATE(YEAR(主页!$D$2),1,1),当年实际!$C:$C,"&lt;="&amp;EOMONTH(DATE(YEAR(主页!$D$2),MONTH(主页!$D$2),1),0))/SUMIFS(当年实际!$P:$P,当年实际!$F:$F,$C502,当年实际!$C:$C,"&gt;="&amp;DATE(YEAR(主页!$D$2),1,1),当年实际!$C:$C,"&lt;="&amp;EOMONTH(DATE(YEAR(主页!$D$2),MONTH(主页!$D$2),1),0)),"")</f>
        <v/>
      </c>
    </row>
    <row r="503" spans="1:10" x14ac:dyDescent="0.3">
      <c r="A503" s="150"/>
      <c r="B503" s="150"/>
      <c r="C503" s="150"/>
      <c r="D503" s="150"/>
      <c r="E503" s="140" t="str">
        <f t="shared" si="22"/>
        <v/>
      </c>
      <c r="F503" s="159"/>
      <c r="G503" s="145">
        <f t="shared" si="24"/>
        <v>0</v>
      </c>
      <c r="H503" s="140" t="str">
        <f t="shared" si="23"/>
        <v/>
      </c>
      <c r="J503" s="147" t="str">
        <f>IFERROR(SUMIFS(当年实际!$V:$V,当年实际!$F:$F,$C503,当年实际!$C:$C,"&gt;="&amp;DATE(YEAR(主页!$D$2),1,1),当年实际!$C:$C,"&lt;="&amp;EOMONTH(DATE(YEAR(主页!$D$2),MONTH(主页!$D$2),1),0))/SUMIFS(当年实际!$P:$P,当年实际!$F:$F,$C503,当年实际!$C:$C,"&gt;="&amp;DATE(YEAR(主页!$D$2),1,1),当年实际!$C:$C,"&lt;="&amp;EOMONTH(DATE(YEAR(主页!$D$2),MONTH(主页!$D$2),1),0)),"")</f>
        <v/>
      </c>
    </row>
    <row r="504" spans="1:10" x14ac:dyDescent="0.3">
      <c r="A504" s="150"/>
      <c r="B504" s="150"/>
      <c r="C504" s="150"/>
      <c r="D504" s="150"/>
      <c r="E504" s="140" t="str">
        <f t="shared" si="22"/>
        <v/>
      </c>
      <c r="F504" s="159"/>
      <c r="G504" s="145">
        <f t="shared" si="24"/>
        <v>0</v>
      </c>
      <c r="H504" s="140" t="str">
        <f t="shared" si="23"/>
        <v/>
      </c>
      <c r="J504" s="147" t="str">
        <f>IFERROR(SUMIFS(当年实际!$V:$V,当年实际!$F:$F,$C504,当年实际!$C:$C,"&gt;="&amp;DATE(YEAR(主页!$D$2),1,1),当年实际!$C:$C,"&lt;="&amp;EOMONTH(DATE(YEAR(主页!$D$2),MONTH(主页!$D$2),1),0))/SUMIFS(当年实际!$P:$P,当年实际!$F:$F,$C504,当年实际!$C:$C,"&gt;="&amp;DATE(YEAR(主页!$D$2),1,1),当年实际!$C:$C,"&lt;="&amp;EOMONTH(DATE(YEAR(主页!$D$2),MONTH(主页!$D$2),1),0)),"")</f>
        <v/>
      </c>
    </row>
    <row r="505" spans="1:10" x14ac:dyDescent="0.3">
      <c r="A505" s="150"/>
      <c r="B505" s="150"/>
      <c r="C505" s="150"/>
      <c r="D505" s="150"/>
      <c r="E505" s="140" t="str">
        <f t="shared" si="22"/>
        <v/>
      </c>
      <c r="F505" s="159"/>
      <c r="G505" s="145">
        <f t="shared" si="24"/>
        <v>0</v>
      </c>
      <c r="H505" s="140" t="str">
        <f t="shared" si="23"/>
        <v/>
      </c>
      <c r="J505" s="147" t="str">
        <f>IFERROR(SUMIFS(当年实际!$V:$V,当年实际!$F:$F,$C505,当年实际!$C:$C,"&gt;="&amp;DATE(YEAR(主页!$D$2),1,1),当年实际!$C:$C,"&lt;="&amp;EOMONTH(DATE(YEAR(主页!$D$2),MONTH(主页!$D$2),1),0))/SUMIFS(当年实际!$P:$P,当年实际!$F:$F,$C505,当年实际!$C:$C,"&gt;="&amp;DATE(YEAR(主页!$D$2),1,1),当年实际!$C:$C,"&lt;="&amp;EOMONTH(DATE(YEAR(主页!$D$2),MONTH(主页!$D$2),1),0)),"")</f>
        <v/>
      </c>
    </row>
    <row r="506" spans="1:10" x14ac:dyDescent="0.3">
      <c r="A506" s="150"/>
      <c r="B506" s="150"/>
      <c r="C506" s="150"/>
      <c r="D506" s="150"/>
      <c r="E506" s="140" t="str">
        <f t="shared" si="22"/>
        <v/>
      </c>
      <c r="F506" s="159"/>
      <c r="G506" s="145">
        <f t="shared" si="24"/>
        <v>0</v>
      </c>
      <c r="H506" s="140" t="str">
        <f t="shared" si="23"/>
        <v/>
      </c>
      <c r="J506" s="147" t="str">
        <f>IFERROR(SUMIFS(当年实际!$V:$V,当年实际!$F:$F,$C506,当年实际!$C:$C,"&gt;="&amp;DATE(YEAR(主页!$D$2),1,1),当年实际!$C:$C,"&lt;="&amp;EOMONTH(DATE(YEAR(主页!$D$2),MONTH(主页!$D$2),1),0))/SUMIFS(当年实际!$P:$P,当年实际!$F:$F,$C506,当年实际!$C:$C,"&gt;="&amp;DATE(YEAR(主页!$D$2),1,1),当年实际!$C:$C,"&lt;="&amp;EOMONTH(DATE(YEAR(主页!$D$2),MONTH(主页!$D$2),1),0)),"")</f>
        <v/>
      </c>
    </row>
    <row r="507" spans="1:10" x14ac:dyDescent="0.3">
      <c r="A507" s="150"/>
      <c r="B507" s="150"/>
      <c r="C507" s="150"/>
      <c r="D507" s="150"/>
      <c r="E507" s="140" t="str">
        <f t="shared" si="22"/>
        <v/>
      </c>
      <c r="F507" s="159"/>
      <c r="G507" s="145">
        <f t="shared" si="24"/>
        <v>0</v>
      </c>
      <c r="H507" s="140" t="str">
        <f t="shared" si="23"/>
        <v/>
      </c>
      <c r="J507" s="147" t="str">
        <f>IFERROR(SUMIFS(当年实际!$V:$V,当年实际!$F:$F,$C507,当年实际!$C:$C,"&gt;="&amp;DATE(YEAR(主页!$D$2),1,1),当年实际!$C:$C,"&lt;="&amp;EOMONTH(DATE(YEAR(主页!$D$2),MONTH(主页!$D$2),1),0))/SUMIFS(当年实际!$P:$P,当年实际!$F:$F,$C507,当年实际!$C:$C,"&gt;="&amp;DATE(YEAR(主页!$D$2),1,1),当年实际!$C:$C,"&lt;="&amp;EOMONTH(DATE(YEAR(主页!$D$2),MONTH(主页!$D$2),1),0)),"")</f>
        <v/>
      </c>
    </row>
    <row r="508" spans="1:10" x14ac:dyDescent="0.3">
      <c r="A508" s="150"/>
      <c r="B508" s="150"/>
      <c r="C508" s="150"/>
      <c r="D508" s="150"/>
      <c r="E508" s="140" t="str">
        <f t="shared" si="22"/>
        <v/>
      </c>
      <c r="F508" s="159"/>
      <c r="G508" s="145">
        <f t="shared" si="24"/>
        <v>0</v>
      </c>
      <c r="H508" s="140" t="str">
        <f t="shared" si="23"/>
        <v/>
      </c>
      <c r="J508" s="147" t="str">
        <f>IFERROR(SUMIFS(当年实际!$V:$V,当年实际!$F:$F,$C508,当年实际!$C:$C,"&gt;="&amp;DATE(YEAR(主页!$D$2),1,1),当年实际!$C:$C,"&lt;="&amp;EOMONTH(DATE(YEAR(主页!$D$2),MONTH(主页!$D$2),1),0))/SUMIFS(当年实际!$P:$P,当年实际!$F:$F,$C508,当年实际!$C:$C,"&gt;="&amp;DATE(YEAR(主页!$D$2),1,1),当年实际!$C:$C,"&lt;="&amp;EOMONTH(DATE(YEAR(主页!$D$2),MONTH(主页!$D$2),1),0)),"")</f>
        <v/>
      </c>
    </row>
    <row r="509" spans="1:10" x14ac:dyDescent="0.3">
      <c r="A509" s="150"/>
      <c r="B509" s="150"/>
      <c r="C509" s="150"/>
      <c r="D509" s="150"/>
      <c r="E509" s="140" t="str">
        <f t="shared" si="22"/>
        <v/>
      </c>
      <c r="F509" s="159"/>
      <c r="G509" s="145">
        <f t="shared" si="24"/>
        <v>0</v>
      </c>
      <c r="H509" s="140" t="str">
        <f t="shared" si="23"/>
        <v/>
      </c>
      <c r="J509" s="147" t="str">
        <f>IFERROR(SUMIFS(当年实际!$V:$V,当年实际!$F:$F,$C509,当年实际!$C:$C,"&gt;="&amp;DATE(YEAR(主页!$D$2),1,1),当年实际!$C:$C,"&lt;="&amp;EOMONTH(DATE(YEAR(主页!$D$2),MONTH(主页!$D$2),1),0))/SUMIFS(当年实际!$P:$P,当年实际!$F:$F,$C509,当年实际!$C:$C,"&gt;="&amp;DATE(YEAR(主页!$D$2),1,1),当年实际!$C:$C,"&lt;="&amp;EOMONTH(DATE(YEAR(主页!$D$2),MONTH(主页!$D$2),1),0)),"")</f>
        <v/>
      </c>
    </row>
    <row r="510" spans="1:10" x14ac:dyDescent="0.3">
      <c r="A510" s="150"/>
      <c r="B510" s="150"/>
      <c r="C510" s="150"/>
      <c r="D510" s="150"/>
      <c r="E510" s="140" t="str">
        <f t="shared" si="22"/>
        <v/>
      </c>
      <c r="F510" s="159"/>
      <c r="G510" s="145">
        <f t="shared" si="24"/>
        <v>0</v>
      </c>
      <c r="H510" s="140" t="str">
        <f t="shared" si="23"/>
        <v/>
      </c>
      <c r="J510" s="147" t="str">
        <f>IFERROR(SUMIFS(当年实际!$V:$V,当年实际!$F:$F,$C510,当年实际!$C:$C,"&gt;="&amp;DATE(YEAR(主页!$D$2),1,1),当年实际!$C:$C,"&lt;="&amp;EOMONTH(DATE(YEAR(主页!$D$2),MONTH(主页!$D$2),1),0))/SUMIFS(当年实际!$P:$P,当年实际!$F:$F,$C510,当年实际!$C:$C,"&gt;="&amp;DATE(YEAR(主页!$D$2),1,1),当年实际!$C:$C,"&lt;="&amp;EOMONTH(DATE(YEAR(主页!$D$2),MONTH(主页!$D$2),1),0)),"")</f>
        <v/>
      </c>
    </row>
    <row r="511" spans="1:10" x14ac:dyDescent="0.3">
      <c r="A511" s="150"/>
      <c r="B511" s="150"/>
      <c r="C511" s="150"/>
      <c r="D511" s="150"/>
      <c r="E511" s="140" t="str">
        <f t="shared" si="22"/>
        <v/>
      </c>
      <c r="F511" s="159"/>
      <c r="G511" s="145">
        <f t="shared" si="24"/>
        <v>0</v>
      </c>
      <c r="H511" s="140" t="str">
        <f t="shared" si="23"/>
        <v/>
      </c>
      <c r="J511" s="147" t="str">
        <f>IFERROR(SUMIFS(当年实际!$V:$V,当年实际!$F:$F,$C511,当年实际!$C:$C,"&gt;="&amp;DATE(YEAR(主页!$D$2),1,1),当年实际!$C:$C,"&lt;="&amp;EOMONTH(DATE(YEAR(主页!$D$2),MONTH(主页!$D$2),1),0))/SUMIFS(当年实际!$P:$P,当年实际!$F:$F,$C511,当年实际!$C:$C,"&gt;="&amp;DATE(YEAR(主页!$D$2),1,1),当年实际!$C:$C,"&lt;="&amp;EOMONTH(DATE(YEAR(主页!$D$2),MONTH(主页!$D$2),1),0)),"")</f>
        <v/>
      </c>
    </row>
    <row r="512" spans="1:10" x14ac:dyDescent="0.3">
      <c r="A512" s="150"/>
      <c r="B512" s="150"/>
      <c r="C512" s="150"/>
      <c r="D512" s="150"/>
      <c r="E512" s="140" t="str">
        <f t="shared" si="22"/>
        <v/>
      </c>
      <c r="F512" s="159"/>
      <c r="G512" s="145">
        <f t="shared" si="24"/>
        <v>0</v>
      </c>
      <c r="H512" s="140" t="str">
        <f t="shared" si="23"/>
        <v/>
      </c>
      <c r="J512" s="147" t="str">
        <f>IFERROR(SUMIFS(当年实际!$V:$V,当年实际!$F:$F,$C512,当年实际!$C:$C,"&gt;="&amp;DATE(YEAR(主页!$D$2),1,1),当年实际!$C:$C,"&lt;="&amp;EOMONTH(DATE(YEAR(主页!$D$2),MONTH(主页!$D$2),1),0))/SUMIFS(当年实际!$P:$P,当年实际!$F:$F,$C512,当年实际!$C:$C,"&gt;="&amp;DATE(YEAR(主页!$D$2),1,1),当年实际!$C:$C,"&lt;="&amp;EOMONTH(DATE(YEAR(主页!$D$2),MONTH(主页!$D$2),1),0)),"")</f>
        <v/>
      </c>
    </row>
    <row r="513" spans="1:10" x14ac:dyDescent="0.3">
      <c r="A513" s="150"/>
      <c r="B513" s="150"/>
      <c r="C513" s="150"/>
      <c r="D513" s="150"/>
      <c r="E513" s="140" t="str">
        <f t="shared" si="22"/>
        <v/>
      </c>
      <c r="F513" s="159"/>
      <c r="G513" s="145">
        <f t="shared" si="24"/>
        <v>0</v>
      </c>
      <c r="H513" s="140" t="str">
        <f t="shared" si="23"/>
        <v/>
      </c>
      <c r="J513" s="147" t="str">
        <f>IFERROR(SUMIFS(当年实际!$V:$V,当年实际!$F:$F,$C513,当年实际!$C:$C,"&gt;="&amp;DATE(YEAR(主页!$D$2),1,1),当年实际!$C:$C,"&lt;="&amp;EOMONTH(DATE(YEAR(主页!$D$2),MONTH(主页!$D$2),1),0))/SUMIFS(当年实际!$P:$P,当年实际!$F:$F,$C513,当年实际!$C:$C,"&gt;="&amp;DATE(YEAR(主页!$D$2),1,1),当年实际!$C:$C,"&lt;="&amp;EOMONTH(DATE(YEAR(主页!$D$2),MONTH(主页!$D$2),1),0)),"")</f>
        <v/>
      </c>
    </row>
    <row r="514" spans="1:10" x14ac:dyDescent="0.3">
      <c r="A514" s="150"/>
      <c r="B514" s="150"/>
      <c r="C514" s="150"/>
      <c r="D514" s="150"/>
      <c r="E514" s="140" t="str">
        <f t="shared" si="22"/>
        <v/>
      </c>
      <c r="F514" s="159"/>
      <c r="G514" s="145">
        <f t="shared" si="24"/>
        <v>0</v>
      </c>
      <c r="H514" s="140" t="str">
        <f t="shared" si="23"/>
        <v/>
      </c>
      <c r="J514" s="147" t="str">
        <f>IFERROR(SUMIFS(当年实际!$V:$V,当年实际!$F:$F,$C514,当年实际!$C:$C,"&gt;="&amp;DATE(YEAR(主页!$D$2),1,1),当年实际!$C:$C,"&lt;="&amp;EOMONTH(DATE(YEAR(主页!$D$2),MONTH(主页!$D$2),1),0))/SUMIFS(当年实际!$P:$P,当年实际!$F:$F,$C514,当年实际!$C:$C,"&gt;="&amp;DATE(YEAR(主页!$D$2),1,1),当年实际!$C:$C,"&lt;="&amp;EOMONTH(DATE(YEAR(主页!$D$2),MONTH(主页!$D$2),1),0)),"")</f>
        <v/>
      </c>
    </row>
    <row r="515" spans="1:10" x14ac:dyDescent="0.3">
      <c r="A515" s="150"/>
      <c r="B515" s="150"/>
      <c r="C515" s="150"/>
      <c r="D515" s="150"/>
      <c r="E515" s="140" t="str">
        <f t="shared" si="22"/>
        <v/>
      </c>
      <c r="F515" s="159"/>
      <c r="G515" s="145">
        <f t="shared" si="24"/>
        <v>0</v>
      </c>
      <c r="H515" s="140" t="str">
        <f t="shared" si="23"/>
        <v/>
      </c>
      <c r="J515" s="147" t="str">
        <f>IFERROR(SUMIFS(当年实际!$V:$V,当年实际!$F:$F,$C515,当年实际!$C:$C,"&gt;="&amp;DATE(YEAR(主页!$D$2),1,1),当年实际!$C:$C,"&lt;="&amp;EOMONTH(DATE(YEAR(主页!$D$2),MONTH(主页!$D$2),1),0))/SUMIFS(当年实际!$P:$P,当年实际!$F:$F,$C515,当年实际!$C:$C,"&gt;="&amp;DATE(YEAR(主页!$D$2),1,1),当年实际!$C:$C,"&lt;="&amp;EOMONTH(DATE(YEAR(主页!$D$2),MONTH(主页!$D$2),1),0)),"")</f>
        <v/>
      </c>
    </row>
    <row r="516" spans="1:10" x14ac:dyDescent="0.3">
      <c r="A516" s="150"/>
      <c r="B516" s="150"/>
      <c r="C516" s="150"/>
      <c r="D516" s="150"/>
      <c r="E516" s="140" t="str">
        <f t="shared" ref="E516:E579" si="25">IF(D516/SUM(D:D)=0,"",D516/SUM(D:D))</f>
        <v/>
      </c>
      <c r="F516" s="159"/>
      <c r="G516" s="145">
        <f t="shared" si="24"/>
        <v>0</v>
      </c>
      <c r="H516" s="140" t="str">
        <f t="shared" ref="H516:H579" si="26">IF(G516/SUM(G:G)=0,"",G516/SUM(G:G))</f>
        <v/>
      </c>
      <c r="J516" s="147" t="str">
        <f>IFERROR(SUMIFS(当年实际!$V:$V,当年实际!$F:$F,$C516,当年实际!$C:$C,"&gt;="&amp;DATE(YEAR(主页!$D$2),1,1),当年实际!$C:$C,"&lt;="&amp;EOMONTH(DATE(YEAR(主页!$D$2),MONTH(主页!$D$2),1),0))/SUMIFS(当年实际!$P:$P,当年实际!$F:$F,$C516,当年实际!$C:$C,"&gt;="&amp;DATE(YEAR(主页!$D$2),1,1),当年实际!$C:$C,"&lt;="&amp;EOMONTH(DATE(YEAR(主页!$D$2),MONTH(主页!$D$2),1),0)),"")</f>
        <v/>
      </c>
    </row>
    <row r="517" spans="1:10" x14ac:dyDescent="0.3">
      <c r="A517" s="150"/>
      <c r="B517" s="150"/>
      <c r="C517" s="150"/>
      <c r="D517" s="150"/>
      <c r="E517" s="140" t="str">
        <f t="shared" si="25"/>
        <v/>
      </c>
      <c r="F517" s="159"/>
      <c r="G517" s="145">
        <f t="shared" si="24"/>
        <v>0</v>
      </c>
      <c r="H517" s="140" t="str">
        <f t="shared" si="26"/>
        <v/>
      </c>
      <c r="J517" s="147" t="str">
        <f>IFERROR(SUMIFS(当年实际!$V:$V,当年实际!$F:$F,$C517,当年实际!$C:$C,"&gt;="&amp;DATE(YEAR(主页!$D$2),1,1),当年实际!$C:$C,"&lt;="&amp;EOMONTH(DATE(YEAR(主页!$D$2),MONTH(主页!$D$2),1),0))/SUMIFS(当年实际!$P:$P,当年实际!$F:$F,$C517,当年实际!$C:$C,"&gt;="&amp;DATE(YEAR(主页!$D$2),1,1),当年实际!$C:$C,"&lt;="&amp;EOMONTH(DATE(YEAR(主页!$D$2),MONTH(主页!$D$2),1),0)),"")</f>
        <v/>
      </c>
    </row>
    <row r="518" spans="1:10" x14ac:dyDescent="0.3">
      <c r="A518" s="150"/>
      <c r="B518" s="150"/>
      <c r="C518" s="150"/>
      <c r="D518" s="150"/>
      <c r="E518" s="140" t="str">
        <f t="shared" si="25"/>
        <v/>
      </c>
      <c r="F518" s="159"/>
      <c r="G518" s="145">
        <f t="shared" si="24"/>
        <v>0</v>
      </c>
      <c r="H518" s="140" t="str">
        <f t="shared" si="26"/>
        <v/>
      </c>
      <c r="J518" s="147" t="str">
        <f>IFERROR(SUMIFS(当年实际!$V:$V,当年实际!$F:$F,$C518,当年实际!$C:$C,"&gt;="&amp;DATE(YEAR(主页!$D$2),1,1),当年实际!$C:$C,"&lt;="&amp;EOMONTH(DATE(YEAR(主页!$D$2),MONTH(主页!$D$2),1),0))/SUMIFS(当年实际!$P:$P,当年实际!$F:$F,$C518,当年实际!$C:$C,"&gt;="&amp;DATE(YEAR(主页!$D$2),1,1),当年实际!$C:$C,"&lt;="&amp;EOMONTH(DATE(YEAR(主页!$D$2),MONTH(主页!$D$2),1),0)),"")</f>
        <v/>
      </c>
    </row>
    <row r="519" spans="1:10" x14ac:dyDescent="0.3">
      <c r="A519" s="150"/>
      <c r="B519" s="150"/>
      <c r="C519" s="150"/>
      <c r="D519" s="150"/>
      <c r="E519" s="140" t="str">
        <f t="shared" si="25"/>
        <v/>
      </c>
      <c r="F519" s="159"/>
      <c r="G519" s="145">
        <f t="shared" si="24"/>
        <v>0</v>
      </c>
      <c r="H519" s="140" t="str">
        <f t="shared" si="26"/>
        <v/>
      </c>
      <c r="J519" s="147" t="str">
        <f>IFERROR(SUMIFS(当年实际!$V:$V,当年实际!$F:$F,$C519,当年实际!$C:$C,"&gt;="&amp;DATE(YEAR(主页!$D$2),1,1),当年实际!$C:$C,"&lt;="&amp;EOMONTH(DATE(YEAR(主页!$D$2),MONTH(主页!$D$2),1),0))/SUMIFS(当年实际!$P:$P,当年实际!$F:$F,$C519,当年实际!$C:$C,"&gt;="&amp;DATE(YEAR(主页!$D$2),1,1),当年实际!$C:$C,"&lt;="&amp;EOMONTH(DATE(YEAR(主页!$D$2),MONTH(主页!$D$2),1),0)),"")</f>
        <v/>
      </c>
    </row>
    <row r="520" spans="1:10" x14ac:dyDescent="0.3">
      <c r="A520" s="150"/>
      <c r="B520" s="150"/>
      <c r="C520" s="150"/>
      <c r="D520" s="150"/>
      <c r="E520" s="140" t="str">
        <f t="shared" si="25"/>
        <v/>
      </c>
      <c r="F520" s="159"/>
      <c r="G520" s="145">
        <f t="shared" ref="G520:G583" si="27">D520*F520</f>
        <v>0</v>
      </c>
      <c r="H520" s="140" t="str">
        <f t="shared" si="26"/>
        <v/>
      </c>
      <c r="J520" s="147" t="str">
        <f>IFERROR(SUMIFS(当年实际!$V:$V,当年实际!$F:$F,$C520,当年实际!$C:$C,"&gt;="&amp;DATE(YEAR(主页!$D$2),1,1),当年实际!$C:$C,"&lt;="&amp;EOMONTH(DATE(YEAR(主页!$D$2),MONTH(主页!$D$2),1),0))/SUMIFS(当年实际!$P:$P,当年实际!$F:$F,$C520,当年实际!$C:$C,"&gt;="&amp;DATE(YEAR(主页!$D$2),1,1),当年实际!$C:$C,"&lt;="&amp;EOMONTH(DATE(YEAR(主页!$D$2),MONTH(主页!$D$2),1),0)),"")</f>
        <v/>
      </c>
    </row>
    <row r="521" spans="1:10" x14ac:dyDescent="0.3">
      <c r="A521" s="150"/>
      <c r="B521" s="150"/>
      <c r="C521" s="150"/>
      <c r="D521" s="150"/>
      <c r="E521" s="140" t="str">
        <f t="shared" si="25"/>
        <v/>
      </c>
      <c r="F521" s="159"/>
      <c r="G521" s="145">
        <f t="shared" si="27"/>
        <v>0</v>
      </c>
      <c r="H521" s="140" t="str">
        <f t="shared" si="26"/>
        <v/>
      </c>
      <c r="J521" s="147" t="str">
        <f>IFERROR(SUMIFS(当年实际!$V:$V,当年实际!$F:$F,$C521,当年实际!$C:$C,"&gt;="&amp;DATE(YEAR(主页!$D$2),1,1),当年实际!$C:$C,"&lt;="&amp;EOMONTH(DATE(YEAR(主页!$D$2),MONTH(主页!$D$2),1),0))/SUMIFS(当年实际!$P:$P,当年实际!$F:$F,$C521,当年实际!$C:$C,"&gt;="&amp;DATE(YEAR(主页!$D$2),1,1),当年实际!$C:$C,"&lt;="&amp;EOMONTH(DATE(YEAR(主页!$D$2),MONTH(主页!$D$2),1),0)),"")</f>
        <v/>
      </c>
    </row>
    <row r="522" spans="1:10" x14ac:dyDescent="0.3">
      <c r="A522" s="150"/>
      <c r="B522" s="150"/>
      <c r="C522" s="150"/>
      <c r="D522" s="150"/>
      <c r="E522" s="140" t="str">
        <f t="shared" si="25"/>
        <v/>
      </c>
      <c r="F522" s="159"/>
      <c r="G522" s="145">
        <f t="shared" si="27"/>
        <v>0</v>
      </c>
      <c r="H522" s="140" t="str">
        <f t="shared" si="26"/>
        <v/>
      </c>
      <c r="J522" s="147" t="str">
        <f>IFERROR(SUMIFS(当年实际!$V:$V,当年实际!$F:$F,$C522,当年实际!$C:$C,"&gt;="&amp;DATE(YEAR(主页!$D$2),1,1),当年实际!$C:$C,"&lt;="&amp;EOMONTH(DATE(YEAR(主页!$D$2),MONTH(主页!$D$2),1),0))/SUMIFS(当年实际!$P:$P,当年实际!$F:$F,$C522,当年实际!$C:$C,"&gt;="&amp;DATE(YEAR(主页!$D$2),1,1),当年实际!$C:$C,"&lt;="&amp;EOMONTH(DATE(YEAR(主页!$D$2),MONTH(主页!$D$2),1),0)),"")</f>
        <v/>
      </c>
    </row>
    <row r="523" spans="1:10" x14ac:dyDescent="0.3">
      <c r="A523" s="150"/>
      <c r="B523" s="150"/>
      <c r="C523" s="150"/>
      <c r="D523" s="150"/>
      <c r="E523" s="140" t="str">
        <f t="shared" si="25"/>
        <v/>
      </c>
      <c r="F523" s="159"/>
      <c r="G523" s="145">
        <f t="shared" si="27"/>
        <v>0</v>
      </c>
      <c r="H523" s="140" t="str">
        <f t="shared" si="26"/>
        <v/>
      </c>
      <c r="J523" s="147" t="str">
        <f>IFERROR(SUMIFS(当年实际!$V:$V,当年实际!$F:$F,$C523,当年实际!$C:$C,"&gt;="&amp;DATE(YEAR(主页!$D$2),1,1),当年实际!$C:$C,"&lt;="&amp;EOMONTH(DATE(YEAR(主页!$D$2),MONTH(主页!$D$2),1),0))/SUMIFS(当年实际!$P:$P,当年实际!$F:$F,$C523,当年实际!$C:$C,"&gt;="&amp;DATE(YEAR(主页!$D$2),1,1),当年实际!$C:$C,"&lt;="&amp;EOMONTH(DATE(YEAR(主页!$D$2),MONTH(主页!$D$2),1),0)),"")</f>
        <v/>
      </c>
    </row>
    <row r="524" spans="1:10" x14ac:dyDescent="0.3">
      <c r="A524" s="150"/>
      <c r="B524" s="150"/>
      <c r="C524" s="150"/>
      <c r="D524" s="150"/>
      <c r="E524" s="140" t="str">
        <f t="shared" si="25"/>
        <v/>
      </c>
      <c r="F524" s="159"/>
      <c r="G524" s="145">
        <f t="shared" si="27"/>
        <v>0</v>
      </c>
      <c r="H524" s="140" t="str">
        <f t="shared" si="26"/>
        <v/>
      </c>
      <c r="J524" s="147" t="str">
        <f>IFERROR(SUMIFS(当年实际!$V:$V,当年实际!$F:$F,$C524,当年实际!$C:$C,"&gt;="&amp;DATE(YEAR(主页!$D$2),1,1),当年实际!$C:$C,"&lt;="&amp;EOMONTH(DATE(YEAR(主页!$D$2),MONTH(主页!$D$2),1),0))/SUMIFS(当年实际!$P:$P,当年实际!$F:$F,$C524,当年实际!$C:$C,"&gt;="&amp;DATE(YEAR(主页!$D$2),1,1),当年实际!$C:$C,"&lt;="&amp;EOMONTH(DATE(YEAR(主页!$D$2),MONTH(主页!$D$2),1),0)),"")</f>
        <v/>
      </c>
    </row>
    <row r="525" spans="1:10" x14ac:dyDescent="0.3">
      <c r="A525" s="150"/>
      <c r="B525" s="150"/>
      <c r="C525" s="150"/>
      <c r="D525" s="150"/>
      <c r="E525" s="140" t="str">
        <f t="shared" si="25"/>
        <v/>
      </c>
      <c r="F525" s="159"/>
      <c r="G525" s="145">
        <f t="shared" si="27"/>
        <v>0</v>
      </c>
      <c r="H525" s="140" t="str">
        <f t="shared" si="26"/>
        <v/>
      </c>
      <c r="J525" s="147" t="str">
        <f>IFERROR(SUMIFS(当年实际!$V:$V,当年实际!$F:$F,$C525,当年实际!$C:$C,"&gt;="&amp;DATE(YEAR(主页!$D$2),1,1),当年实际!$C:$C,"&lt;="&amp;EOMONTH(DATE(YEAR(主页!$D$2),MONTH(主页!$D$2),1),0))/SUMIFS(当年实际!$P:$P,当年实际!$F:$F,$C525,当年实际!$C:$C,"&gt;="&amp;DATE(YEAR(主页!$D$2),1,1),当年实际!$C:$C,"&lt;="&amp;EOMONTH(DATE(YEAR(主页!$D$2),MONTH(主页!$D$2),1),0)),"")</f>
        <v/>
      </c>
    </row>
    <row r="526" spans="1:10" x14ac:dyDescent="0.3">
      <c r="A526" s="150"/>
      <c r="B526" s="150"/>
      <c r="C526" s="150"/>
      <c r="D526" s="150"/>
      <c r="E526" s="140" t="str">
        <f t="shared" si="25"/>
        <v/>
      </c>
      <c r="F526" s="159"/>
      <c r="G526" s="145">
        <f t="shared" si="27"/>
        <v>0</v>
      </c>
      <c r="H526" s="140" t="str">
        <f t="shared" si="26"/>
        <v/>
      </c>
      <c r="J526" s="147" t="str">
        <f>IFERROR(SUMIFS(当年实际!$V:$V,当年实际!$F:$F,$C526,当年实际!$C:$C,"&gt;="&amp;DATE(YEAR(主页!$D$2),1,1),当年实际!$C:$C,"&lt;="&amp;EOMONTH(DATE(YEAR(主页!$D$2),MONTH(主页!$D$2),1),0))/SUMIFS(当年实际!$P:$P,当年实际!$F:$F,$C526,当年实际!$C:$C,"&gt;="&amp;DATE(YEAR(主页!$D$2),1,1),当年实际!$C:$C,"&lt;="&amp;EOMONTH(DATE(YEAR(主页!$D$2),MONTH(主页!$D$2),1),0)),"")</f>
        <v/>
      </c>
    </row>
    <row r="527" spans="1:10" x14ac:dyDescent="0.3">
      <c r="A527" s="150"/>
      <c r="B527" s="150"/>
      <c r="C527" s="150"/>
      <c r="D527" s="150"/>
      <c r="E527" s="140" t="str">
        <f t="shared" si="25"/>
        <v/>
      </c>
      <c r="F527" s="159"/>
      <c r="G527" s="145">
        <f t="shared" si="27"/>
        <v>0</v>
      </c>
      <c r="H527" s="140" t="str">
        <f t="shared" si="26"/>
        <v/>
      </c>
      <c r="J527" s="147" t="str">
        <f>IFERROR(SUMIFS(当年实际!$V:$V,当年实际!$F:$F,$C527,当年实际!$C:$C,"&gt;="&amp;DATE(YEAR(主页!$D$2),1,1),当年实际!$C:$C,"&lt;="&amp;EOMONTH(DATE(YEAR(主页!$D$2),MONTH(主页!$D$2),1),0))/SUMIFS(当年实际!$P:$P,当年实际!$F:$F,$C527,当年实际!$C:$C,"&gt;="&amp;DATE(YEAR(主页!$D$2),1,1),当年实际!$C:$C,"&lt;="&amp;EOMONTH(DATE(YEAR(主页!$D$2),MONTH(主页!$D$2),1),0)),"")</f>
        <v/>
      </c>
    </row>
    <row r="528" spans="1:10" x14ac:dyDescent="0.3">
      <c r="A528" s="150"/>
      <c r="B528" s="150"/>
      <c r="C528" s="150"/>
      <c r="D528" s="150"/>
      <c r="E528" s="140" t="str">
        <f t="shared" si="25"/>
        <v/>
      </c>
      <c r="F528" s="159"/>
      <c r="G528" s="145">
        <f t="shared" si="27"/>
        <v>0</v>
      </c>
      <c r="H528" s="140" t="str">
        <f t="shared" si="26"/>
        <v/>
      </c>
      <c r="J528" s="147" t="str">
        <f>IFERROR(SUMIFS(当年实际!$V:$V,当年实际!$F:$F,$C528,当年实际!$C:$C,"&gt;="&amp;DATE(YEAR(主页!$D$2),1,1),当年实际!$C:$C,"&lt;="&amp;EOMONTH(DATE(YEAR(主页!$D$2),MONTH(主页!$D$2),1),0))/SUMIFS(当年实际!$P:$P,当年实际!$F:$F,$C528,当年实际!$C:$C,"&gt;="&amp;DATE(YEAR(主页!$D$2),1,1),当年实际!$C:$C,"&lt;="&amp;EOMONTH(DATE(YEAR(主页!$D$2),MONTH(主页!$D$2),1),0)),"")</f>
        <v/>
      </c>
    </row>
    <row r="529" spans="1:10" x14ac:dyDescent="0.3">
      <c r="A529" s="150"/>
      <c r="B529" s="150"/>
      <c r="C529" s="150"/>
      <c r="D529" s="150"/>
      <c r="E529" s="140" t="str">
        <f t="shared" si="25"/>
        <v/>
      </c>
      <c r="F529" s="159"/>
      <c r="G529" s="145">
        <f t="shared" si="27"/>
        <v>0</v>
      </c>
      <c r="H529" s="140" t="str">
        <f t="shared" si="26"/>
        <v/>
      </c>
      <c r="J529" s="147" t="str">
        <f>IFERROR(SUMIFS(当年实际!$V:$V,当年实际!$F:$F,$C529,当年实际!$C:$C,"&gt;="&amp;DATE(YEAR(主页!$D$2),1,1),当年实际!$C:$C,"&lt;="&amp;EOMONTH(DATE(YEAR(主页!$D$2),MONTH(主页!$D$2),1),0))/SUMIFS(当年实际!$P:$P,当年实际!$F:$F,$C529,当年实际!$C:$C,"&gt;="&amp;DATE(YEAR(主页!$D$2),1,1),当年实际!$C:$C,"&lt;="&amp;EOMONTH(DATE(YEAR(主页!$D$2),MONTH(主页!$D$2),1),0)),"")</f>
        <v/>
      </c>
    </row>
    <row r="530" spans="1:10" x14ac:dyDescent="0.3">
      <c r="A530" s="150"/>
      <c r="B530" s="150"/>
      <c r="C530" s="150"/>
      <c r="D530" s="150"/>
      <c r="E530" s="140" t="str">
        <f t="shared" si="25"/>
        <v/>
      </c>
      <c r="F530" s="159"/>
      <c r="G530" s="145">
        <f t="shared" si="27"/>
        <v>0</v>
      </c>
      <c r="H530" s="140" t="str">
        <f t="shared" si="26"/>
        <v/>
      </c>
      <c r="J530" s="147" t="str">
        <f>IFERROR(SUMIFS(当年实际!$V:$V,当年实际!$F:$F,$C530,当年实际!$C:$C,"&gt;="&amp;DATE(YEAR(主页!$D$2),1,1),当年实际!$C:$C,"&lt;="&amp;EOMONTH(DATE(YEAR(主页!$D$2),MONTH(主页!$D$2),1),0))/SUMIFS(当年实际!$P:$P,当年实际!$F:$F,$C530,当年实际!$C:$C,"&gt;="&amp;DATE(YEAR(主页!$D$2),1,1),当年实际!$C:$C,"&lt;="&amp;EOMONTH(DATE(YEAR(主页!$D$2),MONTH(主页!$D$2),1),0)),"")</f>
        <v/>
      </c>
    </row>
    <row r="531" spans="1:10" x14ac:dyDescent="0.3">
      <c r="A531" s="150"/>
      <c r="B531" s="150"/>
      <c r="C531" s="150"/>
      <c r="D531" s="150"/>
      <c r="E531" s="140" t="str">
        <f t="shared" si="25"/>
        <v/>
      </c>
      <c r="F531" s="159"/>
      <c r="G531" s="145">
        <f t="shared" si="27"/>
        <v>0</v>
      </c>
      <c r="H531" s="140" t="str">
        <f t="shared" si="26"/>
        <v/>
      </c>
      <c r="J531" s="147" t="str">
        <f>IFERROR(SUMIFS(当年实际!$V:$V,当年实际!$F:$F,$C531,当年实际!$C:$C,"&gt;="&amp;DATE(YEAR(主页!$D$2),1,1),当年实际!$C:$C,"&lt;="&amp;EOMONTH(DATE(YEAR(主页!$D$2),MONTH(主页!$D$2),1),0))/SUMIFS(当年实际!$P:$P,当年实际!$F:$F,$C531,当年实际!$C:$C,"&gt;="&amp;DATE(YEAR(主页!$D$2),1,1),当年实际!$C:$C,"&lt;="&amp;EOMONTH(DATE(YEAR(主页!$D$2),MONTH(主页!$D$2),1),0)),"")</f>
        <v/>
      </c>
    </row>
    <row r="532" spans="1:10" x14ac:dyDescent="0.3">
      <c r="A532" s="150"/>
      <c r="B532" s="150"/>
      <c r="C532" s="150"/>
      <c r="D532" s="150"/>
      <c r="E532" s="140" t="str">
        <f t="shared" si="25"/>
        <v/>
      </c>
      <c r="F532" s="159"/>
      <c r="G532" s="145">
        <f t="shared" si="27"/>
        <v>0</v>
      </c>
      <c r="H532" s="140" t="str">
        <f t="shared" si="26"/>
        <v/>
      </c>
      <c r="J532" s="147" t="str">
        <f>IFERROR(SUMIFS(当年实际!$V:$V,当年实际!$F:$F,$C532,当年实际!$C:$C,"&gt;="&amp;DATE(YEAR(主页!$D$2),1,1),当年实际!$C:$C,"&lt;="&amp;EOMONTH(DATE(YEAR(主页!$D$2),MONTH(主页!$D$2),1),0))/SUMIFS(当年实际!$P:$P,当年实际!$F:$F,$C532,当年实际!$C:$C,"&gt;="&amp;DATE(YEAR(主页!$D$2),1,1),当年实际!$C:$C,"&lt;="&amp;EOMONTH(DATE(YEAR(主页!$D$2),MONTH(主页!$D$2),1),0)),"")</f>
        <v/>
      </c>
    </row>
    <row r="533" spans="1:10" x14ac:dyDescent="0.3">
      <c r="A533" s="150"/>
      <c r="B533" s="150"/>
      <c r="C533" s="150"/>
      <c r="D533" s="150"/>
      <c r="E533" s="140" t="str">
        <f t="shared" si="25"/>
        <v/>
      </c>
      <c r="F533" s="159"/>
      <c r="G533" s="145">
        <f t="shared" si="27"/>
        <v>0</v>
      </c>
      <c r="H533" s="140" t="str">
        <f t="shared" si="26"/>
        <v/>
      </c>
      <c r="J533" s="147" t="str">
        <f>IFERROR(SUMIFS(当年实际!$V:$V,当年实际!$F:$F,$C533,当年实际!$C:$C,"&gt;="&amp;DATE(YEAR(主页!$D$2),1,1),当年实际!$C:$C,"&lt;="&amp;EOMONTH(DATE(YEAR(主页!$D$2),MONTH(主页!$D$2),1),0))/SUMIFS(当年实际!$P:$P,当年实际!$F:$F,$C533,当年实际!$C:$C,"&gt;="&amp;DATE(YEAR(主页!$D$2),1,1),当年实际!$C:$C,"&lt;="&amp;EOMONTH(DATE(YEAR(主页!$D$2),MONTH(主页!$D$2),1),0)),"")</f>
        <v/>
      </c>
    </row>
    <row r="534" spans="1:10" x14ac:dyDescent="0.3">
      <c r="A534" s="150"/>
      <c r="B534" s="150"/>
      <c r="C534" s="150"/>
      <c r="D534" s="150"/>
      <c r="E534" s="140" t="str">
        <f t="shared" si="25"/>
        <v/>
      </c>
      <c r="F534" s="159"/>
      <c r="G534" s="145">
        <f t="shared" si="27"/>
        <v>0</v>
      </c>
      <c r="H534" s="140" t="str">
        <f t="shared" si="26"/>
        <v/>
      </c>
      <c r="J534" s="147" t="str">
        <f>IFERROR(SUMIFS(当年实际!$V:$V,当年实际!$F:$F,$C534,当年实际!$C:$C,"&gt;="&amp;DATE(YEAR(主页!$D$2),1,1),当年实际!$C:$C,"&lt;="&amp;EOMONTH(DATE(YEAR(主页!$D$2),MONTH(主页!$D$2),1),0))/SUMIFS(当年实际!$P:$P,当年实际!$F:$F,$C534,当年实际!$C:$C,"&gt;="&amp;DATE(YEAR(主页!$D$2),1,1),当年实际!$C:$C,"&lt;="&amp;EOMONTH(DATE(YEAR(主页!$D$2),MONTH(主页!$D$2),1),0)),"")</f>
        <v/>
      </c>
    </row>
    <row r="535" spans="1:10" x14ac:dyDescent="0.3">
      <c r="A535" s="150"/>
      <c r="B535" s="150"/>
      <c r="C535" s="150"/>
      <c r="D535" s="150"/>
      <c r="E535" s="140" t="str">
        <f t="shared" si="25"/>
        <v/>
      </c>
      <c r="F535" s="159"/>
      <c r="G535" s="145">
        <f t="shared" si="27"/>
        <v>0</v>
      </c>
      <c r="H535" s="140" t="str">
        <f t="shared" si="26"/>
        <v/>
      </c>
      <c r="J535" s="147" t="str">
        <f>IFERROR(SUMIFS(当年实际!$V:$V,当年实际!$F:$F,$C535,当年实际!$C:$C,"&gt;="&amp;DATE(YEAR(主页!$D$2),1,1),当年实际!$C:$C,"&lt;="&amp;EOMONTH(DATE(YEAR(主页!$D$2),MONTH(主页!$D$2),1),0))/SUMIFS(当年实际!$P:$P,当年实际!$F:$F,$C535,当年实际!$C:$C,"&gt;="&amp;DATE(YEAR(主页!$D$2),1,1),当年实际!$C:$C,"&lt;="&amp;EOMONTH(DATE(YEAR(主页!$D$2),MONTH(主页!$D$2),1),0)),"")</f>
        <v/>
      </c>
    </row>
    <row r="536" spans="1:10" x14ac:dyDescent="0.3">
      <c r="A536" s="150"/>
      <c r="B536" s="150"/>
      <c r="C536" s="150"/>
      <c r="D536" s="150"/>
      <c r="E536" s="140" t="str">
        <f t="shared" si="25"/>
        <v/>
      </c>
      <c r="F536" s="159"/>
      <c r="G536" s="145">
        <f t="shared" si="27"/>
        <v>0</v>
      </c>
      <c r="H536" s="140" t="str">
        <f t="shared" si="26"/>
        <v/>
      </c>
      <c r="J536" s="147" t="str">
        <f>IFERROR(SUMIFS(当年实际!$V:$V,当年实际!$F:$F,$C536,当年实际!$C:$C,"&gt;="&amp;DATE(YEAR(主页!$D$2),1,1),当年实际!$C:$C,"&lt;="&amp;EOMONTH(DATE(YEAR(主页!$D$2),MONTH(主页!$D$2),1),0))/SUMIFS(当年实际!$P:$P,当年实际!$F:$F,$C536,当年实际!$C:$C,"&gt;="&amp;DATE(YEAR(主页!$D$2),1,1),当年实际!$C:$C,"&lt;="&amp;EOMONTH(DATE(YEAR(主页!$D$2),MONTH(主页!$D$2),1),0)),"")</f>
        <v/>
      </c>
    </row>
    <row r="537" spans="1:10" x14ac:dyDescent="0.3">
      <c r="A537" s="150"/>
      <c r="B537" s="150"/>
      <c r="C537" s="150"/>
      <c r="D537" s="150"/>
      <c r="E537" s="140" t="str">
        <f t="shared" si="25"/>
        <v/>
      </c>
      <c r="F537" s="159"/>
      <c r="G537" s="145">
        <f t="shared" si="27"/>
        <v>0</v>
      </c>
      <c r="H537" s="140" t="str">
        <f t="shared" si="26"/>
        <v/>
      </c>
      <c r="J537" s="147" t="str">
        <f>IFERROR(SUMIFS(当年实际!$V:$V,当年实际!$F:$F,$C537,当年实际!$C:$C,"&gt;="&amp;DATE(YEAR(主页!$D$2),1,1),当年实际!$C:$C,"&lt;="&amp;EOMONTH(DATE(YEAR(主页!$D$2),MONTH(主页!$D$2),1),0))/SUMIFS(当年实际!$P:$P,当年实际!$F:$F,$C537,当年实际!$C:$C,"&gt;="&amp;DATE(YEAR(主页!$D$2),1,1),当年实际!$C:$C,"&lt;="&amp;EOMONTH(DATE(YEAR(主页!$D$2),MONTH(主页!$D$2),1),0)),"")</f>
        <v/>
      </c>
    </row>
    <row r="538" spans="1:10" x14ac:dyDescent="0.3">
      <c r="A538" s="150"/>
      <c r="B538" s="150"/>
      <c r="C538" s="150"/>
      <c r="D538" s="150"/>
      <c r="E538" s="140" t="str">
        <f t="shared" si="25"/>
        <v/>
      </c>
      <c r="F538" s="159"/>
      <c r="G538" s="145">
        <f t="shared" si="27"/>
        <v>0</v>
      </c>
      <c r="H538" s="140" t="str">
        <f t="shared" si="26"/>
        <v/>
      </c>
      <c r="J538" s="147" t="str">
        <f>IFERROR(SUMIFS(当年实际!$V:$V,当年实际!$F:$F,$C538,当年实际!$C:$C,"&gt;="&amp;DATE(YEAR(主页!$D$2),1,1),当年实际!$C:$C,"&lt;="&amp;EOMONTH(DATE(YEAR(主页!$D$2),MONTH(主页!$D$2),1),0))/SUMIFS(当年实际!$P:$P,当年实际!$F:$F,$C538,当年实际!$C:$C,"&gt;="&amp;DATE(YEAR(主页!$D$2),1,1),当年实际!$C:$C,"&lt;="&amp;EOMONTH(DATE(YEAR(主页!$D$2),MONTH(主页!$D$2),1),0)),"")</f>
        <v/>
      </c>
    </row>
    <row r="539" spans="1:10" x14ac:dyDescent="0.3">
      <c r="A539" s="150"/>
      <c r="B539" s="150"/>
      <c r="C539" s="150"/>
      <c r="D539" s="150"/>
      <c r="E539" s="140" t="str">
        <f t="shared" si="25"/>
        <v/>
      </c>
      <c r="F539" s="159"/>
      <c r="G539" s="145">
        <f t="shared" si="27"/>
        <v>0</v>
      </c>
      <c r="H539" s="140" t="str">
        <f t="shared" si="26"/>
        <v/>
      </c>
      <c r="J539" s="147" t="str">
        <f>IFERROR(SUMIFS(当年实际!$V:$V,当年实际!$F:$F,$C539,当年实际!$C:$C,"&gt;="&amp;DATE(YEAR(主页!$D$2),1,1),当年实际!$C:$C,"&lt;="&amp;EOMONTH(DATE(YEAR(主页!$D$2),MONTH(主页!$D$2),1),0))/SUMIFS(当年实际!$P:$P,当年实际!$F:$F,$C539,当年实际!$C:$C,"&gt;="&amp;DATE(YEAR(主页!$D$2),1,1),当年实际!$C:$C,"&lt;="&amp;EOMONTH(DATE(YEAR(主页!$D$2),MONTH(主页!$D$2),1),0)),"")</f>
        <v/>
      </c>
    </row>
    <row r="540" spans="1:10" x14ac:dyDescent="0.3">
      <c r="A540" s="150"/>
      <c r="B540" s="150"/>
      <c r="C540" s="150"/>
      <c r="D540" s="150"/>
      <c r="E540" s="140" t="str">
        <f t="shared" si="25"/>
        <v/>
      </c>
      <c r="F540" s="159"/>
      <c r="G540" s="145">
        <f t="shared" si="27"/>
        <v>0</v>
      </c>
      <c r="H540" s="140" t="str">
        <f t="shared" si="26"/>
        <v/>
      </c>
      <c r="J540" s="147" t="str">
        <f>IFERROR(SUMIFS(当年实际!$V:$V,当年实际!$F:$F,$C540,当年实际!$C:$C,"&gt;="&amp;DATE(YEAR(主页!$D$2),1,1),当年实际!$C:$C,"&lt;="&amp;EOMONTH(DATE(YEAR(主页!$D$2),MONTH(主页!$D$2),1),0))/SUMIFS(当年实际!$P:$P,当年实际!$F:$F,$C540,当年实际!$C:$C,"&gt;="&amp;DATE(YEAR(主页!$D$2),1,1),当年实际!$C:$C,"&lt;="&amp;EOMONTH(DATE(YEAR(主页!$D$2),MONTH(主页!$D$2),1),0)),"")</f>
        <v/>
      </c>
    </row>
    <row r="541" spans="1:10" x14ac:dyDescent="0.3">
      <c r="A541" s="150"/>
      <c r="B541" s="150"/>
      <c r="C541" s="150"/>
      <c r="D541" s="150"/>
      <c r="E541" s="140" t="str">
        <f t="shared" si="25"/>
        <v/>
      </c>
      <c r="F541" s="159"/>
      <c r="G541" s="145">
        <f t="shared" si="27"/>
        <v>0</v>
      </c>
      <c r="H541" s="140" t="str">
        <f t="shared" si="26"/>
        <v/>
      </c>
      <c r="J541" s="147" t="str">
        <f>IFERROR(SUMIFS(当年实际!$V:$V,当年实际!$F:$F,$C541,当年实际!$C:$C,"&gt;="&amp;DATE(YEAR(主页!$D$2),1,1),当年实际!$C:$C,"&lt;="&amp;EOMONTH(DATE(YEAR(主页!$D$2),MONTH(主页!$D$2),1),0))/SUMIFS(当年实际!$P:$P,当年实际!$F:$F,$C541,当年实际!$C:$C,"&gt;="&amp;DATE(YEAR(主页!$D$2),1,1),当年实际!$C:$C,"&lt;="&amp;EOMONTH(DATE(YEAR(主页!$D$2),MONTH(主页!$D$2),1),0)),"")</f>
        <v/>
      </c>
    </row>
    <row r="542" spans="1:10" x14ac:dyDescent="0.3">
      <c r="A542" s="150"/>
      <c r="B542" s="150"/>
      <c r="C542" s="150"/>
      <c r="D542" s="150"/>
      <c r="E542" s="140" t="str">
        <f t="shared" si="25"/>
        <v/>
      </c>
      <c r="F542" s="159"/>
      <c r="G542" s="145">
        <f t="shared" si="27"/>
        <v>0</v>
      </c>
      <c r="H542" s="140" t="str">
        <f t="shared" si="26"/>
        <v/>
      </c>
      <c r="J542" s="147" t="str">
        <f>IFERROR(SUMIFS(当年实际!$V:$V,当年实际!$F:$F,$C542,当年实际!$C:$C,"&gt;="&amp;DATE(YEAR(主页!$D$2),1,1),当年实际!$C:$C,"&lt;="&amp;EOMONTH(DATE(YEAR(主页!$D$2),MONTH(主页!$D$2),1),0))/SUMIFS(当年实际!$P:$P,当年实际!$F:$F,$C542,当年实际!$C:$C,"&gt;="&amp;DATE(YEAR(主页!$D$2),1,1),当年实际!$C:$C,"&lt;="&amp;EOMONTH(DATE(YEAR(主页!$D$2),MONTH(主页!$D$2),1),0)),"")</f>
        <v/>
      </c>
    </row>
    <row r="543" spans="1:10" x14ac:dyDescent="0.3">
      <c r="A543" s="150"/>
      <c r="B543" s="150"/>
      <c r="C543" s="150"/>
      <c r="D543" s="150"/>
      <c r="E543" s="140" t="str">
        <f t="shared" si="25"/>
        <v/>
      </c>
      <c r="F543" s="159"/>
      <c r="G543" s="145">
        <f t="shared" si="27"/>
        <v>0</v>
      </c>
      <c r="H543" s="140" t="str">
        <f t="shared" si="26"/>
        <v/>
      </c>
      <c r="J543" s="147" t="str">
        <f>IFERROR(SUMIFS(当年实际!$V:$V,当年实际!$F:$F,$C543,当年实际!$C:$C,"&gt;="&amp;DATE(YEAR(主页!$D$2),1,1),当年实际!$C:$C,"&lt;="&amp;EOMONTH(DATE(YEAR(主页!$D$2),MONTH(主页!$D$2),1),0))/SUMIFS(当年实际!$P:$P,当年实际!$F:$F,$C543,当年实际!$C:$C,"&gt;="&amp;DATE(YEAR(主页!$D$2),1,1),当年实际!$C:$C,"&lt;="&amp;EOMONTH(DATE(YEAR(主页!$D$2),MONTH(主页!$D$2),1),0)),"")</f>
        <v/>
      </c>
    </row>
    <row r="544" spans="1:10" x14ac:dyDescent="0.3">
      <c r="A544" s="150"/>
      <c r="B544" s="150"/>
      <c r="C544" s="150"/>
      <c r="D544" s="150"/>
      <c r="E544" s="140" t="str">
        <f t="shared" si="25"/>
        <v/>
      </c>
      <c r="F544" s="159"/>
      <c r="G544" s="145">
        <f t="shared" si="27"/>
        <v>0</v>
      </c>
      <c r="H544" s="140" t="str">
        <f t="shared" si="26"/>
        <v/>
      </c>
      <c r="J544" s="147" t="str">
        <f>IFERROR(SUMIFS(当年实际!$V:$V,当年实际!$F:$F,$C544,当年实际!$C:$C,"&gt;="&amp;DATE(YEAR(主页!$D$2),1,1),当年实际!$C:$C,"&lt;="&amp;EOMONTH(DATE(YEAR(主页!$D$2),MONTH(主页!$D$2),1),0))/SUMIFS(当年实际!$P:$P,当年实际!$F:$F,$C544,当年实际!$C:$C,"&gt;="&amp;DATE(YEAR(主页!$D$2),1,1),当年实际!$C:$C,"&lt;="&amp;EOMONTH(DATE(YEAR(主页!$D$2),MONTH(主页!$D$2),1),0)),"")</f>
        <v/>
      </c>
    </row>
    <row r="545" spans="1:10" x14ac:dyDescent="0.3">
      <c r="A545" s="150"/>
      <c r="B545" s="150"/>
      <c r="C545" s="150"/>
      <c r="D545" s="150"/>
      <c r="E545" s="140" t="str">
        <f t="shared" si="25"/>
        <v/>
      </c>
      <c r="F545" s="159"/>
      <c r="G545" s="145">
        <f t="shared" si="27"/>
        <v>0</v>
      </c>
      <c r="H545" s="140" t="str">
        <f t="shared" si="26"/>
        <v/>
      </c>
      <c r="J545" s="147" t="str">
        <f>IFERROR(SUMIFS(当年实际!$V:$V,当年实际!$F:$F,$C545,当年实际!$C:$C,"&gt;="&amp;DATE(YEAR(主页!$D$2),1,1),当年实际!$C:$C,"&lt;="&amp;EOMONTH(DATE(YEAR(主页!$D$2),MONTH(主页!$D$2),1),0))/SUMIFS(当年实际!$P:$P,当年实际!$F:$F,$C545,当年实际!$C:$C,"&gt;="&amp;DATE(YEAR(主页!$D$2),1,1),当年实际!$C:$C,"&lt;="&amp;EOMONTH(DATE(YEAR(主页!$D$2),MONTH(主页!$D$2),1),0)),"")</f>
        <v/>
      </c>
    </row>
    <row r="546" spans="1:10" x14ac:dyDescent="0.3">
      <c r="A546" s="150"/>
      <c r="B546" s="150"/>
      <c r="C546" s="150"/>
      <c r="D546" s="150"/>
      <c r="E546" s="140" t="str">
        <f t="shared" si="25"/>
        <v/>
      </c>
      <c r="F546" s="159"/>
      <c r="G546" s="145">
        <f t="shared" si="27"/>
        <v>0</v>
      </c>
      <c r="H546" s="140" t="str">
        <f t="shared" si="26"/>
        <v/>
      </c>
      <c r="J546" s="147" t="str">
        <f>IFERROR(SUMIFS(当年实际!$V:$V,当年实际!$F:$F,$C546,当年实际!$C:$C,"&gt;="&amp;DATE(YEAR(主页!$D$2),1,1),当年实际!$C:$C,"&lt;="&amp;EOMONTH(DATE(YEAR(主页!$D$2),MONTH(主页!$D$2),1),0))/SUMIFS(当年实际!$P:$P,当年实际!$F:$F,$C546,当年实际!$C:$C,"&gt;="&amp;DATE(YEAR(主页!$D$2),1,1),当年实际!$C:$C,"&lt;="&amp;EOMONTH(DATE(YEAR(主页!$D$2),MONTH(主页!$D$2),1),0)),"")</f>
        <v/>
      </c>
    </row>
    <row r="547" spans="1:10" x14ac:dyDescent="0.3">
      <c r="A547" s="150"/>
      <c r="B547" s="150"/>
      <c r="C547" s="150"/>
      <c r="D547" s="150"/>
      <c r="E547" s="140" t="str">
        <f t="shared" si="25"/>
        <v/>
      </c>
      <c r="F547" s="159"/>
      <c r="G547" s="145">
        <f t="shared" si="27"/>
        <v>0</v>
      </c>
      <c r="H547" s="140" t="str">
        <f t="shared" si="26"/>
        <v/>
      </c>
      <c r="J547" s="147" t="str">
        <f>IFERROR(SUMIFS(当年实际!$V:$V,当年实际!$F:$F,$C547,当年实际!$C:$C,"&gt;="&amp;DATE(YEAR(主页!$D$2),1,1),当年实际!$C:$C,"&lt;="&amp;EOMONTH(DATE(YEAR(主页!$D$2),MONTH(主页!$D$2),1),0))/SUMIFS(当年实际!$P:$P,当年实际!$F:$F,$C547,当年实际!$C:$C,"&gt;="&amp;DATE(YEAR(主页!$D$2),1,1),当年实际!$C:$C,"&lt;="&amp;EOMONTH(DATE(YEAR(主页!$D$2),MONTH(主页!$D$2),1),0)),"")</f>
        <v/>
      </c>
    </row>
    <row r="548" spans="1:10" x14ac:dyDescent="0.3">
      <c r="A548" s="150"/>
      <c r="B548" s="150"/>
      <c r="C548" s="150"/>
      <c r="D548" s="150"/>
      <c r="E548" s="140" t="str">
        <f t="shared" si="25"/>
        <v/>
      </c>
      <c r="F548" s="159"/>
      <c r="G548" s="145">
        <f t="shared" si="27"/>
        <v>0</v>
      </c>
      <c r="H548" s="140" t="str">
        <f t="shared" si="26"/>
        <v/>
      </c>
      <c r="J548" s="147" t="str">
        <f>IFERROR(SUMIFS(当年实际!$V:$V,当年实际!$F:$F,$C548,当年实际!$C:$C,"&gt;="&amp;DATE(YEAR(主页!$D$2),1,1),当年实际!$C:$C,"&lt;="&amp;EOMONTH(DATE(YEAR(主页!$D$2),MONTH(主页!$D$2),1),0))/SUMIFS(当年实际!$P:$P,当年实际!$F:$F,$C548,当年实际!$C:$C,"&gt;="&amp;DATE(YEAR(主页!$D$2),1,1),当年实际!$C:$C,"&lt;="&amp;EOMONTH(DATE(YEAR(主页!$D$2),MONTH(主页!$D$2),1),0)),"")</f>
        <v/>
      </c>
    </row>
    <row r="549" spans="1:10" x14ac:dyDescent="0.3">
      <c r="A549" s="150"/>
      <c r="B549" s="150"/>
      <c r="C549" s="150"/>
      <c r="D549" s="150"/>
      <c r="E549" s="140" t="str">
        <f t="shared" si="25"/>
        <v/>
      </c>
      <c r="F549" s="159"/>
      <c r="G549" s="145">
        <f t="shared" si="27"/>
        <v>0</v>
      </c>
      <c r="H549" s="140" t="str">
        <f t="shared" si="26"/>
        <v/>
      </c>
      <c r="J549" s="147" t="str">
        <f>IFERROR(SUMIFS(当年实际!$V:$V,当年实际!$F:$F,$C549,当年实际!$C:$C,"&gt;="&amp;DATE(YEAR(主页!$D$2),1,1),当年实际!$C:$C,"&lt;="&amp;EOMONTH(DATE(YEAR(主页!$D$2),MONTH(主页!$D$2),1),0))/SUMIFS(当年实际!$P:$P,当年实际!$F:$F,$C549,当年实际!$C:$C,"&gt;="&amp;DATE(YEAR(主页!$D$2),1,1),当年实际!$C:$C,"&lt;="&amp;EOMONTH(DATE(YEAR(主页!$D$2),MONTH(主页!$D$2),1),0)),"")</f>
        <v/>
      </c>
    </row>
    <row r="550" spans="1:10" x14ac:dyDescent="0.3">
      <c r="A550" s="150"/>
      <c r="B550" s="150"/>
      <c r="C550" s="150"/>
      <c r="D550" s="150"/>
      <c r="E550" s="140" t="str">
        <f t="shared" si="25"/>
        <v/>
      </c>
      <c r="F550" s="159"/>
      <c r="G550" s="145">
        <f t="shared" si="27"/>
        <v>0</v>
      </c>
      <c r="H550" s="140" t="str">
        <f t="shared" si="26"/>
        <v/>
      </c>
      <c r="J550" s="147" t="str">
        <f>IFERROR(SUMIFS(当年实际!$V:$V,当年实际!$F:$F,$C550,当年实际!$C:$C,"&gt;="&amp;DATE(YEAR(主页!$D$2),1,1),当年实际!$C:$C,"&lt;="&amp;EOMONTH(DATE(YEAR(主页!$D$2),MONTH(主页!$D$2),1),0))/SUMIFS(当年实际!$P:$P,当年实际!$F:$F,$C550,当年实际!$C:$C,"&gt;="&amp;DATE(YEAR(主页!$D$2),1,1),当年实际!$C:$C,"&lt;="&amp;EOMONTH(DATE(YEAR(主页!$D$2),MONTH(主页!$D$2),1),0)),"")</f>
        <v/>
      </c>
    </row>
    <row r="551" spans="1:10" x14ac:dyDescent="0.3">
      <c r="A551" s="150"/>
      <c r="B551" s="150"/>
      <c r="C551" s="150"/>
      <c r="D551" s="150"/>
      <c r="E551" s="140" t="str">
        <f t="shared" si="25"/>
        <v/>
      </c>
      <c r="F551" s="159"/>
      <c r="G551" s="145">
        <f t="shared" si="27"/>
        <v>0</v>
      </c>
      <c r="H551" s="140" t="str">
        <f t="shared" si="26"/>
        <v/>
      </c>
      <c r="J551" s="147" t="str">
        <f>IFERROR(SUMIFS(当年实际!$V:$V,当年实际!$F:$F,$C551,当年实际!$C:$C,"&gt;="&amp;DATE(YEAR(主页!$D$2),1,1),当年实际!$C:$C,"&lt;="&amp;EOMONTH(DATE(YEAR(主页!$D$2),MONTH(主页!$D$2),1),0))/SUMIFS(当年实际!$P:$P,当年实际!$F:$F,$C551,当年实际!$C:$C,"&gt;="&amp;DATE(YEAR(主页!$D$2),1,1),当年实际!$C:$C,"&lt;="&amp;EOMONTH(DATE(YEAR(主页!$D$2),MONTH(主页!$D$2),1),0)),"")</f>
        <v/>
      </c>
    </row>
    <row r="552" spans="1:10" x14ac:dyDescent="0.3">
      <c r="A552" s="150"/>
      <c r="B552" s="150"/>
      <c r="C552" s="150"/>
      <c r="D552" s="150"/>
      <c r="E552" s="140" t="str">
        <f t="shared" si="25"/>
        <v/>
      </c>
      <c r="F552" s="159"/>
      <c r="G552" s="145">
        <f t="shared" si="27"/>
        <v>0</v>
      </c>
      <c r="H552" s="140" t="str">
        <f t="shared" si="26"/>
        <v/>
      </c>
      <c r="J552" s="147" t="str">
        <f>IFERROR(SUMIFS(当年实际!$V:$V,当年实际!$F:$F,$C552,当年实际!$C:$C,"&gt;="&amp;DATE(YEAR(主页!$D$2),1,1),当年实际!$C:$C,"&lt;="&amp;EOMONTH(DATE(YEAR(主页!$D$2),MONTH(主页!$D$2),1),0))/SUMIFS(当年实际!$P:$P,当年实际!$F:$F,$C552,当年实际!$C:$C,"&gt;="&amp;DATE(YEAR(主页!$D$2),1,1),当年实际!$C:$C,"&lt;="&amp;EOMONTH(DATE(YEAR(主页!$D$2),MONTH(主页!$D$2),1),0)),"")</f>
        <v/>
      </c>
    </row>
    <row r="553" spans="1:10" x14ac:dyDescent="0.3">
      <c r="A553" s="150"/>
      <c r="B553" s="150"/>
      <c r="C553" s="150"/>
      <c r="D553" s="150"/>
      <c r="E553" s="140" t="str">
        <f t="shared" si="25"/>
        <v/>
      </c>
      <c r="F553" s="159"/>
      <c r="G553" s="145">
        <f t="shared" si="27"/>
        <v>0</v>
      </c>
      <c r="H553" s="140" t="str">
        <f t="shared" si="26"/>
        <v/>
      </c>
      <c r="J553" s="147" t="str">
        <f>IFERROR(SUMIFS(当年实际!$V:$V,当年实际!$F:$F,$C553,当年实际!$C:$C,"&gt;="&amp;DATE(YEAR(主页!$D$2),1,1),当年实际!$C:$C,"&lt;="&amp;EOMONTH(DATE(YEAR(主页!$D$2),MONTH(主页!$D$2),1),0))/SUMIFS(当年实际!$P:$P,当年实际!$F:$F,$C553,当年实际!$C:$C,"&gt;="&amp;DATE(YEAR(主页!$D$2),1,1),当年实际!$C:$C,"&lt;="&amp;EOMONTH(DATE(YEAR(主页!$D$2),MONTH(主页!$D$2),1),0)),"")</f>
        <v/>
      </c>
    </row>
    <row r="554" spans="1:10" x14ac:dyDescent="0.3">
      <c r="A554" s="150"/>
      <c r="B554" s="150"/>
      <c r="C554" s="150"/>
      <c r="D554" s="150"/>
      <c r="E554" s="140" t="str">
        <f t="shared" si="25"/>
        <v/>
      </c>
      <c r="F554" s="159"/>
      <c r="G554" s="145">
        <f t="shared" si="27"/>
        <v>0</v>
      </c>
      <c r="H554" s="140" t="str">
        <f t="shared" si="26"/>
        <v/>
      </c>
      <c r="J554" s="147" t="str">
        <f>IFERROR(SUMIFS(当年实际!$V:$V,当年实际!$F:$F,$C554,当年实际!$C:$C,"&gt;="&amp;DATE(YEAR(主页!$D$2),1,1),当年实际!$C:$C,"&lt;="&amp;EOMONTH(DATE(YEAR(主页!$D$2),MONTH(主页!$D$2),1),0))/SUMIFS(当年实际!$P:$P,当年实际!$F:$F,$C554,当年实际!$C:$C,"&gt;="&amp;DATE(YEAR(主页!$D$2),1,1),当年实际!$C:$C,"&lt;="&amp;EOMONTH(DATE(YEAR(主页!$D$2),MONTH(主页!$D$2),1),0)),"")</f>
        <v/>
      </c>
    </row>
    <row r="555" spans="1:10" x14ac:dyDescent="0.3">
      <c r="A555" s="150"/>
      <c r="B555" s="150"/>
      <c r="C555" s="150"/>
      <c r="D555" s="150"/>
      <c r="E555" s="140" t="str">
        <f t="shared" si="25"/>
        <v/>
      </c>
      <c r="F555" s="159"/>
      <c r="G555" s="145">
        <f t="shared" si="27"/>
        <v>0</v>
      </c>
      <c r="H555" s="140" t="str">
        <f t="shared" si="26"/>
        <v/>
      </c>
      <c r="J555" s="147" t="str">
        <f>IFERROR(SUMIFS(当年实际!$V:$V,当年实际!$F:$F,$C555,当年实际!$C:$C,"&gt;="&amp;DATE(YEAR(主页!$D$2),1,1),当年实际!$C:$C,"&lt;="&amp;EOMONTH(DATE(YEAR(主页!$D$2),MONTH(主页!$D$2),1),0))/SUMIFS(当年实际!$P:$P,当年实际!$F:$F,$C555,当年实际!$C:$C,"&gt;="&amp;DATE(YEAR(主页!$D$2),1,1),当年实际!$C:$C,"&lt;="&amp;EOMONTH(DATE(YEAR(主页!$D$2),MONTH(主页!$D$2),1),0)),"")</f>
        <v/>
      </c>
    </row>
    <row r="556" spans="1:10" x14ac:dyDescent="0.3">
      <c r="A556" s="150"/>
      <c r="B556" s="150"/>
      <c r="C556" s="150"/>
      <c r="D556" s="150"/>
      <c r="E556" s="140" t="str">
        <f t="shared" si="25"/>
        <v/>
      </c>
      <c r="F556" s="159"/>
      <c r="G556" s="145">
        <f t="shared" si="27"/>
        <v>0</v>
      </c>
      <c r="H556" s="140" t="str">
        <f t="shared" si="26"/>
        <v/>
      </c>
      <c r="J556" s="147" t="str">
        <f>IFERROR(SUMIFS(当年实际!$V:$V,当年实际!$F:$F,$C556,当年实际!$C:$C,"&gt;="&amp;DATE(YEAR(主页!$D$2),1,1),当年实际!$C:$C,"&lt;="&amp;EOMONTH(DATE(YEAR(主页!$D$2),MONTH(主页!$D$2),1),0))/SUMIFS(当年实际!$P:$P,当年实际!$F:$F,$C556,当年实际!$C:$C,"&gt;="&amp;DATE(YEAR(主页!$D$2),1,1),当年实际!$C:$C,"&lt;="&amp;EOMONTH(DATE(YEAR(主页!$D$2),MONTH(主页!$D$2),1),0)),"")</f>
        <v/>
      </c>
    </row>
    <row r="557" spans="1:10" x14ac:dyDescent="0.3">
      <c r="A557" s="150"/>
      <c r="B557" s="150"/>
      <c r="C557" s="150"/>
      <c r="D557" s="150"/>
      <c r="E557" s="140" t="str">
        <f t="shared" si="25"/>
        <v/>
      </c>
      <c r="F557" s="159"/>
      <c r="G557" s="145">
        <f t="shared" si="27"/>
        <v>0</v>
      </c>
      <c r="H557" s="140" t="str">
        <f t="shared" si="26"/>
        <v/>
      </c>
      <c r="J557" s="147" t="str">
        <f>IFERROR(SUMIFS(当年实际!$V:$V,当年实际!$F:$F,$C557,当年实际!$C:$C,"&gt;="&amp;DATE(YEAR(主页!$D$2),1,1),当年实际!$C:$C,"&lt;="&amp;EOMONTH(DATE(YEAR(主页!$D$2),MONTH(主页!$D$2),1),0))/SUMIFS(当年实际!$P:$P,当年实际!$F:$F,$C557,当年实际!$C:$C,"&gt;="&amp;DATE(YEAR(主页!$D$2),1,1),当年实际!$C:$C,"&lt;="&amp;EOMONTH(DATE(YEAR(主页!$D$2),MONTH(主页!$D$2),1),0)),"")</f>
        <v/>
      </c>
    </row>
    <row r="558" spans="1:10" x14ac:dyDescent="0.3">
      <c r="A558" s="150"/>
      <c r="B558" s="150"/>
      <c r="C558" s="150"/>
      <c r="D558" s="150"/>
      <c r="E558" s="140" t="str">
        <f t="shared" si="25"/>
        <v/>
      </c>
      <c r="F558" s="159"/>
      <c r="G558" s="145">
        <f t="shared" si="27"/>
        <v>0</v>
      </c>
      <c r="H558" s="140" t="str">
        <f t="shared" si="26"/>
        <v/>
      </c>
      <c r="J558" s="147" t="str">
        <f>IFERROR(SUMIFS(当年实际!$V:$V,当年实际!$F:$F,$C558,当年实际!$C:$C,"&gt;="&amp;DATE(YEAR(主页!$D$2),1,1),当年实际!$C:$C,"&lt;="&amp;EOMONTH(DATE(YEAR(主页!$D$2),MONTH(主页!$D$2),1),0))/SUMIFS(当年实际!$P:$P,当年实际!$F:$F,$C558,当年实际!$C:$C,"&gt;="&amp;DATE(YEAR(主页!$D$2),1,1),当年实际!$C:$C,"&lt;="&amp;EOMONTH(DATE(YEAR(主页!$D$2),MONTH(主页!$D$2),1),0)),"")</f>
        <v/>
      </c>
    </row>
    <row r="559" spans="1:10" x14ac:dyDescent="0.3">
      <c r="A559" s="150"/>
      <c r="B559" s="150"/>
      <c r="C559" s="150"/>
      <c r="D559" s="150"/>
      <c r="E559" s="140" t="str">
        <f t="shared" si="25"/>
        <v/>
      </c>
      <c r="F559" s="159"/>
      <c r="G559" s="145">
        <f t="shared" si="27"/>
        <v>0</v>
      </c>
      <c r="H559" s="140" t="str">
        <f t="shared" si="26"/>
        <v/>
      </c>
      <c r="J559" s="147" t="str">
        <f>IFERROR(SUMIFS(当年实际!$V:$V,当年实际!$F:$F,$C559,当年实际!$C:$C,"&gt;="&amp;DATE(YEAR(主页!$D$2),1,1),当年实际!$C:$C,"&lt;="&amp;EOMONTH(DATE(YEAR(主页!$D$2),MONTH(主页!$D$2),1),0))/SUMIFS(当年实际!$P:$P,当年实际!$F:$F,$C559,当年实际!$C:$C,"&gt;="&amp;DATE(YEAR(主页!$D$2),1,1),当年实际!$C:$C,"&lt;="&amp;EOMONTH(DATE(YEAR(主页!$D$2),MONTH(主页!$D$2),1),0)),"")</f>
        <v/>
      </c>
    </row>
    <row r="560" spans="1:10" x14ac:dyDescent="0.3">
      <c r="A560" s="150"/>
      <c r="B560" s="150"/>
      <c r="C560" s="150"/>
      <c r="D560" s="150"/>
      <c r="E560" s="140" t="str">
        <f t="shared" si="25"/>
        <v/>
      </c>
      <c r="F560" s="159"/>
      <c r="G560" s="145">
        <f t="shared" si="27"/>
        <v>0</v>
      </c>
      <c r="H560" s="140" t="str">
        <f t="shared" si="26"/>
        <v/>
      </c>
      <c r="J560" s="147" t="str">
        <f>IFERROR(SUMIFS(当年实际!$V:$V,当年实际!$F:$F,$C560,当年实际!$C:$C,"&gt;="&amp;DATE(YEAR(主页!$D$2),1,1),当年实际!$C:$C,"&lt;="&amp;EOMONTH(DATE(YEAR(主页!$D$2),MONTH(主页!$D$2),1),0))/SUMIFS(当年实际!$P:$P,当年实际!$F:$F,$C560,当年实际!$C:$C,"&gt;="&amp;DATE(YEAR(主页!$D$2),1,1),当年实际!$C:$C,"&lt;="&amp;EOMONTH(DATE(YEAR(主页!$D$2),MONTH(主页!$D$2),1),0)),"")</f>
        <v/>
      </c>
    </row>
    <row r="561" spans="1:10" x14ac:dyDescent="0.3">
      <c r="A561" s="150"/>
      <c r="B561" s="150"/>
      <c r="C561" s="150"/>
      <c r="D561" s="150"/>
      <c r="E561" s="140" t="str">
        <f t="shared" si="25"/>
        <v/>
      </c>
      <c r="F561" s="159"/>
      <c r="G561" s="145">
        <f t="shared" si="27"/>
        <v>0</v>
      </c>
      <c r="H561" s="140" t="str">
        <f t="shared" si="26"/>
        <v/>
      </c>
      <c r="J561" s="147" t="str">
        <f>IFERROR(SUMIFS(当年实际!$V:$V,当年实际!$F:$F,$C561,当年实际!$C:$C,"&gt;="&amp;DATE(YEAR(主页!$D$2),1,1),当年实际!$C:$C,"&lt;="&amp;EOMONTH(DATE(YEAR(主页!$D$2),MONTH(主页!$D$2),1),0))/SUMIFS(当年实际!$P:$P,当年实际!$F:$F,$C561,当年实际!$C:$C,"&gt;="&amp;DATE(YEAR(主页!$D$2),1,1),当年实际!$C:$C,"&lt;="&amp;EOMONTH(DATE(YEAR(主页!$D$2),MONTH(主页!$D$2),1),0)),"")</f>
        <v/>
      </c>
    </row>
    <row r="562" spans="1:10" x14ac:dyDescent="0.3">
      <c r="A562" s="150"/>
      <c r="B562" s="150"/>
      <c r="C562" s="150"/>
      <c r="D562" s="150"/>
      <c r="E562" s="140" t="str">
        <f t="shared" si="25"/>
        <v/>
      </c>
      <c r="F562" s="159"/>
      <c r="G562" s="145">
        <f t="shared" si="27"/>
        <v>0</v>
      </c>
      <c r="H562" s="140" t="str">
        <f t="shared" si="26"/>
        <v/>
      </c>
      <c r="J562" s="147" t="str">
        <f>IFERROR(SUMIFS(当年实际!$V:$V,当年实际!$F:$F,$C562,当年实际!$C:$C,"&gt;="&amp;DATE(YEAR(主页!$D$2),1,1),当年实际!$C:$C,"&lt;="&amp;EOMONTH(DATE(YEAR(主页!$D$2),MONTH(主页!$D$2),1),0))/SUMIFS(当年实际!$P:$P,当年实际!$F:$F,$C562,当年实际!$C:$C,"&gt;="&amp;DATE(YEAR(主页!$D$2),1,1),当年实际!$C:$C,"&lt;="&amp;EOMONTH(DATE(YEAR(主页!$D$2),MONTH(主页!$D$2),1),0)),"")</f>
        <v/>
      </c>
    </row>
    <row r="563" spans="1:10" x14ac:dyDescent="0.3">
      <c r="A563" s="150"/>
      <c r="B563" s="150"/>
      <c r="C563" s="150"/>
      <c r="D563" s="150"/>
      <c r="E563" s="140" t="str">
        <f t="shared" si="25"/>
        <v/>
      </c>
      <c r="F563" s="159"/>
      <c r="G563" s="145">
        <f t="shared" si="27"/>
        <v>0</v>
      </c>
      <c r="H563" s="140" t="str">
        <f t="shared" si="26"/>
        <v/>
      </c>
      <c r="J563" s="147" t="str">
        <f>IFERROR(SUMIFS(当年实际!$V:$V,当年实际!$F:$F,$C563,当年实际!$C:$C,"&gt;="&amp;DATE(YEAR(主页!$D$2),1,1),当年实际!$C:$C,"&lt;="&amp;EOMONTH(DATE(YEAR(主页!$D$2),MONTH(主页!$D$2),1),0))/SUMIFS(当年实际!$P:$P,当年实际!$F:$F,$C563,当年实际!$C:$C,"&gt;="&amp;DATE(YEAR(主页!$D$2),1,1),当年实际!$C:$C,"&lt;="&amp;EOMONTH(DATE(YEAR(主页!$D$2),MONTH(主页!$D$2),1),0)),"")</f>
        <v/>
      </c>
    </row>
    <row r="564" spans="1:10" x14ac:dyDescent="0.3">
      <c r="A564" s="150"/>
      <c r="B564" s="150"/>
      <c r="C564" s="150"/>
      <c r="D564" s="150"/>
      <c r="E564" s="140" t="str">
        <f t="shared" si="25"/>
        <v/>
      </c>
      <c r="F564" s="159"/>
      <c r="G564" s="145">
        <f t="shared" si="27"/>
        <v>0</v>
      </c>
      <c r="H564" s="140" t="str">
        <f t="shared" si="26"/>
        <v/>
      </c>
      <c r="J564" s="147" t="str">
        <f>IFERROR(SUMIFS(当年实际!$V:$V,当年实际!$F:$F,$C564,当年实际!$C:$C,"&gt;="&amp;DATE(YEAR(主页!$D$2),1,1),当年实际!$C:$C,"&lt;="&amp;EOMONTH(DATE(YEAR(主页!$D$2),MONTH(主页!$D$2),1),0))/SUMIFS(当年实际!$P:$P,当年实际!$F:$F,$C564,当年实际!$C:$C,"&gt;="&amp;DATE(YEAR(主页!$D$2),1,1),当年实际!$C:$C,"&lt;="&amp;EOMONTH(DATE(YEAR(主页!$D$2),MONTH(主页!$D$2),1),0)),"")</f>
        <v/>
      </c>
    </row>
    <row r="565" spans="1:10" x14ac:dyDescent="0.3">
      <c r="A565" s="150"/>
      <c r="B565" s="150"/>
      <c r="C565" s="150"/>
      <c r="D565" s="150"/>
      <c r="E565" s="140" t="str">
        <f t="shared" si="25"/>
        <v/>
      </c>
      <c r="F565" s="159"/>
      <c r="G565" s="145">
        <f t="shared" si="27"/>
        <v>0</v>
      </c>
      <c r="H565" s="140" t="str">
        <f t="shared" si="26"/>
        <v/>
      </c>
      <c r="J565" s="147" t="str">
        <f>IFERROR(SUMIFS(当年实际!$V:$V,当年实际!$F:$F,$C565,当年实际!$C:$C,"&gt;="&amp;DATE(YEAR(主页!$D$2),1,1),当年实际!$C:$C,"&lt;="&amp;EOMONTH(DATE(YEAR(主页!$D$2),MONTH(主页!$D$2),1),0))/SUMIFS(当年实际!$P:$P,当年实际!$F:$F,$C565,当年实际!$C:$C,"&gt;="&amp;DATE(YEAR(主页!$D$2),1,1),当年实际!$C:$C,"&lt;="&amp;EOMONTH(DATE(YEAR(主页!$D$2),MONTH(主页!$D$2),1),0)),"")</f>
        <v/>
      </c>
    </row>
    <row r="566" spans="1:10" x14ac:dyDescent="0.3">
      <c r="A566" s="150"/>
      <c r="B566" s="150"/>
      <c r="C566" s="150"/>
      <c r="D566" s="150"/>
      <c r="E566" s="140" t="str">
        <f t="shared" si="25"/>
        <v/>
      </c>
      <c r="F566" s="159"/>
      <c r="G566" s="145">
        <f t="shared" si="27"/>
        <v>0</v>
      </c>
      <c r="H566" s="140" t="str">
        <f t="shared" si="26"/>
        <v/>
      </c>
      <c r="J566" s="147" t="str">
        <f>IFERROR(SUMIFS(当年实际!$V:$V,当年实际!$F:$F,$C566,当年实际!$C:$C,"&gt;="&amp;DATE(YEAR(主页!$D$2),1,1),当年实际!$C:$C,"&lt;="&amp;EOMONTH(DATE(YEAR(主页!$D$2),MONTH(主页!$D$2),1),0))/SUMIFS(当年实际!$P:$P,当年实际!$F:$F,$C566,当年实际!$C:$C,"&gt;="&amp;DATE(YEAR(主页!$D$2),1,1),当年实际!$C:$C,"&lt;="&amp;EOMONTH(DATE(YEAR(主页!$D$2),MONTH(主页!$D$2),1),0)),"")</f>
        <v/>
      </c>
    </row>
    <row r="567" spans="1:10" x14ac:dyDescent="0.3">
      <c r="A567" s="150"/>
      <c r="B567" s="150"/>
      <c r="C567" s="150"/>
      <c r="D567" s="150"/>
      <c r="E567" s="140" t="str">
        <f t="shared" si="25"/>
        <v/>
      </c>
      <c r="F567" s="159"/>
      <c r="G567" s="145">
        <f t="shared" si="27"/>
        <v>0</v>
      </c>
      <c r="H567" s="140" t="str">
        <f t="shared" si="26"/>
        <v/>
      </c>
      <c r="J567" s="147" t="str">
        <f>IFERROR(SUMIFS(当年实际!$V:$V,当年实际!$F:$F,$C567,当年实际!$C:$C,"&gt;="&amp;DATE(YEAR(主页!$D$2),1,1),当年实际!$C:$C,"&lt;="&amp;EOMONTH(DATE(YEAR(主页!$D$2),MONTH(主页!$D$2),1),0))/SUMIFS(当年实际!$P:$P,当年实际!$F:$F,$C567,当年实际!$C:$C,"&gt;="&amp;DATE(YEAR(主页!$D$2),1,1),当年实际!$C:$C,"&lt;="&amp;EOMONTH(DATE(YEAR(主页!$D$2),MONTH(主页!$D$2),1),0)),"")</f>
        <v/>
      </c>
    </row>
    <row r="568" spans="1:10" x14ac:dyDescent="0.3">
      <c r="A568" s="150"/>
      <c r="B568" s="150"/>
      <c r="C568" s="150"/>
      <c r="D568" s="150"/>
      <c r="E568" s="140" t="str">
        <f t="shared" si="25"/>
        <v/>
      </c>
      <c r="F568" s="159"/>
      <c r="G568" s="145">
        <f t="shared" si="27"/>
        <v>0</v>
      </c>
      <c r="H568" s="140" t="str">
        <f t="shared" si="26"/>
        <v/>
      </c>
      <c r="J568" s="147" t="str">
        <f>IFERROR(SUMIFS(当年实际!$V:$V,当年实际!$F:$F,$C568,当年实际!$C:$C,"&gt;="&amp;DATE(YEAR(主页!$D$2),1,1),当年实际!$C:$C,"&lt;="&amp;EOMONTH(DATE(YEAR(主页!$D$2),MONTH(主页!$D$2),1),0))/SUMIFS(当年实际!$P:$P,当年实际!$F:$F,$C568,当年实际!$C:$C,"&gt;="&amp;DATE(YEAR(主页!$D$2),1,1),当年实际!$C:$C,"&lt;="&amp;EOMONTH(DATE(YEAR(主页!$D$2),MONTH(主页!$D$2),1),0)),"")</f>
        <v/>
      </c>
    </row>
    <row r="569" spans="1:10" x14ac:dyDescent="0.3">
      <c r="A569" s="150"/>
      <c r="B569" s="150"/>
      <c r="C569" s="150"/>
      <c r="D569" s="150"/>
      <c r="E569" s="140" t="str">
        <f t="shared" si="25"/>
        <v/>
      </c>
      <c r="F569" s="159"/>
      <c r="G569" s="145">
        <f t="shared" si="27"/>
        <v>0</v>
      </c>
      <c r="H569" s="140" t="str">
        <f t="shared" si="26"/>
        <v/>
      </c>
      <c r="J569" s="147" t="str">
        <f>IFERROR(SUMIFS(当年实际!$V:$V,当年实际!$F:$F,$C569,当年实际!$C:$C,"&gt;="&amp;DATE(YEAR(主页!$D$2),1,1),当年实际!$C:$C,"&lt;="&amp;EOMONTH(DATE(YEAR(主页!$D$2),MONTH(主页!$D$2),1),0))/SUMIFS(当年实际!$P:$P,当年实际!$F:$F,$C569,当年实际!$C:$C,"&gt;="&amp;DATE(YEAR(主页!$D$2),1,1),当年实际!$C:$C,"&lt;="&amp;EOMONTH(DATE(YEAR(主页!$D$2),MONTH(主页!$D$2),1),0)),"")</f>
        <v/>
      </c>
    </row>
    <row r="570" spans="1:10" x14ac:dyDescent="0.3">
      <c r="A570" s="150"/>
      <c r="B570" s="150"/>
      <c r="C570" s="150"/>
      <c r="D570" s="150"/>
      <c r="E570" s="140" t="str">
        <f t="shared" si="25"/>
        <v/>
      </c>
      <c r="F570" s="159"/>
      <c r="G570" s="145">
        <f t="shared" si="27"/>
        <v>0</v>
      </c>
      <c r="H570" s="140" t="str">
        <f t="shared" si="26"/>
        <v/>
      </c>
      <c r="J570" s="147" t="str">
        <f>IFERROR(SUMIFS(当年实际!$V:$V,当年实际!$F:$F,$C570,当年实际!$C:$C,"&gt;="&amp;DATE(YEAR(主页!$D$2),1,1),当年实际!$C:$C,"&lt;="&amp;EOMONTH(DATE(YEAR(主页!$D$2),MONTH(主页!$D$2),1),0))/SUMIFS(当年实际!$P:$P,当年实际!$F:$F,$C570,当年实际!$C:$C,"&gt;="&amp;DATE(YEAR(主页!$D$2),1,1),当年实际!$C:$C,"&lt;="&amp;EOMONTH(DATE(YEAR(主页!$D$2),MONTH(主页!$D$2),1),0)),"")</f>
        <v/>
      </c>
    </row>
    <row r="571" spans="1:10" x14ac:dyDescent="0.3">
      <c r="A571" s="150"/>
      <c r="B571" s="150"/>
      <c r="C571" s="150"/>
      <c r="D571" s="150"/>
      <c r="E571" s="140" t="str">
        <f t="shared" si="25"/>
        <v/>
      </c>
      <c r="F571" s="159"/>
      <c r="G571" s="145">
        <f t="shared" si="27"/>
        <v>0</v>
      </c>
      <c r="H571" s="140" t="str">
        <f t="shared" si="26"/>
        <v/>
      </c>
      <c r="J571" s="147" t="str">
        <f>IFERROR(SUMIFS(当年实际!$V:$V,当年实际!$F:$F,$C571,当年实际!$C:$C,"&gt;="&amp;DATE(YEAR(主页!$D$2),1,1),当年实际!$C:$C,"&lt;="&amp;EOMONTH(DATE(YEAR(主页!$D$2),MONTH(主页!$D$2),1),0))/SUMIFS(当年实际!$P:$P,当年实际!$F:$F,$C571,当年实际!$C:$C,"&gt;="&amp;DATE(YEAR(主页!$D$2),1,1),当年实际!$C:$C,"&lt;="&amp;EOMONTH(DATE(YEAR(主页!$D$2),MONTH(主页!$D$2),1),0)),"")</f>
        <v/>
      </c>
    </row>
    <row r="572" spans="1:10" x14ac:dyDescent="0.3">
      <c r="A572" s="150"/>
      <c r="B572" s="150"/>
      <c r="C572" s="150"/>
      <c r="D572" s="150"/>
      <c r="E572" s="140" t="str">
        <f t="shared" si="25"/>
        <v/>
      </c>
      <c r="F572" s="159"/>
      <c r="G572" s="145">
        <f t="shared" si="27"/>
        <v>0</v>
      </c>
      <c r="H572" s="140" t="str">
        <f t="shared" si="26"/>
        <v/>
      </c>
      <c r="J572" s="147" t="str">
        <f>IFERROR(SUMIFS(当年实际!$V:$V,当年实际!$F:$F,$C572,当年实际!$C:$C,"&gt;="&amp;DATE(YEAR(主页!$D$2),1,1),当年实际!$C:$C,"&lt;="&amp;EOMONTH(DATE(YEAR(主页!$D$2),MONTH(主页!$D$2),1),0))/SUMIFS(当年实际!$P:$P,当年实际!$F:$F,$C572,当年实际!$C:$C,"&gt;="&amp;DATE(YEAR(主页!$D$2),1,1),当年实际!$C:$C,"&lt;="&amp;EOMONTH(DATE(YEAR(主页!$D$2),MONTH(主页!$D$2),1),0)),"")</f>
        <v/>
      </c>
    </row>
    <row r="573" spans="1:10" x14ac:dyDescent="0.3">
      <c r="A573" s="150"/>
      <c r="B573" s="150"/>
      <c r="C573" s="150"/>
      <c r="D573" s="150"/>
      <c r="E573" s="140" t="str">
        <f t="shared" si="25"/>
        <v/>
      </c>
      <c r="F573" s="159"/>
      <c r="G573" s="145">
        <f t="shared" si="27"/>
        <v>0</v>
      </c>
      <c r="H573" s="140" t="str">
        <f t="shared" si="26"/>
        <v/>
      </c>
      <c r="J573" s="147" t="str">
        <f>IFERROR(SUMIFS(当年实际!$V:$V,当年实际!$F:$F,$C573,当年实际!$C:$C,"&gt;="&amp;DATE(YEAR(主页!$D$2),1,1),当年实际!$C:$C,"&lt;="&amp;EOMONTH(DATE(YEAR(主页!$D$2),MONTH(主页!$D$2),1),0))/SUMIFS(当年实际!$P:$P,当年实际!$F:$F,$C573,当年实际!$C:$C,"&gt;="&amp;DATE(YEAR(主页!$D$2),1,1),当年实际!$C:$C,"&lt;="&amp;EOMONTH(DATE(YEAR(主页!$D$2),MONTH(主页!$D$2),1),0)),"")</f>
        <v/>
      </c>
    </row>
    <row r="574" spans="1:10" x14ac:dyDescent="0.3">
      <c r="A574" s="150"/>
      <c r="B574" s="150"/>
      <c r="C574" s="150"/>
      <c r="D574" s="150"/>
      <c r="E574" s="140" t="str">
        <f t="shared" si="25"/>
        <v/>
      </c>
      <c r="F574" s="159"/>
      <c r="G574" s="145">
        <f t="shared" si="27"/>
        <v>0</v>
      </c>
      <c r="H574" s="140" t="str">
        <f t="shared" si="26"/>
        <v/>
      </c>
      <c r="J574" s="147" t="str">
        <f>IFERROR(SUMIFS(当年实际!$V:$V,当年实际!$F:$F,$C574,当年实际!$C:$C,"&gt;="&amp;DATE(YEAR(主页!$D$2),1,1),当年实际!$C:$C,"&lt;="&amp;EOMONTH(DATE(YEAR(主页!$D$2),MONTH(主页!$D$2),1),0))/SUMIFS(当年实际!$P:$P,当年实际!$F:$F,$C574,当年实际!$C:$C,"&gt;="&amp;DATE(YEAR(主页!$D$2),1,1),当年实际!$C:$C,"&lt;="&amp;EOMONTH(DATE(YEAR(主页!$D$2),MONTH(主页!$D$2),1),0)),"")</f>
        <v/>
      </c>
    </row>
    <row r="575" spans="1:10" x14ac:dyDescent="0.3">
      <c r="A575" s="150"/>
      <c r="B575" s="150"/>
      <c r="C575" s="150"/>
      <c r="D575" s="150"/>
      <c r="E575" s="140" t="str">
        <f t="shared" si="25"/>
        <v/>
      </c>
      <c r="F575" s="159"/>
      <c r="G575" s="145">
        <f t="shared" si="27"/>
        <v>0</v>
      </c>
      <c r="H575" s="140" t="str">
        <f t="shared" si="26"/>
        <v/>
      </c>
      <c r="J575" s="147" t="str">
        <f>IFERROR(SUMIFS(当年实际!$V:$V,当年实际!$F:$F,$C575,当年实际!$C:$C,"&gt;="&amp;DATE(YEAR(主页!$D$2),1,1),当年实际!$C:$C,"&lt;="&amp;EOMONTH(DATE(YEAR(主页!$D$2),MONTH(主页!$D$2),1),0))/SUMIFS(当年实际!$P:$P,当年实际!$F:$F,$C575,当年实际!$C:$C,"&gt;="&amp;DATE(YEAR(主页!$D$2),1,1),当年实际!$C:$C,"&lt;="&amp;EOMONTH(DATE(YEAR(主页!$D$2),MONTH(主页!$D$2),1),0)),"")</f>
        <v/>
      </c>
    </row>
    <row r="576" spans="1:10" x14ac:dyDescent="0.3">
      <c r="A576" s="150"/>
      <c r="B576" s="150"/>
      <c r="C576" s="150"/>
      <c r="D576" s="150"/>
      <c r="E576" s="140" t="str">
        <f t="shared" si="25"/>
        <v/>
      </c>
      <c r="F576" s="159"/>
      <c r="G576" s="145">
        <f t="shared" si="27"/>
        <v>0</v>
      </c>
      <c r="H576" s="140" t="str">
        <f t="shared" si="26"/>
        <v/>
      </c>
      <c r="J576" s="147" t="str">
        <f>IFERROR(SUMIFS(当年实际!$V:$V,当年实际!$F:$F,$C576,当年实际!$C:$C,"&gt;="&amp;DATE(YEAR(主页!$D$2),1,1),当年实际!$C:$C,"&lt;="&amp;EOMONTH(DATE(YEAR(主页!$D$2),MONTH(主页!$D$2),1),0))/SUMIFS(当年实际!$P:$P,当年实际!$F:$F,$C576,当年实际!$C:$C,"&gt;="&amp;DATE(YEAR(主页!$D$2),1,1),当年实际!$C:$C,"&lt;="&amp;EOMONTH(DATE(YEAR(主页!$D$2),MONTH(主页!$D$2),1),0)),"")</f>
        <v/>
      </c>
    </row>
    <row r="577" spans="1:10" x14ac:dyDescent="0.3">
      <c r="A577" s="150"/>
      <c r="B577" s="150"/>
      <c r="C577" s="150"/>
      <c r="D577" s="150"/>
      <c r="E577" s="140" t="str">
        <f t="shared" si="25"/>
        <v/>
      </c>
      <c r="F577" s="159"/>
      <c r="G577" s="145">
        <f t="shared" si="27"/>
        <v>0</v>
      </c>
      <c r="H577" s="140" t="str">
        <f t="shared" si="26"/>
        <v/>
      </c>
      <c r="J577" s="147" t="str">
        <f>IFERROR(SUMIFS(当年实际!$V:$V,当年实际!$F:$F,$C577,当年实际!$C:$C,"&gt;="&amp;DATE(YEAR(主页!$D$2),1,1),当年实际!$C:$C,"&lt;="&amp;EOMONTH(DATE(YEAR(主页!$D$2),MONTH(主页!$D$2),1),0))/SUMIFS(当年实际!$P:$P,当年实际!$F:$F,$C577,当年实际!$C:$C,"&gt;="&amp;DATE(YEAR(主页!$D$2),1,1),当年实际!$C:$C,"&lt;="&amp;EOMONTH(DATE(YEAR(主页!$D$2),MONTH(主页!$D$2),1),0)),"")</f>
        <v/>
      </c>
    </row>
    <row r="578" spans="1:10" x14ac:dyDescent="0.3">
      <c r="A578" s="150"/>
      <c r="B578" s="150"/>
      <c r="C578" s="150"/>
      <c r="D578" s="150"/>
      <c r="E578" s="140" t="str">
        <f t="shared" si="25"/>
        <v/>
      </c>
      <c r="F578" s="159"/>
      <c r="G578" s="145">
        <f t="shared" si="27"/>
        <v>0</v>
      </c>
      <c r="H578" s="140" t="str">
        <f t="shared" si="26"/>
        <v/>
      </c>
      <c r="J578" s="147" t="str">
        <f>IFERROR(SUMIFS(当年实际!$V:$V,当年实际!$F:$F,$C578,当年实际!$C:$C,"&gt;="&amp;DATE(YEAR(主页!$D$2),1,1),当年实际!$C:$C,"&lt;="&amp;EOMONTH(DATE(YEAR(主页!$D$2),MONTH(主页!$D$2),1),0))/SUMIFS(当年实际!$P:$P,当年实际!$F:$F,$C578,当年实际!$C:$C,"&gt;="&amp;DATE(YEAR(主页!$D$2),1,1),当年实际!$C:$C,"&lt;="&amp;EOMONTH(DATE(YEAR(主页!$D$2),MONTH(主页!$D$2),1),0)),"")</f>
        <v/>
      </c>
    </row>
    <row r="579" spans="1:10" x14ac:dyDescent="0.3">
      <c r="A579" s="150"/>
      <c r="B579" s="150"/>
      <c r="C579" s="150"/>
      <c r="D579" s="150"/>
      <c r="E579" s="140" t="str">
        <f t="shared" si="25"/>
        <v/>
      </c>
      <c r="F579" s="159"/>
      <c r="G579" s="145">
        <f t="shared" si="27"/>
        <v>0</v>
      </c>
      <c r="H579" s="140" t="str">
        <f t="shared" si="26"/>
        <v/>
      </c>
      <c r="J579" s="147" t="str">
        <f>IFERROR(SUMIFS(当年实际!$V:$V,当年实际!$F:$F,$C579,当年实际!$C:$C,"&gt;="&amp;DATE(YEAR(主页!$D$2),1,1),当年实际!$C:$C,"&lt;="&amp;EOMONTH(DATE(YEAR(主页!$D$2),MONTH(主页!$D$2),1),0))/SUMIFS(当年实际!$P:$P,当年实际!$F:$F,$C579,当年实际!$C:$C,"&gt;="&amp;DATE(YEAR(主页!$D$2),1,1),当年实际!$C:$C,"&lt;="&amp;EOMONTH(DATE(YEAR(主页!$D$2),MONTH(主页!$D$2),1),0)),"")</f>
        <v/>
      </c>
    </row>
    <row r="580" spans="1:10" x14ac:dyDescent="0.3">
      <c r="A580" s="150"/>
      <c r="B580" s="150"/>
      <c r="C580" s="150"/>
      <c r="D580" s="150"/>
      <c r="E580" s="140" t="str">
        <f t="shared" ref="E580:E643" si="28">IF(D580/SUM(D:D)=0,"",D580/SUM(D:D))</f>
        <v/>
      </c>
      <c r="F580" s="159"/>
      <c r="G580" s="145">
        <f t="shared" si="27"/>
        <v>0</v>
      </c>
      <c r="H580" s="140" t="str">
        <f t="shared" ref="H580:H643" si="29">IF(G580/SUM(G:G)=0,"",G580/SUM(G:G))</f>
        <v/>
      </c>
      <c r="J580" s="147" t="str">
        <f>IFERROR(SUMIFS(当年实际!$V:$V,当年实际!$F:$F,$C580,当年实际!$C:$C,"&gt;="&amp;DATE(YEAR(主页!$D$2),1,1),当年实际!$C:$C,"&lt;="&amp;EOMONTH(DATE(YEAR(主页!$D$2),MONTH(主页!$D$2),1),0))/SUMIFS(当年实际!$P:$P,当年实际!$F:$F,$C580,当年实际!$C:$C,"&gt;="&amp;DATE(YEAR(主页!$D$2),1,1),当年实际!$C:$C,"&lt;="&amp;EOMONTH(DATE(YEAR(主页!$D$2),MONTH(主页!$D$2),1),0)),"")</f>
        <v/>
      </c>
    </row>
    <row r="581" spans="1:10" x14ac:dyDescent="0.3">
      <c r="A581" s="150"/>
      <c r="B581" s="150"/>
      <c r="C581" s="150"/>
      <c r="D581" s="150"/>
      <c r="E581" s="140" t="str">
        <f t="shared" si="28"/>
        <v/>
      </c>
      <c r="F581" s="159"/>
      <c r="G581" s="145">
        <f t="shared" si="27"/>
        <v>0</v>
      </c>
      <c r="H581" s="140" t="str">
        <f t="shared" si="29"/>
        <v/>
      </c>
      <c r="J581" s="147" t="str">
        <f>IFERROR(SUMIFS(当年实际!$V:$V,当年实际!$F:$F,$C581,当年实际!$C:$C,"&gt;="&amp;DATE(YEAR(主页!$D$2),1,1),当年实际!$C:$C,"&lt;="&amp;EOMONTH(DATE(YEAR(主页!$D$2),MONTH(主页!$D$2),1),0))/SUMIFS(当年实际!$P:$P,当年实际!$F:$F,$C581,当年实际!$C:$C,"&gt;="&amp;DATE(YEAR(主页!$D$2),1,1),当年实际!$C:$C,"&lt;="&amp;EOMONTH(DATE(YEAR(主页!$D$2),MONTH(主页!$D$2),1),0)),"")</f>
        <v/>
      </c>
    </row>
    <row r="582" spans="1:10" x14ac:dyDescent="0.3">
      <c r="A582" s="150"/>
      <c r="B582" s="150"/>
      <c r="C582" s="150"/>
      <c r="D582" s="150"/>
      <c r="E582" s="140" t="str">
        <f t="shared" si="28"/>
        <v/>
      </c>
      <c r="F582" s="159"/>
      <c r="G582" s="145">
        <f t="shared" si="27"/>
        <v>0</v>
      </c>
      <c r="H582" s="140" t="str">
        <f t="shared" si="29"/>
        <v/>
      </c>
      <c r="J582" s="147" t="str">
        <f>IFERROR(SUMIFS(当年实际!$V:$V,当年实际!$F:$F,$C582,当年实际!$C:$C,"&gt;="&amp;DATE(YEAR(主页!$D$2),1,1),当年实际!$C:$C,"&lt;="&amp;EOMONTH(DATE(YEAR(主页!$D$2),MONTH(主页!$D$2),1),0))/SUMIFS(当年实际!$P:$P,当年实际!$F:$F,$C582,当年实际!$C:$C,"&gt;="&amp;DATE(YEAR(主页!$D$2),1,1),当年实际!$C:$C,"&lt;="&amp;EOMONTH(DATE(YEAR(主页!$D$2),MONTH(主页!$D$2),1),0)),"")</f>
        <v/>
      </c>
    </row>
    <row r="583" spans="1:10" x14ac:dyDescent="0.3">
      <c r="A583" s="150"/>
      <c r="B583" s="150"/>
      <c r="C583" s="150"/>
      <c r="D583" s="150"/>
      <c r="E583" s="140" t="str">
        <f t="shared" si="28"/>
        <v/>
      </c>
      <c r="F583" s="159"/>
      <c r="G583" s="145">
        <f t="shared" si="27"/>
        <v>0</v>
      </c>
      <c r="H583" s="140" t="str">
        <f t="shared" si="29"/>
        <v/>
      </c>
      <c r="J583" s="147" t="str">
        <f>IFERROR(SUMIFS(当年实际!$V:$V,当年实际!$F:$F,$C583,当年实际!$C:$C,"&gt;="&amp;DATE(YEAR(主页!$D$2),1,1),当年实际!$C:$C,"&lt;="&amp;EOMONTH(DATE(YEAR(主页!$D$2),MONTH(主页!$D$2),1),0))/SUMIFS(当年实际!$P:$P,当年实际!$F:$F,$C583,当年实际!$C:$C,"&gt;="&amp;DATE(YEAR(主页!$D$2),1,1),当年实际!$C:$C,"&lt;="&amp;EOMONTH(DATE(YEAR(主页!$D$2),MONTH(主页!$D$2),1),0)),"")</f>
        <v/>
      </c>
    </row>
    <row r="584" spans="1:10" x14ac:dyDescent="0.3">
      <c r="A584" s="150"/>
      <c r="B584" s="150"/>
      <c r="C584" s="150"/>
      <c r="D584" s="150"/>
      <c r="E584" s="140" t="str">
        <f t="shared" si="28"/>
        <v/>
      </c>
      <c r="F584" s="159"/>
      <c r="G584" s="145">
        <f t="shared" ref="G584:G647" si="30">D584*F584</f>
        <v>0</v>
      </c>
      <c r="H584" s="140" t="str">
        <f t="shared" si="29"/>
        <v/>
      </c>
      <c r="J584" s="147" t="str">
        <f>IFERROR(SUMIFS(当年实际!$V:$V,当年实际!$F:$F,$C584,当年实际!$C:$C,"&gt;="&amp;DATE(YEAR(主页!$D$2),1,1),当年实际!$C:$C,"&lt;="&amp;EOMONTH(DATE(YEAR(主页!$D$2),MONTH(主页!$D$2),1),0))/SUMIFS(当年实际!$P:$P,当年实际!$F:$F,$C584,当年实际!$C:$C,"&gt;="&amp;DATE(YEAR(主页!$D$2),1,1),当年实际!$C:$C,"&lt;="&amp;EOMONTH(DATE(YEAR(主页!$D$2),MONTH(主页!$D$2),1),0)),"")</f>
        <v/>
      </c>
    </row>
    <row r="585" spans="1:10" x14ac:dyDescent="0.3">
      <c r="A585" s="150"/>
      <c r="B585" s="150"/>
      <c r="C585" s="150"/>
      <c r="D585" s="150"/>
      <c r="E585" s="140" t="str">
        <f t="shared" si="28"/>
        <v/>
      </c>
      <c r="F585" s="159"/>
      <c r="G585" s="145">
        <f t="shared" si="30"/>
        <v>0</v>
      </c>
      <c r="H585" s="140" t="str">
        <f t="shared" si="29"/>
        <v/>
      </c>
      <c r="J585" s="147" t="str">
        <f>IFERROR(SUMIFS(当年实际!$V:$V,当年实际!$F:$F,$C585,当年实际!$C:$C,"&gt;="&amp;DATE(YEAR(主页!$D$2),1,1),当年实际!$C:$C,"&lt;="&amp;EOMONTH(DATE(YEAR(主页!$D$2),MONTH(主页!$D$2),1),0))/SUMIFS(当年实际!$P:$P,当年实际!$F:$F,$C585,当年实际!$C:$C,"&gt;="&amp;DATE(YEAR(主页!$D$2),1,1),当年实际!$C:$C,"&lt;="&amp;EOMONTH(DATE(YEAR(主页!$D$2),MONTH(主页!$D$2),1),0)),"")</f>
        <v/>
      </c>
    </row>
    <row r="586" spans="1:10" x14ac:dyDescent="0.3">
      <c r="A586" s="150"/>
      <c r="B586" s="150"/>
      <c r="C586" s="150"/>
      <c r="D586" s="150"/>
      <c r="E586" s="140" t="str">
        <f t="shared" si="28"/>
        <v/>
      </c>
      <c r="F586" s="159"/>
      <c r="G586" s="145">
        <f t="shared" si="30"/>
        <v>0</v>
      </c>
      <c r="H586" s="140" t="str">
        <f t="shared" si="29"/>
        <v/>
      </c>
      <c r="J586" s="147" t="str">
        <f>IFERROR(SUMIFS(当年实际!$V:$V,当年实际!$F:$F,$C586,当年实际!$C:$C,"&gt;="&amp;DATE(YEAR(主页!$D$2),1,1),当年实际!$C:$C,"&lt;="&amp;EOMONTH(DATE(YEAR(主页!$D$2),MONTH(主页!$D$2),1),0))/SUMIFS(当年实际!$P:$P,当年实际!$F:$F,$C586,当年实际!$C:$C,"&gt;="&amp;DATE(YEAR(主页!$D$2),1,1),当年实际!$C:$C,"&lt;="&amp;EOMONTH(DATE(YEAR(主页!$D$2),MONTH(主页!$D$2),1),0)),"")</f>
        <v/>
      </c>
    </row>
    <row r="587" spans="1:10" x14ac:dyDescent="0.3">
      <c r="A587" s="150"/>
      <c r="B587" s="150"/>
      <c r="C587" s="150"/>
      <c r="D587" s="150"/>
      <c r="E587" s="140" t="str">
        <f t="shared" si="28"/>
        <v/>
      </c>
      <c r="F587" s="159"/>
      <c r="G587" s="145">
        <f t="shared" si="30"/>
        <v>0</v>
      </c>
      <c r="H587" s="140" t="str">
        <f t="shared" si="29"/>
        <v/>
      </c>
      <c r="J587" s="147" t="str">
        <f>IFERROR(SUMIFS(当年实际!$V:$V,当年实际!$F:$F,$C587,当年实际!$C:$C,"&gt;="&amp;DATE(YEAR(主页!$D$2),1,1),当年实际!$C:$C,"&lt;="&amp;EOMONTH(DATE(YEAR(主页!$D$2),MONTH(主页!$D$2),1),0))/SUMIFS(当年实际!$P:$P,当年实际!$F:$F,$C587,当年实际!$C:$C,"&gt;="&amp;DATE(YEAR(主页!$D$2),1,1),当年实际!$C:$C,"&lt;="&amp;EOMONTH(DATE(YEAR(主页!$D$2),MONTH(主页!$D$2),1),0)),"")</f>
        <v/>
      </c>
    </row>
    <row r="588" spans="1:10" x14ac:dyDescent="0.3">
      <c r="A588" s="150"/>
      <c r="B588" s="150"/>
      <c r="C588" s="150"/>
      <c r="D588" s="150"/>
      <c r="E588" s="140" t="str">
        <f t="shared" si="28"/>
        <v/>
      </c>
      <c r="F588" s="159"/>
      <c r="G588" s="145">
        <f t="shared" si="30"/>
        <v>0</v>
      </c>
      <c r="H588" s="140" t="str">
        <f t="shared" si="29"/>
        <v/>
      </c>
      <c r="J588" s="147" t="str">
        <f>IFERROR(SUMIFS(当年实际!$V:$V,当年实际!$F:$F,$C588,当年实际!$C:$C,"&gt;="&amp;DATE(YEAR(主页!$D$2),1,1),当年实际!$C:$C,"&lt;="&amp;EOMONTH(DATE(YEAR(主页!$D$2),MONTH(主页!$D$2),1),0))/SUMIFS(当年实际!$P:$P,当年实际!$F:$F,$C588,当年实际!$C:$C,"&gt;="&amp;DATE(YEAR(主页!$D$2),1,1),当年实际!$C:$C,"&lt;="&amp;EOMONTH(DATE(YEAR(主页!$D$2),MONTH(主页!$D$2),1),0)),"")</f>
        <v/>
      </c>
    </row>
    <row r="589" spans="1:10" x14ac:dyDescent="0.3">
      <c r="A589" s="150"/>
      <c r="B589" s="150"/>
      <c r="C589" s="150"/>
      <c r="D589" s="150"/>
      <c r="E589" s="140" t="str">
        <f t="shared" si="28"/>
        <v/>
      </c>
      <c r="F589" s="159"/>
      <c r="G589" s="145">
        <f t="shared" si="30"/>
        <v>0</v>
      </c>
      <c r="H589" s="140" t="str">
        <f t="shared" si="29"/>
        <v/>
      </c>
      <c r="J589" s="147" t="str">
        <f>IFERROR(SUMIFS(当年实际!$V:$V,当年实际!$F:$F,$C589,当年实际!$C:$C,"&gt;="&amp;DATE(YEAR(主页!$D$2),1,1),当年实际!$C:$C,"&lt;="&amp;EOMONTH(DATE(YEAR(主页!$D$2),MONTH(主页!$D$2),1),0))/SUMIFS(当年实际!$P:$P,当年实际!$F:$F,$C589,当年实际!$C:$C,"&gt;="&amp;DATE(YEAR(主页!$D$2),1,1),当年实际!$C:$C,"&lt;="&amp;EOMONTH(DATE(YEAR(主页!$D$2),MONTH(主页!$D$2),1),0)),"")</f>
        <v/>
      </c>
    </row>
    <row r="590" spans="1:10" x14ac:dyDescent="0.3">
      <c r="A590" s="150"/>
      <c r="B590" s="150"/>
      <c r="C590" s="150"/>
      <c r="D590" s="150"/>
      <c r="E590" s="140" t="str">
        <f t="shared" si="28"/>
        <v/>
      </c>
      <c r="F590" s="159"/>
      <c r="G590" s="145">
        <f t="shared" si="30"/>
        <v>0</v>
      </c>
      <c r="H590" s="140" t="str">
        <f t="shared" si="29"/>
        <v/>
      </c>
      <c r="J590" s="147" t="str">
        <f>IFERROR(SUMIFS(当年实际!$V:$V,当年实际!$F:$F,$C590,当年实际!$C:$C,"&gt;="&amp;DATE(YEAR(主页!$D$2),1,1),当年实际!$C:$C,"&lt;="&amp;EOMONTH(DATE(YEAR(主页!$D$2),MONTH(主页!$D$2),1),0))/SUMIFS(当年实际!$P:$P,当年实际!$F:$F,$C590,当年实际!$C:$C,"&gt;="&amp;DATE(YEAR(主页!$D$2),1,1),当年实际!$C:$C,"&lt;="&amp;EOMONTH(DATE(YEAR(主页!$D$2),MONTH(主页!$D$2),1),0)),"")</f>
        <v/>
      </c>
    </row>
    <row r="591" spans="1:10" x14ac:dyDescent="0.3">
      <c r="A591" s="150"/>
      <c r="B591" s="150"/>
      <c r="C591" s="150"/>
      <c r="D591" s="150"/>
      <c r="E591" s="140" t="str">
        <f t="shared" si="28"/>
        <v/>
      </c>
      <c r="F591" s="159"/>
      <c r="G591" s="145">
        <f t="shared" si="30"/>
        <v>0</v>
      </c>
      <c r="H591" s="140" t="str">
        <f t="shared" si="29"/>
        <v/>
      </c>
      <c r="J591" s="147" t="str">
        <f>IFERROR(SUMIFS(当年实际!$V:$V,当年实际!$F:$F,$C591,当年实际!$C:$C,"&gt;="&amp;DATE(YEAR(主页!$D$2),1,1),当年实际!$C:$C,"&lt;="&amp;EOMONTH(DATE(YEAR(主页!$D$2),MONTH(主页!$D$2),1),0))/SUMIFS(当年实际!$P:$P,当年实际!$F:$F,$C591,当年实际!$C:$C,"&gt;="&amp;DATE(YEAR(主页!$D$2),1,1),当年实际!$C:$C,"&lt;="&amp;EOMONTH(DATE(YEAR(主页!$D$2),MONTH(主页!$D$2),1),0)),"")</f>
        <v/>
      </c>
    </row>
    <row r="592" spans="1:10" x14ac:dyDescent="0.3">
      <c r="A592" s="150"/>
      <c r="B592" s="150"/>
      <c r="C592" s="150"/>
      <c r="D592" s="150"/>
      <c r="E592" s="140" t="str">
        <f t="shared" si="28"/>
        <v/>
      </c>
      <c r="F592" s="159"/>
      <c r="G592" s="145">
        <f t="shared" si="30"/>
        <v>0</v>
      </c>
      <c r="H592" s="140" t="str">
        <f t="shared" si="29"/>
        <v/>
      </c>
      <c r="J592" s="147" t="str">
        <f>IFERROR(SUMIFS(当年实际!$V:$V,当年实际!$F:$F,$C592,当年实际!$C:$C,"&gt;="&amp;DATE(YEAR(主页!$D$2),1,1),当年实际!$C:$C,"&lt;="&amp;EOMONTH(DATE(YEAR(主页!$D$2),MONTH(主页!$D$2),1),0))/SUMIFS(当年实际!$P:$P,当年实际!$F:$F,$C592,当年实际!$C:$C,"&gt;="&amp;DATE(YEAR(主页!$D$2),1,1),当年实际!$C:$C,"&lt;="&amp;EOMONTH(DATE(YEAR(主页!$D$2),MONTH(主页!$D$2),1),0)),"")</f>
        <v/>
      </c>
    </row>
    <row r="593" spans="1:10" x14ac:dyDescent="0.3">
      <c r="A593" s="150"/>
      <c r="B593" s="150"/>
      <c r="C593" s="150"/>
      <c r="D593" s="150"/>
      <c r="E593" s="140" t="str">
        <f t="shared" si="28"/>
        <v/>
      </c>
      <c r="F593" s="159"/>
      <c r="G593" s="145">
        <f t="shared" si="30"/>
        <v>0</v>
      </c>
      <c r="H593" s="140" t="str">
        <f t="shared" si="29"/>
        <v/>
      </c>
      <c r="J593" s="147" t="str">
        <f>IFERROR(SUMIFS(当年实际!$V:$V,当年实际!$F:$F,$C593,当年实际!$C:$C,"&gt;="&amp;DATE(YEAR(主页!$D$2),1,1),当年实际!$C:$C,"&lt;="&amp;EOMONTH(DATE(YEAR(主页!$D$2),MONTH(主页!$D$2),1),0))/SUMIFS(当年实际!$P:$P,当年实际!$F:$F,$C593,当年实际!$C:$C,"&gt;="&amp;DATE(YEAR(主页!$D$2),1,1),当年实际!$C:$C,"&lt;="&amp;EOMONTH(DATE(YEAR(主页!$D$2),MONTH(主页!$D$2),1),0)),"")</f>
        <v/>
      </c>
    </row>
    <row r="594" spans="1:10" x14ac:dyDescent="0.3">
      <c r="A594" s="150"/>
      <c r="B594" s="150"/>
      <c r="C594" s="150"/>
      <c r="D594" s="150"/>
      <c r="E594" s="140" t="str">
        <f t="shared" si="28"/>
        <v/>
      </c>
      <c r="F594" s="159"/>
      <c r="G594" s="145">
        <f t="shared" si="30"/>
        <v>0</v>
      </c>
      <c r="H594" s="140" t="str">
        <f t="shared" si="29"/>
        <v/>
      </c>
      <c r="J594" s="147" t="str">
        <f>IFERROR(SUMIFS(当年实际!$V:$V,当年实际!$F:$F,$C594,当年实际!$C:$C,"&gt;="&amp;DATE(YEAR(主页!$D$2),1,1),当年实际!$C:$C,"&lt;="&amp;EOMONTH(DATE(YEAR(主页!$D$2),MONTH(主页!$D$2),1),0))/SUMIFS(当年实际!$P:$P,当年实际!$F:$F,$C594,当年实际!$C:$C,"&gt;="&amp;DATE(YEAR(主页!$D$2),1,1),当年实际!$C:$C,"&lt;="&amp;EOMONTH(DATE(YEAR(主页!$D$2),MONTH(主页!$D$2),1),0)),"")</f>
        <v/>
      </c>
    </row>
    <row r="595" spans="1:10" x14ac:dyDescent="0.3">
      <c r="A595" s="150"/>
      <c r="B595" s="150"/>
      <c r="C595" s="150"/>
      <c r="D595" s="150"/>
      <c r="E595" s="140" t="str">
        <f t="shared" si="28"/>
        <v/>
      </c>
      <c r="F595" s="159"/>
      <c r="G595" s="145">
        <f t="shared" si="30"/>
        <v>0</v>
      </c>
      <c r="H595" s="140" t="str">
        <f t="shared" si="29"/>
        <v/>
      </c>
      <c r="J595" s="147" t="str">
        <f>IFERROR(SUMIFS(当年实际!$V:$V,当年实际!$F:$F,$C595,当年实际!$C:$C,"&gt;="&amp;DATE(YEAR(主页!$D$2),1,1),当年实际!$C:$C,"&lt;="&amp;EOMONTH(DATE(YEAR(主页!$D$2),MONTH(主页!$D$2),1),0))/SUMIFS(当年实际!$P:$P,当年实际!$F:$F,$C595,当年实际!$C:$C,"&gt;="&amp;DATE(YEAR(主页!$D$2),1,1),当年实际!$C:$C,"&lt;="&amp;EOMONTH(DATE(YEAR(主页!$D$2),MONTH(主页!$D$2),1),0)),"")</f>
        <v/>
      </c>
    </row>
    <row r="596" spans="1:10" x14ac:dyDescent="0.3">
      <c r="A596" s="150"/>
      <c r="B596" s="150"/>
      <c r="C596" s="150"/>
      <c r="D596" s="150"/>
      <c r="E596" s="140" t="str">
        <f t="shared" si="28"/>
        <v/>
      </c>
      <c r="F596" s="159"/>
      <c r="G596" s="145">
        <f t="shared" si="30"/>
        <v>0</v>
      </c>
      <c r="H596" s="140" t="str">
        <f t="shared" si="29"/>
        <v/>
      </c>
      <c r="J596" s="147" t="str">
        <f>IFERROR(SUMIFS(当年实际!$V:$V,当年实际!$F:$F,$C596,当年实际!$C:$C,"&gt;="&amp;DATE(YEAR(主页!$D$2),1,1),当年实际!$C:$C,"&lt;="&amp;EOMONTH(DATE(YEAR(主页!$D$2),MONTH(主页!$D$2),1),0))/SUMIFS(当年实际!$P:$P,当年实际!$F:$F,$C596,当年实际!$C:$C,"&gt;="&amp;DATE(YEAR(主页!$D$2),1,1),当年实际!$C:$C,"&lt;="&amp;EOMONTH(DATE(YEAR(主页!$D$2),MONTH(主页!$D$2),1),0)),"")</f>
        <v/>
      </c>
    </row>
    <row r="597" spans="1:10" x14ac:dyDescent="0.3">
      <c r="A597" s="150"/>
      <c r="B597" s="150"/>
      <c r="C597" s="150"/>
      <c r="D597" s="150"/>
      <c r="E597" s="140" t="str">
        <f t="shared" si="28"/>
        <v/>
      </c>
      <c r="F597" s="159"/>
      <c r="G597" s="145">
        <f t="shared" si="30"/>
        <v>0</v>
      </c>
      <c r="H597" s="140" t="str">
        <f t="shared" si="29"/>
        <v/>
      </c>
      <c r="J597" s="147" t="str">
        <f>IFERROR(SUMIFS(当年实际!$V:$V,当年实际!$F:$F,$C597,当年实际!$C:$C,"&gt;="&amp;DATE(YEAR(主页!$D$2),1,1),当年实际!$C:$C,"&lt;="&amp;EOMONTH(DATE(YEAR(主页!$D$2),MONTH(主页!$D$2),1),0))/SUMIFS(当年实际!$P:$P,当年实际!$F:$F,$C597,当年实际!$C:$C,"&gt;="&amp;DATE(YEAR(主页!$D$2),1,1),当年实际!$C:$C,"&lt;="&amp;EOMONTH(DATE(YEAR(主页!$D$2),MONTH(主页!$D$2),1),0)),"")</f>
        <v/>
      </c>
    </row>
    <row r="598" spans="1:10" x14ac:dyDescent="0.3">
      <c r="A598" s="150"/>
      <c r="B598" s="150"/>
      <c r="C598" s="150"/>
      <c r="D598" s="150"/>
      <c r="E598" s="140" t="str">
        <f t="shared" si="28"/>
        <v/>
      </c>
      <c r="F598" s="159"/>
      <c r="G598" s="145">
        <f t="shared" si="30"/>
        <v>0</v>
      </c>
      <c r="H598" s="140" t="str">
        <f t="shared" si="29"/>
        <v/>
      </c>
      <c r="J598" s="147" t="str">
        <f>IFERROR(SUMIFS(当年实际!$V:$V,当年实际!$F:$F,$C598,当年实际!$C:$C,"&gt;="&amp;DATE(YEAR(主页!$D$2),1,1),当年实际!$C:$C,"&lt;="&amp;EOMONTH(DATE(YEAR(主页!$D$2),MONTH(主页!$D$2),1),0))/SUMIFS(当年实际!$P:$P,当年实际!$F:$F,$C598,当年实际!$C:$C,"&gt;="&amp;DATE(YEAR(主页!$D$2),1,1),当年实际!$C:$C,"&lt;="&amp;EOMONTH(DATE(YEAR(主页!$D$2),MONTH(主页!$D$2),1),0)),"")</f>
        <v/>
      </c>
    </row>
    <row r="599" spans="1:10" x14ac:dyDescent="0.3">
      <c r="A599" s="150"/>
      <c r="B599" s="150"/>
      <c r="C599" s="150"/>
      <c r="D599" s="150"/>
      <c r="E599" s="140" t="str">
        <f t="shared" si="28"/>
        <v/>
      </c>
      <c r="F599" s="159"/>
      <c r="G599" s="145">
        <f t="shared" si="30"/>
        <v>0</v>
      </c>
      <c r="H599" s="140" t="str">
        <f t="shared" si="29"/>
        <v/>
      </c>
      <c r="J599" s="147" t="str">
        <f>IFERROR(SUMIFS(当年实际!$V:$V,当年实际!$F:$F,$C599,当年实际!$C:$C,"&gt;="&amp;DATE(YEAR(主页!$D$2),1,1),当年实际!$C:$C,"&lt;="&amp;EOMONTH(DATE(YEAR(主页!$D$2),MONTH(主页!$D$2),1),0))/SUMIFS(当年实际!$P:$P,当年实际!$F:$F,$C599,当年实际!$C:$C,"&gt;="&amp;DATE(YEAR(主页!$D$2),1,1),当年实际!$C:$C,"&lt;="&amp;EOMONTH(DATE(YEAR(主页!$D$2),MONTH(主页!$D$2),1),0)),"")</f>
        <v/>
      </c>
    </row>
    <row r="600" spans="1:10" x14ac:dyDescent="0.3">
      <c r="A600" s="150"/>
      <c r="B600" s="150"/>
      <c r="C600" s="150"/>
      <c r="D600" s="150"/>
      <c r="E600" s="140" t="str">
        <f t="shared" si="28"/>
        <v/>
      </c>
      <c r="F600" s="159"/>
      <c r="G600" s="145">
        <f t="shared" si="30"/>
        <v>0</v>
      </c>
      <c r="H600" s="140" t="str">
        <f t="shared" si="29"/>
        <v/>
      </c>
      <c r="J600" s="147" t="str">
        <f>IFERROR(SUMIFS(当年实际!$V:$V,当年实际!$F:$F,$C600,当年实际!$C:$C,"&gt;="&amp;DATE(YEAR(主页!$D$2),1,1),当年实际!$C:$C,"&lt;="&amp;EOMONTH(DATE(YEAR(主页!$D$2),MONTH(主页!$D$2),1),0))/SUMIFS(当年实际!$P:$P,当年实际!$F:$F,$C600,当年实际!$C:$C,"&gt;="&amp;DATE(YEAR(主页!$D$2),1,1),当年实际!$C:$C,"&lt;="&amp;EOMONTH(DATE(YEAR(主页!$D$2),MONTH(主页!$D$2),1),0)),"")</f>
        <v/>
      </c>
    </row>
    <row r="601" spans="1:10" x14ac:dyDescent="0.3">
      <c r="A601" s="150"/>
      <c r="B601" s="150"/>
      <c r="C601" s="150"/>
      <c r="D601" s="150"/>
      <c r="E601" s="140" t="str">
        <f t="shared" si="28"/>
        <v/>
      </c>
      <c r="F601" s="159"/>
      <c r="G601" s="145">
        <f t="shared" si="30"/>
        <v>0</v>
      </c>
      <c r="H601" s="140" t="str">
        <f t="shared" si="29"/>
        <v/>
      </c>
      <c r="J601" s="147" t="str">
        <f>IFERROR(SUMIFS(当年实际!$V:$V,当年实际!$F:$F,$C601,当年实际!$C:$C,"&gt;="&amp;DATE(YEAR(主页!$D$2),1,1),当年实际!$C:$C,"&lt;="&amp;EOMONTH(DATE(YEAR(主页!$D$2),MONTH(主页!$D$2),1),0))/SUMIFS(当年实际!$P:$P,当年实际!$F:$F,$C601,当年实际!$C:$C,"&gt;="&amp;DATE(YEAR(主页!$D$2),1,1),当年实际!$C:$C,"&lt;="&amp;EOMONTH(DATE(YEAR(主页!$D$2),MONTH(主页!$D$2),1),0)),"")</f>
        <v/>
      </c>
    </row>
    <row r="602" spans="1:10" x14ac:dyDescent="0.3">
      <c r="A602" s="150"/>
      <c r="B602" s="150"/>
      <c r="C602" s="150"/>
      <c r="D602" s="150"/>
      <c r="E602" s="140" t="str">
        <f t="shared" si="28"/>
        <v/>
      </c>
      <c r="F602" s="159"/>
      <c r="G602" s="145">
        <f t="shared" si="30"/>
        <v>0</v>
      </c>
      <c r="H602" s="140" t="str">
        <f t="shared" si="29"/>
        <v/>
      </c>
      <c r="J602" s="147" t="str">
        <f>IFERROR(SUMIFS(当年实际!$V:$V,当年实际!$F:$F,$C602,当年实际!$C:$C,"&gt;="&amp;DATE(YEAR(主页!$D$2),1,1),当年实际!$C:$C,"&lt;="&amp;EOMONTH(DATE(YEAR(主页!$D$2),MONTH(主页!$D$2),1),0))/SUMIFS(当年实际!$P:$P,当年实际!$F:$F,$C602,当年实际!$C:$C,"&gt;="&amp;DATE(YEAR(主页!$D$2),1,1),当年实际!$C:$C,"&lt;="&amp;EOMONTH(DATE(YEAR(主页!$D$2),MONTH(主页!$D$2),1),0)),"")</f>
        <v/>
      </c>
    </row>
    <row r="603" spans="1:10" x14ac:dyDescent="0.3">
      <c r="A603" s="150"/>
      <c r="B603" s="150"/>
      <c r="C603" s="150"/>
      <c r="D603" s="150"/>
      <c r="E603" s="140" t="str">
        <f t="shared" si="28"/>
        <v/>
      </c>
      <c r="F603" s="159"/>
      <c r="G603" s="145">
        <f t="shared" si="30"/>
        <v>0</v>
      </c>
      <c r="H603" s="140" t="str">
        <f t="shared" si="29"/>
        <v/>
      </c>
      <c r="J603" s="147" t="str">
        <f>IFERROR(SUMIFS(当年实际!$V:$V,当年实际!$F:$F,$C603,当年实际!$C:$C,"&gt;="&amp;DATE(YEAR(主页!$D$2),1,1),当年实际!$C:$C,"&lt;="&amp;EOMONTH(DATE(YEAR(主页!$D$2),MONTH(主页!$D$2),1),0))/SUMIFS(当年实际!$P:$P,当年实际!$F:$F,$C603,当年实际!$C:$C,"&gt;="&amp;DATE(YEAR(主页!$D$2),1,1),当年实际!$C:$C,"&lt;="&amp;EOMONTH(DATE(YEAR(主页!$D$2),MONTH(主页!$D$2),1),0)),"")</f>
        <v/>
      </c>
    </row>
    <row r="604" spans="1:10" x14ac:dyDescent="0.3">
      <c r="A604" s="150"/>
      <c r="B604" s="150"/>
      <c r="C604" s="150"/>
      <c r="D604" s="150"/>
      <c r="E604" s="140" t="str">
        <f t="shared" si="28"/>
        <v/>
      </c>
      <c r="F604" s="159"/>
      <c r="G604" s="145">
        <f t="shared" si="30"/>
        <v>0</v>
      </c>
      <c r="H604" s="140" t="str">
        <f t="shared" si="29"/>
        <v/>
      </c>
      <c r="J604" s="147" t="str">
        <f>IFERROR(SUMIFS(当年实际!$V:$V,当年实际!$F:$F,$C604,当年实际!$C:$C,"&gt;="&amp;DATE(YEAR(主页!$D$2),1,1),当年实际!$C:$C,"&lt;="&amp;EOMONTH(DATE(YEAR(主页!$D$2),MONTH(主页!$D$2),1),0))/SUMIFS(当年实际!$P:$P,当年实际!$F:$F,$C604,当年实际!$C:$C,"&gt;="&amp;DATE(YEAR(主页!$D$2),1,1),当年实际!$C:$C,"&lt;="&amp;EOMONTH(DATE(YEAR(主页!$D$2),MONTH(主页!$D$2),1),0)),"")</f>
        <v/>
      </c>
    </row>
    <row r="605" spans="1:10" x14ac:dyDescent="0.3">
      <c r="A605" s="150"/>
      <c r="B605" s="150"/>
      <c r="C605" s="150"/>
      <c r="D605" s="150"/>
      <c r="E605" s="140" t="str">
        <f t="shared" si="28"/>
        <v/>
      </c>
      <c r="F605" s="159"/>
      <c r="G605" s="145">
        <f t="shared" si="30"/>
        <v>0</v>
      </c>
      <c r="H605" s="140" t="str">
        <f t="shared" si="29"/>
        <v/>
      </c>
      <c r="J605" s="147" t="str">
        <f>IFERROR(SUMIFS(当年实际!$V:$V,当年实际!$F:$F,$C605,当年实际!$C:$C,"&gt;="&amp;DATE(YEAR(主页!$D$2),1,1),当年实际!$C:$C,"&lt;="&amp;EOMONTH(DATE(YEAR(主页!$D$2),MONTH(主页!$D$2),1),0))/SUMIFS(当年实际!$P:$P,当年实际!$F:$F,$C605,当年实际!$C:$C,"&gt;="&amp;DATE(YEAR(主页!$D$2),1,1),当年实际!$C:$C,"&lt;="&amp;EOMONTH(DATE(YEAR(主页!$D$2),MONTH(主页!$D$2),1),0)),"")</f>
        <v/>
      </c>
    </row>
    <row r="606" spans="1:10" x14ac:dyDescent="0.3">
      <c r="A606" s="150"/>
      <c r="B606" s="150"/>
      <c r="C606" s="150"/>
      <c r="D606" s="150"/>
      <c r="E606" s="140" t="str">
        <f t="shared" si="28"/>
        <v/>
      </c>
      <c r="F606" s="159"/>
      <c r="G606" s="145">
        <f t="shared" si="30"/>
        <v>0</v>
      </c>
      <c r="H606" s="140" t="str">
        <f t="shared" si="29"/>
        <v/>
      </c>
      <c r="J606" s="147" t="str">
        <f>IFERROR(SUMIFS(当年实际!$V:$V,当年实际!$F:$F,$C606,当年实际!$C:$C,"&gt;="&amp;DATE(YEAR(主页!$D$2),1,1),当年实际!$C:$C,"&lt;="&amp;EOMONTH(DATE(YEAR(主页!$D$2),MONTH(主页!$D$2),1),0))/SUMIFS(当年实际!$P:$P,当年实际!$F:$F,$C606,当年实际!$C:$C,"&gt;="&amp;DATE(YEAR(主页!$D$2),1,1),当年实际!$C:$C,"&lt;="&amp;EOMONTH(DATE(YEAR(主页!$D$2),MONTH(主页!$D$2),1),0)),"")</f>
        <v/>
      </c>
    </row>
    <row r="607" spans="1:10" x14ac:dyDescent="0.3">
      <c r="A607" s="150"/>
      <c r="B607" s="150"/>
      <c r="C607" s="150"/>
      <c r="D607" s="150"/>
      <c r="E607" s="140" t="str">
        <f t="shared" si="28"/>
        <v/>
      </c>
      <c r="F607" s="159"/>
      <c r="G607" s="145">
        <f t="shared" si="30"/>
        <v>0</v>
      </c>
      <c r="H607" s="140" t="str">
        <f t="shared" si="29"/>
        <v/>
      </c>
      <c r="J607" s="147" t="str">
        <f>IFERROR(SUMIFS(当年实际!$V:$V,当年实际!$F:$F,$C607,当年实际!$C:$C,"&gt;="&amp;DATE(YEAR(主页!$D$2),1,1),当年实际!$C:$C,"&lt;="&amp;EOMONTH(DATE(YEAR(主页!$D$2),MONTH(主页!$D$2),1),0))/SUMIFS(当年实际!$P:$P,当年实际!$F:$F,$C607,当年实际!$C:$C,"&gt;="&amp;DATE(YEAR(主页!$D$2),1,1),当年实际!$C:$C,"&lt;="&amp;EOMONTH(DATE(YEAR(主页!$D$2),MONTH(主页!$D$2),1),0)),"")</f>
        <v/>
      </c>
    </row>
    <row r="608" spans="1:10" x14ac:dyDescent="0.3">
      <c r="A608" s="150"/>
      <c r="B608" s="150"/>
      <c r="C608" s="150"/>
      <c r="D608" s="150"/>
      <c r="E608" s="140" t="str">
        <f t="shared" si="28"/>
        <v/>
      </c>
      <c r="F608" s="159"/>
      <c r="G608" s="145">
        <f t="shared" si="30"/>
        <v>0</v>
      </c>
      <c r="H608" s="140" t="str">
        <f t="shared" si="29"/>
        <v/>
      </c>
      <c r="J608" s="147" t="str">
        <f>IFERROR(SUMIFS(当年实际!$V:$V,当年实际!$F:$F,$C608,当年实际!$C:$C,"&gt;="&amp;DATE(YEAR(主页!$D$2),1,1),当年实际!$C:$C,"&lt;="&amp;EOMONTH(DATE(YEAR(主页!$D$2),MONTH(主页!$D$2),1),0))/SUMIFS(当年实际!$P:$P,当年实际!$F:$F,$C608,当年实际!$C:$C,"&gt;="&amp;DATE(YEAR(主页!$D$2),1,1),当年实际!$C:$C,"&lt;="&amp;EOMONTH(DATE(YEAR(主页!$D$2),MONTH(主页!$D$2),1),0)),"")</f>
        <v/>
      </c>
    </row>
    <row r="609" spans="1:10" x14ac:dyDescent="0.3">
      <c r="A609" s="150"/>
      <c r="B609" s="150"/>
      <c r="C609" s="150"/>
      <c r="D609" s="150"/>
      <c r="E609" s="140" t="str">
        <f t="shared" si="28"/>
        <v/>
      </c>
      <c r="F609" s="159"/>
      <c r="G609" s="145">
        <f t="shared" si="30"/>
        <v>0</v>
      </c>
      <c r="H609" s="140" t="str">
        <f t="shared" si="29"/>
        <v/>
      </c>
      <c r="J609" s="147" t="str">
        <f>IFERROR(SUMIFS(当年实际!$V:$V,当年实际!$F:$F,$C609,当年实际!$C:$C,"&gt;="&amp;DATE(YEAR(主页!$D$2),1,1),当年实际!$C:$C,"&lt;="&amp;EOMONTH(DATE(YEAR(主页!$D$2),MONTH(主页!$D$2),1),0))/SUMIFS(当年实际!$P:$P,当年实际!$F:$F,$C609,当年实际!$C:$C,"&gt;="&amp;DATE(YEAR(主页!$D$2),1,1),当年实际!$C:$C,"&lt;="&amp;EOMONTH(DATE(YEAR(主页!$D$2),MONTH(主页!$D$2),1),0)),"")</f>
        <v/>
      </c>
    </row>
    <row r="610" spans="1:10" x14ac:dyDescent="0.3">
      <c r="A610" s="150"/>
      <c r="B610" s="150"/>
      <c r="C610" s="150"/>
      <c r="D610" s="150"/>
      <c r="E610" s="140" t="str">
        <f t="shared" si="28"/>
        <v/>
      </c>
      <c r="F610" s="159"/>
      <c r="G610" s="145">
        <f t="shared" si="30"/>
        <v>0</v>
      </c>
      <c r="H610" s="140" t="str">
        <f t="shared" si="29"/>
        <v/>
      </c>
      <c r="J610" s="147" t="str">
        <f>IFERROR(SUMIFS(当年实际!$V:$V,当年实际!$F:$F,$C610,当年实际!$C:$C,"&gt;="&amp;DATE(YEAR(主页!$D$2),1,1),当年实际!$C:$C,"&lt;="&amp;EOMONTH(DATE(YEAR(主页!$D$2),MONTH(主页!$D$2),1),0))/SUMIFS(当年实际!$P:$P,当年实际!$F:$F,$C610,当年实际!$C:$C,"&gt;="&amp;DATE(YEAR(主页!$D$2),1,1),当年实际!$C:$C,"&lt;="&amp;EOMONTH(DATE(YEAR(主页!$D$2),MONTH(主页!$D$2),1),0)),"")</f>
        <v/>
      </c>
    </row>
    <row r="611" spans="1:10" x14ac:dyDescent="0.3">
      <c r="A611" s="150"/>
      <c r="B611" s="150"/>
      <c r="C611" s="150"/>
      <c r="D611" s="150"/>
      <c r="E611" s="140" t="str">
        <f t="shared" si="28"/>
        <v/>
      </c>
      <c r="F611" s="159"/>
      <c r="G611" s="145">
        <f t="shared" si="30"/>
        <v>0</v>
      </c>
      <c r="H611" s="140" t="str">
        <f t="shared" si="29"/>
        <v/>
      </c>
      <c r="J611" s="147" t="str">
        <f>IFERROR(SUMIFS(当年实际!$V:$V,当年实际!$F:$F,$C611,当年实际!$C:$C,"&gt;="&amp;DATE(YEAR(主页!$D$2),1,1),当年实际!$C:$C,"&lt;="&amp;EOMONTH(DATE(YEAR(主页!$D$2),MONTH(主页!$D$2),1),0))/SUMIFS(当年实际!$P:$P,当年实际!$F:$F,$C611,当年实际!$C:$C,"&gt;="&amp;DATE(YEAR(主页!$D$2),1,1),当年实际!$C:$C,"&lt;="&amp;EOMONTH(DATE(YEAR(主页!$D$2),MONTH(主页!$D$2),1),0)),"")</f>
        <v/>
      </c>
    </row>
    <row r="612" spans="1:10" x14ac:dyDescent="0.3">
      <c r="A612" s="150"/>
      <c r="B612" s="150"/>
      <c r="C612" s="150"/>
      <c r="D612" s="150"/>
      <c r="E612" s="140" t="str">
        <f t="shared" si="28"/>
        <v/>
      </c>
      <c r="F612" s="159"/>
      <c r="G612" s="145">
        <f t="shared" si="30"/>
        <v>0</v>
      </c>
      <c r="H612" s="140" t="str">
        <f t="shared" si="29"/>
        <v/>
      </c>
      <c r="J612" s="147" t="str">
        <f>IFERROR(SUMIFS(当年实际!$V:$V,当年实际!$F:$F,$C612,当年实际!$C:$C,"&gt;="&amp;DATE(YEAR(主页!$D$2),1,1),当年实际!$C:$C,"&lt;="&amp;EOMONTH(DATE(YEAR(主页!$D$2),MONTH(主页!$D$2),1),0))/SUMIFS(当年实际!$P:$P,当年实际!$F:$F,$C612,当年实际!$C:$C,"&gt;="&amp;DATE(YEAR(主页!$D$2),1,1),当年实际!$C:$C,"&lt;="&amp;EOMONTH(DATE(YEAR(主页!$D$2),MONTH(主页!$D$2),1),0)),"")</f>
        <v/>
      </c>
    </row>
    <row r="613" spans="1:10" x14ac:dyDescent="0.3">
      <c r="A613" s="150"/>
      <c r="B613" s="150"/>
      <c r="C613" s="150"/>
      <c r="D613" s="150"/>
      <c r="E613" s="140" t="str">
        <f t="shared" si="28"/>
        <v/>
      </c>
      <c r="F613" s="159"/>
      <c r="G613" s="145">
        <f t="shared" si="30"/>
        <v>0</v>
      </c>
      <c r="H613" s="140" t="str">
        <f t="shared" si="29"/>
        <v/>
      </c>
      <c r="J613" s="147" t="str">
        <f>IFERROR(SUMIFS(当年实际!$V:$V,当年实际!$F:$F,$C613,当年实际!$C:$C,"&gt;="&amp;DATE(YEAR(主页!$D$2),1,1),当年实际!$C:$C,"&lt;="&amp;EOMONTH(DATE(YEAR(主页!$D$2),MONTH(主页!$D$2),1),0))/SUMIFS(当年实际!$P:$P,当年实际!$F:$F,$C613,当年实际!$C:$C,"&gt;="&amp;DATE(YEAR(主页!$D$2),1,1),当年实际!$C:$C,"&lt;="&amp;EOMONTH(DATE(YEAR(主页!$D$2),MONTH(主页!$D$2),1),0)),"")</f>
        <v/>
      </c>
    </row>
    <row r="614" spans="1:10" x14ac:dyDescent="0.3">
      <c r="A614" s="150"/>
      <c r="B614" s="150"/>
      <c r="C614" s="150"/>
      <c r="D614" s="150"/>
      <c r="E614" s="140" t="str">
        <f t="shared" si="28"/>
        <v/>
      </c>
      <c r="F614" s="159"/>
      <c r="G614" s="145">
        <f t="shared" si="30"/>
        <v>0</v>
      </c>
      <c r="H614" s="140" t="str">
        <f t="shared" si="29"/>
        <v/>
      </c>
      <c r="J614" s="147" t="str">
        <f>IFERROR(SUMIFS(当年实际!$V:$V,当年实际!$F:$F,$C614,当年实际!$C:$C,"&gt;="&amp;DATE(YEAR(主页!$D$2),1,1),当年实际!$C:$C,"&lt;="&amp;EOMONTH(DATE(YEAR(主页!$D$2),MONTH(主页!$D$2),1),0))/SUMIFS(当年实际!$P:$P,当年实际!$F:$F,$C614,当年实际!$C:$C,"&gt;="&amp;DATE(YEAR(主页!$D$2),1,1),当年实际!$C:$C,"&lt;="&amp;EOMONTH(DATE(YEAR(主页!$D$2),MONTH(主页!$D$2),1),0)),"")</f>
        <v/>
      </c>
    </row>
    <row r="615" spans="1:10" x14ac:dyDescent="0.3">
      <c r="A615" s="150"/>
      <c r="B615" s="150"/>
      <c r="C615" s="150"/>
      <c r="D615" s="150"/>
      <c r="E615" s="140" t="str">
        <f t="shared" si="28"/>
        <v/>
      </c>
      <c r="F615" s="159"/>
      <c r="G615" s="145">
        <f t="shared" si="30"/>
        <v>0</v>
      </c>
      <c r="H615" s="140" t="str">
        <f t="shared" si="29"/>
        <v/>
      </c>
      <c r="J615" s="147" t="str">
        <f>IFERROR(SUMIFS(当年实际!$V:$V,当年实际!$F:$F,$C615,当年实际!$C:$C,"&gt;="&amp;DATE(YEAR(主页!$D$2),1,1),当年实际!$C:$C,"&lt;="&amp;EOMONTH(DATE(YEAR(主页!$D$2),MONTH(主页!$D$2),1),0))/SUMIFS(当年实际!$P:$P,当年实际!$F:$F,$C615,当年实际!$C:$C,"&gt;="&amp;DATE(YEAR(主页!$D$2),1,1),当年实际!$C:$C,"&lt;="&amp;EOMONTH(DATE(YEAR(主页!$D$2),MONTH(主页!$D$2),1),0)),"")</f>
        <v/>
      </c>
    </row>
    <row r="616" spans="1:10" x14ac:dyDescent="0.3">
      <c r="A616" s="150"/>
      <c r="B616" s="150"/>
      <c r="C616" s="150"/>
      <c r="D616" s="150"/>
      <c r="E616" s="140" t="str">
        <f t="shared" si="28"/>
        <v/>
      </c>
      <c r="F616" s="159"/>
      <c r="G616" s="145">
        <f t="shared" si="30"/>
        <v>0</v>
      </c>
      <c r="H616" s="140" t="str">
        <f t="shared" si="29"/>
        <v/>
      </c>
      <c r="J616" s="147" t="str">
        <f>IFERROR(SUMIFS(当年实际!$V:$V,当年实际!$F:$F,$C616,当年实际!$C:$C,"&gt;="&amp;DATE(YEAR(主页!$D$2),1,1),当年实际!$C:$C,"&lt;="&amp;EOMONTH(DATE(YEAR(主页!$D$2),MONTH(主页!$D$2),1),0))/SUMIFS(当年实际!$P:$P,当年实际!$F:$F,$C616,当年实际!$C:$C,"&gt;="&amp;DATE(YEAR(主页!$D$2),1,1),当年实际!$C:$C,"&lt;="&amp;EOMONTH(DATE(YEAR(主页!$D$2),MONTH(主页!$D$2),1),0)),"")</f>
        <v/>
      </c>
    </row>
    <row r="617" spans="1:10" x14ac:dyDescent="0.3">
      <c r="A617" s="150"/>
      <c r="B617" s="150"/>
      <c r="C617" s="150"/>
      <c r="D617" s="150"/>
      <c r="E617" s="140" t="str">
        <f t="shared" si="28"/>
        <v/>
      </c>
      <c r="F617" s="159"/>
      <c r="G617" s="145">
        <f t="shared" si="30"/>
        <v>0</v>
      </c>
      <c r="H617" s="140" t="str">
        <f t="shared" si="29"/>
        <v/>
      </c>
      <c r="J617" s="147" t="str">
        <f>IFERROR(SUMIFS(当年实际!$V:$V,当年实际!$F:$F,$C617,当年实际!$C:$C,"&gt;="&amp;DATE(YEAR(主页!$D$2),1,1),当年实际!$C:$C,"&lt;="&amp;EOMONTH(DATE(YEAR(主页!$D$2),MONTH(主页!$D$2),1),0))/SUMIFS(当年实际!$P:$P,当年实际!$F:$F,$C617,当年实际!$C:$C,"&gt;="&amp;DATE(YEAR(主页!$D$2),1,1),当年实际!$C:$C,"&lt;="&amp;EOMONTH(DATE(YEAR(主页!$D$2),MONTH(主页!$D$2),1),0)),"")</f>
        <v/>
      </c>
    </row>
    <row r="618" spans="1:10" x14ac:dyDescent="0.3">
      <c r="A618" s="150"/>
      <c r="B618" s="150"/>
      <c r="C618" s="150"/>
      <c r="D618" s="150"/>
      <c r="E618" s="140" t="str">
        <f t="shared" si="28"/>
        <v/>
      </c>
      <c r="F618" s="159"/>
      <c r="G618" s="145">
        <f t="shared" si="30"/>
        <v>0</v>
      </c>
      <c r="H618" s="140" t="str">
        <f t="shared" si="29"/>
        <v/>
      </c>
      <c r="J618" s="147" t="str">
        <f>IFERROR(SUMIFS(当年实际!$V:$V,当年实际!$F:$F,$C618,当年实际!$C:$C,"&gt;="&amp;DATE(YEAR(主页!$D$2),1,1),当年实际!$C:$C,"&lt;="&amp;EOMONTH(DATE(YEAR(主页!$D$2),MONTH(主页!$D$2),1),0))/SUMIFS(当年实际!$P:$P,当年实际!$F:$F,$C618,当年实际!$C:$C,"&gt;="&amp;DATE(YEAR(主页!$D$2),1,1),当年实际!$C:$C,"&lt;="&amp;EOMONTH(DATE(YEAR(主页!$D$2),MONTH(主页!$D$2),1),0)),"")</f>
        <v/>
      </c>
    </row>
    <row r="619" spans="1:10" x14ac:dyDescent="0.3">
      <c r="A619" s="150"/>
      <c r="B619" s="150"/>
      <c r="C619" s="150"/>
      <c r="D619" s="150"/>
      <c r="E619" s="140" t="str">
        <f t="shared" si="28"/>
        <v/>
      </c>
      <c r="F619" s="159"/>
      <c r="G619" s="145">
        <f t="shared" si="30"/>
        <v>0</v>
      </c>
      <c r="H619" s="140" t="str">
        <f t="shared" si="29"/>
        <v/>
      </c>
      <c r="J619" s="147" t="str">
        <f>IFERROR(SUMIFS(当年实际!$V:$V,当年实际!$F:$F,$C619,当年实际!$C:$C,"&gt;="&amp;DATE(YEAR(主页!$D$2),1,1),当年实际!$C:$C,"&lt;="&amp;EOMONTH(DATE(YEAR(主页!$D$2),MONTH(主页!$D$2),1),0))/SUMIFS(当年实际!$P:$P,当年实际!$F:$F,$C619,当年实际!$C:$C,"&gt;="&amp;DATE(YEAR(主页!$D$2),1,1),当年实际!$C:$C,"&lt;="&amp;EOMONTH(DATE(YEAR(主页!$D$2),MONTH(主页!$D$2),1),0)),"")</f>
        <v/>
      </c>
    </row>
    <row r="620" spans="1:10" x14ac:dyDescent="0.3">
      <c r="A620" s="150"/>
      <c r="B620" s="150"/>
      <c r="C620" s="150"/>
      <c r="D620" s="150"/>
      <c r="E620" s="140" t="str">
        <f t="shared" si="28"/>
        <v/>
      </c>
      <c r="F620" s="159"/>
      <c r="G620" s="145">
        <f t="shared" si="30"/>
        <v>0</v>
      </c>
      <c r="H620" s="140" t="str">
        <f t="shared" si="29"/>
        <v/>
      </c>
      <c r="J620" s="147" t="str">
        <f>IFERROR(SUMIFS(当年实际!$V:$V,当年实际!$F:$F,$C620,当年实际!$C:$C,"&gt;="&amp;DATE(YEAR(主页!$D$2),1,1),当年实际!$C:$C,"&lt;="&amp;EOMONTH(DATE(YEAR(主页!$D$2),MONTH(主页!$D$2),1),0))/SUMIFS(当年实际!$P:$P,当年实际!$F:$F,$C620,当年实际!$C:$C,"&gt;="&amp;DATE(YEAR(主页!$D$2),1,1),当年实际!$C:$C,"&lt;="&amp;EOMONTH(DATE(YEAR(主页!$D$2),MONTH(主页!$D$2),1),0)),"")</f>
        <v/>
      </c>
    </row>
    <row r="621" spans="1:10" x14ac:dyDescent="0.3">
      <c r="A621" s="150"/>
      <c r="B621" s="150"/>
      <c r="C621" s="150"/>
      <c r="D621" s="150"/>
      <c r="E621" s="140" t="str">
        <f t="shared" si="28"/>
        <v/>
      </c>
      <c r="F621" s="159"/>
      <c r="G621" s="145">
        <f t="shared" si="30"/>
        <v>0</v>
      </c>
      <c r="H621" s="140" t="str">
        <f t="shared" si="29"/>
        <v/>
      </c>
      <c r="J621" s="147" t="str">
        <f>IFERROR(SUMIFS(当年实际!$V:$V,当年实际!$F:$F,$C621,当年实际!$C:$C,"&gt;="&amp;DATE(YEAR(主页!$D$2),1,1),当年实际!$C:$C,"&lt;="&amp;EOMONTH(DATE(YEAR(主页!$D$2),MONTH(主页!$D$2),1),0))/SUMIFS(当年实际!$P:$P,当年实际!$F:$F,$C621,当年实际!$C:$C,"&gt;="&amp;DATE(YEAR(主页!$D$2),1,1),当年实际!$C:$C,"&lt;="&amp;EOMONTH(DATE(YEAR(主页!$D$2),MONTH(主页!$D$2),1),0)),"")</f>
        <v/>
      </c>
    </row>
    <row r="622" spans="1:10" x14ac:dyDescent="0.3">
      <c r="A622" s="150"/>
      <c r="B622" s="150"/>
      <c r="C622" s="150"/>
      <c r="D622" s="150"/>
      <c r="E622" s="140" t="str">
        <f t="shared" si="28"/>
        <v/>
      </c>
      <c r="F622" s="159"/>
      <c r="G622" s="145">
        <f t="shared" si="30"/>
        <v>0</v>
      </c>
      <c r="H622" s="140" t="str">
        <f t="shared" si="29"/>
        <v/>
      </c>
      <c r="J622" s="147" t="str">
        <f>IFERROR(SUMIFS(当年实际!$V:$V,当年实际!$F:$F,$C622,当年实际!$C:$C,"&gt;="&amp;DATE(YEAR(主页!$D$2),1,1),当年实际!$C:$C,"&lt;="&amp;EOMONTH(DATE(YEAR(主页!$D$2),MONTH(主页!$D$2),1),0))/SUMIFS(当年实际!$P:$P,当年实际!$F:$F,$C622,当年实际!$C:$C,"&gt;="&amp;DATE(YEAR(主页!$D$2),1,1),当年实际!$C:$C,"&lt;="&amp;EOMONTH(DATE(YEAR(主页!$D$2),MONTH(主页!$D$2),1),0)),"")</f>
        <v/>
      </c>
    </row>
    <row r="623" spans="1:10" x14ac:dyDescent="0.3">
      <c r="A623" s="150"/>
      <c r="B623" s="150"/>
      <c r="C623" s="150"/>
      <c r="D623" s="150"/>
      <c r="E623" s="140" t="str">
        <f t="shared" si="28"/>
        <v/>
      </c>
      <c r="F623" s="159"/>
      <c r="G623" s="145">
        <f t="shared" si="30"/>
        <v>0</v>
      </c>
      <c r="H623" s="140" t="str">
        <f t="shared" si="29"/>
        <v/>
      </c>
      <c r="J623" s="147" t="str">
        <f>IFERROR(SUMIFS(当年实际!$V:$V,当年实际!$F:$F,$C623,当年实际!$C:$C,"&gt;="&amp;DATE(YEAR(主页!$D$2),1,1),当年实际!$C:$C,"&lt;="&amp;EOMONTH(DATE(YEAR(主页!$D$2),MONTH(主页!$D$2),1),0))/SUMIFS(当年实际!$P:$P,当年实际!$F:$F,$C623,当年实际!$C:$C,"&gt;="&amp;DATE(YEAR(主页!$D$2),1,1),当年实际!$C:$C,"&lt;="&amp;EOMONTH(DATE(YEAR(主页!$D$2),MONTH(主页!$D$2),1),0)),"")</f>
        <v/>
      </c>
    </row>
    <row r="624" spans="1:10" x14ac:dyDescent="0.3">
      <c r="A624" s="150"/>
      <c r="B624" s="150"/>
      <c r="C624" s="150"/>
      <c r="D624" s="150"/>
      <c r="E624" s="140" t="str">
        <f t="shared" si="28"/>
        <v/>
      </c>
      <c r="F624" s="159"/>
      <c r="G624" s="145">
        <f t="shared" si="30"/>
        <v>0</v>
      </c>
      <c r="H624" s="140" t="str">
        <f t="shared" si="29"/>
        <v/>
      </c>
      <c r="J624" s="147" t="str">
        <f>IFERROR(SUMIFS(当年实际!$V:$V,当年实际!$F:$F,$C624,当年实际!$C:$C,"&gt;="&amp;DATE(YEAR(主页!$D$2),1,1),当年实际!$C:$C,"&lt;="&amp;EOMONTH(DATE(YEAR(主页!$D$2),MONTH(主页!$D$2),1),0))/SUMIFS(当年实际!$P:$P,当年实际!$F:$F,$C624,当年实际!$C:$C,"&gt;="&amp;DATE(YEAR(主页!$D$2),1,1),当年实际!$C:$C,"&lt;="&amp;EOMONTH(DATE(YEAR(主页!$D$2),MONTH(主页!$D$2),1),0)),"")</f>
        <v/>
      </c>
    </row>
    <row r="625" spans="1:10" x14ac:dyDescent="0.3">
      <c r="A625" s="150"/>
      <c r="B625" s="150"/>
      <c r="C625" s="150"/>
      <c r="D625" s="150"/>
      <c r="E625" s="140" t="str">
        <f t="shared" si="28"/>
        <v/>
      </c>
      <c r="F625" s="159"/>
      <c r="G625" s="145">
        <f t="shared" si="30"/>
        <v>0</v>
      </c>
      <c r="H625" s="140" t="str">
        <f t="shared" si="29"/>
        <v/>
      </c>
      <c r="J625" s="147" t="str">
        <f>IFERROR(SUMIFS(当年实际!$V:$V,当年实际!$F:$F,$C625,当年实际!$C:$C,"&gt;="&amp;DATE(YEAR(主页!$D$2),1,1),当年实际!$C:$C,"&lt;="&amp;EOMONTH(DATE(YEAR(主页!$D$2),MONTH(主页!$D$2),1),0))/SUMIFS(当年实际!$P:$P,当年实际!$F:$F,$C625,当年实际!$C:$C,"&gt;="&amp;DATE(YEAR(主页!$D$2),1,1),当年实际!$C:$C,"&lt;="&amp;EOMONTH(DATE(YEAR(主页!$D$2),MONTH(主页!$D$2),1),0)),"")</f>
        <v/>
      </c>
    </row>
    <row r="626" spans="1:10" x14ac:dyDescent="0.3">
      <c r="A626" s="150"/>
      <c r="B626" s="150"/>
      <c r="C626" s="150"/>
      <c r="D626" s="150"/>
      <c r="E626" s="140" t="str">
        <f t="shared" si="28"/>
        <v/>
      </c>
      <c r="F626" s="159"/>
      <c r="G626" s="145">
        <f t="shared" si="30"/>
        <v>0</v>
      </c>
      <c r="H626" s="140" t="str">
        <f t="shared" si="29"/>
        <v/>
      </c>
      <c r="J626" s="147" t="str">
        <f>IFERROR(SUMIFS(当年实际!$V:$V,当年实际!$F:$F,$C626,当年实际!$C:$C,"&gt;="&amp;DATE(YEAR(主页!$D$2),1,1),当年实际!$C:$C,"&lt;="&amp;EOMONTH(DATE(YEAR(主页!$D$2),MONTH(主页!$D$2),1),0))/SUMIFS(当年实际!$P:$P,当年实际!$F:$F,$C626,当年实际!$C:$C,"&gt;="&amp;DATE(YEAR(主页!$D$2),1,1),当年实际!$C:$C,"&lt;="&amp;EOMONTH(DATE(YEAR(主页!$D$2),MONTH(主页!$D$2),1),0)),"")</f>
        <v/>
      </c>
    </row>
    <row r="627" spans="1:10" x14ac:dyDescent="0.3">
      <c r="A627" s="150"/>
      <c r="B627" s="150"/>
      <c r="C627" s="150"/>
      <c r="D627" s="150"/>
      <c r="E627" s="140" t="str">
        <f t="shared" si="28"/>
        <v/>
      </c>
      <c r="F627" s="159"/>
      <c r="G627" s="145">
        <f t="shared" si="30"/>
        <v>0</v>
      </c>
      <c r="H627" s="140" t="str">
        <f t="shared" si="29"/>
        <v/>
      </c>
      <c r="J627" s="147" t="str">
        <f>IFERROR(SUMIFS(当年实际!$V:$V,当年实际!$F:$F,$C627,当年实际!$C:$C,"&gt;="&amp;DATE(YEAR(主页!$D$2),1,1),当年实际!$C:$C,"&lt;="&amp;EOMONTH(DATE(YEAR(主页!$D$2),MONTH(主页!$D$2),1),0))/SUMIFS(当年实际!$P:$P,当年实际!$F:$F,$C627,当年实际!$C:$C,"&gt;="&amp;DATE(YEAR(主页!$D$2),1,1),当年实际!$C:$C,"&lt;="&amp;EOMONTH(DATE(YEAR(主页!$D$2),MONTH(主页!$D$2),1),0)),"")</f>
        <v/>
      </c>
    </row>
    <row r="628" spans="1:10" x14ac:dyDescent="0.3">
      <c r="A628" s="150"/>
      <c r="B628" s="150"/>
      <c r="C628" s="150"/>
      <c r="D628" s="150"/>
      <c r="E628" s="140" t="str">
        <f t="shared" si="28"/>
        <v/>
      </c>
      <c r="F628" s="159"/>
      <c r="G628" s="145">
        <f t="shared" si="30"/>
        <v>0</v>
      </c>
      <c r="H628" s="140" t="str">
        <f t="shared" si="29"/>
        <v/>
      </c>
      <c r="J628" s="147" t="str">
        <f>IFERROR(SUMIFS(当年实际!$V:$V,当年实际!$F:$F,$C628,当年实际!$C:$C,"&gt;="&amp;DATE(YEAR(主页!$D$2),1,1),当年实际!$C:$C,"&lt;="&amp;EOMONTH(DATE(YEAR(主页!$D$2),MONTH(主页!$D$2),1),0))/SUMIFS(当年实际!$P:$P,当年实际!$F:$F,$C628,当年实际!$C:$C,"&gt;="&amp;DATE(YEAR(主页!$D$2),1,1),当年实际!$C:$C,"&lt;="&amp;EOMONTH(DATE(YEAR(主页!$D$2),MONTH(主页!$D$2),1),0)),"")</f>
        <v/>
      </c>
    </row>
    <row r="629" spans="1:10" x14ac:dyDescent="0.3">
      <c r="A629" s="150"/>
      <c r="B629" s="150"/>
      <c r="C629" s="150"/>
      <c r="D629" s="150"/>
      <c r="E629" s="140" t="str">
        <f t="shared" si="28"/>
        <v/>
      </c>
      <c r="F629" s="159"/>
      <c r="G629" s="145">
        <f t="shared" si="30"/>
        <v>0</v>
      </c>
      <c r="H629" s="140" t="str">
        <f t="shared" si="29"/>
        <v/>
      </c>
      <c r="J629" s="147" t="str">
        <f>IFERROR(SUMIFS(当年实际!$V:$V,当年实际!$F:$F,$C629,当年实际!$C:$C,"&gt;="&amp;DATE(YEAR(主页!$D$2),1,1),当年实际!$C:$C,"&lt;="&amp;EOMONTH(DATE(YEAR(主页!$D$2),MONTH(主页!$D$2),1),0))/SUMIFS(当年实际!$P:$P,当年实际!$F:$F,$C629,当年实际!$C:$C,"&gt;="&amp;DATE(YEAR(主页!$D$2),1,1),当年实际!$C:$C,"&lt;="&amp;EOMONTH(DATE(YEAR(主页!$D$2),MONTH(主页!$D$2),1),0)),"")</f>
        <v/>
      </c>
    </row>
    <row r="630" spans="1:10" x14ac:dyDescent="0.3">
      <c r="A630" s="150"/>
      <c r="B630" s="150"/>
      <c r="C630" s="150"/>
      <c r="D630" s="150"/>
      <c r="E630" s="140" t="str">
        <f t="shared" si="28"/>
        <v/>
      </c>
      <c r="F630" s="159"/>
      <c r="G630" s="145">
        <f t="shared" si="30"/>
        <v>0</v>
      </c>
      <c r="H630" s="140" t="str">
        <f t="shared" si="29"/>
        <v/>
      </c>
      <c r="J630" s="147" t="str">
        <f>IFERROR(SUMIFS(当年实际!$V:$V,当年实际!$F:$F,$C630,当年实际!$C:$C,"&gt;="&amp;DATE(YEAR(主页!$D$2),1,1),当年实际!$C:$C,"&lt;="&amp;EOMONTH(DATE(YEAR(主页!$D$2),MONTH(主页!$D$2),1),0))/SUMIFS(当年实际!$P:$P,当年实际!$F:$F,$C630,当年实际!$C:$C,"&gt;="&amp;DATE(YEAR(主页!$D$2),1,1),当年实际!$C:$C,"&lt;="&amp;EOMONTH(DATE(YEAR(主页!$D$2),MONTH(主页!$D$2),1),0)),"")</f>
        <v/>
      </c>
    </row>
    <row r="631" spans="1:10" x14ac:dyDescent="0.3">
      <c r="A631" s="150"/>
      <c r="B631" s="150"/>
      <c r="C631" s="150"/>
      <c r="D631" s="150"/>
      <c r="E631" s="140" t="str">
        <f t="shared" si="28"/>
        <v/>
      </c>
      <c r="F631" s="159"/>
      <c r="G631" s="145">
        <f t="shared" si="30"/>
        <v>0</v>
      </c>
      <c r="H631" s="140" t="str">
        <f t="shared" si="29"/>
        <v/>
      </c>
      <c r="J631" s="147" t="str">
        <f>IFERROR(SUMIFS(当年实际!$V:$V,当年实际!$F:$F,$C631,当年实际!$C:$C,"&gt;="&amp;DATE(YEAR(主页!$D$2),1,1),当年实际!$C:$C,"&lt;="&amp;EOMONTH(DATE(YEAR(主页!$D$2),MONTH(主页!$D$2),1),0))/SUMIFS(当年实际!$P:$P,当年实际!$F:$F,$C631,当年实际!$C:$C,"&gt;="&amp;DATE(YEAR(主页!$D$2),1,1),当年实际!$C:$C,"&lt;="&amp;EOMONTH(DATE(YEAR(主页!$D$2),MONTH(主页!$D$2),1),0)),"")</f>
        <v/>
      </c>
    </row>
    <row r="632" spans="1:10" x14ac:dyDescent="0.3">
      <c r="A632" s="150"/>
      <c r="B632" s="150"/>
      <c r="C632" s="150"/>
      <c r="D632" s="150"/>
      <c r="E632" s="140" t="str">
        <f t="shared" si="28"/>
        <v/>
      </c>
      <c r="F632" s="159"/>
      <c r="G632" s="145">
        <f t="shared" si="30"/>
        <v>0</v>
      </c>
      <c r="H632" s="140" t="str">
        <f t="shared" si="29"/>
        <v/>
      </c>
      <c r="J632" s="147" t="str">
        <f>IFERROR(SUMIFS(当年实际!$V:$V,当年实际!$F:$F,$C632,当年实际!$C:$C,"&gt;="&amp;DATE(YEAR(主页!$D$2),1,1),当年实际!$C:$C,"&lt;="&amp;EOMONTH(DATE(YEAR(主页!$D$2),MONTH(主页!$D$2),1),0))/SUMIFS(当年实际!$P:$P,当年实际!$F:$F,$C632,当年实际!$C:$C,"&gt;="&amp;DATE(YEAR(主页!$D$2),1,1),当年实际!$C:$C,"&lt;="&amp;EOMONTH(DATE(YEAR(主页!$D$2),MONTH(主页!$D$2),1),0)),"")</f>
        <v/>
      </c>
    </row>
    <row r="633" spans="1:10" x14ac:dyDescent="0.3">
      <c r="A633" s="150"/>
      <c r="B633" s="150"/>
      <c r="C633" s="150"/>
      <c r="D633" s="150"/>
      <c r="E633" s="140" t="str">
        <f t="shared" si="28"/>
        <v/>
      </c>
      <c r="F633" s="159"/>
      <c r="G633" s="145">
        <f t="shared" si="30"/>
        <v>0</v>
      </c>
      <c r="H633" s="140" t="str">
        <f t="shared" si="29"/>
        <v/>
      </c>
      <c r="J633" s="147" t="str">
        <f>IFERROR(SUMIFS(当年实际!$V:$V,当年实际!$F:$F,$C633,当年实际!$C:$C,"&gt;="&amp;DATE(YEAR(主页!$D$2),1,1),当年实际!$C:$C,"&lt;="&amp;EOMONTH(DATE(YEAR(主页!$D$2),MONTH(主页!$D$2),1),0))/SUMIFS(当年实际!$P:$P,当年实际!$F:$F,$C633,当年实际!$C:$C,"&gt;="&amp;DATE(YEAR(主页!$D$2),1,1),当年实际!$C:$C,"&lt;="&amp;EOMONTH(DATE(YEAR(主页!$D$2),MONTH(主页!$D$2),1),0)),"")</f>
        <v/>
      </c>
    </row>
    <row r="634" spans="1:10" x14ac:dyDescent="0.3">
      <c r="A634" s="150"/>
      <c r="B634" s="150"/>
      <c r="C634" s="150"/>
      <c r="D634" s="150"/>
      <c r="E634" s="140" t="str">
        <f t="shared" si="28"/>
        <v/>
      </c>
      <c r="F634" s="159"/>
      <c r="G634" s="145">
        <f t="shared" si="30"/>
        <v>0</v>
      </c>
      <c r="H634" s="140" t="str">
        <f t="shared" si="29"/>
        <v/>
      </c>
      <c r="J634" s="147" t="str">
        <f>IFERROR(SUMIFS(当年实际!$V:$V,当年实际!$F:$F,$C634,当年实际!$C:$C,"&gt;="&amp;DATE(YEAR(主页!$D$2),1,1),当年实际!$C:$C,"&lt;="&amp;EOMONTH(DATE(YEAR(主页!$D$2),MONTH(主页!$D$2),1),0))/SUMIFS(当年实际!$P:$P,当年实际!$F:$F,$C634,当年实际!$C:$C,"&gt;="&amp;DATE(YEAR(主页!$D$2),1,1),当年实际!$C:$C,"&lt;="&amp;EOMONTH(DATE(YEAR(主页!$D$2),MONTH(主页!$D$2),1),0)),"")</f>
        <v/>
      </c>
    </row>
    <row r="635" spans="1:10" x14ac:dyDescent="0.3">
      <c r="A635" s="150"/>
      <c r="B635" s="150"/>
      <c r="C635" s="150"/>
      <c r="D635" s="150"/>
      <c r="E635" s="140" t="str">
        <f t="shared" si="28"/>
        <v/>
      </c>
      <c r="F635" s="159"/>
      <c r="G635" s="145">
        <f t="shared" si="30"/>
        <v>0</v>
      </c>
      <c r="H635" s="140" t="str">
        <f t="shared" si="29"/>
        <v/>
      </c>
      <c r="J635" s="147" t="str">
        <f>IFERROR(SUMIFS(当年实际!$V:$V,当年实际!$F:$F,$C635,当年实际!$C:$C,"&gt;="&amp;DATE(YEAR(主页!$D$2),1,1),当年实际!$C:$C,"&lt;="&amp;EOMONTH(DATE(YEAR(主页!$D$2),MONTH(主页!$D$2),1),0))/SUMIFS(当年实际!$P:$P,当年实际!$F:$F,$C635,当年实际!$C:$C,"&gt;="&amp;DATE(YEAR(主页!$D$2),1,1),当年实际!$C:$C,"&lt;="&amp;EOMONTH(DATE(YEAR(主页!$D$2),MONTH(主页!$D$2),1),0)),"")</f>
        <v/>
      </c>
    </row>
    <row r="636" spans="1:10" x14ac:dyDescent="0.3">
      <c r="A636" s="150"/>
      <c r="B636" s="150"/>
      <c r="C636" s="150"/>
      <c r="D636" s="150"/>
      <c r="E636" s="140" t="str">
        <f t="shared" si="28"/>
        <v/>
      </c>
      <c r="F636" s="159"/>
      <c r="G636" s="145">
        <f t="shared" si="30"/>
        <v>0</v>
      </c>
      <c r="H636" s="140" t="str">
        <f t="shared" si="29"/>
        <v/>
      </c>
      <c r="J636" s="147" t="str">
        <f>IFERROR(SUMIFS(当年实际!$V:$V,当年实际!$F:$F,$C636,当年实际!$C:$C,"&gt;="&amp;DATE(YEAR(主页!$D$2),1,1),当年实际!$C:$C,"&lt;="&amp;EOMONTH(DATE(YEAR(主页!$D$2),MONTH(主页!$D$2),1),0))/SUMIFS(当年实际!$P:$P,当年实际!$F:$F,$C636,当年实际!$C:$C,"&gt;="&amp;DATE(YEAR(主页!$D$2),1,1),当年实际!$C:$C,"&lt;="&amp;EOMONTH(DATE(YEAR(主页!$D$2),MONTH(主页!$D$2),1),0)),"")</f>
        <v/>
      </c>
    </row>
    <row r="637" spans="1:10" x14ac:dyDescent="0.3">
      <c r="A637" s="150"/>
      <c r="B637" s="150"/>
      <c r="C637" s="150"/>
      <c r="D637" s="150"/>
      <c r="E637" s="140" t="str">
        <f t="shared" si="28"/>
        <v/>
      </c>
      <c r="F637" s="159"/>
      <c r="G637" s="145">
        <f t="shared" si="30"/>
        <v>0</v>
      </c>
      <c r="H637" s="140" t="str">
        <f t="shared" si="29"/>
        <v/>
      </c>
      <c r="J637" s="147" t="str">
        <f>IFERROR(SUMIFS(当年实际!$V:$V,当年实际!$F:$F,$C637,当年实际!$C:$C,"&gt;="&amp;DATE(YEAR(主页!$D$2),1,1),当年实际!$C:$C,"&lt;="&amp;EOMONTH(DATE(YEAR(主页!$D$2),MONTH(主页!$D$2),1),0))/SUMIFS(当年实际!$P:$P,当年实际!$F:$F,$C637,当年实际!$C:$C,"&gt;="&amp;DATE(YEAR(主页!$D$2),1,1),当年实际!$C:$C,"&lt;="&amp;EOMONTH(DATE(YEAR(主页!$D$2),MONTH(主页!$D$2),1),0)),"")</f>
        <v/>
      </c>
    </row>
    <row r="638" spans="1:10" x14ac:dyDescent="0.3">
      <c r="A638" s="150"/>
      <c r="B638" s="150"/>
      <c r="C638" s="150"/>
      <c r="D638" s="150"/>
      <c r="E638" s="140" t="str">
        <f t="shared" si="28"/>
        <v/>
      </c>
      <c r="F638" s="159"/>
      <c r="G638" s="145">
        <f t="shared" si="30"/>
        <v>0</v>
      </c>
      <c r="H638" s="140" t="str">
        <f t="shared" si="29"/>
        <v/>
      </c>
      <c r="J638" s="147" t="str">
        <f>IFERROR(SUMIFS(当年实际!$V:$V,当年实际!$F:$F,$C638,当年实际!$C:$C,"&gt;="&amp;DATE(YEAR(主页!$D$2),1,1),当年实际!$C:$C,"&lt;="&amp;EOMONTH(DATE(YEAR(主页!$D$2),MONTH(主页!$D$2),1),0))/SUMIFS(当年实际!$P:$P,当年实际!$F:$F,$C638,当年实际!$C:$C,"&gt;="&amp;DATE(YEAR(主页!$D$2),1,1),当年实际!$C:$C,"&lt;="&amp;EOMONTH(DATE(YEAR(主页!$D$2),MONTH(主页!$D$2),1),0)),"")</f>
        <v/>
      </c>
    </row>
    <row r="639" spans="1:10" x14ac:dyDescent="0.3">
      <c r="A639" s="150"/>
      <c r="B639" s="150"/>
      <c r="C639" s="150"/>
      <c r="D639" s="150"/>
      <c r="E639" s="140" t="str">
        <f t="shared" si="28"/>
        <v/>
      </c>
      <c r="F639" s="159"/>
      <c r="G639" s="145">
        <f t="shared" si="30"/>
        <v>0</v>
      </c>
      <c r="H639" s="140" t="str">
        <f t="shared" si="29"/>
        <v/>
      </c>
      <c r="J639" s="147" t="str">
        <f>IFERROR(SUMIFS(当年实际!$V:$V,当年实际!$F:$F,$C639,当年实际!$C:$C,"&gt;="&amp;DATE(YEAR(主页!$D$2),1,1),当年实际!$C:$C,"&lt;="&amp;EOMONTH(DATE(YEAR(主页!$D$2),MONTH(主页!$D$2),1),0))/SUMIFS(当年实际!$P:$P,当年实际!$F:$F,$C639,当年实际!$C:$C,"&gt;="&amp;DATE(YEAR(主页!$D$2),1,1),当年实际!$C:$C,"&lt;="&amp;EOMONTH(DATE(YEAR(主页!$D$2),MONTH(主页!$D$2),1),0)),"")</f>
        <v/>
      </c>
    </row>
    <row r="640" spans="1:10" x14ac:dyDescent="0.3">
      <c r="A640" s="150"/>
      <c r="B640" s="150"/>
      <c r="C640" s="150"/>
      <c r="D640" s="150"/>
      <c r="E640" s="140" t="str">
        <f t="shared" si="28"/>
        <v/>
      </c>
      <c r="F640" s="159"/>
      <c r="G640" s="145">
        <f t="shared" si="30"/>
        <v>0</v>
      </c>
      <c r="H640" s="140" t="str">
        <f t="shared" si="29"/>
        <v/>
      </c>
      <c r="J640" s="147" t="str">
        <f>IFERROR(SUMIFS(当年实际!$V:$V,当年实际!$F:$F,$C640,当年实际!$C:$C,"&gt;="&amp;DATE(YEAR(主页!$D$2),1,1),当年实际!$C:$C,"&lt;="&amp;EOMONTH(DATE(YEAR(主页!$D$2),MONTH(主页!$D$2),1),0))/SUMIFS(当年实际!$P:$P,当年实际!$F:$F,$C640,当年实际!$C:$C,"&gt;="&amp;DATE(YEAR(主页!$D$2),1,1),当年实际!$C:$C,"&lt;="&amp;EOMONTH(DATE(YEAR(主页!$D$2),MONTH(主页!$D$2),1),0)),"")</f>
        <v/>
      </c>
    </row>
    <row r="641" spans="1:10" x14ac:dyDescent="0.3">
      <c r="A641" s="150"/>
      <c r="B641" s="150"/>
      <c r="C641" s="150"/>
      <c r="D641" s="150"/>
      <c r="E641" s="140" t="str">
        <f t="shared" si="28"/>
        <v/>
      </c>
      <c r="F641" s="159"/>
      <c r="G641" s="145">
        <f t="shared" si="30"/>
        <v>0</v>
      </c>
      <c r="H641" s="140" t="str">
        <f t="shared" si="29"/>
        <v/>
      </c>
      <c r="J641" s="147" t="str">
        <f>IFERROR(SUMIFS(当年实际!$V:$V,当年实际!$F:$F,$C641,当年实际!$C:$C,"&gt;="&amp;DATE(YEAR(主页!$D$2),1,1),当年实际!$C:$C,"&lt;="&amp;EOMONTH(DATE(YEAR(主页!$D$2),MONTH(主页!$D$2),1),0))/SUMIFS(当年实际!$P:$P,当年实际!$F:$F,$C641,当年实际!$C:$C,"&gt;="&amp;DATE(YEAR(主页!$D$2),1,1),当年实际!$C:$C,"&lt;="&amp;EOMONTH(DATE(YEAR(主页!$D$2),MONTH(主页!$D$2),1),0)),"")</f>
        <v/>
      </c>
    </row>
    <row r="642" spans="1:10" x14ac:dyDescent="0.3">
      <c r="A642" s="150"/>
      <c r="B642" s="150"/>
      <c r="C642" s="150"/>
      <c r="D642" s="150"/>
      <c r="E642" s="140" t="str">
        <f t="shared" si="28"/>
        <v/>
      </c>
      <c r="F642" s="159"/>
      <c r="G642" s="145">
        <f t="shared" si="30"/>
        <v>0</v>
      </c>
      <c r="H642" s="140" t="str">
        <f t="shared" si="29"/>
        <v/>
      </c>
      <c r="J642" s="147" t="str">
        <f>IFERROR(SUMIFS(当年实际!$V:$V,当年实际!$F:$F,$C642,当年实际!$C:$C,"&gt;="&amp;DATE(YEAR(主页!$D$2),1,1),当年实际!$C:$C,"&lt;="&amp;EOMONTH(DATE(YEAR(主页!$D$2),MONTH(主页!$D$2),1),0))/SUMIFS(当年实际!$P:$P,当年实际!$F:$F,$C642,当年实际!$C:$C,"&gt;="&amp;DATE(YEAR(主页!$D$2),1,1),当年实际!$C:$C,"&lt;="&amp;EOMONTH(DATE(YEAR(主页!$D$2),MONTH(主页!$D$2),1),0)),"")</f>
        <v/>
      </c>
    </row>
    <row r="643" spans="1:10" x14ac:dyDescent="0.3">
      <c r="A643" s="150"/>
      <c r="B643" s="150"/>
      <c r="C643" s="150"/>
      <c r="D643" s="150"/>
      <c r="E643" s="140" t="str">
        <f t="shared" si="28"/>
        <v/>
      </c>
      <c r="F643" s="159"/>
      <c r="G643" s="145">
        <f t="shared" si="30"/>
        <v>0</v>
      </c>
      <c r="H643" s="140" t="str">
        <f t="shared" si="29"/>
        <v/>
      </c>
      <c r="J643" s="147" t="str">
        <f>IFERROR(SUMIFS(当年实际!$V:$V,当年实际!$F:$F,$C643,当年实际!$C:$C,"&gt;="&amp;DATE(YEAR(主页!$D$2),1,1),当年实际!$C:$C,"&lt;="&amp;EOMONTH(DATE(YEAR(主页!$D$2),MONTH(主页!$D$2),1),0))/SUMIFS(当年实际!$P:$P,当年实际!$F:$F,$C643,当年实际!$C:$C,"&gt;="&amp;DATE(YEAR(主页!$D$2),1,1),当年实际!$C:$C,"&lt;="&amp;EOMONTH(DATE(YEAR(主页!$D$2),MONTH(主页!$D$2),1),0)),"")</f>
        <v/>
      </c>
    </row>
    <row r="644" spans="1:10" x14ac:dyDescent="0.3">
      <c r="A644" s="150"/>
      <c r="B644" s="150"/>
      <c r="C644" s="150"/>
      <c r="D644" s="150"/>
      <c r="E644" s="140" t="str">
        <f t="shared" ref="E644:E707" si="31">IF(D644/SUM(D:D)=0,"",D644/SUM(D:D))</f>
        <v/>
      </c>
      <c r="F644" s="159"/>
      <c r="G644" s="145">
        <f t="shared" si="30"/>
        <v>0</v>
      </c>
      <c r="H644" s="140" t="str">
        <f t="shared" ref="H644:H707" si="32">IF(G644/SUM(G:G)=0,"",G644/SUM(G:G))</f>
        <v/>
      </c>
      <c r="J644" s="147" t="str">
        <f>IFERROR(SUMIFS(当年实际!$V:$V,当年实际!$F:$F,$C644,当年实际!$C:$C,"&gt;="&amp;DATE(YEAR(主页!$D$2),1,1),当年实际!$C:$C,"&lt;="&amp;EOMONTH(DATE(YEAR(主页!$D$2),MONTH(主页!$D$2),1),0))/SUMIFS(当年实际!$P:$P,当年实际!$F:$F,$C644,当年实际!$C:$C,"&gt;="&amp;DATE(YEAR(主页!$D$2),1,1),当年实际!$C:$C,"&lt;="&amp;EOMONTH(DATE(YEAR(主页!$D$2),MONTH(主页!$D$2),1),0)),"")</f>
        <v/>
      </c>
    </row>
    <row r="645" spans="1:10" x14ac:dyDescent="0.3">
      <c r="A645" s="150"/>
      <c r="B645" s="150"/>
      <c r="C645" s="150"/>
      <c r="D645" s="150"/>
      <c r="E645" s="140" t="str">
        <f t="shared" si="31"/>
        <v/>
      </c>
      <c r="F645" s="159"/>
      <c r="G645" s="145">
        <f t="shared" si="30"/>
        <v>0</v>
      </c>
      <c r="H645" s="140" t="str">
        <f t="shared" si="32"/>
        <v/>
      </c>
      <c r="J645" s="147" t="str">
        <f>IFERROR(SUMIFS(当年实际!$V:$V,当年实际!$F:$F,$C645,当年实际!$C:$C,"&gt;="&amp;DATE(YEAR(主页!$D$2),1,1),当年实际!$C:$C,"&lt;="&amp;EOMONTH(DATE(YEAR(主页!$D$2),MONTH(主页!$D$2),1),0))/SUMIFS(当年实际!$P:$P,当年实际!$F:$F,$C645,当年实际!$C:$C,"&gt;="&amp;DATE(YEAR(主页!$D$2),1,1),当年实际!$C:$C,"&lt;="&amp;EOMONTH(DATE(YEAR(主页!$D$2),MONTH(主页!$D$2),1),0)),"")</f>
        <v/>
      </c>
    </row>
    <row r="646" spans="1:10" x14ac:dyDescent="0.3">
      <c r="A646" s="150"/>
      <c r="B646" s="150"/>
      <c r="C646" s="150"/>
      <c r="D646" s="150"/>
      <c r="E646" s="140" t="str">
        <f t="shared" si="31"/>
        <v/>
      </c>
      <c r="F646" s="159"/>
      <c r="G646" s="145">
        <f t="shared" si="30"/>
        <v>0</v>
      </c>
      <c r="H646" s="140" t="str">
        <f t="shared" si="32"/>
        <v/>
      </c>
      <c r="J646" s="147" t="str">
        <f>IFERROR(SUMIFS(当年实际!$V:$V,当年实际!$F:$F,$C646,当年实际!$C:$C,"&gt;="&amp;DATE(YEAR(主页!$D$2),1,1),当年实际!$C:$C,"&lt;="&amp;EOMONTH(DATE(YEAR(主页!$D$2),MONTH(主页!$D$2),1),0))/SUMIFS(当年实际!$P:$P,当年实际!$F:$F,$C646,当年实际!$C:$C,"&gt;="&amp;DATE(YEAR(主页!$D$2),1,1),当年实际!$C:$C,"&lt;="&amp;EOMONTH(DATE(YEAR(主页!$D$2),MONTH(主页!$D$2),1),0)),"")</f>
        <v/>
      </c>
    </row>
    <row r="647" spans="1:10" x14ac:dyDescent="0.3">
      <c r="A647" s="150"/>
      <c r="B647" s="150"/>
      <c r="C647" s="150"/>
      <c r="D647" s="150"/>
      <c r="E647" s="140" t="str">
        <f t="shared" si="31"/>
        <v/>
      </c>
      <c r="F647" s="159"/>
      <c r="G647" s="145">
        <f t="shared" si="30"/>
        <v>0</v>
      </c>
      <c r="H647" s="140" t="str">
        <f t="shared" si="32"/>
        <v/>
      </c>
      <c r="J647" s="147" t="str">
        <f>IFERROR(SUMIFS(当年实际!$V:$V,当年实际!$F:$F,$C647,当年实际!$C:$C,"&gt;="&amp;DATE(YEAR(主页!$D$2),1,1),当年实际!$C:$C,"&lt;="&amp;EOMONTH(DATE(YEAR(主页!$D$2),MONTH(主页!$D$2),1),0))/SUMIFS(当年实际!$P:$P,当年实际!$F:$F,$C647,当年实际!$C:$C,"&gt;="&amp;DATE(YEAR(主页!$D$2),1,1),当年实际!$C:$C,"&lt;="&amp;EOMONTH(DATE(YEAR(主页!$D$2),MONTH(主页!$D$2),1),0)),"")</f>
        <v/>
      </c>
    </row>
    <row r="648" spans="1:10" x14ac:dyDescent="0.3">
      <c r="A648" s="150"/>
      <c r="B648" s="150"/>
      <c r="C648" s="150"/>
      <c r="D648" s="150"/>
      <c r="E648" s="140" t="str">
        <f t="shared" si="31"/>
        <v/>
      </c>
      <c r="F648" s="159"/>
      <c r="G648" s="145">
        <f t="shared" ref="G648:G711" si="33">D648*F648</f>
        <v>0</v>
      </c>
      <c r="H648" s="140" t="str">
        <f t="shared" si="32"/>
        <v/>
      </c>
      <c r="J648" s="147" t="str">
        <f>IFERROR(SUMIFS(当年实际!$V:$V,当年实际!$F:$F,$C648,当年实际!$C:$C,"&gt;="&amp;DATE(YEAR(主页!$D$2),1,1),当年实际!$C:$C,"&lt;="&amp;EOMONTH(DATE(YEAR(主页!$D$2),MONTH(主页!$D$2),1),0))/SUMIFS(当年实际!$P:$P,当年实际!$F:$F,$C648,当年实际!$C:$C,"&gt;="&amp;DATE(YEAR(主页!$D$2),1,1),当年实际!$C:$C,"&lt;="&amp;EOMONTH(DATE(YEAR(主页!$D$2),MONTH(主页!$D$2),1),0)),"")</f>
        <v/>
      </c>
    </row>
    <row r="649" spans="1:10" x14ac:dyDescent="0.3">
      <c r="A649" s="150"/>
      <c r="B649" s="150"/>
      <c r="C649" s="150"/>
      <c r="D649" s="150"/>
      <c r="E649" s="140" t="str">
        <f t="shared" si="31"/>
        <v/>
      </c>
      <c r="F649" s="159"/>
      <c r="G649" s="145">
        <f t="shared" si="33"/>
        <v>0</v>
      </c>
      <c r="H649" s="140" t="str">
        <f t="shared" si="32"/>
        <v/>
      </c>
      <c r="J649" s="147" t="str">
        <f>IFERROR(SUMIFS(当年实际!$V:$V,当年实际!$F:$F,$C649,当年实际!$C:$C,"&gt;="&amp;DATE(YEAR(主页!$D$2),1,1),当年实际!$C:$C,"&lt;="&amp;EOMONTH(DATE(YEAR(主页!$D$2),MONTH(主页!$D$2),1),0))/SUMIFS(当年实际!$P:$P,当年实际!$F:$F,$C649,当年实际!$C:$C,"&gt;="&amp;DATE(YEAR(主页!$D$2),1,1),当年实际!$C:$C,"&lt;="&amp;EOMONTH(DATE(YEAR(主页!$D$2),MONTH(主页!$D$2),1),0)),"")</f>
        <v/>
      </c>
    </row>
    <row r="650" spans="1:10" x14ac:dyDescent="0.3">
      <c r="A650" s="150"/>
      <c r="B650" s="150"/>
      <c r="C650" s="150"/>
      <c r="D650" s="150"/>
      <c r="E650" s="140" t="str">
        <f t="shared" si="31"/>
        <v/>
      </c>
      <c r="F650" s="159"/>
      <c r="G650" s="145">
        <f t="shared" si="33"/>
        <v>0</v>
      </c>
      <c r="H650" s="140" t="str">
        <f t="shared" si="32"/>
        <v/>
      </c>
      <c r="J650" s="147" t="str">
        <f>IFERROR(SUMIFS(当年实际!$V:$V,当年实际!$F:$F,$C650,当年实际!$C:$C,"&gt;="&amp;DATE(YEAR(主页!$D$2),1,1),当年实际!$C:$C,"&lt;="&amp;EOMONTH(DATE(YEAR(主页!$D$2),MONTH(主页!$D$2),1),0))/SUMIFS(当年实际!$P:$P,当年实际!$F:$F,$C650,当年实际!$C:$C,"&gt;="&amp;DATE(YEAR(主页!$D$2),1,1),当年实际!$C:$C,"&lt;="&amp;EOMONTH(DATE(YEAR(主页!$D$2),MONTH(主页!$D$2),1),0)),"")</f>
        <v/>
      </c>
    </row>
    <row r="651" spans="1:10" x14ac:dyDescent="0.3">
      <c r="A651" s="150"/>
      <c r="B651" s="150"/>
      <c r="C651" s="150"/>
      <c r="D651" s="150"/>
      <c r="E651" s="140" t="str">
        <f t="shared" si="31"/>
        <v/>
      </c>
      <c r="F651" s="159"/>
      <c r="G651" s="145">
        <f t="shared" si="33"/>
        <v>0</v>
      </c>
      <c r="H651" s="140" t="str">
        <f t="shared" si="32"/>
        <v/>
      </c>
      <c r="J651" s="147" t="str">
        <f>IFERROR(SUMIFS(当年实际!$V:$V,当年实际!$F:$F,$C651,当年实际!$C:$C,"&gt;="&amp;DATE(YEAR(主页!$D$2),1,1),当年实际!$C:$C,"&lt;="&amp;EOMONTH(DATE(YEAR(主页!$D$2),MONTH(主页!$D$2),1),0))/SUMIFS(当年实际!$P:$P,当年实际!$F:$F,$C651,当年实际!$C:$C,"&gt;="&amp;DATE(YEAR(主页!$D$2),1,1),当年实际!$C:$C,"&lt;="&amp;EOMONTH(DATE(YEAR(主页!$D$2),MONTH(主页!$D$2),1),0)),"")</f>
        <v/>
      </c>
    </row>
    <row r="652" spans="1:10" x14ac:dyDescent="0.3">
      <c r="A652" s="150"/>
      <c r="B652" s="150"/>
      <c r="C652" s="150"/>
      <c r="D652" s="150"/>
      <c r="E652" s="140" t="str">
        <f t="shared" si="31"/>
        <v/>
      </c>
      <c r="F652" s="159"/>
      <c r="G652" s="145">
        <f t="shared" si="33"/>
        <v>0</v>
      </c>
      <c r="H652" s="140" t="str">
        <f t="shared" si="32"/>
        <v/>
      </c>
      <c r="J652" s="147" t="str">
        <f>IFERROR(SUMIFS(当年实际!$V:$V,当年实际!$F:$F,$C652,当年实际!$C:$C,"&gt;="&amp;DATE(YEAR(主页!$D$2),1,1),当年实际!$C:$C,"&lt;="&amp;EOMONTH(DATE(YEAR(主页!$D$2),MONTH(主页!$D$2),1),0))/SUMIFS(当年实际!$P:$P,当年实际!$F:$F,$C652,当年实际!$C:$C,"&gt;="&amp;DATE(YEAR(主页!$D$2),1,1),当年实际!$C:$C,"&lt;="&amp;EOMONTH(DATE(YEAR(主页!$D$2),MONTH(主页!$D$2),1),0)),"")</f>
        <v/>
      </c>
    </row>
    <row r="653" spans="1:10" x14ac:dyDescent="0.3">
      <c r="A653" s="150"/>
      <c r="B653" s="150"/>
      <c r="C653" s="150"/>
      <c r="D653" s="150"/>
      <c r="E653" s="140" t="str">
        <f t="shared" si="31"/>
        <v/>
      </c>
      <c r="F653" s="159"/>
      <c r="G653" s="145">
        <f t="shared" si="33"/>
        <v>0</v>
      </c>
      <c r="H653" s="140" t="str">
        <f t="shared" si="32"/>
        <v/>
      </c>
      <c r="J653" s="147" t="str">
        <f>IFERROR(SUMIFS(当年实际!$V:$V,当年实际!$F:$F,$C653,当年实际!$C:$C,"&gt;="&amp;DATE(YEAR(主页!$D$2),1,1),当年实际!$C:$C,"&lt;="&amp;EOMONTH(DATE(YEAR(主页!$D$2),MONTH(主页!$D$2),1),0))/SUMIFS(当年实际!$P:$P,当年实际!$F:$F,$C653,当年实际!$C:$C,"&gt;="&amp;DATE(YEAR(主页!$D$2),1,1),当年实际!$C:$C,"&lt;="&amp;EOMONTH(DATE(YEAR(主页!$D$2),MONTH(主页!$D$2),1),0)),"")</f>
        <v/>
      </c>
    </row>
    <row r="654" spans="1:10" x14ac:dyDescent="0.3">
      <c r="A654" s="150"/>
      <c r="B654" s="150"/>
      <c r="C654" s="150"/>
      <c r="D654" s="150"/>
      <c r="E654" s="140" t="str">
        <f t="shared" si="31"/>
        <v/>
      </c>
      <c r="F654" s="159"/>
      <c r="G654" s="145">
        <f t="shared" si="33"/>
        <v>0</v>
      </c>
      <c r="H654" s="140" t="str">
        <f t="shared" si="32"/>
        <v/>
      </c>
      <c r="J654" s="147" t="str">
        <f>IFERROR(SUMIFS(当年实际!$V:$V,当年实际!$F:$F,$C654,当年实际!$C:$C,"&gt;="&amp;DATE(YEAR(主页!$D$2),1,1),当年实际!$C:$C,"&lt;="&amp;EOMONTH(DATE(YEAR(主页!$D$2),MONTH(主页!$D$2),1),0))/SUMIFS(当年实际!$P:$P,当年实际!$F:$F,$C654,当年实际!$C:$C,"&gt;="&amp;DATE(YEAR(主页!$D$2),1,1),当年实际!$C:$C,"&lt;="&amp;EOMONTH(DATE(YEAR(主页!$D$2),MONTH(主页!$D$2),1),0)),"")</f>
        <v/>
      </c>
    </row>
    <row r="655" spans="1:10" x14ac:dyDescent="0.3">
      <c r="A655" s="150"/>
      <c r="B655" s="150"/>
      <c r="C655" s="150"/>
      <c r="D655" s="150"/>
      <c r="E655" s="140" t="str">
        <f t="shared" si="31"/>
        <v/>
      </c>
      <c r="F655" s="159"/>
      <c r="G655" s="145">
        <f t="shared" si="33"/>
        <v>0</v>
      </c>
      <c r="H655" s="140" t="str">
        <f t="shared" si="32"/>
        <v/>
      </c>
      <c r="J655" s="147" t="str">
        <f>IFERROR(SUMIFS(当年实际!$V:$V,当年实际!$F:$F,$C655,当年实际!$C:$C,"&gt;="&amp;DATE(YEAR(主页!$D$2),1,1),当年实际!$C:$C,"&lt;="&amp;EOMONTH(DATE(YEAR(主页!$D$2),MONTH(主页!$D$2),1),0))/SUMIFS(当年实际!$P:$P,当年实际!$F:$F,$C655,当年实际!$C:$C,"&gt;="&amp;DATE(YEAR(主页!$D$2),1,1),当年实际!$C:$C,"&lt;="&amp;EOMONTH(DATE(YEAR(主页!$D$2),MONTH(主页!$D$2),1),0)),"")</f>
        <v/>
      </c>
    </row>
    <row r="656" spans="1:10" x14ac:dyDescent="0.3">
      <c r="A656" s="150"/>
      <c r="B656" s="150"/>
      <c r="C656" s="150"/>
      <c r="D656" s="150"/>
      <c r="E656" s="140" t="str">
        <f t="shared" si="31"/>
        <v/>
      </c>
      <c r="F656" s="159"/>
      <c r="G656" s="145">
        <f t="shared" si="33"/>
        <v>0</v>
      </c>
      <c r="H656" s="140" t="str">
        <f t="shared" si="32"/>
        <v/>
      </c>
      <c r="J656" s="147" t="str">
        <f>IFERROR(SUMIFS(当年实际!$V:$V,当年实际!$F:$F,$C656,当年实际!$C:$C,"&gt;="&amp;DATE(YEAR(主页!$D$2),1,1),当年实际!$C:$C,"&lt;="&amp;EOMONTH(DATE(YEAR(主页!$D$2),MONTH(主页!$D$2),1),0))/SUMIFS(当年实际!$P:$P,当年实际!$F:$F,$C656,当年实际!$C:$C,"&gt;="&amp;DATE(YEAR(主页!$D$2),1,1),当年实际!$C:$C,"&lt;="&amp;EOMONTH(DATE(YEAR(主页!$D$2),MONTH(主页!$D$2),1),0)),"")</f>
        <v/>
      </c>
    </row>
    <row r="657" spans="1:10" x14ac:dyDescent="0.3">
      <c r="A657" s="150"/>
      <c r="B657" s="150"/>
      <c r="C657" s="150"/>
      <c r="D657" s="150"/>
      <c r="E657" s="140" t="str">
        <f t="shared" si="31"/>
        <v/>
      </c>
      <c r="F657" s="159"/>
      <c r="G657" s="145">
        <f t="shared" si="33"/>
        <v>0</v>
      </c>
      <c r="H657" s="140" t="str">
        <f t="shared" si="32"/>
        <v/>
      </c>
      <c r="J657" s="147" t="str">
        <f>IFERROR(SUMIFS(当年实际!$V:$V,当年实际!$F:$F,$C657,当年实际!$C:$C,"&gt;="&amp;DATE(YEAR(主页!$D$2),1,1),当年实际!$C:$C,"&lt;="&amp;EOMONTH(DATE(YEAR(主页!$D$2),MONTH(主页!$D$2),1),0))/SUMIFS(当年实际!$P:$P,当年实际!$F:$F,$C657,当年实际!$C:$C,"&gt;="&amp;DATE(YEAR(主页!$D$2),1,1),当年实际!$C:$C,"&lt;="&amp;EOMONTH(DATE(YEAR(主页!$D$2),MONTH(主页!$D$2),1),0)),"")</f>
        <v/>
      </c>
    </row>
    <row r="658" spans="1:10" x14ac:dyDescent="0.3">
      <c r="A658" s="150"/>
      <c r="B658" s="150"/>
      <c r="C658" s="150"/>
      <c r="D658" s="150"/>
      <c r="E658" s="140" t="str">
        <f t="shared" si="31"/>
        <v/>
      </c>
      <c r="F658" s="159"/>
      <c r="G658" s="145">
        <f t="shared" si="33"/>
        <v>0</v>
      </c>
      <c r="H658" s="140" t="str">
        <f t="shared" si="32"/>
        <v/>
      </c>
      <c r="J658" s="147" t="str">
        <f>IFERROR(SUMIFS(当年实际!$V:$V,当年实际!$F:$F,$C658,当年实际!$C:$C,"&gt;="&amp;DATE(YEAR(主页!$D$2),1,1),当年实际!$C:$C,"&lt;="&amp;EOMONTH(DATE(YEAR(主页!$D$2),MONTH(主页!$D$2),1),0))/SUMIFS(当年实际!$P:$P,当年实际!$F:$F,$C658,当年实际!$C:$C,"&gt;="&amp;DATE(YEAR(主页!$D$2),1,1),当年实际!$C:$C,"&lt;="&amp;EOMONTH(DATE(YEAR(主页!$D$2),MONTH(主页!$D$2),1),0)),"")</f>
        <v/>
      </c>
    </row>
    <row r="659" spans="1:10" x14ac:dyDescent="0.3">
      <c r="A659" s="150"/>
      <c r="B659" s="150"/>
      <c r="C659" s="150"/>
      <c r="D659" s="150"/>
      <c r="E659" s="140" t="str">
        <f t="shared" si="31"/>
        <v/>
      </c>
      <c r="F659" s="159"/>
      <c r="G659" s="145">
        <f t="shared" si="33"/>
        <v>0</v>
      </c>
      <c r="H659" s="140" t="str">
        <f t="shared" si="32"/>
        <v/>
      </c>
      <c r="J659" s="147" t="str">
        <f>IFERROR(SUMIFS(当年实际!$V:$V,当年实际!$F:$F,$C659,当年实际!$C:$C,"&gt;="&amp;DATE(YEAR(主页!$D$2),1,1),当年实际!$C:$C,"&lt;="&amp;EOMONTH(DATE(YEAR(主页!$D$2),MONTH(主页!$D$2),1),0))/SUMIFS(当年实际!$P:$P,当年实际!$F:$F,$C659,当年实际!$C:$C,"&gt;="&amp;DATE(YEAR(主页!$D$2),1,1),当年实际!$C:$C,"&lt;="&amp;EOMONTH(DATE(YEAR(主页!$D$2),MONTH(主页!$D$2),1),0)),"")</f>
        <v/>
      </c>
    </row>
    <row r="660" spans="1:10" x14ac:dyDescent="0.3">
      <c r="A660" s="150"/>
      <c r="B660" s="150"/>
      <c r="C660" s="150"/>
      <c r="D660" s="150"/>
      <c r="E660" s="140" t="str">
        <f t="shared" si="31"/>
        <v/>
      </c>
      <c r="F660" s="159"/>
      <c r="G660" s="145">
        <f t="shared" si="33"/>
        <v>0</v>
      </c>
      <c r="H660" s="140" t="str">
        <f t="shared" si="32"/>
        <v/>
      </c>
      <c r="J660" s="147" t="str">
        <f>IFERROR(SUMIFS(当年实际!$V:$V,当年实际!$F:$F,$C660,当年实际!$C:$C,"&gt;="&amp;DATE(YEAR(主页!$D$2),1,1),当年实际!$C:$C,"&lt;="&amp;EOMONTH(DATE(YEAR(主页!$D$2),MONTH(主页!$D$2),1),0))/SUMIFS(当年实际!$P:$P,当年实际!$F:$F,$C660,当年实际!$C:$C,"&gt;="&amp;DATE(YEAR(主页!$D$2),1,1),当年实际!$C:$C,"&lt;="&amp;EOMONTH(DATE(YEAR(主页!$D$2),MONTH(主页!$D$2),1),0)),"")</f>
        <v/>
      </c>
    </row>
    <row r="661" spans="1:10" x14ac:dyDescent="0.3">
      <c r="A661" s="150"/>
      <c r="B661" s="150"/>
      <c r="C661" s="150"/>
      <c r="D661" s="150"/>
      <c r="E661" s="140" t="str">
        <f t="shared" si="31"/>
        <v/>
      </c>
      <c r="F661" s="159"/>
      <c r="G661" s="145">
        <f t="shared" si="33"/>
        <v>0</v>
      </c>
      <c r="H661" s="140" t="str">
        <f t="shared" si="32"/>
        <v/>
      </c>
      <c r="J661" s="147" t="str">
        <f>IFERROR(SUMIFS(当年实际!$V:$V,当年实际!$F:$F,$C661,当年实际!$C:$C,"&gt;="&amp;DATE(YEAR(主页!$D$2),1,1),当年实际!$C:$C,"&lt;="&amp;EOMONTH(DATE(YEAR(主页!$D$2),MONTH(主页!$D$2),1),0))/SUMIFS(当年实际!$P:$P,当年实际!$F:$F,$C661,当年实际!$C:$C,"&gt;="&amp;DATE(YEAR(主页!$D$2),1,1),当年实际!$C:$C,"&lt;="&amp;EOMONTH(DATE(YEAR(主页!$D$2),MONTH(主页!$D$2),1),0)),"")</f>
        <v/>
      </c>
    </row>
    <row r="662" spans="1:10" x14ac:dyDescent="0.3">
      <c r="A662" s="150"/>
      <c r="B662" s="150"/>
      <c r="C662" s="150"/>
      <c r="D662" s="150"/>
      <c r="E662" s="140" t="str">
        <f t="shared" si="31"/>
        <v/>
      </c>
      <c r="F662" s="159"/>
      <c r="G662" s="145">
        <f t="shared" si="33"/>
        <v>0</v>
      </c>
      <c r="H662" s="140" t="str">
        <f t="shared" si="32"/>
        <v/>
      </c>
      <c r="J662" s="147" t="str">
        <f>IFERROR(SUMIFS(当年实际!$V:$V,当年实际!$F:$F,$C662,当年实际!$C:$C,"&gt;="&amp;DATE(YEAR(主页!$D$2),1,1),当年实际!$C:$C,"&lt;="&amp;EOMONTH(DATE(YEAR(主页!$D$2),MONTH(主页!$D$2),1),0))/SUMIFS(当年实际!$P:$P,当年实际!$F:$F,$C662,当年实际!$C:$C,"&gt;="&amp;DATE(YEAR(主页!$D$2),1,1),当年实际!$C:$C,"&lt;="&amp;EOMONTH(DATE(YEAR(主页!$D$2),MONTH(主页!$D$2),1),0)),"")</f>
        <v/>
      </c>
    </row>
    <row r="663" spans="1:10" x14ac:dyDescent="0.3">
      <c r="A663" s="150"/>
      <c r="B663" s="150"/>
      <c r="C663" s="150"/>
      <c r="D663" s="150"/>
      <c r="E663" s="140" t="str">
        <f t="shared" si="31"/>
        <v/>
      </c>
      <c r="F663" s="159"/>
      <c r="G663" s="145">
        <f t="shared" si="33"/>
        <v>0</v>
      </c>
      <c r="H663" s="140" t="str">
        <f t="shared" si="32"/>
        <v/>
      </c>
      <c r="J663" s="147" t="str">
        <f>IFERROR(SUMIFS(当年实际!$V:$V,当年实际!$F:$F,$C663,当年实际!$C:$C,"&gt;="&amp;DATE(YEAR(主页!$D$2),1,1),当年实际!$C:$C,"&lt;="&amp;EOMONTH(DATE(YEAR(主页!$D$2),MONTH(主页!$D$2),1),0))/SUMIFS(当年实际!$P:$P,当年实际!$F:$F,$C663,当年实际!$C:$C,"&gt;="&amp;DATE(YEAR(主页!$D$2),1,1),当年实际!$C:$C,"&lt;="&amp;EOMONTH(DATE(YEAR(主页!$D$2),MONTH(主页!$D$2),1),0)),"")</f>
        <v/>
      </c>
    </row>
    <row r="664" spans="1:10" x14ac:dyDescent="0.3">
      <c r="A664" s="150"/>
      <c r="B664" s="150"/>
      <c r="C664" s="150"/>
      <c r="D664" s="150"/>
      <c r="E664" s="140" t="str">
        <f t="shared" si="31"/>
        <v/>
      </c>
      <c r="F664" s="159"/>
      <c r="G664" s="145">
        <f t="shared" si="33"/>
        <v>0</v>
      </c>
      <c r="H664" s="140" t="str">
        <f t="shared" si="32"/>
        <v/>
      </c>
      <c r="J664" s="147" t="str">
        <f>IFERROR(SUMIFS(当年实际!$V:$V,当年实际!$F:$F,$C664,当年实际!$C:$C,"&gt;="&amp;DATE(YEAR(主页!$D$2),1,1),当年实际!$C:$C,"&lt;="&amp;EOMONTH(DATE(YEAR(主页!$D$2),MONTH(主页!$D$2),1),0))/SUMIFS(当年实际!$P:$P,当年实际!$F:$F,$C664,当年实际!$C:$C,"&gt;="&amp;DATE(YEAR(主页!$D$2),1,1),当年实际!$C:$C,"&lt;="&amp;EOMONTH(DATE(YEAR(主页!$D$2),MONTH(主页!$D$2),1),0)),"")</f>
        <v/>
      </c>
    </row>
    <row r="665" spans="1:10" x14ac:dyDescent="0.3">
      <c r="A665" s="150"/>
      <c r="B665" s="150"/>
      <c r="C665" s="150"/>
      <c r="D665" s="150"/>
      <c r="E665" s="140" t="str">
        <f t="shared" si="31"/>
        <v/>
      </c>
      <c r="F665" s="159"/>
      <c r="G665" s="145">
        <f t="shared" si="33"/>
        <v>0</v>
      </c>
      <c r="H665" s="140" t="str">
        <f t="shared" si="32"/>
        <v/>
      </c>
      <c r="J665" s="147" t="str">
        <f>IFERROR(SUMIFS(当年实际!$V:$V,当年实际!$F:$F,$C665,当年实际!$C:$C,"&gt;="&amp;DATE(YEAR(主页!$D$2),1,1),当年实际!$C:$C,"&lt;="&amp;EOMONTH(DATE(YEAR(主页!$D$2),MONTH(主页!$D$2),1),0))/SUMIFS(当年实际!$P:$P,当年实际!$F:$F,$C665,当年实际!$C:$C,"&gt;="&amp;DATE(YEAR(主页!$D$2),1,1),当年实际!$C:$C,"&lt;="&amp;EOMONTH(DATE(YEAR(主页!$D$2),MONTH(主页!$D$2),1),0)),"")</f>
        <v/>
      </c>
    </row>
    <row r="666" spans="1:10" x14ac:dyDescent="0.3">
      <c r="A666" s="150"/>
      <c r="B666" s="150"/>
      <c r="C666" s="150"/>
      <c r="D666" s="150"/>
      <c r="E666" s="140" t="str">
        <f t="shared" si="31"/>
        <v/>
      </c>
      <c r="F666" s="159"/>
      <c r="G666" s="145">
        <f t="shared" si="33"/>
        <v>0</v>
      </c>
      <c r="H666" s="140" t="str">
        <f t="shared" si="32"/>
        <v/>
      </c>
      <c r="J666" s="147" t="str">
        <f>IFERROR(SUMIFS(当年实际!$V:$V,当年实际!$F:$F,$C666,当年实际!$C:$C,"&gt;="&amp;DATE(YEAR(主页!$D$2),1,1),当年实际!$C:$C,"&lt;="&amp;EOMONTH(DATE(YEAR(主页!$D$2),MONTH(主页!$D$2),1),0))/SUMIFS(当年实际!$P:$P,当年实际!$F:$F,$C666,当年实际!$C:$C,"&gt;="&amp;DATE(YEAR(主页!$D$2),1,1),当年实际!$C:$C,"&lt;="&amp;EOMONTH(DATE(YEAR(主页!$D$2),MONTH(主页!$D$2),1),0)),"")</f>
        <v/>
      </c>
    </row>
    <row r="667" spans="1:10" x14ac:dyDescent="0.3">
      <c r="A667" s="150"/>
      <c r="B667" s="150"/>
      <c r="C667" s="150"/>
      <c r="D667" s="150"/>
      <c r="E667" s="140" t="str">
        <f t="shared" si="31"/>
        <v/>
      </c>
      <c r="F667" s="159"/>
      <c r="G667" s="145">
        <f t="shared" si="33"/>
        <v>0</v>
      </c>
      <c r="H667" s="140" t="str">
        <f t="shared" si="32"/>
        <v/>
      </c>
      <c r="J667" s="147" t="str">
        <f>IFERROR(SUMIFS(当年实际!$V:$V,当年实际!$F:$F,$C667,当年实际!$C:$C,"&gt;="&amp;DATE(YEAR(主页!$D$2),1,1),当年实际!$C:$C,"&lt;="&amp;EOMONTH(DATE(YEAR(主页!$D$2),MONTH(主页!$D$2),1),0))/SUMIFS(当年实际!$P:$P,当年实际!$F:$F,$C667,当年实际!$C:$C,"&gt;="&amp;DATE(YEAR(主页!$D$2),1,1),当年实际!$C:$C,"&lt;="&amp;EOMONTH(DATE(YEAR(主页!$D$2),MONTH(主页!$D$2),1),0)),"")</f>
        <v/>
      </c>
    </row>
    <row r="668" spans="1:10" x14ac:dyDescent="0.3">
      <c r="A668" s="150"/>
      <c r="B668" s="150"/>
      <c r="C668" s="150"/>
      <c r="D668" s="150"/>
      <c r="E668" s="140" t="str">
        <f t="shared" si="31"/>
        <v/>
      </c>
      <c r="F668" s="159"/>
      <c r="G668" s="145">
        <f t="shared" si="33"/>
        <v>0</v>
      </c>
      <c r="H668" s="140" t="str">
        <f t="shared" si="32"/>
        <v/>
      </c>
      <c r="J668" s="147" t="str">
        <f>IFERROR(SUMIFS(当年实际!$V:$V,当年实际!$F:$F,$C668,当年实际!$C:$C,"&gt;="&amp;DATE(YEAR(主页!$D$2),1,1),当年实际!$C:$C,"&lt;="&amp;EOMONTH(DATE(YEAR(主页!$D$2),MONTH(主页!$D$2),1),0))/SUMIFS(当年实际!$P:$P,当年实际!$F:$F,$C668,当年实际!$C:$C,"&gt;="&amp;DATE(YEAR(主页!$D$2),1,1),当年实际!$C:$C,"&lt;="&amp;EOMONTH(DATE(YEAR(主页!$D$2),MONTH(主页!$D$2),1),0)),"")</f>
        <v/>
      </c>
    </row>
    <row r="669" spans="1:10" x14ac:dyDescent="0.3">
      <c r="A669" s="150"/>
      <c r="B669" s="150"/>
      <c r="C669" s="150"/>
      <c r="D669" s="150"/>
      <c r="E669" s="140" t="str">
        <f t="shared" si="31"/>
        <v/>
      </c>
      <c r="F669" s="159"/>
      <c r="G669" s="145">
        <f t="shared" si="33"/>
        <v>0</v>
      </c>
      <c r="H669" s="140" t="str">
        <f t="shared" si="32"/>
        <v/>
      </c>
      <c r="J669" s="147" t="str">
        <f>IFERROR(SUMIFS(当年实际!$V:$V,当年实际!$F:$F,$C669,当年实际!$C:$C,"&gt;="&amp;DATE(YEAR(主页!$D$2),1,1),当年实际!$C:$C,"&lt;="&amp;EOMONTH(DATE(YEAR(主页!$D$2),MONTH(主页!$D$2),1),0))/SUMIFS(当年实际!$P:$P,当年实际!$F:$F,$C669,当年实际!$C:$C,"&gt;="&amp;DATE(YEAR(主页!$D$2),1,1),当年实际!$C:$C,"&lt;="&amp;EOMONTH(DATE(YEAR(主页!$D$2),MONTH(主页!$D$2),1),0)),"")</f>
        <v/>
      </c>
    </row>
    <row r="670" spans="1:10" x14ac:dyDescent="0.3">
      <c r="A670" s="150"/>
      <c r="B670" s="150"/>
      <c r="C670" s="150"/>
      <c r="D670" s="150"/>
      <c r="E670" s="140" t="str">
        <f t="shared" si="31"/>
        <v/>
      </c>
      <c r="F670" s="159"/>
      <c r="G670" s="145">
        <f t="shared" si="33"/>
        <v>0</v>
      </c>
      <c r="H670" s="140" t="str">
        <f t="shared" si="32"/>
        <v/>
      </c>
      <c r="J670" s="147" t="str">
        <f>IFERROR(SUMIFS(当年实际!$V:$V,当年实际!$F:$F,$C670,当年实际!$C:$C,"&gt;="&amp;DATE(YEAR(主页!$D$2),1,1),当年实际!$C:$C,"&lt;="&amp;EOMONTH(DATE(YEAR(主页!$D$2),MONTH(主页!$D$2),1),0))/SUMIFS(当年实际!$P:$P,当年实际!$F:$F,$C670,当年实际!$C:$C,"&gt;="&amp;DATE(YEAR(主页!$D$2),1,1),当年实际!$C:$C,"&lt;="&amp;EOMONTH(DATE(YEAR(主页!$D$2),MONTH(主页!$D$2),1),0)),"")</f>
        <v/>
      </c>
    </row>
    <row r="671" spans="1:10" x14ac:dyDescent="0.3">
      <c r="A671" s="150"/>
      <c r="B671" s="150"/>
      <c r="C671" s="150"/>
      <c r="D671" s="150"/>
      <c r="E671" s="140" t="str">
        <f t="shared" si="31"/>
        <v/>
      </c>
      <c r="F671" s="159"/>
      <c r="G671" s="145">
        <f t="shared" si="33"/>
        <v>0</v>
      </c>
      <c r="H671" s="140" t="str">
        <f t="shared" si="32"/>
        <v/>
      </c>
      <c r="J671" s="147" t="str">
        <f>IFERROR(SUMIFS(当年实际!$V:$V,当年实际!$F:$F,$C671,当年实际!$C:$C,"&gt;="&amp;DATE(YEAR(主页!$D$2),1,1),当年实际!$C:$C,"&lt;="&amp;EOMONTH(DATE(YEAR(主页!$D$2),MONTH(主页!$D$2),1),0))/SUMIFS(当年实际!$P:$P,当年实际!$F:$F,$C671,当年实际!$C:$C,"&gt;="&amp;DATE(YEAR(主页!$D$2),1,1),当年实际!$C:$C,"&lt;="&amp;EOMONTH(DATE(YEAR(主页!$D$2),MONTH(主页!$D$2),1),0)),"")</f>
        <v/>
      </c>
    </row>
    <row r="672" spans="1:10" x14ac:dyDescent="0.3">
      <c r="A672" s="150"/>
      <c r="B672" s="150"/>
      <c r="C672" s="150"/>
      <c r="D672" s="150"/>
      <c r="E672" s="140" t="str">
        <f t="shared" si="31"/>
        <v/>
      </c>
      <c r="F672" s="159"/>
      <c r="G672" s="145">
        <f t="shared" si="33"/>
        <v>0</v>
      </c>
      <c r="H672" s="140" t="str">
        <f t="shared" si="32"/>
        <v/>
      </c>
      <c r="J672" s="147" t="str">
        <f>IFERROR(SUMIFS(当年实际!$V:$V,当年实际!$F:$F,$C672,当年实际!$C:$C,"&gt;="&amp;DATE(YEAR(主页!$D$2),1,1),当年实际!$C:$C,"&lt;="&amp;EOMONTH(DATE(YEAR(主页!$D$2),MONTH(主页!$D$2),1),0))/SUMIFS(当年实际!$P:$P,当年实际!$F:$F,$C672,当年实际!$C:$C,"&gt;="&amp;DATE(YEAR(主页!$D$2),1,1),当年实际!$C:$C,"&lt;="&amp;EOMONTH(DATE(YEAR(主页!$D$2),MONTH(主页!$D$2),1),0)),"")</f>
        <v/>
      </c>
    </row>
    <row r="673" spans="1:10" x14ac:dyDescent="0.3">
      <c r="A673" s="150"/>
      <c r="B673" s="150"/>
      <c r="C673" s="150"/>
      <c r="D673" s="150"/>
      <c r="E673" s="140" t="str">
        <f t="shared" si="31"/>
        <v/>
      </c>
      <c r="F673" s="159"/>
      <c r="G673" s="145">
        <f t="shared" si="33"/>
        <v>0</v>
      </c>
      <c r="H673" s="140" t="str">
        <f t="shared" si="32"/>
        <v/>
      </c>
      <c r="J673" s="147" t="str">
        <f>IFERROR(SUMIFS(当年实际!$V:$V,当年实际!$F:$F,$C673,当年实际!$C:$C,"&gt;="&amp;DATE(YEAR(主页!$D$2),1,1),当年实际!$C:$C,"&lt;="&amp;EOMONTH(DATE(YEAR(主页!$D$2),MONTH(主页!$D$2),1),0))/SUMIFS(当年实际!$P:$P,当年实际!$F:$F,$C673,当年实际!$C:$C,"&gt;="&amp;DATE(YEAR(主页!$D$2),1,1),当年实际!$C:$C,"&lt;="&amp;EOMONTH(DATE(YEAR(主页!$D$2),MONTH(主页!$D$2),1),0)),"")</f>
        <v/>
      </c>
    </row>
    <row r="674" spans="1:10" x14ac:dyDescent="0.3">
      <c r="A674" s="150"/>
      <c r="B674" s="150"/>
      <c r="C674" s="150"/>
      <c r="D674" s="150"/>
      <c r="E674" s="140" t="str">
        <f t="shared" si="31"/>
        <v/>
      </c>
      <c r="F674" s="159"/>
      <c r="G674" s="145">
        <f t="shared" si="33"/>
        <v>0</v>
      </c>
      <c r="H674" s="140" t="str">
        <f t="shared" si="32"/>
        <v/>
      </c>
      <c r="J674" s="147" t="str">
        <f>IFERROR(SUMIFS(当年实际!$V:$V,当年实际!$F:$F,$C674,当年实际!$C:$C,"&gt;="&amp;DATE(YEAR(主页!$D$2),1,1),当年实际!$C:$C,"&lt;="&amp;EOMONTH(DATE(YEAR(主页!$D$2),MONTH(主页!$D$2),1),0))/SUMIFS(当年实际!$P:$P,当年实际!$F:$F,$C674,当年实际!$C:$C,"&gt;="&amp;DATE(YEAR(主页!$D$2),1,1),当年实际!$C:$C,"&lt;="&amp;EOMONTH(DATE(YEAR(主页!$D$2),MONTH(主页!$D$2),1),0)),"")</f>
        <v/>
      </c>
    </row>
    <row r="675" spans="1:10" x14ac:dyDescent="0.3">
      <c r="A675" s="150"/>
      <c r="B675" s="150"/>
      <c r="C675" s="150"/>
      <c r="D675" s="150"/>
      <c r="E675" s="140" t="str">
        <f t="shared" si="31"/>
        <v/>
      </c>
      <c r="F675" s="159"/>
      <c r="G675" s="145">
        <f t="shared" si="33"/>
        <v>0</v>
      </c>
      <c r="H675" s="140" t="str">
        <f t="shared" si="32"/>
        <v/>
      </c>
      <c r="J675" s="147" t="str">
        <f>IFERROR(SUMIFS(当年实际!$V:$V,当年实际!$F:$F,$C675,当年实际!$C:$C,"&gt;="&amp;DATE(YEAR(主页!$D$2),1,1),当年实际!$C:$C,"&lt;="&amp;EOMONTH(DATE(YEAR(主页!$D$2),MONTH(主页!$D$2),1),0))/SUMIFS(当年实际!$P:$P,当年实际!$F:$F,$C675,当年实际!$C:$C,"&gt;="&amp;DATE(YEAR(主页!$D$2),1,1),当年实际!$C:$C,"&lt;="&amp;EOMONTH(DATE(YEAR(主页!$D$2),MONTH(主页!$D$2),1),0)),"")</f>
        <v/>
      </c>
    </row>
    <row r="676" spans="1:10" x14ac:dyDescent="0.3">
      <c r="A676" s="150"/>
      <c r="B676" s="150"/>
      <c r="C676" s="150"/>
      <c r="D676" s="150"/>
      <c r="E676" s="140" t="str">
        <f t="shared" si="31"/>
        <v/>
      </c>
      <c r="F676" s="159"/>
      <c r="G676" s="145">
        <f t="shared" si="33"/>
        <v>0</v>
      </c>
      <c r="H676" s="140" t="str">
        <f t="shared" si="32"/>
        <v/>
      </c>
      <c r="J676" s="147" t="str">
        <f>IFERROR(SUMIFS(当年实际!$V:$V,当年实际!$F:$F,$C676,当年实际!$C:$C,"&gt;="&amp;DATE(YEAR(主页!$D$2),1,1),当年实际!$C:$C,"&lt;="&amp;EOMONTH(DATE(YEAR(主页!$D$2),MONTH(主页!$D$2),1),0))/SUMIFS(当年实际!$P:$P,当年实际!$F:$F,$C676,当年实际!$C:$C,"&gt;="&amp;DATE(YEAR(主页!$D$2),1,1),当年实际!$C:$C,"&lt;="&amp;EOMONTH(DATE(YEAR(主页!$D$2),MONTH(主页!$D$2),1),0)),"")</f>
        <v/>
      </c>
    </row>
    <row r="677" spans="1:10" x14ac:dyDescent="0.3">
      <c r="A677" s="150"/>
      <c r="B677" s="150"/>
      <c r="C677" s="150"/>
      <c r="D677" s="150"/>
      <c r="E677" s="140" t="str">
        <f t="shared" si="31"/>
        <v/>
      </c>
      <c r="F677" s="159"/>
      <c r="G677" s="145">
        <f t="shared" si="33"/>
        <v>0</v>
      </c>
      <c r="H677" s="140" t="str">
        <f t="shared" si="32"/>
        <v/>
      </c>
      <c r="J677" s="147" t="str">
        <f>IFERROR(SUMIFS(当年实际!$V:$V,当年实际!$F:$F,$C677,当年实际!$C:$C,"&gt;="&amp;DATE(YEAR(主页!$D$2),1,1),当年实际!$C:$C,"&lt;="&amp;EOMONTH(DATE(YEAR(主页!$D$2),MONTH(主页!$D$2),1),0))/SUMIFS(当年实际!$P:$P,当年实际!$F:$F,$C677,当年实际!$C:$C,"&gt;="&amp;DATE(YEAR(主页!$D$2),1,1),当年实际!$C:$C,"&lt;="&amp;EOMONTH(DATE(YEAR(主页!$D$2),MONTH(主页!$D$2),1),0)),"")</f>
        <v/>
      </c>
    </row>
    <row r="678" spans="1:10" x14ac:dyDescent="0.3">
      <c r="A678" s="150"/>
      <c r="B678" s="150"/>
      <c r="C678" s="150"/>
      <c r="D678" s="150"/>
      <c r="E678" s="140" t="str">
        <f t="shared" si="31"/>
        <v/>
      </c>
      <c r="F678" s="159"/>
      <c r="G678" s="145">
        <f t="shared" si="33"/>
        <v>0</v>
      </c>
      <c r="H678" s="140" t="str">
        <f t="shared" si="32"/>
        <v/>
      </c>
      <c r="J678" s="147" t="str">
        <f>IFERROR(SUMIFS(当年实际!$V:$V,当年实际!$F:$F,$C678,当年实际!$C:$C,"&gt;="&amp;DATE(YEAR(主页!$D$2),1,1),当年实际!$C:$C,"&lt;="&amp;EOMONTH(DATE(YEAR(主页!$D$2),MONTH(主页!$D$2),1),0))/SUMIFS(当年实际!$P:$P,当年实际!$F:$F,$C678,当年实际!$C:$C,"&gt;="&amp;DATE(YEAR(主页!$D$2),1,1),当年实际!$C:$C,"&lt;="&amp;EOMONTH(DATE(YEAR(主页!$D$2),MONTH(主页!$D$2),1),0)),"")</f>
        <v/>
      </c>
    </row>
    <row r="679" spans="1:10" x14ac:dyDescent="0.3">
      <c r="A679" s="150"/>
      <c r="B679" s="150"/>
      <c r="C679" s="150"/>
      <c r="D679" s="150"/>
      <c r="E679" s="140" t="str">
        <f t="shared" si="31"/>
        <v/>
      </c>
      <c r="F679" s="159"/>
      <c r="G679" s="145">
        <f t="shared" si="33"/>
        <v>0</v>
      </c>
      <c r="H679" s="140" t="str">
        <f t="shared" si="32"/>
        <v/>
      </c>
      <c r="J679" s="147" t="str">
        <f>IFERROR(SUMIFS(当年实际!$V:$V,当年实际!$F:$F,$C679,当年实际!$C:$C,"&gt;="&amp;DATE(YEAR(主页!$D$2),1,1),当年实际!$C:$C,"&lt;="&amp;EOMONTH(DATE(YEAR(主页!$D$2),MONTH(主页!$D$2),1),0))/SUMIFS(当年实际!$P:$P,当年实际!$F:$F,$C679,当年实际!$C:$C,"&gt;="&amp;DATE(YEAR(主页!$D$2),1,1),当年实际!$C:$C,"&lt;="&amp;EOMONTH(DATE(YEAR(主页!$D$2),MONTH(主页!$D$2),1),0)),"")</f>
        <v/>
      </c>
    </row>
    <row r="680" spans="1:10" x14ac:dyDescent="0.3">
      <c r="A680" s="150"/>
      <c r="B680" s="150"/>
      <c r="C680" s="150"/>
      <c r="D680" s="150"/>
      <c r="E680" s="140" t="str">
        <f t="shared" si="31"/>
        <v/>
      </c>
      <c r="F680" s="159"/>
      <c r="G680" s="145">
        <f t="shared" si="33"/>
        <v>0</v>
      </c>
      <c r="H680" s="140" t="str">
        <f t="shared" si="32"/>
        <v/>
      </c>
      <c r="J680" s="147" t="str">
        <f>IFERROR(SUMIFS(当年实际!$V:$V,当年实际!$F:$F,$C680,当年实际!$C:$C,"&gt;="&amp;DATE(YEAR(主页!$D$2),1,1),当年实际!$C:$C,"&lt;="&amp;EOMONTH(DATE(YEAR(主页!$D$2),MONTH(主页!$D$2),1),0))/SUMIFS(当年实际!$P:$P,当年实际!$F:$F,$C680,当年实际!$C:$C,"&gt;="&amp;DATE(YEAR(主页!$D$2),1,1),当年实际!$C:$C,"&lt;="&amp;EOMONTH(DATE(YEAR(主页!$D$2),MONTH(主页!$D$2),1),0)),"")</f>
        <v/>
      </c>
    </row>
    <row r="681" spans="1:10" x14ac:dyDescent="0.3">
      <c r="A681" s="150"/>
      <c r="B681" s="150"/>
      <c r="C681" s="150"/>
      <c r="D681" s="150"/>
      <c r="E681" s="140" t="str">
        <f t="shared" si="31"/>
        <v/>
      </c>
      <c r="F681" s="159"/>
      <c r="G681" s="145">
        <f t="shared" si="33"/>
        <v>0</v>
      </c>
      <c r="H681" s="140" t="str">
        <f t="shared" si="32"/>
        <v/>
      </c>
      <c r="J681" s="147" t="str">
        <f>IFERROR(SUMIFS(当年实际!$V:$V,当年实际!$F:$F,$C681,当年实际!$C:$C,"&gt;="&amp;DATE(YEAR(主页!$D$2),1,1),当年实际!$C:$C,"&lt;="&amp;EOMONTH(DATE(YEAR(主页!$D$2),MONTH(主页!$D$2),1),0))/SUMIFS(当年实际!$P:$P,当年实际!$F:$F,$C681,当年实际!$C:$C,"&gt;="&amp;DATE(YEAR(主页!$D$2),1,1),当年实际!$C:$C,"&lt;="&amp;EOMONTH(DATE(YEAR(主页!$D$2),MONTH(主页!$D$2),1),0)),"")</f>
        <v/>
      </c>
    </row>
    <row r="682" spans="1:10" x14ac:dyDescent="0.3">
      <c r="A682" s="150"/>
      <c r="B682" s="150"/>
      <c r="C682" s="150"/>
      <c r="D682" s="150"/>
      <c r="E682" s="140" t="str">
        <f t="shared" si="31"/>
        <v/>
      </c>
      <c r="F682" s="159"/>
      <c r="G682" s="145">
        <f t="shared" si="33"/>
        <v>0</v>
      </c>
      <c r="H682" s="140" t="str">
        <f t="shared" si="32"/>
        <v/>
      </c>
      <c r="J682" s="147" t="str">
        <f>IFERROR(SUMIFS(当年实际!$V:$V,当年实际!$F:$F,$C682,当年实际!$C:$C,"&gt;="&amp;DATE(YEAR(主页!$D$2),1,1),当年实际!$C:$C,"&lt;="&amp;EOMONTH(DATE(YEAR(主页!$D$2),MONTH(主页!$D$2),1),0))/SUMIFS(当年实际!$P:$P,当年实际!$F:$F,$C682,当年实际!$C:$C,"&gt;="&amp;DATE(YEAR(主页!$D$2),1,1),当年实际!$C:$C,"&lt;="&amp;EOMONTH(DATE(YEAR(主页!$D$2),MONTH(主页!$D$2),1),0)),"")</f>
        <v/>
      </c>
    </row>
    <row r="683" spans="1:10" x14ac:dyDescent="0.3">
      <c r="A683" s="150"/>
      <c r="B683" s="150"/>
      <c r="C683" s="150"/>
      <c r="D683" s="150"/>
      <c r="E683" s="140" t="str">
        <f t="shared" si="31"/>
        <v/>
      </c>
      <c r="F683" s="159"/>
      <c r="G683" s="145">
        <f t="shared" si="33"/>
        <v>0</v>
      </c>
      <c r="H683" s="140" t="str">
        <f t="shared" si="32"/>
        <v/>
      </c>
      <c r="J683" s="147" t="str">
        <f>IFERROR(SUMIFS(当年实际!$V:$V,当年实际!$F:$F,$C683,当年实际!$C:$C,"&gt;="&amp;DATE(YEAR(主页!$D$2),1,1),当年实际!$C:$C,"&lt;="&amp;EOMONTH(DATE(YEAR(主页!$D$2),MONTH(主页!$D$2),1),0))/SUMIFS(当年实际!$P:$P,当年实际!$F:$F,$C683,当年实际!$C:$C,"&gt;="&amp;DATE(YEAR(主页!$D$2),1,1),当年实际!$C:$C,"&lt;="&amp;EOMONTH(DATE(YEAR(主页!$D$2),MONTH(主页!$D$2),1),0)),"")</f>
        <v/>
      </c>
    </row>
    <row r="684" spans="1:10" x14ac:dyDescent="0.3">
      <c r="A684" s="150"/>
      <c r="B684" s="150"/>
      <c r="C684" s="150"/>
      <c r="D684" s="150"/>
      <c r="E684" s="140" t="str">
        <f t="shared" si="31"/>
        <v/>
      </c>
      <c r="F684" s="159"/>
      <c r="G684" s="145">
        <f t="shared" si="33"/>
        <v>0</v>
      </c>
      <c r="H684" s="140" t="str">
        <f t="shared" si="32"/>
        <v/>
      </c>
      <c r="J684" s="147" t="str">
        <f>IFERROR(SUMIFS(当年实际!$V:$V,当年实际!$F:$F,$C684,当年实际!$C:$C,"&gt;="&amp;DATE(YEAR(主页!$D$2),1,1),当年实际!$C:$C,"&lt;="&amp;EOMONTH(DATE(YEAR(主页!$D$2),MONTH(主页!$D$2),1),0))/SUMIFS(当年实际!$P:$P,当年实际!$F:$F,$C684,当年实际!$C:$C,"&gt;="&amp;DATE(YEAR(主页!$D$2),1,1),当年实际!$C:$C,"&lt;="&amp;EOMONTH(DATE(YEAR(主页!$D$2),MONTH(主页!$D$2),1),0)),"")</f>
        <v/>
      </c>
    </row>
    <row r="685" spans="1:10" x14ac:dyDescent="0.3">
      <c r="A685" s="150"/>
      <c r="B685" s="150"/>
      <c r="C685" s="150"/>
      <c r="D685" s="150"/>
      <c r="E685" s="140" t="str">
        <f t="shared" si="31"/>
        <v/>
      </c>
      <c r="F685" s="159"/>
      <c r="G685" s="145">
        <f t="shared" si="33"/>
        <v>0</v>
      </c>
      <c r="H685" s="140" t="str">
        <f t="shared" si="32"/>
        <v/>
      </c>
      <c r="J685" s="147" t="str">
        <f>IFERROR(SUMIFS(当年实际!$V:$V,当年实际!$F:$F,$C685,当年实际!$C:$C,"&gt;="&amp;DATE(YEAR(主页!$D$2),1,1),当年实际!$C:$C,"&lt;="&amp;EOMONTH(DATE(YEAR(主页!$D$2),MONTH(主页!$D$2),1),0))/SUMIFS(当年实际!$P:$P,当年实际!$F:$F,$C685,当年实际!$C:$C,"&gt;="&amp;DATE(YEAR(主页!$D$2),1,1),当年实际!$C:$C,"&lt;="&amp;EOMONTH(DATE(YEAR(主页!$D$2),MONTH(主页!$D$2),1),0)),"")</f>
        <v/>
      </c>
    </row>
    <row r="686" spans="1:10" x14ac:dyDescent="0.3">
      <c r="A686" s="150"/>
      <c r="B686" s="150"/>
      <c r="C686" s="150"/>
      <c r="D686" s="150"/>
      <c r="E686" s="140" t="str">
        <f t="shared" si="31"/>
        <v/>
      </c>
      <c r="F686" s="159"/>
      <c r="G686" s="145">
        <f t="shared" si="33"/>
        <v>0</v>
      </c>
      <c r="H686" s="140" t="str">
        <f t="shared" si="32"/>
        <v/>
      </c>
      <c r="J686" s="147" t="str">
        <f>IFERROR(SUMIFS(当年实际!$V:$V,当年实际!$F:$F,$C686,当年实际!$C:$C,"&gt;="&amp;DATE(YEAR(主页!$D$2),1,1),当年实际!$C:$C,"&lt;="&amp;EOMONTH(DATE(YEAR(主页!$D$2),MONTH(主页!$D$2),1),0))/SUMIFS(当年实际!$P:$P,当年实际!$F:$F,$C686,当年实际!$C:$C,"&gt;="&amp;DATE(YEAR(主页!$D$2),1,1),当年实际!$C:$C,"&lt;="&amp;EOMONTH(DATE(YEAR(主页!$D$2),MONTH(主页!$D$2),1),0)),"")</f>
        <v/>
      </c>
    </row>
    <row r="687" spans="1:10" x14ac:dyDescent="0.3">
      <c r="A687" s="150"/>
      <c r="B687" s="150"/>
      <c r="C687" s="150"/>
      <c r="D687" s="150"/>
      <c r="E687" s="140" t="str">
        <f t="shared" si="31"/>
        <v/>
      </c>
      <c r="F687" s="159"/>
      <c r="G687" s="145">
        <f t="shared" si="33"/>
        <v>0</v>
      </c>
      <c r="H687" s="140" t="str">
        <f t="shared" si="32"/>
        <v/>
      </c>
      <c r="J687" s="147" t="str">
        <f>IFERROR(SUMIFS(当年实际!$V:$V,当年实际!$F:$F,$C687,当年实际!$C:$C,"&gt;="&amp;DATE(YEAR(主页!$D$2),1,1),当年实际!$C:$C,"&lt;="&amp;EOMONTH(DATE(YEAR(主页!$D$2),MONTH(主页!$D$2),1),0))/SUMIFS(当年实际!$P:$P,当年实际!$F:$F,$C687,当年实际!$C:$C,"&gt;="&amp;DATE(YEAR(主页!$D$2),1,1),当年实际!$C:$C,"&lt;="&amp;EOMONTH(DATE(YEAR(主页!$D$2),MONTH(主页!$D$2),1),0)),"")</f>
        <v/>
      </c>
    </row>
    <row r="688" spans="1:10" x14ac:dyDescent="0.3">
      <c r="A688" s="150"/>
      <c r="B688" s="150"/>
      <c r="C688" s="150"/>
      <c r="D688" s="150"/>
      <c r="E688" s="140" t="str">
        <f t="shared" si="31"/>
        <v/>
      </c>
      <c r="F688" s="159"/>
      <c r="G688" s="145">
        <f t="shared" si="33"/>
        <v>0</v>
      </c>
      <c r="H688" s="140" t="str">
        <f t="shared" si="32"/>
        <v/>
      </c>
      <c r="J688" s="147" t="str">
        <f>IFERROR(SUMIFS(当年实际!$V:$V,当年实际!$F:$F,$C688,当年实际!$C:$C,"&gt;="&amp;DATE(YEAR(主页!$D$2),1,1),当年实际!$C:$C,"&lt;="&amp;EOMONTH(DATE(YEAR(主页!$D$2),MONTH(主页!$D$2),1),0))/SUMIFS(当年实际!$P:$P,当年实际!$F:$F,$C688,当年实际!$C:$C,"&gt;="&amp;DATE(YEAR(主页!$D$2),1,1),当年实际!$C:$C,"&lt;="&amp;EOMONTH(DATE(YEAR(主页!$D$2),MONTH(主页!$D$2),1),0)),"")</f>
        <v/>
      </c>
    </row>
    <row r="689" spans="1:10" x14ac:dyDescent="0.3">
      <c r="A689" s="150"/>
      <c r="B689" s="150"/>
      <c r="C689" s="150"/>
      <c r="D689" s="150"/>
      <c r="E689" s="140" t="str">
        <f t="shared" si="31"/>
        <v/>
      </c>
      <c r="F689" s="159"/>
      <c r="G689" s="145">
        <f t="shared" si="33"/>
        <v>0</v>
      </c>
      <c r="H689" s="140" t="str">
        <f t="shared" si="32"/>
        <v/>
      </c>
      <c r="J689" s="147" t="str">
        <f>IFERROR(SUMIFS(当年实际!$V:$V,当年实际!$F:$F,$C689,当年实际!$C:$C,"&gt;="&amp;DATE(YEAR(主页!$D$2),1,1),当年实际!$C:$C,"&lt;="&amp;EOMONTH(DATE(YEAR(主页!$D$2),MONTH(主页!$D$2),1),0))/SUMIFS(当年实际!$P:$P,当年实际!$F:$F,$C689,当年实际!$C:$C,"&gt;="&amp;DATE(YEAR(主页!$D$2),1,1),当年实际!$C:$C,"&lt;="&amp;EOMONTH(DATE(YEAR(主页!$D$2),MONTH(主页!$D$2),1),0)),"")</f>
        <v/>
      </c>
    </row>
    <row r="690" spans="1:10" x14ac:dyDescent="0.3">
      <c r="A690" s="150"/>
      <c r="B690" s="150"/>
      <c r="C690" s="150"/>
      <c r="D690" s="150"/>
      <c r="E690" s="140" t="str">
        <f t="shared" si="31"/>
        <v/>
      </c>
      <c r="F690" s="159"/>
      <c r="G690" s="145">
        <f t="shared" si="33"/>
        <v>0</v>
      </c>
      <c r="H690" s="140" t="str">
        <f t="shared" si="32"/>
        <v/>
      </c>
      <c r="J690" s="147" t="str">
        <f>IFERROR(SUMIFS(当年实际!$V:$V,当年实际!$F:$F,$C690,当年实际!$C:$C,"&gt;="&amp;DATE(YEAR(主页!$D$2),1,1),当年实际!$C:$C,"&lt;="&amp;EOMONTH(DATE(YEAR(主页!$D$2),MONTH(主页!$D$2),1),0))/SUMIFS(当年实际!$P:$P,当年实际!$F:$F,$C690,当年实际!$C:$C,"&gt;="&amp;DATE(YEAR(主页!$D$2),1,1),当年实际!$C:$C,"&lt;="&amp;EOMONTH(DATE(YEAR(主页!$D$2),MONTH(主页!$D$2),1),0)),"")</f>
        <v/>
      </c>
    </row>
    <row r="691" spans="1:10" x14ac:dyDescent="0.3">
      <c r="A691" s="150"/>
      <c r="B691" s="150"/>
      <c r="C691" s="150"/>
      <c r="D691" s="150"/>
      <c r="E691" s="140" t="str">
        <f t="shared" si="31"/>
        <v/>
      </c>
      <c r="F691" s="159"/>
      <c r="G691" s="145">
        <f t="shared" si="33"/>
        <v>0</v>
      </c>
      <c r="H691" s="140" t="str">
        <f t="shared" si="32"/>
        <v/>
      </c>
      <c r="J691" s="147" t="str">
        <f>IFERROR(SUMIFS(当年实际!$V:$V,当年实际!$F:$F,$C691,当年实际!$C:$C,"&gt;="&amp;DATE(YEAR(主页!$D$2),1,1),当年实际!$C:$C,"&lt;="&amp;EOMONTH(DATE(YEAR(主页!$D$2),MONTH(主页!$D$2),1),0))/SUMIFS(当年实际!$P:$P,当年实际!$F:$F,$C691,当年实际!$C:$C,"&gt;="&amp;DATE(YEAR(主页!$D$2),1,1),当年实际!$C:$C,"&lt;="&amp;EOMONTH(DATE(YEAR(主页!$D$2),MONTH(主页!$D$2),1),0)),"")</f>
        <v/>
      </c>
    </row>
    <row r="692" spans="1:10" x14ac:dyDescent="0.3">
      <c r="A692" s="150"/>
      <c r="B692" s="150"/>
      <c r="C692" s="150"/>
      <c r="D692" s="150"/>
      <c r="E692" s="140" t="str">
        <f t="shared" si="31"/>
        <v/>
      </c>
      <c r="F692" s="159"/>
      <c r="G692" s="145">
        <f t="shared" si="33"/>
        <v>0</v>
      </c>
      <c r="H692" s="140" t="str">
        <f t="shared" si="32"/>
        <v/>
      </c>
      <c r="J692" s="147" t="str">
        <f>IFERROR(SUMIFS(当年实际!$V:$V,当年实际!$F:$F,$C692,当年实际!$C:$C,"&gt;="&amp;DATE(YEAR(主页!$D$2),1,1),当年实际!$C:$C,"&lt;="&amp;EOMONTH(DATE(YEAR(主页!$D$2),MONTH(主页!$D$2),1),0))/SUMIFS(当年实际!$P:$P,当年实际!$F:$F,$C692,当年实际!$C:$C,"&gt;="&amp;DATE(YEAR(主页!$D$2),1,1),当年实际!$C:$C,"&lt;="&amp;EOMONTH(DATE(YEAR(主页!$D$2),MONTH(主页!$D$2),1),0)),"")</f>
        <v/>
      </c>
    </row>
    <row r="693" spans="1:10" x14ac:dyDescent="0.3">
      <c r="A693" s="150"/>
      <c r="B693" s="150"/>
      <c r="C693" s="150"/>
      <c r="D693" s="150"/>
      <c r="E693" s="140" t="str">
        <f t="shared" si="31"/>
        <v/>
      </c>
      <c r="F693" s="159"/>
      <c r="G693" s="145">
        <f t="shared" si="33"/>
        <v>0</v>
      </c>
      <c r="H693" s="140" t="str">
        <f t="shared" si="32"/>
        <v/>
      </c>
      <c r="J693" s="147" t="str">
        <f>IFERROR(SUMIFS(当年实际!$V:$V,当年实际!$F:$F,$C693,当年实际!$C:$C,"&gt;="&amp;DATE(YEAR(主页!$D$2),1,1),当年实际!$C:$C,"&lt;="&amp;EOMONTH(DATE(YEAR(主页!$D$2),MONTH(主页!$D$2),1),0))/SUMIFS(当年实际!$P:$P,当年实际!$F:$F,$C693,当年实际!$C:$C,"&gt;="&amp;DATE(YEAR(主页!$D$2),1,1),当年实际!$C:$C,"&lt;="&amp;EOMONTH(DATE(YEAR(主页!$D$2),MONTH(主页!$D$2),1),0)),"")</f>
        <v/>
      </c>
    </row>
    <row r="694" spans="1:10" x14ac:dyDescent="0.3">
      <c r="A694" s="150"/>
      <c r="B694" s="150"/>
      <c r="C694" s="150"/>
      <c r="D694" s="150"/>
      <c r="E694" s="140" t="str">
        <f t="shared" si="31"/>
        <v/>
      </c>
      <c r="F694" s="159"/>
      <c r="G694" s="145">
        <f t="shared" si="33"/>
        <v>0</v>
      </c>
      <c r="H694" s="140" t="str">
        <f t="shared" si="32"/>
        <v/>
      </c>
      <c r="J694" s="147" t="str">
        <f>IFERROR(SUMIFS(当年实际!$V:$V,当年实际!$F:$F,$C694,当年实际!$C:$C,"&gt;="&amp;DATE(YEAR(主页!$D$2),1,1),当年实际!$C:$C,"&lt;="&amp;EOMONTH(DATE(YEAR(主页!$D$2),MONTH(主页!$D$2),1),0))/SUMIFS(当年实际!$P:$P,当年实际!$F:$F,$C694,当年实际!$C:$C,"&gt;="&amp;DATE(YEAR(主页!$D$2),1,1),当年实际!$C:$C,"&lt;="&amp;EOMONTH(DATE(YEAR(主页!$D$2),MONTH(主页!$D$2),1),0)),"")</f>
        <v/>
      </c>
    </row>
    <row r="695" spans="1:10" x14ac:dyDescent="0.3">
      <c r="A695" s="150"/>
      <c r="B695" s="150"/>
      <c r="C695" s="150"/>
      <c r="D695" s="150"/>
      <c r="E695" s="140" t="str">
        <f t="shared" si="31"/>
        <v/>
      </c>
      <c r="F695" s="159"/>
      <c r="G695" s="145">
        <f t="shared" si="33"/>
        <v>0</v>
      </c>
      <c r="H695" s="140" t="str">
        <f t="shared" si="32"/>
        <v/>
      </c>
      <c r="J695" s="147" t="str">
        <f>IFERROR(SUMIFS(当年实际!$V:$V,当年实际!$F:$F,$C695,当年实际!$C:$C,"&gt;="&amp;DATE(YEAR(主页!$D$2),1,1),当年实际!$C:$C,"&lt;="&amp;EOMONTH(DATE(YEAR(主页!$D$2),MONTH(主页!$D$2),1),0))/SUMIFS(当年实际!$P:$P,当年实际!$F:$F,$C695,当年实际!$C:$C,"&gt;="&amp;DATE(YEAR(主页!$D$2),1,1),当年实际!$C:$C,"&lt;="&amp;EOMONTH(DATE(YEAR(主页!$D$2),MONTH(主页!$D$2),1),0)),"")</f>
        <v/>
      </c>
    </row>
    <row r="696" spans="1:10" x14ac:dyDescent="0.3">
      <c r="A696" s="150"/>
      <c r="B696" s="150"/>
      <c r="C696" s="150"/>
      <c r="D696" s="150"/>
      <c r="E696" s="140" t="str">
        <f t="shared" si="31"/>
        <v/>
      </c>
      <c r="F696" s="159"/>
      <c r="G696" s="145">
        <f t="shared" si="33"/>
        <v>0</v>
      </c>
      <c r="H696" s="140" t="str">
        <f t="shared" si="32"/>
        <v/>
      </c>
      <c r="J696" s="147" t="str">
        <f>IFERROR(SUMIFS(当年实际!$V:$V,当年实际!$F:$F,$C696,当年实际!$C:$C,"&gt;="&amp;DATE(YEAR(主页!$D$2),1,1),当年实际!$C:$C,"&lt;="&amp;EOMONTH(DATE(YEAR(主页!$D$2),MONTH(主页!$D$2),1),0))/SUMIFS(当年实际!$P:$P,当年实际!$F:$F,$C696,当年实际!$C:$C,"&gt;="&amp;DATE(YEAR(主页!$D$2),1,1),当年实际!$C:$C,"&lt;="&amp;EOMONTH(DATE(YEAR(主页!$D$2),MONTH(主页!$D$2),1),0)),"")</f>
        <v/>
      </c>
    </row>
    <row r="697" spans="1:10" x14ac:dyDescent="0.3">
      <c r="A697" s="150"/>
      <c r="B697" s="150"/>
      <c r="C697" s="150"/>
      <c r="D697" s="150"/>
      <c r="E697" s="140" t="str">
        <f t="shared" si="31"/>
        <v/>
      </c>
      <c r="F697" s="159"/>
      <c r="G697" s="145">
        <f t="shared" si="33"/>
        <v>0</v>
      </c>
      <c r="H697" s="140" t="str">
        <f t="shared" si="32"/>
        <v/>
      </c>
      <c r="J697" s="147" t="str">
        <f>IFERROR(SUMIFS(当年实际!$V:$V,当年实际!$F:$F,$C697,当年实际!$C:$C,"&gt;="&amp;DATE(YEAR(主页!$D$2),1,1),当年实际!$C:$C,"&lt;="&amp;EOMONTH(DATE(YEAR(主页!$D$2),MONTH(主页!$D$2),1),0))/SUMIFS(当年实际!$P:$P,当年实际!$F:$F,$C697,当年实际!$C:$C,"&gt;="&amp;DATE(YEAR(主页!$D$2),1,1),当年实际!$C:$C,"&lt;="&amp;EOMONTH(DATE(YEAR(主页!$D$2),MONTH(主页!$D$2),1),0)),"")</f>
        <v/>
      </c>
    </row>
    <row r="698" spans="1:10" x14ac:dyDescent="0.3">
      <c r="A698" s="150"/>
      <c r="B698" s="150"/>
      <c r="C698" s="150"/>
      <c r="D698" s="150"/>
      <c r="E698" s="140" t="str">
        <f t="shared" si="31"/>
        <v/>
      </c>
      <c r="F698" s="159"/>
      <c r="G698" s="145">
        <f t="shared" si="33"/>
        <v>0</v>
      </c>
      <c r="H698" s="140" t="str">
        <f t="shared" si="32"/>
        <v/>
      </c>
      <c r="J698" s="147" t="str">
        <f>IFERROR(SUMIFS(当年实际!$V:$V,当年实际!$F:$F,$C698,当年实际!$C:$C,"&gt;="&amp;DATE(YEAR(主页!$D$2),1,1),当年实际!$C:$C,"&lt;="&amp;EOMONTH(DATE(YEAR(主页!$D$2),MONTH(主页!$D$2),1),0))/SUMIFS(当年实际!$P:$P,当年实际!$F:$F,$C698,当年实际!$C:$C,"&gt;="&amp;DATE(YEAR(主页!$D$2),1,1),当年实际!$C:$C,"&lt;="&amp;EOMONTH(DATE(YEAR(主页!$D$2),MONTH(主页!$D$2),1),0)),"")</f>
        <v/>
      </c>
    </row>
    <row r="699" spans="1:10" x14ac:dyDescent="0.3">
      <c r="A699" s="150"/>
      <c r="B699" s="150"/>
      <c r="C699" s="150"/>
      <c r="D699" s="150"/>
      <c r="E699" s="140" t="str">
        <f t="shared" si="31"/>
        <v/>
      </c>
      <c r="F699" s="159"/>
      <c r="G699" s="145">
        <f t="shared" si="33"/>
        <v>0</v>
      </c>
      <c r="H699" s="140" t="str">
        <f t="shared" si="32"/>
        <v/>
      </c>
      <c r="J699" s="147" t="str">
        <f>IFERROR(SUMIFS(当年实际!$V:$V,当年实际!$F:$F,$C699,当年实际!$C:$C,"&gt;="&amp;DATE(YEAR(主页!$D$2),1,1),当年实际!$C:$C,"&lt;="&amp;EOMONTH(DATE(YEAR(主页!$D$2),MONTH(主页!$D$2),1),0))/SUMIFS(当年实际!$P:$P,当年实际!$F:$F,$C699,当年实际!$C:$C,"&gt;="&amp;DATE(YEAR(主页!$D$2),1,1),当年实际!$C:$C,"&lt;="&amp;EOMONTH(DATE(YEAR(主页!$D$2),MONTH(主页!$D$2),1),0)),"")</f>
        <v/>
      </c>
    </row>
    <row r="700" spans="1:10" x14ac:dyDescent="0.3">
      <c r="A700" s="150"/>
      <c r="B700" s="150"/>
      <c r="C700" s="150"/>
      <c r="D700" s="150"/>
      <c r="E700" s="140" t="str">
        <f t="shared" si="31"/>
        <v/>
      </c>
      <c r="F700" s="159"/>
      <c r="G700" s="145">
        <f t="shared" si="33"/>
        <v>0</v>
      </c>
      <c r="H700" s="140" t="str">
        <f t="shared" si="32"/>
        <v/>
      </c>
      <c r="J700" s="147" t="str">
        <f>IFERROR(SUMIFS(当年实际!$V:$V,当年实际!$F:$F,$C700,当年实际!$C:$C,"&gt;="&amp;DATE(YEAR(主页!$D$2),1,1),当年实际!$C:$C,"&lt;="&amp;EOMONTH(DATE(YEAR(主页!$D$2),MONTH(主页!$D$2),1),0))/SUMIFS(当年实际!$P:$P,当年实际!$F:$F,$C700,当年实际!$C:$C,"&gt;="&amp;DATE(YEAR(主页!$D$2),1,1),当年实际!$C:$C,"&lt;="&amp;EOMONTH(DATE(YEAR(主页!$D$2),MONTH(主页!$D$2),1),0)),"")</f>
        <v/>
      </c>
    </row>
    <row r="701" spans="1:10" x14ac:dyDescent="0.3">
      <c r="A701" s="150"/>
      <c r="B701" s="150"/>
      <c r="C701" s="150"/>
      <c r="D701" s="150"/>
      <c r="E701" s="140" t="str">
        <f t="shared" si="31"/>
        <v/>
      </c>
      <c r="F701" s="159"/>
      <c r="G701" s="145">
        <f t="shared" si="33"/>
        <v>0</v>
      </c>
      <c r="H701" s="140" t="str">
        <f t="shared" si="32"/>
        <v/>
      </c>
      <c r="J701" s="147" t="str">
        <f>IFERROR(SUMIFS(当年实际!$V:$V,当年实际!$F:$F,$C701,当年实际!$C:$C,"&gt;="&amp;DATE(YEAR(主页!$D$2),1,1),当年实际!$C:$C,"&lt;="&amp;EOMONTH(DATE(YEAR(主页!$D$2),MONTH(主页!$D$2),1),0))/SUMIFS(当年实际!$P:$P,当年实际!$F:$F,$C701,当年实际!$C:$C,"&gt;="&amp;DATE(YEAR(主页!$D$2),1,1),当年实际!$C:$C,"&lt;="&amp;EOMONTH(DATE(YEAR(主页!$D$2),MONTH(主页!$D$2),1),0)),"")</f>
        <v/>
      </c>
    </row>
    <row r="702" spans="1:10" x14ac:dyDescent="0.3">
      <c r="A702" s="150"/>
      <c r="B702" s="150"/>
      <c r="C702" s="150"/>
      <c r="D702" s="150"/>
      <c r="E702" s="140" t="str">
        <f t="shared" si="31"/>
        <v/>
      </c>
      <c r="F702" s="159"/>
      <c r="G702" s="145">
        <f t="shared" si="33"/>
        <v>0</v>
      </c>
      <c r="H702" s="140" t="str">
        <f t="shared" si="32"/>
        <v/>
      </c>
      <c r="J702" s="147" t="str">
        <f>IFERROR(SUMIFS(当年实际!$V:$V,当年实际!$F:$F,$C702,当年实际!$C:$C,"&gt;="&amp;DATE(YEAR(主页!$D$2),1,1),当年实际!$C:$C,"&lt;="&amp;EOMONTH(DATE(YEAR(主页!$D$2),MONTH(主页!$D$2),1),0))/SUMIFS(当年实际!$P:$P,当年实际!$F:$F,$C702,当年实际!$C:$C,"&gt;="&amp;DATE(YEAR(主页!$D$2),1,1),当年实际!$C:$C,"&lt;="&amp;EOMONTH(DATE(YEAR(主页!$D$2),MONTH(主页!$D$2),1),0)),"")</f>
        <v/>
      </c>
    </row>
    <row r="703" spans="1:10" x14ac:dyDescent="0.3">
      <c r="A703" s="150"/>
      <c r="B703" s="150"/>
      <c r="C703" s="150"/>
      <c r="D703" s="150"/>
      <c r="E703" s="140" t="str">
        <f t="shared" si="31"/>
        <v/>
      </c>
      <c r="F703" s="159"/>
      <c r="G703" s="145">
        <f t="shared" si="33"/>
        <v>0</v>
      </c>
      <c r="H703" s="140" t="str">
        <f t="shared" si="32"/>
        <v/>
      </c>
      <c r="J703" s="147" t="str">
        <f>IFERROR(SUMIFS(当年实际!$V:$V,当年实际!$F:$F,$C703,当年实际!$C:$C,"&gt;="&amp;DATE(YEAR(主页!$D$2),1,1),当年实际!$C:$C,"&lt;="&amp;EOMONTH(DATE(YEAR(主页!$D$2),MONTH(主页!$D$2),1),0))/SUMIFS(当年实际!$P:$P,当年实际!$F:$F,$C703,当年实际!$C:$C,"&gt;="&amp;DATE(YEAR(主页!$D$2),1,1),当年实际!$C:$C,"&lt;="&amp;EOMONTH(DATE(YEAR(主页!$D$2),MONTH(主页!$D$2),1),0)),"")</f>
        <v/>
      </c>
    </row>
    <row r="704" spans="1:10" x14ac:dyDescent="0.3">
      <c r="A704" s="150"/>
      <c r="B704" s="150"/>
      <c r="C704" s="150"/>
      <c r="D704" s="150"/>
      <c r="E704" s="140" t="str">
        <f t="shared" si="31"/>
        <v/>
      </c>
      <c r="F704" s="159"/>
      <c r="G704" s="145">
        <f t="shared" si="33"/>
        <v>0</v>
      </c>
      <c r="H704" s="140" t="str">
        <f t="shared" si="32"/>
        <v/>
      </c>
      <c r="J704" s="147" t="str">
        <f>IFERROR(SUMIFS(当年实际!$V:$V,当年实际!$F:$F,$C704,当年实际!$C:$C,"&gt;="&amp;DATE(YEAR(主页!$D$2),1,1),当年实际!$C:$C,"&lt;="&amp;EOMONTH(DATE(YEAR(主页!$D$2),MONTH(主页!$D$2),1),0))/SUMIFS(当年实际!$P:$P,当年实际!$F:$F,$C704,当年实际!$C:$C,"&gt;="&amp;DATE(YEAR(主页!$D$2),1,1),当年实际!$C:$C,"&lt;="&amp;EOMONTH(DATE(YEAR(主页!$D$2),MONTH(主页!$D$2),1),0)),"")</f>
        <v/>
      </c>
    </row>
    <row r="705" spans="1:10" x14ac:dyDescent="0.3">
      <c r="A705" s="150"/>
      <c r="B705" s="150"/>
      <c r="C705" s="150"/>
      <c r="D705" s="150"/>
      <c r="E705" s="140" t="str">
        <f t="shared" si="31"/>
        <v/>
      </c>
      <c r="F705" s="159"/>
      <c r="G705" s="145">
        <f t="shared" si="33"/>
        <v>0</v>
      </c>
      <c r="H705" s="140" t="str">
        <f t="shared" si="32"/>
        <v/>
      </c>
      <c r="J705" s="147" t="str">
        <f>IFERROR(SUMIFS(当年实际!$V:$V,当年实际!$F:$F,$C705,当年实际!$C:$C,"&gt;="&amp;DATE(YEAR(主页!$D$2),1,1),当年实际!$C:$C,"&lt;="&amp;EOMONTH(DATE(YEAR(主页!$D$2),MONTH(主页!$D$2),1),0))/SUMIFS(当年实际!$P:$P,当年实际!$F:$F,$C705,当年实际!$C:$C,"&gt;="&amp;DATE(YEAR(主页!$D$2),1,1),当年实际!$C:$C,"&lt;="&amp;EOMONTH(DATE(YEAR(主页!$D$2),MONTH(主页!$D$2),1),0)),"")</f>
        <v/>
      </c>
    </row>
    <row r="706" spans="1:10" x14ac:dyDescent="0.3">
      <c r="A706" s="150"/>
      <c r="B706" s="150"/>
      <c r="C706" s="150"/>
      <c r="D706" s="150"/>
      <c r="E706" s="140" t="str">
        <f t="shared" si="31"/>
        <v/>
      </c>
      <c r="F706" s="159"/>
      <c r="G706" s="145">
        <f t="shared" si="33"/>
        <v>0</v>
      </c>
      <c r="H706" s="140" t="str">
        <f t="shared" si="32"/>
        <v/>
      </c>
      <c r="J706" s="147" t="str">
        <f>IFERROR(SUMIFS(当年实际!$V:$V,当年实际!$F:$F,$C706,当年实际!$C:$C,"&gt;="&amp;DATE(YEAR(主页!$D$2),1,1),当年实际!$C:$C,"&lt;="&amp;EOMONTH(DATE(YEAR(主页!$D$2),MONTH(主页!$D$2),1),0))/SUMIFS(当年实际!$P:$P,当年实际!$F:$F,$C706,当年实际!$C:$C,"&gt;="&amp;DATE(YEAR(主页!$D$2),1,1),当年实际!$C:$C,"&lt;="&amp;EOMONTH(DATE(YEAR(主页!$D$2),MONTH(主页!$D$2),1),0)),"")</f>
        <v/>
      </c>
    </row>
    <row r="707" spans="1:10" x14ac:dyDescent="0.3">
      <c r="A707" s="150"/>
      <c r="B707" s="150"/>
      <c r="C707" s="150"/>
      <c r="D707" s="150"/>
      <c r="E707" s="140" t="str">
        <f t="shared" si="31"/>
        <v/>
      </c>
      <c r="F707" s="159"/>
      <c r="G707" s="145">
        <f t="shared" si="33"/>
        <v>0</v>
      </c>
      <c r="H707" s="140" t="str">
        <f t="shared" si="32"/>
        <v/>
      </c>
      <c r="J707" s="147" t="str">
        <f>IFERROR(SUMIFS(当年实际!$V:$V,当年实际!$F:$F,$C707,当年实际!$C:$C,"&gt;="&amp;DATE(YEAR(主页!$D$2),1,1),当年实际!$C:$C,"&lt;="&amp;EOMONTH(DATE(YEAR(主页!$D$2),MONTH(主页!$D$2),1),0))/SUMIFS(当年实际!$P:$P,当年实际!$F:$F,$C707,当年实际!$C:$C,"&gt;="&amp;DATE(YEAR(主页!$D$2),1,1),当年实际!$C:$C,"&lt;="&amp;EOMONTH(DATE(YEAR(主页!$D$2),MONTH(主页!$D$2),1),0)),"")</f>
        <v/>
      </c>
    </row>
    <row r="708" spans="1:10" x14ac:dyDescent="0.3">
      <c r="A708" s="150"/>
      <c r="B708" s="150"/>
      <c r="C708" s="150"/>
      <c r="D708" s="150"/>
      <c r="E708" s="140" t="str">
        <f t="shared" ref="E708:E771" si="34">IF(D708/SUM(D:D)=0,"",D708/SUM(D:D))</f>
        <v/>
      </c>
      <c r="F708" s="159"/>
      <c r="G708" s="145">
        <f t="shared" si="33"/>
        <v>0</v>
      </c>
      <c r="H708" s="140" t="str">
        <f t="shared" ref="H708:H771" si="35">IF(G708/SUM(G:G)=0,"",G708/SUM(G:G))</f>
        <v/>
      </c>
      <c r="J708" s="147" t="str">
        <f>IFERROR(SUMIFS(当年实际!$V:$V,当年实际!$F:$F,$C708,当年实际!$C:$C,"&gt;="&amp;DATE(YEAR(主页!$D$2),1,1),当年实际!$C:$C,"&lt;="&amp;EOMONTH(DATE(YEAR(主页!$D$2),MONTH(主页!$D$2),1),0))/SUMIFS(当年实际!$P:$P,当年实际!$F:$F,$C708,当年实际!$C:$C,"&gt;="&amp;DATE(YEAR(主页!$D$2),1,1),当年实际!$C:$C,"&lt;="&amp;EOMONTH(DATE(YEAR(主页!$D$2),MONTH(主页!$D$2),1),0)),"")</f>
        <v/>
      </c>
    </row>
    <row r="709" spans="1:10" x14ac:dyDescent="0.3">
      <c r="A709" s="150"/>
      <c r="B709" s="150"/>
      <c r="C709" s="150"/>
      <c r="D709" s="150"/>
      <c r="E709" s="140" t="str">
        <f t="shared" si="34"/>
        <v/>
      </c>
      <c r="F709" s="159"/>
      <c r="G709" s="145">
        <f t="shared" si="33"/>
        <v>0</v>
      </c>
      <c r="H709" s="140" t="str">
        <f t="shared" si="35"/>
        <v/>
      </c>
      <c r="J709" s="147" t="str">
        <f>IFERROR(SUMIFS(当年实际!$V:$V,当年实际!$F:$F,$C709,当年实际!$C:$C,"&gt;="&amp;DATE(YEAR(主页!$D$2),1,1),当年实际!$C:$C,"&lt;="&amp;EOMONTH(DATE(YEAR(主页!$D$2),MONTH(主页!$D$2),1),0))/SUMIFS(当年实际!$P:$P,当年实际!$F:$F,$C709,当年实际!$C:$C,"&gt;="&amp;DATE(YEAR(主页!$D$2),1,1),当年实际!$C:$C,"&lt;="&amp;EOMONTH(DATE(YEAR(主页!$D$2),MONTH(主页!$D$2),1),0)),"")</f>
        <v/>
      </c>
    </row>
    <row r="710" spans="1:10" x14ac:dyDescent="0.3">
      <c r="A710" s="150"/>
      <c r="B710" s="150"/>
      <c r="C710" s="150"/>
      <c r="D710" s="150"/>
      <c r="E710" s="140" t="str">
        <f t="shared" si="34"/>
        <v/>
      </c>
      <c r="F710" s="159"/>
      <c r="G710" s="145">
        <f t="shared" si="33"/>
        <v>0</v>
      </c>
      <c r="H710" s="140" t="str">
        <f t="shared" si="35"/>
        <v/>
      </c>
      <c r="J710" s="147" t="str">
        <f>IFERROR(SUMIFS(当年实际!$V:$V,当年实际!$F:$F,$C710,当年实际!$C:$C,"&gt;="&amp;DATE(YEAR(主页!$D$2),1,1),当年实际!$C:$C,"&lt;="&amp;EOMONTH(DATE(YEAR(主页!$D$2),MONTH(主页!$D$2),1),0))/SUMIFS(当年实际!$P:$P,当年实际!$F:$F,$C710,当年实际!$C:$C,"&gt;="&amp;DATE(YEAR(主页!$D$2),1,1),当年实际!$C:$C,"&lt;="&amp;EOMONTH(DATE(YEAR(主页!$D$2),MONTH(主页!$D$2),1),0)),"")</f>
        <v/>
      </c>
    </row>
    <row r="711" spans="1:10" x14ac:dyDescent="0.3">
      <c r="A711" s="150"/>
      <c r="B711" s="150"/>
      <c r="C711" s="150"/>
      <c r="D711" s="150"/>
      <c r="E711" s="140" t="str">
        <f t="shared" si="34"/>
        <v/>
      </c>
      <c r="F711" s="159"/>
      <c r="G711" s="145">
        <f t="shared" si="33"/>
        <v>0</v>
      </c>
      <c r="H711" s="140" t="str">
        <f t="shared" si="35"/>
        <v/>
      </c>
      <c r="J711" s="147" t="str">
        <f>IFERROR(SUMIFS(当年实际!$V:$V,当年实际!$F:$F,$C711,当年实际!$C:$C,"&gt;="&amp;DATE(YEAR(主页!$D$2),1,1),当年实际!$C:$C,"&lt;="&amp;EOMONTH(DATE(YEAR(主页!$D$2),MONTH(主页!$D$2),1),0))/SUMIFS(当年实际!$P:$P,当年实际!$F:$F,$C711,当年实际!$C:$C,"&gt;="&amp;DATE(YEAR(主页!$D$2),1,1),当年实际!$C:$C,"&lt;="&amp;EOMONTH(DATE(YEAR(主页!$D$2),MONTH(主页!$D$2),1),0)),"")</f>
        <v/>
      </c>
    </row>
    <row r="712" spans="1:10" x14ac:dyDescent="0.3">
      <c r="A712" s="150"/>
      <c r="B712" s="150"/>
      <c r="C712" s="150"/>
      <c r="D712" s="150"/>
      <c r="E712" s="140" t="str">
        <f t="shared" si="34"/>
        <v/>
      </c>
      <c r="F712" s="159"/>
      <c r="G712" s="145">
        <f t="shared" ref="G712:G775" si="36">D712*F712</f>
        <v>0</v>
      </c>
      <c r="H712" s="140" t="str">
        <f t="shared" si="35"/>
        <v/>
      </c>
      <c r="J712" s="147" t="str">
        <f>IFERROR(SUMIFS(当年实际!$V:$V,当年实际!$F:$F,$C712,当年实际!$C:$C,"&gt;="&amp;DATE(YEAR(主页!$D$2),1,1),当年实际!$C:$C,"&lt;="&amp;EOMONTH(DATE(YEAR(主页!$D$2),MONTH(主页!$D$2),1),0))/SUMIFS(当年实际!$P:$P,当年实际!$F:$F,$C712,当年实际!$C:$C,"&gt;="&amp;DATE(YEAR(主页!$D$2),1,1),当年实际!$C:$C,"&lt;="&amp;EOMONTH(DATE(YEAR(主页!$D$2),MONTH(主页!$D$2),1),0)),"")</f>
        <v/>
      </c>
    </row>
    <row r="713" spans="1:10" x14ac:dyDescent="0.3">
      <c r="A713" s="150"/>
      <c r="B713" s="150"/>
      <c r="C713" s="150"/>
      <c r="D713" s="150"/>
      <c r="E713" s="140" t="str">
        <f t="shared" si="34"/>
        <v/>
      </c>
      <c r="F713" s="159"/>
      <c r="G713" s="145">
        <f t="shared" si="36"/>
        <v>0</v>
      </c>
      <c r="H713" s="140" t="str">
        <f t="shared" si="35"/>
        <v/>
      </c>
      <c r="J713" s="147" t="str">
        <f>IFERROR(SUMIFS(当年实际!$V:$V,当年实际!$F:$F,$C713,当年实际!$C:$C,"&gt;="&amp;DATE(YEAR(主页!$D$2),1,1),当年实际!$C:$C,"&lt;="&amp;EOMONTH(DATE(YEAR(主页!$D$2),MONTH(主页!$D$2),1),0))/SUMIFS(当年实际!$P:$P,当年实际!$F:$F,$C713,当年实际!$C:$C,"&gt;="&amp;DATE(YEAR(主页!$D$2),1,1),当年实际!$C:$C,"&lt;="&amp;EOMONTH(DATE(YEAR(主页!$D$2),MONTH(主页!$D$2),1),0)),"")</f>
        <v/>
      </c>
    </row>
    <row r="714" spans="1:10" x14ac:dyDescent="0.3">
      <c r="A714" s="150"/>
      <c r="B714" s="150"/>
      <c r="C714" s="150"/>
      <c r="D714" s="150"/>
      <c r="E714" s="140" t="str">
        <f t="shared" si="34"/>
        <v/>
      </c>
      <c r="F714" s="159"/>
      <c r="G714" s="145">
        <f t="shared" si="36"/>
        <v>0</v>
      </c>
      <c r="H714" s="140" t="str">
        <f t="shared" si="35"/>
        <v/>
      </c>
      <c r="J714" s="147" t="str">
        <f>IFERROR(SUMIFS(当年实际!$V:$V,当年实际!$F:$F,$C714,当年实际!$C:$C,"&gt;="&amp;DATE(YEAR(主页!$D$2),1,1),当年实际!$C:$C,"&lt;="&amp;EOMONTH(DATE(YEAR(主页!$D$2),MONTH(主页!$D$2),1),0))/SUMIFS(当年实际!$P:$P,当年实际!$F:$F,$C714,当年实际!$C:$C,"&gt;="&amp;DATE(YEAR(主页!$D$2),1,1),当年实际!$C:$C,"&lt;="&amp;EOMONTH(DATE(YEAR(主页!$D$2),MONTH(主页!$D$2),1),0)),"")</f>
        <v/>
      </c>
    </row>
    <row r="715" spans="1:10" x14ac:dyDescent="0.3">
      <c r="A715" s="150"/>
      <c r="B715" s="150"/>
      <c r="C715" s="150"/>
      <c r="D715" s="150"/>
      <c r="E715" s="140" t="str">
        <f t="shared" si="34"/>
        <v/>
      </c>
      <c r="F715" s="159"/>
      <c r="G715" s="145">
        <f t="shared" si="36"/>
        <v>0</v>
      </c>
      <c r="H715" s="140" t="str">
        <f t="shared" si="35"/>
        <v/>
      </c>
      <c r="J715" s="147" t="str">
        <f>IFERROR(SUMIFS(当年实际!$V:$V,当年实际!$F:$F,$C715,当年实际!$C:$C,"&gt;="&amp;DATE(YEAR(主页!$D$2),1,1),当年实际!$C:$C,"&lt;="&amp;EOMONTH(DATE(YEAR(主页!$D$2),MONTH(主页!$D$2),1),0))/SUMIFS(当年实际!$P:$P,当年实际!$F:$F,$C715,当年实际!$C:$C,"&gt;="&amp;DATE(YEAR(主页!$D$2),1,1),当年实际!$C:$C,"&lt;="&amp;EOMONTH(DATE(YEAR(主页!$D$2),MONTH(主页!$D$2),1),0)),"")</f>
        <v/>
      </c>
    </row>
    <row r="716" spans="1:10" x14ac:dyDescent="0.3">
      <c r="A716" s="150"/>
      <c r="B716" s="150"/>
      <c r="C716" s="150"/>
      <c r="D716" s="150"/>
      <c r="E716" s="140" t="str">
        <f t="shared" si="34"/>
        <v/>
      </c>
      <c r="F716" s="159"/>
      <c r="G716" s="145">
        <f t="shared" si="36"/>
        <v>0</v>
      </c>
      <c r="H716" s="140" t="str">
        <f t="shared" si="35"/>
        <v/>
      </c>
      <c r="J716" s="147" t="str">
        <f>IFERROR(SUMIFS(当年实际!$V:$V,当年实际!$F:$F,$C716,当年实际!$C:$C,"&gt;="&amp;DATE(YEAR(主页!$D$2),1,1),当年实际!$C:$C,"&lt;="&amp;EOMONTH(DATE(YEAR(主页!$D$2),MONTH(主页!$D$2),1),0))/SUMIFS(当年实际!$P:$P,当年实际!$F:$F,$C716,当年实际!$C:$C,"&gt;="&amp;DATE(YEAR(主页!$D$2),1,1),当年实际!$C:$C,"&lt;="&amp;EOMONTH(DATE(YEAR(主页!$D$2),MONTH(主页!$D$2),1),0)),"")</f>
        <v/>
      </c>
    </row>
    <row r="717" spans="1:10" x14ac:dyDescent="0.3">
      <c r="A717" s="150"/>
      <c r="B717" s="150"/>
      <c r="C717" s="150"/>
      <c r="D717" s="150"/>
      <c r="E717" s="140" t="str">
        <f t="shared" si="34"/>
        <v/>
      </c>
      <c r="F717" s="159"/>
      <c r="G717" s="145">
        <f t="shared" si="36"/>
        <v>0</v>
      </c>
      <c r="H717" s="140" t="str">
        <f t="shared" si="35"/>
        <v/>
      </c>
      <c r="J717" s="147" t="str">
        <f>IFERROR(SUMIFS(当年实际!$V:$V,当年实际!$F:$F,$C717,当年实际!$C:$C,"&gt;="&amp;DATE(YEAR(主页!$D$2),1,1),当年实际!$C:$C,"&lt;="&amp;EOMONTH(DATE(YEAR(主页!$D$2),MONTH(主页!$D$2),1),0))/SUMIFS(当年实际!$P:$P,当年实际!$F:$F,$C717,当年实际!$C:$C,"&gt;="&amp;DATE(YEAR(主页!$D$2),1,1),当年实际!$C:$C,"&lt;="&amp;EOMONTH(DATE(YEAR(主页!$D$2),MONTH(主页!$D$2),1),0)),"")</f>
        <v/>
      </c>
    </row>
    <row r="718" spans="1:10" x14ac:dyDescent="0.3">
      <c r="A718" s="150"/>
      <c r="B718" s="150"/>
      <c r="C718" s="150"/>
      <c r="D718" s="150"/>
      <c r="E718" s="140" t="str">
        <f t="shared" si="34"/>
        <v/>
      </c>
      <c r="F718" s="159"/>
      <c r="G718" s="145">
        <f t="shared" si="36"/>
        <v>0</v>
      </c>
      <c r="H718" s="140" t="str">
        <f t="shared" si="35"/>
        <v/>
      </c>
      <c r="J718" s="147" t="str">
        <f>IFERROR(SUMIFS(当年实际!$V:$V,当年实际!$F:$F,$C718,当年实际!$C:$C,"&gt;="&amp;DATE(YEAR(主页!$D$2),1,1),当年实际!$C:$C,"&lt;="&amp;EOMONTH(DATE(YEAR(主页!$D$2),MONTH(主页!$D$2),1),0))/SUMIFS(当年实际!$P:$P,当年实际!$F:$F,$C718,当年实际!$C:$C,"&gt;="&amp;DATE(YEAR(主页!$D$2),1,1),当年实际!$C:$C,"&lt;="&amp;EOMONTH(DATE(YEAR(主页!$D$2),MONTH(主页!$D$2),1),0)),"")</f>
        <v/>
      </c>
    </row>
    <row r="719" spans="1:10" x14ac:dyDescent="0.3">
      <c r="A719" s="150"/>
      <c r="B719" s="150"/>
      <c r="C719" s="150"/>
      <c r="D719" s="150"/>
      <c r="E719" s="140" t="str">
        <f t="shared" si="34"/>
        <v/>
      </c>
      <c r="F719" s="159"/>
      <c r="G719" s="145">
        <f t="shared" si="36"/>
        <v>0</v>
      </c>
      <c r="H719" s="140" t="str">
        <f t="shared" si="35"/>
        <v/>
      </c>
      <c r="J719" s="147" t="str">
        <f>IFERROR(SUMIFS(当年实际!$V:$V,当年实际!$F:$F,$C719,当年实际!$C:$C,"&gt;="&amp;DATE(YEAR(主页!$D$2),1,1),当年实际!$C:$C,"&lt;="&amp;EOMONTH(DATE(YEAR(主页!$D$2),MONTH(主页!$D$2),1),0))/SUMIFS(当年实际!$P:$P,当年实际!$F:$F,$C719,当年实际!$C:$C,"&gt;="&amp;DATE(YEAR(主页!$D$2),1,1),当年实际!$C:$C,"&lt;="&amp;EOMONTH(DATE(YEAR(主页!$D$2),MONTH(主页!$D$2),1),0)),"")</f>
        <v/>
      </c>
    </row>
    <row r="720" spans="1:10" x14ac:dyDescent="0.3">
      <c r="A720" s="150"/>
      <c r="B720" s="150"/>
      <c r="C720" s="150"/>
      <c r="D720" s="150"/>
      <c r="E720" s="140" t="str">
        <f t="shared" si="34"/>
        <v/>
      </c>
      <c r="F720" s="159"/>
      <c r="G720" s="145">
        <f t="shared" si="36"/>
        <v>0</v>
      </c>
      <c r="H720" s="140" t="str">
        <f t="shared" si="35"/>
        <v/>
      </c>
      <c r="J720" s="147" t="str">
        <f>IFERROR(SUMIFS(当年实际!$V:$V,当年实际!$F:$F,$C720,当年实际!$C:$C,"&gt;="&amp;DATE(YEAR(主页!$D$2),1,1),当年实际!$C:$C,"&lt;="&amp;EOMONTH(DATE(YEAR(主页!$D$2),MONTH(主页!$D$2),1),0))/SUMIFS(当年实际!$P:$P,当年实际!$F:$F,$C720,当年实际!$C:$C,"&gt;="&amp;DATE(YEAR(主页!$D$2),1,1),当年实际!$C:$C,"&lt;="&amp;EOMONTH(DATE(YEAR(主页!$D$2),MONTH(主页!$D$2),1),0)),"")</f>
        <v/>
      </c>
    </row>
    <row r="721" spans="1:10" x14ac:dyDescent="0.3">
      <c r="A721" s="150"/>
      <c r="B721" s="150"/>
      <c r="C721" s="150"/>
      <c r="D721" s="150"/>
      <c r="E721" s="140" t="str">
        <f t="shared" si="34"/>
        <v/>
      </c>
      <c r="F721" s="159"/>
      <c r="G721" s="145">
        <f t="shared" si="36"/>
        <v>0</v>
      </c>
      <c r="H721" s="140" t="str">
        <f t="shared" si="35"/>
        <v/>
      </c>
      <c r="J721" s="147" t="str">
        <f>IFERROR(SUMIFS(当年实际!$V:$V,当年实际!$F:$F,$C721,当年实际!$C:$C,"&gt;="&amp;DATE(YEAR(主页!$D$2),1,1),当年实际!$C:$C,"&lt;="&amp;EOMONTH(DATE(YEAR(主页!$D$2),MONTH(主页!$D$2),1),0))/SUMIFS(当年实际!$P:$P,当年实际!$F:$F,$C721,当年实际!$C:$C,"&gt;="&amp;DATE(YEAR(主页!$D$2),1,1),当年实际!$C:$C,"&lt;="&amp;EOMONTH(DATE(YEAR(主页!$D$2),MONTH(主页!$D$2),1),0)),"")</f>
        <v/>
      </c>
    </row>
    <row r="722" spans="1:10" x14ac:dyDescent="0.3">
      <c r="A722" s="150"/>
      <c r="B722" s="150"/>
      <c r="C722" s="150"/>
      <c r="D722" s="150"/>
      <c r="E722" s="140" t="str">
        <f t="shared" si="34"/>
        <v/>
      </c>
      <c r="F722" s="159"/>
      <c r="G722" s="145">
        <f t="shared" si="36"/>
        <v>0</v>
      </c>
      <c r="H722" s="140" t="str">
        <f t="shared" si="35"/>
        <v/>
      </c>
      <c r="J722" s="147" t="str">
        <f>IFERROR(SUMIFS(当年实际!$V:$V,当年实际!$F:$F,$C722,当年实际!$C:$C,"&gt;="&amp;DATE(YEAR(主页!$D$2),1,1),当年实际!$C:$C,"&lt;="&amp;EOMONTH(DATE(YEAR(主页!$D$2),MONTH(主页!$D$2),1),0))/SUMIFS(当年实际!$P:$P,当年实际!$F:$F,$C722,当年实际!$C:$C,"&gt;="&amp;DATE(YEAR(主页!$D$2),1,1),当年实际!$C:$C,"&lt;="&amp;EOMONTH(DATE(YEAR(主页!$D$2),MONTH(主页!$D$2),1),0)),"")</f>
        <v/>
      </c>
    </row>
    <row r="723" spans="1:10" x14ac:dyDescent="0.3">
      <c r="A723" s="150"/>
      <c r="B723" s="150"/>
      <c r="C723" s="150"/>
      <c r="D723" s="150"/>
      <c r="E723" s="140" t="str">
        <f t="shared" si="34"/>
        <v/>
      </c>
      <c r="F723" s="159"/>
      <c r="G723" s="145">
        <f t="shared" si="36"/>
        <v>0</v>
      </c>
      <c r="H723" s="140" t="str">
        <f t="shared" si="35"/>
        <v/>
      </c>
      <c r="J723" s="147" t="str">
        <f>IFERROR(SUMIFS(当年实际!$V:$V,当年实际!$F:$F,$C723,当年实际!$C:$C,"&gt;="&amp;DATE(YEAR(主页!$D$2),1,1),当年实际!$C:$C,"&lt;="&amp;EOMONTH(DATE(YEAR(主页!$D$2),MONTH(主页!$D$2),1),0))/SUMIFS(当年实际!$P:$P,当年实际!$F:$F,$C723,当年实际!$C:$C,"&gt;="&amp;DATE(YEAR(主页!$D$2),1,1),当年实际!$C:$C,"&lt;="&amp;EOMONTH(DATE(YEAR(主页!$D$2),MONTH(主页!$D$2),1),0)),"")</f>
        <v/>
      </c>
    </row>
    <row r="724" spans="1:10" x14ac:dyDescent="0.3">
      <c r="A724" s="150"/>
      <c r="B724" s="150"/>
      <c r="C724" s="150"/>
      <c r="D724" s="150"/>
      <c r="E724" s="140" t="str">
        <f t="shared" si="34"/>
        <v/>
      </c>
      <c r="F724" s="159"/>
      <c r="G724" s="145">
        <f t="shared" si="36"/>
        <v>0</v>
      </c>
      <c r="H724" s="140" t="str">
        <f t="shared" si="35"/>
        <v/>
      </c>
      <c r="J724" s="147" t="str">
        <f>IFERROR(SUMIFS(当年实际!$V:$V,当年实际!$F:$F,$C724,当年实际!$C:$C,"&gt;="&amp;DATE(YEAR(主页!$D$2),1,1),当年实际!$C:$C,"&lt;="&amp;EOMONTH(DATE(YEAR(主页!$D$2),MONTH(主页!$D$2),1),0))/SUMIFS(当年实际!$P:$P,当年实际!$F:$F,$C724,当年实际!$C:$C,"&gt;="&amp;DATE(YEAR(主页!$D$2),1,1),当年实际!$C:$C,"&lt;="&amp;EOMONTH(DATE(YEAR(主页!$D$2),MONTH(主页!$D$2),1),0)),"")</f>
        <v/>
      </c>
    </row>
    <row r="725" spans="1:10" x14ac:dyDescent="0.3">
      <c r="A725" s="150"/>
      <c r="B725" s="150"/>
      <c r="C725" s="150"/>
      <c r="D725" s="150"/>
      <c r="E725" s="140" t="str">
        <f t="shared" si="34"/>
        <v/>
      </c>
      <c r="F725" s="159"/>
      <c r="G725" s="145">
        <f t="shared" si="36"/>
        <v>0</v>
      </c>
      <c r="H725" s="140" t="str">
        <f t="shared" si="35"/>
        <v/>
      </c>
      <c r="J725" s="147" t="str">
        <f>IFERROR(SUMIFS(当年实际!$V:$V,当年实际!$F:$F,$C725,当年实际!$C:$C,"&gt;="&amp;DATE(YEAR(主页!$D$2),1,1),当年实际!$C:$C,"&lt;="&amp;EOMONTH(DATE(YEAR(主页!$D$2),MONTH(主页!$D$2),1),0))/SUMIFS(当年实际!$P:$P,当年实际!$F:$F,$C725,当年实际!$C:$C,"&gt;="&amp;DATE(YEAR(主页!$D$2),1,1),当年实际!$C:$C,"&lt;="&amp;EOMONTH(DATE(YEAR(主页!$D$2),MONTH(主页!$D$2),1),0)),"")</f>
        <v/>
      </c>
    </row>
    <row r="726" spans="1:10" x14ac:dyDescent="0.3">
      <c r="A726" s="150"/>
      <c r="B726" s="150"/>
      <c r="C726" s="150"/>
      <c r="D726" s="150"/>
      <c r="E726" s="140" t="str">
        <f t="shared" si="34"/>
        <v/>
      </c>
      <c r="F726" s="159"/>
      <c r="G726" s="145">
        <f t="shared" si="36"/>
        <v>0</v>
      </c>
      <c r="H726" s="140" t="str">
        <f t="shared" si="35"/>
        <v/>
      </c>
      <c r="J726" s="147" t="str">
        <f>IFERROR(SUMIFS(当年实际!$V:$V,当年实际!$F:$F,$C726,当年实际!$C:$C,"&gt;="&amp;DATE(YEAR(主页!$D$2),1,1),当年实际!$C:$C,"&lt;="&amp;EOMONTH(DATE(YEAR(主页!$D$2),MONTH(主页!$D$2),1),0))/SUMIFS(当年实际!$P:$P,当年实际!$F:$F,$C726,当年实际!$C:$C,"&gt;="&amp;DATE(YEAR(主页!$D$2),1,1),当年实际!$C:$C,"&lt;="&amp;EOMONTH(DATE(YEAR(主页!$D$2),MONTH(主页!$D$2),1),0)),"")</f>
        <v/>
      </c>
    </row>
    <row r="727" spans="1:10" x14ac:dyDescent="0.3">
      <c r="A727" s="150"/>
      <c r="B727" s="150"/>
      <c r="C727" s="150"/>
      <c r="D727" s="150"/>
      <c r="E727" s="140" t="str">
        <f t="shared" si="34"/>
        <v/>
      </c>
      <c r="F727" s="159"/>
      <c r="G727" s="145">
        <f t="shared" si="36"/>
        <v>0</v>
      </c>
      <c r="H727" s="140" t="str">
        <f t="shared" si="35"/>
        <v/>
      </c>
      <c r="J727" s="147" t="str">
        <f>IFERROR(SUMIFS(当年实际!$V:$V,当年实际!$F:$F,$C727,当年实际!$C:$C,"&gt;="&amp;DATE(YEAR(主页!$D$2),1,1),当年实际!$C:$C,"&lt;="&amp;EOMONTH(DATE(YEAR(主页!$D$2),MONTH(主页!$D$2),1),0))/SUMIFS(当年实际!$P:$P,当年实际!$F:$F,$C727,当年实际!$C:$C,"&gt;="&amp;DATE(YEAR(主页!$D$2),1,1),当年实际!$C:$C,"&lt;="&amp;EOMONTH(DATE(YEAR(主页!$D$2),MONTH(主页!$D$2),1),0)),"")</f>
        <v/>
      </c>
    </row>
    <row r="728" spans="1:10" x14ac:dyDescent="0.3">
      <c r="A728" s="150"/>
      <c r="B728" s="150"/>
      <c r="C728" s="150"/>
      <c r="D728" s="150"/>
      <c r="E728" s="140" t="str">
        <f t="shared" si="34"/>
        <v/>
      </c>
      <c r="F728" s="159"/>
      <c r="G728" s="145">
        <f t="shared" si="36"/>
        <v>0</v>
      </c>
      <c r="H728" s="140" t="str">
        <f t="shared" si="35"/>
        <v/>
      </c>
      <c r="J728" s="147" t="str">
        <f>IFERROR(SUMIFS(当年实际!$V:$V,当年实际!$F:$F,$C728,当年实际!$C:$C,"&gt;="&amp;DATE(YEAR(主页!$D$2),1,1),当年实际!$C:$C,"&lt;="&amp;EOMONTH(DATE(YEAR(主页!$D$2),MONTH(主页!$D$2),1),0))/SUMIFS(当年实际!$P:$P,当年实际!$F:$F,$C728,当年实际!$C:$C,"&gt;="&amp;DATE(YEAR(主页!$D$2),1,1),当年实际!$C:$C,"&lt;="&amp;EOMONTH(DATE(YEAR(主页!$D$2),MONTH(主页!$D$2),1),0)),"")</f>
        <v/>
      </c>
    </row>
    <row r="729" spans="1:10" x14ac:dyDescent="0.3">
      <c r="A729" s="150"/>
      <c r="B729" s="150"/>
      <c r="C729" s="150"/>
      <c r="D729" s="150"/>
      <c r="E729" s="140" t="str">
        <f t="shared" si="34"/>
        <v/>
      </c>
      <c r="F729" s="159"/>
      <c r="G729" s="145">
        <f t="shared" si="36"/>
        <v>0</v>
      </c>
      <c r="H729" s="140" t="str">
        <f t="shared" si="35"/>
        <v/>
      </c>
      <c r="J729" s="147" t="str">
        <f>IFERROR(SUMIFS(当年实际!$V:$V,当年实际!$F:$F,$C729,当年实际!$C:$C,"&gt;="&amp;DATE(YEAR(主页!$D$2),1,1),当年实际!$C:$C,"&lt;="&amp;EOMONTH(DATE(YEAR(主页!$D$2),MONTH(主页!$D$2),1),0))/SUMIFS(当年实际!$P:$P,当年实际!$F:$F,$C729,当年实际!$C:$C,"&gt;="&amp;DATE(YEAR(主页!$D$2),1,1),当年实际!$C:$C,"&lt;="&amp;EOMONTH(DATE(YEAR(主页!$D$2),MONTH(主页!$D$2),1),0)),"")</f>
        <v/>
      </c>
    </row>
    <row r="730" spans="1:10" x14ac:dyDescent="0.3">
      <c r="A730" s="150"/>
      <c r="B730" s="150"/>
      <c r="C730" s="150"/>
      <c r="D730" s="150"/>
      <c r="E730" s="140" t="str">
        <f t="shared" si="34"/>
        <v/>
      </c>
      <c r="F730" s="159"/>
      <c r="G730" s="145">
        <f t="shared" si="36"/>
        <v>0</v>
      </c>
      <c r="H730" s="140" t="str">
        <f t="shared" si="35"/>
        <v/>
      </c>
      <c r="J730" s="147" t="str">
        <f>IFERROR(SUMIFS(当年实际!$V:$V,当年实际!$F:$F,$C730,当年实际!$C:$C,"&gt;="&amp;DATE(YEAR(主页!$D$2),1,1),当年实际!$C:$C,"&lt;="&amp;EOMONTH(DATE(YEAR(主页!$D$2),MONTH(主页!$D$2),1),0))/SUMIFS(当年实际!$P:$P,当年实际!$F:$F,$C730,当年实际!$C:$C,"&gt;="&amp;DATE(YEAR(主页!$D$2),1,1),当年实际!$C:$C,"&lt;="&amp;EOMONTH(DATE(YEAR(主页!$D$2),MONTH(主页!$D$2),1),0)),"")</f>
        <v/>
      </c>
    </row>
    <row r="731" spans="1:10" x14ac:dyDescent="0.3">
      <c r="A731" s="150"/>
      <c r="B731" s="150"/>
      <c r="C731" s="150"/>
      <c r="D731" s="150"/>
      <c r="E731" s="140" t="str">
        <f t="shared" si="34"/>
        <v/>
      </c>
      <c r="F731" s="159"/>
      <c r="G731" s="145">
        <f t="shared" si="36"/>
        <v>0</v>
      </c>
      <c r="H731" s="140" t="str">
        <f t="shared" si="35"/>
        <v/>
      </c>
      <c r="J731" s="147" t="str">
        <f>IFERROR(SUMIFS(当年实际!$V:$V,当年实际!$F:$F,$C731,当年实际!$C:$C,"&gt;="&amp;DATE(YEAR(主页!$D$2),1,1),当年实际!$C:$C,"&lt;="&amp;EOMONTH(DATE(YEAR(主页!$D$2),MONTH(主页!$D$2),1),0))/SUMIFS(当年实际!$P:$P,当年实际!$F:$F,$C731,当年实际!$C:$C,"&gt;="&amp;DATE(YEAR(主页!$D$2),1,1),当年实际!$C:$C,"&lt;="&amp;EOMONTH(DATE(YEAR(主页!$D$2),MONTH(主页!$D$2),1),0)),"")</f>
        <v/>
      </c>
    </row>
    <row r="732" spans="1:10" x14ac:dyDescent="0.3">
      <c r="A732" s="150"/>
      <c r="B732" s="150"/>
      <c r="C732" s="150"/>
      <c r="D732" s="150"/>
      <c r="E732" s="140" t="str">
        <f t="shared" si="34"/>
        <v/>
      </c>
      <c r="F732" s="159"/>
      <c r="G732" s="145">
        <f t="shared" si="36"/>
        <v>0</v>
      </c>
      <c r="H732" s="140" t="str">
        <f t="shared" si="35"/>
        <v/>
      </c>
      <c r="J732" s="147" t="str">
        <f>IFERROR(SUMIFS(当年实际!$V:$V,当年实际!$F:$F,$C732,当年实际!$C:$C,"&gt;="&amp;DATE(YEAR(主页!$D$2),1,1),当年实际!$C:$C,"&lt;="&amp;EOMONTH(DATE(YEAR(主页!$D$2),MONTH(主页!$D$2),1),0))/SUMIFS(当年实际!$P:$P,当年实际!$F:$F,$C732,当年实际!$C:$C,"&gt;="&amp;DATE(YEAR(主页!$D$2),1,1),当年实际!$C:$C,"&lt;="&amp;EOMONTH(DATE(YEAR(主页!$D$2),MONTH(主页!$D$2),1),0)),"")</f>
        <v/>
      </c>
    </row>
    <row r="733" spans="1:10" x14ac:dyDescent="0.3">
      <c r="A733" s="150"/>
      <c r="B733" s="150"/>
      <c r="C733" s="150"/>
      <c r="D733" s="150"/>
      <c r="E733" s="140" t="str">
        <f t="shared" si="34"/>
        <v/>
      </c>
      <c r="F733" s="159"/>
      <c r="G733" s="145">
        <f t="shared" si="36"/>
        <v>0</v>
      </c>
      <c r="H733" s="140" t="str">
        <f t="shared" si="35"/>
        <v/>
      </c>
      <c r="J733" s="147" t="str">
        <f>IFERROR(SUMIFS(当年实际!$V:$V,当年实际!$F:$F,$C733,当年实际!$C:$C,"&gt;="&amp;DATE(YEAR(主页!$D$2),1,1),当年实际!$C:$C,"&lt;="&amp;EOMONTH(DATE(YEAR(主页!$D$2),MONTH(主页!$D$2),1),0))/SUMIFS(当年实际!$P:$P,当年实际!$F:$F,$C733,当年实际!$C:$C,"&gt;="&amp;DATE(YEAR(主页!$D$2),1,1),当年实际!$C:$C,"&lt;="&amp;EOMONTH(DATE(YEAR(主页!$D$2),MONTH(主页!$D$2),1),0)),"")</f>
        <v/>
      </c>
    </row>
    <row r="734" spans="1:10" x14ac:dyDescent="0.3">
      <c r="A734" s="150"/>
      <c r="B734" s="150"/>
      <c r="C734" s="150"/>
      <c r="D734" s="150"/>
      <c r="E734" s="140" t="str">
        <f t="shared" si="34"/>
        <v/>
      </c>
      <c r="F734" s="159"/>
      <c r="G734" s="145">
        <f t="shared" si="36"/>
        <v>0</v>
      </c>
      <c r="H734" s="140" t="str">
        <f t="shared" si="35"/>
        <v/>
      </c>
      <c r="J734" s="147" t="str">
        <f>IFERROR(SUMIFS(当年实际!$V:$V,当年实际!$F:$F,$C734,当年实际!$C:$C,"&gt;="&amp;DATE(YEAR(主页!$D$2),1,1),当年实际!$C:$C,"&lt;="&amp;EOMONTH(DATE(YEAR(主页!$D$2),MONTH(主页!$D$2),1),0))/SUMIFS(当年实际!$P:$P,当年实际!$F:$F,$C734,当年实际!$C:$C,"&gt;="&amp;DATE(YEAR(主页!$D$2),1,1),当年实际!$C:$C,"&lt;="&amp;EOMONTH(DATE(YEAR(主页!$D$2),MONTH(主页!$D$2),1),0)),"")</f>
        <v/>
      </c>
    </row>
    <row r="735" spans="1:10" x14ac:dyDescent="0.3">
      <c r="A735" s="150"/>
      <c r="B735" s="150"/>
      <c r="C735" s="150"/>
      <c r="D735" s="150"/>
      <c r="E735" s="140" t="str">
        <f t="shared" si="34"/>
        <v/>
      </c>
      <c r="F735" s="159"/>
      <c r="G735" s="145">
        <f t="shared" si="36"/>
        <v>0</v>
      </c>
      <c r="H735" s="140" t="str">
        <f t="shared" si="35"/>
        <v/>
      </c>
      <c r="J735" s="147" t="str">
        <f>IFERROR(SUMIFS(当年实际!$V:$V,当年实际!$F:$F,$C735,当年实际!$C:$C,"&gt;="&amp;DATE(YEAR(主页!$D$2),1,1),当年实际!$C:$C,"&lt;="&amp;EOMONTH(DATE(YEAR(主页!$D$2),MONTH(主页!$D$2),1),0))/SUMIFS(当年实际!$P:$P,当年实际!$F:$F,$C735,当年实际!$C:$C,"&gt;="&amp;DATE(YEAR(主页!$D$2),1,1),当年实际!$C:$C,"&lt;="&amp;EOMONTH(DATE(YEAR(主页!$D$2),MONTH(主页!$D$2),1),0)),"")</f>
        <v/>
      </c>
    </row>
    <row r="736" spans="1:10" x14ac:dyDescent="0.3">
      <c r="A736" s="150"/>
      <c r="B736" s="150"/>
      <c r="C736" s="150"/>
      <c r="D736" s="150"/>
      <c r="E736" s="140" t="str">
        <f t="shared" si="34"/>
        <v/>
      </c>
      <c r="F736" s="159"/>
      <c r="G736" s="145">
        <f t="shared" si="36"/>
        <v>0</v>
      </c>
      <c r="H736" s="140" t="str">
        <f t="shared" si="35"/>
        <v/>
      </c>
      <c r="J736" s="147" t="str">
        <f>IFERROR(SUMIFS(当年实际!$V:$V,当年实际!$F:$F,$C736,当年实际!$C:$C,"&gt;="&amp;DATE(YEAR(主页!$D$2),1,1),当年实际!$C:$C,"&lt;="&amp;EOMONTH(DATE(YEAR(主页!$D$2),MONTH(主页!$D$2),1),0))/SUMIFS(当年实际!$P:$P,当年实际!$F:$F,$C736,当年实际!$C:$C,"&gt;="&amp;DATE(YEAR(主页!$D$2),1,1),当年实际!$C:$C,"&lt;="&amp;EOMONTH(DATE(YEAR(主页!$D$2),MONTH(主页!$D$2),1),0)),"")</f>
        <v/>
      </c>
    </row>
    <row r="737" spans="1:10" x14ac:dyDescent="0.3">
      <c r="A737" s="150"/>
      <c r="B737" s="150"/>
      <c r="C737" s="150"/>
      <c r="D737" s="150"/>
      <c r="E737" s="140" t="str">
        <f t="shared" si="34"/>
        <v/>
      </c>
      <c r="F737" s="159"/>
      <c r="G737" s="145">
        <f t="shared" si="36"/>
        <v>0</v>
      </c>
      <c r="H737" s="140" t="str">
        <f t="shared" si="35"/>
        <v/>
      </c>
      <c r="J737" s="147" t="str">
        <f>IFERROR(SUMIFS(当年实际!$V:$V,当年实际!$F:$F,$C737,当年实际!$C:$C,"&gt;="&amp;DATE(YEAR(主页!$D$2),1,1),当年实际!$C:$C,"&lt;="&amp;EOMONTH(DATE(YEAR(主页!$D$2),MONTH(主页!$D$2),1),0))/SUMIFS(当年实际!$P:$P,当年实际!$F:$F,$C737,当年实际!$C:$C,"&gt;="&amp;DATE(YEAR(主页!$D$2),1,1),当年实际!$C:$C,"&lt;="&amp;EOMONTH(DATE(YEAR(主页!$D$2),MONTH(主页!$D$2),1),0)),"")</f>
        <v/>
      </c>
    </row>
    <row r="738" spans="1:10" x14ac:dyDescent="0.3">
      <c r="A738" s="150"/>
      <c r="B738" s="150"/>
      <c r="C738" s="150"/>
      <c r="D738" s="150"/>
      <c r="E738" s="140" t="str">
        <f t="shared" si="34"/>
        <v/>
      </c>
      <c r="F738" s="159"/>
      <c r="G738" s="145">
        <f t="shared" si="36"/>
        <v>0</v>
      </c>
      <c r="H738" s="140" t="str">
        <f t="shared" si="35"/>
        <v/>
      </c>
      <c r="J738" s="147" t="str">
        <f>IFERROR(SUMIFS(当年实际!$V:$V,当年实际!$F:$F,$C738,当年实际!$C:$C,"&gt;="&amp;DATE(YEAR(主页!$D$2),1,1),当年实际!$C:$C,"&lt;="&amp;EOMONTH(DATE(YEAR(主页!$D$2),MONTH(主页!$D$2),1),0))/SUMIFS(当年实际!$P:$P,当年实际!$F:$F,$C738,当年实际!$C:$C,"&gt;="&amp;DATE(YEAR(主页!$D$2),1,1),当年实际!$C:$C,"&lt;="&amp;EOMONTH(DATE(YEAR(主页!$D$2),MONTH(主页!$D$2),1),0)),"")</f>
        <v/>
      </c>
    </row>
    <row r="739" spans="1:10" x14ac:dyDescent="0.3">
      <c r="A739" s="150"/>
      <c r="B739" s="150"/>
      <c r="C739" s="150"/>
      <c r="D739" s="150"/>
      <c r="E739" s="140" t="str">
        <f t="shared" si="34"/>
        <v/>
      </c>
      <c r="F739" s="159"/>
      <c r="G739" s="145">
        <f t="shared" si="36"/>
        <v>0</v>
      </c>
      <c r="H739" s="140" t="str">
        <f t="shared" si="35"/>
        <v/>
      </c>
      <c r="J739" s="147" t="str">
        <f>IFERROR(SUMIFS(当年实际!$V:$V,当年实际!$F:$F,$C739,当年实际!$C:$C,"&gt;="&amp;DATE(YEAR(主页!$D$2),1,1),当年实际!$C:$C,"&lt;="&amp;EOMONTH(DATE(YEAR(主页!$D$2),MONTH(主页!$D$2),1),0))/SUMIFS(当年实际!$P:$P,当年实际!$F:$F,$C739,当年实际!$C:$C,"&gt;="&amp;DATE(YEAR(主页!$D$2),1,1),当年实际!$C:$C,"&lt;="&amp;EOMONTH(DATE(YEAR(主页!$D$2),MONTH(主页!$D$2),1),0)),"")</f>
        <v/>
      </c>
    </row>
    <row r="740" spans="1:10" x14ac:dyDescent="0.3">
      <c r="A740" s="150"/>
      <c r="B740" s="150"/>
      <c r="C740" s="150"/>
      <c r="D740" s="150"/>
      <c r="E740" s="140" t="str">
        <f t="shared" si="34"/>
        <v/>
      </c>
      <c r="F740" s="159"/>
      <c r="G740" s="145">
        <f t="shared" si="36"/>
        <v>0</v>
      </c>
      <c r="H740" s="140" t="str">
        <f t="shared" si="35"/>
        <v/>
      </c>
      <c r="J740" s="147" t="str">
        <f>IFERROR(SUMIFS(当年实际!$V:$V,当年实际!$F:$F,$C740,当年实际!$C:$C,"&gt;="&amp;DATE(YEAR(主页!$D$2),1,1),当年实际!$C:$C,"&lt;="&amp;EOMONTH(DATE(YEAR(主页!$D$2),MONTH(主页!$D$2),1),0))/SUMIFS(当年实际!$P:$P,当年实际!$F:$F,$C740,当年实际!$C:$C,"&gt;="&amp;DATE(YEAR(主页!$D$2),1,1),当年实际!$C:$C,"&lt;="&amp;EOMONTH(DATE(YEAR(主页!$D$2),MONTH(主页!$D$2),1),0)),"")</f>
        <v/>
      </c>
    </row>
    <row r="741" spans="1:10" x14ac:dyDescent="0.3">
      <c r="A741" s="150"/>
      <c r="B741" s="150"/>
      <c r="C741" s="150"/>
      <c r="D741" s="150"/>
      <c r="E741" s="140" t="str">
        <f t="shared" si="34"/>
        <v/>
      </c>
      <c r="F741" s="159"/>
      <c r="G741" s="145">
        <f t="shared" si="36"/>
        <v>0</v>
      </c>
      <c r="H741" s="140" t="str">
        <f t="shared" si="35"/>
        <v/>
      </c>
      <c r="J741" s="147" t="str">
        <f>IFERROR(SUMIFS(当年实际!$V:$V,当年实际!$F:$F,$C741,当年实际!$C:$C,"&gt;="&amp;DATE(YEAR(主页!$D$2),1,1),当年实际!$C:$C,"&lt;="&amp;EOMONTH(DATE(YEAR(主页!$D$2),MONTH(主页!$D$2),1),0))/SUMIFS(当年实际!$P:$P,当年实际!$F:$F,$C741,当年实际!$C:$C,"&gt;="&amp;DATE(YEAR(主页!$D$2),1,1),当年实际!$C:$C,"&lt;="&amp;EOMONTH(DATE(YEAR(主页!$D$2),MONTH(主页!$D$2),1),0)),"")</f>
        <v/>
      </c>
    </row>
    <row r="742" spans="1:10" x14ac:dyDescent="0.3">
      <c r="A742" s="150"/>
      <c r="B742" s="150"/>
      <c r="C742" s="150"/>
      <c r="D742" s="150"/>
      <c r="E742" s="140" t="str">
        <f t="shared" si="34"/>
        <v/>
      </c>
      <c r="F742" s="159"/>
      <c r="G742" s="145">
        <f t="shared" si="36"/>
        <v>0</v>
      </c>
      <c r="H742" s="140" t="str">
        <f t="shared" si="35"/>
        <v/>
      </c>
      <c r="J742" s="147" t="str">
        <f>IFERROR(SUMIFS(当年实际!$V:$V,当年实际!$F:$F,$C742,当年实际!$C:$C,"&gt;="&amp;DATE(YEAR(主页!$D$2),1,1),当年实际!$C:$C,"&lt;="&amp;EOMONTH(DATE(YEAR(主页!$D$2),MONTH(主页!$D$2),1),0))/SUMIFS(当年实际!$P:$P,当年实际!$F:$F,$C742,当年实际!$C:$C,"&gt;="&amp;DATE(YEAR(主页!$D$2),1,1),当年实际!$C:$C,"&lt;="&amp;EOMONTH(DATE(YEAR(主页!$D$2),MONTH(主页!$D$2),1),0)),"")</f>
        <v/>
      </c>
    </row>
    <row r="743" spans="1:10" x14ac:dyDescent="0.3">
      <c r="A743" s="150"/>
      <c r="B743" s="150"/>
      <c r="C743" s="150"/>
      <c r="D743" s="150"/>
      <c r="E743" s="140" t="str">
        <f t="shared" si="34"/>
        <v/>
      </c>
      <c r="F743" s="159"/>
      <c r="G743" s="145">
        <f t="shared" si="36"/>
        <v>0</v>
      </c>
      <c r="H743" s="140" t="str">
        <f t="shared" si="35"/>
        <v/>
      </c>
      <c r="J743" s="147" t="str">
        <f>IFERROR(SUMIFS(当年实际!$V:$V,当年实际!$F:$F,$C743,当年实际!$C:$C,"&gt;="&amp;DATE(YEAR(主页!$D$2),1,1),当年实际!$C:$C,"&lt;="&amp;EOMONTH(DATE(YEAR(主页!$D$2),MONTH(主页!$D$2),1),0))/SUMIFS(当年实际!$P:$P,当年实际!$F:$F,$C743,当年实际!$C:$C,"&gt;="&amp;DATE(YEAR(主页!$D$2),1,1),当年实际!$C:$C,"&lt;="&amp;EOMONTH(DATE(YEAR(主页!$D$2),MONTH(主页!$D$2),1),0)),"")</f>
        <v/>
      </c>
    </row>
    <row r="744" spans="1:10" x14ac:dyDescent="0.3">
      <c r="A744" s="150"/>
      <c r="B744" s="150"/>
      <c r="C744" s="150"/>
      <c r="D744" s="150"/>
      <c r="E744" s="140" t="str">
        <f t="shared" si="34"/>
        <v/>
      </c>
      <c r="F744" s="159"/>
      <c r="G744" s="145">
        <f t="shared" si="36"/>
        <v>0</v>
      </c>
      <c r="H744" s="140" t="str">
        <f t="shared" si="35"/>
        <v/>
      </c>
      <c r="J744" s="147" t="str">
        <f>IFERROR(SUMIFS(当年实际!$V:$V,当年实际!$F:$F,$C744,当年实际!$C:$C,"&gt;="&amp;DATE(YEAR(主页!$D$2),1,1),当年实际!$C:$C,"&lt;="&amp;EOMONTH(DATE(YEAR(主页!$D$2),MONTH(主页!$D$2),1),0))/SUMIFS(当年实际!$P:$P,当年实际!$F:$F,$C744,当年实际!$C:$C,"&gt;="&amp;DATE(YEAR(主页!$D$2),1,1),当年实际!$C:$C,"&lt;="&amp;EOMONTH(DATE(YEAR(主页!$D$2),MONTH(主页!$D$2),1),0)),"")</f>
        <v/>
      </c>
    </row>
    <row r="745" spans="1:10" x14ac:dyDescent="0.3">
      <c r="A745" s="150"/>
      <c r="B745" s="150"/>
      <c r="C745" s="150"/>
      <c r="D745" s="150"/>
      <c r="E745" s="140" t="str">
        <f t="shared" si="34"/>
        <v/>
      </c>
      <c r="F745" s="159"/>
      <c r="G745" s="145">
        <f t="shared" si="36"/>
        <v>0</v>
      </c>
      <c r="H745" s="140" t="str">
        <f t="shared" si="35"/>
        <v/>
      </c>
      <c r="J745" s="147" t="str">
        <f>IFERROR(SUMIFS(当年实际!$V:$V,当年实际!$F:$F,$C745,当年实际!$C:$C,"&gt;="&amp;DATE(YEAR(主页!$D$2),1,1),当年实际!$C:$C,"&lt;="&amp;EOMONTH(DATE(YEAR(主页!$D$2),MONTH(主页!$D$2),1),0))/SUMIFS(当年实际!$P:$P,当年实际!$F:$F,$C745,当年实际!$C:$C,"&gt;="&amp;DATE(YEAR(主页!$D$2),1,1),当年实际!$C:$C,"&lt;="&amp;EOMONTH(DATE(YEAR(主页!$D$2),MONTH(主页!$D$2),1),0)),"")</f>
        <v/>
      </c>
    </row>
    <row r="746" spans="1:10" x14ac:dyDescent="0.3">
      <c r="A746" s="150"/>
      <c r="B746" s="150"/>
      <c r="C746" s="150"/>
      <c r="D746" s="150"/>
      <c r="E746" s="140" t="str">
        <f t="shared" si="34"/>
        <v/>
      </c>
      <c r="F746" s="159"/>
      <c r="G746" s="145">
        <f t="shared" si="36"/>
        <v>0</v>
      </c>
      <c r="H746" s="140" t="str">
        <f t="shared" si="35"/>
        <v/>
      </c>
      <c r="J746" s="147" t="str">
        <f>IFERROR(SUMIFS(当年实际!$V:$V,当年实际!$F:$F,$C746,当年实际!$C:$C,"&gt;="&amp;DATE(YEAR(主页!$D$2),1,1),当年实际!$C:$C,"&lt;="&amp;EOMONTH(DATE(YEAR(主页!$D$2),MONTH(主页!$D$2),1),0))/SUMIFS(当年实际!$P:$P,当年实际!$F:$F,$C746,当年实际!$C:$C,"&gt;="&amp;DATE(YEAR(主页!$D$2),1,1),当年实际!$C:$C,"&lt;="&amp;EOMONTH(DATE(YEAR(主页!$D$2),MONTH(主页!$D$2),1),0)),"")</f>
        <v/>
      </c>
    </row>
    <row r="747" spans="1:10" x14ac:dyDescent="0.3">
      <c r="A747" s="150"/>
      <c r="B747" s="150"/>
      <c r="C747" s="150"/>
      <c r="D747" s="150"/>
      <c r="E747" s="140" t="str">
        <f t="shared" si="34"/>
        <v/>
      </c>
      <c r="F747" s="159"/>
      <c r="G747" s="145">
        <f t="shared" si="36"/>
        <v>0</v>
      </c>
      <c r="H747" s="140" t="str">
        <f t="shared" si="35"/>
        <v/>
      </c>
      <c r="J747" s="147" t="str">
        <f>IFERROR(SUMIFS(当年实际!$V:$V,当年实际!$F:$F,$C747,当年实际!$C:$C,"&gt;="&amp;DATE(YEAR(主页!$D$2),1,1),当年实际!$C:$C,"&lt;="&amp;EOMONTH(DATE(YEAR(主页!$D$2),MONTH(主页!$D$2),1),0))/SUMIFS(当年实际!$P:$P,当年实际!$F:$F,$C747,当年实际!$C:$C,"&gt;="&amp;DATE(YEAR(主页!$D$2),1,1),当年实际!$C:$C,"&lt;="&amp;EOMONTH(DATE(YEAR(主页!$D$2),MONTH(主页!$D$2),1),0)),"")</f>
        <v/>
      </c>
    </row>
    <row r="748" spans="1:10" x14ac:dyDescent="0.3">
      <c r="A748" s="150"/>
      <c r="B748" s="150"/>
      <c r="C748" s="150"/>
      <c r="D748" s="150"/>
      <c r="E748" s="140" t="str">
        <f t="shared" si="34"/>
        <v/>
      </c>
      <c r="F748" s="159"/>
      <c r="G748" s="145">
        <f t="shared" si="36"/>
        <v>0</v>
      </c>
      <c r="H748" s="140" t="str">
        <f t="shared" si="35"/>
        <v/>
      </c>
      <c r="J748" s="147" t="str">
        <f>IFERROR(SUMIFS(当年实际!$V:$V,当年实际!$F:$F,$C748,当年实际!$C:$C,"&gt;="&amp;DATE(YEAR(主页!$D$2),1,1),当年实际!$C:$C,"&lt;="&amp;EOMONTH(DATE(YEAR(主页!$D$2),MONTH(主页!$D$2),1),0))/SUMIFS(当年实际!$P:$P,当年实际!$F:$F,$C748,当年实际!$C:$C,"&gt;="&amp;DATE(YEAR(主页!$D$2),1,1),当年实际!$C:$C,"&lt;="&amp;EOMONTH(DATE(YEAR(主页!$D$2),MONTH(主页!$D$2),1),0)),"")</f>
        <v/>
      </c>
    </row>
    <row r="749" spans="1:10" x14ac:dyDescent="0.3">
      <c r="A749" s="150"/>
      <c r="B749" s="150"/>
      <c r="C749" s="150"/>
      <c r="D749" s="150"/>
      <c r="E749" s="140" t="str">
        <f t="shared" si="34"/>
        <v/>
      </c>
      <c r="F749" s="159"/>
      <c r="G749" s="145">
        <f t="shared" si="36"/>
        <v>0</v>
      </c>
      <c r="H749" s="140" t="str">
        <f t="shared" si="35"/>
        <v/>
      </c>
      <c r="J749" s="147" t="str">
        <f>IFERROR(SUMIFS(当年实际!$V:$V,当年实际!$F:$F,$C749,当年实际!$C:$C,"&gt;="&amp;DATE(YEAR(主页!$D$2),1,1),当年实际!$C:$C,"&lt;="&amp;EOMONTH(DATE(YEAR(主页!$D$2),MONTH(主页!$D$2),1),0))/SUMIFS(当年实际!$P:$P,当年实际!$F:$F,$C749,当年实际!$C:$C,"&gt;="&amp;DATE(YEAR(主页!$D$2),1,1),当年实际!$C:$C,"&lt;="&amp;EOMONTH(DATE(YEAR(主页!$D$2),MONTH(主页!$D$2),1),0)),"")</f>
        <v/>
      </c>
    </row>
    <row r="750" spans="1:10" x14ac:dyDescent="0.3">
      <c r="A750" s="150"/>
      <c r="B750" s="150"/>
      <c r="C750" s="150"/>
      <c r="D750" s="150"/>
      <c r="E750" s="140" t="str">
        <f t="shared" si="34"/>
        <v/>
      </c>
      <c r="F750" s="159"/>
      <c r="G750" s="145">
        <f t="shared" si="36"/>
        <v>0</v>
      </c>
      <c r="H750" s="140" t="str">
        <f t="shared" si="35"/>
        <v/>
      </c>
      <c r="J750" s="147" t="str">
        <f>IFERROR(SUMIFS(当年实际!$V:$V,当年实际!$F:$F,$C750,当年实际!$C:$C,"&gt;="&amp;DATE(YEAR(主页!$D$2),1,1),当年实际!$C:$C,"&lt;="&amp;EOMONTH(DATE(YEAR(主页!$D$2),MONTH(主页!$D$2),1),0))/SUMIFS(当年实际!$P:$P,当年实际!$F:$F,$C750,当年实际!$C:$C,"&gt;="&amp;DATE(YEAR(主页!$D$2),1,1),当年实际!$C:$C,"&lt;="&amp;EOMONTH(DATE(YEAR(主页!$D$2),MONTH(主页!$D$2),1),0)),"")</f>
        <v/>
      </c>
    </row>
    <row r="751" spans="1:10" x14ac:dyDescent="0.3">
      <c r="A751" s="150"/>
      <c r="B751" s="150"/>
      <c r="C751" s="150"/>
      <c r="D751" s="150"/>
      <c r="E751" s="140" t="str">
        <f t="shared" si="34"/>
        <v/>
      </c>
      <c r="F751" s="159"/>
      <c r="G751" s="145">
        <f t="shared" si="36"/>
        <v>0</v>
      </c>
      <c r="H751" s="140" t="str">
        <f t="shared" si="35"/>
        <v/>
      </c>
      <c r="J751" s="147" t="str">
        <f>IFERROR(SUMIFS(当年实际!$V:$V,当年实际!$F:$F,$C751,当年实际!$C:$C,"&gt;="&amp;DATE(YEAR(主页!$D$2),1,1),当年实际!$C:$C,"&lt;="&amp;EOMONTH(DATE(YEAR(主页!$D$2),MONTH(主页!$D$2),1),0))/SUMIFS(当年实际!$P:$P,当年实际!$F:$F,$C751,当年实际!$C:$C,"&gt;="&amp;DATE(YEAR(主页!$D$2),1,1),当年实际!$C:$C,"&lt;="&amp;EOMONTH(DATE(YEAR(主页!$D$2),MONTH(主页!$D$2),1),0)),"")</f>
        <v/>
      </c>
    </row>
    <row r="752" spans="1:10" x14ac:dyDescent="0.3">
      <c r="A752" s="150"/>
      <c r="B752" s="150"/>
      <c r="C752" s="150"/>
      <c r="D752" s="150"/>
      <c r="E752" s="140" t="str">
        <f t="shared" si="34"/>
        <v/>
      </c>
      <c r="F752" s="159"/>
      <c r="G752" s="145">
        <f t="shared" si="36"/>
        <v>0</v>
      </c>
      <c r="H752" s="140" t="str">
        <f t="shared" si="35"/>
        <v/>
      </c>
      <c r="J752" s="147" t="str">
        <f>IFERROR(SUMIFS(当年实际!$V:$V,当年实际!$F:$F,$C752,当年实际!$C:$C,"&gt;="&amp;DATE(YEAR(主页!$D$2),1,1),当年实际!$C:$C,"&lt;="&amp;EOMONTH(DATE(YEAR(主页!$D$2),MONTH(主页!$D$2),1),0))/SUMIFS(当年实际!$P:$P,当年实际!$F:$F,$C752,当年实际!$C:$C,"&gt;="&amp;DATE(YEAR(主页!$D$2),1,1),当年实际!$C:$C,"&lt;="&amp;EOMONTH(DATE(YEAR(主页!$D$2),MONTH(主页!$D$2),1),0)),"")</f>
        <v/>
      </c>
    </row>
    <row r="753" spans="1:10" x14ac:dyDescent="0.3">
      <c r="A753" s="150"/>
      <c r="B753" s="150"/>
      <c r="C753" s="150"/>
      <c r="D753" s="150"/>
      <c r="E753" s="140" t="str">
        <f t="shared" si="34"/>
        <v/>
      </c>
      <c r="F753" s="159"/>
      <c r="G753" s="145">
        <f t="shared" si="36"/>
        <v>0</v>
      </c>
      <c r="H753" s="140" t="str">
        <f t="shared" si="35"/>
        <v/>
      </c>
      <c r="J753" s="147" t="str">
        <f>IFERROR(SUMIFS(当年实际!$V:$V,当年实际!$F:$F,$C753,当年实际!$C:$C,"&gt;="&amp;DATE(YEAR(主页!$D$2),1,1),当年实际!$C:$C,"&lt;="&amp;EOMONTH(DATE(YEAR(主页!$D$2),MONTH(主页!$D$2),1),0))/SUMIFS(当年实际!$P:$P,当年实际!$F:$F,$C753,当年实际!$C:$C,"&gt;="&amp;DATE(YEAR(主页!$D$2),1,1),当年实际!$C:$C,"&lt;="&amp;EOMONTH(DATE(YEAR(主页!$D$2),MONTH(主页!$D$2),1),0)),"")</f>
        <v/>
      </c>
    </row>
    <row r="754" spans="1:10" x14ac:dyDescent="0.3">
      <c r="A754" s="150"/>
      <c r="B754" s="150"/>
      <c r="C754" s="150"/>
      <c r="D754" s="150"/>
      <c r="E754" s="140" t="str">
        <f t="shared" si="34"/>
        <v/>
      </c>
      <c r="F754" s="159"/>
      <c r="G754" s="145">
        <f t="shared" si="36"/>
        <v>0</v>
      </c>
      <c r="H754" s="140" t="str">
        <f t="shared" si="35"/>
        <v/>
      </c>
      <c r="J754" s="147" t="str">
        <f>IFERROR(SUMIFS(当年实际!$V:$V,当年实际!$F:$F,$C754,当年实际!$C:$C,"&gt;="&amp;DATE(YEAR(主页!$D$2),1,1),当年实际!$C:$C,"&lt;="&amp;EOMONTH(DATE(YEAR(主页!$D$2),MONTH(主页!$D$2),1),0))/SUMIFS(当年实际!$P:$P,当年实际!$F:$F,$C754,当年实际!$C:$C,"&gt;="&amp;DATE(YEAR(主页!$D$2),1,1),当年实际!$C:$C,"&lt;="&amp;EOMONTH(DATE(YEAR(主页!$D$2),MONTH(主页!$D$2),1),0)),"")</f>
        <v/>
      </c>
    </row>
    <row r="755" spans="1:10" x14ac:dyDescent="0.3">
      <c r="A755" s="150"/>
      <c r="B755" s="150"/>
      <c r="C755" s="150"/>
      <c r="D755" s="150"/>
      <c r="E755" s="140" t="str">
        <f t="shared" si="34"/>
        <v/>
      </c>
      <c r="F755" s="159"/>
      <c r="G755" s="145">
        <f t="shared" si="36"/>
        <v>0</v>
      </c>
      <c r="H755" s="140" t="str">
        <f t="shared" si="35"/>
        <v/>
      </c>
      <c r="J755" s="147" t="str">
        <f>IFERROR(SUMIFS(当年实际!$V:$V,当年实际!$F:$F,$C755,当年实际!$C:$C,"&gt;="&amp;DATE(YEAR(主页!$D$2),1,1),当年实际!$C:$C,"&lt;="&amp;EOMONTH(DATE(YEAR(主页!$D$2),MONTH(主页!$D$2),1),0))/SUMIFS(当年实际!$P:$P,当年实际!$F:$F,$C755,当年实际!$C:$C,"&gt;="&amp;DATE(YEAR(主页!$D$2),1,1),当年实际!$C:$C,"&lt;="&amp;EOMONTH(DATE(YEAR(主页!$D$2),MONTH(主页!$D$2),1),0)),"")</f>
        <v/>
      </c>
    </row>
    <row r="756" spans="1:10" x14ac:dyDescent="0.3">
      <c r="A756" s="150"/>
      <c r="B756" s="150"/>
      <c r="C756" s="150"/>
      <c r="D756" s="150"/>
      <c r="E756" s="140" t="str">
        <f t="shared" si="34"/>
        <v/>
      </c>
      <c r="F756" s="159"/>
      <c r="G756" s="145">
        <f t="shared" si="36"/>
        <v>0</v>
      </c>
      <c r="H756" s="140" t="str">
        <f t="shared" si="35"/>
        <v/>
      </c>
      <c r="J756" s="147" t="str">
        <f>IFERROR(SUMIFS(当年实际!$V:$V,当年实际!$F:$F,$C756,当年实际!$C:$C,"&gt;="&amp;DATE(YEAR(主页!$D$2),1,1),当年实际!$C:$C,"&lt;="&amp;EOMONTH(DATE(YEAR(主页!$D$2),MONTH(主页!$D$2),1),0))/SUMIFS(当年实际!$P:$P,当年实际!$F:$F,$C756,当年实际!$C:$C,"&gt;="&amp;DATE(YEAR(主页!$D$2),1,1),当年实际!$C:$C,"&lt;="&amp;EOMONTH(DATE(YEAR(主页!$D$2),MONTH(主页!$D$2),1),0)),"")</f>
        <v/>
      </c>
    </row>
    <row r="757" spans="1:10" x14ac:dyDescent="0.3">
      <c r="A757" s="150"/>
      <c r="B757" s="150"/>
      <c r="C757" s="150"/>
      <c r="D757" s="150"/>
      <c r="E757" s="140" t="str">
        <f t="shared" si="34"/>
        <v/>
      </c>
      <c r="F757" s="159"/>
      <c r="G757" s="145">
        <f t="shared" si="36"/>
        <v>0</v>
      </c>
      <c r="H757" s="140" t="str">
        <f t="shared" si="35"/>
        <v/>
      </c>
      <c r="J757" s="147" t="str">
        <f>IFERROR(SUMIFS(当年实际!$V:$V,当年实际!$F:$F,$C757,当年实际!$C:$C,"&gt;="&amp;DATE(YEAR(主页!$D$2),1,1),当年实际!$C:$C,"&lt;="&amp;EOMONTH(DATE(YEAR(主页!$D$2),MONTH(主页!$D$2),1),0))/SUMIFS(当年实际!$P:$P,当年实际!$F:$F,$C757,当年实际!$C:$C,"&gt;="&amp;DATE(YEAR(主页!$D$2),1,1),当年实际!$C:$C,"&lt;="&amp;EOMONTH(DATE(YEAR(主页!$D$2),MONTH(主页!$D$2),1),0)),"")</f>
        <v/>
      </c>
    </row>
    <row r="758" spans="1:10" x14ac:dyDescent="0.3">
      <c r="A758" s="150"/>
      <c r="B758" s="150"/>
      <c r="C758" s="150"/>
      <c r="D758" s="150"/>
      <c r="E758" s="140" t="str">
        <f t="shared" si="34"/>
        <v/>
      </c>
      <c r="F758" s="159"/>
      <c r="G758" s="145">
        <f t="shared" si="36"/>
        <v>0</v>
      </c>
      <c r="H758" s="140" t="str">
        <f t="shared" si="35"/>
        <v/>
      </c>
      <c r="J758" s="147" t="str">
        <f>IFERROR(SUMIFS(当年实际!$V:$V,当年实际!$F:$F,$C758,当年实际!$C:$C,"&gt;="&amp;DATE(YEAR(主页!$D$2),1,1),当年实际!$C:$C,"&lt;="&amp;EOMONTH(DATE(YEAR(主页!$D$2),MONTH(主页!$D$2),1),0))/SUMIFS(当年实际!$P:$P,当年实际!$F:$F,$C758,当年实际!$C:$C,"&gt;="&amp;DATE(YEAR(主页!$D$2),1,1),当年实际!$C:$C,"&lt;="&amp;EOMONTH(DATE(YEAR(主页!$D$2),MONTH(主页!$D$2),1),0)),"")</f>
        <v/>
      </c>
    </row>
    <row r="759" spans="1:10" x14ac:dyDescent="0.3">
      <c r="A759" s="150"/>
      <c r="B759" s="150"/>
      <c r="C759" s="150"/>
      <c r="D759" s="150"/>
      <c r="E759" s="140" t="str">
        <f t="shared" si="34"/>
        <v/>
      </c>
      <c r="F759" s="159"/>
      <c r="G759" s="145">
        <f t="shared" si="36"/>
        <v>0</v>
      </c>
      <c r="H759" s="140" t="str">
        <f t="shared" si="35"/>
        <v/>
      </c>
      <c r="J759" s="147" t="str">
        <f>IFERROR(SUMIFS(当年实际!$V:$V,当年实际!$F:$F,$C759,当年实际!$C:$C,"&gt;="&amp;DATE(YEAR(主页!$D$2),1,1),当年实际!$C:$C,"&lt;="&amp;EOMONTH(DATE(YEAR(主页!$D$2),MONTH(主页!$D$2),1),0))/SUMIFS(当年实际!$P:$P,当年实际!$F:$F,$C759,当年实际!$C:$C,"&gt;="&amp;DATE(YEAR(主页!$D$2),1,1),当年实际!$C:$C,"&lt;="&amp;EOMONTH(DATE(YEAR(主页!$D$2),MONTH(主页!$D$2),1),0)),"")</f>
        <v/>
      </c>
    </row>
    <row r="760" spans="1:10" x14ac:dyDescent="0.3">
      <c r="A760" s="150"/>
      <c r="B760" s="150"/>
      <c r="C760" s="150"/>
      <c r="D760" s="150"/>
      <c r="E760" s="140" t="str">
        <f t="shared" si="34"/>
        <v/>
      </c>
      <c r="F760" s="159"/>
      <c r="G760" s="145">
        <f t="shared" si="36"/>
        <v>0</v>
      </c>
      <c r="H760" s="140" t="str">
        <f t="shared" si="35"/>
        <v/>
      </c>
      <c r="J760" s="147" t="str">
        <f>IFERROR(SUMIFS(当年实际!$V:$V,当年实际!$F:$F,$C760,当年实际!$C:$C,"&gt;="&amp;DATE(YEAR(主页!$D$2),1,1),当年实际!$C:$C,"&lt;="&amp;EOMONTH(DATE(YEAR(主页!$D$2),MONTH(主页!$D$2),1),0))/SUMIFS(当年实际!$P:$P,当年实际!$F:$F,$C760,当年实际!$C:$C,"&gt;="&amp;DATE(YEAR(主页!$D$2),1,1),当年实际!$C:$C,"&lt;="&amp;EOMONTH(DATE(YEAR(主页!$D$2),MONTH(主页!$D$2),1),0)),"")</f>
        <v/>
      </c>
    </row>
    <row r="761" spans="1:10" x14ac:dyDescent="0.3">
      <c r="A761" s="150"/>
      <c r="B761" s="150"/>
      <c r="C761" s="150"/>
      <c r="D761" s="150"/>
      <c r="E761" s="140" t="str">
        <f t="shared" si="34"/>
        <v/>
      </c>
      <c r="F761" s="159"/>
      <c r="G761" s="145">
        <f t="shared" si="36"/>
        <v>0</v>
      </c>
      <c r="H761" s="140" t="str">
        <f t="shared" si="35"/>
        <v/>
      </c>
      <c r="J761" s="147" t="str">
        <f>IFERROR(SUMIFS(当年实际!$V:$V,当年实际!$F:$F,$C761,当年实际!$C:$C,"&gt;="&amp;DATE(YEAR(主页!$D$2),1,1),当年实际!$C:$C,"&lt;="&amp;EOMONTH(DATE(YEAR(主页!$D$2),MONTH(主页!$D$2),1),0))/SUMIFS(当年实际!$P:$P,当年实际!$F:$F,$C761,当年实际!$C:$C,"&gt;="&amp;DATE(YEAR(主页!$D$2),1,1),当年实际!$C:$C,"&lt;="&amp;EOMONTH(DATE(YEAR(主页!$D$2),MONTH(主页!$D$2),1),0)),"")</f>
        <v/>
      </c>
    </row>
    <row r="762" spans="1:10" x14ac:dyDescent="0.3">
      <c r="A762" s="150"/>
      <c r="B762" s="150"/>
      <c r="C762" s="150"/>
      <c r="D762" s="150"/>
      <c r="E762" s="140" t="str">
        <f t="shared" si="34"/>
        <v/>
      </c>
      <c r="F762" s="159"/>
      <c r="G762" s="145">
        <f t="shared" si="36"/>
        <v>0</v>
      </c>
      <c r="H762" s="140" t="str">
        <f t="shared" si="35"/>
        <v/>
      </c>
      <c r="J762" s="147" t="str">
        <f>IFERROR(SUMIFS(当年实际!$V:$V,当年实际!$F:$F,$C762,当年实际!$C:$C,"&gt;="&amp;DATE(YEAR(主页!$D$2),1,1),当年实际!$C:$C,"&lt;="&amp;EOMONTH(DATE(YEAR(主页!$D$2),MONTH(主页!$D$2),1),0))/SUMIFS(当年实际!$P:$P,当年实际!$F:$F,$C762,当年实际!$C:$C,"&gt;="&amp;DATE(YEAR(主页!$D$2),1,1),当年实际!$C:$C,"&lt;="&amp;EOMONTH(DATE(YEAR(主页!$D$2),MONTH(主页!$D$2),1),0)),"")</f>
        <v/>
      </c>
    </row>
    <row r="763" spans="1:10" x14ac:dyDescent="0.3">
      <c r="A763" s="150"/>
      <c r="B763" s="150"/>
      <c r="C763" s="150"/>
      <c r="D763" s="150"/>
      <c r="E763" s="140" t="str">
        <f t="shared" si="34"/>
        <v/>
      </c>
      <c r="F763" s="159"/>
      <c r="G763" s="145">
        <f t="shared" si="36"/>
        <v>0</v>
      </c>
      <c r="H763" s="140" t="str">
        <f t="shared" si="35"/>
        <v/>
      </c>
      <c r="J763" s="147" t="str">
        <f>IFERROR(SUMIFS(当年实际!$V:$V,当年实际!$F:$F,$C763,当年实际!$C:$C,"&gt;="&amp;DATE(YEAR(主页!$D$2),1,1),当年实际!$C:$C,"&lt;="&amp;EOMONTH(DATE(YEAR(主页!$D$2),MONTH(主页!$D$2),1),0))/SUMIFS(当年实际!$P:$P,当年实际!$F:$F,$C763,当年实际!$C:$C,"&gt;="&amp;DATE(YEAR(主页!$D$2),1,1),当年实际!$C:$C,"&lt;="&amp;EOMONTH(DATE(YEAR(主页!$D$2),MONTH(主页!$D$2),1),0)),"")</f>
        <v/>
      </c>
    </row>
    <row r="764" spans="1:10" x14ac:dyDescent="0.3">
      <c r="A764" s="150"/>
      <c r="B764" s="150"/>
      <c r="C764" s="150"/>
      <c r="D764" s="150"/>
      <c r="E764" s="140" t="str">
        <f t="shared" si="34"/>
        <v/>
      </c>
      <c r="F764" s="159"/>
      <c r="G764" s="145">
        <f t="shared" si="36"/>
        <v>0</v>
      </c>
      <c r="H764" s="140" t="str">
        <f t="shared" si="35"/>
        <v/>
      </c>
      <c r="J764" s="147" t="str">
        <f>IFERROR(SUMIFS(当年实际!$V:$V,当年实际!$F:$F,$C764,当年实际!$C:$C,"&gt;="&amp;DATE(YEAR(主页!$D$2),1,1),当年实际!$C:$C,"&lt;="&amp;EOMONTH(DATE(YEAR(主页!$D$2),MONTH(主页!$D$2),1),0))/SUMIFS(当年实际!$P:$P,当年实际!$F:$F,$C764,当年实际!$C:$C,"&gt;="&amp;DATE(YEAR(主页!$D$2),1,1),当年实际!$C:$C,"&lt;="&amp;EOMONTH(DATE(YEAR(主页!$D$2),MONTH(主页!$D$2),1),0)),"")</f>
        <v/>
      </c>
    </row>
    <row r="765" spans="1:10" x14ac:dyDescent="0.3">
      <c r="A765" s="150"/>
      <c r="B765" s="150"/>
      <c r="C765" s="150"/>
      <c r="D765" s="150"/>
      <c r="E765" s="140" t="str">
        <f t="shared" si="34"/>
        <v/>
      </c>
      <c r="F765" s="159"/>
      <c r="G765" s="145">
        <f t="shared" si="36"/>
        <v>0</v>
      </c>
      <c r="H765" s="140" t="str">
        <f t="shared" si="35"/>
        <v/>
      </c>
      <c r="J765" s="147" t="str">
        <f>IFERROR(SUMIFS(当年实际!$V:$V,当年实际!$F:$F,$C765,当年实际!$C:$C,"&gt;="&amp;DATE(YEAR(主页!$D$2),1,1),当年实际!$C:$C,"&lt;="&amp;EOMONTH(DATE(YEAR(主页!$D$2),MONTH(主页!$D$2),1),0))/SUMIFS(当年实际!$P:$P,当年实际!$F:$F,$C765,当年实际!$C:$C,"&gt;="&amp;DATE(YEAR(主页!$D$2),1,1),当年实际!$C:$C,"&lt;="&amp;EOMONTH(DATE(YEAR(主页!$D$2),MONTH(主页!$D$2),1),0)),"")</f>
        <v/>
      </c>
    </row>
    <row r="766" spans="1:10" x14ac:dyDescent="0.3">
      <c r="A766" s="150"/>
      <c r="B766" s="150"/>
      <c r="C766" s="150"/>
      <c r="D766" s="150"/>
      <c r="E766" s="140" t="str">
        <f t="shared" si="34"/>
        <v/>
      </c>
      <c r="F766" s="159"/>
      <c r="G766" s="145">
        <f t="shared" si="36"/>
        <v>0</v>
      </c>
      <c r="H766" s="140" t="str">
        <f t="shared" si="35"/>
        <v/>
      </c>
      <c r="J766" s="147" t="str">
        <f>IFERROR(SUMIFS(当年实际!$V:$V,当年实际!$F:$F,$C766,当年实际!$C:$C,"&gt;="&amp;DATE(YEAR(主页!$D$2),1,1),当年实际!$C:$C,"&lt;="&amp;EOMONTH(DATE(YEAR(主页!$D$2),MONTH(主页!$D$2),1),0))/SUMIFS(当年实际!$P:$P,当年实际!$F:$F,$C766,当年实际!$C:$C,"&gt;="&amp;DATE(YEAR(主页!$D$2),1,1),当年实际!$C:$C,"&lt;="&amp;EOMONTH(DATE(YEAR(主页!$D$2),MONTH(主页!$D$2),1),0)),"")</f>
        <v/>
      </c>
    </row>
    <row r="767" spans="1:10" x14ac:dyDescent="0.3">
      <c r="A767" s="150"/>
      <c r="B767" s="150"/>
      <c r="C767" s="150"/>
      <c r="D767" s="150"/>
      <c r="E767" s="140" t="str">
        <f t="shared" si="34"/>
        <v/>
      </c>
      <c r="F767" s="159"/>
      <c r="G767" s="145">
        <f t="shared" si="36"/>
        <v>0</v>
      </c>
      <c r="H767" s="140" t="str">
        <f t="shared" si="35"/>
        <v/>
      </c>
      <c r="J767" s="147" t="str">
        <f>IFERROR(SUMIFS(当年实际!$V:$V,当年实际!$F:$F,$C767,当年实际!$C:$C,"&gt;="&amp;DATE(YEAR(主页!$D$2),1,1),当年实际!$C:$C,"&lt;="&amp;EOMONTH(DATE(YEAR(主页!$D$2),MONTH(主页!$D$2),1),0))/SUMIFS(当年实际!$P:$P,当年实际!$F:$F,$C767,当年实际!$C:$C,"&gt;="&amp;DATE(YEAR(主页!$D$2),1,1),当年实际!$C:$C,"&lt;="&amp;EOMONTH(DATE(YEAR(主页!$D$2),MONTH(主页!$D$2),1),0)),"")</f>
        <v/>
      </c>
    </row>
    <row r="768" spans="1:10" x14ac:dyDescent="0.3">
      <c r="A768" s="150"/>
      <c r="B768" s="150"/>
      <c r="C768" s="150"/>
      <c r="D768" s="150"/>
      <c r="E768" s="140" t="str">
        <f t="shared" si="34"/>
        <v/>
      </c>
      <c r="F768" s="159"/>
      <c r="G768" s="145">
        <f t="shared" si="36"/>
        <v>0</v>
      </c>
      <c r="H768" s="140" t="str">
        <f t="shared" si="35"/>
        <v/>
      </c>
      <c r="J768" s="147" t="str">
        <f>IFERROR(SUMIFS(当年实际!$V:$V,当年实际!$F:$F,$C768,当年实际!$C:$C,"&gt;="&amp;DATE(YEAR(主页!$D$2),1,1),当年实际!$C:$C,"&lt;="&amp;EOMONTH(DATE(YEAR(主页!$D$2),MONTH(主页!$D$2),1),0))/SUMIFS(当年实际!$P:$P,当年实际!$F:$F,$C768,当年实际!$C:$C,"&gt;="&amp;DATE(YEAR(主页!$D$2),1,1),当年实际!$C:$C,"&lt;="&amp;EOMONTH(DATE(YEAR(主页!$D$2),MONTH(主页!$D$2),1),0)),"")</f>
        <v/>
      </c>
    </row>
    <row r="769" spans="1:10" x14ac:dyDescent="0.3">
      <c r="A769" s="150"/>
      <c r="B769" s="150"/>
      <c r="C769" s="150"/>
      <c r="D769" s="150"/>
      <c r="E769" s="140" t="str">
        <f t="shared" si="34"/>
        <v/>
      </c>
      <c r="F769" s="159"/>
      <c r="G769" s="145">
        <f t="shared" si="36"/>
        <v>0</v>
      </c>
      <c r="H769" s="140" t="str">
        <f t="shared" si="35"/>
        <v/>
      </c>
      <c r="J769" s="147" t="str">
        <f>IFERROR(SUMIFS(当年实际!$V:$V,当年实际!$F:$F,$C769,当年实际!$C:$C,"&gt;="&amp;DATE(YEAR(主页!$D$2),1,1),当年实际!$C:$C,"&lt;="&amp;EOMONTH(DATE(YEAR(主页!$D$2),MONTH(主页!$D$2),1),0))/SUMIFS(当年实际!$P:$P,当年实际!$F:$F,$C769,当年实际!$C:$C,"&gt;="&amp;DATE(YEAR(主页!$D$2),1,1),当年实际!$C:$C,"&lt;="&amp;EOMONTH(DATE(YEAR(主页!$D$2),MONTH(主页!$D$2),1),0)),"")</f>
        <v/>
      </c>
    </row>
    <row r="770" spans="1:10" x14ac:dyDescent="0.3">
      <c r="A770" s="150"/>
      <c r="B770" s="150"/>
      <c r="C770" s="150"/>
      <c r="D770" s="150"/>
      <c r="E770" s="140" t="str">
        <f t="shared" si="34"/>
        <v/>
      </c>
      <c r="F770" s="159"/>
      <c r="G770" s="145">
        <f t="shared" si="36"/>
        <v>0</v>
      </c>
      <c r="H770" s="140" t="str">
        <f t="shared" si="35"/>
        <v/>
      </c>
      <c r="J770" s="147" t="str">
        <f>IFERROR(SUMIFS(当年实际!$V:$V,当年实际!$F:$F,$C770,当年实际!$C:$C,"&gt;="&amp;DATE(YEAR(主页!$D$2),1,1),当年实际!$C:$C,"&lt;="&amp;EOMONTH(DATE(YEAR(主页!$D$2),MONTH(主页!$D$2),1),0))/SUMIFS(当年实际!$P:$P,当年实际!$F:$F,$C770,当年实际!$C:$C,"&gt;="&amp;DATE(YEAR(主页!$D$2),1,1),当年实际!$C:$C,"&lt;="&amp;EOMONTH(DATE(YEAR(主页!$D$2),MONTH(主页!$D$2),1),0)),"")</f>
        <v/>
      </c>
    </row>
    <row r="771" spans="1:10" x14ac:dyDescent="0.3">
      <c r="A771" s="150"/>
      <c r="B771" s="150"/>
      <c r="C771" s="150"/>
      <c r="D771" s="150"/>
      <c r="E771" s="140" t="str">
        <f t="shared" si="34"/>
        <v/>
      </c>
      <c r="F771" s="159"/>
      <c r="G771" s="145">
        <f t="shared" si="36"/>
        <v>0</v>
      </c>
      <c r="H771" s="140" t="str">
        <f t="shared" si="35"/>
        <v/>
      </c>
      <c r="J771" s="147" t="str">
        <f>IFERROR(SUMIFS(当年实际!$V:$V,当年实际!$F:$F,$C771,当年实际!$C:$C,"&gt;="&amp;DATE(YEAR(主页!$D$2),1,1),当年实际!$C:$C,"&lt;="&amp;EOMONTH(DATE(YEAR(主页!$D$2),MONTH(主页!$D$2),1),0))/SUMIFS(当年实际!$P:$P,当年实际!$F:$F,$C771,当年实际!$C:$C,"&gt;="&amp;DATE(YEAR(主页!$D$2),1,1),当年实际!$C:$C,"&lt;="&amp;EOMONTH(DATE(YEAR(主页!$D$2),MONTH(主页!$D$2),1),0)),"")</f>
        <v/>
      </c>
    </row>
    <row r="772" spans="1:10" x14ac:dyDescent="0.3">
      <c r="A772" s="150"/>
      <c r="B772" s="150"/>
      <c r="C772" s="150"/>
      <c r="D772" s="150"/>
      <c r="E772" s="140" t="str">
        <f t="shared" ref="E772:E835" si="37">IF(D772/SUM(D:D)=0,"",D772/SUM(D:D))</f>
        <v/>
      </c>
      <c r="F772" s="159"/>
      <c r="G772" s="145">
        <f t="shared" si="36"/>
        <v>0</v>
      </c>
      <c r="H772" s="140" t="str">
        <f t="shared" ref="H772:H835" si="38">IF(G772/SUM(G:G)=0,"",G772/SUM(G:G))</f>
        <v/>
      </c>
      <c r="J772" s="147" t="str">
        <f>IFERROR(SUMIFS(当年实际!$V:$V,当年实际!$F:$F,$C772,当年实际!$C:$C,"&gt;="&amp;DATE(YEAR(主页!$D$2),1,1),当年实际!$C:$C,"&lt;="&amp;EOMONTH(DATE(YEAR(主页!$D$2),MONTH(主页!$D$2),1),0))/SUMIFS(当年实际!$P:$P,当年实际!$F:$F,$C772,当年实际!$C:$C,"&gt;="&amp;DATE(YEAR(主页!$D$2),1,1),当年实际!$C:$C,"&lt;="&amp;EOMONTH(DATE(YEAR(主页!$D$2),MONTH(主页!$D$2),1),0)),"")</f>
        <v/>
      </c>
    </row>
    <row r="773" spans="1:10" x14ac:dyDescent="0.3">
      <c r="A773" s="150"/>
      <c r="B773" s="150"/>
      <c r="C773" s="150"/>
      <c r="D773" s="150"/>
      <c r="E773" s="140" t="str">
        <f t="shared" si="37"/>
        <v/>
      </c>
      <c r="F773" s="159"/>
      <c r="G773" s="145">
        <f t="shared" si="36"/>
        <v>0</v>
      </c>
      <c r="H773" s="140" t="str">
        <f t="shared" si="38"/>
        <v/>
      </c>
      <c r="J773" s="147" t="str">
        <f>IFERROR(SUMIFS(当年实际!$V:$V,当年实际!$F:$F,$C773,当年实际!$C:$C,"&gt;="&amp;DATE(YEAR(主页!$D$2),1,1),当年实际!$C:$C,"&lt;="&amp;EOMONTH(DATE(YEAR(主页!$D$2),MONTH(主页!$D$2),1),0))/SUMIFS(当年实际!$P:$P,当年实际!$F:$F,$C773,当年实际!$C:$C,"&gt;="&amp;DATE(YEAR(主页!$D$2),1,1),当年实际!$C:$C,"&lt;="&amp;EOMONTH(DATE(YEAR(主页!$D$2),MONTH(主页!$D$2),1),0)),"")</f>
        <v/>
      </c>
    </row>
    <row r="774" spans="1:10" x14ac:dyDescent="0.3">
      <c r="A774" s="150"/>
      <c r="B774" s="150"/>
      <c r="C774" s="150"/>
      <c r="D774" s="150"/>
      <c r="E774" s="140" t="str">
        <f t="shared" si="37"/>
        <v/>
      </c>
      <c r="F774" s="159"/>
      <c r="G774" s="145">
        <f t="shared" si="36"/>
        <v>0</v>
      </c>
      <c r="H774" s="140" t="str">
        <f t="shared" si="38"/>
        <v/>
      </c>
      <c r="J774" s="147" t="str">
        <f>IFERROR(SUMIFS(当年实际!$V:$V,当年实际!$F:$F,$C774,当年实际!$C:$C,"&gt;="&amp;DATE(YEAR(主页!$D$2),1,1),当年实际!$C:$C,"&lt;="&amp;EOMONTH(DATE(YEAR(主页!$D$2),MONTH(主页!$D$2),1),0))/SUMIFS(当年实际!$P:$P,当年实际!$F:$F,$C774,当年实际!$C:$C,"&gt;="&amp;DATE(YEAR(主页!$D$2),1,1),当年实际!$C:$C,"&lt;="&amp;EOMONTH(DATE(YEAR(主页!$D$2),MONTH(主页!$D$2),1),0)),"")</f>
        <v/>
      </c>
    </row>
    <row r="775" spans="1:10" x14ac:dyDescent="0.3">
      <c r="A775" s="150"/>
      <c r="B775" s="150"/>
      <c r="C775" s="150"/>
      <c r="D775" s="150"/>
      <c r="E775" s="140" t="str">
        <f t="shared" si="37"/>
        <v/>
      </c>
      <c r="F775" s="159"/>
      <c r="G775" s="145">
        <f t="shared" si="36"/>
        <v>0</v>
      </c>
      <c r="H775" s="140" t="str">
        <f t="shared" si="38"/>
        <v/>
      </c>
      <c r="J775" s="147" t="str">
        <f>IFERROR(SUMIFS(当年实际!$V:$V,当年实际!$F:$F,$C775,当年实际!$C:$C,"&gt;="&amp;DATE(YEAR(主页!$D$2),1,1),当年实际!$C:$C,"&lt;="&amp;EOMONTH(DATE(YEAR(主页!$D$2),MONTH(主页!$D$2),1),0))/SUMIFS(当年实际!$P:$P,当年实际!$F:$F,$C775,当年实际!$C:$C,"&gt;="&amp;DATE(YEAR(主页!$D$2),1,1),当年实际!$C:$C,"&lt;="&amp;EOMONTH(DATE(YEAR(主页!$D$2),MONTH(主页!$D$2),1),0)),"")</f>
        <v/>
      </c>
    </row>
    <row r="776" spans="1:10" x14ac:dyDescent="0.3">
      <c r="A776" s="150"/>
      <c r="B776" s="150"/>
      <c r="C776" s="150"/>
      <c r="D776" s="150"/>
      <c r="E776" s="140" t="str">
        <f t="shared" si="37"/>
        <v/>
      </c>
      <c r="F776" s="159"/>
      <c r="G776" s="145">
        <f t="shared" ref="G776:G839" si="39">D776*F776</f>
        <v>0</v>
      </c>
      <c r="H776" s="140" t="str">
        <f t="shared" si="38"/>
        <v/>
      </c>
      <c r="J776" s="147" t="str">
        <f>IFERROR(SUMIFS(当年实际!$V:$V,当年实际!$F:$F,$C776,当年实际!$C:$C,"&gt;="&amp;DATE(YEAR(主页!$D$2),1,1),当年实际!$C:$C,"&lt;="&amp;EOMONTH(DATE(YEAR(主页!$D$2),MONTH(主页!$D$2),1),0))/SUMIFS(当年实际!$P:$P,当年实际!$F:$F,$C776,当年实际!$C:$C,"&gt;="&amp;DATE(YEAR(主页!$D$2),1,1),当年实际!$C:$C,"&lt;="&amp;EOMONTH(DATE(YEAR(主页!$D$2),MONTH(主页!$D$2),1),0)),"")</f>
        <v/>
      </c>
    </row>
    <row r="777" spans="1:10" x14ac:dyDescent="0.3">
      <c r="A777" s="150"/>
      <c r="B777" s="150"/>
      <c r="C777" s="150"/>
      <c r="D777" s="150"/>
      <c r="E777" s="140" t="str">
        <f t="shared" si="37"/>
        <v/>
      </c>
      <c r="F777" s="159"/>
      <c r="G777" s="145">
        <f t="shared" si="39"/>
        <v>0</v>
      </c>
      <c r="H777" s="140" t="str">
        <f t="shared" si="38"/>
        <v/>
      </c>
      <c r="J777" s="147" t="str">
        <f>IFERROR(SUMIFS(当年实际!$V:$V,当年实际!$F:$F,$C777,当年实际!$C:$C,"&gt;="&amp;DATE(YEAR(主页!$D$2),1,1),当年实际!$C:$C,"&lt;="&amp;EOMONTH(DATE(YEAR(主页!$D$2),MONTH(主页!$D$2),1),0))/SUMIFS(当年实际!$P:$P,当年实际!$F:$F,$C777,当年实际!$C:$C,"&gt;="&amp;DATE(YEAR(主页!$D$2),1,1),当年实际!$C:$C,"&lt;="&amp;EOMONTH(DATE(YEAR(主页!$D$2),MONTH(主页!$D$2),1),0)),"")</f>
        <v/>
      </c>
    </row>
    <row r="778" spans="1:10" x14ac:dyDescent="0.3">
      <c r="A778" s="150"/>
      <c r="B778" s="150"/>
      <c r="C778" s="150"/>
      <c r="D778" s="150"/>
      <c r="E778" s="140" t="str">
        <f t="shared" si="37"/>
        <v/>
      </c>
      <c r="F778" s="159"/>
      <c r="G778" s="145">
        <f t="shared" si="39"/>
        <v>0</v>
      </c>
      <c r="H778" s="140" t="str">
        <f t="shared" si="38"/>
        <v/>
      </c>
      <c r="J778" s="147" t="str">
        <f>IFERROR(SUMIFS(当年实际!$V:$V,当年实际!$F:$F,$C778,当年实际!$C:$C,"&gt;="&amp;DATE(YEAR(主页!$D$2),1,1),当年实际!$C:$C,"&lt;="&amp;EOMONTH(DATE(YEAR(主页!$D$2),MONTH(主页!$D$2),1),0))/SUMIFS(当年实际!$P:$P,当年实际!$F:$F,$C778,当年实际!$C:$C,"&gt;="&amp;DATE(YEAR(主页!$D$2),1,1),当年实际!$C:$C,"&lt;="&amp;EOMONTH(DATE(YEAR(主页!$D$2),MONTH(主页!$D$2),1),0)),"")</f>
        <v/>
      </c>
    </row>
    <row r="779" spans="1:10" x14ac:dyDescent="0.3">
      <c r="A779" s="150"/>
      <c r="B779" s="150"/>
      <c r="C779" s="150"/>
      <c r="D779" s="150"/>
      <c r="E779" s="140" t="str">
        <f t="shared" si="37"/>
        <v/>
      </c>
      <c r="F779" s="159"/>
      <c r="G779" s="145">
        <f t="shared" si="39"/>
        <v>0</v>
      </c>
      <c r="H779" s="140" t="str">
        <f t="shared" si="38"/>
        <v/>
      </c>
      <c r="J779" s="147" t="str">
        <f>IFERROR(SUMIFS(当年实际!$V:$V,当年实际!$F:$F,$C779,当年实际!$C:$C,"&gt;="&amp;DATE(YEAR(主页!$D$2),1,1),当年实际!$C:$C,"&lt;="&amp;EOMONTH(DATE(YEAR(主页!$D$2),MONTH(主页!$D$2),1),0))/SUMIFS(当年实际!$P:$P,当年实际!$F:$F,$C779,当年实际!$C:$C,"&gt;="&amp;DATE(YEAR(主页!$D$2),1,1),当年实际!$C:$C,"&lt;="&amp;EOMONTH(DATE(YEAR(主页!$D$2),MONTH(主页!$D$2),1),0)),"")</f>
        <v/>
      </c>
    </row>
    <row r="780" spans="1:10" x14ac:dyDescent="0.3">
      <c r="A780" s="150"/>
      <c r="B780" s="150"/>
      <c r="C780" s="150"/>
      <c r="D780" s="150"/>
      <c r="E780" s="140" t="str">
        <f t="shared" si="37"/>
        <v/>
      </c>
      <c r="F780" s="159"/>
      <c r="G780" s="145">
        <f t="shared" si="39"/>
        <v>0</v>
      </c>
      <c r="H780" s="140" t="str">
        <f t="shared" si="38"/>
        <v/>
      </c>
      <c r="J780" s="147" t="str">
        <f>IFERROR(SUMIFS(当年实际!$V:$V,当年实际!$F:$F,$C780,当年实际!$C:$C,"&gt;="&amp;DATE(YEAR(主页!$D$2),1,1),当年实际!$C:$C,"&lt;="&amp;EOMONTH(DATE(YEAR(主页!$D$2),MONTH(主页!$D$2),1),0))/SUMIFS(当年实际!$P:$P,当年实际!$F:$F,$C780,当年实际!$C:$C,"&gt;="&amp;DATE(YEAR(主页!$D$2),1,1),当年实际!$C:$C,"&lt;="&amp;EOMONTH(DATE(YEAR(主页!$D$2),MONTH(主页!$D$2),1),0)),"")</f>
        <v/>
      </c>
    </row>
    <row r="781" spans="1:10" x14ac:dyDescent="0.3">
      <c r="A781" s="150"/>
      <c r="B781" s="150"/>
      <c r="C781" s="150"/>
      <c r="D781" s="150"/>
      <c r="E781" s="140" t="str">
        <f t="shared" si="37"/>
        <v/>
      </c>
      <c r="F781" s="159"/>
      <c r="G781" s="145">
        <f t="shared" si="39"/>
        <v>0</v>
      </c>
      <c r="H781" s="140" t="str">
        <f t="shared" si="38"/>
        <v/>
      </c>
      <c r="J781" s="147" t="str">
        <f>IFERROR(SUMIFS(当年实际!$V:$V,当年实际!$F:$F,$C781,当年实际!$C:$C,"&gt;="&amp;DATE(YEAR(主页!$D$2),1,1),当年实际!$C:$C,"&lt;="&amp;EOMONTH(DATE(YEAR(主页!$D$2),MONTH(主页!$D$2),1),0))/SUMIFS(当年实际!$P:$P,当年实际!$F:$F,$C781,当年实际!$C:$C,"&gt;="&amp;DATE(YEAR(主页!$D$2),1,1),当年实际!$C:$C,"&lt;="&amp;EOMONTH(DATE(YEAR(主页!$D$2),MONTH(主页!$D$2),1),0)),"")</f>
        <v/>
      </c>
    </row>
    <row r="782" spans="1:10" x14ac:dyDescent="0.3">
      <c r="A782" s="150"/>
      <c r="B782" s="150"/>
      <c r="C782" s="150"/>
      <c r="D782" s="150"/>
      <c r="E782" s="140" t="str">
        <f t="shared" si="37"/>
        <v/>
      </c>
      <c r="F782" s="159"/>
      <c r="G782" s="145">
        <f t="shared" si="39"/>
        <v>0</v>
      </c>
      <c r="H782" s="140" t="str">
        <f t="shared" si="38"/>
        <v/>
      </c>
      <c r="J782" s="147" t="str">
        <f>IFERROR(SUMIFS(当年实际!$V:$V,当年实际!$F:$F,$C782,当年实际!$C:$C,"&gt;="&amp;DATE(YEAR(主页!$D$2),1,1),当年实际!$C:$C,"&lt;="&amp;EOMONTH(DATE(YEAR(主页!$D$2),MONTH(主页!$D$2),1),0))/SUMIFS(当年实际!$P:$P,当年实际!$F:$F,$C782,当年实际!$C:$C,"&gt;="&amp;DATE(YEAR(主页!$D$2),1,1),当年实际!$C:$C,"&lt;="&amp;EOMONTH(DATE(YEAR(主页!$D$2),MONTH(主页!$D$2),1),0)),"")</f>
        <v/>
      </c>
    </row>
    <row r="783" spans="1:10" x14ac:dyDescent="0.3">
      <c r="A783" s="150"/>
      <c r="B783" s="150"/>
      <c r="C783" s="150"/>
      <c r="D783" s="150"/>
      <c r="E783" s="140" t="str">
        <f t="shared" si="37"/>
        <v/>
      </c>
      <c r="F783" s="159"/>
      <c r="G783" s="145">
        <f t="shared" si="39"/>
        <v>0</v>
      </c>
      <c r="H783" s="140" t="str">
        <f t="shared" si="38"/>
        <v/>
      </c>
      <c r="J783" s="147" t="str">
        <f>IFERROR(SUMIFS(当年实际!$V:$V,当年实际!$F:$F,$C783,当年实际!$C:$C,"&gt;="&amp;DATE(YEAR(主页!$D$2),1,1),当年实际!$C:$C,"&lt;="&amp;EOMONTH(DATE(YEAR(主页!$D$2),MONTH(主页!$D$2),1),0))/SUMIFS(当年实际!$P:$P,当年实际!$F:$F,$C783,当年实际!$C:$C,"&gt;="&amp;DATE(YEAR(主页!$D$2),1,1),当年实际!$C:$C,"&lt;="&amp;EOMONTH(DATE(YEAR(主页!$D$2),MONTH(主页!$D$2),1),0)),"")</f>
        <v/>
      </c>
    </row>
    <row r="784" spans="1:10" x14ac:dyDescent="0.3">
      <c r="A784" s="150"/>
      <c r="B784" s="150"/>
      <c r="C784" s="150"/>
      <c r="D784" s="150"/>
      <c r="E784" s="140" t="str">
        <f t="shared" si="37"/>
        <v/>
      </c>
      <c r="F784" s="159"/>
      <c r="G784" s="145">
        <f t="shared" si="39"/>
        <v>0</v>
      </c>
      <c r="H784" s="140" t="str">
        <f t="shared" si="38"/>
        <v/>
      </c>
      <c r="J784" s="147" t="str">
        <f>IFERROR(SUMIFS(当年实际!$V:$V,当年实际!$F:$F,$C784,当年实际!$C:$C,"&gt;="&amp;DATE(YEAR(主页!$D$2),1,1),当年实际!$C:$C,"&lt;="&amp;EOMONTH(DATE(YEAR(主页!$D$2),MONTH(主页!$D$2),1),0))/SUMIFS(当年实际!$P:$P,当年实际!$F:$F,$C784,当年实际!$C:$C,"&gt;="&amp;DATE(YEAR(主页!$D$2),1,1),当年实际!$C:$C,"&lt;="&amp;EOMONTH(DATE(YEAR(主页!$D$2),MONTH(主页!$D$2),1),0)),"")</f>
        <v/>
      </c>
    </row>
    <row r="785" spans="1:10" x14ac:dyDescent="0.3">
      <c r="A785" s="150"/>
      <c r="B785" s="150"/>
      <c r="C785" s="150"/>
      <c r="D785" s="150"/>
      <c r="E785" s="140" t="str">
        <f t="shared" si="37"/>
        <v/>
      </c>
      <c r="F785" s="159"/>
      <c r="G785" s="145">
        <f t="shared" si="39"/>
        <v>0</v>
      </c>
      <c r="H785" s="140" t="str">
        <f t="shared" si="38"/>
        <v/>
      </c>
      <c r="J785" s="147" t="str">
        <f>IFERROR(SUMIFS(当年实际!$V:$V,当年实际!$F:$F,$C785,当年实际!$C:$C,"&gt;="&amp;DATE(YEAR(主页!$D$2),1,1),当年实际!$C:$C,"&lt;="&amp;EOMONTH(DATE(YEAR(主页!$D$2),MONTH(主页!$D$2),1),0))/SUMIFS(当年实际!$P:$P,当年实际!$F:$F,$C785,当年实际!$C:$C,"&gt;="&amp;DATE(YEAR(主页!$D$2),1,1),当年实际!$C:$C,"&lt;="&amp;EOMONTH(DATE(YEAR(主页!$D$2),MONTH(主页!$D$2),1),0)),"")</f>
        <v/>
      </c>
    </row>
    <row r="786" spans="1:10" x14ac:dyDescent="0.3">
      <c r="A786" s="150"/>
      <c r="B786" s="150"/>
      <c r="C786" s="150"/>
      <c r="D786" s="150"/>
      <c r="E786" s="140" t="str">
        <f t="shared" si="37"/>
        <v/>
      </c>
      <c r="F786" s="159"/>
      <c r="G786" s="145">
        <f t="shared" si="39"/>
        <v>0</v>
      </c>
      <c r="H786" s="140" t="str">
        <f t="shared" si="38"/>
        <v/>
      </c>
      <c r="J786" s="147" t="str">
        <f>IFERROR(SUMIFS(当年实际!$V:$V,当年实际!$F:$F,$C786,当年实际!$C:$C,"&gt;="&amp;DATE(YEAR(主页!$D$2),1,1),当年实际!$C:$C,"&lt;="&amp;EOMONTH(DATE(YEAR(主页!$D$2),MONTH(主页!$D$2),1),0))/SUMIFS(当年实际!$P:$P,当年实际!$F:$F,$C786,当年实际!$C:$C,"&gt;="&amp;DATE(YEAR(主页!$D$2),1,1),当年实际!$C:$C,"&lt;="&amp;EOMONTH(DATE(YEAR(主页!$D$2),MONTH(主页!$D$2),1),0)),"")</f>
        <v/>
      </c>
    </row>
    <row r="787" spans="1:10" x14ac:dyDescent="0.3">
      <c r="A787" s="150"/>
      <c r="B787" s="150"/>
      <c r="C787" s="150"/>
      <c r="D787" s="150"/>
      <c r="E787" s="140" t="str">
        <f t="shared" si="37"/>
        <v/>
      </c>
      <c r="F787" s="159"/>
      <c r="G787" s="145">
        <f t="shared" si="39"/>
        <v>0</v>
      </c>
      <c r="H787" s="140" t="str">
        <f t="shared" si="38"/>
        <v/>
      </c>
      <c r="J787" s="147" t="str">
        <f>IFERROR(SUMIFS(当年实际!$V:$V,当年实际!$F:$F,$C787,当年实际!$C:$C,"&gt;="&amp;DATE(YEAR(主页!$D$2),1,1),当年实际!$C:$C,"&lt;="&amp;EOMONTH(DATE(YEAR(主页!$D$2),MONTH(主页!$D$2),1),0))/SUMIFS(当年实际!$P:$P,当年实际!$F:$F,$C787,当年实际!$C:$C,"&gt;="&amp;DATE(YEAR(主页!$D$2),1,1),当年实际!$C:$C,"&lt;="&amp;EOMONTH(DATE(YEAR(主页!$D$2),MONTH(主页!$D$2),1),0)),"")</f>
        <v/>
      </c>
    </row>
    <row r="788" spans="1:10" x14ac:dyDescent="0.3">
      <c r="A788" s="150"/>
      <c r="B788" s="150"/>
      <c r="C788" s="150"/>
      <c r="D788" s="150"/>
      <c r="E788" s="140" t="str">
        <f t="shared" si="37"/>
        <v/>
      </c>
      <c r="F788" s="159"/>
      <c r="G788" s="145">
        <f t="shared" si="39"/>
        <v>0</v>
      </c>
      <c r="H788" s="140" t="str">
        <f t="shared" si="38"/>
        <v/>
      </c>
      <c r="J788" s="147" t="str">
        <f>IFERROR(SUMIFS(当年实际!$V:$V,当年实际!$F:$F,$C788,当年实际!$C:$C,"&gt;="&amp;DATE(YEAR(主页!$D$2),1,1),当年实际!$C:$C,"&lt;="&amp;EOMONTH(DATE(YEAR(主页!$D$2),MONTH(主页!$D$2),1),0))/SUMIFS(当年实际!$P:$P,当年实际!$F:$F,$C788,当年实际!$C:$C,"&gt;="&amp;DATE(YEAR(主页!$D$2),1,1),当年实际!$C:$C,"&lt;="&amp;EOMONTH(DATE(YEAR(主页!$D$2),MONTH(主页!$D$2),1),0)),"")</f>
        <v/>
      </c>
    </row>
    <row r="789" spans="1:10" x14ac:dyDescent="0.3">
      <c r="A789" s="150"/>
      <c r="B789" s="150"/>
      <c r="C789" s="150"/>
      <c r="D789" s="150"/>
      <c r="E789" s="140" t="str">
        <f t="shared" si="37"/>
        <v/>
      </c>
      <c r="F789" s="159"/>
      <c r="G789" s="145">
        <f t="shared" si="39"/>
        <v>0</v>
      </c>
      <c r="H789" s="140" t="str">
        <f t="shared" si="38"/>
        <v/>
      </c>
      <c r="J789" s="147" t="str">
        <f>IFERROR(SUMIFS(当年实际!$V:$V,当年实际!$F:$F,$C789,当年实际!$C:$C,"&gt;="&amp;DATE(YEAR(主页!$D$2),1,1),当年实际!$C:$C,"&lt;="&amp;EOMONTH(DATE(YEAR(主页!$D$2),MONTH(主页!$D$2),1),0))/SUMIFS(当年实际!$P:$P,当年实际!$F:$F,$C789,当年实际!$C:$C,"&gt;="&amp;DATE(YEAR(主页!$D$2),1,1),当年实际!$C:$C,"&lt;="&amp;EOMONTH(DATE(YEAR(主页!$D$2),MONTH(主页!$D$2),1),0)),"")</f>
        <v/>
      </c>
    </row>
    <row r="790" spans="1:10" x14ac:dyDescent="0.3">
      <c r="A790" s="150"/>
      <c r="B790" s="150"/>
      <c r="C790" s="150"/>
      <c r="D790" s="150"/>
      <c r="E790" s="140" t="str">
        <f t="shared" si="37"/>
        <v/>
      </c>
      <c r="F790" s="159"/>
      <c r="G790" s="145">
        <f t="shared" si="39"/>
        <v>0</v>
      </c>
      <c r="H790" s="140" t="str">
        <f t="shared" si="38"/>
        <v/>
      </c>
      <c r="J790" s="147" t="str">
        <f>IFERROR(SUMIFS(当年实际!$V:$V,当年实际!$F:$F,$C790,当年实际!$C:$C,"&gt;="&amp;DATE(YEAR(主页!$D$2),1,1),当年实际!$C:$C,"&lt;="&amp;EOMONTH(DATE(YEAR(主页!$D$2),MONTH(主页!$D$2),1),0))/SUMIFS(当年实际!$P:$P,当年实际!$F:$F,$C790,当年实际!$C:$C,"&gt;="&amp;DATE(YEAR(主页!$D$2),1,1),当年实际!$C:$C,"&lt;="&amp;EOMONTH(DATE(YEAR(主页!$D$2),MONTH(主页!$D$2),1),0)),"")</f>
        <v/>
      </c>
    </row>
    <row r="791" spans="1:10" x14ac:dyDescent="0.3">
      <c r="A791" s="150"/>
      <c r="B791" s="150"/>
      <c r="C791" s="150"/>
      <c r="D791" s="150"/>
      <c r="E791" s="140" t="str">
        <f t="shared" si="37"/>
        <v/>
      </c>
      <c r="F791" s="159"/>
      <c r="G791" s="145">
        <f t="shared" si="39"/>
        <v>0</v>
      </c>
      <c r="H791" s="140" t="str">
        <f t="shared" si="38"/>
        <v/>
      </c>
      <c r="J791" s="147" t="str">
        <f>IFERROR(SUMIFS(当年实际!$V:$V,当年实际!$F:$F,$C791,当年实际!$C:$C,"&gt;="&amp;DATE(YEAR(主页!$D$2),1,1),当年实际!$C:$C,"&lt;="&amp;EOMONTH(DATE(YEAR(主页!$D$2),MONTH(主页!$D$2),1),0))/SUMIFS(当年实际!$P:$P,当年实际!$F:$F,$C791,当年实际!$C:$C,"&gt;="&amp;DATE(YEAR(主页!$D$2),1,1),当年实际!$C:$C,"&lt;="&amp;EOMONTH(DATE(YEAR(主页!$D$2),MONTH(主页!$D$2),1),0)),"")</f>
        <v/>
      </c>
    </row>
    <row r="792" spans="1:10" x14ac:dyDescent="0.3">
      <c r="A792" s="150"/>
      <c r="B792" s="150"/>
      <c r="C792" s="150"/>
      <c r="D792" s="150"/>
      <c r="E792" s="140" t="str">
        <f t="shared" si="37"/>
        <v/>
      </c>
      <c r="F792" s="159"/>
      <c r="G792" s="145">
        <f t="shared" si="39"/>
        <v>0</v>
      </c>
      <c r="H792" s="140" t="str">
        <f t="shared" si="38"/>
        <v/>
      </c>
      <c r="J792" s="147" t="str">
        <f>IFERROR(SUMIFS(当年实际!$V:$V,当年实际!$F:$F,$C792,当年实际!$C:$C,"&gt;="&amp;DATE(YEAR(主页!$D$2),1,1),当年实际!$C:$C,"&lt;="&amp;EOMONTH(DATE(YEAR(主页!$D$2),MONTH(主页!$D$2),1),0))/SUMIFS(当年实际!$P:$P,当年实际!$F:$F,$C792,当年实际!$C:$C,"&gt;="&amp;DATE(YEAR(主页!$D$2),1,1),当年实际!$C:$C,"&lt;="&amp;EOMONTH(DATE(YEAR(主页!$D$2),MONTH(主页!$D$2),1),0)),"")</f>
        <v/>
      </c>
    </row>
    <row r="793" spans="1:10" x14ac:dyDescent="0.3">
      <c r="A793" s="150"/>
      <c r="B793" s="150"/>
      <c r="C793" s="150"/>
      <c r="D793" s="150"/>
      <c r="E793" s="140" t="str">
        <f t="shared" si="37"/>
        <v/>
      </c>
      <c r="F793" s="159"/>
      <c r="G793" s="145">
        <f t="shared" si="39"/>
        <v>0</v>
      </c>
      <c r="H793" s="140" t="str">
        <f t="shared" si="38"/>
        <v/>
      </c>
      <c r="J793" s="147" t="str">
        <f>IFERROR(SUMIFS(当年实际!$V:$V,当年实际!$F:$F,$C793,当年实际!$C:$C,"&gt;="&amp;DATE(YEAR(主页!$D$2),1,1),当年实际!$C:$C,"&lt;="&amp;EOMONTH(DATE(YEAR(主页!$D$2),MONTH(主页!$D$2),1),0))/SUMIFS(当年实际!$P:$P,当年实际!$F:$F,$C793,当年实际!$C:$C,"&gt;="&amp;DATE(YEAR(主页!$D$2),1,1),当年实际!$C:$C,"&lt;="&amp;EOMONTH(DATE(YEAR(主页!$D$2),MONTH(主页!$D$2),1),0)),"")</f>
        <v/>
      </c>
    </row>
    <row r="794" spans="1:10" x14ac:dyDescent="0.3">
      <c r="A794" s="150"/>
      <c r="B794" s="150"/>
      <c r="C794" s="150"/>
      <c r="D794" s="150"/>
      <c r="E794" s="140" t="str">
        <f t="shared" si="37"/>
        <v/>
      </c>
      <c r="F794" s="159"/>
      <c r="G794" s="145">
        <f t="shared" si="39"/>
        <v>0</v>
      </c>
      <c r="H794" s="140" t="str">
        <f t="shared" si="38"/>
        <v/>
      </c>
      <c r="J794" s="147" t="str">
        <f>IFERROR(SUMIFS(当年实际!$V:$V,当年实际!$F:$F,$C794,当年实际!$C:$C,"&gt;="&amp;DATE(YEAR(主页!$D$2),1,1),当年实际!$C:$C,"&lt;="&amp;EOMONTH(DATE(YEAR(主页!$D$2),MONTH(主页!$D$2),1),0))/SUMIFS(当年实际!$P:$P,当年实际!$F:$F,$C794,当年实际!$C:$C,"&gt;="&amp;DATE(YEAR(主页!$D$2),1,1),当年实际!$C:$C,"&lt;="&amp;EOMONTH(DATE(YEAR(主页!$D$2),MONTH(主页!$D$2),1),0)),"")</f>
        <v/>
      </c>
    </row>
    <row r="795" spans="1:10" x14ac:dyDescent="0.3">
      <c r="A795" s="150"/>
      <c r="B795" s="150"/>
      <c r="C795" s="150"/>
      <c r="D795" s="150"/>
      <c r="E795" s="140" t="str">
        <f t="shared" si="37"/>
        <v/>
      </c>
      <c r="F795" s="159"/>
      <c r="G795" s="145">
        <f t="shared" si="39"/>
        <v>0</v>
      </c>
      <c r="H795" s="140" t="str">
        <f t="shared" si="38"/>
        <v/>
      </c>
      <c r="J795" s="147" t="str">
        <f>IFERROR(SUMIFS(当年实际!$V:$V,当年实际!$F:$F,$C795,当年实际!$C:$C,"&gt;="&amp;DATE(YEAR(主页!$D$2),1,1),当年实际!$C:$C,"&lt;="&amp;EOMONTH(DATE(YEAR(主页!$D$2),MONTH(主页!$D$2),1),0))/SUMIFS(当年实际!$P:$P,当年实际!$F:$F,$C795,当年实际!$C:$C,"&gt;="&amp;DATE(YEAR(主页!$D$2),1,1),当年实际!$C:$C,"&lt;="&amp;EOMONTH(DATE(YEAR(主页!$D$2),MONTH(主页!$D$2),1),0)),"")</f>
        <v/>
      </c>
    </row>
    <row r="796" spans="1:10" x14ac:dyDescent="0.3">
      <c r="A796" s="150"/>
      <c r="B796" s="150"/>
      <c r="C796" s="150"/>
      <c r="D796" s="150"/>
      <c r="E796" s="140" t="str">
        <f t="shared" si="37"/>
        <v/>
      </c>
      <c r="F796" s="159"/>
      <c r="G796" s="145">
        <f t="shared" si="39"/>
        <v>0</v>
      </c>
      <c r="H796" s="140" t="str">
        <f t="shared" si="38"/>
        <v/>
      </c>
      <c r="J796" s="147" t="str">
        <f>IFERROR(SUMIFS(当年实际!$V:$V,当年实际!$F:$F,$C796,当年实际!$C:$C,"&gt;="&amp;DATE(YEAR(主页!$D$2),1,1),当年实际!$C:$C,"&lt;="&amp;EOMONTH(DATE(YEAR(主页!$D$2),MONTH(主页!$D$2),1),0))/SUMIFS(当年实际!$P:$P,当年实际!$F:$F,$C796,当年实际!$C:$C,"&gt;="&amp;DATE(YEAR(主页!$D$2),1,1),当年实际!$C:$C,"&lt;="&amp;EOMONTH(DATE(YEAR(主页!$D$2),MONTH(主页!$D$2),1),0)),"")</f>
        <v/>
      </c>
    </row>
    <row r="797" spans="1:10" x14ac:dyDescent="0.3">
      <c r="A797" s="150"/>
      <c r="B797" s="150"/>
      <c r="C797" s="150"/>
      <c r="D797" s="150"/>
      <c r="E797" s="140" t="str">
        <f t="shared" si="37"/>
        <v/>
      </c>
      <c r="F797" s="159"/>
      <c r="G797" s="145">
        <f t="shared" si="39"/>
        <v>0</v>
      </c>
      <c r="H797" s="140" t="str">
        <f t="shared" si="38"/>
        <v/>
      </c>
      <c r="J797" s="147" t="str">
        <f>IFERROR(SUMIFS(当年实际!$V:$V,当年实际!$F:$F,$C797,当年实际!$C:$C,"&gt;="&amp;DATE(YEAR(主页!$D$2),1,1),当年实际!$C:$C,"&lt;="&amp;EOMONTH(DATE(YEAR(主页!$D$2),MONTH(主页!$D$2),1),0))/SUMIFS(当年实际!$P:$P,当年实际!$F:$F,$C797,当年实际!$C:$C,"&gt;="&amp;DATE(YEAR(主页!$D$2),1,1),当年实际!$C:$C,"&lt;="&amp;EOMONTH(DATE(YEAR(主页!$D$2),MONTH(主页!$D$2),1),0)),"")</f>
        <v/>
      </c>
    </row>
    <row r="798" spans="1:10" x14ac:dyDescent="0.3">
      <c r="A798" s="150"/>
      <c r="B798" s="150"/>
      <c r="C798" s="150"/>
      <c r="D798" s="150"/>
      <c r="E798" s="140" t="str">
        <f t="shared" si="37"/>
        <v/>
      </c>
      <c r="F798" s="159"/>
      <c r="G798" s="145">
        <f t="shared" si="39"/>
        <v>0</v>
      </c>
      <c r="H798" s="140" t="str">
        <f t="shared" si="38"/>
        <v/>
      </c>
      <c r="J798" s="147" t="str">
        <f>IFERROR(SUMIFS(当年实际!$V:$V,当年实际!$F:$F,$C798,当年实际!$C:$C,"&gt;="&amp;DATE(YEAR(主页!$D$2),1,1),当年实际!$C:$C,"&lt;="&amp;EOMONTH(DATE(YEAR(主页!$D$2),MONTH(主页!$D$2),1),0))/SUMIFS(当年实际!$P:$P,当年实际!$F:$F,$C798,当年实际!$C:$C,"&gt;="&amp;DATE(YEAR(主页!$D$2),1,1),当年实际!$C:$C,"&lt;="&amp;EOMONTH(DATE(YEAR(主页!$D$2),MONTH(主页!$D$2),1),0)),"")</f>
        <v/>
      </c>
    </row>
    <row r="799" spans="1:10" x14ac:dyDescent="0.3">
      <c r="A799" s="150"/>
      <c r="B799" s="150"/>
      <c r="C799" s="150"/>
      <c r="D799" s="150"/>
      <c r="E799" s="140" t="str">
        <f t="shared" si="37"/>
        <v/>
      </c>
      <c r="F799" s="159"/>
      <c r="G799" s="145">
        <f t="shared" si="39"/>
        <v>0</v>
      </c>
      <c r="H799" s="140" t="str">
        <f t="shared" si="38"/>
        <v/>
      </c>
      <c r="J799" s="147" t="str">
        <f>IFERROR(SUMIFS(当年实际!$V:$V,当年实际!$F:$F,$C799,当年实际!$C:$C,"&gt;="&amp;DATE(YEAR(主页!$D$2),1,1),当年实际!$C:$C,"&lt;="&amp;EOMONTH(DATE(YEAR(主页!$D$2),MONTH(主页!$D$2),1),0))/SUMIFS(当年实际!$P:$P,当年实际!$F:$F,$C799,当年实际!$C:$C,"&gt;="&amp;DATE(YEAR(主页!$D$2),1,1),当年实际!$C:$C,"&lt;="&amp;EOMONTH(DATE(YEAR(主页!$D$2),MONTH(主页!$D$2),1),0)),"")</f>
        <v/>
      </c>
    </row>
    <row r="800" spans="1:10" x14ac:dyDescent="0.3">
      <c r="A800" s="150"/>
      <c r="B800" s="150"/>
      <c r="C800" s="150"/>
      <c r="D800" s="150"/>
      <c r="E800" s="140" t="str">
        <f t="shared" si="37"/>
        <v/>
      </c>
      <c r="F800" s="159"/>
      <c r="G800" s="145">
        <f t="shared" si="39"/>
        <v>0</v>
      </c>
      <c r="H800" s="140" t="str">
        <f t="shared" si="38"/>
        <v/>
      </c>
      <c r="J800" s="147" t="str">
        <f>IFERROR(SUMIFS(当年实际!$V:$V,当年实际!$F:$F,$C800,当年实际!$C:$C,"&gt;="&amp;DATE(YEAR(主页!$D$2),1,1),当年实际!$C:$C,"&lt;="&amp;EOMONTH(DATE(YEAR(主页!$D$2),MONTH(主页!$D$2),1),0))/SUMIFS(当年实际!$P:$P,当年实际!$F:$F,$C800,当年实际!$C:$C,"&gt;="&amp;DATE(YEAR(主页!$D$2),1,1),当年实际!$C:$C,"&lt;="&amp;EOMONTH(DATE(YEAR(主页!$D$2),MONTH(主页!$D$2),1),0)),"")</f>
        <v/>
      </c>
    </row>
    <row r="801" spans="1:10" x14ac:dyDescent="0.3">
      <c r="A801" s="150"/>
      <c r="B801" s="150"/>
      <c r="C801" s="150"/>
      <c r="D801" s="150"/>
      <c r="E801" s="140" t="str">
        <f t="shared" si="37"/>
        <v/>
      </c>
      <c r="F801" s="159"/>
      <c r="G801" s="145">
        <f t="shared" si="39"/>
        <v>0</v>
      </c>
      <c r="H801" s="140" t="str">
        <f t="shared" si="38"/>
        <v/>
      </c>
      <c r="J801" s="147" t="str">
        <f>IFERROR(SUMIFS(当年实际!$V:$V,当年实际!$F:$F,$C801,当年实际!$C:$C,"&gt;="&amp;DATE(YEAR(主页!$D$2),1,1),当年实际!$C:$C,"&lt;="&amp;EOMONTH(DATE(YEAR(主页!$D$2),MONTH(主页!$D$2),1),0))/SUMIFS(当年实际!$P:$P,当年实际!$F:$F,$C801,当年实际!$C:$C,"&gt;="&amp;DATE(YEAR(主页!$D$2),1,1),当年实际!$C:$C,"&lt;="&amp;EOMONTH(DATE(YEAR(主页!$D$2),MONTH(主页!$D$2),1),0)),"")</f>
        <v/>
      </c>
    </row>
    <row r="802" spans="1:10" x14ac:dyDescent="0.3">
      <c r="A802" s="150"/>
      <c r="B802" s="150"/>
      <c r="C802" s="150"/>
      <c r="D802" s="150"/>
      <c r="E802" s="140" t="str">
        <f t="shared" si="37"/>
        <v/>
      </c>
      <c r="F802" s="159"/>
      <c r="G802" s="145">
        <f t="shared" si="39"/>
        <v>0</v>
      </c>
      <c r="H802" s="140" t="str">
        <f t="shared" si="38"/>
        <v/>
      </c>
      <c r="J802" s="147" t="str">
        <f>IFERROR(SUMIFS(当年实际!$V:$V,当年实际!$F:$F,$C802,当年实际!$C:$C,"&gt;="&amp;DATE(YEAR(主页!$D$2),1,1),当年实际!$C:$C,"&lt;="&amp;EOMONTH(DATE(YEAR(主页!$D$2),MONTH(主页!$D$2),1),0))/SUMIFS(当年实际!$P:$P,当年实际!$F:$F,$C802,当年实际!$C:$C,"&gt;="&amp;DATE(YEAR(主页!$D$2),1,1),当年实际!$C:$C,"&lt;="&amp;EOMONTH(DATE(YEAR(主页!$D$2),MONTH(主页!$D$2),1),0)),"")</f>
        <v/>
      </c>
    </row>
    <row r="803" spans="1:10" x14ac:dyDescent="0.3">
      <c r="A803" s="150"/>
      <c r="B803" s="150"/>
      <c r="C803" s="150"/>
      <c r="D803" s="150"/>
      <c r="E803" s="140" t="str">
        <f t="shared" si="37"/>
        <v/>
      </c>
      <c r="F803" s="159"/>
      <c r="G803" s="145">
        <f t="shared" si="39"/>
        <v>0</v>
      </c>
      <c r="H803" s="140" t="str">
        <f t="shared" si="38"/>
        <v/>
      </c>
      <c r="J803" s="147" t="str">
        <f>IFERROR(SUMIFS(当年实际!$V:$V,当年实际!$F:$F,$C803,当年实际!$C:$C,"&gt;="&amp;DATE(YEAR(主页!$D$2),1,1),当年实际!$C:$C,"&lt;="&amp;EOMONTH(DATE(YEAR(主页!$D$2),MONTH(主页!$D$2),1),0))/SUMIFS(当年实际!$P:$P,当年实际!$F:$F,$C803,当年实际!$C:$C,"&gt;="&amp;DATE(YEAR(主页!$D$2),1,1),当年实际!$C:$C,"&lt;="&amp;EOMONTH(DATE(YEAR(主页!$D$2),MONTH(主页!$D$2),1),0)),"")</f>
        <v/>
      </c>
    </row>
    <row r="804" spans="1:10" x14ac:dyDescent="0.3">
      <c r="A804" s="150"/>
      <c r="B804" s="150"/>
      <c r="C804" s="150"/>
      <c r="D804" s="150"/>
      <c r="E804" s="140" t="str">
        <f t="shared" si="37"/>
        <v/>
      </c>
      <c r="F804" s="159"/>
      <c r="G804" s="145">
        <f t="shared" si="39"/>
        <v>0</v>
      </c>
      <c r="H804" s="140" t="str">
        <f t="shared" si="38"/>
        <v/>
      </c>
      <c r="J804" s="147" t="str">
        <f>IFERROR(SUMIFS(当年实际!$V:$V,当年实际!$F:$F,$C804,当年实际!$C:$C,"&gt;="&amp;DATE(YEAR(主页!$D$2),1,1),当年实际!$C:$C,"&lt;="&amp;EOMONTH(DATE(YEAR(主页!$D$2),MONTH(主页!$D$2),1),0))/SUMIFS(当年实际!$P:$P,当年实际!$F:$F,$C804,当年实际!$C:$C,"&gt;="&amp;DATE(YEAR(主页!$D$2),1,1),当年实际!$C:$C,"&lt;="&amp;EOMONTH(DATE(YEAR(主页!$D$2),MONTH(主页!$D$2),1),0)),"")</f>
        <v/>
      </c>
    </row>
    <row r="805" spans="1:10" x14ac:dyDescent="0.3">
      <c r="A805" s="150"/>
      <c r="B805" s="150"/>
      <c r="C805" s="150"/>
      <c r="D805" s="150"/>
      <c r="E805" s="140" t="str">
        <f t="shared" si="37"/>
        <v/>
      </c>
      <c r="F805" s="159"/>
      <c r="G805" s="145">
        <f t="shared" si="39"/>
        <v>0</v>
      </c>
      <c r="H805" s="140" t="str">
        <f t="shared" si="38"/>
        <v/>
      </c>
      <c r="J805" s="147" t="str">
        <f>IFERROR(SUMIFS(当年实际!$V:$V,当年实际!$F:$F,$C805,当年实际!$C:$C,"&gt;="&amp;DATE(YEAR(主页!$D$2),1,1),当年实际!$C:$C,"&lt;="&amp;EOMONTH(DATE(YEAR(主页!$D$2),MONTH(主页!$D$2),1),0))/SUMIFS(当年实际!$P:$P,当年实际!$F:$F,$C805,当年实际!$C:$C,"&gt;="&amp;DATE(YEAR(主页!$D$2),1,1),当年实际!$C:$C,"&lt;="&amp;EOMONTH(DATE(YEAR(主页!$D$2),MONTH(主页!$D$2),1),0)),"")</f>
        <v/>
      </c>
    </row>
    <row r="806" spans="1:10" x14ac:dyDescent="0.3">
      <c r="A806" s="150"/>
      <c r="B806" s="150"/>
      <c r="C806" s="150"/>
      <c r="D806" s="150"/>
      <c r="E806" s="140" t="str">
        <f t="shared" si="37"/>
        <v/>
      </c>
      <c r="F806" s="159"/>
      <c r="G806" s="145">
        <f t="shared" si="39"/>
        <v>0</v>
      </c>
      <c r="H806" s="140" t="str">
        <f t="shared" si="38"/>
        <v/>
      </c>
      <c r="J806" s="147" t="str">
        <f>IFERROR(SUMIFS(当年实际!$V:$V,当年实际!$F:$F,$C806,当年实际!$C:$C,"&gt;="&amp;DATE(YEAR(主页!$D$2),1,1),当年实际!$C:$C,"&lt;="&amp;EOMONTH(DATE(YEAR(主页!$D$2),MONTH(主页!$D$2),1),0))/SUMIFS(当年实际!$P:$P,当年实际!$F:$F,$C806,当年实际!$C:$C,"&gt;="&amp;DATE(YEAR(主页!$D$2),1,1),当年实际!$C:$C,"&lt;="&amp;EOMONTH(DATE(YEAR(主页!$D$2),MONTH(主页!$D$2),1),0)),"")</f>
        <v/>
      </c>
    </row>
    <row r="807" spans="1:10" x14ac:dyDescent="0.3">
      <c r="A807" s="150"/>
      <c r="B807" s="150"/>
      <c r="C807" s="150"/>
      <c r="D807" s="150"/>
      <c r="E807" s="140" t="str">
        <f t="shared" si="37"/>
        <v/>
      </c>
      <c r="F807" s="159"/>
      <c r="G807" s="145">
        <f t="shared" si="39"/>
        <v>0</v>
      </c>
      <c r="H807" s="140" t="str">
        <f t="shared" si="38"/>
        <v/>
      </c>
      <c r="J807" s="147" t="str">
        <f>IFERROR(SUMIFS(当年实际!$V:$V,当年实际!$F:$F,$C807,当年实际!$C:$C,"&gt;="&amp;DATE(YEAR(主页!$D$2),1,1),当年实际!$C:$C,"&lt;="&amp;EOMONTH(DATE(YEAR(主页!$D$2),MONTH(主页!$D$2),1),0))/SUMIFS(当年实际!$P:$P,当年实际!$F:$F,$C807,当年实际!$C:$C,"&gt;="&amp;DATE(YEAR(主页!$D$2),1,1),当年实际!$C:$C,"&lt;="&amp;EOMONTH(DATE(YEAR(主页!$D$2),MONTH(主页!$D$2),1),0)),"")</f>
        <v/>
      </c>
    </row>
    <row r="808" spans="1:10" x14ac:dyDescent="0.3">
      <c r="A808" s="150"/>
      <c r="B808" s="150"/>
      <c r="C808" s="150"/>
      <c r="D808" s="150"/>
      <c r="E808" s="140" t="str">
        <f t="shared" si="37"/>
        <v/>
      </c>
      <c r="F808" s="159"/>
      <c r="G808" s="145">
        <f t="shared" si="39"/>
        <v>0</v>
      </c>
      <c r="H808" s="140" t="str">
        <f t="shared" si="38"/>
        <v/>
      </c>
      <c r="J808" s="147" t="str">
        <f>IFERROR(SUMIFS(当年实际!$V:$V,当年实际!$F:$F,$C808,当年实际!$C:$C,"&gt;="&amp;DATE(YEAR(主页!$D$2),1,1),当年实际!$C:$C,"&lt;="&amp;EOMONTH(DATE(YEAR(主页!$D$2),MONTH(主页!$D$2),1),0))/SUMIFS(当年实际!$P:$P,当年实际!$F:$F,$C808,当年实际!$C:$C,"&gt;="&amp;DATE(YEAR(主页!$D$2),1,1),当年实际!$C:$C,"&lt;="&amp;EOMONTH(DATE(YEAR(主页!$D$2),MONTH(主页!$D$2),1),0)),"")</f>
        <v/>
      </c>
    </row>
    <row r="809" spans="1:10" x14ac:dyDescent="0.3">
      <c r="A809" s="150"/>
      <c r="B809" s="150"/>
      <c r="C809" s="150"/>
      <c r="D809" s="150"/>
      <c r="E809" s="140" t="str">
        <f t="shared" si="37"/>
        <v/>
      </c>
      <c r="F809" s="159"/>
      <c r="G809" s="145">
        <f t="shared" si="39"/>
        <v>0</v>
      </c>
      <c r="H809" s="140" t="str">
        <f t="shared" si="38"/>
        <v/>
      </c>
      <c r="J809" s="147" t="str">
        <f>IFERROR(SUMIFS(当年实际!$V:$V,当年实际!$F:$F,$C809,当年实际!$C:$C,"&gt;="&amp;DATE(YEAR(主页!$D$2),1,1),当年实际!$C:$C,"&lt;="&amp;EOMONTH(DATE(YEAR(主页!$D$2),MONTH(主页!$D$2),1),0))/SUMIFS(当年实际!$P:$P,当年实际!$F:$F,$C809,当年实际!$C:$C,"&gt;="&amp;DATE(YEAR(主页!$D$2),1,1),当年实际!$C:$C,"&lt;="&amp;EOMONTH(DATE(YEAR(主页!$D$2),MONTH(主页!$D$2),1),0)),"")</f>
        <v/>
      </c>
    </row>
    <row r="810" spans="1:10" x14ac:dyDescent="0.3">
      <c r="A810" s="150"/>
      <c r="B810" s="150"/>
      <c r="C810" s="150"/>
      <c r="D810" s="150"/>
      <c r="E810" s="140" t="str">
        <f t="shared" si="37"/>
        <v/>
      </c>
      <c r="F810" s="159"/>
      <c r="G810" s="145">
        <f t="shared" si="39"/>
        <v>0</v>
      </c>
      <c r="H810" s="140" t="str">
        <f t="shared" si="38"/>
        <v/>
      </c>
      <c r="J810" s="147" t="str">
        <f>IFERROR(SUMIFS(当年实际!$V:$V,当年实际!$F:$F,$C810,当年实际!$C:$C,"&gt;="&amp;DATE(YEAR(主页!$D$2),1,1),当年实际!$C:$C,"&lt;="&amp;EOMONTH(DATE(YEAR(主页!$D$2),MONTH(主页!$D$2),1),0))/SUMIFS(当年实际!$P:$P,当年实际!$F:$F,$C810,当年实际!$C:$C,"&gt;="&amp;DATE(YEAR(主页!$D$2),1,1),当年实际!$C:$C,"&lt;="&amp;EOMONTH(DATE(YEAR(主页!$D$2),MONTH(主页!$D$2),1),0)),"")</f>
        <v/>
      </c>
    </row>
    <row r="811" spans="1:10" x14ac:dyDescent="0.3">
      <c r="A811" s="150"/>
      <c r="B811" s="150"/>
      <c r="C811" s="150"/>
      <c r="D811" s="150"/>
      <c r="E811" s="140" t="str">
        <f t="shared" si="37"/>
        <v/>
      </c>
      <c r="F811" s="159"/>
      <c r="G811" s="145">
        <f t="shared" si="39"/>
        <v>0</v>
      </c>
      <c r="H811" s="140" t="str">
        <f t="shared" si="38"/>
        <v/>
      </c>
      <c r="J811" s="147" t="str">
        <f>IFERROR(SUMIFS(当年实际!$V:$V,当年实际!$F:$F,$C811,当年实际!$C:$C,"&gt;="&amp;DATE(YEAR(主页!$D$2),1,1),当年实际!$C:$C,"&lt;="&amp;EOMONTH(DATE(YEAR(主页!$D$2),MONTH(主页!$D$2),1),0))/SUMIFS(当年实际!$P:$P,当年实际!$F:$F,$C811,当年实际!$C:$C,"&gt;="&amp;DATE(YEAR(主页!$D$2),1,1),当年实际!$C:$C,"&lt;="&amp;EOMONTH(DATE(YEAR(主页!$D$2),MONTH(主页!$D$2),1),0)),"")</f>
        <v/>
      </c>
    </row>
    <row r="812" spans="1:10" x14ac:dyDescent="0.3">
      <c r="A812" s="150"/>
      <c r="B812" s="150"/>
      <c r="C812" s="150"/>
      <c r="D812" s="150"/>
      <c r="E812" s="140" t="str">
        <f t="shared" si="37"/>
        <v/>
      </c>
      <c r="F812" s="159"/>
      <c r="G812" s="145">
        <f t="shared" si="39"/>
        <v>0</v>
      </c>
      <c r="H812" s="140" t="str">
        <f t="shared" si="38"/>
        <v/>
      </c>
      <c r="J812" s="147" t="str">
        <f>IFERROR(SUMIFS(当年实际!$V:$V,当年实际!$F:$F,$C812,当年实际!$C:$C,"&gt;="&amp;DATE(YEAR(主页!$D$2),1,1),当年实际!$C:$C,"&lt;="&amp;EOMONTH(DATE(YEAR(主页!$D$2),MONTH(主页!$D$2),1),0))/SUMIFS(当年实际!$P:$P,当年实际!$F:$F,$C812,当年实际!$C:$C,"&gt;="&amp;DATE(YEAR(主页!$D$2),1,1),当年实际!$C:$C,"&lt;="&amp;EOMONTH(DATE(YEAR(主页!$D$2),MONTH(主页!$D$2),1),0)),"")</f>
        <v/>
      </c>
    </row>
    <row r="813" spans="1:10" x14ac:dyDescent="0.3">
      <c r="A813" s="150"/>
      <c r="B813" s="150"/>
      <c r="C813" s="150"/>
      <c r="D813" s="150"/>
      <c r="E813" s="140" t="str">
        <f t="shared" si="37"/>
        <v/>
      </c>
      <c r="F813" s="159"/>
      <c r="G813" s="145">
        <f t="shared" si="39"/>
        <v>0</v>
      </c>
      <c r="H813" s="140" t="str">
        <f t="shared" si="38"/>
        <v/>
      </c>
      <c r="J813" s="147" t="str">
        <f>IFERROR(SUMIFS(当年实际!$V:$V,当年实际!$F:$F,$C813,当年实际!$C:$C,"&gt;="&amp;DATE(YEAR(主页!$D$2),1,1),当年实际!$C:$C,"&lt;="&amp;EOMONTH(DATE(YEAR(主页!$D$2),MONTH(主页!$D$2),1),0))/SUMIFS(当年实际!$P:$P,当年实际!$F:$F,$C813,当年实际!$C:$C,"&gt;="&amp;DATE(YEAR(主页!$D$2),1,1),当年实际!$C:$C,"&lt;="&amp;EOMONTH(DATE(YEAR(主页!$D$2),MONTH(主页!$D$2),1),0)),"")</f>
        <v/>
      </c>
    </row>
    <row r="814" spans="1:10" x14ac:dyDescent="0.3">
      <c r="A814" s="150"/>
      <c r="B814" s="150"/>
      <c r="C814" s="150"/>
      <c r="D814" s="150"/>
      <c r="E814" s="140" t="str">
        <f t="shared" si="37"/>
        <v/>
      </c>
      <c r="F814" s="159"/>
      <c r="G814" s="145">
        <f t="shared" si="39"/>
        <v>0</v>
      </c>
      <c r="H814" s="140" t="str">
        <f t="shared" si="38"/>
        <v/>
      </c>
      <c r="J814" s="147" t="str">
        <f>IFERROR(SUMIFS(当年实际!$V:$V,当年实际!$F:$F,$C814,当年实际!$C:$C,"&gt;="&amp;DATE(YEAR(主页!$D$2),1,1),当年实际!$C:$C,"&lt;="&amp;EOMONTH(DATE(YEAR(主页!$D$2),MONTH(主页!$D$2),1),0))/SUMIFS(当年实际!$P:$P,当年实际!$F:$F,$C814,当年实际!$C:$C,"&gt;="&amp;DATE(YEAR(主页!$D$2),1,1),当年实际!$C:$C,"&lt;="&amp;EOMONTH(DATE(YEAR(主页!$D$2),MONTH(主页!$D$2),1),0)),"")</f>
        <v/>
      </c>
    </row>
    <row r="815" spans="1:10" x14ac:dyDescent="0.3">
      <c r="A815" s="150"/>
      <c r="B815" s="150"/>
      <c r="C815" s="150"/>
      <c r="D815" s="150"/>
      <c r="E815" s="140" t="str">
        <f t="shared" si="37"/>
        <v/>
      </c>
      <c r="F815" s="159"/>
      <c r="G815" s="145">
        <f t="shared" si="39"/>
        <v>0</v>
      </c>
      <c r="H815" s="140" t="str">
        <f t="shared" si="38"/>
        <v/>
      </c>
      <c r="J815" s="147" t="str">
        <f>IFERROR(SUMIFS(当年实际!$V:$V,当年实际!$F:$F,$C815,当年实际!$C:$C,"&gt;="&amp;DATE(YEAR(主页!$D$2),1,1),当年实际!$C:$C,"&lt;="&amp;EOMONTH(DATE(YEAR(主页!$D$2),MONTH(主页!$D$2),1),0))/SUMIFS(当年实际!$P:$P,当年实际!$F:$F,$C815,当年实际!$C:$C,"&gt;="&amp;DATE(YEAR(主页!$D$2),1,1),当年实际!$C:$C,"&lt;="&amp;EOMONTH(DATE(YEAR(主页!$D$2),MONTH(主页!$D$2),1),0)),"")</f>
        <v/>
      </c>
    </row>
    <row r="816" spans="1:10" x14ac:dyDescent="0.3">
      <c r="A816" s="150"/>
      <c r="B816" s="150"/>
      <c r="C816" s="150"/>
      <c r="D816" s="150"/>
      <c r="E816" s="140" t="str">
        <f t="shared" si="37"/>
        <v/>
      </c>
      <c r="F816" s="159"/>
      <c r="G816" s="145">
        <f t="shared" si="39"/>
        <v>0</v>
      </c>
      <c r="H816" s="140" t="str">
        <f t="shared" si="38"/>
        <v/>
      </c>
      <c r="J816" s="147" t="str">
        <f>IFERROR(SUMIFS(当年实际!$V:$V,当年实际!$F:$F,$C816,当年实际!$C:$C,"&gt;="&amp;DATE(YEAR(主页!$D$2),1,1),当年实际!$C:$C,"&lt;="&amp;EOMONTH(DATE(YEAR(主页!$D$2),MONTH(主页!$D$2),1),0))/SUMIFS(当年实际!$P:$P,当年实际!$F:$F,$C816,当年实际!$C:$C,"&gt;="&amp;DATE(YEAR(主页!$D$2),1,1),当年实际!$C:$C,"&lt;="&amp;EOMONTH(DATE(YEAR(主页!$D$2),MONTH(主页!$D$2),1),0)),"")</f>
        <v/>
      </c>
    </row>
    <row r="817" spans="1:10" x14ac:dyDescent="0.3">
      <c r="A817" s="150"/>
      <c r="B817" s="150"/>
      <c r="C817" s="150"/>
      <c r="D817" s="150"/>
      <c r="E817" s="140" t="str">
        <f t="shared" si="37"/>
        <v/>
      </c>
      <c r="F817" s="159"/>
      <c r="G817" s="145">
        <f t="shared" si="39"/>
        <v>0</v>
      </c>
      <c r="H817" s="140" t="str">
        <f t="shared" si="38"/>
        <v/>
      </c>
      <c r="J817" s="147" t="str">
        <f>IFERROR(SUMIFS(当年实际!$V:$V,当年实际!$F:$F,$C817,当年实际!$C:$C,"&gt;="&amp;DATE(YEAR(主页!$D$2),1,1),当年实际!$C:$C,"&lt;="&amp;EOMONTH(DATE(YEAR(主页!$D$2),MONTH(主页!$D$2),1),0))/SUMIFS(当年实际!$P:$P,当年实际!$F:$F,$C817,当年实际!$C:$C,"&gt;="&amp;DATE(YEAR(主页!$D$2),1,1),当年实际!$C:$C,"&lt;="&amp;EOMONTH(DATE(YEAR(主页!$D$2),MONTH(主页!$D$2),1),0)),"")</f>
        <v/>
      </c>
    </row>
    <row r="818" spans="1:10" x14ac:dyDescent="0.3">
      <c r="A818" s="150"/>
      <c r="B818" s="150"/>
      <c r="C818" s="150"/>
      <c r="D818" s="150"/>
      <c r="E818" s="140" t="str">
        <f t="shared" si="37"/>
        <v/>
      </c>
      <c r="F818" s="159"/>
      <c r="G818" s="145">
        <f t="shared" si="39"/>
        <v>0</v>
      </c>
      <c r="H818" s="140" t="str">
        <f t="shared" si="38"/>
        <v/>
      </c>
      <c r="J818" s="147" t="str">
        <f>IFERROR(SUMIFS(当年实际!$V:$V,当年实际!$F:$F,$C818,当年实际!$C:$C,"&gt;="&amp;DATE(YEAR(主页!$D$2),1,1),当年实际!$C:$C,"&lt;="&amp;EOMONTH(DATE(YEAR(主页!$D$2),MONTH(主页!$D$2),1),0))/SUMIFS(当年实际!$P:$P,当年实际!$F:$F,$C818,当年实际!$C:$C,"&gt;="&amp;DATE(YEAR(主页!$D$2),1,1),当年实际!$C:$C,"&lt;="&amp;EOMONTH(DATE(YEAR(主页!$D$2),MONTH(主页!$D$2),1),0)),"")</f>
        <v/>
      </c>
    </row>
    <row r="819" spans="1:10" x14ac:dyDescent="0.3">
      <c r="A819" s="150"/>
      <c r="B819" s="150"/>
      <c r="C819" s="150"/>
      <c r="D819" s="150"/>
      <c r="E819" s="140" t="str">
        <f t="shared" si="37"/>
        <v/>
      </c>
      <c r="F819" s="159"/>
      <c r="G819" s="145">
        <f t="shared" si="39"/>
        <v>0</v>
      </c>
      <c r="H819" s="140" t="str">
        <f t="shared" si="38"/>
        <v/>
      </c>
      <c r="J819" s="147" t="str">
        <f>IFERROR(SUMIFS(当年实际!$V:$V,当年实际!$F:$F,$C819,当年实际!$C:$C,"&gt;="&amp;DATE(YEAR(主页!$D$2),1,1),当年实际!$C:$C,"&lt;="&amp;EOMONTH(DATE(YEAR(主页!$D$2),MONTH(主页!$D$2),1),0))/SUMIFS(当年实际!$P:$P,当年实际!$F:$F,$C819,当年实际!$C:$C,"&gt;="&amp;DATE(YEAR(主页!$D$2),1,1),当年实际!$C:$C,"&lt;="&amp;EOMONTH(DATE(YEAR(主页!$D$2),MONTH(主页!$D$2),1),0)),"")</f>
        <v/>
      </c>
    </row>
    <row r="820" spans="1:10" x14ac:dyDescent="0.3">
      <c r="A820" s="150"/>
      <c r="B820" s="150"/>
      <c r="C820" s="150"/>
      <c r="D820" s="150"/>
      <c r="E820" s="140" t="str">
        <f t="shared" si="37"/>
        <v/>
      </c>
      <c r="F820" s="159"/>
      <c r="G820" s="145">
        <f t="shared" si="39"/>
        <v>0</v>
      </c>
      <c r="H820" s="140" t="str">
        <f t="shared" si="38"/>
        <v/>
      </c>
      <c r="J820" s="147" t="str">
        <f>IFERROR(SUMIFS(当年实际!$V:$V,当年实际!$F:$F,$C820,当年实际!$C:$C,"&gt;="&amp;DATE(YEAR(主页!$D$2),1,1),当年实际!$C:$C,"&lt;="&amp;EOMONTH(DATE(YEAR(主页!$D$2),MONTH(主页!$D$2),1),0))/SUMIFS(当年实际!$P:$P,当年实际!$F:$F,$C820,当年实际!$C:$C,"&gt;="&amp;DATE(YEAR(主页!$D$2),1,1),当年实际!$C:$C,"&lt;="&amp;EOMONTH(DATE(YEAR(主页!$D$2),MONTH(主页!$D$2),1),0)),"")</f>
        <v/>
      </c>
    </row>
    <row r="821" spans="1:10" x14ac:dyDescent="0.3">
      <c r="A821" s="150"/>
      <c r="B821" s="150"/>
      <c r="C821" s="150"/>
      <c r="D821" s="150"/>
      <c r="E821" s="140" t="str">
        <f t="shared" si="37"/>
        <v/>
      </c>
      <c r="F821" s="159"/>
      <c r="G821" s="145">
        <f t="shared" si="39"/>
        <v>0</v>
      </c>
      <c r="H821" s="140" t="str">
        <f t="shared" si="38"/>
        <v/>
      </c>
      <c r="J821" s="147" t="str">
        <f>IFERROR(SUMIFS(当年实际!$V:$V,当年实际!$F:$F,$C821,当年实际!$C:$C,"&gt;="&amp;DATE(YEAR(主页!$D$2),1,1),当年实际!$C:$C,"&lt;="&amp;EOMONTH(DATE(YEAR(主页!$D$2),MONTH(主页!$D$2),1),0))/SUMIFS(当年实际!$P:$P,当年实际!$F:$F,$C821,当年实际!$C:$C,"&gt;="&amp;DATE(YEAR(主页!$D$2),1,1),当年实际!$C:$C,"&lt;="&amp;EOMONTH(DATE(YEAR(主页!$D$2),MONTH(主页!$D$2),1),0)),"")</f>
        <v/>
      </c>
    </row>
    <row r="822" spans="1:10" x14ac:dyDescent="0.3">
      <c r="A822" s="150"/>
      <c r="B822" s="150"/>
      <c r="C822" s="150"/>
      <c r="D822" s="150"/>
      <c r="E822" s="140" t="str">
        <f t="shared" si="37"/>
        <v/>
      </c>
      <c r="F822" s="159"/>
      <c r="G822" s="145">
        <f t="shared" si="39"/>
        <v>0</v>
      </c>
      <c r="H822" s="140" t="str">
        <f t="shared" si="38"/>
        <v/>
      </c>
      <c r="J822" s="147" t="str">
        <f>IFERROR(SUMIFS(当年实际!$V:$V,当年实际!$F:$F,$C822,当年实际!$C:$C,"&gt;="&amp;DATE(YEAR(主页!$D$2),1,1),当年实际!$C:$C,"&lt;="&amp;EOMONTH(DATE(YEAR(主页!$D$2),MONTH(主页!$D$2),1),0))/SUMIFS(当年实际!$P:$P,当年实际!$F:$F,$C822,当年实际!$C:$C,"&gt;="&amp;DATE(YEAR(主页!$D$2),1,1),当年实际!$C:$C,"&lt;="&amp;EOMONTH(DATE(YEAR(主页!$D$2),MONTH(主页!$D$2),1),0)),"")</f>
        <v/>
      </c>
    </row>
    <row r="823" spans="1:10" x14ac:dyDescent="0.3">
      <c r="A823" s="150"/>
      <c r="B823" s="150"/>
      <c r="C823" s="150"/>
      <c r="D823" s="150"/>
      <c r="E823" s="140" t="str">
        <f t="shared" si="37"/>
        <v/>
      </c>
      <c r="F823" s="159"/>
      <c r="G823" s="145">
        <f t="shared" si="39"/>
        <v>0</v>
      </c>
      <c r="H823" s="140" t="str">
        <f t="shared" si="38"/>
        <v/>
      </c>
      <c r="J823" s="147" t="str">
        <f>IFERROR(SUMIFS(当年实际!$V:$V,当年实际!$F:$F,$C823,当年实际!$C:$C,"&gt;="&amp;DATE(YEAR(主页!$D$2),1,1),当年实际!$C:$C,"&lt;="&amp;EOMONTH(DATE(YEAR(主页!$D$2),MONTH(主页!$D$2),1),0))/SUMIFS(当年实际!$P:$P,当年实际!$F:$F,$C823,当年实际!$C:$C,"&gt;="&amp;DATE(YEAR(主页!$D$2),1,1),当年实际!$C:$C,"&lt;="&amp;EOMONTH(DATE(YEAR(主页!$D$2),MONTH(主页!$D$2),1),0)),"")</f>
        <v/>
      </c>
    </row>
    <row r="824" spans="1:10" x14ac:dyDescent="0.3">
      <c r="A824" s="150"/>
      <c r="B824" s="150"/>
      <c r="C824" s="150"/>
      <c r="D824" s="150"/>
      <c r="E824" s="140" t="str">
        <f t="shared" si="37"/>
        <v/>
      </c>
      <c r="F824" s="159"/>
      <c r="G824" s="145">
        <f t="shared" si="39"/>
        <v>0</v>
      </c>
      <c r="H824" s="140" t="str">
        <f t="shared" si="38"/>
        <v/>
      </c>
      <c r="J824" s="147" t="str">
        <f>IFERROR(SUMIFS(当年实际!$V:$V,当年实际!$F:$F,$C824,当年实际!$C:$C,"&gt;="&amp;DATE(YEAR(主页!$D$2),1,1),当年实际!$C:$C,"&lt;="&amp;EOMONTH(DATE(YEAR(主页!$D$2),MONTH(主页!$D$2),1),0))/SUMIFS(当年实际!$P:$P,当年实际!$F:$F,$C824,当年实际!$C:$C,"&gt;="&amp;DATE(YEAR(主页!$D$2),1,1),当年实际!$C:$C,"&lt;="&amp;EOMONTH(DATE(YEAR(主页!$D$2),MONTH(主页!$D$2),1),0)),"")</f>
        <v/>
      </c>
    </row>
    <row r="825" spans="1:10" x14ac:dyDescent="0.3">
      <c r="A825" s="150"/>
      <c r="B825" s="150"/>
      <c r="C825" s="150"/>
      <c r="D825" s="150"/>
      <c r="E825" s="140" t="str">
        <f t="shared" si="37"/>
        <v/>
      </c>
      <c r="F825" s="159"/>
      <c r="G825" s="145">
        <f t="shared" si="39"/>
        <v>0</v>
      </c>
      <c r="H825" s="140" t="str">
        <f t="shared" si="38"/>
        <v/>
      </c>
      <c r="J825" s="147" t="str">
        <f>IFERROR(SUMIFS(当年实际!$V:$V,当年实际!$F:$F,$C825,当年实际!$C:$C,"&gt;="&amp;DATE(YEAR(主页!$D$2),1,1),当年实际!$C:$C,"&lt;="&amp;EOMONTH(DATE(YEAR(主页!$D$2),MONTH(主页!$D$2),1),0))/SUMIFS(当年实际!$P:$P,当年实际!$F:$F,$C825,当年实际!$C:$C,"&gt;="&amp;DATE(YEAR(主页!$D$2),1,1),当年实际!$C:$C,"&lt;="&amp;EOMONTH(DATE(YEAR(主页!$D$2),MONTH(主页!$D$2),1),0)),"")</f>
        <v/>
      </c>
    </row>
    <row r="826" spans="1:10" x14ac:dyDescent="0.3">
      <c r="A826" s="150"/>
      <c r="B826" s="150"/>
      <c r="C826" s="150"/>
      <c r="D826" s="150"/>
      <c r="E826" s="140" t="str">
        <f t="shared" si="37"/>
        <v/>
      </c>
      <c r="F826" s="159"/>
      <c r="G826" s="145">
        <f t="shared" si="39"/>
        <v>0</v>
      </c>
      <c r="H826" s="140" t="str">
        <f t="shared" si="38"/>
        <v/>
      </c>
      <c r="J826" s="147" t="str">
        <f>IFERROR(SUMIFS(当年实际!$V:$V,当年实际!$F:$F,$C826,当年实际!$C:$C,"&gt;="&amp;DATE(YEAR(主页!$D$2),1,1),当年实际!$C:$C,"&lt;="&amp;EOMONTH(DATE(YEAR(主页!$D$2),MONTH(主页!$D$2),1),0))/SUMIFS(当年实际!$P:$P,当年实际!$F:$F,$C826,当年实际!$C:$C,"&gt;="&amp;DATE(YEAR(主页!$D$2),1,1),当年实际!$C:$C,"&lt;="&amp;EOMONTH(DATE(YEAR(主页!$D$2),MONTH(主页!$D$2),1),0)),"")</f>
        <v/>
      </c>
    </row>
    <row r="827" spans="1:10" x14ac:dyDescent="0.3">
      <c r="A827" s="150"/>
      <c r="B827" s="150"/>
      <c r="C827" s="150"/>
      <c r="D827" s="150"/>
      <c r="E827" s="140" t="str">
        <f t="shared" si="37"/>
        <v/>
      </c>
      <c r="F827" s="159"/>
      <c r="G827" s="145">
        <f t="shared" si="39"/>
        <v>0</v>
      </c>
      <c r="H827" s="140" t="str">
        <f t="shared" si="38"/>
        <v/>
      </c>
      <c r="J827" s="147" t="str">
        <f>IFERROR(SUMIFS(当年实际!$V:$V,当年实际!$F:$F,$C827,当年实际!$C:$C,"&gt;="&amp;DATE(YEAR(主页!$D$2),1,1),当年实际!$C:$C,"&lt;="&amp;EOMONTH(DATE(YEAR(主页!$D$2),MONTH(主页!$D$2),1),0))/SUMIFS(当年实际!$P:$P,当年实际!$F:$F,$C827,当年实际!$C:$C,"&gt;="&amp;DATE(YEAR(主页!$D$2),1,1),当年实际!$C:$C,"&lt;="&amp;EOMONTH(DATE(YEAR(主页!$D$2),MONTH(主页!$D$2),1),0)),"")</f>
        <v/>
      </c>
    </row>
    <row r="828" spans="1:10" x14ac:dyDescent="0.3">
      <c r="A828" s="150"/>
      <c r="B828" s="150"/>
      <c r="C828" s="150"/>
      <c r="D828" s="150"/>
      <c r="E828" s="140" t="str">
        <f t="shared" si="37"/>
        <v/>
      </c>
      <c r="F828" s="159"/>
      <c r="G828" s="145">
        <f t="shared" si="39"/>
        <v>0</v>
      </c>
      <c r="H828" s="140" t="str">
        <f t="shared" si="38"/>
        <v/>
      </c>
      <c r="J828" s="147" t="str">
        <f>IFERROR(SUMIFS(当年实际!$V:$V,当年实际!$F:$F,$C828,当年实际!$C:$C,"&gt;="&amp;DATE(YEAR(主页!$D$2),1,1),当年实际!$C:$C,"&lt;="&amp;EOMONTH(DATE(YEAR(主页!$D$2),MONTH(主页!$D$2),1),0))/SUMIFS(当年实际!$P:$P,当年实际!$F:$F,$C828,当年实际!$C:$C,"&gt;="&amp;DATE(YEAR(主页!$D$2),1,1),当年实际!$C:$C,"&lt;="&amp;EOMONTH(DATE(YEAR(主页!$D$2),MONTH(主页!$D$2),1),0)),"")</f>
        <v/>
      </c>
    </row>
    <row r="829" spans="1:10" x14ac:dyDescent="0.3">
      <c r="A829" s="150"/>
      <c r="B829" s="150"/>
      <c r="C829" s="150"/>
      <c r="D829" s="150"/>
      <c r="E829" s="140" t="str">
        <f t="shared" si="37"/>
        <v/>
      </c>
      <c r="F829" s="159"/>
      <c r="G829" s="145">
        <f t="shared" si="39"/>
        <v>0</v>
      </c>
      <c r="H829" s="140" t="str">
        <f t="shared" si="38"/>
        <v/>
      </c>
      <c r="J829" s="147" t="str">
        <f>IFERROR(SUMIFS(当年实际!$V:$V,当年实际!$F:$F,$C829,当年实际!$C:$C,"&gt;="&amp;DATE(YEAR(主页!$D$2),1,1),当年实际!$C:$C,"&lt;="&amp;EOMONTH(DATE(YEAR(主页!$D$2),MONTH(主页!$D$2),1),0))/SUMIFS(当年实际!$P:$P,当年实际!$F:$F,$C829,当年实际!$C:$C,"&gt;="&amp;DATE(YEAR(主页!$D$2),1,1),当年实际!$C:$C,"&lt;="&amp;EOMONTH(DATE(YEAR(主页!$D$2),MONTH(主页!$D$2),1),0)),"")</f>
        <v/>
      </c>
    </row>
    <row r="830" spans="1:10" x14ac:dyDescent="0.3">
      <c r="A830" s="150"/>
      <c r="B830" s="150"/>
      <c r="C830" s="150"/>
      <c r="D830" s="150"/>
      <c r="E830" s="140" t="str">
        <f t="shared" si="37"/>
        <v/>
      </c>
      <c r="F830" s="159"/>
      <c r="G830" s="145">
        <f t="shared" si="39"/>
        <v>0</v>
      </c>
      <c r="H830" s="140" t="str">
        <f t="shared" si="38"/>
        <v/>
      </c>
      <c r="J830" s="147" t="str">
        <f>IFERROR(SUMIFS(当年实际!$V:$V,当年实际!$F:$F,$C830,当年实际!$C:$C,"&gt;="&amp;DATE(YEAR(主页!$D$2),1,1),当年实际!$C:$C,"&lt;="&amp;EOMONTH(DATE(YEAR(主页!$D$2),MONTH(主页!$D$2),1),0))/SUMIFS(当年实际!$P:$P,当年实际!$F:$F,$C830,当年实际!$C:$C,"&gt;="&amp;DATE(YEAR(主页!$D$2),1,1),当年实际!$C:$C,"&lt;="&amp;EOMONTH(DATE(YEAR(主页!$D$2),MONTH(主页!$D$2),1),0)),"")</f>
        <v/>
      </c>
    </row>
    <row r="831" spans="1:10" x14ac:dyDescent="0.3">
      <c r="A831" s="150"/>
      <c r="B831" s="150"/>
      <c r="C831" s="150"/>
      <c r="D831" s="150"/>
      <c r="E831" s="140" t="str">
        <f t="shared" si="37"/>
        <v/>
      </c>
      <c r="F831" s="159"/>
      <c r="G831" s="145">
        <f t="shared" si="39"/>
        <v>0</v>
      </c>
      <c r="H831" s="140" t="str">
        <f t="shared" si="38"/>
        <v/>
      </c>
      <c r="J831" s="147" t="str">
        <f>IFERROR(SUMIFS(当年实际!$V:$V,当年实际!$F:$F,$C831,当年实际!$C:$C,"&gt;="&amp;DATE(YEAR(主页!$D$2),1,1),当年实际!$C:$C,"&lt;="&amp;EOMONTH(DATE(YEAR(主页!$D$2),MONTH(主页!$D$2),1),0))/SUMIFS(当年实际!$P:$P,当年实际!$F:$F,$C831,当年实际!$C:$C,"&gt;="&amp;DATE(YEAR(主页!$D$2),1,1),当年实际!$C:$C,"&lt;="&amp;EOMONTH(DATE(YEAR(主页!$D$2),MONTH(主页!$D$2),1),0)),"")</f>
        <v/>
      </c>
    </row>
    <row r="832" spans="1:10" x14ac:dyDescent="0.3">
      <c r="A832" s="150"/>
      <c r="B832" s="150"/>
      <c r="C832" s="150"/>
      <c r="D832" s="150"/>
      <c r="E832" s="140" t="str">
        <f t="shared" si="37"/>
        <v/>
      </c>
      <c r="F832" s="159"/>
      <c r="G832" s="145">
        <f t="shared" si="39"/>
        <v>0</v>
      </c>
      <c r="H832" s="140" t="str">
        <f t="shared" si="38"/>
        <v/>
      </c>
      <c r="J832" s="147" t="str">
        <f>IFERROR(SUMIFS(当年实际!$V:$V,当年实际!$F:$F,$C832,当年实际!$C:$C,"&gt;="&amp;DATE(YEAR(主页!$D$2),1,1),当年实际!$C:$C,"&lt;="&amp;EOMONTH(DATE(YEAR(主页!$D$2),MONTH(主页!$D$2),1),0))/SUMIFS(当年实际!$P:$P,当年实际!$F:$F,$C832,当年实际!$C:$C,"&gt;="&amp;DATE(YEAR(主页!$D$2),1,1),当年实际!$C:$C,"&lt;="&amp;EOMONTH(DATE(YEAR(主页!$D$2),MONTH(主页!$D$2),1),0)),"")</f>
        <v/>
      </c>
    </row>
    <row r="833" spans="1:10" x14ac:dyDescent="0.3">
      <c r="A833" s="150"/>
      <c r="B833" s="150"/>
      <c r="C833" s="150"/>
      <c r="D833" s="150"/>
      <c r="E833" s="140" t="str">
        <f t="shared" si="37"/>
        <v/>
      </c>
      <c r="F833" s="159"/>
      <c r="G833" s="145">
        <f t="shared" si="39"/>
        <v>0</v>
      </c>
      <c r="H833" s="140" t="str">
        <f t="shared" si="38"/>
        <v/>
      </c>
      <c r="J833" s="147" t="str">
        <f>IFERROR(SUMIFS(当年实际!$V:$V,当年实际!$F:$F,$C833,当年实际!$C:$C,"&gt;="&amp;DATE(YEAR(主页!$D$2),1,1),当年实际!$C:$C,"&lt;="&amp;EOMONTH(DATE(YEAR(主页!$D$2),MONTH(主页!$D$2),1),0))/SUMIFS(当年实际!$P:$P,当年实际!$F:$F,$C833,当年实际!$C:$C,"&gt;="&amp;DATE(YEAR(主页!$D$2),1,1),当年实际!$C:$C,"&lt;="&amp;EOMONTH(DATE(YEAR(主页!$D$2),MONTH(主页!$D$2),1),0)),"")</f>
        <v/>
      </c>
    </row>
    <row r="834" spans="1:10" x14ac:dyDescent="0.3">
      <c r="A834" s="150"/>
      <c r="B834" s="150"/>
      <c r="C834" s="150"/>
      <c r="D834" s="150"/>
      <c r="E834" s="140" t="str">
        <f t="shared" si="37"/>
        <v/>
      </c>
      <c r="F834" s="159"/>
      <c r="G834" s="145">
        <f t="shared" si="39"/>
        <v>0</v>
      </c>
      <c r="H834" s="140" t="str">
        <f t="shared" si="38"/>
        <v/>
      </c>
      <c r="J834" s="147" t="str">
        <f>IFERROR(SUMIFS(当年实际!$V:$V,当年实际!$F:$F,$C834,当年实际!$C:$C,"&gt;="&amp;DATE(YEAR(主页!$D$2),1,1),当年实际!$C:$C,"&lt;="&amp;EOMONTH(DATE(YEAR(主页!$D$2),MONTH(主页!$D$2),1),0))/SUMIFS(当年实际!$P:$P,当年实际!$F:$F,$C834,当年实际!$C:$C,"&gt;="&amp;DATE(YEAR(主页!$D$2),1,1),当年实际!$C:$C,"&lt;="&amp;EOMONTH(DATE(YEAR(主页!$D$2),MONTH(主页!$D$2),1),0)),"")</f>
        <v/>
      </c>
    </row>
    <row r="835" spans="1:10" x14ac:dyDescent="0.3">
      <c r="A835" s="150"/>
      <c r="B835" s="150"/>
      <c r="C835" s="150"/>
      <c r="D835" s="150"/>
      <c r="E835" s="140" t="str">
        <f t="shared" si="37"/>
        <v/>
      </c>
      <c r="F835" s="159"/>
      <c r="G835" s="145">
        <f t="shared" si="39"/>
        <v>0</v>
      </c>
      <c r="H835" s="140" t="str">
        <f t="shared" si="38"/>
        <v/>
      </c>
      <c r="J835" s="147" t="str">
        <f>IFERROR(SUMIFS(当年实际!$V:$V,当年实际!$F:$F,$C835,当年实际!$C:$C,"&gt;="&amp;DATE(YEAR(主页!$D$2),1,1),当年实际!$C:$C,"&lt;="&amp;EOMONTH(DATE(YEAR(主页!$D$2),MONTH(主页!$D$2),1),0))/SUMIFS(当年实际!$P:$P,当年实际!$F:$F,$C835,当年实际!$C:$C,"&gt;="&amp;DATE(YEAR(主页!$D$2),1,1),当年实际!$C:$C,"&lt;="&amp;EOMONTH(DATE(YEAR(主页!$D$2),MONTH(主页!$D$2),1),0)),"")</f>
        <v/>
      </c>
    </row>
    <row r="836" spans="1:10" x14ac:dyDescent="0.3">
      <c r="A836" s="150"/>
      <c r="B836" s="150"/>
      <c r="C836" s="150"/>
      <c r="D836" s="150"/>
      <c r="E836" s="140" t="str">
        <f t="shared" ref="E836:E899" si="40">IF(D836/SUM(D:D)=0,"",D836/SUM(D:D))</f>
        <v/>
      </c>
      <c r="F836" s="159"/>
      <c r="G836" s="145">
        <f t="shared" si="39"/>
        <v>0</v>
      </c>
      <c r="H836" s="140" t="str">
        <f t="shared" ref="H836:H899" si="41">IF(G836/SUM(G:G)=0,"",G836/SUM(G:G))</f>
        <v/>
      </c>
      <c r="J836" s="147" t="str">
        <f>IFERROR(SUMIFS(当年实际!$V:$V,当年实际!$F:$F,$C836,当年实际!$C:$C,"&gt;="&amp;DATE(YEAR(主页!$D$2),1,1),当年实际!$C:$C,"&lt;="&amp;EOMONTH(DATE(YEAR(主页!$D$2),MONTH(主页!$D$2),1),0))/SUMIFS(当年实际!$P:$P,当年实际!$F:$F,$C836,当年实际!$C:$C,"&gt;="&amp;DATE(YEAR(主页!$D$2),1,1),当年实际!$C:$C,"&lt;="&amp;EOMONTH(DATE(YEAR(主页!$D$2),MONTH(主页!$D$2),1),0)),"")</f>
        <v/>
      </c>
    </row>
    <row r="837" spans="1:10" x14ac:dyDescent="0.3">
      <c r="A837" s="150"/>
      <c r="B837" s="150"/>
      <c r="C837" s="150"/>
      <c r="D837" s="150"/>
      <c r="E837" s="140" t="str">
        <f t="shared" si="40"/>
        <v/>
      </c>
      <c r="F837" s="159"/>
      <c r="G837" s="145">
        <f t="shared" si="39"/>
        <v>0</v>
      </c>
      <c r="H837" s="140" t="str">
        <f t="shared" si="41"/>
        <v/>
      </c>
      <c r="J837" s="147" t="str">
        <f>IFERROR(SUMIFS(当年实际!$V:$V,当年实际!$F:$F,$C837,当年实际!$C:$C,"&gt;="&amp;DATE(YEAR(主页!$D$2),1,1),当年实际!$C:$C,"&lt;="&amp;EOMONTH(DATE(YEAR(主页!$D$2),MONTH(主页!$D$2),1),0))/SUMIFS(当年实际!$P:$P,当年实际!$F:$F,$C837,当年实际!$C:$C,"&gt;="&amp;DATE(YEAR(主页!$D$2),1,1),当年实际!$C:$C,"&lt;="&amp;EOMONTH(DATE(YEAR(主页!$D$2),MONTH(主页!$D$2),1),0)),"")</f>
        <v/>
      </c>
    </row>
    <row r="838" spans="1:10" x14ac:dyDescent="0.3">
      <c r="A838" s="150"/>
      <c r="B838" s="150"/>
      <c r="C838" s="150"/>
      <c r="D838" s="150"/>
      <c r="E838" s="140" t="str">
        <f t="shared" si="40"/>
        <v/>
      </c>
      <c r="F838" s="159"/>
      <c r="G838" s="145">
        <f t="shared" si="39"/>
        <v>0</v>
      </c>
      <c r="H838" s="140" t="str">
        <f t="shared" si="41"/>
        <v/>
      </c>
      <c r="J838" s="147" t="str">
        <f>IFERROR(SUMIFS(当年实际!$V:$V,当年实际!$F:$F,$C838,当年实际!$C:$C,"&gt;="&amp;DATE(YEAR(主页!$D$2),1,1),当年实际!$C:$C,"&lt;="&amp;EOMONTH(DATE(YEAR(主页!$D$2),MONTH(主页!$D$2),1),0))/SUMIFS(当年实际!$P:$P,当年实际!$F:$F,$C838,当年实际!$C:$C,"&gt;="&amp;DATE(YEAR(主页!$D$2),1,1),当年实际!$C:$C,"&lt;="&amp;EOMONTH(DATE(YEAR(主页!$D$2),MONTH(主页!$D$2),1),0)),"")</f>
        <v/>
      </c>
    </row>
    <row r="839" spans="1:10" x14ac:dyDescent="0.3">
      <c r="A839" s="150"/>
      <c r="B839" s="150"/>
      <c r="C839" s="150"/>
      <c r="D839" s="150"/>
      <c r="E839" s="140" t="str">
        <f t="shared" si="40"/>
        <v/>
      </c>
      <c r="F839" s="159"/>
      <c r="G839" s="145">
        <f t="shared" si="39"/>
        <v>0</v>
      </c>
      <c r="H839" s="140" t="str">
        <f t="shared" si="41"/>
        <v/>
      </c>
      <c r="J839" s="147" t="str">
        <f>IFERROR(SUMIFS(当年实际!$V:$V,当年实际!$F:$F,$C839,当年实际!$C:$C,"&gt;="&amp;DATE(YEAR(主页!$D$2),1,1),当年实际!$C:$C,"&lt;="&amp;EOMONTH(DATE(YEAR(主页!$D$2),MONTH(主页!$D$2),1),0))/SUMIFS(当年实际!$P:$P,当年实际!$F:$F,$C839,当年实际!$C:$C,"&gt;="&amp;DATE(YEAR(主页!$D$2),1,1),当年实际!$C:$C,"&lt;="&amp;EOMONTH(DATE(YEAR(主页!$D$2),MONTH(主页!$D$2),1),0)),"")</f>
        <v/>
      </c>
    </row>
    <row r="840" spans="1:10" x14ac:dyDescent="0.3">
      <c r="A840" s="150"/>
      <c r="B840" s="150"/>
      <c r="C840" s="150"/>
      <c r="D840" s="150"/>
      <c r="E840" s="140" t="str">
        <f t="shared" si="40"/>
        <v/>
      </c>
      <c r="F840" s="159"/>
      <c r="G840" s="145">
        <f t="shared" ref="G840:G903" si="42">D840*F840</f>
        <v>0</v>
      </c>
      <c r="H840" s="140" t="str">
        <f t="shared" si="41"/>
        <v/>
      </c>
      <c r="J840" s="147" t="str">
        <f>IFERROR(SUMIFS(当年实际!$V:$V,当年实际!$F:$F,$C840,当年实际!$C:$C,"&gt;="&amp;DATE(YEAR(主页!$D$2),1,1),当年实际!$C:$C,"&lt;="&amp;EOMONTH(DATE(YEAR(主页!$D$2),MONTH(主页!$D$2),1),0))/SUMIFS(当年实际!$P:$P,当年实际!$F:$F,$C840,当年实际!$C:$C,"&gt;="&amp;DATE(YEAR(主页!$D$2),1,1),当年实际!$C:$C,"&lt;="&amp;EOMONTH(DATE(YEAR(主页!$D$2),MONTH(主页!$D$2),1),0)),"")</f>
        <v/>
      </c>
    </row>
    <row r="841" spans="1:10" x14ac:dyDescent="0.3">
      <c r="A841" s="150"/>
      <c r="B841" s="150"/>
      <c r="C841" s="150"/>
      <c r="D841" s="150"/>
      <c r="E841" s="140" t="str">
        <f t="shared" si="40"/>
        <v/>
      </c>
      <c r="F841" s="159"/>
      <c r="G841" s="145">
        <f t="shared" si="42"/>
        <v>0</v>
      </c>
      <c r="H841" s="140" t="str">
        <f t="shared" si="41"/>
        <v/>
      </c>
      <c r="J841" s="147" t="str">
        <f>IFERROR(SUMIFS(当年实际!$V:$V,当年实际!$F:$F,$C841,当年实际!$C:$C,"&gt;="&amp;DATE(YEAR(主页!$D$2),1,1),当年实际!$C:$C,"&lt;="&amp;EOMONTH(DATE(YEAR(主页!$D$2),MONTH(主页!$D$2),1),0))/SUMIFS(当年实际!$P:$P,当年实际!$F:$F,$C841,当年实际!$C:$C,"&gt;="&amp;DATE(YEAR(主页!$D$2),1,1),当年实际!$C:$C,"&lt;="&amp;EOMONTH(DATE(YEAR(主页!$D$2),MONTH(主页!$D$2),1),0)),"")</f>
        <v/>
      </c>
    </row>
    <row r="842" spans="1:10" x14ac:dyDescent="0.3">
      <c r="A842" s="150"/>
      <c r="B842" s="150"/>
      <c r="C842" s="150"/>
      <c r="D842" s="150"/>
      <c r="E842" s="140" t="str">
        <f t="shared" si="40"/>
        <v/>
      </c>
      <c r="F842" s="159"/>
      <c r="G842" s="145">
        <f t="shared" si="42"/>
        <v>0</v>
      </c>
      <c r="H842" s="140" t="str">
        <f t="shared" si="41"/>
        <v/>
      </c>
      <c r="J842" s="147" t="str">
        <f>IFERROR(SUMIFS(当年实际!$V:$V,当年实际!$F:$F,$C842,当年实际!$C:$C,"&gt;="&amp;DATE(YEAR(主页!$D$2),1,1),当年实际!$C:$C,"&lt;="&amp;EOMONTH(DATE(YEAR(主页!$D$2),MONTH(主页!$D$2),1),0))/SUMIFS(当年实际!$P:$P,当年实际!$F:$F,$C842,当年实际!$C:$C,"&gt;="&amp;DATE(YEAR(主页!$D$2),1,1),当年实际!$C:$C,"&lt;="&amp;EOMONTH(DATE(YEAR(主页!$D$2),MONTH(主页!$D$2),1),0)),"")</f>
        <v/>
      </c>
    </row>
    <row r="843" spans="1:10" x14ac:dyDescent="0.3">
      <c r="A843" s="150"/>
      <c r="B843" s="150"/>
      <c r="C843" s="150"/>
      <c r="D843" s="150"/>
      <c r="E843" s="140" t="str">
        <f t="shared" si="40"/>
        <v/>
      </c>
      <c r="F843" s="159"/>
      <c r="G843" s="145">
        <f t="shared" si="42"/>
        <v>0</v>
      </c>
      <c r="H843" s="140" t="str">
        <f t="shared" si="41"/>
        <v/>
      </c>
      <c r="J843" s="147" t="str">
        <f>IFERROR(SUMIFS(当年实际!$V:$V,当年实际!$F:$F,$C843,当年实际!$C:$C,"&gt;="&amp;DATE(YEAR(主页!$D$2),1,1),当年实际!$C:$C,"&lt;="&amp;EOMONTH(DATE(YEAR(主页!$D$2),MONTH(主页!$D$2),1),0))/SUMIFS(当年实际!$P:$P,当年实际!$F:$F,$C843,当年实际!$C:$C,"&gt;="&amp;DATE(YEAR(主页!$D$2),1,1),当年实际!$C:$C,"&lt;="&amp;EOMONTH(DATE(YEAR(主页!$D$2),MONTH(主页!$D$2),1),0)),"")</f>
        <v/>
      </c>
    </row>
    <row r="844" spans="1:10" x14ac:dyDescent="0.3">
      <c r="A844" s="150"/>
      <c r="B844" s="150"/>
      <c r="C844" s="150"/>
      <c r="D844" s="150"/>
      <c r="E844" s="140" t="str">
        <f t="shared" si="40"/>
        <v/>
      </c>
      <c r="F844" s="159"/>
      <c r="G844" s="145">
        <f t="shared" si="42"/>
        <v>0</v>
      </c>
      <c r="H844" s="140" t="str">
        <f t="shared" si="41"/>
        <v/>
      </c>
      <c r="J844" s="147" t="str">
        <f>IFERROR(SUMIFS(当年实际!$V:$V,当年实际!$F:$F,$C844,当年实际!$C:$C,"&gt;="&amp;DATE(YEAR(主页!$D$2),1,1),当年实际!$C:$C,"&lt;="&amp;EOMONTH(DATE(YEAR(主页!$D$2),MONTH(主页!$D$2),1),0))/SUMIFS(当年实际!$P:$P,当年实际!$F:$F,$C844,当年实际!$C:$C,"&gt;="&amp;DATE(YEAR(主页!$D$2),1,1),当年实际!$C:$C,"&lt;="&amp;EOMONTH(DATE(YEAR(主页!$D$2),MONTH(主页!$D$2),1),0)),"")</f>
        <v/>
      </c>
    </row>
    <row r="845" spans="1:10" x14ac:dyDescent="0.3">
      <c r="A845" s="150"/>
      <c r="B845" s="150"/>
      <c r="C845" s="150"/>
      <c r="D845" s="150"/>
      <c r="E845" s="140" t="str">
        <f t="shared" si="40"/>
        <v/>
      </c>
      <c r="F845" s="159"/>
      <c r="G845" s="145">
        <f t="shared" si="42"/>
        <v>0</v>
      </c>
      <c r="H845" s="140" t="str">
        <f t="shared" si="41"/>
        <v/>
      </c>
      <c r="J845" s="147" t="str">
        <f>IFERROR(SUMIFS(当年实际!$V:$V,当年实际!$F:$F,$C845,当年实际!$C:$C,"&gt;="&amp;DATE(YEAR(主页!$D$2),1,1),当年实际!$C:$C,"&lt;="&amp;EOMONTH(DATE(YEAR(主页!$D$2),MONTH(主页!$D$2),1),0))/SUMIFS(当年实际!$P:$P,当年实际!$F:$F,$C845,当年实际!$C:$C,"&gt;="&amp;DATE(YEAR(主页!$D$2),1,1),当年实际!$C:$C,"&lt;="&amp;EOMONTH(DATE(YEAR(主页!$D$2),MONTH(主页!$D$2),1),0)),"")</f>
        <v/>
      </c>
    </row>
    <row r="846" spans="1:10" x14ac:dyDescent="0.3">
      <c r="A846" s="150"/>
      <c r="B846" s="150"/>
      <c r="C846" s="150"/>
      <c r="D846" s="150"/>
      <c r="E846" s="140" t="str">
        <f t="shared" si="40"/>
        <v/>
      </c>
      <c r="F846" s="159"/>
      <c r="G846" s="145">
        <f t="shared" si="42"/>
        <v>0</v>
      </c>
      <c r="H846" s="140" t="str">
        <f t="shared" si="41"/>
        <v/>
      </c>
      <c r="J846" s="147" t="str">
        <f>IFERROR(SUMIFS(当年实际!$V:$V,当年实际!$F:$F,$C846,当年实际!$C:$C,"&gt;="&amp;DATE(YEAR(主页!$D$2),1,1),当年实际!$C:$C,"&lt;="&amp;EOMONTH(DATE(YEAR(主页!$D$2),MONTH(主页!$D$2),1),0))/SUMIFS(当年实际!$P:$P,当年实际!$F:$F,$C846,当年实际!$C:$C,"&gt;="&amp;DATE(YEAR(主页!$D$2),1,1),当年实际!$C:$C,"&lt;="&amp;EOMONTH(DATE(YEAR(主页!$D$2),MONTH(主页!$D$2),1),0)),"")</f>
        <v/>
      </c>
    </row>
    <row r="847" spans="1:10" x14ac:dyDescent="0.3">
      <c r="A847" s="150"/>
      <c r="B847" s="150"/>
      <c r="C847" s="150"/>
      <c r="D847" s="150"/>
      <c r="E847" s="140" t="str">
        <f t="shared" si="40"/>
        <v/>
      </c>
      <c r="F847" s="159"/>
      <c r="G847" s="145">
        <f t="shared" si="42"/>
        <v>0</v>
      </c>
      <c r="H847" s="140" t="str">
        <f t="shared" si="41"/>
        <v/>
      </c>
      <c r="J847" s="147" t="str">
        <f>IFERROR(SUMIFS(当年实际!$V:$V,当年实际!$F:$F,$C847,当年实际!$C:$C,"&gt;="&amp;DATE(YEAR(主页!$D$2),1,1),当年实际!$C:$C,"&lt;="&amp;EOMONTH(DATE(YEAR(主页!$D$2),MONTH(主页!$D$2),1),0))/SUMIFS(当年实际!$P:$P,当年实际!$F:$F,$C847,当年实际!$C:$C,"&gt;="&amp;DATE(YEAR(主页!$D$2),1,1),当年实际!$C:$C,"&lt;="&amp;EOMONTH(DATE(YEAR(主页!$D$2),MONTH(主页!$D$2),1),0)),"")</f>
        <v/>
      </c>
    </row>
    <row r="848" spans="1:10" x14ac:dyDescent="0.3">
      <c r="A848" s="150"/>
      <c r="B848" s="150"/>
      <c r="C848" s="150"/>
      <c r="D848" s="150"/>
      <c r="E848" s="140" t="str">
        <f t="shared" si="40"/>
        <v/>
      </c>
      <c r="F848" s="159"/>
      <c r="G848" s="145">
        <f t="shared" si="42"/>
        <v>0</v>
      </c>
      <c r="H848" s="140" t="str">
        <f t="shared" si="41"/>
        <v/>
      </c>
      <c r="J848" s="147" t="str">
        <f>IFERROR(SUMIFS(当年实际!$V:$V,当年实际!$F:$F,$C848,当年实际!$C:$C,"&gt;="&amp;DATE(YEAR(主页!$D$2),1,1),当年实际!$C:$C,"&lt;="&amp;EOMONTH(DATE(YEAR(主页!$D$2),MONTH(主页!$D$2),1),0))/SUMIFS(当年实际!$P:$P,当年实际!$F:$F,$C848,当年实际!$C:$C,"&gt;="&amp;DATE(YEAR(主页!$D$2),1,1),当年实际!$C:$C,"&lt;="&amp;EOMONTH(DATE(YEAR(主页!$D$2),MONTH(主页!$D$2),1),0)),"")</f>
        <v/>
      </c>
    </row>
    <row r="849" spans="1:10" x14ac:dyDescent="0.3">
      <c r="A849" s="150"/>
      <c r="B849" s="150"/>
      <c r="C849" s="150"/>
      <c r="D849" s="150"/>
      <c r="E849" s="140" t="str">
        <f t="shared" si="40"/>
        <v/>
      </c>
      <c r="F849" s="159"/>
      <c r="G849" s="145">
        <f t="shared" si="42"/>
        <v>0</v>
      </c>
      <c r="H849" s="140" t="str">
        <f t="shared" si="41"/>
        <v/>
      </c>
      <c r="J849" s="147" t="str">
        <f>IFERROR(SUMIFS(当年实际!$V:$V,当年实际!$F:$F,$C849,当年实际!$C:$C,"&gt;="&amp;DATE(YEAR(主页!$D$2),1,1),当年实际!$C:$C,"&lt;="&amp;EOMONTH(DATE(YEAR(主页!$D$2),MONTH(主页!$D$2),1),0))/SUMIFS(当年实际!$P:$P,当年实际!$F:$F,$C849,当年实际!$C:$C,"&gt;="&amp;DATE(YEAR(主页!$D$2),1,1),当年实际!$C:$C,"&lt;="&amp;EOMONTH(DATE(YEAR(主页!$D$2),MONTH(主页!$D$2),1),0)),"")</f>
        <v/>
      </c>
    </row>
    <row r="850" spans="1:10" x14ac:dyDescent="0.3">
      <c r="A850" s="150"/>
      <c r="B850" s="150"/>
      <c r="C850" s="150"/>
      <c r="D850" s="150"/>
      <c r="E850" s="140" t="str">
        <f t="shared" si="40"/>
        <v/>
      </c>
      <c r="F850" s="159"/>
      <c r="G850" s="145">
        <f t="shared" si="42"/>
        <v>0</v>
      </c>
      <c r="H850" s="140" t="str">
        <f t="shared" si="41"/>
        <v/>
      </c>
      <c r="J850" s="147" t="str">
        <f>IFERROR(SUMIFS(当年实际!$V:$V,当年实际!$F:$F,$C850,当年实际!$C:$C,"&gt;="&amp;DATE(YEAR(主页!$D$2),1,1),当年实际!$C:$C,"&lt;="&amp;EOMONTH(DATE(YEAR(主页!$D$2),MONTH(主页!$D$2),1),0))/SUMIFS(当年实际!$P:$P,当年实际!$F:$F,$C850,当年实际!$C:$C,"&gt;="&amp;DATE(YEAR(主页!$D$2),1,1),当年实际!$C:$C,"&lt;="&amp;EOMONTH(DATE(YEAR(主页!$D$2),MONTH(主页!$D$2),1),0)),"")</f>
        <v/>
      </c>
    </row>
    <row r="851" spans="1:10" x14ac:dyDescent="0.3">
      <c r="A851" s="150"/>
      <c r="B851" s="150"/>
      <c r="C851" s="150"/>
      <c r="D851" s="150"/>
      <c r="E851" s="140" t="str">
        <f t="shared" si="40"/>
        <v/>
      </c>
      <c r="F851" s="159"/>
      <c r="G851" s="145">
        <f t="shared" si="42"/>
        <v>0</v>
      </c>
      <c r="H851" s="140" t="str">
        <f t="shared" si="41"/>
        <v/>
      </c>
      <c r="J851" s="147" t="str">
        <f>IFERROR(SUMIFS(当年实际!$V:$V,当年实际!$F:$F,$C851,当年实际!$C:$C,"&gt;="&amp;DATE(YEAR(主页!$D$2),1,1),当年实际!$C:$C,"&lt;="&amp;EOMONTH(DATE(YEAR(主页!$D$2),MONTH(主页!$D$2),1),0))/SUMIFS(当年实际!$P:$P,当年实际!$F:$F,$C851,当年实际!$C:$C,"&gt;="&amp;DATE(YEAR(主页!$D$2),1,1),当年实际!$C:$C,"&lt;="&amp;EOMONTH(DATE(YEAR(主页!$D$2),MONTH(主页!$D$2),1),0)),"")</f>
        <v/>
      </c>
    </row>
    <row r="852" spans="1:10" x14ac:dyDescent="0.3">
      <c r="A852" s="150"/>
      <c r="B852" s="150"/>
      <c r="C852" s="150"/>
      <c r="D852" s="150"/>
      <c r="E852" s="140" t="str">
        <f t="shared" si="40"/>
        <v/>
      </c>
      <c r="F852" s="159"/>
      <c r="G852" s="145">
        <f t="shared" si="42"/>
        <v>0</v>
      </c>
      <c r="H852" s="140" t="str">
        <f t="shared" si="41"/>
        <v/>
      </c>
      <c r="J852" s="147" t="str">
        <f>IFERROR(SUMIFS(当年实际!$V:$V,当年实际!$F:$F,$C852,当年实际!$C:$C,"&gt;="&amp;DATE(YEAR(主页!$D$2),1,1),当年实际!$C:$C,"&lt;="&amp;EOMONTH(DATE(YEAR(主页!$D$2),MONTH(主页!$D$2),1),0))/SUMIFS(当年实际!$P:$P,当年实际!$F:$F,$C852,当年实际!$C:$C,"&gt;="&amp;DATE(YEAR(主页!$D$2),1,1),当年实际!$C:$C,"&lt;="&amp;EOMONTH(DATE(YEAR(主页!$D$2),MONTH(主页!$D$2),1),0)),"")</f>
        <v/>
      </c>
    </row>
    <row r="853" spans="1:10" x14ac:dyDescent="0.3">
      <c r="A853" s="150"/>
      <c r="B853" s="150"/>
      <c r="C853" s="150"/>
      <c r="D853" s="150"/>
      <c r="E853" s="140" t="str">
        <f t="shared" si="40"/>
        <v/>
      </c>
      <c r="F853" s="159"/>
      <c r="G853" s="145">
        <f t="shared" si="42"/>
        <v>0</v>
      </c>
      <c r="H853" s="140" t="str">
        <f t="shared" si="41"/>
        <v/>
      </c>
      <c r="J853" s="147" t="str">
        <f>IFERROR(SUMIFS(当年实际!$V:$V,当年实际!$F:$F,$C853,当年实际!$C:$C,"&gt;="&amp;DATE(YEAR(主页!$D$2),1,1),当年实际!$C:$C,"&lt;="&amp;EOMONTH(DATE(YEAR(主页!$D$2),MONTH(主页!$D$2),1),0))/SUMIFS(当年实际!$P:$P,当年实际!$F:$F,$C853,当年实际!$C:$C,"&gt;="&amp;DATE(YEAR(主页!$D$2),1,1),当年实际!$C:$C,"&lt;="&amp;EOMONTH(DATE(YEAR(主页!$D$2),MONTH(主页!$D$2),1),0)),"")</f>
        <v/>
      </c>
    </row>
    <row r="854" spans="1:10" x14ac:dyDescent="0.3">
      <c r="A854" s="150"/>
      <c r="B854" s="150"/>
      <c r="C854" s="150"/>
      <c r="D854" s="150"/>
      <c r="E854" s="140" t="str">
        <f t="shared" si="40"/>
        <v/>
      </c>
      <c r="F854" s="159"/>
      <c r="G854" s="145">
        <f t="shared" si="42"/>
        <v>0</v>
      </c>
      <c r="H854" s="140" t="str">
        <f t="shared" si="41"/>
        <v/>
      </c>
      <c r="J854" s="147" t="str">
        <f>IFERROR(SUMIFS(当年实际!$V:$V,当年实际!$F:$F,$C854,当年实际!$C:$C,"&gt;="&amp;DATE(YEAR(主页!$D$2),1,1),当年实际!$C:$C,"&lt;="&amp;EOMONTH(DATE(YEAR(主页!$D$2),MONTH(主页!$D$2),1),0))/SUMIFS(当年实际!$P:$P,当年实际!$F:$F,$C854,当年实际!$C:$C,"&gt;="&amp;DATE(YEAR(主页!$D$2),1,1),当年实际!$C:$C,"&lt;="&amp;EOMONTH(DATE(YEAR(主页!$D$2),MONTH(主页!$D$2),1),0)),"")</f>
        <v/>
      </c>
    </row>
    <row r="855" spans="1:10" x14ac:dyDescent="0.3">
      <c r="A855" s="150"/>
      <c r="B855" s="150"/>
      <c r="C855" s="150"/>
      <c r="D855" s="150"/>
      <c r="E855" s="140" t="str">
        <f t="shared" si="40"/>
        <v/>
      </c>
      <c r="F855" s="159"/>
      <c r="G855" s="145">
        <f t="shared" si="42"/>
        <v>0</v>
      </c>
      <c r="H855" s="140" t="str">
        <f t="shared" si="41"/>
        <v/>
      </c>
      <c r="J855" s="147" t="str">
        <f>IFERROR(SUMIFS(当年实际!$V:$V,当年实际!$F:$F,$C855,当年实际!$C:$C,"&gt;="&amp;DATE(YEAR(主页!$D$2),1,1),当年实际!$C:$C,"&lt;="&amp;EOMONTH(DATE(YEAR(主页!$D$2),MONTH(主页!$D$2),1),0))/SUMIFS(当年实际!$P:$P,当年实际!$F:$F,$C855,当年实际!$C:$C,"&gt;="&amp;DATE(YEAR(主页!$D$2),1,1),当年实际!$C:$C,"&lt;="&amp;EOMONTH(DATE(YEAR(主页!$D$2),MONTH(主页!$D$2),1),0)),"")</f>
        <v/>
      </c>
    </row>
    <row r="856" spans="1:10" x14ac:dyDescent="0.3">
      <c r="A856" s="150"/>
      <c r="B856" s="150"/>
      <c r="C856" s="150"/>
      <c r="D856" s="150"/>
      <c r="E856" s="140" t="str">
        <f t="shared" si="40"/>
        <v/>
      </c>
      <c r="F856" s="159"/>
      <c r="G856" s="145">
        <f t="shared" si="42"/>
        <v>0</v>
      </c>
      <c r="H856" s="140" t="str">
        <f t="shared" si="41"/>
        <v/>
      </c>
      <c r="J856" s="147" t="str">
        <f>IFERROR(SUMIFS(当年实际!$V:$V,当年实际!$F:$F,$C856,当年实际!$C:$C,"&gt;="&amp;DATE(YEAR(主页!$D$2),1,1),当年实际!$C:$C,"&lt;="&amp;EOMONTH(DATE(YEAR(主页!$D$2),MONTH(主页!$D$2),1),0))/SUMIFS(当年实际!$P:$P,当年实际!$F:$F,$C856,当年实际!$C:$C,"&gt;="&amp;DATE(YEAR(主页!$D$2),1,1),当年实际!$C:$C,"&lt;="&amp;EOMONTH(DATE(YEAR(主页!$D$2),MONTH(主页!$D$2),1),0)),"")</f>
        <v/>
      </c>
    </row>
    <row r="857" spans="1:10" x14ac:dyDescent="0.3">
      <c r="A857" s="150"/>
      <c r="B857" s="150"/>
      <c r="C857" s="150"/>
      <c r="D857" s="150"/>
      <c r="E857" s="140" t="str">
        <f t="shared" si="40"/>
        <v/>
      </c>
      <c r="F857" s="159"/>
      <c r="G857" s="145">
        <f t="shared" si="42"/>
        <v>0</v>
      </c>
      <c r="H857" s="140" t="str">
        <f t="shared" si="41"/>
        <v/>
      </c>
      <c r="J857" s="147" t="str">
        <f>IFERROR(SUMIFS(当年实际!$V:$V,当年实际!$F:$F,$C857,当年实际!$C:$C,"&gt;="&amp;DATE(YEAR(主页!$D$2),1,1),当年实际!$C:$C,"&lt;="&amp;EOMONTH(DATE(YEAR(主页!$D$2),MONTH(主页!$D$2),1),0))/SUMIFS(当年实际!$P:$P,当年实际!$F:$F,$C857,当年实际!$C:$C,"&gt;="&amp;DATE(YEAR(主页!$D$2),1,1),当年实际!$C:$C,"&lt;="&amp;EOMONTH(DATE(YEAR(主页!$D$2),MONTH(主页!$D$2),1),0)),"")</f>
        <v/>
      </c>
    </row>
    <row r="858" spans="1:10" x14ac:dyDescent="0.3">
      <c r="A858" s="150"/>
      <c r="B858" s="150"/>
      <c r="C858" s="150"/>
      <c r="D858" s="150"/>
      <c r="E858" s="140" t="str">
        <f t="shared" si="40"/>
        <v/>
      </c>
      <c r="F858" s="159"/>
      <c r="G858" s="145">
        <f t="shared" si="42"/>
        <v>0</v>
      </c>
      <c r="H858" s="140" t="str">
        <f t="shared" si="41"/>
        <v/>
      </c>
      <c r="J858" s="147" t="str">
        <f>IFERROR(SUMIFS(当年实际!$V:$V,当年实际!$F:$F,$C858,当年实际!$C:$C,"&gt;="&amp;DATE(YEAR(主页!$D$2),1,1),当年实际!$C:$C,"&lt;="&amp;EOMONTH(DATE(YEAR(主页!$D$2),MONTH(主页!$D$2),1),0))/SUMIFS(当年实际!$P:$P,当年实际!$F:$F,$C858,当年实际!$C:$C,"&gt;="&amp;DATE(YEAR(主页!$D$2),1,1),当年实际!$C:$C,"&lt;="&amp;EOMONTH(DATE(YEAR(主页!$D$2),MONTH(主页!$D$2),1),0)),"")</f>
        <v/>
      </c>
    </row>
    <row r="859" spans="1:10" x14ac:dyDescent="0.3">
      <c r="A859" s="150"/>
      <c r="B859" s="150"/>
      <c r="C859" s="150"/>
      <c r="D859" s="150"/>
      <c r="E859" s="140" t="str">
        <f t="shared" si="40"/>
        <v/>
      </c>
      <c r="F859" s="159"/>
      <c r="G859" s="145">
        <f t="shared" si="42"/>
        <v>0</v>
      </c>
      <c r="H859" s="140" t="str">
        <f t="shared" si="41"/>
        <v/>
      </c>
      <c r="J859" s="147" t="str">
        <f>IFERROR(SUMIFS(当年实际!$V:$V,当年实际!$F:$F,$C859,当年实际!$C:$C,"&gt;="&amp;DATE(YEAR(主页!$D$2),1,1),当年实际!$C:$C,"&lt;="&amp;EOMONTH(DATE(YEAR(主页!$D$2),MONTH(主页!$D$2),1),0))/SUMIFS(当年实际!$P:$P,当年实际!$F:$F,$C859,当年实际!$C:$C,"&gt;="&amp;DATE(YEAR(主页!$D$2),1,1),当年实际!$C:$C,"&lt;="&amp;EOMONTH(DATE(YEAR(主页!$D$2),MONTH(主页!$D$2),1),0)),"")</f>
        <v/>
      </c>
    </row>
    <row r="860" spans="1:10" x14ac:dyDescent="0.3">
      <c r="A860" s="150"/>
      <c r="B860" s="150"/>
      <c r="C860" s="150"/>
      <c r="D860" s="150"/>
      <c r="E860" s="140" t="str">
        <f t="shared" si="40"/>
        <v/>
      </c>
      <c r="F860" s="159"/>
      <c r="G860" s="145">
        <f t="shared" si="42"/>
        <v>0</v>
      </c>
      <c r="H860" s="140" t="str">
        <f t="shared" si="41"/>
        <v/>
      </c>
      <c r="J860" s="147" t="str">
        <f>IFERROR(SUMIFS(当年实际!$V:$V,当年实际!$F:$F,$C860,当年实际!$C:$C,"&gt;="&amp;DATE(YEAR(主页!$D$2),1,1),当年实际!$C:$C,"&lt;="&amp;EOMONTH(DATE(YEAR(主页!$D$2),MONTH(主页!$D$2),1),0))/SUMIFS(当年实际!$P:$P,当年实际!$F:$F,$C860,当年实际!$C:$C,"&gt;="&amp;DATE(YEAR(主页!$D$2),1,1),当年实际!$C:$C,"&lt;="&amp;EOMONTH(DATE(YEAR(主页!$D$2),MONTH(主页!$D$2),1),0)),"")</f>
        <v/>
      </c>
    </row>
    <row r="861" spans="1:10" x14ac:dyDescent="0.3">
      <c r="A861" s="150"/>
      <c r="B861" s="150"/>
      <c r="C861" s="150"/>
      <c r="D861" s="150"/>
      <c r="E861" s="140" t="str">
        <f t="shared" si="40"/>
        <v/>
      </c>
      <c r="F861" s="159"/>
      <c r="G861" s="145">
        <f t="shared" si="42"/>
        <v>0</v>
      </c>
      <c r="H861" s="140" t="str">
        <f t="shared" si="41"/>
        <v/>
      </c>
      <c r="J861" s="147" t="str">
        <f>IFERROR(SUMIFS(当年实际!$V:$V,当年实际!$F:$F,$C861,当年实际!$C:$C,"&gt;="&amp;DATE(YEAR(主页!$D$2),1,1),当年实际!$C:$C,"&lt;="&amp;EOMONTH(DATE(YEAR(主页!$D$2),MONTH(主页!$D$2),1),0))/SUMIFS(当年实际!$P:$P,当年实际!$F:$F,$C861,当年实际!$C:$C,"&gt;="&amp;DATE(YEAR(主页!$D$2),1,1),当年实际!$C:$C,"&lt;="&amp;EOMONTH(DATE(YEAR(主页!$D$2),MONTH(主页!$D$2),1),0)),"")</f>
        <v/>
      </c>
    </row>
    <row r="862" spans="1:10" x14ac:dyDescent="0.3">
      <c r="A862" s="150"/>
      <c r="B862" s="150"/>
      <c r="C862" s="150"/>
      <c r="D862" s="150"/>
      <c r="E862" s="140" t="str">
        <f t="shared" si="40"/>
        <v/>
      </c>
      <c r="F862" s="159"/>
      <c r="G862" s="145">
        <f t="shared" si="42"/>
        <v>0</v>
      </c>
      <c r="H862" s="140" t="str">
        <f t="shared" si="41"/>
        <v/>
      </c>
      <c r="J862" s="147" t="str">
        <f>IFERROR(SUMIFS(当年实际!$V:$V,当年实际!$F:$F,$C862,当年实际!$C:$C,"&gt;="&amp;DATE(YEAR(主页!$D$2),1,1),当年实际!$C:$C,"&lt;="&amp;EOMONTH(DATE(YEAR(主页!$D$2),MONTH(主页!$D$2),1),0))/SUMIFS(当年实际!$P:$P,当年实际!$F:$F,$C862,当年实际!$C:$C,"&gt;="&amp;DATE(YEAR(主页!$D$2),1,1),当年实际!$C:$C,"&lt;="&amp;EOMONTH(DATE(YEAR(主页!$D$2),MONTH(主页!$D$2),1),0)),"")</f>
        <v/>
      </c>
    </row>
    <row r="863" spans="1:10" x14ac:dyDescent="0.3">
      <c r="A863" s="150"/>
      <c r="B863" s="150"/>
      <c r="C863" s="150"/>
      <c r="D863" s="150"/>
      <c r="E863" s="140" t="str">
        <f t="shared" si="40"/>
        <v/>
      </c>
      <c r="F863" s="159"/>
      <c r="G863" s="145">
        <f t="shared" si="42"/>
        <v>0</v>
      </c>
      <c r="H863" s="140" t="str">
        <f t="shared" si="41"/>
        <v/>
      </c>
      <c r="J863" s="147" t="str">
        <f>IFERROR(SUMIFS(当年实际!$V:$V,当年实际!$F:$F,$C863,当年实际!$C:$C,"&gt;="&amp;DATE(YEAR(主页!$D$2),1,1),当年实际!$C:$C,"&lt;="&amp;EOMONTH(DATE(YEAR(主页!$D$2),MONTH(主页!$D$2),1),0))/SUMIFS(当年实际!$P:$P,当年实际!$F:$F,$C863,当年实际!$C:$C,"&gt;="&amp;DATE(YEAR(主页!$D$2),1,1),当年实际!$C:$C,"&lt;="&amp;EOMONTH(DATE(YEAR(主页!$D$2),MONTH(主页!$D$2),1),0)),"")</f>
        <v/>
      </c>
    </row>
    <row r="864" spans="1:10" x14ac:dyDescent="0.3">
      <c r="A864" s="150"/>
      <c r="B864" s="150"/>
      <c r="C864" s="150"/>
      <c r="D864" s="150"/>
      <c r="E864" s="140" t="str">
        <f t="shared" si="40"/>
        <v/>
      </c>
      <c r="F864" s="159"/>
      <c r="G864" s="145">
        <f t="shared" si="42"/>
        <v>0</v>
      </c>
      <c r="H864" s="140" t="str">
        <f t="shared" si="41"/>
        <v/>
      </c>
      <c r="J864" s="147" t="str">
        <f>IFERROR(SUMIFS(当年实际!$V:$V,当年实际!$F:$F,$C864,当年实际!$C:$C,"&gt;="&amp;DATE(YEAR(主页!$D$2),1,1),当年实际!$C:$C,"&lt;="&amp;EOMONTH(DATE(YEAR(主页!$D$2),MONTH(主页!$D$2),1),0))/SUMIFS(当年实际!$P:$P,当年实际!$F:$F,$C864,当年实际!$C:$C,"&gt;="&amp;DATE(YEAR(主页!$D$2),1,1),当年实际!$C:$C,"&lt;="&amp;EOMONTH(DATE(YEAR(主页!$D$2),MONTH(主页!$D$2),1),0)),"")</f>
        <v/>
      </c>
    </row>
    <row r="865" spans="1:10" x14ac:dyDescent="0.3">
      <c r="A865" s="150"/>
      <c r="B865" s="150"/>
      <c r="C865" s="150"/>
      <c r="D865" s="150"/>
      <c r="E865" s="140" t="str">
        <f t="shared" si="40"/>
        <v/>
      </c>
      <c r="F865" s="159"/>
      <c r="G865" s="145">
        <f t="shared" si="42"/>
        <v>0</v>
      </c>
      <c r="H865" s="140" t="str">
        <f t="shared" si="41"/>
        <v/>
      </c>
      <c r="J865" s="147" t="str">
        <f>IFERROR(SUMIFS(当年实际!$V:$V,当年实际!$F:$F,$C865,当年实际!$C:$C,"&gt;="&amp;DATE(YEAR(主页!$D$2),1,1),当年实际!$C:$C,"&lt;="&amp;EOMONTH(DATE(YEAR(主页!$D$2),MONTH(主页!$D$2),1),0))/SUMIFS(当年实际!$P:$P,当年实际!$F:$F,$C865,当年实际!$C:$C,"&gt;="&amp;DATE(YEAR(主页!$D$2),1,1),当年实际!$C:$C,"&lt;="&amp;EOMONTH(DATE(YEAR(主页!$D$2),MONTH(主页!$D$2),1),0)),"")</f>
        <v/>
      </c>
    </row>
    <row r="866" spans="1:10" x14ac:dyDescent="0.3">
      <c r="A866" s="150"/>
      <c r="B866" s="150"/>
      <c r="C866" s="150"/>
      <c r="D866" s="150"/>
      <c r="E866" s="140" t="str">
        <f t="shared" si="40"/>
        <v/>
      </c>
      <c r="F866" s="159"/>
      <c r="G866" s="145">
        <f t="shared" si="42"/>
        <v>0</v>
      </c>
      <c r="H866" s="140" t="str">
        <f t="shared" si="41"/>
        <v/>
      </c>
      <c r="J866" s="147" t="str">
        <f>IFERROR(SUMIFS(当年实际!$V:$V,当年实际!$F:$F,$C866,当年实际!$C:$C,"&gt;="&amp;DATE(YEAR(主页!$D$2),1,1),当年实际!$C:$C,"&lt;="&amp;EOMONTH(DATE(YEAR(主页!$D$2),MONTH(主页!$D$2),1),0))/SUMIFS(当年实际!$P:$P,当年实际!$F:$F,$C866,当年实际!$C:$C,"&gt;="&amp;DATE(YEAR(主页!$D$2),1,1),当年实际!$C:$C,"&lt;="&amp;EOMONTH(DATE(YEAR(主页!$D$2),MONTH(主页!$D$2),1),0)),"")</f>
        <v/>
      </c>
    </row>
    <row r="867" spans="1:10" x14ac:dyDescent="0.3">
      <c r="A867" s="150"/>
      <c r="B867" s="150"/>
      <c r="C867" s="150"/>
      <c r="D867" s="150"/>
      <c r="E867" s="140" t="str">
        <f t="shared" si="40"/>
        <v/>
      </c>
      <c r="F867" s="159"/>
      <c r="G867" s="145">
        <f t="shared" si="42"/>
        <v>0</v>
      </c>
      <c r="H867" s="140" t="str">
        <f t="shared" si="41"/>
        <v/>
      </c>
      <c r="J867" s="147" t="str">
        <f>IFERROR(SUMIFS(当年实际!$V:$V,当年实际!$F:$F,$C867,当年实际!$C:$C,"&gt;="&amp;DATE(YEAR(主页!$D$2),1,1),当年实际!$C:$C,"&lt;="&amp;EOMONTH(DATE(YEAR(主页!$D$2),MONTH(主页!$D$2),1),0))/SUMIFS(当年实际!$P:$P,当年实际!$F:$F,$C867,当年实际!$C:$C,"&gt;="&amp;DATE(YEAR(主页!$D$2),1,1),当年实际!$C:$C,"&lt;="&amp;EOMONTH(DATE(YEAR(主页!$D$2),MONTH(主页!$D$2),1),0)),"")</f>
        <v/>
      </c>
    </row>
    <row r="868" spans="1:10" x14ac:dyDescent="0.3">
      <c r="A868" s="150"/>
      <c r="B868" s="150"/>
      <c r="C868" s="150"/>
      <c r="D868" s="150"/>
      <c r="E868" s="140" t="str">
        <f t="shared" si="40"/>
        <v/>
      </c>
      <c r="F868" s="159"/>
      <c r="G868" s="145">
        <f t="shared" si="42"/>
        <v>0</v>
      </c>
      <c r="H868" s="140" t="str">
        <f t="shared" si="41"/>
        <v/>
      </c>
      <c r="J868" s="147" t="str">
        <f>IFERROR(SUMIFS(当年实际!$V:$V,当年实际!$F:$F,$C868,当年实际!$C:$C,"&gt;="&amp;DATE(YEAR(主页!$D$2),1,1),当年实际!$C:$C,"&lt;="&amp;EOMONTH(DATE(YEAR(主页!$D$2),MONTH(主页!$D$2),1),0))/SUMIFS(当年实际!$P:$P,当年实际!$F:$F,$C868,当年实际!$C:$C,"&gt;="&amp;DATE(YEAR(主页!$D$2),1,1),当年实际!$C:$C,"&lt;="&amp;EOMONTH(DATE(YEAR(主页!$D$2),MONTH(主页!$D$2),1),0)),"")</f>
        <v/>
      </c>
    </row>
    <row r="869" spans="1:10" x14ac:dyDescent="0.3">
      <c r="A869" s="150"/>
      <c r="B869" s="150"/>
      <c r="C869" s="150"/>
      <c r="D869" s="150"/>
      <c r="E869" s="140" t="str">
        <f t="shared" si="40"/>
        <v/>
      </c>
      <c r="F869" s="159"/>
      <c r="G869" s="145">
        <f t="shared" si="42"/>
        <v>0</v>
      </c>
      <c r="H869" s="140" t="str">
        <f t="shared" si="41"/>
        <v/>
      </c>
      <c r="J869" s="147" t="str">
        <f>IFERROR(SUMIFS(当年实际!$V:$V,当年实际!$F:$F,$C869,当年实际!$C:$C,"&gt;="&amp;DATE(YEAR(主页!$D$2),1,1),当年实际!$C:$C,"&lt;="&amp;EOMONTH(DATE(YEAR(主页!$D$2),MONTH(主页!$D$2),1),0))/SUMIFS(当年实际!$P:$P,当年实际!$F:$F,$C869,当年实际!$C:$C,"&gt;="&amp;DATE(YEAR(主页!$D$2),1,1),当年实际!$C:$C,"&lt;="&amp;EOMONTH(DATE(YEAR(主页!$D$2),MONTH(主页!$D$2),1),0)),"")</f>
        <v/>
      </c>
    </row>
    <row r="870" spans="1:10" x14ac:dyDescent="0.3">
      <c r="A870" s="150"/>
      <c r="B870" s="150"/>
      <c r="C870" s="150"/>
      <c r="D870" s="150"/>
      <c r="E870" s="140" t="str">
        <f t="shared" si="40"/>
        <v/>
      </c>
      <c r="F870" s="159"/>
      <c r="G870" s="145">
        <f t="shared" si="42"/>
        <v>0</v>
      </c>
      <c r="H870" s="140" t="str">
        <f t="shared" si="41"/>
        <v/>
      </c>
      <c r="J870" s="147" t="str">
        <f>IFERROR(SUMIFS(当年实际!$V:$V,当年实际!$F:$F,$C870,当年实际!$C:$C,"&gt;="&amp;DATE(YEAR(主页!$D$2),1,1),当年实际!$C:$C,"&lt;="&amp;EOMONTH(DATE(YEAR(主页!$D$2),MONTH(主页!$D$2),1),0))/SUMIFS(当年实际!$P:$P,当年实际!$F:$F,$C870,当年实际!$C:$C,"&gt;="&amp;DATE(YEAR(主页!$D$2),1,1),当年实际!$C:$C,"&lt;="&amp;EOMONTH(DATE(YEAR(主页!$D$2),MONTH(主页!$D$2),1),0)),"")</f>
        <v/>
      </c>
    </row>
    <row r="871" spans="1:10" x14ac:dyDescent="0.3">
      <c r="A871" s="150"/>
      <c r="B871" s="150"/>
      <c r="C871" s="150"/>
      <c r="D871" s="150"/>
      <c r="E871" s="140" t="str">
        <f t="shared" si="40"/>
        <v/>
      </c>
      <c r="F871" s="159"/>
      <c r="G871" s="145">
        <f t="shared" si="42"/>
        <v>0</v>
      </c>
      <c r="H871" s="140" t="str">
        <f t="shared" si="41"/>
        <v/>
      </c>
      <c r="J871" s="147" t="str">
        <f>IFERROR(SUMIFS(当年实际!$V:$V,当年实际!$F:$F,$C871,当年实际!$C:$C,"&gt;="&amp;DATE(YEAR(主页!$D$2),1,1),当年实际!$C:$C,"&lt;="&amp;EOMONTH(DATE(YEAR(主页!$D$2),MONTH(主页!$D$2),1),0))/SUMIFS(当年实际!$P:$P,当年实际!$F:$F,$C871,当年实际!$C:$C,"&gt;="&amp;DATE(YEAR(主页!$D$2),1,1),当年实际!$C:$C,"&lt;="&amp;EOMONTH(DATE(YEAR(主页!$D$2),MONTH(主页!$D$2),1),0)),"")</f>
        <v/>
      </c>
    </row>
    <row r="872" spans="1:10" x14ac:dyDescent="0.3">
      <c r="A872" s="150"/>
      <c r="B872" s="150"/>
      <c r="C872" s="150"/>
      <c r="D872" s="150"/>
      <c r="E872" s="140" t="str">
        <f t="shared" si="40"/>
        <v/>
      </c>
      <c r="F872" s="159"/>
      <c r="G872" s="145">
        <f t="shared" si="42"/>
        <v>0</v>
      </c>
      <c r="H872" s="140" t="str">
        <f t="shared" si="41"/>
        <v/>
      </c>
      <c r="J872" s="147" t="str">
        <f>IFERROR(SUMIFS(当年实际!$V:$V,当年实际!$F:$F,$C872,当年实际!$C:$C,"&gt;="&amp;DATE(YEAR(主页!$D$2),1,1),当年实际!$C:$C,"&lt;="&amp;EOMONTH(DATE(YEAR(主页!$D$2),MONTH(主页!$D$2),1),0))/SUMIFS(当年实际!$P:$P,当年实际!$F:$F,$C872,当年实际!$C:$C,"&gt;="&amp;DATE(YEAR(主页!$D$2),1,1),当年实际!$C:$C,"&lt;="&amp;EOMONTH(DATE(YEAR(主页!$D$2),MONTH(主页!$D$2),1),0)),"")</f>
        <v/>
      </c>
    </row>
    <row r="873" spans="1:10" x14ac:dyDescent="0.3">
      <c r="A873" s="150"/>
      <c r="B873" s="150"/>
      <c r="C873" s="150"/>
      <c r="D873" s="150"/>
      <c r="E873" s="140" t="str">
        <f t="shared" si="40"/>
        <v/>
      </c>
      <c r="F873" s="159"/>
      <c r="G873" s="145">
        <f t="shared" si="42"/>
        <v>0</v>
      </c>
      <c r="H873" s="140" t="str">
        <f t="shared" si="41"/>
        <v/>
      </c>
      <c r="J873" s="147" t="str">
        <f>IFERROR(SUMIFS(当年实际!$V:$V,当年实际!$F:$F,$C873,当年实际!$C:$C,"&gt;="&amp;DATE(YEAR(主页!$D$2),1,1),当年实际!$C:$C,"&lt;="&amp;EOMONTH(DATE(YEAR(主页!$D$2),MONTH(主页!$D$2),1),0))/SUMIFS(当年实际!$P:$P,当年实际!$F:$F,$C873,当年实际!$C:$C,"&gt;="&amp;DATE(YEAR(主页!$D$2),1,1),当年实际!$C:$C,"&lt;="&amp;EOMONTH(DATE(YEAR(主页!$D$2),MONTH(主页!$D$2),1),0)),"")</f>
        <v/>
      </c>
    </row>
    <row r="874" spans="1:10" x14ac:dyDescent="0.3">
      <c r="A874" s="150"/>
      <c r="B874" s="150"/>
      <c r="C874" s="150"/>
      <c r="D874" s="150"/>
      <c r="E874" s="140" t="str">
        <f t="shared" si="40"/>
        <v/>
      </c>
      <c r="F874" s="159"/>
      <c r="G874" s="145">
        <f t="shared" si="42"/>
        <v>0</v>
      </c>
      <c r="H874" s="140" t="str">
        <f t="shared" si="41"/>
        <v/>
      </c>
      <c r="J874" s="147" t="str">
        <f>IFERROR(SUMIFS(当年实际!$V:$V,当年实际!$F:$F,$C874,当年实际!$C:$C,"&gt;="&amp;DATE(YEAR(主页!$D$2),1,1),当年实际!$C:$C,"&lt;="&amp;EOMONTH(DATE(YEAR(主页!$D$2),MONTH(主页!$D$2),1),0))/SUMIFS(当年实际!$P:$P,当年实际!$F:$F,$C874,当年实际!$C:$C,"&gt;="&amp;DATE(YEAR(主页!$D$2),1,1),当年实际!$C:$C,"&lt;="&amp;EOMONTH(DATE(YEAR(主页!$D$2),MONTH(主页!$D$2),1),0)),"")</f>
        <v/>
      </c>
    </row>
    <row r="875" spans="1:10" x14ac:dyDescent="0.3">
      <c r="A875" s="150"/>
      <c r="B875" s="150"/>
      <c r="C875" s="150"/>
      <c r="D875" s="150"/>
      <c r="E875" s="140" t="str">
        <f t="shared" si="40"/>
        <v/>
      </c>
      <c r="F875" s="159"/>
      <c r="G875" s="145">
        <f t="shared" si="42"/>
        <v>0</v>
      </c>
      <c r="H875" s="140" t="str">
        <f t="shared" si="41"/>
        <v/>
      </c>
      <c r="J875" s="147" t="str">
        <f>IFERROR(SUMIFS(当年实际!$V:$V,当年实际!$F:$F,$C875,当年实际!$C:$C,"&gt;="&amp;DATE(YEAR(主页!$D$2),1,1),当年实际!$C:$C,"&lt;="&amp;EOMONTH(DATE(YEAR(主页!$D$2),MONTH(主页!$D$2),1),0))/SUMIFS(当年实际!$P:$P,当年实际!$F:$F,$C875,当年实际!$C:$C,"&gt;="&amp;DATE(YEAR(主页!$D$2),1,1),当年实际!$C:$C,"&lt;="&amp;EOMONTH(DATE(YEAR(主页!$D$2),MONTH(主页!$D$2),1),0)),"")</f>
        <v/>
      </c>
    </row>
    <row r="876" spans="1:10" x14ac:dyDescent="0.3">
      <c r="A876" s="150"/>
      <c r="B876" s="150"/>
      <c r="C876" s="150"/>
      <c r="D876" s="150"/>
      <c r="E876" s="140" t="str">
        <f t="shared" si="40"/>
        <v/>
      </c>
      <c r="F876" s="159"/>
      <c r="G876" s="145">
        <f t="shared" si="42"/>
        <v>0</v>
      </c>
      <c r="H876" s="140" t="str">
        <f t="shared" si="41"/>
        <v/>
      </c>
      <c r="J876" s="147" t="str">
        <f>IFERROR(SUMIFS(当年实际!$V:$V,当年实际!$F:$F,$C876,当年实际!$C:$C,"&gt;="&amp;DATE(YEAR(主页!$D$2),1,1),当年实际!$C:$C,"&lt;="&amp;EOMONTH(DATE(YEAR(主页!$D$2),MONTH(主页!$D$2),1),0))/SUMIFS(当年实际!$P:$P,当年实际!$F:$F,$C876,当年实际!$C:$C,"&gt;="&amp;DATE(YEAR(主页!$D$2),1,1),当年实际!$C:$C,"&lt;="&amp;EOMONTH(DATE(YEAR(主页!$D$2),MONTH(主页!$D$2),1),0)),"")</f>
        <v/>
      </c>
    </row>
    <row r="877" spans="1:10" x14ac:dyDescent="0.3">
      <c r="A877" s="150"/>
      <c r="B877" s="150"/>
      <c r="C877" s="150"/>
      <c r="D877" s="150"/>
      <c r="E877" s="140" t="str">
        <f t="shared" si="40"/>
        <v/>
      </c>
      <c r="F877" s="159"/>
      <c r="G877" s="145">
        <f t="shared" si="42"/>
        <v>0</v>
      </c>
      <c r="H877" s="140" t="str">
        <f t="shared" si="41"/>
        <v/>
      </c>
      <c r="J877" s="147" t="str">
        <f>IFERROR(SUMIFS(当年实际!$V:$V,当年实际!$F:$F,$C877,当年实际!$C:$C,"&gt;="&amp;DATE(YEAR(主页!$D$2),1,1),当年实际!$C:$C,"&lt;="&amp;EOMONTH(DATE(YEAR(主页!$D$2),MONTH(主页!$D$2),1),0))/SUMIFS(当年实际!$P:$P,当年实际!$F:$F,$C877,当年实际!$C:$C,"&gt;="&amp;DATE(YEAR(主页!$D$2),1,1),当年实际!$C:$C,"&lt;="&amp;EOMONTH(DATE(YEAR(主页!$D$2),MONTH(主页!$D$2),1),0)),"")</f>
        <v/>
      </c>
    </row>
    <row r="878" spans="1:10" x14ac:dyDescent="0.3">
      <c r="A878" s="150"/>
      <c r="B878" s="150"/>
      <c r="C878" s="150"/>
      <c r="D878" s="150"/>
      <c r="E878" s="140" t="str">
        <f t="shared" si="40"/>
        <v/>
      </c>
      <c r="F878" s="159"/>
      <c r="G878" s="145">
        <f t="shared" si="42"/>
        <v>0</v>
      </c>
      <c r="H878" s="140" t="str">
        <f t="shared" si="41"/>
        <v/>
      </c>
      <c r="J878" s="147" t="str">
        <f>IFERROR(SUMIFS(当年实际!$V:$V,当年实际!$F:$F,$C878,当年实际!$C:$C,"&gt;="&amp;DATE(YEAR(主页!$D$2),1,1),当年实际!$C:$C,"&lt;="&amp;EOMONTH(DATE(YEAR(主页!$D$2),MONTH(主页!$D$2),1),0))/SUMIFS(当年实际!$P:$P,当年实际!$F:$F,$C878,当年实际!$C:$C,"&gt;="&amp;DATE(YEAR(主页!$D$2),1,1),当年实际!$C:$C,"&lt;="&amp;EOMONTH(DATE(YEAR(主页!$D$2),MONTH(主页!$D$2),1),0)),"")</f>
        <v/>
      </c>
    </row>
    <row r="879" spans="1:10" x14ac:dyDescent="0.3">
      <c r="A879" s="150"/>
      <c r="B879" s="150"/>
      <c r="C879" s="150"/>
      <c r="D879" s="150"/>
      <c r="E879" s="140" t="str">
        <f t="shared" si="40"/>
        <v/>
      </c>
      <c r="F879" s="159"/>
      <c r="G879" s="145">
        <f t="shared" si="42"/>
        <v>0</v>
      </c>
      <c r="H879" s="140" t="str">
        <f t="shared" si="41"/>
        <v/>
      </c>
      <c r="J879" s="147" t="str">
        <f>IFERROR(SUMIFS(当年实际!$V:$V,当年实际!$F:$F,$C879,当年实际!$C:$C,"&gt;="&amp;DATE(YEAR(主页!$D$2),1,1),当年实际!$C:$C,"&lt;="&amp;EOMONTH(DATE(YEAR(主页!$D$2),MONTH(主页!$D$2),1),0))/SUMIFS(当年实际!$P:$P,当年实际!$F:$F,$C879,当年实际!$C:$C,"&gt;="&amp;DATE(YEAR(主页!$D$2),1,1),当年实际!$C:$C,"&lt;="&amp;EOMONTH(DATE(YEAR(主页!$D$2),MONTH(主页!$D$2),1),0)),"")</f>
        <v/>
      </c>
    </row>
    <row r="880" spans="1:10" x14ac:dyDescent="0.3">
      <c r="A880" s="150"/>
      <c r="B880" s="150"/>
      <c r="C880" s="150"/>
      <c r="D880" s="150"/>
      <c r="E880" s="140" t="str">
        <f t="shared" si="40"/>
        <v/>
      </c>
      <c r="F880" s="159"/>
      <c r="G880" s="145">
        <f t="shared" si="42"/>
        <v>0</v>
      </c>
      <c r="H880" s="140" t="str">
        <f t="shared" si="41"/>
        <v/>
      </c>
      <c r="J880" s="147" t="str">
        <f>IFERROR(SUMIFS(当年实际!$V:$V,当年实际!$F:$F,$C880,当年实际!$C:$C,"&gt;="&amp;DATE(YEAR(主页!$D$2),1,1),当年实际!$C:$C,"&lt;="&amp;EOMONTH(DATE(YEAR(主页!$D$2),MONTH(主页!$D$2),1),0))/SUMIFS(当年实际!$P:$P,当年实际!$F:$F,$C880,当年实际!$C:$C,"&gt;="&amp;DATE(YEAR(主页!$D$2),1,1),当年实际!$C:$C,"&lt;="&amp;EOMONTH(DATE(YEAR(主页!$D$2),MONTH(主页!$D$2),1),0)),"")</f>
        <v/>
      </c>
    </row>
    <row r="881" spans="1:10" x14ac:dyDescent="0.3">
      <c r="A881" s="150"/>
      <c r="B881" s="150"/>
      <c r="C881" s="150"/>
      <c r="D881" s="150"/>
      <c r="E881" s="140" t="str">
        <f t="shared" si="40"/>
        <v/>
      </c>
      <c r="F881" s="159"/>
      <c r="G881" s="145">
        <f t="shared" si="42"/>
        <v>0</v>
      </c>
      <c r="H881" s="140" t="str">
        <f t="shared" si="41"/>
        <v/>
      </c>
      <c r="J881" s="147" t="str">
        <f>IFERROR(SUMIFS(当年实际!$V:$V,当年实际!$F:$F,$C881,当年实际!$C:$C,"&gt;="&amp;DATE(YEAR(主页!$D$2),1,1),当年实际!$C:$C,"&lt;="&amp;EOMONTH(DATE(YEAR(主页!$D$2),MONTH(主页!$D$2),1),0))/SUMIFS(当年实际!$P:$P,当年实际!$F:$F,$C881,当年实际!$C:$C,"&gt;="&amp;DATE(YEAR(主页!$D$2),1,1),当年实际!$C:$C,"&lt;="&amp;EOMONTH(DATE(YEAR(主页!$D$2),MONTH(主页!$D$2),1),0)),"")</f>
        <v/>
      </c>
    </row>
    <row r="882" spans="1:10" x14ac:dyDescent="0.3">
      <c r="A882" s="150"/>
      <c r="B882" s="150"/>
      <c r="C882" s="150"/>
      <c r="D882" s="150"/>
      <c r="E882" s="140" t="str">
        <f t="shared" si="40"/>
        <v/>
      </c>
      <c r="F882" s="159"/>
      <c r="G882" s="145">
        <f t="shared" si="42"/>
        <v>0</v>
      </c>
      <c r="H882" s="140" t="str">
        <f t="shared" si="41"/>
        <v/>
      </c>
      <c r="J882" s="147" t="str">
        <f>IFERROR(SUMIFS(当年实际!$V:$V,当年实际!$F:$F,$C882,当年实际!$C:$C,"&gt;="&amp;DATE(YEAR(主页!$D$2),1,1),当年实际!$C:$C,"&lt;="&amp;EOMONTH(DATE(YEAR(主页!$D$2),MONTH(主页!$D$2),1),0))/SUMIFS(当年实际!$P:$P,当年实际!$F:$F,$C882,当年实际!$C:$C,"&gt;="&amp;DATE(YEAR(主页!$D$2),1,1),当年实际!$C:$C,"&lt;="&amp;EOMONTH(DATE(YEAR(主页!$D$2),MONTH(主页!$D$2),1),0)),"")</f>
        <v/>
      </c>
    </row>
    <row r="883" spans="1:10" x14ac:dyDescent="0.3">
      <c r="A883" s="150"/>
      <c r="B883" s="150"/>
      <c r="C883" s="150"/>
      <c r="D883" s="150"/>
      <c r="E883" s="140" t="str">
        <f t="shared" si="40"/>
        <v/>
      </c>
      <c r="F883" s="159"/>
      <c r="G883" s="145">
        <f t="shared" si="42"/>
        <v>0</v>
      </c>
      <c r="H883" s="140" t="str">
        <f t="shared" si="41"/>
        <v/>
      </c>
      <c r="J883" s="147" t="str">
        <f>IFERROR(SUMIFS(当年实际!$V:$V,当年实际!$F:$F,$C883,当年实际!$C:$C,"&gt;="&amp;DATE(YEAR(主页!$D$2),1,1),当年实际!$C:$C,"&lt;="&amp;EOMONTH(DATE(YEAR(主页!$D$2),MONTH(主页!$D$2),1),0))/SUMIFS(当年实际!$P:$P,当年实际!$F:$F,$C883,当年实际!$C:$C,"&gt;="&amp;DATE(YEAR(主页!$D$2),1,1),当年实际!$C:$C,"&lt;="&amp;EOMONTH(DATE(YEAR(主页!$D$2),MONTH(主页!$D$2),1),0)),"")</f>
        <v/>
      </c>
    </row>
    <row r="884" spans="1:10" x14ac:dyDescent="0.3">
      <c r="A884" s="150"/>
      <c r="B884" s="150"/>
      <c r="C884" s="150"/>
      <c r="D884" s="150"/>
      <c r="E884" s="140" t="str">
        <f t="shared" si="40"/>
        <v/>
      </c>
      <c r="F884" s="159"/>
      <c r="G884" s="145">
        <f t="shared" si="42"/>
        <v>0</v>
      </c>
      <c r="H884" s="140" t="str">
        <f t="shared" si="41"/>
        <v/>
      </c>
      <c r="J884" s="147" t="str">
        <f>IFERROR(SUMIFS(当年实际!$V:$V,当年实际!$F:$F,$C884,当年实际!$C:$C,"&gt;="&amp;DATE(YEAR(主页!$D$2),1,1),当年实际!$C:$C,"&lt;="&amp;EOMONTH(DATE(YEAR(主页!$D$2),MONTH(主页!$D$2),1),0))/SUMIFS(当年实际!$P:$P,当年实际!$F:$F,$C884,当年实际!$C:$C,"&gt;="&amp;DATE(YEAR(主页!$D$2),1,1),当年实际!$C:$C,"&lt;="&amp;EOMONTH(DATE(YEAR(主页!$D$2),MONTH(主页!$D$2),1),0)),"")</f>
        <v/>
      </c>
    </row>
    <row r="885" spans="1:10" x14ac:dyDescent="0.3">
      <c r="A885" s="150"/>
      <c r="B885" s="150"/>
      <c r="C885" s="150"/>
      <c r="D885" s="150"/>
      <c r="E885" s="140" t="str">
        <f t="shared" si="40"/>
        <v/>
      </c>
      <c r="F885" s="159"/>
      <c r="G885" s="145">
        <f t="shared" si="42"/>
        <v>0</v>
      </c>
      <c r="H885" s="140" t="str">
        <f t="shared" si="41"/>
        <v/>
      </c>
      <c r="J885" s="147" t="str">
        <f>IFERROR(SUMIFS(当年实际!$V:$V,当年实际!$F:$F,$C885,当年实际!$C:$C,"&gt;="&amp;DATE(YEAR(主页!$D$2),1,1),当年实际!$C:$C,"&lt;="&amp;EOMONTH(DATE(YEAR(主页!$D$2),MONTH(主页!$D$2),1),0))/SUMIFS(当年实际!$P:$P,当年实际!$F:$F,$C885,当年实际!$C:$C,"&gt;="&amp;DATE(YEAR(主页!$D$2),1,1),当年实际!$C:$C,"&lt;="&amp;EOMONTH(DATE(YEAR(主页!$D$2),MONTH(主页!$D$2),1),0)),"")</f>
        <v/>
      </c>
    </row>
    <row r="886" spans="1:10" x14ac:dyDescent="0.3">
      <c r="A886" s="150"/>
      <c r="B886" s="150"/>
      <c r="C886" s="150"/>
      <c r="D886" s="150"/>
      <c r="E886" s="140" t="str">
        <f t="shared" si="40"/>
        <v/>
      </c>
      <c r="F886" s="159"/>
      <c r="G886" s="145">
        <f t="shared" si="42"/>
        <v>0</v>
      </c>
      <c r="H886" s="140" t="str">
        <f t="shared" si="41"/>
        <v/>
      </c>
      <c r="J886" s="147" t="str">
        <f>IFERROR(SUMIFS(当年实际!$V:$V,当年实际!$F:$F,$C886,当年实际!$C:$C,"&gt;="&amp;DATE(YEAR(主页!$D$2),1,1),当年实际!$C:$C,"&lt;="&amp;EOMONTH(DATE(YEAR(主页!$D$2),MONTH(主页!$D$2),1),0))/SUMIFS(当年实际!$P:$P,当年实际!$F:$F,$C886,当年实际!$C:$C,"&gt;="&amp;DATE(YEAR(主页!$D$2),1,1),当年实际!$C:$C,"&lt;="&amp;EOMONTH(DATE(YEAR(主页!$D$2),MONTH(主页!$D$2),1),0)),"")</f>
        <v/>
      </c>
    </row>
    <row r="887" spans="1:10" x14ac:dyDescent="0.3">
      <c r="A887" s="150"/>
      <c r="B887" s="150"/>
      <c r="C887" s="150"/>
      <c r="D887" s="150"/>
      <c r="E887" s="140" t="str">
        <f t="shared" si="40"/>
        <v/>
      </c>
      <c r="F887" s="159"/>
      <c r="G887" s="145">
        <f t="shared" si="42"/>
        <v>0</v>
      </c>
      <c r="H887" s="140" t="str">
        <f t="shared" si="41"/>
        <v/>
      </c>
      <c r="J887" s="147" t="str">
        <f>IFERROR(SUMIFS(当年实际!$V:$V,当年实际!$F:$F,$C887,当年实际!$C:$C,"&gt;="&amp;DATE(YEAR(主页!$D$2),1,1),当年实际!$C:$C,"&lt;="&amp;EOMONTH(DATE(YEAR(主页!$D$2),MONTH(主页!$D$2),1),0))/SUMIFS(当年实际!$P:$P,当年实际!$F:$F,$C887,当年实际!$C:$C,"&gt;="&amp;DATE(YEAR(主页!$D$2),1,1),当年实际!$C:$C,"&lt;="&amp;EOMONTH(DATE(YEAR(主页!$D$2),MONTH(主页!$D$2),1),0)),"")</f>
        <v/>
      </c>
    </row>
    <row r="888" spans="1:10" x14ac:dyDescent="0.3">
      <c r="A888" s="150"/>
      <c r="B888" s="150"/>
      <c r="C888" s="150"/>
      <c r="D888" s="150"/>
      <c r="E888" s="140" t="str">
        <f t="shared" si="40"/>
        <v/>
      </c>
      <c r="F888" s="159"/>
      <c r="G888" s="145">
        <f t="shared" si="42"/>
        <v>0</v>
      </c>
      <c r="H888" s="140" t="str">
        <f t="shared" si="41"/>
        <v/>
      </c>
      <c r="J888" s="147" t="str">
        <f>IFERROR(SUMIFS(当年实际!$V:$V,当年实际!$F:$F,$C888,当年实际!$C:$C,"&gt;="&amp;DATE(YEAR(主页!$D$2),1,1),当年实际!$C:$C,"&lt;="&amp;EOMONTH(DATE(YEAR(主页!$D$2),MONTH(主页!$D$2),1),0))/SUMIFS(当年实际!$P:$P,当年实际!$F:$F,$C888,当年实际!$C:$C,"&gt;="&amp;DATE(YEAR(主页!$D$2),1,1),当年实际!$C:$C,"&lt;="&amp;EOMONTH(DATE(YEAR(主页!$D$2),MONTH(主页!$D$2),1),0)),"")</f>
        <v/>
      </c>
    </row>
    <row r="889" spans="1:10" x14ac:dyDescent="0.3">
      <c r="A889" s="150"/>
      <c r="B889" s="150"/>
      <c r="C889" s="150"/>
      <c r="D889" s="150"/>
      <c r="E889" s="140" t="str">
        <f t="shared" si="40"/>
        <v/>
      </c>
      <c r="F889" s="159"/>
      <c r="G889" s="145">
        <f t="shared" si="42"/>
        <v>0</v>
      </c>
      <c r="H889" s="140" t="str">
        <f t="shared" si="41"/>
        <v/>
      </c>
      <c r="J889" s="147" t="str">
        <f>IFERROR(SUMIFS(当年实际!$V:$V,当年实际!$F:$F,$C889,当年实际!$C:$C,"&gt;="&amp;DATE(YEAR(主页!$D$2),1,1),当年实际!$C:$C,"&lt;="&amp;EOMONTH(DATE(YEAR(主页!$D$2),MONTH(主页!$D$2),1),0))/SUMIFS(当年实际!$P:$P,当年实际!$F:$F,$C889,当年实际!$C:$C,"&gt;="&amp;DATE(YEAR(主页!$D$2),1,1),当年实际!$C:$C,"&lt;="&amp;EOMONTH(DATE(YEAR(主页!$D$2),MONTH(主页!$D$2),1),0)),"")</f>
        <v/>
      </c>
    </row>
    <row r="890" spans="1:10" x14ac:dyDescent="0.3">
      <c r="A890" s="150"/>
      <c r="B890" s="150"/>
      <c r="C890" s="150"/>
      <c r="D890" s="150"/>
      <c r="E890" s="140" t="str">
        <f t="shared" si="40"/>
        <v/>
      </c>
      <c r="F890" s="159"/>
      <c r="G890" s="145">
        <f t="shared" si="42"/>
        <v>0</v>
      </c>
      <c r="H890" s="140" t="str">
        <f t="shared" si="41"/>
        <v/>
      </c>
      <c r="J890" s="147" t="str">
        <f>IFERROR(SUMIFS(当年实际!$V:$V,当年实际!$F:$F,$C890,当年实际!$C:$C,"&gt;="&amp;DATE(YEAR(主页!$D$2),1,1),当年实际!$C:$C,"&lt;="&amp;EOMONTH(DATE(YEAR(主页!$D$2),MONTH(主页!$D$2),1),0))/SUMIFS(当年实际!$P:$P,当年实际!$F:$F,$C890,当年实际!$C:$C,"&gt;="&amp;DATE(YEAR(主页!$D$2),1,1),当年实际!$C:$C,"&lt;="&amp;EOMONTH(DATE(YEAR(主页!$D$2),MONTH(主页!$D$2),1),0)),"")</f>
        <v/>
      </c>
    </row>
    <row r="891" spans="1:10" x14ac:dyDescent="0.3">
      <c r="A891" s="150"/>
      <c r="B891" s="150"/>
      <c r="C891" s="150"/>
      <c r="D891" s="150"/>
      <c r="E891" s="140" t="str">
        <f t="shared" si="40"/>
        <v/>
      </c>
      <c r="F891" s="159"/>
      <c r="G891" s="145">
        <f t="shared" si="42"/>
        <v>0</v>
      </c>
      <c r="H891" s="140" t="str">
        <f t="shared" si="41"/>
        <v/>
      </c>
      <c r="J891" s="147" t="str">
        <f>IFERROR(SUMIFS(当年实际!$V:$V,当年实际!$F:$F,$C891,当年实际!$C:$C,"&gt;="&amp;DATE(YEAR(主页!$D$2),1,1),当年实际!$C:$C,"&lt;="&amp;EOMONTH(DATE(YEAR(主页!$D$2),MONTH(主页!$D$2),1),0))/SUMIFS(当年实际!$P:$P,当年实际!$F:$F,$C891,当年实际!$C:$C,"&gt;="&amp;DATE(YEAR(主页!$D$2),1,1),当年实际!$C:$C,"&lt;="&amp;EOMONTH(DATE(YEAR(主页!$D$2),MONTH(主页!$D$2),1),0)),"")</f>
        <v/>
      </c>
    </row>
    <row r="892" spans="1:10" x14ac:dyDescent="0.3">
      <c r="A892" s="150"/>
      <c r="B892" s="150"/>
      <c r="C892" s="150"/>
      <c r="D892" s="150"/>
      <c r="E892" s="140" t="str">
        <f t="shared" si="40"/>
        <v/>
      </c>
      <c r="F892" s="159"/>
      <c r="G892" s="145">
        <f t="shared" si="42"/>
        <v>0</v>
      </c>
      <c r="H892" s="140" t="str">
        <f t="shared" si="41"/>
        <v/>
      </c>
      <c r="J892" s="147" t="str">
        <f>IFERROR(SUMIFS(当年实际!$V:$V,当年实际!$F:$F,$C892,当年实际!$C:$C,"&gt;="&amp;DATE(YEAR(主页!$D$2),1,1),当年实际!$C:$C,"&lt;="&amp;EOMONTH(DATE(YEAR(主页!$D$2),MONTH(主页!$D$2),1),0))/SUMIFS(当年实际!$P:$P,当年实际!$F:$F,$C892,当年实际!$C:$C,"&gt;="&amp;DATE(YEAR(主页!$D$2),1,1),当年实际!$C:$C,"&lt;="&amp;EOMONTH(DATE(YEAR(主页!$D$2),MONTH(主页!$D$2),1),0)),"")</f>
        <v/>
      </c>
    </row>
    <row r="893" spans="1:10" x14ac:dyDescent="0.3">
      <c r="A893" s="150"/>
      <c r="B893" s="150"/>
      <c r="C893" s="150"/>
      <c r="D893" s="150"/>
      <c r="E893" s="140" t="str">
        <f t="shared" si="40"/>
        <v/>
      </c>
      <c r="F893" s="159"/>
      <c r="G893" s="145">
        <f t="shared" si="42"/>
        <v>0</v>
      </c>
      <c r="H893" s="140" t="str">
        <f t="shared" si="41"/>
        <v/>
      </c>
      <c r="J893" s="147" t="str">
        <f>IFERROR(SUMIFS(当年实际!$V:$V,当年实际!$F:$F,$C893,当年实际!$C:$C,"&gt;="&amp;DATE(YEAR(主页!$D$2),1,1),当年实际!$C:$C,"&lt;="&amp;EOMONTH(DATE(YEAR(主页!$D$2),MONTH(主页!$D$2),1),0))/SUMIFS(当年实际!$P:$P,当年实际!$F:$F,$C893,当年实际!$C:$C,"&gt;="&amp;DATE(YEAR(主页!$D$2),1,1),当年实际!$C:$C,"&lt;="&amp;EOMONTH(DATE(YEAR(主页!$D$2),MONTH(主页!$D$2),1),0)),"")</f>
        <v/>
      </c>
    </row>
    <row r="894" spans="1:10" x14ac:dyDescent="0.3">
      <c r="A894" s="150"/>
      <c r="B894" s="150"/>
      <c r="C894" s="150"/>
      <c r="D894" s="150"/>
      <c r="E894" s="140" t="str">
        <f t="shared" si="40"/>
        <v/>
      </c>
      <c r="F894" s="159"/>
      <c r="G894" s="145">
        <f t="shared" si="42"/>
        <v>0</v>
      </c>
      <c r="H894" s="140" t="str">
        <f t="shared" si="41"/>
        <v/>
      </c>
      <c r="J894" s="147" t="str">
        <f>IFERROR(SUMIFS(当年实际!$V:$V,当年实际!$F:$F,$C894,当年实际!$C:$C,"&gt;="&amp;DATE(YEAR(主页!$D$2),1,1),当年实际!$C:$C,"&lt;="&amp;EOMONTH(DATE(YEAR(主页!$D$2),MONTH(主页!$D$2),1),0))/SUMIFS(当年实际!$P:$P,当年实际!$F:$F,$C894,当年实际!$C:$C,"&gt;="&amp;DATE(YEAR(主页!$D$2),1,1),当年实际!$C:$C,"&lt;="&amp;EOMONTH(DATE(YEAR(主页!$D$2),MONTH(主页!$D$2),1),0)),"")</f>
        <v/>
      </c>
    </row>
    <row r="895" spans="1:10" x14ac:dyDescent="0.3">
      <c r="A895" s="150"/>
      <c r="B895" s="150"/>
      <c r="C895" s="150"/>
      <c r="D895" s="150"/>
      <c r="E895" s="140" t="str">
        <f t="shared" si="40"/>
        <v/>
      </c>
      <c r="F895" s="159"/>
      <c r="G895" s="145">
        <f t="shared" si="42"/>
        <v>0</v>
      </c>
      <c r="H895" s="140" t="str">
        <f t="shared" si="41"/>
        <v/>
      </c>
      <c r="J895" s="147" t="str">
        <f>IFERROR(SUMIFS(当年实际!$V:$V,当年实际!$F:$F,$C895,当年实际!$C:$C,"&gt;="&amp;DATE(YEAR(主页!$D$2),1,1),当年实际!$C:$C,"&lt;="&amp;EOMONTH(DATE(YEAR(主页!$D$2),MONTH(主页!$D$2),1),0))/SUMIFS(当年实际!$P:$P,当年实际!$F:$F,$C895,当年实际!$C:$C,"&gt;="&amp;DATE(YEAR(主页!$D$2),1,1),当年实际!$C:$C,"&lt;="&amp;EOMONTH(DATE(YEAR(主页!$D$2),MONTH(主页!$D$2),1),0)),"")</f>
        <v/>
      </c>
    </row>
    <row r="896" spans="1:10" x14ac:dyDescent="0.3">
      <c r="A896" s="150"/>
      <c r="B896" s="150"/>
      <c r="C896" s="150"/>
      <c r="D896" s="150"/>
      <c r="E896" s="140" t="str">
        <f t="shared" si="40"/>
        <v/>
      </c>
      <c r="F896" s="159"/>
      <c r="G896" s="145">
        <f t="shared" si="42"/>
        <v>0</v>
      </c>
      <c r="H896" s="140" t="str">
        <f t="shared" si="41"/>
        <v/>
      </c>
      <c r="J896" s="147" t="str">
        <f>IFERROR(SUMIFS(当年实际!$V:$V,当年实际!$F:$F,$C896,当年实际!$C:$C,"&gt;="&amp;DATE(YEAR(主页!$D$2),1,1),当年实际!$C:$C,"&lt;="&amp;EOMONTH(DATE(YEAR(主页!$D$2),MONTH(主页!$D$2),1),0))/SUMIFS(当年实际!$P:$P,当年实际!$F:$F,$C896,当年实际!$C:$C,"&gt;="&amp;DATE(YEAR(主页!$D$2),1,1),当年实际!$C:$C,"&lt;="&amp;EOMONTH(DATE(YEAR(主页!$D$2),MONTH(主页!$D$2),1),0)),"")</f>
        <v/>
      </c>
    </row>
    <row r="897" spans="1:10" x14ac:dyDescent="0.3">
      <c r="A897" s="150"/>
      <c r="B897" s="150"/>
      <c r="C897" s="150"/>
      <c r="D897" s="150"/>
      <c r="E897" s="140" t="str">
        <f t="shared" si="40"/>
        <v/>
      </c>
      <c r="F897" s="159"/>
      <c r="G897" s="145">
        <f t="shared" si="42"/>
        <v>0</v>
      </c>
      <c r="H897" s="140" t="str">
        <f t="shared" si="41"/>
        <v/>
      </c>
      <c r="J897" s="147" t="str">
        <f>IFERROR(SUMIFS(当年实际!$V:$V,当年实际!$F:$F,$C897,当年实际!$C:$C,"&gt;="&amp;DATE(YEAR(主页!$D$2),1,1),当年实际!$C:$C,"&lt;="&amp;EOMONTH(DATE(YEAR(主页!$D$2),MONTH(主页!$D$2),1),0))/SUMIFS(当年实际!$P:$P,当年实际!$F:$F,$C897,当年实际!$C:$C,"&gt;="&amp;DATE(YEAR(主页!$D$2),1,1),当年实际!$C:$C,"&lt;="&amp;EOMONTH(DATE(YEAR(主页!$D$2),MONTH(主页!$D$2),1),0)),"")</f>
        <v/>
      </c>
    </row>
    <row r="898" spans="1:10" x14ac:dyDescent="0.3">
      <c r="A898" s="150"/>
      <c r="B898" s="150"/>
      <c r="C898" s="150"/>
      <c r="D898" s="150"/>
      <c r="E898" s="140" t="str">
        <f t="shared" si="40"/>
        <v/>
      </c>
      <c r="F898" s="159"/>
      <c r="G898" s="145">
        <f t="shared" si="42"/>
        <v>0</v>
      </c>
      <c r="H898" s="140" t="str">
        <f t="shared" si="41"/>
        <v/>
      </c>
      <c r="J898" s="147" t="str">
        <f>IFERROR(SUMIFS(当年实际!$V:$V,当年实际!$F:$F,$C898,当年实际!$C:$C,"&gt;="&amp;DATE(YEAR(主页!$D$2),1,1),当年实际!$C:$C,"&lt;="&amp;EOMONTH(DATE(YEAR(主页!$D$2),MONTH(主页!$D$2),1),0))/SUMIFS(当年实际!$P:$P,当年实际!$F:$F,$C898,当年实际!$C:$C,"&gt;="&amp;DATE(YEAR(主页!$D$2),1,1),当年实际!$C:$C,"&lt;="&amp;EOMONTH(DATE(YEAR(主页!$D$2),MONTH(主页!$D$2),1),0)),"")</f>
        <v/>
      </c>
    </row>
    <row r="899" spans="1:10" x14ac:dyDescent="0.3">
      <c r="A899" s="150"/>
      <c r="B899" s="150"/>
      <c r="C899" s="150"/>
      <c r="D899" s="150"/>
      <c r="E899" s="140" t="str">
        <f t="shared" si="40"/>
        <v/>
      </c>
      <c r="F899" s="159"/>
      <c r="G899" s="145">
        <f t="shared" si="42"/>
        <v>0</v>
      </c>
      <c r="H899" s="140" t="str">
        <f t="shared" si="41"/>
        <v/>
      </c>
      <c r="J899" s="147" t="str">
        <f>IFERROR(SUMIFS(当年实际!$V:$V,当年实际!$F:$F,$C899,当年实际!$C:$C,"&gt;="&amp;DATE(YEAR(主页!$D$2),1,1),当年实际!$C:$C,"&lt;="&amp;EOMONTH(DATE(YEAR(主页!$D$2),MONTH(主页!$D$2),1),0))/SUMIFS(当年实际!$P:$P,当年实际!$F:$F,$C899,当年实际!$C:$C,"&gt;="&amp;DATE(YEAR(主页!$D$2),1,1),当年实际!$C:$C,"&lt;="&amp;EOMONTH(DATE(YEAR(主页!$D$2),MONTH(主页!$D$2),1),0)),"")</f>
        <v/>
      </c>
    </row>
    <row r="900" spans="1:10" x14ac:dyDescent="0.3">
      <c r="A900" s="150"/>
      <c r="B900" s="150"/>
      <c r="C900" s="150"/>
      <c r="D900" s="150"/>
      <c r="E900" s="140" t="str">
        <f t="shared" ref="E900:E963" si="43">IF(D900/SUM(D:D)=0,"",D900/SUM(D:D))</f>
        <v/>
      </c>
      <c r="F900" s="159"/>
      <c r="G900" s="145">
        <f t="shared" si="42"/>
        <v>0</v>
      </c>
      <c r="H900" s="140" t="str">
        <f t="shared" ref="H900:H963" si="44">IF(G900/SUM(G:G)=0,"",G900/SUM(G:G))</f>
        <v/>
      </c>
      <c r="J900" s="147" t="str">
        <f>IFERROR(SUMIFS(当年实际!$V:$V,当年实际!$F:$F,$C900,当年实际!$C:$C,"&gt;="&amp;DATE(YEAR(主页!$D$2),1,1),当年实际!$C:$C,"&lt;="&amp;EOMONTH(DATE(YEAR(主页!$D$2),MONTH(主页!$D$2),1),0))/SUMIFS(当年实际!$P:$P,当年实际!$F:$F,$C900,当年实际!$C:$C,"&gt;="&amp;DATE(YEAR(主页!$D$2),1,1),当年实际!$C:$C,"&lt;="&amp;EOMONTH(DATE(YEAR(主页!$D$2),MONTH(主页!$D$2),1),0)),"")</f>
        <v/>
      </c>
    </row>
    <row r="901" spans="1:10" x14ac:dyDescent="0.3">
      <c r="A901" s="150"/>
      <c r="B901" s="150"/>
      <c r="C901" s="150"/>
      <c r="D901" s="150"/>
      <c r="E901" s="140" t="str">
        <f t="shared" si="43"/>
        <v/>
      </c>
      <c r="F901" s="159"/>
      <c r="G901" s="145">
        <f t="shared" si="42"/>
        <v>0</v>
      </c>
      <c r="H901" s="140" t="str">
        <f t="shared" si="44"/>
        <v/>
      </c>
      <c r="J901" s="147" t="str">
        <f>IFERROR(SUMIFS(当年实际!$V:$V,当年实际!$F:$F,$C901,当年实际!$C:$C,"&gt;="&amp;DATE(YEAR(主页!$D$2),1,1),当年实际!$C:$C,"&lt;="&amp;EOMONTH(DATE(YEAR(主页!$D$2),MONTH(主页!$D$2),1),0))/SUMIFS(当年实际!$P:$P,当年实际!$F:$F,$C901,当年实际!$C:$C,"&gt;="&amp;DATE(YEAR(主页!$D$2),1,1),当年实际!$C:$C,"&lt;="&amp;EOMONTH(DATE(YEAR(主页!$D$2),MONTH(主页!$D$2),1),0)),"")</f>
        <v/>
      </c>
    </row>
    <row r="902" spans="1:10" x14ac:dyDescent="0.3">
      <c r="A902" s="150"/>
      <c r="B902" s="150"/>
      <c r="C902" s="150"/>
      <c r="D902" s="150"/>
      <c r="E902" s="140" t="str">
        <f t="shared" si="43"/>
        <v/>
      </c>
      <c r="F902" s="159"/>
      <c r="G902" s="145">
        <f t="shared" si="42"/>
        <v>0</v>
      </c>
      <c r="H902" s="140" t="str">
        <f t="shared" si="44"/>
        <v/>
      </c>
      <c r="J902" s="147" t="str">
        <f>IFERROR(SUMIFS(当年实际!$V:$V,当年实际!$F:$F,$C902,当年实际!$C:$C,"&gt;="&amp;DATE(YEAR(主页!$D$2),1,1),当年实际!$C:$C,"&lt;="&amp;EOMONTH(DATE(YEAR(主页!$D$2),MONTH(主页!$D$2),1),0))/SUMIFS(当年实际!$P:$P,当年实际!$F:$F,$C902,当年实际!$C:$C,"&gt;="&amp;DATE(YEAR(主页!$D$2),1,1),当年实际!$C:$C,"&lt;="&amp;EOMONTH(DATE(YEAR(主页!$D$2),MONTH(主页!$D$2),1),0)),"")</f>
        <v/>
      </c>
    </row>
    <row r="903" spans="1:10" x14ac:dyDescent="0.3">
      <c r="A903" s="150"/>
      <c r="B903" s="150"/>
      <c r="C903" s="150"/>
      <c r="D903" s="150"/>
      <c r="E903" s="140" t="str">
        <f t="shared" si="43"/>
        <v/>
      </c>
      <c r="F903" s="159"/>
      <c r="G903" s="145">
        <f t="shared" si="42"/>
        <v>0</v>
      </c>
      <c r="H903" s="140" t="str">
        <f t="shared" si="44"/>
        <v/>
      </c>
      <c r="J903" s="147" t="str">
        <f>IFERROR(SUMIFS(当年实际!$V:$V,当年实际!$F:$F,$C903,当年实际!$C:$C,"&gt;="&amp;DATE(YEAR(主页!$D$2),1,1),当年实际!$C:$C,"&lt;="&amp;EOMONTH(DATE(YEAR(主页!$D$2),MONTH(主页!$D$2),1),0))/SUMIFS(当年实际!$P:$P,当年实际!$F:$F,$C903,当年实际!$C:$C,"&gt;="&amp;DATE(YEAR(主页!$D$2),1,1),当年实际!$C:$C,"&lt;="&amp;EOMONTH(DATE(YEAR(主页!$D$2),MONTH(主页!$D$2),1),0)),"")</f>
        <v/>
      </c>
    </row>
    <row r="904" spans="1:10" x14ac:dyDescent="0.3">
      <c r="A904" s="150"/>
      <c r="B904" s="150"/>
      <c r="C904" s="150"/>
      <c r="D904" s="150"/>
      <c r="E904" s="140" t="str">
        <f t="shared" si="43"/>
        <v/>
      </c>
      <c r="F904" s="159"/>
      <c r="G904" s="145">
        <f t="shared" ref="G904:G967" si="45">D904*F904</f>
        <v>0</v>
      </c>
      <c r="H904" s="140" t="str">
        <f t="shared" si="44"/>
        <v/>
      </c>
      <c r="J904" s="147" t="str">
        <f>IFERROR(SUMIFS(当年实际!$V:$V,当年实际!$F:$F,$C904,当年实际!$C:$C,"&gt;="&amp;DATE(YEAR(主页!$D$2),1,1),当年实际!$C:$C,"&lt;="&amp;EOMONTH(DATE(YEAR(主页!$D$2),MONTH(主页!$D$2),1),0))/SUMIFS(当年实际!$P:$P,当年实际!$F:$F,$C904,当年实际!$C:$C,"&gt;="&amp;DATE(YEAR(主页!$D$2),1,1),当年实际!$C:$C,"&lt;="&amp;EOMONTH(DATE(YEAR(主页!$D$2),MONTH(主页!$D$2),1),0)),"")</f>
        <v/>
      </c>
    </row>
    <row r="905" spans="1:10" x14ac:dyDescent="0.3">
      <c r="A905" s="150"/>
      <c r="B905" s="150"/>
      <c r="C905" s="150"/>
      <c r="D905" s="150"/>
      <c r="E905" s="140" t="str">
        <f t="shared" si="43"/>
        <v/>
      </c>
      <c r="F905" s="159"/>
      <c r="G905" s="145">
        <f t="shared" si="45"/>
        <v>0</v>
      </c>
      <c r="H905" s="140" t="str">
        <f t="shared" si="44"/>
        <v/>
      </c>
      <c r="J905" s="147" t="str">
        <f>IFERROR(SUMIFS(当年实际!$V:$V,当年实际!$F:$F,$C905,当年实际!$C:$C,"&gt;="&amp;DATE(YEAR(主页!$D$2),1,1),当年实际!$C:$C,"&lt;="&amp;EOMONTH(DATE(YEAR(主页!$D$2),MONTH(主页!$D$2),1),0))/SUMIFS(当年实际!$P:$P,当年实际!$F:$F,$C905,当年实际!$C:$C,"&gt;="&amp;DATE(YEAR(主页!$D$2),1,1),当年实际!$C:$C,"&lt;="&amp;EOMONTH(DATE(YEAR(主页!$D$2),MONTH(主页!$D$2),1),0)),"")</f>
        <v/>
      </c>
    </row>
    <row r="906" spans="1:10" x14ac:dyDescent="0.3">
      <c r="A906" s="150"/>
      <c r="B906" s="150"/>
      <c r="C906" s="150"/>
      <c r="D906" s="150"/>
      <c r="E906" s="140" t="str">
        <f t="shared" si="43"/>
        <v/>
      </c>
      <c r="F906" s="159"/>
      <c r="G906" s="145">
        <f t="shared" si="45"/>
        <v>0</v>
      </c>
      <c r="H906" s="140" t="str">
        <f t="shared" si="44"/>
        <v/>
      </c>
      <c r="J906" s="147" t="str">
        <f>IFERROR(SUMIFS(当年实际!$V:$V,当年实际!$F:$F,$C906,当年实际!$C:$C,"&gt;="&amp;DATE(YEAR(主页!$D$2),1,1),当年实际!$C:$C,"&lt;="&amp;EOMONTH(DATE(YEAR(主页!$D$2),MONTH(主页!$D$2),1),0))/SUMIFS(当年实际!$P:$P,当年实际!$F:$F,$C906,当年实际!$C:$C,"&gt;="&amp;DATE(YEAR(主页!$D$2),1,1),当年实际!$C:$C,"&lt;="&amp;EOMONTH(DATE(YEAR(主页!$D$2),MONTH(主页!$D$2),1),0)),"")</f>
        <v/>
      </c>
    </row>
    <row r="907" spans="1:10" x14ac:dyDescent="0.3">
      <c r="A907" s="150"/>
      <c r="B907" s="150"/>
      <c r="C907" s="150"/>
      <c r="D907" s="150"/>
      <c r="E907" s="140" t="str">
        <f t="shared" si="43"/>
        <v/>
      </c>
      <c r="F907" s="159"/>
      <c r="G907" s="145">
        <f t="shared" si="45"/>
        <v>0</v>
      </c>
      <c r="H907" s="140" t="str">
        <f t="shared" si="44"/>
        <v/>
      </c>
      <c r="J907" s="147" t="str">
        <f>IFERROR(SUMIFS(当年实际!$V:$V,当年实际!$F:$F,$C907,当年实际!$C:$C,"&gt;="&amp;DATE(YEAR(主页!$D$2),1,1),当年实际!$C:$C,"&lt;="&amp;EOMONTH(DATE(YEAR(主页!$D$2),MONTH(主页!$D$2),1),0))/SUMIFS(当年实际!$P:$P,当年实际!$F:$F,$C907,当年实际!$C:$C,"&gt;="&amp;DATE(YEAR(主页!$D$2),1,1),当年实际!$C:$C,"&lt;="&amp;EOMONTH(DATE(YEAR(主页!$D$2),MONTH(主页!$D$2),1),0)),"")</f>
        <v/>
      </c>
    </row>
    <row r="908" spans="1:10" x14ac:dyDescent="0.3">
      <c r="A908" s="150"/>
      <c r="B908" s="150"/>
      <c r="C908" s="150"/>
      <c r="D908" s="150"/>
      <c r="E908" s="140" t="str">
        <f t="shared" si="43"/>
        <v/>
      </c>
      <c r="F908" s="159"/>
      <c r="G908" s="145">
        <f t="shared" si="45"/>
        <v>0</v>
      </c>
      <c r="H908" s="140" t="str">
        <f t="shared" si="44"/>
        <v/>
      </c>
      <c r="J908" s="147" t="str">
        <f>IFERROR(SUMIFS(当年实际!$V:$V,当年实际!$F:$F,$C908,当年实际!$C:$C,"&gt;="&amp;DATE(YEAR(主页!$D$2),1,1),当年实际!$C:$C,"&lt;="&amp;EOMONTH(DATE(YEAR(主页!$D$2),MONTH(主页!$D$2),1),0))/SUMIFS(当年实际!$P:$P,当年实际!$F:$F,$C908,当年实际!$C:$C,"&gt;="&amp;DATE(YEAR(主页!$D$2),1,1),当年实际!$C:$C,"&lt;="&amp;EOMONTH(DATE(YEAR(主页!$D$2),MONTH(主页!$D$2),1),0)),"")</f>
        <v/>
      </c>
    </row>
    <row r="909" spans="1:10" x14ac:dyDescent="0.3">
      <c r="A909" s="150"/>
      <c r="B909" s="150"/>
      <c r="C909" s="150"/>
      <c r="D909" s="150"/>
      <c r="E909" s="140" t="str">
        <f t="shared" si="43"/>
        <v/>
      </c>
      <c r="F909" s="159"/>
      <c r="G909" s="145">
        <f t="shared" si="45"/>
        <v>0</v>
      </c>
      <c r="H909" s="140" t="str">
        <f t="shared" si="44"/>
        <v/>
      </c>
      <c r="J909" s="147" t="str">
        <f>IFERROR(SUMIFS(当年实际!$V:$V,当年实际!$F:$F,$C909,当年实际!$C:$C,"&gt;="&amp;DATE(YEAR(主页!$D$2),1,1),当年实际!$C:$C,"&lt;="&amp;EOMONTH(DATE(YEAR(主页!$D$2),MONTH(主页!$D$2),1),0))/SUMIFS(当年实际!$P:$P,当年实际!$F:$F,$C909,当年实际!$C:$C,"&gt;="&amp;DATE(YEAR(主页!$D$2),1,1),当年实际!$C:$C,"&lt;="&amp;EOMONTH(DATE(YEAR(主页!$D$2),MONTH(主页!$D$2),1),0)),"")</f>
        <v/>
      </c>
    </row>
    <row r="910" spans="1:10" x14ac:dyDescent="0.3">
      <c r="A910" s="150"/>
      <c r="B910" s="150"/>
      <c r="C910" s="150"/>
      <c r="D910" s="150"/>
      <c r="E910" s="140" t="str">
        <f t="shared" si="43"/>
        <v/>
      </c>
      <c r="F910" s="159"/>
      <c r="G910" s="145">
        <f t="shared" si="45"/>
        <v>0</v>
      </c>
      <c r="H910" s="140" t="str">
        <f t="shared" si="44"/>
        <v/>
      </c>
      <c r="J910" s="147" t="str">
        <f>IFERROR(SUMIFS(当年实际!$V:$V,当年实际!$F:$F,$C910,当年实际!$C:$C,"&gt;="&amp;DATE(YEAR(主页!$D$2),1,1),当年实际!$C:$C,"&lt;="&amp;EOMONTH(DATE(YEAR(主页!$D$2),MONTH(主页!$D$2),1),0))/SUMIFS(当年实际!$P:$P,当年实际!$F:$F,$C910,当年实际!$C:$C,"&gt;="&amp;DATE(YEAR(主页!$D$2),1,1),当年实际!$C:$C,"&lt;="&amp;EOMONTH(DATE(YEAR(主页!$D$2),MONTH(主页!$D$2),1),0)),"")</f>
        <v/>
      </c>
    </row>
    <row r="911" spans="1:10" x14ac:dyDescent="0.3">
      <c r="A911" s="150"/>
      <c r="B911" s="150"/>
      <c r="C911" s="150"/>
      <c r="D911" s="150"/>
      <c r="E911" s="140" t="str">
        <f t="shared" si="43"/>
        <v/>
      </c>
      <c r="F911" s="159"/>
      <c r="G911" s="145">
        <f t="shared" si="45"/>
        <v>0</v>
      </c>
      <c r="H911" s="140" t="str">
        <f t="shared" si="44"/>
        <v/>
      </c>
      <c r="J911" s="147" t="str">
        <f>IFERROR(SUMIFS(当年实际!$V:$V,当年实际!$F:$F,$C911,当年实际!$C:$C,"&gt;="&amp;DATE(YEAR(主页!$D$2),1,1),当年实际!$C:$C,"&lt;="&amp;EOMONTH(DATE(YEAR(主页!$D$2),MONTH(主页!$D$2),1),0))/SUMIFS(当年实际!$P:$P,当年实际!$F:$F,$C911,当年实际!$C:$C,"&gt;="&amp;DATE(YEAR(主页!$D$2),1,1),当年实际!$C:$C,"&lt;="&amp;EOMONTH(DATE(YEAR(主页!$D$2),MONTH(主页!$D$2),1),0)),"")</f>
        <v/>
      </c>
    </row>
    <row r="912" spans="1:10" x14ac:dyDescent="0.3">
      <c r="A912" s="150"/>
      <c r="B912" s="150"/>
      <c r="C912" s="150"/>
      <c r="D912" s="150"/>
      <c r="E912" s="140" t="str">
        <f t="shared" si="43"/>
        <v/>
      </c>
      <c r="F912" s="159"/>
      <c r="G912" s="145">
        <f t="shared" si="45"/>
        <v>0</v>
      </c>
      <c r="H912" s="140" t="str">
        <f t="shared" si="44"/>
        <v/>
      </c>
      <c r="J912" s="147" t="str">
        <f>IFERROR(SUMIFS(当年实际!$V:$V,当年实际!$F:$F,$C912,当年实际!$C:$C,"&gt;="&amp;DATE(YEAR(主页!$D$2),1,1),当年实际!$C:$C,"&lt;="&amp;EOMONTH(DATE(YEAR(主页!$D$2),MONTH(主页!$D$2),1),0))/SUMIFS(当年实际!$P:$P,当年实际!$F:$F,$C912,当年实际!$C:$C,"&gt;="&amp;DATE(YEAR(主页!$D$2),1,1),当年实际!$C:$C,"&lt;="&amp;EOMONTH(DATE(YEAR(主页!$D$2),MONTH(主页!$D$2),1),0)),"")</f>
        <v/>
      </c>
    </row>
    <row r="913" spans="1:10" x14ac:dyDescent="0.3">
      <c r="A913" s="150"/>
      <c r="B913" s="150"/>
      <c r="C913" s="150"/>
      <c r="D913" s="150"/>
      <c r="E913" s="140" t="str">
        <f t="shared" si="43"/>
        <v/>
      </c>
      <c r="F913" s="159"/>
      <c r="G913" s="145">
        <f t="shared" si="45"/>
        <v>0</v>
      </c>
      <c r="H913" s="140" t="str">
        <f t="shared" si="44"/>
        <v/>
      </c>
      <c r="J913" s="147" t="str">
        <f>IFERROR(SUMIFS(当年实际!$V:$V,当年实际!$F:$F,$C913,当年实际!$C:$C,"&gt;="&amp;DATE(YEAR(主页!$D$2),1,1),当年实际!$C:$C,"&lt;="&amp;EOMONTH(DATE(YEAR(主页!$D$2),MONTH(主页!$D$2),1),0))/SUMIFS(当年实际!$P:$P,当年实际!$F:$F,$C913,当年实际!$C:$C,"&gt;="&amp;DATE(YEAR(主页!$D$2),1,1),当年实际!$C:$C,"&lt;="&amp;EOMONTH(DATE(YEAR(主页!$D$2),MONTH(主页!$D$2),1),0)),"")</f>
        <v/>
      </c>
    </row>
    <row r="914" spans="1:10" x14ac:dyDescent="0.3">
      <c r="A914" s="150"/>
      <c r="B914" s="150"/>
      <c r="C914" s="150"/>
      <c r="D914" s="150"/>
      <c r="E914" s="140" t="str">
        <f t="shared" si="43"/>
        <v/>
      </c>
      <c r="F914" s="159"/>
      <c r="G914" s="145">
        <f t="shared" si="45"/>
        <v>0</v>
      </c>
      <c r="H914" s="140" t="str">
        <f t="shared" si="44"/>
        <v/>
      </c>
      <c r="J914" s="147" t="str">
        <f>IFERROR(SUMIFS(当年实际!$V:$V,当年实际!$F:$F,$C914,当年实际!$C:$C,"&gt;="&amp;DATE(YEAR(主页!$D$2),1,1),当年实际!$C:$C,"&lt;="&amp;EOMONTH(DATE(YEAR(主页!$D$2),MONTH(主页!$D$2),1),0))/SUMIFS(当年实际!$P:$P,当年实际!$F:$F,$C914,当年实际!$C:$C,"&gt;="&amp;DATE(YEAR(主页!$D$2),1,1),当年实际!$C:$C,"&lt;="&amp;EOMONTH(DATE(YEAR(主页!$D$2),MONTH(主页!$D$2),1),0)),"")</f>
        <v/>
      </c>
    </row>
    <row r="915" spans="1:10" x14ac:dyDescent="0.3">
      <c r="A915" s="150"/>
      <c r="B915" s="150"/>
      <c r="C915" s="150"/>
      <c r="D915" s="150"/>
      <c r="E915" s="140" t="str">
        <f t="shared" si="43"/>
        <v/>
      </c>
      <c r="F915" s="159"/>
      <c r="G915" s="145">
        <f t="shared" si="45"/>
        <v>0</v>
      </c>
      <c r="H915" s="140" t="str">
        <f t="shared" si="44"/>
        <v/>
      </c>
      <c r="J915" s="147" t="str">
        <f>IFERROR(SUMIFS(当年实际!$V:$V,当年实际!$F:$F,$C915,当年实际!$C:$C,"&gt;="&amp;DATE(YEAR(主页!$D$2),1,1),当年实际!$C:$C,"&lt;="&amp;EOMONTH(DATE(YEAR(主页!$D$2),MONTH(主页!$D$2),1),0))/SUMIFS(当年实际!$P:$P,当年实际!$F:$F,$C915,当年实际!$C:$C,"&gt;="&amp;DATE(YEAR(主页!$D$2),1,1),当年实际!$C:$C,"&lt;="&amp;EOMONTH(DATE(YEAR(主页!$D$2),MONTH(主页!$D$2),1),0)),"")</f>
        <v/>
      </c>
    </row>
    <row r="916" spans="1:10" x14ac:dyDescent="0.3">
      <c r="A916" s="150"/>
      <c r="B916" s="150"/>
      <c r="C916" s="150"/>
      <c r="D916" s="150"/>
      <c r="E916" s="140" t="str">
        <f t="shared" si="43"/>
        <v/>
      </c>
      <c r="F916" s="159"/>
      <c r="G916" s="145">
        <f t="shared" si="45"/>
        <v>0</v>
      </c>
      <c r="H916" s="140" t="str">
        <f t="shared" si="44"/>
        <v/>
      </c>
      <c r="J916" s="147" t="str">
        <f>IFERROR(SUMIFS(当年实际!$V:$V,当年实际!$F:$F,$C916,当年实际!$C:$C,"&gt;="&amp;DATE(YEAR(主页!$D$2),1,1),当年实际!$C:$C,"&lt;="&amp;EOMONTH(DATE(YEAR(主页!$D$2),MONTH(主页!$D$2),1),0))/SUMIFS(当年实际!$P:$P,当年实际!$F:$F,$C916,当年实际!$C:$C,"&gt;="&amp;DATE(YEAR(主页!$D$2),1,1),当年实际!$C:$C,"&lt;="&amp;EOMONTH(DATE(YEAR(主页!$D$2),MONTH(主页!$D$2),1),0)),"")</f>
        <v/>
      </c>
    </row>
    <row r="917" spans="1:10" x14ac:dyDescent="0.3">
      <c r="A917" s="150"/>
      <c r="B917" s="150"/>
      <c r="C917" s="150"/>
      <c r="D917" s="150"/>
      <c r="E917" s="140" t="str">
        <f t="shared" si="43"/>
        <v/>
      </c>
      <c r="F917" s="159"/>
      <c r="G917" s="145">
        <f t="shared" si="45"/>
        <v>0</v>
      </c>
      <c r="H917" s="140" t="str">
        <f t="shared" si="44"/>
        <v/>
      </c>
      <c r="J917" s="147" t="str">
        <f>IFERROR(SUMIFS(当年实际!$V:$V,当年实际!$F:$F,$C917,当年实际!$C:$C,"&gt;="&amp;DATE(YEAR(主页!$D$2),1,1),当年实际!$C:$C,"&lt;="&amp;EOMONTH(DATE(YEAR(主页!$D$2),MONTH(主页!$D$2),1),0))/SUMIFS(当年实际!$P:$P,当年实际!$F:$F,$C917,当年实际!$C:$C,"&gt;="&amp;DATE(YEAR(主页!$D$2),1,1),当年实际!$C:$C,"&lt;="&amp;EOMONTH(DATE(YEAR(主页!$D$2),MONTH(主页!$D$2),1),0)),"")</f>
        <v/>
      </c>
    </row>
    <row r="918" spans="1:10" x14ac:dyDescent="0.3">
      <c r="A918" s="150"/>
      <c r="B918" s="150"/>
      <c r="C918" s="150"/>
      <c r="D918" s="150"/>
      <c r="E918" s="140" t="str">
        <f t="shared" si="43"/>
        <v/>
      </c>
      <c r="F918" s="159"/>
      <c r="G918" s="145">
        <f t="shared" si="45"/>
        <v>0</v>
      </c>
      <c r="H918" s="140" t="str">
        <f t="shared" si="44"/>
        <v/>
      </c>
      <c r="J918" s="147" t="str">
        <f>IFERROR(SUMIFS(当年实际!$V:$V,当年实际!$F:$F,$C918,当年实际!$C:$C,"&gt;="&amp;DATE(YEAR(主页!$D$2),1,1),当年实际!$C:$C,"&lt;="&amp;EOMONTH(DATE(YEAR(主页!$D$2),MONTH(主页!$D$2),1),0))/SUMIFS(当年实际!$P:$P,当年实际!$F:$F,$C918,当年实际!$C:$C,"&gt;="&amp;DATE(YEAR(主页!$D$2),1,1),当年实际!$C:$C,"&lt;="&amp;EOMONTH(DATE(YEAR(主页!$D$2),MONTH(主页!$D$2),1),0)),"")</f>
        <v/>
      </c>
    </row>
    <row r="919" spans="1:10" x14ac:dyDescent="0.3">
      <c r="A919" s="150"/>
      <c r="B919" s="150"/>
      <c r="C919" s="150"/>
      <c r="D919" s="150"/>
      <c r="E919" s="140" t="str">
        <f t="shared" si="43"/>
        <v/>
      </c>
      <c r="F919" s="159"/>
      <c r="G919" s="145">
        <f t="shared" si="45"/>
        <v>0</v>
      </c>
      <c r="H919" s="140" t="str">
        <f t="shared" si="44"/>
        <v/>
      </c>
      <c r="J919" s="147" t="str">
        <f>IFERROR(SUMIFS(当年实际!$V:$V,当年实际!$F:$F,$C919,当年实际!$C:$C,"&gt;="&amp;DATE(YEAR(主页!$D$2),1,1),当年实际!$C:$C,"&lt;="&amp;EOMONTH(DATE(YEAR(主页!$D$2),MONTH(主页!$D$2),1),0))/SUMIFS(当年实际!$P:$P,当年实际!$F:$F,$C919,当年实际!$C:$C,"&gt;="&amp;DATE(YEAR(主页!$D$2),1,1),当年实际!$C:$C,"&lt;="&amp;EOMONTH(DATE(YEAR(主页!$D$2),MONTH(主页!$D$2),1),0)),"")</f>
        <v/>
      </c>
    </row>
    <row r="920" spans="1:10" x14ac:dyDescent="0.3">
      <c r="A920" s="150"/>
      <c r="B920" s="150"/>
      <c r="C920" s="150"/>
      <c r="D920" s="150"/>
      <c r="E920" s="140" t="str">
        <f t="shared" si="43"/>
        <v/>
      </c>
      <c r="F920" s="159"/>
      <c r="G920" s="145">
        <f t="shared" si="45"/>
        <v>0</v>
      </c>
      <c r="H920" s="140" t="str">
        <f t="shared" si="44"/>
        <v/>
      </c>
      <c r="J920" s="147" t="str">
        <f>IFERROR(SUMIFS(当年实际!$V:$V,当年实际!$F:$F,$C920,当年实际!$C:$C,"&gt;="&amp;DATE(YEAR(主页!$D$2),1,1),当年实际!$C:$C,"&lt;="&amp;EOMONTH(DATE(YEAR(主页!$D$2),MONTH(主页!$D$2),1),0))/SUMIFS(当年实际!$P:$P,当年实际!$F:$F,$C920,当年实际!$C:$C,"&gt;="&amp;DATE(YEAR(主页!$D$2),1,1),当年实际!$C:$C,"&lt;="&amp;EOMONTH(DATE(YEAR(主页!$D$2),MONTH(主页!$D$2),1),0)),"")</f>
        <v/>
      </c>
    </row>
    <row r="921" spans="1:10" x14ac:dyDescent="0.3">
      <c r="A921" s="150"/>
      <c r="B921" s="150"/>
      <c r="C921" s="150"/>
      <c r="D921" s="150"/>
      <c r="E921" s="140" t="str">
        <f t="shared" si="43"/>
        <v/>
      </c>
      <c r="F921" s="159"/>
      <c r="G921" s="145">
        <f t="shared" si="45"/>
        <v>0</v>
      </c>
      <c r="H921" s="140" t="str">
        <f t="shared" si="44"/>
        <v/>
      </c>
      <c r="J921" s="147" t="str">
        <f>IFERROR(SUMIFS(当年实际!$V:$V,当年实际!$F:$F,$C921,当年实际!$C:$C,"&gt;="&amp;DATE(YEAR(主页!$D$2),1,1),当年实际!$C:$C,"&lt;="&amp;EOMONTH(DATE(YEAR(主页!$D$2),MONTH(主页!$D$2),1),0))/SUMIFS(当年实际!$P:$P,当年实际!$F:$F,$C921,当年实际!$C:$C,"&gt;="&amp;DATE(YEAR(主页!$D$2),1,1),当年实际!$C:$C,"&lt;="&amp;EOMONTH(DATE(YEAR(主页!$D$2),MONTH(主页!$D$2),1),0)),"")</f>
        <v/>
      </c>
    </row>
    <row r="922" spans="1:10" x14ac:dyDescent="0.3">
      <c r="A922" s="150"/>
      <c r="B922" s="150"/>
      <c r="C922" s="150"/>
      <c r="D922" s="150"/>
      <c r="E922" s="140" t="str">
        <f t="shared" si="43"/>
        <v/>
      </c>
      <c r="F922" s="159"/>
      <c r="G922" s="145">
        <f t="shared" si="45"/>
        <v>0</v>
      </c>
      <c r="H922" s="140" t="str">
        <f t="shared" si="44"/>
        <v/>
      </c>
      <c r="J922" s="147" t="str">
        <f>IFERROR(SUMIFS(当年实际!$V:$V,当年实际!$F:$F,$C922,当年实际!$C:$C,"&gt;="&amp;DATE(YEAR(主页!$D$2),1,1),当年实际!$C:$C,"&lt;="&amp;EOMONTH(DATE(YEAR(主页!$D$2),MONTH(主页!$D$2),1),0))/SUMIFS(当年实际!$P:$P,当年实际!$F:$F,$C922,当年实际!$C:$C,"&gt;="&amp;DATE(YEAR(主页!$D$2),1,1),当年实际!$C:$C,"&lt;="&amp;EOMONTH(DATE(YEAR(主页!$D$2),MONTH(主页!$D$2),1),0)),"")</f>
        <v/>
      </c>
    </row>
    <row r="923" spans="1:10" x14ac:dyDescent="0.3">
      <c r="A923" s="150"/>
      <c r="B923" s="150"/>
      <c r="C923" s="150"/>
      <c r="D923" s="150"/>
      <c r="E923" s="140" t="str">
        <f t="shared" si="43"/>
        <v/>
      </c>
      <c r="F923" s="159"/>
      <c r="G923" s="145">
        <f t="shared" si="45"/>
        <v>0</v>
      </c>
      <c r="H923" s="140" t="str">
        <f t="shared" si="44"/>
        <v/>
      </c>
      <c r="J923" s="147" t="str">
        <f>IFERROR(SUMIFS(当年实际!$V:$V,当年实际!$F:$F,$C923,当年实际!$C:$C,"&gt;="&amp;DATE(YEAR(主页!$D$2),1,1),当年实际!$C:$C,"&lt;="&amp;EOMONTH(DATE(YEAR(主页!$D$2),MONTH(主页!$D$2),1),0))/SUMIFS(当年实际!$P:$P,当年实际!$F:$F,$C923,当年实际!$C:$C,"&gt;="&amp;DATE(YEAR(主页!$D$2),1,1),当年实际!$C:$C,"&lt;="&amp;EOMONTH(DATE(YEAR(主页!$D$2),MONTH(主页!$D$2),1),0)),"")</f>
        <v/>
      </c>
    </row>
    <row r="924" spans="1:10" x14ac:dyDescent="0.3">
      <c r="A924" s="150"/>
      <c r="B924" s="150"/>
      <c r="C924" s="150"/>
      <c r="D924" s="150"/>
      <c r="E924" s="140" t="str">
        <f t="shared" si="43"/>
        <v/>
      </c>
      <c r="F924" s="159"/>
      <c r="G924" s="145">
        <f t="shared" si="45"/>
        <v>0</v>
      </c>
      <c r="H924" s="140" t="str">
        <f t="shared" si="44"/>
        <v/>
      </c>
      <c r="J924" s="147" t="str">
        <f>IFERROR(SUMIFS(当年实际!$V:$V,当年实际!$F:$F,$C924,当年实际!$C:$C,"&gt;="&amp;DATE(YEAR(主页!$D$2),1,1),当年实际!$C:$C,"&lt;="&amp;EOMONTH(DATE(YEAR(主页!$D$2),MONTH(主页!$D$2),1),0))/SUMIFS(当年实际!$P:$P,当年实际!$F:$F,$C924,当年实际!$C:$C,"&gt;="&amp;DATE(YEAR(主页!$D$2),1,1),当年实际!$C:$C,"&lt;="&amp;EOMONTH(DATE(YEAR(主页!$D$2),MONTH(主页!$D$2),1),0)),"")</f>
        <v/>
      </c>
    </row>
    <row r="925" spans="1:10" x14ac:dyDescent="0.3">
      <c r="A925" s="150"/>
      <c r="B925" s="150"/>
      <c r="C925" s="150"/>
      <c r="D925" s="150"/>
      <c r="E925" s="140" t="str">
        <f t="shared" si="43"/>
        <v/>
      </c>
      <c r="F925" s="159"/>
      <c r="G925" s="145">
        <f t="shared" si="45"/>
        <v>0</v>
      </c>
      <c r="H925" s="140" t="str">
        <f t="shared" si="44"/>
        <v/>
      </c>
      <c r="J925" s="147" t="str">
        <f>IFERROR(SUMIFS(当年实际!$V:$V,当年实际!$F:$F,$C925,当年实际!$C:$C,"&gt;="&amp;DATE(YEAR(主页!$D$2),1,1),当年实际!$C:$C,"&lt;="&amp;EOMONTH(DATE(YEAR(主页!$D$2),MONTH(主页!$D$2),1),0))/SUMIFS(当年实际!$P:$P,当年实际!$F:$F,$C925,当年实际!$C:$C,"&gt;="&amp;DATE(YEAR(主页!$D$2),1,1),当年实际!$C:$C,"&lt;="&amp;EOMONTH(DATE(YEAR(主页!$D$2),MONTH(主页!$D$2),1),0)),"")</f>
        <v/>
      </c>
    </row>
    <row r="926" spans="1:10" x14ac:dyDescent="0.3">
      <c r="A926" s="150"/>
      <c r="B926" s="150"/>
      <c r="C926" s="150"/>
      <c r="D926" s="150"/>
      <c r="E926" s="140" t="str">
        <f t="shared" si="43"/>
        <v/>
      </c>
      <c r="F926" s="159"/>
      <c r="G926" s="145">
        <f t="shared" si="45"/>
        <v>0</v>
      </c>
      <c r="H926" s="140" t="str">
        <f t="shared" si="44"/>
        <v/>
      </c>
      <c r="J926" s="147" t="str">
        <f>IFERROR(SUMIFS(当年实际!$V:$V,当年实际!$F:$F,$C926,当年实际!$C:$C,"&gt;="&amp;DATE(YEAR(主页!$D$2),1,1),当年实际!$C:$C,"&lt;="&amp;EOMONTH(DATE(YEAR(主页!$D$2),MONTH(主页!$D$2),1),0))/SUMIFS(当年实际!$P:$P,当年实际!$F:$F,$C926,当年实际!$C:$C,"&gt;="&amp;DATE(YEAR(主页!$D$2),1,1),当年实际!$C:$C,"&lt;="&amp;EOMONTH(DATE(YEAR(主页!$D$2),MONTH(主页!$D$2),1),0)),"")</f>
        <v/>
      </c>
    </row>
    <row r="927" spans="1:10" x14ac:dyDescent="0.3">
      <c r="A927" s="150"/>
      <c r="B927" s="150"/>
      <c r="C927" s="150"/>
      <c r="D927" s="150"/>
      <c r="E927" s="140" t="str">
        <f t="shared" si="43"/>
        <v/>
      </c>
      <c r="F927" s="159"/>
      <c r="G927" s="145">
        <f t="shared" si="45"/>
        <v>0</v>
      </c>
      <c r="H927" s="140" t="str">
        <f t="shared" si="44"/>
        <v/>
      </c>
      <c r="J927" s="147" t="str">
        <f>IFERROR(SUMIFS(当年实际!$V:$V,当年实际!$F:$F,$C927,当年实际!$C:$C,"&gt;="&amp;DATE(YEAR(主页!$D$2),1,1),当年实际!$C:$C,"&lt;="&amp;EOMONTH(DATE(YEAR(主页!$D$2),MONTH(主页!$D$2),1),0))/SUMIFS(当年实际!$P:$P,当年实际!$F:$F,$C927,当年实际!$C:$C,"&gt;="&amp;DATE(YEAR(主页!$D$2),1,1),当年实际!$C:$C,"&lt;="&amp;EOMONTH(DATE(YEAR(主页!$D$2),MONTH(主页!$D$2),1),0)),"")</f>
        <v/>
      </c>
    </row>
    <row r="928" spans="1:10" x14ac:dyDescent="0.3">
      <c r="A928" s="150"/>
      <c r="B928" s="150"/>
      <c r="C928" s="150"/>
      <c r="D928" s="150"/>
      <c r="E928" s="140" t="str">
        <f t="shared" si="43"/>
        <v/>
      </c>
      <c r="F928" s="159"/>
      <c r="G928" s="145">
        <f t="shared" si="45"/>
        <v>0</v>
      </c>
      <c r="H928" s="140" t="str">
        <f t="shared" si="44"/>
        <v/>
      </c>
      <c r="J928" s="147" t="str">
        <f>IFERROR(SUMIFS(当年实际!$V:$V,当年实际!$F:$F,$C928,当年实际!$C:$C,"&gt;="&amp;DATE(YEAR(主页!$D$2),1,1),当年实际!$C:$C,"&lt;="&amp;EOMONTH(DATE(YEAR(主页!$D$2),MONTH(主页!$D$2),1),0))/SUMIFS(当年实际!$P:$P,当年实际!$F:$F,$C928,当年实际!$C:$C,"&gt;="&amp;DATE(YEAR(主页!$D$2),1,1),当年实际!$C:$C,"&lt;="&amp;EOMONTH(DATE(YEAR(主页!$D$2),MONTH(主页!$D$2),1),0)),"")</f>
        <v/>
      </c>
    </row>
    <row r="929" spans="1:10" x14ac:dyDescent="0.3">
      <c r="A929" s="150"/>
      <c r="B929" s="150"/>
      <c r="C929" s="150"/>
      <c r="D929" s="150"/>
      <c r="E929" s="140" t="str">
        <f t="shared" si="43"/>
        <v/>
      </c>
      <c r="F929" s="159"/>
      <c r="G929" s="145">
        <f t="shared" si="45"/>
        <v>0</v>
      </c>
      <c r="H929" s="140" t="str">
        <f t="shared" si="44"/>
        <v/>
      </c>
      <c r="J929" s="147" t="str">
        <f>IFERROR(SUMIFS(当年实际!$V:$V,当年实际!$F:$F,$C929,当年实际!$C:$C,"&gt;="&amp;DATE(YEAR(主页!$D$2),1,1),当年实际!$C:$C,"&lt;="&amp;EOMONTH(DATE(YEAR(主页!$D$2),MONTH(主页!$D$2),1),0))/SUMIFS(当年实际!$P:$P,当年实际!$F:$F,$C929,当年实际!$C:$C,"&gt;="&amp;DATE(YEAR(主页!$D$2),1,1),当年实际!$C:$C,"&lt;="&amp;EOMONTH(DATE(YEAR(主页!$D$2),MONTH(主页!$D$2),1),0)),"")</f>
        <v/>
      </c>
    </row>
    <row r="930" spans="1:10" x14ac:dyDescent="0.3">
      <c r="A930" s="150"/>
      <c r="B930" s="150"/>
      <c r="C930" s="150"/>
      <c r="D930" s="150"/>
      <c r="E930" s="140" t="str">
        <f t="shared" si="43"/>
        <v/>
      </c>
      <c r="F930" s="159"/>
      <c r="G930" s="145">
        <f t="shared" si="45"/>
        <v>0</v>
      </c>
      <c r="H930" s="140" t="str">
        <f t="shared" si="44"/>
        <v/>
      </c>
      <c r="J930" s="147" t="str">
        <f>IFERROR(SUMIFS(当年实际!$V:$V,当年实际!$F:$F,$C930,当年实际!$C:$C,"&gt;="&amp;DATE(YEAR(主页!$D$2),1,1),当年实际!$C:$C,"&lt;="&amp;EOMONTH(DATE(YEAR(主页!$D$2),MONTH(主页!$D$2),1),0))/SUMIFS(当年实际!$P:$P,当年实际!$F:$F,$C930,当年实际!$C:$C,"&gt;="&amp;DATE(YEAR(主页!$D$2),1,1),当年实际!$C:$C,"&lt;="&amp;EOMONTH(DATE(YEAR(主页!$D$2),MONTH(主页!$D$2),1),0)),"")</f>
        <v/>
      </c>
    </row>
    <row r="931" spans="1:10" x14ac:dyDescent="0.3">
      <c r="A931" s="150"/>
      <c r="B931" s="150"/>
      <c r="C931" s="150"/>
      <c r="D931" s="150"/>
      <c r="E931" s="140" t="str">
        <f t="shared" si="43"/>
        <v/>
      </c>
      <c r="F931" s="159"/>
      <c r="G931" s="145">
        <f t="shared" si="45"/>
        <v>0</v>
      </c>
      <c r="H931" s="140" t="str">
        <f t="shared" si="44"/>
        <v/>
      </c>
      <c r="J931" s="147" t="str">
        <f>IFERROR(SUMIFS(当年实际!$V:$V,当年实际!$F:$F,$C931,当年实际!$C:$C,"&gt;="&amp;DATE(YEAR(主页!$D$2),1,1),当年实际!$C:$C,"&lt;="&amp;EOMONTH(DATE(YEAR(主页!$D$2),MONTH(主页!$D$2),1),0))/SUMIFS(当年实际!$P:$P,当年实际!$F:$F,$C931,当年实际!$C:$C,"&gt;="&amp;DATE(YEAR(主页!$D$2),1,1),当年实际!$C:$C,"&lt;="&amp;EOMONTH(DATE(YEAR(主页!$D$2),MONTH(主页!$D$2),1),0)),"")</f>
        <v/>
      </c>
    </row>
    <row r="932" spans="1:10" x14ac:dyDescent="0.3">
      <c r="A932" s="150"/>
      <c r="B932" s="150"/>
      <c r="C932" s="150"/>
      <c r="D932" s="150"/>
      <c r="E932" s="140" t="str">
        <f t="shared" si="43"/>
        <v/>
      </c>
      <c r="F932" s="159"/>
      <c r="G932" s="145">
        <f t="shared" si="45"/>
        <v>0</v>
      </c>
      <c r="H932" s="140" t="str">
        <f t="shared" si="44"/>
        <v/>
      </c>
      <c r="J932" s="147" t="str">
        <f>IFERROR(SUMIFS(当年实际!$V:$V,当年实际!$F:$F,$C932,当年实际!$C:$C,"&gt;="&amp;DATE(YEAR(主页!$D$2),1,1),当年实际!$C:$C,"&lt;="&amp;EOMONTH(DATE(YEAR(主页!$D$2),MONTH(主页!$D$2),1),0))/SUMIFS(当年实际!$P:$P,当年实际!$F:$F,$C932,当年实际!$C:$C,"&gt;="&amp;DATE(YEAR(主页!$D$2),1,1),当年实际!$C:$C,"&lt;="&amp;EOMONTH(DATE(YEAR(主页!$D$2),MONTH(主页!$D$2),1),0)),"")</f>
        <v/>
      </c>
    </row>
    <row r="933" spans="1:10" x14ac:dyDescent="0.3">
      <c r="A933" s="150"/>
      <c r="B933" s="150"/>
      <c r="C933" s="150"/>
      <c r="D933" s="150"/>
      <c r="E933" s="140" t="str">
        <f t="shared" si="43"/>
        <v/>
      </c>
      <c r="F933" s="159"/>
      <c r="G933" s="145">
        <f t="shared" si="45"/>
        <v>0</v>
      </c>
      <c r="H933" s="140" t="str">
        <f t="shared" si="44"/>
        <v/>
      </c>
      <c r="J933" s="147" t="str">
        <f>IFERROR(SUMIFS(当年实际!$V:$V,当年实际!$F:$F,$C933,当年实际!$C:$C,"&gt;="&amp;DATE(YEAR(主页!$D$2),1,1),当年实际!$C:$C,"&lt;="&amp;EOMONTH(DATE(YEAR(主页!$D$2),MONTH(主页!$D$2),1),0))/SUMIFS(当年实际!$P:$P,当年实际!$F:$F,$C933,当年实际!$C:$C,"&gt;="&amp;DATE(YEAR(主页!$D$2),1,1),当年实际!$C:$C,"&lt;="&amp;EOMONTH(DATE(YEAR(主页!$D$2),MONTH(主页!$D$2),1),0)),"")</f>
        <v/>
      </c>
    </row>
    <row r="934" spans="1:10" x14ac:dyDescent="0.3">
      <c r="A934" s="150"/>
      <c r="B934" s="150"/>
      <c r="C934" s="150"/>
      <c r="D934" s="150"/>
      <c r="E934" s="140" t="str">
        <f t="shared" si="43"/>
        <v/>
      </c>
      <c r="F934" s="159"/>
      <c r="G934" s="145">
        <f t="shared" si="45"/>
        <v>0</v>
      </c>
      <c r="H934" s="140" t="str">
        <f t="shared" si="44"/>
        <v/>
      </c>
      <c r="J934" s="147" t="str">
        <f>IFERROR(SUMIFS(当年实际!$V:$V,当年实际!$F:$F,$C934,当年实际!$C:$C,"&gt;="&amp;DATE(YEAR(主页!$D$2),1,1),当年实际!$C:$C,"&lt;="&amp;EOMONTH(DATE(YEAR(主页!$D$2),MONTH(主页!$D$2),1),0))/SUMIFS(当年实际!$P:$P,当年实际!$F:$F,$C934,当年实际!$C:$C,"&gt;="&amp;DATE(YEAR(主页!$D$2),1,1),当年实际!$C:$C,"&lt;="&amp;EOMONTH(DATE(YEAR(主页!$D$2),MONTH(主页!$D$2),1),0)),"")</f>
        <v/>
      </c>
    </row>
    <row r="935" spans="1:10" x14ac:dyDescent="0.3">
      <c r="A935" s="150"/>
      <c r="B935" s="150"/>
      <c r="C935" s="150"/>
      <c r="D935" s="150"/>
      <c r="E935" s="140" t="str">
        <f t="shared" si="43"/>
        <v/>
      </c>
      <c r="F935" s="159"/>
      <c r="G935" s="145">
        <f t="shared" si="45"/>
        <v>0</v>
      </c>
      <c r="H935" s="140" t="str">
        <f t="shared" si="44"/>
        <v/>
      </c>
      <c r="J935" s="147" t="str">
        <f>IFERROR(SUMIFS(当年实际!$V:$V,当年实际!$F:$F,$C935,当年实际!$C:$C,"&gt;="&amp;DATE(YEAR(主页!$D$2),1,1),当年实际!$C:$C,"&lt;="&amp;EOMONTH(DATE(YEAR(主页!$D$2),MONTH(主页!$D$2),1),0))/SUMIFS(当年实际!$P:$P,当年实际!$F:$F,$C935,当年实际!$C:$C,"&gt;="&amp;DATE(YEAR(主页!$D$2),1,1),当年实际!$C:$C,"&lt;="&amp;EOMONTH(DATE(YEAR(主页!$D$2),MONTH(主页!$D$2),1),0)),"")</f>
        <v/>
      </c>
    </row>
    <row r="936" spans="1:10" x14ac:dyDescent="0.3">
      <c r="A936" s="150"/>
      <c r="B936" s="150"/>
      <c r="C936" s="150"/>
      <c r="D936" s="150"/>
      <c r="E936" s="140" t="str">
        <f t="shared" si="43"/>
        <v/>
      </c>
      <c r="F936" s="159"/>
      <c r="G936" s="145">
        <f t="shared" si="45"/>
        <v>0</v>
      </c>
      <c r="H936" s="140" t="str">
        <f t="shared" si="44"/>
        <v/>
      </c>
      <c r="J936" s="147" t="str">
        <f>IFERROR(SUMIFS(当年实际!$V:$V,当年实际!$F:$F,$C936,当年实际!$C:$C,"&gt;="&amp;DATE(YEAR(主页!$D$2),1,1),当年实际!$C:$C,"&lt;="&amp;EOMONTH(DATE(YEAR(主页!$D$2),MONTH(主页!$D$2),1),0))/SUMIFS(当年实际!$P:$P,当年实际!$F:$F,$C936,当年实际!$C:$C,"&gt;="&amp;DATE(YEAR(主页!$D$2),1,1),当年实际!$C:$C,"&lt;="&amp;EOMONTH(DATE(YEAR(主页!$D$2),MONTH(主页!$D$2),1),0)),"")</f>
        <v/>
      </c>
    </row>
    <row r="937" spans="1:10" x14ac:dyDescent="0.3">
      <c r="A937" s="150"/>
      <c r="B937" s="150"/>
      <c r="C937" s="150"/>
      <c r="D937" s="150"/>
      <c r="E937" s="140" t="str">
        <f t="shared" si="43"/>
        <v/>
      </c>
      <c r="F937" s="159"/>
      <c r="G937" s="145">
        <f t="shared" si="45"/>
        <v>0</v>
      </c>
      <c r="H937" s="140" t="str">
        <f t="shared" si="44"/>
        <v/>
      </c>
      <c r="J937" s="147" t="str">
        <f>IFERROR(SUMIFS(当年实际!$V:$V,当年实际!$F:$F,$C937,当年实际!$C:$C,"&gt;="&amp;DATE(YEAR(主页!$D$2),1,1),当年实际!$C:$C,"&lt;="&amp;EOMONTH(DATE(YEAR(主页!$D$2),MONTH(主页!$D$2),1),0))/SUMIFS(当年实际!$P:$P,当年实际!$F:$F,$C937,当年实际!$C:$C,"&gt;="&amp;DATE(YEAR(主页!$D$2),1,1),当年实际!$C:$C,"&lt;="&amp;EOMONTH(DATE(YEAR(主页!$D$2),MONTH(主页!$D$2),1),0)),"")</f>
        <v/>
      </c>
    </row>
    <row r="938" spans="1:10" x14ac:dyDescent="0.3">
      <c r="A938" s="150"/>
      <c r="B938" s="150"/>
      <c r="C938" s="150"/>
      <c r="D938" s="150"/>
      <c r="E938" s="140" t="str">
        <f t="shared" si="43"/>
        <v/>
      </c>
      <c r="F938" s="159"/>
      <c r="G938" s="145">
        <f t="shared" si="45"/>
        <v>0</v>
      </c>
      <c r="H938" s="140" t="str">
        <f t="shared" si="44"/>
        <v/>
      </c>
      <c r="J938" s="147" t="str">
        <f>IFERROR(SUMIFS(当年实际!$V:$V,当年实际!$F:$F,$C938,当年实际!$C:$C,"&gt;="&amp;DATE(YEAR(主页!$D$2),1,1),当年实际!$C:$C,"&lt;="&amp;EOMONTH(DATE(YEAR(主页!$D$2),MONTH(主页!$D$2),1),0))/SUMIFS(当年实际!$P:$P,当年实际!$F:$F,$C938,当年实际!$C:$C,"&gt;="&amp;DATE(YEAR(主页!$D$2),1,1),当年实际!$C:$C,"&lt;="&amp;EOMONTH(DATE(YEAR(主页!$D$2),MONTH(主页!$D$2),1),0)),"")</f>
        <v/>
      </c>
    </row>
    <row r="939" spans="1:10" x14ac:dyDescent="0.3">
      <c r="A939" s="150"/>
      <c r="B939" s="150"/>
      <c r="C939" s="150"/>
      <c r="D939" s="150"/>
      <c r="E939" s="140" t="str">
        <f t="shared" si="43"/>
        <v/>
      </c>
      <c r="F939" s="159"/>
      <c r="G939" s="145">
        <f t="shared" si="45"/>
        <v>0</v>
      </c>
      <c r="H939" s="140" t="str">
        <f t="shared" si="44"/>
        <v/>
      </c>
      <c r="J939" s="147" t="str">
        <f>IFERROR(SUMIFS(当年实际!$V:$V,当年实际!$F:$F,$C939,当年实际!$C:$C,"&gt;="&amp;DATE(YEAR(主页!$D$2),1,1),当年实际!$C:$C,"&lt;="&amp;EOMONTH(DATE(YEAR(主页!$D$2),MONTH(主页!$D$2),1),0))/SUMIFS(当年实际!$P:$P,当年实际!$F:$F,$C939,当年实际!$C:$C,"&gt;="&amp;DATE(YEAR(主页!$D$2),1,1),当年实际!$C:$C,"&lt;="&amp;EOMONTH(DATE(YEAR(主页!$D$2),MONTH(主页!$D$2),1),0)),"")</f>
        <v/>
      </c>
    </row>
    <row r="940" spans="1:10" x14ac:dyDescent="0.3">
      <c r="A940" s="150"/>
      <c r="B940" s="150"/>
      <c r="C940" s="150"/>
      <c r="D940" s="150"/>
      <c r="E940" s="140" t="str">
        <f t="shared" si="43"/>
        <v/>
      </c>
      <c r="F940" s="159"/>
      <c r="G940" s="145">
        <f t="shared" si="45"/>
        <v>0</v>
      </c>
      <c r="H940" s="140" t="str">
        <f t="shared" si="44"/>
        <v/>
      </c>
      <c r="J940" s="147" t="str">
        <f>IFERROR(SUMIFS(当年实际!$V:$V,当年实际!$F:$F,$C940,当年实际!$C:$C,"&gt;="&amp;DATE(YEAR(主页!$D$2),1,1),当年实际!$C:$C,"&lt;="&amp;EOMONTH(DATE(YEAR(主页!$D$2),MONTH(主页!$D$2),1),0))/SUMIFS(当年实际!$P:$P,当年实际!$F:$F,$C940,当年实际!$C:$C,"&gt;="&amp;DATE(YEAR(主页!$D$2),1,1),当年实际!$C:$C,"&lt;="&amp;EOMONTH(DATE(YEAR(主页!$D$2),MONTH(主页!$D$2),1),0)),"")</f>
        <v/>
      </c>
    </row>
    <row r="941" spans="1:10" x14ac:dyDescent="0.3">
      <c r="A941" s="150"/>
      <c r="B941" s="150"/>
      <c r="C941" s="150"/>
      <c r="D941" s="150"/>
      <c r="E941" s="140" t="str">
        <f t="shared" si="43"/>
        <v/>
      </c>
      <c r="F941" s="159"/>
      <c r="G941" s="145">
        <f t="shared" si="45"/>
        <v>0</v>
      </c>
      <c r="H941" s="140" t="str">
        <f t="shared" si="44"/>
        <v/>
      </c>
      <c r="J941" s="147" t="str">
        <f>IFERROR(SUMIFS(当年实际!$V:$V,当年实际!$F:$F,$C941,当年实际!$C:$C,"&gt;="&amp;DATE(YEAR(主页!$D$2),1,1),当年实际!$C:$C,"&lt;="&amp;EOMONTH(DATE(YEAR(主页!$D$2),MONTH(主页!$D$2),1),0))/SUMIFS(当年实际!$P:$P,当年实际!$F:$F,$C941,当年实际!$C:$C,"&gt;="&amp;DATE(YEAR(主页!$D$2),1,1),当年实际!$C:$C,"&lt;="&amp;EOMONTH(DATE(YEAR(主页!$D$2),MONTH(主页!$D$2),1),0)),"")</f>
        <v/>
      </c>
    </row>
    <row r="942" spans="1:10" x14ac:dyDescent="0.3">
      <c r="A942" s="150"/>
      <c r="B942" s="150"/>
      <c r="C942" s="150"/>
      <c r="D942" s="150"/>
      <c r="E942" s="140" t="str">
        <f t="shared" si="43"/>
        <v/>
      </c>
      <c r="F942" s="159"/>
      <c r="G942" s="145">
        <f t="shared" si="45"/>
        <v>0</v>
      </c>
      <c r="H942" s="140" t="str">
        <f t="shared" si="44"/>
        <v/>
      </c>
      <c r="J942" s="147" t="str">
        <f>IFERROR(SUMIFS(当年实际!$V:$V,当年实际!$F:$F,$C942,当年实际!$C:$C,"&gt;="&amp;DATE(YEAR(主页!$D$2),1,1),当年实际!$C:$C,"&lt;="&amp;EOMONTH(DATE(YEAR(主页!$D$2),MONTH(主页!$D$2),1),0))/SUMIFS(当年实际!$P:$P,当年实际!$F:$F,$C942,当年实际!$C:$C,"&gt;="&amp;DATE(YEAR(主页!$D$2),1,1),当年实际!$C:$C,"&lt;="&amp;EOMONTH(DATE(YEAR(主页!$D$2),MONTH(主页!$D$2),1),0)),"")</f>
        <v/>
      </c>
    </row>
    <row r="943" spans="1:10" x14ac:dyDescent="0.3">
      <c r="A943" s="150"/>
      <c r="B943" s="150"/>
      <c r="C943" s="150"/>
      <c r="D943" s="150"/>
      <c r="E943" s="140" t="str">
        <f t="shared" si="43"/>
        <v/>
      </c>
      <c r="F943" s="159"/>
      <c r="G943" s="145">
        <f t="shared" si="45"/>
        <v>0</v>
      </c>
      <c r="H943" s="140" t="str">
        <f t="shared" si="44"/>
        <v/>
      </c>
      <c r="J943" s="147" t="str">
        <f>IFERROR(SUMIFS(当年实际!$V:$V,当年实际!$F:$F,$C943,当年实际!$C:$C,"&gt;="&amp;DATE(YEAR(主页!$D$2),1,1),当年实际!$C:$C,"&lt;="&amp;EOMONTH(DATE(YEAR(主页!$D$2),MONTH(主页!$D$2),1),0))/SUMIFS(当年实际!$P:$P,当年实际!$F:$F,$C943,当年实际!$C:$C,"&gt;="&amp;DATE(YEAR(主页!$D$2),1,1),当年实际!$C:$C,"&lt;="&amp;EOMONTH(DATE(YEAR(主页!$D$2),MONTH(主页!$D$2),1),0)),"")</f>
        <v/>
      </c>
    </row>
    <row r="944" spans="1:10" x14ac:dyDescent="0.3">
      <c r="A944" s="150"/>
      <c r="B944" s="150"/>
      <c r="C944" s="150"/>
      <c r="D944" s="150"/>
      <c r="E944" s="140" t="str">
        <f t="shared" si="43"/>
        <v/>
      </c>
      <c r="F944" s="159"/>
      <c r="G944" s="145">
        <f t="shared" si="45"/>
        <v>0</v>
      </c>
      <c r="H944" s="140" t="str">
        <f t="shared" si="44"/>
        <v/>
      </c>
      <c r="J944" s="147" t="str">
        <f>IFERROR(SUMIFS(当年实际!$V:$V,当年实际!$F:$F,$C944,当年实际!$C:$C,"&gt;="&amp;DATE(YEAR(主页!$D$2),1,1),当年实际!$C:$C,"&lt;="&amp;EOMONTH(DATE(YEAR(主页!$D$2),MONTH(主页!$D$2),1),0))/SUMIFS(当年实际!$P:$P,当年实际!$F:$F,$C944,当年实际!$C:$C,"&gt;="&amp;DATE(YEAR(主页!$D$2),1,1),当年实际!$C:$C,"&lt;="&amp;EOMONTH(DATE(YEAR(主页!$D$2),MONTH(主页!$D$2),1),0)),"")</f>
        <v/>
      </c>
    </row>
    <row r="945" spans="1:10" x14ac:dyDescent="0.3">
      <c r="A945" s="150"/>
      <c r="B945" s="150"/>
      <c r="C945" s="150"/>
      <c r="D945" s="150"/>
      <c r="E945" s="140" t="str">
        <f t="shared" si="43"/>
        <v/>
      </c>
      <c r="F945" s="159"/>
      <c r="G945" s="145">
        <f t="shared" si="45"/>
        <v>0</v>
      </c>
      <c r="H945" s="140" t="str">
        <f t="shared" si="44"/>
        <v/>
      </c>
      <c r="J945" s="147" t="str">
        <f>IFERROR(SUMIFS(当年实际!$V:$V,当年实际!$F:$F,$C945,当年实际!$C:$C,"&gt;="&amp;DATE(YEAR(主页!$D$2),1,1),当年实际!$C:$C,"&lt;="&amp;EOMONTH(DATE(YEAR(主页!$D$2),MONTH(主页!$D$2),1),0))/SUMIFS(当年实际!$P:$P,当年实际!$F:$F,$C945,当年实际!$C:$C,"&gt;="&amp;DATE(YEAR(主页!$D$2),1,1),当年实际!$C:$C,"&lt;="&amp;EOMONTH(DATE(YEAR(主页!$D$2),MONTH(主页!$D$2),1),0)),"")</f>
        <v/>
      </c>
    </row>
    <row r="946" spans="1:10" x14ac:dyDescent="0.3">
      <c r="A946" s="150"/>
      <c r="B946" s="150"/>
      <c r="C946" s="150"/>
      <c r="D946" s="150"/>
      <c r="E946" s="140" t="str">
        <f t="shared" si="43"/>
        <v/>
      </c>
      <c r="F946" s="159"/>
      <c r="G946" s="145">
        <f t="shared" si="45"/>
        <v>0</v>
      </c>
      <c r="H946" s="140" t="str">
        <f t="shared" si="44"/>
        <v/>
      </c>
      <c r="J946" s="147" t="str">
        <f>IFERROR(SUMIFS(当年实际!$V:$V,当年实际!$F:$F,$C946,当年实际!$C:$C,"&gt;="&amp;DATE(YEAR(主页!$D$2),1,1),当年实际!$C:$C,"&lt;="&amp;EOMONTH(DATE(YEAR(主页!$D$2),MONTH(主页!$D$2),1),0))/SUMIFS(当年实际!$P:$P,当年实际!$F:$F,$C946,当年实际!$C:$C,"&gt;="&amp;DATE(YEAR(主页!$D$2),1,1),当年实际!$C:$C,"&lt;="&amp;EOMONTH(DATE(YEAR(主页!$D$2),MONTH(主页!$D$2),1),0)),"")</f>
        <v/>
      </c>
    </row>
    <row r="947" spans="1:10" x14ac:dyDescent="0.3">
      <c r="A947" s="150"/>
      <c r="B947" s="150"/>
      <c r="C947" s="150"/>
      <c r="D947" s="150"/>
      <c r="E947" s="140" t="str">
        <f t="shared" si="43"/>
        <v/>
      </c>
      <c r="F947" s="159"/>
      <c r="G947" s="145">
        <f t="shared" si="45"/>
        <v>0</v>
      </c>
      <c r="H947" s="140" t="str">
        <f t="shared" si="44"/>
        <v/>
      </c>
      <c r="J947" s="147" t="str">
        <f>IFERROR(SUMIFS(当年实际!$V:$V,当年实际!$F:$F,$C947,当年实际!$C:$C,"&gt;="&amp;DATE(YEAR(主页!$D$2),1,1),当年实际!$C:$C,"&lt;="&amp;EOMONTH(DATE(YEAR(主页!$D$2),MONTH(主页!$D$2),1),0))/SUMIFS(当年实际!$P:$P,当年实际!$F:$F,$C947,当年实际!$C:$C,"&gt;="&amp;DATE(YEAR(主页!$D$2),1,1),当年实际!$C:$C,"&lt;="&amp;EOMONTH(DATE(YEAR(主页!$D$2),MONTH(主页!$D$2),1),0)),"")</f>
        <v/>
      </c>
    </row>
    <row r="948" spans="1:10" x14ac:dyDescent="0.3">
      <c r="A948" s="150"/>
      <c r="B948" s="150"/>
      <c r="C948" s="150"/>
      <c r="D948" s="150"/>
      <c r="E948" s="140" t="str">
        <f t="shared" si="43"/>
        <v/>
      </c>
      <c r="F948" s="159"/>
      <c r="G948" s="145">
        <f t="shared" si="45"/>
        <v>0</v>
      </c>
      <c r="H948" s="140" t="str">
        <f t="shared" si="44"/>
        <v/>
      </c>
      <c r="J948" s="147" t="str">
        <f>IFERROR(SUMIFS(当年实际!$V:$V,当年实际!$F:$F,$C948,当年实际!$C:$C,"&gt;="&amp;DATE(YEAR(主页!$D$2),1,1),当年实际!$C:$C,"&lt;="&amp;EOMONTH(DATE(YEAR(主页!$D$2),MONTH(主页!$D$2),1),0))/SUMIFS(当年实际!$P:$P,当年实际!$F:$F,$C948,当年实际!$C:$C,"&gt;="&amp;DATE(YEAR(主页!$D$2),1,1),当年实际!$C:$C,"&lt;="&amp;EOMONTH(DATE(YEAR(主页!$D$2),MONTH(主页!$D$2),1),0)),"")</f>
        <v/>
      </c>
    </row>
    <row r="949" spans="1:10" x14ac:dyDescent="0.3">
      <c r="A949" s="150"/>
      <c r="B949" s="150"/>
      <c r="C949" s="150"/>
      <c r="D949" s="150"/>
      <c r="E949" s="140" t="str">
        <f t="shared" si="43"/>
        <v/>
      </c>
      <c r="F949" s="159"/>
      <c r="G949" s="145">
        <f t="shared" si="45"/>
        <v>0</v>
      </c>
      <c r="H949" s="140" t="str">
        <f t="shared" si="44"/>
        <v/>
      </c>
      <c r="J949" s="147" t="str">
        <f>IFERROR(SUMIFS(当年实际!$V:$V,当年实际!$F:$F,$C949,当年实际!$C:$C,"&gt;="&amp;DATE(YEAR(主页!$D$2),1,1),当年实际!$C:$C,"&lt;="&amp;EOMONTH(DATE(YEAR(主页!$D$2),MONTH(主页!$D$2),1),0))/SUMIFS(当年实际!$P:$P,当年实际!$F:$F,$C949,当年实际!$C:$C,"&gt;="&amp;DATE(YEAR(主页!$D$2),1,1),当年实际!$C:$C,"&lt;="&amp;EOMONTH(DATE(YEAR(主页!$D$2),MONTH(主页!$D$2),1),0)),"")</f>
        <v/>
      </c>
    </row>
    <row r="950" spans="1:10" x14ac:dyDescent="0.3">
      <c r="A950" s="150"/>
      <c r="B950" s="150"/>
      <c r="C950" s="150"/>
      <c r="D950" s="150"/>
      <c r="E950" s="140" t="str">
        <f t="shared" si="43"/>
        <v/>
      </c>
      <c r="F950" s="159"/>
      <c r="G950" s="145">
        <f t="shared" si="45"/>
        <v>0</v>
      </c>
      <c r="H950" s="140" t="str">
        <f t="shared" si="44"/>
        <v/>
      </c>
      <c r="J950" s="147" t="str">
        <f>IFERROR(SUMIFS(当年实际!$V:$V,当年实际!$F:$F,$C950,当年实际!$C:$C,"&gt;="&amp;DATE(YEAR(主页!$D$2),1,1),当年实际!$C:$C,"&lt;="&amp;EOMONTH(DATE(YEAR(主页!$D$2),MONTH(主页!$D$2),1),0))/SUMIFS(当年实际!$P:$P,当年实际!$F:$F,$C950,当年实际!$C:$C,"&gt;="&amp;DATE(YEAR(主页!$D$2),1,1),当年实际!$C:$C,"&lt;="&amp;EOMONTH(DATE(YEAR(主页!$D$2),MONTH(主页!$D$2),1),0)),"")</f>
        <v/>
      </c>
    </row>
    <row r="951" spans="1:10" x14ac:dyDescent="0.3">
      <c r="A951" s="150"/>
      <c r="B951" s="150"/>
      <c r="C951" s="150"/>
      <c r="D951" s="150"/>
      <c r="E951" s="140" t="str">
        <f t="shared" si="43"/>
        <v/>
      </c>
      <c r="F951" s="159"/>
      <c r="G951" s="145">
        <f t="shared" si="45"/>
        <v>0</v>
      </c>
      <c r="H951" s="140" t="str">
        <f t="shared" si="44"/>
        <v/>
      </c>
      <c r="J951" s="147" t="str">
        <f>IFERROR(SUMIFS(当年实际!$V:$V,当年实际!$F:$F,$C951,当年实际!$C:$C,"&gt;="&amp;DATE(YEAR(主页!$D$2),1,1),当年实际!$C:$C,"&lt;="&amp;EOMONTH(DATE(YEAR(主页!$D$2),MONTH(主页!$D$2),1),0))/SUMIFS(当年实际!$P:$P,当年实际!$F:$F,$C951,当年实际!$C:$C,"&gt;="&amp;DATE(YEAR(主页!$D$2),1,1),当年实际!$C:$C,"&lt;="&amp;EOMONTH(DATE(YEAR(主页!$D$2),MONTH(主页!$D$2),1),0)),"")</f>
        <v/>
      </c>
    </row>
    <row r="952" spans="1:10" x14ac:dyDescent="0.3">
      <c r="A952" s="150"/>
      <c r="B952" s="150"/>
      <c r="C952" s="150"/>
      <c r="D952" s="150"/>
      <c r="E952" s="140" t="str">
        <f t="shared" si="43"/>
        <v/>
      </c>
      <c r="F952" s="159"/>
      <c r="G952" s="145">
        <f t="shared" si="45"/>
        <v>0</v>
      </c>
      <c r="H952" s="140" t="str">
        <f t="shared" si="44"/>
        <v/>
      </c>
      <c r="J952" s="147" t="str">
        <f>IFERROR(SUMIFS(当年实际!$V:$V,当年实际!$F:$F,$C952,当年实际!$C:$C,"&gt;="&amp;DATE(YEAR(主页!$D$2),1,1),当年实际!$C:$C,"&lt;="&amp;EOMONTH(DATE(YEAR(主页!$D$2),MONTH(主页!$D$2),1),0))/SUMIFS(当年实际!$P:$P,当年实际!$F:$F,$C952,当年实际!$C:$C,"&gt;="&amp;DATE(YEAR(主页!$D$2),1,1),当年实际!$C:$C,"&lt;="&amp;EOMONTH(DATE(YEAR(主页!$D$2),MONTH(主页!$D$2),1),0)),"")</f>
        <v/>
      </c>
    </row>
    <row r="953" spans="1:10" x14ac:dyDescent="0.3">
      <c r="A953" s="150"/>
      <c r="B953" s="150"/>
      <c r="C953" s="150"/>
      <c r="D953" s="150"/>
      <c r="E953" s="140" t="str">
        <f t="shared" si="43"/>
        <v/>
      </c>
      <c r="F953" s="159"/>
      <c r="G953" s="145">
        <f t="shared" si="45"/>
        <v>0</v>
      </c>
      <c r="H953" s="140" t="str">
        <f t="shared" si="44"/>
        <v/>
      </c>
      <c r="J953" s="147" t="str">
        <f>IFERROR(SUMIFS(当年实际!$V:$V,当年实际!$F:$F,$C953,当年实际!$C:$C,"&gt;="&amp;DATE(YEAR(主页!$D$2),1,1),当年实际!$C:$C,"&lt;="&amp;EOMONTH(DATE(YEAR(主页!$D$2),MONTH(主页!$D$2),1),0))/SUMIFS(当年实际!$P:$P,当年实际!$F:$F,$C953,当年实际!$C:$C,"&gt;="&amp;DATE(YEAR(主页!$D$2),1,1),当年实际!$C:$C,"&lt;="&amp;EOMONTH(DATE(YEAR(主页!$D$2),MONTH(主页!$D$2),1),0)),"")</f>
        <v/>
      </c>
    </row>
    <row r="954" spans="1:10" x14ac:dyDescent="0.3">
      <c r="A954" s="150"/>
      <c r="B954" s="150"/>
      <c r="C954" s="150"/>
      <c r="D954" s="150"/>
      <c r="E954" s="140" t="str">
        <f t="shared" si="43"/>
        <v/>
      </c>
      <c r="F954" s="159"/>
      <c r="G954" s="145">
        <f t="shared" si="45"/>
        <v>0</v>
      </c>
      <c r="H954" s="140" t="str">
        <f t="shared" si="44"/>
        <v/>
      </c>
      <c r="J954" s="147" t="str">
        <f>IFERROR(SUMIFS(当年实际!$V:$V,当年实际!$F:$F,$C954,当年实际!$C:$C,"&gt;="&amp;DATE(YEAR(主页!$D$2),1,1),当年实际!$C:$C,"&lt;="&amp;EOMONTH(DATE(YEAR(主页!$D$2),MONTH(主页!$D$2),1),0))/SUMIFS(当年实际!$P:$P,当年实际!$F:$F,$C954,当年实际!$C:$C,"&gt;="&amp;DATE(YEAR(主页!$D$2),1,1),当年实际!$C:$C,"&lt;="&amp;EOMONTH(DATE(YEAR(主页!$D$2),MONTH(主页!$D$2),1),0)),"")</f>
        <v/>
      </c>
    </row>
    <row r="955" spans="1:10" x14ac:dyDescent="0.3">
      <c r="A955" s="150"/>
      <c r="B955" s="150"/>
      <c r="C955" s="150"/>
      <c r="D955" s="150"/>
      <c r="E955" s="140" t="str">
        <f t="shared" si="43"/>
        <v/>
      </c>
      <c r="F955" s="159"/>
      <c r="G955" s="145">
        <f t="shared" si="45"/>
        <v>0</v>
      </c>
      <c r="H955" s="140" t="str">
        <f t="shared" si="44"/>
        <v/>
      </c>
      <c r="J955" s="147" t="str">
        <f>IFERROR(SUMIFS(当年实际!$V:$V,当年实际!$F:$F,$C955,当年实际!$C:$C,"&gt;="&amp;DATE(YEAR(主页!$D$2),1,1),当年实际!$C:$C,"&lt;="&amp;EOMONTH(DATE(YEAR(主页!$D$2),MONTH(主页!$D$2),1),0))/SUMIFS(当年实际!$P:$P,当年实际!$F:$F,$C955,当年实际!$C:$C,"&gt;="&amp;DATE(YEAR(主页!$D$2),1,1),当年实际!$C:$C,"&lt;="&amp;EOMONTH(DATE(YEAR(主页!$D$2),MONTH(主页!$D$2),1),0)),"")</f>
        <v/>
      </c>
    </row>
    <row r="956" spans="1:10" x14ac:dyDescent="0.3">
      <c r="A956" s="150"/>
      <c r="B956" s="150"/>
      <c r="C956" s="150"/>
      <c r="D956" s="150"/>
      <c r="E956" s="140" t="str">
        <f t="shared" si="43"/>
        <v/>
      </c>
      <c r="F956" s="159"/>
      <c r="G956" s="145">
        <f t="shared" si="45"/>
        <v>0</v>
      </c>
      <c r="H956" s="140" t="str">
        <f t="shared" si="44"/>
        <v/>
      </c>
      <c r="J956" s="147" t="str">
        <f>IFERROR(SUMIFS(当年实际!$V:$V,当年实际!$F:$F,$C956,当年实际!$C:$C,"&gt;="&amp;DATE(YEAR(主页!$D$2),1,1),当年实际!$C:$C,"&lt;="&amp;EOMONTH(DATE(YEAR(主页!$D$2),MONTH(主页!$D$2),1),0))/SUMIFS(当年实际!$P:$P,当年实际!$F:$F,$C956,当年实际!$C:$C,"&gt;="&amp;DATE(YEAR(主页!$D$2),1,1),当年实际!$C:$C,"&lt;="&amp;EOMONTH(DATE(YEAR(主页!$D$2),MONTH(主页!$D$2),1),0)),"")</f>
        <v/>
      </c>
    </row>
    <row r="957" spans="1:10" x14ac:dyDescent="0.3">
      <c r="A957" s="150"/>
      <c r="B957" s="150"/>
      <c r="C957" s="150"/>
      <c r="D957" s="150"/>
      <c r="E957" s="140" t="str">
        <f t="shared" si="43"/>
        <v/>
      </c>
      <c r="F957" s="159"/>
      <c r="G957" s="145">
        <f t="shared" si="45"/>
        <v>0</v>
      </c>
      <c r="H957" s="140" t="str">
        <f t="shared" si="44"/>
        <v/>
      </c>
      <c r="J957" s="147" t="str">
        <f>IFERROR(SUMIFS(当年实际!$V:$V,当年实际!$F:$F,$C957,当年实际!$C:$C,"&gt;="&amp;DATE(YEAR(主页!$D$2),1,1),当年实际!$C:$C,"&lt;="&amp;EOMONTH(DATE(YEAR(主页!$D$2),MONTH(主页!$D$2),1),0))/SUMIFS(当年实际!$P:$P,当年实际!$F:$F,$C957,当年实际!$C:$C,"&gt;="&amp;DATE(YEAR(主页!$D$2),1,1),当年实际!$C:$C,"&lt;="&amp;EOMONTH(DATE(YEAR(主页!$D$2),MONTH(主页!$D$2),1),0)),"")</f>
        <v/>
      </c>
    </row>
    <row r="958" spans="1:10" x14ac:dyDescent="0.3">
      <c r="A958" s="150"/>
      <c r="B958" s="150"/>
      <c r="C958" s="150"/>
      <c r="D958" s="150"/>
      <c r="E958" s="140" t="str">
        <f t="shared" si="43"/>
        <v/>
      </c>
      <c r="F958" s="159"/>
      <c r="G958" s="145">
        <f t="shared" si="45"/>
        <v>0</v>
      </c>
      <c r="H958" s="140" t="str">
        <f t="shared" si="44"/>
        <v/>
      </c>
      <c r="J958" s="147" t="str">
        <f>IFERROR(SUMIFS(当年实际!$V:$V,当年实际!$F:$F,$C958,当年实际!$C:$C,"&gt;="&amp;DATE(YEAR(主页!$D$2),1,1),当年实际!$C:$C,"&lt;="&amp;EOMONTH(DATE(YEAR(主页!$D$2),MONTH(主页!$D$2),1),0))/SUMIFS(当年实际!$P:$P,当年实际!$F:$F,$C958,当年实际!$C:$C,"&gt;="&amp;DATE(YEAR(主页!$D$2),1,1),当年实际!$C:$C,"&lt;="&amp;EOMONTH(DATE(YEAR(主页!$D$2),MONTH(主页!$D$2),1),0)),"")</f>
        <v/>
      </c>
    </row>
    <row r="959" spans="1:10" x14ac:dyDescent="0.3">
      <c r="A959" s="150"/>
      <c r="B959" s="150"/>
      <c r="C959" s="150"/>
      <c r="D959" s="150"/>
      <c r="E959" s="140" t="str">
        <f t="shared" si="43"/>
        <v/>
      </c>
      <c r="F959" s="159"/>
      <c r="G959" s="145">
        <f t="shared" si="45"/>
        <v>0</v>
      </c>
      <c r="H959" s="140" t="str">
        <f t="shared" si="44"/>
        <v/>
      </c>
      <c r="J959" s="147" t="str">
        <f>IFERROR(SUMIFS(当年实际!$V:$V,当年实际!$F:$F,$C959,当年实际!$C:$C,"&gt;="&amp;DATE(YEAR(主页!$D$2),1,1),当年实际!$C:$C,"&lt;="&amp;EOMONTH(DATE(YEAR(主页!$D$2),MONTH(主页!$D$2),1),0))/SUMIFS(当年实际!$P:$P,当年实际!$F:$F,$C959,当年实际!$C:$C,"&gt;="&amp;DATE(YEAR(主页!$D$2),1,1),当年实际!$C:$C,"&lt;="&amp;EOMONTH(DATE(YEAR(主页!$D$2),MONTH(主页!$D$2),1),0)),"")</f>
        <v/>
      </c>
    </row>
    <row r="960" spans="1:10" x14ac:dyDescent="0.3">
      <c r="A960" s="150"/>
      <c r="B960" s="150"/>
      <c r="C960" s="150"/>
      <c r="D960" s="150"/>
      <c r="E960" s="140" t="str">
        <f t="shared" si="43"/>
        <v/>
      </c>
      <c r="F960" s="159"/>
      <c r="G960" s="145">
        <f t="shared" si="45"/>
        <v>0</v>
      </c>
      <c r="H960" s="140" t="str">
        <f t="shared" si="44"/>
        <v/>
      </c>
      <c r="J960" s="147" t="str">
        <f>IFERROR(SUMIFS(当年实际!$V:$V,当年实际!$F:$F,$C960,当年实际!$C:$C,"&gt;="&amp;DATE(YEAR(主页!$D$2),1,1),当年实际!$C:$C,"&lt;="&amp;EOMONTH(DATE(YEAR(主页!$D$2),MONTH(主页!$D$2),1),0))/SUMIFS(当年实际!$P:$P,当年实际!$F:$F,$C960,当年实际!$C:$C,"&gt;="&amp;DATE(YEAR(主页!$D$2),1,1),当年实际!$C:$C,"&lt;="&amp;EOMONTH(DATE(YEAR(主页!$D$2),MONTH(主页!$D$2),1),0)),"")</f>
        <v/>
      </c>
    </row>
    <row r="961" spans="1:10" x14ac:dyDescent="0.3">
      <c r="A961" s="150"/>
      <c r="B961" s="150"/>
      <c r="C961" s="150"/>
      <c r="D961" s="150"/>
      <c r="E961" s="140" t="str">
        <f t="shared" si="43"/>
        <v/>
      </c>
      <c r="F961" s="159"/>
      <c r="G961" s="145">
        <f t="shared" si="45"/>
        <v>0</v>
      </c>
      <c r="H961" s="140" t="str">
        <f t="shared" si="44"/>
        <v/>
      </c>
      <c r="J961" s="147" t="str">
        <f>IFERROR(SUMIFS(当年实际!$V:$V,当年实际!$F:$F,$C961,当年实际!$C:$C,"&gt;="&amp;DATE(YEAR(主页!$D$2),1,1),当年实际!$C:$C,"&lt;="&amp;EOMONTH(DATE(YEAR(主页!$D$2),MONTH(主页!$D$2),1),0))/SUMIFS(当年实际!$P:$P,当年实际!$F:$F,$C961,当年实际!$C:$C,"&gt;="&amp;DATE(YEAR(主页!$D$2),1,1),当年实际!$C:$C,"&lt;="&amp;EOMONTH(DATE(YEAR(主页!$D$2),MONTH(主页!$D$2),1),0)),"")</f>
        <v/>
      </c>
    </row>
    <row r="962" spans="1:10" x14ac:dyDescent="0.3">
      <c r="A962" s="150"/>
      <c r="B962" s="150"/>
      <c r="C962" s="150"/>
      <c r="D962" s="150"/>
      <c r="E962" s="140" t="str">
        <f t="shared" si="43"/>
        <v/>
      </c>
      <c r="F962" s="159"/>
      <c r="G962" s="145">
        <f t="shared" si="45"/>
        <v>0</v>
      </c>
      <c r="H962" s="140" t="str">
        <f t="shared" si="44"/>
        <v/>
      </c>
      <c r="J962" s="147" t="str">
        <f>IFERROR(SUMIFS(当年实际!$V:$V,当年实际!$F:$F,$C962,当年实际!$C:$C,"&gt;="&amp;DATE(YEAR(主页!$D$2),1,1),当年实际!$C:$C,"&lt;="&amp;EOMONTH(DATE(YEAR(主页!$D$2),MONTH(主页!$D$2),1),0))/SUMIFS(当年实际!$P:$P,当年实际!$F:$F,$C962,当年实际!$C:$C,"&gt;="&amp;DATE(YEAR(主页!$D$2),1,1),当年实际!$C:$C,"&lt;="&amp;EOMONTH(DATE(YEAR(主页!$D$2),MONTH(主页!$D$2),1),0)),"")</f>
        <v/>
      </c>
    </row>
    <row r="963" spans="1:10" x14ac:dyDescent="0.3">
      <c r="A963" s="150"/>
      <c r="B963" s="150"/>
      <c r="C963" s="150"/>
      <c r="D963" s="150"/>
      <c r="E963" s="140" t="str">
        <f t="shared" si="43"/>
        <v/>
      </c>
      <c r="F963" s="159"/>
      <c r="G963" s="145">
        <f t="shared" si="45"/>
        <v>0</v>
      </c>
      <c r="H963" s="140" t="str">
        <f t="shared" si="44"/>
        <v/>
      </c>
      <c r="J963" s="147" t="str">
        <f>IFERROR(SUMIFS(当年实际!$V:$V,当年实际!$F:$F,$C963,当年实际!$C:$C,"&gt;="&amp;DATE(YEAR(主页!$D$2),1,1),当年实际!$C:$C,"&lt;="&amp;EOMONTH(DATE(YEAR(主页!$D$2),MONTH(主页!$D$2),1),0))/SUMIFS(当年实际!$P:$P,当年实际!$F:$F,$C963,当年实际!$C:$C,"&gt;="&amp;DATE(YEAR(主页!$D$2),1,1),当年实际!$C:$C,"&lt;="&amp;EOMONTH(DATE(YEAR(主页!$D$2),MONTH(主页!$D$2),1),0)),"")</f>
        <v/>
      </c>
    </row>
    <row r="964" spans="1:10" x14ac:dyDescent="0.3">
      <c r="A964" s="150"/>
      <c r="B964" s="150"/>
      <c r="C964" s="150"/>
      <c r="D964" s="150"/>
      <c r="E964" s="140" t="str">
        <f t="shared" ref="E964:E1027" si="46">IF(D964/SUM(D:D)=0,"",D964/SUM(D:D))</f>
        <v/>
      </c>
      <c r="F964" s="159"/>
      <c r="G964" s="145">
        <f t="shared" si="45"/>
        <v>0</v>
      </c>
      <c r="H964" s="140" t="str">
        <f t="shared" ref="H964:H1027" si="47">IF(G964/SUM(G:G)=0,"",G964/SUM(G:G))</f>
        <v/>
      </c>
      <c r="J964" s="147" t="str">
        <f>IFERROR(SUMIFS(当年实际!$V:$V,当年实际!$F:$F,$C964,当年实际!$C:$C,"&gt;="&amp;DATE(YEAR(主页!$D$2),1,1),当年实际!$C:$C,"&lt;="&amp;EOMONTH(DATE(YEAR(主页!$D$2),MONTH(主页!$D$2),1),0))/SUMIFS(当年实际!$P:$P,当年实际!$F:$F,$C964,当年实际!$C:$C,"&gt;="&amp;DATE(YEAR(主页!$D$2),1,1),当年实际!$C:$C,"&lt;="&amp;EOMONTH(DATE(YEAR(主页!$D$2),MONTH(主页!$D$2),1),0)),"")</f>
        <v/>
      </c>
    </row>
    <row r="965" spans="1:10" x14ac:dyDescent="0.3">
      <c r="A965" s="150"/>
      <c r="B965" s="150"/>
      <c r="C965" s="150"/>
      <c r="D965" s="150"/>
      <c r="E965" s="140" t="str">
        <f t="shared" si="46"/>
        <v/>
      </c>
      <c r="F965" s="159"/>
      <c r="G965" s="145">
        <f t="shared" si="45"/>
        <v>0</v>
      </c>
      <c r="H965" s="140" t="str">
        <f t="shared" si="47"/>
        <v/>
      </c>
      <c r="J965" s="147" t="str">
        <f>IFERROR(SUMIFS(当年实际!$V:$V,当年实际!$F:$F,$C965,当年实际!$C:$C,"&gt;="&amp;DATE(YEAR(主页!$D$2),1,1),当年实际!$C:$C,"&lt;="&amp;EOMONTH(DATE(YEAR(主页!$D$2),MONTH(主页!$D$2),1),0))/SUMIFS(当年实际!$P:$P,当年实际!$F:$F,$C965,当年实际!$C:$C,"&gt;="&amp;DATE(YEAR(主页!$D$2),1,1),当年实际!$C:$C,"&lt;="&amp;EOMONTH(DATE(YEAR(主页!$D$2),MONTH(主页!$D$2),1),0)),"")</f>
        <v/>
      </c>
    </row>
    <row r="966" spans="1:10" x14ac:dyDescent="0.3">
      <c r="A966" s="150"/>
      <c r="B966" s="150"/>
      <c r="C966" s="150"/>
      <c r="D966" s="150"/>
      <c r="E966" s="140" t="str">
        <f t="shared" si="46"/>
        <v/>
      </c>
      <c r="F966" s="159"/>
      <c r="G966" s="145">
        <f t="shared" si="45"/>
        <v>0</v>
      </c>
      <c r="H966" s="140" t="str">
        <f t="shared" si="47"/>
        <v/>
      </c>
      <c r="J966" s="147" t="str">
        <f>IFERROR(SUMIFS(当年实际!$V:$V,当年实际!$F:$F,$C966,当年实际!$C:$C,"&gt;="&amp;DATE(YEAR(主页!$D$2),1,1),当年实际!$C:$C,"&lt;="&amp;EOMONTH(DATE(YEAR(主页!$D$2),MONTH(主页!$D$2),1),0))/SUMIFS(当年实际!$P:$P,当年实际!$F:$F,$C966,当年实际!$C:$C,"&gt;="&amp;DATE(YEAR(主页!$D$2),1,1),当年实际!$C:$C,"&lt;="&amp;EOMONTH(DATE(YEAR(主页!$D$2),MONTH(主页!$D$2),1),0)),"")</f>
        <v/>
      </c>
    </row>
    <row r="967" spans="1:10" x14ac:dyDescent="0.3">
      <c r="A967" s="150"/>
      <c r="B967" s="150"/>
      <c r="C967" s="150"/>
      <c r="D967" s="150"/>
      <c r="E967" s="140" t="str">
        <f t="shared" si="46"/>
        <v/>
      </c>
      <c r="F967" s="159"/>
      <c r="G967" s="145">
        <f t="shared" si="45"/>
        <v>0</v>
      </c>
      <c r="H967" s="140" t="str">
        <f t="shared" si="47"/>
        <v/>
      </c>
      <c r="J967" s="147" t="str">
        <f>IFERROR(SUMIFS(当年实际!$V:$V,当年实际!$F:$F,$C967,当年实际!$C:$C,"&gt;="&amp;DATE(YEAR(主页!$D$2),1,1),当年实际!$C:$C,"&lt;="&amp;EOMONTH(DATE(YEAR(主页!$D$2),MONTH(主页!$D$2),1),0))/SUMIFS(当年实际!$P:$P,当年实际!$F:$F,$C967,当年实际!$C:$C,"&gt;="&amp;DATE(YEAR(主页!$D$2),1,1),当年实际!$C:$C,"&lt;="&amp;EOMONTH(DATE(YEAR(主页!$D$2),MONTH(主页!$D$2),1),0)),"")</f>
        <v/>
      </c>
    </row>
    <row r="968" spans="1:10" x14ac:dyDescent="0.3">
      <c r="A968" s="150"/>
      <c r="B968" s="150"/>
      <c r="C968" s="150"/>
      <c r="D968" s="150"/>
      <c r="E968" s="140" t="str">
        <f t="shared" si="46"/>
        <v/>
      </c>
      <c r="F968" s="159"/>
      <c r="G968" s="145">
        <f t="shared" ref="G968:G1031" si="48">D968*F968</f>
        <v>0</v>
      </c>
      <c r="H968" s="140" t="str">
        <f t="shared" si="47"/>
        <v/>
      </c>
      <c r="J968" s="147" t="str">
        <f>IFERROR(SUMIFS(当年实际!$V:$V,当年实际!$F:$F,$C968,当年实际!$C:$C,"&gt;="&amp;DATE(YEAR(主页!$D$2),1,1),当年实际!$C:$C,"&lt;="&amp;EOMONTH(DATE(YEAR(主页!$D$2),MONTH(主页!$D$2),1),0))/SUMIFS(当年实际!$P:$P,当年实际!$F:$F,$C968,当年实际!$C:$C,"&gt;="&amp;DATE(YEAR(主页!$D$2),1,1),当年实际!$C:$C,"&lt;="&amp;EOMONTH(DATE(YEAR(主页!$D$2),MONTH(主页!$D$2),1),0)),"")</f>
        <v/>
      </c>
    </row>
    <row r="969" spans="1:10" x14ac:dyDescent="0.3">
      <c r="A969" s="150"/>
      <c r="B969" s="150"/>
      <c r="C969" s="150"/>
      <c r="D969" s="150"/>
      <c r="E969" s="140" t="str">
        <f t="shared" si="46"/>
        <v/>
      </c>
      <c r="F969" s="159"/>
      <c r="G969" s="145">
        <f t="shared" si="48"/>
        <v>0</v>
      </c>
      <c r="H969" s="140" t="str">
        <f t="shared" si="47"/>
        <v/>
      </c>
      <c r="J969" s="147" t="str">
        <f>IFERROR(SUMIFS(当年实际!$V:$V,当年实际!$F:$F,$C969,当年实际!$C:$C,"&gt;="&amp;DATE(YEAR(主页!$D$2),1,1),当年实际!$C:$C,"&lt;="&amp;EOMONTH(DATE(YEAR(主页!$D$2),MONTH(主页!$D$2),1),0))/SUMIFS(当年实际!$P:$P,当年实际!$F:$F,$C969,当年实际!$C:$C,"&gt;="&amp;DATE(YEAR(主页!$D$2),1,1),当年实际!$C:$C,"&lt;="&amp;EOMONTH(DATE(YEAR(主页!$D$2),MONTH(主页!$D$2),1),0)),"")</f>
        <v/>
      </c>
    </row>
    <row r="970" spans="1:10" x14ac:dyDescent="0.3">
      <c r="A970" s="150"/>
      <c r="B970" s="150"/>
      <c r="C970" s="150"/>
      <c r="D970" s="150"/>
      <c r="E970" s="140" t="str">
        <f t="shared" si="46"/>
        <v/>
      </c>
      <c r="F970" s="159"/>
      <c r="G970" s="145">
        <f t="shared" si="48"/>
        <v>0</v>
      </c>
      <c r="H970" s="140" t="str">
        <f t="shared" si="47"/>
        <v/>
      </c>
      <c r="J970" s="147" t="str">
        <f>IFERROR(SUMIFS(当年实际!$V:$V,当年实际!$F:$F,$C970,当年实际!$C:$C,"&gt;="&amp;DATE(YEAR(主页!$D$2),1,1),当年实际!$C:$C,"&lt;="&amp;EOMONTH(DATE(YEAR(主页!$D$2),MONTH(主页!$D$2),1),0))/SUMIFS(当年实际!$P:$P,当年实际!$F:$F,$C970,当年实际!$C:$C,"&gt;="&amp;DATE(YEAR(主页!$D$2),1,1),当年实际!$C:$C,"&lt;="&amp;EOMONTH(DATE(YEAR(主页!$D$2),MONTH(主页!$D$2),1),0)),"")</f>
        <v/>
      </c>
    </row>
    <row r="971" spans="1:10" x14ac:dyDescent="0.3">
      <c r="A971" s="150"/>
      <c r="B971" s="150"/>
      <c r="C971" s="150"/>
      <c r="D971" s="150"/>
      <c r="E971" s="140" t="str">
        <f t="shared" si="46"/>
        <v/>
      </c>
      <c r="F971" s="159"/>
      <c r="G971" s="145">
        <f t="shared" si="48"/>
        <v>0</v>
      </c>
      <c r="H971" s="140" t="str">
        <f t="shared" si="47"/>
        <v/>
      </c>
      <c r="J971" s="147" t="str">
        <f>IFERROR(SUMIFS(当年实际!$V:$V,当年实际!$F:$F,$C971,当年实际!$C:$C,"&gt;="&amp;DATE(YEAR(主页!$D$2),1,1),当年实际!$C:$C,"&lt;="&amp;EOMONTH(DATE(YEAR(主页!$D$2),MONTH(主页!$D$2),1),0))/SUMIFS(当年实际!$P:$P,当年实际!$F:$F,$C971,当年实际!$C:$C,"&gt;="&amp;DATE(YEAR(主页!$D$2),1,1),当年实际!$C:$C,"&lt;="&amp;EOMONTH(DATE(YEAR(主页!$D$2),MONTH(主页!$D$2),1),0)),"")</f>
        <v/>
      </c>
    </row>
    <row r="972" spans="1:10" x14ac:dyDescent="0.3">
      <c r="A972" s="150"/>
      <c r="B972" s="150"/>
      <c r="C972" s="150"/>
      <c r="D972" s="150"/>
      <c r="E972" s="140" t="str">
        <f t="shared" si="46"/>
        <v/>
      </c>
      <c r="F972" s="159"/>
      <c r="G972" s="145">
        <f t="shared" si="48"/>
        <v>0</v>
      </c>
      <c r="H972" s="140" t="str">
        <f t="shared" si="47"/>
        <v/>
      </c>
      <c r="J972" s="147" t="str">
        <f>IFERROR(SUMIFS(当年实际!$V:$V,当年实际!$F:$F,$C972,当年实际!$C:$C,"&gt;="&amp;DATE(YEAR(主页!$D$2),1,1),当年实际!$C:$C,"&lt;="&amp;EOMONTH(DATE(YEAR(主页!$D$2),MONTH(主页!$D$2),1),0))/SUMIFS(当年实际!$P:$P,当年实际!$F:$F,$C972,当年实际!$C:$C,"&gt;="&amp;DATE(YEAR(主页!$D$2),1,1),当年实际!$C:$C,"&lt;="&amp;EOMONTH(DATE(YEAR(主页!$D$2),MONTH(主页!$D$2),1),0)),"")</f>
        <v/>
      </c>
    </row>
    <row r="973" spans="1:10" x14ac:dyDescent="0.3">
      <c r="A973" s="150"/>
      <c r="B973" s="150"/>
      <c r="C973" s="150"/>
      <c r="D973" s="150"/>
      <c r="E973" s="140" t="str">
        <f t="shared" si="46"/>
        <v/>
      </c>
      <c r="F973" s="159"/>
      <c r="G973" s="145">
        <f t="shared" si="48"/>
        <v>0</v>
      </c>
      <c r="H973" s="140" t="str">
        <f t="shared" si="47"/>
        <v/>
      </c>
      <c r="J973" s="147" t="str">
        <f>IFERROR(SUMIFS(当年实际!$V:$V,当年实际!$F:$F,$C973,当年实际!$C:$C,"&gt;="&amp;DATE(YEAR(主页!$D$2),1,1),当年实际!$C:$C,"&lt;="&amp;EOMONTH(DATE(YEAR(主页!$D$2),MONTH(主页!$D$2),1),0))/SUMIFS(当年实际!$P:$P,当年实际!$F:$F,$C973,当年实际!$C:$C,"&gt;="&amp;DATE(YEAR(主页!$D$2),1,1),当年实际!$C:$C,"&lt;="&amp;EOMONTH(DATE(YEAR(主页!$D$2),MONTH(主页!$D$2),1),0)),"")</f>
        <v/>
      </c>
    </row>
    <row r="974" spans="1:10" x14ac:dyDescent="0.3">
      <c r="A974" s="150"/>
      <c r="B974" s="150"/>
      <c r="C974" s="150"/>
      <c r="D974" s="150"/>
      <c r="E974" s="140" t="str">
        <f t="shared" si="46"/>
        <v/>
      </c>
      <c r="F974" s="159"/>
      <c r="G974" s="145">
        <f t="shared" si="48"/>
        <v>0</v>
      </c>
      <c r="H974" s="140" t="str">
        <f t="shared" si="47"/>
        <v/>
      </c>
      <c r="J974" s="147" t="str">
        <f>IFERROR(SUMIFS(当年实际!$V:$V,当年实际!$F:$F,$C974,当年实际!$C:$C,"&gt;="&amp;DATE(YEAR(主页!$D$2),1,1),当年实际!$C:$C,"&lt;="&amp;EOMONTH(DATE(YEAR(主页!$D$2),MONTH(主页!$D$2),1),0))/SUMIFS(当年实际!$P:$P,当年实际!$F:$F,$C974,当年实际!$C:$C,"&gt;="&amp;DATE(YEAR(主页!$D$2),1,1),当年实际!$C:$C,"&lt;="&amp;EOMONTH(DATE(YEAR(主页!$D$2),MONTH(主页!$D$2),1),0)),"")</f>
        <v/>
      </c>
    </row>
    <row r="975" spans="1:10" x14ac:dyDescent="0.3">
      <c r="A975" s="150"/>
      <c r="B975" s="150"/>
      <c r="C975" s="150"/>
      <c r="D975" s="150"/>
      <c r="E975" s="140" t="str">
        <f t="shared" si="46"/>
        <v/>
      </c>
      <c r="F975" s="159"/>
      <c r="G975" s="145">
        <f t="shared" si="48"/>
        <v>0</v>
      </c>
      <c r="H975" s="140" t="str">
        <f t="shared" si="47"/>
        <v/>
      </c>
      <c r="J975" s="147" t="str">
        <f>IFERROR(SUMIFS(当年实际!$V:$V,当年实际!$F:$F,$C975,当年实际!$C:$C,"&gt;="&amp;DATE(YEAR(主页!$D$2),1,1),当年实际!$C:$C,"&lt;="&amp;EOMONTH(DATE(YEAR(主页!$D$2),MONTH(主页!$D$2),1),0))/SUMIFS(当年实际!$P:$P,当年实际!$F:$F,$C975,当年实际!$C:$C,"&gt;="&amp;DATE(YEAR(主页!$D$2),1,1),当年实际!$C:$C,"&lt;="&amp;EOMONTH(DATE(YEAR(主页!$D$2),MONTH(主页!$D$2),1),0)),"")</f>
        <v/>
      </c>
    </row>
    <row r="976" spans="1:10" x14ac:dyDescent="0.3">
      <c r="A976" s="150"/>
      <c r="B976" s="150"/>
      <c r="C976" s="150"/>
      <c r="D976" s="150"/>
      <c r="E976" s="140" t="str">
        <f t="shared" si="46"/>
        <v/>
      </c>
      <c r="F976" s="159"/>
      <c r="G976" s="145">
        <f t="shared" si="48"/>
        <v>0</v>
      </c>
      <c r="H976" s="140" t="str">
        <f t="shared" si="47"/>
        <v/>
      </c>
      <c r="J976" s="147" t="str">
        <f>IFERROR(SUMIFS(当年实际!$V:$V,当年实际!$F:$F,$C976,当年实际!$C:$C,"&gt;="&amp;DATE(YEAR(主页!$D$2),1,1),当年实际!$C:$C,"&lt;="&amp;EOMONTH(DATE(YEAR(主页!$D$2),MONTH(主页!$D$2),1),0))/SUMIFS(当年实际!$P:$P,当年实际!$F:$F,$C976,当年实际!$C:$C,"&gt;="&amp;DATE(YEAR(主页!$D$2),1,1),当年实际!$C:$C,"&lt;="&amp;EOMONTH(DATE(YEAR(主页!$D$2),MONTH(主页!$D$2),1),0)),"")</f>
        <v/>
      </c>
    </row>
    <row r="977" spans="1:10" x14ac:dyDescent="0.3">
      <c r="A977" s="150"/>
      <c r="B977" s="150"/>
      <c r="C977" s="150"/>
      <c r="D977" s="150"/>
      <c r="E977" s="140" t="str">
        <f t="shared" si="46"/>
        <v/>
      </c>
      <c r="F977" s="159"/>
      <c r="G977" s="145">
        <f t="shared" si="48"/>
        <v>0</v>
      </c>
      <c r="H977" s="140" t="str">
        <f t="shared" si="47"/>
        <v/>
      </c>
      <c r="J977" s="147" t="str">
        <f>IFERROR(SUMIFS(当年实际!$V:$V,当年实际!$F:$F,$C977,当年实际!$C:$C,"&gt;="&amp;DATE(YEAR(主页!$D$2),1,1),当年实际!$C:$C,"&lt;="&amp;EOMONTH(DATE(YEAR(主页!$D$2),MONTH(主页!$D$2),1),0))/SUMIFS(当年实际!$P:$P,当年实际!$F:$F,$C977,当年实际!$C:$C,"&gt;="&amp;DATE(YEAR(主页!$D$2),1,1),当年实际!$C:$C,"&lt;="&amp;EOMONTH(DATE(YEAR(主页!$D$2),MONTH(主页!$D$2),1),0)),"")</f>
        <v/>
      </c>
    </row>
    <row r="978" spans="1:10" x14ac:dyDescent="0.3">
      <c r="A978" s="150"/>
      <c r="B978" s="150"/>
      <c r="C978" s="150"/>
      <c r="D978" s="150"/>
      <c r="E978" s="140" t="str">
        <f t="shared" si="46"/>
        <v/>
      </c>
      <c r="F978" s="159"/>
      <c r="G978" s="145">
        <f t="shared" si="48"/>
        <v>0</v>
      </c>
      <c r="H978" s="140" t="str">
        <f t="shared" si="47"/>
        <v/>
      </c>
      <c r="J978" s="147" t="str">
        <f>IFERROR(SUMIFS(当年实际!$V:$V,当年实际!$F:$F,$C978,当年实际!$C:$C,"&gt;="&amp;DATE(YEAR(主页!$D$2),1,1),当年实际!$C:$C,"&lt;="&amp;EOMONTH(DATE(YEAR(主页!$D$2),MONTH(主页!$D$2),1),0))/SUMIFS(当年实际!$P:$P,当年实际!$F:$F,$C978,当年实际!$C:$C,"&gt;="&amp;DATE(YEAR(主页!$D$2),1,1),当年实际!$C:$C,"&lt;="&amp;EOMONTH(DATE(YEAR(主页!$D$2),MONTH(主页!$D$2),1),0)),"")</f>
        <v/>
      </c>
    </row>
    <row r="979" spans="1:10" x14ac:dyDescent="0.3">
      <c r="A979" s="150"/>
      <c r="B979" s="150"/>
      <c r="C979" s="150"/>
      <c r="D979" s="150"/>
      <c r="E979" s="140" t="str">
        <f t="shared" si="46"/>
        <v/>
      </c>
      <c r="F979" s="159"/>
      <c r="G979" s="145">
        <f t="shared" si="48"/>
        <v>0</v>
      </c>
      <c r="H979" s="140" t="str">
        <f t="shared" si="47"/>
        <v/>
      </c>
      <c r="J979" s="147" t="str">
        <f>IFERROR(SUMIFS(当年实际!$V:$V,当年实际!$F:$F,$C979,当年实际!$C:$C,"&gt;="&amp;DATE(YEAR(主页!$D$2),1,1),当年实际!$C:$C,"&lt;="&amp;EOMONTH(DATE(YEAR(主页!$D$2),MONTH(主页!$D$2),1),0))/SUMIFS(当年实际!$P:$P,当年实际!$F:$F,$C979,当年实际!$C:$C,"&gt;="&amp;DATE(YEAR(主页!$D$2),1,1),当年实际!$C:$C,"&lt;="&amp;EOMONTH(DATE(YEAR(主页!$D$2),MONTH(主页!$D$2),1),0)),"")</f>
        <v/>
      </c>
    </row>
    <row r="980" spans="1:10" x14ac:dyDescent="0.3">
      <c r="A980" s="150"/>
      <c r="B980" s="150"/>
      <c r="C980" s="150"/>
      <c r="D980" s="150"/>
      <c r="E980" s="140" t="str">
        <f t="shared" si="46"/>
        <v/>
      </c>
      <c r="F980" s="159"/>
      <c r="G980" s="145">
        <f t="shared" si="48"/>
        <v>0</v>
      </c>
      <c r="H980" s="140" t="str">
        <f t="shared" si="47"/>
        <v/>
      </c>
      <c r="J980" s="147" t="str">
        <f>IFERROR(SUMIFS(当年实际!$V:$V,当年实际!$F:$F,$C980,当年实际!$C:$C,"&gt;="&amp;DATE(YEAR(主页!$D$2),1,1),当年实际!$C:$C,"&lt;="&amp;EOMONTH(DATE(YEAR(主页!$D$2),MONTH(主页!$D$2),1),0))/SUMIFS(当年实际!$P:$P,当年实际!$F:$F,$C980,当年实际!$C:$C,"&gt;="&amp;DATE(YEAR(主页!$D$2),1,1),当年实际!$C:$C,"&lt;="&amp;EOMONTH(DATE(YEAR(主页!$D$2),MONTH(主页!$D$2),1),0)),"")</f>
        <v/>
      </c>
    </row>
    <row r="981" spans="1:10" x14ac:dyDescent="0.3">
      <c r="A981" s="150"/>
      <c r="B981" s="150"/>
      <c r="C981" s="150"/>
      <c r="D981" s="150"/>
      <c r="E981" s="140" t="str">
        <f t="shared" si="46"/>
        <v/>
      </c>
      <c r="F981" s="159"/>
      <c r="G981" s="145">
        <f t="shared" si="48"/>
        <v>0</v>
      </c>
      <c r="H981" s="140" t="str">
        <f t="shared" si="47"/>
        <v/>
      </c>
      <c r="J981" s="147" t="str">
        <f>IFERROR(SUMIFS(当年实际!$V:$V,当年实际!$F:$F,$C981,当年实际!$C:$C,"&gt;="&amp;DATE(YEAR(主页!$D$2),1,1),当年实际!$C:$C,"&lt;="&amp;EOMONTH(DATE(YEAR(主页!$D$2),MONTH(主页!$D$2),1),0))/SUMIFS(当年实际!$P:$P,当年实际!$F:$F,$C981,当年实际!$C:$C,"&gt;="&amp;DATE(YEAR(主页!$D$2),1,1),当年实际!$C:$C,"&lt;="&amp;EOMONTH(DATE(YEAR(主页!$D$2),MONTH(主页!$D$2),1),0)),"")</f>
        <v/>
      </c>
    </row>
    <row r="982" spans="1:10" x14ac:dyDescent="0.3">
      <c r="A982" s="150"/>
      <c r="B982" s="150"/>
      <c r="C982" s="150"/>
      <c r="D982" s="150"/>
      <c r="E982" s="140" t="str">
        <f t="shared" si="46"/>
        <v/>
      </c>
      <c r="F982" s="159"/>
      <c r="G982" s="145">
        <f t="shared" si="48"/>
        <v>0</v>
      </c>
      <c r="H982" s="140" t="str">
        <f t="shared" si="47"/>
        <v/>
      </c>
      <c r="J982" s="147" t="str">
        <f>IFERROR(SUMIFS(当年实际!$V:$V,当年实际!$F:$F,$C982,当年实际!$C:$C,"&gt;="&amp;DATE(YEAR(主页!$D$2),1,1),当年实际!$C:$C,"&lt;="&amp;EOMONTH(DATE(YEAR(主页!$D$2),MONTH(主页!$D$2),1),0))/SUMIFS(当年实际!$P:$P,当年实际!$F:$F,$C982,当年实际!$C:$C,"&gt;="&amp;DATE(YEAR(主页!$D$2),1,1),当年实际!$C:$C,"&lt;="&amp;EOMONTH(DATE(YEAR(主页!$D$2),MONTH(主页!$D$2),1),0)),"")</f>
        <v/>
      </c>
    </row>
    <row r="983" spans="1:10" x14ac:dyDescent="0.3">
      <c r="A983" s="150"/>
      <c r="B983" s="150"/>
      <c r="C983" s="150"/>
      <c r="D983" s="150"/>
      <c r="E983" s="140" t="str">
        <f t="shared" si="46"/>
        <v/>
      </c>
      <c r="F983" s="159"/>
      <c r="G983" s="145">
        <f t="shared" si="48"/>
        <v>0</v>
      </c>
      <c r="H983" s="140" t="str">
        <f t="shared" si="47"/>
        <v/>
      </c>
      <c r="J983" s="147" t="str">
        <f>IFERROR(SUMIFS(当年实际!$V:$V,当年实际!$F:$F,$C983,当年实际!$C:$C,"&gt;="&amp;DATE(YEAR(主页!$D$2),1,1),当年实际!$C:$C,"&lt;="&amp;EOMONTH(DATE(YEAR(主页!$D$2),MONTH(主页!$D$2),1),0))/SUMIFS(当年实际!$P:$P,当年实际!$F:$F,$C983,当年实际!$C:$C,"&gt;="&amp;DATE(YEAR(主页!$D$2),1,1),当年实际!$C:$C,"&lt;="&amp;EOMONTH(DATE(YEAR(主页!$D$2),MONTH(主页!$D$2),1),0)),"")</f>
        <v/>
      </c>
    </row>
    <row r="984" spans="1:10" x14ac:dyDescent="0.3">
      <c r="A984" s="150"/>
      <c r="B984" s="150"/>
      <c r="C984" s="150"/>
      <c r="D984" s="150"/>
      <c r="E984" s="140" t="str">
        <f t="shared" si="46"/>
        <v/>
      </c>
      <c r="F984" s="159"/>
      <c r="G984" s="145">
        <f t="shared" si="48"/>
        <v>0</v>
      </c>
      <c r="H984" s="140" t="str">
        <f t="shared" si="47"/>
        <v/>
      </c>
      <c r="J984" s="147" t="str">
        <f>IFERROR(SUMIFS(当年实际!$V:$V,当年实际!$F:$F,$C984,当年实际!$C:$C,"&gt;="&amp;DATE(YEAR(主页!$D$2),1,1),当年实际!$C:$C,"&lt;="&amp;EOMONTH(DATE(YEAR(主页!$D$2),MONTH(主页!$D$2),1),0))/SUMIFS(当年实际!$P:$P,当年实际!$F:$F,$C984,当年实际!$C:$C,"&gt;="&amp;DATE(YEAR(主页!$D$2),1,1),当年实际!$C:$C,"&lt;="&amp;EOMONTH(DATE(YEAR(主页!$D$2),MONTH(主页!$D$2),1),0)),"")</f>
        <v/>
      </c>
    </row>
    <row r="985" spans="1:10" x14ac:dyDescent="0.3">
      <c r="A985" s="150"/>
      <c r="B985" s="150"/>
      <c r="C985" s="150"/>
      <c r="D985" s="150"/>
      <c r="E985" s="140" t="str">
        <f t="shared" si="46"/>
        <v/>
      </c>
      <c r="F985" s="159"/>
      <c r="G985" s="145">
        <f t="shared" si="48"/>
        <v>0</v>
      </c>
      <c r="H985" s="140" t="str">
        <f t="shared" si="47"/>
        <v/>
      </c>
      <c r="J985" s="147" t="str">
        <f>IFERROR(SUMIFS(当年实际!$V:$V,当年实际!$F:$F,$C985,当年实际!$C:$C,"&gt;="&amp;DATE(YEAR(主页!$D$2),1,1),当年实际!$C:$C,"&lt;="&amp;EOMONTH(DATE(YEAR(主页!$D$2),MONTH(主页!$D$2),1),0))/SUMIFS(当年实际!$P:$P,当年实际!$F:$F,$C985,当年实际!$C:$C,"&gt;="&amp;DATE(YEAR(主页!$D$2),1,1),当年实际!$C:$C,"&lt;="&amp;EOMONTH(DATE(YEAR(主页!$D$2),MONTH(主页!$D$2),1),0)),"")</f>
        <v/>
      </c>
    </row>
    <row r="986" spans="1:10" x14ac:dyDescent="0.3">
      <c r="A986" s="150"/>
      <c r="B986" s="150"/>
      <c r="C986" s="150"/>
      <c r="D986" s="150"/>
      <c r="E986" s="140" t="str">
        <f t="shared" si="46"/>
        <v/>
      </c>
      <c r="F986" s="159"/>
      <c r="G986" s="145">
        <f t="shared" si="48"/>
        <v>0</v>
      </c>
      <c r="H986" s="140" t="str">
        <f t="shared" si="47"/>
        <v/>
      </c>
      <c r="J986" s="147" t="str">
        <f>IFERROR(SUMIFS(当年实际!$V:$V,当年实际!$F:$F,$C986,当年实际!$C:$C,"&gt;="&amp;DATE(YEAR(主页!$D$2),1,1),当年实际!$C:$C,"&lt;="&amp;EOMONTH(DATE(YEAR(主页!$D$2),MONTH(主页!$D$2),1),0))/SUMIFS(当年实际!$P:$P,当年实际!$F:$F,$C986,当年实际!$C:$C,"&gt;="&amp;DATE(YEAR(主页!$D$2),1,1),当年实际!$C:$C,"&lt;="&amp;EOMONTH(DATE(YEAR(主页!$D$2),MONTH(主页!$D$2),1),0)),"")</f>
        <v/>
      </c>
    </row>
    <row r="987" spans="1:10" x14ac:dyDescent="0.3">
      <c r="A987" s="150"/>
      <c r="B987" s="150"/>
      <c r="C987" s="150"/>
      <c r="D987" s="150"/>
      <c r="E987" s="140" t="str">
        <f t="shared" si="46"/>
        <v/>
      </c>
      <c r="F987" s="159"/>
      <c r="G987" s="145">
        <f t="shared" si="48"/>
        <v>0</v>
      </c>
      <c r="H987" s="140" t="str">
        <f t="shared" si="47"/>
        <v/>
      </c>
      <c r="J987" s="147" t="str">
        <f>IFERROR(SUMIFS(当年实际!$V:$V,当年实际!$F:$F,$C987,当年实际!$C:$C,"&gt;="&amp;DATE(YEAR(主页!$D$2),1,1),当年实际!$C:$C,"&lt;="&amp;EOMONTH(DATE(YEAR(主页!$D$2),MONTH(主页!$D$2),1),0))/SUMIFS(当年实际!$P:$P,当年实际!$F:$F,$C987,当年实际!$C:$C,"&gt;="&amp;DATE(YEAR(主页!$D$2),1,1),当年实际!$C:$C,"&lt;="&amp;EOMONTH(DATE(YEAR(主页!$D$2),MONTH(主页!$D$2),1),0)),"")</f>
        <v/>
      </c>
    </row>
    <row r="988" spans="1:10" x14ac:dyDescent="0.3">
      <c r="A988" s="150"/>
      <c r="B988" s="150"/>
      <c r="C988" s="150"/>
      <c r="D988" s="150"/>
      <c r="E988" s="140" t="str">
        <f t="shared" si="46"/>
        <v/>
      </c>
      <c r="F988" s="159"/>
      <c r="G988" s="145">
        <f t="shared" si="48"/>
        <v>0</v>
      </c>
      <c r="H988" s="140" t="str">
        <f t="shared" si="47"/>
        <v/>
      </c>
      <c r="J988" s="147" t="str">
        <f>IFERROR(SUMIFS(当年实际!$V:$V,当年实际!$F:$F,$C988,当年实际!$C:$C,"&gt;="&amp;DATE(YEAR(主页!$D$2),1,1),当年实际!$C:$C,"&lt;="&amp;EOMONTH(DATE(YEAR(主页!$D$2),MONTH(主页!$D$2),1),0))/SUMIFS(当年实际!$P:$P,当年实际!$F:$F,$C988,当年实际!$C:$C,"&gt;="&amp;DATE(YEAR(主页!$D$2),1,1),当年实际!$C:$C,"&lt;="&amp;EOMONTH(DATE(YEAR(主页!$D$2),MONTH(主页!$D$2),1),0)),"")</f>
        <v/>
      </c>
    </row>
    <row r="989" spans="1:10" x14ac:dyDescent="0.3">
      <c r="A989" s="150"/>
      <c r="B989" s="150"/>
      <c r="C989" s="150"/>
      <c r="D989" s="150"/>
      <c r="E989" s="140" t="str">
        <f t="shared" si="46"/>
        <v/>
      </c>
      <c r="F989" s="159"/>
      <c r="G989" s="145">
        <f t="shared" si="48"/>
        <v>0</v>
      </c>
      <c r="H989" s="140" t="str">
        <f t="shared" si="47"/>
        <v/>
      </c>
      <c r="J989" s="147" t="str">
        <f>IFERROR(SUMIFS(当年实际!$V:$V,当年实际!$F:$F,$C989,当年实际!$C:$C,"&gt;="&amp;DATE(YEAR(主页!$D$2),1,1),当年实际!$C:$C,"&lt;="&amp;EOMONTH(DATE(YEAR(主页!$D$2),MONTH(主页!$D$2),1),0))/SUMIFS(当年实际!$P:$P,当年实际!$F:$F,$C989,当年实际!$C:$C,"&gt;="&amp;DATE(YEAR(主页!$D$2),1,1),当年实际!$C:$C,"&lt;="&amp;EOMONTH(DATE(YEAR(主页!$D$2),MONTH(主页!$D$2),1),0)),"")</f>
        <v/>
      </c>
    </row>
    <row r="990" spans="1:10" x14ac:dyDescent="0.3">
      <c r="A990" s="150"/>
      <c r="B990" s="150"/>
      <c r="C990" s="150"/>
      <c r="D990" s="150"/>
      <c r="E990" s="140" t="str">
        <f t="shared" si="46"/>
        <v/>
      </c>
      <c r="F990" s="159"/>
      <c r="G990" s="145">
        <f t="shared" si="48"/>
        <v>0</v>
      </c>
      <c r="H990" s="140" t="str">
        <f t="shared" si="47"/>
        <v/>
      </c>
      <c r="J990" s="147" t="str">
        <f>IFERROR(SUMIFS(当年实际!$V:$V,当年实际!$F:$F,$C990,当年实际!$C:$C,"&gt;="&amp;DATE(YEAR(主页!$D$2),1,1),当年实际!$C:$C,"&lt;="&amp;EOMONTH(DATE(YEAR(主页!$D$2),MONTH(主页!$D$2),1),0))/SUMIFS(当年实际!$P:$P,当年实际!$F:$F,$C990,当年实际!$C:$C,"&gt;="&amp;DATE(YEAR(主页!$D$2),1,1),当年实际!$C:$C,"&lt;="&amp;EOMONTH(DATE(YEAR(主页!$D$2),MONTH(主页!$D$2),1),0)),"")</f>
        <v/>
      </c>
    </row>
    <row r="991" spans="1:10" x14ac:dyDescent="0.3">
      <c r="A991" s="150"/>
      <c r="B991" s="150"/>
      <c r="C991" s="150"/>
      <c r="D991" s="150"/>
      <c r="E991" s="140" t="str">
        <f t="shared" si="46"/>
        <v/>
      </c>
      <c r="F991" s="159"/>
      <c r="G991" s="145">
        <f t="shared" si="48"/>
        <v>0</v>
      </c>
      <c r="H991" s="140" t="str">
        <f t="shared" si="47"/>
        <v/>
      </c>
      <c r="J991" s="147" t="str">
        <f>IFERROR(SUMIFS(当年实际!$V:$V,当年实际!$F:$F,$C991,当年实际!$C:$C,"&gt;="&amp;DATE(YEAR(主页!$D$2),1,1),当年实际!$C:$C,"&lt;="&amp;EOMONTH(DATE(YEAR(主页!$D$2),MONTH(主页!$D$2),1),0))/SUMIFS(当年实际!$P:$P,当年实际!$F:$F,$C991,当年实际!$C:$C,"&gt;="&amp;DATE(YEAR(主页!$D$2),1,1),当年实际!$C:$C,"&lt;="&amp;EOMONTH(DATE(YEAR(主页!$D$2),MONTH(主页!$D$2),1),0)),"")</f>
        <v/>
      </c>
    </row>
    <row r="992" spans="1:10" x14ac:dyDescent="0.3">
      <c r="A992" s="150"/>
      <c r="B992" s="150"/>
      <c r="C992" s="150"/>
      <c r="D992" s="150"/>
      <c r="E992" s="140" t="str">
        <f t="shared" si="46"/>
        <v/>
      </c>
      <c r="F992" s="159"/>
      <c r="G992" s="145">
        <f t="shared" si="48"/>
        <v>0</v>
      </c>
      <c r="H992" s="140" t="str">
        <f t="shared" si="47"/>
        <v/>
      </c>
      <c r="J992" s="147" t="str">
        <f>IFERROR(SUMIFS(当年实际!$V:$V,当年实际!$F:$F,$C992,当年实际!$C:$C,"&gt;="&amp;DATE(YEAR(主页!$D$2),1,1),当年实际!$C:$C,"&lt;="&amp;EOMONTH(DATE(YEAR(主页!$D$2),MONTH(主页!$D$2),1),0))/SUMIFS(当年实际!$P:$P,当年实际!$F:$F,$C992,当年实际!$C:$C,"&gt;="&amp;DATE(YEAR(主页!$D$2),1,1),当年实际!$C:$C,"&lt;="&amp;EOMONTH(DATE(YEAR(主页!$D$2),MONTH(主页!$D$2),1),0)),"")</f>
        <v/>
      </c>
    </row>
    <row r="993" spans="1:10" x14ac:dyDescent="0.3">
      <c r="A993" s="150"/>
      <c r="B993" s="150"/>
      <c r="C993" s="150"/>
      <c r="D993" s="150"/>
      <c r="E993" s="140" t="str">
        <f t="shared" si="46"/>
        <v/>
      </c>
      <c r="F993" s="159"/>
      <c r="G993" s="145">
        <f t="shared" si="48"/>
        <v>0</v>
      </c>
      <c r="H993" s="140" t="str">
        <f t="shared" si="47"/>
        <v/>
      </c>
      <c r="J993" s="147" t="str">
        <f>IFERROR(SUMIFS(当年实际!$V:$V,当年实际!$F:$F,$C993,当年实际!$C:$C,"&gt;="&amp;DATE(YEAR(主页!$D$2),1,1),当年实际!$C:$C,"&lt;="&amp;EOMONTH(DATE(YEAR(主页!$D$2),MONTH(主页!$D$2),1),0))/SUMIFS(当年实际!$P:$P,当年实际!$F:$F,$C993,当年实际!$C:$C,"&gt;="&amp;DATE(YEAR(主页!$D$2),1,1),当年实际!$C:$C,"&lt;="&amp;EOMONTH(DATE(YEAR(主页!$D$2),MONTH(主页!$D$2),1),0)),"")</f>
        <v/>
      </c>
    </row>
    <row r="994" spans="1:10" x14ac:dyDescent="0.3">
      <c r="A994" s="150"/>
      <c r="B994" s="150"/>
      <c r="C994" s="150"/>
      <c r="D994" s="150"/>
      <c r="E994" s="140" t="str">
        <f t="shared" si="46"/>
        <v/>
      </c>
      <c r="F994" s="159"/>
      <c r="G994" s="145">
        <f t="shared" si="48"/>
        <v>0</v>
      </c>
      <c r="H994" s="140" t="str">
        <f t="shared" si="47"/>
        <v/>
      </c>
      <c r="J994" s="147" t="str">
        <f>IFERROR(SUMIFS(当年实际!$V:$V,当年实际!$F:$F,$C994,当年实际!$C:$C,"&gt;="&amp;DATE(YEAR(主页!$D$2),1,1),当年实际!$C:$C,"&lt;="&amp;EOMONTH(DATE(YEAR(主页!$D$2),MONTH(主页!$D$2),1),0))/SUMIFS(当年实际!$P:$P,当年实际!$F:$F,$C994,当年实际!$C:$C,"&gt;="&amp;DATE(YEAR(主页!$D$2),1,1),当年实际!$C:$C,"&lt;="&amp;EOMONTH(DATE(YEAR(主页!$D$2),MONTH(主页!$D$2),1),0)),"")</f>
        <v/>
      </c>
    </row>
    <row r="995" spans="1:10" x14ac:dyDescent="0.3">
      <c r="A995" s="150"/>
      <c r="B995" s="150"/>
      <c r="C995" s="150"/>
      <c r="D995" s="150"/>
      <c r="E995" s="140" t="str">
        <f t="shared" si="46"/>
        <v/>
      </c>
      <c r="F995" s="159"/>
      <c r="G995" s="145">
        <f t="shared" si="48"/>
        <v>0</v>
      </c>
      <c r="H995" s="140" t="str">
        <f t="shared" si="47"/>
        <v/>
      </c>
      <c r="J995" s="147" t="str">
        <f>IFERROR(SUMIFS(当年实际!$V:$V,当年实际!$F:$F,$C995,当年实际!$C:$C,"&gt;="&amp;DATE(YEAR(主页!$D$2),1,1),当年实际!$C:$C,"&lt;="&amp;EOMONTH(DATE(YEAR(主页!$D$2),MONTH(主页!$D$2),1),0))/SUMIFS(当年实际!$P:$P,当年实际!$F:$F,$C995,当年实际!$C:$C,"&gt;="&amp;DATE(YEAR(主页!$D$2),1,1),当年实际!$C:$C,"&lt;="&amp;EOMONTH(DATE(YEAR(主页!$D$2),MONTH(主页!$D$2),1),0)),"")</f>
        <v/>
      </c>
    </row>
    <row r="996" spans="1:10" x14ac:dyDescent="0.3">
      <c r="A996" s="150"/>
      <c r="B996" s="150"/>
      <c r="C996" s="150"/>
      <c r="D996" s="150"/>
      <c r="E996" s="140" t="str">
        <f t="shared" si="46"/>
        <v/>
      </c>
      <c r="F996" s="159"/>
      <c r="G996" s="145">
        <f t="shared" si="48"/>
        <v>0</v>
      </c>
      <c r="H996" s="140" t="str">
        <f t="shared" si="47"/>
        <v/>
      </c>
      <c r="J996" s="147" t="str">
        <f>IFERROR(SUMIFS(当年实际!$V:$V,当年实际!$F:$F,$C996,当年实际!$C:$C,"&gt;="&amp;DATE(YEAR(主页!$D$2),1,1),当年实际!$C:$C,"&lt;="&amp;EOMONTH(DATE(YEAR(主页!$D$2),MONTH(主页!$D$2),1),0))/SUMIFS(当年实际!$P:$P,当年实际!$F:$F,$C996,当年实际!$C:$C,"&gt;="&amp;DATE(YEAR(主页!$D$2),1,1),当年实际!$C:$C,"&lt;="&amp;EOMONTH(DATE(YEAR(主页!$D$2),MONTH(主页!$D$2),1),0)),"")</f>
        <v/>
      </c>
    </row>
    <row r="997" spans="1:10" x14ac:dyDescent="0.3">
      <c r="A997" s="150"/>
      <c r="B997" s="150"/>
      <c r="C997" s="150"/>
      <c r="D997" s="150"/>
      <c r="E997" s="140" t="str">
        <f t="shared" si="46"/>
        <v/>
      </c>
      <c r="F997" s="159"/>
      <c r="G997" s="145">
        <f t="shared" si="48"/>
        <v>0</v>
      </c>
      <c r="H997" s="140" t="str">
        <f t="shared" si="47"/>
        <v/>
      </c>
      <c r="J997" s="147" t="str">
        <f>IFERROR(SUMIFS(当年实际!$V:$V,当年实际!$F:$F,$C997,当年实际!$C:$C,"&gt;="&amp;DATE(YEAR(主页!$D$2),1,1),当年实际!$C:$C,"&lt;="&amp;EOMONTH(DATE(YEAR(主页!$D$2),MONTH(主页!$D$2),1),0))/SUMIFS(当年实际!$P:$P,当年实际!$F:$F,$C997,当年实际!$C:$C,"&gt;="&amp;DATE(YEAR(主页!$D$2),1,1),当年实际!$C:$C,"&lt;="&amp;EOMONTH(DATE(YEAR(主页!$D$2),MONTH(主页!$D$2),1),0)),"")</f>
        <v/>
      </c>
    </row>
    <row r="998" spans="1:10" x14ac:dyDescent="0.3">
      <c r="A998" s="150"/>
      <c r="B998" s="150"/>
      <c r="C998" s="150"/>
      <c r="D998" s="150"/>
      <c r="E998" s="140" t="str">
        <f t="shared" si="46"/>
        <v/>
      </c>
      <c r="F998" s="159"/>
      <c r="G998" s="145">
        <f t="shared" si="48"/>
        <v>0</v>
      </c>
      <c r="H998" s="140" t="str">
        <f t="shared" si="47"/>
        <v/>
      </c>
      <c r="J998" s="147" t="str">
        <f>IFERROR(SUMIFS(当年实际!$V:$V,当年实际!$F:$F,$C998,当年实际!$C:$C,"&gt;="&amp;DATE(YEAR(主页!$D$2),1,1),当年实际!$C:$C,"&lt;="&amp;EOMONTH(DATE(YEAR(主页!$D$2),MONTH(主页!$D$2),1),0))/SUMIFS(当年实际!$P:$P,当年实际!$F:$F,$C998,当年实际!$C:$C,"&gt;="&amp;DATE(YEAR(主页!$D$2),1,1),当年实际!$C:$C,"&lt;="&amp;EOMONTH(DATE(YEAR(主页!$D$2),MONTH(主页!$D$2),1),0)),"")</f>
        <v/>
      </c>
    </row>
    <row r="999" spans="1:10" x14ac:dyDescent="0.3">
      <c r="A999" s="150"/>
      <c r="B999" s="150"/>
      <c r="C999" s="150"/>
      <c r="D999" s="150"/>
      <c r="E999" s="140" t="str">
        <f t="shared" si="46"/>
        <v/>
      </c>
      <c r="F999" s="159"/>
      <c r="G999" s="145">
        <f t="shared" si="48"/>
        <v>0</v>
      </c>
      <c r="H999" s="140" t="str">
        <f t="shared" si="47"/>
        <v/>
      </c>
      <c r="J999" s="147" t="str">
        <f>IFERROR(SUMIFS(当年实际!$V:$V,当年实际!$F:$F,$C999,当年实际!$C:$C,"&gt;="&amp;DATE(YEAR(主页!$D$2),1,1),当年实际!$C:$C,"&lt;="&amp;EOMONTH(DATE(YEAR(主页!$D$2),MONTH(主页!$D$2),1),0))/SUMIFS(当年实际!$P:$P,当年实际!$F:$F,$C999,当年实际!$C:$C,"&gt;="&amp;DATE(YEAR(主页!$D$2),1,1),当年实际!$C:$C,"&lt;="&amp;EOMONTH(DATE(YEAR(主页!$D$2),MONTH(主页!$D$2),1),0)),"")</f>
        <v/>
      </c>
    </row>
    <row r="1000" spans="1:10" x14ac:dyDescent="0.3">
      <c r="A1000" s="150"/>
      <c r="B1000" s="150"/>
      <c r="C1000" s="150"/>
      <c r="D1000" s="150"/>
      <c r="E1000" s="140" t="str">
        <f t="shared" si="46"/>
        <v/>
      </c>
      <c r="F1000" s="159"/>
      <c r="G1000" s="145">
        <f t="shared" si="48"/>
        <v>0</v>
      </c>
      <c r="H1000" s="140" t="str">
        <f t="shared" si="47"/>
        <v/>
      </c>
      <c r="J1000" s="147" t="str">
        <f>IFERROR(SUMIFS(当年实际!$V:$V,当年实际!$F:$F,$C1000,当年实际!$C:$C,"&gt;="&amp;DATE(YEAR(主页!$D$2),1,1),当年实际!$C:$C,"&lt;="&amp;EOMONTH(DATE(YEAR(主页!$D$2),MONTH(主页!$D$2),1),0))/SUMIFS(当年实际!$P:$P,当年实际!$F:$F,$C1000,当年实际!$C:$C,"&gt;="&amp;DATE(YEAR(主页!$D$2),1,1),当年实际!$C:$C,"&lt;="&amp;EOMONTH(DATE(YEAR(主页!$D$2),MONTH(主页!$D$2),1),0)),"")</f>
        <v/>
      </c>
    </row>
    <row r="1001" spans="1:10" x14ac:dyDescent="0.3">
      <c r="A1001" s="150"/>
      <c r="B1001" s="150"/>
      <c r="C1001" s="150"/>
      <c r="D1001" s="150"/>
      <c r="E1001" s="140" t="str">
        <f t="shared" si="46"/>
        <v/>
      </c>
      <c r="F1001" s="159"/>
      <c r="G1001" s="145">
        <f t="shared" si="48"/>
        <v>0</v>
      </c>
      <c r="H1001" s="140" t="str">
        <f t="shared" si="47"/>
        <v/>
      </c>
      <c r="J1001" s="147" t="str">
        <f>IFERROR(SUMIFS(当年实际!$V:$V,当年实际!$F:$F,$C1001,当年实际!$C:$C,"&gt;="&amp;DATE(YEAR(主页!$D$2),1,1),当年实际!$C:$C,"&lt;="&amp;EOMONTH(DATE(YEAR(主页!$D$2),MONTH(主页!$D$2),1),0))/SUMIFS(当年实际!$P:$P,当年实际!$F:$F,$C1001,当年实际!$C:$C,"&gt;="&amp;DATE(YEAR(主页!$D$2),1,1),当年实际!$C:$C,"&lt;="&amp;EOMONTH(DATE(YEAR(主页!$D$2),MONTH(主页!$D$2),1),0)),"")</f>
        <v/>
      </c>
    </row>
    <row r="1002" spans="1:10" x14ac:dyDescent="0.3">
      <c r="A1002" s="150"/>
      <c r="B1002" s="150"/>
      <c r="C1002" s="150"/>
      <c r="D1002" s="150"/>
      <c r="E1002" s="140" t="str">
        <f t="shared" si="46"/>
        <v/>
      </c>
      <c r="F1002" s="159"/>
      <c r="G1002" s="145">
        <f t="shared" si="48"/>
        <v>0</v>
      </c>
      <c r="H1002" s="140" t="str">
        <f t="shared" si="47"/>
        <v/>
      </c>
      <c r="J1002" s="147" t="str">
        <f>IFERROR(SUMIFS(当年实际!$V:$V,当年实际!$F:$F,$C1002,当年实际!$C:$C,"&gt;="&amp;DATE(YEAR(主页!$D$2),1,1),当年实际!$C:$C,"&lt;="&amp;EOMONTH(DATE(YEAR(主页!$D$2),MONTH(主页!$D$2),1),0))/SUMIFS(当年实际!$P:$P,当年实际!$F:$F,$C1002,当年实际!$C:$C,"&gt;="&amp;DATE(YEAR(主页!$D$2),1,1),当年实际!$C:$C,"&lt;="&amp;EOMONTH(DATE(YEAR(主页!$D$2),MONTH(主页!$D$2),1),0)),"")</f>
        <v/>
      </c>
    </row>
    <row r="1003" spans="1:10" x14ac:dyDescent="0.3">
      <c r="A1003" s="150"/>
      <c r="B1003" s="150"/>
      <c r="C1003" s="150"/>
      <c r="D1003" s="150"/>
      <c r="E1003" s="140" t="str">
        <f t="shared" si="46"/>
        <v/>
      </c>
      <c r="F1003" s="159"/>
      <c r="G1003" s="145">
        <f t="shared" si="48"/>
        <v>0</v>
      </c>
      <c r="H1003" s="140" t="str">
        <f t="shared" si="47"/>
        <v/>
      </c>
      <c r="J1003" s="147" t="str">
        <f>IFERROR(SUMIFS(当年实际!$V:$V,当年实际!$F:$F,$C1003,当年实际!$C:$C,"&gt;="&amp;DATE(YEAR(主页!$D$2),1,1),当年实际!$C:$C,"&lt;="&amp;EOMONTH(DATE(YEAR(主页!$D$2),MONTH(主页!$D$2),1),0))/SUMIFS(当年实际!$P:$P,当年实际!$F:$F,$C1003,当年实际!$C:$C,"&gt;="&amp;DATE(YEAR(主页!$D$2),1,1),当年实际!$C:$C,"&lt;="&amp;EOMONTH(DATE(YEAR(主页!$D$2),MONTH(主页!$D$2),1),0)),"")</f>
        <v/>
      </c>
    </row>
    <row r="1004" spans="1:10" x14ac:dyDescent="0.3">
      <c r="A1004" s="150"/>
      <c r="B1004" s="150"/>
      <c r="C1004" s="150"/>
      <c r="D1004" s="150"/>
      <c r="E1004" s="140" t="str">
        <f t="shared" si="46"/>
        <v/>
      </c>
      <c r="F1004" s="159"/>
      <c r="G1004" s="145">
        <f t="shared" si="48"/>
        <v>0</v>
      </c>
      <c r="H1004" s="140" t="str">
        <f t="shared" si="47"/>
        <v/>
      </c>
      <c r="J1004" s="147" t="str">
        <f>IFERROR(SUMIFS(当年实际!$V:$V,当年实际!$F:$F,$C1004,当年实际!$C:$C,"&gt;="&amp;DATE(YEAR(主页!$D$2),1,1),当年实际!$C:$C,"&lt;="&amp;EOMONTH(DATE(YEAR(主页!$D$2),MONTH(主页!$D$2),1),0))/SUMIFS(当年实际!$P:$P,当年实际!$F:$F,$C1004,当年实际!$C:$C,"&gt;="&amp;DATE(YEAR(主页!$D$2),1,1),当年实际!$C:$C,"&lt;="&amp;EOMONTH(DATE(YEAR(主页!$D$2),MONTH(主页!$D$2),1),0)),"")</f>
        <v/>
      </c>
    </row>
    <row r="1005" spans="1:10" x14ac:dyDescent="0.3">
      <c r="A1005" s="150"/>
      <c r="B1005" s="150"/>
      <c r="C1005" s="150"/>
      <c r="D1005" s="150"/>
      <c r="E1005" s="140" t="str">
        <f t="shared" si="46"/>
        <v/>
      </c>
      <c r="F1005" s="159"/>
      <c r="G1005" s="145">
        <f t="shared" si="48"/>
        <v>0</v>
      </c>
      <c r="H1005" s="140" t="str">
        <f t="shared" si="47"/>
        <v/>
      </c>
      <c r="J1005" s="147" t="str">
        <f>IFERROR(SUMIFS(当年实际!$V:$V,当年实际!$F:$F,$C1005,当年实际!$C:$C,"&gt;="&amp;DATE(YEAR(主页!$D$2),1,1),当年实际!$C:$C,"&lt;="&amp;EOMONTH(DATE(YEAR(主页!$D$2),MONTH(主页!$D$2),1),0))/SUMIFS(当年实际!$P:$P,当年实际!$F:$F,$C1005,当年实际!$C:$C,"&gt;="&amp;DATE(YEAR(主页!$D$2),1,1),当年实际!$C:$C,"&lt;="&amp;EOMONTH(DATE(YEAR(主页!$D$2),MONTH(主页!$D$2),1),0)),"")</f>
        <v/>
      </c>
    </row>
    <row r="1006" spans="1:10" x14ac:dyDescent="0.3">
      <c r="A1006" s="150"/>
      <c r="B1006" s="150"/>
      <c r="C1006" s="150"/>
      <c r="D1006" s="150"/>
      <c r="E1006" s="140" t="str">
        <f t="shared" si="46"/>
        <v/>
      </c>
      <c r="F1006" s="159"/>
      <c r="G1006" s="145">
        <f t="shared" si="48"/>
        <v>0</v>
      </c>
      <c r="H1006" s="140" t="str">
        <f t="shared" si="47"/>
        <v/>
      </c>
      <c r="J1006" s="147" t="str">
        <f>IFERROR(SUMIFS(当年实际!$V:$V,当年实际!$F:$F,$C1006,当年实际!$C:$C,"&gt;="&amp;DATE(YEAR(主页!$D$2),1,1),当年实际!$C:$C,"&lt;="&amp;EOMONTH(DATE(YEAR(主页!$D$2),MONTH(主页!$D$2),1),0))/SUMIFS(当年实际!$P:$P,当年实际!$F:$F,$C1006,当年实际!$C:$C,"&gt;="&amp;DATE(YEAR(主页!$D$2),1,1),当年实际!$C:$C,"&lt;="&amp;EOMONTH(DATE(YEAR(主页!$D$2),MONTH(主页!$D$2),1),0)),"")</f>
        <v/>
      </c>
    </row>
    <row r="1007" spans="1:10" x14ac:dyDescent="0.3">
      <c r="A1007" s="150"/>
      <c r="B1007" s="150"/>
      <c r="C1007" s="150"/>
      <c r="D1007" s="150"/>
      <c r="E1007" s="140" t="str">
        <f t="shared" si="46"/>
        <v/>
      </c>
      <c r="F1007" s="159"/>
      <c r="G1007" s="145">
        <f t="shared" si="48"/>
        <v>0</v>
      </c>
      <c r="H1007" s="140" t="str">
        <f t="shared" si="47"/>
        <v/>
      </c>
      <c r="J1007" s="147" t="str">
        <f>IFERROR(SUMIFS(当年实际!$V:$V,当年实际!$F:$F,$C1007,当年实际!$C:$C,"&gt;="&amp;DATE(YEAR(主页!$D$2),1,1),当年实际!$C:$C,"&lt;="&amp;EOMONTH(DATE(YEAR(主页!$D$2),MONTH(主页!$D$2),1),0))/SUMIFS(当年实际!$P:$P,当年实际!$F:$F,$C1007,当年实际!$C:$C,"&gt;="&amp;DATE(YEAR(主页!$D$2),1,1),当年实际!$C:$C,"&lt;="&amp;EOMONTH(DATE(YEAR(主页!$D$2),MONTH(主页!$D$2),1),0)),"")</f>
        <v/>
      </c>
    </row>
    <row r="1008" spans="1:10" x14ac:dyDescent="0.3">
      <c r="A1008" s="150"/>
      <c r="B1008" s="150"/>
      <c r="C1008" s="150"/>
      <c r="D1008" s="150"/>
      <c r="E1008" s="140" t="str">
        <f t="shared" si="46"/>
        <v/>
      </c>
      <c r="F1008" s="159"/>
      <c r="G1008" s="145">
        <f t="shared" si="48"/>
        <v>0</v>
      </c>
      <c r="H1008" s="140" t="str">
        <f t="shared" si="47"/>
        <v/>
      </c>
      <c r="J1008" s="147" t="str">
        <f>IFERROR(SUMIFS(当年实际!$V:$V,当年实际!$F:$F,$C1008,当年实际!$C:$C,"&gt;="&amp;DATE(YEAR(主页!$D$2),1,1),当年实际!$C:$C,"&lt;="&amp;EOMONTH(DATE(YEAR(主页!$D$2),MONTH(主页!$D$2),1),0))/SUMIFS(当年实际!$P:$P,当年实际!$F:$F,$C1008,当年实际!$C:$C,"&gt;="&amp;DATE(YEAR(主页!$D$2),1,1),当年实际!$C:$C,"&lt;="&amp;EOMONTH(DATE(YEAR(主页!$D$2),MONTH(主页!$D$2),1),0)),"")</f>
        <v/>
      </c>
    </row>
    <row r="1009" spans="1:10" x14ac:dyDescent="0.3">
      <c r="A1009" s="150"/>
      <c r="B1009" s="150"/>
      <c r="C1009" s="150"/>
      <c r="D1009" s="150"/>
      <c r="E1009" s="140" t="str">
        <f t="shared" si="46"/>
        <v/>
      </c>
      <c r="F1009" s="159"/>
      <c r="G1009" s="145">
        <f t="shared" si="48"/>
        <v>0</v>
      </c>
      <c r="H1009" s="140" t="str">
        <f t="shared" si="47"/>
        <v/>
      </c>
      <c r="J1009" s="147" t="str">
        <f>IFERROR(SUMIFS(当年实际!$V:$V,当年实际!$F:$F,$C1009,当年实际!$C:$C,"&gt;="&amp;DATE(YEAR(主页!$D$2),1,1),当年实际!$C:$C,"&lt;="&amp;EOMONTH(DATE(YEAR(主页!$D$2),MONTH(主页!$D$2),1),0))/SUMIFS(当年实际!$P:$P,当年实际!$F:$F,$C1009,当年实际!$C:$C,"&gt;="&amp;DATE(YEAR(主页!$D$2),1,1),当年实际!$C:$C,"&lt;="&amp;EOMONTH(DATE(YEAR(主页!$D$2),MONTH(主页!$D$2),1),0)),"")</f>
        <v/>
      </c>
    </row>
    <row r="1010" spans="1:10" x14ac:dyDescent="0.3">
      <c r="A1010" s="150"/>
      <c r="B1010" s="150"/>
      <c r="C1010" s="150"/>
      <c r="D1010" s="150"/>
      <c r="E1010" s="140" t="str">
        <f t="shared" si="46"/>
        <v/>
      </c>
      <c r="F1010" s="159"/>
      <c r="G1010" s="145">
        <f t="shared" si="48"/>
        <v>0</v>
      </c>
      <c r="H1010" s="140" t="str">
        <f t="shared" si="47"/>
        <v/>
      </c>
      <c r="J1010" s="147" t="str">
        <f>IFERROR(SUMIFS(当年实际!$V:$V,当年实际!$F:$F,$C1010,当年实际!$C:$C,"&gt;="&amp;DATE(YEAR(主页!$D$2),1,1),当年实际!$C:$C,"&lt;="&amp;EOMONTH(DATE(YEAR(主页!$D$2),MONTH(主页!$D$2),1),0))/SUMIFS(当年实际!$P:$P,当年实际!$F:$F,$C1010,当年实际!$C:$C,"&gt;="&amp;DATE(YEAR(主页!$D$2),1,1),当年实际!$C:$C,"&lt;="&amp;EOMONTH(DATE(YEAR(主页!$D$2),MONTH(主页!$D$2),1),0)),"")</f>
        <v/>
      </c>
    </row>
    <row r="1011" spans="1:10" x14ac:dyDescent="0.3">
      <c r="A1011" s="150"/>
      <c r="B1011" s="150"/>
      <c r="C1011" s="150"/>
      <c r="D1011" s="150"/>
      <c r="E1011" s="140" t="str">
        <f t="shared" si="46"/>
        <v/>
      </c>
      <c r="F1011" s="159"/>
      <c r="G1011" s="145">
        <f t="shared" si="48"/>
        <v>0</v>
      </c>
      <c r="H1011" s="140" t="str">
        <f t="shared" si="47"/>
        <v/>
      </c>
      <c r="J1011" s="147" t="str">
        <f>IFERROR(SUMIFS(当年实际!$V:$V,当年实际!$F:$F,$C1011,当年实际!$C:$C,"&gt;="&amp;DATE(YEAR(主页!$D$2),1,1),当年实际!$C:$C,"&lt;="&amp;EOMONTH(DATE(YEAR(主页!$D$2),MONTH(主页!$D$2),1),0))/SUMIFS(当年实际!$P:$P,当年实际!$F:$F,$C1011,当年实际!$C:$C,"&gt;="&amp;DATE(YEAR(主页!$D$2),1,1),当年实际!$C:$C,"&lt;="&amp;EOMONTH(DATE(YEAR(主页!$D$2),MONTH(主页!$D$2),1),0)),"")</f>
        <v/>
      </c>
    </row>
    <row r="1012" spans="1:10" x14ac:dyDescent="0.3">
      <c r="A1012" s="150"/>
      <c r="B1012" s="150"/>
      <c r="C1012" s="150"/>
      <c r="D1012" s="150"/>
      <c r="E1012" s="140" t="str">
        <f t="shared" si="46"/>
        <v/>
      </c>
      <c r="F1012" s="159"/>
      <c r="G1012" s="145">
        <f t="shared" si="48"/>
        <v>0</v>
      </c>
      <c r="H1012" s="140" t="str">
        <f t="shared" si="47"/>
        <v/>
      </c>
      <c r="J1012" s="147" t="str">
        <f>IFERROR(SUMIFS(当年实际!$V:$V,当年实际!$F:$F,$C1012,当年实际!$C:$C,"&gt;="&amp;DATE(YEAR(主页!$D$2),1,1),当年实际!$C:$C,"&lt;="&amp;EOMONTH(DATE(YEAR(主页!$D$2),MONTH(主页!$D$2),1),0))/SUMIFS(当年实际!$P:$P,当年实际!$F:$F,$C1012,当年实际!$C:$C,"&gt;="&amp;DATE(YEAR(主页!$D$2),1,1),当年实际!$C:$C,"&lt;="&amp;EOMONTH(DATE(YEAR(主页!$D$2),MONTH(主页!$D$2),1),0)),"")</f>
        <v/>
      </c>
    </row>
    <row r="1013" spans="1:10" x14ac:dyDescent="0.3">
      <c r="A1013" s="150"/>
      <c r="B1013" s="150"/>
      <c r="C1013" s="150"/>
      <c r="D1013" s="150"/>
      <c r="E1013" s="140" t="str">
        <f t="shared" si="46"/>
        <v/>
      </c>
      <c r="F1013" s="159"/>
      <c r="G1013" s="145">
        <f t="shared" si="48"/>
        <v>0</v>
      </c>
      <c r="H1013" s="140" t="str">
        <f t="shared" si="47"/>
        <v/>
      </c>
      <c r="J1013" s="147" t="str">
        <f>IFERROR(SUMIFS(当年实际!$V:$V,当年实际!$F:$F,$C1013,当年实际!$C:$C,"&gt;="&amp;DATE(YEAR(主页!$D$2),1,1),当年实际!$C:$C,"&lt;="&amp;EOMONTH(DATE(YEAR(主页!$D$2),MONTH(主页!$D$2),1),0))/SUMIFS(当年实际!$P:$P,当年实际!$F:$F,$C1013,当年实际!$C:$C,"&gt;="&amp;DATE(YEAR(主页!$D$2),1,1),当年实际!$C:$C,"&lt;="&amp;EOMONTH(DATE(YEAR(主页!$D$2),MONTH(主页!$D$2),1),0)),"")</f>
        <v/>
      </c>
    </row>
    <row r="1014" spans="1:10" x14ac:dyDescent="0.3">
      <c r="A1014" s="150"/>
      <c r="B1014" s="150"/>
      <c r="C1014" s="150"/>
      <c r="D1014" s="150"/>
      <c r="E1014" s="140" t="str">
        <f t="shared" si="46"/>
        <v/>
      </c>
      <c r="F1014" s="159"/>
      <c r="G1014" s="145">
        <f t="shared" si="48"/>
        <v>0</v>
      </c>
      <c r="H1014" s="140" t="str">
        <f t="shared" si="47"/>
        <v/>
      </c>
      <c r="J1014" s="147" t="str">
        <f>IFERROR(SUMIFS(当年实际!$V:$V,当年实际!$F:$F,$C1014,当年实际!$C:$C,"&gt;="&amp;DATE(YEAR(主页!$D$2),1,1),当年实际!$C:$C,"&lt;="&amp;EOMONTH(DATE(YEAR(主页!$D$2),MONTH(主页!$D$2),1),0))/SUMIFS(当年实际!$P:$P,当年实际!$F:$F,$C1014,当年实际!$C:$C,"&gt;="&amp;DATE(YEAR(主页!$D$2),1,1),当年实际!$C:$C,"&lt;="&amp;EOMONTH(DATE(YEAR(主页!$D$2),MONTH(主页!$D$2),1),0)),"")</f>
        <v/>
      </c>
    </row>
    <row r="1015" spans="1:10" x14ac:dyDescent="0.3">
      <c r="A1015" s="150"/>
      <c r="B1015" s="150"/>
      <c r="C1015" s="150"/>
      <c r="D1015" s="150"/>
      <c r="E1015" s="140" t="str">
        <f t="shared" si="46"/>
        <v/>
      </c>
      <c r="F1015" s="159"/>
      <c r="G1015" s="145">
        <f t="shared" si="48"/>
        <v>0</v>
      </c>
      <c r="H1015" s="140" t="str">
        <f t="shared" si="47"/>
        <v/>
      </c>
      <c r="J1015" s="147" t="str">
        <f>IFERROR(SUMIFS(当年实际!$V:$V,当年实际!$F:$F,$C1015,当年实际!$C:$C,"&gt;="&amp;DATE(YEAR(主页!$D$2),1,1),当年实际!$C:$C,"&lt;="&amp;EOMONTH(DATE(YEAR(主页!$D$2),MONTH(主页!$D$2),1),0))/SUMIFS(当年实际!$P:$P,当年实际!$F:$F,$C1015,当年实际!$C:$C,"&gt;="&amp;DATE(YEAR(主页!$D$2),1,1),当年实际!$C:$C,"&lt;="&amp;EOMONTH(DATE(YEAR(主页!$D$2),MONTH(主页!$D$2),1),0)),"")</f>
        <v/>
      </c>
    </row>
    <row r="1016" spans="1:10" x14ac:dyDescent="0.3">
      <c r="A1016" s="150"/>
      <c r="B1016" s="150"/>
      <c r="C1016" s="150"/>
      <c r="D1016" s="150"/>
      <c r="E1016" s="140" t="str">
        <f t="shared" si="46"/>
        <v/>
      </c>
      <c r="F1016" s="159"/>
      <c r="G1016" s="145">
        <f t="shared" si="48"/>
        <v>0</v>
      </c>
      <c r="H1016" s="140" t="str">
        <f t="shared" si="47"/>
        <v/>
      </c>
      <c r="J1016" s="147" t="str">
        <f>IFERROR(SUMIFS(当年实际!$V:$V,当年实际!$F:$F,$C1016,当年实际!$C:$C,"&gt;="&amp;DATE(YEAR(主页!$D$2),1,1),当年实际!$C:$C,"&lt;="&amp;EOMONTH(DATE(YEAR(主页!$D$2),MONTH(主页!$D$2),1),0))/SUMIFS(当年实际!$P:$P,当年实际!$F:$F,$C1016,当年实际!$C:$C,"&gt;="&amp;DATE(YEAR(主页!$D$2),1,1),当年实际!$C:$C,"&lt;="&amp;EOMONTH(DATE(YEAR(主页!$D$2),MONTH(主页!$D$2),1),0)),"")</f>
        <v/>
      </c>
    </row>
    <row r="1017" spans="1:10" x14ac:dyDescent="0.3">
      <c r="A1017" s="150"/>
      <c r="B1017" s="150"/>
      <c r="C1017" s="150"/>
      <c r="D1017" s="150"/>
      <c r="E1017" s="140" t="str">
        <f t="shared" si="46"/>
        <v/>
      </c>
      <c r="F1017" s="159"/>
      <c r="G1017" s="145">
        <f t="shared" si="48"/>
        <v>0</v>
      </c>
      <c r="H1017" s="140" t="str">
        <f t="shared" si="47"/>
        <v/>
      </c>
      <c r="J1017" s="147" t="str">
        <f>IFERROR(SUMIFS(当年实际!$V:$V,当年实际!$F:$F,$C1017,当年实际!$C:$C,"&gt;="&amp;DATE(YEAR(主页!$D$2),1,1),当年实际!$C:$C,"&lt;="&amp;EOMONTH(DATE(YEAR(主页!$D$2),MONTH(主页!$D$2),1),0))/SUMIFS(当年实际!$P:$P,当年实际!$F:$F,$C1017,当年实际!$C:$C,"&gt;="&amp;DATE(YEAR(主页!$D$2),1,1),当年实际!$C:$C,"&lt;="&amp;EOMONTH(DATE(YEAR(主页!$D$2),MONTH(主页!$D$2),1),0)),"")</f>
        <v/>
      </c>
    </row>
    <row r="1018" spans="1:10" x14ac:dyDescent="0.3">
      <c r="A1018" s="150"/>
      <c r="B1018" s="150"/>
      <c r="C1018" s="150"/>
      <c r="D1018" s="150"/>
      <c r="E1018" s="140" t="str">
        <f t="shared" si="46"/>
        <v/>
      </c>
      <c r="F1018" s="159"/>
      <c r="G1018" s="145">
        <f t="shared" si="48"/>
        <v>0</v>
      </c>
      <c r="H1018" s="140" t="str">
        <f t="shared" si="47"/>
        <v/>
      </c>
      <c r="J1018" s="147" t="str">
        <f>IFERROR(SUMIFS(当年实际!$V:$V,当年实际!$F:$F,$C1018,当年实际!$C:$C,"&gt;="&amp;DATE(YEAR(主页!$D$2),1,1),当年实际!$C:$C,"&lt;="&amp;EOMONTH(DATE(YEAR(主页!$D$2),MONTH(主页!$D$2),1),0))/SUMIFS(当年实际!$P:$P,当年实际!$F:$F,$C1018,当年实际!$C:$C,"&gt;="&amp;DATE(YEAR(主页!$D$2),1,1),当年实际!$C:$C,"&lt;="&amp;EOMONTH(DATE(YEAR(主页!$D$2),MONTH(主页!$D$2),1),0)),"")</f>
        <v/>
      </c>
    </row>
    <row r="1019" spans="1:10" x14ac:dyDescent="0.3">
      <c r="A1019" s="150"/>
      <c r="B1019" s="150"/>
      <c r="C1019" s="150"/>
      <c r="D1019" s="150"/>
      <c r="E1019" s="140" t="str">
        <f t="shared" si="46"/>
        <v/>
      </c>
      <c r="F1019" s="159"/>
      <c r="G1019" s="145">
        <f t="shared" si="48"/>
        <v>0</v>
      </c>
      <c r="H1019" s="140" t="str">
        <f t="shared" si="47"/>
        <v/>
      </c>
      <c r="J1019" s="147" t="str">
        <f>IFERROR(SUMIFS(当年实际!$V:$V,当年实际!$F:$F,$C1019,当年实际!$C:$C,"&gt;="&amp;DATE(YEAR(主页!$D$2),1,1),当年实际!$C:$C,"&lt;="&amp;EOMONTH(DATE(YEAR(主页!$D$2),MONTH(主页!$D$2),1),0))/SUMIFS(当年实际!$P:$P,当年实际!$F:$F,$C1019,当年实际!$C:$C,"&gt;="&amp;DATE(YEAR(主页!$D$2),1,1),当年实际!$C:$C,"&lt;="&amp;EOMONTH(DATE(YEAR(主页!$D$2),MONTH(主页!$D$2),1),0)),"")</f>
        <v/>
      </c>
    </row>
    <row r="1020" spans="1:10" x14ac:dyDescent="0.3">
      <c r="A1020" s="150"/>
      <c r="B1020" s="150"/>
      <c r="C1020" s="150"/>
      <c r="D1020" s="150"/>
      <c r="E1020" s="140" t="str">
        <f t="shared" si="46"/>
        <v/>
      </c>
      <c r="F1020" s="159"/>
      <c r="G1020" s="145">
        <f t="shared" si="48"/>
        <v>0</v>
      </c>
      <c r="H1020" s="140" t="str">
        <f t="shared" si="47"/>
        <v/>
      </c>
      <c r="J1020" s="147" t="str">
        <f>IFERROR(SUMIFS(当年实际!$V:$V,当年实际!$F:$F,$C1020,当年实际!$C:$C,"&gt;="&amp;DATE(YEAR(主页!$D$2),1,1),当年实际!$C:$C,"&lt;="&amp;EOMONTH(DATE(YEAR(主页!$D$2),MONTH(主页!$D$2),1),0))/SUMIFS(当年实际!$P:$P,当年实际!$F:$F,$C1020,当年实际!$C:$C,"&gt;="&amp;DATE(YEAR(主页!$D$2),1,1),当年实际!$C:$C,"&lt;="&amp;EOMONTH(DATE(YEAR(主页!$D$2),MONTH(主页!$D$2),1),0)),"")</f>
        <v/>
      </c>
    </row>
    <row r="1021" spans="1:10" x14ac:dyDescent="0.3">
      <c r="A1021" s="150"/>
      <c r="B1021" s="150"/>
      <c r="C1021" s="150"/>
      <c r="D1021" s="150"/>
      <c r="E1021" s="140" t="str">
        <f t="shared" si="46"/>
        <v/>
      </c>
      <c r="F1021" s="159"/>
      <c r="G1021" s="145">
        <f t="shared" si="48"/>
        <v>0</v>
      </c>
      <c r="H1021" s="140" t="str">
        <f t="shared" si="47"/>
        <v/>
      </c>
      <c r="J1021" s="147" t="str">
        <f>IFERROR(SUMIFS(当年实际!$V:$V,当年实际!$F:$F,$C1021,当年实际!$C:$C,"&gt;="&amp;DATE(YEAR(主页!$D$2),1,1),当年实际!$C:$C,"&lt;="&amp;EOMONTH(DATE(YEAR(主页!$D$2),MONTH(主页!$D$2),1),0))/SUMIFS(当年实际!$P:$P,当年实际!$F:$F,$C1021,当年实际!$C:$C,"&gt;="&amp;DATE(YEAR(主页!$D$2),1,1),当年实际!$C:$C,"&lt;="&amp;EOMONTH(DATE(YEAR(主页!$D$2),MONTH(主页!$D$2),1),0)),"")</f>
        <v/>
      </c>
    </row>
    <row r="1022" spans="1:10" x14ac:dyDescent="0.3">
      <c r="A1022" s="150"/>
      <c r="B1022" s="150"/>
      <c r="C1022" s="150"/>
      <c r="D1022" s="150"/>
      <c r="E1022" s="140" t="str">
        <f t="shared" si="46"/>
        <v/>
      </c>
      <c r="F1022" s="159"/>
      <c r="G1022" s="145">
        <f t="shared" si="48"/>
        <v>0</v>
      </c>
      <c r="H1022" s="140" t="str">
        <f t="shared" si="47"/>
        <v/>
      </c>
      <c r="J1022" s="147" t="str">
        <f>IFERROR(SUMIFS(当年实际!$V:$V,当年实际!$F:$F,$C1022,当年实际!$C:$C,"&gt;="&amp;DATE(YEAR(主页!$D$2),1,1),当年实际!$C:$C,"&lt;="&amp;EOMONTH(DATE(YEAR(主页!$D$2),MONTH(主页!$D$2),1),0))/SUMIFS(当年实际!$P:$P,当年实际!$F:$F,$C1022,当年实际!$C:$C,"&gt;="&amp;DATE(YEAR(主页!$D$2),1,1),当年实际!$C:$C,"&lt;="&amp;EOMONTH(DATE(YEAR(主页!$D$2),MONTH(主页!$D$2),1),0)),"")</f>
        <v/>
      </c>
    </row>
    <row r="1023" spans="1:10" x14ac:dyDescent="0.3">
      <c r="A1023" s="150"/>
      <c r="B1023" s="150"/>
      <c r="C1023" s="150"/>
      <c r="D1023" s="150"/>
      <c r="E1023" s="140" t="str">
        <f t="shared" si="46"/>
        <v/>
      </c>
      <c r="F1023" s="159"/>
      <c r="G1023" s="145">
        <f t="shared" si="48"/>
        <v>0</v>
      </c>
      <c r="H1023" s="140" t="str">
        <f t="shared" si="47"/>
        <v/>
      </c>
      <c r="J1023" s="147" t="str">
        <f>IFERROR(SUMIFS(当年实际!$V:$V,当年实际!$F:$F,$C1023,当年实际!$C:$C,"&gt;="&amp;DATE(YEAR(主页!$D$2),1,1),当年实际!$C:$C,"&lt;="&amp;EOMONTH(DATE(YEAR(主页!$D$2),MONTH(主页!$D$2),1),0))/SUMIFS(当年实际!$P:$P,当年实际!$F:$F,$C1023,当年实际!$C:$C,"&gt;="&amp;DATE(YEAR(主页!$D$2),1,1),当年实际!$C:$C,"&lt;="&amp;EOMONTH(DATE(YEAR(主页!$D$2),MONTH(主页!$D$2),1),0)),"")</f>
        <v/>
      </c>
    </row>
    <row r="1024" spans="1:10" x14ac:dyDescent="0.3">
      <c r="A1024" s="150"/>
      <c r="B1024" s="150"/>
      <c r="C1024" s="150"/>
      <c r="D1024" s="150"/>
      <c r="E1024" s="140" t="str">
        <f t="shared" si="46"/>
        <v/>
      </c>
      <c r="F1024" s="159"/>
      <c r="G1024" s="145">
        <f t="shared" si="48"/>
        <v>0</v>
      </c>
      <c r="H1024" s="140" t="str">
        <f t="shared" si="47"/>
        <v/>
      </c>
      <c r="J1024" s="147" t="str">
        <f>IFERROR(SUMIFS(当年实际!$V:$V,当年实际!$F:$F,$C1024,当年实际!$C:$C,"&gt;="&amp;DATE(YEAR(主页!$D$2),1,1),当年实际!$C:$C,"&lt;="&amp;EOMONTH(DATE(YEAR(主页!$D$2),MONTH(主页!$D$2),1),0))/SUMIFS(当年实际!$P:$P,当年实际!$F:$F,$C1024,当年实际!$C:$C,"&gt;="&amp;DATE(YEAR(主页!$D$2),1,1),当年实际!$C:$C,"&lt;="&amp;EOMONTH(DATE(YEAR(主页!$D$2),MONTH(主页!$D$2),1),0)),"")</f>
        <v/>
      </c>
    </row>
    <row r="1025" spans="1:10" x14ac:dyDescent="0.3">
      <c r="A1025" s="150"/>
      <c r="B1025" s="150"/>
      <c r="C1025" s="150"/>
      <c r="D1025" s="150"/>
      <c r="E1025" s="140" t="str">
        <f t="shared" si="46"/>
        <v/>
      </c>
      <c r="F1025" s="159"/>
      <c r="G1025" s="145">
        <f t="shared" si="48"/>
        <v>0</v>
      </c>
      <c r="H1025" s="140" t="str">
        <f t="shared" si="47"/>
        <v/>
      </c>
      <c r="J1025" s="147" t="str">
        <f>IFERROR(SUMIFS(当年实际!$V:$V,当年实际!$F:$F,$C1025,当年实际!$C:$C,"&gt;="&amp;DATE(YEAR(主页!$D$2),1,1),当年实际!$C:$C,"&lt;="&amp;EOMONTH(DATE(YEAR(主页!$D$2),MONTH(主页!$D$2),1),0))/SUMIFS(当年实际!$P:$P,当年实际!$F:$F,$C1025,当年实际!$C:$C,"&gt;="&amp;DATE(YEAR(主页!$D$2),1,1),当年实际!$C:$C,"&lt;="&amp;EOMONTH(DATE(YEAR(主页!$D$2),MONTH(主页!$D$2),1),0)),"")</f>
        <v/>
      </c>
    </row>
    <row r="1026" spans="1:10" x14ac:dyDescent="0.3">
      <c r="A1026" s="150"/>
      <c r="B1026" s="150"/>
      <c r="C1026" s="150"/>
      <c r="D1026" s="150"/>
      <c r="E1026" s="140" t="str">
        <f t="shared" si="46"/>
        <v/>
      </c>
      <c r="F1026" s="159"/>
      <c r="G1026" s="145">
        <f t="shared" si="48"/>
        <v>0</v>
      </c>
      <c r="H1026" s="140" t="str">
        <f t="shared" si="47"/>
        <v/>
      </c>
      <c r="J1026" s="147" t="str">
        <f>IFERROR(SUMIFS(当年实际!$V:$V,当年实际!$F:$F,$C1026,当年实际!$C:$C,"&gt;="&amp;DATE(YEAR(主页!$D$2),1,1),当年实际!$C:$C,"&lt;="&amp;EOMONTH(DATE(YEAR(主页!$D$2),MONTH(主页!$D$2),1),0))/SUMIFS(当年实际!$P:$P,当年实际!$F:$F,$C1026,当年实际!$C:$C,"&gt;="&amp;DATE(YEAR(主页!$D$2),1,1),当年实际!$C:$C,"&lt;="&amp;EOMONTH(DATE(YEAR(主页!$D$2),MONTH(主页!$D$2),1),0)),"")</f>
        <v/>
      </c>
    </row>
    <row r="1027" spans="1:10" x14ac:dyDescent="0.3">
      <c r="A1027" s="150"/>
      <c r="B1027" s="150"/>
      <c r="C1027" s="150"/>
      <c r="D1027" s="150"/>
      <c r="E1027" s="140" t="str">
        <f t="shared" si="46"/>
        <v/>
      </c>
      <c r="F1027" s="159"/>
      <c r="G1027" s="145">
        <f t="shared" si="48"/>
        <v>0</v>
      </c>
      <c r="H1027" s="140" t="str">
        <f t="shared" si="47"/>
        <v/>
      </c>
      <c r="J1027" s="147" t="str">
        <f>IFERROR(SUMIFS(当年实际!$V:$V,当年实际!$F:$F,$C1027,当年实际!$C:$C,"&gt;="&amp;DATE(YEAR(主页!$D$2),1,1),当年实际!$C:$C,"&lt;="&amp;EOMONTH(DATE(YEAR(主页!$D$2),MONTH(主页!$D$2),1),0))/SUMIFS(当年实际!$P:$P,当年实际!$F:$F,$C1027,当年实际!$C:$C,"&gt;="&amp;DATE(YEAR(主页!$D$2),1,1),当年实际!$C:$C,"&lt;="&amp;EOMONTH(DATE(YEAR(主页!$D$2),MONTH(主页!$D$2),1),0)),"")</f>
        <v/>
      </c>
    </row>
    <row r="1028" spans="1:10" x14ac:dyDescent="0.3">
      <c r="A1028" s="150"/>
      <c r="B1028" s="150"/>
      <c r="C1028" s="150"/>
      <c r="D1028" s="150"/>
      <c r="E1028" s="140" t="str">
        <f t="shared" ref="E1028:E1091" si="49">IF(D1028/SUM(D:D)=0,"",D1028/SUM(D:D))</f>
        <v/>
      </c>
      <c r="F1028" s="159"/>
      <c r="G1028" s="145">
        <f t="shared" si="48"/>
        <v>0</v>
      </c>
      <c r="H1028" s="140" t="str">
        <f t="shared" ref="H1028:H1091" si="50">IF(G1028/SUM(G:G)=0,"",G1028/SUM(G:G))</f>
        <v/>
      </c>
      <c r="J1028" s="147" t="str">
        <f>IFERROR(SUMIFS(当年实际!$V:$V,当年实际!$F:$F,$C1028,当年实际!$C:$C,"&gt;="&amp;DATE(YEAR(主页!$D$2),1,1),当年实际!$C:$C,"&lt;="&amp;EOMONTH(DATE(YEAR(主页!$D$2),MONTH(主页!$D$2),1),0))/SUMIFS(当年实际!$P:$P,当年实际!$F:$F,$C1028,当年实际!$C:$C,"&gt;="&amp;DATE(YEAR(主页!$D$2),1,1),当年实际!$C:$C,"&lt;="&amp;EOMONTH(DATE(YEAR(主页!$D$2),MONTH(主页!$D$2),1),0)),"")</f>
        <v/>
      </c>
    </row>
    <row r="1029" spans="1:10" x14ac:dyDescent="0.3">
      <c r="A1029" s="150"/>
      <c r="B1029" s="150"/>
      <c r="C1029" s="150"/>
      <c r="D1029" s="150"/>
      <c r="E1029" s="140" t="str">
        <f t="shared" si="49"/>
        <v/>
      </c>
      <c r="F1029" s="159"/>
      <c r="G1029" s="145">
        <f t="shared" si="48"/>
        <v>0</v>
      </c>
      <c r="H1029" s="140" t="str">
        <f t="shared" si="50"/>
        <v/>
      </c>
      <c r="J1029" s="147" t="str">
        <f>IFERROR(SUMIFS(当年实际!$V:$V,当年实际!$F:$F,$C1029,当年实际!$C:$C,"&gt;="&amp;DATE(YEAR(主页!$D$2),1,1),当年实际!$C:$C,"&lt;="&amp;EOMONTH(DATE(YEAR(主页!$D$2),MONTH(主页!$D$2),1),0))/SUMIFS(当年实际!$P:$P,当年实际!$F:$F,$C1029,当年实际!$C:$C,"&gt;="&amp;DATE(YEAR(主页!$D$2),1,1),当年实际!$C:$C,"&lt;="&amp;EOMONTH(DATE(YEAR(主页!$D$2),MONTH(主页!$D$2),1),0)),"")</f>
        <v/>
      </c>
    </row>
    <row r="1030" spans="1:10" x14ac:dyDescent="0.3">
      <c r="A1030" s="150"/>
      <c r="B1030" s="150"/>
      <c r="C1030" s="150"/>
      <c r="D1030" s="150"/>
      <c r="E1030" s="140" t="str">
        <f t="shared" si="49"/>
        <v/>
      </c>
      <c r="F1030" s="159"/>
      <c r="G1030" s="145">
        <f t="shared" si="48"/>
        <v>0</v>
      </c>
      <c r="H1030" s="140" t="str">
        <f t="shared" si="50"/>
        <v/>
      </c>
      <c r="J1030" s="147" t="str">
        <f>IFERROR(SUMIFS(当年实际!$V:$V,当年实际!$F:$F,$C1030,当年实际!$C:$C,"&gt;="&amp;DATE(YEAR(主页!$D$2),1,1),当年实际!$C:$C,"&lt;="&amp;EOMONTH(DATE(YEAR(主页!$D$2),MONTH(主页!$D$2),1),0))/SUMIFS(当年实际!$P:$P,当年实际!$F:$F,$C1030,当年实际!$C:$C,"&gt;="&amp;DATE(YEAR(主页!$D$2),1,1),当年实际!$C:$C,"&lt;="&amp;EOMONTH(DATE(YEAR(主页!$D$2),MONTH(主页!$D$2),1),0)),"")</f>
        <v/>
      </c>
    </row>
    <row r="1031" spans="1:10" x14ac:dyDescent="0.3">
      <c r="A1031" s="150"/>
      <c r="B1031" s="150"/>
      <c r="C1031" s="150"/>
      <c r="D1031" s="150"/>
      <c r="E1031" s="140" t="str">
        <f t="shared" si="49"/>
        <v/>
      </c>
      <c r="F1031" s="159"/>
      <c r="G1031" s="145">
        <f t="shared" si="48"/>
        <v>0</v>
      </c>
      <c r="H1031" s="140" t="str">
        <f t="shared" si="50"/>
        <v/>
      </c>
      <c r="J1031" s="147" t="str">
        <f>IFERROR(SUMIFS(当年实际!$V:$V,当年实际!$F:$F,$C1031,当年实际!$C:$C,"&gt;="&amp;DATE(YEAR(主页!$D$2),1,1),当年实际!$C:$C,"&lt;="&amp;EOMONTH(DATE(YEAR(主页!$D$2),MONTH(主页!$D$2),1),0))/SUMIFS(当年实际!$P:$P,当年实际!$F:$F,$C1031,当年实际!$C:$C,"&gt;="&amp;DATE(YEAR(主页!$D$2),1,1),当年实际!$C:$C,"&lt;="&amp;EOMONTH(DATE(YEAR(主页!$D$2),MONTH(主页!$D$2),1),0)),"")</f>
        <v/>
      </c>
    </row>
    <row r="1032" spans="1:10" x14ac:dyDescent="0.3">
      <c r="A1032" s="150"/>
      <c r="B1032" s="150"/>
      <c r="C1032" s="150"/>
      <c r="D1032" s="150"/>
      <c r="E1032" s="140" t="str">
        <f t="shared" si="49"/>
        <v/>
      </c>
      <c r="F1032" s="159"/>
      <c r="G1032" s="145">
        <f t="shared" ref="G1032:G1095" si="51">D1032*F1032</f>
        <v>0</v>
      </c>
      <c r="H1032" s="140" t="str">
        <f t="shared" si="50"/>
        <v/>
      </c>
      <c r="J1032" s="147" t="str">
        <f>IFERROR(SUMIFS(当年实际!$V:$V,当年实际!$F:$F,$C1032,当年实际!$C:$C,"&gt;="&amp;DATE(YEAR(主页!$D$2),1,1),当年实际!$C:$C,"&lt;="&amp;EOMONTH(DATE(YEAR(主页!$D$2),MONTH(主页!$D$2),1),0))/SUMIFS(当年实际!$P:$P,当年实际!$F:$F,$C1032,当年实际!$C:$C,"&gt;="&amp;DATE(YEAR(主页!$D$2),1,1),当年实际!$C:$C,"&lt;="&amp;EOMONTH(DATE(YEAR(主页!$D$2),MONTH(主页!$D$2),1),0)),"")</f>
        <v/>
      </c>
    </row>
    <row r="1033" spans="1:10" x14ac:dyDescent="0.3">
      <c r="A1033" s="150"/>
      <c r="B1033" s="150"/>
      <c r="C1033" s="150"/>
      <c r="D1033" s="150"/>
      <c r="E1033" s="140" t="str">
        <f t="shared" si="49"/>
        <v/>
      </c>
      <c r="F1033" s="159"/>
      <c r="G1033" s="145">
        <f t="shared" si="51"/>
        <v>0</v>
      </c>
      <c r="H1033" s="140" t="str">
        <f t="shared" si="50"/>
        <v/>
      </c>
      <c r="J1033" s="147" t="str">
        <f>IFERROR(SUMIFS(当年实际!$V:$V,当年实际!$F:$F,$C1033,当年实际!$C:$C,"&gt;="&amp;DATE(YEAR(主页!$D$2),1,1),当年实际!$C:$C,"&lt;="&amp;EOMONTH(DATE(YEAR(主页!$D$2),MONTH(主页!$D$2),1),0))/SUMIFS(当年实际!$P:$P,当年实际!$F:$F,$C1033,当年实际!$C:$C,"&gt;="&amp;DATE(YEAR(主页!$D$2),1,1),当年实际!$C:$C,"&lt;="&amp;EOMONTH(DATE(YEAR(主页!$D$2),MONTH(主页!$D$2),1),0)),"")</f>
        <v/>
      </c>
    </row>
    <row r="1034" spans="1:10" x14ac:dyDescent="0.3">
      <c r="A1034" s="150"/>
      <c r="B1034" s="150"/>
      <c r="C1034" s="150"/>
      <c r="D1034" s="150"/>
      <c r="E1034" s="140" t="str">
        <f t="shared" si="49"/>
        <v/>
      </c>
      <c r="F1034" s="159"/>
      <c r="G1034" s="145">
        <f t="shared" si="51"/>
        <v>0</v>
      </c>
      <c r="H1034" s="140" t="str">
        <f t="shared" si="50"/>
        <v/>
      </c>
      <c r="J1034" s="147" t="str">
        <f>IFERROR(SUMIFS(当年实际!$V:$V,当年实际!$F:$F,$C1034,当年实际!$C:$C,"&gt;="&amp;DATE(YEAR(主页!$D$2),1,1),当年实际!$C:$C,"&lt;="&amp;EOMONTH(DATE(YEAR(主页!$D$2),MONTH(主页!$D$2),1),0))/SUMIFS(当年实际!$P:$P,当年实际!$F:$F,$C1034,当年实际!$C:$C,"&gt;="&amp;DATE(YEAR(主页!$D$2),1,1),当年实际!$C:$C,"&lt;="&amp;EOMONTH(DATE(YEAR(主页!$D$2),MONTH(主页!$D$2),1),0)),"")</f>
        <v/>
      </c>
    </row>
    <row r="1035" spans="1:10" x14ac:dyDescent="0.3">
      <c r="A1035" s="150"/>
      <c r="B1035" s="150"/>
      <c r="C1035" s="150"/>
      <c r="D1035" s="150"/>
      <c r="E1035" s="140" t="str">
        <f t="shared" si="49"/>
        <v/>
      </c>
      <c r="F1035" s="159"/>
      <c r="G1035" s="145">
        <f t="shared" si="51"/>
        <v>0</v>
      </c>
      <c r="H1035" s="140" t="str">
        <f t="shared" si="50"/>
        <v/>
      </c>
      <c r="J1035" s="147" t="str">
        <f>IFERROR(SUMIFS(当年实际!$V:$V,当年实际!$F:$F,$C1035,当年实际!$C:$C,"&gt;="&amp;DATE(YEAR(主页!$D$2),1,1),当年实际!$C:$C,"&lt;="&amp;EOMONTH(DATE(YEAR(主页!$D$2),MONTH(主页!$D$2),1),0))/SUMIFS(当年实际!$P:$P,当年实际!$F:$F,$C1035,当年实际!$C:$C,"&gt;="&amp;DATE(YEAR(主页!$D$2),1,1),当年实际!$C:$C,"&lt;="&amp;EOMONTH(DATE(YEAR(主页!$D$2),MONTH(主页!$D$2),1),0)),"")</f>
        <v/>
      </c>
    </row>
    <row r="1036" spans="1:10" x14ac:dyDescent="0.3">
      <c r="A1036" s="150"/>
      <c r="B1036" s="150"/>
      <c r="C1036" s="150"/>
      <c r="D1036" s="150"/>
      <c r="E1036" s="140" t="str">
        <f t="shared" si="49"/>
        <v/>
      </c>
      <c r="F1036" s="159"/>
      <c r="G1036" s="145">
        <f t="shared" si="51"/>
        <v>0</v>
      </c>
      <c r="H1036" s="140" t="str">
        <f t="shared" si="50"/>
        <v/>
      </c>
      <c r="J1036" s="147" t="str">
        <f>IFERROR(SUMIFS(当年实际!$V:$V,当年实际!$F:$F,$C1036,当年实际!$C:$C,"&gt;="&amp;DATE(YEAR(主页!$D$2),1,1),当年实际!$C:$C,"&lt;="&amp;EOMONTH(DATE(YEAR(主页!$D$2),MONTH(主页!$D$2),1),0))/SUMIFS(当年实际!$P:$P,当年实际!$F:$F,$C1036,当年实际!$C:$C,"&gt;="&amp;DATE(YEAR(主页!$D$2),1,1),当年实际!$C:$C,"&lt;="&amp;EOMONTH(DATE(YEAR(主页!$D$2),MONTH(主页!$D$2),1),0)),"")</f>
        <v/>
      </c>
    </row>
    <row r="1037" spans="1:10" x14ac:dyDescent="0.3">
      <c r="A1037" s="150"/>
      <c r="B1037" s="150"/>
      <c r="C1037" s="150"/>
      <c r="D1037" s="150"/>
      <c r="E1037" s="140" t="str">
        <f t="shared" si="49"/>
        <v/>
      </c>
      <c r="F1037" s="159"/>
      <c r="G1037" s="145">
        <f t="shared" si="51"/>
        <v>0</v>
      </c>
      <c r="H1037" s="140" t="str">
        <f t="shared" si="50"/>
        <v/>
      </c>
      <c r="J1037" s="147" t="str">
        <f>IFERROR(SUMIFS(当年实际!$V:$V,当年实际!$F:$F,$C1037,当年实际!$C:$C,"&gt;="&amp;DATE(YEAR(主页!$D$2),1,1),当年实际!$C:$C,"&lt;="&amp;EOMONTH(DATE(YEAR(主页!$D$2),MONTH(主页!$D$2),1),0))/SUMIFS(当年实际!$P:$P,当年实际!$F:$F,$C1037,当年实际!$C:$C,"&gt;="&amp;DATE(YEAR(主页!$D$2),1,1),当年实际!$C:$C,"&lt;="&amp;EOMONTH(DATE(YEAR(主页!$D$2),MONTH(主页!$D$2),1),0)),"")</f>
        <v/>
      </c>
    </row>
    <row r="1038" spans="1:10" x14ac:dyDescent="0.3">
      <c r="A1038" s="150"/>
      <c r="B1038" s="150"/>
      <c r="C1038" s="150"/>
      <c r="D1038" s="150"/>
      <c r="E1038" s="140" t="str">
        <f t="shared" si="49"/>
        <v/>
      </c>
      <c r="F1038" s="159"/>
      <c r="G1038" s="145">
        <f t="shared" si="51"/>
        <v>0</v>
      </c>
      <c r="H1038" s="140" t="str">
        <f t="shared" si="50"/>
        <v/>
      </c>
      <c r="J1038" s="147" t="str">
        <f>IFERROR(SUMIFS(当年实际!$V:$V,当年实际!$F:$F,$C1038,当年实际!$C:$C,"&gt;="&amp;DATE(YEAR(主页!$D$2),1,1),当年实际!$C:$C,"&lt;="&amp;EOMONTH(DATE(YEAR(主页!$D$2),MONTH(主页!$D$2),1),0))/SUMIFS(当年实际!$P:$P,当年实际!$F:$F,$C1038,当年实际!$C:$C,"&gt;="&amp;DATE(YEAR(主页!$D$2),1,1),当年实际!$C:$C,"&lt;="&amp;EOMONTH(DATE(YEAR(主页!$D$2),MONTH(主页!$D$2),1),0)),"")</f>
        <v/>
      </c>
    </row>
    <row r="1039" spans="1:10" x14ac:dyDescent="0.3">
      <c r="A1039" s="150"/>
      <c r="B1039" s="150"/>
      <c r="C1039" s="150"/>
      <c r="D1039" s="150"/>
      <c r="E1039" s="140" t="str">
        <f t="shared" si="49"/>
        <v/>
      </c>
      <c r="F1039" s="159"/>
      <c r="G1039" s="145">
        <f t="shared" si="51"/>
        <v>0</v>
      </c>
      <c r="H1039" s="140" t="str">
        <f t="shared" si="50"/>
        <v/>
      </c>
      <c r="J1039" s="147" t="str">
        <f>IFERROR(SUMIFS(当年实际!$V:$V,当年实际!$F:$F,$C1039,当年实际!$C:$C,"&gt;="&amp;DATE(YEAR(主页!$D$2),1,1),当年实际!$C:$C,"&lt;="&amp;EOMONTH(DATE(YEAR(主页!$D$2),MONTH(主页!$D$2),1),0))/SUMIFS(当年实际!$P:$P,当年实际!$F:$F,$C1039,当年实际!$C:$C,"&gt;="&amp;DATE(YEAR(主页!$D$2),1,1),当年实际!$C:$C,"&lt;="&amp;EOMONTH(DATE(YEAR(主页!$D$2),MONTH(主页!$D$2),1),0)),"")</f>
        <v/>
      </c>
    </row>
    <row r="1040" spans="1:10" x14ac:dyDescent="0.3">
      <c r="A1040" s="150"/>
      <c r="B1040" s="150"/>
      <c r="C1040" s="150"/>
      <c r="D1040" s="150"/>
      <c r="E1040" s="140" t="str">
        <f t="shared" si="49"/>
        <v/>
      </c>
      <c r="F1040" s="159"/>
      <c r="G1040" s="145">
        <f t="shared" si="51"/>
        <v>0</v>
      </c>
      <c r="H1040" s="140" t="str">
        <f t="shared" si="50"/>
        <v/>
      </c>
      <c r="J1040" s="147" t="str">
        <f>IFERROR(SUMIFS(当年实际!$V:$V,当年实际!$F:$F,$C1040,当年实际!$C:$C,"&gt;="&amp;DATE(YEAR(主页!$D$2),1,1),当年实际!$C:$C,"&lt;="&amp;EOMONTH(DATE(YEAR(主页!$D$2),MONTH(主页!$D$2),1),0))/SUMIFS(当年实际!$P:$P,当年实际!$F:$F,$C1040,当年实际!$C:$C,"&gt;="&amp;DATE(YEAR(主页!$D$2),1,1),当年实际!$C:$C,"&lt;="&amp;EOMONTH(DATE(YEAR(主页!$D$2),MONTH(主页!$D$2),1),0)),"")</f>
        <v/>
      </c>
    </row>
    <row r="1041" spans="1:10" x14ac:dyDescent="0.3">
      <c r="A1041" s="150"/>
      <c r="B1041" s="150"/>
      <c r="C1041" s="150"/>
      <c r="D1041" s="150"/>
      <c r="E1041" s="140" t="str">
        <f t="shared" si="49"/>
        <v/>
      </c>
      <c r="F1041" s="159"/>
      <c r="G1041" s="145">
        <f t="shared" si="51"/>
        <v>0</v>
      </c>
      <c r="H1041" s="140" t="str">
        <f t="shared" si="50"/>
        <v/>
      </c>
      <c r="J1041" s="147" t="str">
        <f>IFERROR(SUMIFS(当年实际!$V:$V,当年实际!$F:$F,$C1041,当年实际!$C:$C,"&gt;="&amp;DATE(YEAR(主页!$D$2),1,1),当年实际!$C:$C,"&lt;="&amp;EOMONTH(DATE(YEAR(主页!$D$2),MONTH(主页!$D$2),1),0))/SUMIFS(当年实际!$P:$P,当年实际!$F:$F,$C1041,当年实际!$C:$C,"&gt;="&amp;DATE(YEAR(主页!$D$2),1,1),当年实际!$C:$C,"&lt;="&amp;EOMONTH(DATE(YEAR(主页!$D$2),MONTH(主页!$D$2),1),0)),"")</f>
        <v/>
      </c>
    </row>
    <row r="1042" spans="1:10" x14ac:dyDescent="0.3">
      <c r="A1042" s="150"/>
      <c r="B1042" s="150"/>
      <c r="C1042" s="150"/>
      <c r="D1042" s="150"/>
      <c r="E1042" s="140" t="str">
        <f t="shared" si="49"/>
        <v/>
      </c>
      <c r="F1042" s="159"/>
      <c r="G1042" s="145">
        <f t="shared" si="51"/>
        <v>0</v>
      </c>
      <c r="H1042" s="140" t="str">
        <f t="shared" si="50"/>
        <v/>
      </c>
      <c r="J1042" s="147" t="str">
        <f>IFERROR(SUMIFS(当年实际!$V:$V,当年实际!$F:$F,$C1042,当年实际!$C:$C,"&gt;="&amp;DATE(YEAR(主页!$D$2),1,1),当年实际!$C:$C,"&lt;="&amp;EOMONTH(DATE(YEAR(主页!$D$2),MONTH(主页!$D$2),1),0))/SUMIFS(当年实际!$P:$P,当年实际!$F:$F,$C1042,当年实际!$C:$C,"&gt;="&amp;DATE(YEAR(主页!$D$2),1,1),当年实际!$C:$C,"&lt;="&amp;EOMONTH(DATE(YEAR(主页!$D$2),MONTH(主页!$D$2),1),0)),"")</f>
        <v/>
      </c>
    </row>
    <row r="1043" spans="1:10" x14ac:dyDescent="0.3">
      <c r="A1043" s="150"/>
      <c r="B1043" s="150"/>
      <c r="C1043" s="150"/>
      <c r="D1043" s="150"/>
      <c r="E1043" s="140" t="str">
        <f t="shared" si="49"/>
        <v/>
      </c>
      <c r="F1043" s="159"/>
      <c r="G1043" s="145">
        <f t="shared" si="51"/>
        <v>0</v>
      </c>
      <c r="H1043" s="140" t="str">
        <f t="shared" si="50"/>
        <v/>
      </c>
      <c r="J1043" s="147" t="str">
        <f>IFERROR(SUMIFS(当年实际!$V:$V,当年实际!$F:$F,$C1043,当年实际!$C:$C,"&gt;="&amp;DATE(YEAR(主页!$D$2),1,1),当年实际!$C:$C,"&lt;="&amp;EOMONTH(DATE(YEAR(主页!$D$2),MONTH(主页!$D$2),1),0))/SUMIFS(当年实际!$P:$P,当年实际!$F:$F,$C1043,当年实际!$C:$C,"&gt;="&amp;DATE(YEAR(主页!$D$2),1,1),当年实际!$C:$C,"&lt;="&amp;EOMONTH(DATE(YEAR(主页!$D$2),MONTH(主页!$D$2),1),0)),"")</f>
        <v/>
      </c>
    </row>
    <row r="1044" spans="1:10" x14ac:dyDescent="0.3">
      <c r="A1044" s="150"/>
      <c r="B1044" s="150"/>
      <c r="C1044" s="150"/>
      <c r="D1044" s="150"/>
      <c r="E1044" s="140" t="str">
        <f t="shared" si="49"/>
        <v/>
      </c>
      <c r="F1044" s="159"/>
      <c r="G1044" s="145">
        <f t="shared" si="51"/>
        <v>0</v>
      </c>
      <c r="H1044" s="140" t="str">
        <f t="shared" si="50"/>
        <v/>
      </c>
      <c r="J1044" s="147" t="str">
        <f>IFERROR(SUMIFS(当年实际!$V:$V,当年实际!$F:$F,$C1044,当年实际!$C:$C,"&gt;="&amp;DATE(YEAR(主页!$D$2),1,1),当年实际!$C:$C,"&lt;="&amp;EOMONTH(DATE(YEAR(主页!$D$2),MONTH(主页!$D$2),1),0))/SUMIFS(当年实际!$P:$P,当年实际!$F:$F,$C1044,当年实际!$C:$C,"&gt;="&amp;DATE(YEAR(主页!$D$2),1,1),当年实际!$C:$C,"&lt;="&amp;EOMONTH(DATE(YEAR(主页!$D$2),MONTH(主页!$D$2),1),0)),"")</f>
        <v/>
      </c>
    </row>
    <row r="1045" spans="1:10" x14ac:dyDescent="0.3">
      <c r="A1045" s="150"/>
      <c r="B1045" s="150"/>
      <c r="C1045" s="150"/>
      <c r="D1045" s="150"/>
      <c r="E1045" s="140" t="str">
        <f t="shared" si="49"/>
        <v/>
      </c>
      <c r="F1045" s="159"/>
      <c r="G1045" s="145">
        <f t="shared" si="51"/>
        <v>0</v>
      </c>
      <c r="H1045" s="140" t="str">
        <f t="shared" si="50"/>
        <v/>
      </c>
      <c r="J1045" s="147" t="str">
        <f>IFERROR(SUMIFS(当年实际!$V:$V,当年实际!$F:$F,$C1045,当年实际!$C:$C,"&gt;="&amp;DATE(YEAR(主页!$D$2),1,1),当年实际!$C:$C,"&lt;="&amp;EOMONTH(DATE(YEAR(主页!$D$2),MONTH(主页!$D$2),1),0))/SUMIFS(当年实际!$P:$P,当年实际!$F:$F,$C1045,当年实际!$C:$C,"&gt;="&amp;DATE(YEAR(主页!$D$2),1,1),当年实际!$C:$C,"&lt;="&amp;EOMONTH(DATE(YEAR(主页!$D$2),MONTH(主页!$D$2),1),0)),"")</f>
        <v/>
      </c>
    </row>
    <row r="1046" spans="1:10" x14ac:dyDescent="0.3">
      <c r="A1046" s="150"/>
      <c r="B1046" s="150"/>
      <c r="C1046" s="150"/>
      <c r="D1046" s="150"/>
      <c r="E1046" s="140" t="str">
        <f t="shared" si="49"/>
        <v/>
      </c>
      <c r="F1046" s="159"/>
      <c r="G1046" s="145">
        <f t="shared" si="51"/>
        <v>0</v>
      </c>
      <c r="H1046" s="140" t="str">
        <f t="shared" si="50"/>
        <v/>
      </c>
      <c r="J1046" s="147" t="str">
        <f>IFERROR(SUMIFS(当年实际!$V:$V,当年实际!$F:$F,$C1046,当年实际!$C:$C,"&gt;="&amp;DATE(YEAR(主页!$D$2),1,1),当年实际!$C:$C,"&lt;="&amp;EOMONTH(DATE(YEAR(主页!$D$2),MONTH(主页!$D$2),1),0))/SUMIFS(当年实际!$P:$P,当年实际!$F:$F,$C1046,当年实际!$C:$C,"&gt;="&amp;DATE(YEAR(主页!$D$2),1,1),当年实际!$C:$C,"&lt;="&amp;EOMONTH(DATE(YEAR(主页!$D$2),MONTH(主页!$D$2),1),0)),"")</f>
        <v/>
      </c>
    </row>
    <row r="1047" spans="1:10" x14ac:dyDescent="0.3">
      <c r="A1047" s="150"/>
      <c r="B1047" s="150"/>
      <c r="C1047" s="150"/>
      <c r="D1047" s="150"/>
      <c r="E1047" s="140" t="str">
        <f t="shared" si="49"/>
        <v/>
      </c>
      <c r="F1047" s="159"/>
      <c r="G1047" s="145">
        <f t="shared" si="51"/>
        <v>0</v>
      </c>
      <c r="H1047" s="140" t="str">
        <f t="shared" si="50"/>
        <v/>
      </c>
      <c r="J1047" s="147" t="str">
        <f>IFERROR(SUMIFS(当年实际!$V:$V,当年实际!$F:$F,$C1047,当年实际!$C:$C,"&gt;="&amp;DATE(YEAR(主页!$D$2),1,1),当年实际!$C:$C,"&lt;="&amp;EOMONTH(DATE(YEAR(主页!$D$2),MONTH(主页!$D$2),1),0))/SUMIFS(当年实际!$P:$P,当年实际!$F:$F,$C1047,当年实际!$C:$C,"&gt;="&amp;DATE(YEAR(主页!$D$2),1,1),当年实际!$C:$C,"&lt;="&amp;EOMONTH(DATE(YEAR(主页!$D$2),MONTH(主页!$D$2),1),0)),"")</f>
        <v/>
      </c>
    </row>
    <row r="1048" spans="1:10" x14ac:dyDescent="0.3">
      <c r="A1048" s="150"/>
      <c r="B1048" s="150"/>
      <c r="C1048" s="150"/>
      <c r="D1048" s="150"/>
      <c r="E1048" s="140" t="str">
        <f t="shared" si="49"/>
        <v/>
      </c>
      <c r="F1048" s="159"/>
      <c r="G1048" s="145">
        <f t="shared" si="51"/>
        <v>0</v>
      </c>
      <c r="H1048" s="140" t="str">
        <f t="shared" si="50"/>
        <v/>
      </c>
      <c r="J1048" s="147" t="str">
        <f>IFERROR(SUMIFS(当年实际!$V:$V,当年实际!$F:$F,$C1048,当年实际!$C:$C,"&gt;="&amp;DATE(YEAR(主页!$D$2),1,1),当年实际!$C:$C,"&lt;="&amp;EOMONTH(DATE(YEAR(主页!$D$2),MONTH(主页!$D$2),1),0))/SUMIFS(当年实际!$P:$P,当年实际!$F:$F,$C1048,当年实际!$C:$C,"&gt;="&amp;DATE(YEAR(主页!$D$2),1,1),当年实际!$C:$C,"&lt;="&amp;EOMONTH(DATE(YEAR(主页!$D$2),MONTH(主页!$D$2),1),0)),"")</f>
        <v/>
      </c>
    </row>
    <row r="1049" spans="1:10" x14ac:dyDescent="0.3">
      <c r="A1049" s="150"/>
      <c r="B1049" s="150"/>
      <c r="C1049" s="150"/>
      <c r="D1049" s="150"/>
      <c r="E1049" s="140" t="str">
        <f t="shared" si="49"/>
        <v/>
      </c>
      <c r="F1049" s="159"/>
      <c r="G1049" s="145">
        <f t="shared" si="51"/>
        <v>0</v>
      </c>
      <c r="H1049" s="140" t="str">
        <f t="shared" si="50"/>
        <v/>
      </c>
      <c r="J1049" s="147" t="str">
        <f>IFERROR(SUMIFS(当年实际!$V:$V,当年实际!$F:$F,$C1049,当年实际!$C:$C,"&gt;="&amp;DATE(YEAR(主页!$D$2),1,1),当年实际!$C:$C,"&lt;="&amp;EOMONTH(DATE(YEAR(主页!$D$2),MONTH(主页!$D$2),1),0))/SUMIFS(当年实际!$P:$P,当年实际!$F:$F,$C1049,当年实际!$C:$C,"&gt;="&amp;DATE(YEAR(主页!$D$2),1,1),当年实际!$C:$C,"&lt;="&amp;EOMONTH(DATE(YEAR(主页!$D$2),MONTH(主页!$D$2),1),0)),"")</f>
        <v/>
      </c>
    </row>
    <row r="1050" spans="1:10" x14ac:dyDescent="0.3">
      <c r="A1050" s="150"/>
      <c r="B1050" s="150"/>
      <c r="C1050" s="150"/>
      <c r="D1050" s="150"/>
      <c r="E1050" s="140" t="str">
        <f t="shared" si="49"/>
        <v/>
      </c>
      <c r="F1050" s="159"/>
      <c r="G1050" s="145">
        <f t="shared" si="51"/>
        <v>0</v>
      </c>
      <c r="H1050" s="140" t="str">
        <f t="shared" si="50"/>
        <v/>
      </c>
      <c r="J1050" s="147" t="str">
        <f>IFERROR(SUMIFS(当年实际!$V:$V,当年实际!$F:$F,$C1050,当年实际!$C:$C,"&gt;="&amp;DATE(YEAR(主页!$D$2),1,1),当年实际!$C:$C,"&lt;="&amp;EOMONTH(DATE(YEAR(主页!$D$2),MONTH(主页!$D$2),1),0))/SUMIFS(当年实际!$P:$P,当年实际!$F:$F,$C1050,当年实际!$C:$C,"&gt;="&amp;DATE(YEAR(主页!$D$2),1,1),当年实际!$C:$C,"&lt;="&amp;EOMONTH(DATE(YEAR(主页!$D$2),MONTH(主页!$D$2),1),0)),"")</f>
        <v/>
      </c>
    </row>
    <row r="1051" spans="1:10" x14ac:dyDescent="0.3">
      <c r="A1051" s="150"/>
      <c r="B1051" s="150"/>
      <c r="C1051" s="150"/>
      <c r="D1051" s="150"/>
      <c r="E1051" s="140" t="str">
        <f t="shared" si="49"/>
        <v/>
      </c>
      <c r="F1051" s="159"/>
      <c r="G1051" s="145">
        <f t="shared" si="51"/>
        <v>0</v>
      </c>
      <c r="H1051" s="140" t="str">
        <f t="shared" si="50"/>
        <v/>
      </c>
      <c r="J1051" s="147" t="str">
        <f>IFERROR(SUMIFS(当年实际!$V:$V,当年实际!$F:$F,$C1051,当年实际!$C:$C,"&gt;="&amp;DATE(YEAR(主页!$D$2),1,1),当年实际!$C:$C,"&lt;="&amp;EOMONTH(DATE(YEAR(主页!$D$2),MONTH(主页!$D$2),1),0))/SUMIFS(当年实际!$P:$P,当年实际!$F:$F,$C1051,当年实际!$C:$C,"&gt;="&amp;DATE(YEAR(主页!$D$2),1,1),当年实际!$C:$C,"&lt;="&amp;EOMONTH(DATE(YEAR(主页!$D$2),MONTH(主页!$D$2),1),0)),"")</f>
        <v/>
      </c>
    </row>
    <row r="1052" spans="1:10" x14ac:dyDescent="0.3">
      <c r="A1052" s="150"/>
      <c r="B1052" s="150"/>
      <c r="C1052" s="150"/>
      <c r="D1052" s="150"/>
      <c r="E1052" s="140" t="str">
        <f t="shared" si="49"/>
        <v/>
      </c>
      <c r="F1052" s="159"/>
      <c r="G1052" s="145">
        <f t="shared" si="51"/>
        <v>0</v>
      </c>
      <c r="H1052" s="140" t="str">
        <f t="shared" si="50"/>
        <v/>
      </c>
      <c r="J1052" s="147" t="str">
        <f>IFERROR(SUMIFS(当年实际!$V:$V,当年实际!$F:$F,$C1052,当年实际!$C:$C,"&gt;="&amp;DATE(YEAR(主页!$D$2),1,1),当年实际!$C:$C,"&lt;="&amp;EOMONTH(DATE(YEAR(主页!$D$2),MONTH(主页!$D$2),1),0))/SUMIFS(当年实际!$P:$P,当年实际!$F:$F,$C1052,当年实际!$C:$C,"&gt;="&amp;DATE(YEAR(主页!$D$2),1,1),当年实际!$C:$C,"&lt;="&amp;EOMONTH(DATE(YEAR(主页!$D$2),MONTH(主页!$D$2),1),0)),"")</f>
        <v/>
      </c>
    </row>
    <row r="1053" spans="1:10" x14ac:dyDescent="0.3">
      <c r="A1053" s="150"/>
      <c r="B1053" s="150"/>
      <c r="C1053" s="150"/>
      <c r="D1053" s="150"/>
      <c r="E1053" s="140" t="str">
        <f t="shared" si="49"/>
        <v/>
      </c>
      <c r="F1053" s="159"/>
      <c r="G1053" s="145">
        <f t="shared" si="51"/>
        <v>0</v>
      </c>
      <c r="H1053" s="140" t="str">
        <f t="shared" si="50"/>
        <v/>
      </c>
      <c r="J1053" s="147" t="str">
        <f>IFERROR(SUMIFS(当年实际!$V:$V,当年实际!$F:$F,$C1053,当年实际!$C:$C,"&gt;="&amp;DATE(YEAR(主页!$D$2),1,1),当年实际!$C:$C,"&lt;="&amp;EOMONTH(DATE(YEAR(主页!$D$2),MONTH(主页!$D$2),1),0))/SUMIFS(当年实际!$P:$P,当年实际!$F:$F,$C1053,当年实际!$C:$C,"&gt;="&amp;DATE(YEAR(主页!$D$2),1,1),当年实际!$C:$C,"&lt;="&amp;EOMONTH(DATE(YEAR(主页!$D$2),MONTH(主页!$D$2),1),0)),"")</f>
        <v/>
      </c>
    </row>
    <row r="1054" spans="1:10" x14ac:dyDescent="0.3">
      <c r="A1054" s="150"/>
      <c r="B1054" s="150"/>
      <c r="C1054" s="150"/>
      <c r="D1054" s="150"/>
      <c r="E1054" s="140" t="str">
        <f t="shared" si="49"/>
        <v/>
      </c>
      <c r="F1054" s="159"/>
      <c r="G1054" s="145">
        <f t="shared" si="51"/>
        <v>0</v>
      </c>
      <c r="H1054" s="140" t="str">
        <f t="shared" si="50"/>
        <v/>
      </c>
      <c r="J1054" s="147" t="str">
        <f>IFERROR(SUMIFS(当年实际!$V:$V,当年实际!$F:$F,$C1054,当年实际!$C:$C,"&gt;="&amp;DATE(YEAR(主页!$D$2),1,1),当年实际!$C:$C,"&lt;="&amp;EOMONTH(DATE(YEAR(主页!$D$2),MONTH(主页!$D$2),1),0))/SUMIFS(当年实际!$P:$P,当年实际!$F:$F,$C1054,当年实际!$C:$C,"&gt;="&amp;DATE(YEAR(主页!$D$2),1,1),当年实际!$C:$C,"&lt;="&amp;EOMONTH(DATE(YEAR(主页!$D$2),MONTH(主页!$D$2),1),0)),"")</f>
        <v/>
      </c>
    </row>
    <row r="1055" spans="1:10" x14ac:dyDescent="0.3">
      <c r="A1055" s="150"/>
      <c r="B1055" s="150"/>
      <c r="C1055" s="150"/>
      <c r="D1055" s="150"/>
      <c r="E1055" s="140" t="str">
        <f t="shared" si="49"/>
        <v/>
      </c>
      <c r="F1055" s="159"/>
      <c r="G1055" s="145">
        <f t="shared" si="51"/>
        <v>0</v>
      </c>
      <c r="H1055" s="140" t="str">
        <f t="shared" si="50"/>
        <v/>
      </c>
      <c r="J1055" s="147" t="str">
        <f>IFERROR(SUMIFS(当年实际!$V:$V,当年实际!$F:$F,$C1055,当年实际!$C:$C,"&gt;="&amp;DATE(YEAR(主页!$D$2),1,1),当年实际!$C:$C,"&lt;="&amp;EOMONTH(DATE(YEAR(主页!$D$2),MONTH(主页!$D$2),1),0))/SUMIFS(当年实际!$P:$P,当年实际!$F:$F,$C1055,当年实际!$C:$C,"&gt;="&amp;DATE(YEAR(主页!$D$2),1,1),当年实际!$C:$C,"&lt;="&amp;EOMONTH(DATE(YEAR(主页!$D$2),MONTH(主页!$D$2),1),0)),"")</f>
        <v/>
      </c>
    </row>
    <row r="1056" spans="1:10" x14ac:dyDescent="0.3">
      <c r="A1056" s="150"/>
      <c r="B1056" s="150"/>
      <c r="C1056" s="150"/>
      <c r="D1056" s="150"/>
      <c r="E1056" s="140" t="str">
        <f t="shared" si="49"/>
        <v/>
      </c>
      <c r="F1056" s="159"/>
      <c r="G1056" s="145">
        <f t="shared" si="51"/>
        <v>0</v>
      </c>
      <c r="H1056" s="140" t="str">
        <f t="shared" si="50"/>
        <v/>
      </c>
      <c r="J1056" s="147" t="str">
        <f>IFERROR(SUMIFS(当年实际!$V:$V,当年实际!$F:$F,$C1056,当年实际!$C:$C,"&gt;="&amp;DATE(YEAR(主页!$D$2),1,1),当年实际!$C:$C,"&lt;="&amp;EOMONTH(DATE(YEAR(主页!$D$2),MONTH(主页!$D$2),1),0))/SUMIFS(当年实际!$P:$P,当年实际!$F:$F,$C1056,当年实际!$C:$C,"&gt;="&amp;DATE(YEAR(主页!$D$2),1,1),当年实际!$C:$C,"&lt;="&amp;EOMONTH(DATE(YEAR(主页!$D$2),MONTH(主页!$D$2),1),0)),"")</f>
        <v/>
      </c>
    </row>
    <row r="1057" spans="1:10" x14ac:dyDescent="0.3">
      <c r="A1057" s="150"/>
      <c r="B1057" s="150"/>
      <c r="C1057" s="150"/>
      <c r="D1057" s="150"/>
      <c r="E1057" s="140" t="str">
        <f t="shared" si="49"/>
        <v/>
      </c>
      <c r="F1057" s="159"/>
      <c r="G1057" s="145">
        <f t="shared" si="51"/>
        <v>0</v>
      </c>
      <c r="H1057" s="140" t="str">
        <f t="shared" si="50"/>
        <v/>
      </c>
      <c r="J1057" s="147" t="str">
        <f>IFERROR(SUMIFS(当年实际!$V:$V,当年实际!$F:$F,$C1057,当年实际!$C:$C,"&gt;="&amp;DATE(YEAR(主页!$D$2),1,1),当年实际!$C:$C,"&lt;="&amp;EOMONTH(DATE(YEAR(主页!$D$2),MONTH(主页!$D$2),1),0))/SUMIFS(当年实际!$P:$P,当年实际!$F:$F,$C1057,当年实际!$C:$C,"&gt;="&amp;DATE(YEAR(主页!$D$2),1,1),当年实际!$C:$C,"&lt;="&amp;EOMONTH(DATE(YEAR(主页!$D$2),MONTH(主页!$D$2),1),0)),"")</f>
        <v/>
      </c>
    </row>
    <row r="1058" spans="1:10" x14ac:dyDescent="0.3">
      <c r="A1058" s="150"/>
      <c r="B1058" s="150"/>
      <c r="C1058" s="150"/>
      <c r="D1058" s="150"/>
      <c r="E1058" s="140" t="str">
        <f t="shared" si="49"/>
        <v/>
      </c>
      <c r="F1058" s="159"/>
      <c r="G1058" s="145">
        <f t="shared" si="51"/>
        <v>0</v>
      </c>
      <c r="H1058" s="140" t="str">
        <f t="shared" si="50"/>
        <v/>
      </c>
      <c r="J1058" s="147" t="str">
        <f>IFERROR(SUMIFS(当年实际!$V:$V,当年实际!$F:$F,$C1058,当年实际!$C:$C,"&gt;="&amp;DATE(YEAR(主页!$D$2),1,1),当年实际!$C:$C,"&lt;="&amp;EOMONTH(DATE(YEAR(主页!$D$2),MONTH(主页!$D$2),1),0))/SUMIFS(当年实际!$P:$P,当年实际!$F:$F,$C1058,当年实际!$C:$C,"&gt;="&amp;DATE(YEAR(主页!$D$2),1,1),当年实际!$C:$C,"&lt;="&amp;EOMONTH(DATE(YEAR(主页!$D$2),MONTH(主页!$D$2),1),0)),"")</f>
        <v/>
      </c>
    </row>
    <row r="1059" spans="1:10" x14ac:dyDescent="0.3">
      <c r="A1059" s="150"/>
      <c r="B1059" s="150"/>
      <c r="C1059" s="150"/>
      <c r="D1059" s="150"/>
      <c r="E1059" s="140" t="str">
        <f t="shared" si="49"/>
        <v/>
      </c>
      <c r="F1059" s="159"/>
      <c r="G1059" s="145">
        <f t="shared" si="51"/>
        <v>0</v>
      </c>
      <c r="H1059" s="140" t="str">
        <f t="shared" si="50"/>
        <v/>
      </c>
      <c r="J1059" s="147" t="str">
        <f>IFERROR(SUMIFS(当年实际!$V:$V,当年实际!$F:$F,$C1059,当年实际!$C:$C,"&gt;="&amp;DATE(YEAR(主页!$D$2),1,1),当年实际!$C:$C,"&lt;="&amp;EOMONTH(DATE(YEAR(主页!$D$2),MONTH(主页!$D$2),1),0))/SUMIFS(当年实际!$P:$P,当年实际!$F:$F,$C1059,当年实际!$C:$C,"&gt;="&amp;DATE(YEAR(主页!$D$2),1,1),当年实际!$C:$C,"&lt;="&amp;EOMONTH(DATE(YEAR(主页!$D$2),MONTH(主页!$D$2),1),0)),"")</f>
        <v/>
      </c>
    </row>
    <row r="1060" spans="1:10" x14ac:dyDescent="0.3">
      <c r="A1060" s="150"/>
      <c r="B1060" s="150"/>
      <c r="C1060" s="150"/>
      <c r="D1060" s="150"/>
      <c r="E1060" s="140" t="str">
        <f t="shared" si="49"/>
        <v/>
      </c>
      <c r="F1060" s="159"/>
      <c r="G1060" s="145">
        <f t="shared" si="51"/>
        <v>0</v>
      </c>
      <c r="H1060" s="140" t="str">
        <f t="shared" si="50"/>
        <v/>
      </c>
      <c r="J1060" s="147" t="str">
        <f>IFERROR(SUMIFS(当年实际!$V:$V,当年实际!$F:$F,$C1060,当年实际!$C:$C,"&gt;="&amp;DATE(YEAR(主页!$D$2),1,1),当年实际!$C:$C,"&lt;="&amp;EOMONTH(DATE(YEAR(主页!$D$2),MONTH(主页!$D$2),1),0))/SUMIFS(当年实际!$P:$P,当年实际!$F:$F,$C1060,当年实际!$C:$C,"&gt;="&amp;DATE(YEAR(主页!$D$2),1,1),当年实际!$C:$C,"&lt;="&amp;EOMONTH(DATE(YEAR(主页!$D$2),MONTH(主页!$D$2),1),0)),"")</f>
        <v/>
      </c>
    </row>
    <row r="1061" spans="1:10" x14ac:dyDescent="0.3">
      <c r="A1061" s="150"/>
      <c r="B1061" s="150"/>
      <c r="C1061" s="150"/>
      <c r="D1061" s="150"/>
      <c r="E1061" s="140" t="str">
        <f t="shared" si="49"/>
        <v/>
      </c>
      <c r="F1061" s="159"/>
      <c r="G1061" s="145">
        <f t="shared" si="51"/>
        <v>0</v>
      </c>
      <c r="H1061" s="140" t="str">
        <f t="shared" si="50"/>
        <v/>
      </c>
      <c r="J1061" s="147" t="str">
        <f>IFERROR(SUMIFS(当年实际!$V:$V,当年实际!$F:$F,$C1061,当年实际!$C:$C,"&gt;="&amp;DATE(YEAR(主页!$D$2),1,1),当年实际!$C:$C,"&lt;="&amp;EOMONTH(DATE(YEAR(主页!$D$2),MONTH(主页!$D$2),1),0))/SUMIFS(当年实际!$P:$P,当年实际!$F:$F,$C1061,当年实际!$C:$C,"&gt;="&amp;DATE(YEAR(主页!$D$2),1,1),当年实际!$C:$C,"&lt;="&amp;EOMONTH(DATE(YEAR(主页!$D$2),MONTH(主页!$D$2),1),0)),"")</f>
        <v/>
      </c>
    </row>
    <row r="1062" spans="1:10" x14ac:dyDescent="0.3">
      <c r="A1062" s="150"/>
      <c r="B1062" s="150"/>
      <c r="C1062" s="150"/>
      <c r="D1062" s="150"/>
      <c r="E1062" s="140" t="str">
        <f t="shared" si="49"/>
        <v/>
      </c>
      <c r="F1062" s="159"/>
      <c r="G1062" s="145">
        <f t="shared" si="51"/>
        <v>0</v>
      </c>
      <c r="H1062" s="140" t="str">
        <f t="shared" si="50"/>
        <v/>
      </c>
      <c r="J1062" s="147" t="str">
        <f>IFERROR(SUMIFS(当年实际!$V:$V,当年实际!$F:$F,$C1062,当年实际!$C:$C,"&gt;="&amp;DATE(YEAR(主页!$D$2),1,1),当年实际!$C:$C,"&lt;="&amp;EOMONTH(DATE(YEAR(主页!$D$2),MONTH(主页!$D$2),1),0))/SUMIFS(当年实际!$P:$P,当年实际!$F:$F,$C1062,当年实际!$C:$C,"&gt;="&amp;DATE(YEAR(主页!$D$2),1,1),当年实际!$C:$C,"&lt;="&amp;EOMONTH(DATE(YEAR(主页!$D$2),MONTH(主页!$D$2),1),0)),"")</f>
        <v/>
      </c>
    </row>
    <row r="1063" spans="1:10" x14ac:dyDescent="0.3">
      <c r="A1063" s="150"/>
      <c r="B1063" s="150"/>
      <c r="C1063" s="150"/>
      <c r="D1063" s="150"/>
      <c r="E1063" s="140" t="str">
        <f t="shared" si="49"/>
        <v/>
      </c>
      <c r="F1063" s="159"/>
      <c r="G1063" s="145">
        <f t="shared" si="51"/>
        <v>0</v>
      </c>
      <c r="H1063" s="140" t="str">
        <f t="shared" si="50"/>
        <v/>
      </c>
      <c r="J1063" s="147" t="str">
        <f>IFERROR(SUMIFS(当年实际!$V:$V,当年实际!$F:$F,$C1063,当年实际!$C:$C,"&gt;="&amp;DATE(YEAR(主页!$D$2),1,1),当年实际!$C:$C,"&lt;="&amp;EOMONTH(DATE(YEAR(主页!$D$2),MONTH(主页!$D$2),1),0))/SUMIFS(当年实际!$P:$P,当年实际!$F:$F,$C1063,当年实际!$C:$C,"&gt;="&amp;DATE(YEAR(主页!$D$2),1,1),当年实际!$C:$C,"&lt;="&amp;EOMONTH(DATE(YEAR(主页!$D$2),MONTH(主页!$D$2),1),0)),"")</f>
        <v/>
      </c>
    </row>
    <row r="1064" spans="1:10" x14ac:dyDescent="0.3">
      <c r="A1064" s="150"/>
      <c r="B1064" s="150"/>
      <c r="C1064" s="150"/>
      <c r="D1064" s="150"/>
      <c r="E1064" s="140" t="str">
        <f t="shared" si="49"/>
        <v/>
      </c>
      <c r="F1064" s="159"/>
      <c r="G1064" s="145">
        <f t="shared" si="51"/>
        <v>0</v>
      </c>
      <c r="H1064" s="140" t="str">
        <f t="shared" si="50"/>
        <v/>
      </c>
      <c r="J1064" s="147" t="str">
        <f>IFERROR(SUMIFS(当年实际!$V:$V,当年实际!$F:$F,$C1064,当年实际!$C:$C,"&gt;="&amp;DATE(YEAR(主页!$D$2),1,1),当年实际!$C:$C,"&lt;="&amp;EOMONTH(DATE(YEAR(主页!$D$2),MONTH(主页!$D$2),1),0))/SUMIFS(当年实际!$P:$P,当年实际!$F:$F,$C1064,当年实际!$C:$C,"&gt;="&amp;DATE(YEAR(主页!$D$2),1,1),当年实际!$C:$C,"&lt;="&amp;EOMONTH(DATE(YEAR(主页!$D$2),MONTH(主页!$D$2),1),0)),"")</f>
        <v/>
      </c>
    </row>
    <row r="1065" spans="1:10" x14ac:dyDescent="0.3">
      <c r="A1065" s="150"/>
      <c r="B1065" s="150"/>
      <c r="C1065" s="150"/>
      <c r="D1065" s="150"/>
      <c r="E1065" s="140" t="str">
        <f t="shared" si="49"/>
        <v/>
      </c>
      <c r="F1065" s="159"/>
      <c r="G1065" s="145">
        <f t="shared" si="51"/>
        <v>0</v>
      </c>
      <c r="H1065" s="140" t="str">
        <f t="shared" si="50"/>
        <v/>
      </c>
      <c r="J1065" s="147" t="str">
        <f>IFERROR(SUMIFS(当年实际!$V:$V,当年实际!$F:$F,$C1065,当年实际!$C:$C,"&gt;="&amp;DATE(YEAR(主页!$D$2),1,1),当年实际!$C:$C,"&lt;="&amp;EOMONTH(DATE(YEAR(主页!$D$2),MONTH(主页!$D$2),1),0))/SUMIFS(当年实际!$P:$P,当年实际!$F:$F,$C1065,当年实际!$C:$C,"&gt;="&amp;DATE(YEAR(主页!$D$2),1,1),当年实际!$C:$C,"&lt;="&amp;EOMONTH(DATE(YEAR(主页!$D$2),MONTH(主页!$D$2),1),0)),"")</f>
        <v/>
      </c>
    </row>
    <row r="1066" spans="1:10" x14ac:dyDescent="0.3">
      <c r="A1066" s="150"/>
      <c r="B1066" s="150"/>
      <c r="C1066" s="150"/>
      <c r="D1066" s="150"/>
      <c r="E1066" s="140" t="str">
        <f t="shared" si="49"/>
        <v/>
      </c>
      <c r="F1066" s="159"/>
      <c r="G1066" s="145">
        <f t="shared" si="51"/>
        <v>0</v>
      </c>
      <c r="H1066" s="140" t="str">
        <f t="shared" si="50"/>
        <v/>
      </c>
      <c r="J1066" s="147" t="str">
        <f>IFERROR(SUMIFS(当年实际!$V:$V,当年实际!$F:$F,$C1066,当年实际!$C:$C,"&gt;="&amp;DATE(YEAR(主页!$D$2),1,1),当年实际!$C:$C,"&lt;="&amp;EOMONTH(DATE(YEAR(主页!$D$2),MONTH(主页!$D$2),1),0))/SUMIFS(当年实际!$P:$P,当年实际!$F:$F,$C1066,当年实际!$C:$C,"&gt;="&amp;DATE(YEAR(主页!$D$2),1,1),当年实际!$C:$C,"&lt;="&amp;EOMONTH(DATE(YEAR(主页!$D$2),MONTH(主页!$D$2),1),0)),"")</f>
        <v/>
      </c>
    </row>
    <row r="1067" spans="1:10" x14ac:dyDescent="0.3">
      <c r="A1067" s="150"/>
      <c r="B1067" s="150"/>
      <c r="C1067" s="150"/>
      <c r="D1067" s="150"/>
      <c r="E1067" s="140" t="str">
        <f t="shared" si="49"/>
        <v/>
      </c>
      <c r="F1067" s="159"/>
      <c r="G1067" s="145">
        <f t="shared" si="51"/>
        <v>0</v>
      </c>
      <c r="H1067" s="140" t="str">
        <f t="shared" si="50"/>
        <v/>
      </c>
      <c r="J1067" s="147" t="str">
        <f>IFERROR(SUMIFS(当年实际!$V:$V,当年实际!$F:$F,$C1067,当年实际!$C:$C,"&gt;="&amp;DATE(YEAR(主页!$D$2),1,1),当年实际!$C:$C,"&lt;="&amp;EOMONTH(DATE(YEAR(主页!$D$2),MONTH(主页!$D$2),1),0))/SUMIFS(当年实际!$P:$P,当年实际!$F:$F,$C1067,当年实际!$C:$C,"&gt;="&amp;DATE(YEAR(主页!$D$2),1,1),当年实际!$C:$C,"&lt;="&amp;EOMONTH(DATE(YEAR(主页!$D$2),MONTH(主页!$D$2),1),0)),"")</f>
        <v/>
      </c>
    </row>
    <row r="1068" spans="1:10" x14ac:dyDescent="0.3">
      <c r="A1068" s="150"/>
      <c r="B1068" s="150"/>
      <c r="C1068" s="150"/>
      <c r="D1068" s="150"/>
      <c r="E1068" s="140" t="str">
        <f t="shared" si="49"/>
        <v/>
      </c>
      <c r="F1068" s="159"/>
      <c r="G1068" s="145">
        <f t="shared" si="51"/>
        <v>0</v>
      </c>
      <c r="H1068" s="140" t="str">
        <f t="shared" si="50"/>
        <v/>
      </c>
      <c r="J1068" s="147" t="str">
        <f>IFERROR(SUMIFS(当年实际!$V:$V,当年实际!$F:$F,$C1068,当年实际!$C:$C,"&gt;="&amp;DATE(YEAR(主页!$D$2),1,1),当年实际!$C:$C,"&lt;="&amp;EOMONTH(DATE(YEAR(主页!$D$2),MONTH(主页!$D$2),1),0))/SUMIFS(当年实际!$P:$P,当年实际!$F:$F,$C1068,当年实际!$C:$C,"&gt;="&amp;DATE(YEAR(主页!$D$2),1,1),当年实际!$C:$C,"&lt;="&amp;EOMONTH(DATE(YEAR(主页!$D$2),MONTH(主页!$D$2),1),0)),"")</f>
        <v/>
      </c>
    </row>
    <row r="1069" spans="1:10" x14ac:dyDescent="0.3">
      <c r="A1069" s="150"/>
      <c r="B1069" s="150"/>
      <c r="C1069" s="150"/>
      <c r="D1069" s="150"/>
      <c r="E1069" s="140" t="str">
        <f t="shared" si="49"/>
        <v/>
      </c>
      <c r="F1069" s="159"/>
      <c r="G1069" s="145">
        <f t="shared" si="51"/>
        <v>0</v>
      </c>
      <c r="H1069" s="140" t="str">
        <f t="shared" si="50"/>
        <v/>
      </c>
      <c r="J1069" s="147" t="str">
        <f>IFERROR(SUMIFS(当年实际!$V:$V,当年实际!$F:$F,$C1069,当年实际!$C:$C,"&gt;="&amp;DATE(YEAR(主页!$D$2),1,1),当年实际!$C:$C,"&lt;="&amp;EOMONTH(DATE(YEAR(主页!$D$2),MONTH(主页!$D$2),1),0))/SUMIFS(当年实际!$P:$P,当年实际!$F:$F,$C1069,当年实际!$C:$C,"&gt;="&amp;DATE(YEAR(主页!$D$2),1,1),当年实际!$C:$C,"&lt;="&amp;EOMONTH(DATE(YEAR(主页!$D$2),MONTH(主页!$D$2),1),0)),"")</f>
        <v/>
      </c>
    </row>
    <row r="1070" spans="1:10" x14ac:dyDescent="0.3">
      <c r="A1070" s="150"/>
      <c r="B1070" s="150"/>
      <c r="C1070" s="150"/>
      <c r="D1070" s="150"/>
      <c r="E1070" s="140" t="str">
        <f t="shared" si="49"/>
        <v/>
      </c>
      <c r="F1070" s="159"/>
      <c r="G1070" s="145">
        <f t="shared" si="51"/>
        <v>0</v>
      </c>
      <c r="H1070" s="140" t="str">
        <f t="shared" si="50"/>
        <v/>
      </c>
      <c r="J1070" s="147" t="str">
        <f>IFERROR(SUMIFS(当年实际!$V:$V,当年实际!$F:$F,$C1070,当年实际!$C:$C,"&gt;="&amp;DATE(YEAR(主页!$D$2),1,1),当年实际!$C:$C,"&lt;="&amp;EOMONTH(DATE(YEAR(主页!$D$2),MONTH(主页!$D$2),1),0))/SUMIFS(当年实际!$P:$P,当年实际!$F:$F,$C1070,当年实际!$C:$C,"&gt;="&amp;DATE(YEAR(主页!$D$2),1,1),当年实际!$C:$C,"&lt;="&amp;EOMONTH(DATE(YEAR(主页!$D$2),MONTH(主页!$D$2),1),0)),"")</f>
        <v/>
      </c>
    </row>
    <row r="1071" spans="1:10" x14ac:dyDescent="0.3">
      <c r="A1071" s="150"/>
      <c r="B1071" s="150"/>
      <c r="C1071" s="150"/>
      <c r="D1071" s="150"/>
      <c r="E1071" s="140" t="str">
        <f t="shared" si="49"/>
        <v/>
      </c>
      <c r="F1071" s="159"/>
      <c r="G1071" s="145">
        <f t="shared" si="51"/>
        <v>0</v>
      </c>
      <c r="H1071" s="140" t="str">
        <f t="shared" si="50"/>
        <v/>
      </c>
      <c r="J1071" s="147" t="str">
        <f>IFERROR(SUMIFS(当年实际!$V:$V,当年实际!$F:$F,$C1071,当年实际!$C:$C,"&gt;="&amp;DATE(YEAR(主页!$D$2),1,1),当年实际!$C:$C,"&lt;="&amp;EOMONTH(DATE(YEAR(主页!$D$2),MONTH(主页!$D$2),1),0))/SUMIFS(当年实际!$P:$P,当年实际!$F:$F,$C1071,当年实际!$C:$C,"&gt;="&amp;DATE(YEAR(主页!$D$2),1,1),当年实际!$C:$C,"&lt;="&amp;EOMONTH(DATE(YEAR(主页!$D$2),MONTH(主页!$D$2),1),0)),"")</f>
        <v/>
      </c>
    </row>
    <row r="1072" spans="1:10" x14ac:dyDescent="0.3">
      <c r="A1072" s="150"/>
      <c r="B1072" s="150"/>
      <c r="C1072" s="150"/>
      <c r="D1072" s="150"/>
      <c r="E1072" s="140" t="str">
        <f t="shared" si="49"/>
        <v/>
      </c>
      <c r="F1072" s="159"/>
      <c r="G1072" s="145">
        <f t="shared" si="51"/>
        <v>0</v>
      </c>
      <c r="H1072" s="140" t="str">
        <f t="shared" si="50"/>
        <v/>
      </c>
      <c r="J1072" s="147" t="str">
        <f>IFERROR(SUMIFS(当年实际!$V:$V,当年实际!$F:$F,$C1072,当年实际!$C:$C,"&gt;="&amp;DATE(YEAR(主页!$D$2),1,1),当年实际!$C:$C,"&lt;="&amp;EOMONTH(DATE(YEAR(主页!$D$2),MONTH(主页!$D$2),1),0))/SUMIFS(当年实际!$P:$P,当年实际!$F:$F,$C1072,当年实际!$C:$C,"&gt;="&amp;DATE(YEAR(主页!$D$2),1,1),当年实际!$C:$C,"&lt;="&amp;EOMONTH(DATE(YEAR(主页!$D$2),MONTH(主页!$D$2),1),0)),"")</f>
        <v/>
      </c>
    </row>
    <row r="1073" spans="1:10" x14ac:dyDescent="0.3">
      <c r="A1073" s="150"/>
      <c r="B1073" s="150"/>
      <c r="C1073" s="150"/>
      <c r="D1073" s="150"/>
      <c r="E1073" s="140" t="str">
        <f t="shared" si="49"/>
        <v/>
      </c>
      <c r="F1073" s="159"/>
      <c r="G1073" s="145">
        <f t="shared" si="51"/>
        <v>0</v>
      </c>
      <c r="H1073" s="140" t="str">
        <f t="shared" si="50"/>
        <v/>
      </c>
      <c r="J1073" s="147" t="str">
        <f>IFERROR(SUMIFS(当年实际!$V:$V,当年实际!$F:$F,$C1073,当年实际!$C:$C,"&gt;="&amp;DATE(YEAR(主页!$D$2),1,1),当年实际!$C:$C,"&lt;="&amp;EOMONTH(DATE(YEAR(主页!$D$2),MONTH(主页!$D$2),1),0))/SUMIFS(当年实际!$P:$P,当年实际!$F:$F,$C1073,当年实际!$C:$C,"&gt;="&amp;DATE(YEAR(主页!$D$2),1,1),当年实际!$C:$C,"&lt;="&amp;EOMONTH(DATE(YEAR(主页!$D$2),MONTH(主页!$D$2),1),0)),"")</f>
        <v/>
      </c>
    </row>
    <row r="1074" spans="1:10" x14ac:dyDescent="0.3">
      <c r="A1074" s="150"/>
      <c r="B1074" s="150"/>
      <c r="C1074" s="150"/>
      <c r="D1074" s="150"/>
      <c r="E1074" s="140" t="str">
        <f t="shared" si="49"/>
        <v/>
      </c>
      <c r="F1074" s="159"/>
      <c r="G1074" s="145">
        <f t="shared" si="51"/>
        <v>0</v>
      </c>
      <c r="H1074" s="140" t="str">
        <f t="shared" si="50"/>
        <v/>
      </c>
      <c r="J1074" s="147" t="str">
        <f>IFERROR(SUMIFS(当年实际!$V:$V,当年实际!$F:$F,$C1074,当年实际!$C:$C,"&gt;="&amp;DATE(YEAR(主页!$D$2),1,1),当年实际!$C:$C,"&lt;="&amp;EOMONTH(DATE(YEAR(主页!$D$2),MONTH(主页!$D$2),1),0))/SUMIFS(当年实际!$P:$P,当年实际!$F:$F,$C1074,当年实际!$C:$C,"&gt;="&amp;DATE(YEAR(主页!$D$2),1,1),当年实际!$C:$C,"&lt;="&amp;EOMONTH(DATE(YEAR(主页!$D$2),MONTH(主页!$D$2),1),0)),"")</f>
        <v/>
      </c>
    </row>
    <row r="1075" spans="1:10" x14ac:dyDescent="0.3">
      <c r="A1075" s="150"/>
      <c r="B1075" s="150"/>
      <c r="C1075" s="150"/>
      <c r="D1075" s="150"/>
      <c r="E1075" s="140" t="str">
        <f t="shared" si="49"/>
        <v/>
      </c>
      <c r="F1075" s="159"/>
      <c r="G1075" s="145">
        <f t="shared" si="51"/>
        <v>0</v>
      </c>
      <c r="H1075" s="140" t="str">
        <f t="shared" si="50"/>
        <v/>
      </c>
      <c r="J1075" s="147" t="str">
        <f>IFERROR(SUMIFS(当年实际!$V:$V,当年实际!$F:$F,$C1075,当年实际!$C:$C,"&gt;="&amp;DATE(YEAR(主页!$D$2),1,1),当年实际!$C:$C,"&lt;="&amp;EOMONTH(DATE(YEAR(主页!$D$2),MONTH(主页!$D$2),1),0))/SUMIFS(当年实际!$P:$P,当年实际!$F:$F,$C1075,当年实际!$C:$C,"&gt;="&amp;DATE(YEAR(主页!$D$2),1,1),当年实际!$C:$C,"&lt;="&amp;EOMONTH(DATE(YEAR(主页!$D$2),MONTH(主页!$D$2),1),0)),"")</f>
        <v/>
      </c>
    </row>
    <row r="1076" spans="1:10" x14ac:dyDescent="0.3">
      <c r="A1076" s="150"/>
      <c r="B1076" s="150"/>
      <c r="C1076" s="150"/>
      <c r="D1076" s="150"/>
      <c r="E1076" s="140" t="str">
        <f t="shared" si="49"/>
        <v/>
      </c>
      <c r="F1076" s="159"/>
      <c r="G1076" s="145">
        <f t="shared" si="51"/>
        <v>0</v>
      </c>
      <c r="H1076" s="140" t="str">
        <f t="shared" si="50"/>
        <v/>
      </c>
      <c r="J1076" s="147" t="str">
        <f>IFERROR(SUMIFS(当年实际!$V:$V,当年实际!$F:$F,$C1076,当年实际!$C:$C,"&gt;="&amp;DATE(YEAR(主页!$D$2),1,1),当年实际!$C:$C,"&lt;="&amp;EOMONTH(DATE(YEAR(主页!$D$2),MONTH(主页!$D$2),1),0))/SUMIFS(当年实际!$P:$P,当年实际!$F:$F,$C1076,当年实际!$C:$C,"&gt;="&amp;DATE(YEAR(主页!$D$2),1,1),当年实际!$C:$C,"&lt;="&amp;EOMONTH(DATE(YEAR(主页!$D$2),MONTH(主页!$D$2),1),0)),"")</f>
        <v/>
      </c>
    </row>
    <row r="1077" spans="1:10" x14ac:dyDescent="0.3">
      <c r="A1077" s="150"/>
      <c r="B1077" s="150"/>
      <c r="C1077" s="150"/>
      <c r="D1077" s="150"/>
      <c r="E1077" s="140" t="str">
        <f t="shared" si="49"/>
        <v/>
      </c>
      <c r="F1077" s="159"/>
      <c r="G1077" s="145">
        <f t="shared" si="51"/>
        <v>0</v>
      </c>
      <c r="H1077" s="140" t="str">
        <f t="shared" si="50"/>
        <v/>
      </c>
      <c r="J1077" s="147" t="str">
        <f>IFERROR(SUMIFS(当年实际!$V:$V,当年实际!$F:$F,$C1077,当年实际!$C:$C,"&gt;="&amp;DATE(YEAR(主页!$D$2),1,1),当年实际!$C:$C,"&lt;="&amp;EOMONTH(DATE(YEAR(主页!$D$2),MONTH(主页!$D$2),1),0))/SUMIFS(当年实际!$P:$P,当年实际!$F:$F,$C1077,当年实际!$C:$C,"&gt;="&amp;DATE(YEAR(主页!$D$2),1,1),当年实际!$C:$C,"&lt;="&amp;EOMONTH(DATE(YEAR(主页!$D$2),MONTH(主页!$D$2),1),0)),"")</f>
        <v/>
      </c>
    </row>
    <row r="1078" spans="1:10" x14ac:dyDescent="0.3">
      <c r="A1078" s="150"/>
      <c r="B1078" s="150"/>
      <c r="C1078" s="150"/>
      <c r="D1078" s="150"/>
      <c r="E1078" s="140" t="str">
        <f t="shared" si="49"/>
        <v/>
      </c>
      <c r="F1078" s="159"/>
      <c r="G1078" s="145">
        <f t="shared" si="51"/>
        <v>0</v>
      </c>
      <c r="H1078" s="140" t="str">
        <f t="shared" si="50"/>
        <v/>
      </c>
      <c r="J1078" s="147" t="str">
        <f>IFERROR(SUMIFS(当年实际!$V:$V,当年实际!$F:$F,$C1078,当年实际!$C:$C,"&gt;="&amp;DATE(YEAR(主页!$D$2),1,1),当年实际!$C:$C,"&lt;="&amp;EOMONTH(DATE(YEAR(主页!$D$2),MONTH(主页!$D$2),1),0))/SUMIFS(当年实际!$P:$P,当年实际!$F:$F,$C1078,当年实际!$C:$C,"&gt;="&amp;DATE(YEAR(主页!$D$2),1,1),当年实际!$C:$C,"&lt;="&amp;EOMONTH(DATE(YEAR(主页!$D$2),MONTH(主页!$D$2),1),0)),"")</f>
        <v/>
      </c>
    </row>
    <row r="1079" spans="1:10" x14ac:dyDescent="0.3">
      <c r="A1079" s="150"/>
      <c r="B1079" s="150"/>
      <c r="C1079" s="150"/>
      <c r="D1079" s="150"/>
      <c r="E1079" s="140" t="str">
        <f t="shared" si="49"/>
        <v/>
      </c>
      <c r="F1079" s="159"/>
      <c r="G1079" s="145">
        <f t="shared" si="51"/>
        <v>0</v>
      </c>
      <c r="H1079" s="140" t="str">
        <f t="shared" si="50"/>
        <v/>
      </c>
      <c r="J1079" s="147" t="str">
        <f>IFERROR(SUMIFS(当年实际!$V:$V,当年实际!$F:$F,$C1079,当年实际!$C:$C,"&gt;="&amp;DATE(YEAR(主页!$D$2),1,1),当年实际!$C:$C,"&lt;="&amp;EOMONTH(DATE(YEAR(主页!$D$2),MONTH(主页!$D$2),1),0))/SUMIFS(当年实际!$P:$P,当年实际!$F:$F,$C1079,当年实际!$C:$C,"&gt;="&amp;DATE(YEAR(主页!$D$2),1,1),当年实际!$C:$C,"&lt;="&amp;EOMONTH(DATE(YEAR(主页!$D$2),MONTH(主页!$D$2),1),0)),"")</f>
        <v/>
      </c>
    </row>
    <row r="1080" spans="1:10" x14ac:dyDescent="0.3">
      <c r="A1080" s="150"/>
      <c r="B1080" s="150"/>
      <c r="C1080" s="150"/>
      <c r="D1080" s="150"/>
      <c r="E1080" s="140" t="str">
        <f t="shared" si="49"/>
        <v/>
      </c>
      <c r="F1080" s="159"/>
      <c r="G1080" s="145">
        <f t="shared" si="51"/>
        <v>0</v>
      </c>
      <c r="H1080" s="140" t="str">
        <f t="shared" si="50"/>
        <v/>
      </c>
      <c r="J1080" s="147" t="str">
        <f>IFERROR(SUMIFS(当年实际!$V:$V,当年实际!$F:$F,$C1080,当年实际!$C:$C,"&gt;="&amp;DATE(YEAR(主页!$D$2),1,1),当年实际!$C:$C,"&lt;="&amp;EOMONTH(DATE(YEAR(主页!$D$2),MONTH(主页!$D$2),1),0))/SUMIFS(当年实际!$P:$P,当年实际!$F:$F,$C1080,当年实际!$C:$C,"&gt;="&amp;DATE(YEAR(主页!$D$2),1,1),当年实际!$C:$C,"&lt;="&amp;EOMONTH(DATE(YEAR(主页!$D$2),MONTH(主页!$D$2),1),0)),"")</f>
        <v/>
      </c>
    </row>
    <row r="1081" spans="1:10" x14ac:dyDescent="0.3">
      <c r="A1081" s="150"/>
      <c r="B1081" s="150"/>
      <c r="C1081" s="150"/>
      <c r="D1081" s="150"/>
      <c r="E1081" s="140" t="str">
        <f t="shared" si="49"/>
        <v/>
      </c>
      <c r="F1081" s="159"/>
      <c r="G1081" s="145">
        <f t="shared" si="51"/>
        <v>0</v>
      </c>
      <c r="H1081" s="140" t="str">
        <f t="shared" si="50"/>
        <v/>
      </c>
      <c r="J1081" s="147" t="str">
        <f>IFERROR(SUMIFS(当年实际!$V:$V,当年实际!$F:$F,$C1081,当年实际!$C:$C,"&gt;="&amp;DATE(YEAR(主页!$D$2),1,1),当年实际!$C:$C,"&lt;="&amp;EOMONTH(DATE(YEAR(主页!$D$2),MONTH(主页!$D$2),1),0))/SUMIFS(当年实际!$P:$P,当年实际!$F:$F,$C1081,当年实际!$C:$C,"&gt;="&amp;DATE(YEAR(主页!$D$2),1,1),当年实际!$C:$C,"&lt;="&amp;EOMONTH(DATE(YEAR(主页!$D$2),MONTH(主页!$D$2),1),0)),"")</f>
        <v/>
      </c>
    </row>
    <row r="1082" spans="1:10" x14ac:dyDescent="0.3">
      <c r="A1082" s="150"/>
      <c r="B1082" s="150"/>
      <c r="C1082" s="150"/>
      <c r="D1082" s="150"/>
      <c r="E1082" s="140" t="str">
        <f t="shared" si="49"/>
        <v/>
      </c>
      <c r="F1082" s="159"/>
      <c r="G1082" s="145">
        <f t="shared" si="51"/>
        <v>0</v>
      </c>
      <c r="H1082" s="140" t="str">
        <f t="shared" si="50"/>
        <v/>
      </c>
      <c r="J1082" s="147" t="str">
        <f>IFERROR(SUMIFS(当年实际!$V:$V,当年实际!$F:$F,$C1082,当年实际!$C:$C,"&gt;="&amp;DATE(YEAR(主页!$D$2),1,1),当年实际!$C:$C,"&lt;="&amp;EOMONTH(DATE(YEAR(主页!$D$2),MONTH(主页!$D$2),1),0))/SUMIFS(当年实际!$P:$P,当年实际!$F:$F,$C1082,当年实际!$C:$C,"&gt;="&amp;DATE(YEAR(主页!$D$2),1,1),当年实际!$C:$C,"&lt;="&amp;EOMONTH(DATE(YEAR(主页!$D$2),MONTH(主页!$D$2),1),0)),"")</f>
        <v/>
      </c>
    </row>
    <row r="1083" spans="1:10" x14ac:dyDescent="0.3">
      <c r="A1083" s="150"/>
      <c r="B1083" s="150"/>
      <c r="C1083" s="150"/>
      <c r="D1083" s="150"/>
      <c r="E1083" s="140" t="str">
        <f t="shared" si="49"/>
        <v/>
      </c>
      <c r="F1083" s="159"/>
      <c r="G1083" s="145">
        <f t="shared" si="51"/>
        <v>0</v>
      </c>
      <c r="H1083" s="140" t="str">
        <f t="shared" si="50"/>
        <v/>
      </c>
      <c r="J1083" s="147" t="str">
        <f>IFERROR(SUMIFS(当年实际!$V:$V,当年实际!$F:$F,$C1083,当年实际!$C:$C,"&gt;="&amp;DATE(YEAR(主页!$D$2),1,1),当年实际!$C:$C,"&lt;="&amp;EOMONTH(DATE(YEAR(主页!$D$2),MONTH(主页!$D$2),1),0))/SUMIFS(当年实际!$P:$P,当年实际!$F:$F,$C1083,当年实际!$C:$C,"&gt;="&amp;DATE(YEAR(主页!$D$2),1,1),当年实际!$C:$C,"&lt;="&amp;EOMONTH(DATE(YEAR(主页!$D$2),MONTH(主页!$D$2),1),0)),"")</f>
        <v/>
      </c>
    </row>
    <row r="1084" spans="1:10" x14ac:dyDescent="0.3">
      <c r="A1084" s="150"/>
      <c r="B1084" s="150"/>
      <c r="C1084" s="150"/>
      <c r="D1084" s="150"/>
      <c r="E1084" s="140" t="str">
        <f t="shared" si="49"/>
        <v/>
      </c>
      <c r="F1084" s="159"/>
      <c r="G1084" s="145">
        <f t="shared" si="51"/>
        <v>0</v>
      </c>
      <c r="H1084" s="140" t="str">
        <f t="shared" si="50"/>
        <v/>
      </c>
      <c r="J1084" s="147" t="str">
        <f>IFERROR(SUMIFS(当年实际!$V:$V,当年实际!$F:$F,$C1084,当年实际!$C:$C,"&gt;="&amp;DATE(YEAR(主页!$D$2),1,1),当年实际!$C:$C,"&lt;="&amp;EOMONTH(DATE(YEAR(主页!$D$2),MONTH(主页!$D$2),1),0))/SUMIFS(当年实际!$P:$P,当年实际!$F:$F,$C1084,当年实际!$C:$C,"&gt;="&amp;DATE(YEAR(主页!$D$2),1,1),当年实际!$C:$C,"&lt;="&amp;EOMONTH(DATE(YEAR(主页!$D$2),MONTH(主页!$D$2),1),0)),"")</f>
        <v/>
      </c>
    </row>
    <row r="1085" spans="1:10" x14ac:dyDescent="0.3">
      <c r="A1085" s="150"/>
      <c r="B1085" s="150"/>
      <c r="C1085" s="150"/>
      <c r="D1085" s="150"/>
      <c r="E1085" s="140" t="str">
        <f t="shared" si="49"/>
        <v/>
      </c>
      <c r="F1085" s="159"/>
      <c r="G1085" s="145">
        <f t="shared" si="51"/>
        <v>0</v>
      </c>
      <c r="H1085" s="140" t="str">
        <f t="shared" si="50"/>
        <v/>
      </c>
      <c r="J1085" s="147" t="str">
        <f>IFERROR(SUMIFS(当年实际!$V:$V,当年实际!$F:$F,$C1085,当年实际!$C:$C,"&gt;="&amp;DATE(YEAR(主页!$D$2),1,1),当年实际!$C:$C,"&lt;="&amp;EOMONTH(DATE(YEAR(主页!$D$2),MONTH(主页!$D$2),1),0))/SUMIFS(当年实际!$P:$P,当年实际!$F:$F,$C1085,当年实际!$C:$C,"&gt;="&amp;DATE(YEAR(主页!$D$2),1,1),当年实际!$C:$C,"&lt;="&amp;EOMONTH(DATE(YEAR(主页!$D$2),MONTH(主页!$D$2),1),0)),"")</f>
        <v/>
      </c>
    </row>
    <row r="1086" spans="1:10" x14ac:dyDescent="0.3">
      <c r="A1086" s="150"/>
      <c r="B1086" s="150"/>
      <c r="C1086" s="150"/>
      <c r="D1086" s="150"/>
      <c r="E1086" s="140" t="str">
        <f t="shared" si="49"/>
        <v/>
      </c>
      <c r="F1086" s="159"/>
      <c r="G1086" s="145">
        <f t="shared" si="51"/>
        <v>0</v>
      </c>
      <c r="H1086" s="140" t="str">
        <f t="shared" si="50"/>
        <v/>
      </c>
      <c r="J1086" s="147" t="str">
        <f>IFERROR(SUMIFS(当年实际!$V:$V,当年实际!$F:$F,$C1086,当年实际!$C:$C,"&gt;="&amp;DATE(YEAR(主页!$D$2),1,1),当年实际!$C:$C,"&lt;="&amp;EOMONTH(DATE(YEAR(主页!$D$2),MONTH(主页!$D$2),1),0))/SUMIFS(当年实际!$P:$P,当年实际!$F:$F,$C1086,当年实际!$C:$C,"&gt;="&amp;DATE(YEAR(主页!$D$2),1,1),当年实际!$C:$C,"&lt;="&amp;EOMONTH(DATE(YEAR(主页!$D$2),MONTH(主页!$D$2),1),0)),"")</f>
        <v/>
      </c>
    </row>
    <row r="1087" spans="1:10" x14ac:dyDescent="0.3">
      <c r="A1087" s="150"/>
      <c r="B1087" s="150"/>
      <c r="C1087" s="150"/>
      <c r="D1087" s="150"/>
      <c r="E1087" s="140" t="str">
        <f t="shared" si="49"/>
        <v/>
      </c>
      <c r="F1087" s="159"/>
      <c r="G1087" s="145">
        <f t="shared" si="51"/>
        <v>0</v>
      </c>
      <c r="H1087" s="140" t="str">
        <f t="shared" si="50"/>
        <v/>
      </c>
      <c r="J1087" s="147" t="str">
        <f>IFERROR(SUMIFS(当年实际!$V:$V,当年实际!$F:$F,$C1087,当年实际!$C:$C,"&gt;="&amp;DATE(YEAR(主页!$D$2),1,1),当年实际!$C:$C,"&lt;="&amp;EOMONTH(DATE(YEAR(主页!$D$2),MONTH(主页!$D$2),1),0))/SUMIFS(当年实际!$P:$P,当年实际!$F:$F,$C1087,当年实际!$C:$C,"&gt;="&amp;DATE(YEAR(主页!$D$2),1,1),当年实际!$C:$C,"&lt;="&amp;EOMONTH(DATE(YEAR(主页!$D$2),MONTH(主页!$D$2),1),0)),"")</f>
        <v/>
      </c>
    </row>
    <row r="1088" spans="1:10" x14ac:dyDescent="0.3">
      <c r="A1088" s="150"/>
      <c r="B1088" s="150"/>
      <c r="C1088" s="150"/>
      <c r="D1088" s="150"/>
      <c r="E1088" s="140" t="str">
        <f t="shared" si="49"/>
        <v/>
      </c>
      <c r="F1088" s="159"/>
      <c r="G1088" s="145">
        <f t="shared" si="51"/>
        <v>0</v>
      </c>
      <c r="H1088" s="140" t="str">
        <f t="shared" si="50"/>
        <v/>
      </c>
      <c r="J1088" s="147" t="str">
        <f>IFERROR(SUMIFS(当年实际!$V:$V,当年实际!$F:$F,$C1088,当年实际!$C:$C,"&gt;="&amp;DATE(YEAR(主页!$D$2),1,1),当年实际!$C:$C,"&lt;="&amp;EOMONTH(DATE(YEAR(主页!$D$2),MONTH(主页!$D$2),1),0))/SUMIFS(当年实际!$P:$P,当年实际!$F:$F,$C1088,当年实际!$C:$C,"&gt;="&amp;DATE(YEAR(主页!$D$2),1,1),当年实际!$C:$C,"&lt;="&amp;EOMONTH(DATE(YEAR(主页!$D$2),MONTH(主页!$D$2),1),0)),"")</f>
        <v/>
      </c>
    </row>
    <row r="1089" spans="1:10" x14ac:dyDescent="0.3">
      <c r="A1089" s="150"/>
      <c r="B1089" s="150"/>
      <c r="C1089" s="150"/>
      <c r="D1089" s="150"/>
      <c r="E1089" s="140" t="str">
        <f t="shared" si="49"/>
        <v/>
      </c>
      <c r="F1089" s="159"/>
      <c r="G1089" s="145">
        <f t="shared" si="51"/>
        <v>0</v>
      </c>
      <c r="H1089" s="140" t="str">
        <f t="shared" si="50"/>
        <v/>
      </c>
      <c r="J1089" s="147" t="str">
        <f>IFERROR(SUMIFS(当年实际!$V:$V,当年实际!$F:$F,$C1089,当年实际!$C:$C,"&gt;="&amp;DATE(YEAR(主页!$D$2),1,1),当年实际!$C:$C,"&lt;="&amp;EOMONTH(DATE(YEAR(主页!$D$2),MONTH(主页!$D$2),1),0))/SUMIFS(当年实际!$P:$P,当年实际!$F:$F,$C1089,当年实际!$C:$C,"&gt;="&amp;DATE(YEAR(主页!$D$2),1,1),当年实际!$C:$C,"&lt;="&amp;EOMONTH(DATE(YEAR(主页!$D$2),MONTH(主页!$D$2),1),0)),"")</f>
        <v/>
      </c>
    </row>
    <row r="1090" spans="1:10" x14ac:dyDescent="0.3">
      <c r="A1090" s="150"/>
      <c r="B1090" s="150"/>
      <c r="C1090" s="150"/>
      <c r="D1090" s="150"/>
      <c r="E1090" s="140" t="str">
        <f t="shared" si="49"/>
        <v/>
      </c>
      <c r="F1090" s="159"/>
      <c r="G1090" s="145">
        <f t="shared" si="51"/>
        <v>0</v>
      </c>
      <c r="H1090" s="140" t="str">
        <f t="shared" si="50"/>
        <v/>
      </c>
      <c r="J1090" s="147" t="str">
        <f>IFERROR(SUMIFS(当年实际!$V:$V,当年实际!$F:$F,$C1090,当年实际!$C:$C,"&gt;="&amp;DATE(YEAR(主页!$D$2),1,1),当年实际!$C:$C,"&lt;="&amp;EOMONTH(DATE(YEAR(主页!$D$2),MONTH(主页!$D$2),1),0))/SUMIFS(当年实际!$P:$P,当年实际!$F:$F,$C1090,当年实际!$C:$C,"&gt;="&amp;DATE(YEAR(主页!$D$2),1,1),当年实际!$C:$C,"&lt;="&amp;EOMONTH(DATE(YEAR(主页!$D$2),MONTH(主页!$D$2),1),0)),"")</f>
        <v/>
      </c>
    </row>
    <row r="1091" spans="1:10" x14ac:dyDescent="0.3">
      <c r="A1091" s="150"/>
      <c r="B1091" s="150"/>
      <c r="C1091" s="150"/>
      <c r="D1091" s="150"/>
      <c r="E1091" s="140" t="str">
        <f t="shared" si="49"/>
        <v/>
      </c>
      <c r="F1091" s="159"/>
      <c r="G1091" s="145">
        <f t="shared" si="51"/>
        <v>0</v>
      </c>
      <c r="H1091" s="140" t="str">
        <f t="shared" si="50"/>
        <v/>
      </c>
      <c r="J1091" s="147" t="str">
        <f>IFERROR(SUMIFS(当年实际!$V:$V,当年实际!$F:$F,$C1091,当年实际!$C:$C,"&gt;="&amp;DATE(YEAR(主页!$D$2),1,1),当年实际!$C:$C,"&lt;="&amp;EOMONTH(DATE(YEAR(主页!$D$2),MONTH(主页!$D$2),1),0))/SUMIFS(当年实际!$P:$P,当年实际!$F:$F,$C1091,当年实际!$C:$C,"&gt;="&amp;DATE(YEAR(主页!$D$2),1,1),当年实际!$C:$C,"&lt;="&amp;EOMONTH(DATE(YEAR(主页!$D$2),MONTH(主页!$D$2),1),0)),"")</f>
        <v/>
      </c>
    </row>
    <row r="1092" spans="1:10" x14ac:dyDescent="0.3">
      <c r="A1092" s="150"/>
      <c r="B1092" s="150"/>
      <c r="C1092" s="150"/>
      <c r="D1092" s="150"/>
      <c r="E1092" s="140" t="str">
        <f t="shared" ref="E1092:E1155" si="52">IF(D1092/SUM(D:D)=0,"",D1092/SUM(D:D))</f>
        <v/>
      </c>
      <c r="F1092" s="159"/>
      <c r="G1092" s="145">
        <f t="shared" si="51"/>
        <v>0</v>
      </c>
      <c r="H1092" s="140" t="str">
        <f t="shared" ref="H1092:H1155" si="53">IF(G1092/SUM(G:G)=0,"",G1092/SUM(G:G))</f>
        <v/>
      </c>
      <c r="J1092" s="147" t="str">
        <f>IFERROR(SUMIFS(当年实际!$V:$V,当年实际!$F:$F,$C1092,当年实际!$C:$C,"&gt;="&amp;DATE(YEAR(主页!$D$2),1,1),当年实际!$C:$C,"&lt;="&amp;EOMONTH(DATE(YEAR(主页!$D$2),MONTH(主页!$D$2),1),0))/SUMIFS(当年实际!$P:$P,当年实际!$F:$F,$C1092,当年实际!$C:$C,"&gt;="&amp;DATE(YEAR(主页!$D$2),1,1),当年实际!$C:$C,"&lt;="&amp;EOMONTH(DATE(YEAR(主页!$D$2),MONTH(主页!$D$2),1),0)),"")</f>
        <v/>
      </c>
    </row>
    <row r="1093" spans="1:10" x14ac:dyDescent="0.3">
      <c r="A1093" s="150"/>
      <c r="B1093" s="150"/>
      <c r="C1093" s="150"/>
      <c r="D1093" s="150"/>
      <c r="E1093" s="140" t="str">
        <f t="shared" si="52"/>
        <v/>
      </c>
      <c r="F1093" s="159"/>
      <c r="G1093" s="145">
        <f t="shared" si="51"/>
        <v>0</v>
      </c>
      <c r="H1093" s="140" t="str">
        <f t="shared" si="53"/>
        <v/>
      </c>
      <c r="J1093" s="147" t="str">
        <f>IFERROR(SUMIFS(当年实际!$V:$V,当年实际!$F:$F,$C1093,当年实际!$C:$C,"&gt;="&amp;DATE(YEAR(主页!$D$2),1,1),当年实际!$C:$C,"&lt;="&amp;EOMONTH(DATE(YEAR(主页!$D$2),MONTH(主页!$D$2),1),0))/SUMIFS(当年实际!$P:$P,当年实际!$F:$F,$C1093,当年实际!$C:$C,"&gt;="&amp;DATE(YEAR(主页!$D$2),1,1),当年实际!$C:$C,"&lt;="&amp;EOMONTH(DATE(YEAR(主页!$D$2),MONTH(主页!$D$2),1),0)),"")</f>
        <v/>
      </c>
    </row>
    <row r="1094" spans="1:10" x14ac:dyDescent="0.3">
      <c r="A1094" s="150"/>
      <c r="B1094" s="150"/>
      <c r="C1094" s="150"/>
      <c r="D1094" s="150"/>
      <c r="E1094" s="140" t="str">
        <f t="shared" si="52"/>
        <v/>
      </c>
      <c r="F1094" s="159"/>
      <c r="G1094" s="145">
        <f t="shared" si="51"/>
        <v>0</v>
      </c>
      <c r="H1094" s="140" t="str">
        <f t="shared" si="53"/>
        <v/>
      </c>
      <c r="J1094" s="147" t="str">
        <f>IFERROR(SUMIFS(当年实际!$V:$V,当年实际!$F:$F,$C1094,当年实际!$C:$C,"&gt;="&amp;DATE(YEAR(主页!$D$2),1,1),当年实际!$C:$C,"&lt;="&amp;EOMONTH(DATE(YEAR(主页!$D$2),MONTH(主页!$D$2),1),0))/SUMIFS(当年实际!$P:$P,当年实际!$F:$F,$C1094,当年实际!$C:$C,"&gt;="&amp;DATE(YEAR(主页!$D$2),1,1),当年实际!$C:$C,"&lt;="&amp;EOMONTH(DATE(YEAR(主页!$D$2),MONTH(主页!$D$2),1),0)),"")</f>
        <v/>
      </c>
    </row>
    <row r="1095" spans="1:10" x14ac:dyDescent="0.3">
      <c r="A1095" s="150"/>
      <c r="B1095" s="150"/>
      <c r="C1095" s="150"/>
      <c r="D1095" s="150"/>
      <c r="E1095" s="140" t="str">
        <f t="shared" si="52"/>
        <v/>
      </c>
      <c r="F1095" s="159"/>
      <c r="G1095" s="145">
        <f t="shared" si="51"/>
        <v>0</v>
      </c>
      <c r="H1095" s="140" t="str">
        <f t="shared" si="53"/>
        <v/>
      </c>
      <c r="J1095" s="147" t="str">
        <f>IFERROR(SUMIFS(当年实际!$V:$V,当年实际!$F:$F,$C1095,当年实际!$C:$C,"&gt;="&amp;DATE(YEAR(主页!$D$2),1,1),当年实际!$C:$C,"&lt;="&amp;EOMONTH(DATE(YEAR(主页!$D$2),MONTH(主页!$D$2),1),0))/SUMIFS(当年实际!$P:$P,当年实际!$F:$F,$C1095,当年实际!$C:$C,"&gt;="&amp;DATE(YEAR(主页!$D$2),1,1),当年实际!$C:$C,"&lt;="&amp;EOMONTH(DATE(YEAR(主页!$D$2),MONTH(主页!$D$2),1),0)),"")</f>
        <v/>
      </c>
    </row>
    <row r="1096" spans="1:10" x14ac:dyDescent="0.3">
      <c r="A1096" s="150"/>
      <c r="B1096" s="150"/>
      <c r="C1096" s="150"/>
      <c r="D1096" s="150"/>
      <c r="E1096" s="140" t="str">
        <f t="shared" si="52"/>
        <v/>
      </c>
      <c r="F1096" s="159"/>
      <c r="G1096" s="145">
        <f t="shared" ref="G1096:G1159" si="54">D1096*F1096</f>
        <v>0</v>
      </c>
      <c r="H1096" s="140" t="str">
        <f t="shared" si="53"/>
        <v/>
      </c>
      <c r="J1096" s="147" t="str">
        <f>IFERROR(SUMIFS(当年实际!$V:$V,当年实际!$F:$F,$C1096,当年实际!$C:$C,"&gt;="&amp;DATE(YEAR(主页!$D$2),1,1),当年实际!$C:$C,"&lt;="&amp;EOMONTH(DATE(YEAR(主页!$D$2),MONTH(主页!$D$2),1),0))/SUMIFS(当年实际!$P:$P,当年实际!$F:$F,$C1096,当年实际!$C:$C,"&gt;="&amp;DATE(YEAR(主页!$D$2),1,1),当年实际!$C:$C,"&lt;="&amp;EOMONTH(DATE(YEAR(主页!$D$2),MONTH(主页!$D$2),1),0)),"")</f>
        <v/>
      </c>
    </row>
    <row r="1097" spans="1:10" x14ac:dyDescent="0.3">
      <c r="A1097" s="150"/>
      <c r="B1097" s="150"/>
      <c r="C1097" s="150"/>
      <c r="D1097" s="150"/>
      <c r="E1097" s="140" t="str">
        <f t="shared" si="52"/>
        <v/>
      </c>
      <c r="F1097" s="159"/>
      <c r="G1097" s="145">
        <f t="shared" si="54"/>
        <v>0</v>
      </c>
      <c r="H1097" s="140" t="str">
        <f t="shared" si="53"/>
        <v/>
      </c>
      <c r="J1097" s="147" t="str">
        <f>IFERROR(SUMIFS(当年实际!$V:$V,当年实际!$F:$F,$C1097,当年实际!$C:$C,"&gt;="&amp;DATE(YEAR(主页!$D$2),1,1),当年实际!$C:$C,"&lt;="&amp;EOMONTH(DATE(YEAR(主页!$D$2),MONTH(主页!$D$2),1),0))/SUMIFS(当年实际!$P:$P,当年实际!$F:$F,$C1097,当年实际!$C:$C,"&gt;="&amp;DATE(YEAR(主页!$D$2),1,1),当年实际!$C:$C,"&lt;="&amp;EOMONTH(DATE(YEAR(主页!$D$2),MONTH(主页!$D$2),1),0)),"")</f>
        <v/>
      </c>
    </row>
    <row r="1098" spans="1:10" x14ac:dyDescent="0.3">
      <c r="A1098" s="150"/>
      <c r="B1098" s="150"/>
      <c r="C1098" s="150"/>
      <c r="D1098" s="150"/>
      <c r="E1098" s="140" t="str">
        <f t="shared" si="52"/>
        <v/>
      </c>
      <c r="F1098" s="159"/>
      <c r="G1098" s="145">
        <f t="shared" si="54"/>
        <v>0</v>
      </c>
      <c r="H1098" s="140" t="str">
        <f t="shared" si="53"/>
        <v/>
      </c>
      <c r="J1098" s="147" t="str">
        <f>IFERROR(SUMIFS(当年实际!$V:$V,当年实际!$F:$F,$C1098,当年实际!$C:$C,"&gt;="&amp;DATE(YEAR(主页!$D$2),1,1),当年实际!$C:$C,"&lt;="&amp;EOMONTH(DATE(YEAR(主页!$D$2),MONTH(主页!$D$2),1),0))/SUMIFS(当年实际!$P:$P,当年实际!$F:$F,$C1098,当年实际!$C:$C,"&gt;="&amp;DATE(YEAR(主页!$D$2),1,1),当年实际!$C:$C,"&lt;="&amp;EOMONTH(DATE(YEAR(主页!$D$2),MONTH(主页!$D$2),1),0)),"")</f>
        <v/>
      </c>
    </row>
    <row r="1099" spans="1:10" x14ac:dyDescent="0.3">
      <c r="A1099" s="150"/>
      <c r="B1099" s="150"/>
      <c r="C1099" s="150"/>
      <c r="D1099" s="150"/>
      <c r="E1099" s="140" t="str">
        <f t="shared" si="52"/>
        <v/>
      </c>
      <c r="F1099" s="159"/>
      <c r="G1099" s="145">
        <f t="shared" si="54"/>
        <v>0</v>
      </c>
      <c r="H1099" s="140" t="str">
        <f t="shared" si="53"/>
        <v/>
      </c>
      <c r="J1099" s="147" t="str">
        <f>IFERROR(SUMIFS(当年实际!$V:$V,当年实际!$F:$F,$C1099,当年实际!$C:$C,"&gt;="&amp;DATE(YEAR(主页!$D$2),1,1),当年实际!$C:$C,"&lt;="&amp;EOMONTH(DATE(YEAR(主页!$D$2),MONTH(主页!$D$2),1),0))/SUMIFS(当年实际!$P:$P,当年实际!$F:$F,$C1099,当年实际!$C:$C,"&gt;="&amp;DATE(YEAR(主页!$D$2),1,1),当年实际!$C:$C,"&lt;="&amp;EOMONTH(DATE(YEAR(主页!$D$2),MONTH(主页!$D$2),1),0)),"")</f>
        <v/>
      </c>
    </row>
    <row r="1100" spans="1:10" x14ac:dyDescent="0.3">
      <c r="A1100" s="150"/>
      <c r="B1100" s="150"/>
      <c r="C1100" s="150"/>
      <c r="D1100" s="150"/>
      <c r="E1100" s="140" t="str">
        <f t="shared" si="52"/>
        <v/>
      </c>
      <c r="F1100" s="159"/>
      <c r="G1100" s="145">
        <f t="shared" si="54"/>
        <v>0</v>
      </c>
      <c r="H1100" s="140" t="str">
        <f t="shared" si="53"/>
        <v/>
      </c>
      <c r="J1100" s="147" t="str">
        <f>IFERROR(SUMIFS(当年实际!$V:$V,当年实际!$F:$F,$C1100,当年实际!$C:$C,"&gt;="&amp;DATE(YEAR(主页!$D$2),1,1),当年实际!$C:$C,"&lt;="&amp;EOMONTH(DATE(YEAR(主页!$D$2),MONTH(主页!$D$2),1),0))/SUMIFS(当年实际!$P:$P,当年实际!$F:$F,$C1100,当年实际!$C:$C,"&gt;="&amp;DATE(YEAR(主页!$D$2),1,1),当年实际!$C:$C,"&lt;="&amp;EOMONTH(DATE(YEAR(主页!$D$2),MONTH(主页!$D$2),1),0)),"")</f>
        <v/>
      </c>
    </row>
    <row r="1101" spans="1:10" x14ac:dyDescent="0.3">
      <c r="A1101" s="150"/>
      <c r="B1101" s="150"/>
      <c r="C1101" s="150"/>
      <c r="D1101" s="150"/>
      <c r="E1101" s="140" t="str">
        <f t="shared" si="52"/>
        <v/>
      </c>
      <c r="F1101" s="159"/>
      <c r="G1101" s="145">
        <f t="shared" si="54"/>
        <v>0</v>
      </c>
      <c r="H1101" s="140" t="str">
        <f t="shared" si="53"/>
        <v/>
      </c>
      <c r="J1101" s="147" t="str">
        <f>IFERROR(SUMIFS(当年实际!$V:$V,当年实际!$F:$F,$C1101,当年实际!$C:$C,"&gt;="&amp;DATE(YEAR(主页!$D$2),1,1),当年实际!$C:$C,"&lt;="&amp;EOMONTH(DATE(YEAR(主页!$D$2),MONTH(主页!$D$2),1),0))/SUMIFS(当年实际!$P:$P,当年实际!$F:$F,$C1101,当年实际!$C:$C,"&gt;="&amp;DATE(YEAR(主页!$D$2),1,1),当年实际!$C:$C,"&lt;="&amp;EOMONTH(DATE(YEAR(主页!$D$2),MONTH(主页!$D$2),1),0)),"")</f>
        <v/>
      </c>
    </row>
    <row r="1102" spans="1:10" x14ac:dyDescent="0.3">
      <c r="A1102" s="150"/>
      <c r="B1102" s="150"/>
      <c r="C1102" s="150"/>
      <c r="D1102" s="150"/>
      <c r="E1102" s="140" t="str">
        <f t="shared" si="52"/>
        <v/>
      </c>
      <c r="F1102" s="159"/>
      <c r="G1102" s="145">
        <f t="shared" si="54"/>
        <v>0</v>
      </c>
      <c r="H1102" s="140" t="str">
        <f t="shared" si="53"/>
        <v/>
      </c>
      <c r="J1102" s="147" t="str">
        <f>IFERROR(SUMIFS(当年实际!$V:$V,当年实际!$F:$F,$C1102,当年实际!$C:$C,"&gt;="&amp;DATE(YEAR(主页!$D$2),1,1),当年实际!$C:$C,"&lt;="&amp;EOMONTH(DATE(YEAR(主页!$D$2),MONTH(主页!$D$2),1),0))/SUMIFS(当年实际!$P:$P,当年实际!$F:$F,$C1102,当年实际!$C:$C,"&gt;="&amp;DATE(YEAR(主页!$D$2),1,1),当年实际!$C:$C,"&lt;="&amp;EOMONTH(DATE(YEAR(主页!$D$2),MONTH(主页!$D$2),1),0)),"")</f>
        <v/>
      </c>
    </row>
    <row r="1103" spans="1:10" x14ac:dyDescent="0.3">
      <c r="A1103" s="150"/>
      <c r="B1103" s="150"/>
      <c r="C1103" s="150"/>
      <c r="D1103" s="150"/>
      <c r="E1103" s="140" t="str">
        <f t="shared" si="52"/>
        <v/>
      </c>
      <c r="F1103" s="159"/>
      <c r="G1103" s="145">
        <f t="shared" si="54"/>
        <v>0</v>
      </c>
      <c r="H1103" s="140" t="str">
        <f t="shared" si="53"/>
        <v/>
      </c>
      <c r="J1103" s="147" t="str">
        <f>IFERROR(SUMIFS(当年实际!$V:$V,当年实际!$F:$F,$C1103,当年实际!$C:$C,"&gt;="&amp;DATE(YEAR(主页!$D$2),1,1),当年实际!$C:$C,"&lt;="&amp;EOMONTH(DATE(YEAR(主页!$D$2),MONTH(主页!$D$2),1),0))/SUMIFS(当年实际!$P:$P,当年实际!$F:$F,$C1103,当年实际!$C:$C,"&gt;="&amp;DATE(YEAR(主页!$D$2),1,1),当年实际!$C:$C,"&lt;="&amp;EOMONTH(DATE(YEAR(主页!$D$2),MONTH(主页!$D$2),1),0)),"")</f>
        <v/>
      </c>
    </row>
    <row r="1104" spans="1:10" x14ac:dyDescent="0.3">
      <c r="A1104" s="150"/>
      <c r="B1104" s="150"/>
      <c r="C1104" s="150"/>
      <c r="D1104" s="150"/>
      <c r="E1104" s="140" t="str">
        <f t="shared" si="52"/>
        <v/>
      </c>
      <c r="F1104" s="159"/>
      <c r="G1104" s="145">
        <f t="shared" si="54"/>
        <v>0</v>
      </c>
      <c r="H1104" s="140" t="str">
        <f t="shared" si="53"/>
        <v/>
      </c>
      <c r="J1104" s="147" t="str">
        <f>IFERROR(SUMIFS(当年实际!$V:$V,当年实际!$F:$F,$C1104,当年实际!$C:$C,"&gt;="&amp;DATE(YEAR(主页!$D$2),1,1),当年实际!$C:$C,"&lt;="&amp;EOMONTH(DATE(YEAR(主页!$D$2),MONTH(主页!$D$2),1),0))/SUMIFS(当年实际!$P:$P,当年实际!$F:$F,$C1104,当年实际!$C:$C,"&gt;="&amp;DATE(YEAR(主页!$D$2),1,1),当年实际!$C:$C,"&lt;="&amp;EOMONTH(DATE(YEAR(主页!$D$2),MONTH(主页!$D$2),1),0)),"")</f>
        <v/>
      </c>
    </row>
    <row r="1105" spans="1:10" x14ac:dyDescent="0.3">
      <c r="A1105" s="150"/>
      <c r="B1105" s="150"/>
      <c r="C1105" s="150"/>
      <c r="D1105" s="150"/>
      <c r="E1105" s="140" t="str">
        <f t="shared" si="52"/>
        <v/>
      </c>
      <c r="F1105" s="159"/>
      <c r="G1105" s="145">
        <f t="shared" si="54"/>
        <v>0</v>
      </c>
      <c r="H1105" s="140" t="str">
        <f t="shared" si="53"/>
        <v/>
      </c>
      <c r="J1105" s="147" t="str">
        <f>IFERROR(SUMIFS(当年实际!$V:$V,当年实际!$F:$F,$C1105,当年实际!$C:$C,"&gt;="&amp;DATE(YEAR(主页!$D$2),1,1),当年实际!$C:$C,"&lt;="&amp;EOMONTH(DATE(YEAR(主页!$D$2),MONTH(主页!$D$2),1),0))/SUMIFS(当年实际!$P:$P,当年实际!$F:$F,$C1105,当年实际!$C:$C,"&gt;="&amp;DATE(YEAR(主页!$D$2),1,1),当年实际!$C:$C,"&lt;="&amp;EOMONTH(DATE(YEAR(主页!$D$2),MONTH(主页!$D$2),1),0)),"")</f>
        <v/>
      </c>
    </row>
    <row r="1106" spans="1:10" x14ac:dyDescent="0.3">
      <c r="A1106" s="150"/>
      <c r="B1106" s="150"/>
      <c r="C1106" s="150"/>
      <c r="D1106" s="150"/>
      <c r="E1106" s="140" t="str">
        <f t="shared" si="52"/>
        <v/>
      </c>
      <c r="F1106" s="159"/>
      <c r="G1106" s="145">
        <f t="shared" si="54"/>
        <v>0</v>
      </c>
      <c r="H1106" s="140" t="str">
        <f t="shared" si="53"/>
        <v/>
      </c>
      <c r="J1106" s="147" t="str">
        <f>IFERROR(SUMIFS(当年实际!$V:$V,当年实际!$F:$F,$C1106,当年实际!$C:$C,"&gt;="&amp;DATE(YEAR(主页!$D$2),1,1),当年实际!$C:$C,"&lt;="&amp;EOMONTH(DATE(YEAR(主页!$D$2),MONTH(主页!$D$2),1),0))/SUMIFS(当年实际!$P:$P,当年实际!$F:$F,$C1106,当年实际!$C:$C,"&gt;="&amp;DATE(YEAR(主页!$D$2),1,1),当年实际!$C:$C,"&lt;="&amp;EOMONTH(DATE(YEAR(主页!$D$2),MONTH(主页!$D$2),1),0)),"")</f>
        <v/>
      </c>
    </row>
    <row r="1107" spans="1:10" x14ac:dyDescent="0.3">
      <c r="A1107" s="150"/>
      <c r="B1107" s="150"/>
      <c r="C1107" s="150"/>
      <c r="D1107" s="150"/>
      <c r="E1107" s="140" t="str">
        <f t="shared" si="52"/>
        <v/>
      </c>
      <c r="F1107" s="159"/>
      <c r="G1107" s="145">
        <f t="shared" si="54"/>
        <v>0</v>
      </c>
      <c r="H1107" s="140" t="str">
        <f t="shared" si="53"/>
        <v/>
      </c>
      <c r="J1107" s="147" t="str">
        <f>IFERROR(SUMIFS(当年实际!$V:$V,当年实际!$F:$F,$C1107,当年实际!$C:$C,"&gt;="&amp;DATE(YEAR(主页!$D$2),1,1),当年实际!$C:$C,"&lt;="&amp;EOMONTH(DATE(YEAR(主页!$D$2),MONTH(主页!$D$2),1),0))/SUMIFS(当年实际!$P:$P,当年实际!$F:$F,$C1107,当年实际!$C:$C,"&gt;="&amp;DATE(YEAR(主页!$D$2),1,1),当年实际!$C:$C,"&lt;="&amp;EOMONTH(DATE(YEAR(主页!$D$2),MONTH(主页!$D$2),1),0)),"")</f>
        <v/>
      </c>
    </row>
    <row r="1108" spans="1:10" x14ac:dyDescent="0.3">
      <c r="A1108" s="150"/>
      <c r="B1108" s="150"/>
      <c r="C1108" s="150"/>
      <c r="D1108" s="150"/>
      <c r="E1108" s="140" t="str">
        <f t="shared" si="52"/>
        <v/>
      </c>
      <c r="F1108" s="159"/>
      <c r="G1108" s="145">
        <f t="shared" si="54"/>
        <v>0</v>
      </c>
      <c r="H1108" s="140" t="str">
        <f t="shared" si="53"/>
        <v/>
      </c>
      <c r="J1108" s="147" t="str">
        <f>IFERROR(SUMIFS(当年实际!$V:$V,当年实际!$F:$F,$C1108,当年实际!$C:$C,"&gt;="&amp;DATE(YEAR(主页!$D$2),1,1),当年实际!$C:$C,"&lt;="&amp;EOMONTH(DATE(YEAR(主页!$D$2),MONTH(主页!$D$2),1),0))/SUMIFS(当年实际!$P:$P,当年实际!$F:$F,$C1108,当年实际!$C:$C,"&gt;="&amp;DATE(YEAR(主页!$D$2),1,1),当年实际!$C:$C,"&lt;="&amp;EOMONTH(DATE(YEAR(主页!$D$2),MONTH(主页!$D$2),1),0)),"")</f>
        <v/>
      </c>
    </row>
    <row r="1109" spans="1:10" x14ac:dyDescent="0.3">
      <c r="A1109" s="150"/>
      <c r="B1109" s="150"/>
      <c r="C1109" s="150"/>
      <c r="D1109" s="150"/>
      <c r="E1109" s="140" t="str">
        <f t="shared" si="52"/>
        <v/>
      </c>
      <c r="F1109" s="159"/>
      <c r="G1109" s="145">
        <f t="shared" si="54"/>
        <v>0</v>
      </c>
      <c r="H1109" s="140" t="str">
        <f t="shared" si="53"/>
        <v/>
      </c>
      <c r="J1109" s="147" t="str">
        <f>IFERROR(SUMIFS(当年实际!$V:$V,当年实际!$F:$F,$C1109,当年实际!$C:$C,"&gt;="&amp;DATE(YEAR(主页!$D$2),1,1),当年实际!$C:$C,"&lt;="&amp;EOMONTH(DATE(YEAR(主页!$D$2),MONTH(主页!$D$2),1),0))/SUMIFS(当年实际!$P:$P,当年实际!$F:$F,$C1109,当年实际!$C:$C,"&gt;="&amp;DATE(YEAR(主页!$D$2),1,1),当年实际!$C:$C,"&lt;="&amp;EOMONTH(DATE(YEAR(主页!$D$2),MONTH(主页!$D$2),1),0)),"")</f>
        <v/>
      </c>
    </row>
    <row r="1110" spans="1:10" x14ac:dyDescent="0.3">
      <c r="A1110" s="150"/>
      <c r="B1110" s="150"/>
      <c r="C1110" s="150"/>
      <c r="D1110" s="150"/>
      <c r="E1110" s="140" t="str">
        <f t="shared" si="52"/>
        <v/>
      </c>
      <c r="F1110" s="159"/>
      <c r="G1110" s="145">
        <f t="shared" si="54"/>
        <v>0</v>
      </c>
      <c r="H1110" s="140" t="str">
        <f t="shared" si="53"/>
        <v/>
      </c>
      <c r="J1110" s="147" t="str">
        <f>IFERROR(SUMIFS(当年实际!$V:$V,当年实际!$F:$F,$C1110,当年实际!$C:$C,"&gt;="&amp;DATE(YEAR(主页!$D$2),1,1),当年实际!$C:$C,"&lt;="&amp;EOMONTH(DATE(YEAR(主页!$D$2),MONTH(主页!$D$2),1),0))/SUMIFS(当年实际!$P:$P,当年实际!$F:$F,$C1110,当年实际!$C:$C,"&gt;="&amp;DATE(YEAR(主页!$D$2),1,1),当年实际!$C:$C,"&lt;="&amp;EOMONTH(DATE(YEAR(主页!$D$2),MONTH(主页!$D$2),1),0)),"")</f>
        <v/>
      </c>
    </row>
    <row r="1111" spans="1:10" x14ac:dyDescent="0.3">
      <c r="A1111" s="150"/>
      <c r="B1111" s="150"/>
      <c r="C1111" s="150"/>
      <c r="D1111" s="150"/>
      <c r="E1111" s="140" t="str">
        <f t="shared" si="52"/>
        <v/>
      </c>
      <c r="F1111" s="159"/>
      <c r="G1111" s="145">
        <f t="shared" si="54"/>
        <v>0</v>
      </c>
      <c r="H1111" s="140" t="str">
        <f t="shared" si="53"/>
        <v/>
      </c>
      <c r="J1111" s="147" t="str">
        <f>IFERROR(SUMIFS(当年实际!$V:$V,当年实际!$F:$F,$C1111,当年实际!$C:$C,"&gt;="&amp;DATE(YEAR(主页!$D$2),1,1),当年实际!$C:$C,"&lt;="&amp;EOMONTH(DATE(YEAR(主页!$D$2),MONTH(主页!$D$2),1),0))/SUMIFS(当年实际!$P:$P,当年实际!$F:$F,$C1111,当年实际!$C:$C,"&gt;="&amp;DATE(YEAR(主页!$D$2),1,1),当年实际!$C:$C,"&lt;="&amp;EOMONTH(DATE(YEAR(主页!$D$2),MONTH(主页!$D$2),1),0)),"")</f>
        <v/>
      </c>
    </row>
    <row r="1112" spans="1:10" x14ac:dyDescent="0.3">
      <c r="A1112" s="150"/>
      <c r="B1112" s="150"/>
      <c r="C1112" s="150"/>
      <c r="D1112" s="150"/>
      <c r="E1112" s="140" t="str">
        <f t="shared" si="52"/>
        <v/>
      </c>
      <c r="F1112" s="159"/>
      <c r="G1112" s="145">
        <f t="shared" si="54"/>
        <v>0</v>
      </c>
      <c r="H1112" s="140" t="str">
        <f t="shared" si="53"/>
        <v/>
      </c>
      <c r="J1112" s="147" t="str">
        <f>IFERROR(SUMIFS(当年实际!$V:$V,当年实际!$F:$F,$C1112,当年实际!$C:$C,"&gt;="&amp;DATE(YEAR(主页!$D$2),1,1),当年实际!$C:$C,"&lt;="&amp;EOMONTH(DATE(YEAR(主页!$D$2),MONTH(主页!$D$2),1),0))/SUMIFS(当年实际!$P:$P,当年实际!$F:$F,$C1112,当年实际!$C:$C,"&gt;="&amp;DATE(YEAR(主页!$D$2),1,1),当年实际!$C:$C,"&lt;="&amp;EOMONTH(DATE(YEAR(主页!$D$2),MONTH(主页!$D$2),1),0)),"")</f>
        <v/>
      </c>
    </row>
    <row r="1113" spans="1:10" x14ac:dyDescent="0.3">
      <c r="A1113" s="150"/>
      <c r="B1113" s="150"/>
      <c r="C1113" s="150"/>
      <c r="D1113" s="150"/>
      <c r="E1113" s="140" t="str">
        <f t="shared" si="52"/>
        <v/>
      </c>
      <c r="F1113" s="159"/>
      <c r="G1113" s="145">
        <f t="shared" si="54"/>
        <v>0</v>
      </c>
      <c r="H1113" s="140" t="str">
        <f t="shared" si="53"/>
        <v/>
      </c>
      <c r="J1113" s="147" t="str">
        <f>IFERROR(SUMIFS(当年实际!$V:$V,当年实际!$F:$F,$C1113,当年实际!$C:$C,"&gt;="&amp;DATE(YEAR(主页!$D$2),1,1),当年实际!$C:$C,"&lt;="&amp;EOMONTH(DATE(YEAR(主页!$D$2),MONTH(主页!$D$2),1),0))/SUMIFS(当年实际!$P:$P,当年实际!$F:$F,$C1113,当年实际!$C:$C,"&gt;="&amp;DATE(YEAR(主页!$D$2),1,1),当年实际!$C:$C,"&lt;="&amp;EOMONTH(DATE(YEAR(主页!$D$2),MONTH(主页!$D$2),1),0)),"")</f>
        <v/>
      </c>
    </row>
    <row r="1114" spans="1:10" x14ac:dyDescent="0.3">
      <c r="A1114" s="150"/>
      <c r="B1114" s="150"/>
      <c r="C1114" s="150"/>
      <c r="D1114" s="150"/>
      <c r="E1114" s="140" t="str">
        <f t="shared" si="52"/>
        <v/>
      </c>
      <c r="F1114" s="159"/>
      <c r="G1114" s="145">
        <f t="shared" si="54"/>
        <v>0</v>
      </c>
      <c r="H1114" s="140" t="str">
        <f t="shared" si="53"/>
        <v/>
      </c>
      <c r="J1114" s="147" t="str">
        <f>IFERROR(SUMIFS(当年实际!$V:$V,当年实际!$F:$F,$C1114,当年实际!$C:$C,"&gt;="&amp;DATE(YEAR(主页!$D$2),1,1),当年实际!$C:$C,"&lt;="&amp;EOMONTH(DATE(YEAR(主页!$D$2),MONTH(主页!$D$2),1),0))/SUMIFS(当年实际!$P:$P,当年实际!$F:$F,$C1114,当年实际!$C:$C,"&gt;="&amp;DATE(YEAR(主页!$D$2),1,1),当年实际!$C:$C,"&lt;="&amp;EOMONTH(DATE(YEAR(主页!$D$2),MONTH(主页!$D$2),1),0)),"")</f>
        <v/>
      </c>
    </row>
    <row r="1115" spans="1:10" x14ac:dyDescent="0.3">
      <c r="A1115" s="150"/>
      <c r="B1115" s="150"/>
      <c r="C1115" s="150"/>
      <c r="D1115" s="150"/>
      <c r="E1115" s="140" t="str">
        <f t="shared" si="52"/>
        <v/>
      </c>
      <c r="F1115" s="159"/>
      <c r="G1115" s="145">
        <f t="shared" si="54"/>
        <v>0</v>
      </c>
      <c r="H1115" s="140" t="str">
        <f t="shared" si="53"/>
        <v/>
      </c>
      <c r="J1115" s="147" t="str">
        <f>IFERROR(SUMIFS(当年实际!$V:$V,当年实际!$F:$F,$C1115,当年实际!$C:$C,"&gt;="&amp;DATE(YEAR(主页!$D$2),1,1),当年实际!$C:$C,"&lt;="&amp;EOMONTH(DATE(YEAR(主页!$D$2),MONTH(主页!$D$2),1),0))/SUMIFS(当年实际!$P:$P,当年实际!$F:$F,$C1115,当年实际!$C:$C,"&gt;="&amp;DATE(YEAR(主页!$D$2),1,1),当年实际!$C:$C,"&lt;="&amp;EOMONTH(DATE(YEAR(主页!$D$2),MONTH(主页!$D$2),1),0)),"")</f>
        <v/>
      </c>
    </row>
    <row r="1116" spans="1:10" x14ac:dyDescent="0.3">
      <c r="A1116" s="150"/>
      <c r="B1116" s="150"/>
      <c r="C1116" s="150"/>
      <c r="D1116" s="150"/>
      <c r="E1116" s="140" t="str">
        <f t="shared" si="52"/>
        <v/>
      </c>
      <c r="F1116" s="159"/>
      <c r="G1116" s="145">
        <f t="shared" si="54"/>
        <v>0</v>
      </c>
      <c r="H1116" s="140" t="str">
        <f t="shared" si="53"/>
        <v/>
      </c>
      <c r="J1116" s="147" t="str">
        <f>IFERROR(SUMIFS(当年实际!$V:$V,当年实际!$F:$F,$C1116,当年实际!$C:$C,"&gt;="&amp;DATE(YEAR(主页!$D$2),1,1),当年实际!$C:$C,"&lt;="&amp;EOMONTH(DATE(YEAR(主页!$D$2),MONTH(主页!$D$2),1),0))/SUMIFS(当年实际!$P:$P,当年实际!$F:$F,$C1116,当年实际!$C:$C,"&gt;="&amp;DATE(YEAR(主页!$D$2),1,1),当年实际!$C:$C,"&lt;="&amp;EOMONTH(DATE(YEAR(主页!$D$2),MONTH(主页!$D$2),1),0)),"")</f>
        <v/>
      </c>
    </row>
    <row r="1117" spans="1:10" x14ac:dyDescent="0.3">
      <c r="A1117" s="150"/>
      <c r="B1117" s="150"/>
      <c r="C1117" s="150"/>
      <c r="D1117" s="150"/>
      <c r="E1117" s="140" t="str">
        <f t="shared" si="52"/>
        <v/>
      </c>
      <c r="F1117" s="159"/>
      <c r="G1117" s="145">
        <f t="shared" si="54"/>
        <v>0</v>
      </c>
      <c r="H1117" s="140" t="str">
        <f t="shared" si="53"/>
        <v/>
      </c>
      <c r="J1117" s="147" t="str">
        <f>IFERROR(SUMIFS(当年实际!$V:$V,当年实际!$F:$F,$C1117,当年实际!$C:$C,"&gt;="&amp;DATE(YEAR(主页!$D$2),1,1),当年实际!$C:$C,"&lt;="&amp;EOMONTH(DATE(YEAR(主页!$D$2),MONTH(主页!$D$2),1),0))/SUMIFS(当年实际!$P:$P,当年实际!$F:$F,$C1117,当年实际!$C:$C,"&gt;="&amp;DATE(YEAR(主页!$D$2),1,1),当年实际!$C:$C,"&lt;="&amp;EOMONTH(DATE(YEAR(主页!$D$2),MONTH(主页!$D$2),1),0)),"")</f>
        <v/>
      </c>
    </row>
    <row r="1118" spans="1:10" x14ac:dyDescent="0.3">
      <c r="A1118" s="150"/>
      <c r="B1118" s="150"/>
      <c r="C1118" s="150"/>
      <c r="D1118" s="150"/>
      <c r="E1118" s="140" t="str">
        <f t="shared" si="52"/>
        <v/>
      </c>
      <c r="F1118" s="159"/>
      <c r="G1118" s="145">
        <f t="shared" si="54"/>
        <v>0</v>
      </c>
      <c r="H1118" s="140" t="str">
        <f t="shared" si="53"/>
        <v/>
      </c>
      <c r="J1118" s="147" t="str">
        <f>IFERROR(SUMIFS(当年实际!$V:$V,当年实际!$F:$F,$C1118,当年实际!$C:$C,"&gt;="&amp;DATE(YEAR(主页!$D$2),1,1),当年实际!$C:$C,"&lt;="&amp;EOMONTH(DATE(YEAR(主页!$D$2),MONTH(主页!$D$2),1),0))/SUMIFS(当年实际!$P:$P,当年实际!$F:$F,$C1118,当年实际!$C:$C,"&gt;="&amp;DATE(YEAR(主页!$D$2),1,1),当年实际!$C:$C,"&lt;="&amp;EOMONTH(DATE(YEAR(主页!$D$2),MONTH(主页!$D$2),1),0)),"")</f>
        <v/>
      </c>
    </row>
    <row r="1119" spans="1:10" x14ac:dyDescent="0.3">
      <c r="A1119" s="150"/>
      <c r="B1119" s="150"/>
      <c r="C1119" s="150"/>
      <c r="D1119" s="150"/>
      <c r="E1119" s="140" t="str">
        <f t="shared" si="52"/>
        <v/>
      </c>
      <c r="F1119" s="159"/>
      <c r="G1119" s="145">
        <f t="shared" si="54"/>
        <v>0</v>
      </c>
      <c r="H1119" s="140" t="str">
        <f t="shared" si="53"/>
        <v/>
      </c>
      <c r="J1119" s="147" t="str">
        <f>IFERROR(SUMIFS(当年实际!$V:$V,当年实际!$F:$F,$C1119,当年实际!$C:$C,"&gt;="&amp;DATE(YEAR(主页!$D$2),1,1),当年实际!$C:$C,"&lt;="&amp;EOMONTH(DATE(YEAR(主页!$D$2),MONTH(主页!$D$2),1),0))/SUMIFS(当年实际!$P:$P,当年实际!$F:$F,$C1119,当年实际!$C:$C,"&gt;="&amp;DATE(YEAR(主页!$D$2),1,1),当年实际!$C:$C,"&lt;="&amp;EOMONTH(DATE(YEAR(主页!$D$2),MONTH(主页!$D$2),1),0)),"")</f>
        <v/>
      </c>
    </row>
    <row r="1120" spans="1:10" x14ac:dyDescent="0.3">
      <c r="A1120" s="150"/>
      <c r="B1120" s="150"/>
      <c r="C1120" s="150"/>
      <c r="D1120" s="150"/>
      <c r="E1120" s="140" t="str">
        <f t="shared" si="52"/>
        <v/>
      </c>
      <c r="F1120" s="159"/>
      <c r="G1120" s="145">
        <f t="shared" si="54"/>
        <v>0</v>
      </c>
      <c r="H1120" s="140" t="str">
        <f t="shared" si="53"/>
        <v/>
      </c>
      <c r="J1120" s="147" t="str">
        <f>IFERROR(SUMIFS(当年实际!$V:$V,当年实际!$F:$F,$C1120,当年实际!$C:$C,"&gt;="&amp;DATE(YEAR(主页!$D$2),1,1),当年实际!$C:$C,"&lt;="&amp;EOMONTH(DATE(YEAR(主页!$D$2),MONTH(主页!$D$2),1),0))/SUMIFS(当年实际!$P:$P,当年实际!$F:$F,$C1120,当年实际!$C:$C,"&gt;="&amp;DATE(YEAR(主页!$D$2),1,1),当年实际!$C:$C,"&lt;="&amp;EOMONTH(DATE(YEAR(主页!$D$2),MONTH(主页!$D$2),1),0)),"")</f>
        <v/>
      </c>
    </row>
    <row r="1121" spans="1:10" x14ac:dyDescent="0.3">
      <c r="A1121" s="150"/>
      <c r="B1121" s="150"/>
      <c r="C1121" s="150"/>
      <c r="D1121" s="150"/>
      <c r="E1121" s="140" t="str">
        <f t="shared" si="52"/>
        <v/>
      </c>
      <c r="F1121" s="159"/>
      <c r="G1121" s="145">
        <f t="shared" si="54"/>
        <v>0</v>
      </c>
      <c r="H1121" s="140" t="str">
        <f t="shared" si="53"/>
        <v/>
      </c>
      <c r="J1121" s="147" t="str">
        <f>IFERROR(SUMIFS(当年实际!$V:$V,当年实际!$F:$F,$C1121,当年实际!$C:$C,"&gt;="&amp;DATE(YEAR(主页!$D$2),1,1),当年实际!$C:$C,"&lt;="&amp;EOMONTH(DATE(YEAR(主页!$D$2),MONTH(主页!$D$2),1),0))/SUMIFS(当年实际!$P:$P,当年实际!$F:$F,$C1121,当年实际!$C:$C,"&gt;="&amp;DATE(YEAR(主页!$D$2),1,1),当年实际!$C:$C,"&lt;="&amp;EOMONTH(DATE(YEAR(主页!$D$2),MONTH(主页!$D$2),1),0)),"")</f>
        <v/>
      </c>
    </row>
    <row r="1122" spans="1:10" x14ac:dyDescent="0.3">
      <c r="A1122" s="150"/>
      <c r="B1122" s="150"/>
      <c r="C1122" s="150"/>
      <c r="D1122" s="150"/>
      <c r="E1122" s="140" t="str">
        <f t="shared" si="52"/>
        <v/>
      </c>
      <c r="F1122" s="159"/>
      <c r="G1122" s="145">
        <f t="shared" si="54"/>
        <v>0</v>
      </c>
      <c r="H1122" s="140" t="str">
        <f t="shared" si="53"/>
        <v/>
      </c>
      <c r="J1122" s="147" t="str">
        <f>IFERROR(SUMIFS(当年实际!$V:$V,当年实际!$F:$F,$C1122,当年实际!$C:$C,"&gt;="&amp;DATE(YEAR(主页!$D$2),1,1),当年实际!$C:$C,"&lt;="&amp;EOMONTH(DATE(YEAR(主页!$D$2),MONTH(主页!$D$2),1),0))/SUMIFS(当年实际!$P:$P,当年实际!$F:$F,$C1122,当年实际!$C:$C,"&gt;="&amp;DATE(YEAR(主页!$D$2),1,1),当年实际!$C:$C,"&lt;="&amp;EOMONTH(DATE(YEAR(主页!$D$2),MONTH(主页!$D$2),1),0)),"")</f>
        <v/>
      </c>
    </row>
    <row r="1123" spans="1:10" x14ac:dyDescent="0.3">
      <c r="A1123" s="150"/>
      <c r="B1123" s="150"/>
      <c r="C1123" s="150"/>
      <c r="D1123" s="150"/>
      <c r="E1123" s="140" t="str">
        <f t="shared" si="52"/>
        <v/>
      </c>
      <c r="F1123" s="159"/>
      <c r="G1123" s="145">
        <f t="shared" si="54"/>
        <v>0</v>
      </c>
      <c r="H1123" s="140" t="str">
        <f t="shared" si="53"/>
        <v/>
      </c>
      <c r="J1123" s="147" t="str">
        <f>IFERROR(SUMIFS(当年实际!$V:$V,当年实际!$F:$F,$C1123,当年实际!$C:$C,"&gt;="&amp;DATE(YEAR(主页!$D$2),1,1),当年实际!$C:$C,"&lt;="&amp;EOMONTH(DATE(YEAR(主页!$D$2),MONTH(主页!$D$2),1),0))/SUMIFS(当年实际!$P:$P,当年实际!$F:$F,$C1123,当年实际!$C:$C,"&gt;="&amp;DATE(YEAR(主页!$D$2),1,1),当年实际!$C:$C,"&lt;="&amp;EOMONTH(DATE(YEAR(主页!$D$2),MONTH(主页!$D$2),1),0)),"")</f>
        <v/>
      </c>
    </row>
    <row r="1124" spans="1:10" x14ac:dyDescent="0.3">
      <c r="A1124" s="150"/>
      <c r="B1124" s="150"/>
      <c r="C1124" s="150"/>
      <c r="D1124" s="150"/>
      <c r="E1124" s="140" t="str">
        <f t="shared" si="52"/>
        <v/>
      </c>
      <c r="F1124" s="159"/>
      <c r="G1124" s="145">
        <f t="shared" si="54"/>
        <v>0</v>
      </c>
      <c r="H1124" s="140" t="str">
        <f t="shared" si="53"/>
        <v/>
      </c>
      <c r="J1124" s="147" t="str">
        <f>IFERROR(SUMIFS(当年实际!$V:$V,当年实际!$F:$F,$C1124,当年实际!$C:$C,"&gt;="&amp;DATE(YEAR(主页!$D$2),1,1),当年实际!$C:$C,"&lt;="&amp;EOMONTH(DATE(YEAR(主页!$D$2),MONTH(主页!$D$2),1),0))/SUMIFS(当年实际!$P:$P,当年实际!$F:$F,$C1124,当年实际!$C:$C,"&gt;="&amp;DATE(YEAR(主页!$D$2),1,1),当年实际!$C:$C,"&lt;="&amp;EOMONTH(DATE(YEAR(主页!$D$2),MONTH(主页!$D$2),1),0)),"")</f>
        <v/>
      </c>
    </row>
    <row r="1125" spans="1:10" x14ac:dyDescent="0.3">
      <c r="A1125" s="150"/>
      <c r="B1125" s="150"/>
      <c r="C1125" s="150"/>
      <c r="D1125" s="150"/>
      <c r="E1125" s="140" t="str">
        <f t="shared" si="52"/>
        <v/>
      </c>
      <c r="F1125" s="159"/>
      <c r="G1125" s="145">
        <f t="shared" si="54"/>
        <v>0</v>
      </c>
      <c r="H1125" s="140" t="str">
        <f t="shared" si="53"/>
        <v/>
      </c>
      <c r="J1125" s="147" t="str">
        <f>IFERROR(SUMIFS(当年实际!$V:$V,当年实际!$F:$F,$C1125,当年实际!$C:$C,"&gt;="&amp;DATE(YEAR(主页!$D$2),1,1),当年实际!$C:$C,"&lt;="&amp;EOMONTH(DATE(YEAR(主页!$D$2),MONTH(主页!$D$2),1),0))/SUMIFS(当年实际!$P:$P,当年实际!$F:$F,$C1125,当年实际!$C:$C,"&gt;="&amp;DATE(YEAR(主页!$D$2),1,1),当年实际!$C:$C,"&lt;="&amp;EOMONTH(DATE(YEAR(主页!$D$2),MONTH(主页!$D$2),1),0)),"")</f>
        <v/>
      </c>
    </row>
    <row r="1126" spans="1:10" x14ac:dyDescent="0.3">
      <c r="A1126" s="150"/>
      <c r="B1126" s="150"/>
      <c r="C1126" s="150"/>
      <c r="D1126" s="150"/>
      <c r="E1126" s="140" t="str">
        <f t="shared" si="52"/>
        <v/>
      </c>
      <c r="F1126" s="159"/>
      <c r="G1126" s="145">
        <f t="shared" si="54"/>
        <v>0</v>
      </c>
      <c r="H1126" s="140" t="str">
        <f t="shared" si="53"/>
        <v/>
      </c>
      <c r="J1126" s="147" t="str">
        <f>IFERROR(SUMIFS(当年实际!$V:$V,当年实际!$F:$F,$C1126,当年实际!$C:$C,"&gt;="&amp;DATE(YEAR(主页!$D$2),1,1),当年实际!$C:$C,"&lt;="&amp;EOMONTH(DATE(YEAR(主页!$D$2),MONTH(主页!$D$2),1),0))/SUMIFS(当年实际!$P:$P,当年实际!$F:$F,$C1126,当年实际!$C:$C,"&gt;="&amp;DATE(YEAR(主页!$D$2),1,1),当年实际!$C:$C,"&lt;="&amp;EOMONTH(DATE(YEAR(主页!$D$2),MONTH(主页!$D$2),1),0)),"")</f>
        <v/>
      </c>
    </row>
    <row r="1127" spans="1:10" x14ac:dyDescent="0.3">
      <c r="A1127" s="150"/>
      <c r="B1127" s="150"/>
      <c r="C1127" s="150"/>
      <c r="D1127" s="150"/>
      <c r="E1127" s="140" t="str">
        <f t="shared" si="52"/>
        <v/>
      </c>
      <c r="F1127" s="159"/>
      <c r="G1127" s="145">
        <f t="shared" si="54"/>
        <v>0</v>
      </c>
      <c r="H1127" s="140" t="str">
        <f t="shared" si="53"/>
        <v/>
      </c>
      <c r="J1127" s="147" t="str">
        <f>IFERROR(SUMIFS(当年实际!$V:$V,当年实际!$F:$F,$C1127,当年实际!$C:$C,"&gt;="&amp;DATE(YEAR(主页!$D$2),1,1),当年实际!$C:$C,"&lt;="&amp;EOMONTH(DATE(YEAR(主页!$D$2),MONTH(主页!$D$2),1),0))/SUMIFS(当年实际!$P:$P,当年实际!$F:$F,$C1127,当年实际!$C:$C,"&gt;="&amp;DATE(YEAR(主页!$D$2),1,1),当年实际!$C:$C,"&lt;="&amp;EOMONTH(DATE(YEAR(主页!$D$2),MONTH(主页!$D$2),1),0)),"")</f>
        <v/>
      </c>
    </row>
    <row r="1128" spans="1:10" x14ac:dyDescent="0.3">
      <c r="A1128" s="150"/>
      <c r="B1128" s="150"/>
      <c r="C1128" s="150"/>
      <c r="D1128" s="150"/>
      <c r="E1128" s="140" t="str">
        <f t="shared" si="52"/>
        <v/>
      </c>
      <c r="F1128" s="159"/>
      <c r="G1128" s="145">
        <f t="shared" si="54"/>
        <v>0</v>
      </c>
      <c r="H1128" s="140" t="str">
        <f t="shared" si="53"/>
        <v/>
      </c>
      <c r="J1128" s="147" t="str">
        <f>IFERROR(SUMIFS(当年实际!$V:$V,当年实际!$F:$F,$C1128,当年实际!$C:$C,"&gt;="&amp;DATE(YEAR(主页!$D$2),1,1),当年实际!$C:$C,"&lt;="&amp;EOMONTH(DATE(YEAR(主页!$D$2),MONTH(主页!$D$2),1),0))/SUMIFS(当年实际!$P:$P,当年实际!$F:$F,$C1128,当年实际!$C:$C,"&gt;="&amp;DATE(YEAR(主页!$D$2),1,1),当年实际!$C:$C,"&lt;="&amp;EOMONTH(DATE(YEAR(主页!$D$2),MONTH(主页!$D$2),1),0)),"")</f>
        <v/>
      </c>
    </row>
    <row r="1129" spans="1:10" x14ac:dyDescent="0.3">
      <c r="A1129" s="150"/>
      <c r="B1129" s="150"/>
      <c r="C1129" s="150"/>
      <c r="D1129" s="150"/>
      <c r="E1129" s="140" t="str">
        <f t="shared" si="52"/>
        <v/>
      </c>
      <c r="F1129" s="159"/>
      <c r="G1129" s="145">
        <f t="shared" si="54"/>
        <v>0</v>
      </c>
      <c r="H1129" s="140" t="str">
        <f t="shared" si="53"/>
        <v/>
      </c>
      <c r="J1129" s="147" t="str">
        <f>IFERROR(SUMIFS(当年实际!$V:$V,当年实际!$F:$F,$C1129,当年实际!$C:$C,"&gt;="&amp;DATE(YEAR(主页!$D$2),1,1),当年实际!$C:$C,"&lt;="&amp;EOMONTH(DATE(YEAR(主页!$D$2),MONTH(主页!$D$2),1),0))/SUMIFS(当年实际!$P:$P,当年实际!$F:$F,$C1129,当年实际!$C:$C,"&gt;="&amp;DATE(YEAR(主页!$D$2),1,1),当年实际!$C:$C,"&lt;="&amp;EOMONTH(DATE(YEAR(主页!$D$2),MONTH(主页!$D$2),1),0)),"")</f>
        <v/>
      </c>
    </row>
    <row r="1130" spans="1:10" x14ac:dyDescent="0.3">
      <c r="A1130" s="150"/>
      <c r="B1130" s="150"/>
      <c r="C1130" s="150"/>
      <c r="D1130" s="150"/>
      <c r="E1130" s="140" t="str">
        <f t="shared" si="52"/>
        <v/>
      </c>
      <c r="F1130" s="159"/>
      <c r="G1130" s="145">
        <f t="shared" si="54"/>
        <v>0</v>
      </c>
      <c r="H1130" s="140" t="str">
        <f t="shared" si="53"/>
        <v/>
      </c>
      <c r="J1130" s="147" t="str">
        <f>IFERROR(SUMIFS(当年实际!$V:$V,当年实际!$F:$F,$C1130,当年实际!$C:$C,"&gt;="&amp;DATE(YEAR(主页!$D$2),1,1),当年实际!$C:$C,"&lt;="&amp;EOMONTH(DATE(YEAR(主页!$D$2),MONTH(主页!$D$2),1),0))/SUMIFS(当年实际!$P:$P,当年实际!$F:$F,$C1130,当年实际!$C:$C,"&gt;="&amp;DATE(YEAR(主页!$D$2),1,1),当年实际!$C:$C,"&lt;="&amp;EOMONTH(DATE(YEAR(主页!$D$2),MONTH(主页!$D$2),1),0)),"")</f>
        <v/>
      </c>
    </row>
    <row r="1131" spans="1:10" x14ac:dyDescent="0.3">
      <c r="A1131" s="150"/>
      <c r="B1131" s="150"/>
      <c r="C1131" s="150"/>
      <c r="D1131" s="150"/>
      <c r="E1131" s="140" t="str">
        <f t="shared" si="52"/>
        <v/>
      </c>
      <c r="F1131" s="159"/>
      <c r="G1131" s="145">
        <f t="shared" si="54"/>
        <v>0</v>
      </c>
      <c r="H1131" s="140" t="str">
        <f t="shared" si="53"/>
        <v/>
      </c>
      <c r="J1131" s="147" t="str">
        <f>IFERROR(SUMIFS(当年实际!$V:$V,当年实际!$F:$F,$C1131,当年实际!$C:$C,"&gt;="&amp;DATE(YEAR(主页!$D$2),1,1),当年实际!$C:$C,"&lt;="&amp;EOMONTH(DATE(YEAR(主页!$D$2),MONTH(主页!$D$2),1),0))/SUMIFS(当年实际!$P:$P,当年实际!$F:$F,$C1131,当年实际!$C:$C,"&gt;="&amp;DATE(YEAR(主页!$D$2),1,1),当年实际!$C:$C,"&lt;="&amp;EOMONTH(DATE(YEAR(主页!$D$2),MONTH(主页!$D$2),1),0)),"")</f>
        <v/>
      </c>
    </row>
    <row r="1132" spans="1:10" x14ac:dyDescent="0.3">
      <c r="A1132" s="150"/>
      <c r="B1132" s="150"/>
      <c r="C1132" s="150"/>
      <c r="D1132" s="150"/>
      <c r="E1132" s="140" t="str">
        <f t="shared" si="52"/>
        <v/>
      </c>
      <c r="F1132" s="159"/>
      <c r="G1132" s="145">
        <f t="shared" si="54"/>
        <v>0</v>
      </c>
      <c r="H1132" s="140" t="str">
        <f t="shared" si="53"/>
        <v/>
      </c>
      <c r="J1132" s="147" t="str">
        <f>IFERROR(SUMIFS(当年实际!$V:$V,当年实际!$F:$F,$C1132,当年实际!$C:$C,"&gt;="&amp;DATE(YEAR(主页!$D$2),1,1),当年实际!$C:$C,"&lt;="&amp;EOMONTH(DATE(YEAR(主页!$D$2),MONTH(主页!$D$2),1),0))/SUMIFS(当年实际!$P:$P,当年实际!$F:$F,$C1132,当年实际!$C:$C,"&gt;="&amp;DATE(YEAR(主页!$D$2),1,1),当年实际!$C:$C,"&lt;="&amp;EOMONTH(DATE(YEAR(主页!$D$2),MONTH(主页!$D$2),1),0)),"")</f>
        <v/>
      </c>
    </row>
    <row r="1133" spans="1:10" x14ac:dyDescent="0.3">
      <c r="A1133" s="150"/>
      <c r="B1133" s="150"/>
      <c r="C1133" s="150"/>
      <c r="D1133" s="150"/>
      <c r="E1133" s="140" t="str">
        <f t="shared" si="52"/>
        <v/>
      </c>
      <c r="F1133" s="159"/>
      <c r="G1133" s="145">
        <f t="shared" si="54"/>
        <v>0</v>
      </c>
      <c r="H1133" s="140" t="str">
        <f t="shared" si="53"/>
        <v/>
      </c>
      <c r="J1133" s="147" t="str">
        <f>IFERROR(SUMIFS(当年实际!$V:$V,当年实际!$F:$F,$C1133,当年实际!$C:$C,"&gt;="&amp;DATE(YEAR(主页!$D$2),1,1),当年实际!$C:$C,"&lt;="&amp;EOMONTH(DATE(YEAR(主页!$D$2),MONTH(主页!$D$2),1),0))/SUMIFS(当年实际!$P:$P,当年实际!$F:$F,$C1133,当年实际!$C:$C,"&gt;="&amp;DATE(YEAR(主页!$D$2),1,1),当年实际!$C:$C,"&lt;="&amp;EOMONTH(DATE(YEAR(主页!$D$2),MONTH(主页!$D$2),1),0)),"")</f>
        <v/>
      </c>
    </row>
    <row r="1134" spans="1:10" x14ac:dyDescent="0.3">
      <c r="A1134" s="150"/>
      <c r="B1134" s="150"/>
      <c r="C1134" s="150"/>
      <c r="D1134" s="150"/>
      <c r="E1134" s="140" t="str">
        <f t="shared" si="52"/>
        <v/>
      </c>
      <c r="F1134" s="159"/>
      <c r="G1134" s="145">
        <f t="shared" si="54"/>
        <v>0</v>
      </c>
      <c r="H1134" s="140" t="str">
        <f t="shared" si="53"/>
        <v/>
      </c>
      <c r="J1134" s="147" t="str">
        <f>IFERROR(SUMIFS(当年实际!$V:$V,当年实际!$F:$F,$C1134,当年实际!$C:$C,"&gt;="&amp;DATE(YEAR(主页!$D$2),1,1),当年实际!$C:$C,"&lt;="&amp;EOMONTH(DATE(YEAR(主页!$D$2),MONTH(主页!$D$2),1),0))/SUMIFS(当年实际!$P:$P,当年实际!$F:$F,$C1134,当年实际!$C:$C,"&gt;="&amp;DATE(YEAR(主页!$D$2),1,1),当年实际!$C:$C,"&lt;="&amp;EOMONTH(DATE(YEAR(主页!$D$2),MONTH(主页!$D$2),1),0)),"")</f>
        <v/>
      </c>
    </row>
    <row r="1135" spans="1:10" x14ac:dyDescent="0.3">
      <c r="A1135" s="150"/>
      <c r="B1135" s="150"/>
      <c r="C1135" s="150"/>
      <c r="D1135" s="150"/>
      <c r="E1135" s="140" t="str">
        <f t="shared" si="52"/>
        <v/>
      </c>
      <c r="F1135" s="159"/>
      <c r="G1135" s="145">
        <f t="shared" si="54"/>
        <v>0</v>
      </c>
      <c r="H1135" s="140" t="str">
        <f t="shared" si="53"/>
        <v/>
      </c>
      <c r="J1135" s="147" t="str">
        <f>IFERROR(SUMIFS(当年实际!$V:$V,当年实际!$F:$F,$C1135,当年实际!$C:$C,"&gt;="&amp;DATE(YEAR(主页!$D$2),1,1),当年实际!$C:$C,"&lt;="&amp;EOMONTH(DATE(YEAR(主页!$D$2),MONTH(主页!$D$2),1),0))/SUMIFS(当年实际!$P:$P,当年实际!$F:$F,$C1135,当年实际!$C:$C,"&gt;="&amp;DATE(YEAR(主页!$D$2),1,1),当年实际!$C:$C,"&lt;="&amp;EOMONTH(DATE(YEAR(主页!$D$2),MONTH(主页!$D$2),1),0)),"")</f>
        <v/>
      </c>
    </row>
    <row r="1136" spans="1:10" x14ac:dyDescent="0.3">
      <c r="A1136" s="150"/>
      <c r="B1136" s="150"/>
      <c r="C1136" s="150"/>
      <c r="D1136" s="150"/>
      <c r="E1136" s="140" t="str">
        <f t="shared" si="52"/>
        <v/>
      </c>
      <c r="F1136" s="159"/>
      <c r="G1136" s="145">
        <f t="shared" si="54"/>
        <v>0</v>
      </c>
      <c r="H1136" s="140" t="str">
        <f t="shared" si="53"/>
        <v/>
      </c>
      <c r="J1136" s="147" t="str">
        <f>IFERROR(SUMIFS(当年实际!$V:$V,当年实际!$F:$F,$C1136,当年实际!$C:$C,"&gt;="&amp;DATE(YEAR(主页!$D$2),1,1),当年实际!$C:$C,"&lt;="&amp;EOMONTH(DATE(YEAR(主页!$D$2),MONTH(主页!$D$2),1),0))/SUMIFS(当年实际!$P:$P,当年实际!$F:$F,$C1136,当年实际!$C:$C,"&gt;="&amp;DATE(YEAR(主页!$D$2),1,1),当年实际!$C:$C,"&lt;="&amp;EOMONTH(DATE(YEAR(主页!$D$2),MONTH(主页!$D$2),1),0)),"")</f>
        <v/>
      </c>
    </row>
    <row r="1137" spans="1:10" x14ac:dyDescent="0.3">
      <c r="A1137" s="150"/>
      <c r="B1137" s="150"/>
      <c r="C1137" s="150"/>
      <c r="D1137" s="150"/>
      <c r="E1137" s="140" t="str">
        <f t="shared" si="52"/>
        <v/>
      </c>
      <c r="F1137" s="159"/>
      <c r="G1137" s="145">
        <f t="shared" si="54"/>
        <v>0</v>
      </c>
      <c r="H1137" s="140" t="str">
        <f t="shared" si="53"/>
        <v/>
      </c>
      <c r="J1137" s="147" t="str">
        <f>IFERROR(SUMIFS(当年实际!$V:$V,当年实际!$F:$F,$C1137,当年实际!$C:$C,"&gt;="&amp;DATE(YEAR(主页!$D$2),1,1),当年实际!$C:$C,"&lt;="&amp;EOMONTH(DATE(YEAR(主页!$D$2),MONTH(主页!$D$2),1),0))/SUMIFS(当年实际!$P:$P,当年实际!$F:$F,$C1137,当年实际!$C:$C,"&gt;="&amp;DATE(YEAR(主页!$D$2),1,1),当年实际!$C:$C,"&lt;="&amp;EOMONTH(DATE(YEAR(主页!$D$2),MONTH(主页!$D$2),1),0)),"")</f>
        <v/>
      </c>
    </row>
    <row r="1138" spans="1:10" x14ac:dyDescent="0.3">
      <c r="A1138" s="150"/>
      <c r="B1138" s="150"/>
      <c r="C1138" s="150"/>
      <c r="D1138" s="150"/>
      <c r="E1138" s="140" t="str">
        <f t="shared" si="52"/>
        <v/>
      </c>
      <c r="F1138" s="159"/>
      <c r="G1138" s="145">
        <f t="shared" si="54"/>
        <v>0</v>
      </c>
      <c r="H1138" s="140" t="str">
        <f t="shared" si="53"/>
        <v/>
      </c>
      <c r="J1138" s="147" t="str">
        <f>IFERROR(SUMIFS(当年实际!$V:$V,当年实际!$F:$F,$C1138,当年实际!$C:$C,"&gt;="&amp;DATE(YEAR(主页!$D$2),1,1),当年实际!$C:$C,"&lt;="&amp;EOMONTH(DATE(YEAR(主页!$D$2),MONTH(主页!$D$2),1),0))/SUMIFS(当年实际!$P:$P,当年实际!$F:$F,$C1138,当年实际!$C:$C,"&gt;="&amp;DATE(YEAR(主页!$D$2),1,1),当年实际!$C:$C,"&lt;="&amp;EOMONTH(DATE(YEAR(主页!$D$2),MONTH(主页!$D$2),1),0)),"")</f>
        <v/>
      </c>
    </row>
    <row r="1139" spans="1:10" x14ac:dyDescent="0.3">
      <c r="A1139" s="150"/>
      <c r="B1139" s="150"/>
      <c r="C1139" s="150"/>
      <c r="D1139" s="150"/>
      <c r="E1139" s="140" t="str">
        <f t="shared" si="52"/>
        <v/>
      </c>
      <c r="F1139" s="159"/>
      <c r="G1139" s="145">
        <f t="shared" si="54"/>
        <v>0</v>
      </c>
      <c r="H1139" s="140" t="str">
        <f t="shared" si="53"/>
        <v/>
      </c>
      <c r="J1139" s="147" t="str">
        <f>IFERROR(SUMIFS(当年实际!$V:$V,当年实际!$F:$F,$C1139,当年实际!$C:$C,"&gt;="&amp;DATE(YEAR(主页!$D$2),1,1),当年实际!$C:$C,"&lt;="&amp;EOMONTH(DATE(YEAR(主页!$D$2),MONTH(主页!$D$2),1),0))/SUMIFS(当年实际!$P:$P,当年实际!$F:$F,$C1139,当年实际!$C:$C,"&gt;="&amp;DATE(YEAR(主页!$D$2),1,1),当年实际!$C:$C,"&lt;="&amp;EOMONTH(DATE(YEAR(主页!$D$2),MONTH(主页!$D$2),1),0)),"")</f>
        <v/>
      </c>
    </row>
    <row r="1140" spans="1:10" x14ac:dyDescent="0.3">
      <c r="A1140" s="150"/>
      <c r="B1140" s="150"/>
      <c r="C1140" s="150"/>
      <c r="D1140" s="150"/>
      <c r="E1140" s="140" t="str">
        <f t="shared" si="52"/>
        <v/>
      </c>
      <c r="F1140" s="159"/>
      <c r="G1140" s="145">
        <f t="shared" si="54"/>
        <v>0</v>
      </c>
      <c r="H1140" s="140" t="str">
        <f t="shared" si="53"/>
        <v/>
      </c>
      <c r="J1140" s="147" t="str">
        <f>IFERROR(SUMIFS(当年实际!$V:$V,当年实际!$F:$F,$C1140,当年实际!$C:$C,"&gt;="&amp;DATE(YEAR(主页!$D$2),1,1),当年实际!$C:$C,"&lt;="&amp;EOMONTH(DATE(YEAR(主页!$D$2),MONTH(主页!$D$2),1),0))/SUMIFS(当年实际!$P:$P,当年实际!$F:$F,$C1140,当年实际!$C:$C,"&gt;="&amp;DATE(YEAR(主页!$D$2),1,1),当年实际!$C:$C,"&lt;="&amp;EOMONTH(DATE(YEAR(主页!$D$2),MONTH(主页!$D$2),1),0)),"")</f>
        <v/>
      </c>
    </row>
    <row r="1141" spans="1:10" x14ac:dyDescent="0.3">
      <c r="A1141" s="150"/>
      <c r="B1141" s="150"/>
      <c r="C1141" s="150"/>
      <c r="D1141" s="150"/>
      <c r="E1141" s="140" t="str">
        <f t="shared" si="52"/>
        <v/>
      </c>
      <c r="F1141" s="159"/>
      <c r="G1141" s="145">
        <f t="shared" si="54"/>
        <v>0</v>
      </c>
      <c r="H1141" s="140" t="str">
        <f t="shared" si="53"/>
        <v/>
      </c>
      <c r="J1141" s="147" t="str">
        <f>IFERROR(SUMIFS(当年实际!$V:$V,当年实际!$F:$F,$C1141,当年实际!$C:$C,"&gt;="&amp;DATE(YEAR(主页!$D$2),1,1),当年实际!$C:$C,"&lt;="&amp;EOMONTH(DATE(YEAR(主页!$D$2),MONTH(主页!$D$2),1),0))/SUMIFS(当年实际!$P:$P,当年实际!$F:$F,$C1141,当年实际!$C:$C,"&gt;="&amp;DATE(YEAR(主页!$D$2),1,1),当年实际!$C:$C,"&lt;="&amp;EOMONTH(DATE(YEAR(主页!$D$2),MONTH(主页!$D$2),1),0)),"")</f>
        <v/>
      </c>
    </row>
    <row r="1142" spans="1:10" x14ac:dyDescent="0.3">
      <c r="A1142" s="150"/>
      <c r="B1142" s="150"/>
      <c r="C1142" s="150"/>
      <c r="D1142" s="150"/>
      <c r="E1142" s="140" t="str">
        <f t="shared" si="52"/>
        <v/>
      </c>
      <c r="F1142" s="159"/>
      <c r="G1142" s="145">
        <f t="shared" si="54"/>
        <v>0</v>
      </c>
      <c r="H1142" s="140" t="str">
        <f t="shared" si="53"/>
        <v/>
      </c>
      <c r="J1142" s="147" t="str">
        <f>IFERROR(SUMIFS(当年实际!$V:$V,当年实际!$F:$F,$C1142,当年实际!$C:$C,"&gt;="&amp;DATE(YEAR(主页!$D$2),1,1),当年实际!$C:$C,"&lt;="&amp;EOMONTH(DATE(YEAR(主页!$D$2),MONTH(主页!$D$2),1),0))/SUMIFS(当年实际!$P:$P,当年实际!$F:$F,$C1142,当年实际!$C:$C,"&gt;="&amp;DATE(YEAR(主页!$D$2),1,1),当年实际!$C:$C,"&lt;="&amp;EOMONTH(DATE(YEAR(主页!$D$2),MONTH(主页!$D$2),1),0)),"")</f>
        <v/>
      </c>
    </row>
    <row r="1143" spans="1:10" x14ac:dyDescent="0.3">
      <c r="A1143" s="150"/>
      <c r="B1143" s="150"/>
      <c r="C1143" s="150"/>
      <c r="D1143" s="150"/>
      <c r="E1143" s="140" t="str">
        <f t="shared" si="52"/>
        <v/>
      </c>
      <c r="F1143" s="159"/>
      <c r="G1143" s="145">
        <f t="shared" si="54"/>
        <v>0</v>
      </c>
      <c r="H1143" s="140" t="str">
        <f t="shared" si="53"/>
        <v/>
      </c>
      <c r="J1143" s="147" t="str">
        <f>IFERROR(SUMIFS(当年实际!$V:$V,当年实际!$F:$F,$C1143,当年实际!$C:$C,"&gt;="&amp;DATE(YEAR(主页!$D$2),1,1),当年实际!$C:$C,"&lt;="&amp;EOMONTH(DATE(YEAR(主页!$D$2),MONTH(主页!$D$2),1),0))/SUMIFS(当年实际!$P:$P,当年实际!$F:$F,$C1143,当年实际!$C:$C,"&gt;="&amp;DATE(YEAR(主页!$D$2),1,1),当年实际!$C:$C,"&lt;="&amp;EOMONTH(DATE(YEAR(主页!$D$2),MONTH(主页!$D$2),1),0)),"")</f>
        <v/>
      </c>
    </row>
    <row r="1144" spans="1:10" x14ac:dyDescent="0.3">
      <c r="A1144" s="150"/>
      <c r="B1144" s="150"/>
      <c r="C1144" s="150"/>
      <c r="D1144" s="150"/>
      <c r="E1144" s="140" t="str">
        <f t="shared" si="52"/>
        <v/>
      </c>
      <c r="F1144" s="159"/>
      <c r="G1144" s="145">
        <f t="shared" si="54"/>
        <v>0</v>
      </c>
      <c r="H1144" s="140" t="str">
        <f t="shared" si="53"/>
        <v/>
      </c>
      <c r="J1144" s="147" t="str">
        <f>IFERROR(SUMIFS(当年实际!$V:$V,当年实际!$F:$F,$C1144,当年实际!$C:$C,"&gt;="&amp;DATE(YEAR(主页!$D$2),1,1),当年实际!$C:$C,"&lt;="&amp;EOMONTH(DATE(YEAR(主页!$D$2),MONTH(主页!$D$2),1),0))/SUMIFS(当年实际!$P:$P,当年实际!$F:$F,$C1144,当年实际!$C:$C,"&gt;="&amp;DATE(YEAR(主页!$D$2),1,1),当年实际!$C:$C,"&lt;="&amp;EOMONTH(DATE(YEAR(主页!$D$2),MONTH(主页!$D$2),1),0)),"")</f>
        <v/>
      </c>
    </row>
    <row r="1145" spans="1:10" x14ac:dyDescent="0.3">
      <c r="A1145" s="150"/>
      <c r="B1145" s="150"/>
      <c r="C1145" s="150"/>
      <c r="D1145" s="150"/>
      <c r="E1145" s="140" t="str">
        <f t="shared" si="52"/>
        <v/>
      </c>
      <c r="F1145" s="159"/>
      <c r="G1145" s="145">
        <f t="shared" si="54"/>
        <v>0</v>
      </c>
      <c r="H1145" s="140" t="str">
        <f t="shared" si="53"/>
        <v/>
      </c>
      <c r="J1145" s="147" t="str">
        <f>IFERROR(SUMIFS(当年实际!$V:$V,当年实际!$F:$F,$C1145,当年实际!$C:$C,"&gt;="&amp;DATE(YEAR(主页!$D$2),1,1),当年实际!$C:$C,"&lt;="&amp;EOMONTH(DATE(YEAR(主页!$D$2),MONTH(主页!$D$2),1),0))/SUMIFS(当年实际!$P:$P,当年实际!$F:$F,$C1145,当年实际!$C:$C,"&gt;="&amp;DATE(YEAR(主页!$D$2),1,1),当年实际!$C:$C,"&lt;="&amp;EOMONTH(DATE(YEAR(主页!$D$2),MONTH(主页!$D$2),1),0)),"")</f>
        <v/>
      </c>
    </row>
    <row r="1146" spans="1:10" x14ac:dyDescent="0.3">
      <c r="A1146" s="150"/>
      <c r="B1146" s="150"/>
      <c r="C1146" s="150"/>
      <c r="D1146" s="150"/>
      <c r="E1146" s="140" t="str">
        <f t="shared" si="52"/>
        <v/>
      </c>
      <c r="F1146" s="159"/>
      <c r="G1146" s="145">
        <f t="shared" si="54"/>
        <v>0</v>
      </c>
      <c r="H1146" s="140" t="str">
        <f t="shared" si="53"/>
        <v/>
      </c>
      <c r="J1146" s="147" t="str">
        <f>IFERROR(SUMIFS(当年实际!$V:$V,当年实际!$F:$F,$C1146,当年实际!$C:$C,"&gt;="&amp;DATE(YEAR(主页!$D$2),1,1),当年实际!$C:$C,"&lt;="&amp;EOMONTH(DATE(YEAR(主页!$D$2),MONTH(主页!$D$2),1),0))/SUMIFS(当年实际!$P:$P,当年实际!$F:$F,$C1146,当年实际!$C:$C,"&gt;="&amp;DATE(YEAR(主页!$D$2),1,1),当年实际!$C:$C,"&lt;="&amp;EOMONTH(DATE(YEAR(主页!$D$2),MONTH(主页!$D$2),1),0)),"")</f>
        <v/>
      </c>
    </row>
    <row r="1147" spans="1:10" x14ac:dyDescent="0.3">
      <c r="A1147" s="150"/>
      <c r="B1147" s="150"/>
      <c r="C1147" s="150"/>
      <c r="D1147" s="150"/>
      <c r="E1147" s="140" t="str">
        <f t="shared" si="52"/>
        <v/>
      </c>
      <c r="F1147" s="159"/>
      <c r="G1147" s="145">
        <f t="shared" si="54"/>
        <v>0</v>
      </c>
      <c r="H1147" s="140" t="str">
        <f t="shared" si="53"/>
        <v/>
      </c>
      <c r="J1147" s="147" t="str">
        <f>IFERROR(SUMIFS(当年实际!$V:$V,当年实际!$F:$F,$C1147,当年实际!$C:$C,"&gt;="&amp;DATE(YEAR(主页!$D$2),1,1),当年实际!$C:$C,"&lt;="&amp;EOMONTH(DATE(YEAR(主页!$D$2),MONTH(主页!$D$2),1),0))/SUMIFS(当年实际!$P:$P,当年实际!$F:$F,$C1147,当年实际!$C:$C,"&gt;="&amp;DATE(YEAR(主页!$D$2),1,1),当年实际!$C:$C,"&lt;="&amp;EOMONTH(DATE(YEAR(主页!$D$2),MONTH(主页!$D$2),1),0)),"")</f>
        <v/>
      </c>
    </row>
    <row r="1148" spans="1:10" x14ac:dyDescent="0.3">
      <c r="A1148" s="150"/>
      <c r="B1148" s="150"/>
      <c r="C1148" s="150"/>
      <c r="D1148" s="150"/>
      <c r="E1148" s="140" t="str">
        <f t="shared" si="52"/>
        <v/>
      </c>
      <c r="F1148" s="159"/>
      <c r="G1148" s="145">
        <f t="shared" si="54"/>
        <v>0</v>
      </c>
      <c r="H1148" s="140" t="str">
        <f t="shared" si="53"/>
        <v/>
      </c>
      <c r="J1148" s="147" t="str">
        <f>IFERROR(SUMIFS(当年实际!$V:$V,当年实际!$F:$F,$C1148,当年实际!$C:$C,"&gt;="&amp;DATE(YEAR(主页!$D$2),1,1),当年实际!$C:$C,"&lt;="&amp;EOMONTH(DATE(YEAR(主页!$D$2),MONTH(主页!$D$2),1),0))/SUMIFS(当年实际!$P:$P,当年实际!$F:$F,$C1148,当年实际!$C:$C,"&gt;="&amp;DATE(YEAR(主页!$D$2),1,1),当年实际!$C:$C,"&lt;="&amp;EOMONTH(DATE(YEAR(主页!$D$2),MONTH(主页!$D$2),1),0)),"")</f>
        <v/>
      </c>
    </row>
    <row r="1149" spans="1:10" x14ac:dyDescent="0.3">
      <c r="A1149" s="150"/>
      <c r="B1149" s="150"/>
      <c r="C1149" s="150"/>
      <c r="D1149" s="150"/>
      <c r="E1149" s="140" t="str">
        <f t="shared" si="52"/>
        <v/>
      </c>
      <c r="F1149" s="159"/>
      <c r="G1149" s="145">
        <f t="shared" si="54"/>
        <v>0</v>
      </c>
      <c r="H1149" s="140" t="str">
        <f t="shared" si="53"/>
        <v/>
      </c>
      <c r="J1149" s="147" t="str">
        <f>IFERROR(SUMIFS(当年实际!$V:$V,当年实际!$F:$F,$C1149,当年实际!$C:$C,"&gt;="&amp;DATE(YEAR(主页!$D$2),1,1),当年实际!$C:$C,"&lt;="&amp;EOMONTH(DATE(YEAR(主页!$D$2),MONTH(主页!$D$2),1),0))/SUMIFS(当年实际!$P:$P,当年实际!$F:$F,$C1149,当年实际!$C:$C,"&gt;="&amp;DATE(YEAR(主页!$D$2),1,1),当年实际!$C:$C,"&lt;="&amp;EOMONTH(DATE(YEAR(主页!$D$2),MONTH(主页!$D$2),1),0)),"")</f>
        <v/>
      </c>
    </row>
    <row r="1150" spans="1:10" x14ac:dyDescent="0.3">
      <c r="A1150" s="150"/>
      <c r="B1150" s="150"/>
      <c r="C1150" s="150"/>
      <c r="D1150" s="150"/>
      <c r="E1150" s="140" t="str">
        <f t="shared" si="52"/>
        <v/>
      </c>
      <c r="F1150" s="159"/>
      <c r="G1150" s="145">
        <f t="shared" si="54"/>
        <v>0</v>
      </c>
      <c r="H1150" s="140" t="str">
        <f t="shared" si="53"/>
        <v/>
      </c>
      <c r="J1150" s="147" t="str">
        <f>IFERROR(SUMIFS(当年实际!$V:$V,当年实际!$F:$F,$C1150,当年实际!$C:$C,"&gt;="&amp;DATE(YEAR(主页!$D$2),1,1),当年实际!$C:$C,"&lt;="&amp;EOMONTH(DATE(YEAR(主页!$D$2),MONTH(主页!$D$2),1),0))/SUMIFS(当年实际!$P:$P,当年实际!$F:$F,$C1150,当年实际!$C:$C,"&gt;="&amp;DATE(YEAR(主页!$D$2),1,1),当年实际!$C:$C,"&lt;="&amp;EOMONTH(DATE(YEAR(主页!$D$2),MONTH(主页!$D$2),1),0)),"")</f>
        <v/>
      </c>
    </row>
    <row r="1151" spans="1:10" x14ac:dyDescent="0.3">
      <c r="A1151" s="150"/>
      <c r="B1151" s="150"/>
      <c r="C1151" s="150"/>
      <c r="D1151" s="150"/>
      <c r="E1151" s="140" t="str">
        <f t="shared" si="52"/>
        <v/>
      </c>
      <c r="F1151" s="159"/>
      <c r="G1151" s="145">
        <f t="shared" si="54"/>
        <v>0</v>
      </c>
      <c r="H1151" s="140" t="str">
        <f t="shared" si="53"/>
        <v/>
      </c>
      <c r="J1151" s="147" t="str">
        <f>IFERROR(SUMIFS(当年实际!$V:$V,当年实际!$F:$F,$C1151,当年实际!$C:$C,"&gt;="&amp;DATE(YEAR(主页!$D$2),1,1),当年实际!$C:$C,"&lt;="&amp;EOMONTH(DATE(YEAR(主页!$D$2),MONTH(主页!$D$2),1),0))/SUMIFS(当年实际!$P:$P,当年实际!$F:$F,$C1151,当年实际!$C:$C,"&gt;="&amp;DATE(YEAR(主页!$D$2),1,1),当年实际!$C:$C,"&lt;="&amp;EOMONTH(DATE(YEAR(主页!$D$2),MONTH(主页!$D$2),1),0)),"")</f>
        <v/>
      </c>
    </row>
    <row r="1152" spans="1:10" x14ac:dyDescent="0.3">
      <c r="A1152" s="150"/>
      <c r="B1152" s="150"/>
      <c r="C1152" s="150"/>
      <c r="D1152" s="150"/>
      <c r="E1152" s="140" t="str">
        <f t="shared" si="52"/>
        <v/>
      </c>
      <c r="F1152" s="159"/>
      <c r="G1152" s="145">
        <f t="shared" si="54"/>
        <v>0</v>
      </c>
      <c r="H1152" s="140" t="str">
        <f t="shared" si="53"/>
        <v/>
      </c>
      <c r="J1152" s="147" t="str">
        <f>IFERROR(SUMIFS(当年实际!$V:$V,当年实际!$F:$F,$C1152,当年实际!$C:$C,"&gt;="&amp;DATE(YEAR(主页!$D$2),1,1),当年实际!$C:$C,"&lt;="&amp;EOMONTH(DATE(YEAR(主页!$D$2),MONTH(主页!$D$2),1),0))/SUMIFS(当年实际!$P:$P,当年实际!$F:$F,$C1152,当年实际!$C:$C,"&gt;="&amp;DATE(YEAR(主页!$D$2),1,1),当年实际!$C:$C,"&lt;="&amp;EOMONTH(DATE(YEAR(主页!$D$2),MONTH(主页!$D$2),1),0)),"")</f>
        <v/>
      </c>
    </row>
    <row r="1153" spans="1:10" x14ac:dyDescent="0.3">
      <c r="A1153" s="150"/>
      <c r="B1153" s="150"/>
      <c r="C1153" s="150"/>
      <c r="D1153" s="150"/>
      <c r="E1153" s="140" t="str">
        <f t="shared" si="52"/>
        <v/>
      </c>
      <c r="F1153" s="159"/>
      <c r="G1153" s="145">
        <f t="shared" si="54"/>
        <v>0</v>
      </c>
      <c r="H1153" s="140" t="str">
        <f t="shared" si="53"/>
        <v/>
      </c>
      <c r="J1153" s="147" t="str">
        <f>IFERROR(SUMIFS(当年实际!$V:$V,当年实际!$F:$F,$C1153,当年实际!$C:$C,"&gt;="&amp;DATE(YEAR(主页!$D$2),1,1),当年实际!$C:$C,"&lt;="&amp;EOMONTH(DATE(YEAR(主页!$D$2),MONTH(主页!$D$2),1),0))/SUMIFS(当年实际!$P:$P,当年实际!$F:$F,$C1153,当年实际!$C:$C,"&gt;="&amp;DATE(YEAR(主页!$D$2),1,1),当年实际!$C:$C,"&lt;="&amp;EOMONTH(DATE(YEAR(主页!$D$2),MONTH(主页!$D$2),1),0)),"")</f>
        <v/>
      </c>
    </row>
    <row r="1154" spans="1:10" x14ac:dyDescent="0.3">
      <c r="A1154" s="150"/>
      <c r="B1154" s="150"/>
      <c r="C1154" s="150"/>
      <c r="D1154" s="150"/>
      <c r="E1154" s="140" t="str">
        <f t="shared" si="52"/>
        <v/>
      </c>
      <c r="F1154" s="159"/>
      <c r="G1154" s="145">
        <f t="shared" si="54"/>
        <v>0</v>
      </c>
      <c r="H1154" s="140" t="str">
        <f t="shared" si="53"/>
        <v/>
      </c>
      <c r="J1154" s="147" t="str">
        <f>IFERROR(SUMIFS(当年实际!$V:$V,当年实际!$F:$F,$C1154,当年实际!$C:$C,"&gt;="&amp;DATE(YEAR(主页!$D$2),1,1),当年实际!$C:$C,"&lt;="&amp;EOMONTH(DATE(YEAR(主页!$D$2),MONTH(主页!$D$2),1),0))/SUMIFS(当年实际!$P:$P,当年实际!$F:$F,$C1154,当年实际!$C:$C,"&gt;="&amp;DATE(YEAR(主页!$D$2),1,1),当年实际!$C:$C,"&lt;="&amp;EOMONTH(DATE(YEAR(主页!$D$2),MONTH(主页!$D$2),1),0)),"")</f>
        <v/>
      </c>
    </row>
    <row r="1155" spans="1:10" x14ac:dyDescent="0.3">
      <c r="A1155" s="150"/>
      <c r="B1155" s="150"/>
      <c r="C1155" s="150"/>
      <c r="D1155" s="150"/>
      <c r="E1155" s="140" t="str">
        <f t="shared" si="52"/>
        <v/>
      </c>
      <c r="F1155" s="159"/>
      <c r="G1155" s="145">
        <f t="shared" si="54"/>
        <v>0</v>
      </c>
      <c r="H1155" s="140" t="str">
        <f t="shared" si="53"/>
        <v/>
      </c>
      <c r="J1155" s="147" t="str">
        <f>IFERROR(SUMIFS(当年实际!$V:$V,当年实际!$F:$F,$C1155,当年实际!$C:$C,"&gt;="&amp;DATE(YEAR(主页!$D$2),1,1),当年实际!$C:$C,"&lt;="&amp;EOMONTH(DATE(YEAR(主页!$D$2),MONTH(主页!$D$2),1),0))/SUMIFS(当年实际!$P:$P,当年实际!$F:$F,$C1155,当年实际!$C:$C,"&gt;="&amp;DATE(YEAR(主页!$D$2),1,1),当年实际!$C:$C,"&lt;="&amp;EOMONTH(DATE(YEAR(主页!$D$2),MONTH(主页!$D$2),1),0)),"")</f>
        <v/>
      </c>
    </row>
    <row r="1156" spans="1:10" x14ac:dyDescent="0.3">
      <c r="A1156" s="150"/>
      <c r="B1156" s="150"/>
      <c r="C1156" s="150"/>
      <c r="D1156" s="150"/>
      <c r="E1156" s="140" t="str">
        <f t="shared" ref="E1156:E1200" si="55">IF(D1156/SUM(D:D)=0,"",D1156/SUM(D:D))</f>
        <v/>
      </c>
      <c r="F1156" s="159"/>
      <c r="G1156" s="145">
        <f t="shared" si="54"/>
        <v>0</v>
      </c>
      <c r="H1156" s="140" t="str">
        <f t="shared" ref="H1156:H1200" si="56">IF(G1156/SUM(G:G)=0,"",G1156/SUM(G:G))</f>
        <v/>
      </c>
      <c r="J1156" s="147" t="str">
        <f>IFERROR(SUMIFS(当年实际!$V:$V,当年实际!$F:$F,$C1156,当年实际!$C:$C,"&gt;="&amp;DATE(YEAR(主页!$D$2),1,1),当年实际!$C:$C,"&lt;="&amp;EOMONTH(DATE(YEAR(主页!$D$2),MONTH(主页!$D$2),1),0))/SUMIFS(当年实际!$P:$P,当年实际!$F:$F,$C1156,当年实际!$C:$C,"&gt;="&amp;DATE(YEAR(主页!$D$2),1,1),当年实际!$C:$C,"&lt;="&amp;EOMONTH(DATE(YEAR(主页!$D$2),MONTH(主页!$D$2),1),0)),"")</f>
        <v/>
      </c>
    </row>
    <row r="1157" spans="1:10" x14ac:dyDescent="0.3">
      <c r="A1157" s="150"/>
      <c r="B1157" s="150"/>
      <c r="C1157" s="150"/>
      <c r="D1157" s="150"/>
      <c r="E1157" s="140" t="str">
        <f t="shared" si="55"/>
        <v/>
      </c>
      <c r="F1157" s="159"/>
      <c r="G1157" s="145">
        <f t="shared" si="54"/>
        <v>0</v>
      </c>
      <c r="H1157" s="140" t="str">
        <f t="shared" si="56"/>
        <v/>
      </c>
      <c r="J1157" s="147" t="str">
        <f>IFERROR(SUMIFS(当年实际!$V:$V,当年实际!$F:$F,$C1157,当年实际!$C:$C,"&gt;="&amp;DATE(YEAR(主页!$D$2),1,1),当年实际!$C:$C,"&lt;="&amp;EOMONTH(DATE(YEAR(主页!$D$2),MONTH(主页!$D$2),1),0))/SUMIFS(当年实际!$P:$P,当年实际!$F:$F,$C1157,当年实际!$C:$C,"&gt;="&amp;DATE(YEAR(主页!$D$2),1,1),当年实际!$C:$C,"&lt;="&amp;EOMONTH(DATE(YEAR(主页!$D$2),MONTH(主页!$D$2),1),0)),"")</f>
        <v/>
      </c>
    </row>
    <row r="1158" spans="1:10" x14ac:dyDescent="0.3">
      <c r="A1158" s="150"/>
      <c r="B1158" s="150"/>
      <c r="C1158" s="150"/>
      <c r="D1158" s="150"/>
      <c r="E1158" s="140" t="str">
        <f t="shared" si="55"/>
        <v/>
      </c>
      <c r="F1158" s="159"/>
      <c r="G1158" s="145">
        <f t="shared" si="54"/>
        <v>0</v>
      </c>
      <c r="H1158" s="140" t="str">
        <f t="shared" si="56"/>
        <v/>
      </c>
      <c r="J1158" s="147" t="str">
        <f>IFERROR(SUMIFS(当年实际!$V:$V,当年实际!$F:$F,$C1158,当年实际!$C:$C,"&gt;="&amp;DATE(YEAR(主页!$D$2),1,1),当年实际!$C:$C,"&lt;="&amp;EOMONTH(DATE(YEAR(主页!$D$2),MONTH(主页!$D$2),1),0))/SUMIFS(当年实际!$P:$P,当年实际!$F:$F,$C1158,当年实际!$C:$C,"&gt;="&amp;DATE(YEAR(主页!$D$2),1,1),当年实际!$C:$C,"&lt;="&amp;EOMONTH(DATE(YEAR(主页!$D$2),MONTH(主页!$D$2),1),0)),"")</f>
        <v/>
      </c>
    </row>
    <row r="1159" spans="1:10" x14ac:dyDescent="0.3">
      <c r="A1159" s="150"/>
      <c r="B1159" s="150"/>
      <c r="C1159" s="150"/>
      <c r="D1159" s="150"/>
      <c r="E1159" s="140" t="str">
        <f t="shared" si="55"/>
        <v/>
      </c>
      <c r="F1159" s="159"/>
      <c r="G1159" s="145">
        <f t="shared" si="54"/>
        <v>0</v>
      </c>
      <c r="H1159" s="140" t="str">
        <f t="shared" si="56"/>
        <v/>
      </c>
      <c r="J1159" s="147" t="str">
        <f>IFERROR(SUMIFS(当年实际!$V:$V,当年实际!$F:$F,$C1159,当年实际!$C:$C,"&gt;="&amp;DATE(YEAR(主页!$D$2),1,1),当年实际!$C:$C,"&lt;="&amp;EOMONTH(DATE(YEAR(主页!$D$2),MONTH(主页!$D$2),1),0))/SUMIFS(当年实际!$P:$P,当年实际!$F:$F,$C1159,当年实际!$C:$C,"&gt;="&amp;DATE(YEAR(主页!$D$2),1,1),当年实际!$C:$C,"&lt;="&amp;EOMONTH(DATE(YEAR(主页!$D$2),MONTH(主页!$D$2),1),0)),"")</f>
        <v/>
      </c>
    </row>
    <row r="1160" spans="1:10" x14ac:dyDescent="0.3">
      <c r="A1160" s="150"/>
      <c r="B1160" s="150"/>
      <c r="C1160" s="150"/>
      <c r="D1160" s="150"/>
      <c r="E1160" s="140" t="str">
        <f t="shared" si="55"/>
        <v/>
      </c>
      <c r="F1160" s="159"/>
      <c r="G1160" s="145">
        <f t="shared" ref="G1160:G1200" si="57">D1160*F1160</f>
        <v>0</v>
      </c>
      <c r="H1160" s="140" t="str">
        <f t="shared" si="56"/>
        <v/>
      </c>
      <c r="J1160" s="147" t="str">
        <f>IFERROR(SUMIFS(当年实际!$V:$V,当年实际!$F:$F,$C1160,当年实际!$C:$C,"&gt;="&amp;DATE(YEAR(主页!$D$2),1,1),当年实际!$C:$C,"&lt;="&amp;EOMONTH(DATE(YEAR(主页!$D$2),MONTH(主页!$D$2),1),0))/SUMIFS(当年实际!$P:$P,当年实际!$F:$F,$C1160,当年实际!$C:$C,"&gt;="&amp;DATE(YEAR(主页!$D$2),1,1),当年实际!$C:$C,"&lt;="&amp;EOMONTH(DATE(YEAR(主页!$D$2),MONTH(主页!$D$2),1),0)),"")</f>
        <v/>
      </c>
    </row>
    <row r="1161" spans="1:10" x14ac:dyDescent="0.3">
      <c r="A1161" s="150"/>
      <c r="B1161" s="150"/>
      <c r="C1161" s="150"/>
      <c r="D1161" s="150"/>
      <c r="E1161" s="140" t="str">
        <f t="shared" si="55"/>
        <v/>
      </c>
      <c r="F1161" s="159"/>
      <c r="G1161" s="145">
        <f t="shared" si="57"/>
        <v>0</v>
      </c>
      <c r="H1161" s="140" t="str">
        <f t="shared" si="56"/>
        <v/>
      </c>
      <c r="J1161" s="147" t="str">
        <f>IFERROR(SUMIFS(当年实际!$V:$V,当年实际!$F:$F,$C1161,当年实际!$C:$C,"&gt;="&amp;DATE(YEAR(主页!$D$2),1,1),当年实际!$C:$C,"&lt;="&amp;EOMONTH(DATE(YEAR(主页!$D$2),MONTH(主页!$D$2),1),0))/SUMIFS(当年实际!$P:$P,当年实际!$F:$F,$C1161,当年实际!$C:$C,"&gt;="&amp;DATE(YEAR(主页!$D$2),1,1),当年实际!$C:$C,"&lt;="&amp;EOMONTH(DATE(YEAR(主页!$D$2),MONTH(主页!$D$2),1),0)),"")</f>
        <v/>
      </c>
    </row>
    <row r="1162" spans="1:10" x14ac:dyDescent="0.3">
      <c r="A1162" s="150"/>
      <c r="B1162" s="150"/>
      <c r="C1162" s="150"/>
      <c r="D1162" s="150"/>
      <c r="E1162" s="140" t="str">
        <f t="shared" si="55"/>
        <v/>
      </c>
      <c r="F1162" s="159"/>
      <c r="G1162" s="145">
        <f t="shared" si="57"/>
        <v>0</v>
      </c>
      <c r="H1162" s="140" t="str">
        <f t="shared" si="56"/>
        <v/>
      </c>
      <c r="J1162" s="147" t="str">
        <f>IFERROR(SUMIFS(当年实际!$V:$V,当年实际!$F:$F,$C1162,当年实际!$C:$C,"&gt;="&amp;DATE(YEAR(主页!$D$2),1,1),当年实际!$C:$C,"&lt;="&amp;EOMONTH(DATE(YEAR(主页!$D$2),MONTH(主页!$D$2),1),0))/SUMIFS(当年实际!$P:$P,当年实际!$F:$F,$C1162,当年实际!$C:$C,"&gt;="&amp;DATE(YEAR(主页!$D$2),1,1),当年实际!$C:$C,"&lt;="&amp;EOMONTH(DATE(YEAR(主页!$D$2),MONTH(主页!$D$2),1),0)),"")</f>
        <v/>
      </c>
    </row>
    <row r="1163" spans="1:10" x14ac:dyDescent="0.3">
      <c r="A1163" s="150"/>
      <c r="B1163" s="150"/>
      <c r="C1163" s="150"/>
      <c r="D1163" s="150"/>
      <c r="E1163" s="140" t="str">
        <f t="shared" si="55"/>
        <v/>
      </c>
      <c r="F1163" s="159"/>
      <c r="G1163" s="145">
        <f t="shared" si="57"/>
        <v>0</v>
      </c>
      <c r="H1163" s="140" t="str">
        <f t="shared" si="56"/>
        <v/>
      </c>
      <c r="J1163" s="147" t="str">
        <f>IFERROR(SUMIFS(当年实际!$V:$V,当年实际!$F:$F,$C1163,当年实际!$C:$C,"&gt;="&amp;DATE(YEAR(主页!$D$2),1,1),当年实际!$C:$C,"&lt;="&amp;EOMONTH(DATE(YEAR(主页!$D$2),MONTH(主页!$D$2),1),0))/SUMIFS(当年实际!$P:$P,当年实际!$F:$F,$C1163,当年实际!$C:$C,"&gt;="&amp;DATE(YEAR(主页!$D$2),1,1),当年实际!$C:$C,"&lt;="&amp;EOMONTH(DATE(YEAR(主页!$D$2),MONTH(主页!$D$2),1),0)),"")</f>
        <v/>
      </c>
    </row>
    <row r="1164" spans="1:10" x14ac:dyDescent="0.3">
      <c r="A1164" s="150"/>
      <c r="B1164" s="150"/>
      <c r="C1164" s="150"/>
      <c r="D1164" s="150"/>
      <c r="E1164" s="140" t="str">
        <f t="shared" si="55"/>
        <v/>
      </c>
      <c r="F1164" s="159"/>
      <c r="G1164" s="145">
        <f t="shared" si="57"/>
        <v>0</v>
      </c>
      <c r="H1164" s="140" t="str">
        <f t="shared" si="56"/>
        <v/>
      </c>
      <c r="J1164" s="147" t="str">
        <f>IFERROR(SUMIFS(当年实际!$V:$V,当年实际!$F:$F,$C1164,当年实际!$C:$C,"&gt;="&amp;DATE(YEAR(主页!$D$2),1,1),当年实际!$C:$C,"&lt;="&amp;EOMONTH(DATE(YEAR(主页!$D$2),MONTH(主页!$D$2),1),0))/SUMIFS(当年实际!$P:$P,当年实际!$F:$F,$C1164,当年实际!$C:$C,"&gt;="&amp;DATE(YEAR(主页!$D$2),1,1),当年实际!$C:$C,"&lt;="&amp;EOMONTH(DATE(YEAR(主页!$D$2),MONTH(主页!$D$2),1),0)),"")</f>
        <v/>
      </c>
    </row>
    <row r="1165" spans="1:10" x14ac:dyDescent="0.3">
      <c r="A1165" s="150"/>
      <c r="B1165" s="150"/>
      <c r="C1165" s="150"/>
      <c r="D1165" s="150"/>
      <c r="E1165" s="140" t="str">
        <f t="shared" si="55"/>
        <v/>
      </c>
      <c r="F1165" s="159"/>
      <c r="G1165" s="145">
        <f t="shared" si="57"/>
        <v>0</v>
      </c>
      <c r="H1165" s="140" t="str">
        <f t="shared" si="56"/>
        <v/>
      </c>
      <c r="J1165" s="147" t="str">
        <f>IFERROR(SUMIFS(当年实际!$V:$V,当年实际!$F:$F,$C1165,当年实际!$C:$C,"&gt;="&amp;DATE(YEAR(主页!$D$2),1,1),当年实际!$C:$C,"&lt;="&amp;EOMONTH(DATE(YEAR(主页!$D$2),MONTH(主页!$D$2),1),0))/SUMIFS(当年实际!$P:$P,当年实际!$F:$F,$C1165,当年实际!$C:$C,"&gt;="&amp;DATE(YEAR(主页!$D$2),1,1),当年实际!$C:$C,"&lt;="&amp;EOMONTH(DATE(YEAR(主页!$D$2),MONTH(主页!$D$2),1),0)),"")</f>
        <v/>
      </c>
    </row>
    <row r="1166" spans="1:10" x14ac:dyDescent="0.3">
      <c r="A1166" s="150"/>
      <c r="B1166" s="150"/>
      <c r="C1166" s="150"/>
      <c r="D1166" s="150"/>
      <c r="E1166" s="140" t="str">
        <f t="shared" si="55"/>
        <v/>
      </c>
      <c r="F1166" s="159"/>
      <c r="G1166" s="145">
        <f t="shared" si="57"/>
        <v>0</v>
      </c>
      <c r="H1166" s="140" t="str">
        <f t="shared" si="56"/>
        <v/>
      </c>
      <c r="J1166" s="147" t="str">
        <f>IFERROR(SUMIFS(当年实际!$V:$V,当年实际!$F:$F,$C1166,当年实际!$C:$C,"&gt;="&amp;DATE(YEAR(主页!$D$2),1,1),当年实际!$C:$C,"&lt;="&amp;EOMONTH(DATE(YEAR(主页!$D$2),MONTH(主页!$D$2),1),0))/SUMIFS(当年实际!$P:$P,当年实际!$F:$F,$C1166,当年实际!$C:$C,"&gt;="&amp;DATE(YEAR(主页!$D$2),1,1),当年实际!$C:$C,"&lt;="&amp;EOMONTH(DATE(YEAR(主页!$D$2),MONTH(主页!$D$2),1),0)),"")</f>
        <v/>
      </c>
    </row>
    <row r="1167" spans="1:10" x14ac:dyDescent="0.3">
      <c r="A1167" s="150"/>
      <c r="B1167" s="150"/>
      <c r="C1167" s="150"/>
      <c r="D1167" s="150"/>
      <c r="E1167" s="140" t="str">
        <f t="shared" si="55"/>
        <v/>
      </c>
      <c r="F1167" s="159"/>
      <c r="G1167" s="145">
        <f t="shared" si="57"/>
        <v>0</v>
      </c>
      <c r="H1167" s="140" t="str">
        <f t="shared" si="56"/>
        <v/>
      </c>
      <c r="J1167" s="147" t="str">
        <f>IFERROR(SUMIFS(当年实际!$V:$V,当年实际!$F:$F,$C1167,当年实际!$C:$C,"&gt;="&amp;DATE(YEAR(主页!$D$2),1,1),当年实际!$C:$C,"&lt;="&amp;EOMONTH(DATE(YEAR(主页!$D$2),MONTH(主页!$D$2),1),0))/SUMIFS(当年实际!$P:$P,当年实际!$F:$F,$C1167,当年实际!$C:$C,"&gt;="&amp;DATE(YEAR(主页!$D$2),1,1),当年实际!$C:$C,"&lt;="&amp;EOMONTH(DATE(YEAR(主页!$D$2),MONTH(主页!$D$2),1),0)),"")</f>
        <v/>
      </c>
    </row>
    <row r="1168" spans="1:10" x14ac:dyDescent="0.3">
      <c r="A1168" s="150"/>
      <c r="B1168" s="150"/>
      <c r="C1168" s="150"/>
      <c r="D1168" s="150"/>
      <c r="E1168" s="140" t="str">
        <f t="shared" si="55"/>
        <v/>
      </c>
      <c r="F1168" s="159"/>
      <c r="G1168" s="145">
        <f t="shared" si="57"/>
        <v>0</v>
      </c>
      <c r="H1168" s="140" t="str">
        <f t="shared" si="56"/>
        <v/>
      </c>
      <c r="J1168" s="147" t="str">
        <f>IFERROR(SUMIFS(当年实际!$V:$V,当年实际!$F:$F,$C1168,当年实际!$C:$C,"&gt;="&amp;DATE(YEAR(主页!$D$2),1,1),当年实际!$C:$C,"&lt;="&amp;EOMONTH(DATE(YEAR(主页!$D$2),MONTH(主页!$D$2),1),0))/SUMIFS(当年实际!$P:$P,当年实际!$F:$F,$C1168,当年实际!$C:$C,"&gt;="&amp;DATE(YEAR(主页!$D$2),1,1),当年实际!$C:$C,"&lt;="&amp;EOMONTH(DATE(YEAR(主页!$D$2),MONTH(主页!$D$2),1),0)),"")</f>
        <v/>
      </c>
    </row>
    <row r="1169" spans="1:10" x14ac:dyDescent="0.3">
      <c r="A1169" s="150"/>
      <c r="B1169" s="150"/>
      <c r="C1169" s="150"/>
      <c r="D1169" s="150"/>
      <c r="E1169" s="140" t="str">
        <f t="shared" si="55"/>
        <v/>
      </c>
      <c r="F1169" s="159"/>
      <c r="G1169" s="145">
        <f t="shared" si="57"/>
        <v>0</v>
      </c>
      <c r="H1169" s="140" t="str">
        <f t="shared" si="56"/>
        <v/>
      </c>
      <c r="J1169" s="147" t="str">
        <f>IFERROR(SUMIFS(当年实际!$V:$V,当年实际!$F:$F,$C1169,当年实际!$C:$C,"&gt;="&amp;DATE(YEAR(主页!$D$2),1,1),当年实际!$C:$C,"&lt;="&amp;EOMONTH(DATE(YEAR(主页!$D$2),MONTH(主页!$D$2),1),0))/SUMIFS(当年实际!$P:$P,当年实际!$F:$F,$C1169,当年实际!$C:$C,"&gt;="&amp;DATE(YEAR(主页!$D$2),1,1),当年实际!$C:$C,"&lt;="&amp;EOMONTH(DATE(YEAR(主页!$D$2),MONTH(主页!$D$2),1),0)),"")</f>
        <v/>
      </c>
    </row>
    <row r="1170" spans="1:10" x14ac:dyDescent="0.3">
      <c r="A1170" s="150"/>
      <c r="B1170" s="150"/>
      <c r="C1170" s="150"/>
      <c r="D1170" s="150"/>
      <c r="E1170" s="140" t="str">
        <f t="shared" si="55"/>
        <v/>
      </c>
      <c r="F1170" s="159"/>
      <c r="G1170" s="145">
        <f t="shared" si="57"/>
        <v>0</v>
      </c>
      <c r="H1170" s="140" t="str">
        <f t="shared" si="56"/>
        <v/>
      </c>
      <c r="J1170" s="147" t="str">
        <f>IFERROR(SUMIFS(当年实际!$V:$V,当年实际!$F:$F,$C1170,当年实际!$C:$C,"&gt;="&amp;DATE(YEAR(主页!$D$2),1,1),当年实际!$C:$C,"&lt;="&amp;EOMONTH(DATE(YEAR(主页!$D$2),MONTH(主页!$D$2),1),0))/SUMIFS(当年实际!$P:$P,当年实际!$F:$F,$C1170,当年实际!$C:$C,"&gt;="&amp;DATE(YEAR(主页!$D$2),1,1),当年实际!$C:$C,"&lt;="&amp;EOMONTH(DATE(YEAR(主页!$D$2),MONTH(主页!$D$2),1),0)),"")</f>
        <v/>
      </c>
    </row>
    <row r="1171" spans="1:10" x14ac:dyDescent="0.3">
      <c r="A1171" s="150"/>
      <c r="B1171" s="150"/>
      <c r="C1171" s="150"/>
      <c r="D1171" s="150"/>
      <c r="E1171" s="140" t="str">
        <f t="shared" si="55"/>
        <v/>
      </c>
      <c r="F1171" s="159"/>
      <c r="G1171" s="145">
        <f t="shared" si="57"/>
        <v>0</v>
      </c>
      <c r="H1171" s="140" t="str">
        <f t="shared" si="56"/>
        <v/>
      </c>
      <c r="J1171" s="147" t="str">
        <f>IFERROR(SUMIFS(当年实际!$V:$V,当年实际!$F:$F,$C1171,当年实际!$C:$C,"&gt;="&amp;DATE(YEAR(主页!$D$2),1,1),当年实际!$C:$C,"&lt;="&amp;EOMONTH(DATE(YEAR(主页!$D$2),MONTH(主页!$D$2),1),0))/SUMIFS(当年实际!$P:$P,当年实际!$F:$F,$C1171,当年实际!$C:$C,"&gt;="&amp;DATE(YEAR(主页!$D$2),1,1),当年实际!$C:$C,"&lt;="&amp;EOMONTH(DATE(YEAR(主页!$D$2),MONTH(主页!$D$2),1),0)),"")</f>
        <v/>
      </c>
    </row>
    <row r="1172" spans="1:10" x14ac:dyDescent="0.3">
      <c r="A1172" s="150"/>
      <c r="B1172" s="150"/>
      <c r="C1172" s="150"/>
      <c r="D1172" s="150"/>
      <c r="E1172" s="140" t="str">
        <f t="shared" si="55"/>
        <v/>
      </c>
      <c r="F1172" s="159"/>
      <c r="G1172" s="145">
        <f t="shared" si="57"/>
        <v>0</v>
      </c>
      <c r="H1172" s="140" t="str">
        <f t="shared" si="56"/>
        <v/>
      </c>
      <c r="J1172" s="147" t="str">
        <f>IFERROR(SUMIFS(当年实际!$V:$V,当年实际!$F:$F,$C1172,当年实际!$C:$C,"&gt;="&amp;DATE(YEAR(主页!$D$2),1,1),当年实际!$C:$C,"&lt;="&amp;EOMONTH(DATE(YEAR(主页!$D$2),MONTH(主页!$D$2),1),0))/SUMIFS(当年实际!$P:$P,当年实际!$F:$F,$C1172,当年实际!$C:$C,"&gt;="&amp;DATE(YEAR(主页!$D$2),1,1),当年实际!$C:$C,"&lt;="&amp;EOMONTH(DATE(YEAR(主页!$D$2),MONTH(主页!$D$2),1),0)),"")</f>
        <v/>
      </c>
    </row>
    <row r="1173" spans="1:10" x14ac:dyDescent="0.3">
      <c r="A1173" s="150"/>
      <c r="B1173" s="150"/>
      <c r="C1173" s="150"/>
      <c r="D1173" s="150"/>
      <c r="E1173" s="140" t="str">
        <f t="shared" si="55"/>
        <v/>
      </c>
      <c r="F1173" s="159"/>
      <c r="G1173" s="145">
        <f t="shared" si="57"/>
        <v>0</v>
      </c>
      <c r="H1173" s="140" t="str">
        <f t="shared" si="56"/>
        <v/>
      </c>
      <c r="J1173" s="147" t="str">
        <f>IFERROR(SUMIFS(当年实际!$V:$V,当年实际!$F:$F,$C1173,当年实际!$C:$C,"&gt;="&amp;DATE(YEAR(主页!$D$2),1,1),当年实际!$C:$C,"&lt;="&amp;EOMONTH(DATE(YEAR(主页!$D$2),MONTH(主页!$D$2),1),0))/SUMIFS(当年实际!$P:$P,当年实际!$F:$F,$C1173,当年实际!$C:$C,"&gt;="&amp;DATE(YEAR(主页!$D$2),1,1),当年实际!$C:$C,"&lt;="&amp;EOMONTH(DATE(YEAR(主页!$D$2),MONTH(主页!$D$2),1),0)),"")</f>
        <v/>
      </c>
    </row>
    <row r="1174" spans="1:10" x14ac:dyDescent="0.3">
      <c r="A1174" s="150"/>
      <c r="B1174" s="150"/>
      <c r="C1174" s="150"/>
      <c r="D1174" s="150"/>
      <c r="E1174" s="140" t="str">
        <f t="shared" si="55"/>
        <v/>
      </c>
      <c r="F1174" s="159"/>
      <c r="G1174" s="145">
        <f t="shared" si="57"/>
        <v>0</v>
      </c>
      <c r="H1174" s="140" t="str">
        <f t="shared" si="56"/>
        <v/>
      </c>
      <c r="J1174" s="147" t="str">
        <f>IFERROR(SUMIFS(当年实际!$V:$V,当年实际!$F:$F,$C1174,当年实际!$C:$C,"&gt;="&amp;DATE(YEAR(主页!$D$2),1,1),当年实际!$C:$C,"&lt;="&amp;EOMONTH(DATE(YEAR(主页!$D$2),MONTH(主页!$D$2),1),0))/SUMIFS(当年实际!$P:$P,当年实际!$F:$F,$C1174,当年实际!$C:$C,"&gt;="&amp;DATE(YEAR(主页!$D$2),1,1),当年实际!$C:$C,"&lt;="&amp;EOMONTH(DATE(YEAR(主页!$D$2),MONTH(主页!$D$2),1),0)),"")</f>
        <v/>
      </c>
    </row>
    <row r="1175" spans="1:10" x14ac:dyDescent="0.3">
      <c r="A1175" s="150"/>
      <c r="B1175" s="150"/>
      <c r="C1175" s="150"/>
      <c r="D1175" s="150"/>
      <c r="E1175" s="140" t="str">
        <f t="shared" si="55"/>
        <v/>
      </c>
      <c r="F1175" s="159"/>
      <c r="G1175" s="145">
        <f t="shared" si="57"/>
        <v>0</v>
      </c>
      <c r="H1175" s="140" t="str">
        <f t="shared" si="56"/>
        <v/>
      </c>
      <c r="J1175" s="147" t="str">
        <f>IFERROR(SUMIFS(当年实际!$V:$V,当年实际!$F:$F,$C1175,当年实际!$C:$C,"&gt;="&amp;DATE(YEAR(主页!$D$2),1,1),当年实际!$C:$C,"&lt;="&amp;EOMONTH(DATE(YEAR(主页!$D$2),MONTH(主页!$D$2),1),0))/SUMIFS(当年实际!$P:$P,当年实际!$F:$F,$C1175,当年实际!$C:$C,"&gt;="&amp;DATE(YEAR(主页!$D$2),1,1),当年实际!$C:$C,"&lt;="&amp;EOMONTH(DATE(YEAR(主页!$D$2),MONTH(主页!$D$2),1),0)),"")</f>
        <v/>
      </c>
    </row>
    <row r="1176" spans="1:10" x14ac:dyDescent="0.3">
      <c r="A1176" s="150"/>
      <c r="B1176" s="150"/>
      <c r="C1176" s="150"/>
      <c r="D1176" s="150"/>
      <c r="E1176" s="140" t="str">
        <f t="shared" si="55"/>
        <v/>
      </c>
      <c r="F1176" s="159"/>
      <c r="G1176" s="145">
        <f t="shared" si="57"/>
        <v>0</v>
      </c>
      <c r="H1176" s="140" t="str">
        <f t="shared" si="56"/>
        <v/>
      </c>
      <c r="J1176" s="147" t="str">
        <f>IFERROR(SUMIFS(当年实际!$V:$V,当年实际!$F:$F,$C1176,当年实际!$C:$C,"&gt;="&amp;DATE(YEAR(主页!$D$2),1,1),当年实际!$C:$C,"&lt;="&amp;EOMONTH(DATE(YEAR(主页!$D$2),MONTH(主页!$D$2),1),0))/SUMIFS(当年实际!$P:$P,当年实际!$F:$F,$C1176,当年实际!$C:$C,"&gt;="&amp;DATE(YEAR(主页!$D$2),1,1),当年实际!$C:$C,"&lt;="&amp;EOMONTH(DATE(YEAR(主页!$D$2),MONTH(主页!$D$2),1),0)),"")</f>
        <v/>
      </c>
    </row>
    <row r="1177" spans="1:10" x14ac:dyDescent="0.3">
      <c r="A1177" s="150"/>
      <c r="B1177" s="150"/>
      <c r="C1177" s="150"/>
      <c r="D1177" s="150"/>
      <c r="E1177" s="140" t="str">
        <f t="shared" si="55"/>
        <v/>
      </c>
      <c r="F1177" s="159"/>
      <c r="G1177" s="145">
        <f t="shared" si="57"/>
        <v>0</v>
      </c>
      <c r="H1177" s="140" t="str">
        <f t="shared" si="56"/>
        <v/>
      </c>
      <c r="J1177" s="147" t="str">
        <f>IFERROR(SUMIFS(当年实际!$V:$V,当年实际!$F:$F,$C1177,当年实际!$C:$C,"&gt;="&amp;DATE(YEAR(主页!$D$2),1,1),当年实际!$C:$C,"&lt;="&amp;EOMONTH(DATE(YEAR(主页!$D$2),MONTH(主页!$D$2),1),0))/SUMIFS(当年实际!$P:$P,当年实际!$F:$F,$C1177,当年实际!$C:$C,"&gt;="&amp;DATE(YEAR(主页!$D$2),1,1),当年实际!$C:$C,"&lt;="&amp;EOMONTH(DATE(YEAR(主页!$D$2),MONTH(主页!$D$2),1),0)),"")</f>
        <v/>
      </c>
    </row>
    <row r="1178" spans="1:10" x14ac:dyDescent="0.3">
      <c r="A1178" s="150"/>
      <c r="B1178" s="150"/>
      <c r="C1178" s="150"/>
      <c r="D1178" s="150"/>
      <c r="E1178" s="140" t="str">
        <f t="shared" si="55"/>
        <v/>
      </c>
      <c r="F1178" s="159"/>
      <c r="G1178" s="145">
        <f t="shared" si="57"/>
        <v>0</v>
      </c>
      <c r="H1178" s="140" t="str">
        <f t="shared" si="56"/>
        <v/>
      </c>
      <c r="J1178" s="147" t="str">
        <f>IFERROR(SUMIFS(当年实际!$V:$V,当年实际!$F:$F,$C1178,当年实际!$C:$C,"&gt;="&amp;DATE(YEAR(主页!$D$2),1,1),当年实际!$C:$C,"&lt;="&amp;EOMONTH(DATE(YEAR(主页!$D$2),MONTH(主页!$D$2),1),0))/SUMIFS(当年实际!$P:$P,当年实际!$F:$F,$C1178,当年实际!$C:$C,"&gt;="&amp;DATE(YEAR(主页!$D$2),1,1),当年实际!$C:$C,"&lt;="&amp;EOMONTH(DATE(YEAR(主页!$D$2),MONTH(主页!$D$2),1),0)),"")</f>
        <v/>
      </c>
    </row>
    <row r="1179" spans="1:10" x14ac:dyDescent="0.3">
      <c r="A1179" s="150"/>
      <c r="B1179" s="150"/>
      <c r="C1179" s="150"/>
      <c r="D1179" s="150"/>
      <c r="E1179" s="140" t="str">
        <f t="shared" si="55"/>
        <v/>
      </c>
      <c r="F1179" s="159"/>
      <c r="G1179" s="145">
        <f t="shared" si="57"/>
        <v>0</v>
      </c>
      <c r="H1179" s="140" t="str">
        <f t="shared" si="56"/>
        <v/>
      </c>
      <c r="J1179" s="147" t="str">
        <f>IFERROR(SUMIFS(当年实际!$V:$V,当年实际!$F:$F,$C1179,当年实际!$C:$C,"&gt;="&amp;DATE(YEAR(主页!$D$2),1,1),当年实际!$C:$C,"&lt;="&amp;EOMONTH(DATE(YEAR(主页!$D$2),MONTH(主页!$D$2),1),0))/SUMIFS(当年实际!$P:$P,当年实际!$F:$F,$C1179,当年实际!$C:$C,"&gt;="&amp;DATE(YEAR(主页!$D$2),1,1),当年实际!$C:$C,"&lt;="&amp;EOMONTH(DATE(YEAR(主页!$D$2),MONTH(主页!$D$2),1),0)),"")</f>
        <v/>
      </c>
    </row>
    <row r="1180" spans="1:10" x14ac:dyDescent="0.3">
      <c r="A1180" s="150"/>
      <c r="B1180" s="150"/>
      <c r="C1180" s="150"/>
      <c r="D1180" s="150"/>
      <c r="E1180" s="140" t="str">
        <f t="shared" si="55"/>
        <v/>
      </c>
      <c r="F1180" s="159"/>
      <c r="G1180" s="145">
        <f t="shared" si="57"/>
        <v>0</v>
      </c>
      <c r="H1180" s="140" t="str">
        <f t="shared" si="56"/>
        <v/>
      </c>
      <c r="J1180" s="147" t="str">
        <f>IFERROR(SUMIFS(当年实际!$V:$V,当年实际!$F:$F,$C1180,当年实际!$C:$C,"&gt;="&amp;DATE(YEAR(主页!$D$2),1,1),当年实际!$C:$C,"&lt;="&amp;EOMONTH(DATE(YEAR(主页!$D$2),MONTH(主页!$D$2),1),0))/SUMIFS(当年实际!$P:$P,当年实际!$F:$F,$C1180,当年实际!$C:$C,"&gt;="&amp;DATE(YEAR(主页!$D$2),1,1),当年实际!$C:$C,"&lt;="&amp;EOMONTH(DATE(YEAR(主页!$D$2),MONTH(主页!$D$2),1),0)),"")</f>
        <v/>
      </c>
    </row>
    <row r="1181" spans="1:10" x14ac:dyDescent="0.3">
      <c r="A1181" s="150"/>
      <c r="B1181" s="150"/>
      <c r="C1181" s="150"/>
      <c r="D1181" s="150"/>
      <c r="E1181" s="140" t="str">
        <f t="shared" si="55"/>
        <v/>
      </c>
      <c r="F1181" s="159"/>
      <c r="G1181" s="145">
        <f t="shared" si="57"/>
        <v>0</v>
      </c>
      <c r="H1181" s="140" t="str">
        <f t="shared" si="56"/>
        <v/>
      </c>
      <c r="J1181" s="147" t="str">
        <f>IFERROR(SUMIFS(当年实际!$V:$V,当年实际!$F:$F,$C1181,当年实际!$C:$C,"&gt;="&amp;DATE(YEAR(主页!$D$2),1,1),当年实际!$C:$C,"&lt;="&amp;EOMONTH(DATE(YEAR(主页!$D$2),MONTH(主页!$D$2),1),0))/SUMIFS(当年实际!$P:$P,当年实际!$F:$F,$C1181,当年实际!$C:$C,"&gt;="&amp;DATE(YEAR(主页!$D$2),1,1),当年实际!$C:$C,"&lt;="&amp;EOMONTH(DATE(YEAR(主页!$D$2),MONTH(主页!$D$2),1),0)),"")</f>
        <v/>
      </c>
    </row>
    <row r="1182" spans="1:10" x14ac:dyDescent="0.3">
      <c r="A1182" s="150"/>
      <c r="B1182" s="150"/>
      <c r="C1182" s="150"/>
      <c r="D1182" s="150"/>
      <c r="E1182" s="140" t="str">
        <f t="shared" si="55"/>
        <v/>
      </c>
      <c r="F1182" s="159"/>
      <c r="G1182" s="145">
        <f t="shared" si="57"/>
        <v>0</v>
      </c>
      <c r="H1182" s="140" t="str">
        <f t="shared" si="56"/>
        <v/>
      </c>
      <c r="J1182" s="147" t="str">
        <f>IFERROR(SUMIFS(当年实际!$V:$V,当年实际!$F:$F,$C1182,当年实际!$C:$C,"&gt;="&amp;DATE(YEAR(主页!$D$2),1,1),当年实际!$C:$C,"&lt;="&amp;EOMONTH(DATE(YEAR(主页!$D$2),MONTH(主页!$D$2),1),0))/SUMIFS(当年实际!$P:$P,当年实际!$F:$F,$C1182,当年实际!$C:$C,"&gt;="&amp;DATE(YEAR(主页!$D$2),1,1),当年实际!$C:$C,"&lt;="&amp;EOMONTH(DATE(YEAR(主页!$D$2),MONTH(主页!$D$2),1),0)),"")</f>
        <v/>
      </c>
    </row>
    <row r="1183" spans="1:10" x14ac:dyDescent="0.3">
      <c r="A1183" s="150"/>
      <c r="B1183" s="150"/>
      <c r="C1183" s="150"/>
      <c r="D1183" s="150"/>
      <c r="E1183" s="140" t="str">
        <f t="shared" si="55"/>
        <v/>
      </c>
      <c r="F1183" s="159"/>
      <c r="G1183" s="145">
        <f t="shared" si="57"/>
        <v>0</v>
      </c>
      <c r="H1183" s="140" t="str">
        <f t="shared" si="56"/>
        <v/>
      </c>
      <c r="J1183" s="147" t="str">
        <f>IFERROR(SUMIFS(当年实际!$V:$V,当年实际!$F:$F,$C1183,当年实际!$C:$C,"&gt;="&amp;DATE(YEAR(主页!$D$2),1,1),当年实际!$C:$C,"&lt;="&amp;EOMONTH(DATE(YEAR(主页!$D$2),MONTH(主页!$D$2),1),0))/SUMIFS(当年实际!$P:$P,当年实际!$F:$F,$C1183,当年实际!$C:$C,"&gt;="&amp;DATE(YEAR(主页!$D$2),1,1),当年实际!$C:$C,"&lt;="&amp;EOMONTH(DATE(YEAR(主页!$D$2),MONTH(主页!$D$2),1),0)),"")</f>
        <v/>
      </c>
    </row>
    <row r="1184" spans="1:10" x14ac:dyDescent="0.3">
      <c r="A1184" s="150"/>
      <c r="B1184" s="150"/>
      <c r="C1184" s="150"/>
      <c r="D1184" s="150"/>
      <c r="E1184" s="140" t="str">
        <f t="shared" si="55"/>
        <v/>
      </c>
      <c r="F1184" s="159"/>
      <c r="G1184" s="145">
        <f t="shared" si="57"/>
        <v>0</v>
      </c>
      <c r="H1184" s="140" t="str">
        <f t="shared" si="56"/>
        <v/>
      </c>
      <c r="J1184" s="147" t="str">
        <f>IFERROR(SUMIFS(当年实际!$V:$V,当年实际!$F:$F,$C1184,当年实际!$C:$C,"&gt;="&amp;DATE(YEAR(主页!$D$2),1,1),当年实际!$C:$C,"&lt;="&amp;EOMONTH(DATE(YEAR(主页!$D$2),MONTH(主页!$D$2),1),0))/SUMIFS(当年实际!$P:$P,当年实际!$F:$F,$C1184,当年实际!$C:$C,"&gt;="&amp;DATE(YEAR(主页!$D$2),1,1),当年实际!$C:$C,"&lt;="&amp;EOMONTH(DATE(YEAR(主页!$D$2),MONTH(主页!$D$2),1),0)),"")</f>
        <v/>
      </c>
    </row>
    <row r="1185" spans="1:10" x14ac:dyDescent="0.3">
      <c r="A1185" s="150"/>
      <c r="B1185" s="150"/>
      <c r="C1185" s="150"/>
      <c r="D1185" s="150"/>
      <c r="E1185" s="140" t="str">
        <f t="shared" si="55"/>
        <v/>
      </c>
      <c r="F1185" s="159"/>
      <c r="G1185" s="145">
        <f t="shared" si="57"/>
        <v>0</v>
      </c>
      <c r="H1185" s="140" t="str">
        <f t="shared" si="56"/>
        <v/>
      </c>
      <c r="J1185" s="147" t="str">
        <f>IFERROR(SUMIFS(当年实际!$V:$V,当年实际!$F:$F,$C1185,当年实际!$C:$C,"&gt;="&amp;DATE(YEAR(主页!$D$2),1,1),当年实际!$C:$C,"&lt;="&amp;EOMONTH(DATE(YEAR(主页!$D$2),MONTH(主页!$D$2),1),0))/SUMIFS(当年实际!$P:$P,当年实际!$F:$F,$C1185,当年实际!$C:$C,"&gt;="&amp;DATE(YEAR(主页!$D$2),1,1),当年实际!$C:$C,"&lt;="&amp;EOMONTH(DATE(YEAR(主页!$D$2),MONTH(主页!$D$2),1),0)),"")</f>
        <v/>
      </c>
    </row>
    <row r="1186" spans="1:10" x14ac:dyDescent="0.3">
      <c r="A1186" s="150"/>
      <c r="B1186" s="150"/>
      <c r="C1186" s="150"/>
      <c r="D1186" s="150"/>
      <c r="E1186" s="140" t="str">
        <f t="shared" si="55"/>
        <v/>
      </c>
      <c r="F1186" s="159"/>
      <c r="G1186" s="145">
        <f t="shared" si="57"/>
        <v>0</v>
      </c>
      <c r="H1186" s="140" t="str">
        <f t="shared" si="56"/>
        <v/>
      </c>
      <c r="J1186" s="147" t="str">
        <f>IFERROR(SUMIFS(当年实际!$V:$V,当年实际!$F:$F,$C1186,当年实际!$C:$C,"&gt;="&amp;DATE(YEAR(主页!$D$2),1,1),当年实际!$C:$C,"&lt;="&amp;EOMONTH(DATE(YEAR(主页!$D$2),MONTH(主页!$D$2),1),0))/SUMIFS(当年实际!$P:$P,当年实际!$F:$F,$C1186,当年实际!$C:$C,"&gt;="&amp;DATE(YEAR(主页!$D$2),1,1),当年实际!$C:$C,"&lt;="&amp;EOMONTH(DATE(YEAR(主页!$D$2),MONTH(主页!$D$2),1),0)),"")</f>
        <v/>
      </c>
    </row>
    <row r="1187" spans="1:10" x14ac:dyDescent="0.3">
      <c r="A1187" s="150"/>
      <c r="B1187" s="150"/>
      <c r="C1187" s="150"/>
      <c r="D1187" s="150"/>
      <c r="E1187" s="140" t="str">
        <f t="shared" si="55"/>
        <v/>
      </c>
      <c r="F1187" s="159"/>
      <c r="G1187" s="145">
        <f t="shared" si="57"/>
        <v>0</v>
      </c>
      <c r="H1187" s="140" t="str">
        <f t="shared" si="56"/>
        <v/>
      </c>
      <c r="J1187" s="147" t="str">
        <f>IFERROR(SUMIFS(当年实际!$V:$V,当年实际!$F:$F,$C1187,当年实际!$C:$C,"&gt;="&amp;DATE(YEAR(主页!$D$2),1,1),当年实际!$C:$C,"&lt;="&amp;EOMONTH(DATE(YEAR(主页!$D$2),MONTH(主页!$D$2),1),0))/SUMIFS(当年实际!$P:$P,当年实际!$F:$F,$C1187,当年实际!$C:$C,"&gt;="&amp;DATE(YEAR(主页!$D$2),1,1),当年实际!$C:$C,"&lt;="&amp;EOMONTH(DATE(YEAR(主页!$D$2),MONTH(主页!$D$2),1),0)),"")</f>
        <v/>
      </c>
    </row>
    <row r="1188" spans="1:10" x14ac:dyDescent="0.3">
      <c r="A1188" s="150"/>
      <c r="B1188" s="150"/>
      <c r="C1188" s="150"/>
      <c r="D1188" s="150"/>
      <c r="E1188" s="140" t="str">
        <f t="shared" si="55"/>
        <v/>
      </c>
      <c r="F1188" s="159"/>
      <c r="G1188" s="145">
        <f t="shared" si="57"/>
        <v>0</v>
      </c>
      <c r="H1188" s="140" t="str">
        <f t="shared" si="56"/>
        <v/>
      </c>
      <c r="J1188" s="147" t="str">
        <f>IFERROR(SUMIFS(当年实际!$V:$V,当年实际!$F:$F,$C1188,当年实际!$C:$C,"&gt;="&amp;DATE(YEAR(主页!$D$2),1,1),当年实际!$C:$C,"&lt;="&amp;EOMONTH(DATE(YEAR(主页!$D$2),MONTH(主页!$D$2),1),0))/SUMIFS(当年实际!$P:$P,当年实际!$F:$F,$C1188,当年实际!$C:$C,"&gt;="&amp;DATE(YEAR(主页!$D$2),1,1),当年实际!$C:$C,"&lt;="&amp;EOMONTH(DATE(YEAR(主页!$D$2),MONTH(主页!$D$2),1),0)),"")</f>
        <v/>
      </c>
    </row>
    <row r="1189" spans="1:10" x14ac:dyDescent="0.3">
      <c r="A1189" s="150"/>
      <c r="B1189" s="150"/>
      <c r="C1189" s="150"/>
      <c r="D1189" s="150"/>
      <c r="E1189" s="140" t="str">
        <f t="shared" si="55"/>
        <v/>
      </c>
      <c r="F1189" s="159"/>
      <c r="G1189" s="145">
        <f t="shared" si="57"/>
        <v>0</v>
      </c>
      <c r="H1189" s="140" t="str">
        <f t="shared" si="56"/>
        <v/>
      </c>
      <c r="J1189" s="147" t="str">
        <f>IFERROR(SUMIFS(当年实际!$V:$V,当年实际!$F:$F,$C1189,当年实际!$C:$C,"&gt;="&amp;DATE(YEAR(主页!$D$2),1,1),当年实际!$C:$C,"&lt;="&amp;EOMONTH(DATE(YEAR(主页!$D$2),MONTH(主页!$D$2),1),0))/SUMIFS(当年实际!$P:$P,当年实际!$F:$F,$C1189,当年实际!$C:$C,"&gt;="&amp;DATE(YEAR(主页!$D$2),1,1),当年实际!$C:$C,"&lt;="&amp;EOMONTH(DATE(YEAR(主页!$D$2),MONTH(主页!$D$2),1),0)),"")</f>
        <v/>
      </c>
    </row>
    <row r="1190" spans="1:10" x14ac:dyDescent="0.3">
      <c r="A1190" s="150"/>
      <c r="B1190" s="150"/>
      <c r="C1190" s="150"/>
      <c r="D1190" s="150"/>
      <c r="E1190" s="140" t="str">
        <f t="shared" si="55"/>
        <v/>
      </c>
      <c r="F1190" s="159"/>
      <c r="G1190" s="145">
        <f t="shared" si="57"/>
        <v>0</v>
      </c>
      <c r="H1190" s="140" t="str">
        <f t="shared" si="56"/>
        <v/>
      </c>
      <c r="J1190" s="147" t="str">
        <f>IFERROR(SUMIFS(当年实际!$V:$V,当年实际!$F:$F,$C1190,当年实际!$C:$C,"&gt;="&amp;DATE(YEAR(主页!$D$2),1,1),当年实际!$C:$C,"&lt;="&amp;EOMONTH(DATE(YEAR(主页!$D$2),MONTH(主页!$D$2),1),0))/SUMIFS(当年实际!$P:$P,当年实际!$F:$F,$C1190,当年实际!$C:$C,"&gt;="&amp;DATE(YEAR(主页!$D$2),1,1),当年实际!$C:$C,"&lt;="&amp;EOMONTH(DATE(YEAR(主页!$D$2),MONTH(主页!$D$2),1),0)),"")</f>
        <v/>
      </c>
    </row>
    <row r="1191" spans="1:10" x14ac:dyDescent="0.3">
      <c r="A1191" s="150"/>
      <c r="B1191" s="150"/>
      <c r="C1191" s="150"/>
      <c r="D1191" s="150"/>
      <c r="E1191" s="140" t="str">
        <f t="shared" si="55"/>
        <v/>
      </c>
      <c r="F1191" s="159"/>
      <c r="G1191" s="145">
        <f t="shared" si="57"/>
        <v>0</v>
      </c>
      <c r="H1191" s="140" t="str">
        <f t="shared" si="56"/>
        <v/>
      </c>
      <c r="J1191" s="147" t="str">
        <f>IFERROR(SUMIFS(当年实际!$V:$V,当年实际!$F:$F,$C1191,当年实际!$C:$C,"&gt;="&amp;DATE(YEAR(主页!$D$2),1,1),当年实际!$C:$C,"&lt;="&amp;EOMONTH(DATE(YEAR(主页!$D$2),MONTH(主页!$D$2),1),0))/SUMIFS(当年实际!$P:$P,当年实际!$F:$F,$C1191,当年实际!$C:$C,"&gt;="&amp;DATE(YEAR(主页!$D$2),1,1),当年实际!$C:$C,"&lt;="&amp;EOMONTH(DATE(YEAR(主页!$D$2),MONTH(主页!$D$2),1),0)),"")</f>
        <v/>
      </c>
    </row>
    <row r="1192" spans="1:10" x14ac:dyDescent="0.3">
      <c r="A1192" s="150"/>
      <c r="B1192" s="150"/>
      <c r="C1192" s="150"/>
      <c r="D1192" s="150"/>
      <c r="E1192" s="140" t="str">
        <f t="shared" si="55"/>
        <v/>
      </c>
      <c r="F1192" s="159"/>
      <c r="G1192" s="145">
        <f t="shared" si="57"/>
        <v>0</v>
      </c>
      <c r="H1192" s="140" t="str">
        <f t="shared" si="56"/>
        <v/>
      </c>
      <c r="J1192" s="147" t="str">
        <f>IFERROR(SUMIFS(当年实际!$V:$V,当年实际!$F:$F,$C1192,当年实际!$C:$C,"&gt;="&amp;DATE(YEAR(主页!$D$2),1,1),当年实际!$C:$C,"&lt;="&amp;EOMONTH(DATE(YEAR(主页!$D$2),MONTH(主页!$D$2),1),0))/SUMIFS(当年实际!$P:$P,当年实际!$F:$F,$C1192,当年实际!$C:$C,"&gt;="&amp;DATE(YEAR(主页!$D$2),1,1),当年实际!$C:$C,"&lt;="&amp;EOMONTH(DATE(YEAR(主页!$D$2),MONTH(主页!$D$2),1),0)),"")</f>
        <v/>
      </c>
    </row>
    <row r="1193" spans="1:10" x14ac:dyDescent="0.3">
      <c r="A1193" s="150"/>
      <c r="B1193" s="150"/>
      <c r="C1193" s="150"/>
      <c r="D1193" s="150"/>
      <c r="E1193" s="140" t="str">
        <f t="shared" si="55"/>
        <v/>
      </c>
      <c r="F1193" s="159"/>
      <c r="G1193" s="145">
        <f t="shared" si="57"/>
        <v>0</v>
      </c>
      <c r="H1193" s="140" t="str">
        <f t="shared" si="56"/>
        <v/>
      </c>
      <c r="J1193" s="147" t="str">
        <f>IFERROR(SUMIFS(当年实际!$V:$V,当年实际!$F:$F,$C1193,当年实际!$C:$C,"&gt;="&amp;DATE(YEAR(主页!$D$2),1,1),当年实际!$C:$C,"&lt;="&amp;EOMONTH(DATE(YEAR(主页!$D$2),MONTH(主页!$D$2),1),0))/SUMIFS(当年实际!$P:$P,当年实际!$F:$F,$C1193,当年实际!$C:$C,"&gt;="&amp;DATE(YEAR(主页!$D$2),1,1),当年实际!$C:$C,"&lt;="&amp;EOMONTH(DATE(YEAR(主页!$D$2),MONTH(主页!$D$2),1),0)),"")</f>
        <v/>
      </c>
    </row>
    <row r="1194" spans="1:10" x14ac:dyDescent="0.3">
      <c r="A1194" s="150"/>
      <c r="B1194" s="150"/>
      <c r="C1194" s="150"/>
      <c r="D1194" s="150"/>
      <c r="E1194" s="140" t="str">
        <f t="shared" si="55"/>
        <v/>
      </c>
      <c r="F1194" s="159"/>
      <c r="G1194" s="145">
        <f t="shared" si="57"/>
        <v>0</v>
      </c>
      <c r="H1194" s="140" t="str">
        <f t="shared" si="56"/>
        <v/>
      </c>
      <c r="J1194" s="147" t="str">
        <f>IFERROR(SUMIFS(当年实际!$V:$V,当年实际!$F:$F,$C1194,当年实际!$C:$C,"&gt;="&amp;DATE(YEAR(主页!$D$2),1,1),当年实际!$C:$C,"&lt;="&amp;EOMONTH(DATE(YEAR(主页!$D$2),MONTH(主页!$D$2),1),0))/SUMIFS(当年实际!$P:$P,当年实际!$F:$F,$C1194,当年实际!$C:$C,"&gt;="&amp;DATE(YEAR(主页!$D$2),1,1),当年实际!$C:$C,"&lt;="&amp;EOMONTH(DATE(YEAR(主页!$D$2),MONTH(主页!$D$2),1),0)),"")</f>
        <v/>
      </c>
    </row>
    <row r="1195" spans="1:10" x14ac:dyDescent="0.3">
      <c r="A1195" s="150"/>
      <c r="B1195" s="150"/>
      <c r="C1195" s="150"/>
      <c r="D1195" s="150"/>
      <c r="E1195" s="140" t="str">
        <f t="shared" si="55"/>
        <v/>
      </c>
      <c r="F1195" s="159"/>
      <c r="G1195" s="145">
        <f t="shared" si="57"/>
        <v>0</v>
      </c>
      <c r="H1195" s="140" t="str">
        <f t="shared" si="56"/>
        <v/>
      </c>
      <c r="J1195" s="147" t="str">
        <f>IFERROR(SUMIFS(当年实际!$V:$V,当年实际!$F:$F,$C1195,当年实际!$C:$C,"&gt;="&amp;DATE(YEAR(主页!$D$2),1,1),当年实际!$C:$C,"&lt;="&amp;EOMONTH(DATE(YEAR(主页!$D$2),MONTH(主页!$D$2),1),0))/SUMIFS(当年实际!$P:$P,当年实际!$F:$F,$C1195,当年实际!$C:$C,"&gt;="&amp;DATE(YEAR(主页!$D$2),1,1),当年实际!$C:$C,"&lt;="&amp;EOMONTH(DATE(YEAR(主页!$D$2),MONTH(主页!$D$2),1),0)),"")</f>
        <v/>
      </c>
    </row>
    <row r="1196" spans="1:10" x14ac:dyDescent="0.3">
      <c r="A1196" s="150"/>
      <c r="B1196" s="150"/>
      <c r="C1196" s="150"/>
      <c r="D1196" s="150"/>
      <c r="E1196" s="140" t="str">
        <f t="shared" si="55"/>
        <v/>
      </c>
      <c r="F1196" s="159"/>
      <c r="G1196" s="145">
        <f t="shared" si="57"/>
        <v>0</v>
      </c>
      <c r="H1196" s="140" t="str">
        <f t="shared" si="56"/>
        <v/>
      </c>
      <c r="J1196" s="147" t="str">
        <f>IFERROR(SUMIFS(当年实际!$V:$V,当年实际!$F:$F,$C1196,当年实际!$C:$C,"&gt;="&amp;DATE(YEAR(主页!$D$2),1,1),当年实际!$C:$C,"&lt;="&amp;EOMONTH(DATE(YEAR(主页!$D$2),MONTH(主页!$D$2),1),0))/SUMIFS(当年实际!$P:$P,当年实际!$F:$F,$C1196,当年实际!$C:$C,"&gt;="&amp;DATE(YEAR(主页!$D$2),1,1),当年实际!$C:$C,"&lt;="&amp;EOMONTH(DATE(YEAR(主页!$D$2),MONTH(主页!$D$2),1),0)),"")</f>
        <v/>
      </c>
    </row>
    <row r="1197" spans="1:10" x14ac:dyDescent="0.3">
      <c r="A1197" s="150"/>
      <c r="B1197" s="150"/>
      <c r="C1197" s="150"/>
      <c r="D1197" s="150"/>
      <c r="E1197" s="140" t="str">
        <f t="shared" si="55"/>
        <v/>
      </c>
      <c r="F1197" s="159"/>
      <c r="G1197" s="145">
        <f t="shared" si="57"/>
        <v>0</v>
      </c>
      <c r="H1197" s="140" t="str">
        <f t="shared" si="56"/>
        <v/>
      </c>
      <c r="J1197" s="147" t="str">
        <f>IFERROR(SUMIFS(当年实际!$V:$V,当年实际!$F:$F,$C1197,当年实际!$C:$C,"&gt;="&amp;DATE(YEAR(主页!$D$2),1,1),当年实际!$C:$C,"&lt;="&amp;EOMONTH(DATE(YEAR(主页!$D$2),MONTH(主页!$D$2),1),0))/SUMIFS(当年实际!$P:$P,当年实际!$F:$F,$C1197,当年实际!$C:$C,"&gt;="&amp;DATE(YEAR(主页!$D$2),1,1),当年实际!$C:$C,"&lt;="&amp;EOMONTH(DATE(YEAR(主页!$D$2),MONTH(主页!$D$2),1),0)),"")</f>
        <v/>
      </c>
    </row>
    <row r="1198" spans="1:10" x14ac:dyDescent="0.3">
      <c r="A1198" s="150"/>
      <c r="B1198" s="150"/>
      <c r="C1198" s="150"/>
      <c r="D1198" s="150"/>
      <c r="E1198" s="140" t="str">
        <f t="shared" si="55"/>
        <v/>
      </c>
      <c r="F1198" s="159"/>
      <c r="G1198" s="145">
        <f t="shared" si="57"/>
        <v>0</v>
      </c>
      <c r="H1198" s="140" t="str">
        <f t="shared" si="56"/>
        <v/>
      </c>
      <c r="J1198" s="147" t="str">
        <f>IFERROR(SUMIFS(当年实际!$V:$V,当年实际!$F:$F,$C1198,当年实际!$C:$C,"&gt;="&amp;DATE(YEAR(主页!$D$2),1,1),当年实际!$C:$C,"&lt;="&amp;EOMONTH(DATE(YEAR(主页!$D$2),MONTH(主页!$D$2),1),0))/SUMIFS(当年实际!$P:$P,当年实际!$F:$F,$C1198,当年实际!$C:$C,"&gt;="&amp;DATE(YEAR(主页!$D$2),1,1),当年实际!$C:$C,"&lt;="&amp;EOMONTH(DATE(YEAR(主页!$D$2),MONTH(主页!$D$2),1),0)),"")</f>
        <v/>
      </c>
    </row>
    <row r="1199" spans="1:10" x14ac:dyDescent="0.3">
      <c r="A1199" s="150"/>
      <c r="B1199" s="150"/>
      <c r="C1199" s="150"/>
      <c r="D1199" s="150"/>
      <c r="E1199" s="140" t="str">
        <f t="shared" si="55"/>
        <v/>
      </c>
      <c r="F1199" s="159"/>
      <c r="G1199" s="145">
        <f t="shared" si="57"/>
        <v>0</v>
      </c>
      <c r="H1199" s="140" t="str">
        <f t="shared" si="56"/>
        <v/>
      </c>
      <c r="J1199" s="147" t="str">
        <f>IFERROR(SUMIFS(当年实际!$V:$V,当年实际!$F:$F,$C1199,当年实际!$C:$C,"&gt;="&amp;DATE(YEAR(主页!$D$2),1,1),当年实际!$C:$C,"&lt;="&amp;EOMONTH(DATE(YEAR(主页!$D$2),MONTH(主页!$D$2),1),0))/SUMIFS(当年实际!$P:$P,当年实际!$F:$F,$C1199,当年实际!$C:$C,"&gt;="&amp;DATE(YEAR(主页!$D$2),1,1),当年实际!$C:$C,"&lt;="&amp;EOMONTH(DATE(YEAR(主页!$D$2),MONTH(主页!$D$2),1),0)),"")</f>
        <v/>
      </c>
    </row>
    <row r="1200" spans="1:10" x14ac:dyDescent="0.3">
      <c r="A1200" s="150"/>
      <c r="B1200" s="150"/>
      <c r="C1200" s="150"/>
      <c r="D1200" s="150"/>
      <c r="E1200" s="140" t="str">
        <f t="shared" si="55"/>
        <v/>
      </c>
      <c r="F1200" s="159"/>
      <c r="G1200" s="145">
        <f t="shared" si="57"/>
        <v>0</v>
      </c>
      <c r="H1200" s="140" t="str">
        <f t="shared" si="56"/>
        <v/>
      </c>
      <c r="J1200" s="147" t="str">
        <f>IFERROR(SUMIFS(当年实际!$V:$V,当年实际!$F:$F,$C1200,当年实际!$C:$C,"&gt;="&amp;DATE(YEAR(主页!$D$2),1,1),当年实际!$C:$C,"&lt;="&amp;EOMONTH(DATE(YEAR(主页!$D$2),MONTH(主页!$D$2),1),0))/SUMIFS(当年实际!$P:$P,当年实际!$F:$F,$C1200,当年实际!$C:$C,"&gt;="&amp;DATE(YEAR(主页!$D$2),1,1),当年实际!$C:$C,"&lt;="&amp;EOMONTH(DATE(YEAR(主页!$D$2),MONTH(主页!$D$2),1),0)),"")</f>
        <v/>
      </c>
    </row>
  </sheetData>
  <sheetProtection formatCells="0" formatColumns="0" formatRows="0" insertRows="0" insertHyperlinks="0" deleteRows="0" sort="0" autoFilter="0" pivotTables="0"/>
  <mergeCells count="3">
    <mergeCell ref="A1:A2"/>
    <mergeCell ref="B1:B2"/>
    <mergeCell ref="C1:C2"/>
  </mergeCells>
  <phoneticPr fontId="3" type="noConversion"/>
  <hyperlinks>
    <hyperlink ref="L1" location="主页!A1" display="主页!A1" xr:uid="{CE5F42C5-813C-4023-AA1C-F0295CA6B39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6E3-F243-453D-B147-6C280C4AD483}">
  <dimension ref="A1:K8"/>
  <sheetViews>
    <sheetView workbookViewId="0">
      <selection activeCell="K1" sqref="K1"/>
    </sheetView>
  </sheetViews>
  <sheetFormatPr defaultRowHeight="14" x14ac:dyDescent="0.3"/>
  <cols>
    <col min="7" max="7" width="11.6640625" bestFit="1" customWidth="1"/>
    <col min="8" max="8" width="16.08203125" bestFit="1" customWidth="1"/>
  </cols>
  <sheetData>
    <row r="1" spans="1:11" x14ac:dyDescent="0.3">
      <c r="A1" s="3" t="s">
        <v>19</v>
      </c>
      <c r="B1" s="2" t="s">
        <v>18</v>
      </c>
      <c r="C1" s="2" t="s">
        <v>17</v>
      </c>
      <c r="D1" s="2" t="s">
        <v>89</v>
      </c>
      <c r="E1" s="2" t="s">
        <v>162</v>
      </c>
      <c r="F1" s="2" t="s">
        <v>163</v>
      </c>
      <c r="G1" s="2" t="s">
        <v>165</v>
      </c>
      <c r="H1" s="2" t="s">
        <v>164</v>
      </c>
      <c r="I1" s="2" t="s">
        <v>166</v>
      </c>
      <c r="K1" s="121" t="s">
        <v>197</v>
      </c>
    </row>
    <row r="2" spans="1:11" x14ac:dyDescent="0.3">
      <c r="A2" t="s">
        <v>58</v>
      </c>
      <c r="B2" t="s">
        <v>61</v>
      </c>
      <c r="C2" t="s">
        <v>6</v>
      </c>
      <c r="D2" t="s">
        <v>91</v>
      </c>
      <c r="E2">
        <v>13</v>
      </c>
      <c r="I2" s="160">
        <f t="shared" ref="I2:I4" si="0">SUM(E2:H2)</f>
        <v>13</v>
      </c>
    </row>
    <row r="3" spans="1:11" x14ac:dyDescent="0.3">
      <c r="A3" t="s">
        <v>59</v>
      </c>
      <c r="B3" t="s">
        <v>62</v>
      </c>
      <c r="C3" t="s">
        <v>3</v>
      </c>
      <c r="D3" t="s">
        <v>93</v>
      </c>
      <c r="F3">
        <v>10</v>
      </c>
      <c r="G3">
        <v>1</v>
      </c>
      <c r="H3">
        <v>2</v>
      </c>
      <c r="I3" s="160">
        <f t="shared" si="0"/>
        <v>13</v>
      </c>
    </row>
    <row r="4" spans="1:11" x14ac:dyDescent="0.3">
      <c r="A4" t="s">
        <v>60</v>
      </c>
      <c r="B4" t="s">
        <v>63</v>
      </c>
      <c r="C4" t="s">
        <v>0</v>
      </c>
      <c r="D4" t="s">
        <v>93</v>
      </c>
      <c r="F4">
        <v>5</v>
      </c>
      <c r="G4">
        <v>1</v>
      </c>
      <c r="H4">
        <v>3</v>
      </c>
      <c r="I4" s="160">
        <f t="shared" si="0"/>
        <v>9</v>
      </c>
    </row>
    <row r="5" spans="1:11" x14ac:dyDescent="0.3">
      <c r="A5" t="s">
        <v>58</v>
      </c>
      <c r="B5" t="s">
        <v>61</v>
      </c>
      <c r="C5" t="s">
        <v>6</v>
      </c>
      <c r="D5" t="s">
        <v>93</v>
      </c>
      <c r="F5">
        <v>9</v>
      </c>
      <c r="G5">
        <v>2</v>
      </c>
      <c r="H5">
        <v>3</v>
      </c>
      <c r="I5" s="160">
        <f>SUM(E5:H5)</f>
        <v>14</v>
      </c>
    </row>
    <row r="6" spans="1:11" x14ac:dyDescent="0.3">
      <c r="A6" t="s">
        <v>59</v>
      </c>
      <c r="B6" t="s">
        <v>62</v>
      </c>
      <c r="C6" t="s">
        <v>3</v>
      </c>
      <c r="D6" t="s">
        <v>93</v>
      </c>
      <c r="F6">
        <v>9</v>
      </c>
      <c r="H6">
        <v>5</v>
      </c>
      <c r="I6" s="160">
        <f t="shared" ref="I6:I8" si="1">SUM(E6:H6)</f>
        <v>14</v>
      </c>
    </row>
    <row r="7" spans="1:11" x14ac:dyDescent="0.3">
      <c r="A7" t="s">
        <v>60</v>
      </c>
      <c r="B7" t="s">
        <v>63</v>
      </c>
      <c r="C7" t="s">
        <v>0</v>
      </c>
      <c r="D7" t="s">
        <v>93</v>
      </c>
      <c r="F7">
        <v>4</v>
      </c>
      <c r="G7">
        <v>2</v>
      </c>
      <c r="H7">
        <v>1</v>
      </c>
      <c r="I7" s="160">
        <f t="shared" si="1"/>
        <v>7</v>
      </c>
    </row>
    <row r="8" spans="1:11" x14ac:dyDescent="0.3">
      <c r="A8" t="s">
        <v>97</v>
      </c>
      <c r="B8" t="s">
        <v>99</v>
      </c>
      <c r="C8" t="s">
        <v>95</v>
      </c>
      <c r="D8" t="s">
        <v>101</v>
      </c>
      <c r="F8">
        <v>80</v>
      </c>
      <c r="G8">
        <v>30</v>
      </c>
      <c r="H8">
        <v>10</v>
      </c>
      <c r="I8" s="160">
        <f t="shared" si="1"/>
        <v>120</v>
      </c>
    </row>
  </sheetData>
  <phoneticPr fontId="3" type="noConversion"/>
  <hyperlinks>
    <hyperlink ref="K1" location="主页!A1" display="主页!A1" xr:uid="{8868AF21-9109-45B0-BD77-CFCF5F68DF2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1513-2F7E-4F98-A8BF-29561C869024}">
  <dimension ref="A1:O1200"/>
  <sheetViews>
    <sheetView showGridLines="0" workbookViewId="0">
      <selection activeCell="O1" sqref="O1"/>
    </sheetView>
  </sheetViews>
  <sheetFormatPr defaultRowHeight="14" x14ac:dyDescent="0.3"/>
  <cols>
    <col min="4" max="4" width="9.58203125" bestFit="1" customWidth="1"/>
    <col min="6" max="6" width="9.08203125" bestFit="1" customWidth="1"/>
    <col min="8" max="8" width="16.08203125" bestFit="1" customWidth="1"/>
    <col min="10" max="10" width="9.25" customWidth="1"/>
    <col min="11" max="11" width="9.58203125" bestFit="1" customWidth="1"/>
    <col min="12" max="12" width="9" bestFit="1" customWidth="1"/>
  </cols>
  <sheetData>
    <row r="1" spans="1:15" x14ac:dyDescent="0.3">
      <c r="A1" s="3" t="s">
        <v>19</v>
      </c>
      <c r="B1" s="2" t="s">
        <v>18</v>
      </c>
      <c r="C1" s="2" t="s">
        <v>17</v>
      </c>
      <c r="D1" s="2" t="s">
        <v>89</v>
      </c>
      <c r="E1" s="2" t="s">
        <v>16</v>
      </c>
      <c r="F1" s="2" t="s">
        <v>13</v>
      </c>
      <c r="G1" s="2" t="s">
        <v>14</v>
      </c>
      <c r="H1" s="2" t="s">
        <v>167</v>
      </c>
      <c r="I1" s="2" t="s">
        <v>15</v>
      </c>
      <c r="J1" s="2" t="s">
        <v>12</v>
      </c>
      <c r="K1" s="2" t="s">
        <v>11</v>
      </c>
      <c r="L1" s="2" t="s">
        <v>10</v>
      </c>
      <c r="M1" s="2" t="s">
        <v>9</v>
      </c>
      <c r="O1" s="121" t="s">
        <v>197</v>
      </c>
    </row>
    <row r="2" spans="1:15" x14ac:dyDescent="0.3">
      <c r="A2" s="149" t="s">
        <v>58</v>
      </c>
      <c r="B2" s="149" t="s">
        <v>61</v>
      </c>
      <c r="C2" s="149" t="s">
        <v>6</v>
      </c>
      <c r="D2" s="149" t="s">
        <v>91</v>
      </c>
      <c r="E2" s="149">
        <v>70</v>
      </c>
      <c r="F2" s="149">
        <v>1800</v>
      </c>
      <c r="G2" s="162">
        <v>0.13</v>
      </c>
      <c r="H2" s="146">
        <f>IFERROR(F2/E2,"")</f>
        <v>25.714285714285715</v>
      </c>
      <c r="I2" s="161">
        <f>IFERROR(H2*(1+G2),"")</f>
        <v>29.057142857142857</v>
      </c>
      <c r="J2" s="160">
        <f>IFERROR(INDEX(当年标准成本!I:I,MATCH(C2,当年标准成本!C:C,0),1),"")</f>
        <v>13</v>
      </c>
      <c r="K2" s="146">
        <f>IFERROR(E2*J2,"")</f>
        <v>910</v>
      </c>
      <c r="L2" s="146">
        <f>IFERROR(F2-K2,"")</f>
        <v>890</v>
      </c>
      <c r="M2" s="148">
        <f>IFERROR(L2/F2,"")</f>
        <v>0.49444444444444446</v>
      </c>
    </row>
    <row r="3" spans="1:15" x14ac:dyDescent="0.3">
      <c r="A3" s="149" t="s">
        <v>59</v>
      </c>
      <c r="B3" s="149" t="s">
        <v>62</v>
      </c>
      <c r="C3" s="149" t="s">
        <v>3</v>
      </c>
      <c r="D3" s="149" t="s">
        <v>93</v>
      </c>
      <c r="E3" s="149">
        <v>89</v>
      </c>
      <c r="F3" s="149">
        <v>2000</v>
      </c>
      <c r="G3" s="162">
        <v>0.13</v>
      </c>
      <c r="H3" s="146">
        <f t="shared" ref="H3:H11" si="0">IFERROR(F3/E3,"")</f>
        <v>22.471910112359552</v>
      </c>
      <c r="I3" s="161">
        <f t="shared" ref="I3:I11" si="1">IFERROR(H3*(1+G3),"")</f>
        <v>25.393258426966291</v>
      </c>
      <c r="J3" s="160">
        <f>IFERROR(INDEX(当年标准成本!I:I,MATCH(C3,当年标准成本!C:C,0),1),"")</f>
        <v>13</v>
      </c>
      <c r="K3" s="146">
        <f t="shared" ref="K3:K11" si="2">IFERROR(E3*J3,"")</f>
        <v>1157</v>
      </c>
      <c r="L3" s="146">
        <f t="shared" ref="L3:L11" si="3">IFERROR(F3-K3,"")</f>
        <v>843</v>
      </c>
      <c r="M3" s="148">
        <f t="shared" ref="M3:M11" si="4">IFERROR(L3/F3,"")</f>
        <v>0.42149999999999999</v>
      </c>
    </row>
    <row r="4" spans="1:15" x14ac:dyDescent="0.3">
      <c r="A4" s="149" t="s">
        <v>60</v>
      </c>
      <c r="B4" s="149" t="s">
        <v>63</v>
      </c>
      <c r="C4" s="149" t="s">
        <v>0</v>
      </c>
      <c r="D4" s="149" t="s">
        <v>93</v>
      </c>
      <c r="E4" s="149">
        <v>77</v>
      </c>
      <c r="F4" s="149">
        <v>1200</v>
      </c>
      <c r="G4" s="162">
        <v>0.13</v>
      </c>
      <c r="H4" s="146">
        <f t="shared" si="0"/>
        <v>15.584415584415584</v>
      </c>
      <c r="I4" s="161">
        <f t="shared" si="1"/>
        <v>17.610389610389607</v>
      </c>
      <c r="J4" s="160">
        <f>IFERROR(INDEX(当年标准成本!I:I,MATCH(C4,当年标准成本!C:C,0),1),"")</f>
        <v>9</v>
      </c>
      <c r="K4" s="146">
        <f t="shared" si="2"/>
        <v>693</v>
      </c>
      <c r="L4" s="146">
        <f t="shared" si="3"/>
        <v>507</v>
      </c>
      <c r="M4" s="148">
        <f t="shared" si="4"/>
        <v>0.42249999999999999</v>
      </c>
    </row>
    <row r="5" spans="1:15" x14ac:dyDescent="0.3">
      <c r="A5" s="149" t="s">
        <v>58</v>
      </c>
      <c r="B5" s="149" t="s">
        <v>61</v>
      </c>
      <c r="C5" s="149" t="s">
        <v>6</v>
      </c>
      <c r="D5" s="149" t="s">
        <v>93</v>
      </c>
      <c r="E5" s="149">
        <v>65</v>
      </c>
      <c r="F5" s="149">
        <v>1500</v>
      </c>
      <c r="G5" s="162">
        <v>0.13</v>
      </c>
      <c r="H5" s="146">
        <f t="shared" si="0"/>
        <v>23.076923076923077</v>
      </c>
      <c r="I5" s="161">
        <f t="shared" si="1"/>
        <v>26.076923076923073</v>
      </c>
      <c r="J5" s="160">
        <f>IFERROR(INDEX(当年标准成本!I:I,MATCH(C5,当年标准成本!C:C,0),1),"")</f>
        <v>13</v>
      </c>
      <c r="K5" s="146">
        <f t="shared" si="2"/>
        <v>845</v>
      </c>
      <c r="L5" s="146">
        <f t="shared" si="3"/>
        <v>655</v>
      </c>
      <c r="M5" s="148">
        <f t="shared" si="4"/>
        <v>0.43666666666666665</v>
      </c>
    </row>
    <row r="6" spans="1:15" x14ac:dyDescent="0.3">
      <c r="A6" s="149" t="s">
        <v>59</v>
      </c>
      <c r="B6" s="149" t="s">
        <v>62</v>
      </c>
      <c r="C6" s="149" t="s">
        <v>3</v>
      </c>
      <c r="D6" s="149" t="s">
        <v>93</v>
      </c>
      <c r="E6" s="149">
        <v>89</v>
      </c>
      <c r="F6" s="149">
        <v>1980</v>
      </c>
      <c r="G6" s="162">
        <v>0.13</v>
      </c>
      <c r="H6" s="146">
        <f t="shared" si="0"/>
        <v>22.247191011235955</v>
      </c>
      <c r="I6" s="161">
        <f t="shared" si="1"/>
        <v>25.139325842696628</v>
      </c>
      <c r="J6" s="160">
        <f>IFERROR(INDEX(当年标准成本!I:I,MATCH(C6,当年标准成本!C:C,0),1),"")</f>
        <v>13</v>
      </c>
      <c r="K6" s="146">
        <f t="shared" si="2"/>
        <v>1157</v>
      </c>
      <c r="L6" s="146">
        <f t="shared" si="3"/>
        <v>823</v>
      </c>
      <c r="M6" s="148">
        <f t="shared" si="4"/>
        <v>0.41565656565656567</v>
      </c>
    </row>
    <row r="7" spans="1:15" x14ac:dyDescent="0.3">
      <c r="A7" s="149" t="s">
        <v>60</v>
      </c>
      <c r="B7" s="149" t="s">
        <v>63</v>
      </c>
      <c r="C7" s="149" t="s">
        <v>0</v>
      </c>
      <c r="D7" s="149" t="s">
        <v>93</v>
      </c>
      <c r="E7" s="149">
        <v>65</v>
      </c>
      <c r="F7" s="149">
        <v>1000</v>
      </c>
      <c r="G7" s="162">
        <v>0.13</v>
      </c>
      <c r="H7" s="146">
        <f t="shared" si="0"/>
        <v>15.384615384615385</v>
      </c>
      <c r="I7" s="161">
        <f t="shared" si="1"/>
        <v>17.384615384615383</v>
      </c>
      <c r="J7" s="160">
        <f>IFERROR(INDEX(当年标准成本!I:I,MATCH(C7,当年标准成本!C:C,0),1),"")</f>
        <v>9</v>
      </c>
      <c r="K7" s="146">
        <f t="shared" si="2"/>
        <v>585</v>
      </c>
      <c r="L7" s="146">
        <f t="shared" si="3"/>
        <v>415</v>
      </c>
      <c r="M7" s="148">
        <f t="shared" si="4"/>
        <v>0.41499999999999998</v>
      </c>
    </row>
    <row r="8" spans="1:15" x14ac:dyDescent="0.3">
      <c r="A8" s="149" t="s">
        <v>97</v>
      </c>
      <c r="B8" s="149" t="s">
        <v>99</v>
      </c>
      <c r="C8" s="149" t="s">
        <v>95</v>
      </c>
      <c r="D8" s="149" t="s">
        <v>101</v>
      </c>
      <c r="E8" s="149">
        <v>2</v>
      </c>
      <c r="F8" s="149">
        <v>378</v>
      </c>
      <c r="G8" s="162">
        <v>0.06</v>
      </c>
      <c r="H8" s="146">
        <f t="shared" si="0"/>
        <v>189</v>
      </c>
      <c r="I8" s="161">
        <f t="shared" si="1"/>
        <v>200.34</v>
      </c>
      <c r="J8" s="160">
        <f>IFERROR(INDEX(当年标准成本!I:I,MATCH(C8,当年标准成本!C:C,0),1),"")</f>
        <v>120</v>
      </c>
      <c r="K8" s="146">
        <f t="shared" si="2"/>
        <v>240</v>
      </c>
      <c r="L8" s="146">
        <f t="shared" si="3"/>
        <v>138</v>
      </c>
      <c r="M8" s="148">
        <f t="shared" si="4"/>
        <v>0.36507936507936506</v>
      </c>
    </row>
    <row r="9" spans="1:15" x14ac:dyDescent="0.3">
      <c r="A9" s="149"/>
      <c r="B9" s="149"/>
      <c r="C9" s="149"/>
      <c r="D9" s="149"/>
      <c r="E9" s="149"/>
      <c r="F9" s="149"/>
      <c r="G9" s="162"/>
      <c r="H9" s="146" t="str">
        <f t="shared" si="0"/>
        <v/>
      </c>
      <c r="I9" s="161" t="str">
        <f t="shared" si="1"/>
        <v/>
      </c>
      <c r="J9" s="160" t="str">
        <f>IFERROR(INDEX(当年标准成本!I:I,MATCH(C9,当年标准成本!C:C,0),1),"")</f>
        <v/>
      </c>
      <c r="K9" s="146" t="str">
        <f t="shared" si="2"/>
        <v/>
      </c>
      <c r="L9" s="146" t="str">
        <f t="shared" si="3"/>
        <v/>
      </c>
      <c r="M9" s="148" t="str">
        <f t="shared" si="4"/>
        <v/>
      </c>
    </row>
    <row r="10" spans="1:15" x14ac:dyDescent="0.3">
      <c r="A10" s="149"/>
      <c r="B10" s="149"/>
      <c r="C10" s="149"/>
      <c r="D10" s="149"/>
      <c r="E10" s="149"/>
      <c r="F10" s="149"/>
      <c r="G10" s="162"/>
      <c r="H10" s="146" t="str">
        <f t="shared" si="0"/>
        <v/>
      </c>
      <c r="I10" s="161" t="str">
        <f t="shared" si="1"/>
        <v/>
      </c>
      <c r="J10" s="160" t="str">
        <f>IFERROR(INDEX(当年标准成本!I:I,MATCH(C10,当年标准成本!C:C,0),1),"")</f>
        <v/>
      </c>
      <c r="K10" s="146" t="str">
        <f t="shared" si="2"/>
        <v/>
      </c>
      <c r="L10" s="146" t="str">
        <f t="shared" si="3"/>
        <v/>
      </c>
      <c r="M10" s="148" t="str">
        <f t="shared" si="4"/>
        <v/>
      </c>
    </row>
    <row r="11" spans="1:15" x14ac:dyDescent="0.3">
      <c r="A11" s="149"/>
      <c r="B11" s="149"/>
      <c r="C11" s="149"/>
      <c r="D11" s="149"/>
      <c r="E11" s="149"/>
      <c r="F11" s="149"/>
      <c r="G11" s="162"/>
      <c r="H11" s="146" t="str">
        <f t="shared" si="0"/>
        <v/>
      </c>
      <c r="I11" s="161" t="str">
        <f t="shared" si="1"/>
        <v/>
      </c>
      <c r="J11" s="160" t="str">
        <f>IFERROR(INDEX(当年标准成本!I:I,MATCH(C11,当年标准成本!C:C,0),1),"")</f>
        <v/>
      </c>
      <c r="K11" s="146" t="str">
        <f t="shared" si="2"/>
        <v/>
      </c>
      <c r="L11" s="146" t="str">
        <f t="shared" si="3"/>
        <v/>
      </c>
      <c r="M11" s="148" t="str">
        <f t="shared" si="4"/>
        <v/>
      </c>
    </row>
    <row r="12" spans="1:15" x14ac:dyDescent="0.3">
      <c r="A12" s="149"/>
      <c r="B12" s="149"/>
      <c r="C12" s="149"/>
      <c r="D12" s="149"/>
      <c r="E12" s="149"/>
      <c r="F12" s="149"/>
      <c r="G12" s="162"/>
      <c r="H12" s="146" t="str">
        <f t="shared" ref="H12:H75" si="5">IFERROR(F12/E12,"")</f>
        <v/>
      </c>
      <c r="I12" s="161" t="str">
        <f t="shared" ref="I12:I75" si="6">IFERROR(H12*(1+G12),"")</f>
        <v/>
      </c>
      <c r="J12" s="160" t="str">
        <f>IFERROR(INDEX(当年标准成本!I:I,MATCH(C12,当年标准成本!C:C,0),1),"")</f>
        <v/>
      </c>
      <c r="K12" s="146" t="str">
        <f t="shared" ref="K12:K75" si="7">IFERROR(E12*J12,"")</f>
        <v/>
      </c>
      <c r="L12" s="146" t="str">
        <f t="shared" ref="L12:L75" si="8">IFERROR(F12-K12,"")</f>
        <v/>
      </c>
      <c r="M12" s="148" t="str">
        <f t="shared" ref="M12:M75" si="9">IFERROR(L12/F12,"")</f>
        <v/>
      </c>
    </row>
    <row r="13" spans="1:15" x14ac:dyDescent="0.3">
      <c r="A13" s="149"/>
      <c r="B13" s="149"/>
      <c r="C13" s="149"/>
      <c r="D13" s="149"/>
      <c r="E13" s="149"/>
      <c r="F13" s="149"/>
      <c r="G13" s="162"/>
      <c r="H13" s="146" t="str">
        <f t="shared" si="5"/>
        <v/>
      </c>
      <c r="I13" s="161" t="str">
        <f t="shared" si="6"/>
        <v/>
      </c>
      <c r="J13" s="160" t="str">
        <f>IFERROR(INDEX(当年标准成本!I:I,MATCH(C13,当年标准成本!C:C,0),1),"")</f>
        <v/>
      </c>
      <c r="K13" s="146" t="str">
        <f t="shared" si="7"/>
        <v/>
      </c>
      <c r="L13" s="146" t="str">
        <f t="shared" si="8"/>
        <v/>
      </c>
      <c r="M13" s="148" t="str">
        <f t="shared" si="9"/>
        <v/>
      </c>
    </row>
    <row r="14" spans="1:15" x14ac:dyDescent="0.3">
      <c r="A14" s="149"/>
      <c r="B14" s="149"/>
      <c r="C14" s="149"/>
      <c r="D14" s="149"/>
      <c r="E14" s="149"/>
      <c r="F14" s="149"/>
      <c r="G14" s="162"/>
      <c r="H14" s="146" t="str">
        <f t="shared" si="5"/>
        <v/>
      </c>
      <c r="I14" s="161" t="str">
        <f t="shared" si="6"/>
        <v/>
      </c>
      <c r="J14" s="160" t="str">
        <f>IFERROR(INDEX(当年标准成本!I:I,MATCH(C14,当年标准成本!C:C,0),1),"")</f>
        <v/>
      </c>
      <c r="K14" s="146" t="str">
        <f t="shared" si="7"/>
        <v/>
      </c>
      <c r="L14" s="146" t="str">
        <f t="shared" si="8"/>
        <v/>
      </c>
      <c r="M14" s="148" t="str">
        <f t="shared" si="9"/>
        <v/>
      </c>
    </row>
    <row r="15" spans="1:15" x14ac:dyDescent="0.3">
      <c r="A15" s="149"/>
      <c r="B15" s="149"/>
      <c r="C15" s="149"/>
      <c r="D15" s="149"/>
      <c r="E15" s="149"/>
      <c r="F15" s="149"/>
      <c r="G15" s="162"/>
      <c r="H15" s="146" t="str">
        <f t="shared" si="5"/>
        <v/>
      </c>
      <c r="I15" s="161" t="str">
        <f t="shared" si="6"/>
        <v/>
      </c>
      <c r="J15" s="160" t="str">
        <f>IFERROR(INDEX(当年标准成本!I:I,MATCH(C15,当年标准成本!C:C,0),1),"")</f>
        <v/>
      </c>
      <c r="K15" s="146" t="str">
        <f t="shared" si="7"/>
        <v/>
      </c>
      <c r="L15" s="146" t="str">
        <f t="shared" si="8"/>
        <v/>
      </c>
      <c r="M15" s="148" t="str">
        <f t="shared" si="9"/>
        <v/>
      </c>
    </row>
    <row r="16" spans="1:15" x14ac:dyDescent="0.3">
      <c r="A16" s="149"/>
      <c r="B16" s="149"/>
      <c r="C16" s="149"/>
      <c r="D16" s="149"/>
      <c r="E16" s="149"/>
      <c r="F16" s="149"/>
      <c r="G16" s="162"/>
      <c r="H16" s="146" t="str">
        <f t="shared" si="5"/>
        <v/>
      </c>
      <c r="I16" s="161" t="str">
        <f t="shared" si="6"/>
        <v/>
      </c>
      <c r="J16" s="160" t="str">
        <f>IFERROR(INDEX(当年标准成本!I:I,MATCH(C16,当年标准成本!C:C,0),1),"")</f>
        <v/>
      </c>
      <c r="K16" s="146" t="str">
        <f t="shared" si="7"/>
        <v/>
      </c>
      <c r="L16" s="146" t="str">
        <f t="shared" si="8"/>
        <v/>
      </c>
      <c r="M16" s="148" t="str">
        <f t="shared" si="9"/>
        <v/>
      </c>
    </row>
    <row r="17" spans="1:13" x14ac:dyDescent="0.3">
      <c r="A17" s="149"/>
      <c r="B17" s="149"/>
      <c r="C17" s="149"/>
      <c r="D17" s="149"/>
      <c r="E17" s="149"/>
      <c r="F17" s="149"/>
      <c r="G17" s="162"/>
      <c r="H17" s="146" t="str">
        <f t="shared" si="5"/>
        <v/>
      </c>
      <c r="I17" s="161" t="str">
        <f t="shared" si="6"/>
        <v/>
      </c>
      <c r="J17" s="160" t="str">
        <f>IFERROR(INDEX(当年标准成本!I:I,MATCH(C17,当年标准成本!C:C,0),1),"")</f>
        <v/>
      </c>
      <c r="K17" s="146" t="str">
        <f t="shared" si="7"/>
        <v/>
      </c>
      <c r="L17" s="146" t="str">
        <f t="shared" si="8"/>
        <v/>
      </c>
      <c r="M17" s="148" t="str">
        <f t="shared" si="9"/>
        <v/>
      </c>
    </row>
    <row r="18" spans="1:13" x14ac:dyDescent="0.3">
      <c r="A18" s="149"/>
      <c r="B18" s="149"/>
      <c r="C18" s="149"/>
      <c r="D18" s="149"/>
      <c r="E18" s="149"/>
      <c r="F18" s="149"/>
      <c r="G18" s="162"/>
      <c r="H18" s="146" t="str">
        <f t="shared" si="5"/>
        <v/>
      </c>
      <c r="I18" s="161" t="str">
        <f t="shared" si="6"/>
        <v/>
      </c>
      <c r="J18" s="160" t="str">
        <f>IFERROR(INDEX(当年标准成本!I:I,MATCH(C18,当年标准成本!C:C,0),1),"")</f>
        <v/>
      </c>
      <c r="K18" s="146" t="str">
        <f t="shared" si="7"/>
        <v/>
      </c>
      <c r="L18" s="146" t="str">
        <f t="shared" si="8"/>
        <v/>
      </c>
      <c r="M18" s="148" t="str">
        <f t="shared" si="9"/>
        <v/>
      </c>
    </row>
    <row r="19" spans="1:13" x14ac:dyDescent="0.3">
      <c r="A19" s="149"/>
      <c r="B19" s="149"/>
      <c r="C19" s="149"/>
      <c r="D19" s="149"/>
      <c r="E19" s="149"/>
      <c r="F19" s="149"/>
      <c r="G19" s="162"/>
      <c r="H19" s="146" t="str">
        <f t="shared" si="5"/>
        <v/>
      </c>
      <c r="I19" s="161" t="str">
        <f t="shared" si="6"/>
        <v/>
      </c>
      <c r="J19" s="160" t="str">
        <f>IFERROR(INDEX(当年标准成本!I:I,MATCH(C19,当年标准成本!C:C,0),1),"")</f>
        <v/>
      </c>
      <c r="K19" s="146" t="str">
        <f t="shared" si="7"/>
        <v/>
      </c>
      <c r="L19" s="146" t="str">
        <f t="shared" si="8"/>
        <v/>
      </c>
      <c r="M19" s="148" t="str">
        <f t="shared" si="9"/>
        <v/>
      </c>
    </row>
    <row r="20" spans="1:13" x14ac:dyDescent="0.3">
      <c r="A20" s="149"/>
      <c r="B20" s="149"/>
      <c r="C20" s="149"/>
      <c r="D20" s="149"/>
      <c r="E20" s="149"/>
      <c r="F20" s="149"/>
      <c r="G20" s="162"/>
      <c r="H20" s="146" t="str">
        <f t="shared" si="5"/>
        <v/>
      </c>
      <c r="I20" s="161" t="str">
        <f t="shared" si="6"/>
        <v/>
      </c>
      <c r="J20" s="160" t="str">
        <f>IFERROR(INDEX(当年标准成本!I:I,MATCH(C20,当年标准成本!C:C,0),1),"")</f>
        <v/>
      </c>
      <c r="K20" s="146" t="str">
        <f t="shared" si="7"/>
        <v/>
      </c>
      <c r="L20" s="146" t="str">
        <f t="shared" si="8"/>
        <v/>
      </c>
      <c r="M20" s="148" t="str">
        <f t="shared" si="9"/>
        <v/>
      </c>
    </row>
    <row r="21" spans="1:13" x14ac:dyDescent="0.3">
      <c r="A21" s="149"/>
      <c r="B21" s="149"/>
      <c r="C21" s="149"/>
      <c r="D21" s="149"/>
      <c r="E21" s="149"/>
      <c r="F21" s="149"/>
      <c r="G21" s="162"/>
      <c r="H21" s="146" t="str">
        <f t="shared" si="5"/>
        <v/>
      </c>
      <c r="I21" s="161" t="str">
        <f t="shared" si="6"/>
        <v/>
      </c>
      <c r="J21" s="160" t="str">
        <f>IFERROR(INDEX(当年标准成本!I:I,MATCH(C21,当年标准成本!C:C,0),1),"")</f>
        <v/>
      </c>
      <c r="K21" s="146" t="str">
        <f t="shared" si="7"/>
        <v/>
      </c>
      <c r="L21" s="146" t="str">
        <f t="shared" si="8"/>
        <v/>
      </c>
      <c r="M21" s="148" t="str">
        <f t="shared" si="9"/>
        <v/>
      </c>
    </row>
    <row r="22" spans="1:13" x14ac:dyDescent="0.3">
      <c r="A22" s="149"/>
      <c r="B22" s="149"/>
      <c r="C22" s="149"/>
      <c r="D22" s="149"/>
      <c r="E22" s="149"/>
      <c r="F22" s="149"/>
      <c r="G22" s="162"/>
      <c r="H22" s="146" t="str">
        <f t="shared" si="5"/>
        <v/>
      </c>
      <c r="I22" s="161" t="str">
        <f t="shared" si="6"/>
        <v/>
      </c>
      <c r="J22" s="160" t="str">
        <f>IFERROR(INDEX(当年标准成本!I:I,MATCH(C22,当年标准成本!C:C,0),1),"")</f>
        <v/>
      </c>
      <c r="K22" s="146" t="str">
        <f t="shared" si="7"/>
        <v/>
      </c>
      <c r="L22" s="146" t="str">
        <f t="shared" si="8"/>
        <v/>
      </c>
      <c r="M22" s="148" t="str">
        <f t="shared" si="9"/>
        <v/>
      </c>
    </row>
    <row r="23" spans="1:13" x14ac:dyDescent="0.3">
      <c r="A23" s="149"/>
      <c r="B23" s="149"/>
      <c r="C23" s="149"/>
      <c r="D23" s="149"/>
      <c r="E23" s="149"/>
      <c r="F23" s="149"/>
      <c r="G23" s="162"/>
      <c r="H23" s="146" t="str">
        <f t="shared" si="5"/>
        <v/>
      </c>
      <c r="I23" s="161" t="str">
        <f t="shared" si="6"/>
        <v/>
      </c>
      <c r="J23" s="160" t="str">
        <f>IFERROR(INDEX(当年标准成本!I:I,MATCH(C23,当年标准成本!C:C,0),1),"")</f>
        <v/>
      </c>
      <c r="K23" s="146" t="str">
        <f t="shared" si="7"/>
        <v/>
      </c>
      <c r="L23" s="146" t="str">
        <f t="shared" si="8"/>
        <v/>
      </c>
      <c r="M23" s="148" t="str">
        <f t="shared" si="9"/>
        <v/>
      </c>
    </row>
    <row r="24" spans="1:13" x14ac:dyDescent="0.3">
      <c r="A24" s="149"/>
      <c r="B24" s="149"/>
      <c r="C24" s="149"/>
      <c r="D24" s="149"/>
      <c r="E24" s="149"/>
      <c r="F24" s="149"/>
      <c r="G24" s="162"/>
      <c r="H24" s="146" t="str">
        <f t="shared" si="5"/>
        <v/>
      </c>
      <c r="I24" s="161" t="str">
        <f t="shared" si="6"/>
        <v/>
      </c>
      <c r="J24" s="160" t="str">
        <f>IFERROR(INDEX(当年标准成本!I:I,MATCH(C24,当年标准成本!C:C,0),1),"")</f>
        <v/>
      </c>
      <c r="K24" s="146" t="str">
        <f t="shared" si="7"/>
        <v/>
      </c>
      <c r="L24" s="146" t="str">
        <f t="shared" si="8"/>
        <v/>
      </c>
      <c r="M24" s="148" t="str">
        <f t="shared" si="9"/>
        <v/>
      </c>
    </row>
    <row r="25" spans="1:13" x14ac:dyDescent="0.3">
      <c r="A25" s="149"/>
      <c r="B25" s="149"/>
      <c r="C25" s="149"/>
      <c r="D25" s="149"/>
      <c r="E25" s="149"/>
      <c r="F25" s="149"/>
      <c r="G25" s="162"/>
      <c r="H25" s="146" t="str">
        <f t="shared" si="5"/>
        <v/>
      </c>
      <c r="I25" s="161" t="str">
        <f t="shared" si="6"/>
        <v/>
      </c>
      <c r="J25" s="160" t="str">
        <f>IFERROR(INDEX(当年标准成本!I:I,MATCH(C25,当年标准成本!C:C,0),1),"")</f>
        <v/>
      </c>
      <c r="K25" s="146" t="str">
        <f t="shared" si="7"/>
        <v/>
      </c>
      <c r="L25" s="146" t="str">
        <f t="shared" si="8"/>
        <v/>
      </c>
      <c r="M25" s="148" t="str">
        <f t="shared" si="9"/>
        <v/>
      </c>
    </row>
    <row r="26" spans="1:13" x14ac:dyDescent="0.3">
      <c r="A26" s="149"/>
      <c r="B26" s="149"/>
      <c r="C26" s="149"/>
      <c r="D26" s="149"/>
      <c r="E26" s="149"/>
      <c r="F26" s="149"/>
      <c r="G26" s="162"/>
      <c r="H26" s="146" t="str">
        <f t="shared" si="5"/>
        <v/>
      </c>
      <c r="I26" s="161" t="str">
        <f t="shared" si="6"/>
        <v/>
      </c>
      <c r="J26" s="160" t="str">
        <f>IFERROR(INDEX(当年标准成本!I:I,MATCH(C26,当年标准成本!C:C,0),1),"")</f>
        <v/>
      </c>
      <c r="K26" s="146" t="str">
        <f t="shared" si="7"/>
        <v/>
      </c>
      <c r="L26" s="146" t="str">
        <f t="shared" si="8"/>
        <v/>
      </c>
      <c r="M26" s="148" t="str">
        <f t="shared" si="9"/>
        <v/>
      </c>
    </row>
    <row r="27" spans="1:13" x14ac:dyDescent="0.3">
      <c r="A27" s="149"/>
      <c r="B27" s="149"/>
      <c r="C27" s="149"/>
      <c r="D27" s="149"/>
      <c r="E27" s="149"/>
      <c r="F27" s="149"/>
      <c r="G27" s="162"/>
      <c r="H27" s="146" t="str">
        <f t="shared" si="5"/>
        <v/>
      </c>
      <c r="I27" s="161" t="str">
        <f t="shared" si="6"/>
        <v/>
      </c>
      <c r="J27" s="160" t="str">
        <f>IFERROR(INDEX(当年标准成本!I:I,MATCH(C27,当年标准成本!C:C,0),1),"")</f>
        <v/>
      </c>
      <c r="K27" s="146" t="str">
        <f t="shared" si="7"/>
        <v/>
      </c>
      <c r="L27" s="146" t="str">
        <f t="shared" si="8"/>
        <v/>
      </c>
      <c r="M27" s="148" t="str">
        <f t="shared" si="9"/>
        <v/>
      </c>
    </row>
    <row r="28" spans="1:13" x14ac:dyDescent="0.3">
      <c r="A28" s="149"/>
      <c r="B28" s="149"/>
      <c r="C28" s="149"/>
      <c r="D28" s="149"/>
      <c r="E28" s="149"/>
      <c r="F28" s="149"/>
      <c r="G28" s="162"/>
      <c r="H28" s="146" t="str">
        <f t="shared" si="5"/>
        <v/>
      </c>
      <c r="I28" s="161" t="str">
        <f t="shared" si="6"/>
        <v/>
      </c>
      <c r="J28" s="160" t="str">
        <f>IFERROR(INDEX(当年标准成本!I:I,MATCH(C28,当年标准成本!C:C,0),1),"")</f>
        <v/>
      </c>
      <c r="K28" s="146" t="str">
        <f t="shared" si="7"/>
        <v/>
      </c>
      <c r="L28" s="146" t="str">
        <f t="shared" si="8"/>
        <v/>
      </c>
      <c r="M28" s="148" t="str">
        <f t="shared" si="9"/>
        <v/>
      </c>
    </row>
    <row r="29" spans="1:13" x14ac:dyDescent="0.3">
      <c r="A29" s="149"/>
      <c r="B29" s="149"/>
      <c r="C29" s="149"/>
      <c r="D29" s="149"/>
      <c r="E29" s="149"/>
      <c r="F29" s="149"/>
      <c r="G29" s="162"/>
      <c r="H29" s="146" t="str">
        <f t="shared" si="5"/>
        <v/>
      </c>
      <c r="I29" s="161" t="str">
        <f t="shared" si="6"/>
        <v/>
      </c>
      <c r="J29" s="160" t="str">
        <f>IFERROR(INDEX(当年标准成本!I:I,MATCH(C29,当年标准成本!C:C,0),1),"")</f>
        <v/>
      </c>
      <c r="K29" s="146" t="str">
        <f t="shared" si="7"/>
        <v/>
      </c>
      <c r="L29" s="146" t="str">
        <f t="shared" si="8"/>
        <v/>
      </c>
      <c r="M29" s="148" t="str">
        <f t="shared" si="9"/>
        <v/>
      </c>
    </row>
    <row r="30" spans="1:13" x14ac:dyDescent="0.3">
      <c r="A30" s="149"/>
      <c r="B30" s="149"/>
      <c r="C30" s="149"/>
      <c r="D30" s="149"/>
      <c r="E30" s="149"/>
      <c r="F30" s="149"/>
      <c r="G30" s="162"/>
      <c r="H30" s="146" t="str">
        <f t="shared" si="5"/>
        <v/>
      </c>
      <c r="I30" s="161" t="str">
        <f t="shared" si="6"/>
        <v/>
      </c>
      <c r="J30" s="160" t="str">
        <f>IFERROR(INDEX(当年标准成本!I:I,MATCH(C30,当年标准成本!C:C,0),1),"")</f>
        <v/>
      </c>
      <c r="K30" s="146" t="str">
        <f t="shared" si="7"/>
        <v/>
      </c>
      <c r="L30" s="146" t="str">
        <f t="shared" si="8"/>
        <v/>
      </c>
      <c r="M30" s="148" t="str">
        <f t="shared" si="9"/>
        <v/>
      </c>
    </row>
    <row r="31" spans="1:13" x14ac:dyDescent="0.3">
      <c r="A31" s="149"/>
      <c r="B31" s="149"/>
      <c r="C31" s="149"/>
      <c r="D31" s="149"/>
      <c r="E31" s="149"/>
      <c r="F31" s="149"/>
      <c r="G31" s="162"/>
      <c r="H31" s="146" t="str">
        <f t="shared" si="5"/>
        <v/>
      </c>
      <c r="I31" s="161" t="str">
        <f t="shared" si="6"/>
        <v/>
      </c>
      <c r="J31" s="160" t="str">
        <f>IFERROR(INDEX(当年标准成本!I:I,MATCH(C31,当年标准成本!C:C,0),1),"")</f>
        <v/>
      </c>
      <c r="K31" s="146" t="str">
        <f t="shared" si="7"/>
        <v/>
      </c>
      <c r="L31" s="146" t="str">
        <f t="shared" si="8"/>
        <v/>
      </c>
      <c r="M31" s="148" t="str">
        <f t="shared" si="9"/>
        <v/>
      </c>
    </row>
    <row r="32" spans="1:13" x14ac:dyDescent="0.3">
      <c r="A32" s="149"/>
      <c r="B32" s="149"/>
      <c r="C32" s="149"/>
      <c r="D32" s="149"/>
      <c r="E32" s="149"/>
      <c r="F32" s="149"/>
      <c r="G32" s="162"/>
      <c r="H32" s="146" t="str">
        <f t="shared" si="5"/>
        <v/>
      </c>
      <c r="I32" s="161" t="str">
        <f t="shared" si="6"/>
        <v/>
      </c>
      <c r="J32" s="160" t="str">
        <f>IFERROR(INDEX(当年标准成本!I:I,MATCH(C32,当年标准成本!C:C,0),1),"")</f>
        <v/>
      </c>
      <c r="K32" s="146" t="str">
        <f t="shared" si="7"/>
        <v/>
      </c>
      <c r="L32" s="146" t="str">
        <f t="shared" si="8"/>
        <v/>
      </c>
      <c r="M32" s="148" t="str">
        <f t="shared" si="9"/>
        <v/>
      </c>
    </row>
    <row r="33" spans="1:13" x14ac:dyDescent="0.3">
      <c r="A33" s="149"/>
      <c r="B33" s="149"/>
      <c r="C33" s="149"/>
      <c r="D33" s="149"/>
      <c r="E33" s="149"/>
      <c r="F33" s="149"/>
      <c r="G33" s="162"/>
      <c r="H33" s="146" t="str">
        <f t="shared" si="5"/>
        <v/>
      </c>
      <c r="I33" s="161" t="str">
        <f t="shared" si="6"/>
        <v/>
      </c>
      <c r="J33" s="160" t="str">
        <f>IFERROR(INDEX(当年标准成本!I:I,MATCH(C33,当年标准成本!C:C,0),1),"")</f>
        <v/>
      </c>
      <c r="K33" s="146" t="str">
        <f t="shared" si="7"/>
        <v/>
      </c>
      <c r="L33" s="146" t="str">
        <f t="shared" si="8"/>
        <v/>
      </c>
      <c r="M33" s="148" t="str">
        <f t="shared" si="9"/>
        <v/>
      </c>
    </row>
    <row r="34" spans="1:13" x14ac:dyDescent="0.3">
      <c r="A34" s="149"/>
      <c r="B34" s="149"/>
      <c r="C34" s="149"/>
      <c r="D34" s="149"/>
      <c r="E34" s="149"/>
      <c r="F34" s="149"/>
      <c r="G34" s="162"/>
      <c r="H34" s="146" t="str">
        <f t="shared" si="5"/>
        <v/>
      </c>
      <c r="I34" s="161" t="str">
        <f t="shared" si="6"/>
        <v/>
      </c>
      <c r="J34" s="160" t="str">
        <f>IFERROR(INDEX(当年标准成本!I:I,MATCH(C34,当年标准成本!C:C,0),1),"")</f>
        <v/>
      </c>
      <c r="K34" s="146" t="str">
        <f t="shared" si="7"/>
        <v/>
      </c>
      <c r="L34" s="146" t="str">
        <f t="shared" si="8"/>
        <v/>
      </c>
      <c r="M34" s="148" t="str">
        <f t="shared" si="9"/>
        <v/>
      </c>
    </row>
    <row r="35" spans="1:13" x14ac:dyDescent="0.3">
      <c r="A35" s="149"/>
      <c r="B35" s="149"/>
      <c r="C35" s="149"/>
      <c r="D35" s="149"/>
      <c r="E35" s="149"/>
      <c r="F35" s="149"/>
      <c r="G35" s="162"/>
      <c r="H35" s="146" t="str">
        <f t="shared" si="5"/>
        <v/>
      </c>
      <c r="I35" s="161" t="str">
        <f t="shared" si="6"/>
        <v/>
      </c>
      <c r="J35" s="160" t="str">
        <f>IFERROR(INDEX(当年标准成本!I:I,MATCH(C35,当年标准成本!C:C,0),1),"")</f>
        <v/>
      </c>
      <c r="K35" s="146" t="str">
        <f t="shared" si="7"/>
        <v/>
      </c>
      <c r="L35" s="146" t="str">
        <f t="shared" si="8"/>
        <v/>
      </c>
      <c r="M35" s="148" t="str">
        <f t="shared" si="9"/>
        <v/>
      </c>
    </row>
    <row r="36" spans="1:13" x14ac:dyDescent="0.3">
      <c r="A36" s="149"/>
      <c r="B36" s="149"/>
      <c r="C36" s="149"/>
      <c r="D36" s="149"/>
      <c r="E36" s="149"/>
      <c r="F36" s="149"/>
      <c r="G36" s="162"/>
      <c r="H36" s="146" t="str">
        <f t="shared" si="5"/>
        <v/>
      </c>
      <c r="I36" s="161" t="str">
        <f t="shared" si="6"/>
        <v/>
      </c>
      <c r="J36" s="160" t="str">
        <f>IFERROR(INDEX(当年标准成本!I:I,MATCH(C36,当年标准成本!C:C,0),1),"")</f>
        <v/>
      </c>
      <c r="K36" s="146" t="str">
        <f t="shared" si="7"/>
        <v/>
      </c>
      <c r="L36" s="146" t="str">
        <f t="shared" si="8"/>
        <v/>
      </c>
      <c r="M36" s="148" t="str">
        <f t="shared" si="9"/>
        <v/>
      </c>
    </row>
    <row r="37" spans="1:13" x14ac:dyDescent="0.3">
      <c r="A37" s="149"/>
      <c r="B37" s="149"/>
      <c r="C37" s="149"/>
      <c r="D37" s="149"/>
      <c r="E37" s="149"/>
      <c r="F37" s="149"/>
      <c r="G37" s="162"/>
      <c r="H37" s="146" t="str">
        <f t="shared" si="5"/>
        <v/>
      </c>
      <c r="I37" s="161" t="str">
        <f t="shared" si="6"/>
        <v/>
      </c>
      <c r="J37" s="160" t="str">
        <f>IFERROR(INDEX(当年标准成本!I:I,MATCH(C37,当年标准成本!C:C,0),1),"")</f>
        <v/>
      </c>
      <c r="K37" s="146" t="str">
        <f t="shared" si="7"/>
        <v/>
      </c>
      <c r="L37" s="146" t="str">
        <f t="shared" si="8"/>
        <v/>
      </c>
      <c r="M37" s="148" t="str">
        <f t="shared" si="9"/>
        <v/>
      </c>
    </row>
    <row r="38" spans="1:13" x14ac:dyDescent="0.3">
      <c r="A38" s="149"/>
      <c r="B38" s="149"/>
      <c r="C38" s="149"/>
      <c r="D38" s="149"/>
      <c r="E38" s="149"/>
      <c r="F38" s="149"/>
      <c r="G38" s="162"/>
      <c r="H38" s="146" t="str">
        <f t="shared" si="5"/>
        <v/>
      </c>
      <c r="I38" s="161" t="str">
        <f t="shared" si="6"/>
        <v/>
      </c>
      <c r="J38" s="160" t="str">
        <f>IFERROR(INDEX(当年标准成本!I:I,MATCH(C38,当年标准成本!C:C,0),1),"")</f>
        <v/>
      </c>
      <c r="K38" s="146" t="str">
        <f t="shared" si="7"/>
        <v/>
      </c>
      <c r="L38" s="146" t="str">
        <f t="shared" si="8"/>
        <v/>
      </c>
      <c r="M38" s="148" t="str">
        <f t="shared" si="9"/>
        <v/>
      </c>
    </row>
    <row r="39" spans="1:13" x14ac:dyDescent="0.3">
      <c r="A39" s="149"/>
      <c r="B39" s="149"/>
      <c r="C39" s="149"/>
      <c r="D39" s="149"/>
      <c r="E39" s="149"/>
      <c r="F39" s="149"/>
      <c r="G39" s="162"/>
      <c r="H39" s="146" t="str">
        <f t="shared" si="5"/>
        <v/>
      </c>
      <c r="I39" s="161" t="str">
        <f t="shared" si="6"/>
        <v/>
      </c>
      <c r="J39" s="160" t="str">
        <f>IFERROR(INDEX(当年标准成本!I:I,MATCH(C39,当年标准成本!C:C,0),1),"")</f>
        <v/>
      </c>
      <c r="K39" s="146" t="str">
        <f t="shared" si="7"/>
        <v/>
      </c>
      <c r="L39" s="146" t="str">
        <f t="shared" si="8"/>
        <v/>
      </c>
      <c r="M39" s="148" t="str">
        <f t="shared" si="9"/>
        <v/>
      </c>
    </row>
    <row r="40" spans="1:13" x14ac:dyDescent="0.3">
      <c r="A40" s="149"/>
      <c r="B40" s="149"/>
      <c r="C40" s="149"/>
      <c r="D40" s="149"/>
      <c r="E40" s="149"/>
      <c r="F40" s="149"/>
      <c r="G40" s="162"/>
      <c r="H40" s="146" t="str">
        <f t="shared" si="5"/>
        <v/>
      </c>
      <c r="I40" s="161" t="str">
        <f t="shared" si="6"/>
        <v/>
      </c>
      <c r="J40" s="160" t="str">
        <f>IFERROR(INDEX(当年标准成本!I:I,MATCH(C40,当年标准成本!C:C,0),1),"")</f>
        <v/>
      </c>
      <c r="K40" s="146" t="str">
        <f t="shared" si="7"/>
        <v/>
      </c>
      <c r="L40" s="146" t="str">
        <f t="shared" si="8"/>
        <v/>
      </c>
      <c r="M40" s="148" t="str">
        <f t="shared" si="9"/>
        <v/>
      </c>
    </row>
    <row r="41" spans="1:13" x14ac:dyDescent="0.3">
      <c r="A41" s="149"/>
      <c r="B41" s="149"/>
      <c r="C41" s="149"/>
      <c r="D41" s="149"/>
      <c r="E41" s="149"/>
      <c r="F41" s="149"/>
      <c r="G41" s="162"/>
      <c r="H41" s="146" t="str">
        <f t="shared" si="5"/>
        <v/>
      </c>
      <c r="I41" s="161" t="str">
        <f t="shared" si="6"/>
        <v/>
      </c>
      <c r="J41" s="160" t="str">
        <f>IFERROR(INDEX(当年标准成本!I:I,MATCH(C41,当年标准成本!C:C,0),1),"")</f>
        <v/>
      </c>
      <c r="K41" s="146" t="str">
        <f t="shared" si="7"/>
        <v/>
      </c>
      <c r="L41" s="146" t="str">
        <f t="shared" si="8"/>
        <v/>
      </c>
      <c r="M41" s="148" t="str">
        <f t="shared" si="9"/>
        <v/>
      </c>
    </row>
    <row r="42" spans="1:13" x14ac:dyDescent="0.3">
      <c r="A42" s="149"/>
      <c r="B42" s="149"/>
      <c r="C42" s="149"/>
      <c r="D42" s="149"/>
      <c r="E42" s="149"/>
      <c r="F42" s="149"/>
      <c r="G42" s="162"/>
      <c r="H42" s="146" t="str">
        <f t="shared" si="5"/>
        <v/>
      </c>
      <c r="I42" s="161" t="str">
        <f t="shared" si="6"/>
        <v/>
      </c>
      <c r="J42" s="160" t="str">
        <f>IFERROR(INDEX(当年标准成本!I:I,MATCH(C42,当年标准成本!C:C,0),1),"")</f>
        <v/>
      </c>
      <c r="K42" s="146" t="str">
        <f t="shared" si="7"/>
        <v/>
      </c>
      <c r="L42" s="146" t="str">
        <f t="shared" si="8"/>
        <v/>
      </c>
      <c r="M42" s="148" t="str">
        <f t="shared" si="9"/>
        <v/>
      </c>
    </row>
    <row r="43" spans="1:13" x14ac:dyDescent="0.3">
      <c r="A43" s="149"/>
      <c r="B43" s="149"/>
      <c r="C43" s="149"/>
      <c r="D43" s="149"/>
      <c r="E43" s="149"/>
      <c r="F43" s="149"/>
      <c r="G43" s="162"/>
      <c r="H43" s="146" t="str">
        <f t="shared" si="5"/>
        <v/>
      </c>
      <c r="I43" s="161" t="str">
        <f t="shared" si="6"/>
        <v/>
      </c>
      <c r="J43" s="160" t="str">
        <f>IFERROR(INDEX(当年标准成本!I:I,MATCH(C43,当年标准成本!C:C,0),1),"")</f>
        <v/>
      </c>
      <c r="K43" s="146" t="str">
        <f t="shared" si="7"/>
        <v/>
      </c>
      <c r="L43" s="146" t="str">
        <f t="shared" si="8"/>
        <v/>
      </c>
      <c r="M43" s="148" t="str">
        <f t="shared" si="9"/>
        <v/>
      </c>
    </row>
    <row r="44" spans="1:13" x14ac:dyDescent="0.3">
      <c r="A44" s="149"/>
      <c r="B44" s="149"/>
      <c r="C44" s="149"/>
      <c r="D44" s="149"/>
      <c r="E44" s="149"/>
      <c r="F44" s="149"/>
      <c r="G44" s="162"/>
      <c r="H44" s="146" t="str">
        <f t="shared" si="5"/>
        <v/>
      </c>
      <c r="I44" s="161" t="str">
        <f t="shared" si="6"/>
        <v/>
      </c>
      <c r="J44" s="160" t="str">
        <f>IFERROR(INDEX(当年标准成本!I:I,MATCH(C44,当年标准成本!C:C,0),1),"")</f>
        <v/>
      </c>
      <c r="K44" s="146" t="str">
        <f t="shared" si="7"/>
        <v/>
      </c>
      <c r="L44" s="146" t="str">
        <f t="shared" si="8"/>
        <v/>
      </c>
      <c r="M44" s="148" t="str">
        <f t="shared" si="9"/>
        <v/>
      </c>
    </row>
    <row r="45" spans="1:13" x14ac:dyDescent="0.3">
      <c r="A45" s="149"/>
      <c r="B45" s="149"/>
      <c r="C45" s="149"/>
      <c r="D45" s="149"/>
      <c r="E45" s="149"/>
      <c r="F45" s="149"/>
      <c r="G45" s="162"/>
      <c r="H45" s="146" t="str">
        <f t="shared" si="5"/>
        <v/>
      </c>
      <c r="I45" s="161" t="str">
        <f t="shared" si="6"/>
        <v/>
      </c>
      <c r="J45" s="160" t="str">
        <f>IFERROR(INDEX(当年标准成本!I:I,MATCH(C45,当年标准成本!C:C,0),1),"")</f>
        <v/>
      </c>
      <c r="K45" s="146" t="str">
        <f t="shared" si="7"/>
        <v/>
      </c>
      <c r="L45" s="146" t="str">
        <f t="shared" si="8"/>
        <v/>
      </c>
      <c r="M45" s="148" t="str">
        <f t="shared" si="9"/>
        <v/>
      </c>
    </row>
    <row r="46" spans="1:13" x14ac:dyDescent="0.3">
      <c r="A46" s="149"/>
      <c r="B46" s="149"/>
      <c r="C46" s="149"/>
      <c r="D46" s="149"/>
      <c r="E46" s="149"/>
      <c r="F46" s="149"/>
      <c r="G46" s="162"/>
      <c r="H46" s="146" t="str">
        <f t="shared" si="5"/>
        <v/>
      </c>
      <c r="I46" s="161" t="str">
        <f t="shared" si="6"/>
        <v/>
      </c>
      <c r="J46" s="160" t="str">
        <f>IFERROR(INDEX(当年标准成本!I:I,MATCH(C46,当年标准成本!C:C,0),1),"")</f>
        <v/>
      </c>
      <c r="K46" s="146" t="str">
        <f t="shared" si="7"/>
        <v/>
      </c>
      <c r="L46" s="146" t="str">
        <f t="shared" si="8"/>
        <v/>
      </c>
      <c r="M46" s="148" t="str">
        <f t="shared" si="9"/>
        <v/>
      </c>
    </row>
    <row r="47" spans="1:13" x14ac:dyDescent="0.3">
      <c r="A47" s="149"/>
      <c r="B47" s="149"/>
      <c r="C47" s="149"/>
      <c r="D47" s="149"/>
      <c r="E47" s="149"/>
      <c r="F47" s="149"/>
      <c r="G47" s="162"/>
      <c r="H47" s="146" t="str">
        <f t="shared" si="5"/>
        <v/>
      </c>
      <c r="I47" s="161" t="str">
        <f t="shared" si="6"/>
        <v/>
      </c>
      <c r="J47" s="160" t="str">
        <f>IFERROR(INDEX(当年标准成本!I:I,MATCH(C47,当年标准成本!C:C,0),1),"")</f>
        <v/>
      </c>
      <c r="K47" s="146" t="str">
        <f t="shared" si="7"/>
        <v/>
      </c>
      <c r="L47" s="146" t="str">
        <f t="shared" si="8"/>
        <v/>
      </c>
      <c r="M47" s="148" t="str">
        <f t="shared" si="9"/>
        <v/>
      </c>
    </row>
    <row r="48" spans="1:13" x14ac:dyDescent="0.3">
      <c r="A48" s="149"/>
      <c r="B48" s="149"/>
      <c r="C48" s="149"/>
      <c r="D48" s="149"/>
      <c r="E48" s="149"/>
      <c r="F48" s="149"/>
      <c r="G48" s="162"/>
      <c r="H48" s="146" t="str">
        <f t="shared" si="5"/>
        <v/>
      </c>
      <c r="I48" s="161" t="str">
        <f t="shared" si="6"/>
        <v/>
      </c>
      <c r="J48" s="160" t="str">
        <f>IFERROR(INDEX(当年标准成本!I:I,MATCH(C48,当年标准成本!C:C,0),1),"")</f>
        <v/>
      </c>
      <c r="K48" s="146" t="str">
        <f t="shared" si="7"/>
        <v/>
      </c>
      <c r="L48" s="146" t="str">
        <f t="shared" si="8"/>
        <v/>
      </c>
      <c r="M48" s="148" t="str">
        <f t="shared" si="9"/>
        <v/>
      </c>
    </row>
    <row r="49" spans="1:13" x14ac:dyDescent="0.3">
      <c r="A49" s="149"/>
      <c r="B49" s="149"/>
      <c r="C49" s="149"/>
      <c r="D49" s="149"/>
      <c r="E49" s="149"/>
      <c r="F49" s="149"/>
      <c r="G49" s="162"/>
      <c r="H49" s="146" t="str">
        <f t="shared" si="5"/>
        <v/>
      </c>
      <c r="I49" s="161" t="str">
        <f t="shared" si="6"/>
        <v/>
      </c>
      <c r="J49" s="160" t="str">
        <f>IFERROR(INDEX(当年标准成本!I:I,MATCH(C49,当年标准成本!C:C,0),1),"")</f>
        <v/>
      </c>
      <c r="K49" s="146" t="str">
        <f t="shared" si="7"/>
        <v/>
      </c>
      <c r="L49" s="146" t="str">
        <f t="shared" si="8"/>
        <v/>
      </c>
      <c r="M49" s="148" t="str">
        <f t="shared" si="9"/>
        <v/>
      </c>
    </row>
    <row r="50" spans="1:13" x14ac:dyDescent="0.3">
      <c r="A50" s="149"/>
      <c r="B50" s="149"/>
      <c r="C50" s="149"/>
      <c r="D50" s="149"/>
      <c r="E50" s="149"/>
      <c r="F50" s="149"/>
      <c r="G50" s="162"/>
      <c r="H50" s="146" t="str">
        <f t="shared" si="5"/>
        <v/>
      </c>
      <c r="I50" s="161" t="str">
        <f t="shared" si="6"/>
        <v/>
      </c>
      <c r="J50" s="160" t="str">
        <f>IFERROR(INDEX(当年标准成本!I:I,MATCH(C50,当年标准成本!C:C,0),1),"")</f>
        <v/>
      </c>
      <c r="K50" s="146" t="str">
        <f t="shared" si="7"/>
        <v/>
      </c>
      <c r="L50" s="146" t="str">
        <f t="shared" si="8"/>
        <v/>
      </c>
      <c r="M50" s="148" t="str">
        <f t="shared" si="9"/>
        <v/>
      </c>
    </row>
    <row r="51" spans="1:13" x14ac:dyDescent="0.3">
      <c r="A51" s="149"/>
      <c r="B51" s="149"/>
      <c r="C51" s="149"/>
      <c r="D51" s="149"/>
      <c r="E51" s="149"/>
      <c r="F51" s="149"/>
      <c r="G51" s="162"/>
      <c r="H51" s="146" t="str">
        <f t="shared" si="5"/>
        <v/>
      </c>
      <c r="I51" s="161" t="str">
        <f t="shared" si="6"/>
        <v/>
      </c>
      <c r="J51" s="160" t="str">
        <f>IFERROR(INDEX(当年标准成本!I:I,MATCH(C51,当年标准成本!C:C,0),1),"")</f>
        <v/>
      </c>
      <c r="K51" s="146" t="str">
        <f t="shared" si="7"/>
        <v/>
      </c>
      <c r="L51" s="146" t="str">
        <f t="shared" si="8"/>
        <v/>
      </c>
      <c r="M51" s="148" t="str">
        <f t="shared" si="9"/>
        <v/>
      </c>
    </row>
    <row r="52" spans="1:13" x14ac:dyDescent="0.3">
      <c r="A52" s="149"/>
      <c r="B52" s="149"/>
      <c r="C52" s="149"/>
      <c r="D52" s="149"/>
      <c r="E52" s="149"/>
      <c r="F52" s="149"/>
      <c r="G52" s="162"/>
      <c r="H52" s="146" t="str">
        <f t="shared" si="5"/>
        <v/>
      </c>
      <c r="I52" s="161" t="str">
        <f t="shared" si="6"/>
        <v/>
      </c>
      <c r="J52" s="160" t="str">
        <f>IFERROR(INDEX(当年标准成本!I:I,MATCH(C52,当年标准成本!C:C,0),1),"")</f>
        <v/>
      </c>
      <c r="K52" s="146" t="str">
        <f t="shared" si="7"/>
        <v/>
      </c>
      <c r="L52" s="146" t="str">
        <f t="shared" si="8"/>
        <v/>
      </c>
      <c r="M52" s="148" t="str">
        <f t="shared" si="9"/>
        <v/>
      </c>
    </row>
    <row r="53" spans="1:13" x14ac:dyDescent="0.3">
      <c r="A53" s="149"/>
      <c r="B53" s="149"/>
      <c r="C53" s="149"/>
      <c r="D53" s="149"/>
      <c r="E53" s="149"/>
      <c r="F53" s="149"/>
      <c r="G53" s="162"/>
      <c r="H53" s="146" t="str">
        <f t="shared" si="5"/>
        <v/>
      </c>
      <c r="I53" s="161" t="str">
        <f t="shared" si="6"/>
        <v/>
      </c>
      <c r="J53" s="160" t="str">
        <f>IFERROR(INDEX(当年标准成本!I:I,MATCH(C53,当年标准成本!C:C,0),1),"")</f>
        <v/>
      </c>
      <c r="K53" s="146" t="str">
        <f t="shared" si="7"/>
        <v/>
      </c>
      <c r="L53" s="146" t="str">
        <f t="shared" si="8"/>
        <v/>
      </c>
      <c r="M53" s="148" t="str">
        <f t="shared" si="9"/>
        <v/>
      </c>
    </row>
    <row r="54" spans="1:13" x14ac:dyDescent="0.3">
      <c r="A54" s="149"/>
      <c r="B54" s="149"/>
      <c r="C54" s="149"/>
      <c r="D54" s="149"/>
      <c r="E54" s="149"/>
      <c r="F54" s="149"/>
      <c r="G54" s="162"/>
      <c r="H54" s="146" t="str">
        <f t="shared" si="5"/>
        <v/>
      </c>
      <c r="I54" s="161" t="str">
        <f t="shared" si="6"/>
        <v/>
      </c>
      <c r="J54" s="160" t="str">
        <f>IFERROR(INDEX(当年标准成本!I:I,MATCH(C54,当年标准成本!C:C,0),1),"")</f>
        <v/>
      </c>
      <c r="K54" s="146" t="str">
        <f t="shared" si="7"/>
        <v/>
      </c>
      <c r="L54" s="146" t="str">
        <f t="shared" si="8"/>
        <v/>
      </c>
      <c r="M54" s="148" t="str">
        <f t="shared" si="9"/>
        <v/>
      </c>
    </row>
    <row r="55" spans="1:13" x14ac:dyDescent="0.3">
      <c r="A55" s="149"/>
      <c r="B55" s="149"/>
      <c r="C55" s="149"/>
      <c r="D55" s="149"/>
      <c r="E55" s="149"/>
      <c r="F55" s="149"/>
      <c r="G55" s="162"/>
      <c r="H55" s="146" t="str">
        <f t="shared" si="5"/>
        <v/>
      </c>
      <c r="I55" s="161" t="str">
        <f t="shared" si="6"/>
        <v/>
      </c>
      <c r="J55" s="160" t="str">
        <f>IFERROR(INDEX(当年标准成本!I:I,MATCH(C55,当年标准成本!C:C,0),1),"")</f>
        <v/>
      </c>
      <c r="K55" s="146" t="str">
        <f t="shared" si="7"/>
        <v/>
      </c>
      <c r="L55" s="146" t="str">
        <f t="shared" si="8"/>
        <v/>
      </c>
      <c r="M55" s="148" t="str">
        <f t="shared" si="9"/>
        <v/>
      </c>
    </row>
    <row r="56" spans="1:13" x14ac:dyDescent="0.3">
      <c r="A56" s="149"/>
      <c r="B56" s="149"/>
      <c r="C56" s="149"/>
      <c r="D56" s="149"/>
      <c r="E56" s="149"/>
      <c r="F56" s="149"/>
      <c r="G56" s="162"/>
      <c r="H56" s="146" t="str">
        <f t="shared" si="5"/>
        <v/>
      </c>
      <c r="I56" s="161" t="str">
        <f t="shared" si="6"/>
        <v/>
      </c>
      <c r="J56" s="160" t="str">
        <f>IFERROR(INDEX(当年标准成本!I:I,MATCH(C56,当年标准成本!C:C,0),1),"")</f>
        <v/>
      </c>
      <c r="K56" s="146" t="str">
        <f t="shared" si="7"/>
        <v/>
      </c>
      <c r="L56" s="146" t="str">
        <f t="shared" si="8"/>
        <v/>
      </c>
      <c r="M56" s="148" t="str">
        <f t="shared" si="9"/>
        <v/>
      </c>
    </row>
    <row r="57" spans="1:13" x14ac:dyDescent="0.3">
      <c r="A57" s="149"/>
      <c r="B57" s="149"/>
      <c r="C57" s="149"/>
      <c r="D57" s="149"/>
      <c r="E57" s="149"/>
      <c r="F57" s="149"/>
      <c r="G57" s="162"/>
      <c r="H57" s="146" t="str">
        <f t="shared" si="5"/>
        <v/>
      </c>
      <c r="I57" s="161" t="str">
        <f t="shared" si="6"/>
        <v/>
      </c>
      <c r="J57" s="160" t="str">
        <f>IFERROR(INDEX(当年标准成本!I:I,MATCH(C57,当年标准成本!C:C,0),1),"")</f>
        <v/>
      </c>
      <c r="K57" s="146" t="str">
        <f t="shared" si="7"/>
        <v/>
      </c>
      <c r="L57" s="146" t="str">
        <f t="shared" si="8"/>
        <v/>
      </c>
      <c r="M57" s="148" t="str">
        <f t="shared" si="9"/>
        <v/>
      </c>
    </row>
    <row r="58" spans="1:13" x14ac:dyDescent="0.3">
      <c r="A58" s="149"/>
      <c r="B58" s="149"/>
      <c r="C58" s="149"/>
      <c r="D58" s="149"/>
      <c r="E58" s="149"/>
      <c r="F58" s="149"/>
      <c r="G58" s="162"/>
      <c r="H58" s="146" t="str">
        <f t="shared" si="5"/>
        <v/>
      </c>
      <c r="I58" s="161" t="str">
        <f t="shared" si="6"/>
        <v/>
      </c>
      <c r="J58" s="160" t="str">
        <f>IFERROR(INDEX(当年标准成本!I:I,MATCH(C58,当年标准成本!C:C,0),1),"")</f>
        <v/>
      </c>
      <c r="K58" s="146" t="str">
        <f t="shared" si="7"/>
        <v/>
      </c>
      <c r="L58" s="146" t="str">
        <f t="shared" si="8"/>
        <v/>
      </c>
      <c r="M58" s="148" t="str">
        <f t="shared" si="9"/>
        <v/>
      </c>
    </row>
    <row r="59" spans="1:13" x14ac:dyDescent="0.3">
      <c r="A59" s="149"/>
      <c r="B59" s="149"/>
      <c r="C59" s="149"/>
      <c r="D59" s="149"/>
      <c r="E59" s="149"/>
      <c r="F59" s="149"/>
      <c r="G59" s="162"/>
      <c r="H59" s="146" t="str">
        <f t="shared" si="5"/>
        <v/>
      </c>
      <c r="I59" s="161" t="str">
        <f t="shared" si="6"/>
        <v/>
      </c>
      <c r="J59" s="160" t="str">
        <f>IFERROR(INDEX(当年标准成本!I:I,MATCH(C59,当年标准成本!C:C,0),1),"")</f>
        <v/>
      </c>
      <c r="K59" s="146" t="str">
        <f t="shared" si="7"/>
        <v/>
      </c>
      <c r="L59" s="146" t="str">
        <f t="shared" si="8"/>
        <v/>
      </c>
      <c r="M59" s="148" t="str">
        <f t="shared" si="9"/>
        <v/>
      </c>
    </row>
    <row r="60" spans="1:13" x14ac:dyDescent="0.3">
      <c r="A60" s="149"/>
      <c r="B60" s="149"/>
      <c r="C60" s="149"/>
      <c r="D60" s="149"/>
      <c r="E60" s="149"/>
      <c r="F60" s="149"/>
      <c r="G60" s="162"/>
      <c r="H60" s="146" t="str">
        <f t="shared" si="5"/>
        <v/>
      </c>
      <c r="I60" s="161" t="str">
        <f t="shared" si="6"/>
        <v/>
      </c>
      <c r="J60" s="160" t="str">
        <f>IFERROR(INDEX(当年标准成本!I:I,MATCH(C60,当年标准成本!C:C,0),1),"")</f>
        <v/>
      </c>
      <c r="K60" s="146" t="str">
        <f t="shared" si="7"/>
        <v/>
      </c>
      <c r="L60" s="146" t="str">
        <f t="shared" si="8"/>
        <v/>
      </c>
      <c r="M60" s="148" t="str">
        <f t="shared" si="9"/>
        <v/>
      </c>
    </row>
    <row r="61" spans="1:13" x14ac:dyDescent="0.3">
      <c r="A61" s="149"/>
      <c r="B61" s="149"/>
      <c r="C61" s="149"/>
      <c r="D61" s="149"/>
      <c r="E61" s="149"/>
      <c r="F61" s="149"/>
      <c r="G61" s="162"/>
      <c r="H61" s="146" t="str">
        <f t="shared" si="5"/>
        <v/>
      </c>
      <c r="I61" s="161" t="str">
        <f t="shared" si="6"/>
        <v/>
      </c>
      <c r="J61" s="160" t="str">
        <f>IFERROR(INDEX(当年标准成本!I:I,MATCH(C61,当年标准成本!C:C,0),1),"")</f>
        <v/>
      </c>
      <c r="K61" s="146" t="str">
        <f t="shared" si="7"/>
        <v/>
      </c>
      <c r="L61" s="146" t="str">
        <f t="shared" si="8"/>
        <v/>
      </c>
      <c r="M61" s="148" t="str">
        <f t="shared" si="9"/>
        <v/>
      </c>
    </row>
    <row r="62" spans="1:13" x14ac:dyDescent="0.3">
      <c r="A62" s="149"/>
      <c r="B62" s="149"/>
      <c r="C62" s="149"/>
      <c r="D62" s="149"/>
      <c r="E62" s="149"/>
      <c r="F62" s="149"/>
      <c r="G62" s="162"/>
      <c r="H62" s="146" t="str">
        <f t="shared" si="5"/>
        <v/>
      </c>
      <c r="I62" s="161" t="str">
        <f t="shared" si="6"/>
        <v/>
      </c>
      <c r="J62" s="160" t="str">
        <f>IFERROR(INDEX(当年标准成本!I:I,MATCH(C62,当年标准成本!C:C,0),1),"")</f>
        <v/>
      </c>
      <c r="K62" s="146" t="str">
        <f t="shared" si="7"/>
        <v/>
      </c>
      <c r="L62" s="146" t="str">
        <f t="shared" si="8"/>
        <v/>
      </c>
      <c r="M62" s="148" t="str">
        <f t="shared" si="9"/>
        <v/>
      </c>
    </row>
    <row r="63" spans="1:13" x14ac:dyDescent="0.3">
      <c r="A63" s="149"/>
      <c r="B63" s="149"/>
      <c r="C63" s="149"/>
      <c r="D63" s="149"/>
      <c r="E63" s="149"/>
      <c r="F63" s="149"/>
      <c r="G63" s="162"/>
      <c r="H63" s="146" t="str">
        <f t="shared" si="5"/>
        <v/>
      </c>
      <c r="I63" s="161" t="str">
        <f t="shared" si="6"/>
        <v/>
      </c>
      <c r="J63" s="160" t="str">
        <f>IFERROR(INDEX(当年标准成本!I:I,MATCH(C63,当年标准成本!C:C,0),1),"")</f>
        <v/>
      </c>
      <c r="K63" s="146" t="str">
        <f t="shared" si="7"/>
        <v/>
      </c>
      <c r="L63" s="146" t="str">
        <f t="shared" si="8"/>
        <v/>
      </c>
      <c r="M63" s="148" t="str">
        <f t="shared" si="9"/>
        <v/>
      </c>
    </row>
    <row r="64" spans="1:13" x14ac:dyDescent="0.3">
      <c r="A64" s="149"/>
      <c r="B64" s="149"/>
      <c r="C64" s="149"/>
      <c r="D64" s="149"/>
      <c r="E64" s="149"/>
      <c r="F64" s="149"/>
      <c r="G64" s="162"/>
      <c r="H64" s="146" t="str">
        <f t="shared" si="5"/>
        <v/>
      </c>
      <c r="I64" s="161" t="str">
        <f t="shared" si="6"/>
        <v/>
      </c>
      <c r="J64" s="160" t="str">
        <f>IFERROR(INDEX(当年标准成本!I:I,MATCH(C64,当年标准成本!C:C,0),1),"")</f>
        <v/>
      </c>
      <c r="K64" s="146" t="str">
        <f t="shared" si="7"/>
        <v/>
      </c>
      <c r="L64" s="146" t="str">
        <f t="shared" si="8"/>
        <v/>
      </c>
      <c r="M64" s="148" t="str">
        <f t="shared" si="9"/>
        <v/>
      </c>
    </row>
    <row r="65" spans="1:13" x14ac:dyDescent="0.3">
      <c r="A65" s="149"/>
      <c r="B65" s="149"/>
      <c r="C65" s="149"/>
      <c r="D65" s="149"/>
      <c r="E65" s="149"/>
      <c r="F65" s="149"/>
      <c r="G65" s="162"/>
      <c r="H65" s="146" t="str">
        <f t="shared" si="5"/>
        <v/>
      </c>
      <c r="I65" s="161" t="str">
        <f t="shared" si="6"/>
        <v/>
      </c>
      <c r="J65" s="160" t="str">
        <f>IFERROR(INDEX(当年标准成本!I:I,MATCH(C65,当年标准成本!C:C,0),1),"")</f>
        <v/>
      </c>
      <c r="K65" s="146" t="str">
        <f t="shared" si="7"/>
        <v/>
      </c>
      <c r="L65" s="146" t="str">
        <f t="shared" si="8"/>
        <v/>
      </c>
      <c r="M65" s="148" t="str">
        <f t="shared" si="9"/>
        <v/>
      </c>
    </row>
    <row r="66" spans="1:13" x14ac:dyDescent="0.3">
      <c r="A66" s="149"/>
      <c r="B66" s="149"/>
      <c r="C66" s="149"/>
      <c r="D66" s="149"/>
      <c r="E66" s="149"/>
      <c r="F66" s="149"/>
      <c r="G66" s="162"/>
      <c r="H66" s="146" t="str">
        <f t="shared" si="5"/>
        <v/>
      </c>
      <c r="I66" s="161" t="str">
        <f t="shared" si="6"/>
        <v/>
      </c>
      <c r="J66" s="160" t="str">
        <f>IFERROR(INDEX(当年标准成本!I:I,MATCH(C66,当年标准成本!C:C,0),1),"")</f>
        <v/>
      </c>
      <c r="K66" s="146" t="str">
        <f t="shared" si="7"/>
        <v/>
      </c>
      <c r="L66" s="146" t="str">
        <f t="shared" si="8"/>
        <v/>
      </c>
      <c r="M66" s="148" t="str">
        <f t="shared" si="9"/>
        <v/>
      </c>
    </row>
    <row r="67" spans="1:13" x14ac:dyDescent="0.3">
      <c r="A67" s="149"/>
      <c r="B67" s="149"/>
      <c r="C67" s="149"/>
      <c r="D67" s="149"/>
      <c r="E67" s="149"/>
      <c r="F67" s="149"/>
      <c r="G67" s="162"/>
      <c r="H67" s="146" t="str">
        <f t="shared" si="5"/>
        <v/>
      </c>
      <c r="I67" s="161" t="str">
        <f t="shared" si="6"/>
        <v/>
      </c>
      <c r="J67" s="160" t="str">
        <f>IFERROR(INDEX(当年标准成本!I:I,MATCH(C67,当年标准成本!C:C,0),1),"")</f>
        <v/>
      </c>
      <c r="K67" s="146" t="str">
        <f t="shared" si="7"/>
        <v/>
      </c>
      <c r="L67" s="146" t="str">
        <f t="shared" si="8"/>
        <v/>
      </c>
      <c r="M67" s="148" t="str">
        <f t="shared" si="9"/>
        <v/>
      </c>
    </row>
    <row r="68" spans="1:13" x14ac:dyDescent="0.3">
      <c r="A68" s="149"/>
      <c r="B68" s="149"/>
      <c r="C68" s="149"/>
      <c r="D68" s="149"/>
      <c r="E68" s="149"/>
      <c r="F68" s="149"/>
      <c r="G68" s="162"/>
      <c r="H68" s="146" t="str">
        <f t="shared" si="5"/>
        <v/>
      </c>
      <c r="I68" s="161" t="str">
        <f t="shared" si="6"/>
        <v/>
      </c>
      <c r="J68" s="160" t="str">
        <f>IFERROR(INDEX(当年标准成本!I:I,MATCH(C68,当年标准成本!C:C,0),1),"")</f>
        <v/>
      </c>
      <c r="K68" s="146" t="str">
        <f t="shared" si="7"/>
        <v/>
      </c>
      <c r="L68" s="146" t="str">
        <f t="shared" si="8"/>
        <v/>
      </c>
      <c r="M68" s="148" t="str">
        <f t="shared" si="9"/>
        <v/>
      </c>
    </row>
    <row r="69" spans="1:13" x14ac:dyDescent="0.3">
      <c r="A69" s="149"/>
      <c r="B69" s="149"/>
      <c r="C69" s="149"/>
      <c r="D69" s="149"/>
      <c r="E69" s="149"/>
      <c r="F69" s="149"/>
      <c r="G69" s="162"/>
      <c r="H69" s="146" t="str">
        <f t="shared" si="5"/>
        <v/>
      </c>
      <c r="I69" s="161" t="str">
        <f t="shared" si="6"/>
        <v/>
      </c>
      <c r="J69" s="160" t="str">
        <f>IFERROR(INDEX(当年标准成本!I:I,MATCH(C69,当年标准成本!C:C,0),1),"")</f>
        <v/>
      </c>
      <c r="K69" s="146" t="str">
        <f t="shared" si="7"/>
        <v/>
      </c>
      <c r="L69" s="146" t="str">
        <f t="shared" si="8"/>
        <v/>
      </c>
      <c r="M69" s="148" t="str">
        <f t="shared" si="9"/>
        <v/>
      </c>
    </row>
    <row r="70" spans="1:13" x14ac:dyDescent="0.3">
      <c r="A70" s="149"/>
      <c r="B70" s="149"/>
      <c r="C70" s="149"/>
      <c r="D70" s="149"/>
      <c r="E70" s="149"/>
      <c r="F70" s="149"/>
      <c r="G70" s="162"/>
      <c r="H70" s="146" t="str">
        <f t="shared" si="5"/>
        <v/>
      </c>
      <c r="I70" s="161" t="str">
        <f t="shared" si="6"/>
        <v/>
      </c>
      <c r="J70" s="160" t="str">
        <f>IFERROR(INDEX(当年标准成本!I:I,MATCH(C70,当年标准成本!C:C,0),1),"")</f>
        <v/>
      </c>
      <c r="K70" s="146" t="str">
        <f t="shared" si="7"/>
        <v/>
      </c>
      <c r="L70" s="146" t="str">
        <f t="shared" si="8"/>
        <v/>
      </c>
      <c r="M70" s="148" t="str">
        <f t="shared" si="9"/>
        <v/>
      </c>
    </row>
    <row r="71" spans="1:13" x14ac:dyDescent="0.3">
      <c r="A71" s="149"/>
      <c r="B71" s="149"/>
      <c r="C71" s="149"/>
      <c r="D71" s="149"/>
      <c r="E71" s="149"/>
      <c r="F71" s="149"/>
      <c r="G71" s="162"/>
      <c r="H71" s="146" t="str">
        <f t="shared" si="5"/>
        <v/>
      </c>
      <c r="I71" s="161" t="str">
        <f t="shared" si="6"/>
        <v/>
      </c>
      <c r="J71" s="160" t="str">
        <f>IFERROR(INDEX(当年标准成本!I:I,MATCH(C71,当年标准成本!C:C,0),1),"")</f>
        <v/>
      </c>
      <c r="K71" s="146" t="str">
        <f t="shared" si="7"/>
        <v/>
      </c>
      <c r="L71" s="146" t="str">
        <f t="shared" si="8"/>
        <v/>
      </c>
      <c r="M71" s="148" t="str">
        <f t="shared" si="9"/>
        <v/>
      </c>
    </row>
    <row r="72" spans="1:13" x14ac:dyDescent="0.3">
      <c r="A72" s="149"/>
      <c r="B72" s="149"/>
      <c r="C72" s="149"/>
      <c r="D72" s="149"/>
      <c r="E72" s="149"/>
      <c r="F72" s="149"/>
      <c r="G72" s="162"/>
      <c r="H72" s="146" t="str">
        <f t="shared" si="5"/>
        <v/>
      </c>
      <c r="I72" s="161" t="str">
        <f t="shared" si="6"/>
        <v/>
      </c>
      <c r="J72" s="160" t="str">
        <f>IFERROR(INDEX(当年标准成本!I:I,MATCH(C72,当年标准成本!C:C,0),1),"")</f>
        <v/>
      </c>
      <c r="K72" s="146" t="str">
        <f t="shared" si="7"/>
        <v/>
      </c>
      <c r="L72" s="146" t="str">
        <f t="shared" si="8"/>
        <v/>
      </c>
      <c r="M72" s="148" t="str">
        <f t="shared" si="9"/>
        <v/>
      </c>
    </row>
    <row r="73" spans="1:13" x14ac:dyDescent="0.3">
      <c r="A73" s="149"/>
      <c r="B73" s="149"/>
      <c r="C73" s="149"/>
      <c r="D73" s="149"/>
      <c r="E73" s="149"/>
      <c r="F73" s="149"/>
      <c r="G73" s="162"/>
      <c r="H73" s="146" t="str">
        <f t="shared" si="5"/>
        <v/>
      </c>
      <c r="I73" s="161" t="str">
        <f t="shared" si="6"/>
        <v/>
      </c>
      <c r="J73" s="160" t="str">
        <f>IFERROR(INDEX(当年标准成本!I:I,MATCH(C73,当年标准成本!C:C,0),1),"")</f>
        <v/>
      </c>
      <c r="K73" s="146" t="str">
        <f t="shared" si="7"/>
        <v/>
      </c>
      <c r="L73" s="146" t="str">
        <f t="shared" si="8"/>
        <v/>
      </c>
      <c r="M73" s="148" t="str">
        <f t="shared" si="9"/>
        <v/>
      </c>
    </row>
    <row r="74" spans="1:13" x14ac:dyDescent="0.3">
      <c r="A74" s="149"/>
      <c r="B74" s="149"/>
      <c r="C74" s="149"/>
      <c r="D74" s="149"/>
      <c r="E74" s="149"/>
      <c r="F74" s="149"/>
      <c r="G74" s="162"/>
      <c r="H74" s="146" t="str">
        <f t="shared" si="5"/>
        <v/>
      </c>
      <c r="I74" s="161" t="str">
        <f t="shared" si="6"/>
        <v/>
      </c>
      <c r="J74" s="160" t="str">
        <f>IFERROR(INDEX(当年标准成本!I:I,MATCH(C74,当年标准成本!C:C,0),1),"")</f>
        <v/>
      </c>
      <c r="K74" s="146" t="str">
        <f t="shared" si="7"/>
        <v/>
      </c>
      <c r="L74" s="146" t="str">
        <f t="shared" si="8"/>
        <v/>
      </c>
      <c r="M74" s="148" t="str">
        <f t="shared" si="9"/>
        <v/>
      </c>
    </row>
    <row r="75" spans="1:13" x14ac:dyDescent="0.3">
      <c r="A75" s="149"/>
      <c r="B75" s="149"/>
      <c r="C75" s="149"/>
      <c r="D75" s="149"/>
      <c r="E75" s="149"/>
      <c r="F75" s="149"/>
      <c r="G75" s="162"/>
      <c r="H75" s="146" t="str">
        <f t="shared" si="5"/>
        <v/>
      </c>
      <c r="I75" s="161" t="str">
        <f t="shared" si="6"/>
        <v/>
      </c>
      <c r="J75" s="160" t="str">
        <f>IFERROR(INDEX(当年标准成本!I:I,MATCH(C75,当年标准成本!C:C,0),1),"")</f>
        <v/>
      </c>
      <c r="K75" s="146" t="str">
        <f t="shared" si="7"/>
        <v/>
      </c>
      <c r="L75" s="146" t="str">
        <f t="shared" si="8"/>
        <v/>
      </c>
      <c r="M75" s="148" t="str">
        <f t="shared" si="9"/>
        <v/>
      </c>
    </row>
    <row r="76" spans="1:13" x14ac:dyDescent="0.3">
      <c r="A76" s="149"/>
      <c r="B76" s="149"/>
      <c r="C76" s="149"/>
      <c r="D76" s="149"/>
      <c r="E76" s="149"/>
      <c r="F76" s="149"/>
      <c r="G76" s="162"/>
      <c r="H76" s="146" t="str">
        <f t="shared" ref="H76:H139" si="10">IFERROR(F76/E76,"")</f>
        <v/>
      </c>
      <c r="I76" s="161" t="str">
        <f t="shared" ref="I76:I139" si="11">IFERROR(H76*(1+G76),"")</f>
        <v/>
      </c>
      <c r="J76" s="160" t="str">
        <f>IFERROR(INDEX(当年标准成本!I:I,MATCH(C76,当年标准成本!C:C,0),1),"")</f>
        <v/>
      </c>
      <c r="K76" s="146" t="str">
        <f t="shared" ref="K76:K139" si="12">IFERROR(E76*J76,"")</f>
        <v/>
      </c>
      <c r="L76" s="146" t="str">
        <f t="shared" ref="L76:L139" si="13">IFERROR(F76-K76,"")</f>
        <v/>
      </c>
      <c r="M76" s="148" t="str">
        <f t="shared" ref="M76:M139" si="14">IFERROR(L76/F76,"")</f>
        <v/>
      </c>
    </row>
    <row r="77" spans="1:13" x14ac:dyDescent="0.3">
      <c r="A77" s="149"/>
      <c r="B77" s="149"/>
      <c r="C77" s="149"/>
      <c r="D77" s="149"/>
      <c r="E77" s="149"/>
      <c r="F77" s="149"/>
      <c r="G77" s="162"/>
      <c r="H77" s="146" t="str">
        <f t="shared" si="10"/>
        <v/>
      </c>
      <c r="I77" s="161" t="str">
        <f t="shared" si="11"/>
        <v/>
      </c>
      <c r="J77" s="160" t="str">
        <f>IFERROR(INDEX(当年标准成本!I:I,MATCH(C77,当年标准成本!C:C,0),1),"")</f>
        <v/>
      </c>
      <c r="K77" s="146" t="str">
        <f t="shared" si="12"/>
        <v/>
      </c>
      <c r="L77" s="146" t="str">
        <f t="shared" si="13"/>
        <v/>
      </c>
      <c r="M77" s="148" t="str">
        <f t="shared" si="14"/>
        <v/>
      </c>
    </row>
    <row r="78" spans="1:13" x14ac:dyDescent="0.3">
      <c r="A78" s="149"/>
      <c r="B78" s="149"/>
      <c r="C78" s="149"/>
      <c r="D78" s="149"/>
      <c r="E78" s="149"/>
      <c r="F78" s="149"/>
      <c r="G78" s="162"/>
      <c r="H78" s="146" t="str">
        <f t="shared" si="10"/>
        <v/>
      </c>
      <c r="I78" s="161" t="str">
        <f t="shared" si="11"/>
        <v/>
      </c>
      <c r="J78" s="160" t="str">
        <f>IFERROR(INDEX(当年标准成本!I:I,MATCH(C78,当年标准成本!C:C,0),1),"")</f>
        <v/>
      </c>
      <c r="K78" s="146" t="str">
        <f t="shared" si="12"/>
        <v/>
      </c>
      <c r="L78" s="146" t="str">
        <f t="shared" si="13"/>
        <v/>
      </c>
      <c r="M78" s="148" t="str">
        <f t="shared" si="14"/>
        <v/>
      </c>
    </row>
    <row r="79" spans="1:13" x14ac:dyDescent="0.3">
      <c r="A79" s="149"/>
      <c r="B79" s="149"/>
      <c r="C79" s="149"/>
      <c r="D79" s="149"/>
      <c r="E79" s="149"/>
      <c r="F79" s="149"/>
      <c r="G79" s="162"/>
      <c r="H79" s="146" t="str">
        <f t="shared" si="10"/>
        <v/>
      </c>
      <c r="I79" s="161" t="str">
        <f t="shared" si="11"/>
        <v/>
      </c>
      <c r="J79" s="160" t="str">
        <f>IFERROR(INDEX(当年标准成本!I:I,MATCH(C79,当年标准成本!C:C,0),1),"")</f>
        <v/>
      </c>
      <c r="K79" s="146" t="str">
        <f t="shared" si="12"/>
        <v/>
      </c>
      <c r="L79" s="146" t="str">
        <f t="shared" si="13"/>
        <v/>
      </c>
      <c r="M79" s="148" t="str">
        <f t="shared" si="14"/>
        <v/>
      </c>
    </row>
    <row r="80" spans="1:13" x14ac:dyDescent="0.3">
      <c r="A80" s="149"/>
      <c r="B80" s="149"/>
      <c r="C80" s="149"/>
      <c r="D80" s="149"/>
      <c r="E80" s="149"/>
      <c r="F80" s="149"/>
      <c r="G80" s="162"/>
      <c r="H80" s="146" t="str">
        <f t="shared" si="10"/>
        <v/>
      </c>
      <c r="I80" s="161" t="str">
        <f t="shared" si="11"/>
        <v/>
      </c>
      <c r="J80" s="160" t="str">
        <f>IFERROR(INDEX(当年标准成本!I:I,MATCH(C80,当年标准成本!C:C,0),1),"")</f>
        <v/>
      </c>
      <c r="K80" s="146" t="str">
        <f t="shared" si="12"/>
        <v/>
      </c>
      <c r="L80" s="146" t="str">
        <f t="shared" si="13"/>
        <v/>
      </c>
      <c r="M80" s="148" t="str">
        <f t="shared" si="14"/>
        <v/>
      </c>
    </row>
    <row r="81" spans="1:13" x14ac:dyDescent="0.3">
      <c r="A81" s="149"/>
      <c r="B81" s="149"/>
      <c r="C81" s="149"/>
      <c r="D81" s="149"/>
      <c r="E81" s="149"/>
      <c r="F81" s="149"/>
      <c r="G81" s="162"/>
      <c r="H81" s="146" t="str">
        <f t="shared" si="10"/>
        <v/>
      </c>
      <c r="I81" s="161" t="str">
        <f t="shared" si="11"/>
        <v/>
      </c>
      <c r="J81" s="160" t="str">
        <f>IFERROR(INDEX(当年标准成本!I:I,MATCH(C81,当年标准成本!C:C,0),1),"")</f>
        <v/>
      </c>
      <c r="K81" s="146" t="str">
        <f t="shared" si="12"/>
        <v/>
      </c>
      <c r="L81" s="146" t="str">
        <f t="shared" si="13"/>
        <v/>
      </c>
      <c r="M81" s="148" t="str">
        <f t="shared" si="14"/>
        <v/>
      </c>
    </row>
    <row r="82" spans="1:13" x14ac:dyDescent="0.3">
      <c r="A82" s="149"/>
      <c r="B82" s="149"/>
      <c r="C82" s="149"/>
      <c r="D82" s="149"/>
      <c r="E82" s="149"/>
      <c r="F82" s="149"/>
      <c r="G82" s="162"/>
      <c r="H82" s="146" t="str">
        <f t="shared" si="10"/>
        <v/>
      </c>
      <c r="I82" s="161" t="str">
        <f t="shared" si="11"/>
        <v/>
      </c>
      <c r="J82" s="160" t="str">
        <f>IFERROR(INDEX(当年标准成本!I:I,MATCH(C82,当年标准成本!C:C,0),1),"")</f>
        <v/>
      </c>
      <c r="K82" s="146" t="str">
        <f t="shared" si="12"/>
        <v/>
      </c>
      <c r="L82" s="146" t="str">
        <f t="shared" si="13"/>
        <v/>
      </c>
      <c r="M82" s="148" t="str">
        <f t="shared" si="14"/>
        <v/>
      </c>
    </row>
    <row r="83" spans="1:13" x14ac:dyDescent="0.3">
      <c r="A83" s="149"/>
      <c r="B83" s="149"/>
      <c r="C83" s="149"/>
      <c r="D83" s="149"/>
      <c r="E83" s="149"/>
      <c r="F83" s="149"/>
      <c r="G83" s="162"/>
      <c r="H83" s="146" t="str">
        <f t="shared" si="10"/>
        <v/>
      </c>
      <c r="I83" s="161" t="str">
        <f t="shared" si="11"/>
        <v/>
      </c>
      <c r="J83" s="160" t="str">
        <f>IFERROR(INDEX(当年标准成本!I:I,MATCH(C83,当年标准成本!C:C,0),1),"")</f>
        <v/>
      </c>
      <c r="K83" s="146" t="str">
        <f t="shared" si="12"/>
        <v/>
      </c>
      <c r="L83" s="146" t="str">
        <f t="shared" si="13"/>
        <v/>
      </c>
      <c r="M83" s="148" t="str">
        <f t="shared" si="14"/>
        <v/>
      </c>
    </row>
    <row r="84" spans="1:13" x14ac:dyDescent="0.3">
      <c r="A84" s="149"/>
      <c r="B84" s="149"/>
      <c r="C84" s="149"/>
      <c r="D84" s="149"/>
      <c r="E84" s="149"/>
      <c r="F84" s="149"/>
      <c r="G84" s="162"/>
      <c r="H84" s="146" t="str">
        <f t="shared" si="10"/>
        <v/>
      </c>
      <c r="I84" s="161" t="str">
        <f t="shared" si="11"/>
        <v/>
      </c>
      <c r="J84" s="160" t="str">
        <f>IFERROR(INDEX(当年标准成本!I:I,MATCH(C84,当年标准成本!C:C,0),1),"")</f>
        <v/>
      </c>
      <c r="K84" s="146" t="str">
        <f t="shared" si="12"/>
        <v/>
      </c>
      <c r="L84" s="146" t="str">
        <f t="shared" si="13"/>
        <v/>
      </c>
      <c r="M84" s="148" t="str">
        <f t="shared" si="14"/>
        <v/>
      </c>
    </row>
    <row r="85" spans="1:13" x14ac:dyDescent="0.3">
      <c r="A85" s="149"/>
      <c r="B85" s="149"/>
      <c r="C85" s="149"/>
      <c r="D85" s="149"/>
      <c r="E85" s="149"/>
      <c r="F85" s="149"/>
      <c r="G85" s="162"/>
      <c r="H85" s="146" t="str">
        <f t="shared" si="10"/>
        <v/>
      </c>
      <c r="I85" s="161" t="str">
        <f t="shared" si="11"/>
        <v/>
      </c>
      <c r="J85" s="160" t="str">
        <f>IFERROR(INDEX(当年标准成本!I:I,MATCH(C85,当年标准成本!C:C,0),1),"")</f>
        <v/>
      </c>
      <c r="K85" s="146" t="str">
        <f t="shared" si="12"/>
        <v/>
      </c>
      <c r="L85" s="146" t="str">
        <f t="shared" si="13"/>
        <v/>
      </c>
      <c r="M85" s="148" t="str">
        <f t="shared" si="14"/>
        <v/>
      </c>
    </row>
    <row r="86" spans="1:13" x14ac:dyDescent="0.3">
      <c r="A86" s="149"/>
      <c r="B86" s="149"/>
      <c r="C86" s="149"/>
      <c r="D86" s="149"/>
      <c r="E86" s="149"/>
      <c r="F86" s="149"/>
      <c r="G86" s="162"/>
      <c r="H86" s="146" t="str">
        <f t="shared" si="10"/>
        <v/>
      </c>
      <c r="I86" s="161" t="str">
        <f t="shared" si="11"/>
        <v/>
      </c>
      <c r="J86" s="160" t="str">
        <f>IFERROR(INDEX(当年标准成本!I:I,MATCH(C86,当年标准成本!C:C,0),1),"")</f>
        <v/>
      </c>
      <c r="K86" s="146" t="str">
        <f t="shared" si="12"/>
        <v/>
      </c>
      <c r="L86" s="146" t="str">
        <f t="shared" si="13"/>
        <v/>
      </c>
      <c r="M86" s="148" t="str">
        <f t="shared" si="14"/>
        <v/>
      </c>
    </row>
    <row r="87" spans="1:13" x14ac:dyDescent="0.3">
      <c r="A87" s="149"/>
      <c r="B87" s="149"/>
      <c r="C87" s="149"/>
      <c r="D87" s="149"/>
      <c r="E87" s="149"/>
      <c r="F87" s="149"/>
      <c r="G87" s="162"/>
      <c r="H87" s="146" t="str">
        <f t="shared" si="10"/>
        <v/>
      </c>
      <c r="I87" s="161" t="str">
        <f t="shared" si="11"/>
        <v/>
      </c>
      <c r="J87" s="160" t="str">
        <f>IFERROR(INDEX(当年标准成本!I:I,MATCH(C87,当年标准成本!C:C,0),1),"")</f>
        <v/>
      </c>
      <c r="K87" s="146" t="str">
        <f t="shared" si="12"/>
        <v/>
      </c>
      <c r="L87" s="146" t="str">
        <f t="shared" si="13"/>
        <v/>
      </c>
      <c r="M87" s="148" t="str">
        <f t="shared" si="14"/>
        <v/>
      </c>
    </row>
    <row r="88" spans="1:13" x14ac:dyDescent="0.3">
      <c r="A88" s="149"/>
      <c r="B88" s="149"/>
      <c r="C88" s="149"/>
      <c r="D88" s="149"/>
      <c r="E88" s="149"/>
      <c r="F88" s="149"/>
      <c r="G88" s="162"/>
      <c r="H88" s="146" t="str">
        <f t="shared" si="10"/>
        <v/>
      </c>
      <c r="I88" s="161" t="str">
        <f t="shared" si="11"/>
        <v/>
      </c>
      <c r="J88" s="160" t="str">
        <f>IFERROR(INDEX(当年标准成本!I:I,MATCH(C88,当年标准成本!C:C,0),1),"")</f>
        <v/>
      </c>
      <c r="K88" s="146" t="str">
        <f t="shared" si="12"/>
        <v/>
      </c>
      <c r="L88" s="146" t="str">
        <f t="shared" si="13"/>
        <v/>
      </c>
      <c r="M88" s="148" t="str">
        <f t="shared" si="14"/>
        <v/>
      </c>
    </row>
    <row r="89" spans="1:13" x14ac:dyDescent="0.3">
      <c r="A89" s="149"/>
      <c r="B89" s="149"/>
      <c r="C89" s="149"/>
      <c r="D89" s="149"/>
      <c r="E89" s="149"/>
      <c r="F89" s="149"/>
      <c r="G89" s="162"/>
      <c r="H89" s="146" t="str">
        <f t="shared" si="10"/>
        <v/>
      </c>
      <c r="I89" s="161" t="str">
        <f t="shared" si="11"/>
        <v/>
      </c>
      <c r="J89" s="160" t="str">
        <f>IFERROR(INDEX(当年标准成本!I:I,MATCH(C89,当年标准成本!C:C,0),1),"")</f>
        <v/>
      </c>
      <c r="K89" s="146" t="str">
        <f t="shared" si="12"/>
        <v/>
      </c>
      <c r="L89" s="146" t="str">
        <f t="shared" si="13"/>
        <v/>
      </c>
      <c r="M89" s="148" t="str">
        <f t="shared" si="14"/>
        <v/>
      </c>
    </row>
    <row r="90" spans="1:13" x14ac:dyDescent="0.3">
      <c r="A90" s="149"/>
      <c r="B90" s="149"/>
      <c r="C90" s="149"/>
      <c r="D90" s="149"/>
      <c r="E90" s="149"/>
      <c r="F90" s="149"/>
      <c r="G90" s="162"/>
      <c r="H90" s="146" t="str">
        <f t="shared" si="10"/>
        <v/>
      </c>
      <c r="I90" s="161" t="str">
        <f t="shared" si="11"/>
        <v/>
      </c>
      <c r="J90" s="160" t="str">
        <f>IFERROR(INDEX(当年标准成本!I:I,MATCH(C90,当年标准成本!C:C,0),1),"")</f>
        <v/>
      </c>
      <c r="K90" s="146" t="str">
        <f t="shared" si="12"/>
        <v/>
      </c>
      <c r="L90" s="146" t="str">
        <f t="shared" si="13"/>
        <v/>
      </c>
      <c r="M90" s="148" t="str">
        <f t="shared" si="14"/>
        <v/>
      </c>
    </row>
    <row r="91" spans="1:13" x14ac:dyDescent="0.3">
      <c r="A91" s="149"/>
      <c r="B91" s="149"/>
      <c r="C91" s="149"/>
      <c r="D91" s="149"/>
      <c r="E91" s="149"/>
      <c r="F91" s="149"/>
      <c r="G91" s="162"/>
      <c r="H91" s="146" t="str">
        <f t="shared" si="10"/>
        <v/>
      </c>
      <c r="I91" s="161" t="str">
        <f t="shared" si="11"/>
        <v/>
      </c>
      <c r="J91" s="160" t="str">
        <f>IFERROR(INDEX(当年标准成本!I:I,MATCH(C91,当年标准成本!C:C,0),1),"")</f>
        <v/>
      </c>
      <c r="K91" s="146" t="str">
        <f t="shared" si="12"/>
        <v/>
      </c>
      <c r="L91" s="146" t="str">
        <f t="shared" si="13"/>
        <v/>
      </c>
      <c r="M91" s="148" t="str">
        <f t="shared" si="14"/>
        <v/>
      </c>
    </row>
    <row r="92" spans="1:13" x14ac:dyDescent="0.3">
      <c r="A92" s="149"/>
      <c r="B92" s="149"/>
      <c r="C92" s="149"/>
      <c r="D92" s="149"/>
      <c r="E92" s="149"/>
      <c r="F92" s="149"/>
      <c r="G92" s="162"/>
      <c r="H92" s="146" t="str">
        <f t="shared" si="10"/>
        <v/>
      </c>
      <c r="I92" s="161" t="str">
        <f t="shared" si="11"/>
        <v/>
      </c>
      <c r="J92" s="160" t="str">
        <f>IFERROR(INDEX(当年标准成本!I:I,MATCH(C92,当年标准成本!C:C,0),1),"")</f>
        <v/>
      </c>
      <c r="K92" s="146" t="str">
        <f t="shared" si="12"/>
        <v/>
      </c>
      <c r="L92" s="146" t="str">
        <f t="shared" si="13"/>
        <v/>
      </c>
      <c r="M92" s="148" t="str">
        <f t="shared" si="14"/>
        <v/>
      </c>
    </row>
    <row r="93" spans="1:13" x14ac:dyDescent="0.3">
      <c r="A93" s="149"/>
      <c r="B93" s="149"/>
      <c r="C93" s="149"/>
      <c r="D93" s="149"/>
      <c r="E93" s="149"/>
      <c r="F93" s="149"/>
      <c r="G93" s="162"/>
      <c r="H93" s="146" t="str">
        <f t="shared" si="10"/>
        <v/>
      </c>
      <c r="I93" s="161" t="str">
        <f t="shared" si="11"/>
        <v/>
      </c>
      <c r="J93" s="160" t="str">
        <f>IFERROR(INDEX(当年标准成本!I:I,MATCH(C93,当年标准成本!C:C,0),1),"")</f>
        <v/>
      </c>
      <c r="K93" s="146" t="str">
        <f t="shared" si="12"/>
        <v/>
      </c>
      <c r="L93" s="146" t="str">
        <f t="shared" si="13"/>
        <v/>
      </c>
      <c r="M93" s="148" t="str">
        <f t="shared" si="14"/>
        <v/>
      </c>
    </row>
    <row r="94" spans="1:13" x14ac:dyDescent="0.3">
      <c r="A94" s="149"/>
      <c r="B94" s="149"/>
      <c r="C94" s="149"/>
      <c r="D94" s="149"/>
      <c r="E94" s="149"/>
      <c r="F94" s="149"/>
      <c r="G94" s="162"/>
      <c r="H94" s="146" t="str">
        <f t="shared" si="10"/>
        <v/>
      </c>
      <c r="I94" s="161" t="str">
        <f t="shared" si="11"/>
        <v/>
      </c>
      <c r="J94" s="160" t="str">
        <f>IFERROR(INDEX(当年标准成本!I:I,MATCH(C94,当年标准成本!C:C,0),1),"")</f>
        <v/>
      </c>
      <c r="K94" s="146" t="str">
        <f t="shared" si="12"/>
        <v/>
      </c>
      <c r="L94" s="146" t="str">
        <f t="shared" si="13"/>
        <v/>
      </c>
      <c r="M94" s="148" t="str">
        <f t="shared" si="14"/>
        <v/>
      </c>
    </row>
    <row r="95" spans="1:13" x14ac:dyDescent="0.3">
      <c r="A95" s="149"/>
      <c r="B95" s="149"/>
      <c r="C95" s="149"/>
      <c r="D95" s="149"/>
      <c r="E95" s="149"/>
      <c r="F95" s="149"/>
      <c r="G95" s="162"/>
      <c r="H95" s="146" t="str">
        <f t="shared" si="10"/>
        <v/>
      </c>
      <c r="I95" s="161" t="str">
        <f t="shared" si="11"/>
        <v/>
      </c>
      <c r="J95" s="160" t="str">
        <f>IFERROR(INDEX(当年标准成本!I:I,MATCH(C95,当年标准成本!C:C,0),1),"")</f>
        <v/>
      </c>
      <c r="K95" s="146" t="str">
        <f t="shared" si="12"/>
        <v/>
      </c>
      <c r="L95" s="146" t="str">
        <f t="shared" si="13"/>
        <v/>
      </c>
      <c r="M95" s="148" t="str">
        <f t="shared" si="14"/>
        <v/>
      </c>
    </row>
    <row r="96" spans="1:13" x14ac:dyDescent="0.3">
      <c r="A96" s="149"/>
      <c r="B96" s="149"/>
      <c r="C96" s="149"/>
      <c r="D96" s="149"/>
      <c r="E96" s="149"/>
      <c r="F96" s="149"/>
      <c r="G96" s="162"/>
      <c r="H96" s="146" t="str">
        <f t="shared" si="10"/>
        <v/>
      </c>
      <c r="I96" s="161" t="str">
        <f t="shared" si="11"/>
        <v/>
      </c>
      <c r="J96" s="160" t="str">
        <f>IFERROR(INDEX(当年标准成本!I:I,MATCH(C96,当年标准成本!C:C,0),1),"")</f>
        <v/>
      </c>
      <c r="K96" s="146" t="str">
        <f t="shared" si="12"/>
        <v/>
      </c>
      <c r="L96" s="146" t="str">
        <f t="shared" si="13"/>
        <v/>
      </c>
      <c r="M96" s="148" t="str">
        <f t="shared" si="14"/>
        <v/>
      </c>
    </row>
    <row r="97" spans="1:13" x14ac:dyDescent="0.3">
      <c r="A97" s="149"/>
      <c r="B97" s="149"/>
      <c r="C97" s="149"/>
      <c r="D97" s="149"/>
      <c r="E97" s="149"/>
      <c r="F97" s="149"/>
      <c r="G97" s="162"/>
      <c r="H97" s="146" t="str">
        <f t="shared" si="10"/>
        <v/>
      </c>
      <c r="I97" s="161" t="str">
        <f t="shared" si="11"/>
        <v/>
      </c>
      <c r="J97" s="160" t="str">
        <f>IFERROR(INDEX(当年标准成本!I:I,MATCH(C97,当年标准成本!C:C,0),1),"")</f>
        <v/>
      </c>
      <c r="K97" s="146" t="str">
        <f t="shared" si="12"/>
        <v/>
      </c>
      <c r="L97" s="146" t="str">
        <f t="shared" si="13"/>
        <v/>
      </c>
      <c r="M97" s="148" t="str">
        <f t="shared" si="14"/>
        <v/>
      </c>
    </row>
    <row r="98" spans="1:13" x14ac:dyDescent="0.3">
      <c r="A98" s="149"/>
      <c r="B98" s="149"/>
      <c r="C98" s="149"/>
      <c r="D98" s="149"/>
      <c r="E98" s="149"/>
      <c r="F98" s="149"/>
      <c r="G98" s="162"/>
      <c r="H98" s="146" t="str">
        <f t="shared" si="10"/>
        <v/>
      </c>
      <c r="I98" s="161" t="str">
        <f t="shared" si="11"/>
        <v/>
      </c>
      <c r="J98" s="160" t="str">
        <f>IFERROR(INDEX(当年标准成本!I:I,MATCH(C98,当年标准成本!C:C,0),1),"")</f>
        <v/>
      </c>
      <c r="K98" s="146" t="str">
        <f t="shared" si="12"/>
        <v/>
      </c>
      <c r="L98" s="146" t="str">
        <f t="shared" si="13"/>
        <v/>
      </c>
      <c r="M98" s="148" t="str">
        <f t="shared" si="14"/>
        <v/>
      </c>
    </row>
    <row r="99" spans="1:13" x14ac:dyDescent="0.3">
      <c r="A99" s="149"/>
      <c r="B99" s="149"/>
      <c r="C99" s="149"/>
      <c r="D99" s="149"/>
      <c r="E99" s="149"/>
      <c r="F99" s="149"/>
      <c r="G99" s="162"/>
      <c r="H99" s="146" t="str">
        <f t="shared" si="10"/>
        <v/>
      </c>
      <c r="I99" s="161" t="str">
        <f t="shared" si="11"/>
        <v/>
      </c>
      <c r="J99" s="160" t="str">
        <f>IFERROR(INDEX(当年标准成本!I:I,MATCH(C99,当年标准成本!C:C,0),1),"")</f>
        <v/>
      </c>
      <c r="K99" s="146" t="str">
        <f t="shared" si="12"/>
        <v/>
      </c>
      <c r="L99" s="146" t="str">
        <f t="shared" si="13"/>
        <v/>
      </c>
      <c r="M99" s="148" t="str">
        <f t="shared" si="14"/>
        <v/>
      </c>
    </row>
    <row r="100" spans="1:13" x14ac:dyDescent="0.3">
      <c r="A100" s="149"/>
      <c r="B100" s="149"/>
      <c r="C100" s="149"/>
      <c r="D100" s="149"/>
      <c r="E100" s="149"/>
      <c r="F100" s="149"/>
      <c r="G100" s="162"/>
      <c r="H100" s="146" t="str">
        <f t="shared" si="10"/>
        <v/>
      </c>
      <c r="I100" s="161" t="str">
        <f t="shared" si="11"/>
        <v/>
      </c>
      <c r="J100" s="160" t="str">
        <f>IFERROR(INDEX(当年标准成本!I:I,MATCH(C100,当年标准成本!C:C,0),1),"")</f>
        <v/>
      </c>
      <c r="K100" s="146" t="str">
        <f t="shared" si="12"/>
        <v/>
      </c>
      <c r="L100" s="146" t="str">
        <f t="shared" si="13"/>
        <v/>
      </c>
      <c r="M100" s="148" t="str">
        <f t="shared" si="14"/>
        <v/>
      </c>
    </row>
    <row r="101" spans="1:13" x14ac:dyDescent="0.3">
      <c r="A101" s="149"/>
      <c r="B101" s="149"/>
      <c r="C101" s="149"/>
      <c r="D101" s="149"/>
      <c r="E101" s="149"/>
      <c r="F101" s="149"/>
      <c r="G101" s="162"/>
      <c r="H101" s="146" t="str">
        <f t="shared" si="10"/>
        <v/>
      </c>
      <c r="I101" s="161" t="str">
        <f t="shared" si="11"/>
        <v/>
      </c>
      <c r="J101" s="160" t="str">
        <f>IFERROR(INDEX(当年标准成本!I:I,MATCH(C101,当年标准成本!C:C,0),1),"")</f>
        <v/>
      </c>
      <c r="K101" s="146" t="str">
        <f t="shared" si="12"/>
        <v/>
      </c>
      <c r="L101" s="146" t="str">
        <f t="shared" si="13"/>
        <v/>
      </c>
      <c r="M101" s="148" t="str">
        <f t="shared" si="14"/>
        <v/>
      </c>
    </row>
    <row r="102" spans="1:13" x14ac:dyDescent="0.3">
      <c r="A102" s="149"/>
      <c r="B102" s="149"/>
      <c r="C102" s="149"/>
      <c r="D102" s="149"/>
      <c r="E102" s="149"/>
      <c r="F102" s="149"/>
      <c r="G102" s="162"/>
      <c r="H102" s="146" t="str">
        <f t="shared" si="10"/>
        <v/>
      </c>
      <c r="I102" s="161" t="str">
        <f t="shared" si="11"/>
        <v/>
      </c>
      <c r="J102" s="160" t="str">
        <f>IFERROR(INDEX(当年标准成本!I:I,MATCH(C102,当年标准成本!C:C,0),1),"")</f>
        <v/>
      </c>
      <c r="K102" s="146" t="str">
        <f t="shared" si="12"/>
        <v/>
      </c>
      <c r="L102" s="146" t="str">
        <f t="shared" si="13"/>
        <v/>
      </c>
      <c r="M102" s="148" t="str">
        <f t="shared" si="14"/>
        <v/>
      </c>
    </row>
    <row r="103" spans="1:13" x14ac:dyDescent="0.3">
      <c r="A103" s="149"/>
      <c r="B103" s="149"/>
      <c r="C103" s="149"/>
      <c r="D103" s="149"/>
      <c r="E103" s="149"/>
      <c r="F103" s="149"/>
      <c r="G103" s="162"/>
      <c r="H103" s="146" t="str">
        <f t="shared" si="10"/>
        <v/>
      </c>
      <c r="I103" s="161" t="str">
        <f t="shared" si="11"/>
        <v/>
      </c>
      <c r="J103" s="160" t="str">
        <f>IFERROR(INDEX(当年标准成本!I:I,MATCH(C103,当年标准成本!C:C,0),1),"")</f>
        <v/>
      </c>
      <c r="K103" s="146" t="str">
        <f t="shared" si="12"/>
        <v/>
      </c>
      <c r="L103" s="146" t="str">
        <f t="shared" si="13"/>
        <v/>
      </c>
      <c r="M103" s="148" t="str">
        <f t="shared" si="14"/>
        <v/>
      </c>
    </row>
    <row r="104" spans="1:13" x14ac:dyDescent="0.3">
      <c r="A104" s="149"/>
      <c r="B104" s="149"/>
      <c r="C104" s="149"/>
      <c r="D104" s="149"/>
      <c r="E104" s="149"/>
      <c r="F104" s="149"/>
      <c r="G104" s="162"/>
      <c r="H104" s="146" t="str">
        <f t="shared" si="10"/>
        <v/>
      </c>
      <c r="I104" s="161" t="str">
        <f t="shared" si="11"/>
        <v/>
      </c>
      <c r="J104" s="160" t="str">
        <f>IFERROR(INDEX(当年标准成本!I:I,MATCH(C104,当年标准成本!C:C,0),1),"")</f>
        <v/>
      </c>
      <c r="K104" s="146" t="str">
        <f t="shared" si="12"/>
        <v/>
      </c>
      <c r="L104" s="146" t="str">
        <f t="shared" si="13"/>
        <v/>
      </c>
      <c r="M104" s="148" t="str">
        <f t="shared" si="14"/>
        <v/>
      </c>
    </row>
    <row r="105" spans="1:13" x14ac:dyDescent="0.3">
      <c r="A105" s="149"/>
      <c r="B105" s="149"/>
      <c r="C105" s="149"/>
      <c r="D105" s="149"/>
      <c r="E105" s="149"/>
      <c r="F105" s="149"/>
      <c r="G105" s="162"/>
      <c r="H105" s="146" t="str">
        <f t="shared" si="10"/>
        <v/>
      </c>
      <c r="I105" s="161" t="str">
        <f t="shared" si="11"/>
        <v/>
      </c>
      <c r="J105" s="160" t="str">
        <f>IFERROR(INDEX(当年标准成本!I:I,MATCH(C105,当年标准成本!C:C,0),1),"")</f>
        <v/>
      </c>
      <c r="K105" s="146" t="str">
        <f t="shared" si="12"/>
        <v/>
      </c>
      <c r="L105" s="146" t="str">
        <f t="shared" si="13"/>
        <v/>
      </c>
      <c r="M105" s="148" t="str">
        <f t="shared" si="14"/>
        <v/>
      </c>
    </row>
    <row r="106" spans="1:13" x14ac:dyDescent="0.3">
      <c r="A106" s="149"/>
      <c r="B106" s="149"/>
      <c r="C106" s="149"/>
      <c r="D106" s="149"/>
      <c r="E106" s="149"/>
      <c r="F106" s="149"/>
      <c r="G106" s="162"/>
      <c r="H106" s="146" t="str">
        <f t="shared" si="10"/>
        <v/>
      </c>
      <c r="I106" s="161" t="str">
        <f t="shared" si="11"/>
        <v/>
      </c>
      <c r="J106" s="160" t="str">
        <f>IFERROR(INDEX(当年标准成本!I:I,MATCH(C106,当年标准成本!C:C,0),1),"")</f>
        <v/>
      </c>
      <c r="K106" s="146" t="str">
        <f t="shared" si="12"/>
        <v/>
      </c>
      <c r="L106" s="146" t="str">
        <f t="shared" si="13"/>
        <v/>
      </c>
      <c r="M106" s="148" t="str">
        <f t="shared" si="14"/>
        <v/>
      </c>
    </row>
    <row r="107" spans="1:13" x14ac:dyDescent="0.3">
      <c r="A107" s="149"/>
      <c r="B107" s="149"/>
      <c r="C107" s="149"/>
      <c r="D107" s="149"/>
      <c r="E107" s="149"/>
      <c r="F107" s="149"/>
      <c r="G107" s="162"/>
      <c r="H107" s="146" t="str">
        <f t="shared" si="10"/>
        <v/>
      </c>
      <c r="I107" s="161" t="str">
        <f t="shared" si="11"/>
        <v/>
      </c>
      <c r="J107" s="160" t="str">
        <f>IFERROR(INDEX(当年标准成本!I:I,MATCH(C107,当年标准成本!C:C,0),1),"")</f>
        <v/>
      </c>
      <c r="K107" s="146" t="str">
        <f t="shared" si="12"/>
        <v/>
      </c>
      <c r="L107" s="146" t="str">
        <f t="shared" si="13"/>
        <v/>
      </c>
      <c r="M107" s="148" t="str">
        <f t="shared" si="14"/>
        <v/>
      </c>
    </row>
    <row r="108" spans="1:13" x14ac:dyDescent="0.3">
      <c r="A108" s="149"/>
      <c r="B108" s="149"/>
      <c r="C108" s="149"/>
      <c r="D108" s="149"/>
      <c r="E108" s="149"/>
      <c r="F108" s="149"/>
      <c r="G108" s="162"/>
      <c r="H108" s="146" t="str">
        <f t="shared" si="10"/>
        <v/>
      </c>
      <c r="I108" s="161" t="str">
        <f t="shared" si="11"/>
        <v/>
      </c>
      <c r="J108" s="160" t="str">
        <f>IFERROR(INDEX(当年标准成本!I:I,MATCH(C108,当年标准成本!C:C,0),1),"")</f>
        <v/>
      </c>
      <c r="K108" s="146" t="str">
        <f t="shared" si="12"/>
        <v/>
      </c>
      <c r="L108" s="146" t="str">
        <f t="shared" si="13"/>
        <v/>
      </c>
      <c r="M108" s="148" t="str">
        <f t="shared" si="14"/>
        <v/>
      </c>
    </row>
    <row r="109" spans="1:13" x14ac:dyDescent="0.3">
      <c r="A109" s="149"/>
      <c r="B109" s="149"/>
      <c r="C109" s="149"/>
      <c r="D109" s="149"/>
      <c r="E109" s="149"/>
      <c r="F109" s="149"/>
      <c r="G109" s="162"/>
      <c r="H109" s="146" t="str">
        <f t="shared" si="10"/>
        <v/>
      </c>
      <c r="I109" s="161" t="str">
        <f t="shared" si="11"/>
        <v/>
      </c>
      <c r="J109" s="160" t="str">
        <f>IFERROR(INDEX(当年标准成本!I:I,MATCH(C109,当年标准成本!C:C,0),1),"")</f>
        <v/>
      </c>
      <c r="K109" s="146" t="str">
        <f t="shared" si="12"/>
        <v/>
      </c>
      <c r="L109" s="146" t="str">
        <f t="shared" si="13"/>
        <v/>
      </c>
      <c r="M109" s="148" t="str">
        <f t="shared" si="14"/>
        <v/>
      </c>
    </row>
    <row r="110" spans="1:13" x14ac:dyDescent="0.3">
      <c r="A110" s="149"/>
      <c r="B110" s="149"/>
      <c r="C110" s="149"/>
      <c r="D110" s="149"/>
      <c r="E110" s="149"/>
      <c r="F110" s="149"/>
      <c r="G110" s="162"/>
      <c r="H110" s="146" t="str">
        <f t="shared" si="10"/>
        <v/>
      </c>
      <c r="I110" s="161" t="str">
        <f t="shared" si="11"/>
        <v/>
      </c>
      <c r="J110" s="160" t="str">
        <f>IFERROR(INDEX(当年标准成本!I:I,MATCH(C110,当年标准成本!C:C,0),1),"")</f>
        <v/>
      </c>
      <c r="K110" s="146" t="str">
        <f t="shared" si="12"/>
        <v/>
      </c>
      <c r="L110" s="146" t="str">
        <f t="shared" si="13"/>
        <v/>
      </c>
      <c r="M110" s="148" t="str">
        <f t="shared" si="14"/>
        <v/>
      </c>
    </row>
    <row r="111" spans="1:13" x14ac:dyDescent="0.3">
      <c r="A111" s="149"/>
      <c r="B111" s="149"/>
      <c r="C111" s="149"/>
      <c r="D111" s="149"/>
      <c r="E111" s="149"/>
      <c r="F111" s="149"/>
      <c r="G111" s="162"/>
      <c r="H111" s="146" t="str">
        <f t="shared" si="10"/>
        <v/>
      </c>
      <c r="I111" s="161" t="str">
        <f t="shared" si="11"/>
        <v/>
      </c>
      <c r="J111" s="160" t="str">
        <f>IFERROR(INDEX(当年标准成本!I:I,MATCH(C111,当年标准成本!C:C,0),1),"")</f>
        <v/>
      </c>
      <c r="K111" s="146" t="str">
        <f t="shared" si="12"/>
        <v/>
      </c>
      <c r="L111" s="146" t="str">
        <f t="shared" si="13"/>
        <v/>
      </c>
      <c r="M111" s="148" t="str">
        <f t="shared" si="14"/>
        <v/>
      </c>
    </row>
    <row r="112" spans="1:13" x14ac:dyDescent="0.3">
      <c r="A112" s="149"/>
      <c r="B112" s="149"/>
      <c r="C112" s="149"/>
      <c r="D112" s="149"/>
      <c r="E112" s="149"/>
      <c r="F112" s="149"/>
      <c r="G112" s="162"/>
      <c r="H112" s="146" t="str">
        <f t="shared" si="10"/>
        <v/>
      </c>
      <c r="I112" s="161" t="str">
        <f t="shared" si="11"/>
        <v/>
      </c>
      <c r="J112" s="160" t="str">
        <f>IFERROR(INDEX(当年标准成本!I:I,MATCH(C112,当年标准成本!C:C,0),1),"")</f>
        <v/>
      </c>
      <c r="K112" s="146" t="str">
        <f t="shared" si="12"/>
        <v/>
      </c>
      <c r="L112" s="146" t="str">
        <f t="shared" si="13"/>
        <v/>
      </c>
      <c r="M112" s="148" t="str">
        <f t="shared" si="14"/>
        <v/>
      </c>
    </row>
    <row r="113" spans="1:13" x14ac:dyDescent="0.3">
      <c r="A113" s="149"/>
      <c r="B113" s="149"/>
      <c r="C113" s="149"/>
      <c r="D113" s="149"/>
      <c r="E113" s="149"/>
      <c r="F113" s="149"/>
      <c r="G113" s="162"/>
      <c r="H113" s="146" t="str">
        <f t="shared" si="10"/>
        <v/>
      </c>
      <c r="I113" s="161" t="str">
        <f t="shared" si="11"/>
        <v/>
      </c>
      <c r="J113" s="160" t="str">
        <f>IFERROR(INDEX(当年标准成本!I:I,MATCH(C113,当年标准成本!C:C,0),1),"")</f>
        <v/>
      </c>
      <c r="K113" s="146" t="str">
        <f t="shared" si="12"/>
        <v/>
      </c>
      <c r="L113" s="146" t="str">
        <f t="shared" si="13"/>
        <v/>
      </c>
      <c r="M113" s="148" t="str">
        <f t="shared" si="14"/>
        <v/>
      </c>
    </row>
    <row r="114" spans="1:13" x14ac:dyDescent="0.3">
      <c r="A114" s="149"/>
      <c r="B114" s="149"/>
      <c r="C114" s="149"/>
      <c r="D114" s="149"/>
      <c r="E114" s="149"/>
      <c r="F114" s="149"/>
      <c r="G114" s="162"/>
      <c r="H114" s="146" t="str">
        <f t="shared" si="10"/>
        <v/>
      </c>
      <c r="I114" s="161" t="str">
        <f t="shared" si="11"/>
        <v/>
      </c>
      <c r="J114" s="160" t="str">
        <f>IFERROR(INDEX(当年标准成本!I:I,MATCH(C114,当年标准成本!C:C,0),1),"")</f>
        <v/>
      </c>
      <c r="K114" s="146" t="str">
        <f t="shared" si="12"/>
        <v/>
      </c>
      <c r="L114" s="146" t="str">
        <f t="shared" si="13"/>
        <v/>
      </c>
      <c r="M114" s="148" t="str">
        <f t="shared" si="14"/>
        <v/>
      </c>
    </row>
    <row r="115" spans="1:13" x14ac:dyDescent="0.3">
      <c r="A115" s="149"/>
      <c r="B115" s="149"/>
      <c r="C115" s="149"/>
      <c r="D115" s="149"/>
      <c r="E115" s="149"/>
      <c r="F115" s="149"/>
      <c r="G115" s="162"/>
      <c r="H115" s="146" t="str">
        <f t="shared" si="10"/>
        <v/>
      </c>
      <c r="I115" s="161" t="str">
        <f t="shared" si="11"/>
        <v/>
      </c>
      <c r="J115" s="160" t="str">
        <f>IFERROR(INDEX(当年标准成本!I:I,MATCH(C115,当年标准成本!C:C,0),1),"")</f>
        <v/>
      </c>
      <c r="K115" s="146" t="str">
        <f t="shared" si="12"/>
        <v/>
      </c>
      <c r="L115" s="146" t="str">
        <f t="shared" si="13"/>
        <v/>
      </c>
      <c r="M115" s="148" t="str">
        <f t="shared" si="14"/>
        <v/>
      </c>
    </row>
    <row r="116" spans="1:13" x14ac:dyDescent="0.3">
      <c r="A116" s="149"/>
      <c r="B116" s="149"/>
      <c r="C116" s="149"/>
      <c r="D116" s="149"/>
      <c r="E116" s="149"/>
      <c r="F116" s="149"/>
      <c r="G116" s="162"/>
      <c r="H116" s="146" t="str">
        <f t="shared" si="10"/>
        <v/>
      </c>
      <c r="I116" s="161" t="str">
        <f t="shared" si="11"/>
        <v/>
      </c>
      <c r="J116" s="160" t="str">
        <f>IFERROR(INDEX(当年标准成本!I:I,MATCH(C116,当年标准成本!C:C,0),1),"")</f>
        <v/>
      </c>
      <c r="K116" s="146" t="str">
        <f t="shared" si="12"/>
        <v/>
      </c>
      <c r="L116" s="146" t="str">
        <f t="shared" si="13"/>
        <v/>
      </c>
      <c r="M116" s="148" t="str">
        <f t="shared" si="14"/>
        <v/>
      </c>
    </row>
    <row r="117" spans="1:13" x14ac:dyDescent="0.3">
      <c r="A117" s="149"/>
      <c r="B117" s="149"/>
      <c r="C117" s="149"/>
      <c r="D117" s="149"/>
      <c r="E117" s="149"/>
      <c r="F117" s="149"/>
      <c r="G117" s="162"/>
      <c r="H117" s="146" t="str">
        <f t="shared" si="10"/>
        <v/>
      </c>
      <c r="I117" s="161" t="str">
        <f t="shared" si="11"/>
        <v/>
      </c>
      <c r="J117" s="160" t="str">
        <f>IFERROR(INDEX(当年标准成本!I:I,MATCH(C117,当年标准成本!C:C,0),1),"")</f>
        <v/>
      </c>
      <c r="K117" s="146" t="str">
        <f t="shared" si="12"/>
        <v/>
      </c>
      <c r="L117" s="146" t="str">
        <f t="shared" si="13"/>
        <v/>
      </c>
      <c r="M117" s="148" t="str">
        <f t="shared" si="14"/>
        <v/>
      </c>
    </row>
    <row r="118" spans="1:13" x14ac:dyDescent="0.3">
      <c r="A118" s="149"/>
      <c r="B118" s="149"/>
      <c r="C118" s="149"/>
      <c r="D118" s="149"/>
      <c r="E118" s="149"/>
      <c r="F118" s="149"/>
      <c r="G118" s="162"/>
      <c r="H118" s="146" t="str">
        <f t="shared" si="10"/>
        <v/>
      </c>
      <c r="I118" s="161" t="str">
        <f t="shared" si="11"/>
        <v/>
      </c>
      <c r="J118" s="160" t="str">
        <f>IFERROR(INDEX(当年标准成本!I:I,MATCH(C118,当年标准成本!C:C,0),1),"")</f>
        <v/>
      </c>
      <c r="K118" s="146" t="str">
        <f t="shared" si="12"/>
        <v/>
      </c>
      <c r="L118" s="146" t="str">
        <f t="shared" si="13"/>
        <v/>
      </c>
      <c r="M118" s="148" t="str">
        <f t="shared" si="14"/>
        <v/>
      </c>
    </row>
    <row r="119" spans="1:13" x14ac:dyDescent="0.3">
      <c r="A119" s="149"/>
      <c r="B119" s="149"/>
      <c r="C119" s="149"/>
      <c r="D119" s="149"/>
      <c r="E119" s="149"/>
      <c r="F119" s="149"/>
      <c r="G119" s="162"/>
      <c r="H119" s="146" t="str">
        <f t="shared" si="10"/>
        <v/>
      </c>
      <c r="I119" s="161" t="str">
        <f t="shared" si="11"/>
        <v/>
      </c>
      <c r="J119" s="160" t="str">
        <f>IFERROR(INDEX(当年标准成本!I:I,MATCH(C119,当年标准成本!C:C,0),1),"")</f>
        <v/>
      </c>
      <c r="K119" s="146" t="str">
        <f t="shared" si="12"/>
        <v/>
      </c>
      <c r="L119" s="146" t="str">
        <f t="shared" si="13"/>
        <v/>
      </c>
      <c r="M119" s="148" t="str">
        <f t="shared" si="14"/>
        <v/>
      </c>
    </row>
    <row r="120" spans="1:13" x14ac:dyDescent="0.3">
      <c r="A120" s="149"/>
      <c r="B120" s="149"/>
      <c r="C120" s="149"/>
      <c r="D120" s="149"/>
      <c r="E120" s="149"/>
      <c r="F120" s="149"/>
      <c r="G120" s="162"/>
      <c r="H120" s="146" t="str">
        <f t="shared" si="10"/>
        <v/>
      </c>
      <c r="I120" s="161" t="str">
        <f t="shared" si="11"/>
        <v/>
      </c>
      <c r="J120" s="160" t="str">
        <f>IFERROR(INDEX(当年标准成本!I:I,MATCH(C120,当年标准成本!C:C,0),1),"")</f>
        <v/>
      </c>
      <c r="K120" s="146" t="str">
        <f t="shared" si="12"/>
        <v/>
      </c>
      <c r="L120" s="146" t="str">
        <f t="shared" si="13"/>
        <v/>
      </c>
      <c r="M120" s="148" t="str">
        <f t="shared" si="14"/>
        <v/>
      </c>
    </row>
    <row r="121" spans="1:13" x14ac:dyDescent="0.3">
      <c r="A121" s="149"/>
      <c r="B121" s="149"/>
      <c r="C121" s="149"/>
      <c r="D121" s="149"/>
      <c r="E121" s="149"/>
      <c r="F121" s="149"/>
      <c r="G121" s="162"/>
      <c r="H121" s="146" t="str">
        <f t="shared" si="10"/>
        <v/>
      </c>
      <c r="I121" s="161" t="str">
        <f t="shared" si="11"/>
        <v/>
      </c>
      <c r="J121" s="160" t="str">
        <f>IFERROR(INDEX(当年标准成本!I:I,MATCH(C121,当年标准成本!C:C,0),1),"")</f>
        <v/>
      </c>
      <c r="K121" s="146" t="str">
        <f t="shared" si="12"/>
        <v/>
      </c>
      <c r="L121" s="146" t="str">
        <f t="shared" si="13"/>
        <v/>
      </c>
      <c r="M121" s="148" t="str">
        <f t="shared" si="14"/>
        <v/>
      </c>
    </row>
    <row r="122" spans="1:13" x14ac:dyDescent="0.3">
      <c r="A122" s="149"/>
      <c r="B122" s="149"/>
      <c r="C122" s="149"/>
      <c r="D122" s="149"/>
      <c r="E122" s="149"/>
      <c r="F122" s="149"/>
      <c r="G122" s="162"/>
      <c r="H122" s="146" t="str">
        <f t="shared" si="10"/>
        <v/>
      </c>
      <c r="I122" s="161" t="str">
        <f t="shared" si="11"/>
        <v/>
      </c>
      <c r="J122" s="160" t="str">
        <f>IFERROR(INDEX(当年标准成本!I:I,MATCH(C122,当年标准成本!C:C,0),1),"")</f>
        <v/>
      </c>
      <c r="K122" s="146" t="str">
        <f t="shared" si="12"/>
        <v/>
      </c>
      <c r="L122" s="146" t="str">
        <f t="shared" si="13"/>
        <v/>
      </c>
      <c r="M122" s="148" t="str">
        <f t="shared" si="14"/>
        <v/>
      </c>
    </row>
    <row r="123" spans="1:13" x14ac:dyDescent="0.3">
      <c r="A123" s="149"/>
      <c r="B123" s="149"/>
      <c r="C123" s="149"/>
      <c r="D123" s="149"/>
      <c r="E123" s="149"/>
      <c r="F123" s="149"/>
      <c r="G123" s="162"/>
      <c r="H123" s="146" t="str">
        <f t="shared" si="10"/>
        <v/>
      </c>
      <c r="I123" s="161" t="str">
        <f t="shared" si="11"/>
        <v/>
      </c>
      <c r="J123" s="160" t="str">
        <f>IFERROR(INDEX(当年标准成本!I:I,MATCH(C123,当年标准成本!C:C,0),1),"")</f>
        <v/>
      </c>
      <c r="K123" s="146" t="str">
        <f t="shared" si="12"/>
        <v/>
      </c>
      <c r="L123" s="146" t="str">
        <f t="shared" si="13"/>
        <v/>
      </c>
      <c r="M123" s="148" t="str">
        <f t="shared" si="14"/>
        <v/>
      </c>
    </row>
    <row r="124" spans="1:13" x14ac:dyDescent="0.3">
      <c r="A124" s="149"/>
      <c r="B124" s="149"/>
      <c r="C124" s="149"/>
      <c r="D124" s="149"/>
      <c r="E124" s="149"/>
      <c r="F124" s="149"/>
      <c r="G124" s="162"/>
      <c r="H124" s="146" t="str">
        <f t="shared" si="10"/>
        <v/>
      </c>
      <c r="I124" s="161" t="str">
        <f t="shared" si="11"/>
        <v/>
      </c>
      <c r="J124" s="160" t="str">
        <f>IFERROR(INDEX(当年标准成本!I:I,MATCH(C124,当年标准成本!C:C,0),1),"")</f>
        <v/>
      </c>
      <c r="K124" s="146" t="str">
        <f t="shared" si="12"/>
        <v/>
      </c>
      <c r="L124" s="146" t="str">
        <f t="shared" si="13"/>
        <v/>
      </c>
      <c r="M124" s="148" t="str">
        <f t="shared" si="14"/>
        <v/>
      </c>
    </row>
    <row r="125" spans="1:13" x14ac:dyDescent="0.3">
      <c r="A125" s="149"/>
      <c r="B125" s="149"/>
      <c r="C125" s="149"/>
      <c r="D125" s="149"/>
      <c r="E125" s="149"/>
      <c r="F125" s="149"/>
      <c r="G125" s="162"/>
      <c r="H125" s="146" t="str">
        <f t="shared" si="10"/>
        <v/>
      </c>
      <c r="I125" s="161" t="str">
        <f t="shared" si="11"/>
        <v/>
      </c>
      <c r="J125" s="160" t="str">
        <f>IFERROR(INDEX(当年标准成本!I:I,MATCH(C125,当年标准成本!C:C,0),1),"")</f>
        <v/>
      </c>
      <c r="K125" s="146" t="str">
        <f t="shared" si="12"/>
        <v/>
      </c>
      <c r="L125" s="146" t="str">
        <f t="shared" si="13"/>
        <v/>
      </c>
      <c r="M125" s="148" t="str">
        <f t="shared" si="14"/>
        <v/>
      </c>
    </row>
    <row r="126" spans="1:13" x14ac:dyDescent="0.3">
      <c r="A126" s="149"/>
      <c r="B126" s="149"/>
      <c r="C126" s="149"/>
      <c r="D126" s="149"/>
      <c r="E126" s="149"/>
      <c r="F126" s="149"/>
      <c r="G126" s="162"/>
      <c r="H126" s="146" t="str">
        <f t="shared" si="10"/>
        <v/>
      </c>
      <c r="I126" s="161" t="str">
        <f t="shared" si="11"/>
        <v/>
      </c>
      <c r="J126" s="160" t="str">
        <f>IFERROR(INDEX(当年标准成本!I:I,MATCH(C126,当年标准成本!C:C,0),1),"")</f>
        <v/>
      </c>
      <c r="K126" s="146" t="str">
        <f t="shared" si="12"/>
        <v/>
      </c>
      <c r="L126" s="146" t="str">
        <f t="shared" si="13"/>
        <v/>
      </c>
      <c r="M126" s="148" t="str">
        <f t="shared" si="14"/>
        <v/>
      </c>
    </row>
    <row r="127" spans="1:13" x14ac:dyDescent="0.3">
      <c r="A127" s="149"/>
      <c r="B127" s="149"/>
      <c r="C127" s="149"/>
      <c r="D127" s="149"/>
      <c r="E127" s="149"/>
      <c r="F127" s="149"/>
      <c r="G127" s="162"/>
      <c r="H127" s="146" t="str">
        <f t="shared" si="10"/>
        <v/>
      </c>
      <c r="I127" s="161" t="str">
        <f t="shared" si="11"/>
        <v/>
      </c>
      <c r="J127" s="160" t="str">
        <f>IFERROR(INDEX(当年标准成本!I:I,MATCH(C127,当年标准成本!C:C,0),1),"")</f>
        <v/>
      </c>
      <c r="K127" s="146" t="str">
        <f t="shared" si="12"/>
        <v/>
      </c>
      <c r="L127" s="146" t="str">
        <f t="shared" si="13"/>
        <v/>
      </c>
      <c r="M127" s="148" t="str">
        <f t="shared" si="14"/>
        <v/>
      </c>
    </row>
    <row r="128" spans="1:13" x14ac:dyDescent="0.3">
      <c r="A128" s="149"/>
      <c r="B128" s="149"/>
      <c r="C128" s="149"/>
      <c r="D128" s="149"/>
      <c r="E128" s="149"/>
      <c r="F128" s="149"/>
      <c r="G128" s="162"/>
      <c r="H128" s="146" t="str">
        <f t="shared" si="10"/>
        <v/>
      </c>
      <c r="I128" s="161" t="str">
        <f t="shared" si="11"/>
        <v/>
      </c>
      <c r="J128" s="160" t="str">
        <f>IFERROR(INDEX(当年标准成本!I:I,MATCH(C128,当年标准成本!C:C,0),1),"")</f>
        <v/>
      </c>
      <c r="K128" s="146" t="str">
        <f t="shared" si="12"/>
        <v/>
      </c>
      <c r="L128" s="146" t="str">
        <f t="shared" si="13"/>
        <v/>
      </c>
      <c r="M128" s="148" t="str">
        <f t="shared" si="14"/>
        <v/>
      </c>
    </row>
    <row r="129" spans="1:13" x14ac:dyDescent="0.3">
      <c r="A129" s="149"/>
      <c r="B129" s="149"/>
      <c r="C129" s="149"/>
      <c r="D129" s="149"/>
      <c r="E129" s="149"/>
      <c r="F129" s="149"/>
      <c r="G129" s="162"/>
      <c r="H129" s="146" t="str">
        <f t="shared" si="10"/>
        <v/>
      </c>
      <c r="I129" s="161" t="str">
        <f t="shared" si="11"/>
        <v/>
      </c>
      <c r="J129" s="160" t="str">
        <f>IFERROR(INDEX(当年标准成本!I:I,MATCH(C129,当年标准成本!C:C,0),1),"")</f>
        <v/>
      </c>
      <c r="K129" s="146" t="str">
        <f t="shared" si="12"/>
        <v/>
      </c>
      <c r="L129" s="146" t="str">
        <f t="shared" si="13"/>
        <v/>
      </c>
      <c r="M129" s="148" t="str">
        <f t="shared" si="14"/>
        <v/>
      </c>
    </row>
    <row r="130" spans="1:13" x14ac:dyDescent="0.3">
      <c r="A130" s="149"/>
      <c r="B130" s="149"/>
      <c r="C130" s="149"/>
      <c r="D130" s="149"/>
      <c r="E130" s="149"/>
      <c r="F130" s="149"/>
      <c r="G130" s="162"/>
      <c r="H130" s="146" t="str">
        <f t="shared" si="10"/>
        <v/>
      </c>
      <c r="I130" s="161" t="str">
        <f t="shared" si="11"/>
        <v/>
      </c>
      <c r="J130" s="160" t="str">
        <f>IFERROR(INDEX(当年标准成本!I:I,MATCH(C130,当年标准成本!C:C,0),1),"")</f>
        <v/>
      </c>
      <c r="K130" s="146" t="str">
        <f t="shared" si="12"/>
        <v/>
      </c>
      <c r="L130" s="146" t="str">
        <f t="shared" si="13"/>
        <v/>
      </c>
      <c r="M130" s="148" t="str">
        <f t="shared" si="14"/>
        <v/>
      </c>
    </row>
    <row r="131" spans="1:13" x14ac:dyDescent="0.3">
      <c r="A131" s="149"/>
      <c r="B131" s="149"/>
      <c r="C131" s="149"/>
      <c r="D131" s="149"/>
      <c r="E131" s="149"/>
      <c r="F131" s="149"/>
      <c r="G131" s="162"/>
      <c r="H131" s="146" t="str">
        <f t="shared" si="10"/>
        <v/>
      </c>
      <c r="I131" s="161" t="str">
        <f t="shared" si="11"/>
        <v/>
      </c>
      <c r="J131" s="160" t="str">
        <f>IFERROR(INDEX(当年标准成本!I:I,MATCH(C131,当年标准成本!C:C,0),1),"")</f>
        <v/>
      </c>
      <c r="K131" s="146" t="str">
        <f t="shared" si="12"/>
        <v/>
      </c>
      <c r="L131" s="146" t="str">
        <f t="shared" si="13"/>
        <v/>
      </c>
      <c r="M131" s="148" t="str">
        <f t="shared" si="14"/>
        <v/>
      </c>
    </row>
    <row r="132" spans="1:13" x14ac:dyDescent="0.3">
      <c r="A132" s="149"/>
      <c r="B132" s="149"/>
      <c r="C132" s="149"/>
      <c r="D132" s="149"/>
      <c r="E132" s="149"/>
      <c r="F132" s="149"/>
      <c r="G132" s="162"/>
      <c r="H132" s="146" t="str">
        <f t="shared" si="10"/>
        <v/>
      </c>
      <c r="I132" s="161" t="str">
        <f t="shared" si="11"/>
        <v/>
      </c>
      <c r="J132" s="160" t="str">
        <f>IFERROR(INDEX(当年标准成本!I:I,MATCH(C132,当年标准成本!C:C,0),1),"")</f>
        <v/>
      </c>
      <c r="K132" s="146" t="str">
        <f t="shared" si="12"/>
        <v/>
      </c>
      <c r="L132" s="146" t="str">
        <f t="shared" si="13"/>
        <v/>
      </c>
      <c r="M132" s="148" t="str">
        <f t="shared" si="14"/>
        <v/>
      </c>
    </row>
    <row r="133" spans="1:13" x14ac:dyDescent="0.3">
      <c r="A133" s="149"/>
      <c r="B133" s="149"/>
      <c r="C133" s="149"/>
      <c r="D133" s="149"/>
      <c r="E133" s="149"/>
      <c r="F133" s="149"/>
      <c r="G133" s="162"/>
      <c r="H133" s="146" t="str">
        <f t="shared" si="10"/>
        <v/>
      </c>
      <c r="I133" s="161" t="str">
        <f t="shared" si="11"/>
        <v/>
      </c>
      <c r="J133" s="160" t="str">
        <f>IFERROR(INDEX(当年标准成本!I:I,MATCH(C133,当年标准成本!C:C,0),1),"")</f>
        <v/>
      </c>
      <c r="K133" s="146" t="str">
        <f t="shared" si="12"/>
        <v/>
      </c>
      <c r="L133" s="146" t="str">
        <f t="shared" si="13"/>
        <v/>
      </c>
      <c r="M133" s="148" t="str">
        <f t="shared" si="14"/>
        <v/>
      </c>
    </row>
    <row r="134" spans="1:13" x14ac:dyDescent="0.3">
      <c r="A134" s="149"/>
      <c r="B134" s="149"/>
      <c r="C134" s="149"/>
      <c r="D134" s="149"/>
      <c r="E134" s="149"/>
      <c r="F134" s="149"/>
      <c r="G134" s="162"/>
      <c r="H134" s="146" t="str">
        <f t="shared" si="10"/>
        <v/>
      </c>
      <c r="I134" s="161" t="str">
        <f t="shared" si="11"/>
        <v/>
      </c>
      <c r="J134" s="160" t="str">
        <f>IFERROR(INDEX(当年标准成本!I:I,MATCH(C134,当年标准成本!C:C,0),1),"")</f>
        <v/>
      </c>
      <c r="K134" s="146" t="str">
        <f t="shared" si="12"/>
        <v/>
      </c>
      <c r="L134" s="146" t="str">
        <f t="shared" si="13"/>
        <v/>
      </c>
      <c r="M134" s="148" t="str">
        <f t="shared" si="14"/>
        <v/>
      </c>
    </row>
    <row r="135" spans="1:13" x14ac:dyDescent="0.3">
      <c r="A135" s="149"/>
      <c r="B135" s="149"/>
      <c r="C135" s="149"/>
      <c r="D135" s="149"/>
      <c r="E135" s="149"/>
      <c r="F135" s="149"/>
      <c r="G135" s="162"/>
      <c r="H135" s="146" t="str">
        <f t="shared" si="10"/>
        <v/>
      </c>
      <c r="I135" s="161" t="str">
        <f t="shared" si="11"/>
        <v/>
      </c>
      <c r="J135" s="160" t="str">
        <f>IFERROR(INDEX(当年标准成本!I:I,MATCH(C135,当年标准成本!C:C,0),1),"")</f>
        <v/>
      </c>
      <c r="K135" s="146" t="str">
        <f t="shared" si="12"/>
        <v/>
      </c>
      <c r="L135" s="146" t="str">
        <f t="shared" si="13"/>
        <v/>
      </c>
      <c r="M135" s="148" t="str">
        <f t="shared" si="14"/>
        <v/>
      </c>
    </row>
    <row r="136" spans="1:13" x14ac:dyDescent="0.3">
      <c r="A136" s="149"/>
      <c r="B136" s="149"/>
      <c r="C136" s="149"/>
      <c r="D136" s="149"/>
      <c r="E136" s="149"/>
      <c r="F136" s="149"/>
      <c r="G136" s="162"/>
      <c r="H136" s="146" t="str">
        <f t="shared" si="10"/>
        <v/>
      </c>
      <c r="I136" s="161" t="str">
        <f t="shared" si="11"/>
        <v/>
      </c>
      <c r="J136" s="160" t="str">
        <f>IFERROR(INDEX(当年标准成本!I:I,MATCH(C136,当年标准成本!C:C,0),1),"")</f>
        <v/>
      </c>
      <c r="K136" s="146" t="str">
        <f t="shared" si="12"/>
        <v/>
      </c>
      <c r="L136" s="146" t="str">
        <f t="shared" si="13"/>
        <v/>
      </c>
      <c r="M136" s="148" t="str">
        <f t="shared" si="14"/>
        <v/>
      </c>
    </row>
    <row r="137" spans="1:13" x14ac:dyDescent="0.3">
      <c r="A137" s="149"/>
      <c r="B137" s="149"/>
      <c r="C137" s="149"/>
      <c r="D137" s="149"/>
      <c r="E137" s="149"/>
      <c r="F137" s="149"/>
      <c r="G137" s="162"/>
      <c r="H137" s="146" t="str">
        <f t="shared" si="10"/>
        <v/>
      </c>
      <c r="I137" s="161" t="str">
        <f t="shared" si="11"/>
        <v/>
      </c>
      <c r="J137" s="160" t="str">
        <f>IFERROR(INDEX(当年标准成本!I:I,MATCH(C137,当年标准成本!C:C,0),1),"")</f>
        <v/>
      </c>
      <c r="K137" s="146" t="str">
        <f t="shared" si="12"/>
        <v/>
      </c>
      <c r="L137" s="146" t="str">
        <f t="shared" si="13"/>
        <v/>
      </c>
      <c r="M137" s="148" t="str">
        <f t="shared" si="14"/>
        <v/>
      </c>
    </row>
    <row r="138" spans="1:13" x14ac:dyDescent="0.3">
      <c r="A138" s="149"/>
      <c r="B138" s="149"/>
      <c r="C138" s="149"/>
      <c r="D138" s="149"/>
      <c r="E138" s="149"/>
      <c r="F138" s="149"/>
      <c r="G138" s="162"/>
      <c r="H138" s="146" t="str">
        <f t="shared" si="10"/>
        <v/>
      </c>
      <c r="I138" s="161" t="str">
        <f t="shared" si="11"/>
        <v/>
      </c>
      <c r="J138" s="160" t="str">
        <f>IFERROR(INDEX(当年标准成本!I:I,MATCH(C138,当年标准成本!C:C,0),1),"")</f>
        <v/>
      </c>
      <c r="K138" s="146" t="str">
        <f t="shared" si="12"/>
        <v/>
      </c>
      <c r="L138" s="146" t="str">
        <f t="shared" si="13"/>
        <v/>
      </c>
      <c r="M138" s="148" t="str">
        <f t="shared" si="14"/>
        <v/>
      </c>
    </row>
    <row r="139" spans="1:13" x14ac:dyDescent="0.3">
      <c r="A139" s="149"/>
      <c r="B139" s="149"/>
      <c r="C139" s="149"/>
      <c r="D139" s="149"/>
      <c r="E139" s="149"/>
      <c r="F139" s="149"/>
      <c r="G139" s="162"/>
      <c r="H139" s="146" t="str">
        <f t="shared" si="10"/>
        <v/>
      </c>
      <c r="I139" s="161" t="str">
        <f t="shared" si="11"/>
        <v/>
      </c>
      <c r="J139" s="160" t="str">
        <f>IFERROR(INDEX(当年标准成本!I:I,MATCH(C139,当年标准成本!C:C,0),1),"")</f>
        <v/>
      </c>
      <c r="K139" s="146" t="str">
        <f t="shared" si="12"/>
        <v/>
      </c>
      <c r="L139" s="146" t="str">
        <f t="shared" si="13"/>
        <v/>
      </c>
      <c r="M139" s="148" t="str">
        <f t="shared" si="14"/>
        <v/>
      </c>
    </row>
    <row r="140" spans="1:13" x14ac:dyDescent="0.3">
      <c r="A140" s="149"/>
      <c r="B140" s="149"/>
      <c r="C140" s="149"/>
      <c r="D140" s="149"/>
      <c r="E140" s="149"/>
      <c r="F140" s="149"/>
      <c r="G140" s="162"/>
      <c r="H140" s="146" t="str">
        <f t="shared" ref="H140:H203" si="15">IFERROR(F140/E140,"")</f>
        <v/>
      </c>
      <c r="I140" s="161" t="str">
        <f t="shared" ref="I140:I203" si="16">IFERROR(H140*(1+G140),"")</f>
        <v/>
      </c>
      <c r="J140" s="160" t="str">
        <f>IFERROR(INDEX(当年标准成本!I:I,MATCH(C140,当年标准成本!C:C,0),1),"")</f>
        <v/>
      </c>
      <c r="K140" s="146" t="str">
        <f t="shared" ref="K140:K203" si="17">IFERROR(E140*J140,"")</f>
        <v/>
      </c>
      <c r="L140" s="146" t="str">
        <f t="shared" ref="L140:L203" si="18">IFERROR(F140-K140,"")</f>
        <v/>
      </c>
      <c r="M140" s="148" t="str">
        <f t="shared" ref="M140:M203" si="19">IFERROR(L140/F140,"")</f>
        <v/>
      </c>
    </row>
    <row r="141" spans="1:13" x14ac:dyDescent="0.3">
      <c r="A141" s="149"/>
      <c r="B141" s="149"/>
      <c r="C141" s="149"/>
      <c r="D141" s="149"/>
      <c r="E141" s="149"/>
      <c r="F141" s="149"/>
      <c r="G141" s="162"/>
      <c r="H141" s="146" t="str">
        <f t="shared" si="15"/>
        <v/>
      </c>
      <c r="I141" s="161" t="str">
        <f t="shared" si="16"/>
        <v/>
      </c>
      <c r="J141" s="160" t="str">
        <f>IFERROR(INDEX(当年标准成本!I:I,MATCH(C141,当年标准成本!C:C,0),1),"")</f>
        <v/>
      </c>
      <c r="K141" s="146" t="str">
        <f t="shared" si="17"/>
        <v/>
      </c>
      <c r="L141" s="146" t="str">
        <f t="shared" si="18"/>
        <v/>
      </c>
      <c r="M141" s="148" t="str">
        <f t="shared" si="19"/>
        <v/>
      </c>
    </row>
    <row r="142" spans="1:13" x14ac:dyDescent="0.3">
      <c r="A142" s="149"/>
      <c r="B142" s="149"/>
      <c r="C142" s="149"/>
      <c r="D142" s="149"/>
      <c r="E142" s="149"/>
      <c r="F142" s="149"/>
      <c r="G142" s="162"/>
      <c r="H142" s="146" t="str">
        <f t="shared" si="15"/>
        <v/>
      </c>
      <c r="I142" s="161" t="str">
        <f t="shared" si="16"/>
        <v/>
      </c>
      <c r="J142" s="160" t="str">
        <f>IFERROR(INDEX(当年标准成本!I:I,MATCH(C142,当年标准成本!C:C,0),1),"")</f>
        <v/>
      </c>
      <c r="K142" s="146" t="str">
        <f t="shared" si="17"/>
        <v/>
      </c>
      <c r="L142" s="146" t="str">
        <f t="shared" si="18"/>
        <v/>
      </c>
      <c r="M142" s="148" t="str">
        <f t="shared" si="19"/>
        <v/>
      </c>
    </row>
    <row r="143" spans="1:13" x14ac:dyDescent="0.3">
      <c r="A143" s="149"/>
      <c r="B143" s="149"/>
      <c r="C143" s="149"/>
      <c r="D143" s="149"/>
      <c r="E143" s="149"/>
      <c r="F143" s="149"/>
      <c r="G143" s="162"/>
      <c r="H143" s="146" t="str">
        <f t="shared" si="15"/>
        <v/>
      </c>
      <c r="I143" s="161" t="str">
        <f t="shared" si="16"/>
        <v/>
      </c>
      <c r="J143" s="160" t="str">
        <f>IFERROR(INDEX(当年标准成本!I:I,MATCH(C143,当年标准成本!C:C,0),1),"")</f>
        <v/>
      </c>
      <c r="K143" s="146" t="str">
        <f t="shared" si="17"/>
        <v/>
      </c>
      <c r="L143" s="146" t="str">
        <f t="shared" si="18"/>
        <v/>
      </c>
      <c r="M143" s="148" t="str">
        <f t="shared" si="19"/>
        <v/>
      </c>
    </row>
    <row r="144" spans="1:13" x14ac:dyDescent="0.3">
      <c r="A144" s="149"/>
      <c r="B144" s="149"/>
      <c r="C144" s="149"/>
      <c r="D144" s="149"/>
      <c r="E144" s="149"/>
      <c r="F144" s="149"/>
      <c r="G144" s="162"/>
      <c r="H144" s="146" t="str">
        <f t="shared" si="15"/>
        <v/>
      </c>
      <c r="I144" s="161" t="str">
        <f t="shared" si="16"/>
        <v/>
      </c>
      <c r="J144" s="160" t="str">
        <f>IFERROR(INDEX(当年标准成本!I:I,MATCH(C144,当年标准成本!C:C,0),1),"")</f>
        <v/>
      </c>
      <c r="K144" s="146" t="str">
        <f t="shared" si="17"/>
        <v/>
      </c>
      <c r="L144" s="146" t="str">
        <f t="shared" si="18"/>
        <v/>
      </c>
      <c r="M144" s="148" t="str">
        <f t="shared" si="19"/>
        <v/>
      </c>
    </row>
    <row r="145" spans="1:13" x14ac:dyDescent="0.3">
      <c r="A145" s="149"/>
      <c r="B145" s="149"/>
      <c r="C145" s="149"/>
      <c r="D145" s="149"/>
      <c r="E145" s="149"/>
      <c r="F145" s="149"/>
      <c r="G145" s="162"/>
      <c r="H145" s="146" t="str">
        <f t="shared" si="15"/>
        <v/>
      </c>
      <c r="I145" s="161" t="str">
        <f t="shared" si="16"/>
        <v/>
      </c>
      <c r="J145" s="160" t="str">
        <f>IFERROR(INDEX(当年标准成本!I:I,MATCH(C145,当年标准成本!C:C,0),1),"")</f>
        <v/>
      </c>
      <c r="K145" s="146" t="str">
        <f t="shared" si="17"/>
        <v/>
      </c>
      <c r="L145" s="146" t="str">
        <f t="shared" si="18"/>
        <v/>
      </c>
      <c r="M145" s="148" t="str">
        <f t="shared" si="19"/>
        <v/>
      </c>
    </row>
    <row r="146" spans="1:13" x14ac:dyDescent="0.3">
      <c r="A146" s="149"/>
      <c r="B146" s="149"/>
      <c r="C146" s="149"/>
      <c r="D146" s="149"/>
      <c r="E146" s="149"/>
      <c r="F146" s="149"/>
      <c r="G146" s="162"/>
      <c r="H146" s="146" t="str">
        <f t="shared" si="15"/>
        <v/>
      </c>
      <c r="I146" s="161" t="str">
        <f t="shared" si="16"/>
        <v/>
      </c>
      <c r="J146" s="160" t="str">
        <f>IFERROR(INDEX(当年标准成本!I:I,MATCH(C146,当年标准成本!C:C,0),1),"")</f>
        <v/>
      </c>
      <c r="K146" s="146" t="str">
        <f t="shared" si="17"/>
        <v/>
      </c>
      <c r="L146" s="146" t="str">
        <f t="shared" si="18"/>
        <v/>
      </c>
      <c r="M146" s="148" t="str">
        <f t="shared" si="19"/>
        <v/>
      </c>
    </row>
    <row r="147" spans="1:13" x14ac:dyDescent="0.3">
      <c r="A147" s="149"/>
      <c r="B147" s="149"/>
      <c r="C147" s="149"/>
      <c r="D147" s="149"/>
      <c r="E147" s="149"/>
      <c r="F147" s="149"/>
      <c r="G147" s="162"/>
      <c r="H147" s="146" t="str">
        <f t="shared" si="15"/>
        <v/>
      </c>
      <c r="I147" s="161" t="str">
        <f t="shared" si="16"/>
        <v/>
      </c>
      <c r="J147" s="160" t="str">
        <f>IFERROR(INDEX(当年标准成本!I:I,MATCH(C147,当年标准成本!C:C,0),1),"")</f>
        <v/>
      </c>
      <c r="K147" s="146" t="str">
        <f t="shared" si="17"/>
        <v/>
      </c>
      <c r="L147" s="146" t="str">
        <f t="shared" si="18"/>
        <v/>
      </c>
      <c r="M147" s="148" t="str">
        <f t="shared" si="19"/>
        <v/>
      </c>
    </row>
    <row r="148" spans="1:13" x14ac:dyDescent="0.3">
      <c r="A148" s="149"/>
      <c r="B148" s="149"/>
      <c r="C148" s="149"/>
      <c r="D148" s="149"/>
      <c r="E148" s="149"/>
      <c r="F148" s="149"/>
      <c r="G148" s="162"/>
      <c r="H148" s="146" t="str">
        <f t="shared" si="15"/>
        <v/>
      </c>
      <c r="I148" s="161" t="str">
        <f t="shared" si="16"/>
        <v/>
      </c>
      <c r="J148" s="160" t="str">
        <f>IFERROR(INDEX(当年标准成本!I:I,MATCH(C148,当年标准成本!C:C,0),1),"")</f>
        <v/>
      </c>
      <c r="K148" s="146" t="str">
        <f t="shared" si="17"/>
        <v/>
      </c>
      <c r="L148" s="146" t="str">
        <f t="shared" si="18"/>
        <v/>
      </c>
      <c r="M148" s="148" t="str">
        <f t="shared" si="19"/>
        <v/>
      </c>
    </row>
    <row r="149" spans="1:13" x14ac:dyDescent="0.3">
      <c r="A149" s="149"/>
      <c r="B149" s="149"/>
      <c r="C149" s="149"/>
      <c r="D149" s="149"/>
      <c r="E149" s="149"/>
      <c r="F149" s="149"/>
      <c r="G149" s="162"/>
      <c r="H149" s="146" t="str">
        <f t="shared" si="15"/>
        <v/>
      </c>
      <c r="I149" s="161" t="str">
        <f t="shared" si="16"/>
        <v/>
      </c>
      <c r="J149" s="160" t="str">
        <f>IFERROR(INDEX(当年标准成本!I:I,MATCH(C149,当年标准成本!C:C,0),1),"")</f>
        <v/>
      </c>
      <c r="K149" s="146" t="str">
        <f t="shared" si="17"/>
        <v/>
      </c>
      <c r="L149" s="146" t="str">
        <f t="shared" si="18"/>
        <v/>
      </c>
      <c r="M149" s="148" t="str">
        <f t="shared" si="19"/>
        <v/>
      </c>
    </row>
    <row r="150" spans="1:13" x14ac:dyDescent="0.3">
      <c r="A150" s="149"/>
      <c r="B150" s="149"/>
      <c r="C150" s="149"/>
      <c r="D150" s="149"/>
      <c r="E150" s="149"/>
      <c r="F150" s="149"/>
      <c r="G150" s="162"/>
      <c r="H150" s="146" t="str">
        <f t="shared" si="15"/>
        <v/>
      </c>
      <c r="I150" s="161" t="str">
        <f t="shared" si="16"/>
        <v/>
      </c>
      <c r="J150" s="160" t="str">
        <f>IFERROR(INDEX(当年标准成本!I:I,MATCH(C150,当年标准成本!C:C,0),1),"")</f>
        <v/>
      </c>
      <c r="K150" s="146" t="str">
        <f t="shared" si="17"/>
        <v/>
      </c>
      <c r="L150" s="146" t="str">
        <f t="shared" si="18"/>
        <v/>
      </c>
      <c r="M150" s="148" t="str">
        <f t="shared" si="19"/>
        <v/>
      </c>
    </row>
    <row r="151" spans="1:13" x14ac:dyDescent="0.3">
      <c r="A151" s="149"/>
      <c r="B151" s="149"/>
      <c r="C151" s="149"/>
      <c r="D151" s="149"/>
      <c r="E151" s="149"/>
      <c r="F151" s="149"/>
      <c r="G151" s="162"/>
      <c r="H151" s="146" t="str">
        <f t="shared" si="15"/>
        <v/>
      </c>
      <c r="I151" s="161" t="str">
        <f t="shared" si="16"/>
        <v/>
      </c>
      <c r="J151" s="160" t="str">
        <f>IFERROR(INDEX(当年标准成本!I:I,MATCH(C151,当年标准成本!C:C,0),1),"")</f>
        <v/>
      </c>
      <c r="K151" s="146" t="str">
        <f t="shared" si="17"/>
        <v/>
      </c>
      <c r="L151" s="146" t="str">
        <f t="shared" si="18"/>
        <v/>
      </c>
      <c r="M151" s="148" t="str">
        <f t="shared" si="19"/>
        <v/>
      </c>
    </row>
    <row r="152" spans="1:13" x14ac:dyDescent="0.3">
      <c r="A152" s="149"/>
      <c r="B152" s="149"/>
      <c r="C152" s="149"/>
      <c r="D152" s="149"/>
      <c r="E152" s="149"/>
      <c r="F152" s="149"/>
      <c r="G152" s="162"/>
      <c r="H152" s="146" t="str">
        <f t="shared" si="15"/>
        <v/>
      </c>
      <c r="I152" s="161" t="str">
        <f t="shared" si="16"/>
        <v/>
      </c>
      <c r="J152" s="160" t="str">
        <f>IFERROR(INDEX(当年标准成本!I:I,MATCH(C152,当年标准成本!C:C,0),1),"")</f>
        <v/>
      </c>
      <c r="K152" s="146" t="str">
        <f t="shared" si="17"/>
        <v/>
      </c>
      <c r="L152" s="146" t="str">
        <f t="shared" si="18"/>
        <v/>
      </c>
      <c r="M152" s="148" t="str">
        <f t="shared" si="19"/>
        <v/>
      </c>
    </row>
    <row r="153" spans="1:13" x14ac:dyDescent="0.3">
      <c r="A153" s="149"/>
      <c r="B153" s="149"/>
      <c r="C153" s="149"/>
      <c r="D153" s="149"/>
      <c r="E153" s="149"/>
      <c r="F153" s="149"/>
      <c r="G153" s="162"/>
      <c r="H153" s="146" t="str">
        <f t="shared" si="15"/>
        <v/>
      </c>
      <c r="I153" s="161" t="str">
        <f t="shared" si="16"/>
        <v/>
      </c>
      <c r="J153" s="160" t="str">
        <f>IFERROR(INDEX(当年标准成本!I:I,MATCH(C153,当年标准成本!C:C,0),1),"")</f>
        <v/>
      </c>
      <c r="K153" s="146" t="str">
        <f t="shared" si="17"/>
        <v/>
      </c>
      <c r="L153" s="146" t="str">
        <f t="shared" si="18"/>
        <v/>
      </c>
      <c r="M153" s="148" t="str">
        <f t="shared" si="19"/>
        <v/>
      </c>
    </row>
    <row r="154" spans="1:13" x14ac:dyDescent="0.3">
      <c r="A154" s="149"/>
      <c r="B154" s="149"/>
      <c r="C154" s="149"/>
      <c r="D154" s="149"/>
      <c r="E154" s="149"/>
      <c r="F154" s="149"/>
      <c r="G154" s="162"/>
      <c r="H154" s="146" t="str">
        <f t="shared" si="15"/>
        <v/>
      </c>
      <c r="I154" s="161" t="str">
        <f t="shared" si="16"/>
        <v/>
      </c>
      <c r="J154" s="160" t="str">
        <f>IFERROR(INDEX(当年标准成本!I:I,MATCH(C154,当年标准成本!C:C,0),1),"")</f>
        <v/>
      </c>
      <c r="K154" s="146" t="str">
        <f t="shared" si="17"/>
        <v/>
      </c>
      <c r="L154" s="146" t="str">
        <f t="shared" si="18"/>
        <v/>
      </c>
      <c r="M154" s="148" t="str">
        <f t="shared" si="19"/>
        <v/>
      </c>
    </row>
    <row r="155" spans="1:13" x14ac:dyDescent="0.3">
      <c r="A155" s="149"/>
      <c r="B155" s="149"/>
      <c r="C155" s="149"/>
      <c r="D155" s="149"/>
      <c r="E155" s="149"/>
      <c r="F155" s="149"/>
      <c r="G155" s="162"/>
      <c r="H155" s="146" t="str">
        <f t="shared" si="15"/>
        <v/>
      </c>
      <c r="I155" s="161" t="str">
        <f t="shared" si="16"/>
        <v/>
      </c>
      <c r="J155" s="160" t="str">
        <f>IFERROR(INDEX(当年标准成本!I:I,MATCH(C155,当年标准成本!C:C,0),1),"")</f>
        <v/>
      </c>
      <c r="K155" s="146" t="str">
        <f t="shared" si="17"/>
        <v/>
      </c>
      <c r="L155" s="146" t="str">
        <f t="shared" si="18"/>
        <v/>
      </c>
      <c r="M155" s="148" t="str">
        <f t="shared" si="19"/>
        <v/>
      </c>
    </row>
    <row r="156" spans="1:13" x14ac:dyDescent="0.3">
      <c r="A156" s="149"/>
      <c r="B156" s="149"/>
      <c r="C156" s="149"/>
      <c r="D156" s="149"/>
      <c r="E156" s="149"/>
      <c r="F156" s="149"/>
      <c r="G156" s="162"/>
      <c r="H156" s="146" t="str">
        <f t="shared" si="15"/>
        <v/>
      </c>
      <c r="I156" s="161" t="str">
        <f t="shared" si="16"/>
        <v/>
      </c>
      <c r="J156" s="160" t="str">
        <f>IFERROR(INDEX(当年标准成本!I:I,MATCH(C156,当年标准成本!C:C,0),1),"")</f>
        <v/>
      </c>
      <c r="K156" s="146" t="str">
        <f t="shared" si="17"/>
        <v/>
      </c>
      <c r="L156" s="146" t="str">
        <f t="shared" si="18"/>
        <v/>
      </c>
      <c r="M156" s="148" t="str">
        <f t="shared" si="19"/>
        <v/>
      </c>
    </row>
    <row r="157" spans="1:13" x14ac:dyDescent="0.3">
      <c r="A157" s="149"/>
      <c r="B157" s="149"/>
      <c r="C157" s="149"/>
      <c r="D157" s="149"/>
      <c r="E157" s="149"/>
      <c r="F157" s="149"/>
      <c r="G157" s="162"/>
      <c r="H157" s="146" t="str">
        <f t="shared" si="15"/>
        <v/>
      </c>
      <c r="I157" s="161" t="str">
        <f t="shared" si="16"/>
        <v/>
      </c>
      <c r="J157" s="160" t="str">
        <f>IFERROR(INDEX(当年标准成本!I:I,MATCH(C157,当年标准成本!C:C,0),1),"")</f>
        <v/>
      </c>
      <c r="K157" s="146" t="str">
        <f t="shared" si="17"/>
        <v/>
      </c>
      <c r="L157" s="146" t="str">
        <f t="shared" si="18"/>
        <v/>
      </c>
      <c r="M157" s="148" t="str">
        <f t="shared" si="19"/>
        <v/>
      </c>
    </row>
    <row r="158" spans="1:13" x14ac:dyDescent="0.3">
      <c r="A158" s="149"/>
      <c r="B158" s="149"/>
      <c r="C158" s="149"/>
      <c r="D158" s="149"/>
      <c r="E158" s="149"/>
      <c r="F158" s="149"/>
      <c r="G158" s="162"/>
      <c r="H158" s="146" t="str">
        <f t="shared" si="15"/>
        <v/>
      </c>
      <c r="I158" s="161" t="str">
        <f t="shared" si="16"/>
        <v/>
      </c>
      <c r="J158" s="160" t="str">
        <f>IFERROR(INDEX(当年标准成本!I:I,MATCH(C158,当年标准成本!C:C,0),1),"")</f>
        <v/>
      </c>
      <c r="K158" s="146" t="str">
        <f t="shared" si="17"/>
        <v/>
      </c>
      <c r="L158" s="146" t="str">
        <f t="shared" si="18"/>
        <v/>
      </c>
      <c r="M158" s="148" t="str">
        <f t="shared" si="19"/>
        <v/>
      </c>
    </row>
    <row r="159" spans="1:13" x14ac:dyDescent="0.3">
      <c r="A159" s="149"/>
      <c r="B159" s="149"/>
      <c r="C159" s="149"/>
      <c r="D159" s="149"/>
      <c r="E159" s="149"/>
      <c r="F159" s="149"/>
      <c r="G159" s="162"/>
      <c r="H159" s="146" t="str">
        <f t="shared" si="15"/>
        <v/>
      </c>
      <c r="I159" s="161" t="str">
        <f t="shared" si="16"/>
        <v/>
      </c>
      <c r="J159" s="160" t="str">
        <f>IFERROR(INDEX(当年标准成本!I:I,MATCH(C159,当年标准成本!C:C,0),1),"")</f>
        <v/>
      </c>
      <c r="K159" s="146" t="str">
        <f t="shared" si="17"/>
        <v/>
      </c>
      <c r="L159" s="146" t="str">
        <f t="shared" si="18"/>
        <v/>
      </c>
      <c r="M159" s="148" t="str">
        <f t="shared" si="19"/>
        <v/>
      </c>
    </row>
    <row r="160" spans="1:13" x14ac:dyDescent="0.3">
      <c r="A160" s="149"/>
      <c r="B160" s="149"/>
      <c r="C160" s="149"/>
      <c r="D160" s="149"/>
      <c r="E160" s="149"/>
      <c r="F160" s="149"/>
      <c r="G160" s="162"/>
      <c r="H160" s="146" t="str">
        <f t="shared" si="15"/>
        <v/>
      </c>
      <c r="I160" s="161" t="str">
        <f t="shared" si="16"/>
        <v/>
      </c>
      <c r="J160" s="160" t="str">
        <f>IFERROR(INDEX(当年标准成本!I:I,MATCH(C160,当年标准成本!C:C,0),1),"")</f>
        <v/>
      </c>
      <c r="K160" s="146" t="str">
        <f t="shared" si="17"/>
        <v/>
      </c>
      <c r="L160" s="146" t="str">
        <f t="shared" si="18"/>
        <v/>
      </c>
      <c r="M160" s="148" t="str">
        <f t="shared" si="19"/>
        <v/>
      </c>
    </row>
    <row r="161" spans="1:13" x14ac:dyDescent="0.3">
      <c r="A161" s="149"/>
      <c r="B161" s="149"/>
      <c r="C161" s="149"/>
      <c r="D161" s="149"/>
      <c r="E161" s="149"/>
      <c r="F161" s="149"/>
      <c r="G161" s="162"/>
      <c r="H161" s="146" t="str">
        <f t="shared" si="15"/>
        <v/>
      </c>
      <c r="I161" s="161" t="str">
        <f t="shared" si="16"/>
        <v/>
      </c>
      <c r="J161" s="160" t="str">
        <f>IFERROR(INDEX(当年标准成本!I:I,MATCH(C161,当年标准成本!C:C,0),1),"")</f>
        <v/>
      </c>
      <c r="K161" s="146" t="str">
        <f t="shared" si="17"/>
        <v/>
      </c>
      <c r="L161" s="146" t="str">
        <f t="shared" si="18"/>
        <v/>
      </c>
      <c r="M161" s="148" t="str">
        <f t="shared" si="19"/>
        <v/>
      </c>
    </row>
    <row r="162" spans="1:13" x14ac:dyDescent="0.3">
      <c r="A162" s="149"/>
      <c r="B162" s="149"/>
      <c r="C162" s="149"/>
      <c r="D162" s="149"/>
      <c r="E162" s="149"/>
      <c r="F162" s="149"/>
      <c r="G162" s="162"/>
      <c r="H162" s="146" t="str">
        <f t="shared" si="15"/>
        <v/>
      </c>
      <c r="I162" s="161" t="str">
        <f t="shared" si="16"/>
        <v/>
      </c>
      <c r="J162" s="160" t="str">
        <f>IFERROR(INDEX(当年标准成本!I:I,MATCH(C162,当年标准成本!C:C,0),1),"")</f>
        <v/>
      </c>
      <c r="K162" s="146" t="str">
        <f t="shared" si="17"/>
        <v/>
      </c>
      <c r="L162" s="146" t="str">
        <f t="shared" si="18"/>
        <v/>
      </c>
      <c r="M162" s="148" t="str">
        <f t="shared" si="19"/>
        <v/>
      </c>
    </row>
    <row r="163" spans="1:13" x14ac:dyDescent="0.3">
      <c r="A163" s="149"/>
      <c r="B163" s="149"/>
      <c r="C163" s="149"/>
      <c r="D163" s="149"/>
      <c r="E163" s="149"/>
      <c r="F163" s="149"/>
      <c r="G163" s="162"/>
      <c r="H163" s="146" t="str">
        <f t="shared" si="15"/>
        <v/>
      </c>
      <c r="I163" s="161" t="str">
        <f t="shared" si="16"/>
        <v/>
      </c>
      <c r="J163" s="160" t="str">
        <f>IFERROR(INDEX(当年标准成本!I:I,MATCH(C163,当年标准成本!C:C,0),1),"")</f>
        <v/>
      </c>
      <c r="K163" s="146" t="str">
        <f t="shared" si="17"/>
        <v/>
      </c>
      <c r="L163" s="146" t="str">
        <f t="shared" si="18"/>
        <v/>
      </c>
      <c r="M163" s="148" t="str">
        <f t="shared" si="19"/>
        <v/>
      </c>
    </row>
    <row r="164" spans="1:13" x14ac:dyDescent="0.3">
      <c r="A164" s="149"/>
      <c r="B164" s="149"/>
      <c r="C164" s="149"/>
      <c r="D164" s="149"/>
      <c r="E164" s="149"/>
      <c r="F164" s="149"/>
      <c r="G164" s="162"/>
      <c r="H164" s="146" t="str">
        <f t="shared" si="15"/>
        <v/>
      </c>
      <c r="I164" s="161" t="str">
        <f t="shared" si="16"/>
        <v/>
      </c>
      <c r="J164" s="160" t="str">
        <f>IFERROR(INDEX(当年标准成本!I:I,MATCH(C164,当年标准成本!C:C,0),1),"")</f>
        <v/>
      </c>
      <c r="K164" s="146" t="str">
        <f t="shared" si="17"/>
        <v/>
      </c>
      <c r="L164" s="146" t="str">
        <f t="shared" si="18"/>
        <v/>
      </c>
      <c r="M164" s="148" t="str">
        <f t="shared" si="19"/>
        <v/>
      </c>
    </row>
    <row r="165" spans="1:13" x14ac:dyDescent="0.3">
      <c r="A165" s="149"/>
      <c r="B165" s="149"/>
      <c r="C165" s="149"/>
      <c r="D165" s="149"/>
      <c r="E165" s="149"/>
      <c r="F165" s="149"/>
      <c r="G165" s="162"/>
      <c r="H165" s="146" t="str">
        <f t="shared" si="15"/>
        <v/>
      </c>
      <c r="I165" s="161" t="str">
        <f t="shared" si="16"/>
        <v/>
      </c>
      <c r="J165" s="160" t="str">
        <f>IFERROR(INDEX(当年标准成本!I:I,MATCH(C165,当年标准成本!C:C,0),1),"")</f>
        <v/>
      </c>
      <c r="K165" s="146" t="str">
        <f t="shared" si="17"/>
        <v/>
      </c>
      <c r="L165" s="146" t="str">
        <f t="shared" si="18"/>
        <v/>
      </c>
      <c r="M165" s="148" t="str">
        <f t="shared" si="19"/>
        <v/>
      </c>
    </row>
    <row r="166" spans="1:13" x14ac:dyDescent="0.3">
      <c r="A166" s="149"/>
      <c r="B166" s="149"/>
      <c r="C166" s="149"/>
      <c r="D166" s="149"/>
      <c r="E166" s="149"/>
      <c r="F166" s="149"/>
      <c r="G166" s="162"/>
      <c r="H166" s="146" t="str">
        <f t="shared" si="15"/>
        <v/>
      </c>
      <c r="I166" s="161" t="str">
        <f t="shared" si="16"/>
        <v/>
      </c>
      <c r="J166" s="160" t="str">
        <f>IFERROR(INDEX(当年标准成本!I:I,MATCH(C166,当年标准成本!C:C,0),1),"")</f>
        <v/>
      </c>
      <c r="K166" s="146" t="str">
        <f t="shared" si="17"/>
        <v/>
      </c>
      <c r="L166" s="146" t="str">
        <f t="shared" si="18"/>
        <v/>
      </c>
      <c r="M166" s="148" t="str">
        <f t="shared" si="19"/>
        <v/>
      </c>
    </row>
    <row r="167" spans="1:13" x14ac:dyDescent="0.3">
      <c r="A167" s="149"/>
      <c r="B167" s="149"/>
      <c r="C167" s="149"/>
      <c r="D167" s="149"/>
      <c r="E167" s="149"/>
      <c r="F167" s="149"/>
      <c r="G167" s="162"/>
      <c r="H167" s="146" t="str">
        <f t="shared" si="15"/>
        <v/>
      </c>
      <c r="I167" s="161" t="str">
        <f t="shared" si="16"/>
        <v/>
      </c>
      <c r="J167" s="160" t="str">
        <f>IFERROR(INDEX(当年标准成本!I:I,MATCH(C167,当年标准成本!C:C,0),1),"")</f>
        <v/>
      </c>
      <c r="K167" s="146" t="str">
        <f t="shared" si="17"/>
        <v/>
      </c>
      <c r="L167" s="146" t="str">
        <f t="shared" si="18"/>
        <v/>
      </c>
      <c r="M167" s="148" t="str">
        <f t="shared" si="19"/>
        <v/>
      </c>
    </row>
    <row r="168" spans="1:13" x14ac:dyDescent="0.3">
      <c r="A168" s="149"/>
      <c r="B168" s="149"/>
      <c r="C168" s="149"/>
      <c r="D168" s="149"/>
      <c r="E168" s="149"/>
      <c r="F168" s="149"/>
      <c r="G168" s="162"/>
      <c r="H168" s="146" t="str">
        <f t="shared" si="15"/>
        <v/>
      </c>
      <c r="I168" s="161" t="str">
        <f t="shared" si="16"/>
        <v/>
      </c>
      <c r="J168" s="160" t="str">
        <f>IFERROR(INDEX(当年标准成本!I:I,MATCH(C168,当年标准成本!C:C,0),1),"")</f>
        <v/>
      </c>
      <c r="K168" s="146" t="str">
        <f t="shared" si="17"/>
        <v/>
      </c>
      <c r="L168" s="146" t="str">
        <f t="shared" si="18"/>
        <v/>
      </c>
      <c r="M168" s="148" t="str">
        <f t="shared" si="19"/>
        <v/>
      </c>
    </row>
    <row r="169" spans="1:13" x14ac:dyDescent="0.3">
      <c r="A169" s="149"/>
      <c r="B169" s="149"/>
      <c r="C169" s="149"/>
      <c r="D169" s="149"/>
      <c r="E169" s="149"/>
      <c r="F169" s="149"/>
      <c r="G169" s="162"/>
      <c r="H169" s="146" t="str">
        <f t="shared" si="15"/>
        <v/>
      </c>
      <c r="I169" s="161" t="str">
        <f t="shared" si="16"/>
        <v/>
      </c>
      <c r="J169" s="160" t="str">
        <f>IFERROR(INDEX(当年标准成本!I:I,MATCH(C169,当年标准成本!C:C,0),1),"")</f>
        <v/>
      </c>
      <c r="K169" s="146" t="str">
        <f t="shared" si="17"/>
        <v/>
      </c>
      <c r="L169" s="146" t="str">
        <f t="shared" si="18"/>
        <v/>
      </c>
      <c r="M169" s="148" t="str">
        <f t="shared" si="19"/>
        <v/>
      </c>
    </row>
    <row r="170" spans="1:13" x14ac:dyDescent="0.3">
      <c r="A170" s="149"/>
      <c r="B170" s="149"/>
      <c r="C170" s="149"/>
      <c r="D170" s="149"/>
      <c r="E170" s="149"/>
      <c r="F170" s="149"/>
      <c r="G170" s="162"/>
      <c r="H170" s="146" t="str">
        <f t="shared" si="15"/>
        <v/>
      </c>
      <c r="I170" s="161" t="str">
        <f t="shared" si="16"/>
        <v/>
      </c>
      <c r="J170" s="160" t="str">
        <f>IFERROR(INDEX(当年标准成本!I:I,MATCH(C170,当年标准成本!C:C,0),1),"")</f>
        <v/>
      </c>
      <c r="K170" s="146" t="str">
        <f t="shared" si="17"/>
        <v/>
      </c>
      <c r="L170" s="146" t="str">
        <f t="shared" si="18"/>
        <v/>
      </c>
      <c r="M170" s="148" t="str">
        <f t="shared" si="19"/>
        <v/>
      </c>
    </row>
    <row r="171" spans="1:13" x14ac:dyDescent="0.3">
      <c r="A171" s="149"/>
      <c r="B171" s="149"/>
      <c r="C171" s="149"/>
      <c r="D171" s="149"/>
      <c r="E171" s="149"/>
      <c r="F171" s="149"/>
      <c r="G171" s="162"/>
      <c r="H171" s="146" t="str">
        <f t="shared" si="15"/>
        <v/>
      </c>
      <c r="I171" s="161" t="str">
        <f t="shared" si="16"/>
        <v/>
      </c>
      <c r="J171" s="160" t="str">
        <f>IFERROR(INDEX(当年标准成本!I:I,MATCH(C171,当年标准成本!C:C,0),1),"")</f>
        <v/>
      </c>
      <c r="K171" s="146" t="str">
        <f t="shared" si="17"/>
        <v/>
      </c>
      <c r="L171" s="146" t="str">
        <f t="shared" si="18"/>
        <v/>
      </c>
      <c r="M171" s="148" t="str">
        <f t="shared" si="19"/>
        <v/>
      </c>
    </row>
    <row r="172" spans="1:13" x14ac:dyDescent="0.3">
      <c r="A172" s="149"/>
      <c r="B172" s="149"/>
      <c r="C172" s="149"/>
      <c r="D172" s="149"/>
      <c r="E172" s="149"/>
      <c r="F172" s="149"/>
      <c r="G172" s="162"/>
      <c r="H172" s="146" t="str">
        <f t="shared" si="15"/>
        <v/>
      </c>
      <c r="I172" s="161" t="str">
        <f t="shared" si="16"/>
        <v/>
      </c>
      <c r="J172" s="160" t="str">
        <f>IFERROR(INDEX(当年标准成本!I:I,MATCH(C172,当年标准成本!C:C,0),1),"")</f>
        <v/>
      </c>
      <c r="K172" s="146" t="str">
        <f t="shared" si="17"/>
        <v/>
      </c>
      <c r="L172" s="146" t="str">
        <f t="shared" si="18"/>
        <v/>
      </c>
      <c r="M172" s="148" t="str">
        <f t="shared" si="19"/>
        <v/>
      </c>
    </row>
    <row r="173" spans="1:13" x14ac:dyDescent="0.3">
      <c r="A173" s="149"/>
      <c r="B173" s="149"/>
      <c r="C173" s="149"/>
      <c r="D173" s="149"/>
      <c r="E173" s="149"/>
      <c r="F173" s="149"/>
      <c r="G173" s="162"/>
      <c r="H173" s="146" t="str">
        <f t="shared" si="15"/>
        <v/>
      </c>
      <c r="I173" s="161" t="str">
        <f t="shared" si="16"/>
        <v/>
      </c>
      <c r="J173" s="160" t="str">
        <f>IFERROR(INDEX(当年标准成本!I:I,MATCH(C173,当年标准成本!C:C,0),1),"")</f>
        <v/>
      </c>
      <c r="K173" s="146" t="str">
        <f t="shared" si="17"/>
        <v/>
      </c>
      <c r="L173" s="146" t="str">
        <f t="shared" si="18"/>
        <v/>
      </c>
      <c r="M173" s="148" t="str">
        <f t="shared" si="19"/>
        <v/>
      </c>
    </row>
    <row r="174" spans="1:13" x14ac:dyDescent="0.3">
      <c r="A174" s="149"/>
      <c r="B174" s="149"/>
      <c r="C174" s="149"/>
      <c r="D174" s="149"/>
      <c r="E174" s="149"/>
      <c r="F174" s="149"/>
      <c r="G174" s="162"/>
      <c r="H174" s="146" t="str">
        <f t="shared" si="15"/>
        <v/>
      </c>
      <c r="I174" s="161" t="str">
        <f t="shared" si="16"/>
        <v/>
      </c>
      <c r="J174" s="160" t="str">
        <f>IFERROR(INDEX(当年标准成本!I:I,MATCH(C174,当年标准成本!C:C,0),1),"")</f>
        <v/>
      </c>
      <c r="K174" s="146" t="str">
        <f t="shared" si="17"/>
        <v/>
      </c>
      <c r="L174" s="146" t="str">
        <f t="shared" si="18"/>
        <v/>
      </c>
      <c r="M174" s="148" t="str">
        <f t="shared" si="19"/>
        <v/>
      </c>
    </row>
    <row r="175" spans="1:13" x14ac:dyDescent="0.3">
      <c r="A175" s="149"/>
      <c r="B175" s="149"/>
      <c r="C175" s="149"/>
      <c r="D175" s="149"/>
      <c r="E175" s="149"/>
      <c r="F175" s="149"/>
      <c r="G175" s="162"/>
      <c r="H175" s="146" t="str">
        <f t="shared" si="15"/>
        <v/>
      </c>
      <c r="I175" s="161" t="str">
        <f t="shared" si="16"/>
        <v/>
      </c>
      <c r="J175" s="160" t="str">
        <f>IFERROR(INDEX(当年标准成本!I:I,MATCH(C175,当年标准成本!C:C,0),1),"")</f>
        <v/>
      </c>
      <c r="K175" s="146" t="str">
        <f t="shared" si="17"/>
        <v/>
      </c>
      <c r="L175" s="146" t="str">
        <f t="shared" si="18"/>
        <v/>
      </c>
      <c r="M175" s="148" t="str">
        <f t="shared" si="19"/>
        <v/>
      </c>
    </row>
    <row r="176" spans="1:13" x14ac:dyDescent="0.3">
      <c r="A176" s="149"/>
      <c r="B176" s="149"/>
      <c r="C176" s="149"/>
      <c r="D176" s="149"/>
      <c r="E176" s="149"/>
      <c r="F176" s="149"/>
      <c r="G176" s="162"/>
      <c r="H176" s="146" t="str">
        <f t="shared" si="15"/>
        <v/>
      </c>
      <c r="I176" s="161" t="str">
        <f t="shared" si="16"/>
        <v/>
      </c>
      <c r="J176" s="160" t="str">
        <f>IFERROR(INDEX(当年标准成本!I:I,MATCH(C176,当年标准成本!C:C,0),1),"")</f>
        <v/>
      </c>
      <c r="K176" s="146" t="str">
        <f t="shared" si="17"/>
        <v/>
      </c>
      <c r="L176" s="146" t="str">
        <f t="shared" si="18"/>
        <v/>
      </c>
      <c r="M176" s="148" t="str">
        <f t="shared" si="19"/>
        <v/>
      </c>
    </row>
    <row r="177" spans="1:13" x14ac:dyDescent="0.3">
      <c r="A177" s="149"/>
      <c r="B177" s="149"/>
      <c r="C177" s="149"/>
      <c r="D177" s="149"/>
      <c r="E177" s="149"/>
      <c r="F177" s="149"/>
      <c r="G177" s="162"/>
      <c r="H177" s="146" t="str">
        <f t="shared" si="15"/>
        <v/>
      </c>
      <c r="I177" s="161" t="str">
        <f t="shared" si="16"/>
        <v/>
      </c>
      <c r="J177" s="160" t="str">
        <f>IFERROR(INDEX(当年标准成本!I:I,MATCH(C177,当年标准成本!C:C,0),1),"")</f>
        <v/>
      </c>
      <c r="K177" s="146" t="str">
        <f t="shared" si="17"/>
        <v/>
      </c>
      <c r="L177" s="146" t="str">
        <f t="shared" si="18"/>
        <v/>
      </c>
      <c r="M177" s="148" t="str">
        <f t="shared" si="19"/>
        <v/>
      </c>
    </row>
    <row r="178" spans="1:13" x14ac:dyDescent="0.3">
      <c r="A178" s="149"/>
      <c r="B178" s="149"/>
      <c r="C178" s="149"/>
      <c r="D178" s="149"/>
      <c r="E178" s="149"/>
      <c r="F178" s="149"/>
      <c r="G178" s="162"/>
      <c r="H178" s="146" t="str">
        <f t="shared" si="15"/>
        <v/>
      </c>
      <c r="I178" s="161" t="str">
        <f t="shared" si="16"/>
        <v/>
      </c>
      <c r="J178" s="160" t="str">
        <f>IFERROR(INDEX(当年标准成本!I:I,MATCH(C178,当年标准成本!C:C,0),1),"")</f>
        <v/>
      </c>
      <c r="K178" s="146" t="str">
        <f t="shared" si="17"/>
        <v/>
      </c>
      <c r="L178" s="146" t="str">
        <f t="shared" si="18"/>
        <v/>
      </c>
      <c r="M178" s="148" t="str">
        <f t="shared" si="19"/>
        <v/>
      </c>
    </row>
    <row r="179" spans="1:13" x14ac:dyDescent="0.3">
      <c r="A179" s="149"/>
      <c r="B179" s="149"/>
      <c r="C179" s="149"/>
      <c r="D179" s="149"/>
      <c r="E179" s="149"/>
      <c r="F179" s="149"/>
      <c r="G179" s="162"/>
      <c r="H179" s="146" t="str">
        <f t="shared" si="15"/>
        <v/>
      </c>
      <c r="I179" s="161" t="str">
        <f t="shared" si="16"/>
        <v/>
      </c>
      <c r="J179" s="160" t="str">
        <f>IFERROR(INDEX(当年标准成本!I:I,MATCH(C179,当年标准成本!C:C,0),1),"")</f>
        <v/>
      </c>
      <c r="K179" s="146" t="str">
        <f t="shared" si="17"/>
        <v/>
      </c>
      <c r="L179" s="146" t="str">
        <f t="shared" si="18"/>
        <v/>
      </c>
      <c r="M179" s="148" t="str">
        <f t="shared" si="19"/>
        <v/>
      </c>
    </row>
    <row r="180" spans="1:13" x14ac:dyDescent="0.3">
      <c r="A180" s="149"/>
      <c r="B180" s="149"/>
      <c r="C180" s="149"/>
      <c r="D180" s="149"/>
      <c r="E180" s="149"/>
      <c r="F180" s="149"/>
      <c r="G180" s="162"/>
      <c r="H180" s="146" t="str">
        <f t="shared" si="15"/>
        <v/>
      </c>
      <c r="I180" s="161" t="str">
        <f t="shared" si="16"/>
        <v/>
      </c>
      <c r="J180" s="160" t="str">
        <f>IFERROR(INDEX(当年标准成本!I:I,MATCH(C180,当年标准成本!C:C,0),1),"")</f>
        <v/>
      </c>
      <c r="K180" s="146" t="str">
        <f t="shared" si="17"/>
        <v/>
      </c>
      <c r="L180" s="146" t="str">
        <f t="shared" si="18"/>
        <v/>
      </c>
      <c r="M180" s="148" t="str">
        <f t="shared" si="19"/>
        <v/>
      </c>
    </row>
    <row r="181" spans="1:13" x14ac:dyDescent="0.3">
      <c r="A181" s="149"/>
      <c r="B181" s="149"/>
      <c r="C181" s="149"/>
      <c r="D181" s="149"/>
      <c r="E181" s="149"/>
      <c r="F181" s="149"/>
      <c r="G181" s="162"/>
      <c r="H181" s="146" t="str">
        <f t="shared" si="15"/>
        <v/>
      </c>
      <c r="I181" s="161" t="str">
        <f t="shared" si="16"/>
        <v/>
      </c>
      <c r="J181" s="160" t="str">
        <f>IFERROR(INDEX(当年标准成本!I:I,MATCH(C181,当年标准成本!C:C,0),1),"")</f>
        <v/>
      </c>
      <c r="K181" s="146" t="str">
        <f t="shared" si="17"/>
        <v/>
      </c>
      <c r="L181" s="146" t="str">
        <f t="shared" si="18"/>
        <v/>
      </c>
      <c r="M181" s="148" t="str">
        <f t="shared" si="19"/>
        <v/>
      </c>
    </row>
    <row r="182" spans="1:13" x14ac:dyDescent="0.3">
      <c r="A182" s="149"/>
      <c r="B182" s="149"/>
      <c r="C182" s="149"/>
      <c r="D182" s="149"/>
      <c r="E182" s="149"/>
      <c r="F182" s="149"/>
      <c r="G182" s="162"/>
      <c r="H182" s="146" t="str">
        <f t="shared" si="15"/>
        <v/>
      </c>
      <c r="I182" s="161" t="str">
        <f t="shared" si="16"/>
        <v/>
      </c>
      <c r="J182" s="160" t="str">
        <f>IFERROR(INDEX(当年标准成本!I:I,MATCH(C182,当年标准成本!C:C,0),1),"")</f>
        <v/>
      </c>
      <c r="K182" s="146" t="str">
        <f t="shared" si="17"/>
        <v/>
      </c>
      <c r="L182" s="146" t="str">
        <f t="shared" si="18"/>
        <v/>
      </c>
      <c r="M182" s="148" t="str">
        <f t="shared" si="19"/>
        <v/>
      </c>
    </row>
    <row r="183" spans="1:13" x14ac:dyDescent="0.3">
      <c r="A183" s="149"/>
      <c r="B183" s="149"/>
      <c r="C183" s="149"/>
      <c r="D183" s="149"/>
      <c r="E183" s="149"/>
      <c r="F183" s="149"/>
      <c r="G183" s="162"/>
      <c r="H183" s="146" t="str">
        <f t="shared" si="15"/>
        <v/>
      </c>
      <c r="I183" s="161" t="str">
        <f t="shared" si="16"/>
        <v/>
      </c>
      <c r="J183" s="160" t="str">
        <f>IFERROR(INDEX(当年标准成本!I:I,MATCH(C183,当年标准成本!C:C,0),1),"")</f>
        <v/>
      </c>
      <c r="K183" s="146" t="str">
        <f t="shared" si="17"/>
        <v/>
      </c>
      <c r="L183" s="146" t="str">
        <f t="shared" si="18"/>
        <v/>
      </c>
      <c r="M183" s="148" t="str">
        <f t="shared" si="19"/>
        <v/>
      </c>
    </row>
    <row r="184" spans="1:13" x14ac:dyDescent="0.3">
      <c r="A184" s="149"/>
      <c r="B184" s="149"/>
      <c r="C184" s="149"/>
      <c r="D184" s="149"/>
      <c r="E184" s="149"/>
      <c r="F184" s="149"/>
      <c r="G184" s="162"/>
      <c r="H184" s="146" t="str">
        <f t="shared" si="15"/>
        <v/>
      </c>
      <c r="I184" s="161" t="str">
        <f t="shared" si="16"/>
        <v/>
      </c>
      <c r="J184" s="160" t="str">
        <f>IFERROR(INDEX(当年标准成本!I:I,MATCH(C184,当年标准成本!C:C,0),1),"")</f>
        <v/>
      </c>
      <c r="K184" s="146" t="str">
        <f t="shared" si="17"/>
        <v/>
      </c>
      <c r="L184" s="146" t="str">
        <f t="shared" si="18"/>
        <v/>
      </c>
      <c r="M184" s="148" t="str">
        <f t="shared" si="19"/>
        <v/>
      </c>
    </row>
    <row r="185" spans="1:13" x14ac:dyDescent="0.3">
      <c r="A185" s="149"/>
      <c r="B185" s="149"/>
      <c r="C185" s="149"/>
      <c r="D185" s="149"/>
      <c r="E185" s="149"/>
      <c r="F185" s="149"/>
      <c r="G185" s="162"/>
      <c r="H185" s="146" t="str">
        <f t="shared" si="15"/>
        <v/>
      </c>
      <c r="I185" s="161" t="str">
        <f t="shared" si="16"/>
        <v/>
      </c>
      <c r="J185" s="160" t="str">
        <f>IFERROR(INDEX(当年标准成本!I:I,MATCH(C185,当年标准成本!C:C,0),1),"")</f>
        <v/>
      </c>
      <c r="K185" s="146" t="str">
        <f t="shared" si="17"/>
        <v/>
      </c>
      <c r="L185" s="146" t="str">
        <f t="shared" si="18"/>
        <v/>
      </c>
      <c r="M185" s="148" t="str">
        <f t="shared" si="19"/>
        <v/>
      </c>
    </row>
    <row r="186" spans="1:13" x14ac:dyDescent="0.3">
      <c r="A186" s="149"/>
      <c r="B186" s="149"/>
      <c r="C186" s="149"/>
      <c r="D186" s="149"/>
      <c r="E186" s="149"/>
      <c r="F186" s="149"/>
      <c r="G186" s="162"/>
      <c r="H186" s="146" t="str">
        <f t="shared" si="15"/>
        <v/>
      </c>
      <c r="I186" s="161" t="str">
        <f t="shared" si="16"/>
        <v/>
      </c>
      <c r="J186" s="160" t="str">
        <f>IFERROR(INDEX(当年标准成本!I:I,MATCH(C186,当年标准成本!C:C,0),1),"")</f>
        <v/>
      </c>
      <c r="K186" s="146" t="str">
        <f t="shared" si="17"/>
        <v/>
      </c>
      <c r="L186" s="146" t="str">
        <f t="shared" si="18"/>
        <v/>
      </c>
      <c r="M186" s="148" t="str">
        <f t="shared" si="19"/>
        <v/>
      </c>
    </row>
    <row r="187" spans="1:13" x14ac:dyDescent="0.3">
      <c r="A187" s="149"/>
      <c r="B187" s="149"/>
      <c r="C187" s="149"/>
      <c r="D187" s="149"/>
      <c r="E187" s="149"/>
      <c r="F187" s="149"/>
      <c r="G187" s="162"/>
      <c r="H187" s="146" t="str">
        <f t="shared" si="15"/>
        <v/>
      </c>
      <c r="I187" s="161" t="str">
        <f t="shared" si="16"/>
        <v/>
      </c>
      <c r="J187" s="160" t="str">
        <f>IFERROR(INDEX(当年标准成本!I:I,MATCH(C187,当年标准成本!C:C,0),1),"")</f>
        <v/>
      </c>
      <c r="K187" s="146" t="str">
        <f t="shared" si="17"/>
        <v/>
      </c>
      <c r="L187" s="146" t="str">
        <f t="shared" si="18"/>
        <v/>
      </c>
      <c r="M187" s="148" t="str">
        <f t="shared" si="19"/>
        <v/>
      </c>
    </row>
    <row r="188" spans="1:13" x14ac:dyDescent="0.3">
      <c r="A188" s="149"/>
      <c r="B188" s="149"/>
      <c r="C188" s="149"/>
      <c r="D188" s="149"/>
      <c r="E188" s="149"/>
      <c r="F188" s="149"/>
      <c r="G188" s="162"/>
      <c r="H188" s="146" t="str">
        <f t="shared" si="15"/>
        <v/>
      </c>
      <c r="I188" s="161" t="str">
        <f t="shared" si="16"/>
        <v/>
      </c>
      <c r="J188" s="160" t="str">
        <f>IFERROR(INDEX(当年标准成本!I:I,MATCH(C188,当年标准成本!C:C,0),1),"")</f>
        <v/>
      </c>
      <c r="K188" s="146" t="str">
        <f t="shared" si="17"/>
        <v/>
      </c>
      <c r="L188" s="146" t="str">
        <f t="shared" si="18"/>
        <v/>
      </c>
      <c r="M188" s="148" t="str">
        <f t="shared" si="19"/>
        <v/>
      </c>
    </row>
    <row r="189" spans="1:13" x14ac:dyDescent="0.3">
      <c r="A189" s="149"/>
      <c r="B189" s="149"/>
      <c r="C189" s="149"/>
      <c r="D189" s="149"/>
      <c r="E189" s="149"/>
      <c r="F189" s="149"/>
      <c r="G189" s="162"/>
      <c r="H189" s="146" t="str">
        <f t="shared" si="15"/>
        <v/>
      </c>
      <c r="I189" s="161" t="str">
        <f t="shared" si="16"/>
        <v/>
      </c>
      <c r="J189" s="160" t="str">
        <f>IFERROR(INDEX(当年标准成本!I:I,MATCH(C189,当年标准成本!C:C,0),1),"")</f>
        <v/>
      </c>
      <c r="K189" s="146" t="str">
        <f t="shared" si="17"/>
        <v/>
      </c>
      <c r="L189" s="146" t="str">
        <f t="shared" si="18"/>
        <v/>
      </c>
      <c r="M189" s="148" t="str">
        <f t="shared" si="19"/>
        <v/>
      </c>
    </row>
    <row r="190" spans="1:13" x14ac:dyDescent="0.3">
      <c r="A190" s="149"/>
      <c r="B190" s="149"/>
      <c r="C190" s="149"/>
      <c r="D190" s="149"/>
      <c r="E190" s="149"/>
      <c r="F190" s="149"/>
      <c r="G190" s="162"/>
      <c r="H190" s="146" t="str">
        <f t="shared" si="15"/>
        <v/>
      </c>
      <c r="I190" s="161" t="str">
        <f t="shared" si="16"/>
        <v/>
      </c>
      <c r="J190" s="160" t="str">
        <f>IFERROR(INDEX(当年标准成本!I:I,MATCH(C190,当年标准成本!C:C,0),1),"")</f>
        <v/>
      </c>
      <c r="K190" s="146" t="str">
        <f t="shared" si="17"/>
        <v/>
      </c>
      <c r="L190" s="146" t="str">
        <f t="shared" si="18"/>
        <v/>
      </c>
      <c r="M190" s="148" t="str">
        <f t="shared" si="19"/>
        <v/>
      </c>
    </row>
    <row r="191" spans="1:13" x14ac:dyDescent="0.3">
      <c r="A191" s="149"/>
      <c r="B191" s="149"/>
      <c r="C191" s="149"/>
      <c r="D191" s="149"/>
      <c r="E191" s="149"/>
      <c r="F191" s="149"/>
      <c r="G191" s="162"/>
      <c r="H191" s="146" t="str">
        <f t="shared" si="15"/>
        <v/>
      </c>
      <c r="I191" s="161" t="str">
        <f t="shared" si="16"/>
        <v/>
      </c>
      <c r="J191" s="160" t="str">
        <f>IFERROR(INDEX(当年标准成本!I:I,MATCH(C191,当年标准成本!C:C,0),1),"")</f>
        <v/>
      </c>
      <c r="K191" s="146" t="str">
        <f t="shared" si="17"/>
        <v/>
      </c>
      <c r="L191" s="146" t="str">
        <f t="shared" si="18"/>
        <v/>
      </c>
      <c r="M191" s="148" t="str">
        <f t="shared" si="19"/>
        <v/>
      </c>
    </row>
    <row r="192" spans="1:13" x14ac:dyDescent="0.3">
      <c r="A192" s="149"/>
      <c r="B192" s="149"/>
      <c r="C192" s="149"/>
      <c r="D192" s="149"/>
      <c r="E192" s="149"/>
      <c r="F192" s="149"/>
      <c r="G192" s="162"/>
      <c r="H192" s="146" t="str">
        <f t="shared" si="15"/>
        <v/>
      </c>
      <c r="I192" s="161" t="str">
        <f t="shared" si="16"/>
        <v/>
      </c>
      <c r="J192" s="160" t="str">
        <f>IFERROR(INDEX(当年标准成本!I:I,MATCH(C192,当年标准成本!C:C,0),1),"")</f>
        <v/>
      </c>
      <c r="K192" s="146" t="str">
        <f t="shared" si="17"/>
        <v/>
      </c>
      <c r="L192" s="146" t="str">
        <f t="shared" si="18"/>
        <v/>
      </c>
      <c r="M192" s="148" t="str">
        <f t="shared" si="19"/>
        <v/>
      </c>
    </row>
    <row r="193" spans="1:13" x14ac:dyDescent="0.3">
      <c r="A193" s="149"/>
      <c r="B193" s="149"/>
      <c r="C193" s="149"/>
      <c r="D193" s="149"/>
      <c r="E193" s="149"/>
      <c r="F193" s="149"/>
      <c r="G193" s="162"/>
      <c r="H193" s="146" t="str">
        <f t="shared" si="15"/>
        <v/>
      </c>
      <c r="I193" s="161" t="str">
        <f t="shared" si="16"/>
        <v/>
      </c>
      <c r="J193" s="160" t="str">
        <f>IFERROR(INDEX(当年标准成本!I:I,MATCH(C193,当年标准成本!C:C,0),1),"")</f>
        <v/>
      </c>
      <c r="K193" s="146" t="str">
        <f t="shared" si="17"/>
        <v/>
      </c>
      <c r="L193" s="146" t="str">
        <f t="shared" si="18"/>
        <v/>
      </c>
      <c r="M193" s="148" t="str">
        <f t="shared" si="19"/>
        <v/>
      </c>
    </row>
    <row r="194" spans="1:13" x14ac:dyDescent="0.3">
      <c r="A194" s="149"/>
      <c r="B194" s="149"/>
      <c r="C194" s="149"/>
      <c r="D194" s="149"/>
      <c r="E194" s="149"/>
      <c r="F194" s="149"/>
      <c r="G194" s="162"/>
      <c r="H194" s="146" t="str">
        <f t="shared" si="15"/>
        <v/>
      </c>
      <c r="I194" s="161" t="str">
        <f t="shared" si="16"/>
        <v/>
      </c>
      <c r="J194" s="160" t="str">
        <f>IFERROR(INDEX(当年标准成本!I:I,MATCH(C194,当年标准成本!C:C,0),1),"")</f>
        <v/>
      </c>
      <c r="K194" s="146" t="str">
        <f t="shared" si="17"/>
        <v/>
      </c>
      <c r="L194" s="146" t="str">
        <f t="shared" si="18"/>
        <v/>
      </c>
      <c r="M194" s="148" t="str">
        <f t="shared" si="19"/>
        <v/>
      </c>
    </row>
    <row r="195" spans="1:13" x14ac:dyDescent="0.3">
      <c r="A195" s="149"/>
      <c r="B195" s="149"/>
      <c r="C195" s="149"/>
      <c r="D195" s="149"/>
      <c r="E195" s="149"/>
      <c r="F195" s="149"/>
      <c r="G195" s="162"/>
      <c r="H195" s="146" t="str">
        <f t="shared" si="15"/>
        <v/>
      </c>
      <c r="I195" s="161" t="str">
        <f t="shared" si="16"/>
        <v/>
      </c>
      <c r="J195" s="160" t="str">
        <f>IFERROR(INDEX(当年标准成本!I:I,MATCH(C195,当年标准成本!C:C,0),1),"")</f>
        <v/>
      </c>
      <c r="K195" s="146" t="str">
        <f t="shared" si="17"/>
        <v/>
      </c>
      <c r="L195" s="146" t="str">
        <f t="shared" si="18"/>
        <v/>
      </c>
      <c r="M195" s="148" t="str">
        <f t="shared" si="19"/>
        <v/>
      </c>
    </row>
    <row r="196" spans="1:13" x14ac:dyDescent="0.3">
      <c r="A196" s="149"/>
      <c r="B196" s="149"/>
      <c r="C196" s="149"/>
      <c r="D196" s="149"/>
      <c r="E196" s="149"/>
      <c r="F196" s="149"/>
      <c r="G196" s="162"/>
      <c r="H196" s="146" t="str">
        <f t="shared" si="15"/>
        <v/>
      </c>
      <c r="I196" s="161" t="str">
        <f t="shared" si="16"/>
        <v/>
      </c>
      <c r="J196" s="160" t="str">
        <f>IFERROR(INDEX(当年标准成本!I:I,MATCH(C196,当年标准成本!C:C,0),1),"")</f>
        <v/>
      </c>
      <c r="K196" s="146" t="str">
        <f t="shared" si="17"/>
        <v/>
      </c>
      <c r="L196" s="146" t="str">
        <f t="shared" si="18"/>
        <v/>
      </c>
      <c r="M196" s="148" t="str">
        <f t="shared" si="19"/>
        <v/>
      </c>
    </row>
    <row r="197" spans="1:13" x14ac:dyDescent="0.3">
      <c r="A197" s="149"/>
      <c r="B197" s="149"/>
      <c r="C197" s="149"/>
      <c r="D197" s="149"/>
      <c r="E197" s="149"/>
      <c r="F197" s="149"/>
      <c r="G197" s="162"/>
      <c r="H197" s="146" t="str">
        <f t="shared" si="15"/>
        <v/>
      </c>
      <c r="I197" s="161" t="str">
        <f t="shared" si="16"/>
        <v/>
      </c>
      <c r="J197" s="160" t="str">
        <f>IFERROR(INDEX(当年标准成本!I:I,MATCH(C197,当年标准成本!C:C,0),1),"")</f>
        <v/>
      </c>
      <c r="K197" s="146" t="str">
        <f t="shared" si="17"/>
        <v/>
      </c>
      <c r="L197" s="146" t="str">
        <f t="shared" si="18"/>
        <v/>
      </c>
      <c r="M197" s="148" t="str">
        <f t="shared" si="19"/>
        <v/>
      </c>
    </row>
    <row r="198" spans="1:13" x14ac:dyDescent="0.3">
      <c r="A198" s="149"/>
      <c r="B198" s="149"/>
      <c r="C198" s="149"/>
      <c r="D198" s="149"/>
      <c r="E198" s="149"/>
      <c r="F198" s="149"/>
      <c r="G198" s="162"/>
      <c r="H198" s="146" t="str">
        <f t="shared" si="15"/>
        <v/>
      </c>
      <c r="I198" s="161" t="str">
        <f t="shared" si="16"/>
        <v/>
      </c>
      <c r="J198" s="160" t="str">
        <f>IFERROR(INDEX(当年标准成本!I:I,MATCH(C198,当年标准成本!C:C,0),1),"")</f>
        <v/>
      </c>
      <c r="K198" s="146" t="str">
        <f t="shared" si="17"/>
        <v/>
      </c>
      <c r="L198" s="146" t="str">
        <f t="shared" si="18"/>
        <v/>
      </c>
      <c r="M198" s="148" t="str">
        <f t="shared" si="19"/>
        <v/>
      </c>
    </row>
    <row r="199" spans="1:13" x14ac:dyDescent="0.3">
      <c r="A199" s="149"/>
      <c r="B199" s="149"/>
      <c r="C199" s="149"/>
      <c r="D199" s="149"/>
      <c r="E199" s="149"/>
      <c r="F199" s="149"/>
      <c r="G199" s="162"/>
      <c r="H199" s="146" t="str">
        <f t="shared" si="15"/>
        <v/>
      </c>
      <c r="I199" s="161" t="str">
        <f t="shared" si="16"/>
        <v/>
      </c>
      <c r="J199" s="160" t="str">
        <f>IFERROR(INDEX(当年标准成本!I:I,MATCH(C199,当年标准成本!C:C,0),1),"")</f>
        <v/>
      </c>
      <c r="K199" s="146" t="str">
        <f t="shared" si="17"/>
        <v/>
      </c>
      <c r="L199" s="146" t="str">
        <f t="shared" si="18"/>
        <v/>
      </c>
      <c r="M199" s="148" t="str">
        <f t="shared" si="19"/>
        <v/>
      </c>
    </row>
    <row r="200" spans="1:13" x14ac:dyDescent="0.3">
      <c r="A200" s="149"/>
      <c r="B200" s="149"/>
      <c r="C200" s="149"/>
      <c r="D200" s="149"/>
      <c r="E200" s="149"/>
      <c r="F200" s="149"/>
      <c r="G200" s="162"/>
      <c r="H200" s="146" t="str">
        <f t="shared" si="15"/>
        <v/>
      </c>
      <c r="I200" s="161" t="str">
        <f t="shared" si="16"/>
        <v/>
      </c>
      <c r="J200" s="160" t="str">
        <f>IFERROR(INDEX(当年标准成本!I:I,MATCH(C200,当年标准成本!C:C,0),1),"")</f>
        <v/>
      </c>
      <c r="K200" s="146" t="str">
        <f t="shared" si="17"/>
        <v/>
      </c>
      <c r="L200" s="146" t="str">
        <f t="shared" si="18"/>
        <v/>
      </c>
      <c r="M200" s="148" t="str">
        <f t="shared" si="19"/>
        <v/>
      </c>
    </row>
    <row r="201" spans="1:13" x14ac:dyDescent="0.3">
      <c r="A201" s="149"/>
      <c r="B201" s="149"/>
      <c r="C201" s="149"/>
      <c r="D201" s="149"/>
      <c r="E201" s="149"/>
      <c r="F201" s="149"/>
      <c r="G201" s="162"/>
      <c r="H201" s="146" t="str">
        <f t="shared" si="15"/>
        <v/>
      </c>
      <c r="I201" s="161" t="str">
        <f t="shared" si="16"/>
        <v/>
      </c>
      <c r="J201" s="160" t="str">
        <f>IFERROR(INDEX(当年标准成本!I:I,MATCH(C201,当年标准成本!C:C,0),1),"")</f>
        <v/>
      </c>
      <c r="K201" s="146" t="str">
        <f t="shared" si="17"/>
        <v/>
      </c>
      <c r="L201" s="146" t="str">
        <f t="shared" si="18"/>
        <v/>
      </c>
      <c r="M201" s="148" t="str">
        <f t="shared" si="19"/>
        <v/>
      </c>
    </row>
    <row r="202" spans="1:13" x14ac:dyDescent="0.3">
      <c r="A202" s="149"/>
      <c r="B202" s="149"/>
      <c r="C202" s="149"/>
      <c r="D202" s="149"/>
      <c r="E202" s="149"/>
      <c r="F202" s="149"/>
      <c r="G202" s="162"/>
      <c r="H202" s="146" t="str">
        <f t="shared" si="15"/>
        <v/>
      </c>
      <c r="I202" s="161" t="str">
        <f t="shared" si="16"/>
        <v/>
      </c>
      <c r="J202" s="160" t="str">
        <f>IFERROR(INDEX(当年标准成本!I:I,MATCH(C202,当年标准成本!C:C,0),1),"")</f>
        <v/>
      </c>
      <c r="K202" s="146" t="str">
        <f t="shared" si="17"/>
        <v/>
      </c>
      <c r="L202" s="146" t="str">
        <f t="shared" si="18"/>
        <v/>
      </c>
      <c r="M202" s="148" t="str">
        <f t="shared" si="19"/>
        <v/>
      </c>
    </row>
    <row r="203" spans="1:13" x14ac:dyDescent="0.3">
      <c r="A203" s="149"/>
      <c r="B203" s="149"/>
      <c r="C203" s="149"/>
      <c r="D203" s="149"/>
      <c r="E203" s="149"/>
      <c r="F203" s="149"/>
      <c r="G203" s="162"/>
      <c r="H203" s="146" t="str">
        <f t="shared" si="15"/>
        <v/>
      </c>
      <c r="I203" s="161" t="str">
        <f t="shared" si="16"/>
        <v/>
      </c>
      <c r="J203" s="160" t="str">
        <f>IFERROR(INDEX(当年标准成本!I:I,MATCH(C203,当年标准成本!C:C,0),1),"")</f>
        <v/>
      </c>
      <c r="K203" s="146" t="str">
        <f t="shared" si="17"/>
        <v/>
      </c>
      <c r="L203" s="146" t="str">
        <f t="shared" si="18"/>
        <v/>
      </c>
      <c r="M203" s="148" t="str">
        <f t="shared" si="19"/>
        <v/>
      </c>
    </row>
    <row r="204" spans="1:13" x14ac:dyDescent="0.3">
      <c r="A204" s="149"/>
      <c r="B204" s="149"/>
      <c r="C204" s="149"/>
      <c r="D204" s="149"/>
      <c r="E204" s="149"/>
      <c r="F204" s="149"/>
      <c r="G204" s="162"/>
      <c r="H204" s="146" t="str">
        <f t="shared" ref="H204:H267" si="20">IFERROR(F204/E204,"")</f>
        <v/>
      </c>
      <c r="I204" s="161" t="str">
        <f t="shared" ref="I204:I267" si="21">IFERROR(H204*(1+G204),"")</f>
        <v/>
      </c>
      <c r="J204" s="160" t="str">
        <f>IFERROR(INDEX(当年标准成本!I:I,MATCH(C204,当年标准成本!C:C,0),1),"")</f>
        <v/>
      </c>
      <c r="K204" s="146" t="str">
        <f t="shared" ref="K204:K267" si="22">IFERROR(E204*J204,"")</f>
        <v/>
      </c>
      <c r="L204" s="146" t="str">
        <f t="shared" ref="L204:L267" si="23">IFERROR(F204-K204,"")</f>
        <v/>
      </c>
      <c r="M204" s="148" t="str">
        <f t="shared" ref="M204:M267" si="24">IFERROR(L204/F204,"")</f>
        <v/>
      </c>
    </row>
    <row r="205" spans="1:13" x14ac:dyDescent="0.3">
      <c r="A205" s="149"/>
      <c r="B205" s="149"/>
      <c r="C205" s="149"/>
      <c r="D205" s="149"/>
      <c r="E205" s="149"/>
      <c r="F205" s="149"/>
      <c r="G205" s="162"/>
      <c r="H205" s="146" t="str">
        <f t="shared" si="20"/>
        <v/>
      </c>
      <c r="I205" s="161" t="str">
        <f t="shared" si="21"/>
        <v/>
      </c>
      <c r="J205" s="160" t="str">
        <f>IFERROR(INDEX(当年标准成本!I:I,MATCH(C205,当年标准成本!C:C,0),1),"")</f>
        <v/>
      </c>
      <c r="K205" s="146" t="str">
        <f t="shared" si="22"/>
        <v/>
      </c>
      <c r="L205" s="146" t="str">
        <f t="shared" si="23"/>
        <v/>
      </c>
      <c r="M205" s="148" t="str">
        <f t="shared" si="24"/>
        <v/>
      </c>
    </row>
    <row r="206" spans="1:13" x14ac:dyDescent="0.3">
      <c r="A206" s="149"/>
      <c r="B206" s="149"/>
      <c r="C206" s="149"/>
      <c r="D206" s="149"/>
      <c r="E206" s="149"/>
      <c r="F206" s="149"/>
      <c r="G206" s="162"/>
      <c r="H206" s="146" t="str">
        <f t="shared" si="20"/>
        <v/>
      </c>
      <c r="I206" s="161" t="str">
        <f t="shared" si="21"/>
        <v/>
      </c>
      <c r="J206" s="160" t="str">
        <f>IFERROR(INDEX(当年标准成本!I:I,MATCH(C206,当年标准成本!C:C,0),1),"")</f>
        <v/>
      </c>
      <c r="K206" s="146" t="str">
        <f t="shared" si="22"/>
        <v/>
      </c>
      <c r="L206" s="146" t="str">
        <f t="shared" si="23"/>
        <v/>
      </c>
      <c r="M206" s="148" t="str">
        <f t="shared" si="24"/>
        <v/>
      </c>
    </row>
    <row r="207" spans="1:13" x14ac:dyDescent="0.3">
      <c r="A207" s="149"/>
      <c r="B207" s="149"/>
      <c r="C207" s="149"/>
      <c r="D207" s="149"/>
      <c r="E207" s="149"/>
      <c r="F207" s="149"/>
      <c r="G207" s="162"/>
      <c r="H207" s="146" t="str">
        <f t="shared" si="20"/>
        <v/>
      </c>
      <c r="I207" s="161" t="str">
        <f t="shared" si="21"/>
        <v/>
      </c>
      <c r="J207" s="160" t="str">
        <f>IFERROR(INDEX(当年标准成本!I:I,MATCH(C207,当年标准成本!C:C,0),1),"")</f>
        <v/>
      </c>
      <c r="K207" s="146" t="str">
        <f t="shared" si="22"/>
        <v/>
      </c>
      <c r="L207" s="146" t="str">
        <f t="shared" si="23"/>
        <v/>
      </c>
      <c r="M207" s="148" t="str">
        <f t="shared" si="24"/>
        <v/>
      </c>
    </row>
    <row r="208" spans="1:13" x14ac:dyDescent="0.3">
      <c r="A208" s="149"/>
      <c r="B208" s="149"/>
      <c r="C208" s="149"/>
      <c r="D208" s="149"/>
      <c r="E208" s="149"/>
      <c r="F208" s="149"/>
      <c r="G208" s="162"/>
      <c r="H208" s="146" t="str">
        <f t="shared" si="20"/>
        <v/>
      </c>
      <c r="I208" s="161" t="str">
        <f t="shared" si="21"/>
        <v/>
      </c>
      <c r="J208" s="160" t="str">
        <f>IFERROR(INDEX(当年标准成本!I:I,MATCH(C208,当年标准成本!C:C,0),1),"")</f>
        <v/>
      </c>
      <c r="K208" s="146" t="str">
        <f t="shared" si="22"/>
        <v/>
      </c>
      <c r="L208" s="146" t="str">
        <f t="shared" si="23"/>
        <v/>
      </c>
      <c r="M208" s="148" t="str">
        <f t="shared" si="24"/>
        <v/>
      </c>
    </row>
    <row r="209" spans="1:13" x14ac:dyDescent="0.3">
      <c r="A209" s="149"/>
      <c r="B209" s="149"/>
      <c r="C209" s="149"/>
      <c r="D209" s="149"/>
      <c r="E209" s="149"/>
      <c r="F209" s="149"/>
      <c r="G209" s="162"/>
      <c r="H209" s="146" t="str">
        <f t="shared" si="20"/>
        <v/>
      </c>
      <c r="I209" s="161" t="str">
        <f t="shared" si="21"/>
        <v/>
      </c>
      <c r="J209" s="160" t="str">
        <f>IFERROR(INDEX(当年标准成本!I:I,MATCH(C209,当年标准成本!C:C,0),1),"")</f>
        <v/>
      </c>
      <c r="K209" s="146" t="str">
        <f t="shared" si="22"/>
        <v/>
      </c>
      <c r="L209" s="146" t="str">
        <f t="shared" si="23"/>
        <v/>
      </c>
      <c r="M209" s="148" t="str">
        <f t="shared" si="24"/>
        <v/>
      </c>
    </row>
    <row r="210" spans="1:13" x14ac:dyDescent="0.3">
      <c r="A210" s="149"/>
      <c r="B210" s="149"/>
      <c r="C210" s="149"/>
      <c r="D210" s="149"/>
      <c r="E210" s="149"/>
      <c r="F210" s="149"/>
      <c r="G210" s="162"/>
      <c r="H210" s="146" t="str">
        <f t="shared" si="20"/>
        <v/>
      </c>
      <c r="I210" s="161" t="str">
        <f t="shared" si="21"/>
        <v/>
      </c>
      <c r="J210" s="160" t="str">
        <f>IFERROR(INDEX(当年标准成本!I:I,MATCH(C210,当年标准成本!C:C,0),1),"")</f>
        <v/>
      </c>
      <c r="K210" s="146" t="str">
        <f t="shared" si="22"/>
        <v/>
      </c>
      <c r="L210" s="146" t="str">
        <f t="shared" si="23"/>
        <v/>
      </c>
      <c r="M210" s="148" t="str">
        <f t="shared" si="24"/>
        <v/>
      </c>
    </row>
    <row r="211" spans="1:13" x14ac:dyDescent="0.3">
      <c r="A211" s="149"/>
      <c r="B211" s="149"/>
      <c r="C211" s="149"/>
      <c r="D211" s="149"/>
      <c r="E211" s="149"/>
      <c r="F211" s="149"/>
      <c r="G211" s="162"/>
      <c r="H211" s="146" t="str">
        <f t="shared" si="20"/>
        <v/>
      </c>
      <c r="I211" s="161" t="str">
        <f t="shared" si="21"/>
        <v/>
      </c>
      <c r="J211" s="160" t="str">
        <f>IFERROR(INDEX(当年标准成本!I:I,MATCH(C211,当年标准成本!C:C,0),1),"")</f>
        <v/>
      </c>
      <c r="K211" s="146" t="str">
        <f t="shared" si="22"/>
        <v/>
      </c>
      <c r="L211" s="146" t="str">
        <f t="shared" si="23"/>
        <v/>
      </c>
      <c r="M211" s="148" t="str">
        <f t="shared" si="24"/>
        <v/>
      </c>
    </row>
    <row r="212" spans="1:13" x14ac:dyDescent="0.3">
      <c r="A212" s="149"/>
      <c r="B212" s="149"/>
      <c r="C212" s="149"/>
      <c r="D212" s="149"/>
      <c r="E212" s="149"/>
      <c r="F212" s="149"/>
      <c r="G212" s="162"/>
      <c r="H212" s="146" t="str">
        <f t="shared" si="20"/>
        <v/>
      </c>
      <c r="I212" s="161" t="str">
        <f t="shared" si="21"/>
        <v/>
      </c>
      <c r="J212" s="160" t="str">
        <f>IFERROR(INDEX(当年标准成本!I:I,MATCH(C212,当年标准成本!C:C,0),1),"")</f>
        <v/>
      </c>
      <c r="K212" s="146" t="str">
        <f t="shared" si="22"/>
        <v/>
      </c>
      <c r="L212" s="146" t="str">
        <f t="shared" si="23"/>
        <v/>
      </c>
      <c r="M212" s="148" t="str">
        <f t="shared" si="24"/>
        <v/>
      </c>
    </row>
    <row r="213" spans="1:13" x14ac:dyDescent="0.3">
      <c r="A213" s="149"/>
      <c r="B213" s="149"/>
      <c r="C213" s="149"/>
      <c r="D213" s="149"/>
      <c r="E213" s="149"/>
      <c r="F213" s="149"/>
      <c r="G213" s="162"/>
      <c r="H213" s="146" t="str">
        <f t="shared" si="20"/>
        <v/>
      </c>
      <c r="I213" s="161" t="str">
        <f t="shared" si="21"/>
        <v/>
      </c>
      <c r="J213" s="160" t="str">
        <f>IFERROR(INDEX(当年标准成本!I:I,MATCH(C213,当年标准成本!C:C,0),1),"")</f>
        <v/>
      </c>
      <c r="K213" s="146" t="str">
        <f t="shared" si="22"/>
        <v/>
      </c>
      <c r="L213" s="146" t="str">
        <f t="shared" si="23"/>
        <v/>
      </c>
      <c r="M213" s="148" t="str">
        <f t="shared" si="24"/>
        <v/>
      </c>
    </row>
    <row r="214" spans="1:13" x14ac:dyDescent="0.3">
      <c r="A214" s="149"/>
      <c r="B214" s="149"/>
      <c r="C214" s="149"/>
      <c r="D214" s="149"/>
      <c r="E214" s="149"/>
      <c r="F214" s="149"/>
      <c r="G214" s="162"/>
      <c r="H214" s="146" t="str">
        <f t="shared" si="20"/>
        <v/>
      </c>
      <c r="I214" s="161" t="str">
        <f t="shared" si="21"/>
        <v/>
      </c>
      <c r="J214" s="160" t="str">
        <f>IFERROR(INDEX(当年标准成本!I:I,MATCH(C214,当年标准成本!C:C,0),1),"")</f>
        <v/>
      </c>
      <c r="K214" s="146" t="str">
        <f t="shared" si="22"/>
        <v/>
      </c>
      <c r="L214" s="146" t="str">
        <f t="shared" si="23"/>
        <v/>
      </c>
      <c r="M214" s="148" t="str">
        <f t="shared" si="24"/>
        <v/>
      </c>
    </row>
    <row r="215" spans="1:13" x14ac:dyDescent="0.3">
      <c r="A215" s="149"/>
      <c r="B215" s="149"/>
      <c r="C215" s="149"/>
      <c r="D215" s="149"/>
      <c r="E215" s="149"/>
      <c r="F215" s="149"/>
      <c r="G215" s="162"/>
      <c r="H215" s="146" t="str">
        <f t="shared" si="20"/>
        <v/>
      </c>
      <c r="I215" s="161" t="str">
        <f t="shared" si="21"/>
        <v/>
      </c>
      <c r="J215" s="160" t="str">
        <f>IFERROR(INDEX(当年标准成本!I:I,MATCH(C215,当年标准成本!C:C,0),1),"")</f>
        <v/>
      </c>
      <c r="K215" s="146" t="str">
        <f t="shared" si="22"/>
        <v/>
      </c>
      <c r="L215" s="146" t="str">
        <f t="shared" si="23"/>
        <v/>
      </c>
      <c r="M215" s="148" t="str">
        <f t="shared" si="24"/>
        <v/>
      </c>
    </row>
    <row r="216" spans="1:13" x14ac:dyDescent="0.3">
      <c r="A216" s="149"/>
      <c r="B216" s="149"/>
      <c r="C216" s="149"/>
      <c r="D216" s="149"/>
      <c r="E216" s="149"/>
      <c r="F216" s="149"/>
      <c r="G216" s="162"/>
      <c r="H216" s="146" t="str">
        <f t="shared" si="20"/>
        <v/>
      </c>
      <c r="I216" s="161" t="str">
        <f t="shared" si="21"/>
        <v/>
      </c>
      <c r="J216" s="160" t="str">
        <f>IFERROR(INDEX(当年标准成本!I:I,MATCH(C216,当年标准成本!C:C,0),1),"")</f>
        <v/>
      </c>
      <c r="K216" s="146" t="str">
        <f t="shared" si="22"/>
        <v/>
      </c>
      <c r="L216" s="146" t="str">
        <f t="shared" si="23"/>
        <v/>
      </c>
      <c r="M216" s="148" t="str">
        <f t="shared" si="24"/>
        <v/>
      </c>
    </row>
    <row r="217" spans="1:13" x14ac:dyDescent="0.3">
      <c r="A217" s="149"/>
      <c r="B217" s="149"/>
      <c r="C217" s="149"/>
      <c r="D217" s="149"/>
      <c r="E217" s="149"/>
      <c r="F217" s="149"/>
      <c r="G217" s="162"/>
      <c r="H217" s="146" t="str">
        <f t="shared" si="20"/>
        <v/>
      </c>
      <c r="I217" s="161" t="str">
        <f t="shared" si="21"/>
        <v/>
      </c>
      <c r="J217" s="160" t="str">
        <f>IFERROR(INDEX(当年标准成本!I:I,MATCH(C217,当年标准成本!C:C,0),1),"")</f>
        <v/>
      </c>
      <c r="K217" s="146" t="str">
        <f t="shared" si="22"/>
        <v/>
      </c>
      <c r="L217" s="146" t="str">
        <f t="shared" si="23"/>
        <v/>
      </c>
      <c r="M217" s="148" t="str">
        <f t="shared" si="24"/>
        <v/>
      </c>
    </row>
    <row r="218" spans="1:13" x14ac:dyDescent="0.3">
      <c r="A218" s="149"/>
      <c r="B218" s="149"/>
      <c r="C218" s="149"/>
      <c r="D218" s="149"/>
      <c r="E218" s="149"/>
      <c r="F218" s="149"/>
      <c r="G218" s="162"/>
      <c r="H218" s="146" t="str">
        <f t="shared" si="20"/>
        <v/>
      </c>
      <c r="I218" s="161" t="str">
        <f t="shared" si="21"/>
        <v/>
      </c>
      <c r="J218" s="160" t="str">
        <f>IFERROR(INDEX(当年标准成本!I:I,MATCH(C218,当年标准成本!C:C,0),1),"")</f>
        <v/>
      </c>
      <c r="K218" s="146" t="str">
        <f t="shared" si="22"/>
        <v/>
      </c>
      <c r="L218" s="146" t="str">
        <f t="shared" si="23"/>
        <v/>
      </c>
      <c r="M218" s="148" t="str">
        <f t="shared" si="24"/>
        <v/>
      </c>
    </row>
    <row r="219" spans="1:13" x14ac:dyDescent="0.3">
      <c r="A219" s="149"/>
      <c r="B219" s="149"/>
      <c r="C219" s="149"/>
      <c r="D219" s="149"/>
      <c r="E219" s="149"/>
      <c r="F219" s="149"/>
      <c r="G219" s="162"/>
      <c r="H219" s="146" t="str">
        <f t="shared" si="20"/>
        <v/>
      </c>
      <c r="I219" s="161" t="str">
        <f t="shared" si="21"/>
        <v/>
      </c>
      <c r="J219" s="160" t="str">
        <f>IFERROR(INDEX(当年标准成本!I:I,MATCH(C219,当年标准成本!C:C,0),1),"")</f>
        <v/>
      </c>
      <c r="K219" s="146" t="str">
        <f t="shared" si="22"/>
        <v/>
      </c>
      <c r="L219" s="146" t="str">
        <f t="shared" si="23"/>
        <v/>
      </c>
      <c r="M219" s="148" t="str">
        <f t="shared" si="24"/>
        <v/>
      </c>
    </row>
    <row r="220" spans="1:13" x14ac:dyDescent="0.3">
      <c r="A220" s="149"/>
      <c r="B220" s="149"/>
      <c r="C220" s="149"/>
      <c r="D220" s="149"/>
      <c r="E220" s="149"/>
      <c r="F220" s="149"/>
      <c r="G220" s="162"/>
      <c r="H220" s="146" t="str">
        <f t="shared" si="20"/>
        <v/>
      </c>
      <c r="I220" s="161" t="str">
        <f t="shared" si="21"/>
        <v/>
      </c>
      <c r="J220" s="160" t="str">
        <f>IFERROR(INDEX(当年标准成本!I:I,MATCH(C220,当年标准成本!C:C,0),1),"")</f>
        <v/>
      </c>
      <c r="K220" s="146" t="str">
        <f t="shared" si="22"/>
        <v/>
      </c>
      <c r="L220" s="146" t="str">
        <f t="shared" si="23"/>
        <v/>
      </c>
      <c r="M220" s="148" t="str">
        <f t="shared" si="24"/>
        <v/>
      </c>
    </row>
    <row r="221" spans="1:13" x14ac:dyDescent="0.3">
      <c r="A221" s="149"/>
      <c r="B221" s="149"/>
      <c r="C221" s="149"/>
      <c r="D221" s="149"/>
      <c r="E221" s="149"/>
      <c r="F221" s="149"/>
      <c r="G221" s="162"/>
      <c r="H221" s="146" t="str">
        <f t="shared" si="20"/>
        <v/>
      </c>
      <c r="I221" s="161" t="str">
        <f t="shared" si="21"/>
        <v/>
      </c>
      <c r="J221" s="160" t="str">
        <f>IFERROR(INDEX(当年标准成本!I:I,MATCH(C221,当年标准成本!C:C,0),1),"")</f>
        <v/>
      </c>
      <c r="K221" s="146" t="str">
        <f t="shared" si="22"/>
        <v/>
      </c>
      <c r="L221" s="146" t="str">
        <f t="shared" si="23"/>
        <v/>
      </c>
      <c r="M221" s="148" t="str">
        <f t="shared" si="24"/>
        <v/>
      </c>
    </row>
    <row r="222" spans="1:13" x14ac:dyDescent="0.3">
      <c r="A222" s="149"/>
      <c r="B222" s="149"/>
      <c r="C222" s="149"/>
      <c r="D222" s="149"/>
      <c r="E222" s="149"/>
      <c r="F222" s="149"/>
      <c r="G222" s="162"/>
      <c r="H222" s="146" t="str">
        <f t="shared" si="20"/>
        <v/>
      </c>
      <c r="I222" s="161" t="str">
        <f t="shared" si="21"/>
        <v/>
      </c>
      <c r="J222" s="160" t="str">
        <f>IFERROR(INDEX(当年标准成本!I:I,MATCH(C222,当年标准成本!C:C,0),1),"")</f>
        <v/>
      </c>
      <c r="K222" s="146" t="str">
        <f t="shared" si="22"/>
        <v/>
      </c>
      <c r="L222" s="146" t="str">
        <f t="shared" si="23"/>
        <v/>
      </c>
      <c r="M222" s="148" t="str">
        <f t="shared" si="24"/>
        <v/>
      </c>
    </row>
    <row r="223" spans="1:13" x14ac:dyDescent="0.3">
      <c r="A223" s="149"/>
      <c r="B223" s="149"/>
      <c r="C223" s="149"/>
      <c r="D223" s="149"/>
      <c r="E223" s="149"/>
      <c r="F223" s="149"/>
      <c r="G223" s="162"/>
      <c r="H223" s="146" t="str">
        <f t="shared" si="20"/>
        <v/>
      </c>
      <c r="I223" s="161" t="str">
        <f t="shared" si="21"/>
        <v/>
      </c>
      <c r="J223" s="160" t="str">
        <f>IFERROR(INDEX(当年标准成本!I:I,MATCH(C223,当年标准成本!C:C,0),1),"")</f>
        <v/>
      </c>
      <c r="K223" s="146" t="str">
        <f t="shared" si="22"/>
        <v/>
      </c>
      <c r="L223" s="146" t="str">
        <f t="shared" si="23"/>
        <v/>
      </c>
      <c r="M223" s="148" t="str">
        <f t="shared" si="24"/>
        <v/>
      </c>
    </row>
    <row r="224" spans="1:13" x14ac:dyDescent="0.3">
      <c r="A224" s="149"/>
      <c r="B224" s="149"/>
      <c r="C224" s="149"/>
      <c r="D224" s="149"/>
      <c r="E224" s="149"/>
      <c r="F224" s="149"/>
      <c r="G224" s="162"/>
      <c r="H224" s="146" t="str">
        <f t="shared" si="20"/>
        <v/>
      </c>
      <c r="I224" s="161" t="str">
        <f t="shared" si="21"/>
        <v/>
      </c>
      <c r="J224" s="160" t="str">
        <f>IFERROR(INDEX(当年标准成本!I:I,MATCH(C224,当年标准成本!C:C,0),1),"")</f>
        <v/>
      </c>
      <c r="K224" s="146" t="str">
        <f t="shared" si="22"/>
        <v/>
      </c>
      <c r="L224" s="146" t="str">
        <f t="shared" si="23"/>
        <v/>
      </c>
      <c r="M224" s="148" t="str">
        <f t="shared" si="24"/>
        <v/>
      </c>
    </row>
    <row r="225" spans="1:13" x14ac:dyDescent="0.3">
      <c r="A225" s="149"/>
      <c r="B225" s="149"/>
      <c r="C225" s="149"/>
      <c r="D225" s="149"/>
      <c r="E225" s="149"/>
      <c r="F225" s="149"/>
      <c r="G225" s="162"/>
      <c r="H225" s="146" t="str">
        <f t="shared" si="20"/>
        <v/>
      </c>
      <c r="I225" s="161" t="str">
        <f t="shared" si="21"/>
        <v/>
      </c>
      <c r="J225" s="160" t="str">
        <f>IFERROR(INDEX(当年标准成本!I:I,MATCH(C225,当年标准成本!C:C,0),1),"")</f>
        <v/>
      </c>
      <c r="K225" s="146" t="str">
        <f t="shared" si="22"/>
        <v/>
      </c>
      <c r="L225" s="146" t="str">
        <f t="shared" si="23"/>
        <v/>
      </c>
      <c r="M225" s="148" t="str">
        <f t="shared" si="24"/>
        <v/>
      </c>
    </row>
    <row r="226" spans="1:13" x14ac:dyDescent="0.3">
      <c r="A226" s="149"/>
      <c r="B226" s="149"/>
      <c r="C226" s="149"/>
      <c r="D226" s="149"/>
      <c r="E226" s="149"/>
      <c r="F226" s="149"/>
      <c r="G226" s="162"/>
      <c r="H226" s="146" t="str">
        <f t="shared" si="20"/>
        <v/>
      </c>
      <c r="I226" s="161" t="str">
        <f t="shared" si="21"/>
        <v/>
      </c>
      <c r="J226" s="160" t="str">
        <f>IFERROR(INDEX(当年标准成本!I:I,MATCH(C226,当年标准成本!C:C,0),1),"")</f>
        <v/>
      </c>
      <c r="K226" s="146" t="str">
        <f t="shared" si="22"/>
        <v/>
      </c>
      <c r="L226" s="146" t="str">
        <f t="shared" si="23"/>
        <v/>
      </c>
      <c r="M226" s="148" t="str">
        <f t="shared" si="24"/>
        <v/>
      </c>
    </row>
    <row r="227" spans="1:13" x14ac:dyDescent="0.3">
      <c r="A227" s="149"/>
      <c r="B227" s="149"/>
      <c r="C227" s="149"/>
      <c r="D227" s="149"/>
      <c r="E227" s="149"/>
      <c r="F227" s="149"/>
      <c r="G227" s="162"/>
      <c r="H227" s="146" t="str">
        <f t="shared" si="20"/>
        <v/>
      </c>
      <c r="I227" s="161" t="str">
        <f t="shared" si="21"/>
        <v/>
      </c>
      <c r="J227" s="160" t="str">
        <f>IFERROR(INDEX(当年标准成本!I:I,MATCH(C227,当年标准成本!C:C,0),1),"")</f>
        <v/>
      </c>
      <c r="K227" s="146" t="str">
        <f t="shared" si="22"/>
        <v/>
      </c>
      <c r="L227" s="146" t="str">
        <f t="shared" si="23"/>
        <v/>
      </c>
      <c r="M227" s="148" t="str">
        <f t="shared" si="24"/>
        <v/>
      </c>
    </row>
    <row r="228" spans="1:13" x14ac:dyDescent="0.3">
      <c r="A228" s="149"/>
      <c r="B228" s="149"/>
      <c r="C228" s="149"/>
      <c r="D228" s="149"/>
      <c r="E228" s="149"/>
      <c r="F228" s="149"/>
      <c r="G228" s="162"/>
      <c r="H228" s="146" t="str">
        <f t="shared" si="20"/>
        <v/>
      </c>
      <c r="I228" s="161" t="str">
        <f t="shared" si="21"/>
        <v/>
      </c>
      <c r="J228" s="160" t="str">
        <f>IFERROR(INDEX(当年标准成本!I:I,MATCH(C228,当年标准成本!C:C,0),1),"")</f>
        <v/>
      </c>
      <c r="K228" s="146" t="str">
        <f t="shared" si="22"/>
        <v/>
      </c>
      <c r="L228" s="146" t="str">
        <f t="shared" si="23"/>
        <v/>
      </c>
      <c r="M228" s="148" t="str">
        <f t="shared" si="24"/>
        <v/>
      </c>
    </row>
    <row r="229" spans="1:13" x14ac:dyDescent="0.3">
      <c r="A229" s="149"/>
      <c r="B229" s="149"/>
      <c r="C229" s="149"/>
      <c r="D229" s="149"/>
      <c r="E229" s="149"/>
      <c r="F229" s="149"/>
      <c r="G229" s="162"/>
      <c r="H229" s="146" t="str">
        <f t="shared" si="20"/>
        <v/>
      </c>
      <c r="I229" s="161" t="str">
        <f t="shared" si="21"/>
        <v/>
      </c>
      <c r="J229" s="160" t="str">
        <f>IFERROR(INDEX(当年标准成本!I:I,MATCH(C229,当年标准成本!C:C,0),1),"")</f>
        <v/>
      </c>
      <c r="K229" s="146" t="str">
        <f t="shared" si="22"/>
        <v/>
      </c>
      <c r="L229" s="146" t="str">
        <f t="shared" si="23"/>
        <v/>
      </c>
      <c r="M229" s="148" t="str">
        <f t="shared" si="24"/>
        <v/>
      </c>
    </row>
    <row r="230" spans="1:13" x14ac:dyDescent="0.3">
      <c r="A230" s="149"/>
      <c r="B230" s="149"/>
      <c r="C230" s="149"/>
      <c r="D230" s="149"/>
      <c r="E230" s="149"/>
      <c r="F230" s="149"/>
      <c r="G230" s="162"/>
      <c r="H230" s="146" t="str">
        <f t="shared" si="20"/>
        <v/>
      </c>
      <c r="I230" s="161" t="str">
        <f t="shared" si="21"/>
        <v/>
      </c>
      <c r="J230" s="160" t="str">
        <f>IFERROR(INDEX(当年标准成本!I:I,MATCH(C230,当年标准成本!C:C,0),1),"")</f>
        <v/>
      </c>
      <c r="K230" s="146" t="str">
        <f t="shared" si="22"/>
        <v/>
      </c>
      <c r="L230" s="146" t="str">
        <f t="shared" si="23"/>
        <v/>
      </c>
      <c r="M230" s="148" t="str">
        <f t="shared" si="24"/>
        <v/>
      </c>
    </row>
    <row r="231" spans="1:13" x14ac:dyDescent="0.3">
      <c r="A231" s="149"/>
      <c r="B231" s="149"/>
      <c r="C231" s="149"/>
      <c r="D231" s="149"/>
      <c r="E231" s="149"/>
      <c r="F231" s="149"/>
      <c r="G231" s="162"/>
      <c r="H231" s="146" t="str">
        <f t="shared" si="20"/>
        <v/>
      </c>
      <c r="I231" s="161" t="str">
        <f t="shared" si="21"/>
        <v/>
      </c>
      <c r="J231" s="160" t="str">
        <f>IFERROR(INDEX(当年标准成本!I:I,MATCH(C231,当年标准成本!C:C,0),1),"")</f>
        <v/>
      </c>
      <c r="K231" s="146" t="str">
        <f t="shared" si="22"/>
        <v/>
      </c>
      <c r="L231" s="146" t="str">
        <f t="shared" si="23"/>
        <v/>
      </c>
      <c r="M231" s="148" t="str">
        <f t="shared" si="24"/>
        <v/>
      </c>
    </row>
    <row r="232" spans="1:13" x14ac:dyDescent="0.3">
      <c r="A232" s="149"/>
      <c r="B232" s="149"/>
      <c r="C232" s="149"/>
      <c r="D232" s="149"/>
      <c r="E232" s="149"/>
      <c r="F232" s="149"/>
      <c r="G232" s="162"/>
      <c r="H232" s="146" t="str">
        <f t="shared" si="20"/>
        <v/>
      </c>
      <c r="I232" s="161" t="str">
        <f t="shared" si="21"/>
        <v/>
      </c>
      <c r="J232" s="160" t="str">
        <f>IFERROR(INDEX(当年标准成本!I:I,MATCH(C232,当年标准成本!C:C,0),1),"")</f>
        <v/>
      </c>
      <c r="K232" s="146" t="str">
        <f t="shared" si="22"/>
        <v/>
      </c>
      <c r="L232" s="146" t="str">
        <f t="shared" si="23"/>
        <v/>
      </c>
      <c r="M232" s="148" t="str">
        <f t="shared" si="24"/>
        <v/>
      </c>
    </row>
    <row r="233" spans="1:13" x14ac:dyDescent="0.3">
      <c r="A233" s="149"/>
      <c r="B233" s="149"/>
      <c r="C233" s="149"/>
      <c r="D233" s="149"/>
      <c r="E233" s="149"/>
      <c r="F233" s="149"/>
      <c r="G233" s="162"/>
      <c r="H233" s="146" t="str">
        <f t="shared" si="20"/>
        <v/>
      </c>
      <c r="I233" s="161" t="str">
        <f t="shared" si="21"/>
        <v/>
      </c>
      <c r="J233" s="160" t="str">
        <f>IFERROR(INDEX(当年标准成本!I:I,MATCH(C233,当年标准成本!C:C,0),1),"")</f>
        <v/>
      </c>
      <c r="K233" s="146" t="str">
        <f t="shared" si="22"/>
        <v/>
      </c>
      <c r="L233" s="146" t="str">
        <f t="shared" si="23"/>
        <v/>
      </c>
      <c r="M233" s="148" t="str">
        <f t="shared" si="24"/>
        <v/>
      </c>
    </row>
    <row r="234" spans="1:13" x14ac:dyDescent="0.3">
      <c r="A234" s="149"/>
      <c r="B234" s="149"/>
      <c r="C234" s="149"/>
      <c r="D234" s="149"/>
      <c r="E234" s="149"/>
      <c r="F234" s="149"/>
      <c r="G234" s="162"/>
      <c r="H234" s="146" t="str">
        <f t="shared" si="20"/>
        <v/>
      </c>
      <c r="I234" s="161" t="str">
        <f t="shared" si="21"/>
        <v/>
      </c>
      <c r="J234" s="160" t="str">
        <f>IFERROR(INDEX(当年标准成本!I:I,MATCH(C234,当年标准成本!C:C,0),1),"")</f>
        <v/>
      </c>
      <c r="K234" s="146" t="str">
        <f t="shared" si="22"/>
        <v/>
      </c>
      <c r="L234" s="146" t="str">
        <f t="shared" si="23"/>
        <v/>
      </c>
      <c r="M234" s="148" t="str">
        <f t="shared" si="24"/>
        <v/>
      </c>
    </row>
    <row r="235" spans="1:13" x14ac:dyDescent="0.3">
      <c r="A235" s="149"/>
      <c r="B235" s="149"/>
      <c r="C235" s="149"/>
      <c r="D235" s="149"/>
      <c r="E235" s="149"/>
      <c r="F235" s="149"/>
      <c r="G235" s="162"/>
      <c r="H235" s="146" t="str">
        <f t="shared" si="20"/>
        <v/>
      </c>
      <c r="I235" s="161" t="str">
        <f t="shared" si="21"/>
        <v/>
      </c>
      <c r="J235" s="160" t="str">
        <f>IFERROR(INDEX(当年标准成本!I:I,MATCH(C235,当年标准成本!C:C,0),1),"")</f>
        <v/>
      </c>
      <c r="K235" s="146" t="str">
        <f t="shared" si="22"/>
        <v/>
      </c>
      <c r="L235" s="146" t="str">
        <f t="shared" si="23"/>
        <v/>
      </c>
      <c r="M235" s="148" t="str">
        <f t="shared" si="24"/>
        <v/>
      </c>
    </row>
    <row r="236" spans="1:13" x14ac:dyDescent="0.3">
      <c r="A236" s="149"/>
      <c r="B236" s="149"/>
      <c r="C236" s="149"/>
      <c r="D236" s="149"/>
      <c r="E236" s="149"/>
      <c r="F236" s="149"/>
      <c r="G236" s="162"/>
      <c r="H236" s="146" t="str">
        <f t="shared" si="20"/>
        <v/>
      </c>
      <c r="I236" s="161" t="str">
        <f t="shared" si="21"/>
        <v/>
      </c>
      <c r="J236" s="160" t="str">
        <f>IFERROR(INDEX(当年标准成本!I:I,MATCH(C236,当年标准成本!C:C,0),1),"")</f>
        <v/>
      </c>
      <c r="K236" s="146" t="str">
        <f t="shared" si="22"/>
        <v/>
      </c>
      <c r="L236" s="146" t="str">
        <f t="shared" si="23"/>
        <v/>
      </c>
      <c r="M236" s="148" t="str">
        <f t="shared" si="24"/>
        <v/>
      </c>
    </row>
    <row r="237" spans="1:13" x14ac:dyDescent="0.3">
      <c r="A237" s="149"/>
      <c r="B237" s="149"/>
      <c r="C237" s="149"/>
      <c r="D237" s="149"/>
      <c r="E237" s="149"/>
      <c r="F237" s="149"/>
      <c r="G237" s="162"/>
      <c r="H237" s="146" t="str">
        <f t="shared" si="20"/>
        <v/>
      </c>
      <c r="I237" s="161" t="str">
        <f t="shared" si="21"/>
        <v/>
      </c>
      <c r="J237" s="160" t="str">
        <f>IFERROR(INDEX(当年标准成本!I:I,MATCH(C237,当年标准成本!C:C,0),1),"")</f>
        <v/>
      </c>
      <c r="K237" s="146" t="str">
        <f t="shared" si="22"/>
        <v/>
      </c>
      <c r="L237" s="146" t="str">
        <f t="shared" si="23"/>
        <v/>
      </c>
      <c r="M237" s="148" t="str">
        <f t="shared" si="24"/>
        <v/>
      </c>
    </row>
    <row r="238" spans="1:13" x14ac:dyDescent="0.3">
      <c r="A238" s="149"/>
      <c r="B238" s="149"/>
      <c r="C238" s="149"/>
      <c r="D238" s="149"/>
      <c r="E238" s="149"/>
      <c r="F238" s="149"/>
      <c r="G238" s="162"/>
      <c r="H238" s="146" t="str">
        <f t="shared" si="20"/>
        <v/>
      </c>
      <c r="I238" s="161" t="str">
        <f t="shared" si="21"/>
        <v/>
      </c>
      <c r="J238" s="160" t="str">
        <f>IFERROR(INDEX(当年标准成本!I:I,MATCH(C238,当年标准成本!C:C,0),1),"")</f>
        <v/>
      </c>
      <c r="K238" s="146" t="str">
        <f t="shared" si="22"/>
        <v/>
      </c>
      <c r="L238" s="146" t="str">
        <f t="shared" si="23"/>
        <v/>
      </c>
      <c r="M238" s="148" t="str">
        <f t="shared" si="24"/>
        <v/>
      </c>
    </row>
    <row r="239" spans="1:13" x14ac:dyDescent="0.3">
      <c r="A239" s="149"/>
      <c r="B239" s="149"/>
      <c r="C239" s="149"/>
      <c r="D239" s="149"/>
      <c r="E239" s="149"/>
      <c r="F239" s="149"/>
      <c r="G239" s="162"/>
      <c r="H239" s="146" t="str">
        <f t="shared" si="20"/>
        <v/>
      </c>
      <c r="I239" s="161" t="str">
        <f t="shared" si="21"/>
        <v/>
      </c>
      <c r="J239" s="160" t="str">
        <f>IFERROR(INDEX(当年标准成本!I:I,MATCH(C239,当年标准成本!C:C,0),1),"")</f>
        <v/>
      </c>
      <c r="K239" s="146" t="str">
        <f t="shared" si="22"/>
        <v/>
      </c>
      <c r="L239" s="146" t="str">
        <f t="shared" si="23"/>
        <v/>
      </c>
      <c r="M239" s="148" t="str">
        <f t="shared" si="24"/>
        <v/>
      </c>
    </row>
    <row r="240" spans="1:13" x14ac:dyDescent="0.3">
      <c r="A240" s="149"/>
      <c r="B240" s="149"/>
      <c r="C240" s="149"/>
      <c r="D240" s="149"/>
      <c r="E240" s="149"/>
      <c r="F240" s="149"/>
      <c r="G240" s="162"/>
      <c r="H240" s="146" t="str">
        <f t="shared" si="20"/>
        <v/>
      </c>
      <c r="I240" s="161" t="str">
        <f t="shared" si="21"/>
        <v/>
      </c>
      <c r="J240" s="160" t="str">
        <f>IFERROR(INDEX(当年标准成本!I:I,MATCH(C240,当年标准成本!C:C,0),1),"")</f>
        <v/>
      </c>
      <c r="K240" s="146" t="str">
        <f t="shared" si="22"/>
        <v/>
      </c>
      <c r="L240" s="146" t="str">
        <f t="shared" si="23"/>
        <v/>
      </c>
      <c r="M240" s="148" t="str">
        <f t="shared" si="24"/>
        <v/>
      </c>
    </row>
    <row r="241" spans="1:13" x14ac:dyDescent="0.3">
      <c r="A241" s="149"/>
      <c r="B241" s="149"/>
      <c r="C241" s="149"/>
      <c r="D241" s="149"/>
      <c r="E241" s="149"/>
      <c r="F241" s="149"/>
      <c r="G241" s="162"/>
      <c r="H241" s="146" t="str">
        <f t="shared" si="20"/>
        <v/>
      </c>
      <c r="I241" s="161" t="str">
        <f t="shared" si="21"/>
        <v/>
      </c>
      <c r="J241" s="160" t="str">
        <f>IFERROR(INDEX(当年标准成本!I:I,MATCH(C241,当年标准成本!C:C,0),1),"")</f>
        <v/>
      </c>
      <c r="K241" s="146" t="str">
        <f t="shared" si="22"/>
        <v/>
      </c>
      <c r="L241" s="146" t="str">
        <f t="shared" si="23"/>
        <v/>
      </c>
      <c r="M241" s="148" t="str">
        <f t="shared" si="24"/>
        <v/>
      </c>
    </row>
    <row r="242" spans="1:13" x14ac:dyDescent="0.3">
      <c r="A242" s="149"/>
      <c r="B242" s="149"/>
      <c r="C242" s="149"/>
      <c r="D242" s="149"/>
      <c r="E242" s="149"/>
      <c r="F242" s="149"/>
      <c r="G242" s="162"/>
      <c r="H242" s="146" t="str">
        <f t="shared" si="20"/>
        <v/>
      </c>
      <c r="I242" s="161" t="str">
        <f t="shared" si="21"/>
        <v/>
      </c>
      <c r="J242" s="160" t="str">
        <f>IFERROR(INDEX(当年标准成本!I:I,MATCH(C242,当年标准成本!C:C,0),1),"")</f>
        <v/>
      </c>
      <c r="K242" s="146" t="str">
        <f t="shared" si="22"/>
        <v/>
      </c>
      <c r="L242" s="146" t="str">
        <f t="shared" si="23"/>
        <v/>
      </c>
      <c r="M242" s="148" t="str">
        <f t="shared" si="24"/>
        <v/>
      </c>
    </row>
    <row r="243" spans="1:13" x14ac:dyDescent="0.3">
      <c r="A243" s="149"/>
      <c r="B243" s="149"/>
      <c r="C243" s="149"/>
      <c r="D243" s="149"/>
      <c r="E243" s="149"/>
      <c r="F243" s="149"/>
      <c r="G243" s="162"/>
      <c r="H243" s="146" t="str">
        <f t="shared" si="20"/>
        <v/>
      </c>
      <c r="I243" s="161" t="str">
        <f t="shared" si="21"/>
        <v/>
      </c>
      <c r="J243" s="160" t="str">
        <f>IFERROR(INDEX(当年标准成本!I:I,MATCH(C243,当年标准成本!C:C,0),1),"")</f>
        <v/>
      </c>
      <c r="K243" s="146" t="str">
        <f t="shared" si="22"/>
        <v/>
      </c>
      <c r="L243" s="146" t="str">
        <f t="shared" si="23"/>
        <v/>
      </c>
      <c r="M243" s="148" t="str">
        <f t="shared" si="24"/>
        <v/>
      </c>
    </row>
    <row r="244" spans="1:13" x14ac:dyDescent="0.3">
      <c r="A244" s="149"/>
      <c r="B244" s="149"/>
      <c r="C244" s="149"/>
      <c r="D244" s="149"/>
      <c r="E244" s="149"/>
      <c r="F244" s="149"/>
      <c r="G244" s="162"/>
      <c r="H244" s="146" t="str">
        <f t="shared" si="20"/>
        <v/>
      </c>
      <c r="I244" s="161" t="str">
        <f t="shared" si="21"/>
        <v/>
      </c>
      <c r="J244" s="160" t="str">
        <f>IFERROR(INDEX(当年标准成本!I:I,MATCH(C244,当年标准成本!C:C,0),1),"")</f>
        <v/>
      </c>
      <c r="K244" s="146" t="str">
        <f t="shared" si="22"/>
        <v/>
      </c>
      <c r="L244" s="146" t="str">
        <f t="shared" si="23"/>
        <v/>
      </c>
      <c r="M244" s="148" t="str">
        <f t="shared" si="24"/>
        <v/>
      </c>
    </row>
    <row r="245" spans="1:13" x14ac:dyDescent="0.3">
      <c r="A245" s="149"/>
      <c r="B245" s="149"/>
      <c r="C245" s="149"/>
      <c r="D245" s="149"/>
      <c r="E245" s="149"/>
      <c r="F245" s="149"/>
      <c r="G245" s="162"/>
      <c r="H245" s="146" t="str">
        <f t="shared" si="20"/>
        <v/>
      </c>
      <c r="I245" s="161" t="str">
        <f t="shared" si="21"/>
        <v/>
      </c>
      <c r="J245" s="160" t="str">
        <f>IFERROR(INDEX(当年标准成本!I:I,MATCH(C245,当年标准成本!C:C,0),1),"")</f>
        <v/>
      </c>
      <c r="K245" s="146" t="str">
        <f t="shared" si="22"/>
        <v/>
      </c>
      <c r="L245" s="146" t="str">
        <f t="shared" si="23"/>
        <v/>
      </c>
      <c r="M245" s="148" t="str">
        <f t="shared" si="24"/>
        <v/>
      </c>
    </row>
    <row r="246" spans="1:13" x14ac:dyDescent="0.3">
      <c r="A246" s="149"/>
      <c r="B246" s="149"/>
      <c r="C246" s="149"/>
      <c r="D246" s="149"/>
      <c r="E246" s="149"/>
      <c r="F246" s="149"/>
      <c r="G246" s="162"/>
      <c r="H246" s="146" t="str">
        <f t="shared" si="20"/>
        <v/>
      </c>
      <c r="I246" s="161" t="str">
        <f t="shared" si="21"/>
        <v/>
      </c>
      <c r="J246" s="160" t="str">
        <f>IFERROR(INDEX(当年标准成本!I:I,MATCH(C246,当年标准成本!C:C,0),1),"")</f>
        <v/>
      </c>
      <c r="K246" s="146" t="str">
        <f t="shared" si="22"/>
        <v/>
      </c>
      <c r="L246" s="146" t="str">
        <f t="shared" si="23"/>
        <v/>
      </c>
      <c r="M246" s="148" t="str">
        <f t="shared" si="24"/>
        <v/>
      </c>
    </row>
    <row r="247" spans="1:13" x14ac:dyDescent="0.3">
      <c r="A247" s="149"/>
      <c r="B247" s="149"/>
      <c r="C247" s="149"/>
      <c r="D247" s="149"/>
      <c r="E247" s="149"/>
      <c r="F247" s="149"/>
      <c r="G247" s="162"/>
      <c r="H247" s="146" t="str">
        <f t="shared" si="20"/>
        <v/>
      </c>
      <c r="I247" s="161" t="str">
        <f t="shared" si="21"/>
        <v/>
      </c>
      <c r="J247" s="160" t="str">
        <f>IFERROR(INDEX(当年标准成本!I:I,MATCH(C247,当年标准成本!C:C,0),1),"")</f>
        <v/>
      </c>
      <c r="K247" s="146" t="str">
        <f t="shared" si="22"/>
        <v/>
      </c>
      <c r="L247" s="146" t="str">
        <f t="shared" si="23"/>
        <v/>
      </c>
      <c r="M247" s="148" t="str">
        <f t="shared" si="24"/>
        <v/>
      </c>
    </row>
    <row r="248" spans="1:13" x14ac:dyDescent="0.3">
      <c r="A248" s="149"/>
      <c r="B248" s="149"/>
      <c r="C248" s="149"/>
      <c r="D248" s="149"/>
      <c r="E248" s="149"/>
      <c r="F248" s="149"/>
      <c r="G248" s="162"/>
      <c r="H248" s="146" t="str">
        <f t="shared" si="20"/>
        <v/>
      </c>
      <c r="I248" s="161" t="str">
        <f t="shared" si="21"/>
        <v/>
      </c>
      <c r="J248" s="160" t="str">
        <f>IFERROR(INDEX(当年标准成本!I:I,MATCH(C248,当年标准成本!C:C,0),1),"")</f>
        <v/>
      </c>
      <c r="K248" s="146" t="str">
        <f t="shared" si="22"/>
        <v/>
      </c>
      <c r="L248" s="146" t="str">
        <f t="shared" si="23"/>
        <v/>
      </c>
      <c r="M248" s="148" t="str">
        <f t="shared" si="24"/>
        <v/>
      </c>
    </row>
    <row r="249" spans="1:13" x14ac:dyDescent="0.3">
      <c r="A249" s="149"/>
      <c r="B249" s="149"/>
      <c r="C249" s="149"/>
      <c r="D249" s="149"/>
      <c r="E249" s="149"/>
      <c r="F249" s="149"/>
      <c r="G249" s="162"/>
      <c r="H249" s="146" t="str">
        <f t="shared" si="20"/>
        <v/>
      </c>
      <c r="I249" s="161" t="str">
        <f t="shared" si="21"/>
        <v/>
      </c>
      <c r="J249" s="160" t="str">
        <f>IFERROR(INDEX(当年标准成本!I:I,MATCH(C249,当年标准成本!C:C,0),1),"")</f>
        <v/>
      </c>
      <c r="K249" s="146" t="str">
        <f t="shared" si="22"/>
        <v/>
      </c>
      <c r="L249" s="146" t="str">
        <f t="shared" si="23"/>
        <v/>
      </c>
      <c r="M249" s="148" t="str">
        <f t="shared" si="24"/>
        <v/>
      </c>
    </row>
    <row r="250" spans="1:13" x14ac:dyDescent="0.3">
      <c r="A250" s="149"/>
      <c r="B250" s="149"/>
      <c r="C250" s="149"/>
      <c r="D250" s="149"/>
      <c r="E250" s="149"/>
      <c r="F250" s="149"/>
      <c r="G250" s="162"/>
      <c r="H250" s="146" t="str">
        <f t="shared" si="20"/>
        <v/>
      </c>
      <c r="I250" s="161" t="str">
        <f t="shared" si="21"/>
        <v/>
      </c>
      <c r="J250" s="160" t="str">
        <f>IFERROR(INDEX(当年标准成本!I:I,MATCH(C250,当年标准成本!C:C,0),1),"")</f>
        <v/>
      </c>
      <c r="K250" s="146" t="str">
        <f t="shared" si="22"/>
        <v/>
      </c>
      <c r="L250" s="146" t="str">
        <f t="shared" si="23"/>
        <v/>
      </c>
      <c r="M250" s="148" t="str">
        <f t="shared" si="24"/>
        <v/>
      </c>
    </row>
    <row r="251" spans="1:13" x14ac:dyDescent="0.3">
      <c r="A251" s="149"/>
      <c r="B251" s="149"/>
      <c r="C251" s="149"/>
      <c r="D251" s="149"/>
      <c r="E251" s="149"/>
      <c r="F251" s="149"/>
      <c r="G251" s="162"/>
      <c r="H251" s="146" t="str">
        <f t="shared" si="20"/>
        <v/>
      </c>
      <c r="I251" s="161" t="str">
        <f t="shared" si="21"/>
        <v/>
      </c>
      <c r="J251" s="160" t="str">
        <f>IFERROR(INDEX(当年标准成本!I:I,MATCH(C251,当年标准成本!C:C,0),1),"")</f>
        <v/>
      </c>
      <c r="K251" s="146" t="str">
        <f t="shared" si="22"/>
        <v/>
      </c>
      <c r="L251" s="146" t="str">
        <f t="shared" si="23"/>
        <v/>
      </c>
      <c r="M251" s="148" t="str">
        <f t="shared" si="24"/>
        <v/>
      </c>
    </row>
    <row r="252" spans="1:13" x14ac:dyDescent="0.3">
      <c r="A252" s="149"/>
      <c r="B252" s="149"/>
      <c r="C252" s="149"/>
      <c r="D252" s="149"/>
      <c r="E252" s="149"/>
      <c r="F252" s="149"/>
      <c r="G252" s="162"/>
      <c r="H252" s="146" t="str">
        <f t="shared" si="20"/>
        <v/>
      </c>
      <c r="I252" s="161" t="str">
        <f t="shared" si="21"/>
        <v/>
      </c>
      <c r="J252" s="160" t="str">
        <f>IFERROR(INDEX(当年标准成本!I:I,MATCH(C252,当年标准成本!C:C,0),1),"")</f>
        <v/>
      </c>
      <c r="K252" s="146" t="str">
        <f t="shared" si="22"/>
        <v/>
      </c>
      <c r="L252" s="146" t="str">
        <f t="shared" si="23"/>
        <v/>
      </c>
      <c r="M252" s="148" t="str">
        <f t="shared" si="24"/>
        <v/>
      </c>
    </row>
    <row r="253" spans="1:13" x14ac:dyDescent="0.3">
      <c r="A253" s="149"/>
      <c r="B253" s="149"/>
      <c r="C253" s="149"/>
      <c r="D253" s="149"/>
      <c r="E253" s="149"/>
      <c r="F253" s="149"/>
      <c r="G253" s="162"/>
      <c r="H253" s="146" t="str">
        <f t="shared" si="20"/>
        <v/>
      </c>
      <c r="I253" s="161" t="str">
        <f t="shared" si="21"/>
        <v/>
      </c>
      <c r="J253" s="160" t="str">
        <f>IFERROR(INDEX(当年标准成本!I:I,MATCH(C253,当年标准成本!C:C,0),1),"")</f>
        <v/>
      </c>
      <c r="K253" s="146" t="str">
        <f t="shared" si="22"/>
        <v/>
      </c>
      <c r="L253" s="146" t="str">
        <f t="shared" si="23"/>
        <v/>
      </c>
      <c r="M253" s="148" t="str">
        <f t="shared" si="24"/>
        <v/>
      </c>
    </row>
    <row r="254" spans="1:13" x14ac:dyDescent="0.3">
      <c r="A254" s="149"/>
      <c r="B254" s="149"/>
      <c r="C254" s="149"/>
      <c r="D254" s="149"/>
      <c r="E254" s="149"/>
      <c r="F254" s="149"/>
      <c r="G254" s="162"/>
      <c r="H254" s="146" t="str">
        <f t="shared" si="20"/>
        <v/>
      </c>
      <c r="I254" s="161" t="str">
        <f t="shared" si="21"/>
        <v/>
      </c>
      <c r="J254" s="160" t="str">
        <f>IFERROR(INDEX(当年标准成本!I:I,MATCH(C254,当年标准成本!C:C,0),1),"")</f>
        <v/>
      </c>
      <c r="K254" s="146" t="str">
        <f t="shared" si="22"/>
        <v/>
      </c>
      <c r="L254" s="146" t="str">
        <f t="shared" si="23"/>
        <v/>
      </c>
      <c r="M254" s="148" t="str">
        <f t="shared" si="24"/>
        <v/>
      </c>
    </row>
    <row r="255" spans="1:13" x14ac:dyDescent="0.3">
      <c r="A255" s="149"/>
      <c r="B255" s="149"/>
      <c r="C255" s="149"/>
      <c r="D255" s="149"/>
      <c r="E255" s="149"/>
      <c r="F255" s="149"/>
      <c r="G255" s="162"/>
      <c r="H255" s="146" t="str">
        <f t="shared" si="20"/>
        <v/>
      </c>
      <c r="I255" s="161" t="str">
        <f t="shared" si="21"/>
        <v/>
      </c>
      <c r="J255" s="160" t="str">
        <f>IFERROR(INDEX(当年标准成本!I:I,MATCH(C255,当年标准成本!C:C,0),1),"")</f>
        <v/>
      </c>
      <c r="K255" s="146" t="str">
        <f t="shared" si="22"/>
        <v/>
      </c>
      <c r="L255" s="146" t="str">
        <f t="shared" si="23"/>
        <v/>
      </c>
      <c r="M255" s="148" t="str">
        <f t="shared" si="24"/>
        <v/>
      </c>
    </row>
    <row r="256" spans="1:13" x14ac:dyDescent="0.3">
      <c r="A256" s="149"/>
      <c r="B256" s="149"/>
      <c r="C256" s="149"/>
      <c r="D256" s="149"/>
      <c r="E256" s="149"/>
      <c r="F256" s="149"/>
      <c r="G256" s="162"/>
      <c r="H256" s="146" t="str">
        <f t="shared" si="20"/>
        <v/>
      </c>
      <c r="I256" s="161" t="str">
        <f t="shared" si="21"/>
        <v/>
      </c>
      <c r="J256" s="160" t="str">
        <f>IFERROR(INDEX(当年标准成本!I:I,MATCH(C256,当年标准成本!C:C,0),1),"")</f>
        <v/>
      </c>
      <c r="K256" s="146" t="str">
        <f t="shared" si="22"/>
        <v/>
      </c>
      <c r="L256" s="146" t="str">
        <f t="shared" si="23"/>
        <v/>
      </c>
      <c r="M256" s="148" t="str">
        <f t="shared" si="24"/>
        <v/>
      </c>
    </row>
    <row r="257" spans="1:13" x14ac:dyDescent="0.3">
      <c r="A257" s="149"/>
      <c r="B257" s="149"/>
      <c r="C257" s="149"/>
      <c r="D257" s="149"/>
      <c r="E257" s="149"/>
      <c r="F257" s="149"/>
      <c r="G257" s="162"/>
      <c r="H257" s="146" t="str">
        <f t="shared" si="20"/>
        <v/>
      </c>
      <c r="I257" s="161" t="str">
        <f t="shared" si="21"/>
        <v/>
      </c>
      <c r="J257" s="160" t="str">
        <f>IFERROR(INDEX(当年标准成本!I:I,MATCH(C257,当年标准成本!C:C,0),1),"")</f>
        <v/>
      </c>
      <c r="K257" s="146" t="str">
        <f t="shared" si="22"/>
        <v/>
      </c>
      <c r="L257" s="146" t="str">
        <f t="shared" si="23"/>
        <v/>
      </c>
      <c r="M257" s="148" t="str">
        <f t="shared" si="24"/>
        <v/>
      </c>
    </row>
    <row r="258" spans="1:13" x14ac:dyDescent="0.3">
      <c r="A258" s="149"/>
      <c r="B258" s="149"/>
      <c r="C258" s="149"/>
      <c r="D258" s="149"/>
      <c r="E258" s="149"/>
      <c r="F258" s="149"/>
      <c r="G258" s="162"/>
      <c r="H258" s="146" t="str">
        <f t="shared" si="20"/>
        <v/>
      </c>
      <c r="I258" s="161" t="str">
        <f t="shared" si="21"/>
        <v/>
      </c>
      <c r="J258" s="160" t="str">
        <f>IFERROR(INDEX(当年标准成本!I:I,MATCH(C258,当年标准成本!C:C,0),1),"")</f>
        <v/>
      </c>
      <c r="K258" s="146" t="str">
        <f t="shared" si="22"/>
        <v/>
      </c>
      <c r="L258" s="146" t="str">
        <f t="shared" si="23"/>
        <v/>
      </c>
      <c r="M258" s="148" t="str">
        <f t="shared" si="24"/>
        <v/>
      </c>
    </row>
    <row r="259" spans="1:13" x14ac:dyDescent="0.3">
      <c r="A259" s="149"/>
      <c r="B259" s="149"/>
      <c r="C259" s="149"/>
      <c r="D259" s="149"/>
      <c r="E259" s="149"/>
      <c r="F259" s="149"/>
      <c r="G259" s="162"/>
      <c r="H259" s="146" t="str">
        <f t="shared" si="20"/>
        <v/>
      </c>
      <c r="I259" s="161" t="str">
        <f t="shared" si="21"/>
        <v/>
      </c>
      <c r="J259" s="160" t="str">
        <f>IFERROR(INDEX(当年标准成本!I:I,MATCH(C259,当年标准成本!C:C,0),1),"")</f>
        <v/>
      </c>
      <c r="K259" s="146" t="str">
        <f t="shared" si="22"/>
        <v/>
      </c>
      <c r="L259" s="146" t="str">
        <f t="shared" si="23"/>
        <v/>
      </c>
      <c r="M259" s="148" t="str">
        <f t="shared" si="24"/>
        <v/>
      </c>
    </row>
    <row r="260" spans="1:13" x14ac:dyDescent="0.3">
      <c r="A260" s="149"/>
      <c r="B260" s="149"/>
      <c r="C260" s="149"/>
      <c r="D260" s="149"/>
      <c r="E260" s="149"/>
      <c r="F260" s="149"/>
      <c r="G260" s="162"/>
      <c r="H260" s="146" t="str">
        <f t="shared" si="20"/>
        <v/>
      </c>
      <c r="I260" s="161" t="str">
        <f t="shared" si="21"/>
        <v/>
      </c>
      <c r="J260" s="160" t="str">
        <f>IFERROR(INDEX(当年标准成本!I:I,MATCH(C260,当年标准成本!C:C,0),1),"")</f>
        <v/>
      </c>
      <c r="K260" s="146" t="str">
        <f t="shared" si="22"/>
        <v/>
      </c>
      <c r="L260" s="146" t="str">
        <f t="shared" si="23"/>
        <v/>
      </c>
      <c r="M260" s="148" t="str">
        <f t="shared" si="24"/>
        <v/>
      </c>
    </row>
    <row r="261" spans="1:13" x14ac:dyDescent="0.3">
      <c r="A261" s="149"/>
      <c r="B261" s="149"/>
      <c r="C261" s="149"/>
      <c r="D261" s="149"/>
      <c r="E261" s="149"/>
      <c r="F261" s="149"/>
      <c r="G261" s="162"/>
      <c r="H261" s="146" t="str">
        <f t="shared" si="20"/>
        <v/>
      </c>
      <c r="I261" s="161" t="str">
        <f t="shared" si="21"/>
        <v/>
      </c>
      <c r="J261" s="160" t="str">
        <f>IFERROR(INDEX(当年标准成本!I:I,MATCH(C261,当年标准成本!C:C,0),1),"")</f>
        <v/>
      </c>
      <c r="K261" s="146" t="str">
        <f t="shared" si="22"/>
        <v/>
      </c>
      <c r="L261" s="146" t="str">
        <f t="shared" si="23"/>
        <v/>
      </c>
      <c r="M261" s="148" t="str">
        <f t="shared" si="24"/>
        <v/>
      </c>
    </row>
    <row r="262" spans="1:13" x14ac:dyDescent="0.3">
      <c r="A262" s="149"/>
      <c r="B262" s="149"/>
      <c r="C262" s="149"/>
      <c r="D262" s="149"/>
      <c r="E262" s="149"/>
      <c r="F262" s="149"/>
      <c r="G262" s="162"/>
      <c r="H262" s="146" t="str">
        <f t="shared" si="20"/>
        <v/>
      </c>
      <c r="I262" s="161" t="str">
        <f t="shared" si="21"/>
        <v/>
      </c>
      <c r="J262" s="160" t="str">
        <f>IFERROR(INDEX(当年标准成本!I:I,MATCH(C262,当年标准成本!C:C,0),1),"")</f>
        <v/>
      </c>
      <c r="K262" s="146" t="str">
        <f t="shared" si="22"/>
        <v/>
      </c>
      <c r="L262" s="146" t="str">
        <f t="shared" si="23"/>
        <v/>
      </c>
      <c r="M262" s="148" t="str">
        <f t="shared" si="24"/>
        <v/>
      </c>
    </row>
    <row r="263" spans="1:13" x14ac:dyDescent="0.3">
      <c r="A263" s="149"/>
      <c r="B263" s="149"/>
      <c r="C263" s="149"/>
      <c r="D263" s="149"/>
      <c r="E263" s="149"/>
      <c r="F263" s="149"/>
      <c r="G263" s="162"/>
      <c r="H263" s="146" t="str">
        <f t="shared" si="20"/>
        <v/>
      </c>
      <c r="I263" s="161" t="str">
        <f t="shared" si="21"/>
        <v/>
      </c>
      <c r="J263" s="160" t="str">
        <f>IFERROR(INDEX(当年标准成本!I:I,MATCH(C263,当年标准成本!C:C,0),1),"")</f>
        <v/>
      </c>
      <c r="K263" s="146" t="str">
        <f t="shared" si="22"/>
        <v/>
      </c>
      <c r="L263" s="146" t="str">
        <f t="shared" si="23"/>
        <v/>
      </c>
      <c r="M263" s="148" t="str">
        <f t="shared" si="24"/>
        <v/>
      </c>
    </row>
    <row r="264" spans="1:13" x14ac:dyDescent="0.3">
      <c r="A264" s="149"/>
      <c r="B264" s="149"/>
      <c r="C264" s="149"/>
      <c r="D264" s="149"/>
      <c r="E264" s="149"/>
      <c r="F264" s="149"/>
      <c r="G264" s="162"/>
      <c r="H264" s="146" t="str">
        <f t="shared" si="20"/>
        <v/>
      </c>
      <c r="I264" s="161" t="str">
        <f t="shared" si="21"/>
        <v/>
      </c>
      <c r="J264" s="160" t="str">
        <f>IFERROR(INDEX(当年标准成本!I:I,MATCH(C264,当年标准成本!C:C,0),1),"")</f>
        <v/>
      </c>
      <c r="K264" s="146" t="str">
        <f t="shared" si="22"/>
        <v/>
      </c>
      <c r="L264" s="146" t="str">
        <f t="shared" si="23"/>
        <v/>
      </c>
      <c r="M264" s="148" t="str">
        <f t="shared" si="24"/>
        <v/>
      </c>
    </row>
    <row r="265" spans="1:13" x14ac:dyDescent="0.3">
      <c r="A265" s="149"/>
      <c r="B265" s="149"/>
      <c r="C265" s="149"/>
      <c r="D265" s="149"/>
      <c r="E265" s="149"/>
      <c r="F265" s="149"/>
      <c r="G265" s="162"/>
      <c r="H265" s="146" t="str">
        <f t="shared" si="20"/>
        <v/>
      </c>
      <c r="I265" s="161" t="str">
        <f t="shared" si="21"/>
        <v/>
      </c>
      <c r="J265" s="160" t="str">
        <f>IFERROR(INDEX(当年标准成本!I:I,MATCH(C265,当年标准成本!C:C,0),1),"")</f>
        <v/>
      </c>
      <c r="K265" s="146" t="str">
        <f t="shared" si="22"/>
        <v/>
      </c>
      <c r="L265" s="146" t="str">
        <f t="shared" si="23"/>
        <v/>
      </c>
      <c r="M265" s="148" t="str">
        <f t="shared" si="24"/>
        <v/>
      </c>
    </row>
    <row r="266" spans="1:13" x14ac:dyDescent="0.3">
      <c r="A266" s="149"/>
      <c r="B266" s="149"/>
      <c r="C266" s="149"/>
      <c r="D266" s="149"/>
      <c r="E266" s="149"/>
      <c r="F266" s="149"/>
      <c r="G266" s="162"/>
      <c r="H266" s="146" t="str">
        <f t="shared" si="20"/>
        <v/>
      </c>
      <c r="I266" s="161" t="str">
        <f t="shared" si="21"/>
        <v/>
      </c>
      <c r="J266" s="160" t="str">
        <f>IFERROR(INDEX(当年标准成本!I:I,MATCH(C266,当年标准成本!C:C,0),1),"")</f>
        <v/>
      </c>
      <c r="K266" s="146" t="str">
        <f t="shared" si="22"/>
        <v/>
      </c>
      <c r="L266" s="146" t="str">
        <f t="shared" si="23"/>
        <v/>
      </c>
      <c r="M266" s="148" t="str">
        <f t="shared" si="24"/>
        <v/>
      </c>
    </row>
    <row r="267" spans="1:13" x14ac:dyDescent="0.3">
      <c r="A267" s="149"/>
      <c r="B267" s="149"/>
      <c r="C267" s="149"/>
      <c r="D267" s="149"/>
      <c r="E267" s="149"/>
      <c r="F267" s="149"/>
      <c r="G267" s="162"/>
      <c r="H267" s="146" t="str">
        <f t="shared" si="20"/>
        <v/>
      </c>
      <c r="I267" s="161" t="str">
        <f t="shared" si="21"/>
        <v/>
      </c>
      <c r="J267" s="160" t="str">
        <f>IFERROR(INDEX(当年标准成本!I:I,MATCH(C267,当年标准成本!C:C,0),1),"")</f>
        <v/>
      </c>
      <c r="K267" s="146" t="str">
        <f t="shared" si="22"/>
        <v/>
      </c>
      <c r="L267" s="146" t="str">
        <f t="shared" si="23"/>
        <v/>
      </c>
      <c r="M267" s="148" t="str">
        <f t="shared" si="24"/>
        <v/>
      </c>
    </row>
    <row r="268" spans="1:13" x14ac:dyDescent="0.3">
      <c r="A268" s="149"/>
      <c r="B268" s="149"/>
      <c r="C268" s="149"/>
      <c r="D268" s="149"/>
      <c r="E268" s="149"/>
      <c r="F268" s="149"/>
      <c r="G268" s="162"/>
      <c r="H268" s="146" t="str">
        <f t="shared" ref="H268:H331" si="25">IFERROR(F268/E268,"")</f>
        <v/>
      </c>
      <c r="I268" s="161" t="str">
        <f t="shared" ref="I268:I331" si="26">IFERROR(H268*(1+G268),"")</f>
        <v/>
      </c>
      <c r="J268" s="160" t="str">
        <f>IFERROR(INDEX(当年标准成本!I:I,MATCH(C268,当年标准成本!C:C,0),1),"")</f>
        <v/>
      </c>
      <c r="K268" s="146" t="str">
        <f t="shared" ref="K268:K331" si="27">IFERROR(E268*J268,"")</f>
        <v/>
      </c>
      <c r="L268" s="146" t="str">
        <f t="shared" ref="L268:L331" si="28">IFERROR(F268-K268,"")</f>
        <v/>
      </c>
      <c r="M268" s="148" t="str">
        <f t="shared" ref="M268:M331" si="29">IFERROR(L268/F268,"")</f>
        <v/>
      </c>
    </row>
    <row r="269" spans="1:13" x14ac:dyDescent="0.3">
      <c r="A269" s="149"/>
      <c r="B269" s="149"/>
      <c r="C269" s="149"/>
      <c r="D269" s="149"/>
      <c r="E269" s="149"/>
      <c r="F269" s="149"/>
      <c r="G269" s="162"/>
      <c r="H269" s="146" t="str">
        <f t="shared" si="25"/>
        <v/>
      </c>
      <c r="I269" s="161" t="str">
        <f t="shared" si="26"/>
        <v/>
      </c>
      <c r="J269" s="160" t="str">
        <f>IFERROR(INDEX(当年标准成本!I:I,MATCH(C269,当年标准成本!C:C,0),1),"")</f>
        <v/>
      </c>
      <c r="K269" s="146" t="str">
        <f t="shared" si="27"/>
        <v/>
      </c>
      <c r="L269" s="146" t="str">
        <f t="shared" si="28"/>
        <v/>
      </c>
      <c r="M269" s="148" t="str">
        <f t="shared" si="29"/>
        <v/>
      </c>
    </row>
    <row r="270" spans="1:13" x14ac:dyDescent="0.3">
      <c r="A270" s="149"/>
      <c r="B270" s="149"/>
      <c r="C270" s="149"/>
      <c r="D270" s="149"/>
      <c r="E270" s="149"/>
      <c r="F270" s="149"/>
      <c r="G270" s="162"/>
      <c r="H270" s="146" t="str">
        <f t="shared" si="25"/>
        <v/>
      </c>
      <c r="I270" s="161" t="str">
        <f t="shared" si="26"/>
        <v/>
      </c>
      <c r="J270" s="160" t="str">
        <f>IFERROR(INDEX(当年标准成本!I:I,MATCH(C270,当年标准成本!C:C,0),1),"")</f>
        <v/>
      </c>
      <c r="K270" s="146" t="str">
        <f t="shared" si="27"/>
        <v/>
      </c>
      <c r="L270" s="146" t="str">
        <f t="shared" si="28"/>
        <v/>
      </c>
      <c r="M270" s="148" t="str">
        <f t="shared" si="29"/>
        <v/>
      </c>
    </row>
    <row r="271" spans="1:13" x14ac:dyDescent="0.3">
      <c r="A271" s="149"/>
      <c r="B271" s="149"/>
      <c r="C271" s="149"/>
      <c r="D271" s="149"/>
      <c r="E271" s="149"/>
      <c r="F271" s="149"/>
      <c r="G271" s="162"/>
      <c r="H271" s="146" t="str">
        <f t="shared" si="25"/>
        <v/>
      </c>
      <c r="I271" s="161" t="str">
        <f t="shared" si="26"/>
        <v/>
      </c>
      <c r="J271" s="160" t="str">
        <f>IFERROR(INDEX(当年标准成本!I:I,MATCH(C271,当年标准成本!C:C,0),1),"")</f>
        <v/>
      </c>
      <c r="K271" s="146" t="str">
        <f t="shared" si="27"/>
        <v/>
      </c>
      <c r="L271" s="146" t="str">
        <f t="shared" si="28"/>
        <v/>
      </c>
      <c r="M271" s="148" t="str">
        <f t="shared" si="29"/>
        <v/>
      </c>
    </row>
    <row r="272" spans="1:13" x14ac:dyDescent="0.3">
      <c r="A272" s="149"/>
      <c r="B272" s="149"/>
      <c r="C272" s="149"/>
      <c r="D272" s="149"/>
      <c r="E272" s="149"/>
      <c r="F272" s="149"/>
      <c r="G272" s="162"/>
      <c r="H272" s="146" t="str">
        <f t="shared" si="25"/>
        <v/>
      </c>
      <c r="I272" s="161" t="str">
        <f t="shared" si="26"/>
        <v/>
      </c>
      <c r="J272" s="160" t="str">
        <f>IFERROR(INDEX(当年标准成本!I:I,MATCH(C272,当年标准成本!C:C,0),1),"")</f>
        <v/>
      </c>
      <c r="K272" s="146" t="str">
        <f t="shared" si="27"/>
        <v/>
      </c>
      <c r="L272" s="146" t="str">
        <f t="shared" si="28"/>
        <v/>
      </c>
      <c r="M272" s="148" t="str">
        <f t="shared" si="29"/>
        <v/>
      </c>
    </row>
    <row r="273" spans="1:13" x14ac:dyDescent="0.3">
      <c r="A273" s="149"/>
      <c r="B273" s="149"/>
      <c r="C273" s="149"/>
      <c r="D273" s="149"/>
      <c r="E273" s="149"/>
      <c r="F273" s="149"/>
      <c r="G273" s="162"/>
      <c r="H273" s="146" t="str">
        <f t="shared" si="25"/>
        <v/>
      </c>
      <c r="I273" s="161" t="str">
        <f t="shared" si="26"/>
        <v/>
      </c>
      <c r="J273" s="160" t="str">
        <f>IFERROR(INDEX(当年标准成本!I:I,MATCH(C273,当年标准成本!C:C,0),1),"")</f>
        <v/>
      </c>
      <c r="K273" s="146" t="str">
        <f t="shared" si="27"/>
        <v/>
      </c>
      <c r="L273" s="146" t="str">
        <f t="shared" si="28"/>
        <v/>
      </c>
      <c r="M273" s="148" t="str">
        <f t="shared" si="29"/>
        <v/>
      </c>
    </row>
    <row r="274" spans="1:13" x14ac:dyDescent="0.3">
      <c r="A274" s="149"/>
      <c r="B274" s="149"/>
      <c r="C274" s="149"/>
      <c r="D274" s="149"/>
      <c r="E274" s="149"/>
      <c r="F274" s="149"/>
      <c r="G274" s="162"/>
      <c r="H274" s="146" t="str">
        <f t="shared" si="25"/>
        <v/>
      </c>
      <c r="I274" s="161" t="str">
        <f t="shared" si="26"/>
        <v/>
      </c>
      <c r="J274" s="160" t="str">
        <f>IFERROR(INDEX(当年标准成本!I:I,MATCH(C274,当年标准成本!C:C,0),1),"")</f>
        <v/>
      </c>
      <c r="K274" s="146" t="str">
        <f t="shared" si="27"/>
        <v/>
      </c>
      <c r="L274" s="146" t="str">
        <f t="shared" si="28"/>
        <v/>
      </c>
      <c r="M274" s="148" t="str">
        <f t="shared" si="29"/>
        <v/>
      </c>
    </row>
    <row r="275" spans="1:13" x14ac:dyDescent="0.3">
      <c r="A275" s="149"/>
      <c r="B275" s="149"/>
      <c r="C275" s="149"/>
      <c r="D275" s="149"/>
      <c r="E275" s="149"/>
      <c r="F275" s="149"/>
      <c r="G275" s="162"/>
      <c r="H275" s="146" t="str">
        <f t="shared" si="25"/>
        <v/>
      </c>
      <c r="I275" s="161" t="str">
        <f t="shared" si="26"/>
        <v/>
      </c>
      <c r="J275" s="160" t="str">
        <f>IFERROR(INDEX(当年标准成本!I:I,MATCH(C275,当年标准成本!C:C,0),1),"")</f>
        <v/>
      </c>
      <c r="K275" s="146" t="str">
        <f t="shared" si="27"/>
        <v/>
      </c>
      <c r="L275" s="146" t="str">
        <f t="shared" si="28"/>
        <v/>
      </c>
      <c r="M275" s="148" t="str">
        <f t="shared" si="29"/>
        <v/>
      </c>
    </row>
    <row r="276" spans="1:13" x14ac:dyDescent="0.3">
      <c r="A276" s="149"/>
      <c r="B276" s="149"/>
      <c r="C276" s="149"/>
      <c r="D276" s="149"/>
      <c r="E276" s="149"/>
      <c r="F276" s="149"/>
      <c r="G276" s="162"/>
      <c r="H276" s="146" t="str">
        <f t="shared" si="25"/>
        <v/>
      </c>
      <c r="I276" s="161" t="str">
        <f t="shared" si="26"/>
        <v/>
      </c>
      <c r="J276" s="160" t="str">
        <f>IFERROR(INDEX(当年标准成本!I:I,MATCH(C276,当年标准成本!C:C,0),1),"")</f>
        <v/>
      </c>
      <c r="K276" s="146" t="str">
        <f t="shared" si="27"/>
        <v/>
      </c>
      <c r="L276" s="146" t="str">
        <f t="shared" si="28"/>
        <v/>
      </c>
      <c r="M276" s="148" t="str">
        <f t="shared" si="29"/>
        <v/>
      </c>
    </row>
    <row r="277" spans="1:13" x14ac:dyDescent="0.3">
      <c r="A277" s="149"/>
      <c r="B277" s="149"/>
      <c r="C277" s="149"/>
      <c r="D277" s="149"/>
      <c r="E277" s="149"/>
      <c r="F277" s="149"/>
      <c r="G277" s="162"/>
      <c r="H277" s="146" t="str">
        <f t="shared" si="25"/>
        <v/>
      </c>
      <c r="I277" s="161" t="str">
        <f t="shared" si="26"/>
        <v/>
      </c>
      <c r="J277" s="160" t="str">
        <f>IFERROR(INDEX(当年标准成本!I:I,MATCH(C277,当年标准成本!C:C,0),1),"")</f>
        <v/>
      </c>
      <c r="K277" s="146" t="str">
        <f t="shared" si="27"/>
        <v/>
      </c>
      <c r="L277" s="146" t="str">
        <f t="shared" si="28"/>
        <v/>
      </c>
      <c r="M277" s="148" t="str">
        <f t="shared" si="29"/>
        <v/>
      </c>
    </row>
    <row r="278" spans="1:13" x14ac:dyDescent="0.3">
      <c r="A278" s="149"/>
      <c r="B278" s="149"/>
      <c r="C278" s="149"/>
      <c r="D278" s="149"/>
      <c r="E278" s="149"/>
      <c r="F278" s="149"/>
      <c r="G278" s="162"/>
      <c r="H278" s="146" t="str">
        <f t="shared" si="25"/>
        <v/>
      </c>
      <c r="I278" s="161" t="str">
        <f t="shared" si="26"/>
        <v/>
      </c>
      <c r="J278" s="160" t="str">
        <f>IFERROR(INDEX(当年标准成本!I:I,MATCH(C278,当年标准成本!C:C,0),1),"")</f>
        <v/>
      </c>
      <c r="K278" s="146" t="str">
        <f t="shared" si="27"/>
        <v/>
      </c>
      <c r="L278" s="146" t="str">
        <f t="shared" si="28"/>
        <v/>
      </c>
      <c r="M278" s="148" t="str">
        <f t="shared" si="29"/>
        <v/>
      </c>
    </row>
    <row r="279" spans="1:13" x14ac:dyDescent="0.3">
      <c r="A279" s="149"/>
      <c r="B279" s="149"/>
      <c r="C279" s="149"/>
      <c r="D279" s="149"/>
      <c r="E279" s="149"/>
      <c r="F279" s="149"/>
      <c r="G279" s="162"/>
      <c r="H279" s="146" t="str">
        <f t="shared" si="25"/>
        <v/>
      </c>
      <c r="I279" s="161" t="str">
        <f t="shared" si="26"/>
        <v/>
      </c>
      <c r="J279" s="160" t="str">
        <f>IFERROR(INDEX(当年标准成本!I:I,MATCH(C279,当年标准成本!C:C,0),1),"")</f>
        <v/>
      </c>
      <c r="K279" s="146" t="str">
        <f t="shared" si="27"/>
        <v/>
      </c>
      <c r="L279" s="146" t="str">
        <f t="shared" si="28"/>
        <v/>
      </c>
      <c r="M279" s="148" t="str">
        <f t="shared" si="29"/>
        <v/>
      </c>
    </row>
    <row r="280" spans="1:13" x14ac:dyDescent="0.3">
      <c r="A280" s="149"/>
      <c r="B280" s="149"/>
      <c r="C280" s="149"/>
      <c r="D280" s="149"/>
      <c r="E280" s="149"/>
      <c r="F280" s="149"/>
      <c r="G280" s="162"/>
      <c r="H280" s="146" t="str">
        <f t="shared" si="25"/>
        <v/>
      </c>
      <c r="I280" s="161" t="str">
        <f t="shared" si="26"/>
        <v/>
      </c>
      <c r="J280" s="160" t="str">
        <f>IFERROR(INDEX(当年标准成本!I:I,MATCH(C280,当年标准成本!C:C,0),1),"")</f>
        <v/>
      </c>
      <c r="K280" s="146" t="str">
        <f t="shared" si="27"/>
        <v/>
      </c>
      <c r="L280" s="146" t="str">
        <f t="shared" si="28"/>
        <v/>
      </c>
      <c r="M280" s="148" t="str">
        <f t="shared" si="29"/>
        <v/>
      </c>
    </row>
    <row r="281" spans="1:13" x14ac:dyDescent="0.3">
      <c r="A281" s="149"/>
      <c r="B281" s="149"/>
      <c r="C281" s="149"/>
      <c r="D281" s="149"/>
      <c r="E281" s="149"/>
      <c r="F281" s="149"/>
      <c r="G281" s="162"/>
      <c r="H281" s="146" t="str">
        <f t="shared" si="25"/>
        <v/>
      </c>
      <c r="I281" s="161" t="str">
        <f t="shared" si="26"/>
        <v/>
      </c>
      <c r="J281" s="160" t="str">
        <f>IFERROR(INDEX(当年标准成本!I:I,MATCH(C281,当年标准成本!C:C,0),1),"")</f>
        <v/>
      </c>
      <c r="K281" s="146" t="str">
        <f t="shared" si="27"/>
        <v/>
      </c>
      <c r="L281" s="146" t="str">
        <f t="shared" si="28"/>
        <v/>
      </c>
      <c r="M281" s="148" t="str">
        <f t="shared" si="29"/>
        <v/>
      </c>
    </row>
    <row r="282" spans="1:13" x14ac:dyDescent="0.3">
      <c r="A282" s="149"/>
      <c r="B282" s="149"/>
      <c r="C282" s="149"/>
      <c r="D282" s="149"/>
      <c r="E282" s="149"/>
      <c r="F282" s="149"/>
      <c r="G282" s="162"/>
      <c r="H282" s="146" t="str">
        <f t="shared" si="25"/>
        <v/>
      </c>
      <c r="I282" s="161" t="str">
        <f t="shared" si="26"/>
        <v/>
      </c>
      <c r="J282" s="160" t="str">
        <f>IFERROR(INDEX(当年标准成本!I:I,MATCH(C282,当年标准成本!C:C,0),1),"")</f>
        <v/>
      </c>
      <c r="K282" s="146" t="str">
        <f t="shared" si="27"/>
        <v/>
      </c>
      <c r="L282" s="146" t="str">
        <f t="shared" si="28"/>
        <v/>
      </c>
      <c r="M282" s="148" t="str">
        <f t="shared" si="29"/>
        <v/>
      </c>
    </row>
    <row r="283" spans="1:13" x14ac:dyDescent="0.3">
      <c r="A283" s="149"/>
      <c r="B283" s="149"/>
      <c r="C283" s="149"/>
      <c r="D283" s="149"/>
      <c r="E283" s="149"/>
      <c r="F283" s="149"/>
      <c r="G283" s="162"/>
      <c r="H283" s="146" t="str">
        <f t="shared" si="25"/>
        <v/>
      </c>
      <c r="I283" s="161" t="str">
        <f t="shared" si="26"/>
        <v/>
      </c>
      <c r="J283" s="160" t="str">
        <f>IFERROR(INDEX(当年标准成本!I:I,MATCH(C283,当年标准成本!C:C,0),1),"")</f>
        <v/>
      </c>
      <c r="K283" s="146" t="str">
        <f t="shared" si="27"/>
        <v/>
      </c>
      <c r="L283" s="146" t="str">
        <f t="shared" si="28"/>
        <v/>
      </c>
      <c r="M283" s="148" t="str">
        <f t="shared" si="29"/>
        <v/>
      </c>
    </row>
    <row r="284" spans="1:13" x14ac:dyDescent="0.3">
      <c r="A284" s="149"/>
      <c r="B284" s="149"/>
      <c r="C284" s="149"/>
      <c r="D284" s="149"/>
      <c r="E284" s="149"/>
      <c r="F284" s="149"/>
      <c r="G284" s="162"/>
      <c r="H284" s="146" t="str">
        <f t="shared" si="25"/>
        <v/>
      </c>
      <c r="I284" s="161" t="str">
        <f t="shared" si="26"/>
        <v/>
      </c>
      <c r="J284" s="160" t="str">
        <f>IFERROR(INDEX(当年标准成本!I:I,MATCH(C284,当年标准成本!C:C,0),1),"")</f>
        <v/>
      </c>
      <c r="K284" s="146" t="str">
        <f t="shared" si="27"/>
        <v/>
      </c>
      <c r="L284" s="146" t="str">
        <f t="shared" si="28"/>
        <v/>
      </c>
      <c r="M284" s="148" t="str">
        <f t="shared" si="29"/>
        <v/>
      </c>
    </row>
    <row r="285" spans="1:13" x14ac:dyDescent="0.3">
      <c r="A285" s="149"/>
      <c r="B285" s="149"/>
      <c r="C285" s="149"/>
      <c r="D285" s="149"/>
      <c r="E285" s="149"/>
      <c r="F285" s="149"/>
      <c r="G285" s="162"/>
      <c r="H285" s="146" t="str">
        <f t="shared" si="25"/>
        <v/>
      </c>
      <c r="I285" s="161" t="str">
        <f t="shared" si="26"/>
        <v/>
      </c>
      <c r="J285" s="160" t="str">
        <f>IFERROR(INDEX(当年标准成本!I:I,MATCH(C285,当年标准成本!C:C,0),1),"")</f>
        <v/>
      </c>
      <c r="K285" s="146" t="str">
        <f t="shared" si="27"/>
        <v/>
      </c>
      <c r="L285" s="146" t="str">
        <f t="shared" si="28"/>
        <v/>
      </c>
      <c r="M285" s="148" t="str">
        <f t="shared" si="29"/>
        <v/>
      </c>
    </row>
    <row r="286" spans="1:13" x14ac:dyDescent="0.3">
      <c r="A286" s="149"/>
      <c r="B286" s="149"/>
      <c r="C286" s="149"/>
      <c r="D286" s="149"/>
      <c r="E286" s="149"/>
      <c r="F286" s="149"/>
      <c r="G286" s="162"/>
      <c r="H286" s="146" t="str">
        <f t="shared" si="25"/>
        <v/>
      </c>
      <c r="I286" s="161" t="str">
        <f t="shared" si="26"/>
        <v/>
      </c>
      <c r="J286" s="160" t="str">
        <f>IFERROR(INDEX(当年标准成本!I:I,MATCH(C286,当年标准成本!C:C,0),1),"")</f>
        <v/>
      </c>
      <c r="K286" s="146" t="str">
        <f t="shared" si="27"/>
        <v/>
      </c>
      <c r="L286" s="146" t="str">
        <f t="shared" si="28"/>
        <v/>
      </c>
      <c r="M286" s="148" t="str">
        <f t="shared" si="29"/>
        <v/>
      </c>
    </row>
    <row r="287" spans="1:13" x14ac:dyDescent="0.3">
      <c r="A287" s="149"/>
      <c r="B287" s="149"/>
      <c r="C287" s="149"/>
      <c r="D287" s="149"/>
      <c r="E287" s="149"/>
      <c r="F287" s="149"/>
      <c r="G287" s="162"/>
      <c r="H287" s="146" t="str">
        <f t="shared" si="25"/>
        <v/>
      </c>
      <c r="I287" s="161" t="str">
        <f t="shared" si="26"/>
        <v/>
      </c>
      <c r="J287" s="160" t="str">
        <f>IFERROR(INDEX(当年标准成本!I:I,MATCH(C287,当年标准成本!C:C,0),1),"")</f>
        <v/>
      </c>
      <c r="K287" s="146" t="str">
        <f t="shared" si="27"/>
        <v/>
      </c>
      <c r="L287" s="146" t="str">
        <f t="shared" si="28"/>
        <v/>
      </c>
      <c r="M287" s="148" t="str">
        <f t="shared" si="29"/>
        <v/>
      </c>
    </row>
    <row r="288" spans="1:13" x14ac:dyDescent="0.3">
      <c r="A288" s="149"/>
      <c r="B288" s="149"/>
      <c r="C288" s="149"/>
      <c r="D288" s="149"/>
      <c r="E288" s="149"/>
      <c r="F288" s="149"/>
      <c r="G288" s="162"/>
      <c r="H288" s="146" t="str">
        <f t="shared" si="25"/>
        <v/>
      </c>
      <c r="I288" s="161" t="str">
        <f t="shared" si="26"/>
        <v/>
      </c>
      <c r="J288" s="160" t="str">
        <f>IFERROR(INDEX(当年标准成本!I:I,MATCH(C288,当年标准成本!C:C,0),1),"")</f>
        <v/>
      </c>
      <c r="K288" s="146" t="str">
        <f t="shared" si="27"/>
        <v/>
      </c>
      <c r="L288" s="146" t="str">
        <f t="shared" si="28"/>
        <v/>
      </c>
      <c r="M288" s="148" t="str">
        <f t="shared" si="29"/>
        <v/>
      </c>
    </row>
    <row r="289" spans="1:13" x14ac:dyDescent="0.3">
      <c r="A289" s="149"/>
      <c r="B289" s="149"/>
      <c r="C289" s="149"/>
      <c r="D289" s="149"/>
      <c r="E289" s="149"/>
      <c r="F289" s="149"/>
      <c r="G289" s="162"/>
      <c r="H289" s="146" t="str">
        <f t="shared" si="25"/>
        <v/>
      </c>
      <c r="I289" s="161" t="str">
        <f t="shared" si="26"/>
        <v/>
      </c>
      <c r="J289" s="160" t="str">
        <f>IFERROR(INDEX(当年标准成本!I:I,MATCH(C289,当年标准成本!C:C,0),1),"")</f>
        <v/>
      </c>
      <c r="K289" s="146" t="str">
        <f t="shared" si="27"/>
        <v/>
      </c>
      <c r="L289" s="146" t="str">
        <f t="shared" si="28"/>
        <v/>
      </c>
      <c r="M289" s="148" t="str">
        <f t="shared" si="29"/>
        <v/>
      </c>
    </row>
    <row r="290" spans="1:13" x14ac:dyDescent="0.3">
      <c r="A290" s="149"/>
      <c r="B290" s="149"/>
      <c r="C290" s="149"/>
      <c r="D290" s="149"/>
      <c r="E290" s="149"/>
      <c r="F290" s="149"/>
      <c r="G290" s="162"/>
      <c r="H290" s="146" t="str">
        <f t="shared" si="25"/>
        <v/>
      </c>
      <c r="I290" s="161" t="str">
        <f t="shared" si="26"/>
        <v/>
      </c>
      <c r="J290" s="160" t="str">
        <f>IFERROR(INDEX(当年标准成本!I:I,MATCH(C290,当年标准成本!C:C,0),1),"")</f>
        <v/>
      </c>
      <c r="K290" s="146" t="str">
        <f t="shared" si="27"/>
        <v/>
      </c>
      <c r="L290" s="146" t="str">
        <f t="shared" si="28"/>
        <v/>
      </c>
      <c r="M290" s="148" t="str">
        <f t="shared" si="29"/>
        <v/>
      </c>
    </row>
    <row r="291" spans="1:13" x14ac:dyDescent="0.3">
      <c r="A291" s="149"/>
      <c r="B291" s="149"/>
      <c r="C291" s="149"/>
      <c r="D291" s="149"/>
      <c r="E291" s="149"/>
      <c r="F291" s="149"/>
      <c r="G291" s="162"/>
      <c r="H291" s="146" t="str">
        <f t="shared" si="25"/>
        <v/>
      </c>
      <c r="I291" s="161" t="str">
        <f t="shared" si="26"/>
        <v/>
      </c>
      <c r="J291" s="160" t="str">
        <f>IFERROR(INDEX(当年标准成本!I:I,MATCH(C291,当年标准成本!C:C,0),1),"")</f>
        <v/>
      </c>
      <c r="K291" s="146" t="str">
        <f t="shared" si="27"/>
        <v/>
      </c>
      <c r="L291" s="146" t="str">
        <f t="shared" si="28"/>
        <v/>
      </c>
      <c r="M291" s="148" t="str">
        <f t="shared" si="29"/>
        <v/>
      </c>
    </row>
    <row r="292" spans="1:13" x14ac:dyDescent="0.3">
      <c r="A292" s="149"/>
      <c r="B292" s="149"/>
      <c r="C292" s="149"/>
      <c r="D292" s="149"/>
      <c r="E292" s="149"/>
      <c r="F292" s="149"/>
      <c r="G292" s="162"/>
      <c r="H292" s="146" t="str">
        <f t="shared" si="25"/>
        <v/>
      </c>
      <c r="I292" s="161" t="str">
        <f t="shared" si="26"/>
        <v/>
      </c>
      <c r="J292" s="160" t="str">
        <f>IFERROR(INDEX(当年标准成本!I:I,MATCH(C292,当年标准成本!C:C,0),1),"")</f>
        <v/>
      </c>
      <c r="K292" s="146" t="str">
        <f t="shared" si="27"/>
        <v/>
      </c>
      <c r="L292" s="146" t="str">
        <f t="shared" si="28"/>
        <v/>
      </c>
      <c r="M292" s="148" t="str">
        <f t="shared" si="29"/>
        <v/>
      </c>
    </row>
    <row r="293" spans="1:13" x14ac:dyDescent="0.3">
      <c r="A293" s="149"/>
      <c r="B293" s="149"/>
      <c r="C293" s="149"/>
      <c r="D293" s="149"/>
      <c r="E293" s="149"/>
      <c r="F293" s="149"/>
      <c r="G293" s="162"/>
      <c r="H293" s="146" t="str">
        <f t="shared" si="25"/>
        <v/>
      </c>
      <c r="I293" s="161" t="str">
        <f t="shared" si="26"/>
        <v/>
      </c>
      <c r="J293" s="160" t="str">
        <f>IFERROR(INDEX(当年标准成本!I:I,MATCH(C293,当年标准成本!C:C,0),1),"")</f>
        <v/>
      </c>
      <c r="K293" s="146" t="str">
        <f t="shared" si="27"/>
        <v/>
      </c>
      <c r="L293" s="146" t="str">
        <f t="shared" si="28"/>
        <v/>
      </c>
      <c r="M293" s="148" t="str">
        <f t="shared" si="29"/>
        <v/>
      </c>
    </row>
    <row r="294" spans="1:13" x14ac:dyDescent="0.3">
      <c r="A294" s="149"/>
      <c r="B294" s="149"/>
      <c r="C294" s="149"/>
      <c r="D294" s="149"/>
      <c r="E294" s="149"/>
      <c r="F294" s="149"/>
      <c r="G294" s="162"/>
      <c r="H294" s="146" t="str">
        <f t="shared" si="25"/>
        <v/>
      </c>
      <c r="I294" s="161" t="str">
        <f t="shared" si="26"/>
        <v/>
      </c>
      <c r="J294" s="160" t="str">
        <f>IFERROR(INDEX(当年标准成本!I:I,MATCH(C294,当年标准成本!C:C,0),1),"")</f>
        <v/>
      </c>
      <c r="K294" s="146" t="str">
        <f t="shared" si="27"/>
        <v/>
      </c>
      <c r="L294" s="146" t="str">
        <f t="shared" si="28"/>
        <v/>
      </c>
      <c r="M294" s="148" t="str">
        <f t="shared" si="29"/>
        <v/>
      </c>
    </row>
    <row r="295" spans="1:13" x14ac:dyDescent="0.3">
      <c r="A295" s="149"/>
      <c r="B295" s="149"/>
      <c r="C295" s="149"/>
      <c r="D295" s="149"/>
      <c r="E295" s="149"/>
      <c r="F295" s="149"/>
      <c r="G295" s="162"/>
      <c r="H295" s="146" t="str">
        <f t="shared" si="25"/>
        <v/>
      </c>
      <c r="I295" s="161" t="str">
        <f t="shared" si="26"/>
        <v/>
      </c>
      <c r="J295" s="160" t="str">
        <f>IFERROR(INDEX(当年标准成本!I:I,MATCH(C295,当年标准成本!C:C,0),1),"")</f>
        <v/>
      </c>
      <c r="K295" s="146" t="str">
        <f t="shared" si="27"/>
        <v/>
      </c>
      <c r="L295" s="146" t="str">
        <f t="shared" si="28"/>
        <v/>
      </c>
      <c r="M295" s="148" t="str">
        <f t="shared" si="29"/>
        <v/>
      </c>
    </row>
    <row r="296" spans="1:13" x14ac:dyDescent="0.3">
      <c r="A296" s="149"/>
      <c r="B296" s="149"/>
      <c r="C296" s="149"/>
      <c r="D296" s="149"/>
      <c r="E296" s="149"/>
      <c r="F296" s="149"/>
      <c r="G296" s="162"/>
      <c r="H296" s="146" t="str">
        <f t="shared" si="25"/>
        <v/>
      </c>
      <c r="I296" s="161" t="str">
        <f t="shared" si="26"/>
        <v/>
      </c>
      <c r="J296" s="160" t="str">
        <f>IFERROR(INDEX(当年标准成本!I:I,MATCH(C296,当年标准成本!C:C,0),1),"")</f>
        <v/>
      </c>
      <c r="K296" s="146" t="str">
        <f t="shared" si="27"/>
        <v/>
      </c>
      <c r="L296" s="146" t="str">
        <f t="shared" si="28"/>
        <v/>
      </c>
      <c r="M296" s="148" t="str">
        <f t="shared" si="29"/>
        <v/>
      </c>
    </row>
    <row r="297" spans="1:13" x14ac:dyDescent="0.3">
      <c r="A297" s="149"/>
      <c r="B297" s="149"/>
      <c r="C297" s="149"/>
      <c r="D297" s="149"/>
      <c r="E297" s="149"/>
      <c r="F297" s="149"/>
      <c r="G297" s="162"/>
      <c r="H297" s="146" t="str">
        <f t="shared" si="25"/>
        <v/>
      </c>
      <c r="I297" s="161" t="str">
        <f t="shared" si="26"/>
        <v/>
      </c>
      <c r="J297" s="160" t="str">
        <f>IFERROR(INDEX(当年标准成本!I:I,MATCH(C297,当年标准成本!C:C,0),1),"")</f>
        <v/>
      </c>
      <c r="K297" s="146" t="str">
        <f t="shared" si="27"/>
        <v/>
      </c>
      <c r="L297" s="146" t="str">
        <f t="shared" si="28"/>
        <v/>
      </c>
      <c r="M297" s="148" t="str">
        <f t="shared" si="29"/>
        <v/>
      </c>
    </row>
    <row r="298" spans="1:13" x14ac:dyDescent="0.3">
      <c r="A298" s="149"/>
      <c r="B298" s="149"/>
      <c r="C298" s="149"/>
      <c r="D298" s="149"/>
      <c r="E298" s="149"/>
      <c r="F298" s="149"/>
      <c r="G298" s="162"/>
      <c r="H298" s="146" t="str">
        <f t="shared" si="25"/>
        <v/>
      </c>
      <c r="I298" s="161" t="str">
        <f t="shared" si="26"/>
        <v/>
      </c>
      <c r="J298" s="160" t="str">
        <f>IFERROR(INDEX(当年标准成本!I:I,MATCH(C298,当年标准成本!C:C,0),1),"")</f>
        <v/>
      </c>
      <c r="K298" s="146" t="str">
        <f t="shared" si="27"/>
        <v/>
      </c>
      <c r="L298" s="146" t="str">
        <f t="shared" si="28"/>
        <v/>
      </c>
      <c r="M298" s="148" t="str">
        <f t="shared" si="29"/>
        <v/>
      </c>
    </row>
    <row r="299" spans="1:13" x14ac:dyDescent="0.3">
      <c r="A299" s="149"/>
      <c r="B299" s="149"/>
      <c r="C299" s="149"/>
      <c r="D299" s="149"/>
      <c r="E299" s="149"/>
      <c r="F299" s="149"/>
      <c r="G299" s="162"/>
      <c r="H299" s="146" t="str">
        <f t="shared" si="25"/>
        <v/>
      </c>
      <c r="I299" s="161" t="str">
        <f t="shared" si="26"/>
        <v/>
      </c>
      <c r="J299" s="160" t="str">
        <f>IFERROR(INDEX(当年标准成本!I:I,MATCH(C299,当年标准成本!C:C,0),1),"")</f>
        <v/>
      </c>
      <c r="K299" s="146" t="str">
        <f t="shared" si="27"/>
        <v/>
      </c>
      <c r="L299" s="146" t="str">
        <f t="shared" si="28"/>
        <v/>
      </c>
      <c r="M299" s="148" t="str">
        <f t="shared" si="29"/>
        <v/>
      </c>
    </row>
    <row r="300" spans="1:13" x14ac:dyDescent="0.3">
      <c r="A300" s="149"/>
      <c r="B300" s="149"/>
      <c r="C300" s="149"/>
      <c r="D300" s="149"/>
      <c r="E300" s="149"/>
      <c r="F300" s="149"/>
      <c r="G300" s="162"/>
      <c r="H300" s="146" t="str">
        <f t="shared" si="25"/>
        <v/>
      </c>
      <c r="I300" s="161" t="str">
        <f t="shared" si="26"/>
        <v/>
      </c>
      <c r="J300" s="160" t="str">
        <f>IFERROR(INDEX(当年标准成本!I:I,MATCH(C300,当年标准成本!C:C,0),1),"")</f>
        <v/>
      </c>
      <c r="K300" s="146" t="str">
        <f t="shared" si="27"/>
        <v/>
      </c>
      <c r="L300" s="146" t="str">
        <f t="shared" si="28"/>
        <v/>
      </c>
      <c r="M300" s="148" t="str">
        <f t="shared" si="29"/>
        <v/>
      </c>
    </row>
    <row r="301" spans="1:13" x14ac:dyDescent="0.3">
      <c r="A301" s="149"/>
      <c r="B301" s="149"/>
      <c r="C301" s="149"/>
      <c r="D301" s="149"/>
      <c r="E301" s="149"/>
      <c r="F301" s="149"/>
      <c r="G301" s="162"/>
      <c r="H301" s="146" t="str">
        <f t="shared" si="25"/>
        <v/>
      </c>
      <c r="I301" s="161" t="str">
        <f t="shared" si="26"/>
        <v/>
      </c>
      <c r="J301" s="160" t="str">
        <f>IFERROR(INDEX(当年标准成本!I:I,MATCH(C301,当年标准成本!C:C,0),1),"")</f>
        <v/>
      </c>
      <c r="K301" s="146" t="str">
        <f t="shared" si="27"/>
        <v/>
      </c>
      <c r="L301" s="146" t="str">
        <f t="shared" si="28"/>
        <v/>
      </c>
      <c r="M301" s="148" t="str">
        <f t="shared" si="29"/>
        <v/>
      </c>
    </row>
    <row r="302" spans="1:13" x14ac:dyDescent="0.3">
      <c r="A302" s="149"/>
      <c r="B302" s="149"/>
      <c r="C302" s="149"/>
      <c r="D302" s="149"/>
      <c r="E302" s="149"/>
      <c r="F302" s="149"/>
      <c r="G302" s="162"/>
      <c r="H302" s="146" t="str">
        <f t="shared" si="25"/>
        <v/>
      </c>
      <c r="I302" s="161" t="str">
        <f t="shared" si="26"/>
        <v/>
      </c>
      <c r="J302" s="160" t="str">
        <f>IFERROR(INDEX(当年标准成本!I:I,MATCH(C302,当年标准成本!C:C,0),1),"")</f>
        <v/>
      </c>
      <c r="K302" s="146" t="str">
        <f t="shared" si="27"/>
        <v/>
      </c>
      <c r="L302" s="146" t="str">
        <f t="shared" si="28"/>
        <v/>
      </c>
      <c r="M302" s="148" t="str">
        <f t="shared" si="29"/>
        <v/>
      </c>
    </row>
    <row r="303" spans="1:13" x14ac:dyDescent="0.3">
      <c r="A303" s="149"/>
      <c r="B303" s="149"/>
      <c r="C303" s="149"/>
      <c r="D303" s="149"/>
      <c r="E303" s="149"/>
      <c r="F303" s="149"/>
      <c r="G303" s="162"/>
      <c r="H303" s="146" t="str">
        <f t="shared" si="25"/>
        <v/>
      </c>
      <c r="I303" s="161" t="str">
        <f t="shared" si="26"/>
        <v/>
      </c>
      <c r="J303" s="160" t="str">
        <f>IFERROR(INDEX(当年标准成本!I:I,MATCH(C303,当年标准成本!C:C,0),1),"")</f>
        <v/>
      </c>
      <c r="K303" s="146" t="str">
        <f t="shared" si="27"/>
        <v/>
      </c>
      <c r="L303" s="146" t="str">
        <f t="shared" si="28"/>
        <v/>
      </c>
      <c r="M303" s="148" t="str">
        <f t="shared" si="29"/>
        <v/>
      </c>
    </row>
    <row r="304" spans="1:13" x14ac:dyDescent="0.3">
      <c r="A304" s="149"/>
      <c r="B304" s="149"/>
      <c r="C304" s="149"/>
      <c r="D304" s="149"/>
      <c r="E304" s="149"/>
      <c r="F304" s="149"/>
      <c r="G304" s="162"/>
      <c r="H304" s="146" t="str">
        <f t="shared" si="25"/>
        <v/>
      </c>
      <c r="I304" s="161" t="str">
        <f t="shared" si="26"/>
        <v/>
      </c>
      <c r="J304" s="160" t="str">
        <f>IFERROR(INDEX(当年标准成本!I:I,MATCH(C304,当年标准成本!C:C,0),1),"")</f>
        <v/>
      </c>
      <c r="K304" s="146" t="str">
        <f t="shared" si="27"/>
        <v/>
      </c>
      <c r="L304" s="146" t="str">
        <f t="shared" si="28"/>
        <v/>
      </c>
      <c r="M304" s="148" t="str">
        <f t="shared" si="29"/>
        <v/>
      </c>
    </row>
    <row r="305" spans="1:13" x14ac:dyDescent="0.3">
      <c r="A305" s="149"/>
      <c r="B305" s="149"/>
      <c r="C305" s="149"/>
      <c r="D305" s="149"/>
      <c r="E305" s="149"/>
      <c r="F305" s="149"/>
      <c r="G305" s="162"/>
      <c r="H305" s="146" t="str">
        <f t="shared" si="25"/>
        <v/>
      </c>
      <c r="I305" s="161" t="str">
        <f t="shared" si="26"/>
        <v/>
      </c>
      <c r="J305" s="160" t="str">
        <f>IFERROR(INDEX(当年标准成本!I:I,MATCH(C305,当年标准成本!C:C,0),1),"")</f>
        <v/>
      </c>
      <c r="K305" s="146" t="str">
        <f t="shared" si="27"/>
        <v/>
      </c>
      <c r="L305" s="146" t="str">
        <f t="shared" si="28"/>
        <v/>
      </c>
      <c r="M305" s="148" t="str">
        <f t="shared" si="29"/>
        <v/>
      </c>
    </row>
    <row r="306" spans="1:13" x14ac:dyDescent="0.3">
      <c r="A306" s="149"/>
      <c r="B306" s="149"/>
      <c r="C306" s="149"/>
      <c r="D306" s="149"/>
      <c r="E306" s="149"/>
      <c r="F306" s="149"/>
      <c r="G306" s="162"/>
      <c r="H306" s="146" t="str">
        <f t="shared" si="25"/>
        <v/>
      </c>
      <c r="I306" s="161" t="str">
        <f t="shared" si="26"/>
        <v/>
      </c>
      <c r="J306" s="160" t="str">
        <f>IFERROR(INDEX(当年标准成本!I:I,MATCH(C306,当年标准成本!C:C,0),1),"")</f>
        <v/>
      </c>
      <c r="K306" s="146" t="str">
        <f t="shared" si="27"/>
        <v/>
      </c>
      <c r="L306" s="146" t="str">
        <f t="shared" si="28"/>
        <v/>
      </c>
      <c r="M306" s="148" t="str">
        <f t="shared" si="29"/>
        <v/>
      </c>
    </row>
    <row r="307" spans="1:13" x14ac:dyDescent="0.3">
      <c r="A307" s="149"/>
      <c r="B307" s="149"/>
      <c r="C307" s="149"/>
      <c r="D307" s="149"/>
      <c r="E307" s="149"/>
      <c r="F307" s="149"/>
      <c r="G307" s="162"/>
      <c r="H307" s="146" t="str">
        <f t="shared" si="25"/>
        <v/>
      </c>
      <c r="I307" s="161" t="str">
        <f t="shared" si="26"/>
        <v/>
      </c>
      <c r="J307" s="160" t="str">
        <f>IFERROR(INDEX(当年标准成本!I:I,MATCH(C307,当年标准成本!C:C,0),1),"")</f>
        <v/>
      </c>
      <c r="K307" s="146" t="str">
        <f t="shared" si="27"/>
        <v/>
      </c>
      <c r="L307" s="146" t="str">
        <f t="shared" si="28"/>
        <v/>
      </c>
      <c r="M307" s="148" t="str">
        <f t="shared" si="29"/>
        <v/>
      </c>
    </row>
    <row r="308" spans="1:13" x14ac:dyDescent="0.3">
      <c r="A308" s="149"/>
      <c r="B308" s="149"/>
      <c r="C308" s="149"/>
      <c r="D308" s="149"/>
      <c r="E308" s="149"/>
      <c r="F308" s="149"/>
      <c r="G308" s="162"/>
      <c r="H308" s="146" t="str">
        <f t="shared" si="25"/>
        <v/>
      </c>
      <c r="I308" s="161" t="str">
        <f t="shared" si="26"/>
        <v/>
      </c>
      <c r="J308" s="160" t="str">
        <f>IFERROR(INDEX(当年标准成本!I:I,MATCH(C308,当年标准成本!C:C,0),1),"")</f>
        <v/>
      </c>
      <c r="K308" s="146" t="str">
        <f t="shared" si="27"/>
        <v/>
      </c>
      <c r="L308" s="146" t="str">
        <f t="shared" si="28"/>
        <v/>
      </c>
      <c r="M308" s="148" t="str">
        <f t="shared" si="29"/>
        <v/>
      </c>
    </row>
    <row r="309" spans="1:13" x14ac:dyDescent="0.3">
      <c r="A309" s="149"/>
      <c r="B309" s="149"/>
      <c r="C309" s="149"/>
      <c r="D309" s="149"/>
      <c r="E309" s="149"/>
      <c r="F309" s="149"/>
      <c r="G309" s="162"/>
      <c r="H309" s="146" t="str">
        <f t="shared" si="25"/>
        <v/>
      </c>
      <c r="I309" s="161" t="str">
        <f t="shared" si="26"/>
        <v/>
      </c>
      <c r="J309" s="160" t="str">
        <f>IFERROR(INDEX(当年标准成本!I:I,MATCH(C309,当年标准成本!C:C,0),1),"")</f>
        <v/>
      </c>
      <c r="K309" s="146" t="str">
        <f t="shared" si="27"/>
        <v/>
      </c>
      <c r="L309" s="146" t="str">
        <f t="shared" si="28"/>
        <v/>
      </c>
      <c r="M309" s="148" t="str">
        <f t="shared" si="29"/>
        <v/>
      </c>
    </row>
    <row r="310" spans="1:13" x14ac:dyDescent="0.3">
      <c r="A310" s="149"/>
      <c r="B310" s="149"/>
      <c r="C310" s="149"/>
      <c r="D310" s="149"/>
      <c r="E310" s="149"/>
      <c r="F310" s="149"/>
      <c r="G310" s="162"/>
      <c r="H310" s="146" t="str">
        <f t="shared" si="25"/>
        <v/>
      </c>
      <c r="I310" s="161" t="str">
        <f t="shared" si="26"/>
        <v/>
      </c>
      <c r="J310" s="160" t="str">
        <f>IFERROR(INDEX(当年标准成本!I:I,MATCH(C310,当年标准成本!C:C,0),1),"")</f>
        <v/>
      </c>
      <c r="K310" s="146" t="str">
        <f t="shared" si="27"/>
        <v/>
      </c>
      <c r="L310" s="146" t="str">
        <f t="shared" si="28"/>
        <v/>
      </c>
      <c r="M310" s="148" t="str">
        <f t="shared" si="29"/>
        <v/>
      </c>
    </row>
    <row r="311" spans="1:13" x14ac:dyDescent="0.3">
      <c r="A311" s="149"/>
      <c r="B311" s="149"/>
      <c r="C311" s="149"/>
      <c r="D311" s="149"/>
      <c r="E311" s="149"/>
      <c r="F311" s="149"/>
      <c r="G311" s="162"/>
      <c r="H311" s="146" t="str">
        <f t="shared" si="25"/>
        <v/>
      </c>
      <c r="I311" s="161" t="str">
        <f t="shared" si="26"/>
        <v/>
      </c>
      <c r="J311" s="160" t="str">
        <f>IFERROR(INDEX(当年标准成本!I:I,MATCH(C311,当年标准成本!C:C,0),1),"")</f>
        <v/>
      </c>
      <c r="K311" s="146" t="str">
        <f t="shared" si="27"/>
        <v/>
      </c>
      <c r="L311" s="146" t="str">
        <f t="shared" si="28"/>
        <v/>
      </c>
      <c r="M311" s="148" t="str">
        <f t="shared" si="29"/>
        <v/>
      </c>
    </row>
    <row r="312" spans="1:13" x14ac:dyDescent="0.3">
      <c r="A312" s="149"/>
      <c r="B312" s="149"/>
      <c r="C312" s="149"/>
      <c r="D312" s="149"/>
      <c r="E312" s="149"/>
      <c r="F312" s="149"/>
      <c r="G312" s="162"/>
      <c r="H312" s="146" t="str">
        <f t="shared" si="25"/>
        <v/>
      </c>
      <c r="I312" s="161" t="str">
        <f t="shared" si="26"/>
        <v/>
      </c>
      <c r="J312" s="160" t="str">
        <f>IFERROR(INDEX(当年标准成本!I:I,MATCH(C312,当年标准成本!C:C,0),1),"")</f>
        <v/>
      </c>
      <c r="K312" s="146" t="str">
        <f t="shared" si="27"/>
        <v/>
      </c>
      <c r="L312" s="146" t="str">
        <f t="shared" si="28"/>
        <v/>
      </c>
      <c r="M312" s="148" t="str">
        <f t="shared" si="29"/>
        <v/>
      </c>
    </row>
    <row r="313" spans="1:13" x14ac:dyDescent="0.3">
      <c r="A313" s="149"/>
      <c r="B313" s="149"/>
      <c r="C313" s="149"/>
      <c r="D313" s="149"/>
      <c r="E313" s="149"/>
      <c r="F313" s="149"/>
      <c r="G313" s="162"/>
      <c r="H313" s="146" t="str">
        <f t="shared" si="25"/>
        <v/>
      </c>
      <c r="I313" s="161" t="str">
        <f t="shared" si="26"/>
        <v/>
      </c>
      <c r="J313" s="160" t="str">
        <f>IFERROR(INDEX(当年标准成本!I:I,MATCH(C313,当年标准成本!C:C,0),1),"")</f>
        <v/>
      </c>
      <c r="K313" s="146" t="str">
        <f t="shared" si="27"/>
        <v/>
      </c>
      <c r="L313" s="146" t="str">
        <f t="shared" si="28"/>
        <v/>
      </c>
      <c r="M313" s="148" t="str">
        <f t="shared" si="29"/>
        <v/>
      </c>
    </row>
    <row r="314" spans="1:13" x14ac:dyDescent="0.3">
      <c r="A314" s="149"/>
      <c r="B314" s="149"/>
      <c r="C314" s="149"/>
      <c r="D314" s="149"/>
      <c r="E314" s="149"/>
      <c r="F314" s="149"/>
      <c r="G314" s="162"/>
      <c r="H314" s="146" t="str">
        <f t="shared" si="25"/>
        <v/>
      </c>
      <c r="I314" s="161" t="str">
        <f t="shared" si="26"/>
        <v/>
      </c>
      <c r="J314" s="160" t="str">
        <f>IFERROR(INDEX(当年标准成本!I:I,MATCH(C314,当年标准成本!C:C,0),1),"")</f>
        <v/>
      </c>
      <c r="K314" s="146" t="str">
        <f t="shared" si="27"/>
        <v/>
      </c>
      <c r="L314" s="146" t="str">
        <f t="shared" si="28"/>
        <v/>
      </c>
      <c r="M314" s="148" t="str">
        <f t="shared" si="29"/>
        <v/>
      </c>
    </row>
    <row r="315" spans="1:13" x14ac:dyDescent="0.3">
      <c r="A315" s="149"/>
      <c r="B315" s="149"/>
      <c r="C315" s="149"/>
      <c r="D315" s="149"/>
      <c r="E315" s="149"/>
      <c r="F315" s="149"/>
      <c r="G315" s="162"/>
      <c r="H315" s="146" t="str">
        <f t="shared" si="25"/>
        <v/>
      </c>
      <c r="I315" s="161" t="str">
        <f t="shared" si="26"/>
        <v/>
      </c>
      <c r="J315" s="160" t="str">
        <f>IFERROR(INDEX(当年标准成本!I:I,MATCH(C315,当年标准成本!C:C,0),1),"")</f>
        <v/>
      </c>
      <c r="K315" s="146" t="str">
        <f t="shared" si="27"/>
        <v/>
      </c>
      <c r="L315" s="146" t="str">
        <f t="shared" si="28"/>
        <v/>
      </c>
      <c r="M315" s="148" t="str">
        <f t="shared" si="29"/>
        <v/>
      </c>
    </row>
    <row r="316" spans="1:13" x14ac:dyDescent="0.3">
      <c r="A316" s="149"/>
      <c r="B316" s="149"/>
      <c r="C316" s="149"/>
      <c r="D316" s="149"/>
      <c r="E316" s="149"/>
      <c r="F316" s="149"/>
      <c r="G316" s="162"/>
      <c r="H316" s="146" t="str">
        <f t="shared" si="25"/>
        <v/>
      </c>
      <c r="I316" s="161" t="str">
        <f t="shared" si="26"/>
        <v/>
      </c>
      <c r="J316" s="160" t="str">
        <f>IFERROR(INDEX(当年标准成本!I:I,MATCH(C316,当年标准成本!C:C,0),1),"")</f>
        <v/>
      </c>
      <c r="K316" s="146" t="str">
        <f t="shared" si="27"/>
        <v/>
      </c>
      <c r="L316" s="146" t="str">
        <f t="shared" si="28"/>
        <v/>
      </c>
      <c r="M316" s="148" t="str">
        <f t="shared" si="29"/>
        <v/>
      </c>
    </row>
    <row r="317" spans="1:13" x14ac:dyDescent="0.3">
      <c r="A317" s="149"/>
      <c r="B317" s="149"/>
      <c r="C317" s="149"/>
      <c r="D317" s="149"/>
      <c r="E317" s="149"/>
      <c r="F317" s="149"/>
      <c r="G317" s="162"/>
      <c r="H317" s="146" t="str">
        <f t="shared" si="25"/>
        <v/>
      </c>
      <c r="I317" s="161" t="str">
        <f t="shared" si="26"/>
        <v/>
      </c>
      <c r="J317" s="160" t="str">
        <f>IFERROR(INDEX(当年标准成本!I:I,MATCH(C317,当年标准成本!C:C,0),1),"")</f>
        <v/>
      </c>
      <c r="K317" s="146" t="str">
        <f t="shared" si="27"/>
        <v/>
      </c>
      <c r="L317" s="146" t="str">
        <f t="shared" si="28"/>
        <v/>
      </c>
      <c r="M317" s="148" t="str">
        <f t="shared" si="29"/>
        <v/>
      </c>
    </row>
    <row r="318" spans="1:13" x14ac:dyDescent="0.3">
      <c r="A318" s="149"/>
      <c r="B318" s="149"/>
      <c r="C318" s="149"/>
      <c r="D318" s="149"/>
      <c r="E318" s="149"/>
      <c r="F318" s="149"/>
      <c r="G318" s="162"/>
      <c r="H318" s="146" t="str">
        <f t="shared" si="25"/>
        <v/>
      </c>
      <c r="I318" s="161" t="str">
        <f t="shared" si="26"/>
        <v/>
      </c>
      <c r="J318" s="160" t="str">
        <f>IFERROR(INDEX(当年标准成本!I:I,MATCH(C318,当年标准成本!C:C,0),1),"")</f>
        <v/>
      </c>
      <c r="K318" s="146" t="str">
        <f t="shared" si="27"/>
        <v/>
      </c>
      <c r="L318" s="146" t="str">
        <f t="shared" si="28"/>
        <v/>
      </c>
      <c r="M318" s="148" t="str">
        <f t="shared" si="29"/>
        <v/>
      </c>
    </row>
    <row r="319" spans="1:13" x14ac:dyDescent="0.3">
      <c r="A319" s="149"/>
      <c r="B319" s="149"/>
      <c r="C319" s="149"/>
      <c r="D319" s="149"/>
      <c r="E319" s="149"/>
      <c r="F319" s="149"/>
      <c r="G319" s="162"/>
      <c r="H319" s="146" t="str">
        <f t="shared" si="25"/>
        <v/>
      </c>
      <c r="I319" s="161" t="str">
        <f t="shared" si="26"/>
        <v/>
      </c>
      <c r="J319" s="160" t="str">
        <f>IFERROR(INDEX(当年标准成本!I:I,MATCH(C319,当年标准成本!C:C,0),1),"")</f>
        <v/>
      </c>
      <c r="K319" s="146" t="str">
        <f t="shared" si="27"/>
        <v/>
      </c>
      <c r="L319" s="146" t="str">
        <f t="shared" si="28"/>
        <v/>
      </c>
      <c r="M319" s="148" t="str">
        <f t="shared" si="29"/>
        <v/>
      </c>
    </row>
    <row r="320" spans="1:13" x14ac:dyDescent="0.3">
      <c r="A320" s="149"/>
      <c r="B320" s="149"/>
      <c r="C320" s="149"/>
      <c r="D320" s="149"/>
      <c r="E320" s="149"/>
      <c r="F320" s="149"/>
      <c r="G320" s="162"/>
      <c r="H320" s="146" t="str">
        <f t="shared" si="25"/>
        <v/>
      </c>
      <c r="I320" s="161" t="str">
        <f t="shared" si="26"/>
        <v/>
      </c>
      <c r="J320" s="160" t="str">
        <f>IFERROR(INDEX(当年标准成本!I:I,MATCH(C320,当年标准成本!C:C,0),1),"")</f>
        <v/>
      </c>
      <c r="K320" s="146" t="str">
        <f t="shared" si="27"/>
        <v/>
      </c>
      <c r="L320" s="146" t="str">
        <f t="shared" si="28"/>
        <v/>
      </c>
      <c r="M320" s="148" t="str">
        <f t="shared" si="29"/>
        <v/>
      </c>
    </row>
    <row r="321" spans="1:13" x14ac:dyDescent="0.3">
      <c r="A321" s="149"/>
      <c r="B321" s="149"/>
      <c r="C321" s="149"/>
      <c r="D321" s="149"/>
      <c r="E321" s="149"/>
      <c r="F321" s="149"/>
      <c r="G321" s="162"/>
      <c r="H321" s="146" t="str">
        <f t="shared" si="25"/>
        <v/>
      </c>
      <c r="I321" s="161" t="str">
        <f t="shared" si="26"/>
        <v/>
      </c>
      <c r="J321" s="160" t="str">
        <f>IFERROR(INDEX(当年标准成本!I:I,MATCH(C321,当年标准成本!C:C,0),1),"")</f>
        <v/>
      </c>
      <c r="K321" s="146" t="str">
        <f t="shared" si="27"/>
        <v/>
      </c>
      <c r="L321" s="146" t="str">
        <f t="shared" si="28"/>
        <v/>
      </c>
      <c r="M321" s="148" t="str">
        <f t="shared" si="29"/>
        <v/>
      </c>
    </row>
    <row r="322" spans="1:13" x14ac:dyDescent="0.3">
      <c r="A322" s="149"/>
      <c r="B322" s="149"/>
      <c r="C322" s="149"/>
      <c r="D322" s="149"/>
      <c r="E322" s="149"/>
      <c r="F322" s="149"/>
      <c r="G322" s="162"/>
      <c r="H322" s="146" t="str">
        <f t="shared" si="25"/>
        <v/>
      </c>
      <c r="I322" s="161" t="str">
        <f t="shared" si="26"/>
        <v/>
      </c>
      <c r="J322" s="160" t="str">
        <f>IFERROR(INDEX(当年标准成本!I:I,MATCH(C322,当年标准成本!C:C,0),1),"")</f>
        <v/>
      </c>
      <c r="K322" s="146" t="str">
        <f t="shared" si="27"/>
        <v/>
      </c>
      <c r="L322" s="146" t="str">
        <f t="shared" si="28"/>
        <v/>
      </c>
      <c r="M322" s="148" t="str">
        <f t="shared" si="29"/>
        <v/>
      </c>
    </row>
    <row r="323" spans="1:13" x14ac:dyDescent="0.3">
      <c r="A323" s="149"/>
      <c r="B323" s="149"/>
      <c r="C323" s="149"/>
      <c r="D323" s="149"/>
      <c r="E323" s="149"/>
      <c r="F323" s="149"/>
      <c r="G323" s="162"/>
      <c r="H323" s="146" t="str">
        <f t="shared" si="25"/>
        <v/>
      </c>
      <c r="I323" s="161" t="str">
        <f t="shared" si="26"/>
        <v/>
      </c>
      <c r="J323" s="160" t="str">
        <f>IFERROR(INDEX(当年标准成本!I:I,MATCH(C323,当年标准成本!C:C,0),1),"")</f>
        <v/>
      </c>
      <c r="K323" s="146" t="str">
        <f t="shared" si="27"/>
        <v/>
      </c>
      <c r="L323" s="146" t="str">
        <f t="shared" si="28"/>
        <v/>
      </c>
      <c r="M323" s="148" t="str">
        <f t="shared" si="29"/>
        <v/>
      </c>
    </row>
    <row r="324" spans="1:13" x14ac:dyDescent="0.3">
      <c r="A324" s="149"/>
      <c r="B324" s="149"/>
      <c r="C324" s="149"/>
      <c r="D324" s="149"/>
      <c r="E324" s="149"/>
      <c r="F324" s="149"/>
      <c r="G324" s="162"/>
      <c r="H324" s="146" t="str">
        <f t="shared" si="25"/>
        <v/>
      </c>
      <c r="I324" s="161" t="str">
        <f t="shared" si="26"/>
        <v/>
      </c>
      <c r="J324" s="160" t="str">
        <f>IFERROR(INDEX(当年标准成本!I:I,MATCH(C324,当年标准成本!C:C,0),1),"")</f>
        <v/>
      </c>
      <c r="K324" s="146" t="str">
        <f t="shared" si="27"/>
        <v/>
      </c>
      <c r="L324" s="146" t="str">
        <f t="shared" si="28"/>
        <v/>
      </c>
      <c r="M324" s="148" t="str">
        <f t="shared" si="29"/>
        <v/>
      </c>
    </row>
    <row r="325" spans="1:13" x14ac:dyDescent="0.3">
      <c r="A325" s="149"/>
      <c r="B325" s="149"/>
      <c r="C325" s="149"/>
      <c r="D325" s="149"/>
      <c r="E325" s="149"/>
      <c r="F325" s="149"/>
      <c r="G325" s="162"/>
      <c r="H325" s="146" t="str">
        <f t="shared" si="25"/>
        <v/>
      </c>
      <c r="I325" s="161" t="str">
        <f t="shared" si="26"/>
        <v/>
      </c>
      <c r="J325" s="160" t="str">
        <f>IFERROR(INDEX(当年标准成本!I:I,MATCH(C325,当年标准成本!C:C,0),1),"")</f>
        <v/>
      </c>
      <c r="K325" s="146" t="str">
        <f t="shared" si="27"/>
        <v/>
      </c>
      <c r="L325" s="146" t="str">
        <f t="shared" si="28"/>
        <v/>
      </c>
      <c r="M325" s="148" t="str">
        <f t="shared" si="29"/>
        <v/>
      </c>
    </row>
    <row r="326" spans="1:13" x14ac:dyDescent="0.3">
      <c r="A326" s="149"/>
      <c r="B326" s="149"/>
      <c r="C326" s="149"/>
      <c r="D326" s="149"/>
      <c r="E326" s="149"/>
      <c r="F326" s="149"/>
      <c r="G326" s="162"/>
      <c r="H326" s="146" t="str">
        <f t="shared" si="25"/>
        <v/>
      </c>
      <c r="I326" s="161" t="str">
        <f t="shared" si="26"/>
        <v/>
      </c>
      <c r="J326" s="160" t="str">
        <f>IFERROR(INDEX(当年标准成本!I:I,MATCH(C326,当年标准成本!C:C,0),1),"")</f>
        <v/>
      </c>
      <c r="K326" s="146" t="str">
        <f t="shared" si="27"/>
        <v/>
      </c>
      <c r="L326" s="146" t="str">
        <f t="shared" si="28"/>
        <v/>
      </c>
      <c r="M326" s="148" t="str">
        <f t="shared" si="29"/>
        <v/>
      </c>
    </row>
    <row r="327" spans="1:13" x14ac:dyDescent="0.3">
      <c r="A327" s="149"/>
      <c r="B327" s="149"/>
      <c r="C327" s="149"/>
      <c r="D327" s="149"/>
      <c r="E327" s="149"/>
      <c r="F327" s="149"/>
      <c r="G327" s="162"/>
      <c r="H327" s="146" t="str">
        <f t="shared" si="25"/>
        <v/>
      </c>
      <c r="I327" s="161" t="str">
        <f t="shared" si="26"/>
        <v/>
      </c>
      <c r="J327" s="160" t="str">
        <f>IFERROR(INDEX(当年标准成本!I:I,MATCH(C327,当年标准成本!C:C,0),1),"")</f>
        <v/>
      </c>
      <c r="K327" s="146" t="str">
        <f t="shared" si="27"/>
        <v/>
      </c>
      <c r="L327" s="146" t="str">
        <f t="shared" si="28"/>
        <v/>
      </c>
      <c r="M327" s="148" t="str">
        <f t="shared" si="29"/>
        <v/>
      </c>
    </row>
    <row r="328" spans="1:13" x14ac:dyDescent="0.3">
      <c r="A328" s="149"/>
      <c r="B328" s="149"/>
      <c r="C328" s="149"/>
      <c r="D328" s="149"/>
      <c r="E328" s="149"/>
      <c r="F328" s="149"/>
      <c r="G328" s="162"/>
      <c r="H328" s="146" t="str">
        <f t="shared" si="25"/>
        <v/>
      </c>
      <c r="I328" s="161" t="str">
        <f t="shared" si="26"/>
        <v/>
      </c>
      <c r="J328" s="160" t="str">
        <f>IFERROR(INDEX(当年标准成本!I:I,MATCH(C328,当年标准成本!C:C,0),1),"")</f>
        <v/>
      </c>
      <c r="K328" s="146" t="str">
        <f t="shared" si="27"/>
        <v/>
      </c>
      <c r="L328" s="146" t="str">
        <f t="shared" si="28"/>
        <v/>
      </c>
      <c r="M328" s="148" t="str">
        <f t="shared" si="29"/>
        <v/>
      </c>
    </row>
    <row r="329" spans="1:13" x14ac:dyDescent="0.3">
      <c r="A329" s="149"/>
      <c r="B329" s="149"/>
      <c r="C329" s="149"/>
      <c r="D329" s="149"/>
      <c r="E329" s="149"/>
      <c r="F329" s="149"/>
      <c r="G329" s="162"/>
      <c r="H329" s="146" t="str">
        <f t="shared" si="25"/>
        <v/>
      </c>
      <c r="I329" s="161" t="str">
        <f t="shared" si="26"/>
        <v/>
      </c>
      <c r="J329" s="160" t="str">
        <f>IFERROR(INDEX(当年标准成本!I:I,MATCH(C329,当年标准成本!C:C,0),1),"")</f>
        <v/>
      </c>
      <c r="K329" s="146" t="str">
        <f t="shared" si="27"/>
        <v/>
      </c>
      <c r="L329" s="146" t="str">
        <f t="shared" si="28"/>
        <v/>
      </c>
      <c r="M329" s="148" t="str">
        <f t="shared" si="29"/>
        <v/>
      </c>
    </row>
    <row r="330" spans="1:13" x14ac:dyDescent="0.3">
      <c r="A330" s="149"/>
      <c r="B330" s="149"/>
      <c r="C330" s="149"/>
      <c r="D330" s="149"/>
      <c r="E330" s="149"/>
      <c r="F330" s="149"/>
      <c r="G330" s="162"/>
      <c r="H330" s="146" t="str">
        <f t="shared" si="25"/>
        <v/>
      </c>
      <c r="I330" s="161" t="str">
        <f t="shared" si="26"/>
        <v/>
      </c>
      <c r="J330" s="160" t="str">
        <f>IFERROR(INDEX(当年标准成本!I:I,MATCH(C330,当年标准成本!C:C,0),1),"")</f>
        <v/>
      </c>
      <c r="K330" s="146" t="str">
        <f t="shared" si="27"/>
        <v/>
      </c>
      <c r="L330" s="146" t="str">
        <f t="shared" si="28"/>
        <v/>
      </c>
      <c r="M330" s="148" t="str">
        <f t="shared" si="29"/>
        <v/>
      </c>
    </row>
    <row r="331" spans="1:13" x14ac:dyDescent="0.3">
      <c r="A331" s="149"/>
      <c r="B331" s="149"/>
      <c r="C331" s="149"/>
      <c r="D331" s="149"/>
      <c r="E331" s="149"/>
      <c r="F331" s="149"/>
      <c r="G331" s="162"/>
      <c r="H331" s="146" t="str">
        <f t="shared" si="25"/>
        <v/>
      </c>
      <c r="I331" s="161" t="str">
        <f t="shared" si="26"/>
        <v/>
      </c>
      <c r="J331" s="160" t="str">
        <f>IFERROR(INDEX(当年标准成本!I:I,MATCH(C331,当年标准成本!C:C,0),1),"")</f>
        <v/>
      </c>
      <c r="K331" s="146" t="str">
        <f t="shared" si="27"/>
        <v/>
      </c>
      <c r="L331" s="146" t="str">
        <f t="shared" si="28"/>
        <v/>
      </c>
      <c r="M331" s="148" t="str">
        <f t="shared" si="29"/>
        <v/>
      </c>
    </row>
    <row r="332" spans="1:13" x14ac:dyDescent="0.3">
      <c r="A332" s="149"/>
      <c r="B332" s="149"/>
      <c r="C332" s="149"/>
      <c r="D332" s="149"/>
      <c r="E332" s="149"/>
      <c r="F332" s="149"/>
      <c r="G332" s="162"/>
      <c r="H332" s="146" t="str">
        <f t="shared" ref="H332:H395" si="30">IFERROR(F332/E332,"")</f>
        <v/>
      </c>
      <c r="I332" s="161" t="str">
        <f t="shared" ref="I332:I395" si="31">IFERROR(H332*(1+G332),"")</f>
        <v/>
      </c>
      <c r="J332" s="160" t="str">
        <f>IFERROR(INDEX(当年标准成本!I:I,MATCH(C332,当年标准成本!C:C,0),1),"")</f>
        <v/>
      </c>
      <c r="K332" s="146" t="str">
        <f t="shared" ref="K332:K395" si="32">IFERROR(E332*J332,"")</f>
        <v/>
      </c>
      <c r="L332" s="146" t="str">
        <f t="shared" ref="L332:L395" si="33">IFERROR(F332-K332,"")</f>
        <v/>
      </c>
      <c r="M332" s="148" t="str">
        <f t="shared" ref="M332:M395" si="34">IFERROR(L332/F332,"")</f>
        <v/>
      </c>
    </row>
    <row r="333" spans="1:13" x14ac:dyDescent="0.3">
      <c r="A333" s="149"/>
      <c r="B333" s="149"/>
      <c r="C333" s="149"/>
      <c r="D333" s="149"/>
      <c r="E333" s="149"/>
      <c r="F333" s="149"/>
      <c r="G333" s="162"/>
      <c r="H333" s="146" t="str">
        <f t="shared" si="30"/>
        <v/>
      </c>
      <c r="I333" s="161" t="str">
        <f t="shared" si="31"/>
        <v/>
      </c>
      <c r="J333" s="160" t="str">
        <f>IFERROR(INDEX(当年标准成本!I:I,MATCH(C333,当年标准成本!C:C,0),1),"")</f>
        <v/>
      </c>
      <c r="K333" s="146" t="str">
        <f t="shared" si="32"/>
        <v/>
      </c>
      <c r="L333" s="146" t="str">
        <f t="shared" si="33"/>
        <v/>
      </c>
      <c r="M333" s="148" t="str">
        <f t="shared" si="34"/>
        <v/>
      </c>
    </row>
    <row r="334" spans="1:13" x14ac:dyDescent="0.3">
      <c r="A334" s="149"/>
      <c r="B334" s="149"/>
      <c r="C334" s="149"/>
      <c r="D334" s="149"/>
      <c r="E334" s="149"/>
      <c r="F334" s="149"/>
      <c r="G334" s="162"/>
      <c r="H334" s="146" t="str">
        <f t="shared" si="30"/>
        <v/>
      </c>
      <c r="I334" s="161" t="str">
        <f t="shared" si="31"/>
        <v/>
      </c>
      <c r="J334" s="160" t="str">
        <f>IFERROR(INDEX(当年标准成本!I:I,MATCH(C334,当年标准成本!C:C,0),1),"")</f>
        <v/>
      </c>
      <c r="K334" s="146" t="str">
        <f t="shared" si="32"/>
        <v/>
      </c>
      <c r="L334" s="146" t="str">
        <f t="shared" si="33"/>
        <v/>
      </c>
      <c r="M334" s="148" t="str">
        <f t="shared" si="34"/>
        <v/>
      </c>
    </row>
    <row r="335" spans="1:13" x14ac:dyDescent="0.3">
      <c r="A335" s="149"/>
      <c r="B335" s="149"/>
      <c r="C335" s="149"/>
      <c r="D335" s="149"/>
      <c r="E335" s="149"/>
      <c r="F335" s="149"/>
      <c r="G335" s="162"/>
      <c r="H335" s="146" t="str">
        <f t="shared" si="30"/>
        <v/>
      </c>
      <c r="I335" s="161" t="str">
        <f t="shared" si="31"/>
        <v/>
      </c>
      <c r="J335" s="160" t="str">
        <f>IFERROR(INDEX(当年标准成本!I:I,MATCH(C335,当年标准成本!C:C,0),1),"")</f>
        <v/>
      </c>
      <c r="K335" s="146" t="str">
        <f t="shared" si="32"/>
        <v/>
      </c>
      <c r="L335" s="146" t="str">
        <f t="shared" si="33"/>
        <v/>
      </c>
      <c r="M335" s="148" t="str">
        <f t="shared" si="34"/>
        <v/>
      </c>
    </row>
    <row r="336" spans="1:13" x14ac:dyDescent="0.3">
      <c r="A336" s="149"/>
      <c r="B336" s="149"/>
      <c r="C336" s="149"/>
      <c r="D336" s="149"/>
      <c r="E336" s="149"/>
      <c r="F336" s="149"/>
      <c r="G336" s="162"/>
      <c r="H336" s="146" t="str">
        <f t="shared" si="30"/>
        <v/>
      </c>
      <c r="I336" s="161" t="str">
        <f t="shared" si="31"/>
        <v/>
      </c>
      <c r="J336" s="160" t="str">
        <f>IFERROR(INDEX(当年标准成本!I:I,MATCH(C336,当年标准成本!C:C,0),1),"")</f>
        <v/>
      </c>
      <c r="K336" s="146" t="str">
        <f t="shared" si="32"/>
        <v/>
      </c>
      <c r="L336" s="146" t="str">
        <f t="shared" si="33"/>
        <v/>
      </c>
      <c r="M336" s="148" t="str">
        <f t="shared" si="34"/>
        <v/>
      </c>
    </row>
    <row r="337" spans="1:13" x14ac:dyDescent="0.3">
      <c r="A337" s="149"/>
      <c r="B337" s="149"/>
      <c r="C337" s="149"/>
      <c r="D337" s="149"/>
      <c r="E337" s="149"/>
      <c r="F337" s="149"/>
      <c r="G337" s="162"/>
      <c r="H337" s="146" t="str">
        <f t="shared" si="30"/>
        <v/>
      </c>
      <c r="I337" s="161" t="str">
        <f t="shared" si="31"/>
        <v/>
      </c>
      <c r="J337" s="160" t="str">
        <f>IFERROR(INDEX(当年标准成本!I:I,MATCH(C337,当年标准成本!C:C,0),1),"")</f>
        <v/>
      </c>
      <c r="K337" s="146" t="str">
        <f t="shared" si="32"/>
        <v/>
      </c>
      <c r="L337" s="146" t="str">
        <f t="shared" si="33"/>
        <v/>
      </c>
      <c r="M337" s="148" t="str">
        <f t="shared" si="34"/>
        <v/>
      </c>
    </row>
    <row r="338" spans="1:13" x14ac:dyDescent="0.3">
      <c r="A338" s="149"/>
      <c r="B338" s="149"/>
      <c r="C338" s="149"/>
      <c r="D338" s="149"/>
      <c r="E338" s="149"/>
      <c r="F338" s="149"/>
      <c r="G338" s="162"/>
      <c r="H338" s="146" t="str">
        <f t="shared" si="30"/>
        <v/>
      </c>
      <c r="I338" s="161" t="str">
        <f t="shared" si="31"/>
        <v/>
      </c>
      <c r="J338" s="160" t="str">
        <f>IFERROR(INDEX(当年标准成本!I:I,MATCH(C338,当年标准成本!C:C,0),1),"")</f>
        <v/>
      </c>
      <c r="K338" s="146" t="str">
        <f t="shared" si="32"/>
        <v/>
      </c>
      <c r="L338" s="146" t="str">
        <f t="shared" si="33"/>
        <v/>
      </c>
      <c r="M338" s="148" t="str">
        <f t="shared" si="34"/>
        <v/>
      </c>
    </row>
    <row r="339" spans="1:13" x14ac:dyDescent="0.3">
      <c r="A339" s="149"/>
      <c r="B339" s="149"/>
      <c r="C339" s="149"/>
      <c r="D339" s="149"/>
      <c r="E339" s="149"/>
      <c r="F339" s="149"/>
      <c r="G339" s="162"/>
      <c r="H339" s="146" t="str">
        <f t="shared" si="30"/>
        <v/>
      </c>
      <c r="I339" s="161" t="str">
        <f t="shared" si="31"/>
        <v/>
      </c>
      <c r="J339" s="160" t="str">
        <f>IFERROR(INDEX(当年标准成本!I:I,MATCH(C339,当年标准成本!C:C,0),1),"")</f>
        <v/>
      </c>
      <c r="K339" s="146" t="str">
        <f t="shared" si="32"/>
        <v/>
      </c>
      <c r="L339" s="146" t="str">
        <f t="shared" si="33"/>
        <v/>
      </c>
      <c r="M339" s="148" t="str">
        <f t="shared" si="34"/>
        <v/>
      </c>
    </row>
    <row r="340" spans="1:13" x14ac:dyDescent="0.3">
      <c r="A340" s="149"/>
      <c r="B340" s="149"/>
      <c r="C340" s="149"/>
      <c r="D340" s="149"/>
      <c r="E340" s="149"/>
      <c r="F340" s="149"/>
      <c r="G340" s="162"/>
      <c r="H340" s="146" t="str">
        <f t="shared" si="30"/>
        <v/>
      </c>
      <c r="I340" s="161" t="str">
        <f t="shared" si="31"/>
        <v/>
      </c>
      <c r="J340" s="160" t="str">
        <f>IFERROR(INDEX(当年标准成本!I:I,MATCH(C340,当年标准成本!C:C,0),1),"")</f>
        <v/>
      </c>
      <c r="K340" s="146" t="str">
        <f t="shared" si="32"/>
        <v/>
      </c>
      <c r="L340" s="146" t="str">
        <f t="shared" si="33"/>
        <v/>
      </c>
      <c r="M340" s="148" t="str">
        <f t="shared" si="34"/>
        <v/>
      </c>
    </row>
    <row r="341" spans="1:13" x14ac:dyDescent="0.3">
      <c r="A341" s="149"/>
      <c r="B341" s="149"/>
      <c r="C341" s="149"/>
      <c r="D341" s="149"/>
      <c r="E341" s="149"/>
      <c r="F341" s="149"/>
      <c r="G341" s="162"/>
      <c r="H341" s="146" t="str">
        <f t="shared" si="30"/>
        <v/>
      </c>
      <c r="I341" s="161" t="str">
        <f t="shared" si="31"/>
        <v/>
      </c>
      <c r="J341" s="160" t="str">
        <f>IFERROR(INDEX(当年标准成本!I:I,MATCH(C341,当年标准成本!C:C,0),1),"")</f>
        <v/>
      </c>
      <c r="K341" s="146" t="str">
        <f t="shared" si="32"/>
        <v/>
      </c>
      <c r="L341" s="146" t="str">
        <f t="shared" si="33"/>
        <v/>
      </c>
      <c r="M341" s="148" t="str">
        <f t="shared" si="34"/>
        <v/>
      </c>
    </row>
    <row r="342" spans="1:13" x14ac:dyDescent="0.3">
      <c r="A342" s="149"/>
      <c r="B342" s="149"/>
      <c r="C342" s="149"/>
      <c r="D342" s="149"/>
      <c r="E342" s="149"/>
      <c r="F342" s="149"/>
      <c r="G342" s="162"/>
      <c r="H342" s="146" t="str">
        <f t="shared" si="30"/>
        <v/>
      </c>
      <c r="I342" s="161" t="str">
        <f t="shared" si="31"/>
        <v/>
      </c>
      <c r="J342" s="160" t="str">
        <f>IFERROR(INDEX(当年标准成本!I:I,MATCH(C342,当年标准成本!C:C,0),1),"")</f>
        <v/>
      </c>
      <c r="K342" s="146" t="str">
        <f t="shared" si="32"/>
        <v/>
      </c>
      <c r="L342" s="146" t="str">
        <f t="shared" si="33"/>
        <v/>
      </c>
      <c r="M342" s="148" t="str">
        <f t="shared" si="34"/>
        <v/>
      </c>
    </row>
    <row r="343" spans="1:13" x14ac:dyDescent="0.3">
      <c r="A343" s="149"/>
      <c r="B343" s="149"/>
      <c r="C343" s="149"/>
      <c r="D343" s="149"/>
      <c r="E343" s="149"/>
      <c r="F343" s="149"/>
      <c r="G343" s="162"/>
      <c r="H343" s="146" t="str">
        <f t="shared" si="30"/>
        <v/>
      </c>
      <c r="I343" s="161" t="str">
        <f t="shared" si="31"/>
        <v/>
      </c>
      <c r="J343" s="160" t="str">
        <f>IFERROR(INDEX(当年标准成本!I:I,MATCH(C343,当年标准成本!C:C,0),1),"")</f>
        <v/>
      </c>
      <c r="K343" s="146" t="str">
        <f t="shared" si="32"/>
        <v/>
      </c>
      <c r="L343" s="146" t="str">
        <f t="shared" si="33"/>
        <v/>
      </c>
      <c r="M343" s="148" t="str">
        <f t="shared" si="34"/>
        <v/>
      </c>
    </row>
    <row r="344" spans="1:13" x14ac:dyDescent="0.3">
      <c r="A344" s="149"/>
      <c r="B344" s="149"/>
      <c r="C344" s="149"/>
      <c r="D344" s="149"/>
      <c r="E344" s="149"/>
      <c r="F344" s="149"/>
      <c r="G344" s="162"/>
      <c r="H344" s="146" t="str">
        <f t="shared" si="30"/>
        <v/>
      </c>
      <c r="I344" s="161" t="str">
        <f t="shared" si="31"/>
        <v/>
      </c>
      <c r="J344" s="160" t="str">
        <f>IFERROR(INDEX(当年标准成本!I:I,MATCH(C344,当年标准成本!C:C,0),1),"")</f>
        <v/>
      </c>
      <c r="K344" s="146" t="str">
        <f t="shared" si="32"/>
        <v/>
      </c>
      <c r="L344" s="146" t="str">
        <f t="shared" si="33"/>
        <v/>
      </c>
      <c r="M344" s="148" t="str">
        <f t="shared" si="34"/>
        <v/>
      </c>
    </row>
    <row r="345" spans="1:13" x14ac:dyDescent="0.3">
      <c r="A345" s="149"/>
      <c r="B345" s="149"/>
      <c r="C345" s="149"/>
      <c r="D345" s="149"/>
      <c r="E345" s="149"/>
      <c r="F345" s="149"/>
      <c r="G345" s="162"/>
      <c r="H345" s="146" t="str">
        <f t="shared" si="30"/>
        <v/>
      </c>
      <c r="I345" s="161" t="str">
        <f t="shared" si="31"/>
        <v/>
      </c>
      <c r="J345" s="160" t="str">
        <f>IFERROR(INDEX(当年标准成本!I:I,MATCH(C345,当年标准成本!C:C,0),1),"")</f>
        <v/>
      </c>
      <c r="K345" s="146" t="str">
        <f t="shared" si="32"/>
        <v/>
      </c>
      <c r="L345" s="146" t="str">
        <f t="shared" si="33"/>
        <v/>
      </c>
      <c r="M345" s="148" t="str">
        <f t="shared" si="34"/>
        <v/>
      </c>
    </row>
    <row r="346" spans="1:13" x14ac:dyDescent="0.3">
      <c r="A346" s="149"/>
      <c r="B346" s="149"/>
      <c r="C346" s="149"/>
      <c r="D346" s="149"/>
      <c r="E346" s="149"/>
      <c r="F346" s="149"/>
      <c r="G346" s="162"/>
      <c r="H346" s="146" t="str">
        <f t="shared" si="30"/>
        <v/>
      </c>
      <c r="I346" s="161" t="str">
        <f t="shared" si="31"/>
        <v/>
      </c>
      <c r="J346" s="160" t="str">
        <f>IFERROR(INDEX(当年标准成本!I:I,MATCH(C346,当年标准成本!C:C,0),1),"")</f>
        <v/>
      </c>
      <c r="K346" s="146" t="str">
        <f t="shared" si="32"/>
        <v/>
      </c>
      <c r="L346" s="146" t="str">
        <f t="shared" si="33"/>
        <v/>
      </c>
      <c r="M346" s="148" t="str">
        <f t="shared" si="34"/>
        <v/>
      </c>
    </row>
    <row r="347" spans="1:13" x14ac:dyDescent="0.3">
      <c r="A347" s="149"/>
      <c r="B347" s="149"/>
      <c r="C347" s="149"/>
      <c r="D347" s="149"/>
      <c r="E347" s="149"/>
      <c r="F347" s="149"/>
      <c r="G347" s="162"/>
      <c r="H347" s="146" t="str">
        <f t="shared" si="30"/>
        <v/>
      </c>
      <c r="I347" s="161" t="str">
        <f t="shared" si="31"/>
        <v/>
      </c>
      <c r="J347" s="160" t="str">
        <f>IFERROR(INDEX(当年标准成本!I:I,MATCH(C347,当年标准成本!C:C,0),1),"")</f>
        <v/>
      </c>
      <c r="K347" s="146" t="str">
        <f t="shared" si="32"/>
        <v/>
      </c>
      <c r="L347" s="146" t="str">
        <f t="shared" si="33"/>
        <v/>
      </c>
      <c r="M347" s="148" t="str">
        <f t="shared" si="34"/>
        <v/>
      </c>
    </row>
    <row r="348" spans="1:13" x14ac:dyDescent="0.3">
      <c r="A348" s="149"/>
      <c r="B348" s="149"/>
      <c r="C348" s="149"/>
      <c r="D348" s="149"/>
      <c r="E348" s="149"/>
      <c r="F348" s="149"/>
      <c r="G348" s="162"/>
      <c r="H348" s="146" t="str">
        <f t="shared" si="30"/>
        <v/>
      </c>
      <c r="I348" s="161" t="str">
        <f t="shared" si="31"/>
        <v/>
      </c>
      <c r="J348" s="160" t="str">
        <f>IFERROR(INDEX(当年标准成本!I:I,MATCH(C348,当年标准成本!C:C,0),1),"")</f>
        <v/>
      </c>
      <c r="K348" s="146" t="str">
        <f t="shared" si="32"/>
        <v/>
      </c>
      <c r="L348" s="146" t="str">
        <f t="shared" si="33"/>
        <v/>
      </c>
      <c r="M348" s="148" t="str">
        <f t="shared" si="34"/>
        <v/>
      </c>
    </row>
    <row r="349" spans="1:13" x14ac:dyDescent="0.3">
      <c r="A349" s="149"/>
      <c r="B349" s="149"/>
      <c r="C349" s="149"/>
      <c r="D349" s="149"/>
      <c r="E349" s="149"/>
      <c r="F349" s="149"/>
      <c r="G349" s="162"/>
      <c r="H349" s="146" t="str">
        <f t="shared" si="30"/>
        <v/>
      </c>
      <c r="I349" s="161" t="str">
        <f t="shared" si="31"/>
        <v/>
      </c>
      <c r="J349" s="160" t="str">
        <f>IFERROR(INDEX(当年标准成本!I:I,MATCH(C349,当年标准成本!C:C,0),1),"")</f>
        <v/>
      </c>
      <c r="K349" s="146" t="str">
        <f t="shared" si="32"/>
        <v/>
      </c>
      <c r="L349" s="146" t="str">
        <f t="shared" si="33"/>
        <v/>
      </c>
      <c r="M349" s="148" t="str">
        <f t="shared" si="34"/>
        <v/>
      </c>
    </row>
    <row r="350" spans="1:13" x14ac:dyDescent="0.3">
      <c r="A350" s="149"/>
      <c r="B350" s="149"/>
      <c r="C350" s="149"/>
      <c r="D350" s="149"/>
      <c r="E350" s="149"/>
      <c r="F350" s="149"/>
      <c r="G350" s="162"/>
      <c r="H350" s="146" t="str">
        <f t="shared" si="30"/>
        <v/>
      </c>
      <c r="I350" s="161" t="str">
        <f t="shared" si="31"/>
        <v/>
      </c>
      <c r="J350" s="160" t="str">
        <f>IFERROR(INDEX(当年标准成本!I:I,MATCH(C350,当年标准成本!C:C,0),1),"")</f>
        <v/>
      </c>
      <c r="K350" s="146" t="str">
        <f t="shared" si="32"/>
        <v/>
      </c>
      <c r="L350" s="146" t="str">
        <f t="shared" si="33"/>
        <v/>
      </c>
      <c r="M350" s="148" t="str">
        <f t="shared" si="34"/>
        <v/>
      </c>
    </row>
    <row r="351" spans="1:13" x14ac:dyDescent="0.3">
      <c r="A351" s="149"/>
      <c r="B351" s="149"/>
      <c r="C351" s="149"/>
      <c r="D351" s="149"/>
      <c r="E351" s="149"/>
      <c r="F351" s="149"/>
      <c r="G351" s="162"/>
      <c r="H351" s="146" t="str">
        <f t="shared" si="30"/>
        <v/>
      </c>
      <c r="I351" s="161" t="str">
        <f t="shared" si="31"/>
        <v/>
      </c>
      <c r="J351" s="160" t="str">
        <f>IFERROR(INDEX(当年标准成本!I:I,MATCH(C351,当年标准成本!C:C,0),1),"")</f>
        <v/>
      </c>
      <c r="K351" s="146" t="str">
        <f t="shared" si="32"/>
        <v/>
      </c>
      <c r="L351" s="146" t="str">
        <f t="shared" si="33"/>
        <v/>
      </c>
      <c r="M351" s="148" t="str">
        <f t="shared" si="34"/>
        <v/>
      </c>
    </row>
    <row r="352" spans="1:13" x14ac:dyDescent="0.3">
      <c r="A352" s="149"/>
      <c r="B352" s="149"/>
      <c r="C352" s="149"/>
      <c r="D352" s="149"/>
      <c r="E352" s="149"/>
      <c r="F352" s="149"/>
      <c r="G352" s="162"/>
      <c r="H352" s="146" t="str">
        <f t="shared" si="30"/>
        <v/>
      </c>
      <c r="I352" s="161" t="str">
        <f t="shared" si="31"/>
        <v/>
      </c>
      <c r="J352" s="160" t="str">
        <f>IFERROR(INDEX(当年标准成本!I:I,MATCH(C352,当年标准成本!C:C,0),1),"")</f>
        <v/>
      </c>
      <c r="K352" s="146" t="str">
        <f t="shared" si="32"/>
        <v/>
      </c>
      <c r="L352" s="146" t="str">
        <f t="shared" si="33"/>
        <v/>
      </c>
      <c r="M352" s="148" t="str">
        <f t="shared" si="34"/>
        <v/>
      </c>
    </row>
    <row r="353" spans="1:13" x14ac:dyDescent="0.3">
      <c r="A353" s="149"/>
      <c r="B353" s="149"/>
      <c r="C353" s="149"/>
      <c r="D353" s="149"/>
      <c r="E353" s="149"/>
      <c r="F353" s="149"/>
      <c r="G353" s="162"/>
      <c r="H353" s="146" t="str">
        <f t="shared" si="30"/>
        <v/>
      </c>
      <c r="I353" s="161" t="str">
        <f t="shared" si="31"/>
        <v/>
      </c>
      <c r="J353" s="160" t="str">
        <f>IFERROR(INDEX(当年标准成本!I:I,MATCH(C353,当年标准成本!C:C,0),1),"")</f>
        <v/>
      </c>
      <c r="K353" s="146" t="str">
        <f t="shared" si="32"/>
        <v/>
      </c>
      <c r="L353" s="146" t="str">
        <f t="shared" si="33"/>
        <v/>
      </c>
      <c r="M353" s="148" t="str">
        <f t="shared" si="34"/>
        <v/>
      </c>
    </row>
    <row r="354" spans="1:13" x14ac:dyDescent="0.3">
      <c r="A354" s="149"/>
      <c r="B354" s="149"/>
      <c r="C354" s="149"/>
      <c r="D354" s="149"/>
      <c r="E354" s="149"/>
      <c r="F354" s="149"/>
      <c r="G354" s="162"/>
      <c r="H354" s="146" t="str">
        <f t="shared" si="30"/>
        <v/>
      </c>
      <c r="I354" s="161" t="str">
        <f t="shared" si="31"/>
        <v/>
      </c>
      <c r="J354" s="160" t="str">
        <f>IFERROR(INDEX(当年标准成本!I:I,MATCH(C354,当年标准成本!C:C,0),1),"")</f>
        <v/>
      </c>
      <c r="K354" s="146" t="str">
        <f t="shared" si="32"/>
        <v/>
      </c>
      <c r="L354" s="146" t="str">
        <f t="shared" si="33"/>
        <v/>
      </c>
      <c r="M354" s="148" t="str">
        <f t="shared" si="34"/>
        <v/>
      </c>
    </row>
    <row r="355" spans="1:13" x14ac:dyDescent="0.3">
      <c r="A355" s="149"/>
      <c r="B355" s="149"/>
      <c r="C355" s="149"/>
      <c r="D355" s="149"/>
      <c r="E355" s="149"/>
      <c r="F355" s="149"/>
      <c r="G355" s="162"/>
      <c r="H355" s="146" t="str">
        <f t="shared" si="30"/>
        <v/>
      </c>
      <c r="I355" s="161" t="str">
        <f t="shared" si="31"/>
        <v/>
      </c>
      <c r="J355" s="160" t="str">
        <f>IFERROR(INDEX(当年标准成本!I:I,MATCH(C355,当年标准成本!C:C,0),1),"")</f>
        <v/>
      </c>
      <c r="K355" s="146" t="str">
        <f t="shared" si="32"/>
        <v/>
      </c>
      <c r="L355" s="146" t="str">
        <f t="shared" si="33"/>
        <v/>
      </c>
      <c r="M355" s="148" t="str">
        <f t="shared" si="34"/>
        <v/>
      </c>
    </row>
    <row r="356" spans="1:13" x14ac:dyDescent="0.3">
      <c r="A356" s="149"/>
      <c r="B356" s="149"/>
      <c r="C356" s="149"/>
      <c r="D356" s="149"/>
      <c r="E356" s="149"/>
      <c r="F356" s="149"/>
      <c r="G356" s="162"/>
      <c r="H356" s="146" t="str">
        <f t="shared" si="30"/>
        <v/>
      </c>
      <c r="I356" s="161" t="str">
        <f t="shared" si="31"/>
        <v/>
      </c>
      <c r="J356" s="160" t="str">
        <f>IFERROR(INDEX(当年标准成本!I:I,MATCH(C356,当年标准成本!C:C,0),1),"")</f>
        <v/>
      </c>
      <c r="K356" s="146" t="str">
        <f t="shared" si="32"/>
        <v/>
      </c>
      <c r="L356" s="146" t="str">
        <f t="shared" si="33"/>
        <v/>
      </c>
      <c r="M356" s="148" t="str">
        <f t="shared" si="34"/>
        <v/>
      </c>
    </row>
    <row r="357" spans="1:13" x14ac:dyDescent="0.3">
      <c r="A357" s="149"/>
      <c r="B357" s="149"/>
      <c r="C357" s="149"/>
      <c r="D357" s="149"/>
      <c r="E357" s="149"/>
      <c r="F357" s="149"/>
      <c r="G357" s="162"/>
      <c r="H357" s="146" t="str">
        <f t="shared" si="30"/>
        <v/>
      </c>
      <c r="I357" s="161" t="str">
        <f t="shared" si="31"/>
        <v/>
      </c>
      <c r="J357" s="160" t="str">
        <f>IFERROR(INDEX(当年标准成本!I:I,MATCH(C357,当年标准成本!C:C,0),1),"")</f>
        <v/>
      </c>
      <c r="K357" s="146" t="str">
        <f t="shared" si="32"/>
        <v/>
      </c>
      <c r="L357" s="146" t="str">
        <f t="shared" si="33"/>
        <v/>
      </c>
      <c r="M357" s="148" t="str">
        <f t="shared" si="34"/>
        <v/>
      </c>
    </row>
    <row r="358" spans="1:13" x14ac:dyDescent="0.3">
      <c r="A358" s="149"/>
      <c r="B358" s="149"/>
      <c r="C358" s="149"/>
      <c r="D358" s="149"/>
      <c r="E358" s="149"/>
      <c r="F358" s="149"/>
      <c r="G358" s="162"/>
      <c r="H358" s="146" t="str">
        <f t="shared" si="30"/>
        <v/>
      </c>
      <c r="I358" s="161" t="str">
        <f t="shared" si="31"/>
        <v/>
      </c>
      <c r="J358" s="160" t="str">
        <f>IFERROR(INDEX(当年标准成本!I:I,MATCH(C358,当年标准成本!C:C,0),1),"")</f>
        <v/>
      </c>
      <c r="K358" s="146" t="str">
        <f t="shared" si="32"/>
        <v/>
      </c>
      <c r="L358" s="146" t="str">
        <f t="shared" si="33"/>
        <v/>
      </c>
      <c r="M358" s="148" t="str">
        <f t="shared" si="34"/>
        <v/>
      </c>
    </row>
    <row r="359" spans="1:13" x14ac:dyDescent="0.3">
      <c r="A359" s="149"/>
      <c r="B359" s="149"/>
      <c r="C359" s="149"/>
      <c r="D359" s="149"/>
      <c r="E359" s="149"/>
      <c r="F359" s="149"/>
      <c r="G359" s="162"/>
      <c r="H359" s="146" t="str">
        <f t="shared" si="30"/>
        <v/>
      </c>
      <c r="I359" s="161" t="str">
        <f t="shared" si="31"/>
        <v/>
      </c>
      <c r="J359" s="160" t="str">
        <f>IFERROR(INDEX(当年标准成本!I:I,MATCH(C359,当年标准成本!C:C,0),1),"")</f>
        <v/>
      </c>
      <c r="K359" s="146" t="str">
        <f t="shared" si="32"/>
        <v/>
      </c>
      <c r="L359" s="146" t="str">
        <f t="shared" si="33"/>
        <v/>
      </c>
      <c r="M359" s="148" t="str">
        <f t="shared" si="34"/>
        <v/>
      </c>
    </row>
    <row r="360" spans="1:13" x14ac:dyDescent="0.3">
      <c r="A360" s="149"/>
      <c r="B360" s="149"/>
      <c r="C360" s="149"/>
      <c r="D360" s="149"/>
      <c r="E360" s="149"/>
      <c r="F360" s="149"/>
      <c r="G360" s="162"/>
      <c r="H360" s="146" t="str">
        <f t="shared" si="30"/>
        <v/>
      </c>
      <c r="I360" s="161" t="str">
        <f t="shared" si="31"/>
        <v/>
      </c>
      <c r="J360" s="160" t="str">
        <f>IFERROR(INDEX(当年标准成本!I:I,MATCH(C360,当年标准成本!C:C,0),1),"")</f>
        <v/>
      </c>
      <c r="K360" s="146" t="str">
        <f t="shared" si="32"/>
        <v/>
      </c>
      <c r="L360" s="146" t="str">
        <f t="shared" si="33"/>
        <v/>
      </c>
      <c r="M360" s="148" t="str">
        <f t="shared" si="34"/>
        <v/>
      </c>
    </row>
    <row r="361" spans="1:13" x14ac:dyDescent="0.3">
      <c r="A361" s="149"/>
      <c r="B361" s="149"/>
      <c r="C361" s="149"/>
      <c r="D361" s="149"/>
      <c r="E361" s="149"/>
      <c r="F361" s="149"/>
      <c r="G361" s="162"/>
      <c r="H361" s="146" t="str">
        <f t="shared" si="30"/>
        <v/>
      </c>
      <c r="I361" s="161" t="str">
        <f t="shared" si="31"/>
        <v/>
      </c>
      <c r="J361" s="160" t="str">
        <f>IFERROR(INDEX(当年标准成本!I:I,MATCH(C361,当年标准成本!C:C,0),1),"")</f>
        <v/>
      </c>
      <c r="K361" s="146" t="str">
        <f t="shared" si="32"/>
        <v/>
      </c>
      <c r="L361" s="146" t="str">
        <f t="shared" si="33"/>
        <v/>
      </c>
      <c r="M361" s="148" t="str">
        <f t="shared" si="34"/>
        <v/>
      </c>
    </row>
    <row r="362" spans="1:13" x14ac:dyDescent="0.3">
      <c r="A362" s="149"/>
      <c r="B362" s="149"/>
      <c r="C362" s="149"/>
      <c r="D362" s="149"/>
      <c r="E362" s="149"/>
      <c r="F362" s="149"/>
      <c r="G362" s="162"/>
      <c r="H362" s="146" t="str">
        <f t="shared" si="30"/>
        <v/>
      </c>
      <c r="I362" s="161" t="str">
        <f t="shared" si="31"/>
        <v/>
      </c>
      <c r="J362" s="160" t="str">
        <f>IFERROR(INDEX(当年标准成本!I:I,MATCH(C362,当年标准成本!C:C,0),1),"")</f>
        <v/>
      </c>
      <c r="K362" s="146" t="str">
        <f t="shared" si="32"/>
        <v/>
      </c>
      <c r="L362" s="146" t="str">
        <f t="shared" si="33"/>
        <v/>
      </c>
      <c r="M362" s="148" t="str">
        <f t="shared" si="34"/>
        <v/>
      </c>
    </row>
    <row r="363" spans="1:13" x14ac:dyDescent="0.3">
      <c r="A363" s="149"/>
      <c r="B363" s="149"/>
      <c r="C363" s="149"/>
      <c r="D363" s="149"/>
      <c r="E363" s="149"/>
      <c r="F363" s="149"/>
      <c r="G363" s="162"/>
      <c r="H363" s="146" t="str">
        <f t="shared" si="30"/>
        <v/>
      </c>
      <c r="I363" s="161" t="str">
        <f t="shared" si="31"/>
        <v/>
      </c>
      <c r="J363" s="160" t="str">
        <f>IFERROR(INDEX(当年标准成本!I:I,MATCH(C363,当年标准成本!C:C,0),1),"")</f>
        <v/>
      </c>
      <c r="K363" s="146" t="str">
        <f t="shared" si="32"/>
        <v/>
      </c>
      <c r="L363" s="146" t="str">
        <f t="shared" si="33"/>
        <v/>
      </c>
      <c r="M363" s="148" t="str">
        <f t="shared" si="34"/>
        <v/>
      </c>
    </row>
    <row r="364" spans="1:13" x14ac:dyDescent="0.3">
      <c r="A364" s="149"/>
      <c r="B364" s="149"/>
      <c r="C364" s="149"/>
      <c r="D364" s="149"/>
      <c r="E364" s="149"/>
      <c r="F364" s="149"/>
      <c r="G364" s="162"/>
      <c r="H364" s="146" t="str">
        <f t="shared" si="30"/>
        <v/>
      </c>
      <c r="I364" s="161" t="str">
        <f t="shared" si="31"/>
        <v/>
      </c>
      <c r="J364" s="160" t="str">
        <f>IFERROR(INDEX(当年标准成本!I:I,MATCH(C364,当年标准成本!C:C,0),1),"")</f>
        <v/>
      </c>
      <c r="K364" s="146" t="str">
        <f t="shared" si="32"/>
        <v/>
      </c>
      <c r="L364" s="146" t="str">
        <f t="shared" si="33"/>
        <v/>
      </c>
      <c r="M364" s="148" t="str">
        <f t="shared" si="34"/>
        <v/>
      </c>
    </row>
    <row r="365" spans="1:13" x14ac:dyDescent="0.3">
      <c r="A365" s="149"/>
      <c r="B365" s="149"/>
      <c r="C365" s="149"/>
      <c r="D365" s="149"/>
      <c r="E365" s="149"/>
      <c r="F365" s="149"/>
      <c r="G365" s="162"/>
      <c r="H365" s="146" t="str">
        <f t="shared" si="30"/>
        <v/>
      </c>
      <c r="I365" s="161" t="str">
        <f t="shared" si="31"/>
        <v/>
      </c>
      <c r="J365" s="160" t="str">
        <f>IFERROR(INDEX(当年标准成本!I:I,MATCH(C365,当年标准成本!C:C,0),1),"")</f>
        <v/>
      </c>
      <c r="K365" s="146" t="str">
        <f t="shared" si="32"/>
        <v/>
      </c>
      <c r="L365" s="146" t="str">
        <f t="shared" si="33"/>
        <v/>
      </c>
      <c r="M365" s="148" t="str">
        <f t="shared" si="34"/>
        <v/>
      </c>
    </row>
    <row r="366" spans="1:13" x14ac:dyDescent="0.3">
      <c r="A366" s="149"/>
      <c r="B366" s="149"/>
      <c r="C366" s="149"/>
      <c r="D366" s="149"/>
      <c r="E366" s="149"/>
      <c r="F366" s="149"/>
      <c r="G366" s="162"/>
      <c r="H366" s="146" t="str">
        <f t="shared" si="30"/>
        <v/>
      </c>
      <c r="I366" s="161" t="str">
        <f t="shared" si="31"/>
        <v/>
      </c>
      <c r="J366" s="160" t="str">
        <f>IFERROR(INDEX(当年标准成本!I:I,MATCH(C366,当年标准成本!C:C,0),1),"")</f>
        <v/>
      </c>
      <c r="K366" s="146" t="str">
        <f t="shared" si="32"/>
        <v/>
      </c>
      <c r="L366" s="146" t="str">
        <f t="shared" si="33"/>
        <v/>
      </c>
      <c r="M366" s="148" t="str">
        <f t="shared" si="34"/>
        <v/>
      </c>
    </row>
    <row r="367" spans="1:13" x14ac:dyDescent="0.3">
      <c r="A367" s="149"/>
      <c r="B367" s="149"/>
      <c r="C367" s="149"/>
      <c r="D367" s="149"/>
      <c r="E367" s="149"/>
      <c r="F367" s="149"/>
      <c r="G367" s="162"/>
      <c r="H367" s="146" t="str">
        <f t="shared" si="30"/>
        <v/>
      </c>
      <c r="I367" s="161" t="str">
        <f t="shared" si="31"/>
        <v/>
      </c>
      <c r="J367" s="160" t="str">
        <f>IFERROR(INDEX(当年标准成本!I:I,MATCH(C367,当年标准成本!C:C,0),1),"")</f>
        <v/>
      </c>
      <c r="K367" s="146" t="str">
        <f t="shared" si="32"/>
        <v/>
      </c>
      <c r="L367" s="146" t="str">
        <f t="shared" si="33"/>
        <v/>
      </c>
      <c r="M367" s="148" t="str">
        <f t="shared" si="34"/>
        <v/>
      </c>
    </row>
    <row r="368" spans="1:13" x14ac:dyDescent="0.3">
      <c r="A368" s="149"/>
      <c r="B368" s="149"/>
      <c r="C368" s="149"/>
      <c r="D368" s="149"/>
      <c r="E368" s="149"/>
      <c r="F368" s="149"/>
      <c r="G368" s="162"/>
      <c r="H368" s="146" t="str">
        <f t="shared" si="30"/>
        <v/>
      </c>
      <c r="I368" s="161" t="str">
        <f t="shared" si="31"/>
        <v/>
      </c>
      <c r="J368" s="160" t="str">
        <f>IFERROR(INDEX(当年标准成本!I:I,MATCH(C368,当年标准成本!C:C,0),1),"")</f>
        <v/>
      </c>
      <c r="K368" s="146" t="str">
        <f t="shared" si="32"/>
        <v/>
      </c>
      <c r="L368" s="146" t="str">
        <f t="shared" si="33"/>
        <v/>
      </c>
      <c r="M368" s="148" t="str">
        <f t="shared" si="34"/>
        <v/>
      </c>
    </row>
    <row r="369" spans="1:13" x14ac:dyDescent="0.3">
      <c r="A369" s="149"/>
      <c r="B369" s="149"/>
      <c r="C369" s="149"/>
      <c r="D369" s="149"/>
      <c r="E369" s="149"/>
      <c r="F369" s="149"/>
      <c r="G369" s="162"/>
      <c r="H369" s="146" t="str">
        <f t="shared" si="30"/>
        <v/>
      </c>
      <c r="I369" s="161" t="str">
        <f t="shared" si="31"/>
        <v/>
      </c>
      <c r="J369" s="160" t="str">
        <f>IFERROR(INDEX(当年标准成本!I:I,MATCH(C369,当年标准成本!C:C,0),1),"")</f>
        <v/>
      </c>
      <c r="K369" s="146" t="str">
        <f t="shared" si="32"/>
        <v/>
      </c>
      <c r="L369" s="146" t="str">
        <f t="shared" si="33"/>
        <v/>
      </c>
      <c r="M369" s="148" t="str">
        <f t="shared" si="34"/>
        <v/>
      </c>
    </row>
    <row r="370" spans="1:13" x14ac:dyDescent="0.3">
      <c r="A370" s="149"/>
      <c r="B370" s="149"/>
      <c r="C370" s="149"/>
      <c r="D370" s="149"/>
      <c r="E370" s="149"/>
      <c r="F370" s="149"/>
      <c r="G370" s="162"/>
      <c r="H370" s="146" t="str">
        <f t="shared" si="30"/>
        <v/>
      </c>
      <c r="I370" s="161" t="str">
        <f t="shared" si="31"/>
        <v/>
      </c>
      <c r="J370" s="160" t="str">
        <f>IFERROR(INDEX(当年标准成本!I:I,MATCH(C370,当年标准成本!C:C,0),1),"")</f>
        <v/>
      </c>
      <c r="K370" s="146" t="str">
        <f t="shared" si="32"/>
        <v/>
      </c>
      <c r="L370" s="146" t="str">
        <f t="shared" si="33"/>
        <v/>
      </c>
      <c r="M370" s="148" t="str">
        <f t="shared" si="34"/>
        <v/>
      </c>
    </row>
    <row r="371" spans="1:13" x14ac:dyDescent="0.3">
      <c r="A371" s="149"/>
      <c r="B371" s="149"/>
      <c r="C371" s="149"/>
      <c r="D371" s="149"/>
      <c r="E371" s="149"/>
      <c r="F371" s="149"/>
      <c r="G371" s="162"/>
      <c r="H371" s="146" t="str">
        <f t="shared" si="30"/>
        <v/>
      </c>
      <c r="I371" s="161" t="str">
        <f t="shared" si="31"/>
        <v/>
      </c>
      <c r="J371" s="160" t="str">
        <f>IFERROR(INDEX(当年标准成本!I:I,MATCH(C371,当年标准成本!C:C,0),1),"")</f>
        <v/>
      </c>
      <c r="K371" s="146" t="str">
        <f t="shared" si="32"/>
        <v/>
      </c>
      <c r="L371" s="146" t="str">
        <f t="shared" si="33"/>
        <v/>
      </c>
      <c r="M371" s="148" t="str">
        <f t="shared" si="34"/>
        <v/>
      </c>
    </row>
    <row r="372" spans="1:13" x14ac:dyDescent="0.3">
      <c r="A372" s="149"/>
      <c r="B372" s="149"/>
      <c r="C372" s="149"/>
      <c r="D372" s="149"/>
      <c r="E372" s="149"/>
      <c r="F372" s="149"/>
      <c r="G372" s="162"/>
      <c r="H372" s="146" t="str">
        <f t="shared" si="30"/>
        <v/>
      </c>
      <c r="I372" s="161" t="str">
        <f t="shared" si="31"/>
        <v/>
      </c>
      <c r="J372" s="160" t="str">
        <f>IFERROR(INDEX(当年标准成本!I:I,MATCH(C372,当年标准成本!C:C,0),1),"")</f>
        <v/>
      </c>
      <c r="K372" s="146" t="str">
        <f t="shared" si="32"/>
        <v/>
      </c>
      <c r="L372" s="146" t="str">
        <f t="shared" si="33"/>
        <v/>
      </c>
      <c r="M372" s="148" t="str">
        <f t="shared" si="34"/>
        <v/>
      </c>
    </row>
    <row r="373" spans="1:13" x14ac:dyDescent="0.3">
      <c r="A373" s="149"/>
      <c r="B373" s="149"/>
      <c r="C373" s="149"/>
      <c r="D373" s="149"/>
      <c r="E373" s="149"/>
      <c r="F373" s="149"/>
      <c r="G373" s="162"/>
      <c r="H373" s="146" t="str">
        <f t="shared" si="30"/>
        <v/>
      </c>
      <c r="I373" s="161" t="str">
        <f t="shared" si="31"/>
        <v/>
      </c>
      <c r="J373" s="160" t="str">
        <f>IFERROR(INDEX(当年标准成本!I:I,MATCH(C373,当年标准成本!C:C,0),1),"")</f>
        <v/>
      </c>
      <c r="K373" s="146" t="str">
        <f t="shared" si="32"/>
        <v/>
      </c>
      <c r="L373" s="146" t="str">
        <f t="shared" si="33"/>
        <v/>
      </c>
      <c r="M373" s="148" t="str">
        <f t="shared" si="34"/>
        <v/>
      </c>
    </row>
    <row r="374" spans="1:13" x14ac:dyDescent="0.3">
      <c r="A374" s="149"/>
      <c r="B374" s="149"/>
      <c r="C374" s="149"/>
      <c r="D374" s="149"/>
      <c r="E374" s="149"/>
      <c r="F374" s="149"/>
      <c r="G374" s="162"/>
      <c r="H374" s="146" t="str">
        <f t="shared" si="30"/>
        <v/>
      </c>
      <c r="I374" s="161" t="str">
        <f t="shared" si="31"/>
        <v/>
      </c>
      <c r="J374" s="160" t="str">
        <f>IFERROR(INDEX(当年标准成本!I:I,MATCH(C374,当年标准成本!C:C,0),1),"")</f>
        <v/>
      </c>
      <c r="K374" s="146" t="str">
        <f t="shared" si="32"/>
        <v/>
      </c>
      <c r="L374" s="146" t="str">
        <f t="shared" si="33"/>
        <v/>
      </c>
      <c r="M374" s="148" t="str">
        <f t="shared" si="34"/>
        <v/>
      </c>
    </row>
    <row r="375" spans="1:13" x14ac:dyDescent="0.3">
      <c r="A375" s="149"/>
      <c r="B375" s="149"/>
      <c r="C375" s="149"/>
      <c r="D375" s="149"/>
      <c r="E375" s="149"/>
      <c r="F375" s="149"/>
      <c r="G375" s="162"/>
      <c r="H375" s="146" t="str">
        <f t="shared" si="30"/>
        <v/>
      </c>
      <c r="I375" s="161" t="str">
        <f t="shared" si="31"/>
        <v/>
      </c>
      <c r="J375" s="160" t="str">
        <f>IFERROR(INDEX(当年标准成本!I:I,MATCH(C375,当年标准成本!C:C,0),1),"")</f>
        <v/>
      </c>
      <c r="K375" s="146" t="str">
        <f t="shared" si="32"/>
        <v/>
      </c>
      <c r="L375" s="146" t="str">
        <f t="shared" si="33"/>
        <v/>
      </c>
      <c r="M375" s="148" t="str">
        <f t="shared" si="34"/>
        <v/>
      </c>
    </row>
    <row r="376" spans="1:13" x14ac:dyDescent="0.3">
      <c r="A376" s="149"/>
      <c r="B376" s="149"/>
      <c r="C376" s="149"/>
      <c r="D376" s="149"/>
      <c r="E376" s="149"/>
      <c r="F376" s="149"/>
      <c r="G376" s="162"/>
      <c r="H376" s="146" t="str">
        <f t="shared" si="30"/>
        <v/>
      </c>
      <c r="I376" s="161" t="str">
        <f t="shared" si="31"/>
        <v/>
      </c>
      <c r="J376" s="160" t="str">
        <f>IFERROR(INDEX(当年标准成本!I:I,MATCH(C376,当年标准成本!C:C,0),1),"")</f>
        <v/>
      </c>
      <c r="K376" s="146" t="str">
        <f t="shared" si="32"/>
        <v/>
      </c>
      <c r="L376" s="146" t="str">
        <f t="shared" si="33"/>
        <v/>
      </c>
      <c r="M376" s="148" t="str">
        <f t="shared" si="34"/>
        <v/>
      </c>
    </row>
    <row r="377" spans="1:13" x14ac:dyDescent="0.3">
      <c r="A377" s="149"/>
      <c r="B377" s="149"/>
      <c r="C377" s="149"/>
      <c r="D377" s="149"/>
      <c r="E377" s="149"/>
      <c r="F377" s="149"/>
      <c r="G377" s="162"/>
      <c r="H377" s="146" t="str">
        <f t="shared" si="30"/>
        <v/>
      </c>
      <c r="I377" s="161" t="str">
        <f t="shared" si="31"/>
        <v/>
      </c>
      <c r="J377" s="160" t="str">
        <f>IFERROR(INDEX(当年标准成本!I:I,MATCH(C377,当年标准成本!C:C,0),1),"")</f>
        <v/>
      </c>
      <c r="K377" s="146" t="str">
        <f t="shared" si="32"/>
        <v/>
      </c>
      <c r="L377" s="146" t="str">
        <f t="shared" si="33"/>
        <v/>
      </c>
      <c r="M377" s="148" t="str">
        <f t="shared" si="34"/>
        <v/>
      </c>
    </row>
    <row r="378" spans="1:13" x14ac:dyDescent="0.3">
      <c r="A378" s="149"/>
      <c r="B378" s="149"/>
      <c r="C378" s="149"/>
      <c r="D378" s="149"/>
      <c r="E378" s="149"/>
      <c r="F378" s="149"/>
      <c r="G378" s="162"/>
      <c r="H378" s="146" t="str">
        <f t="shared" si="30"/>
        <v/>
      </c>
      <c r="I378" s="161" t="str">
        <f t="shared" si="31"/>
        <v/>
      </c>
      <c r="J378" s="160" t="str">
        <f>IFERROR(INDEX(当年标准成本!I:I,MATCH(C378,当年标准成本!C:C,0),1),"")</f>
        <v/>
      </c>
      <c r="K378" s="146" t="str">
        <f t="shared" si="32"/>
        <v/>
      </c>
      <c r="L378" s="146" t="str">
        <f t="shared" si="33"/>
        <v/>
      </c>
      <c r="M378" s="148" t="str">
        <f t="shared" si="34"/>
        <v/>
      </c>
    </row>
    <row r="379" spans="1:13" x14ac:dyDescent="0.3">
      <c r="A379" s="149"/>
      <c r="B379" s="149"/>
      <c r="C379" s="149"/>
      <c r="D379" s="149"/>
      <c r="E379" s="149"/>
      <c r="F379" s="149"/>
      <c r="G379" s="162"/>
      <c r="H379" s="146" t="str">
        <f t="shared" si="30"/>
        <v/>
      </c>
      <c r="I379" s="161" t="str">
        <f t="shared" si="31"/>
        <v/>
      </c>
      <c r="J379" s="160" t="str">
        <f>IFERROR(INDEX(当年标准成本!I:I,MATCH(C379,当年标准成本!C:C,0),1),"")</f>
        <v/>
      </c>
      <c r="K379" s="146" t="str">
        <f t="shared" si="32"/>
        <v/>
      </c>
      <c r="L379" s="146" t="str">
        <f t="shared" si="33"/>
        <v/>
      </c>
      <c r="M379" s="148" t="str">
        <f t="shared" si="34"/>
        <v/>
      </c>
    </row>
    <row r="380" spans="1:13" x14ac:dyDescent="0.3">
      <c r="A380" s="149"/>
      <c r="B380" s="149"/>
      <c r="C380" s="149"/>
      <c r="D380" s="149"/>
      <c r="E380" s="149"/>
      <c r="F380" s="149"/>
      <c r="G380" s="162"/>
      <c r="H380" s="146" t="str">
        <f t="shared" si="30"/>
        <v/>
      </c>
      <c r="I380" s="161" t="str">
        <f t="shared" si="31"/>
        <v/>
      </c>
      <c r="J380" s="160" t="str">
        <f>IFERROR(INDEX(当年标准成本!I:I,MATCH(C380,当年标准成本!C:C,0),1),"")</f>
        <v/>
      </c>
      <c r="K380" s="146" t="str">
        <f t="shared" si="32"/>
        <v/>
      </c>
      <c r="L380" s="146" t="str">
        <f t="shared" si="33"/>
        <v/>
      </c>
      <c r="M380" s="148" t="str">
        <f t="shared" si="34"/>
        <v/>
      </c>
    </row>
    <row r="381" spans="1:13" x14ac:dyDescent="0.3">
      <c r="A381" s="149"/>
      <c r="B381" s="149"/>
      <c r="C381" s="149"/>
      <c r="D381" s="149"/>
      <c r="E381" s="149"/>
      <c r="F381" s="149"/>
      <c r="G381" s="162"/>
      <c r="H381" s="146" t="str">
        <f t="shared" si="30"/>
        <v/>
      </c>
      <c r="I381" s="161" t="str">
        <f t="shared" si="31"/>
        <v/>
      </c>
      <c r="J381" s="160" t="str">
        <f>IFERROR(INDEX(当年标准成本!I:I,MATCH(C381,当年标准成本!C:C,0),1),"")</f>
        <v/>
      </c>
      <c r="K381" s="146" t="str">
        <f t="shared" si="32"/>
        <v/>
      </c>
      <c r="L381" s="146" t="str">
        <f t="shared" si="33"/>
        <v/>
      </c>
      <c r="M381" s="148" t="str">
        <f t="shared" si="34"/>
        <v/>
      </c>
    </row>
    <row r="382" spans="1:13" x14ac:dyDescent="0.3">
      <c r="A382" s="149"/>
      <c r="B382" s="149"/>
      <c r="C382" s="149"/>
      <c r="D382" s="149"/>
      <c r="E382" s="149"/>
      <c r="F382" s="149"/>
      <c r="G382" s="162"/>
      <c r="H382" s="146" t="str">
        <f t="shared" si="30"/>
        <v/>
      </c>
      <c r="I382" s="161" t="str">
        <f t="shared" si="31"/>
        <v/>
      </c>
      <c r="J382" s="160" t="str">
        <f>IFERROR(INDEX(当年标准成本!I:I,MATCH(C382,当年标准成本!C:C,0),1),"")</f>
        <v/>
      </c>
      <c r="K382" s="146" t="str">
        <f t="shared" si="32"/>
        <v/>
      </c>
      <c r="L382" s="146" t="str">
        <f t="shared" si="33"/>
        <v/>
      </c>
      <c r="M382" s="148" t="str">
        <f t="shared" si="34"/>
        <v/>
      </c>
    </row>
    <row r="383" spans="1:13" x14ac:dyDescent="0.3">
      <c r="A383" s="149"/>
      <c r="B383" s="149"/>
      <c r="C383" s="149"/>
      <c r="D383" s="149"/>
      <c r="E383" s="149"/>
      <c r="F383" s="149"/>
      <c r="G383" s="162"/>
      <c r="H383" s="146" t="str">
        <f t="shared" si="30"/>
        <v/>
      </c>
      <c r="I383" s="161" t="str">
        <f t="shared" si="31"/>
        <v/>
      </c>
      <c r="J383" s="160" t="str">
        <f>IFERROR(INDEX(当年标准成本!I:I,MATCH(C383,当年标准成本!C:C,0),1),"")</f>
        <v/>
      </c>
      <c r="K383" s="146" t="str">
        <f t="shared" si="32"/>
        <v/>
      </c>
      <c r="L383" s="146" t="str">
        <f t="shared" si="33"/>
        <v/>
      </c>
      <c r="M383" s="148" t="str">
        <f t="shared" si="34"/>
        <v/>
      </c>
    </row>
    <row r="384" spans="1:13" x14ac:dyDescent="0.3">
      <c r="A384" s="149"/>
      <c r="B384" s="149"/>
      <c r="C384" s="149"/>
      <c r="D384" s="149"/>
      <c r="E384" s="149"/>
      <c r="F384" s="149"/>
      <c r="G384" s="162"/>
      <c r="H384" s="146" t="str">
        <f t="shared" si="30"/>
        <v/>
      </c>
      <c r="I384" s="161" t="str">
        <f t="shared" si="31"/>
        <v/>
      </c>
      <c r="J384" s="160" t="str">
        <f>IFERROR(INDEX(当年标准成本!I:I,MATCH(C384,当年标准成本!C:C,0),1),"")</f>
        <v/>
      </c>
      <c r="K384" s="146" t="str">
        <f t="shared" si="32"/>
        <v/>
      </c>
      <c r="L384" s="146" t="str">
        <f t="shared" si="33"/>
        <v/>
      </c>
      <c r="M384" s="148" t="str">
        <f t="shared" si="34"/>
        <v/>
      </c>
    </row>
    <row r="385" spans="1:13" x14ac:dyDescent="0.3">
      <c r="A385" s="149"/>
      <c r="B385" s="149"/>
      <c r="C385" s="149"/>
      <c r="D385" s="149"/>
      <c r="E385" s="149"/>
      <c r="F385" s="149"/>
      <c r="G385" s="162"/>
      <c r="H385" s="146" t="str">
        <f t="shared" si="30"/>
        <v/>
      </c>
      <c r="I385" s="161" t="str">
        <f t="shared" si="31"/>
        <v/>
      </c>
      <c r="J385" s="160" t="str">
        <f>IFERROR(INDEX(当年标准成本!I:I,MATCH(C385,当年标准成本!C:C,0),1),"")</f>
        <v/>
      </c>
      <c r="K385" s="146" t="str">
        <f t="shared" si="32"/>
        <v/>
      </c>
      <c r="L385" s="146" t="str">
        <f t="shared" si="33"/>
        <v/>
      </c>
      <c r="M385" s="148" t="str">
        <f t="shared" si="34"/>
        <v/>
      </c>
    </row>
    <row r="386" spans="1:13" x14ac:dyDescent="0.3">
      <c r="A386" s="149"/>
      <c r="B386" s="149"/>
      <c r="C386" s="149"/>
      <c r="D386" s="149"/>
      <c r="E386" s="149"/>
      <c r="F386" s="149"/>
      <c r="G386" s="162"/>
      <c r="H386" s="146" t="str">
        <f t="shared" si="30"/>
        <v/>
      </c>
      <c r="I386" s="161" t="str">
        <f t="shared" si="31"/>
        <v/>
      </c>
      <c r="J386" s="160" t="str">
        <f>IFERROR(INDEX(当年标准成本!I:I,MATCH(C386,当年标准成本!C:C,0),1),"")</f>
        <v/>
      </c>
      <c r="K386" s="146" t="str">
        <f t="shared" si="32"/>
        <v/>
      </c>
      <c r="L386" s="146" t="str">
        <f t="shared" si="33"/>
        <v/>
      </c>
      <c r="M386" s="148" t="str">
        <f t="shared" si="34"/>
        <v/>
      </c>
    </row>
    <row r="387" spans="1:13" x14ac:dyDescent="0.3">
      <c r="A387" s="149"/>
      <c r="B387" s="149"/>
      <c r="C387" s="149"/>
      <c r="D387" s="149"/>
      <c r="E387" s="149"/>
      <c r="F387" s="149"/>
      <c r="G387" s="162"/>
      <c r="H387" s="146" t="str">
        <f t="shared" si="30"/>
        <v/>
      </c>
      <c r="I387" s="161" t="str">
        <f t="shared" si="31"/>
        <v/>
      </c>
      <c r="J387" s="160" t="str">
        <f>IFERROR(INDEX(当年标准成本!I:I,MATCH(C387,当年标准成本!C:C,0),1),"")</f>
        <v/>
      </c>
      <c r="K387" s="146" t="str">
        <f t="shared" si="32"/>
        <v/>
      </c>
      <c r="L387" s="146" t="str">
        <f t="shared" si="33"/>
        <v/>
      </c>
      <c r="M387" s="148" t="str">
        <f t="shared" si="34"/>
        <v/>
      </c>
    </row>
    <row r="388" spans="1:13" x14ac:dyDescent="0.3">
      <c r="A388" s="149"/>
      <c r="B388" s="149"/>
      <c r="C388" s="149"/>
      <c r="D388" s="149"/>
      <c r="E388" s="149"/>
      <c r="F388" s="149"/>
      <c r="G388" s="162"/>
      <c r="H388" s="146" t="str">
        <f t="shared" si="30"/>
        <v/>
      </c>
      <c r="I388" s="161" t="str">
        <f t="shared" si="31"/>
        <v/>
      </c>
      <c r="J388" s="160" t="str">
        <f>IFERROR(INDEX(当年标准成本!I:I,MATCH(C388,当年标准成本!C:C,0),1),"")</f>
        <v/>
      </c>
      <c r="K388" s="146" t="str">
        <f t="shared" si="32"/>
        <v/>
      </c>
      <c r="L388" s="146" t="str">
        <f t="shared" si="33"/>
        <v/>
      </c>
      <c r="M388" s="148" t="str">
        <f t="shared" si="34"/>
        <v/>
      </c>
    </row>
    <row r="389" spans="1:13" x14ac:dyDescent="0.3">
      <c r="A389" s="149"/>
      <c r="B389" s="149"/>
      <c r="C389" s="149"/>
      <c r="D389" s="149"/>
      <c r="E389" s="149"/>
      <c r="F389" s="149"/>
      <c r="G389" s="162"/>
      <c r="H389" s="146" t="str">
        <f t="shared" si="30"/>
        <v/>
      </c>
      <c r="I389" s="161" t="str">
        <f t="shared" si="31"/>
        <v/>
      </c>
      <c r="J389" s="160" t="str">
        <f>IFERROR(INDEX(当年标准成本!I:I,MATCH(C389,当年标准成本!C:C,0),1),"")</f>
        <v/>
      </c>
      <c r="K389" s="146" t="str">
        <f t="shared" si="32"/>
        <v/>
      </c>
      <c r="L389" s="146" t="str">
        <f t="shared" si="33"/>
        <v/>
      </c>
      <c r="M389" s="148" t="str">
        <f t="shared" si="34"/>
        <v/>
      </c>
    </row>
    <row r="390" spans="1:13" x14ac:dyDescent="0.3">
      <c r="A390" s="149"/>
      <c r="B390" s="149"/>
      <c r="C390" s="149"/>
      <c r="D390" s="149"/>
      <c r="E390" s="149"/>
      <c r="F390" s="149"/>
      <c r="G390" s="162"/>
      <c r="H390" s="146" t="str">
        <f t="shared" si="30"/>
        <v/>
      </c>
      <c r="I390" s="161" t="str">
        <f t="shared" si="31"/>
        <v/>
      </c>
      <c r="J390" s="160" t="str">
        <f>IFERROR(INDEX(当年标准成本!I:I,MATCH(C390,当年标准成本!C:C,0),1),"")</f>
        <v/>
      </c>
      <c r="K390" s="146" t="str">
        <f t="shared" si="32"/>
        <v/>
      </c>
      <c r="L390" s="146" t="str">
        <f t="shared" si="33"/>
        <v/>
      </c>
      <c r="M390" s="148" t="str">
        <f t="shared" si="34"/>
        <v/>
      </c>
    </row>
    <row r="391" spans="1:13" x14ac:dyDescent="0.3">
      <c r="A391" s="149"/>
      <c r="B391" s="149"/>
      <c r="C391" s="149"/>
      <c r="D391" s="149"/>
      <c r="E391" s="149"/>
      <c r="F391" s="149"/>
      <c r="G391" s="162"/>
      <c r="H391" s="146" t="str">
        <f t="shared" si="30"/>
        <v/>
      </c>
      <c r="I391" s="161" t="str">
        <f t="shared" si="31"/>
        <v/>
      </c>
      <c r="J391" s="160" t="str">
        <f>IFERROR(INDEX(当年标准成本!I:I,MATCH(C391,当年标准成本!C:C,0),1),"")</f>
        <v/>
      </c>
      <c r="K391" s="146" t="str">
        <f t="shared" si="32"/>
        <v/>
      </c>
      <c r="L391" s="146" t="str">
        <f t="shared" si="33"/>
        <v/>
      </c>
      <c r="M391" s="148" t="str">
        <f t="shared" si="34"/>
        <v/>
      </c>
    </row>
    <row r="392" spans="1:13" x14ac:dyDescent="0.3">
      <c r="A392" s="149"/>
      <c r="B392" s="149"/>
      <c r="C392" s="149"/>
      <c r="D392" s="149"/>
      <c r="E392" s="149"/>
      <c r="F392" s="149"/>
      <c r="G392" s="162"/>
      <c r="H392" s="146" t="str">
        <f t="shared" si="30"/>
        <v/>
      </c>
      <c r="I392" s="161" t="str">
        <f t="shared" si="31"/>
        <v/>
      </c>
      <c r="J392" s="160" t="str">
        <f>IFERROR(INDEX(当年标准成本!I:I,MATCH(C392,当年标准成本!C:C,0),1),"")</f>
        <v/>
      </c>
      <c r="K392" s="146" t="str">
        <f t="shared" si="32"/>
        <v/>
      </c>
      <c r="L392" s="146" t="str">
        <f t="shared" si="33"/>
        <v/>
      </c>
      <c r="M392" s="148" t="str">
        <f t="shared" si="34"/>
        <v/>
      </c>
    </row>
    <row r="393" spans="1:13" x14ac:dyDescent="0.3">
      <c r="A393" s="149"/>
      <c r="B393" s="149"/>
      <c r="C393" s="149"/>
      <c r="D393" s="149"/>
      <c r="E393" s="149"/>
      <c r="F393" s="149"/>
      <c r="G393" s="162"/>
      <c r="H393" s="146" t="str">
        <f t="shared" si="30"/>
        <v/>
      </c>
      <c r="I393" s="161" t="str">
        <f t="shared" si="31"/>
        <v/>
      </c>
      <c r="J393" s="160" t="str">
        <f>IFERROR(INDEX(当年标准成本!I:I,MATCH(C393,当年标准成本!C:C,0),1),"")</f>
        <v/>
      </c>
      <c r="K393" s="146" t="str">
        <f t="shared" si="32"/>
        <v/>
      </c>
      <c r="L393" s="146" t="str">
        <f t="shared" si="33"/>
        <v/>
      </c>
      <c r="M393" s="148" t="str">
        <f t="shared" si="34"/>
        <v/>
      </c>
    </row>
    <row r="394" spans="1:13" x14ac:dyDescent="0.3">
      <c r="A394" s="149"/>
      <c r="B394" s="149"/>
      <c r="C394" s="149"/>
      <c r="D394" s="149"/>
      <c r="E394" s="149"/>
      <c r="F394" s="149"/>
      <c r="G394" s="162"/>
      <c r="H394" s="146" t="str">
        <f t="shared" si="30"/>
        <v/>
      </c>
      <c r="I394" s="161" t="str">
        <f t="shared" si="31"/>
        <v/>
      </c>
      <c r="J394" s="160" t="str">
        <f>IFERROR(INDEX(当年标准成本!I:I,MATCH(C394,当年标准成本!C:C,0),1),"")</f>
        <v/>
      </c>
      <c r="K394" s="146" t="str">
        <f t="shared" si="32"/>
        <v/>
      </c>
      <c r="L394" s="146" t="str">
        <f t="shared" si="33"/>
        <v/>
      </c>
      <c r="M394" s="148" t="str">
        <f t="shared" si="34"/>
        <v/>
      </c>
    </row>
    <row r="395" spans="1:13" x14ac:dyDescent="0.3">
      <c r="A395" s="149"/>
      <c r="B395" s="149"/>
      <c r="C395" s="149"/>
      <c r="D395" s="149"/>
      <c r="E395" s="149"/>
      <c r="F395" s="149"/>
      <c r="G395" s="162"/>
      <c r="H395" s="146" t="str">
        <f t="shared" si="30"/>
        <v/>
      </c>
      <c r="I395" s="161" t="str">
        <f t="shared" si="31"/>
        <v/>
      </c>
      <c r="J395" s="160" t="str">
        <f>IFERROR(INDEX(当年标准成本!I:I,MATCH(C395,当年标准成本!C:C,0),1),"")</f>
        <v/>
      </c>
      <c r="K395" s="146" t="str">
        <f t="shared" si="32"/>
        <v/>
      </c>
      <c r="L395" s="146" t="str">
        <f t="shared" si="33"/>
        <v/>
      </c>
      <c r="M395" s="148" t="str">
        <f t="shared" si="34"/>
        <v/>
      </c>
    </row>
    <row r="396" spans="1:13" x14ac:dyDescent="0.3">
      <c r="A396" s="149"/>
      <c r="B396" s="149"/>
      <c r="C396" s="149"/>
      <c r="D396" s="149"/>
      <c r="E396" s="149"/>
      <c r="F396" s="149"/>
      <c r="G396" s="162"/>
      <c r="H396" s="146" t="str">
        <f t="shared" ref="H396:H459" si="35">IFERROR(F396/E396,"")</f>
        <v/>
      </c>
      <c r="I396" s="161" t="str">
        <f t="shared" ref="I396:I459" si="36">IFERROR(H396*(1+G396),"")</f>
        <v/>
      </c>
      <c r="J396" s="160" t="str">
        <f>IFERROR(INDEX(当年标准成本!I:I,MATCH(C396,当年标准成本!C:C,0),1),"")</f>
        <v/>
      </c>
      <c r="K396" s="146" t="str">
        <f t="shared" ref="K396:K459" si="37">IFERROR(E396*J396,"")</f>
        <v/>
      </c>
      <c r="L396" s="146" t="str">
        <f t="shared" ref="L396:L459" si="38">IFERROR(F396-K396,"")</f>
        <v/>
      </c>
      <c r="M396" s="148" t="str">
        <f t="shared" ref="M396:M459" si="39">IFERROR(L396/F396,"")</f>
        <v/>
      </c>
    </row>
    <row r="397" spans="1:13" x14ac:dyDescent="0.3">
      <c r="A397" s="149"/>
      <c r="B397" s="149"/>
      <c r="C397" s="149"/>
      <c r="D397" s="149"/>
      <c r="E397" s="149"/>
      <c r="F397" s="149"/>
      <c r="G397" s="162"/>
      <c r="H397" s="146" t="str">
        <f t="shared" si="35"/>
        <v/>
      </c>
      <c r="I397" s="161" t="str">
        <f t="shared" si="36"/>
        <v/>
      </c>
      <c r="J397" s="160" t="str">
        <f>IFERROR(INDEX(当年标准成本!I:I,MATCH(C397,当年标准成本!C:C,0),1),"")</f>
        <v/>
      </c>
      <c r="K397" s="146" t="str">
        <f t="shared" si="37"/>
        <v/>
      </c>
      <c r="L397" s="146" t="str">
        <f t="shared" si="38"/>
        <v/>
      </c>
      <c r="M397" s="148" t="str">
        <f t="shared" si="39"/>
        <v/>
      </c>
    </row>
    <row r="398" spans="1:13" x14ac:dyDescent="0.3">
      <c r="A398" s="149"/>
      <c r="B398" s="149"/>
      <c r="C398" s="149"/>
      <c r="D398" s="149"/>
      <c r="E398" s="149"/>
      <c r="F398" s="149"/>
      <c r="G398" s="162"/>
      <c r="H398" s="146" t="str">
        <f t="shared" si="35"/>
        <v/>
      </c>
      <c r="I398" s="161" t="str">
        <f t="shared" si="36"/>
        <v/>
      </c>
      <c r="J398" s="160" t="str">
        <f>IFERROR(INDEX(当年标准成本!I:I,MATCH(C398,当年标准成本!C:C,0),1),"")</f>
        <v/>
      </c>
      <c r="K398" s="146" t="str">
        <f t="shared" si="37"/>
        <v/>
      </c>
      <c r="L398" s="146" t="str">
        <f t="shared" si="38"/>
        <v/>
      </c>
      <c r="M398" s="148" t="str">
        <f t="shared" si="39"/>
        <v/>
      </c>
    </row>
    <row r="399" spans="1:13" x14ac:dyDescent="0.3">
      <c r="A399" s="149"/>
      <c r="B399" s="149"/>
      <c r="C399" s="149"/>
      <c r="D399" s="149"/>
      <c r="E399" s="149"/>
      <c r="F399" s="149"/>
      <c r="G399" s="162"/>
      <c r="H399" s="146" t="str">
        <f t="shared" si="35"/>
        <v/>
      </c>
      <c r="I399" s="161" t="str">
        <f t="shared" si="36"/>
        <v/>
      </c>
      <c r="J399" s="160" t="str">
        <f>IFERROR(INDEX(当年标准成本!I:I,MATCH(C399,当年标准成本!C:C,0),1),"")</f>
        <v/>
      </c>
      <c r="K399" s="146" t="str">
        <f t="shared" si="37"/>
        <v/>
      </c>
      <c r="L399" s="146" t="str">
        <f t="shared" si="38"/>
        <v/>
      </c>
      <c r="M399" s="148" t="str">
        <f t="shared" si="39"/>
        <v/>
      </c>
    </row>
    <row r="400" spans="1:13" x14ac:dyDescent="0.3">
      <c r="A400" s="149"/>
      <c r="B400" s="149"/>
      <c r="C400" s="149"/>
      <c r="D400" s="149"/>
      <c r="E400" s="149"/>
      <c r="F400" s="149"/>
      <c r="G400" s="162"/>
      <c r="H400" s="146" t="str">
        <f t="shared" si="35"/>
        <v/>
      </c>
      <c r="I400" s="161" t="str">
        <f t="shared" si="36"/>
        <v/>
      </c>
      <c r="J400" s="160" t="str">
        <f>IFERROR(INDEX(当年标准成本!I:I,MATCH(C400,当年标准成本!C:C,0),1),"")</f>
        <v/>
      </c>
      <c r="K400" s="146" t="str">
        <f t="shared" si="37"/>
        <v/>
      </c>
      <c r="L400" s="146" t="str">
        <f t="shared" si="38"/>
        <v/>
      </c>
      <c r="M400" s="148" t="str">
        <f t="shared" si="39"/>
        <v/>
      </c>
    </row>
    <row r="401" spans="1:13" x14ac:dyDescent="0.3">
      <c r="A401" s="149"/>
      <c r="B401" s="149"/>
      <c r="C401" s="149"/>
      <c r="D401" s="149"/>
      <c r="E401" s="149"/>
      <c r="F401" s="149"/>
      <c r="G401" s="162"/>
      <c r="H401" s="146" t="str">
        <f t="shared" si="35"/>
        <v/>
      </c>
      <c r="I401" s="161" t="str">
        <f t="shared" si="36"/>
        <v/>
      </c>
      <c r="J401" s="160" t="str">
        <f>IFERROR(INDEX(当年标准成本!I:I,MATCH(C401,当年标准成本!C:C,0),1),"")</f>
        <v/>
      </c>
      <c r="K401" s="146" t="str">
        <f t="shared" si="37"/>
        <v/>
      </c>
      <c r="L401" s="146" t="str">
        <f t="shared" si="38"/>
        <v/>
      </c>
      <c r="M401" s="148" t="str">
        <f t="shared" si="39"/>
        <v/>
      </c>
    </row>
    <row r="402" spans="1:13" x14ac:dyDescent="0.3">
      <c r="A402" s="149"/>
      <c r="B402" s="149"/>
      <c r="C402" s="149"/>
      <c r="D402" s="149"/>
      <c r="E402" s="149"/>
      <c r="F402" s="149"/>
      <c r="G402" s="162"/>
      <c r="H402" s="146" t="str">
        <f t="shared" si="35"/>
        <v/>
      </c>
      <c r="I402" s="161" t="str">
        <f t="shared" si="36"/>
        <v/>
      </c>
      <c r="J402" s="160" t="str">
        <f>IFERROR(INDEX(当年标准成本!I:I,MATCH(C402,当年标准成本!C:C,0),1),"")</f>
        <v/>
      </c>
      <c r="K402" s="146" t="str">
        <f t="shared" si="37"/>
        <v/>
      </c>
      <c r="L402" s="146" t="str">
        <f t="shared" si="38"/>
        <v/>
      </c>
      <c r="M402" s="148" t="str">
        <f t="shared" si="39"/>
        <v/>
      </c>
    </row>
    <row r="403" spans="1:13" x14ac:dyDescent="0.3">
      <c r="A403" s="149"/>
      <c r="B403" s="149"/>
      <c r="C403" s="149"/>
      <c r="D403" s="149"/>
      <c r="E403" s="149"/>
      <c r="F403" s="149"/>
      <c r="G403" s="162"/>
      <c r="H403" s="146" t="str">
        <f t="shared" si="35"/>
        <v/>
      </c>
      <c r="I403" s="161" t="str">
        <f t="shared" si="36"/>
        <v/>
      </c>
      <c r="J403" s="160" t="str">
        <f>IFERROR(INDEX(当年标准成本!I:I,MATCH(C403,当年标准成本!C:C,0),1),"")</f>
        <v/>
      </c>
      <c r="K403" s="146" t="str">
        <f t="shared" si="37"/>
        <v/>
      </c>
      <c r="L403" s="146" t="str">
        <f t="shared" si="38"/>
        <v/>
      </c>
      <c r="M403" s="148" t="str">
        <f t="shared" si="39"/>
        <v/>
      </c>
    </row>
    <row r="404" spans="1:13" x14ac:dyDescent="0.3">
      <c r="A404" s="149"/>
      <c r="B404" s="149"/>
      <c r="C404" s="149"/>
      <c r="D404" s="149"/>
      <c r="E404" s="149"/>
      <c r="F404" s="149"/>
      <c r="G404" s="162"/>
      <c r="H404" s="146" t="str">
        <f t="shared" si="35"/>
        <v/>
      </c>
      <c r="I404" s="161" t="str">
        <f t="shared" si="36"/>
        <v/>
      </c>
      <c r="J404" s="160" t="str">
        <f>IFERROR(INDEX(当年标准成本!I:I,MATCH(C404,当年标准成本!C:C,0),1),"")</f>
        <v/>
      </c>
      <c r="K404" s="146" t="str">
        <f t="shared" si="37"/>
        <v/>
      </c>
      <c r="L404" s="146" t="str">
        <f t="shared" si="38"/>
        <v/>
      </c>
      <c r="M404" s="148" t="str">
        <f t="shared" si="39"/>
        <v/>
      </c>
    </row>
    <row r="405" spans="1:13" x14ac:dyDescent="0.3">
      <c r="A405" s="149"/>
      <c r="B405" s="149"/>
      <c r="C405" s="149"/>
      <c r="D405" s="149"/>
      <c r="E405" s="149"/>
      <c r="F405" s="149"/>
      <c r="G405" s="162"/>
      <c r="H405" s="146" t="str">
        <f t="shared" si="35"/>
        <v/>
      </c>
      <c r="I405" s="161" t="str">
        <f t="shared" si="36"/>
        <v/>
      </c>
      <c r="J405" s="160" t="str">
        <f>IFERROR(INDEX(当年标准成本!I:I,MATCH(C405,当年标准成本!C:C,0),1),"")</f>
        <v/>
      </c>
      <c r="K405" s="146" t="str">
        <f t="shared" si="37"/>
        <v/>
      </c>
      <c r="L405" s="146" t="str">
        <f t="shared" si="38"/>
        <v/>
      </c>
      <c r="M405" s="148" t="str">
        <f t="shared" si="39"/>
        <v/>
      </c>
    </row>
    <row r="406" spans="1:13" x14ac:dyDescent="0.3">
      <c r="A406" s="149"/>
      <c r="B406" s="149"/>
      <c r="C406" s="149"/>
      <c r="D406" s="149"/>
      <c r="E406" s="149"/>
      <c r="F406" s="149"/>
      <c r="G406" s="162"/>
      <c r="H406" s="146" t="str">
        <f t="shared" si="35"/>
        <v/>
      </c>
      <c r="I406" s="161" t="str">
        <f t="shared" si="36"/>
        <v/>
      </c>
      <c r="J406" s="160" t="str">
        <f>IFERROR(INDEX(当年标准成本!I:I,MATCH(C406,当年标准成本!C:C,0),1),"")</f>
        <v/>
      </c>
      <c r="K406" s="146" t="str">
        <f t="shared" si="37"/>
        <v/>
      </c>
      <c r="L406" s="146" t="str">
        <f t="shared" si="38"/>
        <v/>
      </c>
      <c r="M406" s="148" t="str">
        <f t="shared" si="39"/>
        <v/>
      </c>
    </row>
    <row r="407" spans="1:13" x14ac:dyDescent="0.3">
      <c r="A407" s="149"/>
      <c r="B407" s="149"/>
      <c r="C407" s="149"/>
      <c r="D407" s="149"/>
      <c r="E407" s="149"/>
      <c r="F407" s="149"/>
      <c r="G407" s="162"/>
      <c r="H407" s="146" t="str">
        <f t="shared" si="35"/>
        <v/>
      </c>
      <c r="I407" s="161" t="str">
        <f t="shared" si="36"/>
        <v/>
      </c>
      <c r="J407" s="160" t="str">
        <f>IFERROR(INDEX(当年标准成本!I:I,MATCH(C407,当年标准成本!C:C,0),1),"")</f>
        <v/>
      </c>
      <c r="K407" s="146" t="str">
        <f t="shared" si="37"/>
        <v/>
      </c>
      <c r="L407" s="146" t="str">
        <f t="shared" si="38"/>
        <v/>
      </c>
      <c r="M407" s="148" t="str">
        <f t="shared" si="39"/>
        <v/>
      </c>
    </row>
    <row r="408" spans="1:13" x14ac:dyDescent="0.3">
      <c r="A408" s="149"/>
      <c r="B408" s="149"/>
      <c r="C408" s="149"/>
      <c r="D408" s="149"/>
      <c r="E408" s="149"/>
      <c r="F408" s="149"/>
      <c r="G408" s="162"/>
      <c r="H408" s="146" t="str">
        <f t="shared" si="35"/>
        <v/>
      </c>
      <c r="I408" s="161" t="str">
        <f t="shared" si="36"/>
        <v/>
      </c>
      <c r="J408" s="160" t="str">
        <f>IFERROR(INDEX(当年标准成本!I:I,MATCH(C408,当年标准成本!C:C,0),1),"")</f>
        <v/>
      </c>
      <c r="K408" s="146" t="str">
        <f t="shared" si="37"/>
        <v/>
      </c>
      <c r="L408" s="146" t="str">
        <f t="shared" si="38"/>
        <v/>
      </c>
      <c r="M408" s="148" t="str">
        <f t="shared" si="39"/>
        <v/>
      </c>
    </row>
    <row r="409" spans="1:13" x14ac:dyDescent="0.3">
      <c r="A409" s="149"/>
      <c r="B409" s="149"/>
      <c r="C409" s="149"/>
      <c r="D409" s="149"/>
      <c r="E409" s="149"/>
      <c r="F409" s="149"/>
      <c r="G409" s="162"/>
      <c r="H409" s="146" t="str">
        <f t="shared" si="35"/>
        <v/>
      </c>
      <c r="I409" s="161" t="str">
        <f t="shared" si="36"/>
        <v/>
      </c>
      <c r="J409" s="160" t="str">
        <f>IFERROR(INDEX(当年标准成本!I:I,MATCH(C409,当年标准成本!C:C,0),1),"")</f>
        <v/>
      </c>
      <c r="K409" s="146" t="str">
        <f t="shared" si="37"/>
        <v/>
      </c>
      <c r="L409" s="146" t="str">
        <f t="shared" si="38"/>
        <v/>
      </c>
      <c r="M409" s="148" t="str">
        <f t="shared" si="39"/>
        <v/>
      </c>
    </row>
    <row r="410" spans="1:13" x14ac:dyDescent="0.3">
      <c r="A410" s="149"/>
      <c r="B410" s="149"/>
      <c r="C410" s="149"/>
      <c r="D410" s="149"/>
      <c r="E410" s="149"/>
      <c r="F410" s="149"/>
      <c r="G410" s="162"/>
      <c r="H410" s="146" t="str">
        <f t="shared" si="35"/>
        <v/>
      </c>
      <c r="I410" s="161" t="str">
        <f t="shared" si="36"/>
        <v/>
      </c>
      <c r="J410" s="160" t="str">
        <f>IFERROR(INDEX(当年标准成本!I:I,MATCH(C410,当年标准成本!C:C,0),1),"")</f>
        <v/>
      </c>
      <c r="K410" s="146" t="str">
        <f t="shared" si="37"/>
        <v/>
      </c>
      <c r="L410" s="146" t="str">
        <f t="shared" si="38"/>
        <v/>
      </c>
      <c r="M410" s="148" t="str">
        <f t="shared" si="39"/>
        <v/>
      </c>
    </row>
    <row r="411" spans="1:13" x14ac:dyDescent="0.3">
      <c r="A411" s="149"/>
      <c r="B411" s="149"/>
      <c r="C411" s="149"/>
      <c r="D411" s="149"/>
      <c r="E411" s="149"/>
      <c r="F411" s="149"/>
      <c r="G411" s="162"/>
      <c r="H411" s="146" t="str">
        <f t="shared" si="35"/>
        <v/>
      </c>
      <c r="I411" s="161" t="str">
        <f t="shared" si="36"/>
        <v/>
      </c>
      <c r="J411" s="160" t="str">
        <f>IFERROR(INDEX(当年标准成本!I:I,MATCH(C411,当年标准成本!C:C,0),1),"")</f>
        <v/>
      </c>
      <c r="K411" s="146" t="str">
        <f t="shared" si="37"/>
        <v/>
      </c>
      <c r="L411" s="146" t="str">
        <f t="shared" si="38"/>
        <v/>
      </c>
      <c r="M411" s="148" t="str">
        <f t="shared" si="39"/>
        <v/>
      </c>
    </row>
    <row r="412" spans="1:13" x14ac:dyDescent="0.3">
      <c r="A412" s="149"/>
      <c r="B412" s="149"/>
      <c r="C412" s="149"/>
      <c r="D412" s="149"/>
      <c r="E412" s="149"/>
      <c r="F412" s="149"/>
      <c r="G412" s="162"/>
      <c r="H412" s="146" t="str">
        <f t="shared" si="35"/>
        <v/>
      </c>
      <c r="I412" s="161" t="str">
        <f t="shared" si="36"/>
        <v/>
      </c>
      <c r="J412" s="160" t="str">
        <f>IFERROR(INDEX(当年标准成本!I:I,MATCH(C412,当年标准成本!C:C,0),1),"")</f>
        <v/>
      </c>
      <c r="K412" s="146" t="str">
        <f t="shared" si="37"/>
        <v/>
      </c>
      <c r="L412" s="146" t="str">
        <f t="shared" si="38"/>
        <v/>
      </c>
      <c r="M412" s="148" t="str">
        <f t="shared" si="39"/>
        <v/>
      </c>
    </row>
    <row r="413" spans="1:13" x14ac:dyDescent="0.3">
      <c r="A413" s="149"/>
      <c r="B413" s="149"/>
      <c r="C413" s="149"/>
      <c r="D413" s="149"/>
      <c r="E413" s="149"/>
      <c r="F413" s="149"/>
      <c r="G413" s="162"/>
      <c r="H413" s="146" t="str">
        <f t="shared" si="35"/>
        <v/>
      </c>
      <c r="I413" s="161" t="str">
        <f t="shared" si="36"/>
        <v/>
      </c>
      <c r="J413" s="160" t="str">
        <f>IFERROR(INDEX(当年标准成本!I:I,MATCH(C413,当年标准成本!C:C,0),1),"")</f>
        <v/>
      </c>
      <c r="K413" s="146" t="str">
        <f t="shared" si="37"/>
        <v/>
      </c>
      <c r="L413" s="146" t="str">
        <f t="shared" si="38"/>
        <v/>
      </c>
      <c r="M413" s="148" t="str">
        <f t="shared" si="39"/>
        <v/>
      </c>
    </row>
    <row r="414" spans="1:13" x14ac:dyDescent="0.3">
      <c r="A414" s="149"/>
      <c r="B414" s="149"/>
      <c r="C414" s="149"/>
      <c r="D414" s="149"/>
      <c r="E414" s="149"/>
      <c r="F414" s="149"/>
      <c r="G414" s="162"/>
      <c r="H414" s="146" t="str">
        <f t="shared" si="35"/>
        <v/>
      </c>
      <c r="I414" s="161" t="str">
        <f t="shared" si="36"/>
        <v/>
      </c>
      <c r="J414" s="160" t="str">
        <f>IFERROR(INDEX(当年标准成本!I:I,MATCH(C414,当年标准成本!C:C,0),1),"")</f>
        <v/>
      </c>
      <c r="K414" s="146" t="str">
        <f t="shared" si="37"/>
        <v/>
      </c>
      <c r="L414" s="146" t="str">
        <f t="shared" si="38"/>
        <v/>
      </c>
      <c r="M414" s="148" t="str">
        <f t="shared" si="39"/>
        <v/>
      </c>
    </row>
    <row r="415" spans="1:13" x14ac:dyDescent="0.3">
      <c r="A415" s="149"/>
      <c r="B415" s="149"/>
      <c r="C415" s="149"/>
      <c r="D415" s="149"/>
      <c r="E415" s="149"/>
      <c r="F415" s="149"/>
      <c r="G415" s="162"/>
      <c r="H415" s="146" t="str">
        <f t="shared" si="35"/>
        <v/>
      </c>
      <c r="I415" s="161" t="str">
        <f t="shared" si="36"/>
        <v/>
      </c>
      <c r="J415" s="160" t="str">
        <f>IFERROR(INDEX(当年标准成本!I:I,MATCH(C415,当年标准成本!C:C,0),1),"")</f>
        <v/>
      </c>
      <c r="K415" s="146" t="str">
        <f t="shared" si="37"/>
        <v/>
      </c>
      <c r="L415" s="146" t="str">
        <f t="shared" si="38"/>
        <v/>
      </c>
      <c r="M415" s="148" t="str">
        <f t="shared" si="39"/>
        <v/>
      </c>
    </row>
    <row r="416" spans="1:13" x14ac:dyDescent="0.3">
      <c r="A416" s="149"/>
      <c r="B416" s="149"/>
      <c r="C416" s="149"/>
      <c r="D416" s="149"/>
      <c r="E416" s="149"/>
      <c r="F416" s="149"/>
      <c r="G416" s="162"/>
      <c r="H416" s="146" t="str">
        <f t="shared" si="35"/>
        <v/>
      </c>
      <c r="I416" s="161" t="str">
        <f t="shared" si="36"/>
        <v/>
      </c>
      <c r="J416" s="160" t="str">
        <f>IFERROR(INDEX(当年标准成本!I:I,MATCH(C416,当年标准成本!C:C,0),1),"")</f>
        <v/>
      </c>
      <c r="K416" s="146" t="str">
        <f t="shared" si="37"/>
        <v/>
      </c>
      <c r="L416" s="146" t="str">
        <f t="shared" si="38"/>
        <v/>
      </c>
      <c r="M416" s="148" t="str">
        <f t="shared" si="39"/>
        <v/>
      </c>
    </row>
    <row r="417" spans="1:13" x14ac:dyDescent="0.3">
      <c r="A417" s="149"/>
      <c r="B417" s="149"/>
      <c r="C417" s="149"/>
      <c r="D417" s="149"/>
      <c r="E417" s="149"/>
      <c r="F417" s="149"/>
      <c r="G417" s="162"/>
      <c r="H417" s="146" t="str">
        <f t="shared" si="35"/>
        <v/>
      </c>
      <c r="I417" s="161" t="str">
        <f t="shared" si="36"/>
        <v/>
      </c>
      <c r="J417" s="160" t="str">
        <f>IFERROR(INDEX(当年标准成本!I:I,MATCH(C417,当年标准成本!C:C,0),1),"")</f>
        <v/>
      </c>
      <c r="K417" s="146" t="str">
        <f t="shared" si="37"/>
        <v/>
      </c>
      <c r="L417" s="146" t="str">
        <f t="shared" si="38"/>
        <v/>
      </c>
      <c r="M417" s="148" t="str">
        <f t="shared" si="39"/>
        <v/>
      </c>
    </row>
    <row r="418" spans="1:13" x14ac:dyDescent="0.3">
      <c r="A418" s="149"/>
      <c r="B418" s="149"/>
      <c r="C418" s="149"/>
      <c r="D418" s="149"/>
      <c r="E418" s="149"/>
      <c r="F418" s="149"/>
      <c r="G418" s="162"/>
      <c r="H418" s="146" t="str">
        <f t="shared" si="35"/>
        <v/>
      </c>
      <c r="I418" s="161" t="str">
        <f t="shared" si="36"/>
        <v/>
      </c>
      <c r="J418" s="160" t="str">
        <f>IFERROR(INDEX(当年标准成本!I:I,MATCH(C418,当年标准成本!C:C,0),1),"")</f>
        <v/>
      </c>
      <c r="K418" s="146" t="str">
        <f t="shared" si="37"/>
        <v/>
      </c>
      <c r="L418" s="146" t="str">
        <f t="shared" si="38"/>
        <v/>
      </c>
      <c r="M418" s="148" t="str">
        <f t="shared" si="39"/>
        <v/>
      </c>
    </row>
    <row r="419" spans="1:13" x14ac:dyDescent="0.3">
      <c r="A419" s="149"/>
      <c r="B419" s="149"/>
      <c r="C419" s="149"/>
      <c r="D419" s="149"/>
      <c r="E419" s="149"/>
      <c r="F419" s="149"/>
      <c r="G419" s="162"/>
      <c r="H419" s="146" t="str">
        <f t="shared" si="35"/>
        <v/>
      </c>
      <c r="I419" s="161" t="str">
        <f t="shared" si="36"/>
        <v/>
      </c>
      <c r="J419" s="160" t="str">
        <f>IFERROR(INDEX(当年标准成本!I:I,MATCH(C419,当年标准成本!C:C,0),1),"")</f>
        <v/>
      </c>
      <c r="K419" s="146" t="str">
        <f t="shared" si="37"/>
        <v/>
      </c>
      <c r="L419" s="146" t="str">
        <f t="shared" si="38"/>
        <v/>
      </c>
      <c r="M419" s="148" t="str">
        <f t="shared" si="39"/>
        <v/>
      </c>
    </row>
    <row r="420" spans="1:13" x14ac:dyDescent="0.3">
      <c r="A420" s="149"/>
      <c r="B420" s="149"/>
      <c r="C420" s="149"/>
      <c r="D420" s="149"/>
      <c r="E420" s="149"/>
      <c r="F420" s="149"/>
      <c r="G420" s="162"/>
      <c r="H420" s="146" t="str">
        <f t="shared" si="35"/>
        <v/>
      </c>
      <c r="I420" s="161" t="str">
        <f t="shared" si="36"/>
        <v/>
      </c>
      <c r="J420" s="160" t="str">
        <f>IFERROR(INDEX(当年标准成本!I:I,MATCH(C420,当年标准成本!C:C,0),1),"")</f>
        <v/>
      </c>
      <c r="K420" s="146" t="str">
        <f t="shared" si="37"/>
        <v/>
      </c>
      <c r="L420" s="146" t="str">
        <f t="shared" si="38"/>
        <v/>
      </c>
      <c r="M420" s="148" t="str">
        <f t="shared" si="39"/>
        <v/>
      </c>
    </row>
    <row r="421" spans="1:13" x14ac:dyDescent="0.3">
      <c r="A421" s="149"/>
      <c r="B421" s="149"/>
      <c r="C421" s="149"/>
      <c r="D421" s="149"/>
      <c r="E421" s="149"/>
      <c r="F421" s="149"/>
      <c r="G421" s="162"/>
      <c r="H421" s="146" t="str">
        <f t="shared" si="35"/>
        <v/>
      </c>
      <c r="I421" s="161" t="str">
        <f t="shared" si="36"/>
        <v/>
      </c>
      <c r="J421" s="160" t="str">
        <f>IFERROR(INDEX(当年标准成本!I:I,MATCH(C421,当年标准成本!C:C,0),1),"")</f>
        <v/>
      </c>
      <c r="K421" s="146" t="str">
        <f t="shared" si="37"/>
        <v/>
      </c>
      <c r="L421" s="146" t="str">
        <f t="shared" si="38"/>
        <v/>
      </c>
      <c r="M421" s="148" t="str">
        <f t="shared" si="39"/>
        <v/>
      </c>
    </row>
    <row r="422" spans="1:13" x14ac:dyDescent="0.3">
      <c r="A422" s="149"/>
      <c r="B422" s="149"/>
      <c r="C422" s="149"/>
      <c r="D422" s="149"/>
      <c r="E422" s="149"/>
      <c r="F422" s="149"/>
      <c r="G422" s="162"/>
      <c r="H422" s="146" t="str">
        <f t="shared" si="35"/>
        <v/>
      </c>
      <c r="I422" s="161" t="str">
        <f t="shared" si="36"/>
        <v/>
      </c>
      <c r="J422" s="160" t="str">
        <f>IFERROR(INDEX(当年标准成本!I:I,MATCH(C422,当年标准成本!C:C,0),1),"")</f>
        <v/>
      </c>
      <c r="K422" s="146" t="str">
        <f t="shared" si="37"/>
        <v/>
      </c>
      <c r="L422" s="146" t="str">
        <f t="shared" si="38"/>
        <v/>
      </c>
      <c r="M422" s="148" t="str">
        <f t="shared" si="39"/>
        <v/>
      </c>
    </row>
    <row r="423" spans="1:13" x14ac:dyDescent="0.3">
      <c r="A423" s="149"/>
      <c r="B423" s="149"/>
      <c r="C423" s="149"/>
      <c r="D423" s="149"/>
      <c r="E423" s="149"/>
      <c r="F423" s="149"/>
      <c r="G423" s="162"/>
      <c r="H423" s="146" t="str">
        <f t="shared" si="35"/>
        <v/>
      </c>
      <c r="I423" s="161" t="str">
        <f t="shared" si="36"/>
        <v/>
      </c>
      <c r="J423" s="160" t="str">
        <f>IFERROR(INDEX(当年标准成本!I:I,MATCH(C423,当年标准成本!C:C,0),1),"")</f>
        <v/>
      </c>
      <c r="K423" s="146" t="str">
        <f t="shared" si="37"/>
        <v/>
      </c>
      <c r="L423" s="146" t="str">
        <f t="shared" si="38"/>
        <v/>
      </c>
      <c r="M423" s="148" t="str">
        <f t="shared" si="39"/>
        <v/>
      </c>
    </row>
    <row r="424" spans="1:13" x14ac:dyDescent="0.3">
      <c r="A424" s="149"/>
      <c r="B424" s="149"/>
      <c r="C424" s="149"/>
      <c r="D424" s="149"/>
      <c r="E424" s="149"/>
      <c r="F424" s="149"/>
      <c r="G424" s="162"/>
      <c r="H424" s="146" t="str">
        <f t="shared" si="35"/>
        <v/>
      </c>
      <c r="I424" s="161" t="str">
        <f t="shared" si="36"/>
        <v/>
      </c>
      <c r="J424" s="160" t="str">
        <f>IFERROR(INDEX(当年标准成本!I:I,MATCH(C424,当年标准成本!C:C,0),1),"")</f>
        <v/>
      </c>
      <c r="K424" s="146" t="str">
        <f t="shared" si="37"/>
        <v/>
      </c>
      <c r="L424" s="146" t="str">
        <f t="shared" si="38"/>
        <v/>
      </c>
      <c r="M424" s="148" t="str">
        <f t="shared" si="39"/>
        <v/>
      </c>
    </row>
    <row r="425" spans="1:13" x14ac:dyDescent="0.3">
      <c r="A425" s="149"/>
      <c r="B425" s="149"/>
      <c r="C425" s="149"/>
      <c r="D425" s="149"/>
      <c r="E425" s="149"/>
      <c r="F425" s="149"/>
      <c r="G425" s="162"/>
      <c r="H425" s="146" t="str">
        <f t="shared" si="35"/>
        <v/>
      </c>
      <c r="I425" s="161" t="str">
        <f t="shared" si="36"/>
        <v/>
      </c>
      <c r="J425" s="160" t="str">
        <f>IFERROR(INDEX(当年标准成本!I:I,MATCH(C425,当年标准成本!C:C,0),1),"")</f>
        <v/>
      </c>
      <c r="K425" s="146" t="str">
        <f t="shared" si="37"/>
        <v/>
      </c>
      <c r="L425" s="146" t="str">
        <f t="shared" si="38"/>
        <v/>
      </c>
      <c r="M425" s="148" t="str">
        <f t="shared" si="39"/>
        <v/>
      </c>
    </row>
    <row r="426" spans="1:13" x14ac:dyDescent="0.3">
      <c r="A426" s="149"/>
      <c r="B426" s="149"/>
      <c r="C426" s="149"/>
      <c r="D426" s="149"/>
      <c r="E426" s="149"/>
      <c r="F426" s="149"/>
      <c r="G426" s="162"/>
      <c r="H426" s="146" t="str">
        <f t="shared" si="35"/>
        <v/>
      </c>
      <c r="I426" s="161" t="str">
        <f t="shared" si="36"/>
        <v/>
      </c>
      <c r="J426" s="160" t="str">
        <f>IFERROR(INDEX(当年标准成本!I:I,MATCH(C426,当年标准成本!C:C,0),1),"")</f>
        <v/>
      </c>
      <c r="K426" s="146" t="str">
        <f t="shared" si="37"/>
        <v/>
      </c>
      <c r="L426" s="146" t="str">
        <f t="shared" si="38"/>
        <v/>
      </c>
      <c r="M426" s="148" t="str">
        <f t="shared" si="39"/>
        <v/>
      </c>
    </row>
    <row r="427" spans="1:13" x14ac:dyDescent="0.3">
      <c r="A427" s="149"/>
      <c r="B427" s="149"/>
      <c r="C427" s="149"/>
      <c r="D427" s="149"/>
      <c r="E427" s="149"/>
      <c r="F427" s="149"/>
      <c r="G427" s="162"/>
      <c r="H427" s="146" t="str">
        <f t="shared" si="35"/>
        <v/>
      </c>
      <c r="I427" s="161" t="str">
        <f t="shared" si="36"/>
        <v/>
      </c>
      <c r="J427" s="160" t="str">
        <f>IFERROR(INDEX(当年标准成本!I:I,MATCH(C427,当年标准成本!C:C,0),1),"")</f>
        <v/>
      </c>
      <c r="K427" s="146" t="str">
        <f t="shared" si="37"/>
        <v/>
      </c>
      <c r="L427" s="146" t="str">
        <f t="shared" si="38"/>
        <v/>
      </c>
      <c r="M427" s="148" t="str">
        <f t="shared" si="39"/>
        <v/>
      </c>
    </row>
    <row r="428" spans="1:13" x14ac:dyDescent="0.3">
      <c r="A428" s="149"/>
      <c r="B428" s="149"/>
      <c r="C428" s="149"/>
      <c r="D428" s="149"/>
      <c r="E428" s="149"/>
      <c r="F428" s="149"/>
      <c r="G428" s="162"/>
      <c r="H428" s="146" t="str">
        <f t="shared" si="35"/>
        <v/>
      </c>
      <c r="I428" s="161" t="str">
        <f t="shared" si="36"/>
        <v/>
      </c>
      <c r="J428" s="160" t="str">
        <f>IFERROR(INDEX(当年标准成本!I:I,MATCH(C428,当年标准成本!C:C,0),1),"")</f>
        <v/>
      </c>
      <c r="K428" s="146" t="str">
        <f t="shared" si="37"/>
        <v/>
      </c>
      <c r="L428" s="146" t="str">
        <f t="shared" si="38"/>
        <v/>
      </c>
      <c r="M428" s="148" t="str">
        <f t="shared" si="39"/>
        <v/>
      </c>
    </row>
    <row r="429" spans="1:13" x14ac:dyDescent="0.3">
      <c r="A429" s="149"/>
      <c r="B429" s="149"/>
      <c r="C429" s="149"/>
      <c r="D429" s="149"/>
      <c r="E429" s="149"/>
      <c r="F429" s="149"/>
      <c r="G429" s="162"/>
      <c r="H429" s="146" t="str">
        <f t="shared" si="35"/>
        <v/>
      </c>
      <c r="I429" s="161" t="str">
        <f t="shared" si="36"/>
        <v/>
      </c>
      <c r="J429" s="160" t="str">
        <f>IFERROR(INDEX(当年标准成本!I:I,MATCH(C429,当年标准成本!C:C,0),1),"")</f>
        <v/>
      </c>
      <c r="K429" s="146" t="str">
        <f t="shared" si="37"/>
        <v/>
      </c>
      <c r="L429" s="146" t="str">
        <f t="shared" si="38"/>
        <v/>
      </c>
      <c r="M429" s="148" t="str">
        <f t="shared" si="39"/>
        <v/>
      </c>
    </row>
    <row r="430" spans="1:13" x14ac:dyDescent="0.3">
      <c r="A430" s="149"/>
      <c r="B430" s="149"/>
      <c r="C430" s="149"/>
      <c r="D430" s="149"/>
      <c r="E430" s="149"/>
      <c r="F430" s="149"/>
      <c r="G430" s="162"/>
      <c r="H430" s="146" t="str">
        <f t="shared" si="35"/>
        <v/>
      </c>
      <c r="I430" s="161" t="str">
        <f t="shared" si="36"/>
        <v/>
      </c>
      <c r="J430" s="160" t="str">
        <f>IFERROR(INDEX(当年标准成本!I:I,MATCH(C430,当年标准成本!C:C,0),1),"")</f>
        <v/>
      </c>
      <c r="K430" s="146" t="str">
        <f t="shared" si="37"/>
        <v/>
      </c>
      <c r="L430" s="146" t="str">
        <f t="shared" si="38"/>
        <v/>
      </c>
      <c r="M430" s="148" t="str">
        <f t="shared" si="39"/>
        <v/>
      </c>
    </row>
    <row r="431" spans="1:13" x14ac:dyDescent="0.3">
      <c r="A431" s="149"/>
      <c r="B431" s="149"/>
      <c r="C431" s="149"/>
      <c r="D431" s="149"/>
      <c r="E431" s="149"/>
      <c r="F431" s="149"/>
      <c r="G431" s="162"/>
      <c r="H431" s="146" t="str">
        <f t="shared" si="35"/>
        <v/>
      </c>
      <c r="I431" s="161" t="str">
        <f t="shared" si="36"/>
        <v/>
      </c>
      <c r="J431" s="160" t="str">
        <f>IFERROR(INDEX(当年标准成本!I:I,MATCH(C431,当年标准成本!C:C,0),1),"")</f>
        <v/>
      </c>
      <c r="K431" s="146" t="str">
        <f t="shared" si="37"/>
        <v/>
      </c>
      <c r="L431" s="146" t="str">
        <f t="shared" si="38"/>
        <v/>
      </c>
      <c r="M431" s="148" t="str">
        <f t="shared" si="39"/>
        <v/>
      </c>
    </row>
    <row r="432" spans="1:13" x14ac:dyDescent="0.3">
      <c r="A432" s="149"/>
      <c r="B432" s="149"/>
      <c r="C432" s="149"/>
      <c r="D432" s="149"/>
      <c r="E432" s="149"/>
      <c r="F432" s="149"/>
      <c r="G432" s="162"/>
      <c r="H432" s="146" t="str">
        <f t="shared" si="35"/>
        <v/>
      </c>
      <c r="I432" s="161" t="str">
        <f t="shared" si="36"/>
        <v/>
      </c>
      <c r="J432" s="160" t="str">
        <f>IFERROR(INDEX(当年标准成本!I:I,MATCH(C432,当年标准成本!C:C,0),1),"")</f>
        <v/>
      </c>
      <c r="K432" s="146" t="str">
        <f t="shared" si="37"/>
        <v/>
      </c>
      <c r="L432" s="146" t="str">
        <f t="shared" si="38"/>
        <v/>
      </c>
      <c r="M432" s="148" t="str">
        <f t="shared" si="39"/>
        <v/>
      </c>
    </row>
    <row r="433" spans="1:13" x14ac:dyDescent="0.3">
      <c r="A433" s="149"/>
      <c r="B433" s="149"/>
      <c r="C433" s="149"/>
      <c r="D433" s="149"/>
      <c r="E433" s="149"/>
      <c r="F433" s="149"/>
      <c r="G433" s="162"/>
      <c r="H433" s="146" t="str">
        <f t="shared" si="35"/>
        <v/>
      </c>
      <c r="I433" s="161" t="str">
        <f t="shared" si="36"/>
        <v/>
      </c>
      <c r="J433" s="160" t="str">
        <f>IFERROR(INDEX(当年标准成本!I:I,MATCH(C433,当年标准成本!C:C,0),1),"")</f>
        <v/>
      </c>
      <c r="K433" s="146" t="str">
        <f t="shared" si="37"/>
        <v/>
      </c>
      <c r="L433" s="146" t="str">
        <f t="shared" si="38"/>
        <v/>
      </c>
      <c r="M433" s="148" t="str">
        <f t="shared" si="39"/>
        <v/>
      </c>
    </row>
    <row r="434" spans="1:13" x14ac:dyDescent="0.3">
      <c r="A434" s="149"/>
      <c r="B434" s="149"/>
      <c r="C434" s="149"/>
      <c r="D434" s="149"/>
      <c r="E434" s="149"/>
      <c r="F434" s="149"/>
      <c r="G434" s="162"/>
      <c r="H434" s="146" t="str">
        <f t="shared" si="35"/>
        <v/>
      </c>
      <c r="I434" s="161" t="str">
        <f t="shared" si="36"/>
        <v/>
      </c>
      <c r="J434" s="160" t="str">
        <f>IFERROR(INDEX(当年标准成本!I:I,MATCH(C434,当年标准成本!C:C,0),1),"")</f>
        <v/>
      </c>
      <c r="K434" s="146" t="str">
        <f t="shared" si="37"/>
        <v/>
      </c>
      <c r="L434" s="146" t="str">
        <f t="shared" si="38"/>
        <v/>
      </c>
      <c r="M434" s="148" t="str">
        <f t="shared" si="39"/>
        <v/>
      </c>
    </row>
    <row r="435" spans="1:13" x14ac:dyDescent="0.3">
      <c r="A435" s="149"/>
      <c r="B435" s="149"/>
      <c r="C435" s="149"/>
      <c r="D435" s="149"/>
      <c r="E435" s="149"/>
      <c r="F435" s="149"/>
      <c r="G435" s="162"/>
      <c r="H435" s="146" t="str">
        <f t="shared" si="35"/>
        <v/>
      </c>
      <c r="I435" s="161" t="str">
        <f t="shared" si="36"/>
        <v/>
      </c>
      <c r="J435" s="160" t="str">
        <f>IFERROR(INDEX(当年标准成本!I:I,MATCH(C435,当年标准成本!C:C,0),1),"")</f>
        <v/>
      </c>
      <c r="K435" s="146" t="str">
        <f t="shared" si="37"/>
        <v/>
      </c>
      <c r="L435" s="146" t="str">
        <f t="shared" si="38"/>
        <v/>
      </c>
      <c r="M435" s="148" t="str">
        <f t="shared" si="39"/>
        <v/>
      </c>
    </row>
    <row r="436" spans="1:13" x14ac:dyDescent="0.3">
      <c r="A436" s="149"/>
      <c r="B436" s="149"/>
      <c r="C436" s="149"/>
      <c r="D436" s="149"/>
      <c r="E436" s="149"/>
      <c r="F436" s="149"/>
      <c r="G436" s="162"/>
      <c r="H436" s="146" t="str">
        <f t="shared" si="35"/>
        <v/>
      </c>
      <c r="I436" s="161" t="str">
        <f t="shared" si="36"/>
        <v/>
      </c>
      <c r="J436" s="160" t="str">
        <f>IFERROR(INDEX(当年标准成本!I:I,MATCH(C436,当年标准成本!C:C,0),1),"")</f>
        <v/>
      </c>
      <c r="K436" s="146" t="str">
        <f t="shared" si="37"/>
        <v/>
      </c>
      <c r="L436" s="146" t="str">
        <f t="shared" si="38"/>
        <v/>
      </c>
      <c r="M436" s="148" t="str">
        <f t="shared" si="39"/>
        <v/>
      </c>
    </row>
    <row r="437" spans="1:13" x14ac:dyDescent="0.3">
      <c r="A437" s="149"/>
      <c r="B437" s="149"/>
      <c r="C437" s="149"/>
      <c r="D437" s="149"/>
      <c r="E437" s="149"/>
      <c r="F437" s="149"/>
      <c r="G437" s="162"/>
      <c r="H437" s="146" t="str">
        <f t="shared" si="35"/>
        <v/>
      </c>
      <c r="I437" s="161" t="str">
        <f t="shared" si="36"/>
        <v/>
      </c>
      <c r="J437" s="160" t="str">
        <f>IFERROR(INDEX(当年标准成本!I:I,MATCH(C437,当年标准成本!C:C,0),1),"")</f>
        <v/>
      </c>
      <c r="K437" s="146" t="str">
        <f t="shared" si="37"/>
        <v/>
      </c>
      <c r="L437" s="146" t="str">
        <f t="shared" si="38"/>
        <v/>
      </c>
      <c r="M437" s="148" t="str">
        <f t="shared" si="39"/>
        <v/>
      </c>
    </row>
    <row r="438" spans="1:13" x14ac:dyDescent="0.3">
      <c r="A438" s="149"/>
      <c r="B438" s="149"/>
      <c r="C438" s="149"/>
      <c r="D438" s="149"/>
      <c r="E438" s="149"/>
      <c r="F438" s="149"/>
      <c r="G438" s="162"/>
      <c r="H438" s="146" t="str">
        <f t="shared" si="35"/>
        <v/>
      </c>
      <c r="I438" s="161" t="str">
        <f t="shared" si="36"/>
        <v/>
      </c>
      <c r="J438" s="160" t="str">
        <f>IFERROR(INDEX(当年标准成本!I:I,MATCH(C438,当年标准成本!C:C,0),1),"")</f>
        <v/>
      </c>
      <c r="K438" s="146" t="str">
        <f t="shared" si="37"/>
        <v/>
      </c>
      <c r="L438" s="146" t="str">
        <f t="shared" si="38"/>
        <v/>
      </c>
      <c r="M438" s="148" t="str">
        <f t="shared" si="39"/>
        <v/>
      </c>
    </row>
    <row r="439" spans="1:13" x14ac:dyDescent="0.3">
      <c r="A439" s="149"/>
      <c r="B439" s="149"/>
      <c r="C439" s="149"/>
      <c r="D439" s="149"/>
      <c r="E439" s="149"/>
      <c r="F439" s="149"/>
      <c r="G439" s="162"/>
      <c r="H439" s="146" t="str">
        <f t="shared" si="35"/>
        <v/>
      </c>
      <c r="I439" s="161" t="str">
        <f t="shared" si="36"/>
        <v/>
      </c>
      <c r="J439" s="160" t="str">
        <f>IFERROR(INDEX(当年标准成本!I:I,MATCH(C439,当年标准成本!C:C,0),1),"")</f>
        <v/>
      </c>
      <c r="K439" s="146" t="str">
        <f t="shared" si="37"/>
        <v/>
      </c>
      <c r="L439" s="146" t="str">
        <f t="shared" si="38"/>
        <v/>
      </c>
      <c r="M439" s="148" t="str">
        <f t="shared" si="39"/>
        <v/>
      </c>
    </row>
    <row r="440" spans="1:13" x14ac:dyDescent="0.3">
      <c r="A440" s="149"/>
      <c r="B440" s="149"/>
      <c r="C440" s="149"/>
      <c r="D440" s="149"/>
      <c r="E440" s="149"/>
      <c r="F440" s="149"/>
      <c r="G440" s="162"/>
      <c r="H440" s="146" t="str">
        <f t="shared" si="35"/>
        <v/>
      </c>
      <c r="I440" s="161" t="str">
        <f t="shared" si="36"/>
        <v/>
      </c>
      <c r="J440" s="160" t="str">
        <f>IFERROR(INDEX(当年标准成本!I:I,MATCH(C440,当年标准成本!C:C,0),1),"")</f>
        <v/>
      </c>
      <c r="K440" s="146" t="str">
        <f t="shared" si="37"/>
        <v/>
      </c>
      <c r="L440" s="146" t="str">
        <f t="shared" si="38"/>
        <v/>
      </c>
      <c r="M440" s="148" t="str">
        <f t="shared" si="39"/>
        <v/>
      </c>
    </row>
    <row r="441" spans="1:13" x14ac:dyDescent="0.3">
      <c r="A441" s="149"/>
      <c r="B441" s="149"/>
      <c r="C441" s="149"/>
      <c r="D441" s="149"/>
      <c r="E441" s="149"/>
      <c r="F441" s="149"/>
      <c r="G441" s="162"/>
      <c r="H441" s="146" t="str">
        <f t="shared" si="35"/>
        <v/>
      </c>
      <c r="I441" s="161" t="str">
        <f t="shared" si="36"/>
        <v/>
      </c>
      <c r="J441" s="160" t="str">
        <f>IFERROR(INDEX(当年标准成本!I:I,MATCH(C441,当年标准成本!C:C,0),1),"")</f>
        <v/>
      </c>
      <c r="K441" s="146" t="str">
        <f t="shared" si="37"/>
        <v/>
      </c>
      <c r="L441" s="146" t="str">
        <f t="shared" si="38"/>
        <v/>
      </c>
      <c r="M441" s="148" t="str">
        <f t="shared" si="39"/>
        <v/>
      </c>
    </row>
    <row r="442" spans="1:13" x14ac:dyDescent="0.3">
      <c r="A442" s="149"/>
      <c r="B442" s="149"/>
      <c r="C442" s="149"/>
      <c r="D442" s="149"/>
      <c r="E442" s="149"/>
      <c r="F442" s="149"/>
      <c r="G442" s="162"/>
      <c r="H442" s="146" t="str">
        <f t="shared" si="35"/>
        <v/>
      </c>
      <c r="I442" s="161" t="str">
        <f t="shared" si="36"/>
        <v/>
      </c>
      <c r="J442" s="160" t="str">
        <f>IFERROR(INDEX(当年标准成本!I:I,MATCH(C442,当年标准成本!C:C,0),1),"")</f>
        <v/>
      </c>
      <c r="K442" s="146" t="str">
        <f t="shared" si="37"/>
        <v/>
      </c>
      <c r="L442" s="146" t="str">
        <f t="shared" si="38"/>
        <v/>
      </c>
      <c r="M442" s="148" t="str">
        <f t="shared" si="39"/>
        <v/>
      </c>
    </row>
    <row r="443" spans="1:13" x14ac:dyDescent="0.3">
      <c r="A443" s="149"/>
      <c r="B443" s="149"/>
      <c r="C443" s="149"/>
      <c r="D443" s="149"/>
      <c r="E443" s="149"/>
      <c r="F443" s="149"/>
      <c r="G443" s="162"/>
      <c r="H443" s="146" t="str">
        <f t="shared" si="35"/>
        <v/>
      </c>
      <c r="I443" s="161" t="str">
        <f t="shared" si="36"/>
        <v/>
      </c>
      <c r="J443" s="160" t="str">
        <f>IFERROR(INDEX(当年标准成本!I:I,MATCH(C443,当年标准成本!C:C,0),1),"")</f>
        <v/>
      </c>
      <c r="K443" s="146" t="str">
        <f t="shared" si="37"/>
        <v/>
      </c>
      <c r="L443" s="146" t="str">
        <f t="shared" si="38"/>
        <v/>
      </c>
      <c r="M443" s="148" t="str">
        <f t="shared" si="39"/>
        <v/>
      </c>
    </row>
    <row r="444" spans="1:13" x14ac:dyDescent="0.3">
      <c r="A444" s="149"/>
      <c r="B444" s="149"/>
      <c r="C444" s="149"/>
      <c r="D444" s="149"/>
      <c r="E444" s="149"/>
      <c r="F444" s="149"/>
      <c r="G444" s="162"/>
      <c r="H444" s="146" t="str">
        <f t="shared" si="35"/>
        <v/>
      </c>
      <c r="I444" s="161" t="str">
        <f t="shared" si="36"/>
        <v/>
      </c>
      <c r="J444" s="160" t="str">
        <f>IFERROR(INDEX(当年标准成本!I:I,MATCH(C444,当年标准成本!C:C,0),1),"")</f>
        <v/>
      </c>
      <c r="K444" s="146" t="str">
        <f t="shared" si="37"/>
        <v/>
      </c>
      <c r="L444" s="146" t="str">
        <f t="shared" si="38"/>
        <v/>
      </c>
      <c r="M444" s="148" t="str">
        <f t="shared" si="39"/>
        <v/>
      </c>
    </row>
    <row r="445" spans="1:13" x14ac:dyDescent="0.3">
      <c r="A445" s="149"/>
      <c r="B445" s="149"/>
      <c r="C445" s="149"/>
      <c r="D445" s="149"/>
      <c r="E445" s="149"/>
      <c r="F445" s="149"/>
      <c r="G445" s="162"/>
      <c r="H445" s="146" t="str">
        <f t="shared" si="35"/>
        <v/>
      </c>
      <c r="I445" s="161" t="str">
        <f t="shared" si="36"/>
        <v/>
      </c>
      <c r="J445" s="160" t="str">
        <f>IFERROR(INDEX(当年标准成本!I:I,MATCH(C445,当年标准成本!C:C,0),1),"")</f>
        <v/>
      </c>
      <c r="K445" s="146" t="str">
        <f t="shared" si="37"/>
        <v/>
      </c>
      <c r="L445" s="146" t="str">
        <f t="shared" si="38"/>
        <v/>
      </c>
      <c r="M445" s="148" t="str">
        <f t="shared" si="39"/>
        <v/>
      </c>
    </row>
    <row r="446" spans="1:13" x14ac:dyDescent="0.3">
      <c r="A446" s="149"/>
      <c r="B446" s="149"/>
      <c r="C446" s="149"/>
      <c r="D446" s="149"/>
      <c r="E446" s="149"/>
      <c r="F446" s="149"/>
      <c r="G446" s="162"/>
      <c r="H446" s="146" t="str">
        <f t="shared" si="35"/>
        <v/>
      </c>
      <c r="I446" s="161" t="str">
        <f t="shared" si="36"/>
        <v/>
      </c>
      <c r="J446" s="160" t="str">
        <f>IFERROR(INDEX(当年标准成本!I:I,MATCH(C446,当年标准成本!C:C,0),1),"")</f>
        <v/>
      </c>
      <c r="K446" s="146" t="str">
        <f t="shared" si="37"/>
        <v/>
      </c>
      <c r="L446" s="146" t="str">
        <f t="shared" si="38"/>
        <v/>
      </c>
      <c r="M446" s="148" t="str">
        <f t="shared" si="39"/>
        <v/>
      </c>
    </row>
    <row r="447" spans="1:13" x14ac:dyDescent="0.3">
      <c r="A447" s="149"/>
      <c r="B447" s="149"/>
      <c r="C447" s="149"/>
      <c r="D447" s="149"/>
      <c r="E447" s="149"/>
      <c r="F447" s="149"/>
      <c r="G447" s="162"/>
      <c r="H447" s="146" t="str">
        <f t="shared" si="35"/>
        <v/>
      </c>
      <c r="I447" s="161" t="str">
        <f t="shared" si="36"/>
        <v/>
      </c>
      <c r="J447" s="160" t="str">
        <f>IFERROR(INDEX(当年标准成本!I:I,MATCH(C447,当年标准成本!C:C,0),1),"")</f>
        <v/>
      </c>
      <c r="K447" s="146" t="str">
        <f t="shared" si="37"/>
        <v/>
      </c>
      <c r="L447" s="146" t="str">
        <f t="shared" si="38"/>
        <v/>
      </c>
      <c r="M447" s="148" t="str">
        <f t="shared" si="39"/>
        <v/>
      </c>
    </row>
    <row r="448" spans="1:13" x14ac:dyDescent="0.3">
      <c r="A448" s="149"/>
      <c r="B448" s="149"/>
      <c r="C448" s="149"/>
      <c r="D448" s="149"/>
      <c r="E448" s="149"/>
      <c r="F448" s="149"/>
      <c r="G448" s="162"/>
      <c r="H448" s="146" t="str">
        <f t="shared" si="35"/>
        <v/>
      </c>
      <c r="I448" s="161" t="str">
        <f t="shared" si="36"/>
        <v/>
      </c>
      <c r="J448" s="160" t="str">
        <f>IFERROR(INDEX(当年标准成本!I:I,MATCH(C448,当年标准成本!C:C,0),1),"")</f>
        <v/>
      </c>
      <c r="K448" s="146" t="str">
        <f t="shared" si="37"/>
        <v/>
      </c>
      <c r="L448" s="146" t="str">
        <f t="shared" si="38"/>
        <v/>
      </c>
      <c r="M448" s="148" t="str">
        <f t="shared" si="39"/>
        <v/>
      </c>
    </row>
    <row r="449" spans="1:13" x14ac:dyDescent="0.3">
      <c r="A449" s="149"/>
      <c r="B449" s="149"/>
      <c r="C449" s="149"/>
      <c r="D449" s="149"/>
      <c r="E449" s="149"/>
      <c r="F449" s="149"/>
      <c r="G449" s="162"/>
      <c r="H449" s="146" t="str">
        <f t="shared" si="35"/>
        <v/>
      </c>
      <c r="I449" s="161" t="str">
        <f t="shared" si="36"/>
        <v/>
      </c>
      <c r="J449" s="160" t="str">
        <f>IFERROR(INDEX(当年标准成本!I:I,MATCH(C449,当年标准成本!C:C,0),1),"")</f>
        <v/>
      </c>
      <c r="K449" s="146" t="str">
        <f t="shared" si="37"/>
        <v/>
      </c>
      <c r="L449" s="146" t="str">
        <f t="shared" si="38"/>
        <v/>
      </c>
      <c r="M449" s="148" t="str">
        <f t="shared" si="39"/>
        <v/>
      </c>
    </row>
    <row r="450" spans="1:13" x14ac:dyDescent="0.3">
      <c r="A450" s="149"/>
      <c r="B450" s="149"/>
      <c r="C450" s="149"/>
      <c r="D450" s="149"/>
      <c r="E450" s="149"/>
      <c r="F450" s="149"/>
      <c r="G450" s="162"/>
      <c r="H450" s="146" t="str">
        <f t="shared" si="35"/>
        <v/>
      </c>
      <c r="I450" s="161" t="str">
        <f t="shared" si="36"/>
        <v/>
      </c>
      <c r="J450" s="160" t="str">
        <f>IFERROR(INDEX(当年标准成本!I:I,MATCH(C450,当年标准成本!C:C,0),1),"")</f>
        <v/>
      </c>
      <c r="K450" s="146" t="str">
        <f t="shared" si="37"/>
        <v/>
      </c>
      <c r="L450" s="146" t="str">
        <f t="shared" si="38"/>
        <v/>
      </c>
      <c r="M450" s="148" t="str">
        <f t="shared" si="39"/>
        <v/>
      </c>
    </row>
    <row r="451" spans="1:13" x14ac:dyDescent="0.3">
      <c r="A451" s="149"/>
      <c r="B451" s="149"/>
      <c r="C451" s="149"/>
      <c r="D451" s="149"/>
      <c r="E451" s="149"/>
      <c r="F451" s="149"/>
      <c r="G451" s="162"/>
      <c r="H451" s="146" t="str">
        <f t="shared" si="35"/>
        <v/>
      </c>
      <c r="I451" s="161" t="str">
        <f t="shared" si="36"/>
        <v/>
      </c>
      <c r="J451" s="160" t="str">
        <f>IFERROR(INDEX(当年标准成本!I:I,MATCH(C451,当年标准成本!C:C,0),1),"")</f>
        <v/>
      </c>
      <c r="K451" s="146" t="str">
        <f t="shared" si="37"/>
        <v/>
      </c>
      <c r="L451" s="146" t="str">
        <f t="shared" si="38"/>
        <v/>
      </c>
      <c r="M451" s="148" t="str">
        <f t="shared" si="39"/>
        <v/>
      </c>
    </row>
    <row r="452" spans="1:13" x14ac:dyDescent="0.3">
      <c r="A452" s="149"/>
      <c r="B452" s="149"/>
      <c r="C452" s="149"/>
      <c r="D452" s="149"/>
      <c r="E452" s="149"/>
      <c r="F452" s="149"/>
      <c r="G452" s="162"/>
      <c r="H452" s="146" t="str">
        <f t="shared" si="35"/>
        <v/>
      </c>
      <c r="I452" s="161" t="str">
        <f t="shared" si="36"/>
        <v/>
      </c>
      <c r="J452" s="160" t="str">
        <f>IFERROR(INDEX(当年标准成本!I:I,MATCH(C452,当年标准成本!C:C,0),1),"")</f>
        <v/>
      </c>
      <c r="K452" s="146" t="str">
        <f t="shared" si="37"/>
        <v/>
      </c>
      <c r="L452" s="146" t="str">
        <f t="shared" si="38"/>
        <v/>
      </c>
      <c r="M452" s="148" t="str">
        <f t="shared" si="39"/>
        <v/>
      </c>
    </row>
    <row r="453" spans="1:13" x14ac:dyDescent="0.3">
      <c r="A453" s="149"/>
      <c r="B453" s="149"/>
      <c r="C453" s="149"/>
      <c r="D453" s="149"/>
      <c r="E453" s="149"/>
      <c r="F453" s="149"/>
      <c r="G453" s="162"/>
      <c r="H453" s="146" t="str">
        <f t="shared" si="35"/>
        <v/>
      </c>
      <c r="I453" s="161" t="str">
        <f t="shared" si="36"/>
        <v/>
      </c>
      <c r="J453" s="160" t="str">
        <f>IFERROR(INDEX(当年标准成本!I:I,MATCH(C453,当年标准成本!C:C,0),1),"")</f>
        <v/>
      </c>
      <c r="K453" s="146" t="str">
        <f t="shared" si="37"/>
        <v/>
      </c>
      <c r="L453" s="146" t="str">
        <f t="shared" si="38"/>
        <v/>
      </c>
      <c r="M453" s="148" t="str">
        <f t="shared" si="39"/>
        <v/>
      </c>
    </row>
    <row r="454" spans="1:13" x14ac:dyDescent="0.3">
      <c r="A454" s="149"/>
      <c r="B454" s="149"/>
      <c r="C454" s="149"/>
      <c r="D454" s="149"/>
      <c r="E454" s="149"/>
      <c r="F454" s="149"/>
      <c r="G454" s="162"/>
      <c r="H454" s="146" t="str">
        <f t="shared" si="35"/>
        <v/>
      </c>
      <c r="I454" s="161" t="str">
        <f t="shared" si="36"/>
        <v/>
      </c>
      <c r="J454" s="160" t="str">
        <f>IFERROR(INDEX(当年标准成本!I:I,MATCH(C454,当年标准成本!C:C,0),1),"")</f>
        <v/>
      </c>
      <c r="K454" s="146" t="str">
        <f t="shared" si="37"/>
        <v/>
      </c>
      <c r="L454" s="146" t="str">
        <f t="shared" si="38"/>
        <v/>
      </c>
      <c r="M454" s="148" t="str">
        <f t="shared" si="39"/>
        <v/>
      </c>
    </row>
    <row r="455" spans="1:13" x14ac:dyDescent="0.3">
      <c r="A455" s="149"/>
      <c r="B455" s="149"/>
      <c r="C455" s="149"/>
      <c r="D455" s="149"/>
      <c r="E455" s="149"/>
      <c r="F455" s="149"/>
      <c r="G455" s="162"/>
      <c r="H455" s="146" t="str">
        <f t="shared" si="35"/>
        <v/>
      </c>
      <c r="I455" s="161" t="str">
        <f t="shared" si="36"/>
        <v/>
      </c>
      <c r="J455" s="160" t="str">
        <f>IFERROR(INDEX(当年标准成本!I:I,MATCH(C455,当年标准成本!C:C,0),1),"")</f>
        <v/>
      </c>
      <c r="K455" s="146" t="str">
        <f t="shared" si="37"/>
        <v/>
      </c>
      <c r="L455" s="146" t="str">
        <f t="shared" si="38"/>
        <v/>
      </c>
      <c r="M455" s="148" t="str">
        <f t="shared" si="39"/>
        <v/>
      </c>
    </row>
    <row r="456" spans="1:13" x14ac:dyDescent="0.3">
      <c r="A456" s="149"/>
      <c r="B456" s="149"/>
      <c r="C456" s="149"/>
      <c r="D456" s="149"/>
      <c r="E456" s="149"/>
      <c r="F456" s="149"/>
      <c r="G456" s="162"/>
      <c r="H456" s="146" t="str">
        <f t="shared" si="35"/>
        <v/>
      </c>
      <c r="I456" s="161" t="str">
        <f t="shared" si="36"/>
        <v/>
      </c>
      <c r="J456" s="160" t="str">
        <f>IFERROR(INDEX(当年标准成本!I:I,MATCH(C456,当年标准成本!C:C,0),1),"")</f>
        <v/>
      </c>
      <c r="K456" s="146" t="str">
        <f t="shared" si="37"/>
        <v/>
      </c>
      <c r="L456" s="146" t="str">
        <f t="shared" si="38"/>
        <v/>
      </c>
      <c r="M456" s="148" t="str">
        <f t="shared" si="39"/>
        <v/>
      </c>
    </row>
    <row r="457" spans="1:13" x14ac:dyDescent="0.3">
      <c r="A457" s="149"/>
      <c r="B457" s="149"/>
      <c r="C457" s="149"/>
      <c r="D457" s="149"/>
      <c r="E457" s="149"/>
      <c r="F457" s="149"/>
      <c r="G457" s="162"/>
      <c r="H457" s="146" t="str">
        <f t="shared" si="35"/>
        <v/>
      </c>
      <c r="I457" s="161" t="str">
        <f t="shared" si="36"/>
        <v/>
      </c>
      <c r="J457" s="160" t="str">
        <f>IFERROR(INDEX(当年标准成本!I:I,MATCH(C457,当年标准成本!C:C,0),1),"")</f>
        <v/>
      </c>
      <c r="K457" s="146" t="str">
        <f t="shared" si="37"/>
        <v/>
      </c>
      <c r="L457" s="146" t="str">
        <f t="shared" si="38"/>
        <v/>
      </c>
      <c r="M457" s="148" t="str">
        <f t="shared" si="39"/>
        <v/>
      </c>
    </row>
    <row r="458" spans="1:13" x14ac:dyDescent="0.3">
      <c r="A458" s="149"/>
      <c r="B458" s="149"/>
      <c r="C458" s="149"/>
      <c r="D458" s="149"/>
      <c r="E458" s="149"/>
      <c r="F458" s="149"/>
      <c r="G458" s="162"/>
      <c r="H458" s="146" t="str">
        <f t="shared" si="35"/>
        <v/>
      </c>
      <c r="I458" s="161" t="str">
        <f t="shared" si="36"/>
        <v/>
      </c>
      <c r="J458" s="160" t="str">
        <f>IFERROR(INDEX(当年标准成本!I:I,MATCH(C458,当年标准成本!C:C,0),1),"")</f>
        <v/>
      </c>
      <c r="K458" s="146" t="str">
        <f t="shared" si="37"/>
        <v/>
      </c>
      <c r="L458" s="146" t="str">
        <f t="shared" si="38"/>
        <v/>
      </c>
      <c r="M458" s="148" t="str">
        <f t="shared" si="39"/>
        <v/>
      </c>
    </row>
    <row r="459" spans="1:13" x14ac:dyDescent="0.3">
      <c r="A459" s="149"/>
      <c r="B459" s="149"/>
      <c r="C459" s="149"/>
      <c r="D459" s="149"/>
      <c r="E459" s="149"/>
      <c r="F459" s="149"/>
      <c r="G459" s="162"/>
      <c r="H459" s="146" t="str">
        <f t="shared" si="35"/>
        <v/>
      </c>
      <c r="I459" s="161" t="str">
        <f t="shared" si="36"/>
        <v/>
      </c>
      <c r="J459" s="160" t="str">
        <f>IFERROR(INDEX(当年标准成本!I:I,MATCH(C459,当年标准成本!C:C,0),1),"")</f>
        <v/>
      </c>
      <c r="K459" s="146" t="str">
        <f t="shared" si="37"/>
        <v/>
      </c>
      <c r="L459" s="146" t="str">
        <f t="shared" si="38"/>
        <v/>
      </c>
      <c r="M459" s="148" t="str">
        <f t="shared" si="39"/>
        <v/>
      </c>
    </row>
    <row r="460" spans="1:13" x14ac:dyDescent="0.3">
      <c r="A460" s="149"/>
      <c r="B460" s="149"/>
      <c r="C460" s="149"/>
      <c r="D460" s="149"/>
      <c r="E460" s="149"/>
      <c r="F460" s="149"/>
      <c r="G460" s="162"/>
      <c r="H460" s="146" t="str">
        <f t="shared" ref="H460:H523" si="40">IFERROR(F460/E460,"")</f>
        <v/>
      </c>
      <c r="I460" s="161" t="str">
        <f t="shared" ref="I460:I523" si="41">IFERROR(H460*(1+G460),"")</f>
        <v/>
      </c>
      <c r="J460" s="160" t="str">
        <f>IFERROR(INDEX(当年标准成本!I:I,MATCH(C460,当年标准成本!C:C,0),1),"")</f>
        <v/>
      </c>
      <c r="K460" s="146" t="str">
        <f t="shared" ref="K460:K523" si="42">IFERROR(E460*J460,"")</f>
        <v/>
      </c>
      <c r="L460" s="146" t="str">
        <f t="shared" ref="L460:L523" si="43">IFERROR(F460-K460,"")</f>
        <v/>
      </c>
      <c r="M460" s="148" t="str">
        <f t="shared" ref="M460:M523" si="44">IFERROR(L460/F460,"")</f>
        <v/>
      </c>
    </row>
    <row r="461" spans="1:13" x14ac:dyDescent="0.3">
      <c r="A461" s="149"/>
      <c r="B461" s="149"/>
      <c r="C461" s="149"/>
      <c r="D461" s="149"/>
      <c r="E461" s="149"/>
      <c r="F461" s="149"/>
      <c r="G461" s="162"/>
      <c r="H461" s="146" t="str">
        <f t="shared" si="40"/>
        <v/>
      </c>
      <c r="I461" s="161" t="str">
        <f t="shared" si="41"/>
        <v/>
      </c>
      <c r="J461" s="160" t="str">
        <f>IFERROR(INDEX(当年标准成本!I:I,MATCH(C461,当年标准成本!C:C,0),1),"")</f>
        <v/>
      </c>
      <c r="K461" s="146" t="str">
        <f t="shared" si="42"/>
        <v/>
      </c>
      <c r="L461" s="146" t="str">
        <f t="shared" si="43"/>
        <v/>
      </c>
      <c r="M461" s="148" t="str">
        <f t="shared" si="44"/>
        <v/>
      </c>
    </row>
    <row r="462" spans="1:13" x14ac:dyDescent="0.3">
      <c r="A462" s="149"/>
      <c r="B462" s="149"/>
      <c r="C462" s="149"/>
      <c r="D462" s="149"/>
      <c r="E462" s="149"/>
      <c r="F462" s="149"/>
      <c r="G462" s="162"/>
      <c r="H462" s="146" t="str">
        <f t="shared" si="40"/>
        <v/>
      </c>
      <c r="I462" s="161" t="str">
        <f t="shared" si="41"/>
        <v/>
      </c>
      <c r="J462" s="160" t="str">
        <f>IFERROR(INDEX(当年标准成本!I:I,MATCH(C462,当年标准成本!C:C,0),1),"")</f>
        <v/>
      </c>
      <c r="K462" s="146" t="str">
        <f t="shared" si="42"/>
        <v/>
      </c>
      <c r="L462" s="146" t="str">
        <f t="shared" si="43"/>
        <v/>
      </c>
      <c r="M462" s="148" t="str">
        <f t="shared" si="44"/>
        <v/>
      </c>
    </row>
    <row r="463" spans="1:13" x14ac:dyDescent="0.3">
      <c r="A463" s="149"/>
      <c r="B463" s="149"/>
      <c r="C463" s="149"/>
      <c r="D463" s="149"/>
      <c r="E463" s="149"/>
      <c r="F463" s="149"/>
      <c r="G463" s="162"/>
      <c r="H463" s="146" t="str">
        <f t="shared" si="40"/>
        <v/>
      </c>
      <c r="I463" s="161" t="str">
        <f t="shared" si="41"/>
        <v/>
      </c>
      <c r="J463" s="160" t="str">
        <f>IFERROR(INDEX(当年标准成本!I:I,MATCH(C463,当年标准成本!C:C,0),1),"")</f>
        <v/>
      </c>
      <c r="K463" s="146" t="str">
        <f t="shared" si="42"/>
        <v/>
      </c>
      <c r="L463" s="146" t="str">
        <f t="shared" si="43"/>
        <v/>
      </c>
      <c r="M463" s="148" t="str">
        <f t="shared" si="44"/>
        <v/>
      </c>
    </row>
    <row r="464" spans="1:13" x14ac:dyDescent="0.3">
      <c r="A464" s="149"/>
      <c r="B464" s="149"/>
      <c r="C464" s="149"/>
      <c r="D464" s="149"/>
      <c r="E464" s="149"/>
      <c r="F464" s="149"/>
      <c r="G464" s="162"/>
      <c r="H464" s="146" t="str">
        <f t="shared" si="40"/>
        <v/>
      </c>
      <c r="I464" s="161" t="str">
        <f t="shared" si="41"/>
        <v/>
      </c>
      <c r="J464" s="160" t="str">
        <f>IFERROR(INDEX(当年标准成本!I:I,MATCH(C464,当年标准成本!C:C,0),1),"")</f>
        <v/>
      </c>
      <c r="K464" s="146" t="str">
        <f t="shared" si="42"/>
        <v/>
      </c>
      <c r="L464" s="146" t="str">
        <f t="shared" si="43"/>
        <v/>
      </c>
      <c r="M464" s="148" t="str">
        <f t="shared" si="44"/>
        <v/>
      </c>
    </row>
    <row r="465" spans="1:13" x14ac:dyDescent="0.3">
      <c r="A465" s="149"/>
      <c r="B465" s="149"/>
      <c r="C465" s="149"/>
      <c r="D465" s="149"/>
      <c r="E465" s="149"/>
      <c r="F465" s="149"/>
      <c r="G465" s="162"/>
      <c r="H465" s="146" t="str">
        <f t="shared" si="40"/>
        <v/>
      </c>
      <c r="I465" s="161" t="str">
        <f t="shared" si="41"/>
        <v/>
      </c>
      <c r="J465" s="160" t="str">
        <f>IFERROR(INDEX(当年标准成本!I:I,MATCH(C465,当年标准成本!C:C,0),1),"")</f>
        <v/>
      </c>
      <c r="K465" s="146" t="str">
        <f t="shared" si="42"/>
        <v/>
      </c>
      <c r="L465" s="146" t="str">
        <f t="shared" si="43"/>
        <v/>
      </c>
      <c r="M465" s="148" t="str">
        <f t="shared" si="44"/>
        <v/>
      </c>
    </row>
    <row r="466" spans="1:13" x14ac:dyDescent="0.3">
      <c r="A466" s="149"/>
      <c r="B466" s="149"/>
      <c r="C466" s="149"/>
      <c r="D466" s="149"/>
      <c r="E466" s="149"/>
      <c r="F466" s="149"/>
      <c r="G466" s="162"/>
      <c r="H466" s="146" t="str">
        <f t="shared" si="40"/>
        <v/>
      </c>
      <c r="I466" s="161" t="str">
        <f t="shared" si="41"/>
        <v/>
      </c>
      <c r="J466" s="160" t="str">
        <f>IFERROR(INDEX(当年标准成本!I:I,MATCH(C466,当年标准成本!C:C,0),1),"")</f>
        <v/>
      </c>
      <c r="K466" s="146" t="str">
        <f t="shared" si="42"/>
        <v/>
      </c>
      <c r="L466" s="146" t="str">
        <f t="shared" si="43"/>
        <v/>
      </c>
      <c r="M466" s="148" t="str">
        <f t="shared" si="44"/>
        <v/>
      </c>
    </row>
    <row r="467" spans="1:13" x14ac:dyDescent="0.3">
      <c r="A467" s="149"/>
      <c r="B467" s="149"/>
      <c r="C467" s="149"/>
      <c r="D467" s="149"/>
      <c r="E467" s="149"/>
      <c r="F467" s="149"/>
      <c r="G467" s="162"/>
      <c r="H467" s="146" t="str">
        <f t="shared" si="40"/>
        <v/>
      </c>
      <c r="I467" s="161" t="str">
        <f t="shared" si="41"/>
        <v/>
      </c>
      <c r="J467" s="160" t="str">
        <f>IFERROR(INDEX(当年标准成本!I:I,MATCH(C467,当年标准成本!C:C,0),1),"")</f>
        <v/>
      </c>
      <c r="K467" s="146" t="str">
        <f t="shared" si="42"/>
        <v/>
      </c>
      <c r="L467" s="146" t="str">
        <f t="shared" si="43"/>
        <v/>
      </c>
      <c r="M467" s="148" t="str">
        <f t="shared" si="44"/>
        <v/>
      </c>
    </row>
    <row r="468" spans="1:13" x14ac:dyDescent="0.3">
      <c r="A468" s="149"/>
      <c r="B468" s="149"/>
      <c r="C468" s="149"/>
      <c r="D468" s="149"/>
      <c r="E468" s="149"/>
      <c r="F468" s="149"/>
      <c r="G468" s="162"/>
      <c r="H468" s="146" t="str">
        <f t="shared" si="40"/>
        <v/>
      </c>
      <c r="I468" s="161" t="str">
        <f t="shared" si="41"/>
        <v/>
      </c>
      <c r="J468" s="160" t="str">
        <f>IFERROR(INDEX(当年标准成本!I:I,MATCH(C468,当年标准成本!C:C,0),1),"")</f>
        <v/>
      </c>
      <c r="K468" s="146" t="str">
        <f t="shared" si="42"/>
        <v/>
      </c>
      <c r="L468" s="146" t="str">
        <f t="shared" si="43"/>
        <v/>
      </c>
      <c r="M468" s="148" t="str">
        <f t="shared" si="44"/>
        <v/>
      </c>
    </row>
    <row r="469" spans="1:13" x14ac:dyDescent="0.3">
      <c r="A469" s="149"/>
      <c r="B469" s="149"/>
      <c r="C469" s="149"/>
      <c r="D469" s="149"/>
      <c r="E469" s="149"/>
      <c r="F469" s="149"/>
      <c r="G469" s="162"/>
      <c r="H469" s="146" t="str">
        <f t="shared" si="40"/>
        <v/>
      </c>
      <c r="I469" s="161" t="str">
        <f t="shared" si="41"/>
        <v/>
      </c>
      <c r="J469" s="160" t="str">
        <f>IFERROR(INDEX(当年标准成本!I:I,MATCH(C469,当年标准成本!C:C,0),1),"")</f>
        <v/>
      </c>
      <c r="K469" s="146" t="str">
        <f t="shared" si="42"/>
        <v/>
      </c>
      <c r="L469" s="146" t="str">
        <f t="shared" si="43"/>
        <v/>
      </c>
      <c r="M469" s="148" t="str">
        <f t="shared" si="44"/>
        <v/>
      </c>
    </row>
    <row r="470" spans="1:13" x14ac:dyDescent="0.3">
      <c r="A470" s="149"/>
      <c r="B470" s="149"/>
      <c r="C470" s="149"/>
      <c r="D470" s="149"/>
      <c r="E470" s="149"/>
      <c r="F470" s="149"/>
      <c r="G470" s="162"/>
      <c r="H470" s="146" t="str">
        <f t="shared" si="40"/>
        <v/>
      </c>
      <c r="I470" s="161" t="str">
        <f t="shared" si="41"/>
        <v/>
      </c>
      <c r="J470" s="160" t="str">
        <f>IFERROR(INDEX(当年标准成本!I:I,MATCH(C470,当年标准成本!C:C,0),1),"")</f>
        <v/>
      </c>
      <c r="K470" s="146" t="str">
        <f t="shared" si="42"/>
        <v/>
      </c>
      <c r="L470" s="146" t="str">
        <f t="shared" si="43"/>
        <v/>
      </c>
      <c r="M470" s="148" t="str">
        <f t="shared" si="44"/>
        <v/>
      </c>
    </row>
    <row r="471" spans="1:13" x14ac:dyDescent="0.3">
      <c r="A471" s="149"/>
      <c r="B471" s="149"/>
      <c r="C471" s="149"/>
      <c r="D471" s="149"/>
      <c r="E471" s="149"/>
      <c r="F471" s="149"/>
      <c r="G471" s="162"/>
      <c r="H471" s="146" t="str">
        <f t="shared" si="40"/>
        <v/>
      </c>
      <c r="I471" s="161" t="str">
        <f t="shared" si="41"/>
        <v/>
      </c>
      <c r="J471" s="160" t="str">
        <f>IFERROR(INDEX(当年标准成本!I:I,MATCH(C471,当年标准成本!C:C,0),1),"")</f>
        <v/>
      </c>
      <c r="K471" s="146" t="str">
        <f t="shared" si="42"/>
        <v/>
      </c>
      <c r="L471" s="146" t="str">
        <f t="shared" si="43"/>
        <v/>
      </c>
      <c r="M471" s="148" t="str">
        <f t="shared" si="44"/>
        <v/>
      </c>
    </row>
    <row r="472" spans="1:13" x14ac:dyDescent="0.3">
      <c r="A472" s="149"/>
      <c r="B472" s="149"/>
      <c r="C472" s="149"/>
      <c r="D472" s="149"/>
      <c r="E472" s="149"/>
      <c r="F472" s="149"/>
      <c r="G472" s="162"/>
      <c r="H472" s="146" t="str">
        <f t="shared" si="40"/>
        <v/>
      </c>
      <c r="I472" s="161" t="str">
        <f t="shared" si="41"/>
        <v/>
      </c>
      <c r="J472" s="160" t="str">
        <f>IFERROR(INDEX(当年标准成本!I:I,MATCH(C472,当年标准成本!C:C,0),1),"")</f>
        <v/>
      </c>
      <c r="K472" s="146" t="str">
        <f t="shared" si="42"/>
        <v/>
      </c>
      <c r="L472" s="146" t="str">
        <f t="shared" si="43"/>
        <v/>
      </c>
      <c r="M472" s="148" t="str">
        <f t="shared" si="44"/>
        <v/>
      </c>
    </row>
    <row r="473" spans="1:13" x14ac:dyDescent="0.3">
      <c r="A473" s="149"/>
      <c r="B473" s="149"/>
      <c r="C473" s="149"/>
      <c r="D473" s="149"/>
      <c r="E473" s="149"/>
      <c r="F473" s="149"/>
      <c r="G473" s="162"/>
      <c r="H473" s="146" t="str">
        <f t="shared" si="40"/>
        <v/>
      </c>
      <c r="I473" s="161" t="str">
        <f t="shared" si="41"/>
        <v/>
      </c>
      <c r="J473" s="160" t="str">
        <f>IFERROR(INDEX(当年标准成本!I:I,MATCH(C473,当年标准成本!C:C,0),1),"")</f>
        <v/>
      </c>
      <c r="K473" s="146" t="str">
        <f t="shared" si="42"/>
        <v/>
      </c>
      <c r="L473" s="146" t="str">
        <f t="shared" si="43"/>
        <v/>
      </c>
      <c r="M473" s="148" t="str">
        <f t="shared" si="44"/>
        <v/>
      </c>
    </row>
    <row r="474" spans="1:13" x14ac:dyDescent="0.3">
      <c r="A474" s="149"/>
      <c r="B474" s="149"/>
      <c r="C474" s="149"/>
      <c r="D474" s="149"/>
      <c r="E474" s="149"/>
      <c r="F474" s="149"/>
      <c r="G474" s="162"/>
      <c r="H474" s="146" t="str">
        <f t="shared" si="40"/>
        <v/>
      </c>
      <c r="I474" s="161" t="str">
        <f t="shared" si="41"/>
        <v/>
      </c>
      <c r="J474" s="160" t="str">
        <f>IFERROR(INDEX(当年标准成本!I:I,MATCH(C474,当年标准成本!C:C,0),1),"")</f>
        <v/>
      </c>
      <c r="K474" s="146" t="str">
        <f t="shared" si="42"/>
        <v/>
      </c>
      <c r="L474" s="146" t="str">
        <f t="shared" si="43"/>
        <v/>
      </c>
      <c r="M474" s="148" t="str">
        <f t="shared" si="44"/>
        <v/>
      </c>
    </row>
    <row r="475" spans="1:13" x14ac:dyDescent="0.3">
      <c r="A475" s="149"/>
      <c r="B475" s="149"/>
      <c r="C475" s="149"/>
      <c r="D475" s="149"/>
      <c r="E475" s="149"/>
      <c r="F475" s="149"/>
      <c r="G475" s="162"/>
      <c r="H475" s="146" t="str">
        <f t="shared" si="40"/>
        <v/>
      </c>
      <c r="I475" s="161" t="str">
        <f t="shared" si="41"/>
        <v/>
      </c>
      <c r="J475" s="160" t="str">
        <f>IFERROR(INDEX(当年标准成本!I:I,MATCH(C475,当年标准成本!C:C,0),1),"")</f>
        <v/>
      </c>
      <c r="K475" s="146" t="str">
        <f t="shared" si="42"/>
        <v/>
      </c>
      <c r="L475" s="146" t="str">
        <f t="shared" si="43"/>
        <v/>
      </c>
      <c r="M475" s="148" t="str">
        <f t="shared" si="44"/>
        <v/>
      </c>
    </row>
    <row r="476" spans="1:13" x14ac:dyDescent="0.3">
      <c r="A476" s="149"/>
      <c r="B476" s="149"/>
      <c r="C476" s="149"/>
      <c r="D476" s="149"/>
      <c r="E476" s="149"/>
      <c r="F476" s="149"/>
      <c r="G476" s="162"/>
      <c r="H476" s="146" t="str">
        <f t="shared" si="40"/>
        <v/>
      </c>
      <c r="I476" s="161" t="str">
        <f t="shared" si="41"/>
        <v/>
      </c>
      <c r="J476" s="160" t="str">
        <f>IFERROR(INDEX(当年标准成本!I:I,MATCH(C476,当年标准成本!C:C,0),1),"")</f>
        <v/>
      </c>
      <c r="K476" s="146" t="str">
        <f t="shared" si="42"/>
        <v/>
      </c>
      <c r="L476" s="146" t="str">
        <f t="shared" si="43"/>
        <v/>
      </c>
      <c r="M476" s="148" t="str">
        <f t="shared" si="44"/>
        <v/>
      </c>
    </row>
    <row r="477" spans="1:13" x14ac:dyDescent="0.3">
      <c r="A477" s="149"/>
      <c r="B477" s="149"/>
      <c r="C477" s="149"/>
      <c r="D477" s="149"/>
      <c r="E477" s="149"/>
      <c r="F477" s="149"/>
      <c r="G477" s="162"/>
      <c r="H477" s="146" t="str">
        <f t="shared" si="40"/>
        <v/>
      </c>
      <c r="I477" s="161" t="str">
        <f t="shared" si="41"/>
        <v/>
      </c>
      <c r="J477" s="160" t="str">
        <f>IFERROR(INDEX(当年标准成本!I:I,MATCH(C477,当年标准成本!C:C,0),1),"")</f>
        <v/>
      </c>
      <c r="K477" s="146" t="str">
        <f t="shared" si="42"/>
        <v/>
      </c>
      <c r="L477" s="146" t="str">
        <f t="shared" si="43"/>
        <v/>
      </c>
      <c r="M477" s="148" t="str">
        <f t="shared" si="44"/>
        <v/>
      </c>
    </row>
    <row r="478" spans="1:13" x14ac:dyDescent="0.3">
      <c r="A478" s="149"/>
      <c r="B478" s="149"/>
      <c r="C478" s="149"/>
      <c r="D478" s="149"/>
      <c r="E478" s="149"/>
      <c r="F478" s="149"/>
      <c r="G478" s="162"/>
      <c r="H478" s="146" t="str">
        <f t="shared" si="40"/>
        <v/>
      </c>
      <c r="I478" s="161" t="str">
        <f t="shared" si="41"/>
        <v/>
      </c>
      <c r="J478" s="160" t="str">
        <f>IFERROR(INDEX(当年标准成本!I:I,MATCH(C478,当年标准成本!C:C,0),1),"")</f>
        <v/>
      </c>
      <c r="K478" s="146" t="str">
        <f t="shared" si="42"/>
        <v/>
      </c>
      <c r="L478" s="146" t="str">
        <f t="shared" si="43"/>
        <v/>
      </c>
      <c r="M478" s="148" t="str">
        <f t="shared" si="44"/>
        <v/>
      </c>
    </row>
    <row r="479" spans="1:13" x14ac:dyDescent="0.3">
      <c r="A479" s="149"/>
      <c r="B479" s="149"/>
      <c r="C479" s="149"/>
      <c r="D479" s="149"/>
      <c r="E479" s="149"/>
      <c r="F479" s="149"/>
      <c r="G479" s="162"/>
      <c r="H479" s="146" t="str">
        <f t="shared" si="40"/>
        <v/>
      </c>
      <c r="I479" s="161" t="str">
        <f t="shared" si="41"/>
        <v/>
      </c>
      <c r="J479" s="160" t="str">
        <f>IFERROR(INDEX(当年标准成本!I:I,MATCH(C479,当年标准成本!C:C,0),1),"")</f>
        <v/>
      </c>
      <c r="K479" s="146" t="str">
        <f t="shared" si="42"/>
        <v/>
      </c>
      <c r="L479" s="146" t="str">
        <f t="shared" si="43"/>
        <v/>
      </c>
      <c r="M479" s="148" t="str">
        <f t="shared" si="44"/>
        <v/>
      </c>
    </row>
    <row r="480" spans="1:13" x14ac:dyDescent="0.3">
      <c r="A480" s="149"/>
      <c r="B480" s="149"/>
      <c r="C480" s="149"/>
      <c r="D480" s="149"/>
      <c r="E480" s="149"/>
      <c r="F480" s="149"/>
      <c r="G480" s="162"/>
      <c r="H480" s="146" t="str">
        <f t="shared" si="40"/>
        <v/>
      </c>
      <c r="I480" s="161" t="str">
        <f t="shared" si="41"/>
        <v/>
      </c>
      <c r="J480" s="160" t="str">
        <f>IFERROR(INDEX(当年标准成本!I:I,MATCH(C480,当年标准成本!C:C,0),1),"")</f>
        <v/>
      </c>
      <c r="K480" s="146" t="str">
        <f t="shared" si="42"/>
        <v/>
      </c>
      <c r="L480" s="146" t="str">
        <f t="shared" si="43"/>
        <v/>
      </c>
      <c r="M480" s="148" t="str">
        <f t="shared" si="44"/>
        <v/>
      </c>
    </row>
    <row r="481" spans="1:13" x14ac:dyDescent="0.3">
      <c r="A481" s="149"/>
      <c r="B481" s="149"/>
      <c r="C481" s="149"/>
      <c r="D481" s="149"/>
      <c r="E481" s="149"/>
      <c r="F481" s="149"/>
      <c r="G481" s="162"/>
      <c r="H481" s="146" t="str">
        <f t="shared" si="40"/>
        <v/>
      </c>
      <c r="I481" s="161" t="str">
        <f t="shared" si="41"/>
        <v/>
      </c>
      <c r="J481" s="160" t="str">
        <f>IFERROR(INDEX(当年标准成本!I:I,MATCH(C481,当年标准成本!C:C,0),1),"")</f>
        <v/>
      </c>
      <c r="K481" s="146" t="str">
        <f t="shared" si="42"/>
        <v/>
      </c>
      <c r="L481" s="146" t="str">
        <f t="shared" si="43"/>
        <v/>
      </c>
      <c r="M481" s="148" t="str">
        <f t="shared" si="44"/>
        <v/>
      </c>
    </row>
    <row r="482" spans="1:13" x14ac:dyDescent="0.3">
      <c r="A482" s="149"/>
      <c r="B482" s="149"/>
      <c r="C482" s="149"/>
      <c r="D482" s="149"/>
      <c r="E482" s="149"/>
      <c r="F482" s="149"/>
      <c r="G482" s="162"/>
      <c r="H482" s="146" t="str">
        <f t="shared" si="40"/>
        <v/>
      </c>
      <c r="I482" s="161" t="str">
        <f t="shared" si="41"/>
        <v/>
      </c>
      <c r="J482" s="160" t="str">
        <f>IFERROR(INDEX(当年标准成本!I:I,MATCH(C482,当年标准成本!C:C,0),1),"")</f>
        <v/>
      </c>
      <c r="K482" s="146" t="str">
        <f t="shared" si="42"/>
        <v/>
      </c>
      <c r="L482" s="146" t="str">
        <f t="shared" si="43"/>
        <v/>
      </c>
      <c r="M482" s="148" t="str">
        <f t="shared" si="44"/>
        <v/>
      </c>
    </row>
    <row r="483" spans="1:13" x14ac:dyDescent="0.3">
      <c r="A483" s="149"/>
      <c r="B483" s="149"/>
      <c r="C483" s="149"/>
      <c r="D483" s="149"/>
      <c r="E483" s="149"/>
      <c r="F483" s="149"/>
      <c r="G483" s="162"/>
      <c r="H483" s="146" t="str">
        <f t="shared" si="40"/>
        <v/>
      </c>
      <c r="I483" s="161" t="str">
        <f t="shared" si="41"/>
        <v/>
      </c>
      <c r="J483" s="160" t="str">
        <f>IFERROR(INDEX(当年标准成本!I:I,MATCH(C483,当年标准成本!C:C,0),1),"")</f>
        <v/>
      </c>
      <c r="K483" s="146" t="str">
        <f t="shared" si="42"/>
        <v/>
      </c>
      <c r="L483" s="146" t="str">
        <f t="shared" si="43"/>
        <v/>
      </c>
      <c r="M483" s="148" t="str">
        <f t="shared" si="44"/>
        <v/>
      </c>
    </row>
    <row r="484" spans="1:13" x14ac:dyDescent="0.3">
      <c r="A484" s="149"/>
      <c r="B484" s="149"/>
      <c r="C484" s="149"/>
      <c r="D484" s="149"/>
      <c r="E484" s="149"/>
      <c r="F484" s="149"/>
      <c r="G484" s="162"/>
      <c r="H484" s="146" t="str">
        <f t="shared" si="40"/>
        <v/>
      </c>
      <c r="I484" s="161" t="str">
        <f t="shared" si="41"/>
        <v/>
      </c>
      <c r="J484" s="160" t="str">
        <f>IFERROR(INDEX(当年标准成本!I:I,MATCH(C484,当年标准成本!C:C,0),1),"")</f>
        <v/>
      </c>
      <c r="K484" s="146" t="str">
        <f t="shared" si="42"/>
        <v/>
      </c>
      <c r="L484" s="146" t="str">
        <f t="shared" si="43"/>
        <v/>
      </c>
      <c r="M484" s="148" t="str">
        <f t="shared" si="44"/>
        <v/>
      </c>
    </row>
    <row r="485" spans="1:13" x14ac:dyDescent="0.3">
      <c r="A485" s="149"/>
      <c r="B485" s="149"/>
      <c r="C485" s="149"/>
      <c r="D485" s="149"/>
      <c r="E485" s="149"/>
      <c r="F485" s="149"/>
      <c r="G485" s="162"/>
      <c r="H485" s="146" t="str">
        <f t="shared" si="40"/>
        <v/>
      </c>
      <c r="I485" s="161" t="str">
        <f t="shared" si="41"/>
        <v/>
      </c>
      <c r="J485" s="160" t="str">
        <f>IFERROR(INDEX(当年标准成本!I:I,MATCH(C485,当年标准成本!C:C,0),1),"")</f>
        <v/>
      </c>
      <c r="K485" s="146" t="str">
        <f t="shared" si="42"/>
        <v/>
      </c>
      <c r="L485" s="146" t="str">
        <f t="shared" si="43"/>
        <v/>
      </c>
      <c r="M485" s="148" t="str">
        <f t="shared" si="44"/>
        <v/>
      </c>
    </row>
    <row r="486" spans="1:13" x14ac:dyDescent="0.3">
      <c r="A486" s="149"/>
      <c r="B486" s="149"/>
      <c r="C486" s="149"/>
      <c r="D486" s="149"/>
      <c r="E486" s="149"/>
      <c r="F486" s="149"/>
      <c r="G486" s="162"/>
      <c r="H486" s="146" t="str">
        <f t="shared" si="40"/>
        <v/>
      </c>
      <c r="I486" s="161" t="str">
        <f t="shared" si="41"/>
        <v/>
      </c>
      <c r="J486" s="160" t="str">
        <f>IFERROR(INDEX(当年标准成本!I:I,MATCH(C486,当年标准成本!C:C,0),1),"")</f>
        <v/>
      </c>
      <c r="K486" s="146" t="str">
        <f t="shared" si="42"/>
        <v/>
      </c>
      <c r="L486" s="146" t="str">
        <f t="shared" si="43"/>
        <v/>
      </c>
      <c r="M486" s="148" t="str">
        <f t="shared" si="44"/>
        <v/>
      </c>
    </row>
    <row r="487" spans="1:13" x14ac:dyDescent="0.3">
      <c r="A487" s="149"/>
      <c r="B487" s="149"/>
      <c r="C487" s="149"/>
      <c r="D487" s="149"/>
      <c r="E487" s="149"/>
      <c r="F487" s="149"/>
      <c r="G487" s="162"/>
      <c r="H487" s="146" t="str">
        <f t="shared" si="40"/>
        <v/>
      </c>
      <c r="I487" s="161" t="str">
        <f t="shared" si="41"/>
        <v/>
      </c>
      <c r="J487" s="160" t="str">
        <f>IFERROR(INDEX(当年标准成本!I:I,MATCH(C487,当年标准成本!C:C,0),1),"")</f>
        <v/>
      </c>
      <c r="K487" s="146" t="str">
        <f t="shared" si="42"/>
        <v/>
      </c>
      <c r="L487" s="146" t="str">
        <f t="shared" si="43"/>
        <v/>
      </c>
      <c r="M487" s="148" t="str">
        <f t="shared" si="44"/>
        <v/>
      </c>
    </row>
    <row r="488" spans="1:13" x14ac:dyDescent="0.3">
      <c r="A488" s="149"/>
      <c r="B488" s="149"/>
      <c r="C488" s="149"/>
      <c r="D488" s="149"/>
      <c r="E488" s="149"/>
      <c r="F488" s="149"/>
      <c r="G488" s="162"/>
      <c r="H488" s="146" t="str">
        <f t="shared" si="40"/>
        <v/>
      </c>
      <c r="I488" s="161" t="str">
        <f t="shared" si="41"/>
        <v/>
      </c>
      <c r="J488" s="160" t="str">
        <f>IFERROR(INDEX(当年标准成本!I:I,MATCH(C488,当年标准成本!C:C,0),1),"")</f>
        <v/>
      </c>
      <c r="K488" s="146" t="str">
        <f t="shared" si="42"/>
        <v/>
      </c>
      <c r="L488" s="146" t="str">
        <f t="shared" si="43"/>
        <v/>
      </c>
      <c r="M488" s="148" t="str">
        <f t="shared" si="44"/>
        <v/>
      </c>
    </row>
    <row r="489" spans="1:13" x14ac:dyDescent="0.3">
      <c r="A489" s="149"/>
      <c r="B489" s="149"/>
      <c r="C489" s="149"/>
      <c r="D489" s="149"/>
      <c r="E489" s="149"/>
      <c r="F489" s="149"/>
      <c r="G489" s="162"/>
      <c r="H489" s="146" t="str">
        <f t="shared" si="40"/>
        <v/>
      </c>
      <c r="I489" s="161" t="str">
        <f t="shared" si="41"/>
        <v/>
      </c>
      <c r="J489" s="160" t="str">
        <f>IFERROR(INDEX(当年标准成本!I:I,MATCH(C489,当年标准成本!C:C,0),1),"")</f>
        <v/>
      </c>
      <c r="K489" s="146" t="str">
        <f t="shared" si="42"/>
        <v/>
      </c>
      <c r="L489" s="146" t="str">
        <f t="shared" si="43"/>
        <v/>
      </c>
      <c r="M489" s="148" t="str">
        <f t="shared" si="44"/>
        <v/>
      </c>
    </row>
    <row r="490" spans="1:13" x14ac:dyDescent="0.3">
      <c r="A490" s="149"/>
      <c r="B490" s="149"/>
      <c r="C490" s="149"/>
      <c r="D490" s="149"/>
      <c r="E490" s="149"/>
      <c r="F490" s="149"/>
      <c r="G490" s="162"/>
      <c r="H490" s="146" t="str">
        <f t="shared" si="40"/>
        <v/>
      </c>
      <c r="I490" s="161" t="str">
        <f t="shared" si="41"/>
        <v/>
      </c>
      <c r="J490" s="160" t="str">
        <f>IFERROR(INDEX(当年标准成本!I:I,MATCH(C490,当年标准成本!C:C,0),1),"")</f>
        <v/>
      </c>
      <c r="K490" s="146" t="str">
        <f t="shared" si="42"/>
        <v/>
      </c>
      <c r="L490" s="146" t="str">
        <f t="shared" si="43"/>
        <v/>
      </c>
      <c r="M490" s="148" t="str">
        <f t="shared" si="44"/>
        <v/>
      </c>
    </row>
    <row r="491" spans="1:13" x14ac:dyDescent="0.3">
      <c r="A491" s="149"/>
      <c r="B491" s="149"/>
      <c r="C491" s="149"/>
      <c r="D491" s="149"/>
      <c r="E491" s="149"/>
      <c r="F491" s="149"/>
      <c r="G491" s="162"/>
      <c r="H491" s="146" t="str">
        <f t="shared" si="40"/>
        <v/>
      </c>
      <c r="I491" s="161" t="str">
        <f t="shared" si="41"/>
        <v/>
      </c>
      <c r="J491" s="160" t="str">
        <f>IFERROR(INDEX(当年标准成本!I:I,MATCH(C491,当年标准成本!C:C,0),1),"")</f>
        <v/>
      </c>
      <c r="K491" s="146" t="str">
        <f t="shared" si="42"/>
        <v/>
      </c>
      <c r="L491" s="146" t="str">
        <f t="shared" si="43"/>
        <v/>
      </c>
      <c r="M491" s="148" t="str">
        <f t="shared" si="44"/>
        <v/>
      </c>
    </row>
    <row r="492" spans="1:13" x14ac:dyDescent="0.3">
      <c r="A492" s="149"/>
      <c r="B492" s="149"/>
      <c r="C492" s="149"/>
      <c r="D492" s="149"/>
      <c r="E492" s="149"/>
      <c r="F492" s="149"/>
      <c r="G492" s="162"/>
      <c r="H492" s="146" t="str">
        <f t="shared" si="40"/>
        <v/>
      </c>
      <c r="I492" s="161" t="str">
        <f t="shared" si="41"/>
        <v/>
      </c>
      <c r="J492" s="160" t="str">
        <f>IFERROR(INDEX(当年标准成本!I:I,MATCH(C492,当年标准成本!C:C,0),1),"")</f>
        <v/>
      </c>
      <c r="K492" s="146" t="str">
        <f t="shared" si="42"/>
        <v/>
      </c>
      <c r="L492" s="146" t="str">
        <f t="shared" si="43"/>
        <v/>
      </c>
      <c r="M492" s="148" t="str">
        <f t="shared" si="44"/>
        <v/>
      </c>
    </row>
    <row r="493" spans="1:13" x14ac:dyDescent="0.3">
      <c r="A493" s="149"/>
      <c r="B493" s="149"/>
      <c r="C493" s="149"/>
      <c r="D493" s="149"/>
      <c r="E493" s="149"/>
      <c r="F493" s="149"/>
      <c r="G493" s="162"/>
      <c r="H493" s="146" t="str">
        <f t="shared" si="40"/>
        <v/>
      </c>
      <c r="I493" s="161" t="str">
        <f t="shared" si="41"/>
        <v/>
      </c>
      <c r="J493" s="160" t="str">
        <f>IFERROR(INDEX(当年标准成本!I:I,MATCH(C493,当年标准成本!C:C,0),1),"")</f>
        <v/>
      </c>
      <c r="K493" s="146" t="str">
        <f t="shared" si="42"/>
        <v/>
      </c>
      <c r="L493" s="146" t="str">
        <f t="shared" si="43"/>
        <v/>
      </c>
      <c r="M493" s="148" t="str">
        <f t="shared" si="44"/>
        <v/>
      </c>
    </row>
    <row r="494" spans="1:13" x14ac:dyDescent="0.3">
      <c r="A494" s="149"/>
      <c r="B494" s="149"/>
      <c r="C494" s="149"/>
      <c r="D494" s="149"/>
      <c r="E494" s="149"/>
      <c r="F494" s="149"/>
      <c r="G494" s="162"/>
      <c r="H494" s="146" t="str">
        <f t="shared" si="40"/>
        <v/>
      </c>
      <c r="I494" s="161" t="str">
        <f t="shared" si="41"/>
        <v/>
      </c>
      <c r="J494" s="160" t="str">
        <f>IFERROR(INDEX(当年标准成本!I:I,MATCH(C494,当年标准成本!C:C,0),1),"")</f>
        <v/>
      </c>
      <c r="K494" s="146" t="str">
        <f t="shared" si="42"/>
        <v/>
      </c>
      <c r="L494" s="146" t="str">
        <f t="shared" si="43"/>
        <v/>
      </c>
      <c r="M494" s="148" t="str">
        <f t="shared" si="44"/>
        <v/>
      </c>
    </row>
    <row r="495" spans="1:13" x14ac:dyDescent="0.3">
      <c r="A495" s="149"/>
      <c r="B495" s="149"/>
      <c r="C495" s="149"/>
      <c r="D495" s="149"/>
      <c r="E495" s="149"/>
      <c r="F495" s="149"/>
      <c r="G495" s="162"/>
      <c r="H495" s="146" t="str">
        <f t="shared" si="40"/>
        <v/>
      </c>
      <c r="I495" s="161" t="str">
        <f t="shared" si="41"/>
        <v/>
      </c>
      <c r="J495" s="160" t="str">
        <f>IFERROR(INDEX(当年标准成本!I:I,MATCH(C495,当年标准成本!C:C,0),1),"")</f>
        <v/>
      </c>
      <c r="K495" s="146" t="str">
        <f t="shared" si="42"/>
        <v/>
      </c>
      <c r="L495" s="146" t="str">
        <f t="shared" si="43"/>
        <v/>
      </c>
      <c r="M495" s="148" t="str">
        <f t="shared" si="44"/>
        <v/>
      </c>
    </row>
    <row r="496" spans="1:13" x14ac:dyDescent="0.3">
      <c r="A496" s="149"/>
      <c r="B496" s="149"/>
      <c r="C496" s="149"/>
      <c r="D496" s="149"/>
      <c r="E496" s="149"/>
      <c r="F496" s="149"/>
      <c r="G496" s="162"/>
      <c r="H496" s="146" t="str">
        <f t="shared" si="40"/>
        <v/>
      </c>
      <c r="I496" s="161" t="str">
        <f t="shared" si="41"/>
        <v/>
      </c>
      <c r="J496" s="160" t="str">
        <f>IFERROR(INDEX(当年标准成本!I:I,MATCH(C496,当年标准成本!C:C,0),1),"")</f>
        <v/>
      </c>
      <c r="K496" s="146" t="str">
        <f t="shared" si="42"/>
        <v/>
      </c>
      <c r="L496" s="146" t="str">
        <f t="shared" si="43"/>
        <v/>
      </c>
      <c r="M496" s="148" t="str">
        <f t="shared" si="44"/>
        <v/>
      </c>
    </row>
    <row r="497" spans="1:13" x14ac:dyDescent="0.3">
      <c r="A497" s="149"/>
      <c r="B497" s="149"/>
      <c r="C497" s="149"/>
      <c r="D497" s="149"/>
      <c r="E497" s="149"/>
      <c r="F497" s="149"/>
      <c r="G497" s="162"/>
      <c r="H497" s="146" t="str">
        <f t="shared" si="40"/>
        <v/>
      </c>
      <c r="I497" s="161" t="str">
        <f t="shared" si="41"/>
        <v/>
      </c>
      <c r="J497" s="160" t="str">
        <f>IFERROR(INDEX(当年标准成本!I:I,MATCH(C497,当年标准成本!C:C,0),1),"")</f>
        <v/>
      </c>
      <c r="K497" s="146" t="str">
        <f t="shared" si="42"/>
        <v/>
      </c>
      <c r="L497" s="146" t="str">
        <f t="shared" si="43"/>
        <v/>
      </c>
      <c r="M497" s="148" t="str">
        <f t="shared" si="44"/>
        <v/>
      </c>
    </row>
    <row r="498" spans="1:13" x14ac:dyDescent="0.3">
      <c r="A498" s="149"/>
      <c r="B498" s="149"/>
      <c r="C498" s="149"/>
      <c r="D498" s="149"/>
      <c r="E498" s="149"/>
      <c r="F498" s="149"/>
      <c r="G498" s="162"/>
      <c r="H498" s="146" t="str">
        <f t="shared" si="40"/>
        <v/>
      </c>
      <c r="I498" s="161" t="str">
        <f t="shared" si="41"/>
        <v/>
      </c>
      <c r="J498" s="160" t="str">
        <f>IFERROR(INDEX(当年标准成本!I:I,MATCH(C498,当年标准成本!C:C,0),1),"")</f>
        <v/>
      </c>
      <c r="K498" s="146" t="str">
        <f t="shared" si="42"/>
        <v/>
      </c>
      <c r="L498" s="146" t="str">
        <f t="shared" si="43"/>
        <v/>
      </c>
      <c r="M498" s="148" t="str">
        <f t="shared" si="44"/>
        <v/>
      </c>
    </row>
    <row r="499" spans="1:13" x14ac:dyDescent="0.3">
      <c r="A499" s="149"/>
      <c r="B499" s="149"/>
      <c r="C499" s="149"/>
      <c r="D499" s="149"/>
      <c r="E499" s="149"/>
      <c r="F499" s="149"/>
      <c r="G499" s="162"/>
      <c r="H499" s="146" t="str">
        <f t="shared" si="40"/>
        <v/>
      </c>
      <c r="I499" s="161" t="str">
        <f t="shared" si="41"/>
        <v/>
      </c>
      <c r="J499" s="160" t="str">
        <f>IFERROR(INDEX(当年标准成本!I:I,MATCH(C499,当年标准成本!C:C,0),1),"")</f>
        <v/>
      </c>
      <c r="K499" s="146" t="str">
        <f t="shared" si="42"/>
        <v/>
      </c>
      <c r="L499" s="146" t="str">
        <f t="shared" si="43"/>
        <v/>
      </c>
      <c r="M499" s="148" t="str">
        <f t="shared" si="44"/>
        <v/>
      </c>
    </row>
    <row r="500" spans="1:13" x14ac:dyDescent="0.3">
      <c r="A500" s="149"/>
      <c r="B500" s="149"/>
      <c r="C500" s="149"/>
      <c r="D500" s="149"/>
      <c r="E500" s="149"/>
      <c r="F500" s="149"/>
      <c r="G500" s="162"/>
      <c r="H500" s="146" t="str">
        <f t="shared" si="40"/>
        <v/>
      </c>
      <c r="I500" s="161" t="str">
        <f t="shared" si="41"/>
        <v/>
      </c>
      <c r="J500" s="160" t="str">
        <f>IFERROR(INDEX(当年标准成本!I:I,MATCH(C500,当年标准成本!C:C,0),1),"")</f>
        <v/>
      </c>
      <c r="K500" s="146" t="str">
        <f t="shared" si="42"/>
        <v/>
      </c>
      <c r="L500" s="146" t="str">
        <f t="shared" si="43"/>
        <v/>
      </c>
      <c r="M500" s="148" t="str">
        <f t="shared" si="44"/>
        <v/>
      </c>
    </row>
    <row r="501" spans="1:13" x14ac:dyDescent="0.3">
      <c r="A501" s="149"/>
      <c r="B501" s="149"/>
      <c r="C501" s="149"/>
      <c r="D501" s="149"/>
      <c r="E501" s="149"/>
      <c r="F501" s="149"/>
      <c r="G501" s="162"/>
      <c r="H501" s="146" t="str">
        <f t="shared" si="40"/>
        <v/>
      </c>
      <c r="I501" s="161" t="str">
        <f t="shared" si="41"/>
        <v/>
      </c>
      <c r="J501" s="160" t="str">
        <f>IFERROR(INDEX(当年标准成本!I:I,MATCH(C501,当年标准成本!C:C,0),1),"")</f>
        <v/>
      </c>
      <c r="K501" s="146" t="str">
        <f t="shared" si="42"/>
        <v/>
      </c>
      <c r="L501" s="146" t="str">
        <f t="shared" si="43"/>
        <v/>
      </c>
      <c r="M501" s="148" t="str">
        <f t="shared" si="44"/>
        <v/>
      </c>
    </row>
    <row r="502" spans="1:13" x14ac:dyDescent="0.3">
      <c r="A502" s="149"/>
      <c r="B502" s="149"/>
      <c r="C502" s="149"/>
      <c r="D502" s="149"/>
      <c r="E502" s="149"/>
      <c r="F502" s="149"/>
      <c r="G502" s="162"/>
      <c r="H502" s="146" t="str">
        <f t="shared" si="40"/>
        <v/>
      </c>
      <c r="I502" s="161" t="str">
        <f t="shared" si="41"/>
        <v/>
      </c>
      <c r="J502" s="160" t="str">
        <f>IFERROR(INDEX(当年标准成本!I:I,MATCH(C502,当年标准成本!C:C,0),1),"")</f>
        <v/>
      </c>
      <c r="K502" s="146" t="str">
        <f t="shared" si="42"/>
        <v/>
      </c>
      <c r="L502" s="146" t="str">
        <f t="shared" si="43"/>
        <v/>
      </c>
      <c r="M502" s="148" t="str">
        <f t="shared" si="44"/>
        <v/>
      </c>
    </row>
    <row r="503" spans="1:13" x14ac:dyDescent="0.3">
      <c r="A503" s="149"/>
      <c r="B503" s="149"/>
      <c r="C503" s="149"/>
      <c r="D503" s="149"/>
      <c r="E503" s="149"/>
      <c r="F503" s="149"/>
      <c r="G503" s="162"/>
      <c r="H503" s="146" t="str">
        <f t="shared" si="40"/>
        <v/>
      </c>
      <c r="I503" s="161" t="str">
        <f t="shared" si="41"/>
        <v/>
      </c>
      <c r="J503" s="160" t="str">
        <f>IFERROR(INDEX(当年标准成本!I:I,MATCH(C503,当年标准成本!C:C,0),1),"")</f>
        <v/>
      </c>
      <c r="K503" s="146" t="str">
        <f t="shared" si="42"/>
        <v/>
      </c>
      <c r="L503" s="146" t="str">
        <f t="shared" si="43"/>
        <v/>
      </c>
      <c r="M503" s="148" t="str">
        <f t="shared" si="44"/>
        <v/>
      </c>
    </row>
    <row r="504" spans="1:13" x14ac:dyDescent="0.3">
      <c r="A504" s="149"/>
      <c r="B504" s="149"/>
      <c r="C504" s="149"/>
      <c r="D504" s="149"/>
      <c r="E504" s="149"/>
      <c r="F504" s="149"/>
      <c r="G504" s="162"/>
      <c r="H504" s="146" t="str">
        <f t="shared" si="40"/>
        <v/>
      </c>
      <c r="I504" s="161" t="str">
        <f t="shared" si="41"/>
        <v/>
      </c>
      <c r="J504" s="160" t="str">
        <f>IFERROR(INDEX(当年标准成本!I:I,MATCH(C504,当年标准成本!C:C,0),1),"")</f>
        <v/>
      </c>
      <c r="K504" s="146" t="str">
        <f t="shared" si="42"/>
        <v/>
      </c>
      <c r="L504" s="146" t="str">
        <f t="shared" si="43"/>
        <v/>
      </c>
      <c r="M504" s="148" t="str">
        <f t="shared" si="44"/>
        <v/>
      </c>
    </row>
    <row r="505" spans="1:13" x14ac:dyDescent="0.3">
      <c r="A505" s="149"/>
      <c r="B505" s="149"/>
      <c r="C505" s="149"/>
      <c r="D505" s="149"/>
      <c r="E505" s="149"/>
      <c r="F505" s="149"/>
      <c r="G505" s="162"/>
      <c r="H505" s="146" t="str">
        <f t="shared" si="40"/>
        <v/>
      </c>
      <c r="I505" s="161" t="str">
        <f t="shared" si="41"/>
        <v/>
      </c>
      <c r="J505" s="160" t="str">
        <f>IFERROR(INDEX(当年标准成本!I:I,MATCH(C505,当年标准成本!C:C,0),1),"")</f>
        <v/>
      </c>
      <c r="K505" s="146" t="str">
        <f t="shared" si="42"/>
        <v/>
      </c>
      <c r="L505" s="146" t="str">
        <f t="shared" si="43"/>
        <v/>
      </c>
      <c r="M505" s="148" t="str">
        <f t="shared" si="44"/>
        <v/>
      </c>
    </row>
    <row r="506" spans="1:13" x14ac:dyDescent="0.3">
      <c r="A506" s="149"/>
      <c r="B506" s="149"/>
      <c r="C506" s="149"/>
      <c r="D506" s="149"/>
      <c r="E506" s="149"/>
      <c r="F506" s="149"/>
      <c r="G506" s="162"/>
      <c r="H506" s="146" t="str">
        <f t="shared" si="40"/>
        <v/>
      </c>
      <c r="I506" s="161" t="str">
        <f t="shared" si="41"/>
        <v/>
      </c>
      <c r="J506" s="160" t="str">
        <f>IFERROR(INDEX(当年标准成本!I:I,MATCH(C506,当年标准成本!C:C,0),1),"")</f>
        <v/>
      </c>
      <c r="K506" s="146" t="str">
        <f t="shared" si="42"/>
        <v/>
      </c>
      <c r="L506" s="146" t="str">
        <f t="shared" si="43"/>
        <v/>
      </c>
      <c r="M506" s="148" t="str">
        <f t="shared" si="44"/>
        <v/>
      </c>
    </row>
    <row r="507" spans="1:13" x14ac:dyDescent="0.3">
      <c r="A507" s="149"/>
      <c r="B507" s="149"/>
      <c r="C507" s="149"/>
      <c r="D507" s="149"/>
      <c r="E507" s="149"/>
      <c r="F507" s="149"/>
      <c r="G507" s="162"/>
      <c r="H507" s="146" t="str">
        <f t="shared" si="40"/>
        <v/>
      </c>
      <c r="I507" s="161" t="str">
        <f t="shared" si="41"/>
        <v/>
      </c>
      <c r="J507" s="160" t="str">
        <f>IFERROR(INDEX(当年标准成本!I:I,MATCH(C507,当年标准成本!C:C,0),1),"")</f>
        <v/>
      </c>
      <c r="K507" s="146" t="str">
        <f t="shared" si="42"/>
        <v/>
      </c>
      <c r="L507" s="146" t="str">
        <f t="shared" si="43"/>
        <v/>
      </c>
      <c r="M507" s="148" t="str">
        <f t="shared" si="44"/>
        <v/>
      </c>
    </row>
    <row r="508" spans="1:13" x14ac:dyDescent="0.3">
      <c r="A508" s="149"/>
      <c r="B508" s="149"/>
      <c r="C508" s="149"/>
      <c r="D508" s="149"/>
      <c r="E508" s="149"/>
      <c r="F508" s="149"/>
      <c r="G508" s="162"/>
      <c r="H508" s="146" t="str">
        <f t="shared" si="40"/>
        <v/>
      </c>
      <c r="I508" s="161" t="str">
        <f t="shared" si="41"/>
        <v/>
      </c>
      <c r="J508" s="160" t="str">
        <f>IFERROR(INDEX(当年标准成本!I:I,MATCH(C508,当年标准成本!C:C,0),1),"")</f>
        <v/>
      </c>
      <c r="K508" s="146" t="str">
        <f t="shared" si="42"/>
        <v/>
      </c>
      <c r="L508" s="146" t="str">
        <f t="shared" si="43"/>
        <v/>
      </c>
      <c r="M508" s="148" t="str">
        <f t="shared" si="44"/>
        <v/>
      </c>
    </row>
    <row r="509" spans="1:13" x14ac:dyDescent="0.3">
      <c r="A509" s="149"/>
      <c r="B509" s="149"/>
      <c r="C509" s="149"/>
      <c r="D509" s="149"/>
      <c r="E509" s="149"/>
      <c r="F509" s="149"/>
      <c r="G509" s="162"/>
      <c r="H509" s="146" t="str">
        <f t="shared" si="40"/>
        <v/>
      </c>
      <c r="I509" s="161" t="str">
        <f t="shared" si="41"/>
        <v/>
      </c>
      <c r="J509" s="160" t="str">
        <f>IFERROR(INDEX(当年标准成本!I:I,MATCH(C509,当年标准成本!C:C,0),1),"")</f>
        <v/>
      </c>
      <c r="K509" s="146" t="str">
        <f t="shared" si="42"/>
        <v/>
      </c>
      <c r="L509" s="146" t="str">
        <f t="shared" si="43"/>
        <v/>
      </c>
      <c r="M509" s="148" t="str">
        <f t="shared" si="44"/>
        <v/>
      </c>
    </row>
    <row r="510" spans="1:13" x14ac:dyDescent="0.3">
      <c r="A510" s="149"/>
      <c r="B510" s="149"/>
      <c r="C510" s="149"/>
      <c r="D510" s="149"/>
      <c r="E510" s="149"/>
      <c r="F510" s="149"/>
      <c r="G510" s="162"/>
      <c r="H510" s="146" t="str">
        <f t="shared" si="40"/>
        <v/>
      </c>
      <c r="I510" s="161" t="str">
        <f t="shared" si="41"/>
        <v/>
      </c>
      <c r="J510" s="160" t="str">
        <f>IFERROR(INDEX(当年标准成本!I:I,MATCH(C510,当年标准成本!C:C,0),1),"")</f>
        <v/>
      </c>
      <c r="K510" s="146" t="str">
        <f t="shared" si="42"/>
        <v/>
      </c>
      <c r="L510" s="146" t="str">
        <f t="shared" si="43"/>
        <v/>
      </c>
      <c r="M510" s="148" t="str">
        <f t="shared" si="44"/>
        <v/>
      </c>
    </row>
    <row r="511" spans="1:13" x14ac:dyDescent="0.3">
      <c r="A511" s="149"/>
      <c r="B511" s="149"/>
      <c r="C511" s="149"/>
      <c r="D511" s="149"/>
      <c r="E511" s="149"/>
      <c r="F511" s="149"/>
      <c r="G511" s="162"/>
      <c r="H511" s="146" t="str">
        <f t="shared" si="40"/>
        <v/>
      </c>
      <c r="I511" s="161" t="str">
        <f t="shared" si="41"/>
        <v/>
      </c>
      <c r="J511" s="160" t="str">
        <f>IFERROR(INDEX(当年标准成本!I:I,MATCH(C511,当年标准成本!C:C,0),1),"")</f>
        <v/>
      </c>
      <c r="K511" s="146" t="str">
        <f t="shared" si="42"/>
        <v/>
      </c>
      <c r="L511" s="146" t="str">
        <f t="shared" si="43"/>
        <v/>
      </c>
      <c r="M511" s="148" t="str">
        <f t="shared" si="44"/>
        <v/>
      </c>
    </row>
    <row r="512" spans="1:13" x14ac:dyDescent="0.3">
      <c r="A512" s="149"/>
      <c r="B512" s="149"/>
      <c r="C512" s="149"/>
      <c r="D512" s="149"/>
      <c r="E512" s="149"/>
      <c r="F512" s="149"/>
      <c r="G512" s="162"/>
      <c r="H512" s="146" t="str">
        <f t="shared" si="40"/>
        <v/>
      </c>
      <c r="I512" s="161" t="str">
        <f t="shared" si="41"/>
        <v/>
      </c>
      <c r="J512" s="160" t="str">
        <f>IFERROR(INDEX(当年标准成本!I:I,MATCH(C512,当年标准成本!C:C,0),1),"")</f>
        <v/>
      </c>
      <c r="K512" s="146" t="str">
        <f t="shared" si="42"/>
        <v/>
      </c>
      <c r="L512" s="146" t="str">
        <f t="shared" si="43"/>
        <v/>
      </c>
      <c r="M512" s="148" t="str">
        <f t="shared" si="44"/>
        <v/>
      </c>
    </row>
    <row r="513" spans="1:13" x14ac:dyDescent="0.3">
      <c r="A513" s="149"/>
      <c r="B513" s="149"/>
      <c r="C513" s="149"/>
      <c r="D513" s="149"/>
      <c r="E513" s="149"/>
      <c r="F513" s="149"/>
      <c r="G513" s="162"/>
      <c r="H513" s="146" t="str">
        <f t="shared" si="40"/>
        <v/>
      </c>
      <c r="I513" s="161" t="str">
        <f t="shared" si="41"/>
        <v/>
      </c>
      <c r="J513" s="160" t="str">
        <f>IFERROR(INDEX(当年标准成本!I:I,MATCH(C513,当年标准成本!C:C,0),1),"")</f>
        <v/>
      </c>
      <c r="K513" s="146" t="str">
        <f t="shared" si="42"/>
        <v/>
      </c>
      <c r="L513" s="146" t="str">
        <f t="shared" si="43"/>
        <v/>
      </c>
      <c r="M513" s="148" t="str">
        <f t="shared" si="44"/>
        <v/>
      </c>
    </row>
    <row r="514" spans="1:13" x14ac:dyDescent="0.3">
      <c r="A514" s="149"/>
      <c r="B514" s="149"/>
      <c r="C514" s="149"/>
      <c r="D514" s="149"/>
      <c r="E514" s="149"/>
      <c r="F514" s="149"/>
      <c r="G514" s="162"/>
      <c r="H514" s="146" t="str">
        <f t="shared" si="40"/>
        <v/>
      </c>
      <c r="I514" s="161" t="str">
        <f t="shared" si="41"/>
        <v/>
      </c>
      <c r="J514" s="160" t="str">
        <f>IFERROR(INDEX(当年标准成本!I:I,MATCH(C514,当年标准成本!C:C,0),1),"")</f>
        <v/>
      </c>
      <c r="K514" s="146" t="str">
        <f t="shared" si="42"/>
        <v/>
      </c>
      <c r="L514" s="146" t="str">
        <f t="shared" si="43"/>
        <v/>
      </c>
      <c r="M514" s="148" t="str">
        <f t="shared" si="44"/>
        <v/>
      </c>
    </row>
    <row r="515" spans="1:13" x14ac:dyDescent="0.3">
      <c r="A515" s="149"/>
      <c r="B515" s="149"/>
      <c r="C515" s="149"/>
      <c r="D515" s="149"/>
      <c r="E515" s="149"/>
      <c r="F515" s="149"/>
      <c r="G515" s="162"/>
      <c r="H515" s="146" t="str">
        <f t="shared" si="40"/>
        <v/>
      </c>
      <c r="I515" s="161" t="str">
        <f t="shared" si="41"/>
        <v/>
      </c>
      <c r="J515" s="160" t="str">
        <f>IFERROR(INDEX(当年标准成本!I:I,MATCH(C515,当年标准成本!C:C,0),1),"")</f>
        <v/>
      </c>
      <c r="K515" s="146" t="str">
        <f t="shared" si="42"/>
        <v/>
      </c>
      <c r="L515" s="146" t="str">
        <f t="shared" si="43"/>
        <v/>
      </c>
      <c r="M515" s="148" t="str">
        <f t="shared" si="44"/>
        <v/>
      </c>
    </row>
    <row r="516" spans="1:13" x14ac:dyDescent="0.3">
      <c r="A516" s="149"/>
      <c r="B516" s="149"/>
      <c r="C516" s="149"/>
      <c r="D516" s="149"/>
      <c r="E516" s="149"/>
      <c r="F516" s="149"/>
      <c r="G516" s="162"/>
      <c r="H516" s="146" t="str">
        <f t="shared" si="40"/>
        <v/>
      </c>
      <c r="I516" s="161" t="str">
        <f t="shared" si="41"/>
        <v/>
      </c>
      <c r="J516" s="160" t="str">
        <f>IFERROR(INDEX(当年标准成本!I:I,MATCH(C516,当年标准成本!C:C,0),1),"")</f>
        <v/>
      </c>
      <c r="K516" s="146" t="str">
        <f t="shared" si="42"/>
        <v/>
      </c>
      <c r="L516" s="146" t="str">
        <f t="shared" si="43"/>
        <v/>
      </c>
      <c r="M516" s="148" t="str">
        <f t="shared" si="44"/>
        <v/>
      </c>
    </row>
    <row r="517" spans="1:13" x14ac:dyDescent="0.3">
      <c r="A517" s="149"/>
      <c r="B517" s="149"/>
      <c r="C517" s="149"/>
      <c r="D517" s="149"/>
      <c r="E517" s="149"/>
      <c r="F517" s="149"/>
      <c r="G517" s="162"/>
      <c r="H517" s="146" t="str">
        <f t="shared" si="40"/>
        <v/>
      </c>
      <c r="I517" s="161" t="str">
        <f t="shared" si="41"/>
        <v/>
      </c>
      <c r="J517" s="160" t="str">
        <f>IFERROR(INDEX(当年标准成本!I:I,MATCH(C517,当年标准成本!C:C,0),1),"")</f>
        <v/>
      </c>
      <c r="K517" s="146" t="str">
        <f t="shared" si="42"/>
        <v/>
      </c>
      <c r="L517" s="146" t="str">
        <f t="shared" si="43"/>
        <v/>
      </c>
      <c r="M517" s="148" t="str">
        <f t="shared" si="44"/>
        <v/>
      </c>
    </row>
    <row r="518" spans="1:13" x14ac:dyDescent="0.3">
      <c r="A518" s="149"/>
      <c r="B518" s="149"/>
      <c r="C518" s="149"/>
      <c r="D518" s="149"/>
      <c r="E518" s="149"/>
      <c r="F518" s="149"/>
      <c r="G518" s="162"/>
      <c r="H518" s="146" t="str">
        <f t="shared" si="40"/>
        <v/>
      </c>
      <c r="I518" s="161" t="str">
        <f t="shared" si="41"/>
        <v/>
      </c>
      <c r="J518" s="160" t="str">
        <f>IFERROR(INDEX(当年标准成本!I:I,MATCH(C518,当年标准成本!C:C,0),1),"")</f>
        <v/>
      </c>
      <c r="K518" s="146" t="str">
        <f t="shared" si="42"/>
        <v/>
      </c>
      <c r="L518" s="146" t="str">
        <f t="shared" si="43"/>
        <v/>
      </c>
      <c r="M518" s="148" t="str">
        <f t="shared" si="44"/>
        <v/>
      </c>
    </row>
    <row r="519" spans="1:13" x14ac:dyDescent="0.3">
      <c r="A519" s="149"/>
      <c r="B519" s="149"/>
      <c r="C519" s="149"/>
      <c r="D519" s="149"/>
      <c r="E519" s="149"/>
      <c r="F519" s="149"/>
      <c r="G519" s="162"/>
      <c r="H519" s="146" t="str">
        <f t="shared" si="40"/>
        <v/>
      </c>
      <c r="I519" s="161" t="str">
        <f t="shared" si="41"/>
        <v/>
      </c>
      <c r="J519" s="160" t="str">
        <f>IFERROR(INDEX(当年标准成本!I:I,MATCH(C519,当年标准成本!C:C,0),1),"")</f>
        <v/>
      </c>
      <c r="K519" s="146" t="str">
        <f t="shared" si="42"/>
        <v/>
      </c>
      <c r="L519" s="146" t="str">
        <f t="shared" si="43"/>
        <v/>
      </c>
      <c r="M519" s="148" t="str">
        <f t="shared" si="44"/>
        <v/>
      </c>
    </row>
    <row r="520" spans="1:13" x14ac:dyDescent="0.3">
      <c r="A520" s="149"/>
      <c r="B520" s="149"/>
      <c r="C520" s="149"/>
      <c r="D520" s="149"/>
      <c r="E520" s="149"/>
      <c r="F520" s="149"/>
      <c r="G520" s="162"/>
      <c r="H520" s="146" t="str">
        <f t="shared" si="40"/>
        <v/>
      </c>
      <c r="I520" s="161" t="str">
        <f t="shared" si="41"/>
        <v/>
      </c>
      <c r="J520" s="160" t="str">
        <f>IFERROR(INDEX(当年标准成本!I:I,MATCH(C520,当年标准成本!C:C,0),1),"")</f>
        <v/>
      </c>
      <c r="K520" s="146" t="str">
        <f t="shared" si="42"/>
        <v/>
      </c>
      <c r="L520" s="146" t="str">
        <f t="shared" si="43"/>
        <v/>
      </c>
      <c r="M520" s="148" t="str">
        <f t="shared" si="44"/>
        <v/>
      </c>
    </row>
    <row r="521" spans="1:13" x14ac:dyDescent="0.3">
      <c r="A521" s="149"/>
      <c r="B521" s="149"/>
      <c r="C521" s="149"/>
      <c r="D521" s="149"/>
      <c r="E521" s="149"/>
      <c r="F521" s="149"/>
      <c r="G521" s="162"/>
      <c r="H521" s="146" t="str">
        <f t="shared" si="40"/>
        <v/>
      </c>
      <c r="I521" s="161" t="str">
        <f t="shared" si="41"/>
        <v/>
      </c>
      <c r="J521" s="160" t="str">
        <f>IFERROR(INDEX(当年标准成本!I:I,MATCH(C521,当年标准成本!C:C,0),1),"")</f>
        <v/>
      </c>
      <c r="K521" s="146" t="str">
        <f t="shared" si="42"/>
        <v/>
      </c>
      <c r="L521" s="146" t="str">
        <f t="shared" si="43"/>
        <v/>
      </c>
      <c r="M521" s="148" t="str">
        <f t="shared" si="44"/>
        <v/>
      </c>
    </row>
    <row r="522" spans="1:13" x14ac:dyDescent="0.3">
      <c r="A522" s="149"/>
      <c r="B522" s="149"/>
      <c r="C522" s="149"/>
      <c r="D522" s="149"/>
      <c r="E522" s="149"/>
      <c r="F522" s="149"/>
      <c r="G522" s="162"/>
      <c r="H522" s="146" t="str">
        <f t="shared" si="40"/>
        <v/>
      </c>
      <c r="I522" s="161" t="str">
        <f t="shared" si="41"/>
        <v/>
      </c>
      <c r="J522" s="160" t="str">
        <f>IFERROR(INDEX(当年标准成本!I:I,MATCH(C522,当年标准成本!C:C,0),1),"")</f>
        <v/>
      </c>
      <c r="K522" s="146" t="str">
        <f t="shared" si="42"/>
        <v/>
      </c>
      <c r="L522" s="146" t="str">
        <f t="shared" si="43"/>
        <v/>
      </c>
      <c r="M522" s="148" t="str">
        <f t="shared" si="44"/>
        <v/>
      </c>
    </row>
    <row r="523" spans="1:13" x14ac:dyDescent="0.3">
      <c r="A523" s="149"/>
      <c r="B523" s="149"/>
      <c r="C523" s="149"/>
      <c r="D523" s="149"/>
      <c r="E523" s="149"/>
      <c r="F523" s="149"/>
      <c r="G523" s="162"/>
      <c r="H523" s="146" t="str">
        <f t="shared" si="40"/>
        <v/>
      </c>
      <c r="I523" s="161" t="str">
        <f t="shared" si="41"/>
        <v/>
      </c>
      <c r="J523" s="160" t="str">
        <f>IFERROR(INDEX(当年标准成本!I:I,MATCH(C523,当年标准成本!C:C,0),1),"")</f>
        <v/>
      </c>
      <c r="K523" s="146" t="str">
        <f t="shared" si="42"/>
        <v/>
      </c>
      <c r="L523" s="146" t="str">
        <f t="shared" si="43"/>
        <v/>
      </c>
      <c r="M523" s="148" t="str">
        <f t="shared" si="44"/>
        <v/>
      </c>
    </row>
    <row r="524" spans="1:13" x14ac:dyDescent="0.3">
      <c r="A524" s="149"/>
      <c r="B524" s="149"/>
      <c r="C524" s="149"/>
      <c r="D524" s="149"/>
      <c r="E524" s="149"/>
      <c r="F524" s="149"/>
      <c r="G524" s="162"/>
      <c r="H524" s="146" t="str">
        <f t="shared" ref="H524:H587" si="45">IFERROR(F524/E524,"")</f>
        <v/>
      </c>
      <c r="I524" s="161" t="str">
        <f t="shared" ref="I524:I587" si="46">IFERROR(H524*(1+G524),"")</f>
        <v/>
      </c>
      <c r="J524" s="160" t="str">
        <f>IFERROR(INDEX(当年标准成本!I:I,MATCH(C524,当年标准成本!C:C,0),1),"")</f>
        <v/>
      </c>
      <c r="K524" s="146" t="str">
        <f t="shared" ref="K524:K587" si="47">IFERROR(E524*J524,"")</f>
        <v/>
      </c>
      <c r="L524" s="146" t="str">
        <f t="shared" ref="L524:L587" si="48">IFERROR(F524-K524,"")</f>
        <v/>
      </c>
      <c r="M524" s="148" t="str">
        <f t="shared" ref="M524:M587" si="49">IFERROR(L524/F524,"")</f>
        <v/>
      </c>
    </row>
    <row r="525" spans="1:13" x14ac:dyDescent="0.3">
      <c r="A525" s="149"/>
      <c r="B525" s="149"/>
      <c r="C525" s="149"/>
      <c r="D525" s="149"/>
      <c r="E525" s="149"/>
      <c r="F525" s="149"/>
      <c r="G525" s="162"/>
      <c r="H525" s="146" t="str">
        <f t="shared" si="45"/>
        <v/>
      </c>
      <c r="I525" s="161" t="str">
        <f t="shared" si="46"/>
        <v/>
      </c>
      <c r="J525" s="160" t="str">
        <f>IFERROR(INDEX(当年标准成本!I:I,MATCH(C525,当年标准成本!C:C,0),1),"")</f>
        <v/>
      </c>
      <c r="K525" s="146" t="str">
        <f t="shared" si="47"/>
        <v/>
      </c>
      <c r="L525" s="146" t="str">
        <f t="shared" si="48"/>
        <v/>
      </c>
      <c r="M525" s="148" t="str">
        <f t="shared" si="49"/>
        <v/>
      </c>
    </row>
    <row r="526" spans="1:13" x14ac:dyDescent="0.3">
      <c r="A526" s="149"/>
      <c r="B526" s="149"/>
      <c r="C526" s="149"/>
      <c r="D526" s="149"/>
      <c r="E526" s="149"/>
      <c r="F526" s="149"/>
      <c r="G526" s="162"/>
      <c r="H526" s="146" t="str">
        <f t="shared" si="45"/>
        <v/>
      </c>
      <c r="I526" s="161" t="str">
        <f t="shared" si="46"/>
        <v/>
      </c>
      <c r="J526" s="160" t="str">
        <f>IFERROR(INDEX(当年标准成本!I:I,MATCH(C526,当年标准成本!C:C,0),1),"")</f>
        <v/>
      </c>
      <c r="K526" s="146" t="str">
        <f t="shared" si="47"/>
        <v/>
      </c>
      <c r="L526" s="146" t="str">
        <f t="shared" si="48"/>
        <v/>
      </c>
      <c r="M526" s="148" t="str">
        <f t="shared" si="49"/>
        <v/>
      </c>
    </row>
    <row r="527" spans="1:13" x14ac:dyDescent="0.3">
      <c r="A527" s="149"/>
      <c r="B527" s="149"/>
      <c r="C527" s="149"/>
      <c r="D527" s="149"/>
      <c r="E527" s="149"/>
      <c r="F527" s="149"/>
      <c r="G527" s="162"/>
      <c r="H527" s="146" t="str">
        <f t="shared" si="45"/>
        <v/>
      </c>
      <c r="I527" s="161" t="str">
        <f t="shared" si="46"/>
        <v/>
      </c>
      <c r="J527" s="160" t="str">
        <f>IFERROR(INDEX(当年标准成本!I:I,MATCH(C527,当年标准成本!C:C,0),1),"")</f>
        <v/>
      </c>
      <c r="K527" s="146" t="str">
        <f t="shared" si="47"/>
        <v/>
      </c>
      <c r="L527" s="146" t="str">
        <f t="shared" si="48"/>
        <v/>
      </c>
      <c r="M527" s="148" t="str">
        <f t="shared" si="49"/>
        <v/>
      </c>
    </row>
    <row r="528" spans="1:13" x14ac:dyDescent="0.3">
      <c r="A528" s="149"/>
      <c r="B528" s="149"/>
      <c r="C528" s="149"/>
      <c r="D528" s="149"/>
      <c r="E528" s="149"/>
      <c r="F528" s="149"/>
      <c r="G528" s="162"/>
      <c r="H528" s="146" t="str">
        <f t="shared" si="45"/>
        <v/>
      </c>
      <c r="I528" s="161" t="str">
        <f t="shared" si="46"/>
        <v/>
      </c>
      <c r="J528" s="160" t="str">
        <f>IFERROR(INDEX(当年标准成本!I:I,MATCH(C528,当年标准成本!C:C,0),1),"")</f>
        <v/>
      </c>
      <c r="K528" s="146" t="str">
        <f t="shared" si="47"/>
        <v/>
      </c>
      <c r="L528" s="146" t="str">
        <f t="shared" si="48"/>
        <v/>
      </c>
      <c r="M528" s="148" t="str">
        <f t="shared" si="49"/>
        <v/>
      </c>
    </row>
    <row r="529" spans="1:13" x14ac:dyDescent="0.3">
      <c r="A529" s="149"/>
      <c r="B529" s="149"/>
      <c r="C529" s="149"/>
      <c r="D529" s="149"/>
      <c r="E529" s="149"/>
      <c r="F529" s="149"/>
      <c r="G529" s="162"/>
      <c r="H529" s="146" t="str">
        <f t="shared" si="45"/>
        <v/>
      </c>
      <c r="I529" s="161" t="str">
        <f t="shared" si="46"/>
        <v/>
      </c>
      <c r="J529" s="160" t="str">
        <f>IFERROR(INDEX(当年标准成本!I:I,MATCH(C529,当年标准成本!C:C,0),1),"")</f>
        <v/>
      </c>
      <c r="K529" s="146" t="str">
        <f t="shared" si="47"/>
        <v/>
      </c>
      <c r="L529" s="146" t="str">
        <f t="shared" si="48"/>
        <v/>
      </c>
      <c r="M529" s="148" t="str">
        <f t="shared" si="49"/>
        <v/>
      </c>
    </row>
    <row r="530" spans="1:13" x14ac:dyDescent="0.3">
      <c r="A530" s="149"/>
      <c r="B530" s="149"/>
      <c r="C530" s="149"/>
      <c r="D530" s="149"/>
      <c r="E530" s="149"/>
      <c r="F530" s="149"/>
      <c r="G530" s="162"/>
      <c r="H530" s="146" t="str">
        <f t="shared" si="45"/>
        <v/>
      </c>
      <c r="I530" s="161" t="str">
        <f t="shared" si="46"/>
        <v/>
      </c>
      <c r="J530" s="160" t="str">
        <f>IFERROR(INDEX(当年标准成本!I:I,MATCH(C530,当年标准成本!C:C,0),1),"")</f>
        <v/>
      </c>
      <c r="K530" s="146" t="str">
        <f t="shared" si="47"/>
        <v/>
      </c>
      <c r="L530" s="146" t="str">
        <f t="shared" si="48"/>
        <v/>
      </c>
      <c r="M530" s="148" t="str">
        <f t="shared" si="49"/>
        <v/>
      </c>
    </row>
    <row r="531" spans="1:13" x14ac:dyDescent="0.3">
      <c r="A531" s="149"/>
      <c r="B531" s="149"/>
      <c r="C531" s="149"/>
      <c r="D531" s="149"/>
      <c r="E531" s="149"/>
      <c r="F531" s="149"/>
      <c r="G531" s="162"/>
      <c r="H531" s="146" t="str">
        <f t="shared" si="45"/>
        <v/>
      </c>
      <c r="I531" s="161" t="str">
        <f t="shared" si="46"/>
        <v/>
      </c>
      <c r="J531" s="160" t="str">
        <f>IFERROR(INDEX(当年标准成本!I:I,MATCH(C531,当年标准成本!C:C,0),1),"")</f>
        <v/>
      </c>
      <c r="K531" s="146" t="str">
        <f t="shared" si="47"/>
        <v/>
      </c>
      <c r="L531" s="146" t="str">
        <f t="shared" si="48"/>
        <v/>
      </c>
      <c r="M531" s="148" t="str">
        <f t="shared" si="49"/>
        <v/>
      </c>
    </row>
    <row r="532" spans="1:13" x14ac:dyDescent="0.3">
      <c r="A532" s="149"/>
      <c r="B532" s="149"/>
      <c r="C532" s="149"/>
      <c r="D532" s="149"/>
      <c r="E532" s="149"/>
      <c r="F532" s="149"/>
      <c r="G532" s="162"/>
      <c r="H532" s="146" t="str">
        <f t="shared" si="45"/>
        <v/>
      </c>
      <c r="I532" s="161" t="str">
        <f t="shared" si="46"/>
        <v/>
      </c>
      <c r="J532" s="160" t="str">
        <f>IFERROR(INDEX(当年标准成本!I:I,MATCH(C532,当年标准成本!C:C,0),1),"")</f>
        <v/>
      </c>
      <c r="K532" s="146" t="str">
        <f t="shared" si="47"/>
        <v/>
      </c>
      <c r="L532" s="146" t="str">
        <f t="shared" si="48"/>
        <v/>
      </c>
      <c r="M532" s="148" t="str">
        <f t="shared" si="49"/>
        <v/>
      </c>
    </row>
    <row r="533" spans="1:13" x14ac:dyDescent="0.3">
      <c r="A533" s="149"/>
      <c r="B533" s="149"/>
      <c r="C533" s="149"/>
      <c r="D533" s="149"/>
      <c r="E533" s="149"/>
      <c r="F533" s="149"/>
      <c r="G533" s="162"/>
      <c r="H533" s="146" t="str">
        <f t="shared" si="45"/>
        <v/>
      </c>
      <c r="I533" s="161" t="str">
        <f t="shared" si="46"/>
        <v/>
      </c>
      <c r="J533" s="160" t="str">
        <f>IFERROR(INDEX(当年标准成本!I:I,MATCH(C533,当年标准成本!C:C,0),1),"")</f>
        <v/>
      </c>
      <c r="K533" s="146" t="str">
        <f t="shared" si="47"/>
        <v/>
      </c>
      <c r="L533" s="146" t="str">
        <f t="shared" si="48"/>
        <v/>
      </c>
      <c r="M533" s="148" t="str">
        <f t="shared" si="49"/>
        <v/>
      </c>
    </row>
    <row r="534" spans="1:13" x14ac:dyDescent="0.3">
      <c r="A534" s="149"/>
      <c r="B534" s="149"/>
      <c r="C534" s="149"/>
      <c r="D534" s="149"/>
      <c r="E534" s="149"/>
      <c r="F534" s="149"/>
      <c r="G534" s="162"/>
      <c r="H534" s="146" t="str">
        <f t="shared" si="45"/>
        <v/>
      </c>
      <c r="I534" s="161" t="str">
        <f t="shared" si="46"/>
        <v/>
      </c>
      <c r="J534" s="160" t="str">
        <f>IFERROR(INDEX(当年标准成本!I:I,MATCH(C534,当年标准成本!C:C,0),1),"")</f>
        <v/>
      </c>
      <c r="K534" s="146" t="str">
        <f t="shared" si="47"/>
        <v/>
      </c>
      <c r="L534" s="146" t="str">
        <f t="shared" si="48"/>
        <v/>
      </c>
      <c r="M534" s="148" t="str">
        <f t="shared" si="49"/>
        <v/>
      </c>
    </row>
    <row r="535" spans="1:13" x14ac:dyDescent="0.3">
      <c r="A535" s="149"/>
      <c r="B535" s="149"/>
      <c r="C535" s="149"/>
      <c r="D535" s="149"/>
      <c r="E535" s="149"/>
      <c r="F535" s="149"/>
      <c r="G535" s="162"/>
      <c r="H535" s="146" t="str">
        <f t="shared" si="45"/>
        <v/>
      </c>
      <c r="I535" s="161" t="str">
        <f t="shared" si="46"/>
        <v/>
      </c>
      <c r="J535" s="160" t="str">
        <f>IFERROR(INDEX(当年标准成本!I:I,MATCH(C535,当年标准成本!C:C,0),1),"")</f>
        <v/>
      </c>
      <c r="K535" s="146" t="str">
        <f t="shared" si="47"/>
        <v/>
      </c>
      <c r="L535" s="146" t="str">
        <f t="shared" si="48"/>
        <v/>
      </c>
      <c r="M535" s="148" t="str">
        <f t="shared" si="49"/>
        <v/>
      </c>
    </row>
    <row r="536" spans="1:13" x14ac:dyDescent="0.3">
      <c r="A536" s="149"/>
      <c r="B536" s="149"/>
      <c r="C536" s="149"/>
      <c r="D536" s="149"/>
      <c r="E536" s="149"/>
      <c r="F536" s="149"/>
      <c r="G536" s="162"/>
      <c r="H536" s="146" t="str">
        <f t="shared" si="45"/>
        <v/>
      </c>
      <c r="I536" s="161" t="str">
        <f t="shared" si="46"/>
        <v/>
      </c>
      <c r="J536" s="160" t="str">
        <f>IFERROR(INDEX(当年标准成本!I:I,MATCH(C536,当年标准成本!C:C,0),1),"")</f>
        <v/>
      </c>
      <c r="K536" s="146" t="str">
        <f t="shared" si="47"/>
        <v/>
      </c>
      <c r="L536" s="146" t="str">
        <f t="shared" si="48"/>
        <v/>
      </c>
      <c r="M536" s="148" t="str">
        <f t="shared" si="49"/>
        <v/>
      </c>
    </row>
    <row r="537" spans="1:13" x14ac:dyDescent="0.3">
      <c r="A537" s="149"/>
      <c r="B537" s="149"/>
      <c r="C537" s="149"/>
      <c r="D537" s="149"/>
      <c r="E537" s="149"/>
      <c r="F537" s="149"/>
      <c r="G537" s="162"/>
      <c r="H537" s="146" t="str">
        <f t="shared" si="45"/>
        <v/>
      </c>
      <c r="I537" s="161" t="str">
        <f t="shared" si="46"/>
        <v/>
      </c>
      <c r="J537" s="160" t="str">
        <f>IFERROR(INDEX(当年标准成本!I:I,MATCH(C537,当年标准成本!C:C,0),1),"")</f>
        <v/>
      </c>
      <c r="K537" s="146" t="str">
        <f t="shared" si="47"/>
        <v/>
      </c>
      <c r="L537" s="146" t="str">
        <f t="shared" si="48"/>
        <v/>
      </c>
      <c r="M537" s="148" t="str">
        <f t="shared" si="49"/>
        <v/>
      </c>
    </row>
    <row r="538" spans="1:13" x14ac:dyDescent="0.3">
      <c r="A538" s="149"/>
      <c r="B538" s="149"/>
      <c r="C538" s="149"/>
      <c r="D538" s="149"/>
      <c r="E538" s="149"/>
      <c r="F538" s="149"/>
      <c r="G538" s="162"/>
      <c r="H538" s="146" t="str">
        <f t="shared" si="45"/>
        <v/>
      </c>
      <c r="I538" s="161" t="str">
        <f t="shared" si="46"/>
        <v/>
      </c>
      <c r="J538" s="160" t="str">
        <f>IFERROR(INDEX(当年标准成本!I:I,MATCH(C538,当年标准成本!C:C,0),1),"")</f>
        <v/>
      </c>
      <c r="K538" s="146" t="str">
        <f t="shared" si="47"/>
        <v/>
      </c>
      <c r="L538" s="146" t="str">
        <f t="shared" si="48"/>
        <v/>
      </c>
      <c r="M538" s="148" t="str">
        <f t="shared" si="49"/>
        <v/>
      </c>
    </row>
    <row r="539" spans="1:13" x14ac:dyDescent="0.3">
      <c r="A539" s="149"/>
      <c r="B539" s="149"/>
      <c r="C539" s="149"/>
      <c r="D539" s="149"/>
      <c r="E539" s="149"/>
      <c r="F539" s="149"/>
      <c r="G539" s="162"/>
      <c r="H539" s="146" t="str">
        <f t="shared" si="45"/>
        <v/>
      </c>
      <c r="I539" s="161" t="str">
        <f t="shared" si="46"/>
        <v/>
      </c>
      <c r="J539" s="160" t="str">
        <f>IFERROR(INDEX(当年标准成本!I:I,MATCH(C539,当年标准成本!C:C,0),1),"")</f>
        <v/>
      </c>
      <c r="K539" s="146" t="str">
        <f t="shared" si="47"/>
        <v/>
      </c>
      <c r="L539" s="146" t="str">
        <f t="shared" si="48"/>
        <v/>
      </c>
      <c r="M539" s="148" t="str">
        <f t="shared" si="49"/>
        <v/>
      </c>
    </row>
    <row r="540" spans="1:13" x14ac:dyDescent="0.3">
      <c r="A540" s="149"/>
      <c r="B540" s="149"/>
      <c r="C540" s="149"/>
      <c r="D540" s="149"/>
      <c r="E540" s="149"/>
      <c r="F540" s="149"/>
      <c r="G540" s="162"/>
      <c r="H540" s="146" t="str">
        <f t="shared" si="45"/>
        <v/>
      </c>
      <c r="I540" s="161" t="str">
        <f t="shared" si="46"/>
        <v/>
      </c>
      <c r="J540" s="160" t="str">
        <f>IFERROR(INDEX(当年标准成本!I:I,MATCH(C540,当年标准成本!C:C,0),1),"")</f>
        <v/>
      </c>
      <c r="K540" s="146" t="str">
        <f t="shared" si="47"/>
        <v/>
      </c>
      <c r="L540" s="146" t="str">
        <f t="shared" si="48"/>
        <v/>
      </c>
      <c r="M540" s="148" t="str">
        <f t="shared" si="49"/>
        <v/>
      </c>
    </row>
    <row r="541" spans="1:13" x14ac:dyDescent="0.3">
      <c r="A541" s="149"/>
      <c r="B541" s="149"/>
      <c r="C541" s="149"/>
      <c r="D541" s="149"/>
      <c r="E541" s="149"/>
      <c r="F541" s="149"/>
      <c r="G541" s="162"/>
      <c r="H541" s="146" t="str">
        <f t="shared" si="45"/>
        <v/>
      </c>
      <c r="I541" s="161" t="str">
        <f t="shared" si="46"/>
        <v/>
      </c>
      <c r="J541" s="160" t="str">
        <f>IFERROR(INDEX(当年标准成本!I:I,MATCH(C541,当年标准成本!C:C,0),1),"")</f>
        <v/>
      </c>
      <c r="K541" s="146" t="str">
        <f t="shared" si="47"/>
        <v/>
      </c>
      <c r="L541" s="146" t="str">
        <f t="shared" si="48"/>
        <v/>
      </c>
      <c r="M541" s="148" t="str">
        <f t="shared" si="49"/>
        <v/>
      </c>
    </row>
    <row r="542" spans="1:13" x14ac:dyDescent="0.3">
      <c r="A542" s="149"/>
      <c r="B542" s="149"/>
      <c r="C542" s="149"/>
      <c r="D542" s="149"/>
      <c r="E542" s="149"/>
      <c r="F542" s="149"/>
      <c r="G542" s="162"/>
      <c r="H542" s="146" t="str">
        <f t="shared" si="45"/>
        <v/>
      </c>
      <c r="I542" s="161" t="str">
        <f t="shared" si="46"/>
        <v/>
      </c>
      <c r="J542" s="160" t="str">
        <f>IFERROR(INDEX(当年标准成本!I:I,MATCH(C542,当年标准成本!C:C,0),1),"")</f>
        <v/>
      </c>
      <c r="K542" s="146" t="str">
        <f t="shared" si="47"/>
        <v/>
      </c>
      <c r="L542" s="146" t="str">
        <f t="shared" si="48"/>
        <v/>
      </c>
      <c r="M542" s="148" t="str">
        <f t="shared" si="49"/>
        <v/>
      </c>
    </row>
    <row r="543" spans="1:13" x14ac:dyDescent="0.3">
      <c r="A543" s="149"/>
      <c r="B543" s="149"/>
      <c r="C543" s="149"/>
      <c r="D543" s="149"/>
      <c r="E543" s="149"/>
      <c r="F543" s="149"/>
      <c r="G543" s="162"/>
      <c r="H543" s="146" t="str">
        <f t="shared" si="45"/>
        <v/>
      </c>
      <c r="I543" s="161" t="str">
        <f t="shared" si="46"/>
        <v/>
      </c>
      <c r="J543" s="160" t="str">
        <f>IFERROR(INDEX(当年标准成本!I:I,MATCH(C543,当年标准成本!C:C,0),1),"")</f>
        <v/>
      </c>
      <c r="K543" s="146" t="str">
        <f t="shared" si="47"/>
        <v/>
      </c>
      <c r="L543" s="146" t="str">
        <f t="shared" si="48"/>
        <v/>
      </c>
      <c r="M543" s="148" t="str">
        <f t="shared" si="49"/>
        <v/>
      </c>
    </row>
    <row r="544" spans="1:13" x14ac:dyDescent="0.3">
      <c r="A544" s="149"/>
      <c r="B544" s="149"/>
      <c r="C544" s="149"/>
      <c r="D544" s="149"/>
      <c r="E544" s="149"/>
      <c r="F544" s="149"/>
      <c r="G544" s="162"/>
      <c r="H544" s="146" t="str">
        <f t="shared" si="45"/>
        <v/>
      </c>
      <c r="I544" s="161" t="str">
        <f t="shared" si="46"/>
        <v/>
      </c>
      <c r="J544" s="160" t="str">
        <f>IFERROR(INDEX(当年标准成本!I:I,MATCH(C544,当年标准成本!C:C,0),1),"")</f>
        <v/>
      </c>
      <c r="K544" s="146" t="str">
        <f t="shared" si="47"/>
        <v/>
      </c>
      <c r="L544" s="146" t="str">
        <f t="shared" si="48"/>
        <v/>
      </c>
      <c r="M544" s="148" t="str">
        <f t="shared" si="49"/>
        <v/>
      </c>
    </row>
    <row r="545" spans="1:13" x14ac:dyDescent="0.3">
      <c r="A545" s="149"/>
      <c r="B545" s="149"/>
      <c r="C545" s="149"/>
      <c r="D545" s="149"/>
      <c r="E545" s="149"/>
      <c r="F545" s="149"/>
      <c r="G545" s="162"/>
      <c r="H545" s="146" t="str">
        <f t="shared" si="45"/>
        <v/>
      </c>
      <c r="I545" s="161" t="str">
        <f t="shared" si="46"/>
        <v/>
      </c>
      <c r="J545" s="160" t="str">
        <f>IFERROR(INDEX(当年标准成本!I:I,MATCH(C545,当年标准成本!C:C,0),1),"")</f>
        <v/>
      </c>
      <c r="K545" s="146" t="str">
        <f t="shared" si="47"/>
        <v/>
      </c>
      <c r="L545" s="146" t="str">
        <f t="shared" si="48"/>
        <v/>
      </c>
      <c r="M545" s="148" t="str">
        <f t="shared" si="49"/>
        <v/>
      </c>
    </row>
    <row r="546" spans="1:13" x14ac:dyDescent="0.3">
      <c r="A546" s="149"/>
      <c r="B546" s="149"/>
      <c r="C546" s="149"/>
      <c r="D546" s="149"/>
      <c r="E546" s="149"/>
      <c r="F546" s="149"/>
      <c r="G546" s="162"/>
      <c r="H546" s="146" t="str">
        <f t="shared" si="45"/>
        <v/>
      </c>
      <c r="I546" s="161" t="str">
        <f t="shared" si="46"/>
        <v/>
      </c>
      <c r="J546" s="160" t="str">
        <f>IFERROR(INDEX(当年标准成本!I:I,MATCH(C546,当年标准成本!C:C,0),1),"")</f>
        <v/>
      </c>
      <c r="K546" s="146" t="str">
        <f t="shared" si="47"/>
        <v/>
      </c>
      <c r="L546" s="146" t="str">
        <f t="shared" si="48"/>
        <v/>
      </c>
      <c r="M546" s="148" t="str">
        <f t="shared" si="49"/>
        <v/>
      </c>
    </row>
    <row r="547" spans="1:13" x14ac:dyDescent="0.3">
      <c r="A547" s="149"/>
      <c r="B547" s="149"/>
      <c r="C547" s="149"/>
      <c r="D547" s="149"/>
      <c r="E547" s="149"/>
      <c r="F547" s="149"/>
      <c r="G547" s="162"/>
      <c r="H547" s="146" t="str">
        <f t="shared" si="45"/>
        <v/>
      </c>
      <c r="I547" s="161" t="str">
        <f t="shared" si="46"/>
        <v/>
      </c>
      <c r="J547" s="160" t="str">
        <f>IFERROR(INDEX(当年标准成本!I:I,MATCH(C547,当年标准成本!C:C,0),1),"")</f>
        <v/>
      </c>
      <c r="K547" s="146" t="str">
        <f t="shared" si="47"/>
        <v/>
      </c>
      <c r="L547" s="146" t="str">
        <f t="shared" si="48"/>
        <v/>
      </c>
      <c r="M547" s="148" t="str">
        <f t="shared" si="49"/>
        <v/>
      </c>
    </row>
    <row r="548" spans="1:13" x14ac:dyDescent="0.3">
      <c r="A548" s="149"/>
      <c r="B548" s="149"/>
      <c r="C548" s="149"/>
      <c r="D548" s="149"/>
      <c r="E548" s="149"/>
      <c r="F548" s="149"/>
      <c r="G548" s="162"/>
      <c r="H548" s="146" t="str">
        <f t="shared" si="45"/>
        <v/>
      </c>
      <c r="I548" s="161" t="str">
        <f t="shared" si="46"/>
        <v/>
      </c>
      <c r="J548" s="160" t="str">
        <f>IFERROR(INDEX(当年标准成本!I:I,MATCH(C548,当年标准成本!C:C,0),1),"")</f>
        <v/>
      </c>
      <c r="K548" s="146" t="str">
        <f t="shared" si="47"/>
        <v/>
      </c>
      <c r="L548" s="146" t="str">
        <f t="shared" si="48"/>
        <v/>
      </c>
      <c r="M548" s="148" t="str">
        <f t="shared" si="49"/>
        <v/>
      </c>
    </row>
    <row r="549" spans="1:13" x14ac:dyDescent="0.3">
      <c r="A549" s="149"/>
      <c r="B549" s="149"/>
      <c r="C549" s="149"/>
      <c r="D549" s="149"/>
      <c r="E549" s="149"/>
      <c r="F549" s="149"/>
      <c r="G549" s="162"/>
      <c r="H549" s="146" t="str">
        <f t="shared" si="45"/>
        <v/>
      </c>
      <c r="I549" s="161" t="str">
        <f t="shared" si="46"/>
        <v/>
      </c>
      <c r="J549" s="160" t="str">
        <f>IFERROR(INDEX(当年标准成本!I:I,MATCH(C549,当年标准成本!C:C,0),1),"")</f>
        <v/>
      </c>
      <c r="K549" s="146" t="str">
        <f t="shared" si="47"/>
        <v/>
      </c>
      <c r="L549" s="146" t="str">
        <f t="shared" si="48"/>
        <v/>
      </c>
      <c r="M549" s="148" t="str">
        <f t="shared" si="49"/>
        <v/>
      </c>
    </row>
    <row r="550" spans="1:13" x14ac:dyDescent="0.3">
      <c r="A550" s="149"/>
      <c r="B550" s="149"/>
      <c r="C550" s="149"/>
      <c r="D550" s="149"/>
      <c r="E550" s="149"/>
      <c r="F550" s="149"/>
      <c r="G550" s="162"/>
      <c r="H550" s="146" t="str">
        <f t="shared" si="45"/>
        <v/>
      </c>
      <c r="I550" s="161" t="str">
        <f t="shared" si="46"/>
        <v/>
      </c>
      <c r="J550" s="160" t="str">
        <f>IFERROR(INDEX(当年标准成本!I:I,MATCH(C550,当年标准成本!C:C,0),1),"")</f>
        <v/>
      </c>
      <c r="K550" s="146" t="str">
        <f t="shared" si="47"/>
        <v/>
      </c>
      <c r="L550" s="146" t="str">
        <f t="shared" si="48"/>
        <v/>
      </c>
      <c r="M550" s="148" t="str">
        <f t="shared" si="49"/>
        <v/>
      </c>
    </row>
    <row r="551" spans="1:13" x14ac:dyDescent="0.3">
      <c r="A551" s="149"/>
      <c r="B551" s="149"/>
      <c r="C551" s="149"/>
      <c r="D551" s="149"/>
      <c r="E551" s="149"/>
      <c r="F551" s="149"/>
      <c r="G551" s="162"/>
      <c r="H551" s="146" t="str">
        <f t="shared" si="45"/>
        <v/>
      </c>
      <c r="I551" s="161" t="str">
        <f t="shared" si="46"/>
        <v/>
      </c>
      <c r="J551" s="160" t="str">
        <f>IFERROR(INDEX(当年标准成本!I:I,MATCH(C551,当年标准成本!C:C,0),1),"")</f>
        <v/>
      </c>
      <c r="K551" s="146" t="str">
        <f t="shared" si="47"/>
        <v/>
      </c>
      <c r="L551" s="146" t="str">
        <f t="shared" si="48"/>
        <v/>
      </c>
      <c r="M551" s="148" t="str">
        <f t="shared" si="49"/>
        <v/>
      </c>
    </row>
    <row r="552" spans="1:13" x14ac:dyDescent="0.3">
      <c r="A552" s="149"/>
      <c r="B552" s="149"/>
      <c r="C552" s="149"/>
      <c r="D552" s="149"/>
      <c r="E552" s="149"/>
      <c r="F552" s="149"/>
      <c r="G552" s="162"/>
      <c r="H552" s="146" t="str">
        <f t="shared" si="45"/>
        <v/>
      </c>
      <c r="I552" s="161" t="str">
        <f t="shared" si="46"/>
        <v/>
      </c>
      <c r="J552" s="160" t="str">
        <f>IFERROR(INDEX(当年标准成本!I:I,MATCH(C552,当年标准成本!C:C,0),1),"")</f>
        <v/>
      </c>
      <c r="K552" s="146" t="str">
        <f t="shared" si="47"/>
        <v/>
      </c>
      <c r="L552" s="146" t="str">
        <f t="shared" si="48"/>
        <v/>
      </c>
      <c r="M552" s="148" t="str">
        <f t="shared" si="49"/>
        <v/>
      </c>
    </row>
    <row r="553" spans="1:13" x14ac:dyDescent="0.3">
      <c r="A553" s="149"/>
      <c r="B553" s="149"/>
      <c r="C553" s="149"/>
      <c r="D553" s="149"/>
      <c r="E553" s="149"/>
      <c r="F553" s="149"/>
      <c r="G553" s="162"/>
      <c r="H553" s="146" t="str">
        <f t="shared" si="45"/>
        <v/>
      </c>
      <c r="I553" s="161" t="str">
        <f t="shared" si="46"/>
        <v/>
      </c>
      <c r="J553" s="160" t="str">
        <f>IFERROR(INDEX(当年标准成本!I:I,MATCH(C553,当年标准成本!C:C,0),1),"")</f>
        <v/>
      </c>
      <c r="K553" s="146" t="str">
        <f t="shared" si="47"/>
        <v/>
      </c>
      <c r="L553" s="146" t="str">
        <f t="shared" si="48"/>
        <v/>
      </c>
      <c r="M553" s="148" t="str">
        <f t="shared" si="49"/>
        <v/>
      </c>
    </row>
    <row r="554" spans="1:13" x14ac:dyDescent="0.3">
      <c r="A554" s="149"/>
      <c r="B554" s="149"/>
      <c r="C554" s="149"/>
      <c r="D554" s="149"/>
      <c r="E554" s="149"/>
      <c r="F554" s="149"/>
      <c r="G554" s="162"/>
      <c r="H554" s="146" t="str">
        <f t="shared" si="45"/>
        <v/>
      </c>
      <c r="I554" s="161" t="str">
        <f t="shared" si="46"/>
        <v/>
      </c>
      <c r="J554" s="160" t="str">
        <f>IFERROR(INDEX(当年标准成本!I:I,MATCH(C554,当年标准成本!C:C,0),1),"")</f>
        <v/>
      </c>
      <c r="K554" s="146" t="str">
        <f t="shared" si="47"/>
        <v/>
      </c>
      <c r="L554" s="146" t="str">
        <f t="shared" si="48"/>
        <v/>
      </c>
      <c r="M554" s="148" t="str">
        <f t="shared" si="49"/>
        <v/>
      </c>
    </row>
    <row r="555" spans="1:13" x14ac:dyDescent="0.3">
      <c r="A555" s="149"/>
      <c r="B555" s="149"/>
      <c r="C555" s="149"/>
      <c r="D555" s="149"/>
      <c r="E555" s="149"/>
      <c r="F555" s="149"/>
      <c r="G555" s="162"/>
      <c r="H555" s="146" t="str">
        <f t="shared" si="45"/>
        <v/>
      </c>
      <c r="I555" s="161" t="str">
        <f t="shared" si="46"/>
        <v/>
      </c>
      <c r="J555" s="160" t="str">
        <f>IFERROR(INDEX(当年标准成本!I:I,MATCH(C555,当年标准成本!C:C,0),1),"")</f>
        <v/>
      </c>
      <c r="K555" s="146" t="str">
        <f t="shared" si="47"/>
        <v/>
      </c>
      <c r="L555" s="146" t="str">
        <f t="shared" si="48"/>
        <v/>
      </c>
      <c r="M555" s="148" t="str">
        <f t="shared" si="49"/>
        <v/>
      </c>
    </row>
    <row r="556" spans="1:13" x14ac:dyDescent="0.3">
      <c r="A556" s="149"/>
      <c r="B556" s="149"/>
      <c r="C556" s="149"/>
      <c r="D556" s="149"/>
      <c r="E556" s="149"/>
      <c r="F556" s="149"/>
      <c r="G556" s="162"/>
      <c r="H556" s="146" t="str">
        <f t="shared" si="45"/>
        <v/>
      </c>
      <c r="I556" s="161" t="str">
        <f t="shared" si="46"/>
        <v/>
      </c>
      <c r="J556" s="160" t="str">
        <f>IFERROR(INDEX(当年标准成本!I:I,MATCH(C556,当年标准成本!C:C,0),1),"")</f>
        <v/>
      </c>
      <c r="K556" s="146" t="str">
        <f t="shared" si="47"/>
        <v/>
      </c>
      <c r="L556" s="146" t="str">
        <f t="shared" si="48"/>
        <v/>
      </c>
      <c r="M556" s="148" t="str">
        <f t="shared" si="49"/>
        <v/>
      </c>
    </row>
    <row r="557" spans="1:13" x14ac:dyDescent="0.3">
      <c r="A557" s="149"/>
      <c r="B557" s="149"/>
      <c r="C557" s="149"/>
      <c r="D557" s="149"/>
      <c r="E557" s="149"/>
      <c r="F557" s="149"/>
      <c r="G557" s="162"/>
      <c r="H557" s="146" t="str">
        <f t="shared" si="45"/>
        <v/>
      </c>
      <c r="I557" s="161" t="str">
        <f t="shared" si="46"/>
        <v/>
      </c>
      <c r="J557" s="160" t="str">
        <f>IFERROR(INDEX(当年标准成本!I:I,MATCH(C557,当年标准成本!C:C,0),1),"")</f>
        <v/>
      </c>
      <c r="K557" s="146" t="str">
        <f t="shared" si="47"/>
        <v/>
      </c>
      <c r="L557" s="146" t="str">
        <f t="shared" si="48"/>
        <v/>
      </c>
      <c r="M557" s="148" t="str">
        <f t="shared" si="49"/>
        <v/>
      </c>
    </row>
    <row r="558" spans="1:13" x14ac:dyDescent="0.3">
      <c r="A558" s="149"/>
      <c r="B558" s="149"/>
      <c r="C558" s="149"/>
      <c r="D558" s="149"/>
      <c r="E558" s="149"/>
      <c r="F558" s="149"/>
      <c r="G558" s="162"/>
      <c r="H558" s="146" t="str">
        <f t="shared" si="45"/>
        <v/>
      </c>
      <c r="I558" s="161" t="str">
        <f t="shared" si="46"/>
        <v/>
      </c>
      <c r="J558" s="160" t="str">
        <f>IFERROR(INDEX(当年标准成本!I:I,MATCH(C558,当年标准成本!C:C,0),1),"")</f>
        <v/>
      </c>
      <c r="K558" s="146" t="str">
        <f t="shared" si="47"/>
        <v/>
      </c>
      <c r="L558" s="146" t="str">
        <f t="shared" si="48"/>
        <v/>
      </c>
      <c r="M558" s="148" t="str">
        <f t="shared" si="49"/>
        <v/>
      </c>
    </row>
    <row r="559" spans="1:13" x14ac:dyDescent="0.3">
      <c r="A559" s="149"/>
      <c r="B559" s="149"/>
      <c r="C559" s="149"/>
      <c r="D559" s="149"/>
      <c r="E559" s="149"/>
      <c r="F559" s="149"/>
      <c r="G559" s="162"/>
      <c r="H559" s="146" t="str">
        <f t="shared" si="45"/>
        <v/>
      </c>
      <c r="I559" s="161" t="str">
        <f t="shared" si="46"/>
        <v/>
      </c>
      <c r="J559" s="160" t="str">
        <f>IFERROR(INDEX(当年标准成本!I:I,MATCH(C559,当年标准成本!C:C,0),1),"")</f>
        <v/>
      </c>
      <c r="K559" s="146" t="str">
        <f t="shared" si="47"/>
        <v/>
      </c>
      <c r="L559" s="146" t="str">
        <f t="shared" si="48"/>
        <v/>
      </c>
      <c r="M559" s="148" t="str">
        <f t="shared" si="49"/>
        <v/>
      </c>
    </row>
    <row r="560" spans="1:13" x14ac:dyDescent="0.3">
      <c r="A560" s="149"/>
      <c r="B560" s="149"/>
      <c r="C560" s="149"/>
      <c r="D560" s="149"/>
      <c r="E560" s="149"/>
      <c r="F560" s="149"/>
      <c r="G560" s="162"/>
      <c r="H560" s="146" t="str">
        <f t="shared" si="45"/>
        <v/>
      </c>
      <c r="I560" s="161" t="str">
        <f t="shared" si="46"/>
        <v/>
      </c>
      <c r="J560" s="160" t="str">
        <f>IFERROR(INDEX(当年标准成本!I:I,MATCH(C560,当年标准成本!C:C,0),1),"")</f>
        <v/>
      </c>
      <c r="K560" s="146" t="str">
        <f t="shared" si="47"/>
        <v/>
      </c>
      <c r="L560" s="146" t="str">
        <f t="shared" si="48"/>
        <v/>
      </c>
      <c r="M560" s="148" t="str">
        <f t="shared" si="49"/>
        <v/>
      </c>
    </row>
    <row r="561" spans="1:13" x14ac:dyDescent="0.3">
      <c r="A561" s="149"/>
      <c r="B561" s="149"/>
      <c r="C561" s="149"/>
      <c r="D561" s="149"/>
      <c r="E561" s="149"/>
      <c r="F561" s="149"/>
      <c r="G561" s="162"/>
      <c r="H561" s="146" t="str">
        <f t="shared" si="45"/>
        <v/>
      </c>
      <c r="I561" s="161" t="str">
        <f t="shared" si="46"/>
        <v/>
      </c>
      <c r="J561" s="160" t="str">
        <f>IFERROR(INDEX(当年标准成本!I:I,MATCH(C561,当年标准成本!C:C,0),1),"")</f>
        <v/>
      </c>
      <c r="K561" s="146" t="str">
        <f t="shared" si="47"/>
        <v/>
      </c>
      <c r="L561" s="146" t="str">
        <f t="shared" si="48"/>
        <v/>
      </c>
      <c r="M561" s="148" t="str">
        <f t="shared" si="49"/>
        <v/>
      </c>
    </row>
    <row r="562" spans="1:13" x14ac:dyDescent="0.3">
      <c r="A562" s="149"/>
      <c r="B562" s="149"/>
      <c r="C562" s="149"/>
      <c r="D562" s="149"/>
      <c r="E562" s="149"/>
      <c r="F562" s="149"/>
      <c r="G562" s="162"/>
      <c r="H562" s="146" t="str">
        <f t="shared" si="45"/>
        <v/>
      </c>
      <c r="I562" s="161" t="str">
        <f t="shared" si="46"/>
        <v/>
      </c>
      <c r="J562" s="160" t="str">
        <f>IFERROR(INDEX(当年标准成本!I:I,MATCH(C562,当年标准成本!C:C,0),1),"")</f>
        <v/>
      </c>
      <c r="K562" s="146" t="str">
        <f t="shared" si="47"/>
        <v/>
      </c>
      <c r="L562" s="146" t="str">
        <f t="shared" si="48"/>
        <v/>
      </c>
      <c r="M562" s="148" t="str">
        <f t="shared" si="49"/>
        <v/>
      </c>
    </row>
    <row r="563" spans="1:13" x14ac:dyDescent="0.3">
      <c r="A563" s="149"/>
      <c r="B563" s="149"/>
      <c r="C563" s="149"/>
      <c r="D563" s="149"/>
      <c r="E563" s="149"/>
      <c r="F563" s="149"/>
      <c r="G563" s="162"/>
      <c r="H563" s="146" t="str">
        <f t="shared" si="45"/>
        <v/>
      </c>
      <c r="I563" s="161" t="str">
        <f t="shared" si="46"/>
        <v/>
      </c>
      <c r="J563" s="160" t="str">
        <f>IFERROR(INDEX(当年标准成本!I:I,MATCH(C563,当年标准成本!C:C,0),1),"")</f>
        <v/>
      </c>
      <c r="K563" s="146" t="str">
        <f t="shared" si="47"/>
        <v/>
      </c>
      <c r="L563" s="146" t="str">
        <f t="shared" si="48"/>
        <v/>
      </c>
      <c r="M563" s="148" t="str">
        <f t="shared" si="49"/>
        <v/>
      </c>
    </row>
    <row r="564" spans="1:13" x14ac:dyDescent="0.3">
      <c r="A564" s="149"/>
      <c r="B564" s="149"/>
      <c r="C564" s="149"/>
      <c r="D564" s="149"/>
      <c r="E564" s="149"/>
      <c r="F564" s="149"/>
      <c r="G564" s="162"/>
      <c r="H564" s="146" t="str">
        <f t="shared" si="45"/>
        <v/>
      </c>
      <c r="I564" s="161" t="str">
        <f t="shared" si="46"/>
        <v/>
      </c>
      <c r="J564" s="160" t="str">
        <f>IFERROR(INDEX(当年标准成本!I:I,MATCH(C564,当年标准成本!C:C,0),1),"")</f>
        <v/>
      </c>
      <c r="K564" s="146" t="str">
        <f t="shared" si="47"/>
        <v/>
      </c>
      <c r="L564" s="146" t="str">
        <f t="shared" si="48"/>
        <v/>
      </c>
      <c r="M564" s="148" t="str">
        <f t="shared" si="49"/>
        <v/>
      </c>
    </row>
    <row r="565" spans="1:13" x14ac:dyDescent="0.3">
      <c r="A565" s="149"/>
      <c r="B565" s="149"/>
      <c r="C565" s="149"/>
      <c r="D565" s="149"/>
      <c r="E565" s="149"/>
      <c r="F565" s="149"/>
      <c r="G565" s="162"/>
      <c r="H565" s="146" t="str">
        <f t="shared" si="45"/>
        <v/>
      </c>
      <c r="I565" s="161" t="str">
        <f t="shared" si="46"/>
        <v/>
      </c>
      <c r="J565" s="160" t="str">
        <f>IFERROR(INDEX(当年标准成本!I:I,MATCH(C565,当年标准成本!C:C,0),1),"")</f>
        <v/>
      </c>
      <c r="K565" s="146" t="str">
        <f t="shared" si="47"/>
        <v/>
      </c>
      <c r="L565" s="146" t="str">
        <f t="shared" si="48"/>
        <v/>
      </c>
      <c r="M565" s="148" t="str">
        <f t="shared" si="49"/>
        <v/>
      </c>
    </row>
    <row r="566" spans="1:13" x14ac:dyDescent="0.3">
      <c r="A566" s="149"/>
      <c r="B566" s="149"/>
      <c r="C566" s="149"/>
      <c r="D566" s="149"/>
      <c r="E566" s="149"/>
      <c r="F566" s="149"/>
      <c r="G566" s="162"/>
      <c r="H566" s="146" t="str">
        <f t="shared" si="45"/>
        <v/>
      </c>
      <c r="I566" s="161" t="str">
        <f t="shared" si="46"/>
        <v/>
      </c>
      <c r="J566" s="160" t="str">
        <f>IFERROR(INDEX(当年标准成本!I:I,MATCH(C566,当年标准成本!C:C,0),1),"")</f>
        <v/>
      </c>
      <c r="K566" s="146" t="str">
        <f t="shared" si="47"/>
        <v/>
      </c>
      <c r="L566" s="146" t="str">
        <f t="shared" si="48"/>
        <v/>
      </c>
      <c r="M566" s="148" t="str">
        <f t="shared" si="49"/>
        <v/>
      </c>
    </row>
    <row r="567" spans="1:13" x14ac:dyDescent="0.3">
      <c r="A567" s="149"/>
      <c r="B567" s="149"/>
      <c r="C567" s="149"/>
      <c r="D567" s="149"/>
      <c r="E567" s="149"/>
      <c r="F567" s="149"/>
      <c r="G567" s="162"/>
      <c r="H567" s="146" t="str">
        <f t="shared" si="45"/>
        <v/>
      </c>
      <c r="I567" s="161" t="str">
        <f t="shared" si="46"/>
        <v/>
      </c>
      <c r="J567" s="160" t="str">
        <f>IFERROR(INDEX(当年标准成本!I:I,MATCH(C567,当年标准成本!C:C,0),1),"")</f>
        <v/>
      </c>
      <c r="K567" s="146" t="str">
        <f t="shared" si="47"/>
        <v/>
      </c>
      <c r="L567" s="146" t="str">
        <f t="shared" si="48"/>
        <v/>
      </c>
      <c r="M567" s="148" t="str">
        <f t="shared" si="49"/>
        <v/>
      </c>
    </row>
    <row r="568" spans="1:13" x14ac:dyDescent="0.3">
      <c r="A568" s="149"/>
      <c r="B568" s="149"/>
      <c r="C568" s="149"/>
      <c r="D568" s="149"/>
      <c r="E568" s="149"/>
      <c r="F568" s="149"/>
      <c r="G568" s="162"/>
      <c r="H568" s="146" t="str">
        <f t="shared" si="45"/>
        <v/>
      </c>
      <c r="I568" s="161" t="str">
        <f t="shared" si="46"/>
        <v/>
      </c>
      <c r="J568" s="160" t="str">
        <f>IFERROR(INDEX(当年标准成本!I:I,MATCH(C568,当年标准成本!C:C,0),1),"")</f>
        <v/>
      </c>
      <c r="K568" s="146" t="str">
        <f t="shared" si="47"/>
        <v/>
      </c>
      <c r="L568" s="146" t="str">
        <f t="shared" si="48"/>
        <v/>
      </c>
      <c r="M568" s="148" t="str">
        <f t="shared" si="49"/>
        <v/>
      </c>
    </row>
    <row r="569" spans="1:13" x14ac:dyDescent="0.3">
      <c r="A569" s="149"/>
      <c r="B569" s="149"/>
      <c r="C569" s="149"/>
      <c r="D569" s="149"/>
      <c r="E569" s="149"/>
      <c r="F569" s="149"/>
      <c r="G569" s="162"/>
      <c r="H569" s="146" t="str">
        <f t="shared" si="45"/>
        <v/>
      </c>
      <c r="I569" s="161" t="str">
        <f t="shared" si="46"/>
        <v/>
      </c>
      <c r="J569" s="160" t="str">
        <f>IFERROR(INDEX(当年标准成本!I:I,MATCH(C569,当年标准成本!C:C,0),1),"")</f>
        <v/>
      </c>
      <c r="K569" s="146" t="str">
        <f t="shared" si="47"/>
        <v/>
      </c>
      <c r="L569" s="146" t="str">
        <f t="shared" si="48"/>
        <v/>
      </c>
      <c r="M569" s="148" t="str">
        <f t="shared" si="49"/>
        <v/>
      </c>
    </row>
    <row r="570" spans="1:13" x14ac:dyDescent="0.3">
      <c r="A570" s="149"/>
      <c r="B570" s="149"/>
      <c r="C570" s="149"/>
      <c r="D570" s="149"/>
      <c r="E570" s="149"/>
      <c r="F570" s="149"/>
      <c r="G570" s="162"/>
      <c r="H570" s="146" t="str">
        <f t="shared" si="45"/>
        <v/>
      </c>
      <c r="I570" s="161" t="str">
        <f t="shared" si="46"/>
        <v/>
      </c>
      <c r="J570" s="160" t="str">
        <f>IFERROR(INDEX(当年标准成本!I:I,MATCH(C570,当年标准成本!C:C,0),1),"")</f>
        <v/>
      </c>
      <c r="K570" s="146" t="str">
        <f t="shared" si="47"/>
        <v/>
      </c>
      <c r="L570" s="146" t="str">
        <f t="shared" si="48"/>
        <v/>
      </c>
      <c r="M570" s="148" t="str">
        <f t="shared" si="49"/>
        <v/>
      </c>
    </row>
    <row r="571" spans="1:13" x14ac:dyDescent="0.3">
      <c r="A571" s="149"/>
      <c r="B571" s="149"/>
      <c r="C571" s="149"/>
      <c r="D571" s="149"/>
      <c r="E571" s="149"/>
      <c r="F571" s="149"/>
      <c r="G571" s="162"/>
      <c r="H571" s="146" t="str">
        <f t="shared" si="45"/>
        <v/>
      </c>
      <c r="I571" s="161" t="str">
        <f t="shared" si="46"/>
        <v/>
      </c>
      <c r="J571" s="160" t="str">
        <f>IFERROR(INDEX(当年标准成本!I:I,MATCH(C571,当年标准成本!C:C,0),1),"")</f>
        <v/>
      </c>
      <c r="K571" s="146" t="str">
        <f t="shared" si="47"/>
        <v/>
      </c>
      <c r="L571" s="146" t="str">
        <f t="shared" si="48"/>
        <v/>
      </c>
      <c r="M571" s="148" t="str">
        <f t="shared" si="49"/>
        <v/>
      </c>
    </row>
    <row r="572" spans="1:13" x14ac:dyDescent="0.3">
      <c r="A572" s="149"/>
      <c r="B572" s="149"/>
      <c r="C572" s="149"/>
      <c r="D572" s="149"/>
      <c r="E572" s="149"/>
      <c r="F572" s="149"/>
      <c r="G572" s="162"/>
      <c r="H572" s="146" t="str">
        <f t="shared" si="45"/>
        <v/>
      </c>
      <c r="I572" s="161" t="str">
        <f t="shared" si="46"/>
        <v/>
      </c>
      <c r="J572" s="160" t="str">
        <f>IFERROR(INDEX(当年标准成本!I:I,MATCH(C572,当年标准成本!C:C,0),1),"")</f>
        <v/>
      </c>
      <c r="K572" s="146" t="str">
        <f t="shared" si="47"/>
        <v/>
      </c>
      <c r="L572" s="146" t="str">
        <f t="shared" si="48"/>
        <v/>
      </c>
      <c r="M572" s="148" t="str">
        <f t="shared" si="49"/>
        <v/>
      </c>
    </row>
    <row r="573" spans="1:13" x14ac:dyDescent="0.3">
      <c r="A573" s="149"/>
      <c r="B573" s="149"/>
      <c r="C573" s="149"/>
      <c r="D573" s="149"/>
      <c r="E573" s="149"/>
      <c r="F573" s="149"/>
      <c r="G573" s="162"/>
      <c r="H573" s="146" t="str">
        <f t="shared" si="45"/>
        <v/>
      </c>
      <c r="I573" s="161" t="str">
        <f t="shared" si="46"/>
        <v/>
      </c>
      <c r="J573" s="160" t="str">
        <f>IFERROR(INDEX(当年标准成本!I:I,MATCH(C573,当年标准成本!C:C,0),1),"")</f>
        <v/>
      </c>
      <c r="K573" s="146" t="str">
        <f t="shared" si="47"/>
        <v/>
      </c>
      <c r="L573" s="146" t="str">
        <f t="shared" si="48"/>
        <v/>
      </c>
      <c r="M573" s="148" t="str">
        <f t="shared" si="49"/>
        <v/>
      </c>
    </row>
    <row r="574" spans="1:13" x14ac:dyDescent="0.3">
      <c r="A574" s="149"/>
      <c r="B574" s="149"/>
      <c r="C574" s="149"/>
      <c r="D574" s="149"/>
      <c r="E574" s="149"/>
      <c r="F574" s="149"/>
      <c r="G574" s="162"/>
      <c r="H574" s="146" t="str">
        <f t="shared" si="45"/>
        <v/>
      </c>
      <c r="I574" s="161" t="str">
        <f t="shared" si="46"/>
        <v/>
      </c>
      <c r="J574" s="160" t="str">
        <f>IFERROR(INDEX(当年标准成本!I:I,MATCH(C574,当年标准成本!C:C,0),1),"")</f>
        <v/>
      </c>
      <c r="K574" s="146" t="str">
        <f t="shared" si="47"/>
        <v/>
      </c>
      <c r="L574" s="146" t="str">
        <f t="shared" si="48"/>
        <v/>
      </c>
      <c r="M574" s="148" t="str">
        <f t="shared" si="49"/>
        <v/>
      </c>
    </row>
    <row r="575" spans="1:13" x14ac:dyDescent="0.3">
      <c r="A575" s="149"/>
      <c r="B575" s="149"/>
      <c r="C575" s="149"/>
      <c r="D575" s="149"/>
      <c r="E575" s="149"/>
      <c r="F575" s="149"/>
      <c r="G575" s="162"/>
      <c r="H575" s="146" t="str">
        <f t="shared" si="45"/>
        <v/>
      </c>
      <c r="I575" s="161" t="str">
        <f t="shared" si="46"/>
        <v/>
      </c>
      <c r="J575" s="160" t="str">
        <f>IFERROR(INDEX(当年标准成本!I:I,MATCH(C575,当年标准成本!C:C,0),1),"")</f>
        <v/>
      </c>
      <c r="K575" s="146" t="str">
        <f t="shared" si="47"/>
        <v/>
      </c>
      <c r="L575" s="146" t="str">
        <f t="shared" si="48"/>
        <v/>
      </c>
      <c r="M575" s="148" t="str">
        <f t="shared" si="49"/>
        <v/>
      </c>
    </row>
    <row r="576" spans="1:13" x14ac:dyDescent="0.3">
      <c r="A576" s="149"/>
      <c r="B576" s="149"/>
      <c r="C576" s="149"/>
      <c r="D576" s="149"/>
      <c r="E576" s="149"/>
      <c r="F576" s="149"/>
      <c r="G576" s="162"/>
      <c r="H576" s="146" t="str">
        <f t="shared" si="45"/>
        <v/>
      </c>
      <c r="I576" s="161" t="str">
        <f t="shared" si="46"/>
        <v/>
      </c>
      <c r="J576" s="160" t="str">
        <f>IFERROR(INDEX(当年标准成本!I:I,MATCH(C576,当年标准成本!C:C,0),1),"")</f>
        <v/>
      </c>
      <c r="K576" s="146" t="str">
        <f t="shared" si="47"/>
        <v/>
      </c>
      <c r="L576" s="146" t="str">
        <f t="shared" si="48"/>
        <v/>
      </c>
      <c r="M576" s="148" t="str">
        <f t="shared" si="49"/>
        <v/>
      </c>
    </row>
    <row r="577" spans="1:13" x14ac:dyDescent="0.3">
      <c r="A577" s="149"/>
      <c r="B577" s="149"/>
      <c r="C577" s="149"/>
      <c r="D577" s="149"/>
      <c r="E577" s="149"/>
      <c r="F577" s="149"/>
      <c r="G577" s="162"/>
      <c r="H577" s="146" t="str">
        <f t="shared" si="45"/>
        <v/>
      </c>
      <c r="I577" s="161" t="str">
        <f t="shared" si="46"/>
        <v/>
      </c>
      <c r="J577" s="160" t="str">
        <f>IFERROR(INDEX(当年标准成本!I:I,MATCH(C577,当年标准成本!C:C,0),1),"")</f>
        <v/>
      </c>
      <c r="K577" s="146" t="str">
        <f t="shared" si="47"/>
        <v/>
      </c>
      <c r="L577" s="146" t="str">
        <f t="shared" si="48"/>
        <v/>
      </c>
      <c r="M577" s="148" t="str">
        <f t="shared" si="49"/>
        <v/>
      </c>
    </row>
    <row r="578" spans="1:13" x14ac:dyDescent="0.3">
      <c r="A578" s="149"/>
      <c r="B578" s="149"/>
      <c r="C578" s="149"/>
      <c r="D578" s="149"/>
      <c r="E578" s="149"/>
      <c r="F578" s="149"/>
      <c r="G578" s="162"/>
      <c r="H578" s="146" t="str">
        <f t="shared" si="45"/>
        <v/>
      </c>
      <c r="I578" s="161" t="str">
        <f t="shared" si="46"/>
        <v/>
      </c>
      <c r="J578" s="160" t="str">
        <f>IFERROR(INDEX(当年标准成本!I:I,MATCH(C578,当年标准成本!C:C,0),1),"")</f>
        <v/>
      </c>
      <c r="K578" s="146" t="str">
        <f t="shared" si="47"/>
        <v/>
      </c>
      <c r="L578" s="146" t="str">
        <f t="shared" si="48"/>
        <v/>
      </c>
      <c r="M578" s="148" t="str">
        <f t="shared" si="49"/>
        <v/>
      </c>
    </row>
    <row r="579" spans="1:13" x14ac:dyDescent="0.3">
      <c r="A579" s="149"/>
      <c r="B579" s="149"/>
      <c r="C579" s="149"/>
      <c r="D579" s="149"/>
      <c r="E579" s="149"/>
      <c r="F579" s="149"/>
      <c r="G579" s="162"/>
      <c r="H579" s="146" t="str">
        <f t="shared" si="45"/>
        <v/>
      </c>
      <c r="I579" s="161" t="str">
        <f t="shared" si="46"/>
        <v/>
      </c>
      <c r="J579" s="160" t="str">
        <f>IFERROR(INDEX(当年标准成本!I:I,MATCH(C579,当年标准成本!C:C,0),1),"")</f>
        <v/>
      </c>
      <c r="K579" s="146" t="str">
        <f t="shared" si="47"/>
        <v/>
      </c>
      <c r="L579" s="146" t="str">
        <f t="shared" si="48"/>
        <v/>
      </c>
      <c r="M579" s="148" t="str">
        <f t="shared" si="49"/>
        <v/>
      </c>
    </row>
    <row r="580" spans="1:13" x14ac:dyDescent="0.3">
      <c r="A580" s="149"/>
      <c r="B580" s="149"/>
      <c r="C580" s="149"/>
      <c r="D580" s="149"/>
      <c r="E580" s="149"/>
      <c r="F580" s="149"/>
      <c r="G580" s="162"/>
      <c r="H580" s="146" t="str">
        <f t="shared" si="45"/>
        <v/>
      </c>
      <c r="I580" s="161" t="str">
        <f t="shared" si="46"/>
        <v/>
      </c>
      <c r="J580" s="160" t="str">
        <f>IFERROR(INDEX(当年标准成本!I:I,MATCH(C580,当年标准成本!C:C,0),1),"")</f>
        <v/>
      </c>
      <c r="K580" s="146" t="str">
        <f t="shared" si="47"/>
        <v/>
      </c>
      <c r="L580" s="146" t="str">
        <f t="shared" si="48"/>
        <v/>
      </c>
      <c r="M580" s="148" t="str">
        <f t="shared" si="49"/>
        <v/>
      </c>
    </row>
    <row r="581" spans="1:13" x14ac:dyDescent="0.3">
      <c r="A581" s="149"/>
      <c r="B581" s="149"/>
      <c r="C581" s="149"/>
      <c r="D581" s="149"/>
      <c r="E581" s="149"/>
      <c r="F581" s="149"/>
      <c r="G581" s="162"/>
      <c r="H581" s="146" t="str">
        <f t="shared" si="45"/>
        <v/>
      </c>
      <c r="I581" s="161" t="str">
        <f t="shared" si="46"/>
        <v/>
      </c>
      <c r="J581" s="160" t="str">
        <f>IFERROR(INDEX(当年标准成本!I:I,MATCH(C581,当年标准成本!C:C,0),1),"")</f>
        <v/>
      </c>
      <c r="K581" s="146" t="str">
        <f t="shared" si="47"/>
        <v/>
      </c>
      <c r="L581" s="146" t="str">
        <f t="shared" si="48"/>
        <v/>
      </c>
      <c r="M581" s="148" t="str">
        <f t="shared" si="49"/>
        <v/>
      </c>
    </row>
    <row r="582" spans="1:13" x14ac:dyDescent="0.3">
      <c r="A582" s="149"/>
      <c r="B582" s="149"/>
      <c r="C582" s="149"/>
      <c r="D582" s="149"/>
      <c r="E582" s="149"/>
      <c r="F582" s="149"/>
      <c r="G582" s="162"/>
      <c r="H582" s="146" t="str">
        <f t="shared" si="45"/>
        <v/>
      </c>
      <c r="I582" s="161" t="str">
        <f t="shared" si="46"/>
        <v/>
      </c>
      <c r="J582" s="160" t="str">
        <f>IFERROR(INDEX(当年标准成本!I:I,MATCH(C582,当年标准成本!C:C,0),1),"")</f>
        <v/>
      </c>
      <c r="K582" s="146" t="str">
        <f t="shared" si="47"/>
        <v/>
      </c>
      <c r="L582" s="146" t="str">
        <f t="shared" si="48"/>
        <v/>
      </c>
      <c r="M582" s="148" t="str">
        <f t="shared" si="49"/>
        <v/>
      </c>
    </row>
    <row r="583" spans="1:13" x14ac:dyDescent="0.3">
      <c r="A583" s="149"/>
      <c r="B583" s="149"/>
      <c r="C583" s="149"/>
      <c r="D583" s="149"/>
      <c r="E583" s="149"/>
      <c r="F583" s="149"/>
      <c r="G583" s="162"/>
      <c r="H583" s="146" t="str">
        <f t="shared" si="45"/>
        <v/>
      </c>
      <c r="I583" s="161" t="str">
        <f t="shared" si="46"/>
        <v/>
      </c>
      <c r="J583" s="160" t="str">
        <f>IFERROR(INDEX(当年标准成本!I:I,MATCH(C583,当年标准成本!C:C,0),1),"")</f>
        <v/>
      </c>
      <c r="K583" s="146" t="str">
        <f t="shared" si="47"/>
        <v/>
      </c>
      <c r="L583" s="146" t="str">
        <f t="shared" si="48"/>
        <v/>
      </c>
      <c r="M583" s="148" t="str">
        <f t="shared" si="49"/>
        <v/>
      </c>
    </row>
    <row r="584" spans="1:13" x14ac:dyDescent="0.3">
      <c r="A584" s="149"/>
      <c r="B584" s="149"/>
      <c r="C584" s="149"/>
      <c r="D584" s="149"/>
      <c r="E584" s="149"/>
      <c r="F584" s="149"/>
      <c r="G584" s="162"/>
      <c r="H584" s="146" t="str">
        <f t="shared" si="45"/>
        <v/>
      </c>
      <c r="I584" s="161" t="str">
        <f t="shared" si="46"/>
        <v/>
      </c>
      <c r="J584" s="160" t="str">
        <f>IFERROR(INDEX(当年标准成本!I:I,MATCH(C584,当年标准成本!C:C,0),1),"")</f>
        <v/>
      </c>
      <c r="K584" s="146" t="str">
        <f t="shared" si="47"/>
        <v/>
      </c>
      <c r="L584" s="146" t="str">
        <f t="shared" si="48"/>
        <v/>
      </c>
      <c r="M584" s="148" t="str">
        <f t="shared" si="49"/>
        <v/>
      </c>
    </row>
    <row r="585" spans="1:13" x14ac:dyDescent="0.3">
      <c r="A585" s="149"/>
      <c r="B585" s="149"/>
      <c r="C585" s="149"/>
      <c r="D585" s="149"/>
      <c r="E585" s="149"/>
      <c r="F585" s="149"/>
      <c r="G585" s="162"/>
      <c r="H585" s="146" t="str">
        <f t="shared" si="45"/>
        <v/>
      </c>
      <c r="I585" s="161" t="str">
        <f t="shared" si="46"/>
        <v/>
      </c>
      <c r="J585" s="160" t="str">
        <f>IFERROR(INDEX(当年标准成本!I:I,MATCH(C585,当年标准成本!C:C,0),1),"")</f>
        <v/>
      </c>
      <c r="K585" s="146" t="str">
        <f t="shared" si="47"/>
        <v/>
      </c>
      <c r="L585" s="146" t="str">
        <f t="shared" si="48"/>
        <v/>
      </c>
      <c r="M585" s="148" t="str">
        <f t="shared" si="49"/>
        <v/>
      </c>
    </row>
    <row r="586" spans="1:13" x14ac:dyDescent="0.3">
      <c r="A586" s="149"/>
      <c r="B586" s="149"/>
      <c r="C586" s="149"/>
      <c r="D586" s="149"/>
      <c r="E586" s="149"/>
      <c r="F586" s="149"/>
      <c r="G586" s="162"/>
      <c r="H586" s="146" t="str">
        <f t="shared" si="45"/>
        <v/>
      </c>
      <c r="I586" s="161" t="str">
        <f t="shared" si="46"/>
        <v/>
      </c>
      <c r="J586" s="160" t="str">
        <f>IFERROR(INDEX(当年标准成本!I:I,MATCH(C586,当年标准成本!C:C,0),1),"")</f>
        <v/>
      </c>
      <c r="K586" s="146" t="str">
        <f t="shared" si="47"/>
        <v/>
      </c>
      <c r="L586" s="146" t="str">
        <f t="shared" si="48"/>
        <v/>
      </c>
      <c r="M586" s="148" t="str">
        <f t="shared" si="49"/>
        <v/>
      </c>
    </row>
    <row r="587" spans="1:13" x14ac:dyDescent="0.3">
      <c r="A587" s="149"/>
      <c r="B587" s="149"/>
      <c r="C587" s="149"/>
      <c r="D587" s="149"/>
      <c r="E587" s="149"/>
      <c r="F587" s="149"/>
      <c r="G587" s="162"/>
      <c r="H587" s="146" t="str">
        <f t="shared" si="45"/>
        <v/>
      </c>
      <c r="I587" s="161" t="str">
        <f t="shared" si="46"/>
        <v/>
      </c>
      <c r="J587" s="160" t="str">
        <f>IFERROR(INDEX(当年标准成本!I:I,MATCH(C587,当年标准成本!C:C,0),1),"")</f>
        <v/>
      </c>
      <c r="K587" s="146" t="str">
        <f t="shared" si="47"/>
        <v/>
      </c>
      <c r="L587" s="146" t="str">
        <f t="shared" si="48"/>
        <v/>
      </c>
      <c r="M587" s="148" t="str">
        <f t="shared" si="49"/>
        <v/>
      </c>
    </row>
    <row r="588" spans="1:13" x14ac:dyDescent="0.3">
      <c r="A588" s="149"/>
      <c r="B588" s="149"/>
      <c r="C588" s="149"/>
      <c r="D588" s="149"/>
      <c r="E588" s="149"/>
      <c r="F588" s="149"/>
      <c r="G588" s="162"/>
      <c r="H588" s="146" t="str">
        <f t="shared" ref="H588:H651" si="50">IFERROR(F588/E588,"")</f>
        <v/>
      </c>
      <c r="I588" s="161" t="str">
        <f t="shared" ref="I588:I651" si="51">IFERROR(H588*(1+G588),"")</f>
        <v/>
      </c>
      <c r="J588" s="160" t="str">
        <f>IFERROR(INDEX(当年标准成本!I:I,MATCH(C588,当年标准成本!C:C,0),1),"")</f>
        <v/>
      </c>
      <c r="K588" s="146" t="str">
        <f t="shared" ref="K588:K651" si="52">IFERROR(E588*J588,"")</f>
        <v/>
      </c>
      <c r="L588" s="146" t="str">
        <f t="shared" ref="L588:L651" si="53">IFERROR(F588-K588,"")</f>
        <v/>
      </c>
      <c r="M588" s="148" t="str">
        <f t="shared" ref="M588:M651" si="54">IFERROR(L588/F588,"")</f>
        <v/>
      </c>
    </row>
    <row r="589" spans="1:13" x14ac:dyDescent="0.3">
      <c r="A589" s="149"/>
      <c r="B589" s="149"/>
      <c r="C589" s="149"/>
      <c r="D589" s="149"/>
      <c r="E589" s="149"/>
      <c r="F589" s="149"/>
      <c r="G589" s="162"/>
      <c r="H589" s="146" t="str">
        <f t="shared" si="50"/>
        <v/>
      </c>
      <c r="I589" s="161" t="str">
        <f t="shared" si="51"/>
        <v/>
      </c>
      <c r="J589" s="160" t="str">
        <f>IFERROR(INDEX(当年标准成本!I:I,MATCH(C589,当年标准成本!C:C,0),1),"")</f>
        <v/>
      </c>
      <c r="K589" s="146" t="str">
        <f t="shared" si="52"/>
        <v/>
      </c>
      <c r="L589" s="146" t="str">
        <f t="shared" si="53"/>
        <v/>
      </c>
      <c r="M589" s="148" t="str">
        <f t="shared" si="54"/>
        <v/>
      </c>
    </row>
    <row r="590" spans="1:13" x14ac:dyDescent="0.3">
      <c r="A590" s="149"/>
      <c r="B590" s="149"/>
      <c r="C590" s="149"/>
      <c r="D590" s="149"/>
      <c r="E590" s="149"/>
      <c r="F590" s="149"/>
      <c r="G590" s="162"/>
      <c r="H590" s="146" t="str">
        <f t="shared" si="50"/>
        <v/>
      </c>
      <c r="I590" s="161" t="str">
        <f t="shared" si="51"/>
        <v/>
      </c>
      <c r="J590" s="160" t="str">
        <f>IFERROR(INDEX(当年标准成本!I:I,MATCH(C590,当年标准成本!C:C,0),1),"")</f>
        <v/>
      </c>
      <c r="K590" s="146" t="str">
        <f t="shared" si="52"/>
        <v/>
      </c>
      <c r="L590" s="146" t="str">
        <f t="shared" si="53"/>
        <v/>
      </c>
      <c r="M590" s="148" t="str">
        <f t="shared" si="54"/>
        <v/>
      </c>
    </row>
    <row r="591" spans="1:13" x14ac:dyDescent="0.3">
      <c r="A591" s="149"/>
      <c r="B591" s="149"/>
      <c r="C591" s="149"/>
      <c r="D591" s="149"/>
      <c r="E591" s="149"/>
      <c r="F591" s="149"/>
      <c r="G591" s="162"/>
      <c r="H591" s="146" t="str">
        <f t="shared" si="50"/>
        <v/>
      </c>
      <c r="I591" s="161" t="str">
        <f t="shared" si="51"/>
        <v/>
      </c>
      <c r="J591" s="160" t="str">
        <f>IFERROR(INDEX(当年标准成本!I:I,MATCH(C591,当年标准成本!C:C,0),1),"")</f>
        <v/>
      </c>
      <c r="K591" s="146" t="str">
        <f t="shared" si="52"/>
        <v/>
      </c>
      <c r="L591" s="146" t="str">
        <f t="shared" si="53"/>
        <v/>
      </c>
      <c r="M591" s="148" t="str">
        <f t="shared" si="54"/>
        <v/>
      </c>
    </row>
    <row r="592" spans="1:13" x14ac:dyDescent="0.3">
      <c r="A592" s="149"/>
      <c r="B592" s="149"/>
      <c r="C592" s="149"/>
      <c r="D592" s="149"/>
      <c r="E592" s="149"/>
      <c r="F592" s="149"/>
      <c r="G592" s="162"/>
      <c r="H592" s="146" t="str">
        <f t="shared" si="50"/>
        <v/>
      </c>
      <c r="I592" s="161" t="str">
        <f t="shared" si="51"/>
        <v/>
      </c>
      <c r="J592" s="160" t="str">
        <f>IFERROR(INDEX(当年标准成本!I:I,MATCH(C592,当年标准成本!C:C,0),1),"")</f>
        <v/>
      </c>
      <c r="K592" s="146" t="str">
        <f t="shared" si="52"/>
        <v/>
      </c>
      <c r="L592" s="146" t="str">
        <f t="shared" si="53"/>
        <v/>
      </c>
      <c r="M592" s="148" t="str">
        <f t="shared" si="54"/>
        <v/>
      </c>
    </row>
    <row r="593" spans="1:13" x14ac:dyDescent="0.3">
      <c r="A593" s="149"/>
      <c r="B593" s="149"/>
      <c r="C593" s="149"/>
      <c r="D593" s="149"/>
      <c r="E593" s="149"/>
      <c r="F593" s="149"/>
      <c r="G593" s="162"/>
      <c r="H593" s="146" t="str">
        <f t="shared" si="50"/>
        <v/>
      </c>
      <c r="I593" s="161" t="str">
        <f t="shared" si="51"/>
        <v/>
      </c>
      <c r="J593" s="160" t="str">
        <f>IFERROR(INDEX(当年标准成本!I:I,MATCH(C593,当年标准成本!C:C,0),1),"")</f>
        <v/>
      </c>
      <c r="K593" s="146" t="str">
        <f t="shared" si="52"/>
        <v/>
      </c>
      <c r="L593" s="146" t="str">
        <f t="shared" si="53"/>
        <v/>
      </c>
      <c r="M593" s="148" t="str">
        <f t="shared" si="54"/>
        <v/>
      </c>
    </row>
    <row r="594" spans="1:13" x14ac:dyDescent="0.3">
      <c r="A594" s="149"/>
      <c r="B594" s="149"/>
      <c r="C594" s="149"/>
      <c r="D594" s="149"/>
      <c r="E594" s="149"/>
      <c r="F594" s="149"/>
      <c r="G594" s="162"/>
      <c r="H594" s="146" t="str">
        <f t="shared" si="50"/>
        <v/>
      </c>
      <c r="I594" s="161" t="str">
        <f t="shared" si="51"/>
        <v/>
      </c>
      <c r="J594" s="160" t="str">
        <f>IFERROR(INDEX(当年标准成本!I:I,MATCH(C594,当年标准成本!C:C,0),1),"")</f>
        <v/>
      </c>
      <c r="K594" s="146" t="str">
        <f t="shared" si="52"/>
        <v/>
      </c>
      <c r="L594" s="146" t="str">
        <f t="shared" si="53"/>
        <v/>
      </c>
      <c r="M594" s="148" t="str">
        <f t="shared" si="54"/>
        <v/>
      </c>
    </row>
    <row r="595" spans="1:13" x14ac:dyDescent="0.3">
      <c r="A595" s="149"/>
      <c r="B595" s="149"/>
      <c r="C595" s="149"/>
      <c r="D595" s="149"/>
      <c r="E595" s="149"/>
      <c r="F595" s="149"/>
      <c r="G595" s="162"/>
      <c r="H595" s="146" t="str">
        <f t="shared" si="50"/>
        <v/>
      </c>
      <c r="I595" s="161" t="str">
        <f t="shared" si="51"/>
        <v/>
      </c>
      <c r="J595" s="160" t="str">
        <f>IFERROR(INDEX(当年标准成本!I:I,MATCH(C595,当年标准成本!C:C,0),1),"")</f>
        <v/>
      </c>
      <c r="K595" s="146" t="str">
        <f t="shared" si="52"/>
        <v/>
      </c>
      <c r="L595" s="146" t="str">
        <f t="shared" si="53"/>
        <v/>
      </c>
      <c r="M595" s="148" t="str">
        <f t="shared" si="54"/>
        <v/>
      </c>
    </row>
    <row r="596" spans="1:13" x14ac:dyDescent="0.3">
      <c r="A596" s="149"/>
      <c r="B596" s="149"/>
      <c r="C596" s="149"/>
      <c r="D596" s="149"/>
      <c r="E596" s="149"/>
      <c r="F596" s="149"/>
      <c r="G596" s="162"/>
      <c r="H596" s="146" t="str">
        <f t="shared" si="50"/>
        <v/>
      </c>
      <c r="I596" s="161" t="str">
        <f t="shared" si="51"/>
        <v/>
      </c>
      <c r="J596" s="160" t="str">
        <f>IFERROR(INDEX(当年标准成本!I:I,MATCH(C596,当年标准成本!C:C,0),1),"")</f>
        <v/>
      </c>
      <c r="K596" s="146" t="str">
        <f t="shared" si="52"/>
        <v/>
      </c>
      <c r="L596" s="146" t="str">
        <f t="shared" si="53"/>
        <v/>
      </c>
      <c r="M596" s="148" t="str">
        <f t="shared" si="54"/>
        <v/>
      </c>
    </row>
    <row r="597" spans="1:13" x14ac:dyDescent="0.3">
      <c r="A597" s="149"/>
      <c r="B597" s="149"/>
      <c r="C597" s="149"/>
      <c r="D597" s="149"/>
      <c r="E597" s="149"/>
      <c r="F597" s="149"/>
      <c r="G597" s="162"/>
      <c r="H597" s="146" t="str">
        <f t="shared" si="50"/>
        <v/>
      </c>
      <c r="I597" s="161" t="str">
        <f t="shared" si="51"/>
        <v/>
      </c>
      <c r="J597" s="160" t="str">
        <f>IFERROR(INDEX(当年标准成本!I:I,MATCH(C597,当年标准成本!C:C,0),1),"")</f>
        <v/>
      </c>
      <c r="K597" s="146" t="str">
        <f t="shared" si="52"/>
        <v/>
      </c>
      <c r="L597" s="146" t="str">
        <f t="shared" si="53"/>
        <v/>
      </c>
      <c r="M597" s="148" t="str">
        <f t="shared" si="54"/>
        <v/>
      </c>
    </row>
    <row r="598" spans="1:13" x14ac:dyDescent="0.3">
      <c r="A598" s="149"/>
      <c r="B598" s="149"/>
      <c r="C598" s="149"/>
      <c r="D598" s="149"/>
      <c r="E598" s="149"/>
      <c r="F598" s="149"/>
      <c r="G598" s="162"/>
      <c r="H598" s="146" t="str">
        <f t="shared" si="50"/>
        <v/>
      </c>
      <c r="I598" s="161" t="str">
        <f t="shared" si="51"/>
        <v/>
      </c>
      <c r="J598" s="160" t="str">
        <f>IFERROR(INDEX(当年标准成本!I:I,MATCH(C598,当年标准成本!C:C,0),1),"")</f>
        <v/>
      </c>
      <c r="K598" s="146" t="str">
        <f t="shared" si="52"/>
        <v/>
      </c>
      <c r="L598" s="146" t="str">
        <f t="shared" si="53"/>
        <v/>
      </c>
      <c r="M598" s="148" t="str">
        <f t="shared" si="54"/>
        <v/>
      </c>
    </row>
    <row r="599" spans="1:13" x14ac:dyDescent="0.3">
      <c r="A599" s="149"/>
      <c r="B599" s="149"/>
      <c r="C599" s="149"/>
      <c r="D599" s="149"/>
      <c r="E599" s="149"/>
      <c r="F599" s="149"/>
      <c r="G599" s="162"/>
      <c r="H599" s="146" t="str">
        <f t="shared" si="50"/>
        <v/>
      </c>
      <c r="I599" s="161" t="str">
        <f t="shared" si="51"/>
        <v/>
      </c>
      <c r="J599" s="160" t="str">
        <f>IFERROR(INDEX(当年标准成本!I:I,MATCH(C599,当年标准成本!C:C,0),1),"")</f>
        <v/>
      </c>
      <c r="K599" s="146" t="str">
        <f t="shared" si="52"/>
        <v/>
      </c>
      <c r="L599" s="146" t="str">
        <f t="shared" si="53"/>
        <v/>
      </c>
      <c r="M599" s="148" t="str">
        <f t="shared" si="54"/>
        <v/>
      </c>
    </row>
    <row r="600" spans="1:13" x14ac:dyDescent="0.3">
      <c r="A600" s="149"/>
      <c r="B600" s="149"/>
      <c r="C600" s="149"/>
      <c r="D600" s="149"/>
      <c r="E600" s="149"/>
      <c r="F600" s="149"/>
      <c r="G600" s="162"/>
      <c r="H600" s="146" t="str">
        <f t="shared" si="50"/>
        <v/>
      </c>
      <c r="I600" s="161" t="str">
        <f t="shared" si="51"/>
        <v/>
      </c>
      <c r="J600" s="160" t="str">
        <f>IFERROR(INDEX(当年标准成本!I:I,MATCH(C600,当年标准成本!C:C,0),1),"")</f>
        <v/>
      </c>
      <c r="K600" s="146" t="str">
        <f t="shared" si="52"/>
        <v/>
      </c>
      <c r="L600" s="146" t="str">
        <f t="shared" si="53"/>
        <v/>
      </c>
      <c r="M600" s="148" t="str">
        <f t="shared" si="54"/>
        <v/>
      </c>
    </row>
    <row r="601" spans="1:13" x14ac:dyDescent="0.3">
      <c r="A601" s="149"/>
      <c r="B601" s="149"/>
      <c r="C601" s="149"/>
      <c r="D601" s="149"/>
      <c r="E601" s="149"/>
      <c r="F601" s="149"/>
      <c r="G601" s="162"/>
      <c r="H601" s="146" t="str">
        <f t="shared" si="50"/>
        <v/>
      </c>
      <c r="I601" s="161" t="str">
        <f t="shared" si="51"/>
        <v/>
      </c>
      <c r="J601" s="160" t="str">
        <f>IFERROR(INDEX(当年标准成本!I:I,MATCH(C601,当年标准成本!C:C,0),1),"")</f>
        <v/>
      </c>
      <c r="K601" s="146" t="str">
        <f t="shared" si="52"/>
        <v/>
      </c>
      <c r="L601" s="146" t="str">
        <f t="shared" si="53"/>
        <v/>
      </c>
      <c r="M601" s="148" t="str">
        <f t="shared" si="54"/>
        <v/>
      </c>
    </row>
    <row r="602" spans="1:13" x14ac:dyDescent="0.3">
      <c r="A602" s="149"/>
      <c r="B602" s="149"/>
      <c r="C602" s="149"/>
      <c r="D602" s="149"/>
      <c r="E602" s="149"/>
      <c r="F602" s="149"/>
      <c r="G602" s="162"/>
      <c r="H602" s="146" t="str">
        <f t="shared" si="50"/>
        <v/>
      </c>
      <c r="I602" s="161" t="str">
        <f t="shared" si="51"/>
        <v/>
      </c>
      <c r="J602" s="160" t="str">
        <f>IFERROR(INDEX(当年标准成本!I:I,MATCH(C602,当年标准成本!C:C,0),1),"")</f>
        <v/>
      </c>
      <c r="K602" s="146" t="str">
        <f t="shared" si="52"/>
        <v/>
      </c>
      <c r="L602" s="146" t="str">
        <f t="shared" si="53"/>
        <v/>
      </c>
      <c r="M602" s="148" t="str">
        <f t="shared" si="54"/>
        <v/>
      </c>
    </row>
    <row r="603" spans="1:13" x14ac:dyDescent="0.3">
      <c r="A603" s="149"/>
      <c r="B603" s="149"/>
      <c r="C603" s="149"/>
      <c r="D603" s="149"/>
      <c r="E603" s="149"/>
      <c r="F603" s="149"/>
      <c r="G603" s="162"/>
      <c r="H603" s="146" t="str">
        <f t="shared" si="50"/>
        <v/>
      </c>
      <c r="I603" s="161" t="str">
        <f t="shared" si="51"/>
        <v/>
      </c>
      <c r="J603" s="160" t="str">
        <f>IFERROR(INDEX(当年标准成本!I:I,MATCH(C603,当年标准成本!C:C,0),1),"")</f>
        <v/>
      </c>
      <c r="K603" s="146" t="str">
        <f t="shared" si="52"/>
        <v/>
      </c>
      <c r="L603" s="146" t="str">
        <f t="shared" si="53"/>
        <v/>
      </c>
      <c r="M603" s="148" t="str">
        <f t="shared" si="54"/>
        <v/>
      </c>
    </row>
    <row r="604" spans="1:13" x14ac:dyDescent="0.3">
      <c r="A604" s="149"/>
      <c r="B604" s="149"/>
      <c r="C604" s="149"/>
      <c r="D604" s="149"/>
      <c r="E604" s="149"/>
      <c r="F604" s="149"/>
      <c r="G604" s="162"/>
      <c r="H604" s="146" t="str">
        <f t="shared" si="50"/>
        <v/>
      </c>
      <c r="I604" s="161" t="str">
        <f t="shared" si="51"/>
        <v/>
      </c>
      <c r="J604" s="160" t="str">
        <f>IFERROR(INDEX(当年标准成本!I:I,MATCH(C604,当年标准成本!C:C,0),1),"")</f>
        <v/>
      </c>
      <c r="K604" s="146" t="str">
        <f t="shared" si="52"/>
        <v/>
      </c>
      <c r="L604" s="146" t="str">
        <f t="shared" si="53"/>
        <v/>
      </c>
      <c r="M604" s="148" t="str">
        <f t="shared" si="54"/>
        <v/>
      </c>
    </row>
    <row r="605" spans="1:13" x14ac:dyDescent="0.3">
      <c r="A605" s="149"/>
      <c r="B605" s="149"/>
      <c r="C605" s="149"/>
      <c r="D605" s="149"/>
      <c r="E605" s="149"/>
      <c r="F605" s="149"/>
      <c r="G605" s="162"/>
      <c r="H605" s="146" t="str">
        <f t="shared" si="50"/>
        <v/>
      </c>
      <c r="I605" s="161" t="str">
        <f t="shared" si="51"/>
        <v/>
      </c>
      <c r="J605" s="160" t="str">
        <f>IFERROR(INDEX(当年标准成本!I:I,MATCH(C605,当年标准成本!C:C,0),1),"")</f>
        <v/>
      </c>
      <c r="K605" s="146" t="str">
        <f t="shared" si="52"/>
        <v/>
      </c>
      <c r="L605" s="146" t="str">
        <f t="shared" si="53"/>
        <v/>
      </c>
      <c r="M605" s="148" t="str">
        <f t="shared" si="54"/>
        <v/>
      </c>
    </row>
    <row r="606" spans="1:13" x14ac:dyDescent="0.3">
      <c r="A606" s="149"/>
      <c r="B606" s="149"/>
      <c r="C606" s="149"/>
      <c r="D606" s="149"/>
      <c r="E606" s="149"/>
      <c r="F606" s="149"/>
      <c r="G606" s="162"/>
      <c r="H606" s="146" t="str">
        <f t="shared" si="50"/>
        <v/>
      </c>
      <c r="I606" s="161" t="str">
        <f t="shared" si="51"/>
        <v/>
      </c>
      <c r="J606" s="160" t="str">
        <f>IFERROR(INDEX(当年标准成本!I:I,MATCH(C606,当年标准成本!C:C,0),1),"")</f>
        <v/>
      </c>
      <c r="K606" s="146" t="str">
        <f t="shared" si="52"/>
        <v/>
      </c>
      <c r="L606" s="146" t="str">
        <f t="shared" si="53"/>
        <v/>
      </c>
      <c r="M606" s="148" t="str">
        <f t="shared" si="54"/>
        <v/>
      </c>
    </row>
    <row r="607" spans="1:13" x14ac:dyDescent="0.3">
      <c r="A607" s="149"/>
      <c r="B607" s="149"/>
      <c r="C607" s="149"/>
      <c r="D607" s="149"/>
      <c r="E607" s="149"/>
      <c r="F607" s="149"/>
      <c r="G607" s="162"/>
      <c r="H607" s="146" t="str">
        <f t="shared" si="50"/>
        <v/>
      </c>
      <c r="I607" s="161" t="str">
        <f t="shared" si="51"/>
        <v/>
      </c>
      <c r="J607" s="160" t="str">
        <f>IFERROR(INDEX(当年标准成本!I:I,MATCH(C607,当年标准成本!C:C,0),1),"")</f>
        <v/>
      </c>
      <c r="K607" s="146" t="str">
        <f t="shared" si="52"/>
        <v/>
      </c>
      <c r="L607" s="146" t="str">
        <f t="shared" si="53"/>
        <v/>
      </c>
      <c r="M607" s="148" t="str">
        <f t="shared" si="54"/>
        <v/>
      </c>
    </row>
    <row r="608" spans="1:13" x14ac:dyDescent="0.3">
      <c r="A608" s="149"/>
      <c r="B608" s="149"/>
      <c r="C608" s="149"/>
      <c r="D608" s="149"/>
      <c r="E608" s="149"/>
      <c r="F608" s="149"/>
      <c r="G608" s="162"/>
      <c r="H608" s="146" t="str">
        <f t="shared" si="50"/>
        <v/>
      </c>
      <c r="I608" s="161" t="str">
        <f t="shared" si="51"/>
        <v/>
      </c>
      <c r="J608" s="160" t="str">
        <f>IFERROR(INDEX(当年标准成本!I:I,MATCH(C608,当年标准成本!C:C,0),1),"")</f>
        <v/>
      </c>
      <c r="K608" s="146" t="str">
        <f t="shared" si="52"/>
        <v/>
      </c>
      <c r="L608" s="146" t="str">
        <f t="shared" si="53"/>
        <v/>
      </c>
      <c r="M608" s="148" t="str">
        <f t="shared" si="54"/>
        <v/>
      </c>
    </row>
    <row r="609" spans="1:13" x14ac:dyDescent="0.3">
      <c r="A609" s="149"/>
      <c r="B609" s="149"/>
      <c r="C609" s="149"/>
      <c r="D609" s="149"/>
      <c r="E609" s="149"/>
      <c r="F609" s="149"/>
      <c r="G609" s="162"/>
      <c r="H609" s="146" t="str">
        <f t="shared" si="50"/>
        <v/>
      </c>
      <c r="I609" s="161" t="str">
        <f t="shared" si="51"/>
        <v/>
      </c>
      <c r="J609" s="160" t="str">
        <f>IFERROR(INDEX(当年标准成本!I:I,MATCH(C609,当年标准成本!C:C,0),1),"")</f>
        <v/>
      </c>
      <c r="K609" s="146" t="str">
        <f t="shared" si="52"/>
        <v/>
      </c>
      <c r="L609" s="146" t="str">
        <f t="shared" si="53"/>
        <v/>
      </c>
      <c r="M609" s="148" t="str">
        <f t="shared" si="54"/>
        <v/>
      </c>
    </row>
    <row r="610" spans="1:13" x14ac:dyDescent="0.3">
      <c r="A610" s="149"/>
      <c r="B610" s="149"/>
      <c r="C610" s="149"/>
      <c r="D610" s="149"/>
      <c r="E610" s="149"/>
      <c r="F610" s="149"/>
      <c r="G610" s="162"/>
      <c r="H610" s="146" t="str">
        <f t="shared" si="50"/>
        <v/>
      </c>
      <c r="I610" s="161" t="str">
        <f t="shared" si="51"/>
        <v/>
      </c>
      <c r="J610" s="160" t="str">
        <f>IFERROR(INDEX(当年标准成本!I:I,MATCH(C610,当年标准成本!C:C,0),1),"")</f>
        <v/>
      </c>
      <c r="K610" s="146" t="str">
        <f t="shared" si="52"/>
        <v/>
      </c>
      <c r="L610" s="146" t="str">
        <f t="shared" si="53"/>
        <v/>
      </c>
      <c r="M610" s="148" t="str">
        <f t="shared" si="54"/>
        <v/>
      </c>
    </row>
    <row r="611" spans="1:13" x14ac:dyDescent="0.3">
      <c r="A611" s="149"/>
      <c r="B611" s="149"/>
      <c r="C611" s="149"/>
      <c r="D611" s="149"/>
      <c r="E611" s="149"/>
      <c r="F611" s="149"/>
      <c r="G611" s="162"/>
      <c r="H611" s="146" t="str">
        <f t="shared" si="50"/>
        <v/>
      </c>
      <c r="I611" s="161" t="str">
        <f t="shared" si="51"/>
        <v/>
      </c>
      <c r="J611" s="160" t="str">
        <f>IFERROR(INDEX(当年标准成本!I:I,MATCH(C611,当年标准成本!C:C,0),1),"")</f>
        <v/>
      </c>
      <c r="K611" s="146" t="str">
        <f t="shared" si="52"/>
        <v/>
      </c>
      <c r="L611" s="146" t="str">
        <f t="shared" si="53"/>
        <v/>
      </c>
      <c r="M611" s="148" t="str">
        <f t="shared" si="54"/>
        <v/>
      </c>
    </row>
    <row r="612" spans="1:13" x14ac:dyDescent="0.3">
      <c r="A612" s="149"/>
      <c r="B612" s="149"/>
      <c r="C612" s="149"/>
      <c r="D612" s="149"/>
      <c r="E612" s="149"/>
      <c r="F612" s="149"/>
      <c r="G612" s="162"/>
      <c r="H612" s="146" t="str">
        <f t="shared" si="50"/>
        <v/>
      </c>
      <c r="I612" s="161" t="str">
        <f t="shared" si="51"/>
        <v/>
      </c>
      <c r="J612" s="160" t="str">
        <f>IFERROR(INDEX(当年标准成本!I:I,MATCH(C612,当年标准成本!C:C,0),1),"")</f>
        <v/>
      </c>
      <c r="K612" s="146" t="str">
        <f t="shared" si="52"/>
        <v/>
      </c>
      <c r="L612" s="146" t="str">
        <f t="shared" si="53"/>
        <v/>
      </c>
      <c r="M612" s="148" t="str">
        <f t="shared" si="54"/>
        <v/>
      </c>
    </row>
    <row r="613" spans="1:13" x14ac:dyDescent="0.3">
      <c r="A613" s="149"/>
      <c r="B613" s="149"/>
      <c r="C613" s="149"/>
      <c r="D613" s="149"/>
      <c r="E613" s="149"/>
      <c r="F613" s="149"/>
      <c r="G613" s="162"/>
      <c r="H613" s="146" t="str">
        <f t="shared" si="50"/>
        <v/>
      </c>
      <c r="I613" s="161" t="str">
        <f t="shared" si="51"/>
        <v/>
      </c>
      <c r="J613" s="160" t="str">
        <f>IFERROR(INDEX(当年标准成本!I:I,MATCH(C613,当年标准成本!C:C,0),1),"")</f>
        <v/>
      </c>
      <c r="K613" s="146" t="str">
        <f t="shared" si="52"/>
        <v/>
      </c>
      <c r="L613" s="146" t="str">
        <f t="shared" si="53"/>
        <v/>
      </c>
      <c r="M613" s="148" t="str">
        <f t="shared" si="54"/>
        <v/>
      </c>
    </row>
    <row r="614" spans="1:13" x14ac:dyDescent="0.3">
      <c r="A614" s="149"/>
      <c r="B614" s="149"/>
      <c r="C614" s="149"/>
      <c r="D614" s="149"/>
      <c r="E614" s="149"/>
      <c r="F614" s="149"/>
      <c r="G614" s="162"/>
      <c r="H614" s="146" t="str">
        <f t="shared" si="50"/>
        <v/>
      </c>
      <c r="I614" s="161" t="str">
        <f t="shared" si="51"/>
        <v/>
      </c>
      <c r="J614" s="160" t="str">
        <f>IFERROR(INDEX(当年标准成本!I:I,MATCH(C614,当年标准成本!C:C,0),1),"")</f>
        <v/>
      </c>
      <c r="K614" s="146" t="str">
        <f t="shared" si="52"/>
        <v/>
      </c>
      <c r="L614" s="146" t="str">
        <f t="shared" si="53"/>
        <v/>
      </c>
      <c r="M614" s="148" t="str">
        <f t="shared" si="54"/>
        <v/>
      </c>
    </row>
    <row r="615" spans="1:13" x14ac:dyDescent="0.3">
      <c r="A615" s="149"/>
      <c r="B615" s="149"/>
      <c r="C615" s="149"/>
      <c r="D615" s="149"/>
      <c r="E615" s="149"/>
      <c r="F615" s="149"/>
      <c r="G615" s="162"/>
      <c r="H615" s="146" t="str">
        <f t="shared" si="50"/>
        <v/>
      </c>
      <c r="I615" s="161" t="str">
        <f t="shared" si="51"/>
        <v/>
      </c>
      <c r="J615" s="160" t="str">
        <f>IFERROR(INDEX(当年标准成本!I:I,MATCH(C615,当年标准成本!C:C,0),1),"")</f>
        <v/>
      </c>
      <c r="K615" s="146" t="str">
        <f t="shared" si="52"/>
        <v/>
      </c>
      <c r="L615" s="146" t="str">
        <f t="shared" si="53"/>
        <v/>
      </c>
      <c r="M615" s="148" t="str">
        <f t="shared" si="54"/>
        <v/>
      </c>
    </row>
    <row r="616" spans="1:13" x14ac:dyDescent="0.3">
      <c r="A616" s="149"/>
      <c r="B616" s="149"/>
      <c r="C616" s="149"/>
      <c r="D616" s="149"/>
      <c r="E616" s="149"/>
      <c r="F616" s="149"/>
      <c r="G616" s="162"/>
      <c r="H616" s="146" t="str">
        <f t="shared" si="50"/>
        <v/>
      </c>
      <c r="I616" s="161" t="str">
        <f t="shared" si="51"/>
        <v/>
      </c>
      <c r="J616" s="160" t="str">
        <f>IFERROR(INDEX(当年标准成本!I:I,MATCH(C616,当年标准成本!C:C,0),1),"")</f>
        <v/>
      </c>
      <c r="K616" s="146" t="str">
        <f t="shared" si="52"/>
        <v/>
      </c>
      <c r="L616" s="146" t="str">
        <f t="shared" si="53"/>
        <v/>
      </c>
      <c r="M616" s="148" t="str">
        <f t="shared" si="54"/>
        <v/>
      </c>
    </row>
    <row r="617" spans="1:13" x14ac:dyDescent="0.3">
      <c r="A617" s="149"/>
      <c r="B617" s="149"/>
      <c r="C617" s="149"/>
      <c r="D617" s="149"/>
      <c r="E617" s="149"/>
      <c r="F617" s="149"/>
      <c r="G617" s="162"/>
      <c r="H617" s="146" t="str">
        <f t="shared" si="50"/>
        <v/>
      </c>
      <c r="I617" s="161" t="str">
        <f t="shared" si="51"/>
        <v/>
      </c>
      <c r="J617" s="160" t="str">
        <f>IFERROR(INDEX(当年标准成本!I:I,MATCH(C617,当年标准成本!C:C,0),1),"")</f>
        <v/>
      </c>
      <c r="K617" s="146" t="str">
        <f t="shared" si="52"/>
        <v/>
      </c>
      <c r="L617" s="146" t="str">
        <f t="shared" si="53"/>
        <v/>
      </c>
      <c r="M617" s="148" t="str">
        <f t="shared" si="54"/>
        <v/>
      </c>
    </row>
    <row r="618" spans="1:13" x14ac:dyDescent="0.3">
      <c r="A618" s="149"/>
      <c r="B618" s="149"/>
      <c r="C618" s="149"/>
      <c r="D618" s="149"/>
      <c r="E618" s="149"/>
      <c r="F618" s="149"/>
      <c r="G618" s="162"/>
      <c r="H618" s="146" t="str">
        <f t="shared" si="50"/>
        <v/>
      </c>
      <c r="I618" s="161" t="str">
        <f t="shared" si="51"/>
        <v/>
      </c>
      <c r="J618" s="160" t="str">
        <f>IFERROR(INDEX(当年标准成本!I:I,MATCH(C618,当年标准成本!C:C,0),1),"")</f>
        <v/>
      </c>
      <c r="K618" s="146" t="str">
        <f t="shared" si="52"/>
        <v/>
      </c>
      <c r="L618" s="146" t="str">
        <f t="shared" si="53"/>
        <v/>
      </c>
      <c r="M618" s="148" t="str">
        <f t="shared" si="54"/>
        <v/>
      </c>
    </row>
    <row r="619" spans="1:13" x14ac:dyDescent="0.3">
      <c r="A619" s="149"/>
      <c r="B619" s="149"/>
      <c r="C619" s="149"/>
      <c r="D619" s="149"/>
      <c r="E619" s="149"/>
      <c r="F619" s="149"/>
      <c r="G619" s="162"/>
      <c r="H619" s="146" t="str">
        <f t="shared" si="50"/>
        <v/>
      </c>
      <c r="I619" s="161" t="str">
        <f t="shared" si="51"/>
        <v/>
      </c>
      <c r="J619" s="160" t="str">
        <f>IFERROR(INDEX(当年标准成本!I:I,MATCH(C619,当年标准成本!C:C,0),1),"")</f>
        <v/>
      </c>
      <c r="K619" s="146" t="str">
        <f t="shared" si="52"/>
        <v/>
      </c>
      <c r="L619" s="146" t="str">
        <f t="shared" si="53"/>
        <v/>
      </c>
      <c r="M619" s="148" t="str">
        <f t="shared" si="54"/>
        <v/>
      </c>
    </row>
    <row r="620" spans="1:13" x14ac:dyDescent="0.3">
      <c r="A620" s="149"/>
      <c r="B620" s="149"/>
      <c r="C620" s="149"/>
      <c r="D620" s="149"/>
      <c r="E620" s="149"/>
      <c r="F620" s="149"/>
      <c r="G620" s="162"/>
      <c r="H620" s="146" t="str">
        <f t="shared" si="50"/>
        <v/>
      </c>
      <c r="I620" s="161" t="str">
        <f t="shared" si="51"/>
        <v/>
      </c>
      <c r="J620" s="160" t="str">
        <f>IFERROR(INDEX(当年标准成本!I:I,MATCH(C620,当年标准成本!C:C,0),1),"")</f>
        <v/>
      </c>
      <c r="K620" s="146" t="str">
        <f t="shared" si="52"/>
        <v/>
      </c>
      <c r="L620" s="146" t="str">
        <f t="shared" si="53"/>
        <v/>
      </c>
      <c r="M620" s="148" t="str">
        <f t="shared" si="54"/>
        <v/>
      </c>
    </row>
    <row r="621" spans="1:13" x14ac:dyDescent="0.3">
      <c r="A621" s="149"/>
      <c r="B621" s="149"/>
      <c r="C621" s="149"/>
      <c r="D621" s="149"/>
      <c r="E621" s="149"/>
      <c r="F621" s="149"/>
      <c r="G621" s="162"/>
      <c r="H621" s="146" t="str">
        <f t="shared" si="50"/>
        <v/>
      </c>
      <c r="I621" s="161" t="str">
        <f t="shared" si="51"/>
        <v/>
      </c>
      <c r="J621" s="160" t="str">
        <f>IFERROR(INDEX(当年标准成本!I:I,MATCH(C621,当年标准成本!C:C,0),1),"")</f>
        <v/>
      </c>
      <c r="K621" s="146" t="str">
        <f t="shared" si="52"/>
        <v/>
      </c>
      <c r="L621" s="146" t="str">
        <f t="shared" si="53"/>
        <v/>
      </c>
      <c r="M621" s="148" t="str">
        <f t="shared" si="54"/>
        <v/>
      </c>
    </row>
    <row r="622" spans="1:13" x14ac:dyDescent="0.3">
      <c r="A622" s="149"/>
      <c r="B622" s="149"/>
      <c r="C622" s="149"/>
      <c r="D622" s="149"/>
      <c r="E622" s="149"/>
      <c r="F622" s="149"/>
      <c r="G622" s="162"/>
      <c r="H622" s="146" t="str">
        <f t="shared" si="50"/>
        <v/>
      </c>
      <c r="I622" s="161" t="str">
        <f t="shared" si="51"/>
        <v/>
      </c>
      <c r="J622" s="160" t="str">
        <f>IFERROR(INDEX(当年标准成本!I:I,MATCH(C622,当年标准成本!C:C,0),1),"")</f>
        <v/>
      </c>
      <c r="K622" s="146" t="str">
        <f t="shared" si="52"/>
        <v/>
      </c>
      <c r="L622" s="146" t="str">
        <f t="shared" si="53"/>
        <v/>
      </c>
      <c r="M622" s="148" t="str">
        <f t="shared" si="54"/>
        <v/>
      </c>
    </row>
    <row r="623" spans="1:13" x14ac:dyDescent="0.3">
      <c r="A623" s="149"/>
      <c r="B623" s="149"/>
      <c r="C623" s="149"/>
      <c r="D623" s="149"/>
      <c r="E623" s="149"/>
      <c r="F623" s="149"/>
      <c r="G623" s="162"/>
      <c r="H623" s="146" t="str">
        <f t="shared" si="50"/>
        <v/>
      </c>
      <c r="I623" s="161" t="str">
        <f t="shared" si="51"/>
        <v/>
      </c>
      <c r="J623" s="160" t="str">
        <f>IFERROR(INDEX(当年标准成本!I:I,MATCH(C623,当年标准成本!C:C,0),1),"")</f>
        <v/>
      </c>
      <c r="K623" s="146" t="str">
        <f t="shared" si="52"/>
        <v/>
      </c>
      <c r="L623" s="146" t="str">
        <f t="shared" si="53"/>
        <v/>
      </c>
      <c r="M623" s="148" t="str">
        <f t="shared" si="54"/>
        <v/>
      </c>
    </row>
    <row r="624" spans="1:13" x14ac:dyDescent="0.3">
      <c r="A624" s="149"/>
      <c r="B624" s="149"/>
      <c r="C624" s="149"/>
      <c r="D624" s="149"/>
      <c r="E624" s="149"/>
      <c r="F624" s="149"/>
      <c r="G624" s="162"/>
      <c r="H624" s="146" t="str">
        <f t="shared" si="50"/>
        <v/>
      </c>
      <c r="I624" s="161" t="str">
        <f t="shared" si="51"/>
        <v/>
      </c>
      <c r="J624" s="160" t="str">
        <f>IFERROR(INDEX(当年标准成本!I:I,MATCH(C624,当年标准成本!C:C,0),1),"")</f>
        <v/>
      </c>
      <c r="K624" s="146" t="str">
        <f t="shared" si="52"/>
        <v/>
      </c>
      <c r="L624" s="146" t="str">
        <f t="shared" si="53"/>
        <v/>
      </c>
      <c r="M624" s="148" t="str">
        <f t="shared" si="54"/>
        <v/>
      </c>
    </row>
    <row r="625" spans="1:13" x14ac:dyDescent="0.3">
      <c r="A625" s="149"/>
      <c r="B625" s="149"/>
      <c r="C625" s="149"/>
      <c r="D625" s="149"/>
      <c r="E625" s="149"/>
      <c r="F625" s="149"/>
      <c r="G625" s="162"/>
      <c r="H625" s="146" t="str">
        <f t="shared" si="50"/>
        <v/>
      </c>
      <c r="I625" s="161" t="str">
        <f t="shared" si="51"/>
        <v/>
      </c>
      <c r="J625" s="160" t="str">
        <f>IFERROR(INDEX(当年标准成本!I:I,MATCH(C625,当年标准成本!C:C,0),1),"")</f>
        <v/>
      </c>
      <c r="K625" s="146" t="str">
        <f t="shared" si="52"/>
        <v/>
      </c>
      <c r="L625" s="146" t="str">
        <f t="shared" si="53"/>
        <v/>
      </c>
      <c r="M625" s="148" t="str">
        <f t="shared" si="54"/>
        <v/>
      </c>
    </row>
    <row r="626" spans="1:13" x14ac:dyDescent="0.3">
      <c r="A626" s="149"/>
      <c r="B626" s="149"/>
      <c r="C626" s="149"/>
      <c r="D626" s="149"/>
      <c r="E626" s="149"/>
      <c r="F626" s="149"/>
      <c r="G626" s="162"/>
      <c r="H626" s="146" t="str">
        <f t="shared" si="50"/>
        <v/>
      </c>
      <c r="I626" s="161" t="str">
        <f t="shared" si="51"/>
        <v/>
      </c>
      <c r="J626" s="160" t="str">
        <f>IFERROR(INDEX(当年标准成本!I:I,MATCH(C626,当年标准成本!C:C,0),1),"")</f>
        <v/>
      </c>
      <c r="K626" s="146" t="str">
        <f t="shared" si="52"/>
        <v/>
      </c>
      <c r="L626" s="146" t="str">
        <f t="shared" si="53"/>
        <v/>
      </c>
      <c r="M626" s="148" t="str">
        <f t="shared" si="54"/>
        <v/>
      </c>
    </row>
    <row r="627" spans="1:13" x14ac:dyDescent="0.3">
      <c r="A627" s="149"/>
      <c r="B627" s="149"/>
      <c r="C627" s="149"/>
      <c r="D627" s="149"/>
      <c r="E627" s="149"/>
      <c r="F627" s="149"/>
      <c r="G627" s="162"/>
      <c r="H627" s="146" t="str">
        <f t="shared" si="50"/>
        <v/>
      </c>
      <c r="I627" s="161" t="str">
        <f t="shared" si="51"/>
        <v/>
      </c>
      <c r="J627" s="160" t="str">
        <f>IFERROR(INDEX(当年标准成本!I:I,MATCH(C627,当年标准成本!C:C,0),1),"")</f>
        <v/>
      </c>
      <c r="K627" s="146" t="str">
        <f t="shared" si="52"/>
        <v/>
      </c>
      <c r="L627" s="146" t="str">
        <f t="shared" si="53"/>
        <v/>
      </c>
      <c r="M627" s="148" t="str">
        <f t="shared" si="54"/>
        <v/>
      </c>
    </row>
    <row r="628" spans="1:13" x14ac:dyDescent="0.3">
      <c r="A628" s="149"/>
      <c r="B628" s="149"/>
      <c r="C628" s="149"/>
      <c r="D628" s="149"/>
      <c r="E628" s="149"/>
      <c r="F628" s="149"/>
      <c r="G628" s="162"/>
      <c r="H628" s="146" t="str">
        <f t="shared" si="50"/>
        <v/>
      </c>
      <c r="I628" s="161" t="str">
        <f t="shared" si="51"/>
        <v/>
      </c>
      <c r="J628" s="160" t="str">
        <f>IFERROR(INDEX(当年标准成本!I:I,MATCH(C628,当年标准成本!C:C,0),1),"")</f>
        <v/>
      </c>
      <c r="K628" s="146" t="str">
        <f t="shared" si="52"/>
        <v/>
      </c>
      <c r="L628" s="146" t="str">
        <f t="shared" si="53"/>
        <v/>
      </c>
      <c r="M628" s="148" t="str">
        <f t="shared" si="54"/>
        <v/>
      </c>
    </row>
    <row r="629" spans="1:13" x14ac:dyDescent="0.3">
      <c r="A629" s="149"/>
      <c r="B629" s="149"/>
      <c r="C629" s="149"/>
      <c r="D629" s="149"/>
      <c r="E629" s="149"/>
      <c r="F629" s="149"/>
      <c r="G629" s="162"/>
      <c r="H629" s="146" t="str">
        <f t="shared" si="50"/>
        <v/>
      </c>
      <c r="I629" s="161" t="str">
        <f t="shared" si="51"/>
        <v/>
      </c>
      <c r="J629" s="160" t="str">
        <f>IFERROR(INDEX(当年标准成本!I:I,MATCH(C629,当年标准成本!C:C,0),1),"")</f>
        <v/>
      </c>
      <c r="K629" s="146" t="str">
        <f t="shared" si="52"/>
        <v/>
      </c>
      <c r="L629" s="146" t="str">
        <f t="shared" si="53"/>
        <v/>
      </c>
      <c r="M629" s="148" t="str">
        <f t="shared" si="54"/>
        <v/>
      </c>
    </row>
    <row r="630" spans="1:13" x14ac:dyDescent="0.3">
      <c r="A630" s="149"/>
      <c r="B630" s="149"/>
      <c r="C630" s="149"/>
      <c r="D630" s="149"/>
      <c r="E630" s="149"/>
      <c r="F630" s="149"/>
      <c r="G630" s="162"/>
      <c r="H630" s="146" t="str">
        <f t="shared" si="50"/>
        <v/>
      </c>
      <c r="I630" s="161" t="str">
        <f t="shared" si="51"/>
        <v/>
      </c>
      <c r="J630" s="160" t="str">
        <f>IFERROR(INDEX(当年标准成本!I:I,MATCH(C630,当年标准成本!C:C,0),1),"")</f>
        <v/>
      </c>
      <c r="K630" s="146" t="str">
        <f t="shared" si="52"/>
        <v/>
      </c>
      <c r="L630" s="146" t="str">
        <f t="shared" si="53"/>
        <v/>
      </c>
      <c r="M630" s="148" t="str">
        <f t="shared" si="54"/>
        <v/>
      </c>
    </row>
    <row r="631" spans="1:13" x14ac:dyDescent="0.3">
      <c r="A631" s="149"/>
      <c r="B631" s="149"/>
      <c r="C631" s="149"/>
      <c r="D631" s="149"/>
      <c r="E631" s="149"/>
      <c r="F631" s="149"/>
      <c r="G631" s="162"/>
      <c r="H631" s="146" t="str">
        <f t="shared" si="50"/>
        <v/>
      </c>
      <c r="I631" s="161" t="str">
        <f t="shared" si="51"/>
        <v/>
      </c>
      <c r="J631" s="160" t="str">
        <f>IFERROR(INDEX(当年标准成本!I:I,MATCH(C631,当年标准成本!C:C,0),1),"")</f>
        <v/>
      </c>
      <c r="K631" s="146" t="str">
        <f t="shared" si="52"/>
        <v/>
      </c>
      <c r="L631" s="146" t="str">
        <f t="shared" si="53"/>
        <v/>
      </c>
      <c r="M631" s="148" t="str">
        <f t="shared" si="54"/>
        <v/>
      </c>
    </row>
    <row r="632" spans="1:13" x14ac:dyDescent="0.3">
      <c r="A632" s="149"/>
      <c r="B632" s="149"/>
      <c r="C632" s="149"/>
      <c r="D632" s="149"/>
      <c r="E632" s="149"/>
      <c r="F632" s="149"/>
      <c r="G632" s="162"/>
      <c r="H632" s="146" t="str">
        <f t="shared" si="50"/>
        <v/>
      </c>
      <c r="I632" s="161" t="str">
        <f t="shared" si="51"/>
        <v/>
      </c>
      <c r="J632" s="160" t="str">
        <f>IFERROR(INDEX(当年标准成本!I:I,MATCH(C632,当年标准成本!C:C,0),1),"")</f>
        <v/>
      </c>
      <c r="K632" s="146" t="str">
        <f t="shared" si="52"/>
        <v/>
      </c>
      <c r="L632" s="146" t="str">
        <f t="shared" si="53"/>
        <v/>
      </c>
      <c r="M632" s="148" t="str">
        <f t="shared" si="54"/>
        <v/>
      </c>
    </row>
    <row r="633" spans="1:13" x14ac:dyDescent="0.3">
      <c r="A633" s="149"/>
      <c r="B633" s="149"/>
      <c r="C633" s="149"/>
      <c r="D633" s="149"/>
      <c r="E633" s="149"/>
      <c r="F633" s="149"/>
      <c r="G633" s="162"/>
      <c r="H633" s="146" t="str">
        <f t="shared" si="50"/>
        <v/>
      </c>
      <c r="I633" s="161" t="str">
        <f t="shared" si="51"/>
        <v/>
      </c>
      <c r="J633" s="160" t="str">
        <f>IFERROR(INDEX(当年标准成本!I:I,MATCH(C633,当年标准成本!C:C,0),1),"")</f>
        <v/>
      </c>
      <c r="K633" s="146" t="str">
        <f t="shared" si="52"/>
        <v/>
      </c>
      <c r="L633" s="146" t="str">
        <f t="shared" si="53"/>
        <v/>
      </c>
      <c r="M633" s="148" t="str">
        <f t="shared" si="54"/>
        <v/>
      </c>
    </row>
    <row r="634" spans="1:13" x14ac:dyDescent="0.3">
      <c r="A634" s="149"/>
      <c r="B634" s="149"/>
      <c r="C634" s="149"/>
      <c r="D634" s="149"/>
      <c r="E634" s="149"/>
      <c r="F634" s="149"/>
      <c r="G634" s="162"/>
      <c r="H634" s="146" t="str">
        <f t="shared" si="50"/>
        <v/>
      </c>
      <c r="I634" s="161" t="str">
        <f t="shared" si="51"/>
        <v/>
      </c>
      <c r="J634" s="160" t="str">
        <f>IFERROR(INDEX(当年标准成本!I:I,MATCH(C634,当年标准成本!C:C,0),1),"")</f>
        <v/>
      </c>
      <c r="K634" s="146" t="str">
        <f t="shared" si="52"/>
        <v/>
      </c>
      <c r="L634" s="146" t="str">
        <f t="shared" si="53"/>
        <v/>
      </c>
      <c r="M634" s="148" t="str">
        <f t="shared" si="54"/>
        <v/>
      </c>
    </row>
    <row r="635" spans="1:13" x14ac:dyDescent="0.3">
      <c r="A635" s="149"/>
      <c r="B635" s="149"/>
      <c r="C635" s="149"/>
      <c r="D635" s="149"/>
      <c r="E635" s="149"/>
      <c r="F635" s="149"/>
      <c r="G635" s="162"/>
      <c r="H635" s="146" t="str">
        <f t="shared" si="50"/>
        <v/>
      </c>
      <c r="I635" s="161" t="str">
        <f t="shared" si="51"/>
        <v/>
      </c>
      <c r="J635" s="160" t="str">
        <f>IFERROR(INDEX(当年标准成本!I:I,MATCH(C635,当年标准成本!C:C,0),1),"")</f>
        <v/>
      </c>
      <c r="K635" s="146" t="str">
        <f t="shared" si="52"/>
        <v/>
      </c>
      <c r="L635" s="146" t="str">
        <f t="shared" si="53"/>
        <v/>
      </c>
      <c r="M635" s="148" t="str">
        <f t="shared" si="54"/>
        <v/>
      </c>
    </row>
    <row r="636" spans="1:13" x14ac:dyDescent="0.3">
      <c r="A636" s="149"/>
      <c r="B636" s="149"/>
      <c r="C636" s="149"/>
      <c r="D636" s="149"/>
      <c r="E636" s="149"/>
      <c r="F636" s="149"/>
      <c r="G636" s="162"/>
      <c r="H636" s="146" t="str">
        <f t="shared" si="50"/>
        <v/>
      </c>
      <c r="I636" s="161" t="str">
        <f t="shared" si="51"/>
        <v/>
      </c>
      <c r="J636" s="160" t="str">
        <f>IFERROR(INDEX(当年标准成本!I:I,MATCH(C636,当年标准成本!C:C,0),1),"")</f>
        <v/>
      </c>
      <c r="K636" s="146" t="str">
        <f t="shared" si="52"/>
        <v/>
      </c>
      <c r="L636" s="146" t="str">
        <f t="shared" si="53"/>
        <v/>
      </c>
      <c r="M636" s="148" t="str">
        <f t="shared" si="54"/>
        <v/>
      </c>
    </row>
    <row r="637" spans="1:13" x14ac:dyDescent="0.3">
      <c r="A637" s="149"/>
      <c r="B637" s="149"/>
      <c r="C637" s="149"/>
      <c r="D637" s="149"/>
      <c r="E637" s="149"/>
      <c r="F637" s="149"/>
      <c r="G637" s="162"/>
      <c r="H637" s="146" t="str">
        <f t="shared" si="50"/>
        <v/>
      </c>
      <c r="I637" s="161" t="str">
        <f t="shared" si="51"/>
        <v/>
      </c>
      <c r="J637" s="160" t="str">
        <f>IFERROR(INDEX(当年标准成本!I:I,MATCH(C637,当年标准成本!C:C,0),1),"")</f>
        <v/>
      </c>
      <c r="K637" s="146" t="str">
        <f t="shared" si="52"/>
        <v/>
      </c>
      <c r="L637" s="146" t="str">
        <f t="shared" si="53"/>
        <v/>
      </c>
      <c r="M637" s="148" t="str">
        <f t="shared" si="54"/>
        <v/>
      </c>
    </row>
    <row r="638" spans="1:13" x14ac:dyDescent="0.3">
      <c r="A638" s="149"/>
      <c r="B638" s="149"/>
      <c r="C638" s="149"/>
      <c r="D638" s="149"/>
      <c r="E638" s="149"/>
      <c r="F638" s="149"/>
      <c r="G638" s="162"/>
      <c r="H638" s="146" t="str">
        <f t="shared" si="50"/>
        <v/>
      </c>
      <c r="I638" s="161" t="str">
        <f t="shared" si="51"/>
        <v/>
      </c>
      <c r="J638" s="160" t="str">
        <f>IFERROR(INDEX(当年标准成本!I:I,MATCH(C638,当年标准成本!C:C,0),1),"")</f>
        <v/>
      </c>
      <c r="K638" s="146" t="str">
        <f t="shared" si="52"/>
        <v/>
      </c>
      <c r="L638" s="146" t="str">
        <f t="shared" si="53"/>
        <v/>
      </c>
      <c r="M638" s="148" t="str">
        <f t="shared" si="54"/>
        <v/>
      </c>
    </row>
    <row r="639" spans="1:13" x14ac:dyDescent="0.3">
      <c r="A639" s="149"/>
      <c r="B639" s="149"/>
      <c r="C639" s="149"/>
      <c r="D639" s="149"/>
      <c r="E639" s="149"/>
      <c r="F639" s="149"/>
      <c r="G639" s="162"/>
      <c r="H639" s="146" t="str">
        <f t="shared" si="50"/>
        <v/>
      </c>
      <c r="I639" s="161" t="str">
        <f t="shared" si="51"/>
        <v/>
      </c>
      <c r="J639" s="160" t="str">
        <f>IFERROR(INDEX(当年标准成本!I:I,MATCH(C639,当年标准成本!C:C,0),1),"")</f>
        <v/>
      </c>
      <c r="K639" s="146" t="str">
        <f t="shared" si="52"/>
        <v/>
      </c>
      <c r="L639" s="146" t="str">
        <f t="shared" si="53"/>
        <v/>
      </c>
      <c r="M639" s="148" t="str">
        <f t="shared" si="54"/>
        <v/>
      </c>
    </row>
    <row r="640" spans="1:13" x14ac:dyDescent="0.3">
      <c r="A640" s="149"/>
      <c r="B640" s="149"/>
      <c r="C640" s="149"/>
      <c r="D640" s="149"/>
      <c r="E640" s="149"/>
      <c r="F640" s="149"/>
      <c r="G640" s="162"/>
      <c r="H640" s="146" t="str">
        <f t="shared" si="50"/>
        <v/>
      </c>
      <c r="I640" s="161" t="str">
        <f t="shared" si="51"/>
        <v/>
      </c>
      <c r="J640" s="160" t="str">
        <f>IFERROR(INDEX(当年标准成本!I:I,MATCH(C640,当年标准成本!C:C,0),1),"")</f>
        <v/>
      </c>
      <c r="K640" s="146" t="str">
        <f t="shared" si="52"/>
        <v/>
      </c>
      <c r="L640" s="146" t="str">
        <f t="shared" si="53"/>
        <v/>
      </c>
      <c r="M640" s="148" t="str">
        <f t="shared" si="54"/>
        <v/>
      </c>
    </row>
    <row r="641" spans="1:13" x14ac:dyDescent="0.3">
      <c r="A641" s="149"/>
      <c r="B641" s="149"/>
      <c r="C641" s="149"/>
      <c r="D641" s="149"/>
      <c r="E641" s="149"/>
      <c r="F641" s="149"/>
      <c r="G641" s="162"/>
      <c r="H641" s="146" t="str">
        <f t="shared" si="50"/>
        <v/>
      </c>
      <c r="I641" s="161" t="str">
        <f t="shared" si="51"/>
        <v/>
      </c>
      <c r="J641" s="160" t="str">
        <f>IFERROR(INDEX(当年标准成本!I:I,MATCH(C641,当年标准成本!C:C,0),1),"")</f>
        <v/>
      </c>
      <c r="K641" s="146" t="str">
        <f t="shared" si="52"/>
        <v/>
      </c>
      <c r="L641" s="146" t="str">
        <f t="shared" si="53"/>
        <v/>
      </c>
      <c r="M641" s="148" t="str">
        <f t="shared" si="54"/>
        <v/>
      </c>
    </row>
    <row r="642" spans="1:13" x14ac:dyDescent="0.3">
      <c r="A642" s="149"/>
      <c r="B642" s="149"/>
      <c r="C642" s="149"/>
      <c r="D642" s="149"/>
      <c r="E642" s="149"/>
      <c r="F642" s="149"/>
      <c r="G642" s="162"/>
      <c r="H642" s="146" t="str">
        <f t="shared" si="50"/>
        <v/>
      </c>
      <c r="I642" s="161" t="str">
        <f t="shared" si="51"/>
        <v/>
      </c>
      <c r="J642" s="160" t="str">
        <f>IFERROR(INDEX(当年标准成本!I:I,MATCH(C642,当年标准成本!C:C,0),1),"")</f>
        <v/>
      </c>
      <c r="K642" s="146" t="str">
        <f t="shared" si="52"/>
        <v/>
      </c>
      <c r="L642" s="146" t="str">
        <f t="shared" si="53"/>
        <v/>
      </c>
      <c r="M642" s="148" t="str">
        <f t="shared" si="54"/>
        <v/>
      </c>
    </row>
    <row r="643" spans="1:13" x14ac:dyDescent="0.3">
      <c r="A643" s="149"/>
      <c r="B643" s="149"/>
      <c r="C643" s="149"/>
      <c r="D643" s="149"/>
      <c r="E643" s="149"/>
      <c r="F643" s="149"/>
      <c r="G643" s="162"/>
      <c r="H643" s="146" t="str">
        <f t="shared" si="50"/>
        <v/>
      </c>
      <c r="I643" s="161" t="str">
        <f t="shared" si="51"/>
        <v/>
      </c>
      <c r="J643" s="160" t="str">
        <f>IFERROR(INDEX(当年标准成本!I:I,MATCH(C643,当年标准成本!C:C,0),1),"")</f>
        <v/>
      </c>
      <c r="K643" s="146" t="str">
        <f t="shared" si="52"/>
        <v/>
      </c>
      <c r="L643" s="146" t="str">
        <f t="shared" si="53"/>
        <v/>
      </c>
      <c r="M643" s="148" t="str">
        <f t="shared" si="54"/>
        <v/>
      </c>
    </row>
    <row r="644" spans="1:13" x14ac:dyDescent="0.3">
      <c r="A644" s="149"/>
      <c r="B644" s="149"/>
      <c r="C644" s="149"/>
      <c r="D644" s="149"/>
      <c r="E644" s="149"/>
      <c r="F644" s="149"/>
      <c r="G644" s="162"/>
      <c r="H644" s="146" t="str">
        <f t="shared" si="50"/>
        <v/>
      </c>
      <c r="I644" s="161" t="str">
        <f t="shared" si="51"/>
        <v/>
      </c>
      <c r="J644" s="160" t="str">
        <f>IFERROR(INDEX(当年标准成本!I:I,MATCH(C644,当年标准成本!C:C,0),1),"")</f>
        <v/>
      </c>
      <c r="K644" s="146" t="str">
        <f t="shared" si="52"/>
        <v/>
      </c>
      <c r="L644" s="146" t="str">
        <f t="shared" si="53"/>
        <v/>
      </c>
      <c r="M644" s="148" t="str">
        <f t="shared" si="54"/>
        <v/>
      </c>
    </row>
    <row r="645" spans="1:13" x14ac:dyDescent="0.3">
      <c r="A645" s="149"/>
      <c r="B645" s="149"/>
      <c r="C645" s="149"/>
      <c r="D645" s="149"/>
      <c r="E645" s="149"/>
      <c r="F645" s="149"/>
      <c r="G645" s="162"/>
      <c r="H645" s="146" t="str">
        <f t="shared" si="50"/>
        <v/>
      </c>
      <c r="I645" s="161" t="str">
        <f t="shared" si="51"/>
        <v/>
      </c>
      <c r="J645" s="160" t="str">
        <f>IFERROR(INDEX(当年标准成本!I:I,MATCH(C645,当年标准成本!C:C,0),1),"")</f>
        <v/>
      </c>
      <c r="K645" s="146" t="str">
        <f t="shared" si="52"/>
        <v/>
      </c>
      <c r="L645" s="146" t="str">
        <f t="shared" si="53"/>
        <v/>
      </c>
      <c r="M645" s="148" t="str">
        <f t="shared" si="54"/>
        <v/>
      </c>
    </row>
    <row r="646" spans="1:13" x14ac:dyDescent="0.3">
      <c r="A646" s="149"/>
      <c r="B646" s="149"/>
      <c r="C646" s="149"/>
      <c r="D646" s="149"/>
      <c r="E646" s="149"/>
      <c r="F646" s="149"/>
      <c r="G646" s="162"/>
      <c r="H646" s="146" t="str">
        <f t="shared" si="50"/>
        <v/>
      </c>
      <c r="I646" s="161" t="str">
        <f t="shared" si="51"/>
        <v/>
      </c>
      <c r="J646" s="160" t="str">
        <f>IFERROR(INDEX(当年标准成本!I:I,MATCH(C646,当年标准成本!C:C,0),1),"")</f>
        <v/>
      </c>
      <c r="K646" s="146" t="str">
        <f t="shared" si="52"/>
        <v/>
      </c>
      <c r="L646" s="146" t="str">
        <f t="shared" si="53"/>
        <v/>
      </c>
      <c r="M646" s="148" t="str">
        <f t="shared" si="54"/>
        <v/>
      </c>
    </row>
    <row r="647" spans="1:13" x14ac:dyDescent="0.3">
      <c r="A647" s="149"/>
      <c r="B647" s="149"/>
      <c r="C647" s="149"/>
      <c r="D647" s="149"/>
      <c r="E647" s="149"/>
      <c r="F647" s="149"/>
      <c r="G647" s="162"/>
      <c r="H647" s="146" t="str">
        <f t="shared" si="50"/>
        <v/>
      </c>
      <c r="I647" s="161" t="str">
        <f t="shared" si="51"/>
        <v/>
      </c>
      <c r="J647" s="160" t="str">
        <f>IFERROR(INDEX(当年标准成本!I:I,MATCH(C647,当年标准成本!C:C,0),1),"")</f>
        <v/>
      </c>
      <c r="K647" s="146" t="str">
        <f t="shared" si="52"/>
        <v/>
      </c>
      <c r="L647" s="146" t="str">
        <f t="shared" si="53"/>
        <v/>
      </c>
      <c r="M647" s="148" t="str">
        <f t="shared" si="54"/>
        <v/>
      </c>
    </row>
    <row r="648" spans="1:13" x14ac:dyDescent="0.3">
      <c r="A648" s="149"/>
      <c r="B648" s="149"/>
      <c r="C648" s="149"/>
      <c r="D648" s="149"/>
      <c r="E648" s="149"/>
      <c r="F648" s="149"/>
      <c r="G648" s="162"/>
      <c r="H648" s="146" t="str">
        <f t="shared" si="50"/>
        <v/>
      </c>
      <c r="I648" s="161" t="str">
        <f t="shared" si="51"/>
        <v/>
      </c>
      <c r="J648" s="160" t="str">
        <f>IFERROR(INDEX(当年标准成本!I:I,MATCH(C648,当年标准成本!C:C,0),1),"")</f>
        <v/>
      </c>
      <c r="K648" s="146" t="str">
        <f t="shared" si="52"/>
        <v/>
      </c>
      <c r="L648" s="146" t="str">
        <f t="shared" si="53"/>
        <v/>
      </c>
      <c r="M648" s="148" t="str">
        <f t="shared" si="54"/>
        <v/>
      </c>
    </row>
    <row r="649" spans="1:13" x14ac:dyDescent="0.3">
      <c r="A649" s="149"/>
      <c r="B649" s="149"/>
      <c r="C649" s="149"/>
      <c r="D649" s="149"/>
      <c r="E649" s="149"/>
      <c r="F649" s="149"/>
      <c r="G649" s="162"/>
      <c r="H649" s="146" t="str">
        <f t="shared" si="50"/>
        <v/>
      </c>
      <c r="I649" s="161" t="str">
        <f t="shared" si="51"/>
        <v/>
      </c>
      <c r="J649" s="160" t="str">
        <f>IFERROR(INDEX(当年标准成本!I:I,MATCH(C649,当年标准成本!C:C,0),1),"")</f>
        <v/>
      </c>
      <c r="K649" s="146" t="str">
        <f t="shared" si="52"/>
        <v/>
      </c>
      <c r="L649" s="146" t="str">
        <f t="shared" si="53"/>
        <v/>
      </c>
      <c r="M649" s="148" t="str">
        <f t="shared" si="54"/>
        <v/>
      </c>
    </row>
    <row r="650" spans="1:13" x14ac:dyDescent="0.3">
      <c r="A650" s="149"/>
      <c r="B650" s="149"/>
      <c r="C650" s="149"/>
      <c r="D650" s="149"/>
      <c r="E650" s="149"/>
      <c r="F650" s="149"/>
      <c r="G650" s="162"/>
      <c r="H650" s="146" t="str">
        <f t="shared" si="50"/>
        <v/>
      </c>
      <c r="I650" s="161" t="str">
        <f t="shared" si="51"/>
        <v/>
      </c>
      <c r="J650" s="160" t="str">
        <f>IFERROR(INDEX(当年标准成本!I:I,MATCH(C650,当年标准成本!C:C,0),1),"")</f>
        <v/>
      </c>
      <c r="K650" s="146" t="str">
        <f t="shared" si="52"/>
        <v/>
      </c>
      <c r="L650" s="146" t="str">
        <f t="shared" si="53"/>
        <v/>
      </c>
      <c r="M650" s="148" t="str">
        <f t="shared" si="54"/>
        <v/>
      </c>
    </row>
    <row r="651" spans="1:13" x14ac:dyDescent="0.3">
      <c r="A651" s="149"/>
      <c r="B651" s="149"/>
      <c r="C651" s="149"/>
      <c r="D651" s="149"/>
      <c r="E651" s="149"/>
      <c r="F651" s="149"/>
      <c r="G651" s="162"/>
      <c r="H651" s="146" t="str">
        <f t="shared" si="50"/>
        <v/>
      </c>
      <c r="I651" s="161" t="str">
        <f t="shared" si="51"/>
        <v/>
      </c>
      <c r="J651" s="160" t="str">
        <f>IFERROR(INDEX(当年标准成本!I:I,MATCH(C651,当年标准成本!C:C,0),1),"")</f>
        <v/>
      </c>
      <c r="K651" s="146" t="str">
        <f t="shared" si="52"/>
        <v/>
      </c>
      <c r="L651" s="146" t="str">
        <f t="shared" si="53"/>
        <v/>
      </c>
      <c r="M651" s="148" t="str">
        <f t="shared" si="54"/>
        <v/>
      </c>
    </row>
    <row r="652" spans="1:13" x14ac:dyDescent="0.3">
      <c r="A652" s="149"/>
      <c r="B652" s="149"/>
      <c r="C652" s="149"/>
      <c r="D652" s="149"/>
      <c r="E652" s="149"/>
      <c r="F652" s="149"/>
      <c r="G652" s="162"/>
      <c r="H652" s="146" t="str">
        <f t="shared" ref="H652:H715" si="55">IFERROR(F652/E652,"")</f>
        <v/>
      </c>
      <c r="I652" s="161" t="str">
        <f t="shared" ref="I652:I715" si="56">IFERROR(H652*(1+G652),"")</f>
        <v/>
      </c>
      <c r="J652" s="160" t="str">
        <f>IFERROR(INDEX(当年标准成本!I:I,MATCH(C652,当年标准成本!C:C,0),1),"")</f>
        <v/>
      </c>
      <c r="K652" s="146" t="str">
        <f t="shared" ref="K652:K715" si="57">IFERROR(E652*J652,"")</f>
        <v/>
      </c>
      <c r="L652" s="146" t="str">
        <f t="shared" ref="L652:L715" si="58">IFERROR(F652-K652,"")</f>
        <v/>
      </c>
      <c r="M652" s="148" t="str">
        <f t="shared" ref="M652:M715" si="59">IFERROR(L652/F652,"")</f>
        <v/>
      </c>
    </row>
    <row r="653" spans="1:13" x14ac:dyDescent="0.3">
      <c r="A653" s="149"/>
      <c r="B653" s="149"/>
      <c r="C653" s="149"/>
      <c r="D653" s="149"/>
      <c r="E653" s="149"/>
      <c r="F653" s="149"/>
      <c r="G653" s="162"/>
      <c r="H653" s="146" t="str">
        <f t="shared" si="55"/>
        <v/>
      </c>
      <c r="I653" s="161" t="str">
        <f t="shared" si="56"/>
        <v/>
      </c>
      <c r="J653" s="160" t="str">
        <f>IFERROR(INDEX(当年标准成本!I:I,MATCH(C653,当年标准成本!C:C,0),1),"")</f>
        <v/>
      </c>
      <c r="K653" s="146" t="str">
        <f t="shared" si="57"/>
        <v/>
      </c>
      <c r="L653" s="146" t="str">
        <f t="shared" si="58"/>
        <v/>
      </c>
      <c r="M653" s="148" t="str">
        <f t="shared" si="59"/>
        <v/>
      </c>
    </row>
    <row r="654" spans="1:13" x14ac:dyDescent="0.3">
      <c r="A654" s="149"/>
      <c r="B654" s="149"/>
      <c r="C654" s="149"/>
      <c r="D654" s="149"/>
      <c r="E654" s="149"/>
      <c r="F654" s="149"/>
      <c r="G654" s="162"/>
      <c r="H654" s="146" t="str">
        <f t="shared" si="55"/>
        <v/>
      </c>
      <c r="I654" s="161" t="str">
        <f t="shared" si="56"/>
        <v/>
      </c>
      <c r="J654" s="160" t="str">
        <f>IFERROR(INDEX(当年标准成本!I:I,MATCH(C654,当年标准成本!C:C,0),1),"")</f>
        <v/>
      </c>
      <c r="K654" s="146" t="str">
        <f t="shared" si="57"/>
        <v/>
      </c>
      <c r="L654" s="146" t="str">
        <f t="shared" si="58"/>
        <v/>
      </c>
      <c r="M654" s="148" t="str">
        <f t="shared" si="59"/>
        <v/>
      </c>
    </row>
    <row r="655" spans="1:13" x14ac:dyDescent="0.3">
      <c r="A655" s="149"/>
      <c r="B655" s="149"/>
      <c r="C655" s="149"/>
      <c r="D655" s="149"/>
      <c r="E655" s="149"/>
      <c r="F655" s="149"/>
      <c r="G655" s="162"/>
      <c r="H655" s="146" t="str">
        <f t="shared" si="55"/>
        <v/>
      </c>
      <c r="I655" s="161" t="str">
        <f t="shared" si="56"/>
        <v/>
      </c>
      <c r="J655" s="160" t="str">
        <f>IFERROR(INDEX(当年标准成本!I:I,MATCH(C655,当年标准成本!C:C,0),1),"")</f>
        <v/>
      </c>
      <c r="K655" s="146" t="str">
        <f t="shared" si="57"/>
        <v/>
      </c>
      <c r="L655" s="146" t="str">
        <f t="shared" si="58"/>
        <v/>
      </c>
      <c r="M655" s="148" t="str">
        <f t="shared" si="59"/>
        <v/>
      </c>
    </row>
    <row r="656" spans="1:13" x14ac:dyDescent="0.3">
      <c r="A656" s="149"/>
      <c r="B656" s="149"/>
      <c r="C656" s="149"/>
      <c r="D656" s="149"/>
      <c r="E656" s="149"/>
      <c r="F656" s="149"/>
      <c r="G656" s="162"/>
      <c r="H656" s="146" t="str">
        <f t="shared" si="55"/>
        <v/>
      </c>
      <c r="I656" s="161" t="str">
        <f t="shared" si="56"/>
        <v/>
      </c>
      <c r="J656" s="160" t="str">
        <f>IFERROR(INDEX(当年标准成本!I:I,MATCH(C656,当年标准成本!C:C,0),1),"")</f>
        <v/>
      </c>
      <c r="K656" s="146" t="str">
        <f t="shared" si="57"/>
        <v/>
      </c>
      <c r="L656" s="146" t="str">
        <f t="shared" si="58"/>
        <v/>
      </c>
      <c r="M656" s="148" t="str">
        <f t="shared" si="59"/>
        <v/>
      </c>
    </row>
    <row r="657" spans="1:13" x14ac:dyDescent="0.3">
      <c r="A657" s="149"/>
      <c r="B657" s="149"/>
      <c r="C657" s="149"/>
      <c r="D657" s="149"/>
      <c r="E657" s="149"/>
      <c r="F657" s="149"/>
      <c r="G657" s="162"/>
      <c r="H657" s="146" t="str">
        <f t="shared" si="55"/>
        <v/>
      </c>
      <c r="I657" s="161" t="str">
        <f t="shared" si="56"/>
        <v/>
      </c>
      <c r="J657" s="160" t="str">
        <f>IFERROR(INDEX(当年标准成本!I:I,MATCH(C657,当年标准成本!C:C,0),1),"")</f>
        <v/>
      </c>
      <c r="K657" s="146" t="str">
        <f t="shared" si="57"/>
        <v/>
      </c>
      <c r="L657" s="146" t="str">
        <f t="shared" si="58"/>
        <v/>
      </c>
      <c r="M657" s="148" t="str">
        <f t="shared" si="59"/>
        <v/>
      </c>
    </row>
    <row r="658" spans="1:13" x14ac:dyDescent="0.3">
      <c r="A658" s="149"/>
      <c r="B658" s="149"/>
      <c r="C658" s="149"/>
      <c r="D658" s="149"/>
      <c r="E658" s="149"/>
      <c r="F658" s="149"/>
      <c r="G658" s="162"/>
      <c r="H658" s="146" t="str">
        <f t="shared" si="55"/>
        <v/>
      </c>
      <c r="I658" s="161" t="str">
        <f t="shared" si="56"/>
        <v/>
      </c>
      <c r="J658" s="160" t="str">
        <f>IFERROR(INDEX(当年标准成本!I:I,MATCH(C658,当年标准成本!C:C,0),1),"")</f>
        <v/>
      </c>
      <c r="K658" s="146" t="str">
        <f t="shared" si="57"/>
        <v/>
      </c>
      <c r="L658" s="146" t="str">
        <f t="shared" si="58"/>
        <v/>
      </c>
      <c r="M658" s="148" t="str">
        <f t="shared" si="59"/>
        <v/>
      </c>
    </row>
    <row r="659" spans="1:13" x14ac:dyDescent="0.3">
      <c r="A659" s="149"/>
      <c r="B659" s="149"/>
      <c r="C659" s="149"/>
      <c r="D659" s="149"/>
      <c r="E659" s="149"/>
      <c r="F659" s="149"/>
      <c r="G659" s="162"/>
      <c r="H659" s="146" t="str">
        <f t="shared" si="55"/>
        <v/>
      </c>
      <c r="I659" s="161" t="str">
        <f t="shared" si="56"/>
        <v/>
      </c>
      <c r="J659" s="160" t="str">
        <f>IFERROR(INDEX(当年标准成本!I:I,MATCH(C659,当年标准成本!C:C,0),1),"")</f>
        <v/>
      </c>
      <c r="K659" s="146" t="str">
        <f t="shared" si="57"/>
        <v/>
      </c>
      <c r="L659" s="146" t="str">
        <f t="shared" si="58"/>
        <v/>
      </c>
      <c r="M659" s="148" t="str">
        <f t="shared" si="59"/>
        <v/>
      </c>
    </row>
    <row r="660" spans="1:13" x14ac:dyDescent="0.3">
      <c r="A660" s="149"/>
      <c r="B660" s="149"/>
      <c r="C660" s="149"/>
      <c r="D660" s="149"/>
      <c r="E660" s="149"/>
      <c r="F660" s="149"/>
      <c r="G660" s="162"/>
      <c r="H660" s="146" t="str">
        <f t="shared" si="55"/>
        <v/>
      </c>
      <c r="I660" s="161" t="str">
        <f t="shared" si="56"/>
        <v/>
      </c>
      <c r="J660" s="160" t="str">
        <f>IFERROR(INDEX(当年标准成本!I:I,MATCH(C660,当年标准成本!C:C,0),1),"")</f>
        <v/>
      </c>
      <c r="K660" s="146" t="str">
        <f t="shared" si="57"/>
        <v/>
      </c>
      <c r="L660" s="146" t="str">
        <f t="shared" si="58"/>
        <v/>
      </c>
      <c r="M660" s="148" t="str">
        <f t="shared" si="59"/>
        <v/>
      </c>
    </row>
    <row r="661" spans="1:13" x14ac:dyDescent="0.3">
      <c r="A661" s="149"/>
      <c r="B661" s="149"/>
      <c r="C661" s="149"/>
      <c r="D661" s="149"/>
      <c r="E661" s="149"/>
      <c r="F661" s="149"/>
      <c r="G661" s="162"/>
      <c r="H661" s="146" t="str">
        <f t="shared" si="55"/>
        <v/>
      </c>
      <c r="I661" s="161" t="str">
        <f t="shared" si="56"/>
        <v/>
      </c>
      <c r="J661" s="160" t="str">
        <f>IFERROR(INDEX(当年标准成本!I:I,MATCH(C661,当年标准成本!C:C,0),1),"")</f>
        <v/>
      </c>
      <c r="K661" s="146" t="str">
        <f t="shared" si="57"/>
        <v/>
      </c>
      <c r="L661" s="146" t="str">
        <f t="shared" si="58"/>
        <v/>
      </c>
      <c r="M661" s="148" t="str">
        <f t="shared" si="59"/>
        <v/>
      </c>
    </row>
    <row r="662" spans="1:13" x14ac:dyDescent="0.3">
      <c r="A662" s="149"/>
      <c r="B662" s="149"/>
      <c r="C662" s="149"/>
      <c r="D662" s="149"/>
      <c r="E662" s="149"/>
      <c r="F662" s="149"/>
      <c r="G662" s="162"/>
      <c r="H662" s="146" t="str">
        <f t="shared" si="55"/>
        <v/>
      </c>
      <c r="I662" s="161" t="str">
        <f t="shared" si="56"/>
        <v/>
      </c>
      <c r="J662" s="160" t="str">
        <f>IFERROR(INDEX(当年标准成本!I:I,MATCH(C662,当年标准成本!C:C,0),1),"")</f>
        <v/>
      </c>
      <c r="K662" s="146" t="str">
        <f t="shared" si="57"/>
        <v/>
      </c>
      <c r="L662" s="146" t="str">
        <f t="shared" si="58"/>
        <v/>
      </c>
      <c r="M662" s="148" t="str">
        <f t="shared" si="59"/>
        <v/>
      </c>
    </row>
    <row r="663" spans="1:13" x14ac:dyDescent="0.3">
      <c r="A663" s="149"/>
      <c r="B663" s="149"/>
      <c r="C663" s="149"/>
      <c r="D663" s="149"/>
      <c r="E663" s="149"/>
      <c r="F663" s="149"/>
      <c r="G663" s="162"/>
      <c r="H663" s="146" t="str">
        <f t="shared" si="55"/>
        <v/>
      </c>
      <c r="I663" s="161" t="str">
        <f t="shared" si="56"/>
        <v/>
      </c>
      <c r="J663" s="160" t="str">
        <f>IFERROR(INDEX(当年标准成本!I:I,MATCH(C663,当年标准成本!C:C,0),1),"")</f>
        <v/>
      </c>
      <c r="K663" s="146" t="str">
        <f t="shared" si="57"/>
        <v/>
      </c>
      <c r="L663" s="146" t="str">
        <f t="shared" si="58"/>
        <v/>
      </c>
      <c r="M663" s="148" t="str">
        <f t="shared" si="59"/>
        <v/>
      </c>
    </row>
    <row r="664" spans="1:13" x14ac:dyDescent="0.3">
      <c r="A664" s="149"/>
      <c r="B664" s="149"/>
      <c r="C664" s="149"/>
      <c r="D664" s="149"/>
      <c r="E664" s="149"/>
      <c r="F664" s="149"/>
      <c r="G664" s="162"/>
      <c r="H664" s="146" t="str">
        <f t="shared" si="55"/>
        <v/>
      </c>
      <c r="I664" s="161" t="str">
        <f t="shared" si="56"/>
        <v/>
      </c>
      <c r="J664" s="160" t="str">
        <f>IFERROR(INDEX(当年标准成本!I:I,MATCH(C664,当年标准成本!C:C,0),1),"")</f>
        <v/>
      </c>
      <c r="K664" s="146" t="str">
        <f t="shared" si="57"/>
        <v/>
      </c>
      <c r="L664" s="146" t="str">
        <f t="shared" si="58"/>
        <v/>
      </c>
      <c r="M664" s="148" t="str">
        <f t="shared" si="59"/>
        <v/>
      </c>
    </row>
    <row r="665" spans="1:13" x14ac:dyDescent="0.3">
      <c r="A665" s="149"/>
      <c r="B665" s="149"/>
      <c r="C665" s="149"/>
      <c r="D665" s="149"/>
      <c r="E665" s="149"/>
      <c r="F665" s="149"/>
      <c r="G665" s="162"/>
      <c r="H665" s="146" t="str">
        <f t="shared" si="55"/>
        <v/>
      </c>
      <c r="I665" s="161" t="str">
        <f t="shared" si="56"/>
        <v/>
      </c>
      <c r="J665" s="160" t="str">
        <f>IFERROR(INDEX(当年标准成本!I:I,MATCH(C665,当年标准成本!C:C,0),1),"")</f>
        <v/>
      </c>
      <c r="K665" s="146" t="str">
        <f t="shared" si="57"/>
        <v/>
      </c>
      <c r="L665" s="146" t="str">
        <f t="shared" si="58"/>
        <v/>
      </c>
      <c r="M665" s="148" t="str">
        <f t="shared" si="59"/>
        <v/>
      </c>
    </row>
    <row r="666" spans="1:13" x14ac:dyDescent="0.3">
      <c r="A666" s="149"/>
      <c r="B666" s="149"/>
      <c r="C666" s="149"/>
      <c r="D666" s="149"/>
      <c r="E666" s="149"/>
      <c r="F666" s="149"/>
      <c r="G666" s="162"/>
      <c r="H666" s="146" t="str">
        <f t="shared" si="55"/>
        <v/>
      </c>
      <c r="I666" s="161" t="str">
        <f t="shared" si="56"/>
        <v/>
      </c>
      <c r="J666" s="160" t="str">
        <f>IFERROR(INDEX(当年标准成本!I:I,MATCH(C666,当年标准成本!C:C,0),1),"")</f>
        <v/>
      </c>
      <c r="K666" s="146" t="str">
        <f t="shared" si="57"/>
        <v/>
      </c>
      <c r="L666" s="146" t="str">
        <f t="shared" si="58"/>
        <v/>
      </c>
      <c r="M666" s="148" t="str">
        <f t="shared" si="59"/>
        <v/>
      </c>
    </row>
    <row r="667" spans="1:13" x14ac:dyDescent="0.3">
      <c r="A667" s="149"/>
      <c r="B667" s="149"/>
      <c r="C667" s="149"/>
      <c r="D667" s="149"/>
      <c r="E667" s="149"/>
      <c r="F667" s="149"/>
      <c r="G667" s="162"/>
      <c r="H667" s="146" t="str">
        <f t="shared" si="55"/>
        <v/>
      </c>
      <c r="I667" s="161" t="str">
        <f t="shared" si="56"/>
        <v/>
      </c>
      <c r="J667" s="160" t="str">
        <f>IFERROR(INDEX(当年标准成本!I:I,MATCH(C667,当年标准成本!C:C,0),1),"")</f>
        <v/>
      </c>
      <c r="K667" s="146" t="str">
        <f t="shared" si="57"/>
        <v/>
      </c>
      <c r="L667" s="146" t="str">
        <f t="shared" si="58"/>
        <v/>
      </c>
      <c r="M667" s="148" t="str">
        <f t="shared" si="59"/>
        <v/>
      </c>
    </row>
    <row r="668" spans="1:13" x14ac:dyDescent="0.3">
      <c r="A668" s="149"/>
      <c r="B668" s="149"/>
      <c r="C668" s="149"/>
      <c r="D668" s="149"/>
      <c r="E668" s="149"/>
      <c r="F668" s="149"/>
      <c r="G668" s="162"/>
      <c r="H668" s="146" t="str">
        <f t="shared" si="55"/>
        <v/>
      </c>
      <c r="I668" s="161" t="str">
        <f t="shared" si="56"/>
        <v/>
      </c>
      <c r="J668" s="160" t="str">
        <f>IFERROR(INDEX(当年标准成本!I:I,MATCH(C668,当年标准成本!C:C,0),1),"")</f>
        <v/>
      </c>
      <c r="K668" s="146" t="str">
        <f t="shared" si="57"/>
        <v/>
      </c>
      <c r="L668" s="146" t="str">
        <f t="shared" si="58"/>
        <v/>
      </c>
      <c r="M668" s="148" t="str">
        <f t="shared" si="59"/>
        <v/>
      </c>
    </row>
    <row r="669" spans="1:13" x14ac:dyDescent="0.3">
      <c r="A669" s="149"/>
      <c r="B669" s="149"/>
      <c r="C669" s="149"/>
      <c r="D669" s="149"/>
      <c r="E669" s="149"/>
      <c r="F669" s="149"/>
      <c r="G669" s="162"/>
      <c r="H669" s="146" t="str">
        <f t="shared" si="55"/>
        <v/>
      </c>
      <c r="I669" s="161" t="str">
        <f t="shared" si="56"/>
        <v/>
      </c>
      <c r="J669" s="160" t="str">
        <f>IFERROR(INDEX(当年标准成本!I:I,MATCH(C669,当年标准成本!C:C,0),1),"")</f>
        <v/>
      </c>
      <c r="K669" s="146" t="str">
        <f t="shared" si="57"/>
        <v/>
      </c>
      <c r="L669" s="146" t="str">
        <f t="shared" si="58"/>
        <v/>
      </c>
      <c r="M669" s="148" t="str">
        <f t="shared" si="59"/>
        <v/>
      </c>
    </row>
    <row r="670" spans="1:13" x14ac:dyDescent="0.3">
      <c r="A670" s="149"/>
      <c r="B670" s="149"/>
      <c r="C670" s="149"/>
      <c r="D670" s="149"/>
      <c r="E670" s="149"/>
      <c r="F670" s="149"/>
      <c r="G670" s="162"/>
      <c r="H670" s="146" t="str">
        <f t="shared" si="55"/>
        <v/>
      </c>
      <c r="I670" s="161" t="str">
        <f t="shared" si="56"/>
        <v/>
      </c>
      <c r="J670" s="160" t="str">
        <f>IFERROR(INDEX(当年标准成本!I:I,MATCH(C670,当年标准成本!C:C,0),1),"")</f>
        <v/>
      </c>
      <c r="K670" s="146" t="str">
        <f t="shared" si="57"/>
        <v/>
      </c>
      <c r="L670" s="146" t="str">
        <f t="shared" si="58"/>
        <v/>
      </c>
      <c r="M670" s="148" t="str">
        <f t="shared" si="59"/>
        <v/>
      </c>
    </row>
    <row r="671" spans="1:13" x14ac:dyDescent="0.3">
      <c r="A671" s="149"/>
      <c r="B671" s="149"/>
      <c r="C671" s="149"/>
      <c r="D671" s="149"/>
      <c r="E671" s="149"/>
      <c r="F671" s="149"/>
      <c r="G671" s="162"/>
      <c r="H671" s="146" t="str">
        <f t="shared" si="55"/>
        <v/>
      </c>
      <c r="I671" s="161" t="str">
        <f t="shared" si="56"/>
        <v/>
      </c>
      <c r="J671" s="160" t="str">
        <f>IFERROR(INDEX(当年标准成本!I:I,MATCH(C671,当年标准成本!C:C,0),1),"")</f>
        <v/>
      </c>
      <c r="K671" s="146" t="str">
        <f t="shared" si="57"/>
        <v/>
      </c>
      <c r="L671" s="146" t="str">
        <f t="shared" si="58"/>
        <v/>
      </c>
      <c r="M671" s="148" t="str">
        <f t="shared" si="59"/>
        <v/>
      </c>
    </row>
    <row r="672" spans="1:13" x14ac:dyDescent="0.3">
      <c r="A672" s="149"/>
      <c r="B672" s="149"/>
      <c r="C672" s="149"/>
      <c r="D672" s="149"/>
      <c r="E672" s="149"/>
      <c r="F672" s="149"/>
      <c r="G672" s="162"/>
      <c r="H672" s="146" t="str">
        <f t="shared" si="55"/>
        <v/>
      </c>
      <c r="I672" s="161" t="str">
        <f t="shared" si="56"/>
        <v/>
      </c>
      <c r="J672" s="160" t="str">
        <f>IFERROR(INDEX(当年标准成本!I:I,MATCH(C672,当年标准成本!C:C,0),1),"")</f>
        <v/>
      </c>
      <c r="K672" s="146" t="str">
        <f t="shared" si="57"/>
        <v/>
      </c>
      <c r="L672" s="146" t="str">
        <f t="shared" si="58"/>
        <v/>
      </c>
      <c r="M672" s="148" t="str">
        <f t="shared" si="59"/>
        <v/>
      </c>
    </row>
    <row r="673" spans="1:13" x14ac:dyDescent="0.3">
      <c r="A673" s="149"/>
      <c r="B673" s="149"/>
      <c r="C673" s="149"/>
      <c r="D673" s="149"/>
      <c r="E673" s="149"/>
      <c r="F673" s="149"/>
      <c r="G673" s="162"/>
      <c r="H673" s="146" t="str">
        <f t="shared" si="55"/>
        <v/>
      </c>
      <c r="I673" s="161" t="str">
        <f t="shared" si="56"/>
        <v/>
      </c>
      <c r="J673" s="160" t="str">
        <f>IFERROR(INDEX(当年标准成本!I:I,MATCH(C673,当年标准成本!C:C,0),1),"")</f>
        <v/>
      </c>
      <c r="K673" s="146" t="str">
        <f t="shared" si="57"/>
        <v/>
      </c>
      <c r="L673" s="146" t="str">
        <f t="shared" si="58"/>
        <v/>
      </c>
      <c r="M673" s="148" t="str">
        <f t="shared" si="59"/>
        <v/>
      </c>
    </row>
    <row r="674" spans="1:13" x14ac:dyDescent="0.3">
      <c r="A674" s="149"/>
      <c r="B674" s="149"/>
      <c r="C674" s="149"/>
      <c r="D674" s="149"/>
      <c r="E674" s="149"/>
      <c r="F674" s="149"/>
      <c r="G674" s="162"/>
      <c r="H674" s="146" t="str">
        <f t="shared" si="55"/>
        <v/>
      </c>
      <c r="I674" s="161" t="str">
        <f t="shared" si="56"/>
        <v/>
      </c>
      <c r="J674" s="160" t="str">
        <f>IFERROR(INDEX(当年标准成本!I:I,MATCH(C674,当年标准成本!C:C,0),1),"")</f>
        <v/>
      </c>
      <c r="K674" s="146" t="str">
        <f t="shared" si="57"/>
        <v/>
      </c>
      <c r="L674" s="146" t="str">
        <f t="shared" si="58"/>
        <v/>
      </c>
      <c r="M674" s="148" t="str">
        <f t="shared" si="59"/>
        <v/>
      </c>
    </row>
    <row r="675" spans="1:13" x14ac:dyDescent="0.3">
      <c r="A675" s="149"/>
      <c r="B675" s="149"/>
      <c r="C675" s="149"/>
      <c r="D675" s="149"/>
      <c r="E675" s="149"/>
      <c r="F675" s="149"/>
      <c r="G675" s="162"/>
      <c r="H675" s="146" t="str">
        <f t="shared" si="55"/>
        <v/>
      </c>
      <c r="I675" s="161" t="str">
        <f t="shared" si="56"/>
        <v/>
      </c>
      <c r="J675" s="160" t="str">
        <f>IFERROR(INDEX(当年标准成本!I:I,MATCH(C675,当年标准成本!C:C,0),1),"")</f>
        <v/>
      </c>
      <c r="K675" s="146" t="str">
        <f t="shared" si="57"/>
        <v/>
      </c>
      <c r="L675" s="146" t="str">
        <f t="shared" si="58"/>
        <v/>
      </c>
      <c r="M675" s="148" t="str">
        <f t="shared" si="59"/>
        <v/>
      </c>
    </row>
    <row r="676" spans="1:13" x14ac:dyDescent="0.3">
      <c r="A676" s="149"/>
      <c r="B676" s="149"/>
      <c r="C676" s="149"/>
      <c r="D676" s="149"/>
      <c r="E676" s="149"/>
      <c r="F676" s="149"/>
      <c r="G676" s="162"/>
      <c r="H676" s="146" t="str">
        <f t="shared" si="55"/>
        <v/>
      </c>
      <c r="I676" s="161" t="str">
        <f t="shared" si="56"/>
        <v/>
      </c>
      <c r="J676" s="160" t="str">
        <f>IFERROR(INDEX(当年标准成本!I:I,MATCH(C676,当年标准成本!C:C,0),1),"")</f>
        <v/>
      </c>
      <c r="K676" s="146" t="str">
        <f t="shared" si="57"/>
        <v/>
      </c>
      <c r="L676" s="146" t="str">
        <f t="shared" si="58"/>
        <v/>
      </c>
      <c r="M676" s="148" t="str">
        <f t="shared" si="59"/>
        <v/>
      </c>
    </row>
    <row r="677" spans="1:13" x14ac:dyDescent="0.3">
      <c r="A677" s="149"/>
      <c r="B677" s="149"/>
      <c r="C677" s="149"/>
      <c r="D677" s="149"/>
      <c r="E677" s="149"/>
      <c r="F677" s="149"/>
      <c r="G677" s="162"/>
      <c r="H677" s="146" t="str">
        <f t="shared" si="55"/>
        <v/>
      </c>
      <c r="I677" s="161" t="str">
        <f t="shared" si="56"/>
        <v/>
      </c>
      <c r="J677" s="160" t="str">
        <f>IFERROR(INDEX(当年标准成本!I:I,MATCH(C677,当年标准成本!C:C,0),1),"")</f>
        <v/>
      </c>
      <c r="K677" s="146" t="str">
        <f t="shared" si="57"/>
        <v/>
      </c>
      <c r="L677" s="146" t="str">
        <f t="shared" si="58"/>
        <v/>
      </c>
      <c r="M677" s="148" t="str">
        <f t="shared" si="59"/>
        <v/>
      </c>
    </row>
    <row r="678" spans="1:13" x14ac:dyDescent="0.3">
      <c r="A678" s="149"/>
      <c r="B678" s="149"/>
      <c r="C678" s="149"/>
      <c r="D678" s="149"/>
      <c r="E678" s="149"/>
      <c r="F678" s="149"/>
      <c r="G678" s="162"/>
      <c r="H678" s="146" t="str">
        <f t="shared" si="55"/>
        <v/>
      </c>
      <c r="I678" s="161" t="str">
        <f t="shared" si="56"/>
        <v/>
      </c>
      <c r="J678" s="160" t="str">
        <f>IFERROR(INDEX(当年标准成本!I:I,MATCH(C678,当年标准成本!C:C,0),1),"")</f>
        <v/>
      </c>
      <c r="K678" s="146" t="str">
        <f t="shared" si="57"/>
        <v/>
      </c>
      <c r="L678" s="146" t="str">
        <f t="shared" si="58"/>
        <v/>
      </c>
      <c r="M678" s="148" t="str">
        <f t="shared" si="59"/>
        <v/>
      </c>
    </row>
    <row r="679" spans="1:13" x14ac:dyDescent="0.3">
      <c r="A679" s="149"/>
      <c r="B679" s="149"/>
      <c r="C679" s="149"/>
      <c r="D679" s="149"/>
      <c r="E679" s="149"/>
      <c r="F679" s="149"/>
      <c r="G679" s="162"/>
      <c r="H679" s="146" t="str">
        <f t="shared" si="55"/>
        <v/>
      </c>
      <c r="I679" s="161" t="str">
        <f t="shared" si="56"/>
        <v/>
      </c>
      <c r="J679" s="160" t="str">
        <f>IFERROR(INDEX(当年标准成本!I:I,MATCH(C679,当年标准成本!C:C,0),1),"")</f>
        <v/>
      </c>
      <c r="K679" s="146" t="str">
        <f t="shared" si="57"/>
        <v/>
      </c>
      <c r="L679" s="146" t="str">
        <f t="shared" si="58"/>
        <v/>
      </c>
      <c r="M679" s="148" t="str">
        <f t="shared" si="59"/>
        <v/>
      </c>
    </row>
    <row r="680" spans="1:13" x14ac:dyDescent="0.3">
      <c r="A680" s="149"/>
      <c r="B680" s="149"/>
      <c r="C680" s="149"/>
      <c r="D680" s="149"/>
      <c r="E680" s="149"/>
      <c r="F680" s="149"/>
      <c r="G680" s="162"/>
      <c r="H680" s="146" t="str">
        <f t="shared" si="55"/>
        <v/>
      </c>
      <c r="I680" s="161" t="str">
        <f t="shared" si="56"/>
        <v/>
      </c>
      <c r="J680" s="160" t="str">
        <f>IFERROR(INDEX(当年标准成本!I:I,MATCH(C680,当年标准成本!C:C,0),1),"")</f>
        <v/>
      </c>
      <c r="K680" s="146" t="str">
        <f t="shared" si="57"/>
        <v/>
      </c>
      <c r="L680" s="146" t="str">
        <f t="shared" si="58"/>
        <v/>
      </c>
      <c r="M680" s="148" t="str">
        <f t="shared" si="59"/>
        <v/>
      </c>
    </row>
    <row r="681" spans="1:13" x14ac:dyDescent="0.3">
      <c r="A681" s="149"/>
      <c r="B681" s="149"/>
      <c r="C681" s="149"/>
      <c r="D681" s="149"/>
      <c r="E681" s="149"/>
      <c r="F681" s="149"/>
      <c r="G681" s="162"/>
      <c r="H681" s="146" t="str">
        <f t="shared" si="55"/>
        <v/>
      </c>
      <c r="I681" s="161" t="str">
        <f t="shared" si="56"/>
        <v/>
      </c>
      <c r="J681" s="160" t="str">
        <f>IFERROR(INDEX(当年标准成本!I:I,MATCH(C681,当年标准成本!C:C,0),1),"")</f>
        <v/>
      </c>
      <c r="K681" s="146" t="str">
        <f t="shared" si="57"/>
        <v/>
      </c>
      <c r="L681" s="146" t="str">
        <f t="shared" si="58"/>
        <v/>
      </c>
      <c r="M681" s="148" t="str">
        <f t="shared" si="59"/>
        <v/>
      </c>
    </row>
    <row r="682" spans="1:13" x14ac:dyDescent="0.3">
      <c r="A682" s="149"/>
      <c r="B682" s="149"/>
      <c r="C682" s="149"/>
      <c r="D682" s="149"/>
      <c r="E682" s="149"/>
      <c r="F682" s="149"/>
      <c r="G682" s="162"/>
      <c r="H682" s="146" t="str">
        <f t="shared" si="55"/>
        <v/>
      </c>
      <c r="I682" s="161" t="str">
        <f t="shared" si="56"/>
        <v/>
      </c>
      <c r="J682" s="160" t="str">
        <f>IFERROR(INDEX(当年标准成本!I:I,MATCH(C682,当年标准成本!C:C,0),1),"")</f>
        <v/>
      </c>
      <c r="K682" s="146" t="str">
        <f t="shared" si="57"/>
        <v/>
      </c>
      <c r="L682" s="146" t="str">
        <f t="shared" si="58"/>
        <v/>
      </c>
      <c r="M682" s="148" t="str">
        <f t="shared" si="59"/>
        <v/>
      </c>
    </row>
    <row r="683" spans="1:13" x14ac:dyDescent="0.3">
      <c r="A683" s="149"/>
      <c r="B683" s="149"/>
      <c r="C683" s="149"/>
      <c r="D683" s="149"/>
      <c r="E683" s="149"/>
      <c r="F683" s="149"/>
      <c r="G683" s="162"/>
      <c r="H683" s="146" t="str">
        <f t="shared" si="55"/>
        <v/>
      </c>
      <c r="I683" s="161" t="str">
        <f t="shared" si="56"/>
        <v/>
      </c>
      <c r="J683" s="160" t="str">
        <f>IFERROR(INDEX(当年标准成本!I:I,MATCH(C683,当年标准成本!C:C,0),1),"")</f>
        <v/>
      </c>
      <c r="K683" s="146" t="str">
        <f t="shared" si="57"/>
        <v/>
      </c>
      <c r="L683" s="146" t="str">
        <f t="shared" si="58"/>
        <v/>
      </c>
      <c r="M683" s="148" t="str">
        <f t="shared" si="59"/>
        <v/>
      </c>
    </row>
    <row r="684" spans="1:13" x14ac:dyDescent="0.3">
      <c r="A684" s="149"/>
      <c r="B684" s="149"/>
      <c r="C684" s="149"/>
      <c r="D684" s="149"/>
      <c r="E684" s="149"/>
      <c r="F684" s="149"/>
      <c r="G684" s="162"/>
      <c r="H684" s="146" t="str">
        <f t="shared" si="55"/>
        <v/>
      </c>
      <c r="I684" s="161" t="str">
        <f t="shared" si="56"/>
        <v/>
      </c>
      <c r="J684" s="160" t="str">
        <f>IFERROR(INDEX(当年标准成本!I:I,MATCH(C684,当年标准成本!C:C,0),1),"")</f>
        <v/>
      </c>
      <c r="K684" s="146" t="str">
        <f t="shared" si="57"/>
        <v/>
      </c>
      <c r="L684" s="146" t="str">
        <f t="shared" si="58"/>
        <v/>
      </c>
      <c r="M684" s="148" t="str">
        <f t="shared" si="59"/>
        <v/>
      </c>
    </row>
    <row r="685" spans="1:13" x14ac:dyDescent="0.3">
      <c r="A685" s="149"/>
      <c r="B685" s="149"/>
      <c r="C685" s="149"/>
      <c r="D685" s="149"/>
      <c r="E685" s="149"/>
      <c r="F685" s="149"/>
      <c r="G685" s="162"/>
      <c r="H685" s="146" t="str">
        <f t="shared" si="55"/>
        <v/>
      </c>
      <c r="I685" s="161" t="str">
        <f t="shared" si="56"/>
        <v/>
      </c>
      <c r="J685" s="160" t="str">
        <f>IFERROR(INDEX(当年标准成本!I:I,MATCH(C685,当年标准成本!C:C,0),1),"")</f>
        <v/>
      </c>
      <c r="K685" s="146" t="str">
        <f t="shared" si="57"/>
        <v/>
      </c>
      <c r="L685" s="146" t="str">
        <f t="shared" si="58"/>
        <v/>
      </c>
      <c r="M685" s="148" t="str">
        <f t="shared" si="59"/>
        <v/>
      </c>
    </row>
    <row r="686" spans="1:13" x14ac:dyDescent="0.3">
      <c r="A686" s="149"/>
      <c r="B686" s="149"/>
      <c r="C686" s="149"/>
      <c r="D686" s="149"/>
      <c r="E686" s="149"/>
      <c r="F686" s="149"/>
      <c r="G686" s="162"/>
      <c r="H686" s="146" t="str">
        <f t="shared" si="55"/>
        <v/>
      </c>
      <c r="I686" s="161" t="str">
        <f t="shared" si="56"/>
        <v/>
      </c>
      <c r="J686" s="160" t="str">
        <f>IFERROR(INDEX(当年标准成本!I:I,MATCH(C686,当年标准成本!C:C,0),1),"")</f>
        <v/>
      </c>
      <c r="K686" s="146" t="str">
        <f t="shared" si="57"/>
        <v/>
      </c>
      <c r="L686" s="146" t="str">
        <f t="shared" si="58"/>
        <v/>
      </c>
      <c r="M686" s="148" t="str">
        <f t="shared" si="59"/>
        <v/>
      </c>
    </row>
    <row r="687" spans="1:13" x14ac:dyDescent="0.3">
      <c r="A687" s="149"/>
      <c r="B687" s="149"/>
      <c r="C687" s="149"/>
      <c r="D687" s="149"/>
      <c r="E687" s="149"/>
      <c r="F687" s="149"/>
      <c r="G687" s="162"/>
      <c r="H687" s="146" t="str">
        <f t="shared" si="55"/>
        <v/>
      </c>
      <c r="I687" s="161" t="str">
        <f t="shared" si="56"/>
        <v/>
      </c>
      <c r="J687" s="160" t="str">
        <f>IFERROR(INDEX(当年标准成本!I:I,MATCH(C687,当年标准成本!C:C,0),1),"")</f>
        <v/>
      </c>
      <c r="K687" s="146" t="str">
        <f t="shared" si="57"/>
        <v/>
      </c>
      <c r="L687" s="146" t="str">
        <f t="shared" si="58"/>
        <v/>
      </c>
      <c r="M687" s="148" t="str">
        <f t="shared" si="59"/>
        <v/>
      </c>
    </row>
    <row r="688" spans="1:13" x14ac:dyDescent="0.3">
      <c r="A688" s="149"/>
      <c r="B688" s="149"/>
      <c r="C688" s="149"/>
      <c r="D688" s="149"/>
      <c r="E688" s="149"/>
      <c r="F688" s="149"/>
      <c r="G688" s="162"/>
      <c r="H688" s="146" t="str">
        <f t="shared" si="55"/>
        <v/>
      </c>
      <c r="I688" s="161" t="str">
        <f t="shared" si="56"/>
        <v/>
      </c>
      <c r="J688" s="160" t="str">
        <f>IFERROR(INDEX(当年标准成本!I:I,MATCH(C688,当年标准成本!C:C,0),1),"")</f>
        <v/>
      </c>
      <c r="K688" s="146" t="str">
        <f t="shared" si="57"/>
        <v/>
      </c>
      <c r="L688" s="146" t="str">
        <f t="shared" si="58"/>
        <v/>
      </c>
      <c r="M688" s="148" t="str">
        <f t="shared" si="59"/>
        <v/>
      </c>
    </row>
    <row r="689" spans="1:13" x14ac:dyDescent="0.3">
      <c r="A689" s="149"/>
      <c r="B689" s="149"/>
      <c r="C689" s="149"/>
      <c r="D689" s="149"/>
      <c r="E689" s="149"/>
      <c r="F689" s="149"/>
      <c r="G689" s="162"/>
      <c r="H689" s="146" t="str">
        <f t="shared" si="55"/>
        <v/>
      </c>
      <c r="I689" s="161" t="str">
        <f t="shared" si="56"/>
        <v/>
      </c>
      <c r="J689" s="160" t="str">
        <f>IFERROR(INDEX(当年标准成本!I:I,MATCH(C689,当年标准成本!C:C,0),1),"")</f>
        <v/>
      </c>
      <c r="K689" s="146" t="str">
        <f t="shared" si="57"/>
        <v/>
      </c>
      <c r="L689" s="146" t="str">
        <f t="shared" si="58"/>
        <v/>
      </c>
      <c r="M689" s="148" t="str">
        <f t="shared" si="59"/>
        <v/>
      </c>
    </row>
    <row r="690" spans="1:13" x14ac:dyDescent="0.3">
      <c r="A690" s="149"/>
      <c r="B690" s="149"/>
      <c r="C690" s="149"/>
      <c r="D690" s="149"/>
      <c r="E690" s="149"/>
      <c r="F690" s="149"/>
      <c r="G690" s="162"/>
      <c r="H690" s="146" t="str">
        <f t="shared" si="55"/>
        <v/>
      </c>
      <c r="I690" s="161" t="str">
        <f t="shared" si="56"/>
        <v/>
      </c>
      <c r="J690" s="160" t="str">
        <f>IFERROR(INDEX(当年标准成本!I:I,MATCH(C690,当年标准成本!C:C,0),1),"")</f>
        <v/>
      </c>
      <c r="K690" s="146" t="str">
        <f t="shared" si="57"/>
        <v/>
      </c>
      <c r="L690" s="146" t="str">
        <f t="shared" si="58"/>
        <v/>
      </c>
      <c r="M690" s="148" t="str">
        <f t="shared" si="59"/>
        <v/>
      </c>
    </row>
    <row r="691" spans="1:13" x14ac:dyDescent="0.3">
      <c r="A691" s="149"/>
      <c r="B691" s="149"/>
      <c r="C691" s="149"/>
      <c r="D691" s="149"/>
      <c r="E691" s="149"/>
      <c r="F691" s="149"/>
      <c r="G691" s="162"/>
      <c r="H691" s="146" t="str">
        <f t="shared" si="55"/>
        <v/>
      </c>
      <c r="I691" s="161" t="str">
        <f t="shared" si="56"/>
        <v/>
      </c>
      <c r="J691" s="160" t="str">
        <f>IFERROR(INDEX(当年标准成本!I:I,MATCH(C691,当年标准成本!C:C,0),1),"")</f>
        <v/>
      </c>
      <c r="K691" s="146" t="str">
        <f t="shared" si="57"/>
        <v/>
      </c>
      <c r="L691" s="146" t="str">
        <f t="shared" si="58"/>
        <v/>
      </c>
      <c r="M691" s="148" t="str">
        <f t="shared" si="59"/>
        <v/>
      </c>
    </row>
    <row r="692" spans="1:13" x14ac:dyDescent="0.3">
      <c r="A692" s="149"/>
      <c r="B692" s="149"/>
      <c r="C692" s="149"/>
      <c r="D692" s="149"/>
      <c r="E692" s="149"/>
      <c r="F692" s="149"/>
      <c r="G692" s="162"/>
      <c r="H692" s="146" t="str">
        <f t="shared" si="55"/>
        <v/>
      </c>
      <c r="I692" s="161" t="str">
        <f t="shared" si="56"/>
        <v/>
      </c>
      <c r="J692" s="160" t="str">
        <f>IFERROR(INDEX(当年标准成本!I:I,MATCH(C692,当年标准成本!C:C,0),1),"")</f>
        <v/>
      </c>
      <c r="K692" s="146" t="str">
        <f t="shared" si="57"/>
        <v/>
      </c>
      <c r="L692" s="146" t="str">
        <f t="shared" si="58"/>
        <v/>
      </c>
      <c r="M692" s="148" t="str">
        <f t="shared" si="59"/>
        <v/>
      </c>
    </row>
    <row r="693" spans="1:13" x14ac:dyDescent="0.3">
      <c r="A693" s="149"/>
      <c r="B693" s="149"/>
      <c r="C693" s="149"/>
      <c r="D693" s="149"/>
      <c r="E693" s="149"/>
      <c r="F693" s="149"/>
      <c r="G693" s="162"/>
      <c r="H693" s="146" t="str">
        <f t="shared" si="55"/>
        <v/>
      </c>
      <c r="I693" s="161" t="str">
        <f t="shared" si="56"/>
        <v/>
      </c>
      <c r="J693" s="160" t="str">
        <f>IFERROR(INDEX(当年标准成本!I:I,MATCH(C693,当年标准成本!C:C,0),1),"")</f>
        <v/>
      </c>
      <c r="K693" s="146" t="str">
        <f t="shared" si="57"/>
        <v/>
      </c>
      <c r="L693" s="146" t="str">
        <f t="shared" si="58"/>
        <v/>
      </c>
      <c r="M693" s="148" t="str">
        <f t="shared" si="59"/>
        <v/>
      </c>
    </row>
    <row r="694" spans="1:13" x14ac:dyDescent="0.3">
      <c r="A694" s="149"/>
      <c r="B694" s="149"/>
      <c r="C694" s="149"/>
      <c r="D694" s="149"/>
      <c r="E694" s="149"/>
      <c r="F694" s="149"/>
      <c r="G694" s="162"/>
      <c r="H694" s="146" t="str">
        <f t="shared" si="55"/>
        <v/>
      </c>
      <c r="I694" s="161" t="str">
        <f t="shared" si="56"/>
        <v/>
      </c>
      <c r="J694" s="160" t="str">
        <f>IFERROR(INDEX(当年标准成本!I:I,MATCH(C694,当年标准成本!C:C,0),1),"")</f>
        <v/>
      </c>
      <c r="K694" s="146" t="str">
        <f t="shared" si="57"/>
        <v/>
      </c>
      <c r="L694" s="146" t="str">
        <f t="shared" si="58"/>
        <v/>
      </c>
      <c r="M694" s="148" t="str">
        <f t="shared" si="59"/>
        <v/>
      </c>
    </row>
    <row r="695" spans="1:13" x14ac:dyDescent="0.3">
      <c r="A695" s="149"/>
      <c r="B695" s="149"/>
      <c r="C695" s="149"/>
      <c r="D695" s="149"/>
      <c r="E695" s="149"/>
      <c r="F695" s="149"/>
      <c r="G695" s="162"/>
      <c r="H695" s="146" t="str">
        <f t="shared" si="55"/>
        <v/>
      </c>
      <c r="I695" s="161" t="str">
        <f t="shared" si="56"/>
        <v/>
      </c>
      <c r="J695" s="160" t="str">
        <f>IFERROR(INDEX(当年标准成本!I:I,MATCH(C695,当年标准成本!C:C,0),1),"")</f>
        <v/>
      </c>
      <c r="K695" s="146" t="str">
        <f t="shared" si="57"/>
        <v/>
      </c>
      <c r="L695" s="146" t="str">
        <f t="shared" si="58"/>
        <v/>
      </c>
      <c r="M695" s="148" t="str">
        <f t="shared" si="59"/>
        <v/>
      </c>
    </row>
    <row r="696" spans="1:13" x14ac:dyDescent="0.3">
      <c r="A696" s="149"/>
      <c r="B696" s="149"/>
      <c r="C696" s="149"/>
      <c r="D696" s="149"/>
      <c r="E696" s="149"/>
      <c r="F696" s="149"/>
      <c r="G696" s="162"/>
      <c r="H696" s="146" t="str">
        <f t="shared" si="55"/>
        <v/>
      </c>
      <c r="I696" s="161" t="str">
        <f t="shared" si="56"/>
        <v/>
      </c>
      <c r="J696" s="160" t="str">
        <f>IFERROR(INDEX(当年标准成本!I:I,MATCH(C696,当年标准成本!C:C,0),1),"")</f>
        <v/>
      </c>
      <c r="K696" s="146" t="str">
        <f t="shared" si="57"/>
        <v/>
      </c>
      <c r="L696" s="146" t="str">
        <f t="shared" si="58"/>
        <v/>
      </c>
      <c r="M696" s="148" t="str">
        <f t="shared" si="59"/>
        <v/>
      </c>
    </row>
    <row r="697" spans="1:13" x14ac:dyDescent="0.3">
      <c r="A697" s="149"/>
      <c r="B697" s="149"/>
      <c r="C697" s="149"/>
      <c r="D697" s="149"/>
      <c r="E697" s="149"/>
      <c r="F697" s="149"/>
      <c r="G697" s="162"/>
      <c r="H697" s="146" t="str">
        <f t="shared" si="55"/>
        <v/>
      </c>
      <c r="I697" s="161" t="str">
        <f t="shared" si="56"/>
        <v/>
      </c>
      <c r="J697" s="160" t="str">
        <f>IFERROR(INDEX(当年标准成本!I:I,MATCH(C697,当年标准成本!C:C,0),1),"")</f>
        <v/>
      </c>
      <c r="K697" s="146" t="str">
        <f t="shared" si="57"/>
        <v/>
      </c>
      <c r="L697" s="146" t="str">
        <f t="shared" si="58"/>
        <v/>
      </c>
      <c r="M697" s="148" t="str">
        <f t="shared" si="59"/>
        <v/>
      </c>
    </row>
    <row r="698" spans="1:13" x14ac:dyDescent="0.3">
      <c r="A698" s="149"/>
      <c r="B698" s="149"/>
      <c r="C698" s="149"/>
      <c r="D698" s="149"/>
      <c r="E698" s="149"/>
      <c r="F698" s="149"/>
      <c r="G698" s="162"/>
      <c r="H698" s="146" t="str">
        <f t="shared" si="55"/>
        <v/>
      </c>
      <c r="I698" s="161" t="str">
        <f t="shared" si="56"/>
        <v/>
      </c>
      <c r="J698" s="160" t="str">
        <f>IFERROR(INDEX(当年标准成本!I:I,MATCH(C698,当年标准成本!C:C,0),1),"")</f>
        <v/>
      </c>
      <c r="K698" s="146" t="str">
        <f t="shared" si="57"/>
        <v/>
      </c>
      <c r="L698" s="146" t="str">
        <f t="shared" si="58"/>
        <v/>
      </c>
      <c r="M698" s="148" t="str">
        <f t="shared" si="59"/>
        <v/>
      </c>
    </row>
    <row r="699" spans="1:13" x14ac:dyDescent="0.3">
      <c r="A699" s="149"/>
      <c r="B699" s="149"/>
      <c r="C699" s="149"/>
      <c r="D699" s="149"/>
      <c r="E699" s="149"/>
      <c r="F699" s="149"/>
      <c r="G699" s="162"/>
      <c r="H699" s="146" t="str">
        <f t="shared" si="55"/>
        <v/>
      </c>
      <c r="I699" s="161" t="str">
        <f t="shared" si="56"/>
        <v/>
      </c>
      <c r="J699" s="160" t="str">
        <f>IFERROR(INDEX(当年标准成本!I:I,MATCH(C699,当年标准成本!C:C,0),1),"")</f>
        <v/>
      </c>
      <c r="K699" s="146" t="str">
        <f t="shared" si="57"/>
        <v/>
      </c>
      <c r="L699" s="146" t="str">
        <f t="shared" si="58"/>
        <v/>
      </c>
      <c r="M699" s="148" t="str">
        <f t="shared" si="59"/>
        <v/>
      </c>
    </row>
    <row r="700" spans="1:13" x14ac:dyDescent="0.3">
      <c r="A700" s="149"/>
      <c r="B700" s="149"/>
      <c r="C700" s="149"/>
      <c r="D700" s="149"/>
      <c r="E700" s="149"/>
      <c r="F700" s="149"/>
      <c r="G700" s="162"/>
      <c r="H700" s="146" t="str">
        <f t="shared" si="55"/>
        <v/>
      </c>
      <c r="I700" s="161" t="str">
        <f t="shared" si="56"/>
        <v/>
      </c>
      <c r="J700" s="160" t="str">
        <f>IFERROR(INDEX(当年标准成本!I:I,MATCH(C700,当年标准成本!C:C,0),1),"")</f>
        <v/>
      </c>
      <c r="K700" s="146" t="str">
        <f t="shared" si="57"/>
        <v/>
      </c>
      <c r="L700" s="146" t="str">
        <f t="shared" si="58"/>
        <v/>
      </c>
      <c r="M700" s="148" t="str">
        <f t="shared" si="59"/>
        <v/>
      </c>
    </row>
    <row r="701" spans="1:13" x14ac:dyDescent="0.3">
      <c r="A701" s="149"/>
      <c r="B701" s="149"/>
      <c r="C701" s="149"/>
      <c r="D701" s="149"/>
      <c r="E701" s="149"/>
      <c r="F701" s="149"/>
      <c r="G701" s="162"/>
      <c r="H701" s="146" t="str">
        <f t="shared" si="55"/>
        <v/>
      </c>
      <c r="I701" s="161" t="str">
        <f t="shared" si="56"/>
        <v/>
      </c>
      <c r="J701" s="160" t="str">
        <f>IFERROR(INDEX(当年标准成本!I:I,MATCH(C701,当年标准成本!C:C,0),1),"")</f>
        <v/>
      </c>
      <c r="K701" s="146" t="str">
        <f t="shared" si="57"/>
        <v/>
      </c>
      <c r="L701" s="146" t="str">
        <f t="shared" si="58"/>
        <v/>
      </c>
      <c r="M701" s="148" t="str">
        <f t="shared" si="59"/>
        <v/>
      </c>
    </row>
    <row r="702" spans="1:13" x14ac:dyDescent="0.3">
      <c r="A702" s="149"/>
      <c r="B702" s="149"/>
      <c r="C702" s="149"/>
      <c r="D702" s="149"/>
      <c r="E702" s="149"/>
      <c r="F702" s="149"/>
      <c r="G702" s="162"/>
      <c r="H702" s="146" t="str">
        <f t="shared" si="55"/>
        <v/>
      </c>
      <c r="I702" s="161" t="str">
        <f t="shared" si="56"/>
        <v/>
      </c>
      <c r="J702" s="160" t="str">
        <f>IFERROR(INDEX(当年标准成本!I:I,MATCH(C702,当年标准成本!C:C,0),1),"")</f>
        <v/>
      </c>
      <c r="K702" s="146" t="str">
        <f t="shared" si="57"/>
        <v/>
      </c>
      <c r="L702" s="146" t="str">
        <f t="shared" si="58"/>
        <v/>
      </c>
      <c r="M702" s="148" t="str">
        <f t="shared" si="59"/>
        <v/>
      </c>
    </row>
    <row r="703" spans="1:13" x14ac:dyDescent="0.3">
      <c r="A703" s="149"/>
      <c r="B703" s="149"/>
      <c r="C703" s="149"/>
      <c r="D703" s="149"/>
      <c r="E703" s="149"/>
      <c r="F703" s="149"/>
      <c r="G703" s="162"/>
      <c r="H703" s="146" t="str">
        <f t="shared" si="55"/>
        <v/>
      </c>
      <c r="I703" s="161" t="str">
        <f t="shared" si="56"/>
        <v/>
      </c>
      <c r="J703" s="160" t="str">
        <f>IFERROR(INDEX(当年标准成本!I:I,MATCH(C703,当年标准成本!C:C,0),1),"")</f>
        <v/>
      </c>
      <c r="K703" s="146" t="str">
        <f t="shared" si="57"/>
        <v/>
      </c>
      <c r="L703" s="146" t="str">
        <f t="shared" si="58"/>
        <v/>
      </c>
      <c r="M703" s="148" t="str">
        <f t="shared" si="59"/>
        <v/>
      </c>
    </row>
    <row r="704" spans="1:13" x14ac:dyDescent="0.3">
      <c r="A704" s="149"/>
      <c r="B704" s="149"/>
      <c r="C704" s="149"/>
      <c r="D704" s="149"/>
      <c r="E704" s="149"/>
      <c r="F704" s="149"/>
      <c r="G704" s="162"/>
      <c r="H704" s="146" t="str">
        <f t="shared" si="55"/>
        <v/>
      </c>
      <c r="I704" s="161" t="str">
        <f t="shared" si="56"/>
        <v/>
      </c>
      <c r="J704" s="160" t="str">
        <f>IFERROR(INDEX(当年标准成本!I:I,MATCH(C704,当年标准成本!C:C,0),1),"")</f>
        <v/>
      </c>
      <c r="K704" s="146" t="str">
        <f t="shared" si="57"/>
        <v/>
      </c>
      <c r="L704" s="146" t="str">
        <f t="shared" si="58"/>
        <v/>
      </c>
      <c r="M704" s="148" t="str">
        <f t="shared" si="59"/>
        <v/>
      </c>
    </row>
    <row r="705" spans="1:13" x14ac:dyDescent="0.3">
      <c r="A705" s="149"/>
      <c r="B705" s="149"/>
      <c r="C705" s="149"/>
      <c r="D705" s="149"/>
      <c r="E705" s="149"/>
      <c r="F705" s="149"/>
      <c r="G705" s="162"/>
      <c r="H705" s="146" t="str">
        <f t="shared" si="55"/>
        <v/>
      </c>
      <c r="I705" s="161" t="str">
        <f t="shared" si="56"/>
        <v/>
      </c>
      <c r="J705" s="160" t="str">
        <f>IFERROR(INDEX(当年标准成本!I:I,MATCH(C705,当年标准成本!C:C,0),1),"")</f>
        <v/>
      </c>
      <c r="K705" s="146" t="str">
        <f t="shared" si="57"/>
        <v/>
      </c>
      <c r="L705" s="146" t="str">
        <f t="shared" si="58"/>
        <v/>
      </c>
      <c r="M705" s="148" t="str">
        <f t="shared" si="59"/>
        <v/>
      </c>
    </row>
    <row r="706" spans="1:13" x14ac:dyDescent="0.3">
      <c r="A706" s="149"/>
      <c r="B706" s="149"/>
      <c r="C706" s="149"/>
      <c r="D706" s="149"/>
      <c r="E706" s="149"/>
      <c r="F706" s="149"/>
      <c r="G706" s="162"/>
      <c r="H706" s="146" t="str">
        <f t="shared" si="55"/>
        <v/>
      </c>
      <c r="I706" s="161" t="str">
        <f t="shared" si="56"/>
        <v/>
      </c>
      <c r="J706" s="160" t="str">
        <f>IFERROR(INDEX(当年标准成本!I:I,MATCH(C706,当年标准成本!C:C,0),1),"")</f>
        <v/>
      </c>
      <c r="K706" s="146" t="str">
        <f t="shared" si="57"/>
        <v/>
      </c>
      <c r="L706" s="146" t="str">
        <f t="shared" si="58"/>
        <v/>
      </c>
      <c r="M706" s="148" t="str">
        <f t="shared" si="59"/>
        <v/>
      </c>
    </row>
    <row r="707" spans="1:13" x14ac:dyDescent="0.3">
      <c r="A707" s="149"/>
      <c r="B707" s="149"/>
      <c r="C707" s="149"/>
      <c r="D707" s="149"/>
      <c r="E707" s="149"/>
      <c r="F707" s="149"/>
      <c r="G707" s="162"/>
      <c r="H707" s="146" t="str">
        <f t="shared" si="55"/>
        <v/>
      </c>
      <c r="I707" s="161" t="str">
        <f t="shared" si="56"/>
        <v/>
      </c>
      <c r="J707" s="160" t="str">
        <f>IFERROR(INDEX(当年标准成本!I:I,MATCH(C707,当年标准成本!C:C,0),1),"")</f>
        <v/>
      </c>
      <c r="K707" s="146" t="str">
        <f t="shared" si="57"/>
        <v/>
      </c>
      <c r="L707" s="146" t="str">
        <f t="shared" si="58"/>
        <v/>
      </c>
      <c r="M707" s="148" t="str">
        <f t="shared" si="59"/>
        <v/>
      </c>
    </row>
    <row r="708" spans="1:13" x14ac:dyDescent="0.3">
      <c r="A708" s="149"/>
      <c r="B708" s="149"/>
      <c r="C708" s="149"/>
      <c r="D708" s="149"/>
      <c r="E708" s="149"/>
      <c r="F708" s="149"/>
      <c r="G708" s="162"/>
      <c r="H708" s="146" t="str">
        <f t="shared" si="55"/>
        <v/>
      </c>
      <c r="I708" s="161" t="str">
        <f t="shared" si="56"/>
        <v/>
      </c>
      <c r="J708" s="160" t="str">
        <f>IFERROR(INDEX(当年标准成本!I:I,MATCH(C708,当年标准成本!C:C,0),1),"")</f>
        <v/>
      </c>
      <c r="K708" s="146" t="str">
        <f t="shared" si="57"/>
        <v/>
      </c>
      <c r="L708" s="146" t="str">
        <f t="shared" si="58"/>
        <v/>
      </c>
      <c r="M708" s="148" t="str">
        <f t="shared" si="59"/>
        <v/>
      </c>
    </row>
    <row r="709" spans="1:13" x14ac:dyDescent="0.3">
      <c r="A709" s="149"/>
      <c r="B709" s="149"/>
      <c r="C709" s="149"/>
      <c r="D709" s="149"/>
      <c r="E709" s="149"/>
      <c r="F709" s="149"/>
      <c r="G709" s="162"/>
      <c r="H709" s="146" t="str">
        <f t="shared" si="55"/>
        <v/>
      </c>
      <c r="I709" s="161" t="str">
        <f t="shared" si="56"/>
        <v/>
      </c>
      <c r="J709" s="160" t="str">
        <f>IFERROR(INDEX(当年标准成本!I:I,MATCH(C709,当年标准成本!C:C,0),1),"")</f>
        <v/>
      </c>
      <c r="K709" s="146" t="str">
        <f t="shared" si="57"/>
        <v/>
      </c>
      <c r="L709" s="146" t="str">
        <f t="shared" si="58"/>
        <v/>
      </c>
      <c r="M709" s="148" t="str">
        <f t="shared" si="59"/>
        <v/>
      </c>
    </row>
    <row r="710" spans="1:13" x14ac:dyDescent="0.3">
      <c r="A710" s="149"/>
      <c r="B710" s="149"/>
      <c r="C710" s="149"/>
      <c r="D710" s="149"/>
      <c r="E710" s="149"/>
      <c r="F710" s="149"/>
      <c r="G710" s="162"/>
      <c r="H710" s="146" t="str">
        <f t="shared" si="55"/>
        <v/>
      </c>
      <c r="I710" s="161" t="str">
        <f t="shared" si="56"/>
        <v/>
      </c>
      <c r="J710" s="160" t="str">
        <f>IFERROR(INDEX(当年标准成本!I:I,MATCH(C710,当年标准成本!C:C,0),1),"")</f>
        <v/>
      </c>
      <c r="K710" s="146" t="str">
        <f t="shared" si="57"/>
        <v/>
      </c>
      <c r="L710" s="146" t="str">
        <f t="shared" si="58"/>
        <v/>
      </c>
      <c r="M710" s="148" t="str">
        <f t="shared" si="59"/>
        <v/>
      </c>
    </row>
    <row r="711" spans="1:13" x14ac:dyDescent="0.3">
      <c r="A711" s="149"/>
      <c r="B711" s="149"/>
      <c r="C711" s="149"/>
      <c r="D711" s="149"/>
      <c r="E711" s="149"/>
      <c r="F711" s="149"/>
      <c r="G711" s="162"/>
      <c r="H711" s="146" t="str">
        <f t="shared" si="55"/>
        <v/>
      </c>
      <c r="I711" s="161" t="str">
        <f t="shared" si="56"/>
        <v/>
      </c>
      <c r="J711" s="160" t="str">
        <f>IFERROR(INDEX(当年标准成本!I:I,MATCH(C711,当年标准成本!C:C,0),1),"")</f>
        <v/>
      </c>
      <c r="K711" s="146" t="str">
        <f t="shared" si="57"/>
        <v/>
      </c>
      <c r="L711" s="146" t="str">
        <f t="shared" si="58"/>
        <v/>
      </c>
      <c r="M711" s="148" t="str">
        <f t="shared" si="59"/>
        <v/>
      </c>
    </row>
    <row r="712" spans="1:13" x14ac:dyDescent="0.3">
      <c r="A712" s="149"/>
      <c r="B712" s="149"/>
      <c r="C712" s="149"/>
      <c r="D712" s="149"/>
      <c r="E712" s="149"/>
      <c r="F712" s="149"/>
      <c r="G712" s="162"/>
      <c r="H712" s="146" t="str">
        <f t="shared" si="55"/>
        <v/>
      </c>
      <c r="I712" s="161" t="str">
        <f t="shared" si="56"/>
        <v/>
      </c>
      <c r="J712" s="160" t="str">
        <f>IFERROR(INDEX(当年标准成本!I:I,MATCH(C712,当年标准成本!C:C,0),1),"")</f>
        <v/>
      </c>
      <c r="K712" s="146" t="str">
        <f t="shared" si="57"/>
        <v/>
      </c>
      <c r="L712" s="146" t="str">
        <f t="shared" si="58"/>
        <v/>
      </c>
      <c r="M712" s="148" t="str">
        <f t="shared" si="59"/>
        <v/>
      </c>
    </row>
    <row r="713" spans="1:13" x14ac:dyDescent="0.3">
      <c r="A713" s="149"/>
      <c r="B713" s="149"/>
      <c r="C713" s="149"/>
      <c r="D713" s="149"/>
      <c r="E713" s="149"/>
      <c r="F713" s="149"/>
      <c r="G713" s="162"/>
      <c r="H713" s="146" t="str">
        <f t="shared" si="55"/>
        <v/>
      </c>
      <c r="I713" s="161" t="str">
        <f t="shared" si="56"/>
        <v/>
      </c>
      <c r="J713" s="160" t="str">
        <f>IFERROR(INDEX(当年标准成本!I:I,MATCH(C713,当年标准成本!C:C,0),1),"")</f>
        <v/>
      </c>
      <c r="K713" s="146" t="str">
        <f t="shared" si="57"/>
        <v/>
      </c>
      <c r="L713" s="146" t="str">
        <f t="shared" si="58"/>
        <v/>
      </c>
      <c r="M713" s="148" t="str">
        <f t="shared" si="59"/>
        <v/>
      </c>
    </row>
    <row r="714" spans="1:13" x14ac:dyDescent="0.3">
      <c r="A714" s="149"/>
      <c r="B714" s="149"/>
      <c r="C714" s="149"/>
      <c r="D714" s="149"/>
      <c r="E714" s="149"/>
      <c r="F714" s="149"/>
      <c r="G714" s="162"/>
      <c r="H714" s="146" t="str">
        <f t="shared" si="55"/>
        <v/>
      </c>
      <c r="I714" s="161" t="str">
        <f t="shared" si="56"/>
        <v/>
      </c>
      <c r="J714" s="160" t="str">
        <f>IFERROR(INDEX(当年标准成本!I:I,MATCH(C714,当年标准成本!C:C,0),1),"")</f>
        <v/>
      </c>
      <c r="K714" s="146" t="str">
        <f t="shared" si="57"/>
        <v/>
      </c>
      <c r="L714" s="146" t="str">
        <f t="shared" si="58"/>
        <v/>
      </c>
      <c r="M714" s="148" t="str">
        <f t="shared" si="59"/>
        <v/>
      </c>
    </row>
    <row r="715" spans="1:13" x14ac:dyDescent="0.3">
      <c r="A715" s="149"/>
      <c r="B715" s="149"/>
      <c r="C715" s="149"/>
      <c r="D715" s="149"/>
      <c r="E715" s="149"/>
      <c r="F715" s="149"/>
      <c r="G715" s="162"/>
      <c r="H715" s="146" t="str">
        <f t="shared" si="55"/>
        <v/>
      </c>
      <c r="I715" s="161" t="str">
        <f t="shared" si="56"/>
        <v/>
      </c>
      <c r="J715" s="160" t="str">
        <f>IFERROR(INDEX(当年标准成本!I:I,MATCH(C715,当年标准成本!C:C,0),1),"")</f>
        <v/>
      </c>
      <c r="K715" s="146" t="str">
        <f t="shared" si="57"/>
        <v/>
      </c>
      <c r="L715" s="146" t="str">
        <f t="shared" si="58"/>
        <v/>
      </c>
      <c r="M715" s="148" t="str">
        <f t="shared" si="59"/>
        <v/>
      </c>
    </row>
    <row r="716" spans="1:13" x14ac:dyDescent="0.3">
      <c r="A716" s="149"/>
      <c r="B716" s="149"/>
      <c r="C716" s="149"/>
      <c r="D716" s="149"/>
      <c r="E716" s="149"/>
      <c r="F716" s="149"/>
      <c r="G716" s="162"/>
      <c r="H716" s="146" t="str">
        <f t="shared" ref="H716:H779" si="60">IFERROR(F716/E716,"")</f>
        <v/>
      </c>
      <c r="I716" s="161" t="str">
        <f t="shared" ref="I716:I779" si="61">IFERROR(H716*(1+G716),"")</f>
        <v/>
      </c>
      <c r="J716" s="160" t="str">
        <f>IFERROR(INDEX(当年标准成本!I:I,MATCH(C716,当年标准成本!C:C,0),1),"")</f>
        <v/>
      </c>
      <c r="K716" s="146" t="str">
        <f t="shared" ref="K716:K779" si="62">IFERROR(E716*J716,"")</f>
        <v/>
      </c>
      <c r="L716" s="146" t="str">
        <f t="shared" ref="L716:L779" si="63">IFERROR(F716-K716,"")</f>
        <v/>
      </c>
      <c r="M716" s="148" t="str">
        <f t="shared" ref="M716:M779" si="64">IFERROR(L716/F716,"")</f>
        <v/>
      </c>
    </row>
    <row r="717" spans="1:13" x14ac:dyDescent="0.3">
      <c r="A717" s="149"/>
      <c r="B717" s="149"/>
      <c r="C717" s="149"/>
      <c r="D717" s="149"/>
      <c r="E717" s="149"/>
      <c r="F717" s="149"/>
      <c r="G717" s="162"/>
      <c r="H717" s="146" t="str">
        <f t="shared" si="60"/>
        <v/>
      </c>
      <c r="I717" s="161" t="str">
        <f t="shared" si="61"/>
        <v/>
      </c>
      <c r="J717" s="160" t="str">
        <f>IFERROR(INDEX(当年标准成本!I:I,MATCH(C717,当年标准成本!C:C,0),1),"")</f>
        <v/>
      </c>
      <c r="K717" s="146" t="str">
        <f t="shared" si="62"/>
        <v/>
      </c>
      <c r="L717" s="146" t="str">
        <f t="shared" si="63"/>
        <v/>
      </c>
      <c r="M717" s="148" t="str">
        <f t="shared" si="64"/>
        <v/>
      </c>
    </row>
    <row r="718" spans="1:13" x14ac:dyDescent="0.3">
      <c r="A718" s="149"/>
      <c r="B718" s="149"/>
      <c r="C718" s="149"/>
      <c r="D718" s="149"/>
      <c r="E718" s="149"/>
      <c r="F718" s="149"/>
      <c r="G718" s="162"/>
      <c r="H718" s="146" t="str">
        <f t="shared" si="60"/>
        <v/>
      </c>
      <c r="I718" s="161" t="str">
        <f t="shared" si="61"/>
        <v/>
      </c>
      <c r="J718" s="160" t="str">
        <f>IFERROR(INDEX(当年标准成本!I:I,MATCH(C718,当年标准成本!C:C,0),1),"")</f>
        <v/>
      </c>
      <c r="K718" s="146" t="str">
        <f t="shared" si="62"/>
        <v/>
      </c>
      <c r="L718" s="146" t="str">
        <f t="shared" si="63"/>
        <v/>
      </c>
      <c r="M718" s="148" t="str">
        <f t="shared" si="64"/>
        <v/>
      </c>
    </row>
    <row r="719" spans="1:13" x14ac:dyDescent="0.3">
      <c r="A719" s="149"/>
      <c r="B719" s="149"/>
      <c r="C719" s="149"/>
      <c r="D719" s="149"/>
      <c r="E719" s="149"/>
      <c r="F719" s="149"/>
      <c r="G719" s="162"/>
      <c r="H719" s="146" t="str">
        <f t="shared" si="60"/>
        <v/>
      </c>
      <c r="I719" s="161" t="str">
        <f t="shared" si="61"/>
        <v/>
      </c>
      <c r="J719" s="160" t="str">
        <f>IFERROR(INDEX(当年标准成本!I:I,MATCH(C719,当年标准成本!C:C,0),1),"")</f>
        <v/>
      </c>
      <c r="K719" s="146" t="str">
        <f t="shared" si="62"/>
        <v/>
      </c>
      <c r="L719" s="146" t="str">
        <f t="shared" si="63"/>
        <v/>
      </c>
      <c r="M719" s="148" t="str">
        <f t="shared" si="64"/>
        <v/>
      </c>
    </row>
    <row r="720" spans="1:13" x14ac:dyDescent="0.3">
      <c r="A720" s="149"/>
      <c r="B720" s="149"/>
      <c r="C720" s="149"/>
      <c r="D720" s="149"/>
      <c r="E720" s="149"/>
      <c r="F720" s="149"/>
      <c r="G720" s="162"/>
      <c r="H720" s="146" t="str">
        <f t="shared" si="60"/>
        <v/>
      </c>
      <c r="I720" s="161" t="str">
        <f t="shared" si="61"/>
        <v/>
      </c>
      <c r="J720" s="160" t="str">
        <f>IFERROR(INDEX(当年标准成本!I:I,MATCH(C720,当年标准成本!C:C,0),1),"")</f>
        <v/>
      </c>
      <c r="K720" s="146" t="str">
        <f t="shared" si="62"/>
        <v/>
      </c>
      <c r="L720" s="146" t="str">
        <f t="shared" si="63"/>
        <v/>
      </c>
      <c r="M720" s="148" t="str">
        <f t="shared" si="64"/>
        <v/>
      </c>
    </row>
    <row r="721" spans="1:13" x14ac:dyDescent="0.3">
      <c r="A721" s="149"/>
      <c r="B721" s="149"/>
      <c r="C721" s="149"/>
      <c r="D721" s="149"/>
      <c r="E721" s="149"/>
      <c r="F721" s="149"/>
      <c r="G721" s="162"/>
      <c r="H721" s="146" t="str">
        <f t="shared" si="60"/>
        <v/>
      </c>
      <c r="I721" s="161" t="str">
        <f t="shared" si="61"/>
        <v/>
      </c>
      <c r="J721" s="160" t="str">
        <f>IFERROR(INDEX(当年标准成本!I:I,MATCH(C721,当年标准成本!C:C,0),1),"")</f>
        <v/>
      </c>
      <c r="K721" s="146" t="str">
        <f t="shared" si="62"/>
        <v/>
      </c>
      <c r="L721" s="146" t="str">
        <f t="shared" si="63"/>
        <v/>
      </c>
      <c r="M721" s="148" t="str">
        <f t="shared" si="64"/>
        <v/>
      </c>
    </row>
    <row r="722" spans="1:13" x14ac:dyDescent="0.3">
      <c r="A722" s="149"/>
      <c r="B722" s="149"/>
      <c r="C722" s="149"/>
      <c r="D722" s="149"/>
      <c r="E722" s="149"/>
      <c r="F722" s="149"/>
      <c r="G722" s="162"/>
      <c r="H722" s="146" t="str">
        <f t="shared" si="60"/>
        <v/>
      </c>
      <c r="I722" s="161" t="str">
        <f t="shared" si="61"/>
        <v/>
      </c>
      <c r="J722" s="160" t="str">
        <f>IFERROR(INDEX(当年标准成本!I:I,MATCH(C722,当年标准成本!C:C,0),1),"")</f>
        <v/>
      </c>
      <c r="K722" s="146" t="str">
        <f t="shared" si="62"/>
        <v/>
      </c>
      <c r="L722" s="146" t="str">
        <f t="shared" si="63"/>
        <v/>
      </c>
      <c r="M722" s="148" t="str">
        <f t="shared" si="64"/>
        <v/>
      </c>
    </row>
    <row r="723" spans="1:13" x14ac:dyDescent="0.3">
      <c r="A723" s="149"/>
      <c r="B723" s="149"/>
      <c r="C723" s="149"/>
      <c r="D723" s="149"/>
      <c r="E723" s="149"/>
      <c r="F723" s="149"/>
      <c r="G723" s="162"/>
      <c r="H723" s="146" t="str">
        <f t="shared" si="60"/>
        <v/>
      </c>
      <c r="I723" s="161" t="str">
        <f t="shared" si="61"/>
        <v/>
      </c>
      <c r="J723" s="160" t="str">
        <f>IFERROR(INDEX(当年标准成本!I:I,MATCH(C723,当年标准成本!C:C,0),1),"")</f>
        <v/>
      </c>
      <c r="K723" s="146" t="str">
        <f t="shared" si="62"/>
        <v/>
      </c>
      <c r="L723" s="146" t="str">
        <f t="shared" si="63"/>
        <v/>
      </c>
      <c r="M723" s="148" t="str">
        <f t="shared" si="64"/>
        <v/>
      </c>
    </row>
    <row r="724" spans="1:13" x14ac:dyDescent="0.3">
      <c r="A724" s="149"/>
      <c r="B724" s="149"/>
      <c r="C724" s="149"/>
      <c r="D724" s="149"/>
      <c r="E724" s="149"/>
      <c r="F724" s="149"/>
      <c r="G724" s="162"/>
      <c r="H724" s="146" t="str">
        <f t="shared" si="60"/>
        <v/>
      </c>
      <c r="I724" s="161" t="str">
        <f t="shared" si="61"/>
        <v/>
      </c>
      <c r="J724" s="160" t="str">
        <f>IFERROR(INDEX(当年标准成本!I:I,MATCH(C724,当年标准成本!C:C,0),1),"")</f>
        <v/>
      </c>
      <c r="K724" s="146" t="str">
        <f t="shared" si="62"/>
        <v/>
      </c>
      <c r="L724" s="146" t="str">
        <f t="shared" si="63"/>
        <v/>
      </c>
      <c r="M724" s="148" t="str">
        <f t="shared" si="64"/>
        <v/>
      </c>
    </row>
    <row r="725" spans="1:13" x14ac:dyDescent="0.3">
      <c r="A725" s="149"/>
      <c r="B725" s="149"/>
      <c r="C725" s="149"/>
      <c r="D725" s="149"/>
      <c r="E725" s="149"/>
      <c r="F725" s="149"/>
      <c r="G725" s="162"/>
      <c r="H725" s="146" t="str">
        <f t="shared" si="60"/>
        <v/>
      </c>
      <c r="I725" s="161" t="str">
        <f t="shared" si="61"/>
        <v/>
      </c>
      <c r="J725" s="160" t="str">
        <f>IFERROR(INDEX(当年标准成本!I:I,MATCH(C725,当年标准成本!C:C,0),1),"")</f>
        <v/>
      </c>
      <c r="K725" s="146" t="str">
        <f t="shared" si="62"/>
        <v/>
      </c>
      <c r="L725" s="146" t="str">
        <f t="shared" si="63"/>
        <v/>
      </c>
      <c r="M725" s="148" t="str">
        <f t="shared" si="64"/>
        <v/>
      </c>
    </row>
    <row r="726" spans="1:13" x14ac:dyDescent="0.3">
      <c r="A726" s="149"/>
      <c r="B726" s="149"/>
      <c r="C726" s="149"/>
      <c r="D726" s="149"/>
      <c r="E726" s="149"/>
      <c r="F726" s="149"/>
      <c r="G726" s="162"/>
      <c r="H726" s="146" t="str">
        <f t="shared" si="60"/>
        <v/>
      </c>
      <c r="I726" s="161" t="str">
        <f t="shared" si="61"/>
        <v/>
      </c>
      <c r="J726" s="160" t="str">
        <f>IFERROR(INDEX(当年标准成本!I:I,MATCH(C726,当年标准成本!C:C,0),1),"")</f>
        <v/>
      </c>
      <c r="K726" s="146" t="str">
        <f t="shared" si="62"/>
        <v/>
      </c>
      <c r="L726" s="146" t="str">
        <f t="shared" si="63"/>
        <v/>
      </c>
      <c r="M726" s="148" t="str">
        <f t="shared" si="64"/>
        <v/>
      </c>
    </row>
    <row r="727" spans="1:13" x14ac:dyDescent="0.3">
      <c r="A727" s="149"/>
      <c r="B727" s="149"/>
      <c r="C727" s="149"/>
      <c r="D727" s="149"/>
      <c r="E727" s="149"/>
      <c r="F727" s="149"/>
      <c r="G727" s="162"/>
      <c r="H727" s="146" t="str">
        <f t="shared" si="60"/>
        <v/>
      </c>
      <c r="I727" s="161" t="str">
        <f t="shared" si="61"/>
        <v/>
      </c>
      <c r="J727" s="160" t="str">
        <f>IFERROR(INDEX(当年标准成本!I:I,MATCH(C727,当年标准成本!C:C,0),1),"")</f>
        <v/>
      </c>
      <c r="K727" s="146" t="str">
        <f t="shared" si="62"/>
        <v/>
      </c>
      <c r="L727" s="146" t="str">
        <f t="shared" si="63"/>
        <v/>
      </c>
      <c r="M727" s="148" t="str">
        <f t="shared" si="64"/>
        <v/>
      </c>
    </row>
    <row r="728" spans="1:13" x14ac:dyDescent="0.3">
      <c r="A728" s="149"/>
      <c r="B728" s="149"/>
      <c r="C728" s="149"/>
      <c r="D728" s="149"/>
      <c r="E728" s="149"/>
      <c r="F728" s="149"/>
      <c r="G728" s="162"/>
      <c r="H728" s="146" t="str">
        <f t="shared" si="60"/>
        <v/>
      </c>
      <c r="I728" s="161" t="str">
        <f t="shared" si="61"/>
        <v/>
      </c>
      <c r="J728" s="160" t="str">
        <f>IFERROR(INDEX(当年标准成本!I:I,MATCH(C728,当年标准成本!C:C,0),1),"")</f>
        <v/>
      </c>
      <c r="K728" s="146" t="str">
        <f t="shared" si="62"/>
        <v/>
      </c>
      <c r="L728" s="146" t="str">
        <f t="shared" si="63"/>
        <v/>
      </c>
      <c r="M728" s="148" t="str">
        <f t="shared" si="64"/>
        <v/>
      </c>
    </row>
    <row r="729" spans="1:13" x14ac:dyDescent="0.3">
      <c r="A729" s="149"/>
      <c r="B729" s="149"/>
      <c r="C729" s="149"/>
      <c r="D729" s="149"/>
      <c r="E729" s="149"/>
      <c r="F729" s="149"/>
      <c r="G729" s="162"/>
      <c r="H729" s="146" t="str">
        <f t="shared" si="60"/>
        <v/>
      </c>
      <c r="I729" s="161" t="str">
        <f t="shared" si="61"/>
        <v/>
      </c>
      <c r="J729" s="160" t="str">
        <f>IFERROR(INDEX(当年标准成本!I:I,MATCH(C729,当年标准成本!C:C,0),1),"")</f>
        <v/>
      </c>
      <c r="K729" s="146" t="str">
        <f t="shared" si="62"/>
        <v/>
      </c>
      <c r="L729" s="146" t="str">
        <f t="shared" si="63"/>
        <v/>
      </c>
      <c r="M729" s="148" t="str">
        <f t="shared" si="64"/>
        <v/>
      </c>
    </row>
    <row r="730" spans="1:13" x14ac:dyDescent="0.3">
      <c r="A730" s="149"/>
      <c r="B730" s="149"/>
      <c r="C730" s="149"/>
      <c r="D730" s="149"/>
      <c r="E730" s="149"/>
      <c r="F730" s="149"/>
      <c r="G730" s="162"/>
      <c r="H730" s="146" t="str">
        <f t="shared" si="60"/>
        <v/>
      </c>
      <c r="I730" s="161" t="str">
        <f t="shared" si="61"/>
        <v/>
      </c>
      <c r="J730" s="160" t="str">
        <f>IFERROR(INDEX(当年标准成本!I:I,MATCH(C730,当年标准成本!C:C,0),1),"")</f>
        <v/>
      </c>
      <c r="K730" s="146" t="str">
        <f t="shared" si="62"/>
        <v/>
      </c>
      <c r="L730" s="146" t="str">
        <f t="shared" si="63"/>
        <v/>
      </c>
      <c r="M730" s="148" t="str">
        <f t="shared" si="64"/>
        <v/>
      </c>
    </row>
    <row r="731" spans="1:13" x14ac:dyDescent="0.3">
      <c r="A731" s="149"/>
      <c r="B731" s="149"/>
      <c r="C731" s="149"/>
      <c r="D731" s="149"/>
      <c r="E731" s="149"/>
      <c r="F731" s="149"/>
      <c r="G731" s="162"/>
      <c r="H731" s="146" t="str">
        <f t="shared" si="60"/>
        <v/>
      </c>
      <c r="I731" s="161" t="str">
        <f t="shared" si="61"/>
        <v/>
      </c>
      <c r="J731" s="160" t="str">
        <f>IFERROR(INDEX(当年标准成本!I:I,MATCH(C731,当年标准成本!C:C,0),1),"")</f>
        <v/>
      </c>
      <c r="K731" s="146" t="str">
        <f t="shared" si="62"/>
        <v/>
      </c>
      <c r="L731" s="146" t="str">
        <f t="shared" si="63"/>
        <v/>
      </c>
      <c r="M731" s="148" t="str">
        <f t="shared" si="64"/>
        <v/>
      </c>
    </row>
    <row r="732" spans="1:13" x14ac:dyDescent="0.3">
      <c r="A732" s="149"/>
      <c r="B732" s="149"/>
      <c r="C732" s="149"/>
      <c r="D732" s="149"/>
      <c r="E732" s="149"/>
      <c r="F732" s="149"/>
      <c r="G732" s="162"/>
      <c r="H732" s="146" t="str">
        <f t="shared" si="60"/>
        <v/>
      </c>
      <c r="I732" s="161" t="str">
        <f t="shared" si="61"/>
        <v/>
      </c>
      <c r="J732" s="160" t="str">
        <f>IFERROR(INDEX(当年标准成本!I:I,MATCH(C732,当年标准成本!C:C,0),1),"")</f>
        <v/>
      </c>
      <c r="K732" s="146" t="str">
        <f t="shared" si="62"/>
        <v/>
      </c>
      <c r="L732" s="146" t="str">
        <f t="shared" si="63"/>
        <v/>
      </c>
      <c r="M732" s="148" t="str">
        <f t="shared" si="64"/>
        <v/>
      </c>
    </row>
    <row r="733" spans="1:13" x14ac:dyDescent="0.3">
      <c r="A733" s="149"/>
      <c r="B733" s="149"/>
      <c r="C733" s="149"/>
      <c r="D733" s="149"/>
      <c r="E733" s="149"/>
      <c r="F733" s="149"/>
      <c r="G733" s="162"/>
      <c r="H733" s="146" t="str">
        <f t="shared" si="60"/>
        <v/>
      </c>
      <c r="I733" s="161" t="str">
        <f t="shared" si="61"/>
        <v/>
      </c>
      <c r="J733" s="160" t="str">
        <f>IFERROR(INDEX(当年标准成本!I:I,MATCH(C733,当年标准成本!C:C,0),1),"")</f>
        <v/>
      </c>
      <c r="K733" s="146" t="str">
        <f t="shared" si="62"/>
        <v/>
      </c>
      <c r="L733" s="146" t="str">
        <f t="shared" si="63"/>
        <v/>
      </c>
      <c r="M733" s="148" t="str">
        <f t="shared" si="64"/>
        <v/>
      </c>
    </row>
    <row r="734" spans="1:13" x14ac:dyDescent="0.3">
      <c r="A734" s="149"/>
      <c r="B734" s="149"/>
      <c r="C734" s="149"/>
      <c r="D734" s="149"/>
      <c r="E734" s="149"/>
      <c r="F734" s="149"/>
      <c r="G734" s="162"/>
      <c r="H734" s="146" t="str">
        <f t="shared" si="60"/>
        <v/>
      </c>
      <c r="I734" s="161" t="str">
        <f t="shared" si="61"/>
        <v/>
      </c>
      <c r="J734" s="160" t="str">
        <f>IFERROR(INDEX(当年标准成本!I:I,MATCH(C734,当年标准成本!C:C,0),1),"")</f>
        <v/>
      </c>
      <c r="K734" s="146" t="str">
        <f t="shared" si="62"/>
        <v/>
      </c>
      <c r="L734" s="146" t="str">
        <f t="shared" si="63"/>
        <v/>
      </c>
      <c r="M734" s="148" t="str">
        <f t="shared" si="64"/>
        <v/>
      </c>
    </row>
    <row r="735" spans="1:13" x14ac:dyDescent="0.3">
      <c r="A735" s="149"/>
      <c r="B735" s="149"/>
      <c r="C735" s="149"/>
      <c r="D735" s="149"/>
      <c r="E735" s="149"/>
      <c r="F735" s="149"/>
      <c r="G735" s="162"/>
      <c r="H735" s="146" t="str">
        <f t="shared" si="60"/>
        <v/>
      </c>
      <c r="I735" s="161" t="str">
        <f t="shared" si="61"/>
        <v/>
      </c>
      <c r="J735" s="160" t="str">
        <f>IFERROR(INDEX(当年标准成本!I:I,MATCH(C735,当年标准成本!C:C,0),1),"")</f>
        <v/>
      </c>
      <c r="K735" s="146" t="str">
        <f t="shared" si="62"/>
        <v/>
      </c>
      <c r="L735" s="146" t="str">
        <f t="shared" si="63"/>
        <v/>
      </c>
      <c r="M735" s="148" t="str">
        <f t="shared" si="64"/>
        <v/>
      </c>
    </row>
    <row r="736" spans="1:13" x14ac:dyDescent="0.3">
      <c r="A736" s="149"/>
      <c r="B736" s="149"/>
      <c r="C736" s="149"/>
      <c r="D736" s="149"/>
      <c r="E736" s="149"/>
      <c r="F736" s="149"/>
      <c r="G736" s="162"/>
      <c r="H736" s="146" t="str">
        <f t="shared" si="60"/>
        <v/>
      </c>
      <c r="I736" s="161" t="str">
        <f t="shared" si="61"/>
        <v/>
      </c>
      <c r="J736" s="160" t="str">
        <f>IFERROR(INDEX(当年标准成本!I:I,MATCH(C736,当年标准成本!C:C,0),1),"")</f>
        <v/>
      </c>
      <c r="K736" s="146" t="str">
        <f t="shared" si="62"/>
        <v/>
      </c>
      <c r="L736" s="146" t="str">
        <f t="shared" si="63"/>
        <v/>
      </c>
      <c r="M736" s="148" t="str">
        <f t="shared" si="64"/>
        <v/>
      </c>
    </row>
    <row r="737" spans="1:13" x14ac:dyDescent="0.3">
      <c r="A737" s="149"/>
      <c r="B737" s="149"/>
      <c r="C737" s="149"/>
      <c r="D737" s="149"/>
      <c r="E737" s="149"/>
      <c r="F737" s="149"/>
      <c r="G737" s="162"/>
      <c r="H737" s="146" t="str">
        <f t="shared" si="60"/>
        <v/>
      </c>
      <c r="I737" s="161" t="str">
        <f t="shared" si="61"/>
        <v/>
      </c>
      <c r="J737" s="160" t="str">
        <f>IFERROR(INDEX(当年标准成本!I:I,MATCH(C737,当年标准成本!C:C,0),1),"")</f>
        <v/>
      </c>
      <c r="K737" s="146" t="str">
        <f t="shared" si="62"/>
        <v/>
      </c>
      <c r="L737" s="146" t="str">
        <f t="shared" si="63"/>
        <v/>
      </c>
      <c r="M737" s="148" t="str">
        <f t="shared" si="64"/>
        <v/>
      </c>
    </row>
    <row r="738" spans="1:13" x14ac:dyDescent="0.3">
      <c r="A738" s="149"/>
      <c r="B738" s="149"/>
      <c r="C738" s="149"/>
      <c r="D738" s="149"/>
      <c r="E738" s="149"/>
      <c r="F738" s="149"/>
      <c r="G738" s="162"/>
      <c r="H738" s="146" t="str">
        <f t="shared" si="60"/>
        <v/>
      </c>
      <c r="I738" s="161" t="str">
        <f t="shared" si="61"/>
        <v/>
      </c>
      <c r="J738" s="160" t="str">
        <f>IFERROR(INDEX(当年标准成本!I:I,MATCH(C738,当年标准成本!C:C,0),1),"")</f>
        <v/>
      </c>
      <c r="K738" s="146" t="str">
        <f t="shared" si="62"/>
        <v/>
      </c>
      <c r="L738" s="146" t="str">
        <f t="shared" si="63"/>
        <v/>
      </c>
      <c r="M738" s="148" t="str">
        <f t="shared" si="64"/>
        <v/>
      </c>
    </row>
    <row r="739" spans="1:13" x14ac:dyDescent="0.3">
      <c r="A739" s="149"/>
      <c r="B739" s="149"/>
      <c r="C739" s="149"/>
      <c r="D739" s="149"/>
      <c r="E739" s="149"/>
      <c r="F739" s="149"/>
      <c r="G739" s="162"/>
      <c r="H739" s="146" t="str">
        <f t="shared" si="60"/>
        <v/>
      </c>
      <c r="I739" s="161" t="str">
        <f t="shared" si="61"/>
        <v/>
      </c>
      <c r="J739" s="160" t="str">
        <f>IFERROR(INDEX(当年标准成本!I:I,MATCH(C739,当年标准成本!C:C,0),1),"")</f>
        <v/>
      </c>
      <c r="K739" s="146" t="str">
        <f t="shared" si="62"/>
        <v/>
      </c>
      <c r="L739" s="146" t="str">
        <f t="shared" si="63"/>
        <v/>
      </c>
      <c r="M739" s="148" t="str">
        <f t="shared" si="64"/>
        <v/>
      </c>
    </row>
    <row r="740" spans="1:13" x14ac:dyDescent="0.3">
      <c r="A740" s="149"/>
      <c r="B740" s="149"/>
      <c r="C740" s="149"/>
      <c r="D740" s="149"/>
      <c r="E740" s="149"/>
      <c r="F740" s="149"/>
      <c r="G740" s="162"/>
      <c r="H740" s="146" t="str">
        <f t="shared" si="60"/>
        <v/>
      </c>
      <c r="I740" s="161" t="str">
        <f t="shared" si="61"/>
        <v/>
      </c>
      <c r="J740" s="160" t="str">
        <f>IFERROR(INDEX(当年标准成本!I:I,MATCH(C740,当年标准成本!C:C,0),1),"")</f>
        <v/>
      </c>
      <c r="K740" s="146" t="str">
        <f t="shared" si="62"/>
        <v/>
      </c>
      <c r="L740" s="146" t="str">
        <f t="shared" si="63"/>
        <v/>
      </c>
      <c r="M740" s="148" t="str">
        <f t="shared" si="64"/>
        <v/>
      </c>
    </row>
    <row r="741" spans="1:13" x14ac:dyDescent="0.3">
      <c r="A741" s="149"/>
      <c r="B741" s="149"/>
      <c r="C741" s="149"/>
      <c r="D741" s="149"/>
      <c r="E741" s="149"/>
      <c r="F741" s="149"/>
      <c r="G741" s="162"/>
      <c r="H741" s="146" t="str">
        <f t="shared" si="60"/>
        <v/>
      </c>
      <c r="I741" s="161" t="str">
        <f t="shared" si="61"/>
        <v/>
      </c>
      <c r="J741" s="160" t="str">
        <f>IFERROR(INDEX(当年标准成本!I:I,MATCH(C741,当年标准成本!C:C,0),1),"")</f>
        <v/>
      </c>
      <c r="K741" s="146" t="str">
        <f t="shared" si="62"/>
        <v/>
      </c>
      <c r="L741" s="146" t="str">
        <f t="shared" si="63"/>
        <v/>
      </c>
      <c r="M741" s="148" t="str">
        <f t="shared" si="64"/>
        <v/>
      </c>
    </row>
    <row r="742" spans="1:13" x14ac:dyDescent="0.3">
      <c r="A742" s="149"/>
      <c r="B742" s="149"/>
      <c r="C742" s="149"/>
      <c r="D742" s="149"/>
      <c r="E742" s="149"/>
      <c r="F742" s="149"/>
      <c r="G742" s="162"/>
      <c r="H742" s="146" t="str">
        <f t="shared" si="60"/>
        <v/>
      </c>
      <c r="I742" s="161" t="str">
        <f t="shared" si="61"/>
        <v/>
      </c>
      <c r="J742" s="160" t="str">
        <f>IFERROR(INDEX(当年标准成本!I:I,MATCH(C742,当年标准成本!C:C,0),1),"")</f>
        <v/>
      </c>
      <c r="K742" s="146" t="str">
        <f t="shared" si="62"/>
        <v/>
      </c>
      <c r="L742" s="146" t="str">
        <f t="shared" si="63"/>
        <v/>
      </c>
      <c r="M742" s="148" t="str">
        <f t="shared" si="64"/>
        <v/>
      </c>
    </row>
    <row r="743" spans="1:13" x14ac:dyDescent="0.3">
      <c r="A743" s="149"/>
      <c r="B743" s="149"/>
      <c r="C743" s="149"/>
      <c r="D743" s="149"/>
      <c r="E743" s="149"/>
      <c r="F743" s="149"/>
      <c r="G743" s="162"/>
      <c r="H743" s="146" t="str">
        <f t="shared" si="60"/>
        <v/>
      </c>
      <c r="I743" s="161" t="str">
        <f t="shared" si="61"/>
        <v/>
      </c>
      <c r="J743" s="160" t="str">
        <f>IFERROR(INDEX(当年标准成本!I:I,MATCH(C743,当年标准成本!C:C,0),1),"")</f>
        <v/>
      </c>
      <c r="K743" s="146" t="str">
        <f t="shared" si="62"/>
        <v/>
      </c>
      <c r="L743" s="146" t="str">
        <f t="shared" si="63"/>
        <v/>
      </c>
      <c r="M743" s="148" t="str">
        <f t="shared" si="64"/>
        <v/>
      </c>
    </row>
    <row r="744" spans="1:13" x14ac:dyDescent="0.3">
      <c r="A744" s="149"/>
      <c r="B744" s="149"/>
      <c r="C744" s="149"/>
      <c r="D744" s="149"/>
      <c r="E744" s="149"/>
      <c r="F744" s="149"/>
      <c r="G744" s="162"/>
      <c r="H744" s="146" t="str">
        <f t="shared" si="60"/>
        <v/>
      </c>
      <c r="I744" s="161" t="str">
        <f t="shared" si="61"/>
        <v/>
      </c>
      <c r="J744" s="160" t="str">
        <f>IFERROR(INDEX(当年标准成本!I:I,MATCH(C744,当年标准成本!C:C,0),1),"")</f>
        <v/>
      </c>
      <c r="K744" s="146" t="str">
        <f t="shared" si="62"/>
        <v/>
      </c>
      <c r="L744" s="146" t="str">
        <f t="shared" si="63"/>
        <v/>
      </c>
      <c r="M744" s="148" t="str">
        <f t="shared" si="64"/>
        <v/>
      </c>
    </row>
    <row r="745" spans="1:13" x14ac:dyDescent="0.3">
      <c r="A745" s="149"/>
      <c r="B745" s="149"/>
      <c r="C745" s="149"/>
      <c r="D745" s="149"/>
      <c r="E745" s="149"/>
      <c r="F745" s="149"/>
      <c r="G745" s="162"/>
      <c r="H745" s="146" t="str">
        <f t="shared" si="60"/>
        <v/>
      </c>
      <c r="I745" s="161" t="str">
        <f t="shared" si="61"/>
        <v/>
      </c>
      <c r="J745" s="160" t="str">
        <f>IFERROR(INDEX(当年标准成本!I:I,MATCH(C745,当年标准成本!C:C,0),1),"")</f>
        <v/>
      </c>
      <c r="K745" s="146" t="str">
        <f t="shared" si="62"/>
        <v/>
      </c>
      <c r="L745" s="146" t="str">
        <f t="shared" si="63"/>
        <v/>
      </c>
      <c r="M745" s="148" t="str">
        <f t="shared" si="64"/>
        <v/>
      </c>
    </row>
    <row r="746" spans="1:13" x14ac:dyDescent="0.3">
      <c r="A746" s="149"/>
      <c r="B746" s="149"/>
      <c r="C746" s="149"/>
      <c r="D746" s="149"/>
      <c r="E746" s="149"/>
      <c r="F746" s="149"/>
      <c r="G746" s="162"/>
      <c r="H746" s="146" t="str">
        <f t="shared" si="60"/>
        <v/>
      </c>
      <c r="I746" s="161" t="str">
        <f t="shared" si="61"/>
        <v/>
      </c>
      <c r="J746" s="160" t="str">
        <f>IFERROR(INDEX(当年标准成本!I:I,MATCH(C746,当年标准成本!C:C,0),1),"")</f>
        <v/>
      </c>
      <c r="K746" s="146" t="str">
        <f t="shared" si="62"/>
        <v/>
      </c>
      <c r="L746" s="146" t="str">
        <f t="shared" si="63"/>
        <v/>
      </c>
      <c r="M746" s="148" t="str">
        <f t="shared" si="64"/>
        <v/>
      </c>
    </row>
    <row r="747" spans="1:13" x14ac:dyDescent="0.3">
      <c r="A747" s="149"/>
      <c r="B747" s="149"/>
      <c r="C747" s="149"/>
      <c r="D747" s="149"/>
      <c r="E747" s="149"/>
      <c r="F747" s="149"/>
      <c r="G747" s="162"/>
      <c r="H747" s="146" t="str">
        <f t="shared" si="60"/>
        <v/>
      </c>
      <c r="I747" s="161" t="str">
        <f t="shared" si="61"/>
        <v/>
      </c>
      <c r="J747" s="160" t="str">
        <f>IFERROR(INDEX(当年标准成本!I:I,MATCH(C747,当年标准成本!C:C,0),1),"")</f>
        <v/>
      </c>
      <c r="K747" s="146" t="str">
        <f t="shared" si="62"/>
        <v/>
      </c>
      <c r="L747" s="146" t="str">
        <f t="shared" si="63"/>
        <v/>
      </c>
      <c r="M747" s="148" t="str">
        <f t="shared" si="64"/>
        <v/>
      </c>
    </row>
    <row r="748" spans="1:13" x14ac:dyDescent="0.3">
      <c r="A748" s="149"/>
      <c r="B748" s="149"/>
      <c r="C748" s="149"/>
      <c r="D748" s="149"/>
      <c r="E748" s="149"/>
      <c r="F748" s="149"/>
      <c r="G748" s="162"/>
      <c r="H748" s="146" t="str">
        <f t="shared" si="60"/>
        <v/>
      </c>
      <c r="I748" s="161" t="str">
        <f t="shared" si="61"/>
        <v/>
      </c>
      <c r="J748" s="160" t="str">
        <f>IFERROR(INDEX(当年标准成本!I:I,MATCH(C748,当年标准成本!C:C,0),1),"")</f>
        <v/>
      </c>
      <c r="K748" s="146" t="str">
        <f t="shared" si="62"/>
        <v/>
      </c>
      <c r="L748" s="146" t="str">
        <f t="shared" si="63"/>
        <v/>
      </c>
      <c r="M748" s="148" t="str">
        <f t="shared" si="64"/>
        <v/>
      </c>
    </row>
    <row r="749" spans="1:13" x14ac:dyDescent="0.3">
      <c r="A749" s="149"/>
      <c r="B749" s="149"/>
      <c r="C749" s="149"/>
      <c r="D749" s="149"/>
      <c r="E749" s="149"/>
      <c r="F749" s="149"/>
      <c r="G749" s="162"/>
      <c r="H749" s="146" t="str">
        <f t="shared" si="60"/>
        <v/>
      </c>
      <c r="I749" s="161" t="str">
        <f t="shared" si="61"/>
        <v/>
      </c>
      <c r="J749" s="160" t="str">
        <f>IFERROR(INDEX(当年标准成本!I:I,MATCH(C749,当年标准成本!C:C,0),1),"")</f>
        <v/>
      </c>
      <c r="K749" s="146" t="str">
        <f t="shared" si="62"/>
        <v/>
      </c>
      <c r="L749" s="146" t="str">
        <f t="shared" si="63"/>
        <v/>
      </c>
      <c r="M749" s="148" t="str">
        <f t="shared" si="64"/>
        <v/>
      </c>
    </row>
    <row r="750" spans="1:13" x14ac:dyDescent="0.3">
      <c r="A750" s="149"/>
      <c r="B750" s="149"/>
      <c r="C750" s="149"/>
      <c r="D750" s="149"/>
      <c r="E750" s="149"/>
      <c r="F750" s="149"/>
      <c r="G750" s="162"/>
      <c r="H750" s="146" t="str">
        <f t="shared" si="60"/>
        <v/>
      </c>
      <c r="I750" s="161" t="str">
        <f t="shared" si="61"/>
        <v/>
      </c>
      <c r="J750" s="160" t="str">
        <f>IFERROR(INDEX(当年标准成本!I:I,MATCH(C750,当年标准成本!C:C,0),1),"")</f>
        <v/>
      </c>
      <c r="K750" s="146" t="str">
        <f t="shared" si="62"/>
        <v/>
      </c>
      <c r="L750" s="146" t="str">
        <f t="shared" si="63"/>
        <v/>
      </c>
      <c r="M750" s="148" t="str">
        <f t="shared" si="64"/>
        <v/>
      </c>
    </row>
    <row r="751" spans="1:13" x14ac:dyDescent="0.3">
      <c r="A751" s="149"/>
      <c r="B751" s="149"/>
      <c r="C751" s="149"/>
      <c r="D751" s="149"/>
      <c r="E751" s="149"/>
      <c r="F751" s="149"/>
      <c r="G751" s="162"/>
      <c r="H751" s="146" t="str">
        <f t="shared" si="60"/>
        <v/>
      </c>
      <c r="I751" s="161" t="str">
        <f t="shared" si="61"/>
        <v/>
      </c>
      <c r="J751" s="160" t="str">
        <f>IFERROR(INDEX(当年标准成本!I:I,MATCH(C751,当年标准成本!C:C,0),1),"")</f>
        <v/>
      </c>
      <c r="K751" s="146" t="str">
        <f t="shared" si="62"/>
        <v/>
      </c>
      <c r="L751" s="146" t="str">
        <f t="shared" si="63"/>
        <v/>
      </c>
      <c r="M751" s="148" t="str">
        <f t="shared" si="64"/>
        <v/>
      </c>
    </row>
    <row r="752" spans="1:13" x14ac:dyDescent="0.3">
      <c r="A752" s="149"/>
      <c r="B752" s="149"/>
      <c r="C752" s="149"/>
      <c r="D752" s="149"/>
      <c r="E752" s="149"/>
      <c r="F752" s="149"/>
      <c r="G752" s="162"/>
      <c r="H752" s="146" t="str">
        <f t="shared" si="60"/>
        <v/>
      </c>
      <c r="I752" s="161" t="str">
        <f t="shared" si="61"/>
        <v/>
      </c>
      <c r="J752" s="160" t="str">
        <f>IFERROR(INDEX(当年标准成本!I:I,MATCH(C752,当年标准成本!C:C,0),1),"")</f>
        <v/>
      </c>
      <c r="K752" s="146" t="str">
        <f t="shared" si="62"/>
        <v/>
      </c>
      <c r="L752" s="146" t="str">
        <f t="shared" si="63"/>
        <v/>
      </c>
      <c r="M752" s="148" t="str">
        <f t="shared" si="64"/>
        <v/>
      </c>
    </row>
    <row r="753" spans="1:13" x14ac:dyDescent="0.3">
      <c r="A753" s="149"/>
      <c r="B753" s="149"/>
      <c r="C753" s="149"/>
      <c r="D753" s="149"/>
      <c r="E753" s="149"/>
      <c r="F753" s="149"/>
      <c r="G753" s="162"/>
      <c r="H753" s="146" t="str">
        <f t="shared" si="60"/>
        <v/>
      </c>
      <c r="I753" s="161" t="str">
        <f t="shared" si="61"/>
        <v/>
      </c>
      <c r="J753" s="160" t="str">
        <f>IFERROR(INDEX(当年标准成本!I:I,MATCH(C753,当年标准成本!C:C,0),1),"")</f>
        <v/>
      </c>
      <c r="K753" s="146" t="str">
        <f t="shared" si="62"/>
        <v/>
      </c>
      <c r="L753" s="146" t="str">
        <f t="shared" si="63"/>
        <v/>
      </c>
      <c r="M753" s="148" t="str">
        <f t="shared" si="64"/>
        <v/>
      </c>
    </row>
    <row r="754" spans="1:13" x14ac:dyDescent="0.3">
      <c r="A754" s="149"/>
      <c r="B754" s="149"/>
      <c r="C754" s="149"/>
      <c r="D754" s="149"/>
      <c r="E754" s="149"/>
      <c r="F754" s="149"/>
      <c r="G754" s="162"/>
      <c r="H754" s="146" t="str">
        <f t="shared" si="60"/>
        <v/>
      </c>
      <c r="I754" s="161" t="str">
        <f t="shared" si="61"/>
        <v/>
      </c>
      <c r="J754" s="160" t="str">
        <f>IFERROR(INDEX(当年标准成本!I:I,MATCH(C754,当年标准成本!C:C,0),1),"")</f>
        <v/>
      </c>
      <c r="K754" s="146" t="str">
        <f t="shared" si="62"/>
        <v/>
      </c>
      <c r="L754" s="146" t="str">
        <f t="shared" si="63"/>
        <v/>
      </c>
      <c r="M754" s="148" t="str">
        <f t="shared" si="64"/>
        <v/>
      </c>
    </row>
    <row r="755" spans="1:13" x14ac:dyDescent="0.3">
      <c r="A755" s="149"/>
      <c r="B755" s="149"/>
      <c r="C755" s="149"/>
      <c r="D755" s="149"/>
      <c r="E755" s="149"/>
      <c r="F755" s="149"/>
      <c r="G755" s="162"/>
      <c r="H755" s="146" t="str">
        <f t="shared" si="60"/>
        <v/>
      </c>
      <c r="I755" s="161" t="str">
        <f t="shared" si="61"/>
        <v/>
      </c>
      <c r="J755" s="160" t="str">
        <f>IFERROR(INDEX(当年标准成本!I:I,MATCH(C755,当年标准成本!C:C,0),1),"")</f>
        <v/>
      </c>
      <c r="K755" s="146" t="str">
        <f t="shared" si="62"/>
        <v/>
      </c>
      <c r="L755" s="146" t="str">
        <f t="shared" si="63"/>
        <v/>
      </c>
      <c r="M755" s="148" t="str">
        <f t="shared" si="64"/>
        <v/>
      </c>
    </row>
    <row r="756" spans="1:13" x14ac:dyDescent="0.3">
      <c r="A756" s="149"/>
      <c r="B756" s="149"/>
      <c r="C756" s="149"/>
      <c r="D756" s="149"/>
      <c r="E756" s="149"/>
      <c r="F756" s="149"/>
      <c r="G756" s="162"/>
      <c r="H756" s="146" t="str">
        <f t="shared" si="60"/>
        <v/>
      </c>
      <c r="I756" s="161" t="str">
        <f t="shared" si="61"/>
        <v/>
      </c>
      <c r="J756" s="160" t="str">
        <f>IFERROR(INDEX(当年标准成本!I:I,MATCH(C756,当年标准成本!C:C,0),1),"")</f>
        <v/>
      </c>
      <c r="K756" s="146" t="str">
        <f t="shared" si="62"/>
        <v/>
      </c>
      <c r="L756" s="146" t="str">
        <f t="shared" si="63"/>
        <v/>
      </c>
      <c r="M756" s="148" t="str">
        <f t="shared" si="64"/>
        <v/>
      </c>
    </row>
    <row r="757" spans="1:13" x14ac:dyDescent="0.3">
      <c r="A757" s="149"/>
      <c r="B757" s="149"/>
      <c r="C757" s="149"/>
      <c r="D757" s="149"/>
      <c r="E757" s="149"/>
      <c r="F757" s="149"/>
      <c r="G757" s="162"/>
      <c r="H757" s="146" t="str">
        <f t="shared" si="60"/>
        <v/>
      </c>
      <c r="I757" s="161" t="str">
        <f t="shared" si="61"/>
        <v/>
      </c>
      <c r="J757" s="160" t="str">
        <f>IFERROR(INDEX(当年标准成本!I:I,MATCH(C757,当年标准成本!C:C,0),1),"")</f>
        <v/>
      </c>
      <c r="K757" s="146" t="str">
        <f t="shared" si="62"/>
        <v/>
      </c>
      <c r="L757" s="146" t="str">
        <f t="shared" si="63"/>
        <v/>
      </c>
      <c r="M757" s="148" t="str">
        <f t="shared" si="64"/>
        <v/>
      </c>
    </row>
    <row r="758" spans="1:13" x14ac:dyDescent="0.3">
      <c r="A758" s="149"/>
      <c r="B758" s="149"/>
      <c r="C758" s="149"/>
      <c r="D758" s="149"/>
      <c r="E758" s="149"/>
      <c r="F758" s="149"/>
      <c r="G758" s="162"/>
      <c r="H758" s="146" t="str">
        <f t="shared" si="60"/>
        <v/>
      </c>
      <c r="I758" s="161" t="str">
        <f t="shared" si="61"/>
        <v/>
      </c>
      <c r="J758" s="160" t="str">
        <f>IFERROR(INDEX(当年标准成本!I:I,MATCH(C758,当年标准成本!C:C,0),1),"")</f>
        <v/>
      </c>
      <c r="K758" s="146" t="str">
        <f t="shared" si="62"/>
        <v/>
      </c>
      <c r="L758" s="146" t="str">
        <f t="shared" si="63"/>
        <v/>
      </c>
      <c r="M758" s="148" t="str">
        <f t="shared" si="64"/>
        <v/>
      </c>
    </row>
    <row r="759" spans="1:13" x14ac:dyDescent="0.3">
      <c r="A759" s="149"/>
      <c r="B759" s="149"/>
      <c r="C759" s="149"/>
      <c r="D759" s="149"/>
      <c r="E759" s="149"/>
      <c r="F759" s="149"/>
      <c r="G759" s="162"/>
      <c r="H759" s="146" t="str">
        <f t="shared" si="60"/>
        <v/>
      </c>
      <c r="I759" s="161" t="str">
        <f t="shared" si="61"/>
        <v/>
      </c>
      <c r="J759" s="160" t="str">
        <f>IFERROR(INDEX(当年标准成本!I:I,MATCH(C759,当年标准成本!C:C,0),1),"")</f>
        <v/>
      </c>
      <c r="K759" s="146" t="str">
        <f t="shared" si="62"/>
        <v/>
      </c>
      <c r="L759" s="146" t="str">
        <f t="shared" si="63"/>
        <v/>
      </c>
      <c r="M759" s="148" t="str">
        <f t="shared" si="64"/>
        <v/>
      </c>
    </row>
    <row r="760" spans="1:13" x14ac:dyDescent="0.3">
      <c r="A760" s="149"/>
      <c r="B760" s="149"/>
      <c r="C760" s="149"/>
      <c r="D760" s="149"/>
      <c r="E760" s="149"/>
      <c r="F760" s="149"/>
      <c r="G760" s="162"/>
      <c r="H760" s="146" t="str">
        <f t="shared" si="60"/>
        <v/>
      </c>
      <c r="I760" s="161" t="str">
        <f t="shared" si="61"/>
        <v/>
      </c>
      <c r="J760" s="160" t="str">
        <f>IFERROR(INDEX(当年标准成本!I:I,MATCH(C760,当年标准成本!C:C,0),1),"")</f>
        <v/>
      </c>
      <c r="K760" s="146" t="str">
        <f t="shared" si="62"/>
        <v/>
      </c>
      <c r="L760" s="146" t="str">
        <f t="shared" si="63"/>
        <v/>
      </c>
      <c r="M760" s="148" t="str">
        <f t="shared" si="64"/>
        <v/>
      </c>
    </row>
    <row r="761" spans="1:13" x14ac:dyDescent="0.3">
      <c r="A761" s="149"/>
      <c r="B761" s="149"/>
      <c r="C761" s="149"/>
      <c r="D761" s="149"/>
      <c r="E761" s="149"/>
      <c r="F761" s="149"/>
      <c r="G761" s="162"/>
      <c r="H761" s="146" t="str">
        <f t="shared" si="60"/>
        <v/>
      </c>
      <c r="I761" s="161" t="str">
        <f t="shared" si="61"/>
        <v/>
      </c>
      <c r="J761" s="160" t="str">
        <f>IFERROR(INDEX(当年标准成本!I:I,MATCH(C761,当年标准成本!C:C,0),1),"")</f>
        <v/>
      </c>
      <c r="K761" s="146" t="str">
        <f t="shared" si="62"/>
        <v/>
      </c>
      <c r="L761" s="146" t="str">
        <f t="shared" si="63"/>
        <v/>
      </c>
      <c r="M761" s="148" t="str">
        <f t="shared" si="64"/>
        <v/>
      </c>
    </row>
    <row r="762" spans="1:13" x14ac:dyDescent="0.3">
      <c r="A762" s="149"/>
      <c r="B762" s="149"/>
      <c r="C762" s="149"/>
      <c r="D762" s="149"/>
      <c r="E762" s="149"/>
      <c r="F762" s="149"/>
      <c r="G762" s="162"/>
      <c r="H762" s="146" t="str">
        <f t="shared" si="60"/>
        <v/>
      </c>
      <c r="I762" s="161" t="str">
        <f t="shared" si="61"/>
        <v/>
      </c>
      <c r="J762" s="160" t="str">
        <f>IFERROR(INDEX(当年标准成本!I:I,MATCH(C762,当年标准成本!C:C,0),1),"")</f>
        <v/>
      </c>
      <c r="K762" s="146" t="str">
        <f t="shared" si="62"/>
        <v/>
      </c>
      <c r="L762" s="146" t="str">
        <f t="shared" si="63"/>
        <v/>
      </c>
      <c r="M762" s="148" t="str">
        <f t="shared" si="64"/>
        <v/>
      </c>
    </row>
    <row r="763" spans="1:13" x14ac:dyDescent="0.3">
      <c r="A763" s="149"/>
      <c r="B763" s="149"/>
      <c r="C763" s="149"/>
      <c r="D763" s="149"/>
      <c r="E763" s="149"/>
      <c r="F763" s="149"/>
      <c r="G763" s="162"/>
      <c r="H763" s="146" t="str">
        <f t="shared" si="60"/>
        <v/>
      </c>
      <c r="I763" s="161" t="str">
        <f t="shared" si="61"/>
        <v/>
      </c>
      <c r="J763" s="160" t="str">
        <f>IFERROR(INDEX(当年标准成本!I:I,MATCH(C763,当年标准成本!C:C,0),1),"")</f>
        <v/>
      </c>
      <c r="K763" s="146" t="str">
        <f t="shared" si="62"/>
        <v/>
      </c>
      <c r="L763" s="146" t="str">
        <f t="shared" si="63"/>
        <v/>
      </c>
      <c r="M763" s="148" t="str">
        <f t="shared" si="64"/>
        <v/>
      </c>
    </row>
    <row r="764" spans="1:13" x14ac:dyDescent="0.3">
      <c r="A764" s="149"/>
      <c r="B764" s="149"/>
      <c r="C764" s="149"/>
      <c r="D764" s="149"/>
      <c r="E764" s="149"/>
      <c r="F764" s="149"/>
      <c r="G764" s="162"/>
      <c r="H764" s="146" t="str">
        <f t="shared" si="60"/>
        <v/>
      </c>
      <c r="I764" s="161" t="str">
        <f t="shared" si="61"/>
        <v/>
      </c>
      <c r="J764" s="160" t="str">
        <f>IFERROR(INDEX(当年标准成本!I:I,MATCH(C764,当年标准成本!C:C,0),1),"")</f>
        <v/>
      </c>
      <c r="K764" s="146" t="str">
        <f t="shared" si="62"/>
        <v/>
      </c>
      <c r="L764" s="146" t="str">
        <f t="shared" si="63"/>
        <v/>
      </c>
      <c r="M764" s="148" t="str">
        <f t="shared" si="64"/>
        <v/>
      </c>
    </row>
    <row r="765" spans="1:13" x14ac:dyDescent="0.3">
      <c r="A765" s="149"/>
      <c r="B765" s="149"/>
      <c r="C765" s="149"/>
      <c r="D765" s="149"/>
      <c r="E765" s="149"/>
      <c r="F765" s="149"/>
      <c r="G765" s="162"/>
      <c r="H765" s="146" t="str">
        <f t="shared" si="60"/>
        <v/>
      </c>
      <c r="I765" s="161" t="str">
        <f t="shared" si="61"/>
        <v/>
      </c>
      <c r="J765" s="160" t="str">
        <f>IFERROR(INDEX(当年标准成本!I:I,MATCH(C765,当年标准成本!C:C,0),1),"")</f>
        <v/>
      </c>
      <c r="K765" s="146" t="str">
        <f t="shared" si="62"/>
        <v/>
      </c>
      <c r="L765" s="146" t="str">
        <f t="shared" si="63"/>
        <v/>
      </c>
      <c r="M765" s="148" t="str">
        <f t="shared" si="64"/>
        <v/>
      </c>
    </row>
    <row r="766" spans="1:13" x14ac:dyDescent="0.3">
      <c r="A766" s="149"/>
      <c r="B766" s="149"/>
      <c r="C766" s="149"/>
      <c r="D766" s="149"/>
      <c r="E766" s="149"/>
      <c r="F766" s="149"/>
      <c r="G766" s="162"/>
      <c r="H766" s="146" t="str">
        <f t="shared" si="60"/>
        <v/>
      </c>
      <c r="I766" s="161" t="str">
        <f t="shared" si="61"/>
        <v/>
      </c>
      <c r="J766" s="160" t="str">
        <f>IFERROR(INDEX(当年标准成本!I:I,MATCH(C766,当年标准成本!C:C,0),1),"")</f>
        <v/>
      </c>
      <c r="K766" s="146" t="str">
        <f t="shared" si="62"/>
        <v/>
      </c>
      <c r="L766" s="146" t="str">
        <f t="shared" si="63"/>
        <v/>
      </c>
      <c r="M766" s="148" t="str">
        <f t="shared" si="64"/>
        <v/>
      </c>
    </row>
    <row r="767" spans="1:13" x14ac:dyDescent="0.3">
      <c r="A767" s="149"/>
      <c r="B767" s="149"/>
      <c r="C767" s="149"/>
      <c r="D767" s="149"/>
      <c r="E767" s="149"/>
      <c r="F767" s="149"/>
      <c r="G767" s="162"/>
      <c r="H767" s="146" t="str">
        <f t="shared" si="60"/>
        <v/>
      </c>
      <c r="I767" s="161" t="str">
        <f t="shared" si="61"/>
        <v/>
      </c>
      <c r="J767" s="160" t="str">
        <f>IFERROR(INDEX(当年标准成本!I:I,MATCH(C767,当年标准成本!C:C,0),1),"")</f>
        <v/>
      </c>
      <c r="K767" s="146" t="str">
        <f t="shared" si="62"/>
        <v/>
      </c>
      <c r="L767" s="146" t="str">
        <f t="shared" si="63"/>
        <v/>
      </c>
      <c r="M767" s="148" t="str">
        <f t="shared" si="64"/>
        <v/>
      </c>
    </row>
    <row r="768" spans="1:13" x14ac:dyDescent="0.3">
      <c r="A768" s="149"/>
      <c r="B768" s="149"/>
      <c r="C768" s="149"/>
      <c r="D768" s="149"/>
      <c r="E768" s="149"/>
      <c r="F768" s="149"/>
      <c r="G768" s="162"/>
      <c r="H768" s="146" t="str">
        <f t="shared" si="60"/>
        <v/>
      </c>
      <c r="I768" s="161" t="str">
        <f t="shared" si="61"/>
        <v/>
      </c>
      <c r="J768" s="160" t="str">
        <f>IFERROR(INDEX(当年标准成本!I:I,MATCH(C768,当年标准成本!C:C,0),1),"")</f>
        <v/>
      </c>
      <c r="K768" s="146" t="str">
        <f t="shared" si="62"/>
        <v/>
      </c>
      <c r="L768" s="146" t="str">
        <f t="shared" si="63"/>
        <v/>
      </c>
      <c r="M768" s="148" t="str">
        <f t="shared" si="64"/>
        <v/>
      </c>
    </row>
    <row r="769" spans="1:13" x14ac:dyDescent="0.3">
      <c r="A769" s="149"/>
      <c r="B769" s="149"/>
      <c r="C769" s="149"/>
      <c r="D769" s="149"/>
      <c r="E769" s="149"/>
      <c r="F769" s="149"/>
      <c r="G769" s="162"/>
      <c r="H769" s="146" t="str">
        <f t="shared" si="60"/>
        <v/>
      </c>
      <c r="I769" s="161" t="str">
        <f t="shared" si="61"/>
        <v/>
      </c>
      <c r="J769" s="160" t="str">
        <f>IFERROR(INDEX(当年标准成本!I:I,MATCH(C769,当年标准成本!C:C,0),1),"")</f>
        <v/>
      </c>
      <c r="K769" s="146" t="str">
        <f t="shared" si="62"/>
        <v/>
      </c>
      <c r="L769" s="146" t="str">
        <f t="shared" si="63"/>
        <v/>
      </c>
      <c r="M769" s="148" t="str">
        <f t="shared" si="64"/>
        <v/>
      </c>
    </row>
    <row r="770" spans="1:13" x14ac:dyDescent="0.3">
      <c r="A770" s="149"/>
      <c r="B770" s="149"/>
      <c r="C770" s="149"/>
      <c r="D770" s="149"/>
      <c r="E770" s="149"/>
      <c r="F770" s="149"/>
      <c r="G770" s="162"/>
      <c r="H770" s="146" t="str">
        <f t="shared" si="60"/>
        <v/>
      </c>
      <c r="I770" s="161" t="str">
        <f t="shared" si="61"/>
        <v/>
      </c>
      <c r="J770" s="160" t="str">
        <f>IFERROR(INDEX(当年标准成本!I:I,MATCH(C770,当年标准成本!C:C,0),1),"")</f>
        <v/>
      </c>
      <c r="K770" s="146" t="str">
        <f t="shared" si="62"/>
        <v/>
      </c>
      <c r="L770" s="146" t="str">
        <f t="shared" si="63"/>
        <v/>
      </c>
      <c r="M770" s="148" t="str">
        <f t="shared" si="64"/>
        <v/>
      </c>
    </row>
    <row r="771" spans="1:13" x14ac:dyDescent="0.3">
      <c r="A771" s="149"/>
      <c r="B771" s="149"/>
      <c r="C771" s="149"/>
      <c r="D771" s="149"/>
      <c r="E771" s="149"/>
      <c r="F771" s="149"/>
      <c r="G771" s="162"/>
      <c r="H771" s="146" t="str">
        <f t="shared" si="60"/>
        <v/>
      </c>
      <c r="I771" s="161" t="str">
        <f t="shared" si="61"/>
        <v/>
      </c>
      <c r="J771" s="160" t="str">
        <f>IFERROR(INDEX(当年标准成本!I:I,MATCH(C771,当年标准成本!C:C,0),1),"")</f>
        <v/>
      </c>
      <c r="K771" s="146" t="str">
        <f t="shared" si="62"/>
        <v/>
      </c>
      <c r="L771" s="146" t="str">
        <f t="shared" si="63"/>
        <v/>
      </c>
      <c r="M771" s="148" t="str">
        <f t="shared" si="64"/>
        <v/>
      </c>
    </row>
    <row r="772" spans="1:13" x14ac:dyDescent="0.3">
      <c r="A772" s="149"/>
      <c r="B772" s="149"/>
      <c r="C772" s="149"/>
      <c r="D772" s="149"/>
      <c r="E772" s="149"/>
      <c r="F772" s="149"/>
      <c r="G772" s="162"/>
      <c r="H772" s="146" t="str">
        <f t="shared" si="60"/>
        <v/>
      </c>
      <c r="I772" s="161" t="str">
        <f t="shared" si="61"/>
        <v/>
      </c>
      <c r="J772" s="160" t="str">
        <f>IFERROR(INDEX(当年标准成本!I:I,MATCH(C772,当年标准成本!C:C,0),1),"")</f>
        <v/>
      </c>
      <c r="K772" s="146" t="str">
        <f t="shared" si="62"/>
        <v/>
      </c>
      <c r="L772" s="146" t="str">
        <f t="shared" si="63"/>
        <v/>
      </c>
      <c r="M772" s="148" t="str">
        <f t="shared" si="64"/>
        <v/>
      </c>
    </row>
    <row r="773" spans="1:13" x14ac:dyDescent="0.3">
      <c r="A773" s="149"/>
      <c r="B773" s="149"/>
      <c r="C773" s="149"/>
      <c r="D773" s="149"/>
      <c r="E773" s="149"/>
      <c r="F773" s="149"/>
      <c r="G773" s="162"/>
      <c r="H773" s="146" t="str">
        <f t="shared" si="60"/>
        <v/>
      </c>
      <c r="I773" s="161" t="str">
        <f t="shared" si="61"/>
        <v/>
      </c>
      <c r="J773" s="160" t="str">
        <f>IFERROR(INDEX(当年标准成本!I:I,MATCH(C773,当年标准成本!C:C,0),1),"")</f>
        <v/>
      </c>
      <c r="K773" s="146" t="str">
        <f t="shared" si="62"/>
        <v/>
      </c>
      <c r="L773" s="146" t="str">
        <f t="shared" si="63"/>
        <v/>
      </c>
      <c r="M773" s="148" t="str">
        <f t="shared" si="64"/>
        <v/>
      </c>
    </row>
    <row r="774" spans="1:13" x14ac:dyDescent="0.3">
      <c r="A774" s="149"/>
      <c r="B774" s="149"/>
      <c r="C774" s="149"/>
      <c r="D774" s="149"/>
      <c r="E774" s="149"/>
      <c r="F774" s="149"/>
      <c r="G774" s="162"/>
      <c r="H774" s="146" t="str">
        <f t="shared" si="60"/>
        <v/>
      </c>
      <c r="I774" s="161" t="str">
        <f t="shared" si="61"/>
        <v/>
      </c>
      <c r="J774" s="160" t="str">
        <f>IFERROR(INDEX(当年标准成本!I:I,MATCH(C774,当年标准成本!C:C,0),1),"")</f>
        <v/>
      </c>
      <c r="K774" s="146" t="str">
        <f t="shared" si="62"/>
        <v/>
      </c>
      <c r="L774" s="146" t="str">
        <f t="shared" si="63"/>
        <v/>
      </c>
      <c r="M774" s="148" t="str">
        <f t="shared" si="64"/>
        <v/>
      </c>
    </row>
    <row r="775" spans="1:13" x14ac:dyDescent="0.3">
      <c r="A775" s="149"/>
      <c r="B775" s="149"/>
      <c r="C775" s="149"/>
      <c r="D775" s="149"/>
      <c r="E775" s="149"/>
      <c r="F775" s="149"/>
      <c r="G775" s="162"/>
      <c r="H775" s="146" t="str">
        <f t="shared" si="60"/>
        <v/>
      </c>
      <c r="I775" s="161" t="str">
        <f t="shared" si="61"/>
        <v/>
      </c>
      <c r="J775" s="160" t="str">
        <f>IFERROR(INDEX(当年标准成本!I:I,MATCH(C775,当年标准成本!C:C,0),1),"")</f>
        <v/>
      </c>
      <c r="K775" s="146" t="str">
        <f t="shared" si="62"/>
        <v/>
      </c>
      <c r="L775" s="146" t="str">
        <f t="shared" si="63"/>
        <v/>
      </c>
      <c r="M775" s="148" t="str">
        <f t="shared" si="64"/>
        <v/>
      </c>
    </row>
    <row r="776" spans="1:13" x14ac:dyDescent="0.3">
      <c r="A776" s="149"/>
      <c r="B776" s="149"/>
      <c r="C776" s="149"/>
      <c r="D776" s="149"/>
      <c r="E776" s="149"/>
      <c r="F776" s="149"/>
      <c r="G776" s="162"/>
      <c r="H776" s="146" t="str">
        <f t="shared" si="60"/>
        <v/>
      </c>
      <c r="I776" s="161" t="str">
        <f t="shared" si="61"/>
        <v/>
      </c>
      <c r="J776" s="160" t="str">
        <f>IFERROR(INDEX(当年标准成本!I:I,MATCH(C776,当年标准成本!C:C,0),1),"")</f>
        <v/>
      </c>
      <c r="K776" s="146" t="str">
        <f t="shared" si="62"/>
        <v/>
      </c>
      <c r="L776" s="146" t="str">
        <f t="shared" si="63"/>
        <v/>
      </c>
      <c r="M776" s="148" t="str">
        <f t="shared" si="64"/>
        <v/>
      </c>
    </row>
    <row r="777" spans="1:13" x14ac:dyDescent="0.3">
      <c r="A777" s="149"/>
      <c r="B777" s="149"/>
      <c r="C777" s="149"/>
      <c r="D777" s="149"/>
      <c r="E777" s="149"/>
      <c r="F777" s="149"/>
      <c r="G777" s="162"/>
      <c r="H777" s="146" t="str">
        <f t="shared" si="60"/>
        <v/>
      </c>
      <c r="I777" s="161" t="str">
        <f t="shared" si="61"/>
        <v/>
      </c>
      <c r="J777" s="160" t="str">
        <f>IFERROR(INDEX(当年标准成本!I:I,MATCH(C777,当年标准成本!C:C,0),1),"")</f>
        <v/>
      </c>
      <c r="K777" s="146" t="str">
        <f t="shared" si="62"/>
        <v/>
      </c>
      <c r="L777" s="146" t="str">
        <f t="shared" si="63"/>
        <v/>
      </c>
      <c r="M777" s="148" t="str">
        <f t="shared" si="64"/>
        <v/>
      </c>
    </row>
    <row r="778" spans="1:13" x14ac:dyDescent="0.3">
      <c r="A778" s="149"/>
      <c r="B778" s="149"/>
      <c r="C778" s="149"/>
      <c r="D778" s="149"/>
      <c r="E778" s="149"/>
      <c r="F778" s="149"/>
      <c r="G778" s="162"/>
      <c r="H778" s="146" t="str">
        <f t="shared" si="60"/>
        <v/>
      </c>
      <c r="I778" s="161" t="str">
        <f t="shared" si="61"/>
        <v/>
      </c>
      <c r="J778" s="160" t="str">
        <f>IFERROR(INDEX(当年标准成本!I:I,MATCH(C778,当年标准成本!C:C,0),1),"")</f>
        <v/>
      </c>
      <c r="K778" s="146" t="str">
        <f t="shared" si="62"/>
        <v/>
      </c>
      <c r="L778" s="146" t="str">
        <f t="shared" si="63"/>
        <v/>
      </c>
      <c r="M778" s="148" t="str">
        <f t="shared" si="64"/>
        <v/>
      </c>
    </row>
    <row r="779" spans="1:13" x14ac:dyDescent="0.3">
      <c r="A779" s="149"/>
      <c r="B779" s="149"/>
      <c r="C779" s="149"/>
      <c r="D779" s="149"/>
      <c r="E779" s="149"/>
      <c r="F779" s="149"/>
      <c r="G779" s="162"/>
      <c r="H779" s="146" t="str">
        <f t="shared" si="60"/>
        <v/>
      </c>
      <c r="I779" s="161" t="str">
        <f t="shared" si="61"/>
        <v/>
      </c>
      <c r="J779" s="160" t="str">
        <f>IFERROR(INDEX(当年标准成本!I:I,MATCH(C779,当年标准成本!C:C,0),1),"")</f>
        <v/>
      </c>
      <c r="K779" s="146" t="str">
        <f t="shared" si="62"/>
        <v/>
      </c>
      <c r="L779" s="146" t="str">
        <f t="shared" si="63"/>
        <v/>
      </c>
      <c r="M779" s="148" t="str">
        <f t="shared" si="64"/>
        <v/>
      </c>
    </row>
    <row r="780" spans="1:13" x14ac:dyDescent="0.3">
      <c r="A780" s="149"/>
      <c r="B780" s="149"/>
      <c r="C780" s="149"/>
      <c r="D780" s="149"/>
      <c r="E780" s="149"/>
      <c r="F780" s="149"/>
      <c r="G780" s="162"/>
      <c r="H780" s="146" t="str">
        <f t="shared" ref="H780:H843" si="65">IFERROR(F780/E780,"")</f>
        <v/>
      </c>
      <c r="I780" s="161" t="str">
        <f t="shared" ref="I780:I843" si="66">IFERROR(H780*(1+G780),"")</f>
        <v/>
      </c>
      <c r="J780" s="160" t="str">
        <f>IFERROR(INDEX(当年标准成本!I:I,MATCH(C780,当年标准成本!C:C,0),1),"")</f>
        <v/>
      </c>
      <c r="K780" s="146" t="str">
        <f t="shared" ref="K780:K843" si="67">IFERROR(E780*J780,"")</f>
        <v/>
      </c>
      <c r="L780" s="146" t="str">
        <f t="shared" ref="L780:L843" si="68">IFERROR(F780-K780,"")</f>
        <v/>
      </c>
      <c r="M780" s="148" t="str">
        <f t="shared" ref="M780:M843" si="69">IFERROR(L780/F780,"")</f>
        <v/>
      </c>
    </row>
    <row r="781" spans="1:13" x14ac:dyDescent="0.3">
      <c r="A781" s="149"/>
      <c r="B781" s="149"/>
      <c r="C781" s="149"/>
      <c r="D781" s="149"/>
      <c r="E781" s="149"/>
      <c r="F781" s="149"/>
      <c r="G781" s="162"/>
      <c r="H781" s="146" t="str">
        <f t="shared" si="65"/>
        <v/>
      </c>
      <c r="I781" s="161" t="str">
        <f t="shared" si="66"/>
        <v/>
      </c>
      <c r="J781" s="160" t="str">
        <f>IFERROR(INDEX(当年标准成本!I:I,MATCH(C781,当年标准成本!C:C,0),1),"")</f>
        <v/>
      </c>
      <c r="K781" s="146" t="str">
        <f t="shared" si="67"/>
        <v/>
      </c>
      <c r="L781" s="146" t="str">
        <f t="shared" si="68"/>
        <v/>
      </c>
      <c r="M781" s="148" t="str">
        <f t="shared" si="69"/>
        <v/>
      </c>
    </row>
    <row r="782" spans="1:13" x14ac:dyDescent="0.3">
      <c r="A782" s="149"/>
      <c r="B782" s="149"/>
      <c r="C782" s="149"/>
      <c r="D782" s="149"/>
      <c r="E782" s="149"/>
      <c r="F782" s="149"/>
      <c r="G782" s="162"/>
      <c r="H782" s="146" t="str">
        <f t="shared" si="65"/>
        <v/>
      </c>
      <c r="I782" s="161" t="str">
        <f t="shared" si="66"/>
        <v/>
      </c>
      <c r="J782" s="160" t="str">
        <f>IFERROR(INDEX(当年标准成本!I:I,MATCH(C782,当年标准成本!C:C,0),1),"")</f>
        <v/>
      </c>
      <c r="K782" s="146" t="str">
        <f t="shared" si="67"/>
        <v/>
      </c>
      <c r="L782" s="146" t="str">
        <f t="shared" si="68"/>
        <v/>
      </c>
      <c r="M782" s="148" t="str">
        <f t="shared" si="69"/>
        <v/>
      </c>
    </row>
    <row r="783" spans="1:13" x14ac:dyDescent="0.3">
      <c r="A783" s="149"/>
      <c r="B783" s="149"/>
      <c r="C783" s="149"/>
      <c r="D783" s="149"/>
      <c r="E783" s="149"/>
      <c r="F783" s="149"/>
      <c r="G783" s="162"/>
      <c r="H783" s="146" t="str">
        <f t="shared" si="65"/>
        <v/>
      </c>
      <c r="I783" s="161" t="str">
        <f t="shared" si="66"/>
        <v/>
      </c>
      <c r="J783" s="160" t="str">
        <f>IFERROR(INDEX(当年标准成本!I:I,MATCH(C783,当年标准成本!C:C,0),1),"")</f>
        <v/>
      </c>
      <c r="K783" s="146" t="str">
        <f t="shared" si="67"/>
        <v/>
      </c>
      <c r="L783" s="146" t="str">
        <f t="shared" si="68"/>
        <v/>
      </c>
      <c r="M783" s="148" t="str">
        <f t="shared" si="69"/>
        <v/>
      </c>
    </row>
    <row r="784" spans="1:13" x14ac:dyDescent="0.3">
      <c r="A784" s="149"/>
      <c r="B784" s="149"/>
      <c r="C784" s="149"/>
      <c r="D784" s="149"/>
      <c r="E784" s="149"/>
      <c r="F784" s="149"/>
      <c r="G784" s="162"/>
      <c r="H784" s="146" t="str">
        <f t="shared" si="65"/>
        <v/>
      </c>
      <c r="I784" s="161" t="str">
        <f t="shared" si="66"/>
        <v/>
      </c>
      <c r="J784" s="160" t="str">
        <f>IFERROR(INDEX(当年标准成本!I:I,MATCH(C784,当年标准成本!C:C,0),1),"")</f>
        <v/>
      </c>
      <c r="K784" s="146" t="str">
        <f t="shared" si="67"/>
        <v/>
      </c>
      <c r="L784" s="146" t="str">
        <f t="shared" si="68"/>
        <v/>
      </c>
      <c r="M784" s="148" t="str">
        <f t="shared" si="69"/>
        <v/>
      </c>
    </row>
    <row r="785" spans="1:13" x14ac:dyDescent="0.3">
      <c r="A785" s="149"/>
      <c r="B785" s="149"/>
      <c r="C785" s="149"/>
      <c r="D785" s="149"/>
      <c r="E785" s="149"/>
      <c r="F785" s="149"/>
      <c r="G785" s="162"/>
      <c r="H785" s="146" t="str">
        <f t="shared" si="65"/>
        <v/>
      </c>
      <c r="I785" s="161" t="str">
        <f t="shared" si="66"/>
        <v/>
      </c>
      <c r="J785" s="160" t="str">
        <f>IFERROR(INDEX(当年标准成本!I:I,MATCH(C785,当年标准成本!C:C,0),1),"")</f>
        <v/>
      </c>
      <c r="K785" s="146" t="str">
        <f t="shared" si="67"/>
        <v/>
      </c>
      <c r="L785" s="146" t="str">
        <f t="shared" si="68"/>
        <v/>
      </c>
      <c r="M785" s="148" t="str">
        <f t="shared" si="69"/>
        <v/>
      </c>
    </row>
    <row r="786" spans="1:13" x14ac:dyDescent="0.3">
      <c r="A786" s="149"/>
      <c r="B786" s="149"/>
      <c r="C786" s="149"/>
      <c r="D786" s="149"/>
      <c r="E786" s="149"/>
      <c r="F786" s="149"/>
      <c r="G786" s="162"/>
      <c r="H786" s="146" t="str">
        <f t="shared" si="65"/>
        <v/>
      </c>
      <c r="I786" s="161" t="str">
        <f t="shared" si="66"/>
        <v/>
      </c>
      <c r="J786" s="160" t="str">
        <f>IFERROR(INDEX(当年标准成本!I:I,MATCH(C786,当年标准成本!C:C,0),1),"")</f>
        <v/>
      </c>
      <c r="K786" s="146" t="str">
        <f t="shared" si="67"/>
        <v/>
      </c>
      <c r="L786" s="146" t="str">
        <f t="shared" si="68"/>
        <v/>
      </c>
      <c r="M786" s="148" t="str">
        <f t="shared" si="69"/>
        <v/>
      </c>
    </row>
    <row r="787" spans="1:13" x14ac:dyDescent="0.3">
      <c r="A787" s="149"/>
      <c r="B787" s="149"/>
      <c r="C787" s="149"/>
      <c r="D787" s="149"/>
      <c r="E787" s="149"/>
      <c r="F787" s="149"/>
      <c r="G787" s="162"/>
      <c r="H787" s="146" t="str">
        <f t="shared" si="65"/>
        <v/>
      </c>
      <c r="I787" s="161" t="str">
        <f t="shared" si="66"/>
        <v/>
      </c>
      <c r="J787" s="160" t="str">
        <f>IFERROR(INDEX(当年标准成本!I:I,MATCH(C787,当年标准成本!C:C,0),1),"")</f>
        <v/>
      </c>
      <c r="K787" s="146" t="str">
        <f t="shared" si="67"/>
        <v/>
      </c>
      <c r="L787" s="146" t="str">
        <f t="shared" si="68"/>
        <v/>
      </c>
      <c r="M787" s="148" t="str">
        <f t="shared" si="69"/>
        <v/>
      </c>
    </row>
    <row r="788" spans="1:13" x14ac:dyDescent="0.3">
      <c r="A788" s="149"/>
      <c r="B788" s="149"/>
      <c r="C788" s="149"/>
      <c r="D788" s="149"/>
      <c r="E788" s="149"/>
      <c r="F788" s="149"/>
      <c r="G788" s="162"/>
      <c r="H788" s="146" t="str">
        <f t="shared" si="65"/>
        <v/>
      </c>
      <c r="I788" s="161" t="str">
        <f t="shared" si="66"/>
        <v/>
      </c>
      <c r="J788" s="160" t="str">
        <f>IFERROR(INDEX(当年标准成本!I:I,MATCH(C788,当年标准成本!C:C,0),1),"")</f>
        <v/>
      </c>
      <c r="K788" s="146" t="str">
        <f t="shared" si="67"/>
        <v/>
      </c>
      <c r="L788" s="146" t="str">
        <f t="shared" si="68"/>
        <v/>
      </c>
      <c r="M788" s="148" t="str">
        <f t="shared" si="69"/>
        <v/>
      </c>
    </row>
    <row r="789" spans="1:13" x14ac:dyDescent="0.3">
      <c r="A789" s="149"/>
      <c r="B789" s="149"/>
      <c r="C789" s="149"/>
      <c r="D789" s="149"/>
      <c r="E789" s="149"/>
      <c r="F789" s="149"/>
      <c r="G789" s="162"/>
      <c r="H789" s="146" t="str">
        <f t="shared" si="65"/>
        <v/>
      </c>
      <c r="I789" s="161" t="str">
        <f t="shared" si="66"/>
        <v/>
      </c>
      <c r="J789" s="160" t="str">
        <f>IFERROR(INDEX(当年标准成本!I:I,MATCH(C789,当年标准成本!C:C,0),1),"")</f>
        <v/>
      </c>
      <c r="K789" s="146" t="str">
        <f t="shared" si="67"/>
        <v/>
      </c>
      <c r="L789" s="146" t="str">
        <f t="shared" si="68"/>
        <v/>
      </c>
      <c r="M789" s="148" t="str">
        <f t="shared" si="69"/>
        <v/>
      </c>
    </row>
    <row r="790" spans="1:13" x14ac:dyDescent="0.3">
      <c r="A790" s="149"/>
      <c r="B790" s="149"/>
      <c r="C790" s="149"/>
      <c r="D790" s="149"/>
      <c r="E790" s="149"/>
      <c r="F790" s="149"/>
      <c r="G790" s="162"/>
      <c r="H790" s="146" t="str">
        <f t="shared" si="65"/>
        <v/>
      </c>
      <c r="I790" s="161" t="str">
        <f t="shared" si="66"/>
        <v/>
      </c>
      <c r="J790" s="160" t="str">
        <f>IFERROR(INDEX(当年标准成本!I:I,MATCH(C790,当年标准成本!C:C,0),1),"")</f>
        <v/>
      </c>
      <c r="K790" s="146" t="str">
        <f t="shared" si="67"/>
        <v/>
      </c>
      <c r="L790" s="146" t="str">
        <f t="shared" si="68"/>
        <v/>
      </c>
      <c r="M790" s="148" t="str">
        <f t="shared" si="69"/>
        <v/>
      </c>
    </row>
    <row r="791" spans="1:13" x14ac:dyDescent="0.3">
      <c r="A791" s="149"/>
      <c r="B791" s="149"/>
      <c r="C791" s="149"/>
      <c r="D791" s="149"/>
      <c r="E791" s="149"/>
      <c r="F791" s="149"/>
      <c r="G791" s="162"/>
      <c r="H791" s="146" t="str">
        <f t="shared" si="65"/>
        <v/>
      </c>
      <c r="I791" s="161" t="str">
        <f t="shared" si="66"/>
        <v/>
      </c>
      <c r="J791" s="160" t="str">
        <f>IFERROR(INDEX(当年标准成本!I:I,MATCH(C791,当年标准成本!C:C,0),1),"")</f>
        <v/>
      </c>
      <c r="K791" s="146" t="str">
        <f t="shared" si="67"/>
        <v/>
      </c>
      <c r="L791" s="146" t="str">
        <f t="shared" si="68"/>
        <v/>
      </c>
      <c r="M791" s="148" t="str">
        <f t="shared" si="69"/>
        <v/>
      </c>
    </row>
    <row r="792" spans="1:13" x14ac:dyDescent="0.3">
      <c r="A792" s="149"/>
      <c r="B792" s="149"/>
      <c r="C792" s="149"/>
      <c r="D792" s="149"/>
      <c r="E792" s="149"/>
      <c r="F792" s="149"/>
      <c r="G792" s="162"/>
      <c r="H792" s="146" t="str">
        <f t="shared" si="65"/>
        <v/>
      </c>
      <c r="I792" s="161" t="str">
        <f t="shared" si="66"/>
        <v/>
      </c>
      <c r="J792" s="160" t="str">
        <f>IFERROR(INDEX(当年标准成本!I:I,MATCH(C792,当年标准成本!C:C,0),1),"")</f>
        <v/>
      </c>
      <c r="K792" s="146" t="str">
        <f t="shared" si="67"/>
        <v/>
      </c>
      <c r="L792" s="146" t="str">
        <f t="shared" si="68"/>
        <v/>
      </c>
      <c r="M792" s="148" t="str">
        <f t="shared" si="69"/>
        <v/>
      </c>
    </row>
    <row r="793" spans="1:13" x14ac:dyDescent="0.3">
      <c r="A793" s="149"/>
      <c r="B793" s="149"/>
      <c r="C793" s="149"/>
      <c r="D793" s="149"/>
      <c r="E793" s="149"/>
      <c r="F793" s="149"/>
      <c r="G793" s="162"/>
      <c r="H793" s="146" t="str">
        <f t="shared" si="65"/>
        <v/>
      </c>
      <c r="I793" s="161" t="str">
        <f t="shared" si="66"/>
        <v/>
      </c>
      <c r="J793" s="160" t="str">
        <f>IFERROR(INDEX(当年标准成本!I:I,MATCH(C793,当年标准成本!C:C,0),1),"")</f>
        <v/>
      </c>
      <c r="K793" s="146" t="str">
        <f t="shared" si="67"/>
        <v/>
      </c>
      <c r="L793" s="146" t="str">
        <f t="shared" si="68"/>
        <v/>
      </c>
      <c r="M793" s="148" t="str">
        <f t="shared" si="69"/>
        <v/>
      </c>
    </row>
    <row r="794" spans="1:13" x14ac:dyDescent="0.3">
      <c r="A794" s="149"/>
      <c r="B794" s="149"/>
      <c r="C794" s="149"/>
      <c r="D794" s="149"/>
      <c r="E794" s="149"/>
      <c r="F794" s="149"/>
      <c r="G794" s="162"/>
      <c r="H794" s="146" t="str">
        <f t="shared" si="65"/>
        <v/>
      </c>
      <c r="I794" s="161" t="str">
        <f t="shared" si="66"/>
        <v/>
      </c>
      <c r="J794" s="160" t="str">
        <f>IFERROR(INDEX(当年标准成本!I:I,MATCH(C794,当年标准成本!C:C,0),1),"")</f>
        <v/>
      </c>
      <c r="K794" s="146" t="str">
        <f t="shared" si="67"/>
        <v/>
      </c>
      <c r="L794" s="146" t="str">
        <f t="shared" si="68"/>
        <v/>
      </c>
      <c r="M794" s="148" t="str">
        <f t="shared" si="69"/>
        <v/>
      </c>
    </row>
    <row r="795" spans="1:13" x14ac:dyDescent="0.3">
      <c r="A795" s="149"/>
      <c r="B795" s="149"/>
      <c r="C795" s="149"/>
      <c r="D795" s="149"/>
      <c r="E795" s="149"/>
      <c r="F795" s="149"/>
      <c r="G795" s="162"/>
      <c r="H795" s="146" t="str">
        <f t="shared" si="65"/>
        <v/>
      </c>
      <c r="I795" s="161" t="str">
        <f t="shared" si="66"/>
        <v/>
      </c>
      <c r="J795" s="160" t="str">
        <f>IFERROR(INDEX(当年标准成本!I:I,MATCH(C795,当年标准成本!C:C,0),1),"")</f>
        <v/>
      </c>
      <c r="K795" s="146" t="str">
        <f t="shared" si="67"/>
        <v/>
      </c>
      <c r="L795" s="146" t="str">
        <f t="shared" si="68"/>
        <v/>
      </c>
      <c r="M795" s="148" t="str">
        <f t="shared" si="69"/>
        <v/>
      </c>
    </row>
    <row r="796" spans="1:13" x14ac:dyDescent="0.3">
      <c r="A796" s="149"/>
      <c r="B796" s="149"/>
      <c r="C796" s="149"/>
      <c r="D796" s="149"/>
      <c r="E796" s="149"/>
      <c r="F796" s="149"/>
      <c r="G796" s="162"/>
      <c r="H796" s="146" t="str">
        <f t="shared" si="65"/>
        <v/>
      </c>
      <c r="I796" s="161" t="str">
        <f t="shared" si="66"/>
        <v/>
      </c>
      <c r="J796" s="160" t="str">
        <f>IFERROR(INDEX(当年标准成本!I:I,MATCH(C796,当年标准成本!C:C,0),1),"")</f>
        <v/>
      </c>
      <c r="K796" s="146" t="str">
        <f t="shared" si="67"/>
        <v/>
      </c>
      <c r="L796" s="146" t="str">
        <f t="shared" si="68"/>
        <v/>
      </c>
      <c r="M796" s="148" t="str">
        <f t="shared" si="69"/>
        <v/>
      </c>
    </row>
    <row r="797" spans="1:13" x14ac:dyDescent="0.3">
      <c r="A797" s="149"/>
      <c r="B797" s="149"/>
      <c r="C797" s="149"/>
      <c r="D797" s="149"/>
      <c r="E797" s="149"/>
      <c r="F797" s="149"/>
      <c r="G797" s="162"/>
      <c r="H797" s="146" t="str">
        <f t="shared" si="65"/>
        <v/>
      </c>
      <c r="I797" s="161" t="str">
        <f t="shared" si="66"/>
        <v/>
      </c>
      <c r="J797" s="160" t="str">
        <f>IFERROR(INDEX(当年标准成本!I:I,MATCH(C797,当年标准成本!C:C,0),1),"")</f>
        <v/>
      </c>
      <c r="K797" s="146" t="str">
        <f t="shared" si="67"/>
        <v/>
      </c>
      <c r="L797" s="146" t="str">
        <f t="shared" si="68"/>
        <v/>
      </c>
      <c r="M797" s="148" t="str">
        <f t="shared" si="69"/>
        <v/>
      </c>
    </row>
    <row r="798" spans="1:13" x14ac:dyDescent="0.3">
      <c r="A798" s="149"/>
      <c r="B798" s="149"/>
      <c r="C798" s="149"/>
      <c r="D798" s="149"/>
      <c r="E798" s="149"/>
      <c r="F798" s="149"/>
      <c r="G798" s="162"/>
      <c r="H798" s="146" t="str">
        <f t="shared" si="65"/>
        <v/>
      </c>
      <c r="I798" s="161" t="str">
        <f t="shared" si="66"/>
        <v/>
      </c>
      <c r="J798" s="160" t="str">
        <f>IFERROR(INDEX(当年标准成本!I:I,MATCH(C798,当年标准成本!C:C,0),1),"")</f>
        <v/>
      </c>
      <c r="K798" s="146" t="str">
        <f t="shared" si="67"/>
        <v/>
      </c>
      <c r="L798" s="146" t="str">
        <f t="shared" si="68"/>
        <v/>
      </c>
      <c r="M798" s="148" t="str">
        <f t="shared" si="69"/>
        <v/>
      </c>
    </row>
    <row r="799" spans="1:13" x14ac:dyDescent="0.3">
      <c r="A799" s="149"/>
      <c r="B799" s="149"/>
      <c r="C799" s="149"/>
      <c r="D799" s="149"/>
      <c r="E799" s="149"/>
      <c r="F799" s="149"/>
      <c r="G799" s="162"/>
      <c r="H799" s="146" t="str">
        <f t="shared" si="65"/>
        <v/>
      </c>
      <c r="I799" s="161" t="str">
        <f t="shared" si="66"/>
        <v/>
      </c>
      <c r="J799" s="160" t="str">
        <f>IFERROR(INDEX(当年标准成本!I:I,MATCH(C799,当年标准成本!C:C,0),1),"")</f>
        <v/>
      </c>
      <c r="K799" s="146" t="str">
        <f t="shared" si="67"/>
        <v/>
      </c>
      <c r="L799" s="146" t="str">
        <f t="shared" si="68"/>
        <v/>
      </c>
      <c r="M799" s="148" t="str">
        <f t="shared" si="69"/>
        <v/>
      </c>
    </row>
    <row r="800" spans="1:13" x14ac:dyDescent="0.3">
      <c r="A800" s="149"/>
      <c r="B800" s="149"/>
      <c r="C800" s="149"/>
      <c r="D800" s="149"/>
      <c r="E800" s="149"/>
      <c r="F800" s="149"/>
      <c r="G800" s="162"/>
      <c r="H800" s="146" t="str">
        <f t="shared" si="65"/>
        <v/>
      </c>
      <c r="I800" s="161" t="str">
        <f t="shared" si="66"/>
        <v/>
      </c>
      <c r="J800" s="160" t="str">
        <f>IFERROR(INDEX(当年标准成本!I:I,MATCH(C800,当年标准成本!C:C,0),1),"")</f>
        <v/>
      </c>
      <c r="K800" s="146" t="str">
        <f t="shared" si="67"/>
        <v/>
      </c>
      <c r="L800" s="146" t="str">
        <f t="shared" si="68"/>
        <v/>
      </c>
      <c r="M800" s="148" t="str">
        <f t="shared" si="69"/>
        <v/>
      </c>
    </row>
    <row r="801" spans="1:13" x14ac:dyDescent="0.3">
      <c r="A801" s="149"/>
      <c r="B801" s="149"/>
      <c r="C801" s="149"/>
      <c r="D801" s="149"/>
      <c r="E801" s="149"/>
      <c r="F801" s="149"/>
      <c r="G801" s="162"/>
      <c r="H801" s="146" t="str">
        <f t="shared" si="65"/>
        <v/>
      </c>
      <c r="I801" s="161" t="str">
        <f t="shared" si="66"/>
        <v/>
      </c>
      <c r="J801" s="160" t="str">
        <f>IFERROR(INDEX(当年标准成本!I:I,MATCH(C801,当年标准成本!C:C,0),1),"")</f>
        <v/>
      </c>
      <c r="K801" s="146" t="str">
        <f t="shared" si="67"/>
        <v/>
      </c>
      <c r="L801" s="146" t="str">
        <f t="shared" si="68"/>
        <v/>
      </c>
      <c r="M801" s="148" t="str">
        <f t="shared" si="69"/>
        <v/>
      </c>
    </row>
    <row r="802" spans="1:13" x14ac:dyDescent="0.3">
      <c r="A802" s="149"/>
      <c r="B802" s="149"/>
      <c r="C802" s="149"/>
      <c r="D802" s="149"/>
      <c r="E802" s="149"/>
      <c r="F802" s="149"/>
      <c r="G802" s="162"/>
      <c r="H802" s="146" t="str">
        <f t="shared" si="65"/>
        <v/>
      </c>
      <c r="I802" s="161" t="str">
        <f t="shared" si="66"/>
        <v/>
      </c>
      <c r="J802" s="160" t="str">
        <f>IFERROR(INDEX(当年标准成本!I:I,MATCH(C802,当年标准成本!C:C,0),1),"")</f>
        <v/>
      </c>
      <c r="K802" s="146" t="str">
        <f t="shared" si="67"/>
        <v/>
      </c>
      <c r="L802" s="146" t="str">
        <f t="shared" si="68"/>
        <v/>
      </c>
      <c r="M802" s="148" t="str">
        <f t="shared" si="69"/>
        <v/>
      </c>
    </row>
    <row r="803" spans="1:13" x14ac:dyDescent="0.3">
      <c r="A803" s="149"/>
      <c r="B803" s="149"/>
      <c r="C803" s="149"/>
      <c r="D803" s="149"/>
      <c r="E803" s="149"/>
      <c r="F803" s="149"/>
      <c r="G803" s="162"/>
      <c r="H803" s="146" t="str">
        <f t="shared" si="65"/>
        <v/>
      </c>
      <c r="I803" s="161" t="str">
        <f t="shared" si="66"/>
        <v/>
      </c>
      <c r="J803" s="160" t="str">
        <f>IFERROR(INDEX(当年标准成本!I:I,MATCH(C803,当年标准成本!C:C,0),1),"")</f>
        <v/>
      </c>
      <c r="K803" s="146" t="str">
        <f t="shared" si="67"/>
        <v/>
      </c>
      <c r="L803" s="146" t="str">
        <f t="shared" si="68"/>
        <v/>
      </c>
      <c r="M803" s="148" t="str">
        <f t="shared" si="69"/>
        <v/>
      </c>
    </row>
    <row r="804" spans="1:13" x14ac:dyDescent="0.3">
      <c r="A804" s="149"/>
      <c r="B804" s="149"/>
      <c r="C804" s="149"/>
      <c r="D804" s="149"/>
      <c r="E804" s="149"/>
      <c r="F804" s="149"/>
      <c r="G804" s="162"/>
      <c r="H804" s="146" t="str">
        <f t="shared" si="65"/>
        <v/>
      </c>
      <c r="I804" s="161" t="str">
        <f t="shared" si="66"/>
        <v/>
      </c>
      <c r="J804" s="160" t="str">
        <f>IFERROR(INDEX(当年标准成本!I:I,MATCH(C804,当年标准成本!C:C,0),1),"")</f>
        <v/>
      </c>
      <c r="K804" s="146" t="str">
        <f t="shared" si="67"/>
        <v/>
      </c>
      <c r="L804" s="146" t="str">
        <f t="shared" si="68"/>
        <v/>
      </c>
      <c r="M804" s="148" t="str">
        <f t="shared" si="69"/>
        <v/>
      </c>
    </row>
    <row r="805" spans="1:13" x14ac:dyDescent="0.3">
      <c r="A805" s="149"/>
      <c r="B805" s="149"/>
      <c r="C805" s="149"/>
      <c r="D805" s="149"/>
      <c r="E805" s="149"/>
      <c r="F805" s="149"/>
      <c r="G805" s="162"/>
      <c r="H805" s="146" t="str">
        <f t="shared" si="65"/>
        <v/>
      </c>
      <c r="I805" s="161" t="str">
        <f t="shared" si="66"/>
        <v/>
      </c>
      <c r="J805" s="160" t="str">
        <f>IFERROR(INDEX(当年标准成本!I:I,MATCH(C805,当年标准成本!C:C,0),1),"")</f>
        <v/>
      </c>
      <c r="K805" s="146" t="str">
        <f t="shared" si="67"/>
        <v/>
      </c>
      <c r="L805" s="146" t="str">
        <f t="shared" si="68"/>
        <v/>
      </c>
      <c r="M805" s="148" t="str">
        <f t="shared" si="69"/>
        <v/>
      </c>
    </row>
    <row r="806" spans="1:13" x14ac:dyDescent="0.3">
      <c r="A806" s="149"/>
      <c r="B806" s="149"/>
      <c r="C806" s="149"/>
      <c r="D806" s="149"/>
      <c r="E806" s="149"/>
      <c r="F806" s="149"/>
      <c r="G806" s="162"/>
      <c r="H806" s="146" t="str">
        <f t="shared" si="65"/>
        <v/>
      </c>
      <c r="I806" s="161" t="str">
        <f t="shared" si="66"/>
        <v/>
      </c>
      <c r="J806" s="160" t="str">
        <f>IFERROR(INDEX(当年标准成本!I:I,MATCH(C806,当年标准成本!C:C,0),1),"")</f>
        <v/>
      </c>
      <c r="K806" s="146" t="str">
        <f t="shared" si="67"/>
        <v/>
      </c>
      <c r="L806" s="146" t="str">
        <f t="shared" si="68"/>
        <v/>
      </c>
      <c r="M806" s="148" t="str">
        <f t="shared" si="69"/>
        <v/>
      </c>
    </row>
    <row r="807" spans="1:13" x14ac:dyDescent="0.3">
      <c r="A807" s="149"/>
      <c r="B807" s="149"/>
      <c r="C807" s="149"/>
      <c r="D807" s="149"/>
      <c r="E807" s="149"/>
      <c r="F807" s="149"/>
      <c r="G807" s="162"/>
      <c r="H807" s="146" t="str">
        <f t="shared" si="65"/>
        <v/>
      </c>
      <c r="I807" s="161" t="str">
        <f t="shared" si="66"/>
        <v/>
      </c>
      <c r="J807" s="160" t="str">
        <f>IFERROR(INDEX(当年标准成本!I:I,MATCH(C807,当年标准成本!C:C,0),1),"")</f>
        <v/>
      </c>
      <c r="K807" s="146" t="str">
        <f t="shared" si="67"/>
        <v/>
      </c>
      <c r="L807" s="146" t="str">
        <f t="shared" si="68"/>
        <v/>
      </c>
      <c r="M807" s="148" t="str">
        <f t="shared" si="69"/>
        <v/>
      </c>
    </row>
    <row r="808" spans="1:13" x14ac:dyDescent="0.3">
      <c r="A808" s="149"/>
      <c r="B808" s="149"/>
      <c r="C808" s="149"/>
      <c r="D808" s="149"/>
      <c r="E808" s="149"/>
      <c r="F808" s="149"/>
      <c r="G808" s="162"/>
      <c r="H808" s="146" t="str">
        <f t="shared" si="65"/>
        <v/>
      </c>
      <c r="I808" s="161" t="str">
        <f t="shared" si="66"/>
        <v/>
      </c>
      <c r="J808" s="160" t="str">
        <f>IFERROR(INDEX(当年标准成本!I:I,MATCH(C808,当年标准成本!C:C,0),1),"")</f>
        <v/>
      </c>
      <c r="K808" s="146" t="str">
        <f t="shared" si="67"/>
        <v/>
      </c>
      <c r="L808" s="146" t="str">
        <f t="shared" si="68"/>
        <v/>
      </c>
      <c r="M808" s="148" t="str">
        <f t="shared" si="69"/>
        <v/>
      </c>
    </row>
    <row r="809" spans="1:13" x14ac:dyDescent="0.3">
      <c r="A809" s="149"/>
      <c r="B809" s="149"/>
      <c r="C809" s="149"/>
      <c r="D809" s="149"/>
      <c r="E809" s="149"/>
      <c r="F809" s="149"/>
      <c r="G809" s="162"/>
      <c r="H809" s="146" t="str">
        <f t="shared" si="65"/>
        <v/>
      </c>
      <c r="I809" s="161" t="str">
        <f t="shared" si="66"/>
        <v/>
      </c>
      <c r="J809" s="160" t="str">
        <f>IFERROR(INDEX(当年标准成本!I:I,MATCH(C809,当年标准成本!C:C,0),1),"")</f>
        <v/>
      </c>
      <c r="K809" s="146" t="str">
        <f t="shared" si="67"/>
        <v/>
      </c>
      <c r="L809" s="146" t="str">
        <f t="shared" si="68"/>
        <v/>
      </c>
      <c r="M809" s="148" t="str">
        <f t="shared" si="69"/>
        <v/>
      </c>
    </row>
    <row r="810" spans="1:13" x14ac:dyDescent="0.3">
      <c r="A810" s="149"/>
      <c r="B810" s="149"/>
      <c r="C810" s="149"/>
      <c r="D810" s="149"/>
      <c r="E810" s="149"/>
      <c r="F810" s="149"/>
      <c r="G810" s="162"/>
      <c r="H810" s="146" t="str">
        <f t="shared" si="65"/>
        <v/>
      </c>
      <c r="I810" s="161" t="str">
        <f t="shared" si="66"/>
        <v/>
      </c>
      <c r="J810" s="160" t="str">
        <f>IFERROR(INDEX(当年标准成本!I:I,MATCH(C810,当年标准成本!C:C,0),1),"")</f>
        <v/>
      </c>
      <c r="K810" s="146" t="str">
        <f t="shared" si="67"/>
        <v/>
      </c>
      <c r="L810" s="146" t="str">
        <f t="shared" si="68"/>
        <v/>
      </c>
      <c r="M810" s="148" t="str">
        <f t="shared" si="69"/>
        <v/>
      </c>
    </row>
    <row r="811" spans="1:13" x14ac:dyDescent="0.3">
      <c r="A811" s="149"/>
      <c r="B811" s="149"/>
      <c r="C811" s="149"/>
      <c r="D811" s="149"/>
      <c r="E811" s="149"/>
      <c r="F811" s="149"/>
      <c r="G811" s="162"/>
      <c r="H811" s="146" t="str">
        <f t="shared" si="65"/>
        <v/>
      </c>
      <c r="I811" s="161" t="str">
        <f t="shared" si="66"/>
        <v/>
      </c>
      <c r="J811" s="160" t="str">
        <f>IFERROR(INDEX(当年标准成本!I:I,MATCH(C811,当年标准成本!C:C,0),1),"")</f>
        <v/>
      </c>
      <c r="K811" s="146" t="str">
        <f t="shared" si="67"/>
        <v/>
      </c>
      <c r="L811" s="146" t="str">
        <f t="shared" si="68"/>
        <v/>
      </c>
      <c r="M811" s="148" t="str">
        <f t="shared" si="69"/>
        <v/>
      </c>
    </row>
    <row r="812" spans="1:13" x14ac:dyDescent="0.3">
      <c r="A812" s="149"/>
      <c r="B812" s="149"/>
      <c r="C812" s="149"/>
      <c r="D812" s="149"/>
      <c r="E812" s="149"/>
      <c r="F812" s="149"/>
      <c r="G812" s="162"/>
      <c r="H812" s="146" t="str">
        <f t="shared" si="65"/>
        <v/>
      </c>
      <c r="I812" s="161" t="str">
        <f t="shared" si="66"/>
        <v/>
      </c>
      <c r="J812" s="160" t="str">
        <f>IFERROR(INDEX(当年标准成本!I:I,MATCH(C812,当年标准成本!C:C,0),1),"")</f>
        <v/>
      </c>
      <c r="K812" s="146" t="str">
        <f t="shared" si="67"/>
        <v/>
      </c>
      <c r="L812" s="146" t="str">
        <f t="shared" si="68"/>
        <v/>
      </c>
      <c r="M812" s="148" t="str">
        <f t="shared" si="69"/>
        <v/>
      </c>
    </row>
    <row r="813" spans="1:13" x14ac:dyDescent="0.3">
      <c r="A813" s="149"/>
      <c r="B813" s="149"/>
      <c r="C813" s="149"/>
      <c r="D813" s="149"/>
      <c r="E813" s="149"/>
      <c r="F813" s="149"/>
      <c r="G813" s="162"/>
      <c r="H813" s="146" t="str">
        <f t="shared" si="65"/>
        <v/>
      </c>
      <c r="I813" s="161" t="str">
        <f t="shared" si="66"/>
        <v/>
      </c>
      <c r="J813" s="160" t="str">
        <f>IFERROR(INDEX(当年标准成本!I:I,MATCH(C813,当年标准成本!C:C,0),1),"")</f>
        <v/>
      </c>
      <c r="K813" s="146" t="str">
        <f t="shared" si="67"/>
        <v/>
      </c>
      <c r="L813" s="146" t="str">
        <f t="shared" si="68"/>
        <v/>
      </c>
      <c r="M813" s="148" t="str">
        <f t="shared" si="69"/>
        <v/>
      </c>
    </row>
    <row r="814" spans="1:13" x14ac:dyDescent="0.3">
      <c r="A814" s="149"/>
      <c r="B814" s="149"/>
      <c r="C814" s="149"/>
      <c r="D814" s="149"/>
      <c r="E814" s="149"/>
      <c r="F814" s="149"/>
      <c r="G814" s="162"/>
      <c r="H814" s="146" t="str">
        <f t="shared" si="65"/>
        <v/>
      </c>
      <c r="I814" s="161" t="str">
        <f t="shared" si="66"/>
        <v/>
      </c>
      <c r="J814" s="160" t="str">
        <f>IFERROR(INDEX(当年标准成本!I:I,MATCH(C814,当年标准成本!C:C,0),1),"")</f>
        <v/>
      </c>
      <c r="K814" s="146" t="str">
        <f t="shared" si="67"/>
        <v/>
      </c>
      <c r="L814" s="146" t="str">
        <f t="shared" si="68"/>
        <v/>
      </c>
      <c r="M814" s="148" t="str">
        <f t="shared" si="69"/>
        <v/>
      </c>
    </row>
    <row r="815" spans="1:13" x14ac:dyDescent="0.3">
      <c r="A815" s="149"/>
      <c r="B815" s="149"/>
      <c r="C815" s="149"/>
      <c r="D815" s="149"/>
      <c r="E815" s="149"/>
      <c r="F815" s="149"/>
      <c r="G815" s="162"/>
      <c r="H815" s="146" t="str">
        <f t="shared" si="65"/>
        <v/>
      </c>
      <c r="I815" s="161" t="str">
        <f t="shared" si="66"/>
        <v/>
      </c>
      <c r="J815" s="160" t="str">
        <f>IFERROR(INDEX(当年标准成本!I:I,MATCH(C815,当年标准成本!C:C,0),1),"")</f>
        <v/>
      </c>
      <c r="K815" s="146" t="str">
        <f t="shared" si="67"/>
        <v/>
      </c>
      <c r="L815" s="146" t="str">
        <f t="shared" si="68"/>
        <v/>
      </c>
      <c r="M815" s="148" t="str">
        <f t="shared" si="69"/>
        <v/>
      </c>
    </row>
    <row r="816" spans="1:13" x14ac:dyDescent="0.3">
      <c r="A816" s="149"/>
      <c r="B816" s="149"/>
      <c r="C816" s="149"/>
      <c r="D816" s="149"/>
      <c r="E816" s="149"/>
      <c r="F816" s="149"/>
      <c r="G816" s="162"/>
      <c r="H816" s="146" t="str">
        <f t="shared" si="65"/>
        <v/>
      </c>
      <c r="I816" s="161" t="str">
        <f t="shared" si="66"/>
        <v/>
      </c>
      <c r="J816" s="160" t="str">
        <f>IFERROR(INDEX(当年标准成本!I:I,MATCH(C816,当年标准成本!C:C,0),1),"")</f>
        <v/>
      </c>
      <c r="K816" s="146" t="str">
        <f t="shared" si="67"/>
        <v/>
      </c>
      <c r="L816" s="146" t="str">
        <f t="shared" si="68"/>
        <v/>
      </c>
      <c r="M816" s="148" t="str">
        <f t="shared" si="69"/>
        <v/>
      </c>
    </row>
    <row r="817" spans="1:13" x14ac:dyDescent="0.3">
      <c r="A817" s="149"/>
      <c r="B817" s="149"/>
      <c r="C817" s="149"/>
      <c r="D817" s="149"/>
      <c r="E817" s="149"/>
      <c r="F817" s="149"/>
      <c r="G817" s="162"/>
      <c r="H817" s="146" t="str">
        <f t="shared" si="65"/>
        <v/>
      </c>
      <c r="I817" s="161" t="str">
        <f t="shared" si="66"/>
        <v/>
      </c>
      <c r="J817" s="160" t="str">
        <f>IFERROR(INDEX(当年标准成本!I:I,MATCH(C817,当年标准成本!C:C,0),1),"")</f>
        <v/>
      </c>
      <c r="K817" s="146" t="str">
        <f t="shared" si="67"/>
        <v/>
      </c>
      <c r="L817" s="146" t="str">
        <f t="shared" si="68"/>
        <v/>
      </c>
      <c r="M817" s="148" t="str">
        <f t="shared" si="69"/>
        <v/>
      </c>
    </row>
    <row r="818" spans="1:13" x14ac:dyDescent="0.3">
      <c r="A818" s="149"/>
      <c r="B818" s="149"/>
      <c r="C818" s="149"/>
      <c r="D818" s="149"/>
      <c r="E818" s="149"/>
      <c r="F818" s="149"/>
      <c r="G818" s="162"/>
      <c r="H818" s="146" t="str">
        <f t="shared" si="65"/>
        <v/>
      </c>
      <c r="I818" s="161" t="str">
        <f t="shared" si="66"/>
        <v/>
      </c>
      <c r="J818" s="160" t="str">
        <f>IFERROR(INDEX(当年标准成本!I:I,MATCH(C818,当年标准成本!C:C,0),1),"")</f>
        <v/>
      </c>
      <c r="K818" s="146" t="str">
        <f t="shared" si="67"/>
        <v/>
      </c>
      <c r="L818" s="146" t="str">
        <f t="shared" si="68"/>
        <v/>
      </c>
      <c r="M818" s="148" t="str">
        <f t="shared" si="69"/>
        <v/>
      </c>
    </row>
    <row r="819" spans="1:13" x14ac:dyDescent="0.3">
      <c r="A819" s="149"/>
      <c r="B819" s="149"/>
      <c r="C819" s="149"/>
      <c r="D819" s="149"/>
      <c r="E819" s="149"/>
      <c r="F819" s="149"/>
      <c r="G819" s="162"/>
      <c r="H819" s="146" t="str">
        <f t="shared" si="65"/>
        <v/>
      </c>
      <c r="I819" s="161" t="str">
        <f t="shared" si="66"/>
        <v/>
      </c>
      <c r="J819" s="160" t="str">
        <f>IFERROR(INDEX(当年标准成本!I:I,MATCH(C819,当年标准成本!C:C,0),1),"")</f>
        <v/>
      </c>
      <c r="K819" s="146" t="str">
        <f t="shared" si="67"/>
        <v/>
      </c>
      <c r="L819" s="146" t="str">
        <f t="shared" si="68"/>
        <v/>
      </c>
      <c r="M819" s="148" t="str">
        <f t="shared" si="69"/>
        <v/>
      </c>
    </row>
    <row r="820" spans="1:13" x14ac:dyDescent="0.3">
      <c r="A820" s="149"/>
      <c r="B820" s="149"/>
      <c r="C820" s="149"/>
      <c r="D820" s="149"/>
      <c r="E820" s="149"/>
      <c r="F820" s="149"/>
      <c r="G820" s="162"/>
      <c r="H820" s="146" t="str">
        <f t="shared" si="65"/>
        <v/>
      </c>
      <c r="I820" s="161" t="str">
        <f t="shared" si="66"/>
        <v/>
      </c>
      <c r="J820" s="160" t="str">
        <f>IFERROR(INDEX(当年标准成本!I:I,MATCH(C820,当年标准成本!C:C,0),1),"")</f>
        <v/>
      </c>
      <c r="K820" s="146" t="str">
        <f t="shared" si="67"/>
        <v/>
      </c>
      <c r="L820" s="146" t="str">
        <f t="shared" si="68"/>
        <v/>
      </c>
      <c r="M820" s="148" t="str">
        <f t="shared" si="69"/>
        <v/>
      </c>
    </row>
    <row r="821" spans="1:13" x14ac:dyDescent="0.3">
      <c r="A821" s="149"/>
      <c r="B821" s="149"/>
      <c r="C821" s="149"/>
      <c r="D821" s="149"/>
      <c r="E821" s="149"/>
      <c r="F821" s="149"/>
      <c r="G821" s="162"/>
      <c r="H821" s="146" t="str">
        <f t="shared" si="65"/>
        <v/>
      </c>
      <c r="I821" s="161" t="str">
        <f t="shared" si="66"/>
        <v/>
      </c>
      <c r="J821" s="160" t="str">
        <f>IFERROR(INDEX(当年标准成本!I:I,MATCH(C821,当年标准成本!C:C,0),1),"")</f>
        <v/>
      </c>
      <c r="K821" s="146" t="str">
        <f t="shared" si="67"/>
        <v/>
      </c>
      <c r="L821" s="146" t="str">
        <f t="shared" si="68"/>
        <v/>
      </c>
      <c r="M821" s="148" t="str">
        <f t="shared" si="69"/>
        <v/>
      </c>
    </row>
    <row r="822" spans="1:13" x14ac:dyDescent="0.3">
      <c r="A822" s="149"/>
      <c r="B822" s="149"/>
      <c r="C822" s="149"/>
      <c r="D822" s="149"/>
      <c r="E822" s="149"/>
      <c r="F822" s="149"/>
      <c r="G822" s="162"/>
      <c r="H822" s="146" t="str">
        <f t="shared" si="65"/>
        <v/>
      </c>
      <c r="I822" s="161" t="str">
        <f t="shared" si="66"/>
        <v/>
      </c>
      <c r="J822" s="160" t="str">
        <f>IFERROR(INDEX(当年标准成本!I:I,MATCH(C822,当年标准成本!C:C,0),1),"")</f>
        <v/>
      </c>
      <c r="K822" s="146" t="str">
        <f t="shared" si="67"/>
        <v/>
      </c>
      <c r="L822" s="146" t="str">
        <f t="shared" si="68"/>
        <v/>
      </c>
      <c r="M822" s="148" t="str">
        <f t="shared" si="69"/>
        <v/>
      </c>
    </row>
    <row r="823" spans="1:13" x14ac:dyDescent="0.3">
      <c r="A823" s="149"/>
      <c r="B823" s="149"/>
      <c r="C823" s="149"/>
      <c r="D823" s="149"/>
      <c r="E823" s="149"/>
      <c r="F823" s="149"/>
      <c r="G823" s="162"/>
      <c r="H823" s="146" t="str">
        <f t="shared" si="65"/>
        <v/>
      </c>
      <c r="I823" s="161" t="str">
        <f t="shared" si="66"/>
        <v/>
      </c>
      <c r="J823" s="160" t="str">
        <f>IFERROR(INDEX(当年标准成本!I:I,MATCH(C823,当年标准成本!C:C,0),1),"")</f>
        <v/>
      </c>
      <c r="K823" s="146" t="str">
        <f t="shared" si="67"/>
        <v/>
      </c>
      <c r="L823" s="146" t="str">
        <f t="shared" si="68"/>
        <v/>
      </c>
      <c r="M823" s="148" t="str">
        <f t="shared" si="69"/>
        <v/>
      </c>
    </row>
    <row r="824" spans="1:13" x14ac:dyDescent="0.3">
      <c r="A824" s="149"/>
      <c r="B824" s="149"/>
      <c r="C824" s="149"/>
      <c r="D824" s="149"/>
      <c r="E824" s="149"/>
      <c r="F824" s="149"/>
      <c r="G824" s="162"/>
      <c r="H824" s="146" t="str">
        <f t="shared" si="65"/>
        <v/>
      </c>
      <c r="I824" s="161" t="str">
        <f t="shared" si="66"/>
        <v/>
      </c>
      <c r="J824" s="160" t="str">
        <f>IFERROR(INDEX(当年标准成本!I:I,MATCH(C824,当年标准成本!C:C,0),1),"")</f>
        <v/>
      </c>
      <c r="K824" s="146" t="str">
        <f t="shared" si="67"/>
        <v/>
      </c>
      <c r="L824" s="146" t="str">
        <f t="shared" si="68"/>
        <v/>
      </c>
      <c r="M824" s="148" t="str">
        <f t="shared" si="69"/>
        <v/>
      </c>
    </row>
    <row r="825" spans="1:13" x14ac:dyDescent="0.3">
      <c r="A825" s="149"/>
      <c r="B825" s="149"/>
      <c r="C825" s="149"/>
      <c r="D825" s="149"/>
      <c r="E825" s="149"/>
      <c r="F825" s="149"/>
      <c r="G825" s="162"/>
      <c r="H825" s="146" t="str">
        <f t="shared" si="65"/>
        <v/>
      </c>
      <c r="I825" s="161" t="str">
        <f t="shared" si="66"/>
        <v/>
      </c>
      <c r="J825" s="160" t="str">
        <f>IFERROR(INDEX(当年标准成本!I:I,MATCH(C825,当年标准成本!C:C,0),1),"")</f>
        <v/>
      </c>
      <c r="K825" s="146" t="str">
        <f t="shared" si="67"/>
        <v/>
      </c>
      <c r="L825" s="146" t="str">
        <f t="shared" si="68"/>
        <v/>
      </c>
      <c r="M825" s="148" t="str">
        <f t="shared" si="69"/>
        <v/>
      </c>
    </row>
    <row r="826" spans="1:13" x14ac:dyDescent="0.3">
      <c r="A826" s="149"/>
      <c r="B826" s="149"/>
      <c r="C826" s="149"/>
      <c r="D826" s="149"/>
      <c r="E826" s="149"/>
      <c r="F826" s="149"/>
      <c r="G826" s="162"/>
      <c r="H826" s="146" t="str">
        <f t="shared" si="65"/>
        <v/>
      </c>
      <c r="I826" s="161" t="str">
        <f t="shared" si="66"/>
        <v/>
      </c>
      <c r="J826" s="160" t="str">
        <f>IFERROR(INDEX(当年标准成本!I:I,MATCH(C826,当年标准成本!C:C,0),1),"")</f>
        <v/>
      </c>
      <c r="K826" s="146" t="str">
        <f t="shared" si="67"/>
        <v/>
      </c>
      <c r="L826" s="146" t="str">
        <f t="shared" si="68"/>
        <v/>
      </c>
      <c r="M826" s="148" t="str">
        <f t="shared" si="69"/>
        <v/>
      </c>
    </row>
    <row r="827" spans="1:13" x14ac:dyDescent="0.3">
      <c r="A827" s="149"/>
      <c r="B827" s="149"/>
      <c r="C827" s="149"/>
      <c r="D827" s="149"/>
      <c r="E827" s="149"/>
      <c r="F827" s="149"/>
      <c r="G827" s="162"/>
      <c r="H827" s="146" t="str">
        <f t="shared" si="65"/>
        <v/>
      </c>
      <c r="I827" s="161" t="str">
        <f t="shared" si="66"/>
        <v/>
      </c>
      <c r="J827" s="160" t="str">
        <f>IFERROR(INDEX(当年标准成本!I:I,MATCH(C827,当年标准成本!C:C,0),1),"")</f>
        <v/>
      </c>
      <c r="K827" s="146" t="str">
        <f t="shared" si="67"/>
        <v/>
      </c>
      <c r="L827" s="146" t="str">
        <f t="shared" si="68"/>
        <v/>
      </c>
      <c r="M827" s="148" t="str">
        <f t="shared" si="69"/>
        <v/>
      </c>
    </row>
    <row r="828" spans="1:13" x14ac:dyDescent="0.3">
      <c r="A828" s="149"/>
      <c r="B828" s="149"/>
      <c r="C828" s="149"/>
      <c r="D828" s="149"/>
      <c r="E828" s="149"/>
      <c r="F828" s="149"/>
      <c r="G828" s="162"/>
      <c r="H828" s="146" t="str">
        <f t="shared" si="65"/>
        <v/>
      </c>
      <c r="I828" s="161" t="str">
        <f t="shared" si="66"/>
        <v/>
      </c>
      <c r="J828" s="160" t="str">
        <f>IFERROR(INDEX(当年标准成本!I:I,MATCH(C828,当年标准成本!C:C,0),1),"")</f>
        <v/>
      </c>
      <c r="K828" s="146" t="str">
        <f t="shared" si="67"/>
        <v/>
      </c>
      <c r="L828" s="146" t="str">
        <f t="shared" si="68"/>
        <v/>
      </c>
      <c r="M828" s="148" t="str">
        <f t="shared" si="69"/>
        <v/>
      </c>
    </row>
    <row r="829" spans="1:13" x14ac:dyDescent="0.3">
      <c r="A829" s="149"/>
      <c r="B829" s="149"/>
      <c r="C829" s="149"/>
      <c r="D829" s="149"/>
      <c r="E829" s="149"/>
      <c r="F829" s="149"/>
      <c r="G829" s="162"/>
      <c r="H829" s="146" t="str">
        <f t="shared" si="65"/>
        <v/>
      </c>
      <c r="I829" s="161" t="str">
        <f t="shared" si="66"/>
        <v/>
      </c>
      <c r="J829" s="160" t="str">
        <f>IFERROR(INDEX(当年标准成本!I:I,MATCH(C829,当年标准成本!C:C,0),1),"")</f>
        <v/>
      </c>
      <c r="K829" s="146" t="str">
        <f t="shared" si="67"/>
        <v/>
      </c>
      <c r="L829" s="146" t="str">
        <f t="shared" si="68"/>
        <v/>
      </c>
      <c r="M829" s="148" t="str">
        <f t="shared" si="69"/>
        <v/>
      </c>
    </row>
    <row r="830" spans="1:13" x14ac:dyDescent="0.3">
      <c r="A830" s="149"/>
      <c r="B830" s="149"/>
      <c r="C830" s="149"/>
      <c r="D830" s="149"/>
      <c r="E830" s="149"/>
      <c r="F830" s="149"/>
      <c r="G830" s="162"/>
      <c r="H830" s="146" t="str">
        <f t="shared" si="65"/>
        <v/>
      </c>
      <c r="I830" s="161" t="str">
        <f t="shared" si="66"/>
        <v/>
      </c>
      <c r="J830" s="160" t="str">
        <f>IFERROR(INDEX(当年标准成本!I:I,MATCH(C830,当年标准成本!C:C,0),1),"")</f>
        <v/>
      </c>
      <c r="K830" s="146" t="str">
        <f t="shared" si="67"/>
        <v/>
      </c>
      <c r="L830" s="146" t="str">
        <f t="shared" si="68"/>
        <v/>
      </c>
      <c r="M830" s="148" t="str">
        <f t="shared" si="69"/>
        <v/>
      </c>
    </row>
    <row r="831" spans="1:13" x14ac:dyDescent="0.3">
      <c r="A831" s="149"/>
      <c r="B831" s="149"/>
      <c r="C831" s="149"/>
      <c r="D831" s="149"/>
      <c r="E831" s="149"/>
      <c r="F831" s="149"/>
      <c r="G831" s="162"/>
      <c r="H831" s="146" t="str">
        <f t="shared" si="65"/>
        <v/>
      </c>
      <c r="I831" s="161" t="str">
        <f t="shared" si="66"/>
        <v/>
      </c>
      <c r="J831" s="160" t="str">
        <f>IFERROR(INDEX(当年标准成本!I:I,MATCH(C831,当年标准成本!C:C,0),1),"")</f>
        <v/>
      </c>
      <c r="K831" s="146" t="str">
        <f t="shared" si="67"/>
        <v/>
      </c>
      <c r="L831" s="146" t="str">
        <f t="shared" si="68"/>
        <v/>
      </c>
      <c r="M831" s="148" t="str">
        <f t="shared" si="69"/>
        <v/>
      </c>
    </row>
    <row r="832" spans="1:13" x14ac:dyDescent="0.3">
      <c r="A832" s="149"/>
      <c r="B832" s="149"/>
      <c r="C832" s="149"/>
      <c r="D832" s="149"/>
      <c r="E832" s="149"/>
      <c r="F832" s="149"/>
      <c r="G832" s="162"/>
      <c r="H832" s="146" t="str">
        <f t="shared" si="65"/>
        <v/>
      </c>
      <c r="I832" s="161" t="str">
        <f t="shared" si="66"/>
        <v/>
      </c>
      <c r="J832" s="160" t="str">
        <f>IFERROR(INDEX(当年标准成本!I:I,MATCH(C832,当年标准成本!C:C,0),1),"")</f>
        <v/>
      </c>
      <c r="K832" s="146" t="str">
        <f t="shared" si="67"/>
        <v/>
      </c>
      <c r="L832" s="146" t="str">
        <f t="shared" si="68"/>
        <v/>
      </c>
      <c r="M832" s="148" t="str">
        <f t="shared" si="69"/>
        <v/>
      </c>
    </row>
    <row r="833" spans="1:13" x14ac:dyDescent="0.3">
      <c r="A833" s="149"/>
      <c r="B833" s="149"/>
      <c r="C833" s="149"/>
      <c r="D833" s="149"/>
      <c r="E833" s="149"/>
      <c r="F833" s="149"/>
      <c r="G833" s="162"/>
      <c r="H833" s="146" t="str">
        <f t="shared" si="65"/>
        <v/>
      </c>
      <c r="I833" s="161" t="str">
        <f t="shared" si="66"/>
        <v/>
      </c>
      <c r="J833" s="160" t="str">
        <f>IFERROR(INDEX(当年标准成本!I:I,MATCH(C833,当年标准成本!C:C,0),1),"")</f>
        <v/>
      </c>
      <c r="K833" s="146" t="str">
        <f t="shared" si="67"/>
        <v/>
      </c>
      <c r="L833" s="146" t="str">
        <f t="shared" si="68"/>
        <v/>
      </c>
      <c r="M833" s="148" t="str">
        <f t="shared" si="69"/>
        <v/>
      </c>
    </row>
    <row r="834" spans="1:13" x14ac:dyDescent="0.3">
      <c r="A834" s="149"/>
      <c r="B834" s="149"/>
      <c r="C834" s="149"/>
      <c r="D834" s="149"/>
      <c r="E834" s="149"/>
      <c r="F834" s="149"/>
      <c r="G834" s="162"/>
      <c r="H834" s="146" t="str">
        <f t="shared" si="65"/>
        <v/>
      </c>
      <c r="I834" s="161" t="str">
        <f t="shared" si="66"/>
        <v/>
      </c>
      <c r="J834" s="160" t="str">
        <f>IFERROR(INDEX(当年标准成本!I:I,MATCH(C834,当年标准成本!C:C,0),1),"")</f>
        <v/>
      </c>
      <c r="K834" s="146" t="str">
        <f t="shared" si="67"/>
        <v/>
      </c>
      <c r="L834" s="146" t="str">
        <f t="shared" si="68"/>
        <v/>
      </c>
      <c r="M834" s="148" t="str">
        <f t="shared" si="69"/>
        <v/>
      </c>
    </row>
    <row r="835" spans="1:13" x14ac:dyDescent="0.3">
      <c r="A835" s="149"/>
      <c r="B835" s="149"/>
      <c r="C835" s="149"/>
      <c r="D835" s="149"/>
      <c r="E835" s="149"/>
      <c r="F835" s="149"/>
      <c r="G835" s="162"/>
      <c r="H835" s="146" t="str">
        <f t="shared" si="65"/>
        <v/>
      </c>
      <c r="I835" s="161" t="str">
        <f t="shared" si="66"/>
        <v/>
      </c>
      <c r="J835" s="160" t="str">
        <f>IFERROR(INDEX(当年标准成本!I:I,MATCH(C835,当年标准成本!C:C,0),1),"")</f>
        <v/>
      </c>
      <c r="K835" s="146" t="str">
        <f t="shared" si="67"/>
        <v/>
      </c>
      <c r="L835" s="146" t="str">
        <f t="shared" si="68"/>
        <v/>
      </c>
      <c r="M835" s="148" t="str">
        <f t="shared" si="69"/>
        <v/>
      </c>
    </row>
    <row r="836" spans="1:13" x14ac:dyDescent="0.3">
      <c r="A836" s="149"/>
      <c r="B836" s="149"/>
      <c r="C836" s="149"/>
      <c r="D836" s="149"/>
      <c r="E836" s="149"/>
      <c r="F836" s="149"/>
      <c r="G836" s="162"/>
      <c r="H836" s="146" t="str">
        <f t="shared" si="65"/>
        <v/>
      </c>
      <c r="I836" s="161" t="str">
        <f t="shared" si="66"/>
        <v/>
      </c>
      <c r="J836" s="160" t="str">
        <f>IFERROR(INDEX(当年标准成本!I:I,MATCH(C836,当年标准成本!C:C,0),1),"")</f>
        <v/>
      </c>
      <c r="K836" s="146" t="str">
        <f t="shared" si="67"/>
        <v/>
      </c>
      <c r="L836" s="146" t="str">
        <f t="shared" si="68"/>
        <v/>
      </c>
      <c r="M836" s="148" t="str">
        <f t="shared" si="69"/>
        <v/>
      </c>
    </row>
    <row r="837" spans="1:13" x14ac:dyDescent="0.3">
      <c r="A837" s="149"/>
      <c r="B837" s="149"/>
      <c r="C837" s="149"/>
      <c r="D837" s="149"/>
      <c r="E837" s="149"/>
      <c r="F837" s="149"/>
      <c r="G837" s="162"/>
      <c r="H837" s="146" t="str">
        <f t="shared" si="65"/>
        <v/>
      </c>
      <c r="I837" s="161" t="str">
        <f t="shared" si="66"/>
        <v/>
      </c>
      <c r="J837" s="160" t="str">
        <f>IFERROR(INDEX(当年标准成本!I:I,MATCH(C837,当年标准成本!C:C,0),1),"")</f>
        <v/>
      </c>
      <c r="K837" s="146" t="str">
        <f t="shared" si="67"/>
        <v/>
      </c>
      <c r="L837" s="146" t="str">
        <f t="shared" si="68"/>
        <v/>
      </c>
      <c r="M837" s="148" t="str">
        <f t="shared" si="69"/>
        <v/>
      </c>
    </row>
    <row r="838" spans="1:13" x14ac:dyDescent="0.3">
      <c r="A838" s="149"/>
      <c r="B838" s="149"/>
      <c r="C838" s="149"/>
      <c r="D838" s="149"/>
      <c r="E838" s="149"/>
      <c r="F838" s="149"/>
      <c r="G838" s="162"/>
      <c r="H838" s="146" t="str">
        <f t="shared" si="65"/>
        <v/>
      </c>
      <c r="I838" s="161" t="str">
        <f t="shared" si="66"/>
        <v/>
      </c>
      <c r="J838" s="160" t="str">
        <f>IFERROR(INDEX(当年标准成本!I:I,MATCH(C838,当年标准成本!C:C,0),1),"")</f>
        <v/>
      </c>
      <c r="K838" s="146" t="str">
        <f t="shared" si="67"/>
        <v/>
      </c>
      <c r="L838" s="146" t="str">
        <f t="shared" si="68"/>
        <v/>
      </c>
      <c r="M838" s="148" t="str">
        <f t="shared" si="69"/>
        <v/>
      </c>
    </row>
    <row r="839" spans="1:13" x14ac:dyDescent="0.3">
      <c r="A839" s="149"/>
      <c r="B839" s="149"/>
      <c r="C839" s="149"/>
      <c r="D839" s="149"/>
      <c r="E839" s="149"/>
      <c r="F839" s="149"/>
      <c r="G839" s="162"/>
      <c r="H839" s="146" t="str">
        <f t="shared" si="65"/>
        <v/>
      </c>
      <c r="I839" s="161" t="str">
        <f t="shared" si="66"/>
        <v/>
      </c>
      <c r="J839" s="160" t="str">
        <f>IFERROR(INDEX(当年标准成本!I:I,MATCH(C839,当年标准成本!C:C,0),1),"")</f>
        <v/>
      </c>
      <c r="K839" s="146" t="str">
        <f t="shared" si="67"/>
        <v/>
      </c>
      <c r="L839" s="146" t="str">
        <f t="shared" si="68"/>
        <v/>
      </c>
      <c r="M839" s="148" t="str">
        <f t="shared" si="69"/>
        <v/>
      </c>
    </row>
    <row r="840" spans="1:13" x14ac:dyDescent="0.3">
      <c r="A840" s="149"/>
      <c r="B840" s="149"/>
      <c r="C840" s="149"/>
      <c r="D840" s="149"/>
      <c r="E840" s="149"/>
      <c r="F840" s="149"/>
      <c r="G840" s="162"/>
      <c r="H840" s="146" t="str">
        <f t="shared" si="65"/>
        <v/>
      </c>
      <c r="I840" s="161" t="str">
        <f t="shared" si="66"/>
        <v/>
      </c>
      <c r="J840" s="160" t="str">
        <f>IFERROR(INDEX(当年标准成本!I:I,MATCH(C840,当年标准成本!C:C,0),1),"")</f>
        <v/>
      </c>
      <c r="K840" s="146" t="str">
        <f t="shared" si="67"/>
        <v/>
      </c>
      <c r="L840" s="146" t="str">
        <f t="shared" si="68"/>
        <v/>
      </c>
      <c r="M840" s="148" t="str">
        <f t="shared" si="69"/>
        <v/>
      </c>
    </row>
    <row r="841" spans="1:13" x14ac:dyDescent="0.3">
      <c r="A841" s="149"/>
      <c r="B841" s="149"/>
      <c r="C841" s="149"/>
      <c r="D841" s="149"/>
      <c r="E841" s="149"/>
      <c r="F841" s="149"/>
      <c r="G841" s="162"/>
      <c r="H841" s="146" t="str">
        <f t="shared" si="65"/>
        <v/>
      </c>
      <c r="I841" s="161" t="str">
        <f t="shared" si="66"/>
        <v/>
      </c>
      <c r="J841" s="160" t="str">
        <f>IFERROR(INDEX(当年标准成本!I:I,MATCH(C841,当年标准成本!C:C,0),1),"")</f>
        <v/>
      </c>
      <c r="K841" s="146" t="str">
        <f t="shared" si="67"/>
        <v/>
      </c>
      <c r="L841" s="146" t="str">
        <f t="shared" si="68"/>
        <v/>
      </c>
      <c r="M841" s="148" t="str">
        <f t="shared" si="69"/>
        <v/>
      </c>
    </row>
    <row r="842" spans="1:13" x14ac:dyDescent="0.3">
      <c r="A842" s="149"/>
      <c r="B842" s="149"/>
      <c r="C842" s="149"/>
      <c r="D842" s="149"/>
      <c r="E842" s="149"/>
      <c r="F842" s="149"/>
      <c r="G842" s="162"/>
      <c r="H842" s="146" t="str">
        <f t="shared" si="65"/>
        <v/>
      </c>
      <c r="I842" s="161" t="str">
        <f t="shared" si="66"/>
        <v/>
      </c>
      <c r="J842" s="160" t="str">
        <f>IFERROR(INDEX(当年标准成本!I:I,MATCH(C842,当年标准成本!C:C,0),1),"")</f>
        <v/>
      </c>
      <c r="K842" s="146" t="str">
        <f t="shared" si="67"/>
        <v/>
      </c>
      <c r="L842" s="146" t="str">
        <f t="shared" si="68"/>
        <v/>
      </c>
      <c r="M842" s="148" t="str">
        <f t="shared" si="69"/>
        <v/>
      </c>
    </row>
    <row r="843" spans="1:13" x14ac:dyDescent="0.3">
      <c r="A843" s="149"/>
      <c r="B843" s="149"/>
      <c r="C843" s="149"/>
      <c r="D843" s="149"/>
      <c r="E843" s="149"/>
      <c r="F843" s="149"/>
      <c r="G843" s="162"/>
      <c r="H843" s="146" t="str">
        <f t="shared" si="65"/>
        <v/>
      </c>
      <c r="I843" s="161" t="str">
        <f t="shared" si="66"/>
        <v/>
      </c>
      <c r="J843" s="160" t="str">
        <f>IFERROR(INDEX(当年标准成本!I:I,MATCH(C843,当年标准成本!C:C,0),1),"")</f>
        <v/>
      </c>
      <c r="K843" s="146" t="str">
        <f t="shared" si="67"/>
        <v/>
      </c>
      <c r="L843" s="146" t="str">
        <f t="shared" si="68"/>
        <v/>
      </c>
      <c r="M843" s="148" t="str">
        <f t="shared" si="69"/>
        <v/>
      </c>
    </row>
    <row r="844" spans="1:13" x14ac:dyDescent="0.3">
      <c r="A844" s="149"/>
      <c r="B844" s="149"/>
      <c r="C844" s="149"/>
      <c r="D844" s="149"/>
      <c r="E844" s="149"/>
      <c r="F844" s="149"/>
      <c r="G844" s="162"/>
      <c r="H844" s="146" t="str">
        <f t="shared" ref="H844:H907" si="70">IFERROR(F844/E844,"")</f>
        <v/>
      </c>
      <c r="I844" s="161" t="str">
        <f t="shared" ref="I844:I907" si="71">IFERROR(H844*(1+G844),"")</f>
        <v/>
      </c>
      <c r="J844" s="160" t="str">
        <f>IFERROR(INDEX(当年标准成本!I:I,MATCH(C844,当年标准成本!C:C,0),1),"")</f>
        <v/>
      </c>
      <c r="K844" s="146" t="str">
        <f t="shared" ref="K844:K907" si="72">IFERROR(E844*J844,"")</f>
        <v/>
      </c>
      <c r="L844" s="146" t="str">
        <f t="shared" ref="L844:L907" si="73">IFERROR(F844-K844,"")</f>
        <v/>
      </c>
      <c r="M844" s="148" t="str">
        <f t="shared" ref="M844:M907" si="74">IFERROR(L844/F844,"")</f>
        <v/>
      </c>
    </row>
    <row r="845" spans="1:13" x14ac:dyDescent="0.3">
      <c r="A845" s="149"/>
      <c r="B845" s="149"/>
      <c r="C845" s="149"/>
      <c r="D845" s="149"/>
      <c r="E845" s="149"/>
      <c r="F845" s="149"/>
      <c r="G845" s="162"/>
      <c r="H845" s="146" t="str">
        <f t="shared" si="70"/>
        <v/>
      </c>
      <c r="I845" s="161" t="str">
        <f t="shared" si="71"/>
        <v/>
      </c>
      <c r="J845" s="160" t="str">
        <f>IFERROR(INDEX(当年标准成本!I:I,MATCH(C845,当年标准成本!C:C,0),1),"")</f>
        <v/>
      </c>
      <c r="K845" s="146" t="str">
        <f t="shared" si="72"/>
        <v/>
      </c>
      <c r="L845" s="146" t="str">
        <f t="shared" si="73"/>
        <v/>
      </c>
      <c r="M845" s="148" t="str">
        <f t="shared" si="74"/>
        <v/>
      </c>
    </row>
    <row r="846" spans="1:13" x14ac:dyDescent="0.3">
      <c r="A846" s="149"/>
      <c r="B846" s="149"/>
      <c r="C846" s="149"/>
      <c r="D846" s="149"/>
      <c r="E846" s="149"/>
      <c r="F846" s="149"/>
      <c r="G846" s="162"/>
      <c r="H846" s="146" t="str">
        <f t="shared" si="70"/>
        <v/>
      </c>
      <c r="I846" s="161" t="str">
        <f t="shared" si="71"/>
        <v/>
      </c>
      <c r="J846" s="160" t="str">
        <f>IFERROR(INDEX(当年标准成本!I:I,MATCH(C846,当年标准成本!C:C,0),1),"")</f>
        <v/>
      </c>
      <c r="K846" s="146" t="str">
        <f t="shared" si="72"/>
        <v/>
      </c>
      <c r="L846" s="146" t="str">
        <f t="shared" si="73"/>
        <v/>
      </c>
      <c r="M846" s="148" t="str">
        <f t="shared" si="74"/>
        <v/>
      </c>
    </row>
    <row r="847" spans="1:13" x14ac:dyDescent="0.3">
      <c r="A847" s="149"/>
      <c r="B847" s="149"/>
      <c r="C847" s="149"/>
      <c r="D847" s="149"/>
      <c r="E847" s="149"/>
      <c r="F847" s="149"/>
      <c r="G847" s="162"/>
      <c r="H847" s="146" t="str">
        <f t="shared" si="70"/>
        <v/>
      </c>
      <c r="I847" s="161" t="str">
        <f t="shared" si="71"/>
        <v/>
      </c>
      <c r="J847" s="160" t="str">
        <f>IFERROR(INDEX(当年标准成本!I:I,MATCH(C847,当年标准成本!C:C,0),1),"")</f>
        <v/>
      </c>
      <c r="K847" s="146" t="str">
        <f t="shared" si="72"/>
        <v/>
      </c>
      <c r="L847" s="146" t="str">
        <f t="shared" si="73"/>
        <v/>
      </c>
      <c r="M847" s="148" t="str">
        <f t="shared" si="74"/>
        <v/>
      </c>
    </row>
    <row r="848" spans="1:13" x14ac:dyDescent="0.3">
      <c r="A848" s="149"/>
      <c r="B848" s="149"/>
      <c r="C848" s="149"/>
      <c r="D848" s="149"/>
      <c r="E848" s="149"/>
      <c r="F848" s="149"/>
      <c r="G848" s="162"/>
      <c r="H848" s="146" t="str">
        <f t="shared" si="70"/>
        <v/>
      </c>
      <c r="I848" s="161" t="str">
        <f t="shared" si="71"/>
        <v/>
      </c>
      <c r="J848" s="160" t="str">
        <f>IFERROR(INDEX(当年标准成本!I:I,MATCH(C848,当年标准成本!C:C,0),1),"")</f>
        <v/>
      </c>
      <c r="K848" s="146" t="str">
        <f t="shared" si="72"/>
        <v/>
      </c>
      <c r="L848" s="146" t="str">
        <f t="shared" si="73"/>
        <v/>
      </c>
      <c r="M848" s="148" t="str">
        <f t="shared" si="74"/>
        <v/>
      </c>
    </row>
    <row r="849" spans="1:13" x14ac:dyDescent="0.3">
      <c r="A849" s="149"/>
      <c r="B849" s="149"/>
      <c r="C849" s="149"/>
      <c r="D849" s="149"/>
      <c r="E849" s="149"/>
      <c r="F849" s="149"/>
      <c r="G849" s="162"/>
      <c r="H849" s="146" t="str">
        <f t="shared" si="70"/>
        <v/>
      </c>
      <c r="I849" s="161" t="str">
        <f t="shared" si="71"/>
        <v/>
      </c>
      <c r="J849" s="160" t="str">
        <f>IFERROR(INDEX(当年标准成本!I:I,MATCH(C849,当年标准成本!C:C,0),1),"")</f>
        <v/>
      </c>
      <c r="K849" s="146" t="str">
        <f t="shared" si="72"/>
        <v/>
      </c>
      <c r="L849" s="146" t="str">
        <f t="shared" si="73"/>
        <v/>
      </c>
      <c r="M849" s="148" t="str">
        <f t="shared" si="74"/>
        <v/>
      </c>
    </row>
    <row r="850" spans="1:13" x14ac:dyDescent="0.3">
      <c r="A850" s="149"/>
      <c r="B850" s="149"/>
      <c r="C850" s="149"/>
      <c r="D850" s="149"/>
      <c r="E850" s="149"/>
      <c r="F850" s="149"/>
      <c r="G850" s="162"/>
      <c r="H850" s="146" t="str">
        <f t="shared" si="70"/>
        <v/>
      </c>
      <c r="I850" s="161" t="str">
        <f t="shared" si="71"/>
        <v/>
      </c>
      <c r="J850" s="160" t="str">
        <f>IFERROR(INDEX(当年标准成本!I:I,MATCH(C850,当年标准成本!C:C,0),1),"")</f>
        <v/>
      </c>
      <c r="K850" s="146" t="str">
        <f t="shared" si="72"/>
        <v/>
      </c>
      <c r="L850" s="146" t="str">
        <f t="shared" si="73"/>
        <v/>
      </c>
      <c r="M850" s="148" t="str">
        <f t="shared" si="74"/>
        <v/>
      </c>
    </row>
    <row r="851" spans="1:13" x14ac:dyDescent="0.3">
      <c r="A851" s="149"/>
      <c r="B851" s="149"/>
      <c r="C851" s="149"/>
      <c r="D851" s="149"/>
      <c r="E851" s="149"/>
      <c r="F851" s="149"/>
      <c r="G851" s="162"/>
      <c r="H851" s="146" t="str">
        <f t="shared" si="70"/>
        <v/>
      </c>
      <c r="I851" s="161" t="str">
        <f t="shared" si="71"/>
        <v/>
      </c>
      <c r="J851" s="160" t="str">
        <f>IFERROR(INDEX(当年标准成本!I:I,MATCH(C851,当年标准成本!C:C,0),1),"")</f>
        <v/>
      </c>
      <c r="K851" s="146" t="str">
        <f t="shared" si="72"/>
        <v/>
      </c>
      <c r="L851" s="146" t="str">
        <f t="shared" si="73"/>
        <v/>
      </c>
      <c r="M851" s="148" t="str">
        <f t="shared" si="74"/>
        <v/>
      </c>
    </row>
    <row r="852" spans="1:13" x14ac:dyDescent="0.3">
      <c r="A852" s="149"/>
      <c r="B852" s="149"/>
      <c r="C852" s="149"/>
      <c r="D852" s="149"/>
      <c r="E852" s="149"/>
      <c r="F852" s="149"/>
      <c r="G852" s="162"/>
      <c r="H852" s="146" t="str">
        <f t="shared" si="70"/>
        <v/>
      </c>
      <c r="I852" s="161" t="str">
        <f t="shared" si="71"/>
        <v/>
      </c>
      <c r="J852" s="160" t="str">
        <f>IFERROR(INDEX(当年标准成本!I:I,MATCH(C852,当年标准成本!C:C,0),1),"")</f>
        <v/>
      </c>
      <c r="K852" s="146" t="str">
        <f t="shared" si="72"/>
        <v/>
      </c>
      <c r="L852" s="146" t="str">
        <f t="shared" si="73"/>
        <v/>
      </c>
      <c r="M852" s="148" t="str">
        <f t="shared" si="74"/>
        <v/>
      </c>
    </row>
    <row r="853" spans="1:13" x14ac:dyDescent="0.3">
      <c r="A853" s="149"/>
      <c r="B853" s="149"/>
      <c r="C853" s="149"/>
      <c r="D853" s="149"/>
      <c r="E853" s="149"/>
      <c r="F853" s="149"/>
      <c r="G853" s="162"/>
      <c r="H853" s="146" t="str">
        <f t="shared" si="70"/>
        <v/>
      </c>
      <c r="I853" s="161" t="str">
        <f t="shared" si="71"/>
        <v/>
      </c>
      <c r="J853" s="160" t="str">
        <f>IFERROR(INDEX(当年标准成本!I:I,MATCH(C853,当年标准成本!C:C,0),1),"")</f>
        <v/>
      </c>
      <c r="K853" s="146" t="str">
        <f t="shared" si="72"/>
        <v/>
      </c>
      <c r="L853" s="146" t="str">
        <f t="shared" si="73"/>
        <v/>
      </c>
      <c r="M853" s="148" t="str">
        <f t="shared" si="74"/>
        <v/>
      </c>
    </row>
    <row r="854" spans="1:13" x14ac:dyDescent="0.3">
      <c r="A854" s="149"/>
      <c r="B854" s="149"/>
      <c r="C854" s="149"/>
      <c r="D854" s="149"/>
      <c r="E854" s="149"/>
      <c r="F854" s="149"/>
      <c r="G854" s="162"/>
      <c r="H854" s="146" t="str">
        <f t="shared" si="70"/>
        <v/>
      </c>
      <c r="I854" s="161" t="str">
        <f t="shared" si="71"/>
        <v/>
      </c>
      <c r="J854" s="160" t="str">
        <f>IFERROR(INDEX(当年标准成本!I:I,MATCH(C854,当年标准成本!C:C,0),1),"")</f>
        <v/>
      </c>
      <c r="K854" s="146" t="str">
        <f t="shared" si="72"/>
        <v/>
      </c>
      <c r="L854" s="146" t="str">
        <f t="shared" si="73"/>
        <v/>
      </c>
      <c r="M854" s="148" t="str">
        <f t="shared" si="74"/>
        <v/>
      </c>
    </row>
    <row r="855" spans="1:13" x14ac:dyDescent="0.3">
      <c r="A855" s="149"/>
      <c r="B855" s="149"/>
      <c r="C855" s="149"/>
      <c r="D855" s="149"/>
      <c r="E855" s="149"/>
      <c r="F855" s="149"/>
      <c r="G855" s="162"/>
      <c r="H855" s="146" t="str">
        <f t="shared" si="70"/>
        <v/>
      </c>
      <c r="I855" s="161" t="str">
        <f t="shared" si="71"/>
        <v/>
      </c>
      <c r="J855" s="160" t="str">
        <f>IFERROR(INDEX(当年标准成本!I:I,MATCH(C855,当年标准成本!C:C,0),1),"")</f>
        <v/>
      </c>
      <c r="K855" s="146" t="str">
        <f t="shared" si="72"/>
        <v/>
      </c>
      <c r="L855" s="146" t="str">
        <f t="shared" si="73"/>
        <v/>
      </c>
      <c r="M855" s="148" t="str">
        <f t="shared" si="74"/>
        <v/>
      </c>
    </row>
    <row r="856" spans="1:13" x14ac:dyDescent="0.3">
      <c r="A856" s="149"/>
      <c r="B856" s="149"/>
      <c r="C856" s="149"/>
      <c r="D856" s="149"/>
      <c r="E856" s="149"/>
      <c r="F856" s="149"/>
      <c r="G856" s="162"/>
      <c r="H856" s="146" t="str">
        <f t="shared" si="70"/>
        <v/>
      </c>
      <c r="I856" s="161" t="str">
        <f t="shared" si="71"/>
        <v/>
      </c>
      <c r="J856" s="160" t="str">
        <f>IFERROR(INDEX(当年标准成本!I:I,MATCH(C856,当年标准成本!C:C,0),1),"")</f>
        <v/>
      </c>
      <c r="K856" s="146" t="str">
        <f t="shared" si="72"/>
        <v/>
      </c>
      <c r="L856" s="146" t="str">
        <f t="shared" si="73"/>
        <v/>
      </c>
      <c r="M856" s="148" t="str">
        <f t="shared" si="74"/>
        <v/>
      </c>
    </row>
    <row r="857" spans="1:13" x14ac:dyDescent="0.3">
      <c r="A857" s="149"/>
      <c r="B857" s="149"/>
      <c r="C857" s="149"/>
      <c r="D857" s="149"/>
      <c r="E857" s="149"/>
      <c r="F857" s="149"/>
      <c r="G857" s="162"/>
      <c r="H857" s="146" t="str">
        <f t="shared" si="70"/>
        <v/>
      </c>
      <c r="I857" s="161" t="str">
        <f t="shared" si="71"/>
        <v/>
      </c>
      <c r="J857" s="160" t="str">
        <f>IFERROR(INDEX(当年标准成本!I:I,MATCH(C857,当年标准成本!C:C,0),1),"")</f>
        <v/>
      </c>
      <c r="K857" s="146" t="str">
        <f t="shared" si="72"/>
        <v/>
      </c>
      <c r="L857" s="146" t="str">
        <f t="shared" si="73"/>
        <v/>
      </c>
      <c r="M857" s="148" t="str">
        <f t="shared" si="74"/>
        <v/>
      </c>
    </row>
    <row r="858" spans="1:13" x14ac:dyDescent="0.3">
      <c r="A858" s="149"/>
      <c r="B858" s="149"/>
      <c r="C858" s="149"/>
      <c r="D858" s="149"/>
      <c r="E858" s="149"/>
      <c r="F858" s="149"/>
      <c r="G858" s="162"/>
      <c r="H858" s="146" t="str">
        <f t="shared" si="70"/>
        <v/>
      </c>
      <c r="I858" s="161" t="str">
        <f t="shared" si="71"/>
        <v/>
      </c>
      <c r="J858" s="160" t="str">
        <f>IFERROR(INDEX(当年标准成本!I:I,MATCH(C858,当年标准成本!C:C,0),1),"")</f>
        <v/>
      </c>
      <c r="K858" s="146" t="str">
        <f t="shared" si="72"/>
        <v/>
      </c>
      <c r="L858" s="146" t="str">
        <f t="shared" si="73"/>
        <v/>
      </c>
      <c r="M858" s="148" t="str">
        <f t="shared" si="74"/>
        <v/>
      </c>
    </row>
    <row r="859" spans="1:13" x14ac:dyDescent="0.3">
      <c r="A859" s="149"/>
      <c r="B859" s="149"/>
      <c r="C859" s="149"/>
      <c r="D859" s="149"/>
      <c r="E859" s="149"/>
      <c r="F859" s="149"/>
      <c r="G859" s="162"/>
      <c r="H859" s="146" t="str">
        <f t="shared" si="70"/>
        <v/>
      </c>
      <c r="I859" s="161" t="str">
        <f t="shared" si="71"/>
        <v/>
      </c>
      <c r="J859" s="160" t="str">
        <f>IFERROR(INDEX(当年标准成本!I:I,MATCH(C859,当年标准成本!C:C,0),1),"")</f>
        <v/>
      </c>
      <c r="K859" s="146" t="str">
        <f t="shared" si="72"/>
        <v/>
      </c>
      <c r="L859" s="146" t="str">
        <f t="shared" si="73"/>
        <v/>
      </c>
      <c r="M859" s="148" t="str">
        <f t="shared" si="74"/>
        <v/>
      </c>
    </row>
    <row r="860" spans="1:13" x14ac:dyDescent="0.3">
      <c r="A860" s="149"/>
      <c r="B860" s="149"/>
      <c r="C860" s="149"/>
      <c r="D860" s="149"/>
      <c r="E860" s="149"/>
      <c r="F860" s="149"/>
      <c r="G860" s="162"/>
      <c r="H860" s="146" t="str">
        <f t="shared" si="70"/>
        <v/>
      </c>
      <c r="I860" s="161" t="str">
        <f t="shared" si="71"/>
        <v/>
      </c>
      <c r="J860" s="160" t="str">
        <f>IFERROR(INDEX(当年标准成本!I:I,MATCH(C860,当年标准成本!C:C,0),1),"")</f>
        <v/>
      </c>
      <c r="K860" s="146" t="str">
        <f t="shared" si="72"/>
        <v/>
      </c>
      <c r="L860" s="146" t="str">
        <f t="shared" si="73"/>
        <v/>
      </c>
      <c r="M860" s="148" t="str">
        <f t="shared" si="74"/>
        <v/>
      </c>
    </row>
    <row r="861" spans="1:13" x14ac:dyDescent="0.3">
      <c r="A861" s="149"/>
      <c r="B861" s="149"/>
      <c r="C861" s="149"/>
      <c r="D861" s="149"/>
      <c r="E861" s="149"/>
      <c r="F861" s="149"/>
      <c r="G861" s="162"/>
      <c r="H861" s="146" t="str">
        <f t="shared" si="70"/>
        <v/>
      </c>
      <c r="I861" s="161" t="str">
        <f t="shared" si="71"/>
        <v/>
      </c>
      <c r="J861" s="160" t="str">
        <f>IFERROR(INDEX(当年标准成本!I:I,MATCH(C861,当年标准成本!C:C,0),1),"")</f>
        <v/>
      </c>
      <c r="K861" s="146" t="str">
        <f t="shared" si="72"/>
        <v/>
      </c>
      <c r="L861" s="146" t="str">
        <f t="shared" si="73"/>
        <v/>
      </c>
      <c r="M861" s="148" t="str">
        <f t="shared" si="74"/>
        <v/>
      </c>
    </row>
    <row r="862" spans="1:13" x14ac:dyDescent="0.3">
      <c r="A862" s="149"/>
      <c r="B862" s="149"/>
      <c r="C862" s="149"/>
      <c r="D862" s="149"/>
      <c r="E862" s="149"/>
      <c r="F862" s="149"/>
      <c r="G862" s="162"/>
      <c r="H862" s="146" t="str">
        <f t="shared" si="70"/>
        <v/>
      </c>
      <c r="I862" s="161" t="str">
        <f t="shared" si="71"/>
        <v/>
      </c>
      <c r="J862" s="160" t="str">
        <f>IFERROR(INDEX(当年标准成本!I:I,MATCH(C862,当年标准成本!C:C,0),1),"")</f>
        <v/>
      </c>
      <c r="K862" s="146" t="str">
        <f t="shared" si="72"/>
        <v/>
      </c>
      <c r="L862" s="146" t="str">
        <f t="shared" si="73"/>
        <v/>
      </c>
      <c r="M862" s="148" t="str">
        <f t="shared" si="74"/>
        <v/>
      </c>
    </row>
    <row r="863" spans="1:13" x14ac:dyDescent="0.3">
      <c r="A863" s="149"/>
      <c r="B863" s="149"/>
      <c r="C863" s="149"/>
      <c r="D863" s="149"/>
      <c r="E863" s="149"/>
      <c r="F863" s="149"/>
      <c r="G863" s="162"/>
      <c r="H863" s="146" t="str">
        <f t="shared" si="70"/>
        <v/>
      </c>
      <c r="I863" s="161" t="str">
        <f t="shared" si="71"/>
        <v/>
      </c>
      <c r="J863" s="160" t="str">
        <f>IFERROR(INDEX(当年标准成本!I:I,MATCH(C863,当年标准成本!C:C,0),1),"")</f>
        <v/>
      </c>
      <c r="K863" s="146" t="str">
        <f t="shared" si="72"/>
        <v/>
      </c>
      <c r="L863" s="146" t="str">
        <f t="shared" si="73"/>
        <v/>
      </c>
      <c r="M863" s="148" t="str">
        <f t="shared" si="74"/>
        <v/>
      </c>
    </row>
    <row r="864" spans="1:13" x14ac:dyDescent="0.3">
      <c r="A864" s="149"/>
      <c r="B864" s="149"/>
      <c r="C864" s="149"/>
      <c r="D864" s="149"/>
      <c r="E864" s="149"/>
      <c r="F864" s="149"/>
      <c r="G864" s="162"/>
      <c r="H864" s="146" t="str">
        <f t="shared" si="70"/>
        <v/>
      </c>
      <c r="I864" s="161" t="str">
        <f t="shared" si="71"/>
        <v/>
      </c>
      <c r="J864" s="160" t="str">
        <f>IFERROR(INDEX(当年标准成本!I:I,MATCH(C864,当年标准成本!C:C,0),1),"")</f>
        <v/>
      </c>
      <c r="K864" s="146" t="str">
        <f t="shared" si="72"/>
        <v/>
      </c>
      <c r="L864" s="146" t="str">
        <f t="shared" si="73"/>
        <v/>
      </c>
      <c r="M864" s="148" t="str">
        <f t="shared" si="74"/>
        <v/>
      </c>
    </row>
    <row r="865" spans="1:13" x14ac:dyDescent="0.3">
      <c r="A865" s="149"/>
      <c r="B865" s="149"/>
      <c r="C865" s="149"/>
      <c r="D865" s="149"/>
      <c r="E865" s="149"/>
      <c r="F865" s="149"/>
      <c r="G865" s="162"/>
      <c r="H865" s="146" t="str">
        <f t="shared" si="70"/>
        <v/>
      </c>
      <c r="I865" s="161" t="str">
        <f t="shared" si="71"/>
        <v/>
      </c>
      <c r="J865" s="160" t="str">
        <f>IFERROR(INDEX(当年标准成本!I:I,MATCH(C865,当年标准成本!C:C,0),1),"")</f>
        <v/>
      </c>
      <c r="K865" s="146" t="str">
        <f t="shared" si="72"/>
        <v/>
      </c>
      <c r="L865" s="146" t="str">
        <f t="shared" si="73"/>
        <v/>
      </c>
      <c r="M865" s="148" t="str">
        <f t="shared" si="74"/>
        <v/>
      </c>
    </row>
    <row r="866" spans="1:13" x14ac:dyDescent="0.3">
      <c r="A866" s="149"/>
      <c r="B866" s="149"/>
      <c r="C866" s="149"/>
      <c r="D866" s="149"/>
      <c r="E866" s="149"/>
      <c r="F866" s="149"/>
      <c r="G866" s="162"/>
      <c r="H866" s="146" t="str">
        <f t="shared" si="70"/>
        <v/>
      </c>
      <c r="I866" s="161" t="str">
        <f t="shared" si="71"/>
        <v/>
      </c>
      <c r="J866" s="160" t="str">
        <f>IFERROR(INDEX(当年标准成本!I:I,MATCH(C866,当年标准成本!C:C,0),1),"")</f>
        <v/>
      </c>
      <c r="K866" s="146" t="str">
        <f t="shared" si="72"/>
        <v/>
      </c>
      <c r="L866" s="146" t="str">
        <f t="shared" si="73"/>
        <v/>
      </c>
      <c r="M866" s="148" t="str">
        <f t="shared" si="74"/>
        <v/>
      </c>
    </row>
    <row r="867" spans="1:13" x14ac:dyDescent="0.3">
      <c r="A867" s="149"/>
      <c r="B867" s="149"/>
      <c r="C867" s="149"/>
      <c r="D867" s="149"/>
      <c r="E867" s="149"/>
      <c r="F867" s="149"/>
      <c r="G867" s="162"/>
      <c r="H867" s="146" t="str">
        <f t="shared" si="70"/>
        <v/>
      </c>
      <c r="I867" s="161" t="str">
        <f t="shared" si="71"/>
        <v/>
      </c>
      <c r="J867" s="160" t="str">
        <f>IFERROR(INDEX(当年标准成本!I:I,MATCH(C867,当年标准成本!C:C,0),1),"")</f>
        <v/>
      </c>
      <c r="K867" s="146" t="str">
        <f t="shared" si="72"/>
        <v/>
      </c>
      <c r="L867" s="146" t="str">
        <f t="shared" si="73"/>
        <v/>
      </c>
      <c r="M867" s="148" t="str">
        <f t="shared" si="74"/>
        <v/>
      </c>
    </row>
    <row r="868" spans="1:13" x14ac:dyDescent="0.3">
      <c r="A868" s="149"/>
      <c r="B868" s="149"/>
      <c r="C868" s="149"/>
      <c r="D868" s="149"/>
      <c r="E868" s="149"/>
      <c r="F868" s="149"/>
      <c r="G868" s="162"/>
      <c r="H868" s="146" t="str">
        <f t="shared" si="70"/>
        <v/>
      </c>
      <c r="I868" s="161" t="str">
        <f t="shared" si="71"/>
        <v/>
      </c>
      <c r="J868" s="160" t="str">
        <f>IFERROR(INDEX(当年标准成本!I:I,MATCH(C868,当年标准成本!C:C,0),1),"")</f>
        <v/>
      </c>
      <c r="K868" s="146" t="str">
        <f t="shared" si="72"/>
        <v/>
      </c>
      <c r="L868" s="146" t="str">
        <f t="shared" si="73"/>
        <v/>
      </c>
      <c r="M868" s="148" t="str">
        <f t="shared" si="74"/>
        <v/>
      </c>
    </row>
    <row r="869" spans="1:13" x14ac:dyDescent="0.3">
      <c r="A869" s="149"/>
      <c r="B869" s="149"/>
      <c r="C869" s="149"/>
      <c r="D869" s="149"/>
      <c r="E869" s="149"/>
      <c r="F869" s="149"/>
      <c r="G869" s="162"/>
      <c r="H869" s="146" t="str">
        <f t="shared" si="70"/>
        <v/>
      </c>
      <c r="I869" s="161" t="str">
        <f t="shared" si="71"/>
        <v/>
      </c>
      <c r="J869" s="160" t="str">
        <f>IFERROR(INDEX(当年标准成本!I:I,MATCH(C869,当年标准成本!C:C,0),1),"")</f>
        <v/>
      </c>
      <c r="K869" s="146" t="str">
        <f t="shared" si="72"/>
        <v/>
      </c>
      <c r="L869" s="146" t="str">
        <f t="shared" si="73"/>
        <v/>
      </c>
      <c r="M869" s="148" t="str">
        <f t="shared" si="74"/>
        <v/>
      </c>
    </row>
    <row r="870" spans="1:13" x14ac:dyDescent="0.3">
      <c r="A870" s="149"/>
      <c r="B870" s="149"/>
      <c r="C870" s="149"/>
      <c r="D870" s="149"/>
      <c r="E870" s="149"/>
      <c r="F870" s="149"/>
      <c r="G870" s="162"/>
      <c r="H870" s="146" t="str">
        <f t="shared" si="70"/>
        <v/>
      </c>
      <c r="I870" s="161" t="str">
        <f t="shared" si="71"/>
        <v/>
      </c>
      <c r="J870" s="160" t="str">
        <f>IFERROR(INDEX(当年标准成本!I:I,MATCH(C870,当年标准成本!C:C,0),1),"")</f>
        <v/>
      </c>
      <c r="K870" s="146" t="str">
        <f t="shared" si="72"/>
        <v/>
      </c>
      <c r="L870" s="146" t="str">
        <f t="shared" si="73"/>
        <v/>
      </c>
      <c r="M870" s="148" t="str">
        <f t="shared" si="74"/>
        <v/>
      </c>
    </row>
    <row r="871" spans="1:13" x14ac:dyDescent="0.3">
      <c r="A871" s="149"/>
      <c r="B871" s="149"/>
      <c r="C871" s="149"/>
      <c r="D871" s="149"/>
      <c r="E871" s="149"/>
      <c r="F871" s="149"/>
      <c r="G871" s="162"/>
      <c r="H871" s="146" t="str">
        <f t="shared" si="70"/>
        <v/>
      </c>
      <c r="I871" s="161" t="str">
        <f t="shared" si="71"/>
        <v/>
      </c>
      <c r="J871" s="160" t="str">
        <f>IFERROR(INDEX(当年标准成本!I:I,MATCH(C871,当年标准成本!C:C,0),1),"")</f>
        <v/>
      </c>
      <c r="K871" s="146" t="str">
        <f t="shared" si="72"/>
        <v/>
      </c>
      <c r="L871" s="146" t="str">
        <f t="shared" si="73"/>
        <v/>
      </c>
      <c r="M871" s="148" t="str">
        <f t="shared" si="74"/>
        <v/>
      </c>
    </row>
    <row r="872" spans="1:13" x14ac:dyDescent="0.3">
      <c r="A872" s="149"/>
      <c r="B872" s="149"/>
      <c r="C872" s="149"/>
      <c r="D872" s="149"/>
      <c r="E872" s="149"/>
      <c r="F872" s="149"/>
      <c r="G872" s="162"/>
      <c r="H872" s="146" t="str">
        <f t="shared" si="70"/>
        <v/>
      </c>
      <c r="I872" s="161" t="str">
        <f t="shared" si="71"/>
        <v/>
      </c>
      <c r="J872" s="160" t="str">
        <f>IFERROR(INDEX(当年标准成本!I:I,MATCH(C872,当年标准成本!C:C,0),1),"")</f>
        <v/>
      </c>
      <c r="K872" s="146" t="str">
        <f t="shared" si="72"/>
        <v/>
      </c>
      <c r="L872" s="146" t="str">
        <f t="shared" si="73"/>
        <v/>
      </c>
      <c r="M872" s="148" t="str">
        <f t="shared" si="74"/>
        <v/>
      </c>
    </row>
    <row r="873" spans="1:13" x14ac:dyDescent="0.3">
      <c r="A873" s="149"/>
      <c r="B873" s="149"/>
      <c r="C873" s="149"/>
      <c r="D873" s="149"/>
      <c r="E873" s="149"/>
      <c r="F873" s="149"/>
      <c r="G873" s="162"/>
      <c r="H873" s="146" t="str">
        <f t="shared" si="70"/>
        <v/>
      </c>
      <c r="I873" s="161" t="str">
        <f t="shared" si="71"/>
        <v/>
      </c>
      <c r="J873" s="160" t="str">
        <f>IFERROR(INDEX(当年标准成本!I:I,MATCH(C873,当年标准成本!C:C,0),1),"")</f>
        <v/>
      </c>
      <c r="K873" s="146" t="str">
        <f t="shared" si="72"/>
        <v/>
      </c>
      <c r="L873" s="146" t="str">
        <f t="shared" si="73"/>
        <v/>
      </c>
      <c r="M873" s="148" t="str">
        <f t="shared" si="74"/>
        <v/>
      </c>
    </row>
    <row r="874" spans="1:13" x14ac:dyDescent="0.3">
      <c r="A874" s="149"/>
      <c r="B874" s="149"/>
      <c r="C874" s="149"/>
      <c r="D874" s="149"/>
      <c r="E874" s="149"/>
      <c r="F874" s="149"/>
      <c r="G874" s="162"/>
      <c r="H874" s="146" t="str">
        <f t="shared" si="70"/>
        <v/>
      </c>
      <c r="I874" s="161" t="str">
        <f t="shared" si="71"/>
        <v/>
      </c>
      <c r="J874" s="160" t="str">
        <f>IFERROR(INDEX(当年标准成本!I:I,MATCH(C874,当年标准成本!C:C,0),1),"")</f>
        <v/>
      </c>
      <c r="K874" s="146" t="str">
        <f t="shared" si="72"/>
        <v/>
      </c>
      <c r="L874" s="146" t="str">
        <f t="shared" si="73"/>
        <v/>
      </c>
      <c r="M874" s="148" t="str">
        <f t="shared" si="74"/>
        <v/>
      </c>
    </row>
    <row r="875" spans="1:13" x14ac:dyDescent="0.3">
      <c r="A875" s="149"/>
      <c r="B875" s="149"/>
      <c r="C875" s="149"/>
      <c r="D875" s="149"/>
      <c r="E875" s="149"/>
      <c r="F875" s="149"/>
      <c r="G875" s="162"/>
      <c r="H875" s="146" t="str">
        <f t="shared" si="70"/>
        <v/>
      </c>
      <c r="I875" s="161" t="str">
        <f t="shared" si="71"/>
        <v/>
      </c>
      <c r="J875" s="160" t="str">
        <f>IFERROR(INDEX(当年标准成本!I:I,MATCH(C875,当年标准成本!C:C,0),1),"")</f>
        <v/>
      </c>
      <c r="K875" s="146" t="str">
        <f t="shared" si="72"/>
        <v/>
      </c>
      <c r="L875" s="146" t="str">
        <f t="shared" si="73"/>
        <v/>
      </c>
      <c r="M875" s="148" t="str">
        <f t="shared" si="74"/>
        <v/>
      </c>
    </row>
    <row r="876" spans="1:13" x14ac:dyDescent="0.3">
      <c r="A876" s="149"/>
      <c r="B876" s="149"/>
      <c r="C876" s="149"/>
      <c r="D876" s="149"/>
      <c r="E876" s="149"/>
      <c r="F876" s="149"/>
      <c r="G876" s="162"/>
      <c r="H876" s="146" t="str">
        <f t="shared" si="70"/>
        <v/>
      </c>
      <c r="I876" s="161" t="str">
        <f t="shared" si="71"/>
        <v/>
      </c>
      <c r="J876" s="160" t="str">
        <f>IFERROR(INDEX(当年标准成本!I:I,MATCH(C876,当年标准成本!C:C,0),1),"")</f>
        <v/>
      </c>
      <c r="K876" s="146" t="str">
        <f t="shared" si="72"/>
        <v/>
      </c>
      <c r="L876" s="146" t="str">
        <f t="shared" si="73"/>
        <v/>
      </c>
      <c r="M876" s="148" t="str">
        <f t="shared" si="74"/>
        <v/>
      </c>
    </row>
    <row r="877" spans="1:13" x14ac:dyDescent="0.3">
      <c r="A877" s="149"/>
      <c r="B877" s="149"/>
      <c r="C877" s="149"/>
      <c r="D877" s="149"/>
      <c r="E877" s="149"/>
      <c r="F877" s="149"/>
      <c r="G877" s="162"/>
      <c r="H877" s="146" t="str">
        <f t="shared" si="70"/>
        <v/>
      </c>
      <c r="I877" s="161" t="str">
        <f t="shared" si="71"/>
        <v/>
      </c>
      <c r="J877" s="160" t="str">
        <f>IFERROR(INDEX(当年标准成本!I:I,MATCH(C877,当年标准成本!C:C,0),1),"")</f>
        <v/>
      </c>
      <c r="K877" s="146" t="str">
        <f t="shared" si="72"/>
        <v/>
      </c>
      <c r="L877" s="146" t="str">
        <f t="shared" si="73"/>
        <v/>
      </c>
      <c r="M877" s="148" t="str">
        <f t="shared" si="74"/>
        <v/>
      </c>
    </row>
    <row r="878" spans="1:13" x14ac:dyDescent="0.3">
      <c r="A878" s="149"/>
      <c r="B878" s="149"/>
      <c r="C878" s="149"/>
      <c r="D878" s="149"/>
      <c r="E878" s="149"/>
      <c r="F878" s="149"/>
      <c r="G878" s="162"/>
      <c r="H878" s="146" t="str">
        <f t="shared" si="70"/>
        <v/>
      </c>
      <c r="I878" s="161" t="str">
        <f t="shared" si="71"/>
        <v/>
      </c>
      <c r="J878" s="160" t="str">
        <f>IFERROR(INDEX(当年标准成本!I:I,MATCH(C878,当年标准成本!C:C,0),1),"")</f>
        <v/>
      </c>
      <c r="K878" s="146" t="str">
        <f t="shared" si="72"/>
        <v/>
      </c>
      <c r="L878" s="146" t="str">
        <f t="shared" si="73"/>
        <v/>
      </c>
      <c r="M878" s="148" t="str">
        <f t="shared" si="74"/>
        <v/>
      </c>
    </row>
    <row r="879" spans="1:13" x14ac:dyDescent="0.3">
      <c r="A879" s="149"/>
      <c r="B879" s="149"/>
      <c r="C879" s="149"/>
      <c r="D879" s="149"/>
      <c r="E879" s="149"/>
      <c r="F879" s="149"/>
      <c r="G879" s="162"/>
      <c r="H879" s="146" t="str">
        <f t="shared" si="70"/>
        <v/>
      </c>
      <c r="I879" s="161" t="str">
        <f t="shared" si="71"/>
        <v/>
      </c>
      <c r="J879" s="160" t="str">
        <f>IFERROR(INDEX(当年标准成本!I:I,MATCH(C879,当年标准成本!C:C,0),1),"")</f>
        <v/>
      </c>
      <c r="K879" s="146" t="str">
        <f t="shared" si="72"/>
        <v/>
      </c>
      <c r="L879" s="146" t="str">
        <f t="shared" si="73"/>
        <v/>
      </c>
      <c r="M879" s="148" t="str">
        <f t="shared" si="74"/>
        <v/>
      </c>
    </row>
    <row r="880" spans="1:13" x14ac:dyDescent="0.3">
      <c r="A880" s="149"/>
      <c r="B880" s="149"/>
      <c r="C880" s="149"/>
      <c r="D880" s="149"/>
      <c r="E880" s="149"/>
      <c r="F880" s="149"/>
      <c r="G880" s="162"/>
      <c r="H880" s="146" t="str">
        <f t="shared" si="70"/>
        <v/>
      </c>
      <c r="I880" s="161" t="str">
        <f t="shared" si="71"/>
        <v/>
      </c>
      <c r="J880" s="160" t="str">
        <f>IFERROR(INDEX(当年标准成本!I:I,MATCH(C880,当年标准成本!C:C,0),1),"")</f>
        <v/>
      </c>
      <c r="K880" s="146" t="str">
        <f t="shared" si="72"/>
        <v/>
      </c>
      <c r="L880" s="146" t="str">
        <f t="shared" si="73"/>
        <v/>
      </c>
      <c r="M880" s="148" t="str">
        <f t="shared" si="74"/>
        <v/>
      </c>
    </row>
    <row r="881" spans="1:13" x14ac:dyDescent="0.3">
      <c r="A881" s="149"/>
      <c r="B881" s="149"/>
      <c r="C881" s="149"/>
      <c r="D881" s="149"/>
      <c r="E881" s="149"/>
      <c r="F881" s="149"/>
      <c r="G881" s="162"/>
      <c r="H881" s="146" t="str">
        <f t="shared" si="70"/>
        <v/>
      </c>
      <c r="I881" s="161" t="str">
        <f t="shared" si="71"/>
        <v/>
      </c>
      <c r="J881" s="160" t="str">
        <f>IFERROR(INDEX(当年标准成本!I:I,MATCH(C881,当年标准成本!C:C,0),1),"")</f>
        <v/>
      </c>
      <c r="K881" s="146" t="str">
        <f t="shared" si="72"/>
        <v/>
      </c>
      <c r="L881" s="146" t="str">
        <f t="shared" si="73"/>
        <v/>
      </c>
      <c r="M881" s="148" t="str">
        <f t="shared" si="74"/>
        <v/>
      </c>
    </row>
    <row r="882" spans="1:13" x14ac:dyDescent="0.3">
      <c r="A882" s="149"/>
      <c r="B882" s="149"/>
      <c r="C882" s="149"/>
      <c r="D882" s="149"/>
      <c r="E882" s="149"/>
      <c r="F882" s="149"/>
      <c r="G882" s="162"/>
      <c r="H882" s="146" t="str">
        <f t="shared" si="70"/>
        <v/>
      </c>
      <c r="I882" s="161" t="str">
        <f t="shared" si="71"/>
        <v/>
      </c>
      <c r="J882" s="160" t="str">
        <f>IFERROR(INDEX(当年标准成本!I:I,MATCH(C882,当年标准成本!C:C,0),1),"")</f>
        <v/>
      </c>
      <c r="K882" s="146" t="str">
        <f t="shared" si="72"/>
        <v/>
      </c>
      <c r="L882" s="146" t="str">
        <f t="shared" si="73"/>
        <v/>
      </c>
      <c r="M882" s="148" t="str">
        <f t="shared" si="74"/>
        <v/>
      </c>
    </row>
    <row r="883" spans="1:13" x14ac:dyDescent="0.3">
      <c r="A883" s="149"/>
      <c r="B883" s="149"/>
      <c r="C883" s="149"/>
      <c r="D883" s="149"/>
      <c r="E883" s="149"/>
      <c r="F883" s="149"/>
      <c r="G883" s="162"/>
      <c r="H883" s="146" t="str">
        <f t="shared" si="70"/>
        <v/>
      </c>
      <c r="I883" s="161" t="str">
        <f t="shared" si="71"/>
        <v/>
      </c>
      <c r="J883" s="160" t="str">
        <f>IFERROR(INDEX(当年标准成本!I:I,MATCH(C883,当年标准成本!C:C,0),1),"")</f>
        <v/>
      </c>
      <c r="K883" s="146" t="str">
        <f t="shared" si="72"/>
        <v/>
      </c>
      <c r="L883" s="146" t="str">
        <f t="shared" si="73"/>
        <v/>
      </c>
      <c r="M883" s="148" t="str">
        <f t="shared" si="74"/>
        <v/>
      </c>
    </row>
    <row r="884" spans="1:13" x14ac:dyDescent="0.3">
      <c r="A884" s="149"/>
      <c r="B884" s="149"/>
      <c r="C884" s="149"/>
      <c r="D884" s="149"/>
      <c r="E884" s="149"/>
      <c r="F884" s="149"/>
      <c r="G884" s="162"/>
      <c r="H884" s="146" t="str">
        <f t="shared" si="70"/>
        <v/>
      </c>
      <c r="I884" s="161" t="str">
        <f t="shared" si="71"/>
        <v/>
      </c>
      <c r="J884" s="160" t="str">
        <f>IFERROR(INDEX(当年标准成本!I:I,MATCH(C884,当年标准成本!C:C,0),1),"")</f>
        <v/>
      </c>
      <c r="K884" s="146" t="str">
        <f t="shared" si="72"/>
        <v/>
      </c>
      <c r="L884" s="146" t="str">
        <f t="shared" si="73"/>
        <v/>
      </c>
      <c r="M884" s="148" t="str">
        <f t="shared" si="74"/>
        <v/>
      </c>
    </row>
    <row r="885" spans="1:13" x14ac:dyDescent="0.3">
      <c r="A885" s="149"/>
      <c r="B885" s="149"/>
      <c r="C885" s="149"/>
      <c r="D885" s="149"/>
      <c r="E885" s="149"/>
      <c r="F885" s="149"/>
      <c r="G885" s="162"/>
      <c r="H885" s="146" t="str">
        <f t="shared" si="70"/>
        <v/>
      </c>
      <c r="I885" s="161" t="str">
        <f t="shared" si="71"/>
        <v/>
      </c>
      <c r="J885" s="160" t="str">
        <f>IFERROR(INDEX(当年标准成本!I:I,MATCH(C885,当年标准成本!C:C,0),1),"")</f>
        <v/>
      </c>
      <c r="K885" s="146" t="str">
        <f t="shared" si="72"/>
        <v/>
      </c>
      <c r="L885" s="146" t="str">
        <f t="shared" si="73"/>
        <v/>
      </c>
      <c r="M885" s="148" t="str">
        <f t="shared" si="74"/>
        <v/>
      </c>
    </row>
    <row r="886" spans="1:13" x14ac:dyDescent="0.3">
      <c r="A886" s="149"/>
      <c r="B886" s="149"/>
      <c r="C886" s="149"/>
      <c r="D886" s="149"/>
      <c r="E886" s="149"/>
      <c r="F886" s="149"/>
      <c r="G886" s="162"/>
      <c r="H886" s="146" t="str">
        <f t="shared" si="70"/>
        <v/>
      </c>
      <c r="I886" s="161" t="str">
        <f t="shared" si="71"/>
        <v/>
      </c>
      <c r="J886" s="160" t="str">
        <f>IFERROR(INDEX(当年标准成本!I:I,MATCH(C886,当年标准成本!C:C,0),1),"")</f>
        <v/>
      </c>
      <c r="K886" s="146" t="str">
        <f t="shared" si="72"/>
        <v/>
      </c>
      <c r="L886" s="146" t="str">
        <f t="shared" si="73"/>
        <v/>
      </c>
      <c r="M886" s="148" t="str">
        <f t="shared" si="74"/>
        <v/>
      </c>
    </row>
    <row r="887" spans="1:13" x14ac:dyDescent="0.3">
      <c r="A887" s="149"/>
      <c r="B887" s="149"/>
      <c r="C887" s="149"/>
      <c r="D887" s="149"/>
      <c r="E887" s="149"/>
      <c r="F887" s="149"/>
      <c r="G887" s="162"/>
      <c r="H887" s="146" t="str">
        <f t="shared" si="70"/>
        <v/>
      </c>
      <c r="I887" s="161" t="str">
        <f t="shared" si="71"/>
        <v/>
      </c>
      <c r="J887" s="160" t="str">
        <f>IFERROR(INDEX(当年标准成本!I:I,MATCH(C887,当年标准成本!C:C,0),1),"")</f>
        <v/>
      </c>
      <c r="K887" s="146" t="str">
        <f t="shared" si="72"/>
        <v/>
      </c>
      <c r="L887" s="146" t="str">
        <f t="shared" si="73"/>
        <v/>
      </c>
      <c r="M887" s="148" t="str">
        <f t="shared" si="74"/>
        <v/>
      </c>
    </row>
    <row r="888" spans="1:13" x14ac:dyDescent="0.3">
      <c r="A888" s="149"/>
      <c r="B888" s="149"/>
      <c r="C888" s="149"/>
      <c r="D888" s="149"/>
      <c r="E888" s="149"/>
      <c r="F888" s="149"/>
      <c r="G888" s="162"/>
      <c r="H888" s="146" t="str">
        <f t="shared" si="70"/>
        <v/>
      </c>
      <c r="I888" s="161" t="str">
        <f t="shared" si="71"/>
        <v/>
      </c>
      <c r="J888" s="160" t="str">
        <f>IFERROR(INDEX(当年标准成本!I:I,MATCH(C888,当年标准成本!C:C,0),1),"")</f>
        <v/>
      </c>
      <c r="K888" s="146" t="str">
        <f t="shared" si="72"/>
        <v/>
      </c>
      <c r="L888" s="146" t="str">
        <f t="shared" si="73"/>
        <v/>
      </c>
      <c r="M888" s="148" t="str">
        <f t="shared" si="74"/>
        <v/>
      </c>
    </row>
    <row r="889" spans="1:13" x14ac:dyDescent="0.3">
      <c r="A889" s="149"/>
      <c r="B889" s="149"/>
      <c r="C889" s="149"/>
      <c r="D889" s="149"/>
      <c r="E889" s="149"/>
      <c r="F889" s="149"/>
      <c r="G889" s="162"/>
      <c r="H889" s="146" t="str">
        <f t="shared" si="70"/>
        <v/>
      </c>
      <c r="I889" s="161" t="str">
        <f t="shared" si="71"/>
        <v/>
      </c>
      <c r="J889" s="160" t="str">
        <f>IFERROR(INDEX(当年标准成本!I:I,MATCH(C889,当年标准成本!C:C,0),1),"")</f>
        <v/>
      </c>
      <c r="K889" s="146" t="str">
        <f t="shared" si="72"/>
        <v/>
      </c>
      <c r="L889" s="146" t="str">
        <f t="shared" si="73"/>
        <v/>
      </c>
      <c r="M889" s="148" t="str">
        <f t="shared" si="74"/>
        <v/>
      </c>
    </row>
    <row r="890" spans="1:13" x14ac:dyDescent="0.3">
      <c r="A890" s="149"/>
      <c r="B890" s="149"/>
      <c r="C890" s="149"/>
      <c r="D890" s="149"/>
      <c r="E890" s="149"/>
      <c r="F890" s="149"/>
      <c r="G890" s="162"/>
      <c r="H890" s="146" t="str">
        <f t="shared" si="70"/>
        <v/>
      </c>
      <c r="I890" s="161" t="str">
        <f t="shared" si="71"/>
        <v/>
      </c>
      <c r="J890" s="160" t="str">
        <f>IFERROR(INDEX(当年标准成本!I:I,MATCH(C890,当年标准成本!C:C,0),1),"")</f>
        <v/>
      </c>
      <c r="K890" s="146" t="str">
        <f t="shared" si="72"/>
        <v/>
      </c>
      <c r="L890" s="146" t="str">
        <f t="shared" si="73"/>
        <v/>
      </c>
      <c r="M890" s="148" t="str">
        <f t="shared" si="74"/>
        <v/>
      </c>
    </row>
    <row r="891" spans="1:13" x14ac:dyDescent="0.3">
      <c r="A891" s="149"/>
      <c r="B891" s="149"/>
      <c r="C891" s="149"/>
      <c r="D891" s="149"/>
      <c r="E891" s="149"/>
      <c r="F891" s="149"/>
      <c r="G891" s="162"/>
      <c r="H891" s="146" t="str">
        <f t="shared" si="70"/>
        <v/>
      </c>
      <c r="I891" s="161" t="str">
        <f t="shared" si="71"/>
        <v/>
      </c>
      <c r="J891" s="160" t="str">
        <f>IFERROR(INDEX(当年标准成本!I:I,MATCH(C891,当年标准成本!C:C,0),1),"")</f>
        <v/>
      </c>
      <c r="K891" s="146" t="str">
        <f t="shared" si="72"/>
        <v/>
      </c>
      <c r="L891" s="146" t="str">
        <f t="shared" si="73"/>
        <v/>
      </c>
      <c r="M891" s="148" t="str">
        <f t="shared" si="74"/>
        <v/>
      </c>
    </row>
    <row r="892" spans="1:13" x14ac:dyDescent="0.3">
      <c r="A892" s="149"/>
      <c r="B892" s="149"/>
      <c r="C892" s="149"/>
      <c r="D892" s="149"/>
      <c r="E892" s="149"/>
      <c r="F892" s="149"/>
      <c r="G892" s="162"/>
      <c r="H892" s="146" t="str">
        <f t="shared" si="70"/>
        <v/>
      </c>
      <c r="I892" s="161" t="str">
        <f t="shared" si="71"/>
        <v/>
      </c>
      <c r="J892" s="160" t="str">
        <f>IFERROR(INDEX(当年标准成本!I:I,MATCH(C892,当年标准成本!C:C,0),1),"")</f>
        <v/>
      </c>
      <c r="K892" s="146" t="str">
        <f t="shared" si="72"/>
        <v/>
      </c>
      <c r="L892" s="146" t="str">
        <f t="shared" si="73"/>
        <v/>
      </c>
      <c r="M892" s="148" t="str">
        <f t="shared" si="74"/>
        <v/>
      </c>
    </row>
    <row r="893" spans="1:13" x14ac:dyDescent="0.3">
      <c r="A893" s="149"/>
      <c r="B893" s="149"/>
      <c r="C893" s="149"/>
      <c r="D893" s="149"/>
      <c r="E893" s="149"/>
      <c r="F893" s="149"/>
      <c r="G893" s="162"/>
      <c r="H893" s="146" t="str">
        <f t="shared" si="70"/>
        <v/>
      </c>
      <c r="I893" s="161" t="str">
        <f t="shared" si="71"/>
        <v/>
      </c>
      <c r="J893" s="160" t="str">
        <f>IFERROR(INDEX(当年标准成本!I:I,MATCH(C893,当年标准成本!C:C,0),1),"")</f>
        <v/>
      </c>
      <c r="K893" s="146" t="str">
        <f t="shared" si="72"/>
        <v/>
      </c>
      <c r="L893" s="146" t="str">
        <f t="shared" si="73"/>
        <v/>
      </c>
      <c r="M893" s="148" t="str">
        <f t="shared" si="74"/>
        <v/>
      </c>
    </row>
    <row r="894" spans="1:13" x14ac:dyDescent="0.3">
      <c r="A894" s="149"/>
      <c r="B894" s="149"/>
      <c r="C894" s="149"/>
      <c r="D894" s="149"/>
      <c r="E894" s="149"/>
      <c r="F894" s="149"/>
      <c r="G894" s="162"/>
      <c r="H894" s="146" t="str">
        <f t="shared" si="70"/>
        <v/>
      </c>
      <c r="I894" s="161" t="str">
        <f t="shared" si="71"/>
        <v/>
      </c>
      <c r="J894" s="160" t="str">
        <f>IFERROR(INDEX(当年标准成本!I:I,MATCH(C894,当年标准成本!C:C,0),1),"")</f>
        <v/>
      </c>
      <c r="K894" s="146" t="str">
        <f t="shared" si="72"/>
        <v/>
      </c>
      <c r="L894" s="146" t="str">
        <f t="shared" si="73"/>
        <v/>
      </c>
      <c r="M894" s="148" t="str">
        <f t="shared" si="74"/>
        <v/>
      </c>
    </row>
    <row r="895" spans="1:13" x14ac:dyDescent="0.3">
      <c r="A895" s="149"/>
      <c r="B895" s="149"/>
      <c r="C895" s="149"/>
      <c r="D895" s="149"/>
      <c r="E895" s="149"/>
      <c r="F895" s="149"/>
      <c r="G895" s="162"/>
      <c r="H895" s="146" t="str">
        <f t="shared" si="70"/>
        <v/>
      </c>
      <c r="I895" s="161" t="str">
        <f t="shared" si="71"/>
        <v/>
      </c>
      <c r="J895" s="160" t="str">
        <f>IFERROR(INDEX(当年标准成本!I:I,MATCH(C895,当年标准成本!C:C,0),1),"")</f>
        <v/>
      </c>
      <c r="K895" s="146" t="str">
        <f t="shared" si="72"/>
        <v/>
      </c>
      <c r="L895" s="146" t="str">
        <f t="shared" si="73"/>
        <v/>
      </c>
      <c r="M895" s="148" t="str">
        <f t="shared" si="74"/>
        <v/>
      </c>
    </row>
    <row r="896" spans="1:13" x14ac:dyDescent="0.3">
      <c r="A896" s="149"/>
      <c r="B896" s="149"/>
      <c r="C896" s="149"/>
      <c r="D896" s="149"/>
      <c r="E896" s="149"/>
      <c r="F896" s="149"/>
      <c r="G896" s="162"/>
      <c r="H896" s="146" t="str">
        <f t="shared" si="70"/>
        <v/>
      </c>
      <c r="I896" s="161" t="str">
        <f t="shared" si="71"/>
        <v/>
      </c>
      <c r="J896" s="160" t="str">
        <f>IFERROR(INDEX(当年标准成本!I:I,MATCH(C896,当年标准成本!C:C,0),1),"")</f>
        <v/>
      </c>
      <c r="K896" s="146" t="str">
        <f t="shared" si="72"/>
        <v/>
      </c>
      <c r="L896" s="146" t="str">
        <f t="shared" si="73"/>
        <v/>
      </c>
      <c r="M896" s="148" t="str">
        <f t="shared" si="74"/>
        <v/>
      </c>
    </row>
    <row r="897" spans="1:13" x14ac:dyDescent="0.3">
      <c r="A897" s="149"/>
      <c r="B897" s="149"/>
      <c r="C897" s="149"/>
      <c r="D897" s="149"/>
      <c r="E897" s="149"/>
      <c r="F897" s="149"/>
      <c r="G897" s="162"/>
      <c r="H897" s="146" t="str">
        <f t="shared" si="70"/>
        <v/>
      </c>
      <c r="I897" s="161" t="str">
        <f t="shared" si="71"/>
        <v/>
      </c>
      <c r="J897" s="160" t="str">
        <f>IFERROR(INDEX(当年标准成本!I:I,MATCH(C897,当年标准成本!C:C,0),1),"")</f>
        <v/>
      </c>
      <c r="K897" s="146" t="str">
        <f t="shared" si="72"/>
        <v/>
      </c>
      <c r="L897" s="146" t="str">
        <f t="shared" si="73"/>
        <v/>
      </c>
      <c r="M897" s="148" t="str">
        <f t="shared" si="74"/>
        <v/>
      </c>
    </row>
    <row r="898" spans="1:13" x14ac:dyDescent="0.3">
      <c r="A898" s="149"/>
      <c r="B898" s="149"/>
      <c r="C898" s="149"/>
      <c r="D898" s="149"/>
      <c r="E898" s="149"/>
      <c r="F898" s="149"/>
      <c r="G898" s="162"/>
      <c r="H898" s="146" t="str">
        <f t="shared" si="70"/>
        <v/>
      </c>
      <c r="I898" s="161" t="str">
        <f t="shared" si="71"/>
        <v/>
      </c>
      <c r="J898" s="160" t="str">
        <f>IFERROR(INDEX(当年标准成本!I:I,MATCH(C898,当年标准成本!C:C,0),1),"")</f>
        <v/>
      </c>
      <c r="K898" s="146" t="str">
        <f t="shared" si="72"/>
        <v/>
      </c>
      <c r="L898" s="146" t="str">
        <f t="shared" si="73"/>
        <v/>
      </c>
      <c r="M898" s="148" t="str">
        <f t="shared" si="74"/>
        <v/>
      </c>
    </row>
    <row r="899" spans="1:13" x14ac:dyDescent="0.3">
      <c r="A899" s="149"/>
      <c r="B899" s="149"/>
      <c r="C899" s="149"/>
      <c r="D899" s="149"/>
      <c r="E899" s="149"/>
      <c r="F899" s="149"/>
      <c r="G899" s="162"/>
      <c r="H899" s="146" t="str">
        <f t="shared" si="70"/>
        <v/>
      </c>
      <c r="I899" s="161" t="str">
        <f t="shared" si="71"/>
        <v/>
      </c>
      <c r="J899" s="160" t="str">
        <f>IFERROR(INDEX(当年标准成本!I:I,MATCH(C899,当年标准成本!C:C,0),1),"")</f>
        <v/>
      </c>
      <c r="K899" s="146" t="str">
        <f t="shared" si="72"/>
        <v/>
      </c>
      <c r="L899" s="146" t="str">
        <f t="shared" si="73"/>
        <v/>
      </c>
      <c r="M899" s="148" t="str">
        <f t="shared" si="74"/>
        <v/>
      </c>
    </row>
    <row r="900" spans="1:13" x14ac:dyDescent="0.3">
      <c r="A900" s="149"/>
      <c r="B900" s="149"/>
      <c r="C900" s="149"/>
      <c r="D900" s="149"/>
      <c r="E900" s="149"/>
      <c r="F900" s="149"/>
      <c r="G900" s="162"/>
      <c r="H900" s="146" t="str">
        <f t="shared" si="70"/>
        <v/>
      </c>
      <c r="I900" s="161" t="str">
        <f t="shared" si="71"/>
        <v/>
      </c>
      <c r="J900" s="160" t="str">
        <f>IFERROR(INDEX(当年标准成本!I:I,MATCH(C900,当年标准成本!C:C,0),1),"")</f>
        <v/>
      </c>
      <c r="K900" s="146" t="str">
        <f t="shared" si="72"/>
        <v/>
      </c>
      <c r="L900" s="146" t="str">
        <f t="shared" si="73"/>
        <v/>
      </c>
      <c r="M900" s="148" t="str">
        <f t="shared" si="74"/>
        <v/>
      </c>
    </row>
    <row r="901" spans="1:13" x14ac:dyDescent="0.3">
      <c r="A901" s="149"/>
      <c r="B901" s="149"/>
      <c r="C901" s="149"/>
      <c r="D901" s="149"/>
      <c r="E901" s="149"/>
      <c r="F901" s="149"/>
      <c r="G901" s="162"/>
      <c r="H901" s="146" t="str">
        <f t="shared" si="70"/>
        <v/>
      </c>
      <c r="I901" s="161" t="str">
        <f t="shared" si="71"/>
        <v/>
      </c>
      <c r="J901" s="160" t="str">
        <f>IFERROR(INDEX(当年标准成本!I:I,MATCH(C901,当年标准成本!C:C,0),1),"")</f>
        <v/>
      </c>
      <c r="K901" s="146" t="str">
        <f t="shared" si="72"/>
        <v/>
      </c>
      <c r="L901" s="146" t="str">
        <f t="shared" si="73"/>
        <v/>
      </c>
      <c r="M901" s="148" t="str">
        <f t="shared" si="74"/>
        <v/>
      </c>
    </row>
    <row r="902" spans="1:13" x14ac:dyDescent="0.3">
      <c r="A902" s="149"/>
      <c r="B902" s="149"/>
      <c r="C902" s="149"/>
      <c r="D902" s="149"/>
      <c r="E902" s="149"/>
      <c r="F902" s="149"/>
      <c r="G902" s="162"/>
      <c r="H902" s="146" t="str">
        <f t="shared" si="70"/>
        <v/>
      </c>
      <c r="I902" s="161" t="str">
        <f t="shared" si="71"/>
        <v/>
      </c>
      <c r="J902" s="160" t="str">
        <f>IFERROR(INDEX(当年标准成本!I:I,MATCH(C902,当年标准成本!C:C,0),1),"")</f>
        <v/>
      </c>
      <c r="K902" s="146" t="str">
        <f t="shared" si="72"/>
        <v/>
      </c>
      <c r="L902" s="146" t="str">
        <f t="shared" si="73"/>
        <v/>
      </c>
      <c r="M902" s="148" t="str">
        <f t="shared" si="74"/>
        <v/>
      </c>
    </row>
    <row r="903" spans="1:13" x14ac:dyDescent="0.3">
      <c r="A903" s="149"/>
      <c r="B903" s="149"/>
      <c r="C903" s="149"/>
      <c r="D903" s="149"/>
      <c r="E903" s="149"/>
      <c r="F903" s="149"/>
      <c r="G903" s="162"/>
      <c r="H903" s="146" t="str">
        <f t="shared" si="70"/>
        <v/>
      </c>
      <c r="I903" s="161" t="str">
        <f t="shared" si="71"/>
        <v/>
      </c>
      <c r="J903" s="160" t="str">
        <f>IFERROR(INDEX(当年标准成本!I:I,MATCH(C903,当年标准成本!C:C,0),1),"")</f>
        <v/>
      </c>
      <c r="K903" s="146" t="str">
        <f t="shared" si="72"/>
        <v/>
      </c>
      <c r="L903" s="146" t="str">
        <f t="shared" si="73"/>
        <v/>
      </c>
      <c r="M903" s="148" t="str">
        <f t="shared" si="74"/>
        <v/>
      </c>
    </row>
    <row r="904" spans="1:13" x14ac:dyDescent="0.3">
      <c r="A904" s="149"/>
      <c r="B904" s="149"/>
      <c r="C904" s="149"/>
      <c r="D904" s="149"/>
      <c r="E904" s="149"/>
      <c r="F904" s="149"/>
      <c r="G904" s="162"/>
      <c r="H904" s="146" t="str">
        <f t="shared" si="70"/>
        <v/>
      </c>
      <c r="I904" s="161" t="str">
        <f t="shared" si="71"/>
        <v/>
      </c>
      <c r="J904" s="160" t="str">
        <f>IFERROR(INDEX(当年标准成本!I:I,MATCH(C904,当年标准成本!C:C,0),1),"")</f>
        <v/>
      </c>
      <c r="K904" s="146" t="str">
        <f t="shared" si="72"/>
        <v/>
      </c>
      <c r="L904" s="146" t="str">
        <f t="shared" si="73"/>
        <v/>
      </c>
      <c r="M904" s="148" t="str">
        <f t="shared" si="74"/>
        <v/>
      </c>
    </row>
    <row r="905" spans="1:13" x14ac:dyDescent="0.3">
      <c r="A905" s="149"/>
      <c r="B905" s="149"/>
      <c r="C905" s="149"/>
      <c r="D905" s="149"/>
      <c r="E905" s="149"/>
      <c r="F905" s="149"/>
      <c r="G905" s="162"/>
      <c r="H905" s="146" t="str">
        <f t="shared" si="70"/>
        <v/>
      </c>
      <c r="I905" s="161" t="str">
        <f t="shared" si="71"/>
        <v/>
      </c>
      <c r="J905" s="160" t="str">
        <f>IFERROR(INDEX(当年标准成本!I:I,MATCH(C905,当年标准成本!C:C,0),1),"")</f>
        <v/>
      </c>
      <c r="K905" s="146" t="str">
        <f t="shared" si="72"/>
        <v/>
      </c>
      <c r="L905" s="146" t="str">
        <f t="shared" si="73"/>
        <v/>
      </c>
      <c r="M905" s="148" t="str">
        <f t="shared" si="74"/>
        <v/>
      </c>
    </row>
    <row r="906" spans="1:13" x14ac:dyDescent="0.3">
      <c r="A906" s="149"/>
      <c r="B906" s="149"/>
      <c r="C906" s="149"/>
      <c r="D906" s="149"/>
      <c r="E906" s="149"/>
      <c r="F906" s="149"/>
      <c r="G906" s="162"/>
      <c r="H906" s="146" t="str">
        <f t="shared" si="70"/>
        <v/>
      </c>
      <c r="I906" s="161" t="str">
        <f t="shared" si="71"/>
        <v/>
      </c>
      <c r="J906" s="160" t="str">
        <f>IFERROR(INDEX(当年标准成本!I:I,MATCH(C906,当年标准成本!C:C,0),1),"")</f>
        <v/>
      </c>
      <c r="K906" s="146" t="str">
        <f t="shared" si="72"/>
        <v/>
      </c>
      <c r="L906" s="146" t="str">
        <f t="shared" si="73"/>
        <v/>
      </c>
      <c r="M906" s="148" t="str">
        <f t="shared" si="74"/>
        <v/>
      </c>
    </row>
    <row r="907" spans="1:13" x14ac:dyDescent="0.3">
      <c r="A907" s="149"/>
      <c r="B907" s="149"/>
      <c r="C907" s="149"/>
      <c r="D907" s="149"/>
      <c r="E907" s="149"/>
      <c r="F907" s="149"/>
      <c r="G907" s="162"/>
      <c r="H907" s="146" t="str">
        <f t="shared" si="70"/>
        <v/>
      </c>
      <c r="I907" s="161" t="str">
        <f t="shared" si="71"/>
        <v/>
      </c>
      <c r="J907" s="160" t="str">
        <f>IFERROR(INDEX(当年标准成本!I:I,MATCH(C907,当年标准成本!C:C,0),1),"")</f>
        <v/>
      </c>
      <c r="K907" s="146" t="str">
        <f t="shared" si="72"/>
        <v/>
      </c>
      <c r="L907" s="146" t="str">
        <f t="shared" si="73"/>
        <v/>
      </c>
      <c r="M907" s="148" t="str">
        <f t="shared" si="74"/>
        <v/>
      </c>
    </row>
    <row r="908" spans="1:13" x14ac:dyDescent="0.3">
      <c r="A908" s="149"/>
      <c r="B908" s="149"/>
      <c r="C908" s="149"/>
      <c r="D908" s="149"/>
      <c r="E908" s="149"/>
      <c r="F908" s="149"/>
      <c r="G908" s="162"/>
      <c r="H908" s="146" t="str">
        <f t="shared" ref="H908:H971" si="75">IFERROR(F908/E908,"")</f>
        <v/>
      </c>
      <c r="I908" s="161" t="str">
        <f t="shared" ref="I908:I971" si="76">IFERROR(H908*(1+G908),"")</f>
        <v/>
      </c>
      <c r="J908" s="160" t="str">
        <f>IFERROR(INDEX(当年标准成本!I:I,MATCH(C908,当年标准成本!C:C,0),1),"")</f>
        <v/>
      </c>
      <c r="K908" s="146" t="str">
        <f t="shared" ref="K908:K971" si="77">IFERROR(E908*J908,"")</f>
        <v/>
      </c>
      <c r="L908" s="146" t="str">
        <f t="shared" ref="L908:L971" si="78">IFERROR(F908-K908,"")</f>
        <v/>
      </c>
      <c r="M908" s="148" t="str">
        <f t="shared" ref="M908:M971" si="79">IFERROR(L908/F908,"")</f>
        <v/>
      </c>
    </row>
    <row r="909" spans="1:13" x14ac:dyDescent="0.3">
      <c r="A909" s="149"/>
      <c r="B909" s="149"/>
      <c r="C909" s="149"/>
      <c r="D909" s="149"/>
      <c r="E909" s="149"/>
      <c r="F909" s="149"/>
      <c r="G909" s="162"/>
      <c r="H909" s="146" t="str">
        <f t="shared" si="75"/>
        <v/>
      </c>
      <c r="I909" s="161" t="str">
        <f t="shared" si="76"/>
        <v/>
      </c>
      <c r="J909" s="160" t="str">
        <f>IFERROR(INDEX(当年标准成本!I:I,MATCH(C909,当年标准成本!C:C,0),1),"")</f>
        <v/>
      </c>
      <c r="K909" s="146" t="str">
        <f t="shared" si="77"/>
        <v/>
      </c>
      <c r="L909" s="146" t="str">
        <f t="shared" si="78"/>
        <v/>
      </c>
      <c r="M909" s="148" t="str">
        <f t="shared" si="79"/>
        <v/>
      </c>
    </row>
    <row r="910" spans="1:13" x14ac:dyDescent="0.3">
      <c r="A910" s="149"/>
      <c r="B910" s="149"/>
      <c r="C910" s="149"/>
      <c r="D910" s="149"/>
      <c r="E910" s="149"/>
      <c r="F910" s="149"/>
      <c r="G910" s="162"/>
      <c r="H910" s="146" t="str">
        <f t="shared" si="75"/>
        <v/>
      </c>
      <c r="I910" s="161" t="str">
        <f t="shared" si="76"/>
        <v/>
      </c>
      <c r="J910" s="160" t="str">
        <f>IFERROR(INDEX(当年标准成本!I:I,MATCH(C910,当年标准成本!C:C,0),1),"")</f>
        <v/>
      </c>
      <c r="K910" s="146" t="str">
        <f t="shared" si="77"/>
        <v/>
      </c>
      <c r="L910" s="146" t="str">
        <f t="shared" si="78"/>
        <v/>
      </c>
      <c r="M910" s="148" t="str">
        <f t="shared" si="79"/>
        <v/>
      </c>
    </row>
    <row r="911" spans="1:13" x14ac:dyDescent="0.3">
      <c r="A911" s="149"/>
      <c r="B911" s="149"/>
      <c r="C911" s="149"/>
      <c r="D911" s="149"/>
      <c r="E911" s="149"/>
      <c r="F911" s="149"/>
      <c r="G911" s="162"/>
      <c r="H911" s="146" t="str">
        <f t="shared" si="75"/>
        <v/>
      </c>
      <c r="I911" s="161" t="str">
        <f t="shared" si="76"/>
        <v/>
      </c>
      <c r="J911" s="160" t="str">
        <f>IFERROR(INDEX(当年标准成本!I:I,MATCH(C911,当年标准成本!C:C,0),1),"")</f>
        <v/>
      </c>
      <c r="K911" s="146" t="str">
        <f t="shared" si="77"/>
        <v/>
      </c>
      <c r="L911" s="146" t="str">
        <f t="shared" si="78"/>
        <v/>
      </c>
      <c r="M911" s="148" t="str">
        <f t="shared" si="79"/>
        <v/>
      </c>
    </row>
    <row r="912" spans="1:13" x14ac:dyDescent="0.3">
      <c r="A912" s="149"/>
      <c r="B912" s="149"/>
      <c r="C912" s="149"/>
      <c r="D912" s="149"/>
      <c r="E912" s="149"/>
      <c r="F912" s="149"/>
      <c r="G912" s="162"/>
      <c r="H912" s="146" t="str">
        <f t="shared" si="75"/>
        <v/>
      </c>
      <c r="I912" s="161" t="str">
        <f t="shared" si="76"/>
        <v/>
      </c>
      <c r="J912" s="160" t="str">
        <f>IFERROR(INDEX(当年标准成本!I:I,MATCH(C912,当年标准成本!C:C,0),1),"")</f>
        <v/>
      </c>
      <c r="K912" s="146" t="str">
        <f t="shared" si="77"/>
        <v/>
      </c>
      <c r="L912" s="146" t="str">
        <f t="shared" si="78"/>
        <v/>
      </c>
      <c r="M912" s="148" t="str">
        <f t="shared" si="79"/>
        <v/>
      </c>
    </row>
    <row r="913" spans="1:13" x14ac:dyDescent="0.3">
      <c r="A913" s="149"/>
      <c r="B913" s="149"/>
      <c r="C913" s="149"/>
      <c r="D913" s="149"/>
      <c r="E913" s="149"/>
      <c r="F913" s="149"/>
      <c r="G913" s="162"/>
      <c r="H913" s="146" t="str">
        <f t="shared" si="75"/>
        <v/>
      </c>
      <c r="I913" s="161" t="str">
        <f t="shared" si="76"/>
        <v/>
      </c>
      <c r="J913" s="160" t="str">
        <f>IFERROR(INDEX(当年标准成本!I:I,MATCH(C913,当年标准成本!C:C,0),1),"")</f>
        <v/>
      </c>
      <c r="K913" s="146" t="str">
        <f t="shared" si="77"/>
        <v/>
      </c>
      <c r="L913" s="146" t="str">
        <f t="shared" si="78"/>
        <v/>
      </c>
      <c r="M913" s="148" t="str">
        <f t="shared" si="79"/>
        <v/>
      </c>
    </row>
    <row r="914" spans="1:13" x14ac:dyDescent="0.3">
      <c r="A914" s="149"/>
      <c r="B914" s="149"/>
      <c r="C914" s="149"/>
      <c r="D914" s="149"/>
      <c r="E914" s="149"/>
      <c r="F914" s="149"/>
      <c r="G914" s="162"/>
      <c r="H914" s="146" t="str">
        <f t="shared" si="75"/>
        <v/>
      </c>
      <c r="I914" s="161" t="str">
        <f t="shared" si="76"/>
        <v/>
      </c>
      <c r="J914" s="160" t="str">
        <f>IFERROR(INDEX(当年标准成本!I:I,MATCH(C914,当年标准成本!C:C,0),1),"")</f>
        <v/>
      </c>
      <c r="K914" s="146" t="str">
        <f t="shared" si="77"/>
        <v/>
      </c>
      <c r="L914" s="146" t="str">
        <f t="shared" si="78"/>
        <v/>
      </c>
      <c r="M914" s="148" t="str">
        <f t="shared" si="79"/>
        <v/>
      </c>
    </row>
    <row r="915" spans="1:13" x14ac:dyDescent="0.3">
      <c r="A915" s="149"/>
      <c r="B915" s="149"/>
      <c r="C915" s="149"/>
      <c r="D915" s="149"/>
      <c r="E915" s="149"/>
      <c r="F915" s="149"/>
      <c r="G915" s="162"/>
      <c r="H915" s="146" t="str">
        <f t="shared" si="75"/>
        <v/>
      </c>
      <c r="I915" s="161" t="str">
        <f t="shared" si="76"/>
        <v/>
      </c>
      <c r="J915" s="160" t="str">
        <f>IFERROR(INDEX(当年标准成本!I:I,MATCH(C915,当年标准成本!C:C,0),1),"")</f>
        <v/>
      </c>
      <c r="K915" s="146" t="str">
        <f t="shared" si="77"/>
        <v/>
      </c>
      <c r="L915" s="146" t="str">
        <f t="shared" si="78"/>
        <v/>
      </c>
      <c r="M915" s="148" t="str">
        <f t="shared" si="79"/>
        <v/>
      </c>
    </row>
    <row r="916" spans="1:13" x14ac:dyDescent="0.3">
      <c r="A916" s="149"/>
      <c r="B916" s="149"/>
      <c r="C916" s="149"/>
      <c r="D916" s="149"/>
      <c r="E916" s="149"/>
      <c r="F916" s="149"/>
      <c r="G916" s="162"/>
      <c r="H916" s="146" t="str">
        <f t="shared" si="75"/>
        <v/>
      </c>
      <c r="I916" s="161" t="str">
        <f t="shared" si="76"/>
        <v/>
      </c>
      <c r="J916" s="160" t="str">
        <f>IFERROR(INDEX(当年标准成本!I:I,MATCH(C916,当年标准成本!C:C,0),1),"")</f>
        <v/>
      </c>
      <c r="K916" s="146" t="str">
        <f t="shared" si="77"/>
        <v/>
      </c>
      <c r="L916" s="146" t="str">
        <f t="shared" si="78"/>
        <v/>
      </c>
      <c r="M916" s="148" t="str">
        <f t="shared" si="79"/>
        <v/>
      </c>
    </row>
    <row r="917" spans="1:13" x14ac:dyDescent="0.3">
      <c r="A917" s="149"/>
      <c r="B917" s="149"/>
      <c r="C917" s="149"/>
      <c r="D917" s="149"/>
      <c r="E917" s="149"/>
      <c r="F917" s="149"/>
      <c r="G917" s="162"/>
      <c r="H917" s="146" t="str">
        <f t="shared" si="75"/>
        <v/>
      </c>
      <c r="I917" s="161" t="str">
        <f t="shared" si="76"/>
        <v/>
      </c>
      <c r="J917" s="160" t="str">
        <f>IFERROR(INDEX(当年标准成本!I:I,MATCH(C917,当年标准成本!C:C,0),1),"")</f>
        <v/>
      </c>
      <c r="K917" s="146" t="str">
        <f t="shared" si="77"/>
        <v/>
      </c>
      <c r="L917" s="146" t="str">
        <f t="shared" si="78"/>
        <v/>
      </c>
      <c r="M917" s="148" t="str">
        <f t="shared" si="79"/>
        <v/>
      </c>
    </row>
    <row r="918" spans="1:13" x14ac:dyDescent="0.3">
      <c r="A918" s="149"/>
      <c r="B918" s="149"/>
      <c r="C918" s="149"/>
      <c r="D918" s="149"/>
      <c r="E918" s="149"/>
      <c r="F918" s="149"/>
      <c r="G918" s="162"/>
      <c r="H918" s="146" t="str">
        <f t="shared" si="75"/>
        <v/>
      </c>
      <c r="I918" s="161" t="str">
        <f t="shared" si="76"/>
        <v/>
      </c>
      <c r="J918" s="160" t="str">
        <f>IFERROR(INDEX(当年标准成本!I:I,MATCH(C918,当年标准成本!C:C,0),1),"")</f>
        <v/>
      </c>
      <c r="K918" s="146" t="str">
        <f t="shared" si="77"/>
        <v/>
      </c>
      <c r="L918" s="146" t="str">
        <f t="shared" si="78"/>
        <v/>
      </c>
      <c r="M918" s="148" t="str">
        <f t="shared" si="79"/>
        <v/>
      </c>
    </row>
    <row r="919" spans="1:13" x14ac:dyDescent="0.3">
      <c r="A919" s="149"/>
      <c r="B919" s="149"/>
      <c r="C919" s="149"/>
      <c r="D919" s="149"/>
      <c r="E919" s="149"/>
      <c r="F919" s="149"/>
      <c r="G919" s="162"/>
      <c r="H919" s="146" t="str">
        <f t="shared" si="75"/>
        <v/>
      </c>
      <c r="I919" s="161" t="str">
        <f t="shared" si="76"/>
        <v/>
      </c>
      <c r="J919" s="160" t="str">
        <f>IFERROR(INDEX(当年标准成本!I:I,MATCH(C919,当年标准成本!C:C,0),1),"")</f>
        <v/>
      </c>
      <c r="K919" s="146" t="str">
        <f t="shared" si="77"/>
        <v/>
      </c>
      <c r="L919" s="146" t="str">
        <f t="shared" si="78"/>
        <v/>
      </c>
      <c r="M919" s="148" t="str">
        <f t="shared" si="79"/>
        <v/>
      </c>
    </row>
    <row r="920" spans="1:13" x14ac:dyDescent="0.3">
      <c r="A920" s="149"/>
      <c r="B920" s="149"/>
      <c r="C920" s="149"/>
      <c r="D920" s="149"/>
      <c r="E920" s="149"/>
      <c r="F920" s="149"/>
      <c r="G920" s="162"/>
      <c r="H920" s="146" t="str">
        <f t="shared" si="75"/>
        <v/>
      </c>
      <c r="I920" s="161" t="str">
        <f t="shared" si="76"/>
        <v/>
      </c>
      <c r="J920" s="160" t="str">
        <f>IFERROR(INDEX(当年标准成本!I:I,MATCH(C920,当年标准成本!C:C,0),1),"")</f>
        <v/>
      </c>
      <c r="K920" s="146" t="str">
        <f t="shared" si="77"/>
        <v/>
      </c>
      <c r="L920" s="146" t="str">
        <f t="shared" si="78"/>
        <v/>
      </c>
      <c r="M920" s="148" t="str">
        <f t="shared" si="79"/>
        <v/>
      </c>
    </row>
    <row r="921" spans="1:13" x14ac:dyDescent="0.3">
      <c r="A921" s="149"/>
      <c r="B921" s="149"/>
      <c r="C921" s="149"/>
      <c r="D921" s="149"/>
      <c r="E921" s="149"/>
      <c r="F921" s="149"/>
      <c r="G921" s="162"/>
      <c r="H921" s="146" t="str">
        <f t="shared" si="75"/>
        <v/>
      </c>
      <c r="I921" s="161" t="str">
        <f t="shared" si="76"/>
        <v/>
      </c>
      <c r="J921" s="160" t="str">
        <f>IFERROR(INDEX(当年标准成本!I:I,MATCH(C921,当年标准成本!C:C,0),1),"")</f>
        <v/>
      </c>
      <c r="K921" s="146" t="str">
        <f t="shared" si="77"/>
        <v/>
      </c>
      <c r="L921" s="146" t="str">
        <f t="shared" si="78"/>
        <v/>
      </c>
      <c r="M921" s="148" t="str">
        <f t="shared" si="79"/>
        <v/>
      </c>
    </row>
    <row r="922" spans="1:13" x14ac:dyDescent="0.3">
      <c r="A922" s="149"/>
      <c r="B922" s="149"/>
      <c r="C922" s="149"/>
      <c r="D922" s="149"/>
      <c r="E922" s="149"/>
      <c r="F922" s="149"/>
      <c r="G922" s="162"/>
      <c r="H922" s="146" t="str">
        <f t="shared" si="75"/>
        <v/>
      </c>
      <c r="I922" s="161" t="str">
        <f t="shared" si="76"/>
        <v/>
      </c>
      <c r="J922" s="160" t="str">
        <f>IFERROR(INDEX(当年标准成本!I:I,MATCH(C922,当年标准成本!C:C,0),1),"")</f>
        <v/>
      </c>
      <c r="K922" s="146" t="str">
        <f t="shared" si="77"/>
        <v/>
      </c>
      <c r="L922" s="146" t="str">
        <f t="shared" si="78"/>
        <v/>
      </c>
      <c r="M922" s="148" t="str">
        <f t="shared" si="79"/>
        <v/>
      </c>
    </row>
    <row r="923" spans="1:13" x14ac:dyDescent="0.3">
      <c r="A923" s="149"/>
      <c r="B923" s="149"/>
      <c r="C923" s="149"/>
      <c r="D923" s="149"/>
      <c r="E923" s="149"/>
      <c r="F923" s="149"/>
      <c r="G923" s="162"/>
      <c r="H923" s="146" t="str">
        <f t="shared" si="75"/>
        <v/>
      </c>
      <c r="I923" s="161" t="str">
        <f t="shared" si="76"/>
        <v/>
      </c>
      <c r="J923" s="160" t="str">
        <f>IFERROR(INDEX(当年标准成本!I:I,MATCH(C923,当年标准成本!C:C,0),1),"")</f>
        <v/>
      </c>
      <c r="K923" s="146" t="str">
        <f t="shared" si="77"/>
        <v/>
      </c>
      <c r="L923" s="146" t="str">
        <f t="shared" si="78"/>
        <v/>
      </c>
      <c r="M923" s="148" t="str">
        <f t="shared" si="79"/>
        <v/>
      </c>
    </row>
    <row r="924" spans="1:13" x14ac:dyDescent="0.3">
      <c r="A924" s="149"/>
      <c r="B924" s="149"/>
      <c r="C924" s="149"/>
      <c r="D924" s="149"/>
      <c r="E924" s="149"/>
      <c r="F924" s="149"/>
      <c r="G924" s="162"/>
      <c r="H924" s="146" t="str">
        <f t="shared" si="75"/>
        <v/>
      </c>
      <c r="I924" s="161" t="str">
        <f t="shared" si="76"/>
        <v/>
      </c>
      <c r="J924" s="160" t="str">
        <f>IFERROR(INDEX(当年标准成本!I:I,MATCH(C924,当年标准成本!C:C,0),1),"")</f>
        <v/>
      </c>
      <c r="K924" s="146" t="str">
        <f t="shared" si="77"/>
        <v/>
      </c>
      <c r="L924" s="146" t="str">
        <f t="shared" si="78"/>
        <v/>
      </c>
      <c r="M924" s="148" t="str">
        <f t="shared" si="79"/>
        <v/>
      </c>
    </row>
    <row r="925" spans="1:13" x14ac:dyDescent="0.3">
      <c r="A925" s="149"/>
      <c r="B925" s="149"/>
      <c r="C925" s="149"/>
      <c r="D925" s="149"/>
      <c r="E925" s="149"/>
      <c r="F925" s="149"/>
      <c r="G925" s="162"/>
      <c r="H925" s="146" t="str">
        <f t="shared" si="75"/>
        <v/>
      </c>
      <c r="I925" s="161" t="str">
        <f t="shared" si="76"/>
        <v/>
      </c>
      <c r="J925" s="160" t="str">
        <f>IFERROR(INDEX(当年标准成本!I:I,MATCH(C925,当年标准成本!C:C,0),1),"")</f>
        <v/>
      </c>
      <c r="K925" s="146" t="str">
        <f t="shared" si="77"/>
        <v/>
      </c>
      <c r="L925" s="146" t="str">
        <f t="shared" si="78"/>
        <v/>
      </c>
      <c r="M925" s="148" t="str">
        <f t="shared" si="79"/>
        <v/>
      </c>
    </row>
    <row r="926" spans="1:13" x14ac:dyDescent="0.3">
      <c r="A926" s="149"/>
      <c r="B926" s="149"/>
      <c r="C926" s="149"/>
      <c r="D926" s="149"/>
      <c r="E926" s="149"/>
      <c r="F926" s="149"/>
      <c r="G926" s="162"/>
      <c r="H926" s="146" t="str">
        <f t="shared" si="75"/>
        <v/>
      </c>
      <c r="I926" s="161" t="str">
        <f t="shared" si="76"/>
        <v/>
      </c>
      <c r="J926" s="160" t="str">
        <f>IFERROR(INDEX(当年标准成本!I:I,MATCH(C926,当年标准成本!C:C,0),1),"")</f>
        <v/>
      </c>
      <c r="K926" s="146" t="str">
        <f t="shared" si="77"/>
        <v/>
      </c>
      <c r="L926" s="146" t="str">
        <f t="shared" si="78"/>
        <v/>
      </c>
      <c r="M926" s="148" t="str">
        <f t="shared" si="79"/>
        <v/>
      </c>
    </row>
    <row r="927" spans="1:13" x14ac:dyDescent="0.3">
      <c r="A927" s="149"/>
      <c r="B927" s="149"/>
      <c r="C927" s="149"/>
      <c r="D927" s="149"/>
      <c r="E927" s="149"/>
      <c r="F927" s="149"/>
      <c r="G927" s="162"/>
      <c r="H927" s="146" t="str">
        <f t="shared" si="75"/>
        <v/>
      </c>
      <c r="I927" s="161" t="str">
        <f t="shared" si="76"/>
        <v/>
      </c>
      <c r="J927" s="160" t="str">
        <f>IFERROR(INDEX(当年标准成本!I:I,MATCH(C927,当年标准成本!C:C,0),1),"")</f>
        <v/>
      </c>
      <c r="K927" s="146" t="str">
        <f t="shared" si="77"/>
        <v/>
      </c>
      <c r="L927" s="146" t="str">
        <f t="shared" si="78"/>
        <v/>
      </c>
      <c r="M927" s="148" t="str">
        <f t="shared" si="79"/>
        <v/>
      </c>
    </row>
    <row r="928" spans="1:13" x14ac:dyDescent="0.3">
      <c r="A928" s="149"/>
      <c r="B928" s="149"/>
      <c r="C928" s="149"/>
      <c r="D928" s="149"/>
      <c r="E928" s="149"/>
      <c r="F928" s="149"/>
      <c r="G928" s="162"/>
      <c r="H928" s="146" t="str">
        <f t="shared" si="75"/>
        <v/>
      </c>
      <c r="I928" s="161" t="str">
        <f t="shared" si="76"/>
        <v/>
      </c>
      <c r="J928" s="160" t="str">
        <f>IFERROR(INDEX(当年标准成本!I:I,MATCH(C928,当年标准成本!C:C,0),1),"")</f>
        <v/>
      </c>
      <c r="K928" s="146" t="str">
        <f t="shared" si="77"/>
        <v/>
      </c>
      <c r="L928" s="146" t="str">
        <f t="shared" si="78"/>
        <v/>
      </c>
      <c r="M928" s="148" t="str">
        <f t="shared" si="79"/>
        <v/>
      </c>
    </row>
    <row r="929" spans="1:13" x14ac:dyDescent="0.3">
      <c r="A929" s="149"/>
      <c r="B929" s="149"/>
      <c r="C929" s="149"/>
      <c r="D929" s="149"/>
      <c r="E929" s="149"/>
      <c r="F929" s="149"/>
      <c r="G929" s="162"/>
      <c r="H929" s="146" t="str">
        <f t="shared" si="75"/>
        <v/>
      </c>
      <c r="I929" s="161" t="str">
        <f t="shared" si="76"/>
        <v/>
      </c>
      <c r="J929" s="160" t="str">
        <f>IFERROR(INDEX(当年标准成本!I:I,MATCH(C929,当年标准成本!C:C,0),1),"")</f>
        <v/>
      </c>
      <c r="K929" s="146" t="str">
        <f t="shared" si="77"/>
        <v/>
      </c>
      <c r="L929" s="146" t="str">
        <f t="shared" si="78"/>
        <v/>
      </c>
      <c r="M929" s="148" t="str">
        <f t="shared" si="79"/>
        <v/>
      </c>
    </row>
    <row r="930" spans="1:13" x14ac:dyDescent="0.3">
      <c r="A930" s="149"/>
      <c r="B930" s="149"/>
      <c r="C930" s="149"/>
      <c r="D930" s="149"/>
      <c r="E930" s="149"/>
      <c r="F930" s="149"/>
      <c r="G930" s="162"/>
      <c r="H930" s="146" t="str">
        <f t="shared" si="75"/>
        <v/>
      </c>
      <c r="I930" s="161" t="str">
        <f t="shared" si="76"/>
        <v/>
      </c>
      <c r="J930" s="160" t="str">
        <f>IFERROR(INDEX(当年标准成本!I:I,MATCH(C930,当年标准成本!C:C,0),1),"")</f>
        <v/>
      </c>
      <c r="K930" s="146" t="str">
        <f t="shared" si="77"/>
        <v/>
      </c>
      <c r="L930" s="146" t="str">
        <f t="shared" si="78"/>
        <v/>
      </c>
      <c r="M930" s="148" t="str">
        <f t="shared" si="79"/>
        <v/>
      </c>
    </row>
    <row r="931" spans="1:13" x14ac:dyDescent="0.3">
      <c r="A931" s="149"/>
      <c r="B931" s="149"/>
      <c r="C931" s="149"/>
      <c r="D931" s="149"/>
      <c r="E931" s="149"/>
      <c r="F931" s="149"/>
      <c r="G931" s="162"/>
      <c r="H931" s="146" t="str">
        <f t="shared" si="75"/>
        <v/>
      </c>
      <c r="I931" s="161" t="str">
        <f t="shared" si="76"/>
        <v/>
      </c>
      <c r="J931" s="160" t="str">
        <f>IFERROR(INDEX(当年标准成本!I:I,MATCH(C931,当年标准成本!C:C,0),1),"")</f>
        <v/>
      </c>
      <c r="K931" s="146" t="str">
        <f t="shared" si="77"/>
        <v/>
      </c>
      <c r="L931" s="146" t="str">
        <f t="shared" si="78"/>
        <v/>
      </c>
      <c r="M931" s="148" t="str">
        <f t="shared" si="79"/>
        <v/>
      </c>
    </row>
    <row r="932" spans="1:13" x14ac:dyDescent="0.3">
      <c r="A932" s="149"/>
      <c r="B932" s="149"/>
      <c r="C932" s="149"/>
      <c r="D932" s="149"/>
      <c r="E932" s="149"/>
      <c r="F932" s="149"/>
      <c r="G932" s="162"/>
      <c r="H932" s="146" t="str">
        <f t="shared" si="75"/>
        <v/>
      </c>
      <c r="I932" s="161" t="str">
        <f t="shared" si="76"/>
        <v/>
      </c>
      <c r="J932" s="160" t="str">
        <f>IFERROR(INDEX(当年标准成本!I:I,MATCH(C932,当年标准成本!C:C,0),1),"")</f>
        <v/>
      </c>
      <c r="K932" s="146" t="str">
        <f t="shared" si="77"/>
        <v/>
      </c>
      <c r="L932" s="146" t="str">
        <f t="shared" si="78"/>
        <v/>
      </c>
      <c r="M932" s="148" t="str">
        <f t="shared" si="79"/>
        <v/>
      </c>
    </row>
    <row r="933" spans="1:13" x14ac:dyDescent="0.3">
      <c r="A933" s="149"/>
      <c r="B933" s="149"/>
      <c r="C933" s="149"/>
      <c r="D933" s="149"/>
      <c r="E933" s="149"/>
      <c r="F933" s="149"/>
      <c r="G933" s="162"/>
      <c r="H933" s="146" t="str">
        <f t="shared" si="75"/>
        <v/>
      </c>
      <c r="I933" s="161" t="str">
        <f t="shared" si="76"/>
        <v/>
      </c>
      <c r="J933" s="160" t="str">
        <f>IFERROR(INDEX(当年标准成本!I:I,MATCH(C933,当年标准成本!C:C,0),1),"")</f>
        <v/>
      </c>
      <c r="K933" s="146" t="str">
        <f t="shared" si="77"/>
        <v/>
      </c>
      <c r="L933" s="146" t="str">
        <f t="shared" si="78"/>
        <v/>
      </c>
      <c r="M933" s="148" t="str">
        <f t="shared" si="79"/>
        <v/>
      </c>
    </row>
    <row r="934" spans="1:13" x14ac:dyDescent="0.3">
      <c r="A934" s="149"/>
      <c r="B934" s="149"/>
      <c r="C934" s="149"/>
      <c r="D934" s="149"/>
      <c r="E934" s="149"/>
      <c r="F934" s="149"/>
      <c r="G934" s="162"/>
      <c r="H934" s="146" t="str">
        <f t="shared" si="75"/>
        <v/>
      </c>
      <c r="I934" s="161" t="str">
        <f t="shared" si="76"/>
        <v/>
      </c>
      <c r="J934" s="160" t="str">
        <f>IFERROR(INDEX(当年标准成本!I:I,MATCH(C934,当年标准成本!C:C,0),1),"")</f>
        <v/>
      </c>
      <c r="K934" s="146" t="str">
        <f t="shared" si="77"/>
        <v/>
      </c>
      <c r="L934" s="146" t="str">
        <f t="shared" si="78"/>
        <v/>
      </c>
      <c r="M934" s="148" t="str">
        <f t="shared" si="79"/>
        <v/>
      </c>
    </row>
    <row r="935" spans="1:13" x14ac:dyDescent="0.3">
      <c r="A935" s="149"/>
      <c r="B935" s="149"/>
      <c r="C935" s="149"/>
      <c r="D935" s="149"/>
      <c r="E935" s="149"/>
      <c r="F935" s="149"/>
      <c r="G935" s="162"/>
      <c r="H935" s="146" t="str">
        <f t="shared" si="75"/>
        <v/>
      </c>
      <c r="I935" s="161" t="str">
        <f t="shared" si="76"/>
        <v/>
      </c>
      <c r="J935" s="160" t="str">
        <f>IFERROR(INDEX(当年标准成本!I:I,MATCH(C935,当年标准成本!C:C,0),1),"")</f>
        <v/>
      </c>
      <c r="K935" s="146" t="str">
        <f t="shared" si="77"/>
        <v/>
      </c>
      <c r="L935" s="146" t="str">
        <f t="shared" si="78"/>
        <v/>
      </c>
      <c r="M935" s="148" t="str">
        <f t="shared" si="79"/>
        <v/>
      </c>
    </row>
    <row r="936" spans="1:13" x14ac:dyDescent="0.3">
      <c r="A936" s="149"/>
      <c r="B936" s="149"/>
      <c r="C936" s="149"/>
      <c r="D936" s="149"/>
      <c r="E936" s="149"/>
      <c r="F936" s="149"/>
      <c r="G936" s="162"/>
      <c r="H936" s="146" t="str">
        <f t="shared" si="75"/>
        <v/>
      </c>
      <c r="I936" s="161" t="str">
        <f t="shared" si="76"/>
        <v/>
      </c>
      <c r="J936" s="160" t="str">
        <f>IFERROR(INDEX(当年标准成本!I:I,MATCH(C936,当年标准成本!C:C,0),1),"")</f>
        <v/>
      </c>
      <c r="K936" s="146" t="str">
        <f t="shared" si="77"/>
        <v/>
      </c>
      <c r="L936" s="146" t="str">
        <f t="shared" si="78"/>
        <v/>
      </c>
      <c r="M936" s="148" t="str">
        <f t="shared" si="79"/>
        <v/>
      </c>
    </row>
    <row r="937" spans="1:13" x14ac:dyDescent="0.3">
      <c r="A937" s="149"/>
      <c r="B937" s="149"/>
      <c r="C937" s="149"/>
      <c r="D937" s="149"/>
      <c r="E937" s="149"/>
      <c r="F937" s="149"/>
      <c r="G937" s="162"/>
      <c r="H937" s="146" t="str">
        <f t="shared" si="75"/>
        <v/>
      </c>
      <c r="I937" s="161" t="str">
        <f t="shared" si="76"/>
        <v/>
      </c>
      <c r="J937" s="160" t="str">
        <f>IFERROR(INDEX(当年标准成本!I:I,MATCH(C937,当年标准成本!C:C,0),1),"")</f>
        <v/>
      </c>
      <c r="K937" s="146" t="str">
        <f t="shared" si="77"/>
        <v/>
      </c>
      <c r="L937" s="146" t="str">
        <f t="shared" si="78"/>
        <v/>
      </c>
      <c r="M937" s="148" t="str">
        <f t="shared" si="79"/>
        <v/>
      </c>
    </row>
    <row r="938" spans="1:13" x14ac:dyDescent="0.3">
      <c r="A938" s="149"/>
      <c r="B938" s="149"/>
      <c r="C938" s="149"/>
      <c r="D938" s="149"/>
      <c r="E938" s="149"/>
      <c r="F938" s="149"/>
      <c r="G938" s="162"/>
      <c r="H938" s="146" t="str">
        <f t="shared" si="75"/>
        <v/>
      </c>
      <c r="I938" s="161" t="str">
        <f t="shared" si="76"/>
        <v/>
      </c>
      <c r="J938" s="160" t="str">
        <f>IFERROR(INDEX(当年标准成本!I:I,MATCH(C938,当年标准成本!C:C,0),1),"")</f>
        <v/>
      </c>
      <c r="K938" s="146" t="str">
        <f t="shared" si="77"/>
        <v/>
      </c>
      <c r="L938" s="146" t="str">
        <f t="shared" si="78"/>
        <v/>
      </c>
      <c r="M938" s="148" t="str">
        <f t="shared" si="79"/>
        <v/>
      </c>
    </row>
    <row r="939" spans="1:13" x14ac:dyDescent="0.3">
      <c r="A939" s="149"/>
      <c r="B939" s="149"/>
      <c r="C939" s="149"/>
      <c r="D939" s="149"/>
      <c r="E939" s="149"/>
      <c r="F939" s="149"/>
      <c r="G939" s="162"/>
      <c r="H939" s="146" t="str">
        <f t="shared" si="75"/>
        <v/>
      </c>
      <c r="I939" s="161" t="str">
        <f t="shared" si="76"/>
        <v/>
      </c>
      <c r="J939" s="160" t="str">
        <f>IFERROR(INDEX(当年标准成本!I:I,MATCH(C939,当年标准成本!C:C,0),1),"")</f>
        <v/>
      </c>
      <c r="K939" s="146" t="str">
        <f t="shared" si="77"/>
        <v/>
      </c>
      <c r="L939" s="146" t="str">
        <f t="shared" si="78"/>
        <v/>
      </c>
      <c r="M939" s="148" t="str">
        <f t="shared" si="79"/>
        <v/>
      </c>
    </row>
    <row r="940" spans="1:13" x14ac:dyDescent="0.3">
      <c r="A940" s="149"/>
      <c r="B940" s="149"/>
      <c r="C940" s="149"/>
      <c r="D940" s="149"/>
      <c r="E940" s="149"/>
      <c r="F940" s="149"/>
      <c r="G940" s="162"/>
      <c r="H940" s="146" t="str">
        <f t="shared" si="75"/>
        <v/>
      </c>
      <c r="I940" s="161" t="str">
        <f t="shared" si="76"/>
        <v/>
      </c>
      <c r="J940" s="160" t="str">
        <f>IFERROR(INDEX(当年标准成本!I:I,MATCH(C940,当年标准成本!C:C,0),1),"")</f>
        <v/>
      </c>
      <c r="K940" s="146" t="str">
        <f t="shared" si="77"/>
        <v/>
      </c>
      <c r="L940" s="146" t="str">
        <f t="shared" si="78"/>
        <v/>
      </c>
      <c r="M940" s="148" t="str">
        <f t="shared" si="79"/>
        <v/>
      </c>
    </row>
    <row r="941" spans="1:13" x14ac:dyDescent="0.3">
      <c r="A941" s="149"/>
      <c r="B941" s="149"/>
      <c r="C941" s="149"/>
      <c r="D941" s="149"/>
      <c r="E941" s="149"/>
      <c r="F941" s="149"/>
      <c r="G941" s="162"/>
      <c r="H941" s="146" t="str">
        <f t="shared" si="75"/>
        <v/>
      </c>
      <c r="I941" s="161" t="str">
        <f t="shared" si="76"/>
        <v/>
      </c>
      <c r="J941" s="160" t="str">
        <f>IFERROR(INDEX(当年标准成本!I:I,MATCH(C941,当年标准成本!C:C,0),1),"")</f>
        <v/>
      </c>
      <c r="K941" s="146" t="str">
        <f t="shared" si="77"/>
        <v/>
      </c>
      <c r="L941" s="146" t="str">
        <f t="shared" si="78"/>
        <v/>
      </c>
      <c r="M941" s="148" t="str">
        <f t="shared" si="79"/>
        <v/>
      </c>
    </row>
    <row r="942" spans="1:13" x14ac:dyDescent="0.3">
      <c r="A942" s="149"/>
      <c r="B942" s="149"/>
      <c r="C942" s="149"/>
      <c r="D942" s="149"/>
      <c r="E942" s="149"/>
      <c r="F942" s="149"/>
      <c r="G942" s="162"/>
      <c r="H942" s="146" t="str">
        <f t="shared" si="75"/>
        <v/>
      </c>
      <c r="I942" s="161" t="str">
        <f t="shared" si="76"/>
        <v/>
      </c>
      <c r="J942" s="160" t="str">
        <f>IFERROR(INDEX(当年标准成本!I:I,MATCH(C942,当年标准成本!C:C,0),1),"")</f>
        <v/>
      </c>
      <c r="K942" s="146" t="str">
        <f t="shared" si="77"/>
        <v/>
      </c>
      <c r="L942" s="146" t="str">
        <f t="shared" si="78"/>
        <v/>
      </c>
      <c r="M942" s="148" t="str">
        <f t="shared" si="79"/>
        <v/>
      </c>
    </row>
    <row r="943" spans="1:13" x14ac:dyDescent="0.3">
      <c r="A943" s="149"/>
      <c r="B943" s="149"/>
      <c r="C943" s="149"/>
      <c r="D943" s="149"/>
      <c r="E943" s="149"/>
      <c r="F943" s="149"/>
      <c r="G943" s="162"/>
      <c r="H943" s="146" t="str">
        <f t="shared" si="75"/>
        <v/>
      </c>
      <c r="I943" s="161" t="str">
        <f t="shared" si="76"/>
        <v/>
      </c>
      <c r="J943" s="160" t="str">
        <f>IFERROR(INDEX(当年标准成本!I:I,MATCH(C943,当年标准成本!C:C,0),1),"")</f>
        <v/>
      </c>
      <c r="K943" s="146" t="str">
        <f t="shared" si="77"/>
        <v/>
      </c>
      <c r="L943" s="146" t="str">
        <f t="shared" si="78"/>
        <v/>
      </c>
      <c r="M943" s="148" t="str">
        <f t="shared" si="79"/>
        <v/>
      </c>
    </row>
    <row r="944" spans="1:13" x14ac:dyDescent="0.3">
      <c r="A944" s="149"/>
      <c r="B944" s="149"/>
      <c r="C944" s="149"/>
      <c r="D944" s="149"/>
      <c r="E944" s="149"/>
      <c r="F944" s="149"/>
      <c r="G944" s="162"/>
      <c r="H944" s="146" t="str">
        <f t="shared" si="75"/>
        <v/>
      </c>
      <c r="I944" s="161" t="str">
        <f t="shared" si="76"/>
        <v/>
      </c>
      <c r="J944" s="160" t="str">
        <f>IFERROR(INDEX(当年标准成本!I:I,MATCH(C944,当年标准成本!C:C,0),1),"")</f>
        <v/>
      </c>
      <c r="K944" s="146" t="str">
        <f t="shared" si="77"/>
        <v/>
      </c>
      <c r="L944" s="146" t="str">
        <f t="shared" si="78"/>
        <v/>
      </c>
      <c r="M944" s="148" t="str">
        <f t="shared" si="79"/>
        <v/>
      </c>
    </row>
    <row r="945" spans="1:13" x14ac:dyDescent="0.3">
      <c r="A945" s="149"/>
      <c r="B945" s="149"/>
      <c r="C945" s="149"/>
      <c r="D945" s="149"/>
      <c r="E945" s="149"/>
      <c r="F945" s="149"/>
      <c r="G945" s="162"/>
      <c r="H945" s="146" t="str">
        <f t="shared" si="75"/>
        <v/>
      </c>
      <c r="I945" s="161" t="str">
        <f t="shared" si="76"/>
        <v/>
      </c>
      <c r="J945" s="160" t="str">
        <f>IFERROR(INDEX(当年标准成本!I:I,MATCH(C945,当年标准成本!C:C,0),1),"")</f>
        <v/>
      </c>
      <c r="K945" s="146" t="str">
        <f t="shared" si="77"/>
        <v/>
      </c>
      <c r="L945" s="146" t="str">
        <f t="shared" si="78"/>
        <v/>
      </c>
      <c r="M945" s="148" t="str">
        <f t="shared" si="79"/>
        <v/>
      </c>
    </row>
    <row r="946" spans="1:13" x14ac:dyDescent="0.3">
      <c r="A946" s="149"/>
      <c r="B946" s="149"/>
      <c r="C946" s="149"/>
      <c r="D946" s="149"/>
      <c r="E946" s="149"/>
      <c r="F946" s="149"/>
      <c r="G946" s="162"/>
      <c r="H946" s="146" t="str">
        <f t="shared" si="75"/>
        <v/>
      </c>
      <c r="I946" s="161" t="str">
        <f t="shared" si="76"/>
        <v/>
      </c>
      <c r="J946" s="160" t="str">
        <f>IFERROR(INDEX(当年标准成本!I:I,MATCH(C946,当年标准成本!C:C,0),1),"")</f>
        <v/>
      </c>
      <c r="K946" s="146" t="str">
        <f t="shared" si="77"/>
        <v/>
      </c>
      <c r="L946" s="146" t="str">
        <f t="shared" si="78"/>
        <v/>
      </c>
      <c r="M946" s="148" t="str">
        <f t="shared" si="79"/>
        <v/>
      </c>
    </row>
    <row r="947" spans="1:13" x14ac:dyDescent="0.3">
      <c r="A947" s="149"/>
      <c r="B947" s="149"/>
      <c r="C947" s="149"/>
      <c r="D947" s="149"/>
      <c r="E947" s="149"/>
      <c r="F947" s="149"/>
      <c r="G947" s="162"/>
      <c r="H947" s="146" t="str">
        <f t="shared" si="75"/>
        <v/>
      </c>
      <c r="I947" s="161" t="str">
        <f t="shared" si="76"/>
        <v/>
      </c>
      <c r="J947" s="160" t="str">
        <f>IFERROR(INDEX(当年标准成本!I:I,MATCH(C947,当年标准成本!C:C,0),1),"")</f>
        <v/>
      </c>
      <c r="K947" s="146" t="str">
        <f t="shared" si="77"/>
        <v/>
      </c>
      <c r="L947" s="146" t="str">
        <f t="shared" si="78"/>
        <v/>
      </c>
      <c r="M947" s="148" t="str">
        <f t="shared" si="79"/>
        <v/>
      </c>
    </row>
    <row r="948" spans="1:13" x14ac:dyDescent="0.3">
      <c r="A948" s="149"/>
      <c r="B948" s="149"/>
      <c r="C948" s="149"/>
      <c r="D948" s="149"/>
      <c r="E948" s="149"/>
      <c r="F948" s="149"/>
      <c r="G948" s="162"/>
      <c r="H948" s="146" t="str">
        <f t="shared" si="75"/>
        <v/>
      </c>
      <c r="I948" s="161" t="str">
        <f t="shared" si="76"/>
        <v/>
      </c>
      <c r="J948" s="160" t="str">
        <f>IFERROR(INDEX(当年标准成本!I:I,MATCH(C948,当年标准成本!C:C,0),1),"")</f>
        <v/>
      </c>
      <c r="K948" s="146" t="str">
        <f t="shared" si="77"/>
        <v/>
      </c>
      <c r="L948" s="146" t="str">
        <f t="shared" si="78"/>
        <v/>
      </c>
      <c r="M948" s="148" t="str">
        <f t="shared" si="79"/>
        <v/>
      </c>
    </row>
    <row r="949" spans="1:13" x14ac:dyDescent="0.3">
      <c r="A949" s="149"/>
      <c r="B949" s="149"/>
      <c r="C949" s="149"/>
      <c r="D949" s="149"/>
      <c r="E949" s="149"/>
      <c r="F949" s="149"/>
      <c r="G949" s="162"/>
      <c r="H949" s="146" t="str">
        <f t="shared" si="75"/>
        <v/>
      </c>
      <c r="I949" s="161" t="str">
        <f t="shared" si="76"/>
        <v/>
      </c>
      <c r="J949" s="160" t="str">
        <f>IFERROR(INDEX(当年标准成本!I:I,MATCH(C949,当年标准成本!C:C,0),1),"")</f>
        <v/>
      </c>
      <c r="K949" s="146" t="str">
        <f t="shared" si="77"/>
        <v/>
      </c>
      <c r="L949" s="146" t="str">
        <f t="shared" si="78"/>
        <v/>
      </c>
      <c r="M949" s="148" t="str">
        <f t="shared" si="79"/>
        <v/>
      </c>
    </row>
    <row r="950" spans="1:13" x14ac:dyDescent="0.3">
      <c r="A950" s="149"/>
      <c r="B950" s="149"/>
      <c r="C950" s="149"/>
      <c r="D950" s="149"/>
      <c r="E950" s="149"/>
      <c r="F950" s="149"/>
      <c r="G950" s="162"/>
      <c r="H950" s="146" t="str">
        <f t="shared" si="75"/>
        <v/>
      </c>
      <c r="I950" s="161" t="str">
        <f t="shared" si="76"/>
        <v/>
      </c>
      <c r="J950" s="160" t="str">
        <f>IFERROR(INDEX(当年标准成本!I:I,MATCH(C950,当年标准成本!C:C,0),1),"")</f>
        <v/>
      </c>
      <c r="K950" s="146" t="str">
        <f t="shared" si="77"/>
        <v/>
      </c>
      <c r="L950" s="146" t="str">
        <f t="shared" si="78"/>
        <v/>
      </c>
      <c r="M950" s="148" t="str">
        <f t="shared" si="79"/>
        <v/>
      </c>
    </row>
    <row r="951" spans="1:13" x14ac:dyDescent="0.3">
      <c r="A951" s="149"/>
      <c r="B951" s="149"/>
      <c r="C951" s="149"/>
      <c r="D951" s="149"/>
      <c r="E951" s="149"/>
      <c r="F951" s="149"/>
      <c r="G951" s="162"/>
      <c r="H951" s="146" t="str">
        <f t="shared" si="75"/>
        <v/>
      </c>
      <c r="I951" s="161" t="str">
        <f t="shared" si="76"/>
        <v/>
      </c>
      <c r="J951" s="160" t="str">
        <f>IFERROR(INDEX(当年标准成本!I:I,MATCH(C951,当年标准成本!C:C,0),1),"")</f>
        <v/>
      </c>
      <c r="K951" s="146" t="str">
        <f t="shared" si="77"/>
        <v/>
      </c>
      <c r="L951" s="146" t="str">
        <f t="shared" si="78"/>
        <v/>
      </c>
      <c r="M951" s="148" t="str">
        <f t="shared" si="79"/>
        <v/>
      </c>
    </row>
    <row r="952" spans="1:13" x14ac:dyDescent="0.3">
      <c r="A952" s="149"/>
      <c r="B952" s="149"/>
      <c r="C952" s="149"/>
      <c r="D952" s="149"/>
      <c r="E952" s="149"/>
      <c r="F952" s="149"/>
      <c r="G952" s="162"/>
      <c r="H952" s="146" t="str">
        <f t="shared" si="75"/>
        <v/>
      </c>
      <c r="I952" s="161" t="str">
        <f t="shared" si="76"/>
        <v/>
      </c>
      <c r="J952" s="160" t="str">
        <f>IFERROR(INDEX(当年标准成本!I:I,MATCH(C952,当年标准成本!C:C,0),1),"")</f>
        <v/>
      </c>
      <c r="K952" s="146" t="str">
        <f t="shared" si="77"/>
        <v/>
      </c>
      <c r="L952" s="146" t="str">
        <f t="shared" si="78"/>
        <v/>
      </c>
      <c r="M952" s="148" t="str">
        <f t="shared" si="79"/>
        <v/>
      </c>
    </row>
    <row r="953" spans="1:13" x14ac:dyDescent="0.3">
      <c r="A953" s="149"/>
      <c r="B953" s="149"/>
      <c r="C953" s="149"/>
      <c r="D953" s="149"/>
      <c r="E953" s="149"/>
      <c r="F953" s="149"/>
      <c r="G953" s="162"/>
      <c r="H953" s="146" t="str">
        <f t="shared" si="75"/>
        <v/>
      </c>
      <c r="I953" s="161" t="str">
        <f t="shared" si="76"/>
        <v/>
      </c>
      <c r="J953" s="160" t="str">
        <f>IFERROR(INDEX(当年标准成本!I:I,MATCH(C953,当年标准成本!C:C,0),1),"")</f>
        <v/>
      </c>
      <c r="K953" s="146" t="str">
        <f t="shared" si="77"/>
        <v/>
      </c>
      <c r="L953" s="146" t="str">
        <f t="shared" si="78"/>
        <v/>
      </c>
      <c r="M953" s="148" t="str">
        <f t="shared" si="79"/>
        <v/>
      </c>
    </row>
    <row r="954" spans="1:13" x14ac:dyDescent="0.3">
      <c r="A954" s="149"/>
      <c r="B954" s="149"/>
      <c r="C954" s="149"/>
      <c r="D954" s="149"/>
      <c r="E954" s="149"/>
      <c r="F954" s="149"/>
      <c r="G954" s="162"/>
      <c r="H954" s="146" t="str">
        <f t="shared" si="75"/>
        <v/>
      </c>
      <c r="I954" s="161" t="str">
        <f t="shared" si="76"/>
        <v/>
      </c>
      <c r="J954" s="160" t="str">
        <f>IFERROR(INDEX(当年标准成本!I:I,MATCH(C954,当年标准成本!C:C,0),1),"")</f>
        <v/>
      </c>
      <c r="K954" s="146" t="str">
        <f t="shared" si="77"/>
        <v/>
      </c>
      <c r="L954" s="146" t="str">
        <f t="shared" si="78"/>
        <v/>
      </c>
      <c r="M954" s="148" t="str">
        <f t="shared" si="79"/>
        <v/>
      </c>
    </row>
    <row r="955" spans="1:13" x14ac:dyDescent="0.3">
      <c r="A955" s="149"/>
      <c r="B955" s="149"/>
      <c r="C955" s="149"/>
      <c r="D955" s="149"/>
      <c r="E955" s="149"/>
      <c r="F955" s="149"/>
      <c r="G955" s="162"/>
      <c r="H955" s="146" t="str">
        <f t="shared" si="75"/>
        <v/>
      </c>
      <c r="I955" s="161" t="str">
        <f t="shared" si="76"/>
        <v/>
      </c>
      <c r="J955" s="160" t="str">
        <f>IFERROR(INDEX(当年标准成本!I:I,MATCH(C955,当年标准成本!C:C,0),1),"")</f>
        <v/>
      </c>
      <c r="K955" s="146" t="str">
        <f t="shared" si="77"/>
        <v/>
      </c>
      <c r="L955" s="146" t="str">
        <f t="shared" si="78"/>
        <v/>
      </c>
      <c r="M955" s="148" t="str">
        <f t="shared" si="79"/>
        <v/>
      </c>
    </row>
    <row r="956" spans="1:13" x14ac:dyDescent="0.3">
      <c r="A956" s="149"/>
      <c r="B956" s="149"/>
      <c r="C956" s="149"/>
      <c r="D956" s="149"/>
      <c r="E956" s="149"/>
      <c r="F956" s="149"/>
      <c r="G956" s="162"/>
      <c r="H956" s="146" t="str">
        <f t="shared" si="75"/>
        <v/>
      </c>
      <c r="I956" s="161" t="str">
        <f t="shared" si="76"/>
        <v/>
      </c>
      <c r="J956" s="160" t="str">
        <f>IFERROR(INDEX(当年标准成本!I:I,MATCH(C956,当年标准成本!C:C,0),1),"")</f>
        <v/>
      </c>
      <c r="K956" s="146" t="str">
        <f t="shared" si="77"/>
        <v/>
      </c>
      <c r="L956" s="146" t="str">
        <f t="shared" si="78"/>
        <v/>
      </c>
      <c r="M956" s="148" t="str">
        <f t="shared" si="79"/>
        <v/>
      </c>
    </row>
    <row r="957" spans="1:13" x14ac:dyDescent="0.3">
      <c r="A957" s="149"/>
      <c r="B957" s="149"/>
      <c r="C957" s="149"/>
      <c r="D957" s="149"/>
      <c r="E957" s="149"/>
      <c r="F957" s="149"/>
      <c r="G957" s="162"/>
      <c r="H957" s="146" t="str">
        <f t="shared" si="75"/>
        <v/>
      </c>
      <c r="I957" s="161" t="str">
        <f t="shared" si="76"/>
        <v/>
      </c>
      <c r="J957" s="160" t="str">
        <f>IFERROR(INDEX(当年标准成本!I:I,MATCH(C957,当年标准成本!C:C,0),1),"")</f>
        <v/>
      </c>
      <c r="K957" s="146" t="str">
        <f t="shared" si="77"/>
        <v/>
      </c>
      <c r="L957" s="146" t="str">
        <f t="shared" si="78"/>
        <v/>
      </c>
      <c r="M957" s="148" t="str">
        <f t="shared" si="79"/>
        <v/>
      </c>
    </row>
    <row r="958" spans="1:13" x14ac:dyDescent="0.3">
      <c r="A958" s="149"/>
      <c r="B958" s="149"/>
      <c r="C958" s="149"/>
      <c r="D958" s="149"/>
      <c r="E958" s="149"/>
      <c r="F958" s="149"/>
      <c r="G958" s="162"/>
      <c r="H958" s="146" t="str">
        <f t="shared" si="75"/>
        <v/>
      </c>
      <c r="I958" s="161" t="str">
        <f t="shared" si="76"/>
        <v/>
      </c>
      <c r="J958" s="160" t="str">
        <f>IFERROR(INDEX(当年标准成本!I:I,MATCH(C958,当年标准成本!C:C,0),1),"")</f>
        <v/>
      </c>
      <c r="K958" s="146" t="str">
        <f t="shared" si="77"/>
        <v/>
      </c>
      <c r="L958" s="146" t="str">
        <f t="shared" si="78"/>
        <v/>
      </c>
      <c r="M958" s="148" t="str">
        <f t="shared" si="79"/>
        <v/>
      </c>
    </row>
    <row r="959" spans="1:13" x14ac:dyDescent="0.3">
      <c r="A959" s="149"/>
      <c r="B959" s="149"/>
      <c r="C959" s="149"/>
      <c r="D959" s="149"/>
      <c r="E959" s="149"/>
      <c r="F959" s="149"/>
      <c r="G959" s="162"/>
      <c r="H959" s="146" t="str">
        <f t="shared" si="75"/>
        <v/>
      </c>
      <c r="I959" s="161" t="str">
        <f t="shared" si="76"/>
        <v/>
      </c>
      <c r="J959" s="160" t="str">
        <f>IFERROR(INDEX(当年标准成本!I:I,MATCH(C959,当年标准成本!C:C,0),1),"")</f>
        <v/>
      </c>
      <c r="K959" s="146" t="str">
        <f t="shared" si="77"/>
        <v/>
      </c>
      <c r="L959" s="146" t="str">
        <f t="shared" si="78"/>
        <v/>
      </c>
      <c r="M959" s="148" t="str">
        <f t="shared" si="79"/>
        <v/>
      </c>
    </row>
    <row r="960" spans="1:13" x14ac:dyDescent="0.3">
      <c r="A960" s="149"/>
      <c r="B960" s="149"/>
      <c r="C960" s="149"/>
      <c r="D960" s="149"/>
      <c r="E960" s="149"/>
      <c r="F960" s="149"/>
      <c r="G960" s="162"/>
      <c r="H960" s="146" t="str">
        <f t="shared" si="75"/>
        <v/>
      </c>
      <c r="I960" s="161" t="str">
        <f t="shared" si="76"/>
        <v/>
      </c>
      <c r="J960" s="160" t="str">
        <f>IFERROR(INDEX(当年标准成本!I:I,MATCH(C960,当年标准成本!C:C,0),1),"")</f>
        <v/>
      </c>
      <c r="K960" s="146" t="str">
        <f t="shared" si="77"/>
        <v/>
      </c>
      <c r="L960" s="146" t="str">
        <f t="shared" si="78"/>
        <v/>
      </c>
      <c r="M960" s="148" t="str">
        <f t="shared" si="79"/>
        <v/>
      </c>
    </row>
    <row r="961" spans="1:13" x14ac:dyDescent="0.3">
      <c r="A961" s="149"/>
      <c r="B961" s="149"/>
      <c r="C961" s="149"/>
      <c r="D961" s="149"/>
      <c r="E961" s="149"/>
      <c r="F961" s="149"/>
      <c r="G961" s="162"/>
      <c r="H961" s="146" t="str">
        <f t="shared" si="75"/>
        <v/>
      </c>
      <c r="I961" s="161" t="str">
        <f t="shared" si="76"/>
        <v/>
      </c>
      <c r="J961" s="160" t="str">
        <f>IFERROR(INDEX(当年标准成本!I:I,MATCH(C961,当年标准成本!C:C,0),1),"")</f>
        <v/>
      </c>
      <c r="K961" s="146" t="str">
        <f t="shared" si="77"/>
        <v/>
      </c>
      <c r="L961" s="146" t="str">
        <f t="shared" si="78"/>
        <v/>
      </c>
      <c r="M961" s="148" t="str">
        <f t="shared" si="79"/>
        <v/>
      </c>
    </row>
    <row r="962" spans="1:13" x14ac:dyDescent="0.3">
      <c r="A962" s="149"/>
      <c r="B962" s="149"/>
      <c r="C962" s="149"/>
      <c r="D962" s="149"/>
      <c r="E962" s="149"/>
      <c r="F962" s="149"/>
      <c r="G962" s="162"/>
      <c r="H962" s="146" t="str">
        <f t="shared" si="75"/>
        <v/>
      </c>
      <c r="I962" s="161" t="str">
        <f t="shared" si="76"/>
        <v/>
      </c>
      <c r="J962" s="160" t="str">
        <f>IFERROR(INDEX(当年标准成本!I:I,MATCH(C962,当年标准成本!C:C,0),1),"")</f>
        <v/>
      </c>
      <c r="K962" s="146" t="str">
        <f t="shared" si="77"/>
        <v/>
      </c>
      <c r="L962" s="146" t="str">
        <f t="shared" si="78"/>
        <v/>
      </c>
      <c r="M962" s="148" t="str">
        <f t="shared" si="79"/>
        <v/>
      </c>
    </row>
    <row r="963" spans="1:13" x14ac:dyDescent="0.3">
      <c r="A963" s="149"/>
      <c r="B963" s="149"/>
      <c r="C963" s="149"/>
      <c r="D963" s="149"/>
      <c r="E963" s="149"/>
      <c r="F963" s="149"/>
      <c r="G963" s="162"/>
      <c r="H963" s="146" t="str">
        <f t="shared" si="75"/>
        <v/>
      </c>
      <c r="I963" s="161" t="str">
        <f t="shared" si="76"/>
        <v/>
      </c>
      <c r="J963" s="160" t="str">
        <f>IFERROR(INDEX(当年标准成本!I:I,MATCH(C963,当年标准成本!C:C,0),1),"")</f>
        <v/>
      </c>
      <c r="K963" s="146" t="str">
        <f t="shared" si="77"/>
        <v/>
      </c>
      <c r="L963" s="146" t="str">
        <f t="shared" si="78"/>
        <v/>
      </c>
      <c r="M963" s="148" t="str">
        <f t="shared" si="79"/>
        <v/>
      </c>
    </row>
    <row r="964" spans="1:13" x14ac:dyDescent="0.3">
      <c r="A964" s="149"/>
      <c r="B964" s="149"/>
      <c r="C964" s="149"/>
      <c r="D964" s="149"/>
      <c r="E964" s="149"/>
      <c r="F964" s="149"/>
      <c r="G964" s="162"/>
      <c r="H964" s="146" t="str">
        <f t="shared" si="75"/>
        <v/>
      </c>
      <c r="I964" s="161" t="str">
        <f t="shared" si="76"/>
        <v/>
      </c>
      <c r="J964" s="160" t="str">
        <f>IFERROR(INDEX(当年标准成本!I:I,MATCH(C964,当年标准成本!C:C,0),1),"")</f>
        <v/>
      </c>
      <c r="K964" s="146" t="str">
        <f t="shared" si="77"/>
        <v/>
      </c>
      <c r="L964" s="146" t="str">
        <f t="shared" si="78"/>
        <v/>
      </c>
      <c r="M964" s="148" t="str">
        <f t="shared" si="79"/>
        <v/>
      </c>
    </row>
    <row r="965" spans="1:13" x14ac:dyDescent="0.3">
      <c r="A965" s="149"/>
      <c r="B965" s="149"/>
      <c r="C965" s="149"/>
      <c r="D965" s="149"/>
      <c r="E965" s="149"/>
      <c r="F965" s="149"/>
      <c r="G965" s="162"/>
      <c r="H965" s="146" t="str">
        <f t="shared" si="75"/>
        <v/>
      </c>
      <c r="I965" s="161" t="str">
        <f t="shared" si="76"/>
        <v/>
      </c>
      <c r="J965" s="160" t="str">
        <f>IFERROR(INDEX(当年标准成本!I:I,MATCH(C965,当年标准成本!C:C,0),1),"")</f>
        <v/>
      </c>
      <c r="K965" s="146" t="str">
        <f t="shared" si="77"/>
        <v/>
      </c>
      <c r="L965" s="146" t="str">
        <f t="shared" si="78"/>
        <v/>
      </c>
      <c r="M965" s="148" t="str">
        <f t="shared" si="79"/>
        <v/>
      </c>
    </row>
    <row r="966" spans="1:13" x14ac:dyDescent="0.3">
      <c r="A966" s="149"/>
      <c r="B966" s="149"/>
      <c r="C966" s="149"/>
      <c r="D966" s="149"/>
      <c r="E966" s="149"/>
      <c r="F966" s="149"/>
      <c r="G966" s="162"/>
      <c r="H966" s="146" t="str">
        <f t="shared" si="75"/>
        <v/>
      </c>
      <c r="I966" s="161" t="str">
        <f t="shared" si="76"/>
        <v/>
      </c>
      <c r="J966" s="160" t="str">
        <f>IFERROR(INDEX(当年标准成本!I:I,MATCH(C966,当年标准成本!C:C,0),1),"")</f>
        <v/>
      </c>
      <c r="K966" s="146" t="str">
        <f t="shared" si="77"/>
        <v/>
      </c>
      <c r="L966" s="146" t="str">
        <f t="shared" si="78"/>
        <v/>
      </c>
      <c r="M966" s="148" t="str">
        <f t="shared" si="79"/>
        <v/>
      </c>
    </row>
    <row r="967" spans="1:13" x14ac:dyDescent="0.3">
      <c r="A967" s="149"/>
      <c r="B967" s="149"/>
      <c r="C967" s="149"/>
      <c r="D967" s="149"/>
      <c r="E967" s="149"/>
      <c r="F967" s="149"/>
      <c r="G967" s="162"/>
      <c r="H967" s="146" t="str">
        <f t="shared" si="75"/>
        <v/>
      </c>
      <c r="I967" s="161" t="str">
        <f t="shared" si="76"/>
        <v/>
      </c>
      <c r="J967" s="160" t="str">
        <f>IFERROR(INDEX(当年标准成本!I:I,MATCH(C967,当年标准成本!C:C,0),1),"")</f>
        <v/>
      </c>
      <c r="K967" s="146" t="str">
        <f t="shared" si="77"/>
        <v/>
      </c>
      <c r="L967" s="146" t="str">
        <f t="shared" si="78"/>
        <v/>
      </c>
      <c r="M967" s="148" t="str">
        <f t="shared" si="79"/>
        <v/>
      </c>
    </row>
    <row r="968" spans="1:13" x14ac:dyDescent="0.3">
      <c r="A968" s="149"/>
      <c r="B968" s="149"/>
      <c r="C968" s="149"/>
      <c r="D968" s="149"/>
      <c r="E968" s="149"/>
      <c r="F968" s="149"/>
      <c r="G968" s="162"/>
      <c r="H968" s="146" t="str">
        <f t="shared" si="75"/>
        <v/>
      </c>
      <c r="I968" s="161" t="str">
        <f t="shared" si="76"/>
        <v/>
      </c>
      <c r="J968" s="160" t="str">
        <f>IFERROR(INDEX(当年标准成本!I:I,MATCH(C968,当年标准成本!C:C,0),1),"")</f>
        <v/>
      </c>
      <c r="K968" s="146" t="str">
        <f t="shared" si="77"/>
        <v/>
      </c>
      <c r="L968" s="146" t="str">
        <f t="shared" si="78"/>
        <v/>
      </c>
      <c r="M968" s="148" t="str">
        <f t="shared" si="79"/>
        <v/>
      </c>
    </row>
    <row r="969" spans="1:13" x14ac:dyDescent="0.3">
      <c r="A969" s="149"/>
      <c r="B969" s="149"/>
      <c r="C969" s="149"/>
      <c r="D969" s="149"/>
      <c r="E969" s="149"/>
      <c r="F969" s="149"/>
      <c r="G969" s="162"/>
      <c r="H969" s="146" t="str">
        <f t="shared" si="75"/>
        <v/>
      </c>
      <c r="I969" s="161" t="str">
        <f t="shared" si="76"/>
        <v/>
      </c>
      <c r="J969" s="160" t="str">
        <f>IFERROR(INDEX(当年标准成本!I:I,MATCH(C969,当年标准成本!C:C,0),1),"")</f>
        <v/>
      </c>
      <c r="K969" s="146" t="str">
        <f t="shared" si="77"/>
        <v/>
      </c>
      <c r="L969" s="146" t="str">
        <f t="shared" si="78"/>
        <v/>
      </c>
      <c r="M969" s="148" t="str">
        <f t="shared" si="79"/>
        <v/>
      </c>
    </row>
    <row r="970" spans="1:13" x14ac:dyDescent="0.3">
      <c r="A970" s="149"/>
      <c r="B970" s="149"/>
      <c r="C970" s="149"/>
      <c r="D970" s="149"/>
      <c r="E970" s="149"/>
      <c r="F970" s="149"/>
      <c r="G970" s="162"/>
      <c r="H970" s="146" t="str">
        <f t="shared" si="75"/>
        <v/>
      </c>
      <c r="I970" s="161" t="str">
        <f t="shared" si="76"/>
        <v/>
      </c>
      <c r="J970" s="160" t="str">
        <f>IFERROR(INDEX(当年标准成本!I:I,MATCH(C970,当年标准成本!C:C,0),1),"")</f>
        <v/>
      </c>
      <c r="K970" s="146" t="str">
        <f t="shared" si="77"/>
        <v/>
      </c>
      <c r="L970" s="146" t="str">
        <f t="shared" si="78"/>
        <v/>
      </c>
      <c r="M970" s="148" t="str">
        <f t="shared" si="79"/>
        <v/>
      </c>
    </row>
    <row r="971" spans="1:13" x14ac:dyDescent="0.3">
      <c r="A971" s="149"/>
      <c r="B971" s="149"/>
      <c r="C971" s="149"/>
      <c r="D971" s="149"/>
      <c r="E971" s="149"/>
      <c r="F971" s="149"/>
      <c r="G971" s="162"/>
      <c r="H971" s="146" t="str">
        <f t="shared" si="75"/>
        <v/>
      </c>
      <c r="I971" s="161" t="str">
        <f t="shared" si="76"/>
        <v/>
      </c>
      <c r="J971" s="160" t="str">
        <f>IFERROR(INDEX(当年标准成本!I:I,MATCH(C971,当年标准成本!C:C,0),1),"")</f>
        <v/>
      </c>
      <c r="K971" s="146" t="str">
        <f t="shared" si="77"/>
        <v/>
      </c>
      <c r="L971" s="146" t="str">
        <f t="shared" si="78"/>
        <v/>
      </c>
      <c r="M971" s="148" t="str">
        <f t="shared" si="79"/>
        <v/>
      </c>
    </row>
    <row r="972" spans="1:13" x14ac:dyDescent="0.3">
      <c r="A972" s="149"/>
      <c r="B972" s="149"/>
      <c r="C972" s="149"/>
      <c r="D972" s="149"/>
      <c r="E972" s="149"/>
      <c r="F972" s="149"/>
      <c r="G972" s="162"/>
      <c r="H972" s="146" t="str">
        <f t="shared" ref="H972:H1035" si="80">IFERROR(F972/E972,"")</f>
        <v/>
      </c>
      <c r="I972" s="161" t="str">
        <f t="shared" ref="I972:I1035" si="81">IFERROR(H972*(1+G972),"")</f>
        <v/>
      </c>
      <c r="J972" s="160" t="str">
        <f>IFERROR(INDEX(当年标准成本!I:I,MATCH(C972,当年标准成本!C:C,0),1),"")</f>
        <v/>
      </c>
      <c r="K972" s="146" t="str">
        <f t="shared" ref="K972:K1035" si="82">IFERROR(E972*J972,"")</f>
        <v/>
      </c>
      <c r="L972" s="146" t="str">
        <f t="shared" ref="L972:L1035" si="83">IFERROR(F972-K972,"")</f>
        <v/>
      </c>
      <c r="M972" s="148" t="str">
        <f t="shared" ref="M972:M1035" si="84">IFERROR(L972/F972,"")</f>
        <v/>
      </c>
    </row>
    <row r="973" spans="1:13" x14ac:dyDescent="0.3">
      <c r="A973" s="149"/>
      <c r="B973" s="149"/>
      <c r="C973" s="149"/>
      <c r="D973" s="149"/>
      <c r="E973" s="149"/>
      <c r="F973" s="149"/>
      <c r="G973" s="162"/>
      <c r="H973" s="146" t="str">
        <f t="shared" si="80"/>
        <v/>
      </c>
      <c r="I973" s="161" t="str">
        <f t="shared" si="81"/>
        <v/>
      </c>
      <c r="J973" s="160" t="str">
        <f>IFERROR(INDEX(当年标准成本!I:I,MATCH(C973,当年标准成本!C:C,0),1),"")</f>
        <v/>
      </c>
      <c r="K973" s="146" t="str">
        <f t="shared" si="82"/>
        <v/>
      </c>
      <c r="L973" s="146" t="str">
        <f t="shared" si="83"/>
        <v/>
      </c>
      <c r="M973" s="148" t="str">
        <f t="shared" si="84"/>
        <v/>
      </c>
    </row>
    <row r="974" spans="1:13" x14ac:dyDescent="0.3">
      <c r="A974" s="149"/>
      <c r="B974" s="149"/>
      <c r="C974" s="149"/>
      <c r="D974" s="149"/>
      <c r="E974" s="149"/>
      <c r="F974" s="149"/>
      <c r="G974" s="162"/>
      <c r="H974" s="146" t="str">
        <f t="shared" si="80"/>
        <v/>
      </c>
      <c r="I974" s="161" t="str">
        <f t="shared" si="81"/>
        <v/>
      </c>
      <c r="J974" s="160" t="str">
        <f>IFERROR(INDEX(当年标准成本!I:I,MATCH(C974,当年标准成本!C:C,0),1),"")</f>
        <v/>
      </c>
      <c r="K974" s="146" t="str">
        <f t="shared" si="82"/>
        <v/>
      </c>
      <c r="L974" s="146" t="str">
        <f t="shared" si="83"/>
        <v/>
      </c>
      <c r="M974" s="148" t="str">
        <f t="shared" si="84"/>
        <v/>
      </c>
    </row>
    <row r="975" spans="1:13" x14ac:dyDescent="0.3">
      <c r="A975" s="149"/>
      <c r="B975" s="149"/>
      <c r="C975" s="149"/>
      <c r="D975" s="149"/>
      <c r="E975" s="149"/>
      <c r="F975" s="149"/>
      <c r="G975" s="162"/>
      <c r="H975" s="146" t="str">
        <f t="shared" si="80"/>
        <v/>
      </c>
      <c r="I975" s="161" t="str">
        <f t="shared" si="81"/>
        <v/>
      </c>
      <c r="J975" s="160" t="str">
        <f>IFERROR(INDEX(当年标准成本!I:I,MATCH(C975,当年标准成本!C:C,0),1),"")</f>
        <v/>
      </c>
      <c r="K975" s="146" t="str">
        <f t="shared" si="82"/>
        <v/>
      </c>
      <c r="L975" s="146" t="str">
        <f t="shared" si="83"/>
        <v/>
      </c>
      <c r="M975" s="148" t="str">
        <f t="shared" si="84"/>
        <v/>
      </c>
    </row>
    <row r="976" spans="1:13" x14ac:dyDescent="0.3">
      <c r="A976" s="149"/>
      <c r="B976" s="149"/>
      <c r="C976" s="149"/>
      <c r="D976" s="149"/>
      <c r="E976" s="149"/>
      <c r="F976" s="149"/>
      <c r="G976" s="162"/>
      <c r="H976" s="146" t="str">
        <f t="shared" si="80"/>
        <v/>
      </c>
      <c r="I976" s="161" t="str">
        <f t="shared" si="81"/>
        <v/>
      </c>
      <c r="J976" s="160" t="str">
        <f>IFERROR(INDEX(当年标准成本!I:I,MATCH(C976,当年标准成本!C:C,0),1),"")</f>
        <v/>
      </c>
      <c r="K976" s="146" t="str">
        <f t="shared" si="82"/>
        <v/>
      </c>
      <c r="L976" s="146" t="str">
        <f t="shared" si="83"/>
        <v/>
      </c>
      <c r="M976" s="148" t="str">
        <f t="shared" si="84"/>
        <v/>
      </c>
    </row>
    <row r="977" spans="1:13" x14ac:dyDescent="0.3">
      <c r="A977" s="149"/>
      <c r="B977" s="149"/>
      <c r="C977" s="149"/>
      <c r="D977" s="149"/>
      <c r="E977" s="149"/>
      <c r="F977" s="149"/>
      <c r="G977" s="162"/>
      <c r="H977" s="146" t="str">
        <f t="shared" si="80"/>
        <v/>
      </c>
      <c r="I977" s="161" t="str">
        <f t="shared" si="81"/>
        <v/>
      </c>
      <c r="J977" s="160" t="str">
        <f>IFERROR(INDEX(当年标准成本!I:I,MATCH(C977,当年标准成本!C:C,0),1),"")</f>
        <v/>
      </c>
      <c r="K977" s="146" t="str">
        <f t="shared" si="82"/>
        <v/>
      </c>
      <c r="L977" s="146" t="str">
        <f t="shared" si="83"/>
        <v/>
      </c>
      <c r="M977" s="148" t="str">
        <f t="shared" si="84"/>
        <v/>
      </c>
    </row>
    <row r="978" spans="1:13" x14ac:dyDescent="0.3">
      <c r="A978" s="149"/>
      <c r="B978" s="149"/>
      <c r="C978" s="149"/>
      <c r="D978" s="149"/>
      <c r="E978" s="149"/>
      <c r="F978" s="149"/>
      <c r="G978" s="162"/>
      <c r="H978" s="146" t="str">
        <f t="shared" si="80"/>
        <v/>
      </c>
      <c r="I978" s="161" t="str">
        <f t="shared" si="81"/>
        <v/>
      </c>
      <c r="J978" s="160" t="str">
        <f>IFERROR(INDEX(当年标准成本!I:I,MATCH(C978,当年标准成本!C:C,0),1),"")</f>
        <v/>
      </c>
      <c r="K978" s="146" t="str">
        <f t="shared" si="82"/>
        <v/>
      </c>
      <c r="L978" s="146" t="str">
        <f t="shared" si="83"/>
        <v/>
      </c>
      <c r="M978" s="148" t="str">
        <f t="shared" si="84"/>
        <v/>
      </c>
    </row>
    <row r="979" spans="1:13" x14ac:dyDescent="0.3">
      <c r="A979" s="149"/>
      <c r="B979" s="149"/>
      <c r="C979" s="149"/>
      <c r="D979" s="149"/>
      <c r="E979" s="149"/>
      <c r="F979" s="149"/>
      <c r="G979" s="162"/>
      <c r="H979" s="146" t="str">
        <f t="shared" si="80"/>
        <v/>
      </c>
      <c r="I979" s="161" t="str">
        <f t="shared" si="81"/>
        <v/>
      </c>
      <c r="J979" s="160" t="str">
        <f>IFERROR(INDEX(当年标准成本!I:I,MATCH(C979,当年标准成本!C:C,0),1),"")</f>
        <v/>
      </c>
      <c r="K979" s="146" t="str">
        <f t="shared" si="82"/>
        <v/>
      </c>
      <c r="L979" s="146" t="str">
        <f t="shared" si="83"/>
        <v/>
      </c>
      <c r="M979" s="148" t="str">
        <f t="shared" si="84"/>
        <v/>
      </c>
    </row>
    <row r="980" spans="1:13" x14ac:dyDescent="0.3">
      <c r="A980" s="149"/>
      <c r="B980" s="149"/>
      <c r="C980" s="149"/>
      <c r="D980" s="149"/>
      <c r="E980" s="149"/>
      <c r="F980" s="149"/>
      <c r="G980" s="162"/>
      <c r="H980" s="146" t="str">
        <f t="shared" si="80"/>
        <v/>
      </c>
      <c r="I980" s="161" t="str">
        <f t="shared" si="81"/>
        <v/>
      </c>
      <c r="J980" s="160" t="str">
        <f>IFERROR(INDEX(当年标准成本!I:I,MATCH(C980,当年标准成本!C:C,0),1),"")</f>
        <v/>
      </c>
      <c r="K980" s="146" t="str">
        <f t="shared" si="82"/>
        <v/>
      </c>
      <c r="L980" s="146" t="str">
        <f t="shared" si="83"/>
        <v/>
      </c>
      <c r="M980" s="148" t="str">
        <f t="shared" si="84"/>
        <v/>
      </c>
    </row>
    <row r="981" spans="1:13" x14ac:dyDescent="0.3">
      <c r="A981" s="149"/>
      <c r="B981" s="149"/>
      <c r="C981" s="149"/>
      <c r="D981" s="149"/>
      <c r="E981" s="149"/>
      <c r="F981" s="149"/>
      <c r="G981" s="162"/>
      <c r="H981" s="146" t="str">
        <f t="shared" si="80"/>
        <v/>
      </c>
      <c r="I981" s="161" t="str">
        <f t="shared" si="81"/>
        <v/>
      </c>
      <c r="J981" s="160" t="str">
        <f>IFERROR(INDEX(当年标准成本!I:I,MATCH(C981,当年标准成本!C:C,0),1),"")</f>
        <v/>
      </c>
      <c r="K981" s="146" t="str">
        <f t="shared" si="82"/>
        <v/>
      </c>
      <c r="L981" s="146" t="str">
        <f t="shared" si="83"/>
        <v/>
      </c>
      <c r="M981" s="148" t="str">
        <f t="shared" si="84"/>
        <v/>
      </c>
    </row>
    <row r="982" spans="1:13" x14ac:dyDescent="0.3">
      <c r="A982" s="149"/>
      <c r="B982" s="149"/>
      <c r="C982" s="149"/>
      <c r="D982" s="149"/>
      <c r="E982" s="149"/>
      <c r="F982" s="149"/>
      <c r="G982" s="162"/>
      <c r="H982" s="146" t="str">
        <f t="shared" si="80"/>
        <v/>
      </c>
      <c r="I982" s="161" t="str">
        <f t="shared" si="81"/>
        <v/>
      </c>
      <c r="J982" s="160" t="str">
        <f>IFERROR(INDEX(当年标准成本!I:I,MATCH(C982,当年标准成本!C:C,0),1),"")</f>
        <v/>
      </c>
      <c r="K982" s="146" t="str">
        <f t="shared" si="82"/>
        <v/>
      </c>
      <c r="L982" s="146" t="str">
        <f t="shared" si="83"/>
        <v/>
      </c>
      <c r="M982" s="148" t="str">
        <f t="shared" si="84"/>
        <v/>
      </c>
    </row>
    <row r="983" spans="1:13" x14ac:dyDescent="0.3">
      <c r="A983" s="149"/>
      <c r="B983" s="149"/>
      <c r="C983" s="149"/>
      <c r="D983" s="149"/>
      <c r="E983" s="149"/>
      <c r="F983" s="149"/>
      <c r="G983" s="162"/>
      <c r="H983" s="146" t="str">
        <f t="shared" si="80"/>
        <v/>
      </c>
      <c r="I983" s="161" t="str">
        <f t="shared" si="81"/>
        <v/>
      </c>
      <c r="J983" s="160" t="str">
        <f>IFERROR(INDEX(当年标准成本!I:I,MATCH(C983,当年标准成本!C:C,0),1),"")</f>
        <v/>
      </c>
      <c r="K983" s="146" t="str">
        <f t="shared" si="82"/>
        <v/>
      </c>
      <c r="L983" s="146" t="str">
        <f t="shared" si="83"/>
        <v/>
      </c>
      <c r="M983" s="148" t="str">
        <f t="shared" si="84"/>
        <v/>
      </c>
    </row>
    <row r="984" spans="1:13" x14ac:dyDescent="0.3">
      <c r="A984" s="149"/>
      <c r="B984" s="149"/>
      <c r="C984" s="149"/>
      <c r="D984" s="149"/>
      <c r="E984" s="149"/>
      <c r="F984" s="149"/>
      <c r="G984" s="162"/>
      <c r="H984" s="146" t="str">
        <f t="shared" si="80"/>
        <v/>
      </c>
      <c r="I984" s="161" t="str">
        <f t="shared" si="81"/>
        <v/>
      </c>
      <c r="J984" s="160" t="str">
        <f>IFERROR(INDEX(当年标准成本!I:I,MATCH(C984,当年标准成本!C:C,0),1),"")</f>
        <v/>
      </c>
      <c r="K984" s="146" t="str">
        <f t="shared" si="82"/>
        <v/>
      </c>
      <c r="L984" s="146" t="str">
        <f t="shared" si="83"/>
        <v/>
      </c>
      <c r="M984" s="148" t="str">
        <f t="shared" si="84"/>
        <v/>
      </c>
    </row>
    <row r="985" spans="1:13" x14ac:dyDescent="0.3">
      <c r="A985" s="149"/>
      <c r="B985" s="149"/>
      <c r="C985" s="149"/>
      <c r="D985" s="149"/>
      <c r="E985" s="149"/>
      <c r="F985" s="149"/>
      <c r="G985" s="162"/>
      <c r="H985" s="146" t="str">
        <f t="shared" si="80"/>
        <v/>
      </c>
      <c r="I985" s="161" t="str">
        <f t="shared" si="81"/>
        <v/>
      </c>
      <c r="J985" s="160" t="str">
        <f>IFERROR(INDEX(当年标准成本!I:I,MATCH(C985,当年标准成本!C:C,0),1),"")</f>
        <v/>
      </c>
      <c r="K985" s="146" t="str">
        <f t="shared" si="82"/>
        <v/>
      </c>
      <c r="L985" s="146" t="str">
        <f t="shared" si="83"/>
        <v/>
      </c>
      <c r="M985" s="148" t="str">
        <f t="shared" si="84"/>
        <v/>
      </c>
    </row>
    <row r="986" spans="1:13" x14ac:dyDescent="0.3">
      <c r="A986" s="149"/>
      <c r="B986" s="149"/>
      <c r="C986" s="149"/>
      <c r="D986" s="149"/>
      <c r="E986" s="149"/>
      <c r="F986" s="149"/>
      <c r="G986" s="162"/>
      <c r="H986" s="146" t="str">
        <f t="shared" si="80"/>
        <v/>
      </c>
      <c r="I986" s="161" t="str">
        <f t="shared" si="81"/>
        <v/>
      </c>
      <c r="J986" s="160" t="str">
        <f>IFERROR(INDEX(当年标准成本!I:I,MATCH(C986,当年标准成本!C:C,0),1),"")</f>
        <v/>
      </c>
      <c r="K986" s="146" t="str">
        <f t="shared" si="82"/>
        <v/>
      </c>
      <c r="L986" s="146" t="str">
        <f t="shared" si="83"/>
        <v/>
      </c>
      <c r="M986" s="148" t="str">
        <f t="shared" si="84"/>
        <v/>
      </c>
    </row>
    <row r="987" spans="1:13" x14ac:dyDescent="0.3">
      <c r="A987" s="149"/>
      <c r="B987" s="149"/>
      <c r="C987" s="149"/>
      <c r="D987" s="149"/>
      <c r="E987" s="149"/>
      <c r="F987" s="149"/>
      <c r="G987" s="162"/>
      <c r="H987" s="146" t="str">
        <f t="shared" si="80"/>
        <v/>
      </c>
      <c r="I987" s="161" t="str">
        <f t="shared" si="81"/>
        <v/>
      </c>
      <c r="J987" s="160" t="str">
        <f>IFERROR(INDEX(当年标准成本!I:I,MATCH(C987,当年标准成本!C:C,0),1),"")</f>
        <v/>
      </c>
      <c r="K987" s="146" t="str">
        <f t="shared" si="82"/>
        <v/>
      </c>
      <c r="L987" s="146" t="str">
        <f t="shared" si="83"/>
        <v/>
      </c>
      <c r="M987" s="148" t="str">
        <f t="shared" si="84"/>
        <v/>
      </c>
    </row>
    <row r="988" spans="1:13" x14ac:dyDescent="0.3">
      <c r="A988" s="149"/>
      <c r="B988" s="149"/>
      <c r="C988" s="149"/>
      <c r="D988" s="149"/>
      <c r="E988" s="149"/>
      <c r="F988" s="149"/>
      <c r="G988" s="162"/>
      <c r="H988" s="146" t="str">
        <f t="shared" si="80"/>
        <v/>
      </c>
      <c r="I988" s="161" t="str">
        <f t="shared" si="81"/>
        <v/>
      </c>
      <c r="J988" s="160" t="str">
        <f>IFERROR(INDEX(当年标准成本!I:I,MATCH(C988,当年标准成本!C:C,0),1),"")</f>
        <v/>
      </c>
      <c r="K988" s="146" t="str">
        <f t="shared" si="82"/>
        <v/>
      </c>
      <c r="L988" s="146" t="str">
        <f t="shared" si="83"/>
        <v/>
      </c>
      <c r="M988" s="148" t="str">
        <f t="shared" si="84"/>
        <v/>
      </c>
    </row>
    <row r="989" spans="1:13" x14ac:dyDescent="0.3">
      <c r="A989" s="149"/>
      <c r="B989" s="149"/>
      <c r="C989" s="149"/>
      <c r="D989" s="149"/>
      <c r="E989" s="149"/>
      <c r="F989" s="149"/>
      <c r="G989" s="162"/>
      <c r="H989" s="146" t="str">
        <f t="shared" si="80"/>
        <v/>
      </c>
      <c r="I989" s="161" t="str">
        <f t="shared" si="81"/>
        <v/>
      </c>
      <c r="J989" s="160" t="str">
        <f>IFERROR(INDEX(当年标准成本!I:I,MATCH(C989,当年标准成本!C:C,0),1),"")</f>
        <v/>
      </c>
      <c r="K989" s="146" t="str">
        <f t="shared" si="82"/>
        <v/>
      </c>
      <c r="L989" s="146" t="str">
        <f t="shared" si="83"/>
        <v/>
      </c>
      <c r="M989" s="148" t="str">
        <f t="shared" si="84"/>
        <v/>
      </c>
    </row>
    <row r="990" spans="1:13" x14ac:dyDescent="0.3">
      <c r="A990" s="149"/>
      <c r="B990" s="149"/>
      <c r="C990" s="149"/>
      <c r="D990" s="149"/>
      <c r="E990" s="149"/>
      <c r="F990" s="149"/>
      <c r="G990" s="162"/>
      <c r="H990" s="146" t="str">
        <f t="shared" si="80"/>
        <v/>
      </c>
      <c r="I990" s="161" t="str">
        <f t="shared" si="81"/>
        <v/>
      </c>
      <c r="J990" s="160" t="str">
        <f>IFERROR(INDEX(当年标准成本!I:I,MATCH(C990,当年标准成本!C:C,0),1),"")</f>
        <v/>
      </c>
      <c r="K990" s="146" t="str">
        <f t="shared" si="82"/>
        <v/>
      </c>
      <c r="L990" s="146" t="str">
        <f t="shared" si="83"/>
        <v/>
      </c>
      <c r="M990" s="148" t="str">
        <f t="shared" si="84"/>
        <v/>
      </c>
    </row>
    <row r="991" spans="1:13" x14ac:dyDescent="0.3">
      <c r="A991" s="149"/>
      <c r="B991" s="149"/>
      <c r="C991" s="149"/>
      <c r="D991" s="149"/>
      <c r="E991" s="149"/>
      <c r="F991" s="149"/>
      <c r="G991" s="162"/>
      <c r="H991" s="146" t="str">
        <f t="shared" si="80"/>
        <v/>
      </c>
      <c r="I991" s="161" t="str">
        <f t="shared" si="81"/>
        <v/>
      </c>
      <c r="J991" s="160" t="str">
        <f>IFERROR(INDEX(当年标准成本!I:I,MATCH(C991,当年标准成本!C:C,0),1),"")</f>
        <v/>
      </c>
      <c r="K991" s="146" t="str">
        <f t="shared" si="82"/>
        <v/>
      </c>
      <c r="L991" s="146" t="str">
        <f t="shared" si="83"/>
        <v/>
      </c>
      <c r="M991" s="148" t="str">
        <f t="shared" si="84"/>
        <v/>
      </c>
    </row>
    <row r="992" spans="1:13" x14ac:dyDescent="0.3">
      <c r="A992" s="149"/>
      <c r="B992" s="149"/>
      <c r="C992" s="149"/>
      <c r="D992" s="149"/>
      <c r="E992" s="149"/>
      <c r="F992" s="149"/>
      <c r="G992" s="162"/>
      <c r="H992" s="146" t="str">
        <f t="shared" si="80"/>
        <v/>
      </c>
      <c r="I992" s="161" t="str">
        <f t="shared" si="81"/>
        <v/>
      </c>
      <c r="J992" s="160" t="str">
        <f>IFERROR(INDEX(当年标准成本!I:I,MATCH(C992,当年标准成本!C:C,0),1),"")</f>
        <v/>
      </c>
      <c r="K992" s="146" t="str">
        <f t="shared" si="82"/>
        <v/>
      </c>
      <c r="L992" s="146" t="str">
        <f t="shared" si="83"/>
        <v/>
      </c>
      <c r="M992" s="148" t="str">
        <f t="shared" si="84"/>
        <v/>
      </c>
    </row>
    <row r="993" spans="1:13" x14ac:dyDescent="0.3">
      <c r="A993" s="149"/>
      <c r="B993" s="149"/>
      <c r="C993" s="149"/>
      <c r="D993" s="149"/>
      <c r="E993" s="149"/>
      <c r="F993" s="149"/>
      <c r="G993" s="162"/>
      <c r="H993" s="146" t="str">
        <f t="shared" si="80"/>
        <v/>
      </c>
      <c r="I993" s="161" t="str">
        <f t="shared" si="81"/>
        <v/>
      </c>
      <c r="J993" s="160" t="str">
        <f>IFERROR(INDEX(当年标准成本!I:I,MATCH(C993,当年标准成本!C:C,0),1),"")</f>
        <v/>
      </c>
      <c r="K993" s="146" t="str">
        <f t="shared" si="82"/>
        <v/>
      </c>
      <c r="L993" s="146" t="str">
        <f t="shared" si="83"/>
        <v/>
      </c>
      <c r="M993" s="148" t="str">
        <f t="shared" si="84"/>
        <v/>
      </c>
    </row>
    <row r="994" spans="1:13" x14ac:dyDescent="0.3">
      <c r="A994" s="149"/>
      <c r="B994" s="149"/>
      <c r="C994" s="149"/>
      <c r="D994" s="149"/>
      <c r="E994" s="149"/>
      <c r="F994" s="149"/>
      <c r="G994" s="162"/>
      <c r="H994" s="146" t="str">
        <f t="shared" si="80"/>
        <v/>
      </c>
      <c r="I994" s="161" t="str">
        <f t="shared" si="81"/>
        <v/>
      </c>
      <c r="J994" s="160" t="str">
        <f>IFERROR(INDEX(当年标准成本!I:I,MATCH(C994,当年标准成本!C:C,0),1),"")</f>
        <v/>
      </c>
      <c r="K994" s="146" t="str">
        <f t="shared" si="82"/>
        <v/>
      </c>
      <c r="L994" s="146" t="str">
        <f t="shared" si="83"/>
        <v/>
      </c>
      <c r="M994" s="148" t="str">
        <f t="shared" si="84"/>
        <v/>
      </c>
    </row>
    <row r="995" spans="1:13" x14ac:dyDescent="0.3">
      <c r="A995" s="149"/>
      <c r="B995" s="149"/>
      <c r="C995" s="149"/>
      <c r="D995" s="149"/>
      <c r="E995" s="149"/>
      <c r="F995" s="149"/>
      <c r="G995" s="162"/>
      <c r="H995" s="146" t="str">
        <f t="shared" si="80"/>
        <v/>
      </c>
      <c r="I995" s="161" t="str">
        <f t="shared" si="81"/>
        <v/>
      </c>
      <c r="J995" s="160" t="str">
        <f>IFERROR(INDEX(当年标准成本!I:I,MATCH(C995,当年标准成本!C:C,0),1),"")</f>
        <v/>
      </c>
      <c r="K995" s="146" t="str">
        <f t="shared" si="82"/>
        <v/>
      </c>
      <c r="L995" s="146" t="str">
        <f t="shared" si="83"/>
        <v/>
      </c>
      <c r="M995" s="148" t="str">
        <f t="shared" si="84"/>
        <v/>
      </c>
    </row>
    <row r="996" spans="1:13" x14ac:dyDescent="0.3">
      <c r="A996" s="149"/>
      <c r="B996" s="149"/>
      <c r="C996" s="149"/>
      <c r="D996" s="149"/>
      <c r="E996" s="149"/>
      <c r="F996" s="149"/>
      <c r="G996" s="162"/>
      <c r="H996" s="146" t="str">
        <f t="shared" si="80"/>
        <v/>
      </c>
      <c r="I996" s="161" t="str">
        <f t="shared" si="81"/>
        <v/>
      </c>
      <c r="J996" s="160" t="str">
        <f>IFERROR(INDEX(当年标准成本!I:I,MATCH(C996,当年标准成本!C:C,0),1),"")</f>
        <v/>
      </c>
      <c r="K996" s="146" t="str">
        <f t="shared" si="82"/>
        <v/>
      </c>
      <c r="L996" s="146" t="str">
        <f t="shared" si="83"/>
        <v/>
      </c>
      <c r="M996" s="148" t="str">
        <f t="shared" si="84"/>
        <v/>
      </c>
    </row>
    <row r="997" spans="1:13" x14ac:dyDescent="0.3">
      <c r="A997" s="149"/>
      <c r="B997" s="149"/>
      <c r="C997" s="149"/>
      <c r="D997" s="149"/>
      <c r="E997" s="149"/>
      <c r="F997" s="149"/>
      <c r="G997" s="162"/>
      <c r="H997" s="146" t="str">
        <f t="shared" si="80"/>
        <v/>
      </c>
      <c r="I997" s="161" t="str">
        <f t="shared" si="81"/>
        <v/>
      </c>
      <c r="J997" s="160" t="str">
        <f>IFERROR(INDEX(当年标准成本!I:I,MATCH(C997,当年标准成本!C:C,0),1),"")</f>
        <v/>
      </c>
      <c r="K997" s="146" t="str">
        <f t="shared" si="82"/>
        <v/>
      </c>
      <c r="L997" s="146" t="str">
        <f t="shared" si="83"/>
        <v/>
      </c>
      <c r="M997" s="148" t="str">
        <f t="shared" si="84"/>
        <v/>
      </c>
    </row>
    <row r="998" spans="1:13" x14ac:dyDescent="0.3">
      <c r="A998" s="149"/>
      <c r="B998" s="149"/>
      <c r="C998" s="149"/>
      <c r="D998" s="149"/>
      <c r="E998" s="149"/>
      <c r="F998" s="149"/>
      <c r="G998" s="162"/>
      <c r="H998" s="146" t="str">
        <f t="shared" si="80"/>
        <v/>
      </c>
      <c r="I998" s="161" t="str">
        <f t="shared" si="81"/>
        <v/>
      </c>
      <c r="J998" s="160" t="str">
        <f>IFERROR(INDEX(当年标准成本!I:I,MATCH(C998,当年标准成本!C:C,0),1),"")</f>
        <v/>
      </c>
      <c r="K998" s="146" t="str">
        <f t="shared" si="82"/>
        <v/>
      </c>
      <c r="L998" s="146" t="str">
        <f t="shared" si="83"/>
        <v/>
      </c>
      <c r="M998" s="148" t="str">
        <f t="shared" si="84"/>
        <v/>
      </c>
    </row>
    <row r="999" spans="1:13" x14ac:dyDescent="0.3">
      <c r="A999" s="149"/>
      <c r="B999" s="149"/>
      <c r="C999" s="149"/>
      <c r="D999" s="149"/>
      <c r="E999" s="149"/>
      <c r="F999" s="149"/>
      <c r="G999" s="162"/>
      <c r="H999" s="146" t="str">
        <f t="shared" si="80"/>
        <v/>
      </c>
      <c r="I999" s="161" t="str">
        <f t="shared" si="81"/>
        <v/>
      </c>
      <c r="J999" s="160" t="str">
        <f>IFERROR(INDEX(当年标准成本!I:I,MATCH(C999,当年标准成本!C:C,0),1),"")</f>
        <v/>
      </c>
      <c r="K999" s="146" t="str">
        <f t="shared" si="82"/>
        <v/>
      </c>
      <c r="L999" s="146" t="str">
        <f t="shared" si="83"/>
        <v/>
      </c>
      <c r="M999" s="148" t="str">
        <f t="shared" si="84"/>
        <v/>
      </c>
    </row>
    <row r="1000" spans="1:13" x14ac:dyDescent="0.3">
      <c r="A1000" s="149"/>
      <c r="B1000" s="149"/>
      <c r="C1000" s="149"/>
      <c r="D1000" s="149"/>
      <c r="E1000" s="149"/>
      <c r="F1000" s="149"/>
      <c r="G1000" s="162"/>
      <c r="H1000" s="146" t="str">
        <f t="shared" si="80"/>
        <v/>
      </c>
      <c r="I1000" s="161" t="str">
        <f t="shared" si="81"/>
        <v/>
      </c>
      <c r="J1000" s="160" t="str">
        <f>IFERROR(INDEX(当年标准成本!I:I,MATCH(C1000,当年标准成本!C:C,0),1),"")</f>
        <v/>
      </c>
      <c r="K1000" s="146" t="str">
        <f t="shared" si="82"/>
        <v/>
      </c>
      <c r="L1000" s="146" t="str">
        <f t="shared" si="83"/>
        <v/>
      </c>
      <c r="M1000" s="148" t="str">
        <f t="shared" si="84"/>
        <v/>
      </c>
    </row>
    <row r="1001" spans="1:13" x14ac:dyDescent="0.3">
      <c r="A1001" s="149"/>
      <c r="B1001" s="149"/>
      <c r="C1001" s="149"/>
      <c r="D1001" s="149"/>
      <c r="E1001" s="149"/>
      <c r="F1001" s="149"/>
      <c r="G1001" s="162"/>
      <c r="H1001" s="146" t="str">
        <f t="shared" si="80"/>
        <v/>
      </c>
      <c r="I1001" s="161" t="str">
        <f t="shared" si="81"/>
        <v/>
      </c>
      <c r="J1001" s="160" t="str">
        <f>IFERROR(INDEX(当年标准成本!I:I,MATCH(C1001,当年标准成本!C:C,0),1),"")</f>
        <v/>
      </c>
      <c r="K1001" s="146" t="str">
        <f t="shared" si="82"/>
        <v/>
      </c>
      <c r="L1001" s="146" t="str">
        <f t="shared" si="83"/>
        <v/>
      </c>
      <c r="M1001" s="148" t="str">
        <f t="shared" si="84"/>
        <v/>
      </c>
    </row>
    <row r="1002" spans="1:13" x14ac:dyDescent="0.3">
      <c r="A1002" s="149"/>
      <c r="B1002" s="149"/>
      <c r="C1002" s="149"/>
      <c r="D1002" s="149"/>
      <c r="E1002" s="149"/>
      <c r="F1002" s="149"/>
      <c r="G1002" s="162"/>
      <c r="H1002" s="146" t="str">
        <f t="shared" si="80"/>
        <v/>
      </c>
      <c r="I1002" s="161" t="str">
        <f t="shared" si="81"/>
        <v/>
      </c>
      <c r="J1002" s="160" t="str">
        <f>IFERROR(INDEX(当年标准成本!I:I,MATCH(C1002,当年标准成本!C:C,0),1),"")</f>
        <v/>
      </c>
      <c r="K1002" s="146" t="str">
        <f t="shared" si="82"/>
        <v/>
      </c>
      <c r="L1002" s="146" t="str">
        <f t="shared" si="83"/>
        <v/>
      </c>
      <c r="M1002" s="148" t="str">
        <f t="shared" si="84"/>
        <v/>
      </c>
    </row>
    <row r="1003" spans="1:13" x14ac:dyDescent="0.3">
      <c r="A1003" s="149"/>
      <c r="B1003" s="149"/>
      <c r="C1003" s="149"/>
      <c r="D1003" s="149"/>
      <c r="E1003" s="149"/>
      <c r="F1003" s="149"/>
      <c r="G1003" s="162"/>
      <c r="H1003" s="146" t="str">
        <f t="shared" si="80"/>
        <v/>
      </c>
      <c r="I1003" s="161" t="str">
        <f t="shared" si="81"/>
        <v/>
      </c>
      <c r="J1003" s="160" t="str">
        <f>IFERROR(INDEX(当年标准成本!I:I,MATCH(C1003,当年标准成本!C:C,0),1),"")</f>
        <v/>
      </c>
      <c r="K1003" s="146" t="str">
        <f t="shared" si="82"/>
        <v/>
      </c>
      <c r="L1003" s="146" t="str">
        <f t="shared" si="83"/>
        <v/>
      </c>
      <c r="M1003" s="148" t="str">
        <f t="shared" si="84"/>
        <v/>
      </c>
    </row>
    <row r="1004" spans="1:13" x14ac:dyDescent="0.3">
      <c r="A1004" s="149"/>
      <c r="B1004" s="149"/>
      <c r="C1004" s="149"/>
      <c r="D1004" s="149"/>
      <c r="E1004" s="149"/>
      <c r="F1004" s="149"/>
      <c r="G1004" s="162"/>
      <c r="H1004" s="146" t="str">
        <f t="shared" si="80"/>
        <v/>
      </c>
      <c r="I1004" s="161" t="str">
        <f t="shared" si="81"/>
        <v/>
      </c>
      <c r="J1004" s="160" t="str">
        <f>IFERROR(INDEX(当年标准成本!I:I,MATCH(C1004,当年标准成本!C:C,0),1),"")</f>
        <v/>
      </c>
      <c r="K1004" s="146" t="str">
        <f t="shared" si="82"/>
        <v/>
      </c>
      <c r="L1004" s="146" t="str">
        <f t="shared" si="83"/>
        <v/>
      </c>
      <c r="M1004" s="148" t="str">
        <f t="shared" si="84"/>
        <v/>
      </c>
    </row>
    <row r="1005" spans="1:13" x14ac:dyDescent="0.3">
      <c r="A1005" s="149"/>
      <c r="B1005" s="149"/>
      <c r="C1005" s="149"/>
      <c r="D1005" s="149"/>
      <c r="E1005" s="149"/>
      <c r="F1005" s="149"/>
      <c r="G1005" s="162"/>
      <c r="H1005" s="146" t="str">
        <f t="shared" si="80"/>
        <v/>
      </c>
      <c r="I1005" s="161" t="str">
        <f t="shared" si="81"/>
        <v/>
      </c>
      <c r="J1005" s="160" t="str">
        <f>IFERROR(INDEX(当年标准成本!I:I,MATCH(C1005,当年标准成本!C:C,0),1),"")</f>
        <v/>
      </c>
      <c r="K1005" s="146" t="str">
        <f t="shared" si="82"/>
        <v/>
      </c>
      <c r="L1005" s="146" t="str">
        <f t="shared" si="83"/>
        <v/>
      </c>
      <c r="M1005" s="148" t="str">
        <f t="shared" si="84"/>
        <v/>
      </c>
    </row>
    <row r="1006" spans="1:13" x14ac:dyDescent="0.3">
      <c r="A1006" s="149"/>
      <c r="B1006" s="149"/>
      <c r="C1006" s="149"/>
      <c r="D1006" s="149"/>
      <c r="E1006" s="149"/>
      <c r="F1006" s="149"/>
      <c r="G1006" s="162"/>
      <c r="H1006" s="146" t="str">
        <f t="shared" si="80"/>
        <v/>
      </c>
      <c r="I1006" s="161" t="str">
        <f t="shared" si="81"/>
        <v/>
      </c>
      <c r="J1006" s="160" t="str">
        <f>IFERROR(INDEX(当年标准成本!I:I,MATCH(C1006,当年标准成本!C:C,0),1),"")</f>
        <v/>
      </c>
      <c r="K1006" s="146" t="str">
        <f t="shared" si="82"/>
        <v/>
      </c>
      <c r="L1006" s="146" t="str">
        <f t="shared" si="83"/>
        <v/>
      </c>
      <c r="M1006" s="148" t="str">
        <f t="shared" si="84"/>
        <v/>
      </c>
    </row>
    <row r="1007" spans="1:13" x14ac:dyDescent="0.3">
      <c r="A1007" s="149"/>
      <c r="B1007" s="149"/>
      <c r="C1007" s="149"/>
      <c r="D1007" s="149"/>
      <c r="E1007" s="149"/>
      <c r="F1007" s="149"/>
      <c r="G1007" s="162"/>
      <c r="H1007" s="146" t="str">
        <f t="shared" si="80"/>
        <v/>
      </c>
      <c r="I1007" s="161" t="str">
        <f t="shared" si="81"/>
        <v/>
      </c>
      <c r="J1007" s="160" t="str">
        <f>IFERROR(INDEX(当年标准成本!I:I,MATCH(C1007,当年标准成本!C:C,0),1),"")</f>
        <v/>
      </c>
      <c r="K1007" s="146" t="str">
        <f t="shared" si="82"/>
        <v/>
      </c>
      <c r="L1007" s="146" t="str">
        <f t="shared" si="83"/>
        <v/>
      </c>
      <c r="M1007" s="148" t="str">
        <f t="shared" si="84"/>
        <v/>
      </c>
    </row>
    <row r="1008" spans="1:13" x14ac:dyDescent="0.3">
      <c r="A1008" s="149"/>
      <c r="B1008" s="149"/>
      <c r="C1008" s="149"/>
      <c r="D1008" s="149"/>
      <c r="E1008" s="149"/>
      <c r="F1008" s="149"/>
      <c r="G1008" s="162"/>
      <c r="H1008" s="146" t="str">
        <f t="shared" si="80"/>
        <v/>
      </c>
      <c r="I1008" s="161" t="str">
        <f t="shared" si="81"/>
        <v/>
      </c>
      <c r="J1008" s="160" t="str">
        <f>IFERROR(INDEX(当年标准成本!I:I,MATCH(C1008,当年标准成本!C:C,0),1),"")</f>
        <v/>
      </c>
      <c r="K1008" s="146" t="str">
        <f t="shared" si="82"/>
        <v/>
      </c>
      <c r="L1008" s="146" t="str">
        <f t="shared" si="83"/>
        <v/>
      </c>
      <c r="M1008" s="148" t="str">
        <f t="shared" si="84"/>
        <v/>
      </c>
    </row>
    <row r="1009" spans="1:13" x14ac:dyDescent="0.3">
      <c r="A1009" s="149"/>
      <c r="B1009" s="149"/>
      <c r="C1009" s="149"/>
      <c r="D1009" s="149"/>
      <c r="E1009" s="149"/>
      <c r="F1009" s="149"/>
      <c r="G1009" s="162"/>
      <c r="H1009" s="146" t="str">
        <f t="shared" si="80"/>
        <v/>
      </c>
      <c r="I1009" s="161" t="str">
        <f t="shared" si="81"/>
        <v/>
      </c>
      <c r="J1009" s="160" t="str">
        <f>IFERROR(INDEX(当年标准成本!I:I,MATCH(C1009,当年标准成本!C:C,0),1),"")</f>
        <v/>
      </c>
      <c r="K1009" s="146" t="str">
        <f t="shared" si="82"/>
        <v/>
      </c>
      <c r="L1009" s="146" t="str">
        <f t="shared" si="83"/>
        <v/>
      </c>
      <c r="M1009" s="148" t="str">
        <f t="shared" si="84"/>
        <v/>
      </c>
    </row>
    <row r="1010" spans="1:13" x14ac:dyDescent="0.3">
      <c r="A1010" s="149"/>
      <c r="B1010" s="149"/>
      <c r="C1010" s="149"/>
      <c r="D1010" s="149"/>
      <c r="E1010" s="149"/>
      <c r="F1010" s="149"/>
      <c r="G1010" s="162"/>
      <c r="H1010" s="146" t="str">
        <f t="shared" si="80"/>
        <v/>
      </c>
      <c r="I1010" s="161" t="str">
        <f t="shared" si="81"/>
        <v/>
      </c>
      <c r="J1010" s="160" t="str">
        <f>IFERROR(INDEX(当年标准成本!I:I,MATCH(C1010,当年标准成本!C:C,0),1),"")</f>
        <v/>
      </c>
      <c r="K1010" s="146" t="str">
        <f t="shared" si="82"/>
        <v/>
      </c>
      <c r="L1010" s="146" t="str">
        <f t="shared" si="83"/>
        <v/>
      </c>
      <c r="M1010" s="148" t="str">
        <f t="shared" si="84"/>
        <v/>
      </c>
    </row>
    <row r="1011" spans="1:13" x14ac:dyDescent="0.3">
      <c r="A1011" s="149"/>
      <c r="B1011" s="149"/>
      <c r="C1011" s="149"/>
      <c r="D1011" s="149"/>
      <c r="E1011" s="149"/>
      <c r="F1011" s="149"/>
      <c r="G1011" s="162"/>
      <c r="H1011" s="146" t="str">
        <f t="shared" si="80"/>
        <v/>
      </c>
      <c r="I1011" s="161" t="str">
        <f t="shared" si="81"/>
        <v/>
      </c>
      <c r="J1011" s="160" t="str">
        <f>IFERROR(INDEX(当年标准成本!I:I,MATCH(C1011,当年标准成本!C:C,0),1),"")</f>
        <v/>
      </c>
      <c r="K1011" s="146" t="str">
        <f t="shared" si="82"/>
        <v/>
      </c>
      <c r="L1011" s="146" t="str">
        <f t="shared" si="83"/>
        <v/>
      </c>
      <c r="M1011" s="148" t="str">
        <f t="shared" si="84"/>
        <v/>
      </c>
    </row>
    <row r="1012" spans="1:13" x14ac:dyDescent="0.3">
      <c r="A1012" s="149"/>
      <c r="B1012" s="149"/>
      <c r="C1012" s="149"/>
      <c r="D1012" s="149"/>
      <c r="E1012" s="149"/>
      <c r="F1012" s="149"/>
      <c r="G1012" s="162"/>
      <c r="H1012" s="146" t="str">
        <f t="shared" si="80"/>
        <v/>
      </c>
      <c r="I1012" s="161" t="str">
        <f t="shared" si="81"/>
        <v/>
      </c>
      <c r="J1012" s="160" t="str">
        <f>IFERROR(INDEX(当年标准成本!I:I,MATCH(C1012,当年标准成本!C:C,0),1),"")</f>
        <v/>
      </c>
      <c r="K1012" s="146" t="str">
        <f t="shared" si="82"/>
        <v/>
      </c>
      <c r="L1012" s="146" t="str">
        <f t="shared" si="83"/>
        <v/>
      </c>
      <c r="M1012" s="148" t="str">
        <f t="shared" si="84"/>
        <v/>
      </c>
    </row>
    <row r="1013" spans="1:13" x14ac:dyDescent="0.3">
      <c r="A1013" s="149"/>
      <c r="B1013" s="149"/>
      <c r="C1013" s="149"/>
      <c r="D1013" s="149"/>
      <c r="E1013" s="149"/>
      <c r="F1013" s="149"/>
      <c r="G1013" s="162"/>
      <c r="H1013" s="146" t="str">
        <f t="shared" si="80"/>
        <v/>
      </c>
      <c r="I1013" s="161" t="str">
        <f t="shared" si="81"/>
        <v/>
      </c>
      <c r="J1013" s="160" t="str">
        <f>IFERROR(INDEX(当年标准成本!I:I,MATCH(C1013,当年标准成本!C:C,0),1),"")</f>
        <v/>
      </c>
      <c r="K1013" s="146" t="str">
        <f t="shared" si="82"/>
        <v/>
      </c>
      <c r="L1013" s="146" t="str">
        <f t="shared" si="83"/>
        <v/>
      </c>
      <c r="M1013" s="148" t="str">
        <f t="shared" si="84"/>
        <v/>
      </c>
    </row>
    <row r="1014" spans="1:13" x14ac:dyDescent="0.3">
      <c r="A1014" s="149"/>
      <c r="B1014" s="149"/>
      <c r="C1014" s="149"/>
      <c r="D1014" s="149"/>
      <c r="E1014" s="149"/>
      <c r="F1014" s="149"/>
      <c r="G1014" s="162"/>
      <c r="H1014" s="146" t="str">
        <f t="shared" si="80"/>
        <v/>
      </c>
      <c r="I1014" s="161" t="str">
        <f t="shared" si="81"/>
        <v/>
      </c>
      <c r="J1014" s="160" t="str">
        <f>IFERROR(INDEX(当年标准成本!I:I,MATCH(C1014,当年标准成本!C:C,0),1),"")</f>
        <v/>
      </c>
      <c r="K1014" s="146" t="str">
        <f t="shared" si="82"/>
        <v/>
      </c>
      <c r="L1014" s="146" t="str">
        <f t="shared" si="83"/>
        <v/>
      </c>
      <c r="M1014" s="148" t="str">
        <f t="shared" si="84"/>
        <v/>
      </c>
    </row>
    <row r="1015" spans="1:13" x14ac:dyDescent="0.3">
      <c r="A1015" s="149"/>
      <c r="B1015" s="149"/>
      <c r="C1015" s="149"/>
      <c r="D1015" s="149"/>
      <c r="E1015" s="149"/>
      <c r="F1015" s="149"/>
      <c r="G1015" s="162"/>
      <c r="H1015" s="146" t="str">
        <f t="shared" si="80"/>
        <v/>
      </c>
      <c r="I1015" s="161" t="str">
        <f t="shared" si="81"/>
        <v/>
      </c>
      <c r="J1015" s="160" t="str">
        <f>IFERROR(INDEX(当年标准成本!I:I,MATCH(C1015,当年标准成本!C:C,0),1),"")</f>
        <v/>
      </c>
      <c r="K1015" s="146" t="str">
        <f t="shared" si="82"/>
        <v/>
      </c>
      <c r="L1015" s="146" t="str">
        <f t="shared" si="83"/>
        <v/>
      </c>
      <c r="M1015" s="148" t="str">
        <f t="shared" si="84"/>
        <v/>
      </c>
    </row>
    <row r="1016" spans="1:13" x14ac:dyDescent="0.3">
      <c r="A1016" s="149"/>
      <c r="B1016" s="149"/>
      <c r="C1016" s="149"/>
      <c r="D1016" s="149"/>
      <c r="E1016" s="149"/>
      <c r="F1016" s="149"/>
      <c r="G1016" s="162"/>
      <c r="H1016" s="146" t="str">
        <f t="shared" si="80"/>
        <v/>
      </c>
      <c r="I1016" s="161" t="str">
        <f t="shared" si="81"/>
        <v/>
      </c>
      <c r="J1016" s="160" t="str">
        <f>IFERROR(INDEX(当年标准成本!I:I,MATCH(C1016,当年标准成本!C:C,0),1),"")</f>
        <v/>
      </c>
      <c r="K1016" s="146" t="str">
        <f t="shared" si="82"/>
        <v/>
      </c>
      <c r="L1016" s="146" t="str">
        <f t="shared" si="83"/>
        <v/>
      </c>
      <c r="M1016" s="148" t="str">
        <f t="shared" si="84"/>
        <v/>
      </c>
    </row>
    <row r="1017" spans="1:13" x14ac:dyDescent="0.3">
      <c r="A1017" s="149"/>
      <c r="B1017" s="149"/>
      <c r="C1017" s="149"/>
      <c r="D1017" s="149"/>
      <c r="E1017" s="149"/>
      <c r="F1017" s="149"/>
      <c r="G1017" s="162"/>
      <c r="H1017" s="146" t="str">
        <f t="shared" si="80"/>
        <v/>
      </c>
      <c r="I1017" s="161" t="str">
        <f t="shared" si="81"/>
        <v/>
      </c>
      <c r="J1017" s="160" t="str">
        <f>IFERROR(INDEX(当年标准成本!I:I,MATCH(C1017,当年标准成本!C:C,0),1),"")</f>
        <v/>
      </c>
      <c r="K1017" s="146" t="str">
        <f t="shared" si="82"/>
        <v/>
      </c>
      <c r="L1017" s="146" t="str">
        <f t="shared" si="83"/>
        <v/>
      </c>
      <c r="M1017" s="148" t="str">
        <f t="shared" si="84"/>
        <v/>
      </c>
    </row>
    <row r="1018" spans="1:13" x14ac:dyDescent="0.3">
      <c r="A1018" s="149"/>
      <c r="B1018" s="149"/>
      <c r="C1018" s="149"/>
      <c r="D1018" s="149"/>
      <c r="E1018" s="149"/>
      <c r="F1018" s="149"/>
      <c r="G1018" s="162"/>
      <c r="H1018" s="146" t="str">
        <f t="shared" si="80"/>
        <v/>
      </c>
      <c r="I1018" s="161" t="str">
        <f t="shared" si="81"/>
        <v/>
      </c>
      <c r="J1018" s="160" t="str">
        <f>IFERROR(INDEX(当年标准成本!I:I,MATCH(C1018,当年标准成本!C:C,0),1),"")</f>
        <v/>
      </c>
      <c r="K1018" s="146" t="str">
        <f t="shared" si="82"/>
        <v/>
      </c>
      <c r="L1018" s="146" t="str">
        <f t="shared" si="83"/>
        <v/>
      </c>
      <c r="M1018" s="148" t="str">
        <f t="shared" si="84"/>
        <v/>
      </c>
    </row>
    <row r="1019" spans="1:13" x14ac:dyDescent="0.3">
      <c r="A1019" s="149"/>
      <c r="B1019" s="149"/>
      <c r="C1019" s="149"/>
      <c r="D1019" s="149"/>
      <c r="E1019" s="149"/>
      <c r="F1019" s="149"/>
      <c r="G1019" s="162"/>
      <c r="H1019" s="146" t="str">
        <f t="shared" si="80"/>
        <v/>
      </c>
      <c r="I1019" s="161" t="str">
        <f t="shared" si="81"/>
        <v/>
      </c>
      <c r="J1019" s="160" t="str">
        <f>IFERROR(INDEX(当年标准成本!I:I,MATCH(C1019,当年标准成本!C:C,0),1),"")</f>
        <v/>
      </c>
      <c r="K1019" s="146" t="str">
        <f t="shared" si="82"/>
        <v/>
      </c>
      <c r="L1019" s="146" t="str">
        <f t="shared" si="83"/>
        <v/>
      </c>
      <c r="M1019" s="148" t="str">
        <f t="shared" si="84"/>
        <v/>
      </c>
    </row>
    <row r="1020" spans="1:13" x14ac:dyDescent="0.3">
      <c r="A1020" s="149"/>
      <c r="B1020" s="149"/>
      <c r="C1020" s="149"/>
      <c r="D1020" s="149"/>
      <c r="E1020" s="149"/>
      <c r="F1020" s="149"/>
      <c r="G1020" s="162"/>
      <c r="H1020" s="146" t="str">
        <f t="shared" si="80"/>
        <v/>
      </c>
      <c r="I1020" s="161" t="str">
        <f t="shared" si="81"/>
        <v/>
      </c>
      <c r="J1020" s="160" t="str">
        <f>IFERROR(INDEX(当年标准成本!I:I,MATCH(C1020,当年标准成本!C:C,0),1),"")</f>
        <v/>
      </c>
      <c r="K1020" s="146" t="str">
        <f t="shared" si="82"/>
        <v/>
      </c>
      <c r="L1020" s="146" t="str">
        <f t="shared" si="83"/>
        <v/>
      </c>
      <c r="M1020" s="148" t="str">
        <f t="shared" si="84"/>
        <v/>
      </c>
    </row>
    <row r="1021" spans="1:13" x14ac:dyDescent="0.3">
      <c r="A1021" s="149"/>
      <c r="B1021" s="149"/>
      <c r="C1021" s="149"/>
      <c r="D1021" s="149"/>
      <c r="E1021" s="149"/>
      <c r="F1021" s="149"/>
      <c r="G1021" s="162"/>
      <c r="H1021" s="146" t="str">
        <f t="shared" si="80"/>
        <v/>
      </c>
      <c r="I1021" s="161" t="str">
        <f t="shared" si="81"/>
        <v/>
      </c>
      <c r="J1021" s="160" t="str">
        <f>IFERROR(INDEX(当年标准成本!I:I,MATCH(C1021,当年标准成本!C:C,0),1),"")</f>
        <v/>
      </c>
      <c r="K1021" s="146" t="str">
        <f t="shared" si="82"/>
        <v/>
      </c>
      <c r="L1021" s="146" t="str">
        <f t="shared" si="83"/>
        <v/>
      </c>
      <c r="M1021" s="148" t="str">
        <f t="shared" si="84"/>
        <v/>
      </c>
    </row>
    <row r="1022" spans="1:13" x14ac:dyDescent="0.3">
      <c r="A1022" s="149"/>
      <c r="B1022" s="149"/>
      <c r="C1022" s="149"/>
      <c r="D1022" s="149"/>
      <c r="E1022" s="149"/>
      <c r="F1022" s="149"/>
      <c r="G1022" s="162"/>
      <c r="H1022" s="146" t="str">
        <f t="shared" si="80"/>
        <v/>
      </c>
      <c r="I1022" s="161" t="str">
        <f t="shared" si="81"/>
        <v/>
      </c>
      <c r="J1022" s="160" t="str">
        <f>IFERROR(INDEX(当年标准成本!I:I,MATCH(C1022,当年标准成本!C:C,0),1),"")</f>
        <v/>
      </c>
      <c r="K1022" s="146" t="str">
        <f t="shared" si="82"/>
        <v/>
      </c>
      <c r="L1022" s="146" t="str">
        <f t="shared" si="83"/>
        <v/>
      </c>
      <c r="M1022" s="148" t="str">
        <f t="shared" si="84"/>
        <v/>
      </c>
    </row>
    <row r="1023" spans="1:13" x14ac:dyDescent="0.3">
      <c r="A1023" s="149"/>
      <c r="B1023" s="149"/>
      <c r="C1023" s="149"/>
      <c r="D1023" s="149"/>
      <c r="E1023" s="149"/>
      <c r="F1023" s="149"/>
      <c r="G1023" s="162"/>
      <c r="H1023" s="146" t="str">
        <f t="shared" si="80"/>
        <v/>
      </c>
      <c r="I1023" s="161" t="str">
        <f t="shared" si="81"/>
        <v/>
      </c>
      <c r="J1023" s="160" t="str">
        <f>IFERROR(INDEX(当年标准成本!I:I,MATCH(C1023,当年标准成本!C:C,0),1),"")</f>
        <v/>
      </c>
      <c r="K1023" s="146" t="str">
        <f t="shared" si="82"/>
        <v/>
      </c>
      <c r="L1023" s="146" t="str">
        <f t="shared" si="83"/>
        <v/>
      </c>
      <c r="M1023" s="148" t="str">
        <f t="shared" si="84"/>
        <v/>
      </c>
    </row>
    <row r="1024" spans="1:13" x14ac:dyDescent="0.3">
      <c r="A1024" s="149"/>
      <c r="B1024" s="149"/>
      <c r="C1024" s="149"/>
      <c r="D1024" s="149"/>
      <c r="E1024" s="149"/>
      <c r="F1024" s="149"/>
      <c r="G1024" s="162"/>
      <c r="H1024" s="146" t="str">
        <f t="shared" si="80"/>
        <v/>
      </c>
      <c r="I1024" s="161" t="str">
        <f t="shared" si="81"/>
        <v/>
      </c>
      <c r="J1024" s="160" t="str">
        <f>IFERROR(INDEX(当年标准成本!I:I,MATCH(C1024,当年标准成本!C:C,0),1),"")</f>
        <v/>
      </c>
      <c r="K1024" s="146" t="str">
        <f t="shared" si="82"/>
        <v/>
      </c>
      <c r="L1024" s="146" t="str">
        <f t="shared" si="83"/>
        <v/>
      </c>
      <c r="M1024" s="148" t="str">
        <f t="shared" si="84"/>
        <v/>
      </c>
    </row>
    <row r="1025" spans="1:13" x14ac:dyDescent="0.3">
      <c r="A1025" s="149"/>
      <c r="B1025" s="149"/>
      <c r="C1025" s="149"/>
      <c r="D1025" s="149"/>
      <c r="E1025" s="149"/>
      <c r="F1025" s="149"/>
      <c r="G1025" s="162"/>
      <c r="H1025" s="146" t="str">
        <f t="shared" si="80"/>
        <v/>
      </c>
      <c r="I1025" s="161" t="str">
        <f t="shared" si="81"/>
        <v/>
      </c>
      <c r="J1025" s="160" t="str">
        <f>IFERROR(INDEX(当年标准成本!I:I,MATCH(C1025,当年标准成本!C:C,0),1),"")</f>
        <v/>
      </c>
      <c r="K1025" s="146" t="str">
        <f t="shared" si="82"/>
        <v/>
      </c>
      <c r="L1025" s="146" t="str">
        <f t="shared" si="83"/>
        <v/>
      </c>
      <c r="M1025" s="148" t="str">
        <f t="shared" si="84"/>
        <v/>
      </c>
    </row>
    <row r="1026" spans="1:13" x14ac:dyDescent="0.3">
      <c r="A1026" s="149"/>
      <c r="B1026" s="149"/>
      <c r="C1026" s="149"/>
      <c r="D1026" s="149"/>
      <c r="E1026" s="149"/>
      <c r="F1026" s="149"/>
      <c r="G1026" s="162"/>
      <c r="H1026" s="146" t="str">
        <f t="shared" si="80"/>
        <v/>
      </c>
      <c r="I1026" s="161" t="str">
        <f t="shared" si="81"/>
        <v/>
      </c>
      <c r="J1026" s="160" t="str">
        <f>IFERROR(INDEX(当年标准成本!I:I,MATCH(C1026,当年标准成本!C:C,0),1),"")</f>
        <v/>
      </c>
      <c r="K1026" s="146" t="str">
        <f t="shared" si="82"/>
        <v/>
      </c>
      <c r="L1026" s="146" t="str">
        <f t="shared" si="83"/>
        <v/>
      </c>
      <c r="M1026" s="148" t="str">
        <f t="shared" si="84"/>
        <v/>
      </c>
    </row>
    <row r="1027" spans="1:13" x14ac:dyDescent="0.3">
      <c r="A1027" s="149"/>
      <c r="B1027" s="149"/>
      <c r="C1027" s="149"/>
      <c r="D1027" s="149"/>
      <c r="E1027" s="149"/>
      <c r="F1027" s="149"/>
      <c r="G1027" s="162"/>
      <c r="H1027" s="146" t="str">
        <f t="shared" si="80"/>
        <v/>
      </c>
      <c r="I1027" s="161" t="str">
        <f t="shared" si="81"/>
        <v/>
      </c>
      <c r="J1027" s="160" t="str">
        <f>IFERROR(INDEX(当年标准成本!I:I,MATCH(C1027,当年标准成本!C:C,0),1),"")</f>
        <v/>
      </c>
      <c r="K1027" s="146" t="str">
        <f t="shared" si="82"/>
        <v/>
      </c>
      <c r="L1027" s="146" t="str">
        <f t="shared" si="83"/>
        <v/>
      </c>
      <c r="M1027" s="148" t="str">
        <f t="shared" si="84"/>
        <v/>
      </c>
    </row>
    <row r="1028" spans="1:13" x14ac:dyDescent="0.3">
      <c r="A1028" s="149"/>
      <c r="B1028" s="149"/>
      <c r="C1028" s="149"/>
      <c r="D1028" s="149"/>
      <c r="E1028" s="149"/>
      <c r="F1028" s="149"/>
      <c r="G1028" s="162"/>
      <c r="H1028" s="146" t="str">
        <f t="shared" si="80"/>
        <v/>
      </c>
      <c r="I1028" s="161" t="str">
        <f t="shared" si="81"/>
        <v/>
      </c>
      <c r="J1028" s="160" t="str">
        <f>IFERROR(INDEX(当年标准成本!I:I,MATCH(C1028,当年标准成本!C:C,0),1),"")</f>
        <v/>
      </c>
      <c r="K1028" s="146" t="str">
        <f t="shared" si="82"/>
        <v/>
      </c>
      <c r="L1028" s="146" t="str">
        <f t="shared" si="83"/>
        <v/>
      </c>
      <c r="M1028" s="148" t="str">
        <f t="shared" si="84"/>
        <v/>
      </c>
    </row>
    <row r="1029" spans="1:13" x14ac:dyDescent="0.3">
      <c r="A1029" s="149"/>
      <c r="B1029" s="149"/>
      <c r="C1029" s="149"/>
      <c r="D1029" s="149"/>
      <c r="E1029" s="149"/>
      <c r="F1029" s="149"/>
      <c r="G1029" s="162"/>
      <c r="H1029" s="146" t="str">
        <f t="shared" si="80"/>
        <v/>
      </c>
      <c r="I1029" s="161" t="str">
        <f t="shared" si="81"/>
        <v/>
      </c>
      <c r="J1029" s="160" t="str">
        <f>IFERROR(INDEX(当年标准成本!I:I,MATCH(C1029,当年标准成本!C:C,0),1),"")</f>
        <v/>
      </c>
      <c r="K1029" s="146" t="str">
        <f t="shared" si="82"/>
        <v/>
      </c>
      <c r="L1029" s="146" t="str">
        <f t="shared" si="83"/>
        <v/>
      </c>
      <c r="M1029" s="148" t="str">
        <f t="shared" si="84"/>
        <v/>
      </c>
    </row>
    <row r="1030" spans="1:13" x14ac:dyDescent="0.3">
      <c r="A1030" s="149"/>
      <c r="B1030" s="149"/>
      <c r="C1030" s="149"/>
      <c r="D1030" s="149"/>
      <c r="E1030" s="149"/>
      <c r="F1030" s="149"/>
      <c r="G1030" s="162"/>
      <c r="H1030" s="146" t="str">
        <f t="shared" si="80"/>
        <v/>
      </c>
      <c r="I1030" s="161" t="str">
        <f t="shared" si="81"/>
        <v/>
      </c>
      <c r="J1030" s="160" t="str">
        <f>IFERROR(INDEX(当年标准成本!I:I,MATCH(C1030,当年标准成本!C:C,0),1),"")</f>
        <v/>
      </c>
      <c r="K1030" s="146" t="str">
        <f t="shared" si="82"/>
        <v/>
      </c>
      <c r="L1030" s="146" t="str">
        <f t="shared" si="83"/>
        <v/>
      </c>
      <c r="M1030" s="148" t="str">
        <f t="shared" si="84"/>
        <v/>
      </c>
    </row>
    <row r="1031" spans="1:13" x14ac:dyDescent="0.3">
      <c r="A1031" s="149"/>
      <c r="B1031" s="149"/>
      <c r="C1031" s="149"/>
      <c r="D1031" s="149"/>
      <c r="E1031" s="149"/>
      <c r="F1031" s="149"/>
      <c r="G1031" s="162"/>
      <c r="H1031" s="146" t="str">
        <f t="shared" si="80"/>
        <v/>
      </c>
      <c r="I1031" s="161" t="str">
        <f t="shared" si="81"/>
        <v/>
      </c>
      <c r="J1031" s="160" t="str">
        <f>IFERROR(INDEX(当年标准成本!I:I,MATCH(C1031,当年标准成本!C:C,0),1),"")</f>
        <v/>
      </c>
      <c r="K1031" s="146" t="str">
        <f t="shared" si="82"/>
        <v/>
      </c>
      <c r="L1031" s="146" t="str">
        <f t="shared" si="83"/>
        <v/>
      </c>
      <c r="M1031" s="148" t="str">
        <f t="shared" si="84"/>
        <v/>
      </c>
    </row>
    <row r="1032" spans="1:13" x14ac:dyDescent="0.3">
      <c r="A1032" s="149"/>
      <c r="B1032" s="149"/>
      <c r="C1032" s="149"/>
      <c r="D1032" s="149"/>
      <c r="E1032" s="149"/>
      <c r="F1032" s="149"/>
      <c r="G1032" s="162"/>
      <c r="H1032" s="146" t="str">
        <f t="shared" si="80"/>
        <v/>
      </c>
      <c r="I1032" s="161" t="str">
        <f t="shared" si="81"/>
        <v/>
      </c>
      <c r="J1032" s="160" t="str">
        <f>IFERROR(INDEX(当年标准成本!I:I,MATCH(C1032,当年标准成本!C:C,0),1),"")</f>
        <v/>
      </c>
      <c r="K1032" s="146" t="str">
        <f t="shared" si="82"/>
        <v/>
      </c>
      <c r="L1032" s="146" t="str">
        <f t="shared" si="83"/>
        <v/>
      </c>
      <c r="M1032" s="148" t="str">
        <f t="shared" si="84"/>
        <v/>
      </c>
    </row>
    <row r="1033" spans="1:13" x14ac:dyDescent="0.3">
      <c r="A1033" s="149"/>
      <c r="B1033" s="149"/>
      <c r="C1033" s="149"/>
      <c r="D1033" s="149"/>
      <c r="E1033" s="149"/>
      <c r="F1033" s="149"/>
      <c r="G1033" s="162"/>
      <c r="H1033" s="146" t="str">
        <f t="shared" si="80"/>
        <v/>
      </c>
      <c r="I1033" s="161" t="str">
        <f t="shared" si="81"/>
        <v/>
      </c>
      <c r="J1033" s="160" t="str">
        <f>IFERROR(INDEX(当年标准成本!I:I,MATCH(C1033,当年标准成本!C:C,0),1),"")</f>
        <v/>
      </c>
      <c r="K1033" s="146" t="str">
        <f t="shared" si="82"/>
        <v/>
      </c>
      <c r="L1033" s="146" t="str">
        <f t="shared" si="83"/>
        <v/>
      </c>
      <c r="M1033" s="148" t="str">
        <f t="shared" si="84"/>
        <v/>
      </c>
    </row>
    <row r="1034" spans="1:13" x14ac:dyDescent="0.3">
      <c r="A1034" s="149"/>
      <c r="B1034" s="149"/>
      <c r="C1034" s="149"/>
      <c r="D1034" s="149"/>
      <c r="E1034" s="149"/>
      <c r="F1034" s="149"/>
      <c r="G1034" s="162"/>
      <c r="H1034" s="146" t="str">
        <f t="shared" si="80"/>
        <v/>
      </c>
      <c r="I1034" s="161" t="str">
        <f t="shared" si="81"/>
        <v/>
      </c>
      <c r="J1034" s="160" t="str">
        <f>IFERROR(INDEX(当年标准成本!I:I,MATCH(C1034,当年标准成本!C:C,0),1),"")</f>
        <v/>
      </c>
      <c r="K1034" s="146" t="str">
        <f t="shared" si="82"/>
        <v/>
      </c>
      <c r="L1034" s="146" t="str">
        <f t="shared" si="83"/>
        <v/>
      </c>
      <c r="M1034" s="148" t="str">
        <f t="shared" si="84"/>
        <v/>
      </c>
    </row>
    <row r="1035" spans="1:13" x14ac:dyDescent="0.3">
      <c r="A1035" s="149"/>
      <c r="B1035" s="149"/>
      <c r="C1035" s="149"/>
      <c r="D1035" s="149"/>
      <c r="E1035" s="149"/>
      <c r="F1035" s="149"/>
      <c r="G1035" s="162"/>
      <c r="H1035" s="146" t="str">
        <f t="shared" si="80"/>
        <v/>
      </c>
      <c r="I1035" s="161" t="str">
        <f t="shared" si="81"/>
        <v/>
      </c>
      <c r="J1035" s="160" t="str">
        <f>IFERROR(INDEX(当年标准成本!I:I,MATCH(C1035,当年标准成本!C:C,0),1),"")</f>
        <v/>
      </c>
      <c r="K1035" s="146" t="str">
        <f t="shared" si="82"/>
        <v/>
      </c>
      <c r="L1035" s="146" t="str">
        <f t="shared" si="83"/>
        <v/>
      </c>
      <c r="M1035" s="148" t="str">
        <f t="shared" si="84"/>
        <v/>
      </c>
    </row>
    <row r="1036" spans="1:13" x14ac:dyDescent="0.3">
      <c r="A1036" s="149"/>
      <c r="B1036" s="149"/>
      <c r="C1036" s="149"/>
      <c r="D1036" s="149"/>
      <c r="E1036" s="149"/>
      <c r="F1036" s="149"/>
      <c r="G1036" s="162"/>
      <c r="H1036" s="146" t="str">
        <f t="shared" ref="H1036:H1099" si="85">IFERROR(F1036/E1036,"")</f>
        <v/>
      </c>
      <c r="I1036" s="161" t="str">
        <f t="shared" ref="I1036:I1099" si="86">IFERROR(H1036*(1+G1036),"")</f>
        <v/>
      </c>
      <c r="J1036" s="160" t="str">
        <f>IFERROR(INDEX(当年标准成本!I:I,MATCH(C1036,当年标准成本!C:C,0),1),"")</f>
        <v/>
      </c>
      <c r="K1036" s="146" t="str">
        <f t="shared" ref="K1036:K1099" si="87">IFERROR(E1036*J1036,"")</f>
        <v/>
      </c>
      <c r="L1036" s="146" t="str">
        <f t="shared" ref="L1036:L1099" si="88">IFERROR(F1036-K1036,"")</f>
        <v/>
      </c>
      <c r="M1036" s="148" t="str">
        <f t="shared" ref="M1036:M1099" si="89">IFERROR(L1036/F1036,"")</f>
        <v/>
      </c>
    </row>
    <row r="1037" spans="1:13" x14ac:dyDescent="0.3">
      <c r="A1037" s="149"/>
      <c r="B1037" s="149"/>
      <c r="C1037" s="149"/>
      <c r="D1037" s="149"/>
      <c r="E1037" s="149"/>
      <c r="F1037" s="149"/>
      <c r="G1037" s="162"/>
      <c r="H1037" s="146" t="str">
        <f t="shared" si="85"/>
        <v/>
      </c>
      <c r="I1037" s="161" t="str">
        <f t="shared" si="86"/>
        <v/>
      </c>
      <c r="J1037" s="160" t="str">
        <f>IFERROR(INDEX(当年标准成本!I:I,MATCH(C1037,当年标准成本!C:C,0),1),"")</f>
        <v/>
      </c>
      <c r="K1037" s="146" t="str">
        <f t="shared" si="87"/>
        <v/>
      </c>
      <c r="L1037" s="146" t="str">
        <f t="shared" si="88"/>
        <v/>
      </c>
      <c r="M1037" s="148" t="str">
        <f t="shared" si="89"/>
        <v/>
      </c>
    </row>
    <row r="1038" spans="1:13" x14ac:dyDescent="0.3">
      <c r="A1038" s="149"/>
      <c r="B1038" s="149"/>
      <c r="C1038" s="149"/>
      <c r="D1038" s="149"/>
      <c r="E1038" s="149"/>
      <c r="F1038" s="149"/>
      <c r="G1038" s="162"/>
      <c r="H1038" s="146" t="str">
        <f t="shared" si="85"/>
        <v/>
      </c>
      <c r="I1038" s="161" t="str">
        <f t="shared" si="86"/>
        <v/>
      </c>
      <c r="J1038" s="160" t="str">
        <f>IFERROR(INDEX(当年标准成本!I:I,MATCH(C1038,当年标准成本!C:C,0),1),"")</f>
        <v/>
      </c>
      <c r="K1038" s="146" t="str">
        <f t="shared" si="87"/>
        <v/>
      </c>
      <c r="L1038" s="146" t="str">
        <f t="shared" si="88"/>
        <v/>
      </c>
      <c r="M1038" s="148" t="str">
        <f t="shared" si="89"/>
        <v/>
      </c>
    </row>
    <row r="1039" spans="1:13" x14ac:dyDescent="0.3">
      <c r="A1039" s="149"/>
      <c r="B1039" s="149"/>
      <c r="C1039" s="149"/>
      <c r="D1039" s="149"/>
      <c r="E1039" s="149"/>
      <c r="F1039" s="149"/>
      <c r="G1039" s="162"/>
      <c r="H1039" s="146" t="str">
        <f t="shared" si="85"/>
        <v/>
      </c>
      <c r="I1039" s="161" t="str">
        <f t="shared" si="86"/>
        <v/>
      </c>
      <c r="J1039" s="160" t="str">
        <f>IFERROR(INDEX(当年标准成本!I:I,MATCH(C1039,当年标准成本!C:C,0),1),"")</f>
        <v/>
      </c>
      <c r="K1039" s="146" t="str">
        <f t="shared" si="87"/>
        <v/>
      </c>
      <c r="L1039" s="146" t="str">
        <f t="shared" si="88"/>
        <v/>
      </c>
      <c r="M1039" s="148" t="str">
        <f t="shared" si="89"/>
        <v/>
      </c>
    </row>
    <row r="1040" spans="1:13" x14ac:dyDescent="0.3">
      <c r="A1040" s="149"/>
      <c r="B1040" s="149"/>
      <c r="C1040" s="149"/>
      <c r="D1040" s="149"/>
      <c r="E1040" s="149"/>
      <c r="F1040" s="149"/>
      <c r="G1040" s="162"/>
      <c r="H1040" s="146" t="str">
        <f t="shared" si="85"/>
        <v/>
      </c>
      <c r="I1040" s="161" t="str">
        <f t="shared" si="86"/>
        <v/>
      </c>
      <c r="J1040" s="160" t="str">
        <f>IFERROR(INDEX(当年标准成本!I:I,MATCH(C1040,当年标准成本!C:C,0),1),"")</f>
        <v/>
      </c>
      <c r="K1040" s="146" t="str">
        <f t="shared" si="87"/>
        <v/>
      </c>
      <c r="L1040" s="146" t="str">
        <f t="shared" si="88"/>
        <v/>
      </c>
      <c r="M1040" s="148" t="str">
        <f t="shared" si="89"/>
        <v/>
      </c>
    </row>
    <row r="1041" spans="1:13" x14ac:dyDescent="0.3">
      <c r="A1041" s="149"/>
      <c r="B1041" s="149"/>
      <c r="C1041" s="149"/>
      <c r="D1041" s="149"/>
      <c r="E1041" s="149"/>
      <c r="F1041" s="149"/>
      <c r="G1041" s="162"/>
      <c r="H1041" s="146" t="str">
        <f t="shared" si="85"/>
        <v/>
      </c>
      <c r="I1041" s="161" t="str">
        <f t="shared" si="86"/>
        <v/>
      </c>
      <c r="J1041" s="160" t="str">
        <f>IFERROR(INDEX(当年标准成本!I:I,MATCH(C1041,当年标准成本!C:C,0),1),"")</f>
        <v/>
      </c>
      <c r="K1041" s="146" t="str">
        <f t="shared" si="87"/>
        <v/>
      </c>
      <c r="L1041" s="146" t="str">
        <f t="shared" si="88"/>
        <v/>
      </c>
      <c r="M1041" s="148" t="str">
        <f t="shared" si="89"/>
        <v/>
      </c>
    </row>
    <row r="1042" spans="1:13" x14ac:dyDescent="0.3">
      <c r="A1042" s="149"/>
      <c r="B1042" s="149"/>
      <c r="C1042" s="149"/>
      <c r="D1042" s="149"/>
      <c r="E1042" s="149"/>
      <c r="F1042" s="149"/>
      <c r="G1042" s="162"/>
      <c r="H1042" s="146" t="str">
        <f t="shared" si="85"/>
        <v/>
      </c>
      <c r="I1042" s="161" t="str">
        <f t="shared" si="86"/>
        <v/>
      </c>
      <c r="J1042" s="160" t="str">
        <f>IFERROR(INDEX(当年标准成本!I:I,MATCH(C1042,当年标准成本!C:C,0),1),"")</f>
        <v/>
      </c>
      <c r="K1042" s="146" t="str">
        <f t="shared" si="87"/>
        <v/>
      </c>
      <c r="L1042" s="146" t="str">
        <f t="shared" si="88"/>
        <v/>
      </c>
      <c r="M1042" s="148" t="str">
        <f t="shared" si="89"/>
        <v/>
      </c>
    </row>
    <row r="1043" spans="1:13" x14ac:dyDescent="0.3">
      <c r="A1043" s="149"/>
      <c r="B1043" s="149"/>
      <c r="C1043" s="149"/>
      <c r="D1043" s="149"/>
      <c r="E1043" s="149"/>
      <c r="F1043" s="149"/>
      <c r="G1043" s="162"/>
      <c r="H1043" s="146" t="str">
        <f t="shared" si="85"/>
        <v/>
      </c>
      <c r="I1043" s="161" t="str">
        <f t="shared" si="86"/>
        <v/>
      </c>
      <c r="J1043" s="160" t="str">
        <f>IFERROR(INDEX(当年标准成本!I:I,MATCH(C1043,当年标准成本!C:C,0),1),"")</f>
        <v/>
      </c>
      <c r="K1043" s="146" t="str">
        <f t="shared" si="87"/>
        <v/>
      </c>
      <c r="L1043" s="146" t="str">
        <f t="shared" si="88"/>
        <v/>
      </c>
      <c r="M1043" s="148" t="str">
        <f t="shared" si="89"/>
        <v/>
      </c>
    </row>
    <row r="1044" spans="1:13" x14ac:dyDescent="0.3">
      <c r="A1044" s="149"/>
      <c r="B1044" s="149"/>
      <c r="C1044" s="149"/>
      <c r="D1044" s="149"/>
      <c r="E1044" s="149"/>
      <c r="F1044" s="149"/>
      <c r="G1044" s="162"/>
      <c r="H1044" s="146" t="str">
        <f t="shared" si="85"/>
        <v/>
      </c>
      <c r="I1044" s="161" t="str">
        <f t="shared" si="86"/>
        <v/>
      </c>
      <c r="J1044" s="160" t="str">
        <f>IFERROR(INDEX(当年标准成本!I:I,MATCH(C1044,当年标准成本!C:C,0),1),"")</f>
        <v/>
      </c>
      <c r="K1044" s="146" t="str">
        <f t="shared" si="87"/>
        <v/>
      </c>
      <c r="L1044" s="146" t="str">
        <f t="shared" si="88"/>
        <v/>
      </c>
      <c r="M1044" s="148" t="str">
        <f t="shared" si="89"/>
        <v/>
      </c>
    </row>
    <row r="1045" spans="1:13" x14ac:dyDescent="0.3">
      <c r="A1045" s="149"/>
      <c r="B1045" s="149"/>
      <c r="C1045" s="149"/>
      <c r="D1045" s="149"/>
      <c r="E1045" s="149"/>
      <c r="F1045" s="149"/>
      <c r="G1045" s="162"/>
      <c r="H1045" s="146" t="str">
        <f t="shared" si="85"/>
        <v/>
      </c>
      <c r="I1045" s="161" t="str">
        <f t="shared" si="86"/>
        <v/>
      </c>
      <c r="J1045" s="160" t="str">
        <f>IFERROR(INDEX(当年标准成本!I:I,MATCH(C1045,当年标准成本!C:C,0),1),"")</f>
        <v/>
      </c>
      <c r="K1045" s="146" t="str">
        <f t="shared" si="87"/>
        <v/>
      </c>
      <c r="L1045" s="146" t="str">
        <f t="shared" si="88"/>
        <v/>
      </c>
      <c r="M1045" s="148" t="str">
        <f t="shared" si="89"/>
        <v/>
      </c>
    </row>
    <row r="1046" spans="1:13" x14ac:dyDescent="0.3">
      <c r="A1046" s="149"/>
      <c r="B1046" s="149"/>
      <c r="C1046" s="149"/>
      <c r="D1046" s="149"/>
      <c r="E1046" s="149"/>
      <c r="F1046" s="149"/>
      <c r="G1046" s="162"/>
      <c r="H1046" s="146" t="str">
        <f t="shared" si="85"/>
        <v/>
      </c>
      <c r="I1046" s="161" t="str">
        <f t="shared" si="86"/>
        <v/>
      </c>
      <c r="J1046" s="160" t="str">
        <f>IFERROR(INDEX(当年标准成本!I:I,MATCH(C1046,当年标准成本!C:C,0),1),"")</f>
        <v/>
      </c>
      <c r="K1046" s="146" t="str">
        <f t="shared" si="87"/>
        <v/>
      </c>
      <c r="L1046" s="146" t="str">
        <f t="shared" si="88"/>
        <v/>
      </c>
      <c r="M1046" s="148" t="str">
        <f t="shared" si="89"/>
        <v/>
      </c>
    </row>
    <row r="1047" spans="1:13" x14ac:dyDescent="0.3">
      <c r="A1047" s="149"/>
      <c r="B1047" s="149"/>
      <c r="C1047" s="149"/>
      <c r="D1047" s="149"/>
      <c r="E1047" s="149"/>
      <c r="F1047" s="149"/>
      <c r="G1047" s="162"/>
      <c r="H1047" s="146" t="str">
        <f t="shared" si="85"/>
        <v/>
      </c>
      <c r="I1047" s="161" t="str">
        <f t="shared" si="86"/>
        <v/>
      </c>
      <c r="J1047" s="160" t="str">
        <f>IFERROR(INDEX(当年标准成本!I:I,MATCH(C1047,当年标准成本!C:C,0),1),"")</f>
        <v/>
      </c>
      <c r="K1047" s="146" t="str">
        <f t="shared" si="87"/>
        <v/>
      </c>
      <c r="L1047" s="146" t="str">
        <f t="shared" si="88"/>
        <v/>
      </c>
      <c r="M1047" s="148" t="str">
        <f t="shared" si="89"/>
        <v/>
      </c>
    </row>
    <row r="1048" spans="1:13" x14ac:dyDescent="0.3">
      <c r="A1048" s="149"/>
      <c r="B1048" s="149"/>
      <c r="C1048" s="149"/>
      <c r="D1048" s="149"/>
      <c r="E1048" s="149"/>
      <c r="F1048" s="149"/>
      <c r="G1048" s="162"/>
      <c r="H1048" s="146" t="str">
        <f t="shared" si="85"/>
        <v/>
      </c>
      <c r="I1048" s="161" t="str">
        <f t="shared" si="86"/>
        <v/>
      </c>
      <c r="J1048" s="160" t="str">
        <f>IFERROR(INDEX(当年标准成本!I:I,MATCH(C1048,当年标准成本!C:C,0),1),"")</f>
        <v/>
      </c>
      <c r="K1048" s="146" t="str">
        <f t="shared" si="87"/>
        <v/>
      </c>
      <c r="L1048" s="146" t="str">
        <f t="shared" si="88"/>
        <v/>
      </c>
      <c r="M1048" s="148" t="str">
        <f t="shared" si="89"/>
        <v/>
      </c>
    </row>
    <row r="1049" spans="1:13" x14ac:dyDescent="0.3">
      <c r="A1049" s="149"/>
      <c r="B1049" s="149"/>
      <c r="C1049" s="149"/>
      <c r="D1049" s="149"/>
      <c r="E1049" s="149"/>
      <c r="F1049" s="149"/>
      <c r="G1049" s="162"/>
      <c r="H1049" s="146" t="str">
        <f t="shared" si="85"/>
        <v/>
      </c>
      <c r="I1049" s="161" t="str">
        <f t="shared" si="86"/>
        <v/>
      </c>
      <c r="J1049" s="160" t="str">
        <f>IFERROR(INDEX(当年标准成本!I:I,MATCH(C1049,当年标准成本!C:C,0),1),"")</f>
        <v/>
      </c>
      <c r="K1049" s="146" t="str">
        <f t="shared" si="87"/>
        <v/>
      </c>
      <c r="L1049" s="146" t="str">
        <f t="shared" si="88"/>
        <v/>
      </c>
      <c r="M1049" s="148" t="str">
        <f t="shared" si="89"/>
        <v/>
      </c>
    </row>
    <row r="1050" spans="1:13" x14ac:dyDescent="0.3">
      <c r="A1050" s="149"/>
      <c r="B1050" s="149"/>
      <c r="C1050" s="149"/>
      <c r="D1050" s="149"/>
      <c r="E1050" s="149"/>
      <c r="F1050" s="149"/>
      <c r="G1050" s="162"/>
      <c r="H1050" s="146" t="str">
        <f t="shared" si="85"/>
        <v/>
      </c>
      <c r="I1050" s="161" t="str">
        <f t="shared" si="86"/>
        <v/>
      </c>
      <c r="J1050" s="160" t="str">
        <f>IFERROR(INDEX(当年标准成本!I:I,MATCH(C1050,当年标准成本!C:C,0),1),"")</f>
        <v/>
      </c>
      <c r="K1050" s="146" t="str">
        <f t="shared" si="87"/>
        <v/>
      </c>
      <c r="L1050" s="146" t="str">
        <f t="shared" si="88"/>
        <v/>
      </c>
      <c r="M1050" s="148" t="str">
        <f t="shared" si="89"/>
        <v/>
      </c>
    </row>
    <row r="1051" spans="1:13" x14ac:dyDescent="0.3">
      <c r="A1051" s="149"/>
      <c r="B1051" s="149"/>
      <c r="C1051" s="149"/>
      <c r="D1051" s="149"/>
      <c r="E1051" s="149"/>
      <c r="F1051" s="149"/>
      <c r="G1051" s="162"/>
      <c r="H1051" s="146" t="str">
        <f t="shared" si="85"/>
        <v/>
      </c>
      <c r="I1051" s="161" t="str">
        <f t="shared" si="86"/>
        <v/>
      </c>
      <c r="J1051" s="160" t="str">
        <f>IFERROR(INDEX(当年标准成本!I:I,MATCH(C1051,当年标准成本!C:C,0),1),"")</f>
        <v/>
      </c>
      <c r="K1051" s="146" t="str">
        <f t="shared" si="87"/>
        <v/>
      </c>
      <c r="L1051" s="146" t="str">
        <f t="shared" si="88"/>
        <v/>
      </c>
      <c r="M1051" s="148" t="str">
        <f t="shared" si="89"/>
        <v/>
      </c>
    </row>
    <row r="1052" spans="1:13" x14ac:dyDescent="0.3">
      <c r="A1052" s="149"/>
      <c r="B1052" s="149"/>
      <c r="C1052" s="149"/>
      <c r="D1052" s="149"/>
      <c r="E1052" s="149"/>
      <c r="F1052" s="149"/>
      <c r="G1052" s="162"/>
      <c r="H1052" s="146" t="str">
        <f t="shared" si="85"/>
        <v/>
      </c>
      <c r="I1052" s="161" t="str">
        <f t="shared" si="86"/>
        <v/>
      </c>
      <c r="J1052" s="160" t="str">
        <f>IFERROR(INDEX(当年标准成本!I:I,MATCH(C1052,当年标准成本!C:C,0),1),"")</f>
        <v/>
      </c>
      <c r="K1052" s="146" t="str">
        <f t="shared" si="87"/>
        <v/>
      </c>
      <c r="L1052" s="146" t="str">
        <f t="shared" si="88"/>
        <v/>
      </c>
      <c r="M1052" s="148" t="str">
        <f t="shared" si="89"/>
        <v/>
      </c>
    </row>
    <row r="1053" spans="1:13" x14ac:dyDescent="0.3">
      <c r="A1053" s="149"/>
      <c r="B1053" s="149"/>
      <c r="C1053" s="149"/>
      <c r="D1053" s="149"/>
      <c r="E1053" s="149"/>
      <c r="F1053" s="149"/>
      <c r="G1053" s="162"/>
      <c r="H1053" s="146" t="str">
        <f t="shared" si="85"/>
        <v/>
      </c>
      <c r="I1053" s="161" t="str">
        <f t="shared" si="86"/>
        <v/>
      </c>
      <c r="J1053" s="160" t="str">
        <f>IFERROR(INDEX(当年标准成本!I:I,MATCH(C1053,当年标准成本!C:C,0),1),"")</f>
        <v/>
      </c>
      <c r="K1053" s="146" t="str">
        <f t="shared" si="87"/>
        <v/>
      </c>
      <c r="L1053" s="146" t="str">
        <f t="shared" si="88"/>
        <v/>
      </c>
      <c r="M1053" s="148" t="str">
        <f t="shared" si="89"/>
        <v/>
      </c>
    </row>
    <row r="1054" spans="1:13" x14ac:dyDescent="0.3">
      <c r="A1054" s="149"/>
      <c r="B1054" s="149"/>
      <c r="C1054" s="149"/>
      <c r="D1054" s="149"/>
      <c r="E1054" s="149"/>
      <c r="F1054" s="149"/>
      <c r="G1054" s="162"/>
      <c r="H1054" s="146" t="str">
        <f t="shared" si="85"/>
        <v/>
      </c>
      <c r="I1054" s="161" t="str">
        <f t="shared" si="86"/>
        <v/>
      </c>
      <c r="J1054" s="160" t="str">
        <f>IFERROR(INDEX(当年标准成本!I:I,MATCH(C1054,当年标准成本!C:C,0),1),"")</f>
        <v/>
      </c>
      <c r="K1054" s="146" t="str">
        <f t="shared" si="87"/>
        <v/>
      </c>
      <c r="L1054" s="146" t="str">
        <f t="shared" si="88"/>
        <v/>
      </c>
      <c r="M1054" s="148" t="str">
        <f t="shared" si="89"/>
        <v/>
      </c>
    </row>
    <row r="1055" spans="1:13" x14ac:dyDescent="0.3">
      <c r="A1055" s="149"/>
      <c r="B1055" s="149"/>
      <c r="C1055" s="149"/>
      <c r="D1055" s="149"/>
      <c r="E1055" s="149"/>
      <c r="F1055" s="149"/>
      <c r="G1055" s="162"/>
      <c r="H1055" s="146" t="str">
        <f t="shared" si="85"/>
        <v/>
      </c>
      <c r="I1055" s="161" t="str">
        <f t="shared" si="86"/>
        <v/>
      </c>
      <c r="J1055" s="160" t="str">
        <f>IFERROR(INDEX(当年标准成本!I:I,MATCH(C1055,当年标准成本!C:C,0),1),"")</f>
        <v/>
      </c>
      <c r="K1055" s="146" t="str">
        <f t="shared" si="87"/>
        <v/>
      </c>
      <c r="L1055" s="146" t="str">
        <f t="shared" si="88"/>
        <v/>
      </c>
      <c r="M1055" s="148" t="str">
        <f t="shared" si="89"/>
        <v/>
      </c>
    </row>
    <row r="1056" spans="1:13" x14ac:dyDescent="0.3">
      <c r="A1056" s="149"/>
      <c r="B1056" s="149"/>
      <c r="C1056" s="149"/>
      <c r="D1056" s="149"/>
      <c r="E1056" s="149"/>
      <c r="F1056" s="149"/>
      <c r="G1056" s="162"/>
      <c r="H1056" s="146" t="str">
        <f t="shared" si="85"/>
        <v/>
      </c>
      <c r="I1056" s="161" t="str">
        <f t="shared" si="86"/>
        <v/>
      </c>
      <c r="J1056" s="160" t="str">
        <f>IFERROR(INDEX(当年标准成本!I:I,MATCH(C1056,当年标准成本!C:C,0),1),"")</f>
        <v/>
      </c>
      <c r="K1056" s="146" t="str">
        <f t="shared" si="87"/>
        <v/>
      </c>
      <c r="L1056" s="146" t="str">
        <f t="shared" si="88"/>
        <v/>
      </c>
      <c r="M1056" s="148" t="str">
        <f t="shared" si="89"/>
        <v/>
      </c>
    </row>
    <row r="1057" spans="1:13" x14ac:dyDescent="0.3">
      <c r="A1057" s="149"/>
      <c r="B1057" s="149"/>
      <c r="C1057" s="149"/>
      <c r="D1057" s="149"/>
      <c r="E1057" s="149"/>
      <c r="F1057" s="149"/>
      <c r="G1057" s="162"/>
      <c r="H1057" s="146" t="str">
        <f t="shared" si="85"/>
        <v/>
      </c>
      <c r="I1057" s="161" t="str">
        <f t="shared" si="86"/>
        <v/>
      </c>
      <c r="J1057" s="160" t="str">
        <f>IFERROR(INDEX(当年标准成本!I:I,MATCH(C1057,当年标准成本!C:C,0),1),"")</f>
        <v/>
      </c>
      <c r="K1057" s="146" t="str">
        <f t="shared" si="87"/>
        <v/>
      </c>
      <c r="L1057" s="146" t="str">
        <f t="shared" si="88"/>
        <v/>
      </c>
      <c r="M1057" s="148" t="str">
        <f t="shared" si="89"/>
        <v/>
      </c>
    </row>
    <row r="1058" spans="1:13" x14ac:dyDescent="0.3">
      <c r="A1058" s="149"/>
      <c r="B1058" s="149"/>
      <c r="C1058" s="149"/>
      <c r="D1058" s="149"/>
      <c r="E1058" s="149"/>
      <c r="F1058" s="149"/>
      <c r="G1058" s="162"/>
      <c r="H1058" s="146" t="str">
        <f t="shared" si="85"/>
        <v/>
      </c>
      <c r="I1058" s="161" t="str">
        <f t="shared" si="86"/>
        <v/>
      </c>
      <c r="J1058" s="160" t="str">
        <f>IFERROR(INDEX(当年标准成本!I:I,MATCH(C1058,当年标准成本!C:C,0),1),"")</f>
        <v/>
      </c>
      <c r="K1058" s="146" t="str">
        <f t="shared" si="87"/>
        <v/>
      </c>
      <c r="L1058" s="146" t="str">
        <f t="shared" si="88"/>
        <v/>
      </c>
      <c r="M1058" s="148" t="str">
        <f t="shared" si="89"/>
        <v/>
      </c>
    </row>
    <row r="1059" spans="1:13" x14ac:dyDescent="0.3">
      <c r="A1059" s="149"/>
      <c r="B1059" s="149"/>
      <c r="C1059" s="149"/>
      <c r="D1059" s="149"/>
      <c r="E1059" s="149"/>
      <c r="F1059" s="149"/>
      <c r="G1059" s="162"/>
      <c r="H1059" s="146" t="str">
        <f t="shared" si="85"/>
        <v/>
      </c>
      <c r="I1059" s="161" t="str">
        <f t="shared" si="86"/>
        <v/>
      </c>
      <c r="J1059" s="160" t="str">
        <f>IFERROR(INDEX(当年标准成本!I:I,MATCH(C1059,当年标准成本!C:C,0),1),"")</f>
        <v/>
      </c>
      <c r="K1059" s="146" t="str">
        <f t="shared" si="87"/>
        <v/>
      </c>
      <c r="L1059" s="146" t="str">
        <f t="shared" si="88"/>
        <v/>
      </c>
      <c r="M1059" s="148" t="str">
        <f t="shared" si="89"/>
        <v/>
      </c>
    </row>
    <row r="1060" spans="1:13" x14ac:dyDescent="0.3">
      <c r="A1060" s="149"/>
      <c r="B1060" s="149"/>
      <c r="C1060" s="149"/>
      <c r="D1060" s="149"/>
      <c r="E1060" s="149"/>
      <c r="F1060" s="149"/>
      <c r="G1060" s="162"/>
      <c r="H1060" s="146" t="str">
        <f t="shared" si="85"/>
        <v/>
      </c>
      <c r="I1060" s="161" t="str">
        <f t="shared" si="86"/>
        <v/>
      </c>
      <c r="J1060" s="160" t="str">
        <f>IFERROR(INDEX(当年标准成本!I:I,MATCH(C1060,当年标准成本!C:C,0),1),"")</f>
        <v/>
      </c>
      <c r="K1060" s="146" t="str">
        <f t="shared" si="87"/>
        <v/>
      </c>
      <c r="L1060" s="146" t="str">
        <f t="shared" si="88"/>
        <v/>
      </c>
      <c r="M1060" s="148" t="str">
        <f t="shared" si="89"/>
        <v/>
      </c>
    </row>
    <row r="1061" spans="1:13" x14ac:dyDescent="0.3">
      <c r="A1061" s="149"/>
      <c r="B1061" s="149"/>
      <c r="C1061" s="149"/>
      <c r="D1061" s="149"/>
      <c r="E1061" s="149"/>
      <c r="F1061" s="149"/>
      <c r="G1061" s="162"/>
      <c r="H1061" s="146" t="str">
        <f t="shared" si="85"/>
        <v/>
      </c>
      <c r="I1061" s="161" t="str">
        <f t="shared" si="86"/>
        <v/>
      </c>
      <c r="J1061" s="160" t="str">
        <f>IFERROR(INDEX(当年标准成本!I:I,MATCH(C1061,当年标准成本!C:C,0),1),"")</f>
        <v/>
      </c>
      <c r="K1061" s="146" t="str">
        <f t="shared" si="87"/>
        <v/>
      </c>
      <c r="L1061" s="146" t="str">
        <f t="shared" si="88"/>
        <v/>
      </c>
      <c r="M1061" s="148" t="str">
        <f t="shared" si="89"/>
        <v/>
      </c>
    </row>
    <row r="1062" spans="1:13" x14ac:dyDescent="0.3">
      <c r="A1062" s="149"/>
      <c r="B1062" s="149"/>
      <c r="C1062" s="149"/>
      <c r="D1062" s="149"/>
      <c r="E1062" s="149"/>
      <c r="F1062" s="149"/>
      <c r="G1062" s="162"/>
      <c r="H1062" s="146" t="str">
        <f t="shared" si="85"/>
        <v/>
      </c>
      <c r="I1062" s="161" t="str">
        <f t="shared" si="86"/>
        <v/>
      </c>
      <c r="J1062" s="160" t="str">
        <f>IFERROR(INDEX(当年标准成本!I:I,MATCH(C1062,当年标准成本!C:C,0),1),"")</f>
        <v/>
      </c>
      <c r="K1062" s="146" t="str">
        <f t="shared" si="87"/>
        <v/>
      </c>
      <c r="L1062" s="146" t="str">
        <f t="shared" si="88"/>
        <v/>
      </c>
      <c r="M1062" s="148" t="str">
        <f t="shared" si="89"/>
        <v/>
      </c>
    </row>
    <row r="1063" spans="1:13" x14ac:dyDescent="0.3">
      <c r="A1063" s="149"/>
      <c r="B1063" s="149"/>
      <c r="C1063" s="149"/>
      <c r="D1063" s="149"/>
      <c r="E1063" s="149"/>
      <c r="F1063" s="149"/>
      <c r="G1063" s="162"/>
      <c r="H1063" s="146" t="str">
        <f t="shared" si="85"/>
        <v/>
      </c>
      <c r="I1063" s="161" t="str">
        <f t="shared" si="86"/>
        <v/>
      </c>
      <c r="J1063" s="160" t="str">
        <f>IFERROR(INDEX(当年标准成本!I:I,MATCH(C1063,当年标准成本!C:C,0),1),"")</f>
        <v/>
      </c>
      <c r="K1063" s="146" t="str">
        <f t="shared" si="87"/>
        <v/>
      </c>
      <c r="L1063" s="146" t="str">
        <f t="shared" si="88"/>
        <v/>
      </c>
      <c r="M1063" s="148" t="str">
        <f t="shared" si="89"/>
        <v/>
      </c>
    </row>
    <row r="1064" spans="1:13" x14ac:dyDescent="0.3">
      <c r="A1064" s="149"/>
      <c r="B1064" s="149"/>
      <c r="C1064" s="149"/>
      <c r="D1064" s="149"/>
      <c r="E1064" s="149"/>
      <c r="F1064" s="149"/>
      <c r="G1064" s="162"/>
      <c r="H1064" s="146" t="str">
        <f t="shared" si="85"/>
        <v/>
      </c>
      <c r="I1064" s="161" t="str">
        <f t="shared" si="86"/>
        <v/>
      </c>
      <c r="J1064" s="160" t="str">
        <f>IFERROR(INDEX(当年标准成本!I:I,MATCH(C1064,当年标准成本!C:C,0),1),"")</f>
        <v/>
      </c>
      <c r="K1064" s="146" t="str">
        <f t="shared" si="87"/>
        <v/>
      </c>
      <c r="L1064" s="146" t="str">
        <f t="shared" si="88"/>
        <v/>
      </c>
      <c r="M1064" s="148" t="str">
        <f t="shared" si="89"/>
        <v/>
      </c>
    </row>
    <row r="1065" spans="1:13" x14ac:dyDescent="0.3">
      <c r="A1065" s="149"/>
      <c r="B1065" s="149"/>
      <c r="C1065" s="149"/>
      <c r="D1065" s="149"/>
      <c r="E1065" s="149"/>
      <c r="F1065" s="149"/>
      <c r="G1065" s="162"/>
      <c r="H1065" s="146" t="str">
        <f t="shared" si="85"/>
        <v/>
      </c>
      <c r="I1065" s="161" t="str">
        <f t="shared" si="86"/>
        <v/>
      </c>
      <c r="J1065" s="160" t="str">
        <f>IFERROR(INDEX(当年标准成本!I:I,MATCH(C1065,当年标准成本!C:C,0),1),"")</f>
        <v/>
      </c>
      <c r="K1065" s="146" t="str">
        <f t="shared" si="87"/>
        <v/>
      </c>
      <c r="L1065" s="146" t="str">
        <f t="shared" si="88"/>
        <v/>
      </c>
      <c r="M1065" s="148" t="str">
        <f t="shared" si="89"/>
        <v/>
      </c>
    </row>
    <row r="1066" spans="1:13" x14ac:dyDescent="0.3">
      <c r="A1066" s="149"/>
      <c r="B1066" s="149"/>
      <c r="C1066" s="149"/>
      <c r="D1066" s="149"/>
      <c r="E1066" s="149"/>
      <c r="F1066" s="149"/>
      <c r="G1066" s="162"/>
      <c r="H1066" s="146" t="str">
        <f t="shared" si="85"/>
        <v/>
      </c>
      <c r="I1066" s="161" t="str">
        <f t="shared" si="86"/>
        <v/>
      </c>
      <c r="J1066" s="160" t="str">
        <f>IFERROR(INDEX(当年标准成本!I:I,MATCH(C1066,当年标准成本!C:C,0),1),"")</f>
        <v/>
      </c>
      <c r="K1066" s="146" t="str">
        <f t="shared" si="87"/>
        <v/>
      </c>
      <c r="L1066" s="146" t="str">
        <f t="shared" si="88"/>
        <v/>
      </c>
      <c r="M1066" s="148" t="str">
        <f t="shared" si="89"/>
        <v/>
      </c>
    </row>
    <row r="1067" spans="1:13" x14ac:dyDescent="0.3">
      <c r="A1067" s="149"/>
      <c r="B1067" s="149"/>
      <c r="C1067" s="149"/>
      <c r="D1067" s="149"/>
      <c r="E1067" s="149"/>
      <c r="F1067" s="149"/>
      <c r="G1067" s="162"/>
      <c r="H1067" s="146" t="str">
        <f t="shared" si="85"/>
        <v/>
      </c>
      <c r="I1067" s="161" t="str">
        <f t="shared" si="86"/>
        <v/>
      </c>
      <c r="J1067" s="160" t="str">
        <f>IFERROR(INDEX(当年标准成本!I:I,MATCH(C1067,当年标准成本!C:C,0),1),"")</f>
        <v/>
      </c>
      <c r="K1067" s="146" t="str">
        <f t="shared" si="87"/>
        <v/>
      </c>
      <c r="L1067" s="146" t="str">
        <f t="shared" si="88"/>
        <v/>
      </c>
      <c r="M1067" s="148" t="str">
        <f t="shared" si="89"/>
        <v/>
      </c>
    </row>
    <row r="1068" spans="1:13" x14ac:dyDescent="0.3">
      <c r="A1068" s="149"/>
      <c r="B1068" s="149"/>
      <c r="C1068" s="149"/>
      <c r="D1068" s="149"/>
      <c r="E1068" s="149"/>
      <c r="F1068" s="149"/>
      <c r="G1068" s="162"/>
      <c r="H1068" s="146" t="str">
        <f t="shared" si="85"/>
        <v/>
      </c>
      <c r="I1068" s="161" t="str">
        <f t="shared" si="86"/>
        <v/>
      </c>
      <c r="J1068" s="160" t="str">
        <f>IFERROR(INDEX(当年标准成本!I:I,MATCH(C1068,当年标准成本!C:C,0),1),"")</f>
        <v/>
      </c>
      <c r="K1068" s="146" t="str">
        <f t="shared" si="87"/>
        <v/>
      </c>
      <c r="L1068" s="146" t="str">
        <f t="shared" si="88"/>
        <v/>
      </c>
      <c r="M1068" s="148" t="str">
        <f t="shared" si="89"/>
        <v/>
      </c>
    </row>
    <row r="1069" spans="1:13" x14ac:dyDescent="0.3">
      <c r="A1069" s="149"/>
      <c r="B1069" s="149"/>
      <c r="C1069" s="149"/>
      <c r="D1069" s="149"/>
      <c r="E1069" s="149"/>
      <c r="F1069" s="149"/>
      <c r="G1069" s="162"/>
      <c r="H1069" s="146" t="str">
        <f t="shared" si="85"/>
        <v/>
      </c>
      <c r="I1069" s="161" t="str">
        <f t="shared" si="86"/>
        <v/>
      </c>
      <c r="J1069" s="160" t="str">
        <f>IFERROR(INDEX(当年标准成本!I:I,MATCH(C1069,当年标准成本!C:C,0),1),"")</f>
        <v/>
      </c>
      <c r="K1069" s="146" t="str">
        <f t="shared" si="87"/>
        <v/>
      </c>
      <c r="L1069" s="146" t="str">
        <f t="shared" si="88"/>
        <v/>
      </c>
      <c r="M1069" s="148" t="str">
        <f t="shared" si="89"/>
        <v/>
      </c>
    </row>
    <row r="1070" spans="1:13" x14ac:dyDescent="0.3">
      <c r="A1070" s="149"/>
      <c r="B1070" s="149"/>
      <c r="C1070" s="149"/>
      <c r="D1070" s="149"/>
      <c r="E1070" s="149"/>
      <c r="F1070" s="149"/>
      <c r="G1070" s="162"/>
      <c r="H1070" s="146" t="str">
        <f t="shared" si="85"/>
        <v/>
      </c>
      <c r="I1070" s="161" t="str">
        <f t="shared" si="86"/>
        <v/>
      </c>
      <c r="J1070" s="160" t="str">
        <f>IFERROR(INDEX(当年标准成本!I:I,MATCH(C1070,当年标准成本!C:C,0),1),"")</f>
        <v/>
      </c>
      <c r="K1070" s="146" t="str">
        <f t="shared" si="87"/>
        <v/>
      </c>
      <c r="L1070" s="146" t="str">
        <f t="shared" si="88"/>
        <v/>
      </c>
      <c r="M1070" s="148" t="str">
        <f t="shared" si="89"/>
        <v/>
      </c>
    </row>
    <row r="1071" spans="1:13" x14ac:dyDescent="0.3">
      <c r="A1071" s="149"/>
      <c r="B1071" s="149"/>
      <c r="C1071" s="149"/>
      <c r="D1071" s="149"/>
      <c r="E1071" s="149"/>
      <c r="F1071" s="149"/>
      <c r="G1071" s="162"/>
      <c r="H1071" s="146" t="str">
        <f t="shared" si="85"/>
        <v/>
      </c>
      <c r="I1071" s="161" t="str">
        <f t="shared" si="86"/>
        <v/>
      </c>
      <c r="J1071" s="160" t="str">
        <f>IFERROR(INDEX(当年标准成本!I:I,MATCH(C1071,当年标准成本!C:C,0),1),"")</f>
        <v/>
      </c>
      <c r="K1071" s="146" t="str">
        <f t="shared" si="87"/>
        <v/>
      </c>
      <c r="L1071" s="146" t="str">
        <f t="shared" si="88"/>
        <v/>
      </c>
      <c r="M1071" s="148" t="str">
        <f t="shared" si="89"/>
        <v/>
      </c>
    </row>
    <row r="1072" spans="1:13" x14ac:dyDescent="0.3">
      <c r="A1072" s="149"/>
      <c r="B1072" s="149"/>
      <c r="C1072" s="149"/>
      <c r="D1072" s="149"/>
      <c r="E1072" s="149"/>
      <c r="F1072" s="149"/>
      <c r="G1072" s="162"/>
      <c r="H1072" s="146" t="str">
        <f t="shared" si="85"/>
        <v/>
      </c>
      <c r="I1072" s="161" t="str">
        <f t="shared" si="86"/>
        <v/>
      </c>
      <c r="J1072" s="160" t="str">
        <f>IFERROR(INDEX(当年标准成本!I:I,MATCH(C1072,当年标准成本!C:C,0),1),"")</f>
        <v/>
      </c>
      <c r="K1072" s="146" t="str">
        <f t="shared" si="87"/>
        <v/>
      </c>
      <c r="L1072" s="146" t="str">
        <f t="shared" si="88"/>
        <v/>
      </c>
      <c r="M1072" s="148" t="str">
        <f t="shared" si="89"/>
        <v/>
      </c>
    </row>
    <row r="1073" spans="1:13" x14ac:dyDescent="0.3">
      <c r="A1073" s="149"/>
      <c r="B1073" s="149"/>
      <c r="C1073" s="149"/>
      <c r="D1073" s="149"/>
      <c r="E1073" s="149"/>
      <c r="F1073" s="149"/>
      <c r="G1073" s="162"/>
      <c r="H1073" s="146" t="str">
        <f t="shared" si="85"/>
        <v/>
      </c>
      <c r="I1073" s="161" t="str">
        <f t="shared" si="86"/>
        <v/>
      </c>
      <c r="J1073" s="160" t="str">
        <f>IFERROR(INDEX(当年标准成本!I:I,MATCH(C1073,当年标准成本!C:C,0),1),"")</f>
        <v/>
      </c>
      <c r="K1073" s="146" t="str">
        <f t="shared" si="87"/>
        <v/>
      </c>
      <c r="L1073" s="146" t="str">
        <f t="shared" si="88"/>
        <v/>
      </c>
      <c r="M1073" s="148" t="str">
        <f t="shared" si="89"/>
        <v/>
      </c>
    </row>
    <row r="1074" spans="1:13" x14ac:dyDescent="0.3">
      <c r="A1074" s="149"/>
      <c r="B1074" s="149"/>
      <c r="C1074" s="149"/>
      <c r="D1074" s="149"/>
      <c r="E1074" s="149"/>
      <c r="F1074" s="149"/>
      <c r="G1074" s="162"/>
      <c r="H1074" s="146" t="str">
        <f t="shared" si="85"/>
        <v/>
      </c>
      <c r="I1074" s="161" t="str">
        <f t="shared" si="86"/>
        <v/>
      </c>
      <c r="J1074" s="160" t="str">
        <f>IFERROR(INDEX(当年标准成本!I:I,MATCH(C1074,当年标准成本!C:C,0),1),"")</f>
        <v/>
      </c>
      <c r="K1074" s="146" t="str">
        <f t="shared" si="87"/>
        <v/>
      </c>
      <c r="L1074" s="146" t="str">
        <f t="shared" si="88"/>
        <v/>
      </c>
      <c r="M1074" s="148" t="str">
        <f t="shared" si="89"/>
        <v/>
      </c>
    </row>
    <row r="1075" spans="1:13" x14ac:dyDescent="0.3">
      <c r="A1075" s="149"/>
      <c r="B1075" s="149"/>
      <c r="C1075" s="149"/>
      <c r="D1075" s="149"/>
      <c r="E1075" s="149"/>
      <c r="F1075" s="149"/>
      <c r="G1075" s="162"/>
      <c r="H1075" s="146" t="str">
        <f t="shared" si="85"/>
        <v/>
      </c>
      <c r="I1075" s="161" t="str">
        <f t="shared" si="86"/>
        <v/>
      </c>
      <c r="J1075" s="160" t="str">
        <f>IFERROR(INDEX(当年标准成本!I:I,MATCH(C1075,当年标准成本!C:C,0),1),"")</f>
        <v/>
      </c>
      <c r="K1075" s="146" t="str">
        <f t="shared" si="87"/>
        <v/>
      </c>
      <c r="L1075" s="146" t="str">
        <f t="shared" si="88"/>
        <v/>
      </c>
      <c r="M1075" s="148" t="str">
        <f t="shared" si="89"/>
        <v/>
      </c>
    </row>
    <row r="1076" spans="1:13" x14ac:dyDescent="0.3">
      <c r="A1076" s="149"/>
      <c r="B1076" s="149"/>
      <c r="C1076" s="149"/>
      <c r="D1076" s="149"/>
      <c r="E1076" s="149"/>
      <c r="F1076" s="149"/>
      <c r="G1076" s="162"/>
      <c r="H1076" s="146" t="str">
        <f t="shared" si="85"/>
        <v/>
      </c>
      <c r="I1076" s="161" t="str">
        <f t="shared" si="86"/>
        <v/>
      </c>
      <c r="J1076" s="160" t="str">
        <f>IFERROR(INDEX(当年标准成本!I:I,MATCH(C1076,当年标准成本!C:C,0),1),"")</f>
        <v/>
      </c>
      <c r="K1076" s="146" t="str">
        <f t="shared" si="87"/>
        <v/>
      </c>
      <c r="L1076" s="146" t="str">
        <f t="shared" si="88"/>
        <v/>
      </c>
      <c r="M1076" s="148" t="str">
        <f t="shared" si="89"/>
        <v/>
      </c>
    </row>
    <row r="1077" spans="1:13" x14ac:dyDescent="0.3">
      <c r="A1077" s="149"/>
      <c r="B1077" s="149"/>
      <c r="C1077" s="149"/>
      <c r="D1077" s="149"/>
      <c r="E1077" s="149"/>
      <c r="F1077" s="149"/>
      <c r="G1077" s="162"/>
      <c r="H1077" s="146" t="str">
        <f t="shared" si="85"/>
        <v/>
      </c>
      <c r="I1077" s="161" t="str">
        <f t="shared" si="86"/>
        <v/>
      </c>
      <c r="J1077" s="160" t="str">
        <f>IFERROR(INDEX(当年标准成本!I:I,MATCH(C1077,当年标准成本!C:C,0),1),"")</f>
        <v/>
      </c>
      <c r="K1077" s="146" t="str">
        <f t="shared" si="87"/>
        <v/>
      </c>
      <c r="L1077" s="146" t="str">
        <f t="shared" si="88"/>
        <v/>
      </c>
      <c r="M1077" s="148" t="str">
        <f t="shared" si="89"/>
        <v/>
      </c>
    </row>
    <row r="1078" spans="1:13" x14ac:dyDescent="0.3">
      <c r="A1078" s="149"/>
      <c r="B1078" s="149"/>
      <c r="C1078" s="149"/>
      <c r="D1078" s="149"/>
      <c r="E1078" s="149"/>
      <c r="F1078" s="149"/>
      <c r="G1078" s="162"/>
      <c r="H1078" s="146" t="str">
        <f t="shared" si="85"/>
        <v/>
      </c>
      <c r="I1078" s="161" t="str">
        <f t="shared" si="86"/>
        <v/>
      </c>
      <c r="J1078" s="160" t="str">
        <f>IFERROR(INDEX(当年标准成本!I:I,MATCH(C1078,当年标准成本!C:C,0),1),"")</f>
        <v/>
      </c>
      <c r="K1078" s="146" t="str">
        <f t="shared" si="87"/>
        <v/>
      </c>
      <c r="L1078" s="146" t="str">
        <f t="shared" si="88"/>
        <v/>
      </c>
      <c r="M1078" s="148" t="str">
        <f t="shared" si="89"/>
        <v/>
      </c>
    </row>
    <row r="1079" spans="1:13" x14ac:dyDescent="0.3">
      <c r="A1079" s="149"/>
      <c r="B1079" s="149"/>
      <c r="C1079" s="149"/>
      <c r="D1079" s="149"/>
      <c r="E1079" s="149"/>
      <c r="F1079" s="149"/>
      <c r="G1079" s="162"/>
      <c r="H1079" s="146" t="str">
        <f t="shared" si="85"/>
        <v/>
      </c>
      <c r="I1079" s="161" t="str">
        <f t="shared" si="86"/>
        <v/>
      </c>
      <c r="J1079" s="160" t="str">
        <f>IFERROR(INDEX(当年标准成本!I:I,MATCH(C1079,当年标准成本!C:C,0),1),"")</f>
        <v/>
      </c>
      <c r="K1079" s="146" t="str">
        <f t="shared" si="87"/>
        <v/>
      </c>
      <c r="L1079" s="146" t="str">
        <f t="shared" si="88"/>
        <v/>
      </c>
      <c r="M1079" s="148" t="str">
        <f t="shared" si="89"/>
        <v/>
      </c>
    </row>
    <row r="1080" spans="1:13" x14ac:dyDescent="0.3">
      <c r="A1080" s="149"/>
      <c r="B1080" s="149"/>
      <c r="C1080" s="149"/>
      <c r="D1080" s="149"/>
      <c r="E1080" s="149"/>
      <c r="F1080" s="149"/>
      <c r="G1080" s="162"/>
      <c r="H1080" s="146" t="str">
        <f t="shared" si="85"/>
        <v/>
      </c>
      <c r="I1080" s="161" t="str">
        <f t="shared" si="86"/>
        <v/>
      </c>
      <c r="J1080" s="160" t="str">
        <f>IFERROR(INDEX(当年标准成本!I:I,MATCH(C1080,当年标准成本!C:C,0),1),"")</f>
        <v/>
      </c>
      <c r="K1080" s="146" t="str">
        <f t="shared" si="87"/>
        <v/>
      </c>
      <c r="L1080" s="146" t="str">
        <f t="shared" si="88"/>
        <v/>
      </c>
      <c r="M1080" s="148" t="str">
        <f t="shared" si="89"/>
        <v/>
      </c>
    </row>
    <row r="1081" spans="1:13" x14ac:dyDescent="0.3">
      <c r="A1081" s="149"/>
      <c r="B1081" s="149"/>
      <c r="C1081" s="149"/>
      <c r="D1081" s="149"/>
      <c r="E1081" s="149"/>
      <c r="F1081" s="149"/>
      <c r="G1081" s="162"/>
      <c r="H1081" s="146" t="str">
        <f t="shared" si="85"/>
        <v/>
      </c>
      <c r="I1081" s="161" t="str">
        <f t="shared" si="86"/>
        <v/>
      </c>
      <c r="J1081" s="160" t="str">
        <f>IFERROR(INDEX(当年标准成本!I:I,MATCH(C1081,当年标准成本!C:C,0),1),"")</f>
        <v/>
      </c>
      <c r="K1081" s="146" t="str">
        <f t="shared" si="87"/>
        <v/>
      </c>
      <c r="L1081" s="146" t="str">
        <f t="shared" si="88"/>
        <v/>
      </c>
      <c r="M1081" s="148" t="str">
        <f t="shared" si="89"/>
        <v/>
      </c>
    </row>
    <row r="1082" spans="1:13" x14ac:dyDescent="0.3">
      <c r="A1082" s="149"/>
      <c r="B1082" s="149"/>
      <c r="C1082" s="149"/>
      <c r="D1082" s="149"/>
      <c r="E1082" s="149"/>
      <c r="F1082" s="149"/>
      <c r="G1082" s="162"/>
      <c r="H1082" s="146" t="str">
        <f t="shared" si="85"/>
        <v/>
      </c>
      <c r="I1082" s="161" t="str">
        <f t="shared" si="86"/>
        <v/>
      </c>
      <c r="J1082" s="160" t="str">
        <f>IFERROR(INDEX(当年标准成本!I:I,MATCH(C1082,当年标准成本!C:C,0),1),"")</f>
        <v/>
      </c>
      <c r="K1082" s="146" t="str">
        <f t="shared" si="87"/>
        <v/>
      </c>
      <c r="L1082" s="146" t="str">
        <f t="shared" si="88"/>
        <v/>
      </c>
      <c r="M1082" s="148" t="str">
        <f t="shared" si="89"/>
        <v/>
      </c>
    </row>
    <row r="1083" spans="1:13" x14ac:dyDescent="0.3">
      <c r="A1083" s="149"/>
      <c r="B1083" s="149"/>
      <c r="C1083" s="149"/>
      <c r="D1083" s="149"/>
      <c r="E1083" s="149"/>
      <c r="F1083" s="149"/>
      <c r="G1083" s="162"/>
      <c r="H1083" s="146" t="str">
        <f t="shared" si="85"/>
        <v/>
      </c>
      <c r="I1083" s="161" t="str">
        <f t="shared" si="86"/>
        <v/>
      </c>
      <c r="J1083" s="160" t="str">
        <f>IFERROR(INDEX(当年标准成本!I:I,MATCH(C1083,当年标准成本!C:C,0),1),"")</f>
        <v/>
      </c>
      <c r="K1083" s="146" t="str">
        <f t="shared" si="87"/>
        <v/>
      </c>
      <c r="L1083" s="146" t="str">
        <f t="shared" si="88"/>
        <v/>
      </c>
      <c r="M1083" s="148" t="str">
        <f t="shared" si="89"/>
        <v/>
      </c>
    </row>
    <row r="1084" spans="1:13" x14ac:dyDescent="0.3">
      <c r="A1084" s="149"/>
      <c r="B1084" s="149"/>
      <c r="C1084" s="149"/>
      <c r="D1084" s="149"/>
      <c r="E1084" s="149"/>
      <c r="F1084" s="149"/>
      <c r="G1084" s="162"/>
      <c r="H1084" s="146" t="str">
        <f t="shared" si="85"/>
        <v/>
      </c>
      <c r="I1084" s="161" t="str">
        <f t="shared" si="86"/>
        <v/>
      </c>
      <c r="J1084" s="160" t="str">
        <f>IFERROR(INDEX(当年标准成本!I:I,MATCH(C1084,当年标准成本!C:C,0),1),"")</f>
        <v/>
      </c>
      <c r="K1084" s="146" t="str">
        <f t="shared" si="87"/>
        <v/>
      </c>
      <c r="L1084" s="146" t="str">
        <f t="shared" si="88"/>
        <v/>
      </c>
      <c r="M1084" s="148" t="str">
        <f t="shared" si="89"/>
        <v/>
      </c>
    </row>
    <row r="1085" spans="1:13" x14ac:dyDescent="0.3">
      <c r="A1085" s="149"/>
      <c r="B1085" s="149"/>
      <c r="C1085" s="149"/>
      <c r="D1085" s="149"/>
      <c r="E1085" s="149"/>
      <c r="F1085" s="149"/>
      <c r="G1085" s="162"/>
      <c r="H1085" s="146" t="str">
        <f t="shared" si="85"/>
        <v/>
      </c>
      <c r="I1085" s="161" t="str">
        <f t="shared" si="86"/>
        <v/>
      </c>
      <c r="J1085" s="160" t="str">
        <f>IFERROR(INDEX(当年标准成本!I:I,MATCH(C1085,当年标准成本!C:C,0),1),"")</f>
        <v/>
      </c>
      <c r="K1085" s="146" t="str">
        <f t="shared" si="87"/>
        <v/>
      </c>
      <c r="L1085" s="146" t="str">
        <f t="shared" si="88"/>
        <v/>
      </c>
      <c r="M1085" s="148" t="str">
        <f t="shared" si="89"/>
        <v/>
      </c>
    </row>
    <row r="1086" spans="1:13" x14ac:dyDescent="0.3">
      <c r="A1086" s="149"/>
      <c r="B1086" s="149"/>
      <c r="C1086" s="149"/>
      <c r="D1086" s="149"/>
      <c r="E1086" s="149"/>
      <c r="F1086" s="149"/>
      <c r="G1086" s="162"/>
      <c r="H1086" s="146" t="str">
        <f t="shared" si="85"/>
        <v/>
      </c>
      <c r="I1086" s="161" t="str">
        <f t="shared" si="86"/>
        <v/>
      </c>
      <c r="J1086" s="160" t="str">
        <f>IFERROR(INDEX(当年标准成本!I:I,MATCH(C1086,当年标准成本!C:C,0),1),"")</f>
        <v/>
      </c>
      <c r="K1086" s="146" t="str">
        <f t="shared" si="87"/>
        <v/>
      </c>
      <c r="L1086" s="146" t="str">
        <f t="shared" si="88"/>
        <v/>
      </c>
      <c r="M1086" s="148" t="str">
        <f t="shared" si="89"/>
        <v/>
      </c>
    </row>
    <row r="1087" spans="1:13" x14ac:dyDescent="0.3">
      <c r="A1087" s="149"/>
      <c r="B1087" s="149"/>
      <c r="C1087" s="149"/>
      <c r="D1087" s="149"/>
      <c r="E1087" s="149"/>
      <c r="F1087" s="149"/>
      <c r="G1087" s="162"/>
      <c r="H1087" s="146" t="str">
        <f t="shared" si="85"/>
        <v/>
      </c>
      <c r="I1087" s="161" t="str">
        <f t="shared" si="86"/>
        <v/>
      </c>
      <c r="J1087" s="160" t="str">
        <f>IFERROR(INDEX(当年标准成本!I:I,MATCH(C1087,当年标准成本!C:C,0),1),"")</f>
        <v/>
      </c>
      <c r="K1087" s="146" t="str">
        <f t="shared" si="87"/>
        <v/>
      </c>
      <c r="L1087" s="146" t="str">
        <f t="shared" si="88"/>
        <v/>
      </c>
      <c r="M1087" s="148" t="str">
        <f t="shared" si="89"/>
        <v/>
      </c>
    </row>
    <row r="1088" spans="1:13" x14ac:dyDescent="0.3">
      <c r="A1088" s="149"/>
      <c r="B1088" s="149"/>
      <c r="C1088" s="149"/>
      <c r="D1088" s="149"/>
      <c r="E1088" s="149"/>
      <c r="F1088" s="149"/>
      <c r="G1088" s="162"/>
      <c r="H1088" s="146" t="str">
        <f t="shared" si="85"/>
        <v/>
      </c>
      <c r="I1088" s="161" t="str">
        <f t="shared" si="86"/>
        <v/>
      </c>
      <c r="J1088" s="160" t="str">
        <f>IFERROR(INDEX(当年标准成本!I:I,MATCH(C1088,当年标准成本!C:C,0),1),"")</f>
        <v/>
      </c>
      <c r="K1088" s="146" t="str">
        <f t="shared" si="87"/>
        <v/>
      </c>
      <c r="L1088" s="146" t="str">
        <f t="shared" si="88"/>
        <v/>
      </c>
      <c r="M1088" s="148" t="str">
        <f t="shared" si="89"/>
        <v/>
      </c>
    </row>
    <row r="1089" spans="1:13" x14ac:dyDescent="0.3">
      <c r="A1089" s="149"/>
      <c r="B1089" s="149"/>
      <c r="C1089" s="149"/>
      <c r="D1089" s="149"/>
      <c r="E1089" s="149"/>
      <c r="F1089" s="149"/>
      <c r="G1089" s="162"/>
      <c r="H1089" s="146" t="str">
        <f t="shared" si="85"/>
        <v/>
      </c>
      <c r="I1089" s="161" t="str">
        <f t="shared" si="86"/>
        <v/>
      </c>
      <c r="J1089" s="160" t="str">
        <f>IFERROR(INDEX(当年标准成本!I:I,MATCH(C1089,当年标准成本!C:C,0),1),"")</f>
        <v/>
      </c>
      <c r="K1089" s="146" t="str">
        <f t="shared" si="87"/>
        <v/>
      </c>
      <c r="L1089" s="146" t="str">
        <f t="shared" si="88"/>
        <v/>
      </c>
      <c r="M1089" s="148" t="str">
        <f t="shared" si="89"/>
        <v/>
      </c>
    </row>
    <row r="1090" spans="1:13" x14ac:dyDescent="0.3">
      <c r="A1090" s="149"/>
      <c r="B1090" s="149"/>
      <c r="C1090" s="149"/>
      <c r="D1090" s="149"/>
      <c r="E1090" s="149"/>
      <c r="F1090" s="149"/>
      <c r="G1090" s="162"/>
      <c r="H1090" s="146" t="str">
        <f t="shared" si="85"/>
        <v/>
      </c>
      <c r="I1090" s="161" t="str">
        <f t="shared" si="86"/>
        <v/>
      </c>
      <c r="J1090" s="160" t="str">
        <f>IFERROR(INDEX(当年标准成本!I:I,MATCH(C1090,当年标准成本!C:C,0),1),"")</f>
        <v/>
      </c>
      <c r="K1090" s="146" t="str">
        <f t="shared" si="87"/>
        <v/>
      </c>
      <c r="L1090" s="146" t="str">
        <f t="shared" si="88"/>
        <v/>
      </c>
      <c r="M1090" s="148" t="str">
        <f t="shared" si="89"/>
        <v/>
      </c>
    </row>
    <row r="1091" spans="1:13" x14ac:dyDescent="0.3">
      <c r="A1091" s="149"/>
      <c r="B1091" s="149"/>
      <c r="C1091" s="149"/>
      <c r="D1091" s="149"/>
      <c r="E1091" s="149"/>
      <c r="F1091" s="149"/>
      <c r="G1091" s="162"/>
      <c r="H1091" s="146" t="str">
        <f t="shared" si="85"/>
        <v/>
      </c>
      <c r="I1091" s="161" t="str">
        <f t="shared" si="86"/>
        <v/>
      </c>
      <c r="J1091" s="160" t="str">
        <f>IFERROR(INDEX(当年标准成本!I:I,MATCH(C1091,当年标准成本!C:C,0),1),"")</f>
        <v/>
      </c>
      <c r="K1091" s="146" t="str">
        <f t="shared" si="87"/>
        <v/>
      </c>
      <c r="L1091" s="146" t="str">
        <f t="shared" si="88"/>
        <v/>
      </c>
      <c r="M1091" s="148" t="str">
        <f t="shared" si="89"/>
        <v/>
      </c>
    </row>
    <row r="1092" spans="1:13" x14ac:dyDescent="0.3">
      <c r="A1092" s="149"/>
      <c r="B1092" s="149"/>
      <c r="C1092" s="149"/>
      <c r="D1092" s="149"/>
      <c r="E1092" s="149"/>
      <c r="F1092" s="149"/>
      <c r="G1092" s="162"/>
      <c r="H1092" s="146" t="str">
        <f t="shared" si="85"/>
        <v/>
      </c>
      <c r="I1092" s="161" t="str">
        <f t="shared" si="86"/>
        <v/>
      </c>
      <c r="J1092" s="160" t="str">
        <f>IFERROR(INDEX(当年标准成本!I:I,MATCH(C1092,当年标准成本!C:C,0),1),"")</f>
        <v/>
      </c>
      <c r="K1092" s="146" t="str">
        <f t="shared" si="87"/>
        <v/>
      </c>
      <c r="L1092" s="146" t="str">
        <f t="shared" si="88"/>
        <v/>
      </c>
      <c r="M1092" s="148" t="str">
        <f t="shared" si="89"/>
        <v/>
      </c>
    </row>
    <row r="1093" spans="1:13" x14ac:dyDescent="0.3">
      <c r="A1093" s="149"/>
      <c r="B1093" s="149"/>
      <c r="C1093" s="149"/>
      <c r="D1093" s="149"/>
      <c r="E1093" s="149"/>
      <c r="F1093" s="149"/>
      <c r="G1093" s="162"/>
      <c r="H1093" s="146" t="str">
        <f t="shared" si="85"/>
        <v/>
      </c>
      <c r="I1093" s="161" t="str">
        <f t="shared" si="86"/>
        <v/>
      </c>
      <c r="J1093" s="160" t="str">
        <f>IFERROR(INDEX(当年标准成本!I:I,MATCH(C1093,当年标准成本!C:C,0),1),"")</f>
        <v/>
      </c>
      <c r="K1093" s="146" t="str">
        <f t="shared" si="87"/>
        <v/>
      </c>
      <c r="L1093" s="146" t="str">
        <f t="shared" si="88"/>
        <v/>
      </c>
      <c r="M1093" s="148" t="str">
        <f t="shared" si="89"/>
        <v/>
      </c>
    </row>
    <row r="1094" spans="1:13" x14ac:dyDescent="0.3">
      <c r="A1094" s="149"/>
      <c r="B1094" s="149"/>
      <c r="C1094" s="149"/>
      <c r="D1094" s="149"/>
      <c r="E1094" s="149"/>
      <c r="F1094" s="149"/>
      <c r="G1094" s="162"/>
      <c r="H1094" s="146" t="str">
        <f t="shared" si="85"/>
        <v/>
      </c>
      <c r="I1094" s="161" t="str">
        <f t="shared" si="86"/>
        <v/>
      </c>
      <c r="J1094" s="160" t="str">
        <f>IFERROR(INDEX(当年标准成本!I:I,MATCH(C1094,当年标准成本!C:C,0),1),"")</f>
        <v/>
      </c>
      <c r="K1094" s="146" t="str">
        <f t="shared" si="87"/>
        <v/>
      </c>
      <c r="L1094" s="146" t="str">
        <f t="shared" si="88"/>
        <v/>
      </c>
      <c r="M1094" s="148" t="str">
        <f t="shared" si="89"/>
        <v/>
      </c>
    </row>
    <row r="1095" spans="1:13" x14ac:dyDescent="0.3">
      <c r="A1095" s="149"/>
      <c r="B1095" s="149"/>
      <c r="C1095" s="149"/>
      <c r="D1095" s="149"/>
      <c r="E1095" s="149"/>
      <c r="F1095" s="149"/>
      <c r="G1095" s="162"/>
      <c r="H1095" s="146" t="str">
        <f t="shared" si="85"/>
        <v/>
      </c>
      <c r="I1095" s="161" t="str">
        <f t="shared" si="86"/>
        <v/>
      </c>
      <c r="J1095" s="160" t="str">
        <f>IFERROR(INDEX(当年标准成本!I:I,MATCH(C1095,当年标准成本!C:C,0),1),"")</f>
        <v/>
      </c>
      <c r="K1095" s="146" t="str">
        <f t="shared" si="87"/>
        <v/>
      </c>
      <c r="L1095" s="146" t="str">
        <f t="shared" si="88"/>
        <v/>
      </c>
      <c r="M1095" s="148" t="str">
        <f t="shared" si="89"/>
        <v/>
      </c>
    </row>
    <row r="1096" spans="1:13" x14ac:dyDescent="0.3">
      <c r="A1096" s="149"/>
      <c r="B1096" s="149"/>
      <c r="C1096" s="149"/>
      <c r="D1096" s="149"/>
      <c r="E1096" s="149"/>
      <c r="F1096" s="149"/>
      <c r="G1096" s="162"/>
      <c r="H1096" s="146" t="str">
        <f t="shared" si="85"/>
        <v/>
      </c>
      <c r="I1096" s="161" t="str">
        <f t="shared" si="86"/>
        <v/>
      </c>
      <c r="J1096" s="160" t="str">
        <f>IFERROR(INDEX(当年标准成本!I:I,MATCH(C1096,当年标准成本!C:C,0),1),"")</f>
        <v/>
      </c>
      <c r="K1096" s="146" t="str">
        <f t="shared" si="87"/>
        <v/>
      </c>
      <c r="L1096" s="146" t="str">
        <f t="shared" si="88"/>
        <v/>
      </c>
      <c r="M1096" s="148" t="str">
        <f t="shared" si="89"/>
        <v/>
      </c>
    </row>
    <row r="1097" spans="1:13" x14ac:dyDescent="0.3">
      <c r="A1097" s="149"/>
      <c r="B1097" s="149"/>
      <c r="C1097" s="149"/>
      <c r="D1097" s="149"/>
      <c r="E1097" s="149"/>
      <c r="F1097" s="149"/>
      <c r="G1097" s="162"/>
      <c r="H1097" s="146" t="str">
        <f t="shared" si="85"/>
        <v/>
      </c>
      <c r="I1097" s="161" t="str">
        <f t="shared" si="86"/>
        <v/>
      </c>
      <c r="J1097" s="160" t="str">
        <f>IFERROR(INDEX(当年标准成本!I:I,MATCH(C1097,当年标准成本!C:C,0),1),"")</f>
        <v/>
      </c>
      <c r="K1097" s="146" t="str">
        <f t="shared" si="87"/>
        <v/>
      </c>
      <c r="L1097" s="146" t="str">
        <f t="shared" si="88"/>
        <v/>
      </c>
      <c r="M1097" s="148" t="str">
        <f t="shared" si="89"/>
        <v/>
      </c>
    </row>
    <row r="1098" spans="1:13" x14ac:dyDescent="0.3">
      <c r="A1098" s="149"/>
      <c r="B1098" s="149"/>
      <c r="C1098" s="149"/>
      <c r="D1098" s="149"/>
      <c r="E1098" s="149"/>
      <c r="F1098" s="149"/>
      <c r="G1098" s="162"/>
      <c r="H1098" s="146" t="str">
        <f t="shared" si="85"/>
        <v/>
      </c>
      <c r="I1098" s="161" t="str">
        <f t="shared" si="86"/>
        <v/>
      </c>
      <c r="J1098" s="160" t="str">
        <f>IFERROR(INDEX(当年标准成本!I:I,MATCH(C1098,当年标准成本!C:C,0),1),"")</f>
        <v/>
      </c>
      <c r="K1098" s="146" t="str">
        <f t="shared" si="87"/>
        <v/>
      </c>
      <c r="L1098" s="146" t="str">
        <f t="shared" si="88"/>
        <v/>
      </c>
      <c r="M1098" s="148" t="str">
        <f t="shared" si="89"/>
        <v/>
      </c>
    </row>
    <row r="1099" spans="1:13" x14ac:dyDescent="0.3">
      <c r="A1099" s="149"/>
      <c r="B1099" s="149"/>
      <c r="C1099" s="149"/>
      <c r="D1099" s="149"/>
      <c r="E1099" s="149"/>
      <c r="F1099" s="149"/>
      <c r="G1099" s="162"/>
      <c r="H1099" s="146" t="str">
        <f t="shared" si="85"/>
        <v/>
      </c>
      <c r="I1099" s="161" t="str">
        <f t="shared" si="86"/>
        <v/>
      </c>
      <c r="J1099" s="160" t="str">
        <f>IFERROR(INDEX(当年标准成本!I:I,MATCH(C1099,当年标准成本!C:C,0),1),"")</f>
        <v/>
      </c>
      <c r="K1099" s="146" t="str">
        <f t="shared" si="87"/>
        <v/>
      </c>
      <c r="L1099" s="146" t="str">
        <f t="shared" si="88"/>
        <v/>
      </c>
      <c r="M1099" s="148" t="str">
        <f t="shared" si="89"/>
        <v/>
      </c>
    </row>
    <row r="1100" spans="1:13" x14ac:dyDescent="0.3">
      <c r="A1100" s="149"/>
      <c r="B1100" s="149"/>
      <c r="C1100" s="149"/>
      <c r="D1100" s="149"/>
      <c r="E1100" s="149"/>
      <c r="F1100" s="149"/>
      <c r="G1100" s="162"/>
      <c r="H1100" s="146" t="str">
        <f t="shared" ref="H1100:H1163" si="90">IFERROR(F1100/E1100,"")</f>
        <v/>
      </c>
      <c r="I1100" s="161" t="str">
        <f t="shared" ref="I1100:I1163" si="91">IFERROR(H1100*(1+G1100),"")</f>
        <v/>
      </c>
      <c r="J1100" s="160" t="str">
        <f>IFERROR(INDEX(当年标准成本!I:I,MATCH(C1100,当年标准成本!C:C,0),1),"")</f>
        <v/>
      </c>
      <c r="K1100" s="146" t="str">
        <f t="shared" ref="K1100:K1163" si="92">IFERROR(E1100*J1100,"")</f>
        <v/>
      </c>
      <c r="L1100" s="146" t="str">
        <f t="shared" ref="L1100:L1163" si="93">IFERROR(F1100-K1100,"")</f>
        <v/>
      </c>
      <c r="M1100" s="148" t="str">
        <f t="shared" ref="M1100:M1163" si="94">IFERROR(L1100/F1100,"")</f>
        <v/>
      </c>
    </row>
    <row r="1101" spans="1:13" x14ac:dyDescent="0.3">
      <c r="A1101" s="149"/>
      <c r="B1101" s="149"/>
      <c r="C1101" s="149"/>
      <c r="D1101" s="149"/>
      <c r="E1101" s="149"/>
      <c r="F1101" s="149"/>
      <c r="G1101" s="162"/>
      <c r="H1101" s="146" t="str">
        <f t="shared" si="90"/>
        <v/>
      </c>
      <c r="I1101" s="161" t="str">
        <f t="shared" si="91"/>
        <v/>
      </c>
      <c r="J1101" s="160" t="str">
        <f>IFERROR(INDEX(当年标准成本!I:I,MATCH(C1101,当年标准成本!C:C,0),1),"")</f>
        <v/>
      </c>
      <c r="K1101" s="146" t="str">
        <f t="shared" si="92"/>
        <v/>
      </c>
      <c r="L1101" s="146" t="str">
        <f t="shared" si="93"/>
        <v/>
      </c>
      <c r="M1101" s="148" t="str">
        <f t="shared" si="94"/>
        <v/>
      </c>
    </row>
    <row r="1102" spans="1:13" x14ac:dyDescent="0.3">
      <c r="A1102" s="149"/>
      <c r="B1102" s="149"/>
      <c r="C1102" s="149"/>
      <c r="D1102" s="149"/>
      <c r="E1102" s="149"/>
      <c r="F1102" s="149"/>
      <c r="G1102" s="162"/>
      <c r="H1102" s="146" t="str">
        <f t="shared" si="90"/>
        <v/>
      </c>
      <c r="I1102" s="161" t="str">
        <f t="shared" si="91"/>
        <v/>
      </c>
      <c r="J1102" s="160" t="str">
        <f>IFERROR(INDEX(当年标准成本!I:I,MATCH(C1102,当年标准成本!C:C,0),1),"")</f>
        <v/>
      </c>
      <c r="K1102" s="146" t="str">
        <f t="shared" si="92"/>
        <v/>
      </c>
      <c r="L1102" s="146" t="str">
        <f t="shared" si="93"/>
        <v/>
      </c>
      <c r="M1102" s="148" t="str">
        <f t="shared" si="94"/>
        <v/>
      </c>
    </row>
    <row r="1103" spans="1:13" x14ac:dyDescent="0.3">
      <c r="A1103" s="149"/>
      <c r="B1103" s="149"/>
      <c r="C1103" s="149"/>
      <c r="D1103" s="149"/>
      <c r="E1103" s="149"/>
      <c r="F1103" s="149"/>
      <c r="G1103" s="162"/>
      <c r="H1103" s="146" t="str">
        <f t="shared" si="90"/>
        <v/>
      </c>
      <c r="I1103" s="161" t="str">
        <f t="shared" si="91"/>
        <v/>
      </c>
      <c r="J1103" s="160" t="str">
        <f>IFERROR(INDEX(当年标准成本!I:I,MATCH(C1103,当年标准成本!C:C,0),1),"")</f>
        <v/>
      </c>
      <c r="K1103" s="146" t="str">
        <f t="shared" si="92"/>
        <v/>
      </c>
      <c r="L1103" s="146" t="str">
        <f t="shared" si="93"/>
        <v/>
      </c>
      <c r="M1103" s="148" t="str">
        <f t="shared" si="94"/>
        <v/>
      </c>
    </row>
    <row r="1104" spans="1:13" x14ac:dyDescent="0.3">
      <c r="A1104" s="149"/>
      <c r="B1104" s="149"/>
      <c r="C1104" s="149"/>
      <c r="D1104" s="149"/>
      <c r="E1104" s="149"/>
      <c r="F1104" s="149"/>
      <c r="G1104" s="162"/>
      <c r="H1104" s="146" t="str">
        <f t="shared" si="90"/>
        <v/>
      </c>
      <c r="I1104" s="161" t="str">
        <f t="shared" si="91"/>
        <v/>
      </c>
      <c r="J1104" s="160" t="str">
        <f>IFERROR(INDEX(当年标准成本!I:I,MATCH(C1104,当年标准成本!C:C,0),1),"")</f>
        <v/>
      </c>
      <c r="K1104" s="146" t="str">
        <f t="shared" si="92"/>
        <v/>
      </c>
      <c r="L1104" s="146" t="str">
        <f t="shared" si="93"/>
        <v/>
      </c>
      <c r="M1104" s="148" t="str">
        <f t="shared" si="94"/>
        <v/>
      </c>
    </row>
    <row r="1105" spans="1:13" x14ac:dyDescent="0.3">
      <c r="A1105" s="149"/>
      <c r="B1105" s="149"/>
      <c r="C1105" s="149"/>
      <c r="D1105" s="149"/>
      <c r="E1105" s="149"/>
      <c r="F1105" s="149"/>
      <c r="G1105" s="162"/>
      <c r="H1105" s="146" t="str">
        <f t="shared" si="90"/>
        <v/>
      </c>
      <c r="I1105" s="161" t="str">
        <f t="shared" si="91"/>
        <v/>
      </c>
      <c r="J1105" s="160" t="str">
        <f>IFERROR(INDEX(当年标准成本!I:I,MATCH(C1105,当年标准成本!C:C,0),1),"")</f>
        <v/>
      </c>
      <c r="K1105" s="146" t="str">
        <f t="shared" si="92"/>
        <v/>
      </c>
      <c r="L1105" s="146" t="str">
        <f t="shared" si="93"/>
        <v/>
      </c>
      <c r="M1105" s="148" t="str">
        <f t="shared" si="94"/>
        <v/>
      </c>
    </row>
    <row r="1106" spans="1:13" x14ac:dyDescent="0.3">
      <c r="A1106" s="149"/>
      <c r="B1106" s="149"/>
      <c r="C1106" s="149"/>
      <c r="D1106" s="149"/>
      <c r="E1106" s="149"/>
      <c r="F1106" s="149"/>
      <c r="G1106" s="162"/>
      <c r="H1106" s="146" t="str">
        <f t="shared" si="90"/>
        <v/>
      </c>
      <c r="I1106" s="161" t="str">
        <f t="shared" si="91"/>
        <v/>
      </c>
      <c r="J1106" s="160" t="str">
        <f>IFERROR(INDEX(当年标准成本!I:I,MATCH(C1106,当年标准成本!C:C,0),1),"")</f>
        <v/>
      </c>
      <c r="K1106" s="146" t="str">
        <f t="shared" si="92"/>
        <v/>
      </c>
      <c r="L1106" s="146" t="str">
        <f t="shared" si="93"/>
        <v/>
      </c>
      <c r="M1106" s="148" t="str">
        <f t="shared" si="94"/>
        <v/>
      </c>
    </row>
    <row r="1107" spans="1:13" x14ac:dyDescent="0.3">
      <c r="A1107" s="149"/>
      <c r="B1107" s="149"/>
      <c r="C1107" s="149"/>
      <c r="D1107" s="149"/>
      <c r="E1107" s="149"/>
      <c r="F1107" s="149"/>
      <c r="G1107" s="162"/>
      <c r="H1107" s="146" t="str">
        <f t="shared" si="90"/>
        <v/>
      </c>
      <c r="I1107" s="161" t="str">
        <f t="shared" si="91"/>
        <v/>
      </c>
      <c r="J1107" s="160" t="str">
        <f>IFERROR(INDEX(当年标准成本!I:I,MATCH(C1107,当年标准成本!C:C,0),1),"")</f>
        <v/>
      </c>
      <c r="K1107" s="146" t="str">
        <f t="shared" si="92"/>
        <v/>
      </c>
      <c r="L1107" s="146" t="str">
        <f t="shared" si="93"/>
        <v/>
      </c>
      <c r="M1107" s="148" t="str">
        <f t="shared" si="94"/>
        <v/>
      </c>
    </row>
    <row r="1108" spans="1:13" x14ac:dyDescent="0.3">
      <c r="A1108" s="149"/>
      <c r="B1108" s="149"/>
      <c r="C1108" s="149"/>
      <c r="D1108" s="149"/>
      <c r="E1108" s="149"/>
      <c r="F1108" s="149"/>
      <c r="G1108" s="162"/>
      <c r="H1108" s="146" t="str">
        <f t="shared" si="90"/>
        <v/>
      </c>
      <c r="I1108" s="161" t="str">
        <f t="shared" si="91"/>
        <v/>
      </c>
      <c r="J1108" s="160" t="str">
        <f>IFERROR(INDEX(当年标准成本!I:I,MATCH(C1108,当年标准成本!C:C,0),1),"")</f>
        <v/>
      </c>
      <c r="K1108" s="146" t="str">
        <f t="shared" si="92"/>
        <v/>
      </c>
      <c r="L1108" s="146" t="str">
        <f t="shared" si="93"/>
        <v/>
      </c>
      <c r="M1108" s="148" t="str">
        <f t="shared" si="94"/>
        <v/>
      </c>
    </row>
    <row r="1109" spans="1:13" x14ac:dyDescent="0.3">
      <c r="A1109" s="149"/>
      <c r="B1109" s="149"/>
      <c r="C1109" s="149"/>
      <c r="D1109" s="149"/>
      <c r="E1109" s="149"/>
      <c r="F1109" s="149"/>
      <c r="G1109" s="162"/>
      <c r="H1109" s="146" t="str">
        <f t="shared" si="90"/>
        <v/>
      </c>
      <c r="I1109" s="161" t="str">
        <f t="shared" si="91"/>
        <v/>
      </c>
      <c r="J1109" s="160" t="str">
        <f>IFERROR(INDEX(当年标准成本!I:I,MATCH(C1109,当年标准成本!C:C,0),1),"")</f>
        <v/>
      </c>
      <c r="K1109" s="146" t="str">
        <f t="shared" si="92"/>
        <v/>
      </c>
      <c r="L1109" s="146" t="str">
        <f t="shared" si="93"/>
        <v/>
      </c>
      <c r="M1109" s="148" t="str">
        <f t="shared" si="94"/>
        <v/>
      </c>
    </row>
    <row r="1110" spans="1:13" x14ac:dyDescent="0.3">
      <c r="A1110" s="149"/>
      <c r="B1110" s="149"/>
      <c r="C1110" s="149"/>
      <c r="D1110" s="149"/>
      <c r="E1110" s="149"/>
      <c r="F1110" s="149"/>
      <c r="G1110" s="162"/>
      <c r="H1110" s="146" t="str">
        <f t="shared" si="90"/>
        <v/>
      </c>
      <c r="I1110" s="161" t="str">
        <f t="shared" si="91"/>
        <v/>
      </c>
      <c r="J1110" s="160" t="str">
        <f>IFERROR(INDEX(当年标准成本!I:I,MATCH(C1110,当年标准成本!C:C,0),1),"")</f>
        <v/>
      </c>
      <c r="K1110" s="146" t="str">
        <f t="shared" si="92"/>
        <v/>
      </c>
      <c r="L1110" s="146" t="str">
        <f t="shared" si="93"/>
        <v/>
      </c>
      <c r="M1110" s="148" t="str">
        <f t="shared" si="94"/>
        <v/>
      </c>
    </row>
    <row r="1111" spans="1:13" x14ac:dyDescent="0.3">
      <c r="A1111" s="149"/>
      <c r="B1111" s="149"/>
      <c r="C1111" s="149"/>
      <c r="D1111" s="149"/>
      <c r="E1111" s="149"/>
      <c r="F1111" s="149"/>
      <c r="G1111" s="162"/>
      <c r="H1111" s="146" t="str">
        <f t="shared" si="90"/>
        <v/>
      </c>
      <c r="I1111" s="161" t="str">
        <f t="shared" si="91"/>
        <v/>
      </c>
      <c r="J1111" s="160" t="str">
        <f>IFERROR(INDEX(当年标准成本!I:I,MATCH(C1111,当年标准成本!C:C,0),1),"")</f>
        <v/>
      </c>
      <c r="K1111" s="146" t="str">
        <f t="shared" si="92"/>
        <v/>
      </c>
      <c r="L1111" s="146" t="str">
        <f t="shared" si="93"/>
        <v/>
      </c>
      <c r="M1111" s="148" t="str">
        <f t="shared" si="94"/>
        <v/>
      </c>
    </row>
    <row r="1112" spans="1:13" x14ac:dyDescent="0.3">
      <c r="A1112" s="149"/>
      <c r="B1112" s="149"/>
      <c r="C1112" s="149"/>
      <c r="D1112" s="149"/>
      <c r="E1112" s="149"/>
      <c r="F1112" s="149"/>
      <c r="G1112" s="162"/>
      <c r="H1112" s="146" t="str">
        <f t="shared" si="90"/>
        <v/>
      </c>
      <c r="I1112" s="161" t="str">
        <f t="shared" si="91"/>
        <v/>
      </c>
      <c r="J1112" s="160" t="str">
        <f>IFERROR(INDEX(当年标准成本!I:I,MATCH(C1112,当年标准成本!C:C,0),1),"")</f>
        <v/>
      </c>
      <c r="K1112" s="146" t="str">
        <f t="shared" si="92"/>
        <v/>
      </c>
      <c r="L1112" s="146" t="str">
        <f t="shared" si="93"/>
        <v/>
      </c>
      <c r="M1112" s="148" t="str">
        <f t="shared" si="94"/>
        <v/>
      </c>
    </row>
    <row r="1113" spans="1:13" x14ac:dyDescent="0.3">
      <c r="A1113" s="149"/>
      <c r="B1113" s="149"/>
      <c r="C1113" s="149"/>
      <c r="D1113" s="149"/>
      <c r="E1113" s="149"/>
      <c r="F1113" s="149"/>
      <c r="G1113" s="162"/>
      <c r="H1113" s="146" t="str">
        <f t="shared" si="90"/>
        <v/>
      </c>
      <c r="I1113" s="161" t="str">
        <f t="shared" si="91"/>
        <v/>
      </c>
      <c r="J1113" s="160" t="str">
        <f>IFERROR(INDEX(当年标准成本!I:I,MATCH(C1113,当年标准成本!C:C,0),1),"")</f>
        <v/>
      </c>
      <c r="K1113" s="146" t="str">
        <f t="shared" si="92"/>
        <v/>
      </c>
      <c r="L1113" s="146" t="str">
        <f t="shared" si="93"/>
        <v/>
      </c>
      <c r="M1113" s="148" t="str">
        <f t="shared" si="94"/>
        <v/>
      </c>
    </row>
    <row r="1114" spans="1:13" x14ac:dyDescent="0.3">
      <c r="A1114" s="149"/>
      <c r="B1114" s="149"/>
      <c r="C1114" s="149"/>
      <c r="D1114" s="149"/>
      <c r="E1114" s="149"/>
      <c r="F1114" s="149"/>
      <c r="G1114" s="162"/>
      <c r="H1114" s="146" t="str">
        <f t="shared" si="90"/>
        <v/>
      </c>
      <c r="I1114" s="161" t="str">
        <f t="shared" si="91"/>
        <v/>
      </c>
      <c r="J1114" s="160" t="str">
        <f>IFERROR(INDEX(当年标准成本!I:I,MATCH(C1114,当年标准成本!C:C,0),1),"")</f>
        <v/>
      </c>
      <c r="K1114" s="146" t="str">
        <f t="shared" si="92"/>
        <v/>
      </c>
      <c r="L1114" s="146" t="str">
        <f t="shared" si="93"/>
        <v/>
      </c>
      <c r="M1114" s="148" t="str">
        <f t="shared" si="94"/>
        <v/>
      </c>
    </row>
    <row r="1115" spans="1:13" x14ac:dyDescent="0.3">
      <c r="A1115" s="149"/>
      <c r="B1115" s="149"/>
      <c r="C1115" s="149"/>
      <c r="D1115" s="149"/>
      <c r="E1115" s="149"/>
      <c r="F1115" s="149"/>
      <c r="G1115" s="162"/>
      <c r="H1115" s="146" t="str">
        <f t="shared" si="90"/>
        <v/>
      </c>
      <c r="I1115" s="161" t="str">
        <f t="shared" si="91"/>
        <v/>
      </c>
      <c r="J1115" s="160" t="str">
        <f>IFERROR(INDEX(当年标准成本!I:I,MATCH(C1115,当年标准成本!C:C,0),1),"")</f>
        <v/>
      </c>
      <c r="K1115" s="146" t="str">
        <f t="shared" si="92"/>
        <v/>
      </c>
      <c r="L1115" s="146" t="str">
        <f t="shared" si="93"/>
        <v/>
      </c>
      <c r="M1115" s="148" t="str">
        <f t="shared" si="94"/>
        <v/>
      </c>
    </row>
    <row r="1116" spans="1:13" x14ac:dyDescent="0.3">
      <c r="A1116" s="149"/>
      <c r="B1116" s="149"/>
      <c r="C1116" s="149"/>
      <c r="D1116" s="149"/>
      <c r="E1116" s="149"/>
      <c r="F1116" s="149"/>
      <c r="G1116" s="162"/>
      <c r="H1116" s="146" t="str">
        <f t="shared" si="90"/>
        <v/>
      </c>
      <c r="I1116" s="161" t="str">
        <f t="shared" si="91"/>
        <v/>
      </c>
      <c r="J1116" s="160" t="str">
        <f>IFERROR(INDEX(当年标准成本!I:I,MATCH(C1116,当年标准成本!C:C,0),1),"")</f>
        <v/>
      </c>
      <c r="K1116" s="146" t="str">
        <f t="shared" si="92"/>
        <v/>
      </c>
      <c r="L1116" s="146" t="str">
        <f t="shared" si="93"/>
        <v/>
      </c>
      <c r="M1116" s="148" t="str">
        <f t="shared" si="94"/>
        <v/>
      </c>
    </row>
    <row r="1117" spans="1:13" x14ac:dyDescent="0.3">
      <c r="A1117" s="149"/>
      <c r="B1117" s="149"/>
      <c r="C1117" s="149"/>
      <c r="D1117" s="149"/>
      <c r="E1117" s="149"/>
      <c r="F1117" s="149"/>
      <c r="G1117" s="162"/>
      <c r="H1117" s="146" t="str">
        <f t="shared" si="90"/>
        <v/>
      </c>
      <c r="I1117" s="161" t="str">
        <f t="shared" si="91"/>
        <v/>
      </c>
      <c r="J1117" s="160" t="str">
        <f>IFERROR(INDEX(当年标准成本!I:I,MATCH(C1117,当年标准成本!C:C,0),1),"")</f>
        <v/>
      </c>
      <c r="K1117" s="146" t="str">
        <f t="shared" si="92"/>
        <v/>
      </c>
      <c r="L1117" s="146" t="str">
        <f t="shared" si="93"/>
        <v/>
      </c>
      <c r="M1117" s="148" t="str">
        <f t="shared" si="94"/>
        <v/>
      </c>
    </row>
    <row r="1118" spans="1:13" x14ac:dyDescent="0.3">
      <c r="A1118" s="149"/>
      <c r="B1118" s="149"/>
      <c r="C1118" s="149"/>
      <c r="D1118" s="149"/>
      <c r="E1118" s="149"/>
      <c r="F1118" s="149"/>
      <c r="G1118" s="162"/>
      <c r="H1118" s="146" t="str">
        <f t="shared" si="90"/>
        <v/>
      </c>
      <c r="I1118" s="161" t="str">
        <f t="shared" si="91"/>
        <v/>
      </c>
      <c r="J1118" s="160" t="str">
        <f>IFERROR(INDEX(当年标准成本!I:I,MATCH(C1118,当年标准成本!C:C,0),1),"")</f>
        <v/>
      </c>
      <c r="K1118" s="146" t="str">
        <f t="shared" si="92"/>
        <v/>
      </c>
      <c r="L1118" s="146" t="str">
        <f t="shared" si="93"/>
        <v/>
      </c>
      <c r="M1118" s="148" t="str">
        <f t="shared" si="94"/>
        <v/>
      </c>
    </row>
    <row r="1119" spans="1:13" x14ac:dyDescent="0.3">
      <c r="A1119" s="149"/>
      <c r="B1119" s="149"/>
      <c r="C1119" s="149"/>
      <c r="D1119" s="149"/>
      <c r="E1119" s="149"/>
      <c r="F1119" s="149"/>
      <c r="G1119" s="162"/>
      <c r="H1119" s="146" t="str">
        <f t="shared" si="90"/>
        <v/>
      </c>
      <c r="I1119" s="161" t="str">
        <f t="shared" si="91"/>
        <v/>
      </c>
      <c r="J1119" s="160" t="str">
        <f>IFERROR(INDEX(当年标准成本!I:I,MATCH(C1119,当年标准成本!C:C,0),1),"")</f>
        <v/>
      </c>
      <c r="K1119" s="146" t="str">
        <f t="shared" si="92"/>
        <v/>
      </c>
      <c r="L1119" s="146" t="str">
        <f t="shared" si="93"/>
        <v/>
      </c>
      <c r="M1119" s="148" t="str">
        <f t="shared" si="94"/>
        <v/>
      </c>
    </row>
    <row r="1120" spans="1:13" x14ac:dyDescent="0.3">
      <c r="A1120" s="149"/>
      <c r="B1120" s="149"/>
      <c r="C1120" s="149"/>
      <c r="D1120" s="149"/>
      <c r="E1120" s="149"/>
      <c r="F1120" s="149"/>
      <c r="G1120" s="162"/>
      <c r="H1120" s="146" t="str">
        <f t="shared" si="90"/>
        <v/>
      </c>
      <c r="I1120" s="161" t="str">
        <f t="shared" si="91"/>
        <v/>
      </c>
      <c r="J1120" s="160" t="str">
        <f>IFERROR(INDEX(当年标准成本!I:I,MATCH(C1120,当年标准成本!C:C,0),1),"")</f>
        <v/>
      </c>
      <c r="K1120" s="146" t="str">
        <f t="shared" si="92"/>
        <v/>
      </c>
      <c r="L1120" s="146" t="str">
        <f t="shared" si="93"/>
        <v/>
      </c>
      <c r="M1120" s="148" t="str">
        <f t="shared" si="94"/>
        <v/>
      </c>
    </row>
    <row r="1121" spans="1:13" x14ac:dyDescent="0.3">
      <c r="A1121" s="149"/>
      <c r="B1121" s="149"/>
      <c r="C1121" s="149"/>
      <c r="D1121" s="149"/>
      <c r="E1121" s="149"/>
      <c r="F1121" s="149"/>
      <c r="G1121" s="162"/>
      <c r="H1121" s="146" t="str">
        <f t="shared" si="90"/>
        <v/>
      </c>
      <c r="I1121" s="161" t="str">
        <f t="shared" si="91"/>
        <v/>
      </c>
      <c r="J1121" s="160" t="str">
        <f>IFERROR(INDEX(当年标准成本!I:I,MATCH(C1121,当年标准成本!C:C,0),1),"")</f>
        <v/>
      </c>
      <c r="K1121" s="146" t="str">
        <f t="shared" si="92"/>
        <v/>
      </c>
      <c r="L1121" s="146" t="str">
        <f t="shared" si="93"/>
        <v/>
      </c>
      <c r="M1121" s="148" t="str">
        <f t="shared" si="94"/>
        <v/>
      </c>
    </row>
    <row r="1122" spans="1:13" x14ac:dyDescent="0.3">
      <c r="A1122" s="149"/>
      <c r="B1122" s="149"/>
      <c r="C1122" s="149"/>
      <c r="D1122" s="149"/>
      <c r="E1122" s="149"/>
      <c r="F1122" s="149"/>
      <c r="G1122" s="162"/>
      <c r="H1122" s="146" t="str">
        <f t="shared" si="90"/>
        <v/>
      </c>
      <c r="I1122" s="161" t="str">
        <f t="shared" si="91"/>
        <v/>
      </c>
      <c r="J1122" s="160" t="str">
        <f>IFERROR(INDEX(当年标准成本!I:I,MATCH(C1122,当年标准成本!C:C,0),1),"")</f>
        <v/>
      </c>
      <c r="K1122" s="146" t="str">
        <f t="shared" si="92"/>
        <v/>
      </c>
      <c r="L1122" s="146" t="str">
        <f t="shared" si="93"/>
        <v/>
      </c>
      <c r="M1122" s="148" t="str">
        <f t="shared" si="94"/>
        <v/>
      </c>
    </row>
    <row r="1123" spans="1:13" x14ac:dyDescent="0.3">
      <c r="A1123" s="149"/>
      <c r="B1123" s="149"/>
      <c r="C1123" s="149"/>
      <c r="D1123" s="149"/>
      <c r="E1123" s="149"/>
      <c r="F1123" s="149"/>
      <c r="G1123" s="162"/>
      <c r="H1123" s="146" t="str">
        <f t="shared" si="90"/>
        <v/>
      </c>
      <c r="I1123" s="161" t="str">
        <f t="shared" si="91"/>
        <v/>
      </c>
      <c r="J1123" s="160" t="str">
        <f>IFERROR(INDEX(当年标准成本!I:I,MATCH(C1123,当年标准成本!C:C,0),1),"")</f>
        <v/>
      </c>
      <c r="K1123" s="146" t="str">
        <f t="shared" si="92"/>
        <v/>
      </c>
      <c r="L1123" s="146" t="str">
        <f t="shared" si="93"/>
        <v/>
      </c>
      <c r="M1123" s="148" t="str">
        <f t="shared" si="94"/>
        <v/>
      </c>
    </row>
    <row r="1124" spans="1:13" x14ac:dyDescent="0.3">
      <c r="A1124" s="149"/>
      <c r="B1124" s="149"/>
      <c r="C1124" s="149"/>
      <c r="D1124" s="149"/>
      <c r="E1124" s="149"/>
      <c r="F1124" s="149"/>
      <c r="G1124" s="162"/>
      <c r="H1124" s="146" t="str">
        <f t="shared" si="90"/>
        <v/>
      </c>
      <c r="I1124" s="161" t="str">
        <f t="shared" si="91"/>
        <v/>
      </c>
      <c r="J1124" s="160" t="str">
        <f>IFERROR(INDEX(当年标准成本!I:I,MATCH(C1124,当年标准成本!C:C,0),1),"")</f>
        <v/>
      </c>
      <c r="K1124" s="146" t="str">
        <f t="shared" si="92"/>
        <v/>
      </c>
      <c r="L1124" s="146" t="str">
        <f t="shared" si="93"/>
        <v/>
      </c>
      <c r="M1124" s="148" t="str">
        <f t="shared" si="94"/>
        <v/>
      </c>
    </row>
    <row r="1125" spans="1:13" x14ac:dyDescent="0.3">
      <c r="A1125" s="149"/>
      <c r="B1125" s="149"/>
      <c r="C1125" s="149"/>
      <c r="D1125" s="149"/>
      <c r="E1125" s="149"/>
      <c r="F1125" s="149"/>
      <c r="G1125" s="162"/>
      <c r="H1125" s="146" t="str">
        <f t="shared" si="90"/>
        <v/>
      </c>
      <c r="I1125" s="161" t="str">
        <f t="shared" si="91"/>
        <v/>
      </c>
      <c r="J1125" s="160" t="str">
        <f>IFERROR(INDEX(当年标准成本!I:I,MATCH(C1125,当年标准成本!C:C,0),1),"")</f>
        <v/>
      </c>
      <c r="K1125" s="146" t="str">
        <f t="shared" si="92"/>
        <v/>
      </c>
      <c r="L1125" s="146" t="str">
        <f t="shared" si="93"/>
        <v/>
      </c>
      <c r="M1125" s="148" t="str">
        <f t="shared" si="94"/>
        <v/>
      </c>
    </row>
    <row r="1126" spans="1:13" x14ac:dyDescent="0.3">
      <c r="A1126" s="149"/>
      <c r="B1126" s="149"/>
      <c r="C1126" s="149"/>
      <c r="D1126" s="149"/>
      <c r="E1126" s="149"/>
      <c r="F1126" s="149"/>
      <c r="G1126" s="162"/>
      <c r="H1126" s="146" t="str">
        <f t="shared" si="90"/>
        <v/>
      </c>
      <c r="I1126" s="161" t="str">
        <f t="shared" si="91"/>
        <v/>
      </c>
      <c r="J1126" s="160" t="str">
        <f>IFERROR(INDEX(当年标准成本!I:I,MATCH(C1126,当年标准成本!C:C,0),1),"")</f>
        <v/>
      </c>
      <c r="K1126" s="146" t="str">
        <f t="shared" si="92"/>
        <v/>
      </c>
      <c r="L1126" s="146" t="str">
        <f t="shared" si="93"/>
        <v/>
      </c>
      <c r="M1126" s="148" t="str">
        <f t="shared" si="94"/>
        <v/>
      </c>
    </row>
    <row r="1127" spans="1:13" x14ac:dyDescent="0.3">
      <c r="A1127" s="149"/>
      <c r="B1127" s="149"/>
      <c r="C1127" s="149"/>
      <c r="D1127" s="149"/>
      <c r="E1127" s="149"/>
      <c r="F1127" s="149"/>
      <c r="G1127" s="162"/>
      <c r="H1127" s="146" t="str">
        <f t="shared" si="90"/>
        <v/>
      </c>
      <c r="I1127" s="161" t="str">
        <f t="shared" si="91"/>
        <v/>
      </c>
      <c r="J1127" s="160" t="str">
        <f>IFERROR(INDEX(当年标准成本!I:I,MATCH(C1127,当年标准成本!C:C,0),1),"")</f>
        <v/>
      </c>
      <c r="K1127" s="146" t="str">
        <f t="shared" si="92"/>
        <v/>
      </c>
      <c r="L1127" s="146" t="str">
        <f t="shared" si="93"/>
        <v/>
      </c>
      <c r="M1127" s="148" t="str">
        <f t="shared" si="94"/>
        <v/>
      </c>
    </row>
    <row r="1128" spans="1:13" x14ac:dyDescent="0.3">
      <c r="A1128" s="149"/>
      <c r="B1128" s="149"/>
      <c r="C1128" s="149"/>
      <c r="D1128" s="149"/>
      <c r="E1128" s="149"/>
      <c r="F1128" s="149"/>
      <c r="G1128" s="162"/>
      <c r="H1128" s="146" t="str">
        <f t="shared" si="90"/>
        <v/>
      </c>
      <c r="I1128" s="161" t="str">
        <f t="shared" si="91"/>
        <v/>
      </c>
      <c r="J1128" s="160" t="str">
        <f>IFERROR(INDEX(当年标准成本!I:I,MATCH(C1128,当年标准成本!C:C,0),1),"")</f>
        <v/>
      </c>
      <c r="K1128" s="146" t="str">
        <f t="shared" si="92"/>
        <v/>
      </c>
      <c r="L1128" s="146" t="str">
        <f t="shared" si="93"/>
        <v/>
      </c>
      <c r="M1128" s="148" t="str">
        <f t="shared" si="94"/>
        <v/>
      </c>
    </row>
    <row r="1129" spans="1:13" x14ac:dyDescent="0.3">
      <c r="A1129" s="149"/>
      <c r="B1129" s="149"/>
      <c r="C1129" s="149"/>
      <c r="D1129" s="149"/>
      <c r="E1129" s="149"/>
      <c r="F1129" s="149"/>
      <c r="G1129" s="162"/>
      <c r="H1129" s="146" t="str">
        <f t="shared" si="90"/>
        <v/>
      </c>
      <c r="I1129" s="161" t="str">
        <f t="shared" si="91"/>
        <v/>
      </c>
      <c r="J1129" s="160" t="str">
        <f>IFERROR(INDEX(当年标准成本!I:I,MATCH(C1129,当年标准成本!C:C,0),1),"")</f>
        <v/>
      </c>
      <c r="K1129" s="146" t="str">
        <f t="shared" si="92"/>
        <v/>
      </c>
      <c r="L1129" s="146" t="str">
        <f t="shared" si="93"/>
        <v/>
      </c>
      <c r="M1129" s="148" t="str">
        <f t="shared" si="94"/>
        <v/>
      </c>
    </row>
    <row r="1130" spans="1:13" x14ac:dyDescent="0.3">
      <c r="A1130" s="149"/>
      <c r="B1130" s="149"/>
      <c r="C1130" s="149"/>
      <c r="D1130" s="149"/>
      <c r="E1130" s="149"/>
      <c r="F1130" s="149"/>
      <c r="G1130" s="162"/>
      <c r="H1130" s="146" t="str">
        <f t="shared" si="90"/>
        <v/>
      </c>
      <c r="I1130" s="161" t="str">
        <f t="shared" si="91"/>
        <v/>
      </c>
      <c r="J1130" s="160" t="str">
        <f>IFERROR(INDEX(当年标准成本!I:I,MATCH(C1130,当年标准成本!C:C,0),1),"")</f>
        <v/>
      </c>
      <c r="K1130" s="146" t="str">
        <f t="shared" si="92"/>
        <v/>
      </c>
      <c r="L1130" s="146" t="str">
        <f t="shared" si="93"/>
        <v/>
      </c>
      <c r="M1130" s="148" t="str">
        <f t="shared" si="94"/>
        <v/>
      </c>
    </row>
    <row r="1131" spans="1:13" x14ac:dyDescent="0.3">
      <c r="A1131" s="149"/>
      <c r="B1131" s="149"/>
      <c r="C1131" s="149"/>
      <c r="D1131" s="149"/>
      <c r="E1131" s="149"/>
      <c r="F1131" s="149"/>
      <c r="G1131" s="162"/>
      <c r="H1131" s="146" t="str">
        <f t="shared" si="90"/>
        <v/>
      </c>
      <c r="I1131" s="161" t="str">
        <f t="shared" si="91"/>
        <v/>
      </c>
      <c r="J1131" s="160" t="str">
        <f>IFERROR(INDEX(当年标准成本!I:I,MATCH(C1131,当年标准成本!C:C,0),1),"")</f>
        <v/>
      </c>
      <c r="K1131" s="146" t="str">
        <f t="shared" si="92"/>
        <v/>
      </c>
      <c r="L1131" s="146" t="str">
        <f t="shared" si="93"/>
        <v/>
      </c>
      <c r="M1131" s="148" t="str">
        <f t="shared" si="94"/>
        <v/>
      </c>
    </row>
    <row r="1132" spans="1:13" x14ac:dyDescent="0.3">
      <c r="A1132" s="149"/>
      <c r="B1132" s="149"/>
      <c r="C1132" s="149"/>
      <c r="D1132" s="149"/>
      <c r="E1132" s="149"/>
      <c r="F1132" s="149"/>
      <c r="G1132" s="162"/>
      <c r="H1132" s="146" t="str">
        <f t="shared" si="90"/>
        <v/>
      </c>
      <c r="I1132" s="161" t="str">
        <f t="shared" si="91"/>
        <v/>
      </c>
      <c r="J1132" s="160" t="str">
        <f>IFERROR(INDEX(当年标准成本!I:I,MATCH(C1132,当年标准成本!C:C,0),1),"")</f>
        <v/>
      </c>
      <c r="K1132" s="146" t="str">
        <f t="shared" si="92"/>
        <v/>
      </c>
      <c r="L1132" s="146" t="str">
        <f t="shared" si="93"/>
        <v/>
      </c>
      <c r="M1132" s="148" t="str">
        <f t="shared" si="94"/>
        <v/>
      </c>
    </row>
    <row r="1133" spans="1:13" x14ac:dyDescent="0.3">
      <c r="A1133" s="149"/>
      <c r="B1133" s="149"/>
      <c r="C1133" s="149"/>
      <c r="D1133" s="149"/>
      <c r="E1133" s="149"/>
      <c r="F1133" s="149"/>
      <c r="G1133" s="162"/>
      <c r="H1133" s="146" t="str">
        <f t="shared" si="90"/>
        <v/>
      </c>
      <c r="I1133" s="161" t="str">
        <f t="shared" si="91"/>
        <v/>
      </c>
      <c r="J1133" s="160" t="str">
        <f>IFERROR(INDEX(当年标准成本!I:I,MATCH(C1133,当年标准成本!C:C,0),1),"")</f>
        <v/>
      </c>
      <c r="K1133" s="146" t="str">
        <f t="shared" si="92"/>
        <v/>
      </c>
      <c r="L1133" s="146" t="str">
        <f t="shared" si="93"/>
        <v/>
      </c>
      <c r="M1133" s="148" t="str">
        <f t="shared" si="94"/>
        <v/>
      </c>
    </row>
    <row r="1134" spans="1:13" x14ac:dyDescent="0.3">
      <c r="A1134" s="149"/>
      <c r="B1134" s="149"/>
      <c r="C1134" s="149"/>
      <c r="D1134" s="149"/>
      <c r="E1134" s="149"/>
      <c r="F1134" s="149"/>
      <c r="G1134" s="162"/>
      <c r="H1134" s="146" t="str">
        <f t="shared" si="90"/>
        <v/>
      </c>
      <c r="I1134" s="161" t="str">
        <f t="shared" si="91"/>
        <v/>
      </c>
      <c r="J1134" s="160" t="str">
        <f>IFERROR(INDEX(当年标准成本!I:I,MATCH(C1134,当年标准成本!C:C,0),1),"")</f>
        <v/>
      </c>
      <c r="K1134" s="146" t="str">
        <f t="shared" si="92"/>
        <v/>
      </c>
      <c r="L1134" s="146" t="str">
        <f t="shared" si="93"/>
        <v/>
      </c>
      <c r="M1134" s="148" t="str">
        <f t="shared" si="94"/>
        <v/>
      </c>
    </row>
    <row r="1135" spans="1:13" x14ac:dyDescent="0.3">
      <c r="A1135" s="149"/>
      <c r="B1135" s="149"/>
      <c r="C1135" s="149"/>
      <c r="D1135" s="149"/>
      <c r="E1135" s="149"/>
      <c r="F1135" s="149"/>
      <c r="G1135" s="162"/>
      <c r="H1135" s="146" t="str">
        <f t="shared" si="90"/>
        <v/>
      </c>
      <c r="I1135" s="161" t="str">
        <f t="shared" si="91"/>
        <v/>
      </c>
      <c r="J1135" s="160" t="str">
        <f>IFERROR(INDEX(当年标准成本!I:I,MATCH(C1135,当年标准成本!C:C,0),1),"")</f>
        <v/>
      </c>
      <c r="K1135" s="146" t="str">
        <f t="shared" si="92"/>
        <v/>
      </c>
      <c r="L1135" s="146" t="str">
        <f t="shared" si="93"/>
        <v/>
      </c>
      <c r="M1135" s="148" t="str">
        <f t="shared" si="94"/>
        <v/>
      </c>
    </row>
    <row r="1136" spans="1:13" x14ac:dyDescent="0.3">
      <c r="A1136" s="149"/>
      <c r="B1136" s="149"/>
      <c r="C1136" s="149"/>
      <c r="D1136" s="149"/>
      <c r="E1136" s="149"/>
      <c r="F1136" s="149"/>
      <c r="G1136" s="162"/>
      <c r="H1136" s="146" t="str">
        <f t="shared" si="90"/>
        <v/>
      </c>
      <c r="I1136" s="161" t="str">
        <f t="shared" si="91"/>
        <v/>
      </c>
      <c r="J1136" s="160" t="str">
        <f>IFERROR(INDEX(当年标准成本!I:I,MATCH(C1136,当年标准成本!C:C,0),1),"")</f>
        <v/>
      </c>
      <c r="K1136" s="146" t="str">
        <f t="shared" si="92"/>
        <v/>
      </c>
      <c r="L1136" s="146" t="str">
        <f t="shared" si="93"/>
        <v/>
      </c>
      <c r="M1136" s="148" t="str">
        <f t="shared" si="94"/>
        <v/>
      </c>
    </row>
    <row r="1137" spans="1:13" x14ac:dyDescent="0.3">
      <c r="A1137" s="149"/>
      <c r="B1137" s="149"/>
      <c r="C1137" s="149"/>
      <c r="D1137" s="149"/>
      <c r="E1137" s="149"/>
      <c r="F1137" s="149"/>
      <c r="G1137" s="162"/>
      <c r="H1137" s="146" t="str">
        <f t="shared" si="90"/>
        <v/>
      </c>
      <c r="I1137" s="161" t="str">
        <f t="shared" si="91"/>
        <v/>
      </c>
      <c r="J1137" s="160" t="str">
        <f>IFERROR(INDEX(当年标准成本!I:I,MATCH(C1137,当年标准成本!C:C,0),1),"")</f>
        <v/>
      </c>
      <c r="K1137" s="146" t="str">
        <f t="shared" si="92"/>
        <v/>
      </c>
      <c r="L1137" s="146" t="str">
        <f t="shared" si="93"/>
        <v/>
      </c>
      <c r="M1137" s="148" t="str">
        <f t="shared" si="94"/>
        <v/>
      </c>
    </row>
    <row r="1138" spans="1:13" x14ac:dyDescent="0.3">
      <c r="A1138" s="149"/>
      <c r="B1138" s="149"/>
      <c r="C1138" s="149"/>
      <c r="D1138" s="149"/>
      <c r="E1138" s="149"/>
      <c r="F1138" s="149"/>
      <c r="G1138" s="162"/>
      <c r="H1138" s="146" t="str">
        <f t="shared" si="90"/>
        <v/>
      </c>
      <c r="I1138" s="161" t="str">
        <f t="shared" si="91"/>
        <v/>
      </c>
      <c r="J1138" s="160" t="str">
        <f>IFERROR(INDEX(当年标准成本!I:I,MATCH(C1138,当年标准成本!C:C,0),1),"")</f>
        <v/>
      </c>
      <c r="K1138" s="146" t="str">
        <f t="shared" si="92"/>
        <v/>
      </c>
      <c r="L1138" s="146" t="str">
        <f t="shared" si="93"/>
        <v/>
      </c>
      <c r="M1138" s="148" t="str">
        <f t="shared" si="94"/>
        <v/>
      </c>
    </row>
    <row r="1139" spans="1:13" x14ac:dyDescent="0.3">
      <c r="A1139" s="149"/>
      <c r="B1139" s="149"/>
      <c r="C1139" s="149"/>
      <c r="D1139" s="149"/>
      <c r="E1139" s="149"/>
      <c r="F1139" s="149"/>
      <c r="G1139" s="162"/>
      <c r="H1139" s="146" t="str">
        <f t="shared" si="90"/>
        <v/>
      </c>
      <c r="I1139" s="161" t="str">
        <f t="shared" si="91"/>
        <v/>
      </c>
      <c r="J1139" s="160" t="str">
        <f>IFERROR(INDEX(当年标准成本!I:I,MATCH(C1139,当年标准成本!C:C,0),1),"")</f>
        <v/>
      </c>
      <c r="K1139" s="146" t="str">
        <f t="shared" si="92"/>
        <v/>
      </c>
      <c r="L1139" s="146" t="str">
        <f t="shared" si="93"/>
        <v/>
      </c>
      <c r="M1139" s="148" t="str">
        <f t="shared" si="94"/>
        <v/>
      </c>
    </row>
    <row r="1140" spans="1:13" x14ac:dyDescent="0.3">
      <c r="A1140" s="149"/>
      <c r="B1140" s="149"/>
      <c r="C1140" s="149"/>
      <c r="D1140" s="149"/>
      <c r="E1140" s="149"/>
      <c r="F1140" s="149"/>
      <c r="G1140" s="162"/>
      <c r="H1140" s="146" t="str">
        <f t="shared" si="90"/>
        <v/>
      </c>
      <c r="I1140" s="161" t="str">
        <f t="shared" si="91"/>
        <v/>
      </c>
      <c r="J1140" s="160" t="str">
        <f>IFERROR(INDEX(当年标准成本!I:I,MATCH(C1140,当年标准成本!C:C,0),1),"")</f>
        <v/>
      </c>
      <c r="K1140" s="146" t="str">
        <f t="shared" si="92"/>
        <v/>
      </c>
      <c r="L1140" s="146" t="str">
        <f t="shared" si="93"/>
        <v/>
      </c>
      <c r="M1140" s="148" t="str">
        <f t="shared" si="94"/>
        <v/>
      </c>
    </row>
    <row r="1141" spans="1:13" x14ac:dyDescent="0.3">
      <c r="A1141" s="149"/>
      <c r="B1141" s="149"/>
      <c r="C1141" s="149"/>
      <c r="D1141" s="149"/>
      <c r="E1141" s="149"/>
      <c r="F1141" s="149"/>
      <c r="G1141" s="162"/>
      <c r="H1141" s="146" t="str">
        <f t="shared" si="90"/>
        <v/>
      </c>
      <c r="I1141" s="161" t="str">
        <f t="shared" si="91"/>
        <v/>
      </c>
      <c r="J1141" s="160" t="str">
        <f>IFERROR(INDEX(当年标准成本!I:I,MATCH(C1141,当年标准成本!C:C,0),1),"")</f>
        <v/>
      </c>
      <c r="K1141" s="146" t="str">
        <f t="shared" si="92"/>
        <v/>
      </c>
      <c r="L1141" s="146" t="str">
        <f t="shared" si="93"/>
        <v/>
      </c>
      <c r="M1141" s="148" t="str">
        <f t="shared" si="94"/>
        <v/>
      </c>
    </row>
    <row r="1142" spans="1:13" x14ac:dyDescent="0.3">
      <c r="A1142" s="149"/>
      <c r="B1142" s="149"/>
      <c r="C1142" s="149"/>
      <c r="D1142" s="149"/>
      <c r="E1142" s="149"/>
      <c r="F1142" s="149"/>
      <c r="G1142" s="162"/>
      <c r="H1142" s="146" t="str">
        <f t="shared" si="90"/>
        <v/>
      </c>
      <c r="I1142" s="161" t="str">
        <f t="shared" si="91"/>
        <v/>
      </c>
      <c r="J1142" s="160" t="str">
        <f>IFERROR(INDEX(当年标准成本!I:I,MATCH(C1142,当年标准成本!C:C,0),1),"")</f>
        <v/>
      </c>
      <c r="K1142" s="146" t="str">
        <f t="shared" si="92"/>
        <v/>
      </c>
      <c r="L1142" s="146" t="str">
        <f t="shared" si="93"/>
        <v/>
      </c>
      <c r="M1142" s="148" t="str">
        <f t="shared" si="94"/>
        <v/>
      </c>
    </row>
    <row r="1143" spans="1:13" x14ac:dyDescent="0.3">
      <c r="A1143" s="149"/>
      <c r="B1143" s="149"/>
      <c r="C1143" s="149"/>
      <c r="D1143" s="149"/>
      <c r="E1143" s="149"/>
      <c r="F1143" s="149"/>
      <c r="G1143" s="162"/>
      <c r="H1143" s="146" t="str">
        <f t="shared" si="90"/>
        <v/>
      </c>
      <c r="I1143" s="161" t="str">
        <f t="shared" si="91"/>
        <v/>
      </c>
      <c r="J1143" s="160" t="str">
        <f>IFERROR(INDEX(当年标准成本!I:I,MATCH(C1143,当年标准成本!C:C,0),1),"")</f>
        <v/>
      </c>
      <c r="K1143" s="146" t="str">
        <f t="shared" si="92"/>
        <v/>
      </c>
      <c r="L1143" s="146" t="str">
        <f t="shared" si="93"/>
        <v/>
      </c>
      <c r="M1143" s="148" t="str">
        <f t="shared" si="94"/>
        <v/>
      </c>
    </row>
    <row r="1144" spans="1:13" x14ac:dyDescent="0.3">
      <c r="A1144" s="149"/>
      <c r="B1144" s="149"/>
      <c r="C1144" s="149"/>
      <c r="D1144" s="149"/>
      <c r="E1144" s="149"/>
      <c r="F1144" s="149"/>
      <c r="G1144" s="162"/>
      <c r="H1144" s="146" t="str">
        <f t="shared" si="90"/>
        <v/>
      </c>
      <c r="I1144" s="161" t="str">
        <f t="shared" si="91"/>
        <v/>
      </c>
      <c r="J1144" s="160" t="str">
        <f>IFERROR(INDEX(当年标准成本!I:I,MATCH(C1144,当年标准成本!C:C,0),1),"")</f>
        <v/>
      </c>
      <c r="K1144" s="146" t="str">
        <f t="shared" si="92"/>
        <v/>
      </c>
      <c r="L1144" s="146" t="str">
        <f t="shared" si="93"/>
        <v/>
      </c>
      <c r="M1144" s="148" t="str">
        <f t="shared" si="94"/>
        <v/>
      </c>
    </row>
    <row r="1145" spans="1:13" x14ac:dyDescent="0.3">
      <c r="A1145" s="149"/>
      <c r="B1145" s="149"/>
      <c r="C1145" s="149"/>
      <c r="D1145" s="149"/>
      <c r="E1145" s="149"/>
      <c r="F1145" s="149"/>
      <c r="G1145" s="162"/>
      <c r="H1145" s="146" t="str">
        <f t="shared" si="90"/>
        <v/>
      </c>
      <c r="I1145" s="161" t="str">
        <f t="shared" si="91"/>
        <v/>
      </c>
      <c r="J1145" s="160" t="str">
        <f>IFERROR(INDEX(当年标准成本!I:I,MATCH(C1145,当年标准成本!C:C,0),1),"")</f>
        <v/>
      </c>
      <c r="K1145" s="146" t="str">
        <f t="shared" si="92"/>
        <v/>
      </c>
      <c r="L1145" s="146" t="str">
        <f t="shared" si="93"/>
        <v/>
      </c>
      <c r="M1145" s="148" t="str">
        <f t="shared" si="94"/>
        <v/>
      </c>
    </row>
    <row r="1146" spans="1:13" x14ac:dyDescent="0.3">
      <c r="A1146" s="149"/>
      <c r="B1146" s="149"/>
      <c r="C1146" s="149"/>
      <c r="D1146" s="149"/>
      <c r="E1146" s="149"/>
      <c r="F1146" s="149"/>
      <c r="G1146" s="162"/>
      <c r="H1146" s="146" t="str">
        <f t="shared" si="90"/>
        <v/>
      </c>
      <c r="I1146" s="161" t="str">
        <f t="shared" si="91"/>
        <v/>
      </c>
      <c r="J1146" s="160" t="str">
        <f>IFERROR(INDEX(当年标准成本!I:I,MATCH(C1146,当年标准成本!C:C,0),1),"")</f>
        <v/>
      </c>
      <c r="K1146" s="146" t="str">
        <f t="shared" si="92"/>
        <v/>
      </c>
      <c r="L1146" s="146" t="str">
        <f t="shared" si="93"/>
        <v/>
      </c>
      <c r="M1146" s="148" t="str">
        <f t="shared" si="94"/>
        <v/>
      </c>
    </row>
    <row r="1147" spans="1:13" x14ac:dyDescent="0.3">
      <c r="A1147" s="149"/>
      <c r="B1147" s="149"/>
      <c r="C1147" s="149"/>
      <c r="D1147" s="149"/>
      <c r="E1147" s="149"/>
      <c r="F1147" s="149"/>
      <c r="G1147" s="162"/>
      <c r="H1147" s="146" t="str">
        <f t="shared" si="90"/>
        <v/>
      </c>
      <c r="I1147" s="161" t="str">
        <f t="shared" si="91"/>
        <v/>
      </c>
      <c r="J1147" s="160" t="str">
        <f>IFERROR(INDEX(当年标准成本!I:I,MATCH(C1147,当年标准成本!C:C,0),1),"")</f>
        <v/>
      </c>
      <c r="K1147" s="146" t="str">
        <f t="shared" si="92"/>
        <v/>
      </c>
      <c r="L1147" s="146" t="str">
        <f t="shared" si="93"/>
        <v/>
      </c>
      <c r="M1147" s="148" t="str">
        <f t="shared" si="94"/>
        <v/>
      </c>
    </row>
    <row r="1148" spans="1:13" x14ac:dyDescent="0.3">
      <c r="A1148" s="149"/>
      <c r="B1148" s="149"/>
      <c r="C1148" s="149"/>
      <c r="D1148" s="149"/>
      <c r="E1148" s="149"/>
      <c r="F1148" s="149"/>
      <c r="G1148" s="162"/>
      <c r="H1148" s="146" t="str">
        <f t="shared" si="90"/>
        <v/>
      </c>
      <c r="I1148" s="161" t="str">
        <f t="shared" si="91"/>
        <v/>
      </c>
      <c r="J1148" s="160" t="str">
        <f>IFERROR(INDEX(当年标准成本!I:I,MATCH(C1148,当年标准成本!C:C,0),1),"")</f>
        <v/>
      </c>
      <c r="K1148" s="146" t="str">
        <f t="shared" si="92"/>
        <v/>
      </c>
      <c r="L1148" s="146" t="str">
        <f t="shared" si="93"/>
        <v/>
      </c>
      <c r="M1148" s="148" t="str">
        <f t="shared" si="94"/>
        <v/>
      </c>
    </row>
    <row r="1149" spans="1:13" x14ac:dyDescent="0.3">
      <c r="A1149" s="149"/>
      <c r="B1149" s="149"/>
      <c r="C1149" s="149"/>
      <c r="D1149" s="149"/>
      <c r="E1149" s="149"/>
      <c r="F1149" s="149"/>
      <c r="G1149" s="162"/>
      <c r="H1149" s="146" t="str">
        <f t="shared" si="90"/>
        <v/>
      </c>
      <c r="I1149" s="161" t="str">
        <f t="shared" si="91"/>
        <v/>
      </c>
      <c r="J1149" s="160" t="str">
        <f>IFERROR(INDEX(当年标准成本!I:I,MATCH(C1149,当年标准成本!C:C,0),1),"")</f>
        <v/>
      </c>
      <c r="K1149" s="146" t="str">
        <f t="shared" si="92"/>
        <v/>
      </c>
      <c r="L1149" s="146" t="str">
        <f t="shared" si="93"/>
        <v/>
      </c>
      <c r="M1149" s="148" t="str">
        <f t="shared" si="94"/>
        <v/>
      </c>
    </row>
    <row r="1150" spans="1:13" x14ac:dyDescent="0.3">
      <c r="A1150" s="149"/>
      <c r="B1150" s="149"/>
      <c r="C1150" s="149"/>
      <c r="D1150" s="149"/>
      <c r="E1150" s="149"/>
      <c r="F1150" s="149"/>
      <c r="G1150" s="162"/>
      <c r="H1150" s="146" t="str">
        <f t="shared" si="90"/>
        <v/>
      </c>
      <c r="I1150" s="161" t="str">
        <f t="shared" si="91"/>
        <v/>
      </c>
      <c r="J1150" s="160" t="str">
        <f>IFERROR(INDEX(当年标准成本!I:I,MATCH(C1150,当年标准成本!C:C,0),1),"")</f>
        <v/>
      </c>
      <c r="K1150" s="146" t="str">
        <f t="shared" si="92"/>
        <v/>
      </c>
      <c r="L1150" s="146" t="str">
        <f t="shared" si="93"/>
        <v/>
      </c>
      <c r="M1150" s="148" t="str">
        <f t="shared" si="94"/>
        <v/>
      </c>
    </row>
    <row r="1151" spans="1:13" x14ac:dyDescent="0.3">
      <c r="A1151" s="149"/>
      <c r="B1151" s="149"/>
      <c r="C1151" s="149"/>
      <c r="D1151" s="149"/>
      <c r="E1151" s="149"/>
      <c r="F1151" s="149"/>
      <c r="G1151" s="162"/>
      <c r="H1151" s="146" t="str">
        <f t="shared" si="90"/>
        <v/>
      </c>
      <c r="I1151" s="161" t="str">
        <f t="shared" si="91"/>
        <v/>
      </c>
      <c r="J1151" s="160" t="str">
        <f>IFERROR(INDEX(当年标准成本!I:I,MATCH(C1151,当年标准成本!C:C,0),1),"")</f>
        <v/>
      </c>
      <c r="K1151" s="146" t="str">
        <f t="shared" si="92"/>
        <v/>
      </c>
      <c r="L1151" s="146" t="str">
        <f t="shared" si="93"/>
        <v/>
      </c>
      <c r="M1151" s="148" t="str">
        <f t="shared" si="94"/>
        <v/>
      </c>
    </row>
    <row r="1152" spans="1:13" x14ac:dyDescent="0.3">
      <c r="A1152" s="149"/>
      <c r="B1152" s="149"/>
      <c r="C1152" s="149"/>
      <c r="D1152" s="149"/>
      <c r="E1152" s="149"/>
      <c r="F1152" s="149"/>
      <c r="G1152" s="162"/>
      <c r="H1152" s="146" t="str">
        <f t="shared" si="90"/>
        <v/>
      </c>
      <c r="I1152" s="161" t="str">
        <f t="shared" si="91"/>
        <v/>
      </c>
      <c r="J1152" s="160" t="str">
        <f>IFERROR(INDEX(当年标准成本!I:I,MATCH(C1152,当年标准成本!C:C,0),1),"")</f>
        <v/>
      </c>
      <c r="K1152" s="146" t="str">
        <f t="shared" si="92"/>
        <v/>
      </c>
      <c r="L1152" s="146" t="str">
        <f t="shared" si="93"/>
        <v/>
      </c>
      <c r="M1152" s="148" t="str">
        <f t="shared" si="94"/>
        <v/>
      </c>
    </row>
    <row r="1153" spans="1:13" x14ac:dyDescent="0.3">
      <c r="A1153" s="149"/>
      <c r="B1153" s="149"/>
      <c r="C1153" s="149"/>
      <c r="D1153" s="149"/>
      <c r="E1153" s="149"/>
      <c r="F1153" s="149"/>
      <c r="G1153" s="162"/>
      <c r="H1153" s="146" t="str">
        <f t="shared" si="90"/>
        <v/>
      </c>
      <c r="I1153" s="161" t="str">
        <f t="shared" si="91"/>
        <v/>
      </c>
      <c r="J1153" s="160" t="str">
        <f>IFERROR(INDEX(当年标准成本!I:I,MATCH(C1153,当年标准成本!C:C,0),1),"")</f>
        <v/>
      </c>
      <c r="K1153" s="146" t="str">
        <f t="shared" si="92"/>
        <v/>
      </c>
      <c r="L1153" s="146" t="str">
        <f t="shared" si="93"/>
        <v/>
      </c>
      <c r="M1153" s="148" t="str">
        <f t="shared" si="94"/>
        <v/>
      </c>
    </row>
    <row r="1154" spans="1:13" x14ac:dyDescent="0.3">
      <c r="A1154" s="149"/>
      <c r="B1154" s="149"/>
      <c r="C1154" s="149"/>
      <c r="D1154" s="149"/>
      <c r="E1154" s="149"/>
      <c r="F1154" s="149"/>
      <c r="G1154" s="162"/>
      <c r="H1154" s="146" t="str">
        <f t="shared" si="90"/>
        <v/>
      </c>
      <c r="I1154" s="161" t="str">
        <f t="shared" si="91"/>
        <v/>
      </c>
      <c r="J1154" s="160" t="str">
        <f>IFERROR(INDEX(当年标准成本!I:I,MATCH(C1154,当年标准成本!C:C,0),1),"")</f>
        <v/>
      </c>
      <c r="K1154" s="146" t="str">
        <f t="shared" si="92"/>
        <v/>
      </c>
      <c r="L1154" s="146" t="str">
        <f t="shared" si="93"/>
        <v/>
      </c>
      <c r="M1154" s="148" t="str">
        <f t="shared" si="94"/>
        <v/>
      </c>
    </row>
    <row r="1155" spans="1:13" x14ac:dyDescent="0.3">
      <c r="A1155" s="149"/>
      <c r="B1155" s="149"/>
      <c r="C1155" s="149"/>
      <c r="D1155" s="149"/>
      <c r="E1155" s="149"/>
      <c r="F1155" s="149"/>
      <c r="G1155" s="162"/>
      <c r="H1155" s="146" t="str">
        <f t="shared" si="90"/>
        <v/>
      </c>
      <c r="I1155" s="161" t="str">
        <f t="shared" si="91"/>
        <v/>
      </c>
      <c r="J1155" s="160" t="str">
        <f>IFERROR(INDEX(当年标准成本!I:I,MATCH(C1155,当年标准成本!C:C,0),1),"")</f>
        <v/>
      </c>
      <c r="K1155" s="146" t="str">
        <f t="shared" si="92"/>
        <v/>
      </c>
      <c r="L1155" s="146" t="str">
        <f t="shared" si="93"/>
        <v/>
      </c>
      <c r="M1155" s="148" t="str">
        <f t="shared" si="94"/>
        <v/>
      </c>
    </row>
    <row r="1156" spans="1:13" x14ac:dyDescent="0.3">
      <c r="A1156" s="149"/>
      <c r="B1156" s="149"/>
      <c r="C1156" s="149"/>
      <c r="D1156" s="149"/>
      <c r="E1156" s="149"/>
      <c r="F1156" s="149"/>
      <c r="G1156" s="162"/>
      <c r="H1156" s="146" t="str">
        <f t="shared" si="90"/>
        <v/>
      </c>
      <c r="I1156" s="161" t="str">
        <f t="shared" si="91"/>
        <v/>
      </c>
      <c r="J1156" s="160" t="str">
        <f>IFERROR(INDEX(当年标准成本!I:I,MATCH(C1156,当年标准成本!C:C,0),1),"")</f>
        <v/>
      </c>
      <c r="K1156" s="146" t="str">
        <f t="shared" si="92"/>
        <v/>
      </c>
      <c r="L1156" s="146" t="str">
        <f t="shared" si="93"/>
        <v/>
      </c>
      <c r="M1156" s="148" t="str">
        <f t="shared" si="94"/>
        <v/>
      </c>
    </row>
    <row r="1157" spans="1:13" x14ac:dyDescent="0.3">
      <c r="A1157" s="149"/>
      <c r="B1157" s="149"/>
      <c r="C1157" s="149"/>
      <c r="D1157" s="149"/>
      <c r="E1157" s="149"/>
      <c r="F1157" s="149"/>
      <c r="G1157" s="162"/>
      <c r="H1157" s="146" t="str">
        <f t="shared" si="90"/>
        <v/>
      </c>
      <c r="I1157" s="161" t="str">
        <f t="shared" si="91"/>
        <v/>
      </c>
      <c r="J1157" s="160" t="str">
        <f>IFERROR(INDEX(当年标准成本!I:I,MATCH(C1157,当年标准成本!C:C,0),1),"")</f>
        <v/>
      </c>
      <c r="K1157" s="146" t="str">
        <f t="shared" si="92"/>
        <v/>
      </c>
      <c r="L1157" s="146" t="str">
        <f t="shared" si="93"/>
        <v/>
      </c>
      <c r="M1157" s="148" t="str">
        <f t="shared" si="94"/>
        <v/>
      </c>
    </row>
    <row r="1158" spans="1:13" x14ac:dyDescent="0.3">
      <c r="A1158" s="149"/>
      <c r="B1158" s="149"/>
      <c r="C1158" s="149"/>
      <c r="D1158" s="149"/>
      <c r="E1158" s="149"/>
      <c r="F1158" s="149"/>
      <c r="G1158" s="162"/>
      <c r="H1158" s="146" t="str">
        <f t="shared" si="90"/>
        <v/>
      </c>
      <c r="I1158" s="161" t="str">
        <f t="shared" si="91"/>
        <v/>
      </c>
      <c r="J1158" s="160" t="str">
        <f>IFERROR(INDEX(当年标准成本!I:I,MATCH(C1158,当年标准成本!C:C,0),1),"")</f>
        <v/>
      </c>
      <c r="K1158" s="146" t="str">
        <f t="shared" si="92"/>
        <v/>
      </c>
      <c r="L1158" s="146" t="str">
        <f t="shared" si="93"/>
        <v/>
      </c>
      <c r="M1158" s="148" t="str">
        <f t="shared" si="94"/>
        <v/>
      </c>
    </row>
    <row r="1159" spans="1:13" x14ac:dyDescent="0.3">
      <c r="A1159" s="149"/>
      <c r="B1159" s="149"/>
      <c r="C1159" s="149"/>
      <c r="D1159" s="149"/>
      <c r="E1159" s="149"/>
      <c r="F1159" s="149"/>
      <c r="G1159" s="162"/>
      <c r="H1159" s="146" t="str">
        <f t="shared" si="90"/>
        <v/>
      </c>
      <c r="I1159" s="161" t="str">
        <f t="shared" si="91"/>
        <v/>
      </c>
      <c r="J1159" s="160" t="str">
        <f>IFERROR(INDEX(当年标准成本!I:I,MATCH(C1159,当年标准成本!C:C,0),1),"")</f>
        <v/>
      </c>
      <c r="K1159" s="146" t="str">
        <f t="shared" si="92"/>
        <v/>
      </c>
      <c r="L1159" s="146" t="str">
        <f t="shared" si="93"/>
        <v/>
      </c>
      <c r="M1159" s="148" t="str">
        <f t="shared" si="94"/>
        <v/>
      </c>
    </row>
    <row r="1160" spans="1:13" x14ac:dyDescent="0.3">
      <c r="A1160" s="149"/>
      <c r="B1160" s="149"/>
      <c r="C1160" s="149"/>
      <c r="D1160" s="149"/>
      <c r="E1160" s="149"/>
      <c r="F1160" s="149"/>
      <c r="G1160" s="162"/>
      <c r="H1160" s="146" t="str">
        <f t="shared" si="90"/>
        <v/>
      </c>
      <c r="I1160" s="161" t="str">
        <f t="shared" si="91"/>
        <v/>
      </c>
      <c r="J1160" s="160" t="str">
        <f>IFERROR(INDEX(当年标准成本!I:I,MATCH(C1160,当年标准成本!C:C,0),1),"")</f>
        <v/>
      </c>
      <c r="K1160" s="146" t="str">
        <f t="shared" si="92"/>
        <v/>
      </c>
      <c r="L1160" s="146" t="str">
        <f t="shared" si="93"/>
        <v/>
      </c>
      <c r="M1160" s="148" t="str">
        <f t="shared" si="94"/>
        <v/>
      </c>
    </row>
    <row r="1161" spans="1:13" x14ac:dyDescent="0.3">
      <c r="A1161" s="149"/>
      <c r="B1161" s="149"/>
      <c r="C1161" s="149"/>
      <c r="D1161" s="149"/>
      <c r="E1161" s="149"/>
      <c r="F1161" s="149"/>
      <c r="G1161" s="162"/>
      <c r="H1161" s="146" t="str">
        <f t="shared" si="90"/>
        <v/>
      </c>
      <c r="I1161" s="161" t="str">
        <f t="shared" si="91"/>
        <v/>
      </c>
      <c r="J1161" s="160" t="str">
        <f>IFERROR(INDEX(当年标准成本!I:I,MATCH(C1161,当年标准成本!C:C,0),1),"")</f>
        <v/>
      </c>
      <c r="K1161" s="146" t="str">
        <f t="shared" si="92"/>
        <v/>
      </c>
      <c r="L1161" s="146" t="str">
        <f t="shared" si="93"/>
        <v/>
      </c>
      <c r="M1161" s="148" t="str">
        <f t="shared" si="94"/>
        <v/>
      </c>
    </row>
    <row r="1162" spans="1:13" x14ac:dyDescent="0.3">
      <c r="A1162" s="149"/>
      <c r="B1162" s="149"/>
      <c r="C1162" s="149"/>
      <c r="D1162" s="149"/>
      <c r="E1162" s="149"/>
      <c r="F1162" s="149"/>
      <c r="G1162" s="162"/>
      <c r="H1162" s="146" t="str">
        <f t="shared" si="90"/>
        <v/>
      </c>
      <c r="I1162" s="161" t="str">
        <f t="shared" si="91"/>
        <v/>
      </c>
      <c r="J1162" s="160" t="str">
        <f>IFERROR(INDEX(当年标准成本!I:I,MATCH(C1162,当年标准成本!C:C,0),1),"")</f>
        <v/>
      </c>
      <c r="K1162" s="146" t="str">
        <f t="shared" si="92"/>
        <v/>
      </c>
      <c r="L1162" s="146" t="str">
        <f t="shared" si="93"/>
        <v/>
      </c>
      <c r="M1162" s="148" t="str">
        <f t="shared" si="94"/>
        <v/>
      </c>
    </row>
    <row r="1163" spans="1:13" x14ac:dyDescent="0.3">
      <c r="A1163" s="149"/>
      <c r="B1163" s="149"/>
      <c r="C1163" s="149"/>
      <c r="D1163" s="149"/>
      <c r="E1163" s="149"/>
      <c r="F1163" s="149"/>
      <c r="G1163" s="162"/>
      <c r="H1163" s="146" t="str">
        <f t="shared" si="90"/>
        <v/>
      </c>
      <c r="I1163" s="161" t="str">
        <f t="shared" si="91"/>
        <v/>
      </c>
      <c r="J1163" s="160" t="str">
        <f>IFERROR(INDEX(当年标准成本!I:I,MATCH(C1163,当年标准成本!C:C,0),1),"")</f>
        <v/>
      </c>
      <c r="K1163" s="146" t="str">
        <f t="shared" si="92"/>
        <v/>
      </c>
      <c r="L1163" s="146" t="str">
        <f t="shared" si="93"/>
        <v/>
      </c>
      <c r="M1163" s="148" t="str">
        <f t="shared" si="94"/>
        <v/>
      </c>
    </row>
    <row r="1164" spans="1:13" x14ac:dyDescent="0.3">
      <c r="A1164" s="149"/>
      <c r="B1164" s="149"/>
      <c r="C1164" s="149"/>
      <c r="D1164" s="149"/>
      <c r="E1164" s="149"/>
      <c r="F1164" s="149"/>
      <c r="G1164" s="162"/>
      <c r="H1164" s="146" t="str">
        <f t="shared" ref="H1164:H1200" si="95">IFERROR(F1164/E1164,"")</f>
        <v/>
      </c>
      <c r="I1164" s="161" t="str">
        <f t="shared" ref="I1164:I1200" si="96">IFERROR(H1164*(1+G1164),"")</f>
        <v/>
      </c>
      <c r="J1164" s="160" t="str">
        <f>IFERROR(INDEX(当年标准成本!I:I,MATCH(C1164,当年标准成本!C:C,0),1),"")</f>
        <v/>
      </c>
      <c r="K1164" s="146" t="str">
        <f t="shared" ref="K1164:K1200" si="97">IFERROR(E1164*J1164,"")</f>
        <v/>
      </c>
      <c r="L1164" s="146" t="str">
        <f t="shared" ref="L1164:L1200" si="98">IFERROR(F1164-K1164,"")</f>
        <v/>
      </c>
      <c r="M1164" s="148" t="str">
        <f t="shared" ref="M1164:M1200" si="99">IFERROR(L1164/F1164,"")</f>
        <v/>
      </c>
    </row>
    <row r="1165" spans="1:13" x14ac:dyDescent="0.3">
      <c r="A1165" s="149"/>
      <c r="B1165" s="149"/>
      <c r="C1165" s="149"/>
      <c r="D1165" s="149"/>
      <c r="E1165" s="149"/>
      <c r="F1165" s="149"/>
      <c r="G1165" s="162"/>
      <c r="H1165" s="146" t="str">
        <f t="shared" si="95"/>
        <v/>
      </c>
      <c r="I1165" s="161" t="str">
        <f t="shared" si="96"/>
        <v/>
      </c>
      <c r="J1165" s="160" t="str">
        <f>IFERROR(INDEX(当年标准成本!I:I,MATCH(C1165,当年标准成本!C:C,0),1),"")</f>
        <v/>
      </c>
      <c r="K1165" s="146" t="str">
        <f t="shared" si="97"/>
        <v/>
      </c>
      <c r="L1165" s="146" t="str">
        <f t="shared" si="98"/>
        <v/>
      </c>
      <c r="M1165" s="148" t="str">
        <f t="shared" si="99"/>
        <v/>
      </c>
    </row>
    <row r="1166" spans="1:13" x14ac:dyDescent="0.3">
      <c r="A1166" s="149"/>
      <c r="B1166" s="149"/>
      <c r="C1166" s="149"/>
      <c r="D1166" s="149"/>
      <c r="E1166" s="149"/>
      <c r="F1166" s="149"/>
      <c r="G1166" s="162"/>
      <c r="H1166" s="146" t="str">
        <f t="shared" si="95"/>
        <v/>
      </c>
      <c r="I1166" s="161" t="str">
        <f t="shared" si="96"/>
        <v/>
      </c>
      <c r="J1166" s="160" t="str">
        <f>IFERROR(INDEX(当年标准成本!I:I,MATCH(C1166,当年标准成本!C:C,0),1),"")</f>
        <v/>
      </c>
      <c r="K1166" s="146" t="str">
        <f t="shared" si="97"/>
        <v/>
      </c>
      <c r="L1166" s="146" t="str">
        <f t="shared" si="98"/>
        <v/>
      </c>
      <c r="M1166" s="148" t="str">
        <f t="shared" si="99"/>
        <v/>
      </c>
    </row>
    <row r="1167" spans="1:13" x14ac:dyDescent="0.3">
      <c r="A1167" s="149"/>
      <c r="B1167" s="149"/>
      <c r="C1167" s="149"/>
      <c r="D1167" s="149"/>
      <c r="E1167" s="149"/>
      <c r="F1167" s="149"/>
      <c r="G1167" s="162"/>
      <c r="H1167" s="146" t="str">
        <f t="shared" si="95"/>
        <v/>
      </c>
      <c r="I1167" s="161" t="str">
        <f t="shared" si="96"/>
        <v/>
      </c>
      <c r="J1167" s="160" t="str">
        <f>IFERROR(INDEX(当年标准成本!I:I,MATCH(C1167,当年标准成本!C:C,0),1),"")</f>
        <v/>
      </c>
      <c r="K1167" s="146" t="str">
        <f t="shared" si="97"/>
        <v/>
      </c>
      <c r="L1167" s="146" t="str">
        <f t="shared" si="98"/>
        <v/>
      </c>
      <c r="M1167" s="148" t="str">
        <f t="shared" si="99"/>
        <v/>
      </c>
    </row>
    <row r="1168" spans="1:13" x14ac:dyDescent="0.3">
      <c r="A1168" s="149"/>
      <c r="B1168" s="149"/>
      <c r="C1168" s="149"/>
      <c r="D1168" s="149"/>
      <c r="E1168" s="149"/>
      <c r="F1168" s="149"/>
      <c r="G1168" s="162"/>
      <c r="H1168" s="146" t="str">
        <f t="shared" si="95"/>
        <v/>
      </c>
      <c r="I1168" s="161" t="str">
        <f t="shared" si="96"/>
        <v/>
      </c>
      <c r="J1168" s="160" t="str">
        <f>IFERROR(INDEX(当年标准成本!I:I,MATCH(C1168,当年标准成本!C:C,0),1),"")</f>
        <v/>
      </c>
      <c r="K1168" s="146" t="str">
        <f t="shared" si="97"/>
        <v/>
      </c>
      <c r="L1168" s="146" t="str">
        <f t="shared" si="98"/>
        <v/>
      </c>
      <c r="M1168" s="148" t="str">
        <f t="shared" si="99"/>
        <v/>
      </c>
    </row>
    <row r="1169" spans="1:13" x14ac:dyDescent="0.3">
      <c r="A1169" s="149"/>
      <c r="B1169" s="149"/>
      <c r="C1169" s="149"/>
      <c r="D1169" s="149"/>
      <c r="E1169" s="149"/>
      <c r="F1169" s="149"/>
      <c r="G1169" s="162"/>
      <c r="H1169" s="146" t="str">
        <f t="shared" si="95"/>
        <v/>
      </c>
      <c r="I1169" s="161" t="str">
        <f t="shared" si="96"/>
        <v/>
      </c>
      <c r="J1169" s="160" t="str">
        <f>IFERROR(INDEX(当年标准成本!I:I,MATCH(C1169,当年标准成本!C:C,0),1),"")</f>
        <v/>
      </c>
      <c r="K1169" s="146" t="str">
        <f t="shared" si="97"/>
        <v/>
      </c>
      <c r="L1169" s="146" t="str">
        <f t="shared" si="98"/>
        <v/>
      </c>
      <c r="M1169" s="148" t="str">
        <f t="shared" si="99"/>
        <v/>
      </c>
    </row>
    <row r="1170" spans="1:13" x14ac:dyDescent="0.3">
      <c r="A1170" s="149"/>
      <c r="B1170" s="149"/>
      <c r="C1170" s="149"/>
      <c r="D1170" s="149"/>
      <c r="E1170" s="149"/>
      <c r="F1170" s="149"/>
      <c r="G1170" s="162"/>
      <c r="H1170" s="146" t="str">
        <f t="shared" si="95"/>
        <v/>
      </c>
      <c r="I1170" s="161" t="str">
        <f t="shared" si="96"/>
        <v/>
      </c>
      <c r="J1170" s="160" t="str">
        <f>IFERROR(INDEX(当年标准成本!I:I,MATCH(C1170,当年标准成本!C:C,0),1),"")</f>
        <v/>
      </c>
      <c r="K1170" s="146" t="str">
        <f t="shared" si="97"/>
        <v/>
      </c>
      <c r="L1170" s="146" t="str">
        <f t="shared" si="98"/>
        <v/>
      </c>
      <c r="M1170" s="148" t="str">
        <f t="shared" si="99"/>
        <v/>
      </c>
    </row>
    <row r="1171" spans="1:13" x14ac:dyDescent="0.3">
      <c r="A1171" s="149"/>
      <c r="B1171" s="149"/>
      <c r="C1171" s="149"/>
      <c r="D1171" s="149"/>
      <c r="E1171" s="149"/>
      <c r="F1171" s="149"/>
      <c r="G1171" s="162"/>
      <c r="H1171" s="146" t="str">
        <f t="shared" si="95"/>
        <v/>
      </c>
      <c r="I1171" s="161" t="str">
        <f t="shared" si="96"/>
        <v/>
      </c>
      <c r="J1171" s="160" t="str">
        <f>IFERROR(INDEX(当年标准成本!I:I,MATCH(C1171,当年标准成本!C:C,0),1),"")</f>
        <v/>
      </c>
      <c r="K1171" s="146" t="str">
        <f t="shared" si="97"/>
        <v/>
      </c>
      <c r="L1171" s="146" t="str">
        <f t="shared" si="98"/>
        <v/>
      </c>
      <c r="M1171" s="148" t="str">
        <f t="shared" si="99"/>
        <v/>
      </c>
    </row>
    <row r="1172" spans="1:13" x14ac:dyDescent="0.3">
      <c r="A1172" s="149"/>
      <c r="B1172" s="149"/>
      <c r="C1172" s="149"/>
      <c r="D1172" s="149"/>
      <c r="E1172" s="149"/>
      <c r="F1172" s="149"/>
      <c r="G1172" s="162"/>
      <c r="H1172" s="146" t="str">
        <f t="shared" si="95"/>
        <v/>
      </c>
      <c r="I1172" s="161" t="str">
        <f t="shared" si="96"/>
        <v/>
      </c>
      <c r="J1172" s="160" t="str">
        <f>IFERROR(INDEX(当年标准成本!I:I,MATCH(C1172,当年标准成本!C:C,0),1),"")</f>
        <v/>
      </c>
      <c r="K1172" s="146" t="str">
        <f t="shared" si="97"/>
        <v/>
      </c>
      <c r="L1172" s="146" t="str">
        <f t="shared" si="98"/>
        <v/>
      </c>
      <c r="M1172" s="148" t="str">
        <f t="shared" si="99"/>
        <v/>
      </c>
    </row>
    <row r="1173" spans="1:13" x14ac:dyDescent="0.3">
      <c r="A1173" s="149"/>
      <c r="B1173" s="149"/>
      <c r="C1173" s="149"/>
      <c r="D1173" s="149"/>
      <c r="E1173" s="149"/>
      <c r="F1173" s="149"/>
      <c r="G1173" s="162"/>
      <c r="H1173" s="146" t="str">
        <f t="shared" si="95"/>
        <v/>
      </c>
      <c r="I1173" s="161" t="str">
        <f t="shared" si="96"/>
        <v/>
      </c>
      <c r="J1173" s="160" t="str">
        <f>IFERROR(INDEX(当年标准成本!I:I,MATCH(C1173,当年标准成本!C:C,0),1),"")</f>
        <v/>
      </c>
      <c r="K1173" s="146" t="str">
        <f t="shared" si="97"/>
        <v/>
      </c>
      <c r="L1173" s="146" t="str">
        <f t="shared" si="98"/>
        <v/>
      </c>
      <c r="M1173" s="148" t="str">
        <f t="shared" si="99"/>
        <v/>
      </c>
    </row>
    <row r="1174" spans="1:13" x14ac:dyDescent="0.3">
      <c r="A1174" s="149"/>
      <c r="B1174" s="149"/>
      <c r="C1174" s="149"/>
      <c r="D1174" s="149"/>
      <c r="E1174" s="149"/>
      <c r="F1174" s="149"/>
      <c r="G1174" s="162"/>
      <c r="H1174" s="146" t="str">
        <f t="shared" si="95"/>
        <v/>
      </c>
      <c r="I1174" s="161" t="str">
        <f t="shared" si="96"/>
        <v/>
      </c>
      <c r="J1174" s="160" t="str">
        <f>IFERROR(INDEX(当年标准成本!I:I,MATCH(C1174,当年标准成本!C:C,0),1),"")</f>
        <v/>
      </c>
      <c r="K1174" s="146" t="str">
        <f t="shared" si="97"/>
        <v/>
      </c>
      <c r="L1174" s="146" t="str">
        <f t="shared" si="98"/>
        <v/>
      </c>
      <c r="M1174" s="148" t="str">
        <f t="shared" si="99"/>
        <v/>
      </c>
    </row>
    <row r="1175" spans="1:13" x14ac:dyDescent="0.3">
      <c r="A1175" s="149"/>
      <c r="B1175" s="149"/>
      <c r="C1175" s="149"/>
      <c r="D1175" s="149"/>
      <c r="E1175" s="149"/>
      <c r="F1175" s="149"/>
      <c r="G1175" s="162"/>
      <c r="H1175" s="146" t="str">
        <f t="shared" si="95"/>
        <v/>
      </c>
      <c r="I1175" s="161" t="str">
        <f t="shared" si="96"/>
        <v/>
      </c>
      <c r="J1175" s="160" t="str">
        <f>IFERROR(INDEX(当年标准成本!I:I,MATCH(C1175,当年标准成本!C:C,0),1),"")</f>
        <v/>
      </c>
      <c r="K1175" s="146" t="str">
        <f t="shared" si="97"/>
        <v/>
      </c>
      <c r="L1175" s="146" t="str">
        <f t="shared" si="98"/>
        <v/>
      </c>
      <c r="M1175" s="148" t="str">
        <f t="shared" si="99"/>
        <v/>
      </c>
    </row>
    <row r="1176" spans="1:13" x14ac:dyDescent="0.3">
      <c r="A1176" s="149"/>
      <c r="B1176" s="149"/>
      <c r="C1176" s="149"/>
      <c r="D1176" s="149"/>
      <c r="E1176" s="149"/>
      <c r="F1176" s="149"/>
      <c r="G1176" s="162"/>
      <c r="H1176" s="146" t="str">
        <f t="shared" si="95"/>
        <v/>
      </c>
      <c r="I1176" s="161" t="str">
        <f t="shared" si="96"/>
        <v/>
      </c>
      <c r="J1176" s="160" t="str">
        <f>IFERROR(INDEX(当年标准成本!I:I,MATCH(C1176,当年标准成本!C:C,0),1),"")</f>
        <v/>
      </c>
      <c r="K1176" s="146" t="str">
        <f t="shared" si="97"/>
        <v/>
      </c>
      <c r="L1176" s="146" t="str">
        <f t="shared" si="98"/>
        <v/>
      </c>
      <c r="M1176" s="148" t="str">
        <f t="shared" si="99"/>
        <v/>
      </c>
    </row>
    <row r="1177" spans="1:13" x14ac:dyDescent="0.3">
      <c r="A1177" s="149"/>
      <c r="B1177" s="149"/>
      <c r="C1177" s="149"/>
      <c r="D1177" s="149"/>
      <c r="E1177" s="149"/>
      <c r="F1177" s="149"/>
      <c r="G1177" s="162"/>
      <c r="H1177" s="146" t="str">
        <f t="shared" si="95"/>
        <v/>
      </c>
      <c r="I1177" s="161" t="str">
        <f t="shared" si="96"/>
        <v/>
      </c>
      <c r="J1177" s="160" t="str">
        <f>IFERROR(INDEX(当年标准成本!I:I,MATCH(C1177,当年标准成本!C:C,0),1),"")</f>
        <v/>
      </c>
      <c r="K1177" s="146" t="str">
        <f t="shared" si="97"/>
        <v/>
      </c>
      <c r="L1177" s="146" t="str">
        <f t="shared" si="98"/>
        <v/>
      </c>
      <c r="M1177" s="148" t="str">
        <f t="shared" si="99"/>
        <v/>
      </c>
    </row>
    <row r="1178" spans="1:13" x14ac:dyDescent="0.3">
      <c r="A1178" s="149"/>
      <c r="B1178" s="149"/>
      <c r="C1178" s="149"/>
      <c r="D1178" s="149"/>
      <c r="E1178" s="149"/>
      <c r="F1178" s="149"/>
      <c r="G1178" s="162"/>
      <c r="H1178" s="146" t="str">
        <f t="shared" si="95"/>
        <v/>
      </c>
      <c r="I1178" s="161" t="str">
        <f t="shared" si="96"/>
        <v/>
      </c>
      <c r="J1178" s="160" t="str">
        <f>IFERROR(INDEX(当年标准成本!I:I,MATCH(C1178,当年标准成本!C:C,0),1),"")</f>
        <v/>
      </c>
      <c r="K1178" s="146" t="str">
        <f t="shared" si="97"/>
        <v/>
      </c>
      <c r="L1178" s="146" t="str">
        <f t="shared" si="98"/>
        <v/>
      </c>
      <c r="M1178" s="148" t="str">
        <f t="shared" si="99"/>
        <v/>
      </c>
    </row>
    <row r="1179" spans="1:13" x14ac:dyDescent="0.3">
      <c r="A1179" s="149"/>
      <c r="B1179" s="149"/>
      <c r="C1179" s="149"/>
      <c r="D1179" s="149"/>
      <c r="E1179" s="149"/>
      <c r="F1179" s="149"/>
      <c r="G1179" s="162"/>
      <c r="H1179" s="146" t="str">
        <f t="shared" si="95"/>
        <v/>
      </c>
      <c r="I1179" s="161" t="str">
        <f t="shared" si="96"/>
        <v/>
      </c>
      <c r="J1179" s="160" t="str">
        <f>IFERROR(INDEX(当年标准成本!I:I,MATCH(C1179,当年标准成本!C:C,0),1),"")</f>
        <v/>
      </c>
      <c r="K1179" s="146" t="str">
        <f t="shared" si="97"/>
        <v/>
      </c>
      <c r="L1179" s="146" t="str">
        <f t="shared" si="98"/>
        <v/>
      </c>
      <c r="M1179" s="148" t="str">
        <f t="shared" si="99"/>
        <v/>
      </c>
    </row>
    <row r="1180" spans="1:13" x14ac:dyDescent="0.3">
      <c r="A1180" s="149"/>
      <c r="B1180" s="149"/>
      <c r="C1180" s="149"/>
      <c r="D1180" s="149"/>
      <c r="E1180" s="149"/>
      <c r="F1180" s="149"/>
      <c r="G1180" s="162"/>
      <c r="H1180" s="146" t="str">
        <f t="shared" si="95"/>
        <v/>
      </c>
      <c r="I1180" s="161" t="str">
        <f t="shared" si="96"/>
        <v/>
      </c>
      <c r="J1180" s="160" t="str">
        <f>IFERROR(INDEX(当年标准成本!I:I,MATCH(C1180,当年标准成本!C:C,0),1),"")</f>
        <v/>
      </c>
      <c r="K1180" s="146" t="str">
        <f t="shared" si="97"/>
        <v/>
      </c>
      <c r="L1180" s="146" t="str">
        <f t="shared" si="98"/>
        <v/>
      </c>
      <c r="M1180" s="148" t="str">
        <f t="shared" si="99"/>
        <v/>
      </c>
    </row>
    <row r="1181" spans="1:13" x14ac:dyDescent="0.3">
      <c r="A1181" s="149"/>
      <c r="B1181" s="149"/>
      <c r="C1181" s="149"/>
      <c r="D1181" s="149"/>
      <c r="E1181" s="149"/>
      <c r="F1181" s="149"/>
      <c r="G1181" s="162"/>
      <c r="H1181" s="146" t="str">
        <f t="shared" si="95"/>
        <v/>
      </c>
      <c r="I1181" s="161" t="str">
        <f t="shared" si="96"/>
        <v/>
      </c>
      <c r="J1181" s="160" t="str">
        <f>IFERROR(INDEX(当年标准成本!I:I,MATCH(C1181,当年标准成本!C:C,0),1),"")</f>
        <v/>
      </c>
      <c r="K1181" s="146" t="str">
        <f t="shared" si="97"/>
        <v/>
      </c>
      <c r="L1181" s="146" t="str">
        <f t="shared" si="98"/>
        <v/>
      </c>
      <c r="M1181" s="148" t="str">
        <f t="shared" si="99"/>
        <v/>
      </c>
    </row>
    <row r="1182" spans="1:13" x14ac:dyDescent="0.3">
      <c r="A1182" s="149"/>
      <c r="B1182" s="149"/>
      <c r="C1182" s="149"/>
      <c r="D1182" s="149"/>
      <c r="E1182" s="149"/>
      <c r="F1182" s="149"/>
      <c r="G1182" s="162"/>
      <c r="H1182" s="146" t="str">
        <f t="shared" si="95"/>
        <v/>
      </c>
      <c r="I1182" s="161" t="str">
        <f t="shared" si="96"/>
        <v/>
      </c>
      <c r="J1182" s="160" t="str">
        <f>IFERROR(INDEX(当年标准成本!I:I,MATCH(C1182,当年标准成本!C:C,0),1),"")</f>
        <v/>
      </c>
      <c r="K1182" s="146" t="str">
        <f t="shared" si="97"/>
        <v/>
      </c>
      <c r="L1182" s="146" t="str">
        <f t="shared" si="98"/>
        <v/>
      </c>
      <c r="M1182" s="148" t="str">
        <f t="shared" si="99"/>
        <v/>
      </c>
    </row>
    <row r="1183" spans="1:13" x14ac:dyDescent="0.3">
      <c r="A1183" s="149"/>
      <c r="B1183" s="149"/>
      <c r="C1183" s="149"/>
      <c r="D1183" s="149"/>
      <c r="E1183" s="149"/>
      <c r="F1183" s="149"/>
      <c r="G1183" s="162"/>
      <c r="H1183" s="146" t="str">
        <f t="shared" si="95"/>
        <v/>
      </c>
      <c r="I1183" s="161" t="str">
        <f t="shared" si="96"/>
        <v/>
      </c>
      <c r="J1183" s="160" t="str">
        <f>IFERROR(INDEX(当年标准成本!I:I,MATCH(C1183,当年标准成本!C:C,0),1),"")</f>
        <v/>
      </c>
      <c r="K1183" s="146" t="str">
        <f t="shared" si="97"/>
        <v/>
      </c>
      <c r="L1183" s="146" t="str">
        <f t="shared" si="98"/>
        <v/>
      </c>
      <c r="M1183" s="148" t="str">
        <f t="shared" si="99"/>
        <v/>
      </c>
    </row>
    <row r="1184" spans="1:13" x14ac:dyDescent="0.3">
      <c r="A1184" s="149"/>
      <c r="B1184" s="149"/>
      <c r="C1184" s="149"/>
      <c r="D1184" s="149"/>
      <c r="E1184" s="149"/>
      <c r="F1184" s="149"/>
      <c r="G1184" s="162"/>
      <c r="H1184" s="146" t="str">
        <f t="shared" si="95"/>
        <v/>
      </c>
      <c r="I1184" s="161" t="str">
        <f t="shared" si="96"/>
        <v/>
      </c>
      <c r="J1184" s="160" t="str">
        <f>IFERROR(INDEX(当年标准成本!I:I,MATCH(C1184,当年标准成本!C:C,0),1),"")</f>
        <v/>
      </c>
      <c r="K1184" s="146" t="str">
        <f t="shared" si="97"/>
        <v/>
      </c>
      <c r="L1184" s="146" t="str">
        <f t="shared" si="98"/>
        <v/>
      </c>
      <c r="M1184" s="148" t="str">
        <f t="shared" si="99"/>
        <v/>
      </c>
    </row>
    <row r="1185" spans="1:13" x14ac:dyDescent="0.3">
      <c r="A1185" s="149"/>
      <c r="B1185" s="149"/>
      <c r="C1185" s="149"/>
      <c r="D1185" s="149"/>
      <c r="E1185" s="149"/>
      <c r="F1185" s="149"/>
      <c r="G1185" s="162"/>
      <c r="H1185" s="146" t="str">
        <f t="shared" si="95"/>
        <v/>
      </c>
      <c r="I1185" s="161" t="str">
        <f t="shared" si="96"/>
        <v/>
      </c>
      <c r="J1185" s="160" t="str">
        <f>IFERROR(INDEX(当年标准成本!I:I,MATCH(C1185,当年标准成本!C:C,0),1),"")</f>
        <v/>
      </c>
      <c r="K1185" s="146" t="str">
        <f t="shared" si="97"/>
        <v/>
      </c>
      <c r="L1185" s="146" t="str">
        <f t="shared" si="98"/>
        <v/>
      </c>
      <c r="M1185" s="148" t="str">
        <f t="shared" si="99"/>
        <v/>
      </c>
    </row>
    <row r="1186" spans="1:13" x14ac:dyDescent="0.3">
      <c r="A1186" s="149"/>
      <c r="B1186" s="149"/>
      <c r="C1186" s="149"/>
      <c r="D1186" s="149"/>
      <c r="E1186" s="149"/>
      <c r="F1186" s="149"/>
      <c r="G1186" s="162"/>
      <c r="H1186" s="146" t="str">
        <f t="shared" si="95"/>
        <v/>
      </c>
      <c r="I1186" s="161" t="str">
        <f t="shared" si="96"/>
        <v/>
      </c>
      <c r="J1186" s="160" t="str">
        <f>IFERROR(INDEX(当年标准成本!I:I,MATCH(C1186,当年标准成本!C:C,0),1),"")</f>
        <v/>
      </c>
      <c r="K1186" s="146" t="str">
        <f t="shared" si="97"/>
        <v/>
      </c>
      <c r="L1186" s="146" t="str">
        <f t="shared" si="98"/>
        <v/>
      </c>
      <c r="M1186" s="148" t="str">
        <f t="shared" si="99"/>
        <v/>
      </c>
    </row>
    <row r="1187" spans="1:13" x14ac:dyDescent="0.3">
      <c r="A1187" s="149"/>
      <c r="B1187" s="149"/>
      <c r="C1187" s="149"/>
      <c r="D1187" s="149"/>
      <c r="E1187" s="149"/>
      <c r="F1187" s="149"/>
      <c r="G1187" s="162"/>
      <c r="H1187" s="146" t="str">
        <f t="shared" si="95"/>
        <v/>
      </c>
      <c r="I1187" s="161" t="str">
        <f t="shared" si="96"/>
        <v/>
      </c>
      <c r="J1187" s="160" t="str">
        <f>IFERROR(INDEX(当年标准成本!I:I,MATCH(C1187,当年标准成本!C:C,0),1),"")</f>
        <v/>
      </c>
      <c r="K1187" s="146" t="str">
        <f t="shared" si="97"/>
        <v/>
      </c>
      <c r="L1187" s="146" t="str">
        <f t="shared" si="98"/>
        <v/>
      </c>
      <c r="M1187" s="148" t="str">
        <f t="shared" si="99"/>
        <v/>
      </c>
    </row>
    <row r="1188" spans="1:13" x14ac:dyDescent="0.3">
      <c r="A1188" s="149"/>
      <c r="B1188" s="149"/>
      <c r="C1188" s="149"/>
      <c r="D1188" s="149"/>
      <c r="E1188" s="149"/>
      <c r="F1188" s="149"/>
      <c r="G1188" s="162"/>
      <c r="H1188" s="146" t="str">
        <f t="shared" si="95"/>
        <v/>
      </c>
      <c r="I1188" s="161" t="str">
        <f t="shared" si="96"/>
        <v/>
      </c>
      <c r="J1188" s="160" t="str">
        <f>IFERROR(INDEX(当年标准成本!I:I,MATCH(C1188,当年标准成本!C:C,0),1),"")</f>
        <v/>
      </c>
      <c r="K1188" s="146" t="str">
        <f t="shared" si="97"/>
        <v/>
      </c>
      <c r="L1188" s="146" t="str">
        <f t="shared" si="98"/>
        <v/>
      </c>
      <c r="M1188" s="148" t="str">
        <f t="shared" si="99"/>
        <v/>
      </c>
    </row>
    <row r="1189" spans="1:13" x14ac:dyDescent="0.3">
      <c r="A1189" s="149"/>
      <c r="B1189" s="149"/>
      <c r="C1189" s="149"/>
      <c r="D1189" s="149"/>
      <c r="E1189" s="149"/>
      <c r="F1189" s="149"/>
      <c r="G1189" s="162"/>
      <c r="H1189" s="146" t="str">
        <f t="shared" si="95"/>
        <v/>
      </c>
      <c r="I1189" s="161" t="str">
        <f t="shared" si="96"/>
        <v/>
      </c>
      <c r="J1189" s="160" t="str">
        <f>IFERROR(INDEX(当年标准成本!I:I,MATCH(C1189,当年标准成本!C:C,0),1),"")</f>
        <v/>
      </c>
      <c r="K1189" s="146" t="str">
        <f t="shared" si="97"/>
        <v/>
      </c>
      <c r="L1189" s="146" t="str">
        <f t="shared" si="98"/>
        <v/>
      </c>
      <c r="M1189" s="148" t="str">
        <f t="shared" si="99"/>
        <v/>
      </c>
    </row>
    <row r="1190" spans="1:13" x14ac:dyDescent="0.3">
      <c r="A1190" s="149"/>
      <c r="B1190" s="149"/>
      <c r="C1190" s="149"/>
      <c r="D1190" s="149"/>
      <c r="E1190" s="149"/>
      <c r="F1190" s="149"/>
      <c r="G1190" s="162"/>
      <c r="H1190" s="146" t="str">
        <f t="shared" si="95"/>
        <v/>
      </c>
      <c r="I1190" s="161" t="str">
        <f t="shared" si="96"/>
        <v/>
      </c>
      <c r="J1190" s="160" t="str">
        <f>IFERROR(INDEX(当年标准成本!I:I,MATCH(C1190,当年标准成本!C:C,0),1),"")</f>
        <v/>
      </c>
      <c r="K1190" s="146" t="str">
        <f t="shared" si="97"/>
        <v/>
      </c>
      <c r="L1190" s="146" t="str">
        <f t="shared" si="98"/>
        <v/>
      </c>
      <c r="M1190" s="148" t="str">
        <f t="shared" si="99"/>
        <v/>
      </c>
    </row>
    <row r="1191" spans="1:13" x14ac:dyDescent="0.3">
      <c r="A1191" s="149"/>
      <c r="B1191" s="149"/>
      <c r="C1191" s="149"/>
      <c r="D1191" s="149"/>
      <c r="E1191" s="149"/>
      <c r="F1191" s="149"/>
      <c r="G1191" s="162"/>
      <c r="H1191" s="146" t="str">
        <f t="shared" si="95"/>
        <v/>
      </c>
      <c r="I1191" s="161" t="str">
        <f t="shared" si="96"/>
        <v/>
      </c>
      <c r="J1191" s="160" t="str">
        <f>IFERROR(INDEX(当年标准成本!I:I,MATCH(C1191,当年标准成本!C:C,0),1),"")</f>
        <v/>
      </c>
      <c r="K1191" s="146" t="str">
        <f t="shared" si="97"/>
        <v/>
      </c>
      <c r="L1191" s="146" t="str">
        <f t="shared" si="98"/>
        <v/>
      </c>
      <c r="M1191" s="148" t="str">
        <f t="shared" si="99"/>
        <v/>
      </c>
    </row>
    <row r="1192" spans="1:13" x14ac:dyDescent="0.3">
      <c r="A1192" s="149"/>
      <c r="B1192" s="149"/>
      <c r="C1192" s="149"/>
      <c r="D1192" s="149"/>
      <c r="E1192" s="149"/>
      <c r="F1192" s="149"/>
      <c r="G1192" s="162"/>
      <c r="H1192" s="146" t="str">
        <f t="shared" si="95"/>
        <v/>
      </c>
      <c r="I1192" s="161" t="str">
        <f t="shared" si="96"/>
        <v/>
      </c>
      <c r="J1192" s="160" t="str">
        <f>IFERROR(INDEX(当年标准成本!I:I,MATCH(C1192,当年标准成本!C:C,0),1),"")</f>
        <v/>
      </c>
      <c r="K1192" s="146" t="str">
        <f t="shared" si="97"/>
        <v/>
      </c>
      <c r="L1192" s="146" t="str">
        <f t="shared" si="98"/>
        <v/>
      </c>
      <c r="M1192" s="148" t="str">
        <f t="shared" si="99"/>
        <v/>
      </c>
    </row>
    <row r="1193" spans="1:13" x14ac:dyDescent="0.3">
      <c r="A1193" s="149"/>
      <c r="B1193" s="149"/>
      <c r="C1193" s="149"/>
      <c r="D1193" s="149"/>
      <c r="E1193" s="149"/>
      <c r="F1193" s="149"/>
      <c r="G1193" s="162"/>
      <c r="H1193" s="146" t="str">
        <f t="shared" si="95"/>
        <v/>
      </c>
      <c r="I1193" s="161" t="str">
        <f t="shared" si="96"/>
        <v/>
      </c>
      <c r="J1193" s="160" t="str">
        <f>IFERROR(INDEX(当年标准成本!I:I,MATCH(C1193,当年标准成本!C:C,0),1),"")</f>
        <v/>
      </c>
      <c r="K1193" s="146" t="str">
        <f t="shared" si="97"/>
        <v/>
      </c>
      <c r="L1193" s="146" t="str">
        <f t="shared" si="98"/>
        <v/>
      </c>
      <c r="M1193" s="148" t="str">
        <f t="shared" si="99"/>
        <v/>
      </c>
    </row>
    <row r="1194" spans="1:13" x14ac:dyDescent="0.3">
      <c r="A1194" s="149"/>
      <c r="B1194" s="149"/>
      <c r="C1194" s="149"/>
      <c r="D1194" s="149"/>
      <c r="E1194" s="149"/>
      <c r="F1194" s="149"/>
      <c r="G1194" s="162"/>
      <c r="H1194" s="146" t="str">
        <f t="shared" si="95"/>
        <v/>
      </c>
      <c r="I1194" s="161" t="str">
        <f t="shared" si="96"/>
        <v/>
      </c>
      <c r="J1194" s="160" t="str">
        <f>IFERROR(INDEX(当年标准成本!I:I,MATCH(C1194,当年标准成本!C:C,0),1),"")</f>
        <v/>
      </c>
      <c r="K1194" s="146" t="str">
        <f t="shared" si="97"/>
        <v/>
      </c>
      <c r="L1194" s="146" t="str">
        <f t="shared" si="98"/>
        <v/>
      </c>
      <c r="M1194" s="148" t="str">
        <f t="shared" si="99"/>
        <v/>
      </c>
    </row>
    <row r="1195" spans="1:13" x14ac:dyDescent="0.3">
      <c r="A1195" s="149"/>
      <c r="B1195" s="149"/>
      <c r="C1195" s="149"/>
      <c r="D1195" s="149"/>
      <c r="E1195" s="149"/>
      <c r="F1195" s="149"/>
      <c r="G1195" s="162"/>
      <c r="H1195" s="146" t="str">
        <f t="shared" si="95"/>
        <v/>
      </c>
      <c r="I1195" s="161" t="str">
        <f t="shared" si="96"/>
        <v/>
      </c>
      <c r="J1195" s="160" t="str">
        <f>IFERROR(INDEX(当年标准成本!I:I,MATCH(C1195,当年标准成本!C:C,0),1),"")</f>
        <v/>
      </c>
      <c r="K1195" s="146" t="str">
        <f t="shared" si="97"/>
        <v/>
      </c>
      <c r="L1195" s="146" t="str">
        <f t="shared" si="98"/>
        <v/>
      </c>
      <c r="M1195" s="148" t="str">
        <f t="shared" si="99"/>
        <v/>
      </c>
    </row>
    <row r="1196" spans="1:13" x14ac:dyDescent="0.3">
      <c r="A1196" s="149"/>
      <c r="B1196" s="149"/>
      <c r="C1196" s="149"/>
      <c r="D1196" s="149"/>
      <c r="E1196" s="149"/>
      <c r="F1196" s="149"/>
      <c r="G1196" s="162"/>
      <c r="H1196" s="146" t="str">
        <f t="shared" si="95"/>
        <v/>
      </c>
      <c r="I1196" s="161" t="str">
        <f t="shared" si="96"/>
        <v/>
      </c>
      <c r="J1196" s="160" t="str">
        <f>IFERROR(INDEX(当年标准成本!I:I,MATCH(C1196,当年标准成本!C:C,0),1),"")</f>
        <v/>
      </c>
      <c r="K1196" s="146" t="str">
        <f t="shared" si="97"/>
        <v/>
      </c>
      <c r="L1196" s="146" t="str">
        <f t="shared" si="98"/>
        <v/>
      </c>
      <c r="M1196" s="148" t="str">
        <f t="shared" si="99"/>
        <v/>
      </c>
    </row>
    <row r="1197" spans="1:13" x14ac:dyDescent="0.3">
      <c r="A1197" s="149"/>
      <c r="B1197" s="149"/>
      <c r="C1197" s="149"/>
      <c r="D1197" s="149"/>
      <c r="E1197" s="149"/>
      <c r="F1197" s="149"/>
      <c r="G1197" s="162"/>
      <c r="H1197" s="146" t="str">
        <f t="shared" si="95"/>
        <v/>
      </c>
      <c r="I1197" s="161" t="str">
        <f t="shared" si="96"/>
        <v/>
      </c>
      <c r="J1197" s="160" t="str">
        <f>IFERROR(INDEX(当年标准成本!I:I,MATCH(C1197,当年标准成本!C:C,0),1),"")</f>
        <v/>
      </c>
      <c r="K1197" s="146" t="str">
        <f t="shared" si="97"/>
        <v/>
      </c>
      <c r="L1197" s="146" t="str">
        <f t="shared" si="98"/>
        <v/>
      </c>
      <c r="M1197" s="148" t="str">
        <f t="shared" si="99"/>
        <v/>
      </c>
    </row>
    <row r="1198" spans="1:13" x14ac:dyDescent="0.3">
      <c r="A1198" s="149"/>
      <c r="B1198" s="149"/>
      <c r="C1198" s="149"/>
      <c r="D1198" s="149"/>
      <c r="E1198" s="149"/>
      <c r="F1198" s="149"/>
      <c r="G1198" s="162"/>
      <c r="H1198" s="146" t="str">
        <f t="shared" si="95"/>
        <v/>
      </c>
      <c r="I1198" s="161" t="str">
        <f t="shared" si="96"/>
        <v/>
      </c>
      <c r="J1198" s="160" t="str">
        <f>IFERROR(INDEX(当年标准成本!I:I,MATCH(C1198,当年标准成本!C:C,0),1),"")</f>
        <v/>
      </c>
      <c r="K1198" s="146" t="str">
        <f t="shared" si="97"/>
        <v/>
      </c>
      <c r="L1198" s="146" t="str">
        <f t="shared" si="98"/>
        <v/>
      </c>
      <c r="M1198" s="148" t="str">
        <f t="shared" si="99"/>
        <v/>
      </c>
    </row>
    <row r="1199" spans="1:13" x14ac:dyDescent="0.3">
      <c r="A1199" s="149"/>
      <c r="B1199" s="149"/>
      <c r="C1199" s="149"/>
      <c r="D1199" s="149"/>
      <c r="E1199" s="149"/>
      <c r="F1199" s="149"/>
      <c r="G1199" s="162"/>
      <c r="H1199" s="146" t="str">
        <f t="shared" si="95"/>
        <v/>
      </c>
      <c r="I1199" s="161" t="str">
        <f t="shared" si="96"/>
        <v/>
      </c>
      <c r="J1199" s="160" t="str">
        <f>IFERROR(INDEX(当年标准成本!I:I,MATCH(C1199,当年标准成本!C:C,0),1),"")</f>
        <v/>
      </c>
      <c r="K1199" s="146" t="str">
        <f t="shared" si="97"/>
        <v/>
      </c>
      <c r="L1199" s="146" t="str">
        <f t="shared" si="98"/>
        <v/>
      </c>
      <c r="M1199" s="148" t="str">
        <f t="shared" si="99"/>
        <v/>
      </c>
    </row>
    <row r="1200" spans="1:13" x14ac:dyDescent="0.3">
      <c r="A1200" s="149"/>
      <c r="B1200" s="149"/>
      <c r="C1200" s="149"/>
      <c r="D1200" s="149"/>
      <c r="E1200" s="149"/>
      <c r="F1200" s="149"/>
      <c r="G1200" s="162"/>
      <c r="H1200" s="146" t="str">
        <f t="shared" si="95"/>
        <v/>
      </c>
      <c r="I1200" s="161" t="str">
        <f t="shared" si="96"/>
        <v/>
      </c>
      <c r="J1200" s="160" t="str">
        <f>IFERROR(INDEX(当年标准成本!I:I,MATCH(C1200,当年标准成本!C:C,0),1),"")</f>
        <v/>
      </c>
      <c r="K1200" s="146" t="str">
        <f t="shared" si="97"/>
        <v/>
      </c>
      <c r="L1200" s="146" t="str">
        <f t="shared" si="98"/>
        <v/>
      </c>
      <c r="M1200" s="148" t="str">
        <f t="shared" si="99"/>
        <v/>
      </c>
    </row>
  </sheetData>
  <sheetProtection formatCells="0" formatColumns="0" formatRows="0" insertRows="0" insertHyperlinks="0" deleteRows="0" sort="0" autoFilter="0" pivotTables="0"/>
  <phoneticPr fontId="3" type="noConversion"/>
  <hyperlinks>
    <hyperlink ref="O1" location="主页!A1" display="主页!A1" xr:uid="{A96A1BD0-D4C7-4E62-9CD3-C3CC9A9AC1B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13E3-A9CC-45C8-A9F6-91C48C98CE5D}">
  <dimension ref="A1:L333"/>
  <sheetViews>
    <sheetView showGridLines="0" workbookViewId="0">
      <selection activeCell="L1" sqref="L1"/>
    </sheetView>
  </sheetViews>
  <sheetFormatPr defaultRowHeight="14" x14ac:dyDescent="0.3"/>
  <cols>
    <col min="1" max="2" width="9" bestFit="1" customWidth="1"/>
    <col min="3" max="3" width="13.4140625" style="8" bestFit="1" customWidth="1"/>
    <col min="4" max="4" width="9" bestFit="1" customWidth="1"/>
    <col min="5" max="5" width="9.4140625" style="6" bestFit="1" customWidth="1"/>
    <col min="6" max="7" width="9" bestFit="1" customWidth="1"/>
    <col min="8" max="8" width="9.4140625" style="6" bestFit="1" customWidth="1"/>
    <col min="9" max="9" width="3.33203125" customWidth="1"/>
    <col min="10" max="10" width="28.4140625" bestFit="1" customWidth="1"/>
  </cols>
  <sheetData>
    <row r="1" spans="1:12" s="154" customFormat="1" x14ac:dyDescent="0.3">
      <c r="A1" s="255" t="s">
        <v>29</v>
      </c>
      <c r="B1" s="255" t="s">
        <v>30</v>
      </c>
      <c r="C1" s="255" t="s">
        <v>31</v>
      </c>
      <c r="D1" s="131" t="str">
        <f>"下年预算 B"&amp;TEXT(主页!$D$2,"YY")+1&amp;"FY"</f>
        <v>下年预算 B22FY</v>
      </c>
      <c r="E1" s="131"/>
      <c r="F1" s="131"/>
      <c r="G1" s="131"/>
      <c r="H1" s="131"/>
      <c r="J1" s="155" t="str">
        <f>"当年已过去月份实际 A"&amp;TEXT(主页!$D$2,"YY")&amp;"YTD"</f>
        <v>当年已过去月份实际 A21YTD</v>
      </c>
      <c r="L1" s="121" t="s">
        <v>197</v>
      </c>
    </row>
    <row r="2" spans="1:12" s="154" customFormat="1" x14ac:dyDescent="0.3">
      <c r="A2" s="255"/>
      <c r="B2" s="255"/>
      <c r="C2" s="255"/>
      <c r="D2" s="152" t="s">
        <v>13</v>
      </c>
      <c r="E2" s="152" t="s">
        <v>35</v>
      </c>
      <c r="F2" s="152" t="s">
        <v>9</v>
      </c>
      <c r="G2" s="152" t="s">
        <v>10</v>
      </c>
      <c r="H2" s="152" t="s">
        <v>36</v>
      </c>
      <c r="J2" s="156" t="s">
        <v>9</v>
      </c>
    </row>
    <row r="3" spans="1:12" x14ac:dyDescent="0.3">
      <c r="A3" s="127" t="s">
        <v>46</v>
      </c>
      <c r="B3" s="149" t="s">
        <v>49</v>
      </c>
      <c r="C3" s="7">
        <v>1</v>
      </c>
      <c r="D3" s="5">
        <v>1200</v>
      </c>
      <c r="E3" s="140">
        <f>IF(D3/SUM(D:D)=0,"",D3/SUM(D:D))</f>
        <v>0.19354838709677419</v>
      </c>
      <c r="F3" s="142">
        <v>0.28000000000000003</v>
      </c>
      <c r="G3" s="145">
        <f>D3*F3</f>
        <v>336.00000000000006</v>
      </c>
      <c r="H3" s="140">
        <f>IF(G3/SUM(G:G)=0,"",G3/SUM(G:G))</f>
        <v>0.28093645484949836</v>
      </c>
      <c r="J3" s="148">
        <f>IFERROR(SUMIFS(当年实际!$V:$V,当年实际!$H:$H,$B3,当年实际!$C:$C,"&gt;="&amp;DATE(YEAR(主页!$D$2),1,1),当年实际!$C:$C,"&lt;="&amp;EOMONTH(DATE(YEAR(主页!$D$2),MONTH(主页!$D$2),1),0))/SUMIFS(当年实际!$P:$P,当年实际!$H:$H,$B3,当年实际!$C:$C,"&gt;="&amp;DATE(YEAR(主页!$D$2),1,1),当年实际!$C:$C,"&lt;="&amp;EOMONTH(DATE(YEAR(主页!$D$2),MONTH(主页!$D$2),1),0)),"")</f>
        <v>0.27777777777777779</v>
      </c>
    </row>
    <row r="4" spans="1:12" x14ac:dyDescent="0.3">
      <c r="A4" s="127" t="s">
        <v>47</v>
      </c>
      <c r="B4" s="149" t="s">
        <v>50</v>
      </c>
      <c r="C4" s="7">
        <v>2</v>
      </c>
      <c r="D4" s="5">
        <v>2000</v>
      </c>
      <c r="E4" s="140">
        <f t="shared" ref="E4:E67" si="0">IF(D4/SUM(D:D)=0,"",D4/SUM(D:D))</f>
        <v>0.32258064516129031</v>
      </c>
      <c r="F4" s="142">
        <v>0.19</v>
      </c>
      <c r="G4" s="145">
        <f t="shared" ref="G4:G5" si="1">D4*F4</f>
        <v>380</v>
      </c>
      <c r="H4" s="140">
        <f t="shared" ref="H4:H67" si="2">IF(G4/SUM(G:G)=0,"",G4/SUM(G:G))</f>
        <v>0.31772575250836121</v>
      </c>
      <c r="J4" s="148">
        <f>IFERROR(SUMIFS(当年实际!$V:$V,当年实际!$H:$H,$B4,当年实际!$C:$C,"&gt;="&amp;DATE(YEAR(主页!$D$2),1,1),当年实际!$C:$C,"&lt;="&amp;EOMONTH(DATE(YEAR(主页!$D$2),MONTH(主页!$D$2),1),0))/SUMIFS(当年实际!$P:$P,当年实际!$H:$H,$B4,当年实际!$C:$C,"&gt;="&amp;DATE(YEAR(主页!$D$2),1,1),当年实际!$C:$C,"&lt;="&amp;EOMONTH(DATE(YEAR(主页!$D$2),MONTH(主页!$D$2),1),0)),"")</f>
        <v>0.19400000000000001</v>
      </c>
    </row>
    <row r="5" spans="1:12" x14ac:dyDescent="0.3">
      <c r="A5" s="127" t="s">
        <v>48</v>
      </c>
      <c r="B5" s="149" t="s">
        <v>51</v>
      </c>
      <c r="C5" s="7">
        <v>3</v>
      </c>
      <c r="D5" s="5">
        <v>3000</v>
      </c>
      <c r="E5" s="140">
        <f t="shared" si="0"/>
        <v>0.4838709677419355</v>
      </c>
      <c r="F5" s="142">
        <v>0.16</v>
      </c>
      <c r="G5" s="145">
        <f t="shared" si="1"/>
        <v>480</v>
      </c>
      <c r="H5" s="140">
        <f t="shared" si="2"/>
        <v>0.40133779264214048</v>
      </c>
      <c r="J5" s="148">
        <f>IFERROR(SUMIFS(当年实际!$V:$V,当年实际!$H:$H,$B5,当年实际!$C:$C,"&gt;="&amp;DATE(YEAR(主页!$D$2),1,1),当年实际!$C:$C,"&lt;="&amp;EOMONTH(DATE(YEAR(主页!$D$2),MONTH(主页!$D$2),1),0))/SUMIFS(当年实际!$P:$P,当年实际!$H:$H,$B5,当年实际!$C:$C,"&gt;="&amp;DATE(YEAR(主页!$D$2),1,1),当年实际!$C:$C,"&lt;="&amp;EOMONTH(DATE(YEAR(主页!$D$2),MONTH(主页!$D$2),1),0)),"")</f>
        <v>0.16</v>
      </c>
    </row>
    <row r="6" spans="1:12" x14ac:dyDescent="0.3">
      <c r="A6" s="127"/>
      <c r="B6" s="149"/>
      <c r="C6" s="7"/>
      <c r="D6" s="5"/>
      <c r="E6" s="140" t="str">
        <f t="shared" si="0"/>
        <v/>
      </c>
      <c r="F6" s="142"/>
      <c r="G6" s="145">
        <f t="shared" ref="G6:G69" si="3">D6*F6</f>
        <v>0</v>
      </c>
      <c r="H6" s="140" t="str">
        <f t="shared" si="2"/>
        <v/>
      </c>
      <c r="J6" s="148" t="str">
        <f>IFERROR(SUMIFS(当年实际!$V:$V,当年实际!$H:$H,$B6,当年实际!$C:$C,"&gt;="&amp;DATE(YEAR(主页!$D$2),1,1),当年实际!$C:$C,"&lt;="&amp;EOMONTH(DATE(YEAR(主页!$D$2),MONTH(主页!$D$2),1),0))/SUMIFS(当年实际!$P:$P,当年实际!$H:$H,$B6,当年实际!$C:$C,"&gt;="&amp;DATE(YEAR(主页!$D$2),1,1),当年实际!$C:$C,"&lt;="&amp;EOMONTH(DATE(YEAR(主页!$D$2),MONTH(主页!$D$2),1),0)),"")</f>
        <v/>
      </c>
    </row>
    <row r="7" spans="1:12" x14ac:dyDescent="0.3">
      <c r="A7" s="127"/>
      <c r="B7" s="149"/>
      <c r="C7" s="7"/>
      <c r="D7" s="5"/>
      <c r="E7" s="140" t="str">
        <f t="shared" si="0"/>
        <v/>
      </c>
      <c r="F7" s="142"/>
      <c r="G7" s="145">
        <f t="shared" si="3"/>
        <v>0</v>
      </c>
      <c r="H7" s="140" t="str">
        <f t="shared" si="2"/>
        <v/>
      </c>
      <c r="J7" s="148" t="str">
        <f>IFERROR(SUMIFS(当年实际!$V:$V,当年实际!$H:$H,$B7,当年实际!$C:$C,"&gt;="&amp;DATE(YEAR(主页!$D$2),1,1),当年实际!$C:$C,"&lt;="&amp;EOMONTH(DATE(YEAR(主页!$D$2),MONTH(主页!$D$2),1),0))/SUMIFS(当年实际!$P:$P,当年实际!$H:$H,$B7,当年实际!$C:$C,"&gt;="&amp;DATE(YEAR(主页!$D$2),1,1),当年实际!$C:$C,"&lt;="&amp;EOMONTH(DATE(YEAR(主页!$D$2),MONTH(主页!$D$2),1),0)),"")</f>
        <v/>
      </c>
    </row>
    <row r="8" spans="1:12" x14ac:dyDescent="0.3">
      <c r="A8" s="127"/>
      <c r="B8" s="149"/>
      <c r="C8" s="7"/>
      <c r="D8" s="5"/>
      <c r="E8" s="140" t="str">
        <f t="shared" si="0"/>
        <v/>
      </c>
      <c r="F8" s="142"/>
      <c r="G8" s="145">
        <f t="shared" si="3"/>
        <v>0</v>
      </c>
      <c r="H8" s="140" t="str">
        <f t="shared" si="2"/>
        <v/>
      </c>
      <c r="J8" s="148" t="str">
        <f>IFERROR(SUMIFS(当年实际!$V:$V,当年实际!$H:$H,$B8,当年实际!$C:$C,"&gt;="&amp;DATE(YEAR(主页!$D$2),1,1),当年实际!$C:$C,"&lt;="&amp;EOMONTH(DATE(YEAR(主页!$D$2),MONTH(主页!$D$2),1),0))/SUMIFS(当年实际!$P:$P,当年实际!$H:$H,$B8,当年实际!$C:$C,"&gt;="&amp;DATE(YEAR(主页!$D$2),1,1),当年实际!$C:$C,"&lt;="&amp;EOMONTH(DATE(YEAR(主页!$D$2),MONTH(主页!$D$2),1),0)),"")</f>
        <v/>
      </c>
    </row>
    <row r="9" spans="1:12" x14ac:dyDescent="0.3">
      <c r="A9" s="127"/>
      <c r="B9" s="149"/>
      <c r="C9" s="7"/>
      <c r="D9" s="5"/>
      <c r="E9" s="140" t="str">
        <f t="shared" si="0"/>
        <v/>
      </c>
      <c r="F9" s="142"/>
      <c r="G9" s="145">
        <f t="shared" si="3"/>
        <v>0</v>
      </c>
      <c r="H9" s="140" t="str">
        <f t="shared" si="2"/>
        <v/>
      </c>
      <c r="J9" s="148" t="str">
        <f>IFERROR(SUMIFS(当年实际!$V:$V,当年实际!$H:$H,$B9,当年实际!$C:$C,"&gt;="&amp;DATE(YEAR(主页!$D$2),1,1),当年实际!$C:$C,"&lt;="&amp;EOMONTH(DATE(YEAR(主页!$D$2),MONTH(主页!$D$2),1),0))/SUMIFS(当年实际!$P:$P,当年实际!$H:$H,$B9,当年实际!$C:$C,"&gt;="&amp;DATE(YEAR(主页!$D$2),1,1),当年实际!$C:$C,"&lt;="&amp;EOMONTH(DATE(YEAR(主页!$D$2),MONTH(主页!$D$2),1),0)),"")</f>
        <v/>
      </c>
    </row>
    <row r="10" spans="1:12" x14ac:dyDescent="0.3">
      <c r="A10" s="127"/>
      <c r="B10" s="149"/>
      <c r="C10" s="7"/>
      <c r="D10" s="5"/>
      <c r="E10" s="140" t="str">
        <f t="shared" si="0"/>
        <v/>
      </c>
      <c r="F10" s="142"/>
      <c r="G10" s="145">
        <f t="shared" si="3"/>
        <v>0</v>
      </c>
      <c r="H10" s="140" t="str">
        <f t="shared" si="2"/>
        <v/>
      </c>
      <c r="J10" s="148" t="str">
        <f>IFERROR(SUMIFS(当年实际!$V:$V,当年实际!$H:$H,$B10,当年实际!$C:$C,"&gt;="&amp;DATE(YEAR(主页!$D$2),1,1),当年实际!$C:$C,"&lt;="&amp;EOMONTH(DATE(YEAR(主页!$D$2),MONTH(主页!$D$2),1),0))/SUMIFS(当年实际!$P:$P,当年实际!$H:$H,$B10,当年实际!$C:$C,"&gt;="&amp;DATE(YEAR(主页!$D$2),1,1),当年实际!$C:$C,"&lt;="&amp;EOMONTH(DATE(YEAR(主页!$D$2),MONTH(主页!$D$2),1),0)),"")</f>
        <v/>
      </c>
    </row>
    <row r="11" spans="1:12" x14ac:dyDescent="0.3">
      <c r="A11" s="127"/>
      <c r="B11" s="149"/>
      <c r="C11" s="7"/>
      <c r="D11" s="5"/>
      <c r="E11" s="140" t="str">
        <f t="shared" si="0"/>
        <v/>
      </c>
      <c r="F11" s="142"/>
      <c r="G11" s="145">
        <f t="shared" si="3"/>
        <v>0</v>
      </c>
      <c r="H11" s="140" t="str">
        <f t="shared" si="2"/>
        <v/>
      </c>
      <c r="J11" s="148" t="str">
        <f>IFERROR(SUMIFS(当年实际!$V:$V,当年实际!$H:$H,$B11,当年实际!$C:$C,"&gt;="&amp;DATE(YEAR(主页!$D$2),1,1),当年实际!$C:$C,"&lt;="&amp;EOMONTH(DATE(YEAR(主页!$D$2),MONTH(主页!$D$2),1),0))/SUMIFS(当年实际!$P:$P,当年实际!$H:$H,$B11,当年实际!$C:$C,"&gt;="&amp;DATE(YEAR(主页!$D$2),1,1),当年实际!$C:$C,"&lt;="&amp;EOMONTH(DATE(YEAR(主页!$D$2),MONTH(主页!$D$2),1),0)),"")</f>
        <v/>
      </c>
    </row>
    <row r="12" spans="1:12" x14ac:dyDescent="0.3">
      <c r="A12" s="127"/>
      <c r="B12" s="149"/>
      <c r="C12" s="7"/>
      <c r="D12" s="5"/>
      <c r="E12" s="140" t="str">
        <f t="shared" si="0"/>
        <v/>
      </c>
      <c r="F12" s="142"/>
      <c r="G12" s="145">
        <f t="shared" si="3"/>
        <v>0</v>
      </c>
      <c r="H12" s="140" t="str">
        <f t="shared" si="2"/>
        <v/>
      </c>
      <c r="J12" s="148" t="str">
        <f>IFERROR(SUMIFS(当年实际!$V:$V,当年实际!$H:$H,$B12,当年实际!$C:$C,"&gt;="&amp;DATE(YEAR(主页!$D$2),1,1),当年实际!$C:$C,"&lt;="&amp;EOMONTH(DATE(YEAR(主页!$D$2),MONTH(主页!$D$2),1),0))/SUMIFS(当年实际!$P:$P,当年实际!$H:$H,$B12,当年实际!$C:$C,"&gt;="&amp;DATE(YEAR(主页!$D$2),1,1),当年实际!$C:$C,"&lt;="&amp;EOMONTH(DATE(YEAR(主页!$D$2),MONTH(主页!$D$2),1),0)),"")</f>
        <v/>
      </c>
    </row>
    <row r="13" spans="1:12" x14ac:dyDescent="0.3">
      <c r="A13" s="127"/>
      <c r="B13" s="149"/>
      <c r="C13" s="7"/>
      <c r="D13" s="5"/>
      <c r="E13" s="140" t="str">
        <f t="shared" si="0"/>
        <v/>
      </c>
      <c r="F13" s="142"/>
      <c r="G13" s="145">
        <f t="shared" si="3"/>
        <v>0</v>
      </c>
      <c r="H13" s="140" t="str">
        <f t="shared" si="2"/>
        <v/>
      </c>
      <c r="J13" s="148" t="str">
        <f>IFERROR(SUMIFS(当年实际!$V:$V,当年实际!$H:$H,$B13,当年实际!$C:$C,"&gt;="&amp;DATE(YEAR(主页!$D$2),1,1),当年实际!$C:$C,"&lt;="&amp;EOMONTH(DATE(YEAR(主页!$D$2),MONTH(主页!$D$2),1),0))/SUMIFS(当年实际!$P:$P,当年实际!$H:$H,$B13,当年实际!$C:$C,"&gt;="&amp;DATE(YEAR(主页!$D$2),1,1),当年实际!$C:$C,"&lt;="&amp;EOMONTH(DATE(YEAR(主页!$D$2),MONTH(主页!$D$2),1),0)),"")</f>
        <v/>
      </c>
    </row>
    <row r="14" spans="1:12" x14ac:dyDescent="0.3">
      <c r="A14" s="127"/>
      <c r="B14" s="149"/>
      <c r="C14" s="7"/>
      <c r="D14" s="5"/>
      <c r="E14" s="140" t="str">
        <f t="shared" si="0"/>
        <v/>
      </c>
      <c r="F14" s="142"/>
      <c r="G14" s="145">
        <f t="shared" si="3"/>
        <v>0</v>
      </c>
      <c r="H14" s="140" t="str">
        <f t="shared" si="2"/>
        <v/>
      </c>
      <c r="J14" s="148" t="str">
        <f>IFERROR(SUMIFS(当年实际!$V:$V,当年实际!$H:$H,$B14,当年实际!$C:$C,"&gt;="&amp;DATE(YEAR(主页!$D$2),1,1),当年实际!$C:$C,"&lt;="&amp;EOMONTH(DATE(YEAR(主页!$D$2),MONTH(主页!$D$2),1),0))/SUMIFS(当年实际!$P:$P,当年实际!$H:$H,$B14,当年实际!$C:$C,"&gt;="&amp;DATE(YEAR(主页!$D$2),1,1),当年实际!$C:$C,"&lt;="&amp;EOMONTH(DATE(YEAR(主页!$D$2),MONTH(主页!$D$2),1),0)),"")</f>
        <v/>
      </c>
    </row>
    <row r="15" spans="1:12" x14ac:dyDescent="0.3">
      <c r="A15" s="127"/>
      <c r="B15" s="149"/>
      <c r="C15" s="7"/>
      <c r="D15" s="5"/>
      <c r="E15" s="140" t="str">
        <f t="shared" si="0"/>
        <v/>
      </c>
      <c r="F15" s="142"/>
      <c r="G15" s="145">
        <f t="shared" si="3"/>
        <v>0</v>
      </c>
      <c r="H15" s="140" t="str">
        <f t="shared" si="2"/>
        <v/>
      </c>
      <c r="J15" s="148" t="str">
        <f>IFERROR(SUMIFS(当年实际!$V:$V,当年实际!$H:$H,$B15,当年实际!$C:$C,"&gt;="&amp;DATE(YEAR(主页!$D$2),1,1),当年实际!$C:$C,"&lt;="&amp;EOMONTH(DATE(YEAR(主页!$D$2),MONTH(主页!$D$2),1),0))/SUMIFS(当年实际!$P:$P,当年实际!$H:$H,$B15,当年实际!$C:$C,"&gt;="&amp;DATE(YEAR(主页!$D$2),1,1),当年实际!$C:$C,"&lt;="&amp;EOMONTH(DATE(YEAR(主页!$D$2),MONTH(主页!$D$2),1),0)),"")</f>
        <v/>
      </c>
    </row>
    <row r="16" spans="1:12" x14ac:dyDescent="0.3">
      <c r="A16" s="127"/>
      <c r="B16" s="149"/>
      <c r="C16" s="7"/>
      <c r="D16" s="5"/>
      <c r="E16" s="140" t="str">
        <f t="shared" si="0"/>
        <v/>
      </c>
      <c r="F16" s="142"/>
      <c r="G16" s="145">
        <f t="shared" si="3"/>
        <v>0</v>
      </c>
      <c r="H16" s="140" t="str">
        <f t="shared" si="2"/>
        <v/>
      </c>
      <c r="J16" s="148" t="str">
        <f>IFERROR(SUMIFS(当年实际!$V:$V,当年实际!$H:$H,$B16,当年实际!$C:$C,"&gt;="&amp;DATE(YEAR(主页!$D$2),1,1),当年实际!$C:$C,"&lt;="&amp;EOMONTH(DATE(YEAR(主页!$D$2),MONTH(主页!$D$2),1),0))/SUMIFS(当年实际!$P:$P,当年实际!$H:$H,$B16,当年实际!$C:$C,"&gt;="&amp;DATE(YEAR(主页!$D$2),1,1),当年实际!$C:$C,"&lt;="&amp;EOMONTH(DATE(YEAR(主页!$D$2),MONTH(主页!$D$2),1),0)),"")</f>
        <v/>
      </c>
    </row>
    <row r="17" spans="1:10" x14ac:dyDescent="0.3">
      <c r="A17" s="127"/>
      <c r="B17" s="149"/>
      <c r="C17" s="7"/>
      <c r="D17" s="5"/>
      <c r="E17" s="140" t="str">
        <f t="shared" si="0"/>
        <v/>
      </c>
      <c r="F17" s="142"/>
      <c r="G17" s="145">
        <f t="shared" si="3"/>
        <v>0</v>
      </c>
      <c r="H17" s="140" t="str">
        <f t="shared" si="2"/>
        <v/>
      </c>
      <c r="J17" s="148" t="str">
        <f>IFERROR(SUMIFS(当年实际!$V:$V,当年实际!$H:$H,$B17,当年实际!$C:$C,"&gt;="&amp;DATE(YEAR(主页!$D$2),1,1),当年实际!$C:$C,"&lt;="&amp;EOMONTH(DATE(YEAR(主页!$D$2),MONTH(主页!$D$2),1),0))/SUMIFS(当年实际!$P:$P,当年实际!$H:$H,$B17,当年实际!$C:$C,"&gt;="&amp;DATE(YEAR(主页!$D$2),1,1),当年实际!$C:$C,"&lt;="&amp;EOMONTH(DATE(YEAR(主页!$D$2),MONTH(主页!$D$2),1),0)),"")</f>
        <v/>
      </c>
    </row>
    <row r="18" spans="1:10" x14ac:dyDescent="0.3">
      <c r="A18" s="127"/>
      <c r="B18" s="149"/>
      <c r="C18" s="7"/>
      <c r="D18" s="5"/>
      <c r="E18" s="140" t="str">
        <f t="shared" si="0"/>
        <v/>
      </c>
      <c r="F18" s="142"/>
      <c r="G18" s="145">
        <f t="shared" si="3"/>
        <v>0</v>
      </c>
      <c r="H18" s="140" t="str">
        <f t="shared" si="2"/>
        <v/>
      </c>
      <c r="J18" s="148" t="str">
        <f>IFERROR(SUMIFS(当年实际!$V:$V,当年实际!$H:$H,$B18,当年实际!$C:$C,"&gt;="&amp;DATE(YEAR(主页!$D$2),1,1),当年实际!$C:$C,"&lt;="&amp;EOMONTH(DATE(YEAR(主页!$D$2),MONTH(主页!$D$2),1),0))/SUMIFS(当年实际!$P:$P,当年实际!$H:$H,$B18,当年实际!$C:$C,"&gt;="&amp;DATE(YEAR(主页!$D$2),1,1),当年实际!$C:$C,"&lt;="&amp;EOMONTH(DATE(YEAR(主页!$D$2),MONTH(主页!$D$2),1),0)),"")</f>
        <v/>
      </c>
    </row>
    <row r="19" spans="1:10" x14ac:dyDescent="0.3">
      <c r="A19" s="127"/>
      <c r="B19" s="149"/>
      <c r="C19" s="7"/>
      <c r="D19" s="5"/>
      <c r="E19" s="140" t="str">
        <f t="shared" si="0"/>
        <v/>
      </c>
      <c r="F19" s="142"/>
      <c r="G19" s="145">
        <f t="shared" si="3"/>
        <v>0</v>
      </c>
      <c r="H19" s="140" t="str">
        <f t="shared" si="2"/>
        <v/>
      </c>
      <c r="J19" s="148" t="str">
        <f>IFERROR(SUMIFS(当年实际!$V:$V,当年实际!$H:$H,$B19,当年实际!$C:$C,"&gt;="&amp;DATE(YEAR(主页!$D$2),1,1),当年实际!$C:$C,"&lt;="&amp;EOMONTH(DATE(YEAR(主页!$D$2),MONTH(主页!$D$2),1),0))/SUMIFS(当年实际!$P:$P,当年实际!$H:$H,$B19,当年实际!$C:$C,"&gt;="&amp;DATE(YEAR(主页!$D$2),1,1),当年实际!$C:$C,"&lt;="&amp;EOMONTH(DATE(YEAR(主页!$D$2),MONTH(主页!$D$2),1),0)),"")</f>
        <v/>
      </c>
    </row>
    <row r="20" spans="1:10" x14ac:dyDescent="0.3">
      <c r="A20" s="127"/>
      <c r="B20" s="149"/>
      <c r="C20" s="7"/>
      <c r="D20" s="5"/>
      <c r="E20" s="140" t="str">
        <f t="shared" si="0"/>
        <v/>
      </c>
      <c r="F20" s="142"/>
      <c r="G20" s="145">
        <f t="shared" si="3"/>
        <v>0</v>
      </c>
      <c r="H20" s="140" t="str">
        <f t="shared" si="2"/>
        <v/>
      </c>
      <c r="J20" s="148" t="str">
        <f>IFERROR(SUMIFS(当年实际!$V:$V,当年实际!$H:$H,$B20,当年实际!$C:$C,"&gt;="&amp;DATE(YEAR(主页!$D$2),1,1),当年实际!$C:$C,"&lt;="&amp;EOMONTH(DATE(YEAR(主页!$D$2),MONTH(主页!$D$2),1),0))/SUMIFS(当年实际!$P:$P,当年实际!$H:$H,$B20,当年实际!$C:$C,"&gt;="&amp;DATE(YEAR(主页!$D$2),1,1),当年实际!$C:$C,"&lt;="&amp;EOMONTH(DATE(YEAR(主页!$D$2),MONTH(主页!$D$2),1),0)),"")</f>
        <v/>
      </c>
    </row>
    <row r="21" spans="1:10" x14ac:dyDescent="0.3">
      <c r="A21" s="127"/>
      <c r="B21" s="149"/>
      <c r="C21" s="7"/>
      <c r="D21" s="5"/>
      <c r="E21" s="140" t="str">
        <f t="shared" si="0"/>
        <v/>
      </c>
      <c r="F21" s="142"/>
      <c r="G21" s="145">
        <f t="shared" si="3"/>
        <v>0</v>
      </c>
      <c r="H21" s="140" t="str">
        <f t="shared" si="2"/>
        <v/>
      </c>
      <c r="J21" s="148" t="str">
        <f>IFERROR(SUMIFS(当年实际!$V:$V,当年实际!$H:$H,$B21,当年实际!$C:$C,"&gt;="&amp;DATE(YEAR(主页!$D$2),1,1),当年实际!$C:$C,"&lt;="&amp;EOMONTH(DATE(YEAR(主页!$D$2),MONTH(主页!$D$2),1),0))/SUMIFS(当年实际!$P:$P,当年实际!$H:$H,$B21,当年实际!$C:$C,"&gt;="&amp;DATE(YEAR(主页!$D$2),1,1),当年实际!$C:$C,"&lt;="&amp;EOMONTH(DATE(YEAR(主页!$D$2),MONTH(主页!$D$2),1),0)),"")</f>
        <v/>
      </c>
    </row>
    <row r="22" spans="1:10" x14ac:dyDescent="0.3">
      <c r="A22" s="127"/>
      <c r="B22" s="149"/>
      <c r="C22" s="7"/>
      <c r="D22" s="5"/>
      <c r="E22" s="140" t="str">
        <f t="shared" si="0"/>
        <v/>
      </c>
      <c r="F22" s="142"/>
      <c r="G22" s="145">
        <f t="shared" si="3"/>
        <v>0</v>
      </c>
      <c r="H22" s="140" t="str">
        <f t="shared" si="2"/>
        <v/>
      </c>
      <c r="J22" s="148" t="str">
        <f>IFERROR(SUMIFS(当年实际!$V:$V,当年实际!$H:$H,$B22,当年实际!$C:$C,"&gt;="&amp;DATE(YEAR(主页!$D$2),1,1),当年实际!$C:$C,"&lt;="&amp;EOMONTH(DATE(YEAR(主页!$D$2),MONTH(主页!$D$2),1),0))/SUMIFS(当年实际!$P:$P,当年实际!$H:$H,$B22,当年实际!$C:$C,"&gt;="&amp;DATE(YEAR(主页!$D$2),1,1),当年实际!$C:$C,"&lt;="&amp;EOMONTH(DATE(YEAR(主页!$D$2),MONTH(主页!$D$2),1),0)),"")</f>
        <v/>
      </c>
    </row>
    <row r="23" spans="1:10" x14ac:dyDescent="0.3">
      <c r="A23" s="127"/>
      <c r="B23" s="149"/>
      <c r="C23" s="7"/>
      <c r="D23" s="5"/>
      <c r="E23" s="140" t="str">
        <f t="shared" si="0"/>
        <v/>
      </c>
      <c r="F23" s="142"/>
      <c r="G23" s="145">
        <f t="shared" si="3"/>
        <v>0</v>
      </c>
      <c r="H23" s="140" t="str">
        <f t="shared" si="2"/>
        <v/>
      </c>
      <c r="J23" s="148" t="str">
        <f>IFERROR(SUMIFS(当年实际!$V:$V,当年实际!$H:$H,$B23,当年实际!$C:$C,"&gt;="&amp;DATE(YEAR(主页!$D$2),1,1),当年实际!$C:$C,"&lt;="&amp;EOMONTH(DATE(YEAR(主页!$D$2),MONTH(主页!$D$2),1),0))/SUMIFS(当年实际!$P:$P,当年实际!$H:$H,$B23,当年实际!$C:$C,"&gt;="&amp;DATE(YEAR(主页!$D$2),1,1),当年实际!$C:$C,"&lt;="&amp;EOMONTH(DATE(YEAR(主页!$D$2),MONTH(主页!$D$2),1),0)),"")</f>
        <v/>
      </c>
    </row>
    <row r="24" spans="1:10" x14ac:dyDescent="0.3">
      <c r="A24" s="127"/>
      <c r="B24" s="149"/>
      <c r="C24" s="7"/>
      <c r="D24" s="5"/>
      <c r="E24" s="140" t="str">
        <f t="shared" si="0"/>
        <v/>
      </c>
      <c r="F24" s="142"/>
      <c r="G24" s="145">
        <f t="shared" si="3"/>
        <v>0</v>
      </c>
      <c r="H24" s="140" t="str">
        <f t="shared" si="2"/>
        <v/>
      </c>
      <c r="J24" s="148" t="str">
        <f>IFERROR(SUMIFS(当年实际!$V:$V,当年实际!$H:$H,$B24,当年实际!$C:$C,"&gt;="&amp;DATE(YEAR(主页!$D$2),1,1),当年实际!$C:$C,"&lt;="&amp;EOMONTH(DATE(YEAR(主页!$D$2),MONTH(主页!$D$2),1),0))/SUMIFS(当年实际!$P:$P,当年实际!$H:$H,$B24,当年实际!$C:$C,"&gt;="&amp;DATE(YEAR(主页!$D$2),1,1),当年实际!$C:$C,"&lt;="&amp;EOMONTH(DATE(YEAR(主页!$D$2),MONTH(主页!$D$2),1),0)),"")</f>
        <v/>
      </c>
    </row>
    <row r="25" spans="1:10" x14ac:dyDescent="0.3">
      <c r="A25" s="127"/>
      <c r="B25" s="149"/>
      <c r="C25" s="7"/>
      <c r="D25" s="5"/>
      <c r="E25" s="140" t="str">
        <f t="shared" si="0"/>
        <v/>
      </c>
      <c r="F25" s="142"/>
      <c r="G25" s="145">
        <f t="shared" si="3"/>
        <v>0</v>
      </c>
      <c r="H25" s="140" t="str">
        <f t="shared" si="2"/>
        <v/>
      </c>
      <c r="J25" s="148" t="str">
        <f>IFERROR(SUMIFS(当年实际!$V:$V,当年实际!$H:$H,$B25,当年实际!$C:$C,"&gt;="&amp;DATE(YEAR(主页!$D$2),1,1),当年实际!$C:$C,"&lt;="&amp;EOMONTH(DATE(YEAR(主页!$D$2),MONTH(主页!$D$2),1),0))/SUMIFS(当年实际!$P:$P,当年实际!$H:$H,$B25,当年实际!$C:$C,"&gt;="&amp;DATE(YEAR(主页!$D$2),1,1),当年实际!$C:$C,"&lt;="&amp;EOMONTH(DATE(YEAR(主页!$D$2),MONTH(主页!$D$2),1),0)),"")</f>
        <v/>
      </c>
    </row>
    <row r="26" spans="1:10" x14ac:dyDescent="0.3">
      <c r="A26" s="127"/>
      <c r="B26" s="149"/>
      <c r="C26" s="7"/>
      <c r="D26" s="5"/>
      <c r="E26" s="140" t="str">
        <f t="shared" si="0"/>
        <v/>
      </c>
      <c r="F26" s="142"/>
      <c r="G26" s="145">
        <f t="shared" si="3"/>
        <v>0</v>
      </c>
      <c r="H26" s="140" t="str">
        <f t="shared" si="2"/>
        <v/>
      </c>
      <c r="J26" s="148" t="str">
        <f>IFERROR(SUMIFS(当年实际!$V:$V,当年实际!$H:$H,$B26,当年实际!$C:$C,"&gt;="&amp;DATE(YEAR(主页!$D$2),1,1),当年实际!$C:$C,"&lt;="&amp;EOMONTH(DATE(YEAR(主页!$D$2),MONTH(主页!$D$2),1),0))/SUMIFS(当年实际!$P:$P,当年实际!$H:$H,$B26,当年实际!$C:$C,"&gt;="&amp;DATE(YEAR(主页!$D$2),1,1),当年实际!$C:$C,"&lt;="&amp;EOMONTH(DATE(YEAR(主页!$D$2),MONTH(主页!$D$2),1),0)),"")</f>
        <v/>
      </c>
    </row>
    <row r="27" spans="1:10" x14ac:dyDescent="0.3">
      <c r="A27" s="127"/>
      <c r="B27" s="149"/>
      <c r="C27" s="7"/>
      <c r="D27" s="5"/>
      <c r="E27" s="140" t="str">
        <f t="shared" si="0"/>
        <v/>
      </c>
      <c r="F27" s="142"/>
      <c r="G27" s="145">
        <f t="shared" si="3"/>
        <v>0</v>
      </c>
      <c r="H27" s="140" t="str">
        <f t="shared" si="2"/>
        <v/>
      </c>
      <c r="J27" s="148" t="str">
        <f>IFERROR(SUMIFS(当年实际!$V:$V,当年实际!$H:$H,$B27,当年实际!$C:$C,"&gt;="&amp;DATE(YEAR(主页!$D$2),1,1),当年实际!$C:$C,"&lt;="&amp;EOMONTH(DATE(YEAR(主页!$D$2),MONTH(主页!$D$2),1),0))/SUMIFS(当年实际!$P:$P,当年实际!$H:$H,$B27,当年实际!$C:$C,"&gt;="&amp;DATE(YEAR(主页!$D$2),1,1),当年实际!$C:$C,"&lt;="&amp;EOMONTH(DATE(YEAR(主页!$D$2),MONTH(主页!$D$2),1),0)),"")</f>
        <v/>
      </c>
    </row>
    <row r="28" spans="1:10" x14ac:dyDescent="0.3">
      <c r="A28" s="127"/>
      <c r="B28" s="149"/>
      <c r="C28" s="7"/>
      <c r="D28" s="5"/>
      <c r="E28" s="140" t="str">
        <f t="shared" si="0"/>
        <v/>
      </c>
      <c r="F28" s="142"/>
      <c r="G28" s="145">
        <f t="shared" si="3"/>
        <v>0</v>
      </c>
      <c r="H28" s="140" t="str">
        <f t="shared" si="2"/>
        <v/>
      </c>
      <c r="J28" s="148" t="str">
        <f>IFERROR(SUMIFS(当年实际!$V:$V,当年实际!$H:$H,$B28,当年实际!$C:$C,"&gt;="&amp;DATE(YEAR(主页!$D$2),1,1),当年实际!$C:$C,"&lt;="&amp;EOMONTH(DATE(YEAR(主页!$D$2),MONTH(主页!$D$2),1),0))/SUMIFS(当年实际!$P:$P,当年实际!$H:$H,$B28,当年实际!$C:$C,"&gt;="&amp;DATE(YEAR(主页!$D$2),1,1),当年实际!$C:$C,"&lt;="&amp;EOMONTH(DATE(YEAR(主页!$D$2),MONTH(主页!$D$2),1),0)),"")</f>
        <v/>
      </c>
    </row>
    <row r="29" spans="1:10" x14ac:dyDescent="0.3">
      <c r="A29" s="127"/>
      <c r="B29" s="149"/>
      <c r="C29" s="7"/>
      <c r="D29" s="5"/>
      <c r="E29" s="140" t="str">
        <f t="shared" si="0"/>
        <v/>
      </c>
      <c r="F29" s="142"/>
      <c r="G29" s="145">
        <f t="shared" si="3"/>
        <v>0</v>
      </c>
      <c r="H29" s="140" t="str">
        <f t="shared" si="2"/>
        <v/>
      </c>
      <c r="J29" s="148" t="str">
        <f>IFERROR(SUMIFS(当年实际!$V:$V,当年实际!$H:$H,$B29,当年实际!$C:$C,"&gt;="&amp;DATE(YEAR(主页!$D$2),1,1),当年实际!$C:$C,"&lt;="&amp;EOMONTH(DATE(YEAR(主页!$D$2),MONTH(主页!$D$2),1),0))/SUMIFS(当年实际!$P:$P,当年实际!$H:$H,$B29,当年实际!$C:$C,"&gt;="&amp;DATE(YEAR(主页!$D$2),1,1),当年实际!$C:$C,"&lt;="&amp;EOMONTH(DATE(YEAR(主页!$D$2),MONTH(主页!$D$2),1),0)),"")</f>
        <v/>
      </c>
    </row>
    <row r="30" spans="1:10" x14ac:dyDescent="0.3">
      <c r="A30" s="127"/>
      <c r="B30" s="149"/>
      <c r="C30" s="7"/>
      <c r="D30" s="5"/>
      <c r="E30" s="140" t="str">
        <f t="shared" si="0"/>
        <v/>
      </c>
      <c r="F30" s="142"/>
      <c r="G30" s="145">
        <f t="shared" si="3"/>
        <v>0</v>
      </c>
      <c r="H30" s="140" t="str">
        <f t="shared" si="2"/>
        <v/>
      </c>
      <c r="J30" s="148" t="str">
        <f>IFERROR(SUMIFS(当年实际!$V:$V,当年实际!$H:$H,$B30,当年实际!$C:$C,"&gt;="&amp;DATE(YEAR(主页!$D$2),1,1),当年实际!$C:$C,"&lt;="&amp;EOMONTH(DATE(YEAR(主页!$D$2),MONTH(主页!$D$2),1),0))/SUMIFS(当年实际!$P:$P,当年实际!$H:$H,$B30,当年实际!$C:$C,"&gt;="&amp;DATE(YEAR(主页!$D$2),1,1),当年实际!$C:$C,"&lt;="&amp;EOMONTH(DATE(YEAR(主页!$D$2),MONTH(主页!$D$2),1),0)),"")</f>
        <v/>
      </c>
    </row>
    <row r="31" spans="1:10" x14ac:dyDescent="0.3">
      <c r="A31" s="127"/>
      <c r="B31" s="149"/>
      <c r="C31" s="7"/>
      <c r="D31" s="5"/>
      <c r="E31" s="140" t="str">
        <f t="shared" si="0"/>
        <v/>
      </c>
      <c r="F31" s="142"/>
      <c r="G31" s="145">
        <f t="shared" si="3"/>
        <v>0</v>
      </c>
      <c r="H31" s="140" t="str">
        <f t="shared" si="2"/>
        <v/>
      </c>
      <c r="J31" s="148" t="str">
        <f>IFERROR(SUMIFS(当年实际!$V:$V,当年实际!$H:$H,$B31,当年实际!$C:$C,"&gt;="&amp;DATE(YEAR(主页!$D$2),1,1),当年实际!$C:$C,"&lt;="&amp;EOMONTH(DATE(YEAR(主页!$D$2),MONTH(主页!$D$2),1),0))/SUMIFS(当年实际!$P:$P,当年实际!$H:$H,$B31,当年实际!$C:$C,"&gt;="&amp;DATE(YEAR(主页!$D$2),1,1),当年实际!$C:$C,"&lt;="&amp;EOMONTH(DATE(YEAR(主页!$D$2),MONTH(主页!$D$2),1),0)),"")</f>
        <v/>
      </c>
    </row>
    <row r="32" spans="1:10" x14ac:dyDescent="0.3">
      <c r="A32" s="127"/>
      <c r="B32" s="149"/>
      <c r="C32" s="7"/>
      <c r="D32" s="5"/>
      <c r="E32" s="140" t="str">
        <f t="shared" si="0"/>
        <v/>
      </c>
      <c r="F32" s="142"/>
      <c r="G32" s="145">
        <f t="shared" si="3"/>
        <v>0</v>
      </c>
      <c r="H32" s="140" t="str">
        <f t="shared" si="2"/>
        <v/>
      </c>
      <c r="J32" s="148" t="str">
        <f>IFERROR(SUMIFS(当年实际!$V:$V,当年实际!$H:$H,$B32,当年实际!$C:$C,"&gt;="&amp;DATE(YEAR(主页!$D$2),1,1),当年实际!$C:$C,"&lt;="&amp;EOMONTH(DATE(YEAR(主页!$D$2),MONTH(主页!$D$2),1),0))/SUMIFS(当年实际!$P:$P,当年实际!$H:$H,$B32,当年实际!$C:$C,"&gt;="&amp;DATE(YEAR(主页!$D$2),1,1),当年实际!$C:$C,"&lt;="&amp;EOMONTH(DATE(YEAR(主页!$D$2),MONTH(主页!$D$2),1),0)),"")</f>
        <v/>
      </c>
    </row>
    <row r="33" spans="1:10" x14ac:dyDescent="0.3">
      <c r="A33" s="127"/>
      <c r="B33" s="149"/>
      <c r="C33" s="7"/>
      <c r="D33" s="5"/>
      <c r="E33" s="140" t="str">
        <f t="shared" si="0"/>
        <v/>
      </c>
      <c r="F33" s="142"/>
      <c r="G33" s="145">
        <f t="shared" si="3"/>
        <v>0</v>
      </c>
      <c r="H33" s="140" t="str">
        <f t="shared" si="2"/>
        <v/>
      </c>
      <c r="J33" s="148" t="str">
        <f>IFERROR(SUMIFS(当年实际!$V:$V,当年实际!$H:$H,$B33,当年实际!$C:$C,"&gt;="&amp;DATE(YEAR(主页!$D$2),1,1),当年实际!$C:$C,"&lt;="&amp;EOMONTH(DATE(YEAR(主页!$D$2),MONTH(主页!$D$2),1),0))/SUMIFS(当年实际!$P:$P,当年实际!$H:$H,$B33,当年实际!$C:$C,"&gt;="&amp;DATE(YEAR(主页!$D$2),1,1),当年实际!$C:$C,"&lt;="&amp;EOMONTH(DATE(YEAR(主页!$D$2),MONTH(主页!$D$2),1),0)),"")</f>
        <v/>
      </c>
    </row>
    <row r="34" spans="1:10" x14ac:dyDescent="0.3">
      <c r="A34" s="127"/>
      <c r="B34" s="149"/>
      <c r="C34" s="7"/>
      <c r="D34" s="5"/>
      <c r="E34" s="140" t="str">
        <f t="shared" si="0"/>
        <v/>
      </c>
      <c r="F34" s="142"/>
      <c r="G34" s="145">
        <f t="shared" si="3"/>
        <v>0</v>
      </c>
      <c r="H34" s="140" t="str">
        <f t="shared" si="2"/>
        <v/>
      </c>
      <c r="J34" s="148" t="str">
        <f>IFERROR(SUMIFS(当年实际!$V:$V,当年实际!$H:$H,$B34,当年实际!$C:$C,"&gt;="&amp;DATE(YEAR(主页!$D$2),1,1),当年实际!$C:$C,"&lt;="&amp;EOMONTH(DATE(YEAR(主页!$D$2),MONTH(主页!$D$2),1),0))/SUMIFS(当年实际!$P:$P,当年实际!$H:$H,$B34,当年实际!$C:$C,"&gt;="&amp;DATE(YEAR(主页!$D$2),1,1),当年实际!$C:$C,"&lt;="&amp;EOMONTH(DATE(YEAR(主页!$D$2),MONTH(主页!$D$2),1),0)),"")</f>
        <v/>
      </c>
    </row>
    <row r="35" spans="1:10" x14ac:dyDescent="0.3">
      <c r="A35" s="127"/>
      <c r="B35" s="149"/>
      <c r="C35" s="7"/>
      <c r="D35" s="5"/>
      <c r="E35" s="140" t="str">
        <f t="shared" si="0"/>
        <v/>
      </c>
      <c r="F35" s="142"/>
      <c r="G35" s="145">
        <f t="shared" si="3"/>
        <v>0</v>
      </c>
      <c r="H35" s="140" t="str">
        <f t="shared" si="2"/>
        <v/>
      </c>
      <c r="J35" s="148" t="str">
        <f>IFERROR(SUMIFS(当年实际!$V:$V,当年实际!$H:$H,$B35,当年实际!$C:$C,"&gt;="&amp;DATE(YEAR(主页!$D$2),1,1),当年实际!$C:$C,"&lt;="&amp;EOMONTH(DATE(YEAR(主页!$D$2),MONTH(主页!$D$2),1),0))/SUMIFS(当年实际!$P:$P,当年实际!$H:$H,$B35,当年实际!$C:$C,"&gt;="&amp;DATE(YEAR(主页!$D$2),1,1),当年实际!$C:$C,"&lt;="&amp;EOMONTH(DATE(YEAR(主页!$D$2),MONTH(主页!$D$2),1),0)),"")</f>
        <v/>
      </c>
    </row>
    <row r="36" spans="1:10" x14ac:dyDescent="0.3">
      <c r="A36" s="127"/>
      <c r="B36" s="149"/>
      <c r="C36" s="7"/>
      <c r="D36" s="5"/>
      <c r="E36" s="140" t="str">
        <f t="shared" si="0"/>
        <v/>
      </c>
      <c r="F36" s="142"/>
      <c r="G36" s="145">
        <f t="shared" si="3"/>
        <v>0</v>
      </c>
      <c r="H36" s="140" t="str">
        <f t="shared" si="2"/>
        <v/>
      </c>
      <c r="J36" s="148" t="str">
        <f>IFERROR(SUMIFS(当年实际!$V:$V,当年实际!$H:$H,$B36,当年实际!$C:$C,"&gt;="&amp;DATE(YEAR(主页!$D$2),1,1),当年实际!$C:$C,"&lt;="&amp;EOMONTH(DATE(YEAR(主页!$D$2),MONTH(主页!$D$2),1),0))/SUMIFS(当年实际!$P:$P,当年实际!$H:$H,$B36,当年实际!$C:$C,"&gt;="&amp;DATE(YEAR(主页!$D$2),1,1),当年实际!$C:$C,"&lt;="&amp;EOMONTH(DATE(YEAR(主页!$D$2),MONTH(主页!$D$2),1),0)),"")</f>
        <v/>
      </c>
    </row>
    <row r="37" spans="1:10" x14ac:dyDescent="0.3">
      <c r="A37" s="127"/>
      <c r="B37" s="149"/>
      <c r="C37" s="7"/>
      <c r="D37" s="5"/>
      <c r="E37" s="140" t="str">
        <f t="shared" si="0"/>
        <v/>
      </c>
      <c r="F37" s="142"/>
      <c r="G37" s="145">
        <f t="shared" si="3"/>
        <v>0</v>
      </c>
      <c r="H37" s="140" t="str">
        <f t="shared" si="2"/>
        <v/>
      </c>
      <c r="J37" s="148" t="str">
        <f>IFERROR(SUMIFS(当年实际!$V:$V,当年实际!$H:$H,$B37,当年实际!$C:$C,"&gt;="&amp;DATE(YEAR(主页!$D$2),1,1),当年实际!$C:$C,"&lt;="&amp;EOMONTH(DATE(YEAR(主页!$D$2),MONTH(主页!$D$2),1),0))/SUMIFS(当年实际!$P:$P,当年实际!$H:$H,$B37,当年实际!$C:$C,"&gt;="&amp;DATE(YEAR(主页!$D$2),1,1),当年实际!$C:$C,"&lt;="&amp;EOMONTH(DATE(YEAR(主页!$D$2),MONTH(主页!$D$2),1),0)),"")</f>
        <v/>
      </c>
    </row>
    <row r="38" spans="1:10" x14ac:dyDescent="0.3">
      <c r="A38" s="127"/>
      <c r="B38" s="149"/>
      <c r="C38" s="7"/>
      <c r="D38" s="5"/>
      <c r="E38" s="140" t="str">
        <f t="shared" si="0"/>
        <v/>
      </c>
      <c r="F38" s="142"/>
      <c r="G38" s="145">
        <f t="shared" si="3"/>
        <v>0</v>
      </c>
      <c r="H38" s="140" t="str">
        <f t="shared" si="2"/>
        <v/>
      </c>
      <c r="J38" s="148" t="str">
        <f>IFERROR(SUMIFS(当年实际!$V:$V,当年实际!$H:$H,$B38,当年实际!$C:$C,"&gt;="&amp;DATE(YEAR(主页!$D$2),1,1),当年实际!$C:$C,"&lt;="&amp;EOMONTH(DATE(YEAR(主页!$D$2),MONTH(主页!$D$2),1),0))/SUMIFS(当年实际!$P:$P,当年实际!$H:$H,$B38,当年实际!$C:$C,"&gt;="&amp;DATE(YEAR(主页!$D$2),1,1),当年实际!$C:$C,"&lt;="&amp;EOMONTH(DATE(YEAR(主页!$D$2),MONTH(主页!$D$2),1),0)),"")</f>
        <v/>
      </c>
    </row>
    <row r="39" spans="1:10" x14ac:dyDescent="0.3">
      <c r="A39" s="127"/>
      <c r="B39" s="149"/>
      <c r="C39" s="7"/>
      <c r="D39" s="5"/>
      <c r="E39" s="140" t="str">
        <f t="shared" si="0"/>
        <v/>
      </c>
      <c r="F39" s="142"/>
      <c r="G39" s="145">
        <f t="shared" si="3"/>
        <v>0</v>
      </c>
      <c r="H39" s="140" t="str">
        <f t="shared" si="2"/>
        <v/>
      </c>
      <c r="J39" s="148" t="str">
        <f>IFERROR(SUMIFS(当年实际!$V:$V,当年实际!$H:$H,$B39,当年实际!$C:$C,"&gt;="&amp;DATE(YEAR(主页!$D$2),1,1),当年实际!$C:$C,"&lt;="&amp;EOMONTH(DATE(YEAR(主页!$D$2),MONTH(主页!$D$2),1),0))/SUMIFS(当年实际!$P:$P,当年实际!$H:$H,$B39,当年实际!$C:$C,"&gt;="&amp;DATE(YEAR(主页!$D$2),1,1),当年实际!$C:$C,"&lt;="&amp;EOMONTH(DATE(YEAR(主页!$D$2),MONTH(主页!$D$2),1),0)),"")</f>
        <v/>
      </c>
    </row>
    <row r="40" spans="1:10" x14ac:dyDescent="0.3">
      <c r="A40" s="127"/>
      <c r="B40" s="149"/>
      <c r="C40" s="7"/>
      <c r="D40" s="5"/>
      <c r="E40" s="140" t="str">
        <f t="shared" si="0"/>
        <v/>
      </c>
      <c r="F40" s="142"/>
      <c r="G40" s="145">
        <f t="shared" si="3"/>
        <v>0</v>
      </c>
      <c r="H40" s="140" t="str">
        <f t="shared" si="2"/>
        <v/>
      </c>
      <c r="J40" s="148" t="str">
        <f>IFERROR(SUMIFS(当年实际!$V:$V,当年实际!$H:$H,$B40,当年实际!$C:$C,"&gt;="&amp;DATE(YEAR(主页!$D$2),1,1),当年实际!$C:$C,"&lt;="&amp;EOMONTH(DATE(YEAR(主页!$D$2),MONTH(主页!$D$2),1),0))/SUMIFS(当年实际!$P:$P,当年实际!$H:$H,$B40,当年实际!$C:$C,"&gt;="&amp;DATE(YEAR(主页!$D$2),1,1),当年实际!$C:$C,"&lt;="&amp;EOMONTH(DATE(YEAR(主页!$D$2),MONTH(主页!$D$2),1),0)),"")</f>
        <v/>
      </c>
    </row>
    <row r="41" spans="1:10" x14ac:dyDescent="0.3">
      <c r="A41" s="127"/>
      <c r="B41" s="149"/>
      <c r="C41" s="7"/>
      <c r="D41" s="5"/>
      <c r="E41" s="140" t="str">
        <f t="shared" si="0"/>
        <v/>
      </c>
      <c r="F41" s="142"/>
      <c r="G41" s="145">
        <f t="shared" si="3"/>
        <v>0</v>
      </c>
      <c r="H41" s="140" t="str">
        <f t="shared" si="2"/>
        <v/>
      </c>
      <c r="J41" s="148" t="str">
        <f>IFERROR(SUMIFS(当年实际!$V:$V,当年实际!$H:$H,$B41,当年实际!$C:$C,"&gt;="&amp;DATE(YEAR(主页!$D$2),1,1),当年实际!$C:$C,"&lt;="&amp;EOMONTH(DATE(YEAR(主页!$D$2),MONTH(主页!$D$2),1),0))/SUMIFS(当年实际!$P:$P,当年实际!$H:$H,$B41,当年实际!$C:$C,"&gt;="&amp;DATE(YEAR(主页!$D$2),1,1),当年实际!$C:$C,"&lt;="&amp;EOMONTH(DATE(YEAR(主页!$D$2),MONTH(主页!$D$2),1),0)),"")</f>
        <v/>
      </c>
    </row>
    <row r="42" spans="1:10" x14ac:dyDescent="0.3">
      <c r="A42" s="127"/>
      <c r="B42" s="149"/>
      <c r="C42" s="7"/>
      <c r="D42" s="5"/>
      <c r="E42" s="140" t="str">
        <f t="shared" si="0"/>
        <v/>
      </c>
      <c r="F42" s="142"/>
      <c r="G42" s="145">
        <f t="shared" si="3"/>
        <v>0</v>
      </c>
      <c r="H42" s="140" t="str">
        <f t="shared" si="2"/>
        <v/>
      </c>
      <c r="J42" s="148" t="str">
        <f>IFERROR(SUMIFS(当年实际!$V:$V,当年实际!$H:$H,$B42,当年实际!$C:$C,"&gt;="&amp;DATE(YEAR(主页!$D$2),1,1),当年实际!$C:$C,"&lt;="&amp;EOMONTH(DATE(YEAR(主页!$D$2),MONTH(主页!$D$2),1),0))/SUMIFS(当年实际!$P:$P,当年实际!$H:$H,$B42,当年实际!$C:$C,"&gt;="&amp;DATE(YEAR(主页!$D$2),1,1),当年实际!$C:$C,"&lt;="&amp;EOMONTH(DATE(YEAR(主页!$D$2),MONTH(主页!$D$2),1),0)),"")</f>
        <v/>
      </c>
    </row>
    <row r="43" spans="1:10" x14ac:dyDescent="0.3">
      <c r="A43" s="127"/>
      <c r="B43" s="149"/>
      <c r="C43" s="7"/>
      <c r="D43" s="5"/>
      <c r="E43" s="140" t="str">
        <f t="shared" si="0"/>
        <v/>
      </c>
      <c r="F43" s="142"/>
      <c r="G43" s="145">
        <f t="shared" si="3"/>
        <v>0</v>
      </c>
      <c r="H43" s="140" t="str">
        <f t="shared" si="2"/>
        <v/>
      </c>
      <c r="J43" s="148" t="str">
        <f>IFERROR(SUMIFS(当年实际!$V:$V,当年实际!$H:$H,$B43,当年实际!$C:$C,"&gt;="&amp;DATE(YEAR(主页!$D$2),1,1),当年实际!$C:$C,"&lt;="&amp;EOMONTH(DATE(YEAR(主页!$D$2),MONTH(主页!$D$2),1),0))/SUMIFS(当年实际!$P:$P,当年实际!$H:$H,$B43,当年实际!$C:$C,"&gt;="&amp;DATE(YEAR(主页!$D$2),1,1),当年实际!$C:$C,"&lt;="&amp;EOMONTH(DATE(YEAR(主页!$D$2),MONTH(主页!$D$2),1),0)),"")</f>
        <v/>
      </c>
    </row>
    <row r="44" spans="1:10" x14ac:dyDescent="0.3">
      <c r="A44" s="127"/>
      <c r="B44" s="149"/>
      <c r="C44" s="7"/>
      <c r="D44" s="5"/>
      <c r="E44" s="140" t="str">
        <f t="shared" si="0"/>
        <v/>
      </c>
      <c r="F44" s="142"/>
      <c r="G44" s="145">
        <f t="shared" si="3"/>
        <v>0</v>
      </c>
      <c r="H44" s="140" t="str">
        <f t="shared" si="2"/>
        <v/>
      </c>
      <c r="J44" s="148" t="str">
        <f>IFERROR(SUMIFS(当年实际!$V:$V,当年实际!$H:$H,$B44,当年实际!$C:$C,"&gt;="&amp;DATE(YEAR(主页!$D$2),1,1),当年实际!$C:$C,"&lt;="&amp;EOMONTH(DATE(YEAR(主页!$D$2),MONTH(主页!$D$2),1),0))/SUMIFS(当年实际!$P:$P,当年实际!$H:$H,$B44,当年实际!$C:$C,"&gt;="&amp;DATE(YEAR(主页!$D$2),1,1),当年实际!$C:$C,"&lt;="&amp;EOMONTH(DATE(YEAR(主页!$D$2),MONTH(主页!$D$2),1),0)),"")</f>
        <v/>
      </c>
    </row>
    <row r="45" spans="1:10" x14ac:dyDescent="0.3">
      <c r="A45" s="127"/>
      <c r="B45" s="149"/>
      <c r="C45" s="7"/>
      <c r="D45" s="5"/>
      <c r="E45" s="140" t="str">
        <f t="shared" si="0"/>
        <v/>
      </c>
      <c r="F45" s="142"/>
      <c r="G45" s="145">
        <f t="shared" si="3"/>
        <v>0</v>
      </c>
      <c r="H45" s="140" t="str">
        <f t="shared" si="2"/>
        <v/>
      </c>
      <c r="J45" s="148" t="str">
        <f>IFERROR(SUMIFS(当年实际!$V:$V,当年实际!$H:$H,$B45,当年实际!$C:$C,"&gt;="&amp;DATE(YEAR(主页!$D$2),1,1),当年实际!$C:$C,"&lt;="&amp;EOMONTH(DATE(YEAR(主页!$D$2),MONTH(主页!$D$2),1),0))/SUMIFS(当年实际!$P:$P,当年实际!$H:$H,$B45,当年实际!$C:$C,"&gt;="&amp;DATE(YEAR(主页!$D$2),1,1),当年实际!$C:$C,"&lt;="&amp;EOMONTH(DATE(YEAR(主页!$D$2),MONTH(主页!$D$2),1),0)),"")</f>
        <v/>
      </c>
    </row>
    <row r="46" spans="1:10" x14ac:dyDescent="0.3">
      <c r="A46" s="127"/>
      <c r="B46" s="149"/>
      <c r="C46" s="7"/>
      <c r="D46" s="5"/>
      <c r="E46" s="140" t="str">
        <f t="shared" si="0"/>
        <v/>
      </c>
      <c r="F46" s="142"/>
      <c r="G46" s="145">
        <f t="shared" si="3"/>
        <v>0</v>
      </c>
      <c r="H46" s="140" t="str">
        <f t="shared" si="2"/>
        <v/>
      </c>
      <c r="J46" s="148" t="str">
        <f>IFERROR(SUMIFS(当年实际!$V:$V,当年实际!$H:$H,$B46,当年实际!$C:$C,"&gt;="&amp;DATE(YEAR(主页!$D$2),1,1),当年实际!$C:$C,"&lt;="&amp;EOMONTH(DATE(YEAR(主页!$D$2),MONTH(主页!$D$2),1),0))/SUMIFS(当年实际!$P:$P,当年实际!$H:$H,$B46,当年实际!$C:$C,"&gt;="&amp;DATE(YEAR(主页!$D$2),1,1),当年实际!$C:$C,"&lt;="&amp;EOMONTH(DATE(YEAR(主页!$D$2),MONTH(主页!$D$2),1),0)),"")</f>
        <v/>
      </c>
    </row>
    <row r="47" spans="1:10" x14ac:dyDescent="0.3">
      <c r="A47" s="127"/>
      <c r="B47" s="149"/>
      <c r="C47" s="7"/>
      <c r="D47" s="5"/>
      <c r="E47" s="140" t="str">
        <f t="shared" si="0"/>
        <v/>
      </c>
      <c r="F47" s="142"/>
      <c r="G47" s="145">
        <f t="shared" si="3"/>
        <v>0</v>
      </c>
      <c r="H47" s="140" t="str">
        <f t="shared" si="2"/>
        <v/>
      </c>
      <c r="J47" s="148" t="str">
        <f>IFERROR(SUMIFS(当年实际!$V:$V,当年实际!$H:$H,$B47,当年实际!$C:$C,"&gt;="&amp;DATE(YEAR(主页!$D$2),1,1),当年实际!$C:$C,"&lt;="&amp;EOMONTH(DATE(YEAR(主页!$D$2),MONTH(主页!$D$2),1),0))/SUMIFS(当年实际!$P:$P,当年实际!$H:$H,$B47,当年实际!$C:$C,"&gt;="&amp;DATE(YEAR(主页!$D$2),1,1),当年实际!$C:$C,"&lt;="&amp;EOMONTH(DATE(YEAR(主页!$D$2),MONTH(主页!$D$2),1),0)),"")</f>
        <v/>
      </c>
    </row>
    <row r="48" spans="1:10" x14ac:dyDescent="0.3">
      <c r="A48" s="127"/>
      <c r="B48" s="149"/>
      <c r="C48" s="7"/>
      <c r="D48" s="5"/>
      <c r="E48" s="140" t="str">
        <f t="shared" si="0"/>
        <v/>
      </c>
      <c r="F48" s="142"/>
      <c r="G48" s="145">
        <f t="shared" si="3"/>
        <v>0</v>
      </c>
      <c r="H48" s="140" t="str">
        <f t="shared" si="2"/>
        <v/>
      </c>
      <c r="J48" s="148" t="str">
        <f>IFERROR(SUMIFS(当年实际!$V:$V,当年实际!$H:$H,$B48,当年实际!$C:$C,"&gt;="&amp;DATE(YEAR(主页!$D$2),1,1),当年实际!$C:$C,"&lt;="&amp;EOMONTH(DATE(YEAR(主页!$D$2),MONTH(主页!$D$2),1),0))/SUMIFS(当年实际!$P:$P,当年实际!$H:$H,$B48,当年实际!$C:$C,"&gt;="&amp;DATE(YEAR(主页!$D$2),1,1),当年实际!$C:$C,"&lt;="&amp;EOMONTH(DATE(YEAR(主页!$D$2),MONTH(主页!$D$2),1),0)),"")</f>
        <v/>
      </c>
    </row>
    <row r="49" spans="1:10" x14ac:dyDescent="0.3">
      <c r="A49" s="127"/>
      <c r="B49" s="149"/>
      <c r="C49" s="7"/>
      <c r="D49" s="5"/>
      <c r="E49" s="140" t="str">
        <f t="shared" si="0"/>
        <v/>
      </c>
      <c r="F49" s="142"/>
      <c r="G49" s="145">
        <f t="shared" si="3"/>
        <v>0</v>
      </c>
      <c r="H49" s="140" t="str">
        <f t="shared" si="2"/>
        <v/>
      </c>
      <c r="J49" s="148" t="str">
        <f>IFERROR(SUMIFS(当年实际!$V:$V,当年实际!$H:$H,$B49,当年实际!$C:$C,"&gt;="&amp;DATE(YEAR(主页!$D$2),1,1),当年实际!$C:$C,"&lt;="&amp;EOMONTH(DATE(YEAR(主页!$D$2),MONTH(主页!$D$2),1),0))/SUMIFS(当年实际!$P:$P,当年实际!$H:$H,$B49,当年实际!$C:$C,"&gt;="&amp;DATE(YEAR(主页!$D$2),1,1),当年实际!$C:$C,"&lt;="&amp;EOMONTH(DATE(YEAR(主页!$D$2),MONTH(主页!$D$2),1),0)),"")</f>
        <v/>
      </c>
    </row>
    <row r="50" spans="1:10" x14ac:dyDescent="0.3">
      <c r="A50" s="127"/>
      <c r="B50" s="149"/>
      <c r="C50" s="7"/>
      <c r="D50" s="5"/>
      <c r="E50" s="140" t="str">
        <f t="shared" si="0"/>
        <v/>
      </c>
      <c r="F50" s="142"/>
      <c r="G50" s="145">
        <f t="shared" si="3"/>
        <v>0</v>
      </c>
      <c r="H50" s="140" t="str">
        <f t="shared" si="2"/>
        <v/>
      </c>
      <c r="J50" s="148" t="str">
        <f>IFERROR(SUMIFS(当年实际!$V:$V,当年实际!$H:$H,$B50,当年实际!$C:$C,"&gt;="&amp;DATE(YEAR(主页!$D$2),1,1),当年实际!$C:$C,"&lt;="&amp;EOMONTH(DATE(YEAR(主页!$D$2),MONTH(主页!$D$2),1),0))/SUMIFS(当年实际!$P:$P,当年实际!$H:$H,$B50,当年实际!$C:$C,"&gt;="&amp;DATE(YEAR(主页!$D$2),1,1),当年实际!$C:$C,"&lt;="&amp;EOMONTH(DATE(YEAR(主页!$D$2),MONTH(主页!$D$2),1),0)),"")</f>
        <v/>
      </c>
    </row>
    <row r="51" spans="1:10" x14ac:dyDescent="0.3">
      <c r="A51" s="127"/>
      <c r="B51" s="149"/>
      <c r="C51" s="7"/>
      <c r="D51" s="5"/>
      <c r="E51" s="140" t="str">
        <f t="shared" si="0"/>
        <v/>
      </c>
      <c r="F51" s="142"/>
      <c r="G51" s="145">
        <f t="shared" si="3"/>
        <v>0</v>
      </c>
      <c r="H51" s="140" t="str">
        <f t="shared" si="2"/>
        <v/>
      </c>
      <c r="J51" s="148" t="str">
        <f>IFERROR(SUMIFS(当年实际!$V:$V,当年实际!$H:$H,$B51,当年实际!$C:$C,"&gt;="&amp;DATE(YEAR(主页!$D$2),1,1),当年实际!$C:$C,"&lt;="&amp;EOMONTH(DATE(YEAR(主页!$D$2),MONTH(主页!$D$2),1),0))/SUMIFS(当年实际!$P:$P,当年实际!$H:$H,$B51,当年实际!$C:$C,"&gt;="&amp;DATE(YEAR(主页!$D$2),1,1),当年实际!$C:$C,"&lt;="&amp;EOMONTH(DATE(YEAR(主页!$D$2),MONTH(主页!$D$2),1),0)),"")</f>
        <v/>
      </c>
    </row>
    <row r="52" spans="1:10" x14ac:dyDescent="0.3">
      <c r="A52" s="127"/>
      <c r="B52" s="149"/>
      <c r="C52" s="7"/>
      <c r="D52" s="5"/>
      <c r="E52" s="140" t="str">
        <f t="shared" si="0"/>
        <v/>
      </c>
      <c r="F52" s="142"/>
      <c r="G52" s="145">
        <f t="shared" si="3"/>
        <v>0</v>
      </c>
      <c r="H52" s="140" t="str">
        <f t="shared" si="2"/>
        <v/>
      </c>
      <c r="J52" s="148" t="str">
        <f>IFERROR(SUMIFS(当年实际!$V:$V,当年实际!$H:$H,$B52,当年实际!$C:$C,"&gt;="&amp;DATE(YEAR(主页!$D$2),1,1),当年实际!$C:$C,"&lt;="&amp;EOMONTH(DATE(YEAR(主页!$D$2),MONTH(主页!$D$2),1),0))/SUMIFS(当年实际!$P:$P,当年实际!$H:$H,$B52,当年实际!$C:$C,"&gt;="&amp;DATE(YEAR(主页!$D$2),1,1),当年实际!$C:$C,"&lt;="&amp;EOMONTH(DATE(YEAR(主页!$D$2),MONTH(主页!$D$2),1),0)),"")</f>
        <v/>
      </c>
    </row>
    <row r="53" spans="1:10" x14ac:dyDescent="0.3">
      <c r="A53" s="127"/>
      <c r="B53" s="149"/>
      <c r="C53" s="7"/>
      <c r="D53" s="5"/>
      <c r="E53" s="140" t="str">
        <f t="shared" si="0"/>
        <v/>
      </c>
      <c r="F53" s="142"/>
      <c r="G53" s="145">
        <f t="shared" si="3"/>
        <v>0</v>
      </c>
      <c r="H53" s="140" t="str">
        <f t="shared" si="2"/>
        <v/>
      </c>
      <c r="J53" s="148" t="str">
        <f>IFERROR(SUMIFS(当年实际!$V:$V,当年实际!$H:$H,$B53,当年实际!$C:$C,"&gt;="&amp;DATE(YEAR(主页!$D$2),1,1),当年实际!$C:$C,"&lt;="&amp;EOMONTH(DATE(YEAR(主页!$D$2),MONTH(主页!$D$2),1),0))/SUMIFS(当年实际!$P:$P,当年实际!$H:$H,$B53,当年实际!$C:$C,"&gt;="&amp;DATE(YEAR(主页!$D$2),1,1),当年实际!$C:$C,"&lt;="&amp;EOMONTH(DATE(YEAR(主页!$D$2),MONTH(主页!$D$2),1),0)),"")</f>
        <v/>
      </c>
    </row>
    <row r="54" spans="1:10" x14ac:dyDescent="0.3">
      <c r="A54" s="127"/>
      <c r="B54" s="149"/>
      <c r="C54" s="7"/>
      <c r="D54" s="5"/>
      <c r="E54" s="140" t="str">
        <f t="shared" si="0"/>
        <v/>
      </c>
      <c r="F54" s="142"/>
      <c r="G54" s="145">
        <f t="shared" si="3"/>
        <v>0</v>
      </c>
      <c r="H54" s="140" t="str">
        <f t="shared" si="2"/>
        <v/>
      </c>
      <c r="J54" s="148" t="str">
        <f>IFERROR(SUMIFS(当年实际!$V:$V,当年实际!$H:$H,$B54,当年实际!$C:$C,"&gt;="&amp;DATE(YEAR(主页!$D$2),1,1),当年实际!$C:$C,"&lt;="&amp;EOMONTH(DATE(YEAR(主页!$D$2),MONTH(主页!$D$2),1),0))/SUMIFS(当年实际!$P:$P,当年实际!$H:$H,$B54,当年实际!$C:$C,"&gt;="&amp;DATE(YEAR(主页!$D$2),1,1),当年实际!$C:$C,"&lt;="&amp;EOMONTH(DATE(YEAR(主页!$D$2),MONTH(主页!$D$2),1),0)),"")</f>
        <v/>
      </c>
    </row>
    <row r="55" spans="1:10" x14ac:dyDescent="0.3">
      <c r="A55" s="127"/>
      <c r="B55" s="149"/>
      <c r="C55" s="7"/>
      <c r="D55" s="5"/>
      <c r="E55" s="140" t="str">
        <f t="shared" si="0"/>
        <v/>
      </c>
      <c r="F55" s="142"/>
      <c r="G55" s="145">
        <f t="shared" si="3"/>
        <v>0</v>
      </c>
      <c r="H55" s="140" t="str">
        <f t="shared" si="2"/>
        <v/>
      </c>
      <c r="J55" s="148" t="str">
        <f>IFERROR(SUMIFS(当年实际!$V:$V,当年实际!$H:$H,$B55,当年实际!$C:$C,"&gt;="&amp;DATE(YEAR(主页!$D$2),1,1),当年实际!$C:$C,"&lt;="&amp;EOMONTH(DATE(YEAR(主页!$D$2),MONTH(主页!$D$2),1),0))/SUMIFS(当年实际!$P:$P,当年实际!$H:$H,$B55,当年实际!$C:$C,"&gt;="&amp;DATE(YEAR(主页!$D$2),1,1),当年实际!$C:$C,"&lt;="&amp;EOMONTH(DATE(YEAR(主页!$D$2),MONTH(主页!$D$2),1),0)),"")</f>
        <v/>
      </c>
    </row>
    <row r="56" spans="1:10" x14ac:dyDescent="0.3">
      <c r="A56" s="127"/>
      <c r="B56" s="149"/>
      <c r="C56" s="7"/>
      <c r="D56" s="5"/>
      <c r="E56" s="140" t="str">
        <f t="shared" si="0"/>
        <v/>
      </c>
      <c r="F56" s="142"/>
      <c r="G56" s="145">
        <f t="shared" si="3"/>
        <v>0</v>
      </c>
      <c r="H56" s="140" t="str">
        <f t="shared" si="2"/>
        <v/>
      </c>
      <c r="J56" s="148" t="str">
        <f>IFERROR(SUMIFS(当年实际!$V:$V,当年实际!$H:$H,$B56,当年实际!$C:$C,"&gt;="&amp;DATE(YEAR(主页!$D$2),1,1),当年实际!$C:$C,"&lt;="&amp;EOMONTH(DATE(YEAR(主页!$D$2),MONTH(主页!$D$2),1),0))/SUMIFS(当年实际!$P:$P,当年实际!$H:$H,$B56,当年实际!$C:$C,"&gt;="&amp;DATE(YEAR(主页!$D$2),1,1),当年实际!$C:$C,"&lt;="&amp;EOMONTH(DATE(YEAR(主页!$D$2),MONTH(主页!$D$2),1),0)),"")</f>
        <v/>
      </c>
    </row>
    <row r="57" spans="1:10" x14ac:dyDescent="0.3">
      <c r="A57" s="127"/>
      <c r="B57" s="149"/>
      <c r="C57" s="7"/>
      <c r="D57" s="5"/>
      <c r="E57" s="140" t="str">
        <f t="shared" si="0"/>
        <v/>
      </c>
      <c r="F57" s="142"/>
      <c r="G57" s="145">
        <f t="shared" si="3"/>
        <v>0</v>
      </c>
      <c r="H57" s="140" t="str">
        <f t="shared" si="2"/>
        <v/>
      </c>
      <c r="J57" s="148" t="str">
        <f>IFERROR(SUMIFS(当年实际!$V:$V,当年实际!$H:$H,$B57,当年实际!$C:$C,"&gt;="&amp;DATE(YEAR(主页!$D$2),1,1),当年实际!$C:$C,"&lt;="&amp;EOMONTH(DATE(YEAR(主页!$D$2),MONTH(主页!$D$2),1),0))/SUMIFS(当年实际!$P:$P,当年实际!$H:$H,$B57,当年实际!$C:$C,"&gt;="&amp;DATE(YEAR(主页!$D$2),1,1),当年实际!$C:$C,"&lt;="&amp;EOMONTH(DATE(YEAR(主页!$D$2),MONTH(主页!$D$2),1),0)),"")</f>
        <v/>
      </c>
    </row>
    <row r="58" spans="1:10" x14ac:dyDescent="0.3">
      <c r="A58" s="127"/>
      <c r="B58" s="149"/>
      <c r="C58" s="7"/>
      <c r="D58" s="5"/>
      <c r="E58" s="140" t="str">
        <f t="shared" si="0"/>
        <v/>
      </c>
      <c r="F58" s="142"/>
      <c r="G58" s="145">
        <f t="shared" si="3"/>
        <v>0</v>
      </c>
      <c r="H58" s="140" t="str">
        <f t="shared" si="2"/>
        <v/>
      </c>
      <c r="J58" s="148" t="str">
        <f>IFERROR(SUMIFS(当年实际!$V:$V,当年实际!$H:$H,$B58,当年实际!$C:$C,"&gt;="&amp;DATE(YEAR(主页!$D$2),1,1),当年实际!$C:$C,"&lt;="&amp;EOMONTH(DATE(YEAR(主页!$D$2),MONTH(主页!$D$2),1),0))/SUMIFS(当年实际!$P:$P,当年实际!$H:$H,$B58,当年实际!$C:$C,"&gt;="&amp;DATE(YEAR(主页!$D$2),1,1),当年实际!$C:$C,"&lt;="&amp;EOMONTH(DATE(YEAR(主页!$D$2),MONTH(主页!$D$2),1),0)),"")</f>
        <v/>
      </c>
    </row>
    <row r="59" spans="1:10" x14ac:dyDescent="0.3">
      <c r="A59" s="127"/>
      <c r="B59" s="149"/>
      <c r="C59" s="7"/>
      <c r="D59" s="5"/>
      <c r="E59" s="140" t="str">
        <f t="shared" si="0"/>
        <v/>
      </c>
      <c r="F59" s="142"/>
      <c r="G59" s="145">
        <f t="shared" si="3"/>
        <v>0</v>
      </c>
      <c r="H59" s="140" t="str">
        <f t="shared" si="2"/>
        <v/>
      </c>
      <c r="J59" s="148" t="str">
        <f>IFERROR(SUMIFS(当年实际!$V:$V,当年实际!$H:$H,$B59,当年实际!$C:$C,"&gt;="&amp;DATE(YEAR(主页!$D$2),1,1),当年实际!$C:$C,"&lt;="&amp;EOMONTH(DATE(YEAR(主页!$D$2),MONTH(主页!$D$2),1),0))/SUMIFS(当年实际!$P:$P,当年实际!$H:$H,$B59,当年实际!$C:$C,"&gt;="&amp;DATE(YEAR(主页!$D$2),1,1),当年实际!$C:$C,"&lt;="&amp;EOMONTH(DATE(YEAR(主页!$D$2),MONTH(主页!$D$2),1),0)),"")</f>
        <v/>
      </c>
    </row>
    <row r="60" spans="1:10" x14ac:dyDescent="0.3">
      <c r="A60" s="127"/>
      <c r="B60" s="149"/>
      <c r="C60" s="7"/>
      <c r="D60" s="5"/>
      <c r="E60" s="140" t="str">
        <f t="shared" si="0"/>
        <v/>
      </c>
      <c r="F60" s="142"/>
      <c r="G60" s="145">
        <f t="shared" si="3"/>
        <v>0</v>
      </c>
      <c r="H60" s="140" t="str">
        <f t="shared" si="2"/>
        <v/>
      </c>
      <c r="J60" s="148" t="str">
        <f>IFERROR(SUMIFS(当年实际!$V:$V,当年实际!$H:$H,$B60,当年实际!$C:$C,"&gt;="&amp;DATE(YEAR(主页!$D$2),1,1),当年实际!$C:$C,"&lt;="&amp;EOMONTH(DATE(YEAR(主页!$D$2),MONTH(主页!$D$2),1),0))/SUMIFS(当年实际!$P:$P,当年实际!$H:$H,$B60,当年实际!$C:$C,"&gt;="&amp;DATE(YEAR(主页!$D$2),1,1),当年实际!$C:$C,"&lt;="&amp;EOMONTH(DATE(YEAR(主页!$D$2),MONTH(主页!$D$2),1),0)),"")</f>
        <v/>
      </c>
    </row>
    <row r="61" spans="1:10" x14ac:dyDescent="0.3">
      <c r="A61" s="127"/>
      <c r="B61" s="149"/>
      <c r="C61" s="7"/>
      <c r="D61" s="5"/>
      <c r="E61" s="140" t="str">
        <f t="shared" si="0"/>
        <v/>
      </c>
      <c r="F61" s="142"/>
      <c r="G61" s="145">
        <f t="shared" si="3"/>
        <v>0</v>
      </c>
      <c r="H61" s="140" t="str">
        <f t="shared" si="2"/>
        <v/>
      </c>
      <c r="J61" s="148" t="str">
        <f>IFERROR(SUMIFS(当年实际!$V:$V,当年实际!$H:$H,$B61,当年实际!$C:$C,"&gt;="&amp;DATE(YEAR(主页!$D$2),1,1),当年实际!$C:$C,"&lt;="&amp;EOMONTH(DATE(YEAR(主页!$D$2),MONTH(主页!$D$2),1),0))/SUMIFS(当年实际!$P:$P,当年实际!$H:$H,$B61,当年实际!$C:$C,"&gt;="&amp;DATE(YEAR(主页!$D$2),1,1),当年实际!$C:$C,"&lt;="&amp;EOMONTH(DATE(YEAR(主页!$D$2),MONTH(主页!$D$2),1),0)),"")</f>
        <v/>
      </c>
    </row>
    <row r="62" spans="1:10" x14ac:dyDescent="0.3">
      <c r="A62" s="127"/>
      <c r="B62" s="149"/>
      <c r="C62" s="7"/>
      <c r="D62" s="5"/>
      <c r="E62" s="140" t="str">
        <f t="shared" si="0"/>
        <v/>
      </c>
      <c r="F62" s="142"/>
      <c r="G62" s="145">
        <f t="shared" si="3"/>
        <v>0</v>
      </c>
      <c r="H62" s="140" t="str">
        <f t="shared" si="2"/>
        <v/>
      </c>
      <c r="J62" s="148" t="str">
        <f>IFERROR(SUMIFS(当年实际!$V:$V,当年实际!$H:$H,$B62,当年实际!$C:$C,"&gt;="&amp;DATE(YEAR(主页!$D$2),1,1),当年实际!$C:$C,"&lt;="&amp;EOMONTH(DATE(YEAR(主页!$D$2),MONTH(主页!$D$2),1),0))/SUMIFS(当年实际!$P:$P,当年实际!$H:$H,$B62,当年实际!$C:$C,"&gt;="&amp;DATE(YEAR(主页!$D$2),1,1),当年实际!$C:$C,"&lt;="&amp;EOMONTH(DATE(YEAR(主页!$D$2),MONTH(主页!$D$2),1),0)),"")</f>
        <v/>
      </c>
    </row>
    <row r="63" spans="1:10" x14ac:dyDescent="0.3">
      <c r="A63" s="127"/>
      <c r="B63" s="149"/>
      <c r="C63" s="7"/>
      <c r="D63" s="5"/>
      <c r="E63" s="140" t="str">
        <f t="shared" si="0"/>
        <v/>
      </c>
      <c r="F63" s="142"/>
      <c r="G63" s="145">
        <f t="shared" si="3"/>
        <v>0</v>
      </c>
      <c r="H63" s="140" t="str">
        <f t="shared" si="2"/>
        <v/>
      </c>
      <c r="J63" s="148" t="str">
        <f>IFERROR(SUMIFS(当年实际!$V:$V,当年实际!$H:$H,$B63,当年实际!$C:$C,"&gt;="&amp;DATE(YEAR(主页!$D$2),1,1),当年实际!$C:$C,"&lt;="&amp;EOMONTH(DATE(YEAR(主页!$D$2),MONTH(主页!$D$2),1),0))/SUMIFS(当年实际!$P:$P,当年实际!$H:$H,$B63,当年实际!$C:$C,"&gt;="&amp;DATE(YEAR(主页!$D$2),1,1),当年实际!$C:$C,"&lt;="&amp;EOMONTH(DATE(YEAR(主页!$D$2),MONTH(主页!$D$2),1),0)),"")</f>
        <v/>
      </c>
    </row>
    <row r="64" spans="1:10" x14ac:dyDescent="0.3">
      <c r="A64" s="127"/>
      <c r="B64" s="149"/>
      <c r="C64" s="7"/>
      <c r="D64" s="5"/>
      <c r="E64" s="140" t="str">
        <f t="shared" si="0"/>
        <v/>
      </c>
      <c r="F64" s="142"/>
      <c r="G64" s="145">
        <f t="shared" si="3"/>
        <v>0</v>
      </c>
      <c r="H64" s="140" t="str">
        <f t="shared" si="2"/>
        <v/>
      </c>
      <c r="J64" s="148" t="str">
        <f>IFERROR(SUMIFS(当年实际!$V:$V,当年实际!$H:$H,$B64,当年实际!$C:$C,"&gt;="&amp;DATE(YEAR(主页!$D$2),1,1),当年实际!$C:$C,"&lt;="&amp;EOMONTH(DATE(YEAR(主页!$D$2),MONTH(主页!$D$2),1),0))/SUMIFS(当年实际!$P:$P,当年实际!$H:$H,$B64,当年实际!$C:$C,"&gt;="&amp;DATE(YEAR(主页!$D$2),1,1),当年实际!$C:$C,"&lt;="&amp;EOMONTH(DATE(YEAR(主页!$D$2),MONTH(主页!$D$2),1),0)),"")</f>
        <v/>
      </c>
    </row>
    <row r="65" spans="1:10" x14ac:dyDescent="0.3">
      <c r="A65" s="127"/>
      <c r="B65" s="149"/>
      <c r="C65" s="7"/>
      <c r="D65" s="5"/>
      <c r="E65" s="140" t="str">
        <f t="shared" si="0"/>
        <v/>
      </c>
      <c r="F65" s="142"/>
      <c r="G65" s="145">
        <f t="shared" si="3"/>
        <v>0</v>
      </c>
      <c r="H65" s="140" t="str">
        <f t="shared" si="2"/>
        <v/>
      </c>
      <c r="J65" s="148" t="str">
        <f>IFERROR(SUMIFS(当年实际!$V:$V,当年实际!$H:$H,$B65,当年实际!$C:$C,"&gt;="&amp;DATE(YEAR(主页!$D$2),1,1),当年实际!$C:$C,"&lt;="&amp;EOMONTH(DATE(YEAR(主页!$D$2),MONTH(主页!$D$2),1),0))/SUMIFS(当年实际!$P:$P,当年实际!$H:$H,$B65,当年实际!$C:$C,"&gt;="&amp;DATE(YEAR(主页!$D$2),1,1),当年实际!$C:$C,"&lt;="&amp;EOMONTH(DATE(YEAR(主页!$D$2),MONTH(主页!$D$2),1),0)),"")</f>
        <v/>
      </c>
    </row>
    <row r="66" spans="1:10" x14ac:dyDescent="0.3">
      <c r="A66" s="127"/>
      <c r="B66" s="149"/>
      <c r="C66" s="7"/>
      <c r="D66" s="5"/>
      <c r="E66" s="140" t="str">
        <f t="shared" si="0"/>
        <v/>
      </c>
      <c r="F66" s="142"/>
      <c r="G66" s="145">
        <f t="shared" si="3"/>
        <v>0</v>
      </c>
      <c r="H66" s="140" t="str">
        <f t="shared" si="2"/>
        <v/>
      </c>
      <c r="J66" s="148" t="str">
        <f>IFERROR(SUMIFS(当年实际!$V:$V,当年实际!$H:$H,$B66,当年实际!$C:$C,"&gt;="&amp;DATE(YEAR(主页!$D$2),1,1),当年实际!$C:$C,"&lt;="&amp;EOMONTH(DATE(YEAR(主页!$D$2),MONTH(主页!$D$2),1),0))/SUMIFS(当年实际!$P:$P,当年实际!$H:$H,$B66,当年实际!$C:$C,"&gt;="&amp;DATE(YEAR(主页!$D$2),1,1),当年实际!$C:$C,"&lt;="&amp;EOMONTH(DATE(YEAR(主页!$D$2),MONTH(主页!$D$2),1),0)),"")</f>
        <v/>
      </c>
    </row>
    <row r="67" spans="1:10" x14ac:dyDescent="0.3">
      <c r="A67" s="127"/>
      <c r="B67" s="149"/>
      <c r="C67" s="7"/>
      <c r="D67" s="5"/>
      <c r="E67" s="140" t="str">
        <f t="shared" si="0"/>
        <v/>
      </c>
      <c r="F67" s="142"/>
      <c r="G67" s="145">
        <f t="shared" si="3"/>
        <v>0</v>
      </c>
      <c r="H67" s="140" t="str">
        <f t="shared" si="2"/>
        <v/>
      </c>
      <c r="J67" s="148" t="str">
        <f>IFERROR(SUMIFS(当年实际!$V:$V,当年实际!$H:$H,$B67,当年实际!$C:$C,"&gt;="&amp;DATE(YEAR(主页!$D$2),1,1),当年实际!$C:$C,"&lt;="&amp;EOMONTH(DATE(YEAR(主页!$D$2),MONTH(主页!$D$2),1),0))/SUMIFS(当年实际!$P:$P,当年实际!$H:$H,$B67,当年实际!$C:$C,"&gt;="&amp;DATE(YEAR(主页!$D$2),1,1),当年实际!$C:$C,"&lt;="&amp;EOMONTH(DATE(YEAR(主页!$D$2),MONTH(主页!$D$2),1),0)),"")</f>
        <v/>
      </c>
    </row>
    <row r="68" spans="1:10" x14ac:dyDescent="0.3">
      <c r="A68" s="127"/>
      <c r="B68" s="149"/>
      <c r="C68" s="7"/>
      <c r="D68" s="5"/>
      <c r="E68" s="140" t="str">
        <f t="shared" ref="E68:E131" si="4">IF(D68/SUM(D:D)=0,"",D68/SUM(D:D))</f>
        <v/>
      </c>
      <c r="F68" s="142"/>
      <c r="G68" s="145">
        <f t="shared" si="3"/>
        <v>0</v>
      </c>
      <c r="H68" s="140" t="str">
        <f t="shared" ref="H68:H131" si="5">IF(G68/SUM(G:G)=0,"",G68/SUM(G:G))</f>
        <v/>
      </c>
      <c r="J68" s="148" t="str">
        <f>IFERROR(SUMIFS(当年实际!$V:$V,当年实际!$H:$H,$B68,当年实际!$C:$C,"&gt;="&amp;DATE(YEAR(主页!$D$2),1,1),当年实际!$C:$C,"&lt;="&amp;EOMONTH(DATE(YEAR(主页!$D$2),MONTH(主页!$D$2),1),0))/SUMIFS(当年实际!$P:$P,当年实际!$H:$H,$B68,当年实际!$C:$C,"&gt;="&amp;DATE(YEAR(主页!$D$2),1,1),当年实际!$C:$C,"&lt;="&amp;EOMONTH(DATE(YEAR(主页!$D$2),MONTH(主页!$D$2),1),0)),"")</f>
        <v/>
      </c>
    </row>
    <row r="69" spans="1:10" x14ac:dyDescent="0.3">
      <c r="A69" s="127"/>
      <c r="B69" s="149"/>
      <c r="C69" s="7"/>
      <c r="D69" s="5"/>
      <c r="E69" s="140" t="str">
        <f t="shared" si="4"/>
        <v/>
      </c>
      <c r="F69" s="142"/>
      <c r="G69" s="145">
        <f t="shared" si="3"/>
        <v>0</v>
      </c>
      <c r="H69" s="140" t="str">
        <f t="shared" si="5"/>
        <v/>
      </c>
      <c r="J69" s="148" t="str">
        <f>IFERROR(SUMIFS(当年实际!$V:$V,当年实际!$H:$H,$B69,当年实际!$C:$C,"&gt;="&amp;DATE(YEAR(主页!$D$2),1,1),当年实际!$C:$C,"&lt;="&amp;EOMONTH(DATE(YEAR(主页!$D$2),MONTH(主页!$D$2),1),0))/SUMIFS(当年实际!$P:$P,当年实际!$H:$H,$B69,当年实际!$C:$C,"&gt;="&amp;DATE(YEAR(主页!$D$2),1,1),当年实际!$C:$C,"&lt;="&amp;EOMONTH(DATE(YEAR(主页!$D$2),MONTH(主页!$D$2),1),0)),"")</f>
        <v/>
      </c>
    </row>
    <row r="70" spans="1:10" x14ac:dyDescent="0.3">
      <c r="A70" s="127"/>
      <c r="B70" s="149"/>
      <c r="C70" s="7"/>
      <c r="D70" s="5"/>
      <c r="E70" s="140" t="str">
        <f t="shared" si="4"/>
        <v/>
      </c>
      <c r="F70" s="142"/>
      <c r="G70" s="145">
        <f t="shared" ref="G70:G133" si="6">D70*F70</f>
        <v>0</v>
      </c>
      <c r="H70" s="140" t="str">
        <f t="shared" si="5"/>
        <v/>
      </c>
      <c r="J70" s="148" t="str">
        <f>IFERROR(SUMIFS(当年实际!$V:$V,当年实际!$H:$H,$B70,当年实际!$C:$C,"&gt;="&amp;DATE(YEAR(主页!$D$2),1,1),当年实际!$C:$C,"&lt;="&amp;EOMONTH(DATE(YEAR(主页!$D$2),MONTH(主页!$D$2),1),0))/SUMIFS(当年实际!$P:$P,当年实际!$H:$H,$B70,当年实际!$C:$C,"&gt;="&amp;DATE(YEAR(主页!$D$2),1,1),当年实际!$C:$C,"&lt;="&amp;EOMONTH(DATE(YEAR(主页!$D$2),MONTH(主页!$D$2),1),0)),"")</f>
        <v/>
      </c>
    </row>
    <row r="71" spans="1:10" x14ac:dyDescent="0.3">
      <c r="A71" s="127"/>
      <c r="B71" s="149"/>
      <c r="C71" s="7"/>
      <c r="D71" s="5"/>
      <c r="E71" s="140" t="str">
        <f t="shared" si="4"/>
        <v/>
      </c>
      <c r="F71" s="142"/>
      <c r="G71" s="145">
        <f t="shared" si="6"/>
        <v>0</v>
      </c>
      <c r="H71" s="140" t="str">
        <f t="shared" si="5"/>
        <v/>
      </c>
      <c r="J71" s="148" t="str">
        <f>IFERROR(SUMIFS(当年实际!$V:$V,当年实际!$H:$H,$B71,当年实际!$C:$C,"&gt;="&amp;DATE(YEAR(主页!$D$2),1,1),当年实际!$C:$C,"&lt;="&amp;EOMONTH(DATE(YEAR(主页!$D$2),MONTH(主页!$D$2),1),0))/SUMIFS(当年实际!$P:$P,当年实际!$H:$H,$B71,当年实际!$C:$C,"&gt;="&amp;DATE(YEAR(主页!$D$2),1,1),当年实际!$C:$C,"&lt;="&amp;EOMONTH(DATE(YEAR(主页!$D$2),MONTH(主页!$D$2),1),0)),"")</f>
        <v/>
      </c>
    </row>
    <row r="72" spans="1:10" x14ac:dyDescent="0.3">
      <c r="A72" s="127"/>
      <c r="B72" s="149"/>
      <c r="C72" s="7"/>
      <c r="D72" s="5"/>
      <c r="E72" s="140" t="str">
        <f t="shared" si="4"/>
        <v/>
      </c>
      <c r="F72" s="142"/>
      <c r="G72" s="145">
        <f t="shared" si="6"/>
        <v>0</v>
      </c>
      <c r="H72" s="140" t="str">
        <f t="shared" si="5"/>
        <v/>
      </c>
      <c r="J72" s="148" t="str">
        <f>IFERROR(SUMIFS(当年实际!$V:$V,当年实际!$H:$H,$B72,当年实际!$C:$C,"&gt;="&amp;DATE(YEAR(主页!$D$2),1,1),当年实际!$C:$C,"&lt;="&amp;EOMONTH(DATE(YEAR(主页!$D$2),MONTH(主页!$D$2),1),0))/SUMIFS(当年实际!$P:$P,当年实际!$H:$H,$B72,当年实际!$C:$C,"&gt;="&amp;DATE(YEAR(主页!$D$2),1,1),当年实际!$C:$C,"&lt;="&amp;EOMONTH(DATE(YEAR(主页!$D$2),MONTH(主页!$D$2),1),0)),"")</f>
        <v/>
      </c>
    </row>
    <row r="73" spans="1:10" x14ac:dyDescent="0.3">
      <c r="A73" s="127"/>
      <c r="B73" s="149"/>
      <c r="C73" s="7"/>
      <c r="D73" s="5"/>
      <c r="E73" s="140" t="str">
        <f t="shared" si="4"/>
        <v/>
      </c>
      <c r="F73" s="142"/>
      <c r="G73" s="145">
        <f t="shared" si="6"/>
        <v>0</v>
      </c>
      <c r="H73" s="140" t="str">
        <f t="shared" si="5"/>
        <v/>
      </c>
      <c r="J73" s="148" t="str">
        <f>IFERROR(SUMIFS(当年实际!$V:$V,当年实际!$H:$H,$B73,当年实际!$C:$C,"&gt;="&amp;DATE(YEAR(主页!$D$2),1,1),当年实际!$C:$C,"&lt;="&amp;EOMONTH(DATE(YEAR(主页!$D$2),MONTH(主页!$D$2),1),0))/SUMIFS(当年实际!$P:$P,当年实际!$H:$H,$B73,当年实际!$C:$C,"&gt;="&amp;DATE(YEAR(主页!$D$2),1,1),当年实际!$C:$C,"&lt;="&amp;EOMONTH(DATE(YEAR(主页!$D$2),MONTH(主页!$D$2),1),0)),"")</f>
        <v/>
      </c>
    </row>
    <row r="74" spans="1:10" x14ac:dyDescent="0.3">
      <c r="A74" s="127"/>
      <c r="B74" s="149"/>
      <c r="C74" s="7"/>
      <c r="D74" s="5"/>
      <c r="E74" s="140" t="str">
        <f t="shared" si="4"/>
        <v/>
      </c>
      <c r="F74" s="142"/>
      <c r="G74" s="145">
        <f t="shared" si="6"/>
        <v>0</v>
      </c>
      <c r="H74" s="140" t="str">
        <f t="shared" si="5"/>
        <v/>
      </c>
      <c r="J74" s="148" t="str">
        <f>IFERROR(SUMIFS(当年实际!$V:$V,当年实际!$H:$H,$B74,当年实际!$C:$C,"&gt;="&amp;DATE(YEAR(主页!$D$2),1,1),当年实际!$C:$C,"&lt;="&amp;EOMONTH(DATE(YEAR(主页!$D$2),MONTH(主页!$D$2),1),0))/SUMIFS(当年实际!$P:$P,当年实际!$H:$H,$B74,当年实际!$C:$C,"&gt;="&amp;DATE(YEAR(主页!$D$2),1,1),当年实际!$C:$C,"&lt;="&amp;EOMONTH(DATE(YEAR(主页!$D$2),MONTH(主页!$D$2),1),0)),"")</f>
        <v/>
      </c>
    </row>
    <row r="75" spans="1:10" x14ac:dyDescent="0.3">
      <c r="A75" s="127"/>
      <c r="B75" s="149"/>
      <c r="C75" s="7"/>
      <c r="D75" s="5"/>
      <c r="E75" s="140" t="str">
        <f t="shared" si="4"/>
        <v/>
      </c>
      <c r="F75" s="142"/>
      <c r="G75" s="145">
        <f t="shared" si="6"/>
        <v>0</v>
      </c>
      <c r="H75" s="140" t="str">
        <f t="shared" si="5"/>
        <v/>
      </c>
      <c r="J75" s="148" t="str">
        <f>IFERROR(SUMIFS(当年实际!$V:$V,当年实际!$H:$H,$B75,当年实际!$C:$C,"&gt;="&amp;DATE(YEAR(主页!$D$2),1,1),当年实际!$C:$C,"&lt;="&amp;EOMONTH(DATE(YEAR(主页!$D$2),MONTH(主页!$D$2),1),0))/SUMIFS(当年实际!$P:$P,当年实际!$H:$H,$B75,当年实际!$C:$C,"&gt;="&amp;DATE(YEAR(主页!$D$2),1,1),当年实际!$C:$C,"&lt;="&amp;EOMONTH(DATE(YEAR(主页!$D$2),MONTH(主页!$D$2),1),0)),"")</f>
        <v/>
      </c>
    </row>
    <row r="76" spans="1:10" x14ac:dyDescent="0.3">
      <c r="A76" s="127"/>
      <c r="B76" s="149"/>
      <c r="C76" s="7"/>
      <c r="D76" s="5"/>
      <c r="E76" s="140" t="str">
        <f t="shared" si="4"/>
        <v/>
      </c>
      <c r="F76" s="142"/>
      <c r="G76" s="145">
        <f t="shared" si="6"/>
        <v>0</v>
      </c>
      <c r="H76" s="140" t="str">
        <f t="shared" si="5"/>
        <v/>
      </c>
      <c r="J76" s="148" t="str">
        <f>IFERROR(SUMIFS(当年实际!$V:$V,当年实际!$H:$H,$B76,当年实际!$C:$C,"&gt;="&amp;DATE(YEAR(主页!$D$2),1,1),当年实际!$C:$C,"&lt;="&amp;EOMONTH(DATE(YEAR(主页!$D$2),MONTH(主页!$D$2),1),0))/SUMIFS(当年实际!$P:$P,当年实际!$H:$H,$B76,当年实际!$C:$C,"&gt;="&amp;DATE(YEAR(主页!$D$2),1,1),当年实际!$C:$C,"&lt;="&amp;EOMONTH(DATE(YEAR(主页!$D$2),MONTH(主页!$D$2),1),0)),"")</f>
        <v/>
      </c>
    </row>
    <row r="77" spans="1:10" x14ac:dyDescent="0.3">
      <c r="A77" s="127"/>
      <c r="B77" s="149"/>
      <c r="C77" s="7"/>
      <c r="D77" s="5"/>
      <c r="E77" s="140" t="str">
        <f t="shared" si="4"/>
        <v/>
      </c>
      <c r="F77" s="142"/>
      <c r="G77" s="145">
        <f t="shared" si="6"/>
        <v>0</v>
      </c>
      <c r="H77" s="140" t="str">
        <f t="shared" si="5"/>
        <v/>
      </c>
      <c r="J77" s="148" t="str">
        <f>IFERROR(SUMIFS(当年实际!$V:$V,当年实际!$H:$H,$B77,当年实际!$C:$C,"&gt;="&amp;DATE(YEAR(主页!$D$2),1,1),当年实际!$C:$C,"&lt;="&amp;EOMONTH(DATE(YEAR(主页!$D$2),MONTH(主页!$D$2),1),0))/SUMIFS(当年实际!$P:$P,当年实际!$H:$H,$B77,当年实际!$C:$C,"&gt;="&amp;DATE(YEAR(主页!$D$2),1,1),当年实际!$C:$C,"&lt;="&amp;EOMONTH(DATE(YEAR(主页!$D$2),MONTH(主页!$D$2),1),0)),"")</f>
        <v/>
      </c>
    </row>
    <row r="78" spans="1:10" x14ac:dyDescent="0.3">
      <c r="A78" s="127"/>
      <c r="B78" s="149"/>
      <c r="C78" s="7"/>
      <c r="D78" s="5"/>
      <c r="E78" s="140" t="str">
        <f t="shared" si="4"/>
        <v/>
      </c>
      <c r="F78" s="142"/>
      <c r="G78" s="145">
        <f t="shared" si="6"/>
        <v>0</v>
      </c>
      <c r="H78" s="140" t="str">
        <f t="shared" si="5"/>
        <v/>
      </c>
      <c r="J78" s="148" t="str">
        <f>IFERROR(SUMIFS(当年实际!$V:$V,当年实际!$H:$H,$B78,当年实际!$C:$C,"&gt;="&amp;DATE(YEAR(主页!$D$2),1,1),当年实际!$C:$C,"&lt;="&amp;EOMONTH(DATE(YEAR(主页!$D$2),MONTH(主页!$D$2),1),0))/SUMIFS(当年实际!$P:$P,当年实际!$H:$H,$B78,当年实际!$C:$C,"&gt;="&amp;DATE(YEAR(主页!$D$2),1,1),当年实际!$C:$C,"&lt;="&amp;EOMONTH(DATE(YEAR(主页!$D$2),MONTH(主页!$D$2),1),0)),"")</f>
        <v/>
      </c>
    </row>
    <row r="79" spans="1:10" x14ac:dyDescent="0.3">
      <c r="A79" s="127"/>
      <c r="B79" s="149"/>
      <c r="C79" s="7"/>
      <c r="D79" s="5"/>
      <c r="E79" s="140" t="str">
        <f t="shared" si="4"/>
        <v/>
      </c>
      <c r="F79" s="142"/>
      <c r="G79" s="145">
        <f t="shared" si="6"/>
        <v>0</v>
      </c>
      <c r="H79" s="140" t="str">
        <f t="shared" si="5"/>
        <v/>
      </c>
      <c r="J79" s="148" t="str">
        <f>IFERROR(SUMIFS(当年实际!$V:$V,当年实际!$H:$H,$B79,当年实际!$C:$C,"&gt;="&amp;DATE(YEAR(主页!$D$2),1,1),当年实际!$C:$C,"&lt;="&amp;EOMONTH(DATE(YEAR(主页!$D$2),MONTH(主页!$D$2),1),0))/SUMIFS(当年实际!$P:$P,当年实际!$H:$H,$B79,当年实际!$C:$C,"&gt;="&amp;DATE(YEAR(主页!$D$2),1,1),当年实际!$C:$C,"&lt;="&amp;EOMONTH(DATE(YEAR(主页!$D$2),MONTH(主页!$D$2),1),0)),"")</f>
        <v/>
      </c>
    </row>
    <row r="80" spans="1:10" x14ac:dyDescent="0.3">
      <c r="A80" s="127"/>
      <c r="B80" s="149"/>
      <c r="C80" s="7"/>
      <c r="D80" s="5"/>
      <c r="E80" s="140" t="str">
        <f t="shared" si="4"/>
        <v/>
      </c>
      <c r="F80" s="142"/>
      <c r="G80" s="145">
        <f t="shared" si="6"/>
        <v>0</v>
      </c>
      <c r="H80" s="140" t="str">
        <f t="shared" si="5"/>
        <v/>
      </c>
      <c r="J80" s="148" t="str">
        <f>IFERROR(SUMIFS(当年实际!$V:$V,当年实际!$H:$H,$B80,当年实际!$C:$C,"&gt;="&amp;DATE(YEAR(主页!$D$2),1,1),当年实际!$C:$C,"&lt;="&amp;EOMONTH(DATE(YEAR(主页!$D$2),MONTH(主页!$D$2),1),0))/SUMIFS(当年实际!$P:$P,当年实际!$H:$H,$B80,当年实际!$C:$C,"&gt;="&amp;DATE(YEAR(主页!$D$2),1,1),当年实际!$C:$C,"&lt;="&amp;EOMONTH(DATE(YEAR(主页!$D$2),MONTH(主页!$D$2),1),0)),"")</f>
        <v/>
      </c>
    </row>
    <row r="81" spans="1:10" x14ac:dyDescent="0.3">
      <c r="A81" s="127"/>
      <c r="B81" s="149"/>
      <c r="C81" s="7"/>
      <c r="D81" s="5"/>
      <c r="E81" s="140" t="str">
        <f t="shared" si="4"/>
        <v/>
      </c>
      <c r="F81" s="142"/>
      <c r="G81" s="145">
        <f t="shared" si="6"/>
        <v>0</v>
      </c>
      <c r="H81" s="140" t="str">
        <f t="shared" si="5"/>
        <v/>
      </c>
      <c r="J81" s="148" t="str">
        <f>IFERROR(SUMIFS(当年实际!$V:$V,当年实际!$H:$H,$B81,当年实际!$C:$C,"&gt;="&amp;DATE(YEAR(主页!$D$2),1,1),当年实际!$C:$C,"&lt;="&amp;EOMONTH(DATE(YEAR(主页!$D$2),MONTH(主页!$D$2),1),0))/SUMIFS(当年实际!$P:$P,当年实际!$H:$H,$B81,当年实际!$C:$C,"&gt;="&amp;DATE(YEAR(主页!$D$2),1,1),当年实际!$C:$C,"&lt;="&amp;EOMONTH(DATE(YEAR(主页!$D$2),MONTH(主页!$D$2),1),0)),"")</f>
        <v/>
      </c>
    </row>
    <row r="82" spans="1:10" x14ac:dyDescent="0.3">
      <c r="A82" s="127"/>
      <c r="B82" s="149"/>
      <c r="C82" s="7"/>
      <c r="D82" s="5"/>
      <c r="E82" s="140" t="str">
        <f t="shared" si="4"/>
        <v/>
      </c>
      <c r="F82" s="142"/>
      <c r="G82" s="145">
        <f t="shared" si="6"/>
        <v>0</v>
      </c>
      <c r="H82" s="140" t="str">
        <f t="shared" si="5"/>
        <v/>
      </c>
      <c r="J82" s="148" t="str">
        <f>IFERROR(SUMIFS(当年实际!$V:$V,当年实际!$H:$H,$B82,当年实际!$C:$C,"&gt;="&amp;DATE(YEAR(主页!$D$2),1,1),当年实际!$C:$C,"&lt;="&amp;EOMONTH(DATE(YEAR(主页!$D$2),MONTH(主页!$D$2),1),0))/SUMIFS(当年实际!$P:$P,当年实际!$H:$H,$B82,当年实际!$C:$C,"&gt;="&amp;DATE(YEAR(主页!$D$2),1,1),当年实际!$C:$C,"&lt;="&amp;EOMONTH(DATE(YEAR(主页!$D$2),MONTH(主页!$D$2),1),0)),"")</f>
        <v/>
      </c>
    </row>
    <row r="83" spans="1:10" x14ac:dyDescent="0.3">
      <c r="A83" s="127"/>
      <c r="B83" s="149"/>
      <c r="C83" s="7"/>
      <c r="D83" s="5"/>
      <c r="E83" s="140" t="str">
        <f t="shared" si="4"/>
        <v/>
      </c>
      <c r="F83" s="142"/>
      <c r="G83" s="145">
        <f t="shared" si="6"/>
        <v>0</v>
      </c>
      <c r="H83" s="140" t="str">
        <f t="shared" si="5"/>
        <v/>
      </c>
      <c r="J83" s="148" t="str">
        <f>IFERROR(SUMIFS(当年实际!$V:$V,当年实际!$H:$H,$B83,当年实际!$C:$C,"&gt;="&amp;DATE(YEAR(主页!$D$2),1,1),当年实际!$C:$C,"&lt;="&amp;EOMONTH(DATE(YEAR(主页!$D$2),MONTH(主页!$D$2),1),0))/SUMIFS(当年实际!$P:$P,当年实际!$H:$H,$B83,当年实际!$C:$C,"&gt;="&amp;DATE(YEAR(主页!$D$2),1,1),当年实际!$C:$C,"&lt;="&amp;EOMONTH(DATE(YEAR(主页!$D$2),MONTH(主页!$D$2),1),0)),"")</f>
        <v/>
      </c>
    </row>
    <row r="84" spans="1:10" x14ac:dyDescent="0.3">
      <c r="A84" s="127"/>
      <c r="B84" s="149"/>
      <c r="C84" s="7"/>
      <c r="D84" s="5"/>
      <c r="E84" s="140" t="str">
        <f t="shared" si="4"/>
        <v/>
      </c>
      <c r="F84" s="142"/>
      <c r="G84" s="145">
        <f t="shared" si="6"/>
        <v>0</v>
      </c>
      <c r="H84" s="140" t="str">
        <f t="shared" si="5"/>
        <v/>
      </c>
      <c r="J84" s="148" t="str">
        <f>IFERROR(SUMIFS(当年实际!$V:$V,当年实际!$H:$H,$B84,当年实际!$C:$C,"&gt;="&amp;DATE(YEAR(主页!$D$2),1,1),当年实际!$C:$C,"&lt;="&amp;EOMONTH(DATE(YEAR(主页!$D$2),MONTH(主页!$D$2),1),0))/SUMIFS(当年实际!$P:$P,当年实际!$H:$H,$B84,当年实际!$C:$C,"&gt;="&amp;DATE(YEAR(主页!$D$2),1,1),当年实际!$C:$C,"&lt;="&amp;EOMONTH(DATE(YEAR(主页!$D$2),MONTH(主页!$D$2),1),0)),"")</f>
        <v/>
      </c>
    </row>
    <row r="85" spans="1:10" x14ac:dyDescent="0.3">
      <c r="A85" s="127"/>
      <c r="B85" s="149"/>
      <c r="C85" s="7"/>
      <c r="D85" s="5"/>
      <c r="E85" s="140" t="str">
        <f t="shared" si="4"/>
        <v/>
      </c>
      <c r="F85" s="142"/>
      <c r="G85" s="145">
        <f t="shared" si="6"/>
        <v>0</v>
      </c>
      <c r="H85" s="140" t="str">
        <f t="shared" si="5"/>
        <v/>
      </c>
      <c r="J85" s="148" t="str">
        <f>IFERROR(SUMIFS(当年实际!$V:$V,当年实际!$H:$H,$B85,当年实际!$C:$C,"&gt;="&amp;DATE(YEAR(主页!$D$2),1,1),当年实际!$C:$C,"&lt;="&amp;EOMONTH(DATE(YEAR(主页!$D$2),MONTH(主页!$D$2),1),0))/SUMIFS(当年实际!$P:$P,当年实际!$H:$H,$B85,当年实际!$C:$C,"&gt;="&amp;DATE(YEAR(主页!$D$2),1,1),当年实际!$C:$C,"&lt;="&amp;EOMONTH(DATE(YEAR(主页!$D$2),MONTH(主页!$D$2),1),0)),"")</f>
        <v/>
      </c>
    </row>
    <row r="86" spans="1:10" x14ac:dyDescent="0.3">
      <c r="A86" s="127"/>
      <c r="B86" s="149"/>
      <c r="C86" s="7"/>
      <c r="D86" s="5"/>
      <c r="E86" s="140" t="str">
        <f t="shared" si="4"/>
        <v/>
      </c>
      <c r="F86" s="142"/>
      <c r="G86" s="145">
        <f t="shared" si="6"/>
        <v>0</v>
      </c>
      <c r="H86" s="140" t="str">
        <f t="shared" si="5"/>
        <v/>
      </c>
      <c r="J86" s="148" t="str">
        <f>IFERROR(SUMIFS(当年实际!$V:$V,当年实际!$H:$H,$B86,当年实际!$C:$C,"&gt;="&amp;DATE(YEAR(主页!$D$2),1,1),当年实际!$C:$C,"&lt;="&amp;EOMONTH(DATE(YEAR(主页!$D$2),MONTH(主页!$D$2),1),0))/SUMIFS(当年实际!$P:$P,当年实际!$H:$H,$B86,当年实际!$C:$C,"&gt;="&amp;DATE(YEAR(主页!$D$2),1,1),当年实际!$C:$C,"&lt;="&amp;EOMONTH(DATE(YEAR(主页!$D$2),MONTH(主页!$D$2),1),0)),"")</f>
        <v/>
      </c>
    </row>
    <row r="87" spans="1:10" x14ac:dyDescent="0.3">
      <c r="A87" s="127"/>
      <c r="B87" s="149"/>
      <c r="C87" s="7"/>
      <c r="D87" s="5"/>
      <c r="E87" s="140" t="str">
        <f t="shared" si="4"/>
        <v/>
      </c>
      <c r="F87" s="142"/>
      <c r="G87" s="145">
        <f t="shared" si="6"/>
        <v>0</v>
      </c>
      <c r="H87" s="140" t="str">
        <f t="shared" si="5"/>
        <v/>
      </c>
      <c r="J87" s="148" t="str">
        <f>IFERROR(SUMIFS(当年实际!$V:$V,当年实际!$H:$H,$B87,当年实际!$C:$C,"&gt;="&amp;DATE(YEAR(主页!$D$2),1,1),当年实际!$C:$C,"&lt;="&amp;EOMONTH(DATE(YEAR(主页!$D$2),MONTH(主页!$D$2),1),0))/SUMIFS(当年实际!$P:$P,当年实际!$H:$H,$B87,当年实际!$C:$C,"&gt;="&amp;DATE(YEAR(主页!$D$2),1,1),当年实际!$C:$C,"&lt;="&amp;EOMONTH(DATE(YEAR(主页!$D$2),MONTH(主页!$D$2),1),0)),"")</f>
        <v/>
      </c>
    </row>
    <row r="88" spans="1:10" x14ac:dyDescent="0.3">
      <c r="A88" s="127"/>
      <c r="B88" s="149"/>
      <c r="C88" s="7"/>
      <c r="D88" s="5"/>
      <c r="E88" s="140" t="str">
        <f t="shared" si="4"/>
        <v/>
      </c>
      <c r="F88" s="142"/>
      <c r="G88" s="145">
        <f t="shared" si="6"/>
        <v>0</v>
      </c>
      <c r="H88" s="140" t="str">
        <f t="shared" si="5"/>
        <v/>
      </c>
      <c r="J88" s="148" t="str">
        <f>IFERROR(SUMIFS(当年实际!$V:$V,当年实际!$H:$H,$B88,当年实际!$C:$C,"&gt;="&amp;DATE(YEAR(主页!$D$2),1,1),当年实际!$C:$C,"&lt;="&amp;EOMONTH(DATE(YEAR(主页!$D$2),MONTH(主页!$D$2),1),0))/SUMIFS(当年实际!$P:$P,当年实际!$H:$H,$B88,当年实际!$C:$C,"&gt;="&amp;DATE(YEAR(主页!$D$2),1,1),当年实际!$C:$C,"&lt;="&amp;EOMONTH(DATE(YEAR(主页!$D$2),MONTH(主页!$D$2),1),0)),"")</f>
        <v/>
      </c>
    </row>
    <row r="89" spans="1:10" x14ac:dyDescent="0.3">
      <c r="A89" s="127"/>
      <c r="B89" s="149"/>
      <c r="C89" s="7"/>
      <c r="D89" s="5"/>
      <c r="E89" s="140" t="str">
        <f t="shared" si="4"/>
        <v/>
      </c>
      <c r="F89" s="142"/>
      <c r="G89" s="145">
        <f t="shared" si="6"/>
        <v>0</v>
      </c>
      <c r="H89" s="140" t="str">
        <f t="shared" si="5"/>
        <v/>
      </c>
      <c r="J89" s="148" t="str">
        <f>IFERROR(SUMIFS(当年实际!$V:$V,当年实际!$H:$H,$B89,当年实际!$C:$C,"&gt;="&amp;DATE(YEAR(主页!$D$2),1,1),当年实际!$C:$C,"&lt;="&amp;EOMONTH(DATE(YEAR(主页!$D$2),MONTH(主页!$D$2),1),0))/SUMIFS(当年实际!$P:$P,当年实际!$H:$H,$B89,当年实际!$C:$C,"&gt;="&amp;DATE(YEAR(主页!$D$2),1,1),当年实际!$C:$C,"&lt;="&amp;EOMONTH(DATE(YEAR(主页!$D$2),MONTH(主页!$D$2),1),0)),"")</f>
        <v/>
      </c>
    </row>
    <row r="90" spans="1:10" x14ac:dyDescent="0.3">
      <c r="A90" s="127"/>
      <c r="B90" s="149"/>
      <c r="C90" s="7"/>
      <c r="D90" s="5"/>
      <c r="E90" s="140" t="str">
        <f t="shared" si="4"/>
        <v/>
      </c>
      <c r="F90" s="142"/>
      <c r="G90" s="145">
        <f t="shared" si="6"/>
        <v>0</v>
      </c>
      <c r="H90" s="140" t="str">
        <f t="shared" si="5"/>
        <v/>
      </c>
      <c r="J90" s="148" t="str">
        <f>IFERROR(SUMIFS(当年实际!$V:$V,当年实际!$H:$H,$B90,当年实际!$C:$C,"&gt;="&amp;DATE(YEAR(主页!$D$2),1,1),当年实际!$C:$C,"&lt;="&amp;EOMONTH(DATE(YEAR(主页!$D$2),MONTH(主页!$D$2),1),0))/SUMIFS(当年实际!$P:$P,当年实际!$H:$H,$B90,当年实际!$C:$C,"&gt;="&amp;DATE(YEAR(主页!$D$2),1,1),当年实际!$C:$C,"&lt;="&amp;EOMONTH(DATE(YEAR(主页!$D$2),MONTH(主页!$D$2),1),0)),"")</f>
        <v/>
      </c>
    </row>
    <row r="91" spans="1:10" x14ac:dyDescent="0.3">
      <c r="A91" s="127"/>
      <c r="B91" s="149"/>
      <c r="C91" s="7"/>
      <c r="D91" s="5"/>
      <c r="E91" s="140" t="str">
        <f t="shared" si="4"/>
        <v/>
      </c>
      <c r="F91" s="142"/>
      <c r="G91" s="145">
        <f t="shared" si="6"/>
        <v>0</v>
      </c>
      <c r="H91" s="140" t="str">
        <f t="shared" si="5"/>
        <v/>
      </c>
      <c r="J91" s="148" t="str">
        <f>IFERROR(SUMIFS(当年实际!$V:$V,当年实际!$H:$H,$B91,当年实际!$C:$C,"&gt;="&amp;DATE(YEAR(主页!$D$2),1,1),当年实际!$C:$C,"&lt;="&amp;EOMONTH(DATE(YEAR(主页!$D$2),MONTH(主页!$D$2),1),0))/SUMIFS(当年实际!$P:$P,当年实际!$H:$H,$B91,当年实际!$C:$C,"&gt;="&amp;DATE(YEAR(主页!$D$2),1,1),当年实际!$C:$C,"&lt;="&amp;EOMONTH(DATE(YEAR(主页!$D$2),MONTH(主页!$D$2),1),0)),"")</f>
        <v/>
      </c>
    </row>
    <row r="92" spans="1:10" x14ac:dyDescent="0.3">
      <c r="A92" s="127"/>
      <c r="B92" s="149"/>
      <c r="C92" s="7"/>
      <c r="D92" s="5"/>
      <c r="E92" s="140" t="str">
        <f t="shared" si="4"/>
        <v/>
      </c>
      <c r="F92" s="142"/>
      <c r="G92" s="145">
        <f t="shared" si="6"/>
        <v>0</v>
      </c>
      <c r="H92" s="140" t="str">
        <f t="shared" si="5"/>
        <v/>
      </c>
      <c r="J92" s="148" t="str">
        <f>IFERROR(SUMIFS(当年实际!$V:$V,当年实际!$H:$H,$B92,当年实际!$C:$C,"&gt;="&amp;DATE(YEAR(主页!$D$2),1,1),当年实际!$C:$C,"&lt;="&amp;EOMONTH(DATE(YEAR(主页!$D$2),MONTH(主页!$D$2),1),0))/SUMIFS(当年实际!$P:$P,当年实际!$H:$H,$B92,当年实际!$C:$C,"&gt;="&amp;DATE(YEAR(主页!$D$2),1,1),当年实际!$C:$C,"&lt;="&amp;EOMONTH(DATE(YEAR(主页!$D$2),MONTH(主页!$D$2),1),0)),"")</f>
        <v/>
      </c>
    </row>
    <row r="93" spans="1:10" x14ac:dyDescent="0.3">
      <c r="A93" s="127"/>
      <c r="B93" s="149"/>
      <c r="C93" s="7"/>
      <c r="D93" s="5"/>
      <c r="E93" s="140" t="str">
        <f t="shared" si="4"/>
        <v/>
      </c>
      <c r="F93" s="142"/>
      <c r="G93" s="145">
        <f t="shared" si="6"/>
        <v>0</v>
      </c>
      <c r="H93" s="140" t="str">
        <f t="shared" si="5"/>
        <v/>
      </c>
      <c r="J93" s="148" t="str">
        <f>IFERROR(SUMIFS(当年实际!$V:$V,当年实际!$H:$H,$B93,当年实际!$C:$C,"&gt;="&amp;DATE(YEAR(主页!$D$2),1,1),当年实际!$C:$C,"&lt;="&amp;EOMONTH(DATE(YEAR(主页!$D$2),MONTH(主页!$D$2),1),0))/SUMIFS(当年实际!$P:$P,当年实际!$H:$H,$B93,当年实际!$C:$C,"&gt;="&amp;DATE(YEAR(主页!$D$2),1,1),当年实际!$C:$C,"&lt;="&amp;EOMONTH(DATE(YEAR(主页!$D$2),MONTH(主页!$D$2),1),0)),"")</f>
        <v/>
      </c>
    </row>
    <row r="94" spans="1:10" x14ac:dyDescent="0.3">
      <c r="A94" s="127"/>
      <c r="B94" s="149"/>
      <c r="C94" s="7"/>
      <c r="D94" s="5"/>
      <c r="E94" s="140" t="str">
        <f t="shared" si="4"/>
        <v/>
      </c>
      <c r="F94" s="142"/>
      <c r="G94" s="145">
        <f t="shared" si="6"/>
        <v>0</v>
      </c>
      <c r="H94" s="140" t="str">
        <f t="shared" si="5"/>
        <v/>
      </c>
      <c r="J94" s="148" t="str">
        <f>IFERROR(SUMIFS(当年实际!$V:$V,当年实际!$H:$H,$B94,当年实际!$C:$C,"&gt;="&amp;DATE(YEAR(主页!$D$2),1,1),当年实际!$C:$C,"&lt;="&amp;EOMONTH(DATE(YEAR(主页!$D$2),MONTH(主页!$D$2),1),0))/SUMIFS(当年实际!$P:$P,当年实际!$H:$H,$B94,当年实际!$C:$C,"&gt;="&amp;DATE(YEAR(主页!$D$2),1,1),当年实际!$C:$C,"&lt;="&amp;EOMONTH(DATE(YEAR(主页!$D$2),MONTH(主页!$D$2),1),0)),"")</f>
        <v/>
      </c>
    </row>
    <row r="95" spans="1:10" x14ac:dyDescent="0.3">
      <c r="A95" s="127"/>
      <c r="B95" s="149"/>
      <c r="C95" s="7"/>
      <c r="D95" s="5"/>
      <c r="E95" s="140" t="str">
        <f t="shared" si="4"/>
        <v/>
      </c>
      <c r="F95" s="142"/>
      <c r="G95" s="145">
        <f t="shared" si="6"/>
        <v>0</v>
      </c>
      <c r="H95" s="140" t="str">
        <f t="shared" si="5"/>
        <v/>
      </c>
      <c r="J95" s="148" t="str">
        <f>IFERROR(SUMIFS(当年实际!$V:$V,当年实际!$H:$H,$B95,当年实际!$C:$C,"&gt;="&amp;DATE(YEAR(主页!$D$2),1,1),当年实际!$C:$C,"&lt;="&amp;EOMONTH(DATE(YEAR(主页!$D$2),MONTH(主页!$D$2),1),0))/SUMIFS(当年实际!$P:$P,当年实际!$H:$H,$B95,当年实际!$C:$C,"&gt;="&amp;DATE(YEAR(主页!$D$2),1,1),当年实际!$C:$C,"&lt;="&amp;EOMONTH(DATE(YEAR(主页!$D$2),MONTH(主页!$D$2),1),0)),"")</f>
        <v/>
      </c>
    </row>
    <row r="96" spans="1:10" x14ac:dyDescent="0.3">
      <c r="A96" s="127"/>
      <c r="B96" s="149"/>
      <c r="C96" s="7"/>
      <c r="D96" s="5"/>
      <c r="E96" s="140" t="str">
        <f t="shared" si="4"/>
        <v/>
      </c>
      <c r="F96" s="142"/>
      <c r="G96" s="145">
        <f t="shared" si="6"/>
        <v>0</v>
      </c>
      <c r="H96" s="140" t="str">
        <f t="shared" si="5"/>
        <v/>
      </c>
      <c r="J96" s="148" t="str">
        <f>IFERROR(SUMIFS(当年实际!$V:$V,当年实际!$H:$H,$B96,当年实际!$C:$C,"&gt;="&amp;DATE(YEAR(主页!$D$2),1,1),当年实际!$C:$C,"&lt;="&amp;EOMONTH(DATE(YEAR(主页!$D$2),MONTH(主页!$D$2),1),0))/SUMIFS(当年实际!$P:$P,当年实际!$H:$H,$B96,当年实际!$C:$C,"&gt;="&amp;DATE(YEAR(主页!$D$2),1,1),当年实际!$C:$C,"&lt;="&amp;EOMONTH(DATE(YEAR(主页!$D$2),MONTH(主页!$D$2),1),0)),"")</f>
        <v/>
      </c>
    </row>
    <row r="97" spans="1:10" x14ac:dyDescent="0.3">
      <c r="A97" s="127"/>
      <c r="B97" s="149"/>
      <c r="C97" s="7"/>
      <c r="D97" s="5"/>
      <c r="E97" s="140" t="str">
        <f t="shared" si="4"/>
        <v/>
      </c>
      <c r="F97" s="142"/>
      <c r="G97" s="145">
        <f t="shared" si="6"/>
        <v>0</v>
      </c>
      <c r="H97" s="140" t="str">
        <f t="shared" si="5"/>
        <v/>
      </c>
      <c r="J97" s="148" t="str">
        <f>IFERROR(SUMIFS(当年实际!$V:$V,当年实际!$H:$H,$B97,当年实际!$C:$C,"&gt;="&amp;DATE(YEAR(主页!$D$2),1,1),当年实际!$C:$C,"&lt;="&amp;EOMONTH(DATE(YEAR(主页!$D$2),MONTH(主页!$D$2),1),0))/SUMIFS(当年实际!$P:$P,当年实际!$H:$H,$B97,当年实际!$C:$C,"&gt;="&amp;DATE(YEAR(主页!$D$2),1,1),当年实际!$C:$C,"&lt;="&amp;EOMONTH(DATE(YEAR(主页!$D$2),MONTH(主页!$D$2),1),0)),"")</f>
        <v/>
      </c>
    </row>
    <row r="98" spans="1:10" x14ac:dyDescent="0.3">
      <c r="A98" s="127"/>
      <c r="B98" s="149"/>
      <c r="C98" s="7"/>
      <c r="D98" s="5"/>
      <c r="E98" s="140" t="str">
        <f t="shared" si="4"/>
        <v/>
      </c>
      <c r="F98" s="142"/>
      <c r="G98" s="145">
        <f t="shared" si="6"/>
        <v>0</v>
      </c>
      <c r="H98" s="140" t="str">
        <f t="shared" si="5"/>
        <v/>
      </c>
      <c r="J98" s="148" t="str">
        <f>IFERROR(SUMIFS(当年实际!$V:$V,当年实际!$H:$H,$B98,当年实际!$C:$C,"&gt;="&amp;DATE(YEAR(主页!$D$2),1,1),当年实际!$C:$C,"&lt;="&amp;EOMONTH(DATE(YEAR(主页!$D$2),MONTH(主页!$D$2),1),0))/SUMIFS(当年实际!$P:$P,当年实际!$H:$H,$B98,当年实际!$C:$C,"&gt;="&amp;DATE(YEAR(主页!$D$2),1,1),当年实际!$C:$C,"&lt;="&amp;EOMONTH(DATE(YEAR(主页!$D$2),MONTH(主页!$D$2),1),0)),"")</f>
        <v/>
      </c>
    </row>
    <row r="99" spans="1:10" x14ac:dyDescent="0.3">
      <c r="A99" s="127"/>
      <c r="B99" s="149"/>
      <c r="C99" s="7"/>
      <c r="D99" s="5"/>
      <c r="E99" s="140" t="str">
        <f t="shared" si="4"/>
        <v/>
      </c>
      <c r="F99" s="142"/>
      <c r="G99" s="145">
        <f t="shared" si="6"/>
        <v>0</v>
      </c>
      <c r="H99" s="140" t="str">
        <f t="shared" si="5"/>
        <v/>
      </c>
      <c r="J99" s="148" t="str">
        <f>IFERROR(SUMIFS(当年实际!$V:$V,当年实际!$H:$H,$B99,当年实际!$C:$C,"&gt;="&amp;DATE(YEAR(主页!$D$2),1,1),当年实际!$C:$C,"&lt;="&amp;EOMONTH(DATE(YEAR(主页!$D$2),MONTH(主页!$D$2),1),0))/SUMIFS(当年实际!$P:$P,当年实际!$H:$H,$B99,当年实际!$C:$C,"&gt;="&amp;DATE(YEAR(主页!$D$2),1,1),当年实际!$C:$C,"&lt;="&amp;EOMONTH(DATE(YEAR(主页!$D$2),MONTH(主页!$D$2),1),0)),"")</f>
        <v/>
      </c>
    </row>
    <row r="100" spans="1:10" x14ac:dyDescent="0.3">
      <c r="A100" s="127"/>
      <c r="B100" s="149"/>
      <c r="C100" s="7"/>
      <c r="D100" s="5"/>
      <c r="E100" s="140" t="str">
        <f t="shared" si="4"/>
        <v/>
      </c>
      <c r="F100" s="142"/>
      <c r="G100" s="145">
        <f t="shared" si="6"/>
        <v>0</v>
      </c>
      <c r="H100" s="140" t="str">
        <f t="shared" si="5"/>
        <v/>
      </c>
      <c r="J100" s="148" t="str">
        <f>IFERROR(SUMIFS(当年实际!$V:$V,当年实际!$H:$H,$B100,当年实际!$C:$C,"&gt;="&amp;DATE(YEAR(主页!$D$2),1,1),当年实际!$C:$C,"&lt;="&amp;EOMONTH(DATE(YEAR(主页!$D$2),MONTH(主页!$D$2),1),0))/SUMIFS(当年实际!$P:$P,当年实际!$H:$H,$B100,当年实际!$C:$C,"&gt;="&amp;DATE(YEAR(主页!$D$2),1,1),当年实际!$C:$C,"&lt;="&amp;EOMONTH(DATE(YEAR(主页!$D$2),MONTH(主页!$D$2),1),0)),"")</f>
        <v/>
      </c>
    </row>
    <row r="101" spans="1:10" x14ac:dyDescent="0.3">
      <c r="A101" s="127"/>
      <c r="B101" s="149"/>
      <c r="C101" s="7"/>
      <c r="D101" s="5"/>
      <c r="E101" s="140" t="str">
        <f t="shared" si="4"/>
        <v/>
      </c>
      <c r="F101" s="142"/>
      <c r="G101" s="145">
        <f t="shared" si="6"/>
        <v>0</v>
      </c>
      <c r="H101" s="140" t="str">
        <f t="shared" si="5"/>
        <v/>
      </c>
      <c r="J101" s="148" t="str">
        <f>IFERROR(SUMIFS(当年实际!$V:$V,当年实际!$H:$H,$B101,当年实际!$C:$C,"&gt;="&amp;DATE(YEAR(主页!$D$2),1,1),当年实际!$C:$C,"&lt;="&amp;EOMONTH(DATE(YEAR(主页!$D$2),MONTH(主页!$D$2),1),0))/SUMIFS(当年实际!$P:$P,当年实际!$H:$H,$B101,当年实际!$C:$C,"&gt;="&amp;DATE(YEAR(主页!$D$2),1,1),当年实际!$C:$C,"&lt;="&amp;EOMONTH(DATE(YEAR(主页!$D$2),MONTH(主页!$D$2),1),0)),"")</f>
        <v/>
      </c>
    </row>
    <row r="102" spans="1:10" x14ac:dyDescent="0.3">
      <c r="A102" s="127"/>
      <c r="B102" s="149"/>
      <c r="C102" s="7"/>
      <c r="D102" s="5"/>
      <c r="E102" s="140" t="str">
        <f t="shared" si="4"/>
        <v/>
      </c>
      <c r="F102" s="142"/>
      <c r="G102" s="145">
        <f t="shared" si="6"/>
        <v>0</v>
      </c>
      <c r="H102" s="140" t="str">
        <f t="shared" si="5"/>
        <v/>
      </c>
      <c r="J102" s="148" t="str">
        <f>IFERROR(SUMIFS(当年实际!$V:$V,当年实际!$H:$H,$B102,当年实际!$C:$C,"&gt;="&amp;DATE(YEAR(主页!$D$2),1,1),当年实际!$C:$C,"&lt;="&amp;EOMONTH(DATE(YEAR(主页!$D$2),MONTH(主页!$D$2),1),0))/SUMIFS(当年实际!$P:$P,当年实际!$H:$H,$B102,当年实际!$C:$C,"&gt;="&amp;DATE(YEAR(主页!$D$2),1,1),当年实际!$C:$C,"&lt;="&amp;EOMONTH(DATE(YEAR(主页!$D$2),MONTH(主页!$D$2),1),0)),"")</f>
        <v/>
      </c>
    </row>
    <row r="103" spans="1:10" x14ac:dyDescent="0.3">
      <c r="A103" s="127"/>
      <c r="B103" s="149"/>
      <c r="C103" s="7"/>
      <c r="D103" s="5"/>
      <c r="E103" s="140" t="str">
        <f t="shared" si="4"/>
        <v/>
      </c>
      <c r="F103" s="142"/>
      <c r="G103" s="145">
        <f t="shared" si="6"/>
        <v>0</v>
      </c>
      <c r="H103" s="140" t="str">
        <f t="shared" si="5"/>
        <v/>
      </c>
      <c r="J103" s="148" t="str">
        <f>IFERROR(SUMIFS(当年实际!$V:$V,当年实际!$H:$H,$B103,当年实际!$C:$C,"&gt;="&amp;DATE(YEAR(主页!$D$2),1,1),当年实际!$C:$C,"&lt;="&amp;EOMONTH(DATE(YEAR(主页!$D$2),MONTH(主页!$D$2),1),0))/SUMIFS(当年实际!$P:$P,当年实际!$H:$H,$B103,当年实际!$C:$C,"&gt;="&amp;DATE(YEAR(主页!$D$2),1,1),当年实际!$C:$C,"&lt;="&amp;EOMONTH(DATE(YEAR(主页!$D$2),MONTH(主页!$D$2),1),0)),"")</f>
        <v/>
      </c>
    </row>
    <row r="104" spans="1:10" x14ac:dyDescent="0.3">
      <c r="A104" s="127"/>
      <c r="B104" s="149"/>
      <c r="C104" s="7"/>
      <c r="D104" s="5"/>
      <c r="E104" s="140" t="str">
        <f t="shared" si="4"/>
        <v/>
      </c>
      <c r="F104" s="142"/>
      <c r="G104" s="145">
        <f t="shared" si="6"/>
        <v>0</v>
      </c>
      <c r="H104" s="140" t="str">
        <f t="shared" si="5"/>
        <v/>
      </c>
      <c r="J104" s="148" t="str">
        <f>IFERROR(SUMIFS(当年实际!$V:$V,当年实际!$H:$H,$B104,当年实际!$C:$C,"&gt;="&amp;DATE(YEAR(主页!$D$2),1,1),当年实际!$C:$C,"&lt;="&amp;EOMONTH(DATE(YEAR(主页!$D$2),MONTH(主页!$D$2),1),0))/SUMIFS(当年实际!$P:$P,当年实际!$H:$H,$B104,当年实际!$C:$C,"&gt;="&amp;DATE(YEAR(主页!$D$2),1,1),当年实际!$C:$C,"&lt;="&amp;EOMONTH(DATE(YEAR(主页!$D$2),MONTH(主页!$D$2),1),0)),"")</f>
        <v/>
      </c>
    </row>
    <row r="105" spans="1:10" x14ac:dyDescent="0.3">
      <c r="A105" s="127"/>
      <c r="B105" s="149"/>
      <c r="C105" s="7"/>
      <c r="D105" s="5"/>
      <c r="E105" s="140" t="str">
        <f t="shared" si="4"/>
        <v/>
      </c>
      <c r="F105" s="142"/>
      <c r="G105" s="145">
        <f t="shared" si="6"/>
        <v>0</v>
      </c>
      <c r="H105" s="140" t="str">
        <f t="shared" si="5"/>
        <v/>
      </c>
      <c r="J105" s="148" t="str">
        <f>IFERROR(SUMIFS(当年实际!$V:$V,当年实际!$H:$H,$B105,当年实际!$C:$C,"&gt;="&amp;DATE(YEAR(主页!$D$2),1,1),当年实际!$C:$C,"&lt;="&amp;EOMONTH(DATE(YEAR(主页!$D$2),MONTH(主页!$D$2),1),0))/SUMIFS(当年实际!$P:$P,当年实际!$H:$H,$B105,当年实际!$C:$C,"&gt;="&amp;DATE(YEAR(主页!$D$2),1,1),当年实际!$C:$C,"&lt;="&amp;EOMONTH(DATE(YEAR(主页!$D$2),MONTH(主页!$D$2),1),0)),"")</f>
        <v/>
      </c>
    </row>
    <row r="106" spans="1:10" x14ac:dyDescent="0.3">
      <c r="A106" s="127"/>
      <c r="B106" s="149"/>
      <c r="C106" s="7"/>
      <c r="D106" s="5"/>
      <c r="E106" s="140" t="str">
        <f t="shared" si="4"/>
        <v/>
      </c>
      <c r="F106" s="142"/>
      <c r="G106" s="145">
        <f t="shared" si="6"/>
        <v>0</v>
      </c>
      <c r="H106" s="140" t="str">
        <f t="shared" si="5"/>
        <v/>
      </c>
      <c r="J106" s="148" t="str">
        <f>IFERROR(SUMIFS(当年实际!$V:$V,当年实际!$H:$H,$B106,当年实际!$C:$C,"&gt;="&amp;DATE(YEAR(主页!$D$2),1,1),当年实际!$C:$C,"&lt;="&amp;EOMONTH(DATE(YEAR(主页!$D$2),MONTH(主页!$D$2),1),0))/SUMIFS(当年实际!$P:$P,当年实际!$H:$H,$B106,当年实际!$C:$C,"&gt;="&amp;DATE(YEAR(主页!$D$2),1,1),当年实际!$C:$C,"&lt;="&amp;EOMONTH(DATE(YEAR(主页!$D$2),MONTH(主页!$D$2),1),0)),"")</f>
        <v/>
      </c>
    </row>
    <row r="107" spans="1:10" x14ac:dyDescent="0.3">
      <c r="A107" s="127"/>
      <c r="B107" s="149"/>
      <c r="C107" s="7"/>
      <c r="D107" s="5"/>
      <c r="E107" s="140" t="str">
        <f t="shared" si="4"/>
        <v/>
      </c>
      <c r="F107" s="142"/>
      <c r="G107" s="145">
        <f t="shared" si="6"/>
        <v>0</v>
      </c>
      <c r="H107" s="140" t="str">
        <f t="shared" si="5"/>
        <v/>
      </c>
      <c r="J107" s="148" t="str">
        <f>IFERROR(SUMIFS(当年实际!$V:$V,当年实际!$H:$H,$B107,当年实际!$C:$C,"&gt;="&amp;DATE(YEAR(主页!$D$2),1,1),当年实际!$C:$C,"&lt;="&amp;EOMONTH(DATE(YEAR(主页!$D$2),MONTH(主页!$D$2),1),0))/SUMIFS(当年实际!$P:$P,当年实际!$H:$H,$B107,当年实际!$C:$C,"&gt;="&amp;DATE(YEAR(主页!$D$2),1,1),当年实际!$C:$C,"&lt;="&amp;EOMONTH(DATE(YEAR(主页!$D$2),MONTH(主页!$D$2),1),0)),"")</f>
        <v/>
      </c>
    </row>
    <row r="108" spans="1:10" x14ac:dyDescent="0.3">
      <c r="A108" s="127"/>
      <c r="B108" s="149"/>
      <c r="C108" s="7"/>
      <c r="D108" s="5"/>
      <c r="E108" s="140" t="str">
        <f t="shared" si="4"/>
        <v/>
      </c>
      <c r="F108" s="142"/>
      <c r="G108" s="145">
        <f t="shared" si="6"/>
        <v>0</v>
      </c>
      <c r="H108" s="140" t="str">
        <f t="shared" si="5"/>
        <v/>
      </c>
      <c r="J108" s="148" t="str">
        <f>IFERROR(SUMIFS(当年实际!$V:$V,当年实际!$H:$H,$B108,当年实际!$C:$C,"&gt;="&amp;DATE(YEAR(主页!$D$2),1,1),当年实际!$C:$C,"&lt;="&amp;EOMONTH(DATE(YEAR(主页!$D$2),MONTH(主页!$D$2),1),0))/SUMIFS(当年实际!$P:$P,当年实际!$H:$H,$B108,当年实际!$C:$C,"&gt;="&amp;DATE(YEAR(主页!$D$2),1,1),当年实际!$C:$C,"&lt;="&amp;EOMONTH(DATE(YEAR(主页!$D$2),MONTH(主页!$D$2),1),0)),"")</f>
        <v/>
      </c>
    </row>
    <row r="109" spans="1:10" x14ac:dyDescent="0.3">
      <c r="A109" s="127"/>
      <c r="B109" s="149"/>
      <c r="C109" s="7"/>
      <c r="D109" s="5"/>
      <c r="E109" s="140" t="str">
        <f t="shared" si="4"/>
        <v/>
      </c>
      <c r="F109" s="142"/>
      <c r="G109" s="145">
        <f t="shared" si="6"/>
        <v>0</v>
      </c>
      <c r="H109" s="140" t="str">
        <f t="shared" si="5"/>
        <v/>
      </c>
      <c r="J109" s="148" t="str">
        <f>IFERROR(SUMIFS(当年实际!$V:$V,当年实际!$H:$H,$B109,当年实际!$C:$C,"&gt;="&amp;DATE(YEAR(主页!$D$2),1,1),当年实际!$C:$C,"&lt;="&amp;EOMONTH(DATE(YEAR(主页!$D$2),MONTH(主页!$D$2),1),0))/SUMIFS(当年实际!$P:$P,当年实际!$H:$H,$B109,当年实际!$C:$C,"&gt;="&amp;DATE(YEAR(主页!$D$2),1,1),当年实际!$C:$C,"&lt;="&amp;EOMONTH(DATE(YEAR(主页!$D$2),MONTH(主页!$D$2),1),0)),"")</f>
        <v/>
      </c>
    </row>
    <row r="110" spans="1:10" x14ac:dyDescent="0.3">
      <c r="A110" s="127"/>
      <c r="B110" s="149"/>
      <c r="C110" s="7"/>
      <c r="D110" s="5"/>
      <c r="E110" s="140" t="str">
        <f t="shared" si="4"/>
        <v/>
      </c>
      <c r="F110" s="142"/>
      <c r="G110" s="145">
        <f t="shared" si="6"/>
        <v>0</v>
      </c>
      <c r="H110" s="140" t="str">
        <f t="shared" si="5"/>
        <v/>
      </c>
      <c r="J110" s="148" t="str">
        <f>IFERROR(SUMIFS(当年实际!$V:$V,当年实际!$H:$H,$B110,当年实际!$C:$C,"&gt;="&amp;DATE(YEAR(主页!$D$2),1,1),当年实际!$C:$C,"&lt;="&amp;EOMONTH(DATE(YEAR(主页!$D$2),MONTH(主页!$D$2),1),0))/SUMIFS(当年实际!$P:$P,当年实际!$H:$H,$B110,当年实际!$C:$C,"&gt;="&amp;DATE(YEAR(主页!$D$2),1,1),当年实际!$C:$C,"&lt;="&amp;EOMONTH(DATE(YEAR(主页!$D$2),MONTH(主页!$D$2),1),0)),"")</f>
        <v/>
      </c>
    </row>
    <row r="111" spans="1:10" x14ac:dyDescent="0.3">
      <c r="A111" s="127"/>
      <c r="B111" s="149"/>
      <c r="C111" s="7"/>
      <c r="D111" s="5"/>
      <c r="E111" s="140" t="str">
        <f t="shared" si="4"/>
        <v/>
      </c>
      <c r="F111" s="142"/>
      <c r="G111" s="145">
        <f t="shared" si="6"/>
        <v>0</v>
      </c>
      <c r="H111" s="140" t="str">
        <f t="shared" si="5"/>
        <v/>
      </c>
      <c r="J111" s="148" t="str">
        <f>IFERROR(SUMIFS(当年实际!$V:$V,当年实际!$H:$H,$B111,当年实际!$C:$C,"&gt;="&amp;DATE(YEAR(主页!$D$2),1,1),当年实际!$C:$C,"&lt;="&amp;EOMONTH(DATE(YEAR(主页!$D$2),MONTH(主页!$D$2),1),0))/SUMIFS(当年实际!$P:$P,当年实际!$H:$H,$B111,当年实际!$C:$C,"&gt;="&amp;DATE(YEAR(主页!$D$2),1,1),当年实际!$C:$C,"&lt;="&amp;EOMONTH(DATE(YEAR(主页!$D$2),MONTH(主页!$D$2),1),0)),"")</f>
        <v/>
      </c>
    </row>
    <row r="112" spans="1:10" x14ac:dyDescent="0.3">
      <c r="A112" s="127"/>
      <c r="B112" s="149"/>
      <c r="C112" s="7"/>
      <c r="D112" s="5"/>
      <c r="E112" s="140" t="str">
        <f t="shared" si="4"/>
        <v/>
      </c>
      <c r="F112" s="142"/>
      <c r="G112" s="145">
        <f t="shared" si="6"/>
        <v>0</v>
      </c>
      <c r="H112" s="140" t="str">
        <f t="shared" si="5"/>
        <v/>
      </c>
      <c r="J112" s="148" t="str">
        <f>IFERROR(SUMIFS(当年实际!$V:$V,当年实际!$H:$H,$B112,当年实际!$C:$C,"&gt;="&amp;DATE(YEAR(主页!$D$2),1,1),当年实际!$C:$C,"&lt;="&amp;EOMONTH(DATE(YEAR(主页!$D$2),MONTH(主页!$D$2),1),0))/SUMIFS(当年实际!$P:$P,当年实际!$H:$H,$B112,当年实际!$C:$C,"&gt;="&amp;DATE(YEAR(主页!$D$2),1,1),当年实际!$C:$C,"&lt;="&amp;EOMONTH(DATE(YEAR(主页!$D$2),MONTH(主页!$D$2),1),0)),"")</f>
        <v/>
      </c>
    </row>
    <row r="113" spans="1:10" x14ac:dyDescent="0.3">
      <c r="A113" s="127"/>
      <c r="B113" s="149"/>
      <c r="C113" s="7"/>
      <c r="D113" s="5"/>
      <c r="E113" s="140" t="str">
        <f t="shared" si="4"/>
        <v/>
      </c>
      <c r="F113" s="142"/>
      <c r="G113" s="145">
        <f t="shared" si="6"/>
        <v>0</v>
      </c>
      <c r="H113" s="140" t="str">
        <f t="shared" si="5"/>
        <v/>
      </c>
      <c r="J113" s="148" t="str">
        <f>IFERROR(SUMIFS(当年实际!$V:$V,当年实际!$H:$H,$B113,当年实际!$C:$C,"&gt;="&amp;DATE(YEAR(主页!$D$2),1,1),当年实际!$C:$C,"&lt;="&amp;EOMONTH(DATE(YEAR(主页!$D$2),MONTH(主页!$D$2),1),0))/SUMIFS(当年实际!$P:$P,当年实际!$H:$H,$B113,当年实际!$C:$C,"&gt;="&amp;DATE(YEAR(主页!$D$2),1,1),当年实际!$C:$C,"&lt;="&amp;EOMONTH(DATE(YEAR(主页!$D$2),MONTH(主页!$D$2),1),0)),"")</f>
        <v/>
      </c>
    </row>
    <row r="114" spans="1:10" x14ac:dyDescent="0.3">
      <c r="A114" s="127"/>
      <c r="B114" s="149"/>
      <c r="C114" s="7"/>
      <c r="D114" s="5"/>
      <c r="E114" s="140" t="str">
        <f t="shared" si="4"/>
        <v/>
      </c>
      <c r="F114" s="142"/>
      <c r="G114" s="145">
        <f t="shared" si="6"/>
        <v>0</v>
      </c>
      <c r="H114" s="140" t="str">
        <f t="shared" si="5"/>
        <v/>
      </c>
      <c r="J114" s="148" t="str">
        <f>IFERROR(SUMIFS(当年实际!$V:$V,当年实际!$H:$H,$B114,当年实际!$C:$C,"&gt;="&amp;DATE(YEAR(主页!$D$2),1,1),当年实际!$C:$C,"&lt;="&amp;EOMONTH(DATE(YEAR(主页!$D$2),MONTH(主页!$D$2),1),0))/SUMIFS(当年实际!$P:$P,当年实际!$H:$H,$B114,当年实际!$C:$C,"&gt;="&amp;DATE(YEAR(主页!$D$2),1,1),当年实际!$C:$C,"&lt;="&amp;EOMONTH(DATE(YEAR(主页!$D$2),MONTH(主页!$D$2),1),0)),"")</f>
        <v/>
      </c>
    </row>
    <row r="115" spans="1:10" x14ac:dyDescent="0.3">
      <c r="A115" s="127"/>
      <c r="B115" s="149"/>
      <c r="C115" s="7"/>
      <c r="D115" s="5"/>
      <c r="E115" s="140" t="str">
        <f t="shared" si="4"/>
        <v/>
      </c>
      <c r="F115" s="142"/>
      <c r="G115" s="145">
        <f t="shared" si="6"/>
        <v>0</v>
      </c>
      <c r="H115" s="140" t="str">
        <f t="shared" si="5"/>
        <v/>
      </c>
      <c r="J115" s="148" t="str">
        <f>IFERROR(SUMIFS(当年实际!$V:$V,当年实际!$H:$H,$B115,当年实际!$C:$C,"&gt;="&amp;DATE(YEAR(主页!$D$2),1,1),当年实际!$C:$C,"&lt;="&amp;EOMONTH(DATE(YEAR(主页!$D$2),MONTH(主页!$D$2),1),0))/SUMIFS(当年实际!$P:$P,当年实际!$H:$H,$B115,当年实际!$C:$C,"&gt;="&amp;DATE(YEAR(主页!$D$2),1,1),当年实际!$C:$C,"&lt;="&amp;EOMONTH(DATE(YEAR(主页!$D$2),MONTH(主页!$D$2),1),0)),"")</f>
        <v/>
      </c>
    </row>
    <row r="116" spans="1:10" x14ac:dyDescent="0.3">
      <c r="A116" s="127"/>
      <c r="B116" s="149"/>
      <c r="C116" s="7"/>
      <c r="D116" s="5"/>
      <c r="E116" s="140" t="str">
        <f t="shared" si="4"/>
        <v/>
      </c>
      <c r="F116" s="142"/>
      <c r="G116" s="145">
        <f t="shared" si="6"/>
        <v>0</v>
      </c>
      <c r="H116" s="140" t="str">
        <f t="shared" si="5"/>
        <v/>
      </c>
      <c r="J116" s="148" t="str">
        <f>IFERROR(SUMIFS(当年实际!$V:$V,当年实际!$H:$H,$B116,当年实际!$C:$C,"&gt;="&amp;DATE(YEAR(主页!$D$2),1,1),当年实际!$C:$C,"&lt;="&amp;EOMONTH(DATE(YEAR(主页!$D$2),MONTH(主页!$D$2),1),0))/SUMIFS(当年实际!$P:$P,当年实际!$H:$H,$B116,当年实际!$C:$C,"&gt;="&amp;DATE(YEAR(主页!$D$2),1,1),当年实际!$C:$C,"&lt;="&amp;EOMONTH(DATE(YEAR(主页!$D$2),MONTH(主页!$D$2),1),0)),"")</f>
        <v/>
      </c>
    </row>
    <row r="117" spans="1:10" x14ac:dyDescent="0.3">
      <c r="A117" s="127"/>
      <c r="B117" s="149"/>
      <c r="C117" s="7"/>
      <c r="D117" s="5"/>
      <c r="E117" s="140" t="str">
        <f t="shared" si="4"/>
        <v/>
      </c>
      <c r="F117" s="142"/>
      <c r="G117" s="145">
        <f t="shared" si="6"/>
        <v>0</v>
      </c>
      <c r="H117" s="140" t="str">
        <f t="shared" si="5"/>
        <v/>
      </c>
      <c r="J117" s="148" t="str">
        <f>IFERROR(SUMIFS(当年实际!$V:$V,当年实际!$H:$H,$B117,当年实际!$C:$C,"&gt;="&amp;DATE(YEAR(主页!$D$2),1,1),当年实际!$C:$C,"&lt;="&amp;EOMONTH(DATE(YEAR(主页!$D$2),MONTH(主页!$D$2),1),0))/SUMIFS(当年实际!$P:$P,当年实际!$H:$H,$B117,当年实际!$C:$C,"&gt;="&amp;DATE(YEAR(主页!$D$2),1,1),当年实际!$C:$C,"&lt;="&amp;EOMONTH(DATE(YEAR(主页!$D$2),MONTH(主页!$D$2),1),0)),"")</f>
        <v/>
      </c>
    </row>
    <row r="118" spans="1:10" x14ac:dyDescent="0.3">
      <c r="A118" s="127"/>
      <c r="B118" s="149"/>
      <c r="C118" s="7"/>
      <c r="D118" s="5"/>
      <c r="E118" s="140" t="str">
        <f t="shared" si="4"/>
        <v/>
      </c>
      <c r="F118" s="142"/>
      <c r="G118" s="145">
        <f t="shared" si="6"/>
        <v>0</v>
      </c>
      <c r="H118" s="140" t="str">
        <f t="shared" si="5"/>
        <v/>
      </c>
      <c r="J118" s="148" t="str">
        <f>IFERROR(SUMIFS(当年实际!$V:$V,当年实际!$H:$H,$B118,当年实际!$C:$C,"&gt;="&amp;DATE(YEAR(主页!$D$2),1,1),当年实际!$C:$C,"&lt;="&amp;EOMONTH(DATE(YEAR(主页!$D$2),MONTH(主页!$D$2),1),0))/SUMIFS(当年实际!$P:$P,当年实际!$H:$H,$B118,当年实际!$C:$C,"&gt;="&amp;DATE(YEAR(主页!$D$2),1,1),当年实际!$C:$C,"&lt;="&amp;EOMONTH(DATE(YEAR(主页!$D$2),MONTH(主页!$D$2),1),0)),"")</f>
        <v/>
      </c>
    </row>
    <row r="119" spans="1:10" x14ac:dyDescent="0.3">
      <c r="A119" s="127"/>
      <c r="B119" s="149"/>
      <c r="C119" s="7"/>
      <c r="D119" s="5"/>
      <c r="E119" s="140" t="str">
        <f t="shared" si="4"/>
        <v/>
      </c>
      <c r="F119" s="142"/>
      <c r="G119" s="145">
        <f t="shared" si="6"/>
        <v>0</v>
      </c>
      <c r="H119" s="140" t="str">
        <f t="shared" si="5"/>
        <v/>
      </c>
      <c r="J119" s="148" t="str">
        <f>IFERROR(SUMIFS(当年实际!$V:$V,当年实际!$H:$H,$B119,当年实际!$C:$C,"&gt;="&amp;DATE(YEAR(主页!$D$2),1,1),当年实际!$C:$C,"&lt;="&amp;EOMONTH(DATE(YEAR(主页!$D$2),MONTH(主页!$D$2),1),0))/SUMIFS(当年实际!$P:$P,当年实际!$H:$H,$B119,当年实际!$C:$C,"&gt;="&amp;DATE(YEAR(主页!$D$2),1,1),当年实际!$C:$C,"&lt;="&amp;EOMONTH(DATE(YEAR(主页!$D$2),MONTH(主页!$D$2),1),0)),"")</f>
        <v/>
      </c>
    </row>
    <row r="120" spans="1:10" x14ac:dyDescent="0.3">
      <c r="A120" s="127"/>
      <c r="B120" s="149"/>
      <c r="C120" s="7"/>
      <c r="D120" s="5"/>
      <c r="E120" s="140" t="str">
        <f t="shared" si="4"/>
        <v/>
      </c>
      <c r="F120" s="142"/>
      <c r="G120" s="145">
        <f t="shared" si="6"/>
        <v>0</v>
      </c>
      <c r="H120" s="140" t="str">
        <f t="shared" si="5"/>
        <v/>
      </c>
      <c r="J120" s="148" t="str">
        <f>IFERROR(SUMIFS(当年实际!$V:$V,当年实际!$H:$H,$B120,当年实际!$C:$C,"&gt;="&amp;DATE(YEAR(主页!$D$2),1,1),当年实际!$C:$C,"&lt;="&amp;EOMONTH(DATE(YEAR(主页!$D$2),MONTH(主页!$D$2),1),0))/SUMIFS(当年实际!$P:$P,当年实际!$H:$H,$B120,当年实际!$C:$C,"&gt;="&amp;DATE(YEAR(主页!$D$2),1,1),当年实际!$C:$C,"&lt;="&amp;EOMONTH(DATE(YEAR(主页!$D$2),MONTH(主页!$D$2),1),0)),"")</f>
        <v/>
      </c>
    </row>
    <row r="121" spans="1:10" x14ac:dyDescent="0.3">
      <c r="A121" s="127"/>
      <c r="B121" s="149"/>
      <c r="C121" s="7"/>
      <c r="D121" s="5"/>
      <c r="E121" s="140" t="str">
        <f t="shared" si="4"/>
        <v/>
      </c>
      <c r="F121" s="142"/>
      <c r="G121" s="145">
        <f t="shared" si="6"/>
        <v>0</v>
      </c>
      <c r="H121" s="140" t="str">
        <f t="shared" si="5"/>
        <v/>
      </c>
      <c r="J121" s="148" t="str">
        <f>IFERROR(SUMIFS(当年实际!$V:$V,当年实际!$H:$H,$B121,当年实际!$C:$C,"&gt;="&amp;DATE(YEAR(主页!$D$2),1,1),当年实际!$C:$C,"&lt;="&amp;EOMONTH(DATE(YEAR(主页!$D$2),MONTH(主页!$D$2),1),0))/SUMIFS(当年实际!$P:$P,当年实际!$H:$H,$B121,当年实际!$C:$C,"&gt;="&amp;DATE(YEAR(主页!$D$2),1,1),当年实际!$C:$C,"&lt;="&amp;EOMONTH(DATE(YEAR(主页!$D$2),MONTH(主页!$D$2),1),0)),"")</f>
        <v/>
      </c>
    </row>
    <row r="122" spans="1:10" x14ac:dyDescent="0.3">
      <c r="A122" s="127"/>
      <c r="B122" s="149"/>
      <c r="C122" s="7"/>
      <c r="D122" s="5"/>
      <c r="E122" s="140" t="str">
        <f t="shared" si="4"/>
        <v/>
      </c>
      <c r="F122" s="142"/>
      <c r="G122" s="145">
        <f t="shared" si="6"/>
        <v>0</v>
      </c>
      <c r="H122" s="140" t="str">
        <f t="shared" si="5"/>
        <v/>
      </c>
      <c r="J122" s="148" t="str">
        <f>IFERROR(SUMIFS(当年实际!$V:$V,当年实际!$H:$H,$B122,当年实际!$C:$C,"&gt;="&amp;DATE(YEAR(主页!$D$2),1,1),当年实际!$C:$C,"&lt;="&amp;EOMONTH(DATE(YEAR(主页!$D$2),MONTH(主页!$D$2),1),0))/SUMIFS(当年实际!$P:$P,当年实际!$H:$H,$B122,当年实际!$C:$C,"&gt;="&amp;DATE(YEAR(主页!$D$2),1,1),当年实际!$C:$C,"&lt;="&amp;EOMONTH(DATE(YEAR(主页!$D$2),MONTH(主页!$D$2),1),0)),"")</f>
        <v/>
      </c>
    </row>
    <row r="123" spans="1:10" x14ac:dyDescent="0.3">
      <c r="A123" s="127"/>
      <c r="B123" s="149"/>
      <c r="C123" s="7"/>
      <c r="D123" s="5"/>
      <c r="E123" s="140" t="str">
        <f t="shared" si="4"/>
        <v/>
      </c>
      <c r="F123" s="142"/>
      <c r="G123" s="145">
        <f t="shared" si="6"/>
        <v>0</v>
      </c>
      <c r="H123" s="140" t="str">
        <f t="shared" si="5"/>
        <v/>
      </c>
      <c r="J123" s="148" t="str">
        <f>IFERROR(SUMIFS(当年实际!$V:$V,当年实际!$H:$H,$B123,当年实际!$C:$C,"&gt;="&amp;DATE(YEAR(主页!$D$2),1,1),当年实际!$C:$C,"&lt;="&amp;EOMONTH(DATE(YEAR(主页!$D$2),MONTH(主页!$D$2),1),0))/SUMIFS(当年实际!$P:$P,当年实际!$H:$H,$B123,当年实际!$C:$C,"&gt;="&amp;DATE(YEAR(主页!$D$2),1,1),当年实际!$C:$C,"&lt;="&amp;EOMONTH(DATE(YEAR(主页!$D$2),MONTH(主页!$D$2),1),0)),"")</f>
        <v/>
      </c>
    </row>
    <row r="124" spans="1:10" x14ac:dyDescent="0.3">
      <c r="A124" s="127"/>
      <c r="B124" s="149"/>
      <c r="C124" s="7"/>
      <c r="D124" s="5"/>
      <c r="E124" s="140" t="str">
        <f t="shared" si="4"/>
        <v/>
      </c>
      <c r="F124" s="142"/>
      <c r="G124" s="145">
        <f t="shared" si="6"/>
        <v>0</v>
      </c>
      <c r="H124" s="140" t="str">
        <f t="shared" si="5"/>
        <v/>
      </c>
      <c r="J124" s="148" t="str">
        <f>IFERROR(SUMIFS(当年实际!$V:$V,当年实际!$H:$H,$B124,当年实际!$C:$C,"&gt;="&amp;DATE(YEAR(主页!$D$2),1,1),当年实际!$C:$C,"&lt;="&amp;EOMONTH(DATE(YEAR(主页!$D$2),MONTH(主页!$D$2),1),0))/SUMIFS(当年实际!$P:$P,当年实际!$H:$H,$B124,当年实际!$C:$C,"&gt;="&amp;DATE(YEAR(主页!$D$2),1,1),当年实际!$C:$C,"&lt;="&amp;EOMONTH(DATE(YEAR(主页!$D$2),MONTH(主页!$D$2),1),0)),"")</f>
        <v/>
      </c>
    </row>
    <row r="125" spans="1:10" x14ac:dyDescent="0.3">
      <c r="A125" s="127"/>
      <c r="B125" s="149"/>
      <c r="C125" s="7"/>
      <c r="D125" s="5"/>
      <c r="E125" s="140" t="str">
        <f t="shared" si="4"/>
        <v/>
      </c>
      <c r="F125" s="142"/>
      <c r="G125" s="145">
        <f t="shared" si="6"/>
        <v>0</v>
      </c>
      <c r="H125" s="140" t="str">
        <f t="shared" si="5"/>
        <v/>
      </c>
      <c r="J125" s="148" t="str">
        <f>IFERROR(SUMIFS(当年实际!$V:$V,当年实际!$H:$H,$B125,当年实际!$C:$C,"&gt;="&amp;DATE(YEAR(主页!$D$2),1,1),当年实际!$C:$C,"&lt;="&amp;EOMONTH(DATE(YEAR(主页!$D$2),MONTH(主页!$D$2),1),0))/SUMIFS(当年实际!$P:$P,当年实际!$H:$H,$B125,当年实际!$C:$C,"&gt;="&amp;DATE(YEAR(主页!$D$2),1,1),当年实际!$C:$C,"&lt;="&amp;EOMONTH(DATE(YEAR(主页!$D$2),MONTH(主页!$D$2),1),0)),"")</f>
        <v/>
      </c>
    </row>
    <row r="126" spans="1:10" x14ac:dyDescent="0.3">
      <c r="A126" s="127"/>
      <c r="B126" s="149"/>
      <c r="C126" s="7"/>
      <c r="D126" s="5"/>
      <c r="E126" s="140" t="str">
        <f t="shared" si="4"/>
        <v/>
      </c>
      <c r="F126" s="142"/>
      <c r="G126" s="145">
        <f t="shared" si="6"/>
        <v>0</v>
      </c>
      <c r="H126" s="140" t="str">
        <f t="shared" si="5"/>
        <v/>
      </c>
      <c r="J126" s="148" t="str">
        <f>IFERROR(SUMIFS(当年实际!$V:$V,当年实际!$H:$H,$B126,当年实际!$C:$C,"&gt;="&amp;DATE(YEAR(主页!$D$2),1,1),当年实际!$C:$C,"&lt;="&amp;EOMONTH(DATE(YEAR(主页!$D$2),MONTH(主页!$D$2),1),0))/SUMIFS(当年实际!$P:$P,当年实际!$H:$H,$B126,当年实际!$C:$C,"&gt;="&amp;DATE(YEAR(主页!$D$2),1,1),当年实际!$C:$C,"&lt;="&amp;EOMONTH(DATE(YEAR(主页!$D$2),MONTH(主页!$D$2),1),0)),"")</f>
        <v/>
      </c>
    </row>
    <row r="127" spans="1:10" x14ac:dyDescent="0.3">
      <c r="A127" s="127"/>
      <c r="B127" s="149"/>
      <c r="C127" s="7"/>
      <c r="D127" s="5"/>
      <c r="E127" s="140" t="str">
        <f t="shared" si="4"/>
        <v/>
      </c>
      <c r="F127" s="142"/>
      <c r="G127" s="145">
        <f t="shared" si="6"/>
        <v>0</v>
      </c>
      <c r="H127" s="140" t="str">
        <f t="shared" si="5"/>
        <v/>
      </c>
      <c r="J127" s="148" t="str">
        <f>IFERROR(SUMIFS(当年实际!$V:$V,当年实际!$H:$H,$B127,当年实际!$C:$C,"&gt;="&amp;DATE(YEAR(主页!$D$2),1,1),当年实际!$C:$C,"&lt;="&amp;EOMONTH(DATE(YEAR(主页!$D$2),MONTH(主页!$D$2),1),0))/SUMIFS(当年实际!$P:$P,当年实际!$H:$H,$B127,当年实际!$C:$C,"&gt;="&amp;DATE(YEAR(主页!$D$2),1,1),当年实际!$C:$C,"&lt;="&amp;EOMONTH(DATE(YEAR(主页!$D$2),MONTH(主页!$D$2),1),0)),"")</f>
        <v/>
      </c>
    </row>
    <row r="128" spans="1:10" x14ac:dyDescent="0.3">
      <c r="A128" s="127"/>
      <c r="B128" s="149"/>
      <c r="C128" s="7"/>
      <c r="D128" s="5"/>
      <c r="E128" s="140" t="str">
        <f t="shared" si="4"/>
        <v/>
      </c>
      <c r="F128" s="142"/>
      <c r="G128" s="145">
        <f t="shared" si="6"/>
        <v>0</v>
      </c>
      <c r="H128" s="140" t="str">
        <f t="shared" si="5"/>
        <v/>
      </c>
      <c r="J128" s="148" t="str">
        <f>IFERROR(SUMIFS(当年实际!$V:$V,当年实际!$H:$H,$B128,当年实际!$C:$C,"&gt;="&amp;DATE(YEAR(主页!$D$2),1,1),当年实际!$C:$C,"&lt;="&amp;EOMONTH(DATE(YEAR(主页!$D$2),MONTH(主页!$D$2),1),0))/SUMIFS(当年实际!$P:$P,当年实际!$H:$H,$B128,当年实际!$C:$C,"&gt;="&amp;DATE(YEAR(主页!$D$2),1,1),当年实际!$C:$C,"&lt;="&amp;EOMONTH(DATE(YEAR(主页!$D$2),MONTH(主页!$D$2),1),0)),"")</f>
        <v/>
      </c>
    </row>
    <row r="129" spans="1:10" x14ac:dyDescent="0.3">
      <c r="A129" s="127"/>
      <c r="B129" s="149"/>
      <c r="C129" s="7"/>
      <c r="D129" s="5"/>
      <c r="E129" s="140" t="str">
        <f t="shared" si="4"/>
        <v/>
      </c>
      <c r="F129" s="142"/>
      <c r="G129" s="145">
        <f t="shared" si="6"/>
        <v>0</v>
      </c>
      <c r="H129" s="140" t="str">
        <f t="shared" si="5"/>
        <v/>
      </c>
      <c r="J129" s="148" t="str">
        <f>IFERROR(SUMIFS(当年实际!$V:$V,当年实际!$H:$H,$B129,当年实际!$C:$C,"&gt;="&amp;DATE(YEAR(主页!$D$2),1,1),当年实际!$C:$C,"&lt;="&amp;EOMONTH(DATE(YEAR(主页!$D$2),MONTH(主页!$D$2),1),0))/SUMIFS(当年实际!$P:$P,当年实际!$H:$H,$B129,当年实际!$C:$C,"&gt;="&amp;DATE(YEAR(主页!$D$2),1,1),当年实际!$C:$C,"&lt;="&amp;EOMONTH(DATE(YEAR(主页!$D$2),MONTH(主页!$D$2),1),0)),"")</f>
        <v/>
      </c>
    </row>
    <row r="130" spans="1:10" x14ac:dyDescent="0.3">
      <c r="A130" s="127"/>
      <c r="B130" s="149"/>
      <c r="C130" s="7"/>
      <c r="D130" s="5"/>
      <c r="E130" s="140" t="str">
        <f t="shared" si="4"/>
        <v/>
      </c>
      <c r="F130" s="142"/>
      <c r="G130" s="145">
        <f t="shared" si="6"/>
        <v>0</v>
      </c>
      <c r="H130" s="140" t="str">
        <f t="shared" si="5"/>
        <v/>
      </c>
      <c r="J130" s="148" t="str">
        <f>IFERROR(SUMIFS(当年实际!$V:$V,当年实际!$H:$H,$B130,当年实际!$C:$C,"&gt;="&amp;DATE(YEAR(主页!$D$2),1,1),当年实际!$C:$C,"&lt;="&amp;EOMONTH(DATE(YEAR(主页!$D$2),MONTH(主页!$D$2),1),0))/SUMIFS(当年实际!$P:$P,当年实际!$H:$H,$B130,当年实际!$C:$C,"&gt;="&amp;DATE(YEAR(主页!$D$2),1,1),当年实际!$C:$C,"&lt;="&amp;EOMONTH(DATE(YEAR(主页!$D$2),MONTH(主页!$D$2),1),0)),"")</f>
        <v/>
      </c>
    </row>
    <row r="131" spans="1:10" x14ac:dyDescent="0.3">
      <c r="A131" s="127"/>
      <c r="B131" s="149"/>
      <c r="C131" s="7"/>
      <c r="D131" s="5"/>
      <c r="E131" s="140" t="str">
        <f t="shared" si="4"/>
        <v/>
      </c>
      <c r="F131" s="142"/>
      <c r="G131" s="145">
        <f t="shared" si="6"/>
        <v>0</v>
      </c>
      <c r="H131" s="140" t="str">
        <f t="shared" si="5"/>
        <v/>
      </c>
      <c r="J131" s="148" t="str">
        <f>IFERROR(SUMIFS(当年实际!$V:$V,当年实际!$H:$H,$B131,当年实际!$C:$C,"&gt;="&amp;DATE(YEAR(主页!$D$2),1,1),当年实际!$C:$C,"&lt;="&amp;EOMONTH(DATE(YEAR(主页!$D$2),MONTH(主页!$D$2),1),0))/SUMIFS(当年实际!$P:$P,当年实际!$H:$H,$B131,当年实际!$C:$C,"&gt;="&amp;DATE(YEAR(主页!$D$2),1,1),当年实际!$C:$C,"&lt;="&amp;EOMONTH(DATE(YEAR(主页!$D$2),MONTH(主页!$D$2),1),0)),"")</f>
        <v/>
      </c>
    </row>
    <row r="132" spans="1:10" x14ac:dyDescent="0.3">
      <c r="A132" s="127"/>
      <c r="B132" s="149"/>
      <c r="C132" s="7"/>
      <c r="D132" s="5"/>
      <c r="E132" s="140" t="str">
        <f t="shared" ref="E132:E195" si="7">IF(D132/SUM(D:D)=0,"",D132/SUM(D:D))</f>
        <v/>
      </c>
      <c r="F132" s="142"/>
      <c r="G132" s="145">
        <f t="shared" si="6"/>
        <v>0</v>
      </c>
      <c r="H132" s="140" t="str">
        <f t="shared" ref="H132:H195" si="8">IF(G132/SUM(G:G)=0,"",G132/SUM(G:G))</f>
        <v/>
      </c>
      <c r="J132" s="148" t="str">
        <f>IFERROR(SUMIFS(当年实际!$V:$V,当年实际!$H:$H,$B132,当年实际!$C:$C,"&gt;="&amp;DATE(YEAR(主页!$D$2),1,1),当年实际!$C:$C,"&lt;="&amp;EOMONTH(DATE(YEAR(主页!$D$2),MONTH(主页!$D$2),1),0))/SUMIFS(当年实际!$P:$P,当年实际!$H:$H,$B132,当年实际!$C:$C,"&gt;="&amp;DATE(YEAR(主页!$D$2),1,1),当年实际!$C:$C,"&lt;="&amp;EOMONTH(DATE(YEAR(主页!$D$2),MONTH(主页!$D$2),1),0)),"")</f>
        <v/>
      </c>
    </row>
    <row r="133" spans="1:10" x14ac:dyDescent="0.3">
      <c r="A133" s="127"/>
      <c r="B133" s="149"/>
      <c r="C133" s="7"/>
      <c r="D133" s="5"/>
      <c r="E133" s="140" t="str">
        <f t="shared" si="7"/>
        <v/>
      </c>
      <c r="F133" s="142"/>
      <c r="G133" s="145">
        <f t="shared" si="6"/>
        <v>0</v>
      </c>
      <c r="H133" s="140" t="str">
        <f t="shared" si="8"/>
        <v/>
      </c>
      <c r="J133" s="148" t="str">
        <f>IFERROR(SUMIFS(当年实际!$V:$V,当年实际!$H:$H,$B133,当年实际!$C:$C,"&gt;="&amp;DATE(YEAR(主页!$D$2),1,1),当年实际!$C:$C,"&lt;="&amp;EOMONTH(DATE(YEAR(主页!$D$2),MONTH(主页!$D$2),1),0))/SUMIFS(当年实际!$P:$P,当年实际!$H:$H,$B133,当年实际!$C:$C,"&gt;="&amp;DATE(YEAR(主页!$D$2),1,1),当年实际!$C:$C,"&lt;="&amp;EOMONTH(DATE(YEAR(主页!$D$2),MONTH(主页!$D$2),1),0)),"")</f>
        <v/>
      </c>
    </row>
    <row r="134" spans="1:10" x14ac:dyDescent="0.3">
      <c r="A134" s="127"/>
      <c r="B134" s="149"/>
      <c r="C134" s="7"/>
      <c r="D134" s="5"/>
      <c r="E134" s="140" t="str">
        <f t="shared" si="7"/>
        <v/>
      </c>
      <c r="F134" s="142"/>
      <c r="G134" s="145">
        <f t="shared" ref="G134:G197" si="9">D134*F134</f>
        <v>0</v>
      </c>
      <c r="H134" s="140" t="str">
        <f t="shared" si="8"/>
        <v/>
      </c>
      <c r="J134" s="148" t="str">
        <f>IFERROR(SUMIFS(当年实际!$V:$V,当年实际!$H:$H,$B134,当年实际!$C:$C,"&gt;="&amp;DATE(YEAR(主页!$D$2),1,1),当年实际!$C:$C,"&lt;="&amp;EOMONTH(DATE(YEAR(主页!$D$2),MONTH(主页!$D$2),1),0))/SUMIFS(当年实际!$P:$P,当年实际!$H:$H,$B134,当年实际!$C:$C,"&gt;="&amp;DATE(YEAR(主页!$D$2),1,1),当年实际!$C:$C,"&lt;="&amp;EOMONTH(DATE(YEAR(主页!$D$2),MONTH(主页!$D$2),1),0)),"")</f>
        <v/>
      </c>
    </row>
    <row r="135" spans="1:10" x14ac:dyDescent="0.3">
      <c r="A135" s="127"/>
      <c r="B135" s="149"/>
      <c r="C135" s="7"/>
      <c r="D135" s="5"/>
      <c r="E135" s="140" t="str">
        <f t="shared" si="7"/>
        <v/>
      </c>
      <c r="F135" s="142"/>
      <c r="G135" s="145">
        <f t="shared" si="9"/>
        <v>0</v>
      </c>
      <c r="H135" s="140" t="str">
        <f t="shared" si="8"/>
        <v/>
      </c>
      <c r="J135" s="148" t="str">
        <f>IFERROR(SUMIFS(当年实际!$V:$V,当年实际!$H:$H,$B135,当年实际!$C:$C,"&gt;="&amp;DATE(YEAR(主页!$D$2),1,1),当年实际!$C:$C,"&lt;="&amp;EOMONTH(DATE(YEAR(主页!$D$2),MONTH(主页!$D$2),1),0))/SUMIFS(当年实际!$P:$P,当年实际!$H:$H,$B135,当年实际!$C:$C,"&gt;="&amp;DATE(YEAR(主页!$D$2),1,1),当年实际!$C:$C,"&lt;="&amp;EOMONTH(DATE(YEAR(主页!$D$2),MONTH(主页!$D$2),1),0)),"")</f>
        <v/>
      </c>
    </row>
    <row r="136" spans="1:10" x14ac:dyDescent="0.3">
      <c r="A136" s="127"/>
      <c r="B136" s="149"/>
      <c r="C136" s="7"/>
      <c r="D136" s="5"/>
      <c r="E136" s="140" t="str">
        <f t="shared" si="7"/>
        <v/>
      </c>
      <c r="F136" s="142"/>
      <c r="G136" s="145">
        <f t="shared" si="9"/>
        <v>0</v>
      </c>
      <c r="H136" s="140" t="str">
        <f t="shared" si="8"/>
        <v/>
      </c>
      <c r="J136" s="148" t="str">
        <f>IFERROR(SUMIFS(当年实际!$V:$V,当年实际!$H:$H,$B136,当年实际!$C:$C,"&gt;="&amp;DATE(YEAR(主页!$D$2),1,1),当年实际!$C:$C,"&lt;="&amp;EOMONTH(DATE(YEAR(主页!$D$2),MONTH(主页!$D$2),1),0))/SUMIFS(当年实际!$P:$P,当年实际!$H:$H,$B136,当年实际!$C:$C,"&gt;="&amp;DATE(YEAR(主页!$D$2),1,1),当年实际!$C:$C,"&lt;="&amp;EOMONTH(DATE(YEAR(主页!$D$2),MONTH(主页!$D$2),1),0)),"")</f>
        <v/>
      </c>
    </row>
    <row r="137" spans="1:10" x14ac:dyDescent="0.3">
      <c r="A137" s="127"/>
      <c r="B137" s="149"/>
      <c r="C137" s="7"/>
      <c r="D137" s="5"/>
      <c r="E137" s="140" t="str">
        <f t="shared" si="7"/>
        <v/>
      </c>
      <c r="F137" s="142"/>
      <c r="G137" s="145">
        <f t="shared" si="9"/>
        <v>0</v>
      </c>
      <c r="H137" s="140" t="str">
        <f t="shared" si="8"/>
        <v/>
      </c>
      <c r="J137" s="148" t="str">
        <f>IFERROR(SUMIFS(当年实际!$V:$V,当年实际!$H:$H,$B137,当年实际!$C:$C,"&gt;="&amp;DATE(YEAR(主页!$D$2),1,1),当年实际!$C:$C,"&lt;="&amp;EOMONTH(DATE(YEAR(主页!$D$2),MONTH(主页!$D$2),1),0))/SUMIFS(当年实际!$P:$P,当年实际!$H:$H,$B137,当年实际!$C:$C,"&gt;="&amp;DATE(YEAR(主页!$D$2),1,1),当年实际!$C:$C,"&lt;="&amp;EOMONTH(DATE(YEAR(主页!$D$2),MONTH(主页!$D$2),1),0)),"")</f>
        <v/>
      </c>
    </row>
    <row r="138" spans="1:10" x14ac:dyDescent="0.3">
      <c r="A138" s="127"/>
      <c r="B138" s="149"/>
      <c r="C138" s="7"/>
      <c r="D138" s="5"/>
      <c r="E138" s="140" t="str">
        <f t="shared" si="7"/>
        <v/>
      </c>
      <c r="F138" s="142"/>
      <c r="G138" s="145">
        <f t="shared" si="9"/>
        <v>0</v>
      </c>
      <c r="H138" s="140" t="str">
        <f t="shared" si="8"/>
        <v/>
      </c>
      <c r="J138" s="148" t="str">
        <f>IFERROR(SUMIFS(当年实际!$V:$V,当年实际!$H:$H,$B138,当年实际!$C:$C,"&gt;="&amp;DATE(YEAR(主页!$D$2),1,1),当年实际!$C:$C,"&lt;="&amp;EOMONTH(DATE(YEAR(主页!$D$2),MONTH(主页!$D$2),1),0))/SUMIFS(当年实际!$P:$P,当年实际!$H:$H,$B138,当年实际!$C:$C,"&gt;="&amp;DATE(YEAR(主页!$D$2),1,1),当年实际!$C:$C,"&lt;="&amp;EOMONTH(DATE(YEAR(主页!$D$2),MONTH(主页!$D$2),1),0)),"")</f>
        <v/>
      </c>
    </row>
    <row r="139" spans="1:10" x14ac:dyDescent="0.3">
      <c r="A139" s="127"/>
      <c r="B139" s="149"/>
      <c r="C139" s="7"/>
      <c r="D139" s="5"/>
      <c r="E139" s="140" t="str">
        <f t="shared" si="7"/>
        <v/>
      </c>
      <c r="F139" s="142"/>
      <c r="G139" s="145">
        <f t="shared" si="9"/>
        <v>0</v>
      </c>
      <c r="H139" s="140" t="str">
        <f t="shared" si="8"/>
        <v/>
      </c>
      <c r="J139" s="148" t="str">
        <f>IFERROR(SUMIFS(当年实际!$V:$V,当年实际!$H:$H,$B139,当年实际!$C:$C,"&gt;="&amp;DATE(YEAR(主页!$D$2),1,1),当年实际!$C:$C,"&lt;="&amp;EOMONTH(DATE(YEAR(主页!$D$2),MONTH(主页!$D$2),1),0))/SUMIFS(当年实际!$P:$P,当年实际!$H:$H,$B139,当年实际!$C:$C,"&gt;="&amp;DATE(YEAR(主页!$D$2),1,1),当年实际!$C:$C,"&lt;="&amp;EOMONTH(DATE(YEAR(主页!$D$2),MONTH(主页!$D$2),1),0)),"")</f>
        <v/>
      </c>
    </row>
    <row r="140" spans="1:10" x14ac:dyDescent="0.3">
      <c r="A140" s="127"/>
      <c r="B140" s="149"/>
      <c r="C140" s="7"/>
      <c r="D140" s="5"/>
      <c r="E140" s="140" t="str">
        <f t="shared" si="7"/>
        <v/>
      </c>
      <c r="F140" s="142"/>
      <c r="G140" s="145">
        <f t="shared" si="9"/>
        <v>0</v>
      </c>
      <c r="H140" s="140" t="str">
        <f t="shared" si="8"/>
        <v/>
      </c>
      <c r="J140" s="148" t="str">
        <f>IFERROR(SUMIFS(当年实际!$V:$V,当年实际!$H:$H,$B140,当年实际!$C:$C,"&gt;="&amp;DATE(YEAR(主页!$D$2),1,1),当年实际!$C:$C,"&lt;="&amp;EOMONTH(DATE(YEAR(主页!$D$2),MONTH(主页!$D$2),1),0))/SUMIFS(当年实际!$P:$P,当年实际!$H:$H,$B140,当年实际!$C:$C,"&gt;="&amp;DATE(YEAR(主页!$D$2),1,1),当年实际!$C:$C,"&lt;="&amp;EOMONTH(DATE(YEAR(主页!$D$2),MONTH(主页!$D$2),1),0)),"")</f>
        <v/>
      </c>
    </row>
    <row r="141" spans="1:10" x14ac:dyDescent="0.3">
      <c r="A141" s="127"/>
      <c r="B141" s="149"/>
      <c r="C141" s="7"/>
      <c r="D141" s="5"/>
      <c r="E141" s="140" t="str">
        <f t="shared" si="7"/>
        <v/>
      </c>
      <c r="F141" s="142"/>
      <c r="G141" s="145">
        <f t="shared" si="9"/>
        <v>0</v>
      </c>
      <c r="H141" s="140" t="str">
        <f t="shared" si="8"/>
        <v/>
      </c>
      <c r="J141" s="148" t="str">
        <f>IFERROR(SUMIFS(当年实际!$V:$V,当年实际!$H:$H,$B141,当年实际!$C:$C,"&gt;="&amp;DATE(YEAR(主页!$D$2),1,1),当年实际!$C:$C,"&lt;="&amp;EOMONTH(DATE(YEAR(主页!$D$2),MONTH(主页!$D$2),1),0))/SUMIFS(当年实际!$P:$P,当年实际!$H:$H,$B141,当年实际!$C:$C,"&gt;="&amp;DATE(YEAR(主页!$D$2),1,1),当年实际!$C:$C,"&lt;="&amp;EOMONTH(DATE(YEAR(主页!$D$2),MONTH(主页!$D$2),1),0)),"")</f>
        <v/>
      </c>
    </row>
    <row r="142" spans="1:10" x14ac:dyDescent="0.3">
      <c r="A142" s="127"/>
      <c r="B142" s="149"/>
      <c r="C142" s="7"/>
      <c r="D142" s="5"/>
      <c r="E142" s="140" t="str">
        <f t="shared" si="7"/>
        <v/>
      </c>
      <c r="F142" s="142"/>
      <c r="G142" s="145">
        <f t="shared" si="9"/>
        <v>0</v>
      </c>
      <c r="H142" s="140" t="str">
        <f t="shared" si="8"/>
        <v/>
      </c>
      <c r="J142" s="148" t="str">
        <f>IFERROR(SUMIFS(当年实际!$V:$V,当年实际!$H:$H,$B142,当年实际!$C:$C,"&gt;="&amp;DATE(YEAR(主页!$D$2),1,1),当年实际!$C:$C,"&lt;="&amp;EOMONTH(DATE(YEAR(主页!$D$2),MONTH(主页!$D$2),1),0))/SUMIFS(当年实际!$P:$P,当年实际!$H:$H,$B142,当年实际!$C:$C,"&gt;="&amp;DATE(YEAR(主页!$D$2),1,1),当年实际!$C:$C,"&lt;="&amp;EOMONTH(DATE(YEAR(主页!$D$2),MONTH(主页!$D$2),1),0)),"")</f>
        <v/>
      </c>
    </row>
    <row r="143" spans="1:10" x14ac:dyDescent="0.3">
      <c r="A143" s="127"/>
      <c r="B143" s="149"/>
      <c r="C143" s="7"/>
      <c r="D143" s="5"/>
      <c r="E143" s="140" t="str">
        <f t="shared" si="7"/>
        <v/>
      </c>
      <c r="F143" s="142"/>
      <c r="G143" s="145">
        <f t="shared" si="9"/>
        <v>0</v>
      </c>
      <c r="H143" s="140" t="str">
        <f t="shared" si="8"/>
        <v/>
      </c>
      <c r="J143" s="148" t="str">
        <f>IFERROR(SUMIFS(当年实际!$V:$V,当年实际!$H:$H,$B143,当年实际!$C:$C,"&gt;="&amp;DATE(YEAR(主页!$D$2),1,1),当年实际!$C:$C,"&lt;="&amp;EOMONTH(DATE(YEAR(主页!$D$2),MONTH(主页!$D$2),1),0))/SUMIFS(当年实际!$P:$P,当年实际!$H:$H,$B143,当年实际!$C:$C,"&gt;="&amp;DATE(YEAR(主页!$D$2),1,1),当年实际!$C:$C,"&lt;="&amp;EOMONTH(DATE(YEAR(主页!$D$2),MONTH(主页!$D$2),1),0)),"")</f>
        <v/>
      </c>
    </row>
    <row r="144" spans="1:10" x14ac:dyDescent="0.3">
      <c r="A144" s="127"/>
      <c r="B144" s="149"/>
      <c r="C144" s="7"/>
      <c r="D144" s="5"/>
      <c r="E144" s="140" t="str">
        <f t="shared" si="7"/>
        <v/>
      </c>
      <c r="F144" s="142"/>
      <c r="G144" s="145">
        <f t="shared" si="9"/>
        <v>0</v>
      </c>
      <c r="H144" s="140" t="str">
        <f t="shared" si="8"/>
        <v/>
      </c>
      <c r="J144" s="148" t="str">
        <f>IFERROR(SUMIFS(当年实际!$V:$V,当年实际!$H:$H,$B144,当年实际!$C:$C,"&gt;="&amp;DATE(YEAR(主页!$D$2),1,1),当年实际!$C:$C,"&lt;="&amp;EOMONTH(DATE(YEAR(主页!$D$2),MONTH(主页!$D$2),1),0))/SUMIFS(当年实际!$P:$P,当年实际!$H:$H,$B144,当年实际!$C:$C,"&gt;="&amp;DATE(YEAR(主页!$D$2),1,1),当年实际!$C:$C,"&lt;="&amp;EOMONTH(DATE(YEAR(主页!$D$2),MONTH(主页!$D$2),1),0)),"")</f>
        <v/>
      </c>
    </row>
    <row r="145" spans="1:10" x14ac:dyDescent="0.3">
      <c r="A145" s="127"/>
      <c r="B145" s="149"/>
      <c r="C145" s="7"/>
      <c r="D145" s="5"/>
      <c r="E145" s="140" t="str">
        <f t="shared" si="7"/>
        <v/>
      </c>
      <c r="F145" s="142"/>
      <c r="G145" s="145">
        <f t="shared" si="9"/>
        <v>0</v>
      </c>
      <c r="H145" s="140" t="str">
        <f t="shared" si="8"/>
        <v/>
      </c>
      <c r="J145" s="148" t="str">
        <f>IFERROR(SUMIFS(当年实际!$V:$V,当年实际!$H:$H,$B145,当年实际!$C:$C,"&gt;="&amp;DATE(YEAR(主页!$D$2),1,1),当年实际!$C:$C,"&lt;="&amp;EOMONTH(DATE(YEAR(主页!$D$2),MONTH(主页!$D$2),1),0))/SUMIFS(当年实际!$P:$P,当年实际!$H:$H,$B145,当年实际!$C:$C,"&gt;="&amp;DATE(YEAR(主页!$D$2),1,1),当年实际!$C:$C,"&lt;="&amp;EOMONTH(DATE(YEAR(主页!$D$2),MONTH(主页!$D$2),1),0)),"")</f>
        <v/>
      </c>
    </row>
    <row r="146" spans="1:10" x14ac:dyDescent="0.3">
      <c r="A146" s="127"/>
      <c r="B146" s="149"/>
      <c r="C146" s="7"/>
      <c r="D146" s="5"/>
      <c r="E146" s="140" t="str">
        <f t="shared" si="7"/>
        <v/>
      </c>
      <c r="F146" s="142"/>
      <c r="G146" s="145">
        <f t="shared" si="9"/>
        <v>0</v>
      </c>
      <c r="H146" s="140" t="str">
        <f t="shared" si="8"/>
        <v/>
      </c>
      <c r="J146" s="148" t="str">
        <f>IFERROR(SUMIFS(当年实际!$V:$V,当年实际!$H:$H,$B146,当年实际!$C:$C,"&gt;="&amp;DATE(YEAR(主页!$D$2),1,1),当年实际!$C:$C,"&lt;="&amp;EOMONTH(DATE(YEAR(主页!$D$2),MONTH(主页!$D$2),1),0))/SUMIFS(当年实际!$P:$P,当年实际!$H:$H,$B146,当年实际!$C:$C,"&gt;="&amp;DATE(YEAR(主页!$D$2),1,1),当年实际!$C:$C,"&lt;="&amp;EOMONTH(DATE(YEAR(主页!$D$2),MONTH(主页!$D$2),1),0)),"")</f>
        <v/>
      </c>
    </row>
    <row r="147" spans="1:10" x14ac:dyDescent="0.3">
      <c r="A147" s="127"/>
      <c r="B147" s="149"/>
      <c r="C147" s="7"/>
      <c r="D147" s="5"/>
      <c r="E147" s="140" t="str">
        <f t="shared" si="7"/>
        <v/>
      </c>
      <c r="F147" s="142"/>
      <c r="G147" s="145">
        <f t="shared" si="9"/>
        <v>0</v>
      </c>
      <c r="H147" s="140" t="str">
        <f t="shared" si="8"/>
        <v/>
      </c>
      <c r="J147" s="148" t="str">
        <f>IFERROR(SUMIFS(当年实际!$V:$V,当年实际!$H:$H,$B147,当年实际!$C:$C,"&gt;="&amp;DATE(YEAR(主页!$D$2),1,1),当年实际!$C:$C,"&lt;="&amp;EOMONTH(DATE(YEAR(主页!$D$2),MONTH(主页!$D$2),1),0))/SUMIFS(当年实际!$P:$P,当年实际!$H:$H,$B147,当年实际!$C:$C,"&gt;="&amp;DATE(YEAR(主页!$D$2),1,1),当年实际!$C:$C,"&lt;="&amp;EOMONTH(DATE(YEAR(主页!$D$2),MONTH(主页!$D$2),1),0)),"")</f>
        <v/>
      </c>
    </row>
    <row r="148" spans="1:10" x14ac:dyDescent="0.3">
      <c r="A148" s="127"/>
      <c r="B148" s="149"/>
      <c r="C148" s="7"/>
      <c r="D148" s="5"/>
      <c r="E148" s="140" t="str">
        <f t="shared" si="7"/>
        <v/>
      </c>
      <c r="F148" s="142"/>
      <c r="G148" s="145">
        <f t="shared" si="9"/>
        <v>0</v>
      </c>
      <c r="H148" s="140" t="str">
        <f t="shared" si="8"/>
        <v/>
      </c>
      <c r="J148" s="148" t="str">
        <f>IFERROR(SUMIFS(当年实际!$V:$V,当年实际!$H:$H,$B148,当年实际!$C:$C,"&gt;="&amp;DATE(YEAR(主页!$D$2),1,1),当年实际!$C:$C,"&lt;="&amp;EOMONTH(DATE(YEAR(主页!$D$2),MONTH(主页!$D$2),1),0))/SUMIFS(当年实际!$P:$P,当年实际!$H:$H,$B148,当年实际!$C:$C,"&gt;="&amp;DATE(YEAR(主页!$D$2),1,1),当年实际!$C:$C,"&lt;="&amp;EOMONTH(DATE(YEAR(主页!$D$2),MONTH(主页!$D$2),1),0)),"")</f>
        <v/>
      </c>
    </row>
    <row r="149" spans="1:10" x14ac:dyDescent="0.3">
      <c r="A149" s="127"/>
      <c r="B149" s="149"/>
      <c r="C149" s="7"/>
      <c r="D149" s="5"/>
      <c r="E149" s="140" t="str">
        <f t="shared" si="7"/>
        <v/>
      </c>
      <c r="F149" s="142"/>
      <c r="G149" s="145">
        <f t="shared" si="9"/>
        <v>0</v>
      </c>
      <c r="H149" s="140" t="str">
        <f t="shared" si="8"/>
        <v/>
      </c>
      <c r="J149" s="148" t="str">
        <f>IFERROR(SUMIFS(当年实际!$V:$V,当年实际!$H:$H,$B149,当年实际!$C:$C,"&gt;="&amp;DATE(YEAR(主页!$D$2),1,1),当年实际!$C:$C,"&lt;="&amp;EOMONTH(DATE(YEAR(主页!$D$2),MONTH(主页!$D$2),1),0))/SUMIFS(当年实际!$P:$P,当年实际!$H:$H,$B149,当年实际!$C:$C,"&gt;="&amp;DATE(YEAR(主页!$D$2),1,1),当年实际!$C:$C,"&lt;="&amp;EOMONTH(DATE(YEAR(主页!$D$2),MONTH(主页!$D$2),1),0)),"")</f>
        <v/>
      </c>
    </row>
    <row r="150" spans="1:10" x14ac:dyDescent="0.3">
      <c r="A150" s="127"/>
      <c r="B150" s="149"/>
      <c r="C150" s="7"/>
      <c r="D150" s="5"/>
      <c r="E150" s="140" t="str">
        <f t="shared" si="7"/>
        <v/>
      </c>
      <c r="F150" s="142"/>
      <c r="G150" s="145">
        <f t="shared" si="9"/>
        <v>0</v>
      </c>
      <c r="H150" s="140" t="str">
        <f t="shared" si="8"/>
        <v/>
      </c>
      <c r="J150" s="148" t="str">
        <f>IFERROR(SUMIFS(当年实际!$V:$V,当年实际!$H:$H,$B150,当年实际!$C:$C,"&gt;="&amp;DATE(YEAR(主页!$D$2),1,1),当年实际!$C:$C,"&lt;="&amp;EOMONTH(DATE(YEAR(主页!$D$2),MONTH(主页!$D$2),1),0))/SUMIFS(当年实际!$P:$P,当年实际!$H:$H,$B150,当年实际!$C:$C,"&gt;="&amp;DATE(YEAR(主页!$D$2),1,1),当年实际!$C:$C,"&lt;="&amp;EOMONTH(DATE(YEAR(主页!$D$2),MONTH(主页!$D$2),1),0)),"")</f>
        <v/>
      </c>
    </row>
    <row r="151" spans="1:10" x14ac:dyDescent="0.3">
      <c r="A151" s="127"/>
      <c r="B151" s="149"/>
      <c r="C151" s="7"/>
      <c r="D151" s="5"/>
      <c r="E151" s="140" t="str">
        <f t="shared" si="7"/>
        <v/>
      </c>
      <c r="F151" s="142"/>
      <c r="G151" s="145">
        <f t="shared" si="9"/>
        <v>0</v>
      </c>
      <c r="H151" s="140" t="str">
        <f t="shared" si="8"/>
        <v/>
      </c>
      <c r="J151" s="148" t="str">
        <f>IFERROR(SUMIFS(当年实际!$V:$V,当年实际!$H:$H,$B151,当年实际!$C:$C,"&gt;="&amp;DATE(YEAR(主页!$D$2),1,1),当年实际!$C:$C,"&lt;="&amp;EOMONTH(DATE(YEAR(主页!$D$2),MONTH(主页!$D$2),1),0))/SUMIFS(当年实际!$P:$P,当年实际!$H:$H,$B151,当年实际!$C:$C,"&gt;="&amp;DATE(YEAR(主页!$D$2),1,1),当年实际!$C:$C,"&lt;="&amp;EOMONTH(DATE(YEAR(主页!$D$2),MONTH(主页!$D$2),1),0)),"")</f>
        <v/>
      </c>
    </row>
    <row r="152" spans="1:10" x14ac:dyDescent="0.3">
      <c r="A152" s="127"/>
      <c r="B152" s="149"/>
      <c r="C152" s="7"/>
      <c r="D152" s="5"/>
      <c r="E152" s="140" t="str">
        <f t="shared" si="7"/>
        <v/>
      </c>
      <c r="F152" s="142"/>
      <c r="G152" s="145">
        <f t="shared" si="9"/>
        <v>0</v>
      </c>
      <c r="H152" s="140" t="str">
        <f t="shared" si="8"/>
        <v/>
      </c>
      <c r="J152" s="148" t="str">
        <f>IFERROR(SUMIFS(当年实际!$V:$V,当年实际!$H:$H,$B152,当年实际!$C:$C,"&gt;="&amp;DATE(YEAR(主页!$D$2),1,1),当年实际!$C:$C,"&lt;="&amp;EOMONTH(DATE(YEAR(主页!$D$2),MONTH(主页!$D$2),1),0))/SUMIFS(当年实际!$P:$P,当年实际!$H:$H,$B152,当年实际!$C:$C,"&gt;="&amp;DATE(YEAR(主页!$D$2),1,1),当年实际!$C:$C,"&lt;="&amp;EOMONTH(DATE(YEAR(主页!$D$2),MONTH(主页!$D$2),1),0)),"")</f>
        <v/>
      </c>
    </row>
    <row r="153" spans="1:10" x14ac:dyDescent="0.3">
      <c r="A153" s="127"/>
      <c r="B153" s="149"/>
      <c r="C153" s="7"/>
      <c r="D153" s="5"/>
      <c r="E153" s="140" t="str">
        <f t="shared" si="7"/>
        <v/>
      </c>
      <c r="F153" s="142"/>
      <c r="G153" s="145">
        <f t="shared" si="9"/>
        <v>0</v>
      </c>
      <c r="H153" s="140" t="str">
        <f t="shared" si="8"/>
        <v/>
      </c>
      <c r="J153" s="148" t="str">
        <f>IFERROR(SUMIFS(当年实际!$V:$V,当年实际!$H:$H,$B153,当年实际!$C:$C,"&gt;="&amp;DATE(YEAR(主页!$D$2),1,1),当年实际!$C:$C,"&lt;="&amp;EOMONTH(DATE(YEAR(主页!$D$2),MONTH(主页!$D$2),1),0))/SUMIFS(当年实际!$P:$P,当年实际!$H:$H,$B153,当年实际!$C:$C,"&gt;="&amp;DATE(YEAR(主页!$D$2),1,1),当年实际!$C:$C,"&lt;="&amp;EOMONTH(DATE(YEAR(主页!$D$2),MONTH(主页!$D$2),1),0)),"")</f>
        <v/>
      </c>
    </row>
    <row r="154" spans="1:10" x14ac:dyDescent="0.3">
      <c r="A154" s="127"/>
      <c r="B154" s="149"/>
      <c r="C154" s="7"/>
      <c r="D154" s="5"/>
      <c r="E154" s="140" t="str">
        <f t="shared" si="7"/>
        <v/>
      </c>
      <c r="F154" s="142"/>
      <c r="G154" s="145">
        <f t="shared" si="9"/>
        <v>0</v>
      </c>
      <c r="H154" s="140" t="str">
        <f t="shared" si="8"/>
        <v/>
      </c>
      <c r="J154" s="148" t="str">
        <f>IFERROR(SUMIFS(当年实际!$V:$V,当年实际!$H:$H,$B154,当年实际!$C:$C,"&gt;="&amp;DATE(YEAR(主页!$D$2),1,1),当年实际!$C:$C,"&lt;="&amp;EOMONTH(DATE(YEAR(主页!$D$2),MONTH(主页!$D$2),1),0))/SUMIFS(当年实际!$P:$P,当年实际!$H:$H,$B154,当年实际!$C:$C,"&gt;="&amp;DATE(YEAR(主页!$D$2),1,1),当年实际!$C:$C,"&lt;="&amp;EOMONTH(DATE(YEAR(主页!$D$2),MONTH(主页!$D$2),1),0)),"")</f>
        <v/>
      </c>
    </row>
    <row r="155" spans="1:10" x14ac:dyDescent="0.3">
      <c r="A155" s="127"/>
      <c r="B155" s="149"/>
      <c r="C155" s="7"/>
      <c r="D155" s="5"/>
      <c r="E155" s="140" t="str">
        <f t="shared" si="7"/>
        <v/>
      </c>
      <c r="F155" s="142"/>
      <c r="G155" s="145">
        <f t="shared" si="9"/>
        <v>0</v>
      </c>
      <c r="H155" s="140" t="str">
        <f t="shared" si="8"/>
        <v/>
      </c>
      <c r="J155" s="148" t="str">
        <f>IFERROR(SUMIFS(当年实际!$V:$V,当年实际!$H:$H,$B155,当年实际!$C:$C,"&gt;="&amp;DATE(YEAR(主页!$D$2),1,1),当年实际!$C:$C,"&lt;="&amp;EOMONTH(DATE(YEAR(主页!$D$2),MONTH(主页!$D$2),1),0))/SUMIFS(当年实际!$P:$P,当年实际!$H:$H,$B155,当年实际!$C:$C,"&gt;="&amp;DATE(YEAR(主页!$D$2),1,1),当年实际!$C:$C,"&lt;="&amp;EOMONTH(DATE(YEAR(主页!$D$2),MONTH(主页!$D$2),1),0)),"")</f>
        <v/>
      </c>
    </row>
    <row r="156" spans="1:10" x14ac:dyDescent="0.3">
      <c r="A156" s="127"/>
      <c r="B156" s="149"/>
      <c r="C156" s="7"/>
      <c r="D156" s="5"/>
      <c r="E156" s="140" t="str">
        <f t="shared" si="7"/>
        <v/>
      </c>
      <c r="F156" s="142"/>
      <c r="G156" s="145">
        <f t="shared" si="9"/>
        <v>0</v>
      </c>
      <c r="H156" s="140" t="str">
        <f t="shared" si="8"/>
        <v/>
      </c>
      <c r="J156" s="148" t="str">
        <f>IFERROR(SUMIFS(当年实际!$V:$V,当年实际!$H:$H,$B156,当年实际!$C:$C,"&gt;="&amp;DATE(YEAR(主页!$D$2),1,1),当年实际!$C:$C,"&lt;="&amp;EOMONTH(DATE(YEAR(主页!$D$2),MONTH(主页!$D$2),1),0))/SUMIFS(当年实际!$P:$P,当年实际!$H:$H,$B156,当年实际!$C:$C,"&gt;="&amp;DATE(YEAR(主页!$D$2),1,1),当年实际!$C:$C,"&lt;="&amp;EOMONTH(DATE(YEAR(主页!$D$2),MONTH(主页!$D$2),1),0)),"")</f>
        <v/>
      </c>
    </row>
    <row r="157" spans="1:10" x14ac:dyDescent="0.3">
      <c r="A157" s="127"/>
      <c r="B157" s="149"/>
      <c r="C157" s="7"/>
      <c r="D157" s="5"/>
      <c r="E157" s="140" t="str">
        <f t="shared" si="7"/>
        <v/>
      </c>
      <c r="F157" s="142"/>
      <c r="G157" s="145">
        <f t="shared" si="9"/>
        <v>0</v>
      </c>
      <c r="H157" s="140" t="str">
        <f t="shared" si="8"/>
        <v/>
      </c>
      <c r="J157" s="148" t="str">
        <f>IFERROR(SUMIFS(当年实际!$V:$V,当年实际!$H:$H,$B157,当年实际!$C:$C,"&gt;="&amp;DATE(YEAR(主页!$D$2),1,1),当年实际!$C:$C,"&lt;="&amp;EOMONTH(DATE(YEAR(主页!$D$2),MONTH(主页!$D$2),1),0))/SUMIFS(当年实际!$P:$P,当年实际!$H:$H,$B157,当年实际!$C:$C,"&gt;="&amp;DATE(YEAR(主页!$D$2),1,1),当年实际!$C:$C,"&lt;="&amp;EOMONTH(DATE(YEAR(主页!$D$2),MONTH(主页!$D$2),1),0)),"")</f>
        <v/>
      </c>
    </row>
    <row r="158" spans="1:10" x14ac:dyDescent="0.3">
      <c r="A158" s="127"/>
      <c r="B158" s="149"/>
      <c r="C158" s="7"/>
      <c r="D158" s="5"/>
      <c r="E158" s="140" t="str">
        <f t="shared" si="7"/>
        <v/>
      </c>
      <c r="F158" s="142"/>
      <c r="G158" s="145">
        <f t="shared" si="9"/>
        <v>0</v>
      </c>
      <c r="H158" s="140" t="str">
        <f t="shared" si="8"/>
        <v/>
      </c>
      <c r="J158" s="148" t="str">
        <f>IFERROR(SUMIFS(当年实际!$V:$V,当年实际!$H:$H,$B158,当年实际!$C:$C,"&gt;="&amp;DATE(YEAR(主页!$D$2),1,1),当年实际!$C:$C,"&lt;="&amp;EOMONTH(DATE(YEAR(主页!$D$2),MONTH(主页!$D$2),1),0))/SUMIFS(当年实际!$P:$P,当年实际!$H:$H,$B158,当年实际!$C:$C,"&gt;="&amp;DATE(YEAR(主页!$D$2),1,1),当年实际!$C:$C,"&lt;="&amp;EOMONTH(DATE(YEAR(主页!$D$2),MONTH(主页!$D$2),1),0)),"")</f>
        <v/>
      </c>
    </row>
    <row r="159" spans="1:10" x14ac:dyDescent="0.3">
      <c r="A159" s="127"/>
      <c r="B159" s="149"/>
      <c r="C159" s="7"/>
      <c r="D159" s="5"/>
      <c r="E159" s="140" t="str">
        <f t="shared" si="7"/>
        <v/>
      </c>
      <c r="F159" s="142"/>
      <c r="G159" s="145">
        <f t="shared" si="9"/>
        <v>0</v>
      </c>
      <c r="H159" s="140" t="str">
        <f t="shared" si="8"/>
        <v/>
      </c>
      <c r="J159" s="148" t="str">
        <f>IFERROR(SUMIFS(当年实际!$V:$V,当年实际!$H:$H,$B159,当年实际!$C:$C,"&gt;="&amp;DATE(YEAR(主页!$D$2),1,1),当年实际!$C:$C,"&lt;="&amp;EOMONTH(DATE(YEAR(主页!$D$2),MONTH(主页!$D$2),1),0))/SUMIFS(当年实际!$P:$P,当年实际!$H:$H,$B159,当年实际!$C:$C,"&gt;="&amp;DATE(YEAR(主页!$D$2),1,1),当年实际!$C:$C,"&lt;="&amp;EOMONTH(DATE(YEAR(主页!$D$2),MONTH(主页!$D$2),1),0)),"")</f>
        <v/>
      </c>
    </row>
    <row r="160" spans="1:10" x14ac:dyDescent="0.3">
      <c r="A160" s="127"/>
      <c r="B160" s="149"/>
      <c r="C160" s="7"/>
      <c r="D160" s="5"/>
      <c r="E160" s="140" t="str">
        <f t="shared" si="7"/>
        <v/>
      </c>
      <c r="F160" s="142"/>
      <c r="G160" s="145">
        <f t="shared" si="9"/>
        <v>0</v>
      </c>
      <c r="H160" s="140" t="str">
        <f t="shared" si="8"/>
        <v/>
      </c>
      <c r="J160" s="148" t="str">
        <f>IFERROR(SUMIFS(当年实际!$V:$V,当年实际!$H:$H,$B160,当年实际!$C:$C,"&gt;="&amp;DATE(YEAR(主页!$D$2),1,1),当年实际!$C:$C,"&lt;="&amp;EOMONTH(DATE(YEAR(主页!$D$2),MONTH(主页!$D$2),1),0))/SUMIFS(当年实际!$P:$P,当年实际!$H:$H,$B160,当年实际!$C:$C,"&gt;="&amp;DATE(YEAR(主页!$D$2),1,1),当年实际!$C:$C,"&lt;="&amp;EOMONTH(DATE(YEAR(主页!$D$2),MONTH(主页!$D$2),1),0)),"")</f>
        <v/>
      </c>
    </row>
    <row r="161" spans="1:10" x14ac:dyDescent="0.3">
      <c r="A161" s="127"/>
      <c r="B161" s="149"/>
      <c r="C161" s="7"/>
      <c r="D161" s="5"/>
      <c r="E161" s="140" t="str">
        <f t="shared" si="7"/>
        <v/>
      </c>
      <c r="F161" s="142"/>
      <c r="G161" s="145">
        <f t="shared" si="9"/>
        <v>0</v>
      </c>
      <c r="H161" s="140" t="str">
        <f t="shared" si="8"/>
        <v/>
      </c>
      <c r="J161" s="148" t="str">
        <f>IFERROR(SUMIFS(当年实际!$V:$V,当年实际!$H:$H,$B161,当年实际!$C:$C,"&gt;="&amp;DATE(YEAR(主页!$D$2),1,1),当年实际!$C:$C,"&lt;="&amp;EOMONTH(DATE(YEAR(主页!$D$2),MONTH(主页!$D$2),1),0))/SUMIFS(当年实际!$P:$P,当年实际!$H:$H,$B161,当年实际!$C:$C,"&gt;="&amp;DATE(YEAR(主页!$D$2),1,1),当年实际!$C:$C,"&lt;="&amp;EOMONTH(DATE(YEAR(主页!$D$2),MONTH(主页!$D$2),1),0)),"")</f>
        <v/>
      </c>
    </row>
    <row r="162" spans="1:10" x14ac:dyDescent="0.3">
      <c r="A162" s="127"/>
      <c r="B162" s="149"/>
      <c r="C162" s="7"/>
      <c r="D162" s="5"/>
      <c r="E162" s="140" t="str">
        <f t="shared" si="7"/>
        <v/>
      </c>
      <c r="F162" s="142"/>
      <c r="G162" s="145">
        <f t="shared" si="9"/>
        <v>0</v>
      </c>
      <c r="H162" s="140" t="str">
        <f t="shared" si="8"/>
        <v/>
      </c>
      <c r="J162" s="148" t="str">
        <f>IFERROR(SUMIFS(当年实际!$V:$V,当年实际!$H:$H,$B162,当年实际!$C:$C,"&gt;="&amp;DATE(YEAR(主页!$D$2),1,1),当年实际!$C:$C,"&lt;="&amp;EOMONTH(DATE(YEAR(主页!$D$2),MONTH(主页!$D$2),1),0))/SUMIFS(当年实际!$P:$P,当年实际!$H:$H,$B162,当年实际!$C:$C,"&gt;="&amp;DATE(YEAR(主页!$D$2),1,1),当年实际!$C:$C,"&lt;="&amp;EOMONTH(DATE(YEAR(主页!$D$2),MONTH(主页!$D$2),1),0)),"")</f>
        <v/>
      </c>
    </row>
    <row r="163" spans="1:10" x14ac:dyDescent="0.3">
      <c r="A163" s="127"/>
      <c r="B163" s="149"/>
      <c r="C163" s="7"/>
      <c r="D163" s="5"/>
      <c r="E163" s="140" t="str">
        <f t="shared" si="7"/>
        <v/>
      </c>
      <c r="F163" s="142"/>
      <c r="G163" s="145">
        <f t="shared" si="9"/>
        <v>0</v>
      </c>
      <c r="H163" s="140" t="str">
        <f t="shared" si="8"/>
        <v/>
      </c>
      <c r="J163" s="148" t="str">
        <f>IFERROR(SUMIFS(当年实际!$V:$V,当年实际!$H:$H,$B163,当年实际!$C:$C,"&gt;="&amp;DATE(YEAR(主页!$D$2),1,1),当年实际!$C:$C,"&lt;="&amp;EOMONTH(DATE(YEAR(主页!$D$2),MONTH(主页!$D$2),1),0))/SUMIFS(当年实际!$P:$P,当年实际!$H:$H,$B163,当年实际!$C:$C,"&gt;="&amp;DATE(YEAR(主页!$D$2),1,1),当年实际!$C:$C,"&lt;="&amp;EOMONTH(DATE(YEAR(主页!$D$2),MONTH(主页!$D$2),1),0)),"")</f>
        <v/>
      </c>
    </row>
    <row r="164" spans="1:10" x14ac:dyDescent="0.3">
      <c r="A164" s="127"/>
      <c r="B164" s="149"/>
      <c r="C164" s="7"/>
      <c r="D164" s="5"/>
      <c r="E164" s="140" t="str">
        <f t="shared" si="7"/>
        <v/>
      </c>
      <c r="F164" s="142"/>
      <c r="G164" s="145">
        <f t="shared" si="9"/>
        <v>0</v>
      </c>
      <c r="H164" s="140" t="str">
        <f t="shared" si="8"/>
        <v/>
      </c>
      <c r="J164" s="148" t="str">
        <f>IFERROR(SUMIFS(当年实际!$V:$V,当年实际!$H:$H,$B164,当年实际!$C:$C,"&gt;="&amp;DATE(YEAR(主页!$D$2),1,1),当年实际!$C:$C,"&lt;="&amp;EOMONTH(DATE(YEAR(主页!$D$2),MONTH(主页!$D$2),1),0))/SUMIFS(当年实际!$P:$P,当年实际!$H:$H,$B164,当年实际!$C:$C,"&gt;="&amp;DATE(YEAR(主页!$D$2),1,1),当年实际!$C:$C,"&lt;="&amp;EOMONTH(DATE(YEAR(主页!$D$2),MONTH(主页!$D$2),1),0)),"")</f>
        <v/>
      </c>
    </row>
    <row r="165" spans="1:10" x14ac:dyDescent="0.3">
      <c r="A165" s="127"/>
      <c r="B165" s="149"/>
      <c r="C165" s="7"/>
      <c r="D165" s="5"/>
      <c r="E165" s="140" t="str">
        <f t="shared" si="7"/>
        <v/>
      </c>
      <c r="F165" s="142"/>
      <c r="G165" s="145">
        <f t="shared" si="9"/>
        <v>0</v>
      </c>
      <c r="H165" s="140" t="str">
        <f t="shared" si="8"/>
        <v/>
      </c>
      <c r="J165" s="148" t="str">
        <f>IFERROR(SUMIFS(当年实际!$V:$V,当年实际!$H:$H,$B165,当年实际!$C:$C,"&gt;="&amp;DATE(YEAR(主页!$D$2),1,1),当年实际!$C:$C,"&lt;="&amp;EOMONTH(DATE(YEAR(主页!$D$2),MONTH(主页!$D$2),1),0))/SUMIFS(当年实际!$P:$P,当年实际!$H:$H,$B165,当年实际!$C:$C,"&gt;="&amp;DATE(YEAR(主页!$D$2),1,1),当年实际!$C:$C,"&lt;="&amp;EOMONTH(DATE(YEAR(主页!$D$2),MONTH(主页!$D$2),1),0)),"")</f>
        <v/>
      </c>
    </row>
    <row r="166" spans="1:10" x14ac:dyDescent="0.3">
      <c r="A166" s="127"/>
      <c r="B166" s="149"/>
      <c r="C166" s="7"/>
      <c r="D166" s="5"/>
      <c r="E166" s="140" t="str">
        <f t="shared" si="7"/>
        <v/>
      </c>
      <c r="F166" s="142"/>
      <c r="G166" s="145">
        <f t="shared" si="9"/>
        <v>0</v>
      </c>
      <c r="H166" s="140" t="str">
        <f t="shared" si="8"/>
        <v/>
      </c>
      <c r="J166" s="148" t="str">
        <f>IFERROR(SUMIFS(当年实际!$V:$V,当年实际!$H:$H,$B166,当年实际!$C:$C,"&gt;="&amp;DATE(YEAR(主页!$D$2),1,1),当年实际!$C:$C,"&lt;="&amp;EOMONTH(DATE(YEAR(主页!$D$2),MONTH(主页!$D$2),1),0))/SUMIFS(当年实际!$P:$P,当年实际!$H:$H,$B166,当年实际!$C:$C,"&gt;="&amp;DATE(YEAR(主页!$D$2),1,1),当年实际!$C:$C,"&lt;="&amp;EOMONTH(DATE(YEAR(主页!$D$2),MONTH(主页!$D$2),1),0)),"")</f>
        <v/>
      </c>
    </row>
    <row r="167" spans="1:10" x14ac:dyDescent="0.3">
      <c r="A167" s="127"/>
      <c r="B167" s="149"/>
      <c r="C167" s="7"/>
      <c r="D167" s="5"/>
      <c r="E167" s="140" t="str">
        <f t="shared" si="7"/>
        <v/>
      </c>
      <c r="F167" s="142"/>
      <c r="G167" s="145">
        <f t="shared" si="9"/>
        <v>0</v>
      </c>
      <c r="H167" s="140" t="str">
        <f t="shared" si="8"/>
        <v/>
      </c>
      <c r="J167" s="148" t="str">
        <f>IFERROR(SUMIFS(当年实际!$V:$V,当年实际!$H:$H,$B167,当年实际!$C:$C,"&gt;="&amp;DATE(YEAR(主页!$D$2),1,1),当年实际!$C:$C,"&lt;="&amp;EOMONTH(DATE(YEAR(主页!$D$2),MONTH(主页!$D$2),1),0))/SUMIFS(当年实际!$P:$P,当年实际!$H:$H,$B167,当年实际!$C:$C,"&gt;="&amp;DATE(YEAR(主页!$D$2),1,1),当年实际!$C:$C,"&lt;="&amp;EOMONTH(DATE(YEAR(主页!$D$2),MONTH(主页!$D$2),1),0)),"")</f>
        <v/>
      </c>
    </row>
    <row r="168" spans="1:10" x14ac:dyDescent="0.3">
      <c r="A168" s="127"/>
      <c r="B168" s="149"/>
      <c r="C168" s="7"/>
      <c r="D168" s="5"/>
      <c r="E168" s="140" t="str">
        <f t="shared" si="7"/>
        <v/>
      </c>
      <c r="F168" s="142"/>
      <c r="G168" s="145">
        <f t="shared" si="9"/>
        <v>0</v>
      </c>
      <c r="H168" s="140" t="str">
        <f t="shared" si="8"/>
        <v/>
      </c>
      <c r="J168" s="148" t="str">
        <f>IFERROR(SUMIFS(当年实际!$V:$V,当年实际!$H:$H,$B168,当年实际!$C:$C,"&gt;="&amp;DATE(YEAR(主页!$D$2),1,1),当年实际!$C:$C,"&lt;="&amp;EOMONTH(DATE(YEAR(主页!$D$2),MONTH(主页!$D$2),1),0))/SUMIFS(当年实际!$P:$P,当年实际!$H:$H,$B168,当年实际!$C:$C,"&gt;="&amp;DATE(YEAR(主页!$D$2),1,1),当年实际!$C:$C,"&lt;="&amp;EOMONTH(DATE(YEAR(主页!$D$2),MONTH(主页!$D$2),1),0)),"")</f>
        <v/>
      </c>
    </row>
    <row r="169" spans="1:10" x14ac:dyDescent="0.3">
      <c r="A169" s="127"/>
      <c r="B169" s="149"/>
      <c r="C169" s="7"/>
      <c r="D169" s="5"/>
      <c r="E169" s="140" t="str">
        <f t="shared" si="7"/>
        <v/>
      </c>
      <c r="F169" s="142"/>
      <c r="G169" s="145">
        <f t="shared" si="9"/>
        <v>0</v>
      </c>
      <c r="H169" s="140" t="str">
        <f t="shared" si="8"/>
        <v/>
      </c>
      <c r="J169" s="148" t="str">
        <f>IFERROR(SUMIFS(当年实际!$V:$V,当年实际!$H:$H,$B169,当年实际!$C:$C,"&gt;="&amp;DATE(YEAR(主页!$D$2),1,1),当年实际!$C:$C,"&lt;="&amp;EOMONTH(DATE(YEAR(主页!$D$2),MONTH(主页!$D$2),1),0))/SUMIFS(当年实际!$P:$P,当年实际!$H:$H,$B169,当年实际!$C:$C,"&gt;="&amp;DATE(YEAR(主页!$D$2),1,1),当年实际!$C:$C,"&lt;="&amp;EOMONTH(DATE(YEAR(主页!$D$2),MONTH(主页!$D$2),1),0)),"")</f>
        <v/>
      </c>
    </row>
    <row r="170" spans="1:10" x14ac:dyDescent="0.3">
      <c r="A170" s="127"/>
      <c r="B170" s="149"/>
      <c r="C170" s="7"/>
      <c r="D170" s="5"/>
      <c r="E170" s="140" t="str">
        <f t="shared" si="7"/>
        <v/>
      </c>
      <c r="F170" s="142"/>
      <c r="G170" s="145">
        <f t="shared" si="9"/>
        <v>0</v>
      </c>
      <c r="H170" s="140" t="str">
        <f t="shared" si="8"/>
        <v/>
      </c>
      <c r="J170" s="148" t="str">
        <f>IFERROR(SUMIFS(当年实际!$V:$V,当年实际!$H:$H,$B170,当年实际!$C:$C,"&gt;="&amp;DATE(YEAR(主页!$D$2),1,1),当年实际!$C:$C,"&lt;="&amp;EOMONTH(DATE(YEAR(主页!$D$2),MONTH(主页!$D$2),1),0))/SUMIFS(当年实际!$P:$P,当年实际!$H:$H,$B170,当年实际!$C:$C,"&gt;="&amp;DATE(YEAR(主页!$D$2),1,1),当年实际!$C:$C,"&lt;="&amp;EOMONTH(DATE(YEAR(主页!$D$2),MONTH(主页!$D$2),1),0)),"")</f>
        <v/>
      </c>
    </row>
    <row r="171" spans="1:10" x14ac:dyDescent="0.3">
      <c r="A171" s="127"/>
      <c r="B171" s="149"/>
      <c r="C171" s="7"/>
      <c r="D171" s="5"/>
      <c r="E171" s="140" t="str">
        <f t="shared" si="7"/>
        <v/>
      </c>
      <c r="F171" s="142"/>
      <c r="G171" s="145">
        <f t="shared" si="9"/>
        <v>0</v>
      </c>
      <c r="H171" s="140" t="str">
        <f t="shared" si="8"/>
        <v/>
      </c>
      <c r="J171" s="148" t="str">
        <f>IFERROR(SUMIFS(当年实际!$V:$V,当年实际!$H:$H,$B171,当年实际!$C:$C,"&gt;="&amp;DATE(YEAR(主页!$D$2),1,1),当年实际!$C:$C,"&lt;="&amp;EOMONTH(DATE(YEAR(主页!$D$2),MONTH(主页!$D$2),1),0))/SUMIFS(当年实际!$P:$P,当年实际!$H:$H,$B171,当年实际!$C:$C,"&gt;="&amp;DATE(YEAR(主页!$D$2),1,1),当年实际!$C:$C,"&lt;="&amp;EOMONTH(DATE(YEAR(主页!$D$2),MONTH(主页!$D$2),1),0)),"")</f>
        <v/>
      </c>
    </row>
    <row r="172" spans="1:10" x14ac:dyDescent="0.3">
      <c r="A172" s="127"/>
      <c r="B172" s="149"/>
      <c r="C172" s="7"/>
      <c r="D172" s="5"/>
      <c r="E172" s="140" t="str">
        <f t="shared" si="7"/>
        <v/>
      </c>
      <c r="F172" s="142"/>
      <c r="G172" s="145">
        <f t="shared" si="9"/>
        <v>0</v>
      </c>
      <c r="H172" s="140" t="str">
        <f t="shared" si="8"/>
        <v/>
      </c>
      <c r="J172" s="148" t="str">
        <f>IFERROR(SUMIFS(当年实际!$V:$V,当年实际!$H:$H,$B172,当年实际!$C:$C,"&gt;="&amp;DATE(YEAR(主页!$D$2),1,1),当年实际!$C:$C,"&lt;="&amp;EOMONTH(DATE(YEAR(主页!$D$2),MONTH(主页!$D$2),1),0))/SUMIFS(当年实际!$P:$P,当年实际!$H:$H,$B172,当年实际!$C:$C,"&gt;="&amp;DATE(YEAR(主页!$D$2),1,1),当年实际!$C:$C,"&lt;="&amp;EOMONTH(DATE(YEAR(主页!$D$2),MONTH(主页!$D$2),1),0)),"")</f>
        <v/>
      </c>
    </row>
    <row r="173" spans="1:10" x14ac:dyDescent="0.3">
      <c r="A173" s="127"/>
      <c r="B173" s="149"/>
      <c r="C173" s="7"/>
      <c r="D173" s="5"/>
      <c r="E173" s="140" t="str">
        <f t="shared" si="7"/>
        <v/>
      </c>
      <c r="F173" s="142"/>
      <c r="G173" s="145">
        <f t="shared" si="9"/>
        <v>0</v>
      </c>
      <c r="H173" s="140" t="str">
        <f t="shared" si="8"/>
        <v/>
      </c>
      <c r="J173" s="148" t="str">
        <f>IFERROR(SUMIFS(当年实际!$V:$V,当年实际!$H:$H,$B173,当年实际!$C:$C,"&gt;="&amp;DATE(YEAR(主页!$D$2),1,1),当年实际!$C:$C,"&lt;="&amp;EOMONTH(DATE(YEAR(主页!$D$2),MONTH(主页!$D$2),1),0))/SUMIFS(当年实际!$P:$P,当年实际!$H:$H,$B173,当年实际!$C:$C,"&gt;="&amp;DATE(YEAR(主页!$D$2),1,1),当年实际!$C:$C,"&lt;="&amp;EOMONTH(DATE(YEAR(主页!$D$2),MONTH(主页!$D$2),1),0)),"")</f>
        <v/>
      </c>
    </row>
    <row r="174" spans="1:10" x14ac:dyDescent="0.3">
      <c r="A174" s="127"/>
      <c r="B174" s="149"/>
      <c r="C174" s="7"/>
      <c r="D174" s="5"/>
      <c r="E174" s="140" t="str">
        <f t="shared" si="7"/>
        <v/>
      </c>
      <c r="F174" s="142"/>
      <c r="G174" s="145">
        <f t="shared" si="9"/>
        <v>0</v>
      </c>
      <c r="H174" s="140" t="str">
        <f t="shared" si="8"/>
        <v/>
      </c>
      <c r="J174" s="148" t="str">
        <f>IFERROR(SUMIFS(当年实际!$V:$V,当年实际!$H:$H,$B174,当年实际!$C:$C,"&gt;="&amp;DATE(YEAR(主页!$D$2),1,1),当年实际!$C:$C,"&lt;="&amp;EOMONTH(DATE(YEAR(主页!$D$2),MONTH(主页!$D$2),1),0))/SUMIFS(当年实际!$P:$P,当年实际!$H:$H,$B174,当年实际!$C:$C,"&gt;="&amp;DATE(YEAR(主页!$D$2),1,1),当年实际!$C:$C,"&lt;="&amp;EOMONTH(DATE(YEAR(主页!$D$2),MONTH(主页!$D$2),1),0)),"")</f>
        <v/>
      </c>
    </row>
    <row r="175" spans="1:10" x14ac:dyDescent="0.3">
      <c r="A175" s="127"/>
      <c r="B175" s="149"/>
      <c r="C175" s="7"/>
      <c r="D175" s="5"/>
      <c r="E175" s="140" t="str">
        <f t="shared" si="7"/>
        <v/>
      </c>
      <c r="F175" s="142"/>
      <c r="G175" s="145">
        <f t="shared" si="9"/>
        <v>0</v>
      </c>
      <c r="H175" s="140" t="str">
        <f t="shared" si="8"/>
        <v/>
      </c>
      <c r="J175" s="148" t="str">
        <f>IFERROR(SUMIFS(当年实际!$V:$V,当年实际!$H:$H,$B175,当年实际!$C:$C,"&gt;="&amp;DATE(YEAR(主页!$D$2),1,1),当年实际!$C:$C,"&lt;="&amp;EOMONTH(DATE(YEAR(主页!$D$2),MONTH(主页!$D$2),1),0))/SUMIFS(当年实际!$P:$P,当年实际!$H:$H,$B175,当年实际!$C:$C,"&gt;="&amp;DATE(YEAR(主页!$D$2),1,1),当年实际!$C:$C,"&lt;="&amp;EOMONTH(DATE(YEAR(主页!$D$2),MONTH(主页!$D$2),1),0)),"")</f>
        <v/>
      </c>
    </row>
    <row r="176" spans="1:10" x14ac:dyDescent="0.3">
      <c r="A176" s="127"/>
      <c r="B176" s="149"/>
      <c r="C176" s="7"/>
      <c r="D176" s="5"/>
      <c r="E176" s="140" t="str">
        <f t="shared" si="7"/>
        <v/>
      </c>
      <c r="F176" s="142"/>
      <c r="G176" s="145">
        <f t="shared" si="9"/>
        <v>0</v>
      </c>
      <c r="H176" s="140" t="str">
        <f t="shared" si="8"/>
        <v/>
      </c>
      <c r="J176" s="148" t="str">
        <f>IFERROR(SUMIFS(当年实际!$V:$V,当年实际!$H:$H,$B176,当年实际!$C:$C,"&gt;="&amp;DATE(YEAR(主页!$D$2),1,1),当年实际!$C:$C,"&lt;="&amp;EOMONTH(DATE(YEAR(主页!$D$2),MONTH(主页!$D$2),1),0))/SUMIFS(当年实际!$P:$P,当年实际!$H:$H,$B176,当年实际!$C:$C,"&gt;="&amp;DATE(YEAR(主页!$D$2),1,1),当年实际!$C:$C,"&lt;="&amp;EOMONTH(DATE(YEAR(主页!$D$2),MONTH(主页!$D$2),1),0)),"")</f>
        <v/>
      </c>
    </row>
    <row r="177" spans="1:10" x14ac:dyDescent="0.3">
      <c r="A177" s="127"/>
      <c r="B177" s="149"/>
      <c r="C177" s="7"/>
      <c r="D177" s="5"/>
      <c r="E177" s="140" t="str">
        <f t="shared" si="7"/>
        <v/>
      </c>
      <c r="F177" s="142"/>
      <c r="G177" s="145">
        <f t="shared" si="9"/>
        <v>0</v>
      </c>
      <c r="H177" s="140" t="str">
        <f t="shared" si="8"/>
        <v/>
      </c>
      <c r="J177" s="148" t="str">
        <f>IFERROR(SUMIFS(当年实际!$V:$V,当年实际!$H:$H,$B177,当年实际!$C:$C,"&gt;="&amp;DATE(YEAR(主页!$D$2),1,1),当年实际!$C:$C,"&lt;="&amp;EOMONTH(DATE(YEAR(主页!$D$2),MONTH(主页!$D$2),1),0))/SUMIFS(当年实际!$P:$P,当年实际!$H:$H,$B177,当年实际!$C:$C,"&gt;="&amp;DATE(YEAR(主页!$D$2),1,1),当年实际!$C:$C,"&lt;="&amp;EOMONTH(DATE(YEAR(主页!$D$2),MONTH(主页!$D$2),1),0)),"")</f>
        <v/>
      </c>
    </row>
    <row r="178" spans="1:10" x14ac:dyDescent="0.3">
      <c r="A178" s="127"/>
      <c r="B178" s="149"/>
      <c r="C178" s="7"/>
      <c r="D178" s="5"/>
      <c r="E178" s="140" t="str">
        <f t="shared" si="7"/>
        <v/>
      </c>
      <c r="F178" s="142"/>
      <c r="G178" s="145">
        <f t="shared" si="9"/>
        <v>0</v>
      </c>
      <c r="H178" s="140" t="str">
        <f t="shared" si="8"/>
        <v/>
      </c>
      <c r="J178" s="148" t="str">
        <f>IFERROR(SUMIFS(当年实际!$V:$V,当年实际!$H:$H,$B178,当年实际!$C:$C,"&gt;="&amp;DATE(YEAR(主页!$D$2),1,1),当年实际!$C:$C,"&lt;="&amp;EOMONTH(DATE(YEAR(主页!$D$2),MONTH(主页!$D$2),1),0))/SUMIFS(当年实际!$P:$P,当年实际!$H:$H,$B178,当年实际!$C:$C,"&gt;="&amp;DATE(YEAR(主页!$D$2),1,1),当年实际!$C:$C,"&lt;="&amp;EOMONTH(DATE(YEAR(主页!$D$2),MONTH(主页!$D$2),1),0)),"")</f>
        <v/>
      </c>
    </row>
    <row r="179" spans="1:10" x14ac:dyDescent="0.3">
      <c r="A179" s="127"/>
      <c r="B179" s="149"/>
      <c r="C179" s="7"/>
      <c r="D179" s="5"/>
      <c r="E179" s="140" t="str">
        <f t="shared" si="7"/>
        <v/>
      </c>
      <c r="F179" s="142"/>
      <c r="G179" s="145">
        <f t="shared" si="9"/>
        <v>0</v>
      </c>
      <c r="H179" s="140" t="str">
        <f t="shared" si="8"/>
        <v/>
      </c>
      <c r="J179" s="148" t="str">
        <f>IFERROR(SUMIFS(当年实际!$V:$V,当年实际!$H:$H,$B179,当年实际!$C:$C,"&gt;="&amp;DATE(YEAR(主页!$D$2),1,1),当年实际!$C:$C,"&lt;="&amp;EOMONTH(DATE(YEAR(主页!$D$2),MONTH(主页!$D$2),1),0))/SUMIFS(当年实际!$P:$P,当年实际!$H:$H,$B179,当年实际!$C:$C,"&gt;="&amp;DATE(YEAR(主页!$D$2),1,1),当年实际!$C:$C,"&lt;="&amp;EOMONTH(DATE(YEAR(主页!$D$2),MONTH(主页!$D$2),1),0)),"")</f>
        <v/>
      </c>
    </row>
    <row r="180" spans="1:10" x14ac:dyDescent="0.3">
      <c r="A180" s="127"/>
      <c r="B180" s="149"/>
      <c r="C180" s="7"/>
      <c r="D180" s="5"/>
      <c r="E180" s="140" t="str">
        <f t="shared" si="7"/>
        <v/>
      </c>
      <c r="F180" s="142"/>
      <c r="G180" s="145">
        <f t="shared" si="9"/>
        <v>0</v>
      </c>
      <c r="H180" s="140" t="str">
        <f t="shared" si="8"/>
        <v/>
      </c>
      <c r="J180" s="148" t="str">
        <f>IFERROR(SUMIFS(当年实际!$V:$V,当年实际!$H:$H,$B180,当年实际!$C:$C,"&gt;="&amp;DATE(YEAR(主页!$D$2),1,1),当年实际!$C:$C,"&lt;="&amp;EOMONTH(DATE(YEAR(主页!$D$2),MONTH(主页!$D$2),1),0))/SUMIFS(当年实际!$P:$P,当年实际!$H:$H,$B180,当年实际!$C:$C,"&gt;="&amp;DATE(YEAR(主页!$D$2),1,1),当年实际!$C:$C,"&lt;="&amp;EOMONTH(DATE(YEAR(主页!$D$2),MONTH(主页!$D$2),1),0)),"")</f>
        <v/>
      </c>
    </row>
    <row r="181" spans="1:10" x14ac:dyDescent="0.3">
      <c r="A181" s="127"/>
      <c r="B181" s="149"/>
      <c r="C181" s="7"/>
      <c r="D181" s="5"/>
      <c r="E181" s="140" t="str">
        <f t="shared" si="7"/>
        <v/>
      </c>
      <c r="F181" s="142"/>
      <c r="G181" s="145">
        <f t="shared" si="9"/>
        <v>0</v>
      </c>
      <c r="H181" s="140" t="str">
        <f t="shared" si="8"/>
        <v/>
      </c>
      <c r="J181" s="148" t="str">
        <f>IFERROR(SUMIFS(当年实际!$V:$V,当年实际!$H:$H,$B181,当年实际!$C:$C,"&gt;="&amp;DATE(YEAR(主页!$D$2),1,1),当年实际!$C:$C,"&lt;="&amp;EOMONTH(DATE(YEAR(主页!$D$2),MONTH(主页!$D$2),1),0))/SUMIFS(当年实际!$P:$P,当年实际!$H:$H,$B181,当年实际!$C:$C,"&gt;="&amp;DATE(YEAR(主页!$D$2),1,1),当年实际!$C:$C,"&lt;="&amp;EOMONTH(DATE(YEAR(主页!$D$2),MONTH(主页!$D$2),1),0)),"")</f>
        <v/>
      </c>
    </row>
    <row r="182" spans="1:10" x14ac:dyDescent="0.3">
      <c r="A182" s="127"/>
      <c r="B182" s="149"/>
      <c r="C182" s="7"/>
      <c r="D182" s="5"/>
      <c r="E182" s="140" t="str">
        <f t="shared" si="7"/>
        <v/>
      </c>
      <c r="F182" s="142"/>
      <c r="G182" s="145">
        <f t="shared" si="9"/>
        <v>0</v>
      </c>
      <c r="H182" s="140" t="str">
        <f t="shared" si="8"/>
        <v/>
      </c>
      <c r="J182" s="148" t="str">
        <f>IFERROR(SUMIFS(当年实际!$V:$V,当年实际!$H:$H,$B182,当年实际!$C:$C,"&gt;="&amp;DATE(YEAR(主页!$D$2),1,1),当年实际!$C:$C,"&lt;="&amp;EOMONTH(DATE(YEAR(主页!$D$2),MONTH(主页!$D$2),1),0))/SUMIFS(当年实际!$P:$P,当年实际!$H:$H,$B182,当年实际!$C:$C,"&gt;="&amp;DATE(YEAR(主页!$D$2),1,1),当年实际!$C:$C,"&lt;="&amp;EOMONTH(DATE(YEAR(主页!$D$2),MONTH(主页!$D$2),1),0)),"")</f>
        <v/>
      </c>
    </row>
    <row r="183" spans="1:10" x14ac:dyDescent="0.3">
      <c r="A183" s="127"/>
      <c r="B183" s="149"/>
      <c r="C183" s="7"/>
      <c r="D183" s="5"/>
      <c r="E183" s="140" t="str">
        <f t="shared" si="7"/>
        <v/>
      </c>
      <c r="F183" s="142"/>
      <c r="G183" s="145">
        <f t="shared" si="9"/>
        <v>0</v>
      </c>
      <c r="H183" s="140" t="str">
        <f t="shared" si="8"/>
        <v/>
      </c>
      <c r="J183" s="148" t="str">
        <f>IFERROR(SUMIFS(当年实际!$V:$V,当年实际!$H:$H,$B183,当年实际!$C:$C,"&gt;="&amp;DATE(YEAR(主页!$D$2),1,1),当年实际!$C:$C,"&lt;="&amp;EOMONTH(DATE(YEAR(主页!$D$2),MONTH(主页!$D$2),1),0))/SUMIFS(当年实际!$P:$P,当年实际!$H:$H,$B183,当年实际!$C:$C,"&gt;="&amp;DATE(YEAR(主页!$D$2),1,1),当年实际!$C:$C,"&lt;="&amp;EOMONTH(DATE(YEAR(主页!$D$2),MONTH(主页!$D$2),1),0)),"")</f>
        <v/>
      </c>
    </row>
    <row r="184" spans="1:10" x14ac:dyDescent="0.3">
      <c r="A184" s="127"/>
      <c r="B184" s="149"/>
      <c r="C184" s="7"/>
      <c r="D184" s="5"/>
      <c r="E184" s="140" t="str">
        <f t="shared" si="7"/>
        <v/>
      </c>
      <c r="F184" s="142"/>
      <c r="G184" s="145">
        <f t="shared" si="9"/>
        <v>0</v>
      </c>
      <c r="H184" s="140" t="str">
        <f t="shared" si="8"/>
        <v/>
      </c>
      <c r="J184" s="148" t="str">
        <f>IFERROR(SUMIFS(当年实际!$V:$V,当年实际!$H:$H,$B184,当年实际!$C:$C,"&gt;="&amp;DATE(YEAR(主页!$D$2),1,1),当年实际!$C:$C,"&lt;="&amp;EOMONTH(DATE(YEAR(主页!$D$2),MONTH(主页!$D$2),1),0))/SUMIFS(当年实际!$P:$P,当年实际!$H:$H,$B184,当年实际!$C:$C,"&gt;="&amp;DATE(YEAR(主页!$D$2),1,1),当年实际!$C:$C,"&lt;="&amp;EOMONTH(DATE(YEAR(主页!$D$2),MONTH(主页!$D$2),1),0)),"")</f>
        <v/>
      </c>
    </row>
    <row r="185" spans="1:10" x14ac:dyDescent="0.3">
      <c r="A185" s="127"/>
      <c r="B185" s="149"/>
      <c r="C185" s="7"/>
      <c r="D185" s="5"/>
      <c r="E185" s="140" t="str">
        <f t="shared" si="7"/>
        <v/>
      </c>
      <c r="F185" s="142"/>
      <c r="G185" s="145">
        <f t="shared" si="9"/>
        <v>0</v>
      </c>
      <c r="H185" s="140" t="str">
        <f t="shared" si="8"/>
        <v/>
      </c>
      <c r="J185" s="148" t="str">
        <f>IFERROR(SUMIFS(当年实际!$V:$V,当年实际!$H:$H,$B185,当年实际!$C:$C,"&gt;="&amp;DATE(YEAR(主页!$D$2),1,1),当年实际!$C:$C,"&lt;="&amp;EOMONTH(DATE(YEAR(主页!$D$2),MONTH(主页!$D$2),1),0))/SUMIFS(当年实际!$P:$P,当年实际!$H:$H,$B185,当年实际!$C:$C,"&gt;="&amp;DATE(YEAR(主页!$D$2),1,1),当年实际!$C:$C,"&lt;="&amp;EOMONTH(DATE(YEAR(主页!$D$2),MONTH(主页!$D$2),1),0)),"")</f>
        <v/>
      </c>
    </row>
    <row r="186" spans="1:10" x14ac:dyDescent="0.3">
      <c r="A186" s="127"/>
      <c r="B186" s="149"/>
      <c r="C186" s="7"/>
      <c r="D186" s="5"/>
      <c r="E186" s="140" t="str">
        <f t="shared" si="7"/>
        <v/>
      </c>
      <c r="F186" s="142"/>
      <c r="G186" s="145">
        <f t="shared" si="9"/>
        <v>0</v>
      </c>
      <c r="H186" s="140" t="str">
        <f t="shared" si="8"/>
        <v/>
      </c>
      <c r="J186" s="148" t="str">
        <f>IFERROR(SUMIFS(当年实际!$V:$V,当年实际!$H:$H,$B186,当年实际!$C:$C,"&gt;="&amp;DATE(YEAR(主页!$D$2),1,1),当年实际!$C:$C,"&lt;="&amp;EOMONTH(DATE(YEAR(主页!$D$2),MONTH(主页!$D$2),1),0))/SUMIFS(当年实际!$P:$P,当年实际!$H:$H,$B186,当年实际!$C:$C,"&gt;="&amp;DATE(YEAR(主页!$D$2),1,1),当年实际!$C:$C,"&lt;="&amp;EOMONTH(DATE(YEAR(主页!$D$2),MONTH(主页!$D$2),1),0)),"")</f>
        <v/>
      </c>
    </row>
    <row r="187" spans="1:10" x14ac:dyDescent="0.3">
      <c r="A187" s="127"/>
      <c r="B187" s="149"/>
      <c r="C187" s="7"/>
      <c r="D187" s="5"/>
      <c r="E187" s="140" t="str">
        <f t="shared" si="7"/>
        <v/>
      </c>
      <c r="F187" s="142"/>
      <c r="G187" s="145">
        <f t="shared" si="9"/>
        <v>0</v>
      </c>
      <c r="H187" s="140" t="str">
        <f t="shared" si="8"/>
        <v/>
      </c>
      <c r="J187" s="148" t="str">
        <f>IFERROR(SUMIFS(当年实际!$V:$V,当年实际!$H:$H,$B187,当年实际!$C:$C,"&gt;="&amp;DATE(YEAR(主页!$D$2),1,1),当年实际!$C:$C,"&lt;="&amp;EOMONTH(DATE(YEAR(主页!$D$2),MONTH(主页!$D$2),1),0))/SUMIFS(当年实际!$P:$P,当年实际!$H:$H,$B187,当年实际!$C:$C,"&gt;="&amp;DATE(YEAR(主页!$D$2),1,1),当年实际!$C:$C,"&lt;="&amp;EOMONTH(DATE(YEAR(主页!$D$2),MONTH(主页!$D$2),1),0)),"")</f>
        <v/>
      </c>
    </row>
    <row r="188" spans="1:10" x14ac:dyDescent="0.3">
      <c r="A188" s="127"/>
      <c r="B188" s="149"/>
      <c r="C188" s="7"/>
      <c r="D188" s="5"/>
      <c r="E188" s="140" t="str">
        <f t="shared" si="7"/>
        <v/>
      </c>
      <c r="F188" s="142"/>
      <c r="G188" s="145">
        <f t="shared" si="9"/>
        <v>0</v>
      </c>
      <c r="H188" s="140" t="str">
        <f t="shared" si="8"/>
        <v/>
      </c>
      <c r="J188" s="148" t="str">
        <f>IFERROR(SUMIFS(当年实际!$V:$V,当年实际!$H:$H,$B188,当年实际!$C:$C,"&gt;="&amp;DATE(YEAR(主页!$D$2),1,1),当年实际!$C:$C,"&lt;="&amp;EOMONTH(DATE(YEAR(主页!$D$2),MONTH(主页!$D$2),1),0))/SUMIFS(当年实际!$P:$P,当年实际!$H:$H,$B188,当年实际!$C:$C,"&gt;="&amp;DATE(YEAR(主页!$D$2),1,1),当年实际!$C:$C,"&lt;="&amp;EOMONTH(DATE(YEAR(主页!$D$2),MONTH(主页!$D$2),1),0)),"")</f>
        <v/>
      </c>
    </row>
    <row r="189" spans="1:10" x14ac:dyDescent="0.3">
      <c r="A189" s="127"/>
      <c r="B189" s="149"/>
      <c r="C189" s="7"/>
      <c r="D189" s="5"/>
      <c r="E189" s="140" t="str">
        <f t="shared" si="7"/>
        <v/>
      </c>
      <c r="F189" s="142"/>
      <c r="G189" s="145">
        <f t="shared" si="9"/>
        <v>0</v>
      </c>
      <c r="H189" s="140" t="str">
        <f t="shared" si="8"/>
        <v/>
      </c>
      <c r="J189" s="148" t="str">
        <f>IFERROR(SUMIFS(当年实际!$V:$V,当年实际!$H:$H,$B189,当年实际!$C:$C,"&gt;="&amp;DATE(YEAR(主页!$D$2),1,1),当年实际!$C:$C,"&lt;="&amp;EOMONTH(DATE(YEAR(主页!$D$2),MONTH(主页!$D$2),1),0))/SUMIFS(当年实际!$P:$P,当年实际!$H:$H,$B189,当年实际!$C:$C,"&gt;="&amp;DATE(YEAR(主页!$D$2),1,1),当年实际!$C:$C,"&lt;="&amp;EOMONTH(DATE(YEAR(主页!$D$2),MONTH(主页!$D$2),1),0)),"")</f>
        <v/>
      </c>
    </row>
    <row r="190" spans="1:10" x14ac:dyDescent="0.3">
      <c r="A190" s="127"/>
      <c r="B190" s="149"/>
      <c r="C190" s="7"/>
      <c r="D190" s="5"/>
      <c r="E190" s="140" t="str">
        <f t="shared" si="7"/>
        <v/>
      </c>
      <c r="F190" s="142"/>
      <c r="G190" s="145">
        <f t="shared" si="9"/>
        <v>0</v>
      </c>
      <c r="H190" s="140" t="str">
        <f t="shared" si="8"/>
        <v/>
      </c>
      <c r="J190" s="148" t="str">
        <f>IFERROR(SUMIFS(当年实际!$V:$V,当年实际!$H:$H,$B190,当年实际!$C:$C,"&gt;="&amp;DATE(YEAR(主页!$D$2),1,1),当年实际!$C:$C,"&lt;="&amp;EOMONTH(DATE(YEAR(主页!$D$2),MONTH(主页!$D$2),1),0))/SUMIFS(当年实际!$P:$P,当年实际!$H:$H,$B190,当年实际!$C:$C,"&gt;="&amp;DATE(YEAR(主页!$D$2),1,1),当年实际!$C:$C,"&lt;="&amp;EOMONTH(DATE(YEAR(主页!$D$2),MONTH(主页!$D$2),1),0)),"")</f>
        <v/>
      </c>
    </row>
    <row r="191" spans="1:10" x14ac:dyDescent="0.3">
      <c r="A191" s="127"/>
      <c r="B191" s="149"/>
      <c r="C191" s="7"/>
      <c r="D191" s="5"/>
      <c r="E191" s="140" t="str">
        <f t="shared" si="7"/>
        <v/>
      </c>
      <c r="F191" s="142"/>
      <c r="G191" s="145">
        <f t="shared" si="9"/>
        <v>0</v>
      </c>
      <c r="H191" s="140" t="str">
        <f t="shared" si="8"/>
        <v/>
      </c>
      <c r="J191" s="148" t="str">
        <f>IFERROR(SUMIFS(当年实际!$V:$V,当年实际!$H:$H,$B191,当年实际!$C:$C,"&gt;="&amp;DATE(YEAR(主页!$D$2),1,1),当年实际!$C:$C,"&lt;="&amp;EOMONTH(DATE(YEAR(主页!$D$2),MONTH(主页!$D$2),1),0))/SUMIFS(当年实际!$P:$P,当年实际!$H:$H,$B191,当年实际!$C:$C,"&gt;="&amp;DATE(YEAR(主页!$D$2),1,1),当年实际!$C:$C,"&lt;="&amp;EOMONTH(DATE(YEAR(主页!$D$2),MONTH(主页!$D$2),1),0)),"")</f>
        <v/>
      </c>
    </row>
    <row r="192" spans="1:10" x14ac:dyDescent="0.3">
      <c r="A192" s="127"/>
      <c r="B192" s="149"/>
      <c r="C192" s="7"/>
      <c r="D192" s="5"/>
      <c r="E192" s="140" t="str">
        <f t="shared" si="7"/>
        <v/>
      </c>
      <c r="F192" s="142"/>
      <c r="G192" s="145">
        <f t="shared" si="9"/>
        <v>0</v>
      </c>
      <c r="H192" s="140" t="str">
        <f t="shared" si="8"/>
        <v/>
      </c>
      <c r="J192" s="148" t="str">
        <f>IFERROR(SUMIFS(当年实际!$V:$V,当年实际!$H:$H,$B192,当年实际!$C:$C,"&gt;="&amp;DATE(YEAR(主页!$D$2),1,1),当年实际!$C:$C,"&lt;="&amp;EOMONTH(DATE(YEAR(主页!$D$2),MONTH(主页!$D$2),1),0))/SUMIFS(当年实际!$P:$P,当年实际!$H:$H,$B192,当年实际!$C:$C,"&gt;="&amp;DATE(YEAR(主页!$D$2),1,1),当年实际!$C:$C,"&lt;="&amp;EOMONTH(DATE(YEAR(主页!$D$2),MONTH(主页!$D$2),1),0)),"")</f>
        <v/>
      </c>
    </row>
    <row r="193" spans="1:10" x14ac:dyDescent="0.3">
      <c r="A193" s="127"/>
      <c r="B193" s="149"/>
      <c r="C193" s="7"/>
      <c r="D193" s="5"/>
      <c r="E193" s="140" t="str">
        <f t="shared" si="7"/>
        <v/>
      </c>
      <c r="F193" s="142"/>
      <c r="G193" s="145">
        <f t="shared" si="9"/>
        <v>0</v>
      </c>
      <c r="H193" s="140" t="str">
        <f t="shared" si="8"/>
        <v/>
      </c>
      <c r="J193" s="148" t="str">
        <f>IFERROR(SUMIFS(当年实际!$V:$V,当年实际!$H:$H,$B193,当年实际!$C:$C,"&gt;="&amp;DATE(YEAR(主页!$D$2),1,1),当年实际!$C:$C,"&lt;="&amp;EOMONTH(DATE(YEAR(主页!$D$2),MONTH(主页!$D$2),1),0))/SUMIFS(当年实际!$P:$P,当年实际!$H:$H,$B193,当年实际!$C:$C,"&gt;="&amp;DATE(YEAR(主页!$D$2),1,1),当年实际!$C:$C,"&lt;="&amp;EOMONTH(DATE(YEAR(主页!$D$2),MONTH(主页!$D$2),1),0)),"")</f>
        <v/>
      </c>
    </row>
    <row r="194" spans="1:10" x14ac:dyDescent="0.3">
      <c r="A194" s="127"/>
      <c r="B194" s="149"/>
      <c r="C194" s="7"/>
      <c r="D194" s="5"/>
      <c r="E194" s="140" t="str">
        <f t="shared" si="7"/>
        <v/>
      </c>
      <c r="F194" s="142"/>
      <c r="G194" s="145">
        <f t="shared" si="9"/>
        <v>0</v>
      </c>
      <c r="H194" s="140" t="str">
        <f t="shared" si="8"/>
        <v/>
      </c>
      <c r="J194" s="148" t="str">
        <f>IFERROR(SUMIFS(当年实际!$V:$V,当年实际!$H:$H,$B194,当年实际!$C:$C,"&gt;="&amp;DATE(YEAR(主页!$D$2),1,1),当年实际!$C:$C,"&lt;="&amp;EOMONTH(DATE(YEAR(主页!$D$2),MONTH(主页!$D$2),1),0))/SUMIFS(当年实际!$P:$P,当年实际!$H:$H,$B194,当年实际!$C:$C,"&gt;="&amp;DATE(YEAR(主页!$D$2),1,1),当年实际!$C:$C,"&lt;="&amp;EOMONTH(DATE(YEAR(主页!$D$2),MONTH(主页!$D$2),1),0)),"")</f>
        <v/>
      </c>
    </row>
    <row r="195" spans="1:10" x14ac:dyDescent="0.3">
      <c r="A195" s="127"/>
      <c r="B195" s="149"/>
      <c r="C195" s="7"/>
      <c r="D195" s="5"/>
      <c r="E195" s="140" t="str">
        <f t="shared" si="7"/>
        <v/>
      </c>
      <c r="F195" s="142"/>
      <c r="G195" s="145">
        <f t="shared" si="9"/>
        <v>0</v>
      </c>
      <c r="H195" s="140" t="str">
        <f t="shared" si="8"/>
        <v/>
      </c>
      <c r="J195" s="148" t="str">
        <f>IFERROR(SUMIFS(当年实际!$V:$V,当年实际!$H:$H,$B195,当年实际!$C:$C,"&gt;="&amp;DATE(YEAR(主页!$D$2),1,1),当年实际!$C:$C,"&lt;="&amp;EOMONTH(DATE(YEAR(主页!$D$2),MONTH(主页!$D$2),1),0))/SUMIFS(当年实际!$P:$P,当年实际!$H:$H,$B195,当年实际!$C:$C,"&gt;="&amp;DATE(YEAR(主页!$D$2),1,1),当年实际!$C:$C,"&lt;="&amp;EOMONTH(DATE(YEAR(主页!$D$2),MONTH(主页!$D$2),1),0)),"")</f>
        <v/>
      </c>
    </row>
    <row r="196" spans="1:10" x14ac:dyDescent="0.3">
      <c r="A196" s="127"/>
      <c r="B196" s="149"/>
      <c r="C196" s="7"/>
      <c r="D196" s="5"/>
      <c r="E196" s="140" t="str">
        <f t="shared" ref="E196:E259" si="10">IF(D196/SUM(D:D)=0,"",D196/SUM(D:D))</f>
        <v/>
      </c>
      <c r="F196" s="142"/>
      <c r="G196" s="145">
        <f t="shared" si="9"/>
        <v>0</v>
      </c>
      <c r="H196" s="140" t="str">
        <f t="shared" ref="H196:H259" si="11">IF(G196/SUM(G:G)=0,"",G196/SUM(G:G))</f>
        <v/>
      </c>
      <c r="J196" s="148" t="str">
        <f>IFERROR(SUMIFS(当年实际!$V:$V,当年实际!$H:$H,$B196,当年实际!$C:$C,"&gt;="&amp;DATE(YEAR(主页!$D$2),1,1),当年实际!$C:$C,"&lt;="&amp;EOMONTH(DATE(YEAR(主页!$D$2),MONTH(主页!$D$2),1),0))/SUMIFS(当年实际!$P:$P,当年实际!$H:$H,$B196,当年实际!$C:$C,"&gt;="&amp;DATE(YEAR(主页!$D$2),1,1),当年实际!$C:$C,"&lt;="&amp;EOMONTH(DATE(YEAR(主页!$D$2),MONTH(主页!$D$2),1),0)),"")</f>
        <v/>
      </c>
    </row>
    <row r="197" spans="1:10" x14ac:dyDescent="0.3">
      <c r="A197" s="127"/>
      <c r="B197" s="149"/>
      <c r="C197" s="7"/>
      <c r="D197" s="5"/>
      <c r="E197" s="140" t="str">
        <f t="shared" si="10"/>
        <v/>
      </c>
      <c r="F197" s="142"/>
      <c r="G197" s="145">
        <f t="shared" si="9"/>
        <v>0</v>
      </c>
      <c r="H197" s="140" t="str">
        <f t="shared" si="11"/>
        <v/>
      </c>
      <c r="J197" s="148" t="str">
        <f>IFERROR(SUMIFS(当年实际!$V:$V,当年实际!$H:$H,$B197,当年实际!$C:$C,"&gt;="&amp;DATE(YEAR(主页!$D$2),1,1),当年实际!$C:$C,"&lt;="&amp;EOMONTH(DATE(YEAR(主页!$D$2),MONTH(主页!$D$2),1),0))/SUMIFS(当年实际!$P:$P,当年实际!$H:$H,$B197,当年实际!$C:$C,"&gt;="&amp;DATE(YEAR(主页!$D$2),1,1),当年实际!$C:$C,"&lt;="&amp;EOMONTH(DATE(YEAR(主页!$D$2),MONTH(主页!$D$2),1),0)),"")</f>
        <v/>
      </c>
    </row>
    <row r="198" spans="1:10" x14ac:dyDescent="0.3">
      <c r="A198" s="127"/>
      <c r="B198" s="149"/>
      <c r="C198" s="7"/>
      <c r="D198" s="5"/>
      <c r="E198" s="140" t="str">
        <f t="shared" si="10"/>
        <v/>
      </c>
      <c r="F198" s="142"/>
      <c r="G198" s="145">
        <f t="shared" ref="G198:G261" si="12">D198*F198</f>
        <v>0</v>
      </c>
      <c r="H198" s="140" t="str">
        <f t="shared" si="11"/>
        <v/>
      </c>
      <c r="J198" s="148" t="str">
        <f>IFERROR(SUMIFS(当年实际!$V:$V,当年实际!$H:$H,$B198,当年实际!$C:$C,"&gt;="&amp;DATE(YEAR(主页!$D$2),1,1),当年实际!$C:$C,"&lt;="&amp;EOMONTH(DATE(YEAR(主页!$D$2),MONTH(主页!$D$2),1),0))/SUMIFS(当年实际!$P:$P,当年实际!$H:$H,$B198,当年实际!$C:$C,"&gt;="&amp;DATE(YEAR(主页!$D$2),1,1),当年实际!$C:$C,"&lt;="&amp;EOMONTH(DATE(YEAR(主页!$D$2),MONTH(主页!$D$2),1),0)),"")</f>
        <v/>
      </c>
    </row>
    <row r="199" spans="1:10" x14ac:dyDescent="0.3">
      <c r="A199" s="127"/>
      <c r="B199" s="149"/>
      <c r="C199" s="7"/>
      <c r="D199" s="5"/>
      <c r="E199" s="140" t="str">
        <f t="shared" si="10"/>
        <v/>
      </c>
      <c r="F199" s="142"/>
      <c r="G199" s="145">
        <f t="shared" si="12"/>
        <v>0</v>
      </c>
      <c r="H199" s="140" t="str">
        <f t="shared" si="11"/>
        <v/>
      </c>
      <c r="J199" s="148" t="str">
        <f>IFERROR(SUMIFS(当年实际!$V:$V,当年实际!$H:$H,$B199,当年实际!$C:$C,"&gt;="&amp;DATE(YEAR(主页!$D$2),1,1),当年实际!$C:$C,"&lt;="&amp;EOMONTH(DATE(YEAR(主页!$D$2),MONTH(主页!$D$2),1),0))/SUMIFS(当年实际!$P:$P,当年实际!$H:$H,$B199,当年实际!$C:$C,"&gt;="&amp;DATE(YEAR(主页!$D$2),1,1),当年实际!$C:$C,"&lt;="&amp;EOMONTH(DATE(YEAR(主页!$D$2),MONTH(主页!$D$2),1),0)),"")</f>
        <v/>
      </c>
    </row>
    <row r="200" spans="1:10" x14ac:dyDescent="0.3">
      <c r="A200" s="127"/>
      <c r="B200" s="149"/>
      <c r="C200" s="7"/>
      <c r="D200" s="5"/>
      <c r="E200" s="140" t="str">
        <f t="shared" si="10"/>
        <v/>
      </c>
      <c r="F200" s="142"/>
      <c r="G200" s="145">
        <f t="shared" si="12"/>
        <v>0</v>
      </c>
      <c r="H200" s="140" t="str">
        <f t="shared" si="11"/>
        <v/>
      </c>
      <c r="J200" s="148" t="str">
        <f>IFERROR(SUMIFS(当年实际!$V:$V,当年实际!$H:$H,$B200,当年实际!$C:$C,"&gt;="&amp;DATE(YEAR(主页!$D$2),1,1),当年实际!$C:$C,"&lt;="&amp;EOMONTH(DATE(YEAR(主页!$D$2),MONTH(主页!$D$2),1),0))/SUMIFS(当年实际!$P:$P,当年实际!$H:$H,$B200,当年实际!$C:$C,"&gt;="&amp;DATE(YEAR(主页!$D$2),1,1),当年实际!$C:$C,"&lt;="&amp;EOMONTH(DATE(YEAR(主页!$D$2),MONTH(主页!$D$2),1),0)),"")</f>
        <v/>
      </c>
    </row>
    <row r="201" spans="1:10" x14ac:dyDescent="0.3">
      <c r="A201" s="127"/>
      <c r="B201" s="149"/>
      <c r="C201" s="7"/>
      <c r="D201" s="5"/>
      <c r="E201" s="140" t="str">
        <f t="shared" si="10"/>
        <v/>
      </c>
      <c r="F201" s="142"/>
      <c r="G201" s="145">
        <f t="shared" si="12"/>
        <v>0</v>
      </c>
      <c r="H201" s="140" t="str">
        <f t="shared" si="11"/>
        <v/>
      </c>
      <c r="J201" s="148" t="str">
        <f>IFERROR(SUMIFS(当年实际!$V:$V,当年实际!$H:$H,$B201,当年实际!$C:$C,"&gt;="&amp;DATE(YEAR(主页!$D$2),1,1),当年实际!$C:$C,"&lt;="&amp;EOMONTH(DATE(YEAR(主页!$D$2),MONTH(主页!$D$2),1),0))/SUMIFS(当年实际!$P:$P,当年实际!$H:$H,$B201,当年实际!$C:$C,"&gt;="&amp;DATE(YEAR(主页!$D$2),1,1),当年实际!$C:$C,"&lt;="&amp;EOMONTH(DATE(YEAR(主页!$D$2),MONTH(主页!$D$2),1),0)),"")</f>
        <v/>
      </c>
    </row>
    <row r="202" spans="1:10" x14ac:dyDescent="0.3">
      <c r="A202" s="127"/>
      <c r="B202" s="149"/>
      <c r="C202" s="7"/>
      <c r="D202" s="5"/>
      <c r="E202" s="140" t="str">
        <f t="shared" si="10"/>
        <v/>
      </c>
      <c r="F202" s="142"/>
      <c r="G202" s="145">
        <f t="shared" si="12"/>
        <v>0</v>
      </c>
      <c r="H202" s="140" t="str">
        <f t="shared" si="11"/>
        <v/>
      </c>
      <c r="J202" s="148" t="str">
        <f>IFERROR(SUMIFS(当年实际!$V:$V,当年实际!$H:$H,$B202,当年实际!$C:$C,"&gt;="&amp;DATE(YEAR(主页!$D$2),1,1),当年实际!$C:$C,"&lt;="&amp;EOMONTH(DATE(YEAR(主页!$D$2),MONTH(主页!$D$2),1),0))/SUMIFS(当年实际!$P:$P,当年实际!$H:$H,$B202,当年实际!$C:$C,"&gt;="&amp;DATE(YEAR(主页!$D$2),1,1),当年实际!$C:$C,"&lt;="&amp;EOMONTH(DATE(YEAR(主页!$D$2),MONTH(主页!$D$2),1),0)),"")</f>
        <v/>
      </c>
    </row>
    <row r="203" spans="1:10" x14ac:dyDescent="0.3">
      <c r="A203" s="127"/>
      <c r="B203" s="149"/>
      <c r="C203" s="7"/>
      <c r="D203" s="5"/>
      <c r="E203" s="140" t="str">
        <f t="shared" si="10"/>
        <v/>
      </c>
      <c r="F203" s="142"/>
      <c r="G203" s="145">
        <f t="shared" si="12"/>
        <v>0</v>
      </c>
      <c r="H203" s="140" t="str">
        <f t="shared" si="11"/>
        <v/>
      </c>
      <c r="J203" s="148" t="str">
        <f>IFERROR(SUMIFS(当年实际!$V:$V,当年实际!$H:$H,$B203,当年实际!$C:$C,"&gt;="&amp;DATE(YEAR(主页!$D$2),1,1),当年实际!$C:$C,"&lt;="&amp;EOMONTH(DATE(YEAR(主页!$D$2),MONTH(主页!$D$2),1),0))/SUMIFS(当年实际!$P:$P,当年实际!$H:$H,$B203,当年实际!$C:$C,"&gt;="&amp;DATE(YEAR(主页!$D$2),1,1),当年实际!$C:$C,"&lt;="&amp;EOMONTH(DATE(YEAR(主页!$D$2),MONTH(主页!$D$2),1),0)),"")</f>
        <v/>
      </c>
    </row>
    <row r="204" spans="1:10" x14ac:dyDescent="0.3">
      <c r="A204" s="127"/>
      <c r="B204" s="149"/>
      <c r="C204" s="7"/>
      <c r="D204" s="5"/>
      <c r="E204" s="140" t="str">
        <f t="shared" si="10"/>
        <v/>
      </c>
      <c r="F204" s="142"/>
      <c r="G204" s="145">
        <f t="shared" si="12"/>
        <v>0</v>
      </c>
      <c r="H204" s="140" t="str">
        <f t="shared" si="11"/>
        <v/>
      </c>
      <c r="J204" s="148" t="str">
        <f>IFERROR(SUMIFS(当年实际!$V:$V,当年实际!$H:$H,$B204,当年实际!$C:$C,"&gt;="&amp;DATE(YEAR(主页!$D$2),1,1),当年实际!$C:$C,"&lt;="&amp;EOMONTH(DATE(YEAR(主页!$D$2),MONTH(主页!$D$2),1),0))/SUMIFS(当年实际!$P:$P,当年实际!$H:$H,$B204,当年实际!$C:$C,"&gt;="&amp;DATE(YEAR(主页!$D$2),1,1),当年实际!$C:$C,"&lt;="&amp;EOMONTH(DATE(YEAR(主页!$D$2),MONTH(主页!$D$2),1),0)),"")</f>
        <v/>
      </c>
    </row>
    <row r="205" spans="1:10" x14ac:dyDescent="0.3">
      <c r="A205" s="127"/>
      <c r="B205" s="149"/>
      <c r="C205" s="7"/>
      <c r="D205" s="5"/>
      <c r="E205" s="140" t="str">
        <f t="shared" si="10"/>
        <v/>
      </c>
      <c r="F205" s="142"/>
      <c r="G205" s="145">
        <f t="shared" si="12"/>
        <v>0</v>
      </c>
      <c r="H205" s="140" t="str">
        <f t="shared" si="11"/>
        <v/>
      </c>
      <c r="J205" s="148" t="str">
        <f>IFERROR(SUMIFS(当年实际!$V:$V,当年实际!$H:$H,$B205,当年实际!$C:$C,"&gt;="&amp;DATE(YEAR(主页!$D$2),1,1),当年实际!$C:$C,"&lt;="&amp;EOMONTH(DATE(YEAR(主页!$D$2),MONTH(主页!$D$2),1),0))/SUMIFS(当年实际!$P:$P,当年实际!$H:$H,$B205,当年实际!$C:$C,"&gt;="&amp;DATE(YEAR(主页!$D$2),1,1),当年实际!$C:$C,"&lt;="&amp;EOMONTH(DATE(YEAR(主页!$D$2),MONTH(主页!$D$2),1),0)),"")</f>
        <v/>
      </c>
    </row>
    <row r="206" spans="1:10" x14ac:dyDescent="0.3">
      <c r="A206" s="127"/>
      <c r="B206" s="149"/>
      <c r="C206" s="7"/>
      <c r="D206" s="5"/>
      <c r="E206" s="140" t="str">
        <f t="shared" si="10"/>
        <v/>
      </c>
      <c r="F206" s="142"/>
      <c r="G206" s="145">
        <f t="shared" si="12"/>
        <v>0</v>
      </c>
      <c r="H206" s="140" t="str">
        <f t="shared" si="11"/>
        <v/>
      </c>
      <c r="J206" s="148" t="str">
        <f>IFERROR(SUMIFS(当年实际!$V:$V,当年实际!$H:$H,$B206,当年实际!$C:$C,"&gt;="&amp;DATE(YEAR(主页!$D$2),1,1),当年实际!$C:$C,"&lt;="&amp;EOMONTH(DATE(YEAR(主页!$D$2),MONTH(主页!$D$2),1),0))/SUMIFS(当年实际!$P:$P,当年实际!$H:$H,$B206,当年实际!$C:$C,"&gt;="&amp;DATE(YEAR(主页!$D$2),1,1),当年实际!$C:$C,"&lt;="&amp;EOMONTH(DATE(YEAR(主页!$D$2),MONTH(主页!$D$2),1),0)),"")</f>
        <v/>
      </c>
    </row>
    <row r="207" spans="1:10" x14ac:dyDescent="0.3">
      <c r="A207" s="127"/>
      <c r="B207" s="149"/>
      <c r="C207" s="7"/>
      <c r="D207" s="5"/>
      <c r="E207" s="140" t="str">
        <f t="shared" si="10"/>
        <v/>
      </c>
      <c r="F207" s="142"/>
      <c r="G207" s="145">
        <f t="shared" si="12"/>
        <v>0</v>
      </c>
      <c r="H207" s="140" t="str">
        <f t="shared" si="11"/>
        <v/>
      </c>
      <c r="J207" s="148" t="str">
        <f>IFERROR(SUMIFS(当年实际!$V:$V,当年实际!$H:$H,$B207,当年实际!$C:$C,"&gt;="&amp;DATE(YEAR(主页!$D$2),1,1),当年实际!$C:$C,"&lt;="&amp;EOMONTH(DATE(YEAR(主页!$D$2),MONTH(主页!$D$2),1),0))/SUMIFS(当年实际!$P:$P,当年实际!$H:$H,$B207,当年实际!$C:$C,"&gt;="&amp;DATE(YEAR(主页!$D$2),1,1),当年实际!$C:$C,"&lt;="&amp;EOMONTH(DATE(YEAR(主页!$D$2),MONTH(主页!$D$2),1),0)),"")</f>
        <v/>
      </c>
    </row>
    <row r="208" spans="1:10" x14ac:dyDescent="0.3">
      <c r="A208" s="127"/>
      <c r="B208" s="149"/>
      <c r="C208" s="7"/>
      <c r="D208" s="5"/>
      <c r="E208" s="140" t="str">
        <f t="shared" si="10"/>
        <v/>
      </c>
      <c r="F208" s="142"/>
      <c r="G208" s="145">
        <f t="shared" si="12"/>
        <v>0</v>
      </c>
      <c r="H208" s="140" t="str">
        <f t="shared" si="11"/>
        <v/>
      </c>
      <c r="J208" s="148" t="str">
        <f>IFERROR(SUMIFS(当年实际!$V:$V,当年实际!$H:$H,$B208,当年实际!$C:$C,"&gt;="&amp;DATE(YEAR(主页!$D$2),1,1),当年实际!$C:$C,"&lt;="&amp;EOMONTH(DATE(YEAR(主页!$D$2),MONTH(主页!$D$2),1),0))/SUMIFS(当年实际!$P:$P,当年实际!$H:$H,$B208,当年实际!$C:$C,"&gt;="&amp;DATE(YEAR(主页!$D$2),1,1),当年实际!$C:$C,"&lt;="&amp;EOMONTH(DATE(YEAR(主页!$D$2),MONTH(主页!$D$2),1),0)),"")</f>
        <v/>
      </c>
    </row>
    <row r="209" spans="1:10" x14ac:dyDescent="0.3">
      <c r="A209" s="127"/>
      <c r="B209" s="149"/>
      <c r="C209" s="7"/>
      <c r="D209" s="5"/>
      <c r="E209" s="140" t="str">
        <f t="shared" si="10"/>
        <v/>
      </c>
      <c r="F209" s="142"/>
      <c r="G209" s="145">
        <f t="shared" si="12"/>
        <v>0</v>
      </c>
      <c r="H209" s="140" t="str">
        <f t="shared" si="11"/>
        <v/>
      </c>
      <c r="J209" s="148" t="str">
        <f>IFERROR(SUMIFS(当年实际!$V:$V,当年实际!$H:$H,$B209,当年实际!$C:$C,"&gt;="&amp;DATE(YEAR(主页!$D$2),1,1),当年实际!$C:$C,"&lt;="&amp;EOMONTH(DATE(YEAR(主页!$D$2),MONTH(主页!$D$2),1),0))/SUMIFS(当年实际!$P:$P,当年实际!$H:$H,$B209,当年实际!$C:$C,"&gt;="&amp;DATE(YEAR(主页!$D$2),1,1),当年实际!$C:$C,"&lt;="&amp;EOMONTH(DATE(YEAR(主页!$D$2),MONTH(主页!$D$2),1),0)),"")</f>
        <v/>
      </c>
    </row>
    <row r="210" spans="1:10" x14ac:dyDescent="0.3">
      <c r="A210" s="127"/>
      <c r="B210" s="149"/>
      <c r="C210" s="7"/>
      <c r="D210" s="5"/>
      <c r="E210" s="140" t="str">
        <f t="shared" si="10"/>
        <v/>
      </c>
      <c r="F210" s="142"/>
      <c r="G210" s="145">
        <f t="shared" si="12"/>
        <v>0</v>
      </c>
      <c r="H210" s="140" t="str">
        <f t="shared" si="11"/>
        <v/>
      </c>
      <c r="J210" s="148" t="str">
        <f>IFERROR(SUMIFS(当年实际!$V:$V,当年实际!$H:$H,$B210,当年实际!$C:$C,"&gt;="&amp;DATE(YEAR(主页!$D$2),1,1),当年实际!$C:$C,"&lt;="&amp;EOMONTH(DATE(YEAR(主页!$D$2),MONTH(主页!$D$2),1),0))/SUMIFS(当年实际!$P:$P,当年实际!$H:$H,$B210,当年实际!$C:$C,"&gt;="&amp;DATE(YEAR(主页!$D$2),1,1),当年实际!$C:$C,"&lt;="&amp;EOMONTH(DATE(YEAR(主页!$D$2),MONTH(主页!$D$2),1),0)),"")</f>
        <v/>
      </c>
    </row>
    <row r="211" spans="1:10" x14ac:dyDescent="0.3">
      <c r="A211" s="127"/>
      <c r="B211" s="149"/>
      <c r="C211" s="7"/>
      <c r="D211" s="5"/>
      <c r="E211" s="140" t="str">
        <f t="shared" si="10"/>
        <v/>
      </c>
      <c r="F211" s="142"/>
      <c r="G211" s="145">
        <f t="shared" si="12"/>
        <v>0</v>
      </c>
      <c r="H211" s="140" t="str">
        <f t="shared" si="11"/>
        <v/>
      </c>
      <c r="J211" s="148" t="str">
        <f>IFERROR(SUMIFS(当年实际!$V:$V,当年实际!$H:$H,$B211,当年实际!$C:$C,"&gt;="&amp;DATE(YEAR(主页!$D$2),1,1),当年实际!$C:$C,"&lt;="&amp;EOMONTH(DATE(YEAR(主页!$D$2),MONTH(主页!$D$2),1),0))/SUMIFS(当年实际!$P:$P,当年实际!$H:$H,$B211,当年实际!$C:$C,"&gt;="&amp;DATE(YEAR(主页!$D$2),1,1),当年实际!$C:$C,"&lt;="&amp;EOMONTH(DATE(YEAR(主页!$D$2),MONTH(主页!$D$2),1),0)),"")</f>
        <v/>
      </c>
    </row>
    <row r="212" spans="1:10" x14ac:dyDescent="0.3">
      <c r="A212" s="127"/>
      <c r="B212" s="149"/>
      <c r="C212" s="7"/>
      <c r="D212" s="5"/>
      <c r="E212" s="140" t="str">
        <f t="shared" si="10"/>
        <v/>
      </c>
      <c r="F212" s="142"/>
      <c r="G212" s="145">
        <f t="shared" si="12"/>
        <v>0</v>
      </c>
      <c r="H212" s="140" t="str">
        <f t="shared" si="11"/>
        <v/>
      </c>
      <c r="J212" s="148" t="str">
        <f>IFERROR(SUMIFS(当年实际!$V:$V,当年实际!$H:$H,$B212,当年实际!$C:$C,"&gt;="&amp;DATE(YEAR(主页!$D$2),1,1),当年实际!$C:$C,"&lt;="&amp;EOMONTH(DATE(YEAR(主页!$D$2),MONTH(主页!$D$2),1),0))/SUMIFS(当年实际!$P:$P,当年实际!$H:$H,$B212,当年实际!$C:$C,"&gt;="&amp;DATE(YEAR(主页!$D$2),1,1),当年实际!$C:$C,"&lt;="&amp;EOMONTH(DATE(YEAR(主页!$D$2),MONTH(主页!$D$2),1),0)),"")</f>
        <v/>
      </c>
    </row>
    <row r="213" spans="1:10" x14ac:dyDescent="0.3">
      <c r="A213" s="127"/>
      <c r="B213" s="149"/>
      <c r="C213" s="7"/>
      <c r="D213" s="5"/>
      <c r="E213" s="140" t="str">
        <f t="shared" si="10"/>
        <v/>
      </c>
      <c r="F213" s="142"/>
      <c r="G213" s="145">
        <f t="shared" si="12"/>
        <v>0</v>
      </c>
      <c r="H213" s="140" t="str">
        <f t="shared" si="11"/>
        <v/>
      </c>
      <c r="J213" s="148" t="str">
        <f>IFERROR(SUMIFS(当年实际!$V:$V,当年实际!$H:$H,$B213,当年实际!$C:$C,"&gt;="&amp;DATE(YEAR(主页!$D$2),1,1),当年实际!$C:$C,"&lt;="&amp;EOMONTH(DATE(YEAR(主页!$D$2),MONTH(主页!$D$2),1),0))/SUMIFS(当年实际!$P:$P,当年实际!$H:$H,$B213,当年实际!$C:$C,"&gt;="&amp;DATE(YEAR(主页!$D$2),1,1),当年实际!$C:$C,"&lt;="&amp;EOMONTH(DATE(YEAR(主页!$D$2),MONTH(主页!$D$2),1),0)),"")</f>
        <v/>
      </c>
    </row>
    <row r="214" spans="1:10" x14ac:dyDescent="0.3">
      <c r="A214" s="127"/>
      <c r="B214" s="149"/>
      <c r="C214" s="7"/>
      <c r="D214" s="5"/>
      <c r="E214" s="140" t="str">
        <f t="shared" si="10"/>
        <v/>
      </c>
      <c r="F214" s="142"/>
      <c r="G214" s="145">
        <f t="shared" si="12"/>
        <v>0</v>
      </c>
      <c r="H214" s="140" t="str">
        <f t="shared" si="11"/>
        <v/>
      </c>
      <c r="J214" s="148" t="str">
        <f>IFERROR(SUMIFS(当年实际!$V:$V,当年实际!$H:$H,$B214,当年实际!$C:$C,"&gt;="&amp;DATE(YEAR(主页!$D$2),1,1),当年实际!$C:$C,"&lt;="&amp;EOMONTH(DATE(YEAR(主页!$D$2),MONTH(主页!$D$2),1),0))/SUMIFS(当年实际!$P:$P,当年实际!$H:$H,$B214,当年实际!$C:$C,"&gt;="&amp;DATE(YEAR(主页!$D$2),1,1),当年实际!$C:$C,"&lt;="&amp;EOMONTH(DATE(YEAR(主页!$D$2),MONTH(主页!$D$2),1),0)),"")</f>
        <v/>
      </c>
    </row>
    <row r="215" spans="1:10" x14ac:dyDescent="0.3">
      <c r="A215" s="127"/>
      <c r="B215" s="149"/>
      <c r="C215" s="7"/>
      <c r="D215" s="5"/>
      <c r="E215" s="140" t="str">
        <f t="shared" si="10"/>
        <v/>
      </c>
      <c r="F215" s="142"/>
      <c r="G215" s="145">
        <f t="shared" si="12"/>
        <v>0</v>
      </c>
      <c r="H215" s="140" t="str">
        <f t="shared" si="11"/>
        <v/>
      </c>
      <c r="J215" s="148" t="str">
        <f>IFERROR(SUMIFS(当年实际!$V:$V,当年实际!$H:$H,$B215,当年实际!$C:$C,"&gt;="&amp;DATE(YEAR(主页!$D$2),1,1),当年实际!$C:$C,"&lt;="&amp;EOMONTH(DATE(YEAR(主页!$D$2),MONTH(主页!$D$2),1),0))/SUMIFS(当年实际!$P:$P,当年实际!$H:$H,$B215,当年实际!$C:$C,"&gt;="&amp;DATE(YEAR(主页!$D$2),1,1),当年实际!$C:$C,"&lt;="&amp;EOMONTH(DATE(YEAR(主页!$D$2),MONTH(主页!$D$2),1),0)),"")</f>
        <v/>
      </c>
    </row>
    <row r="216" spans="1:10" x14ac:dyDescent="0.3">
      <c r="A216" s="127"/>
      <c r="B216" s="149"/>
      <c r="C216" s="7"/>
      <c r="D216" s="5"/>
      <c r="E216" s="140" t="str">
        <f t="shared" si="10"/>
        <v/>
      </c>
      <c r="F216" s="142"/>
      <c r="G216" s="145">
        <f t="shared" si="12"/>
        <v>0</v>
      </c>
      <c r="H216" s="140" t="str">
        <f t="shared" si="11"/>
        <v/>
      </c>
      <c r="J216" s="148" t="str">
        <f>IFERROR(SUMIFS(当年实际!$V:$V,当年实际!$H:$H,$B216,当年实际!$C:$C,"&gt;="&amp;DATE(YEAR(主页!$D$2),1,1),当年实际!$C:$C,"&lt;="&amp;EOMONTH(DATE(YEAR(主页!$D$2),MONTH(主页!$D$2),1),0))/SUMIFS(当年实际!$P:$P,当年实际!$H:$H,$B216,当年实际!$C:$C,"&gt;="&amp;DATE(YEAR(主页!$D$2),1,1),当年实际!$C:$C,"&lt;="&amp;EOMONTH(DATE(YEAR(主页!$D$2),MONTH(主页!$D$2),1),0)),"")</f>
        <v/>
      </c>
    </row>
    <row r="217" spans="1:10" x14ac:dyDescent="0.3">
      <c r="A217" s="127"/>
      <c r="B217" s="149"/>
      <c r="C217" s="7"/>
      <c r="D217" s="5"/>
      <c r="E217" s="140" t="str">
        <f t="shared" si="10"/>
        <v/>
      </c>
      <c r="F217" s="142"/>
      <c r="G217" s="145">
        <f t="shared" si="12"/>
        <v>0</v>
      </c>
      <c r="H217" s="140" t="str">
        <f t="shared" si="11"/>
        <v/>
      </c>
      <c r="J217" s="148" t="str">
        <f>IFERROR(SUMIFS(当年实际!$V:$V,当年实际!$H:$H,$B217,当年实际!$C:$C,"&gt;="&amp;DATE(YEAR(主页!$D$2),1,1),当年实际!$C:$C,"&lt;="&amp;EOMONTH(DATE(YEAR(主页!$D$2),MONTH(主页!$D$2),1),0))/SUMIFS(当年实际!$P:$P,当年实际!$H:$H,$B217,当年实际!$C:$C,"&gt;="&amp;DATE(YEAR(主页!$D$2),1,1),当年实际!$C:$C,"&lt;="&amp;EOMONTH(DATE(YEAR(主页!$D$2),MONTH(主页!$D$2),1),0)),"")</f>
        <v/>
      </c>
    </row>
    <row r="218" spans="1:10" x14ac:dyDescent="0.3">
      <c r="A218" s="127"/>
      <c r="B218" s="149"/>
      <c r="C218" s="7"/>
      <c r="D218" s="5"/>
      <c r="E218" s="140" t="str">
        <f t="shared" si="10"/>
        <v/>
      </c>
      <c r="F218" s="142"/>
      <c r="G218" s="145">
        <f t="shared" si="12"/>
        <v>0</v>
      </c>
      <c r="H218" s="140" t="str">
        <f t="shared" si="11"/>
        <v/>
      </c>
      <c r="J218" s="148" t="str">
        <f>IFERROR(SUMIFS(当年实际!$V:$V,当年实际!$H:$H,$B218,当年实际!$C:$C,"&gt;="&amp;DATE(YEAR(主页!$D$2),1,1),当年实际!$C:$C,"&lt;="&amp;EOMONTH(DATE(YEAR(主页!$D$2),MONTH(主页!$D$2),1),0))/SUMIFS(当年实际!$P:$P,当年实际!$H:$H,$B218,当年实际!$C:$C,"&gt;="&amp;DATE(YEAR(主页!$D$2),1,1),当年实际!$C:$C,"&lt;="&amp;EOMONTH(DATE(YEAR(主页!$D$2),MONTH(主页!$D$2),1),0)),"")</f>
        <v/>
      </c>
    </row>
    <row r="219" spans="1:10" x14ac:dyDescent="0.3">
      <c r="A219" s="127"/>
      <c r="B219" s="149"/>
      <c r="C219" s="7"/>
      <c r="D219" s="5"/>
      <c r="E219" s="140" t="str">
        <f t="shared" si="10"/>
        <v/>
      </c>
      <c r="F219" s="142"/>
      <c r="G219" s="145">
        <f t="shared" si="12"/>
        <v>0</v>
      </c>
      <c r="H219" s="140" t="str">
        <f t="shared" si="11"/>
        <v/>
      </c>
      <c r="J219" s="148" t="str">
        <f>IFERROR(SUMIFS(当年实际!$V:$V,当年实际!$H:$H,$B219,当年实际!$C:$C,"&gt;="&amp;DATE(YEAR(主页!$D$2),1,1),当年实际!$C:$C,"&lt;="&amp;EOMONTH(DATE(YEAR(主页!$D$2),MONTH(主页!$D$2),1),0))/SUMIFS(当年实际!$P:$P,当年实际!$H:$H,$B219,当年实际!$C:$C,"&gt;="&amp;DATE(YEAR(主页!$D$2),1,1),当年实际!$C:$C,"&lt;="&amp;EOMONTH(DATE(YEAR(主页!$D$2),MONTH(主页!$D$2),1),0)),"")</f>
        <v/>
      </c>
    </row>
    <row r="220" spans="1:10" x14ac:dyDescent="0.3">
      <c r="A220" s="127"/>
      <c r="B220" s="149"/>
      <c r="C220" s="7"/>
      <c r="D220" s="5"/>
      <c r="E220" s="140" t="str">
        <f t="shared" si="10"/>
        <v/>
      </c>
      <c r="F220" s="142"/>
      <c r="G220" s="145">
        <f t="shared" si="12"/>
        <v>0</v>
      </c>
      <c r="H220" s="140" t="str">
        <f t="shared" si="11"/>
        <v/>
      </c>
      <c r="J220" s="148" t="str">
        <f>IFERROR(SUMIFS(当年实际!$V:$V,当年实际!$H:$H,$B220,当年实际!$C:$C,"&gt;="&amp;DATE(YEAR(主页!$D$2),1,1),当年实际!$C:$C,"&lt;="&amp;EOMONTH(DATE(YEAR(主页!$D$2),MONTH(主页!$D$2),1),0))/SUMIFS(当年实际!$P:$P,当年实际!$H:$H,$B220,当年实际!$C:$C,"&gt;="&amp;DATE(YEAR(主页!$D$2),1,1),当年实际!$C:$C,"&lt;="&amp;EOMONTH(DATE(YEAR(主页!$D$2),MONTH(主页!$D$2),1),0)),"")</f>
        <v/>
      </c>
    </row>
    <row r="221" spans="1:10" x14ac:dyDescent="0.3">
      <c r="A221" s="127"/>
      <c r="B221" s="149"/>
      <c r="C221" s="7"/>
      <c r="D221" s="5"/>
      <c r="E221" s="140" t="str">
        <f t="shared" si="10"/>
        <v/>
      </c>
      <c r="F221" s="142"/>
      <c r="G221" s="145">
        <f t="shared" si="12"/>
        <v>0</v>
      </c>
      <c r="H221" s="140" t="str">
        <f t="shared" si="11"/>
        <v/>
      </c>
      <c r="J221" s="148" t="str">
        <f>IFERROR(SUMIFS(当年实际!$V:$V,当年实际!$H:$H,$B221,当年实际!$C:$C,"&gt;="&amp;DATE(YEAR(主页!$D$2),1,1),当年实际!$C:$C,"&lt;="&amp;EOMONTH(DATE(YEAR(主页!$D$2),MONTH(主页!$D$2),1),0))/SUMIFS(当年实际!$P:$P,当年实际!$H:$H,$B221,当年实际!$C:$C,"&gt;="&amp;DATE(YEAR(主页!$D$2),1,1),当年实际!$C:$C,"&lt;="&amp;EOMONTH(DATE(YEAR(主页!$D$2),MONTH(主页!$D$2),1),0)),"")</f>
        <v/>
      </c>
    </row>
    <row r="222" spans="1:10" x14ac:dyDescent="0.3">
      <c r="A222" s="127"/>
      <c r="B222" s="149"/>
      <c r="C222" s="7"/>
      <c r="D222" s="5"/>
      <c r="E222" s="140" t="str">
        <f t="shared" si="10"/>
        <v/>
      </c>
      <c r="F222" s="142"/>
      <c r="G222" s="145">
        <f t="shared" si="12"/>
        <v>0</v>
      </c>
      <c r="H222" s="140" t="str">
        <f t="shared" si="11"/>
        <v/>
      </c>
      <c r="J222" s="148" t="str">
        <f>IFERROR(SUMIFS(当年实际!$V:$V,当年实际!$H:$H,$B222,当年实际!$C:$C,"&gt;="&amp;DATE(YEAR(主页!$D$2),1,1),当年实际!$C:$C,"&lt;="&amp;EOMONTH(DATE(YEAR(主页!$D$2),MONTH(主页!$D$2),1),0))/SUMIFS(当年实际!$P:$P,当年实际!$H:$H,$B222,当年实际!$C:$C,"&gt;="&amp;DATE(YEAR(主页!$D$2),1,1),当年实际!$C:$C,"&lt;="&amp;EOMONTH(DATE(YEAR(主页!$D$2),MONTH(主页!$D$2),1),0)),"")</f>
        <v/>
      </c>
    </row>
    <row r="223" spans="1:10" x14ac:dyDescent="0.3">
      <c r="A223" s="127"/>
      <c r="B223" s="149"/>
      <c r="C223" s="7"/>
      <c r="D223" s="5"/>
      <c r="E223" s="140" t="str">
        <f t="shared" si="10"/>
        <v/>
      </c>
      <c r="F223" s="142"/>
      <c r="G223" s="145">
        <f t="shared" si="12"/>
        <v>0</v>
      </c>
      <c r="H223" s="140" t="str">
        <f t="shared" si="11"/>
        <v/>
      </c>
      <c r="J223" s="148" t="str">
        <f>IFERROR(SUMIFS(当年实际!$V:$V,当年实际!$H:$H,$B223,当年实际!$C:$C,"&gt;="&amp;DATE(YEAR(主页!$D$2),1,1),当年实际!$C:$C,"&lt;="&amp;EOMONTH(DATE(YEAR(主页!$D$2),MONTH(主页!$D$2),1),0))/SUMIFS(当年实际!$P:$P,当年实际!$H:$H,$B223,当年实际!$C:$C,"&gt;="&amp;DATE(YEAR(主页!$D$2),1,1),当年实际!$C:$C,"&lt;="&amp;EOMONTH(DATE(YEAR(主页!$D$2),MONTH(主页!$D$2),1),0)),"")</f>
        <v/>
      </c>
    </row>
    <row r="224" spans="1:10" x14ac:dyDescent="0.3">
      <c r="A224" s="127"/>
      <c r="B224" s="149"/>
      <c r="C224" s="7"/>
      <c r="D224" s="5"/>
      <c r="E224" s="140" t="str">
        <f t="shared" si="10"/>
        <v/>
      </c>
      <c r="F224" s="142"/>
      <c r="G224" s="145">
        <f t="shared" si="12"/>
        <v>0</v>
      </c>
      <c r="H224" s="140" t="str">
        <f t="shared" si="11"/>
        <v/>
      </c>
      <c r="J224" s="148" t="str">
        <f>IFERROR(SUMIFS(当年实际!$V:$V,当年实际!$H:$H,$B224,当年实际!$C:$C,"&gt;="&amp;DATE(YEAR(主页!$D$2),1,1),当年实际!$C:$C,"&lt;="&amp;EOMONTH(DATE(YEAR(主页!$D$2),MONTH(主页!$D$2),1),0))/SUMIFS(当年实际!$P:$P,当年实际!$H:$H,$B224,当年实际!$C:$C,"&gt;="&amp;DATE(YEAR(主页!$D$2),1,1),当年实际!$C:$C,"&lt;="&amp;EOMONTH(DATE(YEAR(主页!$D$2),MONTH(主页!$D$2),1),0)),"")</f>
        <v/>
      </c>
    </row>
    <row r="225" spans="1:10" x14ac:dyDescent="0.3">
      <c r="A225" s="127"/>
      <c r="B225" s="149"/>
      <c r="C225" s="7"/>
      <c r="D225" s="5"/>
      <c r="E225" s="140" t="str">
        <f t="shared" si="10"/>
        <v/>
      </c>
      <c r="F225" s="142"/>
      <c r="G225" s="145">
        <f t="shared" si="12"/>
        <v>0</v>
      </c>
      <c r="H225" s="140" t="str">
        <f t="shared" si="11"/>
        <v/>
      </c>
      <c r="J225" s="148" t="str">
        <f>IFERROR(SUMIFS(当年实际!$V:$V,当年实际!$H:$H,$B225,当年实际!$C:$C,"&gt;="&amp;DATE(YEAR(主页!$D$2),1,1),当年实际!$C:$C,"&lt;="&amp;EOMONTH(DATE(YEAR(主页!$D$2),MONTH(主页!$D$2),1),0))/SUMIFS(当年实际!$P:$P,当年实际!$H:$H,$B225,当年实际!$C:$C,"&gt;="&amp;DATE(YEAR(主页!$D$2),1,1),当年实际!$C:$C,"&lt;="&amp;EOMONTH(DATE(YEAR(主页!$D$2),MONTH(主页!$D$2),1),0)),"")</f>
        <v/>
      </c>
    </row>
    <row r="226" spans="1:10" x14ac:dyDescent="0.3">
      <c r="A226" s="127"/>
      <c r="B226" s="149"/>
      <c r="C226" s="7"/>
      <c r="D226" s="5"/>
      <c r="E226" s="140" t="str">
        <f t="shared" si="10"/>
        <v/>
      </c>
      <c r="F226" s="142"/>
      <c r="G226" s="145">
        <f t="shared" si="12"/>
        <v>0</v>
      </c>
      <c r="H226" s="140" t="str">
        <f t="shared" si="11"/>
        <v/>
      </c>
      <c r="J226" s="148" t="str">
        <f>IFERROR(SUMIFS(当年实际!$V:$V,当年实际!$H:$H,$B226,当年实际!$C:$C,"&gt;="&amp;DATE(YEAR(主页!$D$2),1,1),当年实际!$C:$C,"&lt;="&amp;EOMONTH(DATE(YEAR(主页!$D$2),MONTH(主页!$D$2),1),0))/SUMIFS(当年实际!$P:$P,当年实际!$H:$H,$B226,当年实际!$C:$C,"&gt;="&amp;DATE(YEAR(主页!$D$2),1,1),当年实际!$C:$C,"&lt;="&amp;EOMONTH(DATE(YEAR(主页!$D$2),MONTH(主页!$D$2),1),0)),"")</f>
        <v/>
      </c>
    </row>
    <row r="227" spans="1:10" x14ac:dyDescent="0.3">
      <c r="A227" s="127"/>
      <c r="B227" s="149"/>
      <c r="C227" s="7"/>
      <c r="D227" s="5"/>
      <c r="E227" s="140" t="str">
        <f t="shared" si="10"/>
        <v/>
      </c>
      <c r="F227" s="142"/>
      <c r="G227" s="145">
        <f t="shared" si="12"/>
        <v>0</v>
      </c>
      <c r="H227" s="140" t="str">
        <f t="shared" si="11"/>
        <v/>
      </c>
      <c r="J227" s="148" t="str">
        <f>IFERROR(SUMIFS(当年实际!$V:$V,当年实际!$H:$H,$B227,当年实际!$C:$C,"&gt;="&amp;DATE(YEAR(主页!$D$2),1,1),当年实际!$C:$C,"&lt;="&amp;EOMONTH(DATE(YEAR(主页!$D$2),MONTH(主页!$D$2),1),0))/SUMIFS(当年实际!$P:$P,当年实际!$H:$H,$B227,当年实际!$C:$C,"&gt;="&amp;DATE(YEAR(主页!$D$2),1,1),当年实际!$C:$C,"&lt;="&amp;EOMONTH(DATE(YEAR(主页!$D$2),MONTH(主页!$D$2),1),0)),"")</f>
        <v/>
      </c>
    </row>
    <row r="228" spans="1:10" x14ac:dyDescent="0.3">
      <c r="A228" s="127"/>
      <c r="B228" s="149"/>
      <c r="C228" s="7"/>
      <c r="D228" s="5"/>
      <c r="E228" s="140" t="str">
        <f t="shared" si="10"/>
        <v/>
      </c>
      <c r="F228" s="142"/>
      <c r="G228" s="145">
        <f t="shared" si="12"/>
        <v>0</v>
      </c>
      <c r="H228" s="140" t="str">
        <f t="shared" si="11"/>
        <v/>
      </c>
      <c r="J228" s="148" t="str">
        <f>IFERROR(SUMIFS(当年实际!$V:$V,当年实际!$H:$H,$B228,当年实际!$C:$C,"&gt;="&amp;DATE(YEAR(主页!$D$2),1,1),当年实际!$C:$C,"&lt;="&amp;EOMONTH(DATE(YEAR(主页!$D$2),MONTH(主页!$D$2),1),0))/SUMIFS(当年实际!$P:$P,当年实际!$H:$H,$B228,当年实际!$C:$C,"&gt;="&amp;DATE(YEAR(主页!$D$2),1,1),当年实际!$C:$C,"&lt;="&amp;EOMONTH(DATE(YEAR(主页!$D$2),MONTH(主页!$D$2),1),0)),"")</f>
        <v/>
      </c>
    </row>
    <row r="229" spans="1:10" x14ac:dyDescent="0.3">
      <c r="A229" s="127"/>
      <c r="B229" s="149"/>
      <c r="C229" s="7"/>
      <c r="D229" s="5"/>
      <c r="E229" s="140" t="str">
        <f t="shared" si="10"/>
        <v/>
      </c>
      <c r="F229" s="142"/>
      <c r="G229" s="145">
        <f t="shared" si="12"/>
        <v>0</v>
      </c>
      <c r="H229" s="140" t="str">
        <f t="shared" si="11"/>
        <v/>
      </c>
      <c r="J229" s="148" t="str">
        <f>IFERROR(SUMIFS(当年实际!$V:$V,当年实际!$H:$H,$B229,当年实际!$C:$C,"&gt;="&amp;DATE(YEAR(主页!$D$2),1,1),当年实际!$C:$C,"&lt;="&amp;EOMONTH(DATE(YEAR(主页!$D$2),MONTH(主页!$D$2),1),0))/SUMIFS(当年实际!$P:$P,当年实际!$H:$H,$B229,当年实际!$C:$C,"&gt;="&amp;DATE(YEAR(主页!$D$2),1,1),当年实际!$C:$C,"&lt;="&amp;EOMONTH(DATE(YEAR(主页!$D$2),MONTH(主页!$D$2),1),0)),"")</f>
        <v/>
      </c>
    </row>
    <row r="230" spans="1:10" x14ac:dyDescent="0.3">
      <c r="A230" s="127"/>
      <c r="B230" s="149"/>
      <c r="C230" s="7"/>
      <c r="D230" s="5"/>
      <c r="E230" s="140" t="str">
        <f t="shared" si="10"/>
        <v/>
      </c>
      <c r="F230" s="142"/>
      <c r="G230" s="145">
        <f t="shared" si="12"/>
        <v>0</v>
      </c>
      <c r="H230" s="140" t="str">
        <f t="shared" si="11"/>
        <v/>
      </c>
      <c r="J230" s="148" t="str">
        <f>IFERROR(SUMIFS(当年实际!$V:$V,当年实际!$H:$H,$B230,当年实际!$C:$C,"&gt;="&amp;DATE(YEAR(主页!$D$2),1,1),当年实际!$C:$C,"&lt;="&amp;EOMONTH(DATE(YEAR(主页!$D$2),MONTH(主页!$D$2),1),0))/SUMIFS(当年实际!$P:$P,当年实际!$H:$H,$B230,当年实际!$C:$C,"&gt;="&amp;DATE(YEAR(主页!$D$2),1,1),当年实际!$C:$C,"&lt;="&amp;EOMONTH(DATE(YEAR(主页!$D$2),MONTH(主页!$D$2),1),0)),"")</f>
        <v/>
      </c>
    </row>
    <row r="231" spans="1:10" x14ac:dyDescent="0.3">
      <c r="A231" s="127"/>
      <c r="B231" s="149"/>
      <c r="C231" s="7"/>
      <c r="D231" s="5"/>
      <c r="E231" s="140" t="str">
        <f t="shared" si="10"/>
        <v/>
      </c>
      <c r="F231" s="142"/>
      <c r="G231" s="145">
        <f t="shared" si="12"/>
        <v>0</v>
      </c>
      <c r="H231" s="140" t="str">
        <f t="shared" si="11"/>
        <v/>
      </c>
      <c r="J231" s="148" t="str">
        <f>IFERROR(SUMIFS(当年实际!$V:$V,当年实际!$H:$H,$B231,当年实际!$C:$C,"&gt;="&amp;DATE(YEAR(主页!$D$2),1,1),当年实际!$C:$C,"&lt;="&amp;EOMONTH(DATE(YEAR(主页!$D$2),MONTH(主页!$D$2),1),0))/SUMIFS(当年实际!$P:$P,当年实际!$H:$H,$B231,当年实际!$C:$C,"&gt;="&amp;DATE(YEAR(主页!$D$2),1,1),当年实际!$C:$C,"&lt;="&amp;EOMONTH(DATE(YEAR(主页!$D$2),MONTH(主页!$D$2),1),0)),"")</f>
        <v/>
      </c>
    </row>
    <row r="232" spans="1:10" x14ac:dyDescent="0.3">
      <c r="A232" s="127"/>
      <c r="B232" s="149"/>
      <c r="C232" s="7"/>
      <c r="D232" s="5"/>
      <c r="E232" s="140" t="str">
        <f t="shared" si="10"/>
        <v/>
      </c>
      <c r="F232" s="142"/>
      <c r="G232" s="145">
        <f t="shared" si="12"/>
        <v>0</v>
      </c>
      <c r="H232" s="140" t="str">
        <f t="shared" si="11"/>
        <v/>
      </c>
      <c r="J232" s="148" t="str">
        <f>IFERROR(SUMIFS(当年实际!$V:$V,当年实际!$H:$H,$B232,当年实际!$C:$C,"&gt;="&amp;DATE(YEAR(主页!$D$2),1,1),当年实际!$C:$C,"&lt;="&amp;EOMONTH(DATE(YEAR(主页!$D$2),MONTH(主页!$D$2),1),0))/SUMIFS(当年实际!$P:$P,当年实际!$H:$H,$B232,当年实际!$C:$C,"&gt;="&amp;DATE(YEAR(主页!$D$2),1,1),当年实际!$C:$C,"&lt;="&amp;EOMONTH(DATE(YEAR(主页!$D$2),MONTH(主页!$D$2),1),0)),"")</f>
        <v/>
      </c>
    </row>
    <row r="233" spans="1:10" x14ac:dyDescent="0.3">
      <c r="A233" s="127"/>
      <c r="B233" s="149"/>
      <c r="C233" s="7"/>
      <c r="D233" s="5"/>
      <c r="E233" s="140" t="str">
        <f t="shared" si="10"/>
        <v/>
      </c>
      <c r="F233" s="142"/>
      <c r="G233" s="145">
        <f t="shared" si="12"/>
        <v>0</v>
      </c>
      <c r="H233" s="140" t="str">
        <f t="shared" si="11"/>
        <v/>
      </c>
      <c r="J233" s="148" t="str">
        <f>IFERROR(SUMIFS(当年实际!$V:$V,当年实际!$H:$H,$B233,当年实际!$C:$C,"&gt;="&amp;DATE(YEAR(主页!$D$2),1,1),当年实际!$C:$C,"&lt;="&amp;EOMONTH(DATE(YEAR(主页!$D$2),MONTH(主页!$D$2),1),0))/SUMIFS(当年实际!$P:$P,当年实际!$H:$H,$B233,当年实际!$C:$C,"&gt;="&amp;DATE(YEAR(主页!$D$2),1,1),当年实际!$C:$C,"&lt;="&amp;EOMONTH(DATE(YEAR(主页!$D$2),MONTH(主页!$D$2),1),0)),"")</f>
        <v/>
      </c>
    </row>
    <row r="234" spans="1:10" x14ac:dyDescent="0.3">
      <c r="A234" s="127"/>
      <c r="B234" s="149"/>
      <c r="C234" s="7"/>
      <c r="D234" s="5"/>
      <c r="E234" s="140" t="str">
        <f t="shared" si="10"/>
        <v/>
      </c>
      <c r="F234" s="142"/>
      <c r="G234" s="145">
        <f t="shared" si="12"/>
        <v>0</v>
      </c>
      <c r="H234" s="140" t="str">
        <f t="shared" si="11"/>
        <v/>
      </c>
      <c r="J234" s="148" t="str">
        <f>IFERROR(SUMIFS(当年实际!$V:$V,当年实际!$H:$H,$B234,当年实际!$C:$C,"&gt;="&amp;DATE(YEAR(主页!$D$2),1,1),当年实际!$C:$C,"&lt;="&amp;EOMONTH(DATE(YEAR(主页!$D$2),MONTH(主页!$D$2),1),0))/SUMIFS(当年实际!$P:$P,当年实际!$H:$H,$B234,当年实际!$C:$C,"&gt;="&amp;DATE(YEAR(主页!$D$2),1,1),当年实际!$C:$C,"&lt;="&amp;EOMONTH(DATE(YEAR(主页!$D$2),MONTH(主页!$D$2),1),0)),"")</f>
        <v/>
      </c>
    </row>
    <row r="235" spans="1:10" x14ac:dyDescent="0.3">
      <c r="A235" s="127"/>
      <c r="B235" s="149"/>
      <c r="C235" s="7"/>
      <c r="D235" s="5"/>
      <c r="E235" s="140" t="str">
        <f t="shared" si="10"/>
        <v/>
      </c>
      <c r="F235" s="142"/>
      <c r="G235" s="145">
        <f t="shared" si="12"/>
        <v>0</v>
      </c>
      <c r="H235" s="140" t="str">
        <f t="shared" si="11"/>
        <v/>
      </c>
      <c r="J235" s="148" t="str">
        <f>IFERROR(SUMIFS(当年实际!$V:$V,当年实际!$H:$H,$B235,当年实际!$C:$C,"&gt;="&amp;DATE(YEAR(主页!$D$2),1,1),当年实际!$C:$C,"&lt;="&amp;EOMONTH(DATE(YEAR(主页!$D$2),MONTH(主页!$D$2),1),0))/SUMIFS(当年实际!$P:$P,当年实际!$H:$H,$B235,当年实际!$C:$C,"&gt;="&amp;DATE(YEAR(主页!$D$2),1,1),当年实际!$C:$C,"&lt;="&amp;EOMONTH(DATE(YEAR(主页!$D$2),MONTH(主页!$D$2),1),0)),"")</f>
        <v/>
      </c>
    </row>
    <row r="236" spans="1:10" x14ac:dyDescent="0.3">
      <c r="A236" s="127"/>
      <c r="B236" s="149"/>
      <c r="C236" s="7"/>
      <c r="D236" s="5"/>
      <c r="E236" s="140" t="str">
        <f t="shared" si="10"/>
        <v/>
      </c>
      <c r="F236" s="142"/>
      <c r="G236" s="145">
        <f t="shared" si="12"/>
        <v>0</v>
      </c>
      <c r="H236" s="140" t="str">
        <f t="shared" si="11"/>
        <v/>
      </c>
      <c r="J236" s="148" t="str">
        <f>IFERROR(SUMIFS(当年实际!$V:$V,当年实际!$H:$H,$B236,当年实际!$C:$C,"&gt;="&amp;DATE(YEAR(主页!$D$2),1,1),当年实际!$C:$C,"&lt;="&amp;EOMONTH(DATE(YEAR(主页!$D$2),MONTH(主页!$D$2),1),0))/SUMIFS(当年实际!$P:$P,当年实际!$H:$H,$B236,当年实际!$C:$C,"&gt;="&amp;DATE(YEAR(主页!$D$2),1,1),当年实际!$C:$C,"&lt;="&amp;EOMONTH(DATE(YEAR(主页!$D$2),MONTH(主页!$D$2),1),0)),"")</f>
        <v/>
      </c>
    </row>
    <row r="237" spans="1:10" x14ac:dyDescent="0.3">
      <c r="A237" s="127"/>
      <c r="B237" s="149"/>
      <c r="C237" s="7"/>
      <c r="D237" s="5"/>
      <c r="E237" s="140" t="str">
        <f t="shared" si="10"/>
        <v/>
      </c>
      <c r="F237" s="142"/>
      <c r="G237" s="145">
        <f t="shared" si="12"/>
        <v>0</v>
      </c>
      <c r="H237" s="140" t="str">
        <f t="shared" si="11"/>
        <v/>
      </c>
      <c r="J237" s="148" t="str">
        <f>IFERROR(SUMIFS(当年实际!$V:$V,当年实际!$H:$H,$B237,当年实际!$C:$C,"&gt;="&amp;DATE(YEAR(主页!$D$2),1,1),当年实际!$C:$C,"&lt;="&amp;EOMONTH(DATE(YEAR(主页!$D$2),MONTH(主页!$D$2),1),0))/SUMIFS(当年实际!$P:$P,当年实际!$H:$H,$B237,当年实际!$C:$C,"&gt;="&amp;DATE(YEAR(主页!$D$2),1,1),当年实际!$C:$C,"&lt;="&amp;EOMONTH(DATE(YEAR(主页!$D$2),MONTH(主页!$D$2),1),0)),"")</f>
        <v/>
      </c>
    </row>
    <row r="238" spans="1:10" x14ac:dyDescent="0.3">
      <c r="A238" s="127"/>
      <c r="B238" s="149"/>
      <c r="C238" s="7"/>
      <c r="D238" s="5"/>
      <c r="E238" s="140" t="str">
        <f t="shared" si="10"/>
        <v/>
      </c>
      <c r="F238" s="142"/>
      <c r="G238" s="145">
        <f t="shared" si="12"/>
        <v>0</v>
      </c>
      <c r="H238" s="140" t="str">
        <f t="shared" si="11"/>
        <v/>
      </c>
      <c r="J238" s="148" t="str">
        <f>IFERROR(SUMIFS(当年实际!$V:$V,当年实际!$H:$H,$B238,当年实际!$C:$C,"&gt;="&amp;DATE(YEAR(主页!$D$2),1,1),当年实际!$C:$C,"&lt;="&amp;EOMONTH(DATE(YEAR(主页!$D$2),MONTH(主页!$D$2),1),0))/SUMIFS(当年实际!$P:$P,当年实际!$H:$H,$B238,当年实际!$C:$C,"&gt;="&amp;DATE(YEAR(主页!$D$2),1,1),当年实际!$C:$C,"&lt;="&amp;EOMONTH(DATE(YEAR(主页!$D$2),MONTH(主页!$D$2),1),0)),"")</f>
        <v/>
      </c>
    </row>
    <row r="239" spans="1:10" x14ac:dyDescent="0.3">
      <c r="A239" s="127"/>
      <c r="B239" s="149"/>
      <c r="C239" s="7"/>
      <c r="D239" s="5"/>
      <c r="E239" s="140" t="str">
        <f t="shared" si="10"/>
        <v/>
      </c>
      <c r="F239" s="142"/>
      <c r="G239" s="145">
        <f t="shared" si="12"/>
        <v>0</v>
      </c>
      <c r="H239" s="140" t="str">
        <f t="shared" si="11"/>
        <v/>
      </c>
      <c r="J239" s="148" t="str">
        <f>IFERROR(SUMIFS(当年实际!$V:$V,当年实际!$H:$H,$B239,当年实际!$C:$C,"&gt;="&amp;DATE(YEAR(主页!$D$2),1,1),当年实际!$C:$C,"&lt;="&amp;EOMONTH(DATE(YEAR(主页!$D$2),MONTH(主页!$D$2),1),0))/SUMIFS(当年实际!$P:$P,当年实际!$H:$H,$B239,当年实际!$C:$C,"&gt;="&amp;DATE(YEAR(主页!$D$2),1,1),当年实际!$C:$C,"&lt;="&amp;EOMONTH(DATE(YEAR(主页!$D$2),MONTH(主页!$D$2),1),0)),"")</f>
        <v/>
      </c>
    </row>
    <row r="240" spans="1:10" x14ac:dyDescent="0.3">
      <c r="A240" s="127"/>
      <c r="B240" s="149"/>
      <c r="C240" s="7"/>
      <c r="D240" s="5"/>
      <c r="E240" s="140" t="str">
        <f t="shared" si="10"/>
        <v/>
      </c>
      <c r="F240" s="142"/>
      <c r="G240" s="145">
        <f t="shared" si="12"/>
        <v>0</v>
      </c>
      <c r="H240" s="140" t="str">
        <f t="shared" si="11"/>
        <v/>
      </c>
      <c r="J240" s="148" t="str">
        <f>IFERROR(SUMIFS(当年实际!$V:$V,当年实际!$H:$H,$B240,当年实际!$C:$C,"&gt;="&amp;DATE(YEAR(主页!$D$2),1,1),当年实际!$C:$C,"&lt;="&amp;EOMONTH(DATE(YEAR(主页!$D$2),MONTH(主页!$D$2),1),0))/SUMIFS(当年实际!$P:$P,当年实际!$H:$H,$B240,当年实际!$C:$C,"&gt;="&amp;DATE(YEAR(主页!$D$2),1,1),当年实际!$C:$C,"&lt;="&amp;EOMONTH(DATE(YEAR(主页!$D$2),MONTH(主页!$D$2),1),0)),"")</f>
        <v/>
      </c>
    </row>
    <row r="241" spans="1:10" x14ac:dyDescent="0.3">
      <c r="A241" s="127"/>
      <c r="B241" s="149"/>
      <c r="C241" s="7"/>
      <c r="D241" s="5"/>
      <c r="E241" s="140" t="str">
        <f t="shared" si="10"/>
        <v/>
      </c>
      <c r="F241" s="142"/>
      <c r="G241" s="145">
        <f t="shared" si="12"/>
        <v>0</v>
      </c>
      <c r="H241" s="140" t="str">
        <f t="shared" si="11"/>
        <v/>
      </c>
      <c r="J241" s="148" t="str">
        <f>IFERROR(SUMIFS(当年实际!$V:$V,当年实际!$H:$H,$B241,当年实际!$C:$C,"&gt;="&amp;DATE(YEAR(主页!$D$2),1,1),当年实际!$C:$C,"&lt;="&amp;EOMONTH(DATE(YEAR(主页!$D$2),MONTH(主页!$D$2),1),0))/SUMIFS(当年实际!$P:$P,当年实际!$H:$H,$B241,当年实际!$C:$C,"&gt;="&amp;DATE(YEAR(主页!$D$2),1,1),当年实际!$C:$C,"&lt;="&amp;EOMONTH(DATE(YEAR(主页!$D$2),MONTH(主页!$D$2),1),0)),"")</f>
        <v/>
      </c>
    </row>
    <row r="242" spans="1:10" x14ac:dyDescent="0.3">
      <c r="A242" s="127"/>
      <c r="B242" s="149"/>
      <c r="C242" s="7"/>
      <c r="D242" s="5"/>
      <c r="E242" s="140" t="str">
        <f t="shared" si="10"/>
        <v/>
      </c>
      <c r="F242" s="142"/>
      <c r="G242" s="145">
        <f t="shared" si="12"/>
        <v>0</v>
      </c>
      <c r="H242" s="140" t="str">
        <f t="shared" si="11"/>
        <v/>
      </c>
      <c r="J242" s="148" t="str">
        <f>IFERROR(SUMIFS(当年实际!$V:$V,当年实际!$H:$H,$B242,当年实际!$C:$C,"&gt;="&amp;DATE(YEAR(主页!$D$2),1,1),当年实际!$C:$C,"&lt;="&amp;EOMONTH(DATE(YEAR(主页!$D$2),MONTH(主页!$D$2),1),0))/SUMIFS(当年实际!$P:$P,当年实际!$H:$H,$B242,当年实际!$C:$C,"&gt;="&amp;DATE(YEAR(主页!$D$2),1,1),当年实际!$C:$C,"&lt;="&amp;EOMONTH(DATE(YEAR(主页!$D$2),MONTH(主页!$D$2),1),0)),"")</f>
        <v/>
      </c>
    </row>
    <row r="243" spans="1:10" x14ac:dyDescent="0.3">
      <c r="A243" s="127"/>
      <c r="B243" s="149"/>
      <c r="C243" s="7"/>
      <c r="D243" s="5"/>
      <c r="E243" s="140" t="str">
        <f t="shared" si="10"/>
        <v/>
      </c>
      <c r="F243" s="142"/>
      <c r="G243" s="145">
        <f t="shared" si="12"/>
        <v>0</v>
      </c>
      <c r="H243" s="140" t="str">
        <f t="shared" si="11"/>
        <v/>
      </c>
      <c r="J243" s="148" t="str">
        <f>IFERROR(SUMIFS(当年实际!$V:$V,当年实际!$H:$H,$B243,当年实际!$C:$C,"&gt;="&amp;DATE(YEAR(主页!$D$2),1,1),当年实际!$C:$C,"&lt;="&amp;EOMONTH(DATE(YEAR(主页!$D$2),MONTH(主页!$D$2),1),0))/SUMIFS(当年实际!$P:$P,当年实际!$H:$H,$B243,当年实际!$C:$C,"&gt;="&amp;DATE(YEAR(主页!$D$2),1,1),当年实际!$C:$C,"&lt;="&amp;EOMONTH(DATE(YEAR(主页!$D$2),MONTH(主页!$D$2),1),0)),"")</f>
        <v/>
      </c>
    </row>
    <row r="244" spans="1:10" x14ac:dyDescent="0.3">
      <c r="A244" s="127"/>
      <c r="B244" s="149"/>
      <c r="C244" s="7"/>
      <c r="D244" s="5"/>
      <c r="E244" s="140" t="str">
        <f t="shared" si="10"/>
        <v/>
      </c>
      <c r="F244" s="142"/>
      <c r="G244" s="145">
        <f t="shared" si="12"/>
        <v>0</v>
      </c>
      <c r="H244" s="140" t="str">
        <f t="shared" si="11"/>
        <v/>
      </c>
      <c r="J244" s="148" t="str">
        <f>IFERROR(SUMIFS(当年实际!$V:$V,当年实际!$H:$H,$B244,当年实际!$C:$C,"&gt;="&amp;DATE(YEAR(主页!$D$2),1,1),当年实际!$C:$C,"&lt;="&amp;EOMONTH(DATE(YEAR(主页!$D$2),MONTH(主页!$D$2),1),0))/SUMIFS(当年实际!$P:$P,当年实际!$H:$H,$B244,当年实际!$C:$C,"&gt;="&amp;DATE(YEAR(主页!$D$2),1,1),当年实际!$C:$C,"&lt;="&amp;EOMONTH(DATE(YEAR(主页!$D$2),MONTH(主页!$D$2),1),0)),"")</f>
        <v/>
      </c>
    </row>
    <row r="245" spans="1:10" x14ac:dyDescent="0.3">
      <c r="A245" s="127"/>
      <c r="B245" s="149"/>
      <c r="C245" s="7"/>
      <c r="D245" s="5"/>
      <c r="E245" s="140" t="str">
        <f t="shared" si="10"/>
        <v/>
      </c>
      <c r="F245" s="142"/>
      <c r="G245" s="145">
        <f t="shared" si="12"/>
        <v>0</v>
      </c>
      <c r="H245" s="140" t="str">
        <f t="shared" si="11"/>
        <v/>
      </c>
      <c r="J245" s="148" t="str">
        <f>IFERROR(SUMIFS(当年实际!$V:$V,当年实际!$H:$H,$B245,当年实际!$C:$C,"&gt;="&amp;DATE(YEAR(主页!$D$2),1,1),当年实际!$C:$C,"&lt;="&amp;EOMONTH(DATE(YEAR(主页!$D$2),MONTH(主页!$D$2),1),0))/SUMIFS(当年实际!$P:$P,当年实际!$H:$H,$B245,当年实际!$C:$C,"&gt;="&amp;DATE(YEAR(主页!$D$2),1,1),当年实际!$C:$C,"&lt;="&amp;EOMONTH(DATE(YEAR(主页!$D$2),MONTH(主页!$D$2),1),0)),"")</f>
        <v/>
      </c>
    </row>
    <row r="246" spans="1:10" x14ac:dyDescent="0.3">
      <c r="A246" s="127"/>
      <c r="B246" s="149"/>
      <c r="C246" s="7"/>
      <c r="D246" s="5"/>
      <c r="E246" s="140" t="str">
        <f t="shared" si="10"/>
        <v/>
      </c>
      <c r="F246" s="142"/>
      <c r="G246" s="145">
        <f t="shared" si="12"/>
        <v>0</v>
      </c>
      <c r="H246" s="140" t="str">
        <f t="shared" si="11"/>
        <v/>
      </c>
      <c r="J246" s="148" t="str">
        <f>IFERROR(SUMIFS(当年实际!$V:$V,当年实际!$H:$H,$B246,当年实际!$C:$C,"&gt;="&amp;DATE(YEAR(主页!$D$2),1,1),当年实际!$C:$C,"&lt;="&amp;EOMONTH(DATE(YEAR(主页!$D$2),MONTH(主页!$D$2),1),0))/SUMIFS(当年实际!$P:$P,当年实际!$H:$H,$B246,当年实际!$C:$C,"&gt;="&amp;DATE(YEAR(主页!$D$2),1,1),当年实际!$C:$C,"&lt;="&amp;EOMONTH(DATE(YEAR(主页!$D$2),MONTH(主页!$D$2),1),0)),"")</f>
        <v/>
      </c>
    </row>
    <row r="247" spans="1:10" x14ac:dyDescent="0.3">
      <c r="A247" s="127"/>
      <c r="B247" s="149"/>
      <c r="C247" s="7"/>
      <c r="D247" s="5"/>
      <c r="E247" s="140" t="str">
        <f t="shared" si="10"/>
        <v/>
      </c>
      <c r="F247" s="142"/>
      <c r="G247" s="145">
        <f t="shared" si="12"/>
        <v>0</v>
      </c>
      <c r="H247" s="140" t="str">
        <f t="shared" si="11"/>
        <v/>
      </c>
      <c r="J247" s="148" t="str">
        <f>IFERROR(SUMIFS(当年实际!$V:$V,当年实际!$H:$H,$B247,当年实际!$C:$C,"&gt;="&amp;DATE(YEAR(主页!$D$2),1,1),当年实际!$C:$C,"&lt;="&amp;EOMONTH(DATE(YEAR(主页!$D$2),MONTH(主页!$D$2),1),0))/SUMIFS(当年实际!$P:$P,当年实际!$H:$H,$B247,当年实际!$C:$C,"&gt;="&amp;DATE(YEAR(主页!$D$2),1,1),当年实际!$C:$C,"&lt;="&amp;EOMONTH(DATE(YEAR(主页!$D$2),MONTH(主页!$D$2),1),0)),"")</f>
        <v/>
      </c>
    </row>
    <row r="248" spans="1:10" x14ac:dyDescent="0.3">
      <c r="A248" s="127"/>
      <c r="B248" s="149"/>
      <c r="C248" s="7"/>
      <c r="D248" s="5"/>
      <c r="E248" s="140" t="str">
        <f t="shared" si="10"/>
        <v/>
      </c>
      <c r="F248" s="142"/>
      <c r="G248" s="145">
        <f t="shared" si="12"/>
        <v>0</v>
      </c>
      <c r="H248" s="140" t="str">
        <f t="shared" si="11"/>
        <v/>
      </c>
      <c r="J248" s="148" t="str">
        <f>IFERROR(SUMIFS(当年实际!$V:$V,当年实际!$H:$H,$B248,当年实际!$C:$C,"&gt;="&amp;DATE(YEAR(主页!$D$2),1,1),当年实际!$C:$C,"&lt;="&amp;EOMONTH(DATE(YEAR(主页!$D$2),MONTH(主页!$D$2),1),0))/SUMIFS(当年实际!$P:$P,当年实际!$H:$H,$B248,当年实际!$C:$C,"&gt;="&amp;DATE(YEAR(主页!$D$2),1,1),当年实际!$C:$C,"&lt;="&amp;EOMONTH(DATE(YEAR(主页!$D$2),MONTH(主页!$D$2),1),0)),"")</f>
        <v/>
      </c>
    </row>
    <row r="249" spans="1:10" x14ac:dyDescent="0.3">
      <c r="A249" s="127"/>
      <c r="B249" s="149"/>
      <c r="C249" s="7"/>
      <c r="D249" s="5"/>
      <c r="E249" s="140" t="str">
        <f t="shared" si="10"/>
        <v/>
      </c>
      <c r="F249" s="142"/>
      <c r="G249" s="145">
        <f t="shared" si="12"/>
        <v>0</v>
      </c>
      <c r="H249" s="140" t="str">
        <f t="shared" si="11"/>
        <v/>
      </c>
      <c r="J249" s="148" t="str">
        <f>IFERROR(SUMIFS(当年实际!$V:$V,当年实际!$H:$H,$B249,当年实际!$C:$C,"&gt;="&amp;DATE(YEAR(主页!$D$2),1,1),当年实际!$C:$C,"&lt;="&amp;EOMONTH(DATE(YEAR(主页!$D$2),MONTH(主页!$D$2),1),0))/SUMIFS(当年实际!$P:$P,当年实际!$H:$H,$B249,当年实际!$C:$C,"&gt;="&amp;DATE(YEAR(主页!$D$2),1,1),当年实际!$C:$C,"&lt;="&amp;EOMONTH(DATE(YEAR(主页!$D$2),MONTH(主页!$D$2),1),0)),"")</f>
        <v/>
      </c>
    </row>
    <row r="250" spans="1:10" x14ac:dyDescent="0.3">
      <c r="A250" s="127"/>
      <c r="B250" s="149"/>
      <c r="C250" s="7"/>
      <c r="D250" s="5"/>
      <c r="E250" s="140" t="str">
        <f t="shared" si="10"/>
        <v/>
      </c>
      <c r="F250" s="142"/>
      <c r="G250" s="145">
        <f t="shared" si="12"/>
        <v>0</v>
      </c>
      <c r="H250" s="140" t="str">
        <f t="shared" si="11"/>
        <v/>
      </c>
      <c r="J250" s="148" t="str">
        <f>IFERROR(SUMIFS(当年实际!$V:$V,当年实际!$H:$H,$B250,当年实际!$C:$C,"&gt;="&amp;DATE(YEAR(主页!$D$2),1,1),当年实际!$C:$C,"&lt;="&amp;EOMONTH(DATE(YEAR(主页!$D$2),MONTH(主页!$D$2),1),0))/SUMIFS(当年实际!$P:$P,当年实际!$H:$H,$B250,当年实际!$C:$C,"&gt;="&amp;DATE(YEAR(主页!$D$2),1,1),当年实际!$C:$C,"&lt;="&amp;EOMONTH(DATE(YEAR(主页!$D$2),MONTH(主页!$D$2),1),0)),"")</f>
        <v/>
      </c>
    </row>
    <row r="251" spans="1:10" x14ac:dyDescent="0.3">
      <c r="A251" s="127"/>
      <c r="B251" s="149"/>
      <c r="C251" s="7"/>
      <c r="D251" s="5"/>
      <c r="E251" s="140" t="str">
        <f t="shared" si="10"/>
        <v/>
      </c>
      <c r="F251" s="142"/>
      <c r="G251" s="145">
        <f t="shared" si="12"/>
        <v>0</v>
      </c>
      <c r="H251" s="140" t="str">
        <f t="shared" si="11"/>
        <v/>
      </c>
      <c r="J251" s="148" t="str">
        <f>IFERROR(SUMIFS(当年实际!$V:$V,当年实际!$H:$H,$B251,当年实际!$C:$C,"&gt;="&amp;DATE(YEAR(主页!$D$2),1,1),当年实际!$C:$C,"&lt;="&amp;EOMONTH(DATE(YEAR(主页!$D$2),MONTH(主页!$D$2),1),0))/SUMIFS(当年实际!$P:$P,当年实际!$H:$H,$B251,当年实际!$C:$C,"&gt;="&amp;DATE(YEAR(主页!$D$2),1,1),当年实际!$C:$C,"&lt;="&amp;EOMONTH(DATE(YEAR(主页!$D$2),MONTH(主页!$D$2),1),0)),"")</f>
        <v/>
      </c>
    </row>
    <row r="252" spans="1:10" x14ac:dyDescent="0.3">
      <c r="A252" s="127"/>
      <c r="B252" s="149"/>
      <c r="C252" s="7"/>
      <c r="D252" s="5"/>
      <c r="E252" s="140" t="str">
        <f t="shared" si="10"/>
        <v/>
      </c>
      <c r="F252" s="142"/>
      <c r="G252" s="145">
        <f t="shared" si="12"/>
        <v>0</v>
      </c>
      <c r="H252" s="140" t="str">
        <f t="shared" si="11"/>
        <v/>
      </c>
      <c r="J252" s="148" t="str">
        <f>IFERROR(SUMIFS(当年实际!$V:$V,当年实际!$H:$H,$B252,当年实际!$C:$C,"&gt;="&amp;DATE(YEAR(主页!$D$2),1,1),当年实际!$C:$C,"&lt;="&amp;EOMONTH(DATE(YEAR(主页!$D$2),MONTH(主页!$D$2),1),0))/SUMIFS(当年实际!$P:$P,当年实际!$H:$H,$B252,当年实际!$C:$C,"&gt;="&amp;DATE(YEAR(主页!$D$2),1,1),当年实际!$C:$C,"&lt;="&amp;EOMONTH(DATE(YEAR(主页!$D$2),MONTH(主页!$D$2),1),0)),"")</f>
        <v/>
      </c>
    </row>
    <row r="253" spans="1:10" x14ac:dyDescent="0.3">
      <c r="A253" s="127"/>
      <c r="B253" s="149"/>
      <c r="C253" s="7"/>
      <c r="D253" s="5"/>
      <c r="E253" s="140" t="str">
        <f t="shared" si="10"/>
        <v/>
      </c>
      <c r="F253" s="142"/>
      <c r="G253" s="145">
        <f t="shared" si="12"/>
        <v>0</v>
      </c>
      <c r="H253" s="140" t="str">
        <f t="shared" si="11"/>
        <v/>
      </c>
      <c r="J253" s="148" t="str">
        <f>IFERROR(SUMIFS(当年实际!$V:$V,当年实际!$H:$H,$B253,当年实际!$C:$C,"&gt;="&amp;DATE(YEAR(主页!$D$2),1,1),当年实际!$C:$C,"&lt;="&amp;EOMONTH(DATE(YEAR(主页!$D$2),MONTH(主页!$D$2),1),0))/SUMIFS(当年实际!$P:$P,当年实际!$H:$H,$B253,当年实际!$C:$C,"&gt;="&amp;DATE(YEAR(主页!$D$2),1,1),当年实际!$C:$C,"&lt;="&amp;EOMONTH(DATE(YEAR(主页!$D$2),MONTH(主页!$D$2),1),0)),"")</f>
        <v/>
      </c>
    </row>
    <row r="254" spans="1:10" x14ac:dyDescent="0.3">
      <c r="A254" s="127"/>
      <c r="B254" s="149"/>
      <c r="C254" s="7"/>
      <c r="D254" s="5"/>
      <c r="E254" s="140" t="str">
        <f t="shared" si="10"/>
        <v/>
      </c>
      <c r="F254" s="142"/>
      <c r="G254" s="145">
        <f t="shared" si="12"/>
        <v>0</v>
      </c>
      <c r="H254" s="140" t="str">
        <f t="shared" si="11"/>
        <v/>
      </c>
      <c r="J254" s="148" t="str">
        <f>IFERROR(SUMIFS(当年实际!$V:$V,当年实际!$H:$H,$B254,当年实际!$C:$C,"&gt;="&amp;DATE(YEAR(主页!$D$2),1,1),当年实际!$C:$C,"&lt;="&amp;EOMONTH(DATE(YEAR(主页!$D$2),MONTH(主页!$D$2),1),0))/SUMIFS(当年实际!$P:$P,当年实际!$H:$H,$B254,当年实际!$C:$C,"&gt;="&amp;DATE(YEAR(主页!$D$2),1,1),当年实际!$C:$C,"&lt;="&amp;EOMONTH(DATE(YEAR(主页!$D$2),MONTH(主页!$D$2),1),0)),"")</f>
        <v/>
      </c>
    </row>
    <row r="255" spans="1:10" x14ac:dyDescent="0.3">
      <c r="A255" s="127"/>
      <c r="B255" s="149"/>
      <c r="C255" s="7"/>
      <c r="D255" s="5"/>
      <c r="E255" s="140" t="str">
        <f t="shared" si="10"/>
        <v/>
      </c>
      <c r="F255" s="142"/>
      <c r="G255" s="145">
        <f t="shared" si="12"/>
        <v>0</v>
      </c>
      <c r="H255" s="140" t="str">
        <f t="shared" si="11"/>
        <v/>
      </c>
      <c r="J255" s="148" t="str">
        <f>IFERROR(SUMIFS(当年实际!$V:$V,当年实际!$H:$H,$B255,当年实际!$C:$C,"&gt;="&amp;DATE(YEAR(主页!$D$2),1,1),当年实际!$C:$C,"&lt;="&amp;EOMONTH(DATE(YEAR(主页!$D$2),MONTH(主页!$D$2),1),0))/SUMIFS(当年实际!$P:$P,当年实际!$H:$H,$B255,当年实际!$C:$C,"&gt;="&amp;DATE(YEAR(主页!$D$2),1,1),当年实际!$C:$C,"&lt;="&amp;EOMONTH(DATE(YEAR(主页!$D$2),MONTH(主页!$D$2),1),0)),"")</f>
        <v/>
      </c>
    </row>
    <row r="256" spans="1:10" x14ac:dyDescent="0.3">
      <c r="A256" s="127"/>
      <c r="B256" s="149"/>
      <c r="C256" s="7"/>
      <c r="D256" s="5"/>
      <c r="E256" s="140" t="str">
        <f t="shared" si="10"/>
        <v/>
      </c>
      <c r="F256" s="142"/>
      <c r="G256" s="145">
        <f t="shared" si="12"/>
        <v>0</v>
      </c>
      <c r="H256" s="140" t="str">
        <f t="shared" si="11"/>
        <v/>
      </c>
      <c r="J256" s="148" t="str">
        <f>IFERROR(SUMIFS(当年实际!$V:$V,当年实际!$H:$H,$B256,当年实际!$C:$C,"&gt;="&amp;DATE(YEAR(主页!$D$2),1,1),当年实际!$C:$C,"&lt;="&amp;EOMONTH(DATE(YEAR(主页!$D$2),MONTH(主页!$D$2),1),0))/SUMIFS(当年实际!$P:$P,当年实际!$H:$H,$B256,当年实际!$C:$C,"&gt;="&amp;DATE(YEAR(主页!$D$2),1,1),当年实际!$C:$C,"&lt;="&amp;EOMONTH(DATE(YEAR(主页!$D$2),MONTH(主页!$D$2),1),0)),"")</f>
        <v/>
      </c>
    </row>
    <row r="257" spans="1:10" x14ac:dyDescent="0.3">
      <c r="A257" s="127"/>
      <c r="B257" s="149"/>
      <c r="C257" s="7"/>
      <c r="D257" s="5"/>
      <c r="E257" s="140" t="str">
        <f t="shared" si="10"/>
        <v/>
      </c>
      <c r="F257" s="142"/>
      <c r="G257" s="145">
        <f t="shared" si="12"/>
        <v>0</v>
      </c>
      <c r="H257" s="140" t="str">
        <f t="shared" si="11"/>
        <v/>
      </c>
      <c r="J257" s="148" t="str">
        <f>IFERROR(SUMIFS(当年实际!$V:$V,当年实际!$H:$H,$B257,当年实际!$C:$C,"&gt;="&amp;DATE(YEAR(主页!$D$2),1,1),当年实际!$C:$C,"&lt;="&amp;EOMONTH(DATE(YEAR(主页!$D$2),MONTH(主页!$D$2),1),0))/SUMIFS(当年实际!$P:$P,当年实际!$H:$H,$B257,当年实际!$C:$C,"&gt;="&amp;DATE(YEAR(主页!$D$2),1,1),当年实际!$C:$C,"&lt;="&amp;EOMONTH(DATE(YEAR(主页!$D$2),MONTH(主页!$D$2),1),0)),"")</f>
        <v/>
      </c>
    </row>
    <row r="258" spans="1:10" x14ac:dyDescent="0.3">
      <c r="A258" s="127"/>
      <c r="B258" s="149"/>
      <c r="C258" s="7"/>
      <c r="D258" s="5"/>
      <c r="E258" s="140" t="str">
        <f t="shared" si="10"/>
        <v/>
      </c>
      <c r="F258" s="142"/>
      <c r="G258" s="145">
        <f t="shared" si="12"/>
        <v>0</v>
      </c>
      <c r="H258" s="140" t="str">
        <f t="shared" si="11"/>
        <v/>
      </c>
      <c r="J258" s="148" t="str">
        <f>IFERROR(SUMIFS(当年实际!$V:$V,当年实际!$H:$H,$B258,当年实际!$C:$C,"&gt;="&amp;DATE(YEAR(主页!$D$2),1,1),当年实际!$C:$C,"&lt;="&amp;EOMONTH(DATE(YEAR(主页!$D$2),MONTH(主页!$D$2),1),0))/SUMIFS(当年实际!$P:$P,当年实际!$H:$H,$B258,当年实际!$C:$C,"&gt;="&amp;DATE(YEAR(主页!$D$2),1,1),当年实际!$C:$C,"&lt;="&amp;EOMONTH(DATE(YEAR(主页!$D$2),MONTH(主页!$D$2),1),0)),"")</f>
        <v/>
      </c>
    </row>
    <row r="259" spans="1:10" x14ac:dyDescent="0.3">
      <c r="A259" s="127"/>
      <c r="B259" s="149"/>
      <c r="C259" s="7"/>
      <c r="D259" s="5"/>
      <c r="E259" s="140" t="str">
        <f t="shared" si="10"/>
        <v/>
      </c>
      <c r="F259" s="142"/>
      <c r="G259" s="145">
        <f t="shared" si="12"/>
        <v>0</v>
      </c>
      <c r="H259" s="140" t="str">
        <f t="shared" si="11"/>
        <v/>
      </c>
      <c r="J259" s="148" t="str">
        <f>IFERROR(SUMIFS(当年实际!$V:$V,当年实际!$H:$H,$B259,当年实际!$C:$C,"&gt;="&amp;DATE(YEAR(主页!$D$2),1,1),当年实际!$C:$C,"&lt;="&amp;EOMONTH(DATE(YEAR(主页!$D$2),MONTH(主页!$D$2),1),0))/SUMIFS(当年实际!$P:$P,当年实际!$H:$H,$B259,当年实际!$C:$C,"&gt;="&amp;DATE(YEAR(主页!$D$2),1,1),当年实际!$C:$C,"&lt;="&amp;EOMONTH(DATE(YEAR(主页!$D$2),MONTH(主页!$D$2),1),0)),"")</f>
        <v/>
      </c>
    </row>
    <row r="260" spans="1:10" x14ac:dyDescent="0.3">
      <c r="A260" s="127"/>
      <c r="B260" s="149"/>
      <c r="C260" s="7"/>
      <c r="D260" s="5"/>
      <c r="E260" s="140" t="str">
        <f t="shared" ref="E260:E323" si="13">IF(D260/SUM(D:D)=0,"",D260/SUM(D:D))</f>
        <v/>
      </c>
      <c r="F260" s="142"/>
      <c r="G260" s="145">
        <f t="shared" si="12"/>
        <v>0</v>
      </c>
      <c r="H260" s="140" t="str">
        <f t="shared" ref="H260:H323" si="14">IF(G260/SUM(G:G)=0,"",G260/SUM(G:G))</f>
        <v/>
      </c>
      <c r="J260" s="148" t="str">
        <f>IFERROR(SUMIFS(当年实际!$V:$V,当年实际!$H:$H,$B260,当年实际!$C:$C,"&gt;="&amp;DATE(YEAR(主页!$D$2),1,1),当年实际!$C:$C,"&lt;="&amp;EOMONTH(DATE(YEAR(主页!$D$2),MONTH(主页!$D$2),1),0))/SUMIFS(当年实际!$P:$P,当年实际!$H:$H,$B260,当年实际!$C:$C,"&gt;="&amp;DATE(YEAR(主页!$D$2),1,1),当年实际!$C:$C,"&lt;="&amp;EOMONTH(DATE(YEAR(主页!$D$2),MONTH(主页!$D$2),1),0)),"")</f>
        <v/>
      </c>
    </row>
    <row r="261" spans="1:10" x14ac:dyDescent="0.3">
      <c r="A261" s="127"/>
      <c r="B261" s="149"/>
      <c r="C261" s="7"/>
      <c r="D261" s="5"/>
      <c r="E261" s="140" t="str">
        <f t="shared" si="13"/>
        <v/>
      </c>
      <c r="F261" s="142"/>
      <c r="G261" s="145">
        <f t="shared" si="12"/>
        <v>0</v>
      </c>
      <c r="H261" s="140" t="str">
        <f t="shared" si="14"/>
        <v/>
      </c>
      <c r="J261" s="148" t="str">
        <f>IFERROR(SUMIFS(当年实际!$V:$V,当年实际!$H:$H,$B261,当年实际!$C:$C,"&gt;="&amp;DATE(YEAR(主页!$D$2),1,1),当年实际!$C:$C,"&lt;="&amp;EOMONTH(DATE(YEAR(主页!$D$2),MONTH(主页!$D$2),1),0))/SUMIFS(当年实际!$P:$P,当年实际!$H:$H,$B261,当年实际!$C:$C,"&gt;="&amp;DATE(YEAR(主页!$D$2),1,1),当年实际!$C:$C,"&lt;="&amp;EOMONTH(DATE(YEAR(主页!$D$2),MONTH(主页!$D$2),1),0)),"")</f>
        <v/>
      </c>
    </row>
    <row r="262" spans="1:10" x14ac:dyDescent="0.3">
      <c r="A262" s="127"/>
      <c r="B262" s="149"/>
      <c r="C262" s="7"/>
      <c r="D262" s="5"/>
      <c r="E262" s="140" t="str">
        <f t="shared" si="13"/>
        <v/>
      </c>
      <c r="F262" s="142"/>
      <c r="G262" s="145">
        <f t="shared" ref="G262:G325" si="15">D262*F262</f>
        <v>0</v>
      </c>
      <c r="H262" s="140" t="str">
        <f t="shared" si="14"/>
        <v/>
      </c>
      <c r="J262" s="148" t="str">
        <f>IFERROR(SUMIFS(当年实际!$V:$V,当年实际!$H:$H,$B262,当年实际!$C:$C,"&gt;="&amp;DATE(YEAR(主页!$D$2),1,1),当年实际!$C:$C,"&lt;="&amp;EOMONTH(DATE(YEAR(主页!$D$2),MONTH(主页!$D$2),1),0))/SUMIFS(当年实际!$P:$P,当年实际!$H:$H,$B262,当年实际!$C:$C,"&gt;="&amp;DATE(YEAR(主页!$D$2),1,1),当年实际!$C:$C,"&lt;="&amp;EOMONTH(DATE(YEAR(主页!$D$2),MONTH(主页!$D$2),1),0)),"")</f>
        <v/>
      </c>
    </row>
    <row r="263" spans="1:10" x14ac:dyDescent="0.3">
      <c r="A263" s="127"/>
      <c r="B263" s="149"/>
      <c r="C263" s="7"/>
      <c r="D263" s="5"/>
      <c r="E263" s="140" t="str">
        <f t="shared" si="13"/>
        <v/>
      </c>
      <c r="F263" s="142"/>
      <c r="G263" s="145">
        <f t="shared" si="15"/>
        <v>0</v>
      </c>
      <c r="H263" s="140" t="str">
        <f t="shared" si="14"/>
        <v/>
      </c>
      <c r="J263" s="148" t="str">
        <f>IFERROR(SUMIFS(当年实际!$V:$V,当年实际!$H:$H,$B263,当年实际!$C:$C,"&gt;="&amp;DATE(YEAR(主页!$D$2),1,1),当年实际!$C:$C,"&lt;="&amp;EOMONTH(DATE(YEAR(主页!$D$2),MONTH(主页!$D$2),1),0))/SUMIFS(当年实际!$P:$P,当年实际!$H:$H,$B263,当年实际!$C:$C,"&gt;="&amp;DATE(YEAR(主页!$D$2),1,1),当年实际!$C:$C,"&lt;="&amp;EOMONTH(DATE(YEAR(主页!$D$2),MONTH(主页!$D$2),1),0)),"")</f>
        <v/>
      </c>
    </row>
    <row r="264" spans="1:10" x14ac:dyDescent="0.3">
      <c r="A264" s="127"/>
      <c r="B264" s="149"/>
      <c r="C264" s="7"/>
      <c r="D264" s="5"/>
      <c r="E264" s="140" t="str">
        <f t="shared" si="13"/>
        <v/>
      </c>
      <c r="F264" s="142"/>
      <c r="G264" s="145">
        <f t="shared" si="15"/>
        <v>0</v>
      </c>
      <c r="H264" s="140" t="str">
        <f t="shared" si="14"/>
        <v/>
      </c>
      <c r="J264" s="148" t="str">
        <f>IFERROR(SUMIFS(当年实际!$V:$V,当年实际!$H:$H,$B264,当年实际!$C:$C,"&gt;="&amp;DATE(YEAR(主页!$D$2),1,1),当年实际!$C:$C,"&lt;="&amp;EOMONTH(DATE(YEAR(主页!$D$2),MONTH(主页!$D$2),1),0))/SUMIFS(当年实际!$P:$P,当年实际!$H:$H,$B264,当年实际!$C:$C,"&gt;="&amp;DATE(YEAR(主页!$D$2),1,1),当年实际!$C:$C,"&lt;="&amp;EOMONTH(DATE(YEAR(主页!$D$2),MONTH(主页!$D$2),1),0)),"")</f>
        <v/>
      </c>
    </row>
    <row r="265" spans="1:10" x14ac:dyDescent="0.3">
      <c r="A265" s="127"/>
      <c r="B265" s="149"/>
      <c r="C265" s="7"/>
      <c r="D265" s="5"/>
      <c r="E265" s="140" t="str">
        <f t="shared" si="13"/>
        <v/>
      </c>
      <c r="F265" s="142"/>
      <c r="G265" s="145">
        <f t="shared" si="15"/>
        <v>0</v>
      </c>
      <c r="H265" s="140" t="str">
        <f t="shared" si="14"/>
        <v/>
      </c>
      <c r="J265" s="148" t="str">
        <f>IFERROR(SUMIFS(当年实际!$V:$V,当年实际!$H:$H,$B265,当年实际!$C:$C,"&gt;="&amp;DATE(YEAR(主页!$D$2),1,1),当年实际!$C:$C,"&lt;="&amp;EOMONTH(DATE(YEAR(主页!$D$2),MONTH(主页!$D$2),1),0))/SUMIFS(当年实际!$P:$P,当年实际!$H:$H,$B265,当年实际!$C:$C,"&gt;="&amp;DATE(YEAR(主页!$D$2),1,1),当年实际!$C:$C,"&lt;="&amp;EOMONTH(DATE(YEAR(主页!$D$2),MONTH(主页!$D$2),1),0)),"")</f>
        <v/>
      </c>
    </row>
    <row r="266" spans="1:10" x14ac:dyDescent="0.3">
      <c r="A266" s="127"/>
      <c r="B266" s="149"/>
      <c r="C266" s="7"/>
      <c r="D266" s="5"/>
      <c r="E266" s="140" t="str">
        <f t="shared" si="13"/>
        <v/>
      </c>
      <c r="F266" s="142"/>
      <c r="G266" s="145">
        <f t="shared" si="15"/>
        <v>0</v>
      </c>
      <c r="H266" s="140" t="str">
        <f t="shared" si="14"/>
        <v/>
      </c>
      <c r="J266" s="148" t="str">
        <f>IFERROR(SUMIFS(当年实际!$V:$V,当年实际!$H:$H,$B266,当年实际!$C:$C,"&gt;="&amp;DATE(YEAR(主页!$D$2),1,1),当年实际!$C:$C,"&lt;="&amp;EOMONTH(DATE(YEAR(主页!$D$2),MONTH(主页!$D$2),1),0))/SUMIFS(当年实际!$P:$P,当年实际!$H:$H,$B266,当年实际!$C:$C,"&gt;="&amp;DATE(YEAR(主页!$D$2),1,1),当年实际!$C:$C,"&lt;="&amp;EOMONTH(DATE(YEAR(主页!$D$2),MONTH(主页!$D$2),1),0)),"")</f>
        <v/>
      </c>
    </row>
    <row r="267" spans="1:10" x14ac:dyDescent="0.3">
      <c r="A267" s="127"/>
      <c r="B267" s="149"/>
      <c r="C267" s="7"/>
      <c r="D267" s="5"/>
      <c r="E267" s="140" t="str">
        <f t="shared" si="13"/>
        <v/>
      </c>
      <c r="F267" s="142"/>
      <c r="G267" s="145">
        <f t="shared" si="15"/>
        <v>0</v>
      </c>
      <c r="H267" s="140" t="str">
        <f t="shared" si="14"/>
        <v/>
      </c>
      <c r="J267" s="148" t="str">
        <f>IFERROR(SUMIFS(当年实际!$V:$V,当年实际!$H:$H,$B267,当年实际!$C:$C,"&gt;="&amp;DATE(YEAR(主页!$D$2),1,1),当年实际!$C:$C,"&lt;="&amp;EOMONTH(DATE(YEAR(主页!$D$2),MONTH(主页!$D$2),1),0))/SUMIFS(当年实际!$P:$P,当年实际!$H:$H,$B267,当年实际!$C:$C,"&gt;="&amp;DATE(YEAR(主页!$D$2),1,1),当年实际!$C:$C,"&lt;="&amp;EOMONTH(DATE(YEAR(主页!$D$2),MONTH(主页!$D$2),1),0)),"")</f>
        <v/>
      </c>
    </row>
    <row r="268" spans="1:10" x14ac:dyDescent="0.3">
      <c r="A268" s="127"/>
      <c r="B268" s="149"/>
      <c r="C268" s="7"/>
      <c r="D268" s="5"/>
      <c r="E268" s="140" t="str">
        <f t="shared" si="13"/>
        <v/>
      </c>
      <c r="F268" s="142"/>
      <c r="G268" s="145">
        <f t="shared" si="15"/>
        <v>0</v>
      </c>
      <c r="H268" s="140" t="str">
        <f t="shared" si="14"/>
        <v/>
      </c>
      <c r="J268" s="148" t="str">
        <f>IFERROR(SUMIFS(当年实际!$V:$V,当年实际!$H:$H,$B268,当年实际!$C:$C,"&gt;="&amp;DATE(YEAR(主页!$D$2),1,1),当年实际!$C:$C,"&lt;="&amp;EOMONTH(DATE(YEAR(主页!$D$2),MONTH(主页!$D$2),1),0))/SUMIFS(当年实际!$P:$P,当年实际!$H:$H,$B268,当年实际!$C:$C,"&gt;="&amp;DATE(YEAR(主页!$D$2),1,1),当年实际!$C:$C,"&lt;="&amp;EOMONTH(DATE(YEAR(主页!$D$2),MONTH(主页!$D$2),1),0)),"")</f>
        <v/>
      </c>
    </row>
    <row r="269" spans="1:10" x14ac:dyDescent="0.3">
      <c r="A269" s="127"/>
      <c r="B269" s="149"/>
      <c r="C269" s="7"/>
      <c r="D269" s="5"/>
      <c r="E269" s="140" t="str">
        <f t="shared" si="13"/>
        <v/>
      </c>
      <c r="F269" s="142"/>
      <c r="G269" s="145">
        <f t="shared" si="15"/>
        <v>0</v>
      </c>
      <c r="H269" s="140" t="str">
        <f t="shared" si="14"/>
        <v/>
      </c>
      <c r="J269" s="148" t="str">
        <f>IFERROR(SUMIFS(当年实际!$V:$V,当年实际!$H:$H,$B269,当年实际!$C:$C,"&gt;="&amp;DATE(YEAR(主页!$D$2),1,1),当年实际!$C:$C,"&lt;="&amp;EOMONTH(DATE(YEAR(主页!$D$2),MONTH(主页!$D$2),1),0))/SUMIFS(当年实际!$P:$P,当年实际!$H:$H,$B269,当年实际!$C:$C,"&gt;="&amp;DATE(YEAR(主页!$D$2),1,1),当年实际!$C:$C,"&lt;="&amp;EOMONTH(DATE(YEAR(主页!$D$2),MONTH(主页!$D$2),1),0)),"")</f>
        <v/>
      </c>
    </row>
    <row r="270" spans="1:10" x14ac:dyDescent="0.3">
      <c r="A270" s="127"/>
      <c r="B270" s="149"/>
      <c r="C270" s="7"/>
      <c r="D270" s="5"/>
      <c r="E270" s="140" t="str">
        <f t="shared" si="13"/>
        <v/>
      </c>
      <c r="F270" s="142"/>
      <c r="G270" s="145">
        <f t="shared" si="15"/>
        <v>0</v>
      </c>
      <c r="H270" s="140" t="str">
        <f t="shared" si="14"/>
        <v/>
      </c>
      <c r="J270" s="148" t="str">
        <f>IFERROR(SUMIFS(当年实际!$V:$V,当年实际!$H:$H,$B270,当年实际!$C:$C,"&gt;="&amp;DATE(YEAR(主页!$D$2),1,1),当年实际!$C:$C,"&lt;="&amp;EOMONTH(DATE(YEAR(主页!$D$2),MONTH(主页!$D$2),1),0))/SUMIFS(当年实际!$P:$P,当年实际!$H:$H,$B270,当年实际!$C:$C,"&gt;="&amp;DATE(YEAR(主页!$D$2),1,1),当年实际!$C:$C,"&lt;="&amp;EOMONTH(DATE(YEAR(主页!$D$2),MONTH(主页!$D$2),1),0)),"")</f>
        <v/>
      </c>
    </row>
    <row r="271" spans="1:10" x14ac:dyDescent="0.3">
      <c r="A271" s="127"/>
      <c r="B271" s="149"/>
      <c r="C271" s="7"/>
      <c r="D271" s="5"/>
      <c r="E271" s="140" t="str">
        <f t="shared" si="13"/>
        <v/>
      </c>
      <c r="F271" s="142"/>
      <c r="G271" s="145">
        <f t="shared" si="15"/>
        <v>0</v>
      </c>
      <c r="H271" s="140" t="str">
        <f t="shared" si="14"/>
        <v/>
      </c>
      <c r="J271" s="148" t="str">
        <f>IFERROR(SUMIFS(当年实际!$V:$V,当年实际!$H:$H,$B271,当年实际!$C:$C,"&gt;="&amp;DATE(YEAR(主页!$D$2),1,1),当年实际!$C:$C,"&lt;="&amp;EOMONTH(DATE(YEAR(主页!$D$2),MONTH(主页!$D$2),1),0))/SUMIFS(当年实际!$P:$P,当年实际!$H:$H,$B271,当年实际!$C:$C,"&gt;="&amp;DATE(YEAR(主页!$D$2),1,1),当年实际!$C:$C,"&lt;="&amp;EOMONTH(DATE(YEAR(主页!$D$2),MONTH(主页!$D$2),1),0)),"")</f>
        <v/>
      </c>
    </row>
    <row r="272" spans="1:10" x14ac:dyDescent="0.3">
      <c r="A272" s="127"/>
      <c r="B272" s="149"/>
      <c r="C272" s="7"/>
      <c r="D272" s="5"/>
      <c r="E272" s="140" t="str">
        <f t="shared" si="13"/>
        <v/>
      </c>
      <c r="F272" s="142"/>
      <c r="G272" s="145">
        <f t="shared" si="15"/>
        <v>0</v>
      </c>
      <c r="H272" s="140" t="str">
        <f t="shared" si="14"/>
        <v/>
      </c>
      <c r="J272" s="148" t="str">
        <f>IFERROR(SUMIFS(当年实际!$V:$V,当年实际!$H:$H,$B272,当年实际!$C:$C,"&gt;="&amp;DATE(YEAR(主页!$D$2),1,1),当年实际!$C:$C,"&lt;="&amp;EOMONTH(DATE(YEAR(主页!$D$2),MONTH(主页!$D$2),1),0))/SUMIFS(当年实际!$P:$P,当年实际!$H:$H,$B272,当年实际!$C:$C,"&gt;="&amp;DATE(YEAR(主页!$D$2),1,1),当年实际!$C:$C,"&lt;="&amp;EOMONTH(DATE(YEAR(主页!$D$2),MONTH(主页!$D$2),1),0)),"")</f>
        <v/>
      </c>
    </row>
    <row r="273" spans="1:10" x14ac:dyDescent="0.3">
      <c r="A273" s="127"/>
      <c r="B273" s="149"/>
      <c r="C273" s="7"/>
      <c r="D273" s="5"/>
      <c r="E273" s="140" t="str">
        <f t="shared" si="13"/>
        <v/>
      </c>
      <c r="F273" s="142"/>
      <c r="G273" s="145">
        <f t="shared" si="15"/>
        <v>0</v>
      </c>
      <c r="H273" s="140" t="str">
        <f t="shared" si="14"/>
        <v/>
      </c>
      <c r="J273" s="148" t="str">
        <f>IFERROR(SUMIFS(当年实际!$V:$V,当年实际!$H:$H,$B273,当年实际!$C:$C,"&gt;="&amp;DATE(YEAR(主页!$D$2),1,1),当年实际!$C:$C,"&lt;="&amp;EOMONTH(DATE(YEAR(主页!$D$2),MONTH(主页!$D$2),1),0))/SUMIFS(当年实际!$P:$P,当年实际!$H:$H,$B273,当年实际!$C:$C,"&gt;="&amp;DATE(YEAR(主页!$D$2),1,1),当年实际!$C:$C,"&lt;="&amp;EOMONTH(DATE(YEAR(主页!$D$2),MONTH(主页!$D$2),1),0)),"")</f>
        <v/>
      </c>
    </row>
    <row r="274" spans="1:10" x14ac:dyDescent="0.3">
      <c r="A274" s="127"/>
      <c r="B274" s="149"/>
      <c r="C274" s="7"/>
      <c r="D274" s="5"/>
      <c r="E274" s="140" t="str">
        <f t="shared" si="13"/>
        <v/>
      </c>
      <c r="F274" s="142"/>
      <c r="G274" s="145">
        <f t="shared" si="15"/>
        <v>0</v>
      </c>
      <c r="H274" s="140" t="str">
        <f t="shared" si="14"/>
        <v/>
      </c>
      <c r="J274" s="148" t="str">
        <f>IFERROR(SUMIFS(当年实际!$V:$V,当年实际!$H:$H,$B274,当年实际!$C:$C,"&gt;="&amp;DATE(YEAR(主页!$D$2),1,1),当年实际!$C:$C,"&lt;="&amp;EOMONTH(DATE(YEAR(主页!$D$2),MONTH(主页!$D$2),1),0))/SUMIFS(当年实际!$P:$P,当年实际!$H:$H,$B274,当年实际!$C:$C,"&gt;="&amp;DATE(YEAR(主页!$D$2),1,1),当年实际!$C:$C,"&lt;="&amp;EOMONTH(DATE(YEAR(主页!$D$2),MONTH(主页!$D$2),1),0)),"")</f>
        <v/>
      </c>
    </row>
    <row r="275" spans="1:10" x14ac:dyDescent="0.3">
      <c r="A275" s="127"/>
      <c r="B275" s="149"/>
      <c r="C275" s="7"/>
      <c r="D275" s="5"/>
      <c r="E275" s="140" t="str">
        <f t="shared" si="13"/>
        <v/>
      </c>
      <c r="F275" s="142"/>
      <c r="G275" s="145">
        <f t="shared" si="15"/>
        <v>0</v>
      </c>
      <c r="H275" s="140" t="str">
        <f t="shared" si="14"/>
        <v/>
      </c>
      <c r="J275" s="148" t="str">
        <f>IFERROR(SUMIFS(当年实际!$V:$V,当年实际!$H:$H,$B275,当年实际!$C:$C,"&gt;="&amp;DATE(YEAR(主页!$D$2),1,1),当年实际!$C:$C,"&lt;="&amp;EOMONTH(DATE(YEAR(主页!$D$2),MONTH(主页!$D$2),1),0))/SUMIFS(当年实际!$P:$P,当年实际!$H:$H,$B275,当年实际!$C:$C,"&gt;="&amp;DATE(YEAR(主页!$D$2),1,1),当年实际!$C:$C,"&lt;="&amp;EOMONTH(DATE(YEAR(主页!$D$2),MONTH(主页!$D$2),1),0)),"")</f>
        <v/>
      </c>
    </row>
    <row r="276" spans="1:10" x14ac:dyDescent="0.3">
      <c r="A276" s="127"/>
      <c r="B276" s="149"/>
      <c r="C276" s="7"/>
      <c r="D276" s="5"/>
      <c r="E276" s="140" t="str">
        <f t="shared" si="13"/>
        <v/>
      </c>
      <c r="F276" s="142"/>
      <c r="G276" s="145">
        <f t="shared" si="15"/>
        <v>0</v>
      </c>
      <c r="H276" s="140" t="str">
        <f t="shared" si="14"/>
        <v/>
      </c>
      <c r="J276" s="148" t="str">
        <f>IFERROR(SUMIFS(当年实际!$V:$V,当年实际!$H:$H,$B276,当年实际!$C:$C,"&gt;="&amp;DATE(YEAR(主页!$D$2),1,1),当年实际!$C:$C,"&lt;="&amp;EOMONTH(DATE(YEAR(主页!$D$2),MONTH(主页!$D$2),1),0))/SUMIFS(当年实际!$P:$P,当年实际!$H:$H,$B276,当年实际!$C:$C,"&gt;="&amp;DATE(YEAR(主页!$D$2),1,1),当年实际!$C:$C,"&lt;="&amp;EOMONTH(DATE(YEAR(主页!$D$2),MONTH(主页!$D$2),1),0)),"")</f>
        <v/>
      </c>
    </row>
    <row r="277" spans="1:10" x14ac:dyDescent="0.3">
      <c r="A277" s="127"/>
      <c r="B277" s="149"/>
      <c r="C277" s="7"/>
      <c r="D277" s="5"/>
      <c r="E277" s="140" t="str">
        <f t="shared" si="13"/>
        <v/>
      </c>
      <c r="F277" s="142"/>
      <c r="G277" s="145">
        <f t="shared" si="15"/>
        <v>0</v>
      </c>
      <c r="H277" s="140" t="str">
        <f t="shared" si="14"/>
        <v/>
      </c>
      <c r="J277" s="148" t="str">
        <f>IFERROR(SUMIFS(当年实际!$V:$V,当年实际!$H:$H,$B277,当年实际!$C:$C,"&gt;="&amp;DATE(YEAR(主页!$D$2),1,1),当年实际!$C:$C,"&lt;="&amp;EOMONTH(DATE(YEAR(主页!$D$2),MONTH(主页!$D$2),1),0))/SUMIFS(当年实际!$P:$P,当年实际!$H:$H,$B277,当年实际!$C:$C,"&gt;="&amp;DATE(YEAR(主页!$D$2),1,1),当年实际!$C:$C,"&lt;="&amp;EOMONTH(DATE(YEAR(主页!$D$2),MONTH(主页!$D$2),1),0)),"")</f>
        <v/>
      </c>
    </row>
    <row r="278" spans="1:10" x14ac:dyDescent="0.3">
      <c r="A278" s="127"/>
      <c r="B278" s="149"/>
      <c r="C278" s="7"/>
      <c r="D278" s="5"/>
      <c r="E278" s="140" t="str">
        <f t="shared" si="13"/>
        <v/>
      </c>
      <c r="F278" s="142"/>
      <c r="G278" s="145">
        <f t="shared" si="15"/>
        <v>0</v>
      </c>
      <c r="H278" s="140" t="str">
        <f t="shared" si="14"/>
        <v/>
      </c>
      <c r="J278" s="148" t="str">
        <f>IFERROR(SUMIFS(当年实际!$V:$V,当年实际!$H:$H,$B278,当年实际!$C:$C,"&gt;="&amp;DATE(YEAR(主页!$D$2),1,1),当年实际!$C:$C,"&lt;="&amp;EOMONTH(DATE(YEAR(主页!$D$2),MONTH(主页!$D$2),1),0))/SUMIFS(当年实际!$P:$P,当年实际!$H:$H,$B278,当年实际!$C:$C,"&gt;="&amp;DATE(YEAR(主页!$D$2),1,1),当年实际!$C:$C,"&lt;="&amp;EOMONTH(DATE(YEAR(主页!$D$2),MONTH(主页!$D$2),1),0)),"")</f>
        <v/>
      </c>
    </row>
    <row r="279" spans="1:10" x14ac:dyDescent="0.3">
      <c r="A279" s="127"/>
      <c r="B279" s="149"/>
      <c r="C279" s="7"/>
      <c r="D279" s="5"/>
      <c r="E279" s="140" t="str">
        <f t="shared" si="13"/>
        <v/>
      </c>
      <c r="F279" s="142"/>
      <c r="G279" s="145">
        <f t="shared" si="15"/>
        <v>0</v>
      </c>
      <c r="H279" s="140" t="str">
        <f t="shared" si="14"/>
        <v/>
      </c>
      <c r="J279" s="148" t="str">
        <f>IFERROR(SUMIFS(当年实际!$V:$V,当年实际!$H:$H,$B279,当年实际!$C:$C,"&gt;="&amp;DATE(YEAR(主页!$D$2),1,1),当年实际!$C:$C,"&lt;="&amp;EOMONTH(DATE(YEAR(主页!$D$2),MONTH(主页!$D$2),1),0))/SUMIFS(当年实际!$P:$P,当年实际!$H:$H,$B279,当年实际!$C:$C,"&gt;="&amp;DATE(YEAR(主页!$D$2),1,1),当年实际!$C:$C,"&lt;="&amp;EOMONTH(DATE(YEAR(主页!$D$2),MONTH(主页!$D$2),1),0)),"")</f>
        <v/>
      </c>
    </row>
    <row r="280" spans="1:10" x14ac:dyDescent="0.3">
      <c r="A280" s="127"/>
      <c r="B280" s="149"/>
      <c r="C280" s="7"/>
      <c r="D280" s="5"/>
      <c r="E280" s="140" t="str">
        <f t="shared" si="13"/>
        <v/>
      </c>
      <c r="F280" s="142"/>
      <c r="G280" s="145">
        <f t="shared" si="15"/>
        <v>0</v>
      </c>
      <c r="H280" s="140" t="str">
        <f t="shared" si="14"/>
        <v/>
      </c>
      <c r="J280" s="148" t="str">
        <f>IFERROR(SUMIFS(当年实际!$V:$V,当年实际!$H:$H,$B280,当年实际!$C:$C,"&gt;="&amp;DATE(YEAR(主页!$D$2),1,1),当年实际!$C:$C,"&lt;="&amp;EOMONTH(DATE(YEAR(主页!$D$2),MONTH(主页!$D$2),1),0))/SUMIFS(当年实际!$P:$P,当年实际!$H:$H,$B280,当年实际!$C:$C,"&gt;="&amp;DATE(YEAR(主页!$D$2),1,1),当年实际!$C:$C,"&lt;="&amp;EOMONTH(DATE(YEAR(主页!$D$2),MONTH(主页!$D$2),1),0)),"")</f>
        <v/>
      </c>
    </row>
    <row r="281" spans="1:10" x14ac:dyDescent="0.3">
      <c r="A281" s="127"/>
      <c r="B281" s="149"/>
      <c r="C281" s="7"/>
      <c r="D281" s="5"/>
      <c r="E281" s="140" t="str">
        <f t="shared" si="13"/>
        <v/>
      </c>
      <c r="F281" s="142"/>
      <c r="G281" s="145">
        <f t="shared" si="15"/>
        <v>0</v>
      </c>
      <c r="H281" s="140" t="str">
        <f t="shared" si="14"/>
        <v/>
      </c>
      <c r="J281" s="148" t="str">
        <f>IFERROR(SUMIFS(当年实际!$V:$V,当年实际!$H:$H,$B281,当年实际!$C:$C,"&gt;="&amp;DATE(YEAR(主页!$D$2),1,1),当年实际!$C:$C,"&lt;="&amp;EOMONTH(DATE(YEAR(主页!$D$2),MONTH(主页!$D$2),1),0))/SUMIFS(当年实际!$P:$P,当年实际!$H:$H,$B281,当年实际!$C:$C,"&gt;="&amp;DATE(YEAR(主页!$D$2),1,1),当年实际!$C:$C,"&lt;="&amp;EOMONTH(DATE(YEAR(主页!$D$2),MONTH(主页!$D$2),1),0)),"")</f>
        <v/>
      </c>
    </row>
    <row r="282" spans="1:10" x14ac:dyDescent="0.3">
      <c r="A282" s="127"/>
      <c r="B282" s="149"/>
      <c r="C282" s="7"/>
      <c r="D282" s="5"/>
      <c r="E282" s="140" t="str">
        <f t="shared" si="13"/>
        <v/>
      </c>
      <c r="F282" s="142"/>
      <c r="G282" s="145">
        <f t="shared" si="15"/>
        <v>0</v>
      </c>
      <c r="H282" s="140" t="str">
        <f t="shared" si="14"/>
        <v/>
      </c>
      <c r="J282" s="148" t="str">
        <f>IFERROR(SUMIFS(当年实际!$V:$V,当年实际!$H:$H,$B282,当年实际!$C:$C,"&gt;="&amp;DATE(YEAR(主页!$D$2),1,1),当年实际!$C:$C,"&lt;="&amp;EOMONTH(DATE(YEAR(主页!$D$2),MONTH(主页!$D$2),1),0))/SUMIFS(当年实际!$P:$P,当年实际!$H:$H,$B282,当年实际!$C:$C,"&gt;="&amp;DATE(YEAR(主页!$D$2),1,1),当年实际!$C:$C,"&lt;="&amp;EOMONTH(DATE(YEAR(主页!$D$2),MONTH(主页!$D$2),1),0)),"")</f>
        <v/>
      </c>
    </row>
    <row r="283" spans="1:10" x14ac:dyDescent="0.3">
      <c r="A283" s="127"/>
      <c r="B283" s="149"/>
      <c r="C283" s="7"/>
      <c r="D283" s="5"/>
      <c r="E283" s="140" t="str">
        <f t="shared" si="13"/>
        <v/>
      </c>
      <c r="F283" s="142"/>
      <c r="G283" s="145">
        <f t="shared" si="15"/>
        <v>0</v>
      </c>
      <c r="H283" s="140" t="str">
        <f t="shared" si="14"/>
        <v/>
      </c>
      <c r="J283" s="148" t="str">
        <f>IFERROR(SUMIFS(当年实际!$V:$V,当年实际!$H:$H,$B283,当年实际!$C:$C,"&gt;="&amp;DATE(YEAR(主页!$D$2),1,1),当年实际!$C:$C,"&lt;="&amp;EOMONTH(DATE(YEAR(主页!$D$2),MONTH(主页!$D$2),1),0))/SUMIFS(当年实际!$P:$P,当年实际!$H:$H,$B283,当年实际!$C:$C,"&gt;="&amp;DATE(YEAR(主页!$D$2),1,1),当年实际!$C:$C,"&lt;="&amp;EOMONTH(DATE(YEAR(主页!$D$2),MONTH(主页!$D$2),1),0)),"")</f>
        <v/>
      </c>
    </row>
    <row r="284" spans="1:10" x14ac:dyDescent="0.3">
      <c r="A284" s="127"/>
      <c r="B284" s="149"/>
      <c r="C284" s="7"/>
      <c r="D284" s="5"/>
      <c r="E284" s="140" t="str">
        <f t="shared" si="13"/>
        <v/>
      </c>
      <c r="F284" s="142"/>
      <c r="G284" s="145">
        <f t="shared" si="15"/>
        <v>0</v>
      </c>
      <c r="H284" s="140" t="str">
        <f t="shared" si="14"/>
        <v/>
      </c>
      <c r="J284" s="148" t="str">
        <f>IFERROR(SUMIFS(当年实际!$V:$V,当年实际!$H:$H,$B284,当年实际!$C:$C,"&gt;="&amp;DATE(YEAR(主页!$D$2),1,1),当年实际!$C:$C,"&lt;="&amp;EOMONTH(DATE(YEAR(主页!$D$2),MONTH(主页!$D$2),1),0))/SUMIFS(当年实际!$P:$P,当年实际!$H:$H,$B284,当年实际!$C:$C,"&gt;="&amp;DATE(YEAR(主页!$D$2),1,1),当年实际!$C:$C,"&lt;="&amp;EOMONTH(DATE(YEAR(主页!$D$2),MONTH(主页!$D$2),1),0)),"")</f>
        <v/>
      </c>
    </row>
    <row r="285" spans="1:10" x14ac:dyDescent="0.3">
      <c r="A285" s="127"/>
      <c r="B285" s="149"/>
      <c r="C285" s="7"/>
      <c r="D285" s="5"/>
      <c r="E285" s="140" t="str">
        <f t="shared" si="13"/>
        <v/>
      </c>
      <c r="F285" s="142"/>
      <c r="G285" s="145">
        <f t="shared" si="15"/>
        <v>0</v>
      </c>
      <c r="H285" s="140" t="str">
        <f t="shared" si="14"/>
        <v/>
      </c>
      <c r="J285" s="148" t="str">
        <f>IFERROR(SUMIFS(当年实际!$V:$V,当年实际!$H:$H,$B285,当年实际!$C:$C,"&gt;="&amp;DATE(YEAR(主页!$D$2),1,1),当年实际!$C:$C,"&lt;="&amp;EOMONTH(DATE(YEAR(主页!$D$2),MONTH(主页!$D$2),1),0))/SUMIFS(当年实际!$P:$P,当年实际!$H:$H,$B285,当年实际!$C:$C,"&gt;="&amp;DATE(YEAR(主页!$D$2),1,1),当年实际!$C:$C,"&lt;="&amp;EOMONTH(DATE(YEAR(主页!$D$2),MONTH(主页!$D$2),1),0)),"")</f>
        <v/>
      </c>
    </row>
    <row r="286" spans="1:10" x14ac:dyDescent="0.3">
      <c r="A286" s="127"/>
      <c r="B286" s="149"/>
      <c r="C286" s="7"/>
      <c r="D286" s="5"/>
      <c r="E286" s="140" t="str">
        <f t="shared" si="13"/>
        <v/>
      </c>
      <c r="F286" s="142"/>
      <c r="G286" s="145">
        <f t="shared" si="15"/>
        <v>0</v>
      </c>
      <c r="H286" s="140" t="str">
        <f t="shared" si="14"/>
        <v/>
      </c>
      <c r="J286" s="148" t="str">
        <f>IFERROR(SUMIFS(当年实际!$V:$V,当年实际!$H:$H,$B286,当年实际!$C:$C,"&gt;="&amp;DATE(YEAR(主页!$D$2),1,1),当年实际!$C:$C,"&lt;="&amp;EOMONTH(DATE(YEAR(主页!$D$2),MONTH(主页!$D$2),1),0))/SUMIFS(当年实际!$P:$P,当年实际!$H:$H,$B286,当年实际!$C:$C,"&gt;="&amp;DATE(YEAR(主页!$D$2),1,1),当年实际!$C:$C,"&lt;="&amp;EOMONTH(DATE(YEAR(主页!$D$2),MONTH(主页!$D$2),1),0)),"")</f>
        <v/>
      </c>
    </row>
    <row r="287" spans="1:10" x14ac:dyDescent="0.3">
      <c r="A287" s="127"/>
      <c r="B287" s="149"/>
      <c r="C287" s="7"/>
      <c r="D287" s="5"/>
      <c r="E287" s="140" t="str">
        <f t="shared" si="13"/>
        <v/>
      </c>
      <c r="F287" s="142"/>
      <c r="G287" s="145">
        <f t="shared" si="15"/>
        <v>0</v>
      </c>
      <c r="H287" s="140" t="str">
        <f t="shared" si="14"/>
        <v/>
      </c>
      <c r="J287" s="148" t="str">
        <f>IFERROR(SUMIFS(当年实际!$V:$V,当年实际!$H:$H,$B287,当年实际!$C:$C,"&gt;="&amp;DATE(YEAR(主页!$D$2),1,1),当年实际!$C:$C,"&lt;="&amp;EOMONTH(DATE(YEAR(主页!$D$2),MONTH(主页!$D$2),1),0))/SUMIFS(当年实际!$P:$P,当年实际!$H:$H,$B287,当年实际!$C:$C,"&gt;="&amp;DATE(YEAR(主页!$D$2),1,1),当年实际!$C:$C,"&lt;="&amp;EOMONTH(DATE(YEAR(主页!$D$2),MONTH(主页!$D$2),1),0)),"")</f>
        <v/>
      </c>
    </row>
    <row r="288" spans="1:10" x14ac:dyDescent="0.3">
      <c r="A288" s="127"/>
      <c r="B288" s="149"/>
      <c r="C288" s="7"/>
      <c r="D288" s="5"/>
      <c r="E288" s="140" t="str">
        <f t="shared" si="13"/>
        <v/>
      </c>
      <c r="F288" s="142"/>
      <c r="G288" s="145">
        <f t="shared" si="15"/>
        <v>0</v>
      </c>
      <c r="H288" s="140" t="str">
        <f t="shared" si="14"/>
        <v/>
      </c>
      <c r="J288" s="148" t="str">
        <f>IFERROR(SUMIFS(当年实际!$V:$V,当年实际!$H:$H,$B288,当年实际!$C:$C,"&gt;="&amp;DATE(YEAR(主页!$D$2),1,1),当年实际!$C:$C,"&lt;="&amp;EOMONTH(DATE(YEAR(主页!$D$2),MONTH(主页!$D$2),1),0))/SUMIFS(当年实际!$P:$P,当年实际!$H:$H,$B288,当年实际!$C:$C,"&gt;="&amp;DATE(YEAR(主页!$D$2),1,1),当年实际!$C:$C,"&lt;="&amp;EOMONTH(DATE(YEAR(主页!$D$2),MONTH(主页!$D$2),1),0)),"")</f>
        <v/>
      </c>
    </row>
    <row r="289" spans="1:10" x14ac:dyDescent="0.3">
      <c r="A289" s="127"/>
      <c r="B289" s="149"/>
      <c r="C289" s="7"/>
      <c r="D289" s="5"/>
      <c r="E289" s="140" t="str">
        <f t="shared" si="13"/>
        <v/>
      </c>
      <c r="F289" s="142"/>
      <c r="G289" s="145">
        <f t="shared" si="15"/>
        <v>0</v>
      </c>
      <c r="H289" s="140" t="str">
        <f t="shared" si="14"/>
        <v/>
      </c>
      <c r="J289" s="148" t="str">
        <f>IFERROR(SUMIFS(当年实际!$V:$V,当年实际!$H:$H,$B289,当年实际!$C:$C,"&gt;="&amp;DATE(YEAR(主页!$D$2),1,1),当年实际!$C:$C,"&lt;="&amp;EOMONTH(DATE(YEAR(主页!$D$2),MONTH(主页!$D$2),1),0))/SUMIFS(当年实际!$P:$P,当年实际!$H:$H,$B289,当年实际!$C:$C,"&gt;="&amp;DATE(YEAR(主页!$D$2),1,1),当年实际!$C:$C,"&lt;="&amp;EOMONTH(DATE(YEAR(主页!$D$2),MONTH(主页!$D$2),1),0)),"")</f>
        <v/>
      </c>
    </row>
    <row r="290" spans="1:10" x14ac:dyDescent="0.3">
      <c r="A290" s="127"/>
      <c r="B290" s="149"/>
      <c r="C290" s="7"/>
      <c r="D290" s="5"/>
      <c r="E290" s="140" t="str">
        <f t="shared" si="13"/>
        <v/>
      </c>
      <c r="F290" s="142"/>
      <c r="G290" s="145">
        <f t="shared" si="15"/>
        <v>0</v>
      </c>
      <c r="H290" s="140" t="str">
        <f t="shared" si="14"/>
        <v/>
      </c>
      <c r="J290" s="148" t="str">
        <f>IFERROR(SUMIFS(当年实际!$V:$V,当年实际!$H:$H,$B290,当年实际!$C:$C,"&gt;="&amp;DATE(YEAR(主页!$D$2),1,1),当年实际!$C:$C,"&lt;="&amp;EOMONTH(DATE(YEAR(主页!$D$2),MONTH(主页!$D$2),1),0))/SUMIFS(当年实际!$P:$P,当年实际!$H:$H,$B290,当年实际!$C:$C,"&gt;="&amp;DATE(YEAR(主页!$D$2),1,1),当年实际!$C:$C,"&lt;="&amp;EOMONTH(DATE(YEAR(主页!$D$2),MONTH(主页!$D$2),1),0)),"")</f>
        <v/>
      </c>
    </row>
    <row r="291" spans="1:10" x14ac:dyDescent="0.3">
      <c r="A291" s="127"/>
      <c r="B291" s="149"/>
      <c r="C291" s="7"/>
      <c r="D291" s="5"/>
      <c r="E291" s="140" t="str">
        <f t="shared" si="13"/>
        <v/>
      </c>
      <c r="F291" s="142"/>
      <c r="G291" s="145">
        <f t="shared" si="15"/>
        <v>0</v>
      </c>
      <c r="H291" s="140" t="str">
        <f t="shared" si="14"/>
        <v/>
      </c>
      <c r="J291" s="148" t="str">
        <f>IFERROR(SUMIFS(当年实际!$V:$V,当年实际!$H:$H,$B291,当年实际!$C:$C,"&gt;="&amp;DATE(YEAR(主页!$D$2),1,1),当年实际!$C:$C,"&lt;="&amp;EOMONTH(DATE(YEAR(主页!$D$2),MONTH(主页!$D$2),1),0))/SUMIFS(当年实际!$P:$P,当年实际!$H:$H,$B291,当年实际!$C:$C,"&gt;="&amp;DATE(YEAR(主页!$D$2),1,1),当年实际!$C:$C,"&lt;="&amp;EOMONTH(DATE(YEAR(主页!$D$2),MONTH(主页!$D$2),1),0)),"")</f>
        <v/>
      </c>
    </row>
    <row r="292" spans="1:10" x14ac:dyDescent="0.3">
      <c r="A292" s="127"/>
      <c r="B292" s="149"/>
      <c r="C292" s="7"/>
      <c r="D292" s="5"/>
      <c r="E292" s="140" t="str">
        <f t="shared" si="13"/>
        <v/>
      </c>
      <c r="F292" s="142"/>
      <c r="G292" s="145">
        <f t="shared" si="15"/>
        <v>0</v>
      </c>
      <c r="H292" s="140" t="str">
        <f t="shared" si="14"/>
        <v/>
      </c>
      <c r="J292" s="148" t="str">
        <f>IFERROR(SUMIFS(当年实际!$V:$V,当年实际!$H:$H,$B292,当年实际!$C:$C,"&gt;="&amp;DATE(YEAR(主页!$D$2),1,1),当年实际!$C:$C,"&lt;="&amp;EOMONTH(DATE(YEAR(主页!$D$2),MONTH(主页!$D$2),1),0))/SUMIFS(当年实际!$P:$P,当年实际!$H:$H,$B292,当年实际!$C:$C,"&gt;="&amp;DATE(YEAR(主页!$D$2),1,1),当年实际!$C:$C,"&lt;="&amp;EOMONTH(DATE(YEAR(主页!$D$2),MONTH(主页!$D$2),1),0)),"")</f>
        <v/>
      </c>
    </row>
    <row r="293" spans="1:10" x14ac:dyDescent="0.3">
      <c r="A293" s="127"/>
      <c r="B293" s="149"/>
      <c r="C293" s="7"/>
      <c r="D293" s="5"/>
      <c r="E293" s="140" t="str">
        <f t="shared" si="13"/>
        <v/>
      </c>
      <c r="F293" s="142"/>
      <c r="G293" s="145">
        <f t="shared" si="15"/>
        <v>0</v>
      </c>
      <c r="H293" s="140" t="str">
        <f t="shared" si="14"/>
        <v/>
      </c>
      <c r="J293" s="148" t="str">
        <f>IFERROR(SUMIFS(当年实际!$V:$V,当年实际!$H:$H,$B293,当年实际!$C:$C,"&gt;="&amp;DATE(YEAR(主页!$D$2),1,1),当年实际!$C:$C,"&lt;="&amp;EOMONTH(DATE(YEAR(主页!$D$2),MONTH(主页!$D$2),1),0))/SUMIFS(当年实际!$P:$P,当年实际!$H:$H,$B293,当年实际!$C:$C,"&gt;="&amp;DATE(YEAR(主页!$D$2),1,1),当年实际!$C:$C,"&lt;="&amp;EOMONTH(DATE(YEAR(主页!$D$2),MONTH(主页!$D$2),1),0)),"")</f>
        <v/>
      </c>
    </row>
    <row r="294" spans="1:10" x14ac:dyDescent="0.3">
      <c r="A294" s="127"/>
      <c r="B294" s="149"/>
      <c r="C294" s="7"/>
      <c r="D294" s="5"/>
      <c r="E294" s="140" t="str">
        <f t="shared" si="13"/>
        <v/>
      </c>
      <c r="F294" s="142"/>
      <c r="G294" s="145">
        <f t="shared" si="15"/>
        <v>0</v>
      </c>
      <c r="H294" s="140" t="str">
        <f t="shared" si="14"/>
        <v/>
      </c>
      <c r="J294" s="148" t="str">
        <f>IFERROR(SUMIFS(当年实际!$V:$V,当年实际!$H:$H,$B294,当年实际!$C:$C,"&gt;="&amp;DATE(YEAR(主页!$D$2),1,1),当年实际!$C:$C,"&lt;="&amp;EOMONTH(DATE(YEAR(主页!$D$2),MONTH(主页!$D$2),1),0))/SUMIFS(当年实际!$P:$P,当年实际!$H:$H,$B294,当年实际!$C:$C,"&gt;="&amp;DATE(YEAR(主页!$D$2),1,1),当年实际!$C:$C,"&lt;="&amp;EOMONTH(DATE(YEAR(主页!$D$2),MONTH(主页!$D$2),1),0)),"")</f>
        <v/>
      </c>
    </row>
    <row r="295" spans="1:10" x14ac:dyDescent="0.3">
      <c r="A295" s="127"/>
      <c r="B295" s="149"/>
      <c r="C295" s="7"/>
      <c r="D295" s="5"/>
      <c r="E295" s="140" t="str">
        <f t="shared" si="13"/>
        <v/>
      </c>
      <c r="F295" s="142"/>
      <c r="G295" s="145">
        <f t="shared" si="15"/>
        <v>0</v>
      </c>
      <c r="H295" s="140" t="str">
        <f t="shared" si="14"/>
        <v/>
      </c>
      <c r="J295" s="148" t="str">
        <f>IFERROR(SUMIFS(当年实际!$V:$V,当年实际!$H:$H,$B295,当年实际!$C:$C,"&gt;="&amp;DATE(YEAR(主页!$D$2),1,1),当年实际!$C:$C,"&lt;="&amp;EOMONTH(DATE(YEAR(主页!$D$2),MONTH(主页!$D$2),1),0))/SUMIFS(当年实际!$P:$P,当年实际!$H:$H,$B295,当年实际!$C:$C,"&gt;="&amp;DATE(YEAR(主页!$D$2),1,1),当年实际!$C:$C,"&lt;="&amp;EOMONTH(DATE(YEAR(主页!$D$2),MONTH(主页!$D$2),1),0)),"")</f>
        <v/>
      </c>
    </row>
    <row r="296" spans="1:10" x14ac:dyDescent="0.3">
      <c r="A296" s="127"/>
      <c r="B296" s="149"/>
      <c r="C296" s="7"/>
      <c r="D296" s="5"/>
      <c r="E296" s="140" t="str">
        <f t="shared" si="13"/>
        <v/>
      </c>
      <c r="F296" s="142"/>
      <c r="G296" s="145">
        <f t="shared" si="15"/>
        <v>0</v>
      </c>
      <c r="H296" s="140" t="str">
        <f t="shared" si="14"/>
        <v/>
      </c>
      <c r="J296" s="148" t="str">
        <f>IFERROR(SUMIFS(当年实际!$V:$V,当年实际!$H:$H,$B296,当年实际!$C:$C,"&gt;="&amp;DATE(YEAR(主页!$D$2),1,1),当年实际!$C:$C,"&lt;="&amp;EOMONTH(DATE(YEAR(主页!$D$2),MONTH(主页!$D$2),1),0))/SUMIFS(当年实际!$P:$P,当年实际!$H:$H,$B296,当年实际!$C:$C,"&gt;="&amp;DATE(YEAR(主页!$D$2),1,1),当年实际!$C:$C,"&lt;="&amp;EOMONTH(DATE(YEAR(主页!$D$2),MONTH(主页!$D$2),1),0)),"")</f>
        <v/>
      </c>
    </row>
    <row r="297" spans="1:10" x14ac:dyDescent="0.3">
      <c r="A297" s="127"/>
      <c r="B297" s="149"/>
      <c r="C297" s="7"/>
      <c r="D297" s="5"/>
      <c r="E297" s="140" t="str">
        <f t="shared" si="13"/>
        <v/>
      </c>
      <c r="F297" s="142"/>
      <c r="G297" s="145">
        <f t="shared" si="15"/>
        <v>0</v>
      </c>
      <c r="H297" s="140" t="str">
        <f t="shared" si="14"/>
        <v/>
      </c>
      <c r="J297" s="148" t="str">
        <f>IFERROR(SUMIFS(当年实际!$V:$V,当年实际!$H:$H,$B297,当年实际!$C:$C,"&gt;="&amp;DATE(YEAR(主页!$D$2),1,1),当年实际!$C:$C,"&lt;="&amp;EOMONTH(DATE(YEAR(主页!$D$2),MONTH(主页!$D$2),1),0))/SUMIFS(当年实际!$P:$P,当年实际!$H:$H,$B297,当年实际!$C:$C,"&gt;="&amp;DATE(YEAR(主页!$D$2),1,1),当年实际!$C:$C,"&lt;="&amp;EOMONTH(DATE(YEAR(主页!$D$2),MONTH(主页!$D$2),1),0)),"")</f>
        <v/>
      </c>
    </row>
    <row r="298" spans="1:10" x14ac:dyDescent="0.3">
      <c r="A298" s="127"/>
      <c r="B298" s="149"/>
      <c r="C298" s="7"/>
      <c r="D298" s="5"/>
      <c r="E298" s="140" t="str">
        <f t="shared" si="13"/>
        <v/>
      </c>
      <c r="F298" s="142"/>
      <c r="G298" s="145">
        <f t="shared" si="15"/>
        <v>0</v>
      </c>
      <c r="H298" s="140" t="str">
        <f t="shared" si="14"/>
        <v/>
      </c>
      <c r="J298" s="148" t="str">
        <f>IFERROR(SUMIFS(当年实际!$V:$V,当年实际!$H:$H,$B298,当年实际!$C:$C,"&gt;="&amp;DATE(YEAR(主页!$D$2),1,1),当年实际!$C:$C,"&lt;="&amp;EOMONTH(DATE(YEAR(主页!$D$2),MONTH(主页!$D$2),1),0))/SUMIFS(当年实际!$P:$P,当年实际!$H:$H,$B298,当年实际!$C:$C,"&gt;="&amp;DATE(YEAR(主页!$D$2),1,1),当年实际!$C:$C,"&lt;="&amp;EOMONTH(DATE(YEAR(主页!$D$2),MONTH(主页!$D$2),1),0)),"")</f>
        <v/>
      </c>
    </row>
    <row r="299" spans="1:10" x14ac:dyDescent="0.3">
      <c r="A299" s="127"/>
      <c r="B299" s="149"/>
      <c r="C299" s="7"/>
      <c r="D299" s="5"/>
      <c r="E299" s="140" t="str">
        <f t="shared" si="13"/>
        <v/>
      </c>
      <c r="F299" s="142"/>
      <c r="G299" s="145">
        <f t="shared" si="15"/>
        <v>0</v>
      </c>
      <c r="H299" s="140" t="str">
        <f t="shared" si="14"/>
        <v/>
      </c>
      <c r="J299" s="148" t="str">
        <f>IFERROR(SUMIFS(当年实际!$V:$V,当年实际!$H:$H,$B299,当年实际!$C:$C,"&gt;="&amp;DATE(YEAR(主页!$D$2),1,1),当年实际!$C:$C,"&lt;="&amp;EOMONTH(DATE(YEAR(主页!$D$2),MONTH(主页!$D$2),1),0))/SUMIFS(当年实际!$P:$P,当年实际!$H:$H,$B299,当年实际!$C:$C,"&gt;="&amp;DATE(YEAR(主页!$D$2),1,1),当年实际!$C:$C,"&lt;="&amp;EOMONTH(DATE(YEAR(主页!$D$2),MONTH(主页!$D$2),1),0)),"")</f>
        <v/>
      </c>
    </row>
    <row r="300" spans="1:10" x14ac:dyDescent="0.3">
      <c r="A300" s="127"/>
      <c r="B300" s="149"/>
      <c r="C300" s="7"/>
      <c r="D300" s="5"/>
      <c r="E300" s="140" t="str">
        <f t="shared" si="13"/>
        <v/>
      </c>
      <c r="F300" s="142"/>
      <c r="G300" s="145">
        <f t="shared" si="15"/>
        <v>0</v>
      </c>
      <c r="H300" s="140" t="str">
        <f t="shared" si="14"/>
        <v/>
      </c>
      <c r="J300" s="148" t="str">
        <f>IFERROR(SUMIFS(当年实际!$V:$V,当年实际!$H:$H,$B300,当年实际!$C:$C,"&gt;="&amp;DATE(YEAR(主页!$D$2),1,1),当年实际!$C:$C,"&lt;="&amp;EOMONTH(DATE(YEAR(主页!$D$2),MONTH(主页!$D$2),1),0))/SUMIFS(当年实际!$P:$P,当年实际!$H:$H,$B300,当年实际!$C:$C,"&gt;="&amp;DATE(YEAR(主页!$D$2),1,1),当年实际!$C:$C,"&lt;="&amp;EOMONTH(DATE(YEAR(主页!$D$2),MONTH(主页!$D$2),1),0)),"")</f>
        <v/>
      </c>
    </row>
    <row r="301" spans="1:10" x14ac:dyDescent="0.3">
      <c r="A301" s="127"/>
      <c r="B301" s="149"/>
      <c r="C301" s="7"/>
      <c r="D301" s="5"/>
      <c r="E301" s="140" t="str">
        <f t="shared" si="13"/>
        <v/>
      </c>
      <c r="F301" s="142"/>
      <c r="G301" s="145">
        <f t="shared" si="15"/>
        <v>0</v>
      </c>
      <c r="H301" s="140" t="str">
        <f t="shared" si="14"/>
        <v/>
      </c>
      <c r="J301" s="148" t="str">
        <f>IFERROR(SUMIFS(当年实际!$V:$V,当年实际!$H:$H,$B301,当年实际!$C:$C,"&gt;="&amp;DATE(YEAR(主页!$D$2),1,1),当年实际!$C:$C,"&lt;="&amp;EOMONTH(DATE(YEAR(主页!$D$2),MONTH(主页!$D$2),1),0))/SUMIFS(当年实际!$P:$P,当年实际!$H:$H,$B301,当年实际!$C:$C,"&gt;="&amp;DATE(YEAR(主页!$D$2),1,1),当年实际!$C:$C,"&lt;="&amp;EOMONTH(DATE(YEAR(主页!$D$2),MONTH(主页!$D$2),1),0)),"")</f>
        <v/>
      </c>
    </row>
    <row r="302" spans="1:10" x14ac:dyDescent="0.3">
      <c r="A302" s="127"/>
      <c r="B302" s="149"/>
      <c r="C302" s="7"/>
      <c r="D302" s="5"/>
      <c r="E302" s="140" t="str">
        <f t="shared" si="13"/>
        <v/>
      </c>
      <c r="F302" s="142"/>
      <c r="G302" s="145">
        <f t="shared" si="15"/>
        <v>0</v>
      </c>
      <c r="H302" s="140" t="str">
        <f t="shared" si="14"/>
        <v/>
      </c>
      <c r="J302" s="148" t="str">
        <f>IFERROR(SUMIFS(当年实际!$V:$V,当年实际!$H:$H,$B302,当年实际!$C:$C,"&gt;="&amp;DATE(YEAR(主页!$D$2),1,1),当年实际!$C:$C,"&lt;="&amp;EOMONTH(DATE(YEAR(主页!$D$2),MONTH(主页!$D$2),1),0))/SUMIFS(当年实际!$P:$P,当年实际!$H:$H,$B302,当年实际!$C:$C,"&gt;="&amp;DATE(YEAR(主页!$D$2),1,1),当年实际!$C:$C,"&lt;="&amp;EOMONTH(DATE(YEAR(主页!$D$2),MONTH(主页!$D$2),1),0)),"")</f>
        <v/>
      </c>
    </row>
    <row r="303" spans="1:10" x14ac:dyDescent="0.3">
      <c r="A303" s="127"/>
      <c r="B303" s="149"/>
      <c r="C303" s="7"/>
      <c r="D303" s="5"/>
      <c r="E303" s="140" t="str">
        <f t="shared" si="13"/>
        <v/>
      </c>
      <c r="F303" s="142"/>
      <c r="G303" s="145">
        <f t="shared" si="15"/>
        <v>0</v>
      </c>
      <c r="H303" s="140" t="str">
        <f t="shared" si="14"/>
        <v/>
      </c>
      <c r="J303" s="148" t="str">
        <f>IFERROR(SUMIFS(当年实际!$V:$V,当年实际!$H:$H,$B303,当年实际!$C:$C,"&gt;="&amp;DATE(YEAR(主页!$D$2),1,1),当年实际!$C:$C,"&lt;="&amp;EOMONTH(DATE(YEAR(主页!$D$2),MONTH(主页!$D$2),1),0))/SUMIFS(当年实际!$P:$P,当年实际!$H:$H,$B303,当年实际!$C:$C,"&gt;="&amp;DATE(YEAR(主页!$D$2),1,1),当年实际!$C:$C,"&lt;="&amp;EOMONTH(DATE(YEAR(主页!$D$2),MONTH(主页!$D$2),1),0)),"")</f>
        <v/>
      </c>
    </row>
    <row r="304" spans="1:10" x14ac:dyDescent="0.3">
      <c r="A304" s="127"/>
      <c r="B304" s="149"/>
      <c r="C304" s="7"/>
      <c r="D304" s="5"/>
      <c r="E304" s="140" t="str">
        <f t="shared" si="13"/>
        <v/>
      </c>
      <c r="F304" s="142"/>
      <c r="G304" s="145">
        <f t="shared" si="15"/>
        <v>0</v>
      </c>
      <c r="H304" s="140" t="str">
        <f t="shared" si="14"/>
        <v/>
      </c>
      <c r="J304" s="148" t="str">
        <f>IFERROR(SUMIFS(当年实际!$V:$V,当年实际!$H:$H,$B304,当年实际!$C:$C,"&gt;="&amp;DATE(YEAR(主页!$D$2),1,1),当年实际!$C:$C,"&lt;="&amp;EOMONTH(DATE(YEAR(主页!$D$2),MONTH(主页!$D$2),1),0))/SUMIFS(当年实际!$P:$P,当年实际!$H:$H,$B304,当年实际!$C:$C,"&gt;="&amp;DATE(YEAR(主页!$D$2),1,1),当年实际!$C:$C,"&lt;="&amp;EOMONTH(DATE(YEAR(主页!$D$2),MONTH(主页!$D$2),1),0)),"")</f>
        <v/>
      </c>
    </row>
    <row r="305" spans="1:10" x14ac:dyDescent="0.3">
      <c r="A305" s="127"/>
      <c r="B305" s="149"/>
      <c r="C305" s="7"/>
      <c r="D305" s="5"/>
      <c r="E305" s="140" t="str">
        <f t="shared" si="13"/>
        <v/>
      </c>
      <c r="F305" s="142"/>
      <c r="G305" s="145">
        <f t="shared" si="15"/>
        <v>0</v>
      </c>
      <c r="H305" s="140" t="str">
        <f t="shared" si="14"/>
        <v/>
      </c>
      <c r="J305" s="148" t="str">
        <f>IFERROR(SUMIFS(当年实际!$V:$V,当年实际!$H:$H,$B305,当年实际!$C:$C,"&gt;="&amp;DATE(YEAR(主页!$D$2),1,1),当年实际!$C:$C,"&lt;="&amp;EOMONTH(DATE(YEAR(主页!$D$2),MONTH(主页!$D$2),1),0))/SUMIFS(当年实际!$P:$P,当年实际!$H:$H,$B305,当年实际!$C:$C,"&gt;="&amp;DATE(YEAR(主页!$D$2),1,1),当年实际!$C:$C,"&lt;="&amp;EOMONTH(DATE(YEAR(主页!$D$2),MONTH(主页!$D$2),1),0)),"")</f>
        <v/>
      </c>
    </row>
    <row r="306" spans="1:10" x14ac:dyDescent="0.3">
      <c r="A306" s="127"/>
      <c r="B306" s="149"/>
      <c r="C306" s="7"/>
      <c r="D306" s="5"/>
      <c r="E306" s="140" t="str">
        <f t="shared" si="13"/>
        <v/>
      </c>
      <c r="F306" s="142"/>
      <c r="G306" s="145">
        <f t="shared" si="15"/>
        <v>0</v>
      </c>
      <c r="H306" s="140" t="str">
        <f t="shared" si="14"/>
        <v/>
      </c>
      <c r="J306" s="148" t="str">
        <f>IFERROR(SUMIFS(当年实际!$V:$V,当年实际!$H:$H,$B306,当年实际!$C:$C,"&gt;="&amp;DATE(YEAR(主页!$D$2),1,1),当年实际!$C:$C,"&lt;="&amp;EOMONTH(DATE(YEAR(主页!$D$2),MONTH(主页!$D$2),1),0))/SUMIFS(当年实际!$P:$P,当年实际!$H:$H,$B306,当年实际!$C:$C,"&gt;="&amp;DATE(YEAR(主页!$D$2),1,1),当年实际!$C:$C,"&lt;="&amp;EOMONTH(DATE(YEAR(主页!$D$2),MONTH(主页!$D$2),1),0)),"")</f>
        <v/>
      </c>
    </row>
    <row r="307" spans="1:10" x14ac:dyDescent="0.3">
      <c r="A307" s="127"/>
      <c r="B307" s="149"/>
      <c r="C307" s="7"/>
      <c r="D307" s="5"/>
      <c r="E307" s="140" t="str">
        <f t="shared" si="13"/>
        <v/>
      </c>
      <c r="F307" s="142"/>
      <c r="G307" s="145">
        <f t="shared" si="15"/>
        <v>0</v>
      </c>
      <c r="H307" s="140" t="str">
        <f t="shared" si="14"/>
        <v/>
      </c>
      <c r="J307" s="148" t="str">
        <f>IFERROR(SUMIFS(当年实际!$V:$V,当年实际!$H:$H,$B307,当年实际!$C:$C,"&gt;="&amp;DATE(YEAR(主页!$D$2),1,1),当年实际!$C:$C,"&lt;="&amp;EOMONTH(DATE(YEAR(主页!$D$2),MONTH(主页!$D$2),1),0))/SUMIFS(当年实际!$P:$P,当年实际!$H:$H,$B307,当年实际!$C:$C,"&gt;="&amp;DATE(YEAR(主页!$D$2),1,1),当年实际!$C:$C,"&lt;="&amp;EOMONTH(DATE(YEAR(主页!$D$2),MONTH(主页!$D$2),1),0)),"")</f>
        <v/>
      </c>
    </row>
    <row r="308" spans="1:10" x14ac:dyDescent="0.3">
      <c r="A308" s="127"/>
      <c r="B308" s="149"/>
      <c r="C308" s="7"/>
      <c r="D308" s="5"/>
      <c r="E308" s="140" t="str">
        <f t="shared" si="13"/>
        <v/>
      </c>
      <c r="F308" s="142"/>
      <c r="G308" s="145">
        <f t="shared" si="15"/>
        <v>0</v>
      </c>
      <c r="H308" s="140" t="str">
        <f t="shared" si="14"/>
        <v/>
      </c>
      <c r="J308" s="148" t="str">
        <f>IFERROR(SUMIFS(当年实际!$V:$V,当年实际!$H:$H,$B308,当年实际!$C:$C,"&gt;="&amp;DATE(YEAR(主页!$D$2),1,1),当年实际!$C:$C,"&lt;="&amp;EOMONTH(DATE(YEAR(主页!$D$2),MONTH(主页!$D$2),1),0))/SUMIFS(当年实际!$P:$P,当年实际!$H:$H,$B308,当年实际!$C:$C,"&gt;="&amp;DATE(YEAR(主页!$D$2),1,1),当年实际!$C:$C,"&lt;="&amp;EOMONTH(DATE(YEAR(主页!$D$2),MONTH(主页!$D$2),1),0)),"")</f>
        <v/>
      </c>
    </row>
    <row r="309" spans="1:10" x14ac:dyDescent="0.3">
      <c r="A309" s="127"/>
      <c r="B309" s="149"/>
      <c r="C309" s="7"/>
      <c r="D309" s="5"/>
      <c r="E309" s="140" t="str">
        <f t="shared" si="13"/>
        <v/>
      </c>
      <c r="F309" s="142"/>
      <c r="G309" s="145">
        <f t="shared" si="15"/>
        <v>0</v>
      </c>
      <c r="H309" s="140" t="str">
        <f t="shared" si="14"/>
        <v/>
      </c>
      <c r="J309" s="148" t="str">
        <f>IFERROR(SUMIFS(当年实际!$V:$V,当年实际!$H:$H,$B309,当年实际!$C:$C,"&gt;="&amp;DATE(YEAR(主页!$D$2),1,1),当年实际!$C:$C,"&lt;="&amp;EOMONTH(DATE(YEAR(主页!$D$2),MONTH(主页!$D$2),1),0))/SUMIFS(当年实际!$P:$P,当年实际!$H:$H,$B309,当年实际!$C:$C,"&gt;="&amp;DATE(YEAR(主页!$D$2),1,1),当年实际!$C:$C,"&lt;="&amp;EOMONTH(DATE(YEAR(主页!$D$2),MONTH(主页!$D$2),1),0)),"")</f>
        <v/>
      </c>
    </row>
    <row r="310" spans="1:10" x14ac:dyDescent="0.3">
      <c r="A310" s="127"/>
      <c r="B310" s="149"/>
      <c r="C310" s="7"/>
      <c r="D310" s="5"/>
      <c r="E310" s="140" t="str">
        <f t="shared" si="13"/>
        <v/>
      </c>
      <c r="F310" s="142"/>
      <c r="G310" s="145">
        <f t="shared" si="15"/>
        <v>0</v>
      </c>
      <c r="H310" s="140" t="str">
        <f t="shared" si="14"/>
        <v/>
      </c>
      <c r="J310" s="148" t="str">
        <f>IFERROR(SUMIFS(当年实际!$V:$V,当年实际!$H:$H,$B310,当年实际!$C:$C,"&gt;="&amp;DATE(YEAR(主页!$D$2),1,1),当年实际!$C:$C,"&lt;="&amp;EOMONTH(DATE(YEAR(主页!$D$2),MONTH(主页!$D$2),1),0))/SUMIFS(当年实际!$P:$P,当年实际!$H:$H,$B310,当年实际!$C:$C,"&gt;="&amp;DATE(YEAR(主页!$D$2),1,1),当年实际!$C:$C,"&lt;="&amp;EOMONTH(DATE(YEAR(主页!$D$2),MONTH(主页!$D$2),1),0)),"")</f>
        <v/>
      </c>
    </row>
    <row r="311" spans="1:10" x14ac:dyDescent="0.3">
      <c r="A311" s="127"/>
      <c r="B311" s="149"/>
      <c r="C311" s="7"/>
      <c r="D311" s="5"/>
      <c r="E311" s="140" t="str">
        <f t="shared" si="13"/>
        <v/>
      </c>
      <c r="F311" s="142"/>
      <c r="G311" s="145">
        <f t="shared" si="15"/>
        <v>0</v>
      </c>
      <c r="H311" s="140" t="str">
        <f t="shared" si="14"/>
        <v/>
      </c>
      <c r="J311" s="148" t="str">
        <f>IFERROR(SUMIFS(当年实际!$V:$V,当年实际!$H:$H,$B311,当年实际!$C:$C,"&gt;="&amp;DATE(YEAR(主页!$D$2),1,1),当年实际!$C:$C,"&lt;="&amp;EOMONTH(DATE(YEAR(主页!$D$2),MONTH(主页!$D$2),1),0))/SUMIFS(当年实际!$P:$P,当年实际!$H:$H,$B311,当年实际!$C:$C,"&gt;="&amp;DATE(YEAR(主页!$D$2),1,1),当年实际!$C:$C,"&lt;="&amp;EOMONTH(DATE(YEAR(主页!$D$2),MONTH(主页!$D$2),1),0)),"")</f>
        <v/>
      </c>
    </row>
    <row r="312" spans="1:10" x14ac:dyDescent="0.3">
      <c r="A312" s="127"/>
      <c r="B312" s="149"/>
      <c r="C312" s="7"/>
      <c r="D312" s="5"/>
      <c r="E312" s="140" t="str">
        <f t="shared" si="13"/>
        <v/>
      </c>
      <c r="F312" s="142"/>
      <c r="G312" s="145">
        <f t="shared" si="15"/>
        <v>0</v>
      </c>
      <c r="H312" s="140" t="str">
        <f t="shared" si="14"/>
        <v/>
      </c>
      <c r="J312" s="148" t="str">
        <f>IFERROR(SUMIFS(当年实际!$V:$V,当年实际!$H:$H,$B312,当年实际!$C:$C,"&gt;="&amp;DATE(YEAR(主页!$D$2),1,1),当年实际!$C:$C,"&lt;="&amp;EOMONTH(DATE(YEAR(主页!$D$2),MONTH(主页!$D$2),1),0))/SUMIFS(当年实际!$P:$P,当年实际!$H:$H,$B312,当年实际!$C:$C,"&gt;="&amp;DATE(YEAR(主页!$D$2),1,1),当年实际!$C:$C,"&lt;="&amp;EOMONTH(DATE(YEAR(主页!$D$2),MONTH(主页!$D$2),1),0)),"")</f>
        <v/>
      </c>
    </row>
    <row r="313" spans="1:10" x14ac:dyDescent="0.3">
      <c r="A313" s="127"/>
      <c r="B313" s="149"/>
      <c r="C313" s="7"/>
      <c r="D313" s="5"/>
      <c r="E313" s="140" t="str">
        <f t="shared" si="13"/>
        <v/>
      </c>
      <c r="F313" s="142"/>
      <c r="G313" s="145">
        <f t="shared" si="15"/>
        <v>0</v>
      </c>
      <c r="H313" s="140" t="str">
        <f t="shared" si="14"/>
        <v/>
      </c>
      <c r="J313" s="148" t="str">
        <f>IFERROR(SUMIFS(当年实际!$V:$V,当年实际!$H:$H,$B313,当年实际!$C:$C,"&gt;="&amp;DATE(YEAR(主页!$D$2),1,1),当年实际!$C:$C,"&lt;="&amp;EOMONTH(DATE(YEAR(主页!$D$2),MONTH(主页!$D$2),1),0))/SUMIFS(当年实际!$P:$P,当年实际!$H:$H,$B313,当年实际!$C:$C,"&gt;="&amp;DATE(YEAR(主页!$D$2),1,1),当年实际!$C:$C,"&lt;="&amp;EOMONTH(DATE(YEAR(主页!$D$2),MONTH(主页!$D$2),1),0)),"")</f>
        <v/>
      </c>
    </row>
    <row r="314" spans="1:10" x14ac:dyDescent="0.3">
      <c r="A314" s="127"/>
      <c r="B314" s="149"/>
      <c r="C314" s="7"/>
      <c r="D314" s="5"/>
      <c r="E314" s="140" t="str">
        <f t="shared" si="13"/>
        <v/>
      </c>
      <c r="F314" s="142"/>
      <c r="G314" s="145">
        <f t="shared" si="15"/>
        <v>0</v>
      </c>
      <c r="H314" s="140" t="str">
        <f t="shared" si="14"/>
        <v/>
      </c>
      <c r="J314" s="148" t="str">
        <f>IFERROR(SUMIFS(当年实际!$V:$V,当年实际!$H:$H,$B314,当年实际!$C:$C,"&gt;="&amp;DATE(YEAR(主页!$D$2),1,1),当年实际!$C:$C,"&lt;="&amp;EOMONTH(DATE(YEAR(主页!$D$2),MONTH(主页!$D$2),1),0))/SUMIFS(当年实际!$P:$P,当年实际!$H:$H,$B314,当年实际!$C:$C,"&gt;="&amp;DATE(YEAR(主页!$D$2),1,1),当年实际!$C:$C,"&lt;="&amp;EOMONTH(DATE(YEAR(主页!$D$2),MONTH(主页!$D$2),1),0)),"")</f>
        <v/>
      </c>
    </row>
    <row r="315" spans="1:10" x14ac:dyDescent="0.3">
      <c r="A315" s="127"/>
      <c r="B315" s="149"/>
      <c r="C315" s="7"/>
      <c r="D315" s="5"/>
      <c r="E315" s="140" t="str">
        <f t="shared" si="13"/>
        <v/>
      </c>
      <c r="F315" s="142"/>
      <c r="G315" s="145">
        <f t="shared" si="15"/>
        <v>0</v>
      </c>
      <c r="H315" s="140" t="str">
        <f t="shared" si="14"/>
        <v/>
      </c>
      <c r="J315" s="148" t="str">
        <f>IFERROR(SUMIFS(当年实际!$V:$V,当年实际!$H:$H,$B315,当年实际!$C:$C,"&gt;="&amp;DATE(YEAR(主页!$D$2),1,1),当年实际!$C:$C,"&lt;="&amp;EOMONTH(DATE(YEAR(主页!$D$2),MONTH(主页!$D$2),1),0))/SUMIFS(当年实际!$P:$P,当年实际!$H:$H,$B315,当年实际!$C:$C,"&gt;="&amp;DATE(YEAR(主页!$D$2),1,1),当年实际!$C:$C,"&lt;="&amp;EOMONTH(DATE(YEAR(主页!$D$2),MONTH(主页!$D$2),1),0)),"")</f>
        <v/>
      </c>
    </row>
    <row r="316" spans="1:10" x14ac:dyDescent="0.3">
      <c r="A316" s="127"/>
      <c r="B316" s="149"/>
      <c r="C316" s="7"/>
      <c r="D316" s="5"/>
      <c r="E316" s="140" t="str">
        <f t="shared" si="13"/>
        <v/>
      </c>
      <c r="F316" s="142"/>
      <c r="G316" s="145">
        <f t="shared" si="15"/>
        <v>0</v>
      </c>
      <c r="H316" s="140" t="str">
        <f t="shared" si="14"/>
        <v/>
      </c>
      <c r="J316" s="148" t="str">
        <f>IFERROR(SUMIFS(当年实际!$V:$V,当年实际!$H:$H,$B316,当年实际!$C:$C,"&gt;="&amp;DATE(YEAR(主页!$D$2),1,1),当年实际!$C:$C,"&lt;="&amp;EOMONTH(DATE(YEAR(主页!$D$2),MONTH(主页!$D$2),1),0))/SUMIFS(当年实际!$P:$P,当年实际!$H:$H,$B316,当年实际!$C:$C,"&gt;="&amp;DATE(YEAR(主页!$D$2),1,1),当年实际!$C:$C,"&lt;="&amp;EOMONTH(DATE(YEAR(主页!$D$2),MONTH(主页!$D$2),1),0)),"")</f>
        <v/>
      </c>
    </row>
    <row r="317" spans="1:10" x14ac:dyDescent="0.3">
      <c r="A317" s="127"/>
      <c r="B317" s="149"/>
      <c r="C317" s="7"/>
      <c r="D317" s="5"/>
      <c r="E317" s="140" t="str">
        <f t="shared" si="13"/>
        <v/>
      </c>
      <c r="F317" s="142"/>
      <c r="G317" s="145">
        <f t="shared" si="15"/>
        <v>0</v>
      </c>
      <c r="H317" s="140" t="str">
        <f t="shared" si="14"/>
        <v/>
      </c>
      <c r="J317" s="148" t="str">
        <f>IFERROR(SUMIFS(当年实际!$V:$V,当年实际!$H:$H,$B317,当年实际!$C:$C,"&gt;="&amp;DATE(YEAR(主页!$D$2),1,1),当年实际!$C:$C,"&lt;="&amp;EOMONTH(DATE(YEAR(主页!$D$2),MONTH(主页!$D$2),1),0))/SUMIFS(当年实际!$P:$P,当年实际!$H:$H,$B317,当年实际!$C:$C,"&gt;="&amp;DATE(YEAR(主页!$D$2),1,1),当年实际!$C:$C,"&lt;="&amp;EOMONTH(DATE(YEAR(主页!$D$2),MONTH(主页!$D$2),1),0)),"")</f>
        <v/>
      </c>
    </row>
    <row r="318" spans="1:10" x14ac:dyDescent="0.3">
      <c r="A318" s="127"/>
      <c r="B318" s="149"/>
      <c r="C318" s="7"/>
      <c r="D318" s="5"/>
      <c r="E318" s="140" t="str">
        <f t="shared" si="13"/>
        <v/>
      </c>
      <c r="F318" s="142"/>
      <c r="G318" s="145">
        <f t="shared" si="15"/>
        <v>0</v>
      </c>
      <c r="H318" s="140" t="str">
        <f t="shared" si="14"/>
        <v/>
      </c>
      <c r="J318" s="148" t="str">
        <f>IFERROR(SUMIFS(当年实际!$V:$V,当年实际!$H:$H,$B318,当年实际!$C:$C,"&gt;="&amp;DATE(YEAR(主页!$D$2),1,1),当年实际!$C:$C,"&lt;="&amp;EOMONTH(DATE(YEAR(主页!$D$2),MONTH(主页!$D$2),1),0))/SUMIFS(当年实际!$P:$P,当年实际!$H:$H,$B318,当年实际!$C:$C,"&gt;="&amp;DATE(YEAR(主页!$D$2),1,1),当年实际!$C:$C,"&lt;="&amp;EOMONTH(DATE(YEAR(主页!$D$2),MONTH(主页!$D$2),1),0)),"")</f>
        <v/>
      </c>
    </row>
    <row r="319" spans="1:10" x14ac:dyDescent="0.3">
      <c r="A319" s="127"/>
      <c r="B319" s="149"/>
      <c r="C319" s="7"/>
      <c r="D319" s="5"/>
      <c r="E319" s="140" t="str">
        <f t="shared" si="13"/>
        <v/>
      </c>
      <c r="F319" s="142"/>
      <c r="G319" s="145">
        <f t="shared" si="15"/>
        <v>0</v>
      </c>
      <c r="H319" s="140" t="str">
        <f t="shared" si="14"/>
        <v/>
      </c>
      <c r="J319" s="148" t="str">
        <f>IFERROR(SUMIFS(当年实际!$V:$V,当年实际!$H:$H,$B319,当年实际!$C:$C,"&gt;="&amp;DATE(YEAR(主页!$D$2),1,1),当年实际!$C:$C,"&lt;="&amp;EOMONTH(DATE(YEAR(主页!$D$2),MONTH(主页!$D$2),1),0))/SUMIFS(当年实际!$P:$P,当年实际!$H:$H,$B319,当年实际!$C:$C,"&gt;="&amp;DATE(YEAR(主页!$D$2),1,1),当年实际!$C:$C,"&lt;="&amp;EOMONTH(DATE(YEAR(主页!$D$2),MONTH(主页!$D$2),1),0)),"")</f>
        <v/>
      </c>
    </row>
    <row r="320" spans="1:10" x14ac:dyDescent="0.3">
      <c r="A320" s="127"/>
      <c r="B320" s="149"/>
      <c r="C320" s="7"/>
      <c r="D320" s="5"/>
      <c r="E320" s="140" t="str">
        <f t="shared" si="13"/>
        <v/>
      </c>
      <c r="F320" s="142"/>
      <c r="G320" s="145">
        <f t="shared" si="15"/>
        <v>0</v>
      </c>
      <c r="H320" s="140" t="str">
        <f t="shared" si="14"/>
        <v/>
      </c>
      <c r="J320" s="148" t="str">
        <f>IFERROR(SUMIFS(当年实际!$V:$V,当年实际!$H:$H,$B320,当年实际!$C:$C,"&gt;="&amp;DATE(YEAR(主页!$D$2),1,1),当年实际!$C:$C,"&lt;="&amp;EOMONTH(DATE(YEAR(主页!$D$2),MONTH(主页!$D$2),1),0))/SUMIFS(当年实际!$P:$P,当年实际!$H:$H,$B320,当年实际!$C:$C,"&gt;="&amp;DATE(YEAR(主页!$D$2),1,1),当年实际!$C:$C,"&lt;="&amp;EOMONTH(DATE(YEAR(主页!$D$2),MONTH(主页!$D$2),1),0)),"")</f>
        <v/>
      </c>
    </row>
    <row r="321" spans="1:10" x14ac:dyDescent="0.3">
      <c r="A321" s="127"/>
      <c r="B321" s="149"/>
      <c r="C321" s="7"/>
      <c r="D321" s="5"/>
      <c r="E321" s="140" t="str">
        <f t="shared" si="13"/>
        <v/>
      </c>
      <c r="F321" s="142"/>
      <c r="G321" s="145">
        <f t="shared" si="15"/>
        <v>0</v>
      </c>
      <c r="H321" s="140" t="str">
        <f t="shared" si="14"/>
        <v/>
      </c>
      <c r="J321" s="148" t="str">
        <f>IFERROR(SUMIFS(当年实际!$V:$V,当年实际!$H:$H,$B321,当年实际!$C:$C,"&gt;="&amp;DATE(YEAR(主页!$D$2),1,1),当年实际!$C:$C,"&lt;="&amp;EOMONTH(DATE(YEAR(主页!$D$2),MONTH(主页!$D$2),1),0))/SUMIFS(当年实际!$P:$P,当年实际!$H:$H,$B321,当年实际!$C:$C,"&gt;="&amp;DATE(YEAR(主页!$D$2),1,1),当年实际!$C:$C,"&lt;="&amp;EOMONTH(DATE(YEAR(主页!$D$2),MONTH(主页!$D$2),1),0)),"")</f>
        <v/>
      </c>
    </row>
    <row r="322" spans="1:10" x14ac:dyDescent="0.3">
      <c r="A322" s="127"/>
      <c r="B322" s="149"/>
      <c r="C322" s="7"/>
      <c r="D322" s="5"/>
      <c r="E322" s="140" t="str">
        <f t="shared" si="13"/>
        <v/>
      </c>
      <c r="F322" s="142"/>
      <c r="G322" s="145">
        <f t="shared" si="15"/>
        <v>0</v>
      </c>
      <c r="H322" s="140" t="str">
        <f t="shared" si="14"/>
        <v/>
      </c>
      <c r="J322" s="148" t="str">
        <f>IFERROR(SUMIFS(当年实际!$V:$V,当年实际!$H:$H,$B322,当年实际!$C:$C,"&gt;="&amp;DATE(YEAR(主页!$D$2),1,1),当年实际!$C:$C,"&lt;="&amp;EOMONTH(DATE(YEAR(主页!$D$2),MONTH(主页!$D$2),1),0))/SUMIFS(当年实际!$P:$P,当年实际!$H:$H,$B322,当年实际!$C:$C,"&gt;="&amp;DATE(YEAR(主页!$D$2),1,1),当年实际!$C:$C,"&lt;="&amp;EOMONTH(DATE(YEAR(主页!$D$2),MONTH(主页!$D$2),1),0)),"")</f>
        <v/>
      </c>
    </row>
    <row r="323" spans="1:10" x14ac:dyDescent="0.3">
      <c r="A323" s="127"/>
      <c r="B323" s="149"/>
      <c r="C323" s="7"/>
      <c r="D323" s="5"/>
      <c r="E323" s="140" t="str">
        <f t="shared" si="13"/>
        <v/>
      </c>
      <c r="F323" s="142"/>
      <c r="G323" s="145">
        <f t="shared" si="15"/>
        <v>0</v>
      </c>
      <c r="H323" s="140" t="str">
        <f t="shared" si="14"/>
        <v/>
      </c>
      <c r="J323" s="148" t="str">
        <f>IFERROR(SUMIFS(当年实际!$V:$V,当年实际!$H:$H,$B323,当年实际!$C:$C,"&gt;="&amp;DATE(YEAR(主页!$D$2),1,1),当年实际!$C:$C,"&lt;="&amp;EOMONTH(DATE(YEAR(主页!$D$2),MONTH(主页!$D$2),1),0))/SUMIFS(当年实际!$P:$P,当年实际!$H:$H,$B323,当年实际!$C:$C,"&gt;="&amp;DATE(YEAR(主页!$D$2),1,1),当年实际!$C:$C,"&lt;="&amp;EOMONTH(DATE(YEAR(主页!$D$2),MONTH(主页!$D$2),1),0)),"")</f>
        <v/>
      </c>
    </row>
    <row r="324" spans="1:10" x14ac:dyDescent="0.3">
      <c r="A324" s="127"/>
      <c r="B324" s="149"/>
      <c r="C324" s="7"/>
      <c r="D324" s="5"/>
      <c r="E324" s="140" t="str">
        <f t="shared" ref="E324:E333" si="16">IF(D324/SUM(D:D)=0,"",D324/SUM(D:D))</f>
        <v/>
      </c>
      <c r="F324" s="142"/>
      <c r="G324" s="145">
        <f t="shared" si="15"/>
        <v>0</v>
      </c>
      <c r="H324" s="140" t="str">
        <f t="shared" ref="H324:H333" si="17">IF(G324/SUM(G:G)=0,"",G324/SUM(G:G))</f>
        <v/>
      </c>
      <c r="J324" s="148" t="str">
        <f>IFERROR(SUMIFS(当年实际!$V:$V,当年实际!$H:$H,$B324,当年实际!$C:$C,"&gt;="&amp;DATE(YEAR(主页!$D$2),1,1),当年实际!$C:$C,"&lt;="&amp;EOMONTH(DATE(YEAR(主页!$D$2),MONTH(主页!$D$2),1),0))/SUMIFS(当年实际!$P:$P,当年实际!$H:$H,$B324,当年实际!$C:$C,"&gt;="&amp;DATE(YEAR(主页!$D$2),1,1),当年实际!$C:$C,"&lt;="&amp;EOMONTH(DATE(YEAR(主页!$D$2),MONTH(主页!$D$2),1),0)),"")</f>
        <v/>
      </c>
    </row>
    <row r="325" spans="1:10" x14ac:dyDescent="0.3">
      <c r="A325" s="127"/>
      <c r="B325" s="149"/>
      <c r="C325" s="7"/>
      <c r="D325" s="5"/>
      <c r="E325" s="140" t="str">
        <f t="shared" si="16"/>
        <v/>
      </c>
      <c r="F325" s="142"/>
      <c r="G325" s="145">
        <f t="shared" si="15"/>
        <v>0</v>
      </c>
      <c r="H325" s="140" t="str">
        <f t="shared" si="17"/>
        <v/>
      </c>
      <c r="J325" s="148" t="str">
        <f>IFERROR(SUMIFS(当年实际!$V:$V,当年实际!$H:$H,$B325,当年实际!$C:$C,"&gt;="&amp;DATE(YEAR(主页!$D$2),1,1),当年实际!$C:$C,"&lt;="&amp;EOMONTH(DATE(YEAR(主页!$D$2),MONTH(主页!$D$2),1),0))/SUMIFS(当年实际!$P:$P,当年实际!$H:$H,$B325,当年实际!$C:$C,"&gt;="&amp;DATE(YEAR(主页!$D$2),1,1),当年实际!$C:$C,"&lt;="&amp;EOMONTH(DATE(YEAR(主页!$D$2),MONTH(主页!$D$2),1),0)),"")</f>
        <v/>
      </c>
    </row>
    <row r="326" spans="1:10" x14ac:dyDescent="0.3">
      <c r="A326" s="127"/>
      <c r="B326" s="149"/>
      <c r="C326" s="7"/>
      <c r="D326" s="5"/>
      <c r="E326" s="140" t="str">
        <f t="shared" si="16"/>
        <v/>
      </c>
      <c r="F326" s="142"/>
      <c r="G326" s="145">
        <f t="shared" ref="G326:G333" si="18">D326*F326</f>
        <v>0</v>
      </c>
      <c r="H326" s="140" t="str">
        <f t="shared" si="17"/>
        <v/>
      </c>
      <c r="J326" s="148" t="str">
        <f>IFERROR(SUMIFS(当年实际!$V:$V,当年实际!$H:$H,$B326,当年实际!$C:$C,"&gt;="&amp;DATE(YEAR(主页!$D$2),1,1),当年实际!$C:$C,"&lt;="&amp;EOMONTH(DATE(YEAR(主页!$D$2),MONTH(主页!$D$2),1),0))/SUMIFS(当年实际!$P:$P,当年实际!$H:$H,$B326,当年实际!$C:$C,"&gt;="&amp;DATE(YEAR(主页!$D$2),1,1),当年实际!$C:$C,"&lt;="&amp;EOMONTH(DATE(YEAR(主页!$D$2),MONTH(主页!$D$2),1),0)),"")</f>
        <v/>
      </c>
    </row>
    <row r="327" spans="1:10" x14ac:dyDescent="0.3">
      <c r="A327" s="127"/>
      <c r="B327" s="149"/>
      <c r="C327" s="7"/>
      <c r="D327" s="5"/>
      <c r="E327" s="140" t="str">
        <f t="shared" si="16"/>
        <v/>
      </c>
      <c r="F327" s="142"/>
      <c r="G327" s="145">
        <f t="shared" si="18"/>
        <v>0</v>
      </c>
      <c r="H327" s="140" t="str">
        <f t="shared" si="17"/>
        <v/>
      </c>
      <c r="J327" s="148" t="str">
        <f>IFERROR(SUMIFS(当年实际!$V:$V,当年实际!$H:$H,$B327,当年实际!$C:$C,"&gt;="&amp;DATE(YEAR(主页!$D$2),1,1),当年实际!$C:$C,"&lt;="&amp;EOMONTH(DATE(YEAR(主页!$D$2),MONTH(主页!$D$2),1),0))/SUMIFS(当年实际!$P:$P,当年实际!$H:$H,$B327,当年实际!$C:$C,"&gt;="&amp;DATE(YEAR(主页!$D$2),1,1),当年实际!$C:$C,"&lt;="&amp;EOMONTH(DATE(YEAR(主页!$D$2),MONTH(主页!$D$2),1),0)),"")</f>
        <v/>
      </c>
    </row>
    <row r="328" spans="1:10" x14ac:dyDescent="0.3">
      <c r="A328" s="127"/>
      <c r="B328" s="149"/>
      <c r="C328" s="7"/>
      <c r="D328" s="5"/>
      <c r="E328" s="140" t="str">
        <f t="shared" si="16"/>
        <v/>
      </c>
      <c r="F328" s="142"/>
      <c r="G328" s="145">
        <f t="shared" si="18"/>
        <v>0</v>
      </c>
      <c r="H328" s="140" t="str">
        <f t="shared" si="17"/>
        <v/>
      </c>
      <c r="J328" s="148" t="str">
        <f>IFERROR(SUMIFS(当年实际!$V:$V,当年实际!$H:$H,$B328,当年实际!$C:$C,"&gt;="&amp;DATE(YEAR(主页!$D$2),1,1),当年实际!$C:$C,"&lt;="&amp;EOMONTH(DATE(YEAR(主页!$D$2),MONTH(主页!$D$2),1),0))/SUMIFS(当年实际!$P:$P,当年实际!$H:$H,$B328,当年实际!$C:$C,"&gt;="&amp;DATE(YEAR(主页!$D$2),1,1),当年实际!$C:$C,"&lt;="&amp;EOMONTH(DATE(YEAR(主页!$D$2),MONTH(主页!$D$2),1),0)),"")</f>
        <v/>
      </c>
    </row>
    <row r="329" spans="1:10" x14ac:dyDescent="0.3">
      <c r="A329" s="127"/>
      <c r="B329" s="149"/>
      <c r="C329" s="7"/>
      <c r="D329" s="5"/>
      <c r="E329" s="140" t="str">
        <f t="shared" si="16"/>
        <v/>
      </c>
      <c r="F329" s="142"/>
      <c r="G329" s="145">
        <f t="shared" si="18"/>
        <v>0</v>
      </c>
      <c r="H329" s="140" t="str">
        <f t="shared" si="17"/>
        <v/>
      </c>
      <c r="J329" s="148" t="str">
        <f>IFERROR(SUMIFS(当年实际!$V:$V,当年实际!$H:$H,$B329,当年实际!$C:$C,"&gt;="&amp;DATE(YEAR(主页!$D$2),1,1),当年实际!$C:$C,"&lt;="&amp;EOMONTH(DATE(YEAR(主页!$D$2),MONTH(主页!$D$2),1),0))/SUMIFS(当年实际!$P:$P,当年实际!$H:$H,$B329,当年实际!$C:$C,"&gt;="&amp;DATE(YEAR(主页!$D$2),1,1),当年实际!$C:$C,"&lt;="&amp;EOMONTH(DATE(YEAR(主页!$D$2),MONTH(主页!$D$2),1),0)),"")</f>
        <v/>
      </c>
    </row>
    <row r="330" spans="1:10" x14ac:dyDescent="0.3">
      <c r="A330" s="127"/>
      <c r="B330" s="149"/>
      <c r="C330" s="7"/>
      <c r="D330" s="5"/>
      <c r="E330" s="140" t="str">
        <f t="shared" si="16"/>
        <v/>
      </c>
      <c r="F330" s="142"/>
      <c r="G330" s="145">
        <f t="shared" si="18"/>
        <v>0</v>
      </c>
      <c r="H330" s="140" t="str">
        <f t="shared" si="17"/>
        <v/>
      </c>
      <c r="J330" s="148" t="str">
        <f>IFERROR(SUMIFS(当年实际!$V:$V,当年实际!$H:$H,$B330,当年实际!$C:$C,"&gt;="&amp;DATE(YEAR(主页!$D$2),1,1),当年实际!$C:$C,"&lt;="&amp;EOMONTH(DATE(YEAR(主页!$D$2),MONTH(主页!$D$2),1),0))/SUMIFS(当年实际!$P:$P,当年实际!$H:$H,$B330,当年实际!$C:$C,"&gt;="&amp;DATE(YEAR(主页!$D$2),1,1),当年实际!$C:$C,"&lt;="&amp;EOMONTH(DATE(YEAR(主页!$D$2),MONTH(主页!$D$2),1),0)),"")</f>
        <v/>
      </c>
    </row>
    <row r="331" spans="1:10" x14ac:dyDescent="0.3">
      <c r="A331" s="127"/>
      <c r="B331" s="149"/>
      <c r="C331" s="7"/>
      <c r="D331" s="5"/>
      <c r="E331" s="140" t="str">
        <f t="shared" si="16"/>
        <v/>
      </c>
      <c r="F331" s="142"/>
      <c r="G331" s="145">
        <f t="shared" si="18"/>
        <v>0</v>
      </c>
      <c r="H331" s="140" t="str">
        <f t="shared" si="17"/>
        <v/>
      </c>
      <c r="J331" s="148" t="str">
        <f>IFERROR(SUMIFS(当年实际!$V:$V,当年实际!$H:$H,$B331,当年实际!$C:$C,"&gt;="&amp;DATE(YEAR(主页!$D$2),1,1),当年实际!$C:$C,"&lt;="&amp;EOMONTH(DATE(YEAR(主页!$D$2),MONTH(主页!$D$2),1),0))/SUMIFS(当年实际!$P:$P,当年实际!$H:$H,$B331,当年实际!$C:$C,"&gt;="&amp;DATE(YEAR(主页!$D$2),1,1),当年实际!$C:$C,"&lt;="&amp;EOMONTH(DATE(YEAR(主页!$D$2),MONTH(主页!$D$2),1),0)),"")</f>
        <v/>
      </c>
    </row>
    <row r="332" spans="1:10" x14ac:dyDescent="0.3">
      <c r="A332" s="127"/>
      <c r="B332" s="149"/>
      <c r="C332" s="7"/>
      <c r="D332" s="5"/>
      <c r="E332" s="140" t="str">
        <f t="shared" si="16"/>
        <v/>
      </c>
      <c r="F332" s="142"/>
      <c r="G332" s="145">
        <f t="shared" si="18"/>
        <v>0</v>
      </c>
      <c r="H332" s="140" t="str">
        <f t="shared" si="17"/>
        <v/>
      </c>
      <c r="J332" s="148" t="str">
        <f>IFERROR(SUMIFS(当年实际!$V:$V,当年实际!$H:$H,$B332,当年实际!$C:$C,"&gt;="&amp;DATE(YEAR(主页!$D$2),1,1),当年实际!$C:$C,"&lt;="&amp;EOMONTH(DATE(YEAR(主页!$D$2),MONTH(主页!$D$2),1),0))/SUMIFS(当年实际!$P:$P,当年实际!$H:$H,$B332,当年实际!$C:$C,"&gt;="&amp;DATE(YEAR(主页!$D$2),1,1),当年实际!$C:$C,"&lt;="&amp;EOMONTH(DATE(YEAR(主页!$D$2),MONTH(主页!$D$2),1),0)),"")</f>
        <v/>
      </c>
    </row>
    <row r="333" spans="1:10" x14ac:dyDescent="0.3">
      <c r="A333" s="127"/>
      <c r="B333" s="149"/>
      <c r="C333" s="7"/>
      <c r="D333" s="5"/>
      <c r="E333" s="140" t="str">
        <f t="shared" si="16"/>
        <v/>
      </c>
      <c r="F333" s="142"/>
      <c r="G333" s="145">
        <f t="shared" si="18"/>
        <v>0</v>
      </c>
      <c r="H333" s="140" t="str">
        <f t="shared" si="17"/>
        <v/>
      </c>
      <c r="J333" s="148" t="str">
        <f>IFERROR(SUMIFS(当年实际!$V:$V,当年实际!$H:$H,$B333,当年实际!$C:$C,"&gt;="&amp;DATE(YEAR(主页!$D$2),1,1),当年实际!$C:$C,"&lt;="&amp;EOMONTH(DATE(YEAR(主页!$D$2),MONTH(主页!$D$2),1),0))/SUMIFS(当年实际!$P:$P,当年实际!$H:$H,$B333,当年实际!$C:$C,"&gt;="&amp;DATE(YEAR(主页!$D$2),1,1),当年实际!$C:$C,"&lt;="&amp;EOMONTH(DATE(YEAR(主页!$D$2),MONTH(主页!$D$2),1),0)),"")</f>
        <v/>
      </c>
    </row>
  </sheetData>
  <mergeCells count="3">
    <mergeCell ref="A1:A2"/>
    <mergeCell ref="B1:B2"/>
    <mergeCell ref="C1:C2"/>
  </mergeCells>
  <phoneticPr fontId="3" type="noConversion"/>
  <hyperlinks>
    <hyperlink ref="L1" location="主页!A1" display="主页!A1" xr:uid="{CBD7E5E2-D357-423E-BA10-AC6CB124B05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B561-369B-49E0-9824-FD0D88D3A131}">
  <dimension ref="A1:L150"/>
  <sheetViews>
    <sheetView showGridLines="0" workbookViewId="0">
      <selection activeCell="L1" sqref="L1"/>
    </sheetView>
  </sheetViews>
  <sheetFormatPr defaultRowHeight="14" x14ac:dyDescent="0.3"/>
  <cols>
    <col min="2" max="3" width="9" bestFit="1" customWidth="1"/>
    <col min="4" max="4" width="10.58203125" bestFit="1" customWidth="1"/>
    <col min="5" max="5" width="9.4140625" style="6" bestFit="1" customWidth="1"/>
    <col min="6" max="7" width="9" bestFit="1" customWidth="1"/>
    <col min="8" max="8" width="9.4140625" style="6" bestFit="1" customWidth="1"/>
    <col min="9" max="9" width="2.58203125" customWidth="1"/>
    <col min="10" max="10" width="28.4140625" bestFit="1" customWidth="1"/>
  </cols>
  <sheetData>
    <row r="1" spans="1:12" x14ac:dyDescent="0.3">
      <c r="A1" s="256" t="s">
        <v>151</v>
      </c>
      <c r="B1" s="256" t="s">
        <v>152</v>
      </c>
      <c r="C1" s="256" t="s">
        <v>27</v>
      </c>
      <c r="D1" s="131" t="str">
        <f>"下年预算 B"&amp;TEXT(主页!$D$2,"YY")+1&amp;"FY"</f>
        <v>下年预算 B22FY</v>
      </c>
      <c r="E1" s="131"/>
      <c r="F1" s="131"/>
      <c r="G1" s="131"/>
      <c r="H1" s="131"/>
      <c r="I1" s="154"/>
      <c r="J1" s="155" t="str">
        <f>"当年已过去月份实际 A"&amp;TEXT(主页!$D$2,"YY")&amp;"YTD"</f>
        <v>当年已过去月份实际 A21YTD</v>
      </c>
      <c r="L1" s="121" t="s">
        <v>197</v>
      </c>
    </row>
    <row r="2" spans="1:12" x14ac:dyDescent="0.3">
      <c r="A2" s="256" t="s">
        <v>151</v>
      </c>
      <c r="B2" s="256" t="s">
        <v>152</v>
      </c>
      <c r="C2" s="256" t="s">
        <v>27</v>
      </c>
      <c r="D2" s="132" t="s">
        <v>13</v>
      </c>
      <c r="E2" s="132" t="s">
        <v>35</v>
      </c>
      <c r="F2" s="132" t="s">
        <v>9</v>
      </c>
      <c r="G2" s="132" t="s">
        <v>10</v>
      </c>
      <c r="H2" s="132" t="s">
        <v>36</v>
      </c>
      <c r="I2" s="97"/>
      <c r="J2" s="153" t="s">
        <v>9</v>
      </c>
    </row>
    <row r="3" spans="1:12" x14ac:dyDescent="0.3">
      <c r="A3" s="129" t="s">
        <v>153</v>
      </c>
      <c r="B3" s="149" t="s">
        <v>156</v>
      </c>
      <c r="C3" s="127" t="s">
        <v>55</v>
      </c>
      <c r="D3" s="149">
        <v>1300</v>
      </c>
      <c r="E3" s="140">
        <f>IF(D3/SUM(D:D)=0,"",D3/SUM(D:D))</f>
        <v>0.21311475409836064</v>
      </c>
      <c r="F3" s="157">
        <v>0.28000000000000003</v>
      </c>
      <c r="G3" s="145">
        <f>D3*F3</f>
        <v>364.00000000000006</v>
      </c>
      <c r="H3" s="140">
        <f>IF(G3/SUM(G:G)=0,"",G3/SUM(G:G))</f>
        <v>0.2848200312989046</v>
      </c>
      <c r="J3" s="147">
        <f>IFERROR(SUMIFS(当年实际!$V:$V,当年实际!$J:$J,$C3,当年实际!$C:$C,"&gt;="&amp;DATE(YEAR(主页!$D$2),1,1),当年实际!$C:$C,"&lt;="&amp;EOMONTH(DATE(YEAR(主页!$D$2),MONTH(主页!$D$2),1),0))/SUMIFS(当年实际!$P:$P,当年实际!$J:$J,$C3,当年实际!$C:$C,"&gt;="&amp;DATE(YEAR(主页!$D$2),1,1),当年实际!$C:$C,"&lt;="&amp;EOMONTH(DATE(YEAR(主页!$D$2),MONTH(主页!$D$2),1),0)),"")</f>
        <v>0.27777777777777779</v>
      </c>
    </row>
    <row r="4" spans="1:12" x14ac:dyDescent="0.3">
      <c r="A4" s="129" t="s">
        <v>154</v>
      </c>
      <c r="B4" s="149" t="s">
        <v>157</v>
      </c>
      <c r="C4" s="127" t="s">
        <v>56</v>
      </c>
      <c r="D4" s="149">
        <v>2500</v>
      </c>
      <c r="E4" s="140">
        <f t="shared" ref="E4:E67" si="0">IF(D4/SUM(D:D)=0,"",D4/SUM(D:D))</f>
        <v>0.4098360655737705</v>
      </c>
      <c r="F4" s="157">
        <v>0.2</v>
      </c>
      <c r="G4" s="145">
        <f t="shared" ref="G4:G5" si="1">D4*F4</f>
        <v>500</v>
      </c>
      <c r="H4" s="140">
        <f>IF(G4/SUM(G:G)=0,"",G4/SUM(G:G))</f>
        <v>0.39123630672926446</v>
      </c>
      <c r="J4" s="147">
        <f>IFERROR(SUMIFS(当年实际!$V:$V,当年实际!$J:$J,$C4,当年实际!$C:$C,"&gt;="&amp;DATE(YEAR(主页!$D$2),1,1),当年实际!$C:$C,"&lt;="&amp;EOMONTH(DATE(YEAR(主页!$D$2),MONTH(主页!$D$2),1),0))/SUMIFS(当年实际!$P:$P,当年实际!$J:$J,$C4,当年实际!$C:$C,"&gt;="&amp;DATE(YEAR(主页!$D$2),1,1),当年实际!$C:$C,"&lt;="&amp;EOMONTH(DATE(YEAR(主页!$D$2),MONTH(主页!$D$2),1),0)),"")</f>
        <v>0.19400000000000001</v>
      </c>
    </row>
    <row r="5" spans="1:12" x14ac:dyDescent="0.3">
      <c r="A5" s="129" t="s">
        <v>155</v>
      </c>
      <c r="B5" s="149" t="s">
        <v>158</v>
      </c>
      <c r="C5" s="127" t="s">
        <v>57</v>
      </c>
      <c r="D5" s="149">
        <v>2300</v>
      </c>
      <c r="E5" s="140">
        <f t="shared" si="0"/>
        <v>0.37704918032786883</v>
      </c>
      <c r="F5" s="157">
        <v>0.18</v>
      </c>
      <c r="G5" s="145">
        <f t="shared" si="1"/>
        <v>414</v>
      </c>
      <c r="H5" s="140">
        <f>IF(G5/SUM(G:G)=0,"",G5/SUM(G:G))</f>
        <v>0.323943661971831</v>
      </c>
      <c r="J5" s="147">
        <f>IFERROR(SUMIFS(当年实际!$V:$V,当年实际!$J:$J,$C5,当年实际!$C:$C,"&gt;="&amp;DATE(YEAR(主页!$D$2),1,1),当年实际!$C:$C,"&lt;="&amp;EOMONTH(DATE(YEAR(主页!$D$2),MONTH(主页!$D$2),1),0))/SUMIFS(当年实际!$P:$P,当年实际!$J:$J,$C5,当年实际!$C:$C,"&gt;="&amp;DATE(YEAR(主页!$D$2),1,1),当年实际!$C:$C,"&lt;="&amp;EOMONTH(DATE(YEAR(主页!$D$2),MONTH(主页!$D$2),1),0)),"")</f>
        <v>0.16</v>
      </c>
    </row>
    <row r="6" spans="1:12" x14ac:dyDescent="0.3">
      <c r="A6" s="129"/>
      <c r="B6" s="150"/>
      <c r="C6" s="150"/>
      <c r="D6" s="150"/>
      <c r="E6" s="140" t="str">
        <f t="shared" si="0"/>
        <v/>
      </c>
      <c r="F6" s="157"/>
      <c r="G6" s="145">
        <f t="shared" ref="G6" si="2">D6*F6</f>
        <v>0</v>
      </c>
      <c r="H6" s="140" t="str">
        <f t="shared" ref="H6:H69" si="3">IF(G6/SUM(G:G)=0,"",G6/SUM(G:G))</f>
        <v/>
      </c>
      <c r="J6" s="147" t="str">
        <f>IFERROR(SUMIFS(当年实际!$V:$V,当年实际!$J:$J,$C6,当年实际!$C:$C,"&gt;="&amp;DATE(YEAR(主页!$D$2),1,1),当年实际!$C:$C,"&lt;="&amp;EOMONTH(DATE(YEAR(主页!$D$2),MONTH(主页!$D$2),1),0))/SUMIFS(当年实际!$P:$P,当年实际!$J:$J,$C6,当年实际!$C:$C,"&gt;="&amp;DATE(YEAR(主页!$D$2),1,1),当年实际!$C:$C,"&lt;="&amp;EOMONTH(DATE(YEAR(主页!$D$2),MONTH(主页!$D$2),1),0)),"")</f>
        <v/>
      </c>
    </row>
    <row r="7" spans="1:12" x14ac:dyDescent="0.3">
      <c r="A7" s="129"/>
      <c r="B7" s="150"/>
      <c r="C7" s="150"/>
      <c r="D7" s="150"/>
      <c r="E7" s="140" t="str">
        <f t="shared" si="0"/>
        <v/>
      </c>
      <c r="F7" s="157"/>
      <c r="G7" s="145">
        <f t="shared" ref="G7:G70" si="4">D7*F7</f>
        <v>0</v>
      </c>
      <c r="H7" s="140" t="str">
        <f t="shared" si="3"/>
        <v/>
      </c>
      <c r="J7" s="147" t="str">
        <f>IFERROR(SUMIFS(当年实际!$V:$V,当年实际!$J:$J,$C7,当年实际!$C:$C,"&gt;="&amp;DATE(YEAR(主页!$D$2),1,1),当年实际!$C:$C,"&lt;="&amp;EOMONTH(DATE(YEAR(主页!$D$2),MONTH(主页!$D$2),1),0))/SUMIFS(当年实际!$P:$P,当年实际!$J:$J,$C7,当年实际!$C:$C,"&gt;="&amp;DATE(YEAR(主页!$D$2),1,1),当年实际!$C:$C,"&lt;="&amp;EOMONTH(DATE(YEAR(主页!$D$2),MONTH(主页!$D$2),1),0)),"")</f>
        <v/>
      </c>
    </row>
    <row r="8" spans="1:12" x14ac:dyDescent="0.3">
      <c r="A8" s="129"/>
      <c r="B8" s="150"/>
      <c r="C8" s="150"/>
      <c r="D8" s="150"/>
      <c r="E8" s="140" t="str">
        <f t="shared" si="0"/>
        <v/>
      </c>
      <c r="F8" s="157"/>
      <c r="G8" s="145">
        <f t="shared" si="4"/>
        <v>0</v>
      </c>
      <c r="H8" s="140" t="str">
        <f t="shared" si="3"/>
        <v/>
      </c>
      <c r="J8" s="147" t="str">
        <f>IFERROR(SUMIFS(当年实际!$V:$V,当年实际!$J:$J,$C8,当年实际!$C:$C,"&gt;="&amp;DATE(YEAR(主页!$D$2),1,1),当年实际!$C:$C,"&lt;="&amp;EOMONTH(DATE(YEAR(主页!$D$2),MONTH(主页!$D$2),1),0))/SUMIFS(当年实际!$P:$P,当年实际!$J:$J,$C8,当年实际!$C:$C,"&gt;="&amp;DATE(YEAR(主页!$D$2),1,1),当年实际!$C:$C,"&lt;="&amp;EOMONTH(DATE(YEAR(主页!$D$2),MONTH(主页!$D$2),1),0)),"")</f>
        <v/>
      </c>
    </row>
    <row r="9" spans="1:12" x14ac:dyDescent="0.3">
      <c r="A9" s="129"/>
      <c r="B9" s="150"/>
      <c r="C9" s="150"/>
      <c r="D9" s="150"/>
      <c r="E9" s="140" t="str">
        <f t="shared" si="0"/>
        <v/>
      </c>
      <c r="F9" s="157"/>
      <c r="G9" s="145">
        <f t="shared" si="4"/>
        <v>0</v>
      </c>
      <c r="H9" s="140" t="str">
        <f t="shared" si="3"/>
        <v/>
      </c>
      <c r="J9" s="147" t="str">
        <f>IFERROR(SUMIFS(当年实际!$V:$V,当年实际!$J:$J,$C9,当年实际!$C:$C,"&gt;="&amp;DATE(YEAR(主页!$D$2),1,1),当年实际!$C:$C,"&lt;="&amp;EOMONTH(DATE(YEAR(主页!$D$2),MONTH(主页!$D$2),1),0))/SUMIFS(当年实际!$P:$P,当年实际!$J:$J,$C9,当年实际!$C:$C,"&gt;="&amp;DATE(YEAR(主页!$D$2),1,1),当年实际!$C:$C,"&lt;="&amp;EOMONTH(DATE(YEAR(主页!$D$2),MONTH(主页!$D$2),1),0)),"")</f>
        <v/>
      </c>
    </row>
    <row r="10" spans="1:12" x14ac:dyDescent="0.3">
      <c r="A10" s="129"/>
      <c r="B10" s="150"/>
      <c r="C10" s="150"/>
      <c r="D10" s="150"/>
      <c r="E10" s="140" t="str">
        <f t="shared" si="0"/>
        <v/>
      </c>
      <c r="F10" s="157"/>
      <c r="G10" s="145">
        <f t="shared" si="4"/>
        <v>0</v>
      </c>
      <c r="H10" s="140" t="str">
        <f t="shared" si="3"/>
        <v/>
      </c>
      <c r="J10" s="147" t="str">
        <f>IFERROR(SUMIFS(当年实际!$V:$V,当年实际!$J:$J,$C10,当年实际!$C:$C,"&gt;="&amp;DATE(YEAR(主页!$D$2),1,1),当年实际!$C:$C,"&lt;="&amp;EOMONTH(DATE(YEAR(主页!$D$2),MONTH(主页!$D$2),1),0))/SUMIFS(当年实际!$P:$P,当年实际!$J:$J,$C10,当年实际!$C:$C,"&gt;="&amp;DATE(YEAR(主页!$D$2),1,1),当年实际!$C:$C,"&lt;="&amp;EOMONTH(DATE(YEAR(主页!$D$2),MONTH(主页!$D$2),1),0)),"")</f>
        <v/>
      </c>
    </row>
    <row r="11" spans="1:12" x14ac:dyDescent="0.3">
      <c r="A11" s="129"/>
      <c r="B11" s="150"/>
      <c r="C11" s="150"/>
      <c r="D11" s="150"/>
      <c r="E11" s="140" t="str">
        <f t="shared" si="0"/>
        <v/>
      </c>
      <c r="F11" s="157"/>
      <c r="G11" s="145">
        <f t="shared" si="4"/>
        <v>0</v>
      </c>
      <c r="H11" s="140" t="str">
        <f t="shared" si="3"/>
        <v/>
      </c>
      <c r="J11" s="147" t="str">
        <f>IFERROR(SUMIFS(当年实际!$V:$V,当年实际!$J:$J,$C11,当年实际!$C:$C,"&gt;="&amp;DATE(YEAR(主页!$D$2),1,1),当年实际!$C:$C,"&lt;="&amp;EOMONTH(DATE(YEAR(主页!$D$2),MONTH(主页!$D$2),1),0))/SUMIFS(当年实际!$P:$P,当年实际!$J:$J,$C11,当年实际!$C:$C,"&gt;="&amp;DATE(YEAR(主页!$D$2),1,1),当年实际!$C:$C,"&lt;="&amp;EOMONTH(DATE(YEAR(主页!$D$2),MONTH(主页!$D$2),1),0)),"")</f>
        <v/>
      </c>
    </row>
    <row r="12" spans="1:12" x14ac:dyDescent="0.3">
      <c r="A12" s="129"/>
      <c r="B12" s="150"/>
      <c r="C12" s="150"/>
      <c r="D12" s="150"/>
      <c r="E12" s="140" t="str">
        <f t="shared" si="0"/>
        <v/>
      </c>
      <c r="F12" s="157"/>
      <c r="G12" s="145">
        <f t="shared" si="4"/>
        <v>0</v>
      </c>
      <c r="H12" s="140" t="str">
        <f t="shared" si="3"/>
        <v/>
      </c>
      <c r="J12" s="147" t="str">
        <f>IFERROR(SUMIFS(当年实际!$V:$V,当年实际!$J:$J,$C12,当年实际!$C:$C,"&gt;="&amp;DATE(YEAR(主页!$D$2),1,1),当年实际!$C:$C,"&lt;="&amp;EOMONTH(DATE(YEAR(主页!$D$2),MONTH(主页!$D$2),1),0))/SUMIFS(当年实际!$P:$P,当年实际!$J:$J,$C12,当年实际!$C:$C,"&gt;="&amp;DATE(YEAR(主页!$D$2),1,1),当年实际!$C:$C,"&lt;="&amp;EOMONTH(DATE(YEAR(主页!$D$2),MONTH(主页!$D$2),1),0)),"")</f>
        <v/>
      </c>
    </row>
    <row r="13" spans="1:12" x14ac:dyDescent="0.3">
      <c r="A13" s="129"/>
      <c r="B13" s="150"/>
      <c r="C13" s="150"/>
      <c r="D13" s="150"/>
      <c r="E13" s="140" t="str">
        <f t="shared" si="0"/>
        <v/>
      </c>
      <c r="F13" s="157"/>
      <c r="G13" s="145">
        <f t="shared" si="4"/>
        <v>0</v>
      </c>
      <c r="H13" s="140" t="str">
        <f t="shared" si="3"/>
        <v/>
      </c>
      <c r="J13" s="147" t="str">
        <f>IFERROR(SUMIFS(当年实际!$V:$V,当年实际!$J:$J,$C13,当年实际!$C:$C,"&gt;="&amp;DATE(YEAR(主页!$D$2),1,1),当年实际!$C:$C,"&lt;="&amp;EOMONTH(DATE(YEAR(主页!$D$2),MONTH(主页!$D$2),1),0))/SUMIFS(当年实际!$P:$P,当年实际!$J:$J,$C13,当年实际!$C:$C,"&gt;="&amp;DATE(YEAR(主页!$D$2),1,1),当年实际!$C:$C,"&lt;="&amp;EOMONTH(DATE(YEAR(主页!$D$2),MONTH(主页!$D$2),1),0)),"")</f>
        <v/>
      </c>
    </row>
    <row r="14" spans="1:12" x14ac:dyDescent="0.3">
      <c r="A14" s="129"/>
      <c r="B14" s="150"/>
      <c r="C14" s="150"/>
      <c r="D14" s="150"/>
      <c r="E14" s="140" t="str">
        <f t="shared" si="0"/>
        <v/>
      </c>
      <c r="F14" s="157"/>
      <c r="G14" s="145">
        <f t="shared" si="4"/>
        <v>0</v>
      </c>
      <c r="H14" s="140" t="str">
        <f t="shared" si="3"/>
        <v/>
      </c>
      <c r="J14" s="147" t="str">
        <f>IFERROR(SUMIFS(当年实际!$V:$V,当年实际!$J:$J,$C14,当年实际!$C:$C,"&gt;="&amp;DATE(YEAR(主页!$D$2),1,1),当年实际!$C:$C,"&lt;="&amp;EOMONTH(DATE(YEAR(主页!$D$2),MONTH(主页!$D$2),1),0))/SUMIFS(当年实际!$P:$P,当年实际!$J:$J,$C14,当年实际!$C:$C,"&gt;="&amp;DATE(YEAR(主页!$D$2),1,1),当年实际!$C:$C,"&lt;="&amp;EOMONTH(DATE(YEAR(主页!$D$2),MONTH(主页!$D$2),1),0)),"")</f>
        <v/>
      </c>
    </row>
    <row r="15" spans="1:12" x14ac:dyDescent="0.3">
      <c r="A15" s="129"/>
      <c r="B15" s="150"/>
      <c r="C15" s="150"/>
      <c r="D15" s="150"/>
      <c r="E15" s="140" t="str">
        <f t="shared" si="0"/>
        <v/>
      </c>
      <c r="F15" s="157"/>
      <c r="G15" s="145">
        <f t="shared" si="4"/>
        <v>0</v>
      </c>
      <c r="H15" s="140" t="str">
        <f t="shared" si="3"/>
        <v/>
      </c>
      <c r="J15" s="147" t="str">
        <f>IFERROR(SUMIFS(当年实际!$V:$V,当年实际!$J:$J,$C15,当年实际!$C:$C,"&gt;="&amp;DATE(YEAR(主页!$D$2),1,1),当年实际!$C:$C,"&lt;="&amp;EOMONTH(DATE(YEAR(主页!$D$2),MONTH(主页!$D$2),1),0))/SUMIFS(当年实际!$P:$P,当年实际!$J:$J,$C15,当年实际!$C:$C,"&gt;="&amp;DATE(YEAR(主页!$D$2),1,1),当年实际!$C:$C,"&lt;="&amp;EOMONTH(DATE(YEAR(主页!$D$2),MONTH(主页!$D$2),1),0)),"")</f>
        <v/>
      </c>
    </row>
    <row r="16" spans="1:12" x14ac:dyDescent="0.3">
      <c r="A16" s="129"/>
      <c r="B16" s="150"/>
      <c r="C16" s="150"/>
      <c r="D16" s="150"/>
      <c r="E16" s="140" t="str">
        <f t="shared" si="0"/>
        <v/>
      </c>
      <c r="F16" s="157"/>
      <c r="G16" s="145">
        <f t="shared" si="4"/>
        <v>0</v>
      </c>
      <c r="H16" s="140" t="str">
        <f t="shared" si="3"/>
        <v/>
      </c>
      <c r="J16" s="147" t="str">
        <f>IFERROR(SUMIFS(当年实际!$V:$V,当年实际!$J:$J,$C16,当年实际!$C:$C,"&gt;="&amp;DATE(YEAR(主页!$D$2),1,1),当年实际!$C:$C,"&lt;="&amp;EOMONTH(DATE(YEAR(主页!$D$2),MONTH(主页!$D$2),1),0))/SUMIFS(当年实际!$P:$P,当年实际!$J:$J,$C16,当年实际!$C:$C,"&gt;="&amp;DATE(YEAR(主页!$D$2),1,1),当年实际!$C:$C,"&lt;="&amp;EOMONTH(DATE(YEAR(主页!$D$2),MONTH(主页!$D$2),1),0)),"")</f>
        <v/>
      </c>
    </row>
    <row r="17" spans="1:10" x14ac:dyDescent="0.3">
      <c r="A17" s="129"/>
      <c r="B17" s="150"/>
      <c r="C17" s="150"/>
      <c r="D17" s="150"/>
      <c r="E17" s="140" t="str">
        <f t="shared" si="0"/>
        <v/>
      </c>
      <c r="F17" s="157"/>
      <c r="G17" s="145">
        <f t="shared" si="4"/>
        <v>0</v>
      </c>
      <c r="H17" s="140" t="str">
        <f t="shared" si="3"/>
        <v/>
      </c>
      <c r="J17" s="147" t="str">
        <f>IFERROR(SUMIFS(当年实际!$V:$V,当年实际!$J:$J,$C17,当年实际!$C:$C,"&gt;="&amp;DATE(YEAR(主页!$D$2),1,1),当年实际!$C:$C,"&lt;="&amp;EOMONTH(DATE(YEAR(主页!$D$2),MONTH(主页!$D$2),1),0))/SUMIFS(当年实际!$P:$P,当年实际!$J:$J,$C17,当年实际!$C:$C,"&gt;="&amp;DATE(YEAR(主页!$D$2),1,1),当年实际!$C:$C,"&lt;="&amp;EOMONTH(DATE(YEAR(主页!$D$2),MONTH(主页!$D$2),1),0)),"")</f>
        <v/>
      </c>
    </row>
    <row r="18" spans="1:10" x14ac:dyDescent="0.3">
      <c r="A18" s="129"/>
      <c r="B18" s="150"/>
      <c r="C18" s="150"/>
      <c r="D18" s="150"/>
      <c r="E18" s="140" t="str">
        <f t="shared" si="0"/>
        <v/>
      </c>
      <c r="F18" s="157"/>
      <c r="G18" s="145">
        <f t="shared" si="4"/>
        <v>0</v>
      </c>
      <c r="H18" s="140" t="str">
        <f t="shared" si="3"/>
        <v/>
      </c>
      <c r="J18" s="147" t="str">
        <f>IFERROR(SUMIFS(当年实际!$V:$V,当年实际!$J:$J,$C18,当年实际!$C:$C,"&gt;="&amp;DATE(YEAR(主页!$D$2),1,1),当年实际!$C:$C,"&lt;="&amp;EOMONTH(DATE(YEAR(主页!$D$2),MONTH(主页!$D$2),1),0))/SUMIFS(当年实际!$P:$P,当年实际!$J:$J,$C18,当年实际!$C:$C,"&gt;="&amp;DATE(YEAR(主页!$D$2),1,1),当年实际!$C:$C,"&lt;="&amp;EOMONTH(DATE(YEAR(主页!$D$2),MONTH(主页!$D$2),1),0)),"")</f>
        <v/>
      </c>
    </row>
    <row r="19" spans="1:10" x14ac:dyDescent="0.3">
      <c r="A19" s="129"/>
      <c r="B19" s="150"/>
      <c r="C19" s="150"/>
      <c r="D19" s="150"/>
      <c r="E19" s="140" t="str">
        <f t="shared" si="0"/>
        <v/>
      </c>
      <c r="F19" s="157"/>
      <c r="G19" s="145">
        <f t="shared" si="4"/>
        <v>0</v>
      </c>
      <c r="H19" s="140" t="str">
        <f t="shared" si="3"/>
        <v/>
      </c>
      <c r="J19" s="147" t="str">
        <f>IFERROR(SUMIFS(当年实际!$V:$V,当年实际!$J:$J,$C19,当年实际!$C:$C,"&gt;="&amp;DATE(YEAR(主页!$D$2),1,1),当年实际!$C:$C,"&lt;="&amp;EOMONTH(DATE(YEAR(主页!$D$2),MONTH(主页!$D$2),1),0))/SUMIFS(当年实际!$P:$P,当年实际!$J:$J,$C19,当年实际!$C:$C,"&gt;="&amp;DATE(YEAR(主页!$D$2),1,1),当年实际!$C:$C,"&lt;="&amp;EOMONTH(DATE(YEAR(主页!$D$2),MONTH(主页!$D$2),1),0)),"")</f>
        <v/>
      </c>
    </row>
    <row r="20" spans="1:10" x14ac:dyDescent="0.3">
      <c r="A20" s="129"/>
      <c r="B20" s="150"/>
      <c r="C20" s="150"/>
      <c r="D20" s="150"/>
      <c r="E20" s="140" t="str">
        <f t="shared" si="0"/>
        <v/>
      </c>
      <c r="F20" s="157"/>
      <c r="G20" s="145">
        <f t="shared" si="4"/>
        <v>0</v>
      </c>
      <c r="H20" s="140" t="str">
        <f t="shared" si="3"/>
        <v/>
      </c>
      <c r="J20" s="147" t="str">
        <f>IFERROR(SUMIFS(当年实际!$V:$V,当年实际!$J:$J,$C20,当年实际!$C:$C,"&gt;="&amp;DATE(YEAR(主页!$D$2),1,1),当年实际!$C:$C,"&lt;="&amp;EOMONTH(DATE(YEAR(主页!$D$2),MONTH(主页!$D$2),1),0))/SUMIFS(当年实际!$P:$P,当年实际!$J:$J,$C20,当年实际!$C:$C,"&gt;="&amp;DATE(YEAR(主页!$D$2),1,1),当年实际!$C:$C,"&lt;="&amp;EOMONTH(DATE(YEAR(主页!$D$2),MONTH(主页!$D$2),1),0)),"")</f>
        <v/>
      </c>
    </row>
    <row r="21" spans="1:10" x14ac:dyDescent="0.3">
      <c r="A21" s="129"/>
      <c r="B21" s="150"/>
      <c r="C21" s="150"/>
      <c r="D21" s="150"/>
      <c r="E21" s="140" t="str">
        <f t="shared" si="0"/>
        <v/>
      </c>
      <c r="F21" s="157"/>
      <c r="G21" s="145">
        <f t="shared" si="4"/>
        <v>0</v>
      </c>
      <c r="H21" s="140" t="str">
        <f t="shared" si="3"/>
        <v/>
      </c>
      <c r="J21" s="147" t="str">
        <f>IFERROR(SUMIFS(当年实际!$V:$V,当年实际!$J:$J,$C21,当年实际!$C:$C,"&gt;="&amp;DATE(YEAR(主页!$D$2),1,1),当年实际!$C:$C,"&lt;="&amp;EOMONTH(DATE(YEAR(主页!$D$2),MONTH(主页!$D$2),1),0))/SUMIFS(当年实际!$P:$P,当年实际!$J:$J,$C21,当年实际!$C:$C,"&gt;="&amp;DATE(YEAR(主页!$D$2),1,1),当年实际!$C:$C,"&lt;="&amp;EOMONTH(DATE(YEAR(主页!$D$2),MONTH(主页!$D$2),1),0)),"")</f>
        <v/>
      </c>
    </row>
    <row r="22" spans="1:10" x14ac:dyDescent="0.3">
      <c r="A22" s="129"/>
      <c r="B22" s="150"/>
      <c r="C22" s="150"/>
      <c r="D22" s="150"/>
      <c r="E22" s="140" t="str">
        <f t="shared" si="0"/>
        <v/>
      </c>
      <c r="F22" s="157"/>
      <c r="G22" s="145">
        <f t="shared" si="4"/>
        <v>0</v>
      </c>
      <c r="H22" s="140" t="str">
        <f t="shared" si="3"/>
        <v/>
      </c>
      <c r="J22" s="147" t="str">
        <f>IFERROR(SUMIFS(当年实际!$V:$V,当年实际!$J:$J,$C22,当年实际!$C:$C,"&gt;="&amp;DATE(YEAR(主页!$D$2),1,1),当年实际!$C:$C,"&lt;="&amp;EOMONTH(DATE(YEAR(主页!$D$2),MONTH(主页!$D$2),1),0))/SUMIFS(当年实际!$P:$P,当年实际!$J:$J,$C22,当年实际!$C:$C,"&gt;="&amp;DATE(YEAR(主页!$D$2),1,1),当年实际!$C:$C,"&lt;="&amp;EOMONTH(DATE(YEAR(主页!$D$2),MONTH(主页!$D$2),1),0)),"")</f>
        <v/>
      </c>
    </row>
    <row r="23" spans="1:10" x14ac:dyDescent="0.3">
      <c r="A23" s="129"/>
      <c r="B23" s="150"/>
      <c r="C23" s="150"/>
      <c r="D23" s="150"/>
      <c r="E23" s="140" t="str">
        <f t="shared" si="0"/>
        <v/>
      </c>
      <c r="F23" s="157"/>
      <c r="G23" s="145">
        <f t="shared" si="4"/>
        <v>0</v>
      </c>
      <c r="H23" s="140" t="str">
        <f t="shared" si="3"/>
        <v/>
      </c>
      <c r="J23" s="147" t="str">
        <f>IFERROR(SUMIFS(当年实际!$V:$V,当年实际!$J:$J,$C23,当年实际!$C:$C,"&gt;="&amp;DATE(YEAR(主页!$D$2),1,1),当年实际!$C:$C,"&lt;="&amp;EOMONTH(DATE(YEAR(主页!$D$2),MONTH(主页!$D$2),1),0))/SUMIFS(当年实际!$P:$P,当年实际!$J:$J,$C23,当年实际!$C:$C,"&gt;="&amp;DATE(YEAR(主页!$D$2),1,1),当年实际!$C:$C,"&lt;="&amp;EOMONTH(DATE(YEAR(主页!$D$2),MONTH(主页!$D$2),1),0)),"")</f>
        <v/>
      </c>
    </row>
    <row r="24" spans="1:10" x14ac:dyDescent="0.3">
      <c r="A24" s="129"/>
      <c r="B24" s="150"/>
      <c r="C24" s="150"/>
      <c r="D24" s="150"/>
      <c r="E24" s="140" t="str">
        <f t="shared" si="0"/>
        <v/>
      </c>
      <c r="F24" s="157"/>
      <c r="G24" s="145">
        <f t="shared" si="4"/>
        <v>0</v>
      </c>
      <c r="H24" s="140" t="str">
        <f t="shared" si="3"/>
        <v/>
      </c>
      <c r="J24" s="147" t="str">
        <f>IFERROR(SUMIFS(当年实际!$V:$V,当年实际!$J:$J,$C24,当年实际!$C:$C,"&gt;="&amp;DATE(YEAR(主页!$D$2),1,1),当年实际!$C:$C,"&lt;="&amp;EOMONTH(DATE(YEAR(主页!$D$2),MONTH(主页!$D$2),1),0))/SUMIFS(当年实际!$P:$P,当年实际!$J:$J,$C24,当年实际!$C:$C,"&gt;="&amp;DATE(YEAR(主页!$D$2),1,1),当年实际!$C:$C,"&lt;="&amp;EOMONTH(DATE(YEAR(主页!$D$2),MONTH(主页!$D$2),1),0)),"")</f>
        <v/>
      </c>
    </row>
    <row r="25" spans="1:10" x14ac:dyDescent="0.3">
      <c r="A25" s="129"/>
      <c r="B25" s="150"/>
      <c r="C25" s="150"/>
      <c r="D25" s="150"/>
      <c r="E25" s="140" t="str">
        <f t="shared" si="0"/>
        <v/>
      </c>
      <c r="F25" s="157"/>
      <c r="G25" s="145">
        <f t="shared" si="4"/>
        <v>0</v>
      </c>
      <c r="H25" s="140" t="str">
        <f t="shared" si="3"/>
        <v/>
      </c>
      <c r="J25" s="147" t="str">
        <f>IFERROR(SUMIFS(当年实际!$V:$V,当年实际!$J:$J,$C25,当年实际!$C:$C,"&gt;="&amp;DATE(YEAR(主页!$D$2),1,1),当年实际!$C:$C,"&lt;="&amp;EOMONTH(DATE(YEAR(主页!$D$2),MONTH(主页!$D$2),1),0))/SUMIFS(当年实际!$P:$P,当年实际!$J:$J,$C25,当年实际!$C:$C,"&gt;="&amp;DATE(YEAR(主页!$D$2),1,1),当年实际!$C:$C,"&lt;="&amp;EOMONTH(DATE(YEAR(主页!$D$2),MONTH(主页!$D$2),1),0)),"")</f>
        <v/>
      </c>
    </row>
    <row r="26" spans="1:10" x14ac:dyDescent="0.3">
      <c r="A26" s="129"/>
      <c r="B26" s="150"/>
      <c r="C26" s="150"/>
      <c r="D26" s="150"/>
      <c r="E26" s="140" t="str">
        <f t="shared" si="0"/>
        <v/>
      </c>
      <c r="F26" s="157"/>
      <c r="G26" s="145">
        <f t="shared" si="4"/>
        <v>0</v>
      </c>
      <c r="H26" s="140" t="str">
        <f t="shared" si="3"/>
        <v/>
      </c>
      <c r="J26" s="147" t="str">
        <f>IFERROR(SUMIFS(当年实际!$V:$V,当年实际!$J:$J,$C26,当年实际!$C:$C,"&gt;="&amp;DATE(YEAR(主页!$D$2),1,1),当年实际!$C:$C,"&lt;="&amp;EOMONTH(DATE(YEAR(主页!$D$2),MONTH(主页!$D$2),1),0))/SUMIFS(当年实际!$P:$P,当年实际!$J:$J,$C26,当年实际!$C:$C,"&gt;="&amp;DATE(YEAR(主页!$D$2),1,1),当年实际!$C:$C,"&lt;="&amp;EOMONTH(DATE(YEAR(主页!$D$2),MONTH(主页!$D$2),1),0)),"")</f>
        <v/>
      </c>
    </row>
    <row r="27" spans="1:10" x14ac:dyDescent="0.3">
      <c r="A27" s="129"/>
      <c r="B27" s="150"/>
      <c r="C27" s="150"/>
      <c r="D27" s="150"/>
      <c r="E27" s="140" t="str">
        <f t="shared" si="0"/>
        <v/>
      </c>
      <c r="F27" s="157"/>
      <c r="G27" s="145">
        <f t="shared" si="4"/>
        <v>0</v>
      </c>
      <c r="H27" s="140" t="str">
        <f t="shared" si="3"/>
        <v/>
      </c>
      <c r="J27" s="147" t="str">
        <f>IFERROR(SUMIFS(当年实际!$V:$V,当年实际!$J:$J,$C27,当年实际!$C:$C,"&gt;="&amp;DATE(YEAR(主页!$D$2),1,1),当年实际!$C:$C,"&lt;="&amp;EOMONTH(DATE(YEAR(主页!$D$2),MONTH(主页!$D$2),1),0))/SUMIFS(当年实际!$P:$P,当年实际!$J:$J,$C27,当年实际!$C:$C,"&gt;="&amp;DATE(YEAR(主页!$D$2),1,1),当年实际!$C:$C,"&lt;="&amp;EOMONTH(DATE(YEAR(主页!$D$2),MONTH(主页!$D$2),1),0)),"")</f>
        <v/>
      </c>
    </row>
    <row r="28" spans="1:10" x14ac:dyDescent="0.3">
      <c r="A28" s="129"/>
      <c r="B28" s="150"/>
      <c r="C28" s="150"/>
      <c r="D28" s="150"/>
      <c r="E28" s="140" t="str">
        <f t="shared" si="0"/>
        <v/>
      </c>
      <c r="F28" s="157"/>
      <c r="G28" s="145">
        <f t="shared" si="4"/>
        <v>0</v>
      </c>
      <c r="H28" s="140" t="str">
        <f t="shared" si="3"/>
        <v/>
      </c>
      <c r="J28" s="147" t="str">
        <f>IFERROR(SUMIFS(当年实际!$V:$V,当年实际!$J:$J,$C28,当年实际!$C:$C,"&gt;="&amp;DATE(YEAR(主页!$D$2),1,1),当年实际!$C:$C,"&lt;="&amp;EOMONTH(DATE(YEAR(主页!$D$2),MONTH(主页!$D$2),1),0))/SUMIFS(当年实际!$P:$P,当年实际!$J:$J,$C28,当年实际!$C:$C,"&gt;="&amp;DATE(YEAR(主页!$D$2),1,1),当年实际!$C:$C,"&lt;="&amp;EOMONTH(DATE(YEAR(主页!$D$2),MONTH(主页!$D$2),1),0)),"")</f>
        <v/>
      </c>
    </row>
    <row r="29" spans="1:10" x14ac:dyDescent="0.3">
      <c r="A29" s="129"/>
      <c r="B29" s="150"/>
      <c r="C29" s="150"/>
      <c r="D29" s="150"/>
      <c r="E29" s="140" t="str">
        <f t="shared" si="0"/>
        <v/>
      </c>
      <c r="F29" s="157"/>
      <c r="G29" s="145">
        <f t="shared" si="4"/>
        <v>0</v>
      </c>
      <c r="H29" s="140" t="str">
        <f t="shared" si="3"/>
        <v/>
      </c>
      <c r="J29" s="147" t="str">
        <f>IFERROR(SUMIFS(当年实际!$V:$V,当年实际!$J:$J,$C29,当年实际!$C:$C,"&gt;="&amp;DATE(YEAR(主页!$D$2),1,1),当年实际!$C:$C,"&lt;="&amp;EOMONTH(DATE(YEAR(主页!$D$2),MONTH(主页!$D$2),1),0))/SUMIFS(当年实际!$P:$P,当年实际!$J:$J,$C29,当年实际!$C:$C,"&gt;="&amp;DATE(YEAR(主页!$D$2),1,1),当年实际!$C:$C,"&lt;="&amp;EOMONTH(DATE(YEAR(主页!$D$2),MONTH(主页!$D$2),1),0)),"")</f>
        <v/>
      </c>
    </row>
    <row r="30" spans="1:10" x14ac:dyDescent="0.3">
      <c r="A30" s="129"/>
      <c r="B30" s="150"/>
      <c r="C30" s="150"/>
      <c r="D30" s="150"/>
      <c r="E30" s="140" t="str">
        <f t="shared" si="0"/>
        <v/>
      </c>
      <c r="F30" s="157"/>
      <c r="G30" s="145">
        <f t="shared" si="4"/>
        <v>0</v>
      </c>
      <c r="H30" s="140" t="str">
        <f t="shared" si="3"/>
        <v/>
      </c>
      <c r="J30" s="147" t="str">
        <f>IFERROR(SUMIFS(当年实际!$V:$V,当年实际!$J:$J,$C30,当年实际!$C:$C,"&gt;="&amp;DATE(YEAR(主页!$D$2),1,1),当年实际!$C:$C,"&lt;="&amp;EOMONTH(DATE(YEAR(主页!$D$2),MONTH(主页!$D$2),1),0))/SUMIFS(当年实际!$P:$P,当年实际!$J:$J,$C30,当年实际!$C:$C,"&gt;="&amp;DATE(YEAR(主页!$D$2),1,1),当年实际!$C:$C,"&lt;="&amp;EOMONTH(DATE(YEAR(主页!$D$2),MONTH(主页!$D$2),1),0)),"")</f>
        <v/>
      </c>
    </row>
    <row r="31" spans="1:10" x14ac:dyDescent="0.3">
      <c r="A31" s="129"/>
      <c r="B31" s="150"/>
      <c r="C31" s="150"/>
      <c r="D31" s="150"/>
      <c r="E31" s="140" t="str">
        <f t="shared" si="0"/>
        <v/>
      </c>
      <c r="F31" s="157"/>
      <c r="G31" s="145">
        <f t="shared" si="4"/>
        <v>0</v>
      </c>
      <c r="H31" s="140" t="str">
        <f t="shared" si="3"/>
        <v/>
      </c>
      <c r="J31" s="147" t="str">
        <f>IFERROR(SUMIFS(当年实际!$V:$V,当年实际!$J:$J,$C31,当年实际!$C:$C,"&gt;="&amp;DATE(YEAR(主页!$D$2),1,1),当年实际!$C:$C,"&lt;="&amp;EOMONTH(DATE(YEAR(主页!$D$2),MONTH(主页!$D$2),1),0))/SUMIFS(当年实际!$P:$P,当年实际!$J:$J,$C31,当年实际!$C:$C,"&gt;="&amp;DATE(YEAR(主页!$D$2),1,1),当年实际!$C:$C,"&lt;="&amp;EOMONTH(DATE(YEAR(主页!$D$2),MONTH(主页!$D$2),1),0)),"")</f>
        <v/>
      </c>
    </row>
    <row r="32" spans="1:10" x14ac:dyDescent="0.3">
      <c r="A32" s="129"/>
      <c r="B32" s="150"/>
      <c r="C32" s="150"/>
      <c r="D32" s="150"/>
      <c r="E32" s="140" t="str">
        <f t="shared" si="0"/>
        <v/>
      </c>
      <c r="F32" s="157"/>
      <c r="G32" s="145">
        <f t="shared" si="4"/>
        <v>0</v>
      </c>
      <c r="H32" s="140" t="str">
        <f t="shared" si="3"/>
        <v/>
      </c>
      <c r="J32" s="147" t="str">
        <f>IFERROR(SUMIFS(当年实际!$V:$V,当年实际!$J:$J,$C32,当年实际!$C:$C,"&gt;="&amp;DATE(YEAR(主页!$D$2),1,1),当年实际!$C:$C,"&lt;="&amp;EOMONTH(DATE(YEAR(主页!$D$2),MONTH(主页!$D$2),1),0))/SUMIFS(当年实际!$P:$P,当年实际!$J:$J,$C32,当年实际!$C:$C,"&gt;="&amp;DATE(YEAR(主页!$D$2),1,1),当年实际!$C:$C,"&lt;="&amp;EOMONTH(DATE(YEAR(主页!$D$2),MONTH(主页!$D$2),1),0)),"")</f>
        <v/>
      </c>
    </row>
    <row r="33" spans="1:10" x14ac:dyDescent="0.3">
      <c r="A33" s="129"/>
      <c r="B33" s="150"/>
      <c r="C33" s="150"/>
      <c r="D33" s="150"/>
      <c r="E33" s="140" t="str">
        <f t="shared" si="0"/>
        <v/>
      </c>
      <c r="F33" s="157"/>
      <c r="G33" s="145">
        <f t="shared" si="4"/>
        <v>0</v>
      </c>
      <c r="H33" s="140" t="str">
        <f t="shared" si="3"/>
        <v/>
      </c>
      <c r="J33" s="147" t="str">
        <f>IFERROR(SUMIFS(当年实际!$V:$V,当年实际!$J:$J,$C33,当年实际!$C:$C,"&gt;="&amp;DATE(YEAR(主页!$D$2),1,1),当年实际!$C:$C,"&lt;="&amp;EOMONTH(DATE(YEAR(主页!$D$2),MONTH(主页!$D$2),1),0))/SUMIFS(当年实际!$P:$P,当年实际!$J:$J,$C33,当年实际!$C:$C,"&gt;="&amp;DATE(YEAR(主页!$D$2),1,1),当年实际!$C:$C,"&lt;="&amp;EOMONTH(DATE(YEAR(主页!$D$2),MONTH(主页!$D$2),1),0)),"")</f>
        <v/>
      </c>
    </row>
    <row r="34" spans="1:10" x14ac:dyDescent="0.3">
      <c r="A34" s="129"/>
      <c r="B34" s="150"/>
      <c r="C34" s="150"/>
      <c r="D34" s="150"/>
      <c r="E34" s="140" t="str">
        <f t="shared" si="0"/>
        <v/>
      </c>
      <c r="F34" s="157"/>
      <c r="G34" s="145">
        <f t="shared" si="4"/>
        <v>0</v>
      </c>
      <c r="H34" s="140" t="str">
        <f t="shared" si="3"/>
        <v/>
      </c>
      <c r="J34" s="147" t="str">
        <f>IFERROR(SUMIFS(当年实际!$V:$V,当年实际!$J:$J,$C34,当年实际!$C:$C,"&gt;="&amp;DATE(YEAR(主页!$D$2),1,1),当年实际!$C:$C,"&lt;="&amp;EOMONTH(DATE(YEAR(主页!$D$2),MONTH(主页!$D$2),1),0))/SUMIFS(当年实际!$P:$P,当年实际!$J:$J,$C34,当年实际!$C:$C,"&gt;="&amp;DATE(YEAR(主页!$D$2),1,1),当年实际!$C:$C,"&lt;="&amp;EOMONTH(DATE(YEAR(主页!$D$2),MONTH(主页!$D$2),1),0)),"")</f>
        <v/>
      </c>
    </row>
    <row r="35" spans="1:10" x14ac:dyDescent="0.3">
      <c r="A35" s="129"/>
      <c r="B35" s="150"/>
      <c r="C35" s="150"/>
      <c r="D35" s="150"/>
      <c r="E35" s="140" t="str">
        <f t="shared" si="0"/>
        <v/>
      </c>
      <c r="F35" s="157"/>
      <c r="G35" s="145">
        <f t="shared" si="4"/>
        <v>0</v>
      </c>
      <c r="H35" s="140" t="str">
        <f t="shared" si="3"/>
        <v/>
      </c>
      <c r="J35" s="147" t="str">
        <f>IFERROR(SUMIFS(当年实际!$V:$V,当年实际!$J:$J,$C35,当年实际!$C:$C,"&gt;="&amp;DATE(YEAR(主页!$D$2),1,1),当年实际!$C:$C,"&lt;="&amp;EOMONTH(DATE(YEAR(主页!$D$2),MONTH(主页!$D$2),1),0))/SUMIFS(当年实际!$P:$P,当年实际!$J:$J,$C35,当年实际!$C:$C,"&gt;="&amp;DATE(YEAR(主页!$D$2),1,1),当年实际!$C:$C,"&lt;="&amp;EOMONTH(DATE(YEAR(主页!$D$2),MONTH(主页!$D$2),1),0)),"")</f>
        <v/>
      </c>
    </row>
    <row r="36" spans="1:10" x14ac:dyDescent="0.3">
      <c r="A36" s="129"/>
      <c r="B36" s="150"/>
      <c r="C36" s="150"/>
      <c r="D36" s="150"/>
      <c r="E36" s="140" t="str">
        <f t="shared" si="0"/>
        <v/>
      </c>
      <c r="F36" s="157"/>
      <c r="G36" s="145">
        <f t="shared" si="4"/>
        <v>0</v>
      </c>
      <c r="H36" s="140" t="str">
        <f t="shared" si="3"/>
        <v/>
      </c>
      <c r="J36" s="147" t="str">
        <f>IFERROR(SUMIFS(当年实际!$V:$V,当年实际!$J:$J,$C36,当年实际!$C:$C,"&gt;="&amp;DATE(YEAR(主页!$D$2),1,1),当年实际!$C:$C,"&lt;="&amp;EOMONTH(DATE(YEAR(主页!$D$2),MONTH(主页!$D$2),1),0))/SUMIFS(当年实际!$P:$P,当年实际!$J:$J,$C36,当年实际!$C:$C,"&gt;="&amp;DATE(YEAR(主页!$D$2),1,1),当年实际!$C:$C,"&lt;="&amp;EOMONTH(DATE(YEAR(主页!$D$2),MONTH(主页!$D$2),1),0)),"")</f>
        <v/>
      </c>
    </row>
    <row r="37" spans="1:10" x14ac:dyDescent="0.3">
      <c r="A37" s="129"/>
      <c r="B37" s="150"/>
      <c r="C37" s="150"/>
      <c r="D37" s="150"/>
      <c r="E37" s="140" t="str">
        <f t="shared" si="0"/>
        <v/>
      </c>
      <c r="F37" s="157"/>
      <c r="G37" s="145">
        <f t="shared" si="4"/>
        <v>0</v>
      </c>
      <c r="H37" s="140" t="str">
        <f t="shared" si="3"/>
        <v/>
      </c>
      <c r="J37" s="147" t="str">
        <f>IFERROR(SUMIFS(当年实际!$V:$V,当年实际!$J:$J,$C37,当年实际!$C:$C,"&gt;="&amp;DATE(YEAR(主页!$D$2),1,1),当年实际!$C:$C,"&lt;="&amp;EOMONTH(DATE(YEAR(主页!$D$2),MONTH(主页!$D$2),1),0))/SUMIFS(当年实际!$P:$P,当年实际!$J:$J,$C37,当年实际!$C:$C,"&gt;="&amp;DATE(YEAR(主页!$D$2),1,1),当年实际!$C:$C,"&lt;="&amp;EOMONTH(DATE(YEAR(主页!$D$2),MONTH(主页!$D$2),1),0)),"")</f>
        <v/>
      </c>
    </row>
    <row r="38" spans="1:10" x14ac:dyDescent="0.3">
      <c r="A38" s="129"/>
      <c r="B38" s="150"/>
      <c r="C38" s="150"/>
      <c r="D38" s="150"/>
      <c r="E38" s="140" t="str">
        <f t="shared" si="0"/>
        <v/>
      </c>
      <c r="F38" s="157"/>
      <c r="G38" s="145">
        <f t="shared" si="4"/>
        <v>0</v>
      </c>
      <c r="H38" s="140" t="str">
        <f t="shared" si="3"/>
        <v/>
      </c>
      <c r="J38" s="147" t="str">
        <f>IFERROR(SUMIFS(当年实际!$V:$V,当年实际!$J:$J,$C38,当年实际!$C:$C,"&gt;="&amp;DATE(YEAR(主页!$D$2),1,1),当年实际!$C:$C,"&lt;="&amp;EOMONTH(DATE(YEAR(主页!$D$2),MONTH(主页!$D$2),1),0))/SUMIFS(当年实际!$P:$P,当年实际!$J:$J,$C38,当年实际!$C:$C,"&gt;="&amp;DATE(YEAR(主页!$D$2),1,1),当年实际!$C:$C,"&lt;="&amp;EOMONTH(DATE(YEAR(主页!$D$2),MONTH(主页!$D$2),1),0)),"")</f>
        <v/>
      </c>
    </row>
    <row r="39" spans="1:10" x14ac:dyDescent="0.3">
      <c r="A39" s="129"/>
      <c r="B39" s="150"/>
      <c r="C39" s="150"/>
      <c r="D39" s="150"/>
      <c r="E39" s="140" t="str">
        <f t="shared" si="0"/>
        <v/>
      </c>
      <c r="F39" s="157"/>
      <c r="G39" s="145">
        <f t="shared" si="4"/>
        <v>0</v>
      </c>
      <c r="H39" s="140" t="str">
        <f t="shared" si="3"/>
        <v/>
      </c>
      <c r="J39" s="147" t="str">
        <f>IFERROR(SUMIFS(当年实际!$V:$V,当年实际!$J:$J,$C39,当年实际!$C:$C,"&gt;="&amp;DATE(YEAR(主页!$D$2),1,1),当年实际!$C:$C,"&lt;="&amp;EOMONTH(DATE(YEAR(主页!$D$2),MONTH(主页!$D$2),1),0))/SUMIFS(当年实际!$P:$P,当年实际!$J:$J,$C39,当年实际!$C:$C,"&gt;="&amp;DATE(YEAR(主页!$D$2),1,1),当年实际!$C:$C,"&lt;="&amp;EOMONTH(DATE(YEAR(主页!$D$2),MONTH(主页!$D$2),1),0)),"")</f>
        <v/>
      </c>
    </row>
    <row r="40" spans="1:10" x14ac:dyDescent="0.3">
      <c r="A40" s="129"/>
      <c r="B40" s="150"/>
      <c r="C40" s="150"/>
      <c r="D40" s="150"/>
      <c r="E40" s="140" t="str">
        <f t="shared" si="0"/>
        <v/>
      </c>
      <c r="F40" s="157"/>
      <c r="G40" s="145">
        <f t="shared" si="4"/>
        <v>0</v>
      </c>
      <c r="H40" s="140" t="str">
        <f t="shared" si="3"/>
        <v/>
      </c>
      <c r="J40" s="147" t="str">
        <f>IFERROR(SUMIFS(当年实际!$V:$V,当年实际!$J:$J,$C40,当年实际!$C:$C,"&gt;="&amp;DATE(YEAR(主页!$D$2),1,1),当年实际!$C:$C,"&lt;="&amp;EOMONTH(DATE(YEAR(主页!$D$2),MONTH(主页!$D$2),1),0))/SUMIFS(当年实际!$P:$P,当年实际!$J:$J,$C40,当年实际!$C:$C,"&gt;="&amp;DATE(YEAR(主页!$D$2),1,1),当年实际!$C:$C,"&lt;="&amp;EOMONTH(DATE(YEAR(主页!$D$2),MONTH(主页!$D$2),1),0)),"")</f>
        <v/>
      </c>
    </row>
    <row r="41" spans="1:10" x14ac:dyDescent="0.3">
      <c r="A41" s="129"/>
      <c r="B41" s="150"/>
      <c r="C41" s="150"/>
      <c r="D41" s="150"/>
      <c r="E41" s="140" t="str">
        <f t="shared" si="0"/>
        <v/>
      </c>
      <c r="F41" s="157"/>
      <c r="G41" s="145">
        <f t="shared" si="4"/>
        <v>0</v>
      </c>
      <c r="H41" s="140" t="str">
        <f t="shared" si="3"/>
        <v/>
      </c>
      <c r="J41" s="147" t="str">
        <f>IFERROR(SUMIFS(当年实际!$V:$V,当年实际!$J:$J,$C41,当年实际!$C:$C,"&gt;="&amp;DATE(YEAR(主页!$D$2),1,1),当年实际!$C:$C,"&lt;="&amp;EOMONTH(DATE(YEAR(主页!$D$2),MONTH(主页!$D$2),1),0))/SUMIFS(当年实际!$P:$P,当年实际!$J:$J,$C41,当年实际!$C:$C,"&gt;="&amp;DATE(YEAR(主页!$D$2),1,1),当年实际!$C:$C,"&lt;="&amp;EOMONTH(DATE(YEAR(主页!$D$2),MONTH(主页!$D$2),1),0)),"")</f>
        <v/>
      </c>
    </row>
    <row r="42" spans="1:10" x14ac:dyDescent="0.3">
      <c r="A42" s="129"/>
      <c r="B42" s="150"/>
      <c r="C42" s="150"/>
      <c r="D42" s="150"/>
      <c r="E42" s="140" t="str">
        <f t="shared" si="0"/>
        <v/>
      </c>
      <c r="F42" s="157"/>
      <c r="G42" s="145">
        <f t="shared" si="4"/>
        <v>0</v>
      </c>
      <c r="H42" s="140" t="str">
        <f t="shared" si="3"/>
        <v/>
      </c>
      <c r="J42" s="147" t="str">
        <f>IFERROR(SUMIFS(当年实际!$V:$V,当年实际!$J:$J,$C42,当年实际!$C:$C,"&gt;="&amp;DATE(YEAR(主页!$D$2),1,1),当年实际!$C:$C,"&lt;="&amp;EOMONTH(DATE(YEAR(主页!$D$2),MONTH(主页!$D$2),1),0))/SUMIFS(当年实际!$P:$P,当年实际!$J:$J,$C42,当年实际!$C:$C,"&gt;="&amp;DATE(YEAR(主页!$D$2),1,1),当年实际!$C:$C,"&lt;="&amp;EOMONTH(DATE(YEAR(主页!$D$2),MONTH(主页!$D$2),1),0)),"")</f>
        <v/>
      </c>
    </row>
    <row r="43" spans="1:10" x14ac:dyDescent="0.3">
      <c r="A43" s="129"/>
      <c r="B43" s="150"/>
      <c r="C43" s="150"/>
      <c r="D43" s="150"/>
      <c r="E43" s="140" t="str">
        <f t="shared" si="0"/>
        <v/>
      </c>
      <c r="F43" s="157"/>
      <c r="G43" s="145">
        <f t="shared" si="4"/>
        <v>0</v>
      </c>
      <c r="H43" s="140" t="str">
        <f t="shared" si="3"/>
        <v/>
      </c>
      <c r="J43" s="147" t="str">
        <f>IFERROR(SUMIFS(当年实际!$V:$V,当年实际!$J:$J,$C43,当年实际!$C:$C,"&gt;="&amp;DATE(YEAR(主页!$D$2),1,1),当年实际!$C:$C,"&lt;="&amp;EOMONTH(DATE(YEAR(主页!$D$2),MONTH(主页!$D$2),1),0))/SUMIFS(当年实际!$P:$P,当年实际!$J:$J,$C43,当年实际!$C:$C,"&gt;="&amp;DATE(YEAR(主页!$D$2),1,1),当年实际!$C:$C,"&lt;="&amp;EOMONTH(DATE(YEAR(主页!$D$2),MONTH(主页!$D$2),1),0)),"")</f>
        <v/>
      </c>
    </row>
    <row r="44" spans="1:10" x14ac:dyDescent="0.3">
      <c r="A44" s="129"/>
      <c r="B44" s="150"/>
      <c r="C44" s="150"/>
      <c r="D44" s="150"/>
      <c r="E44" s="140" t="str">
        <f t="shared" si="0"/>
        <v/>
      </c>
      <c r="F44" s="157"/>
      <c r="G44" s="145">
        <f t="shared" si="4"/>
        <v>0</v>
      </c>
      <c r="H44" s="140" t="str">
        <f t="shared" si="3"/>
        <v/>
      </c>
      <c r="J44" s="147" t="str">
        <f>IFERROR(SUMIFS(当年实际!$V:$V,当年实际!$J:$J,$C44,当年实际!$C:$C,"&gt;="&amp;DATE(YEAR(主页!$D$2),1,1),当年实际!$C:$C,"&lt;="&amp;EOMONTH(DATE(YEAR(主页!$D$2),MONTH(主页!$D$2),1),0))/SUMIFS(当年实际!$P:$P,当年实际!$J:$J,$C44,当年实际!$C:$C,"&gt;="&amp;DATE(YEAR(主页!$D$2),1,1),当年实际!$C:$C,"&lt;="&amp;EOMONTH(DATE(YEAR(主页!$D$2),MONTH(主页!$D$2),1),0)),"")</f>
        <v/>
      </c>
    </row>
    <row r="45" spans="1:10" x14ac:dyDescent="0.3">
      <c r="A45" s="129"/>
      <c r="B45" s="150"/>
      <c r="C45" s="150"/>
      <c r="D45" s="150"/>
      <c r="E45" s="140" t="str">
        <f t="shared" si="0"/>
        <v/>
      </c>
      <c r="F45" s="157"/>
      <c r="G45" s="145">
        <f t="shared" si="4"/>
        <v>0</v>
      </c>
      <c r="H45" s="140" t="str">
        <f t="shared" si="3"/>
        <v/>
      </c>
      <c r="J45" s="147" t="str">
        <f>IFERROR(SUMIFS(当年实际!$V:$V,当年实际!$J:$J,$C45,当年实际!$C:$C,"&gt;="&amp;DATE(YEAR(主页!$D$2),1,1),当年实际!$C:$C,"&lt;="&amp;EOMONTH(DATE(YEAR(主页!$D$2),MONTH(主页!$D$2),1),0))/SUMIFS(当年实际!$P:$P,当年实际!$J:$J,$C45,当年实际!$C:$C,"&gt;="&amp;DATE(YEAR(主页!$D$2),1,1),当年实际!$C:$C,"&lt;="&amp;EOMONTH(DATE(YEAR(主页!$D$2),MONTH(主页!$D$2),1),0)),"")</f>
        <v/>
      </c>
    </row>
    <row r="46" spans="1:10" x14ac:dyDescent="0.3">
      <c r="A46" s="129"/>
      <c r="B46" s="150"/>
      <c r="C46" s="150"/>
      <c r="D46" s="150"/>
      <c r="E46" s="140" t="str">
        <f t="shared" si="0"/>
        <v/>
      </c>
      <c r="F46" s="157"/>
      <c r="G46" s="145">
        <f t="shared" si="4"/>
        <v>0</v>
      </c>
      <c r="H46" s="140" t="str">
        <f t="shared" si="3"/>
        <v/>
      </c>
      <c r="J46" s="147" t="str">
        <f>IFERROR(SUMIFS(当年实际!$V:$V,当年实际!$J:$J,$C46,当年实际!$C:$C,"&gt;="&amp;DATE(YEAR(主页!$D$2),1,1),当年实际!$C:$C,"&lt;="&amp;EOMONTH(DATE(YEAR(主页!$D$2),MONTH(主页!$D$2),1),0))/SUMIFS(当年实际!$P:$P,当年实际!$J:$J,$C46,当年实际!$C:$C,"&gt;="&amp;DATE(YEAR(主页!$D$2),1,1),当年实际!$C:$C,"&lt;="&amp;EOMONTH(DATE(YEAR(主页!$D$2),MONTH(主页!$D$2),1),0)),"")</f>
        <v/>
      </c>
    </row>
    <row r="47" spans="1:10" x14ac:dyDescent="0.3">
      <c r="A47" s="129"/>
      <c r="B47" s="150"/>
      <c r="C47" s="150"/>
      <c r="D47" s="150"/>
      <c r="E47" s="140" t="str">
        <f t="shared" si="0"/>
        <v/>
      </c>
      <c r="F47" s="157"/>
      <c r="G47" s="145">
        <f t="shared" si="4"/>
        <v>0</v>
      </c>
      <c r="H47" s="140" t="str">
        <f t="shared" si="3"/>
        <v/>
      </c>
      <c r="J47" s="147" t="str">
        <f>IFERROR(SUMIFS(当年实际!$V:$V,当年实际!$J:$J,$C47,当年实际!$C:$C,"&gt;="&amp;DATE(YEAR(主页!$D$2),1,1),当年实际!$C:$C,"&lt;="&amp;EOMONTH(DATE(YEAR(主页!$D$2),MONTH(主页!$D$2),1),0))/SUMIFS(当年实际!$P:$P,当年实际!$J:$J,$C47,当年实际!$C:$C,"&gt;="&amp;DATE(YEAR(主页!$D$2),1,1),当年实际!$C:$C,"&lt;="&amp;EOMONTH(DATE(YEAR(主页!$D$2),MONTH(主页!$D$2),1),0)),"")</f>
        <v/>
      </c>
    </row>
    <row r="48" spans="1:10" x14ac:dyDescent="0.3">
      <c r="A48" s="129"/>
      <c r="B48" s="150"/>
      <c r="C48" s="150"/>
      <c r="D48" s="150"/>
      <c r="E48" s="140" t="str">
        <f t="shared" si="0"/>
        <v/>
      </c>
      <c r="F48" s="157"/>
      <c r="G48" s="145">
        <f t="shared" si="4"/>
        <v>0</v>
      </c>
      <c r="H48" s="140" t="str">
        <f t="shared" si="3"/>
        <v/>
      </c>
      <c r="J48" s="147" t="str">
        <f>IFERROR(SUMIFS(当年实际!$V:$V,当年实际!$J:$J,$C48,当年实际!$C:$C,"&gt;="&amp;DATE(YEAR(主页!$D$2),1,1),当年实际!$C:$C,"&lt;="&amp;EOMONTH(DATE(YEAR(主页!$D$2),MONTH(主页!$D$2),1),0))/SUMIFS(当年实际!$P:$P,当年实际!$J:$J,$C48,当年实际!$C:$C,"&gt;="&amp;DATE(YEAR(主页!$D$2),1,1),当年实际!$C:$C,"&lt;="&amp;EOMONTH(DATE(YEAR(主页!$D$2),MONTH(主页!$D$2),1),0)),"")</f>
        <v/>
      </c>
    </row>
    <row r="49" spans="1:10" x14ac:dyDescent="0.3">
      <c r="A49" s="129"/>
      <c r="B49" s="150"/>
      <c r="C49" s="150"/>
      <c r="D49" s="150"/>
      <c r="E49" s="140" t="str">
        <f t="shared" si="0"/>
        <v/>
      </c>
      <c r="F49" s="157"/>
      <c r="G49" s="145">
        <f t="shared" si="4"/>
        <v>0</v>
      </c>
      <c r="H49" s="140" t="str">
        <f t="shared" si="3"/>
        <v/>
      </c>
      <c r="J49" s="147" t="str">
        <f>IFERROR(SUMIFS(当年实际!$V:$V,当年实际!$J:$J,$C49,当年实际!$C:$C,"&gt;="&amp;DATE(YEAR(主页!$D$2),1,1),当年实际!$C:$C,"&lt;="&amp;EOMONTH(DATE(YEAR(主页!$D$2),MONTH(主页!$D$2),1),0))/SUMIFS(当年实际!$P:$P,当年实际!$J:$J,$C49,当年实际!$C:$C,"&gt;="&amp;DATE(YEAR(主页!$D$2),1,1),当年实际!$C:$C,"&lt;="&amp;EOMONTH(DATE(YEAR(主页!$D$2),MONTH(主页!$D$2),1),0)),"")</f>
        <v/>
      </c>
    </row>
    <row r="50" spans="1:10" x14ac:dyDescent="0.3">
      <c r="A50" s="129"/>
      <c r="B50" s="150"/>
      <c r="C50" s="150"/>
      <c r="D50" s="150"/>
      <c r="E50" s="140" t="str">
        <f t="shared" si="0"/>
        <v/>
      </c>
      <c r="F50" s="157"/>
      <c r="G50" s="145">
        <f t="shared" si="4"/>
        <v>0</v>
      </c>
      <c r="H50" s="140" t="str">
        <f t="shared" si="3"/>
        <v/>
      </c>
      <c r="J50" s="147" t="str">
        <f>IFERROR(SUMIFS(当年实际!$V:$V,当年实际!$J:$J,$C50,当年实际!$C:$C,"&gt;="&amp;DATE(YEAR(主页!$D$2),1,1),当年实际!$C:$C,"&lt;="&amp;EOMONTH(DATE(YEAR(主页!$D$2),MONTH(主页!$D$2),1),0))/SUMIFS(当年实际!$P:$P,当年实际!$J:$J,$C50,当年实际!$C:$C,"&gt;="&amp;DATE(YEAR(主页!$D$2),1,1),当年实际!$C:$C,"&lt;="&amp;EOMONTH(DATE(YEAR(主页!$D$2),MONTH(主页!$D$2),1),0)),"")</f>
        <v/>
      </c>
    </row>
    <row r="51" spans="1:10" x14ac:dyDescent="0.3">
      <c r="A51" s="129"/>
      <c r="B51" s="150"/>
      <c r="C51" s="150"/>
      <c r="D51" s="150"/>
      <c r="E51" s="140" t="str">
        <f t="shared" si="0"/>
        <v/>
      </c>
      <c r="F51" s="157"/>
      <c r="G51" s="145">
        <f t="shared" si="4"/>
        <v>0</v>
      </c>
      <c r="H51" s="140" t="str">
        <f t="shared" si="3"/>
        <v/>
      </c>
      <c r="J51" s="147" t="str">
        <f>IFERROR(SUMIFS(当年实际!$V:$V,当年实际!$J:$J,$C51,当年实际!$C:$C,"&gt;="&amp;DATE(YEAR(主页!$D$2),1,1),当年实际!$C:$C,"&lt;="&amp;EOMONTH(DATE(YEAR(主页!$D$2),MONTH(主页!$D$2),1),0))/SUMIFS(当年实际!$P:$P,当年实际!$J:$J,$C51,当年实际!$C:$C,"&gt;="&amp;DATE(YEAR(主页!$D$2),1,1),当年实际!$C:$C,"&lt;="&amp;EOMONTH(DATE(YEAR(主页!$D$2),MONTH(主页!$D$2),1),0)),"")</f>
        <v/>
      </c>
    </row>
    <row r="52" spans="1:10" x14ac:dyDescent="0.3">
      <c r="A52" s="129"/>
      <c r="B52" s="150"/>
      <c r="C52" s="150"/>
      <c r="D52" s="150"/>
      <c r="E52" s="140" t="str">
        <f t="shared" si="0"/>
        <v/>
      </c>
      <c r="F52" s="157"/>
      <c r="G52" s="145">
        <f t="shared" si="4"/>
        <v>0</v>
      </c>
      <c r="H52" s="140" t="str">
        <f t="shared" si="3"/>
        <v/>
      </c>
      <c r="J52" s="147" t="str">
        <f>IFERROR(SUMIFS(当年实际!$V:$V,当年实际!$J:$J,$C52,当年实际!$C:$C,"&gt;="&amp;DATE(YEAR(主页!$D$2),1,1),当年实际!$C:$C,"&lt;="&amp;EOMONTH(DATE(YEAR(主页!$D$2),MONTH(主页!$D$2),1),0))/SUMIFS(当年实际!$P:$P,当年实际!$J:$J,$C52,当年实际!$C:$C,"&gt;="&amp;DATE(YEAR(主页!$D$2),1,1),当年实际!$C:$C,"&lt;="&amp;EOMONTH(DATE(YEAR(主页!$D$2),MONTH(主页!$D$2),1),0)),"")</f>
        <v/>
      </c>
    </row>
    <row r="53" spans="1:10" x14ac:dyDescent="0.3">
      <c r="A53" s="129"/>
      <c r="B53" s="150"/>
      <c r="C53" s="150"/>
      <c r="D53" s="150"/>
      <c r="E53" s="140" t="str">
        <f t="shared" si="0"/>
        <v/>
      </c>
      <c r="F53" s="157"/>
      <c r="G53" s="145">
        <f t="shared" si="4"/>
        <v>0</v>
      </c>
      <c r="H53" s="140" t="str">
        <f t="shared" si="3"/>
        <v/>
      </c>
      <c r="J53" s="147" t="str">
        <f>IFERROR(SUMIFS(当年实际!$V:$V,当年实际!$J:$J,$C53,当年实际!$C:$C,"&gt;="&amp;DATE(YEAR(主页!$D$2),1,1),当年实际!$C:$C,"&lt;="&amp;EOMONTH(DATE(YEAR(主页!$D$2),MONTH(主页!$D$2),1),0))/SUMIFS(当年实际!$P:$P,当年实际!$J:$J,$C53,当年实际!$C:$C,"&gt;="&amp;DATE(YEAR(主页!$D$2),1,1),当年实际!$C:$C,"&lt;="&amp;EOMONTH(DATE(YEAR(主页!$D$2),MONTH(主页!$D$2),1),0)),"")</f>
        <v/>
      </c>
    </row>
    <row r="54" spans="1:10" x14ac:dyDescent="0.3">
      <c r="A54" s="129"/>
      <c r="B54" s="150"/>
      <c r="C54" s="150"/>
      <c r="D54" s="150"/>
      <c r="E54" s="140" t="str">
        <f t="shared" si="0"/>
        <v/>
      </c>
      <c r="F54" s="157"/>
      <c r="G54" s="145">
        <f t="shared" si="4"/>
        <v>0</v>
      </c>
      <c r="H54" s="140" t="str">
        <f t="shared" si="3"/>
        <v/>
      </c>
      <c r="J54" s="147" t="str">
        <f>IFERROR(SUMIFS(当年实际!$V:$V,当年实际!$J:$J,$C54,当年实际!$C:$C,"&gt;="&amp;DATE(YEAR(主页!$D$2),1,1),当年实际!$C:$C,"&lt;="&amp;EOMONTH(DATE(YEAR(主页!$D$2),MONTH(主页!$D$2),1),0))/SUMIFS(当年实际!$P:$P,当年实际!$J:$J,$C54,当年实际!$C:$C,"&gt;="&amp;DATE(YEAR(主页!$D$2),1,1),当年实际!$C:$C,"&lt;="&amp;EOMONTH(DATE(YEAR(主页!$D$2),MONTH(主页!$D$2),1),0)),"")</f>
        <v/>
      </c>
    </row>
    <row r="55" spans="1:10" x14ac:dyDescent="0.3">
      <c r="A55" s="129"/>
      <c r="B55" s="150"/>
      <c r="C55" s="150"/>
      <c r="D55" s="150"/>
      <c r="E55" s="140" t="str">
        <f t="shared" si="0"/>
        <v/>
      </c>
      <c r="F55" s="157"/>
      <c r="G55" s="145">
        <f t="shared" si="4"/>
        <v>0</v>
      </c>
      <c r="H55" s="140" t="str">
        <f t="shared" si="3"/>
        <v/>
      </c>
      <c r="J55" s="147" t="str">
        <f>IFERROR(SUMIFS(当年实际!$V:$V,当年实际!$J:$J,$C55,当年实际!$C:$C,"&gt;="&amp;DATE(YEAR(主页!$D$2),1,1),当年实际!$C:$C,"&lt;="&amp;EOMONTH(DATE(YEAR(主页!$D$2),MONTH(主页!$D$2),1),0))/SUMIFS(当年实际!$P:$P,当年实际!$J:$J,$C55,当年实际!$C:$C,"&gt;="&amp;DATE(YEAR(主页!$D$2),1,1),当年实际!$C:$C,"&lt;="&amp;EOMONTH(DATE(YEAR(主页!$D$2),MONTH(主页!$D$2),1),0)),"")</f>
        <v/>
      </c>
    </row>
    <row r="56" spans="1:10" x14ac:dyDescent="0.3">
      <c r="A56" s="129"/>
      <c r="B56" s="150"/>
      <c r="C56" s="150"/>
      <c r="D56" s="150"/>
      <c r="E56" s="140" t="str">
        <f t="shared" si="0"/>
        <v/>
      </c>
      <c r="F56" s="157"/>
      <c r="G56" s="145">
        <f t="shared" si="4"/>
        <v>0</v>
      </c>
      <c r="H56" s="140" t="str">
        <f t="shared" si="3"/>
        <v/>
      </c>
      <c r="J56" s="147" t="str">
        <f>IFERROR(SUMIFS(当年实际!$V:$V,当年实际!$J:$J,$C56,当年实际!$C:$C,"&gt;="&amp;DATE(YEAR(主页!$D$2),1,1),当年实际!$C:$C,"&lt;="&amp;EOMONTH(DATE(YEAR(主页!$D$2),MONTH(主页!$D$2),1),0))/SUMIFS(当年实际!$P:$P,当年实际!$J:$J,$C56,当年实际!$C:$C,"&gt;="&amp;DATE(YEAR(主页!$D$2),1,1),当年实际!$C:$C,"&lt;="&amp;EOMONTH(DATE(YEAR(主页!$D$2),MONTH(主页!$D$2),1),0)),"")</f>
        <v/>
      </c>
    </row>
    <row r="57" spans="1:10" x14ac:dyDescent="0.3">
      <c r="A57" s="129"/>
      <c r="B57" s="150"/>
      <c r="C57" s="150"/>
      <c r="D57" s="150"/>
      <c r="E57" s="140" t="str">
        <f t="shared" si="0"/>
        <v/>
      </c>
      <c r="F57" s="157"/>
      <c r="G57" s="145">
        <f t="shared" si="4"/>
        <v>0</v>
      </c>
      <c r="H57" s="140" t="str">
        <f t="shared" si="3"/>
        <v/>
      </c>
      <c r="J57" s="147" t="str">
        <f>IFERROR(SUMIFS(当年实际!$V:$V,当年实际!$J:$J,$C57,当年实际!$C:$C,"&gt;="&amp;DATE(YEAR(主页!$D$2),1,1),当年实际!$C:$C,"&lt;="&amp;EOMONTH(DATE(YEAR(主页!$D$2),MONTH(主页!$D$2),1),0))/SUMIFS(当年实际!$P:$P,当年实际!$J:$J,$C57,当年实际!$C:$C,"&gt;="&amp;DATE(YEAR(主页!$D$2),1,1),当年实际!$C:$C,"&lt;="&amp;EOMONTH(DATE(YEAR(主页!$D$2),MONTH(主页!$D$2),1),0)),"")</f>
        <v/>
      </c>
    </row>
    <row r="58" spans="1:10" x14ac:dyDescent="0.3">
      <c r="A58" s="129"/>
      <c r="B58" s="150"/>
      <c r="C58" s="150"/>
      <c r="D58" s="150"/>
      <c r="E58" s="140" t="str">
        <f t="shared" si="0"/>
        <v/>
      </c>
      <c r="F58" s="157"/>
      <c r="G58" s="145">
        <f t="shared" si="4"/>
        <v>0</v>
      </c>
      <c r="H58" s="140" t="str">
        <f t="shared" si="3"/>
        <v/>
      </c>
      <c r="J58" s="147" t="str">
        <f>IFERROR(SUMIFS(当年实际!$V:$V,当年实际!$J:$J,$C58,当年实际!$C:$C,"&gt;="&amp;DATE(YEAR(主页!$D$2),1,1),当年实际!$C:$C,"&lt;="&amp;EOMONTH(DATE(YEAR(主页!$D$2),MONTH(主页!$D$2),1),0))/SUMIFS(当年实际!$P:$P,当年实际!$J:$J,$C58,当年实际!$C:$C,"&gt;="&amp;DATE(YEAR(主页!$D$2),1,1),当年实际!$C:$C,"&lt;="&amp;EOMONTH(DATE(YEAR(主页!$D$2),MONTH(主页!$D$2),1),0)),"")</f>
        <v/>
      </c>
    </row>
    <row r="59" spans="1:10" x14ac:dyDescent="0.3">
      <c r="A59" s="129"/>
      <c r="B59" s="150"/>
      <c r="C59" s="150"/>
      <c r="D59" s="150"/>
      <c r="E59" s="140" t="str">
        <f t="shared" si="0"/>
        <v/>
      </c>
      <c r="F59" s="157"/>
      <c r="G59" s="145">
        <f t="shared" si="4"/>
        <v>0</v>
      </c>
      <c r="H59" s="140" t="str">
        <f t="shared" si="3"/>
        <v/>
      </c>
      <c r="J59" s="147" t="str">
        <f>IFERROR(SUMIFS(当年实际!$V:$V,当年实际!$J:$J,$C59,当年实际!$C:$C,"&gt;="&amp;DATE(YEAR(主页!$D$2),1,1),当年实际!$C:$C,"&lt;="&amp;EOMONTH(DATE(YEAR(主页!$D$2),MONTH(主页!$D$2),1),0))/SUMIFS(当年实际!$P:$P,当年实际!$J:$J,$C59,当年实际!$C:$C,"&gt;="&amp;DATE(YEAR(主页!$D$2),1,1),当年实际!$C:$C,"&lt;="&amp;EOMONTH(DATE(YEAR(主页!$D$2),MONTH(主页!$D$2),1),0)),"")</f>
        <v/>
      </c>
    </row>
    <row r="60" spans="1:10" x14ac:dyDescent="0.3">
      <c r="A60" s="129"/>
      <c r="B60" s="150"/>
      <c r="C60" s="150"/>
      <c r="D60" s="150"/>
      <c r="E60" s="140" t="str">
        <f t="shared" si="0"/>
        <v/>
      </c>
      <c r="F60" s="157"/>
      <c r="G60" s="145">
        <f t="shared" si="4"/>
        <v>0</v>
      </c>
      <c r="H60" s="140" t="str">
        <f t="shared" si="3"/>
        <v/>
      </c>
      <c r="J60" s="147" t="str">
        <f>IFERROR(SUMIFS(当年实际!$V:$V,当年实际!$J:$J,$C60,当年实际!$C:$C,"&gt;="&amp;DATE(YEAR(主页!$D$2),1,1),当年实际!$C:$C,"&lt;="&amp;EOMONTH(DATE(YEAR(主页!$D$2),MONTH(主页!$D$2),1),0))/SUMIFS(当年实际!$P:$P,当年实际!$J:$J,$C60,当年实际!$C:$C,"&gt;="&amp;DATE(YEAR(主页!$D$2),1,1),当年实际!$C:$C,"&lt;="&amp;EOMONTH(DATE(YEAR(主页!$D$2),MONTH(主页!$D$2),1),0)),"")</f>
        <v/>
      </c>
    </row>
    <row r="61" spans="1:10" x14ac:dyDescent="0.3">
      <c r="A61" s="129"/>
      <c r="B61" s="150"/>
      <c r="C61" s="150"/>
      <c r="D61" s="150"/>
      <c r="E61" s="140" t="str">
        <f t="shared" si="0"/>
        <v/>
      </c>
      <c r="F61" s="157"/>
      <c r="G61" s="145">
        <f t="shared" si="4"/>
        <v>0</v>
      </c>
      <c r="H61" s="140" t="str">
        <f t="shared" si="3"/>
        <v/>
      </c>
      <c r="J61" s="147" t="str">
        <f>IFERROR(SUMIFS(当年实际!$V:$V,当年实际!$J:$J,$C61,当年实际!$C:$C,"&gt;="&amp;DATE(YEAR(主页!$D$2),1,1),当年实际!$C:$C,"&lt;="&amp;EOMONTH(DATE(YEAR(主页!$D$2),MONTH(主页!$D$2),1),0))/SUMIFS(当年实际!$P:$P,当年实际!$J:$J,$C61,当年实际!$C:$C,"&gt;="&amp;DATE(YEAR(主页!$D$2),1,1),当年实际!$C:$C,"&lt;="&amp;EOMONTH(DATE(YEAR(主页!$D$2),MONTH(主页!$D$2),1),0)),"")</f>
        <v/>
      </c>
    </row>
    <row r="62" spans="1:10" x14ac:dyDescent="0.3">
      <c r="A62" s="129"/>
      <c r="B62" s="150"/>
      <c r="C62" s="150"/>
      <c r="D62" s="150"/>
      <c r="E62" s="140" t="str">
        <f t="shared" si="0"/>
        <v/>
      </c>
      <c r="F62" s="157"/>
      <c r="G62" s="145">
        <f t="shared" si="4"/>
        <v>0</v>
      </c>
      <c r="H62" s="140" t="str">
        <f t="shared" si="3"/>
        <v/>
      </c>
      <c r="J62" s="147" t="str">
        <f>IFERROR(SUMIFS(当年实际!$V:$V,当年实际!$J:$J,$C62,当年实际!$C:$C,"&gt;="&amp;DATE(YEAR(主页!$D$2),1,1),当年实际!$C:$C,"&lt;="&amp;EOMONTH(DATE(YEAR(主页!$D$2),MONTH(主页!$D$2),1),0))/SUMIFS(当年实际!$P:$P,当年实际!$J:$J,$C62,当年实际!$C:$C,"&gt;="&amp;DATE(YEAR(主页!$D$2),1,1),当年实际!$C:$C,"&lt;="&amp;EOMONTH(DATE(YEAR(主页!$D$2),MONTH(主页!$D$2),1),0)),"")</f>
        <v/>
      </c>
    </row>
    <row r="63" spans="1:10" x14ac:dyDescent="0.3">
      <c r="A63" s="129"/>
      <c r="B63" s="150"/>
      <c r="C63" s="150"/>
      <c r="D63" s="150"/>
      <c r="E63" s="140" t="str">
        <f t="shared" si="0"/>
        <v/>
      </c>
      <c r="F63" s="157"/>
      <c r="G63" s="145">
        <f t="shared" si="4"/>
        <v>0</v>
      </c>
      <c r="H63" s="140" t="str">
        <f t="shared" si="3"/>
        <v/>
      </c>
      <c r="J63" s="147" t="str">
        <f>IFERROR(SUMIFS(当年实际!$V:$V,当年实际!$J:$J,$C63,当年实际!$C:$C,"&gt;="&amp;DATE(YEAR(主页!$D$2),1,1),当年实际!$C:$C,"&lt;="&amp;EOMONTH(DATE(YEAR(主页!$D$2),MONTH(主页!$D$2),1),0))/SUMIFS(当年实际!$P:$P,当年实际!$J:$J,$C63,当年实际!$C:$C,"&gt;="&amp;DATE(YEAR(主页!$D$2),1,1),当年实际!$C:$C,"&lt;="&amp;EOMONTH(DATE(YEAR(主页!$D$2),MONTH(主页!$D$2),1),0)),"")</f>
        <v/>
      </c>
    </row>
    <row r="64" spans="1:10" x14ac:dyDescent="0.3">
      <c r="A64" s="129"/>
      <c r="B64" s="150"/>
      <c r="C64" s="150"/>
      <c r="D64" s="150"/>
      <c r="E64" s="140" t="str">
        <f t="shared" si="0"/>
        <v/>
      </c>
      <c r="F64" s="157"/>
      <c r="G64" s="145">
        <f t="shared" si="4"/>
        <v>0</v>
      </c>
      <c r="H64" s="140" t="str">
        <f t="shared" si="3"/>
        <v/>
      </c>
      <c r="J64" s="147" t="str">
        <f>IFERROR(SUMIFS(当年实际!$V:$V,当年实际!$J:$J,$C64,当年实际!$C:$C,"&gt;="&amp;DATE(YEAR(主页!$D$2),1,1),当年实际!$C:$C,"&lt;="&amp;EOMONTH(DATE(YEAR(主页!$D$2),MONTH(主页!$D$2),1),0))/SUMIFS(当年实际!$P:$P,当年实际!$J:$J,$C64,当年实际!$C:$C,"&gt;="&amp;DATE(YEAR(主页!$D$2),1,1),当年实际!$C:$C,"&lt;="&amp;EOMONTH(DATE(YEAR(主页!$D$2),MONTH(主页!$D$2),1),0)),"")</f>
        <v/>
      </c>
    </row>
    <row r="65" spans="1:10" x14ac:dyDescent="0.3">
      <c r="A65" s="129"/>
      <c r="B65" s="150"/>
      <c r="C65" s="150"/>
      <c r="D65" s="150"/>
      <c r="E65" s="140" t="str">
        <f t="shared" si="0"/>
        <v/>
      </c>
      <c r="F65" s="157"/>
      <c r="G65" s="145">
        <f t="shared" si="4"/>
        <v>0</v>
      </c>
      <c r="H65" s="140" t="str">
        <f t="shared" si="3"/>
        <v/>
      </c>
      <c r="J65" s="147" t="str">
        <f>IFERROR(SUMIFS(当年实际!$V:$V,当年实际!$J:$J,$C65,当年实际!$C:$C,"&gt;="&amp;DATE(YEAR(主页!$D$2),1,1),当年实际!$C:$C,"&lt;="&amp;EOMONTH(DATE(YEAR(主页!$D$2),MONTH(主页!$D$2),1),0))/SUMIFS(当年实际!$P:$P,当年实际!$J:$J,$C65,当年实际!$C:$C,"&gt;="&amp;DATE(YEAR(主页!$D$2),1,1),当年实际!$C:$C,"&lt;="&amp;EOMONTH(DATE(YEAR(主页!$D$2),MONTH(主页!$D$2),1),0)),"")</f>
        <v/>
      </c>
    </row>
    <row r="66" spans="1:10" x14ac:dyDescent="0.3">
      <c r="A66" s="129"/>
      <c r="B66" s="150"/>
      <c r="C66" s="150"/>
      <c r="D66" s="150"/>
      <c r="E66" s="140" t="str">
        <f t="shared" si="0"/>
        <v/>
      </c>
      <c r="F66" s="157"/>
      <c r="G66" s="145">
        <f t="shared" si="4"/>
        <v>0</v>
      </c>
      <c r="H66" s="140" t="str">
        <f t="shared" si="3"/>
        <v/>
      </c>
      <c r="J66" s="147" t="str">
        <f>IFERROR(SUMIFS(当年实际!$V:$V,当年实际!$J:$J,$C66,当年实际!$C:$C,"&gt;="&amp;DATE(YEAR(主页!$D$2),1,1),当年实际!$C:$C,"&lt;="&amp;EOMONTH(DATE(YEAR(主页!$D$2),MONTH(主页!$D$2),1),0))/SUMIFS(当年实际!$P:$P,当年实际!$J:$J,$C66,当年实际!$C:$C,"&gt;="&amp;DATE(YEAR(主页!$D$2),1,1),当年实际!$C:$C,"&lt;="&amp;EOMONTH(DATE(YEAR(主页!$D$2),MONTH(主页!$D$2),1),0)),"")</f>
        <v/>
      </c>
    </row>
    <row r="67" spans="1:10" x14ac:dyDescent="0.3">
      <c r="A67" s="129"/>
      <c r="B67" s="150"/>
      <c r="C67" s="150"/>
      <c r="D67" s="150"/>
      <c r="E67" s="140" t="str">
        <f t="shared" si="0"/>
        <v/>
      </c>
      <c r="F67" s="157"/>
      <c r="G67" s="145">
        <f t="shared" si="4"/>
        <v>0</v>
      </c>
      <c r="H67" s="140" t="str">
        <f t="shared" si="3"/>
        <v/>
      </c>
      <c r="J67" s="147" t="str">
        <f>IFERROR(SUMIFS(当年实际!$V:$V,当年实际!$J:$J,$C67,当年实际!$C:$C,"&gt;="&amp;DATE(YEAR(主页!$D$2),1,1),当年实际!$C:$C,"&lt;="&amp;EOMONTH(DATE(YEAR(主页!$D$2),MONTH(主页!$D$2),1),0))/SUMIFS(当年实际!$P:$P,当年实际!$J:$J,$C67,当年实际!$C:$C,"&gt;="&amp;DATE(YEAR(主页!$D$2),1,1),当年实际!$C:$C,"&lt;="&amp;EOMONTH(DATE(YEAR(主页!$D$2),MONTH(主页!$D$2),1),0)),"")</f>
        <v/>
      </c>
    </row>
    <row r="68" spans="1:10" x14ac:dyDescent="0.3">
      <c r="A68" s="129"/>
      <c r="B68" s="150"/>
      <c r="C68" s="150"/>
      <c r="D68" s="150"/>
      <c r="E68" s="140" t="str">
        <f t="shared" ref="E68:E131" si="5">IF(D68/SUM(D:D)=0,"",D68/SUM(D:D))</f>
        <v/>
      </c>
      <c r="F68" s="157"/>
      <c r="G68" s="145">
        <f t="shared" si="4"/>
        <v>0</v>
      </c>
      <c r="H68" s="140" t="str">
        <f t="shared" si="3"/>
        <v/>
      </c>
      <c r="J68" s="147" t="str">
        <f>IFERROR(SUMIFS(当年实际!$V:$V,当年实际!$J:$J,$C68,当年实际!$C:$C,"&gt;="&amp;DATE(YEAR(主页!$D$2),1,1),当年实际!$C:$C,"&lt;="&amp;EOMONTH(DATE(YEAR(主页!$D$2),MONTH(主页!$D$2),1),0))/SUMIFS(当年实际!$P:$P,当年实际!$J:$J,$C68,当年实际!$C:$C,"&gt;="&amp;DATE(YEAR(主页!$D$2),1,1),当年实际!$C:$C,"&lt;="&amp;EOMONTH(DATE(YEAR(主页!$D$2),MONTH(主页!$D$2),1),0)),"")</f>
        <v/>
      </c>
    </row>
    <row r="69" spans="1:10" x14ac:dyDescent="0.3">
      <c r="A69" s="129"/>
      <c r="B69" s="150"/>
      <c r="C69" s="150"/>
      <c r="D69" s="150"/>
      <c r="E69" s="140" t="str">
        <f t="shared" si="5"/>
        <v/>
      </c>
      <c r="F69" s="157"/>
      <c r="G69" s="145">
        <f t="shared" si="4"/>
        <v>0</v>
      </c>
      <c r="H69" s="140" t="str">
        <f t="shared" si="3"/>
        <v/>
      </c>
      <c r="J69" s="147" t="str">
        <f>IFERROR(SUMIFS(当年实际!$V:$V,当年实际!$J:$J,$C69,当年实际!$C:$C,"&gt;="&amp;DATE(YEAR(主页!$D$2),1,1),当年实际!$C:$C,"&lt;="&amp;EOMONTH(DATE(YEAR(主页!$D$2),MONTH(主页!$D$2),1),0))/SUMIFS(当年实际!$P:$P,当年实际!$J:$J,$C69,当年实际!$C:$C,"&gt;="&amp;DATE(YEAR(主页!$D$2),1,1),当年实际!$C:$C,"&lt;="&amp;EOMONTH(DATE(YEAR(主页!$D$2),MONTH(主页!$D$2),1),0)),"")</f>
        <v/>
      </c>
    </row>
    <row r="70" spans="1:10" x14ac:dyDescent="0.3">
      <c r="A70" s="129"/>
      <c r="B70" s="150"/>
      <c r="C70" s="150"/>
      <c r="D70" s="150"/>
      <c r="E70" s="140" t="str">
        <f t="shared" si="5"/>
        <v/>
      </c>
      <c r="F70" s="157"/>
      <c r="G70" s="145">
        <f t="shared" si="4"/>
        <v>0</v>
      </c>
      <c r="H70" s="140" t="str">
        <f t="shared" ref="H70:H133" si="6">IF(G70/SUM(G:G)=0,"",G70/SUM(G:G))</f>
        <v/>
      </c>
      <c r="J70" s="147" t="str">
        <f>IFERROR(SUMIFS(当年实际!$V:$V,当年实际!$J:$J,$C70,当年实际!$C:$C,"&gt;="&amp;DATE(YEAR(主页!$D$2),1,1),当年实际!$C:$C,"&lt;="&amp;EOMONTH(DATE(YEAR(主页!$D$2),MONTH(主页!$D$2),1),0))/SUMIFS(当年实际!$P:$P,当年实际!$J:$J,$C70,当年实际!$C:$C,"&gt;="&amp;DATE(YEAR(主页!$D$2),1,1),当年实际!$C:$C,"&lt;="&amp;EOMONTH(DATE(YEAR(主页!$D$2),MONTH(主页!$D$2),1),0)),"")</f>
        <v/>
      </c>
    </row>
    <row r="71" spans="1:10" x14ac:dyDescent="0.3">
      <c r="A71" s="129"/>
      <c r="B71" s="150"/>
      <c r="C71" s="150"/>
      <c r="D71" s="150"/>
      <c r="E71" s="140" t="str">
        <f t="shared" si="5"/>
        <v/>
      </c>
      <c r="F71" s="157"/>
      <c r="G71" s="145">
        <f t="shared" ref="G71:G134" si="7">D71*F71</f>
        <v>0</v>
      </c>
      <c r="H71" s="140" t="str">
        <f t="shared" si="6"/>
        <v/>
      </c>
      <c r="J71" s="147" t="str">
        <f>IFERROR(SUMIFS(当年实际!$V:$V,当年实际!$J:$J,$C71,当年实际!$C:$C,"&gt;="&amp;DATE(YEAR(主页!$D$2),1,1),当年实际!$C:$C,"&lt;="&amp;EOMONTH(DATE(YEAR(主页!$D$2),MONTH(主页!$D$2),1),0))/SUMIFS(当年实际!$P:$P,当年实际!$J:$J,$C71,当年实际!$C:$C,"&gt;="&amp;DATE(YEAR(主页!$D$2),1,1),当年实际!$C:$C,"&lt;="&amp;EOMONTH(DATE(YEAR(主页!$D$2),MONTH(主页!$D$2),1),0)),"")</f>
        <v/>
      </c>
    </row>
    <row r="72" spans="1:10" x14ac:dyDescent="0.3">
      <c r="A72" s="129"/>
      <c r="B72" s="150"/>
      <c r="C72" s="150"/>
      <c r="D72" s="150"/>
      <c r="E72" s="140" t="str">
        <f t="shared" si="5"/>
        <v/>
      </c>
      <c r="F72" s="157"/>
      <c r="G72" s="145">
        <f t="shared" si="7"/>
        <v>0</v>
      </c>
      <c r="H72" s="140" t="str">
        <f t="shared" si="6"/>
        <v/>
      </c>
      <c r="J72" s="147" t="str">
        <f>IFERROR(SUMIFS(当年实际!$V:$V,当年实际!$J:$J,$C72,当年实际!$C:$C,"&gt;="&amp;DATE(YEAR(主页!$D$2),1,1),当年实际!$C:$C,"&lt;="&amp;EOMONTH(DATE(YEAR(主页!$D$2),MONTH(主页!$D$2),1),0))/SUMIFS(当年实际!$P:$P,当年实际!$J:$J,$C72,当年实际!$C:$C,"&gt;="&amp;DATE(YEAR(主页!$D$2),1,1),当年实际!$C:$C,"&lt;="&amp;EOMONTH(DATE(YEAR(主页!$D$2),MONTH(主页!$D$2),1),0)),"")</f>
        <v/>
      </c>
    </row>
    <row r="73" spans="1:10" x14ac:dyDescent="0.3">
      <c r="A73" s="129"/>
      <c r="B73" s="150"/>
      <c r="C73" s="150"/>
      <c r="D73" s="150"/>
      <c r="E73" s="140" t="str">
        <f t="shared" si="5"/>
        <v/>
      </c>
      <c r="F73" s="157"/>
      <c r="G73" s="145">
        <f t="shared" si="7"/>
        <v>0</v>
      </c>
      <c r="H73" s="140" t="str">
        <f t="shared" si="6"/>
        <v/>
      </c>
      <c r="J73" s="147" t="str">
        <f>IFERROR(SUMIFS(当年实际!$V:$V,当年实际!$J:$J,$C73,当年实际!$C:$C,"&gt;="&amp;DATE(YEAR(主页!$D$2),1,1),当年实际!$C:$C,"&lt;="&amp;EOMONTH(DATE(YEAR(主页!$D$2),MONTH(主页!$D$2),1),0))/SUMIFS(当年实际!$P:$P,当年实际!$J:$J,$C73,当年实际!$C:$C,"&gt;="&amp;DATE(YEAR(主页!$D$2),1,1),当年实际!$C:$C,"&lt;="&amp;EOMONTH(DATE(YEAR(主页!$D$2),MONTH(主页!$D$2),1),0)),"")</f>
        <v/>
      </c>
    </row>
    <row r="74" spans="1:10" x14ac:dyDescent="0.3">
      <c r="A74" s="129"/>
      <c r="B74" s="150"/>
      <c r="C74" s="150"/>
      <c r="D74" s="150"/>
      <c r="E74" s="140" t="str">
        <f t="shared" si="5"/>
        <v/>
      </c>
      <c r="F74" s="157"/>
      <c r="G74" s="145">
        <f t="shared" si="7"/>
        <v>0</v>
      </c>
      <c r="H74" s="140" t="str">
        <f t="shared" si="6"/>
        <v/>
      </c>
      <c r="J74" s="147" t="str">
        <f>IFERROR(SUMIFS(当年实际!$V:$V,当年实际!$J:$J,$C74,当年实际!$C:$C,"&gt;="&amp;DATE(YEAR(主页!$D$2),1,1),当年实际!$C:$C,"&lt;="&amp;EOMONTH(DATE(YEAR(主页!$D$2),MONTH(主页!$D$2),1),0))/SUMIFS(当年实际!$P:$P,当年实际!$J:$J,$C74,当年实际!$C:$C,"&gt;="&amp;DATE(YEAR(主页!$D$2),1,1),当年实际!$C:$C,"&lt;="&amp;EOMONTH(DATE(YEAR(主页!$D$2),MONTH(主页!$D$2),1),0)),"")</f>
        <v/>
      </c>
    </row>
    <row r="75" spans="1:10" x14ac:dyDescent="0.3">
      <c r="A75" s="129"/>
      <c r="B75" s="150"/>
      <c r="C75" s="150"/>
      <c r="D75" s="150"/>
      <c r="E75" s="140" t="str">
        <f t="shared" si="5"/>
        <v/>
      </c>
      <c r="F75" s="157"/>
      <c r="G75" s="145">
        <f t="shared" si="7"/>
        <v>0</v>
      </c>
      <c r="H75" s="140" t="str">
        <f t="shared" si="6"/>
        <v/>
      </c>
      <c r="J75" s="147" t="str">
        <f>IFERROR(SUMIFS(当年实际!$V:$V,当年实际!$J:$J,$C75,当年实际!$C:$C,"&gt;="&amp;DATE(YEAR(主页!$D$2),1,1),当年实际!$C:$C,"&lt;="&amp;EOMONTH(DATE(YEAR(主页!$D$2),MONTH(主页!$D$2),1),0))/SUMIFS(当年实际!$P:$P,当年实际!$J:$J,$C75,当年实际!$C:$C,"&gt;="&amp;DATE(YEAR(主页!$D$2),1,1),当年实际!$C:$C,"&lt;="&amp;EOMONTH(DATE(YEAR(主页!$D$2),MONTH(主页!$D$2),1),0)),"")</f>
        <v/>
      </c>
    </row>
    <row r="76" spans="1:10" x14ac:dyDescent="0.3">
      <c r="A76" s="129"/>
      <c r="B76" s="150"/>
      <c r="C76" s="150"/>
      <c r="D76" s="150"/>
      <c r="E76" s="140" t="str">
        <f t="shared" si="5"/>
        <v/>
      </c>
      <c r="F76" s="157"/>
      <c r="G76" s="145">
        <f t="shared" si="7"/>
        <v>0</v>
      </c>
      <c r="H76" s="140" t="str">
        <f t="shared" si="6"/>
        <v/>
      </c>
      <c r="J76" s="147" t="str">
        <f>IFERROR(SUMIFS(当年实际!$V:$V,当年实际!$J:$J,$C76,当年实际!$C:$C,"&gt;="&amp;DATE(YEAR(主页!$D$2),1,1),当年实际!$C:$C,"&lt;="&amp;EOMONTH(DATE(YEAR(主页!$D$2),MONTH(主页!$D$2),1),0))/SUMIFS(当年实际!$P:$P,当年实际!$J:$J,$C76,当年实际!$C:$C,"&gt;="&amp;DATE(YEAR(主页!$D$2),1,1),当年实际!$C:$C,"&lt;="&amp;EOMONTH(DATE(YEAR(主页!$D$2),MONTH(主页!$D$2),1),0)),"")</f>
        <v/>
      </c>
    </row>
    <row r="77" spans="1:10" x14ac:dyDescent="0.3">
      <c r="A77" s="129"/>
      <c r="B77" s="150"/>
      <c r="C77" s="150"/>
      <c r="D77" s="150"/>
      <c r="E77" s="140" t="str">
        <f t="shared" si="5"/>
        <v/>
      </c>
      <c r="F77" s="157"/>
      <c r="G77" s="145">
        <f t="shared" si="7"/>
        <v>0</v>
      </c>
      <c r="H77" s="140" t="str">
        <f t="shared" si="6"/>
        <v/>
      </c>
      <c r="J77" s="147" t="str">
        <f>IFERROR(SUMIFS(当年实际!$V:$V,当年实际!$J:$J,$C77,当年实际!$C:$C,"&gt;="&amp;DATE(YEAR(主页!$D$2),1,1),当年实际!$C:$C,"&lt;="&amp;EOMONTH(DATE(YEAR(主页!$D$2),MONTH(主页!$D$2),1),0))/SUMIFS(当年实际!$P:$P,当年实际!$J:$J,$C77,当年实际!$C:$C,"&gt;="&amp;DATE(YEAR(主页!$D$2),1,1),当年实际!$C:$C,"&lt;="&amp;EOMONTH(DATE(YEAR(主页!$D$2),MONTH(主页!$D$2),1),0)),"")</f>
        <v/>
      </c>
    </row>
    <row r="78" spans="1:10" x14ac:dyDescent="0.3">
      <c r="A78" s="129"/>
      <c r="B78" s="150"/>
      <c r="C78" s="150"/>
      <c r="D78" s="150"/>
      <c r="E78" s="140" t="str">
        <f t="shared" si="5"/>
        <v/>
      </c>
      <c r="F78" s="157"/>
      <c r="G78" s="145">
        <f t="shared" si="7"/>
        <v>0</v>
      </c>
      <c r="H78" s="140" t="str">
        <f t="shared" si="6"/>
        <v/>
      </c>
      <c r="J78" s="147" t="str">
        <f>IFERROR(SUMIFS(当年实际!$V:$V,当年实际!$J:$J,$C78,当年实际!$C:$C,"&gt;="&amp;DATE(YEAR(主页!$D$2),1,1),当年实际!$C:$C,"&lt;="&amp;EOMONTH(DATE(YEAR(主页!$D$2),MONTH(主页!$D$2),1),0))/SUMIFS(当年实际!$P:$P,当年实际!$J:$J,$C78,当年实际!$C:$C,"&gt;="&amp;DATE(YEAR(主页!$D$2),1,1),当年实际!$C:$C,"&lt;="&amp;EOMONTH(DATE(YEAR(主页!$D$2),MONTH(主页!$D$2),1),0)),"")</f>
        <v/>
      </c>
    </row>
    <row r="79" spans="1:10" x14ac:dyDescent="0.3">
      <c r="A79" s="129"/>
      <c r="B79" s="150"/>
      <c r="C79" s="150"/>
      <c r="D79" s="150"/>
      <c r="E79" s="140" t="str">
        <f t="shared" si="5"/>
        <v/>
      </c>
      <c r="F79" s="157"/>
      <c r="G79" s="145">
        <f t="shared" si="7"/>
        <v>0</v>
      </c>
      <c r="H79" s="140" t="str">
        <f t="shared" si="6"/>
        <v/>
      </c>
      <c r="J79" s="147" t="str">
        <f>IFERROR(SUMIFS(当年实际!$V:$V,当年实际!$J:$J,$C79,当年实际!$C:$C,"&gt;="&amp;DATE(YEAR(主页!$D$2),1,1),当年实际!$C:$C,"&lt;="&amp;EOMONTH(DATE(YEAR(主页!$D$2),MONTH(主页!$D$2),1),0))/SUMIFS(当年实际!$P:$P,当年实际!$J:$J,$C79,当年实际!$C:$C,"&gt;="&amp;DATE(YEAR(主页!$D$2),1,1),当年实际!$C:$C,"&lt;="&amp;EOMONTH(DATE(YEAR(主页!$D$2),MONTH(主页!$D$2),1),0)),"")</f>
        <v/>
      </c>
    </row>
    <row r="80" spans="1:10" x14ac:dyDescent="0.3">
      <c r="A80" s="129"/>
      <c r="B80" s="150"/>
      <c r="C80" s="150"/>
      <c r="D80" s="150"/>
      <c r="E80" s="140" t="str">
        <f t="shared" si="5"/>
        <v/>
      </c>
      <c r="F80" s="157"/>
      <c r="G80" s="145">
        <f t="shared" si="7"/>
        <v>0</v>
      </c>
      <c r="H80" s="140" t="str">
        <f t="shared" si="6"/>
        <v/>
      </c>
      <c r="J80" s="147" t="str">
        <f>IFERROR(SUMIFS(当年实际!$V:$V,当年实际!$J:$J,$C80,当年实际!$C:$C,"&gt;="&amp;DATE(YEAR(主页!$D$2),1,1),当年实际!$C:$C,"&lt;="&amp;EOMONTH(DATE(YEAR(主页!$D$2),MONTH(主页!$D$2),1),0))/SUMIFS(当年实际!$P:$P,当年实际!$J:$J,$C80,当年实际!$C:$C,"&gt;="&amp;DATE(YEAR(主页!$D$2),1,1),当年实际!$C:$C,"&lt;="&amp;EOMONTH(DATE(YEAR(主页!$D$2),MONTH(主页!$D$2),1),0)),"")</f>
        <v/>
      </c>
    </row>
    <row r="81" spans="1:10" x14ac:dyDescent="0.3">
      <c r="A81" s="129"/>
      <c r="B81" s="150"/>
      <c r="C81" s="150"/>
      <c r="D81" s="150"/>
      <c r="E81" s="140" t="str">
        <f t="shared" si="5"/>
        <v/>
      </c>
      <c r="F81" s="157"/>
      <c r="G81" s="145">
        <f t="shared" si="7"/>
        <v>0</v>
      </c>
      <c r="H81" s="140" t="str">
        <f t="shared" si="6"/>
        <v/>
      </c>
      <c r="J81" s="147" t="str">
        <f>IFERROR(SUMIFS(当年实际!$V:$V,当年实际!$J:$J,$C81,当年实际!$C:$C,"&gt;="&amp;DATE(YEAR(主页!$D$2),1,1),当年实际!$C:$C,"&lt;="&amp;EOMONTH(DATE(YEAR(主页!$D$2),MONTH(主页!$D$2),1),0))/SUMIFS(当年实际!$P:$P,当年实际!$J:$J,$C81,当年实际!$C:$C,"&gt;="&amp;DATE(YEAR(主页!$D$2),1,1),当年实际!$C:$C,"&lt;="&amp;EOMONTH(DATE(YEAR(主页!$D$2),MONTH(主页!$D$2),1),0)),"")</f>
        <v/>
      </c>
    </row>
    <row r="82" spans="1:10" x14ac:dyDescent="0.3">
      <c r="A82" s="129"/>
      <c r="B82" s="150"/>
      <c r="C82" s="150"/>
      <c r="D82" s="150"/>
      <c r="E82" s="140" t="str">
        <f t="shared" si="5"/>
        <v/>
      </c>
      <c r="F82" s="157"/>
      <c r="G82" s="145">
        <f t="shared" si="7"/>
        <v>0</v>
      </c>
      <c r="H82" s="140" t="str">
        <f t="shared" si="6"/>
        <v/>
      </c>
      <c r="J82" s="147" t="str">
        <f>IFERROR(SUMIFS(当年实际!$V:$V,当年实际!$J:$J,$C82,当年实际!$C:$C,"&gt;="&amp;DATE(YEAR(主页!$D$2),1,1),当年实际!$C:$C,"&lt;="&amp;EOMONTH(DATE(YEAR(主页!$D$2),MONTH(主页!$D$2),1),0))/SUMIFS(当年实际!$P:$P,当年实际!$J:$J,$C82,当年实际!$C:$C,"&gt;="&amp;DATE(YEAR(主页!$D$2),1,1),当年实际!$C:$C,"&lt;="&amp;EOMONTH(DATE(YEAR(主页!$D$2),MONTH(主页!$D$2),1),0)),"")</f>
        <v/>
      </c>
    </row>
    <row r="83" spans="1:10" x14ac:dyDescent="0.3">
      <c r="A83" s="129"/>
      <c r="B83" s="150"/>
      <c r="C83" s="150"/>
      <c r="D83" s="150"/>
      <c r="E83" s="140" t="str">
        <f t="shared" si="5"/>
        <v/>
      </c>
      <c r="F83" s="157"/>
      <c r="G83" s="145">
        <f t="shared" si="7"/>
        <v>0</v>
      </c>
      <c r="H83" s="140" t="str">
        <f t="shared" si="6"/>
        <v/>
      </c>
      <c r="J83" s="147" t="str">
        <f>IFERROR(SUMIFS(当年实际!$V:$V,当年实际!$J:$J,$C83,当年实际!$C:$C,"&gt;="&amp;DATE(YEAR(主页!$D$2),1,1),当年实际!$C:$C,"&lt;="&amp;EOMONTH(DATE(YEAR(主页!$D$2),MONTH(主页!$D$2),1),0))/SUMIFS(当年实际!$P:$P,当年实际!$J:$J,$C83,当年实际!$C:$C,"&gt;="&amp;DATE(YEAR(主页!$D$2),1,1),当年实际!$C:$C,"&lt;="&amp;EOMONTH(DATE(YEAR(主页!$D$2),MONTH(主页!$D$2),1),0)),"")</f>
        <v/>
      </c>
    </row>
    <row r="84" spans="1:10" x14ac:dyDescent="0.3">
      <c r="A84" s="129"/>
      <c r="B84" s="150"/>
      <c r="C84" s="150"/>
      <c r="D84" s="150"/>
      <c r="E84" s="140" t="str">
        <f t="shared" si="5"/>
        <v/>
      </c>
      <c r="F84" s="157"/>
      <c r="G84" s="145">
        <f t="shared" si="7"/>
        <v>0</v>
      </c>
      <c r="H84" s="140" t="str">
        <f t="shared" si="6"/>
        <v/>
      </c>
      <c r="J84" s="147" t="str">
        <f>IFERROR(SUMIFS(当年实际!$V:$V,当年实际!$J:$J,$C84,当年实际!$C:$C,"&gt;="&amp;DATE(YEAR(主页!$D$2),1,1),当年实际!$C:$C,"&lt;="&amp;EOMONTH(DATE(YEAR(主页!$D$2),MONTH(主页!$D$2),1),0))/SUMIFS(当年实际!$P:$P,当年实际!$J:$J,$C84,当年实际!$C:$C,"&gt;="&amp;DATE(YEAR(主页!$D$2),1,1),当年实际!$C:$C,"&lt;="&amp;EOMONTH(DATE(YEAR(主页!$D$2),MONTH(主页!$D$2),1),0)),"")</f>
        <v/>
      </c>
    </row>
    <row r="85" spans="1:10" x14ac:dyDescent="0.3">
      <c r="A85" s="129"/>
      <c r="B85" s="150"/>
      <c r="C85" s="150"/>
      <c r="D85" s="150"/>
      <c r="E85" s="140" t="str">
        <f t="shared" si="5"/>
        <v/>
      </c>
      <c r="F85" s="157"/>
      <c r="G85" s="145">
        <f t="shared" si="7"/>
        <v>0</v>
      </c>
      <c r="H85" s="140" t="str">
        <f t="shared" si="6"/>
        <v/>
      </c>
      <c r="J85" s="147" t="str">
        <f>IFERROR(SUMIFS(当年实际!$V:$V,当年实际!$J:$J,$C85,当年实际!$C:$C,"&gt;="&amp;DATE(YEAR(主页!$D$2),1,1),当年实际!$C:$C,"&lt;="&amp;EOMONTH(DATE(YEAR(主页!$D$2),MONTH(主页!$D$2),1),0))/SUMIFS(当年实际!$P:$P,当年实际!$J:$J,$C85,当年实际!$C:$C,"&gt;="&amp;DATE(YEAR(主页!$D$2),1,1),当年实际!$C:$C,"&lt;="&amp;EOMONTH(DATE(YEAR(主页!$D$2),MONTH(主页!$D$2),1),0)),"")</f>
        <v/>
      </c>
    </row>
    <row r="86" spans="1:10" x14ac:dyDescent="0.3">
      <c r="A86" s="129"/>
      <c r="B86" s="150"/>
      <c r="C86" s="150"/>
      <c r="D86" s="150"/>
      <c r="E86" s="140" t="str">
        <f t="shared" si="5"/>
        <v/>
      </c>
      <c r="F86" s="157"/>
      <c r="G86" s="145">
        <f t="shared" si="7"/>
        <v>0</v>
      </c>
      <c r="H86" s="140" t="str">
        <f t="shared" si="6"/>
        <v/>
      </c>
      <c r="J86" s="147" t="str">
        <f>IFERROR(SUMIFS(当年实际!$V:$V,当年实际!$J:$J,$C86,当年实际!$C:$C,"&gt;="&amp;DATE(YEAR(主页!$D$2),1,1),当年实际!$C:$C,"&lt;="&amp;EOMONTH(DATE(YEAR(主页!$D$2),MONTH(主页!$D$2),1),0))/SUMIFS(当年实际!$P:$P,当年实际!$J:$J,$C86,当年实际!$C:$C,"&gt;="&amp;DATE(YEAR(主页!$D$2),1,1),当年实际!$C:$C,"&lt;="&amp;EOMONTH(DATE(YEAR(主页!$D$2),MONTH(主页!$D$2),1),0)),"")</f>
        <v/>
      </c>
    </row>
    <row r="87" spans="1:10" x14ac:dyDescent="0.3">
      <c r="A87" s="129"/>
      <c r="B87" s="150"/>
      <c r="C87" s="150"/>
      <c r="D87" s="150"/>
      <c r="E87" s="140" t="str">
        <f t="shared" si="5"/>
        <v/>
      </c>
      <c r="F87" s="157"/>
      <c r="G87" s="145">
        <f t="shared" si="7"/>
        <v>0</v>
      </c>
      <c r="H87" s="140" t="str">
        <f t="shared" si="6"/>
        <v/>
      </c>
      <c r="J87" s="147" t="str">
        <f>IFERROR(SUMIFS(当年实际!$V:$V,当年实际!$J:$J,$C87,当年实际!$C:$C,"&gt;="&amp;DATE(YEAR(主页!$D$2),1,1),当年实际!$C:$C,"&lt;="&amp;EOMONTH(DATE(YEAR(主页!$D$2),MONTH(主页!$D$2),1),0))/SUMIFS(当年实际!$P:$P,当年实际!$J:$J,$C87,当年实际!$C:$C,"&gt;="&amp;DATE(YEAR(主页!$D$2),1,1),当年实际!$C:$C,"&lt;="&amp;EOMONTH(DATE(YEAR(主页!$D$2),MONTH(主页!$D$2),1),0)),"")</f>
        <v/>
      </c>
    </row>
    <row r="88" spans="1:10" x14ac:dyDescent="0.3">
      <c r="A88" s="129"/>
      <c r="B88" s="150"/>
      <c r="C88" s="150"/>
      <c r="D88" s="150"/>
      <c r="E88" s="140" t="str">
        <f t="shared" si="5"/>
        <v/>
      </c>
      <c r="F88" s="157"/>
      <c r="G88" s="145">
        <f t="shared" si="7"/>
        <v>0</v>
      </c>
      <c r="H88" s="140" t="str">
        <f t="shared" si="6"/>
        <v/>
      </c>
      <c r="J88" s="147" t="str">
        <f>IFERROR(SUMIFS(当年实际!$V:$V,当年实际!$J:$J,$C88,当年实际!$C:$C,"&gt;="&amp;DATE(YEAR(主页!$D$2),1,1),当年实际!$C:$C,"&lt;="&amp;EOMONTH(DATE(YEAR(主页!$D$2),MONTH(主页!$D$2),1),0))/SUMIFS(当年实际!$P:$P,当年实际!$J:$J,$C88,当年实际!$C:$C,"&gt;="&amp;DATE(YEAR(主页!$D$2),1,1),当年实际!$C:$C,"&lt;="&amp;EOMONTH(DATE(YEAR(主页!$D$2),MONTH(主页!$D$2),1),0)),"")</f>
        <v/>
      </c>
    </row>
    <row r="89" spans="1:10" x14ac:dyDescent="0.3">
      <c r="A89" s="129"/>
      <c r="B89" s="150"/>
      <c r="C89" s="150"/>
      <c r="D89" s="150"/>
      <c r="E89" s="140" t="str">
        <f t="shared" si="5"/>
        <v/>
      </c>
      <c r="F89" s="157"/>
      <c r="G89" s="145">
        <f t="shared" si="7"/>
        <v>0</v>
      </c>
      <c r="H89" s="140" t="str">
        <f t="shared" si="6"/>
        <v/>
      </c>
      <c r="J89" s="147" t="str">
        <f>IFERROR(SUMIFS(当年实际!$V:$V,当年实际!$J:$J,$C89,当年实际!$C:$C,"&gt;="&amp;DATE(YEAR(主页!$D$2),1,1),当年实际!$C:$C,"&lt;="&amp;EOMONTH(DATE(YEAR(主页!$D$2),MONTH(主页!$D$2),1),0))/SUMIFS(当年实际!$P:$P,当年实际!$J:$J,$C89,当年实际!$C:$C,"&gt;="&amp;DATE(YEAR(主页!$D$2),1,1),当年实际!$C:$C,"&lt;="&amp;EOMONTH(DATE(YEAR(主页!$D$2),MONTH(主页!$D$2),1),0)),"")</f>
        <v/>
      </c>
    </row>
    <row r="90" spans="1:10" x14ac:dyDescent="0.3">
      <c r="A90" s="129"/>
      <c r="B90" s="150"/>
      <c r="C90" s="150"/>
      <c r="D90" s="150"/>
      <c r="E90" s="140" t="str">
        <f t="shared" si="5"/>
        <v/>
      </c>
      <c r="F90" s="157"/>
      <c r="G90" s="145">
        <f t="shared" si="7"/>
        <v>0</v>
      </c>
      <c r="H90" s="140" t="str">
        <f t="shared" si="6"/>
        <v/>
      </c>
      <c r="J90" s="147" t="str">
        <f>IFERROR(SUMIFS(当年实际!$V:$V,当年实际!$J:$J,$C90,当年实际!$C:$C,"&gt;="&amp;DATE(YEAR(主页!$D$2),1,1),当年实际!$C:$C,"&lt;="&amp;EOMONTH(DATE(YEAR(主页!$D$2),MONTH(主页!$D$2),1),0))/SUMIFS(当年实际!$P:$P,当年实际!$J:$J,$C90,当年实际!$C:$C,"&gt;="&amp;DATE(YEAR(主页!$D$2),1,1),当年实际!$C:$C,"&lt;="&amp;EOMONTH(DATE(YEAR(主页!$D$2),MONTH(主页!$D$2),1),0)),"")</f>
        <v/>
      </c>
    </row>
    <row r="91" spans="1:10" x14ac:dyDescent="0.3">
      <c r="A91" s="129"/>
      <c r="B91" s="150"/>
      <c r="C91" s="150"/>
      <c r="D91" s="150"/>
      <c r="E91" s="140" t="str">
        <f t="shared" si="5"/>
        <v/>
      </c>
      <c r="F91" s="157"/>
      <c r="G91" s="145">
        <f t="shared" si="7"/>
        <v>0</v>
      </c>
      <c r="H91" s="140" t="str">
        <f t="shared" si="6"/>
        <v/>
      </c>
      <c r="J91" s="147" t="str">
        <f>IFERROR(SUMIFS(当年实际!$V:$V,当年实际!$J:$J,$C91,当年实际!$C:$C,"&gt;="&amp;DATE(YEAR(主页!$D$2),1,1),当年实际!$C:$C,"&lt;="&amp;EOMONTH(DATE(YEAR(主页!$D$2),MONTH(主页!$D$2),1),0))/SUMIFS(当年实际!$P:$P,当年实际!$J:$J,$C91,当年实际!$C:$C,"&gt;="&amp;DATE(YEAR(主页!$D$2),1,1),当年实际!$C:$C,"&lt;="&amp;EOMONTH(DATE(YEAR(主页!$D$2),MONTH(主页!$D$2),1),0)),"")</f>
        <v/>
      </c>
    </row>
    <row r="92" spans="1:10" x14ac:dyDescent="0.3">
      <c r="A92" s="129"/>
      <c r="B92" s="150"/>
      <c r="C92" s="150"/>
      <c r="D92" s="150"/>
      <c r="E92" s="140" t="str">
        <f t="shared" si="5"/>
        <v/>
      </c>
      <c r="F92" s="157"/>
      <c r="G92" s="145">
        <f t="shared" si="7"/>
        <v>0</v>
      </c>
      <c r="H92" s="140" t="str">
        <f t="shared" si="6"/>
        <v/>
      </c>
      <c r="J92" s="147" t="str">
        <f>IFERROR(SUMIFS(当年实际!$V:$V,当年实际!$J:$J,$C92,当年实际!$C:$C,"&gt;="&amp;DATE(YEAR(主页!$D$2),1,1),当年实际!$C:$C,"&lt;="&amp;EOMONTH(DATE(YEAR(主页!$D$2),MONTH(主页!$D$2),1),0))/SUMIFS(当年实际!$P:$P,当年实际!$J:$J,$C92,当年实际!$C:$C,"&gt;="&amp;DATE(YEAR(主页!$D$2),1,1),当年实际!$C:$C,"&lt;="&amp;EOMONTH(DATE(YEAR(主页!$D$2),MONTH(主页!$D$2),1),0)),"")</f>
        <v/>
      </c>
    </row>
    <row r="93" spans="1:10" x14ac:dyDescent="0.3">
      <c r="A93" s="129"/>
      <c r="B93" s="150"/>
      <c r="C93" s="150"/>
      <c r="D93" s="150"/>
      <c r="E93" s="140" t="str">
        <f t="shared" si="5"/>
        <v/>
      </c>
      <c r="F93" s="157"/>
      <c r="G93" s="145">
        <f t="shared" si="7"/>
        <v>0</v>
      </c>
      <c r="H93" s="140" t="str">
        <f t="shared" si="6"/>
        <v/>
      </c>
      <c r="J93" s="147" t="str">
        <f>IFERROR(SUMIFS(当年实际!$V:$V,当年实际!$J:$J,$C93,当年实际!$C:$C,"&gt;="&amp;DATE(YEAR(主页!$D$2),1,1),当年实际!$C:$C,"&lt;="&amp;EOMONTH(DATE(YEAR(主页!$D$2),MONTH(主页!$D$2),1),0))/SUMIFS(当年实际!$P:$P,当年实际!$J:$J,$C93,当年实际!$C:$C,"&gt;="&amp;DATE(YEAR(主页!$D$2),1,1),当年实际!$C:$C,"&lt;="&amp;EOMONTH(DATE(YEAR(主页!$D$2),MONTH(主页!$D$2),1),0)),"")</f>
        <v/>
      </c>
    </row>
    <row r="94" spans="1:10" x14ac:dyDescent="0.3">
      <c r="A94" s="129"/>
      <c r="B94" s="150"/>
      <c r="C94" s="150"/>
      <c r="D94" s="150"/>
      <c r="E94" s="140" t="str">
        <f t="shared" si="5"/>
        <v/>
      </c>
      <c r="F94" s="157"/>
      <c r="G94" s="145">
        <f t="shared" si="7"/>
        <v>0</v>
      </c>
      <c r="H94" s="140" t="str">
        <f t="shared" si="6"/>
        <v/>
      </c>
      <c r="J94" s="147" t="str">
        <f>IFERROR(SUMIFS(当年实际!$V:$V,当年实际!$J:$J,$C94,当年实际!$C:$C,"&gt;="&amp;DATE(YEAR(主页!$D$2),1,1),当年实际!$C:$C,"&lt;="&amp;EOMONTH(DATE(YEAR(主页!$D$2),MONTH(主页!$D$2),1),0))/SUMIFS(当年实际!$P:$P,当年实际!$J:$J,$C94,当年实际!$C:$C,"&gt;="&amp;DATE(YEAR(主页!$D$2),1,1),当年实际!$C:$C,"&lt;="&amp;EOMONTH(DATE(YEAR(主页!$D$2),MONTH(主页!$D$2),1),0)),"")</f>
        <v/>
      </c>
    </row>
    <row r="95" spans="1:10" x14ac:dyDescent="0.3">
      <c r="A95" s="129"/>
      <c r="B95" s="150"/>
      <c r="C95" s="150"/>
      <c r="D95" s="150"/>
      <c r="E95" s="140" t="str">
        <f t="shared" si="5"/>
        <v/>
      </c>
      <c r="F95" s="157"/>
      <c r="G95" s="145">
        <f t="shared" si="7"/>
        <v>0</v>
      </c>
      <c r="H95" s="140" t="str">
        <f t="shared" si="6"/>
        <v/>
      </c>
      <c r="J95" s="147" t="str">
        <f>IFERROR(SUMIFS(当年实际!$V:$V,当年实际!$J:$J,$C95,当年实际!$C:$C,"&gt;="&amp;DATE(YEAR(主页!$D$2),1,1),当年实际!$C:$C,"&lt;="&amp;EOMONTH(DATE(YEAR(主页!$D$2),MONTH(主页!$D$2),1),0))/SUMIFS(当年实际!$P:$P,当年实际!$J:$J,$C95,当年实际!$C:$C,"&gt;="&amp;DATE(YEAR(主页!$D$2),1,1),当年实际!$C:$C,"&lt;="&amp;EOMONTH(DATE(YEAR(主页!$D$2),MONTH(主页!$D$2),1),0)),"")</f>
        <v/>
      </c>
    </row>
    <row r="96" spans="1:10" x14ac:dyDescent="0.3">
      <c r="A96" s="129"/>
      <c r="B96" s="150"/>
      <c r="C96" s="150"/>
      <c r="D96" s="150"/>
      <c r="E96" s="140" t="str">
        <f t="shared" si="5"/>
        <v/>
      </c>
      <c r="F96" s="157"/>
      <c r="G96" s="145">
        <f t="shared" si="7"/>
        <v>0</v>
      </c>
      <c r="H96" s="140" t="str">
        <f t="shared" si="6"/>
        <v/>
      </c>
      <c r="J96" s="147" t="str">
        <f>IFERROR(SUMIFS(当年实际!$V:$V,当年实际!$J:$J,$C96,当年实际!$C:$C,"&gt;="&amp;DATE(YEAR(主页!$D$2),1,1),当年实际!$C:$C,"&lt;="&amp;EOMONTH(DATE(YEAR(主页!$D$2),MONTH(主页!$D$2),1),0))/SUMIFS(当年实际!$P:$P,当年实际!$J:$J,$C96,当年实际!$C:$C,"&gt;="&amp;DATE(YEAR(主页!$D$2),1,1),当年实际!$C:$C,"&lt;="&amp;EOMONTH(DATE(YEAR(主页!$D$2),MONTH(主页!$D$2),1),0)),"")</f>
        <v/>
      </c>
    </row>
    <row r="97" spans="1:10" x14ac:dyDescent="0.3">
      <c r="A97" s="129"/>
      <c r="B97" s="150"/>
      <c r="C97" s="150"/>
      <c r="D97" s="150"/>
      <c r="E97" s="140" t="str">
        <f t="shared" si="5"/>
        <v/>
      </c>
      <c r="F97" s="157"/>
      <c r="G97" s="145">
        <f t="shared" si="7"/>
        <v>0</v>
      </c>
      <c r="H97" s="140" t="str">
        <f t="shared" si="6"/>
        <v/>
      </c>
      <c r="J97" s="147" t="str">
        <f>IFERROR(SUMIFS(当年实际!$V:$V,当年实际!$J:$J,$C97,当年实际!$C:$C,"&gt;="&amp;DATE(YEAR(主页!$D$2),1,1),当年实际!$C:$C,"&lt;="&amp;EOMONTH(DATE(YEAR(主页!$D$2),MONTH(主页!$D$2),1),0))/SUMIFS(当年实际!$P:$P,当年实际!$J:$J,$C97,当年实际!$C:$C,"&gt;="&amp;DATE(YEAR(主页!$D$2),1,1),当年实际!$C:$C,"&lt;="&amp;EOMONTH(DATE(YEAR(主页!$D$2),MONTH(主页!$D$2),1),0)),"")</f>
        <v/>
      </c>
    </row>
    <row r="98" spans="1:10" x14ac:dyDescent="0.3">
      <c r="A98" s="129"/>
      <c r="B98" s="150"/>
      <c r="C98" s="150"/>
      <c r="D98" s="150"/>
      <c r="E98" s="140" t="str">
        <f t="shared" si="5"/>
        <v/>
      </c>
      <c r="F98" s="157"/>
      <c r="G98" s="145">
        <f t="shared" si="7"/>
        <v>0</v>
      </c>
      <c r="H98" s="140" t="str">
        <f t="shared" si="6"/>
        <v/>
      </c>
      <c r="J98" s="147" t="str">
        <f>IFERROR(SUMIFS(当年实际!$V:$V,当年实际!$J:$J,$C98,当年实际!$C:$C,"&gt;="&amp;DATE(YEAR(主页!$D$2),1,1),当年实际!$C:$C,"&lt;="&amp;EOMONTH(DATE(YEAR(主页!$D$2),MONTH(主页!$D$2),1),0))/SUMIFS(当年实际!$P:$P,当年实际!$J:$J,$C98,当年实际!$C:$C,"&gt;="&amp;DATE(YEAR(主页!$D$2),1,1),当年实际!$C:$C,"&lt;="&amp;EOMONTH(DATE(YEAR(主页!$D$2),MONTH(主页!$D$2),1),0)),"")</f>
        <v/>
      </c>
    </row>
    <row r="99" spans="1:10" x14ac:dyDescent="0.3">
      <c r="A99" s="129"/>
      <c r="B99" s="150"/>
      <c r="C99" s="150"/>
      <c r="D99" s="150"/>
      <c r="E99" s="140" t="str">
        <f t="shared" si="5"/>
        <v/>
      </c>
      <c r="F99" s="157"/>
      <c r="G99" s="145">
        <f t="shared" si="7"/>
        <v>0</v>
      </c>
      <c r="H99" s="140" t="str">
        <f t="shared" si="6"/>
        <v/>
      </c>
      <c r="J99" s="147" t="str">
        <f>IFERROR(SUMIFS(当年实际!$V:$V,当年实际!$J:$J,$C99,当年实际!$C:$C,"&gt;="&amp;DATE(YEAR(主页!$D$2),1,1),当年实际!$C:$C,"&lt;="&amp;EOMONTH(DATE(YEAR(主页!$D$2),MONTH(主页!$D$2),1),0))/SUMIFS(当年实际!$P:$P,当年实际!$J:$J,$C99,当年实际!$C:$C,"&gt;="&amp;DATE(YEAR(主页!$D$2),1,1),当年实际!$C:$C,"&lt;="&amp;EOMONTH(DATE(YEAR(主页!$D$2),MONTH(主页!$D$2),1),0)),"")</f>
        <v/>
      </c>
    </row>
    <row r="100" spans="1:10" x14ac:dyDescent="0.3">
      <c r="A100" s="129"/>
      <c r="B100" s="150"/>
      <c r="C100" s="150"/>
      <c r="D100" s="150"/>
      <c r="E100" s="140" t="str">
        <f t="shared" si="5"/>
        <v/>
      </c>
      <c r="F100" s="157"/>
      <c r="G100" s="145">
        <f t="shared" si="7"/>
        <v>0</v>
      </c>
      <c r="H100" s="140" t="str">
        <f t="shared" si="6"/>
        <v/>
      </c>
      <c r="J100" s="147" t="str">
        <f>IFERROR(SUMIFS(当年实际!$V:$V,当年实际!$J:$J,$C100,当年实际!$C:$C,"&gt;="&amp;DATE(YEAR(主页!$D$2),1,1),当年实际!$C:$C,"&lt;="&amp;EOMONTH(DATE(YEAR(主页!$D$2),MONTH(主页!$D$2),1),0))/SUMIFS(当年实际!$P:$P,当年实际!$J:$J,$C100,当年实际!$C:$C,"&gt;="&amp;DATE(YEAR(主页!$D$2),1,1),当年实际!$C:$C,"&lt;="&amp;EOMONTH(DATE(YEAR(主页!$D$2),MONTH(主页!$D$2),1),0)),"")</f>
        <v/>
      </c>
    </row>
    <row r="101" spans="1:10" x14ac:dyDescent="0.3">
      <c r="A101" s="129"/>
      <c r="B101" s="150"/>
      <c r="C101" s="150"/>
      <c r="D101" s="150"/>
      <c r="E101" s="140" t="str">
        <f t="shared" si="5"/>
        <v/>
      </c>
      <c r="F101" s="157"/>
      <c r="G101" s="145">
        <f t="shared" si="7"/>
        <v>0</v>
      </c>
      <c r="H101" s="140" t="str">
        <f t="shared" si="6"/>
        <v/>
      </c>
      <c r="J101" s="147" t="str">
        <f>IFERROR(SUMIFS(当年实际!$V:$V,当年实际!$J:$J,$C101,当年实际!$C:$C,"&gt;="&amp;DATE(YEAR(主页!$D$2),1,1),当年实际!$C:$C,"&lt;="&amp;EOMONTH(DATE(YEAR(主页!$D$2),MONTH(主页!$D$2),1),0))/SUMIFS(当年实际!$P:$P,当年实际!$J:$J,$C101,当年实际!$C:$C,"&gt;="&amp;DATE(YEAR(主页!$D$2),1,1),当年实际!$C:$C,"&lt;="&amp;EOMONTH(DATE(YEAR(主页!$D$2),MONTH(主页!$D$2),1),0)),"")</f>
        <v/>
      </c>
    </row>
    <row r="102" spans="1:10" x14ac:dyDescent="0.3">
      <c r="A102" s="129"/>
      <c r="B102" s="150"/>
      <c r="C102" s="150"/>
      <c r="D102" s="150"/>
      <c r="E102" s="140" t="str">
        <f t="shared" si="5"/>
        <v/>
      </c>
      <c r="F102" s="157"/>
      <c r="G102" s="145">
        <f t="shared" si="7"/>
        <v>0</v>
      </c>
      <c r="H102" s="140" t="str">
        <f t="shared" si="6"/>
        <v/>
      </c>
      <c r="J102" s="147" t="str">
        <f>IFERROR(SUMIFS(当年实际!$V:$V,当年实际!$J:$J,$C102,当年实际!$C:$C,"&gt;="&amp;DATE(YEAR(主页!$D$2),1,1),当年实际!$C:$C,"&lt;="&amp;EOMONTH(DATE(YEAR(主页!$D$2),MONTH(主页!$D$2),1),0))/SUMIFS(当年实际!$P:$P,当年实际!$J:$J,$C102,当年实际!$C:$C,"&gt;="&amp;DATE(YEAR(主页!$D$2),1,1),当年实际!$C:$C,"&lt;="&amp;EOMONTH(DATE(YEAR(主页!$D$2),MONTH(主页!$D$2),1),0)),"")</f>
        <v/>
      </c>
    </row>
    <row r="103" spans="1:10" x14ac:dyDescent="0.3">
      <c r="A103" s="129"/>
      <c r="B103" s="150"/>
      <c r="C103" s="150"/>
      <c r="D103" s="150"/>
      <c r="E103" s="140" t="str">
        <f t="shared" si="5"/>
        <v/>
      </c>
      <c r="F103" s="157"/>
      <c r="G103" s="145">
        <f t="shared" si="7"/>
        <v>0</v>
      </c>
      <c r="H103" s="140" t="str">
        <f t="shared" si="6"/>
        <v/>
      </c>
      <c r="J103" s="147" t="str">
        <f>IFERROR(SUMIFS(当年实际!$V:$V,当年实际!$J:$J,$C103,当年实际!$C:$C,"&gt;="&amp;DATE(YEAR(主页!$D$2),1,1),当年实际!$C:$C,"&lt;="&amp;EOMONTH(DATE(YEAR(主页!$D$2),MONTH(主页!$D$2),1),0))/SUMIFS(当年实际!$P:$P,当年实际!$J:$J,$C103,当年实际!$C:$C,"&gt;="&amp;DATE(YEAR(主页!$D$2),1,1),当年实际!$C:$C,"&lt;="&amp;EOMONTH(DATE(YEAR(主页!$D$2),MONTH(主页!$D$2),1),0)),"")</f>
        <v/>
      </c>
    </row>
    <row r="104" spans="1:10" x14ac:dyDescent="0.3">
      <c r="A104" s="129"/>
      <c r="B104" s="150"/>
      <c r="C104" s="150"/>
      <c r="D104" s="150"/>
      <c r="E104" s="140" t="str">
        <f t="shared" si="5"/>
        <v/>
      </c>
      <c r="F104" s="157"/>
      <c r="G104" s="145">
        <f t="shared" si="7"/>
        <v>0</v>
      </c>
      <c r="H104" s="140" t="str">
        <f t="shared" si="6"/>
        <v/>
      </c>
      <c r="J104" s="147" t="str">
        <f>IFERROR(SUMIFS(当年实际!$V:$V,当年实际!$J:$J,$C104,当年实际!$C:$C,"&gt;="&amp;DATE(YEAR(主页!$D$2),1,1),当年实际!$C:$C,"&lt;="&amp;EOMONTH(DATE(YEAR(主页!$D$2),MONTH(主页!$D$2),1),0))/SUMIFS(当年实际!$P:$P,当年实际!$J:$J,$C104,当年实际!$C:$C,"&gt;="&amp;DATE(YEAR(主页!$D$2),1,1),当年实际!$C:$C,"&lt;="&amp;EOMONTH(DATE(YEAR(主页!$D$2),MONTH(主页!$D$2),1),0)),"")</f>
        <v/>
      </c>
    </row>
    <row r="105" spans="1:10" x14ac:dyDescent="0.3">
      <c r="A105" s="129"/>
      <c r="B105" s="150"/>
      <c r="C105" s="150"/>
      <c r="D105" s="150"/>
      <c r="E105" s="140" t="str">
        <f t="shared" si="5"/>
        <v/>
      </c>
      <c r="F105" s="157"/>
      <c r="G105" s="145">
        <f t="shared" si="7"/>
        <v>0</v>
      </c>
      <c r="H105" s="140" t="str">
        <f t="shared" si="6"/>
        <v/>
      </c>
      <c r="J105" s="147" t="str">
        <f>IFERROR(SUMIFS(当年实际!$V:$V,当年实际!$J:$J,$C105,当年实际!$C:$C,"&gt;="&amp;DATE(YEAR(主页!$D$2),1,1),当年实际!$C:$C,"&lt;="&amp;EOMONTH(DATE(YEAR(主页!$D$2),MONTH(主页!$D$2),1),0))/SUMIFS(当年实际!$P:$P,当年实际!$J:$J,$C105,当年实际!$C:$C,"&gt;="&amp;DATE(YEAR(主页!$D$2),1,1),当年实际!$C:$C,"&lt;="&amp;EOMONTH(DATE(YEAR(主页!$D$2),MONTH(主页!$D$2),1),0)),"")</f>
        <v/>
      </c>
    </row>
    <row r="106" spans="1:10" x14ac:dyDescent="0.3">
      <c r="A106" s="129"/>
      <c r="B106" s="150"/>
      <c r="C106" s="150"/>
      <c r="D106" s="150"/>
      <c r="E106" s="140" t="str">
        <f t="shared" si="5"/>
        <v/>
      </c>
      <c r="F106" s="157"/>
      <c r="G106" s="145">
        <f t="shared" si="7"/>
        <v>0</v>
      </c>
      <c r="H106" s="140" t="str">
        <f t="shared" si="6"/>
        <v/>
      </c>
      <c r="J106" s="147" t="str">
        <f>IFERROR(SUMIFS(当年实际!$V:$V,当年实际!$J:$J,$C106,当年实际!$C:$C,"&gt;="&amp;DATE(YEAR(主页!$D$2),1,1),当年实际!$C:$C,"&lt;="&amp;EOMONTH(DATE(YEAR(主页!$D$2),MONTH(主页!$D$2),1),0))/SUMIFS(当年实际!$P:$P,当年实际!$J:$J,$C106,当年实际!$C:$C,"&gt;="&amp;DATE(YEAR(主页!$D$2),1,1),当年实际!$C:$C,"&lt;="&amp;EOMONTH(DATE(YEAR(主页!$D$2),MONTH(主页!$D$2),1),0)),"")</f>
        <v/>
      </c>
    </row>
    <row r="107" spans="1:10" x14ac:dyDescent="0.3">
      <c r="A107" s="129"/>
      <c r="B107" s="150"/>
      <c r="C107" s="150"/>
      <c r="D107" s="150"/>
      <c r="E107" s="140" t="str">
        <f t="shared" si="5"/>
        <v/>
      </c>
      <c r="F107" s="157"/>
      <c r="G107" s="145">
        <f t="shared" si="7"/>
        <v>0</v>
      </c>
      <c r="H107" s="140" t="str">
        <f t="shared" si="6"/>
        <v/>
      </c>
      <c r="J107" s="147" t="str">
        <f>IFERROR(SUMIFS(当年实际!$V:$V,当年实际!$J:$J,$C107,当年实际!$C:$C,"&gt;="&amp;DATE(YEAR(主页!$D$2),1,1),当年实际!$C:$C,"&lt;="&amp;EOMONTH(DATE(YEAR(主页!$D$2),MONTH(主页!$D$2),1),0))/SUMIFS(当年实际!$P:$P,当年实际!$J:$J,$C107,当年实际!$C:$C,"&gt;="&amp;DATE(YEAR(主页!$D$2),1,1),当年实际!$C:$C,"&lt;="&amp;EOMONTH(DATE(YEAR(主页!$D$2),MONTH(主页!$D$2),1),0)),"")</f>
        <v/>
      </c>
    </row>
    <row r="108" spans="1:10" x14ac:dyDescent="0.3">
      <c r="A108" s="129"/>
      <c r="B108" s="150"/>
      <c r="C108" s="150"/>
      <c r="D108" s="150"/>
      <c r="E108" s="140" t="str">
        <f t="shared" si="5"/>
        <v/>
      </c>
      <c r="F108" s="157"/>
      <c r="G108" s="145">
        <f t="shared" si="7"/>
        <v>0</v>
      </c>
      <c r="H108" s="140" t="str">
        <f t="shared" si="6"/>
        <v/>
      </c>
      <c r="J108" s="147" t="str">
        <f>IFERROR(SUMIFS(当年实际!$V:$V,当年实际!$J:$J,$C108,当年实际!$C:$C,"&gt;="&amp;DATE(YEAR(主页!$D$2),1,1),当年实际!$C:$C,"&lt;="&amp;EOMONTH(DATE(YEAR(主页!$D$2),MONTH(主页!$D$2),1),0))/SUMIFS(当年实际!$P:$P,当年实际!$J:$J,$C108,当年实际!$C:$C,"&gt;="&amp;DATE(YEAR(主页!$D$2),1,1),当年实际!$C:$C,"&lt;="&amp;EOMONTH(DATE(YEAR(主页!$D$2),MONTH(主页!$D$2),1),0)),"")</f>
        <v/>
      </c>
    </row>
    <row r="109" spans="1:10" x14ac:dyDescent="0.3">
      <c r="A109" s="129"/>
      <c r="B109" s="150"/>
      <c r="C109" s="150"/>
      <c r="D109" s="150"/>
      <c r="E109" s="140" t="str">
        <f t="shared" si="5"/>
        <v/>
      </c>
      <c r="F109" s="157"/>
      <c r="G109" s="145">
        <f t="shared" si="7"/>
        <v>0</v>
      </c>
      <c r="H109" s="140" t="str">
        <f t="shared" si="6"/>
        <v/>
      </c>
      <c r="J109" s="147" t="str">
        <f>IFERROR(SUMIFS(当年实际!$V:$V,当年实际!$J:$J,$C109,当年实际!$C:$C,"&gt;="&amp;DATE(YEAR(主页!$D$2),1,1),当年实际!$C:$C,"&lt;="&amp;EOMONTH(DATE(YEAR(主页!$D$2),MONTH(主页!$D$2),1),0))/SUMIFS(当年实际!$P:$P,当年实际!$J:$J,$C109,当年实际!$C:$C,"&gt;="&amp;DATE(YEAR(主页!$D$2),1,1),当年实际!$C:$C,"&lt;="&amp;EOMONTH(DATE(YEAR(主页!$D$2),MONTH(主页!$D$2),1),0)),"")</f>
        <v/>
      </c>
    </row>
    <row r="110" spans="1:10" x14ac:dyDescent="0.3">
      <c r="A110" s="129"/>
      <c r="B110" s="150"/>
      <c r="C110" s="150"/>
      <c r="D110" s="150"/>
      <c r="E110" s="140" t="str">
        <f t="shared" si="5"/>
        <v/>
      </c>
      <c r="F110" s="157"/>
      <c r="G110" s="145">
        <f t="shared" si="7"/>
        <v>0</v>
      </c>
      <c r="H110" s="140" t="str">
        <f t="shared" si="6"/>
        <v/>
      </c>
      <c r="J110" s="147" t="str">
        <f>IFERROR(SUMIFS(当年实际!$V:$V,当年实际!$J:$J,$C110,当年实际!$C:$C,"&gt;="&amp;DATE(YEAR(主页!$D$2),1,1),当年实际!$C:$C,"&lt;="&amp;EOMONTH(DATE(YEAR(主页!$D$2),MONTH(主页!$D$2),1),0))/SUMIFS(当年实际!$P:$P,当年实际!$J:$J,$C110,当年实际!$C:$C,"&gt;="&amp;DATE(YEAR(主页!$D$2),1,1),当年实际!$C:$C,"&lt;="&amp;EOMONTH(DATE(YEAR(主页!$D$2),MONTH(主页!$D$2),1),0)),"")</f>
        <v/>
      </c>
    </row>
    <row r="111" spans="1:10" x14ac:dyDescent="0.3">
      <c r="A111" s="129"/>
      <c r="B111" s="150"/>
      <c r="C111" s="150"/>
      <c r="D111" s="150"/>
      <c r="E111" s="140" t="str">
        <f t="shared" si="5"/>
        <v/>
      </c>
      <c r="F111" s="157"/>
      <c r="G111" s="145">
        <f t="shared" si="7"/>
        <v>0</v>
      </c>
      <c r="H111" s="140" t="str">
        <f t="shared" si="6"/>
        <v/>
      </c>
      <c r="J111" s="147" t="str">
        <f>IFERROR(SUMIFS(当年实际!$V:$V,当年实际!$J:$J,$C111,当年实际!$C:$C,"&gt;="&amp;DATE(YEAR(主页!$D$2),1,1),当年实际!$C:$C,"&lt;="&amp;EOMONTH(DATE(YEAR(主页!$D$2),MONTH(主页!$D$2),1),0))/SUMIFS(当年实际!$P:$P,当年实际!$J:$J,$C111,当年实际!$C:$C,"&gt;="&amp;DATE(YEAR(主页!$D$2),1,1),当年实际!$C:$C,"&lt;="&amp;EOMONTH(DATE(YEAR(主页!$D$2),MONTH(主页!$D$2),1),0)),"")</f>
        <v/>
      </c>
    </row>
    <row r="112" spans="1:10" x14ac:dyDescent="0.3">
      <c r="A112" s="129"/>
      <c r="B112" s="150"/>
      <c r="C112" s="150"/>
      <c r="D112" s="150"/>
      <c r="E112" s="140" t="str">
        <f t="shared" si="5"/>
        <v/>
      </c>
      <c r="F112" s="157"/>
      <c r="G112" s="145">
        <f t="shared" si="7"/>
        <v>0</v>
      </c>
      <c r="H112" s="140" t="str">
        <f t="shared" si="6"/>
        <v/>
      </c>
      <c r="J112" s="147" t="str">
        <f>IFERROR(SUMIFS(当年实际!$V:$V,当年实际!$J:$J,$C112,当年实际!$C:$C,"&gt;="&amp;DATE(YEAR(主页!$D$2),1,1),当年实际!$C:$C,"&lt;="&amp;EOMONTH(DATE(YEAR(主页!$D$2),MONTH(主页!$D$2),1),0))/SUMIFS(当年实际!$P:$P,当年实际!$J:$J,$C112,当年实际!$C:$C,"&gt;="&amp;DATE(YEAR(主页!$D$2),1,1),当年实际!$C:$C,"&lt;="&amp;EOMONTH(DATE(YEAR(主页!$D$2),MONTH(主页!$D$2),1),0)),"")</f>
        <v/>
      </c>
    </row>
    <row r="113" spans="1:10" x14ac:dyDescent="0.3">
      <c r="A113" s="129"/>
      <c r="B113" s="150"/>
      <c r="C113" s="150"/>
      <c r="D113" s="150"/>
      <c r="E113" s="140" t="str">
        <f t="shared" si="5"/>
        <v/>
      </c>
      <c r="F113" s="157"/>
      <c r="G113" s="145">
        <f t="shared" si="7"/>
        <v>0</v>
      </c>
      <c r="H113" s="140" t="str">
        <f t="shared" si="6"/>
        <v/>
      </c>
      <c r="J113" s="147" t="str">
        <f>IFERROR(SUMIFS(当年实际!$V:$V,当年实际!$J:$J,$C113,当年实际!$C:$C,"&gt;="&amp;DATE(YEAR(主页!$D$2),1,1),当年实际!$C:$C,"&lt;="&amp;EOMONTH(DATE(YEAR(主页!$D$2),MONTH(主页!$D$2),1),0))/SUMIFS(当年实际!$P:$P,当年实际!$J:$J,$C113,当年实际!$C:$C,"&gt;="&amp;DATE(YEAR(主页!$D$2),1,1),当年实际!$C:$C,"&lt;="&amp;EOMONTH(DATE(YEAR(主页!$D$2),MONTH(主页!$D$2),1),0)),"")</f>
        <v/>
      </c>
    </row>
    <row r="114" spans="1:10" x14ac:dyDescent="0.3">
      <c r="A114" s="129"/>
      <c r="B114" s="150"/>
      <c r="C114" s="150"/>
      <c r="D114" s="150"/>
      <c r="E114" s="140" t="str">
        <f t="shared" si="5"/>
        <v/>
      </c>
      <c r="F114" s="157"/>
      <c r="G114" s="145">
        <f t="shared" si="7"/>
        <v>0</v>
      </c>
      <c r="H114" s="140" t="str">
        <f t="shared" si="6"/>
        <v/>
      </c>
      <c r="J114" s="147" t="str">
        <f>IFERROR(SUMIFS(当年实际!$V:$V,当年实际!$J:$J,$C114,当年实际!$C:$C,"&gt;="&amp;DATE(YEAR(主页!$D$2),1,1),当年实际!$C:$C,"&lt;="&amp;EOMONTH(DATE(YEAR(主页!$D$2),MONTH(主页!$D$2),1),0))/SUMIFS(当年实际!$P:$P,当年实际!$J:$J,$C114,当年实际!$C:$C,"&gt;="&amp;DATE(YEAR(主页!$D$2),1,1),当年实际!$C:$C,"&lt;="&amp;EOMONTH(DATE(YEAR(主页!$D$2),MONTH(主页!$D$2),1),0)),"")</f>
        <v/>
      </c>
    </row>
    <row r="115" spans="1:10" x14ac:dyDescent="0.3">
      <c r="A115" s="129"/>
      <c r="B115" s="150"/>
      <c r="C115" s="150"/>
      <c r="D115" s="150"/>
      <c r="E115" s="140" t="str">
        <f t="shared" si="5"/>
        <v/>
      </c>
      <c r="F115" s="157"/>
      <c r="G115" s="145">
        <f t="shared" si="7"/>
        <v>0</v>
      </c>
      <c r="H115" s="140" t="str">
        <f t="shared" si="6"/>
        <v/>
      </c>
      <c r="J115" s="147" t="str">
        <f>IFERROR(SUMIFS(当年实际!$V:$V,当年实际!$J:$J,$C115,当年实际!$C:$C,"&gt;="&amp;DATE(YEAR(主页!$D$2),1,1),当年实际!$C:$C,"&lt;="&amp;EOMONTH(DATE(YEAR(主页!$D$2),MONTH(主页!$D$2),1),0))/SUMIFS(当年实际!$P:$P,当年实际!$J:$J,$C115,当年实际!$C:$C,"&gt;="&amp;DATE(YEAR(主页!$D$2),1,1),当年实际!$C:$C,"&lt;="&amp;EOMONTH(DATE(YEAR(主页!$D$2),MONTH(主页!$D$2),1),0)),"")</f>
        <v/>
      </c>
    </row>
    <row r="116" spans="1:10" x14ac:dyDescent="0.3">
      <c r="A116" s="129"/>
      <c r="B116" s="150"/>
      <c r="C116" s="150"/>
      <c r="D116" s="150"/>
      <c r="E116" s="140" t="str">
        <f t="shared" si="5"/>
        <v/>
      </c>
      <c r="F116" s="157"/>
      <c r="G116" s="145">
        <f t="shared" si="7"/>
        <v>0</v>
      </c>
      <c r="H116" s="140" t="str">
        <f t="shared" si="6"/>
        <v/>
      </c>
      <c r="J116" s="147" t="str">
        <f>IFERROR(SUMIFS(当年实际!$V:$V,当年实际!$J:$J,$C116,当年实际!$C:$C,"&gt;="&amp;DATE(YEAR(主页!$D$2),1,1),当年实际!$C:$C,"&lt;="&amp;EOMONTH(DATE(YEAR(主页!$D$2),MONTH(主页!$D$2),1),0))/SUMIFS(当年实际!$P:$P,当年实际!$J:$J,$C116,当年实际!$C:$C,"&gt;="&amp;DATE(YEAR(主页!$D$2),1,1),当年实际!$C:$C,"&lt;="&amp;EOMONTH(DATE(YEAR(主页!$D$2),MONTH(主页!$D$2),1),0)),"")</f>
        <v/>
      </c>
    </row>
    <row r="117" spans="1:10" x14ac:dyDescent="0.3">
      <c r="A117" s="129"/>
      <c r="B117" s="150"/>
      <c r="C117" s="150"/>
      <c r="D117" s="150"/>
      <c r="E117" s="140" t="str">
        <f t="shared" si="5"/>
        <v/>
      </c>
      <c r="F117" s="157"/>
      <c r="G117" s="145">
        <f t="shared" si="7"/>
        <v>0</v>
      </c>
      <c r="H117" s="140" t="str">
        <f t="shared" si="6"/>
        <v/>
      </c>
      <c r="J117" s="147" t="str">
        <f>IFERROR(SUMIFS(当年实际!$V:$V,当年实际!$J:$J,$C117,当年实际!$C:$C,"&gt;="&amp;DATE(YEAR(主页!$D$2),1,1),当年实际!$C:$C,"&lt;="&amp;EOMONTH(DATE(YEAR(主页!$D$2),MONTH(主页!$D$2),1),0))/SUMIFS(当年实际!$P:$P,当年实际!$J:$J,$C117,当年实际!$C:$C,"&gt;="&amp;DATE(YEAR(主页!$D$2),1,1),当年实际!$C:$C,"&lt;="&amp;EOMONTH(DATE(YEAR(主页!$D$2),MONTH(主页!$D$2),1),0)),"")</f>
        <v/>
      </c>
    </row>
    <row r="118" spans="1:10" x14ac:dyDescent="0.3">
      <c r="A118" s="129"/>
      <c r="B118" s="150"/>
      <c r="C118" s="150"/>
      <c r="D118" s="150"/>
      <c r="E118" s="140" t="str">
        <f t="shared" si="5"/>
        <v/>
      </c>
      <c r="F118" s="157"/>
      <c r="G118" s="145">
        <f t="shared" si="7"/>
        <v>0</v>
      </c>
      <c r="H118" s="140" t="str">
        <f t="shared" si="6"/>
        <v/>
      </c>
      <c r="J118" s="147" t="str">
        <f>IFERROR(SUMIFS(当年实际!$V:$V,当年实际!$J:$J,$C118,当年实际!$C:$C,"&gt;="&amp;DATE(YEAR(主页!$D$2),1,1),当年实际!$C:$C,"&lt;="&amp;EOMONTH(DATE(YEAR(主页!$D$2),MONTH(主页!$D$2),1),0))/SUMIFS(当年实际!$P:$P,当年实际!$J:$J,$C118,当年实际!$C:$C,"&gt;="&amp;DATE(YEAR(主页!$D$2),1,1),当年实际!$C:$C,"&lt;="&amp;EOMONTH(DATE(YEAR(主页!$D$2),MONTH(主页!$D$2),1),0)),"")</f>
        <v/>
      </c>
    </row>
    <row r="119" spans="1:10" x14ac:dyDescent="0.3">
      <c r="A119" s="129"/>
      <c r="B119" s="150"/>
      <c r="C119" s="150"/>
      <c r="D119" s="150"/>
      <c r="E119" s="140" t="str">
        <f t="shared" si="5"/>
        <v/>
      </c>
      <c r="F119" s="157"/>
      <c r="G119" s="145">
        <f t="shared" si="7"/>
        <v>0</v>
      </c>
      <c r="H119" s="140" t="str">
        <f t="shared" si="6"/>
        <v/>
      </c>
      <c r="J119" s="147" t="str">
        <f>IFERROR(SUMIFS(当年实际!$V:$V,当年实际!$J:$J,$C119,当年实际!$C:$C,"&gt;="&amp;DATE(YEAR(主页!$D$2),1,1),当年实际!$C:$C,"&lt;="&amp;EOMONTH(DATE(YEAR(主页!$D$2),MONTH(主页!$D$2),1),0))/SUMIFS(当年实际!$P:$P,当年实际!$J:$J,$C119,当年实际!$C:$C,"&gt;="&amp;DATE(YEAR(主页!$D$2),1,1),当年实际!$C:$C,"&lt;="&amp;EOMONTH(DATE(YEAR(主页!$D$2),MONTH(主页!$D$2),1),0)),"")</f>
        <v/>
      </c>
    </row>
    <row r="120" spans="1:10" x14ac:dyDescent="0.3">
      <c r="A120" s="129"/>
      <c r="B120" s="150"/>
      <c r="C120" s="150"/>
      <c r="D120" s="150"/>
      <c r="E120" s="140" t="str">
        <f t="shared" si="5"/>
        <v/>
      </c>
      <c r="F120" s="157"/>
      <c r="G120" s="145">
        <f t="shared" si="7"/>
        <v>0</v>
      </c>
      <c r="H120" s="140" t="str">
        <f t="shared" si="6"/>
        <v/>
      </c>
      <c r="J120" s="147" t="str">
        <f>IFERROR(SUMIFS(当年实际!$V:$V,当年实际!$J:$J,$C120,当年实际!$C:$C,"&gt;="&amp;DATE(YEAR(主页!$D$2),1,1),当年实际!$C:$C,"&lt;="&amp;EOMONTH(DATE(YEAR(主页!$D$2),MONTH(主页!$D$2),1),0))/SUMIFS(当年实际!$P:$P,当年实际!$J:$J,$C120,当年实际!$C:$C,"&gt;="&amp;DATE(YEAR(主页!$D$2),1,1),当年实际!$C:$C,"&lt;="&amp;EOMONTH(DATE(YEAR(主页!$D$2),MONTH(主页!$D$2),1),0)),"")</f>
        <v/>
      </c>
    </row>
    <row r="121" spans="1:10" x14ac:dyDescent="0.3">
      <c r="A121" s="129"/>
      <c r="B121" s="150"/>
      <c r="C121" s="150"/>
      <c r="D121" s="150"/>
      <c r="E121" s="140" t="str">
        <f t="shared" si="5"/>
        <v/>
      </c>
      <c r="F121" s="157"/>
      <c r="G121" s="145">
        <f t="shared" si="7"/>
        <v>0</v>
      </c>
      <c r="H121" s="140" t="str">
        <f t="shared" si="6"/>
        <v/>
      </c>
      <c r="J121" s="147" t="str">
        <f>IFERROR(SUMIFS(当年实际!$V:$V,当年实际!$J:$J,$C121,当年实际!$C:$C,"&gt;="&amp;DATE(YEAR(主页!$D$2),1,1),当年实际!$C:$C,"&lt;="&amp;EOMONTH(DATE(YEAR(主页!$D$2),MONTH(主页!$D$2),1),0))/SUMIFS(当年实际!$P:$P,当年实际!$J:$J,$C121,当年实际!$C:$C,"&gt;="&amp;DATE(YEAR(主页!$D$2),1,1),当年实际!$C:$C,"&lt;="&amp;EOMONTH(DATE(YEAR(主页!$D$2),MONTH(主页!$D$2),1),0)),"")</f>
        <v/>
      </c>
    </row>
    <row r="122" spans="1:10" x14ac:dyDescent="0.3">
      <c r="A122" s="129"/>
      <c r="B122" s="150"/>
      <c r="C122" s="150"/>
      <c r="D122" s="150"/>
      <c r="E122" s="140" t="str">
        <f t="shared" si="5"/>
        <v/>
      </c>
      <c r="F122" s="157"/>
      <c r="G122" s="145">
        <f t="shared" si="7"/>
        <v>0</v>
      </c>
      <c r="H122" s="140" t="str">
        <f t="shared" si="6"/>
        <v/>
      </c>
      <c r="J122" s="147" t="str">
        <f>IFERROR(SUMIFS(当年实际!$V:$V,当年实际!$J:$J,$C122,当年实际!$C:$C,"&gt;="&amp;DATE(YEAR(主页!$D$2),1,1),当年实际!$C:$C,"&lt;="&amp;EOMONTH(DATE(YEAR(主页!$D$2),MONTH(主页!$D$2),1),0))/SUMIFS(当年实际!$P:$P,当年实际!$J:$J,$C122,当年实际!$C:$C,"&gt;="&amp;DATE(YEAR(主页!$D$2),1,1),当年实际!$C:$C,"&lt;="&amp;EOMONTH(DATE(YEAR(主页!$D$2),MONTH(主页!$D$2),1),0)),"")</f>
        <v/>
      </c>
    </row>
    <row r="123" spans="1:10" x14ac:dyDescent="0.3">
      <c r="A123" s="129"/>
      <c r="B123" s="150"/>
      <c r="C123" s="150"/>
      <c r="D123" s="150"/>
      <c r="E123" s="140" t="str">
        <f t="shared" si="5"/>
        <v/>
      </c>
      <c r="F123" s="157"/>
      <c r="G123" s="145">
        <f t="shared" si="7"/>
        <v>0</v>
      </c>
      <c r="H123" s="140" t="str">
        <f t="shared" si="6"/>
        <v/>
      </c>
      <c r="J123" s="147" t="str">
        <f>IFERROR(SUMIFS(当年实际!$V:$V,当年实际!$J:$J,$C123,当年实际!$C:$C,"&gt;="&amp;DATE(YEAR(主页!$D$2),1,1),当年实际!$C:$C,"&lt;="&amp;EOMONTH(DATE(YEAR(主页!$D$2),MONTH(主页!$D$2),1),0))/SUMIFS(当年实际!$P:$P,当年实际!$J:$J,$C123,当年实际!$C:$C,"&gt;="&amp;DATE(YEAR(主页!$D$2),1,1),当年实际!$C:$C,"&lt;="&amp;EOMONTH(DATE(YEAR(主页!$D$2),MONTH(主页!$D$2),1),0)),"")</f>
        <v/>
      </c>
    </row>
    <row r="124" spans="1:10" x14ac:dyDescent="0.3">
      <c r="A124" s="129"/>
      <c r="B124" s="150"/>
      <c r="C124" s="150"/>
      <c r="D124" s="150"/>
      <c r="E124" s="140" t="str">
        <f t="shared" si="5"/>
        <v/>
      </c>
      <c r="F124" s="157"/>
      <c r="G124" s="145">
        <f t="shared" si="7"/>
        <v>0</v>
      </c>
      <c r="H124" s="140" t="str">
        <f t="shared" si="6"/>
        <v/>
      </c>
      <c r="J124" s="147" t="str">
        <f>IFERROR(SUMIFS(当年实际!$V:$V,当年实际!$J:$J,$C124,当年实际!$C:$C,"&gt;="&amp;DATE(YEAR(主页!$D$2),1,1),当年实际!$C:$C,"&lt;="&amp;EOMONTH(DATE(YEAR(主页!$D$2),MONTH(主页!$D$2),1),0))/SUMIFS(当年实际!$P:$P,当年实际!$J:$J,$C124,当年实际!$C:$C,"&gt;="&amp;DATE(YEAR(主页!$D$2),1,1),当年实际!$C:$C,"&lt;="&amp;EOMONTH(DATE(YEAR(主页!$D$2),MONTH(主页!$D$2),1),0)),"")</f>
        <v/>
      </c>
    </row>
    <row r="125" spans="1:10" x14ac:dyDescent="0.3">
      <c r="A125" s="129"/>
      <c r="B125" s="150"/>
      <c r="C125" s="150"/>
      <c r="D125" s="150"/>
      <c r="E125" s="140" t="str">
        <f t="shared" si="5"/>
        <v/>
      </c>
      <c r="F125" s="157"/>
      <c r="G125" s="145">
        <f t="shared" si="7"/>
        <v>0</v>
      </c>
      <c r="H125" s="140" t="str">
        <f t="shared" si="6"/>
        <v/>
      </c>
      <c r="J125" s="147" t="str">
        <f>IFERROR(SUMIFS(当年实际!$V:$V,当年实际!$J:$J,$C125,当年实际!$C:$C,"&gt;="&amp;DATE(YEAR(主页!$D$2),1,1),当年实际!$C:$C,"&lt;="&amp;EOMONTH(DATE(YEAR(主页!$D$2),MONTH(主页!$D$2),1),0))/SUMIFS(当年实际!$P:$P,当年实际!$J:$J,$C125,当年实际!$C:$C,"&gt;="&amp;DATE(YEAR(主页!$D$2),1,1),当年实际!$C:$C,"&lt;="&amp;EOMONTH(DATE(YEAR(主页!$D$2),MONTH(主页!$D$2),1),0)),"")</f>
        <v/>
      </c>
    </row>
    <row r="126" spans="1:10" x14ac:dyDescent="0.3">
      <c r="A126" s="129"/>
      <c r="B126" s="150"/>
      <c r="C126" s="150"/>
      <c r="D126" s="150"/>
      <c r="E126" s="140" t="str">
        <f t="shared" si="5"/>
        <v/>
      </c>
      <c r="F126" s="157"/>
      <c r="G126" s="145">
        <f t="shared" si="7"/>
        <v>0</v>
      </c>
      <c r="H126" s="140" t="str">
        <f t="shared" si="6"/>
        <v/>
      </c>
      <c r="J126" s="147" t="str">
        <f>IFERROR(SUMIFS(当年实际!$V:$V,当年实际!$J:$J,$C126,当年实际!$C:$C,"&gt;="&amp;DATE(YEAR(主页!$D$2),1,1),当年实际!$C:$C,"&lt;="&amp;EOMONTH(DATE(YEAR(主页!$D$2),MONTH(主页!$D$2),1),0))/SUMIFS(当年实际!$P:$P,当年实际!$J:$J,$C126,当年实际!$C:$C,"&gt;="&amp;DATE(YEAR(主页!$D$2),1,1),当年实际!$C:$C,"&lt;="&amp;EOMONTH(DATE(YEAR(主页!$D$2),MONTH(主页!$D$2),1),0)),"")</f>
        <v/>
      </c>
    </row>
    <row r="127" spans="1:10" x14ac:dyDescent="0.3">
      <c r="A127" s="129"/>
      <c r="B127" s="150"/>
      <c r="C127" s="150"/>
      <c r="D127" s="150"/>
      <c r="E127" s="140" t="str">
        <f t="shared" si="5"/>
        <v/>
      </c>
      <c r="F127" s="157"/>
      <c r="G127" s="145">
        <f t="shared" si="7"/>
        <v>0</v>
      </c>
      <c r="H127" s="140" t="str">
        <f t="shared" si="6"/>
        <v/>
      </c>
      <c r="J127" s="147" t="str">
        <f>IFERROR(SUMIFS(当年实际!$V:$V,当年实际!$J:$J,$C127,当年实际!$C:$C,"&gt;="&amp;DATE(YEAR(主页!$D$2),1,1),当年实际!$C:$C,"&lt;="&amp;EOMONTH(DATE(YEAR(主页!$D$2),MONTH(主页!$D$2),1),0))/SUMIFS(当年实际!$P:$P,当年实际!$J:$J,$C127,当年实际!$C:$C,"&gt;="&amp;DATE(YEAR(主页!$D$2),1,1),当年实际!$C:$C,"&lt;="&amp;EOMONTH(DATE(YEAR(主页!$D$2),MONTH(主页!$D$2),1),0)),"")</f>
        <v/>
      </c>
    </row>
    <row r="128" spans="1:10" x14ac:dyDescent="0.3">
      <c r="A128" s="129"/>
      <c r="B128" s="150"/>
      <c r="C128" s="150"/>
      <c r="D128" s="150"/>
      <c r="E128" s="140" t="str">
        <f t="shared" si="5"/>
        <v/>
      </c>
      <c r="F128" s="157"/>
      <c r="G128" s="145">
        <f t="shared" si="7"/>
        <v>0</v>
      </c>
      <c r="H128" s="140" t="str">
        <f t="shared" si="6"/>
        <v/>
      </c>
      <c r="J128" s="147" t="str">
        <f>IFERROR(SUMIFS(当年实际!$V:$V,当年实际!$J:$J,$C128,当年实际!$C:$C,"&gt;="&amp;DATE(YEAR(主页!$D$2),1,1),当年实际!$C:$C,"&lt;="&amp;EOMONTH(DATE(YEAR(主页!$D$2),MONTH(主页!$D$2),1),0))/SUMIFS(当年实际!$P:$P,当年实际!$J:$J,$C128,当年实际!$C:$C,"&gt;="&amp;DATE(YEAR(主页!$D$2),1,1),当年实际!$C:$C,"&lt;="&amp;EOMONTH(DATE(YEAR(主页!$D$2),MONTH(主页!$D$2),1),0)),"")</f>
        <v/>
      </c>
    </row>
    <row r="129" spans="1:10" x14ac:dyDescent="0.3">
      <c r="A129" s="129"/>
      <c r="B129" s="150"/>
      <c r="C129" s="150"/>
      <c r="D129" s="150"/>
      <c r="E129" s="140" t="str">
        <f t="shared" si="5"/>
        <v/>
      </c>
      <c r="F129" s="157"/>
      <c r="G129" s="145">
        <f t="shared" si="7"/>
        <v>0</v>
      </c>
      <c r="H129" s="140" t="str">
        <f t="shared" si="6"/>
        <v/>
      </c>
      <c r="J129" s="147" t="str">
        <f>IFERROR(SUMIFS(当年实际!$V:$V,当年实际!$J:$J,$C129,当年实际!$C:$C,"&gt;="&amp;DATE(YEAR(主页!$D$2),1,1),当年实际!$C:$C,"&lt;="&amp;EOMONTH(DATE(YEAR(主页!$D$2),MONTH(主页!$D$2),1),0))/SUMIFS(当年实际!$P:$P,当年实际!$J:$J,$C129,当年实际!$C:$C,"&gt;="&amp;DATE(YEAR(主页!$D$2),1,1),当年实际!$C:$C,"&lt;="&amp;EOMONTH(DATE(YEAR(主页!$D$2),MONTH(主页!$D$2),1),0)),"")</f>
        <v/>
      </c>
    </row>
    <row r="130" spans="1:10" x14ac:dyDescent="0.3">
      <c r="A130" s="129"/>
      <c r="B130" s="150"/>
      <c r="C130" s="150"/>
      <c r="D130" s="150"/>
      <c r="E130" s="140" t="str">
        <f t="shared" si="5"/>
        <v/>
      </c>
      <c r="F130" s="157"/>
      <c r="G130" s="145">
        <f t="shared" si="7"/>
        <v>0</v>
      </c>
      <c r="H130" s="140" t="str">
        <f t="shared" si="6"/>
        <v/>
      </c>
      <c r="J130" s="147" t="str">
        <f>IFERROR(SUMIFS(当年实际!$V:$V,当年实际!$J:$J,$C130,当年实际!$C:$C,"&gt;="&amp;DATE(YEAR(主页!$D$2),1,1),当年实际!$C:$C,"&lt;="&amp;EOMONTH(DATE(YEAR(主页!$D$2),MONTH(主页!$D$2),1),0))/SUMIFS(当年实际!$P:$P,当年实际!$J:$J,$C130,当年实际!$C:$C,"&gt;="&amp;DATE(YEAR(主页!$D$2),1,1),当年实际!$C:$C,"&lt;="&amp;EOMONTH(DATE(YEAR(主页!$D$2),MONTH(主页!$D$2),1),0)),"")</f>
        <v/>
      </c>
    </row>
    <row r="131" spans="1:10" x14ac:dyDescent="0.3">
      <c r="A131" s="129"/>
      <c r="B131" s="150"/>
      <c r="C131" s="150"/>
      <c r="D131" s="150"/>
      <c r="E131" s="140" t="str">
        <f t="shared" si="5"/>
        <v/>
      </c>
      <c r="F131" s="157"/>
      <c r="G131" s="145">
        <f t="shared" si="7"/>
        <v>0</v>
      </c>
      <c r="H131" s="140" t="str">
        <f t="shared" si="6"/>
        <v/>
      </c>
      <c r="J131" s="147" t="str">
        <f>IFERROR(SUMIFS(当年实际!$V:$V,当年实际!$J:$J,$C131,当年实际!$C:$C,"&gt;="&amp;DATE(YEAR(主页!$D$2),1,1),当年实际!$C:$C,"&lt;="&amp;EOMONTH(DATE(YEAR(主页!$D$2),MONTH(主页!$D$2),1),0))/SUMIFS(当年实际!$P:$P,当年实际!$J:$J,$C131,当年实际!$C:$C,"&gt;="&amp;DATE(YEAR(主页!$D$2),1,1),当年实际!$C:$C,"&lt;="&amp;EOMONTH(DATE(YEAR(主页!$D$2),MONTH(主页!$D$2),1),0)),"")</f>
        <v/>
      </c>
    </row>
    <row r="132" spans="1:10" x14ac:dyDescent="0.3">
      <c r="A132" s="129"/>
      <c r="B132" s="150"/>
      <c r="C132" s="150"/>
      <c r="D132" s="150"/>
      <c r="E132" s="140" t="str">
        <f t="shared" ref="E132:E150" si="8">IF(D132/SUM(D:D)=0,"",D132/SUM(D:D))</f>
        <v/>
      </c>
      <c r="F132" s="157"/>
      <c r="G132" s="145">
        <f t="shared" si="7"/>
        <v>0</v>
      </c>
      <c r="H132" s="140" t="str">
        <f t="shared" si="6"/>
        <v/>
      </c>
      <c r="J132" s="147" t="str">
        <f>IFERROR(SUMIFS(当年实际!$V:$V,当年实际!$J:$J,$C132,当年实际!$C:$C,"&gt;="&amp;DATE(YEAR(主页!$D$2),1,1),当年实际!$C:$C,"&lt;="&amp;EOMONTH(DATE(YEAR(主页!$D$2),MONTH(主页!$D$2),1),0))/SUMIFS(当年实际!$P:$P,当年实际!$J:$J,$C132,当年实际!$C:$C,"&gt;="&amp;DATE(YEAR(主页!$D$2),1,1),当年实际!$C:$C,"&lt;="&amp;EOMONTH(DATE(YEAR(主页!$D$2),MONTH(主页!$D$2),1),0)),"")</f>
        <v/>
      </c>
    </row>
    <row r="133" spans="1:10" x14ac:dyDescent="0.3">
      <c r="A133" s="129"/>
      <c r="B133" s="150"/>
      <c r="C133" s="150"/>
      <c r="D133" s="150"/>
      <c r="E133" s="140" t="str">
        <f t="shared" si="8"/>
        <v/>
      </c>
      <c r="F133" s="157"/>
      <c r="G133" s="145">
        <f t="shared" si="7"/>
        <v>0</v>
      </c>
      <c r="H133" s="140" t="str">
        <f t="shared" si="6"/>
        <v/>
      </c>
      <c r="J133" s="147" t="str">
        <f>IFERROR(SUMIFS(当年实际!$V:$V,当年实际!$J:$J,$C133,当年实际!$C:$C,"&gt;="&amp;DATE(YEAR(主页!$D$2),1,1),当年实际!$C:$C,"&lt;="&amp;EOMONTH(DATE(YEAR(主页!$D$2),MONTH(主页!$D$2),1),0))/SUMIFS(当年实际!$P:$P,当年实际!$J:$J,$C133,当年实际!$C:$C,"&gt;="&amp;DATE(YEAR(主页!$D$2),1,1),当年实际!$C:$C,"&lt;="&amp;EOMONTH(DATE(YEAR(主页!$D$2),MONTH(主页!$D$2),1),0)),"")</f>
        <v/>
      </c>
    </row>
    <row r="134" spans="1:10" x14ac:dyDescent="0.3">
      <c r="A134" s="129"/>
      <c r="B134" s="150"/>
      <c r="C134" s="150"/>
      <c r="D134" s="150"/>
      <c r="E134" s="140" t="str">
        <f t="shared" si="8"/>
        <v/>
      </c>
      <c r="F134" s="157"/>
      <c r="G134" s="145">
        <f t="shared" si="7"/>
        <v>0</v>
      </c>
      <c r="H134" s="140" t="str">
        <f t="shared" ref="H134:H150" si="9">IF(G134/SUM(G:G)=0,"",G134/SUM(G:G))</f>
        <v/>
      </c>
      <c r="J134" s="147" t="str">
        <f>IFERROR(SUMIFS(当年实际!$V:$V,当年实际!$J:$J,$C134,当年实际!$C:$C,"&gt;="&amp;DATE(YEAR(主页!$D$2),1,1),当年实际!$C:$C,"&lt;="&amp;EOMONTH(DATE(YEAR(主页!$D$2),MONTH(主页!$D$2),1),0))/SUMIFS(当年实际!$P:$P,当年实际!$J:$J,$C134,当年实际!$C:$C,"&gt;="&amp;DATE(YEAR(主页!$D$2),1,1),当年实际!$C:$C,"&lt;="&amp;EOMONTH(DATE(YEAR(主页!$D$2),MONTH(主页!$D$2),1),0)),"")</f>
        <v/>
      </c>
    </row>
    <row r="135" spans="1:10" x14ac:dyDescent="0.3">
      <c r="A135" s="129"/>
      <c r="B135" s="150"/>
      <c r="C135" s="150"/>
      <c r="D135" s="150"/>
      <c r="E135" s="140" t="str">
        <f t="shared" si="8"/>
        <v/>
      </c>
      <c r="F135" s="157"/>
      <c r="G135" s="145">
        <f t="shared" ref="G135:G150" si="10">D135*F135</f>
        <v>0</v>
      </c>
      <c r="H135" s="140" t="str">
        <f t="shared" si="9"/>
        <v/>
      </c>
      <c r="J135" s="147" t="str">
        <f>IFERROR(SUMIFS(当年实际!$V:$V,当年实际!$J:$J,$C135,当年实际!$C:$C,"&gt;="&amp;DATE(YEAR(主页!$D$2),1,1),当年实际!$C:$C,"&lt;="&amp;EOMONTH(DATE(YEAR(主页!$D$2),MONTH(主页!$D$2),1),0))/SUMIFS(当年实际!$P:$P,当年实际!$J:$J,$C135,当年实际!$C:$C,"&gt;="&amp;DATE(YEAR(主页!$D$2),1,1),当年实际!$C:$C,"&lt;="&amp;EOMONTH(DATE(YEAR(主页!$D$2),MONTH(主页!$D$2),1),0)),"")</f>
        <v/>
      </c>
    </row>
    <row r="136" spans="1:10" x14ac:dyDescent="0.3">
      <c r="A136" s="129"/>
      <c r="B136" s="150"/>
      <c r="C136" s="150"/>
      <c r="D136" s="150"/>
      <c r="E136" s="140" t="str">
        <f t="shared" si="8"/>
        <v/>
      </c>
      <c r="F136" s="157"/>
      <c r="G136" s="145">
        <f t="shared" si="10"/>
        <v>0</v>
      </c>
      <c r="H136" s="140" t="str">
        <f t="shared" si="9"/>
        <v/>
      </c>
      <c r="J136" s="147" t="str">
        <f>IFERROR(SUMIFS(当年实际!$V:$V,当年实际!$J:$J,$C136,当年实际!$C:$C,"&gt;="&amp;DATE(YEAR(主页!$D$2),1,1),当年实际!$C:$C,"&lt;="&amp;EOMONTH(DATE(YEAR(主页!$D$2),MONTH(主页!$D$2),1),0))/SUMIFS(当年实际!$P:$P,当年实际!$J:$J,$C136,当年实际!$C:$C,"&gt;="&amp;DATE(YEAR(主页!$D$2),1,1),当年实际!$C:$C,"&lt;="&amp;EOMONTH(DATE(YEAR(主页!$D$2),MONTH(主页!$D$2),1),0)),"")</f>
        <v/>
      </c>
    </row>
    <row r="137" spans="1:10" x14ac:dyDescent="0.3">
      <c r="A137" s="129"/>
      <c r="B137" s="150"/>
      <c r="C137" s="150"/>
      <c r="D137" s="150"/>
      <c r="E137" s="140" t="str">
        <f t="shared" si="8"/>
        <v/>
      </c>
      <c r="F137" s="157"/>
      <c r="G137" s="145">
        <f t="shared" si="10"/>
        <v>0</v>
      </c>
      <c r="H137" s="140" t="str">
        <f t="shared" si="9"/>
        <v/>
      </c>
      <c r="J137" s="147" t="str">
        <f>IFERROR(SUMIFS(当年实际!$V:$V,当年实际!$J:$J,$C137,当年实际!$C:$C,"&gt;="&amp;DATE(YEAR(主页!$D$2),1,1),当年实际!$C:$C,"&lt;="&amp;EOMONTH(DATE(YEAR(主页!$D$2),MONTH(主页!$D$2),1),0))/SUMIFS(当年实际!$P:$P,当年实际!$J:$J,$C137,当年实际!$C:$C,"&gt;="&amp;DATE(YEAR(主页!$D$2),1,1),当年实际!$C:$C,"&lt;="&amp;EOMONTH(DATE(YEAR(主页!$D$2),MONTH(主页!$D$2),1),0)),"")</f>
        <v/>
      </c>
    </row>
    <row r="138" spans="1:10" x14ac:dyDescent="0.3">
      <c r="A138" s="129"/>
      <c r="B138" s="150"/>
      <c r="C138" s="150"/>
      <c r="D138" s="150"/>
      <c r="E138" s="140" t="str">
        <f t="shared" si="8"/>
        <v/>
      </c>
      <c r="F138" s="157"/>
      <c r="G138" s="145">
        <f t="shared" si="10"/>
        <v>0</v>
      </c>
      <c r="H138" s="140" t="str">
        <f t="shared" si="9"/>
        <v/>
      </c>
      <c r="J138" s="147" t="str">
        <f>IFERROR(SUMIFS(当年实际!$V:$V,当年实际!$J:$J,$C138,当年实际!$C:$C,"&gt;="&amp;DATE(YEAR(主页!$D$2),1,1),当年实际!$C:$C,"&lt;="&amp;EOMONTH(DATE(YEAR(主页!$D$2),MONTH(主页!$D$2),1),0))/SUMIFS(当年实际!$P:$P,当年实际!$J:$J,$C138,当年实际!$C:$C,"&gt;="&amp;DATE(YEAR(主页!$D$2),1,1),当年实际!$C:$C,"&lt;="&amp;EOMONTH(DATE(YEAR(主页!$D$2),MONTH(主页!$D$2),1),0)),"")</f>
        <v/>
      </c>
    </row>
    <row r="139" spans="1:10" x14ac:dyDescent="0.3">
      <c r="A139" s="129"/>
      <c r="B139" s="150"/>
      <c r="C139" s="150"/>
      <c r="D139" s="150"/>
      <c r="E139" s="140" t="str">
        <f t="shared" si="8"/>
        <v/>
      </c>
      <c r="F139" s="157"/>
      <c r="G139" s="145">
        <f t="shared" si="10"/>
        <v>0</v>
      </c>
      <c r="H139" s="140" t="str">
        <f t="shared" si="9"/>
        <v/>
      </c>
      <c r="J139" s="147" t="str">
        <f>IFERROR(SUMIFS(当年实际!$V:$V,当年实际!$J:$J,$C139,当年实际!$C:$C,"&gt;="&amp;DATE(YEAR(主页!$D$2),1,1),当年实际!$C:$C,"&lt;="&amp;EOMONTH(DATE(YEAR(主页!$D$2),MONTH(主页!$D$2),1),0))/SUMIFS(当年实际!$P:$P,当年实际!$J:$J,$C139,当年实际!$C:$C,"&gt;="&amp;DATE(YEAR(主页!$D$2),1,1),当年实际!$C:$C,"&lt;="&amp;EOMONTH(DATE(YEAR(主页!$D$2),MONTH(主页!$D$2),1),0)),"")</f>
        <v/>
      </c>
    </row>
    <row r="140" spans="1:10" x14ac:dyDescent="0.3">
      <c r="A140" s="129"/>
      <c r="B140" s="150"/>
      <c r="C140" s="150"/>
      <c r="D140" s="150"/>
      <c r="E140" s="140" t="str">
        <f t="shared" si="8"/>
        <v/>
      </c>
      <c r="F140" s="157"/>
      <c r="G140" s="145">
        <f t="shared" si="10"/>
        <v>0</v>
      </c>
      <c r="H140" s="140" t="str">
        <f t="shared" si="9"/>
        <v/>
      </c>
      <c r="J140" s="147" t="str">
        <f>IFERROR(SUMIFS(当年实际!$V:$V,当年实际!$J:$J,$C140,当年实际!$C:$C,"&gt;="&amp;DATE(YEAR(主页!$D$2),1,1),当年实际!$C:$C,"&lt;="&amp;EOMONTH(DATE(YEAR(主页!$D$2),MONTH(主页!$D$2),1),0))/SUMIFS(当年实际!$P:$P,当年实际!$J:$J,$C140,当年实际!$C:$C,"&gt;="&amp;DATE(YEAR(主页!$D$2),1,1),当年实际!$C:$C,"&lt;="&amp;EOMONTH(DATE(YEAR(主页!$D$2),MONTH(主页!$D$2),1),0)),"")</f>
        <v/>
      </c>
    </row>
    <row r="141" spans="1:10" x14ac:dyDescent="0.3">
      <c r="A141" s="129"/>
      <c r="B141" s="150"/>
      <c r="C141" s="150"/>
      <c r="D141" s="150"/>
      <c r="E141" s="140" t="str">
        <f t="shared" si="8"/>
        <v/>
      </c>
      <c r="F141" s="157"/>
      <c r="G141" s="145">
        <f t="shared" si="10"/>
        <v>0</v>
      </c>
      <c r="H141" s="140" t="str">
        <f t="shared" si="9"/>
        <v/>
      </c>
      <c r="J141" s="147" t="str">
        <f>IFERROR(SUMIFS(当年实际!$V:$V,当年实际!$J:$J,$C141,当年实际!$C:$C,"&gt;="&amp;DATE(YEAR(主页!$D$2),1,1),当年实际!$C:$C,"&lt;="&amp;EOMONTH(DATE(YEAR(主页!$D$2),MONTH(主页!$D$2),1),0))/SUMIFS(当年实际!$P:$P,当年实际!$J:$J,$C141,当年实际!$C:$C,"&gt;="&amp;DATE(YEAR(主页!$D$2),1,1),当年实际!$C:$C,"&lt;="&amp;EOMONTH(DATE(YEAR(主页!$D$2),MONTH(主页!$D$2),1),0)),"")</f>
        <v/>
      </c>
    </row>
    <row r="142" spans="1:10" x14ac:dyDescent="0.3">
      <c r="A142" s="129"/>
      <c r="B142" s="150"/>
      <c r="C142" s="150"/>
      <c r="D142" s="150"/>
      <c r="E142" s="140" t="str">
        <f t="shared" si="8"/>
        <v/>
      </c>
      <c r="F142" s="157"/>
      <c r="G142" s="145">
        <f t="shared" si="10"/>
        <v>0</v>
      </c>
      <c r="H142" s="140" t="str">
        <f t="shared" si="9"/>
        <v/>
      </c>
      <c r="J142" s="147" t="str">
        <f>IFERROR(SUMIFS(当年实际!$V:$V,当年实际!$J:$J,$C142,当年实际!$C:$C,"&gt;="&amp;DATE(YEAR(主页!$D$2),1,1),当年实际!$C:$C,"&lt;="&amp;EOMONTH(DATE(YEAR(主页!$D$2),MONTH(主页!$D$2),1),0))/SUMIFS(当年实际!$P:$P,当年实际!$J:$J,$C142,当年实际!$C:$C,"&gt;="&amp;DATE(YEAR(主页!$D$2),1,1),当年实际!$C:$C,"&lt;="&amp;EOMONTH(DATE(YEAR(主页!$D$2),MONTH(主页!$D$2),1),0)),"")</f>
        <v/>
      </c>
    </row>
    <row r="143" spans="1:10" x14ac:dyDescent="0.3">
      <c r="A143" s="129"/>
      <c r="B143" s="150"/>
      <c r="C143" s="150"/>
      <c r="D143" s="150"/>
      <c r="E143" s="140" t="str">
        <f t="shared" si="8"/>
        <v/>
      </c>
      <c r="F143" s="157"/>
      <c r="G143" s="145">
        <f t="shared" si="10"/>
        <v>0</v>
      </c>
      <c r="H143" s="140" t="str">
        <f t="shared" si="9"/>
        <v/>
      </c>
      <c r="J143" s="147" t="str">
        <f>IFERROR(SUMIFS(当年实际!$V:$V,当年实际!$J:$J,$C143,当年实际!$C:$C,"&gt;="&amp;DATE(YEAR(主页!$D$2),1,1),当年实际!$C:$C,"&lt;="&amp;EOMONTH(DATE(YEAR(主页!$D$2),MONTH(主页!$D$2),1),0))/SUMIFS(当年实际!$P:$P,当年实际!$J:$J,$C143,当年实际!$C:$C,"&gt;="&amp;DATE(YEAR(主页!$D$2),1,1),当年实际!$C:$C,"&lt;="&amp;EOMONTH(DATE(YEAR(主页!$D$2),MONTH(主页!$D$2),1),0)),"")</f>
        <v/>
      </c>
    </row>
    <row r="144" spans="1:10" x14ac:dyDescent="0.3">
      <c r="A144" s="129"/>
      <c r="B144" s="150"/>
      <c r="C144" s="150"/>
      <c r="D144" s="150"/>
      <c r="E144" s="140" t="str">
        <f t="shared" si="8"/>
        <v/>
      </c>
      <c r="F144" s="157"/>
      <c r="G144" s="145">
        <f t="shared" si="10"/>
        <v>0</v>
      </c>
      <c r="H144" s="140" t="str">
        <f t="shared" si="9"/>
        <v/>
      </c>
      <c r="J144" s="147" t="str">
        <f>IFERROR(SUMIFS(当年实际!$V:$V,当年实际!$J:$J,$C144,当年实际!$C:$C,"&gt;="&amp;DATE(YEAR(主页!$D$2),1,1),当年实际!$C:$C,"&lt;="&amp;EOMONTH(DATE(YEAR(主页!$D$2),MONTH(主页!$D$2),1),0))/SUMIFS(当年实际!$P:$P,当年实际!$J:$J,$C144,当年实际!$C:$C,"&gt;="&amp;DATE(YEAR(主页!$D$2),1,1),当年实际!$C:$C,"&lt;="&amp;EOMONTH(DATE(YEAR(主页!$D$2),MONTH(主页!$D$2),1),0)),"")</f>
        <v/>
      </c>
    </row>
    <row r="145" spans="1:10" x14ac:dyDescent="0.3">
      <c r="A145" s="129"/>
      <c r="B145" s="150"/>
      <c r="C145" s="150"/>
      <c r="D145" s="150"/>
      <c r="E145" s="140" t="str">
        <f t="shared" si="8"/>
        <v/>
      </c>
      <c r="F145" s="157"/>
      <c r="G145" s="145">
        <f t="shared" si="10"/>
        <v>0</v>
      </c>
      <c r="H145" s="140" t="str">
        <f t="shared" si="9"/>
        <v/>
      </c>
      <c r="J145" s="147" t="str">
        <f>IFERROR(SUMIFS(当年实际!$V:$V,当年实际!$J:$J,$C145,当年实际!$C:$C,"&gt;="&amp;DATE(YEAR(主页!$D$2),1,1),当年实际!$C:$C,"&lt;="&amp;EOMONTH(DATE(YEAR(主页!$D$2),MONTH(主页!$D$2),1),0))/SUMIFS(当年实际!$P:$P,当年实际!$J:$J,$C145,当年实际!$C:$C,"&gt;="&amp;DATE(YEAR(主页!$D$2),1,1),当年实际!$C:$C,"&lt;="&amp;EOMONTH(DATE(YEAR(主页!$D$2),MONTH(主页!$D$2),1),0)),"")</f>
        <v/>
      </c>
    </row>
    <row r="146" spans="1:10" x14ac:dyDescent="0.3">
      <c r="A146" s="129"/>
      <c r="B146" s="150"/>
      <c r="C146" s="150"/>
      <c r="D146" s="150"/>
      <c r="E146" s="140" t="str">
        <f t="shared" si="8"/>
        <v/>
      </c>
      <c r="F146" s="157"/>
      <c r="G146" s="145">
        <f t="shared" si="10"/>
        <v>0</v>
      </c>
      <c r="H146" s="140" t="str">
        <f t="shared" si="9"/>
        <v/>
      </c>
      <c r="J146" s="147" t="str">
        <f>IFERROR(SUMIFS(当年实际!$V:$V,当年实际!$J:$J,$C146,当年实际!$C:$C,"&gt;="&amp;DATE(YEAR(主页!$D$2),1,1),当年实际!$C:$C,"&lt;="&amp;EOMONTH(DATE(YEAR(主页!$D$2),MONTH(主页!$D$2),1),0))/SUMIFS(当年实际!$P:$P,当年实际!$J:$J,$C146,当年实际!$C:$C,"&gt;="&amp;DATE(YEAR(主页!$D$2),1,1),当年实际!$C:$C,"&lt;="&amp;EOMONTH(DATE(YEAR(主页!$D$2),MONTH(主页!$D$2),1),0)),"")</f>
        <v/>
      </c>
    </row>
    <row r="147" spans="1:10" x14ac:dyDescent="0.3">
      <c r="A147" s="129"/>
      <c r="B147" s="150"/>
      <c r="C147" s="150"/>
      <c r="D147" s="150"/>
      <c r="E147" s="140" t="str">
        <f t="shared" si="8"/>
        <v/>
      </c>
      <c r="F147" s="157"/>
      <c r="G147" s="145">
        <f t="shared" si="10"/>
        <v>0</v>
      </c>
      <c r="H147" s="140" t="str">
        <f t="shared" si="9"/>
        <v/>
      </c>
      <c r="J147" s="147" t="str">
        <f>IFERROR(SUMIFS(当年实际!$V:$V,当年实际!$J:$J,$C147,当年实际!$C:$C,"&gt;="&amp;DATE(YEAR(主页!$D$2),1,1),当年实际!$C:$C,"&lt;="&amp;EOMONTH(DATE(YEAR(主页!$D$2),MONTH(主页!$D$2),1),0))/SUMIFS(当年实际!$P:$P,当年实际!$J:$J,$C147,当年实际!$C:$C,"&gt;="&amp;DATE(YEAR(主页!$D$2),1,1),当年实际!$C:$C,"&lt;="&amp;EOMONTH(DATE(YEAR(主页!$D$2),MONTH(主页!$D$2),1),0)),"")</f>
        <v/>
      </c>
    </row>
    <row r="148" spans="1:10" x14ac:dyDescent="0.3">
      <c r="A148" s="129"/>
      <c r="B148" s="150"/>
      <c r="C148" s="150"/>
      <c r="D148" s="150"/>
      <c r="E148" s="140" t="str">
        <f t="shared" si="8"/>
        <v/>
      </c>
      <c r="F148" s="157"/>
      <c r="G148" s="145">
        <f t="shared" si="10"/>
        <v>0</v>
      </c>
      <c r="H148" s="140" t="str">
        <f t="shared" si="9"/>
        <v/>
      </c>
      <c r="J148" s="147" t="str">
        <f>IFERROR(SUMIFS(当年实际!$V:$V,当年实际!$J:$J,$C148,当年实际!$C:$C,"&gt;="&amp;DATE(YEAR(主页!$D$2),1,1),当年实际!$C:$C,"&lt;="&amp;EOMONTH(DATE(YEAR(主页!$D$2),MONTH(主页!$D$2),1),0))/SUMIFS(当年实际!$P:$P,当年实际!$J:$J,$C148,当年实际!$C:$C,"&gt;="&amp;DATE(YEAR(主页!$D$2),1,1),当年实际!$C:$C,"&lt;="&amp;EOMONTH(DATE(YEAR(主页!$D$2),MONTH(主页!$D$2),1),0)),"")</f>
        <v/>
      </c>
    </row>
    <row r="149" spans="1:10" x14ac:dyDescent="0.3">
      <c r="A149" s="129"/>
      <c r="B149" s="150"/>
      <c r="C149" s="150"/>
      <c r="D149" s="150"/>
      <c r="E149" s="140" t="str">
        <f t="shared" si="8"/>
        <v/>
      </c>
      <c r="F149" s="157"/>
      <c r="G149" s="145">
        <f t="shared" si="10"/>
        <v>0</v>
      </c>
      <c r="H149" s="140" t="str">
        <f t="shared" si="9"/>
        <v/>
      </c>
      <c r="J149" s="147" t="str">
        <f>IFERROR(SUMIFS(当年实际!$V:$V,当年实际!$J:$J,$C149,当年实际!$C:$C,"&gt;="&amp;DATE(YEAR(主页!$D$2),1,1),当年实际!$C:$C,"&lt;="&amp;EOMONTH(DATE(YEAR(主页!$D$2),MONTH(主页!$D$2),1),0))/SUMIFS(当年实际!$P:$P,当年实际!$J:$J,$C149,当年实际!$C:$C,"&gt;="&amp;DATE(YEAR(主页!$D$2),1,1),当年实际!$C:$C,"&lt;="&amp;EOMONTH(DATE(YEAR(主页!$D$2),MONTH(主页!$D$2),1),0)),"")</f>
        <v/>
      </c>
    </row>
    <row r="150" spans="1:10" x14ac:dyDescent="0.3">
      <c r="A150" s="129"/>
      <c r="B150" s="150"/>
      <c r="C150" s="150"/>
      <c r="D150" s="150"/>
      <c r="E150" s="140" t="str">
        <f t="shared" si="8"/>
        <v/>
      </c>
      <c r="F150" s="157"/>
      <c r="G150" s="145">
        <f t="shared" si="10"/>
        <v>0</v>
      </c>
      <c r="H150" s="140" t="str">
        <f t="shared" si="9"/>
        <v/>
      </c>
      <c r="J150" s="147" t="str">
        <f>IFERROR(SUMIFS(当年实际!$V:$V,当年实际!$J:$J,$C150,当年实际!$C:$C,"&gt;="&amp;DATE(YEAR(主页!$D$2),1,1),当年实际!$C:$C,"&lt;="&amp;EOMONTH(DATE(YEAR(主页!$D$2),MONTH(主页!$D$2),1),0))/SUMIFS(当年实际!$P:$P,当年实际!$J:$J,$C150,当年实际!$C:$C,"&gt;="&amp;DATE(YEAR(主页!$D$2),1,1),当年实际!$C:$C,"&lt;="&amp;EOMONTH(DATE(YEAR(主页!$D$2),MONTH(主页!$D$2),1),0)),"")</f>
        <v/>
      </c>
    </row>
  </sheetData>
  <mergeCells count="3">
    <mergeCell ref="A1:A2"/>
    <mergeCell ref="B1:B2"/>
    <mergeCell ref="C1:C2"/>
  </mergeCells>
  <phoneticPr fontId="3" type="noConversion"/>
  <hyperlinks>
    <hyperlink ref="L1" location="主页!A1" display="主页!A1" xr:uid="{195BB2C6-4FCC-407A-82B8-664324AF500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9D16-B50B-4A84-9D2D-62B3C6615202}">
  <dimension ref="A1:L1230"/>
  <sheetViews>
    <sheetView showGridLines="0" workbookViewId="0">
      <selection activeCell="O15" sqref="O15"/>
    </sheetView>
  </sheetViews>
  <sheetFormatPr defaultRowHeight="14" x14ac:dyDescent="0.3"/>
  <cols>
    <col min="4" max="4" width="9.08203125" bestFit="1" customWidth="1"/>
    <col min="5" max="5" width="10.58203125" style="6" bestFit="1" customWidth="1"/>
    <col min="6" max="7" width="9" bestFit="1" customWidth="1"/>
    <col min="8" max="8" width="10.58203125" bestFit="1" customWidth="1"/>
    <col min="9" max="9" width="3.75" style="6" customWidth="1"/>
    <col min="10" max="10" width="28.4140625" bestFit="1" customWidth="1"/>
  </cols>
  <sheetData>
    <row r="1" spans="1:12" x14ac:dyDescent="0.3">
      <c r="A1" s="256" t="s">
        <v>25</v>
      </c>
      <c r="B1" s="256" t="s">
        <v>26</v>
      </c>
      <c r="C1" s="256" t="s">
        <v>39</v>
      </c>
      <c r="D1" s="131" t="str">
        <f>"当年剩余月份估计 E"&amp;TEXT(主页!$D$2,"YY")&amp;"YTG"</f>
        <v>当年剩余月份估计 E21YTG</v>
      </c>
      <c r="E1" s="131"/>
      <c r="F1" s="158"/>
      <c r="G1" s="131"/>
      <c r="H1" s="131"/>
      <c r="I1"/>
      <c r="J1" s="155" t="str">
        <f>"当年已过去月份实际 A"&amp;TEXT(主页!$D$2,"YY")&amp;"YTD"</f>
        <v>当年已过去月份实际 A21YTD</v>
      </c>
      <c r="L1" s="121" t="s">
        <v>197</v>
      </c>
    </row>
    <row r="2" spans="1:12" x14ac:dyDescent="0.3">
      <c r="A2" s="256" t="s">
        <v>25</v>
      </c>
      <c r="B2" s="256" t="s">
        <v>26</v>
      </c>
      <c r="C2" s="256" t="s">
        <v>39</v>
      </c>
      <c r="D2" s="132" t="s">
        <v>13</v>
      </c>
      <c r="E2" s="132" t="s">
        <v>35</v>
      </c>
      <c r="F2" s="133" t="s">
        <v>9</v>
      </c>
      <c r="G2" s="132" t="s">
        <v>10</v>
      </c>
      <c r="H2" s="132" t="s">
        <v>36</v>
      </c>
      <c r="I2" s="97"/>
      <c r="J2" s="153" t="s">
        <v>9</v>
      </c>
    </row>
    <row r="3" spans="1:12" x14ac:dyDescent="0.3">
      <c r="A3" s="150" t="s">
        <v>8</v>
      </c>
      <c r="B3" s="150" t="s">
        <v>7</v>
      </c>
      <c r="C3" s="150" t="s">
        <v>159</v>
      </c>
      <c r="D3" s="149">
        <v>1200</v>
      </c>
      <c r="E3" s="140">
        <f>IF(D3/SUM(D:D)=0,"",D3/SUM(D:D))</f>
        <v>0.19354838709677419</v>
      </c>
      <c r="F3" s="159">
        <v>0.16</v>
      </c>
      <c r="G3" s="145">
        <f>D3*F3</f>
        <v>192</v>
      </c>
      <c r="H3" s="140">
        <f>IF(G3/SUM(G:G)=0,"",G3/SUM(G:G))</f>
        <v>0.14201183431952663</v>
      </c>
      <c r="I3"/>
      <c r="J3" s="147">
        <f>IFERROR(SUMIFS(当年实际!$V:$V,当年实际!$F:$F,$C3,当年实际!$C:$C,"&gt;="&amp;DATE(YEAR(主页!$D$2),1,1),当年实际!$C:$C,"&lt;="&amp;EOMONTH(DATE(YEAR(主页!$D$2),MONTH(主页!$D$2),1),0))/SUMIFS(当年实际!$P:$P,当年实际!$F:$F,$C3,当年实际!$C:$C,"&gt;="&amp;DATE(YEAR(主页!$D$2),1,1),当年实际!$C:$C,"&lt;="&amp;EOMONTH(DATE(YEAR(主页!$D$2),MONTH(主页!$D$2),1),0)),"")</f>
        <v>0.16</v>
      </c>
    </row>
    <row r="4" spans="1:12" x14ac:dyDescent="0.3">
      <c r="A4" s="150" t="s">
        <v>5</v>
      </c>
      <c r="B4" s="150" t="s">
        <v>4</v>
      </c>
      <c r="C4" s="150" t="s">
        <v>160</v>
      </c>
      <c r="D4" s="149">
        <v>2000</v>
      </c>
      <c r="E4" s="140">
        <f t="shared" ref="E4:E67" si="0">IF(D4/SUM(D:D)=0,"",D4/SUM(D:D))</f>
        <v>0.32258064516129031</v>
      </c>
      <c r="F4" s="159">
        <v>0.28000000000000003</v>
      </c>
      <c r="G4" s="145">
        <f t="shared" ref="G4:G6" si="1">D4*F4</f>
        <v>560</v>
      </c>
      <c r="H4" s="140">
        <f t="shared" ref="H4:H67" si="2">IF(G4/SUM(G:G)=0,"",G4/SUM(G:G))</f>
        <v>0.41420118343195267</v>
      </c>
      <c r="I4"/>
      <c r="J4" s="147">
        <f>IFERROR(SUMIFS(当年实际!$V:$V,当年实际!$F:$F,$C4,当年实际!$C:$C,"&gt;="&amp;DATE(YEAR(主页!$D$2),1,1),当年实际!$C:$C,"&lt;="&amp;EOMONTH(DATE(YEAR(主页!$D$2),MONTH(主页!$D$2),1),0))/SUMIFS(当年实际!$P:$P,当年实际!$F:$F,$C4,当年实际!$C:$C,"&gt;="&amp;DATE(YEAR(主页!$D$2),1,1),当年实际!$C:$C,"&lt;="&amp;EOMONTH(DATE(YEAR(主页!$D$2),MONTH(主页!$D$2),1),0)),"")</f>
        <v>0.27777777777777779</v>
      </c>
    </row>
    <row r="5" spans="1:12" x14ac:dyDescent="0.3">
      <c r="A5" s="150" t="s">
        <v>2</v>
      </c>
      <c r="B5" s="150" t="s">
        <v>1</v>
      </c>
      <c r="C5" s="150" t="s">
        <v>161</v>
      </c>
      <c r="D5" s="149">
        <v>3000</v>
      </c>
      <c r="E5" s="140">
        <f t="shared" si="0"/>
        <v>0.4838709677419355</v>
      </c>
      <c r="F5" s="159">
        <v>0.2</v>
      </c>
      <c r="G5" s="145">
        <f t="shared" si="1"/>
        <v>600</v>
      </c>
      <c r="H5" s="140">
        <f t="shared" si="2"/>
        <v>0.4437869822485207</v>
      </c>
      <c r="I5"/>
      <c r="J5" s="147">
        <f>IFERROR(SUMIFS(当年实际!$V:$V,当年实际!$F:$F,$C5,当年实际!$C:$C,"&gt;="&amp;DATE(YEAR(主页!$D$2),1,1),当年实际!$C:$C,"&lt;="&amp;EOMONTH(DATE(YEAR(主页!$D$2),MONTH(主页!$D$2),1),0))/SUMIFS(当年实际!$P:$P,当年实际!$F:$F,$C5,当年实际!$C:$C,"&gt;="&amp;DATE(YEAR(主页!$D$2),1,1),当年实际!$C:$C,"&lt;="&amp;EOMONTH(DATE(YEAR(主页!$D$2),MONTH(主页!$D$2),1),0)),"")</f>
        <v>0.19400000000000001</v>
      </c>
    </row>
    <row r="6" spans="1:12" x14ac:dyDescent="0.3">
      <c r="A6" s="150"/>
      <c r="B6" s="150"/>
      <c r="C6" s="150"/>
      <c r="D6" s="150"/>
      <c r="E6" s="140" t="str">
        <f t="shared" si="0"/>
        <v/>
      </c>
      <c r="F6" s="159"/>
      <c r="G6" s="145">
        <f t="shared" si="1"/>
        <v>0</v>
      </c>
      <c r="H6" s="140" t="str">
        <f t="shared" si="2"/>
        <v/>
      </c>
      <c r="I6"/>
      <c r="J6" s="147" t="str">
        <f>IFERROR(SUMIFS(当年实际!$V:$V,当年实际!$F:$F,$C6,当年实际!$C:$C,"&gt;="&amp;DATE(YEAR(主页!$D$2),1,1),当年实际!$C:$C,"&lt;="&amp;EOMONTH(DATE(YEAR(主页!$D$2),MONTH(主页!$D$2),1),0))/SUMIFS(当年实际!$P:$P,当年实际!$F:$F,$C6,当年实际!$C:$C,"&gt;="&amp;DATE(YEAR(主页!$D$2),1,1),当年实际!$C:$C,"&lt;="&amp;EOMONTH(DATE(YEAR(主页!$D$2),MONTH(主页!$D$2),1),0)),"")</f>
        <v/>
      </c>
    </row>
    <row r="7" spans="1:12" x14ac:dyDescent="0.3">
      <c r="A7" s="150"/>
      <c r="B7" s="150"/>
      <c r="C7" s="150"/>
      <c r="D7" s="150"/>
      <c r="E7" s="140" t="str">
        <f t="shared" si="0"/>
        <v/>
      </c>
      <c r="F7" s="159"/>
      <c r="G7" s="145">
        <f t="shared" ref="G7:G70" si="3">D7*F7</f>
        <v>0</v>
      </c>
      <c r="H7" s="140" t="str">
        <f t="shared" si="2"/>
        <v/>
      </c>
      <c r="I7"/>
      <c r="J7" s="147" t="str">
        <f>IFERROR(SUMIFS(当年实际!$V:$V,当年实际!$F:$F,$C7,当年实际!$C:$C,"&gt;="&amp;DATE(YEAR(主页!$D$2),1,1),当年实际!$C:$C,"&lt;="&amp;EOMONTH(DATE(YEAR(主页!$D$2),MONTH(主页!$D$2),1),0))/SUMIFS(当年实际!$P:$P,当年实际!$F:$F,$C7,当年实际!$C:$C,"&gt;="&amp;DATE(YEAR(主页!$D$2),1,1),当年实际!$C:$C,"&lt;="&amp;EOMONTH(DATE(YEAR(主页!$D$2),MONTH(主页!$D$2),1),0)),"")</f>
        <v/>
      </c>
    </row>
    <row r="8" spans="1:12" x14ac:dyDescent="0.3">
      <c r="A8" s="150"/>
      <c r="B8" s="150"/>
      <c r="C8" s="150"/>
      <c r="D8" s="150"/>
      <c r="E8" s="140" t="str">
        <f t="shared" si="0"/>
        <v/>
      </c>
      <c r="F8" s="159"/>
      <c r="G8" s="145">
        <f t="shared" si="3"/>
        <v>0</v>
      </c>
      <c r="H8" s="140" t="str">
        <f t="shared" si="2"/>
        <v/>
      </c>
      <c r="I8"/>
      <c r="J8" s="147" t="str">
        <f>IFERROR(SUMIFS(当年实际!$V:$V,当年实际!$F:$F,$C8,当年实际!$C:$C,"&gt;="&amp;DATE(YEAR(主页!$D$2),1,1),当年实际!$C:$C,"&lt;="&amp;EOMONTH(DATE(YEAR(主页!$D$2),MONTH(主页!$D$2),1),0))/SUMIFS(当年实际!$P:$P,当年实际!$F:$F,$C8,当年实际!$C:$C,"&gt;="&amp;DATE(YEAR(主页!$D$2),1,1),当年实际!$C:$C,"&lt;="&amp;EOMONTH(DATE(YEAR(主页!$D$2),MONTH(主页!$D$2),1),0)),"")</f>
        <v/>
      </c>
    </row>
    <row r="9" spans="1:12" x14ac:dyDescent="0.3">
      <c r="A9" s="150"/>
      <c r="B9" s="150"/>
      <c r="C9" s="150"/>
      <c r="D9" s="150"/>
      <c r="E9" s="140" t="str">
        <f t="shared" si="0"/>
        <v/>
      </c>
      <c r="F9" s="159"/>
      <c r="G9" s="145">
        <f t="shared" si="3"/>
        <v>0</v>
      </c>
      <c r="H9" s="140" t="str">
        <f t="shared" si="2"/>
        <v/>
      </c>
      <c r="I9"/>
      <c r="J9" s="147" t="str">
        <f>IFERROR(SUMIFS(当年实际!$V:$V,当年实际!$F:$F,$C9,当年实际!$C:$C,"&gt;="&amp;DATE(YEAR(主页!$D$2),1,1),当年实际!$C:$C,"&lt;="&amp;EOMONTH(DATE(YEAR(主页!$D$2),MONTH(主页!$D$2),1),0))/SUMIFS(当年实际!$P:$P,当年实际!$F:$F,$C9,当年实际!$C:$C,"&gt;="&amp;DATE(YEAR(主页!$D$2),1,1),当年实际!$C:$C,"&lt;="&amp;EOMONTH(DATE(YEAR(主页!$D$2),MONTH(主页!$D$2),1),0)),"")</f>
        <v/>
      </c>
    </row>
    <row r="10" spans="1:12" x14ac:dyDescent="0.3">
      <c r="A10" s="150"/>
      <c r="B10" s="150"/>
      <c r="C10" s="150"/>
      <c r="D10" s="150"/>
      <c r="E10" s="140" t="str">
        <f t="shared" si="0"/>
        <v/>
      </c>
      <c r="F10" s="159"/>
      <c r="G10" s="145">
        <f t="shared" si="3"/>
        <v>0</v>
      </c>
      <c r="H10" s="140" t="str">
        <f t="shared" si="2"/>
        <v/>
      </c>
      <c r="I10"/>
      <c r="J10" s="147" t="str">
        <f>IFERROR(SUMIFS(当年实际!$V:$V,当年实际!$F:$F,$C10,当年实际!$C:$C,"&gt;="&amp;DATE(YEAR(主页!$D$2),1,1),当年实际!$C:$C,"&lt;="&amp;EOMONTH(DATE(YEAR(主页!$D$2),MONTH(主页!$D$2),1),0))/SUMIFS(当年实际!$P:$P,当年实际!$F:$F,$C10,当年实际!$C:$C,"&gt;="&amp;DATE(YEAR(主页!$D$2),1,1),当年实际!$C:$C,"&lt;="&amp;EOMONTH(DATE(YEAR(主页!$D$2),MONTH(主页!$D$2),1),0)),"")</f>
        <v/>
      </c>
    </row>
    <row r="11" spans="1:12" x14ac:dyDescent="0.3">
      <c r="A11" s="150"/>
      <c r="B11" s="150"/>
      <c r="C11" s="150"/>
      <c r="D11" s="150"/>
      <c r="E11" s="140" t="str">
        <f t="shared" si="0"/>
        <v/>
      </c>
      <c r="F11" s="159"/>
      <c r="G11" s="145">
        <f t="shared" si="3"/>
        <v>0</v>
      </c>
      <c r="H11" s="140" t="str">
        <f t="shared" si="2"/>
        <v/>
      </c>
      <c r="I11"/>
      <c r="J11" s="147" t="str">
        <f>IFERROR(SUMIFS(当年实际!$V:$V,当年实际!$F:$F,$C11,当年实际!$C:$C,"&gt;="&amp;DATE(YEAR(主页!$D$2),1,1),当年实际!$C:$C,"&lt;="&amp;EOMONTH(DATE(YEAR(主页!$D$2),MONTH(主页!$D$2),1),0))/SUMIFS(当年实际!$P:$P,当年实际!$F:$F,$C11,当年实际!$C:$C,"&gt;="&amp;DATE(YEAR(主页!$D$2),1,1),当年实际!$C:$C,"&lt;="&amp;EOMONTH(DATE(YEAR(主页!$D$2),MONTH(主页!$D$2),1),0)),"")</f>
        <v/>
      </c>
    </row>
    <row r="12" spans="1:12" x14ac:dyDescent="0.3">
      <c r="A12" s="150"/>
      <c r="B12" s="150"/>
      <c r="C12" s="150"/>
      <c r="D12" s="150"/>
      <c r="E12" s="140" t="str">
        <f t="shared" si="0"/>
        <v/>
      </c>
      <c r="F12" s="159"/>
      <c r="G12" s="145">
        <f t="shared" si="3"/>
        <v>0</v>
      </c>
      <c r="H12" s="140" t="str">
        <f t="shared" si="2"/>
        <v/>
      </c>
      <c r="I12"/>
      <c r="J12" s="147" t="str">
        <f>IFERROR(SUMIFS(当年实际!$V:$V,当年实际!$F:$F,$C12,当年实际!$C:$C,"&gt;="&amp;DATE(YEAR(主页!$D$2),1,1),当年实际!$C:$C,"&lt;="&amp;EOMONTH(DATE(YEAR(主页!$D$2),MONTH(主页!$D$2),1),0))/SUMIFS(当年实际!$P:$P,当年实际!$F:$F,$C12,当年实际!$C:$C,"&gt;="&amp;DATE(YEAR(主页!$D$2),1,1),当年实际!$C:$C,"&lt;="&amp;EOMONTH(DATE(YEAR(主页!$D$2),MONTH(主页!$D$2),1),0)),"")</f>
        <v/>
      </c>
    </row>
    <row r="13" spans="1:12" x14ac:dyDescent="0.3">
      <c r="A13" s="150"/>
      <c r="B13" s="150"/>
      <c r="C13" s="150"/>
      <c r="D13" s="150"/>
      <c r="E13" s="140" t="str">
        <f t="shared" si="0"/>
        <v/>
      </c>
      <c r="F13" s="159"/>
      <c r="G13" s="145">
        <f t="shared" si="3"/>
        <v>0</v>
      </c>
      <c r="H13" s="140" t="str">
        <f t="shared" si="2"/>
        <v/>
      </c>
      <c r="I13"/>
      <c r="J13" s="147" t="str">
        <f>IFERROR(SUMIFS(当年实际!$V:$V,当年实际!$F:$F,$C13,当年实际!$C:$C,"&gt;="&amp;DATE(YEAR(主页!$D$2),1,1),当年实际!$C:$C,"&lt;="&amp;EOMONTH(DATE(YEAR(主页!$D$2),MONTH(主页!$D$2),1),0))/SUMIFS(当年实际!$P:$P,当年实际!$F:$F,$C13,当年实际!$C:$C,"&gt;="&amp;DATE(YEAR(主页!$D$2),1,1),当年实际!$C:$C,"&lt;="&amp;EOMONTH(DATE(YEAR(主页!$D$2),MONTH(主页!$D$2),1),0)),"")</f>
        <v/>
      </c>
    </row>
    <row r="14" spans="1:12" x14ac:dyDescent="0.3">
      <c r="A14" s="150"/>
      <c r="B14" s="150"/>
      <c r="C14" s="150"/>
      <c r="D14" s="150"/>
      <c r="E14" s="140" t="str">
        <f t="shared" si="0"/>
        <v/>
      </c>
      <c r="F14" s="159"/>
      <c r="G14" s="145">
        <f t="shared" si="3"/>
        <v>0</v>
      </c>
      <c r="H14" s="140" t="str">
        <f t="shared" si="2"/>
        <v/>
      </c>
      <c r="I14"/>
      <c r="J14" s="147" t="str">
        <f>IFERROR(SUMIFS(当年实际!$V:$V,当年实际!$F:$F,$C14,当年实际!$C:$C,"&gt;="&amp;DATE(YEAR(主页!$D$2),1,1),当年实际!$C:$C,"&lt;="&amp;EOMONTH(DATE(YEAR(主页!$D$2),MONTH(主页!$D$2),1),0))/SUMIFS(当年实际!$P:$P,当年实际!$F:$F,$C14,当年实际!$C:$C,"&gt;="&amp;DATE(YEAR(主页!$D$2),1,1),当年实际!$C:$C,"&lt;="&amp;EOMONTH(DATE(YEAR(主页!$D$2),MONTH(主页!$D$2),1),0)),"")</f>
        <v/>
      </c>
    </row>
    <row r="15" spans="1:12" x14ac:dyDescent="0.3">
      <c r="A15" s="150"/>
      <c r="B15" s="150"/>
      <c r="C15" s="150"/>
      <c r="D15" s="150"/>
      <c r="E15" s="140" t="str">
        <f t="shared" si="0"/>
        <v/>
      </c>
      <c r="F15" s="159"/>
      <c r="G15" s="145">
        <f t="shared" si="3"/>
        <v>0</v>
      </c>
      <c r="H15" s="140" t="str">
        <f t="shared" si="2"/>
        <v/>
      </c>
      <c r="I15"/>
      <c r="J15" s="147" t="str">
        <f>IFERROR(SUMIFS(当年实际!$V:$V,当年实际!$F:$F,$C15,当年实际!$C:$C,"&gt;="&amp;DATE(YEAR(主页!$D$2),1,1),当年实际!$C:$C,"&lt;="&amp;EOMONTH(DATE(YEAR(主页!$D$2),MONTH(主页!$D$2),1),0))/SUMIFS(当年实际!$P:$P,当年实际!$F:$F,$C15,当年实际!$C:$C,"&gt;="&amp;DATE(YEAR(主页!$D$2),1,1),当年实际!$C:$C,"&lt;="&amp;EOMONTH(DATE(YEAR(主页!$D$2),MONTH(主页!$D$2),1),0)),"")</f>
        <v/>
      </c>
    </row>
    <row r="16" spans="1:12" x14ac:dyDescent="0.3">
      <c r="A16" s="150"/>
      <c r="B16" s="150"/>
      <c r="C16" s="150"/>
      <c r="D16" s="150"/>
      <c r="E16" s="140" t="str">
        <f t="shared" si="0"/>
        <v/>
      </c>
      <c r="F16" s="159"/>
      <c r="G16" s="145">
        <f t="shared" si="3"/>
        <v>0</v>
      </c>
      <c r="H16" s="140" t="str">
        <f t="shared" si="2"/>
        <v/>
      </c>
      <c r="I16"/>
      <c r="J16" s="147" t="str">
        <f>IFERROR(SUMIFS(当年实际!$V:$V,当年实际!$F:$F,$C16,当年实际!$C:$C,"&gt;="&amp;DATE(YEAR(主页!$D$2),1,1),当年实际!$C:$C,"&lt;="&amp;EOMONTH(DATE(YEAR(主页!$D$2),MONTH(主页!$D$2),1),0))/SUMIFS(当年实际!$P:$P,当年实际!$F:$F,$C16,当年实际!$C:$C,"&gt;="&amp;DATE(YEAR(主页!$D$2),1,1),当年实际!$C:$C,"&lt;="&amp;EOMONTH(DATE(YEAR(主页!$D$2),MONTH(主页!$D$2),1),0)),"")</f>
        <v/>
      </c>
    </row>
    <row r="17" spans="1:10" x14ac:dyDescent="0.3">
      <c r="A17" s="150"/>
      <c r="B17" s="150"/>
      <c r="C17" s="150"/>
      <c r="D17" s="150"/>
      <c r="E17" s="140" t="str">
        <f t="shared" si="0"/>
        <v/>
      </c>
      <c r="F17" s="159"/>
      <c r="G17" s="145">
        <f t="shared" si="3"/>
        <v>0</v>
      </c>
      <c r="H17" s="140" t="str">
        <f t="shared" si="2"/>
        <v/>
      </c>
      <c r="I17"/>
      <c r="J17" s="147" t="str">
        <f>IFERROR(SUMIFS(当年实际!$V:$V,当年实际!$F:$F,$C17,当年实际!$C:$C,"&gt;="&amp;DATE(YEAR(主页!$D$2),1,1),当年实际!$C:$C,"&lt;="&amp;EOMONTH(DATE(YEAR(主页!$D$2),MONTH(主页!$D$2),1),0))/SUMIFS(当年实际!$P:$P,当年实际!$F:$F,$C17,当年实际!$C:$C,"&gt;="&amp;DATE(YEAR(主页!$D$2),1,1),当年实际!$C:$C,"&lt;="&amp;EOMONTH(DATE(YEAR(主页!$D$2),MONTH(主页!$D$2),1),0)),"")</f>
        <v/>
      </c>
    </row>
    <row r="18" spans="1:10" x14ac:dyDescent="0.3">
      <c r="A18" s="150"/>
      <c r="B18" s="150"/>
      <c r="C18" s="150"/>
      <c r="D18" s="150"/>
      <c r="E18" s="140" t="str">
        <f t="shared" si="0"/>
        <v/>
      </c>
      <c r="F18" s="159"/>
      <c r="G18" s="145">
        <f t="shared" si="3"/>
        <v>0</v>
      </c>
      <c r="H18" s="140" t="str">
        <f t="shared" si="2"/>
        <v/>
      </c>
      <c r="I18"/>
      <c r="J18" s="147" t="str">
        <f>IFERROR(SUMIFS(当年实际!$V:$V,当年实际!$F:$F,$C18,当年实际!$C:$C,"&gt;="&amp;DATE(YEAR(主页!$D$2),1,1),当年实际!$C:$C,"&lt;="&amp;EOMONTH(DATE(YEAR(主页!$D$2),MONTH(主页!$D$2),1),0))/SUMIFS(当年实际!$P:$P,当年实际!$F:$F,$C18,当年实际!$C:$C,"&gt;="&amp;DATE(YEAR(主页!$D$2),1,1),当年实际!$C:$C,"&lt;="&amp;EOMONTH(DATE(YEAR(主页!$D$2),MONTH(主页!$D$2),1),0)),"")</f>
        <v/>
      </c>
    </row>
    <row r="19" spans="1:10" x14ac:dyDescent="0.3">
      <c r="A19" s="150"/>
      <c r="B19" s="150"/>
      <c r="C19" s="150"/>
      <c r="D19" s="150"/>
      <c r="E19" s="140" t="str">
        <f t="shared" si="0"/>
        <v/>
      </c>
      <c r="F19" s="159"/>
      <c r="G19" s="145">
        <f t="shared" si="3"/>
        <v>0</v>
      </c>
      <c r="H19" s="140" t="str">
        <f t="shared" si="2"/>
        <v/>
      </c>
      <c r="I19"/>
      <c r="J19" s="147" t="str">
        <f>IFERROR(SUMIFS(当年实际!$V:$V,当年实际!$F:$F,$C19,当年实际!$C:$C,"&gt;="&amp;DATE(YEAR(主页!$D$2),1,1),当年实际!$C:$C,"&lt;="&amp;EOMONTH(DATE(YEAR(主页!$D$2),MONTH(主页!$D$2),1),0))/SUMIFS(当年实际!$P:$P,当年实际!$F:$F,$C19,当年实际!$C:$C,"&gt;="&amp;DATE(YEAR(主页!$D$2),1,1),当年实际!$C:$C,"&lt;="&amp;EOMONTH(DATE(YEAR(主页!$D$2),MONTH(主页!$D$2),1),0)),"")</f>
        <v/>
      </c>
    </row>
    <row r="20" spans="1:10" x14ac:dyDescent="0.3">
      <c r="A20" s="150"/>
      <c r="B20" s="150"/>
      <c r="C20" s="150"/>
      <c r="D20" s="150"/>
      <c r="E20" s="140" t="str">
        <f t="shared" si="0"/>
        <v/>
      </c>
      <c r="F20" s="159"/>
      <c r="G20" s="145">
        <f t="shared" si="3"/>
        <v>0</v>
      </c>
      <c r="H20" s="140" t="str">
        <f t="shared" si="2"/>
        <v/>
      </c>
      <c r="I20"/>
      <c r="J20" s="147" t="str">
        <f>IFERROR(SUMIFS(当年实际!$V:$V,当年实际!$F:$F,$C20,当年实际!$C:$C,"&gt;="&amp;DATE(YEAR(主页!$D$2),1,1),当年实际!$C:$C,"&lt;="&amp;EOMONTH(DATE(YEAR(主页!$D$2),MONTH(主页!$D$2),1),0))/SUMIFS(当年实际!$P:$P,当年实际!$F:$F,$C20,当年实际!$C:$C,"&gt;="&amp;DATE(YEAR(主页!$D$2),1,1),当年实际!$C:$C,"&lt;="&amp;EOMONTH(DATE(YEAR(主页!$D$2),MONTH(主页!$D$2),1),0)),"")</f>
        <v/>
      </c>
    </row>
    <row r="21" spans="1:10" x14ac:dyDescent="0.3">
      <c r="A21" s="150"/>
      <c r="B21" s="150"/>
      <c r="C21" s="150"/>
      <c r="D21" s="150"/>
      <c r="E21" s="140" t="str">
        <f t="shared" si="0"/>
        <v/>
      </c>
      <c r="F21" s="159"/>
      <c r="G21" s="145">
        <f t="shared" si="3"/>
        <v>0</v>
      </c>
      <c r="H21" s="140" t="str">
        <f t="shared" si="2"/>
        <v/>
      </c>
      <c r="I21"/>
      <c r="J21" s="147" t="str">
        <f>IFERROR(SUMIFS(当年实际!$V:$V,当年实际!$F:$F,$C21,当年实际!$C:$C,"&gt;="&amp;DATE(YEAR(主页!$D$2),1,1),当年实际!$C:$C,"&lt;="&amp;EOMONTH(DATE(YEAR(主页!$D$2),MONTH(主页!$D$2),1),0))/SUMIFS(当年实际!$P:$P,当年实际!$F:$F,$C21,当年实际!$C:$C,"&gt;="&amp;DATE(YEAR(主页!$D$2),1,1),当年实际!$C:$C,"&lt;="&amp;EOMONTH(DATE(YEAR(主页!$D$2),MONTH(主页!$D$2),1),0)),"")</f>
        <v/>
      </c>
    </row>
    <row r="22" spans="1:10" x14ac:dyDescent="0.3">
      <c r="A22" s="150"/>
      <c r="B22" s="150"/>
      <c r="C22" s="150"/>
      <c r="D22" s="150"/>
      <c r="E22" s="140" t="str">
        <f t="shared" si="0"/>
        <v/>
      </c>
      <c r="F22" s="159"/>
      <c r="G22" s="145">
        <f t="shared" si="3"/>
        <v>0</v>
      </c>
      <c r="H22" s="140" t="str">
        <f t="shared" si="2"/>
        <v/>
      </c>
      <c r="I22"/>
      <c r="J22" s="147" t="str">
        <f>IFERROR(SUMIFS(当年实际!$V:$V,当年实际!$F:$F,$C22,当年实际!$C:$C,"&gt;="&amp;DATE(YEAR(主页!$D$2),1,1),当年实际!$C:$C,"&lt;="&amp;EOMONTH(DATE(YEAR(主页!$D$2),MONTH(主页!$D$2),1),0))/SUMIFS(当年实际!$P:$P,当年实际!$F:$F,$C22,当年实际!$C:$C,"&gt;="&amp;DATE(YEAR(主页!$D$2),1,1),当年实际!$C:$C,"&lt;="&amp;EOMONTH(DATE(YEAR(主页!$D$2),MONTH(主页!$D$2),1),0)),"")</f>
        <v/>
      </c>
    </row>
    <row r="23" spans="1:10" x14ac:dyDescent="0.3">
      <c r="A23" s="150"/>
      <c r="B23" s="150"/>
      <c r="C23" s="150"/>
      <c r="D23" s="150"/>
      <c r="E23" s="140" t="str">
        <f t="shared" si="0"/>
        <v/>
      </c>
      <c r="F23" s="159"/>
      <c r="G23" s="145">
        <f t="shared" si="3"/>
        <v>0</v>
      </c>
      <c r="H23" s="140" t="str">
        <f t="shared" si="2"/>
        <v/>
      </c>
      <c r="I23"/>
      <c r="J23" s="147" t="str">
        <f>IFERROR(SUMIFS(当年实际!$V:$V,当年实际!$F:$F,$C23,当年实际!$C:$C,"&gt;="&amp;DATE(YEAR(主页!$D$2),1,1),当年实际!$C:$C,"&lt;="&amp;EOMONTH(DATE(YEAR(主页!$D$2),MONTH(主页!$D$2),1),0))/SUMIFS(当年实际!$P:$P,当年实际!$F:$F,$C23,当年实际!$C:$C,"&gt;="&amp;DATE(YEAR(主页!$D$2),1,1),当年实际!$C:$C,"&lt;="&amp;EOMONTH(DATE(YEAR(主页!$D$2),MONTH(主页!$D$2),1),0)),"")</f>
        <v/>
      </c>
    </row>
    <row r="24" spans="1:10" x14ac:dyDescent="0.3">
      <c r="A24" s="150"/>
      <c r="B24" s="150"/>
      <c r="C24" s="150"/>
      <c r="D24" s="150"/>
      <c r="E24" s="140" t="str">
        <f t="shared" si="0"/>
        <v/>
      </c>
      <c r="F24" s="159"/>
      <c r="G24" s="145">
        <f t="shared" si="3"/>
        <v>0</v>
      </c>
      <c r="H24" s="140" t="str">
        <f t="shared" si="2"/>
        <v/>
      </c>
      <c r="I24"/>
      <c r="J24" s="147" t="str">
        <f>IFERROR(SUMIFS(当年实际!$V:$V,当年实际!$F:$F,$C24,当年实际!$C:$C,"&gt;="&amp;DATE(YEAR(主页!$D$2),1,1),当年实际!$C:$C,"&lt;="&amp;EOMONTH(DATE(YEAR(主页!$D$2),MONTH(主页!$D$2),1),0))/SUMIFS(当年实际!$P:$P,当年实际!$F:$F,$C24,当年实际!$C:$C,"&gt;="&amp;DATE(YEAR(主页!$D$2),1,1),当年实际!$C:$C,"&lt;="&amp;EOMONTH(DATE(YEAR(主页!$D$2),MONTH(主页!$D$2),1),0)),"")</f>
        <v/>
      </c>
    </row>
    <row r="25" spans="1:10" x14ac:dyDescent="0.3">
      <c r="A25" s="150"/>
      <c r="B25" s="150"/>
      <c r="C25" s="150"/>
      <c r="D25" s="150"/>
      <c r="E25" s="140" t="str">
        <f t="shared" si="0"/>
        <v/>
      </c>
      <c r="F25" s="159"/>
      <c r="G25" s="145">
        <f t="shared" si="3"/>
        <v>0</v>
      </c>
      <c r="H25" s="140" t="str">
        <f t="shared" si="2"/>
        <v/>
      </c>
      <c r="I25"/>
      <c r="J25" s="147" t="str">
        <f>IFERROR(SUMIFS(当年实际!$V:$V,当年实际!$F:$F,$C25,当年实际!$C:$C,"&gt;="&amp;DATE(YEAR(主页!$D$2),1,1),当年实际!$C:$C,"&lt;="&amp;EOMONTH(DATE(YEAR(主页!$D$2),MONTH(主页!$D$2),1),0))/SUMIFS(当年实际!$P:$P,当年实际!$F:$F,$C25,当年实际!$C:$C,"&gt;="&amp;DATE(YEAR(主页!$D$2),1,1),当年实际!$C:$C,"&lt;="&amp;EOMONTH(DATE(YEAR(主页!$D$2),MONTH(主页!$D$2),1),0)),"")</f>
        <v/>
      </c>
    </row>
    <row r="26" spans="1:10" x14ac:dyDescent="0.3">
      <c r="A26" s="150"/>
      <c r="B26" s="150"/>
      <c r="C26" s="150"/>
      <c r="D26" s="150"/>
      <c r="E26" s="140" t="str">
        <f t="shared" si="0"/>
        <v/>
      </c>
      <c r="F26" s="159"/>
      <c r="G26" s="145">
        <f t="shared" si="3"/>
        <v>0</v>
      </c>
      <c r="H26" s="140" t="str">
        <f t="shared" si="2"/>
        <v/>
      </c>
      <c r="I26"/>
      <c r="J26" s="147" t="str">
        <f>IFERROR(SUMIFS(当年实际!$V:$V,当年实际!$F:$F,$C26,当年实际!$C:$C,"&gt;="&amp;DATE(YEAR(主页!$D$2),1,1),当年实际!$C:$C,"&lt;="&amp;EOMONTH(DATE(YEAR(主页!$D$2),MONTH(主页!$D$2),1),0))/SUMIFS(当年实际!$P:$P,当年实际!$F:$F,$C26,当年实际!$C:$C,"&gt;="&amp;DATE(YEAR(主页!$D$2),1,1),当年实际!$C:$C,"&lt;="&amp;EOMONTH(DATE(YEAR(主页!$D$2),MONTH(主页!$D$2),1),0)),"")</f>
        <v/>
      </c>
    </row>
    <row r="27" spans="1:10" x14ac:dyDescent="0.3">
      <c r="A27" s="150"/>
      <c r="B27" s="150"/>
      <c r="C27" s="150"/>
      <c r="D27" s="150"/>
      <c r="E27" s="140" t="str">
        <f t="shared" si="0"/>
        <v/>
      </c>
      <c r="F27" s="159"/>
      <c r="G27" s="145">
        <f t="shared" si="3"/>
        <v>0</v>
      </c>
      <c r="H27" s="140" t="str">
        <f t="shared" si="2"/>
        <v/>
      </c>
      <c r="I27"/>
      <c r="J27" s="147" t="str">
        <f>IFERROR(SUMIFS(当年实际!$V:$V,当年实际!$F:$F,$C27,当年实际!$C:$C,"&gt;="&amp;DATE(YEAR(主页!$D$2),1,1),当年实际!$C:$C,"&lt;="&amp;EOMONTH(DATE(YEAR(主页!$D$2),MONTH(主页!$D$2),1),0))/SUMIFS(当年实际!$P:$P,当年实际!$F:$F,$C27,当年实际!$C:$C,"&gt;="&amp;DATE(YEAR(主页!$D$2),1,1),当年实际!$C:$C,"&lt;="&amp;EOMONTH(DATE(YEAR(主页!$D$2),MONTH(主页!$D$2),1),0)),"")</f>
        <v/>
      </c>
    </row>
    <row r="28" spans="1:10" x14ac:dyDescent="0.3">
      <c r="A28" s="150"/>
      <c r="B28" s="150"/>
      <c r="C28" s="150"/>
      <c r="D28" s="150"/>
      <c r="E28" s="140" t="str">
        <f t="shared" si="0"/>
        <v/>
      </c>
      <c r="F28" s="159"/>
      <c r="G28" s="145">
        <f t="shared" si="3"/>
        <v>0</v>
      </c>
      <c r="H28" s="140" t="str">
        <f t="shared" si="2"/>
        <v/>
      </c>
      <c r="I28"/>
      <c r="J28" s="147" t="str">
        <f>IFERROR(SUMIFS(当年实际!$V:$V,当年实际!$F:$F,$C28,当年实际!$C:$C,"&gt;="&amp;DATE(YEAR(主页!$D$2),1,1),当年实际!$C:$C,"&lt;="&amp;EOMONTH(DATE(YEAR(主页!$D$2),MONTH(主页!$D$2),1),0))/SUMIFS(当年实际!$P:$P,当年实际!$F:$F,$C28,当年实际!$C:$C,"&gt;="&amp;DATE(YEAR(主页!$D$2),1,1),当年实际!$C:$C,"&lt;="&amp;EOMONTH(DATE(YEAR(主页!$D$2),MONTH(主页!$D$2),1),0)),"")</f>
        <v/>
      </c>
    </row>
    <row r="29" spans="1:10" x14ac:dyDescent="0.3">
      <c r="A29" s="150"/>
      <c r="B29" s="150"/>
      <c r="C29" s="150"/>
      <c r="D29" s="150"/>
      <c r="E29" s="140" t="str">
        <f t="shared" si="0"/>
        <v/>
      </c>
      <c r="F29" s="159"/>
      <c r="G29" s="145">
        <f t="shared" si="3"/>
        <v>0</v>
      </c>
      <c r="H29" s="140" t="str">
        <f t="shared" si="2"/>
        <v/>
      </c>
      <c r="I29"/>
      <c r="J29" s="147" t="str">
        <f>IFERROR(SUMIFS(当年实际!$V:$V,当年实际!$F:$F,$C29,当年实际!$C:$C,"&gt;="&amp;DATE(YEAR(主页!$D$2),1,1),当年实际!$C:$C,"&lt;="&amp;EOMONTH(DATE(YEAR(主页!$D$2),MONTH(主页!$D$2),1),0))/SUMIFS(当年实际!$P:$P,当年实际!$F:$F,$C29,当年实际!$C:$C,"&gt;="&amp;DATE(YEAR(主页!$D$2),1,1),当年实际!$C:$C,"&lt;="&amp;EOMONTH(DATE(YEAR(主页!$D$2),MONTH(主页!$D$2),1),0)),"")</f>
        <v/>
      </c>
    </row>
    <row r="30" spans="1:10" x14ac:dyDescent="0.3">
      <c r="A30" s="150"/>
      <c r="B30" s="150"/>
      <c r="C30" s="150"/>
      <c r="D30" s="150"/>
      <c r="E30" s="140" t="str">
        <f t="shared" si="0"/>
        <v/>
      </c>
      <c r="F30" s="159"/>
      <c r="G30" s="145">
        <f t="shared" si="3"/>
        <v>0</v>
      </c>
      <c r="H30" s="140" t="str">
        <f t="shared" si="2"/>
        <v/>
      </c>
      <c r="I30"/>
      <c r="J30" s="147" t="str">
        <f>IFERROR(SUMIFS(当年实际!$V:$V,当年实际!$F:$F,$C30,当年实际!$C:$C,"&gt;="&amp;DATE(YEAR(主页!$D$2),1,1),当年实际!$C:$C,"&lt;="&amp;EOMONTH(DATE(YEAR(主页!$D$2),MONTH(主页!$D$2),1),0))/SUMIFS(当年实际!$P:$P,当年实际!$F:$F,$C30,当年实际!$C:$C,"&gt;="&amp;DATE(YEAR(主页!$D$2),1,1),当年实际!$C:$C,"&lt;="&amp;EOMONTH(DATE(YEAR(主页!$D$2),MONTH(主页!$D$2),1),0)),"")</f>
        <v/>
      </c>
    </row>
    <row r="31" spans="1:10" x14ac:dyDescent="0.3">
      <c r="A31" s="150"/>
      <c r="B31" s="150"/>
      <c r="C31" s="150"/>
      <c r="D31" s="150"/>
      <c r="E31" s="140" t="str">
        <f t="shared" si="0"/>
        <v/>
      </c>
      <c r="F31" s="159"/>
      <c r="G31" s="145">
        <f t="shared" si="3"/>
        <v>0</v>
      </c>
      <c r="H31" s="140" t="str">
        <f t="shared" si="2"/>
        <v/>
      </c>
      <c r="I31"/>
      <c r="J31" s="147" t="str">
        <f>IFERROR(SUMIFS(当年实际!$V:$V,当年实际!$F:$F,$C31,当年实际!$C:$C,"&gt;="&amp;DATE(YEAR(主页!$D$2),1,1),当年实际!$C:$C,"&lt;="&amp;EOMONTH(DATE(YEAR(主页!$D$2),MONTH(主页!$D$2),1),0))/SUMIFS(当年实际!$P:$P,当年实际!$F:$F,$C31,当年实际!$C:$C,"&gt;="&amp;DATE(YEAR(主页!$D$2),1,1),当年实际!$C:$C,"&lt;="&amp;EOMONTH(DATE(YEAR(主页!$D$2),MONTH(主页!$D$2),1),0)),"")</f>
        <v/>
      </c>
    </row>
    <row r="32" spans="1:10" x14ac:dyDescent="0.3">
      <c r="A32" s="150"/>
      <c r="B32" s="150"/>
      <c r="C32" s="150"/>
      <c r="D32" s="150"/>
      <c r="E32" s="140" t="str">
        <f t="shared" si="0"/>
        <v/>
      </c>
      <c r="F32" s="159"/>
      <c r="G32" s="145">
        <f t="shared" si="3"/>
        <v>0</v>
      </c>
      <c r="H32" s="140" t="str">
        <f t="shared" si="2"/>
        <v/>
      </c>
      <c r="I32"/>
      <c r="J32" s="147" t="str">
        <f>IFERROR(SUMIFS(当年实际!$V:$V,当年实际!$F:$F,$C32,当年实际!$C:$C,"&gt;="&amp;DATE(YEAR(主页!$D$2),1,1),当年实际!$C:$C,"&lt;="&amp;EOMONTH(DATE(YEAR(主页!$D$2),MONTH(主页!$D$2),1),0))/SUMIFS(当年实际!$P:$P,当年实际!$F:$F,$C32,当年实际!$C:$C,"&gt;="&amp;DATE(YEAR(主页!$D$2),1,1),当年实际!$C:$C,"&lt;="&amp;EOMONTH(DATE(YEAR(主页!$D$2),MONTH(主页!$D$2),1),0)),"")</f>
        <v/>
      </c>
    </row>
    <row r="33" spans="1:10" x14ac:dyDescent="0.3">
      <c r="A33" s="150"/>
      <c r="B33" s="150"/>
      <c r="C33" s="150"/>
      <c r="D33" s="150"/>
      <c r="E33" s="140" t="str">
        <f t="shared" si="0"/>
        <v/>
      </c>
      <c r="F33" s="159"/>
      <c r="G33" s="145">
        <f t="shared" si="3"/>
        <v>0</v>
      </c>
      <c r="H33" s="140" t="str">
        <f t="shared" si="2"/>
        <v/>
      </c>
      <c r="I33"/>
      <c r="J33" s="147" t="str">
        <f>IFERROR(SUMIFS(当年实际!$V:$V,当年实际!$F:$F,$C33,当年实际!$C:$C,"&gt;="&amp;DATE(YEAR(主页!$D$2),1,1),当年实际!$C:$C,"&lt;="&amp;EOMONTH(DATE(YEAR(主页!$D$2),MONTH(主页!$D$2),1),0))/SUMIFS(当年实际!$P:$P,当年实际!$F:$F,$C33,当年实际!$C:$C,"&gt;="&amp;DATE(YEAR(主页!$D$2),1,1),当年实际!$C:$C,"&lt;="&amp;EOMONTH(DATE(YEAR(主页!$D$2),MONTH(主页!$D$2),1),0)),"")</f>
        <v/>
      </c>
    </row>
    <row r="34" spans="1:10" x14ac:dyDescent="0.3">
      <c r="A34" s="150"/>
      <c r="B34" s="150"/>
      <c r="C34" s="150"/>
      <c r="D34" s="150"/>
      <c r="E34" s="140" t="str">
        <f t="shared" si="0"/>
        <v/>
      </c>
      <c r="F34" s="159"/>
      <c r="G34" s="145">
        <f t="shared" si="3"/>
        <v>0</v>
      </c>
      <c r="H34" s="140" t="str">
        <f t="shared" si="2"/>
        <v/>
      </c>
      <c r="I34"/>
      <c r="J34" s="147" t="str">
        <f>IFERROR(SUMIFS(当年实际!$V:$V,当年实际!$F:$F,$C34,当年实际!$C:$C,"&gt;="&amp;DATE(YEAR(主页!$D$2),1,1),当年实际!$C:$C,"&lt;="&amp;EOMONTH(DATE(YEAR(主页!$D$2),MONTH(主页!$D$2),1),0))/SUMIFS(当年实际!$P:$P,当年实际!$F:$F,$C34,当年实际!$C:$C,"&gt;="&amp;DATE(YEAR(主页!$D$2),1,1),当年实际!$C:$C,"&lt;="&amp;EOMONTH(DATE(YEAR(主页!$D$2),MONTH(主页!$D$2),1),0)),"")</f>
        <v/>
      </c>
    </row>
    <row r="35" spans="1:10" x14ac:dyDescent="0.3">
      <c r="A35" s="150"/>
      <c r="B35" s="150"/>
      <c r="C35" s="150"/>
      <c r="D35" s="150"/>
      <c r="E35" s="140" t="str">
        <f t="shared" si="0"/>
        <v/>
      </c>
      <c r="F35" s="159"/>
      <c r="G35" s="145">
        <f t="shared" si="3"/>
        <v>0</v>
      </c>
      <c r="H35" s="140" t="str">
        <f t="shared" si="2"/>
        <v/>
      </c>
      <c r="I35"/>
      <c r="J35" s="147" t="str">
        <f>IFERROR(SUMIFS(当年实际!$V:$V,当年实际!$F:$F,$C35,当年实际!$C:$C,"&gt;="&amp;DATE(YEAR(主页!$D$2),1,1),当年实际!$C:$C,"&lt;="&amp;EOMONTH(DATE(YEAR(主页!$D$2),MONTH(主页!$D$2),1),0))/SUMIFS(当年实际!$P:$P,当年实际!$F:$F,$C35,当年实际!$C:$C,"&gt;="&amp;DATE(YEAR(主页!$D$2),1,1),当年实际!$C:$C,"&lt;="&amp;EOMONTH(DATE(YEAR(主页!$D$2),MONTH(主页!$D$2),1),0)),"")</f>
        <v/>
      </c>
    </row>
    <row r="36" spans="1:10" x14ac:dyDescent="0.3">
      <c r="A36" s="150"/>
      <c r="B36" s="150"/>
      <c r="C36" s="150"/>
      <c r="D36" s="150"/>
      <c r="E36" s="140" t="str">
        <f t="shared" si="0"/>
        <v/>
      </c>
      <c r="F36" s="159"/>
      <c r="G36" s="145">
        <f t="shared" si="3"/>
        <v>0</v>
      </c>
      <c r="H36" s="140" t="str">
        <f t="shared" si="2"/>
        <v/>
      </c>
      <c r="I36"/>
      <c r="J36" s="147" t="str">
        <f>IFERROR(SUMIFS(当年实际!$V:$V,当年实际!$F:$F,$C36,当年实际!$C:$C,"&gt;="&amp;DATE(YEAR(主页!$D$2),1,1),当年实际!$C:$C,"&lt;="&amp;EOMONTH(DATE(YEAR(主页!$D$2),MONTH(主页!$D$2),1),0))/SUMIFS(当年实际!$P:$P,当年实际!$F:$F,$C36,当年实际!$C:$C,"&gt;="&amp;DATE(YEAR(主页!$D$2),1,1),当年实际!$C:$C,"&lt;="&amp;EOMONTH(DATE(YEAR(主页!$D$2),MONTH(主页!$D$2),1),0)),"")</f>
        <v/>
      </c>
    </row>
    <row r="37" spans="1:10" x14ac:dyDescent="0.3">
      <c r="A37" s="150"/>
      <c r="B37" s="150"/>
      <c r="C37" s="150"/>
      <c r="D37" s="150"/>
      <c r="E37" s="140" t="str">
        <f t="shared" si="0"/>
        <v/>
      </c>
      <c r="F37" s="159"/>
      <c r="G37" s="145">
        <f t="shared" si="3"/>
        <v>0</v>
      </c>
      <c r="H37" s="140" t="str">
        <f t="shared" si="2"/>
        <v/>
      </c>
      <c r="I37"/>
      <c r="J37" s="147" t="str">
        <f>IFERROR(SUMIFS(当年实际!$V:$V,当年实际!$F:$F,$C37,当年实际!$C:$C,"&gt;="&amp;DATE(YEAR(主页!$D$2),1,1),当年实际!$C:$C,"&lt;="&amp;EOMONTH(DATE(YEAR(主页!$D$2),MONTH(主页!$D$2),1),0))/SUMIFS(当年实际!$P:$P,当年实际!$F:$F,$C37,当年实际!$C:$C,"&gt;="&amp;DATE(YEAR(主页!$D$2),1,1),当年实际!$C:$C,"&lt;="&amp;EOMONTH(DATE(YEAR(主页!$D$2),MONTH(主页!$D$2),1),0)),"")</f>
        <v/>
      </c>
    </row>
    <row r="38" spans="1:10" x14ac:dyDescent="0.3">
      <c r="A38" s="150"/>
      <c r="B38" s="150"/>
      <c r="C38" s="150"/>
      <c r="D38" s="150"/>
      <c r="E38" s="140" t="str">
        <f t="shared" si="0"/>
        <v/>
      </c>
      <c r="F38" s="159"/>
      <c r="G38" s="145">
        <f t="shared" si="3"/>
        <v>0</v>
      </c>
      <c r="H38" s="140" t="str">
        <f t="shared" si="2"/>
        <v/>
      </c>
      <c r="I38"/>
      <c r="J38" s="147" t="str">
        <f>IFERROR(SUMIFS(当年实际!$V:$V,当年实际!$F:$F,$C38,当年实际!$C:$C,"&gt;="&amp;DATE(YEAR(主页!$D$2),1,1),当年实际!$C:$C,"&lt;="&amp;EOMONTH(DATE(YEAR(主页!$D$2),MONTH(主页!$D$2),1),0))/SUMIFS(当年实际!$P:$P,当年实际!$F:$F,$C38,当年实际!$C:$C,"&gt;="&amp;DATE(YEAR(主页!$D$2),1,1),当年实际!$C:$C,"&lt;="&amp;EOMONTH(DATE(YEAR(主页!$D$2),MONTH(主页!$D$2),1),0)),"")</f>
        <v/>
      </c>
    </row>
    <row r="39" spans="1:10" x14ac:dyDescent="0.3">
      <c r="A39" s="150"/>
      <c r="B39" s="150"/>
      <c r="C39" s="150"/>
      <c r="D39" s="150"/>
      <c r="E39" s="140" t="str">
        <f t="shared" si="0"/>
        <v/>
      </c>
      <c r="F39" s="159"/>
      <c r="G39" s="145">
        <f t="shared" si="3"/>
        <v>0</v>
      </c>
      <c r="H39" s="140" t="str">
        <f t="shared" si="2"/>
        <v/>
      </c>
      <c r="I39"/>
      <c r="J39" s="147" t="str">
        <f>IFERROR(SUMIFS(当年实际!$V:$V,当年实际!$F:$F,$C39,当年实际!$C:$C,"&gt;="&amp;DATE(YEAR(主页!$D$2),1,1),当年实际!$C:$C,"&lt;="&amp;EOMONTH(DATE(YEAR(主页!$D$2),MONTH(主页!$D$2),1),0))/SUMIFS(当年实际!$P:$P,当年实际!$F:$F,$C39,当年实际!$C:$C,"&gt;="&amp;DATE(YEAR(主页!$D$2),1,1),当年实际!$C:$C,"&lt;="&amp;EOMONTH(DATE(YEAR(主页!$D$2),MONTH(主页!$D$2),1),0)),"")</f>
        <v/>
      </c>
    </row>
    <row r="40" spans="1:10" x14ac:dyDescent="0.3">
      <c r="A40" s="150"/>
      <c r="B40" s="150"/>
      <c r="C40" s="150"/>
      <c r="D40" s="150"/>
      <c r="E40" s="140" t="str">
        <f t="shared" si="0"/>
        <v/>
      </c>
      <c r="F40" s="159"/>
      <c r="G40" s="145">
        <f t="shared" si="3"/>
        <v>0</v>
      </c>
      <c r="H40" s="140" t="str">
        <f t="shared" si="2"/>
        <v/>
      </c>
      <c r="I40"/>
      <c r="J40" s="147" t="str">
        <f>IFERROR(SUMIFS(当年实际!$V:$V,当年实际!$F:$F,$C40,当年实际!$C:$C,"&gt;="&amp;DATE(YEAR(主页!$D$2),1,1),当年实际!$C:$C,"&lt;="&amp;EOMONTH(DATE(YEAR(主页!$D$2),MONTH(主页!$D$2),1),0))/SUMIFS(当年实际!$P:$P,当年实际!$F:$F,$C40,当年实际!$C:$C,"&gt;="&amp;DATE(YEAR(主页!$D$2),1,1),当年实际!$C:$C,"&lt;="&amp;EOMONTH(DATE(YEAR(主页!$D$2),MONTH(主页!$D$2),1),0)),"")</f>
        <v/>
      </c>
    </row>
    <row r="41" spans="1:10" x14ac:dyDescent="0.3">
      <c r="A41" s="150"/>
      <c r="B41" s="150"/>
      <c r="C41" s="150"/>
      <c r="D41" s="150"/>
      <c r="E41" s="140" t="str">
        <f t="shared" si="0"/>
        <v/>
      </c>
      <c r="F41" s="159"/>
      <c r="G41" s="145">
        <f t="shared" si="3"/>
        <v>0</v>
      </c>
      <c r="H41" s="140" t="str">
        <f t="shared" si="2"/>
        <v/>
      </c>
      <c r="I41"/>
      <c r="J41" s="147" t="str">
        <f>IFERROR(SUMIFS(当年实际!$V:$V,当年实际!$F:$F,$C41,当年实际!$C:$C,"&gt;="&amp;DATE(YEAR(主页!$D$2),1,1),当年实际!$C:$C,"&lt;="&amp;EOMONTH(DATE(YEAR(主页!$D$2),MONTH(主页!$D$2),1),0))/SUMIFS(当年实际!$P:$P,当年实际!$F:$F,$C41,当年实际!$C:$C,"&gt;="&amp;DATE(YEAR(主页!$D$2),1,1),当年实际!$C:$C,"&lt;="&amp;EOMONTH(DATE(YEAR(主页!$D$2),MONTH(主页!$D$2),1),0)),"")</f>
        <v/>
      </c>
    </row>
    <row r="42" spans="1:10" x14ac:dyDescent="0.3">
      <c r="A42" s="150"/>
      <c r="B42" s="150"/>
      <c r="C42" s="150"/>
      <c r="D42" s="150"/>
      <c r="E42" s="140" t="str">
        <f t="shared" si="0"/>
        <v/>
      </c>
      <c r="F42" s="159"/>
      <c r="G42" s="145">
        <f t="shared" si="3"/>
        <v>0</v>
      </c>
      <c r="H42" s="140" t="str">
        <f t="shared" si="2"/>
        <v/>
      </c>
      <c r="I42"/>
      <c r="J42" s="147" t="str">
        <f>IFERROR(SUMIFS(当年实际!$V:$V,当年实际!$F:$F,$C42,当年实际!$C:$C,"&gt;="&amp;DATE(YEAR(主页!$D$2),1,1),当年实际!$C:$C,"&lt;="&amp;EOMONTH(DATE(YEAR(主页!$D$2),MONTH(主页!$D$2),1),0))/SUMIFS(当年实际!$P:$P,当年实际!$F:$F,$C42,当年实际!$C:$C,"&gt;="&amp;DATE(YEAR(主页!$D$2),1,1),当年实际!$C:$C,"&lt;="&amp;EOMONTH(DATE(YEAR(主页!$D$2),MONTH(主页!$D$2),1),0)),"")</f>
        <v/>
      </c>
    </row>
    <row r="43" spans="1:10" x14ac:dyDescent="0.3">
      <c r="A43" s="150"/>
      <c r="B43" s="150"/>
      <c r="C43" s="150"/>
      <c r="D43" s="150"/>
      <c r="E43" s="140" t="str">
        <f t="shared" si="0"/>
        <v/>
      </c>
      <c r="F43" s="159"/>
      <c r="G43" s="145">
        <f t="shared" si="3"/>
        <v>0</v>
      </c>
      <c r="H43" s="140" t="str">
        <f t="shared" si="2"/>
        <v/>
      </c>
      <c r="I43"/>
      <c r="J43" s="147" t="str">
        <f>IFERROR(SUMIFS(当年实际!$V:$V,当年实际!$F:$F,$C43,当年实际!$C:$C,"&gt;="&amp;DATE(YEAR(主页!$D$2),1,1),当年实际!$C:$C,"&lt;="&amp;EOMONTH(DATE(YEAR(主页!$D$2),MONTH(主页!$D$2),1),0))/SUMIFS(当年实际!$P:$P,当年实际!$F:$F,$C43,当年实际!$C:$C,"&gt;="&amp;DATE(YEAR(主页!$D$2),1,1),当年实际!$C:$C,"&lt;="&amp;EOMONTH(DATE(YEAR(主页!$D$2),MONTH(主页!$D$2),1),0)),"")</f>
        <v/>
      </c>
    </row>
    <row r="44" spans="1:10" x14ac:dyDescent="0.3">
      <c r="A44" s="150"/>
      <c r="B44" s="150"/>
      <c r="C44" s="150"/>
      <c r="D44" s="150"/>
      <c r="E44" s="140" t="str">
        <f t="shared" si="0"/>
        <v/>
      </c>
      <c r="F44" s="159"/>
      <c r="G44" s="145">
        <f t="shared" si="3"/>
        <v>0</v>
      </c>
      <c r="H44" s="140" t="str">
        <f t="shared" si="2"/>
        <v/>
      </c>
      <c r="I44"/>
      <c r="J44" s="147" t="str">
        <f>IFERROR(SUMIFS(当年实际!$V:$V,当年实际!$F:$F,$C44,当年实际!$C:$C,"&gt;="&amp;DATE(YEAR(主页!$D$2),1,1),当年实际!$C:$C,"&lt;="&amp;EOMONTH(DATE(YEAR(主页!$D$2),MONTH(主页!$D$2),1),0))/SUMIFS(当年实际!$P:$P,当年实际!$F:$F,$C44,当年实际!$C:$C,"&gt;="&amp;DATE(YEAR(主页!$D$2),1,1),当年实际!$C:$C,"&lt;="&amp;EOMONTH(DATE(YEAR(主页!$D$2),MONTH(主页!$D$2),1),0)),"")</f>
        <v/>
      </c>
    </row>
    <row r="45" spans="1:10" x14ac:dyDescent="0.3">
      <c r="A45" s="150"/>
      <c r="B45" s="150"/>
      <c r="C45" s="150"/>
      <c r="D45" s="150"/>
      <c r="E45" s="140" t="str">
        <f t="shared" si="0"/>
        <v/>
      </c>
      <c r="F45" s="159"/>
      <c r="G45" s="145">
        <f t="shared" si="3"/>
        <v>0</v>
      </c>
      <c r="H45" s="140" t="str">
        <f t="shared" si="2"/>
        <v/>
      </c>
      <c r="I45"/>
      <c r="J45" s="147" t="str">
        <f>IFERROR(SUMIFS(当年实际!$V:$V,当年实际!$F:$F,$C45,当年实际!$C:$C,"&gt;="&amp;DATE(YEAR(主页!$D$2),1,1),当年实际!$C:$C,"&lt;="&amp;EOMONTH(DATE(YEAR(主页!$D$2),MONTH(主页!$D$2),1),0))/SUMIFS(当年实际!$P:$P,当年实际!$F:$F,$C45,当年实际!$C:$C,"&gt;="&amp;DATE(YEAR(主页!$D$2),1,1),当年实际!$C:$C,"&lt;="&amp;EOMONTH(DATE(YEAR(主页!$D$2),MONTH(主页!$D$2),1),0)),"")</f>
        <v/>
      </c>
    </row>
    <row r="46" spans="1:10" x14ac:dyDescent="0.3">
      <c r="A46" s="150"/>
      <c r="B46" s="150"/>
      <c r="C46" s="150"/>
      <c r="D46" s="150"/>
      <c r="E46" s="140" t="str">
        <f t="shared" si="0"/>
        <v/>
      </c>
      <c r="F46" s="159"/>
      <c r="G46" s="145">
        <f t="shared" si="3"/>
        <v>0</v>
      </c>
      <c r="H46" s="140" t="str">
        <f t="shared" si="2"/>
        <v/>
      </c>
      <c r="I46"/>
      <c r="J46" s="147" t="str">
        <f>IFERROR(SUMIFS(当年实际!$V:$V,当年实际!$F:$F,$C46,当年实际!$C:$C,"&gt;="&amp;DATE(YEAR(主页!$D$2),1,1),当年实际!$C:$C,"&lt;="&amp;EOMONTH(DATE(YEAR(主页!$D$2),MONTH(主页!$D$2),1),0))/SUMIFS(当年实际!$P:$P,当年实际!$F:$F,$C46,当年实际!$C:$C,"&gt;="&amp;DATE(YEAR(主页!$D$2),1,1),当年实际!$C:$C,"&lt;="&amp;EOMONTH(DATE(YEAR(主页!$D$2),MONTH(主页!$D$2),1),0)),"")</f>
        <v/>
      </c>
    </row>
    <row r="47" spans="1:10" x14ac:dyDescent="0.3">
      <c r="A47" s="150"/>
      <c r="B47" s="150"/>
      <c r="C47" s="150"/>
      <c r="D47" s="150"/>
      <c r="E47" s="140" t="str">
        <f t="shared" si="0"/>
        <v/>
      </c>
      <c r="F47" s="159"/>
      <c r="G47" s="145">
        <f t="shared" si="3"/>
        <v>0</v>
      </c>
      <c r="H47" s="140" t="str">
        <f t="shared" si="2"/>
        <v/>
      </c>
      <c r="I47"/>
      <c r="J47" s="147" t="str">
        <f>IFERROR(SUMIFS(当年实际!$V:$V,当年实际!$F:$F,$C47,当年实际!$C:$C,"&gt;="&amp;DATE(YEAR(主页!$D$2),1,1),当年实际!$C:$C,"&lt;="&amp;EOMONTH(DATE(YEAR(主页!$D$2),MONTH(主页!$D$2),1),0))/SUMIFS(当年实际!$P:$P,当年实际!$F:$F,$C47,当年实际!$C:$C,"&gt;="&amp;DATE(YEAR(主页!$D$2),1,1),当年实际!$C:$C,"&lt;="&amp;EOMONTH(DATE(YEAR(主页!$D$2),MONTH(主页!$D$2),1),0)),"")</f>
        <v/>
      </c>
    </row>
    <row r="48" spans="1:10" x14ac:dyDescent="0.3">
      <c r="A48" s="150"/>
      <c r="B48" s="150"/>
      <c r="C48" s="150"/>
      <c r="D48" s="150"/>
      <c r="E48" s="140" t="str">
        <f t="shared" si="0"/>
        <v/>
      </c>
      <c r="F48" s="159"/>
      <c r="G48" s="145">
        <f t="shared" si="3"/>
        <v>0</v>
      </c>
      <c r="H48" s="140" t="str">
        <f t="shared" si="2"/>
        <v/>
      </c>
      <c r="I48"/>
      <c r="J48" s="147" t="str">
        <f>IFERROR(SUMIFS(当年实际!$V:$V,当年实际!$F:$F,$C48,当年实际!$C:$C,"&gt;="&amp;DATE(YEAR(主页!$D$2),1,1),当年实际!$C:$C,"&lt;="&amp;EOMONTH(DATE(YEAR(主页!$D$2),MONTH(主页!$D$2),1),0))/SUMIFS(当年实际!$P:$P,当年实际!$F:$F,$C48,当年实际!$C:$C,"&gt;="&amp;DATE(YEAR(主页!$D$2),1,1),当年实际!$C:$C,"&lt;="&amp;EOMONTH(DATE(YEAR(主页!$D$2),MONTH(主页!$D$2),1),0)),"")</f>
        <v/>
      </c>
    </row>
    <row r="49" spans="1:10" x14ac:dyDescent="0.3">
      <c r="A49" s="150"/>
      <c r="B49" s="150"/>
      <c r="C49" s="150"/>
      <c r="D49" s="150"/>
      <c r="E49" s="140" t="str">
        <f t="shared" si="0"/>
        <v/>
      </c>
      <c r="F49" s="159"/>
      <c r="G49" s="145">
        <f t="shared" si="3"/>
        <v>0</v>
      </c>
      <c r="H49" s="140" t="str">
        <f t="shared" si="2"/>
        <v/>
      </c>
      <c r="I49"/>
      <c r="J49" s="147" t="str">
        <f>IFERROR(SUMIFS(当年实际!$V:$V,当年实际!$F:$F,$C49,当年实际!$C:$C,"&gt;="&amp;DATE(YEAR(主页!$D$2),1,1),当年实际!$C:$C,"&lt;="&amp;EOMONTH(DATE(YEAR(主页!$D$2),MONTH(主页!$D$2),1),0))/SUMIFS(当年实际!$P:$P,当年实际!$F:$F,$C49,当年实际!$C:$C,"&gt;="&amp;DATE(YEAR(主页!$D$2),1,1),当年实际!$C:$C,"&lt;="&amp;EOMONTH(DATE(YEAR(主页!$D$2),MONTH(主页!$D$2),1),0)),"")</f>
        <v/>
      </c>
    </row>
    <row r="50" spans="1:10" x14ac:dyDescent="0.3">
      <c r="A50" s="150"/>
      <c r="B50" s="150"/>
      <c r="C50" s="150"/>
      <c r="D50" s="150"/>
      <c r="E50" s="140" t="str">
        <f t="shared" si="0"/>
        <v/>
      </c>
      <c r="F50" s="159"/>
      <c r="G50" s="145">
        <f t="shared" si="3"/>
        <v>0</v>
      </c>
      <c r="H50" s="140" t="str">
        <f t="shared" si="2"/>
        <v/>
      </c>
      <c r="I50"/>
      <c r="J50" s="147" t="str">
        <f>IFERROR(SUMIFS(当年实际!$V:$V,当年实际!$F:$F,$C50,当年实际!$C:$C,"&gt;="&amp;DATE(YEAR(主页!$D$2),1,1),当年实际!$C:$C,"&lt;="&amp;EOMONTH(DATE(YEAR(主页!$D$2),MONTH(主页!$D$2),1),0))/SUMIFS(当年实际!$P:$P,当年实际!$F:$F,$C50,当年实际!$C:$C,"&gt;="&amp;DATE(YEAR(主页!$D$2),1,1),当年实际!$C:$C,"&lt;="&amp;EOMONTH(DATE(YEAR(主页!$D$2),MONTH(主页!$D$2),1),0)),"")</f>
        <v/>
      </c>
    </row>
    <row r="51" spans="1:10" x14ac:dyDescent="0.3">
      <c r="A51" s="150"/>
      <c r="B51" s="150"/>
      <c r="C51" s="150"/>
      <c r="D51" s="150"/>
      <c r="E51" s="140" t="str">
        <f t="shared" si="0"/>
        <v/>
      </c>
      <c r="F51" s="159"/>
      <c r="G51" s="145">
        <f t="shared" si="3"/>
        <v>0</v>
      </c>
      <c r="H51" s="140" t="str">
        <f t="shared" si="2"/>
        <v/>
      </c>
      <c r="I51"/>
      <c r="J51" s="147" t="str">
        <f>IFERROR(SUMIFS(当年实际!$V:$V,当年实际!$F:$F,$C51,当年实际!$C:$C,"&gt;="&amp;DATE(YEAR(主页!$D$2),1,1),当年实际!$C:$C,"&lt;="&amp;EOMONTH(DATE(YEAR(主页!$D$2),MONTH(主页!$D$2),1),0))/SUMIFS(当年实际!$P:$P,当年实际!$F:$F,$C51,当年实际!$C:$C,"&gt;="&amp;DATE(YEAR(主页!$D$2),1,1),当年实际!$C:$C,"&lt;="&amp;EOMONTH(DATE(YEAR(主页!$D$2),MONTH(主页!$D$2),1),0)),"")</f>
        <v/>
      </c>
    </row>
    <row r="52" spans="1:10" x14ac:dyDescent="0.3">
      <c r="A52" s="150"/>
      <c r="B52" s="150"/>
      <c r="C52" s="150"/>
      <c r="D52" s="150"/>
      <c r="E52" s="140" t="str">
        <f t="shared" si="0"/>
        <v/>
      </c>
      <c r="F52" s="159"/>
      <c r="G52" s="145">
        <f t="shared" si="3"/>
        <v>0</v>
      </c>
      <c r="H52" s="140" t="str">
        <f t="shared" si="2"/>
        <v/>
      </c>
      <c r="I52"/>
      <c r="J52" s="147" t="str">
        <f>IFERROR(SUMIFS(当年实际!$V:$V,当年实际!$F:$F,$C52,当年实际!$C:$C,"&gt;="&amp;DATE(YEAR(主页!$D$2),1,1),当年实际!$C:$C,"&lt;="&amp;EOMONTH(DATE(YEAR(主页!$D$2),MONTH(主页!$D$2),1),0))/SUMIFS(当年实际!$P:$P,当年实际!$F:$F,$C52,当年实际!$C:$C,"&gt;="&amp;DATE(YEAR(主页!$D$2),1,1),当年实际!$C:$C,"&lt;="&amp;EOMONTH(DATE(YEAR(主页!$D$2),MONTH(主页!$D$2),1),0)),"")</f>
        <v/>
      </c>
    </row>
    <row r="53" spans="1:10" x14ac:dyDescent="0.3">
      <c r="A53" s="150"/>
      <c r="B53" s="150"/>
      <c r="C53" s="150"/>
      <c r="D53" s="150"/>
      <c r="E53" s="140" t="str">
        <f t="shared" si="0"/>
        <v/>
      </c>
      <c r="F53" s="159"/>
      <c r="G53" s="145">
        <f t="shared" si="3"/>
        <v>0</v>
      </c>
      <c r="H53" s="140" t="str">
        <f t="shared" si="2"/>
        <v/>
      </c>
      <c r="I53"/>
      <c r="J53" s="147" t="str">
        <f>IFERROR(SUMIFS(当年实际!$V:$V,当年实际!$F:$F,$C53,当年实际!$C:$C,"&gt;="&amp;DATE(YEAR(主页!$D$2),1,1),当年实际!$C:$C,"&lt;="&amp;EOMONTH(DATE(YEAR(主页!$D$2),MONTH(主页!$D$2),1),0))/SUMIFS(当年实际!$P:$P,当年实际!$F:$F,$C53,当年实际!$C:$C,"&gt;="&amp;DATE(YEAR(主页!$D$2),1,1),当年实际!$C:$C,"&lt;="&amp;EOMONTH(DATE(YEAR(主页!$D$2),MONTH(主页!$D$2),1),0)),"")</f>
        <v/>
      </c>
    </row>
    <row r="54" spans="1:10" x14ac:dyDescent="0.3">
      <c r="A54" s="150"/>
      <c r="B54" s="150"/>
      <c r="C54" s="150"/>
      <c r="D54" s="150"/>
      <c r="E54" s="140" t="str">
        <f t="shared" si="0"/>
        <v/>
      </c>
      <c r="F54" s="159"/>
      <c r="G54" s="145">
        <f t="shared" si="3"/>
        <v>0</v>
      </c>
      <c r="H54" s="140" t="str">
        <f t="shared" si="2"/>
        <v/>
      </c>
      <c r="I54"/>
      <c r="J54" s="147" t="str">
        <f>IFERROR(SUMIFS(当年实际!$V:$V,当年实际!$F:$F,$C54,当年实际!$C:$C,"&gt;="&amp;DATE(YEAR(主页!$D$2),1,1),当年实际!$C:$C,"&lt;="&amp;EOMONTH(DATE(YEAR(主页!$D$2),MONTH(主页!$D$2),1),0))/SUMIFS(当年实际!$P:$P,当年实际!$F:$F,$C54,当年实际!$C:$C,"&gt;="&amp;DATE(YEAR(主页!$D$2),1,1),当年实际!$C:$C,"&lt;="&amp;EOMONTH(DATE(YEAR(主页!$D$2),MONTH(主页!$D$2),1),0)),"")</f>
        <v/>
      </c>
    </row>
    <row r="55" spans="1:10" x14ac:dyDescent="0.3">
      <c r="A55" s="150"/>
      <c r="B55" s="150"/>
      <c r="C55" s="150"/>
      <c r="D55" s="150"/>
      <c r="E55" s="140" t="str">
        <f t="shared" si="0"/>
        <v/>
      </c>
      <c r="F55" s="159"/>
      <c r="G55" s="145">
        <f t="shared" si="3"/>
        <v>0</v>
      </c>
      <c r="H55" s="140" t="str">
        <f t="shared" si="2"/>
        <v/>
      </c>
      <c r="I55"/>
      <c r="J55" s="147" t="str">
        <f>IFERROR(SUMIFS(当年实际!$V:$V,当年实际!$F:$F,$C55,当年实际!$C:$C,"&gt;="&amp;DATE(YEAR(主页!$D$2),1,1),当年实际!$C:$C,"&lt;="&amp;EOMONTH(DATE(YEAR(主页!$D$2),MONTH(主页!$D$2),1),0))/SUMIFS(当年实际!$P:$P,当年实际!$F:$F,$C55,当年实际!$C:$C,"&gt;="&amp;DATE(YEAR(主页!$D$2),1,1),当年实际!$C:$C,"&lt;="&amp;EOMONTH(DATE(YEAR(主页!$D$2),MONTH(主页!$D$2),1),0)),"")</f>
        <v/>
      </c>
    </row>
    <row r="56" spans="1:10" x14ac:dyDescent="0.3">
      <c r="A56" s="150"/>
      <c r="B56" s="150"/>
      <c r="C56" s="150"/>
      <c r="D56" s="150"/>
      <c r="E56" s="140" t="str">
        <f t="shared" si="0"/>
        <v/>
      </c>
      <c r="F56" s="159"/>
      <c r="G56" s="145">
        <f t="shared" si="3"/>
        <v>0</v>
      </c>
      <c r="H56" s="140" t="str">
        <f t="shared" si="2"/>
        <v/>
      </c>
      <c r="I56"/>
      <c r="J56" s="147" t="str">
        <f>IFERROR(SUMIFS(当年实际!$V:$V,当年实际!$F:$F,$C56,当年实际!$C:$C,"&gt;="&amp;DATE(YEAR(主页!$D$2),1,1),当年实际!$C:$C,"&lt;="&amp;EOMONTH(DATE(YEAR(主页!$D$2),MONTH(主页!$D$2),1),0))/SUMIFS(当年实际!$P:$P,当年实际!$F:$F,$C56,当年实际!$C:$C,"&gt;="&amp;DATE(YEAR(主页!$D$2),1,1),当年实际!$C:$C,"&lt;="&amp;EOMONTH(DATE(YEAR(主页!$D$2),MONTH(主页!$D$2),1),0)),"")</f>
        <v/>
      </c>
    </row>
    <row r="57" spans="1:10" x14ac:dyDescent="0.3">
      <c r="A57" s="150"/>
      <c r="B57" s="150"/>
      <c r="C57" s="150"/>
      <c r="D57" s="150"/>
      <c r="E57" s="140" t="str">
        <f t="shared" si="0"/>
        <v/>
      </c>
      <c r="F57" s="159"/>
      <c r="G57" s="145">
        <f t="shared" si="3"/>
        <v>0</v>
      </c>
      <c r="H57" s="140" t="str">
        <f t="shared" si="2"/>
        <v/>
      </c>
      <c r="I57"/>
      <c r="J57" s="147" t="str">
        <f>IFERROR(SUMIFS(当年实际!$V:$V,当年实际!$F:$F,$C57,当年实际!$C:$C,"&gt;="&amp;DATE(YEAR(主页!$D$2),1,1),当年实际!$C:$C,"&lt;="&amp;EOMONTH(DATE(YEAR(主页!$D$2),MONTH(主页!$D$2),1),0))/SUMIFS(当年实际!$P:$P,当年实际!$F:$F,$C57,当年实际!$C:$C,"&gt;="&amp;DATE(YEAR(主页!$D$2),1,1),当年实际!$C:$C,"&lt;="&amp;EOMONTH(DATE(YEAR(主页!$D$2),MONTH(主页!$D$2),1),0)),"")</f>
        <v/>
      </c>
    </row>
    <row r="58" spans="1:10" x14ac:dyDescent="0.3">
      <c r="A58" s="150"/>
      <c r="B58" s="150"/>
      <c r="C58" s="150"/>
      <c r="D58" s="150"/>
      <c r="E58" s="140" t="str">
        <f t="shared" si="0"/>
        <v/>
      </c>
      <c r="F58" s="159"/>
      <c r="G58" s="145">
        <f t="shared" si="3"/>
        <v>0</v>
      </c>
      <c r="H58" s="140" t="str">
        <f t="shared" si="2"/>
        <v/>
      </c>
      <c r="I58"/>
      <c r="J58" s="147" t="str">
        <f>IFERROR(SUMIFS(当年实际!$V:$V,当年实际!$F:$F,$C58,当年实际!$C:$C,"&gt;="&amp;DATE(YEAR(主页!$D$2),1,1),当年实际!$C:$C,"&lt;="&amp;EOMONTH(DATE(YEAR(主页!$D$2),MONTH(主页!$D$2),1),0))/SUMIFS(当年实际!$P:$P,当年实际!$F:$F,$C58,当年实际!$C:$C,"&gt;="&amp;DATE(YEAR(主页!$D$2),1,1),当年实际!$C:$C,"&lt;="&amp;EOMONTH(DATE(YEAR(主页!$D$2),MONTH(主页!$D$2),1),0)),"")</f>
        <v/>
      </c>
    </row>
    <row r="59" spans="1:10" x14ac:dyDescent="0.3">
      <c r="A59" s="150"/>
      <c r="B59" s="150"/>
      <c r="C59" s="150"/>
      <c r="D59" s="150"/>
      <c r="E59" s="140" t="str">
        <f t="shared" si="0"/>
        <v/>
      </c>
      <c r="F59" s="159"/>
      <c r="G59" s="145">
        <f t="shared" si="3"/>
        <v>0</v>
      </c>
      <c r="H59" s="140" t="str">
        <f t="shared" si="2"/>
        <v/>
      </c>
      <c r="I59"/>
      <c r="J59" s="147" t="str">
        <f>IFERROR(SUMIFS(当年实际!$V:$V,当年实际!$F:$F,$C59,当年实际!$C:$C,"&gt;="&amp;DATE(YEAR(主页!$D$2),1,1),当年实际!$C:$C,"&lt;="&amp;EOMONTH(DATE(YEAR(主页!$D$2),MONTH(主页!$D$2),1),0))/SUMIFS(当年实际!$P:$P,当年实际!$F:$F,$C59,当年实际!$C:$C,"&gt;="&amp;DATE(YEAR(主页!$D$2),1,1),当年实际!$C:$C,"&lt;="&amp;EOMONTH(DATE(YEAR(主页!$D$2),MONTH(主页!$D$2),1),0)),"")</f>
        <v/>
      </c>
    </row>
    <row r="60" spans="1:10" x14ac:dyDescent="0.3">
      <c r="A60" s="150"/>
      <c r="B60" s="150"/>
      <c r="C60" s="150"/>
      <c r="D60" s="150"/>
      <c r="E60" s="140" t="str">
        <f t="shared" si="0"/>
        <v/>
      </c>
      <c r="F60" s="159"/>
      <c r="G60" s="145">
        <f t="shared" si="3"/>
        <v>0</v>
      </c>
      <c r="H60" s="140" t="str">
        <f t="shared" si="2"/>
        <v/>
      </c>
      <c r="I60"/>
      <c r="J60" s="147" t="str">
        <f>IFERROR(SUMIFS(当年实际!$V:$V,当年实际!$F:$F,$C60,当年实际!$C:$C,"&gt;="&amp;DATE(YEAR(主页!$D$2),1,1),当年实际!$C:$C,"&lt;="&amp;EOMONTH(DATE(YEAR(主页!$D$2),MONTH(主页!$D$2),1),0))/SUMIFS(当年实际!$P:$P,当年实际!$F:$F,$C60,当年实际!$C:$C,"&gt;="&amp;DATE(YEAR(主页!$D$2),1,1),当年实际!$C:$C,"&lt;="&amp;EOMONTH(DATE(YEAR(主页!$D$2),MONTH(主页!$D$2),1),0)),"")</f>
        <v/>
      </c>
    </row>
    <row r="61" spans="1:10" x14ac:dyDescent="0.3">
      <c r="A61" s="150"/>
      <c r="B61" s="150"/>
      <c r="C61" s="150"/>
      <c r="D61" s="150"/>
      <c r="E61" s="140" t="str">
        <f t="shared" si="0"/>
        <v/>
      </c>
      <c r="F61" s="159"/>
      <c r="G61" s="145">
        <f t="shared" si="3"/>
        <v>0</v>
      </c>
      <c r="H61" s="140" t="str">
        <f t="shared" si="2"/>
        <v/>
      </c>
      <c r="I61"/>
      <c r="J61" s="147" t="str">
        <f>IFERROR(SUMIFS(当年实际!$V:$V,当年实际!$F:$F,$C61,当年实际!$C:$C,"&gt;="&amp;DATE(YEAR(主页!$D$2),1,1),当年实际!$C:$C,"&lt;="&amp;EOMONTH(DATE(YEAR(主页!$D$2),MONTH(主页!$D$2),1),0))/SUMIFS(当年实际!$P:$P,当年实际!$F:$F,$C61,当年实际!$C:$C,"&gt;="&amp;DATE(YEAR(主页!$D$2),1,1),当年实际!$C:$C,"&lt;="&amp;EOMONTH(DATE(YEAR(主页!$D$2),MONTH(主页!$D$2),1),0)),"")</f>
        <v/>
      </c>
    </row>
    <row r="62" spans="1:10" x14ac:dyDescent="0.3">
      <c r="A62" s="150"/>
      <c r="B62" s="150"/>
      <c r="C62" s="150"/>
      <c r="D62" s="150"/>
      <c r="E62" s="140" t="str">
        <f t="shared" si="0"/>
        <v/>
      </c>
      <c r="F62" s="159"/>
      <c r="G62" s="145">
        <f t="shared" si="3"/>
        <v>0</v>
      </c>
      <c r="H62" s="140" t="str">
        <f t="shared" si="2"/>
        <v/>
      </c>
      <c r="I62"/>
      <c r="J62" s="147" t="str">
        <f>IFERROR(SUMIFS(当年实际!$V:$V,当年实际!$F:$F,$C62,当年实际!$C:$C,"&gt;="&amp;DATE(YEAR(主页!$D$2),1,1),当年实际!$C:$C,"&lt;="&amp;EOMONTH(DATE(YEAR(主页!$D$2),MONTH(主页!$D$2),1),0))/SUMIFS(当年实际!$P:$P,当年实际!$F:$F,$C62,当年实际!$C:$C,"&gt;="&amp;DATE(YEAR(主页!$D$2),1,1),当年实际!$C:$C,"&lt;="&amp;EOMONTH(DATE(YEAR(主页!$D$2),MONTH(主页!$D$2),1),0)),"")</f>
        <v/>
      </c>
    </row>
    <row r="63" spans="1:10" x14ac:dyDescent="0.3">
      <c r="A63" s="150"/>
      <c r="B63" s="150"/>
      <c r="C63" s="150"/>
      <c r="D63" s="150"/>
      <c r="E63" s="140" t="str">
        <f t="shared" si="0"/>
        <v/>
      </c>
      <c r="F63" s="159"/>
      <c r="G63" s="145">
        <f t="shared" si="3"/>
        <v>0</v>
      </c>
      <c r="H63" s="140" t="str">
        <f t="shared" si="2"/>
        <v/>
      </c>
      <c r="I63"/>
      <c r="J63" s="147" t="str">
        <f>IFERROR(SUMIFS(当年实际!$V:$V,当年实际!$F:$F,$C63,当年实际!$C:$C,"&gt;="&amp;DATE(YEAR(主页!$D$2),1,1),当年实际!$C:$C,"&lt;="&amp;EOMONTH(DATE(YEAR(主页!$D$2),MONTH(主页!$D$2),1),0))/SUMIFS(当年实际!$P:$P,当年实际!$F:$F,$C63,当年实际!$C:$C,"&gt;="&amp;DATE(YEAR(主页!$D$2),1,1),当年实际!$C:$C,"&lt;="&amp;EOMONTH(DATE(YEAR(主页!$D$2),MONTH(主页!$D$2),1),0)),"")</f>
        <v/>
      </c>
    </row>
    <row r="64" spans="1:10" x14ac:dyDescent="0.3">
      <c r="A64" s="150"/>
      <c r="B64" s="150"/>
      <c r="C64" s="150"/>
      <c r="D64" s="150"/>
      <c r="E64" s="140" t="str">
        <f t="shared" si="0"/>
        <v/>
      </c>
      <c r="F64" s="159"/>
      <c r="G64" s="145">
        <f t="shared" si="3"/>
        <v>0</v>
      </c>
      <c r="H64" s="140" t="str">
        <f t="shared" si="2"/>
        <v/>
      </c>
      <c r="I64"/>
      <c r="J64" s="147" t="str">
        <f>IFERROR(SUMIFS(当年实际!$V:$V,当年实际!$F:$F,$C64,当年实际!$C:$C,"&gt;="&amp;DATE(YEAR(主页!$D$2),1,1),当年实际!$C:$C,"&lt;="&amp;EOMONTH(DATE(YEAR(主页!$D$2),MONTH(主页!$D$2),1),0))/SUMIFS(当年实际!$P:$P,当年实际!$F:$F,$C64,当年实际!$C:$C,"&gt;="&amp;DATE(YEAR(主页!$D$2),1,1),当年实际!$C:$C,"&lt;="&amp;EOMONTH(DATE(YEAR(主页!$D$2),MONTH(主页!$D$2),1),0)),"")</f>
        <v/>
      </c>
    </row>
    <row r="65" spans="1:10" x14ac:dyDescent="0.3">
      <c r="A65" s="150"/>
      <c r="B65" s="150"/>
      <c r="C65" s="150"/>
      <c r="D65" s="150"/>
      <c r="E65" s="140" t="str">
        <f t="shared" si="0"/>
        <v/>
      </c>
      <c r="F65" s="159"/>
      <c r="G65" s="145">
        <f t="shared" si="3"/>
        <v>0</v>
      </c>
      <c r="H65" s="140" t="str">
        <f t="shared" si="2"/>
        <v/>
      </c>
      <c r="I65"/>
      <c r="J65" s="147" t="str">
        <f>IFERROR(SUMIFS(当年实际!$V:$V,当年实际!$F:$F,$C65,当年实际!$C:$C,"&gt;="&amp;DATE(YEAR(主页!$D$2),1,1),当年实际!$C:$C,"&lt;="&amp;EOMONTH(DATE(YEAR(主页!$D$2),MONTH(主页!$D$2),1),0))/SUMIFS(当年实际!$P:$P,当年实际!$F:$F,$C65,当年实际!$C:$C,"&gt;="&amp;DATE(YEAR(主页!$D$2),1,1),当年实际!$C:$C,"&lt;="&amp;EOMONTH(DATE(YEAR(主页!$D$2),MONTH(主页!$D$2),1),0)),"")</f>
        <v/>
      </c>
    </row>
    <row r="66" spans="1:10" x14ac:dyDescent="0.3">
      <c r="A66" s="150"/>
      <c r="B66" s="150"/>
      <c r="C66" s="150"/>
      <c r="D66" s="150"/>
      <c r="E66" s="140" t="str">
        <f t="shared" si="0"/>
        <v/>
      </c>
      <c r="F66" s="159"/>
      <c r="G66" s="145">
        <f t="shared" si="3"/>
        <v>0</v>
      </c>
      <c r="H66" s="140" t="str">
        <f t="shared" si="2"/>
        <v/>
      </c>
      <c r="I66"/>
      <c r="J66" s="147" t="str">
        <f>IFERROR(SUMIFS(当年实际!$V:$V,当年实际!$F:$F,$C66,当年实际!$C:$C,"&gt;="&amp;DATE(YEAR(主页!$D$2),1,1),当年实际!$C:$C,"&lt;="&amp;EOMONTH(DATE(YEAR(主页!$D$2),MONTH(主页!$D$2),1),0))/SUMIFS(当年实际!$P:$P,当年实际!$F:$F,$C66,当年实际!$C:$C,"&gt;="&amp;DATE(YEAR(主页!$D$2),1,1),当年实际!$C:$C,"&lt;="&amp;EOMONTH(DATE(YEAR(主页!$D$2),MONTH(主页!$D$2),1),0)),"")</f>
        <v/>
      </c>
    </row>
    <row r="67" spans="1:10" x14ac:dyDescent="0.3">
      <c r="A67" s="150"/>
      <c r="B67" s="150"/>
      <c r="C67" s="150"/>
      <c r="D67" s="150"/>
      <c r="E67" s="140" t="str">
        <f t="shared" si="0"/>
        <v/>
      </c>
      <c r="F67" s="159"/>
      <c r="G67" s="145">
        <f t="shared" si="3"/>
        <v>0</v>
      </c>
      <c r="H67" s="140" t="str">
        <f t="shared" si="2"/>
        <v/>
      </c>
      <c r="I67"/>
      <c r="J67" s="147" t="str">
        <f>IFERROR(SUMIFS(当年实际!$V:$V,当年实际!$F:$F,$C67,当年实际!$C:$C,"&gt;="&amp;DATE(YEAR(主页!$D$2),1,1),当年实际!$C:$C,"&lt;="&amp;EOMONTH(DATE(YEAR(主页!$D$2),MONTH(主页!$D$2),1),0))/SUMIFS(当年实际!$P:$P,当年实际!$F:$F,$C67,当年实际!$C:$C,"&gt;="&amp;DATE(YEAR(主页!$D$2),1,1),当年实际!$C:$C,"&lt;="&amp;EOMONTH(DATE(YEAR(主页!$D$2),MONTH(主页!$D$2),1),0)),"")</f>
        <v/>
      </c>
    </row>
    <row r="68" spans="1:10" x14ac:dyDescent="0.3">
      <c r="A68" s="150"/>
      <c r="B68" s="150"/>
      <c r="C68" s="150"/>
      <c r="D68" s="150"/>
      <c r="E68" s="140" t="str">
        <f t="shared" ref="E68:E131" si="4">IF(D68/SUM(D:D)=0,"",D68/SUM(D:D))</f>
        <v/>
      </c>
      <c r="F68" s="159"/>
      <c r="G68" s="145">
        <f t="shared" si="3"/>
        <v>0</v>
      </c>
      <c r="H68" s="140" t="str">
        <f t="shared" ref="H68:H131" si="5">IF(G68/SUM(G:G)=0,"",G68/SUM(G:G))</f>
        <v/>
      </c>
      <c r="I68"/>
      <c r="J68" s="147" t="str">
        <f>IFERROR(SUMIFS(当年实际!$V:$V,当年实际!$F:$F,$C68,当年实际!$C:$C,"&gt;="&amp;DATE(YEAR(主页!$D$2),1,1),当年实际!$C:$C,"&lt;="&amp;EOMONTH(DATE(YEAR(主页!$D$2),MONTH(主页!$D$2),1),0))/SUMIFS(当年实际!$P:$P,当年实际!$F:$F,$C68,当年实际!$C:$C,"&gt;="&amp;DATE(YEAR(主页!$D$2),1,1),当年实际!$C:$C,"&lt;="&amp;EOMONTH(DATE(YEAR(主页!$D$2),MONTH(主页!$D$2),1),0)),"")</f>
        <v/>
      </c>
    </row>
    <row r="69" spans="1:10" x14ac:dyDescent="0.3">
      <c r="A69" s="150"/>
      <c r="B69" s="150"/>
      <c r="C69" s="150"/>
      <c r="D69" s="150"/>
      <c r="E69" s="140" t="str">
        <f t="shared" si="4"/>
        <v/>
      </c>
      <c r="F69" s="159"/>
      <c r="G69" s="145">
        <f t="shared" si="3"/>
        <v>0</v>
      </c>
      <c r="H69" s="140" t="str">
        <f t="shared" si="5"/>
        <v/>
      </c>
      <c r="I69"/>
      <c r="J69" s="147" t="str">
        <f>IFERROR(SUMIFS(当年实际!$V:$V,当年实际!$F:$F,$C69,当年实际!$C:$C,"&gt;="&amp;DATE(YEAR(主页!$D$2),1,1),当年实际!$C:$C,"&lt;="&amp;EOMONTH(DATE(YEAR(主页!$D$2),MONTH(主页!$D$2),1),0))/SUMIFS(当年实际!$P:$P,当年实际!$F:$F,$C69,当年实际!$C:$C,"&gt;="&amp;DATE(YEAR(主页!$D$2),1,1),当年实际!$C:$C,"&lt;="&amp;EOMONTH(DATE(YEAR(主页!$D$2),MONTH(主页!$D$2),1),0)),"")</f>
        <v/>
      </c>
    </row>
    <row r="70" spans="1:10" x14ac:dyDescent="0.3">
      <c r="A70" s="150"/>
      <c r="B70" s="150"/>
      <c r="C70" s="150"/>
      <c r="D70" s="150"/>
      <c r="E70" s="140" t="str">
        <f t="shared" si="4"/>
        <v/>
      </c>
      <c r="F70" s="159"/>
      <c r="G70" s="145">
        <f t="shared" si="3"/>
        <v>0</v>
      </c>
      <c r="H70" s="140" t="str">
        <f t="shared" si="5"/>
        <v/>
      </c>
      <c r="I70"/>
      <c r="J70" s="147" t="str">
        <f>IFERROR(SUMIFS(当年实际!$V:$V,当年实际!$F:$F,$C70,当年实际!$C:$C,"&gt;="&amp;DATE(YEAR(主页!$D$2),1,1),当年实际!$C:$C,"&lt;="&amp;EOMONTH(DATE(YEAR(主页!$D$2),MONTH(主页!$D$2),1),0))/SUMIFS(当年实际!$P:$P,当年实际!$F:$F,$C70,当年实际!$C:$C,"&gt;="&amp;DATE(YEAR(主页!$D$2),1,1),当年实际!$C:$C,"&lt;="&amp;EOMONTH(DATE(YEAR(主页!$D$2),MONTH(主页!$D$2),1),0)),"")</f>
        <v/>
      </c>
    </row>
    <row r="71" spans="1:10" x14ac:dyDescent="0.3">
      <c r="A71" s="150"/>
      <c r="B71" s="150"/>
      <c r="C71" s="150"/>
      <c r="D71" s="150"/>
      <c r="E71" s="140" t="str">
        <f t="shared" si="4"/>
        <v/>
      </c>
      <c r="F71" s="159"/>
      <c r="G71" s="145">
        <f t="shared" ref="G71:G134" si="6">D71*F71</f>
        <v>0</v>
      </c>
      <c r="H71" s="140" t="str">
        <f t="shared" si="5"/>
        <v/>
      </c>
      <c r="I71"/>
      <c r="J71" s="147" t="str">
        <f>IFERROR(SUMIFS(当年实际!$V:$V,当年实际!$F:$F,$C71,当年实际!$C:$C,"&gt;="&amp;DATE(YEAR(主页!$D$2),1,1),当年实际!$C:$C,"&lt;="&amp;EOMONTH(DATE(YEAR(主页!$D$2),MONTH(主页!$D$2),1),0))/SUMIFS(当年实际!$P:$P,当年实际!$F:$F,$C71,当年实际!$C:$C,"&gt;="&amp;DATE(YEAR(主页!$D$2),1,1),当年实际!$C:$C,"&lt;="&amp;EOMONTH(DATE(YEAR(主页!$D$2),MONTH(主页!$D$2),1),0)),"")</f>
        <v/>
      </c>
    </row>
    <row r="72" spans="1:10" x14ac:dyDescent="0.3">
      <c r="A72" s="150"/>
      <c r="B72" s="150"/>
      <c r="C72" s="150"/>
      <c r="D72" s="150"/>
      <c r="E72" s="140" t="str">
        <f t="shared" si="4"/>
        <v/>
      </c>
      <c r="F72" s="159"/>
      <c r="G72" s="145">
        <f t="shared" si="6"/>
        <v>0</v>
      </c>
      <c r="H72" s="140" t="str">
        <f t="shared" si="5"/>
        <v/>
      </c>
      <c r="I72"/>
      <c r="J72" s="147" t="str">
        <f>IFERROR(SUMIFS(当年实际!$V:$V,当年实际!$F:$F,$C72,当年实际!$C:$C,"&gt;="&amp;DATE(YEAR(主页!$D$2),1,1),当年实际!$C:$C,"&lt;="&amp;EOMONTH(DATE(YEAR(主页!$D$2),MONTH(主页!$D$2),1),0))/SUMIFS(当年实际!$P:$P,当年实际!$F:$F,$C72,当年实际!$C:$C,"&gt;="&amp;DATE(YEAR(主页!$D$2),1,1),当年实际!$C:$C,"&lt;="&amp;EOMONTH(DATE(YEAR(主页!$D$2),MONTH(主页!$D$2),1),0)),"")</f>
        <v/>
      </c>
    </row>
    <row r="73" spans="1:10" x14ac:dyDescent="0.3">
      <c r="A73" s="150"/>
      <c r="B73" s="150"/>
      <c r="C73" s="150"/>
      <c r="D73" s="150"/>
      <c r="E73" s="140" t="str">
        <f t="shared" si="4"/>
        <v/>
      </c>
      <c r="F73" s="159"/>
      <c r="G73" s="145">
        <f t="shared" si="6"/>
        <v>0</v>
      </c>
      <c r="H73" s="140" t="str">
        <f t="shared" si="5"/>
        <v/>
      </c>
      <c r="I73"/>
      <c r="J73" s="147" t="str">
        <f>IFERROR(SUMIFS(当年实际!$V:$V,当年实际!$F:$F,$C73,当年实际!$C:$C,"&gt;="&amp;DATE(YEAR(主页!$D$2),1,1),当年实际!$C:$C,"&lt;="&amp;EOMONTH(DATE(YEAR(主页!$D$2),MONTH(主页!$D$2),1),0))/SUMIFS(当年实际!$P:$P,当年实际!$F:$F,$C73,当年实际!$C:$C,"&gt;="&amp;DATE(YEAR(主页!$D$2),1,1),当年实际!$C:$C,"&lt;="&amp;EOMONTH(DATE(YEAR(主页!$D$2),MONTH(主页!$D$2),1),0)),"")</f>
        <v/>
      </c>
    </row>
    <row r="74" spans="1:10" x14ac:dyDescent="0.3">
      <c r="A74" s="150"/>
      <c r="B74" s="150"/>
      <c r="C74" s="150"/>
      <c r="D74" s="150"/>
      <c r="E74" s="140" t="str">
        <f t="shared" si="4"/>
        <v/>
      </c>
      <c r="F74" s="159"/>
      <c r="G74" s="145">
        <f t="shared" si="6"/>
        <v>0</v>
      </c>
      <c r="H74" s="140" t="str">
        <f t="shared" si="5"/>
        <v/>
      </c>
      <c r="I74"/>
      <c r="J74" s="147" t="str">
        <f>IFERROR(SUMIFS(当年实际!$V:$V,当年实际!$F:$F,$C74,当年实际!$C:$C,"&gt;="&amp;DATE(YEAR(主页!$D$2),1,1),当年实际!$C:$C,"&lt;="&amp;EOMONTH(DATE(YEAR(主页!$D$2),MONTH(主页!$D$2),1),0))/SUMIFS(当年实际!$P:$P,当年实际!$F:$F,$C74,当年实际!$C:$C,"&gt;="&amp;DATE(YEAR(主页!$D$2),1,1),当年实际!$C:$C,"&lt;="&amp;EOMONTH(DATE(YEAR(主页!$D$2),MONTH(主页!$D$2),1),0)),"")</f>
        <v/>
      </c>
    </row>
    <row r="75" spans="1:10" x14ac:dyDescent="0.3">
      <c r="A75" s="150"/>
      <c r="B75" s="150"/>
      <c r="C75" s="150"/>
      <c r="D75" s="150"/>
      <c r="E75" s="140" t="str">
        <f t="shared" si="4"/>
        <v/>
      </c>
      <c r="F75" s="159"/>
      <c r="G75" s="145">
        <f t="shared" si="6"/>
        <v>0</v>
      </c>
      <c r="H75" s="140" t="str">
        <f t="shared" si="5"/>
        <v/>
      </c>
      <c r="I75"/>
      <c r="J75" s="147" t="str">
        <f>IFERROR(SUMIFS(当年实际!$V:$V,当年实际!$F:$F,$C75,当年实际!$C:$C,"&gt;="&amp;DATE(YEAR(主页!$D$2),1,1),当年实际!$C:$C,"&lt;="&amp;EOMONTH(DATE(YEAR(主页!$D$2),MONTH(主页!$D$2),1),0))/SUMIFS(当年实际!$P:$P,当年实际!$F:$F,$C75,当年实际!$C:$C,"&gt;="&amp;DATE(YEAR(主页!$D$2),1,1),当年实际!$C:$C,"&lt;="&amp;EOMONTH(DATE(YEAR(主页!$D$2),MONTH(主页!$D$2),1),0)),"")</f>
        <v/>
      </c>
    </row>
    <row r="76" spans="1:10" x14ac:dyDescent="0.3">
      <c r="A76" s="150"/>
      <c r="B76" s="150"/>
      <c r="C76" s="150"/>
      <c r="D76" s="150"/>
      <c r="E76" s="140" t="str">
        <f t="shared" si="4"/>
        <v/>
      </c>
      <c r="F76" s="159"/>
      <c r="G76" s="145">
        <f t="shared" si="6"/>
        <v>0</v>
      </c>
      <c r="H76" s="140" t="str">
        <f t="shared" si="5"/>
        <v/>
      </c>
      <c r="I76"/>
      <c r="J76" s="147" t="str">
        <f>IFERROR(SUMIFS(当年实际!$V:$V,当年实际!$F:$F,$C76,当年实际!$C:$C,"&gt;="&amp;DATE(YEAR(主页!$D$2),1,1),当年实际!$C:$C,"&lt;="&amp;EOMONTH(DATE(YEAR(主页!$D$2),MONTH(主页!$D$2),1),0))/SUMIFS(当年实际!$P:$P,当年实际!$F:$F,$C76,当年实际!$C:$C,"&gt;="&amp;DATE(YEAR(主页!$D$2),1,1),当年实际!$C:$C,"&lt;="&amp;EOMONTH(DATE(YEAR(主页!$D$2),MONTH(主页!$D$2),1),0)),"")</f>
        <v/>
      </c>
    </row>
    <row r="77" spans="1:10" x14ac:dyDescent="0.3">
      <c r="A77" s="150"/>
      <c r="B77" s="150"/>
      <c r="C77" s="150"/>
      <c r="D77" s="150"/>
      <c r="E77" s="140" t="str">
        <f t="shared" si="4"/>
        <v/>
      </c>
      <c r="F77" s="159"/>
      <c r="G77" s="145">
        <f t="shared" si="6"/>
        <v>0</v>
      </c>
      <c r="H77" s="140" t="str">
        <f t="shared" si="5"/>
        <v/>
      </c>
      <c r="I77"/>
      <c r="J77" s="147" t="str">
        <f>IFERROR(SUMIFS(当年实际!$V:$V,当年实际!$F:$F,$C77,当年实际!$C:$C,"&gt;="&amp;DATE(YEAR(主页!$D$2),1,1),当年实际!$C:$C,"&lt;="&amp;EOMONTH(DATE(YEAR(主页!$D$2),MONTH(主页!$D$2),1),0))/SUMIFS(当年实际!$P:$P,当年实际!$F:$F,$C77,当年实际!$C:$C,"&gt;="&amp;DATE(YEAR(主页!$D$2),1,1),当年实际!$C:$C,"&lt;="&amp;EOMONTH(DATE(YEAR(主页!$D$2),MONTH(主页!$D$2),1),0)),"")</f>
        <v/>
      </c>
    </row>
    <row r="78" spans="1:10" x14ac:dyDescent="0.3">
      <c r="A78" s="150"/>
      <c r="B78" s="150"/>
      <c r="C78" s="150"/>
      <c r="D78" s="150"/>
      <c r="E78" s="140" t="str">
        <f t="shared" si="4"/>
        <v/>
      </c>
      <c r="F78" s="159"/>
      <c r="G78" s="145">
        <f t="shared" si="6"/>
        <v>0</v>
      </c>
      <c r="H78" s="140" t="str">
        <f t="shared" si="5"/>
        <v/>
      </c>
      <c r="I78"/>
      <c r="J78" s="147" t="str">
        <f>IFERROR(SUMIFS(当年实际!$V:$V,当年实际!$F:$F,$C78,当年实际!$C:$C,"&gt;="&amp;DATE(YEAR(主页!$D$2),1,1),当年实际!$C:$C,"&lt;="&amp;EOMONTH(DATE(YEAR(主页!$D$2),MONTH(主页!$D$2),1),0))/SUMIFS(当年实际!$P:$P,当年实际!$F:$F,$C78,当年实际!$C:$C,"&gt;="&amp;DATE(YEAR(主页!$D$2),1,1),当年实际!$C:$C,"&lt;="&amp;EOMONTH(DATE(YEAR(主页!$D$2),MONTH(主页!$D$2),1),0)),"")</f>
        <v/>
      </c>
    </row>
    <row r="79" spans="1:10" x14ac:dyDescent="0.3">
      <c r="A79" s="150"/>
      <c r="B79" s="150"/>
      <c r="C79" s="150"/>
      <c r="D79" s="150"/>
      <c r="E79" s="140" t="str">
        <f t="shared" si="4"/>
        <v/>
      </c>
      <c r="F79" s="159"/>
      <c r="G79" s="145">
        <f t="shared" si="6"/>
        <v>0</v>
      </c>
      <c r="H79" s="140" t="str">
        <f t="shared" si="5"/>
        <v/>
      </c>
      <c r="I79"/>
      <c r="J79" s="147" t="str">
        <f>IFERROR(SUMIFS(当年实际!$V:$V,当年实际!$F:$F,$C79,当年实际!$C:$C,"&gt;="&amp;DATE(YEAR(主页!$D$2),1,1),当年实际!$C:$C,"&lt;="&amp;EOMONTH(DATE(YEAR(主页!$D$2),MONTH(主页!$D$2),1),0))/SUMIFS(当年实际!$P:$P,当年实际!$F:$F,$C79,当年实际!$C:$C,"&gt;="&amp;DATE(YEAR(主页!$D$2),1,1),当年实际!$C:$C,"&lt;="&amp;EOMONTH(DATE(YEAR(主页!$D$2),MONTH(主页!$D$2),1),0)),"")</f>
        <v/>
      </c>
    </row>
    <row r="80" spans="1:10" x14ac:dyDescent="0.3">
      <c r="A80" s="150"/>
      <c r="B80" s="150"/>
      <c r="C80" s="150"/>
      <c r="D80" s="150"/>
      <c r="E80" s="140" t="str">
        <f t="shared" si="4"/>
        <v/>
      </c>
      <c r="F80" s="159"/>
      <c r="G80" s="145">
        <f t="shared" si="6"/>
        <v>0</v>
      </c>
      <c r="H80" s="140" t="str">
        <f t="shared" si="5"/>
        <v/>
      </c>
      <c r="I80"/>
      <c r="J80" s="147" t="str">
        <f>IFERROR(SUMIFS(当年实际!$V:$V,当年实际!$F:$F,$C80,当年实际!$C:$C,"&gt;="&amp;DATE(YEAR(主页!$D$2),1,1),当年实际!$C:$C,"&lt;="&amp;EOMONTH(DATE(YEAR(主页!$D$2),MONTH(主页!$D$2),1),0))/SUMIFS(当年实际!$P:$P,当年实际!$F:$F,$C80,当年实际!$C:$C,"&gt;="&amp;DATE(YEAR(主页!$D$2),1,1),当年实际!$C:$C,"&lt;="&amp;EOMONTH(DATE(YEAR(主页!$D$2),MONTH(主页!$D$2),1),0)),"")</f>
        <v/>
      </c>
    </row>
    <row r="81" spans="1:10" x14ac:dyDescent="0.3">
      <c r="A81" s="150"/>
      <c r="B81" s="150"/>
      <c r="C81" s="150"/>
      <c r="D81" s="150"/>
      <c r="E81" s="140" t="str">
        <f t="shared" si="4"/>
        <v/>
      </c>
      <c r="F81" s="159"/>
      <c r="G81" s="145">
        <f t="shared" si="6"/>
        <v>0</v>
      </c>
      <c r="H81" s="140" t="str">
        <f t="shared" si="5"/>
        <v/>
      </c>
      <c r="I81"/>
      <c r="J81" s="147" t="str">
        <f>IFERROR(SUMIFS(当年实际!$V:$V,当年实际!$F:$F,$C81,当年实际!$C:$C,"&gt;="&amp;DATE(YEAR(主页!$D$2),1,1),当年实际!$C:$C,"&lt;="&amp;EOMONTH(DATE(YEAR(主页!$D$2),MONTH(主页!$D$2),1),0))/SUMIFS(当年实际!$P:$P,当年实际!$F:$F,$C81,当年实际!$C:$C,"&gt;="&amp;DATE(YEAR(主页!$D$2),1,1),当年实际!$C:$C,"&lt;="&amp;EOMONTH(DATE(YEAR(主页!$D$2),MONTH(主页!$D$2),1),0)),"")</f>
        <v/>
      </c>
    </row>
    <row r="82" spans="1:10" x14ac:dyDescent="0.3">
      <c r="A82" s="150"/>
      <c r="B82" s="150"/>
      <c r="C82" s="150"/>
      <c r="D82" s="150"/>
      <c r="E82" s="140" t="str">
        <f t="shared" si="4"/>
        <v/>
      </c>
      <c r="F82" s="159"/>
      <c r="G82" s="145">
        <f t="shared" si="6"/>
        <v>0</v>
      </c>
      <c r="H82" s="140" t="str">
        <f t="shared" si="5"/>
        <v/>
      </c>
      <c r="I82"/>
      <c r="J82" s="147" t="str">
        <f>IFERROR(SUMIFS(当年实际!$V:$V,当年实际!$F:$F,$C82,当年实际!$C:$C,"&gt;="&amp;DATE(YEAR(主页!$D$2),1,1),当年实际!$C:$C,"&lt;="&amp;EOMONTH(DATE(YEAR(主页!$D$2),MONTH(主页!$D$2),1),0))/SUMIFS(当年实际!$P:$P,当年实际!$F:$F,$C82,当年实际!$C:$C,"&gt;="&amp;DATE(YEAR(主页!$D$2),1,1),当年实际!$C:$C,"&lt;="&amp;EOMONTH(DATE(YEAR(主页!$D$2),MONTH(主页!$D$2),1),0)),"")</f>
        <v/>
      </c>
    </row>
    <row r="83" spans="1:10" x14ac:dyDescent="0.3">
      <c r="A83" s="150"/>
      <c r="B83" s="150"/>
      <c r="C83" s="150"/>
      <c r="D83" s="150"/>
      <c r="E83" s="140" t="str">
        <f t="shared" si="4"/>
        <v/>
      </c>
      <c r="F83" s="159"/>
      <c r="G83" s="145">
        <f t="shared" si="6"/>
        <v>0</v>
      </c>
      <c r="H83" s="140" t="str">
        <f t="shared" si="5"/>
        <v/>
      </c>
      <c r="I83"/>
      <c r="J83" s="147" t="str">
        <f>IFERROR(SUMIFS(当年实际!$V:$V,当年实际!$F:$F,$C83,当年实际!$C:$C,"&gt;="&amp;DATE(YEAR(主页!$D$2),1,1),当年实际!$C:$C,"&lt;="&amp;EOMONTH(DATE(YEAR(主页!$D$2),MONTH(主页!$D$2),1),0))/SUMIFS(当年实际!$P:$P,当年实际!$F:$F,$C83,当年实际!$C:$C,"&gt;="&amp;DATE(YEAR(主页!$D$2),1,1),当年实际!$C:$C,"&lt;="&amp;EOMONTH(DATE(YEAR(主页!$D$2),MONTH(主页!$D$2),1),0)),"")</f>
        <v/>
      </c>
    </row>
    <row r="84" spans="1:10" x14ac:dyDescent="0.3">
      <c r="A84" s="150"/>
      <c r="B84" s="150"/>
      <c r="C84" s="150"/>
      <c r="D84" s="150"/>
      <c r="E84" s="140" t="str">
        <f t="shared" si="4"/>
        <v/>
      </c>
      <c r="F84" s="159"/>
      <c r="G84" s="145">
        <f t="shared" si="6"/>
        <v>0</v>
      </c>
      <c r="H84" s="140" t="str">
        <f t="shared" si="5"/>
        <v/>
      </c>
      <c r="I84"/>
      <c r="J84" s="147" t="str">
        <f>IFERROR(SUMIFS(当年实际!$V:$V,当年实际!$F:$F,$C84,当年实际!$C:$C,"&gt;="&amp;DATE(YEAR(主页!$D$2),1,1),当年实际!$C:$C,"&lt;="&amp;EOMONTH(DATE(YEAR(主页!$D$2),MONTH(主页!$D$2),1),0))/SUMIFS(当年实际!$P:$P,当年实际!$F:$F,$C84,当年实际!$C:$C,"&gt;="&amp;DATE(YEAR(主页!$D$2),1,1),当年实际!$C:$C,"&lt;="&amp;EOMONTH(DATE(YEAR(主页!$D$2),MONTH(主页!$D$2),1),0)),"")</f>
        <v/>
      </c>
    </row>
    <row r="85" spans="1:10" x14ac:dyDescent="0.3">
      <c r="A85" s="150"/>
      <c r="B85" s="150"/>
      <c r="C85" s="150"/>
      <c r="D85" s="150"/>
      <c r="E85" s="140" t="str">
        <f t="shared" si="4"/>
        <v/>
      </c>
      <c r="F85" s="159"/>
      <c r="G85" s="145">
        <f t="shared" si="6"/>
        <v>0</v>
      </c>
      <c r="H85" s="140" t="str">
        <f t="shared" si="5"/>
        <v/>
      </c>
      <c r="I85"/>
      <c r="J85" s="147" t="str">
        <f>IFERROR(SUMIFS(当年实际!$V:$V,当年实际!$F:$F,$C85,当年实际!$C:$C,"&gt;="&amp;DATE(YEAR(主页!$D$2),1,1),当年实际!$C:$C,"&lt;="&amp;EOMONTH(DATE(YEAR(主页!$D$2),MONTH(主页!$D$2),1),0))/SUMIFS(当年实际!$P:$P,当年实际!$F:$F,$C85,当年实际!$C:$C,"&gt;="&amp;DATE(YEAR(主页!$D$2),1,1),当年实际!$C:$C,"&lt;="&amp;EOMONTH(DATE(YEAR(主页!$D$2),MONTH(主页!$D$2),1),0)),"")</f>
        <v/>
      </c>
    </row>
    <row r="86" spans="1:10" x14ac:dyDescent="0.3">
      <c r="A86" s="150"/>
      <c r="B86" s="150"/>
      <c r="C86" s="150"/>
      <c r="D86" s="150"/>
      <c r="E86" s="140" t="str">
        <f t="shared" si="4"/>
        <v/>
      </c>
      <c r="F86" s="159"/>
      <c r="G86" s="145">
        <f t="shared" si="6"/>
        <v>0</v>
      </c>
      <c r="H86" s="140" t="str">
        <f t="shared" si="5"/>
        <v/>
      </c>
      <c r="I86"/>
      <c r="J86" s="147" t="str">
        <f>IFERROR(SUMIFS(当年实际!$V:$V,当年实际!$F:$F,$C86,当年实际!$C:$C,"&gt;="&amp;DATE(YEAR(主页!$D$2),1,1),当年实际!$C:$C,"&lt;="&amp;EOMONTH(DATE(YEAR(主页!$D$2),MONTH(主页!$D$2),1),0))/SUMIFS(当年实际!$P:$P,当年实际!$F:$F,$C86,当年实际!$C:$C,"&gt;="&amp;DATE(YEAR(主页!$D$2),1,1),当年实际!$C:$C,"&lt;="&amp;EOMONTH(DATE(YEAR(主页!$D$2),MONTH(主页!$D$2),1),0)),"")</f>
        <v/>
      </c>
    </row>
    <row r="87" spans="1:10" x14ac:dyDescent="0.3">
      <c r="A87" s="150"/>
      <c r="B87" s="150"/>
      <c r="C87" s="150"/>
      <c r="D87" s="150"/>
      <c r="E87" s="140" t="str">
        <f t="shared" si="4"/>
        <v/>
      </c>
      <c r="F87" s="159"/>
      <c r="G87" s="145">
        <f t="shared" si="6"/>
        <v>0</v>
      </c>
      <c r="H87" s="140" t="str">
        <f t="shared" si="5"/>
        <v/>
      </c>
      <c r="I87"/>
      <c r="J87" s="147" t="str">
        <f>IFERROR(SUMIFS(当年实际!$V:$V,当年实际!$F:$F,$C87,当年实际!$C:$C,"&gt;="&amp;DATE(YEAR(主页!$D$2),1,1),当年实际!$C:$C,"&lt;="&amp;EOMONTH(DATE(YEAR(主页!$D$2),MONTH(主页!$D$2),1),0))/SUMIFS(当年实际!$P:$P,当年实际!$F:$F,$C87,当年实际!$C:$C,"&gt;="&amp;DATE(YEAR(主页!$D$2),1,1),当年实际!$C:$C,"&lt;="&amp;EOMONTH(DATE(YEAR(主页!$D$2),MONTH(主页!$D$2),1),0)),"")</f>
        <v/>
      </c>
    </row>
    <row r="88" spans="1:10" x14ac:dyDescent="0.3">
      <c r="A88" s="150"/>
      <c r="B88" s="150"/>
      <c r="C88" s="150"/>
      <c r="D88" s="150"/>
      <c r="E88" s="140" t="str">
        <f t="shared" si="4"/>
        <v/>
      </c>
      <c r="F88" s="159"/>
      <c r="G88" s="145">
        <f t="shared" si="6"/>
        <v>0</v>
      </c>
      <c r="H88" s="140" t="str">
        <f t="shared" si="5"/>
        <v/>
      </c>
      <c r="I88"/>
      <c r="J88" s="147" t="str">
        <f>IFERROR(SUMIFS(当年实际!$V:$V,当年实际!$F:$F,$C88,当年实际!$C:$C,"&gt;="&amp;DATE(YEAR(主页!$D$2),1,1),当年实际!$C:$C,"&lt;="&amp;EOMONTH(DATE(YEAR(主页!$D$2),MONTH(主页!$D$2),1),0))/SUMIFS(当年实际!$P:$P,当年实际!$F:$F,$C88,当年实际!$C:$C,"&gt;="&amp;DATE(YEAR(主页!$D$2),1,1),当年实际!$C:$C,"&lt;="&amp;EOMONTH(DATE(YEAR(主页!$D$2),MONTH(主页!$D$2),1),0)),"")</f>
        <v/>
      </c>
    </row>
    <row r="89" spans="1:10" x14ac:dyDescent="0.3">
      <c r="A89" s="150"/>
      <c r="B89" s="150"/>
      <c r="C89" s="150"/>
      <c r="D89" s="150"/>
      <c r="E89" s="140" t="str">
        <f t="shared" si="4"/>
        <v/>
      </c>
      <c r="F89" s="159"/>
      <c r="G89" s="145">
        <f t="shared" si="6"/>
        <v>0</v>
      </c>
      <c r="H89" s="140" t="str">
        <f t="shared" si="5"/>
        <v/>
      </c>
      <c r="I89"/>
      <c r="J89" s="147" t="str">
        <f>IFERROR(SUMIFS(当年实际!$V:$V,当年实际!$F:$F,$C89,当年实际!$C:$C,"&gt;="&amp;DATE(YEAR(主页!$D$2),1,1),当年实际!$C:$C,"&lt;="&amp;EOMONTH(DATE(YEAR(主页!$D$2),MONTH(主页!$D$2),1),0))/SUMIFS(当年实际!$P:$P,当年实际!$F:$F,$C89,当年实际!$C:$C,"&gt;="&amp;DATE(YEAR(主页!$D$2),1,1),当年实际!$C:$C,"&lt;="&amp;EOMONTH(DATE(YEAR(主页!$D$2),MONTH(主页!$D$2),1),0)),"")</f>
        <v/>
      </c>
    </row>
    <row r="90" spans="1:10" x14ac:dyDescent="0.3">
      <c r="A90" s="150"/>
      <c r="B90" s="150"/>
      <c r="C90" s="150"/>
      <c r="D90" s="150"/>
      <c r="E90" s="140" t="str">
        <f t="shared" si="4"/>
        <v/>
      </c>
      <c r="F90" s="159"/>
      <c r="G90" s="145">
        <f t="shared" si="6"/>
        <v>0</v>
      </c>
      <c r="H90" s="140" t="str">
        <f t="shared" si="5"/>
        <v/>
      </c>
      <c r="I90"/>
      <c r="J90" s="147" t="str">
        <f>IFERROR(SUMIFS(当年实际!$V:$V,当年实际!$F:$F,$C90,当年实际!$C:$C,"&gt;="&amp;DATE(YEAR(主页!$D$2),1,1),当年实际!$C:$C,"&lt;="&amp;EOMONTH(DATE(YEAR(主页!$D$2),MONTH(主页!$D$2),1),0))/SUMIFS(当年实际!$P:$P,当年实际!$F:$F,$C90,当年实际!$C:$C,"&gt;="&amp;DATE(YEAR(主页!$D$2),1,1),当年实际!$C:$C,"&lt;="&amp;EOMONTH(DATE(YEAR(主页!$D$2),MONTH(主页!$D$2),1),0)),"")</f>
        <v/>
      </c>
    </row>
    <row r="91" spans="1:10" x14ac:dyDescent="0.3">
      <c r="A91" s="150"/>
      <c r="B91" s="150"/>
      <c r="C91" s="150"/>
      <c r="D91" s="150"/>
      <c r="E91" s="140" t="str">
        <f t="shared" si="4"/>
        <v/>
      </c>
      <c r="F91" s="159"/>
      <c r="G91" s="145">
        <f t="shared" si="6"/>
        <v>0</v>
      </c>
      <c r="H91" s="140" t="str">
        <f t="shared" si="5"/>
        <v/>
      </c>
      <c r="I91"/>
      <c r="J91" s="147" t="str">
        <f>IFERROR(SUMIFS(当年实际!$V:$V,当年实际!$F:$F,$C91,当年实际!$C:$C,"&gt;="&amp;DATE(YEAR(主页!$D$2),1,1),当年实际!$C:$C,"&lt;="&amp;EOMONTH(DATE(YEAR(主页!$D$2),MONTH(主页!$D$2),1),0))/SUMIFS(当年实际!$P:$P,当年实际!$F:$F,$C91,当年实际!$C:$C,"&gt;="&amp;DATE(YEAR(主页!$D$2),1,1),当年实际!$C:$C,"&lt;="&amp;EOMONTH(DATE(YEAR(主页!$D$2),MONTH(主页!$D$2),1),0)),"")</f>
        <v/>
      </c>
    </row>
    <row r="92" spans="1:10" x14ac:dyDescent="0.3">
      <c r="A92" s="150"/>
      <c r="B92" s="150"/>
      <c r="C92" s="150"/>
      <c r="D92" s="150"/>
      <c r="E92" s="140" t="str">
        <f t="shared" si="4"/>
        <v/>
      </c>
      <c r="F92" s="159"/>
      <c r="G92" s="145">
        <f t="shared" si="6"/>
        <v>0</v>
      </c>
      <c r="H92" s="140" t="str">
        <f t="shared" si="5"/>
        <v/>
      </c>
      <c r="I92"/>
      <c r="J92" s="147" t="str">
        <f>IFERROR(SUMIFS(当年实际!$V:$V,当年实际!$F:$F,$C92,当年实际!$C:$C,"&gt;="&amp;DATE(YEAR(主页!$D$2),1,1),当年实际!$C:$C,"&lt;="&amp;EOMONTH(DATE(YEAR(主页!$D$2),MONTH(主页!$D$2),1),0))/SUMIFS(当年实际!$P:$P,当年实际!$F:$F,$C92,当年实际!$C:$C,"&gt;="&amp;DATE(YEAR(主页!$D$2),1,1),当年实际!$C:$C,"&lt;="&amp;EOMONTH(DATE(YEAR(主页!$D$2),MONTH(主页!$D$2),1),0)),"")</f>
        <v/>
      </c>
    </row>
    <row r="93" spans="1:10" x14ac:dyDescent="0.3">
      <c r="A93" s="150"/>
      <c r="B93" s="150"/>
      <c r="C93" s="150"/>
      <c r="D93" s="150"/>
      <c r="E93" s="140" t="str">
        <f t="shared" si="4"/>
        <v/>
      </c>
      <c r="F93" s="159"/>
      <c r="G93" s="145">
        <f t="shared" si="6"/>
        <v>0</v>
      </c>
      <c r="H93" s="140" t="str">
        <f t="shared" si="5"/>
        <v/>
      </c>
      <c r="I93"/>
      <c r="J93" s="147" t="str">
        <f>IFERROR(SUMIFS(当年实际!$V:$V,当年实际!$F:$F,$C93,当年实际!$C:$C,"&gt;="&amp;DATE(YEAR(主页!$D$2),1,1),当年实际!$C:$C,"&lt;="&amp;EOMONTH(DATE(YEAR(主页!$D$2),MONTH(主页!$D$2),1),0))/SUMIFS(当年实际!$P:$P,当年实际!$F:$F,$C93,当年实际!$C:$C,"&gt;="&amp;DATE(YEAR(主页!$D$2),1,1),当年实际!$C:$C,"&lt;="&amp;EOMONTH(DATE(YEAR(主页!$D$2),MONTH(主页!$D$2),1),0)),"")</f>
        <v/>
      </c>
    </row>
    <row r="94" spans="1:10" x14ac:dyDescent="0.3">
      <c r="A94" s="150"/>
      <c r="B94" s="150"/>
      <c r="C94" s="150"/>
      <c r="D94" s="150"/>
      <c r="E94" s="140" t="str">
        <f t="shared" si="4"/>
        <v/>
      </c>
      <c r="F94" s="159"/>
      <c r="G94" s="145">
        <f t="shared" si="6"/>
        <v>0</v>
      </c>
      <c r="H94" s="140" t="str">
        <f t="shared" si="5"/>
        <v/>
      </c>
      <c r="I94"/>
      <c r="J94" s="147" t="str">
        <f>IFERROR(SUMIFS(当年实际!$V:$V,当年实际!$F:$F,$C94,当年实际!$C:$C,"&gt;="&amp;DATE(YEAR(主页!$D$2),1,1),当年实际!$C:$C,"&lt;="&amp;EOMONTH(DATE(YEAR(主页!$D$2),MONTH(主页!$D$2),1),0))/SUMIFS(当年实际!$P:$P,当年实际!$F:$F,$C94,当年实际!$C:$C,"&gt;="&amp;DATE(YEAR(主页!$D$2),1,1),当年实际!$C:$C,"&lt;="&amp;EOMONTH(DATE(YEAR(主页!$D$2),MONTH(主页!$D$2),1),0)),"")</f>
        <v/>
      </c>
    </row>
    <row r="95" spans="1:10" x14ac:dyDescent="0.3">
      <c r="A95" s="150"/>
      <c r="B95" s="150"/>
      <c r="C95" s="150"/>
      <c r="D95" s="150"/>
      <c r="E95" s="140" t="str">
        <f t="shared" si="4"/>
        <v/>
      </c>
      <c r="F95" s="159"/>
      <c r="G95" s="145">
        <f t="shared" si="6"/>
        <v>0</v>
      </c>
      <c r="H95" s="140" t="str">
        <f t="shared" si="5"/>
        <v/>
      </c>
      <c r="I95"/>
      <c r="J95" s="147" t="str">
        <f>IFERROR(SUMIFS(当年实际!$V:$V,当年实际!$F:$F,$C95,当年实际!$C:$C,"&gt;="&amp;DATE(YEAR(主页!$D$2),1,1),当年实际!$C:$C,"&lt;="&amp;EOMONTH(DATE(YEAR(主页!$D$2),MONTH(主页!$D$2),1),0))/SUMIFS(当年实际!$P:$P,当年实际!$F:$F,$C95,当年实际!$C:$C,"&gt;="&amp;DATE(YEAR(主页!$D$2),1,1),当年实际!$C:$C,"&lt;="&amp;EOMONTH(DATE(YEAR(主页!$D$2),MONTH(主页!$D$2),1),0)),"")</f>
        <v/>
      </c>
    </row>
    <row r="96" spans="1:10" x14ac:dyDescent="0.3">
      <c r="A96" s="150"/>
      <c r="B96" s="150"/>
      <c r="C96" s="150"/>
      <c r="D96" s="150"/>
      <c r="E96" s="140" t="str">
        <f t="shared" si="4"/>
        <v/>
      </c>
      <c r="F96" s="159"/>
      <c r="G96" s="145">
        <f t="shared" si="6"/>
        <v>0</v>
      </c>
      <c r="H96" s="140" t="str">
        <f t="shared" si="5"/>
        <v/>
      </c>
      <c r="I96"/>
      <c r="J96" s="147" t="str">
        <f>IFERROR(SUMIFS(当年实际!$V:$V,当年实际!$F:$F,$C96,当年实际!$C:$C,"&gt;="&amp;DATE(YEAR(主页!$D$2),1,1),当年实际!$C:$C,"&lt;="&amp;EOMONTH(DATE(YEAR(主页!$D$2),MONTH(主页!$D$2),1),0))/SUMIFS(当年实际!$P:$P,当年实际!$F:$F,$C96,当年实际!$C:$C,"&gt;="&amp;DATE(YEAR(主页!$D$2),1,1),当年实际!$C:$C,"&lt;="&amp;EOMONTH(DATE(YEAR(主页!$D$2),MONTH(主页!$D$2),1),0)),"")</f>
        <v/>
      </c>
    </row>
    <row r="97" spans="1:10" x14ac:dyDescent="0.3">
      <c r="A97" s="150"/>
      <c r="B97" s="150"/>
      <c r="C97" s="150"/>
      <c r="D97" s="150"/>
      <c r="E97" s="140" t="str">
        <f t="shared" si="4"/>
        <v/>
      </c>
      <c r="F97" s="159"/>
      <c r="G97" s="145">
        <f t="shared" si="6"/>
        <v>0</v>
      </c>
      <c r="H97" s="140" t="str">
        <f t="shared" si="5"/>
        <v/>
      </c>
      <c r="I97"/>
      <c r="J97" s="147" t="str">
        <f>IFERROR(SUMIFS(当年实际!$V:$V,当年实际!$F:$F,$C97,当年实际!$C:$C,"&gt;="&amp;DATE(YEAR(主页!$D$2),1,1),当年实际!$C:$C,"&lt;="&amp;EOMONTH(DATE(YEAR(主页!$D$2),MONTH(主页!$D$2),1),0))/SUMIFS(当年实际!$P:$P,当年实际!$F:$F,$C97,当年实际!$C:$C,"&gt;="&amp;DATE(YEAR(主页!$D$2),1,1),当年实际!$C:$C,"&lt;="&amp;EOMONTH(DATE(YEAR(主页!$D$2),MONTH(主页!$D$2),1),0)),"")</f>
        <v/>
      </c>
    </row>
    <row r="98" spans="1:10" x14ac:dyDescent="0.3">
      <c r="A98" s="150"/>
      <c r="B98" s="150"/>
      <c r="C98" s="150"/>
      <c r="D98" s="150"/>
      <c r="E98" s="140" t="str">
        <f t="shared" si="4"/>
        <v/>
      </c>
      <c r="F98" s="159"/>
      <c r="G98" s="145">
        <f t="shared" si="6"/>
        <v>0</v>
      </c>
      <c r="H98" s="140" t="str">
        <f t="shared" si="5"/>
        <v/>
      </c>
      <c r="I98"/>
      <c r="J98" s="147" t="str">
        <f>IFERROR(SUMIFS(当年实际!$V:$V,当年实际!$F:$F,$C98,当年实际!$C:$C,"&gt;="&amp;DATE(YEAR(主页!$D$2),1,1),当年实际!$C:$C,"&lt;="&amp;EOMONTH(DATE(YEAR(主页!$D$2),MONTH(主页!$D$2),1),0))/SUMIFS(当年实际!$P:$P,当年实际!$F:$F,$C98,当年实际!$C:$C,"&gt;="&amp;DATE(YEAR(主页!$D$2),1,1),当年实际!$C:$C,"&lt;="&amp;EOMONTH(DATE(YEAR(主页!$D$2),MONTH(主页!$D$2),1),0)),"")</f>
        <v/>
      </c>
    </row>
    <row r="99" spans="1:10" x14ac:dyDescent="0.3">
      <c r="A99" s="150"/>
      <c r="B99" s="150"/>
      <c r="C99" s="150"/>
      <c r="D99" s="150"/>
      <c r="E99" s="140" t="str">
        <f t="shared" si="4"/>
        <v/>
      </c>
      <c r="F99" s="159"/>
      <c r="G99" s="145">
        <f t="shared" si="6"/>
        <v>0</v>
      </c>
      <c r="H99" s="140" t="str">
        <f t="shared" si="5"/>
        <v/>
      </c>
      <c r="I99"/>
      <c r="J99" s="147" t="str">
        <f>IFERROR(SUMIFS(当年实际!$V:$V,当年实际!$F:$F,$C99,当年实际!$C:$C,"&gt;="&amp;DATE(YEAR(主页!$D$2),1,1),当年实际!$C:$C,"&lt;="&amp;EOMONTH(DATE(YEAR(主页!$D$2),MONTH(主页!$D$2),1),0))/SUMIFS(当年实际!$P:$P,当年实际!$F:$F,$C99,当年实际!$C:$C,"&gt;="&amp;DATE(YEAR(主页!$D$2),1,1),当年实际!$C:$C,"&lt;="&amp;EOMONTH(DATE(YEAR(主页!$D$2),MONTH(主页!$D$2),1),0)),"")</f>
        <v/>
      </c>
    </row>
    <row r="100" spans="1:10" x14ac:dyDescent="0.3">
      <c r="A100" s="150"/>
      <c r="B100" s="150"/>
      <c r="C100" s="150"/>
      <c r="D100" s="150"/>
      <c r="E100" s="140" t="str">
        <f t="shared" si="4"/>
        <v/>
      </c>
      <c r="F100" s="159"/>
      <c r="G100" s="145">
        <f t="shared" si="6"/>
        <v>0</v>
      </c>
      <c r="H100" s="140" t="str">
        <f t="shared" si="5"/>
        <v/>
      </c>
      <c r="I100"/>
      <c r="J100" s="147" t="str">
        <f>IFERROR(SUMIFS(当年实际!$V:$V,当年实际!$F:$F,$C100,当年实际!$C:$C,"&gt;="&amp;DATE(YEAR(主页!$D$2),1,1),当年实际!$C:$C,"&lt;="&amp;EOMONTH(DATE(YEAR(主页!$D$2),MONTH(主页!$D$2),1),0))/SUMIFS(当年实际!$P:$P,当年实际!$F:$F,$C100,当年实际!$C:$C,"&gt;="&amp;DATE(YEAR(主页!$D$2),1,1),当年实际!$C:$C,"&lt;="&amp;EOMONTH(DATE(YEAR(主页!$D$2),MONTH(主页!$D$2),1),0)),"")</f>
        <v/>
      </c>
    </row>
    <row r="101" spans="1:10" x14ac:dyDescent="0.3">
      <c r="A101" s="150"/>
      <c r="B101" s="150"/>
      <c r="C101" s="150"/>
      <c r="D101" s="150"/>
      <c r="E101" s="140" t="str">
        <f t="shared" si="4"/>
        <v/>
      </c>
      <c r="F101" s="159"/>
      <c r="G101" s="145">
        <f t="shared" si="6"/>
        <v>0</v>
      </c>
      <c r="H101" s="140" t="str">
        <f t="shared" si="5"/>
        <v/>
      </c>
      <c r="I101"/>
      <c r="J101" s="147" t="str">
        <f>IFERROR(SUMIFS(当年实际!$V:$V,当年实际!$F:$F,$C101,当年实际!$C:$C,"&gt;="&amp;DATE(YEAR(主页!$D$2),1,1),当年实际!$C:$C,"&lt;="&amp;EOMONTH(DATE(YEAR(主页!$D$2),MONTH(主页!$D$2),1),0))/SUMIFS(当年实际!$P:$P,当年实际!$F:$F,$C101,当年实际!$C:$C,"&gt;="&amp;DATE(YEAR(主页!$D$2),1,1),当年实际!$C:$C,"&lt;="&amp;EOMONTH(DATE(YEAR(主页!$D$2),MONTH(主页!$D$2),1),0)),"")</f>
        <v/>
      </c>
    </row>
    <row r="102" spans="1:10" x14ac:dyDescent="0.3">
      <c r="A102" s="150"/>
      <c r="B102" s="150"/>
      <c r="C102" s="150"/>
      <c r="D102" s="150"/>
      <c r="E102" s="140" t="str">
        <f t="shared" si="4"/>
        <v/>
      </c>
      <c r="F102" s="159"/>
      <c r="G102" s="145">
        <f t="shared" si="6"/>
        <v>0</v>
      </c>
      <c r="H102" s="140" t="str">
        <f t="shared" si="5"/>
        <v/>
      </c>
      <c r="I102"/>
      <c r="J102" s="147" t="str">
        <f>IFERROR(SUMIFS(当年实际!$V:$V,当年实际!$F:$F,$C102,当年实际!$C:$C,"&gt;="&amp;DATE(YEAR(主页!$D$2),1,1),当年实际!$C:$C,"&lt;="&amp;EOMONTH(DATE(YEAR(主页!$D$2),MONTH(主页!$D$2),1),0))/SUMIFS(当年实际!$P:$P,当年实际!$F:$F,$C102,当年实际!$C:$C,"&gt;="&amp;DATE(YEAR(主页!$D$2),1,1),当年实际!$C:$C,"&lt;="&amp;EOMONTH(DATE(YEAR(主页!$D$2),MONTH(主页!$D$2),1),0)),"")</f>
        <v/>
      </c>
    </row>
    <row r="103" spans="1:10" x14ac:dyDescent="0.3">
      <c r="A103" s="150"/>
      <c r="B103" s="150"/>
      <c r="C103" s="150"/>
      <c r="D103" s="150"/>
      <c r="E103" s="140" t="str">
        <f t="shared" si="4"/>
        <v/>
      </c>
      <c r="F103" s="159"/>
      <c r="G103" s="145">
        <f t="shared" si="6"/>
        <v>0</v>
      </c>
      <c r="H103" s="140" t="str">
        <f t="shared" si="5"/>
        <v/>
      </c>
      <c r="I103"/>
      <c r="J103" s="147" t="str">
        <f>IFERROR(SUMIFS(当年实际!$V:$V,当年实际!$F:$F,$C103,当年实际!$C:$C,"&gt;="&amp;DATE(YEAR(主页!$D$2),1,1),当年实际!$C:$C,"&lt;="&amp;EOMONTH(DATE(YEAR(主页!$D$2),MONTH(主页!$D$2),1),0))/SUMIFS(当年实际!$P:$P,当年实际!$F:$F,$C103,当年实际!$C:$C,"&gt;="&amp;DATE(YEAR(主页!$D$2),1,1),当年实际!$C:$C,"&lt;="&amp;EOMONTH(DATE(YEAR(主页!$D$2),MONTH(主页!$D$2),1),0)),"")</f>
        <v/>
      </c>
    </row>
    <row r="104" spans="1:10" x14ac:dyDescent="0.3">
      <c r="A104" s="150"/>
      <c r="B104" s="150"/>
      <c r="C104" s="150"/>
      <c r="D104" s="150"/>
      <c r="E104" s="140" t="str">
        <f t="shared" si="4"/>
        <v/>
      </c>
      <c r="F104" s="159"/>
      <c r="G104" s="145">
        <f t="shared" si="6"/>
        <v>0</v>
      </c>
      <c r="H104" s="140" t="str">
        <f t="shared" si="5"/>
        <v/>
      </c>
      <c r="I104"/>
      <c r="J104" s="147" t="str">
        <f>IFERROR(SUMIFS(当年实际!$V:$V,当年实际!$F:$F,$C104,当年实际!$C:$C,"&gt;="&amp;DATE(YEAR(主页!$D$2),1,1),当年实际!$C:$C,"&lt;="&amp;EOMONTH(DATE(YEAR(主页!$D$2),MONTH(主页!$D$2),1),0))/SUMIFS(当年实际!$P:$P,当年实际!$F:$F,$C104,当年实际!$C:$C,"&gt;="&amp;DATE(YEAR(主页!$D$2),1,1),当年实际!$C:$C,"&lt;="&amp;EOMONTH(DATE(YEAR(主页!$D$2),MONTH(主页!$D$2),1),0)),"")</f>
        <v/>
      </c>
    </row>
    <row r="105" spans="1:10" x14ac:dyDescent="0.3">
      <c r="A105" s="150"/>
      <c r="B105" s="150"/>
      <c r="C105" s="150"/>
      <c r="D105" s="150"/>
      <c r="E105" s="140" t="str">
        <f t="shared" si="4"/>
        <v/>
      </c>
      <c r="F105" s="159"/>
      <c r="G105" s="145">
        <f t="shared" si="6"/>
        <v>0</v>
      </c>
      <c r="H105" s="140" t="str">
        <f t="shared" si="5"/>
        <v/>
      </c>
      <c r="I105"/>
      <c r="J105" s="147" t="str">
        <f>IFERROR(SUMIFS(当年实际!$V:$V,当年实际!$F:$F,$C105,当年实际!$C:$C,"&gt;="&amp;DATE(YEAR(主页!$D$2),1,1),当年实际!$C:$C,"&lt;="&amp;EOMONTH(DATE(YEAR(主页!$D$2),MONTH(主页!$D$2),1),0))/SUMIFS(当年实际!$P:$P,当年实际!$F:$F,$C105,当年实际!$C:$C,"&gt;="&amp;DATE(YEAR(主页!$D$2),1,1),当年实际!$C:$C,"&lt;="&amp;EOMONTH(DATE(YEAR(主页!$D$2),MONTH(主页!$D$2),1),0)),"")</f>
        <v/>
      </c>
    </row>
    <row r="106" spans="1:10" x14ac:dyDescent="0.3">
      <c r="A106" s="150"/>
      <c r="B106" s="150"/>
      <c r="C106" s="150"/>
      <c r="D106" s="150"/>
      <c r="E106" s="140" t="str">
        <f t="shared" si="4"/>
        <v/>
      </c>
      <c r="F106" s="159"/>
      <c r="G106" s="145">
        <f t="shared" si="6"/>
        <v>0</v>
      </c>
      <c r="H106" s="140" t="str">
        <f t="shared" si="5"/>
        <v/>
      </c>
      <c r="I106"/>
      <c r="J106" s="147" t="str">
        <f>IFERROR(SUMIFS(当年实际!$V:$V,当年实际!$F:$F,$C106,当年实际!$C:$C,"&gt;="&amp;DATE(YEAR(主页!$D$2),1,1),当年实际!$C:$C,"&lt;="&amp;EOMONTH(DATE(YEAR(主页!$D$2),MONTH(主页!$D$2),1),0))/SUMIFS(当年实际!$P:$P,当年实际!$F:$F,$C106,当年实际!$C:$C,"&gt;="&amp;DATE(YEAR(主页!$D$2),1,1),当年实际!$C:$C,"&lt;="&amp;EOMONTH(DATE(YEAR(主页!$D$2),MONTH(主页!$D$2),1),0)),"")</f>
        <v/>
      </c>
    </row>
    <row r="107" spans="1:10" x14ac:dyDescent="0.3">
      <c r="A107" s="150"/>
      <c r="B107" s="150"/>
      <c r="C107" s="150"/>
      <c r="D107" s="150"/>
      <c r="E107" s="140" t="str">
        <f t="shared" si="4"/>
        <v/>
      </c>
      <c r="F107" s="159"/>
      <c r="G107" s="145">
        <f t="shared" si="6"/>
        <v>0</v>
      </c>
      <c r="H107" s="140" t="str">
        <f t="shared" si="5"/>
        <v/>
      </c>
      <c r="I107"/>
      <c r="J107" s="147" t="str">
        <f>IFERROR(SUMIFS(当年实际!$V:$V,当年实际!$F:$F,$C107,当年实际!$C:$C,"&gt;="&amp;DATE(YEAR(主页!$D$2),1,1),当年实际!$C:$C,"&lt;="&amp;EOMONTH(DATE(YEAR(主页!$D$2),MONTH(主页!$D$2),1),0))/SUMIFS(当年实际!$P:$P,当年实际!$F:$F,$C107,当年实际!$C:$C,"&gt;="&amp;DATE(YEAR(主页!$D$2),1,1),当年实际!$C:$C,"&lt;="&amp;EOMONTH(DATE(YEAR(主页!$D$2),MONTH(主页!$D$2),1),0)),"")</f>
        <v/>
      </c>
    </row>
    <row r="108" spans="1:10" x14ac:dyDescent="0.3">
      <c r="A108" s="150"/>
      <c r="B108" s="150"/>
      <c r="C108" s="150"/>
      <c r="D108" s="150"/>
      <c r="E108" s="140" t="str">
        <f t="shared" si="4"/>
        <v/>
      </c>
      <c r="F108" s="159"/>
      <c r="G108" s="145">
        <f t="shared" si="6"/>
        <v>0</v>
      </c>
      <c r="H108" s="140" t="str">
        <f t="shared" si="5"/>
        <v/>
      </c>
      <c r="I108"/>
      <c r="J108" s="147" t="str">
        <f>IFERROR(SUMIFS(当年实际!$V:$V,当年实际!$F:$F,$C108,当年实际!$C:$C,"&gt;="&amp;DATE(YEAR(主页!$D$2),1,1),当年实际!$C:$C,"&lt;="&amp;EOMONTH(DATE(YEAR(主页!$D$2),MONTH(主页!$D$2),1),0))/SUMIFS(当年实际!$P:$P,当年实际!$F:$F,$C108,当年实际!$C:$C,"&gt;="&amp;DATE(YEAR(主页!$D$2),1,1),当年实际!$C:$C,"&lt;="&amp;EOMONTH(DATE(YEAR(主页!$D$2),MONTH(主页!$D$2),1),0)),"")</f>
        <v/>
      </c>
    </row>
    <row r="109" spans="1:10" x14ac:dyDescent="0.3">
      <c r="A109" s="150"/>
      <c r="B109" s="150"/>
      <c r="C109" s="150"/>
      <c r="D109" s="150"/>
      <c r="E109" s="140" t="str">
        <f t="shared" si="4"/>
        <v/>
      </c>
      <c r="F109" s="159"/>
      <c r="G109" s="145">
        <f t="shared" si="6"/>
        <v>0</v>
      </c>
      <c r="H109" s="140" t="str">
        <f t="shared" si="5"/>
        <v/>
      </c>
      <c r="I109"/>
      <c r="J109" s="147" t="str">
        <f>IFERROR(SUMIFS(当年实际!$V:$V,当年实际!$F:$F,$C109,当年实际!$C:$C,"&gt;="&amp;DATE(YEAR(主页!$D$2),1,1),当年实际!$C:$C,"&lt;="&amp;EOMONTH(DATE(YEAR(主页!$D$2),MONTH(主页!$D$2),1),0))/SUMIFS(当年实际!$P:$P,当年实际!$F:$F,$C109,当年实际!$C:$C,"&gt;="&amp;DATE(YEAR(主页!$D$2),1,1),当年实际!$C:$C,"&lt;="&amp;EOMONTH(DATE(YEAR(主页!$D$2),MONTH(主页!$D$2),1),0)),"")</f>
        <v/>
      </c>
    </row>
    <row r="110" spans="1:10" x14ac:dyDescent="0.3">
      <c r="A110" s="150"/>
      <c r="B110" s="150"/>
      <c r="C110" s="150"/>
      <c r="D110" s="150"/>
      <c r="E110" s="140" t="str">
        <f t="shared" si="4"/>
        <v/>
      </c>
      <c r="F110" s="159"/>
      <c r="G110" s="145">
        <f t="shared" si="6"/>
        <v>0</v>
      </c>
      <c r="H110" s="140" t="str">
        <f t="shared" si="5"/>
        <v/>
      </c>
      <c r="I110"/>
      <c r="J110" s="147" t="str">
        <f>IFERROR(SUMIFS(当年实际!$V:$V,当年实际!$F:$F,$C110,当年实际!$C:$C,"&gt;="&amp;DATE(YEAR(主页!$D$2),1,1),当年实际!$C:$C,"&lt;="&amp;EOMONTH(DATE(YEAR(主页!$D$2),MONTH(主页!$D$2),1),0))/SUMIFS(当年实际!$P:$P,当年实际!$F:$F,$C110,当年实际!$C:$C,"&gt;="&amp;DATE(YEAR(主页!$D$2),1,1),当年实际!$C:$C,"&lt;="&amp;EOMONTH(DATE(YEAR(主页!$D$2),MONTH(主页!$D$2),1),0)),"")</f>
        <v/>
      </c>
    </row>
    <row r="111" spans="1:10" x14ac:dyDescent="0.3">
      <c r="A111" s="150"/>
      <c r="B111" s="150"/>
      <c r="C111" s="150"/>
      <c r="D111" s="150"/>
      <c r="E111" s="140" t="str">
        <f t="shared" si="4"/>
        <v/>
      </c>
      <c r="F111" s="159"/>
      <c r="G111" s="145">
        <f t="shared" si="6"/>
        <v>0</v>
      </c>
      <c r="H111" s="140" t="str">
        <f t="shared" si="5"/>
        <v/>
      </c>
      <c r="I111"/>
      <c r="J111" s="147" t="str">
        <f>IFERROR(SUMIFS(当年实际!$V:$V,当年实际!$F:$F,$C111,当年实际!$C:$C,"&gt;="&amp;DATE(YEAR(主页!$D$2),1,1),当年实际!$C:$C,"&lt;="&amp;EOMONTH(DATE(YEAR(主页!$D$2),MONTH(主页!$D$2),1),0))/SUMIFS(当年实际!$P:$P,当年实际!$F:$F,$C111,当年实际!$C:$C,"&gt;="&amp;DATE(YEAR(主页!$D$2),1,1),当年实际!$C:$C,"&lt;="&amp;EOMONTH(DATE(YEAR(主页!$D$2),MONTH(主页!$D$2),1),0)),"")</f>
        <v/>
      </c>
    </row>
    <row r="112" spans="1:10" x14ac:dyDescent="0.3">
      <c r="A112" s="150"/>
      <c r="B112" s="150"/>
      <c r="C112" s="150"/>
      <c r="D112" s="150"/>
      <c r="E112" s="140" t="str">
        <f t="shared" si="4"/>
        <v/>
      </c>
      <c r="F112" s="159"/>
      <c r="G112" s="145">
        <f t="shared" si="6"/>
        <v>0</v>
      </c>
      <c r="H112" s="140" t="str">
        <f t="shared" si="5"/>
        <v/>
      </c>
      <c r="I112"/>
      <c r="J112" s="147" t="str">
        <f>IFERROR(SUMIFS(当年实际!$V:$V,当年实际!$F:$F,$C112,当年实际!$C:$C,"&gt;="&amp;DATE(YEAR(主页!$D$2),1,1),当年实际!$C:$C,"&lt;="&amp;EOMONTH(DATE(YEAR(主页!$D$2),MONTH(主页!$D$2),1),0))/SUMIFS(当年实际!$P:$P,当年实际!$F:$F,$C112,当年实际!$C:$C,"&gt;="&amp;DATE(YEAR(主页!$D$2),1,1),当年实际!$C:$C,"&lt;="&amp;EOMONTH(DATE(YEAR(主页!$D$2),MONTH(主页!$D$2),1),0)),"")</f>
        <v/>
      </c>
    </row>
    <row r="113" spans="1:10" x14ac:dyDescent="0.3">
      <c r="A113" s="150"/>
      <c r="B113" s="150"/>
      <c r="C113" s="150"/>
      <c r="D113" s="150"/>
      <c r="E113" s="140" t="str">
        <f t="shared" si="4"/>
        <v/>
      </c>
      <c r="F113" s="159"/>
      <c r="G113" s="145">
        <f t="shared" si="6"/>
        <v>0</v>
      </c>
      <c r="H113" s="140" t="str">
        <f t="shared" si="5"/>
        <v/>
      </c>
      <c r="I113"/>
      <c r="J113" s="147" t="str">
        <f>IFERROR(SUMIFS(当年实际!$V:$V,当年实际!$F:$F,$C113,当年实际!$C:$C,"&gt;="&amp;DATE(YEAR(主页!$D$2),1,1),当年实际!$C:$C,"&lt;="&amp;EOMONTH(DATE(YEAR(主页!$D$2),MONTH(主页!$D$2),1),0))/SUMIFS(当年实际!$P:$P,当年实际!$F:$F,$C113,当年实际!$C:$C,"&gt;="&amp;DATE(YEAR(主页!$D$2),1,1),当年实际!$C:$C,"&lt;="&amp;EOMONTH(DATE(YEAR(主页!$D$2),MONTH(主页!$D$2),1),0)),"")</f>
        <v/>
      </c>
    </row>
    <row r="114" spans="1:10" x14ac:dyDescent="0.3">
      <c r="A114" s="150"/>
      <c r="B114" s="150"/>
      <c r="C114" s="150"/>
      <c r="D114" s="150"/>
      <c r="E114" s="140" t="str">
        <f t="shared" si="4"/>
        <v/>
      </c>
      <c r="F114" s="159"/>
      <c r="G114" s="145">
        <f t="shared" si="6"/>
        <v>0</v>
      </c>
      <c r="H114" s="140" t="str">
        <f t="shared" si="5"/>
        <v/>
      </c>
      <c r="I114"/>
      <c r="J114" s="147" t="str">
        <f>IFERROR(SUMIFS(当年实际!$V:$V,当年实际!$F:$F,$C114,当年实际!$C:$C,"&gt;="&amp;DATE(YEAR(主页!$D$2),1,1),当年实际!$C:$C,"&lt;="&amp;EOMONTH(DATE(YEAR(主页!$D$2),MONTH(主页!$D$2),1),0))/SUMIFS(当年实际!$P:$P,当年实际!$F:$F,$C114,当年实际!$C:$C,"&gt;="&amp;DATE(YEAR(主页!$D$2),1,1),当年实际!$C:$C,"&lt;="&amp;EOMONTH(DATE(YEAR(主页!$D$2),MONTH(主页!$D$2),1),0)),"")</f>
        <v/>
      </c>
    </row>
    <row r="115" spans="1:10" x14ac:dyDescent="0.3">
      <c r="A115" s="150"/>
      <c r="B115" s="150"/>
      <c r="C115" s="150"/>
      <c r="D115" s="150"/>
      <c r="E115" s="140" t="str">
        <f t="shared" si="4"/>
        <v/>
      </c>
      <c r="F115" s="159"/>
      <c r="G115" s="145">
        <f t="shared" si="6"/>
        <v>0</v>
      </c>
      <c r="H115" s="140" t="str">
        <f t="shared" si="5"/>
        <v/>
      </c>
      <c r="I115"/>
      <c r="J115" s="147" t="str">
        <f>IFERROR(SUMIFS(当年实际!$V:$V,当年实际!$F:$F,$C115,当年实际!$C:$C,"&gt;="&amp;DATE(YEAR(主页!$D$2),1,1),当年实际!$C:$C,"&lt;="&amp;EOMONTH(DATE(YEAR(主页!$D$2),MONTH(主页!$D$2),1),0))/SUMIFS(当年实际!$P:$P,当年实际!$F:$F,$C115,当年实际!$C:$C,"&gt;="&amp;DATE(YEAR(主页!$D$2),1,1),当年实际!$C:$C,"&lt;="&amp;EOMONTH(DATE(YEAR(主页!$D$2),MONTH(主页!$D$2),1),0)),"")</f>
        <v/>
      </c>
    </row>
    <row r="116" spans="1:10" x14ac:dyDescent="0.3">
      <c r="A116" s="150"/>
      <c r="B116" s="150"/>
      <c r="C116" s="150"/>
      <c r="D116" s="150"/>
      <c r="E116" s="140" t="str">
        <f t="shared" si="4"/>
        <v/>
      </c>
      <c r="F116" s="159"/>
      <c r="G116" s="145">
        <f t="shared" si="6"/>
        <v>0</v>
      </c>
      <c r="H116" s="140" t="str">
        <f t="shared" si="5"/>
        <v/>
      </c>
      <c r="I116"/>
      <c r="J116" s="147" t="str">
        <f>IFERROR(SUMIFS(当年实际!$V:$V,当年实际!$F:$F,$C116,当年实际!$C:$C,"&gt;="&amp;DATE(YEAR(主页!$D$2),1,1),当年实际!$C:$C,"&lt;="&amp;EOMONTH(DATE(YEAR(主页!$D$2),MONTH(主页!$D$2),1),0))/SUMIFS(当年实际!$P:$P,当年实际!$F:$F,$C116,当年实际!$C:$C,"&gt;="&amp;DATE(YEAR(主页!$D$2),1,1),当年实际!$C:$C,"&lt;="&amp;EOMONTH(DATE(YEAR(主页!$D$2),MONTH(主页!$D$2),1),0)),"")</f>
        <v/>
      </c>
    </row>
    <row r="117" spans="1:10" x14ac:dyDescent="0.3">
      <c r="A117" s="150"/>
      <c r="B117" s="150"/>
      <c r="C117" s="150"/>
      <c r="D117" s="150"/>
      <c r="E117" s="140" t="str">
        <f t="shared" si="4"/>
        <v/>
      </c>
      <c r="F117" s="159"/>
      <c r="G117" s="145">
        <f t="shared" si="6"/>
        <v>0</v>
      </c>
      <c r="H117" s="140" t="str">
        <f t="shared" si="5"/>
        <v/>
      </c>
      <c r="I117"/>
      <c r="J117" s="147" t="str">
        <f>IFERROR(SUMIFS(当年实际!$V:$V,当年实际!$F:$F,$C117,当年实际!$C:$C,"&gt;="&amp;DATE(YEAR(主页!$D$2),1,1),当年实际!$C:$C,"&lt;="&amp;EOMONTH(DATE(YEAR(主页!$D$2),MONTH(主页!$D$2),1),0))/SUMIFS(当年实际!$P:$P,当年实际!$F:$F,$C117,当年实际!$C:$C,"&gt;="&amp;DATE(YEAR(主页!$D$2),1,1),当年实际!$C:$C,"&lt;="&amp;EOMONTH(DATE(YEAR(主页!$D$2),MONTH(主页!$D$2),1),0)),"")</f>
        <v/>
      </c>
    </row>
    <row r="118" spans="1:10" x14ac:dyDescent="0.3">
      <c r="A118" s="150"/>
      <c r="B118" s="150"/>
      <c r="C118" s="150"/>
      <c r="D118" s="150"/>
      <c r="E118" s="140" t="str">
        <f t="shared" si="4"/>
        <v/>
      </c>
      <c r="F118" s="159"/>
      <c r="G118" s="145">
        <f t="shared" si="6"/>
        <v>0</v>
      </c>
      <c r="H118" s="140" t="str">
        <f t="shared" si="5"/>
        <v/>
      </c>
      <c r="I118"/>
      <c r="J118" s="147" t="str">
        <f>IFERROR(SUMIFS(当年实际!$V:$V,当年实际!$F:$F,$C118,当年实际!$C:$C,"&gt;="&amp;DATE(YEAR(主页!$D$2),1,1),当年实际!$C:$C,"&lt;="&amp;EOMONTH(DATE(YEAR(主页!$D$2),MONTH(主页!$D$2),1),0))/SUMIFS(当年实际!$P:$P,当年实际!$F:$F,$C118,当年实际!$C:$C,"&gt;="&amp;DATE(YEAR(主页!$D$2),1,1),当年实际!$C:$C,"&lt;="&amp;EOMONTH(DATE(YEAR(主页!$D$2),MONTH(主页!$D$2),1),0)),"")</f>
        <v/>
      </c>
    </row>
    <row r="119" spans="1:10" x14ac:dyDescent="0.3">
      <c r="A119" s="150"/>
      <c r="B119" s="150"/>
      <c r="C119" s="150"/>
      <c r="D119" s="150"/>
      <c r="E119" s="140" t="str">
        <f t="shared" si="4"/>
        <v/>
      </c>
      <c r="F119" s="159"/>
      <c r="G119" s="145">
        <f t="shared" si="6"/>
        <v>0</v>
      </c>
      <c r="H119" s="140" t="str">
        <f t="shared" si="5"/>
        <v/>
      </c>
      <c r="I119"/>
      <c r="J119" s="147" t="str">
        <f>IFERROR(SUMIFS(当年实际!$V:$V,当年实际!$F:$F,$C119,当年实际!$C:$C,"&gt;="&amp;DATE(YEAR(主页!$D$2),1,1),当年实际!$C:$C,"&lt;="&amp;EOMONTH(DATE(YEAR(主页!$D$2),MONTH(主页!$D$2),1),0))/SUMIFS(当年实际!$P:$P,当年实际!$F:$F,$C119,当年实际!$C:$C,"&gt;="&amp;DATE(YEAR(主页!$D$2),1,1),当年实际!$C:$C,"&lt;="&amp;EOMONTH(DATE(YEAR(主页!$D$2),MONTH(主页!$D$2),1),0)),"")</f>
        <v/>
      </c>
    </row>
    <row r="120" spans="1:10" x14ac:dyDescent="0.3">
      <c r="A120" s="150"/>
      <c r="B120" s="150"/>
      <c r="C120" s="150"/>
      <c r="D120" s="150"/>
      <c r="E120" s="140" t="str">
        <f t="shared" si="4"/>
        <v/>
      </c>
      <c r="F120" s="159"/>
      <c r="G120" s="145">
        <f t="shared" si="6"/>
        <v>0</v>
      </c>
      <c r="H120" s="140" t="str">
        <f t="shared" si="5"/>
        <v/>
      </c>
      <c r="I120"/>
      <c r="J120" s="147" t="str">
        <f>IFERROR(SUMIFS(当年实际!$V:$V,当年实际!$F:$F,$C120,当年实际!$C:$C,"&gt;="&amp;DATE(YEAR(主页!$D$2),1,1),当年实际!$C:$C,"&lt;="&amp;EOMONTH(DATE(YEAR(主页!$D$2),MONTH(主页!$D$2),1),0))/SUMIFS(当年实际!$P:$P,当年实际!$F:$F,$C120,当年实际!$C:$C,"&gt;="&amp;DATE(YEAR(主页!$D$2),1,1),当年实际!$C:$C,"&lt;="&amp;EOMONTH(DATE(YEAR(主页!$D$2),MONTH(主页!$D$2),1),0)),"")</f>
        <v/>
      </c>
    </row>
    <row r="121" spans="1:10" x14ac:dyDescent="0.3">
      <c r="A121" s="150"/>
      <c r="B121" s="150"/>
      <c r="C121" s="150"/>
      <c r="D121" s="150"/>
      <c r="E121" s="140" t="str">
        <f t="shared" si="4"/>
        <v/>
      </c>
      <c r="F121" s="159"/>
      <c r="G121" s="145">
        <f t="shared" si="6"/>
        <v>0</v>
      </c>
      <c r="H121" s="140" t="str">
        <f t="shared" si="5"/>
        <v/>
      </c>
      <c r="I121"/>
      <c r="J121" s="147" t="str">
        <f>IFERROR(SUMIFS(当年实际!$V:$V,当年实际!$F:$F,$C121,当年实际!$C:$C,"&gt;="&amp;DATE(YEAR(主页!$D$2),1,1),当年实际!$C:$C,"&lt;="&amp;EOMONTH(DATE(YEAR(主页!$D$2),MONTH(主页!$D$2),1),0))/SUMIFS(当年实际!$P:$P,当年实际!$F:$F,$C121,当年实际!$C:$C,"&gt;="&amp;DATE(YEAR(主页!$D$2),1,1),当年实际!$C:$C,"&lt;="&amp;EOMONTH(DATE(YEAR(主页!$D$2),MONTH(主页!$D$2),1),0)),"")</f>
        <v/>
      </c>
    </row>
    <row r="122" spans="1:10" x14ac:dyDescent="0.3">
      <c r="A122" s="150"/>
      <c r="B122" s="150"/>
      <c r="C122" s="150"/>
      <c r="D122" s="150"/>
      <c r="E122" s="140" t="str">
        <f t="shared" si="4"/>
        <v/>
      </c>
      <c r="F122" s="159"/>
      <c r="G122" s="145">
        <f t="shared" si="6"/>
        <v>0</v>
      </c>
      <c r="H122" s="140" t="str">
        <f t="shared" si="5"/>
        <v/>
      </c>
      <c r="I122"/>
      <c r="J122" s="147" t="str">
        <f>IFERROR(SUMIFS(当年实际!$V:$V,当年实际!$F:$F,$C122,当年实际!$C:$C,"&gt;="&amp;DATE(YEAR(主页!$D$2),1,1),当年实际!$C:$C,"&lt;="&amp;EOMONTH(DATE(YEAR(主页!$D$2),MONTH(主页!$D$2),1),0))/SUMIFS(当年实际!$P:$P,当年实际!$F:$F,$C122,当年实际!$C:$C,"&gt;="&amp;DATE(YEAR(主页!$D$2),1,1),当年实际!$C:$C,"&lt;="&amp;EOMONTH(DATE(YEAR(主页!$D$2),MONTH(主页!$D$2),1),0)),"")</f>
        <v/>
      </c>
    </row>
    <row r="123" spans="1:10" x14ac:dyDescent="0.3">
      <c r="A123" s="150"/>
      <c r="B123" s="150"/>
      <c r="C123" s="150"/>
      <c r="D123" s="150"/>
      <c r="E123" s="140" t="str">
        <f t="shared" si="4"/>
        <v/>
      </c>
      <c r="F123" s="159"/>
      <c r="G123" s="145">
        <f t="shared" si="6"/>
        <v>0</v>
      </c>
      <c r="H123" s="140" t="str">
        <f t="shared" si="5"/>
        <v/>
      </c>
      <c r="I123"/>
      <c r="J123" s="147" t="str">
        <f>IFERROR(SUMIFS(当年实际!$V:$V,当年实际!$F:$F,$C123,当年实际!$C:$C,"&gt;="&amp;DATE(YEAR(主页!$D$2),1,1),当年实际!$C:$C,"&lt;="&amp;EOMONTH(DATE(YEAR(主页!$D$2),MONTH(主页!$D$2),1),0))/SUMIFS(当年实际!$P:$P,当年实际!$F:$F,$C123,当年实际!$C:$C,"&gt;="&amp;DATE(YEAR(主页!$D$2),1,1),当年实际!$C:$C,"&lt;="&amp;EOMONTH(DATE(YEAR(主页!$D$2),MONTH(主页!$D$2),1),0)),"")</f>
        <v/>
      </c>
    </row>
    <row r="124" spans="1:10" x14ac:dyDescent="0.3">
      <c r="A124" s="150"/>
      <c r="B124" s="150"/>
      <c r="C124" s="150"/>
      <c r="D124" s="150"/>
      <c r="E124" s="140" t="str">
        <f t="shared" si="4"/>
        <v/>
      </c>
      <c r="F124" s="159"/>
      <c r="G124" s="145">
        <f t="shared" si="6"/>
        <v>0</v>
      </c>
      <c r="H124" s="140" t="str">
        <f t="shared" si="5"/>
        <v/>
      </c>
      <c r="I124"/>
      <c r="J124" s="147" t="str">
        <f>IFERROR(SUMIFS(当年实际!$V:$V,当年实际!$F:$F,$C124,当年实际!$C:$C,"&gt;="&amp;DATE(YEAR(主页!$D$2),1,1),当年实际!$C:$C,"&lt;="&amp;EOMONTH(DATE(YEAR(主页!$D$2),MONTH(主页!$D$2),1),0))/SUMIFS(当年实际!$P:$P,当年实际!$F:$F,$C124,当年实际!$C:$C,"&gt;="&amp;DATE(YEAR(主页!$D$2),1,1),当年实际!$C:$C,"&lt;="&amp;EOMONTH(DATE(YEAR(主页!$D$2),MONTH(主页!$D$2),1),0)),"")</f>
        <v/>
      </c>
    </row>
    <row r="125" spans="1:10" x14ac:dyDescent="0.3">
      <c r="A125" s="150"/>
      <c r="B125" s="150"/>
      <c r="C125" s="150"/>
      <c r="D125" s="150"/>
      <c r="E125" s="140" t="str">
        <f t="shared" si="4"/>
        <v/>
      </c>
      <c r="F125" s="159"/>
      <c r="G125" s="145">
        <f t="shared" si="6"/>
        <v>0</v>
      </c>
      <c r="H125" s="140" t="str">
        <f t="shared" si="5"/>
        <v/>
      </c>
      <c r="I125"/>
      <c r="J125" s="147" t="str">
        <f>IFERROR(SUMIFS(当年实际!$V:$V,当年实际!$F:$F,$C125,当年实际!$C:$C,"&gt;="&amp;DATE(YEAR(主页!$D$2),1,1),当年实际!$C:$C,"&lt;="&amp;EOMONTH(DATE(YEAR(主页!$D$2),MONTH(主页!$D$2),1),0))/SUMIFS(当年实际!$P:$P,当年实际!$F:$F,$C125,当年实际!$C:$C,"&gt;="&amp;DATE(YEAR(主页!$D$2),1,1),当年实际!$C:$C,"&lt;="&amp;EOMONTH(DATE(YEAR(主页!$D$2),MONTH(主页!$D$2),1),0)),"")</f>
        <v/>
      </c>
    </row>
    <row r="126" spans="1:10" x14ac:dyDescent="0.3">
      <c r="A126" s="150"/>
      <c r="B126" s="150"/>
      <c r="C126" s="150"/>
      <c r="D126" s="150"/>
      <c r="E126" s="140" t="str">
        <f t="shared" si="4"/>
        <v/>
      </c>
      <c r="F126" s="159"/>
      <c r="G126" s="145">
        <f t="shared" si="6"/>
        <v>0</v>
      </c>
      <c r="H126" s="140" t="str">
        <f t="shared" si="5"/>
        <v/>
      </c>
      <c r="I126"/>
      <c r="J126" s="147" t="str">
        <f>IFERROR(SUMIFS(当年实际!$V:$V,当年实际!$F:$F,$C126,当年实际!$C:$C,"&gt;="&amp;DATE(YEAR(主页!$D$2),1,1),当年实际!$C:$C,"&lt;="&amp;EOMONTH(DATE(YEAR(主页!$D$2),MONTH(主页!$D$2),1),0))/SUMIFS(当年实际!$P:$P,当年实际!$F:$F,$C126,当年实际!$C:$C,"&gt;="&amp;DATE(YEAR(主页!$D$2),1,1),当年实际!$C:$C,"&lt;="&amp;EOMONTH(DATE(YEAR(主页!$D$2),MONTH(主页!$D$2),1),0)),"")</f>
        <v/>
      </c>
    </row>
    <row r="127" spans="1:10" x14ac:dyDescent="0.3">
      <c r="A127" s="150"/>
      <c r="B127" s="150"/>
      <c r="C127" s="150"/>
      <c r="D127" s="150"/>
      <c r="E127" s="140" t="str">
        <f t="shared" si="4"/>
        <v/>
      </c>
      <c r="F127" s="159"/>
      <c r="G127" s="145">
        <f t="shared" si="6"/>
        <v>0</v>
      </c>
      <c r="H127" s="140" t="str">
        <f t="shared" si="5"/>
        <v/>
      </c>
      <c r="I127"/>
      <c r="J127" s="147" t="str">
        <f>IFERROR(SUMIFS(当年实际!$V:$V,当年实际!$F:$F,$C127,当年实际!$C:$C,"&gt;="&amp;DATE(YEAR(主页!$D$2),1,1),当年实际!$C:$C,"&lt;="&amp;EOMONTH(DATE(YEAR(主页!$D$2),MONTH(主页!$D$2),1),0))/SUMIFS(当年实际!$P:$P,当年实际!$F:$F,$C127,当年实际!$C:$C,"&gt;="&amp;DATE(YEAR(主页!$D$2),1,1),当年实际!$C:$C,"&lt;="&amp;EOMONTH(DATE(YEAR(主页!$D$2),MONTH(主页!$D$2),1),0)),"")</f>
        <v/>
      </c>
    </row>
    <row r="128" spans="1:10" x14ac:dyDescent="0.3">
      <c r="A128" s="150"/>
      <c r="B128" s="150"/>
      <c r="C128" s="150"/>
      <c r="D128" s="150"/>
      <c r="E128" s="140" t="str">
        <f t="shared" si="4"/>
        <v/>
      </c>
      <c r="F128" s="159"/>
      <c r="G128" s="145">
        <f t="shared" si="6"/>
        <v>0</v>
      </c>
      <c r="H128" s="140" t="str">
        <f t="shared" si="5"/>
        <v/>
      </c>
      <c r="I128"/>
      <c r="J128" s="147" t="str">
        <f>IFERROR(SUMIFS(当年实际!$V:$V,当年实际!$F:$F,$C128,当年实际!$C:$C,"&gt;="&amp;DATE(YEAR(主页!$D$2),1,1),当年实际!$C:$C,"&lt;="&amp;EOMONTH(DATE(YEAR(主页!$D$2),MONTH(主页!$D$2),1),0))/SUMIFS(当年实际!$P:$P,当年实际!$F:$F,$C128,当年实际!$C:$C,"&gt;="&amp;DATE(YEAR(主页!$D$2),1,1),当年实际!$C:$C,"&lt;="&amp;EOMONTH(DATE(YEAR(主页!$D$2),MONTH(主页!$D$2),1),0)),"")</f>
        <v/>
      </c>
    </row>
    <row r="129" spans="1:10" x14ac:dyDescent="0.3">
      <c r="A129" s="150"/>
      <c r="B129" s="150"/>
      <c r="C129" s="150"/>
      <c r="D129" s="150"/>
      <c r="E129" s="140" t="str">
        <f t="shared" si="4"/>
        <v/>
      </c>
      <c r="F129" s="159"/>
      <c r="G129" s="145">
        <f t="shared" si="6"/>
        <v>0</v>
      </c>
      <c r="H129" s="140" t="str">
        <f t="shared" si="5"/>
        <v/>
      </c>
      <c r="I129"/>
      <c r="J129" s="147" t="str">
        <f>IFERROR(SUMIFS(当年实际!$V:$V,当年实际!$F:$F,$C129,当年实际!$C:$C,"&gt;="&amp;DATE(YEAR(主页!$D$2),1,1),当年实际!$C:$C,"&lt;="&amp;EOMONTH(DATE(YEAR(主页!$D$2),MONTH(主页!$D$2),1),0))/SUMIFS(当年实际!$P:$P,当年实际!$F:$F,$C129,当年实际!$C:$C,"&gt;="&amp;DATE(YEAR(主页!$D$2),1,1),当年实际!$C:$C,"&lt;="&amp;EOMONTH(DATE(YEAR(主页!$D$2),MONTH(主页!$D$2),1),0)),"")</f>
        <v/>
      </c>
    </row>
    <row r="130" spans="1:10" x14ac:dyDescent="0.3">
      <c r="A130" s="150"/>
      <c r="B130" s="150"/>
      <c r="C130" s="150"/>
      <c r="D130" s="150"/>
      <c r="E130" s="140" t="str">
        <f t="shared" si="4"/>
        <v/>
      </c>
      <c r="F130" s="159"/>
      <c r="G130" s="145">
        <f t="shared" si="6"/>
        <v>0</v>
      </c>
      <c r="H130" s="140" t="str">
        <f t="shared" si="5"/>
        <v/>
      </c>
      <c r="I130"/>
      <c r="J130" s="147" t="str">
        <f>IFERROR(SUMIFS(当年实际!$V:$V,当年实际!$F:$F,$C130,当年实际!$C:$C,"&gt;="&amp;DATE(YEAR(主页!$D$2),1,1),当年实际!$C:$C,"&lt;="&amp;EOMONTH(DATE(YEAR(主页!$D$2),MONTH(主页!$D$2),1),0))/SUMIFS(当年实际!$P:$P,当年实际!$F:$F,$C130,当年实际!$C:$C,"&gt;="&amp;DATE(YEAR(主页!$D$2),1,1),当年实际!$C:$C,"&lt;="&amp;EOMONTH(DATE(YEAR(主页!$D$2),MONTH(主页!$D$2),1),0)),"")</f>
        <v/>
      </c>
    </row>
    <row r="131" spans="1:10" x14ac:dyDescent="0.3">
      <c r="A131" s="150"/>
      <c r="B131" s="150"/>
      <c r="C131" s="150"/>
      <c r="D131" s="150"/>
      <c r="E131" s="140" t="str">
        <f t="shared" si="4"/>
        <v/>
      </c>
      <c r="F131" s="159"/>
      <c r="G131" s="145">
        <f t="shared" si="6"/>
        <v>0</v>
      </c>
      <c r="H131" s="140" t="str">
        <f t="shared" si="5"/>
        <v/>
      </c>
      <c r="I131"/>
      <c r="J131" s="147" t="str">
        <f>IFERROR(SUMIFS(当年实际!$V:$V,当年实际!$F:$F,$C131,当年实际!$C:$C,"&gt;="&amp;DATE(YEAR(主页!$D$2),1,1),当年实际!$C:$C,"&lt;="&amp;EOMONTH(DATE(YEAR(主页!$D$2),MONTH(主页!$D$2),1),0))/SUMIFS(当年实际!$P:$P,当年实际!$F:$F,$C131,当年实际!$C:$C,"&gt;="&amp;DATE(YEAR(主页!$D$2),1,1),当年实际!$C:$C,"&lt;="&amp;EOMONTH(DATE(YEAR(主页!$D$2),MONTH(主页!$D$2),1),0)),"")</f>
        <v/>
      </c>
    </row>
    <row r="132" spans="1:10" x14ac:dyDescent="0.3">
      <c r="A132" s="150"/>
      <c r="B132" s="150"/>
      <c r="C132" s="150"/>
      <c r="D132" s="150"/>
      <c r="E132" s="140" t="str">
        <f t="shared" ref="E132:E195" si="7">IF(D132/SUM(D:D)=0,"",D132/SUM(D:D))</f>
        <v/>
      </c>
      <c r="F132" s="159"/>
      <c r="G132" s="145">
        <f t="shared" si="6"/>
        <v>0</v>
      </c>
      <c r="H132" s="140" t="str">
        <f t="shared" ref="H132:H195" si="8">IF(G132/SUM(G:G)=0,"",G132/SUM(G:G))</f>
        <v/>
      </c>
      <c r="I132"/>
      <c r="J132" s="147" t="str">
        <f>IFERROR(SUMIFS(当年实际!$V:$V,当年实际!$F:$F,$C132,当年实际!$C:$C,"&gt;="&amp;DATE(YEAR(主页!$D$2),1,1),当年实际!$C:$C,"&lt;="&amp;EOMONTH(DATE(YEAR(主页!$D$2),MONTH(主页!$D$2),1),0))/SUMIFS(当年实际!$P:$P,当年实际!$F:$F,$C132,当年实际!$C:$C,"&gt;="&amp;DATE(YEAR(主页!$D$2),1,1),当年实际!$C:$C,"&lt;="&amp;EOMONTH(DATE(YEAR(主页!$D$2),MONTH(主页!$D$2),1),0)),"")</f>
        <v/>
      </c>
    </row>
    <row r="133" spans="1:10" x14ac:dyDescent="0.3">
      <c r="A133" s="150"/>
      <c r="B133" s="150"/>
      <c r="C133" s="150"/>
      <c r="D133" s="150"/>
      <c r="E133" s="140" t="str">
        <f t="shared" si="7"/>
        <v/>
      </c>
      <c r="F133" s="159"/>
      <c r="G133" s="145">
        <f t="shared" si="6"/>
        <v>0</v>
      </c>
      <c r="H133" s="140" t="str">
        <f t="shared" si="8"/>
        <v/>
      </c>
      <c r="I133"/>
      <c r="J133" s="147" t="str">
        <f>IFERROR(SUMIFS(当年实际!$V:$V,当年实际!$F:$F,$C133,当年实际!$C:$C,"&gt;="&amp;DATE(YEAR(主页!$D$2),1,1),当年实际!$C:$C,"&lt;="&amp;EOMONTH(DATE(YEAR(主页!$D$2),MONTH(主页!$D$2),1),0))/SUMIFS(当年实际!$P:$P,当年实际!$F:$F,$C133,当年实际!$C:$C,"&gt;="&amp;DATE(YEAR(主页!$D$2),1,1),当年实际!$C:$C,"&lt;="&amp;EOMONTH(DATE(YEAR(主页!$D$2),MONTH(主页!$D$2),1),0)),"")</f>
        <v/>
      </c>
    </row>
    <row r="134" spans="1:10" x14ac:dyDescent="0.3">
      <c r="A134" s="150"/>
      <c r="B134" s="150"/>
      <c r="C134" s="150"/>
      <c r="D134" s="150"/>
      <c r="E134" s="140" t="str">
        <f t="shared" si="7"/>
        <v/>
      </c>
      <c r="F134" s="159"/>
      <c r="G134" s="145">
        <f t="shared" si="6"/>
        <v>0</v>
      </c>
      <c r="H134" s="140" t="str">
        <f t="shared" si="8"/>
        <v/>
      </c>
      <c r="I134"/>
      <c r="J134" s="147" t="str">
        <f>IFERROR(SUMIFS(当年实际!$V:$V,当年实际!$F:$F,$C134,当年实际!$C:$C,"&gt;="&amp;DATE(YEAR(主页!$D$2),1,1),当年实际!$C:$C,"&lt;="&amp;EOMONTH(DATE(YEAR(主页!$D$2),MONTH(主页!$D$2),1),0))/SUMIFS(当年实际!$P:$P,当年实际!$F:$F,$C134,当年实际!$C:$C,"&gt;="&amp;DATE(YEAR(主页!$D$2),1,1),当年实际!$C:$C,"&lt;="&amp;EOMONTH(DATE(YEAR(主页!$D$2),MONTH(主页!$D$2),1),0)),"")</f>
        <v/>
      </c>
    </row>
    <row r="135" spans="1:10" x14ac:dyDescent="0.3">
      <c r="A135" s="150"/>
      <c r="B135" s="150"/>
      <c r="C135" s="150"/>
      <c r="D135" s="150"/>
      <c r="E135" s="140" t="str">
        <f t="shared" si="7"/>
        <v/>
      </c>
      <c r="F135" s="159"/>
      <c r="G135" s="145">
        <f t="shared" ref="G135:G198" si="9">D135*F135</f>
        <v>0</v>
      </c>
      <c r="H135" s="140" t="str">
        <f t="shared" si="8"/>
        <v/>
      </c>
      <c r="I135"/>
      <c r="J135" s="147" t="str">
        <f>IFERROR(SUMIFS(当年实际!$V:$V,当年实际!$F:$F,$C135,当年实际!$C:$C,"&gt;="&amp;DATE(YEAR(主页!$D$2),1,1),当年实际!$C:$C,"&lt;="&amp;EOMONTH(DATE(YEAR(主页!$D$2),MONTH(主页!$D$2),1),0))/SUMIFS(当年实际!$P:$P,当年实际!$F:$F,$C135,当年实际!$C:$C,"&gt;="&amp;DATE(YEAR(主页!$D$2),1,1),当年实际!$C:$C,"&lt;="&amp;EOMONTH(DATE(YEAR(主页!$D$2),MONTH(主页!$D$2),1),0)),"")</f>
        <v/>
      </c>
    </row>
    <row r="136" spans="1:10" x14ac:dyDescent="0.3">
      <c r="A136" s="150"/>
      <c r="B136" s="150"/>
      <c r="C136" s="150"/>
      <c r="D136" s="150"/>
      <c r="E136" s="140" t="str">
        <f t="shared" si="7"/>
        <v/>
      </c>
      <c r="F136" s="159"/>
      <c r="G136" s="145">
        <f t="shared" si="9"/>
        <v>0</v>
      </c>
      <c r="H136" s="140" t="str">
        <f t="shared" si="8"/>
        <v/>
      </c>
      <c r="I136"/>
      <c r="J136" s="147" t="str">
        <f>IFERROR(SUMIFS(当年实际!$V:$V,当年实际!$F:$F,$C136,当年实际!$C:$C,"&gt;="&amp;DATE(YEAR(主页!$D$2),1,1),当年实际!$C:$C,"&lt;="&amp;EOMONTH(DATE(YEAR(主页!$D$2),MONTH(主页!$D$2),1),0))/SUMIFS(当年实际!$P:$P,当年实际!$F:$F,$C136,当年实际!$C:$C,"&gt;="&amp;DATE(YEAR(主页!$D$2),1,1),当年实际!$C:$C,"&lt;="&amp;EOMONTH(DATE(YEAR(主页!$D$2),MONTH(主页!$D$2),1),0)),"")</f>
        <v/>
      </c>
    </row>
    <row r="137" spans="1:10" x14ac:dyDescent="0.3">
      <c r="A137" s="150"/>
      <c r="B137" s="150"/>
      <c r="C137" s="150"/>
      <c r="D137" s="150"/>
      <c r="E137" s="140" t="str">
        <f t="shared" si="7"/>
        <v/>
      </c>
      <c r="F137" s="159"/>
      <c r="G137" s="145">
        <f t="shared" si="9"/>
        <v>0</v>
      </c>
      <c r="H137" s="140" t="str">
        <f t="shared" si="8"/>
        <v/>
      </c>
      <c r="I137"/>
      <c r="J137" s="147" t="str">
        <f>IFERROR(SUMIFS(当年实际!$V:$V,当年实际!$F:$F,$C137,当年实际!$C:$C,"&gt;="&amp;DATE(YEAR(主页!$D$2),1,1),当年实际!$C:$C,"&lt;="&amp;EOMONTH(DATE(YEAR(主页!$D$2),MONTH(主页!$D$2),1),0))/SUMIFS(当年实际!$P:$P,当年实际!$F:$F,$C137,当年实际!$C:$C,"&gt;="&amp;DATE(YEAR(主页!$D$2),1,1),当年实际!$C:$C,"&lt;="&amp;EOMONTH(DATE(YEAR(主页!$D$2),MONTH(主页!$D$2),1),0)),"")</f>
        <v/>
      </c>
    </row>
    <row r="138" spans="1:10" x14ac:dyDescent="0.3">
      <c r="A138" s="150"/>
      <c r="B138" s="150"/>
      <c r="C138" s="150"/>
      <c r="D138" s="150"/>
      <c r="E138" s="140" t="str">
        <f t="shared" si="7"/>
        <v/>
      </c>
      <c r="F138" s="159"/>
      <c r="G138" s="145">
        <f t="shared" si="9"/>
        <v>0</v>
      </c>
      <c r="H138" s="140" t="str">
        <f t="shared" si="8"/>
        <v/>
      </c>
      <c r="I138"/>
      <c r="J138" s="147" t="str">
        <f>IFERROR(SUMIFS(当年实际!$V:$V,当年实际!$F:$F,$C138,当年实际!$C:$C,"&gt;="&amp;DATE(YEAR(主页!$D$2),1,1),当年实际!$C:$C,"&lt;="&amp;EOMONTH(DATE(YEAR(主页!$D$2),MONTH(主页!$D$2),1),0))/SUMIFS(当年实际!$P:$P,当年实际!$F:$F,$C138,当年实际!$C:$C,"&gt;="&amp;DATE(YEAR(主页!$D$2),1,1),当年实际!$C:$C,"&lt;="&amp;EOMONTH(DATE(YEAR(主页!$D$2),MONTH(主页!$D$2),1),0)),"")</f>
        <v/>
      </c>
    </row>
    <row r="139" spans="1:10" x14ac:dyDescent="0.3">
      <c r="A139" s="150"/>
      <c r="B139" s="150"/>
      <c r="C139" s="150"/>
      <c r="D139" s="150"/>
      <c r="E139" s="140" t="str">
        <f t="shared" si="7"/>
        <v/>
      </c>
      <c r="F139" s="159"/>
      <c r="G139" s="145">
        <f t="shared" si="9"/>
        <v>0</v>
      </c>
      <c r="H139" s="140" t="str">
        <f t="shared" si="8"/>
        <v/>
      </c>
      <c r="I139"/>
      <c r="J139" s="147" t="str">
        <f>IFERROR(SUMIFS(当年实际!$V:$V,当年实际!$F:$F,$C139,当年实际!$C:$C,"&gt;="&amp;DATE(YEAR(主页!$D$2),1,1),当年实际!$C:$C,"&lt;="&amp;EOMONTH(DATE(YEAR(主页!$D$2),MONTH(主页!$D$2),1),0))/SUMIFS(当年实际!$P:$P,当年实际!$F:$F,$C139,当年实际!$C:$C,"&gt;="&amp;DATE(YEAR(主页!$D$2),1,1),当年实际!$C:$C,"&lt;="&amp;EOMONTH(DATE(YEAR(主页!$D$2),MONTH(主页!$D$2),1),0)),"")</f>
        <v/>
      </c>
    </row>
    <row r="140" spans="1:10" x14ac:dyDescent="0.3">
      <c r="A140" s="150"/>
      <c r="B140" s="150"/>
      <c r="C140" s="150"/>
      <c r="D140" s="150"/>
      <c r="E140" s="140" t="str">
        <f t="shared" si="7"/>
        <v/>
      </c>
      <c r="F140" s="159"/>
      <c r="G140" s="145">
        <f t="shared" si="9"/>
        <v>0</v>
      </c>
      <c r="H140" s="140" t="str">
        <f t="shared" si="8"/>
        <v/>
      </c>
      <c r="I140"/>
      <c r="J140" s="147" t="str">
        <f>IFERROR(SUMIFS(当年实际!$V:$V,当年实际!$F:$F,$C140,当年实际!$C:$C,"&gt;="&amp;DATE(YEAR(主页!$D$2),1,1),当年实际!$C:$C,"&lt;="&amp;EOMONTH(DATE(YEAR(主页!$D$2),MONTH(主页!$D$2),1),0))/SUMIFS(当年实际!$P:$P,当年实际!$F:$F,$C140,当年实际!$C:$C,"&gt;="&amp;DATE(YEAR(主页!$D$2),1,1),当年实际!$C:$C,"&lt;="&amp;EOMONTH(DATE(YEAR(主页!$D$2),MONTH(主页!$D$2),1),0)),"")</f>
        <v/>
      </c>
    </row>
    <row r="141" spans="1:10" x14ac:dyDescent="0.3">
      <c r="A141" s="150"/>
      <c r="B141" s="150"/>
      <c r="C141" s="150"/>
      <c r="D141" s="150"/>
      <c r="E141" s="140" t="str">
        <f t="shared" si="7"/>
        <v/>
      </c>
      <c r="F141" s="159"/>
      <c r="G141" s="145">
        <f t="shared" si="9"/>
        <v>0</v>
      </c>
      <c r="H141" s="140" t="str">
        <f t="shared" si="8"/>
        <v/>
      </c>
      <c r="I141"/>
      <c r="J141" s="147" t="str">
        <f>IFERROR(SUMIFS(当年实际!$V:$V,当年实际!$F:$F,$C141,当年实际!$C:$C,"&gt;="&amp;DATE(YEAR(主页!$D$2),1,1),当年实际!$C:$C,"&lt;="&amp;EOMONTH(DATE(YEAR(主页!$D$2),MONTH(主页!$D$2),1),0))/SUMIFS(当年实际!$P:$P,当年实际!$F:$F,$C141,当年实际!$C:$C,"&gt;="&amp;DATE(YEAR(主页!$D$2),1,1),当年实际!$C:$C,"&lt;="&amp;EOMONTH(DATE(YEAR(主页!$D$2),MONTH(主页!$D$2),1),0)),"")</f>
        <v/>
      </c>
    </row>
    <row r="142" spans="1:10" x14ac:dyDescent="0.3">
      <c r="A142" s="150"/>
      <c r="B142" s="150"/>
      <c r="C142" s="150"/>
      <c r="D142" s="150"/>
      <c r="E142" s="140" t="str">
        <f t="shared" si="7"/>
        <v/>
      </c>
      <c r="F142" s="159"/>
      <c r="G142" s="145">
        <f t="shared" si="9"/>
        <v>0</v>
      </c>
      <c r="H142" s="140" t="str">
        <f t="shared" si="8"/>
        <v/>
      </c>
      <c r="I142"/>
      <c r="J142" s="147" t="str">
        <f>IFERROR(SUMIFS(当年实际!$V:$V,当年实际!$F:$F,$C142,当年实际!$C:$C,"&gt;="&amp;DATE(YEAR(主页!$D$2),1,1),当年实际!$C:$C,"&lt;="&amp;EOMONTH(DATE(YEAR(主页!$D$2),MONTH(主页!$D$2),1),0))/SUMIFS(当年实际!$P:$P,当年实际!$F:$F,$C142,当年实际!$C:$C,"&gt;="&amp;DATE(YEAR(主页!$D$2),1,1),当年实际!$C:$C,"&lt;="&amp;EOMONTH(DATE(YEAR(主页!$D$2),MONTH(主页!$D$2),1),0)),"")</f>
        <v/>
      </c>
    </row>
    <row r="143" spans="1:10" x14ac:dyDescent="0.3">
      <c r="A143" s="150"/>
      <c r="B143" s="150"/>
      <c r="C143" s="150"/>
      <c r="D143" s="150"/>
      <c r="E143" s="140" t="str">
        <f t="shared" si="7"/>
        <v/>
      </c>
      <c r="F143" s="159"/>
      <c r="G143" s="145">
        <f t="shared" si="9"/>
        <v>0</v>
      </c>
      <c r="H143" s="140" t="str">
        <f t="shared" si="8"/>
        <v/>
      </c>
      <c r="I143"/>
      <c r="J143" s="147" t="str">
        <f>IFERROR(SUMIFS(当年实际!$V:$V,当年实际!$F:$F,$C143,当年实际!$C:$C,"&gt;="&amp;DATE(YEAR(主页!$D$2),1,1),当年实际!$C:$C,"&lt;="&amp;EOMONTH(DATE(YEAR(主页!$D$2),MONTH(主页!$D$2),1),0))/SUMIFS(当年实际!$P:$P,当年实际!$F:$F,$C143,当年实际!$C:$C,"&gt;="&amp;DATE(YEAR(主页!$D$2),1,1),当年实际!$C:$C,"&lt;="&amp;EOMONTH(DATE(YEAR(主页!$D$2),MONTH(主页!$D$2),1),0)),"")</f>
        <v/>
      </c>
    </row>
    <row r="144" spans="1:10" x14ac:dyDescent="0.3">
      <c r="A144" s="150"/>
      <c r="B144" s="150"/>
      <c r="C144" s="150"/>
      <c r="D144" s="150"/>
      <c r="E144" s="140" t="str">
        <f t="shared" si="7"/>
        <v/>
      </c>
      <c r="F144" s="159"/>
      <c r="G144" s="145">
        <f t="shared" si="9"/>
        <v>0</v>
      </c>
      <c r="H144" s="140" t="str">
        <f t="shared" si="8"/>
        <v/>
      </c>
      <c r="I144"/>
      <c r="J144" s="147" t="str">
        <f>IFERROR(SUMIFS(当年实际!$V:$V,当年实际!$F:$F,$C144,当年实际!$C:$C,"&gt;="&amp;DATE(YEAR(主页!$D$2),1,1),当年实际!$C:$C,"&lt;="&amp;EOMONTH(DATE(YEAR(主页!$D$2),MONTH(主页!$D$2),1),0))/SUMIFS(当年实际!$P:$P,当年实际!$F:$F,$C144,当年实际!$C:$C,"&gt;="&amp;DATE(YEAR(主页!$D$2),1,1),当年实际!$C:$C,"&lt;="&amp;EOMONTH(DATE(YEAR(主页!$D$2),MONTH(主页!$D$2),1),0)),"")</f>
        <v/>
      </c>
    </row>
    <row r="145" spans="1:10" x14ac:dyDescent="0.3">
      <c r="A145" s="150"/>
      <c r="B145" s="150"/>
      <c r="C145" s="150"/>
      <c r="D145" s="150"/>
      <c r="E145" s="140" t="str">
        <f t="shared" si="7"/>
        <v/>
      </c>
      <c r="F145" s="159"/>
      <c r="G145" s="145">
        <f t="shared" si="9"/>
        <v>0</v>
      </c>
      <c r="H145" s="140" t="str">
        <f t="shared" si="8"/>
        <v/>
      </c>
      <c r="I145"/>
      <c r="J145" s="147" t="str">
        <f>IFERROR(SUMIFS(当年实际!$V:$V,当年实际!$F:$F,$C145,当年实际!$C:$C,"&gt;="&amp;DATE(YEAR(主页!$D$2),1,1),当年实际!$C:$C,"&lt;="&amp;EOMONTH(DATE(YEAR(主页!$D$2),MONTH(主页!$D$2),1),0))/SUMIFS(当年实际!$P:$P,当年实际!$F:$F,$C145,当年实际!$C:$C,"&gt;="&amp;DATE(YEAR(主页!$D$2),1,1),当年实际!$C:$C,"&lt;="&amp;EOMONTH(DATE(YEAR(主页!$D$2),MONTH(主页!$D$2),1),0)),"")</f>
        <v/>
      </c>
    </row>
    <row r="146" spans="1:10" x14ac:dyDescent="0.3">
      <c r="A146" s="150"/>
      <c r="B146" s="150"/>
      <c r="C146" s="150"/>
      <c r="D146" s="150"/>
      <c r="E146" s="140" t="str">
        <f t="shared" si="7"/>
        <v/>
      </c>
      <c r="F146" s="159"/>
      <c r="G146" s="145">
        <f t="shared" si="9"/>
        <v>0</v>
      </c>
      <c r="H146" s="140" t="str">
        <f t="shared" si="8"/>
        <v/>
      </c>
      <c r="I146"/>
      <c r="J146" s="147" t="str">
        <f>IFERROR(SUMIFS(当年实际!$V:$V,当年实际!$F:$F,$C146,当年实际!$C:$C,"&gt;="&amp;DATE(YEAR(主页!$D$2),1,1),当年实际!$C:$C,"&lt;="&amp;EOMONTH(DATE(YEAR(主页!$D$2),MONTH(主页!$D$2),1),0))/SUMIFS(当年实际!$P:$P,当年实际!$F:$F,$C146,当年实际!$C:$C,"&gt;="&amp;DATE(YEAR(主页!$D$2),1,1),当年实际!$C:$C,"&lt;="&amp;EOMONTH(DATE(YEAR(主页!$D$2),MONTH(主页!$D$2),1),0)),"")</f>
        <v/>
      </c>
    </row>
    <row r="147" spans="1:10" x14ac:dyDescent="0.3">
      <c r="A147" s="150"/>
      <c r="B147" s="150"/>
      <c r="C147" s="150"/>
      <c r="D147" s="150"/>
      <c r="E147" s="140" t="str">
        <f t="shared" si="7"/>
        <v/>
      </c>
      <c r="F147" s="159"/>
      <c r="G147" s="145">
        <f t="shared" si="9"/>
        <v>0</v>
      </c>
      <c r="H147" s="140" t="str">
        <f t="shared" si="8"/>
        <v/>
      </c>
      <c r="I147"/>
      <c r="J147" s="147" t="str">
        <f>IFERROR(SUMIFS(当年实际!$V:$V,当年实际!$F:$F,$C147,当年实际!$C:$C,"&gt;="&amp;DATE(YEAR(主页!$D$2),1,1),当年实际!$C:$C,"&lt;="&amp;EOMONTH(DATE(YEAR(主页!$D$2),MONTH(主页!$D$2),1),0))/SUMIFS(当年实际!$P:$P,当年实际!$F:$F,$C147,当年实际!$C:$C,"&gt;="&amp;DATE(YEAR(主页!$D$2),1,1),当年实际!$C:$C,"&lt;="&amp;EOMONTH(DATE(YEAR(主页!$D$2),MONTH(主页!$D$2),1),0)),"")</f>
        <v/>
      </c>
    </row>
    <row r="148" spans="1:10" x14ac:dyDescent="0.3">
      <c r="A148" s="150"/>
      <c r="B148" s="150"/>
      <c r="C148" s="150"/>
      <c r="D148" s="150"/>
      <c r="E148" s="140" t="str">
        <f t="shared" si="7"/>
        <v/>
      </c>
      <c r="F148" s="159"/>
      <c r="G148" s="145">
        <f t="shared" si="9"/>
        <v>0</v>
      </c>
      <c r="H148" s="140" t="str">
        <f t="shared" si="8"/>
        <v/>
      </c>
      <c r="I148"/>
      <c r="J148" s="147" t="str">
        <f>IFERROR(SUMIFS(当年实际!$V:$V,当年实际!$F:$F,$C148,当年实际!$C:$C,"&gt;="&amp;DATE(YEAR(主页!$D$2),1,1),当年实际!$C:$C,"&lt;="&amp;EOMONTH(DATE(YEAR(主页!$D$2),MONTH(主页!$D$2),1),0))/SUMIFS(当年实际!$P:$P,当年实际!$F:$F,$C148,当年实际!$C:$C,"&gt;="&amp;DATE(YEAR(主页!$D$2),1,1),当年实际!$C:$C,"&lt;="&amp;EOMONTH(DATE(YEAR(主页!$D$2),MONTH(主页!$D$2),1),0)),"")</f>
        <v/>
      </c>
    </row>
    <row r="149" spans="1:10" x14ac:dyDescent="0.3">
      <c r="A149" s="150"/>
      <c r="B149" s="150"/>
      <c r="C149" s="150"/>
      <c r="D149" s="150"/>
      <c r="E149" s="140" t="str">
        <f t="shared" si="7"/>
        <v/>
      </c>
      <c r="F149" s="159"/>
      <c r="G149" s="145">
        <f t="shared" si="9"/>
        <v>0</v>
      </c>
      <c r="H149" s="140" t="str">
        <f t="shared" si="8"/>
        <v/>
      </c>
      <c r="I149"/>
      <c r="J149" s="147" t="str">
        <f>IFERROR(SUMIFS(当年实际!$V:$V,当年实际!$F:$F,$C149,当年实际!$C:$C,"&gt;="&amp;DATE(YEAR(主页!$D$2),1,1),当年实际!$C:$C,"&lt;="&amp;EOMONTH(DATE(YEAR(主页!$D$2),MONTH(主页!$D$2),1),0))/SUMIFS(当年实际!$P:$P,当年实际!$F:$F,$C149,当年实际!$C:$C,"&gt;="&amp;DATE(YEAR(主页!$D$2),1,1),当年实际!$C:$C,"&lt;="&amp;EOMONTH(DATE(YEAR(主页!$D$2),MONTH(主页!$D$2),1),0)),"")</f>
        <v/>
      </c>
    </row>
    <row r="150" spans="1:10" x14ac:dyDescent="0.3">
      <c r="A150" s="150"/>
      <c r="B150" s="150"/>
      <c r="C150" s="150"/>
      <c r="D150" s="150"/>
      <c r="E150" s="140" t="str">
        <f t="shared" si="7"/>
        <v/>
      </c>
      <c r="F150" s="159"/>
      <c r="G150" s="145">
        <f t="shared" si="9"/>
        <v>0</v>
      </c>
      <c r="H150" s="140" t="str">
        <f t="shared" si="8"/>
        <v/>
      </c>
      <c r="I150"/>
      <c r="J150" s="147" t="str">
        <f>IFERROR(SUMIFS(当年实际!$V:$V,当年实际!$F:$F,$C150,当年实际!$C:$C,"&gt;="&amp;DATE(YEAR(主页!$D$2),1,1),当年实际!$C:$C,"&lt;="&amp;EOMONTH(DATE(YEAR(主页!$D$2),MONTH(主页!$D$2),1),0))/SUMIFS(当年实际!$P:$P,当年实际!$F:$F,$C150,当年实际!$C:$C,"&gt;="&amp;DATE(YEAR(主页!$D$2),1,1),当年实际!$C:$C,"&lt;="&amp;EOMONTH(DATE(YEAR(主页!$D$2),MONTH(主页!$D$2),1),0)),"")</f>
        <v/>
      </c>
    </row>
    <row r="151" spans="1:10" x14ac:dyDescent="0.3">
      <c r="A151" s="150"/>
      <c r="B151" s="150"/>
      <c r="C151" s="150"/>
      <c r="D151" s="150"/>
      <c r="E151" s="140" t="str">
        <f t="shared" si="7"/>
        <v/>
      </c>
      <c r="F151" s="159"/>
      <c r="G151" s="145">
        <f t="shared" si="9"/>
        <v>0</v>
      </c>
      <c r="H151" s="140" t="str">
        <f t="shared" si="8"/>
        <v/>
      </c>
      <c r="I151"/>
      <c r="J151" s="147" t="str">
        <f>IFERROR(SUMIFS(当年实际!$V:$V,当年实际!$F:$F,$C151,当年实际!$C:$C,"&gt;="&amp;DATE(YEAR(主页!$D$2),1,1),当年实际!$C:$C,"&lt;="&amp;EOMONTH(DATE(YEAR(主页!$D$2),MONTH(主页!$D$2),1),0))/SUMIFS(当年实际!$P:$P,当年实际!$F:$F,$C151,当年实际!$C:$C,"&gt;="&amp;DATE(YEAR(主页!$D$2),1,1),当年实际!$C:$C,"&lt;="&amp;EOMONTH(DATE(YEAR(主页!$D$2),MONTH(主页!$D$2),1),0)),"")</f>
        <v/>
      </c>
    </row>
    <row r="152" spans="1:10" x14ac:dyDescent="0.3">
      <c r="A152" s="150"/>
      <c r="B152" s="150"/>
      <c r="C152" s="150"/>
      <c r="D152" s="150"/>
      <c r="E152" s="140" t="str">
        <f t="shared" si="7"/>
        <v/>
      </c>
      <c r="F152" s="159"/>
      <c r="G152" s="145">
        <f t="shared" si="9"/>
        <v>0</v>
      </c>
      <c r="H152" s="140" t="str">
        <f t="shared" si="8"/>
        <v/>
      </c>
      <c r="I152"/>
      <c r="J152" s="147" t="str">
        <f>IFERROR(SUMIFS(当年实际!$V:$V,当年实际!$F:$F,$C152,当年实际!$C:$C,"&gt;="&amp;DATE(YEAR(主页!$D$2),1,1),当年实际!$C:$C,"&lt;="&amp;EOMONTH(DATE(YEAR(主页!$D$2),MONTH(主页!$D$2),1),0))/SUMIFS(当年实际!$P:$P,当年实际!$F:$F,$C152,当年实际!$C:$C,"&gt;="&amp;DATE(YEAR(主页!$D$2),1,1),当年实际!$C:$C,"&lt;="&amp;EOMONTH(DATE(YEAR(主页!$D$2),MONTH(主页!$D$2),1),0)),"")</f>
        <v/>
      </c>
    </row>
    <row r="153" spans="1:10" x14ac:dyDescent="0.3">
      <c r="A153" s="150"/>
      <c r="B153" s="150"/>
      <c r="C153" s="150"/>
      <c r="D153" s="150"/>
      <c r="E153" s="140" t="str">
        <f t="shared" si="7"/>
        <v/>
      </c>
      <c r="F153" s="159"/>
      <c r="G153" s="145">
        <f t="shared" si="9"/>
        <v>0</v>
      </c>
      <c r="H153" s="140" t="str">
        <f t="shared" si="8"/>
        <v/>
      </c>
      <c r="I153"/>
      <c r="J153" s="147" t="str">
        <f>IFERROR(SUMIFS(当年实际!$V:$V,当年实际!$F:$F,$C153,当年实际!$C:$C,"&gt;="&amp;DATE(YEAR(主页!$D$2),1,1),当年实际!$C:$C,"&lt;="&amp;EOMONTH(DATE(YEAR(主页!$D$2),MONTH(主页!$D$2),1),0))/SUMIFS(当年实际!$P:$P,当年实际!$F:$F,$C153,当年实际!$C:$C,"&gt;="&amp;DATE(YEAR(主页!$D$2),1,1),当年实际!$C:$C,"&lt;="&amp;EOMONTH(DATE(YEAR(主页!$D$2),MONTH(主页!$D$2),1),0)),"")</f>
        <v/>
      </c>
    </row>
    <row r="154" spans="1:10" x14ac:dyDescent="0.3">
      <c r="A154" s="150"/>
      <c r="B154" s="150"/>
      <c r="C154" s="150"/>
      <c r="D154" s="150"/>
      <c r="E154" s="140" t="str">
        <f t="shared" si="7"/>
        <v/>
      </c>
      <c r="F154" s="159"/>
      <c r="G154" s="145">
        <f t="shared" si="9"/>
        <v>0</v>
      </c>
      <c r="H154" s="140" t="str">
        <f t="shared" si="8"/>
        <v/>
      </c>
      <c r="I154"/>
      <c r="J154" s="147" t="str">
        <f>IFERROR(SUMIFS(当年实际!$V:$V,当年实际!$F:$F,$C154,当年实际!$C:$C,"&gt;="&amp;DATE(YEAR(主页!$D$2),1,1),当年实际!$C:$C,"&lt;="&amp;EOMONTH(DATE(YEAR(主页!$D$2),MONTH(主页!$D$2),1),0))/SUMIFS(当年实际!$P:$P,当年实际!$F:$F,$C154,当年实际!$C:$C,"&gt;="&amp;DATE(YEAR(主页!$D$2),1,1),当年实际!$C:$C,"&lt;="&amp;EOMONTH(DATE(YEAR(主页!$D$2),MONTH(主页!$D$2),1),0)),"")</f>
        <v/>
      </c>
    </row>
    <row r="155" spans="1:10" x14ac:dyDescent="0.3">
      <c r="A155" s="150"/>
      <c r="B155" s="150"/>
      <c r="C155" s="150"/>
      <c r="D155" s="150"/>
      <c r="E155" s="140" t="str">
        <f t="shared" si="7"/>
        <v/>
      </c>
      <c r="F155" s="159"/>
      <c r="G155" s="145">
        <f t="shared" si="9"/>
        <v>0</v>
      </c>
      <c r="H155" s="140" t="str">
        <f t="shared" si="8"/>
        <v/>
      </c>
      <c r="I155"/>
      <c r="J155" s="147" t="str">
        <f>IFERROR(SUMIFS(当年实际!$V:$V,当年实际!$F:$F,$C155,当年实际!$C:$C,"&gt;="&amp;DATE(YEAR(主页!$D$2),1,1),当年实际!$C:$C,"&lt;="&amp;EOMONTH(DATE(YEAR(主页!$D$2),MONTH(主页!$D$2),1),0))/SUMIFS(当年实际!$P:$P,当年实际!$F:$F,$C155,当年实际!$C:$C,"&gt;="&amp;DATE(YEAR(主页!$D$2),1,1),当年实际!$C:$C,"&lt;="&amp;EOMONTH(DATE(YEAR(主页!$D$2),MONTH(主页!$D$2),1),0)),"")</f>
        <v/>
      </c>
    </row>
    <row r="156" spans="1:10" x14ac:dyDescent="0.3">
      <c r="A156" s="150"/>
      <c r="B156" s="150"/>
      <c r="C156" s="150"/>
      <c r="D156" s="150"/>
      <c r="E156" s="140" t="str">
        <f t="shared" si="7"/>
        <v/>
      </c>
      <c r="F156" s="159"/>
      <c r="G156" s="145">
        <f t="shared" si="9"/>
        <v>0</v>
      </c>
      <c r="H156" s="140" t="str">
        <f t="shared" si="8"/>
        <v/>
      </c>
      <c r="I156"/>
      <c r="J156" s="147" t="str">
        <f>IFERROR(SUMIFS(当年实际!$V:$V,当年实际!$F:$F,$C156,当年实际!$C:$C,"&gt;="&amp;DATE(YEAR(主页!$D$2),1,1),当年实际!$C:$C,"&lt;="&amp;EOMONTH(DATE(YEAR(主页!$D$2),MONTH(主页!$D$2),1),0))/SUMIFS(当年实际!$P:$P,当年实际!$F:$F,$C156,当年实际!$C:$C,"&gt;="&amp;DATE(YEAR(主页!$D$2),1,1),当年实际!$C:$C,"&lt;="&amp;EOMONTH(DATE(YEAR(主页!$D$2),MONTH(主页!$D$2),1),0)),"")</f>
        <v/>
      </c>
    </row>
    <row r="157" spans="1:10" x14ac:dyDescent="0.3">
      <c r="A157" s="150"/>
      <c r="B157" s="150"/>
      <c r="C157" s="150"/>
      <c r="D157" s="150"/>
      <c r="E157" s="140" t="str">
        <f t="shared" si="7"/>
        <v/>
      </c>
      <c r="F157" s="159"/>
      <c r="G157" s="145">
        <f t="shared" si="9"/>
        <v>0</v>
      </c>
      <c r="H157" s="140" t="str">
        <f t="shared" si="8"/>
        <v/>
      </c>
      <c r="I157"/>
      <c r="J157" s="147" t="str">
        <f>IFERROR(SUMIFS(当年实际!$V:$V,当年实际!$F:$F,$C157,当年实际!$C:$C,"&gt;="&amp;DATE(YEAR(主页!$D$2),1,1),当年实际!$C:$C,"&lt;="&amp;EOMONTH(DATE(YEAR(主页!$D$2),MONTH(主页!$D$2),1),0))/SUMIFS(当年实际!$P:$P,当年实际!$F:$F,$C157,当年实际!$C:$C,"&gt;="&amp;DATE(YEAR(主页!$D$2),1,1),当年实际!$C:$C,"&lt;="&amp;EOMONTH(DATE(YEAR(主页!$D$2),MONTH(主页!$D$2),1),0)),"")</f>
        <v/>
      </c>
    </row>
    <row r="158" spans="1:10" x14ac:dyDescent="0.3">
      <c r="A158" s="150"/>
      <c r="B158" s="150"/>
      <c r="C158" s="150"/>
      <c r="D158" s="150"/>
      <c r="E158" s="140" t="str">
        <f t="shared" si="7"/>
        <v/>
      </c>
      <c r="F158" s="159"/>
      <c r="G158" s="145">
        <f t="shared" si="9"/>
        <v>0</v>
      </c>
      <c r="H158" s="140" t="str">
        <f t="shared" si="8"/>
        <v/>
      </c>
      <c r="I158"/>
      <c r="J158" s="147" t="str">
        <f>IFERROR(SUMIFS(当年实际!$V:$V,当年实际!$F:$F,$C158,当年实际!$C:$C,"&gt;="&amp;DATE(YEAR(主页!$D$2),1,1),当年实际!$C:$C,"&lt;="&amp;EOMONTH(DATE(YEAR(主页!$D$2),MONTH(主页!$D$2),1),0))/SUMIFS(当年实际!$P:$P,当年实际!$F:$F,$C158,当年实际!$C:$C,"&gt;="&amp;DATE(YEAR(主页!$D$2),1,1),当年实际!$C:$C,"&lt;="&amp;EOMONTH(DATE(YEAR(主页!$D$2),MONTH(主页!$D$2),1),0)),"")</f>
        <v/>
      </c>
    </row>
    <row r="159" spans="1:10" x14ac:dyDescent="0.3">
      <c r="A159" s="150"/>
      <c r="B159" s="150"/>
      <c r="C159" s="150"/>
      <c r="D159" s="150"/>
      <c r="E159" s="140" t="str">
        <f t="shared" si="7"/>
        <v/>
      </c>
      <c r="F159" s="159"/>
      <c r="G159" s="145">
        <f t="shared" si="9"/>
        <v>0</v>
      </c>
      <c r="H159" s="140" t="str">
        <f t="shared" si="8"/>
        <v/>
      </c>
      <c r="I159"/>
      <c r="J159" s="147" t="str">
        <f>IFERROR(SUMIFS(当年实际!$V:$V,当年实际!$F:$F,$C159,当年实际!$C:$C,"&gt;="&amp;DATE(YEAR(主页!$D$2),1,1),当年实际!$C:$C,"&lt;="&amp;EOMONTH(DATE(YEAR(主页!$D$2),MONTH(主页!$D$2),1),0))/SUMIFS(当年实际!$P:$P,当年实际!$F:$F,$C159,当年实际!$C:$C,"&gt;="&amp;DATE(YEAR(主页!$D$2),1,1),当年实际!$C:$C,"&lt;="&amp;EOMONTH(DATE(YEAR(主页!$D$2),MONTH(主页!$D$2),1),0)),"")</f>
        <v/>
      </c>
    </row>
    <row r="160" spans="1:10" x14ac:dyDescent="0.3">
      <c r="A160" s="150"/>
      <c r="B160" s="150"/>
      <c r="C160" s="150"/>
      <c r="D160" s="150"/>
      <c r="E160" s="140" t="str">
        <f t="shared" si="7"/>
        <v/>
      </c>
      <c r="F160" s="159"/>
      <c r="G160" s="145">
        <f t="shared" si="9"/>
        <v>0</v>
      </c>
      <c r="H160" s="140" t="str">
        <f t="shared" si="8"/>
        <v/>
      </c>
      <c r="I160"/>
      <c r="J160" s="147" t="str">
        <f>IFERROR(SUMIFS(当年实际!$V:$V,当年实际!$F:$F,$C160,当年实际!$C:$C,"&gt;="&amp;DATE(YEAR(主页!$D$2),1,1),当年实际!$C:$C,"&lt;="&amp;EOMONTH(DATE(YEAR(主页!$D$2),MONTH(主页!$D$2),1),0))/SUMIFS(当年实际!$P:$P,当年实际!$F:$F,$C160,当年实际!$C:$C,"&gt;="&amp;DATE(YEAR(主页!$D$2),1,1),当年实际!$C:$C,"&lt;="&amp;EOMONTH(DATE(YEAR(主页!$D$2),MONTH(主页!$D$2),1),0)),"")</f>
        <v/>
      </c>
    </row>
    <row r="161" spans="1:10" x14ac:dyDescent="0.3">
      <c r="A161" s="150"/>
      <c r="B161" s="150"/>
      <c r="C161" s="150"/>
      <c r="D161" s="150"/>
      <c r="E161" s="140" t="str">
        <f t="shared" si="7"/>
        <v/>
      </c>
      <c r="F161" s="159"/>
      <c r="G161" s="145">
        <f t="shared" si="9"/>
        <v>0</v>
      </c>
      <c r="H161" s="140" t="str">
        <f t="shared" si="8"/>
        <v/>
      </c>
      <c r="I161"/>
      <c r="J161" s="147" t="str">
        <f>IFERROR(SUMIFS(当年实际!$V:$V,当年实际!$F:$F,$C161,当年实际!$C:$C,"&gt;="&amp;DATE(YEAR(主页!$D$2),1,1),当年实际!$C:$C,"&lt;="&amp;EOMONTH(DATE(YEAR(主页!$D$2),MONTH(主页!$D$2),1),0))/SUMIFS(当年实际!$P:$P,当年实际!$F:$F,$C161,当年实际!$C:$C,"&gt;="&amp;DATE(YEAR(主页!$D$2),1,1),当年实际!$C:$C,"&lt;="&amp;EOMONTH(DATE(YEAR(主页!$D$2),MONTH(主页!$D$2),1),0)),"")</f>
        <v/>
      </c>
    </row>
    <row r="162" spans="1:10" x14ac:dyDescent="0.3">
      <c r="A162" s="150"/>
      <c r="B162" s="150"/>
      <c r="C162" s="150"/>
      <c r="D162" s="150"/>
      <c r="E162" s="140" t="str">
        <f t="shared" si="7"/>
        <v/>
      </c>
      <c r="F162" s="159"/>
      <c r="G162" s="145">
        <f t="shared" si="9"/>
        <v>0</v>
      </c>
      <c r="H162" s="140" t="str">
        <f t="shared" si="8"/>
        <v/>
      </c>
      <c r="I162"/>
      <c r="J162" s="147" t="str">
        <f>IFERROR(SUMIFS(当年实际!$V:$V,当年实际!$F:$F,$C162,当年实际!$C:$C,"&gt;="&amp;DATE(YEAR(主页!$D$2),1,1),当年实际!$C:$C,"&lt;="&amp;EOMONTH(DATE(YEAR(主页!$D$2),MONTH(主页!$D$2),1),0))/SUMIFS(当年实际!$P:$P,当年实际!$F:$F,$C162,当年实际!$C:$C,"&gt;="&amp;DATE(YEAR(主页!$D$2),1,1),当年实际!$C:$C,"&lt;="&amp;EOMONTH(DATE(YEAR(主页!$D$2),MONTH(主页!$D$2),1),0)),"")</f>
        <v/>
      </c>
    </row>
    <row r="163" spans="1:10" x14ac:dyDescent="0.3">
      <c r="A163" s="150"/>
      <c r="B163" s="150"/>
      <c r="C163" s="150"/>
      <c r="D163" s="150"/>
      <c r="E163" s="140" t="str">
        <f t="shared" si="7"/>
        <v/>
      </c>
      <c r="F163" s="159"/>
      <c r="G163" s="145">
        <f t="shared" si="9"/>
        <v>0</v>
      </c>
      <c r="H163" s="140" t="str">
        <f t="shared" si="8"/>
        <v/>
      </c>
      <c r="I163"/>
      <c r="J163" s="147" t="str">
        <f>IFERROR(SUMIFS(当年实际!$V:$V,当年实际!$F:$F,$C163,当年实际!$C:$C,"&gt;="&amp;DATE(YEAR(主页!$D$2),1,1),当年实际!$C:$C,"&lt;="&amp;EOMONTH(DATE(YEAR(主页!$D$2),MONTH(主页!$D$2),1),0))/SUMIFS(当年实际!$P:$P,当年实际!$F:$F,$C163,当年实际!$C:$C,"&gt;="&amp;DATE(YEAR(主页!$D$2),1,1),当年实际!$C:$C,"&lt;="&amp;EOMONTH(DATE(YEAR(主页!$D$2),MONTH(主页!$D$2),1),0)),"")</f>
        <v/>
      </c>
    </row>
    <row r="164" spans="1:10" x14ac:dyDescent="0.3">
      <c r="A164" s="150"/>
      <c r="B164" s="150"/>
      <c r="C164" s="150"/>
      <c r="D164" s="150"/>
      <c r="E164" s="140" t="str">
        <f t="shared" si="7"/>
        <v/>
      </c>
      <c r="F164" s="159"/>
      <c r="G164" s="145">
        <f t="shared" si="9"/>
        <v>0</v>
      </c>
      <c r="H164" s="140" t="str">
        <f t="shared" si="8"/>
        <v/>
      </c>
      <c r="I164"/>
      <c r="J164" s="147" t="str">
        <f>IFERROR(SUMIFS(当年实际!$V:$V,当年实际!$F:$F,$C164,当年实际!$C:$C,"&gt;="&amp;DATE(YEAR(主页!$D$2),1,1),当年实际!$C:$C,"&lt;="&amp;EOMONTH(DATE(YEAR(主页!$D$2),MONTH(主页!$D$2),1),0))/SUMIFS(当年实际!$P:$P,当年实际!$F:$F,$C164,当年实际!$C:$C,"&gt;="&amp;DATE(YEAR(主页!$D$2),1,1),当年实际!$C:$C,"&lt;="&amp;EOMONTH(DATE(YEAR(主页!$D$2),MONTH(主页!$D$2),1),0)),"")</f>
        <v/>
      </c>
    </row>
    <row r="165" spans="1:10" x14ac:dyDescent="0.3">
      <c r="A165" s="150"/>
      <c r="B165" s="150"/>
      <c r="C165" s="150"/>
      <c r="D165" s="150"/>
      <c r="E165" s="140" t="str">
        <f t="shared" si="7"/>
        <v/>
      </c>
      <c r="F165" s="159"/>
      <c r="G165" s="145">
        <f t="shared" si="9"/>
        <v>0</v>
      </c>
      <c r="H165" s="140" t="str">
        <f t="shared" si="8"/>
        <v/>
      </c>
      <c r="I165"/>
      <c r="J165" s="147" t="str">
        <f>IFERROR(SUMIFS(当年实际!$V:$V,当年实际!$F:$F,$C165,当年实际!$C:$C,"&gt;="&amp;DATE(YEAR(主页!$D$2),1,1),当年实际!$C:$C,"&lt;="&amp;EOMONTH(DATE(YEAR(主页!$D$2),MONTH(主页!$D$2),1),0))/SUMIFS(当年实际!$P:$P,当年实际!$F:$F,$C165,当年实际!$C:$C,"&gt;="&amp;DATE(YEAR(主页!$D$2),1,1),当年实际!$C:$C,"&lt;="&amp;EOMONTH(DATE(YEAR(主页!$D$2),MONTH(主页!$D$2),1),0)),"")</f>
        <v/>
      </c>
    </row>
    <row r="166" spans="1:10" x14ac:dyDescent="0.3">
      <c r="A166" s="150"/>
      <c r="B166" s="150"/>
      <c r="C166" s="150"/>
      <c r="D166" s="150"/>
      <c r="E166" s="140" t="str">
        <f t="shared" si="7"/>
        <v/>
      </c>
      <c r="F166" s="159"/>
      <c r="G166" s="145">
        <f t="shared" si="9"/>
        <v>0</v>
      </c>
      <c r="H166" s="140" t="str">
        <f t="shared" si="8"/>
        <v/>
      </c>
      <c r="I166"/>
      <c r="J166" s="147" t="str">
        <f>IFERROR(SUMIFS(当年实际!$V:$V,当年实际!$F:$F,$C166,当年实际!$C:$C,"&gt;="&amp;DATE(YEAR(主页!$D$2),1,1),当年实际!$C:$C,"&lt;="&amp;EOMONTH(DATE(YEAR(主页!$D$2),MONTH(主页!$D$2),1),0))/SUMIFS(当年实际!$P:$P,当年实际!$F:$F,$C166,当年实际!$C:$C,"&gt;="&amp;DATE(YEAR(主页!$D$2),1,1),当年实际!$C:$C,"&lt;="&amp;EOMONTH(DATE(YEAR(主页!$D$2),MONTH(主页!$D$2),1),0)),"")</f>
        <v/>
      </c>
    </row>
    <row r="167" spans="1:10" x14ac:dyDescent="0.3">
      <c r="A167" s="150"/>
      <c r="B167" s="150"/>
      <c r="C167" s="150"/>
      <c r="D167" s="150"/>
      <c r="E167" s="140" t="str">
        <f t="shared" si="7"/>
        <v/>
      </c>
      <c r="F167" s="159"/>
      <c r="G167" s="145">
        <f t="shared" si="9"/>
        <v>0</v>
      </c>
      <c r="H167" s="140" t="str">
        <f t="shared" si="8"/>
        <v/>
      </c>
      <c r="I167"/>
      <c r="J167" s="147" t="str">
        <f>IFERROR(SUMIFS(当年实际!$V:$V,当年实际!$F:$F,$C167,当年实际!$C:$C,"&gt;="&amp;DATE(YEAR(主页!$D$2),1,1),当年实际!$C:$C,"&lt;="&amp;EOMONTH(DATE(YEAR(主页!$D$2),MONTH(主页!$D$2),1),0))/SUMIFS(当年实际!$P:$P,当年实际!$F:$F,$C167,当年实际!$C:$C,"&gt;="&amp;DATE(YEAR(主页!$D$2),1,1),当年实际!$C:$C,"&lt;="&amp;EOMONTH(DATE(YEAR(主页!$D$2),MONTH(主页!$D$2),1),0)),"")</f>
        <v/>
      </c>
    </row>
    <row r="168" spans="1:10" x14ac:dyDescent="0.3">
      <c r="A168" s="150"/>
      <c r="B168" s="150"/>
      <c r="C168" s="150"/>
      <c r="D168" s="150"/>
      <c r="E168" s="140" t="str">
        <f t="shared" si="7"/>
        <v/>
      </c>
      <c r="F168" s="159"/>
      <c r="G168" s="145">
        <f t="shared" si="9"/>
        <v>0</v>
      </c>
      <c r="H168" s="140" t="str">
        <f t="shared" si="8"/>
        <v/>
      </c>
      <c r="I168"/>
      <c r="J168" s="147" t="str">
        <f>IFERROR(SUMIFS(当年实际!$V:$V,当年实际!$F:$F,$C168,当年实际!$C:$C,"&gt;="&amp;DATE(YEAR(主页!$D$2),1,1),当年实际!$C:$C,"&lt;="&amp;EOMONTH(DATE(YEAR(主页!$D$2),MONTH(主页!$D$2),1),0))/SUMIFS(当年实际!$P:$P,当年实际!$F:$F,$C168,当年实际!$C:$C,"&gt;="&amp;DATE(YEAR(主页!$D$2),1,1),当年实际!$C:$C,"&lt;="&amp;EOMONTH(DATE(YEAR(主页!$D$2),MONTH(主页!$D$2),1),0)),"")</f>
        <v/>
      </c>
    </row>
    <row r="169" spans="1:10" x14ac:dyDescent="0.3">
      <c r="A169" s="150"/>
      <c r="B169" s="150"/>
      <c r="C169" s="150"/>
      <c r="D169" s="150"/>
      <c r="E169" s="140" t="str">
        <f t="shared" si="7"/>
        <v/>
      </c>
      <c r="F169" s="159"/>
      <c r="G169" s="145">
        <f t="shared" si="9"/>
        <v>0</v>
      </c>
      <c r="H169" s="140" t="str">
        <f t="shared" si="8"/>
        <v/>
      </c>
      <c r="I169"/>
      <c r="J169" s="147" t="str">
        <f>IFERROR(SUMIFS(当年实际!$V:$V,当年实际!$F:$F,$C169,当年实际!$C:$C,"&gt;="&amp;DATE(YEAR(主页!$D$2),1,1),当年实际!$C:$C,"&lt;="&amp;EOMONTH(DATE(YEAR(主页!$D$2),MONTH(主页!$D$2),1),0))/SUMIFS(当年实际!$P:$P,当年实际!$F:$F,$C169,当年实际!$C:$C,"&gt;="&amp;DATE(YEAR(主页!$D$2),1,1),当年实际!$C:$C,"&lt;="&amp;EOMONTH(DATE(YEAR(主页!$D$2),MONTH(主页!$D$2),1),0)),"")</f>
        <v/>
      </c>
    </row>
    <row r="170" spans="1:10" x14ac:dyDescent="0.3">
      <c r="A170" s="150"/>
      <c r="B170" s="150"/>
      <c r="C170" s="150"/>
      <c r="D170" s="150"/>
      <c r="E170" s="140" t="str">
        <f t="shared" si="7"/>
        <v/>
      </c>
      <c r="F170" s="159"/>
      <c r="G170" s="145">
        <f t="shared" si="9"/>
        <v>0</v>
      </c>
      <c r="H170" s="140" t="str">
        <f t="shared" si="8"/>
        <v/>
      </c>
      <c r="I170"/>
      <c r="J170" s="147" t="str">
        <f>IFERROR(SUMIFS(当年实际!$V:$V,当年实际!$F:$F,$C170,当年实际!$C:$C,"&gt;="&amp;DATE(YEAR(主页!$D$2),1,1),当年实际!$C:$C,"&lt;="&amp;EOMONTH(DATE(YEAR(主页!$D$2),MONTH(主页!$D$2),1),0))/SUMIFS(当年实际!$P:$P,当年实际!$F:$F,$C170,当年实际!$C:$C,"&gt;="&amp;DATE(YEAR(主页!$D$2),1,1),当年实际!$C:$C,"&lt;="&amp;EOMONTH(DATE(YEAR(主页!$D$2),MONTH(主页!$D$2),1),0)),"")</f>
        <v/>
      </c>
    </row>
    <row r="171" spans="1:10" x14ac:dyDescent="0.3">
      <c r="A171" s="150"/>
      <c r="B171" s="150"/>
      <c r="C171" s="150"/>
      <c r="D171" s="150"/>
      <c r="E171" s="140" t="str">
        <f t="shared" si="7"/>
        <v/>
      </c>
      <c r="F171" s="159"/>
      <c r="G171" s="145">
        <f t="shared" si="9"/>
        <v>0</v>
      </c>
      <c r="H171" s="140" t="str">
        <f t="shared" si="8"/>
        <v/>
      </c>
      <c r="I171"/>
      <c r="J171" s="147" t="str">
        <f>IFERROR(SUMIFS(当年实际!$V:$V,当年实际!$F:$F,$C171,当年实际!$C:$C,"&gt;="&amp;DATE(YEAR(主页!$D$2),1,1),当年实际!$C:$C,"&lt;="&amp;EOMONTH(DATE(YEAR(主页!$D$2),MONTH(主页!$D$2),1),0))/SUMIFS(当年实际!$P:$P,当年实际!$F:$F,$C171,当年实际!$C:$C,"&gt;="&amp;DATE(YEAR(主页!$D$2),1,1),当年实际!$C:$C,"&lt;="&amp;EOMONTH(DATE(YEAR(主页!$D$2),MONTH(主页!$D$2),1),0)),"")</f>
        <v/>
      </c>
    </row>
    <row r="172" spans="1:10" x14ac:dyDescent="0.3">
      <c r="A172" s="150"/>
      <c r="B172" s="150"/>
      <c r="C172" s="150"/>
      <c r="D172" s="150"/>
      <c r="E172" s="140" t="str">
        <f t="shared" si="7"/>
        <v/>
      </c>
      <c r="F172" s="159"/>
      <c r="G172" s="145">
        <f t="shared" si="9"/>
        <v>0</v>
      </c>
      <c r="H172" s="140" t="str">
        <f t="shared" si="8"/>
        <v/>
      </c>
      <c r="I172"/>
      <c r="J172" s="147" t="str">
        <f>IFERROR(SUMIFS(当年实际!$V:$V,当年实际!$F:$F,$C172,当年实际!$C:$C,"&gt;="&amp;DATE(YEAR(主页!$D$2),1,1),当年实际!$C:$C,"&lt;="&amp;EOMONTH(DATE(YEAR(主页!$D$2),MONTH(主页!$D$2),1),0))/SUMIFS(当年实际!$P:$P,当年实际!$F:$F,$C172,当年实际!$C:$C,"&gt;="&amp;DATE(YEAR(主页!$D$2),1,1),当年实际!$C:$C,"&lt;="&amp;EOMONTH(DATE(YEAR(主页!$D$2),MONTH(主页!$D$2),1),0)),"")</f>
        <v/>
      </c>
    </row>
    <row r="173" spans="1:10" x14ac:dyDescent="0.3">
      <c r="A173" s="150"/>
      <c r="B173" s="150"/>
      <c r="C173" s="150"/>
      <c r="D173" s="150"/>
      <c r="E173" s="140" t="str">
        <f t="shared" si="7"/>
        <v/>
      </c>
      <c r="F173" s="159"/>
      <c r="G173" s="145">
        <f t="shared" si="9"/>
        <v>0</v>
      </c>
      <c r="H173" s="140" t="str">
        <f t="shared" si="8"/>
        <v/>
      </c>
      <c r="I173"/>
      <c r="J173" s="147" t="str">
        <f>IFERROR(SUMIFS(当年实际!$V:$V,当年实际!$F:$F,$C173,当年实际!$C:$C,"&gt;="&amp;DATE(YEAR(主页!$D$2),1,1),当年实际!$C:$C,"&lt;="&amp;EOMONTH(DATE(YEAR(主页!$D$2),MONTH(主页!$D$2),1),0))/SUMIFS(当年实际!$P:$P,当年实际!$F:$F,$C173,当年实际!$C:$C,"&gt;="&amp;DATE(YEAR(主页!$D$2),1,1),当年实际!$C:$C,"&lt;="&amp;EOMONTH(DATE(YEAR(主页!$D$2),MONTH(主页!$D$2),1),0)),"")</f>
        <v/>
      </c>
    </row>
    <row r="174" spans="1:10" x14ac:dyDescent="0.3">
      <c r="A174" s="150"/>
      <c r="B174" s="150"/>
      <c r="C174" s="150"/>
      <c r="D174" s="150"/>
      <c r="E174" s="140" t="str">
        <f t="shared" si="7"/>
        <v/>
      </c>
      <c r="F174" s="159"/>
      <c r="G174" s="145">
        <f t="shared" si="9"/>
        <v>0</v>
      </c>
      <c r="H174" s="140" t="str">
        <f t="shared" si="8"/>
        <v/>
      </c>
      <c r="I174"/>
      <c r="J174" s="147" t="str">
        <f>IFERROR(SUMIFS(当年实际!$V:$V,当年实际!$F:$F,$C174,当年实际!$C:$C,"&gt;="&amp;DATE(YEAR(主页!$D$2),1,1),当年实际!$C:$C,"&lt;="&amp;EOMONTH(DATE(YEAR(主页!$D$2),MONTH(主页!$D$2),1),0))/SUMIFS(当年实际!$P:$P,当年实际!$F:$F,$C174,当年实际!$C:$C,"&gt;="&amp;DATE(YEAR(主页!$D$2),1,1),当年实际!$C:$C,"&lt;="&amp;EOMONTH(DATE(YEAR(主页!$D$2),MONTH(主页!$D$2),1),0)),"")</f>
        <v/>
      </c>
    </row>
    <row r="175" spans="1:10" x14ac:dyDescent="0.3">
      <c r="A175" s="150"/>
      <c r="B175" s="150"/>
      <c r="C175" s="150"/>
      <c r="D175" s="150"/>
      <c r="E175" s="140" t="str">
        <f t="shared" si="7"/>
        <v/>
      </c>
      <c r="F175" s="159"/>
      <c r="G175" s="145">
        <f t="shared" si="9"/>
        <v>0</v>
      </c>
      <c r="H175" s="140" t="str">
        <f t="shared" si="8"/>
        <v/>
      </c>
      <c r="I175"/>
      <c r="J175" s="147" t="str">
        <f>IFERROR(SUMIFS(当年实际!$V:$V,当年实际!$F:$F,$C175,当年实际!$C:$C,"&gt;="&amp;DATE(YEAR(主页!$D$2),1,1),当年实际!$C:$C,"&lt;="&amp;EOMONTH(DATE(YEAR(主页!$D$2),MONTH(主页!$D$2),1),0))/SUMIFS(当年实际!$P:$P,当年实际!$F:$F,$C175,当年实际!$C:$C,"&gt;="&amp;DATE(YEAR(主页!$D$2),1,1),当年实际!$C:$C,"&lt;="&amp;EOMONTH(DATE(YEAR(主页!$D$2),MONTH(主页!$D$2),1),0)),"")</f>
        <v/>
      </c>
    </row>
    <row r="176" spans="1:10" x14ac:dyDescent="0.3">
      <c r="A176" s="150"/>
      <c r="B176" s="150"/>
      <c r="C176" s="150"/>
      <c r="D176" s="150"/>
      <c r="E176" s="140" t="str">
        <f t="shared" si="7"/>
        <v/>
      </c>
      <c r="F176" s="159"/>
      <c r="G176" s="145">
        <f t="shared" si="9"/>
        <v>0</v>
      </c>
      <c r="H176" s="140" t="str">
        <f t="shared" si="8"/>
        <v/>
      </c>
      <c r="I176"/>
      <c r="J176" s="147" t="str">
        <f>IFERROR(SUMIFS(当年实际!$V:$V,当年实际!$F:$F,$C176,当年实际!$C:$C,"&gt;="&amp;DATE(YEAR(主页!$D$2),1,1),当年实际!$C:$C,"&lt;="&amp;EOMONTH(DATE(YEAR(主页!$D$2),MONTH(主页!$D$2),1),0))/SUMIFS(当年实际!$P:$P,当年实际!$F:$F,$C176,当年实际!$C:$C,"&gt;="&amp;DATE(YEAR(主页!$D$2),1,1),当年实际!$C:$C,"&lt;="&amp;EOMONTH(DATE(YEAR(主页!$D$2),MONTH(主页!$D$2),1),0)),"")</f>
        <v/>
      </c>
    </row>
    <row r="177" spans="1:10" x14ac:dyDescent="0.3">
      <c r="A177" s="150"/>
      <c r="B177" s="150"/>
      <c r="C177" s="150"/>
      <c r="D177" s="150"/>
      <c r="E177" s="140" t="str">
        <f t="shared" si="7"/>
        <v/>
      </c>
      <c r="F177" s="159"/>
      <c r="G177" s="145">
        <f t="shared" si="9"/>
        <v>0</v>
      </c>
      <c r="H177" s="140" t="str">
        <f t="shared" si="8"/>
        <v/>
      </c>
      <c r="I177"/>
      <c r="J177" s="147" t="str">
        <f>IFERROR(SUMIFS(当年实际!$V:$V,当年实际!$F:$F,$C177,当年实际!$C:$C,"&gt;="&amp;DATE(YEAR(主页!$D$2),1,1),当年实际!$C:$C,"&lt;="&amp;EOMONTH(DATE(YEAR(主页!$D$2),MONTH(主页!$D$2),1),0))/SUMIFS(当年实际!$P:$P,当年实际!$F:$F,$C177,当年实际!$C:$C,"&gt;="&amp;DATE(YEAR(主页!$D$2),1,1),当年实际!$C:$C,"&lt;="&amp;EOMONTH(DATE(YEAR(主页!$D$2),MONTH(主页!$D$2),1),0)),"")</f>
        <v/>
      </c>
    </row>
    <row r="178" spans="1:10" x14ac:dyDescent="0.3">
      <c r="A178" s="150"/>
      <c r="B178" s="150"/>
      <c r="C178" s="150"/>
      <c r="D178" s="150"/>
      <c r="E178" s="140" t="str">
        <f t="shared" si="7"/>
        <v/>
      </c>
      <c r="F178" s="159"/>
      <c r="G178" s="145">
        <f t="shared" si="9"/>
        <v>0</v>
      </c>
      <c r="H178" s="140" t="str">
        <f t="shared" si="8"/>
        <v/>
      </c>
      <c r="I178"/>
      <c r="J178" s="147" t="str">
        <f>IFERROR(SUMIFS(当年实际!$V:$V,当年实际!$F:$F,$C178,当年实际!$C:$C,"&gt;="&amp;DATE(YEAR(主页!$D$2),1,1),当年实际!$C:$C,"&lt;="&amp;EOMONTH(DATE(YEAR(主页!$D$2),MONTH(主页!$D$2),1),0))/SUMIFS(当年实际!$P:$P,当年实际!$F:$F,$C178,当年实际!$C:$C,"&gt;="&amp;DATE(YEAR(主页!$D$2),1,1),当年实际!$C:$C,"&lt;="&amp;EOMONTH(DATE(YEAR(主页!$D$2),MONTH(主页!$D$2),1),0)),"")</f>
        <v/>
      </c>
    </row>
    <row r="179" spans="1:10" x14ac:dyDescent="0.3">
      <c r="A179" s="150"/>
      <c r="B179" s="150"/>
      <c r="C179" s="150"/>
      <c r="D179" s="150"/>
      <c r="E179" s="140" t="str">
        <f t="shared" si="7"/>
        <v/>
      </c>
      <c r="F179" s="159"/>
      <c r="G179" s="145">
        <f t="shared" si="9"/>
        <v>0</v>
      </c>
      <c r="H179" s="140" t="str">
        <f t="shared" si="8"/>
        <v/>
      </c>
      <c r="I179"/>
      <c r="J179" s="147" t="str">
        <f>IFERROR(SUMIFS(当年实际!$V:$V,当年实际!$F:$F,$C179,当年实际!$C:$C,"&gt;="&amp;DATE(YEAR(主页!$D$2),1,1),当年实际!$C:$C,"&lt;="&amp;EOMONTH(DATE(YEAR(主页!$D$2),MONTH(主页!$D$2),1),0))/SUMIFS(当年实际!$P:$P,当年实际!$F:$F,$C179,当年实际!$C:$C,"&gt;="&amp;DATE(YEAR(主页!$D$2),1,1),当年实际!$C:$C,"&lt;="&amp;EOMONTH(DATE(YEAR(主页!$D$2),MONTH(主页!$D$2),1),0)),"")</f>
        <v/>
      </c>
    </row>
    <row r="180" spans="1:10" x14ac:dyDescent="0.3">
      <c r="A180" s="150"/>
      <c r="B180" s="150"/>
      <c r="C180" s="150"/>
      <c r="D180" s="150"/>
      <c r="E180" s="140" t="str">
        <f t="shared" si="7"/>
        <v/>
      </c>
      <c r="F180" s="159"/>
      <c r="G180" s="145">
        <f t="shared" si="9"/>
        <v>0</v>
      </c>
      <c r="H180" s="140" t="str">
        <f t="shared" si="8"/>
        <v/>
      </c>
      <c r="I180"/>
      <c r="J180" s="147" t="str">
        <f>IFERROR(SUMIFS(当年实际!$V:$V,当年实际!$F:$F,$C180,当年实际!$C:$C,"&gt;="&amp;DATE(YEAR(主页!$D$2),1,1),当年实际!$C:$C,"&lt;="&amp;EOMONTH(DATE(YEAR(主页!$D$2),MONTH(主页!$D$2),1),0))/SUMIFS(当年实际!$P:$P,当年实际!$F:$F,$C180,当年实际!$C:$C,"&gt;="&amp;DATE(YEAR(主页!$D$2),1,1),当年实际!$C:$C,"&lt;="&amp;EOMONTH(DATE(YEAR(主页!$D$2),MONTH(主页!$D$2),1),0)),"")</f>
        <v/>
      </c>
    </row>
    <row r="181" spans="1:10" x14ac:dyDescent="0.3">
      <c r="A181" s="150"/>
      <c r="B181" s="150"/>
      <c r="C181" s="150"/>
      <c r="D181" s="150"/>
      <c r="E181" s="140" t="str">
        <f t="shared" si="7"/>
        <v/>
      </c>
      <c r="F181" s="159"/>
      <c r="G181" s="145">
        <f t="shared" si="9"/>
        <v>0</v>
      </c>
      <c r="H181" s="140" t="str">
        <f t="shared" si="8"/>
        <v/>
      </c>
      <c r="I181"/>
      <c r="J181" s="147" t="str">
        <f>IFERROR(SUMIFS(当年实际!$V:$V,当年实际!$F:$F,$C181,当年实际!$C:$C,"&gt;="&amp;DATE(YEAR(主页!$D$2),1,1),当年实际!$C:$C,"&lt;="&amp;EOMONTH(DATE(YEAR(主页!$D$2),MONTH(主页!$D$2),1),0))/SUMIFS(当年实际!$P:$P,当年实际!$F:$F,$C181,当年实际!$C:$C,"&gt;="&amp;DATE(YEAR(主页!$D$2),1,1),当年实际!$C:$C,"&lt;="&amp;EOMONTH(DATE(YEAR(主页!$D$2),MONTH(主页!$D$2),1),0)),"")</f>
        <v/>
      </c>
    </row>
    <row r="182" spans="1:10" x14ac:dyDescent="0.3">
      <c r="A182" s="150"/>
      <c r="B182" s="150"/>
      <c r="C182" s="150"/>
      <c r="D182" s="150"/>
      <c r="E182" s="140" t="str">
        <f t="shared" si="7"/>
        <v/>
      </c>
      <c r="F182" s="159"/>
      <c r="G182" s="145">
        <f t="shared" si="9"/>
        <v>0</v>
      </c>
      <c r="H182" s="140" t="str">
        <f t="shared" si="8"/>
        <v/>
      </c>
      <c r="I182"/>
      <c r="J182" s="147" t="str">
        <f>IFERROR(SUMIFS(当年实际!$V:$V,当年实际!$F:$F,$C182,当年实际!$C:$C,"&gt;="&amp;DATE(YEAR(主页!$D$2),1,1),当年实际!$C:$C,"&lt;="&amp;EOMONTH(DATE(YEAR(主页!$D$2),MONTH(主页!$D$2),1),0))/SUMIFS(当年实际!$P:$P,当年实际!$F:$F,$C182,当年实际!$C:$C,"&gt;="&amp;DATE(YEAR(主页!$D$2),1,1),当年实际!$C:$C,"&lt;="&amp;EOMONTH(DATE(YEAR(主页!$D$2),MONTH(主页!$D$2),1),0)),"")</f>
        <v/>
      </c>
    </row>
    <row r="183" spans="1:10" x14ac:dyDescent="0.3">
      <c r="A183" s="150"/>
      <c r="B183" s="150"/>
      <c r="C183" s="150"/>
      <c r="D183" s="150"/>
      <c r="E183" s="140" t="str">
        <f t="shared" si="7"/>
        <v/>
      </c>
      <c r="F183" s="159"/>
      <c r="G183" s="145">
        <f t="shared" si="9"/>
        <v>0</v>
      </c>
      <c r="H183" s="140" t="str">
        <f t="shared" si="8"/>
        <v/>
      </c>
      <c r="I183"/>
      <c r="J183" s="147" t="str">
        <f>IFERROR(SUMIFS(当年实际!$V:$V,当年实际!$F:$F,$C183,当年实际!$C:$C,"&gt;="&amp;DATE(YEAR(主页!$D$2),1,1),当年实际!$C:$C,"&lt;="&amp;EOMONTH(DATE(YEAR(主页!$D$2),MONTH(主页!$D$2),1),0))/SUMIFS(当年实际!$P:$P,当年实际!$F:$F,$C183,当年实际!$C:$C,"&gt;="&amp;DATE(YEAR(主页!$D$2),1,1),当年实际!$C:$C,"&lt;="&amp;EOMONTH(DATE(YEAR(主页!$D$2),MONTH(主页!$D$2),1),0)),"")</f>
        <v/>
      </c>
    </row>
    <row r="184" spans="1:10" x14ac:dyDescent="0.3">
      <c r="A184" s="150"/>
      <c r="B184" s="150"/>
      <c r="C184" s="150"/>
      <c r="D184" s="150"/>
      <c r="E184" s="140" t="str">
        <f t="shared" si="7"/>
        <v/>
      </c>
      <c r="F184" s="159"/>
      <c r="G184" s="145">
        <f t="shared" si="9"/>
        <v>0</v>
      </c>
      <c r="H184" s="140" t="str">
        <f t="shared" si="8"/>
        <v/>
      </c>
      <c r="I184"/>
      <c r="J184" s="147" t="str">
        <f>IFERROR(SUMIFS(当年实际!$V:$V,当年实际!$F:$F,$C184,当年实际!$C:$C,"&gt;="&amp;DATE(YEAR(主页!$D$2),1,1),当年实际!$C:$C,"&lt;="&amp;EOMONTH(DATE(YEAR(主页!$D$2),MONTH(主页!$D$2),1),0))/SUMIFS(当年实际!$P:$P,当年实际!$F:$F,$C184,当年实际!$C:$C,"&gt;="&amp;DATE(YEAR(主页!$D$2),1,1),当年实际!$C:$C,"&lt;="&amp;EOMONTH(DATE(YEAR(主页!$D$2),MONTH(主页!$D$2),1),0)),"")</f>
        <v/>
      </c>
    </row>
    <row r="185" spans="1:10" x14ac:dyDescent="0.3">
      <c r="A185" s="150"/>
      <c r="B185" s="150"/>
      <c r="C185" s="150"/>
      <c r="D185" s="150"/>
      <c r="E185" s="140" t="str">
        <f t="shared" si="7"/>
        <v/>
      </c>
      <c r="F185" s="159"/>
      <c r="G185" s="145">
        <f t="shared" si="9"/>
        <v>0</v>
      </c>
      <c r="H185" s="140" t="str">
        <f t="shared" si="8"/>
        <v/>
      </c>
      <c r="I185"/>
      <c r="J185" s="147" t="str">
        <f>IFERROR(SUMIFS(当年实际!$V:$V,当年实际!$F:$F,$C185,当年实际!$C:$C,"&gt;="&amp;DATE(YEAR(主页!$D$2),1,1),当年实际!$C:$C,"&lt;="&amp;EOMONTH(DATE(YEAR(主页!$D$2),MONTH(主页!$D$2),1),0))/SUMIFS(当年实际!$P:$P,当年实际!$F:$F,$C185,当年实际!$C:$C,"&gt;="&amp;DATE(YEAR(主页!$D$2),1,1),当年实际!$C:$C,"&lt;="&amp;EOMONTH(DATE(YEAR(主页!$D$2),MONTH(主页!$D$2),1),0)),"")</f>
        <v/>
      </c>
    </row>
    <row r="186" spans="1:10" x14ac:dyDescent="0.3">
      <c r="A186" s="150"/>
      <c r="B186" s="150"/>
      <c r="C186" s="150"/>
      <c r="D186" s="150"/>
      <c r="E186" s="140" t="str">
        <f t="shared" si="7"/>
        <v/>
      </c>
      <c r="F186" s="159"/>
      <c r="G186" s="145">
        <f t="shared" si="9"/>
        <v>0</v>
      </c>
      <c r="H186" s="140" t="str">
        <f t="shared" si="8"/>
        <v/>
      </c>
      <c r="I186"/>
      <c r="J186" s="147" t="str">
        <f>IFERROR(SUMIFS(当年实际!$V:$V,当年实际!$F:$F,$C186,当年实际!$C:$C,"&gt;="&amp;DATE(YEAR(主页!$D$2),1,1),当年实际!$C:$C,"&lt;="&amp;EOMONTH(DATE(YEAR(主页!$D$2),MONTH(主页!$D$2),1),0))/SUMIFS(当年实际!$P:$P,当年实际!$F:$F,$C186,当年实际!$C:$C,"&gt;="&amp;DATE(YEAR(主页!$D$2),1,1),当年实际!$C:$C,"&lt;="&amp;EOMONTH(DATE(YEAR(主页!$D$2),MONTH(主页!$D$2),1),0)),"")</f>
        <v/>
      </c>
    </row>
    <row r="187" spans="1:10" x14ac:dyDescent="0.3">
      <c r="A187" s="150"/>
      <c r="B187" s="150"/>
      <c r="C187" s="150"/>
      <c r="D187" s="150"/>
      <c r="E187" s="140" t="str">
        <f t="shared" si="7"/>
        <v/>
      </c>
      <c r="F187" s="159"/>
      <c r="G187" s="145">
        <f t="shared" si="9"/>
        <v>0</v>
      </c>
      <c r="H187" s="140" t="str">
        <f t="shared" si="8"/>
        <v/>
      </c>
      <c r="I187"/>
      <c r="J187" s="147" t="str">
        <f>IFERROR(SUMIFS(当年实际!$V:$V,当年实际!$F:$F,$C187,当年实际!$C:$C,"&gt;="&amp;DATE(YEAR(主页!$D$2),1,1),当年实际!$C:$C,"&lt;="&amp;EOMONTH(DATE(YEAR(主页!$D$2),MONTH(主页!$D$2),1),0))/SUMIFS(当年实际!$P:$P,当年实际!$F:$F,$C187,当年实际!$C:$C,"&gt;="&amp;DATE(YEAR(主页!$D$2),1,1),当年实际!$C:$C,"&lt;="&amp;EOMONTH(DATE(YEAR(主页!$D$2),MONTH(主页!$D$2),1),0)),"")</f>
        <v/>
      </c>
    </row>
    <row r="188" spans="1:10" x14ac:dyDescent="0.3">
      <c r="A188" s="150"/>
      <c r="B188" s="150"/>
      <c r="C188" s="150"/>
      <c r="D188" s="150"/>
      <c r="E188" s="140" t="str">
        <f t="shared" si="7"/>
        <v/>
      </c>
      <c r="F188" s="159"/>
      <c r="G188" s="145">
        <f t="shared" si="9"/>
        <v>0</v>
      </c>
      <c r="H188" s="140" t="str">
        <f t="shared" si="8"/>
        <v/>
      </c>
      <c r="I188"/>
      <c r="J188" s="147" t="str">
        <f>IFERROR(SUMIFS(当年实际!$V:$V,当年实际!$F:$F,$C188,当年实际!$C:$C,"&gt;="&amp;DATE(YEAR(主页!$D$2),1,1),当年实际!$C:$C,"&lt;="&amp;EOMONTH(DATE(YEAR(主页!$D$2),MONTH(主页!$D$2),1),0))/SUMIFS(当年实际!$P:$P,当年实际!$F:$F,$C188,当年实际!$C:$C,"&gt;="&amp;DATE(YEAR(主页!$D$2),1,1),当年实际!$C:$C,"&lt;="&amp;EOMONTH(DATE(YEAR(主页!$D$2),MONTH(主页!$D$2),1),0)),"")</f>
        <v/>
      </c>
    </row>
    <row r="189" spans="1:10" x14ac:dyDescent="0.3">
      <c r="A189" s="150"/>
      <c r="B189" s="150"/>
      <c r="C189" s="150"/>
      <c r="D189" s="150"/>
      <c r="E189" s="140" t="str">
        <f t="shared" si="7"/>
        <v/>
      </c>
      <c r="F189" s="159"/>
      <c r="G189" s="145">
        <f t="shared" si="9"/>
        <v>0</v>
      </c>
      <c r="H189" s="140" t="str">
        <f t="shared" si="8"/>
        <v/>
      </c>
      <c r="I189"/>
      <c r="J189" s="147" t="str">
        <f>IFERROR(SUMIFS(当年实际!$V:$V,当年实际!$F:$F,$C189,当年实际!$C:$C,"&gt;="&amp;DATE(YEAR(主页!$D$2),1,1),当年实际!$C:$C,"&lt;="&amp;EOMONTH(DATE(YEAR(主页!$D$2),MONTH(主页!$D$2),1),0))/SUMIFS(当年实际!$P:$P,当年实际!$F:$F,$C189,当年实际!$C:$C,"&gt;="&amp;DATE(YEAR(主页!$D$2),1,1),当年实际!$C:$C,"&lt;="&amp;EOMONTH(DATE(YEAR(主页!$D$2),MONTH(主页!$D$2),1),0)),"")</f>
        <v/>
      </c>
    </row>
    <row r="190" spans="1:10" x14ac:dyDescent="0.3">
      <c r="A190" s="150"/>
      <c r="B190" s="150"/>
      <c r="C190" s="150"/>
      <c r="D190" s="150"/>
      <c r="E190" s="140" t="str">
        <f t="shared" si="7"/>
        <v/>
      </c>
      <c r="F190" s="159"/>
      <c r="G190" s="145">
        <f t="shared" si="9"/>
        <v>0</v>
      </c>
      <c r="H190" s="140" t="str">
        <f t="shared" si="8"/>
        <v/>
      </c>
      <c r="I190"/>
      <c r="J190" s="147" t="str">
        <f>IFERROR(SUMIFS(当年实际!$V:$V,当年实际!$F:$F,$C190,当年实际!$C:$C,"&gt;="&amp;DATE(YEAR(主页!$D$2),1,1),当年实际!$C:$C,"&lt;="&amp;EOMONTH(DATE(YEAR(主页!$D$2),MONTH(主页!$D$2),1),0))/SUMIFS(当年实际!$P:$P,当年实际!$F:$F,$C190,当年实际!$C:$C,"&gt;="&amp;DATE(YEAR(主页!$D$2),1,1),当年实际!$C:$C,"&lt;="&amp;EOMONTH(DATE(YEAR(主页!$D$2),MONTH(主页!$D$2),1),0)),"")</f>
        <v/>
      </c>
    </row>
    <row r="191" spans="1:10" x14ac:dyDescent="0.3">
      <c r="A191" s="150"/>
      <c r="B191" s="150"/>
      <c r="C191" s="150"/>
      <c r="D191" s="150"/>
      <c r="E191" s="140" t="str">
        <f t="shared" si="7"/>
        <v/>
      </c>
      <c r="F191" s="159"/>
      <c r="G191" s="145">
        <f t="shared" si="9"/>
        <v>0</v>
      </c>
      <c r="H191" s="140" t="str">
        <f t="shared" si="8"/>
        <v/>
      </c>
      <c r="I191"/>
      <c r="J191" s="147" t="str">
        <f>IFERROR(SUMIFS(当年实际!$V:$V,当年实际!$F:$F,$C191,当年实际!$C:$C,"&gt;="&amp;DATE(YEAR(主页!$D$2),1,1),当年实际!$C:$C,"&lt;="&amp;EOMONTH(DATE(YEAR(主页!$D$2),MONTH(主页!$D$2),1),0))/SUMIFS(当年实际!$P:$P,当年实际!$F:$F,$C191,当年实际!$C:$C,"&gt;="&amp;DATE(YEAR(主页!$D$2),1,1),当年实际!$C:$C,"&lt;="&amp;EOMONTH(DATE(YEAR(主页!$D$2),MONTH(主页!$D$2),1),0)),"")</f>
        <v/>
      </c>
    </row>
    <row r="192" spans="1:10" x14ac:dyDescent="0.3">
      <c r="A192" s="150"/>
      <c r="B192" s="150"/>
      <c r="C192" s="150"/>
      <c r="D192" s="150"/>
      <c r="E192" s="140" t="str">
        <f t="shared" si="7"/>
        <v/>
      </c>
      <c r="F192" s="159"/>
      <c r="G192" s="145">
        <f t="shared" si="9"/>
        <v>0</v>
      </c>
      <c r="H192" s="140" t="str">
        <f t="shared" si="8"/>
        <v/>
      </c>
      <c r="I192"/>
      <c r="J192" s="147" t="str">
        <f>IFERROR(SUMIFS(当年实际!$V:$V,当年实际!$F:$F,$C192,当年实际!$C:$C,"&gt;="&amp;DATE(YEAR(主页!$D$2),1,1),当年实际!$C:$C,"&lt;="&amp;EOMONTH(DATE(YEAR(主页!$D$2),MONTH(主页!$D$2),1),0))/SUMIFS(当年实际!$P:$P,当年实际!$F:$F,$C192,当年实际!$C:$C,"&gt;="&amp;DATE(YEAR(主页!$D$2),1,1),当年实际!$C:$C,"&lt;="&amp;EOMONTH(DATE(YEAR(主页!$D$2),MONTH(主页!$D$2),1),0)),"")</f>
        <v/>
      </c>
    </row>
    <row r="193" spans="1:10" x14ac:dyDescent="0.3">
      <c r="A193" s="150"/>
      <c r="B193" s="150"/>
      <c r="C193" s="150"/>
      <c r="D193" s="150"/>
      <c r="E193" s="140" t="str">
        <f t="shared" si="7"/>
        <v/>
      </c>
      <c r="F193" s="159"/>
      <c r="G193" s="145">
        <f t="shared" si="9"/>
        <v>0</v>
      </c>
      <c r="H193" s="140" t="str">
        <f t="shared" si="8"/>
        <v/>
      </c>
      <c r="I193"/>
      <c r="J193" s="147" t="str">
        <f>IFERROR(SUMIFS(当年实际!$V:$V,当年实际!$F:$F,$C193,当年实际!$C:$C,"&gt;="&amp;DATE(YEAR(主页!$D$2),1,1),当年实际!$C:$C,"&lt;="&amp;EOMONTH(DATE(YEAR(主页!$D$2),MONTH(主页!$D$2),1),0))/SUMIFS(当年实际!$P:$P,当年实际!$F:$F,$C193,当年实际!$C:$C,"&gt;="&amp;DATE(YEAR(主页!$D$2),1,1),当年实际!$C:$C,"&lt;="&amp;EOMONTH(DATE(YEAR(主页!$D$2),MONTH(主页!$D$2),1),0)),"")</f>
        <v/>
      </c>
    </row>
    <row r="194" spans="1:10" x14ac:dyDescent="0.3">
      <c r="A194" s="150"/>
      <c r="B194" s="150"/>
      <c r="C194" s="150"/>
      <c r="D194" s="150"/>
      <c r="E194" s="140" t="str">
        <f t="shared" si="7"/>
        <v/>
      </c>
      <c r="F194" s="159"/>
      <c r="G194" s="145">
        <f t="shared" si="9"/>
        <v>0</v>
      </c>
      <c r="H194" s="140" t="str">
        <f t="shared" si="8"/>
        <v/>
      </c>
      <c r="I194"/>
      <c r="J194" s="147" t="str">
        <f>IFERROR(SUMIFS(当年实际!$V:$V,当年实际!$F:$F,$C194,当年实际!$C:$C,"&gt;="&amp;DATE(YEAR(主页!$D$2),1,1),当年实际!$C:$C,"&lt;="&amp;EOMONTH(DATE(YEAR(主页!$D$2),MONTH(主页!$D$2),1),0))/SUMIFS(当年实际!$P:$P,当年实际!$F:$F,$C194,当年实际!$C:$C,"&gt;="&amp;DATE(YEAR(主页!$D$2),1,1),当年实际!$C:$C,"&lt;="&amp;EOMONTH(DATE(YEAR(主页!$D$2),MONTH(主页!$D$2),1),0)),"")</f>
        <v/>
      </c>
    </row>
    <row r="195" spans="1:10" x14ac:dyDescent="0.3">
      <c r="A195" s="150"/>
      <c r="B195" s="150"/>
      <c r="C195" s="150"/>
      <c r="D195" s="150"/>
      <c r="E195" s="140" t="str">
        <f t="shared" si="7"/>
        <v/>
      </c>
      <c r="F195" s="159"/>
      <c r="G195" s="145">
        <f t="shared" si="9"/>
        <v>0</v>
      </c>
      <c r="H195" s="140" t="str">
        <f t="shared" si="8"/>
        <v/>
      </c>
      <c r="I195"/>
      <c r="J195" s="147" t="str">
        <f>IFERROR(SUMIFS(当年实际!$V:$V,当年实际!$F:$F,$C195,当年实际!$C:$C,"&gt;="&amp;DATE(YEAR(主页!$D$2),1,1),当年实际!$C:$C,"&lt;="&amp;EOMONTH(DATE(YEAR(主页!$D$2),MONTH(主页!$D$2),1),0))/SUMIFS(当年实际!$P:$P,当年实际!$F:$F,$C195,当年实际!$C:$C,"&gt;="&amp;DATE(YEAR(主页!$D$2),1,1),当年实际!$C:$C,"&lt;="&amp;EOMONTH(DATE(YEAR(主页!$D$2),MONTH(主页!$D$2),1),0)),"")</f>
        <v/>
      </c>
    </row>
    <row r="196" spans="1:10" x14ac:dyDescent="0.3">
      <c r="A196" s="150"/>
      <c r="B196" s="150"/>
      <c r="C196" s="150"/>
      <c r="D196" s="150"/>
      <c r="E196" s="140" t="str">
        <f t="shared" ref="E196:E259" si="10">IF(D196/SUM(D:D)=0,"",D196/SUM(D:D))</f>
        <v/>
      </c>
      <c r="F196" s="159"/>
      <c r="G196" s="145">
        <f t="shared" si="9"/>
        <v>0</v>
      </c>
      <c r="H196" s="140" t="str">
        <f t="shared" ref="H196:H259" si="11">IF(G196/SUM(G:G)=0,"",G196/SUM(G:G))</f>
        <v/>
      </c>
      <c r="I196"/>
      <c r="J196" s="147" t="str">
        <f>IFERROR(SUMIFS(当年实际!$V:$V,当年实际!$F:$F,$C196,当年实际!$C:$C,"&gt;="&amp;DATE(YEAR(主页!$D$2),1,1),当年实际!$C:$C,"&lt;="&amp;EOMONTH(DATE(YEAR(主页!$D$2),MONTH(主页!$D$2),1),0))/SUMIFS(当年实际!$P:$P,当年实际!$F:$F,$C196,当年实际!$C:$C,"&gt;="&amp;DATE(YEAR(主页!$D$2),1,1),当年实际!$C:$C,"&lt;="&amp;EOMONTH(DATE(YEAR(主页!$D$2),MONTH(主页!$D$2),1),0)),"")</f>
        <v/>
      </c>
    </row>
    <row r="197" spans="1:10" x14ac:dyDescent="0.3">
      <c r="A197" s="150"/>
      <c r="B197" s="150"/>
      <c r="C197" s="150"/>
      <c r="D197" s="150"/>
      <c r="E197" s="140" t="str">
        <f t="shared" si="10"/>
        <v/>
      </c>
      <c r="F197" s="159"/>
      <c r="G197" s="145">
        <f t="shared" si="9"/>
        <v>0</v>
      </c>
      <c r="H197" s="140" t="str">
        <f t="shared" si="11"/>
        <v/>
      </c>
      <c r="I197"/>
      <c r="J197" s="147" t="str">
        <f>IFERROR(SUMIFS(当年实际!$V:$V,当年实际!$F:$F,$C197,当年实际!$C:$C,"&gt;="&amp;DATE(YEAR(主页!$D$2),1,1),当年实际!$C:$C,"&lt;="&amp;EOMONTH(DATE(YEAR(主页!$D$2),MONTH(主页!$D$2),1),0))/SUMIFS(当年实际!$P:$P,当年实际!$F:$F,$C197,当年实际!$C:$C,"&gt;="&amp;DATE(YEAR(主页!$D$2),1,1),当年实际!$C:$C,"&lt;="&amp;EOMONTH(DATE(YEAR(主页!$D$2),MONTH(主页!$D$2),1),0)),"")</f>
        <v/>
      </c>
    </row>
    <row r="198" spans="1:10" x14ac:dyDescent="0.3">
      <c r="A198" s="150"/>
      <c r="B198" s="150"/>
      <c r="C198" s="150"/>
      <c r="D198" s="150"/>
      <c r="E198" s="140" t="str">
        <f t="shared" si="10"/>
        <v/>
      </c>
      <c r="F198" s="159"/>
      <c r="G198" s="145">
        <f t="shared" si="9"/>
        <v>0</v>
      </c>
      <c r="H198" s="140" t="str">
        <f t="shared" si="11"/>
        <v/>
      </c>
      <c r="I198"/>
      <c r="J198" s="147" t="str">
        <f>IFERROR(SUMIFS(当年实际!$V:$V,当年实际!$F:$F,$C198,当年实际!$C:$C,"&gt;="&amp;DATE(YEAR(主页!$D$2),1,1),当年实际!$C:$C,"&lt;="&amp;EOMONTH(DATE(YEAR(主页!$D$2),MONTH(主页!$D$2),1),0))/SUMIFS(当年实际!$P:$P,当年实际!$F:$F,$C198,当年实际!$C:$C,"&gt;="&amp;DATE(YEAR(主页!$D$2),1,1),当年实际!$C:$C,"&lt;="&amp;EOMONTH(DATE(YEAR(主页!$D$2),MONTH(主页!$D$2),1),0)),"")</f>
        <v/>
      </c>
    </row>
    <row r="199" spans="1:10" x14ac:dyDescent="0.3">
      <c r="A199" s="150"/>
      <c r="B199" s="150"/>
      <c r="C199" s="150"/>
      <c r="D199" s="150"/>
      <c r="E199" s="140" t="str">
        <f t="shared" si="10"/>
        <v/>
      </c>
      <c r="F199" s="159"/>
      <c r="G199" s="145">
        <f t="shared" ref="G199:G262" si="12">D199*F199</f>
        <v>0</v>
      </c>
      <c r="H199" s="140" t="str">
        <f t="shared" si="11"/>
        <v/>
      </c>
      <c r="I199"/>
      <c r="J199" s="147" t="str">
        <f>IFERROR(SUMIFS(当年实际!$V:$V,当年实际!$F:$F,$C199,当年实际!$C:$C,"&gt;="&amp;DATE(YEAR(主页!$D$2),1,1),当年实际!$C:$C,"&lt;="&amp;EOMONTH(DATE(YEAR(主页!$D$2),MONTH(主页!$D$2),1),0))/SUMIFS(当年实际!$P:$P,当年实际!$F:$F,$C199,当年实际!$C:$C,"&gt;="&amp;DATE(YEAR(主页!$D$2),1,1),当年实际!$C:$C,"&lt;="&amp;EOMONTH(DATE(YEAR(主页!$D$2),MONTH(主页!$D$2),1),0)),"")</f>
        <v/>
      </c>
    </row>
    <row r="200" spans="1:10" x14ac:dyDescent="0.3">
      <c r="A200" s="150"/>
      <c r="B200" s="150"/>
      <c r="C200" s="150"/>
      <c r="D200" s="150"/>
      <c r="E200" s="140" t="str">
        <f t="shared" si="10"/>
        <v/>
      </c>
      <c r="F200" s="159"/>
      <c r="G200" s="145">
        <f t="shared" si="12"/>
        <v>0</v>
      </c>
      <c r="H200" s="140" t="str">
        <f t="shared" si="11"/>
        <v/>
      </c>
      <c r="I200"/>
      <c r="J200" s="147" t="str">
        <f>IFERROR(SUMIFS(当年实际!$V:$V,当年实际!$F:$F,$C200,当年实际!$C:$C,"&gt;="&amp;DATE(YEAR(主页!$D$2),1,1),当年实际!$C:$C,"&lt;="&amp;EOMONTH(DATE(YEAR(主页!$D$2),MONTH(主页!$D$2),1),0))/SUMIFS(当年实际!$P:$P,当年实际!$F:$F,$C200,当年实际!$C:$C,"&gt;="&amp;DATE(YEAR(主页!$D$2),1,1),当年实际!$C:$C,"&lt;="&amp;EOMONTH(DATE(YEAR(主页!$D$2),MONTH(主页!$D$2),1),0)),"")</f>
        <v/>
      </c>
    </row>
    <row r="201" spans="1:10" x14ac:dyDescent="0.3">
      <c r="A201" s="150"/>
      <c r="B201" s="150"/>
      <c r="C201" s="150"/>
      <c r="D201" s="150"/>
      <c r="E201" s="140" t="str">
        <f t="shared" si="10"/>
        <v/>
      </c>
      <c r="F201" s="159"/>
      <c r="G201" s="145">
        <f t="shared" si="12"/>
        <v>0</v>
      </c>
      <c r="H201" s="140" t="str">
        <f t="shared" si="11"/>
        <v/>
      </c>
      <c r="I201"/>
      <c r="J201" s="147" t="str">
        <f>IFERROR(SUMIFS(当年实际!$V:$V,当年实际!$F:$F,$C201,当年实际!$C:$C,"&gt;="&amp;DATE(YEAR(主页!$D$2),1,1),当年实际!$C:$C,"&lt;="&amp;EOMONTH(DATE(YEAR(主页!$D$2),MONTH(主页!$D$2),1),0))/SUMIFS(当年实际!$P:$P,当年实际!$F:$F,$C201,当年实际!$C:$C,"&gt;="&amp;DATE(YEAR(主页!$D$2),1,1),当年实际!$C:$C,"&lt;="&amp;EOMONTH(DATE(YEAR(主页!$D$2),MONTH(主页!$D$2),1),0)),"")</f>
        <v/>
      </c>
    </row>
    <row r="202" spans="1:10" x14ac:dyDescent="0.3">
      <c r="A202" s="150"/>
      <c r="B202" s="150"/>
      <c r="C202" s="150"/>
      <c r="D202" s="150"/>
      <c r="E202" s="140" t="str">
        <f t="shared" si="10"/>
        <v/>
      </c>
      <c r="F202" s="159"/>
      <c r="G202" s="145">
        <f t="shared" si="12"/>
        <v>0</v>
      </c>
      <c r="H202" s="140" t="str">
        <f t="shared" si="11"/>
        <v/>
      </c>
      <c r="I202"/>
      <c r="J202" s="147" t="str">
        <f>IFERROR(SUMIFS(当年实际!$V:$V,当年实际!$F:$F,$C202,当年实际!$C:$C,"&gt;="&amp;DATE(YEAR(主页!$D$2),1,1),当年实际!$C:$C,"&lt;="&amp;EOMONTH(DATE(YEAR(主页!$D$2),MONTH(主页!$D$2),1),0))/SUMIFS(当年实际!$P:$P,当年实际!$F:$F,$C202,当年实际!$C:$C,"&gt;="&amp;DATE(YEAR(主页!$D$2),1,1),当年实际!$C:$C,"&lt;="&amp;EOMONTH(DATE(YEAR(主页!$D$2),MONTH(主页!$D$2),1),0)),"")</f>
        <v/>
      </c>
    </row>
    <row r="203" spans="1:10" x14ac:dyDescent="0.3">
      <c r="A203" s="150"/>
      <c r="B203" s="150"/>
      <c r="C203" s="150"/>
      <c r="D203" s="150"/>
      <c r="E203" s="140" t="str">
        <f t="shared" si="10"/>
        <v/>
      </c>
      <c r="F203" s="159"/>
      <c r="G203" s="145">
        <f t="shared" si="12"/>
        <v>0</v>
      </c>
      <c r="H203" s="140" t="str">
        <f t="shared" si="11"/>
        <v/>
      </c>
      <c r="I203"/>
      <c r="J203" s="147" t="str">
        <f>IFERROR(SUMIFS(当年实际!$V:$V,当年实际!$F:$F,$C203,当年实际!$C:$C,"&gt;="&amp;DATE(YEAR(主页!$D$2),1,1),当年实际!$C:$C,"&lt;="&amp;EOMONTH(DATE(YEAR(主页!$D$2),MONTH(主页!$D$2),1),0))/SUMIFS(当年实际!$P:$P,当年实际!$F:$F,$C203,当年实际!$C:$C,"&gt;="&amp;DATE(YEAR(主页!$D$2),1,1),当年实际!$C:$C,"&lt;="&amp;EOMONTH(DATE(YEAR(主页!$D$2),MONTH(主页!$D$2),1),0)),"")</f>
        <v/>
      </c>
    </row>
    <row r="204" spans="1:10" x14ac:dyDescent="0.3">
      <c r="A204" s="150"/>
      <c r="B204" s="150"/>
      <c r="C204" s="150"/>
      <c r="D204" s="150"/>
      <c r="E204" s="140" t="str">
        <f t="shared" si="10"/>
        <v/>
      </c>
      <c r="F204" s="159"/>
      <c r="G204" s="145">
        <f t="shared" si="12"/>
        <v>0</v>
      </c>
      <c r="H204" s="140" t="str">
        <f t="shared" si="11"/>
        <v/>
      </c>
      <c r="I204"/>
      <c r="J204" s="147" t="str">
        <f>IFERROR(SUMIFS(当年实际!$V:$V,当年实际!$F:$F,$C204,当年实际!$C:$C,"&gt;="&amp;DATE(YEAR(主页!$D$2),1,1),当年实际!$C:$C,"&lt;="&amp;EOMONTH(DATE(YEAR(主页!$D$2),MONTH(主页!$D$2),1),0))/SUMIFS(当年实际!$P:$P,当年实际!$F:$F,$C204,当年实际!$C:$C,"&gt;="&amp;DATE(YEAR(主页!$D$2),1,1),当年实际!$C:$C,"&lt;="&amp;EOMONTH(DATE(YEAR(主页!$D$2),MONTH(主页!$D$2),1),0)),"")</f>
        <v/>
      </c>
    </row>
    <row r="205" spans="1:10" x14ac:dyDescent="0.3">
      <c r="A205" s="150"/>
      <c r="B205" s="150"/>
      <c r="C205" s="150"/>
      <c r="D205" s="150"/>
      <c r="E205" s="140" t="str">
        <f t="shared" si="10"/>
        <v/>
      </c>
      <c r="F205" s="159"/>
      <c r="G205" s="145">
        <f t="shared" si="12"/>
        <v>0</v>
      </c>
      <c r="H205" s="140" t="str">
        <f t="shared" si="11"/>
        <v/>
      </c>
      <c r="I205"/>
      <c r="J205" s="147" t="str">
        <f>IFERROR(SUMIFS(当年实际!$V:$V,当年实际!$F:$F,$C205,当年实际!$C:$C,"&gt;="&amp;DATE(YEAR(主页!$D$2),1,1),当年实际!$C:$C,"&lt;="&amp;EOMONTH(DATE(YEAR(主页!$D$2),MONTH(主页!$D$2),1),0))/SUMIFS(当年实际!$P:$P,当年实际!$F:$F,$C205,当年实际!$C:$C,"&gt;="&amp;DATE(YEAR(主页!$D$2),1,1),当年实际!$C:$C,"&lt;="&amp;EOMONTH(DATE(YEAR(主页!$D$2),MONTH(主页!$D$2),1),0)),"")</f>
        <v/>
      </c>
    </row>
    <row r="206" spans="1:10" x14ac:dyDescent="0.3">
      <c r="A206" s="150"/>
      <c r="B206" s="150"/>
      <c r="C206" s="150"/>
      <c r="D206" s="150"/>
      <c r="E206" s="140" t="str">
        <f t="shared" si="10"/>
        <v/>
      </c>
      <c r="F206" s="159"/>
      <c r="G206" s="145">
        <f t="shared" si="12"/>
        <v>0</v>
      </c>
      <c r="H206" s="140" t="str">
        <f t="shared" si="11"/>
        <v/>
      </c>
      <c r="I206"/>
      <c r="J206" s="147" t="str">
        <f>IFERROR(SUMIFS(当年实际!$V:$V,当年实际!$F:$F,$C206,当年实际!$C:$C,"&gt;="&amp;DATE(YEAR(主页!$D$2),1,1),当年实际!$C:$C,"&lt;="&amp;EOMONTH(DATE(YEAR(主页!$D$2),MONTH(主页!$D$2),1),0))/SUMIFS(当年实际!$P:$P,当年实际!$F:$F,$C206,当年实际!$C:$C,"&gt;="&amp;DATE(YEAR(主页!$D$2),1,1),当年实际!$C:$C,"&lt;="&amp;EOMONTH(DATE(YEAR(主页!$D$2),MONTH(主页!$D$2),1),0)),"")</f>
        <v/>
      </c>
    </row>
    <row r="207" spans="1:10" x14ac:dyDescent="0.3">
      <c r="A207" s="150"/>
      <c r="B207" s="150"/>
      <c r="C207" s="150"/>
      <c r="D207" s="150"/>
      <c r="E207" s="140" t="str">
        <f t="shared" si="10"/>
        <v/>
      </c>
      <c r="F207" s="159"/>
      <c r="G207" s="145">
        <f t="shared" si="12"/>
        <v>0</v>
      </c>
      <c r="H207" s="140" t="str">
        <f t="shared" si="11"/>
        <v/>
      </c>
      <c r="I207"/>
      <c r="J207" s="147" t="str">
        <f>IFERROR(SUMIFS(当年实际!$V:$V,当年实际!$F:$F,$C207,当年实际!$C:$C,"&gt;="&amp;DATE(YEAR(主页!$D$2),1,1),当年实际!$C:$C,"&lt;="&amp;EOMONTH(DATE(YEAR(主页!$D$2),MONTH(主页!$D$2),1),0))/SUMIFS(当年实际!$P:$P,当年实际!$F:$F,$C207,当年实际!$C:$C,"&gt;="&amp;DATE(YEAR(主页!$D$2),1,1),当年实际!$C:$C,"&lt;="&amp;EOMONTH(DATE(YEAR(主页!$D$2),MONTH(主页!$D$2),1),0)),"")</f>
        <v/>
      </c>
    </row>
    <row r="208" spans="1:10" x14ac:dyDescent="0.3">
      <c r="A208" s="150"/>
      <c r="B208" s="150"/>
      <c r="C208" s="150"/>
      <c r="D208" s="150"/>
      <c r="E208" s="140" t="str">
        <f t="shared" si="10"/>
        <v/>
      </c>
      <c r="F208" s="159"/>
      <c r="G208" s="145">
        <f t="shared" si="12"/>
        <v>0</v>
      </c>
      <c r="H208" s="140" t="str">
        <f t="shared" si="11"/>
        <v/>
      </c>
      <c r="I208"/>
      <c r="J208" s="147" t="str">
        <f>IFERROR(SUMIFS(当年实际!$V:$V,当年实际!$F:$F,$C208,当年实际!$C:$C,"&gt;="&amp;DATE(YEAR(主页!$D$2),1,1),当年实际!$C:$C,"&lt;="&amp;EOMONTH(DATE(YEAR(主页!$D$2),MONTH(主页!$D$2),1),0))/SUMIFS(当年实际!$P:$P,当年实际!$F:$F,$C208,当年实际!$C:$C,"&gt;="&amp;DATE(YEAR(主页!$D$2),1,1),当年实际!$C:$C,"&lt;="&amp;EOMONTH(DATE(YEAR(主页!$D$2),MONTH(主页!$D$2),1),0)),"")</f>
        <v/>
      </c>
    </row>
    <row r="209" spans="1:10" x14ac:dyDescent="0.3">
      <c r="A209" s="150"/>
      <c r="B209" s="150"/>
      <c r="C209" s="150"/>
      <c r="D209" s="150"/>
      <c r="E209" s="140" t="str">
        <f t="shared" si="10"/>
        <v/>
      </c>
      <c r="F209" s="159"/>
      <c r="G209" s="145">
        <f t="shared" si="12"/>
        <v>0</v>
      </c>
      <c r="H209" s="140" t="str">
        <f t="shared" si="11"/>
        <v/>
      </c>
      <c r="I209"/>
      <c r="J209" s="147" t="str">
        <f>IFERROR(SUMIFS(当年实际!$V:$V,当年实际!$F:$F,$C209,当年实际!$C:$C,"&gt;="&amp;DATE(YEAR(主页!$D$2),1,1),当年实际!$C:$C,"&lt;="&amp;EOMONTH(DATE(YEAR(主页!$D$2),MONTH(主页!$D$2),1),0))/SUMIFS(当年实际!$P:$P,当年实际!$F:$F,$C209,当年实际!$C:$C,"&gt;="&amp;DATE(YEAR(主页!$D$2),1,1),当年实际!$C:$C,"&lt;="&amp;EOMONTH(DATE(YEAR(主页!$D$2),MONTH(主页!$D$2),1),0)),"")</f>
        <v/>
      </c>
    </row>
    <row r="210" spans="1:10" x14ac:dyDescent="0.3">
      <c r="A210" s="150"/>
      <c r="B210" s="150"/>
      <c r="C210" s="150"/>
      <c r="D210" s="150"/>
      <c r="E210" s="140" t="str">
        <f t="shared" si="10"/>
        <v/>
      </c>
      <c r="F210" s="159"/>
      <c r="G210" s="145">
        <f t="shared" si="12"/>
        <v>0</v>
      </c>
      <c r="H210" s="140" t="str">
        <f t="shared" si="11"/>
        <v/>
      </c>
      <c r="I210"/>
      <c r="J210" s="147" t="str">
        <f>IFERROR(SUMIFS(当年实际!$V:$V,当年实际!$F:$F,$C210,当年实际!$C:$C,"&gt;="&amp;DATE(YEAR(主页!$D$2),1,1),当年实际!$C:$C,"&lt;="&amp;EOMONTH(DATE(YEAR(主页!$D$2),MONTH(主页!$D$2),1),0))/SUMIFS(当年实际!$P:$P,当年实际!$F:$F,$C210,当年实际!$C:$C,"&gt;="&amp;DATE(YEAR(主页!$D$2),1,1),当年实际!$C:$C,"&lt;="&amp;EOMONTH(DATE(YEAR(主页!$D$2),MONTH(主页!$D$2),1),0)),"")</f>
        <v/>
      </c>
    </row>
    <row r="211" spans="1:10" x14ac:dyDescent="0.3">
      <c r="A211" s="150"/>
      <c r="B211" s="150"/>
      <c r="C211" s="150"/>
      <c r="D211" s="150"/>
      <c r="E211" s="140" t="str">
        <f t="shared" si="10"/>
        <v/>
      </c>
      <c r="F211" s="159"/>
      <c r="G211" s="145">
        <f t="shared" si="12"/>
        <v>0</v>
      </c>
      <c r="H211" s="140" t="str">
        <f t="shared" si="11"/>
        <v/>
      </c>
      <c r="I211"/>
      <c r="J211" s="147" t="str">
        <f>IFERROR(SUMIFS(当年实际!$V:$V,当年实际!$F:$F,$C211,当年实际!$C:$C,"&gt;="&amp;DATE(YEAR(主页!$D$2),1,1),当年实际!$C:$C,"&lt;="&amp;EOMONTH(DATE(YEAR(主页!$D$2),MONTH(主页!$D$2),1),0))/SUMIFS(当年实际!$P:$P,当年实际!$F:$F,$C211,当年实际!$C:$C,"&gt;="&amp;DATE(YEAR(主页!$D$2),1,1),当年实际!$C:$C,"&lt;="&amp;EOMONTH(DATE(YEAR(主页!$D$2),MONTH(主页!$D$2),1),0)),"")</f>
        <v/>
      </c>
    </row>
    <row r="212" spans="1:10" x14ac:dyDescent="0.3">
      <c r="A212" s="150"/>
      <c r="B212" s="150"/>
      <c r="C212" s="150"/>
      <c r="D212" s="150"/>
      <c r="E212" s="140" t="str">
        <f t="shared" si="10"/>
        <v/>
      </c>
      <c r="F212" s="159"/>
      <c r="G212" s="145">
        <f t="shared" si="12"/>
        <v>0</v>
      </c>
      <c r="H212" s="140" t="str">
        <f t="shared" si="11"/>
        <v/>
      </c>
      <c r="I212"/>
      <c r="J212" s="147" t="str">
        <f>IFERROR(SUMIFS(当年实际!$V:$V,当年实际!$F:$F,$C212,当年实际!$C:$C,"&gt;="&amp;DATE(YEAR(主页!$D$2),1,1),当年实际!$C:$C,"&lt;="&amp;EOMONTH(DATE(YEAR(主页!$D$2),MONTH(主页!$D$2),1),0))/SUMIFS(当年实际!$P:$P,当年实际!$F:$F,$C212,当年实际!$C:$C,"&gt;="&amp;DATE(YEAR(主页!$D$2),1,1),当年实际!$C:$C,"&lt;="&amp;EOMONTH(DATE(YEAR(主页!$D$2),MONTH(主页!$D$2),1),0)),"")</f>
        <v/>
      </c>
    </row>
    <row r="213" spans="1:10" x14ac:dyDescent="0.3">
      <c r="A213" s="150"/>
      <c r="B213" s="150"/>
      <c r="C213" s="150"/>
      <c r="D213" s="150"/>
      <c r="E213" s="140" t="str">
        <f t="shared" si="10"/>
        <v/>
      </c>
      <c r="F213" s="159"/>
      <c r="G213" s="145">
        <f t="shared" si="12"/>
        <v>0</v>
      </c>
      <c r="H213" s="140" t="str">
        <f t="shared" si="11"/>
        <v/>
      </c>
      <c r="I213"/>
      <c r="J213" s="147" t="str">
        <f>IFERROR(SUMIFS(当年实际!$V:$V,当年实际!$F:$F,$C213,当年实际!$C:$C,"&gt;="&amp;DATE(YEAR(主页!$D$2),1,1),当年实际!$C:$C,"&lt;="&amp;EOMONTH(DATE(YEAR(主页!$D$2),MONTH(主页!$D$2),1),0))/SUMIFS(当年实际!$P:$P,当年实际!$F:$F,$C213,当年实际!$C:$C,"&gt;="&amp;DATE(YEAR(主页!$D$2),1,1),当年实际!$C:$C,"&lt;="&amp;EOMONTH(DATE(YEAR(主页!$D$2),MONTH(主页!$D$2),1),0)),"")</f>
        <v/>
      </c>
    </row>
    <row r="214" spans="1:10" x14ac:dyDescent="0.3">
      <c r="A214" s="150"/>
      <c r="B214" s="150"/>
      <c r="C214" s="150"/>
      <c r="D214" s="150"/>
      <c r="E214" s="140" t="str">
        <f t="shared" si="10"/>
        <v/>
      </c>
      <c r="F214" s="159"/>
      <c r="G214" s="145">
        <f t="shared" si="12"/>
        <v>0</v>
      </c>
      <c r="H214" s="140" t="str">
        <f t="shared" si="11"/>
        <v/>
      </c>
      <c r="I214"/>
      <c r="J214" s="147" t="str">
        <f>IFERROR(SUMIFS(当年实际!$V:$V,当年实际!$F:$F,$C214,当年实际!$C:$C,"&gt;="&amp;DATE(YEAR(主页!$D$2),1,1),当年实际!$C:$C,"&lt;="&amp;EOMONTH(DATE(YEAR(主页!$D$2),MONTH(主页!$D$2),1),0))/SUMIFS(当年实际!$P:$P,当年实际!$F:$F,$C214,当年实际!$C:$C,"&gt;="&amp;DATE(YEAR(主页!$D$2),1,1),当年实际!$C:$C,"&lt;="&amp;EOMONTH(DATE(YEAR(主页!$D$2),MONTH(主页!$D$2),1),0)),"")</f>
        <v/>
      </c>
    </row>
    <row r="215" spans="1:10" x14ac:dyDescent="0.3">
      <c r="A215" s="150"/>
      <c r="B215" s="150"/>
      <c r="C215" s="150"/>
      <c r="D215" s="150"/>
      <c r="E215" s="140" t="str">
        <f t="shared" si="10"/>
        <v/>
      </c>
      <c r="F215" s="159"/>
      <c r="G215" s="145">
        <f t="shared" si="12"/>
        <v>0</v>
      </c>
      <c r="H215" s="140" t="str">
        <f t="shared" si="11"/>
        <v/>
      </c>
      <c r="I215"/>
      <c r="J215" s="147" t="str">
        <f>IFERROR(SUMIFS(当年实际!$V:$V,当年实际!$F:$F,$C215,当年实际!$C:$C,"&gt;="&amp;DATE(YEAR(主页!$D$2),1,1),当年实际!$C:$C,"&lt;="&amp;EOMONTH(DATE(YEAR(主页!$D$2),MONTH(主页!$D$2),1),0))/SUMIFS(当年实际!$P:$P,当年实际!$F:$F,$C215,当年实际!$C:$C,"&gt;="&amp;DATE(YEAR(主页!$D$2),1,1),当年实际!$C:$C,"&lt;="&amp;EOMONTH(DATE(YEAR(主页!$D$2),MONTH(主页!$D$2),1),0)),"")</f>
        <v/>
      </c>
    </row>
    <row r="216" spans="1:10" x14ac:dyDescent="0.3">
      <c r="A216" s="150"/>
      <c r="B216" s="150"/>
      <c r="C216" s="150"/>
      <c r="D216" s="150"/>
      <c r="E216" s="140" t="str">
        <f t="shared" si="10"/>
        <v/>
      </c>
      <c r="F216" s="159"/>
      <c r="G216" s="145">
        <f t="shared" si="12"/>
        <v>0</v>
      </c>
      <c r="H216" s="140" t="str">
        <f t="shared" si="11"/>
        <v/>
      </c>
      <c r="I216"/>
      <c r="J216" s="147" t="str">
        <f>IFERROR(SUMIFS(当年实际!$V:$V,当年实际!$F:$F,$C216,当年实际!$C:$C,"&gt;="&amp;DATE(YEAR(主页!$D$2),1,1),当年实际!$C:$C,"&lt;="&amp;EOMONTH(DATE(YEAR(主页!$D$2),MONTH(主页!$D$2),1),0))/SUMIFS(当年实际!$P:$P,当年实际!$F:$F,$C216,当年实际!$C:$C,"&gt;="&amp;DATE(YEAR(主页!$D$2),1,1),当年实际!$C:$C,"&lt;="&amp;EOMONTH(DATE(YEAR(主页!$D$2),MONTH(主页!$D$2),1),0)),"")</f>
        <v/>
      </c>
    </row>
    <row r="217" spans="1:10" x14ac:dyDescent="0.3">
      <c r="A217" s="150"/>
      <c r="B217" s="150"/>
      <c r="C217" s="150"/>
      <c r="D217" s="150"/>
      <c r="E217" s="140" t="str">
        <f t="shared" si="10"/>
        <v/>
      </c>
      <c r="F217" s="159"/>
      <c r="G217" s="145">
        <f t="shared" si="12"/>
        <v>0</v>
      </c>
      <c r="H217" s="140" t="str">
        <f t="shared" si="11"/>
        <v/>
      </c>
      <c r="I217"/>
      <c r="J217" s="147" t="str">
        <f>IFERROR(SUMIFS(当年实际!$V:$V,当年实际!$F:$F,$C217,当年实际!$C:$C,"&gt;="&amp;DATE(YEAR(主页!$D$2),1,1),当年实际!$C:$C,"&lt;="&amp;EOMONTH(DATE(YEAR(主页!$D$2),MONTH(主页!$D$2),1),0))/SUMIFS(当年实际!$P:$P,当年实际!$F:$F,$C217,当年实际!$C:$C,"&gt;="&amp;DATE(YEAR(主页!$D$2),1,1),当年实际!$C:$C,"&lt;="&amp;EOMONTH(DATE(YEAR(主页!$D$2),MONTH(主页!$D$2),1),0)),"")</f>
        <v/>
      </c>
    </row>
    <row r="218" spans="1:10" x14ac:dyDescent="0.3">
      <c r="A218" s="150"/>
      <c r="B218" s="150"/>
      <c r="C218" s="150"/>
      <c r="D218" s="150"/>
      <c r="E218" s="140" t="str">
        <f t="shared" si="10"/>
        <v/>
      </c>
      <c r="F218" s="159"/>
      <c r="G218" s="145">
        <f t="shared" si="12"/>
        <v>0</v>
      </c>
      <c r="H218" s="140" t="str">
        <f t="shared" si="11"/>
        <v/>
      </c>
      <c r="I218"/>
      <c r="J218" s="147" t="str">
        <f>IFERROR(SUMIFS(当年实际!$V:$V,当年实际!$F:$F,$C218,当年实际!$C:$C,"&gt;="&amp;DATE(YEAR(主页!$D$2),1,1),当年实际!$C:$C,"&lt;="&amp;EOMONTH(DATE(YEAR(主页!$D$2),MONTH(主页!$D$2),1),0))/SUMIFS(当年实际!$P:$P,当年实际!$F:$F,$C218,当年实际!$C:$C,"&gt;="&amp;DATE(YEAR(主页!$D$2),1,1),当年实际!$C:$C,"&lt;="&amp;EOMONTH(DATE(YEAR(主页!$D$2),MONTH(主页!$D$2),1),0)),"")</f>
        <v/>
      </c>
    </row>
    <row r="219" spans="1:10" x14ac:dyDescent="0.3">
      <c r="A219" s="150"/>
      <c r="B219" s="150"/>
      <c r="C219" s="150"/>
      <c r="D219" s="150"/>
      <c r="E219" s="140" t="str">
        <f t="shared" si="10"/>
        <v/>
      </c>
      <c r="F219" s="159"/>
      <c r="G219" s="145">
        <f t="shared" si="12"/>
        <v>0</v>
      </c>
      <c r="H219" s="140" t="str">
        <f t="shared" si="11"/>
        <v/>
      </c>
      <c r="I219"/>
      <c r="J219" s="147" t="str">
        <f>IFERROR(SUMIFS(当年实际!$V:$V,当年实际!$F:$F,$C219,当年实际!$C:$C,"&gt;="&amp;DATE(YEAR(主页!$D$2),1,1),当年实际!$C:$C,"&lt;="&amp;EOMONTH(DATE(YEAR(主页!$D$2),MONTH(主页!$D$2),1),0))/SUMIFS(当年实际!$P:$P,当年实际!$F:$F,$C219,当年实际!$C:$C,"&gt;="&amp;DATE(YEAR(主页!$D$2),1,1),当年实际!$C:$C,"&lt;="&amp;EOMONTH(DATE(YEAR(主页!$D$2),MONTH(主页!$D$2),1),0)),"")</f>
        <v/>
      </c>
    </row>
    <row r="220" spans="1:10" x14ac:dyDescent="0.3">
      <c r="A220" s="150"/>
      <c r="B220" s="150"/>
      <c r="C220" s="150"/>
      <c r="D220" s="150"/>
      <c r="E220" s="140" t="str">
        <f t="shared" si="10"/>
        <v/>
      </c>
      <c r="F220" s="159"/>
      <c r="G220" s="145">
        <f t="shared" si="12"/>
        <v>0</v>
      </c>
      <c r="H220" s="140" t="str">
        <f t="shared" si="11"/>
        <v/>
      </c>
      <c r="I220"/>
      <c r="J220" s="147" t="str">
        <f>IFERROR(SUMIFS(当年实际!$V:$V,当年实际!$F:$F,$C220,当年实际!$C:$C,"&gt;="&amp;DATE(YEAR(主页!$D$2),1,1),当年实际!$C:$C,"&lt;="&amp;EOMONTH(DATE(YEAR(主页!$D$2),MONTH(主页!$D$2),1),0))/SUMIFS(当年实际!$P:$P,当年实际!$F:$F,$C220,当年实际!$C:$C,"&gt;="&amp;DATE(YEAR(主页!$D$2),1,1),当年实际!$C:$C,"&lt;="&amp;EOMONTH(DATE(YEAR(主页!$D$2),MONTH(主页!$D$2),1),0)),"")</f>
        <v/>
      </c>
    </row>
    <row r="221" spans="1:10" x14ac:dyDescent="0.3">
      <c r="A221" s="150"/>
      <c r="B221" s="150"/>
      <c r="C221" s="150"/>
      <c r="D221" s="150"/>
      <c r="E221" s="140" t="str">
        <f t="shared" si="10"/>
        <v/>
      </c>
      <c r="F221" s="159"/>
      <c r="G221" s="145">
        <f t="shared" si="12"/>
        <v>0</v>
      </c>
      <c r="H221" s="140" t="str">
        <f t="shared" si="11"/>
        <v/>
      </c>
      <c r="I221"/>
      <c r="J221" s="147" t="str">
        <f>IFERROR(SUMIFS(当年实际!$V:$V,当年实际!$F:$F,$C221,当年实际!$C:$C,"&gt;="&amp;DATE(YEAR(主页!$D$2),1,1),当年实际!$C:$C,"&lt;="&amp;EOMONTH(DATE(YEAR(主页!$D$2),MONTH(主页!$D$2),1),0))/SUMIFS(当年实际!$P:$P,当年实际!$F:$F,$C221,当年实际!$C:$C,"&gt;="&amp;DATE(YEAR(主页!$D$2),1,1),当年实际!$C:$C,"&lt;="&amp;EOMONTH(DATE(YEAR(主页!$D$2),MONTH(主页!$D$2),1),0)),"")</f>
        <v/>
      </c>
    </row>
    <row r="222" spans="1:10" x14ac:dyDescent="0.3">
      <c r="A222" s="150"/>
      <c r="B222" s="150"/>
      <c r="C222" s="150"/>
      <c r="D222" s="150"/>
      <c r="E222" s="140" t="str">
        <f t="shared" si="10"/>
        <v/>
      </c>
      <c r="F222" s="159"/>
      <c r="G222" s="145">
        <f t="shared" si="12"/>
        <v>0</v>
      </c>
      <c r="H222" s="140" t="str">
        <f t="shared" si="11"/>
        <v/>
      </c>
      <c r="I222"/>
      <c r="J222" s="147" t="str">
        <f>IFERROR(SUMIFS(当年实际!$V:$V,当年实际!$F:$F,$C222,当年实际!$C:$C,"&gt;="&amp;DATE(YEAR(主页!$D$2),1,1),当年实际!$C:$C,"&lt;="&amp;EOMONTH(DATE(YEAR(主页!$D$2),MONTH(主页!$D$2),1),0))/SUMIFS(当年实际!$P:$P,当年实际!$F:$F,$C222,当年实际!$C:$C,"&gt;="&amp;DATE(YEAR(主页!$D$2),1,1),当年实际!$C:$C,"&lt;="&amp;EOMONTH(DATE(YEAR(主页!$D$2),MONTH(主页!$D$2),1),0)),"")</f>
        <v/>
      </c>
    </row>
    <row r="223" spans="1:10" x14ac:dyDescent="0.3">
      <c r="A223" s="150"/>
      <c r="B223" s="150"/>
      <c r="C223" s="150"/>
      <c r="D223" s="150"/>
      <c r="E223" s="140" t="str">
        <f t="shared" si="10"/>
        <v/>
      </c>
      <c r="F223" s="159"/>
      <c r="G223" s="145">
        <f t="shared" si="12"/>
        <v>0</v>
      </c>
      <c r="H223" s="140" t="str">
        <f t="shared" si="11"/>
        <v/>
      </c>
      <c r="I223"/>
      <c r="J223" s="147" t="str">
        <f>IFERROR(SUMIFS(当年实际!$V:$V,当年实际!$F:$F,$C223,当年实际!$C:$C,"&gt;="&amp;DATE(YEAR(主页!$D$2),1,1),当年实际!$C:$C,"&lt;="&amp;EOMONTH(DATE(YEAR(主页!$D$2),MONTH(主页!$D$2),1),0))/SUMIFS(当年实际!$P:$P,当年实际!$F:$F,$C223,当年实际!$C:$C,"&gt;="&amp;DATE(YEAR(主页!$D$2),1,1),当年实际!$C:$C,"&lt;="&amp;EOMONTH(DATE(YEAR(主页!$D$2),MONTH(主页!$D$2),1),0)),"")</f>
        <v/>
      </c>
    </row>
    <row r="224" spans="1:10" x14ac:dyDescent="0.3">
      <c r="A224" s="150"/>
      <c r="B224" s="150"/>
      <c r="C224" s="150"/>
      <c r="D224" s="150"/>
      <c r="E224" s="140" t="str">
        <f t="shared" si="10"/>
        <v/>
      </c>
      <c r="F224" s="159"/>
      <c r="G224" s="145">
        <f t="shared" si="12"/>
        <v>0</v>
      </c>
      <c r="H224" s="140" t="str">
        <f t="shared" si="11"/>
        <v/>
      </c>
      <c r="I224"/>
      <c r="J224" s="147" t="str">
        <f>IFERROR(SUMIFS(当年实际!$V:$V,当年实际!$F:$F,$C224,当年实际!$C:$C,"&gt;="&amp;DATE(YEAR(主页!$D$2),1,1),当年实际!$C:$C,"&lt;="&amp;EOMONTH(DATE(YEAR(主页!$D$2),MONTH(主页!$D$2),1),0))/SUMIFS(当年实际!$P:$P,当年实际!$F:$F,$C224,当年实际!$C:$C,"&gt;="&amp;DATE(YEAR(主页!$D$2),1,1),当年实际!$C:$C,"&lt;="&amp;EOMONTH(DATE(YEAR(主页!$D$2),MONTH(主页!$D$2),1),0)),"")</f>
        <v/>
      </c>
    </row>
    <row r="225" spans="1:10" x14ac:dyDescent="0.3">
      <c r="A225" s="150"/>
      <c r="B225" s="150"/>
      <c r="C225" s="150"/>
      <c r="D225" s="150"/>
      <c r="E225" s="140" t="str">
        <f t="shared" si="10"/>
        <v/>
      </c>
      <c r="F225" s="159"/>
      <c r="G225" s="145">
        <f t="shared" si="12"/>
        <v>0</v>
      </c>
      <c r="H225" s="140" t="str">
        <f t="shared" si="11"/>
        <v/>
      </c>
      <c r="I225"/>
      <c r="J225" s="147" t="str">
        <f>IFERROR(SUMIFS(当年实际!$V:$V,当年实际!$F:$F,$C225,当年实际!$C:$C,"&gt;="&amp;DATE(YEAR(主页!$D$2),1,1),当年实际!$C:$C,"&lt;="&amp;EOMONTH(DATE(YEAR(主页!$D$2),MONTH(主页!$D$2),1),0))/SUMIFS(当年实际!$P:$P,当年实际!$F:$F,$C225,当年实际!$C:$C,"&gt;="&amp;DATE(YEAR(主页!$D$2),1,1),当年实际!$C:$C,"&lt;="&amp;EOMONTH(DATE(YEAR(主页!$D$2),MONTH(主页!$D$2),1),0)),"")</f>
        <v/>
      </c>
    </row>
    <row r="226" spans="1:10" x14ac:dyDescent="0.3">
      <c r="A226" s="150"/>
      <c r="B226" s="150"/>
      <c r="C226" s="150"/>
      <c r="D226" s="150"/>
      <c r="E226" s="140" t="str">
        <f t="shared" si="10"/>
        <v/>
      </c>
      <c r="F226" s="159"/>
      <c r="G226" s="145">
        <f t="shared" si="12"/>
        <v>0</v>
      </c>
      <c r="H226" s="140" t="str">
        <f t="shared" si="11"/>
        <v/>
      </c>
      <c r="I226"/>
      <c r="J226" s="147" t="str">
        <f>IFERROR(SUMIFS(当年实际!$V:$V,当年实际!$F:$F,$C226,当年实际!$C:$C,"&gt;="&amp;DATE(YEAR(主页!$D$2),1,1),当年实际!$C:$C,"&lt;="&amp;EOMONTH(DATE(YEAR(主页!$D$2),MONTH(主页!$D$2),1),0))/SUMIFS(当年实际!$P:$P,当年实际!$F:$F,$C226,当年实际!$C:$C,"&gt;="&amp;DATE(YEAR(主页!$D$2),1,1),当年实际!$C:$C,"&lt;="&amp;EOMONTH(DATE(YEAR(主页!$D$2),MONTH(主页!$D$2),1),0)),"")</f>
        <v/>
      </c>
    </row>
    <row r="227" spans="1:10" x14ac:dyDescent="0.3">
      <c r="A227" s="150"/>
      <c r="B227" s="150"/>
      <c r="C227" s="150"/>
      <c r="D227" s="150"/>
      <c r="E227" s="140" t="str">
        <f t="shared" si="10"/>
        <v/>
      </c>
      <c r="F227" s="159"/>
      <c r="G227" s="145">
        <f t="shared" si="12"/>
        <v>0</v>
      </c>
      <c r="H227" s="140" t="str">
        <f t="shared" si="11"/>
        <v/>
      </c>
      <c r="I227"/>
      <c r="J227" s="147" t="str">
        <f>IFERROR(SUMIFS(当年实际!$V:$V,当年实际!$F:$F,$C227,当年实际!$C:$C,"&gt;="&amp;DATE(YEAR(主页!$D$2),1,1),当年实际!$C:$C,"&lt;="&amp;EOMONTH(DATE(YEAR(主页!$D$2),MONTH(主页!$D$2),1),0))/SUMIFS(当年实际!$P:$P,当年实际!$F:$F,$C227,当年实际!$C:$C,"&gt;="&amp;DATE(YEAR(主页!$D$2),1,1),当年实际!$C:$C,"&lt;="&amp;EOMONTH(DATE(YEAR(主页!$D$2),MONTH(主页!$D$2),1),0)),"")</f>
        <v/>
      </c>
    </row>
    <row r="228" spans="1:10" x14ac:dyDescent="0.3">
      <c r="A228" s="150"/>
      <c r="B228" s="150"/>
      <c r="C228" s="150"/>
      <c r="D228" s="150"/>
      <c r="E228" s="140" t="str">
        <f t="shared" si="10"/>
        <v/>
      </c>
      <c r="F228" s="159"/>
      <c r="G228" s="145">
        <f t="shared" si="12"/>
        <v>0</v>
      </c>
      <c r="H228" s="140" t="str">
        <f t="shared" si="11"/>
        <v/>
      </c>
      <c r="I228"/>
      <c r="J228" s="147" t="str">
        <f>IFERROR(SUMIFS(当年实际!$V:$V,当年实际!$F:$F,$C228,当年实际!$C:$C,"&gt;="&amp;DATE(YEAR(主页!$D$2),1,1),当年实际!$C:$C,"&lt;="&amp;EOMONTH(DATE(YEAR(主页!$D$2),MONTH(主页!$D$2),1),0))/SUMIFS(当年实际!$P:$P,当年实际!$F:$F,$C228,当年实际!$C:$C,"&gt;="&amp;DATE(YEAR(主页!$D$2),1,1),当年实际!$C:$C,"&lt;="&amp;EOMONTH(DATE(YEAR(主页!$D$2),MONTH(主页!$D$2),1),0)),"")</f>
        <v/>
      </c>
    </row>
    <row r="229" spans="1:10" x14ac:dyDescent="0.3">
      <c r="A229" s="150"/>
      <c r="B229" s="150"/>
      <c r="C229" s="150"/>
      <c r="D229" s="150"/>
      <c r="E229" s="140" t="str">
        <f t="shared" si="10"/>
        <v/>
      </c>
      <c r="F229" s="159"/>
      <c r="G229" s="145">
        <f t="shared" si="12"/>
        <v>0</v>
      </c>
      <c r="H229" s="140" t="str">
        <f t="shared" si="11"/>
        <v/>
      </c>
      <c r="I229"/>
      <c r="J229" s="147" t="str">
        <f>IFERROR(SUMIFS(当年实际!$V:$V,当年实际!$F:$F,$C229,当年实际!$C:$C,"&gt;="&amp;DATE(YEAR(主页!$D$2),1,1),当年实际!$C:$C,"&lt;="&amp;EOMONTH(DATE(YEAR(主页!$D$2),MONTH(主页!$D$2),1),0))/SUMIFS(当年实际!$P:$P,当年实际!$F:$F,$C229,当年实际!$C:$C,"&gt;="&amp;DATE(YEAR(主页!$D$2),1,1),当年实际!$C:$C,"&lt;="&amp;EOMONTH(DATE(YEAR(主页!$D$2),MONTH(主页!$D$2),1),0)),"")</f>
        <v/>
      </c>
    </row>
    <row r="230" spans="1:10" x14ac:dyDescent="0.3">
      <c r="A230" s="150"/>
      <c r="B230" s="150"/>
      <c r="C230" s="150"/>
      <c r="D230" s="150"/>
      <c r="E230" s="140" t="str">
        <f t="shared" si="10"/>
        <v/>
      </c>
      <c r="F230" s="159"/>
      <c r="G230" s="145">
        <f t="shared" si="12"/>
        <v>0</v>
      </c>
      <c r="H230" s="140" t="str">
        <f t="shared" si="11"/>
        <v/>
      </c>
      <c r="I230"/>
      <c r="J230" s="147" t="str">
        <f>IFERROR(SUMIFS(当年实际!$V:$V,当年实际!$F:$F,$C230,当年实际!$C:$C,"&gt;="&amp;DATE(YEAR(主页!$D$2),1,1),当年实际!$C:$C,"&lt;="&amp;EOMONTH(DATE(YEAR(主页!$D$2),MONTH(主页!$D$2),1),0))/SUMIFS(当年实际!$P:$P,当年实际!$F:$F,$C230,当年实际!$C:$C,"&gt;="&amp;DATE(YEAR(主页!$D$2),1,1),当年实际!$C:$C,"&lt;="&amp;EOMONTH(DATE(YEAR(主页!$D$2),MONTH(主页!$D$2),1),0)),"")</f>
        <v/>
      </c>
    </row>
    <row r="231" spans="1:10" x14ac:dyDescent="0.3">
      <c r="A231" s="150"/>
      <c r="B231" s="150"/>
      <c r="C231" s="150"/>
      <c r="D231" s="150"/>
      <c r="E231" s="140" t="str">
        <f t="shared" si="10"/>
        <v/>
      </c>
      <c r="F231" s="159"/>
      <c r="G231" s="145">
        <f t="shared" si="12"/>
        <v>0</v>
      </c>
      <c r="H231" s="140" t="str">
        <f t="shared" si="11"/>
        <v/>
      </c>
      <c r="I231"/>
      <c r="J231" s="147" t="str">
        <f>IFERROR(SUMIFS(当年实际!$V:$V,当年实际!$F:$F,$C231,当年实际!$C:$C,"&gt;="&amp;DATE(YEAR(主页!$D$2),1,1),当年实际!$C:$C,"&lt;="&amp;EOMONTH(DATE(YEAR(主页!$D$2),MONTH(主页!$D$2),1),0))/SUMIFS(当年实际!$P:$P,当年实际!$F:$F,$C231,当年实际!$C:$C,"&gt;="&amp;DATE(YEAR(主页!$D$2),1,1),当年实际!$C:$C,"&lt;="&amp;EOMONTH(DATE(YEAR(主页!$D$2),MONTH(主页!$D$2),1),0)),"")</f>
        <v/>
      </c>
    </row>
    <row r="232" spans="1:10" x14ac:dyDescent="0.3">
      <c r="A232" s="150"/>
      <c r="B232" s="150"/>
      <c r="C232" s="150"/>
      <c r="D232" s="150"/>
      <c r="E232" s="140" t="str">
        <f t="shared" si="10"/>
        <v/>
      </c>
      <c r="F232" s="159"/>
      <c r="G232" s="145">
        <f t="shared" si="12"/>
        <v>0</v>
      </c>
      <c r="H232" s="140" t="str">
        <f t="shared" si="11"/>
        <v/>
      </c>
      <c r="I232"/>
      <c r="J232" s="147" t="str">
        <f>IFERROR(SUMIFS(当年实际!$V:$V,当年实际!$F:$F,$C232,当年实际!$C:$C,"&gt;="&amp;DATE(YEAR(主页!$D$2),1,1),当年实际!$C:$C,"&lt;="&amp;EOMONTH(DATE(YEAR(主页!$D$2),MONTH(主页!$D$2),1),0))/SUMIFS(当年实际!$P:$P,当年实际!$F:$F,$C232,当年实际!$C:$C,"&gt;="&amp;DATE(YEAR(主页!$D$2),1,1),当年实际!$C:$C,"&lt;="&amp;EOMONTH(DATE(YEAR(主页!$D$2),MONTH(主页!$D$2),1),0)),"")</f>
        <v/>
      </c>
    </row>
    <row r="233" spans="1:10" x14ac:dyDescent="0.3">
      <c r="A233" s="150"/>
      <c r="B233" s="150"/>
      <c r="C233" s="150"/>
      <c r="D233" s="150"/>
      <c r="E233" s="140" t="str">
        <f t="shared" si="10"/>
        <v/>
      </c>
      <c r="F233" s="159"/>
      <c r="G233" s="145">
        <f t="shared" si="12"/>
        <v>0</v>
      </c>
      <c r="H233" s="140" t="str">
        <f t="shared" si="11"/>
        <v/>
      </c>
      <c r="I233"/>
      <c r="J233" s="147" t="str">
        <f>IFERROR(SUMIFS(当年实际!$V:$V,当年实际!$F:$F,$C233,当年实际!$C:$C,"&gt;="&amp;DATE(YEAR(主页!$D$2),1,1),当年实际!$C:$C,"&lt;="&amp;EOMONTH(DATE(YEAR(主页!$D$2),MONTH(主页!$D$2),1),0))/SUMIFS(当年实际!$P:$P,当年实际!$F:$F,$C233,当年实际!$C:$C,"&gt;="&amp;DATE(YEAR(主页!$D$2),1,1),当年实际!$C:$C,"&lt;="&amp;EOMONTH(DATE(YEAR(主页!$D$2),MONTH(主页!$D$2),1),0)),"")</f>
        <v/>
      </c>
    </row>
    <row r="234" spans="1:10" x14ac:dyDescent="0.3">
      <c r="A234" s="150"/>
      <c r="B234" s="150"/>
      <c r="C234" s="150"/>
      <c r="D234" s="150"/>
      <c r="E234" s="140" t="str">
        <f t="shared" si="10"/>
        <v/>
      </c>
      <c r="F234" s="159"/>
      <c r="G234" s="145">
        <f t="shared" si="12"/>
        <v>0</v>
      </c>
      <c r="H234" s="140" t="str">
        <f t="shared" si="11"/>
        <v/>
      </c>
      <c r="I234"/>
      <c r="J234" s="147" t="str">
        <f>IFERROR(SUMIFS(当年实际!$V:$V,当年实际!$F:$F,$C234,当年实际!$C:$C,"&gt;="&amp;DATE(YEAR(主页!$D$2),1,1),当年实际!$C:$C,"&lt;="&amp;EOMONTH(DATE(YEAR(主页!$D$2),MONTH(主页!$D$2),1),0))/SUMIFS(当年实际!$P:$P,当年实际!$F:$F,$C234,当年实际!$C:$C,"&gt;="&amp;DATE(YEAR(主页!$D$2),1,1),当年实际!$C:$C,"&lt;="&amp;EOMONTH(DATE(YEAR(主页!$D$2),MONTH(主页!$D$2),1),0)),"")</f>
        <v/>
      </c>
    </row>
    <row r="235" spans="1:10" x14ac:dyDescent="0.3">
      <c r="A235" s="150"/>
      <c r="B235" s="150"/>
      <c r="C235" s="150"/>
      <c r="D235" s="150"/>
      <c r="E235" s="140" t="str">
        <f t="shared" si="10"/>
        <v/>
      </c>
      <c r="F235" s="159"/>
      <c r="G235" s="145">
        <f t="shared" si="12"/>
        <v>0</v>
      </c>
      <c r="H235" s="140" t="str">
        <f t="shared" si="11"/>
        <v/>
      </c>
      <c r="I235"/>
      <c r="J235" s="147" t="str">
        <f>IFERROR(SUMIFS(当年实际!$V:$V,当年实际!$F:$F,$C235,当年实际!$C:$C,"&gt;="&amp;DATE(YEAR(主页!$D$2),1,1),当年实际!$C:$C,"&lt;="&amp;EOMONTH(DATE(YEAR(主页!$D$2),MONTH(主页!$D$2),1),0))/SUMIFS(当年实际!$P:$P,当年实际!$F:$F,$C235,当年实际!$C:$C,"&gt;="&amp;DATE(YEAR(主页!$D$2),1,1),当年实际!$C:$C,"&lt;="&amp;EOMONTH(DATE(YEAR(主页!$D$2),MONTH(主页!$D$2),1),0)),"")</f>
        <v/>
      </c>
    </row>
    <row r="236" spans="1:10" x14ac:dyDescent="0.3">
      <c r="A236" s="150"/>
      <c r="B236" s="150"/>
      <c r="C236" s="150"/>
      <c r="D236" s="150"/>
      <c r="E236" s="140" t="str">
        <f t="shared" si="10"/>
        <v/>
      </c>
      <c r="F236" s="159"/>
      <c r="G236" s="145">
        <f t="shared" si="12"/>
        <v>0</v>
      </c>
      <c r="H236" s="140" t="str">
        <f t="shared" si="11"/>
        <v/>
      </c>
      <c r="I236"/>
      <c r="J236" s="147" t="str">
        <f>IFERROR(SUMIFS(当年实际!$V:$V,当年实际!$F:$F,$C236,当年实际!$C:$C,"&gt;="&amp;DATE(YEAR(主页!$D$2),1,1),当年实际!$C:$C,"&lt;="&amp;EOMONTH(DATE(YEAR(主页!$D$2),MONTH(主页!$D$2),1),0))/SUMIFS(当年实际!$P:$P,当年实际!$F:$F,$C236,当年实际!$C:$C,"&gt;="&amp;DATE(YEAR(主页!$D$2),1,1),当年实际!$C:$C,"&lt;="&amp;EOMONTH(DATE(YEAR(主页!$D$2),MONTH(主页!$D$2),1),0)),"")</f>
        <v/>
      </c>
    </row>
    <row r="237" spans="1:10" x14ac:dyDescent="0.3">
      <c r="A237" s="150"/>
      <c r="B237" s="150"/>
      <c r="C237" s="150"/>
      <c r="D237" s="150"/>
      <c r="E237" s="140" t="str">
        <f t="shared" si="10"/>
        <v/>
      </c>
      <c r="F237" s="159"/>
      <c r="G237" s="145">
        <f t="shared" si="12"/>
        <v>0</v>
      </c>
      <c r="H237" s="140" t="str">
        <f t="shared" si="11"/>
        <v/>
      </c>
      <c r="I237"/>
      <c r="J237" s="147" t="str">
        <f>IFERROR(SUMIFS(当年实际!$V:$V,当年实际!$F:$F,$C237,当年实际!$C:$C,"&gt;="&amp;DATE(YEAR(主页!$D$2),1,1),当年实际!$C:$C,"&lt;="&amp;EOMONTH(DATE(YEAR(主页!$D$2),MONTH(主页!$D$2),1),0))/SUMIFS(当年实际!$P:$P,当年实际!$F:$F,$C237,当年实际!$C:$C,"&gt;="&amp;DATE(YEAR(主页!$D$2),1,1),当年实际!$C:$C,"&lt;="&amp;EOMONTH(DATE(YEAR(主页!$D$2),MONTH(主页!$D$2),1),0)),"")</f>
        <v/>
      </c>
    </row>
    <row r="238" spans="1:10" x14ac:dyDescent="0.3">
      <c r="A238" s="150"/>
      <c r="B238" s="150"/>
      <c r="C238" s="150"/>
      <c r="D238" s="150"/>
      <c r="E238" s="140" t="str">
        <f t="shared" si="10"/>
        <v/>
      </c>
      <c r="F238" s="159"/>
      <c r="G238" s="145">
        <f t="shared" si="12"/>
        <v>0</v>
      </c>
      <c r="H238" s="140" t="str">
        <f t="shared" si="11"/>
        <v/>
      </c>
      <c r="I238"/>
      <c r="J238" s="147" t="str">
        <f>IFERROR(SUMIFS(当年实际!$V:$V,当年实际!$F:$F,$C238,当年实际!$C:$C,"&gt;="&amp;DATE(YEAR(主页!$D$2),1,1),当年实际!$C:$C,"&lt;="&amp;EOMONTH(DATE(YEAR(主页!$D$2),MONTH(主页!$D$2),1),0))/SUMIFS(当年实际!$P:$P,当年实际!$F:$F,$C238,当年实际!$C:$C,"&gt;="&amp;DATE(YEAR(主页!$D$2),1,1),当年实际!$C:$C,"&lt;="&amp;EOMONTH(DATE(YEAR(主页!$D$2),MONTH(主页!$D$2),1),0)),"")</f>
        <v/>
      </c>
    </row>
    <row r="239" spans="1:10" x14ac:dyDescent="0.3">
      <c r="A239" s="150"/>
      <c r="B239" s="150"/>
      <c r="C239" s="150"/>
      <c r="D239" s="150"/>
      <c r="E239" s="140" t="str">
        <f t="shared" si="10"/>
        <v/>
      </c>
      <c r="F239" s="159"/>
      <c r="G239" s="145">
        <f t="shared" si="12"/>
        <v>0</v>
      </c>
      <c r="H239" s="140" t="str">
        <f t="shared" si="11"/>
        <v/>
      </c>
      <c r="I239"/>
      <c r="J239" s="147" t="str">
        <f>IFERROR(SUMIFS(当年实际!$V:$V,当年实际!$F:$F,$C239,当年实际!$C:$C,"&gt;="&amp;DATE(YEAR(主页!$D$2),1,1),当年实际!$C:$C,"&lt;="&amp;EOMONTH(DATE(YEAR(主页!$D$2),MONTH(主页!$D$2),1),0))/SUMIFS(当年实际!$P:$P,当年实际!$F:$F,$C239,当年实际!$C:$C,"&gt;="&amp;DATE(YEAR(主页!$D$2),1,1),当年实际!$C:$C,"&lt;="&amp;EOMONTH(DATE(YEAR(主页!$D$2),MONTH(主页!$D$2),1),0)),"")</f>
        <v/>
      </c>
    </row>
    <row r="240" spans="1:10" x14ac:dyDescent="0.3">
      <c r="A240" s="150"/>
      <c r="B240" s="150"/>
      <c r="C240" s="150"/>
      <c r="D240" s="150"/>
      <c r="E240" s="140" t="str">
        <f t="shared" si="10"/>
        <v/>
      </c>
      <c r="F240" s="159"/>
      <c r="G240" s="145">
        <f t="shared" si="12"/>
        <v>0</v>
      </c>
      <c r="H240" s="140" t="str">
        <f t="shared" si="11"/>
        <v/>
      </c>
      <c r="I240"/>
      <c r="J240" s="147" t="str">
        <f>IFERROR(SUMIFS(当年实际!$V:$V,当年实际!$F:$F,$C240,当年实际!$C:$C,"&gt;="&amp;DATE(YEAR(主页!$D$2),1,1),当年实际!$C:$C,"&lt;="&amp;EOMONTH(DATE(YEAR(主页!$D$2),MONTH(主页!$D$2),1),0))/SUMIFS(当年实际!$P:$P,当年实际!$F:$F,$C240,当年实际!$C:$C,"&gt;="&amp;DATE(YEAR(主页!$D$2),1,1),当年实际!$C:$C,"&lt;="&amp;EOMONTH(DATE(YEAR(主页!$D$2),MONTH(主页!$D$2),1),0)),"")</f>
        <v/>
      </c>
    </row>
    <row r="241" spans="1:10" x14ac:dyDescent="0.3">
      <c r="A241" s="150"/>
      <c r="B241" s="150"/>
      <c r="C241" s="150"/>
      <c r="D241" s="150"/>
      <c r="E241" s="140" t="str">
        <f t="shared" si="10"/>
        <v/>
      </c>
      <c r="F241" s="159"/>
      <c r="G241" s="145">
        <f t="shared" si="12"/>
        <v>0</v>
      </c>
      <c r="H241" s="140" t="str">
        <f t="shared" si="11"/>
        <v/>
      </c>
      <c r="I241"/>
      <c r="J241" s="147" t="str">
        <f>IFERROR(SUMIFS(当年实际!$V:$V,当年实际!$F:$F,$C241,当年实际!$C:$C,"&gt;="&amp;DATE(YEAR(主页!$D$2),1,1),当年实际!$C:$C,"&lt;="&amp;EOMONTH(DATE(YEAR(主页!$D$2),MONTH(主页!$D$2),1),0))/SUMIFS(当年实际!$P:$P,当年实际!$F:$F,$C241,当年实际!$C:$C,"&gt;="&amp;DATE(YEAR(主页!$D$2),1,1),当年实际!$C:$C,"&lt;="&amp;EOMONTH(DATE(YEAR(主页!$D$2),MONTH(主页!$D$2),1),0)),"")</f>
        <v/>
      </c>
    </row>
    <row r="242" spans="1:10" x14ac:dyDescent="0.3">
      <c r="A242" s="150"/>
      <c r="B242" s="150"/>
      <c r="C242" s="150"/>
      <c r="D242" s="150"/>
      <c r="E242" s="140" t="str">
        <f t="shared" si="10"/>
        <v/>
      </c>
      <c r="F242" s="159"/>
      <c r="G242" s="145">
        <f t="shared" si="12"/>
        <v>0</v>
      </c>
      <c r="H242" s="140" t="str">
        <f t="shared" si="11"/>
        <v/>
      </c>
      <c r="I242"/>
      <c r="J242" s="147" t="str">
        <f>IFERROR(SUMIFS(当年实际!$V:$V,当年实际!$F:$F,$C242,当年实际!$C:$C,"&gt;="&amp;DATE(YEAR(主页!$D$2),1,1),当年实际!$C:$C,"&lt;="&amp;EOMONTH(DATE(YEAR(主页!$D$2),MONTH(主页!$D$2),1),0))/SUMIFS(当年实际!$P:$P,当年实际!$F:$F,$C242,当年实际!$C:$C,"&gt;="&amp;DATE(YEAR(主页!$D$2),1,1),当年实际!$C:$C,"&lt;="&amp;EOMONTH(DATE(YEAR(主页!$D$2),MONTH(主页!$D$2),1),0)),"")</f>
        <v/>
      </c>
    </row>
    <row r="243" spans="1:10" x14ac:dyDescent="0.3">
      <c r="A243" s="150"/>
      <c r="B243" s="150"/>
      <c r="C243" s="150"/>
      <c r="D243" s="150"/>
      <c r="E243" s="140" t="str">
        <f t="shared" si="10"/>
        <v/>
      </c>
      <c r="F243" s="159"/>
      <c r="G243" s="145">
        <f t="shared" si="12"/>
        <v>0</v>
      </c>
      <c r="H243" s="140" t="str">
        <f t="shared" si="11"/>
        <v/>
      </c>
      <c r="I243"/>
      <c r="J243" s="147" t="str">
        <f>IFERROR(SUMIFS(当年实际!$V:$V,当年实际!$F:$F,$C243,当年实际!$C:$C,"&gt;="&amp;DATE(YEAR(主页!$D$2),1,1),当年实际!$C:$C,"&lt;="&amp;EOMONTH(DATE(YEAR(主页!$D$2),MONTH(主页!$D$2),1),0))/SUMIFS(当年实际!$P:$P,当年实际!$F:$F,$C243,当年实际!$C:$C,"&gt;="&amp;DATE(YEAR(主页!$D$2),1,1),当年实际!$C:$C,"&lt;="&amp;EOMONTH(DATE(YEAR(主页!$D$2),MONTH(主页!$D$2),1),0)),"")</f>
        <v/>
      </c>
    </row>
    <row r="244" spans="1:10" x14ac:dyDescent="0.3">
      <c r="A244" s="150"/>
      <c r="B244" s="150"/>
      <c r="C244" s="150"/>
      <c r="D244" s="150"/>
      <c r="E244" s="140" t="str">
        <f t="shared" si="10"/>
        <v/>
      </c>
      <c r="F244" s="159"/>
      <c r="G244" s="145">
        <f t="shared" si="12"/>
        <v>0</v>
      </c>
      <c r="H244" s="140" t="str">
        <f t="shared" si="11"/>
        <v/>
      </c>
      <c r="I244"/>
      <c r="J244" s="147" t="str">
        <f>IFERROR(SUMIFS(当年实际!$V:$V,当年实际!$F:$F,$C244,当年实际!$C:$C,"&gt;="&amp;DATE(YEAR(主页!$D$2),1,1),当年实际!$C:$C,"&lt;="&amp;EOMONTH(DATE(YEAR(主页!$D$2),MONTH(主页!$D$2),1),0))/SUMIFS(当年实际!$P:$P,当年实际!$F:$F,$C244,当年实际!$C:$C,"&gt;="&amp;DATE(YEAR(主页!$D$2),1,1),当年实际!$C:$C,"&lt;="&amp;EOMONTH(DATE(YEAR(主页!$D$2),MONTH(主页!$D$2),1),0)),"")</f>
        <v/>
      </c>
    </row>
    <row r="245" spans="1:10" x14ac:dyDescent="0.3">
      <c r="A245" s="150"/>
      <c r="B245" s="150"/>
      <c r="C245" s="150"/>
      <c r="D245" s="150"/>
      <c r="E245" s="140" t="str">
        <f t="shared" si="10"/>
        <v/>
      </c>
      <c r="F245" s="159"/>
      <c r="G245" s="145">
        <f t="shared" si="12"/>
        <v>0</v>
      </c>
      <c r="H245" s="140" t="str">
        <f t="shared" si="11"/>
        <v/>
      </c>
      <c r="I245"/>
      <c r="J245" s="147" t="str">
        <f>IFERROR(SUMIFS(当年实际!$V:$V,当年实际!$F:$F,$C245,当年实际!$C:$C,"&gt;="&amp;DATE(YEAR(主页!$D$2),1,1),当年实际!$C:$C,"&lt;="&amp;EOMONTH(DATE(YEAR(主页!$D$2),MONTH(主页!$D$2),1),0))/SUMIFS(当年实际!$P:$P,当年实际!$F:$F,$C245,当年实际!$C:$C,"&gt;="&amp;DATE(YEAR(主页!$D$2),1,1),当年实际!$C:$C,"&lt;="&amp;EOMONTH(DATE(YEAR(主页!$D$2),MONTH(主页!$D$2),1),0)),"")</f>
        <v/>
      </c>
    </row>
    <row r="246" spans="1:10" x14ac:dyDescent="0.3">
      <c r="A246" s="150"/>
      <c r="B246" s="150"/>
      <c r="C246" s="150"/>
      <c r="D246" s="150"/>
      <c r="E246" s="140" t="str">
        <f t="shared" si="10"/>
        <v/>
      </c>
      <c r="F246" s="159"/>
      <c r="G246" s="145">
        <f t="shared" si="12"/>
        <v>0</v>
      </c>
      <c r="H246" s="140" t="str">
        <f t="shared" si="11"/>
        <v/>
      </c>
      <c r="I246"/>
      <c r="J246" s="147" t="str">
        <f>IFERROR(SUMIFS(当年实际!$V:$V,当年实际!$F:$F,$C246,当年实际!$C:$C,"&gt;="&amp;DATE(YEAR(主页!$D$2),1,1),当年实际!$C:$C,"&lt;="&amp;EOMONTH(DATE(YEAR(主页!$D$2),MONTH(主页!$D$2),1),0))/SUMIFS(当年实际!$P:$P,当年实际!$F:$F,$C246,当年实际!$C:$C,"&gt;="&amp;DATE(YEAR(主页!$D$2),1,1),当年实际!$C:$C,"&lt;="&amp;EOMONTH(DATE(YEAR(主页!$D$2),MONTH(主页!$D$2),1),0)),"")</f>
        <v/>
      </c>
    </row>
    <row r="247" spans="1:10" x14ac:dyDescent="0.3">
      <c r="A247" s="150"/>
      <c r="B247" s="150"/>
      <c r="C247" s="150"/>
      <c r="D247" s="150"/>
      <c r="E247" s="140" t="str">
        <f t="shared" si="10"/>
        <v/>
      </c>
      <c r="F247" s="159"/>
      <c r="G247" s="145">
        <f t="shared" si="12"/>
        <v>0</v>
      </c>
      <c r="H247" s="140" t="str">
        <f t="shared" si="11"/>
        <v/>
      </c>
      <c r="I247"/>
      <c r="J247" s="147" t="str">
        <f>IFERROR(SUMIFS(当年实际!$V:$V,当年实际!$F:$F,$C247,当年实际!$C:$C,"&gt;="&amp;DATE(YEAR(主页!$D$2),1,1),当年实际!$C:$C,"&lt;="&amp;EOMONTH(DATE(YEAR(主页!$D$2),MONTH(主页!$D$2),1),0))/SUMIFS(当年实际!$P:$P,当年实际!$F:$F,$C247,当年实际!$C:$C,"&gt;="&amp;DATE(YEAR(主页!$D$2),1,1),当年实际!$C:$C,"&lt;="&amp;EOMONTH(DATE(YEAR(主页!$D$2),MONTH(主页!$D$2),1),0)),"")</f>
        <v/>
      </c>
    </row>
    <row r="248" spans="1:10" x14ac:dyDescent="0.3">
      <c r="A248" s="150"/>
      <c r="B248" s="150"/>
      <c r="C248" s="150"/>
      <c r="D248" s="150"/>
      <c r="E248" s="140" t="str">
        <f t="shared" si="10"/>
        <v/>
      </c>
      <c r="F248" s="159"/>
      <c r="G248" s="145">
        <f t="shared" si="12"/>
        <v>0</v>
      </c>
      <c r="H248" s="140" t="str">
        <f t="shared" si="11"/>
        <v/>
      </c>
      <c r="I248"/>
      <c r="J248" s="147" t="str">
        <f>IFERROR(SUMIFS(当年实际!$V:$V,当年实际!$F:$F,$C248,当年实际!$C:$C,"&gt;="&amp;DATE(YEAR(主页!$D$2),1,1),当年实际!$C:$C,"&lt;="&amp;EOMONTH(DATE(YEAR(主页!$D$2),MONTH(主页!$D$2),1),0))/SUMIFS(当年实际!$P:$P,当年实际!$F:$F,$C248,当年实际!$C:$C,"&gt;="&amp;DATE(YEAR(主页!$D$2),1,1),当年实际!$C:$C,"&lt;="&amp;EOMONTH(DATE(YEAR(主页!$D$2),MONTH(主页!$D$2),1),0)),"")</f>
        <v/>
      </c>
    </row>
    <row r="249" spans="1:10" x14ac:dyDescent="0.3">
      <c r="A249" s="150"/>
      <c r="B249" s="150"/>
      <c r="C249" s="150"/>
      <c r="D249" s="150"/>
      <c r="E249" s="140" t="str">
        <f t="shared" si="10"/>
        <v/>
      </c>
      <c r="F249" s="159"/>
      <c r="G249" s="145">
        <f t="shared" si="12"/>
        <v>0</v>
      </c>
      <c r="H249" s="140" t="str">
        <f t="shared" si="11"/>
        <v/>
      </c>
      <c r="I249"/>
      <c r="J249" s="147" t="str">
        <f>IFERROR(SUMIFS(当年实际!$V:$V,当年实际!$F:$F,$C249,当年实际!$C:$C,"&gt;="&amp;DATE(YEAR(主页!$D$2),1,1),当年实际!$C:$C,"&lt;="&amp;EOMONTH(DATE(YEAR(主页!$D$2),MONTH(主页!$D$2),1),0))/SUMIFS(当年实际!$P:$P,当年实际!$F:$F,$C249,当年实际!$C:$C,"&gt;="&amp;DATE(YEAR(主页!$D$2),1,1),当年实际!$C:$C,"&lt;="&amp;EOMONTH(DATE(YEAR(主页!$D$2),MONTH(主页!$D$2),1),0)),"")</f>
        <v/>
      </c>
    </row>
    <row r="250" spans="1:10" x14ac:dyDescent="0.3">
      <c r="A250" s="150"/>
      <c r="B250" s="150"/>
      <c r="C250" s="150"/>
      <c r="D250" s="150"/>
      <c r="E250" s="140" t="str">
        <f t="shared" si="10"/>
        <v/>
      </c>
      <c r="F250" s="159"/>
      <c r="G250" s="145">
        <f t="shared" si="12"/>
        <v>0</v>
      </c>
      <c r="H250" s="140" t="str">
        <f t="shared" si="11"/>
        <v/>
      </c>
      <c r="I250"/>
      <c r="J250" s="147" t="str">
        <f>IFERROR(SUMIFS(当年实际!$V:$V,当年实际!$F:$F,$C250,当年实际!$C:$C,"&gt;="&amp;DATE(YEAR(主页!$D$2),1,1),当年实际!$C:$C,"&lt;="&amp;EOMONTH(DATE(YEAR(主页!$D$2),MONTH(主页!$D$2),1),0))/SUMIFS(当年实际!$P:$P,当年实际!$F:$F,$C250,当年实际!$C:$C,"&gt;="&amp;DATE(YEAR(主页!$D$2),1,1),当年实际!$C:$C,"&lt;="&amp;EOMONTH(DATE(YEAR(主页!$D$2),MONTH(主页!$D$2),1),0)),"")</f>
        <v/>
      </c>
    </row>
    <row r="251" spans="1:10" x14ac:dyDescent="0.3">
      <c r="A251" s="150"/>
      <c r="B251" s="150"/>
      <c r="C251" s="150"/>
      <c r="D251" s="150"/>
      <c r="E251" s="140" t="str">
        <f t="shared" si="10"/>
        <v/>
      </c>
      <c r="F251" s="159"/>
      <c r="G251" s="145">
        <f t="shared" si="12"/>
        <v>0</v>
      </c>
      <c r="H251" s="140" t="str">
        <f t="shared" si="11"/>
        <v/>
      </c>
      <c r="I251"/>
      <c r="J251" s="147" t="str">
        <f>IFERROR(SUMIFS(当年实际!$V:$V,当年实际!$F:$F,$C251,当年实际!$C:$C,"&gt;="&amp;DATE(YEAR(主页!$D$2),1,1),当年实际!$C:$C,"&lt;="&amp;EOMONTH(DATE(YEAR(主页!$D$2),MONTH(主页!$D$2),1),0))/SUMIFS(当年实际!$P:$P,当年实际!$F:$F,$C251,当年实际!$C:$C,"&gt;="&amp;DATE(YEAR(主页!$D$2),1,1),当年实际!$C:$C,"&lt;="&amp;EOMONTH(DATE(YEAR(主页!$D$2),MONTH(主页!$D$2),1),0)),"")</f>
        <v/>
      </c>
    </row>
    <row r="252" spans="1:10" x14ac:dyDescent="0.3">
      <c r="A252" s="150"/>
      <c r="B252" s="150"/>
      <c r="C252" s="150"/>
      <c r="D252" s="150"/>
      <c r="E252" s="140" t="str">
        <f t="shared" si="10"/>
        <v/>
      </c>
      <c r="F252" s="159"/>
      <c r="G252" s="145">
        <f t="shared" si="12"/>
        <v>0</v>
      </c>
      <c r="H252" s="140" t="str">
        <f t="shared" si="11"/>
        <v/>
      </c>
      <c r="I252"/>
      <c r="J252" s="147" t="str">
        <f>IFERROR(SUMIFS(当年实际!$V:$V,当年实际!$F:$F,$C252,当年实际!$C:$C,"&gt;="&amp;DATE(YEAR(主页!$D$2),1,1),当年实际!$C:$C,"&lt;="&amp;EOMONTH(DATE(YEAR(主页!$D$2),MONTH(主页!$D$2),1),0))/SUMIFS(当年实际!$P:$P,当年实际!$F:$F,$C252,当年实际!$C:$C,"&gt;="&amp;DATE(YEAR(主页!$D$2),1,1),当年实际!$C:$C,"&lt;="&amp;EOMONTH(DATE(YEAR(主页!$D$2),MONTH(主页!$D$2),1),0)),"")</f>
        <v/>
      </c>
    </row>
    <row r="253" spans="1:10" x14ac:dyDescent="0.3">
      <c r="A253" s="150"/>
      <c r="B253" s="150"/>
      <c r="C253" s="150"/>
      <c r="D253" s="150"/>
      <c r="E253" s="140" t="str">
        <f t="shared" si="10"/>
        <v/>
      </c>
      <c r="F253" s="159"/>
      <c r="G253" s="145">
        <f t="shared" si="12"/>
        <v>0</v>
      </c>
      <c r="H253" s="140" t="str">
        <f t="shared" si="11"/>
        <v/>
      </c>
      <c r="I253"/>
      <c r="J253" s="147" t="str">
        <f>IFERROR(SUMIFS(当年实际!$V:$V,当年实际!$F:$F,$C253,当年实际!$C:$C,"&gt;="&amp;DATE(YEAR(主页!$D$2),1,1),当年实际!$C:$C,"&lt;="&amp;EOMONTH(DATE(YEAR(主页!$D$2),MONTH(主页!$D$2),1),0))/SUMIFS(当年实际!$P:$P,当年实际!$F:$F,$C253,当年实际!$C:$C,"&gt;="&amp;DATE(YEAR(主页!$D$2),1,1),当年实际!$C:$C,"&lt;="&amp;EOMONTH(DATE(YEAR(主页!$D$2),MONTH(主页!$D$2),1),0)),"")</f>
        <v/>
      </c>
    </row>
    <row r="254" spans="1:10" x14ac:dyDescent="0.3">
      <c r="A254" s="150"/>
      <c r="B254" s="150"/>
      <c r="C254" s="150"/>
      <c r="D254" s="150"/>
      <c r="E254" s="140" t="str">
        <f t="shared" si="10"/>
        <v/>
      </c>
      <c r="F254" s="159"/>
      <c r="G254" s="145">
        <f t="shared" si="12"/>
        <v>0</v>
      </c>
      <c r="H254" s="140" t="str">
        <f t="shared" si="11"/>
        <v/>
      </c>
      <c r="I254"/>
      <c r="J254" s="147" t="str">
        <f>IFERROR(SUMIFS(当年实际!$V:$V,当年实际!$F:$F,$C254,当年实际!$C:$C,"&gt;="&amp;DATE(YEAR(主页!$D$2),1,1),当年实际!$C:$C,"&lt;="&amp;EOMONTH(DATE(YEAR(主页!$D$2),MONTH(主页!$D$2),1),0))/SUMIFS(当年实际!$P:$P,当年实际!$F:$F,$C254,当年实际!$C:$C,"&gt;="&amp;DATE(YEAR(主页!$D$2),1,1),当年实际!$C:$C,"&lt;="&amp;EOMONTH(DATE(YEAR(主页!$D$2),MONTH(主页!$D$2),1),0)),"")</f>
        <v/>
      </c>
    </row>
    <row r="255" spans="1:10" x14ac:dyDescent="0.3">
      <c r="A255" s="150"/>
      <c r="B255" s="150"/>
      <c r="C255" s="150"/>
      <c r="D255" s="150"/>
      <c r="E255" s="140" t="str">
        <f t="shared" si="10"/>
        <v/>
      </c>
      <c r="F255" s="159"/>
      <c r="G255" s="145">
        <f t="shared" si="12"/>
        <v>0</v>
      </c>
      <c r="H255" s="140" t="str">
        <f t="shared" si="11"/>
        <v/>
      </c>
      <c r="I255"/>
      <c r="J255" s="147" t="str">
        <f>IFERROR(SUMIFS(当年实际!$V:$V,当年实际!$F:$F,$C255,当年实际!$C:$C,"&gt;="&amp;DATE(YEAR(主页!$D$2),1,1),当年实际!$C:$C,"&lt;="&amp;EOMONTH(DATE(YEAR(主页!$D$2),MONTH(主页!$D$2),1),0))/SUMIFS(当年实际!$P:$P,当年实际!$F:$F,$C255,当年实际!$C:$C,"&gt;="&amp;DATE(YEAR(主页!$D$2),1,1),当年实际!$C:$C,"&lt;="&amp;EOMONTH(DATE(YEAR(主页!$D$2),MONTH(主页!$D$2),1),0)),"")</f>
        <v/>
      </c>
    </row>
    <row r="256" spans="1:10" x14ac:dyDescent="0.3">
      <c r="A256" s="150"/>
      <c r="B256" s="150"/>
      <c r="C256" s="150"/>
      <c r="D256" s="150"/>
      <c r="E256" s="140" t="str">
        <f t="shared" si="10"/>
        <v/>
      </c>
      <c r="F256" s="159"/>
      <c r="G256" s="145">
        <f t="shared" si="12"/>
        <v>0</v>
      </c>
      <c r="H256" s="140" t="str">
        <f t="shared" si="11"/>
        <v/>
      </c>
      <c r="I256"/>
      <c r="J256" s="147" t="str">
        <f>IFERROR(SUMIFS(当年实际!$V:$V,当年实际!$F:$F,$C256,当年实际!$C:$C,"&gt;="&amp;DATE(YEAR(主页!$D$2),1,1),当年实际!$C:$C,"&lt;="&amp;EOMONTH(DATE(YEAR(主页!$D$2),MONTH(主页!$D$2),1),0))/SUMIFS(当年实际!$P:$P,当年实际!$F:$F,$C256,当年实际!$C:$C,"&gt;="&amp;DATE(YEAR(主页!$D$2),1,1),当年实际!$C:$C,"&lt;="&amp;EOMONTH(DATE(YEAR(主页!$D$2),MONTH(主页!$D$2),1),0)),"")</f>
        <v/>
      </c>
    </row>
    <row r="257" spans="1:10" x14ac:dyDescent="0.3">
      <c r="A257" s="150"/>
      <c r="B257" s="150"/>
      <c r="C257" s="150"/>
      <c r="D257" s="150"/>
      <c r="E257" s="140" t="str">
        <f t="shared" si="10"/>
        <v/>
      </c>
      <c r="F257" s="159"/>
      <c r="G257" s="145">
        <f t="shared" si="12"/>
        <v>0</v>
      </c>
      <c r="H257" s="140" t="str">
        <f t="shared" si="11"/>
        <v/>
      </c>
      <c r="I257"/>
      <c r="J257" s="147" t="str">
        <f>IFERROR(SUMIFS(当年实际!$V:$V,当年实际!$F:$F,$C257,当年实际!$C:$C,"&gt;="&amp;DATE(YEAR(主页!$D$2),1,1),当年实际!$C:$C,"&lt;="&amp;EOMONTH(DATE(YEAR(主页!$D$2),MONTH(主页!$D$2),1),0))/SUMIFS(当年实际!$P:$P,当年实际!$F:$F,$C257,当年实际!$C:$C,"&gt;="&amp;DATE(YEAR(主页!$D$2),1,1),当年实际!$C:$C,"&lt;="&amp;EOMONTH(DATE(YEAR(主页!$D$2),MONTH(主页!$D$2),1),0)),"")</f>
        <v/>
      </c>
    </row>
    <row r="258" spans="1:10" x14ac:dyDescent="0.3">
      <c r="A258" s="150"/>
      <c r="B258" s="150"/>
      <c r="C258" s="150"/>
      <c r="D258" s="150"/>
      <c r="E258" s="140" t="str">
        <f t="shared" si="10"/>
        <v/>
      </c>
      <c r="F258" s="159"/>
      <c r="G258" s="145">
        <f t="shared" si="12"/>
        <v>0</v>
      </c>
      <c r="H258" s="140" t="str">
        <f t="shared" si="11"/>
        <v/>
      </c>
      <c r="I258"/>
      <c r="J258" s="147" t="str">
        <f>IFERROR(SUMIFS(当年实际!$V:$V,当年实际!$F:$F,$C258,当年实际!$C:$C,"&gt;="&amp;DATE(YEAR(主页!$D$2),1,1),当年实际!$C:$C,"&lt;="&amp;EOMONTH(DATE(YEAR(主页!$D$2),MONTH(主页!$D$2),1),0))/SUMIFS(当年实际!$P:$P,当年实际!$F:$F,$C258,当年实际!$C:$C,"&gt;="&amp;DATE(YEAR(主页!$D$2),1,1),当年实际!$C:$C,"&lt;="&amp;EOMONTH(DATE(YEAR(主页!$D$2),MONTH(主页!$D$2),1),0)),"")</f>
        <v/>
      </c>
    </row>
    <row r="259" spans="1:10" x14ac:dyDescent="0.3">
      <c r="A259" s="150"/>
      <c r="B259" s="150"/>
      <c r="C259" s="150"/>
      <c r="D259" s="150"/>
      <c r="E259" s="140" t="str">
        <f t="shared" si="10"/>
        <v/>
      </c>
      <c r="F259" s="159"/>
      <c r="G259" s="145">
        <f t="shared" si="12"/>
        <v>0</v>
      </c>
      <c r="H259" s="140" t="str">
        <f t="shared" si="11"/>
        <v/>
      </c>
      <c r="I259"/>
      <c r="J259" s="147" t="str">
        <f>IFERROR(SUMIFS(当年实际!$V:$V,当年实际!$F:$F,$C259,当年实际!$C:$C,"&gt;="&amp;DATE(YEAR(主页!$D$2),1,1),当年实际!$C:$C,"&lt;="&amp;EOMONTH(DATE(YEAR(主页!$D$2),MONTH(主页!$D$2),1),0))/SUMIFS(当年实际!$P:$P,当年实际!$F:$F,$C259,当年实际!$C:$C,"&gt;="&amp;DATE(YEAR(主页!$D$2),1,1),当年实际!$C:$C,"&lt;="&amp;EOMONTH(DATE(YEAR(主页!$D$2),MONTH(主页!$D$2),1),0)),"")</f>
        <v/>
      </c>
    </row>
    <row r="260" spans="1:10" x14ac:dyDescent="0.3">
      <c r="A260" s="150"/>
      <c r="B260" s="150"/>
      <c r="C260" s="150"/>
      <c r="D260" s="150"/>
      <c r="E260" s="140" t="str">
        <f t="shared" ref="E260:E323" si="13">IF(D260/SUM(D:D)=0,"",D260/SUM(D:D))</f>
        <v/>
      </c>
      <c r="F260" s="159"/>
      <c r="G260" s="145">
        <f t="shared" si="12"/>
        <v>0</v>
      </c>
      <c r="H260" s="140" t="str">
        <f t="shared" ref="H260:H323" si="14">IF(G260/SUM(G:G)=0,"",G260/SUM(G:G))</f>
        <v/>
      </c>
      <c r="I260"/>
      <c r="J260" s="147" t="str">
        <f>IFERROR(SUMIFS(当年实际!$V:$V,当年实际!$F:$F,$C260,当年实际!$C:$C,"&gt;="&amp;DATE(YEAR(主页!$D$2),1,1),当年实际!$C:$C,"&lt;="&amp;EOMONTH(DATE(YEAR(主页!$D$2),MONTH(主页!$D$2),1),0))/SUMIFS(当年实际!$P:$P,当年实际!$F:$F,$C260,当年实际!$C:$C,"&gt;="&amp;DATE(YEAR(主页!$D$2),1,1),当年实际!$C:$C,"&lt;="&amp;EOMONTH(DATE(YEAR(主页!$D$2),MONTH(主页!$D$2),1),0)),"")</f>
        <v/>
      </c>
    </row>
    <row r="261" spans="1:10" x14ac:dyDescent="0.3">
      <c r="A261" s="150"/>
      <c r="B261" s="150"/>
      <c r="C261" s="150"/>
      <c r="D261" s="150"/>
      <c r="E261" s="140" t="str">
        <f t="shared" si="13"/>
        <v/>
      </c>
      <c r="F261" s="159"/>
      <c r="G261" s="145">
        <f t="shared" si="12"/>
        <v>0</v>
      </c>
      <c r="H261" s="140" t="str">
        <f t="shared" si="14"/>
        <v/>
      </c>
      <c r="I261"/>
      <c r="J261" s="147" t="str">
        <f>IFERROR(SUMIFS(当年实际!$V:$V,当年实际!$F:$F,$C261,当年实际!$C:$C,"&gt;="&amp;DATE(YEAR(主页!$D$2),1,1),当年实际!$C:$C,"&lt;="&amp;EOMONTH(DATE(YEAR(主页!$D$2),MONTH(主页!$D$2),1),0))/SUMIFS(当年实际!$P:$P,当年实际!$F:$F,$C261,当年实际!$C:$C,"&gt;="&amp;DATE(YEAR(主页!$D$2),1,1),当年实际!$C:$C,"&lt;="&amp;EOMONTH(DATE(YEAR(主页!$D$2),MONTH(主页!$D$2),1),0)),"")</f>
        <v/>
      </c>
    </row>
    <row r="262" spans="1:10" x14ac:dyDescent="0.3">
      <c r="A262" s="150"/>
      <c r="B262" s="150"/>
      <c r="C262" s="150"/>
      <c r="D262" s="150"/>
      <c r="E262" s="140" t="str">
        <f t="shared" si="13"/>
        <v/>
      </c>
      <c r="F262" s="159"/>
      <c r="G262" s="145">
        <f t="shared" si="12"/>
        <v>0</v>
      </c>
      <c r="H262" s="140" t="str">
        <f t="shared" si="14"/>
        <v/>
      </c>
      <c r="I262"/>
      <c r="J262" s="147" t="str">
        <f>IFERROR(SUMIFS(当年实际!$V:$V,当年实际!$F:$F,$C262,当年实际!$C:$C,"&gt;="&amp;DATE(YEAR(主页!$D$2),1,1),当年实际!$C:$C,"&lt;="&amp;EOMONTH(DATE(YEAR(主页!$D$2),MONTH(主页!$D$2),1),0))/SUMIFS(当年实际!$P:$P,当年实际!$F:$F,$C262,当年实际!$C:$C,"&gt;="&amp;DATE(YEAR(主页!$D$2),1,1),当年实际!$C:$C,"&lt;="&amp;EOMONTH(DATE(YEAR(主页!$D$2),MONTH(主页!$D$2),1),0)),"")</f>
        <v/>
      </c>
    </row>
    <row r="263" spans="1:10" x14ac:dyDescent="0.3">
      <c r="A263" s="150"/>
      <c r="B263" s="150"/>
      <c r="C263" s="150"/>
      <c r="D263" s="150"/>
      <c r="E263" s="140" t="str">
        <f t="shared" si="13"/>
        <v/>
      </c>
      <c r="F263" s="159"/>
      <c r="G263" s="145">
        <f t="shared" ref="G263:G326" si="15">D263*F263</f>
        <v>0</v>
      </c>
      <c r="H263" s="140" t="str">
        <f t="shared" si="14"/>
        <v/>
      </c>
      <c r="I263"/>
      <c r="J263" s="147" t="str">
        <f>IFERROR(SUMIFS(当年实际!$V:$V,当年实际!$F:$F,$C263,当年实际!$C:$C,"&gt;="&amp;DATE(YEAR(主页!$D$2),1,1),当年实际!$C:$C,"&lt;="&amp;EOMONTH(DATE(YEAR(主页!$D$2),MONTH(主页!$D$2),1),0))/SUMIFS(当年实际!$P:$P,当年实际!$F:$F,$C263,当年实际!$C:$C,"&gt;="&amp;DATE(YEAR(主页!$D$2),1,1),当年实际!$C:$C,"&lt;="&amp;EOMONTH(DATE(YEAR(主页!$D$2),MONTH(主页!$D$2),1),0)),"")</f>
        <v/>
      </c>
    </row>
    <row r="264" spans="1:10" x14ac:dyDescent="0.3">
      <c r="A264" s="150"/>
      <c r="B264" s="150"/>
      <c r="C264" s="150"/>
      <c r="D264" s="150"/>
      <c r="E264" s="140" t="str">
        <f t="shared" si="13"/>
        <v/>
      </c>
      <c r="F264" s="159"/>
      <c r="G264" s="145">
        <f t="shared" si="15"/>
        <v>0</v>
      </c>
      <c r="H264" s="140" t="str">
        <f t="shared" si="14"/>
        <v/>
      </c>
      <c r="I264"/>
      <c r="J264" s="147" t="str">
        <f>IFERROR(SUMIFS(当年实际!$V:$V,当年实际!$F:$F,$C264,当年实际!$C:$C,"&gt;="&amp;DATE(YEAR(主页!$D$2),1,1),当年实际!$C:$C,"&lt;="&amp;EOMONTH(DATE(YEAR(主页!$D$2),MONTH(主页!$D$2),1),0))/SUMIFS(当年实际!$P:$P,当年实际!$F:$F,$C264,当年实际!$C:$C,"&gt;="&amp;DATE(YEAR(主页!$D$2),1,1),当年实际!$C:$C,"&lt;="&amp;EOMONTH(DATE(YEAR(主页!$D$2),MONTH(主页!$D$2),1),0)),"")</f>
        <v/>
      </c>
    </row>
    <row r="265" spans="1:10" x14ac:dyDescent="0.3">
      <c r="A265" s="150"/>
      <c r="B265" s="150"/>
      <c r="C265" s="150"/>
      <c r="D265" s="150"/>
      <c r="E265" s="140" t="str">
        <f t="shared" si="13"/>
        <v/>
      </c>
      <c r="F265" s="159"/>
      <c r="G265" s="145">
        <f t="shared" si="15"/>
        <v>0</v>
      </c>
      <c r="H265" s="140" t="str">
        <f t="shared" si="14"/>
        <v/>
      </c>
      <c r="I265"/>
      <c r="J265" s="147" t="str">
        <f>IFERROR(SUMIFS(当年实际!$V:$V,当年实际!$F:$F,$C265,当年实际!$C:$C,"&gt;="&amp;DATE(YEAR(主页!$D$2),1,1),当年实际!$C:$C,"&lt;="&amp;EOMONTH(DATE(YEAR(主页!$D$2),MONTH(主页!$D$2),1),0))/SUMIFS(当年实际!$P:$P,当年实际!$F:$F,$C265,当年实际!$C:$C,"&gt;="&amp;DATE(YEAR(主页!$D$2),1,1),当年实际!$C:$C,"&lt;="&amp;EOMONTH(DATE(YEAR(主页!$D$2),MONTH(主页!$D$2),1),0)),"")</f>
        <v/>
      </c>
    </row>
    <row r="266" spans="1:10" x14ac:dyDescent="0.3">
      <c r="A266" s="150"/>
      <c r="B266" s="150"/>
      <c r="C266" s="150"/>
      <c r="D266" s="150"/>
      <c r="E266" s="140" t="str">
        <f t="shared" si="13"/>
        <v/>
      </c>
      <c r="F266" s="159"/>
      <c r="G266" s="145">
        <f t="shared" si="15"/>
        <v>0</v>
      </c>
      <c r="H266" s="140" t="str">
        <f t="shared" si="14"/>
        <v/>
      </c>
      <c r="I266"/>
      <c r="J266" s="147" t="str">
        <f>IFERROR(SUMIFS(当年实际!$V:$V,当年实际!$F:$F,$C266,当年实际!$C:$C,"&gt;="&amp;DATE(YEAR(主页!$D$2),1,1),当年实际!$C:$C,"&lt;="&amp;EOMONTH(DATE(YEAR(主页!$D$2),MONTH(主页!$D$2),1),0))/SUMIFS(当年实际!$P:$P,当年实际!$F:$F,$C266,当年实际!$C:$C,"&gt;="&amp;DATE(YEAR(主页!$D$2),1,1),当年实际!$C:$C,"&lt;="&amp;EOMONTH(DATE(YEAR(主页!$D$2),MONTH(主页!$D$2),1),0)),"")</f>
        <v/>
      </c>
    </row>
    <row r="267" spans="1:10" x14ac:dyDescent="0.3">
      <c r="A267" s="150"/>
      <c r="B267" s="150"/>
      <c r="C267" s="150"/>
      <c r="D267" s="150"/>
      <c r="E267" s="140" t="str">
        <f t="shared" si="13"/>
        <v/>
      </c>
      <c r="F267" s="159"/>
      <c r="G267" s="145">
        <f t="shared" si="15"/>
        <v>0</v>
      </c>
      <c r="H267" s="140" t="str">
        <f t="shared" si="14"/>
        <v/>
      </c>
      <c r="I267"/>
      <c r="J267" s="147" t="str">
        <f>IFERROR(SUMIFS(当年实际!$V:$V,当年实际!$F:$F,$C267,当年实际!$C:$C,"&gt;="&amp;DATE(YEAR(主页!$D$2),1,1),当年实际!$C:$C,"&lt;="&amp;EOMONTH(DATE(YEAR(主页!$D$2),MONTH(主页!$D$2),1),0))/SUMIFS(当年实际!$P:$P,当年实际!$F:$F,$C267,当年实际!$C:$C,"&gt;="&amp;DATE(YEAR(主页!$D$2),1,1),当年实际!$C:$C,"&lt;="&amp;EOMONTH(DATE(YEAR(主页!$D$2),MONTH(主页!$D$2),1),0)),"")</f>
        <v/>
      </c>
    </row>
    <row r="268" spans="1:10" x14ac:dyDescent="0.3">
      <c r="A268" s="150"/>
      <c r="B268" s="150"/>
      <c r="C268" s="150"/>
      <c r="D268" s="150"/>
      <c r="E268" s="140" t="str">
        <f t="shared" si="13"/>
        <v/>
      </c>
      <c r="F268" s="159"/>
      <c r="G268" s="145">
        <f t="shared" si="15"/>
        <v>0</v>
      </c>
      <c r="H268" s="140" t="str">
        <f t="shared" si="14"/>
        <v/>
      </c>
      <c r="I268"/>
      <c r="J268" s="147" t="str">
        <f>IFERROR(SUMIFS(当年实际!$V:$V,当年实际!$F:$F,$C268,当年实际!$C:$C,"&gt;="&amp;DATE(YEAR(主页!$D$2),1,1),当年实际!$C:$C,"&lt;="&amp;EOMONTH(DATE(YEAR(主页!$D$2),MONTH(主页!$D$2),1),0))/SUMIFS(当年实际!$P:$P,当年实际!$F:$F,$C268,当年实际!$C:$C,"&gt;="&amp;DATE(YEAR(主页!$D$2),1,1),当年实际!$C:$C,"&lt;="&amp;EOMONTH(DATE(YEAR(主页!$D$2),MONTH(主页!$D$2),1),0)),"")</f>
        <v/>
      </c>
    </row>
    <row r="269" spans="1:10" x14ac:dyDescent="0.3">
      <c r="A269" s="150"/>
      <c r="B269" s="150"/>
      <c r="C269" s="150"/>
      <c r="D269" s="150"/>
      <c r="E269" s="140" t="str">
        <f t="shared" si="13"/>
        <v/>
      </c>
      <c r="F269" s="159"/>
      <c r="G269" s="145">
        <f t="shared" si="15"/>
        <v>0</v>
      </c>
      <c r="H269" s="140" t="str">
        <f t="shared" si="14"/>
        <v/>
      </c>
      <c r="I269"/>
      <c r="J269" s="147" t="str">
        <f>IFERROR(SUMIFS(当年实际!$V:$V,当年实际!$F:$F,$C269,当年实际!$C:$C,"&gt;="&amp;DATE(YEAR(主页!$D$2),1,1),当年实际!$C:$C,"&lt;="&amp;EOMONTH(DATE(YEAR(主页!$D$2),MONTH(主页!$D$2),1),0))/SUMIFS(当年实际!$P:$P,当年实际!$F:$F,$C269,当年实际!$C:$C,"&gt;="&amp;DATE(YEAR(主页!$D$2),1,1),当年实际!$C:$C,"&lt;="&amp;EOMONTH(DATE(YEAR(主页!$D$2),MONTH(主页!$D$2),1),0)),"")</f>
        <v/>
      </c>
    </row>
    <row r="270" spans="1:10" x14ac:dyDescent="0.3">
      <c r="A270" s="150"/>
      <c r="B270" s="150"/>
      <c r="C270" s="150"/>
      <c r="D270" s="150"/>
      <c r="E270" s="140" t="str">
        <f t="shared" si="13"/>
        <v/>
      </c>
      <c r="F270" s="159"/>
      <c r="G270" s="145">
        <f t="shared" si="15"/>
        <v>0</v>
      </c>
      <c r="H270" s="140" t="str">
        <f t="shared" si="14"/>
        <v/>
      </c>
      <c r="I270"/>
      <c r="J270" s="147" t="str">
        <f>IFERROR(SUMIFS(当年实际!$V:$V,当年实际!$F:$F,$C270,当年实际!$C:$C,"&gt;="&amp;DATE(YEAR(主页!$D$2),1,1),当年实际!$C:$C,"&lt;="&amp;EOMONTH(DATE(YEAR(主页!$D$2),MONTH(主页!$D$2),1),0))/SUMIFS(当年实际!$P:$P,当年实际!$F:$F,$C270,当年实际!$C:$C,"&gt;="&amp;DATE(YEAR(主页!$D$2),1,1),当年实际!$C:$C,"&lt;="&amp;EOMONTH(DATE(YEAR(主页!$D$2),MONTH(主页!$D$2),1),0)),"")</f>
        <v/>
      </c>
    </row>
    <row r="271" spans="1:10" x14ac:dyDescent="0.3">
      <c r="A271" s="150"/>
      <c r="B271" s="150"/>
      <c r="C271" s="150"/>
      <c r="D271" s="150"/>
      <c r="E271" s="140" t="str">
        <f t="shared" si="13"/>
        <v/>
      </c>
      <c r="F271" s="159"/>
      <c r="G271" s="145">
        <f t="shared" si="15"/>
        <v>0</v>
      </c>
      <c r="H271" s="140" t="str">
        <f t="shared" si="14"/>
        <v/>
      </c>
      <c r="I271"/>
      <c r="J271" s="147" t="str">
        <f>IFERROR(SUMIFS(当年实际!$V:$V,当年实际!$F:$F,$C271,当年实际!$C:$C,"&gt;="&amp;DATE(YEAR(主页!$D$2),1,1),当年实际!$C:$C,"&lt;="&amp;EOMONTH(DATE(YEAR(主页!$D$2),MONTH(主页!$D$2),1),0))/SUMIFS(当年实际!$P:$P,当年实际!$F:$F,$C271,当年实际!$C:$C,"&gt;="&amp;DATE(YEAR(主页!$D$2),1,1),当年实际!$C:$C,"&lt;="&amp;EOMONTH(DATE(YEAR(主页!$D$2),MONTH(主页!$D$2),1),0)),"")</f>
        <v/>
      </c>
    </row>
    <row r="272" spans="1:10" x14ac:dyDescent="0.3">
      <c r="A272" s="150"/>
      <c r="B272" s="150"/>
      <c r="C272" s="150"/>
      <c r="D272" s="150"/>
      <c r="E272" s="140" t="str">
        <f t="shared" si="13"/>
        <v/>
      </c>
      <c r="F272" s="159"/>
      <c r="G272" s="145">
        <f t="shared" si="15"/>
        <v>0</v>
      </c>
      <c r="H272" s="140" t="str">
        <f t="shared" si="14"/>
        <v/>
      </c>
      <c r="I272"/>
      <c r="J272" s="147" t="str">
        <f>IFERROR(SUMIFS(当年实际!$V:$V,当年实际!$F:$F,$C272,当年实际!$C:$C,"&gt;="&amp;DATE(YEAR(主页!$D$2),1,1),当年实际!$C:$C,"&lt;="&amp;EOMONTH(DATE(YEAR(主页!$D$2),MONTH(主页!$D$2),1),0))/SUMIFS(当年实际!$P:$P,当年实际!$F:$F,$C272,当年实际!$C:$C,"&gt;="&amp;DATE(YEAR(主页!$D$2),1,1),当年实际!$C:$C,"&lt;="&amp;EOMONTH(DATE(YEAR(主页!$D$2),MONTH(主页!$D$2),1),0)),"")</f>
        <v/>
      </c>
    </row>
    <row r="273" spans="1:10" x14ac:dyDescent="0.3">
      <c r="A273" s="150"/>
      <c r="B273" s="150"/>
      <c r="C273" s="150"/>
      <c r="D273" s="150"/>
      <c r="E273" s="140" t="str">
        <f t="shared" si="13"/>
        <v/>
      </c>
      <c r="F273" s="159"/>
      <c r="G273" s="145">
        <f t="shared" si="15"/>
        <v>0</v>
      </c>
      <c r="H273" s="140" t="str">
        <f t="shared" si="14"/>
        <v/>
      </c>
      <c r="I273"/>
      <c r="J273" s="147" t="str">
        <f>IFERROR(SUMIFS(当年实际!$V:$V,当年实际!$F:$F,$C273,当年实际!$C:$C,"&gt;="&amp;DATE(YEAR(主页!$D$2),1,1),当年实际!$C:$C,"&lt;="&amp;EOMONTH(DATE(YEAR(主页!$D$2),MONTH(主页!$D$2),1),0))/SUMIFS(当年实际!$P:$P,当年实际!$F:$F,$C273,当年实际!$C:$C,"&gt;="&amp;DATE(YEAR(主页!$D$2),1,1),当年实际!$C:$C,"&lt;="&amp;EOMONTH(DATE(YEAR(主页!$D$2),MONTH(主页!$D$2),1),0)),"")</f>
        <v/>
      </c>
    </row>
    <row r="274" spans="1:10" x14ac:dyDescent="0.3">
      <c r="A274" s="150"/>
      <c r="B274" s="150"/>
      <c r="C274" s="150"/>
      <c r="D274" s="150"/>
      <c r="E274" s="140" t="str">
        <f t="shared" si="13"/>
        <v/>
      </c>
      <c r="F274" s="159"/>
      <c r="G274" s="145">
        <f t="shared" si="15"/>
        <v>0</v>
      </c>
      <c r="H274" s="140" t="str">
        <f t="shared" si="14"/>
        <v/>
      </c>
      <c r="I274"/>
      <c r="J274" s="147" t="str">
        <f>IFERROR(SUMIFS(当年实际!$V:$V,当年实际!$F:$F,$C274,当年实际!$C:$C,"&gt;="&amp;DATE(YEAR(主页!$D$2),1,1),当年实际!$C:$C,"&lt;="&amp;EOMONTH(DATE(YEAR(主页!$D$2),MONTH(主页!$D$2),1),0))/SUMIFS(当年实际!$P:$P,当年实际!$F:$F,$C274,当年实际!$C:$C,"&gt;="&amp;DATE(YEAR(主页!$D$2),1,1),当年实际!$C:$C,"&lt;="&amp;EOMONTH(DATE(YEAR(主页!$D$2),MONTH(主页!$D$2),1),0)),"")</f>
        <v/>
      </c>
    </row>
    <row r="275" spans="1:10" x14ac:dyDescent="0.3">
      <c r="A275" s="150"/>
      <c r="B275" s="150"/>
      <c r="C275" s="150"/>
      <c r="D275" s="150"/>
      <c r="E275" s="140" t="str">
        <f t="shared" si="13"/>
        <v/>
      </c>
      <c r="F275" s="159"/>
      <c r="G275" s="145">
        <f t="shared" si="15"/>
        <v>0</v>
      </c>
      <c r="H275" s="140" t="str">
        <f t="shared" si="14"/>
        <v/>
      </c>
      <c r="I275"/>
      <c r="J275" s="147" t="str">
        <f>IFERROR(SUMIFS(当年实际!$V:$V,当年实际!$F:$F,$C275,当年实际!$C:$C,"&gt;="&amp;DATE(YEAR(主页!$D$2),1,1),当年实际!$C:$C,"&lt;="&amp;EOMONTH(DATE(YEAR(主页!$D$2),MONTH(主页!$D$2),1),0))/SUMIFS(当年实际!$P:$P,当年实际!$F:$F,$C275,当年实际!$C:$C,"&gt;="&amp;DATE(YEAR(主页!$D$2),1,1),当年实际!$C:$C,"&lt;="&amp;EOMONTH(DATE(YEAR(主页!$D$2),MONTH(主页!$D$2),1),0)),"")</f>
        <v/>
      </c>
    </row>
    <row r="276" spans="1:10" x14ac:dyDescent="0.3">
      <c r="A276" s="150"/>
      <c r="B276" s="150"/>
      <c r="C276" s="150"/>
      <c r="D276" s="150"/>
      <c r="E276" s="140" t="str">
        <f t="shared" si="13"/>
        <v/>
      </c>
      <c r="F276" s="159"/>
      <c r="G276" s="145">
        <f t="shared" si="15"/>
        <v>0</v>
      </c>
      <c r="H276" s="140" t="str">
        <f t="shared" si="14"/>
        <v/>
      </c>
      <c r="I276"/>
      <c r="J276" s="147" t="str">
        <f>IFERROR(SUMIFS(当年实际!$V:$V,当年实际!$F:$F,$C276,当年实际!$C:$C,"&gt;="&amp;DATE(YEAR(主页!$D$2),1,1),当年实际!$C:$C,"&lt;="&amp;EOMONTH(DATE(YEAR(主页!$D$2),MONTH(主页!$D$2),1),0))/SUMIFS(当年实际!$P:$P,当年实际!$F:$F,$C276,当年实际!$C:$C,"&gt;="&amp;DATE(YEAR(主页!$D$2),1,1),当年实际!$C:$C,"&lt;="&amp;EOMONTH(DATE(YEAR(主页!$D$2),MONTH(主页!$D$2),1),0)),"")</f>
        <v/>
      </c>
    </row>
    <row r="277" spans="1:10" x14ac:dyDescent="0.3">
      <c r="A277" s="150"/>
      <c r="B277" s="150"/>
      <c r="C277" s="150"/>
      <c r="D277" s="150"/>
      <c r="E277" s="140" t="str">
        <f t="shared" si="13"/>
        <v/>
      </c>
      <c r="F277" s="159"/>
      <c r="G277" s="145">
        <f t="shared" si="15"/>
        <v>0</v>
      </c>
      <c r="H277" s="140" t="str">
        <f t="shared" si="14"/>
        <v/>
      </c>
      <c r="I277"/>
      <c r="J277" s="147" t="str">
        <f>IFERROR(SUMIFS(当年实际!$V:$V,当年实际!$F:$F,$C277,当年实际!$C:$C,"&gt;="&amp;DATE(YEAR(主页!$D$2),1,1),当年实际!$C:$C,"&lt;="&amp;EOMONTH(DATE(YEAR(主页!$D$2),MONTH(主页!$D$2),1),0))/SUMIFS(当年实际!$P:$P,当年实际!$F:$F,$C277,当年实际!$C:$C,"&gt;="&amp;DATE(YEAR(主页!$D$2),1,1),当年实际!$C:$C,"&lt;="&amp;EOMONTH(DATE(YEAR(主页!$D$2),MONTH(主页!$D$2),1),0)),"")</f>
        <v/>
      </c>
    </row>
    <row r="278" spans="1:10" x14ac:dyDescent="0.3">
      <c r="A278" s="150"/>
      <c r="B278" s="150"/>
      <c r="C278" s="150"/>
      <c r="D278" s="150"/>
      <c r="E278" s="140" t="str">
        <f t="shared" si="13"/>
        <v/>
      </c>
      <c r="F278" s="159"/>
      <c r="G278" s="145">
        <f t="shared" si="15"/>
        <v>0</v>
      </c>
      <c r="H278" s="140" t="str">
        <f t="shared" si="14"/>
        <v/>
      </c>
      <c r="I278"/>
      <c r="J278" s="147" t="str">
        <f>IFERROR(SUMIFS(当年实际!$V:$V,当年实际!$F:$F,$C278,当年实际!$C:$C,"&gt;="&amp;DATE(YEAR(主页!$D$2),1,1),当年实际!$C:$C,"&lt;="&amp;EOMONTH(DATE(YEAR(主页!$D$2),MONTH(主页!$D$2),1),0))/SUMIFS(当年实际!$P:$P,当年实际!$F:$F,$C278,当年实际!$C:$C,"&gt;="&amp;DATE(YEAR(主页!$D$2),1,1),当年实际!$C:$C,"&lt;="&amp;EOMONTH(DATE(YEAR(主页!$D$2),MONTH(主页!$D$2),1),0)),"")</f>
        <v/>
      </c>
    </row>
    <row r="279" spans="1:10" x14ac:dyDescent="0.3">
      <c r="A279" s="150"/>
      <c r="B279" s="150"/>
      <c r="C279" s="150"/>
      <c r="D279" s="150"/>
      <c r="E279" s="140" t="str">
        <f t="shared" si="13"/>
        <v/>
      </c>
      <c r="F279" s="159"/>
      <c r="G279" s="145">
        <f t="shared" si="15"/>
        <v>0</v>
      </c>
      <c r="H279" s="140" t="str">
        <f t="shared" si="14"/>
        <v/>
      </c>
      <c r="I279"/>
      <c r="J279" s="147" t="str">
        <f>IFERROR(SUMIFS(当年实际!$V:$V,当年实际!$F:$F,$C279,当年实际!$C:$C,"&gt;="&amp;DATE(YEAR(主页!$D$2),1,1),当年实际!$C:$C,"&lt;="&amp;EOMONTH(DATE(YEAR(主页!$D$2),MONTH(主页!$D$2),1),0))/SUMIFS(当年实际!$P:$P,当年实际!$F:$F,$C279,当年实际!$C:$C,"&gt;="&amp;DATE(YEAR(主页!$D$2),1,1),当年实际!$C:$C,"&lt;="&amp;EOMONTH(DATE(YEAR(主页!$D$2),MONTH(主页!$D$2),1),0)),"")</f>
        <v/>
      </c>
    </row>
    <row r="280" spans="1:10" x14ac:dyDescent="0.3">
      <c r="A280" s="150"/>
      <c r="B280" s="150"/>
      <c r="C280" s="150"/>
      <c r="D280" s="150"/>
      <c r="E280" s="140" t="str">
        <f t="shared" si="13"/>
        <v/>
      </c>
      <c r="F280" s="159"/>
      <c r="G280" s="145">
        <f t="shared" si="15"/>
        <v>0</v>
      </c>
      <c r="H280" s="140" t="str">
        <f t="shared" si="14"/>
        <v/>
      </c>
      <c r="I280"/>
      <c r="J280" s="147" t="str">
        <f>IFERROR(SUMIFS(当年实际!$V:$V,当年实际!$F:$F,$C280,当年实际!$C:$C,"&gt;="&amp;DATE(YEAR(主页!$D$2),1,1),当年实际!$C:$C,"&lt;="&amp;EOMONTH(DATE(YEAR(主页!$D$2),MONTH(主页!$D$2),1),0))/SUMIFS(当年实际!$P:$P,当年实际!$F:$F,$C280,当年实际!$C:$C,"&gt;="&amp;DATE(YEAR(主页!$D$2),1,1),当年实际!$C:$C,"&lt;="&amp;EOMONTH(DATE(YEAR(主页!$D$2),MONTH(主页!$D$2),1),0)),"")</f>
        <v/>
      </c>
    </row>
    <row r="281" spans="1:10" x14ac:dyDescent="0.3">
      <c r="A281" s="150"/>
      <c r="B281" s="150"/>
      <c r="C281" s="150"/>
      <c r="D281" s="150"/>
      <c r="E281" s="140" t="str">
        <f t="shared" si="13"/>
        <v/>
      </c>
      <c r="F281" s="159"/>
      <c r="G281" s="145">
        <f t="shared" si="15"/>
        <v>0</v>
      </c>
      <c r="H281" s="140" t="str">
        <f t="shared" si="14"/>
        <v/>
      </c>
      <c r="I281"/>
      <c r="J281" s="147" t="str">
        <f>IFERROR(SUMIFS(当年实际!$V:$V,当年实际!$F:$F,$C281,当年实际!$C:$C,"&gt;="&amp;DATE(YEAR(主页!$D$2),1,1),当年实际!$C:$C,"&lt;="&amp;EOMONTH(DATE(YEAR(主页!$D$2),MONTH(主页!$D$2),1),0))/SUMIFS(当年实际!$P:$P,当年实际!$F:$F,$C281,当年实际!$C:$C,"&gt;="&amp;DATE(YEAR(主页!$D$2),1,1),当年实际!$C:$C,"&lt;="&amp;EOMONTH(DATE(YEAR(主页!$D$2),MONTH(主页!$D$2),1),0)),"")</f>
        <v/>
      </c>
    </row>
    <row r="282" spans="1:10" x14ac:dyDescent="0.3">
      <c r="A282" s="150"/>
      <c r="B282" s="150"/>
      <c r="C282" s="150"/>
      <c r="D282" s="150"/>
      <c r="E282" s="140" t="str">
        <f t="shared" si="13"/>
        <v/>
      </c>
      <c r="F282" s="159"/>
      <c r="G282" s="145">
        <f t="shared" si="15"/>
        <v>0</v>
      </c>
      <c r="H282" s="140" t="str">
        <f t="shared" si="14"/>
        <v/>
      </c>
      <c r="I282"/>
      <c r="J282" s="147" t="str">
        <f>IFERROR(SUMIFS(当年实际!$V:$V,当年实际!$F:$F,$C282,当年实际!$C:$C,"&gt;="&amp;DATE(YEAR(主页!$D$2),1,1),当年实际!$C:$C,"&lt;="&amp;EOMONTH(DATE(YEAR(主页!$D$2),MONTH(主页!$D$2),1),0))/SUMIFS(当年实际!$P:$P,当年实际!$F:$F,$C282,当年实际!$C:$C,"&gt;="&amp;DATE(YEAR(主页!$D$2),1,1),当年实际!$C:$C,"&lt;="&amp;EOMONTH(DATE(YEAR(主页!$D$2),MONTH(主页!$D$2),1),0)),"")</f>
        <v/>
      </c>
    </row>
    <row r="283" spans="1:10" x14ac:dyDescent="0.3">
      <c r="A283" s="150"/>
      <c r="B283" s="150"/>
      <c r="C283" s="150"/>
      <c r="D283" s="150"/>
      <c r="E283" s="140" t="str">
        <f t="shared" si="13"/>
        <v/>
      </c>
      <c r="F283" s="159"/>
      <c r="G283" s="145">
        <f t="shared" si="15"/>
        <v>0</v>
      </c>
      <c r="H283" s="140" t="str">
        <f t="shared" si="14"/>
        <v/>
      </c>
      <c r="I283"/>
      <c r="J283" s="147" t="str">
        <f>IFERROR(SUMIFS(当年实际!$V:$V,当年实际!$F:$F,$C283,当年实际!$C:$C,"&gt;="&amp;DATE(YEAR(主页!$D$2),1,1),当年实际!$C:$C,"&lt;="&amp;EOMONTH(DATE(YEAR(主页!$D$2),MONTH(主页!$D$2),1),0))/SUMIFS(当年实际!$P:$P,当年实际!$F:$F,$C283,当年实际!$C:$C,"&gt;="&amp;DATE(YEAR(主页!$D$2),1,1),当年实际!$C:$C,"&lt;="&amp;EOMONTH(DATE(YEAR(主页!$D$2),MONTH(主页!$D$2),1),0)),"")</f>
        <v/>
      </c>
    </row>
    <row r="284" spans="1:10" x14ac:dyDescent="0.3">
      <c r="A284" s="150"/>
      <c r="B284" s="150"/>
      <c r="C284" s="150"/>
      <c r="D284" s="150"/>
      <c r="E284" s="140" t="str">
        <f t="shared" si="13"/>
        <v/>
      </c>
      <c r="F284" s="159"/>
      <c r="G284" s="145">
        <f t="shared" si="15"/>
        <v>0</v>
      </c>
      <c r="H284" s="140" t="str">
        <f t="shared" si="14"/>
        <v/>
      </c>
      <c r="I284"/>
      <c r="J284" s="147" t="str">
        <f>IFERROR(SUMIFS(当年实际!$V:$V,当年实际!$F:$F,$C284,当年实际!$C:$C,"&gt;="&amp;DATE(YEAR(主页!$D$2),1,1),当年实际!$C:$C,"&lt;="&amp;EOMONTH(DATE(YEAR(主页!$D$2),MONTH(主页!$D$2),1),0))/SUMIFS(当年实际!$P:$P,当年实际!$F:$F,$C284,当年实际!$C:$C,"&gt;="&amp;DATE(YEAR(主页!$D$2),1,1),当年实际!$C:$C,"&lt;="&amp;EOMONTH(DATE(YEAR(主页!$D$2),MONTH(主页!$D$2),1),0)),"")</f>
        <v/>
      </c>
    </row>
    <row r="285" spans="1:10" x14ac:dyDescent="0.3">
      <c r="A285" s="150"/>
      <c r="B285" s="150"/>
      <c r="C285" s="150"/>
      <c r="D285" s="150"/>
      <c r="E285" s="140" t="str">
        <f t="shared" si="13"/>
        <v/>
      </c>
      <c r="F285" s="159"/>
      <c r="G285" s="145">
        <f t="shared" si="15"/>
        <v>0</v>
      </c>
      <c r="H285" s="140" t="str">
        <f t="shared" si="14"/>
        <v/>
      </c>
      <c r="I285"/>
      <c r="J285" s="147" t="str">
        <f>IFERROR(SUMIFS(当年实际!$V:$V,当年实际!$F:$F,$C285,当年实际!$C:$C,"&gt;="&amp;DATE(YEAR(主页!$D$2),1,1),当年实际!$C:$C,"&lt;="&amp;EOMONTH(DATE(YEAR(主页!$D$2),MONTH(主页!$D$2),1),0))/SUMIFS(当年实际!$P:$P,当年实际!$F:$F,$C285,当年实际!$C:$C,"&gt;="&amp;DATE(YEAR(主页!$D$2),1,1),当年实际!$C:$C,"&lt;="&amp;EOMONTH(DATE(YEAR(主页!$D$2),MONTH(主页!$D$2),1),0)),"")</f>
        <v/>
      </c>
    </row>
    <row r="286" spans="1:10" x14ac:dyDescent="0.3">
      <c r="A286" s="150"/>
      <c r="B286" s="150"/>
      <c r="C286" s="150"/>
      <c r="D286" s="150"/>
      <c r="E286" s="140" t="str">
        <f t="shared" si="13"/>
        <v/>
      </c>
      <c r="F286" s="159"/>
      <c r="G286" s="145">
        <f t="shared" si="15"/>
        <v>0</v>
      </c>
      <c r="H286" s="140" t="str">
        <f t="shared" si="14"/>
        <v/>
      </c>
      <c r="I286"/>
      <c r="J286" s="147" t="str">
        <f>IFERROR(SUMIFS(当年实际!$V:$V,当年实际!$F:$F,$C286,当年实际!$C:$C,"&gt;="&amp;DATE(YEAR(主页!$D$2),1,1),当年实际!$C:$C,"&lt;="&amp;EOMONTH(DATE(YEAR(主页!$D$2),MONTH(主页!$D$2),1),0))/SUMIFS(当年实际!$P:$P,当年实际!$F:$F,$C286,当年实际!$C:$C,"&gt;="&amp;DATE(YEAR(主页!$D$2),1,1),当年实际!$C:$C,"&lt;="&amp;EOMONTH(DATE(YEAR(主页!$D$2),MONTH(主页!$D$2),1),0)),"")</f>
        <v/>
      </c>
    </row>
    <row r="287" spans="1:10" x14ac:dyDescent="0.3">
      <c r="A287" s="150"/>
      <c r="B287" s="150"/>
      <c r="C287" s="150"/>
      <c r="D287" s="150"/>
      <c r="E287" s="140" t="str">
        <f t="shared" si="13"/>
        <v/>
      </c>
      <c r="F287" s="159"/>
      <c r="G287" s="145">
        <f t="shared" si="15"/>
        <v>0</v>
      </c>
      <c r="H287" s="140" t="str">
        <f t="shared" si="14"/>
        <v/>
      </c>
      <c r="I287"/>
      <c r="J287" s="147" t="str">
        <f>IFERROR(SUMIFS(当年实际!$V:$V,当年实际!$F:$F,$C287,当年实际!$C:$C,"&gt;="&amp;DATE(YEAR(主页!$D$2),1,1),当年实际!$C:$C,"&lt;="&amp;EOMONTH(DATE(YEAR(主页!$D$2),MONTH(主页!$D$2),1),0))/SUMIFS(当年实际!$P:$P,当年实际!$F:$F,$C287,当年实际!$C:$C,"&gt;="&amp;DATE(YEAR(主页!$D$2),1,1),当年实际!$C:$C,"&lt;="&amp;EOMONTH(DATE(YEAR(主页!$D$2),MONTH(主页!$D$2),1),0)),"")</f>
        <v/>
      </c>
    </row>
    <row r="288" spans="1:10" x14ac:dyDescent="0.3">
      <c r="A288" s="150"/>
      <c r="B288" s="150"/>
      <c r="C288" s="150"/>
      <c r="D288" s="150"/>
      <c r="E288" s="140" t="str">
        <f t="shared" si="13"/>
        <v/>
      </c>
      <c r="F288" s="159"/>
      <c r="G288" s="145">
        <f t="shared" si="15"/>
        <v>0</v>
      </c>
      <c r="H288" s="140" t="str">
        <f t="shared" si="14"/>
        <v/>
      </c>
      <c r="I288"/>
      <c r="J288" s="147" t="str">
        <f>IFERROR(SUMIFS(当年实际!$V:$V,当年实际!$F:$F,$C288,当年实际!$C:$C,"&gt;="&amp;DATE(YEAR(主页!$D$2),1,1),当年实际!$C:$C,"&lt;="&amp;EOMONTH(DATE(YEAR(主页!$D$2),MONTH(主页!$D$2),1),0))/SUMIFS(当年实际!$P:$P,当年实际!$F:$F,$C288,当年实际!$C:$C,"&gt;="&amp;DATE(YEAR(主页!$D$2),1,1),当年实际!$C:$C,"&lt;="&amp;EOMONTH(DATE(YEAR(主页!$D$2),MONTH(主页!$D$2),1),0)),"")</f>
        <v/>
      </c>
    </row>
    <row r="289" spans="1:10" x14ac:dyDescent="0.3">
      <c r="A289" s="150"/>
      <c r="B289" s="150"/>
      <c r="C289" s="150"/>
      <c r="D289" s="150"/>
      <c r="E289" s="140" t="str">
        <f t="shared" si="13"/>
        <v/>
      </c>
      <c r="F289" s="159"/>
      <c r="G289" s="145">
        <f t="shared" si="15"/>
        <v>0</v>
      </c>
      <c r="H289" s="140" t="str">
        <f t="shared" si="14"/>
        <v/>
      </c>
      <c r="I289"/>
      <c r="J289" s="147" t="str">
        <f>IFERROR(SUMIFS(当年实际!$V:$V,当年实际!$F:$F,$C289,当年实际!$C:$C,"&gt;="&amp;DATE(YEAR(主页!$D$2),1,1),当年实际!$C:$C,"&lt;="&amp;EOMONTH(DATE(YEAR(主页!$D$2),MONTH(主页!$D$2),1),0))/SUMIFS(当年实际!$P:$P,当年实际!$F:$F,$C289,当年实际!$C:$C,"&gt;="&amp;DATE(YEAR(主页!$D$2),1,1),当年实际!$C:$C,"&lt;="&amp;EOMONTH(DATE(YEAR(主页!$D$2),MONTH(主页!$D$2),1),0)),"")</f>
        <v/>
      </c>
    </row>
    <row r="290" spans="1:10" x14ac:dyDescent="0.3">
      <c r="A290" s="150"/>
      <c r="B290" s="150"/>
      <c r="C290" s="150"/>
      <c r="D290" s="150"/>
      <c r="E290" s="140" t="str">
        <f t="shared" si="13"/>
        <v/>
      </c>
      <c r="F290" s="159"/>
      <c r="G290" s="145">
        <f t="shared" si="15"/>
        <v>0</v>
      </c>
      <c r="H290" s="140" t="str">
        <f t="shared" si="14"/>
        <v/>
      </c>
      <c r="I290"/>
      <c r="J290" s="147" t="str">
        <f>IFERROR(SUMIFS(当年实际!$V:$V,当年实际!$F:$F,$C290,当年实际!$C:$C,"&gt;="&amp;DATE(YEAR(主页!$D$2),1,1),当年实际!$C:$C,"&lt;="&amp;EOMONTH(DATE(YEAR(主页!$D$2),MONTH(主页!$D$2),1),0))/SUMIFS(当年实际!$P:$P,当年实际!$F:$F,$C290,当年实际!$C:$C,"&gt;="&amp;DATE(YEAR(主页!$D$2),1,1),当年实际!$C:$C,"&lt;="&amp;EOMONTH(DATE(YEAR(主页!$D$2),MONTH(主页!$D$2),1),0)),"")</f>
        <v/>
      </c>
    </row>
    <row r="291" spans="1:10" x14ac:dyDescent="0.3">
      <c r="A291" s="150"/>
      <c r="B291" s="150"/>
      <c r="C291" s="150"/>
      <c r="D291" s="150"/>
      <c r="E291" s="140" t="str">
        <f t="shared" si="13"/>
        <v/>
      </c>
      <c r="F291" s="159"/>
      <c r="G291" s="145">
        <f t="shared" si="15"/>
        <v>0</v>
      </c>
      <c r="H291" s="140" t="str">
        <f t="shared" si="14"/>
        <v/>
      </c>
      <c r="I291"/>
      <c r="J291" s="147" t="str">
        <f>IFERROR(SUMIFS(当年实际!$V:$V,当年实际!$F:$F,$C291,当年实际!$C:$C,"&gt;="&amp;DATE(YEAR(主页!$D$2),1,1),当年实际!$C:$C,"&lt;="&amp;EOMONTH(DATE(YEAR(主页!$D$2),MONTH(主页!$D$2),1),0))/SUMIFS(当年实际!$P:$P,当年实际!$F:$F,$C291,当年实际!$C:$C,"&gt;="&amp;DATE(YEAR(主页!$D$2),1,1),当年实际!$C:$C,"&lt;="&amp;EOMONTH(DATE(YEAR(主页!$D$2),MONTH(主页!$D$2),1),0)),"")</f>
        <v/>
      </c>
    </row>
    <row r="292" spans="1:10" x14ac:dyDescent="0.3">
      <c r="A292" s="150"/>
      <c r="B292" s="150"/>
      <c r="C292" s="150"/>
      <c r="D292" s="150"/>
      <c r="E292" s="140" t="str">
        <f t="shared" si="13"/>
        <v/>
      </c>
      <c r="F292" s="159"/>
      <c r="G292" s="145">
        <f t="shared" si="15"/>
        <v>0</v>
      </c>
      <c r="H292" s="140" t="str">
        <f t="shared" si="14"/>
        <v/>
      </c>
      <c r="I292"/>
      <c r="J292" s="147" t="str">
        <f>IFERROR(SUMIFS(当年实际!$V:$V,当年实际!$F:$F,$C292,当年实际!$C:$C,"&gt;="&amp;DATE(YEAR(主页!$D$2),1,1),当年实际!$C:$C,"&lt;="&amp;EOMONTH(DATE(YEAR(主页!$D$2),MONTH(主页!$D$2),1),0))/SUMIFS(当年实际!$P:$P,当年实际!$F:$F,$C292,当年实际!$C:$C,"&gt;="&amp;DATE(YEAR(主页!$D$2),1,1),当年实际!$C:$C,"&lt;="&amp;EOMONTH(DATE(YEAR(主页!$D$2),MONTH(主页!$D$2),1),0)),"")</f>
        <v/>
      </c>
    </row>
    <row r="293" spans="1:10" x14ac:dyDescent="0.3">
      <c r="A293" s="150"/>
      <c r="B293" s="150"/>
      <c r="C293" s="150"/>
      <c r="D293" s="150"/>
      <c r="E293" s="140" t="str">
        <f t="shared" si="13"/>
        <v/>
      </c>
      <c r="F293" s="159"/>
      <c r="G293" s="145">
        <f t="shared" si="15"/>
        <v>0</v>
      </c>
      <c r="H293" s="140" t="str">
        <f t="shared" si="14"/>
        <v/>
      </c>
      <c r="I293"/>
      <c r="J293" s="147" t="str">
        <f>IFERROR(SUMIFS(当年实际!$V:$V,当年实际!$F:$F,$C293,当年实际!$C:$C,"&gt;="&amp;DATE(YEAR(主页!$D$2),1,1),当年实际!$C:$C,"&lt;="&amp;EOMONTH(DATE(YEAR(主页!$D$2),MONTH(主页!$D$2),1),0))/SUMIFS(当年实际!$P:$P,当年实际!$F:$F,$C293,当年实际!$C:$C,"&gt;="&amp;DATE(YEAR(主页!$D$2),1,1),当年实际!$C:$C,"&lt;="&amp;EOMONTH(DATE(YEAR(主页!$D$2),MONTH(主页!$D$2),1),0)),"")</f>
        <v/>
      </c>
    </row>
    <row r="294" spans="1:10" x14ac:dyDescent="0.3">
      <c r="A294" s="150"/>
      <c r="B294" s="150"/>
      <c r="C294" s="150"/>
      <c r="D294" s="150"/>
      <c r="E294" s="140" t="str">
        <f t="shared" si="13"/>
        <v/>
      </c>
      <c r="F294" s="159"/>
      <c r="G294" s="145">
        <f t="shared" si="15"/>
        <v>0</v>
      </c>
      <c r="H294" s="140" t="str">
        <f t="shared" si="14"/>
        <v/>
      </c>
      <c r="I294"/>
      <c r="J294" s="147" t="str">
        <f>IFERROR(SUMIFS(当年实际!$V:$V,当年实际!$F:$F,$C294,当年实际!$C:$C,"&gt;="&amp;DATE(YEAR(主页!$D$2),1,1),当年实际!$C:$C,"&lt;="&amp;EOMONTH(DATE(YEAR(主页!$D$2),MONTH(主页!$D$2),1),0))/SUMIFS(当年实际!$P:$P,当年实际!$F:$F,$C294,当年实际!$C:$C,"&gt;="&amp;DATE(YEAR(主页!$D$2),1,1),当年实际!$C:$C,"&lt;="&amp;EOMONTH(DATE(YEAR(主页!$D$2),MONTH(主页!$D$2),1),0)),"")</f>
        <v/>
      </c>
    </row>
    <row r="295" spans="1:10" x14ac:dyDescent="0.3">
      <c r="A295" s="150"/>
      <c r="B295" s="150"/>
      <c r="C295" s="150"/>
      <c r="D295" s="150"/>
      <c r="E295" s="140" t="str">
        <f t="shared" si="13"/>
        <v/>
      </c>
      <c r="F295" s="159"/>
      <c r="G295" s="145">
        <f t="shared" si="15"/>
        <v>0</v>
      </c>
      <c r="H295" s="140" t="str">
        <f t="shared" si="14"/>
        <v/>
      </c>
      <c r="I295"/>
      <c r="J295" s="147" t="str">
        <f>IFERROR(SUMIFS(当年实际!$V:$V,当年实际!$F:$F,$C295,当年实际!$C:$C,"&gt;="&amp;DATE(YEAR(主页!$D$2),1,1),当年实际!$C:$C,"&lt;="&amp;EOMONTH(DATE(YEAR(主页!$D$2),MONTH(主页!$D$2),1),0))/SUMIFS(当年实际!$P:$P,当年实际!$F:$F,$C295,当年实际!$C:$C,"&gt;="&amp;DATE(YEAR(主页!$D$2),1,1),当年实际!$C:$C,"&lt;="&amp;EOMONTH(DATE(YEAR(主页!$D$2),MONTH(主页!$D$2),1),0)),"")</f>
        <v/>
      </c>
    </row>
    <row r="296" spans="1:10" x14ac:dyDescent="0.3">
      <c r="A296" s="150"/>
      <c r="B296" s="150"/>
      <c r="C296" s="150"/>
      <c r="D296" s="150"/>
      <c r="E296" s="140" t="str">
        <f t="shared" si="13"/>
        <v/>
      </c>
      <c r="F296" s="159"/>
      <c r="G296" s="145">
        <f t="shared" si="15"/>
        <v>0</v>
      </c>
      <c r="H296" s="140" t="str">
        <f t="shared" si="14"/>
        <v/>
      </c>
      <c r="I296"/>
      <c r="J296" s="147" t="str">
        <f>IFERROR(SUMIFS(当年实际!$V:$V,当年实际!$F:$F,$C296,当年实际!$C:$C,"&gt;="&amp;DATE(YEAR(主页!$D$2),1,1),当年实际!$C:$C,"&lt;="&amp;EOMONTH(DATE(YEAR(主页!$D$2),MONTH(主页!$D$2),1),0))/SUMIFS(当年实际!$P:$P,当年实际!$F:$F,$C296,当年实际!$C:$C,"&gt;="&amp;DATE(YEAR(主页!$D$2),1,1),当年实际!$C:$C,"&lt;="&amp;EOMONTH(DATE(YEAR(主页!$D$2),MONTH(主页!$D$2),1),0)),"")</f>
        <v/>
      </c>
    </row>
    <row r="297" spans="1:10" x14ac:dyDescent="0.3">
      <c r="A297" s="150"/>
      <c r="B297" s="150"/>
      <c r="C297" s="150"/>
      <c r="D297" s="150"/>
      <c r="E297" s="140" t="str">
        <f t="shared" si="13"/>
        <v/>
      </c>
      <c r="F297" s="159"/>
      <c r="G297" s="145">
        <f t="shared" si="15"/>
        <v>0</v>
      </c>
      <c r="H297" s="140" t="str">
        <f t="shared" si="14"/>
        <v/>
      </c>
      <c r="I297"/>
      <c r="J297" s="147" t="str">
        <f>IFERROR(SUMIFS(当年实际!$V:$V,当年实际!$F:$F,$C297,当年实际!$C:$C,"&gt;="&amp;DATE(YEAR(主页!$D$2),1,1),当年实际!$C:$C,"&lt;="&amp;EOMONTH(DATE(YEAR(主页!$D$2),MONTH(主页!$D$2),1),0))/SUMIFS(当年实际!$P:$P,当年实际!$F:$F,$C297,当年实际!$C:$C,"&gt;="&amp;DATE(YEAR(主页!$D$2),1,1),当年实际!$C:$C,"&lt;="&amp;EOMONTH(DATE(YEAR(主页!$D$2),MONTH(主页!$D$2),1),0)),"")</f>
        <v/>
      </c>
    </row>
    <row r="298" spans="1:10" x14ac:dyDescent="0.3">
      <c r="A298" s="150"/>
      <c r="B298" s="150"/>
      <c r="C298" s="150"/>
      <c r="D298" s="150"/>
      <c r="E298" s="140" t="str">
        <f t="shared" si="13"/>
        <v/>
      </c>
      <c r="F298" s="159"/>
      <c r="G298" s="145">
        <f t="shared" si="15"/>
        <v>0</v>
      </c>
      <c r="H298" s="140" t="str">
        <f t="shared" si="14"/>
        <v/>
      </c>
      <c r="I298"/>
      <c r="J298" s="147" t="str">
        <f>IFERROR(SUMIFS(当年实际!$V:$V,当年实际!$F:$F,$C298,当年实际!$C:$C,"&gt;="&amp;DATE(YEAR(主页!$D$2),1,1),当年实际!$C:$C,"&lt;="&amp;EOMONTH(DATE(YEAR(主页!$D$2),MONTH(主页!$D$2),1),0))/SUMIFS(当年实际!$P:$P,当年实际!$F:$F,$C298,当年实际!$C:$C,"&gt;="&amp;DATE(YEAR(主页!$D$2),1,1),当年实际!$C:$C,"&lt;="&amp;EOMONTH(DATE(YEAR(主页!$D$2),MONTH(主页!$D$2),1),0)),"")</f>
        <v/>
      </c>
    </row>
    <row r="299" spans="1:10" x14ac:dyDescent="0.3">
      <c r="A299" s="150"/>
      <c r="B299" s="150"/>
      <c r="C299" s="150"/>
      <c r="D299" s="150"/>
      <c r="E299" s="140" t="str">
        <f t="shared" si="13"/>
        <v/>
      </c>
      <c r="F299" s="159"/>
      <c r="G299" s="145">
        <f t="shared" si="15"/>
        <v>0</v>
      </c>
      <c r="H299" s="140" t="str">
        <f t="shared" si="14"/>
        <v/>
      </c>
      <c r="I299"/>
      <c r="J299" s="147" t="str">
        <f>IFERROR(SUMIFS(当年实际!$V:$V,当年实际!$F:$F,$C299,当年实际!$C:$C,"&gt;="&amp;DATE(YEAR(主页!$D$2),1,1),当年实际!$C:$C,"&lt;="&amp;EOMONTH(DATE(YEAR(主页!$D$2),MONTH(主页!$D$2),1),0))/SUMIFS(当年实际!$P:$P,当年实际!$F:$F,$C299,当年实际!$C:$C,"&gt;="&amp;DATE(YEAR(主页!$D$2),1,1),当年实际!$C:$C,"&lt;="&amp;EOMONTH(DATE(YEAR(主页!$D$2),MONTH(主页!$D$2),1),0)),"")</f>
        <v/>
      </c>
    </row>
    <row r="300" spans="1:10" x14ac:dyDescent="0.3">
      <c r="A300" s="150"/>
      <c r="B300" s="150"/>
      <c r="C300" s="150"/>
      <c r="D300" s="150"/>
      <c r="E300" s="140" t="str">
        <f t="shared" si="13"/>
        <v/>
      </c>
      <c r="F300" s="159"/>
      <c r="G300" s="145">
        <f t="shared" si="15"/>
        <v>0</v>
      </c>
      <c r="H300" s="140" t="str">
        <f t="shared" si="14"/>
        <v/>
      </c>
      <c r="I300"/>
      <c r="J300" s="147" t="str">
        <f>IFERROR(SUMIFS(当年实际!$V:$V,当年实际!$F:$F,$C300,当年实际!$C:$C,"&gt;="&amp;DATE(YEAR(主页!$D$2),1,1),当年实际!$C:$C,"&lt;="&amp;EOMONTH(DATE(YEAR(主页!$D$2),MONTH(主页!$D$2),1),0))/SUMIFS(当年实际!$P:$P,当年实际!$F:$F,$C300,当年实际!$C:$C,"&gt;="&amp;DATE(YEAR(主页!$D$2),1,1),当年实际!$C:$C,"&lt;="&amp;EOMONTH(DATE(YEAR(主页!$D$2),MONTH(主页!$D$2),1),0)),"")</f>
        <v/>
      </c>
    </row>
    <row r="301" spans="1:10" x14ac:dyDescent="0.3">
      <c r="A301" s="150"/>
      <c r="B301" s="150"/>
      <c r="C301" s="150"/>
      <c r="D301" s="150"/>
      <c r="E301" s="140" t="str">
        <f t="shared" si="13"/>
        <v/>
      </c>
      <c r="F301" s="159"/>
      <c r="G301" s="145">
        <f t="shared" si="15"/>
        <v>0</v>
      </c>
      <c r="H301" s="140" t="str">
        <f t="shared" si="14"/>
        <v/>
      </c>
      <c r="I301"/>
      <c r="J301" s="147" t="str">
        <f>IFERROR(SUMIFS(当年实际!$V:$V,当年实际!$F:$F,$C301,当年实际!$C:$C,"&gt;="&amp;DATE(YEAR(主页!$D$2),1,1),当年实际!$C:$C,"&lt;="&amp;EOMONTH(DATE(YEAR(主页!$D$2),MONTH(主页!$D$2),1),0))/SUMIFS(当年实际!$P:$P,当年实际!$F:$F,$C301,当年实际!$C:$C,"&gt;="&amp;DATE(YEAR(主页!$D$2),1,1),当年实际!$C:$C,"&lt;="&amp;EOMONTH(DATE(YEAR(主页!$D$2),MONTH(主页!$D$2),1),0)),"")</f>
        <v/>
      </c>
    </row>
    <row r="302" spans="1:10" x14ac:dyDescent="0.3">
      <c r="A302" s="150"/>
      <c r="B302" s="150"/>
      <c r="C302" s="150"/>
      <c r="D302" s="150"/>
      <c r="E302" s="140" t="str">
        <f t="shared" si="13"/>
        <v/>
      </c>
      <c r="F302" s="159"/>
      <c r="G302" s="145">
        <f t="shared" si="15"/>
        <v>0</v>
      </c>
      <c r="H302" s="140" t="str">
        <f t="shared" si="14"/>
        <v/>
      </c>
      <c r="I302"/>
      <c r="J302" s="147" t="str">
        <f>IFERROR(SUMIFS(当年实际!$V:$V,当年实际!$F:$F,$C302,当年实际!$C:$C,"&gt;="&amp;DATE(YEAR(主页!$D$2),1,1),当年实际!$C:$C,"&lt;="&amp;EOMONTH(DATE(YEAR(主页!$D$2),MONTH(主页!$D$2),1),0))/SUMIFS(当年实际!$P:$P,当年实际!$F:$F,$C302,当年实际!$C:$C,"&gt;="&amp;DATE(YEAR(主页!$D$2),1,1),当年实际!$C:$C,"&lt;="&amp;EOMONTH(DATE(YEAR(主页!$D$2),MONTH(主页!$D$2),1),0)),"")</f>
        <v/>
      </c>
    </row>
    <row r="303" spans="1:10" x14ac:dyDescent="0.3">
      <c r="A303" s="150"/>
      <c r="B303" s="150"/>
      <c r="C303" s="150"/>
      <c r="D303" s="150"/>
      <c r="E303" s="140" t="str">
        <f t="shared" si="13"/>
        <v/>
      </c>
      <c r="F303" s="159"/>
      <c r="G303" s="145">
        <f t="shared" si="15"/>
        <v>0</v>
      </c>
      <c r="H303" s="140" t="str">
        <f t="shared" si="14"/>
        <v/>
      </c>
      <c r="I303"/>
      <c r="J303" s="147" t="str">
        <f>IFERROR(SUMIFS(当年实际!$V:$V,当年实际!$F:$F,$C303,当年实际!$C:$C,"&gt;="&amp;DATE(YEAR(主页!$D$2),1,1),当年实际!$C:$C,"&lt;="&amp;EOMONTH(DATE(YEAR(主页!$D$2),MONTH(主页!$D$2),1),0))/SUMIFS(当年实际!$P:$P,当年实际!$F:$F,$C303,当年实际!$C:$C,"&gt;="&amp;DATE(YEAR(主页!$D$2),1,1),当年实际!$C:$C,"&lt;="&amp;EOMONTH(DATE(YEAR(主页!$D$2),MONTH(主页!$D$2),1),0)),"")</f>
        <v/>
      </c>
    </row>
    <row r="304" spans="1:10" x14ac:dyDescent="0.3">
      <c r="A304" s="150"/>
      <c r="B304" s="150"/>
      <c r="C304" s="150"/>
      <c r="D304" s="150"/>
      <c r="E304" s="140" t="str">
        <f t="shared" si="13"/>
        <v/>
      </c>
      <c r="F304" s="159"/>
      <c r="G304" s="145">
        <f t="shared" si="15"/>
        <v>0</v>
      </c>
      <c r="H304" s="140" t="str">
        <f t="shared" si="14"/>
        <v/>
      </c>
      <c r="I304"/>
      <c r="J304" s="147" t="str">
        <f>IFERROR(SUMIFS(当年实际!$V:$V,当年实际!$F:$F,$C304,当年实际!$C:$C,"&gt;="&amp;DATE(YEAR(主页!$D$2),1,1),当年实际!$C:$C,"&lt;="&amp;EOMONTH(DATE(YEAR(主页!$D$2),MONTH(主页!$D$2),1),0))/SUMIFS(当年实际!$P:$P,当年实际!$F:$F,$C304,当年实际!$C:$C,"&gt;="&amp;DATE(YEAR(主页!$D$2),1,1),当年实际!$C:$C,"&lt;="&amp;EOMONTH(DATE(YEAR(主页!$D$2),MONTH(主页!$D$2),1),0)),"")</f>
        <v/>
      </c>
    </row>
    <row r="305" spans="1:10" x14ac:dyDescent="0.3">
      <c r="A305" s="150"/>
      <c r="B305" s="150"/>
      <c r="C305" s="150"/>
      <c r="D305" s="150"/>
      <c r="E305" s="140" t="str">
        <f t="shared" si="13"/>
        <v/>
      </c>
      <c r="F305" s="159"/>
      <c r="G305" s="145">
        <f t="shared" si="15"/>
        <v>0</v>
      </c>
      <c r="H305" s="140" t="str">
        <f t="shared" si="14"/>
        <v/>
      </c>
      <c r="I305"/>
      <c r="J305" s="147" t="str">
        <f>IFERROR(SUMIFS(当年实际!$V:$V,当年实际!$F:$F,$C305,当年实际!$C:$C,"&gt;="&amp;DATE(YEAR(主页!$D$2),1,1),当年实际!$C:$C,"&lt;="&amp;EOMONTH(DATE(YEAR(主页!$D$2),MONTH(主页!$D$2),1),0))/SUMIFS(当年实际!$P:$P,当年实际!$F:$F,$C305,当年实际!$C:$C,"&gt;="&amp;DATE(YEAR(主页!$D$2),1,1),当年实际!$C:$C,"&lt;="&amp;EOMONTH(DATE(YEAR(主页!$D$2),MONTH(主页!$D$2),1),0)),"")</f>
        <v/>
      </c>
    </row>
    <row r="306" spans="1:10" x14ac:dyDescent="0.3">
      <c r="A306" s="150"/>
      <c r="B306" s="150"/>
      <c r="C306" s="150"/>
      <c r="D306" s="150"/>
      <c r="E306" s="140" t="str">
        <f t="shared" si="13"/>
        <v/>
      </c>
      <c r="F306" s="159"/>
      <c r="G306" s="145">
        <f t="shared" si="15"/>
        <v>0</v>
      </c>
      <c r="H306" s="140" t="str">
        <f t="shared" si="14"/>
        <v/>
      </c>
      <c r="I306"/>
      <c r="J306" s="147" t="str">
        <f>IFERROR(SUMIFS(当年实际!$V:$V,当年实际!$F:$F,$C306,当年实际!$C:$C,"&gt;="&amp;DATE(YEAR(主页!$D$2),1,1),当年实际!$C:$C,"&lt;="&amp;EOMONTH(DATE(YEAR(主页!$D$2),MONTH(主页!$D$2),1),0))/SUMIFS(当年实际!$P:$P,当年实际!$F:$F,$C306,当年实际!$C:$C,"&gt;="&amp;DATE(YEAR(主页!$D$2),1,1),当年实际!$C:$C,"&lt;="&amp;EOMONTH(DATE(YEAR(主页!$D$2),MONTH(主页!$D$2),1),0)),"")</f>
        <v/>
      </c>
    </row>
    <row r="307" spans="1:10" x14ac:dyDescent="0.3">
      <c r="A307" s="150"/>
      <c r="B307" s="150"/>
      <c r="C307" s="150"/>
      <c r="D307" s="150"/>
      <c r="E307" s="140" t="str">
        <f t="shared" si="13"/>
        <v/>
      </c>
      <c r="F307" s="159"/>
      <c r="G307" s="145">
        <f t="shared" si="15"/>
        <v>0</v>
      </c>
      <c r="H307" s="140" t="str">
        <f t="shared" si="14"/>
        <v/>
      </c>
      <c r="I307"/>
      <c r="J307" s="147" t="str">
        <f>IFERROR(SUMIFS(当年实际!$V:$V,当年实际!$F:$F,$C307,当年实际!$C:$C,"&gt;="&amp;DATE(YEAR(主页!$D$2),1,1),当年实际!$C:$C,"&lt;="&amp;EOMONTH(DATE(YEAR(主页!$D$2),MONTH(主页!$D$2),1),0))/SUMIFS(当年实际!$P:$P,当年实际!$F:$F,$C307,当年实际!$C:$C,"&gt;="&amp;DATE(YEAR(主页!$D$2),1,1),当年实际!$C:$C,"&lt;="&amp;EOMONTH(DATE(YEAR(主页!$D$2),MONTH(主页!$D$2),1),0)),"")</f>
        <v/>
      </c>
    </row>
    <row r="308" spans="1:10" x14ac:dyDescent="0.3">
      <c r="A308" s="150"/>
      <c r="B308" s="150"/>
      <c r="C308" s="150"/>
      <c r="D308" s="150"/>
      <c r="E308" s="140" t="str">
        <f t="shared" si="13"/>
        <v/>
      </c>
      <c r="F308" s="159"/>
      <c r="G308" s="145">
        <f t="shared" si="15"/>
        <v>0</v>
      </c>
      <c r="H308" s="140" t="str">
        <f t="shared" si="14"/>
        <v/>
      </c>
      <c r="I308"/>
      <c r="J308" s="147" t="str">
        <f>IFERROR(SUMIFS(当年实际!$V:$V,当年实际!$F:$F,$C308,当年实际!$C:$C,"&gt;="&amp;DATE(YEAR(主页!$D$2),1,1),当年实际!$C:$C,"&lt;="&amp;EOMONTH(DATE(YEAR(主页!$D$2),MONTH(主页!$D$2),1),0))/SUMIFS(当年实际!$P:$P,当年实际!$F:$F,$C308,当年实际!$C:$C,"&gt;="&amp;DATE(YEAR(主页!$D$2),1,1),当年实际!$C:$C,"&lt;="&amp;EOMONTH(DATE(YEAR(主页!$D$2),MONTH(主页!$D$2),1),0)),"")</f>
        <v/>
      </c>
    </row>
    <row r="309" spans="1:10" x14ac:dyDescent="0.3">
      <c r="A309" s="150"/>
      <c r="B309" s="150"/>
      <c r="C309" s="150"/>
      <c r="D309" s="150"/>
      <c r="E309" s="140" t="str">
        <f t="shared" si="13"/>
        <v/>
      </c>
      <c r="F309" s="159"/>
      <c r="G309" s="145">
        <f t="shared" si="15"/>
        <v>0</v>
      </c>
      <c r="H309" s="140" t="str">
        <f t="shared" si="14"/>
        <v/>
      </c>
      <c r="I309"/>
      <c r="J309" s="147" t="str">
        <f>IFERROR(SUMIFS(当年实际!$V:$V,当年实际!$F:$F,$C309,当年实际!$C:$C,"&gt;="&amp;DATE(YEAR(主页!$D$2),1,1),当年实际!$C:$C,"&lt;="&amp;EOMONTH(DATE(YEAR(主页!$D$2),MONTH(主页!$D$2),1),0))/SUMIFS(当年实际!$P:$P,当年实际!$F:$F,$C309,当年实际!$C:$C,"&gt;="&amp;DATE(YEAR(主页!$D$2),1,1),当年实际!$C:$C,"&lt;="&amp;EOMONTH(DATE(YEAR(主页!$D$2),MONTH(主页!$D$2),1),0)),"")</f>
        <v/>
      </c>
    </row>
    <row r="310" spans="1:10" x14ac:dyDescent="0.3">
      <c r="A310" s="150"/>
      <c r="B310" s="150"/>
      <c r="C310" s="150"/>
      <c r="D310" s="150"/>
      <c r="E310" s="140" t="str">
        <f t="shared" si="13"/>
        <v/>
      </c>
      <c r="F310" s="159"/>
      <c r="G310" s="145">
        <f t="shared" si="15"/>
        <v>0</v>
      </c>
      <c r="H310" s="140" t="str">
        <f t="shared" si="14"/>
        <v/>
      </c>
      <c r="I310"/>
      <c r="J310" s="147" t="str">
        <f>IFERROR(SUMIFS(当年实际!$V:$V,当年实际!$F:$F,$C310,当年实际!$C:$C,"&gt;="&amp;DATE(YEAR(主页!$D$2),1,1),当年实际!$C:$C,"&lt;="&amp;EOMONTH(DATE(YEAR(主页!$D$2),MONTH(主页!$D$2),1),0))/SUMIFS(当年实际!$P:$P,当年实际!$F:$F,$C310,当年实际!$C:$C,"&gt;="&amp;DATE(YEAR(主页!$D$2),1,1),当年实际!$C:$C,"&lt;="&amp;EOMONTH(DATE(YEAR(主页!$D$2),MONTH(主页!$D$2),1),0)),"")</f>
        <v/>
      </c>
    </row>
    <row r="311" spans="1:10" x14ac:dyDescent="0.3">
      <c r="A311" s="150"/>
      <c r="B311" s="150"/>
      <c r="C311" s="150"/>
      <c r="D311" s="150"/>
      <c r="E311" s="140" t="str">
        <f t="shared" si="13"/>
        <v/>
      </c>
      <c r="F311" s="159"/>
      <c r="G311" s="145">
        <f t="shared" si="15"/>
        <v>0</v>
      </c>
      <c r="H311" s="140" t="str">
        <f t="shared" si="14"/>
        <v/>
      </c>
      <c r="I311"/>
      <c r="J311" s="147" t="str">
        <f>IFERROR(SUMIFS(当年实际!$V:$V,当年实际!$F:$F,$C311,当年实际!$C:$C,"&gt;="&amp;DATE(YEAR(主页!$D$2),1,1),当年实际!$C:$C,"&lt;="&amp;EOMONTH(DATE(YEAR(主页!$D$2),MONTH(主页!$D$2),1),0))/SUMIFS(当年实际!$P:$P,当年实际!$F:$F,$C311,当年实际!$C:$C,"&gt;="&amp;DATE(YEAR(主页!$D$2),1,1),当年实际!$C:$C,"&lt;="&amp;EOMONTH(DATE(YEAR(主页!$D$2),MONTH(主页!$D$2),1),0)),"")</f>
        <v/>
      </c>
    </row>
    <row r="312" spans="1:10" x14ac:dyDescent="0.3">
      <c r="A312" s="150"/>
      <c r="B312" s="150"/>
      <c r="C312" s="150"/>
      <c r="D312" s="150"/>
      <c r="E312" s="140" t="str">
        <f t="shared" si="13"/>
        <v/>
      </c>
      <c r="F312" s="159"/>
      <c r="G312" s="145">
        <f t="shared" si="15"/>
        <v>0</v>
      </c>
      <c r="H312" s="140" t="str">
        <f t="shared" si="14"/>
        <v/>
      </c>
      <c r="I312"/>
      <c r="J312" s="147" t="str">
        <f>IFERROR(SUMIFS(当年实际!$V:$V,当年实际!$F:$F,$C312,当年实际!$C:$C,"&gt;="&amp;DATE(YEAR(主页!$D$2),1,1),当年实际!$C:$C,"&lt;="&amp;EOMONTH(DATE(YEAR(主页!$D$2),MONTH(主页!$D$2),1),0))/SUMIFS(当年实际!$P:$P,当年实际!$F:$F,$C312,当年实际!$C:$C,"&gt;="&amp;DATE(YEAR(主页!$D$2),1,1),当年实际!$C:$C,"&lt;="&amp;EOMONTH(DATE(YEAR(主页!$D$2),MONTH(主页!$D$2),1),0)),"")</f>
        <v/>
      </c>
    </row>
    <row r="313" spans="1:10" x14ac:dyDescent="0.3">
      <c r="A313" s="150"/>
      <c r="B313" s="150"/>
      <c r="C313" s="150"/>
      <c r="D313" s="150"/>
      <c r="E313" s="140" t="str">
        <f t="shared" si="13"/>
        <v/>
      </c>
      <c r="F313" s="159"/>
      <c r="G313" s="145">
        <f t="shared" si="15"/>
        <v>0</v>
      </c>
      <c r="H313" s="140" t="str">
        <f t="shared" si="14"/>
        <v/>
      </c>
      <c r="I313"/>
      <c r="J313" s="147" t="str">
        <f>IFERROR(SUMIFS(当年实际!$V:$V,当年实际!$F:$F,$C313,当年实际!$C:$C,"&gt;="&amp;DATE(YEAR(主页!$D$2),1,1),当年实际!$C:$C,"&lt;="&amp;EOMONTH(DATE(YEAR(主页!$D$2),MONTH(主页!$D$2),1),0))/SUMIFS(当年实际!$P:$P,当年实际!$F:$F,$C313,当年实际!$C:$C,"&gt;="&amp;DATE(YEAR(主页!$D$2),1,1),当年实际!$C:$C,"&lt;="&amp;EOMONTH(DATE(YEAR(主页!$D$2),MONTH(主页!$D$2),1),0)),"")</f>
        <v/>
      </c>
    </row>
    <row r="314" spans="1:10" x14ac:dyDescent="0.3">
      <c r="A314" s="150"/>
      <c r="B314" s="150"/>
      <c r="C314" s="150"/>
      <c r="D314" s="150"/>
      <c r="E314" s="140" t="str">
        <f t="shared" si="13"/>
        <v/>
      </c>
      <c r="F314" s="159"/>
      <c r="G314" s="145">
        <f t="shared" si="15"/>
        <v>0</v>
      </c>
      <c r="H314" s="140" t="str">
        <f t="shared" si="14"/>
        <v/>
      </c>
      <c r="I314"/>
      <c r="J314" s="147" t="str">
        <f>IFERROR(SUMIFS(当年实际!$V:$V,当年实际!$F:$F,$C314,当年实际!$C:$C,"&gt;="&amp;DATE(YEAR(主页!$D$2),1,1),当年实际!$C:$C,"&lt;="&amp;EOMONTH(DATE(YEAR(主页!$D$2),MONTH(主页!$D$2),1),0))/SUMIFS(当年实际!$P:$P,当年实际!$F:$F,$C314,当年实际!$C:$C,"&gt;="&amp;DATE(YEAR(主页!$D$2),1,1),当年实际!$C:$C,"&lt;="&amp;EOMONTH(DATE(YEAR(主页!$D$2),MONTH(主页!$D$2),1),0)),"")</f>
        <v/>
      </c>
    </row>
    <row r="315" spans="1:10" x14ac:dyDescent="0.3">
      <c r="A315" s="150"/>
      <c r="B315" s="150"/>
      <c r="C315" s="150"/>
      <c r="D315" s="150"/>
      <c r="E315" s="140" t="str">
        <f t="shared" si="13"/>
        <v/>
      </c>
      <c r="F315" s="159"/>
      <c r="G315" s="145">
        <f t="shared" si="15"/>
        <v>0</v>
      </c>
      <c r="H315" s="140" t="str">
        <f t="shared" si="14"/>
        <v/>
      </c>
      <c r="I315"/>
      <c r="J315" s="147" t="str">
        <f>IFERROR(SUMIFS(当年实际!$V:$V,当年实际!$F:$F,$C315,当年实际!$C:$C,"&gt;="&amp;DATE(YEAR(主页!$D$2),1,1),当年实际!$C:$C,"&lt;="&amp;EOMONTH(DATE(YEAR(主页!$D$2),MONTH(主页!$D$2),1),0))/SUMIFS(当年实际!$P:$P,当年实际!$F:$F,$C315,当年实际!$C:$C,"&gt;="&amp;DATE(YEAR(主页!$D$2),1,1),当年实际!$C:$C,"&lt;="&amp;EOMONTH(DATE(YEAR(主页!$D$2),MONTH(主页!$D$2),1),0)),"")</f>
        <v/>
      </c>
    </row>
    <row r="316" spans="1:10" x14ac:dyDescent="0.3">
      <c r="A316" s="150"/>
      <c r="B316" s="150"/>
      <c r="C316" s="150"/>
      <c r="D316" s="150"/>
      <c r="E316" s="140" t="str">
        <f t="shared" si="13"/>
        <v/>
      </c>
      <c r="F316" s="159"/>
      <c r="G316" s="145">
        <f t="shared" si="15"/>
        <v>0</v>
      </c>
      <c r="H316" s="140" t="str">
        <f t="shared" si="14"/>
        <v/>
      </c>
      <c r="I316"/>
      <c r="J316" s="147" t="str">
        <f>IFERROR(SUMIFS(当年实际!$V:$V,当年实际!$F:$F,$C316,当年实际!$C:$C,"&gt;="&amp;DATE(YEAR(主页!$D$2),1,1),当年实际!$C:$C,"&lt;="&amp;EOMONTH(DATE(YEAR(主页!$D$2),MONTH(主页!$D$2),1),0))/SUMIFS(当年实际!$P:$P,当年实际!$F:$F,$C316,当年实际!$C:$C,"&gt;="&amp;DATE(YEAR(主页!$D$2),1,1),当年实际!$C:$C,"&lt;="&amp;EOMONTH(DATE(YEAR(主页!$D$2),MONTH(主页!$D$2),1),0)),"")</f>
        <v/>
      </c>
    </row>
    <row r="317" spans="1:10" x14ac:dyDescent="0.3">
      <c r="A317" s="150"/>
      <c r="B317" s="150"/>
      <c r="C317" s="150"/>
      <c r="D317" s="150"/>
      <c r="E317" s="140" t="str">
        <f t="shared" si="13"/>
        <v/>
      </c>
      <c r="F317" s="159"/>
      <c r="G317" s="145">
        <f t="shared" si="15"/>
        <v>0</v>
      </c>
      <c r="H317" s="140" t="str">
        <f t="shared" si="14"/>
        <v/>
      </c>
      <c r="I317"/>
      <c r="J317" s="147" t="str">
        <f>IFERROR(SUMIFS(当年实际!$V:$V,当年实际!$F:$F,$C317,当年实际!$C:$C,"&gt;="&amp;DATE(YEAR(主页!$D$2),1,1),当年实际!$C:$C,"&lt;="&amp;EOMONTH(DATE(YEAR(主页!$D$2),MONTH(主页!$D$2),1),0))/SUMIFS(当年实际!$P:$P,当年实际!$F:$F,$C317,当年实际!$C:$C,"&gt;="&amp;DATE(YEAR(主页!$D$2),1,1),当年实际!$C:$C,"&lt;="&amp;EOMONTH(DATE(YEAR(主页!$D$2),MONTH(主页!$D$2),1),0)),"")</f>
        <v/>
      </c>
    </row>
    <row r="318" spans="1:10" x14ac:dyDescent="0.3">
      <c r="A318" s="150"/>
      <c r="B318" s="150"/>
      <c r="C318" s="150"/>
      <c r="D318" s="150"/>
      <c r="E318" s="140" t="str">
        <f t="shared" si="13"/>
        <v/>
      </c>
      <c r="F318" s="159"/>
      <c r="G318" s="145">
        <f t="shared" si="15"/>
        <v>0</v>
      </c>
      <c r="H318" s="140" t="str">
        <f t="shared" si="14"/>
        <v/>
      </c>
      <c r="I318"/>
      <c r="J318" s="147" t="str">
        <f>IFERROR(SUMIFS(当年实际!$V:$V,当年实际!$F:$F,$C318,当年实际!$C:$C,"&gt;="&amp;DATE(YEAR(主页!$D$2),1,1),当年实际!$C:$C,"&lt;="&amp;EOMONTH(DATE(YEAR(主页!$D$2),MONTH(主页!$D$2),1),0))/SUMIFS(当年实际!$P:$P,当年实际!$F:$F,$C318,当年实际!$C:$C,"&gt;="&amp;DATE(YEAR(主页!$D$2),1,1),当年实际!$C:$C,"&lt;="&amp;EOMONTH(DATE(YEAR(主页!$D$2),MONTH(主页!$D$2),1),0)),"")</f>
        <v/>
      </c>
    </row>
    <row r="319" spans="1:10" x14ac:dyDescent="0.3">
      <c r="A319" s="150"/>
      <c r="B319" s="150"/>
      <c r="C319" s="150"/>
      <c r="D319" s="150"/>
      <c r="E319" s="140" t="str">
        <f t="shared" si="13"/>
        <v/>
      </c>
      <c r="F319" s="159"/>
      <c r="G319" s="145">
        <f t="shared" si="15"/>
        <v>0</v>
      </c>
      <c r="H319" s="140" t="str">
        <f t="shared" si="14"/>
        <v/>
      </c>
      <c r="I319"/>
      <c r="J319" s="147" t="str">
        <f>IFERROR(SUMIFS(当年实际!$V:$V,当年实际!$F:$F,$C319,当年实际!$C:$C,"&gt;="&amp;DATE(YEAR(主页!$D$2),1,1),当年实际!$C:$C,"&lt;="&amp;EOMONTH(DATE(YEAR(主页!$D$2),MONTH(主页!$D$2),1),0))/SUMIFS(当年实际!$P:$P,当年实际!$F:$F,$C319,当年实际!$C:$C,"&gt;="&amp;DATE(YEAR(主页!$D$2),1,1),当年实际!$C:$C,"&lt;="&amp;EOMONTH(DATE(YEAR(主页!$D$2),MONTH(主页!$D$2),1),0)),"")</f>
        <v/>
      </c>
    </row>
    <row r="320" spans="1:10" x14ac:dyDescent="0.3">
      <c r="A320" s="150"/>
      <c r="B320" s="150"/>
      <c r="C320" s="150"/>
      <c r="D320" s="150"/>
      <c r="E320" s="140" t="str">
        <f t="shared" si="13"/>
        <v/>
      </c>
      <c r="F320" s="159"/>
      <c r="G320" s="145">
        <f t="shared" si="15"/>
        <v>0</v>
      </c>
      <c r="H320" s="140" t="str">
        <f t="shared" si="14"/>
        <v/>
      </c>
      <c r="I320"/>
      <c r="J320" s="147" t="str">
        <f>IFERROR(SUMIFS(当年实际!$V:$V,当年实际!$F:$F,$C320,当年实际!$C:$C,"&gt;="&amp;DATE(YEAR(主页!$D$2),1,1),当年实际!$C:$C,"&lt;="&amp;EOMONTH(DATE(YEAR(主页!$D$2),MONTH(主页!$D$2),1),0))/SUMIFS(当年实际!$P:$P,当年实际!$F:$F,$C320,当年实际!$C:$C,"&gt;="&amp;DATE(YEAR(主页!$D$2),1,1),当年实际!$C:$C,"&lt;="&amp;EOMONTH(DATE(YEAR(主页!$D$2),MONTH(主页!$D$2),1),0)),"")</f>
        <v/>
      </c>
    </row>
    <row r="321" spans="1:10" x14ac:dyDescent="0.3">
      <c r="A321" s="150"/>
      <c r="B321" s="150"/>
      <c r="C321" s="150"/>
      <c r="D321" s="150"/>
      <c r="E321" s="140" t="str">
        <f t="shared" si="13"/>
        <v/>
      </c>
      <c r="F321" s="159"/>
      <c r="G321" s="145">
        <f t="shared" si="15"/>
        <v>0</v>
      </c>
      <c r="H321" s="140" t="str">
        <f t="shared" si="14"/>
        <v/>
      </c>
      <c r="I321"/>
      <c r="J321" s="147" t="str">
        <f>IFERROR(SUMIFS(当年实际!$V:$V,当年实际!$F:$F,$C321,当年实际!$C:$C,"&gt;="&amp;DATE(YEAR(主页!$D$2),1,1),当年实际!$C:$C,"&lt;="&amp;EOMONTH(DATE(YEAR(主页!$D$2),MONTH(主页!$D$2),1),0))/SUMIFS(当年实际!$P:$P,当年实际!$F:$F,$C321,当年实际!$C:$C,"&gt;="&amp;DATE(YEAR(主页!$D$2),1,1),当年实际!$C:$C,"&lt;="&amp;EOMONTH(DATE(YEAR(主页!$D$2),MONTH(主页!$D$2),1),0)),"")</f>
        <v/>
      </c>
    </row>
    <row r="322" spans="1:10" x14ac:dyDescent="0.3">
      <c r="A322" s="150"/>
      <c r="B322" s="150"/>
      <c r="C322" s="150"/>
      <c r="D322" s="150"/>
      <c r="E322" s="140" t="str">
        <f t="shared" si="13"/>
        <v/>
      </c>
      <c r="F322" s="159"/>
      <c r="G322" s="145">
        <f t="shared" si="15"/>
        <v>0</v>
      </c>
      <c r="H322" s="140" t="str">
        <f t="shared" si="14"/>
        <v/>
      </c>
      <c r="I322"/>
      <c r="J322" s="147" t="str">
        <f>IFERROR(SUMIFS(当年实际!$V:$V,当年实际!$F:$F,$C322,当年实际!$C:$C,"&gt;="&amp;DATE(YEAR(主页!$D$2),1,1),当年实际!$C:$C,"&lt;="&amp;EOMONTH(DATE(YEAR(主页!$D$2),MONTH(主页!$D$2),1),0))/SUMIFS(当年实际!$P:$P,当年实际!$F:$F,$C322,当年实际!$C:$C,"&gt;="&amp;DATE(YEAR(主页!$D$2),1,1),当年实际!$C:$C,"&lt;="&amp;EOMONTH(DATE(YEAR(主页!$D$2),MONTH(主页!$D$2),1),0)),"")</f>
        <v/>
      </c>
    </row>
    <row r="323" spans="1:10" x14ac:dyDescent="0.3">
      <c r="A323" s="150"/>
      <c r="B323" s="150"/>
      <c r="C323" s="150"/>
      <c r="D323" s="150"/>
      <c r="E323" s="140" t="str">
        <f t="shared" si="13"/>
        <v/>
      </c>
      <c r="F323" s="159"/>
      <c r="G323" s="145">
        <f t="shared" si="15"/>
        <v>0</v>
      </c>
      <c r="H323" s="140" t="str">
        <f t="shared" si="14"/>
        <v/>
      </c>
      <c r="I323"/>
      <c r="J323" s="147" t="str">
        <f>IFERROR(SUMIFS(当年实际!$V:$V,当年实际!$F:$F,$C323,当年实际!$C:$C,"&gt;="&amp;DATE(YEAR(主页!$D$2),1,1),当年实际!$C:$C,"&lt;="&amp;EOMONTH(DATE(YEAR(主页!$D$2),MONTH(主页!$D$2),1),0))/SUMIFS(当年实际!$P:$P,当年实际!$F:$F,$C323,当年实际!$C:$C,"&gt;="&amp;DATE(YEAR(主页!$D$2),1,1),当年实际!$C:$C,"&lt;="&amp;EOMONTH(DATE(YEAR(主页!$D$2),MONTH(主页!$D$2),1),0)),"")</f>
        <v/>
      </c>
    </row>
    <row r="324" spans="1:10" x14ac:dyDescent="0.3">
      <c r="A324" s="150"/>
      <c r="B324" s="150"/>
      <c r="C324" s="150"/>
      <c r="D324" s="150"/>
      <c r="E324" s="140" t="str">
        <f t="shared" ref="E324:E387" si="16">IF(D324/SUM(D:D)=0,"",D324/SUM(D:D))</f>
        <v/>
      </c>
      <c r="F324" s="159"/>
      <c r="G324" s="145">
        <f t="shared" si="15"/>
        <v>0</v>
      </c>
      <c r="H324" s="140" t="str">
        <f t="shared" ref="H324:H387" si="17">IF(G324/SUM(G:G)=0,"",G324/SUM(G:G))</f>
        <v/>
      </c>
      <c r="I324"/>
      <c r="J324" s="147" t="str">
        <f>IFERROR(SUMIFS(当年实际!$V:$V,当年实际!$F:$F,$C324,当年实际!$C:$C,"&gt;="&amp;DATE(YEAR(主页!$D$2),1,1),当年实际!$C:$C,"&lt;="&amp;EOMONTH(DATE(YEAR(主页!$D$2),MONTH(主页!$D$2),1),0))/SUMIFS(当年实际!$P:$P,当年实际!$F:$F,$C324,当年实际!$C:$C,"&gt;="&amp;DATE(YEAR(主页!$D$2),1,1),当年实际!$C:$C,"&lt;="&amp;EOMONTH(DATE(YEAR(主页!$D$2),MONTH(主页!$D$2),1),0)),"")</f>
        <v/>
      </c>
    </row>
    <row r="325" spans="1:10" x14ac:dyDescent="0.3">
      <c r="A325" s="150"/>
      <c r="B325" s="150"/>
      <c r="C325" s="150"/>
      <c r="D325" s="150"/>
      <c r="E325" s="140" t="str">
        <f t="shared" si="16"/>
        <v/>
      </c>
      <c r="F325" s="159"/>
      <c r="G325" s="145">
        <f t="shared" si="15"/>
        <v>0</v>
      </c>
      <c r="H325" s="140" t="str">
        <f t="shared" si="17"/>
        <v/>
      </c>
      <c r="I325"/>
      <c r="J325" s="147" t="str">
        <f>IFERROR(SUMIFS(当年实际!$V:$V,当年实际!$F:$F,$C325,当年实际!$C:$C,"&gt;="&amp;DATE(YEAR(主页!$D$2),1,1),当年实际!$C:$C,"&lt;="&amp;EOMONTH(DATE(YEAR(主页!$D$2),MONTH(主页!$D$2),1),0))/SUMIFS(当年实际!$P:$P,当年实际!$F:$F,$C325,当年实际!$C:$C,"&gt;="&amp;DATE(YEAR(主页!$D$2),1,1),当年实际!$C:$C,"&lt;="&amp;EOMONTH(DATE(YEAR(主页!$D$2),MONTH(主页!$D$2),1),0)),"")</f>
        <v/>
      </c>
    </row>
    <row r="326" spans="1:10" x14ac:dyDescent="0.3">
      <c r="A326" s="150"/>
      <c r="B326" s="150"/>
      <c r="C326" s="150"/>
      <c r="D326" s="150"/>
      <c r="E326" s="140" t="str">
        <f t="shared" si="16"/>
        <v/>
      </c>
      <c r="F326" s="159"/>
      <c r="G326" s="145">
        <f t="shared" si="15"/>
        <v>0</v>
      </c>
      <c r="H326" s="140" t="str">
        <f t="shared" si="17"/>
        <v/>
      </c>
      <c r="I326"/>
      <c r="J326" s="147" t="str">
        <f>IFERROR(SUMIFS(当年实际!$V:$V,当年实际!$F:$F,$C326,当年实际!$C:$C,"&gt;="&amp;DATE(YEAR(主页!$D$2),1,1),当年实际!$C:$C,"&lt;="&amp;EOMONTH(DATE(YEAR(主页!$D$2),MONTH(主页!$D$2),1),0))/SUMIFS(当年实际!$P:$P,当年实际!$F:$F,$C326,当年实际!$C:$C,"&gt;="&amp;DATE(YEAR(主页!$D$2),1,1),当年实际!$C:$C,"&lt;="&amp;EOMONTH(DATE(YEAR(主页!$D$2),MONTH(主页!$D$2),1),0)),"")</f>
        <v/>
      </c>
    </row>
    <row r="327" spans="1:10" x14ac:dyDescent="0.3">
      <c r="A327" s="150"/>
      <c r="B327" s="150"/>
      <c r="C327" s="150"/>
      <c r="D327" s="150"/>
      <c r="E327" s="140" t="str">
        <f t="shared" si="16"/>
        <v/>
      </c>
      <c r="F327" s="159"/>
      <c r="G327" s="145">
        <f t="shared" ref="G327:G390" si="18">D327*F327</f>
        <v>0</v>
      </c>
      <c r="H327" s="140" t="str">
        <f t="shared" si="17"/>
        <v/>
      </c>
      <c r="I327"/>
      <c r="J327" s="147" t="str">
        <f>IFERROR(SUMIFS(当年实际!$V:$V,当年实际!$F:$F,$C327,当年实际!$C:$C,"&gt;="&amp;DATE(YEAR(主页!$D$2),1,1),当年实际!$C:$C,"&lt;="&amp;EOMONTH(DATE(YEAR(主页!$D$2),MONTH(主页!$D$2),1),0))/SUMIFS(当年实际!$P:$P,当年实际!$F:$F,$C327,当年实际!$C:$C,"&gt;="&amp;DATE(YEAR(主页!$D$2),1,1),当年实际!$C:$C,"&lt;="&amp;EOMONTH(DATE(YEAR(主页!$D$2),MONTH(主页!$D$2),1),0)),"")</f>
        <v/>
      </c>
    </row>
    <row r="328" spans="1:10" x14ac:dyDescent="0.3">
      <c r="A328" s="150"/>
      <c r="B328" s="150"/>
      <c r="C328" s="150"/>
      <c r="D328" s="150"/>
      <c r="E328" s="140" t="str">
        <f t="shared" si="16"/>
        <v/>
      </c>
      <c r="F328" s="159"/>
      <c r="G328" s="145">
        <f t="shared" si="18"/>
        <v>0</v>
      </c>
      <c r="H328" s="140" t="str">
        <f t="shared" si="17"/>
        <v/>
      </c>
      <c r="I328"/>
      <c r="J328" s="147" t="str">
        <f>IFERROR(SUMIFS(当年实际!$V:$V,当年实际!$F:$F,$C328,当年实际!$C:$C,"&gt;="&amp;DATE(YEAR(主页!$D$2),1,1),当年实际!$C:$C,"&lt;="&amp;EOMONTH(DATE(YEAR(主页!$D$2),MONTH(主页!$D$2),1),0))/SUMIFS(当年实际!$P:$P,当年实际!$F:$F,$C328,当年实际!$C:$C,"&gt;="&amp;DATE(YEAR(主页!$D$2),1,1),当年实际!$C:$C,"&lt;="&amp;EOMONTH(DATE(YEAR(主页!$D$2),MONTH(主页!$D$2),1),0)),"")</f>
        <v/>
      </c>
    </row>
    <row r="329" spans="1:10" x14ac:dyDescent="0.3">
      <c r="A329" s="150"/>
      <c r="B329" s="150"/>
      <c r="C329" s="150"/>
      <c r="D329" s="150"/>
      <c r="E329" s="140" t="str">
        <f t="shared" si="16"/>
        <v/>
      </c>
      <c r="F329" s="159"/>
      <c r="G329" s="145">
        <f t="shared" si="18"/>
        <v>0</v>
      </c>
      <c r="H329" s="140" t="str">
        <f t="shared" si="17"/>
        <v/>
      </c>
      <c r="I329"/>
      <c r="J329" s="147" t="str">
        <f>IFERROR(SUMIFS(当年实际!$V:$V,当年实际!$F:$F,$C329,当年实际!$C:$C,"&gt;="&amp;DATE(YEAR(主页!$D$2),1,1),当年实际!$C:$C,"&lt;="&amp;EOMONTH(DATE(YEAR(主页!$D$2),MONTH(主页!$D$2),1),0))/SUMIFS(当年实际!$P:$P,当年实际!$F:$F,$C329,当年实际!$C:$C,"&gt;="&amp;DATE(YEAR(主页!$D$2),1,1),当年实际!$C:$C,"&lt;="&amp;EOMONTH(DATE(YEAR(主页!$D$2),MONTH(主页!$D$2),1),0)),"")</f>
        <v/>
      </c>
    </row>
    <row r="330" spans="1:10" x14ac:dyDescent="0.3">
      <c r="A330" s="150"/>
      <c r="B330" s="150"/>
      <c r="C330" s="150"/>
      <c r="D330" s="150"/>
      <c r="E330" s="140" t="str">
        <f t="shared" si="16"/>
        <v/>
      </c>
      <c r="F330" s="159"/>
      <c r="G330" s="145">
        <f t="shared" si="18"/>
        <v>0</v>
      </c>
      <c r="H330" s="140" t="str">
        <f t="shared" si="17"/>
        <v/>
      </c>
      <c r="I330"/>
      <c r="J330" s="147" t="str">
        <f>IFERROR(SUMIFS(当年实际!$V:$V,当年实际!$F:$F,$C330,当年实际!$C:$C,"&gt;="&amp;DATE(YEAR(主页!$D$2),1,1),当年实际!$C:$C,"&lt;="&amp;EOMONTH(DATE(YEAR(主页!$D$2),MONTH(主页!$D$2),1),0))/SUMIFS(当年实际!$P:$P,当年实际!$F:$F,$C330,当年实际!$C:$C,"&gt;="&amp;DATE(YEAR(主页!$D$2),1,1),当年实际!$C:$C,"&lt;="&amp;EOMONTH(DATE(YEAR(主页!$D$2),MONTH(主页!$D$2),1),0)),"")</f>
        <v/>
      </c>
    </row>
    <row r="331" spans="1:10" x14ac:dyDescent="0.3">
      <c r="A331" s="150"/>
      <c r="B331" s="150"/>
      <c r="C331" s="150"/>
      <c r="D331" s="150"/>
      <c r="E331" s="140" t="str">
        <f t="shared" si="16"/>
        <v/>
      </c>
      <c r="F331" s="159"/>
      <c r="G331" s="145">
        <f t="shared" si="18"/>
        <v>0</v>
      </c>
      <c r="H331" s="140" t="str">
        <f t="shared" si="17"/>
        <v/>
      </c>
      <c r="I331"/>
      <c r="J331" s="147" t="str">
        <f>IFERROR(SUMIFS(当年实际!$V:$V,当年实际!$F:$F,$C331,当年实际!$C:$C,"&gt;="&amp;DATE(YEAR(主页!$D$2),1,1),当年实际!$C:$C,"&lt;="&amp;EOMONTH(DATE(YEAR(主页!$D$2),MONTH(主页!$D$2),1),0))/SUMIFS(当年实际!$P:$P,当年实际!$F:$F,$C331,当年实际!$C:$C,"&gt;="&amp;DATE(YEAR(主页!$D$2),1,1),当年实际!$C:$C,"&lt;="&amp;EOMONTH(DATE(YEAR(主页!$D$2),MONTH(主页!$D$2),1),0)),"")</f>
        <v/>
      </c>
    </row>
    <row r="332" spans="1:10" x14ac:dyDescent="0.3">
      <c r="A332" s="150"/>
      <c r="B332" s="150"/>
      <c r="C332" s="150"/>
      <c r="D332" s="150"/>
      <c r="E332" s="140" t="str">
        <f t="shared" si="16"/>
        <v/>
      </c>
      <c r="F332" s="159"/>
      <c r="G332" s="145">
        <f t="shared" si="18"/>
        <v>0</v>
      </c>
      <c r="H332" s="140" t="str">
        <f t="shared" si="17"/>
        <v/>
      </c>
      <c r="I332"/>
      <c r="J332" s="147" t="str">
        <f>IFERROR(SUMIFS(当年实际!$V:$V,当年实际!$F:$F,$C332,当年实际!$C:$C,"&gt;="&amp;DATE(YEAR(主页!$D$2),1,1),当年实际!$C:$C,"&lt;="&amp;EOMONTH(DATE(YEAR(主页!$D$2),MONTH(主页!$D$2),1),0))/SUMIFS(当年实际!$P:$P,当年实际!$F:$F,$C332,当年实际!$C:$C,"&gt;="&amp;DATE(YEAR(主页!$D$2),1,1),当年实际!$C:$C,"&lt;="&amp;EOMONTH(DATE(YEAR(主页!$D$2),MONTH(主页!$D$2),1),0)),"")</f>
        <v/>
      </c>
    </row>
    <row r="333" spans="1:10" x14ac:dyDescent="0.3">
      <c r="A333" s="150"/>
      <c r="B333" s="150"/>
      <c r="C333" s="150"/>
      <c r="D333" s="150"/>
      <c r="E333" s="140" t="str">
        <f t="shared" si="16"/>
        <v/>
      </c>
      <c r="F333" s="159"/>
      <c r="G333" s="145">
        <f t="shared" si="18"/>
        <v>0</v>
      </c>
      <c r="H333" s="140" t="str">
        <f t="shared" si="17"/>
        <v/>
      </c>
      <c r="I333"/>
      <c r="J333" s="147" t="str">
        <f>IFERROR(SUMIFS(当年实际!$V:$V,当年实际!$F:$F,$C333,当年实际!$C:$C,"&gt;="&amp;DATE(YEAR(主页!$D$2),1,1),当年实际!$C:$C,"&lt;="&amp;EOMONTH(DATE(YEAR(主页!$D$2),MONTH(主页!$D$2),1),0))/SUMIFS(当年实际!$P:$P,当年实际!$F:$F,$C333,当年实际!$C:$C,"&gt;="&amp;DATE(YEAR(主页!$D$2),1,1),当年实际!$C:$C,"&lt;="&amp;EOMONTH(DATE(YEAR(主页!$D$2),MONTH(主页!$D$2),1),0)),"")</f>
        <v/>
      </c>
    </row>
    <row r="334" spans="1:10" x14ac:dyDescent="0.3">
      <c r="A334" s="150"/>
      <c r="B334" s="150"/>
      <c r="C334" s="150"/>
      <c r="D334" s="150"/>
      <c r="E334" s="140" t="str">
        <f t="shared" si="16"/>
        <v/>
      </c>
      <c r="F334" s="159"/>
      <c r="G334" s="145">
        <f t="shared" si="18"/>
        <v>0</v>
      </c>
      <c r="H334" s="140" t="str">
        <f t="shared" si="17"/>
        <v/>
      </c>
      <c r="I334"/>
      <c r="J334" s="147" t="str">
        <f>IFERROR(SUMIFS(当年实际!$V:$V,当年实际!$F:$F,$C334,当年实际!$C:$C,"&gt;="&amp;DATE(YEAR(主页!$D$2),1,1),当年实际!$C:$C,"&lt;="&amp;EOMONTH(DATE(YEAR(主页!$D$2),MONTH(主页!$D$2),1),0))/SUMIFS(当年实际!$P:$P,当年实际!$F:$F,$C334,当年实际!$C:$C,"&gt;="&amp;DATE(YEAR(主页!$D$2),1,1),当年实际!$C:$C,"&lt;="&amp;EOMONTH(DATE(YEAR(主页!$D$2),MONTH(主页!$D$2),1),0)),"")</f>
        <v/>
      </c>
    </row>
    <row r="335" spans="1:10" x14ac:dyDescent="0.3">
      <c r="A335" s="150"/>
      <c r="B335" s="150"/>
      <c r="C335" s="150"/>
      <c r="D335" s="150"/>
      <c r="E335" s="140" t="str">
        <f t="shared" si="16"/>
        <v/>
      </c>
      <c r="F335" s="159"/>
      <c r="G335" s="145">
        <f t="shared" si="18"/>
        <v>0</v>
      </c>
      <c r="H335" s="140" t="str">
        <f t="shared" si="17"/>
        <v/>
      </c>
      <c r="I335"/>
      <c r="J335" s="147" t="str">
        <f>IFERROR(SUMIFS(当年实际!$V:$V,当年实际!$F:$F,$C335,当年实际!$C:$C,"&gt;="&amp;DATE(YEAR(主页!$D$2),1,1),当年实际!$C:$C,"&lt;="&amp;EOMONTH(DATE(YEAR(主页!$D$2),MONTH(主页!$D$2),1),0))/SUMIFS(当年实际!$P:$P,当年实际!$F:$F,$C335,当年实际!$C:$C,"&gt;="&amp;DATE(YEAR(主页!$D$2),1,1),当年实际!$C:$C,"&lt;="&amp;EOMONTH(DATE(YEAR(主页!$D$2),MONTH(主页!$D$2),1),0)),"")</f>
        <v/>
      </c>
    </row>
    <row r="336" spans="1:10" x14ac:dyDescent="0.3">
      <c r="A336" s="150"/>
      <c r="B336" s="150"/>
      <c r="C336" s="150"/>
      <c r="D336" s="150"/>
      <c r="E336" s="140" t="str">
        <f t="shared" si="16"/>
        <v/>
      </c>
      <c r="F336" s="159"/>
      <c r="G336" s="145">
        <f t="shared" si="18"/>
        <v>0</v>
      </c>
      <c r="H336" s="140" t="str">
        <f t="shared" si="17"/>
        <v/>
      </c>
      <c r="I336"/>
      <c r="J336" s="147" t="str">
        <f>IFERROR(SUMIFS(当年实际!$V:$V,当年实际!$F:$F,$C336,当年实际!$C:$C,"&gt;="&amp;DATE(YEAR(主页!$D$2),1,1),当年实际!$C:$C,"&lt;="&amp;EOMONTH(DATE(YEAR(主页!$D$2),MONTH(主页!$D$2),1),0))/SUMIFS(当年实际!$P:$P,当年实际!$F:$F,$C336,当年实际!$C:$C,"&gt;="&amp;DATE(YEAR(主页!$D$2),1,1),当年实际!$C:$C,"&lt;="&amp;EOMONTH(DATE(YEAR(主页!$D$2),MONTH(主页!$D$2),1),0)),"")</f>
        <v/>
      </c>
    </row>
    <row r="337" spans="1:10" x14ac:dyDescent="0.3">
      <c r="A337" s="150"/>
      <c r="B337" s="150"/>
      <c r="C337" s="150"/>
      <c r="D337" s="150"/>
      <c r="E337" s="140" t="str">
        <f t="shared" si="16"/>
        <v/>
      </c>
      <c r="F337" s="159"/>
      <c r="G337" s="145">
        <f t="shared" si="18"/>
        <v>0</v>
      </c>
      <c r="H337" s="140" t="str">
        <f t="shared" si="17"/>
        <v/>
      </c>
      <c r="I337"/>
      <c r="J337" s="147" t="str">
        <f>IFERROR(SUMIFS(当年实际!$V:$V,当年实际!$F:$F,$C337,当年实际!$C:$C,"&gt;="&amp;DATE(YEAR(主页!$D$2),1,1),当年实际!$C:$C,"&lt;="&amp;EOMONTH(DATE(YEAR(主页!$D$2),MONTH(主页!$D$2),1),0))/SUMIFS(当年实际!$P:$P,当年实际!$F:$F,$C337,当年实际!$C:$C,"&gt;="&amp;DATE(YEAR(主页!$D$2),1,1),当年实际!$C:$C,"&lt;="&amp;EOMONTH(DATE(YEAR(主页!$D$2),MONTH(主页!$D$2),1),0)),"")</f>
        <v/>
      </c>
    </row>
    <row r="338" spans="1:10" x14ac:dyDescent="0.3">
      <c r="A338" s="150"/>
      <c r="B338" s="150"/>
      <c r="C338" s="150"/>
      <c r="D338" s="150"/>
      <c r="E338" s="140" t="str">
        <f t="shared" si="16"/>
        <v/>
      </c>
      <c r="F338" s="159"/>
      <c r="G338" s="145">
        <f t="shared" si="18"/>
        <v>0</v>
      </c>
      <c r="H338" s="140" t="str">
        <f t="shared" si="17"/>
        <v/>
      </c>
      <c r="I338"/>
      <c r="J338" s="147" t="str">
        <f>IFERROR(SUMIFS(当年实际!$V:$V,当年实际!$F:$F,$C338,当年实际!$C:$C,"&gt;="&amp;DATE(YEAR(主页!$D$2),1,1),当年实际!$C:$C,"&lt;="&amp;EOMONTH(DATE(YEAR(主页!$D$2),MONTH(主页!$D$2),1),0))/SUMIFS(当年实际!$P:$P,当年实际!$F:$F,$C338,当年实际!$C:$C,"&gt;="&amp;DATE(YEAR(主页!$D$2),1,1),当年实际!$C:$C,"&lt;="&amp;EOMONTH(DATE(YEAR(主页!$D$2),MONTH(主页!$D$2),1),0)),"")</f>
        <v/>
      </c>
    </row>
    <row r="339" spans="1:10" x14ac:dyDescent="0.3">
      <c r="A339" s="150"/>
      <c r="B339" s="150"/>
      <c r="C339" s="150"/>
      <c r="D339" s="150"/>
      <c r="E339" s="140" t="str">
        <f t="shared" si="16"/>
        <v/>
      </c>
      <c r="F339" s="159"/>
      <c r="G339" s="145">
        <f t="shared" si="18"/>
        <v>0</v>
      </c>
      <c r="H339" s="140" t="str">
        <f t="shared" si="17"/>
        <v/>
      </c>
      <c r="I339"/>
      <c r="J339" s="147" t="str">
        <f>IFERROR(SUMIFS(当年实际!$V:$V,当年实际!$F:$F,$C339,当年实际!$C:$C,"&gt;="&amp;DATE(YEAR(主页!$D$2),1,1),当年实际!$C:$C,"&lt;="&amp;EOMONTH(DATE(YEAR(主页!$D$2),MONTH(主页!$D$2),1),0))/SUMIFS(当年实际!$P:$P,当年实际!$F:$F,$C339,当年实际!$C:$C,"&gt;="&amp;DATE(YEAR(主页!$D$2),1,1),当年实际!$C:$C,"&lt;="&amp;EOMONTH(DATE(YEAR(主页!$D$2),MONTH(主页!$D$2),1),0)),"")</f>
        <v/>
      </c>
    </row>
    <row r="340" spans="1:10" x14ac:dyDescent="0.3">
      <c r="A340" s="150"/>
      <c r="B340" s="150"/>
      <c r="C340" s="150"/>
      <c r="D340" s="150"/>
      <c r="E340" s="140" t="str">
        <f t="shared" si="16"/>
        <v/>
      </c>
      <c r="F340" s="159"/>
      <c r="G340" s="145">
        <f t="shared" si="18"/>
        <v>0</v>
      </c>
      <c r="H340" s="140" t="str">
        <f t="shared" si="17"/>
        <v/>
      </c>
      <c r="I340"/>
      <c r="J340" s="147" t="str">
        <f>IFERROR(SUMIFS(当年实际!$V:$V,当年实际!$F:$F,$C340,当年实际!$C:$C,"&gt;="&amp;DATE(YEAR(主页!$D$2),1,1),当年实际!$C:$C,"&lt;="&amp;EOMONTH(DATE(YEAR(主页!$D$2),MONTH(主页!$D$2),1),0))/SUMIFS(当年实际!$P:$P,当年实际!$F:$F,$C340,当年实际!$C:$C,"&gt;="&amp;DATE(YEAR(主页!$D$2),1,1),当年实际!$C:$C,"&lt;="&amp;EOMONTH(DATE(YEAR(主页!$D$2),MONTH(主页!$D$2),1),0)),"")</f>
        <v/>
      </c>
    </row>
    <row r="341" spans="1:10" x14ac:dyDescent="0.3">
      <c r="A341" s="150"/>
      <c r="B341" s="150"/>
      <c r="C341" s="150"/>
      <c r="D341" s="150"/>
      <c r="E341" s="140" t="str">
        <f t="shared" si="16"/>
        <v/>
      </c>
      <c r="F341" s="159"/>
      <c r="G341" s="145">
        <f t="shared" si="18"/>
        <v>0</v>
      </c>
      <c r="H341" s="140" t="str">
        <f t="shared" si="17"/>
        <v/>
      </c>
      <c r="I341"/>
      <c r="J341" s="147" t="str">
        <f>IFERROR(SUMIFS(当年实际!$V:$V,当年实际!$F:$F,$C341,当年实际!$C:$C,"&gt;="&amp;DATE(YEAR(主页!$D$2),1,1),当年实际!$C:$C,"&lt;="&amp;EOMONTH(DATE(YEAR(主页!$D$2),MONTH(主页!$D$2),1),0))/SUMIFS(当年实际!$P:$P,当年实际!$F:$F,$C341,当年实际!$C:$C,"&gt;="&amp;DATE(YEAR(主页!$D$2),1,1),当年实际!$C:$C,"&lt;="&amp;EOMONTH(DATE(YEAR(主页!$D$2),MONTH(主页!$D$2),1),0)),"")</f>
        <v/>
      </c>
    </row>
    <row r="342" spans="1:10" x14ac:dyDescent="0.3">
      <c r="A342" s="150"/>
      <c r="B342" s="150"/>
      <c r="C342" s="150"/>
      <c r="D342" s="150"/>
      <c r="E342" s="140" t="str">
        <f t="shared" si="16"/>
        <v/>
      </c>
      <c r="F342" s="159"/>
      <c r="G342" s="145">
        <f t="shared" si="18"/>
        <v>0</v>
      </c>
      <c r="H342" s="140" t="str">
        <f t="shared" si="17"/>
        <v/>
      </c>
      <c r="I342"/>
      <c r="J342" s="147" t="str">
        <f>IFERROR(SUMIFS(当年实际!$V:$V,当年实际!$F:$F,$C342,当年实际!$C:$C,"&gt;="&amp;DATE(YEAR(主页!$D$2),1,1),当年实际!$C:$C,"&lt;="&amp;EOMONTH(DATE(YEAR(主页!$D$2),MONTH(主页!$D$2),1),0))/SUMIFS(当年实际!$P:$P,当年实际!$F:$F,$C342,当年实际!$C:$C,"&gt;="&amp;DATE(YEAR(主页!$D$2),1,1),当年实际!$C:$C,"&lt;="&amp;EOMONTH(DATE(YEAR(主页!$D$2),MONTH(主页!$D$2),1),0)),"")</f>
        <v/>
      </c>
    </row>
    <row r="343" spans="1:10" x14ac:dyDescent="0.3">
      <c r="A343" s="150"/>
      <c r="B343" s="150"/>
      <c r="C343" s="150"/>
      <c r="D343" s="150"/>
      <c r="E343" s="140" t="str">
        <f t="shared" si="16"/>
        <v/>
      </c>
      <c r="F343" s="159"/>
      <c r="G343" s="145">
        <f t="shared" si="18"/>
        <v>0</v>
      </c>
      <c r="H343" s="140" t="str">
        <f t="shared" si="17"/>
        <v/>
      </c>
      <c r="I343"/>
      <c r="J343" s="147" t="str">
        <f>IFERROR(SUMIFS(当年实际!$V:$V,当年实际!$F:$F,$C343,当年实际!$C:$C,"&gt;="&amp;DATE(YEAR(主页!$D$2),1,1),当年实际!$C:$C,"&lt;="&amp;EOMONTH(DATE(YEAR(主页!$D$2),MONTH(主页!$D$2),1),0))/SUMIFS(当年实际!$P:$P,当年实际!$F:$F,$C343,当年实际!$C:$C,"&gt;="&amp;DATE(YEAR(主页!$D$2),1,1),当年实际!$C:$C,"&lt;="&amp;EOMONTH(DATE(YEAR(主页!$D$2),MONTH(主页!$D$2),1),0)),"")</f>
        <v/>
      </c>
    </row>
    <row r="344" spans="1:10" x14ac:dyDescent="0.3">
      <c r="A344" s="150"/>
      <c r="B344" s="150"/>
      <c r="C344" s="150"/>
      <c r="D344" s="150"/>
      <c r="E344" s="140" t="str">
        <f t="shared" si="16"/>
        <v/>
      </c>
      <c r="F344" s="159"/>
      <c r="G344" s="145">
        <f t="shared" si="18"/>
        <v>0</v>
      </c>
      <c r="H344" s="140" t="str">
        <f t="shared" si="17"/>
        <v/>
      </c>
      <c r="I344"/>
      <c r="J344" s="147" t="str">
        <f>IFERROR(SUMIFS(当年实际!$V:$V,当年实际!$F:$F,$C344,当年实际!$C:$C,"&gt;="&amp;DATE(YEAR(主页!$D$2),1,1),当年实际!$C:$C,"&lt;="&amp;EOMONTH(DATE(YEAR(主页!$D$2),MONTH(主页!$D$2),1),0))/SUMIFS(当年实际!$P:$P,当年实际!$F:$F,$C344,当年实际!$C:$C,"&gt;="&amp;DATE(YEAR(主页!$D$2),1,1),当年实际!$C:$C,"&lt;="&amp;EOMONTH(DATE(YEAR(主页!$D$2),MONTH(主页!$D$2),1),0)),"")</f>
        <v/>
      </c>
    </row>
    <row r="345" spans="1:10" x14ac:dyDescent="0.3">
      <c r="A345" s="150"/>
      <c r="B345" s="150"/>
      <c r="C345" s="150"/>
      <c r="D345" s="150"/>
      <c r="E345" s="140" t="str">
        <f t="shared" si="16"/>
        <v/>
      </c>
      <c r="F345" s="159"/>
      <c r="G345" s="145">
        <f t="shared" si="18"/>
        <v>0</v>
      </c>
      <c r="H345" s="140" t="str">
        <f t="shared" si="17"/>
        <v/>
      </c>
      <c r="I345"/>
      <c r="J345" s="147" t="str">
        <f>IFERROR(SUMIFS(当年实际!$V:$V,当年实际!$F:$F,$C345,当年实际!$C:$C,"&gt;="&amp;DATE(YEAR(主页!$D$2),1,1),当年实际!$C:$C,"&lt;="&amp;EOMONTH(DATE(YEAR(主页!$D$2),MONTH(主页!$D$2),1),0))/SUMIFS(当年实际!$P:$P,当年实际!$F:$F,$C345,当年实际!$C:$C,"&gt;="&amp;DATE(YEAR(主页!$D$2),1,1),当年实际!$C:$C,"&lt;="&amp;EOMONTH(DATE(YEAR(主页!$D$2),MONTH(主页!$D$2),1),0)),"")</f>
        <v/>
      </c>
    </row>
    <row r="346" spans="1:10" x14ac:dyDescent="0.3">
      <c r="A346" s="150"/>
      <c r="B346" s="150"/>
      <c r="C346" s="150"/>
      <c r="D346" s="150"/>
      <c r="E346" s="140" t="str">
        <f t="shared" si="16"/>
        <v/>
      </c>
      <c r="F346" s="159"/>
      <c r="G346" s="145">
        <f t="shared" si="18"/>
        <v>0</v>
      </c>
      <c r="H346" s="140" t="str">
        <f t="shared" si="17"/>
        <v/>
      </c>
      <c r="I346"/>
      <c r="J346" s="147" t="str">
        <f>IFERROR(SUMIFS(当年实际!$V:$V,当年实际!$F:$F,$C346,当年实际!$C:$C,"&gt;="&amp;DATE(YEAR(主页!$D$2),1,1),当年实际!$C:$C,"&lt;="&amp;EOMONTH(DATE(YEAR(主页!$D$2),MONTH(主页!$D$2),1),0))/SUMIFS(当年实际!$P:$P,当年实际!$F:$F,$C346,当年实际!$C:$C,"&gt;="&amp;DATE(YEAR(主页!$D$2),1,1),当年实际!$C:$C,"&lt;="&amp;EOMONTH(DATE(YEAR(主页!$D$2),MONTH(主页!$D$2),1),0)),"")</f>
        <v/>
      </c>
    </row>
    <row r="347" spans="1:10" x14ac:dyDescent="0.3">
      <c r="A347" s="150"/>
      <c r="B347" s="150"/>
      <c r="C347" s="150"/>
      <c r="D347" s="150"/>
      <c r="E347" s="140" t="str">
        <f t="shared" si="16"/>
        <v/>
      </c>
      <c r="F347" s="159"/>
      <c r="G347" s="145">
        <f t="shared" si="18"/>
        <v>0</v>
      </c>
      <c r="H347" s="140" t="str">
        <f t="shared" si="17"/>
        <v/>
      </c>
      <c r="I347"/>
      <c r="J347" s="147" t="str">
        <f>IFERROR(SUMIFS(当年实际!$V:$V,当年实际!$F:$F,$C347,当年实际!$C:$C,"&gt;="&amp;DATE(YEAR(主页!$D$2),1,1),当年实际!$C:$C,"&lt;="&amp;EOMONTH(DATE(YEAR(主页!$D$2),MONTH(主页!$D$2),1),0))/SUMIFS(当年实际!$P:$P,当年实际!$F:$F,$C347,当年实际!$C:$C,"&gt;="&amp;DATE(YEAR(主页!$D$2),1,1),当年实际!$C:$C,"&lt;="&amp;EOMONTH(DATE(YEAR(主页!$D$2),MONTH(主页!$D$2),1),0)),"")</f>
        <v/>
      </c>
    </row>
    <row r="348" spans="1:10" x14ac:dyDescent="0.3">
      <c r="A348" s="150"/>
      <c r="B348" s="150"/>
      <c r="C348" s="150"/>
      <c r="D348" s="150"/>
      <c r="E348" s="140" t="str">
        <f t="shared" si="16"/>
        <v/>
      </c>
      <c r="F348" s="159"/>
      <c r="G348" s="145">
        <f t="shared" si="18"/>
        <v>0</v>
      </c>
      <c r="H348" s="140" t="str">
        <f t="shared" si="17"/>
        <v/>
      </c>
      <c r="I348"/>
      <c r="J348" s="147" t="str">
        <f>IFERROR(SUMIFS(当年实际!$V:$V,当年实际!$F:$F,$C348,当年实际!$C:$C,"&gt;="&amp;DATE(YEAR(主页!$D$2),1,1),当年实际!$C:$C,"&lt;="&amp;EOMONTH(DATE(YEAR(主页!$D$2),MONTH(主页!$D$2),1),0))/SUMIFS(当年实际!$P:$P,当年实际!$F:$F,$C348,当年实际!$C:$C,"&gt;="&amp;DATE(YEAR(主页!$D$2),1,1),当年实际!$C:$C,"&lt;="&amp;EOMONTH(DATE(YEAR(主页!$D$2),MONTH(主页!$D$2),1),0)),"")</f>
        <v/>
      </c>
    </row>
    <row r="349" spans="1:10" x14ac:dyDescent="0.3">
      <c r="A349" s="150"/>
      <c r="B349" s="150"/>
      <c r="C349" s="150"/>
      <c r="D349" s="150"/>
      <c r="E349" s="140" t="str">
        <f t="shared" si="16"/>
        <v/>
      </c>
      <c r="F349" s="159"/>
      <c r="G349" s="145">
        <f t="shared" si="18"/>
        <v>0</v>
      </c>
      <c r="H349" s="140" t="str">
        <f t="shared" si="17"/>
        <v/>
      </c>
      <c r="I349"/>
      <c r="J349" s="147" t="str">
        <f>IFERROR(SUMIFS(当年实际!$V:$V,当年实际!$F:$F,$C349,当年实际!$C:$C,"&gt;="&amp;DATE(YEAR(主页!$D$2),1,1),当年实际!$C:$C,"&lt;="&amp;EOMONTH(DATE(YEAR(主页!$D$2),MONTH(主页!$D$2),1),0))/SUMIFS(当年实际!$P:$P,当年实际!$F:$F,$C349,当年实际!$C:$C,"&gt;="&amp;DATE(YEAR(主页!$D$2),1,1),当年实际!$C:$C,"&lt;="&amp;EOMONTH(DATE(YEAR(主页!$D$2),MONTH(主页!$D$2),1),0)),"")</f>
        <v/>
      </c>
    </row>
    <row r="350" spans="1:10" x14ac:dyDescent="0.3">
      <c r="A350" s="150"/>
      <c r="B350" s="150"/>
      <c r="C350" s="150"/>
      <c r="D350" s="150"/>
      <c r="E350" s="140" t="str">
        <f t="shared" si="16"/>
        <v/>
      </c>
      <c r="F350" s="159"/>
      <c r="G350" s="145">
        <f t="shared" si="18"/>
        <v>0</v>
      </c>
      <c r="H350" s="140" t="str">
        <f t="shared" si="17"/>
        <v/>
      </c>
      <c r="I350"/>
      <c r="J350" s="147" t="str">
        <f>IFERROR(SUMIFS(当年实际!$V:$V,当年实际!$F:$F,$C350,当年实际!$C:$C,"&gt;="&amp;DATE(YEAR(主页!$D$2),1,1),当年实际!$C:$C,"&lt;="&amp;EOMONTH(DATE(YEAR(主页!$D$2),MONTH(主页!$D$2),1),0))/SUMIFS(当年实际!$P:$P,当年实际!$F:$F,$C350,当年实际!$C:$C,"&gt;="&amp;DATE(YEAR(主页!$D$2),1,1),当年实际!$C:$C,"&lt;="&amp;EOMONTH(DATE(YEAR(主页!$D$2),MONTH(主页!$D$2),1),0)),"")</f>
        <v/>
      </c>
    </row>
    <row r="351" spans="1:10" x14ac:dyDescent="0.3">
      <c r="A351" s="150"/>
      <c r="B351" s="150"/>
      <c r="C351" s="150"/>
      <c r="D351" s="150"/>
      <c r="E351" s="140" t="str">
        <f t="shared" si="16"/>
        <v/>
      </c>
      <c r="F351" s="159"/>
      <c r="G351" s="145">
        <f t="shared" si="18"/>
        <v>0</v>
      </c>
      <c r="H351" s="140" t="str">
        <f t="shared" si="17"/>
        <v/>
      </c>
      <c r="I351"/>
      <c r="J351" s="147" t="str">
        <f>IFERROR(SUMIFS(当年实际!$V:$V,当年实际!$F:$F,$C351,当年实际!$C:$C,"&gt;="&amp;DATE(YEAR(主页!$D$2),1,1),当年实际!$C:$C,"&lt;="&amp;EOMONTH(DATE(YEAR(主页!$D$2),MONTH(主页!$D$2),1),0))/SUMIFS(当年实际!$P:$P,当年实际!$F:$F,$C351,当年实际!$C:$C,"&gt;="&amp;DATE(YEAR(主页!$D$2),1,1),当年实际!$C:$C,"&lt;="&amp;EOMONTH(DATE(YEAR(主页!$D$2),MONTH(主页!$D$2),1),0)),"")</f>
        <v/>
      </c>
    </row>
    <row r="352" spans="1:10" x14ac:dyDescent="0.3">
      <c r="A352" s="150"/>
      <c r="B352" s="150"/>
      <c r="C352" s="150"/>
      <c r="D352" s="150"/>
      <c r="E352" s="140" t="str">
        <f t="shared" si="16"/>
        <v/>
      </c>
      <c r="F352" s="159"/>
      <c r="G352" s="145">
        <f t="shared" si="18"/>
        <v>0</v>
      </c>
      <c r="H352" s="140" t="str">
        <f t="shared" si="17"/>
        <v/>
      </c>
      <c r="I352"/>
      <c r="J352" s="147" t="str">
        <f>IFERROR(SUMIFS(当年实际!$V:$V,当年实际!$F:$F,$C352,当年实际!$C:$C,"&gt;="&amp;DATE(YEAR(主页!$D$2),1,1),当年实际!$C:$C,"&lt;="&amp;EOMONTH(DATE(YEAR(主页!$D$2),MONTH(主页!$D$2),1),0))/SUMIFS(当年实际!$P:$P,当年实际!$F:$F,$C352,当年实际!$C:$C,"&gt;="&amp;DATE(YEAR(主页!$D$2),1,1),当年实际!$C:$C,"&lt;="&amp;EOMONTH(DATE(YEAR(主页!$D$2),MONTH(主页!$D$2),1),0)),"")</f>
        <v/>
      </c>
    </row>
    <row r="353" spans="1:10" x14ac:dyDescent="0.3">
      <c r="A353" s="150"/>
      <c r="B353" s="150"/>
      <c r="C353" s="150"/>
      <c r="D353" s="150"/>
      <c r="E353" s="140" t="str">
        <f t="shared" si="16"/>
        <v/>
      </c>
      <c r="F353" s="159"/>
      <c r="G353" s="145">
        <f t="shared" si="18"/>
        <v>0</v>
      </c>
      <c r="H353" s="140" t="str">
        <f t="shared" si="17"/>
        <v/>
      </c>
      <c r="I353"/>
      <c r="J353" s="147" t="str">
        <f>IFERROR(SUMIFS(当年实际!$V:$V,当年实际!$F:$F,$C353,当年实际!$C:$C,"&gt;="&amp;DATE(YEAR(主页!$D$2),1,1),当年实际!$C:$C,"&lt;="&amp;EOMONTH(DATE(YEAR(主页!$D$2),MONTH(主页!$D$2),1),0))/SUMIFS(当年实际!$P:$P,当年实际!$F:$F,$C353,当年实际!$C:$C,"&gt;="&amp;DATE(YEAR(主页!$D$2),1,1),当年实际!$C:$C,"&lt;="&amp;EOMONTH(DATE(YEAR(主页!$D$2),MONTH(主页!$D$2),1),0)),"")</f>
        <v/>
      </c>
    </row>
    <row r="354" spans="1:10" x14ac:dyDescent="0.3">
      <c r="A354" s="150"/>
      <c r="B354" s="150"/>
      <c r="C354" s="150"/>
      <c r="D354" s="150"/>
      <c r="E354" s="140" t="str">
        <f t="shared" si="16"/>
        <v/>
      </c>
      <c r="F354" s="159"/>
      <c r="G354" s="145">
        <f t="shared" si="18"/>
        <v>0</v>
      </c>
      <c r="H354" s="140" t="str">
        <f t="shared" si="17"/>
        <v/>
      </c>
      <c r="I354"/>
      <c r="J354" s="147" t="str">
        <f>IFERROR(SUMIFS(当年实际!$V:$V,当年实际!$F:$F,$C354,当年实际!$C:$C,"&gt;="&amp;DATE(YEAR(主页!$D$2),1,1),当年实际!$C:$C,"&lt;="&amp;EOMONTH(DATE(YEAR(主页!$D$2),MONTH(主页!$D$2),1),0))/SUMIFS(当年实际!$P:$P,当年实际!$F:$F,$C354,当年实际!$C:$C,"&gt;="&amp;DATE(YEAR(主页!$D$2),1,1),当年实际!$C:$C,"&lt;="&amp;EOMONTH(DATE(YEAR(主页!$D$2),MONTH(主页!$D$2),1),0)),"")</f>
        <v/>
      </c>
    </row>
    <row r="355" spans="1:10" x14ac:dyDescent="0.3">
      <c r="A355" s="150"/>
      <c r="B355" s="150"/>
      <c r="C355" s="150"/>
      <c r="D355" s="150"/>
      <c r="E355" s="140" t="str">
        <f t="shared" si="16"/>
        <v/>
      </c>
      <c r="F355" s="159"/>
      <c r="G355" s="145">
        <f t="shared" si="18"/>
        <v>0</v>
      </c>
      <c r="H355" s="140" t="str">
        <f t="shared" si="17"/>
        <v/>
      </c>
      <c r="I355"/>
      <c r="J355" s="147" t="str">
        <f>IFERROR(SUMIFS(当年实际!$V:$V,当年实际!$F:$F,$C355,当年实际!$C:$C,"&gt;="&amp;DATE(YEAR(主页!$D$2),1,1),当年实际!$C:$C,"&lt;="&amp;EOMONTH(DATE(YEAR(主页!$D$2),MONTH(主页!$D$2),1),0))/SUMIFS(当年实际!$P:$P,当年实际!$F:$F,$C355,当年实际!$C:$C,"&gt;="&amp;DATE(YEAR(主页!$D$2),1,1),当年实际!$C:$C,"&lt;="&amp;EOMONTH(DATE(YEAR(主页!$D$2),MONTH(主页!$D$2),1),0)),"")</f>
        <v/>
      </c>
    </row>
    <row r="356" spans="1:10" x14ac:dyDescent="0.3">
      <c r="A356" s="150"/>
      <c r="B356" s="150"/>
      <c r="C356" s="150"/>
      <c r="D356" s="150"/>
      <c r="E356" s="140" t="str">
        <f t="shared" si="16"/>
        <v/>
      </c>
      <c r="F356" s="159"/>
      <c r="G356" s="145">
        <f t="shared" si="18"/>
        <v>0</v>
      </c>
      <c r="H356" s="140" t="str">
        <f t="shared" si="17"/>
        <v/>
      </c>
      <c r="I356"/>
      <c r="J356" s="147" t="str">
        <f>IFERROR(SUMIFS(当年实际!$V:$V,当年实际!$F:$F,$C356,当年实际!$C:$C,"&gt;="&amp;DATE(YEAR(主页!$D$2),1,1),当年实际!$C:$C,"&lt;="&amp;EOMONTH(DATE(YEAR(主页!$D$2),MONTH(主页!$D$2),1),0))/SUMIFS(当年实际!$P:$P,当年实际!$F:$F,$C356,当年实际!$C:$C,"&gt;="&amp;DATE(YEAR(主页!$D$2),1,1),当年实际!$C:$C,"&lt;="&amp;EOMONTH(DATE(YEAR(主页!$D$2),MONTH(主页!$D$2),1),0)),"")</f>
        <v/>
      </c>
    </row>
    <row r="357" spans="1:10" x14ac:dyDescent="0.3">
      <c r="A357" s="150"/>
      <c r="B357" s="150"/>
      <c r="C357" s="150"/>
      <c r="D357" s="150"/>
      <c r="E357" s="140" t="str">
        <f t="shared" si="16"/>
        <v/>
      </c>
      <c r="F357" s="159"/>
      <c r="G357" s="145">
        <f t="shared" si="18"/>
        <v>0</v>
      </c>
      <c r="H357" s="140" t="str">
        <f t="shared" si="17"/>
        <v/>
      </c>
      <c r="I357"/>
      <c r="J357" s="147" t="str">
        <f>IFERROR(SUMIFS(当年实际!$V:$V,当年实际!$F:$F,$C357,当年实际!$C:$C,"&gt;="&amp;DATE(YEAR(主页!$D$2),1,1),当年实际!$C:$C,"&lt;="&amp;EOMONTH(DATE(YEAR(主页!$D$2),MONTH(主页!$D$2),1),0))/SUMIFS(当年实际!$P:$P,当年实际!$F:$F,$C357,当年实际!$C:$C,"&gt;="&amp;DATE(YEAR(主页!$D$2),1,1),当年实际!$C:$C,"&lt;="&amp;EOMONTH(DATE(YEAR(主页!$D$2),MONTH(主页!$D$2),1),0)),"")</f>
        <v/>
      </c>
    </row>
    <row r="358" spans="1:10" x14ac:dyDescent="0.3">
      <c r="A358" s="150"/>
      <c r="B358" s="150"/>
      <c r="C358" s="150"/>
      <c r="D358" s="150"/>
      <c r="E358" s="140" t="str">
        <f t="shared" si="16"/>
        <v/>
      </c>
      <c r="F358" s="159"/>
      <c r="G358" s="145">
        <f t="shared" si="18"/>
        <v>0</v>
      </c>
      <c r="H358" s="140" t="str">
        <f t="shared" si="17"/>
        <v/>
      </c>
      <c r="I358"/>
      <c r="J358" s="147" t="str">
        <f>IFERROR(SUMIFS(当年实际!$V:$V,当年实际!$F:$F,$C358,当年实际!$C:$C,"&gt;="&amp;DATE(YEAR(主页!$D$2),1,1),当年实际!$C:$C,"&lt;="&amp;EOMONTH(DATE(YEAR(主页!$D$2),MONTH(主页!$D$2),1),0))/SUMIFS(当年实际!$P:$P,当年实际!$F:$F,$C358,当年实际!$C:$C,"&gt;="&amp;DATE(YEAR(主页!$D$2),1,1),当年实际!$C:$C,"&lt;="&amp;EOMONTH(DATE(YEAR(主页!$D$2),MONTH(主页!$D$2),1),0)),"")</f>
        <v/>
      </c>
    </row>
    <row r="359" spans="1:10" x14ac:dyDescent="0.3">
      <c r="A359" s="150"/>
      <c r="B359" s="150"/>
      <c r="C359" s="150"/>
      <c r="D359" s="150"/>
      <c r="E359" s="140" t="str">
        <f t="shared" si="16"/>
        <v/>
      </c>
      <c r="F359" s="159"/>
      <c r="G359" s="145">
        <f t="shared" si="18"/>
        <v>0</v>
      </c>
      <c r="H359" s="140" t="str">
        <f t="shared" si="17"/>
        <v/>
      </c>
      <c r="I359"/>
      <c r="J359" s="147" t="str">
        <f>IFERROR(SUMIFS(当年实际!$V:$V,当年实际!$F:$F,$C359,当年实际!$C:$C,"&gt;="&amp;DATE(YEAR(主页!$D$2),1,1),当年实际!$C:$C,"&lt;="&amp;EOMONTH(DATE(YEAR(主页!$D$2),MONTH(主页!$D$2),1),0))/SUMIFS(当年实际!$P:$P,当年实际!$F:$F,$C359,当年实际!$C:$C,"&gt;="&amp;DATE(YEAR(主页!$D$2),1,1),当年实际!$C:$C,"&lt;="&amp;EOMONTH(DATE(YEAR(主页!$D$2),MONTH(主页!$D$2),1),0)),"")</f>
        <v/>
      </c>
    </row>
    <row r="360" spans="1:10" x14ac:dyDescent="0.3">
      <c r="A360" s="150"/>
      <c r="B360" s="150"/>
      <c r="C360" s="150"/>
      <c r="D360" s="150"/>
      <c r="E360" s="140" t="str">
        <f t="shared" si="16"/>
        <v/>
      </c>
      <c r="F360" s="159"/>
      <c r="G360" s="145">
        <f t="shared" si="18"/>
        <v>0</v>
      </c>
      <c r="H360" s="140" t="str">
        <f t="shared" si="17"/>
        <v/>
      </c>
      <c r="I360"/>
      <c r="J360" s="147" t="str">
        <f>IFERROR(SUMIFS(当年实际!$V:$V,当年实际!$F:$F,$C360,当年实际!$C:$C,"&gt;="&amp;DATE(YEAR(主页!$D$2),1,1),当年实际!$C:$C,"&lt;="&amp;EOMONTH(DATE(YEAR(主页!$D$2),MONTH(主页!$D$2),1),0))/SUMIFS(当年实际!$P:$P,当年实际!$F:$F,$C360,当年实际!$C:$C,"&gt;="&amp;DATE(YEAR(主页!$D$2),1,1),当年实际!$C:$C,"&lt;="&amp;EOMONTH(DATE(YEAR(主页!$D$2),MONTH(主页!$D$2),1),0)),"")</f>
        <v/>
      </c>
    </row>
    <row r="361" spans="1:10" x14ac:dyDescent="0.3">
      <c r="A361" s="150"/>
      <c r="B361" s="150"/>
      <c r="C361" s="150"/>
      <c r="D361" s="150"/>
      <c r="E361" s="140" t="str">
        <f t="shared" si="16"/>
        <v/>
      </c>
      <c r="F361" s="159"/>
      <c r="G361" s="145">
        <f t="shared" si="18"/>
        <v>0</v>
      </c>
      <c r="H361" s="140" t="str">
        <f t="shared" si="17"/>
        <v/>
      </c>
      <c r="I361"/>
      <c r="J361" s="147" t="str">
        <f>IFERROR(SUMIFS(当年实际!$V:$V,当年实际!$F:$F,$C361,当年实际!$C:$C,"&gt;="&amp;DATE(YEAR(主页!$D$2),1,1),当年实际!$C:$C,"&lt;="&amp;EOMONTH(DATE(YEAR(主页!$D$2),MONTH(主页!$D$2),1),0))/SUMIFS(当年实际!$P:$P,当年实际!$F:$F,$C361,当年实际!$C:$C,"&gt;="&amp;DATE(YEAR(主页!$D$2),1,1),当年实际!$C:$C,"&lt;="&amp;EOMONTH(DATE(YEAR(主页!$D$2),MONTH(主页!$D$2),1),0)),"")</f>
        <v/>
      </c>
    </row>
    <row r="362" spans="1:10" x14ac:dyDescent="0.3">
      <c r="A362" s="150"/>
      <c r="B362" s="150"/>
      <c r="C362" s="150"/>
      <c r="D362" s="150"/>
      <c r="E362" s="140" t="str">
        <f t="shared" si="16"/>
        <v/>
      </c>
      <c r="F362" s="159"/>
      <c r="G362" s="145">
        <f t="shared" si="18"/>
        <v>0</v>
      </c>
      <c r="H362" s="140" t="str">
        <f t="shared" si="17"/>
        <v/>
      </c>
      <c r="I362"/>
      <c r="J362" s="147" t="str">
        <f>IFERROR(SUMIFS(当年实际!$V:$V,当年实际!$F:$F,$C362,当年实际!$C:$C,"&gt;="&amp;DATE(YEAR(主页!$D$2),1,1),当年实际!$C:$C,"&lt;="&amp;EOMONTH(DATE(YEAR(主页!$D$2),MONTH(主页!$D$2),1),0))/SUMIFS(当年实际!$P:$P,当年实际!$F:$F,$C362,当年实际!$C:$C,"&gt;="&amp;DATE(YEAR(主页!$D$2),1,1),当年实际!$C:$C,"&lt;="&amp;EOMONTH(DATE(YEAR(主页!$D$2),MONTH(主页!$D$2),1),0)),"")</f>
        <v/>
      </c>
    </row>
    <row r="363" spans="1:10" x14ac:dyDescent="0.3">
      <c r="A363" s="150"/>
      <c r="B363" s="150"/>
      <c r="C363" s="150"/>
      <c r="D363" s="150"/>
      <c r="E363" s="140" t="str">
        <f t="shared" si="16"/>
        <v/>
      </c>
      <c r="F363" s="159"/>
      <c r="G363" s="145">
        <f t="shared" si="18"/>
        <v>0</v>
      </c>
      <c r="H363" s="140" t="str">
        <f t="shared" si="17"/>
        <v/>
      </c>
      <c r="I363"/>
      <c r="J363" s="147" t="str">
        <f>IFERROR(SUMIFS(当年实际!$V:$V,当年实际!$F:$F,$C363,当年实际!$C:$C,"&gt;="&amp;DATE(YEAR(主页!$D$2),1,1),当年实际!$C:$C,"&lt;="&amp;EOMONTH(DATE(YEAR(主页!$D$2),MONTH(主页!$D$2),1),0))/SUMIFS(当年实际!$P:$P,当年实际!$F:$F,$C363,当年实际!$C:$C,"&gt;="&amp;DATE(YEAR(主页!$D$2),1,1),当年实际!$C:$C,"&lt;="&amp;EOMONTH(DATE(YEAR(主页!$D$2),MONTH(主页!$D$2),1),0)),"")</f>
        <v/>
      </c>
    </row>
    <row r="364" spans="1:10" x14ac:dyDescent="0.3">
      <c r="A364" s="150"/>
      <c r="B364" s="150"/>
      <c r="C364" s="150"/>
      <c r="D364" s="150"/>
      <c r="E364" s="140" t="str">
        <f t="shared" si="16"/>
        <v/>
      </c>
      <c r="F364" s="159"/>
      <c r="G364" s="145">
        <f t="shared" si="18"/>
        <v>0</v>
      </c>
      <c r="H364" s="140" t="str">
        <f t="shared" si="17"/>
        <v/>
      </c>
      <c r="I364"/>
      <c r="J364" s="147" t="str">
        <f>IFERROR(SUMIFS(当年实际!$V:$V,当年实际!$F:$F,$C364,当年实际!$C:$C,"&gt;="&amp;DATE(YEAR(主页!$D$2),1,1),当年实际!$C:$C,"&lt;="&amp;EOMONTH(DATE(YEAR(主页!$D$2),MONTH(主页!$D$2),1),0))/SUMIFS(当年实际!$P:$P,当年实际!$F:$F,$C364,当年实际!$C:$C,"&gt;="&amp;DATE(YEAR(主页!$D$2),1,1),当年实际!$C:$C,"&lt;="&amp;EOMONTH(DATE(YEAR(主页!$D$2),MONTH(主页!$D$2),1),0)),"")</f>
        <v/>
      </c>
    </row>
    <row r="365" spans="1:10" x14ac:dyDescent="0.3">
      <c r="A365" s="150"/>
      <c r="B365" s="150"/>
      <c r="C365" s="150"/>
      <c r="D365" s="150"/>
      <c r="E365" s="140" t="str">
        <f t="shared" si="16"/>
        <v/>
      </c>
      <c r="F365" s="159"/>
      <c r="G365" s="145">
        <f t="shared" si="18"/>
        <v>0</v>
      </c>
      <c r="H365" s="140" t="str">
        <f t="shared" si="17"/>
        <v/>
      </c>
      <c r="I365"/>
      <c r="J365" s="147" t="str">
        <f>IFERROR(SUMIFS(当年实际!$V:$V,当年实际!$F:$F,$C365,当年实际!$C:$C,"&gt;="&amp;DATE(YEAR(主页!$D$2),1,1),当年实际!$C:$C,"&lt;="&amp;EOMONTH(DATE(YEAR(主页!$D$2),MONTH(主页!$D$2),1),0))/SUMIFS(当年实际!$P:$P,当年实际!$F:$F,$C365,当年实际!$C:$C,"&gt;="&amp;DATE(YEAR(主页!$D$2),1,1),当年实际!$C:$C,"&lt;="&amp;EOMONTH(DATE(YEAR(主页!$D$2),MONTH(主页!$D$2),1),0)),"")</f>
        <v/>
      </c>
    </row>
    <row r="366" spans="1:10" x14ac:dyDescent="0.3">
      <c r="A366" s="150"/>
      <c r="B366" s="150"/>
      <c r="C366" s="150"/>
      <c r="D366" s="150"/>
      <c r="E366" s="140" t="str">
        <f t="shared" si="16"/>
        <v/>
      </c>
      <c r="F366" s="159"/>
      <c r="G366" s="145">
        <f t="shared" si="18"/>
        <v>0</v>
      </c>
      <c r="H366" s="140" t="str">
        <f t="shared" si="17"/>
        <v/>
      </c>
      <c r="I366"/>
      <c r="J366" s="147" t="str">
        <f>IFERROR(SUMIFS(当年实际!$V:$V,当年实际!$F:$F,$C366,当年实际!$C:$C,"&gt;="&amp;DATE(YEAR(主页!$D$2),1,1),当年实际!$C:$C,"&lt;="&amp;EOMONTH(DATE(YEAR(主页!$D$2),MONTH(主页!$D$2),1),0))/SUMIFS(当年实际!$P:$P,当年实际!$F:$F,$C366,当年实际!$C:$C,"&gt;="&amp;DATE(YEAR(主页!$D$2),1,1),当年实际!$C:$C,"&lt;="&amp;EOMONTH(DATE(YEAR(主页!$D$2),MONTH(主页!$D$2),1),0)),"")</f>
        <v/>
      </c>
    </row>
    <row r="367" spans="1:10" x14ac:dyDescent="0.3">
      <c r="A367" s="150"/>
      <c r="B367" s="150"/>
      <c r="C367" s="150"/>
      <c r="D367" s="150"/>
      <c r="E367" s="140" t="str">
        <f t="shared" si="16"/>
        <v/>
      </c>
      <c r="F367" s="159"/>
      <c r="G367" s="145">
        <f t="shared" si="18"/>
        <v>0</v>
      </c>
      <c r="H367" s="140" t="str">
        <f t="shared" si="17"/>
        <v/>
      </c>
      <c r="I367"/>
      <c r="J367" s="147" t="str">
        <f>IFERROR(SUMIFS(当年实际!$V:$V,当年实际!$F:$F,$C367,当年实际!$C:$C,"&gt;="&amp;DATE(YEAR(主页!$D$2),1,1),当年实际!$C:$C,"&lt;="&amp;EOMONTH(DATE(YEAR(主页!$D$2),MONTH(主页!$D$2),1),0))/SUMIFS(当年实际!$P:$P,当年实际!$F:$F,$C367,当年实际!$C:$C,"&gt;="&amp;DATE(YEAR(主页!$D$2),1,1),当年实际!$C:$C,"&lt;="&amp;EOMONTH(DATE(YEAR(主页!$D$2),MONTH(主页!$D$2),1),0)),"")</f>
        <v/>
      </c>
    </row>
    <row r="368" spans="1:10" x14ac:dyDescent="0.3">
      <c r="A368" s="150"/>
      <c r="B368" s="150"/>
      <c r="C368" s="150"/>
      <c r="D368" s="150"/>
      <c r="E368" s="140" t="str">
        <f t="shared" si="16"/>
        <v/>
      </c>
      <c r="F368" s="159"/>
      <c r="G368" s="145">
        <f t="shared" si="18"/>
        <v>0</v>
      </c>
      <c r="H368" s="140" t="str">
        <f t="shared" si="17"/>
        <v/>
      </c>
      <c r="I368"/>
      <c r="J368" s="147" t="str">
        <f>IFERROR(SUMIFS(当年实际!$V:$V,当年实际!$F:$F,$C368,当年实际!$C:$C,"&gt;="&amp;DATE(YEAR(主页!$D$2),1,1),当年实际!$C:$C,"&lt;="&amp;EOMONTH(DATE(YEAR(主页!$D$2),MONTH(主页!$D$2),1),0))/SUMIFS(当年实际!$P:$P,当年实际!$F:$F,$C368,当年实际!$C:$C,"&gt;="&amp;DATE(YEAR(主页!$D$2),1,1),当年实际!$C:$C,"&lt;="&amp;EOMONTH(DATE(YEAR(主页!$D$2),MONTH(主页!$D$2),1),0)),"")</f>
        <v/>
      </c>
    </row>
    <row r="369" spans="1:10" x14ac:dyDescent="0.3">
      <c r="A369" s="150"/>
      <c r="B369" s="150"/>
      <c r="C369" s="150"/>
      <c r="D369" s="150"/>
      <c r="E369" s="140" t="str">
        <f t="shared" si="16"/>
        <v/>
      </c>
      <c r="F369" s="159"/>
      <c r="G369" s="145">
        <f t="shared" si="18"/>
        <v>0</v>
      </c>
      <c r="H369" s="140" t="str">
        <f t="shared" si="17"/>
        <v/>
      </c>
      <c r="I369"/>
      <c r="J369" s="147" t="str">
        <f>IFERROR(SUMIFS(当年实际!$V:$V,当年实际!$F:$F,$C369,当年实际!$C:$C,"&gt;="&amp;DATE(YEAR(主页!$D$2),1,1),当年实际!$C:$C,"&lt;="&amp;EOMONTH(DATE(YEAR(主页!$D$2),MONTH(主页!$D$2),1),0))/SUMIFS(当年实际!$P:$P,当年实际!$F:$F,$C369,当年实际!$C:$C,"&gt;="&amp;DATE(YEAR(主页!$D$2),1,1),当年实际!$C:$C,"&lt;="&amp;EOMONTH(DATE(YEAR(主页!$D$2),MONTH(主页!$D$2),1),0)),"")</f>
        <v/>
      </c>
    </row>
    <row r="370" spans="1:10" x14ac:dyDescent="0.3">
      <c r="A370" s="150"/>
      <c r="B370" s="150"/>
      <c r="C370" s="150"/>
      <c r="D370" s="150"/>
      <c r="E370" s="140" t="str">
        <f t="shared" si="16"/>
        <v/>
      </c>
      <c r="F370" s="159"/>
      <c r="G370" s="145">
        <f t="shared" si="18"/>
        <v>0</v>
      </c>
      <c r="H370" s="140" t="str">
        <f t="shared" si="17"/>
        <v/>
      </c>
      <c r="I370"/>
      <c r="J370" s="147" t="str">
        <f>IFERROR(SUMIFS(当年实际!$V:$V,当年实际!$F:$F,$C370,当年实际!$C:$C,"&gt;="&amp;DATE(YEAR(主页!$D$2),1,1),当年实际!$C:$C,"&lt;="&amp;EOMONTH(DATE(YEAR(主页!$D$2),MONTH(主页!$D$2),1),0))/SUMIFS(当年实际!$P:$P,当年实际!$F:$F,$C370,当年实际!$C:$C,"&gt;="&amp;DATE(YEAR(主页!$D$2),1,1),当年实际!$C:$C,"&lt;="&amp;EOMONTH(DATE(YEAR(主页!$D$2),MONTH(主页!$D$2),1),0)),"")</f>
        <v/>
      </c>
    </row>
    <row r="371" spans="1:10" x14ac:dyDescent="0.3">
      <c r="A371" s="150"/>
      <c r="B371" s="150"/>
      <c r="C371" s="150"/>
      <c r="D371" s="150"/>
      <c r="E371" s="140" t="str">
        <f t="shared" si="16"/>
        <v/>
      </c>
      <c r="F371" s="159"/>
      <c r="G371" s="145">
        <f t="shared" si="18"/>
        <v>0</v>
      </c>
      <c r="H371" s="140" t="str">
        <f t="shared" si="17"/>
        <v/>
      </c>
      <c r="I371"/>
      <c r="J371" s="147" t="str">
        <f>IFERROR(SUMIFS(当年实际!$V:$V,当年实际!$F:$F,$C371,当年实际!$C:$C,"&gt;="&amp;DATE(YEAR(主页!$D$2),1,1),当年实际!$C:$C,"&lt;="&amp;EOMONTH(DATE(YEAR(主页!$D$2),MONTH(主页!$D$2),1),0))/SUMIFS(当年实际!$P:$P,当年实际!$F:$F,$C371,当年实际!$C:$C,"&gt;="&amp;DATE(YEAR(主页!$D$2),1,1),当年实际!$C:$C,"&lt;="&amp;EOMONTH(DATE(YEAR(主页!$D$2),MONTH(主页!$D$2),1),0)),"")</f>
        <v/>
      </c>
    </row>
    <row r="372" spans="1:10" x14ac:dyDescent="0.3">
      <c r="A372" s="150"/>
      <c r="B372" s="150"/>
      <c r="C372" s="150"/>
      <c r="D372" s="150"/>
      <c r="E372" s="140" t="str">
        <f t="shared" si="16"/>
        <v/>
      </c>
      <c r="F372" s="159"/>
      <c r="G372" s="145">
        <f t="shared" si="18"/>
        <v>0</v>
      </c>
      <c r="H372" s="140" t="str">
        <f t="shared" si="17"/>
        <v/>
      </c>
      <c r="I372"/>
      <c r="J372" s="147" t="str">
        <f>IFERROR(SUMIFS(当年实际!$V:$V,当年实际!$F:$F,$C372,当年实际!$C:$C,"&gt;="&amp;DATE(YEAR(主页!$D$2),1,1),当年实际!$C:$C,"&lt;="&amp;EOMONTH(DATE(YEAR(主页!$D$2),MONTH(主页!$D$2),1),0))/SUMIFS(当年实际!$P:$P,当年实际!$F:$F,$C372,当年实际!$C:$C,"&gt;="&amp;DATE(YEAR(主页!$D$2),1,1),当年实际!$C:$C,"&lt;="&amp;EOMONTH(DATE(YEAR(主页!$D$2),MONTH(主页!$D$2),1),0)),"")</f>
        <v/>
      </c>
    </row>
    <row r="373" spans="1:10" x14ac:dyDescent="0.3">
      <c r="A373" s="150"/>
      <c r="B373" s="150"/>
      <c r="C373" s="150"/>
      <c r="D373" s="150"/>
      <c r="E373" s="140" t="str">
        <f t="shared" si="16"/>
        <v/>
      </c>
      <c r="F373" s="159"/>
      <c r="G373" s="145">
        <f t="shared" si="18"/>
        <v>0</v>
      </c>
      <c r="H373" s="140" t="str">
        <f t="shared" si="17"/>
        <v/>
      </c>
      <c r="I373"/>
      <c r="J373" s="147" t="str">
        <f>IFERROR(SUMIFS(当年实际!$V:$V,当年实际!$F:$F,$C373,当年实际!$C:$C,"&gt;="&amp;DATE(YEAR(主页!$D$2),1,1),当年实际!$C:$C,"&lt;="&amp;EOMONTH(DATE(YEAR(主页!$D$2),MONTH(主页!$D$2),1),0))/SUMIFS(当年实际!$P:$P,当年实际!$F:$F,$C373,当年实际!$C:$C,"&gt;="&amp;DATE(YEAR(主页!$D$2),1,1),当年实际!$C:$C,"&lt;="&amp;EOMONTH(DATE(YEAR(主页!$D$2),MONTH(主页!$D$2),1),0)),"")</f>
        <v/>
      </c>
    </row>
    <row r="374" spans="1:10" x14ac:dyDescent="0.3">
      <c r="A374" s="150"/>
      <c r="B374" s="150"/>
      <c r="C374" s="150"/>
      <c r="D374" s="150"/>
      <c r="E374" s="140" t="str">
        <f t="shared" si="16"/>
        <v/>
      </c>
      <c r="F374" s="159"/>
      <c r="G374" s="145">
        <f t="shared" si="18"/>
        <v>0</v>
      </c>
      <c r="H374" s="140" t="str">
        <f t="shared" si="17"/>
        <v/>
      </c>
      <c r="I374"/>
      <c r="J374" s="147" t="str">
        <f>IFERROR(SUMIFS(当年实际!$V:$V,当年实际!$F:$F,$C374,当年实际!$C:$C,"&gt;="&amp;DATE(YEAR(主页!$D$2),1,1),当年实际!$C:$C,"&lt;="&amp;EOMONTH(DATE(YEAR(主页!$D$2),MONTH(主页!$D$2),1),0))/SUMIFS(当年实际!$P:$P,当年实际!$F:$F,$C374,当年实际!$C:$C,"&gt;="&amp;DATE(YEAR(主页!$D$2),1,1),当年实际!$C:$C,"&lt;="&amp;EOMONTH(DATE(YEAR(主页!$D$2),MONTH(主页!$D$2),1),0)),"")</f>
        <v/>
      </c>
    </row>
    <row r="375" spans="1:10" x14ac:dyDescent="0.3">
      <c r="A375" s="150"/>
      <c r="B375" s="150"/>
      <c r="C375" s="150"/>
      <c r="D375" s="150"/>
      <c r="E375" s="140" t="str">
        <f t="shared" si="16"/>
        <v/>
      </c>
      <c r="F375" s="159"/>
      <c r="G375" s="145">
        <f t="shared" si="18"/>
        <v>0</v>
      </c>
      <c r="H375" s="140" t="str">
        <f t="shared" si="17"/>
        <v/>
      </c>
      <c r="I375"/>
      <c r="J375" s="147" t="str">
        <f>IFERROR(SUMIFS(当年实际!$V:$V,当年实际!$F:$F,$C375,当年实际!$C:$C,"&gt;="&amp;DATE(YEAR(主页!$D$2),1,1),当年实际!$C:$C,"&lt;="&amp;EOMONTH(DATE(YEAR(主页!$D$2),MONTH(主页!$D$2),1),0))/SUMIFS(当年实际!$P:$P,当年实际!$F:$F,$C375,当年实际!$C:$C,"&gt;="&amp;DATE(YEAR(主页!$D$2),1,1),当年实际!$C:$C,"&lt;="&amp;EOMONTH(DATE(YEAR(主页!$D$2),MONTH(主页!$D$2),1),0)),"")</f>
        <v/>
      </c>
    </row>
    <row r="376" spans="1:10" x14ac:dyDescent="0.3">
      <c r="A376" s="150"/>
      <c r="B376" s="150"/>
      <c r="C376" s="150"/>
      <c r="D376" s="150"/>
      <c r="E376" s="140" t="str">
        <f t="shared" si="16"/>
        <v/>
      </c>
      <c r="F376" s="159"/>
      <c r="G376" s="145">
        <f t="shared" si="18"/>
        <v>0</v>
      </c>
      <c r="H376" s="140" t="str">
        <f t="shared" si="17"/>
        <v/>
      </c>
      <c r="I376"/>
      <c r="J376" s="147" t="str">
        <f>IFERROR(SUMIFS(当年实际!$V:$V,当年实际!$F:$F,$C376,当年实际!$C:$C,"&gt;="&amp;DATE(YEAR(主页!$D$2),1,1),当年实际!$C:$C,"&lt;="&amp;EOMONTH(DATE(YEAR(主页!$D$2),MONTH(主页!$D$2),1),0))/SUMIFS(当年实际!$P:$P,当年实际!$F:$F,$C376,当年实际!$C:$C,"&gt;="&amp;DATE(YEAR(主页!$D$2),1,1),当年实际!$C:$C,"&lt;="&amp;EOMONTH(DATE(YEAR(主页!$D$2),MONTH(主页!$D$2),1),0)),"")</f>
        <v/>
      </c>
    </row>
    <row r="377" spans="1:10" x14ac:dyDescent="0.3">
      <c r="A377" s="150"/>
      <c r="B377" s="150"/>
      <c r="C377" s="150"/>
      <c r="D377" s="150"/>
      <c r="E377" s="140" t="str">
        <f t="shared" si="16"/>
        <v/>
      </c>
      <c r="F377" s="159"/>
      <c r="G377" s="145">
        <f t="shared" si="18"/>
        <v>0</v>
      </c>
      <c r="H377" s="140" t="str">
        <f t="shared" si="17"/>
        <v/>
      </c>
      <c r="I377"/>
      <c r="J377" s="147" t="str">
        <f>IFERROR(SUMIFS(当年实际!$V:$V,当年实际!$F:$F,$C377,当年实际!$C:$C,"&gt;="&amp;DATE(YEAR(主页!$D$2),1,1),当年实际!$C:$C,"&lt;="&amp;EOMONTH(DATE(YEAR(主页!$D$2),MONTH(主页!$D$2),1),0))/SUMIFS(当年实际!$P:$P,当年实际!$F:$F,$C377,当年实际!$C:$C,"&gt;="&amp;DATE(YEAR(主页!$D$2),1,1),当年实际!$C:$C,"&lt;="&amp;EOMONTH(DATE(YEAR(主页!$D$2),MONTH(主页!$D$2),1),0)),"")</f>
        <v/>
      </c>
    </row>
    <row r="378" spans="1:10" x14ac:dyDescent="0.3">
      <c r="A378" s="150"/>
      <c r="B378" s="150"/>
      <c r="C378" s="150"/>
      <c r="D378" s="150"/>
      <c r="E378" s="140" t="str">
        <f t="shared" si="16"/>
        <v/>
      </c>
      <c r="F378" s="159"/>
      <c r="G378" s="145">
        <f t="shared" si="18"/>
        <v>0</v>
      </c>
      <c r="H378" s="140" t="str">
        <f t="shared" si="17"/>
        <v/>
      </c>
      <c r="I378"/>
      <c r="J378" s="147" t="str">
        <f>IFERROR(SUMIFS(当年实际!$V:$V,当年实际!$F:$F,$C378,当年实际!$C:$C,"&gt;="&amp;DATE(YEAR(主页!$D$2),1,1),当年实际!$C:$C,"&lt;="&amp;EOMONTH(DATE(YEAR(主页!$D$2),MONTH(主页!$D$2),1),0))/SUMIFS(当年实际!$P:$P,当年实际!$F:$F,$C378,当年实际!$C:$C,"&gt;="&amp;DATE(YEAR(主页!$D$2),1,1),当年实际!$C:$C,"&lt;="&amp;EOMONTH(DATE(YEAR(主页!$D$2),MONTH(主页!$D$2),1),0)),"")</f>
        <v/>
      </c>
    </row>
    <row r="379" spans="1:10" x14ac:dyDescent="0.3">
      <c r="A379" s="150"/>
      <c r="B379" s="150"/>
      <c r="C379" s="150"/>
      <c r="D379" s="150"/>
      <c r="E379" s="140" t="str">
        <f t="shared" si="16"/>
        <v/>
      </c>
      <c r="F379" s="159"/>
      <c r="G379" s="145">
        <f t="shared" si="18"/>
        <v>0</v>
      </c>
      <c r="H379" s="140" t="str">
        <f t="shared" si="17"/>
        <v/>
      </c>
      <c r="I379"/>
      <c r="J379" s="147" t="str">
        <f>IFERROR(SUMIFS(当年实际!$V:$V,当年实际!$F:$F,$C379,当年实际!$C:$C,"&gt;="&amp;DATE(YEAR(主页!$D$2),1,1),当年实际!$C:$C,"&lt;="&amp;EOMONTH(DATE(YEAR(主页!$D$2),MONTH(主页!$D$2),1),0))/SUMIFS(当年实际!$P:$P,当年实际!$F:$F,$C379,当年实际!$C:$C,"&gt;="&amp;DATE(YEAR(主页!$D$2),1,1),当年实际!$C:$C,"&lt;="&amp;EOMONTH(DATE(YEAR(主页!$D$2),MONTH(主页!$D$2),1),0)),"")</f>
        <v/>
      </c>
    </row>
    <row r="380" spans="1:10" x14ac:dyDescent="0.3">
      <c r="A380" s="150"/>
      <c r="B380" s="150"/>
      <c r="C380" s="150"/>
      <c r="D380" s="150"/>
      <c r="E380" s="140" t="str">
        <f t="shared" si="16"/>
        <v/>
      </c>
      <c r="F380" s="159"/>
      <c r="G380" s="145">
        <f t="shared" si="18"/>
        <v>0</v>
      </c>
      <c r="H380" s="140" t="str">
        <f t="shared" si="17"/>
        <v/>
      </c>
      <c r="I380"/>
      <c r="J380" s="147" t="str">
        <f>IFERROR(SUMIFS(当年实际!$V:$V,当年实际!$F:$F,$C380,当年实际!$C:$C,"&gt;="&amp;DATE(YEAR(主页!$D$2),1,1),当年实际!$C:$C,"&lt;="&amp;EOMONTH(DATE(YEAR(主页!$D$2),MONTH(主页!$D$2),1),0))/SUMIFS(当年实际!$P:$P,当年实际!$F:$F,$C380,当年实际!$C:$C,"&gt;="&amp;DATE(YEAR(主页!$D$2),1,1),当年实际!$C:$C,"&lt;="&amp;EOMONTH(DATE(YEAR(主页!$D$2),MONTH(主页!$D$2),1),0)),"")</f>
        <v/>
      </c>
    </row>
    <row r="381" spans="1:10" x14ac:dyDescent="0.3">
      <c r="A381" s="150"/>
      <c r="B381" s="150"/>
      <c r="C381" s="150"/>
      <c r="D381" s="150"/>
      <c r="E381" s="140" t="str">
        <f t="shared" si="16"/>
        <v/>
      </c>
      <c r="F381" s="159"/>
      <c r="G381" s="145">
        <f t="shared" si="18"/>
        <v>0</v>
      </c>
      <c r="H381" s="140" t="str">
        <f t="shared" si="17"/>
        <v/>
      </c>
      <c r="I381"/>
      <c r="J381" s="147" t="str">
        <f>IFERROR(SUMIFS(当年实际!$V:$V,当年实际!$F:$F,$C381,当年实际!$C:$C,"&gt;="&amp;DATE(YEAR(主页!$D$2),1,1),当年实际!$C:$C,"&lt;="&amp;EOMONTH(DATE(YEAR(主页!$D$2),MONTH(主页!$D$2),1),0))/SUMIFS(当年实际!$P:$P,当年实际!$F:$F,$C381,当年实际!$C:$C,"&gt;="&amp;DATE(YEAR(主页!$D$2),1,1),当年实际!$C:$C,"&lt;="&amp;EOMONTH(DATE(YEAR(主页!$D$2),MONTH(主页!$D$2),1),0)),"")</f>
        <v/>
      </c>
    </row>
    <row r="382" spans="1:10" x14ac:dyDescent="0.3">
      <c r="A382" s="150"/>
      <c r="B382" s="150"/>
      <c r="C382" s="150"/>
      <c r="D382" s="150"/>
      <c r="E382" s="140" t="str">
        <f t="shared" si="16"/>
        <v/>
      </c>
      <c r="F382" s="159"/>
      <c r="G382" s="145">
        <f t="shared" si="18"/>
        <v>0</v>
      </c>
      <c r="H382" s="140" t="str">
        <f t="shared" si="17"/>
        <v/>
      </c>
      <c r="I382"/>
      <c r="J382" s="147" t="str">
        <f>IFERROR(SUMIFS(当年实际!$V:$V,当年实际!$F:$F,$C382,当年实际!$C:$C,"&gt;="&amp;DATE(YEAR(主页!$D$2),1,1),当年实际!$C:$C,"&lt;="&amp;EOMONTH(DATE(YEAR(主页!$D$2),MONTH(主页!$D$2),1),0))/SUMIFS(当年实际!$P:$P,当年实际!$F:$F,$C382,当年实际!$C:$C,"&gt;="&amp;DATE(YEAR(主页!$D$2),1,1),当年实际!$C:$C,"&lt;="&amp;EOMONTH(DATE(YEAR(主页!$D$2),MONTH(主页!$D$2),1),0)),"")</f>
        <v/>
      </c>
    </row>
    <row r="383" spans="1:10" x14ac:dyDescent="0.3">
      <c r="A383" s="150"/>
      <c r="B383" s="150"/>
      <c r="C383" s="150"/>
      <c r="D383" s="150"/>
      <c r="E383" s="140" t="str">
        <f t="shared" si="16"/>
        <v/>
      </c>
      <c r="F383" s="159"/>
      <c r="G383" s="145">
        <f t="shared" si="18"/>
        <v>0</v>
      </c>
      <c r="H383" s="140" t="str">
        <f t="shared" si="17"/>
        <v/>
      </c>
      <c r="I383"/>
      <c r="J383" s="147" t="str">
        <f>IFERROR(SUMIFS(当年实际!$V:$V,当年实际!$F:$F,$C383,当年实际!$C:$C,"&gt;="&amp;DATE(YEAR(主页!$D$2),1,1),当年实际!$C:$C,"&lt;="&amp;EOMONTH(DATE(YEAR(主页!$D$2),MONTH(主页!$D$2),1),0))/SUMIFS(当年实际!$P:$P,当年实际!$F:$F,$C383,当年实际!$C:$C,"&gt;="&amp;DATE(YEAR(主页!$D$2),1,1),当年实际!$C:$C,"&lt;="&amp;EOMONTH(DATE(YEAR(主页!$D$2),MONTH(主页!$D$2),1),0)),"")</f>
        <v/>
      </c>
    </row>
    <row r="384" spans="1:10" x14ac:dyDescent="0.3">
      <c r="A384" s="150"/>
      <c r="B384" s="150"/>
      <c r="C384" s="150"/>
      <c r="D384" s="150"/>
      <c r="E384" s="140" t="str">
        <f t="shared" si="16"/>
        <v/>
      </c>
      <c r="F384" s="159"/>
      <c r="G384" s="145">
        <f t="shared" si="18"/>
        <v>0</v>
      </c>
      <c r="H384" s="140" t="str">
        <f t="shared" si="17"/>
        <v/>
      </c>
      <c r="I384"/>
      <c r="J384" s="147" t="str">
        <f>IFERROR(SUMIFS(当年实际!$V:$V,当年实际!$F:$F,$C384,当年实际!$C:$C,"&gt;="&amp;DATE(YEAR(主页!$D$2),1,1),当年实际!$C:$C,"&lt;="&amp;EOMONTH(DATE(YEAR(主页!$D$2),MONTH(主页!$D$2),1),0))/SUMIFS(当年实际!$P:$P,当年实际!$F:$F,$C384,当年实际!$C:$C,"&gt;="&amp;DATE(YEAR(主页!$D$2),1,1),当年实际!$C:$C,"&lt;="&amp;EOMONTH(DATE(YEAR(主页!$D$2),MONTH(主页!$D$2),1),0)),"")</f>
        <v/>
      </c>
    </row>
    <row r="385" spans="1:10" x14ac:dyDescent="0.3">
      <c r="A385" s="150"/>
      <c r="B385" s="150"/>
      <c r="C385" s="150"/>
      <c r="D385" s="150"/>
      <c r="E385" s="140" t="str">
        <f t="shared" si="16"/>
        <v/>
      </c>
      <c r="F385" s="159"/>
      <c r="G385" s="145">
        <f t="shared" si="18"/>
        <v>0</v>
      </c>
      <c r="H385" s="140" t="str">
        <f t="shared" si="17"/>
        <v/>
      </c>
      <c r="I385"/>
      <c r="J385" s="147" t="str">
        <f>IFERROR(SUMIFS(当年实际!$V:$V,当年实际!$F:$F,$C385,当年实际!$C:$C,"&gt;="&amp;DATE(YEAR(主页!$D$2),1,1),当年实际!$C:$C,"&lt;="&amp;EOMONTH(DATE(YEAR(主页!$D$2),MONTH(主页!$D$2),1),0))/SUMIFS(当年实际!$P:$P,当年实际!$F:$F,$C385,当年实际!$C:$C,"&gt;="&amp;DATE(YEAR(主页!$D$2),1,1),当年实际!$C:$C,"&lt;="&amp;EOMONTH(DATE(YEAR(主页!$D$2),MONTH(主页!$D$2),1),0)),"")</f>
        <v/>
      </c>
    </row>
    <row r="386" spans="1:10" x14ac:dyDescent="0.3">
      <c r="A386" s="150"/>
      <c r="B386" s="150"/>
      <c r="C386" s="150"/>
      <c r="D386" s="150"/>
      <c r="E386" s="140" t="str">
        <f t="shared" si="16"/>
        <v/>
      </c>
      <c r="F386" s="159"/>
      <c r="G386" s="145">
        <f t="shared" si="18"/>
        <v>0</v>
      </c>
      <c r="H386" s="140" t="str">
        <f t="shared" si="17"/>
        <v/>
      </c>
      <c r="I386"/>
      <c r="J386" s="147" t="str">
        <f>IFERROR(SUMIFS(当年实际!$V:$V,当年实际!$F:$F,$C386,当年实际!$C:$C,"&gt;="&amp;DATE(YEAR(主页!$D$2),1,1),当年实际!$C:$C,"&lt;="&amp;EOMONTH(DATE(YEAR(主页!$D$2),MONTH(主页!$D$2),1),0))/SUMIFS(当年实际!$P:$P,当年实际!$F:$F,$C386,当年实际!$C:$C,"&gt;="&amp;DATE(YEAR(主页!$D$2),1,1),当年实际!$C:$C,"&lt;="&amp;EOMONTH(DATE(YEAR(主页!$D$2),MONTH(主页!$D$2),1),0)),"")</f>
        <v/>
      </c>
    </row>
    <row r="387" spans="1:10" x14ac:dyDescent="0.3">
      <c r="A387" s="150"/>
      <c r="B387" s="150"/>
      <c r="C387" s="150"/>
      <c r="D387" s="150"/>
      <c r="E387" s="140" t="str">
        <f t="shared" si="16"/>
        <v/>
      </c>
      <c r="F387" s="159"/>
      <c r="G387" s="145">
        <f t="shared" si="18"/>
        <v>0</v>
      </c>
      <c r="H387" s="140" t="str">
        <f t="shared" si="17"/>
        <v/>
      </c>
      <c r="I387"/>
      <c r="J387" s="147" t="str">
        <f>IFERROR(SUMIFS(当年实际!$V:$V,当年实际!$F:$F,$C387,当年实际!$C:$C,"&gt;="&amp;DATE(YEAR(主页!$D$2),1,1),当年实际!$C:$C,"&lt;="&amp;EOMONTH(DATE(YEAR(主页!$D$2),MONTH(主页!$D$2),1),0))/SUMIFS(当年实际!$P:$P,当年实际!$F:$F,$C387,当年实际!$C:$C,"&gt;="&amp;DATE(YEAR(主页!$D$2),1,1),当年实际!$C:$C,"&lt;="&amp;EOMONTH(DATE(YEAR(主页!$D$2),MONTH(主页!$D$2),1),0)),"")</f>
        <v/>
      </c>
    </row>
    <row r="388" spans="1:10" x14ac:dyDescent="0.3">
      <c r="A388" s="150"/>
      <c r="B388" s="150"/>
      <c r="C388" s="150"/>
      <c r="D388" s="150"/>
      <c r="E388" s="140" t="str">
        <f t="shared" ref="E388:E451" si="19">IF(D388/SUM(D:D)=0,"",D388/SUM(D:D))</f>
        <v/>
      </c>
      <c r="F388" s="159"/>
      <c r="G388" s="145">
        <f t="shared" si="18"/>
        <v>0</v>
      </c>
      <c r="H388" s="140" t="str">
        <f t="shared" ref="H388:H451" si="20">IF(G388/SUM(G:G)=0,"",G388/SUM(G:G))</f>
        <v/>
      </c>
      <c r="I388"/>
      <c r="J388" s="147" t="str">
        <f>IFERROR(SUMIFS(当年实际!$V:$V,当年实际!$F:$F,$C388,当年实际!$C:$C,"&gt;="&amp;DATE(YEAR(主页!$D$2),1,1),当年实际!$C:$C,"&lt;="&amp;EOMONTH(DATE(YEAR(主页!$D$2),MONTH(主页!$D$2),1),0))/SUMIFS(当年实际!$P:$P,当年实际!$F:$F,$C388,当年实际!$C:$C,"&gt;="&amp;DATE(YEAR(主页!$D$2),1,1),当年实际!$C:$C,"&lt;="&amp;EOMONTH(DATE(YEAR(主页!$D$2),MONTH(主页!$D$2),1),0)),"")</f>
        <v/>
      </c>
    </row>
    <row r="389" spans="1:10" x14ac:dyDescent="0.3">
      <c r="A389" s="150"/>
      <c r="B389" s="150"/>
      <c r="C389" s="150"/>
      <c r="D389" s="150"/>
      <c r="E389" s="140" t="str">
        <f t="shared" si="19"/>
        <v/>
      </c>
      <c r="F389" s="159"/>
      <c r="G389" s="145">
        <f t="shared" si="18"/>
        <v>0</v>
      </c>
      <c r="H389" s="140" t="str">
        <f t="shared" si="20"/>
        <v/>
      </c>
      <c r="I389"/>
      <c r="J389" s="147" t="str">
        <f>IFERROR(SUMIFS(当年实际!$V:$V,当年实际!$F:$F,$C389,当年实际!$C:$C,"&gt;="&amp;DATE(YEAR(主页!$D$2),1,1),当年实际!$C:$C,"&lt;="&amp;EOMONTH(DATE(YEAR(主页!$D$2),MONTH(主页!$D$2),1),0))/SUMIFS(当年实际!$P:$P,当年实际!$F:$F,$C389,当年实际!$C:$C,"&gt;="&amp;DATE(YEAR(主页!$D$2),1,1),当年实际!$C:$C,"&lt;="&amp;EOMONTH(DATE(YEAR(主页!$D$2),MONTH(主页!$D$2),1),0)),"")</f>
        <v/>
      </c>
    </row>
    <row r="390" spans="1:10" x14ac:dyDescent="0.3">
      <c r="A390" s="150"/>
      <c r="B390" s="150"/>
      <c r="C390" s="150"/>
      <c r="D390" s="150"/>
      <c r="E390" s="140" t="str">
        <f t="shared" si="19"/>
        <v/>
      </c>
      <c r="F390" s="159"/>
      <c r="G390" s="145">
        <f t="shared" si="18"/>
        <v>0</v>
      </c>
      <c r="H390" s="140" t="str">
        <f t="shared" si="20"/>
        <v/>
      </c>
      <c r="I390"/>
      <c r="J390" s="147" t="str">
        <f>IFERROR(SUMIFS(当年实际!$V:$V,当年实际!$F:$F,$C390,当年实际!$C:$C,"&gt;="&amp;DATE(YEAR(主页!$D$2),1,1),当年实际!$C:$C,"&lt;="&amp;EOMONTH(DATE(YEAR(主页!$D$2),MONTH(主页!$D$2),1),0))/SUMIFS(当年实际!$P:$P,当年实际!$F:$F,$C390,当年实际!$C:$C,"&gt;="&amp;DATE(YEAR(主页!$D$2),1,1),当年实际!$C:$C,"&lt;="&amp;EOMONTH(DATE(YEAR(主页!$D$2),MONTH(主页!$D$2),1),0)),"")</f>
        <v/>
      </c>
    </row>
    <row r="391" spans="1:10" x14ac:dyDescent="0.3">
      <c r="A391" s="150"/>
      <c r="B391" s="150"/>
      <c r="C391" s="150"/>
      <c r="D391" s="150"/>
      <c r="E391" s="140" t="str">
        <f t="shared" si="19"/>
        <v/>
      </c>
      <c r="F391" s="159"/>
      <c r="G391" s="145">
        <f t="shared" ref="G391:G454" si="21">D391*F391</f>
        <v>0</v>
      </c>
      <c r="H391" s="140" t="str">
        <f t="shared" si="20"/>
        <v/>
      </c>
      <c r="I391"/>
      <c r="J391" s="147" t="str">
        <f>IFERROR(SUMIFS(当年实际!$V:$V,当年实际!$F:$F,$C391,当年实际!$C:$C,"&gt;="&amp;DATE(YEAR(主页!$D$2),1,1),当年实际!$C:$C,"&lt;="&amp;EOMONTH(DATE(YEAR(主页!$D$2),MONTH(主页!$D$2),1),0))/SUMIFS(当年实际!$P:$P,当年实际!$F:$F,$C391,当年实际!$C:$C,"&gt;="&amp;DATE(YEAR(主页!$D$2),1,1),当年实际!$C:$C,"&lt;="&amp;EOMONTH(DATE(YEAR(主页!$D$2),MONTH(主页!$D$2),1),0)),"")</f>
        <v/>
      </c>
    </row>
    <row r="392" spans="1:10" x14ac:dyDescent="0.3">
      <c r="A392" s="150"/>
      <c r="B392" s="150"/>
      <c r="C392" s="150"/>
      <c r="D392" s="150"/>
      <c r="E392" s="140" t="str">
        <f t="shared" si="19"/>
        <v/>
      </c>
      <c r="F392" s="159"/>
      <c r="G392" s="145">
        <f t="shared" si="21"/>
        <v>0</v>
      </c>
      <c r="H392" s="140" t="str">
        <f t="shared" si="20"/>
        <v/>
      </c>
      <c r="I392"/>
      <c r="J392" s="147" t="str">
        <f>IFERROR(SUMIFS(当年实际!$V:$V,当年实际!$F:$F,$C392,当年实际!$C:$C,"&gt;="&amp;DATE(YEAR(主页!$D$2),1,1),当年实际!$C:$C,"&lt;="&amp;EOMONTH(DATE(YEAR(主页!$D$2),MONTH(主页!$D$2),1),0))/SUMIFS(当年实际!$P:$P,当年实际!$F:$F,$C392,当年实际!$C:$C,"&gt;="&amp;DATE(YEAR(主页!$D$2),1,1),当年实际!$C:$C,"&lt;="&amp;EOMONTH(DATE(YEAR(主页!$D$2),MONTH(主页!$D$2),1),0)),"")</f>
        <v/>
      </c>
    </row>
    <row r="393" spans="1:10" x14ac:dyDescent="0.3">
      <c r="A393" s="150"/>
      <c r="B393" s="150"/>
      <c r="C393" s="150"/>
      <c r="D393" s="150"/>
      <c r="E393" s="140" t="str">
        <f t="shared" si="19"/>
        <v/>
      </c>
      <c r="F393" s="159"/>
      <c r="G393" s="145">
        <f t="shared" si="21"/>
        <v>0</v>
      </c>
      <c r="H393" s="140" t="str">
        <f t="shared" si="20"/>
        <v/>
      </c>
      <c r="I393"/>
      <c r="J393" s="147" t="str">
        <f>IFERROR(SUMIFS(当年实际!$V:$V,当年实际!$F:$F,$C393,当年实际!$C:$C,"&gt;="&amp;DATE(YEAR(主页!$D$2),1,1),当年实际!$C:$C,"&lt;="&amp;EOMONTH(DATE(YEAR(主页!$D$2),MONTH(主页!$D$2),1),0))/SUMIFS(当年实际!$P:$P,当年实际!$F:$F,$C393,当年实际!$C:$C,"&gt;="&amp;DATE(YEAR(主页!$D$2),1,1),当年实际!$C:$C,"&lt;="&amp;EOMONTH(DATE(YEAR(主页!$D$2),MONTH(主页!$D$2),1),0)),"")</f>
        <v/>
      </c>
    </row>
    <row r="394" spans="1:10" x14ac:dyDescent="0.3">
      <c r="A394" s="150"/>
      <c r="B394" s="150"/>
      <c r="C394" s="150"/>
      <c r="D394" s="150"/>
      <c r="E394" s="140" t="str">
        <f t="shared" si="19"/>
        <v/>
      </c>
      <c r="F394" s="159"/>
      <c r="G394" s="145">
        <f t="shared" si="21"/>
        <v>0</v>
      </c>
      <c r="H394" s="140" t="str">
        <f t="shared" si="20"/>
        <v/>
      </c>
      <c r="I394"/>
      <c r="J394" s="147" t="str">
        <f>IFERROR(SUMIFS(当年实际!$V:$V,当年实际!$F:$F,$C394,当年实际!$C:$C,"&gt;="&amp;DATE(YEAR(主页!$D$2),1,1),当年实际!$C:$C,"&lt;="&amp;EOMONTH(DATE(YEAR(主页!$D$2),MONTH(主页!$D$2),1),0))/SUMIFS(当年实际!$P:$P,当年实际!$F:$F,$C394,当年实际!$C:$C,"&gt;="&amp;DATE(YEAR(主页!$D$2),1,1),当年实际!$C:$C,"&lt;="&amp;EOMONTH(DATE(YEAR(主页!$D$2),MONTH(主页!$D$2),1),0)),"")</f>
        <v/>
      </c>
    </row>
    <row r="395" spans="1:10" x14ac:dyDescent="0.3">
      <c r="A395" s="150"/>
      <c r="B395" s="150"/>
      <c r="C395" s="150"/>
      <c r="D395" s="150"/>
      <c r="E395" s="140" t="str">
        <f t="shared" si="19"/>
        <v/>
      </c>
      <c r="F395" s="159"/>
      <c r="G395" s="145">
        <f t="shared" si="21"/>
        <v>0</v>
      </c>
      <c r="H395" s="140" t="str">
        <f t="shared" si="20"/>
        <v/>
      </c>
      <c r="I395"/>
      <c r="J395" s="147" t="str">
        <f>IFERROR(SUMIFS(当年实际!$V:$V,当年实际!$F:$F,$C395,当年实际!$C:$C,"&gt;="&amp;DATE(YEAR(主页!$D$2),1,1),当年实际!$C:$C,"&lt;="&amp;EOMONTH(DATE(YEAR(主页!$D$2),MONTH(主页!$D$2),1),0))/SUMIFS(当年实际!$P:$P,当年实际!$F:$F,$C395,当年实际!$C:$C,"&gt;="&amp;DATE(YEAR(主页!$D$2),1,1),当年实际!$C:$C,"&lt;="&amp;EOMONTH(DATE(YEAR(主页!$D$2),MONTH(主页!$D$2),1),0)),"")</f>
        <v/>
      </c>
    </row>
    <row r="396" spans="1:10" x14ac:dyDescent="0.3">
      <c r="A396" s="150"/>
      <c r="B396" s="150"/>
      <c r="C396" s="150"/>
      <c r="D396" s="150"/>
      <c r="E396" s="140" t="str">
        <f t="shared" si="19"/>
        <v/>
      </c>
      <c r="F396" s="159"/>
      <c r="G396" s="145">
        <f t="shared" si="21"/>
        <v>0</v>
      </c>
      <c r="H396" s="140" t="str">
        <f t="shared" si="20"/>
        <v/>
      </c>
      <c r="I396"/>
      <c r="J396" s="147" t="str">
        <f>IFERROR(SUMIFS(当年实际!$V:$V,当年实际!$F:$F,$C396,当年实际!$C:$C,"&gt;="&amp;DATE(YEAR(主页!$D$2),1,1),当年实际!$C:$C,"&lt;="&amp;EOMONTH(DATE(YEAR(主页!$D$2),MONTH(主页!$D$2),1),0))/SUMIFS(当年实际!$P:$P,当年实际!$F:$F,$C396,当年实际!$C:$C,"&gt;="&amp;DATE(YEAR(主页!$D$2),1,1),当年实际!$C:$C,"&lt;="&amp;EOMONTH(DATE(YEAR(主页!$D$2),MONTH(主页!$D$2),1),0)),"")</f>
        <v/>
      </c>
    </row>
    <row r="397" spans="1:10" x14ac:dyDescent="0.3">
      <c r="A397" s="150"/>
      <c r="B397" s="150"/>
      <c r="C397" s="150"/>
      <c r="D397" s="150"/>
      <c r="E397" s="140" t="str">
        <f t="shared" si="19"/>
        <v/>
      </c>
      <c r="F397" s="159"/>
      <c r="G397" s="145">
        <f t="shared" si="21"/>
        <v>0</v>
      </c>
      <c r="H397" s="140" t="str">
        <f t="shared" si="20"/>
        <v/>
      </c>
      <c r="I397"/>
      <c r="J397" s="147" t="str">
        <f>IFERROR(SUMIFS(当年实际!$V:$V,当年实际!$F:$F,$C397,当年实际!$C:$C,"&gt;="&amp;DATE(YEAR(主页!$D$2),1,1),当年实际!$C:$C,"&lt;="&amp;EOMONTH(DATE(YEAR(主页!$D$2),MONTH(主页!$D$2),1),0))/SUMIFS(当年实际!$P:$P,当年实际!$F:$F,$C397,当年实际!$C:$C,"&gt;="&amp;DATE(YEAR(主页!$D$2),1,1),当年实际!$C:$C,"&lt;="&amp;EOMONTH(DATE(YEAR(主页!$D$2),MONTH(主页!$D$2),1),0)),"")</f>
        <v/>
      </c>
    </row>
    <row r="398" spans="1:10" x14ac:dyDescent="0.3">
      <c r="A398" s="150"/>
      <c r="B398" s="150"/>
      <c r="C398" s="150"/>
      <c r="D398" s="150"/>
      <c r="E398" s="140" t="str">
        <f t="shared" si="19"/>
        <v/>
      </c>
      <c r="F398" s="159"/>
      <c r="G398" s="145">
        <f t="shared" si="21"/>
        <v>0</v>
      </c>
      <c r="H398" s="140" t="str">
        <f t="shared" si="20"/>
        <v/>
      </c>
      <c r="I398"/>
      <c r="J398" s="147" t="str">
        <f>IFERROR(SUMIFS(当年实际!$V:$V,当年实际!$F:$F,$C398,当年实际!$C:$C,"&gt;="&amp;DATE(YEAR(主页!$D$2),1,1),当年实际!$C:$C,"&lt;="&amp;EOMONTH(DATE(YEAR(主页!$D$2),MONTH(主页!$D$2),1),0))/SUMIFS(当年实际!$P:$P,当年实际!$F:$F,$C398,当年实际!$C:$C,"&gt;="&amp;DATE(YEAR(主页!$D$2),1,1),当年实际!$C:$C,"&lt;="&amp;EOMONTH(DATE(YEAR(主页!$D$2),MONTH(主页!$D$2),1),0)),"")</f>
        <v/>
      </c>
    </row>
    <row r="399" spans="1:10" x14ac:dyDescent="0.3">
      <c r="A399" s="150"/>
      <c r="B399" s="150"/>
      <c r="C399" s="150"/>
      <c r="D399" s="150"/>
      <c r="E399" s="140" t="str">
        <f t="shared" si="19"/>
        <v/>
      </c>
      <c r="F399" s="159"/>
      <c r="G399" s="145">
        <f t="shared" si="21"/>
        <v>0</v>
      </c>
      <c r="H399" s="140" t="str">
        <f t="shared" si="20"/>
        <v/>
      </c>
      <c r="I399"/>
      <c r="J399" s="147" t="str">
        <f>IFERROR(SUMIFS(当年实际!$V:$V,当年实际!$F:$F,$C399,当年实际!$C:$C,"&gt;="&amp;DATE(YEAR(主页!$D$2),1,1),当年实际!$C:$C,"&lt;="&amp;EOMONTH(DATE(YEAR(主页!$D$2),MONTH(主页!$D$2),1),0))/SUMIFS(当年实际!$P:$P,当年实际!$F:$F,$C399,当年实际!$C:$C,"&gt;="&amp;DATE(YEAR(主页!$D$2),1,1),当年实际!$C:$C,"&lt;="&amp;EOMONTH(DATE(YEAR(主页!$D$2),MONTH(主页!$D$2),1),0)),"")</f>
        <v/>
      </c>
    </row>
    <row r="400" spans="1:10" x14ac:dyDescent="0.3">
      <c r="A400" s="150"/>
      <c r="B400" s="150"/>
      <c r="C400" s="150"/>
      <c r="D400" s="150"/>
      <c r="E400" s="140" t="str">
        <f t="shared" si="19"/>
        <v/>
      </c>
      <c r="F400" s="159"/>
      <c r="G400" s="145">
        <f t="shared" si="21"/>
        <v>0</v>
      </c>
      <c r="H400" s="140" t="str">
        <f t="shared" si="20"/>
        <v/>
      </c>
      <c r="I400"/>
      <c r="J400" s="147" t="str">
        <f>IFERROR(SUMIFS(当年实际!$V:$V,当年实际!$F:$F,$C400,当年实际!$C:$C,"&gt;="&amp;DATE(YEAR(主页!$D$2),1,1),当年实际!$C:$C,"&lt;="&amp;EOMONTH(DATE(YEAR(主页!$D$2),MONTH(主页!$D$2),1),0))/SUMIFS(当年实际!$P:$P,当年实际!$F:$F,$C400,当年实际!$C:$C,"&gt;="&amp;DATE(YEAR(主页!$D$2),1,1),当年实际!$C:$C,"&lt;="&amp;EOMONTH(DATE(YEAR(主页!$D$2),MONTH(主页!$D$2),1),0)),"")</f>
        <v/>
      </c>
    </row>
    <row r="401" spans="1:10" x14ac:dyDescent="0.3">
      <c r="A401" s="150"/>
      <c r="B401" s="150"/>
      <c r="C401" s="150"/>
      <c r="D401" s="150"/>
      <c r="E401" s="140" t="str">
        <f t="shared" si="19"/>
        <v/>
      </c>
      <c r="F401" s="159"/>
      <c r="G401" s="145">
        <f t="shared" si="21"/>
        <v>0</v>
      </c>
      <c r="H401" s="140" t="str">
        <f t="shared" si="20"/>
        <v/>
      </c>
      <c r="I401"/>
      <c r="J401" s="147" t="str">
        <f>IFERROR(SUMIFS(当年实际!$V:$V,当年实际!$F:$F,$C401,当年实际!$C:$C,"&gt;="&amp;DATE(YEAR(主页!$D$2),1,1),当年实际!$C:$C,"&lt;="&amp;EOMONTH(DATE(YEAR(主页!$D$2),MONTH(主页!$D$2),1),0))/SUMIFS(当年实际!$P:$P,当年实际!$F:$F,$C401,当年实际!$C:$C,"&gt;="&amp;DATE(YEAR(主页!$D$2),1,1),当年实际!$C:$C,"&lt;="&amp;EOMONTH(DATE(YEAR(主页!$D$2),MONTH(主页!$D$2),1),0)),"")</f>
        <v/>
      </c>
    </row>
    <row r="402" spans="1:10" x14ac:dyDescent="0.3">
      <c r="A402" s="150"/>
      <c r="B402" s="150"/>
      <c r="C402" s="150"/>
      <c r="D402" s="150"/>
      <c r="E402" s="140" t="str">
        <f t="shared" si="19"/>
        <v/>
      </c>
      <c r="F402" s="159"/>
      <c r="G402" s="145">
        <f t="shared" si="21"/>
        <v>0</v>
      </c>
      <c r="H402" s="140" t="str">
        <f t="shared" si="20"/>
        <v/>
      </c>
      <c r="I402"/>
      <c r="J402" s="147" t="str">
        <f>IFERROR(SUMIFS(当年实际!$V:$V,当年实际!$F:$F,$C402,当年实际!$C:$C,"&gt;="&amp;DATE(YEAR(主页!$D$2),1,1),当年实际!$C:$C,"&lt;="&amp;EOMONTH(DATE(YEAR(主页!$D$2),MONTH(主页!$D$2),1),0))/SUMIFS(当年实际!$P:$P,当年实际!$F:$F,$C402,当年实际!$C:$C,"&gt;="&amp;DATE(YEAR(主页!$D$2),1,1),当年实际!$C:$C,"&lt;="&amp;EOMONTH(DATE(YEAR(主页!$D$2),MONTH(主页!$D$2),1),0)),"")</f>
        <v/>
      </c>
    </row>
    <row r="403" spans="1:10" x14ac:dyDescent="0.3">
      <c r="A403" s="150"/>
      <c r="B403" s="150"/>
      <c r="C403" s="150"/>
      <c r="D403" s="150"/>
      <c r="E403" s="140" t="str">
        <f t="shared" si="19"/>
        <v/>
      </c>
      <c r="F403" s="159"/>
      <c r="G403" s="145">
        <f t="shared" si="21"/>
        <v>0</v>
      </c>
      <c r="H403" s="140" t="str">
        <f t="shared" si="20"/>
        <v/>
      </c>
      <c r="I403"/>
      <c r="J403" s="147" t="str">
        <f>IFERROR(SUMIFS(当年实际!$V:$V,当年实际!$F:$F,$C403,当年实际!$C:$C,"&gt;="&amp;DATE(YEAR(主页!$D$2),1,1),当年实际!$C:$C,"&lt;="&amp;EOMONTH(DATE(YEAR(主页!$D$2),MONTH(主页!$D$2),1),0))/SUMIFS(当年实际!$P:$P,当年实际!$F:$F,$C403,当年实际!$C:$C,"&gt;="&amp;DATE(YEAR(主页!$D$2),1,1),当年实际!$C:$C,"&lt;="&amp;EOMONTH(DATE(YEAR(主页!$D$2),MONTH(主页!$D$2),1),0)),"")</f>
        <v/>
      </c>
    </row>
    <row r="404" spans="1:10" x14ac:dyDescent="0.3">
      <c r="A404" s="150"/>
      <c r="B404" s="150"/>
      <c r="C404" s="150"/>
      <c r="D404" s="150"/>
      <c r="E404" s="140" t="str">
        <f t="shared" si="19"/>
        <v/>
      </c>
      <c r="F404" s="159"/>
      <c r="G404" s="145">
        <f t="shared" si="21"/>
        <v>0</v>
      </c>
      <c r="H404" s="140" t="str">
        <f t="shared" si="20"/>
        <v/>
      </c>
      <c r="I404"/>
      <c r="J404" s="147" t="str">
        <f>IFERROR(SUMIFS(当年实际!$V:$V,当年实际!$F:$F,$C404,当年实际!$C:$C,"&gt;="&amp;DATE(YEAR(主页!$D$2),1,1),当年实际!$C:$C,"&lt;="&amp;EOMONTH(DATE(YEAR(主页!$D$2),MONTH(主页!$D$2),1),0))/SUMIFS(当年实际!$P:$P,当年实际!$F:$F,$C404,当年实际!$C:$C,"&gt;="&amp;DATE(YEAR(主页!$D$2),1,1),当年实际!$C:$C,"&lt;="&amp;EOMONTH(DATE(YEAR(主页!$D$2),MONTH(主页!$D$2),1),0)),"")</f>
        <v/>
      </c>
    </row>
    <row r="405" spans="1:10" x14ac:dyDescent="0.3">
      <c r="A405" s="150"/>
      <c r="B405" s="150"/>
      <c r="C405" s="150"/>
      <c r="D405" s="150"/>
      <c r="E405" s="140" t="str">
        <f t="shared" si="19"/>
        <v/>
      </c>
      <c r="F405" s="159"/>
      <c r="G405" s="145">
        <f t="shared" si="21"/>
        <v>0</v>
      </c>
      <c r="H405" s="140" t="str">
        <f t="shared" si="20"/>
        <v/>
      </c>
      <c r="I405"/>
      <c r="J405" s="147" t="str">
        <f>IFERROR(SUMIFS(当年实际!$V:$V,当年实际!$F:$F,$C405,当年实际!$C:$C,"&gt;="&amp;DATE(YEAR(主页!$D$2),1,1),当年实际!$C:$C,"&lt;="&amp;EOMONTH(DATE(YEAR(主页!$D$2),MONTH(主页!$D$2),1),0))/SUMIFS(当年实际!$P:$P,当年实际!$F:$F,$C405,当年实际!$C:$C,"&gt;="&amp;DATE(YEAR(主页!$D$2),1,1),当年实际!$C:$C,"&lt;="&amp;EOMONTH(DATE(YEAR(主页!$D$2),MONTH(主页!$D$2),1),0)),"")</f>
        <v/>
      </c>
    </row>
    <row r="406" spans="1:10" x14ac:dyDescent="0.3">
      <c r="A406" s="150"/>
      <c r="B406" s="150"/>
      <c r="C406" s="150"/>
      <c r="D406" s="150"/>
      <c r="E406" s="140" t="str">
        <f t="shared" si="19"/>
        <v/>
      </c>
      <c r="F406" s="159"/>
      <c r="G406" s="145">
        <f t="shared" si="21"/>
        <v>0</v>
      </c>
      <c r="H406" s="140" t="str">
        <f t="shared" si="20"/>
        <v/>
      </c>
      <c r="I406"/>
      <c r="J406" s="147" t="str">
        <f>IFERROR(SUMIFS(当年实际!$V:$V,当年实际!$F:$F,$C406,当年实际!$C:$C,"&gt;="&amp;DATE(YEAR(主页!$D$2),1,1),当年实际!$C:$C,"&lt;="&amp;EOMONTH(DATE(YEAR(主页!$D$2),MONTH(主页!$D$2),1),0))/SUMIFS(当年实际!$P:$P,当年实际!$F:$F,$C406,当年实际!$C:$C,"&gt;="&amp;DATE(YEAR(主页!$D$2),1,1),当年实际!$C:$C,"&lt;="&amp;EOMONTH(DATE(YEAR(主页!$D$2),MONTH(主页!$D$2),1),0)),"")</f>
        <v/>
      </c>
    </row>
    <row r="407" spans="1:10" x14ac:dyDescent="0.3">
      <c r="A407" s="150"/>
      <c r="B407" s="150"/>
      <c r="C407" s="150"/>
      <c r="D407" s="150"/>
      <c r="E407" s="140" t="str">
        <f t="shared" si="19"/>
        <v/>
      </c>
      <c r="F407" s="159"/>
      <c r="G407" s="145">
        <f t="shared" si="21"/>
        <v>0</v>
      </c>
      <c r="H407" s="140" t="str">
        <f t="shared" si="20"/>
        <v/>
      </c>
      <c r="I407"/>
      <c r="J407" s="147" t="str">
        <f>IFERROR(SUMIFS(当年实际!$V:$V,当年实际!$F:$F,$C407,当年实际!$C:$C,"&gt;="&amp;DATE(YEAR(主页!$D$2),1,1),当年实际!$C:$C,"&lt;="&amp;EOMONTH(DATE(YEAR(主页!$D$2),MONTH(主页!$D$2),1),0))/SUMIFS(当年实际!$P:$P,当年实际!$F:$F,$C407,当年实际!$C:$C,"&gt;="&amp;DATE(YEAR(主页!$D$2),1,1),当年实际!$C:$C,"&lt;="&amp;EOMONTH(DATE(YEAR(主页!$D$2),MONTH(主页!$D$2),1),0)),"")</f>
        <v/>
      </c>
    </row>
    <row r="408" spans="1:10" x14ac:dyDescent="0.3">
      <c r="A408" s="150"/>
      <c r="B408" s="150"/>
      <c r="C408" s="150"/>
      <c r="D408" s="150"/>
      <c r="E408" s="140" t="str">
        <f t="shared" si="19"/>
        <v/>
      </c>
      <c r="F408" s="159"/>
      <c r="G408" s="145">
        <f t="shared" si="21"/>
        <v>0</v>
      </c>
      <c r="H408" s="140" t="str">
        <f t="shared" si="20"/>
        <v/>
      </c>
      <c r="I408"/>
      <c r="J408" s="147" t="str">
        <f>IFERROR(SUMIFS(当年实际!$V:$V,当年实际!$F:$F,$C408,当年实际!$C:$C,"&gt;="&amp;DATE(YEAR(主页!$D$2),1,1),当年实际!$C:$C,"&lt;="&amp;EOMONTH(DATE(YEAR(主页!$D$2),MONTH(主页!$D$2),1),0))/SUMIFS(当年实际!$P:$P,当年实际!$F:$F,$C408,当年实际!$C:$C,"&gt;="&amp;DATE(YEAR(主页!$D$2),1,1),当年实际!$C:$C,"&lt;="&amp;EOMONTH(DATE(YEAR(主页!$D$2),MONTH(主页!$D$2),1),0)),"")</f>
        <v/>
      </c>
    </row>
    <row r="409" spans="1:10" x14ac:dyDescent="0.3">
      <c r="A409" s="150"/>
      <c r="B409" s="150"/>
      <c r="C409" s="150"/>
      <c r="D409" s="150"/>
      <c r="E409" s="140" t="str">
        <f t="shared" si="19"/>
        <v/>
      </c>
      <c r="F409" s="159"/>
      <c r="G409" s="145">
        <f t="shared" si="21"/>
        <v>0</v>
      </c>
      <c r="H409" s="140" t="str">
        <f t="shared" si="20"/>
        <v/>
      </c>
      <c r="I409"/>
      <c r="J409" s="147" t="str">
        <f>IFERROR(SUMIFS(当年实际!$V:$V,当年实际!$F:$F,$C409,当年实际!$C:$C,"&gt;="&amp;DATE(YEAR(主页!$D$2),1,1),当年实际!$C:$C,"&lt;="&amp;EOMONTH(DATE(YEAR(主页!$D$2),MONTH(主页!$D$2),1),0))/SUMIFS(当年实际!$P:$P,当年实际!$F:$F,$C409,当年实际!$C:$C,"&gt;="&amp;DATE(YEAR(主页!$D$2),1,1),当年实际!$C:$C,"&lt;="&amp;EOMONTH(DATE(YEAR(主页!$D$2),MONTH(主页!$D$2),1),0)),"")</f>
        <v/>
      </c>
    </row>
    <row r="410" spans="1:10" x14ac:dyDescent="0.3">
      <c r="A410" s="150"/>
      <c r="B410" s="150"/>
      <c r="C410" s="150"/>
      <c r="D410" s="150"/>
      <c r="E410" s="140" t="str">
        <f t="shared" si="19"/>
        <v/>
      </c>
      <c r="F410" s="159"/>
      <c r="G410" s="145">
        <f t="shared" si="21"/>
        <v>0</v>
      </c>
      <c r="H410" s="140" t="str">
        <f t="shared" si="20"/>
        <v/>
      </c>
      <c r="I410"/>
      <c r="J410" s="147" t="str">
        <f>IFERROR(SUMIFS(当年实际!$V:$V,当年实际!$F:$F,$C410,当年实际!$C:$C,"&gt;="&amp;DATE(YEAR(主页!$D$2),1,1),当年实际!$C:$C,"&lt;="&amp;EOMONTH(DATE(YEAR(主页!$D$2),MONTH(主页!$D$2),1),0))/SUMIFS(当年实际!$P:$P,当年实际!$F:$F,$C410,当年实际!$C:$C,"&gt;="&amp;DATE(YEAR(主页!$D$2),1,1),当年实际!$C:$C,"&lt;="&amp;EOMONTH(DATE(YEAR(主页!$D$2),MONTH(主页!$D$2),1),0)),"")</f>
        <v/>
      </c>
    </row>
    <row r="411" spans="1:10" x14ac:dyDescent="0.3">
      <c r="A411" s="150"/>
      <c r="B411" s="150"/>
      <c r="C411" s="150"/>
      <c r="D411" s="150"/>
      <c r="E411" s="140" t="str">
        <f t="shared" si="19"/>
        <v/>
      </c>
      <c r="F411" s="159"/>
      <c r="G411" s="145">
        <f t="shared" si="21"/>
        <v>0</v>
      </c>
      <c r="H411" s="140" t="str">
        <f t="shared" si="20"/>
        <v/>
      </c>
      <c r="I411"/>
      <c r="J411" s="147" t="str">
        <f>IFERROR(SUMIFS(当年实际!$V:$V,当年实际!$F:$F,$C411,当年实际!$C:$C,"&gt;="&amp;DATE(YEAR(主页!$D$2),1,1),当年实际!$C:$C,"&lt;="&amp;EOMONTH(DATE(YEAR(主页!$D$2),MONTH(主页!$D$2),1),0))/SUMIFS(当年实际!$P:$P,当年实际!$F:$F,$C411,当年实际!$C:$C,"&gt;="&amp;DATE(YEAR(主页!$D$2),1,1),当年实际!$C:$C,"&lt;="&amp;EOMONTH(DATE(YEAR(主页!$D$2),MONTH(主页!$D$2),1),0)),"")</f>
        <v/>
      </c>
    </row>
    <row r="412" spans="1:10" x14ac:dyDescent="0.3">
      <c r="A412" s="150"/>
      <c r="B412" s="150"/>
      <c r="C412" s="150"/>
      <c r="D412" s="150"/>
      <c r="E412" s="140" t="str">
        <f t="shared" si="19"/>
        <v/>
      </c>
      <c r="F412" s="159"/>
      <c r="G412" s="145">
        <f t="shared" si="21"/>
        <v>0</v>
      </c>
      <c r="H412" s="140" t="str">
        <f t="shared" si="20"/>
        <v/>
      </c>
      <c r="I412"/>
      <c r="J412" s="147" t="str">
        <f>IFERROR(SUMIFS(当年实际!$V:$V,当年实际!$F:$F,$C412,当年实际!$C:$C,"&gt;="&amp;DATE(YEAR(主页!$D$2),1,1),当年实际!$C:$C,"&lt;="&amp;EOMONTH(DATE(YEAR(主页!$D$2),MONTH(主页!$D$2),1),0))/SUMIFS(当年实际!$P:$P,当年实际!$F:$F,$C412,当年实际!$C:$C,"&gt;="&amp;DATE(YEAR(主页!$D$2),1,1),当年实际!$C:$C,"&lt;="&amp;EOMONTH(DATE(YEAR(主页!$D$2),MONTH(主页!$D$2),1),0)),"")</f>
        <v/>
      </c>
    </row>
    <row r="413" spans="1:10" x14ac:dyDescent="0.3">
      <c r="A413" s="150"/>
      <c r="B413" s="150"/>
      <c r="C413" s="150"/>
      <c r="D413" s="150"/>
      <c r="E413" s="140" t="str">
        <f t="shared" si="19"/>
        <v/>
      </c>
      <c r="F413" s="159"/>
      <c r="G413" s="145">
        <f t="shared" si="21"/>
        <v>0</v>
      </c>
      <c r="H413" s="140" t="str">
        <f t="shared" si="20"/>
        <v/>
      </c>
      <c r="I413"/>
      <c r="J413" s="147" t="str">
        <f>IFERROR(SUMIFS(当年实际!$V:$V,当年实际!$F:$F,$C413,当年实际!$C:$C,"&gt;="&amp;DATE(YEAR(主页!$D$2),1,1),当年实际!$C:$C,"&lt;="&amp;EOMONTH(DATE(YEAR(主页!$D$2),MONTH(主页!$D$2),1),0))/SUMIFS(当年实际!$P:$P,当年实际!$F:$F,$C413,当年实际!$C:$C,"&gt;="&amp;DATE(YEAR(主页!$D$2),1,1),当年实际!$C:$C,"&lt;="&amp;EOMONTH(DATE(YEAR(主页!$D$2),MONTH(主页!$D$2),1),0)),"")</f>
        <v/>
      </c>
    </row>
    <row r="414" spans="1:10" x14ac:dyDescent="0.3">
      <c r="A414" s="150"/>
      <c r="B414" s="150"/>
      <c r="C414" s="150"/>
      <c r="D414" s="150"/>
      <c r="E414" s="140" t="str">
        <f t="shared" si="19"/>
        <v/>
      </c>
      <c r="F414" s="159"/>
      <c r="G414" s="145">
        <f t="shared" si="21"/>
        <v>0</v>
      </c>
      <c r="H414" s="140" t="str">
        <f t="shared" si="20"/>
        <v/>
      </c>
      <c r="I414"/>
      <c r="J414" s="147" t="str">
        <f>IFERROR(SUMIFS(当年实际!$V:$V,当年实际!$F:$F,$C414,当年实际!$C:$C,"&gt;="&amp;DATE(YEAR(主页!$D$2),1,1),当年实际!$C:$C,"&lt;="&amp;EOMONTH(DATE(YEAR(主页!$D$2),MONTH(主页!$D$2),1),0))/SUMIFS(当年实际!$P:$P,当年实际!$F:$F,$C414,当年实际!$C:$C,"&gt;="&amp;DATE(YEAR(主页!$D$2),1,1),当年实际!$C:$C,"&lt;="&amp;EOMONTH(DATE(YEAR(主页!$D$2),MONTH(主页!$D$2),1),0)),"")</f>
        <v/>
      </c>
    </row>
    <row r="415" spans="1:10" x14ac:dyDescent="0.3">
      <c r="A415" s="150"/>
      <c r="B415" s="150"/>
      <c r="C415" s="150"/>
      <c r="D415" s="150"/>
      <c r="E415" s="140" t="str">
        <f t="shared" si="19"/>
        <v/>
      </c>
      <c r="F415" s="159"/>
      <c r="G415" s="145">
        <f t="shared" si="21"/>
        <v>0</v>
      </c>
      <c r="H415" s="140" t="str">
        <f t="shared" si="20"/>
        <v/>
      </c>
      <c r="I415"/>
      <c r="J415" s="147" t="str">
        <f>IFERROR(SUMIFS(当年实际!$V:$V,当年实际!$F:$F,$C415,当年实际!$C:$C,"&gt;="&amp;DATE(YEAR(主页!$D$2),1,1),当年实际!$C:$C,"&lt;="&amp;EOMONTH(DATE(YEAR(主页!$D$2),MONTH(主页!$D$2),1),0))/SUMIFS(当年实际!$P:$P,当年实际!$F:$F,$C415,当年实际!$C:$C,"&gt;="&amp;DATE(YEAR(主页!$D$2),1,1),当年实际!$C:$C,"&lt;="&amp;EOMONTH(DATE(YEAR(主页!$D$2),MONTH(主页!$D$2),1),0)),"")</f>
        <v/>
      </c>
    </row>
    <row r="416" spans="1:10" x14ac:dyDescent="0.3">
      <c r="A416" s="150"/>
      <c r="B416" s="150"/>
      <c r="C416" s="150"/>
      <c r="D416" s="150"/>
      <c r="E416" s="140" t="str">
        <f t="shared" si="19"/>
        <v/>
      </c>
      <c r="F416" s="159"/>
      <c r="G416" s="145">
        <f t="shared" si="21"/>
        <v>0</v>
      </c>
      <c r="H416" s="140" t="str">
        <f t="shared" si="20"/>
        <v/>
      </c>
      <c r="I416"/>
      <c r="J416" s="147" t="str">
        <f>IFERROR(SUMIFS(当年实际!$V:$V,当年实际!$F:$F,$C416,当年实际!$C:$C,"&gt;="&amp;DATE(YEAR(主页!$D$2),1,1),当年实际!$C:$C,"&lt;="&amp;EOMONTH(DATE(YEAR(主页!$D$2),MONTH(主页!$D$2),1),0))/SUMIFS(当年实际!$P:$P,当年实际!$F:$F,$C416,当年实际!$C:$C,"&gt;="&amp;DATE(YEAR(主页!$D$2),1,1),当年实际!$C:$C,"&lt;="&amp;EOMONTH(DATE(YEAR(主页!$D$2),MONTH(主页!$D$2),1),0)),"")</f>
        <v/>
      </c>
    </row>
    <row r="417" spans="1:10" x14ac:dyDescent="0.3">
      <c r="A417" s="150"/>
      <c r="B417" s="150"/>
      <c r="C417" s="150"/>
      <c r="D417" s="150"/>
      <c r="E417" s="140" t="str">
        <f t="shared" si="19"/>
        <v/>
      </c>
      <c r="F417" s="159"/>
      <c r="G417" s="145">
        <f t="shared" si="21"/>
        <v>0</v>
      </c>
      <c r="H417" s="140" t="str">
        <f t="shared" si="20"/>
        <v/>
      </c>
      <c r="I417"/>
      <c r="J417" s="147" t="str">
        <f>IFERROR(SUMIFS(当年实际!$V:$V,当年实际!$F:$F,$C417,当年实际!$C:$C,"&gt;="&amp;DATE(YEAR(主页!$D$2),1,1),当年实际!$C:$C,"&lt;="&amp;EOMONTH(DATE(YEAR(主页!$D$2),MONTH(主页!$D$2),1),0))/SUMIFS(当年实际!$P:$P,当年实际!$F:$F,$C417,当年实际!$C:$C,"&gt;="&amp;DATE(YEAR(主页!$D$2),1,1),当年实际!$C:$C,"&lt;="&amp;EOMONTH(DATE(YEAR(主页!$D$2),MONTH(主页!$D$2),1),0)),"")</f>
        <v/>
      </c>
    </row>
    <row r="418" spans="1:10" x14ac:dyDescent="0.3">
      <c r="A418" s="150"/>
      <c r="B418" s="150"/>
      <c r="C418" s="150"/>
      <c r="D418" s="150"/>
      <c r="E418" s="140" t="str">
        <f t="shared" si="19"/>
        <v/>
      </c>
      <c r="F418" s="159"/>
      <c r="G418" s="145">
        <f t="shared" si="21"/>
        <v>0</v>
      </c>
      <c r="H418" s="140" t="str">
        <f t="shared" si="20"/>
        <v/>
      </c>
      <c r="I418"/>
      <c r="J418" s="147" t="str">
        <f>IFERROR(SUMIFS(当年实际!$V:$V,当年实际!$F:$F,$C418,当年实际!$C:$C,"&gt;="&amp;DATE(YEAR(主页!$D$2),1,1),当年实际!$C:$C,"&lt;="&amp;EOMONTH(DATE(YEAR(主页!$D$2),MONTH(主页!$D$2),1),0))/SUMIFS(当年实际!$P:$P,当年实际!$F:$F,$C418,当年实际!$C:$C,"&gt;="&amp;DATE(YEAR(主页!$D$2),1,1),当年实际!$C:$C,"&lt;="&amp;EOMONTH(DATE(YEAR(主页!$D$2),MONTH(主页!$D$2),1),0)),"")</f>
        <v/>
      </c>
    </row>
    <row r="419" spans="1:10" x14ac:dyDescent="0.3">
      <c r="A419" s="150"/>
      <c r="B419" s="150"/>
      <c r="C419" s="150"/>
      <c r="D419" s="150"/>
      <c r="E419" s="140" t="str">
        <f t="shared" si="19"/>
        <v/>
      </c>
      <c r="F419" s="159"/>
      <c r="G419" s="145">
        <f t="shared" si="21"/>
        <v>0</v>
      </c>
      <c r="H419" s="140" t="str">
        <f t="shared" si="20"/>
        <v/>
      </c>
      <c r="I419"/>
      <c r="J419" s="147" t="str">
        <f>IFERROR(SUMIFS(当年实际!$V:$V,当年实际!$F:$F,$C419,当年实际!$C:$C,"&gt;="&amp;DATE(YEAR(主页!$D$2),1,1),当年实际!$C:$C,"&lt;="&amp;EOMONTH(DATE(YEAR(主页!$D$2),MONTH(主页!$D$2),1),0))/SUMIFS(当年实际!$P:$P,当年实际!$F:$F,$C419,当年实际!$C:$C,"&gt;="&amp;DATE(YEAR(主页!$D$2),1,1),当年实际!$C:$C,"&lt;="&amp;EOMONTH(DATE(YEAR(主页!$D$2),MONTH(主页!$D$2),1),0)),"")</f>
        <v/>
      </c>
    </row>
    <row r="420" spans="1:10" x14ac:dyDescent="0.3">
      <c r="A420" s="150"/>
      <c r="B420" s="150"/>
      <c r="C420" s="150"/>
      <c r="D420" s="150"/>
      <c r="E420" s="140" t="str">
        <f t="shared" si="19"/>
        <v/>
      </c>
      <c r="F420" s="159"/>
      <c r="G420" s="145">
        <f t="shared" si="21"/>
        <v>0</v>
      </c>
      <c r="H420" s="140" t="str">
        <f t="shared" si="20"/>
        <v/>
      </c>
      <c r="I420"/>
      <c r="J420" s="147" t="str">
        <f>IFERROR(SUMIFS(当年实际!$V:$V,当年实际!$F:$F,$C420,当年实际!$C:$C,"&gt;="&amp;DATE(YEAR(主页!$D$2),1,1),当年实际!$C:$C,"&lt;="&amp;EOMONTH(DATE(YEAR(主页!$D$2),MONTH(主页!$D$2),1),0))/SUMIFS(当年实际!$P:$P,当年实际!$F:$F,$C420,当年实际!$C:$C,"&gt;="&amp;DATE(YEAR(主页!$D$2),1,1),当年实际!$C:$C,"&lt;="&amp;EOMONTH(DATE(YEAR(主页!$D$2),MONTH(主页!$D$2),1),0)),"")</f>
        <v/>
      </c>
    </row>
    <row r="421" spans="1:10" x14ac:dyDescent="0.3">
      <c r="A421" s="150"/>
      <c r="B421" s="150"/>
      <c r="C421" s="150"/>
      <c r="D421" s="150"/>
      <c r="E421" s="140" t="str">
        <f t="shared" si="19"/>
        <v/>
      </c>
      <c r="F421" s="159"/>
      <c r="G421" s="145">
        <f t="shared" si="21"/>
        <v>0</v>
      </c>
      <c r="H421" s="140" t="str">
        <f t="shared" si="20"/>
        <v/>
      </c>
      <c r="I421"/>
      <c r="J421" s="147" t="str">
        <f>IFERROR(SUMIFS(当年实际!$V:$V,当年实际!$F:$F,$C421,当年实际!$C:$C,"&gt;="&amp;DATE(YEAR(主页!$D$2),1,1),当年实际!$C:$C,"&lt;="&amp;EOMONTH(DATE(YEAR(主页!$D$2),MONTH(主页!$D$2),1),0))/SUMIFS(当年实际!$P:$P,当年实际!$F:$F,$C421,当年实际!$C:$C,"&gt;="&amp;DATE(YEAR(主页!$D$2),1,1),当年实际!$C:$C,"&lt;="&amp;EOMONTH(DATE(YEAR(主页!$D$2),MONTH(主页!$D$2),1),0)),"")</f>
        <v/>
      </c>
    </row>
    <row r="422" spans="1:10" x14ac:dyDescent="0.3">
      <c r="A422" s="150"/>
      <c r="B422" s="150"/>
      <c r="C422" s="150"/>
      <c r="D422" s="150"/>
      <c r="E422" s="140" t="str">
        <f t="shared" si="19"/>
        <v/>
      </c>
      <c r="F422" s="159"/>
      <c r="G422" s="145">
        <f t="shared" si="21"/>
        <v>0</v>
      </c>
      <c r="H422" s="140" t="str">
        <f t="shared" si="20"/>
        <v/>
      </c>
      <c r="I422"/>
      <c r="J422" s="147" t="str">
        <f>IFERROR(SUMIFS(当年实际!$V:$V,当年实际!$F:$F,$C422,当年实际!$C:$C,"&gt;="&amp;DATE(YEAR(主页!$D$2),1,1),当年实际!$C:$C,"&lt;="&amp;EOMONTH(DATE(YEAR(主页!$D$2),MONTH(主页!$D$2),1),0))/SUMIFS(当年实际!$P:$P,当年实际!$F:$F,$C422,当年实际!$C:$C,"&gt;="&amp;DATE(YEAR(主页!$D$2),1,1),当年实际!$C:$C,"&lt;="&amp;EOMONTH(DATE(YEAR(主页!$D$2),MONTH(主页!$D$2),1),0)),"")</f>
        <v/>
      </c>
    </row>
    <row r="423" spans="1:10" x14ac:dyDescent="0.3">
      <c r="A423" s="150"/>
      <c r="B423" s="150"/>
      <c r="C423" s="150"/>
      <c r="D423" s="150"/>
      <c r="E423" s="140" t="str">
        <f t="shared" si="19"/>
        <v/>
      </c>
      <c r="F423" s="159"/>
      <c r="G423" s="145">
        <f t="shared" si="21"/>
        <v>0</v>
      </c>
      <c r="H423" s="140" t="str">
        <f t="shared" si="20"/>
        <v/>
      </c>
      <c r="I423"/>
      <c r="J423" s="147" t="str">
        <f>IFERROR(SUMIFS(当年实际!$V:$V,当年实际!$F:$F,$C423,当年实际!$C:$C,"&gt;="&amp;DATE(YEAR(主页!$D$2),1,1),当年实际!$C:$C,"&lt;="&amp;EOMONTH(DATE(YEAR(主页!$D$2),MONTH(主页!$D$2),1),0))/SUMIFS(当年实际!$P:$P,当年实际!$F:$F,$C423,当年实际!$C:$C,"&gt;="&amp;DATE(YEAR(主页!$D$2),1,1),当年实际!$C:$C,"&lt;="&amp;EOMONTH(DATE(YEAR(主页!$D$2),MONTH(主页!$D$2),1),0)),"")</f>
        <v/>
      </c>
    </row>
    <row r="424" spans="1:10" x14ac:dyDescent="0.3">
      <c r="A424" s="150"/>
      <c r="B424" s="150"/>
      <c r="C424" s="150"/>
      <c r="D424" s="150"/>
      <c r="E424" s="140" t="str">
        <f t="shared" si="19"/>
        <v/>
      </c>
      <c r="F424" s="159"/>
      <c r="G424" s="145">
        <f t="shared" si="21"/>
        <v>0</v>
      </c>
      <c r="H424" s="140" t="str">
        <f t="shared" si="20"/>
        <v/>
      </c>
      <c r="I424"/>
      <c r="J424" s="147" t="str">
        <f>IFERROR(SUMIFS(当年实际!$V:$V,当年实际!$F:$F,$C424,当年实际!$C:$C,"&gt;="&amp;DATE(YEAR(主页!$D$2),1,1),当年实际!$C:$C,"&lt;="&amp;EOMONTH(DATE(YEAR(主页!$D$2),MONTH(主页!$D$2),1),0))/SUMIFS(当年实际!$P:$P,当年实际!$F:$F,$C424,当年实际!$C:$C,"&gt;="&amp;DATE(YEAR(主页!$D$2),1,1),当年实际!$C:$C,"&lt;="&amp;EOMONTH(DATE(YEAR(主页!$D$2),MONTH(主页!$D$2),1),0)),"")</f>
        <v/>
      </c>
    </row>
    <row r="425" spans="1:10" x14ac:dyDescent="0.3">
      <c r="A425" s="150"/>
      <c r="B425" s="150"/>
      <c r="C425" s="150"/>
      <c r="D425" s="150"/>
      <c r="E425" s="140" t="str">
        <f t="shared" si="19"/>
        <v/>
      </c>
      <c r="F425" s="159"/>
      <c r="G425" s="145">
        <f t="shared" si="21"/>
        <v>0</v>
      </c>
      <c r="H425" s="140" t="str">
        <f t="shared" si="20"/>
        <v/>
      </c>
      <c r="I425"/>
      <c r="J425" s="147" t="str">
        <f>IFERROR(SUMIFS(当年实际!$V:$V,当年实际!$F:$F,$C425,当年实际!$C:$C,"&gt;="&amp;DATE(YEAR(主页!$D$2),1,1),当年实际!$C:$C,"&lt;="&amp;EOMONTH(DATE(YEAR(主页!$D$2),MONTH(主页!$D$2),1),0))/SUMIFS(当年实际!$P:$P,当年实际!$F:$F,$C425,当年实际!$C:$C,"&gt;="&amp;DATE(YEAR(主页!$D$2),1,1),当年实际!$C:$C,"&lt;="&amp;EOMONTH(DATE(YEAR(主页!$D$2),MONTH(主页!$D$2),1),0)),"")</f>
        <v/>
      </c>
    </row>
    <row r="426" spans="1:10" x14ac:dyDescent="0.3">
      <c r="A426" s="150"/>
      <c r="B426" s="150"/>
      <c r="C426" s="150"/>
      <c r="D426" s="150"/>
      <c r="E426" s="140" t="str">
        <f t="shared" si="19"/>
        <v/>
      </c>
      <c r="F426" s="159"/>
      <c r="G426" s="145">
        <f t="shared" si="21"/>
        <v>0</v>
      </c>
      <c r="H426" s="140" t="str">
        <f t="shared" si="20"/>
        <v/>
      </c>
      <c r="I426"/>
      <c r="J426" s="147" t="str">
        <f>IFERROR(SUMIFS(当年实际!$V:$V,当年实际!$F:$F,$C426,当年实际!$C:$C,"&gt;="&amp;DATE(YEAR(主页!$D$2),1,1),当年实际!$C:$C,"&lt;="&amp;EOMONTH(DATE(YEAR(主页!$D$2),MONTH(主页!$D$2),1),0))/SUMIFS(当年实际!$P:$P,当年实际!$F:$F,$C426,当年实际!$C:$C,"&gt;="&amp;DATE(YEAR(主页!$D$2),1,1),当年实际!$C:$C,"&lt;="&amp;EOMONTH(DATE(YEAR(主页!$D$2),MONTH(主页!$D$2),1),0)),"")</f>
        <v/>
      </c>
    </row>
    <row r="427" spans="1:10" x14ac:dyDescent="0.3">
      <c r="A427" s="150"/>
      <c r="B427" s="150"/>
      <c r="C427" s="150"/>
      <c r="D427" s="150"/>
      <c r="E427" s="140" t="str">
        <f t="shared" si="19"/>
        <v/>
      </c>
      <c r="F427" s="159"/>
      <c r="G427" s="145">
        <f t="shared" si="21"/>
        <v>0</v>
      </c>
      <c r="H427" s="140" t="str">
        <f t="shared" si="20"/>
        <v/>
      </c>
      <c r="I427"/>
      <c r="J427" s="147" t="str">
        <f>IFERROR(SUMIFS(当年实际!$V:$V,当年实际!$F:$F,$C427,当年实际!$C:$C,"&gt;="&amp;DATE(YEAR(主页!$D$2),1,1),当年实际!$C:$C,"&lt;="&amp;EOMONTH(DATE(YEAR(主页!$D$2),MONTH(主页!$D$2),1),0))/SUMIFS(当年实际!$P:$P,当年实际!$F:$F,$C427,当年实际!$C:$C,"&gt;="&amp;DATE(YEAR(主页!$D$2),1,1),当年实际!$C:$C,"&lt;="&amp;EOMONTH(DATE(YEAR(主页!$D$2),MONTH(主页!$D$2),1),0)),"")</f>
        <v/>
      </c>
    </row>
    <row r="428" spans="1:10" x14ac:dyDescent="0.3">
      <c r="A428" s="150"/>
      <c r="B428" s="150"/>
      <c r="C428" s="150"/>
      <c r="D428" s="150"/>
      <c r="E428" s="140" t="str">
        <f t="shared" si="19"/>
        <v/>
      </c>
      <c r="F428" s="159"/>
      <c r="G428" s="145">
        <f t="shared" si="21"/>
        <v>0</v>
      </c>
      <c r="H428" s="140" t="str">
        <f t="shared" si="20"/>
        <v/>
      </c>
      <c r="I428"/>
      <c r="J428" s="147" t="str">
        <f>IFERROR(SUMIFS(当年实际!$V:$V,当年实际!$F:$F,$C428,当年实际!$C:$C,"&gt;="&amp;DATE(YEAR(主页!$D$2),1,1),当年实际!$C:$C,"&lt;="&amp;EOMONTH(DATE(YEAR(主页!$D$2),MONTH(主页!$D$2),1),0))/SUMIFS(当年实际!$P:$P,当年实际!$F:$F,$C428,当年实际!$C:$C,"&gt;="&amp;DATE(YEAR(主页!$D$2),1,1),当年实际!$C:$C,"&lt;="&amp;EOMONTH(DATE(YEAR(主页!$D$2),MONTH(主页!$D$2),1),0)),"")</f>
        <v/>
      </c>
    </row>
    <row r="429" spans="1:10" x14ac:dyDescent="0.3">
      <c r="A429" s="150"/>
      <c r="B429" s="150"/>
      <c r="C429" s="150"/>
      <c r="D429" s="150"/>
      <c r="E429" s="140" t="str">
        <f t="shared" si="19"/>
        <v/>
      </c>
      <c r="F429" s="159"/>
      <c r="G429" s="145">
        <f t="shared" si="21"/>
        <v>0</v>
      </c>
      <c r="H429" s="140" t="str">
        <f t="shared" si="20"/>
        <v/>
      </c>
      <c r="I429"/>
      <c r="J429" s="147" t="str">
        <f>IFERROR(SUMIFS(当年实际!$V:$V,当年实际!$F:$F,$C429,当年实际!$C:$C,"&gt;="&amp;DATE(YEAR(主页!$D$2),1,1),当年实际!$C:$C,"&lt;="&amp;EOMONTH(DATE(YEAR(主页!$D$2),MONTH(主页!$D$2),1),0))/SUMIFS(当年实际!$P:$P,当年实际!$F:$F,$C429,当年实际!$C:$C,"&gt;="&amp;DATE(YEAR(主页!$D$2),1,1),当年实际!$C:$C,"&lt;="&amp;EOMONTH(DATE(YEAR(主页!$D$2),MONTH(主页!$D$2),1),0)),"")</f>
        <v/>
      </c>
    </row>
    <row r="430" spans="1:10" x14ac:dyDescent="0.3">
      <c r="A430" s="150"/>
      <c r="B430" s="150"/>
      <c r="C430" s="150"/>
      <c r="D430" s="150"/>
      <c r="E430" s="140" t="str">
        <f t="shared" si="19"/>
        <v/>
      </c>
      <c r="F430" s="159"/>
      <c r="G430" s="145">
        <f t="shared" si="21"/>
        <v>0</v>
      </c>
      <c r="H430" s="140" t="str">
        <f t="shared" si="20"/>
        <v/>
      </c>
      <c r="I430"/>
      <c r="J430" s="147" t="str">
        <f>IFERROR(SUMIFS(当年实际!$V:$V,当年实际!$F:$F,$C430,当年实际!$C:$C,"&gt;="&amp;DATE(YEAR(主页!$D$2),1,1),当年实际!$C:$C,"&lt;="&amp;EOMONTH(DATE(YEAR(主页!$D$2),MONTH(主页!$D$2),1),0))/SUMIFS(当年实际!$P:$P,当年实际!$F:$F,$C430,当年实际!$C:$C,"&gt;="&amp;DATE(YEAR(主页!$D$2),1,1),当年实际!$C:$C,"&lt;="&amp;EOMONTH(DATE(YEAR(主页!$D$2),MONTH(主页!$D$2),1),0)),"")</f>
        <v/>
      </c>
    </row>
    <row r="431" spans="1:10" x14ac:dyDescent="0.3">
      <c r="A431" s="150"/>
      <c r="B431" s="150"/>
      <c r="C431" s="150"/>
      <c r="D431" s="150"/>
      <c r="E431" s="140" t="str">
        <f t="shared" si="19"/>
        <v/>
      </c>
      <c r="F431" s="159"/>
      <c r="G431" s="145">
        <f t="shared" si="21"/>
        <v>0</v>
      </c>
      <c r="H431" s="140" t="str">
        <f t="shared" si="20"/>
        <v/>
      </c>
      <c r="I431"/>
      <c r="J431" s="147" t="str">
        <f>IFERROR(SUMIFS(当年实际!$V:$V,当年实际!$F:$F,$C431,当年实际!$C:$C,"&gt;="&amp;DATE(YEAR(主页!$D$2),1,1),当年实际!$C:$C,"&lt;="&amp;EOMONTH(DATE(YEAR(主页!$D$2),MONTH(主页!$D$2),1),0))/SUMIFS(当年实际!$P:$P,当年实际!$F:$F,$C431,当年实际!$C:$C,"&gt;="&amp;DATE(YEAR(主页!$D$2),1,1),当年实际!$C:$C,"&lt;="&amp;EOMONTH(DATE(YEAR(主页!$D$2),MONTH(主页!$D$2),1),0)),"")</f>
        <v/>
      </c>
    </row>
    <row r="432" spans="1:10" x14ac:dyDescent="0.3">
      <c r="A432" s="150"/>
      <c r="B432" s="150"/>
      <c r="C432" s="150"/>
      <c r="D432" s="150"/>
      <c r="E432" s="140" t="str">
        <f t="shared" si="19"/>
        <v/>
      </c>
      <c r="F432" s="159"/>
      <c r="G432" s="145">
        <f t="shared" si="21"/>
        <v>0</v>
      </c>
      <c r="H432" s="140" t="str">
        <f t="shared" si="20"/>
        <v/>
      </c>
      <c r="I432"/>
      <c r="J432" s="147" t="str">
        <f>IFERROR(SUMIFS(当年实际!$V:$V,当年实际!$F:$F,$C432,当年实际!$C:$C,"&gt;="&amp;DATE(YEAR(主页!$D$2),1,1),当年实际!$C:$C,"&lt;="&amp;EOMONTH(DATE(YEAR(主页!$D$2),MONTH(主页!$D$2),1),0))/SUMIFS(当年实际!$P:$P,当年实际!$F:$F,$C432,当年实际!$C:$C,"&gt;="&amp;DATE(YEAR(主页!$D$2),1,1),当年实际!$C:$C,"&lt;="&amp;EOMONTH(DATE(YEAR(主页!$D$2),MONTH(主页!$D$2),1),0)),"")</f>
        <v/>
      </c>
    </row>
    <row r="433" spans="1:10" x14ac:dyDescent="0.3">
      <c r="A433" s="150"/>
      <c r="B433" s="150"/>
      <c r="C433" s="150"/>
      <c r="D433" s="150"/>
      <c r="E433" s="140" t="str">
        <f t="shared" si="19"/>
        <v/>
      </c>
      <c r="F433" s="159"/>
      <c r="G433" s="145">
        <f t="shared" si="21"/>
        <v>0</v>
      </c>
      <c r="H433" s="140" t="str">
        <f t="shared" si="20"/>
        <v/>
      </c>
      <c r="I433"/>
      <c r="J433" s="147" t="str">
        <f>IFERROR(SUMIFS(当年实际!$V:$V,当年实际!$F:$F,$C433,当年实际!$C:$C,"&gt;="&amp;DATE(YEAR(主页!$D$2),1,1),当年实际!$C:$C,"&lt;="&amp;EOMONTH(DATE(YEAR(主页!$D$2),MONTH(主页!$D$2),1),0))/SUMIFS(当年实际!$P:$P,当年实际!$F:$F,$C433,当年实际!$C:$C,"&gt;="&amp;DATE(YEAR(主页!$D$2),1,1),当年实际!$C:$C,"&lt;="&amp;EOMONTH(DATE(YEAR(主页!$D$2),MONTH(主页!$D$2),1),0)),"")</f>
        <v/>
      </c>
    </row>
    <row r="434" spans="1:10" x14ac:dyDescent="0.3">
      <c r="A434" s="150"/>
      <c r="B434" s="150"/>
      <c r="C434" s="150"/>
      <c r="D434" s="150"/>
      <c r="E434" s="140" t="str">
        <f t="shared" si="19"/>
        <v/>
      </c>
      <c r="F434" s="159"/>
      <c r="G434" s="145">
        <f t="shared" si="21"/>
        <v>0</v>
      </c>
      <c r="H434" s="140" t="str">
        <f t="shared" si="20"/>
        <v/>
      </c>
      <c r="I434"/>
      <c r="J434" s="147" t="str">
        <f>IFERROR(SUMIFS(当年实际!$V:$V,当年实际!$F:$F,$C434,当年实际!$C:$C,"&gt;="&amp;DATE(YEAR(主页!$D$2),1,1),当年实际!$C:$C,"&lt;="&amp;EOMONTH(DATE(YEAR(主页!$D$2),MONTH(主页!$D$2),1),0))/SUMIFS(当年实际!$P:$P,当年实际!$F:$F,$C434,当年实际!$C:$C,"&gt;="&amp;DATE(YEAR(主页!$D$2),1,1),当年实际!$C:$C,"&lt;="&amp;EOMONTH(DATE(YEAR(主页!$D$2),MONTH(主页!$D$2),1),0)),"")</f>
        <v/>
      </c>
    </row>
    <row r="435" spans="1:10" x14ac:dyDescent="0.3">
      <c r="A435" s="150"/>
      <c r="B435" s="150"/>
      <c r="C435" s="150"/>
      <c r="D435" s="150"/>
      <c r="E435" s="140" t="str">
        <f t="shared" si="19"/>
        <v/>
      </c>
      <c r="F435" s="159"/>
      <c r="G435" s="145">
        <f t="shared" si="21"/>
        <v>0</v>
      </c>
      <c r="H435" s="140" t="str">
        <f t="shared" si="20"/>
        <v/>
      </c>
      <c r="I435"/>
      <c r="J435" s="147" t="str">
        <f>IFERROR(SUMIFS(当年实际!$V:$V,当年实际!$F:$F,$C435,当年实际!$C:$C,"&gt;="&amp;DATE(YEAR(主页!$D$2),1,1),当年实际!$C:$C,"&lt;="&amp;EOMONTH(DATE(YEAR(主页!$D$2),MONTH(主页!$D$2),1),0))/SUMIFS(当年实际!$P:$P,当年实际!$F:$F,$C435,当年实际!$C:$C,"&gt;="&amp;DATE(YEAR(主页!$D$2),1,1),当年实际!$C:$C,"&lt;="&amp;EOMONTH(DATE(YEAR(主页!$D$2),MONTH(主页!$D$2),1),0)),"")</f>
        <v/>
      </c>
    </row>
    <row r="436" spans="1:10" x14ac:dyDescent="0.3">
      <c r="A436" s="150"/>
      <c r="B436" s="150"/>
      <c r="C436" s="150"/>
      <c r="D436" s="150"/>
      <c r="E436" s="140" t="str">
        <f t="shared" si="19"/>
        <v/>
      </c>
      <c r="F436" s="159"/>
      <c r="G436" s="145">
        <f t="shared" si="21"/>
        <v>0</v>
      </c>
      <c r="H436" s="140" t="str">
        <f t="shared" si="20"/>
        <v/>
      </c>
      <c r="I436"/>
      <c r="J436" s="147" t="str">
        <f>IFERROR(SUMIFS(当年实际!$V:$V,当年实际!$F:$F,$C436,当年实际!$C:$C,"&gt;="&amp;DATE(YEAR(主页!$D$2),1,1),当年实际!$C:$C,"&lt;="&amp;EOMONTH(DATE(YEAR(主页!$D$2),MONTH(主页!$D$2),1),0))/SUMIFS(当年实际!$P:$P,当年实际!$F:$F,$C436,当年实际!$C:$C,"&gt;="&amp;DATE(YEAR(主页!$D$2),1,1),当年实际!$C:$C,"&lt;="&amp;EOMONTH(DATE(YEAR(主页!$D$2),MONTH(主页!$D$2),1),0)),"")</f>
        <v/>
      </c>
    </row>
    <row r="437" spans="1:10" x14ac:dyDescent="0.3">
      <c r="A437" s="150"/>
      <c r="B437" s="150"/>
      <c r="C437" s="150"/>
      <c r="D437" s="150"/>
      <c r="E437" s="140" t="str">
        <f t="shared" si="19"/>
        <v/>
      </c>
      <c r="F437" s="159"/>
      <c r="G437" s="145">
        <f t="shared" si="21"/>
        <v>0</v>
      </c>
      <c r="H437" s="140" t="str">
        <f t="shared" si="20"/>
        <v/>
      </c>
      <c r="I437"/>
      <c r="J437" s="147" t="str">
        <f>IFERROR(SUMIFS(当年实际!$V:$V,当年实际!$F:$F,$C437,当年实际!$C:$C,"&gt;="&amp;DATE(YEAR(主页!$D$2),1,1),当年实际!$C:$C,"&lt;="&amp;EOMONTH(DATE(YEAR(主页!$D$2),MONTH(主页!$D$2),1),0))/SUMIFS(当年实际!$P:$P,当年实际!$F:$F,$C437,当年实际!$C:$C,"&gt;="&amp;DATE(YEAR(主页!$D$2),1,1),当年实际!$C:$C,"&lt;="&amp;EOMONTH(DATE(YEAR(主页!$D$2),MONTH(主页!$D$2),1),0)),"")</f>
        <v/>
      </c>
    </row>
    <row r="438" spans="1:10" x14ac:dyDescent="0.3">
      <c r="A438" s="150"/>
      <c r="B438" s="150"/>
      <c r="C438" s="150"/>
      <c r="D438" s="150"/>
      <c r="E438" s="140" t="str">
        <f t="shared" si="19"/>
        <v/>
      </c>
      <c r="F438" s="159"/>
      <c r="G438" s="145">
        <f t="shared" si="21"/>
        <v>0</v>
      </c>
      <c r="H438" s="140" t="str">
        <f t="shared" si="20"/>
        <v/>
      </c>
      <c r="I438"/>
      <c r="J438" s="147" t="str">
        <f>IFERROR(SUMIFS(当年实际!$V:$V,当年实际!$F:$F,$C438,当年实际!$C:$C,"&gt;="&amp;DATE(YEAR(主页!$D$2),1,1),当年实际!$C:$C,"&lt;="&amp;EOMONTH(DATE(YEAR(主页!$D$2),MONTH(主页!$D$2),1),0))/SUMIFS(当年实际!$P:$P,当年实际!$F:$F,$C438,当年实际!$C:$C,"&gt;="&amp;DATE(YEAR(主页!$D$2),1,1),当年实际!$C:$C,"&lt;="&amp;EOMONTH(DATE(YEAR(主页!$D$2),MONTH(主页!$D$2),1),0)),"")</f>
        <v/>
      </c>
    </row>
    <row r="439" spans="1:10" x14ac:dyDescent="0.3">
      <c r="A439" s="150"/>
      <c r="B439" s="150"/>
      <c r="C439" s="150"/>
      <c r="D439" s="150"/>
      <c r="E439" s="140" t="str">
        <f t="shared" si="19"/>
        <v/>
      </c>
      <c r="F439" s="159"/>
      <c r="G439" s="145">
        <f t="shared" si="21"/>
        <v>0</v>
      </c>
      <c r="H439" s="140" t="str">
        <f t="shared" si="20"/>
        <v/>
      </c>
      <c r="I439"/>
      <c r="J439" s="147" t="str">
        <f>IFERROR(SUMIFS(当年实际!$V:$V,当年实际!$F:$F,$C439,当年实际!$C:$C,"&gt;="&amp;DATE(YEAR(主页!$D$2),1,1),当年实际!$C:$C,"&lt;="&amp;EOMONTH(DATE(YEAR(主页!$D$2),MONTH(主页!$D$2),1),0))/SUMIFS(当年实际!$P:$P,当年实际!$F:$F,$C439,当年实际!$C:$C,"&gt;="&amp;DATE(YEAR(主页!$D$2),1,1),当年实际!$C:$C,"&lt;="&amp;EOMONTH(DATE(YEAR(主页!$D$2),MONTH(主页!$D$2),1),0)),"")</f>
        <v/>
      </c>
    </row>
    <row r="440" spans="1:10" x14ac:dyDescent="0.3">
      <c r="A440" s="150"/>
      <c r="B440" s="150"/>
      <c r="C440" s="150"/>
      <c r="D440" s="150"/>
      <c r="E440" s="140" t="str">
        <f t="shared" si="19"/>
        <v/>
      </c>
      <c r="F440" s="159"/>
      <c r="G440" s="145">
        <f t="shared" si="21"/>
        <v>0</v>
      </c>
      <c r="H440" s="140" t="str">
        <f t="shared" si="20"/>
        <v/>
      </c>
      <c r="I440"/>
      <c r="J440" s="147" t="str">
        <f>IFERROR(SUMIFS(当年实际!$V:$V,当年实际!$F:$F,$C440,当年实际!$C:$C,"&gt;="&amp;DATE(YEAR(主页!$D$2),1,1),当年实际!$C:$C,"&lt;="&amp;EOMONTH(DATE(YEAR(主页!$D$2),MONTH(主页!$D$2),1),0))/SUMIFS(当年实际!$P:$P,当年实际!$F:$F,$C440,当年实际!$C:$C,"&gt;="&amp;DATE(YEAR(主页!$D$2),1,1),当年实际!$C:$C,"&lt;="&amp;EOMONTH(DATE(YEAR(主页!$D$2),MONTH(主页!$D$2),1),0)),"")</f>
        <v/>
      </c>
    </row>
    <row r="441" spans="1:10" x14ac:dyDescent="0.3">
      <c r="A441" s="150"/>
      <c r="B441" s="150"/>
      <c r="C441" s="150"/>
      <c r="D441" s="150"/>
      <c r="E441" s="140" t="str">
        <f t="shared" si="19"/>
        <v/>
      </c>
      <c r="F441" s="159"/>
      <c r="G441" s="145">
        <f t="shared" si="21"/>
        <v>0</v>
      </c>
      <c r="H441" s="140" t="str">
        <f t="shared" si="20"/>
        <v/>
      </c>
      <c r="I441"/>
      <c r="J441" s="147" t="str">
        <f>IFERROR(SUMIFS(当年实际!$V:$V,当年实际!$F:$F,$C441,当年实际!$C:$C,"&gt;="&amp;DATE(YEAR(主页!$D$2),1,1),当年实际!$C:$C,"&lt;="&amp;EOMONTH(DATE(YEAR(主页!$D$2),MONTH(主页!$D$2),1),0))/SUMIFS(当年实际!$P:$P,当年实际!$F:$F,$C441,当年实际!$C:$C,"&gt;="&amp;DATE(YEAR(主页!$D$2),1,1),当年实际!$C:$C,"&lt;="&amp;EOMONTH(DATE(YEAR(主页!$D$2),MONTH(主页!$D$2),1),0)),"")</f>
        <v/>
      </c>
    </row>
    <row r="442" spans="1:10" x14ac:dyDescent="0.3">
      <c r="A442" s="150"/>
      <c r="B442" s="150"/>
      <c r="C442" s="150"/>
      <c r="D442" s="150"/>
      <c r="E442" s="140" t="str">
        <f t="shared" si="19"/>
        <v/>
      </c>
      <c r="F442" s="159"/>
      <c r="G442" s="145">
        <f t="shared" si="21"/>
        <v>0</v>
      </c>
      <c r="H442" s="140" t="str">
        <f t="shared" si="20"/>
        <v/>
      </c>
      <c r="I442"/>
      <c r="J442" s="147" t="str">
        <f>IFERROR(SUMIFS(当年实际!$V:$V,当年实际!$F:$F,$C442,当年实际!$C:$C,"&gt;="&amp;DATE(YEAR(主页!$D$2),1,1),当年实际!$C:$C,"&lt;="&amp;EOMONTH(DATE(YEAR(主页!$D$2),MONTH(主页!$D$2),1),0))/SUMIFS(当年实际!$P:$P,当年实际!$F:$F,$C442,当年实际!$C:$C,"&gt;="&amp;DATE(YEAR(主页!$D$2),1,1),当年实际!$C:$C,"&lt;="&amp;EOMONTH(DATE(YEAR(主页!$D$2),MONTH(主页!$D$2),1),0)),"")</f>
        <v/>
      </c>
    </row>
    <row r="443" spans="1:10" x14ac:dyDescent="0.3">
      <c r="A443" s="150"/>
      <c r="B443" s="150"/>
      <c r="C443" s="150"/>
      <c r="D443" s="150"/>
      <c r="E443" s="140" t="str">
        <f t="shared" si="19"/>
        <v/>
      </c>
      <c r="F443" s="159"/>
      <c r="G443" s="145">
        <f t="shared" si="21"/>
        <v>0</v>
      </c>
      <c r="H443" s="140" t="str">
        <f t="shared" si="20"/>
        <v/>
      </c>
      <c r="I443"/>
      <c r="J443" s="147" t="str">
        <f>IFERROR(SUMIFS(当年实际!$V:$V,当年实际!$F:$F,$C443,当年实际!$C:$C,"&gt;="&amp;DATE(YEAR(主页!$D$2),1,1),当年实际!$C:$C,"&lt;="&amp;EOMONTH(DATE(YEAR(主页!$D$2),MONTH(主页!$D$2),1),0))/SUMIFS(当年实际!$P:$P,当年实际!$F:$F,$C443,当年实际!$C:$C,"&gt;="&amp;DATE(YEAR(主页!$D$2),1,1),当年实际!$C:$C,"&lt;="&amp;EOMONTH(DATE(YEAR(主页!$D$2),MONTH(主页!$D$2),1),0)),"")</f>
        <v/>
      </c>
    </row>
    <row r="444" spans="1:10" x14ac:dyDescent="0.3">
      <c r="A444" s="150"/>
      <c r="B444" s="150"/>
      <c r="C444" s="150"/>
      <c r="D444" s="150"/>
      <c r="E444" s="140" t="str">
        <f t="shared" si="19"/>
        <v/>
      </c>
      <c r="F444" s="159"/>
      <c r="G444" s="145">
        <f t="shared" si="21"/>
        <v>0</v>
      </c>
      <c r="H444" s="140" t="str">
        <f t="shared" si="20"/>
        <v/>
      </c>
      <c r="I444"/>
      <c r="J444" s="147" t="str">
        <f>IFERROR(SUMIFS(当年实际!$V:$V,当年实际!$F:$F,$C444,当年实际!$C:$C,"&gt;="&amp;DATE(YEAR(主页!$D$2),1,1),当年实际!$C:$C,"&lt;="&amp;EOMONTH(DATE(YEAR(主页!$D$2),MONTH(主页!$D$2),1),0))/SUMIFS(当年实际!$P:$P,当年实际!$F:$F,$C444,当年实际!$C:$C,"&gt;="&amp;DATE(YEAR(主页!$D$2),1,1),当年实际!$C:$C,"&lt;="&amp;EOMONTH(DATE(YEAR(主页!$D$2),MONTH(主页!$D$2),1),0)),"")</f>
        <v/>
      </c>
    </row>
    <row r="445" spans="1:10" x14ac:dyDescent="0.3">
      <c r="A445" s="150"/>
      <c r="B445" s="150"/>
      <c r="C445" s="150"/>
      <c r="D445" s="150"/>
      <c r="E445" s="140" t="str">
        <f t="shared" si="19"/>
        <v/>
      </c>
      <c r="F445" s="159"/>
      <c r="G445" s="145">
        <f t="shared" si="21"/>
        <v>0</v>
      </c>
      <c r="H445" s="140" t="str">
        <f t="shared" si="20"/>
        <v/>
      </c>
      <c r="I445"/>
      <c r="J445" s="147" t="str">
        <f>IFERROR(SUMIFS(当年实际!$V:$V,当年实际!$F:$F,$C445,当年实际!$C:$C,"&gt;="&amp;DATE(YEAR(主页!$D$2),1,1),当年实际!$C:$C,"&lt;="&amp;EOMONTH(DATE(YEAR(主页!$D$2),MONTH(主页!$D$2),1),0))/SUMIFS(当年实际!$P:$P,当年实际!$F:$F,$C445,当年实际!$C:$C,"&gt;="&amp;DATE(YEAR(主页!$D$2),1,1),当年实际!$C:$C,"&lt;="&amp;EOMONTH(DATE(YEAR(主页!$D$2),MONTH(主页!$D$2),1),0)),"")</f>
        <v/>
      </c>
    </row>
    <row r="446" spans="1:10" x14ac:dyDescent="0.3">
      <c r="A446" s="150"/>
      <c r="B446" s="150"/>
      <c r="C446" s="150"/>
      <c r="D446" s="150"/>
      <c r="E446" s="140" t="str">
        <f t="shared" si="19"/>
        <v/>
      </c>
      <c r="F446" s="159"/>
      <c r="G446" s="145">
        <f t="shared" si="21"/>
        <v>0</v>
      </c>
      <c r="H446" s="140" t="str">
        <f t="shared" si="20"/>
        <v/>
      </c>
      <c r="I446"/>
      <c r="J446" s="147" t="str">
        <f>IFERROR(SUMIFS(当年实际!$V:$V,当年实际!$F:$F,$C446,当年实际!$C:$C,"&gt;="&amp;DATE(YEAR(主页!$D$2),1,1),当年实际!$C:$C,"&lt;="&amp;EOMONTH(DATE(YEAR(主页!$D$2),MONTH(主页!$D$2),1),0))/SUMIFS(当年实际!$P:$P,当年实际!$F:$F,$C446,当年实际!$C:$C,"&gt;="&amp;DATE(YEAR(主页!$D$2),1,1),当年实际!$C:$C,"&lt;="&amp;EOMONTH(DATE(YEAR(主页!$D$2),MONTH(主页!$D$2),1),0)),"")</f>
        <v/>
      </c>
    </row>
    <row r="447" spans="1:10" x14ac:dyDescent="0.3">
      <c r="A447" s="150"/>
      <c r="B447" s="150"/>
      <c r="C447" s="150"/>
      <c r="D447" s="150"/>
      <c r="E447" s="140" t="str">
        <f t="shared" si="19"/>
        <v/>
      </c>
      <c r="F447" s="159"/>
      <c r="G447" s="145">
        <f t="shared" si="21"/>
        <v>0</v>
      </c>
      <c r="H447" s="140" t="str">
        <f t="shared" si="20"/>
        <v/>
      </c>
      <c r="I447"/>
      <c r="J447" s="147" t="str">
        <f>IFERROR(SUMIFS(当年实际!$V:$V,当年实际!$F:$F,$C447,当年实际!$C:$C,"&gt;="&amp;DATE(YEAR(主页!$D$2),1,1),当年实际!$C:$C,"&lt;="&amp;EOMONTH(DATE(YEAR(主页!$D$2),MONTH(主页!$D$2),1),0))/SUMIFS(当年实际!$P:$P,当年实际!$F:$F,$C447,当年实际!$C:$C,"&gt;="&amp;DATE(YEAR(主页!$D$2),1,1),当年实际!$C:$C,"&lt;="&amp;EOMONTH(DATE(YEAR(主页!$D$2),MONTH(主页!$D$2),1),0)),"")</f>
        <v/>
      </c>
    </row>
    <row r="448" spans="1:10" x14ac:dyDescent="0.3">
      <c r="A448" s="150"/>
      <c r="B448" s="150"/>
      <c r="C448" s="150"/>
      <c r="D448" s="150"/>
      <c r="E448" s="140" t="str">
        <f t="shared" si="19"/>
        <v/>
      </c>
      <c r="F448" s="159"/>
      <c r="G448" s="145">
        <f t="shared" si="21"/>
        <v>0</v>
      </c>
      <c r="H448" s="140" t="str">
        <f t="shared" si="20"/>
        <v/>
      </c>
      <c r="I448"/>
      <c r="J448" s="147" t="str">
        <f>IFERROR(SUMIFS(当年实际!$V:$V,当年实际!$F:$F,$C448,当年实际!$C:$C,"&gt;="&amp;DATE(YEAR(主页!$D$2),1,1),当年实际!$C:$C,"&lt;="&amp;EOMONTH(DATE(YEAR(主页!$D$2),MONTH(主页!$D$2),1),0))/SUMIFS(当年实际!$P:$P,当年实际!$F:$F,$C448,当年实际!$C:$C,"&gt;="&amp;DATE(YEAR(主页!$D$2),1,1),当年实际!$C:$C,"&lt;="&amp;EOMONTH(DATE(YEAR(主页!$D$2),MONTH(主页!$D$2),1),0)),"")</f>
        <v/>
      </c>
    </row>
    <row r="449" spans="1:10" x14ac:dyDescent="0.3">
      <c r="A449" s="150"/>
      <c r="B449" s="150"/>
      <c r="C449" s="150"/>
      <c r="D449" s="150"/>
      <c r="E449" s="140" t="str">
        <f t="shared" si="19"/>
        <v/>
      </c>
      <c r="F449" s="159"/>
      <c r="G449" s="145">
        <f t="shared" si="21"/>
        <v>0</v>
      </c>
      <c r="H449" s="140" t="str">
        <f t="shared" si="20"/>
        <v/>
      </c>
      <c r="I449"/>
      <c r="J449" s="147" t="str">
        <f>IFERROR(SUMIFS(当年实际!$V:$V,当年实际!$F:$F,$C449,当年实际!$C:$C,"&gt;="&amp;DATE(YEAR(主页!$D$2),1,1),当年实际!$C:$C,"&lt;="&amp;EOMONTH(DATE(YEAR(主页!$D$2),MONTH(主页!$D$2),1),0))/SUMIFS(当年实际!$P:$P,当年实际!$F:$F,$C449,当年实际!$C:$C,"&gt;="&amp;DATE(YEAR(主页!$D$2),1,1),当年实际!$C:$C,"&lt;="&amp;EOMONTH(DATE(YEAR(主页!$D$2),MONTH(主页!$D$2),1),0)),"")</f>
        <v/>
      </c>
    </row>
    <row r="450" spans="1:10" x14ac:dyDescent="0.3">
      <c r="A450" s="150"/>
      <c r="B450" s="150"/>
      <c r="C450" s="150"/>
      <c r="D450" s="150"/>
      <c r="E450" s="140" t="str">
        <f t="shared" si="19"/>
        <v/>
      </c>
      <c r="F450" s="159"/>
      <c r="G450" s="145">
        <f t="shared" si="21"/>
        <v>0</v>
      </c>
      <c r="H450" s="140" t="str">
        <f t="shared" si="20"/>
        <v/>
      </c>
      <c r="I450"/>
      <c r="J450" s="147" t="str">
        <f>IFERROR(SUMIFS(当年实际!$V:$V,当年实际!$F:$F,$C450,当年实际!$C:$C,"&gt;="&amp;DATE(YEAR(主页!$D$2),1,1),当年实际!$C:$C,"&lt;="&amp;EOMONTH(DATE(YEAR(主页!$D$2),MONTH(主页!$D$2),1),0))/SUMIFS(当年实际!$P:$P,当年实际!$F:$F,$C450,当年实际!$C:$C,"&gt;="&amp;DATE(YEAR(主页!$D$2),1,1),当年实际!$C:$C,"&lt;="&amp;EOMONTH(DATE(YEAR(主页!$D$2),MONTH(主页!$D$2),1),0)),"")</f>
        <v/>
      </c>
    </row>
    <row r="451" spans="1:10" x14ac:dyDescent="0.3">
      <c r="A451" s="150"/>
      <c r="B451" s="150"/>
      <c r="C451" s="150"/>
      <c r="D451" s="150"/>
      <c r="E451" s="140" t="str">
        <f t="shared" si="19"/>
        <v/>
      </c>
      <c r="F451" s="159"/>
      <c r="G451" s="145">
        <f t="shared" si="21"/>
        <v>0</v>
      </c>
      <c r="H451" s="140" t="str">
        <f t="shared" si="20"/>
        <v/>
      </c>
      <c r="I451"/>
      <c r="J451" s="147" t="str">
        <f>IFERROR(SUMIFS(当年实际!$V:$V,当年实际!$F:$F,$C451,当年实际!$C:$C,"&gt;="&amp;DATE(YEAR(主页!$D$2),1,1),当年实际!$C:$C,"&lt;="&amp;EOMONTH(DATE(YEAR(主页!$D$2),MONTH(主页!$D$2),1),0))/SUMIFS(当年实际!$P:$P,当年实际!$F:$F,$C451,当年实际!$C:$C,"&gt;="&amp;DATE(YEAR(主页!$D$2),1,1),当年实际!$C:$C,"&lt;="&amp;EOMONTH(DATE(YEAR(主页!$D$2),MONTH(主页!$D$2),1),0)),"")</f>
        <v/>
      </c>
    </row>
    <row r="452" spans="1:10" x14ac:dyDescent="0.3">
      <c r="A452" s="150"/>
      <c r="B452" s="150"/>
      <c r="C452" s="150"/>
      <c r="D452" s="150"/>
      <c r="E452" s="140" t="str">
        <f t="shared" ref="E452:E515" si="22">IF(D452/SUM(D:D)=0,"",D452/SUM(D:D))</f>
        <v/>
      </c>
      <c r="F452" s="159"/>
      <c r="G452" s="145">
        <f t="shared" si="21"/>
        <v>0</v>
      </c>
      <c r="H452" s="140" t="str">
        <f t="shared" ref="H452:H515" si="23">IF(G452/SUM(G:G)=0,"",G452/SUM(G:G))</f>
        <v/>
      </c>
      <c r="I452"/>
      <c r="J452" s="147" t="str">
        <f>IFERROR(SUMIFS(当年实际!$V:$V,当年实际!$F:$F,$C452,当年实际!$C:$C,"&gt;="&amp;DATE(YEAR(主页!$D$2),1,1),当年实际!$C:$C,"&lt;="&amp;EOMONTH(DATE(YEAR(主页!$D$2),MONTH(主页!$D$2),1),0))/SUMIFS(当年实际!$P:$P,当年实际!$F:$F,$C452,当年实际!$C:$C,"&gt;="&amp;DATE(YEAR(主页!$D$2),1,1),当年实际!$C:$C,"&lt;="&amp;EOMONTH(DATE(YEAR(主页!$D$2),MONTH(主页!$D$2),1),0)),"")</f>
        <v/>
      </c>
    </row>
    <row r="453" spans="1:10" x14ac:dyDescent="0.3">
      <c r="A453" s="150"/>
      <c r="B453" s="150"/>
      <c r="C453" s="150"/>
      <c r="D453" s="150"/>
      <c r="E453" s="140" t="str">
        <f t="shared" si="22"/>
        <v/>
      </c>
      <c r="F453" s="159"/>
      <c r="G453" s="145">
        <f t="shared" si="21"/>
        <v>0</v>
      </c>
      <c r="H453" s="140" t="str">
        <f t="shared" si="23"/>
        <v/>
      </c>
      <c r="I453"/>
      <c r="J453" s="147" t="str">
        <f>IFERROR(SUMIFS(当年实际!$V:$V,当年实际!$F:$F,$C453,当年实际!$C:$C,"&gt;="&amp;DATE(YEAR(主页!$D$2),1,1),当年实际!$C:$C,"&lt;="&amp;EOMONTH(DATE(YEAR(主页!$D$2),MONTH(主页!$D$2),1),0))/SUMIFS(当年实际!$P:$P,当年实际!$F:$F,$C453,当年实际!$C:$C,"&gt;="&amp;DATE(YEAR(主页!$D$2),1,1),当年实际!$C:$C,"&lt;="&amp;EOMONTH(DATE(YEAR(主页!$D$2),MONTH(主页!$D$2),1),0)),"")</f>
        <v/>
      </c>
    </row>
    <row r="454" spans="1:10" x14ac:dyDescent="0.3">
      <c r="A454" s="150"/>
      <c r="B454" s="150"/>
      <c r="C454" s="150"/>
      <c r="D454" s="150"/>
      <c r="E454" s="140" t="str">
        <f t="shared" si="22"/>
        <v/>
      </c>
      <c r="F454" s="159"/>
      <c r="G454" s="145">
        <f t="shared" si="21"/>
        <v>0</v>
      </c>
      <c r="H454" s="140" t="str">
        <f t="shared" si="23"/>
        <v/>
      </c>
      <c r="I454"/>
      <c r="J454" s="147" t="str">
        <f>IFERROR(SUMIFS(当年实际!$V:$V,当年实际!$F:$F,$C454,当年实际!$C:$C,"&gt;="&amp;DATE(YEAR(主页!$D$2),1,1),当年实际!$C:$C,"&lt;="&amp;EOMONTH(DATE(YEAR(主页!$D$2),MONTH(主页!$D$2),1),0))/SUMIFS(当年实际!$P:$P,当年实际!$F:$F,$C454,当年实际!$C:$C,"&gt;="&amp;DATE(YEAR(主页!$D$2),1,1),当年实际!$C:$C,"&lt;="&amp;EOMONTH(DATE(YEAR(主页!$D$2),MONTH(主页!$D$2),1),0)),"")</f>
        <v/>
      </c>
    </row>
    <row r="455" spans="1:10" x14ac:dyDescent="0.3">
      <c r="A455" s="150"/>
      <c r="B455" s="150"/>
      <c r="C455" s="150"/>
      <c r="D455" s="150"/>
      <c r="E455" s="140" t="str">
        <f t="shared" si="22"/>
        <v/>
      </c>
      <c r="F455" s="159"/>
      <c r="G455" s="145">
        <f t="shared" ref="G455:G518" si="24">D455*F455</f>
        <v>0</v>
      </c>
      <c r="H455" s="140" t="str">
        <f t="shared" si="23"/>
        <v/>
      </c>
      <c r="I455"/>
      <c r="J455" s="147" t="str">
        <f>IFERROR(SUMIFS(当年实际!$V:$V,当年实际!$F:$F,$C455,当年实际!$C:$C,"&gt;="&amp;DATE(YEAR(主页!$D$2),1,1),当年实际!$C:$C,"&lt;="&amp;EOMONTH(DATE(YEAR(主页!$D$2),MONTH(主页!$D$2),1),0))/SUMIFS(当年实际!$P:$P,当年实际!$F:$F,$C455,当年实际!$C:$C,"&gt;="&amp;DATE(YEAR(主页!$D$2),1,1),当年实际!$C:$C,"&lt;="&amp;EOMONTH(DATE(YEAR(主页!$D$2),MONTH(主页!$D$2),1),0)),"")</f>
        <v/>
      </c>
    </row>
    <row r="456" spans="1:10" x14ac:dyDescent="0.3">
      <c r="A456" s="150"/>
      <c r="B456" s="150"/>
      <c r="C456" s="150"/>
      <c r="D456" s="150"/>
      <c r="E456" s="140" t="str">
        <f t="shared" si="22"/>
        <v/>
      </c>
      <c r="F456" s="159"/>
      <c r="G456" s="145">
        <f t="shared" si="24"/>
        <v>0</v>
      </c>
      <c r="H456" s="140" t="str">
        <f t="shared" si="23"/>
        <v/>
      </c>
      <c r="I456"/>
      <c r="J456" s="147" t="str">
        <f>IFERROR(SUMIFS(当年实际!$V:$V,当年实际!$F:$F,$C456,当年实际!$C:$C,"&gt;="&amp;DATE(YEAR(主页!$D$2),1,1),当年实际!$C:$C,"&lt;="&amp;EOMONTH(DATE(YEAR(主页!$D$2),MONTH(主页!$D$2),1),0))/SUMIFS(当年实际!$P:$P,当年实际!$F:$F,$C456,当年实际!$C:$C,"&gt;="&amp;DATE(YEAR(主页!$D$2),1,1),当年实际!$C:$C,"&lt;="&amp;EOMONTH(DATE(YEAR(主页!$D$2),MONTH(主页!$D$2),1),0)),"")</f>
        <v/>
      </c>
    </row>
    <row r="457" spans="1:10" x14ac:dyDescent="0.3">
      <c r="A457" s="150"/>
      <c r="B457" s="150"/>
      <c r="C457" s="150"/>
      <c r="D457" s="150"/>
      <c r="E457" s="140" t="str">
        <f t="shared" si="22"/>
        <v/>
      </c>
      <c r="F457" s="159"/>
      <c r="G457" s="145">
        <f t="shared" si="24"/>
        <v>0</v>
      </c>
      <c r="H457" s="140" t="str">
        <f t="shared" si="23"/>
        <v/>
      </c>
      <c r="I457"/>
      <c r="J457" s="147" t="str">
        <f>IFERROR(SUMIFS(当年实际!$V:$V,当年实际!$F:$F,$C457,当年实际!$C:$C,"&gt;="&amp;DATE(YEAR(主页!$D$2),1,1),当年实际!$C:$C,"&lt;="&amp;EOMONTH(DATE(YEAR(主页!$D$2),MONTH(主页!$D$2),1),0))/SUMIFS(当年实际!$P:$P,当年实际!$F:$F,$C457,当年实际!$C:$C,"&gt;="&amp;DATE(YEAR(主页!$D$2),1,1),当年实际!$C:$C,"&lt;="&amp;EOMONTH(DATE(YEAR(主页!$D$2),MONTH(主页!$D$2),1),0)),"")</f>
        <v/>
      </c>
    </row>
    <row r="458" spans="1:10" x14ac:dyDescent="0.3">
      <c r="A458" s="150"/>
      <c r="B458" s="150"/>
      <c r="C458" s="150"/>
      <c r="D458" s="150"/>
      <c r="E458" s="140" t="str">
        <f t="shared" si="22"/>
        <v/>
      </c>
      <c r="F458" s="159"/>
      <c r="G458" s="145">
        <f t="shared" si="24"/>
        <v>0</v>
      </c>
      <c r="H458" s="140" t="str">
        <f t="shared" si="23"/>
        <v/>
      </c>
      <c r="I458"/>
      <c r="J458" s="147" t="str">
        <f>IFERROR(SUMIFS(当年实际!$V:$V,当年实际!$F:$F,$C458,当年实际!$C:$C,"&gt;="&amp;DATE(YEAR(主页!$D$2),1,1),当年实际!$C:$C,"&lt;="&amp;EOMONTH(DATE(YEAR(主页!$D$2),MONTH(主页!$D$2),1),0))/SUMIFS(当年实际!$P:$P,当年实际!$F:$F,$C458,当年实际!$C:$C,"&gt;="&amp;DATE(YEAR(主页!$D$2),1,1),当年实际!$C:$C,"&lt;="&amp;EOMONTH(DATE(YEAR(主页!$D$2),MONTH(主页!$D$2),1),0)),"")</f>
        <v/>
      </c>
    </row>
    <row r="459" spans="1:10" x14ac:dyDescent="0.3">
      <c r="A459" s="150"/>
      <c r="B459" s="150"/>
      <c r="C459" s="150"/>
      <c r="D459" s="150"/>
      <c r="E459" s="140" t="str">
        <f t="shared" si="22"/>
        <v/>
      </c>
      <c r="F459" s="159"/>
      <c r="G459" s="145">
        <f t="shared" si="24"/>
        <v>0</v>
      </c>
      <c r="H459" s="140" t="str">
        <f t="shared" si="23"/>
        <v/>
      </c>
      <c r="I459"/>
      <c r="J459" s="147" t="str">
        <f>IFERROR(SUMIFS(当年实际!$V:$V,当年实际!$F:$F,$C459,当年实际!$C:$C,"&gt;="&amp;DATE(YEAR(主页!$D$2),1,1),当年实际!$C:$C,"&lt;="&amp;EOMONTH(DATE(YEAR(主页!$D$2),MONTH(主页!$D$2),1),0))/SUMIFS(当年实际!$P:$P,当年实际!$F:$F,$C459,当年实际!$C:$C,"&gt;="&amp;DATE(YEAR(主页!$D$2),1,1),当年实际!$C:$C,"&lt;="&amp;EOMONTH(DATE(YEAR(主页!$D$2),MONTH(主页!$D$2),1),0)),"")</f>
        <v/>
      </c>
    </row>
    <row r="460" spans="1:10" x14ac:dyDescent="0.3">
      <c r="A460" s="150"/>
      <c r="B460" s="150"/>
      <c r="C460" s="150"/>
      <c r="D460" s="150"/>
      <c r="E460" s="140" t="str">
        <f t="shared" si="22"/>
        <v/>
      </c>
      <c r="F460" s="159"/>
      <c r="G460" s="145">
        <f t="shared" si="24"/>
        <v>0</v>
      </c>
      <c r="H460" s="140" t="str">
        <f t="shared" si="23"/>
        <v/>
      </c>
      <c r="I460"/>
      <c r="J460" s="147" t="str">
        <f>IFERROR(SUMIFS(当年实际!$V:$V,当年实际!$F:$F,$C460,当年实际!$C:$C,"&gt;="&amp;DATE(YEAR(主页!$D$2),1,1),当年实际!$C:$C,"&lt;="&amp;EOMONTH(DATE(YEAR(主页!$D$2),MONTH(主页!$D$2),1),0))/SUMIFS(当年实际!$P:$P,当年实际!$F:$F,$C460,当年实际!$C:$C,"&gt;="&amp;DATE(YEAR(主页!$D$2),1,1),当年实际!$C:$C,"&lt;="&amp;EOMONTH(DATE(YEAR(主页!$D$2),MONTH(主页!$D$2),1),0)),"")</f>
        <v/>
      </c>
    </row>
    <row r="461" spans="1:10" x14ac:dyDescent="0.3">
      <c r="A461" s="150"/>
      <c r="B461" s="150"/>
      <c r="C461" s="150"/>
      <c r="D461" s="150"/>
      <c r="E461" s="140" t="str">
        <f t="shared" si="22"/>
        <v/>
      </c>
      <c r="F461" s="159"/>
      <c r="G461" s="145">
        <f t="shared" si="24"/>
        <v>0</v>
      </c>
      <c r="H461" s="140" t="str">
        <f t="shared" si="23"/>
        <v/>
      </c>
      <c r="I461"/>
      <c r="J461" s="147" t="str">
        <f>IFERROR(SUMIFS(当年实际!$V:$V,当年实际!$F:$F,$C461,当年实际!$C:$C,"&gt;="&amp;DATE(YEAR(主页!$D$2),1,1),当年实际!$C:$C,"&lt;="&amp;EOMONTH(DATE(YEAR(主页!$D$2),MONTH(主页!$D$2),1),0))/SUMIFS(当年实际!$P:$P,当年实际!$F:$F,$C461,当年实际!$C:$C,"&gt;="&amp;DATE(YEAR(主页!$D$2),1,1),当年实际!$C:$C,"&lt;="&amp;EOMONTH(DATE(YEAR(主页!$D$2),MONTH(主页!$D$2),1),0)),"")</f>
        <v/>
      </c>
    </row>
    <row r="462" spans="1:10" x14ac:dyDescent="0.3">
      <c r="A462" s="150"/>
      <c r="B462" s="150"/>
      <c r="C462" s="150"/>
      <c r="D462" s="150"/>
      <c r="E462" s="140" t="str">
        <f t="shared" si="22"/>
        <v/>
      </c>
      <c r="F462" s="159"/>
      <c r="G462" s="145">
        <f t="shared" si="24"/>
        <v>0</v>
      </c>
      <c r="H462" s="140" t="str">
        <f t="shared" si="23"/>
        <v/>
      </c>
      <c r="I462"/>
      <c r="J462" s="147" t="str">
        <f>IFERROR(SUMIFS(当年实际!$V:$V,当年实际!$F:$F,$C462,当年实际!$C:$C,"&gt;="&amp;DATE(YEAR(主页!$D$2),1,1),当年实际!$C:$C,"&lt;="&amp;EOMONTH(DATE(YEAR(主页!$D$2),MONTH(主页!$D$2),1),0))/SUMIFS(当年实际!$P:$P,当年实际!$F:$F,$C462,当年实际!$C:$C,"&gt;="&amp;DATE(YEAR(主页!$D$2),1,1),当年实际!$C:$C,"&lt;="&amp;EOMONTH(DATE(YEAR(主页!$D$2),MONTH(主页!$D$2),1),0)),"")</f>
        <v/>
      </c>
    </row>
    <row r="463" spans="1:10" x14ac:dyDescent="0.3">
      <c r="A463" s="150"/>
      <c r="B463" s="150"/>
      <c r="C463" s="150"/>
      <c r="D463" s="150"/>
      <c r="E463" s="140" t="str">
        <f t="shared" si="22"/>
        <v/>
      </c>
      <c r="F463" s="159"/>
      <c r="G463" s="145">
        <f t="shared" si="24"/>
        <v>0</v>
      </c>
      <c r="H463" s="140" t="str">
        <f t="shared" si="23"/>
        <v/>
      </c>
      <c r="I463"/>
      <c r="J463" s="147" t="str">
        <f>IFERROR(SUMIFS(当年实际!$V:$V,当年实际!$F:$F,$C463,当年实际!$C:$C,"&gt;="&amp;DATE(YEAR(主页!$D$2),1,1),当年实际!$C:$C,"&lt;="&amp;EOMONTH(DATE(YEAR(主页!$D$2),MONTH(主页!$D$2),1),0))/SUMIFS(当年实际!$P:$P,当年实际!$F:$F,$C463,当年实际!$C:$C,"&gt;="&amp;DATE(YEAR(主页!$D$2),1,1),当年实际!$C:$C,"&lt;="&amp;EOMONTH(DATE(YEAR(主页!$D$2),MONTH(主页!$D$2),1),0)),"")</f>
        <v/>
      </c>
    </row>
    <row r="464" spans="1:10" x14ac:dyDescent="0.3">
      <c r="A464" s="150"/>
      <c r="B464" s="150"/>
      <c r="C464" s="150"/>
      <c r="D464" s="150"/>
      <c r="E464" s="140" t="str">
        <f t="shared" si="22"/>
        <v/>
      </c>
      <c r="F464" s="159"/>
      <c r="G464" s="145">
        <f t="shared" si="24"/>
        <v>0</v>
      </c>
      <c r="H464" s="140" t="str">
        <f t="shared" si="23"/>
        <v/>
      </c>
      <c r="I464"/>
      <c r="J464" s="147" t="str">
        <f>IFERROR(SUMIFS(当年实际!$V:$V,当年实际!$F:$F,$C464,当年实际!$C:$C,"&gt;="&amp;DATE(YEAR(主页!$D$2),1,1),当年实际!$C:$C,"&lt;="&amp;EOMONTH(DATE(YEAR(主页!$D$2),MONTH(主页!$D$2),1),0))/SUMIFS(当年实际!$P:$P,当年实际!$F:$F,$C464,当年实际!$C:$C,"&gt;="&amp;DATE(YEAR(主页!$D$2),1,1),当年实际!$C:$C,"&lt;="&amp;EOMONTH(DATE(YEAR(主页!$D$2),MONTH(主页!$D$2),1),0)),"")</f>
        <v/>
      </c>
    </row>
    <row r="465" spans="1:10" x14ac:dyDescent="0.3">
      <c r="A465" s="150"/>
      <c r="B465" s="150"/>
      <c r="C465" s="150"/>
      <c r="D465" s="150"/>
      <c r="E465" s="140" t="str">
        <f t="shared" si="22"/>
        <v/>
      </c>
      <c r="F465" s="159"/>
      <c r="G465" s="145">
        <f t="shared" si="24"/>
        <v>0</v>
      </c>
      <c r="H465" s="140" t="str">
        <f t="shared" si="23"/>
        <v/>
      </c>
      <c r="I465"/>
      <c r="J465" s="147" t="str">
        <f>IFERROR(SUMIFS(当年实际!$V:$V,当年实际!$F:$F,$C465,当年实际!$C:$C,"&gt;="&amp;DATE(YEAR(主页!$D$2),1,1),当年实际!$C:$C,"&lt;="&amp;EOMONTH(DATE(YEAR(主页!$D$2),MONTH(主页!$D$2),1),0))/SUMIFS(当年实际!$P:$P,当年实际!$F:$F,$C465,当年实际!$C:$C,"&gt;="&amp;DATE(YEAR(主页!$D$2),1,1),当年实际!$C:$C,"&lt;="&amp;EOMONTH(DATE(YEAR(主页!$D$2),MONTH(主页!$D$2),1),0)),"")</f>
        <v/>
      </c>
    </row>
    <row r="466" spans="1:10" x14ac:dyDescent="0.3">
      <c r="A466" s="150"/>
      <c r="B466" s="150"/>
      <c r="C466" s="150"/>
      <c r="D466" s="150"/>
      <c r="E466" s="140" t="str">
        <f t="shared" si="22"/>
        <v/>
      </c>
      <c r="F466" s="159"/>
      <c r="G466" s="145">
        <f t="shared" si="24"/>
        <v>0</v>
      </c>
      <c r="H466" s="140" t="str">
        <f t="shared" si="23"/>
        <v/>
      </c>
      <c r="I466"/>
      <c r="J466" s="147" t="str">
        <f>IFERROR(SUMIFS(当年实际!$V:$V,当年实际!$F:$F,$C466,当年实际!$C:$C,"&gt;="&amp;DATE(YEAR(主页!$D$2),1,1),当年实际!$C:$C,"&lt;="&amp;EOMONTH(DATE(YEAR(主页!$D$2),MONTH(主页!$D$2),1),0))/SUMIFS(当年实际!$P:$P,当年实际!$F:$F,$C466,当年实际!$C:$C,"&gt;="&amp;DATE(YEAR(主页!$D$2),1,1),当年实际!$C:$C,"&lt;="&amp;EOMONTH(DATE(YEAR(主页!$D$2),MONTH(主页!$D$2),1),0)),"")</f>
        <v/>
      </c>
    </row>
    <row r="467" spans="1:10" x14ac:dyDescent="0.3">
      <c r="A467" s="150"/>
      <c r="B467" s="150"/>
      <c r="C467" s="150"/>
      <c r="D467" s="150"/>
      <c r="E467" s="140" t="str">
        <f t="shared" si="22"/>
        <v/>
      </c>
      <c r="F467" s="159"/>
      <c r="G467" s="145">
        <f t="shared" si="24"/>
        <v>0</v>
      </c>
      <c r="H467" s="140" t="str">
        <f t="shared" si="23"/>
        <v/>
      </c>
      <c r="I467"/>
      <c r="J467" s="147" t="str">
        <f>IFERROR(SUMIFS(当年实际!$V:$V,当年实际!$F:$F,$C467,当年实际!$C:$C,"&gt;="&amp;DATE(YEAR(主页!$D$2),1,1),当年实际!$C:$C,"&lt;="&amp;EOMONTH(DATE(YEAR(主页!$D$2),MONTH(主页!$D$2),1),0))/SUMIFS(当年实际!$P:$P,当年实际!$F:$F,$C467,当年实际!$C:$C,"&gt;="&amp;DATE(YEAR(主页!$D$2),1,1),当年实际!$C:$C,"&lt;="&amp;EOMONTH(DATE(YEAR(主页!$D$2),MONTH(主页!$D$2),1),0)),"")</f>
        <v/>
      </c>
    </row>
    <row r="468" spans="1:10" x14ac:dyDescent="0.3">
      <c r="A468" s="150"/>
      <c r="B468" s="150"/>
      <c r="C468" s="150"/>
      <c r="D468" s="150"/>
      <c r="E468" s="140" t="str">
        <f t="shared" si="22"/>
        <v/>
      </c>
      <c r="F468" s="159"/>
      <c r="G468" s="145">
        <f t="shared" si="24"/>
        <v>0</v>
      </c>
      <c r="H468" s="140" t="str">
        <f t="shared" si="23"/>
        <v/>
      </c>
      <c r="I468"/>
      <c r="J468" s="147" t="str">
        <f>IFERROR(SUMIFS(当年实际!$V:$V,当年实际!$F:$F,$C468,当年实际!$C:$C,"&gt;="&amp;DATE(YEAR(主页!$D$2),1,1),当年实际!$C:$C,"&lt;="&amp;EOMONTH(DATE(YEAR(主页!$D$2),MONTH(主页!$D$2),1),0))/SUMIFS(当年实际!$P:$P,当年实际!$F:$F,$C468,当年实际!$C:$C,"&gt;="&amp;DATE(YEAR(主页!$D$2),1,1),当年实际!$C:$C,"&lt;="&amp;EOMONTH(DATE(YEAR(主页!$D$2),MONTH(主页!$D$2),1),0)),"")</f>
        <v/>
      </c>
    </row>
    <row r="469" spans="1:10" x14ac:dyDescent="0.3">
      <c r="A469" s="150"/>
      <c r="B469" s="150"/>
      <c r="C469" s="150"/>
      <c r="D469" s="150"/>
      <c r="E469" s="140" t="str">
        <f t="shared" si="22"/>
        <v/>
      </c>
      <c r="F469" s="159"/>
      <c r="G469" s="145">
        <f t="shared" si="24"/>
        <v>0</v>
      </c>
      <c r="H469" s="140" t="str">
        <f t="shared" si="23"/>
        <v/>
      </c>
      <c r="I469"/>
      <c r="J469" s="147" t="str">
        <f>IFERROR(SUMIFS(当年实际!$V:$V,当年实际!$F:$F,$C469,当年实际!$C:$C,"&gt;="&amp;DATE(YEAR(主页!$D$2),1,1),当年实际!$C:$C,"&lt;="&amp;EOMONTH(DATE(YEAR(主页!$D$2),MONTH(主页!$D$2),1),0))/SUMIFS(当年实际!$P:$P,当年实际!$F:$F,$C469,当年实际!$C:$C,"&gt;="&amp;DATE(YEAR(主页!$D$2),1,1),当年实际!$C:$C,"&lt;="&amp;EOMONTH(DATE(YEAR(主页!$D$2),MONTH(主页!$D$2),1),0)),"")</f>
        <v/>
      </c>
    </row>
    <row r="470" spans="1:10" x14ac:dyDescent="0.3">
      <c r="A470" s="150"/>
      <c r="B470" s="150"/>
      <c r="C470" s="150"/>
      <c r="D470" s="150"/>
      <c r="E470" s="140" t="str">
        <f t="shared" si="22"/>
        <v/>
      </c>
      <c r="F470" s="159"/>
      <c r="G470" s="145">
        <f t="shared" si="24"/>
        <v>0</v>
      </c>
      <c r="H470" s="140" t="str">
        <f t="shared" si="23"/>
        <v/>
      </c>
      <c r="I470"/>
      <c r="J470" s="147" t="str">
        <f>IFERROR(SUMIFS(当年实际!$V:$V,当年实际!$F:$F,$C470,当年实际!$C:$C,"&gt;="&amp;DATE(YEAR(主页!$D$2),1,1),当年实际!$C:$C,"&lt;="&amp;EOMONTH(DATE(YEAR(主页!$D$2),MONTH(主页!$D$2),1),0))/SUMIFS(当年实际!$P:$P,当年实际!$F:$F,$C470,当年实际!$C:$C,"&gt;="&amp;DATE(YEAR(主页!$D$2),1,1),当年实际!$C:$C,"&lt;="&amp;EOMONTH(DATE(YEAR(主页!$D$2),MONTH(主页!$D$2),1),0)),"")</f>
        <v/>
      </c>
    </row>
    <row r="471" spans="1:10" x14ac:dyDescent="0.3">
      <c r="A471" s="150"/>
      <c r="B471" s="150"/>
      <c r="C471" s="150"/>
      <c r="D471" s="150"/>
      <c r="E471" s="140" t="str">
        <f t="shared" si="22"/>
        <v/>
      </c>
      <c r="F471" s="159"/>
      <c r="G471" s="145">
        <f t="shared" si="24"/>
        <v>0</v>
      </c>
      <c r="H471" s="140" t="str">
        <f t="shared" si="23"/>
        <v/>
      </c>
      <c r="I471"/>
      <c r="J471" s="147" t="str">
        <f>IFERROR(SUMIFS(当年实际!$V:$V,当年实际!$F:$F,$C471,当年实际!$C:$C,"&gt;="&amp;DATE(YEAR(主页!$D$2),1,1),当年实际!$C:$C,"&lt;="&amp;EOMONTH(DATE(YEAR(主页!$D$2),MONTH(主页!$D$2),1),0))/SUMIFS(当年实际!$P:$P,当年实际!$F:$F,$C471,当年实际!$C:$C,"&gt;="&amp;DATE(YEAR(主页!$D$2),1,1),当年实际!$C:$C,"&lt;="&amp;EOMONTH(DATE(YEAR(主页!$D$2),MONTH(主页!$D$2),1),0)),"")</f>
        <v/>
      </c>
    </row>
    <row r="472" spans="1:10" x14ac:dyDescent="0.3">
      <c r="A472" s="150"/>
      <c r="B472" s="150"/>
      <c r="C472" s="150"/>
      <c r="D472" s="150"/>
      <c r="E472" s="140" t="str">
        <f t="shared" si="22"/>
        <v/>
      </c>
      <c r="F472" s="159"/>
      <c r="G472" s="145">
        <f t="shared" si="24"/>
        <v>0</v>
      </c>
      <c r="H472" s="140" t="str">
        <f t="shared" si="23"/>
        <v/>
      </c>
      <c r="I472"/>
      <c r="J472" s="147" t="str">
        <f>IFERROR(SUMIFS(当年实际!$V:$V,当年实际!$F:$F,$C472,当年实际!$C:$C,"&gt;="&amp;DATE(YEAR(主页!$D$2),1,1),当年实际!$C:$C,"&lt;="&amp;EOMONTH(DATE(YEAR(主页!$D$2),MONTH(主页!$D$2),1),0))/SUMIFS(当年实际!$P:$P,当年实际!$F:$F,$C472,当年实际!$C:$C,"&gt;="&amp;DATE(YEAR(主页!$D$2),1,1),当年实际!$C:$C,"&lt;="&amp;EOMONTH(DATE(YEAR(主页!$D$2),MONTH(主页!$D$2),1),0)),"")</f>
        <v/>
      </c>
    </row>
    <row r="473" spans="1:10" x14ac:dyDescent="0.3">
      <c r="A473" s="150"/>
      <c r="B473" s="150"/>
      <c r="C473" s="150"/>
      <c r="D473" s="150"/>
      <c r="E473" s="140" t="str">
        <f t="shared" si="22"/>
        <v/>
      </c>
      <c r="F473" s="159"/>
      <c r="G473" s="145">
        <f t="shared" si="24"/>
        <v>0</v>
      </c>
      <c r="H473" s="140" t="str">
        <f t="shared" si="23"/>
        <v/>
      </c>
      <c r="I473"/>
      <c r="J473" s="147" t="str">
        <f>IFERROR(SUMIFS(当年实际!$V:$V,当年实际!$F:$F,$C473,当年实际!$C:$C,"&gt;="&amp;DATE(YEAR(主页!$D$2),1,1),当年实际!$C:$C,"&lt;="&amp;EOMONTH(DATE(YEAR(主页!$D$2),MONTH(主页!$D$2),1),0))/SUMIFS(当年实际!$P:$P,当年实际!$F:$F,$C473,当年实际!$C:$C,"&gt;="&amp;DATE(YEAR(主页!$D$2),1,1),当年实际!$C:$C,"&lt;="&amp;EOMONTH(DATE(YEAR(主页!$D$2),MONTH(主页!$D$2),1),0)),"")</f>
        <v/>
      </c>
    </row>
    <row r="474" spans="1:10" x14ac:dyDescent="0.3">
      <c r="A474" s="150"/>
      <c r="B474" s="150"/>
      <c r="C474" s="150"/>
      <c r="D474" s="150"/>
      <c r="E474" s="140" t="str">
        <f t="shared" si="22"/>
        <v/>
      </c>
      <c r="F474" s="159"/>
      <c r="G474" s="145">
        <f t="shared" si="24"/>
        <v>0</v>
      </c>
      <c r="H474" s="140" t="str">
        <f t="shared" si="23"/>
        <v/>
      </c>
      <c r="I474"/>
      <c r="J474" s="147" t="str">
        <f>IFERROR(SUMIFS(当年实际!$V:$V,当年实际!$F:$F,$C474,当年实际!$C:$C,"&gt;="&amp;DATE(YEAR(主页!$D$2),1,1),当年实际!$C:$C,"&lt;="&amp;EOMONTH(DATE(YEAR(主页!$D$2),MONTH(主页!$D$2),1),0))/SUMIFS(当年实际!$P:$P,当年实际!$F:$F,$C474,当年实际!$C:$C,"&gt;="&amp;DATE(YEAR(主页!$D$2),1,1),当年实际!$C:$C,"&lt;="&amp;EOMONTH(DATE(YEAR(主页!$D$2),MONTH(主页!$D$2),1),0)),"")</f>
        <v/>
      </c>
    </row>
    <row r="475" spans="1:10" x14ac:dyDescent="0.3">
      <c r="A475" s="150"/>
      <c r="B475" s="150"/>
      <c r="C475" s="150"/>
      <c r="D475" s="150"/>
      <c r="E475" s="140" t="str">
        <f t="shared" si="22"/>
        <v/>
      </c>
      <c r="F475" s="159"/>
      <c r="G475" s="145">
        <f t="shared" si="24"/>
        <v>0</v>
      </c>
      <c r="H475" s="140" t="str">
        <f t="shared" si="23"/>
        <v/>
      </c>
      <c r="I475"/>
      <c r="J475" s="147" t="str">
        <f>IFERROR(SUMIFS(当年实际!$V:$V,当年实际!$F:$F,$C475,当年实际!$C:$C,"&gt;="&amp;DATE(YEAR(主页!$D$2),1,1),当年实际!$C:$C,"&lt;="&amp;EOMONTH(DATE(YEAR(主页!$D$2),MONTH(主页!$D$2),1),0))/SUMIFS(当年实际!$P:$P,当年实际!$F:$F,$C475,当年实际!$C:$C,"&gt;="&amp;DATE(YEAR(主页!$D$2),1,1),当年实际!$C:$C,"&lt;="&amp;EOMONTH(DATE(YEAR(主页!$D$2),MONTH(主页!$D$2),1),0)),"")</f>
        <v/>
      </c>
    </row>
    <row r="476" spans="1:10" x14ac:dyDescent="0.3">
      <c r="A476" s="150"/>
      <c r="B476" s="150"/>
      <c r="C476" s="150"/>
      <c r="D476" s="150"/>
      <c r="E476" s="140" t="str">
        <f t="shared" si="22"/>
        <v/>
      </c>
      <c r="F476" s="159"/>
      <c r="G476" s="145">
        <f t="shared" si="24"/>
        <v>0</v>
      </c>
      <c r="H476" s="140" t="str">
        <f t="shared" si="23"/>
        <v/>
      </c>
      <c r="I476"/>
      <c r="J476" s="147" t="str">
        <f>IFERROR(SUMIFS(当年实际!$V:$V,当年实际!$F:$F,$C476,当年实际!$C:$C,"&gt;="&amp;DATE(YEAR(主页!$D$2),1,1),当年实际!$C:$C,"&lt;="&amp;EOMONTH(DATE(YEAR(主页!$D$2),MONTH(主页!$D$2),1),0))/SUMIFS(当年实际!$P:$P,当年实际!$F:$F,$C476,当年实际!$C:$C,"&gt;="&amp;DATE(YEAR(主页!$D$2),1,1),当年实际!$C:$C,"&lt;="&amp;EOMONTH(DATE(YEAR(主页!$D$2),MONTH(主页!$D$2),1),0)),"")</f>
        <v/>
      </c>
    </row>
    <row r="477" spans="1:10" x14ac:dyDescent="0.3">
      <c r="A477" s="150"/>
      <c r="B477" s="150"/>
      <c r="C477" s="150"/>
      <c r="D477" s="150"/>
      <c r="E477" s="140" t="str">
        <f t="shared" si="22"/>
        <v/>
      </c>
      <c r="F477" s="159"/>
      <c r="G477" s="145">
        <f t="shared" si="24"/>
        <v>0</v>
      </c>
      <c r="H477" s="140" t="str">
        <f t="shared" si="23"/>
        <v/>
      </c>
      <c r="I477"/>
      <c r="J477" s="147" t="str">
        <f>IFERROR(SUMIFS(当年实际!$V:$V,当年实际!$F:$F,$C477,当年实际!$C:$C,"&gt;="&amp;DATE(YEAR(主页!$D$2),1,1),当年实际!$C:$C,"&lt;="&amp;EOMONTH(DATE(YEAR(主页!$D$2),MONTH(主页!$D$2),1),0))/SUMIFS(当年实际!$P:$P,当年实际!$F:$F,$C477,当年实际!$C:$C,"&gt;="&amp;DATE(YEAR(主页!$D$2),1,1),当年实际!$C:$C,"&lt;="&amp;EOMONTH(DATE(YEAR(主页!$D$2),MONTH(主页!$D$2),1),0)),"")</f>
        <v/>
      </c>
    </row>
    <row r="478" spans="1:10" x14ac:dyDescent="0.3">
      <c r="A478" s="150"/>
      <c r="B478" s="150"/>
      <c r="C478" s="150"/>
      <c r="D478" s="150"/>
      <c r="E478" s="140" t="str">
        <f t="shared" si="22"/>
        <v/>
      </c>
      <c r="F478" s="159"/>
      <c r="G478" s="145">
        <f t="shared" si="24"/>
        <v>0</v>
      </c>
      <c r="H478" s="140" t="str">
        <f t="shared" si="23"/>
        <v/>
      </c>
      <c r="I478"/>
      <c r="J478" s="147" t="str">
        <f>IFERROR(SUMIFS(当年实际!$V:$V,当年实际!$F:$F,$C478,当年实际!$C:$C,"&gt;="&amp;DATE(YEAR(主页!$D$2),1,1),当年实际!$C:$C,"&lt;="&amp;EOMONTH(DATE(YEAR(主页!$D$2),MONTH(主页!$D$2),1),0))/SUMIFS(当年实际!$P:$P,当年实际!$F:$F,$C478,当年实际!$C:$C,"&gt;="&amp;DATE(YEAR(主页!$D$2),1,1),当年实际!$C:$C,"&lt;="&amp;EOMONTH(DATE(YEAR(主页!$D$2),MONTH(主页!$D$2),1),0)),"")</f>
        <v/>
      </c>
    </row>
    <row r="479" spans="1:10" x14ac:dyDescent="0.3">
      <c r="A479" s="150"/>
      <c r="B479" s="150"/>
      <c r="C479" s="150"/>
      <c r="D479" s="150"/>
      <c r="E479" s="140" t="str">
        <f t="shared" si="22"/>
        <v/>
      </c>
      <c r="F479" s="159"/>
      <c r="G479" s="145">
        <f t="shared" si="24"/>
        <v>0</v>
      </c>
      <c r="H479" s="140" t="str">
        <f t="shared" si="23"/>
        <v/>
      </c>
      <c r="I479"/>
      <c r="J479" s="147" t="str">
        <f>IFERROR(SUMIFS(当年实际!$V:$V,当年实际!$F:$F,$C479,当年实际!$C:$C,"&gt;="&amp;DATE(YEAR(主页!$D$2),1,1),当年实际!$C:$C,"&lt;="&amp;EOMONTH(DATE(YEAR(主页!$D$2),MONTH(主页!$D$2),1),0))/SUMIFS(当年实际!$P:$P,当年实际!$F:$F,$C479,当年实际!$C:$C,"&gt;="&amp;DATE(YEAR(主页!$D$2),1,1),当年实际!$C:$C,"&lt;="&amp;EOMONTH(DATE(YEAR(主页!$D$2),MONTH(主页!$D$2),1),0)),"")</f>
        <v/>
      </c>
    </row>
    <row r="480" spans="1:10" x14ac:dyDescent="0.3">
      <c r="A480" s="150"/>
      <c r="B480" s="150"/>
      <c r="C480" s="150"/>
      <c r="D480" s="150"/>
      <c r="E480" s="140" t="str">
        <f t="shared" si="22"/>
        <v/>
      </c>
      <c r="F480" s="159"/>
      <c r="G480" s="145">
        <f t="shared" si="24"/>
        <v>0</v>
      </c>
      <c r="H480" s="140" t="str">
        <f t="shared" si="23"/>
        <v/>
      </c>
      <c r="I480"/>
      <c r="J480" s="147" t="str">
        <f>IFERROR(SUMIFS(当年实际!$V:$V,当年实际!$F:$F,$C480,当年实际!$C:$C,"&gt;="&amp;DATE(YEAR(主页!$D$2),1,1),当年实际!$C:$C,"&lt;="&amp;EOMONTH(DATE(YEAR(主页!$D$2),MONTH(主页!$D$2),1),0))/SUMIFS(当年实际!$P:$P,当年实际!$F:$F,$C480,当年实际!$C:$C,"&gt;="&amp;DATE(YEAR(主页!$D$2),1,1),当年实际!$C:$C,"&lt;="&amp;EOMONTH(DATE(YEAR(主页!$D$2),MONTH(主页!$D$2),1),0)),"")</f>
        <v/>
      </c>
    </row>
    <row r="481" spans="1:10" x14ac:dyDescent="0.3">
      <c r="A481" s="150"/>
      <c r="B481" s="150"/>
      <c r="C481" s="150"/>
      <c r="D481" s="150"/>
      <c r="E481" s="140" t="str">
        <f t="shared" si="22"/>
        <v/>
      </c>
      <c r="F481" s="159"/>
      <c r="G481" s="145">
        <f t="shared" si="24"/>
        <v>0</v>
      </c>
      <c r="H481" s="140" t="str">
        <f t="shared" si="23"/>
        <v/>
      </c>
      <c r="I481"/>
      <c r="J481" s="147" t="str">
        <f>IFERROR(SUMIFS(当年实际!$V:$V,当年实际!$F:$F,$C481,当年实际!$C:$C,"&gt;="&amp;DATE(YEAR(主页!$D$2),1,1),当年实际!$C:$C,"&lt;="&amp;EOMONTH(DATE(YEAR(主页!$D$2),MONTH(主页!$D$2),1),0))/SUMIFS(当年实际!$P:$P,当年实际!$F:$F,$C481,当年实际!$C:$C,"&gt;="&amp;DATE(YEAR(主页!$D$2),1,1),当年实际!$C:$C,"&lt;="&amp;EOMONTH(DATE(YEAR(主页!$D$2),MONTH(主页!$D$2),1),0)),"")</f>
        <v/>
      </c>
    </row>
    <row r="482" spans="1:10" x14ac:dyDescent="0.3">
      <c r="A482" s="150"/>
      <c r="B482" s="150"/>
      <c r="C482" s="150"/>
      <c r="D482" s="150"/>
      <c r="E482" s="140" t="str">
        <f t="shared" si="22"/>
        <v/>
      </c>
      <c r="F482" s="159"/>
      <c r="G482" s="145">
        <f t="shared" si="24"/>
        <v>0</v>
      </c>
      <c r="H482" s="140" t="str">
        <f t="shared" si="23"/>
        <v/>
      </c>
      <c r="I482"/>
      <c r="J482" s="147" t="str">
        <f>IFERROR(SUMIFS(当年实际!$V:$V,当年实际!$F:$F,$C482,当年实际!$C:$C,"&gt;="&amp;DATE(YEAR(主页!$D$2),1,1),当年实际!$C:$C,"&lt;="&amp;EOMONTH(DATE(YEAR(主页!$D$2),MONTH(主页!$D$2),1),0))/SUMIFS(当年实际!$P:$P,当年实际!$F:$F,$C482,当年实际!$C:$C,"&gt;="&amp;DATE(YEAR(主页!$D$2),1,1),当年实际!$C:$C,"&lt;="&amp;EOMONTH(DATE(YEAR(主页!$D$2),MONTH(主页!$D$2),1),0)),"")</f>
        <v/>
      </c>
    </row>
    <row r="483" spans="1:10" x14ac:dyDescent="0.3">
      <c r="A483" s="150"/>
      <c r="B483" s="150"/>
      <c r="C483" s="150"/>
      <c r="D483" s="150"/>
      <c r="E483" s="140" t="str">
        <f t="shared" si="22"/>
        <v/>
      </c>
      <c r="F483" s="159"/>
      <c r="G483" s="145">
        <f t="shared" si="24"/>
        <v>0</v>
      </c>
      <c r="H483" s="140" t="str">
        <f t="shared" si="23"/>
        <v/>
      </c>
      <c r="I483"/>
      <c r="J483" s="147" t="str">
        <f>IFERROR(SUMIFS(当年实际!$V:$V,当年实际!$F:$F,$C483,当年实际!$C:$C,"&gt;="&amp;DATE(YEAR(主页!$D$2),1,1),当年实际!$C:$C,"&lt;="&amp;EOMONTH(DATE(YEAR(主页!$D$2),MONTH(主页!$D$2),1),0))/SUMIFS(当年实际!$P:$P,当年实际!$F:$F,$C483,当年实际!$C:$C,"&gt;="&amp;DATE(YEAR(主页!$D$2),1,1),当年实际!$C:$C,"&lt;="&amp;EOMONTH(DATE(YEAR(主页!$D$2),MONTH(主页!$D$2),1),0)),"")</f>
        <v/>
      </c>
    </row>
    <row r="484" spans="1:10" x14ac:dyDescent="0.3">
      <c r="A484" s="150"/>
      <c r="B484" s="150"/>
      <c r="C484" s="150"/>
      <c r="D484" s="150"/>
      <c r="E484" s="140" t="str">
        <f t="shared" si="22"/>
        <v/>
      </c>
      <c r="F484" s="159"/>
      <c r="G484" s="145">
        <f t="shared" si="24"/>
        <v>0</v>
      </c>
      <c r="H484" s="140" t="str">
        <f t="shared" si="23"/>
        <v/>
      </c>
      <c r="I484"/>
      <c r="J484" s="147" t="str">
        <f>IFERROR(SUMIFS(当年实际!$V:$V,当年实际!$F:$F,$C484,当年实际!$C:$C,"&gt;="&amp;DATE(YEAR(主页!$D$2),1,1),当年实际!$C:$C,"&lt;="&amp;EOMONTH(DATE(YEAR(主页!$D$2),MONTH(主页!$D$2),1),0))/SUMIFS(当年实际!$P:$P,当年实际!$F:$F,$C484,当年实际!$C:$C,"&gt;="&amp;DATE(YEAR(主页!$D$2),1,1),当年实际!$C:$C,"&lt;="&amp;EOMONTH(DATE(YEAR(主页!$D$2),MONTH(主页!$D$2),1),0)),"")</f>
        <v/>
      </c>
    </row>
    <row r="485" spans="1:10" x14ac:dyDescent="0.3">
      <c r="A485" s="150"/>
      <c r="B485" s="150"/>
      <c r="C485" s="150"/>
      <c r="D485" s="150"/>
      <c r="E485" s="140" t="str">
        <f t="shared" si="22"/>
        <v/>
      </c>
      <c r="F485" s="159"/>
      <c r="G485" s="145">
        <f t="shared" si="24"/>
        <v>0</v>
      </c>
      <c r="H485" s="140" t="str">
        <f t="shared" si="23"/>
        <v/>
      </c>
      <c r="I485"/>
      <c r="J485" s="147" t="str">
        <f>IFERROR(SUMIFS(当年实际!$V:$V,当年实际!$F:$F,$C485,当年实际!$C:$C,"&gt;="&amp;DATE(YEAR(主页!$D$2),1,1),当年实际!$C:$C,"&lt;="&amp;EOMONTH(DATE(YEAR(主页!$D$2),MONTH(主页!$D$2),1),0))/SUMIFS(当年实际!$P:$P,当年实际!$F:$F,$C485,当年实际!$C:$C,"&gt;="&amp;DATE(YEAR(主页!$D$2),1,1),当年实际!$C:$C,"&lt;="&amp;EOMONTH(DATE(YEAR(主页!$D$2),MONTH(主页!$D$2),1),0)),"")</f>
        <v/>
      </c>
    </row>
    <row r="486" spans="1:10" x14ac:dyDescent="0.3">
      <c r="A486" s="150"/>
      <c r="B486" s="150"/>
      <c r="C486" s="150"/>
      <c r="D486" s="150"/>
      <c r="E486" s="140" t="str">
        <f t="shared" si="22"/>
        <v/>
      </c>
      <c r="F486" s="159"/>
      <c r="G486" s="145">
        <f t="shared" si="24"/>
        <v>0</v>
      </c>
      <c r="H486" s="140" t="str">
        <f t="shared" si="23"/>
        <v/>
      </c>
      <c r="I486"/>
      <c r="J486" s="147" t="str">
        <f>IFERROR(SUMIFS(当年实际!$V:$V,当年实际!$F:$F,$C486,当年实际!$C:$C,"&gt;="&amp;DATE(YEAR(主页!$D$2),1,1),当年实际!$C:$C,"&lt;="&amp;EOMONTH(DATE(YEAR(主页!$D$2),MONTH(主页!$D$2),1),0))/SUMIFS(当年实际!$P:$P,当年实际!$F:$F,$C486,当年实际!$C:$C,"&gt;="&amp;DATE(YEAR(主页!$D$2),1,1),当年实际!$C:$C,"&lt;="&amp;EOMONTH(DATE(YEAR(主页!$D$2),MONTH(主页!$D$2),1),0)),"")</f>
        <v/>
      </c>
    </row>
    <row r="487" spans="1:10" x14ac:dyDescent="0.3">
      <c r="A487" s="150"/>
      <c r="B487" s="150"/>
      <c r="C487" s="150"/>
      <c r="D487" s="150"/>
      <c r="E487" s="140" t="str">
        <f t="shared" si="22"/>
        <v/>
      </c>
      <c r="F487" s="159"/>
      <c r="G487" s="145">
        <f t="shared" si="24"/>
        <v>0</v>
      </c>
      <c r="H487" s="140" t="str">
        <f t="shared" si="23"/>
        <v/>
      </c>
      <c r="I487"/>
      <c r="J487" s="147" t="str">
        <f>IFERROR(SUMIFS(当年实际!$V:$V,当年实际!$F:$F,$C487,当年实际!$C:$C,"&gt;="&amp;DATE(YEAR(主页!$D$2),1,1),当年实际!$C:$C,"&lt;="&amp;EOMONTH(DATE(YEAR(主页!$D$2),MONTH(主页!$D$2),1),0))/SUMIFS(当年实际!$P:$P,当年实际!$F:$F,$C487,当年实际!$C:$C,"&gt;="&amp;DATE(YEAR(主页!$D$2),1,1),当年实际!$C:$C,"&lt;="&amp;EOMONTH(DATE(YEAR(主页!$D$2),MONTH(主页!$D$2),1),0)),"")</f>
        <v/>
      </c>
    </row>
    <row r="488" spans="1:10" x14ac:dyDescent="0.3">
      <c r="A488" s="150"/>
      <c r="B488" s="150"/>
      <c r="C488" s="150"/>
      <c r="D488" s="150"/>
      <c r="E488" s="140" t="str">
        <f t="shared" si="22"/>
        <v/>
      </c>
      <c r="F488" s="159"/>
      <c r="G488" s="145">
        <f t="shared" si="24"/>
        <v>0</v>
      </c>
      <c r="H488" s="140" t="str">
        <f t="shared" si="23"/>
        <v/>
      </c>
      <c r="I488"/>
      <c r="J488" s="147" t="str">
        <f>IFERROR(SUMIFS(当年实际!$V:$V,当年实际!$F:$F,$C488,当年实际!$C:$C,"&gt;="&amp;DATE(YEAR(主页!$D$2),1,1),当年实际!$C:$C,"&lt;="&amp;EOMONTH(DATE(YEAR(主页!$D$2),MONTH(主页!$D$2),1),0))/SUMIFS(当年实际!$P:$P,当年实际!$F:$F,$C488,当年实际!$C:$C,"&gt;="&amp;DATE(YEAR(主页!$D$2),1,1),当年实际!$C:$C,"&lt;="&amp;EOMONTH(DATE(YEAR(主页!$D$2),MONTH(主页!$D$2),1),0)),"")</f>
        <v/>
      </c>
    </row>
    <row r="489" spans="1:10" x14ac:dyDescent="0.3">
      <c r="A489" s="150"/>
      <c r="B489" s="150"/>
      <c r="C489" s="150"/>
      <c r="D489" s="150"/>
      <c r="E489" s="140" t="str">
        <f t="shared" si="22"/>
        <v/>
      </c>
      <c r="F489" s="159"/>
      <c r="G489" s="145">
        <f t="shared" si="24"/>
        <v>0</v>
      </c>
      <c r="H489" s="140" t="str">
        <f t="shared" si="23"/>
        <v/>
      </c>
      <c r="I489"/>
      <c r="J489" s="147" t="str">
        <f>IFERROR(SUMIFS(当年实际!$V:$V,当年实际!$F:$F,$C489,当年实际!$C:$C,"&gt;="&amp;DATE(YEAR(主页!$D$2),1,1),当年实际!$C:$C,"&lt;="&amp;EOMONTH(DATE(YEAR(主页!$D$2),MONTH(主页!$D$2),1),0))/SUMIFS(当年实际!$P:$P,当年实际!$F:$F,$C489,当年实际!$C:$C,"&gt;="&amp;DATE(YEAR(主页!$D$2),1,1),当年实际!$C:$C,"&lt;="&amp;EOMONTH(DATE(YEAR(主页!$D$2),MONTH(主页!$D$2),1),0)),"")</f>
        <v/>
      </c>
    </row>
    <row r="490" spans="1:10" x14ac:dyDescent="0.3">
      <c r="A490" s="150"/>
      <c r="B490" s="150"/>
      <c r="C490" s="150"/>
      <c r="D490" s="150"/>
      <c r="E490" s="140" t="str">
        <f t="shared" si="22"/>
        <v/>
      </c>
      <c r="F490" s="159"/>
      <c r="G490" s="145">
        <f t="shared" si="24"/>
        <v>0</v>
      </c>
      <c r="H490" s="140" t="str">
        <f t="shared" si="23"/>
        <v/>
      </c>
      <c r="I490"/>
      <c r="J490" s="147" t="str">
        <f>IFERROR(SUMIFS(当年实际!$V:$V,当年实际!$F:$F,$C490,当年实际!$C:$C,"&gt;="&amp;DATE(YEAR(主页!$D$2),1,1),当年实际!$C:$C,"&lt;="&amp;EOMONTH(DATE(YEAR(主页!$D$2),MONTH(主页!$D$2),1),0))/SUMIFS(当年实际!$P:$P,当年实际!$F:$F,$C490,当年实际!$C:$C,"&gt;="&amp;DATE(YEAR(主页!$D$2),1,1),当年实际!$C:$C,"&lt;="&amp;EOMONTH(DATE(YEAR(主页!$D$2),MONTH(主页!$D$2),1),0)),"")</f>
        <v/>
      </c>
    </row>
    <row r="491" spans="1:10" x14ac:dyDescent="0.3">
      <c r="A491" s="150"/>
      <c r="B491" s="150"/>
      <c r="C491" s="150"/>
      <c r="D491" s="150"/>
      <c r="E491" s="140" t="str">
        <f t="shared" si="22"/>
        <v/>
      </c>
      <c r="F491" s="159"/>
      <c r="G491" s="145">
        <f t="shared" si="24"/>
        <v>0</v>
      </c>
      <c r="H491" s="140" t="str">
        <f t="shared" si="23"/>
        <v/>
      </c>
      <c r="I491"/>
      <c r="J491" s="147" t="str">
        <f>IFERROR(SUMIFS(当年实际!$V:$V,当年实际!$F:$F,$C491,当年实际!$C:$C,"&gt;="&amp;DATE(YEAR(主页!$D$2),1,1),当年实际!$C:$C,"&lt;="&amp;EOMONTH(DATE(YEAR(主页!$D$2),MONTH(主页!$D$2),1),0))/SUMIFS(当年实际!$P:$P,当年实际!$F:$F,$C491,当年实际!$C:$C,"&gt;="&amp;DATE(YEAR(主页!$D$2),1,1),当年实际!$C:$C,"&lt;="&amp;EOMONTH(DATE(YEAR(主页!$D$2),MONTH(主页!$D$2),1),0)),"")</f>
        <v/>
      </c>
    </row>
    <row r="492" spans="1:10" x14ac:dyDescent="0.3">
      <c r="A492" s="150"/>
      <c r="B492" s="150"/>
      <c r="C492" s="150"/>
      <c r="D492" s="150"/>
      <c r="E492" s="140" t="str">
        <f t="shared" si="22"/>
        <v/>
      </c>
      <c r="F492" s="159"/>
      <c r="G492" s="145">
        <f t="shared" si="24"/>
        <v>0</v>
      </c>
      <c r="H492" s="140" t="str">
        <f t="shared" si="23"/>
        <v/>
      </c>
      <c r="I492"/>
      <c r="J492" s="147" t="str">
        <f>IFERROR(SUMIFS(当年实际!$V:$V,当年实际!$F:$F,$C492,当年实际!$C:$C,"&gt;="&amp;DATE(YEAR(主页!$D$2),1,1),当年实际!$C:$C,"&lt;="&amp;EOMONTH(DATE(YEAR(主页!$D$2),MONTH(主页!$D$2),1),0))/SUMIFS(当年实际!$P:$P,当年实际!$F:$F,$C492,当年实际!$C:$C,"&gt;="&amp;DATE(YEAR(主页!$D$2),1,1),当年实际!$C:$C,"&lt;="&amp;EOMONTH(DATE(YEAR(主页!$D$2),MONTH(主页!$D$2),1),0)),"")</f>
        <v/>
      </c>
    </row>
    <row r="493" spans="1:10" x14ac:dyDescent="0.3">
      <c r="A493" s="150"/>
      <c r="B493" s="150"/>
      <c r="C493" s="150"/>
      <c r="D493" s="150"/>
      <c r="E493" s="140" t="str">
        <f t="shared" si="22"/>
        <v/>
      </c>
      <c r="F493" s="159"/>
      <c r="G493" s="145">
        <f t="shared" si="24"/>
        <v>0</v>
      </c>
      <c r="H493" s="140" t="str">
        <f t="shared" si="23"/>
        <v/>
      </c>
      <c r="I493"/>
      <c r="J493" s="147" t="str">
        <f>IFERROR(SUMIFS(当年实际!$V:$V,当年实际!$F:$F,$C493,当年实际!$C:$C,"&gt;="&amp;DATE(YEAR(主页!$D$2),1,1),当年实际!$C:$C,"&lt;="&amp;EOMONTH(DATE(YEAR(主页!$D$2),MONTH(主页!$D$2),1),0))/SUMIFS(当年实际!$P:$P,当年实际!$F:$F,$C493,当年实际!$C:$C,"&gt;="&amp;DATE(YEAR(主页!$D$2),1,1),当年实际!$C:$C,"&lt;="&amp;EOMONTH(DATE(YEAR(主页!$D$2),MONTH(主页!$D$2),1),0)),"")</f>
        <v/>
      </c>
    </row>
    <row r="494" spans="1:10" x14ac:dyDescent="0.3">
      <c r="A494" s="150"/>
      <c r="B494" s="150"/>
      <c r="C494" s="150"/>
      <c r="D494" s="150"/>
      <c r="E494" s="140" t="str">
        <f t="shared" si="22"/>
        <v/>
      </c>
      <c r="F494" s="159"/>
      <c r="G494" s="145">
        <f t="shared" si="24"/>
        <v>0</v>
      </c>
      <c r="H494" s="140" t="str">
        <f t="shared" si="23"/>
        <v/>
      </c>
      <c r="I494"/>
      <c r="J494" s="147" t="str">
        <f>IFERROR(SUMIFS(当年实际!$V:$V,当年实际!$F:$F,$C494,当年实际!$C:$C,"&gt;="&amp;DATE(YEAR(主页!$D$2),1,1),当年实际!$C:$C,"&lt;="&amp;EOMONTH(DATE(YEAR(主页!$D$2),MONTH(主页!$D$2),1),0))/SUMIFS(当年实际!$P:$P,当年实际!$F:$F,$C494,当年实际!$C:$C,"&gt;="&amp;DATE(YEAR(主页!$D$2),1,1),当年实际!$C:$C,"&lt;="&amp;EOMONTH(DATE(YEAR(主页!$D$2),MONTH(主页!$D$2),1),0)),"")</f>
        <v/>
      </c>
    </row>
    <row r="495" spans="1:10" x14ac:dyDescent="0.3">
      <c r="A495" s="150"/>
      <c r="B495" s="150"/>
      <c r="C495" s="150"/>
      <c r="D495" s="150"/>
      <c r="E495" s="140" t="str">
        <f t="shared" si="22"/>
        <v/>
      </c>
      <c r="F495" s="159"/>
      <c r="G495" s="145">
        <f t="shared" si="24"/>
        <v>0</v>
      </c>
      <c r="H495" s="140" t="str">
        <f t="shared" si="23"/>
        <v/>
      </c>
      <c r="I495"/>
      <c r="J495" s="147" t="str">
        <f>IFERROR(SUMIFS(当年实际!$V:$V,当年实际!$F:$F,$C495,当年实际!$C:$C,"&gt;="&amp;DATE(YEAR(主页!$D$2),1,1),当年实际!$C:$C,"&lt;="&amp;EOMONTH(DATE(YEAR(主页!$D$2),MONTH(主页!$D$2),1),0))/SUMIFS(当年实际!$P:$P,当年实际!$F:$F,$C495,当年实际!$C:$C,"&gt;="&amp;DATE(YEAR(主页!$D$2),1,1),当年实际!$C:$C,"&lt;="&amp;EOMONTH(DATE(YEAR(主页!$D$2),MONTH(主页!$D$2),1),0)),"")</f>
        <v/>
      </c>
    </row>
    <row r="496" spans="1:10" x14ac:dyDescent="0.3">
      <c r="A496" s="150"/>
      <c r="B496" s="150"/>
      <c r="C496" s="150"/>
      <c r="D496" s="150"/>
      <c r="E496" s="140" t="str">
        <f t="shared" si="22"/>
        <v/>
      </c>
      <c r="F496" s="159"/>
      <c r="G496" s="145">
        <f t="shared" si="24"/>
        <v>0</v>
      </c>
      <c r="H496" s="140" t="str">
        <f t="shared" si="23"/>
        <v/>
      </c>
      <c r="I496"/>
      <c r="J496" s="147" t="str">
        <f>IFERROR(SUMIFS(当年实际!$V:$V,当年实际!$F:$F,$C496,当年实际!$C:$C,"&gt;="&amp;DATE(YEAR(主页!$D$2),1,1),当年实际!$C:$C,"&lt;="&amp;EOMONTH(DATE(YEAR(主页!$D$2),MONTH(主页!$D$2),1),0))/SUMIFS(当年实际!$P:$P,当年实际!$F:$F,$C496,当年实际!$C:$C,"&gt;="&amp;DATE(YEAR(主页!$D$2),1,1),当年实际!$C:$C,"&lt;="&amp;EOMONTH(DATE(YEAR(主页!$D$2),MONTH(主页!$D$2),1),0)),"")</f>
        <v/>
      </c>
    </row>
    <row r="497" spans="1:10" x14ac:dyDescent="0.3">
      <c r="A497" s="150"/>
      <c r="B497" s="150"/>
      <c r="C497" s="150"/>
      <c r="D497" s="150"/>
      <c r="E497" s="140" t="str">
        <f t="shared" si="22"/>
        <v/>
      </c>
      <c r="F497" s="159"/>
      <c r="G497" s="145">
        <f t="shared" si="24"/>
        <v>0</v>
      </c>
      <c r="H497" s="140" t="str">
        <f t="shared" si="23"/>
        <v/>
      </c>
      <c r="I497"/>
      <c r="J497" s="147" t="str">
        <f>IFERROR(SUMIFS(当年实际!$V:$V,当年实际!$F:$F,$C497,当年实际!$C:$C,"&gt;="&amp;DATE(YEAR(主页!$D$2),1,1),当年实际!$C:$C,"&lt;="&amp;EOMONTH(DATE(YEAR(主页!$D$2),MONTH(主页!$D$2),1),0))/SUMIFS(当年实际!$P:$P,当年实际!$F:$F,$C497,当年实际!$C:$C,"&gt;="&amp;DATE(YEAR(主页!$D$2),1,1),当年实际!$C:$C,"&lt;="&amp;EOMONTH(DATE(YEAR(主页!$D$2),MONTH(主页!$D$2),1),0)),"")</f>
        <v/>
      </c>
    </row>
    <row r="498" spans="1:10" x14ac:dyDescent="0.3">
      <c r="A498" s="150"/>
      <c r="B498" s="150"/>
      <c r="C498" s="150"/>
      <c r="D498" s="150"/>
      <c r="E498" s="140" t="str">
        <f t="shared" si="22"/>
        <v/>
      </c>
      <c r="F498" s="159"/>
      <c r="G498" s="145">
        <f t="shared" si="24"/>
        <v>0</v>
      </c>
      <c r="H498" s="140" t="str">
        <f t="shared" si="23"/>
        <v/>
      </c>
      <c r="I498"/>
      <c r="J498" s="147" t="str">
        <f>IFERROR(SUMIFS(当年实际!$V:$V,当年实际!$F:$F,$C498,当年实际!$C:$C,"&gt;="&amp;DATE(YEAR(主页!$D$2),1,1),当年实际!$C:$C,"&lt;="&amp;EOMONTH(DATE(YEAR(主页!$D$2),MONTH(主页!$D$2),1),0))/SUMIFS(当年实际!$P:$P,当年实际!$F:$F,$C498,当年实际!$C:$C,"&gt;="&amp;DATE(YEAR(主页!$D$2),1,1),当年实际!$C:$C,"&lt;="&amp;EOMONTH(DATE(YEAR(主页!$D$2),MONTH(主页!$D$2),1),0)),"")</f>
        <v/>
      </c>
    </row>
    <row r="499" spans="1:10" x14ac:dyDescent="0.3">
      <c r="A499" s="150"/>
      <c r="B499" s="150"/>
      <c r="C499" s="150"/>
      <c r="D499" s="150"/>
      <c r="E499" s="140" t="str">
        <f t="shared" si="22"/>
        <v/>
      </c>
      <c r="F499" s="159"/>
      <c r="G499" s="145">
        <f t="shared" si="24"/>
        <v>0</v>
      </c>
      <c r="H499" s="140" t="str">
        <f t="shared" si="23"/>
        <v/>
      </c>
      <c r="I499"/>
      <c r="J499" s="147" t="str">
        <f>IFERROR(SUMIFS(当年实际!$V:$V,当年实际!$F:$F,$C499,当年实际!$C:$C,"&gt;="&amp;DATE(YEAR(主页!$D$2),1,1),当年实际!$C:$C,"&lt;="&amp;EOMONTH(DATE(YEAR(主页!$D$2),MONTH(主页!$D$2),1),0))/SUMIFS(当年实际!$P:$P,当年实际!$F:$F,$C499,当年实际!$C:$C,"&gt;="&amp;DATE(YEAR(主页!$D$2),1,1),当年实际!$C:$C,"&lt;="&amp;EOMONTH(DATE(YEAR(主页!$D$2),MONTH(主页!$D$2),1),0)),"")</f>
        <v/>
      </c>
    </row>
    <row r="500" spans="1:10" x14ac:dyDescent="0.3">
      <c r="A500" s="150"/>
      <c r="B500" s="150"/>
      <c r="C500" s="150"/>
      <c r="D500" s="150"/>
      <c r="E500" s="140" t="str">
        <f t="shared" si="22"/>
        <v/>
      </c>
      <c r="F500" s="159"/>
      <c r="G500" s="145">
        <f t="shared" si="24"/>
        <v>0</v>
      </c>
      <c r="H500" s="140" t="str">
        <f t="shared" si="23"/>
        <v/>
      </c>
      <c r="I500"/>
      <c r="J500" s="147" t="str">
        <f>IFERROR(SUMIFS(当年实际!$V:$V,当年实际!$F:$F,$C500,当年实际!$C:$C,"&gt;="&amp;DATE(YEAR(主页!$D$2),1,1),当年实际!$C:$C,"&lt;="&amp;EOMONTH(DATE(YEAR(主页!$D$2),MONTH(主页!$D$2),1),0))/SUMIFS(当年实际!$P:$P,当年实际!$F:$F,$C500,当年实际!$C:$C,"&gt;="&amp;DATE(YEAR(主页!$D$2),1,1),当年实际!$C:$C,"&lt;="&amp;EOMONTH(DATE(YEAR(主页!$D$2),MONTH(主页!$D$2),1),0)),"")</f>
        <v/>
      </c>
    </row>
    <row r="501" spans="1:10" x14ac:dyDescent="0.3">
      <c r="A501" s="150"/>
      <c r="B501" s="150"/>
      <c r="C501" s="150"/>
      <c r="D501" s="150"/>
      <c r="E501" s="140" t="str">
        <f t="shared" si="22"/>
        <v/>
      </c>
      <c r="F501" s="159"/>
      <c r="G501" s="145">
        <f t="shared" si="24"/>
        <v>0</v>
      </c>
      <c r="H501" s="140" t="str">
        <f t="shared" si="23"/>
        <v/>
      </c>
      <c r="I501"/>
      <c r="J501" s="147" t="str">
        <f>IFERROR(SUMIFS(当年实际!$V:$V,当年实际!$F:$F,$C501,当年实际!$C:$C,"&gt;="&amp;DATE(YEAR(主页!$D$2),1,1),当年实际!$C:$C,"&lt;="&amp;EOMONTH(DATE(YEAR(主页!$D$2),MONTH(主页!$D$2),1),0))/SUMIFS(当年实际!$P:$P,当年实际!$F:$F,$C501,当年实际!$C:$C,"&gt;="&amp;DATE(YEAR(主页!$D$2),1,1),当年实际!$C:$C,"&lt;="&amp;EOMONTH(DATE(YEAR(主页!$D$2),MONTH(主页!$D$2),1),0)),"")</f>
        <v/>
      </c>
    </row>
    <row r="502" spans="1:10" x14ac:dyDescent="0.3">
      <c r="A502" s="150"/>
      <c r="B502" s="150"/>
      <c r="C502" s="150"/>
      <c r="D502" s="150"/>
      <c r="E502" s="140" t="str">
        <f t="shared" si="22"/>
        <v/>
      </c>
      <c r="F502" s="159"/>
      <c r="G502" s="145">
        <f t="shared" si="24"/>
        <v>0</v>
      </c>
      <c r="H502" s="140" t="str">
        <f t="shared" si="23"/>
        <v/>
      </c>
      <c r="I502"/>
      <c r="J502" s="147" t="str">
        <f>IFERROR(SUMIFS(当年实际!$V:$V,当年实际!$F:$F,$C502,当年实际!$C:$C,"&gt;="&amp;DATE(YEAR(主页!$D$2),1,1),当年实际!$C:$C,"&lt;="&amp;EOMONTH(DATE(YEAR(主页!$D$2),MONTH(主页!$D$2),1),0))/SUMIFS(当年实际!$P:$P,当年实际!$F:$F,$C502,当年实际!$C:$C,"&gt;="&amp;DATE(YEAR(主页!$D$2),1,1),当年实际!$C:$C,"&lt;="&amp;EOMONTH(DATE(YEAR(主页!$D$2),MONTH(主页!$D$2),1),0)),"")</f>
        <v/>
      </c>
    </row>
    <row r="503" spans="1:10" x14ac:dyDescent="0.3">
      <c r="A503" s="150"/>
      <c r="B503" s="150"/>
      <c r="C503" s="150"/>
      <c r="D503" s="150"/>
      <c r="E503" s="140" t="str">
        <f t="shared" si="22"/>
        <v/>
      </c>
      <c r="F503" s="159"/>
      <c r="G503" s="145">
        <f t="shared" si="24"/>
        <v>0</v>
      </c>
      <c r="H503" s="140" t="str">
        <f t="shared" si="23"/>
        <v/>
      </c>
      <c r="I503"/>
      <c r="J503" s="147" t="str">
        <f>IFERROR(SUMIFS(当年实际!$V:$V,当年实际!$F:$F,$C503,当年实际!$C:$C,"&gt;="&amp;DATE(YEAR(主页!$D$2),1,1),当年实际!$C:$C,"&lt;="&amp;EOMONTH(DATE(YEAR(主页!$D$2),MONTH(主页!$D$2),1),0))/SUMIFS(当年实际!$P:$P,当年实际!$F:$F,$C503,当年实际!$C:$C,"&gt;="&amp;DATE(YEAR(主页!$D$2),1,1),当年实际!$C:$C,"&lt;="&amp;EOMONTH(DATE(YEAR(主页!$D$2),MONTH(主页!$D$2),1),0)),"")</f>
        <v/>
      </c>
    </row>
    <row r="504" spans="1:10" x14ac:dyDescent="0.3">
      <c r="A504" s="150"/>
      <c r="B504" s="150"/>
      <c r="C504" s="150"/>
      <c r="D504" s="150"/>
      <c r="E504" s="140" t="str">
        <f t="shared" si="22"/>
        <v/>
      </c>
      <c r="F504" s="159"/>
      <c r="G504" s="145">
        <f t="shared" si="24"/>
        <v>0</v>
      </c>
      <c r="H504" s="140" t="str">
        <f t="shared" si="23"/>
        <v/>
      </c>
      <c r="I504"/>
      <c r="J504" s="147" t="str">
        <f>IFERROR(SUMIFS(当年实际!$V:$V,当年实际!$F:$F,$C504,当年实际!$C:$C,"&gt;="&amp;DATE(YEAR(主页!$D$2),1,1),当年实际!$C:$C,"&lt;="&amp;EOMONTH(DATE(YEAR(主页!$D$2),MONTH(主页!$D$2),1),0))/SUMIFS(当年实际!$P:$P,当年实际!$F:$F,$C504,当年实际!$C:$C,"&gt;="&amp;DATE(YEAR(主页!$D$2),1,1),当年实际!$C:$C,"&lt;="&amp;EOMONTH(DATE(YEAR(主页!$D$2),MONTH(主页!$D$2),1),0)),"")</f>
        <v/>
      </c>
    </row>
    <row r="505" spans="1:10" x14ac:dyDescent="0.3">
      <c r="A505" s="150"/>
      <c r="B505" s="150"/>
      <c r="C505" s="150"/>
      <c r="D505" s="150"/>
      <c r="E505" s="140" t="str">
        <f t="shared" si="22"/>
        <v/>
      </c>
      <c r="F505" s="159"/>
      <c r="G505" s="145">
        <f t="shared" si="24"/>
        <v>0</v>
      </c>
      <c r="H505" s="140" t="str">
        <f t="shared" si="23"/>
        <v/>
      </c>
      <c r="I505"/>
      <c r="J505" s="147" t="str">
        <f>IFERROR(SUMIFS(当年实际!$V:$V,当年实际!$F:$F,$C505,当年实际!$C:$C,"&gt;="&amp;DATE(YEAR(主页!$D$2),1,1),当年实际!$C:$C,"&lt;="&amp;EOMONTH(DATE(YEAR(主页!$D$2),MONTH(主页!$D$2),1),0))/SUMIFS(当年实际!$P:$P,当年实际!$F:$F,$C505,当年实际!$C:$C,"&gt;="&amp;DATE(YEAR(主页!$D$2),1,1),当年实际!$C:$C,"&lt;="&amp;EOMONTH(DATE(YEAR(主页!$D$2),MONTH(主页!$D$2),1),0)),"")</f>
        <v/>
      </c>
    </row>
    <row r="506" spans="1:10" x14ac:dyDescent="0.3">
      <c r="A506" s="150"/>
      <c r="B506" s="150"/>
      <c r="C506" s="150"/>
      <c r="D506" s="150"/>
      <c r="E506" s="140" t="str">
        <f t="shared" si="22"/>
        <v/>
      </c>
      <c r="F506" s="159"/>
      <c r="G506" s="145">
        <f t="shared" si="24"/>
        <v>0</v>
      </c>
      <c r="H506" s="140" t="str">
        <f t="shared" si="23"/>
        <v/>
      </c>
      <c r="I506"/>
      <c r="J506" s="147" t="str">
        <f>IFERROR(SUMIFS(当年实际!$V:$V,当年实际!$F:$F,$C506,当年实际!$C:$C,"&gt;="&amp;DATE(YEAR(主页!$D$2),1,1),当年实际!$C:$C,"&lt;="&amp;EOMONTH(DATE(YEAR(主页!$D$2),MONTH(主页!$D$2),1),0))/SUMIFS(当年实际!$P:$P,当年实际!$F:$F,$C506,当年实际!$C:$C,"&gt;="&amp;DATE(YEAR(主页!$D$2),1,1),当年实际!$C:$C,"&lt;="&amp;EOMONTH(DATE(YEAR(主页!$D$2),MONTH(主页!$D$2),1),0)),"")</f>
        <v/>
      </c>
    </row>
    <row r="507" spans="1:10" x14ac:dyDescent="0.3">
      <c r="A507" s="150"/>
      <c r="B507" s="150"/>
      <c r="C507" s="150"/>
      <c r="D507" s="150"/>
      <c r="E507" s="140" t="str">
        <f t="shared" si="22"/>
        <v/>
      </c>
      <c r="F507" s="159"/>
      <c r="G507" s="145">
        <f t="shared" si="24"/>
        <v>0</v>
      </c>
      <c r="H507" s="140" t="str">
        <f t="shared" si="23"/>
        <v/>
      </c>
      <c r="I507"/>
      <c r="J507" s="147" t="str">
        <f>IFERROR(SUMIFS(当年实际!$V:$V,当年实际!$F:$F,$C507,当年实际!$C:$C,"&gt;="&amp;DATE(YEAR(主页!$D$2),1,1),当年实际!$C:$C,"&lt;="&amp;EOMONTH(DATE(YEAR(主页!$D$2),MONTH(主页!$D$2),1),0))/SUMIFS(当年实际!$P:$P,当年实际!$F:$F,$C507,当年实际!$C:$C,"&gt;="&amp;DATE(YEAR(主页!$D$2),1,1),当年实际!$C:$C,"&lt;="&amp;EOMONTH(DATE(YEAR(主页!$D$2),MONTH(主页!$D$2),1),0)),"")</f>
        <v/>
      </c>
    </row>
    <row r="508" spans="1:10" x14ac:dyDescent="0.3">
      <c r="A508" s="150"/>
      <c r="B508" s="150"/>
      <c r="C508" s="150"/>
      <c r="D508" s="150"/>
      <c r="E508" s="140" t="str">
        <f t="shared" si="22"/>
        <v/>
      </c>
      <c r="F508" s="159"/>
      <c r="G508" s="145">
        <f t="shared" si="24"/>
        <v>0</v>
      </c>
      <c r="H508" s="140" t="str">
        <f t="shared" si="23"/>
        <v/>
      </c>
      <c r="I508"/>
      <c r="J508" s="147" t="str">
        <f>IFERROR(SUMIFS(当年实际!$V:$V,当年实际!$F:$F,$C508,当年实际!$C:$C,"&gt;="&amp;DATE(YEAR(主页!$D$2),1,1),当年实际!$C:$C,"&lt;="&amp;EOMONTH(DATE(YEAR(主页!$D$2),MONTH(主页!$D$2),1),0))/SUMIFS(当年实际!$P:$P,当年实际!$F:$F,$C508,当年实际!$C:$C,"&gt;="&amp;DATE(YEAR(主页!$D$2),1,1),当年实际!$C:$C,"&lt;="&amp;EOMONTH(DATE(YEAR(主页!$D$2),MONTH(主页!$D$2),1),0)),"")</f>
        <v/>
      </c>
    </row>
    <row r="509" spans="1:10" x14ac:dyDescent="0.3">
      <c r="A509" s="150"/>
      <c r="B509" s="150"/>
      <c r="C509" s="150"/>
      <c r="D509" s="150"/>
      <c r="E509" s="140" t="str">
        <f t="shared" si="22"/>
        <v/>
      </c>
      <c r="F509" s="159"/>
      <c r="G509" s="145">
        <f t="shared" si="24"/>
        <v>0</v>
      </c>
      <c r="H509" s="140" t="str">
        <f t="shared" si="23"/>
        <v/>
      </c>
      <c r="I509"/>
      <c r="J509" s="147" t="str">
        <f>IFERROR(SUMIFS(当年实际!$V:$V,当年实际!$F:$F,$C509,当年实际!$C:$C,"&gt;="&amp;DATE(YEAR(主页!$D$2),1,1),当年实际!$C:$C,"&lt;="&amp;EOMONTH(DATE(YEAR(主页!$D$2),MONTH(主页!$D$2),1),0))/SUMIFS(当年实际!$P:$P,当年实际!$F:$F,$C509,当年实际!$C:$C,"&gt;="&amp;DATE(YEAR(主页!$D$2),1,1),当年实际!$C:$C,"&lt;="&amp;EOMONTH(DATE(YEAR(主页!$D$2),MONTH(主页!$D$2),1),0)),"")</f>
        <v/>
      </c>
    </row>
    <row r="510" spans="1:10" x14ac:dyDescent="0.3">
      <c r="A510" s="150"/>
      <c r="B510" s="150"/>
      <c r="C510" s="150"/>
      <c r="D510" s="150"/>
      <c r="E510" s="140" t="str">
        <f t="shared" si="22"/>
        <v/>
      </c>
      <c r="F510" s="159"/>
      <c r="G510" s="145">
        <f t="shared" si="24"/>
        <v>0</v>
      </c>
      <c r="H510" s="140" t="str">
        <f t="shared" si="23"/>
        <v/>
      </c>
      <c r="I510"/>
      <c r="J510" s="147" t="str">
        <f>IFERROR(SUMIFS(当年实际!$V:$V,当年实际!$F:$F,$C510,当年实际!$C:$C,"&gt;="&amp;DATE(YEAR(主页!$D$2),1,1),当年实际!$C:$C,"&lt;="&amp;EOMONTH(DATE(YEAR(主页!$D$2),MONTH(主页!$D$2),1),0))/SUMIFS(当年实际!$P:$P,当年实际!$F:$F,$C510,当年实际!$C:$C,"&gt;="&amp;DATE(YEAR(主页!$D$2),1,1),当年实际!$C:$C,"&lt;="&amp;EOMONTH(DATE(YEAR(主页!$D$2),MONTH(主页!$D$2),1),0)),"")</f>
        <v/>
      </c>
    </row>
    <row r="511" spans="1:10" x14ac:dyDescent="0.3">
      <c r="A511" s="150"/>
      <c r="B511" s="150"/>
      <c r="C511" s="150"/>
      <c r="D511" s="150"/>
      <c r="E511" s="140" t="str">
        <f t="shared" si="22"/>
        <v/>
      </c>
      <c r="F511" s="159"/>
      <c r="G511" s="145">
        <f t="shared" si="24"/>
        <v>0</v>
      </c>
      <c r="H511" s="140" t="str">
        <f t="shared" si="23"/>
        <v/>
      </c>
      <c r="I511"/>
      <c r="J511" s="147" t="str">
        <f>IFERROR(SUMIFS(当年实际!$V:$V,当年实际!$F:$F,$C511,当年实际!$C:$C,"&gt;="&amp;DATE(YEAR(主页!$D$2),1,1),当年实际!$C:$C,"&lt;="&amp;EOMONTH(DATE(YEAR(主页!$D$2),MONTH(主页!$D$2),1),0))/SUMIFS(当年实际!$P:$P,当年实际!$F:$F,$C511,当年实际!$C:$C,"&gt;="&amp;DATE(YEAR(主页!$D$2),1,1),当年实际!$C:$C,"&lt;="&amp;EOMONTH(DATE(YEAR(主页!$D$2),MONTH(主页!$D$2),1),0)),"")</f>
        <v/>
      </c>
    </row>
    <row r="512" spans="1:10" x14ac:dyDescent="0.3">
      <c r="A512" s="150"/>
      <c r="B512" s="150"/>
      <c r="C512" s="150"/>
      <c r="D512" s="150"/>
      <c r="E512" s="140" t="str">
        <f t="shared" si="22"/>
        <v/>
      </c>
      <c r="F512" s="159"/>
      <c r="G512" s="145">
        <f t="shared" si="24"/>
        <v>0</v>
      </c>
      <c r="H512" s="140" t="str">
        <f t="shared" si="23"/>
        <v/>
      </c>
      <c r="I512"/>
      <c r="J512" s="147" t="str">
        <f>IFERROR(SUMIFS(当年实际!$V:$V,当年实际!$F:$F,$C512,当年实际!$C:$C,"&gt;="&amp;DATE(YEAR(主页!$D$2),1,1),当年实际!$C:$C,"&lt;="&amp;EOMONTH(DATE(YEAR(主页!$D$2),MONTH(主页!$D$2),1),0))/SUMIFS(当年实际!$P:$P,当年实际!$F:$F,$C512,当年实际!$C:$C,"&gt;="&amp;DATE(YEAR(主页!$D$2),1,1),当年实际!$C:$C,"&lt;="&amp;EOMONTH(DATE(YEAR(主页!$D$2),MONTH(主页!$D$2),1),0)),"")</f>
        <v/>
      </c>
    </row>
    <row r="513" spans="1:10" x14ac:dyDescent="0.3">
      <c r="A513" s="150"/>
      <c r="B513" s="150"/>
      <c r="C513" s="150"/>
      <c r="D513" s="150"/>
      <c r="E513" s="140" t="str">
        <f t="shared" si="22"/>
        <v/>
      </c>
      <c r="F513" s="159"/>
      <c r="G513" s="145">
        <f t="shared" si="24"/>
        <v>0</v>
      </c>
      <c r="H513" s="140" t="str">
        <f t="shared" si="23"/>
        <v/>
      </c>
      <c r="I513"/>
      <c r="J513" s="147" t="str">
        <f>IFERROR(SUMIFS(当年实际!$V:$V,当年实际!$F:$F,$C513,当年实际!$C:$C,"&gt;="&amp;DATE(YEAR(主页!$D$2),1,1),当年实际!$C:$C,"&lt;="&amp;EOMONTH(DATE(YEAR(主页!$D$2),MONTH(主页!$D$2),1),0))/SUMIFS(当年实际!$P:$P,当年实际!$F:$F,$C513,当年实际!$C:$C,"&gt;="&amp;DATE(YEAR(主页!$D$2),1,1),当年实际!$C:$C,"&lt;="&amp;EOMONTH(DATE(YEAR(主页!$D$2),MONTH(主页!$D$2),1),0)),"")</f>
        <v/>
      </c>
    </row>
    <row r="514" spans="1:10" x14ac:dyDescent="0.3">
      <c r="A514" s="150"/>
      <c r="B514" s="150"/>
      <c r="C514" s="150"/>
      <c r="D514" s="150"/>
      <c r="E514" s="140" t="str">
        <f t="shared" si="22"/>
        <v/>
      </c>
      <c r="F514" s="159"/>
      <c r="G514" s="145">
        <f t="shared" si="24"/>
        <v>0</v>
      </c>
      <c r="H514" s="140" t="str">
        <f t="shared" si="23"/>
        <v/>
      </c>
      <c r="I514"/>
      <c r="J514" s="147" t="str">
        <f>IFERROR(SUMIFS(当年实际!$V:$V,当年实际!$F:$F,$C514,当年实际!$C:$C,"&gt;="&amp;DATE(YEAR(主页!$D$2),1,1),当年实际!$C:$C,"&lt;="&amp;EOMONTH(DATE(YEAR(主页!$D$2),MONTH(主页!$D$2),1),0))/SUMIFS(当年实际!$P:$P,当年实际!$F:$F,$C514,当年实际!$C:$C,"&gt;="&amp;DATE(YEAR(主页!$D$2),1,1),当年实际!$C:$C,"&lt;="&amp;EOMONTH(DATE(YEAR(主页!$D$2),MONTH(主页!$D$2),1),0)),"")</f>
        <v/>
      </c>
    </row>
    <row r="515" spans="1:10" x14ac:dyDescent="0.3">
      <c r="A515" s="150"/>
      <c r="B515" s="150"/>
      <c r="C515" s="150"/>
      <c r="D515" s="150"/>
      <c r="E515" s="140" t="str">
        <f t="shared" si="22"/>
        <v/>
      </c>
      <c r="F515" s="159"/>
      <c r="G515" s="145">
        <f t="shared" si="24"/>
        <v>0</v>
      </c>
      <c r="H515" s="140" t="str">
        <f t="shared" si="23"/>
        <v/>
      </c>
      <c r="I515"/>
      <c r="J515" s="147" t="str">
        <f>IFERROR(SUMIFS(当年实际!$V:$V,当年实际!$F:$F,$C515,当年实际!$C:$C,"&gt;="&amp;DATE(YEAR(主页!$D$2),1,1),当年实际!$C:$C,"&lt;="&amp;EOMONTH(DATE(YEAR(主页!$D$2),MONTH(主页!$D$2),1),0))/SUMIFS(当年实际!$P:$P,当年实际!$F:$F,$C515,当年实际!$C:$C,"&gt;="&amp;DATE(YEAR(主页!$D$2),1,1),当年实际!$C:$C,"&lt;="&amp;EOMONTH(DATE(YEAR(主页!$D$2),MONTH(主页!$D$2),1),0)),"")</f>
        <v/>
      </c>
    </row>
    <row r="516" spans="1:10" x14ac:dyDescent="0.3">
      <c r="A516" s="150"/>
      <c r="B516" s="150"/>
      <c r="C516" s="150"/>
      <c r="D516" s="150"/>
      <c r="E516" s="140" t="str">
        <f t="shared" ref="E516:E579" si="25">IF(D516/SUM(D:D)=0,"",D516/SUM(D:D))</f>
        <v/>
      </c>
      <c r="F516" s="159"/>
      <c r="G516" s="145">
        <f t="shared" si="24"/>
        <v>0</v>
      </c>
      <c r="H516" s="140" t="str">
        <f t="shared" ref="H516:H579" si="26">IF(G516/SUM(G:G)=0,"",G516/SUM(G:G))</f>
        <v/>
      </c>
      <c r="I516"/>
      <c r="J516" s="147" t="str">
        <f>IFERROR(SUMIFS(当年实际!$V:$V,当年实际!$F:$F,$C516,当年实际!$C:$C,"&gt;="&amp;DATE(YEAR(主页!$D$2),1,1),当年实际!$C:$C,"&lt;="&amp;EOMONTH(DATE(YEAR(主页!$D$2),MONTH(主页!$D$2),1),0))/SUMIFS(当年实际!$P:$P,当年实际!$F:$F,$C516,当年实际!$C:$C,"&gt;="&amp;DATE(YEAR(主页!$D$2),1,1),当年实际!$C:$C,"&lt;="&amp;EOMONTH(DATE(YEAR(主页!$D$2),MONTH(主页!$D$2),1),0)),"")</f>
        <v/>
      </c>
    </row>
    <row r="517" spans="1:10" x14ac:dyDescent="0.3">
      <c r="A517" s="150"/>
      <c r="B517" s="150"/>
      <c r="C517" s="150"/>
      <c r="D517" s="150"/>
      <c r="E517" s="140" t="str">
        <f t="shared" si="25"/>
        <v/>
      </c>
      <c r="F517" s="159"/>
      <c r="G517" s="145">
        <f t="shared" si="24"/>
        <v>0</v>
      </c>
      <c r="H517" s="140" t="str">
        <f t="shared" si="26"/>
        <v/>
      </c>
      <c r="I517"/>
      <c r="J517" s="147" t="str">
        <f>IFERROR(SUMIFS(当年实际!$V:$V,当年实际!$F:$F,$C517,当年实际!$C:$C,"&gt;="&amp;DATE(YEAR(主页!$D$2),1,1),当年实际!$C:$C,"&lt;="&amp;EOMONTH(DATE(YEAR(主页!$D$2),MONTH(主页!$D$2),1),0))/SUMIFS(当年实际!$P:$P,当年实际!$F:$F,$C517,当年实际!$C:$C,"&gt;="&amp;DATE(YEAR(主页!$D$2),1,1),当年实际!$C:$C,"&lt;="&amp;EOMONTH(DATE(YEAR(主页!$D$2),MONTH(主页!$D$2),1),0)),"")</f>
        <v/>
      </c>
    </row>
    <row r="518" spans="1:10" x14ac:dyDescent="0.3">
      <c r="A518" s="150"/>
      <c r="B518" s="150"/>
      <c r="C518" s="150"/>
      <c r="D518" s="150"/>
      <c r="E518" s="140" t="str">
        <f t="shared" si="25"/>
        <v/>
      </c>
      <c r="F518" s="159"/>
      <c r="G518" s="145">
        <f t="shared" si="24"/>
        <v>0</v>
      </c>
      <c r="H518" s="140" t="str">
        <f t="shared" si="26"/>
        <v/>
      </c>
      <c r="I518"/>
      <c r="J518" s="147" t="str">
        <f>IFERROR(SUMIFS(当年实际!$V:$V,当年实际!$F:$F,$C518,当年实际!$C:$C,"&gt;="&amp;DATE(YEAR(主页!$D$2),1,1),当年实际!$C:$C,"&lt;="&amp;EOMONTH(DATE(YEAR(主页!$D$2),MONTH(主页!$D$2),1),0))/SUMIFS(当年实际!$P:$P,当年实际!$F:$F,$C518,当年实际!$C:$C,"&gt;="&amp;DATE(YEAR(主页!$D$2),1,1),当年实际!$C:$C,"&lt;="&amp;EOMONTH(DATE(YEAR(主页!$D$2),MONTH(主页!$D$2),1),0)),"")</f>
        <v/>
      </c>
    </row>
    <row r="519" spans="1:10" x14ac:dyDescent="0.3">
      <c r="A519" s="150"/>
      <c r="B519" s="150"/>
      <c r="C519" s="150"/>
      <c r="D519" s="150"/>
      <c r="E519" s="140" t="str">
        <f t="shared" si="25"/>
        <v/>
      </c>
      <c r="F519" s="159"/>
      <c r="G519" s="145">
        <f t="shared" ref="G519:G582" si="27">D519*F519</f>
        <v>0</v>
      </c>
      <c r="H519" s="140" t="str">
        <f t="shared" si="26"/>
        <v/>
      </c>
      <c r="I519"/>
      <c r="J519" s="147" t="str">
        <f>IFERROR(SUMIFS(当年实际!$V:$V,当年实际!$F:$F,$C519,当年实际!$C:$C,"&gt;="&amp;DATE(YEAR(主页!$D$2),1,1),当年实际!$C:$C,"&lt;="&amp;EOMONTH(DATE(YEAR(主页!$D$2),MONTH(主页!$D$2),1),0))/SUMIFS(当年实际!$P:$P,当年实际!$F:$F,$C519,当年实际!$C:$C,"&gt;="&amp;DATE(YEAR(主页!$D$2),1,1),当年实际!$C:$C,"&lt;="&amp;EOMONTH(DATE(YEAR(主页!$D$2),MONTH(主页!$D$2),1),0)),"")</f>
        <v/>
      </c>
    </row>
    <row r="520" spans="1:10" x14ac:dyDescent="0.3">
      <c r="A520" s="150"/>
      <c r="B520" s="150"/>
      <c r="C520" s="150"/>
      <c r="D520" s="150"/>
      <c r="E520" s="140" t="str">
        <f t="shared" si="25"/>
        <v/>
      </c>
      <c r="F520" s="159"/>
      <c r="G520" s="145">
        <f t="shared" si="27"/>
        <v>0</v>
      </c>
      <c r="H520" s="140" t="str">
        <f t="shared" si="26"/>
        <v/>
      </c>
      <c r="I520"/>
      <c r="J520" s="147" t="str">
        <f>IFERROR(SUMIFS(当年实际!$V:$V,当年实际!$F:$F,$C520,当年实际!$C:$C,"&gt;="&amp;DATE(YEAR(主页!$D$2),1,1),当年实际!$C:$C,"&lt;="&amp;EOMONTH(DATE(YEAR(主页!$D$2),MONTH(主页!$D$2),1),0))/SUMIFS(当年实际!$P:$P,当年实际!$F:$F,$C520,当年实际!$C:$C,"&gt;="&amp;DATE(YEAR(主页!$D$2),1,1),当年实际!$C:$C,"&lt;="&amp;EOMONTH(DATE(YEAR(主页!$D$2),MONTH(主页!$D$2),1),0)),"")</f>
        <v/>
      </c>
    </row>
    <row r="521" spans="1:10" x14ac:dyDescent="0.3">
      <c r="A521" s="150"/>
      <c r="B521" s="150"/>
      <c r="C521" s="150"/>
      <c r="D521" s="150"/>
      <c r="E521" s="140" t="str">
        <f t="shared" si="25"/>
        <v/>
      </c>
      <c r="F521" s="159"/>
      <c r="G521" s="145">
        <f t="shared" si="27"/>
        <v>0</v>
      </c>
      <c r="H521" s="140" t="str">
        <f t="shared" si="26"/>
        <v/>
      </c>
      <c r="I521"/>
      <c r="J521" s="147" t="str">
        <f>IFERROR(SUMIFS(当年实际!$V:$V,当年实际!$F:$F,$C521,当年实际!$C:$C,"&gt;="&amp;DATE(YEAR(主页!$D$2),1,1),当年实际!$C:$C,"&lt;="&amp;EOMONTH(DATE(YEAR(主页!$D$2),MONTH(主页!$D$2),1),0))/SUMIFS(当年实际!$P:$P,当年实际!$F:$F,$C521,当年实际!$C:$C,"&gt;="&amp;DATE(YEAR(主页!$D$2),1,1),当年实际!$C:$C,"&lt;="&amp;EOMONTH(DATE(YEAR(主页!$D$2),MONTH(主页!$D$2),1),0)),"")</f>
        <v/>
      </c>
    </row>
    <row r="522" spans="1:10" x14ac:dyDescent="0.3">
      <c r="A522" s="150"/>
      <c r="B522" s="150"/>
      <c r="C522" s="150"/>
      <c r="D522" s="150"/>
      <c r="E522" s="140" t="str">
        <f t="shared" si="25"/>
        <v/>
      </c>
      <c r="F522" s="159"/>
      <c r="G522" s="145">
        <f t="shared" si="27"/>
        <v>0</v>
      </c>
      <c r="H522" s="140" t="str">
        <f t="shared" si="26"/>
        <v/>
      </c>
      <c r="I522"/>
      <c r="J522" s="147" t="str">
        <f>IFERROR(SUMIFS(当年实际!$V:$V,当年实际!$F:$F,$C522,当年实际!$C:$C,"&gt;="&amp;DATE(YEAR(主页!$D$2),1,1),当年实际!$C:$C,"&lt;="&amp;EOMONTH(DATE(YEAR(主页!$D$2),MONTH(主页!$D$2),1),0))/SUMIFS(当年实际!$P:$P,当年实际!$F:$F,$C522,当年实际!$C:$C,"&gt;="&amp;DATE(YEAR(主页!$D$2),1,1),当年实际!$C:$C,"&lt;="&amp;EOMONTH(DATE(YEAR(主页!$D$2),MONTH(主页!$D$2),1),0)),"")</f>
        <v/>
      </c>
    </row>
    <row r="523" spans="1:10" x14ac:dyDescent="0.3">
      <c r="A523" s="150"/>
      <c r="B523" s="150"/>
      <c r="C523" s="150"/>
      <c r="D523" s="150"/>
      <c r="E523" s="140" t="str">
        <f t="shared" si="25"/>
        <v/>
      </c>
      <c r="F523" s="159"/>
      <c r="G523" s="145">
        <f t="shared" si="27"/>
        <v>0</v>
      </c>
      <c r="H523" s="140" t="str">
        <f t="shared" si="26"/>
        <v/>
      </c>
      <c r="I523"/>
      <c r="J523" s="147" t="str">
        <f>IFERROR(SUMIFS(当年实际!$V:$V,当年实际!$F:$F,$C523,当年实际!$C:$C,"&gt;="&amp;DATE(YEAR(主页!$D$2),1,1),当年实际!$C:$C,"&lt;="&amp;EOMONTH(DATE(YEAR(主页!$D$2),MONTH(主页!$D$2),1),0))/SUMIFS(当年实际!$P:$P,当年实际!$F:$F,$C523,当年实际!$C:$C,"&gt;="&amp;DATE(YEAR(主页!$D$2),1,1),当年实际!$C:$C,"&lt;="&amp;EOMONTH(DATE(YEAR(主页!$D$2),MONTH(主页!$D$2),1),0)),"")</f>
        <v/>
      </c>
    </row>
    <row r="524" spans="1:10" x14ac:dyDescent="0.3">
      <c r="A524" s="150"/>
      <c r="B524" s="150"/>
      <c r="C524" s="150"/>
      <c r="D524" s="150"/>
      <c r="E524" s="140" t="str">
        <f t="shared" si="25"/>
        <v/>
      </c>
      <c r="F524" s="159"/>
      <c r="G524" s="145">
        <f t="shared" si="27"/>
        <v>0</v>
      </c>
      <c r="H524" s="140" t="str">
        <f t="shared" si="26"/>
        <v/>
      </c>
      <c r="I524"/>
      <c r="J524" s="147" t="str">
        <f>IFERROR(SUMIFS(当年实际!$V:$V,当年实际!$F:$F,$C524,当年实际!$C:$C,"&gt;="&amp;DATE(YEAR(主页!$D$2),1,1),当年实际!$C:$C,"&lt;="&amp;EOMONTH(DATE(YEAR(主页!$D$2),MONTH(主页!$D$2),1),0))/SUMIFS(当年实际!$P:$P,当年实际!$F:$F,$C524,当年实际!$C:$C,"&gt;="&amp;DATE(YEAR(主页!$D$2),1,1),当年实际!$C:$C,"&lt;="&amp;EOMONTH(DATE(YEAR(主页!$D$2),MONTH(主页!$D$2),1),0)),"")</f>
        <v/>
      </c>
    </row>
    <row r="525" spans="1:10" x14ac:dyDescent="0.3">
      <c r="A525" s="150"/>
      <c r="B525" s="150"/>
      <c r="C525" s="150"/>
      <c r="D525" s="150"/>
      <c r="E525" s="140" t="str">
        <f t="shared" si="25"/>
        <v/>
      </c>
      <c r="F525" s="159"/>
      <c r="G525" s="145">
        <f t="shared" si="27"/>
        <v>0</v>
      </c>
      <c r="H525" s="140" t="str">
        <f t="shared" si="26"/>
        <v/>
      </c>
      <c r="I525"/>
      <c r="J525" s="147" t="str">
        <f>IFERROR(SUMIFS(当年实际!$V:$V,当年实际!$F:$F,$C525,当年实际!$C:$C,"&gt;="&amp;DATE(YEAR(主页!$D$2),1,1),当年实际!$C:$C,"&lt;="&amp;EOMONTH(DATE(YEAR(主页!$D$2),MONTH(主页!$D$2),1),0))/SUMIFS(当年实际!$P:$P,当年实际!$F:$F,$C525,当年实际!$C:$C,"&gt;="&amp;DATE(YEAR(主页!$D$2),1,1),当年实际!$C:$C,"&lt;="&amp;EOMONTH(DATE(YEAR(主页!$D$2),MONTH(主页!$D$2),1),0)),"")</f>
        <v/>
      </c>
    </row>
    <row r="526" spans="1:10" x14ac:dyDescent="0.3">
      <c r="A526" s="150"/>
      <c r="B526" s="150"/>
      <c r="C526" s="150"/>
      <c r="D526" s="150"/>
      <c r="E526" s="140" t="str">
        <f t="shared" si="25"/>
        <v/>
      </c>
      <c r="F526" s="159"/>
      <c r="G526" s="145">
        <f t="shared" si="27"/>
        <v>0</v>
      </c>
      <c r="H526" s="140" t="str">
        <f t="shared" si="26"/>
        <v/>
      </c>
      <c r="I526"/>
      <c r="J526" s="147" t="str">
        <f>IFERROR(SUMIFS(当年实际!$V:$V,当年实际!$F:$F,$C526,当年实际!$C:$C,"&gt;="&amp;DATE(YEAR(主页!$D$2),1,1),当年实际!$C:$C,"&lt;="&amp;EOMONTH(DATE(YEAR(主页!$D$2),MONTH(主页!$D$2),1),0))/SUMIFS(当年实际!$P:$P,当年实际!$F:$F,$C526,当年实际!$C:$C,"&gt;="&amp;DATE(YEAR(主页!$D$2),1,1),当年实际!$C:$C,"&lt;="&amp;EOMONTH(DATE(YEAR(主页!$D$2),MONTH(主页!$D$2),1),0)),"")</f>
        <v/>
      </c>
    </row>
    <row r="527" spans="1:10" x14ac:dyDescent="0.3">
      <c r="A527" s="150"/>
      <c r="B527" s="150"/>
      <c r="C527" s="150"/>
      <c r="D527" s="150"/>
      <c r="E527" s="140" t="str">
        <f t="shared" si="25"/>
        <v/>
      </c>
      <c r="F527" s="159"/>
      <c r="G527" s="145">
        <f t="shared" si="27"/>
        <v>0</v>
      </c>
      <c r="H527" s="140" t="str">
        <f t="shared" si="26"/>
        <v/>
      </c>
      <c r="I527"/>
      <c r="J527" s="147" t="str">
        <f>IFERROR(SUMIFS(当年实际!$V:$V,当年实际!$F:$F,$C527,当年实际!$C:$C,"&gt;="&amp;DATE(YEAR(主页!$D$2),1,1),当年实际!$C:$C,"&lt;="&amp;EOMONTH(DATE(YEAR(主页!$D$2),MONTH(主页!$D$2),1),0))/SUMIFS(当年实际!$P:$P,当年实际!$F:$F,$C527,当年实际!$C:$C,"&gt;="&amp;DATE(YEAR(主页!$D$2),1,1),当年实际!$C:$C,"&lt;="&amp;EOMONTH(DATE(YEAR(主页!$D$2),MONTH(主页!$D$2),1),0)),"")</f>
        <v/>
      </c>
    </row>
    <row r="528" spans="1:10" x14ac:dyDescent="0.3">
      <c r="A528" s="150"/>
      <c r="B528" s="150"/>
      <c r="C528" s="150"/>
      <c r="D528" s="150"/>
      <c r="E528" s="140" t="str">
        <f t="shared" si="25"/>
        <v/>
      </c>
      <c r="F528" s="159"/>
      <c r="G528" s="145">
        <f t="shared" si="27"/>
        <v>0</v>
      </c>
      <c r="H528" s="140" t="str">
        <f t="shared" si="26"/>
        <v/>
      </c>
      <c r="I528"/>
      <c r="J528" s="147" t="str">
        <f>IFERROR(SUMIFS(当年实际!$V:$V,当年实际!$F:$F,$C528,当年实际!$C:$C,"&gt;="&amp;DATE(YEAR(主页!$D$2),1,1),当年实际!$C:$C,"&lt;="&amp;EOMONTH(DATE(YEAR(主页!$D$2),MONTH(主页!$D$2),1),0))/SUMIFS(当年实际!$P:$P,当年实际!$F:$F,$C528,当年实际!$C:$C,"&gt;="&amp;DATE(YEAR(主页!$D$2),1,1),当年实际!$C:$C,"&lt;="&amp;EOMONTH(DATE(YEAR(主页!$D$2),MONTH(主页!$D$2),1),0)),"")</f>
        <v/>
      </c>
    </row>
    <row r="529" spans="1:10" x14ac:dyDescent="0.3">
      <c r="A529" s="150"/>
      <c r="B529" s="150"/>
      <c r="C529" s="150"/>
      <c r="D529" s="150"/>
      <c r="E529" s="140" t="str">
        <f t="shared" si="25"/>
        <v/>
      </c>
      <c r="F529" s="159"/>
      <c r="G529" s="145">
        <f t="shared" si="27"/>
        <v>0</v>
      </c>
      <c r="H529" s="140" t="str">
        <f t="shared" si="26"/>
        <v/>
      </c>
      <c r="I529"/>
      <c r="J529" s="147" t="str">
        <f>IFERROR(SUMIFS(当年实际!$V:$V,当年实际!$F:$F,$C529,当年实际!$C:$C,"&gt;="&amp;DATE(YEAR(主页!$D$2),1,1),当年实际!$C:$C,"&lt;="&amp;EOMONTH(DATE(YEAR(主页!$D$2),MONTH(主页!$D$2),1),0))/SUMIFS(当年实际!$P:$P,当年实际!$F:$F,$C529,当年实际!$C:$C,"&gt;="&amp;DATE(YEAR(主页!$D$2),1,1),当年实际!$C:$C,"&lt;="&amp;EOMONTH(DATE(YEAR(主页!$D$2),MONTH(主页!$D$2),1),0)),"")</f>
        <v/>
      </c>
    </row>
    <row r="530" spans="1:10" x14ac:dyDescent="0.3">
      <c r="A530" s="150"/>
      <c r="B530" s="150"/>
      <c r="C530" s="150"/>
      <c r="D530" s="150"/>
      <c r="E530" s="140" t="str">
        <f t="shared" si="25"/>
        <v/>
      </c>
      <c r="F530" s="159"/>
      <c r="G530" s="145">
        <f t="shared" si="27"/>
        <v>0</v>
      </c>
      <c r="H530" s="140" t="str">
        <f t="shared" si="26"/>
        <v/>
      </c>
      <c r="I530"/>
      <c r="J530" s="147" t="str">
        <f>IFERROR(SUMIFS(当年实际!$V:$V,当年实际!$F:$F,$C530,当年实际!$C:$C,"&gt;="&amp;DATE(YEAR(主页!$D$2),1,1),当年实际!$C:$C,"&lt;="&amp;EOMONTH(DATE(YEAR(主页!$D$2),MONTH(主页!$D$2),1),0))/SUMIFS(当年实际!$P:$P,当年实际!$F:$F,$C530,当年实际!$C:$C,"&gt;="&amp;DATE(YEAR(主页!$D$2),1,1),当年实际!$C:$C,"&lt;="&amp;EOMONTH(DATE(YEAR(主页!$D$2),MONTH(主页!$D$2),1),0)),"")</f>
        <v/>
      </c>
    </row>
    <row r="531" spans="1:10" x14ac:dyDescent="0.3">
      <c r="A531" s="150"/>
      <c r="B531" s="150"/>
      <c r="C531" s="150"/>
      <c r="D531" s="150"/>
      <c r="E531" s="140" t="str">
        <f t="shared" si="25"/>
        <v/>
      </c>
      <c r="F531" s="159"/>
      <c r="G531" s="145">
        <f t="shared" si="27"/>
        <v>0</v>
      </c>
      <c r="H531" s="140" t="str">
        <f t="shared" si="26"/>
        <v/>
      </c>
      <c r="I531"/>
      <c r="J531" s="147" t="str">
        <f>IFERROR(SUMIFS(当年实际!$V:$V,当年实际!$F:$F,$C531,当年实际!$C:$C,"&gt;="&amp;DATE(YEAR(主页!$D$2),1,1),当年实际!$C:$C,"&lt;="&amp;EOMONTH(DATE(YEAR(主页!$D$2),MONTH(主页!$D$2),1),0))/SUMIFS(当年实际!$P:$P,当年实际!$F:$F,$C531,当年实际!$C:$C,"&gt;="&amp;DATE(YEAR(主页!$D$2),1,1),当年实际!$C:$C,"&lt;="&amp;EOMONTH(DATE(YEAR(主页!$D$2),MONTH(主页!$D$2),1),0)),"")</f>
        <v/>
      </c>
    </row>
    <row r="532" spans="1:10" x14ac:dyDescent="0.3">
      <c r="A532" s="150"/>
      <c r="B532" s="150"/>
      <c r="C532" s="150"/>
      <c r="D532" s="150"/>
      <c r="E532" s="140" t="str">
        <f t="shared" si="25"/>
        <v/>
      </c>
      <c r="F532" s="159"/>
      <c r="G532" s="145">
        <f t="shared" si="27"/>
        <v>0</v>
      </c>
      <c r="H532" s="140" t="str">
        <f t="shared" si="26"/>
        <v/>
      </c>
      <c r="I532"/>
      <c r="J532" s="147" t="str">
        <f>IFERROR(SUMIFS(当年实际!$V:$V,当年实际!$F:$F,$C532,当年实际!$C:$C,"&gt;="&amp;DATE(YEAR(主页!$D$2),1,1),当年实际!$C:$C,"&lt;="&amp;EOMONTH(DATE(YEAR(主页!$D$2),MONTH(主页!$D$2),1),0))/SUMIFS(当年实际!$P:$P,当年实际!$F:$F,$C532,当年实际!$C:$C,"&gt;="&amp;DATE(YEAR(主页!$D$2),1,1),当年实际!$C:$C,"&lt;="&amp;EOMONTH(DATE(YEAR(主页!$D$2),MONTH(主页!$D$2),1),0)),"")</f>
        <v/>
      </c>
    </row>
    <row r="533" spans="1:10" x14ac:dyDescent="0.3">
      <c r="A533" s="150"/>
      <c r="B533" s="150"/>
      <c r="C533" s="150"/>
      <c r="D533" s="150"/>
      <c r="E533" s="140" t="str">
        <f t="shared" si="25"/>
        <v/>
      </c>
      <c r="F533" s="159"/>
      <c r="G533" s="145">
        <f t="shared" si="27"/>
        <v>0</v>
      </c>
      <c r="H533" s="140" t="str">
        <f t="shared" si="26"/>
        <v/>
      </c>
      <c r="I533"/>
      <c r="J533" s="147" t="str">
        <f>IFERROR(SUMIFS(当年实际!$V:$V,当年实际!$F:$F,$C533,当年实际!$C:$C,"&gt;="&amp;DATE(YEAR(主页!$D$2),1,1),当年实际!$C:$C,"&lt;="&amp;EOMONTH(DATE(YEAR(主页!$D$2),MONTH(主页!$D$2),1),0))/SUMIFS(当年实际!$P:$P,当年实际!$F:$F,$C533,当年实际!$C:$C,"&gt;="&amp;DATE(YEAR(主页!$D$2),1,1),当年实际!$C:$C,"&lt;="&amp;EOMONTH(DATE(YEAR(主页!$D$2),MONTH(主页!$D$2),1),0)),"")</f>
        <v/>
      </c>
    </row>
    <row r="534" spans="1:10" x14ac:dyDescent="0.3">
      <c r="A534" s="150"/>
      <c r="B534" s="150"/>
      <c r="C534" s="150"/>
      <c r="D534" s="150"/>
      <c r="E534" s="140" t="str">
        <f t="shared" si="25"/>
        <v/>
      </c>
      <c r="F534" s="159"/>
      <c r="G534" s="145">
        <f t="shared" si="27"/>
        <v>0</v>
      </c>
      <c r="H534" s="140" t="str">
        <f t="shared" si="26"/>
        <v/>
      </c>
      <c r="I534"/>
      <c r="J534" s="147" t="str">
        <f>IFERROR(SUMIFS(当年实际!$V:$V,当年实际!$F:$F,$C534,当年实际!$C:$C,"&gt;="&amp;DATE(YEAR(主页!$D$2),1,1),当年实际!$C:$C,"&lt;="&amp;EOMONTH(DATE(YEAR(主页!$D$2),MONTH(主页!$D$2),1),0))/SUMIFS(当年实际!$P:$P,当年实际!$F:$F,$C534,当年实际!$C:$C,"&gt;="&amp;DATE(YEAR(主页!$D$2),1,1),当年实际!$C:$C,"&lt;="&amp;EOMONTH(DATE(YEAR(主页!$D$2),MONTH(主页!$D$2),1),0)),"")</f>
        <v/>
      </c>
    </row>
    <row r="535" spans="1:10" x14ac:dyDescent="0.3">
      <c r="A535" s="150"/>
      <c r="B535" s="150"/>
      <c r="C535" s="150"/>
      <c r="D535" s="150"/>
      <c r="E535" s="140" t="str">
        <f t="shared" si="25"/>
        <v/>
      </c>
      <c r="F535" s="159"/>
      <c r="G535" s="145">
        <f t="shared" si="27"/>
        <v>0</v>
      </c>
      <c r="H535" s="140" t="str">
        <f t="shared" si="26"/>
        <v/>
      </c>
      <c r="I535"/>
      <c r="J535" s="147" t="str">
        <f>IFERROR(SUMIFS(当年实际!$V:$V,当年实际!$F:$F,$C535,当年实际!$C:$C,"&gt;="&amp;DATE(YEAR(主页!$D$2),1,1),当年实际!$C:$C,"&lt;="&amp;EOMONTH(DATE(YEAR(主页!$D$2),MONTH(主页!$D$2),1),0))/SUMIFS(当年实际!$P:$P,当年实际!$F:$F,$C535,当年实际!$C:$C,"&gt;="&amp;DATE(YEAR(主页!$D$2),1,1),当年实际!$C:$C,"&lt;="&amp;EOMONTH(DATE(YEAR(主页!$D$2),MONTH(主页!$D$2),1),0)),"")</f>
        <v/>
      </c>
    </row>
    <row r="536" spans="1:10" x14ac:dyDescent="0.3">
      <c r="A536" s="150"/>
      <c r="B536" s="150"/>
      <c r="C536" s="150"/>
      <c r="D536" s="150"/>
      <c r="E536" s="140" t="str">
        <f t="shared" si="25"/>
        <v/>
      </c>
      <c r="F536" s="159"/>
      <c r="G536" s="145">
        <f t="shared" si="27"/>
        <v>0</v>
      </c>
      <c r="H536" s="140" t="str">
        <f t="shared" si="26"/>
        <v/>
      </c>
      <c r="I536"/>
      <c r="J536" s="147" t="str">
        <f>IFERROR(SUMIFS(当年实际!$V:$V,当年实际!$F:$F,$C536,当年实际!$C:$C,"&gt;="&amp;DATE(YEAR(主页!$D$2),1,1),当年实际!$C:$C,"&lt;="&amp;EOMONTH(DATE(YEAR(主页!$D$2),MONTH(主页!$D$2),1),0))/SUMIFS(当年实际!$P:$P,当年实际!$F:$F,$C536,当年实际!$C:$C,"&gt;="&amp;DATE(YEAR(主页!$D$2),1,1),当年实际!$C:$C,"&lt;="&amp;EOMONTH(DATE(YEAR(主页!$D$2),MONTH(主页!$D$2),1),0)),"")</f>
        <v/>
      </c>
    </row>
    <row r="537" spans="1:10" x14ac:dyDescent="0.3">
      <c r="A537" s="150"/>
      <c r="B537" s="150"/>
      <c r="C537" s="150"/>
      <c r="D537" s="150"/>
      <c r="E537" s="140" t="str">
        <f t="shared" si="25"/>
        <v/>
      </c>
      <c r="F537" s="159"/>
      <c r="G537" s="145">
        <f t="shared" si="27"/>
        <v>0</v>
      </c>
      <c r="H537" s="140" t="str">
        <f t="shared" si="26"/>
        <v/>
      </c>
      <c r="I537"/>
      <c r="J537" s="147" t="str">
        <f>IFERROR(SUMIFS(当年实际!$V:$V,当年实际!$F:$F,$C537,当年实际!$C:$C,"&gt;="&amp;DATE(YEAR(主页!$D$2),1,1),当年实际!$C:$C,"&lt;="&amp;EOMONTH(DATE(YEAR(主页!$D$2),MONTH(主页!$D$2),1),0))/SUMIFS(当年实际!$P:$P,当年实际!$F:$F,$C537,当年实际!$C:$C,"&gt;="&amp;DATE(YEAR(主页!$D$2),1,1),当年实际!$C:$C,"&lt;="&amp;EOMONTH(DATE(YEAR(主页!$D$2),MONTH(主页!$D$2),1),0)),"")</f>
        <v/>
      </c>
    </row>
    <row r="538" spans="1:10" x14ac:dyDescent="0.3">
      <c r="A538" s="150"/>
      <c r="B538" s="150"/>
      <c r="C538" s="150"/>
      <c r="D538" s="150"/>
      <c r="E538" s="140" t="str">
        <f t="shared" si="25"/>
        <v/>
      </c>
      <c r="F538" s="159"/>
      <c r="G538" s="145">
        <f t="shared" si="27"/>
        <v>0</v>
      </c>
      <c r="H538" s="140" t="str">
        <f t="shared" si="26"/>
        <v/>
      </c>
      <c r="I538"/>
      <c r="J538" s="147" t="str">
        <f>IFERROR(SUMIFS(当年实际!$V:$V,当年实际!$F:$F,$C538,当年实际!$C:$C,"&gt;="&amp;DATE(YEAR(主页!$D$2),1,1),当年实际!$C:$C,"&lt;="&amp;EOMONTH(DATE(YEAR(主页!$D$2),MONTH(主页!$D$2),1),0))/SUMIFS(当年实际!$P:$P,当年实际!$F:$F,$C538,当年实际!$C:$C,"&gt;="&amp;DATE(YEAR(主页!$D$2),1,1),当年实际!$C:$C,"&lt;="&amp;EOMONTH(DATE(YEAR(主页!$D$2),MONTH(主页!$D$2),1),0)),"")</f>
        <v/>
      </c>
    </row>
    <row r="539" spans="1:10" x14ac:dyDescent="0.3">
      <c r="A539" s="150"/>
      <c r="B539" s="150"/>
      <c r="C539" s="150"/>
      <c r="D539" s="150"/>
      <c r="E539" s="140" t="str">
        <f t="shared" si="25"/>
        <v/>
      </c>
      <c r="F539" s="159"/>
      <c r="G539" s="145">
        <f t="shared" si="27"/>
        <v>0</v>
      </c>
      <c r="H539" s="140" t="str">
        <f t="shared" si="26"/>
        <v/>
      </c>
      <c r="I539"/>
      <c r="J539" s="147" t="str">
        <f>IFERROR(SUMIFS(当年实际!$V:$V,当年实际!$F:$F,$C539,当年实际!$C:$C,"&gt;="&amp;DATE(YEAR(主页!$D$2),1,1),当年实际!$C:$C,"&lt;="&amp;EOMONTH(DATE(YEAR(主页!$D$2),MONTH(主页!$D$2),1),0))/SUMIFS(当年实际!$P:$P,当年实际!$F:$F,$C539,当年实际!$C:$C,"&gt;="&amp;DATE(YEAR(主页!$D$2),1,1),当年实际!$C:$C,"&lt;="&amp;EOMONTH(DATE(YEAR(主页!$D$2),MONTH(主页!$D$2),1),0)),"")</f>
        <v/>
      </c>
    </row>
    <row r="540" spans="1:10" x14ac:dyDescent="0.3">
      <c r="A540" s="150"/>
      <c r="B540" s="150"/>
      <c r="C540" s="150"/>
      <c r="D540" s="150"/>
      <c r="E540" s="140" t="str">
        <f t="shared" si="25"/>
        <v/>
      </c>
      <c r="F540" s="159"/>
      <c r="G540" s="145">
        <f t="shared" si="27"/>
        <v>0</v>
      </c>
      <c r="H540" s="140" t="str">
        <f t="shared" si="26"/>
        <v/>
      </c>
      <c r="I540"/>
      <c r="J540" s="147" t="str">
        <f>IFERROR(SUMIFS(当年实际!$V:$V,当年实际!$F:$F,$C540,当年实际!$C:$C,"&gt;="&amp;DATE(YEAR(主页!$D$2),1,1),当年实际!$C:$C,"&lt;="&amp;EOMONTH(DATE(YEAR(主页!$D$2),MONTH(主页!$D$2),1),0))/SUMIFS(当年实际!$P:$P,当年实际!$F:$F,$C540,当年实际!$C:$C,"&gt;="&amp;DATE(YEAR(主页!$D$2),1,1),当年实际!$C:$C,"&lt;="&amp;EOMONTH(DATE(YEAR(主页!$D$2),MONTH(主页!$D$2),1),0)),"")</f>
        <v/>
      </c>
    </row>
    <row r="541" spans="1:10" x14ac:dyDescent="0.3">
      <c r="A541" s="150"/>
      <c r="B541" s="150"/>
      <c r="C541" s="150"/>
      <c r="D541" s="150"/>
      <c r="E541" s="140" t="str">
        <f t="shared" si="25"/>
        <v/>
      </c>
      <c r="F541" s="159"/>
      <c r="G541" s="145">
        <f t="shared" si="27"/>
        <v>0</v>
      </c>
      <c r="H541" s="140" t="str">
        <f t="shared" si="26"/>
        <v/>
      </c>
      <c r="I541"/>
      <c r="J541" s="147" t="str">
        <f>IFERROR(SUMIFS(当年实际!$V:$V,当年实际!$F:$F,$C541,当年实际!$C:$C,"&gt;="&amp;DATE(YEAR(主页!$D$2),1,1),当年实际!$C:$C,"&lt;="&amp;EOMONTH(DATE(YEAR(主页!$D$2),MONTH(主页!$D$2),1),0))/SUMIFS(当年实际!$P:$P,当年实际!$F:$F,$C541,当年实际!$C:$C,"&gt;="&amp;DATE(YEAR(主页!$D$2),1,1),当年实际!$C:$C,"&lt;="&amp;EOMONTH(DATE(YEAR(主页!$D$2),MONTH(主页!$D$2),1),0)),"")</f>
        <v/>
      </c>
    </row>
    <row r="542" spans="1:10" x14ac:dyDescent="0.3">
      <c r="A542" s="150"/>
      <c r="B542" s="150"/>
      <c r="C542" s="150"/>
      <c r="D542" s="150"/>
      <c r="E542" s="140" t="str">
        <f t="shared" si="25"/>
        <v/>
      </c>
      <c r="F542" s="159"/>
      <c r="G542" s="145">
        <f t="shared" si="27"/>
        <v>0</v>
      </c>
      <c r="H542" s="140" t="str">
        <f t="shared" si="26"/>
        <v/>
      </c>
      <c r="I542"/>
      <c r="J542" s="147" t="str">
        <f>IFERROR(SUMIFS(当年实际!$V:$V,当年实际!$F:$F,$C542,当年实际!$C:$C,"&gt;="&amp;DATE(YEAR(主页!$D$2),1,1),当年实际!$C:$C,"&lt;="&amp;EOMONTH(DATE(YEAR(主页!$D$2),MONTH(主页!$D$2),1),0))/SUMIFS(当年实际!$P:$P,当年实际!$F:$F,$C542,当年实际!$C:$C,"&gt;="&amp;DATE(YEAR(主页!$D$2),1,1),当年实际!$C:$C,"&lt;="&amp;EOMONTH(DATE(YEAR(主页!$D$2),MONTH(主页!$D$2),1),0)),"")</f>
        <v/>
      </c>
    </row>
    <row r="543" spans="1:10" x14ac:dyDescent="0.3">
      <c r="A543" s="150"/>
      <c r="B543" s="150"/>
      <c r="C543" s="150"/>
      <c r="D543" s="150"/>
      <c r="E543" s="140" t="str">
        <f t="shared" si="25"/>
        <v/>
      </c>
      <c r="F543" s="159"/>
      <c r="G543" s="145">
        <f t="shared" si="27"/>
        <v>0</v>
      </c>
      <c r="H543" s="140" t="str">
        <f t="shared" si="26"/>
        <v/>
      </c>
      <c r="I543"/>
      <c r="J543" s="147" t="str">
        <f>IFERROR(SUMIFS(当年实际!$V:$V,当年实际!$F:$F,$C543,当年实际!$C:$C,"&gt;="&amp;DATE(YEAR(主页!$D$2),1,1),当年实际!$C:$C,"&lt;="&amp;EOMONTH(DATE(YEAR(主页!$D$2),MONTH(主页!$D$2),1),0))/SUMIFS(当年实际!$P:$P,当年实际!$F:$F,$C543,当年实际!$C:$C,"&gt;="&amp;DATE(YEAR(主页!$D$2),1,1),当年实际!$C:$C,"&lt;="&amp;EOMONTH(DATE(YEAR(主页!$D$2),MONTH(主页!$D$2),1),0)),"")</f>
        <v/>
      </c>
    </row>
    <row r="544" spans="1:10" x14ac:dyDescent="0.3">
      <c r="A544" s="150"/>
      <c r="B544" s="150"/>
      <c r="C544" s="150"/>
      <c r="D544" s="150"/>
      <c r="E544" s="140" t="str">
        <f t="shared" si="25"/>
        <v/>
      </c>
      <c r="F544" s="159"/>
      <c r="G544" s="145">
        <f t="shared" si="27"/>
        <v>0</v>
      </c>
      <c r="H544" s="140" t="str">
        <f t="shared" si="26"/>
        <v/>
      </c>
      <c r="I544"/>
      <c r="J544" s="147" t="str">
        <f>IFERROR(SUMIFS(当年实际!$V:$V,当年实际!$F:$F,$C544,当年实际!$C:$C,"&gt;="&amp;DATE(YEAR(主页!$D$2),1,1),当年实际!$C:$C,"&lt;="&amp;EOMONTH(DATE(YEAR(主页!$D$2),MONTH(主页!$D$2),1),0))/SUMIFS(当年实际!$P:$P,当年实际!$F:$F,$C544,当年实际!$C:$C,"&gt;="&amp;DATE(YEAR(主页!$D$2),1,1),当年实际!$C:$C,"&lt;="&amp;EOMONTH(DATE(YEAR(主页!$D$2),MONTH(主页!$D$2),1),0)),"")</f>
        <v/>
      </c>
    </row>
    <row r="545" spans="1:10" x14ac:dyDescent="0.3">
      <c r="A545" s="150"/>
      <c r="B545" s="150"/>
      <c r="C545" s="150"/>
      <c r="D545" s="150"/>
      <c r="E545" s="140" t="str">
        <f t="shared" si="25"/>
        <v/>
      </c>
      <c r="F545" s="159"/>
      <c r="G545" s="145">
        <f t="shared" si="27"/>
        <v>0</v>
      </c>
      <c r="H545" s="140" t="str">
        <f t="shared" si="26"/>
        <v/>
      </c>
      <c r="I545"/>
      <c r="J545" s="147" t="str">
        <f>IFERROR(SUMIFS(当年实际!$V:$V,当年实际!$F:$F,$C545,当年实际!$C:$C,"&gt;="&amp;DATE(YEAR(主页!$D$2),1,1),当年实际!$C:$C,"&lt;="&amp;EOMONTH(DATE(YEAR(主页!$D$2),MONTH(主页!$D$2),1),0))/SUMIFS(当年实际!$P:$P,当年实际!$F:$F,$C545,当年实际!$C:$C,"&gt;="&amp;DATE(YEAR(主页!$D$2),1,1),当年实际!$C:$C,"&lt;="&amp;EOMONTH(DATE(YEAR(主页!$D$2),MONTH(主页!$D$2),1),0)),"")</f>
        <v/>
      </c>
    </row>
    <row r="546" spans="1:10" x14ac:dyDescent="0.3">
      <c r="A546" s="150"/>
      <c r="B546" s="150"/>
      <c r="C546" s="150"/>
      <c r="D546" s="150"/>
      <c r="E546" s="140" t="str">
        <f t="shared" si="25"/>
        <v/>
      </c>
      <c r="F546" s="159"/>
      <c r="G546" s="145">
        <f t="shared" si="27"/>
        <v>0</v>
      </c>
      <c r="H546" s="140" t="str">
        <f t="shared" si="26"/>
        <v/>
      </c>
      <c r="I546"/>
      <c r="J546" s="147" t="str">
        <f>IFERROR(SUMIFS(当年实际!$V:$V,当年实际!$F:$F,$C546,当年实际!$C:$C,"&gt;="&amp;DATE(YEAR(主页!$D$2),1,1),当年实际!$C:$C,"&lt;="&amp;EOMONTH(DATE(YEAR(主页!$D$2),MONTH(主页!$D$2),1),0))/SUMIFS(当年实际!$P:$P,当年实际!$F:$F,$C546,当年实际!$C:$C,"&gt;="&amp;DATE(YEAR(主页!$D$2),1,1),当年实际!$C:$C,"&lt;="&amp;EOMONTH(DATE(YEAR(主页!$D$2),MONTH(主页!$D$2),1),0)),"")</f>
        <v/>
      </c>
    </row>
    <row r="547" spans="1:10" x14ac:dyDescent="0.3">
      <c r="A547" s="150"/>
      <c r="B547" s="150"/>
      <c r="C547" s="150"/>
      <c r="D547" s="150"/>
      <c r="E547" s="140" t="str">
        <f t="shared" si="25"/>
        <v/>
      </c>
      <c r="F547" s="159"/>
      <c r="G547" s="145">
        <f t="shared" si="27"/>
        <v>0</v>
      </c>
      <c r="H547" s="140" t="str">
        <f t="shared" si="26"/>
        <v/>
      </c>
      <c r="I547"/>
      <c r="J547" s="147" t="str">
        <f>IFERROR(SUMIFS(当年实际!$V:$V,当年实际!$F:$F,$C547,当年实际!$C:$C,"&gt;="&amp;DATE(YEAR(主页!$D$2),1,1),当年实际!$C:$C,"&lt;="&amp;EOMONTH(DATE(YEAR(主页!$D$2),MONTH(主页!$D$2),1),0))/SUMIFS(当年实际!$P:$P,当年实际!$F:$F,$C547,当年实际!$C:$C,"&gt;="&amp;DATE(YEAR(主页!$D$2),1,1),当年实际!$C:$C,"&lt;="&amp;EOMONTH(DATE(YEAR(主页!$D$2),MONTH(主页!$D$2),1),0)),"")</f>
        <v/>
      </c>
    </row>
    <row r="548" spans="1:10" x14ac:dyDescent="0.3">
      <c r="A548" s="150"/>
      <c r="B548" s="150"/>
      <c r="C548" s="150"/>
      <c r="D548" s="150"/>
      <c r="E548" s="140" t="str">
        <f t="shared" si="25"/>
        <v/>
      </c>
      <c r="F548" s="159"/>
      <c r="G548" s="145">
        <f t="shared" si="27"/>
        <v>0</v>
      </c>
      <c r="H548" s="140" t="str">
        <f t="shared" si="26"/>
        <v/>
      </c>
      <c r="I548"/>
      <c r="J548" s="147" t="str">
        <f>IFERROR(SUMIFS(当年实际!$V:$V,当年实际!$F:$F,$C548,当年实际!$C:$C,"&gt;="&amp;DATE(YEAR(主页!$D$2),1,1),当年实际!$C:$C,"&lt;="&amp;EOMONTH(DATE(YEAR(主页!$D$2),MONTH(主页!$D$2),1),0))/SUMIFS(当年实际!$P:$P,当年实际!$F:$F,$C548,当年实际!$C:$C,"&gt;="&amp;DATE(YEAR(主页!$D$2),1,1),当年实际!$C:$C,"&lt;="&amp;EOMONTH(DATE(YEAR(主页!$D$2),MONTH(主页!$D$2),1),0)),"")</f>
        <v/>
      </c>
    </row>
    <row r="549" spans="1:10" x14ac:dyDescent="0.3">
      <c r="A549" s="150"/>
      <c r="B549" s="150"/>
      <c r="C549" s="150"/>
      <c r="D549" s="150"/>
      <c r="E549" s="140" t="str">
        <f t="shared" si="25"/>
        <v/>
      </c>
      <c r="F549" s="159"/>
      <c r="G549" s="145">
        <f t="shared" si="27"/>
        <v>0</v>
      </c>
      <c r="H549" s="140" t="str">
        <f t="shared" si="26"/>
        <v/>
      </c>
      <c r="I549"/>
      <c r="J549" s="147" t="str">
        <f>IFERROR(SUMIFS(当年实际!$V:$V,当年实际!$F:$F,$C549,当年实际!$C:$C,"&gt;="&amp;DATE(YEAR(主页!$D$2),1,1),当年实际!$C:$C,"&lt;="&amp;EOMONTH(DATE(YEAR(主页!$D$2),MONTH(主页!$D$2),1),0))/SUMIFS(当年实际!$P:$P,当年实际!$F:$F,$C549,当年实际!$C:$C,"&gt;="&amp;DATE(YEAR(主页!$D$2),1,1),当年实际!$C:$C,"&lt;="&amp;EOMONTH(DATE(YEAR(主页!$D$2),MONTH(主页!$D$2),1),0)),"")</f>
        <v/>
      </c>
    </row>
    <row r="550" spans="1:10" x14ac:dyDescent="0.3">
      <c r="A550" s="150"/>
      <c r="B550" s="150"/>
      <c r="C550" s="150"/>
      <c r="D550" s="150"/>
      <c r="E550" s="140" t="str">
        <f t="shared" si="25"/>
        <v/>
      </c>
      <c r="F550" s="159"/>
      <c r="G550" s="145">
        <f t="shared" si="27"/>
        <v>0</v>
      </c>
      <c r="H550" s="140" t="str">
        <f t="shared" si="26"/>
        <v/>
      </c>
      <c r="I550"/>
      <c r="J550" s="147" t="str">
        <f>IFERROR(SUMIFS(当年实际!$V:$V,当年实际!$F:$F,$C550,当年实际!$C:$C,"&gt;="&amp;DATE(YEAR(主页!$D$2),1,1),当年实际!$C:$C,"&lt;="&amp;EOMONTH(DATE(YEAR(主页!$D$2),MONTH(主页!$D$2),1),0))/SUMIFS(当年实际!$P:$P,当年实际!$F:$F,$C550,当年实际!$C:$C,"&gt;="&amp;DATE(YEAR(主页!$D$2),1,1),当年实际!$C:$C,"&lt;="&amp;EOMONTH(DATE(YEAR(主页!$D$2),MONTH(主页!$D$2),1),0)),"")</f>
        <v/>
      </c>
    </row>
    <row r="551" spans="1:10" x14ac:dyDescent="0.3">
      <c r="A551" s="150"/>
      <c r="B551" s="150"/>
      <c r="C551" s="150"/>
      <c r="D551" s="150"/>
      <c r="E551" s="140" t="str">
        <f t="shared" si="25"/>
        <v/>
      </c>
      <c r="F551" s="159"/>
      <c r="G551" s="145">
        <f t="shared" si="27"/>
        <v>0</v>
      </c>
      <c r="H551" s="140" t="str">
        <f t="shared" si="26"/>
        <v/>
      </c>
      <c r="I551"/>
      <c r="J551" s="147" t="str">
        <f>IFERROR(SUMIFS(当年实际!$V:$V,当年实际!$F:$F,$C551,当年实际!$C:$C,"&gt;="&amp;DATE(YEAR(主页!$D$2),1,1),当年实际!$C:$C,"&lt;="&amp;EOMONTH(DATE(YEAR(主页!$D$2),MONTH(主页!$D$2),1),0))/SUMIFS(当年实际!$P:$P,当年实际!$F:$F,$C551,当年实际!$C:$C,"&gt;="&amp;DATE(YEAR(主页!$D$2),1,1),当年实际!$C:$C,"&lt;="&amp;EOMONTH(DATE(YEAR(主页!$D$2),MONTH(主页!$D$2),1),0)),"")</f>
        <v/>
      </c>
    </row>
    <row r="552" spans="1:10" x14ac:dyDescent="0.3">
      <c r="A552" s="150"/>
      <c r="B552" s="150"/>
      <c r="C552" s="150"/>
      <c r="D552" s="150"/>
      <c r="E552" s="140" t="str">
        <f t="shared" si="25"/>
        <v/>
      </c>
      <c r="F552" s="159"/>
      <c r="G552" s="145">
        <f t="shared" si="27"/>
        <v>0</v>
      </c>
      <c r="H552" s="140" t="str">
        <f t="shared" si="26"/>
        <v/>
      </c>
      <c r="I552"/>
      <c r="J552" s="147" t="str">
        <f>IFERROR(SUMIFS(当年实际!$V:$V,当年实际!$F:$F,$C552,当年实际!$C:$C,"&gt;="&amp;DATE(YEAR(主页!$D$2),1,1),当年实际!$C:$C,"&lt;="&amp;EOMONTH(DATE(YEAR(主页!$D$2),MONTH(主页!$D$2),1),0))/SUMIFS(当年实际!$P:$P,当年实际!$F:$F,$C552,当年实际!$C:$C,"&gt;="&amp;DATE(YEAR(主页!$D$2),1,1),当年实际!$C:$C,"&lt;="&amp;EOMONTH(DATE(YEAR(主页!$D$2),MONTH(主页!$D$2),1),0)),"")</f>
        <v/>
      </c>
    </row>
    <row r="553" spans="1:10" x14ac:dyDescent="0.3">
      <c r="A553" s="150"/>
      <c r="B553" s="150"/>
      <c r="C553" s="150"/>
      <c r="D553" s="150"/>
      <c r="E553" s="140" t="str">
        <f t="shared" si="25"/>
        <v/>
      </c>
      <c r="F553" s="159"/>
      <c r="G553" s="145">
        <f t="shared" si="27"/>
        <v>0</v>
      </c>
      <c r="H553" s="140" t="str">
        <f t="shared" si="26"/>
        <v/>
      </c>
      <c r="I553"/>
      <c r="J553" s="147" t="str">
        <f>IFERROR(SUMIFS(当年实际!$V:$V,当年实际!$F:$F,$C553,当年实际!$C:$C,"&gt;="&amp;DATE(YEAR(主页!$D$2),1,1),当年实际!$C:$C,"&lt;="&amp;EOMONTH(DATE(YEAR(主页!$D$2),MONTH(主页!$D$2),1),0))/SUMIFS(当年实际!$P:$P,当年实际!$F:$F,$C553,当年实际!$C:$C,"&gt;="&amp;DATE(YEAR(主页!$D$2),1,1),当年实际!$C:$C,"&lt;="&amp;EOMONTH(DATE(YEAR(主页!$D$2),MONTH(主页!$D$2),1),0)),"")</f>
        <v/>
      </c>
    </row>
    <row r="554" spans="1:10" x14ac:dyDescent="0.3">
      <c r="A554" s="150"/>
      <c r="B554" s="150"/>
      <c r="C554" s="150"/>
      <c r="D554" s="150"/>
      <c r="E554" s="140" t="str">
        <f t="shared" si="25"/>
        <v/>
      </c>
      <c r="F554" s="159"/>
      <c r="G554" s="145">
        <f t="shared" si="27"/>
        <v>0</v>
      </c>
      <c r="H554" s="140" t="str">
        <f t="shared" si="26"/>
        <v/>
      </c>
      <c r="I554"/>
      <c r="J554" s="147" t="str">
        <f>IFERROR(SUMIFS(当年实际!$V:$V,当年实际!$F:$F,$C554,当年实际!$C:$C,"&gt;="&amp;DATE(YEAR(主页!$D$2),1,1),当年实际!$C:$C,"&lt;="&amp;EOMONTH(DATE(YEAR(主页!$D$2),MONTH(主页!$D$2),1),0))/SUMIFS(当年实际!$P:$P,当年实际!$F:$F,$C554,当年实际!$C:$C,"&gt;="&amp;DATE(YEAR(主页!$D$2),1,1),当年实际!$C:$C,"&lt;="&amp;EOMONTH(DATE(YEAR(主页!$D$2),MONTH(主页!$D$2),1),0)),"")</f>
        <v/>
      </c>
    </row>
    <row r="555" spans="1:10" x14ac:dyDescent="0.3">
      <c r="A555" s="150"/>
      <c r="B555" s="150"/>
      <c r="C555" s="150"/>
      <c r="D555" s="150"/>
      <c r="E555" s="140" t="str">
        <f t="shared" si="25"/>
        <v/>
      </c>
      <c r="F555" s="159"/>
      <c r="G555" s="145">
        <f t="shared" si="27"/>
        <v>0</v>
      </c>
      <c r="H555" s="140" t="str">
        <f t="shared" si="26"/>
        <v/>
      </c>
      <c r="I555"/>
      <c r="J555" s="147" t="str">
        <f>IFERROR(SUMIFS(当年实际!$V:$V,当年实际!$F:$F,$C555,当年实际!$C:$C,"&gt;="&amp;DATE(YEAR(主页!$D$2),1,1),当年实际!$C:$C,"&lt;="&amp;EOMONTH(DATE(YEAR(主页!$D$2),MONTH(主页!$D$2),1),0))/SUMIFS(当年实际!$P:$P,当年实际!$F:$F,$C555,当年实际!$C:$C,"&gt;="&amp;DATE(YEAR(主页!$D$2),1,1),当年实际!$C:$C,"&lt;="&amp;EOMONTH(DATE(YEAR(主页!$D$2),MONTH(主页!$D$2),1),0)),"")</f>
        <v/>
      </c>
    </row>
    <row r="556" spans="1:10" x14ac:dyDescent="0.3">
      <c r="A556" s="150"/>
      <c r="B556" s="150"/>
      <c r="C556" s="150"/>
      <c r="D556" s="150"/>
      <c r="E556" s="140" t="str">
        <f t="shared" si="25"/>
        <v/>
      </c>
      <c r="F556" s="159"/>
      <c r="G556" s="145">
        <f t="shared" si="27"/>
        <v>0</v>
      </c>
      <c r="H556" s="140" t="str">
        <f t="shared" si="26"/>
        <v/>
      </c>
      <c r="I556"/>
      <c r="J556" s="147" t="str">
        <f>IFERROR(SUMIFS(当年实际!$V:$V,当年实际!$F:$F,$C556,当年实际!$C:$C,"&gt;="&amp;DATE(YEAR(主页!$D$2),1,1),当年实际!$C:$C,"&lt;="&amp;EOMONTH(DATE(YEAR(主页!$D$2),MONTH(主页!$D$2),1),0))/SUMIFS(当年实际!$P:$P,当年实际!$F:$F,$C556,当年实际!$C:$C,"&gt;="&amp;DATE(YEAR(主页!$D$2),1,1),当年实际!$C:$C,"&lt;="&amp;EOMONTH(DATE(YEAR(主页!$D$2),MONTH(主页!$D$2),1),0)),"")</f>
        <v/>
      </c>
    </row>
    <row r="557" spans="1:10" x14ac:dyDescent="0.3">
      <c r="A557" s="150"/>
      <c r="B557" s="150"/>
      <c r="C557" s="150"/>
      <c r="D557" s="150"/>
      <c r="E557" s="140" t="str">
        <f t="shared" si="25"/>
        <v/>
      </c>
      <c r="F557" s="159"/>
      <c r="G557" s="145">
        <f t="shared" si="27"/>
        <v>0</v>
      </c>
      <c r="H557" s="140" t="str">
        <f t="shared" si="26"/>
        <v/>
      </c>
      <c r="I557"/>
      <c r="J557" s="147" t="str">
        <f>IFERROR(SUMIFS(当年实际!$V:$V,当年实际!$F:$F,$C557,当年实际!$C:$C,"&gt;="&amp;DATE(YEAR(主页!$D$2),1,1),当年实际!$C:$C,"&lt;="&amp;EOMONTH(DATE(YEAR(主页!$D$2),MONTH(主页!$D$2),1),0))/SUMIFS(当年实际!$P:$P,当年实际!$F:$F,$C557,当年实际!$C:$C,"&gt;="&amp;DATE(YEAR(主页!$D$2),1,1),当年实际!$C:$C,"&lt;="&amp;EOMONTH(DATE(YEAR(主页!$D$2),MONTH(主页!$D$2),1),0)),"")</f>
        <v/>
      </c>
    </row>
    <row r="558" spans="1:10" x14ac:dyDescent="0.3">
      <c r="A558" s="150"/>
      <c r="B558" s="150"/>
      <c r="C558" s="150"/>
      <c r="D558" s="150"/>
      <c r="E558" s="140" t="str">
        <f t="shared" si="25"/>
        <v/>
      </c>
      <c r="F558" s="159"/>
      <c r="G558" s="145">
        <f t="shared" si="27"/>
        <v>0</v>
      </c>
      <c r="H558" s="140" t="str">
        <f t="shared" si="26"/>
        <v/>
      </c>
      <c r="I558"/>
      <c r="J558" s="147" t="str">
        <f>IFERROR(SUMIFS(当年实际!$V:$V,当年实际!$F:$F,$C558,当年实际!$C:$C,"&gt;="&amp;DATE(YEAR(主页!$D$2),1,1),当年实际!$C:$C,"&lt;="&amp;EOMONTH(DATE(YEAR(主页!$D$2),MONTH(主页!$D$2),1),0))/SUMIFS(当年实际!$P:$P,当年实际!$F:$F,$C558,当年实际!$C:$C,"&gt;="&amp;DATE(YEAR(主页!$D$2),1,1),当年实际!$C:$C,"&lt;="&amp;EOMONTH(DATE(YEAR(主页!$D$2),MONTH(主页!$D$2),1),0)),"")</f>
        <v/>
      </c>
    </row>
    <row r="559" spans="1:10" x14ac:dyDescent="0.3">
      <c r="A559" s="150"/>
      <c r="B559" s="150"/>
      <c r="C559" s="150"/>
      <c r="D559" s="150"/>
      <c r="E559" s="140" t="str">
        <f t="shared" si="25"/>
        <v/>
      </c>
      <c r="F559" s="159"/>
      <c r="G559" s="145">
        <f t="shared" si="27"/>
        <v>0</v>
      </c>
      <c r="H559" s="140" t="str">
        <f t="shared" si="26"/>
        <v/>
      </c>
      <c r="I559"/>
      <c r="J559" s="147" t="str">
        <f>IFERROR(SUMIFS(当年实际!$V:$V,当年实际!$F:$F,$C559,当年实际!$C:$C,"&gt;="&amp;DATE(YEAR(主页!$D$2),1,1),当年实际!$C:$C,"&lt;="&amp;EOMONTH(DATE(YEAR(主页!$D$2),MONTH(主页!$D$2),1),0))/SUMIFS(当年实际!$P:$P,当年实际!$F:$F,$C559,当年实际!$C:$C,"&gt;="&amp;DATE(YEAR(主页!$D$2),1,1),当年实际!$C:$C,"&lt;="&amp;EOMONTH(DATE(YEAR(主页!$D$2),MONTH(主页!$D$2),1),0)),"")</f>
        <v/>
      </c>
    </row>
    <row r="560" spans="1:10" x14ac:dyDescent="0.3">
      <c r="A560" s="150"/>
      <c r="B560" s="150"/>
      <c r="C560" s="150"/>
      <c r="D560" s="150"/>
      <c r="E560" s="140" t="str">
        <f t="shared" si="25"/>
        <v/>
      </c>
      <c r="F560" s="159"/>
      <c r="G560" s="145">
        <f t="shared" si="27"/>
        <v>0</v>
      </c>
      <c r="H560" s="140" t="str">
        <f t="shared" si="26"/>
        <v/>
      </c>
      <c r="I560"/>
      <c r="J560" s="147" t="str">
        <f>IFERROR(SUMIFS(当年实际!$V:$V,当年实际!$F:$F,$C560,当年实际!$C:$C,"&gt;="&amp;DATE(YEAR(主页!$D$2),1,1),当年实际!$C:$C,"&lt;="&amp;EOMONTH(DATE(YEAR(主页!$D$2),MONTH(主页!$D$2),1),0))/SUMIFS(当年实际!$P:$P,当年实际!$F:$F,$C560,当年实际!$C:$C,"&gt;="&amp;DATE(YEAR(主页!$D$2),1,1),当年实际!$C:$C,"&lt;="&amp;EOMONTH(DATE(YEAR(主页!$D$2),MONTH(主页!$D$2),1),0)),"")</f>
        <v/>
      </c>
    </row>
    <row r="561" spans="1:10" x14ac:dyDescent="0.3">
      <c r="A561" s="150"/>
      <c r="B561" s="150"/>
      <c r="C561" s="150"/>
      <c r="D561" s="150"/>
      <c r="E561" s="140" t="str">
        <f t="shared" si="25"/>
        <v/>
      </c>
      <c r="F561" s="159"/>
      <c r="G561" s="145">
        <f t="shared" si="27"/>
        <v>0</v>
      </c>
      <c r="H561" s="140" t="str">
        <f t="shared" si="26"/>
        <v/>
      </c>
      <c r="I561"/>
      <c r="J561" s="147" t="str">
        <f>IFERROR(SUMIFS(当年实际!$V:$V,当年实际!$F:$F,$C561,当年实际!$C:$C,"&gt;="&amp;DATE(YEAR(主页!$D$2),1,1),当年实际!$C:$C,"&lt;="&amp;EOMONTH(DATE(YEAR(主页!$D$2),MONTH(主页!$D$2),1),0))/SUMIFS(当年实际!$P:$P,当年实际!$F:$F,$C561,当年实际!$C:$C,"&gt;="&amp;DATE(YEAR(主页!$D$2),1,1),当年实际!$C:$C,"&lt;="&amp;EOMONTH(DATE(YEAR(主页!$D$2),MONTH(主页!$D$2),1),0)),"")</f>
        <v/>
      </c>
    </row>
    <row r="562" spans="1:10" x14ac:dyDescent="0.3">
      <c r="A562" s="150"/>
      <c r="B562" s="150"/>
      <c r="C562" s="150"/>
      <c r="D562" s="150"/>
      <c r="E562" s="140" t="str">
        <f t="shared" si="25"/>
        <v/>
      </c>
      <c r="F562" s="159"/>
      <c r="G562" s="145">
        <f t="shared" si="27"/>
        <v>0</v>
      </c>
      <c r="H562" s="140" t="str">
        <f t="shared" si="26"/>
        <v/>
      </c>
      <c r="I562"/>
      <c r="J562" s="147" t="str">
        <f>IFERROR(SUMIFS(当年实际!$V:$V,当年实际!$F:$F,$C562,当年实际!$C:$C,"&gt;="&amp;DATE(YEAR(主页!$D$2),1,1),当年实际!$C:$C,"&lt;="&amp;EOMONTH(DATE(YEAR(主页!$D$2),MONTH(主页!$D$2),1),0))/SUMIFS(当年实际!$P:$P,当年实际!$F:$F,$C562,当年实际!$C:$C,"&gt;="&amp;DATE(YEAR(主页!$D$2),1,1),当年实际!$C:$C,"&lt;="&amp;EOMONTH(DATE(YEAR(主页!$D$2),MONTH(主页!$D$2),1),0)),"")</f>
        <v/>
      </c>
    </row>
    <row r="563" spans="1:10" x14ac:dyDescent="0.3">
      <c r="A563" s="150"/>
      <c r="B563" s="150"/>
      <c r="C563" s="150"/>
      <c r="D563" s="150"/>
      <c r="E563" s="140" t="str">
        <f t="shared" si="25"/>
        <v/>
      </c>
      <c r="F563" s="159"/>
      <c r="G563" s="145">
        <f t="shared" si="27"/>
        <v>0</v>
      </c>
      <c r="H563" s="140" t="str">
        <f t="shared" si="26"/>
        <v/>
      </c>
      <c r="I563"/>
      <c r="J563" s="147" t="str">
        <f>IFERROR(SUMIFS(当年实际!$V:$V,当年实际!$F:$F,$C563,当年实际!$C:$C,"&gt;="&amp;DATE(YEAR(主页!$D$2),1,1),当年实际!$C:$C,"&lt;="&amp;EOMONTH(DATE(YEAR(主页!$D$2),MONTH(主页!$D$2),1),0))/SUMIFS(当年实际!$P:$P,当年实际!$F:$F,$C563,当年实际!$C:$C,"&gt;="&amp;DATE(YEAR(主页!$D$2),1,1),当年实际!$C:$C,"&lt;="&amp;EOMONTH(DATE(YEAR(主页!$D$2),MONTH(主页!$D$2),1),0)),"")</f>
        <v/>
      </c>
    </row>
    <row r="564" spans="1:10" x14ac:dyDescent="0.3">
      <c r="A564" s="150"/>
      <c r="B564" s="150"/>
      <c r="C564" s="150"/>
      <c r="D564" s="150"/>
      <c r="E564" s="140" t="str">
        <f t="shared" si="25"/>
        <v/>
      </c>
      <c r="F564" s="159"/>
      <c r="G564" s="145">
        <f t="shared" si="27"/>
        <v>0</v>
      </c>
      <c r="H564" s="140" t="str">
        <f t="shared" si="26"/>
        <v/>
      </c>
      <c r="I564"/>
      <c r="J564" s="147" t="str">
        <f>IFERROR(SUMIFS(当年实际!$V:$V,当年实际!$F:$F,$C564,当年实际!$C:$C,"&gt;="&amp;DATE(YEAR(主页!$D$2),1,1),当年实际!$C:$C,"&lt;="&amp;EOMONTH(DATE(YEAR(主页!$D$2),MONTH(主页!$D$2),1),0))/SUMIFS(当年实际!$P:$P,当年实际!$F:$F,$C564,当年实际!$C:$C,"&gt;="&amp;DATE(YEAR(主页!$D$2),1,1),当年实际!$C:$C,"&lt;="&amp;EOMONTH(DATE(YEAR(主页!$D$2),MONTH(主页!$D$2),1),0)),"")</f>
        <v/>
      </c>
    </row>
    <row r="565" spans="1:10" x14ac:dyDescent="0.3">
      <c r="A565" s="150"/>
      <c r="B565" s="150"/>
      <c r="C565" s="150"/>
      <c r="D565" s="150"/>
      <c r="E565" s="140" t="str">
        <f t="shared" si="25"/>
        <v/>
      </c>
      <c r="F565" s="159"/>
      <c r="G565" s="145">
        <f t="shared" si="27"/>
        <v>0</v>
      </c>
      <c r="H565" s="140" t="str">
        <f t="shared" si="26"/>
        <v/>
      </c>
      <c r="I565"/>
      <c r="J565" s="147" t="str">
        <f>IFERROR(SUMIFS(当年实际!$V:$V,当年实际!$F:$F,$C565,当年实际!$C:$C,"&gt;="&amp;DATE(YEAR(主页!$D$2),1,1),当年实际!$C:$C,"&lt;="&amp;EOMONTH(DATE(YEAR(主页!$D$2),MONTH(主页!$D$2),1),0))/SUMIFS(当年实际!$P:$P,当年实际!$F:$F,$C565,当年实际!$C:$C,"&gt;="&amp;DATE(YEAR(主页!$D$2),1,1),当年实际!$C:$C,"&lt;="&amp;EOMONTH(DATE(YEAR(主页!$D$2),MONTH(主页!$D$2),1),0)),"")</f>
        <v/>
      </c>
    </row>
    <row r="566" spans="1:10" x14ac:dyDescent="0.3">
      <c r="A566" s="150"/>
      <c r="B566" s="150"/>
      <c r="C566" s="150"/>
      <c r="D566" s="150"/>
      <c r="E566" s="140" t="str">
        <f t="shared" si="25"/>
        <v/>
      </c>
      <c r="F566" s="159"/>
      <c r="G566" s="145">
        <f t="shared" si="27"/>
        <v>0</v>
      </c>
      <c r="H566" s="140" t="str">
        <f t="shared" si="26"/>
        <v/>
      </c>
      <c r="I566"/>
      <c r="J566" s="147" t="str">
        <f>IFERROR(SUMIFS(当年实际!$V:$V,当年实际!$F:$F,$C566,当年实际!$C:$C,"&gt;="&amp;DATE(YEAR(主页!$D$2),1,1),当年实际!$C:$C,"&lt;="&amp;EOMONTH(DATE(YEAR(主页!$D$2),MONTH(主页!$D$2),1),0))/SUMIFS(当年实际!$P:$P,当年实际!$F:$F,$C566,当年实际!$C:$C,"&gt;="&amp;DATE(YEAR(主页!$D$2),1,1),当年实际!$C:$C,"&lt;="&amp;EOMONTH(DATE(YEAR(主页!$D$2),MONTH(主页!$D$2),1),0)),"")</f>
        <v/>
      </c>
    </row>
    <row r="567" spans="1:10" x14ac:dyDescent="0.3">
      <c r="A567" s="150"/>
      <c r="B567" s="150"/>
      <c r="C567" s="150"/>
      <c r="D567" s="150"/>
      <c r="E567" s="140" t="str">
        <f t="shared" si="25"/>
        <v/>
      </c>
      <c r="F567" s="159"/>
      <c r="G567" s="145">
        <f t="shared" si="27"/>
        <v>0</v>
      </c>
      <c r="H567" s="140" t="str">
        <f t="shared" si="26"/>
        <v/>
      </c>
      <c r="I567"/>
      <c r="J567" s="147" t="str">
        <f>IFERROR(SUMIFS(当年实际!$V:$V,当年实际!$F:$F,$C567,当年实际!$C:$C,"&gt;="&amp;DATE(YEAR(主页!$D$2),1,1),当年实际!$C:$C,"&lt;="&amp;EOMONTH(DATE(YEAR(主页!$D$2),MONTH(主页!$D$2),1),0))/SUMIFS(当年实际!$P:$P,当年实际!$F:$F,$C567,当年实际!$C:$C,"&gt;="&amp;DATE(YEAR(主页!$D$2),1,1),当年实际!$C:$C,"&lt;="&amp;EOMONTH(DATE(YEAR(主页!$D$2),MONTH(主页!$D$2),1),0)),"")</f>
        <v/>
      </c>
    </row>
    <row r="568" spans="1:10" x14ac:dyDescent="0.3">
      <c r="A568" s="150"/>
      <c r="B568" s="150"/>
      <c r="C568" s="150"/>
      <c r="D568" s="150"/>
      <c r="E568" s="140" t="str">
        <f t="shared" si="25"/>
        <v/>
      </c>
      <c r="F568" s="159"/>
      <c r="G568" s="145">
        <f t="shared" si="27"/>
        <v>0</v>
      </c>
      <c r="H568" s="140" t="str">
        <f t="shared" si="26"/>
        <v/>
      </c>
      <c r="I568"/>
      <c r="J568" s="147" t="str">
        <f>IFERROR(SUMIFS(当年实际!$V:$V,当年实际!$F:$F,$C568,当年实际!$C:$C,"&gt;="&amp;DATE(YEAR(主页!$D$2),1,1),当年实际!$C:$C,"&lt;="&amp;EOMONTH(DATE(YEAR(主页!$D$2),MONTH(主页!$D$2),1),0))/SUMIFS(当年实际!$P:$P,当年实际!$F:$F,$C568,当年实际!$C:$C,"&gt;="&amp;DATE(YEAR(主页!$D$2),1,1),当年实际!$C:$C,"&lt;="&amp;EOMONTH(DATE(YEAR(主页!$D$2),MONTH(主页!$D$2),1),0)),"")</f>
        <v/>
      </c>
    </row>
    <row r="569" spans="1:10" x14ac:dyDescent="0.3">
      <c r="A569" s="150"/>
      <c r="B569" s="150"/>
      <c r="C569" s="150"/>
      <c r="D569" s="150"/>
      <c r="E569" s="140" t="str">
        <f t="shared" si="25"/>
        <v/>
      </c>
      <c r="F569" s="159"/>
      <c r="G569" s="145">
        <f t="shared" si="27"/>
        <v>0</v>
      </c>
      <c r="H569" s="140" t="str">
        <f t="shared" si="26"/>
        <v/>
      </c>
      <c r="I569"/>
      <c r="J569" s="147" t="str">
        <f>IFERROR(SUMIFS(当年实际!$V:$V,当年实际!$F:$F,$C569,当年实际!$C:$C,"&gt;="&amp;DATE(YEAR(主页!$D$2),1,1),当年实际!$C:$C,"&lt;="&amp;EOMONTH(DATE(YEAR(主页!$D$2),MONTH(主页!$D$2),1),0))/SUMIFS(当年实际!$P:$P,当年实际!$F:$F,$C569,当年实际!$C:$C,"&gt;="&amp;DATE(YEAR(主页!$D$2),1,1),当年实际!$C:$C,"&lt;="&amp;EOMONTH(DATE(YEAR(主页!$D$2),MONTH(主页!$D$2),1),0)),"")</f>
        <v/>
      </c>
    </row>
    <row r="570" spans="1:10" x14ac:dyDescent="0.3">
      <c r="A570" s="150"/>
      <c r="B570" s="150"/>
      <c r="C570" s="150"/>
      <c r="D570" s="150"/>
      <c r="E570" s="140" t="str">
        <f t="shared" si="25"/>
        <v/>
      </c>
      <c r="F570" s="159"/>
      <c r="G570" s="145">
        <f t="shared" si="27"/>
        <v>0</v>
      </c>
      <c r="H570" s="140" t="str">
        <f t="shared" si="26"/>
        <v/>
      </c>
      <c r="I570"/>
      <c r="J570" s="147" t="str">
        <f>IFERROR(SUMIFS(当年实际!$V:$V,当年实际!$F:$F,$C570,当年实际!$C:$C,"&gt;="&amp;DATE(YEAR(主页!$D$2),1,1),当年实际!$C:$C,"&lt;="&amp;EOMONTH(DATE(YEAR(主页!$D$2),MONTH(主页!$D$2),1),0))/SUMIFS(当年实际!$P:$P,当年实际!$F:$F,$C570,当年实际!$C:$C,"&gt;="&amp;DATE(YEAR(主页!$D$2),1,1),当年实际!$C:$C,"&lt;="&amp;EOMONTH(DATE(YEAR(主页!$D$2),MONTH(主页!$D$2),1),0)),"")</f>
        <v/>
      </c>
    </row>
    <row r="571" spans="1:10" x14ac:dyDescent="0.3">
      <c r="A571" s="150"/>
      <c r="B571" s="150"/>
      <c r="C571" s="150"/>
      <c r="D571" s="150"/>
      <c r="E571" s="140" t="str">
        <f t="shared" si="25"/>
        <v/>
      </c>
      <c r="F571" s="159"/>
      <c r="G571" s="145">
        <f t="shared" si="27"/>
        <v>0</v>
      </c>
      <c r="H571" s="140" t="str">
        <f t="shared" si="26"/>
        <v/>
      </c>
      <c r="I571"/>
      <c r="J571" s="147" t="str">
        <f>IFERROR(SUMIFS(当年实际!$V:$V,当年实际!$F:$F,$C571,当年实际!$C:$C,"&gt;="&amp;DATE(YEAR(主页!$D$2),1,1),当年实际!$C:$C,"&lt;="&amp;EOMONTH(DATE(YEAR(主页!$D$2),MONTH(主页!$D$2),1),0))/SUMIFS(当年实际!$P:$P,当年实际!$F:$F,$C571,当年实际!$C:$C,"&gt;="&amp;DATE(YEAR(主页!$D$2),1,1),当年实际!$C:$C,"&lt;="&amp;EOMONTH(DATE(YEAR(主页!$D$2),MONTH(主页!$D$2),1),0)),"")</f>
        <v/>
      </c>
    </row>
    <row r="572" spans="1:10" x14ac:dyDescent="0.3">
      <c r="A572" s="150"/>
      <c r="B572" s="150"/>
      <c r="C572" s="150"/>
      <c r="D572" s="150"/>
      <c r="E572" s="140" t="str">
        <f t="shared" si="25"/>
        <v/>
      </c>
      <c r="F572" s="159"/>
      <c r="G572" s="145">
        <f t="shared" si="27"/>
        <v>0</v>
      </c>
      <c r="H572" s="140" t="str">
        <f t="shared" si="26"/>
        <v/>
      </c>
      <c r="I572"/>
      <c r="J572" s="147" t="str">
        <f>IFERROR(SUMIFS(当年实际!$V:$V,当年实际!$F:$F,$C572,当年实际!$C:$C,"&gt;="&amp;DATE(YEAR(主页!$D$2),1,1),当年实际!$C:$C,"&lt;="&amp;EOMONTH(DATE(YEAR(主页!$D$2),MONTH(主页!$D$2),1),0))/SUMIFS(当年实际!$P:$P,当年实际!$F:$F,$C572,当年实际!$C:$C,"&gt;="&amp;DATE(YEAR(主页!$D$2),1,1),当年实际!$C:$C,"&lt;="&amp;EOMONTH(DATE(YEAR(主页!$D$2),MONTH(主页!$D$2),1),0)),"")</f>
        <v/>
      </c>
    </row>
    <row r="573" spans="1:10" x14ac:dyDescent="0.3">
      <c r="A573" s="150"/>
      <c r="B573" s="150"/>
      <c r="C573" s="150"/>
      <c r="D573" s="150"/>
      <c r="E573" s="140" t="str">
        <f t="shared" si="25"/>
        <v/>
      </c>
      <c r="F573" s="159"/>
      <c r="G573" s="145">
        <f t="shared" si="27"/>
        <v>0</v>
      </c>
      <c r="H573" s="140" t="str">
        <f t="shared" si="26"/>
        <v/>
      </c>
      <c r="I573"/>
      <c r="J573" s="147" t="str">
        <f>IFERROR(SUMIFS(当年实际!$V:$V,当年实际!$F:$F,$C573,当年实际!$C:$C,"&gt;="&amp;DATE(YEAR(主页!$D$2),1,1),当年实际!$C:$C,"&lt;="&amp;EOMONTH(DATE(YEAR(主页!$D$2),MONTH(主页!$D$2),1),0))/SUMIFS(当年实际!$P:$P,当年实际!$F:$F,$C573,当年实际!$C:$C,"&gt;="&amp;DATE(YEAR(主页!$D$2),1,1),当年实际!$C:$C,"&lt;="&amp;EOMONTH(DATE(YEAR(主页!$D$2),MONTH(主页!$D$2),1),0)),"")</f>
        <v/>
      </c>
    </row>
    <row r="574" spans="1:10" x14ac:dyDescent="0.3">
      <c r="A574" s="150"/>
      <c r="B574" s="150"/>
      <c r="C574" s="150"/>
      <c r="D574" s="150"/>
      <c r="E574" s="140" t="str">
        <f t="shared" si="25"/>
        <v/>
      </c>
      <c r="F574" s="159"/>
      <c r="G574" s="145">
        <f t="shared" si="27"/>
        <v>0</v>
      </c>
      <c r="H574" s="140" t="str">
        <f t="shared" si="26"/>
        <v/>
      </c>
      <c r="I574"/>
      <c r="J574" s="147" t="str">
        <f>IFERROR(SUMIFS(当年实际!$V:$V,当年实际!$F:$F,$C574,当年实际!$C:$C,"&gt;="&amp;DATE(YEAR(主页!$D$2),1,1),当年实际!$C:$C,"&lt;="&amp;EOMONTH(DATE(YEAR(主页!$D$2),MONTH(主页!$D$2),1),0))/SUMIFS(当年实际!$P:$P,当年实际!$F:$F,$C574,当年实际!$C:$C,"&gt;="&amp;DATE(YEAR(主页!$D$2),1,1),当年实际!$C:$C,"&lt;="&amp;EOMONTH(DATE(YEAR(主页!$D$2),MONTH(主页!$D$2),1),0)),"")</f>
        <v/>
      </c>
    </row>
    <row r="575" spans="1:10" x14ac:dyDescent="0.3">
      <c r="A575" s="150"/>
      <c r="B575" s="150"/>
      <c r="C575" s="150"/>
      <c r="D575" s="150"/>
      <c r="E575" s="140" t="str">
        <f t="shared" si="25"/>
        <v/>
      </c>
      <c r="F575" s="159"/>
      <c r="G575" s="145">
        <f t="shared" si="27"/>
        <v>0</v>
      </c>
      <c r="H575" s="140" t="str">
        <f t="shared" si="26"/>
        <v/>
      </c>
      <c r="I575"/>
      <c r="J575" s="147" t="str">
        <f>IFERROR(SUMIFS(当年实际!$V:$V,当年实际!$F:$F,$C575,当年实际!$C:$C,"&gt;="&amp;DATE(YEAR(主页!$D$2),1,1),当年实际!$C:$C,"&lt;="&amp;EOMONTH(DATE(YEAR(主页!$D$2),MONTH(主页!$D$2),1),0))/SUMIFS(当年实际!$P:$P,当年实际!$F:$F,$C575,当年实际!$C:$C,"&gt;="&amp;DATE(YEAR(主页!$D$2),1,1),当年实际!$C:$C,"&lt;="&amp;EOMONTH(DATE(YEAR(主页!$D$2),MONTH(主页!$D$2),1),0)),"")</f>
        <v/>
      </c>
    </row>
    <row r="576" spans="1:10" x14ac:dyDescent="0.3">
      <c r="A576" s="150"/>
      <c r="B576" s="150"/>
      <c r="C576" s="150"/>
      <c r="D576" s="150"/>
      <c r="E576" s="140" t="str">
        <f t="shared" si="25"/>
        <v/>
      </c>
      <c r="F576" s="159"/>
      <c r="G576" s="145">
        <f t="shared" si="27"/>
        <v>0</v>
      </c>
      <c r="H576" s="140" t="str">
        <f t="shared" si="26"/>
        <v/>
      </c>
      <c r="I576"/>
      <c r="J576" s="147" t="str">
        <f>IFERROR(SUMIFS(当年实际!$V:$V,当年实际!$F:$F,$C576,当年实际!$C:$C,"&gt;="&amp;DATE(YEAR(主页!$D$2),1,1),当年实际!$C:$C,"&lt;="&amp;EOMONTH(DATE(YEAR(主页!$D$2),MONTH(主页!$D$2),1),0))/SUMIFS(当年实际!$P:$P,当年实际!$F:$F,$C576,当年实际!$C:$C,"&gt;="&amp;DATE(YEAR(主页!$D$2),1,1),当年实际!$C:$C,"&lt;="&amp;EOMONTH(DATE(YEAR(主页!$D$2),MONTH(主页!$D$2),1),0)),"")</f>
        <v/>
      </c>
    </row>
    <row r="577" spans="1:10" x14ac:dyDescent="0.3">
      <c r="A577" s="150"/>
      <c r="B577" s="150"/>
      <c r="C577" s="150"/>
      <c r="D577" s="150"/>
      <c r="E577" s="140" t="str">
        <f t="shared" si="25"/>
        <v/>
      </c>
      <c r="F577" s="159"/>
      <c r="G577" s="145">
        <f t="shared" si="27"/>
        <v>0</v>
      </c>
      <c r="H577" s="140" t="str">
        <f t="shared" si="26"/>
        <v/>
      </c>
      <c r="I577"/>
      <c r="J577" s="147" t="str">
        <f>IFERROR(SUMIFS(当年实际!$V:$V,当年实际!$F:$F,$C577,当年实际!$C:$C,"&gt;="&amp;DATE(YEAR(主页!$D$2),1,1),当年实际!$C:$C,"&lt;="&amp;EOMONTH(DATE(YEAR(主页!$D$2),MONTH(主页!$D$2),1),0))/SUMIFS(当年实际!$P:$P,当年实际!$F:$F,$C577,当年实际!$C:$C,"&gt;="&amp;DATE(YEAR(主页!$D$2),1,1),当年实际!$C:$C,"&lt;="&amp;EOMONTH(DATE(YEAR(主页!$D$2),MONTH(主页!$D$2),1),0)),"")</f>
        <v/>
      </c>
    </row>
    <row r="578" spans="1:10" x14ac:dyDescent="0.3">
      <c r="A578" s="150"/>
      <c r="B578" s="150"/>
      <c r="C578" s="150"/>
      <c r="D578" s="150"/>
      <c r="E578" s="140" t="str">
        <f t="shared" si="25"/>
        <v/>
      </c>
      <c r="F578" s="159"/>
      <c r="G578" s="145">
        <f t="shared" si="27"/>
        <v>0</v>
      </c>
      <c r="H578" s="140" t="str">
        <f t="shared" si="26"/>
        <v/>
      </c>
      <c r="I578"/>
      <c r="J578" s="147" t="str">
        <f>IFERROR(SUMIFS(当年实际!$V:$V,当年实际!$F:$F,$C578,当年实际!$C:$C,"&gt;="&amp;DATE(YEAR(主页!$D$2),1,1),当年实际!$C:$C,"&lt;="&amp;EOMONTH(DATE(YEAR(主页!$D$2),MONTH(主页!$D$2),1),0))/SUMIFS(当年实际!$P:$P,当年实际!$F:$F,$C578,当年实际!$C:$C,"&gt;="&amp;DATE(YEAR(主页!$D$2),1,1),当年实际!$C:$C,"&lt;="&amp;EOMONTH(DATE(YEAR(主页!$D$2),MONTH(主页!$D$2),1),0)),"")</f>
        <v/>
      </c>
    </row>
    <row r="579" spans="1:10" x14ac:dyDescent="0.3">
      <c r="A579" s="150"/>
      <c r="B579" s="150"/>
      <c r="C579" s="150"/>
      <c r="D579" s="150"/>
      <c r="E579" s="140" t="str">
        <f t="shared" si="25"/>
        <v/>
      </c>
      <c r="F579" s="159"/>
      <c r="G579" s="145">
        <f t="shared" si="27"/>
        <v>0</v>
      </c>
      <c r="H579" s="140" t="str">
        <f t="shared" si="26"/>
        <v/>
      </c>
      <c r="I579"/>
      <c r="J579" s="147" t="str">
        <f>IFERROR(SUMIFS(当年实际!$V:$V,当年实际!$F:$F,$C579,当年实际!$C:$C,"&gt;="&amp;DATE(YEAR(主页!$D$2),1,1),当年实际!$C:$C,"&lt;="&amp;EOMONTH(DATE(YEAR(主页!$D$2),MONTH(主页!$D$2),1),0))/SUMIFS(当年实际!$P:$P,当年实际!$F:$F,$C579,当年实际!$C:$C,"&gt;="&amp;DATE(YEAR(主页!$D$2),1,1),当年实际!$C:$C,"&lt;="&amp;EOMONTH(DATE(YEAR(主页!$D$2),MONTH(主页!$D$2),1),0)),"")</f>
        <v/>
      </c>
    </row>
    <row r="580" spans="1:10" x14ac:dyDescent="0.3">
      <c r="A580" s="150"/>
      <c r="B580" s="150"/>
      <c r="C580" s="150"/>
      <c r="D580" s="150"/>
      <c r="E580" s="140" t="str">
        <f t="shared" ref="E580:E643" si="28">IF(D580/SUM(D:D)=0,"",D580/SUM(D:D))</f>
        <v/>
      </c>
      <c r="F580" s="159"/>
      <c r="G580" s="145">
        <f t="shared" si="27"/>
        <v>0</v>
      </c>
      <c r="H580" s="140" t="str">
        <f t="shared" ref="H580:H643" si="29">IF(G580/SUM(G:G)=0,"",G580/SUM(G:G))</f>
        <v/>
      </c>
      <c r="I580"/>
      <c r="J580" s="147" t="str">
        <f>IFERROR(SUMIFS(当年实际!$V:$V,当年实际!$F:$F,$C580,当年实际!$C:$C,"&gt;="&amp;DATE(YEAR(主页!$D$2),1,1),当年实际!$C:$C,"&lt;="&amp;EOMONTH(DATE(YEAR(主页!$D$2),MONTH(主页!$D$2),1),0))/SUMIFS(当年实际!$P:$P,当年实际!$F:$F,$C580,当年实际!$C:$C,"&gt;="&amp;DATE(YEAR(主页!$D$2),1,1),当年实际!$C:$C,"&lt;="&amp;EOMONTH(DATE(YEAR(主页!$D$2),MONTH(主页!$D$2),1),0)),"")</f>
        <v/>
      </c>
    </row>
    <row r="581" spans="1:10" x14ac:dyDescent="0.3">
      <c r="A581" s="150"/>
      <c r="B581" s="150"/>
      <c r="C581" s="150"/>
      <c r="D581" s="150"/>
      <c r="E581" s="140" t="str">
        <f t="shared" si="28"/>
        <v/>
      </c>
      <c r="F581" s="159"/>
      <c r="G581" s="145">
        <f t="shared" si="27"/>
        <v>0</v>
      </c>
      <c r="H581" s="140" t="str">
        <f t="shared" si="29"/>
        <v/>
      </c>
      <c r="I581"/>
      <c r="J581" s="147" t="str">
        <f>IFERROR(SUMIFS(当年实际!$V:$V,当年实际!$F:$F,$C581,当年实际!$C:$C,"&gt;="&amp;DATE(YEAR(主页!$D$2),1,1),当年实际!$C:$C,"&lt;="&amp;EOMONTH(DATE(YEAR(主页!$D$2),MONTH(主页!$D$2),1),0))/SUMIFS(当年实际!$P:$P,当年实际!$F:$F,$C581,当年实际!$C:$C,"&gt;="&amp;DATE(YEAR(主页!$D$2),1,1),当年实际!$C:$C,"&lt;="&amp;EOMONTH(DATE(YEAR(主页!$D$2),MONTH(主页!$D$2),1),0)),"")</f>
        <v/>
      </c>
    </row>
    <row r="582" spans="1:10" x14ac:dyDescent="0.3">
      <c r="A582" s="150"/>
      <c r="B582" s="150"/>
      <c r="C582" s="150"/>
      <c r="D582" s="150"/>
      <c r="E582" s="140" t="str">
        <f t="shared" si="28"/>
        <v/>
      </c>
      <c r="F582" s="159"/>
      <c r="G582" s="145">
        <f t="shared" si="27"/>
        <v>0</v>
      </c>
      <c r="H582" s="140" t="str">
        <f t="shared" si="29"/>
        <v/>
      </c>
      <c r="I582"/>
      <c r="J582" s="147" t="str">
        <f>IFERROR(SUMIFS(当年实际!$V:$V,当年实际!$F:$F,$C582,当年实际!$C:$C,"&gt;="&amp;DATE(YEAR(主页!$D$2),1,1),当年实际!$C:$C,"&lt;="&amp;EOMONTH(DATE(YEAR(主页!$D$2),MONTH(主页!$D$2),1),0))/SUMIFS(当年实际!$P:$P,当年实际!$F:$F,$C582,当年实际!$C:$C,"&gt;="&amp;DATE(YEAR(主页!$D$2),1,1),当年实际!$C:$C,"&lt;="&amp;EOMONTH(DATE(YEAR(主页!$D$2),MONTH(主页!$D$2),1),0)),"")</f>
        <v/>
      </c>
    </row>
    <row r="583" spans="1:10" x14ac:dyDescent="0.3">
      <c r="A583" s="150"/>
      <c r="B583" s="150"/>
      <c r="C583" s="150"/>
      <c r="D583" s="150"/>
      <c r="E583" s="140" t="str">
        <f t="shared" si="28"/>
        <v/>
      </c>
      <c r="F583" s="159"/>
      <c r="G583" s="145">
        <f t="shared" ref="G583:G646" si="30">D583*F583</f>
        <v>0</v>
      </c>
      <c r="H583" s="140" t="str">
        <f t="shared" si="29"/>
        <v/>
      </c>
      <c r="I583"/>
      <c r="J583" s="147" t="str">
        <f>IFERROR(SUMIFS(当年实际!$V:$V,当年实际!$F:$F,$C583,当年实际!$C:$C,"&gt;="&amp;DATE(YEAR(主页!$D$2),1,1),当年实际!$C:$C,"&lt;="&amp;EOMONTH(DATE(YEAR(主页!$D$2),MONTH(主页!$D$2),1),0))/SUMIFS(当年实际!$P:$P,当年实际!$F:$F,$C583,当年实际!$C:$C,"&gt;="&amp;DATE(YEAR(主页!$D$2),1,1),当年实际!$C:$C,"&lt;="&amp;EOMONTH(DATE(YEAR(主页!$D$2),MONTH(主页!$D$2),1),0)),"")</f>
        <v/>
      </c>
    </row>
    <row r="584" spans="1:10" x14ac:dyDescent="0.3">
      <c r="A584" s="150"/>
      <c r="B584" s="150"/>
      <c r="C584" s="150"/>
      <c r="D584" s="150"/>
      <c r="E584" s="140" t="str">
        <f t="shared" si="28"/>
        <v/>
      </c>
      <c r="F584" s="159"/>
      <c r="G584" s="145">
        <f t="shared" si="30"/>
        <v>0</v>
      </c>
      <c r="H584" s="140" t="str">
        <f t="shared" si="29"/>
        <v/>
      </c>
      <c r="I584"/>
      <c r="J584" s="147" t="str">
        <f>IFERROR(SUMIFS(当年实际!$V:$V,当年实际!$F:$F,$C584,当年实际!$C:$C,"&gt;="&amp;DATE(YEAR(主页!$D$2),1,1),当年实际!$C:$C,"&lt;="&amp;EOMONTH(DATE(YEAR(主页!$D$2),MONTH(主页!$D$2),1),0))/SUMIFS(当年实际!$P:$P,当年实际!$F:$F,$C584,当年实际!$C:$C,"&gt;="&amp;DATE(YEAR(主页!$D$2),1,1),当年实际!$C:$C,"&lt;="&amp;EOMONTH(DATE(YEAR(主页!$D$2),MONTH(主页!$D$2),1),0)),"")</f>
        <v/>
      </c>
    </row>
    <row r="585" spans="1:10" x14ac:dyDescent="0.3">
      <c r="A585" s="150"/>
      <c r="B585" s="150"/>
      <c r="C585" s="150"/>
      <c r="D585" s="150"/>
      <c r="E585" s="140" t="str">
        <f t="shared" si="28"/>
        <v/>
      </c>
      <c r="F585" s="159"/>
      <c r="G585" s="145">
        <f t="shared" si="30"/>
        <v>0</v>
      </c>
      <c r="H585" s="140" t="str">
        <f t="shared" si="29"/>
        <v/>
      </c>
      <c r="I585"/>
      <c r="J585" s="147" t="str">
        <f>IFERROR(SUMIFS(当年实际!$V:$V,当年实际!$F:$F,$C585,当年实际!$C:$C,"&gt;="&amp;DATE(YEAR(主页!$D$2),1,1),当年实际!$C:$C,"&lt;="&amp;EOMONTH(DATE(YEAR(主页!$D$2),MONTH(主页!$D$2),1),0))/SUMIFS(当年实际!$P:$P,当年实际!$F:$F,$C585,当年实际!$C:$C,"&gt;="&amp;DATE(YEAR(主页!$D$2),1,1),当年实际!$C:$C,"&lt;="&amp;EOMONTH(DATE(YEAR(主页!$D$2),MONTH(主页!$D$2),1),0)),"")</f>
        <v/>
      </c>
    </row>
    <row r="586" spans="1:10" x14ac:dyDescent="0.3">
      <c r="A586" s="150"/>
      <c r="B586" s="150"/>
      <c r="C586" s="150"/>
      <c r="D586" s="150"/>
      <c r="E586" s="140" t="str">
        <f t="shared" si="28"/>
        <v/>
      </c>
      <c r="F586" s="159"/>
      <c r="G586" s="145">
        <f t="shared" si="30"/>
        <v>0</v>
      </c>
      <c r="H586" s="140" t="str">
        <f t="shared" si="29"/>
        <v/>
      </c>
      <c r="I586"/>
      <c r="J586" s="147" t="str">
        <f>IFERROR(SUMIFS(当年实际!$V:$V,当年实际!$F:$F,$C586,当年实际!$C:$C,"&gt;="&amp;DATE(YEAR(主页!$D$2),1,1),当年实际!$C:$C,"&lt;="&amp;EOMONTH(DATE(YEAR(主页!$D$2),MONTH(主页!$D$2),1),0))/SUMIFS(当年实际!$P:$P,当年实际!$F:$F,$C586,当年实际!$C:$C,"&gt;="&amp;DATE(YEAR(主页!$D$2),1,1),当年实际!$C:$C,"&lt;="&amp;EOMONTH(DATE(YEAR(主页!$D$2),MONTH(主页!$D$2),1),0)),"")</f>
        <v/>
      </c>
    </row>
    <row r="587" spans="1:10" x14ac:dyDescent="0.3">
      <c r="A587" s="150"/>
      <c r="B587" s="150"/>
      <c r="C587" s="150"/>
      <c r="D587" s="150"/>
      <c r="E587" s="140" t="str">
        <f t="shared" si="28"/>
        <v/>
      </c>
      <c r="F587" s="159"/>
      <c r="G587" s="145">
        <f t="shared" si="30"/>
        <v>0</v>
      </c>
      <c r="H587" s="140" t="str">
        <f t="shared" si="29"/>
        <v/>
      </c>
      <c r="I587"/>
      <c r="J587" s="147" t="str">
        <f>IFERROR(SUMIFS(当年实际!$V:$V,当年实际!$F:$F,$C587,当年实际!$C:$C,"&gt;="&amp;DATE(YEAR(主页!$D$2),1,1),当年实际!$C:$C,"&lt;="&amp;EOMONTH(DATE(YEAR(主页!$D$2),MONTH(主页!$D$2),1),0))/SUMIFS(当年实际!$P:$P,当年实际!$F:$F,$C587,当年实际!$C:$C,"&gt;="&amp;DATE(YEAR(主页!$D$2),1,1),当年实际!$C:$C,"&lt;="&amp;EOMONTH(DATE(YEAR(主页!$D$2),MONTH(主页!$D$2),1),0)),"")</f>
        <v/>
      </c>
    </row>
    <row r="588" spans="1:10" x14ac:dyDescent="0.3">
      <c r="A588" s="150"/>
      <c r="B588" s="150"/>
      <c r="C588" s="150"/>
      <c r="D588" s="150"/>
      <c r="E588" s="140" t="str">
        <f t="shared" si="28"/>
        <v/>
      </c>
      <c r="F588" s="159"/>
      <c r="G588" s="145">
        <f t="shared" si="30"/>
        <v>0</v>
      </c>
      <c r="H588" s="140" t="str">
        <f t="shared" si="29"/>
        <v/>
      </c>
      <c r="I588"/>
      <c r="J588" s="147" t="str">
        <f>IFERROR(SUMIFS(当年实际!$V:$V,当年实际!$F:$F,$C588,当年实际!$C:$C,"&gt;="&amp;DATE(YEAR(主页!$D$2),1,1),当年实际!$C:$C,"&lt;="&amp;EOMONTH(DATE(YEAR(主页!$D$2),MONTH(主页!$D$2),1),0))/SUMIFS(当年实际!$P:$P,当年实际!$F:$F,$C588,当年实际!$C:$C,"&gt;="&amp;DATE(YEAR(主页!$D$2),1,1),当年实际!$C:$C,"&lt;="&amp;EOMONTH(DATE(YEAR(主页!$D$2),MONTH(主页!$D$2),1),0)),"")</f>
        <v/>
      </c>
    </row>
    <row r="589" spans="1:10" x14ac:dyDescent="0.3">
      <c r="A589" s="150"/>
      <c r="B589" s="150"/>
      <c r="C589" s="150"/>
      <c r="D589" s="150"/>
      <c r="E589" s="140" t="str">
        <f t="shared" si="28"/>
        <v/>
      </c>
      <c r="F589" s="159"/>
      <c r="G589" s="145">
        <f t="shared" si="30"/>
        <v>0</v>
      </c>
      <c r="H589" s="140" t="str">
        <f t="shared" si="29"/>
        <v/>
      </c>
      <c r="I589"/>
      <c r="J589" s="147" t="str">
        <f>IFERROR(SUMIFS(当年实际!$V:$V,当年实际!$F:$F,$C589,当年实际!$C:$C,"&gt;="&amp;DATE(YEAR(主页!$D$2),1,1),当年实际!$C:$C,"&lt;="&amp;EOMONTH(DATE(YEAR(主页!$D$2),MONTH(主页!$D$2),1),0))/SUMIFS(当年实际!$P:$P,当年实际!$F:$F,$C589,当年实际!$C:$C,"&gt;="&amp;DATE(YEAR(主页!$D$2),1,1),当年实际!$C:$C,"&lt;="&amp;EOMONTH(DATE(YEAR(主页!$D$2),MONTH(主页!$D$2),1),0)),"")</f>
        <v/>
      </c>
    </row>
    <row r="590" spans="1:10" x14ac:dyDescent="0.3">
      <c r="A590" s="150"/>
      <c r="B590" s="150"/>
      <c r="C590" s="150"/>
      <c r="D590" s="150"/>
      <c r="E590" s="140" t="str">
        <f t="shared" si="28"/>
        <v/>
      </c>
      <c r="F590" s="159"/>
      <c r="G590" s="145">
        <f t="shared" si="30"/>
        <v>0</v>
      </c>
      <c r="H590" s="140" t="str">
        <f t="shared" si="29"/>
        <v/>
      </c>
      <c r="I590"/>
      <c r="J590" s="147" t="str">
        <f>IFERROR(SUMIFS(当年实际!$V:$V,当年实际!$F:$F,$C590,当年实际!$C:$C,"&gt;="&amp;DATE(YEAR(主页!$D$2),1,1),当年实际!$C:$C,"&lt;="&amp;EOMONTH(DATE(YEAR(主页!$D$2),MONTH(主页!$D$2),1),0))/SUMIFS(当年实际!$P:$P,当年实际!$F:$F,$C590,当年实际!$C:$C,"&gt;="&amp;DATE(YEAR(主页!$D$2),1,1),当年实际!$C:$C,"&lt;="&amp;EOMONTH(DATE(YEAR(主页!$D$2),MONTH(主页!$D$2),1),0)),"")</f>
        <v/>
      </c>
    </row>
    <row r="591" spans="1:10" x14ac:dyDescent="0.3">
      <c r="A591" s="150"/>
      <c r="B591" s="150"/>
      <c r="C591" s="150"/>
      <c r="D591" s="150"/>
      <c r="E591" s="140" t="str">
        <f t="shared" si="28"/>
        <v/>
      </c>
      <c r="F591" s="159"/>
      <c r="G591" s="145">
        <f t="shared" si="30"/>
        <v>0</v>
      </c>
      <c r="H591" s="140" t="str">
        <f t="shared" si="29"/>
        <v/>
      </c>
      <c r="I591"/>
      <c r="J591" s="147" t="str">
        <f>IFERROR(SUMIFS(当年实际!$V:$V,当年实际!$F:$F,$C591,当年实际!$C:$C,"&gt;="&amp;DATE(YEAR(主页!$D$2),1,1),当年实际!$C:$C,"&lt;="&amp;EOMONTH(DATE(YEAR(主页!$D$2),MONTH(主页!$D$2),1),0))/SUMIFS(当年实际!$P:$P,当年实际!$F:$F,$C591,当年实际!$C:$C,"&gt;="&amp;DATE(YEAR(主页!$D$2),1,1),当年实际!$C:$C,"&lt;="&amp;EOMONTH(DATE(YEAR(主页!$D$2),MONTH(主页!$D$2),1),0)),"")</f>
        <v/>
      </c>
    </row>
    <row r="592" spans="1:10" x14ac:dyDescent="0.3">
      <c r="A592" s="150"/>
      <c r="B592" s="150"/>
      <c r="C592" s="150"/>
      <c r="D592" s="150"/>
      <c r="E592" s="140" t="str">
        <f t="shared" si="28"/>
        <v/>
      </c>
      <c r="F592" s="159"/>
      <c r="G592" s="145">
        <f t="shared" si="30"/>
        <v>0</v>
      </c>
      <c r="H592" s="140" t="str">
        <f t="shared" si="29"/>
        <v/>
      </c>
      <c r="I592"/>
      <c r="J592" s="147" t="str">
        <f>IFERROR(SUMIFS(当年实际!$V:$V,当年实际!$F:$F,$C592,当年实际!$C:$C,"&gt;="&amp;DATE(YEAR(主页!$D$2),1,1),当年实际!$C:$C,"&lt;="&amp;EOMONTH(DATE(YEAR(主页!$D$2),MONTH(主页!$D$2),1),0))/SUMIFS(当年实际!$P:$P,当年实际!$F:$F,$C592,当年实际!$C:$C,"&gt;="&amp;DATE(YEAR(主页!$D$2),1,1),当年实际!$C:$C,"&lt;="&amp;EOMONTH(DATE(YEAR(主页!$D$2),MONTH(主页!$D$2),1),0)),"")</f>
        <v/>
      </c>
    </row>
    <row r="593" spans="1:10" x14ac:dyDescent="0.3">
      <c r="A593" s="150"/>
      <c r="B593" s="150"/>
      <c r="C593" s="150"/>
      <c r="D593" s="150"/>
      <c r="E593" s="140" t="str">
        <f t="shared" si="28"/>
        <v/>
      </c>
      <c r="F593" s="159"/>
      <c r="G593" s="145">
        <f t="shared" si="30"/>
        <v>0</v>
      </c>
      <c r="H593" s="140" t="str">
        <f t="shared" si="29"/>
        <v/>
      </c>
      <c r="I593"/>
      <c r="J593" s="147" t="str">
        <f>IFERROR(SUMIFS(当年实际!$V:$V,当年实际!$F:$F,$C593,当年实际!$C:$C,"&gt;="&amp;DATE(YEAR(主页!$D$2),1,1),当年实际!$C:$C,"&lt;="&amp;EOMONTH(DATE(YEAR(主页!$D$2),MONTH(主页!$D$2),1),0))/SUMIFS(当年实际!$P:$P,当年实际!$F:$F,$C593,当年实际!$C:$C,"&gt;="&amp;DATE(YEAR(主页!$D$2),1,1),当年实际!$C:$C,"&lt;="&amp;EOMONTH(DATE(YEAR(主页!$D$2),MONTH(主页!$D$2),1),0)),"")</f>
        <v/>
      </c>
    </row>
    <row r="594" spans="1:10" x14ac:dyDescent="0.3">
      <c r="A594" s="150"/>
      <c r="B594" s="150"/>
      <c r="C594" s="150"/>
      <c r="D594" s="150"/>
      <c r="E594" s="140" t="str">
        <f t="shared" si="28"/>
        <v/>
      </c>
      <c r="F594" s="159"/>
      <c r="G594" s="145">
        <f t="shared" si="30"/>
        <v>0</v>
      </c>
      <c r="H594" s="140" t="str">
        <f t="shared" si="29"/>
        <v/>
      </c>
      <c r="I594"/>
      <c r="J594" s="147" t="str">
        <f>IFERROR(SUMIFS(当年实际!$V:$V,当年实际!$F:$F,$C594,当年实际!$C:$C,"&gt;="&amp;DATE(YEAR(主页!$D$2),1,1),当年实际!$C:$C,"&lt;="&amp;EOMONTH(DATE(YEAR(主页!$D$2),MONTH(主页!$D$2),1),0))/SUMIFS(当年实际!$P:$P,当年实际!$F:$F,$C594,当年实际!$C:$C,"&gt;="&amp;DATE(YEAR(主页!$D$2),1,1),当年实际!$C:$C,"&lt;="&amp;EOMONTH(DATE(YEAR(主页!$D$2),MONTH(主页!$D$2),1),0)),"")</f>
        <v/>
      </c>
    </row>
    <row r="595" spans="1:10" x14ac:dyDescent="0.3">
      <c r="A595" s="150"/>
      <c r="B595" s="150"/>
      <c r="C595" s="150"/>
      <c r="D595" s="150"/>
      <c r="E595" s="140" t="str">
        <f t="shared" si="28"/>
        <v/>
      </c>
      <c r="F595" s="159"/>
      <c r="G595" s="145">
        <f t="shared" si="30"/>
        <v>0</v>
      </c>
      <c r="H595" s="140" t="str">
        <f t="shared" si="29"/>
        <v/>
      </c>
      <c r="I595"/>
      <c r="J595" s="147" t="str">
        <f>IFERROR(SUMIFS(当年实际!$V:$V,当年实际!$F:$F,$C595,当年实际!$C:$C,"&gt;="&amp;DATE(YEAR(主页!$D$2),1,1),当年实际!$C:$C,"&lt;="&amp;EOMONTH(DATE(YEAR(主页!$D$2),MONTH(主页!$D$2),1),0))/SUMIFS(当年实际!$P:$P,当年实际!$F:$F,$C595,当年实际!$C:$C,"&gt;="&amp;DATE(YEAR(主页!$D$2),1,1),当年实际!$C:$C,"&lt;="&amp;EOMONTH(DATE(YEAR(主页!$D$2),MONTH(主页!$D$2),1),0)),"")</f>
        <v/>
      </c>
    </row>
    <row r="596" spans="1:10" x14ac:dyDescent="0.3">
      <c r="A596" s="150"/>
      <c r="B596" s="150"/>
      <c r="C596" s="150"/>
      <c r="D596" s="150"/>
      <c r="E596" s="140" t="str">
        <f t="shared" si="28"/>
        <v/>
      </c>
      <c r="F596" s="159"/>
      <c r="G596" s="145">
        <f t="shared" si="30"/>
        <v>0</v>
      </c>
      <c r="H596" s="140" t="str">
        <f t="shared" si="29"/>
        <v/>
      </c>
      <c r="I596"/>
      <c r="J596" s="147" t="str">
        <f>IFERROR(SUMIFS(当年实际!$V:$V,当年实际!$F:$F,$C596,当年实际!$C:$C,"&gt;="&amp;DATE(YEAR(主页!$D$2),1,1),当年实际!$C:$C,"&lt;="&amp;EOMONTH(DATE(YEAR(主页!$D$2),MONTH(主页!$D$2),1),0))/SUMIFS(当年实际!$P:$P,当年实际!$F:$F,$C596,当年实际!$C:$C,"&gt;="&amp;DATE(YEAR(主页!$D$2),1,1),当年实际!$C:$C,"&lt;="&amp;EOMONTH(DATE(YEAR(主页!$D$2),MONTH(主页!$D$2),1),0)),"")</f>
        <v/>
      </c>
    </row>
    <row r="597" spans="1:10" x14ac:dyDescent="0.3">
      <c r="A597" s="150"/>
      <c r="B597" s="150"/>
      <c r="C597" s="150"/>
      <c r="D597" s="150"/>
      <c r="E597" s="140" t="str">
        <f t="shared" si="28"/>
        <v/>
      </c>
      <c r="F597" s="159"/>
      <c r="G597" s="145">
        <f t="shared" si="30"/>
        <v>0</v>
      </c>
      <c r="H597" s="140" t="str">
        <f t="shared" si="29"/>
        <v/>
      </c>
      <c r="I597"/>
      <c r="J597" s="147" t="str">
        <f>IFERROR(SUMIFS(当年实际!$V:$V,当年实际!$F:$F,$C597,当年实际!$C:$C,"&gt;="&amp;DATE(YEAR(主页!$D$2),1,1),当年实际!$C:$C,"&lt;="&amp;EOMONTH(DATE(YEAR(主页!$D$2),MONTH(主页!$D$2),1),0))/SUMIFS(当年实际!$P:$P,当年实际!$F:$F,$C597,当年实际!$C:$C,"&gt;="&amp;DATE(YEAR(主页!$D$2),1,1),当年实际!$C:$C,"&lt;="&amp;EOMONTH(DATE(YEAR(主页!$D$2),MONTH(主页!$D$2),1),0)),"")</f>
        <v/>
      </c>
    </row>
    <row r="598" spans="1:10" x14ac:dyDescent="0.3">
      <c r="A598" s="150"/>
      <c r="B598" s="150"/>
      <c r="C598" s="150"/>
      <c r="D598" s="150"/>
      <c r="E598" s="140" t="str">
        <f t="shared" si="28"/>
        <v/>
      </c>
      <c r="F598" s="159"/>
      <c r="G598" s="145">
        <f t="shared" si="30"/>
        <v>0</v>
      </c>
      <c r="H598" s="140" t="str">
        <f t="shared" si="29"/>
        <v/>
      </c>
      <c r="I598"/>
      <c r="J598" s="147" t="str">
        <f>IFERROR(SUMIFS(当年实际!$V:$V,当年实际!$F:$F,$C598,当年实际!$C:$C,"&gt;="&amp;DATE(YEAR(主页!$D$2),1,1),当年实际!$C:$C,"&lt;="&amp;EOMONTH(DATE(YEAR(主页!$D$2),MONTH(主页!$D$2),1),0))/SUMIFS(当年实际!$P:$P,当年实际!$F:$F,$C598,当年实际!$C:$C,"&gt;="&amp;DATE(YEAR(主页!$D$2),1,1),当年实际!$C:$C,"&lt;="&amp;EOMONTH(DATE(YEAR(主页!$D$2),MONTH(主页!$D$2),1),0)),"")</f>
        <v/>
      </c>
    </row>
    <row r="599" spans="1:10" x14ac:dyDescent="0.3">
      <c r="A599" s="150"/>
      <c r="B599" s="150"/>
      <c r="C599" s="150"/>
      <c r="D599" s="150"/>
      <c r="E599" s="140" t="str">
        <f t="shared" si="28"/>
        <v/>
      </c>
      <c r="F599" s="159"/>
      <c r="G599" s="145">
        <f t="shared" si="30"/>
        <v>0</v>
      </c>
      <c r="H599" s="140" t="str">
        <f t="shared" si="29"/>
        <v/>
      </c>
      <c r="I599"/>
      <c r="J599" s="147" t="str">
        <f>IFERROR(SUMIFS(当年实际!$V:$V,当年实际!$F:$F,$C599,当年实际!$C:$C,"&gt;="&amp;DATE(YEAR(主页!$D$2),1,1),当年实际!$C:$C,"&lt;="&amp;EOMONTH(DATE(YEAR(主页!$D$2),MONTH(主页!$D$2),1),0))/SUMIFS(当年实际!$P:$P,当年实际!$F:$F,$C599,当年实际!$C:$C,"&gt;="&amp;DATE(YEAR(主页!$D$2),1,1),当年实际!$C:$C,"&lt;="&amp;EOMONTH(DATE(YEAR(主页!$D$2),MONTH(主页!$D$2),1),0)),"")</f>
        <v/>
      </c>
    </row>
    <row r="600" spans="1:10" x14ac:dyDescent="0.3">
      <c r="A600" s="150"/>
      <c r="B600" s="150"/>
      <c r="C600" s="150"/>
      <c r="D600" s="150"/>
      <c r="E600" s="140" t="str">
        <f t="shared" si="28"/>
        <v/>
      </c>
      <c r="F600" s="159"/>
      <c r="G600" s="145">
        <f t="shared" si="30"/>
        <v>0</v>
      </c>
      <c r="H600" s="140" t="str">
        <f t="shared" si="29"/>
        <v/>
      </c>
      <c r="I600"/>
      <c r="J600" s="147" t="str">
        <f>IFERROR(SUMIFS(当年实际!$V:$V,当年实际!$F:$F,$C600,当年实际!$C:$C,"&gt;="&amp;DATE(YEAR(主页!$D$2),1,1),当年实际!$C:$C,"&lt;="&amp;EOMONTH(DATE(YEAR(主页!$D$2),MONTH(主页!$D$2),1),0))/SUMIFS(当年实际!$P:$P,当年实际!$F:$F,$C600,当年实际!$C:$C,"&gt;="&amp;DATE(YEAR(主页!$D$2),1,1),当年实际!$C:$C,"&lt;="&amp;EOMONTH(DATE(YEAR(主页!$D$2),MONTH(主页!$D$2),1),0)),"")</f>
        <v/>
      </c>
    </row>
    <row r="601" spans="1:10" x14ac:dyDescent="0.3">
      <c r="A601" s="150"/>
      <c r="B601" s="150"/>
      <c r="C601" s="150"/>
      <c r="D601" s="150"/>
      <c r="E601" s="140" t="str">
        <f t="shared" si="28"/>
        <v/>
      </c>
      <c r="F601" s="159"/>
      <c r="G601" s="145">
        <f t="shared" si="30"/>
        <v>0</v>
      </c>
      <c r="H601" s="140" t="str">
        <f t="shared" si="29"/>
        <v/>
      </c>
      <c r="I601"/>
      <c r="J601" s="147" t="str">
        <f>IFERROR(SUMIFS(当年实际!$V:$V,当年实际!$F:$F,$C601,当年实际!$C:$C,"&gt;="&amp;DATE(YEAR(主页!$D$2),1,1),当年实际!$C:$C,"&lt;="&amp;EOMONTH(DATE(YEAR(主页!$D$2),MONTH(主页!$D$2),1),0))/SUMIFS(当年实际!$P:$P,当年实际!$F:$F,$C601,当年实际!$C:$C,"&gt;="&amp;DATE(YEAR(主页!$D$2),1,1),当年实际!$C:$C,"&lt;="&amp;EOMONTH(DATE(YEAR(主页!$D$2),MONTH(主页!$D$2),1),0)),"")</f>
        <v/>
      </c>
    </row>
    <row r="602" spans="1:10" x14ac:dyDescent="0.3">
      <c r="A602" s="150"/>
      <c r="B602" s="150"/>
      <c r="C602" s="150"/>
      <c r="D602" s="150"/>
      <c r="E602" s="140" t="str">
        <f t="shared" si="28"/>
        <v/>
      </c>
      <c r="F602" s="159"/>
      <c r="G602" s="145">
        <f t="shared" si="30"/>
        <v>0</v>
      </c>
      <c r="H602" s="140" t="str">
        <f t="shared" si="29"/>
        <v/>
      </c>
      <c r="I602"/>
      <c r="J602" s="147" t="str">
        <f>IFERROR(SUMIFS(当年实际!$V:$V,当年实际!$F:$F,$C602,当年实际!$C:$C,"&gt;="&amp;DATE(YEAR(主页!$D$2),1,1),当年实际!$C:$C,"&lt;="&amp;EOMONTH(DATE(YEAR(主页!$D$2),MONTH(主页!$D$2),1),0))/SUMIFS(当年实际!$P:$P,当年实际!$F:$F,$C602,当年实际!$C:$C,"&gt;="&amp;DATE(YEAR(主页!$D$2),1,1),当年实际!$C:$C,"&lt;="&amp;EOMONTH(DATE(YEAR(主页!$D$2),MONTH(主页!$D$2),1),0)),"")</f>
        <v/>
      </c>
    </row>
    <row r="603" spans="1:10" x14ac:dyDescent="0.3">
      <c r="A603" s="150"/>
      <c r="B603" s="150"/>
      <c r="C603" s="150"/>
      <c r="D603" s="150"/>
      <c r="E603" s="140" t="str">
        <f t="shared" si="28"/>
        <v/>
      </c>
      <c r="F603" s="159"/>
      <c r="G603" s="145">
        <f t="shared" si="30"/>
        <v>0</v>
      </c>
      <c r="H603" s="140" t="str">
        <f t="shared" si="29"/>
        <v/>
      </c>
      <c r="I603"/>
      <c r="J603" s="147" t="str">
        <f>IFERROR(SUMIFS(当年实际!$V:$V,当年实际!$F:$F,$C603,当年实际!$C:$C,"&gt;="&amp;DATE(YEAR(主页!$D$2),1,1),当年实际!$C:$C,"&lt;="&amp;EOMONTH(DATE(YEAR(主页!$D$2),MONTH(主页!$D$2),1),0))/SUMIFS(当年实际!$P:$P,当年实际!$F:$F,$C603,当年实际!$C:$C,"&gt;="&amp;DATE(YEAR(主页!$D$2),1,1),当年实际!$C:$C,"&lt;="&amp;EOMONTH(DATE(YEAR(主页!$D$2),MONTH(主页!$D$2),1),0)),"")</f>
        <v/>
      </c>
    </row>
    <row r="604" spans="1:10" x14ac:dyDescent="0.3">
      <c r="A604" s="150"/>
      <c r="B604" s="150"/>
      <c r="C604" s="150"/>
      <c r="D604" s="150"/>
      <c r="E604" s="140" t="str">
        <f t="shared" si="28"/>
        <v/>
      </c>
      <c r="F604" s="159"/>
      <c r="G604" s="145">
        <f t="shared" si="30"/>
        <v>0</v>
      </c>
      <c r="H604" s="140" t="str">
        <f t="shared" si="29"/>
        <v/>
      </c>
      <c r="I604"/>
      <c r="J604" s="147" t="str">
        <f>IFERROR(SUMIFS(当年实际!$V:$V,当年实际!$F:$F,$C604,当年实际!$C:$C,"&gt;="&amp;DATE(YEAR(主页!$D$2),1,1),当年实际!$C:$C,"&lt;="&amp;EOMONTH(DATE(YEAR(主页!$D$2),MONTH(主页!$D$2),1),0))/SUMIFS(当年实际!$P:$P,当年实际!$F:$F,$C604,当年实际!$C:$C,"&gt;="&amp;DATE(YEAR(主页!$D$2),1,1),当年实际!$C:$C,"&lt;="&amp;EOMONTH(DATE(YEAR(主页!$D$2),MONTH(主页!$D$2),1),0)),"")</f>
        <v/>
      </c>
    </row>
    <row r="605" spans="1:10" x14ac:dyDescent="0.3">
      <c r="A605" s="150"/>
      <c r="B605" s="150"/>
      <c r="C605" s="150"/>
      <c r="D605" s="150"/>
      <c r="E605" s="140" t="str">
        <f t="shared" si="28"/>
        <v/>
      </c>
      <c r="F605" s="159"/>
      <c r="G605" s="145">
        <f t="shared" si="30"/>
        <v>0</v>
      </c>
      <c r="H605" s="140" t="str">
        <f t="shared" si="29"/>
        <v/>
      </c>
      <c r="I605"/>
      <c r="J605" s="147" t="str">
        <f>IFERROR(SUMIFS(当年实际!$V:$V,当年实际!$F:$F,$C605,当年实际!$C:$C,"&gt;="&amp;DATE(YEAR(主页!$D$2),1,1),当年实际!$C:$C,"&lt;="&amp;EOMONTH(DATE(YEAR(主页!$D$2),MONTH(主页!$D$2),1),0))/SUMIFS(当年实际!$P:$P,当年实际!$F:$F,$C605,当年实际!$C:$C,"&gt;="&amp;DATE(YEAR(主页!$D$2),1,1),当年实际!$C:$C,"&lt;="&amp;EOMONTH(DATE(YEAR(主页!$D$2),MONTH(主页!$D$2),1),0)),"")</f>
        <v/>
      </c>
    </row>
    <row r="606" spans="1:10" x14ac:dyDescent="0.3">
      <c r="A606" s="150"/>
      <c r="B606" s="150"/>
      <c r="C606" s="150"/>
      <c r="D606" s="150"/>
      <c r="E606" s="140" t="str">
        <f t="shared" si="28"/>
        <v/>
      </c>
      <c r="F606" s="159"/>
      <c r="G606" s="145">
        <f t="shared" si="30"/>
        <v>0</v>
      </c>
      <c r="H606" s="140" t="str">
        <f t="shared" si="29"/>
        <v/>
      </c>
      <c r="I606"/>
      <c r="J606" s="147" t="str">
        <f>IFERROR(SUMIFS(当年实际!$V:$V,当年实际!$F:$F,$C606,当年实际!$C:$C,"&gt;="&amp;DATE(YEAR(主页!$D$2),1,1),当年实际!$C:$C,"&lt;="&amp;EOMONTH(DATE(YEAR(主页!$D$2),MONTH(主页!$D$2),1),0))/SUMIFS(当年实际!$P:$P,当年实际!$F:$F,$C606,当年实际!$C:$C,"&gt;="&amp;DATE(YEAR(主页!$D$2),1,1),当年实际!$C:$C,"&lt;="&amp;EOMONTH(DATE(YEAR(主页!$D$2),MONTH(主页!$D$2),1),0)),"")</f>
        <v/>
      </c>
    </row>
    <row r="607" spans="1:10" x14ac:dyDescent="0.3">
      <c r="A607" s="150"/>
      <c r="B607" s="150"/>
      <c r="C607" s="150"/>
      <c r="D607" s="150"/>
      <c r="E607" s="140" t="str">
        <f t="shared" si="28"/>
        <v/>
      </c>
      <c r="F607" s="159"/>
      <c r="G607" s="145">
        <f t="shared" si="30"/>
        <v>0</v>
      </c>
      <c r="H607" s="140" t="str">
        <f t="shared" si="29"/>
        <v/>
      </c>
      <c r="I607"/>
      <c r="J607" s="147" t="str">
        <f>IFERROR(SUMIFS(当年实际!$V:$V,当年实际!$F:$F,$C607,当年实际!$C:$C,"&gt;="&amp;DATE(YEAR(主页!$D$2),1,1),当年实际!$C:$C,"&lt;="&amp;EOMONTH(DATE(YEAR(主页!$D$2),MONTH(主页!$D$2),1),0))/SUMIFS(当年实际!$P:$P,当年实际!$F:$F,$C607,当年实际!$C:$C,"&gt;="&amp;DATE(YEAR(主页!$D$2),1,1),当年实际!$C:$C,"&lt;="&amp;EOMONTH(DATE(YEAR(主页!$D$2),MONTH(主页!$D$2),1),0)),"")</f>
        <v/>
      </c>
    </row>
    <row r="608" spans="1:10" x14ac:dyDescent="0.3">
      <c r="A608" s="150"/>
      <c r="B608" s="150"/>
      <c r="C608" s="150"/>
      <c r="D608" s="150"/>
      <c r="E608" s="140" t="str">
        <f t="shared" si="28"/>
        <v/>
      </c>
      <c r="F608" s="159"/>
      <c r="G608" s="145">
        <f t="shared" si="30"/>
        <v>0</v>
      </c>
      <c r="H608" s="140" t="str">
        <f t="shared" si="29"/>
        <v/>
      </c>
      <c r="I608"/>
      <c r="J608" s="147" t="str">
        <f>IFERROR(SUMIFS(当年实际!$V:$V,当年实际!$F:$F,$C608,当年实际!$C:$C,"&gt;="&amp;DATE(YEAR(主页!$D$2),1,1),当年实际!$C:$C,"&lt;="&amp;EOMONTH(DATE(YEAR(主页!$D$2),MONTH(主页!$D$2),1),0))/SUMIFS(当年实际!$P:$P,当年实际!$F:$F,$C608,当年实际!$C:$C,"&gt;="&amp;DATE(YEAR(主页!$D$2),1,1),当年实际!$C:$C,"&lt;="&amp;EOMONTH(DATE(YEAR(主页!$D$2),MONTH(主页!$D$2),1),0)),"")</f>
        <v/>
      </c>
    </row>
    <row r="609" spans="1:10" x14ac:dyDescent="0.3">
      <c r="A609" s="150"/>
      <c r="B609" s="150"/>
      <c r="C609" s="150"/>
      <c r="D609" s="150"/>
      <c r="E609" s="140" t="str">
        <f t="shared" si="28"/>
        <v/>
      </c>
      <c r="F609" s="159"/>
      <c r="G609" s="145">
        <f t="shared" si="30"/>
        <v>0</v>
      </c>
      <c r="H609" s="140" t="str">
        <f t="shared" si="29"/>
        <v/>
      </c>
      <c r="I609"/>
      <c r="J609" s="147" t="str">
        <f>IFERROR(SUMIFS(当年实际!$V:$V,当年实际!$F:$F,$C609,当年实际!$C:$C,"&gt;="&amp;DATE(YEAR(主页!$D$2),1,1),当年实际!$C:$C,"&lt;="&amp;EOMONTH(DATE(YEAR(主页!$D$2),MONTH(主页!$D$2),1),0))/SUMIFS(当年实际!$P:$P,当年实际!$F:$F,$C609,当年实际!$C:$C,"&gt;="&amp;DATE(YEAR(主页!$D$2),1,1),当年实际!$C:$C,"&lt;="&amp;EOMONTH(DATE(YEAR(主页!$D$2),MONTH(主页!$D$2),1),0)),"")</f>
        <v/>
      </c>
    </row>
    <row r="610" spans="1:10" x14ac:dyDescent="0.3">
      <c r="A610" s="150"/>
      <c r="B610" s="150"/>
      <c r="C610" s="150"/>
      <c r="D610" s="150"/>
      <c r="E610" s="140" t="str">
        <f t="shared" si="28"/>
        <v/>
      </c>
      <c r="F610" s="159"/>
      <c r="G610" s="145">
        <f t="shared" si="30"/>
        <v>0</v>
      </c>
      <c r="H610" s="140" t="str">
        <f t="shared" si="29"/>
        <v/>
      </c>
      <c r="I610"/>
      <c r="J610" s="147" t="str">
        <f>IFERROR(SUMIFS(当年实际!$V:$V,当年实际!$F:$F,$C610,当年实际!$C:$C,"&gt;="&amp;DATE(YEAR(主页!$D$2),1,1),当年实际!$C:$C,"&lt;="&amp;EOMONTH(DATE(YEAR(主页!$D$2),MONTH(主页!$D$2),1),0))/SUMIFS(当年实际!$P:$P,当年实际!$F:$F,$C610,当年实际!$C:$C,"&gt;="&amp;DATE(YEAR(主页!$D$2),1,1),当年实际!$C:$C,"&lt;="&amp;EOMONTH(DATE(YEAR(主页!$D$2),MONTH(主页!$D$2),1),0)),"")</f>
        <v/>
      </c>
    </row>
    <row r="611" spans="1:10" x14ac:dyDescent="0.3">
      <c r="A611" s="150"/>
      <c r="B611" s="150"/>
      <c r="C611" s="150"/>
      <c r="D611" s="150"/>
      <c r="E611" s="140" t="str">
        <f t="shared" si="28"/>
        <v/>
      </c>
      <c r="F611" s="159"/>
      <c r="G611" s="145">
        <f t="shared" si="30"/>
        <v>0</v>
      </c>
      <c r="H611" s="140" t="str">
        <f t="shared" si="29"/>
        <v/>
      </c>
      <c r="I611"/>
      <c r="J611" s="147" t="str">
        <f>IFERROR(SUMIFS(当年实际!$V:$V,当年实际!$F:$F,$C611,当年实际!$C:$C,"&gt;="&amp;DATE(YEAR(主页!$D$2),1,1),当年实际!$C:$C,"&lt;="&amp;EOMONTH(DATE(YEAR(主页!$D$2),MONTH(主页!$D$2),1),0))/SUMIFS(当年实际!$P:$P,当年实际!$F:$F,$C611,当年实际!$C:$C,"&gt;="&amp;DATE(YEAR(主页!$D$2),1,1),当年实际!$C:$C,"&lt;="&amp;EOMONTH(DATE(YEAR(主页!$D$2),MONTH(主页!$D$2),1),0)),"")</f>
        <v/>
      </c>
    </row>
    <row r="612" spans="1:10" x14ac:dyDescent="0.3">
      <c r="A612" s="150"/>
      <c r="B612" s="150"/>
      <c r="C612" s="150"/>
      <c r="D612" s="150"/>
      <c r="E612" s="140" t="str">
        <f t="shared" si="28"/>
        <v/>
      </c>
      <c r="F612" s="159"/>
      <c r="G612" s="145">
        <f t="shared" si="30"/>
        <v>0</v>
      </c>
      <c r="H612" s="140" t="str">
        <f t="shared" si="29"/>
        <v/>
      </c>
      <c r="I612"/>
      <c r="J612" s="147" t="str">
        <f>IFERROR(SUMIFS(当年实际!$V:$V,当年实际!$F:$F,$C612,当年实际!$C:$C,"&gt;="&amp;DATE(YEAR(主页!$D$2),1,1),当年实际!$C:$C,"&lt;="&amp;EOMONTH(DATE(YEAR(主页!$D$2),MONTH(主页!$D$2),1),0))/SUMIFS(当年实际!$P:$P,当年实际!$F:$F,$C612,当年实际!$C:$C,"&gt;="&amp;DATE(YEAR(主页!$D$2),1,1),当年实际!$C:$C,"&lt;="&amp;EOMONTH(DATE(YEAR(主页!$D$2),MONTH(主页!$D$2),1),0)),"")</f>
        <v/>
      </c>
    </row>
    <row r="613" spans="1:10" x14ac:dyDescent="0.3">
      <c r="A613" s="150"/>
      <c r="B613" s="150"/>
      <c r="C613" s="150"/>
      <c r="D613" s="150"/>
      <c r="E613" s="140" t="str">
        <f t="shared" si="28"/>
        <v/>
      </c>
      <c r="F613" s="159"/>
      <c r="G613" s="145">
        <f t="shared" si="30"/>
        <v>0</v>
      </c>
      <c r="H613" s="140" t="str">
        <f t="shared" si="29"/>
        <v/>
      </c>
      <c r="I613"/>
      <c r="J613" s="147" t="str">
        <f>IFERROR(SUMIFS(当年实际!$V:$V,当年实际!$F:$F,$C613,当年实际!$C:$C,"&gt;="&amp;DATE(YEAR(主页!$D$2),1,1),当年实际!$C:$C,"&lt;="&amp;EOMONTH(DATE(YEAR(主页!$D$2),MONTH(主页!$D$2),1),0))/SUMIFS(当年实际!$P:$P,当年实际!$F:$F,$C613,当年实际!$C:$C,"&gt;="&amp;DATE(YEAR(主页!$D$2),1,1),当年实际!$C:$C,"&lt;="&amp;EOMONTH(DATE(YEAR(主页!$D$2),MONTH(主页!$D$2),1),0)),"")</f>
        <v/>
      </c>
    </row>
    <row r="614" spans="1:10" x14ac:dyDescent="0.3">
      <c r="A614" s="150"/>
      <c r="B614" s="150"/>
      <c r="C614" s="150"/>
      <c r="D614" s="150"/>
      <c r="E614" s="140" t="str">
        <f t="shared" si="28"/>
        <v/>
      </c>
      <c r="F614" s="159"/>
      <c r="G614" s="145">
        <f t="shared" si="30"/>
        <v>0</v>
      </c>
      <c r="H614" s="140" t="str">
        <f t="shared" si="29"/>
        <v/>
      </c>
      <c r="I614"/>
      <c r="J614" s="147" t="str">
        <f>IFERROR(SUMIFS(当年实际!$V:$V,当年实际!$F:$F,$C614,当年实际!$C:$C,"&gt;="&amp;DATE(YEAR(主页!$D$2),1,1),当年实际!$C:$C,"&lt;="&amp;EOMONTH(DATE(YEAR(主页!$D$2),MONTH(主页!$D$2),1),0))/SUMIFS(当年实际!$P:$P,当年实际!$F:$F,$C614,当年实际!$C:$C,"&gt;="&amp;DATE(YEAR(主页!$D$2),1,1),当年实际!$C:$C,"&lt;="&amp;EOMONTH(DATE(YEAR(主页!$D$2),MONTH(主页!$D$2),1),0)),"")</f>
        <v/>
      </c>
    </row>
    <row r="615" spans="1:10" x14ac:dyDescent="0.3">
      <c r="A615" s="150"/>
      <c r="B615" s="150"/>
      <c r="C615" s="150"/>
      <c r="D615" s="150"/>
      <c r="E615" s="140" t="str">
        <f t="shared" si="28"/>
        <v/>
      </c>
      <c r="F615" s="159"/>
      <c r="G615" s="145">
        <f t="shared" si="30"/>
        <v>0</v>
      </c>
      <c r="H615" s="140" t="str">
        <f t="shared" si="29"/>
        <v/>
      </c>
      <c r="I615"/>
      <c r="J615" s="147" t="str">
        <f>IFERROR(SUMIFS(当年实际!$V:$V,当年实际!$F:$F,$C615,当年实际!$C:$C,"&gt;="&amp;DATE(YEAR(主页!$D$2),1,1),当年实际!$C:$C,"&lt;="&amp;EOMONTH(DATE(YEAR(主页!$D$2),MONTH(主页!$D$2),1),0))/SUMIFS(当年实际!$P:$P,当年实际!$F:$F,$C615,当年实际!$C:$C,"&gt;="&amp;DATE(YEAR(主页!$D$2),1,1),当年实际!$C:$C,"&lt;="&amp;EOMONTH(DATE(YEAR(主页!$D$2),MONTH(主页!$D$2),1),0)),"")</f>
        <v/>
      </c>
    </row>
    <row r="616" spans="1:10" x14ac:dyDescent="0.3">
      <c r="A616" s="150"/>
      <c r="B616" s="150"/>
      <c r="C616" s="150"/>
      <c r="D616" s="150"/>
      <c r="E616" s="140" t="str">
        <f t="shared" si="28"/>
        <v/>
      </c>
      <c r="F616" s="159"/>
      <c r="G616" s="145">
        <f t="shared" si="30"/>
        <v>0</v>
      </c>
      <c r="H616" s="140" t="str">
        <f t="shared" si="29"/>
        <v/>
      </c>
      <c r="I616"/>
      <c r="J616" s="147" t="str">
        <f>IFERROR(SUMIFS(当年实际!$V:$V,当年实际!$F:$F,$C616,当年实际!$C:$C,"&gt;="&amp;DATE(YEAR(主页!$D$2),1,1),当年实际!$C:$C,"&lt;="&amp;EOMONTH(DATE(YEAR(主页!$D$2),MONTH(主页!$D$2),1),0))/SUMIFS(当年实际!$P:$P,当年实际!$F:$F,$C616,当年实际!$C:$C,"&gt;="&amp;DATE(YEAR(主页!$D$2),1,1),当年实际!$C:$C,"&lt;="&amp;EOMONTH(DATE(YEAR(主页!$D$2),MONTH(主页!$D$2),1),0)),"")</f>
        <v/>
      </c>
    </row>
    <row r="617" spans="1:10" x14ac:dyDescent="0.3">
      <c r="A617" s="150"/>
      <c r="B617" s="150"/>
      <c r="C617" s="150"/>
      <c r="D617" s="150"/>
      <c r="E617" s="140" t="str">
        <f t="shared" si="28"/>
        <v/>
      </c>
      <c r="F617" s="159"/>
      <c r="G617" s="145">
        <f t="shared" si="30"/>
        <v>0</v>
      </c>
      <c r="H617" s="140" t="str">
        <f t="shared" si="29"/>
        <v/>
      </c>
      <c r="I617"/>
      <c r="J617" s="147" t="str">
        <f>IFERROR(SUMIFS(当年实际!$V:$V,当年实际!$F:$F,$C617,当年实际!$C:$C,"&gt;="&amp;DATE(YEAR(主页!$D$2),1,1),当年实际!$C:$C,"&lt;="&amp;EOMONTH(DATE(YEAR(主页!$D$2),MONTH(主页!$D$2),1),0))/SUMIFS(当年实际!$P:$P,当年实际!$F:$F,$C617,当年实际!$C:$C,"&gt;="&amp;DATE(YEAR(主页!$D$2),1,1),当年实际!$C:$C,"&lt;="&amp;EOMONTH(DATE(YEAR(主页!$D$2),MONTH(主页!$D$2),1),0)),"")</f>
        <v/>
      </c>
    </row>
    <row r="618" spans="1:10" x14ac:dyDescent="0.3">
      <c r="A618" s="150"/>
      <c r="B618" s="150"/>
      <c r="C618" s="150"/>
      <c r="D618" s="150"/>
      <c r="E618" s="140" t="str">
        <f t="shared" si="28"/>
        <v/>
      </c>
      <c r="F618" s="159"/>
      <c r="G618" s="145">
        <f t="shared" si="30"/>
        <v>0</v>
      </c>
      <c r="H618" s="140" t="str">
        <f t="shared" si="29"/>
        <v/>
      </c>
      <c r="I618"/>
      <c r="J618" s="147" t="str">
        <f>IFERROR(SUMIFS(当年实际!$V:$V,当年实际!$F:$F,$C618,当年实际!$C:$C,"&gt;="&amp;DATE(YEAR(主页!$D$2),1,1),当年实际!$C:$C,"&lt;="&amp;EOMONTH(DATE(YEAR(主页!$D$2),MONTH(主页!$D$2),1),0))/SUMIFS(当年实际!$P:$P,当年实际!$F:$F,$C618,当年实际!$C:$C,"&gt;="&amp;DATE(YEAR(主页!$D$2),1,1),当年实际!$C:$C,"&lt;="&amp;EOMONTH(DATE(YEAR(主页!$D$2),MONTH(主页!$D$2),1),0)),"")</f>
        <v/>
      </c>
    </row>
    <row r="619" spans="1:10" x14ac:dyDescent="0.3">
      <c r="A619" s="150"/>
      <c r="B619" s="150"/>
      <c r="C619" s="150"/>
      <c r="D619" s="150"/>
      <c r="E619" s="140" t="str">
        <f t="shared" si="28"/>
        <v/>
      </c>
      <c r="F619" s="159"/>
      <c r="G619" s="145">
        <f t="shared" si="30"/>
        <v>0</v>
      </c>
      <c r="H619" s="140" t="str">
        <f t="shared" si="29"/>
        <v/>
      </c>
      <c r="I619"/>
      <c r="J619" s="147" t="str">
        <f>IFERROR(SUMIFS(当年实际!$V:$V,当年实际!$F:$F,$C619,当年实际!$C:$C,"&gt;="&amp;DATE(YEAR(主页!$D$2),1,1),当年实际!$C:$C,"&lt;="&amp;EOMONTH(DATE(YEAR(主页!$D$2),MONTH(主页!$D$2),1),0))/SUMIFS(当年实际!$P:$P,当年实际!$F:$F,$C619,当年实际!$C:$C,"&gt;="&amp;DATE(YEAR(主页!$D$2),1,1),当年实际!$C:$C,"&lt;="&amp;EOMONTH(DATE(YEAR(主页!$D$2),MONTH(主页!$D$2),1),0)),"")</f>
        <v/>
      </c>
    </row>
    <row r="620" spans="1:10" x14ac:dyDescent="0.3">
      <c r="A620" s="150"/>
      <c r="B620" s="150"/>
      <c r="C620" s="150"/>
      <c r="D620" s="150"/>
      <c r="E620" s="140" t="str">
        <f t="shared" si="28"/>
        <v/>
      </c>
      <c r="F620" s="159"/>
      <c r="G620" s="145">
        <f t="shared" si="30"/>
        <v>0</v>
      </c>
      <c r="H620" s="140" t="str">
        <f t="shared" si="29"/>
        <v/>
      </c>
      <c r="I620"/>
      <c r="J620" s="147" t="str">
        <f>IFERROR(SUMIFS(当年实际!$V:$V,当年实际!$F:$F,$C620,当年实际!$C:$C,"&gt;="&amp;DATE(YEAR(主页!$D$2),1,1),当年实际!$C:$C,"&lt;="&amp;EOMONTH(DATE(YEAR(主页!$D$2),MONTH(主页!$D$2),1),0))/SUMIFS(当年实际!$P:$P,当年实际!$F:$F,$C620,当年实际!$C:$C,"&gt;="&amp;DATE(YEAR(主页!$D$2),1,1),当年实际!$C:$C,"&lt;="&amp;EOMONTH(DATE(YEAR(主页!$D$2),MONTH(主页!$D$2),1),0)),"")</f>
        <v/>
      </c>
    </row>
    <row r="621" spans="1:10" x14ac:dyDescent="0.3">
      <c r="A621" s="150"/>
      <c r="B621" s="150"/>
      <c r="C621" s="150"/>
      <c r="D621" s="150"/>
      <c r="E621" s="140" t="str">
        <f t="shared" si="28"/>
        <v/>
      </c>
      <c r="F621" s="159"/>
      <c r="G621" s="145">
        <f t="shared" si="30"/>
        <v>0</v>
      </c>
      <c r="H621" s="140" t="str">
        <f t="shared" si="29"/>
        <v/>
      </c>
      <c r="I621"/>
      <c r="J621" s="147" t="str">
        <f>IFERROR(SUMIFS(当年实际!$V:$V,当年实际!$F:$F,$C621,当年实际!$C:$C,"&gt;="&amp;DATE(YEAR(主页!$D$2),1,1),当年实际!$C:$C,"&lt;="&amp;EOMONTH(DATE(YEAR(主页!$D$2),MONTH(主页!$D$2),1),0))/SUMIFS(当年实际!$P:$P,当年实际!$F:$F,$C621,当年实际!$C:$C,"&gt;="&amp;DATE(YEAR(主页!$D$2),1,1),当年实际!$C:$C,"&lt;="&amp;EOMONTH(DATE(YEAR(主页!$D$2),MONTH(主页!$D$2),1),0)),"")</f>
        <v/>
      </c>
    </row>
    <row r="622" spans="1:10" x14ac:dyDescent="0.3">
      <c r="A622" s="150"/>
      <c r="B622" s="150"/>
      <c r="C622" s="150"/>
      <c r="D622" s="150"/>
      <c r="E622" s="140" t="str">
        <f t="shared" si="28"/>
        <v/>
      </c>
      <c r="F622" s="159"/>
      <c r="G622" s="145">
        <f t="shared" si="30"/>
        <v>0</v>
      </c>
      <c r="H622" s="140" t="str">
        <f t="shared" si="29"/>
        <v/>
      </c>
      <c r="I622"/>
      <c r="J622" s="147" t="str">
        <f>IFERROR(SUMIFS(当年实际!$V:$V,当年实际!$F:$F,$C622,当年实际!$C:$C,"&gt;="&amp;DATE(YEAR(主页!$D$2),1,1),当年实际!$C:$C,"&lt;="&amp;EOMONTH(DATE(YEAR(主页!$D$2),MONTH(主页!$D$2),1),0))/SUMIFS(当年实际!$P:$P,当年实际!$F:$F,$C622,当年实际!$C:$C,"&gt;="&amp;DATE(YEAR(主页!$D$2),1,1),当年实际!$C:$C,"&lt;="&amp;EOMONTH(DATE(YEAR(主页!$D$2),MONTH(主页!$D$2),1),0)),"")</f>
        <v/>
      </c>
    </row>
    <row r="623" spans="1:10" x14ac:dyDescent="0.3">
      <c r="A623" s="150"/>
      <c r="B623" s="150"/>
      <c r="C623" s="150"/>
      <c r="D623" s="150"/>
      <c r="E623" s="140" t="str">
        <f t="shared" si="28"/>
        <v/>
      </c>
      <c r="F623" s="159"/>
      <c r="G623" s="145">
        <f t="shared" si="30"/>
        <v>0</v>
      </c>
      <c r="H623" s="140" t="str">
        <f t="shared" si="29"/>
        <v/>
      </c>
      <c r="I623"/>
      <c r="J623" s="147" t="str">
        <f>IFERROR(SUMIFS(当年实际!$V:$V,当年实际!$F:$F,$C623,当年实际!$C:$C,"&gt;="&amp;DATE(YEAR(主页!$D$2),1,1),当年实际!$C:$C,"&lt;="&amp;EOMONTH(DATE(YEAR(主页!$D$2),MONTH(主页!$D$2),1),0))/SUMIFS(当年实际!$P:$P,当年实际!$F:$F,$C623,当年实际!$C:$C,"&gt;="&amp;DATE(YEAR(主页!$D$2),1,1),当年实际!$C:$C,"&lt;="&amp;EOMONTH(DATE(YEAR(主页!$D$2),MONTH(主页!$D$2),1),0)),"")</f>
        <v/>
      </c>
    </row>
    <row r="624" spans="1:10" x14ac:dyDescent="0.3">
      <c r="A624" s="150"/>
      <c r="B624" s="150"/>
      <c r="C624" s="150"/>
      <c r="D624" s="150"/>
      <c r="E624" s="140" t="str">
        <f t="shared" si="28"/>
        <v/>
      </c>
      <c r="F624" s="159"/>
      <c r="G624" s="145">
        <f t="shared" si="30"/>
        <v>0</v>
      </c>
      <c r="H624" s="140" t="str">
        <f t="shared" si="29"/>
        <v/>
      </c>
      <c r="I624"/>
      <c r="J624" s="147" t="str">
        <f>IFERROR(SUMIFS(当年实际!$V:$V,当年实际!$F:$F,$C624,当年实际!$C:$C,"&gt;="&amp;DATE(YEAR(主页!$D$2),1,1),当年实际!$C:$C,"&lt;="&amp;EOMONTH(DATE(YEAR(主页!$D$2),MONTH(主页!$D$2),1),0))/SUMIFS(当年实际!$P:$P,当年实际!$F:$F,$C624,当年实际!$C:$C,"&gt;="&amp;DATE(YEAR(主页!$D$2),1,1),当年实际!$C:$C,"&lt;="&amp;EOMONTH(DATE(YEAR(主页!$D$2),MONTH(主页!$D$2),1),0)),"")</f>
        <v/>
      </c>
    </row>
    <row r="625" spans="1:10" x14ac:dyDescent="0.3">
      <c r="A625" s="150"/>
      <c r="B625" s="150"/>
      <c r="C625" s="150"/>
      <c r="D625" s="150"/>
      <c r="E625" s="140" t="str">
        <f t="shared" si="28"/>
        <v/>
      </c>
      <c r="F625" s="159"/>
      <c r="G625" s="145">
        <f t="shared" si="30"/>
        <v>0</v>
      </c>
      <c r="H625" s="140" t="str">
        <f t="shared" si="29"/>
        <v/>
      </c>
      <c r="I625"/>
      <c r="J625" s="147" t="str">
        <f>IFERROR(SUMIFS(当年实际!$V:$V,当年实际!$F:$F,$C625,当年实际!$C:$C,"&gt;="&amp;DATE(YEAR(主页!$D$2),1,1),当年实际!$C:$C,"&lt;="&amp;EOMONTH(DATE(YEAR(主页!$D$2),MONTH(主页!$D$2),1),0))/SUMIFS(当年实际!$P:$P,当年实际!$F:$F,$C625,当年实际!$C:$C,"&gt;="&amp;DATE(YEAR(主页!$D$2),1,1),当年实际!$C:$C,"&lt;="&amp;EOMONTH(DATE(YEAR(主页!$D$2),MONTH(主页!$D$2),1),0)),"")</f>
        <v/>
      </c>
    </row>
    <row r="626" spans="1:10" x14ac:dyDescent="0.3">
      <c r="A626" s="150"/>
      <c r="B626" s="150"/>
      <c r="C626" s="150"/>
      <c r="D626" s="150"/>
      <c r="E626" s="140" t="str">
        <f t="shared" si="28"/>
        <v/>
      </c>
      <c r="F626" s="159"/>
      <c r="G626" s="145">
        <f t="shared" si="30"/>
        <v>0</v>
      </c>
      <c r="H626" s="140" t="str">
        <f t="shared" si="29"/>
        <v/>
      </c>
      <c r="I626"/>
      <c r="J626" s="147" t="str">
        <f>IFERROR(SUMIFS(当年实际!$V:$V,当年实际!$F:$F,$C626,当年实际!$C:$C,"&gt;="&amp;DATE(YEAR(主页!$D$2),1,1),当年实际!$C:$C,"&lt;="&amp;EOMONTH(DATE(YEAR(主页!$D$2),MONTH(主页!$D$2),1),0))/SUMIFS(当年实际!$P:$P,当年实际!$F:$F,$C626,当年实际!$C:$C,"&gt;="&amp;DATE(YEAR(主页!$D$2),1,1),当年实际!$C:$C,"&lt;="&amp;EOMONTH(DATE(YEAR(主页!$D$2),MONTH(主页!$D$2),1),0)),"")</f>
        <v/>
      </c>
    </row>
    <row r="627" spans="1:10" x14ac:dyDescent="0.3">
      <c r="A627" s="150"/>
      <c r="B627" s="150"/>
      <c r="C627" s="150"/>
      <c r="D627" s="150"/>
      <c r="E627" s="140" t="str">
        <f t="shared" si="28"/>
        <v/>
      </c>
      <c r="F627" s="159"/>
      <c r="G627" s="145">
        <f t="shared" si="30"/>
        <v>0</v>
      </c>
      <c r="H627" s="140" t="str">
        <f t="shared" si="29"/>
        <v/>
      </c>
      <c r="I627"/>
      <c r="J627" s="147" t="str">
        <f>IFERROR(SUMIFS(当年实际!$V:$V,当年实际!$F:$F,$C627,当年实际!$C:$C,"&gt;="&amp;DATE(YEAR(主页!$D$2),1,1),当年实际!$C:$C,"&lt;="&amp;EOMONTH(DATE(YEAR(主页!$D$2),MONTH(主页!$D$2),1),0))/SUMIFS(当年实际!$P:$P,当年实际!$F:$F,$C627,当年实际!$C:$C,"&gt;="&amp;DATE(YEAR(主页!$D$2),1,1),当年实际!$C:$C,"&lt;="&amp;EOMONTH(DATE(YEAR(主页!$D$2),MONTH(主页!$D$2),1),0)),"")</f>
        <v/>
      </c>
    </row>
    <row r="628" spans="1:10" x14ac:dyDescent="0.3">
      <c r="A628" s="150"/>
      <c r="B628" s="150"/>
      <c r="C628" s="150"/>
      <c r="D628" s="150"/>
      <c r="E628" s="140" t="str">
        <f t="shared" si="28"/>
        <v/>
      </c>
      <c r="F628" s="159"/>
      <c r="G628" s="145">
        <f t="shared" si="30"/>
        <v>0</v>
      </c>
      <c r="H628" s="140" t="str">
        <f t="shared" si="29"/>
        <v/>
      </c>
      <c r="I628"/>
      <c r="J628" s="147" t="str">
        <f>IFERROR(SUMIFS(当年实际!$V:$V,当年实际!$F:$F,$C628,当年实际!$C:$C,"&gt;="&amp;DATE(YEAR(主页!$D$2),1,1),当年实际!$C:$C,"&lt;="&amp;EOMONTH(DATE(YEAR(主页!$D$2),MONTH(主页!$D$2),1),0))/SUMIFS(当年实际!$P:$P,当年实际!$F:$F,$C628,当年实际!$C:$C,"&gt;="&amp;DATE(YEAR(主页!$D$2),1,1),当年实际!$C:$C,"&lt;="&amp;EOMONTH(DATE(YEAR(主页!$D$2),MONTH(主页!$D$2),1),0)),"")</f>
        <v/>
      </c>
    </row>
    <row r="629" spans="1:10" x14ac:dyDescent="0.3">
      <c r="A629" s="150"/>
      <c r="B629" s="150"/>
      <c r="C629" s="150"/>
      <c r="D629" s="150"/>
      <c r="E629" s="140" t="str">
        <f t="shared" si="28"/>
        <v/>
      </c>
      <c r="F629" s="159"/>
      <c r="G629" s="145">
        <f t="shared" si="30"/>
        <v>0</v>
      </c>
      <c r="H629" s="140" t="str">
        <f t="shared" si="29"/>
        <v/>
      </c>
      <c r="I629"/>
      <c r="J629" s="147" t="str">
        <f>IFERROR(SUMIFS(当年实际!$V:$V,当年实际!$F:$F,$C629,当年实际!$C:$C,"&gt;="&amp;DATE(YEAR(主页!$D$2),1,1),当年实际!$C:$C,"&lt;="&amp;EOMONTH(DATE(YEAR(主页!$D$2),MONTH(主页!$D$2),1),0))/SUMIFS(当年实际!$P:$P,当年实际!$F:$F,$C629,当年实际!$C:$C,"&gt;="&amp;DATE(YEAR(主页!$D$2),1,1),当年实际!$C:$C,"&lt;="&amp;EOMONTH(DATE(YEAR(主页!$D$2),MONTH(主页!$D$2),1),0)),"")</f>
        <v/>
      </c>
    </row>
    <row r="630" spans="1:10" x14ac:dyDescent="0.3">
      <c r="A630" s="150"/>
      <c r="B630" s="150"/>
      <c r="C630" s="150"/>
      <c r="D630" s="150"/>
      <c r="E630" s="140" t="str">
        <f t="shared" si="28"/>
        <v/>
      </c>
      <c r="F630" s="159"/>
      <c r="G630" s="145">
        <f t="shared" si="30"/>
        <v>0</v>
      </c>
      <c r="H630" s="140" t="str">
        <f t="shared" si="29"/>
        <v/>
      </c>
      <c r="I630"/>
      <c r="J630" s="147" t="str">
        <f>IFERROR(SUMIFS(当年实际!$V:$V,当年实际!$F:$F,$C630,当年实际!$C:$C,"&gt;="&amp;DATE(YEAR(主页!$D$2),1,1),当年实际!$C:$C,"&lt;="&amp;EOMONTH(DATE(YEAR(主页!$D$2),MONTH(主页!$D$2),1),0))/SUMIFS(当年实际!$P:$P,当年实际!$F:$F,$C630,当年实际!$C:$C,"&gt;="&amp;DATE(YEAR(主页!$D$2),1,1),当年实际!$C:$C,"&lt;="&amp;EOMONTH(DATE(YEAR(主页!$D$2),MONTH(主页!$D$2),1),0)),"")</f>
        <v/>
      </c>
    </row>
    <row r="631" spans="1:10" x14ac:dyDescent="0.3">
      <c r="A631" s="150"/>
      <c r="B631" s="150"/>
      <c r="C631" s="150"/>
      <c r="D631" s="150"/>
      <c r="E631" s="140" t="str">
        <f t="shared" si="28"/>
        <v/>
      </c>
      <c r="F631" s="159"/>
      <c r="G631" s="145">
        <f t="shared" si="30"/>
        <v>0</v>
      </c>
      <c r="H631" s="140" t="str">
        <f t="shared" si="29"/>
        <v/>
      </c>
      <c r="I631"/>
      <c r="J631" s="147" t="str">
        <f>IFERROR(SUMIFS(当年实际!$V:$V,当年实际!$F:$F,$C631,当年实际!$C:$C,"&gt;="&amp;DATE(YEAR(主页!$D$2),1,1),当年实际!$C:$C,"&lt;="&amp;EOMONTH(DATE(YEAR(主页!$D$2),MONTH(主页!$D$2),1),0))/SUMIFS(当年实际!$P:$P,当年实际!$F:$F,$C631,当年实际!$C:$C,"&gt;="&amp;DATE(YEAR(主页!$D$2),1,1),当年实际!$C:$C,"&lt;="&amp;EOMONTH(DATE(YEAR(主页!$D$2),MONTH(主页!$D$2),1),0)),"")</f>
        <v/>
      </c>
    </row>
    <row r="632" spans="1:10" x14ac:dyDescent="0.3">
      <c r="A632" s="150"/>
      <c r="B632" s="150"/>
      <c r="C632" s="150"/>
      <c r="D632" s="150"/>
      <c r="E632" s="140" t="str">
        <f t="shared" si="28"/>
        <v/>
      </c>
      <c r="F632" s="159"/>
      <c r="G632" s="145">
        <f t="shared" si="30"/>
        <v>0</v>
      </c>
      <c r="H632" s="140" t="str">
        <f t="shared" si="29"/>
        <v/>
      </c>
      <c r="I632"/>
      <c r="J632" s="147" t="str">
        <f>IFERROR(SUMIFS(当年实际!$V:$V,当年实际!$F:$F,$C632,当年实际!$C:$C,"&gt;="&amp;DATE(YEAR(主页!$D$2),1,1),当年实际!$C:$C,"&lt;="&amp;EOMONTH(DATE(YEAR(主页!$D$2),MONTH(主页!$D$2),1),0))/SUMIFS(当年实际!$P:$P,当年实际!$F:$F,$C632,当年实际!$C:$C,"&gt;="&amp;DATE(YEAR(主页!$D$2),1,1),当年实际!$C:$C,"&lt;="&amp;EOMONTH(DATE(YEAR(主页!$D$2),MONTH(主页!$D$2),1),0)),"")</f>
        <v/>
      </c>
    </row>
    <row r="633" spans="1:10" x14ac:dyDescent="0.3">
      <c r="A633" s="150"/>
      <c r="B633" s="150"/>
      <c r="C633" s="150"/>
      <c r="D633" s="150"/>
      <c r="E633" s="140" t="str">
        <f t="shared" si="28"/>
        <v/>
      </c>
      <c r="F633" s="159"/>
      <c r="G633" s="145">
        <f t="shared" si="30"/>
        <v>0</v>
      </c>
      <c r="H633" s="140" t="str">
        <f t="shared" si="29"/>
        <v/>
      </c>
      <c r="I633"/>
      <c r="J633" s="147" t="str">
        <f>IFERROR(SUMIFS(当年实际!$V:$V,当年实际!$F:$F,$C633,当年实际!$C:$C,"&gt;="&amp;DATE(YEAR(主页!$D$2),1,1),当年实际!$C:$C,"&lt;="&amp;EOMONTH(DATE(YEAR(主页!$D$2),MONTH(主页!$D$2),1),0))/SUMIFS(当年实际!$P:$P,当年实际!$F:$F,$C633,当年实际!$C:$C,"&gt;="&amp;DATE(YEAR(主页!$D$2),1,1),当年实际!$C:$C,"&lt;="&amp;EOMONTH(DATE(YEAR(主页!$D$2),MONTH(主页!$D$2),1),0)),"")</f>
        <v/>
      </c>
    </row>
    <row r="634" spans="1:10" x14ac:dyDescent="0.3">
      <c r="A634" s="150"/>
      <c r="B634" s="150"/>
      <c r="C634" s="150"/>
      <c r="D634" s="150"/>
      <c r="E634" s="140" t="str">
        <f t="shared" si="28"/>
        <v/>
      </c>
      <c r="F634" s="159"/>
      <c r="G634" s="145">
        <f t="shared" si="30"/>
        <v>0</v>
      </c>
      <c r="H634" s="140" t="str">
        <f t="shared" si="29"/>
        <v/>
      </c>
      <c r="I634"/>
      <c r="J634" s="147" t="str">
        <f>IFERROR(SUMIFS(当年实际!$V:$V,当年实际!$F:$F,$C634,当年实际!$C:$C,"&gt;="&amp;DATE(YEAR(主页!$D$2),1,1),当年实际!$C:$C,"&lt;="&amp;EOMONTH(DATE(YEAR(主页!$D$2),MONTH(主页!$D$2),1),0))/SUMIFS(当年实际!$P:$P,当年实际!$F:$F,$C634,当年实际!$C:$C,"&gt;="&amp;DATE(YEAR(主页!$D$2),1,1),当年实际!$C:$C,"&lt;="&amp;EOMONTH(DATE(YEAR(主页!$D$2),MONTH(主页!$D$2),1),0)),"")</f>
        <v/>
      </c>
    </row>
    <row r="635" spans="1:10" x14ac:dyDescent="0.3">
      <c r="A635" s="150"/>
      <c r="B635" s="150"/>
      <c r="C635" s="150"/>
      <c r="D635" s="150"/>
      <c r="E635" s="140" t="str">
        <f t="shared" si="28"/>
        <v/>
      </c>
      <c r="F635" s="159"/>
      <c r="G635" s="145">
        <f t="shared" si="30"/>
        <v>0</v>
      </c>
      <c r="H635" s="140" t="str">
        <f t="shared" si="29"/>
        <v/>
      </c>
      <c r="I635"/>
      <c r="J635" s="147" t="str">
        <f>IFERROR(SUMIFS(当年实际!$V:$V,当年实际!$F:$F,$C635,当年实际!$C:$C,"&gt;="&amp;DATE(YEAR(主页!$D$2),1,1),当年实际!$C:$C,"&lt;="&amp;EOMONTH(DATE(YEAR(主页!$D$2),MONTH(主页!$D$2),1),0))/SUMIFS(当年实际!$P:$P,当年实际!$F:$F,$C635,当年实际!$C:$C,"&gt;="&amp;DATE(YEAR(主页!$D$2),1,1),当年实际!$C:$C,"&lt;="&amp;EOMONTH(DATE(YEAR(主页!$D$2),MONTH(主页!$D$2),1),0)),"")</f>
        <v/>
      </c>
    </row>
    <row r="636" spans="1:10" x14ac:dyDescent="0.3">
      <c r="A636" s="150"/>
      <c r="B636" s="150"/>
      <c r="C636" s="150"/>
      <c r="D636" s="150"/>
      <c r="E636" s="140" t="str">
        <f t="shared" si="28"/>
        <v/>
      </c>
      <c r="F636" s="159"/>
      <c r="G636" s="145">
        <f t="shared" si="30"/>
        <v>0</v>
      </c>
      <c r="H636" s="140" t="str">
        <f t="shared" si="29"/>
        <v/>
      </c>
      <c r="I636"/>
      <c r="J636" s="147" t="str">
        <f>IFERROR(SUMIFS(当年实际!$V:$V,当年实际!$F:$F,$C636,当年实际!$C:$C,"&gt;="&amp;DATE(YEAR(主页!$D$2),1,1),当年实际!$C:$C,"&lt;="&amp;EOMONTH(DATE(YEAR(主页!$D$2),MONTH(主页!$D$2),1),0))/SUMIFS(当年实际!$P:$P,当年实际!$F:$F,$C636,当年实际!$C:$C,"&gt;="&amp;DATE(YEAR(主页!$D$2),1,1),当年实际!$C:$C,"&lt;="&amp;EOMONTH(DATE(YEAR(主页!$D$2),MONTH(主页!$D$2),1),0)),"")</f>
        <v/>
      </c>
    </row>
    <row r="637" spans="1:10" x14ac:dyDescent="0.3">
      <c r="A637" s="150"/>
      <c r="B637" s="150"/>
      <c r="C637" s="150"/>
      <c r="D637" s="150"/>
      <c r="E637" s="140" t="str">
        <f t="shared" si="28"/>
        <v/>
      </c>
      <c r="F637" s="159"/>
      <c r="G637" s="145">
        <f t="shared" si="30"/>
        <v>0</v>
      </c>
      <c r="H637" s="140" t="str">
        <f t="shared" si="29"/>
        <v/>
      </c>
      <c r="I637"/>
      <c r="J637" s="147" t="str">
        <f>IFERROR(SUMIFS(当年实际!$V:$V,当年实际!$F:$F,$C637,当年实际!$C:$C,"&gt;="&amp;DATE(YEAR(主页!$D$2),1,1),当年实际!$C:$C,"&lt;="&amp;EOMONTH(DATE(YEAR(主页!$D$2),MONTH(主页!$D$2),1),0))/SUMIFS(当年实际!$P:$P,当年实际!$F:$F,$C637,当年实际!$C:$C,"&gt;="&amp;DATE(YEAR(主页!$D$2),1,1),当年实际!$C:$C,"&lt;="&amp;EOMONTH(DATE(YEAR(主页!$D$2),MONTH(主页!$D$2),1),0)),"")</f>
        <v/>
      </c>
    </row>
    <row r="638" spans="1:10" x14ac:dyDescent="0.3">
      <c r="A638" s="150"/>
      <c r="B638" s="150"/>
      <c r="C638" s="150"/>
      <c r="D638" s="150"/>
      <c r="E638" s="140" t="str">
        <f t="shared" si="28"/>
        <v/>
      </c>
      <c r="F638" s="159"/>
      <c r="G638" s="145">
        <f t="shared" si="30"/>
        <v>0</v>
      </c>
      <c r="H638" s="140" t="str">
        <f t="shared" si="29"/>
        <v/>
      </c>
      <c r="I638"/>
      <c r="J638" s="147" t="str">
        <f>IFERROR(SUMIFS(当年实际!$V:$V,当年实际!$F:$F,$C638,当年实际!$C:$C,"&gt;="&amp;DATE(YEAR(主页!$D$2),1,1),当年实际!$C:$C,"&lt;="&amp;EOMONTH(DATE(YEAR(主页!$D$2),MONTH(主页!$D$2),1),0))/SUMIFS(当年实际!$P:$P,当年实际!$F:$F,$C638,当年实际!$C:$C,"&gt;="&amp;DATE(YEAR(主页!$D$2),1,1),当年实际!$C:$C,"&lt;="&amp;EOMONTH(DATE(YEAR(主页!$D$2),MONTH(主页!$D$2),1),0)),"")</f>
        <v/>
      </c>
    </row>
    <row r="639" spans="1:10" x14ac:dyDescent="0.3">
      <c r="A639" s="150"/>
      <c r="B639" s="150"/>
      <c r="C639" s="150"/>
      <c r="D639" s="150"/>
      <c r="E639" s="140" t="str">
        <f t="shared" si="28"/>
        <v/>
      </c>
      <c r="F639" s="159"/>
      <c r="G639" s="145">
        <f t="shared" si="30"/>
        <v>0</v>
      </c>
      <c r="H639" s="140" t="str">
        <f t="shared" si="29"/>
        <v/>
      </c>
      <c r="I639"/>
      <c r="J639" s="147" t="str">
        <f>IFERROR(SUMIFS(当年实际!$V:$V,当年实际!$F:$F,$C639,当年实际!$C:$C,"&gt;="&amp;DATE(YEAR(主页!$D$2),1,1),当年实际!$C:$C,"&lt;="&amp;EOMONTH(DATE(YEAR(主页!$D$2),MONTH(主页!$D$2),1),0))/SUMIFS(当年实际!$P:$P,当年实际!$F:$F,$C639,当年实际!$C:$C,"&gt;="&amp;DATE(YEAR(主页!$D$2),1,1),当年实际!$C:$C,"&lt;="&amp;EOMONTH(DATE(YEAR(主页!$D$2),MONTH(主页!$D$2),1),0)),"")</f>
        <v/>
      </c>
    </row>
    <row r="640" spans="1:10" x14ac:dyDescent="0.3">
      <c r="A640" s="150"/>
      <c r="B640" s="150"/>
      <c r="C640" s="150"/>
      <c r="D640" s="150"/>
      <c r="E640" s="140" t="str">
        <f t="shared" si="28"/>
        <v/>
      </c>
      <c r="F640" s="159"/>
      <c r="G640" s="145">
        <f t="shared" si="30"/>
        <v>0</v>
      </c>
      <c r="H640" s="140" t="str">
        <f t="shared" si="29"/>
        <v/>
      </c>
      <c r="I640"/>
      <c r="J640" s="147" t="str">
        <f>IFERROR(SUMIFS(当年实际!$V:$V,当年实际!$F:$F,$C640,当年实际!$C:$C,"&gt;="&amp;DATE(YEAR(主页!$D$2),1,1),当年实际!$C:$C,"&lt;="&amp;EOMONTH(DATE(YEAR(主页!$D$2),MONTH(主页!$D$2),1),0))/SUMIFS(当年实际!$P:$P,当年实际!$F:$F,$C640,当年实际!$C:$C,"&gt;="&amp;DATE(YEAR(主页!$D$2),1,1),当年实际!$C:$C,"&lt;="&amp;EOMONTH(DATE(YEAR(主页!$D$2),MONTH(主页!$D$2),1),0)),"")</f>
        <v/>
      </c>
    </row>
    <row r="641" spans="1:10" x14ac:dyDescent="0.3">
      <c r="A641" s="150"/>
      <c r="B641" s="150"/>
      <c r="C641" s="150"/>
      <c r="D641" s="150"/>
      <c r="E641" s="140" t="str">
        <f t="shared" si="28"/>
        <v/>
      </c>
      <c r="F641" s="159"/>
      <c r="G641" s="145">
        <f t="shared" si="30"/>
        <v>0</v>
      </c>
      <c r="H641" s="140" t="str">
        <f t="shared" si="29"/>
        <v/>
      </c>
      <c r="I641"/>
      <c r="J641" s="147" t="str">
        <f>IFERROR(SUMIFS(当年实际!$V:$V,当年实际!$F:$F,$C641,当年实际!$C:$C,"&gt;="&amp;DATE(YEAR(主页!$D$2),1,1),当年实际!$C:$C,"&lt;="&amp;EOMONTH(DATE(YEAR(主页!$D$2),MONTH(主页!$D$2),1),0))/SUMIFS(当年实际!$P:$P,当年实际!$F:$F,$C641,当年实际!$C:$C,"&gt;="&amp;DATE(YEAR(主页!$D$2),1,1),当年实际!$C:$C,"&lt;="&amp;EOMONTH(DATE(YEAR(主页!$D$2),MONTH(主页!$D$2),1),0)),"")</f>
        <v/>
      </c>
    </row>
    <row r="642" spans="1:10" x14ac:dyDescent="0.3">
      <c r="A642" s="150"/>
      <c r="B642" s="150"/>
      <c r="C642" s="150"/>
      <c r="D642" s="150"/>
      <c r="E642" s="140" t="str">
        <f t="shared" si="28"/>
        <v/>
      </c>
      <c r="F642" s="159"/>
      <c r="G642" s="145">
        <f t="shared" si="30"/>
        <v>0</v>
      </c>
      <c r="H642" s="140" t="str">
        <f t="shared" si="29"/>
        <v/>
      </c>
      <c r="I642"/>
      <c r="J642" s="147" t="str">
        <f>IFERROR(SUMIFS(当年实际!$V:$V,当年实际!$F:$F,$C642,当年实际!$C:$C,"&gt;="&amp;DATE(YEAR(主页!$D$2),1,1),当年实际!$C:$C,"&lt;="&amp;EOMONTH(DATE(YEAR(主页!$D$2),MONTH(主页!$D$2),1),0))/SUMIFS(当年实际!$P:$P,当年实际!$F:$F,$C642,当年实际!$C:$C,"&gt;="&amp;DATE(YEAR(主页!$D$2),1,1),当年实际!$C:$C,"&lt;="&amp;EOMONTH(DATE(YEAR(主页!$D$2),MONTH(主页!$D$2),1),0)),"")</f>
        <v/>
      </c>
    </row>
    <row r="643" spans="1:10" x14ac:dyDescent="0.3">
      <c r="A643" s="150"/>
      <c r="B643" s="150"/>
      <c r="C643" s="150"/>
      <c r="D643" s="150"/>
      <c r="E643" s="140" t="str">
        <f t="shared" si="28"/>
        <v/>
      </c>
      <c r="F643" s="159"/>
      <c r="G643" s="145">
        <f t="shared" si="30"/>
        <v>0</v>
      </c>
      <c r="H643" s="140" t="str">
        <f t="shared" si="29"/>
        <v/>
      </c>
      <c r="I643"/>
      <c r="J643" s="147" t="str">
        <f>IFERROR(SUMIFS(当年实际!$V:$V,当年实际!$F:$F,$C643,当年实际!$C:$C,"&gt;="&amp;DATE(YEAR(主页!$D$2),1,1),当年实际!$C:$C,"&lt;="&amp;EOMONTH(DATE(YEAR(主页!$D$2),MONTH(主页!$D$2),1),0))/SUMIFS(当年实际!$P:$P,当年实际!$F:$F,$C643,当年实际!$C:$C,"&gt;="&amp;DATE(YEAR(主页!$D$2),1,1),当年实际!$C:$C,"&lt;="&amp;EOMONTH(DATE(YEAR(主页!$D$2),MONTH(主页!$D$2),1),0)),"")</f>
        <v/>
      </c>
    </row>
    <row r="644" spans="1:10" x14ac:dyDescent="0.3">
      <c r="A644" s="150"/>
      <c r="B644" s="150"/>
      <c r="C644" s="150"/>
      <c r="D644" s="150"/>
      <c r="E644" s="140" t="str">
        <f t="shared" ref="E644:E707" si="31">IF(D644/SUM(D:D)=0,"",D644/SUM(D:D))</f>
        <v/>
      </c>
      <c r="F644" s="159"/>
      <c r="G644" s="145">
        <f t="shared" si="30"/>
        <v>0</v>
      </c>
      <c r="H644" s="140" t="str">
        <f t="shared" ref="H644:H707" si="32">IF(G644/SUM(G:G)=0,"",G644/SUM(G:G))</f>
        <v/>
      </c>
      <c r="I644"/>
      <c r="J644" s="147" t="str">
        <f>IFERROR(SUMIFS(当年实际!$V:$V,当年实际!$F:$F,$C644,当年实际!$C:$C,"&gt;="&amp;DATE(YEAR(主页!$D$2),1,1),当年实际!$C:$C,"&lt;="&amp;EOMONTH(DATE(YEAR(主页!$D$2),MONTH(主页!$D$2),1),0))/SUMIFS(当年实际!$P:$P,当年实际!$F:$F,$C644,当年实际!$C:$C,"&gt;="&amp;DATE(YEAR(主页!$D$2),1,1),当年实际!$C:$C,"&lt;="&amp;EOMONTH(DATE(YEAR(主页!$D$2),MONTH(主页!$D$2),1),0)),"")</f>
        <v/>
      </c>
    </row>
    <row r="645" spans="1:10" x14ac:dyDescent="0.3">
      <c r="A645" s="150"/>
      <c r="B645" s="150"/>
      <c r="C645" s="150"/>
      <c r="D645" s="150"/>
      <c r="E645" s="140" t="str">
        <f t="shared" si="31"/>
        <v/>
      </c>
      <c r="F645" s="159"/>
      <c r="G645" s="145">
        <f t="shared" si="30"/>
        <v>0</v>
      </c>
      <c r="H645" s="140" t="str">
        <f t="shared" si="32"/>
        <v/>
      </c>
      <c r="I645"/>
      <c r="J645" s="147" t="str">
        <f>IFERROR(SUMIFS(当年实际!$V:$V,当年实际!$F:$F,$C645,当年实际!$C:$C,"&gt;="&amp;DATE(YEAR(主页!$D$2),1,1),当年实际!$C:$C,"&lt;="&amp;EOMONTH(DATE(YEAR(主页!$D$2),MONTH(主页!$D$2),1),0))/SUMIFS(当年实际!$P:$P,当年实际!$F:$F,$C645,当年实际!$C:$C,"&gt;="&amp;DATE(YEAR(主页!$D$2),1,1),当年实际!$C:$C,"&lt;="&amp;EOMONTH(DATE(YEAR(主页!$D$2),MONTH(主页!$D$2),1),0)),"")</f>
        <v/>
      </c>
    </row>
    <row r="646" spans="1:10" x14ac:dyDescent="0.3">
      <c r="A646" s="150"/>
      <c r="B646" s="150"/>
      <c r="C646" s="150"/>
      <c r="D646" s="150"/>
      <c r="E646" s="140" t="str">
        <f t="shared" si="31"/>
        <v/>
      </c>
      <c r="F646" s="159"/>
      <c r="G646" s="145">
        <f t="shared" si="30"/>
        <v>0</v>
      </c>
      <c r="H646" s="140" t="str">
        <f t="shared" si="32"/>
        <v/>
      </c>
      <c r="I646"/>
      <c r="J646" s="147" t="str">
        <f>IFERROR(SUMIFS(当年实际!$V:$V,当年实际!$F:$F,$C646,当年实际!$C:$C,"&gt;="&amp;DATE(YEAR(主页!$D$2),1,1),当年实际!$C:$C,"&lt;="&amp;EOMONTH(DATE(YEAR(主页!$D$2),MONTH(主页!$D$2),1),0))/SUMIFS(当年实际!$P:$P,当年实际!$F:$F,$C646,当年实际!$C:$C,"&gt;="&amp;DATE(YEAR(主页!$D$2),1,1),当年实际!$C:$C,"&lt;="&amp;EOMONTH(DATE(YEAR(主页!$D$2),MONTH(主页!$D$2),1),0)),"")</f>
        <v/>
      </c>
    </row>
    <row r="647" spans="1:10" x14ac:dyDescent="0.3">
      <c r="A647" s="150"/>
      <c r="B647" s="150"/>
      <c r="C647" s="150"/>
      <c r="D647" s="150"/>
      <c r="E647" s="140" t="str">
        <f t="shared" si="31"/>
        <v/>
      </c>
      <c r="F647" s="159"/>
      <c r="G647" s="145">
        <f t="shared" ref="G647:G710" si="33">D647*F647</f>
        <v>0</v>
      </c>
      <c r="H647" s="140" t="str">
        <f t="shared" si="32"/>
        <v/>
      </c>
      <c r="I647"/>
      <c r="J647" s="147" t="str">
        <f>IFERROR(SUMIFS(当年实际!$V:$V,当年实际!$F:$F,$C647,当年实际!$C:$C,"&gt;="&amp;DATE(YEAR(主页!$D$2),1,1),当年实际!$C:$C,"&lt;="&amp;EOMONTH(DATE(YEAR(主页!$D$2),MONTH(主页!$D$2),1),0))/SUMIFS(当年实际!$P:$P,当年实际!$F:$F,$C647,当年实际!$C:$C,"&gt;="&amp;DATE(YEAR(主页!$D$2),1,1),当年实际!$C:$C,"&lt;="&amp;EOMONTH(DATE(YEAR(主页!$D$2),MONTH(主页!$D$2),1),0)),"")</f>
        <v/>
      </c>
    </row>
    <row r="648" spans="1:10" x14ac:dyDescent="0.3">
      <c r="A648" s="150"/>
      <c r="B648" s="150"/>
      <c r="C648" s="150"/>
      <c r="D648" s="150"/>
      <c r="E648" s="140" t="str">
        <f t="shared" si="31"/>
        <v/>
      </c>
      <c r="F648" s="159"/>
      <c r="G648" s="145">
        <f t="shared" si="33"/>
        <v>0</v>
      </c>
      <c r="H648" s="140" t="str">
        <f t="shared" si="32"/>
        <v/>
      </c>
      <c r="I648"/>
      <c r="J648" s="147" t="str">
        <f>IFERROR(SUMIFS(当年实际!$V:$V,当年实际!$F:$F,$C648,当年实际!$C:$C,"&gt;="&amp;DATE(YEAR(主页!$D$2),1,1),当年实际!$C:$C,"&lt;="&amp;EOMONTH(DATE(YEAR(主页!$D$2),MONTH(主页!$D$2),1),0))/SUMIFS(当年实际!$P:$P,当年实际!$F:$F,$C648,当年实际!$C:$C,"&gt;="&amp;DATE(YEAR(主页!$D$2),1,1),当年实际!$C:$C,"&lt;="&amp;EOMONTH(DATE(YEAR(主页!$D$2),MONTH(主页!$D$2),1),0)),"")</f>
        <v/>
      </c>
    </row>
    <row r="649" spans="1:10" x14ac:dyDescent="0.3">
      <c r="A649" s="150"/>
      <c r="B649" s="150"/>
      <c r="C649" s="150"/>
      <c r="D649" s="150"/>
      <c r="E649" s="140" t="str">
        <f t="shared" si="31"/>
        <v/>
      </c>
      <c r="F649" s="159"/>
      <c r="G649" s="145">
        <f t="shared" si="33"/>
        <v>0</v>
      </c>
      <c r="H649" s="140" t="str">
        <f t="shared" si="32"/>
        <v/>
      </c>
      <c r="I649"/>
      <c r="J649" s="147" t="str">
        <f>IFERROR(SUMIFS(当年实际!$V:$V,当年实际!$F:$F,$C649,当年实际!$C:$C,"&gt;="&amp;DATE(YEAR(主页!$D$2),1,1),当年实际!$C:$C,"&lt;="&amp;EOMONTH(DATE(YEAR(主页!$D$2),MONTH(主页!$D$2),1),0))/SUMIFS(当年实际!$P:$P,当年实际!$F:$F,$C649,当年实际!$C:$C,"&gt;="&amp;DATE(YEAR(主页!$D$2),1,1),当年实际!$C:$C,"&lt;="&amp;EOMONTH(DATE(YEAR(主页!$D$2),MONTH(主页!$D$2),1),0)),"")</f>
        <v/>
      </c>
    </row>
    <row r="650" spans="1:10" x14ac:dyDescent="0.3">
      <c r="A650" s="150"/>
      <c r="B650" s="150"/>
      <c r="C650" s="150"/>
      <c r="D650" s="150"/>
      <c r="E650" s="140" t="str">
        <f t="shared" si="31"/>
        <v/>
      </c>
      <c r="F650" s="159"/>
      <c r="G650" s="145">
        <f t="shared" si="33"/>
        <v>0</v>
      </c>
      <c r="H650" s="140" t="str">
        <f t="shared" si="32"/>
        <v/>
      </c>
      <c r="I650"/>
      <c r="J650" s="147" t="str">
        <f>IFERROR(SUMIFS(当年实际!$V:$V,当年实际!$F:$F,$C650,当年实际!$C:$C,"&gt;="&amp;DATE(YEAR(主页!$D$2),1,1),当年实际!$C:$C,"&lt;="&amp;EOMONTH(DATE(YEAR(主页!$D$2),MONTH(主页!$D$2),1),0))/SUMIFS(当年实际!$P:$P,当年实际!$F:$F,$C650,当年实际!$C:$C,"&gt;="&amp;DATE(YEAR(主页!$D$2),1,1),当年实际!$C:$C,"&lt;="&amp;EOMONTH(DATE(YEAR(主页!$D$2),MONTH(主页!$D$2),1),0)),"")</f>
        <v/>
      </c>
    </row>
    <row r="651" spans="1:10" x14ac:dyDescent="0.3">
      <c r="A651" s="150"/>
      <c r="B651" s="150"/>
      <c r="C651" s="150"/>
      <c r="D651" s="150"/>
      <c r="E651" s="140" t="str">
        <f t="shared" si="31"/>
        <v/>
      </c>
      <c r="F651" s="159"/>
      <c r="G651" s="145">
        <f t="shared" si="33"/>
        <v>0</v>
      </c>
      <c r="H651" s="140" t="str">
        <f t="shared" si="32"/>
        <v/>
      </c>
      <c r="I651"/>
      <c r="J651" s="147" t="str">
        <f>IFERROR(SUMIFS(当年实际!$V:$V,当年实际!$F:$F,$C651,当年实际!$C:$C,"&gt;="&amp;DATE(YEAR(主页!$D$2),1,1),当年实际!$C:$C,"&lt;="&amp;EOMONTH(DATE(YEAR(主页!$D$2),MONTH(主页!$D$2),1),0))/SUMIFS(当年实际!$P:$P,当年实际!$F:$F,$C651,当年实际!$C:$C,"&gt;="&amp;DATE(YEAR(主页!$D$2),1,1),当年实际!$C:$C,"&lt;="&amp;EOMONTH(DATE(YEAR(主页!$D$2),MONTH(主页!$D$2),1),0)),"")</f>
        <v/>
      </c>
    </row>
    <row r="652" spans="1:10" x14ac:dyDescent="0.3">
      <c r="A652" s="150"/>
      <c r="B652" s="150"/>
      <c r="C652" s="150"/>
      <c r="D652" s="150"/>
      <c r="E652" s="140" t="str">
        <f t="shared" si="31"/>
        <v/>
      </c>
      <c r="F652" s="159"/>
      <c r="G652" s="145">
        <f t="shared" si="33"/>
        <v>0</v>
      </c>
      <c r="H652" s="140" t="str">
        <f t="shared" si="32"/>
        <v/>
      </c>
      <c r="I652"/>
      <c r="J652" s="147" t="str">
        <f>IFERROR(SUMIFS(当年实际!$V:$V,当年实际!$F:$F,$C652,当年实际!$C:$C,"&gt;="&amp;DATE(YEAR(主页!$D$2),1,1),当年实际!$C:$C,"&lt;="&amp;EOMONTH(DATE(YEAR(主页!$D$2),MONTH(主页!$D$2),1),0))/SUMIFS(当年实际!$P:$P,当年实际!$F:$F,$C652,当年实际!$C:$C,"&gt;="&amp;DATE(YEAR(主页!$D$2),1,1),当年实际!$C:$C,"&lt;="&amp;EOMONTH(DATE(YEAR(主页!$D$2),MONTH(主页!$D$2),1),0)),"")</f>
        <v/>
      </c>
    </row>
    <row r="653" spans="1:10" x14ac:dyDescent="0.3">
      <c r="A653" s="150"/>
      <c r="B653" s="150"/>
      <c r="C653" s="150"/>
      <c r="D653" s="150"/>
      <c r="E653" s="140" t="str">
        <f t="shared" si="31"/>
        <v/>
      </c>
      <c r="F653" s="159"/>
      <c r="G653" s="145">
        <f t="shared" si="33"/>
        <v>0</v>
      </c>
      <c r="H653" s="140" t="str">
        <f t="shared" si="32"/>
        <v/>
      </c>
      <c r="I653"/>
      <c r="J653" s="147" t="str">
        <f>IFERROR(SUMIFS(当年实际!$V:$V,当年实际!$F:$F,$C653,当年实际!$C:$C,"&gt;="&amp;DATE(YEAR(主页!$D$2),1,1),当年实际!$C:$C,"&lt;="&amp;EOMONTH(DATE(YEAR(主页!$D$2),MONTH(主页!$D$2),1),0))/SUMIFS(当年实际!$P:$P,当年实际!$F:$F,$C653,当年实际!$C:$C,"&gt;="&amp;DATE(YEAR(主页!$D$2),1,1),当年实际!$C:$C,"&lt;="&amp;EOMONTH(DATE(YEAR(主页!$D$2),MONTH(主页!$D$2),1),0)),"")</f>
        <v/>
      </c>
    </row>
    <row r="654" spans="1:10" x14ac:dyDescent="0.3">
      <c r="A654" s="150"/>
      <c r="B654" s="150"/>
      <c r="C654" s="150"/>
      <c r="D654" s="150"/>
      <c r="E654" s="140" t="str">
        <f t="shared" si="31"/>
        <v/>
      </c>
      <c r="F654" s="159"/>
      <c r="G654" s="145">
        <f t="shared" si="33"/>
        <v>0</v>
      </c>
      <c r="H654" s="140" t="str">
        <f t="shared" si="32"/>
        <v/>
      </c>
      <c r="I654"/>
      <c r="J654" s="147" t="str">
        <f>IFERROR(SUMIFS(当年实际!$V:$V,当年实际!$F:$F,$C654,当年实际!$C:$C,"&gt;="&amp;DATE(YEAR(主页!$D$2),1,1),当年实际!$C:$C,"&lt;="&amp;EOMONTH(DATE(YEAR(主页!$D$2),MONTH(主页!$D$2),1),0))/SUMIFS(当年实际!$P:$P,当年实际!$F:$F,$C654,当年实际!$C:$C,"&gt;="&amp;DATE(YEAR(主页!$D$2),1,1),当年实际!$C:$C,"&lt;="&amp;EOMONTH(DATE(YEAR(主页!$D$2),MONTH(主页!$D$2),1),0)),"")</f>
        <v/>
      </c>
    </row>
    <row r="655" spans="1:10" x14ac:dyDescent="0.3">
      <c r="A655" s="150"/>
      <c r="B655" s="150"/>
      <c r="C655" s="150"/>
      <c r="D655" s="150"/>
      <c r="E655" s="140" t="str">
        <f t="shared" si="31"/>
        <v/>
      </c>
      <c r="F655" s="159"/>
      <c r="G655" s="145">
        <f t="shared" si="33"/>
        <v>0</v>
      </c>
      <c r="H655" s="140" t="str">
        <f t="shared" si="32"/>
        <v/>
      </c>
      <c r="I655"/>
      <c r="J655" s="147" t="str">
        <f>IFERROR(SUMIFS(当年实际!$V:$V,当年实际!$F:$F,$C655,当年实际!$C:$C,"&gt;="&amp;DATE(YEAR(主页!$D$2),1,1),当年实际!$C:$C,"&lt;="&amp;EOMONTH(DATE(YEAR(主页!$D$2),MONTH(主页!$D$2),1),0))/SUMIFS(当年实际!$P:$P,当年实际!$F:$F,$C655,当年实际!$C:$C,"&gt;="&amp;DATE(YEAR(主页!$D$2),1,1),当年实际!$C:$C,"&lt;="&amp;EOMONTH(DATE(YEAR(主页!$D$2),MONTH(主页!$D$2),1),0)),"")</f>
        <v/>
      </c>
    </row>
    <row r="656" spans="1:10" x14ac:dyDescent="0.3">
      <c r="A656" s="150"/>
      <c r="B656" s="150"/>
      <c r="C656" s="150"/>
      <c r="D656" s="150"/>
      <c r="E656" s="140" t="str">
        <f t="shared" si="31"/>
        <v/>
      </c>
      <c r="F656" s="159"/>
      <c r="G656" s="145">
        <f t="shared" si="33"/>
        <v>0</v>
      </c>
      <c r="H656" s="140" t="str">
        <f t="shared" si="32"/>
        <v/>
      </c>
      <c r="I656"/>
      <c r="J656" s="147" t="str">
        <f>IFERROR(SUMIFS(当年实际!$V:$V,当年实际!$F:$F,$C656,当年实际!$C:$C,"&gt;="&amp;DATE(YEAR(主页!$D$2),1,1),当年实际!$C:$C,"&lt;="&amp;EOMONTH(DATE(YEAR(主页!$D$2),MONTH(主页!$D$2),1),0))/SUMIFS(当年实际!$P:$P,当年实际!$F:$F,$C656,当年实际!$C:$C,"&gt;="&amp;DATE(YEAR(主页!$D$2),1,1),当年实际!$C:$C,"&lt;="&amp;EOMONTH(DATE(YEAR(主页!$D$2),MONTH(主页!$D$2),1),0)),"")</f>
        <v/>
      </c>
    </row>
    <row r="657" spans="1:10" x14ac:dyDescent="0.3">
      <c r="A657" s="150"/>
      <c r="B657" s="150"/>
      <c r="C657" s="150"/>
      <c r="D657" s="150"/>
      <c r="E657" s="140" t="str">
        <f t="shared" si="31"/>
        <v/>
      </c>
      <c r="F657" s="159"/>
      <c r="G657" s="145">
        <f t="shared" si="33"/>
        <v>0</v>
      </c>
      <c r="H657" s="140" t="str">
        <f t="shared" si="32"/>
        <v/>
      </c>
      <c r="I657"/>
      <c r="J657" s="147" t="str">
        <f>IFERROR(SUMIFS(当年实际!$V:$V,当年实际!$F:$F,$C657,当年实际!$C:$C,"&gt;="&amp;DATE(YEAR(主页!$D$2),1,1),当年实际!$C:$C,"&lt;="&amp;EOMONTH(DATE(YEAR(主页!$D$2),MONTH(主页!$D$2),1),0))/SUMIFS(当年实际!$P:$P,当年实际!$F:$F,$C657,当年实际!$C:$C,"&gt;="&amp;DATE(YEAR(主页!$D$2),1,1),当年实际!$C:$C,"&lt;="&amp;EOMONTH(DATE(YEAR(主页!$D$2),MONTH(主页!$D$2),1),0)),"")</f>
        <v/>
      </c>
    </row>
    <row r="658" spans="1:10" x14ac:dyDescent="0.3">
      <c r="A658" s="150"/>
      <c r="B658" s="150"/>
      <c r="C658" s="150"/>
      <c r="D658" s="150"/>
      <c r="E658" s="140" t="str">
        <f t="shared" si="31"/>
        <v/>
      </c>
      <c r="F658" s="159"/>
      <c r="G658" s="145">
        <f t="shared" si="33"/>
        <v>0</v>
      </c>
      <c r="H658" s="140" t="str">
        <f t="shared" si="32"/>
        <v/>
      </c>
      <c r="I658"/>
      <c r="J658" s="147" t="str">
        <f>IFERROR(SUMIFS(当年实际!$V:$V,当年实际!$F:$F,$C658,当年实际!$C:$C,"&gt;="&amp;DATE(YEAR(主页!$D$2),1,1),当年实际!$C:$C,"&lt;="&amp;EOMONTH(DATE(YEAR(主页!$D$2),MONTH(主页!$D$2),1),0))/SUMIFS(当年实际!$P:$P,当年实际!$F:$F,$C658,当年实际!$C:$C,"&gt;="&amp;DATE(YEAR(主页!$D$2),1,1),当年实际!$C:$C,"&lt;="&amp;EOMONTH(DATE(YEAR(主页!$D$2),MONTH(主页!$D$2),1),0)),"")</f>
        <v/>
      </c>
    </row>
    <row r="659" spans="1:10" x14ac:dyDescent="0.3">
      <c r="A659" s="150"/>
      <c r="B659" s="150"/>
      <c r="C659" s="150"/>
      <c r="D659" s="150"/>
      <c r="E659" s="140" t="str">
        <f t="shared" si="31"/>
        <v/>
      </c>
      <c r="F659" s="159"/>
      <c r="G659" s="145">
        <f t="shared" si="33"/>
        <v>0</v>
      </c>
      <c r="H659" s="140" t="str">
        <f t="shared" si="32"/>
        <v/>
      </c>
      <c r="I659"/>
      <c r="J659" s="147" t="str">
        <f>IFERROR(SUMIFS(当年实际!$V:$V,当年实际!$F:$F,$C659,当年实际!$C:$C,"&gt;="&amp;DATE(YEAR(主页!$D$2),1,1),当年实际!$C:$C,"&lt;="&amp;EOMONTH(DATE(YEAR(主页!$D$2),MONTH(主页!$D$2),1),0))/SUMIFS(当年实际!$P:$P,当年实际!$F:$F,$C659,当年实际!$C:$C,"&gt;="&amp;DATE(YEAR(主页!$D$2),1,1),当年实际!$C:$C,"&lt;="&amp;EOMONTH(DATE(YEAR(主页!$D$2),MONTH(主页!$D$2),1),0)),"")</f>
        <v/>
      </c>
    </row>
    <row r="660" spans="1:10" x14ac:dyDescent="0.3">
      <c r="A660" s="150"/>
      <c r="B660" s="150"/>
      <c r="C660" s="150"/>
      <c r="D660" s="150"/>
      <c r="E660" s="140" t="str">
        <f t="shared" si="31"/>
        <v/>
      </c>
      <c r="F660" s="159"/>
      <c r="G660" s="145">
        <f t="shared" si="33"/>
        <v>0</v>
      </c>
      <c r="H660" s="140" t="str">
        <f t="shared" si="32"/>
        <v/>
      </c>
      <c r="I660"/>
      <c r="J660" s="147" t="str">
        <f>IFERROR(SUMIFS(当年实际!$V:$V,当年实际!$F:$F,$C660,当年实际!$C:$C,"&gt;="&amp;DATE(YEAR(主页!$D$2),1,1),当年实际!$C:$C,"&lt;="&amp;EOMONTH(DATE(YEAR(主页!$D$2),MONTH(主页!$D$2),1),0))/SUMIFS(当年实际!$P:$P,当年实际!$F:$F,$C660,当年实际!$C:$C,"&gt;="&amp;DATE(YEAR(主页!$D$2),1,1),当年实际!$C:$C,"&lt;="&amp;EOMONTH(DATE(YEAR(主页!$D$2),MONTH(主页!$D$2),1),0)),"")</f>
        <v/>
      </c>
    </row>
    <row r="661" spans="1:10" x14ac:dyDescent="0.3">
      <c r="A661" s="150"/>
      <c r="B661" s="150"/>
      <c r="C661" s="150"/>
      <c r="D661" s="150"/>
      <c r="E661" s="140" t="str">
        <f t="shared" si="31"/>
        <v/>
      </c>
      <c r="F661" s="159"/>
      <c r="G661" s="145">
        <f t="shared" si="33"/>
        <v>0</v>
      </c>
      <c r="H661" s="140" t="str">
        <f t="shared" si="32"/>
        <v/>
      </c>
      <c r="I661"/>
      <c r="J661" s="147" t="str">
        <f>IFERROR(SUMIFS(当年实际!$V:$V,当年实际!$F:$F,$C661,当年实际!$C:$C,"&gt;="&amp;DATE(YEAR(主页!$D$2),1,1),当年实际!$C:$C,"&lt;="&amp;EOMONTH(DATE(YEAR(主页!$D$2),MONTH(主页!$D$2),1),0))/SUMIFS(当年实际!$P:$P,当年实际!$F:$F,$C661,当年实际!$C:$C,"&gt;="&amp;DATE(YEAR(主页!$D$2),1,1),当年实际!$C:$C,"&lt;="&amp;EOMONTH(DATE(YEAR(主页!$D$2),MONTH(主页!$D$2),1),0)),"")</f>
        <v/>
      </c>
    </row>
    <row r="662" spans="1:10" x14ac:dyDescent="0.3">
      <c r="A662" s="150"/>
      <c r="B662" s="150"/>
      <c r="C662" s="150"/>
      <c r="D662" s="150"/>
      <c r="E662" s="140" t="str">
        <f t="shared" si="31"/>
        <v/>
      </c>
      <c r="F662" s="159"/>
      <c r="G662" s="145">
        <f t="shared" si="33"/>
        <v>0</v>
      </c>
      <c r="H662" s="140" t="str">
        <f t="shared" si="32"/>
        <v/>
      </c>
      <c r="I662"/>
      <c r="J662" s="147" t="str">
        <f>IFERROR(SUMIFS(当年实际!$V:$V,当年实际!$F:$F,$C662,当年实际!$C:$C,"&gt;="&amp;DATE(YEAR(主页!$D$2),1,1),当年实际!$C:$C,"&lt;="&amp;EOMONTH(DATE(YEAR(主页!$D$2),MONTH(主页!$D$2),1),0))/SUMIFS(当年实际!$P:$P,当年实际!$F:$F,$C662,当年实际!$C:$C,"&gt;="&amp;DATE(YEAR(主页!$D$2),1,1),当年实际!$C:$C,"&lt;="&amp;EOMONTH(DATE(YEAR(主页!$D$2),MONTH(主页!$D$2),1),0)),"")</f>
        <v/>
      </c>
    </row>
    <row r="663" spans="1:10" x14ac:dyDescent="0.3">
      <c r="A663" s="150"/>
      <c r="B663" s="150"/>
      <c r="C663" s="150"/>
      <c r="D663" s="150"/>
      <c r="E663" s="140" t="str">
        <f t="shared" si="31"/>
        <v/>
      </c>
      <c r="F663" s="159"/>
      <c r="G663" s="145">
        <f t="shared" si="33"/>
        <v>0</v>
      </c>
      <c r="H663" s="140" t="str">
        <f t="shared" si="32"/>
        <v/>
      </c>
      <c r="I663"/>
      <c r="J663" s="147" t="str">
        <f>IFERROR(SUMIFS(当年实际!$V:$V,当年实际!$F:$F,$C663,当年实际!$C:$C,"&gt;="&amp;DATE(YEAR(主页!$D$2),1,1),当年实际!$C:$C,"&lt;="&amp;EOMONTH(DATE(YEAR(主页!$D$2),MONTH(主页!$D$2),1),0))/SUMIFS(当年实际!$P:$P,当年实际!$F:$F,$C663,当年实际!$C:$C,"&gt;="&amp;DATE(YEAR(主页!$D$2),1,1),当年实际!$C:$C,"&lt;="&amp;EOMONTH(DATE(YEAR(主页!$D$2),MONTH(主页!$D$2),1),0)),"")</f>
        <v/>
      </c>
    </row>
    <row r="664" spans="1:10" x14ac:dyDescent="0.3">
      <c r="A664" s="150"/>
      <c r="B664" s="150"/>
      <c r="C664" s="150"/>
      <c r="D664" s="150"/>
      <c r="E664" s="140" t="str">
        <f t="shared" si="31"/>
        <v/>
      </c>
      <c r="F664" s="159"/>
      <c r="G664" s="145">
        <f t="shared" si="33"/>
        <v>0</v>
      </c>
      <c r="H664" s="140" t="str">
        <f t="shared" si="32"/>
        <v/>
      </c>
      <c r="I664"/>
      <c r="J664" s="147" t="str">
        <f>IFERROR(SUMIFS(当年实际!$V:$V,当年实际!$F:$F,$C664,当年实际!$C:$C,"&gt;="&amp;DATE(YEAR(主页!$D$2),1,1),当年实际!$C:$C,"&lt;="&amp;EOMONTH(DATE(YEAR(主页!$D$2),MONTH(主页!$D$2),1),0))/SUMIFS(当年实际!$P:$P,当年实际!$F:$F,$C664,当年实际!$C:$C,"&gt;="&amp;DATE(YEAR(主页!$D$2),1,1),当年实际!$C:$C,"&lt;="&amp;EOMONTH(DATE(YEAR(主页!$D$2),MONTH(主页!$D$2),1),0)),"")</f>
        <v/>
      </c>
    </row>
    <row r="665" spans="1:10" x14ac:dyDescent="0.3">
      <c r="A665" s="150"/>
      <c r="B665" s="150"/>
      <c r="C665" s="150"/>
      <c r="D665" s="150"/>
      <c r="E665" s="140" t="str">
        <f t="shared" si="31"/>
        <v/>
      </c>
      <c r="F665" s="159"/>
      <c r="G665" s="145">
        <f t="shared" si="33"/>
        <v>0</v>
      </c>
      <c r="H665" s="140" t="str">
        <f t="shared" si="32"/>
        <v/>
      </c>
      <c r="I665"/>
      <c r="J665" s="147" t="str">
        <f>IFERROR(SUMIFS(当年实际!$V:$V,当年实际!$F:$F,$C665,当年实际!$C:$C,"&gt;="&amp;DATE(YEAR(主页!$D$2),1,1),当年实际!$C:$C,"&lt;="&amp;EOMONTH(DATE(YEAR(主页!$D$2),MONTH(主页!$D$2),1),0))/SUMIFS(当年实际!$P:$P,当年实际!$F:$F,$C665,当年实际!$C:$C,"&gt;="&amp;DATE(YEAR(主页!$D$2),1,1),当年实际!$C:$C,"&lt;="&amp;EOMONTH(DATE(YEAR(主页!$D$2),MONTH(主页!$D$2),1),0)),"")</f>
        <v/>
      </c>
    </row>
    <row r="666" spans="1:10" x14ac:dyDescent="0.3">
      <c r="A666" s="150"/>
      <c r="B666" s="150"/>
      <c r="C666" s="150"/>
      <c r="D666" s="150"/>
      <c r="E666" s="140" t="str">
        <f t="shared" si="31"/>
        <v/>
      </c>
      <c r="F666" s="159"/>
      <c r="G666" s="145">
        <f t="shared" si="33"/>
        <v>0</v>
      </c>
      <c r="H666" s="140" t="str">
        <f t="shared" si="32"/>
        <v/>
      </c>
      <c r="I666"/>
      <c r="J666" s="147" t="str">
        <f>IFERROR(SUMIFS(当年实际!$V:$V,当年实际!$F:$F,$C666,当年实际!$C:$C,"&gt;="&amp;DATE(YEAR(主页!$D$2),1,1),当年实际!$C:$C,"&lt;="&amp;EOMONTH(DATE(YEAR(主页!$D$2),MONTH(主页!$D$2),1),0))/SUMIFS(当年实际!$P:$P,当年实际!$F:$F,$C666,当年实际!$C:$C,"&gt;="&amp;DATE(YEAR(主页!$D$2),1,1),当年实际!$C:$C,"&lt;="&amp;EOMONTH(DATE(YEAR(主页!$D$2),MONTH(主页!$D$2),1),0)),"")</f>
        <v/>
      </c>
    </row>
    <row r="667" spans="1:10" x14ac:dyDescent="0.3">
      <c r="A667" s="150"/>
      <c r="B667" s="150"/>
      <c r="C667" s="150"/>
      <c r="D667" s="150"/>
      <c r="E667" s="140" t="str">
        <f t="shared" si="31"/>
        <v/>
      </c>
      <c r="F667" s="159"/>
      <c r="G667" s="145">
        <f t="shared" si="33"/>
        <v>0</v>
      </c>
      <c r="H667" s="140" t="str">
        <f t="shared" si="32"/>
        <v/>
      </c>
      <c r="I667"/>
      <c r="J667" s="147" t="str">
        <f>IFERROR(SUMIFS(当年实际!$V:$V,当年实际!$F:$F,$C667,当年实际!$C:$C,"&gt;="&amp;DATE(YEAR(主页!$D$2),1,1),当年实际!$C:$C,"&lt;="&amp;EOMONTH(DATE(YEAR(主页!$D$2),MONTH(主页!$D$2),1),0))/SUMIFS(当年实际!$P:$P,当年实际!$F:$F,$C667,当年实际!$C:$C,"&gt;="&amp;DATE(YEAR(主页!$D$2),1,1),当年实际!$C:$C,"&lt;="&amp;EOMONTH(DATE(YEAR(主页!$D$2),MONTH(主页!$D$2),1),0)),"")</f>
        <v/>
      </c>
    </row>
    <row r="668" spans="1:10" x14ac:dyDescent="0.3">
      <c r="A668" s="150"/>
      <c r="B668" s="150"/>
      <c r="C668" s="150"/>
      <c r="D668" s="150"/>
      <c r="E668" s="140" t="str">
        <f t="shared" si="31"/>
        <v/>
      </c>
      <c r="F668" s="159"/>
      <c r="G668" s="145">
        <f t="shared" si="33"/>
        <v>0</v>
      </c>
      <c r="H668" s="140" t="str">
        <f t="shared" si="32"/>
        <v/>
      </c>
      <c r="I668"/>
      <c r="J668" s="147" t="str">
        <f>IFERROR(SUMIFS(当年实际!$V:$V,当年实际!$F:$F,$C668,当年实际!$C:$C,"&gt;="&amp;DATE(YEAR(主页!$D$2),1,1),当年实际!$C:$C,"&lt;="&amp;EOMONTH(DATE(YEAR(主页!$D$2),MONTH(主页!$D$2),1),0))/SUMIFS(当年实际!$P:$P,当年实际!$F:$F,$C668,当年实际!$C:$C,"&gt;="&amp;DATE(YEAR(主页!$D$2),1,1),当年实际!$C:$C,"&lt;="&amp;EOMONTH(DATE(YEAR(主页!$D$2),MONTH(主页!$D$2),1),0)),"")</f>
        <v/>
      </c>
    </row>
    <row r="669" spans="1:10" x14ac:dyDescent="0.3">
      <c r="A669" s="150"/>
      <c r="B669" s="150"/>
      <c r="C669" s="150"/>
      <c r="D669" s="150"/>
      <c r="E669" s="140" t="str">
        <f t="shared" si="31"/>
        <v/>
      </c>
      <c r="F669" s="159"/>
      <c r="G669" s="145">
        <f t="shared" si="33"/>
        <v>0</v>
      </c>
      <c r="H669" s="140" t="str">
        <f t="shared" si="32"/>
        <v/>
      </c>
      <c r="I669"/>
      <c r="J669" s="147" t="str">
        <f>IFERROR(SUMIFS(当年实际!$V:$V,当年实际!$F:$F,$C669,当年实际!$C:$C,"&gt;="&amp;DATE(YEAR(主页!$D$2),1,1),当年实际!$C:$C,"&lt;="&amp;EOMONTH(DATE(YEAR(主页!$D$2),MONTH(主页!$D$2),1),0))/SUMIFS(当年实际!$P:$P,当年实际!$F:$F,$C669,当年实际!$C:$C,"&gt;="&amp;DATE(YEAR(主页!$D$2),1,1),当年实际!$C:$C,"&lt;="&amp;EOMONTH(DATE(YEAR(主页!$D$2),MONTH(主页!$D$2),1),0)),"")</f>
        <v/>
      </c>
    </row>
    <row r="670" spans="1:10" x14ac:dyDescent="0.3">
      <c r="A670" s="150"/>
      <c r="B670" s="150"/>
      <c r="C670" s="150"/>
      <c r="D670" s="150"/>
      <c r="E670" s="140" t="str">
        <f t="shared" si="31"/>
        <v/>
      </c>
      <c r="F670" s="159"/>
      <c r="G670" s="145">
        <f t="shared" si="33"/>
        <v>0</v>
      </c>
      <c r="H670" s="140" t="str">
        <f t="shared" si="32"/>
        <v/>
      </c>
      <c r="I670"/>
      <c r="J670" s="147" t="str">
        <f>IFERROR(SUMIFS(当年实际!$V:$V,当年实际!$F:$F,$C670,当年实际!$C:$C,"&gt;="&amp;DATE(YEAR(主页!$D$2),1,1),当年实际!$C:$C,"&lt;="&amp;EOMONTH(DATE(YEAR(主页!$D$2),MONTH(主页!$D$2),1),0))/SUMIFS(当年实际!$P:$P,当年实际!$F:$F,$C670,当年实际!$C:$C,"&gt;="&amp;DATE(YEAR(主页!$D$2),1,1),当年实际!$C:$C,"&lt;="&amp;EOMONTH(DATE(YEAR(主页!$D$2),MONTH(主页!$D$2),1),0)),"")</f>
        <v/>
      </c>
    </row>
    <row r="671" spans="1:10" x14ac:dyDescent="0.3">
      <c r="A671" s="150"/>
      <c r="B671" s="150"/>
      <c r="C671" s="150"/>
      <c r="D671" s="150"/>
      <c r="E671" s="140" t="str">
        <f t="shared" si="31"/>
        <v/>
      </c>
      <c r="F671" s="159"/>
      <c r="G671" s="145">
        <f t="shared" si="33"/>
        <v>0</v>
      </c>
      <c r="H671" s="140" t="str">
        <f t="shared" si="32"/>
        <v/>
      </c>
      <c r="I671"/>
      <c r="J671" s="147" t="str">
        <f>IFERROR(SUMIFS(当年实际!$V:$V,当年实际!$F:$F,$C671,当年实际!$C:$C,"&gt;="&amp;DATE(YEAR(主页!$D$2),1,1),当年实际!$C:$C,"&lt;="&amp;EOMONTH(DATE(YEAR(主页!$D$2),MONTH(主页!$D$2),1),0))/SUMIFS(当年实际!$P:$P,当年实际!$F:$F,$C671,当年实际!$C:$C,"&gt;="&amp;DATE(YEAR(主页!$D$2),1,1),当年实际!$C:$C,"&lt;="&amp;EOMONTH(DATE(YEAR(主页!$D$2),MONTH(主页!$D$2),1),0)),"")</f>
        <v/>
      </c>
    </row>
    <row r="672" spans="1:10" x14ac:dyDescent="0.3">
      <c r="A672" s="150"/>
      <c r="B672" s="150"/>
      <c r="C672" s="150"/>
      <c r="D672" s="150"/>
      <c r="E672" s="140" t="str">
        <f t="shared" si="31"/>
        <v/>
      </c>
      <c r="F672" s="159"/>
      <c r="G672" s="145">
        <f t="shared" si="33"/>
        <v>0</v>
      </c>
      <c r="H672" s="140" t="str">
        <f t="shared" si="32"/>
        <v/>
      </c>
      <c r="I672"/>
      <c r="J672" s="147" t="str">
        <f>IFERROR(SUMIFS(当年实际!$V:$V,当年实际!$F:$F,$C672,当年实际!$C:$C,"&gt;="&amp;DATE(YEAR(主页!$D$2),1,1),当年实际!$C:$C,"&lt;="&amp;EOMONTH(DATE(YEAR(主页!$D$2),MONTH(主页!$D$2),1),0))/SUMIFS(当年实际!$P:$P,当年实际!$F:$F,$C672,当年实际!$C:$C,"&gt;="&amp;DATE(YEAR(主页!$D$2),1,1),当年实际!$C:$C,"&lt;="&amp;EOMONTH(DATE(YEAR(主页!$D$2),MONTH(主页!$D$2),1),0)),"")</f>
        <v/>
      </c>
    </row>
    <row r="673" spans="1:10" x14ac:dyDescent="0.3">
      <c r="A673" s="150"/>
      <c r="B673" s="150"/>
      <c r="C673" s="150"/>
      <c r="D673" s="150"/>
      <c r="E673" s="140" t="str">
        <f t="shared" si="31"/>
        <v/>
      </c>
      <c r="F673" s="159"/>
      <c r="G673" s="145">
        <f t="shared" si="33"/>
        <v>0</v>
      </c>
      <c r="H673" s="140" t="str">
        <f t="shared" si="32"/>
        <v/>
      </c>
      <c r="I673"/>
      <c r="J673" s="147" t="str">
        <f>IFERROR(SUMIFS(当年实际!$V:$V,当年实际!$F:$F,$C673,当年实际!$C:$C,"&gt;="&amp;DATE(YEAR(主页!$D$2),1,1),当年实际!$C:$C,"&lt;="&amp;EOMONTH(DATE(YEAR(主页!$D$2),MONTH(主页!$D$2),1),0))/SUMIFS(当年实际!$P:$P,当年实际!$F:$F,$C673,当年实际!$C:$C,"&gt;="&amp;DATE(YEAR(主页!$D$2),1,1),当年实际!$C:$C,"&lt;="&amp;EOMONTH(DATE(YEAR(主页!$D$2),MONTH(主页!$D$2),1),0)),"")</f>
        <v/>
      </c>
    </row>
    <row r="674" spans="1:10" x14ac:dyDescent="0.3">
      <c r="A674" s="150"/>
      <c r="B674" s="150"/>
      <c r="C674" s="150"/>
      <c r="D674" s="150"/>
      <c r="E674" s="140" t="str">
        <f t="shared" si="31"/>
        <v/>
      </c>
      <c r="F674" s="159"/>
      <c r="G674" s="145">
        <f t="shared" si="33"/>
        <v>0</v>
      </c>
      <c r="H674" s="140" t="str">
        <f t="shared" si="32"/>
        <v/>
      </c>
      <c r="I674"/>
      <c r="J674" s="147" t="str">
        <f>IFERROR(SUMIFS(当年实际!$V:$V,当年实际!$F:$F,$C674,当年实际!$C:$C,"&gt;="&amp;DATE(YEAR(主页!$D$2),1,1),当年实际!$C:$C,"&lt;="&amp;EOMONTH(DATE(YEAR(主页!$D$2),MONTH(主页!$D$2),1),0))/SUMIFS(当年实际!$P:$P,当年实际!$F:$F,$C674,当年实际!$C:$C,"&gt;="&amp;DATE(YEAR(主页!$D$2),1,1),当年实际!$C:$C,"&lt;="&amp;EOMONTH(DATE(YEAR(主页!$D$2),MONTH(主页!$D$2),1),0)),"")</f>
        <v/>
      </c>
    </row>
    <row r="675" spans="1:10" x14ac:dyDescent="0.3">
      <c r="A675" s="150"/>
      <c r="B675" s="150"/>
      <c r="C675" s="150"/>
      <c r="D675" s="150"/>
      <c r="E675" s="140" t="str">
        <f t="shared" si="31"/>
        <v/>
      </c>
      <c r="F675" s="159"/>
      <c r="G675" s="145">
        <f t="shared" si="33"/>
        <v>0</v>
      </c>
      <c r="H675" s="140" t="str">
        <f t="shared" si="32"/>
        <v/>
      </c>
      <c r="I675"/>
      <c r="J675" s="147" t="str">
        <f>IFERROR(SUMIFS(当年实际!$V:$V,当年实际!$F:$F,$C675,当年实际!$C:$C,"&gt;="&amp;DATE(YEAR(主页!$D$2),1,1),当年实际!$C:$C,"&lt;="&amp;EOMONTH(DATE(YEAR(主页!$D$2),MONTH(主页!$D$2),1),0))/SUMIFS(当年实际!$P:$P,当年实际!$F:$F,$C675,当年实际!$C:$C,"&gt;="&amp;DATE(YEAR(主页!$D$2),1,1),当年实际!$C:$C,"&lt;="&amp;EOMONTH(DATE(YEAR(主页!$D$2),MONTH(主页!$D$2),1),0)),"")</f>
        <v/>
      </c>
    </row>
    <row r="676" spans="1:10" x14ac:dyDescent="0.3">
      <c r="A676" s="150"/>
      <c r="B676" s="150"/>
      <c r="C676" s="150"/>
      <c r="D676" s="150"/>
      <c r="E676" s="140" t="str">
        <f t="shared" si="31"/>
        <v/>
      </c>
      <c r="F676" s="159"/>
      <c r="G676" s="145">
        <f t="shared" si="33"/>
        <v>0</v>
      </c>
      <c r="H676" s="140" t="str">
        <f t="shared" si="32"/>
        <v/>
      </c>
      <c r="I676"/>
      <c r="J676" s="147" t="str">
        <f>IFERROR(SUMIFS(当年实际!$V:$V,当年实际!$F:$F,$C676,当年实际!$C:$C,"&gt;="&amp;DATE(YEAR(主页!$D$2),1,1),当年实际!$C:$C,"&lt;="&amp;EOMONTH(DATE(YEAR(主页!$D$2),MONTH(主页!$D$2),1),0))/SUMIFS(当年实际!$P:$P,当年实际!$F:$F,$C676,当年实际!$C:$C,"&gt;="&amp;DATE(YEAR(主页!$D$2),1,1),当年实际!$C:$C,"&lt;="&amp;EOMONTH(DATE(YEAR(主页!$D$2),MONTH(主页!$D$2),1),0)),"")</f>
        <v/>
      </c>
    </row>
    <row r="677" spans="1:10" x14ac:dyDescent="0.3">
      <c r="A677" s="150"/>
      <c r="B677" s="150"/>
      <c r="C677" s="150"/>
      <c r="D677" s="150"/>
      <c r="E677" s="140" t="str">
        <f t="shared" si="31"/>
        <v/>
      </c>
      <c r="F677" s="159"/>
      <c r="G677" s="145">
        <f t="shared" si="33"/>
        <v>0</v>
      </c>
      <c r="H677" s="140" t="str">
        <f t="shared" si="32"/>
        <v/>
      </c>
      <c r="I677"/>
      <c r="J677" s="147" t="str">
        <f>IFERROR(SUMIFS(当年实际!$V:$V,当年实际!$F:$F,$C677,当年实际!$C:$C,"&gt;="&amp;DATE(YEAR(主页!$D$2),1,1),当年实际!$C:$C,"&lt;="&amp;EOMONTH(DATE(YEAR(主页!$D$2),MONTH(主页!$D$2),1),0))/SUMIFS(当年实际!$P:$P,当年实际!$F:$F,$C677,当年实际!$C:$C,"&gt;="&amp;DATE(YEAR(主页!$D$2),1,1),当年实际!$C:$C,"&lt;="&amp;EOMONTH(DATE(YEAR(主页!$D$2),MONTH(主页!$D$2),1),0)),"")</f>
        <v/>
      </c>
    </row>
    <row r="678" spans="1:10" x14ac:dyDescent="0.3">
      <c r="A678" s="150"/>
      <c r="B678" s="150"/>
      <c r="C678" s="150"/>
      <c r="D678" s="150"/>
      <c r="E678" s="140" t="str">
        <f t="shared" si="31"/>
        <v/>
      </c>
      <c r="F678" s="159"/>
      <c r="G678" s="145">
        <f t="shared" si="33"/>
        <v>0</v>
      </c>
      <c r="H678" s="140" t="str">
        <f t="shared" si="32"/>
        <v/>
      </c>
      <c r="I678"/>
      <c r="J678" s="147" t="str">
        <f>IFERROR(SUMIFS(当年实际!$V:$V,当年实际!$F:$F,$C678,当年实际!$C:$C,"&gt;="&amp;DATE(YEAR(主页!$D$2),1,1),当年实际!$C:$C,"&lt;="&amp;EOMONTH(DATE(YEAR(主页!$D$2),MONTH(主页!$D$2),1),0))/SUMIFS(当年实际!$P:$P,当年实际!$F:$F,$C678,当年实际!$C:$C,"&gt;="&amp;DATE(YEAR(主页!$D$2),1,1),当年实际!$C:$C,"&lt;="&amp;EOMONTH(DATE(YEAR(主页!$D$2),MONTH(主页!$D$2),1),0)),"")</f>
        <v/>
      </c>
    </row>
    <row r="679" spans="1:10" x14ac:dyDescent="0.3">
      <c r="A679" s="150"/>
      <c r="B679" s="150"/>
      <c r="C679" s="150"/>
      <c r="D679" s="150"/>
      <c r="E679" s="140" t="str">
        <f t="shared" si="31"/>
        <v/>
      </c>
      <c r="F679" s="159"/>
      <c r="G679" s="145">
        <f t="shared" si="33"/>
        <v>0</v>
      </c>
      <c r="H679" s="140" t="str">
        <f t="shared" si="32"/>
        <v/>
      </c>
      <c r="I679"/>
      <c r="J679" s="147" t="str">
        <f>IFERROR(SUMIFS(当年实际!$V:$V,当年实际!$F:$F,$C679,当年实际!$C:$C,"&gt;="&amp;DATE(YEAR(主页!$D$2),1,1),当年实际!$C:$C,"&lt;="&amp;EOMONTH(DATE(YEAR(主页!$D$2),MONTH(主页!$D$2),1),0))/SUMIFS(当年实际!$P:$P,当年实际!$F:$F,$C679,当年实际!$C:$C,"&gt;="&amp;DATE(YEAR(主页!$D$2),1,1),当年实际!$C:$C,"&lt;="&amp;EOMONTH(DATE(YEAR(主页!$D$2),MONTH(主页!$D$2),1),0)),"")</f>
        <v/>
      </c>
    </row>
    <row r="680" spans="1:10" x14ac:dyDescent="0.3">
      <c r="A680" s="150"/>
      <c r="B680" s="150"/>
      <c r="C680" s="150"/>
      <c r="D680" s="150"/>
      <c r="E680" s="140" t="str">
        <f t="shared" si="31"/>
        <v/>
      </c>
      <c r="F680" s="159"/>
      <c r="G680" s="145">
        <f t="shared" si="33"/>
        <v>0</v>
      </c>
      <c r="H680" s="140" t="str">
        <f t="shared" si="32"/>
        <v/>
      </c>
      <c r="I680"/>
      <c r="J680" s="147" t="str">
        <f>IFERROR(SUMIFS(当年实际!$V:$V,当年实际!$F:$F,$C680,当年实际!$C:$C,"&gt;="&amp;DATE(YEAR(主页!$D$2),1,1),当年实际!$C:$C,"&lt;="&amp;EOMONTH(DATE(YEAR(主页!$D$2),MONTH(主页!$D$2),1),0))/SUMIFS(当年实际!$P:$P,当年实际!$F:$F,$C680,当年实际!$C:$C,"&gt;="&amp;DATE(YEAR(主页!$D$2),1,1),当年实际!$C:$C,"&lt;="&amp;EOMONTH(DATE(YEAR(主页!$D$2),MONTH(主页!$D$2),1),0)),"")</f>
        <v/>
      </c>
    </row>
    <row r="681" spans="1:10" x14ac:dyDescent="0.3">
      <c r="A681" s="150"/>
      <c r="B681" s="150"/>
      <c r="C681" s="150"/>
      <c r="D681" s="150"/>
      <c r="E681" s="140" t="str">
        <f t="shared" si="31"/>
        <v/>
      </c>
      <c r="F681" s="159"/>
      <c r="G681" s="145">
        <f t="shared" si="33"/>
        <v>0</v>
      </c>
      <c r="H681" s="140" t="str">
        <f t="shared" si="32"/>
        <v/>
      </c>
      <c r="I681"/>
      <c r="J681" s="147" t="str">
        <f>IFERROR(SUMIFS(当年实际!$V:$V,当年实际!$F:$F,$C681,当年实际!$C:$C,"&gt;="&amp;DATE(YEAR(主页!$D$2),1,1),当年实际!$C:$C,"&lt;="&amp;EOMONTH(DATE(YEAR(主页!$D$2),MONTH(主页!$D$2),1),0))/SUMIFS(当年实际!$P:$P,当年实际!$F:$F,$C681,当年实际!$C:$C,"&gt;="&amp;DATE(YEAR(主页!$D$2),1,1),当年实际!$C:$C,"&lt;="&amp;EOMONTH(DATE(YEAR(主页!$D$2),MONTH(主页!$D$2),1),0)),"")</f>
        <v/>
      </c>
    </row>
    <row r="682" spans="1:10" x14ac:dyDescent="0.3">
      <c r="A682" s="150"/>
      <c r="B682" s="150"/>
      <c r="C682" s="150"/>
      <c r="D682" s="150"/>
      <c r="E682" s="140" t="str">
        <f t="shared" si="31"/>
        <v/>
      </c>
      <c r="F682" s="159"/>
      <c r="G682" s="145">
        <f t="shared" si="33"/>
        <v>0</v>
      </c>
      <c r="H682" s="140" t="str">
        <f t="shared" si="32"/>
        <v/>
      </c>
      <c r="I682"/>
      <c r="J682" s="147" t="str">
        <f>IFERROR(SUMIFS(当年实际!$V:$V,当年实际!$F:$F,$C682,当年实际!$C:$C,"&gt;="&amp;DATE(YEAR(主页!$D$2),1,1),当年实际!$C:$C,"&lt;="&amp;EOMONTH(DATE(YEAR(主页!$D$2),MONTH(主页!$D$2),1),0))/SUMIFS(当年实际!$P:$P,当年实际!$F:$F,$C682,当年实际!$C:$C,"&gt;="&amp;DATE(YEAR(主页!$D$2),1,1),当年实际!$C:$C,"&lt;="&amp;EOMONTH(DATE(YEAR(主页!$D$2),MONTH(主页!$D$2),1),0)),"")</f>
        <v/>
      </c>
    </row>
    <row r="683" spans="1:10" x14ac:dyDescent="0.3">
      <c r="A683" s="150"/>
      <c r="B683" s="150"/>
      <c r="C683" s="150"/>
      <c r="D683" s="150"/>
      <c r="E683" s="140" t="str">
        <f t="shared" si="31"/>
        <v/>
      </c>
      <c r="F683" s="159"/>
      <c r="G683" s="145">
        <f t="shared" si="33"/>
        <v>0</v>
      </c>
      <c r="H683" s="140" t="str">
        <f t="shared" si="32"/>
        <v/>
      </c>
      <c r="I683"/>
      <c r="J683" s="147" t="str">
        <f>IFERROR(SUMIFS(当年实际!$V:$V,当年实际!$F:$F,$C683,当年实际!$C:$C,"&gt;="&amp;DATE(YEAR(主页!$D$2),1,1),当年实际!$C:$C,"&lt;="&amp;EOMONTH(DATE(YEAR(主页!$D$2),MONTH(主页!$D$2),1),0))/SUMIFS(当年实际!$P:$P,当年实际!$F:$F,$C683,当年实际!$C:$C,"&gt;="&amp;DATE(YEAR(主页!$D$2),1,1),当年实际!$C:$C,"&lt;="&amp;EOMONTH(DATE(YEAR(主页!$D$2),MONTH(主页!$D$2),1),0)),"")</f>
        <v/>
      </c>
    </row>
    <row r="684" spans="1:10" x14ac:dyDescent="0.3">
      <c r="A684" s="150"/>
      <c r="B684" s="150"/>
      <c r="C684" s="150"/>
      <c r="D684" s="150"/>
      <c r="E684" s="140" t="str">
        <f t="shared" si="31"/>
        <v/>
      </c>
      <c r="F684" s="159"/>
      <c r="G684" s="145">
        <f t="shared" si="33"/>
        <v>0</v>
      </c>
      <c r="H684" s="140" t="str">
        <f t="shared" si="32"/>
        <v/>
      </c>
      <c r="I684"/>
      <c r="J684" s="147" t="str">
        <f>IFERROR(SUMIFS(当年实际!$V:$V,当年实际!$F:$F,$C684,当年实际!$C:$C,"&gt;="&amp;DATE(YEAR(主页!$D$2),1,1),当年实际!$C:$C,"&lt;="&amp;EOMONTH(DATE(YEAR(主页!$D$2),MONTH(主页!$D$2),1),0))/SUMIFS(当年实际!$P:$P,当年实际!$F:$F,$C684,当年实际!$C:$C,"&gt;="&amp;DATE(YEAR(主页!$D$2),1,1),当年实际!$C:$C,"&lt;="&amp;EOMONTH(DATE(YEAR(主页!$D$2),MONTH(主页!$D$2),1),0)),"")</f>
        <v/>
      </c>
    </row>
    <row r="685" spans="1:10" x14ac:dyDescent="0.3">
      <c r="A685" s="150"/>
      <c r="B685" s="150"/>
      <c r="C685" s="150"/>
      <c r="D685" s="150"/>
      <c r="E685" s="140" t="str">
        <f t="shared" si="31"/>
        <v/>
      </c>
      <c r="F685" s="159"/>
      <c r="G685" s="145">
        <f t="shared" si="33"/>
        <v>0</v>
      </c>
      <c r="H685" s="140" t="str">
        <f t="shared" si="32"/>
        <v/>
      </c>
      <c r="I685"/>
      <c r="J685" s="147" t="str">
        <f>IFERROR(SUMIFS(当年实际!$V:$V,当年实际!$F:$F,$C685,当年实际!$C:$C,"&gt;="&amp;DATE(YEAR(主页!$D$2),1,1),当年实际!$C:$C,"&lt;="&amp;EOMONTH(DATE(YEAR(主页!$D$2),MONTH(主页!$D$2),1),0))/SUMIFS(当年实际!$P:$P,当年实际!$F:$F,$C685,当年实际!$C:$C,"&gt;="&amp;DATE(YEAR(主页!$D$2),1,1),当年实际!$C:$C,"&lt;="&amp;EOMONTH(DATE(YEAR(主页!$D$2),MONTH(主页!$D$2),1),0)),"")</f>
        <v/>
      </c>
    </row>
    <row r="686" spans="1:10" x14ac:dyDescent="0.3">
      <c r="A686" s="150"/>
      <c r="B686" s="150"/>
      <c r="C686" s="150"/>
      <c r="D686" s="150"/>
      <c r="E686" s="140" t="str">
        <f t="shared" si="31"/>
        <v/>
      </c>
      <c r="F686" s="159"/>
      <c r="G686" s="145">
        <f t="shared" si="33"/>
        <v>0</v>
      </c>
      <c r="H686" s="140" t="str">
        <f t="shared" si="32"/>
        <v/>
      </c>
      <c r="I686"/>
      <c r="J686" s="147" t="str">
        <f>IFERROR(SUMIFS(当年实际!$V:$V,当年实际!$F:$F,$C686,当年实际!$C:$C,"&gt;="&amp;DATE(YEAR(主页!$D$2),1,1),当年实际!$C:$C,"&lt;="&amp;EOMONTH(DATE(YEAR(主页!$D$2),MONTH(主页!$D$2),1),0))/SUMIFS(当年实际!$P:$P,当年实际!$F:$F,$C686,当年实际!$C:$C,"&gt;="&amp;DATE(YEAR(主页!$D$2),1,1),当年实际!$C:$C,"&lt;="&amp;EOMONTH(DATE(YEAR(主页!$D$2),MONTH(主页!$D$2),1),0)),"")</f>
        <v/>
      </c>
    </row>
    <row r="687" spans="1:10" x14ac:dyDescent="0.3">
      <c r="A687" s="150"/>
      <c r="B687" s="150"/>
      <c r="C687" s="150"/>
      <c r="D687" s="150"/>
      <c r="E687" s="140" t="str">
        <f t="shared" si="31"/>
        <v/>
      </c>
      <c r="F687" s="159"/>
      <c r="G687" s="145">
        <f t="shared" si="33"/>
        <v>0</v>
      </c>
      <c r="H687" s="140" t="str">
        <f t="shared" si="32"/>
        <v/>
      </c>
      <c r="I687"/>
      <c r="J687" s="147" t="str">
        <f>IFERROR(SUMIFS(当年实际!$V:$V,当年实际!$F:$F,$C687,当年实际!$C:$C,"&gt;="&amp;DATE(YEAR(主页!$D$2),1,1),当年实际!$C:$C,"&lt;="&amp;EOMONTH(DATE(YEAR(主页!$D$2),MONTH(主页!$D$2),1),0))/SUMIFS(当年实际!$P:$P,当年实际!$F:$F,$C687,当年实际!$C:$C,"&gt;="&amp;DATE(YEAR(主页!$D$2),1,1),当年实际!$C:$C,"&lt;="&amp;EOMONTH(DATE(YEAR(主页!$D$2),MONTH(主页!$D$2),1),0)),"")</f>
        <v/>
      </c>
    </row>
    <row r="688" spans="1:10" x14ac:dyDescent="0.3">
      <c r="A688" s="150"/>
      <c r="B688" s="150"/>
      <c r="C688" s="150"/>
      <c r="D688" s="150"/>
      <c r="E688" s="140" t="str">
        <f t="shared" si="31"/>
        <v/>
      </c>
      <c r="F688" s="159"/>
      <c r="G688" s="145">
        <f t="shared" si="33"/>
        <v>0</v>
      </c>
      <c r="H688" s="140" t="str">
        <f t="shared" si="32"/>
        <v/>
      </c>
      <c r="I688"/>
      <c r="J688" s="147" t="str">
        <f>IFERROR(SUMIFS(当年实际!$V:$V,当年实际!$F:$F,$C688,当年实际!$C:$C,"&gt;="&amp;DATE(YEAR(主页!$D$2),1,1),当年实际!$C:$C,"&lt;="&amp;EOMONTH(DATE(YEAR(主页!$D$2),MONTH(主页!$D$2),1),0))/SUMIFS(当年实际!$P:$P,当年实际!$F:$F,$C688,当年实际!$C:$C,"&gt;="&amp;DATE(YEAR(主页!$D$2),1,1),当年实际!$C:$C,"&lt;="&amp;EOMONTH(DATE(YEAR(主页!$D$2),MONTH(主页!$D$2),1),0)),"")</f>
        <v/>
      </c>
    </row>
    <row r="689" spans="1:10" x14ac:dyDescent="0.3">
      <c r="A689" s="150"/>
      <c r="B689" s="150"/>
      <c r="C689" s="150"/>
      <c r="D689" s="150"/>
      <c r="E689" s="140" t="str">
        <f t="shared" si="31"/>
        <v/>
      </c>
      <c r="F689" s="159"/>
      <c r="G689" s="145">
        <f t="shared" si="33"/>
        <v>0</v>
      </c>
      <c r="H689" s="140" t="str">
        <f t="shared" si="32"/>
        <v/>
      </c>
      <c r="I689"/>
      <c r="J689" s="147" t="str">
        <f>IFERROR(SUMIFS(当年实际!$V:$V,当年实际!$F:$F,$C689,当年实际!$C:$C,"&gt;="&amp;DATE(YEAR(主页!$D$2),1,1),当年实际!$C:$C,"&lt;="&amp;EOMONTH(DATE(YEAR(主页!$D$2),MONTH(主页!$D$2),1),0))/SUMIFS(当年实际!$P:$P,当年实际!$F:$F,$C689,当年实际!$C:$C,"&gt;="&amp;DATE(YEAR(主页!$D$2),1,1),当年实际!$C:$C,"&lt;="&amp;EOMONTH(DATE(YEAR(主页!$D$2),MONTH(主页!$D$2),1),0)),"")</f>
        <v/>
      </c>
    </row>
    <row r="690" spans="1:10" x14ac:dyDescent="0.3">
      <c r="A690" s="150"/>
      <c r="B690" s="150"/>
      <c r="C690" s="150"/>
      <c r="D690" s="150"/>
      <c r="E690" s="140" t="str">
        <f t="shared" si="31"/>
        <v/>
      </c>
      <c r="F690" s="159"/>
      <c r="G690" s="145">
        <f t="shared" si="33"/>
        <v>0</v>
      </c>
      <c r="H690" s="140" t="str">
        <f t="shared" si="32"/>
        <v/>
      </c>
      <c r="I690"/>
      <c r="J690" s="147" t="str">
        <f>IFERROR(SUMIFS(当年实际!$V:$V,当年实际!$F:$F,$C690,当年实际!$C:$C,"&gt;="&amp;DATE(YEAR(主页!$D$2),1,1),当年实际!$C:$C,"&lt;="&amp;EOMONTH(DATE(YEAR(主页!$D$2),MONTH(主页!$D$2),1),0))/SUMIFS(当年实际!$P:$P,当年实际!$F:$F,$C690,当年实际!$C:$C,"&gt;="&amp;DATE(YEAR(主页!$D$2),1,1),当年实际!$C:$C,"&lt;="&amp;EOMONTH(DATE(YEAR(主页!$D$2),MONTH(主页!$D$2),1),0)),"")</f>
        <v/>
      </c>
    </row>
    <row r="691" spans="1:10" x14ac:dyDescent="0.3">
      <c r="A691" s="150"/>
      <c r="B691" s="150"/>
      <c r="C691" s="150"/>
      <c r="D691" s="150"/>
      <c r="E691" s="140" t="str">
        <f t="shared" si="31"/>
        <v/>
      </c>
      <c r="F691" s="159"/>
      <c r="G691" s="145">
        <f t="shared" si="33"/>
        <v>0</v>
      </c>
      <c r="H691" s="140" t="str">
        <f t="shared" si="32"/>
        <v/>
      </c>
      <c r="I691"/>
      <c r="J691" s="147" t="str">
        <f>IFERROR(SUMIFS(当年实际!$V:$V,当年实际!$F:$F,$C691,当年实际!$C:$C,"&gt;="&amp;DATE(YEAR(主页!$D$2),1,1),当年实际!$C:$C,"&lt;="&amp;EOMONTH(DATE(YEAR(主页!$D$2),MONTH(主页!$D$2),1),0))/SUMIFS(当年实际!$P:$P,当年实际!$F:$F,$C691,当年实际!$C:$C,"&gt;="&amp;DATE(YEAR(主页!$D$2),1,1),当年实际!$C:$C,"&lt;="&amp;EOMONTH(DATE(YEAR(主页!$D$2),MONTH(主页!$D$2),1),0)),"")</f>
        <v/>
      </c>
    </row>
    <row r="692" spans="1:10" x14ac:dyDescent="0.3">
      <c r="A692" s="150"/>
      <c r="B692" s="150"/>
      <c r="C692" s="150"/>
      <c r="D692" s="150"/>
      <c r="E692" s="140" t="str">
        <f t="shared" si="31"/>
        <v/>
      </c>
      <c r="F692" s="159"/>
      <c r="G692" s="145">
        <f t="shared" si="33"/>
        <v>0</v>
      </c>
      <c r="H692" s="140" t="str">
        <f t="shared" si="32"/>
        <v/>
      </c>
      <c r="I692"/>
      <c r="J692" s="147" t="str">
        <f>IFERROR(SUMIFS(当年实际!$V:$V,当年实际!$F:$F,$C692,当年实际!$C:$C,"&gt;="&amp;DATE(YEAR(主页!$D$2),1,1),当年实际!$C:$C,"&lt;="&amp;EOMONTH(DATE(YEAR(主页!$D$2),MONTH(主页!$D$2),1),0))/SUMIFS(当年实际!$P:$P,当年实际!$F:$F,$C692,当年实际!$C:$C,"&gt;="&amp;DATE(YEAR(主页!$D$2),1,1),当年实际!$C:$C,"&lt;="&amp;EOMONTH(DATE(YEAR(主页!$D$2),MONTH(主页!$D$2),1),0)),"")</f>
        <v/>
      </c>
    </row>
    <row r="693" spans="1:10" x14ac:dyDescent="0.3">
      <c r="A693" s="150"/>
      <c r="B693" s="150"/>
      <c r="C693" s="150"/>
      <c r="D693" s="150"/>
      <c r="E693" s="140" t="str">
        <f t="shared" si="31"/>
        <v/>
      </c>
      <c r="F693" s="159"/>
      <c r="G693" s="145">
        <f t="shared" si="33"/>
        <v>0</v>
      </c>
      <c r="H693" s="140" t="str">
        <f t="shared" si="32"/>
        <v/>
      </c>
      <c r="I693"/>
      <c r="J693" s="147" t="str">
        <f>IFERROR(SUMIFS(当年实际!$V:$V,当年实际!$F:$F,$C693,当年实际!$C:$C,"&gt;="&amp;DATE(YEAR(主页!$D$2),1,1),当年实际!$C:$C,"&lt;="&amp;EOMONTH(DATE(YEAR(主页!$D$2),MONTH(主页!$D$2),1),0))/SUMIFS(当年实际!$P:$P,当年实际!$F:$F,$C693,当年实际!$C:$C,"&gt;="&amp;DATE(YEAR(主页!$D$2),1,1),当年实际!$C:$C,"&lt;="&amp;EOMONTH(DATE(YEAR(主页!$D$2),MONTH(主页!$D$2),1),0)),"")</f>
        <v/>
      </c>
    </row>
    <row r="694" spans="1:10" x14ac:dyDescent="0.3">
      <c r="A694" s="150"/>
      <c r="B694" s="150"/>
      <c r="C694" s="150"/>
      <c r="D694" s="150"/>
      <c r="E694" s="140" t="str">
        <f t="shared" si="31"/>
        <v/>
      </c>
      <c r="F694" s="159"/>
      <c r="G694" s="145">
        <f t="shared" si="33"/>
        <v>0</v>
      </c>
      <c r="H694" s="140" t="str">
        <f t="shared" si="32"/>
        <v/>
      </c>
      <c r="I694"/>
      <c r="J694" s="147" t="str">
        <f>IFERROR(SUMIFS(当年实际!$V:$V,当年实际!$F:$F,$C694,当年实际!$C:$C,"&gt;="&amp;DATE(YEAR(主页!$D$2),1,1),当年实际!$C:$C,"&lt;="&amp;EOMONTH(DATE(YEAR(主页!$D$2),MONTH(主页!$D$2),1),0))/SUMIFS(当年实际!$P:$P,当年实际!$F:$F,$C694,当年实际!$C:$C,"&gt;="&amp;DATE(YEAR(主页!$D$2),1,1),当年实际!$C:$C,"&lt;="&amp;EOMONTH(DATE(YEAR(主页!$D$2),MONTH(主页!$D$2),1),0)),"")</f>
        <v/>
      </c>
    </row>
    <row r="695" spans="1:10" x14ac:dyDescent="0.3">
      <c r="A695" s="150"/>
      <c r="B695" s="150"/>
      <c r="C695" s="150"/>
      <c r="D695" s="150"/>
      <c r="E695" s="140" t="str">
        <f t="shared" si="31"/>
        <v/>
      </c>
      <c r="F695" s="159"/>
      <c r="G695" s="145">
        <f t="shared" si="33"/>
        <v>0</v>
      </c>
      <c r="H695" s="140" t="str">
        <f t="shared" si="32"/>
        <v/>
      </c>
      <c r="I695"/>
      <c r="J695" s="147" t="str">
        <f>IFERROR(SUMIFS(当年实际!$V:$V,当年实际!$F:$F,$C695,当年实际!$C:$C,"&gt;="&amp;DATE(YEAR(主页!$D$2),1,1),当年实际!$C:$C,"&lt;="&amp;EOMONTH(DATE(YEAR(主页!$D$2),MONTH(主页!$D$2),1),0))/SUMIFS(当年实际!$P:$P,当年实际!$F:$F,$C695,当年实际!$C:$C,"&gt;="&amp;DATE(YEAR(主页!$D$2),1,1),当年实际!$C:$C,"&lt;="&amp;EOMONTH(DATE(YEAR(主页!$D$2),MONTH(主页!$D$2),1),0)),"")</f>
        <v/>
      </c>
    </row>
    <row r="696" spans="1:10" x14ac:dyDescent="0.3">
      <c r="A696" s="150"/>
      <c r="B696" s="150"/>
      <c r="C696" s="150"/>
      <c r="D696" s="150"/>
      <c r="E696" s="140" t="str">
        <f t="shared" si="31"/>
        <v/>
      </c>
      <c r="F696" s="159"/>
      <c r="G696" s="145">
        <f t="shared" si="33"/>
        <v>0</v>
      </c>
      <c r="H696" s="140" t="str">
        <f t="shared" si="32"/>
        <v/>
      </c>
      <c r="I696"/>
      <c r="J696" s="147" t="str">
        <f>IFERROR(SUMIFS(当年实际!$V:$V,当年实际!$F:$F,$C696,当年实际!$C:$C,"&gt;="&amp;DATE(YEAR(主页!$D$2),1,1),当年实际!$C:$C,"&lt;="&amp;EOMONTH(DATE(YEAR(主页!$D$2),MONTH(主页!$D$2),1),0))/SUMIFS(当年实际!$P:$P,当年实际!$F:$F,$C696,当年实际!$C:$C,"&gt;="&amp;DATE(YEAR(主页!$D$2),1,1),当年实际!$C:$C,"&lt;="&amp;EOMONTH(DATE(YEAR(主页!$D$2),MONTH(主页!$D$2),1),0)),"")</f>
        <v/>
      </c>
    </row>
    <row r="697" spans="1:10" x14ac:dyDescent="0.3">
      <c r="A697" s="150"/>
      <c r="B697" s="150"/>
      <c r="C697" s="150"/>
      <c r="D697" s="150"/>
      <c r="E697" s="140" t="str">
        <f t="shared" si="31"/>
        <v/>
      </c>
      <c r="F697" s="159"/>
      <c r="G697" s="145">
        <f t="shared" si="33"/>
        <v>0</v>
      </c>
      <c r="H697" s="140" t="str">
        <f t="shared" si="32"/>
        <v/>
      </c>
      <c r="I697"/>
      <c r="J697" s="147" t="str">
        <f>IFERROR(SUMIFS(当年实际!$V:$V,当年实际!$F:$F,$C697,当年实际!$C:$C,"&gt;="&amp;DATE(YEAR(主页!$D$2),1,1),当年实际!$C:$C,"&lt;="&amp;EOMONTH(DATE(YEAR(主页!$D$2),MONTH(主页!$D$2),1),0))/SUMIFS(当年实际!$P:$P,当年实际!$F:$F,$C697,当年实际!$C:$C,"&gt;="&amp;DATE(YEAR(主页!$D$2),1,1),当年实际!$C:$C,"&lt;="&amp;EOMONTH(DATE(YEAR(主页!$D$2),MONTH(主页!$D$2),1),0)),"")</f>
        <v/>
      </c>
    </row>
    <row r="698" spans="1:10" x14ac:dyDescent="0.3">
      <c r="A698" s="150"/>
      <c r="B698" s="150"/>
      <c r="C698" s="150"/>
      <c r="D698" s="150"/>
      <c r="E698" s="140" t="str">
        <f t="shared" si="31"/>
        <v/>
      </c>
      <c r="F698" s="159"/>
      <c r="G698" s="145">
        <f t="shared" si="33"/>
        <v>0</v>
      </c>
      <c r="H698" s="140" t="str">
        <f t="shared" si="32"/>
        <v/>
      </c>
      <c r="I698"/>
      <c r="J698" s="147" t="str">
        <f>IFERROR(SUMIFS(当年实际!$V:$V,当年实际!$F:$F,$C698,当年实际!$C:$C,"&gt;="&amp;DATE(YEAR(主页!$D$2),1,1),当年实际!$C:$C,"&lt;="&amp;EOMONTH(DATE(YEAR(主页!$D$2),MONTH(主页!$D$2),1),0))/SUMIFS(当年实际!$P:$P,当年实际!$F:$F,$C698,当年实际!$C:$C,"&gt;="&amp;DATE(YEAR(主页!$D$2),1,1),当年实际!$C:$C,"&lt;="&amp;EOMONTH(DATE(YEAR(主页!$D$2),MONTH(主页!$D$2),1),0)),"")</f>
        <v/>
      </c>
    </row>
    <row r="699" spans="1:10" x14ac:dyDescent="0.3">
      <c r="A699" s="150"/>
      <c r="B699" s="150"/>
      <c r="C699" s="150"/>
      <c r="D699" s="150"/>
      <c r="E699" s="140" t="str">
        <f t="shared" si="31"/>
        <v/>
      </c>
      <c r="F699" s="159"/>
      <c r="G699" s="145">
        <f t="shared" si="33"/>
        <v>0</v>
      </c>
      <c r="H699" s="140" t="str">
        <f t="shared" si="32"/>
        <v/>
      </c>
      <c r="I699"/>
      <c r="J699" s="147" t="str">
        <f>IFERROR(SUMIFS(当年实际!$V:$V,当年实际!$F:$F,$C699,当年实际!$C:$C,"&gt;="&amp;DATE(YEAR(主页!$D$2),1,1),当年实际!$C:$C,"&lt;="&amp;EOMONTH(DATE(YEAR(主页!$D$2),MONTH(主页!$D$2),1),0))/SUMIFS(当年实际!$P:$P,当年实际!$F:$F,$C699,当年实际!$C:$C,"&gt;="&amp;DATE(YEAR(主页!$D$2),1,1),当年实际!$C:$C,"&lt;="&amp;EOMONTH(DATE(YEAR(主页!$D$2),MONTH(主页!$D$2),1),0)),"")</f>
        <v/>
      </c>
    </row>
    <row r="700" spans="1:10" x14ac:dyDescent="0.3">
      <c r="A700" s="150"/>
      <c r="B700" s="150"/>
      <c r="C700" s="150"/>
      <c r="D700" s="150"/>
      <c r="E700" s="140" t="str">
        <f t="shared" si="31"/>
        <v/>
      </c>
      <c r="F700" s="159"/>
      <c r="G700" s="145">
        <f t="shared" si="33"/>
        <v>0</v>
      </c>
      <c r="H700" s="140" t="str">
        <f t="shared" si="32"/>
        <v/>
      </c>
      <c r="I700"/>
      <c r="J700" s="147" t="str">
        <f>IFERROR(SUMIFS(当年实际!$V:$V,当年实际!$F:$F,$C700,当年实际!$C:$C,"&gt;="&amp;DATE(YEAR(主页!$D$2),1,1),当年实际!$C:$C,"&lt;="&amp;EOMONTH(DATE(YEAR(主页!$D$2),MONTH(主页!$D$2),1),0))/SUMIFS(当年实际!$P:$P,当年实际!$F:$F,$C700,当年实际!$C:$C,"&gt;="&amp;DATE(YEAR(主页!$D$2),1,1),当年实际!$C:$C,"&lt;="&amp;EOMONTH(DATE(YEAR(主页!$D$2),MONTH(主页!$D$2),1),0)),"")</f>
        <v/>
      </c>
    </row>
    <row r="701" spans="1:10" x14ac:dyDescent="0.3">
      <c r="A701" s="150"/>
      <c r="B701" s="150"/>
      <c r="C701" s="150"/>
      <c r="D701" s="150"/>
      <c r="E701" s="140" t="str">
        <f t="shared" si="31"/>
        <v/>
      </c>
      <c r="F701" s="159"/>
      <c r="G701" s="145">
        <f t="shared" si="33"/>
        <v>0</v>
      </c>
      <c r="H701" s="140" t="str">
        <f t="shared" si="32"/>
        <v/>
      </c>
      <c r="I701"/>
      <c r="J701" s="147" t="str">
        <f>IFERROR(SUMIFS(当年实际!$V:$V,当年实际!$F:$F,$C701,当年实际!$C:$C,"&gt;="&amp;DATE(YEAR(主页!$D$2),1,1),当年实际!$C:$C,"&lt;="&amp;EOMONTH(DATE(YEAR(主页!$D$2),MONTH(主页!$D$2),1),0))/SUMIFS(当年实际!$P:$P,当年实际!$F:$F,$C701,当年实际!$C:$C,"&gt;="&amp;DATE(YEAR(主页!$D$2),1,1),当年实际!$C:$C,"&lt;="&amp;EOMONTH(DATE(YEAR(主页!$D$2),MONTH(主页!$D$2),1),0)),"")</f>
        <v/>
      </c>
    </row>
    <row r="702" spans="1:10" x14ac:dyDescent="0.3">
      <c r="A702" s="150"/>
      <c r="B702" s="150"/>
      <c r="C702" s="150"/>
      <c r="D702" s="150"/>
      <c r="E702" s="140" t="str">
        <f t="shared" si="31"/>
        <v/>
      </c>
      <c r="F702" s="159"/>
      <c r="G702" s="145">
        <f t="shared" si="33"/>
        <v>0</v>
      </c>
      <c r="H702" s="140" t="str">
        <f t="shared" si="32"/>
        <v/>
      </c>
      <c r="I702"/>
      <c r="J702" s="147" t="str">
        <f>IFERROR(SUMIFS(当年实际!$V:$V,当年实际!$F:$F,$C702,当年实际!$C:$C,"&gt;="&amp;DATE(YEAR(主页!$D$2),1,1),当年实际!$C:$C,"&lt;="&amp;EOMONTH(DATE(YEAR(主页!$D$2),MONTH(主页!$D$2),1),0))/SUMIFS(当年实际!$P:$P,当年实际!$F:$F,$C702,当年实际!$C:$C,"&gt;="&amp;DATE(YEAR(主页!$D$2),1,1),当年实际!$C:$C,"&lt;="&amp;EOMONTH(DATE(YEAR(主页!$D$2),MONTH(主页!$D$2),1),0)),"")</f>
        <v/>
      </c>
    </row>
    <row r="703" spans="1:10" x14ac:dyDescent="0.3">
      <c r="A703" s="150"/>
      <c r="B703" s="150"/>
      <c r="C703" s="150"/>
      <c r="D703" s="150"/>
      <c r="E703" s="140" t="str">
        <f t="shared" si="31"/>
        <v/>
      </c>
      <c r="F703" s="159"/>
      <c r="G703" s="145">
        <f t="shared" si="33"/>
        <v>0</v>
      </c>
      <c r="H703" s="140" t="str">
        <f t="shared" si="32"/>
        <v/>
      </c>
      <c r="I703"/>
      <c r="J703" s="147" t="str">
        <f>IFERROR(SUMIFS(当年实际!$V:$V,当年实际!$F:$F,$C703,当年实际!$C:$C,"&gt;="&amp;DATE(YEAR(主页!$D$2),1,1),当年实际!$C:$C,"&lt;="&amp;EOMONTH(DATE(YEAR(主页!$D$2),MONTH(主页!$D$2),1),0))/SUMIFS(当年实际!$P:$P,当年实际!$F:$F,$C703,当年实际!$C:$C,"&gt;="&amp;DATE(YEAR(主页!$D$2),1,1),当年实际!$C:$C,"&lt;="&amp;EOMONTH(DATE(YEAR(主页!$D$2),MONTH(主页!$D$2),1),0)),"")</f>
        <v/>
      </c>
    </row>
    <row r="704" spans="1:10" x14ac:dyDescent="0.3">
      <c r="A704" s="150"/>
      <c r="B704" s="150"/>
      <c r="C704" s="150"/>
      <c r="D704" s="150"/>
      <c r="E704" s="140" t="str">
        <f t="shared" si="31"/>
        <v/>
      </c>
      <c r="F704" s="159"/>
      <c r="G704" s="145">
        <f t="shared" si="33"/>
        <v>0</v>
      </c>
      <c r="H704" s="140" t="str">
        <f t="shared" si="32"/>
        <v/>
      </c>
      <c r="I704"/>
      <c r="J704" s="147" t="str">
        <f>IFERROR(SUMIFS(当年实际!$V:$V,当年实际!$F:$F,$C704,当年实际!$C:$C,"&gt;="&amp;DATE(YEAR(主页!$D$2),1,1),当年实际!$C:$C,"&lt;="&amp;EOMONTH(DATE(YEAR(主页!$D$2),MONTH(主页!$D$2),1),0))/SUMIFS(当年实际!$P:$P,当年实际!$F:$F,$C704,当年实际!$C:$C,"&gt;="&amp;DATE(YEAR(主页!$D$2),1,1),当年实际!$C:$C,"&lt;="&amp;EOMONTH(DATE(YEAR(主页!$D$2),MONTH(主页!$D$2),1),0)),"")</f>
        <v/>
      </c>
    </row>
    <row r="705" spans="1:10" x14ac:dyDescent="0.3">
      <c r="A705" s="150"/>
      <c r="B705" s="150"/>
      <c r="C705" s="150"/>
      <c r="D705" s="150"/>
      <c r="E705" s="140" t="str">
        <f t="shared" si="31"/>
        <v/>
      </c>
      <c r="F705" s="159"/>
      <c r="G705" s="145">
        <f t="shared" si="33"/>
        <v>0</v>
      </c>
      <c r="H705" s="140" t="str">
        <f t="shared" si="32"/>
        <v/>
      </c>
      <c r="I705"/>
      <c r="J705" s="147" t="str">
        <f>IFERROR(SUMIFS(当年实际!$V:$V,当年实际!$F:$F,$C705,当年实际!$C:$C,"&gt;="&amp;DATE(YEAR(主页!$D$2),1,1),当年实际!$C:$C,"&lt;="&amp;EOMONTH(DATE(YEAR(主页!$D$2),MONTH(主页!$D$2),1),0))/SUMIFS(当年实际!$P:$P,当年实际!$F:$F,$C705,当年实际!$C:$C,"&gt;="&amp;DATE(YEAR(主页!$D$2),1,1),当年实际!$C:$C,"&lt;="&amp;EOMONTH(DATE(YEAR(主页!$D$2),MONTH(主页!$D$2),1),0)),"")</f>
        <v/>
      </c>
    </row>
    <row r="706" spans="1:10" x14ac:dyDescent="0.3">
      <c r="A706" s="150"/>
      <c r="B706" s="150"/>
      <c r="C706" s="150"/>
      <c r="D706" s="150"/>
      <c r="E706" s="140" t="str">
        <f t="shared" si="31"/>
        <v/>
      </c>
      <c r="F706" s="159"/>
      <c r="G706" s="145">
        <f t="shared" si="33"/>
        <v>0</v>
      </c>
      <c r="H706" s="140" t="str">
        <f t="shared" si="32"/>
        <v/>
      </c>
      <c r="I706"/>
      <c r="J706" s="147" t="str">
        <f>IFERROR(SUMIFS(当年实际!$V:$V,当年实际!$F:$F,$C706,当年实际!$C:$C,"&gt;="&amp;DATE(YEAR(主页!$D$2),1,1),当年实际!$C:$C,"&lt;="&amp;EOMONTH(DATE(YEAR(主页!$D$2),MONTH(主页!$D$2),1),0))/SUMIFS(当年实际!$P:$P,当年实际!$F:$F,$C706,当年实际!$C:$C,"&gt;="&amp;DATE(YEAR(主页!$D$2),1,1),当年实际!$C:$C,"&lt;="&amp;EOMONTH(DATE(YEAR(主页!$D$2),MONTH(主页!$D$2),1),0)),"")</f>
        <v/>
      </c>
    </row>
    <row r="707" spans="1:10" x14ac:dyDescent="0.3">
      <c r="A707" s="150"/>
      <c r="B707" s="150"/>
      <c r="C707" s="150"/>
      <c r="D707" s="150"/>
      <c r="E707" s="140" t="str">
        <f t="shared" si="31"/>
        <v/>
      </c>
      <c r="F707" s="159"/>
      <c r="G707" s="145">
        <f t="shared" si="33"/>
        <v>0</v>
      </c>
      <c r="H707" s="140" t="str">
        <f t="shared" si="32"/>
        <v/>
      </c>
      <c r="I707"/>
      <c r="J707" s="147" t="str">
        <f>IFERROR(SUMIFS(当年实际!$V:$V,当年实际!$F:$F,$C707,当年实际!$C:$C,"&gt;="&amp;DATE(YEAR(主页!$D$2),1,1),当年实际!$C:$C,"&lt;="&amp;EOMONTH(DATE(YEAR(主页!$D$2),MONTH(主页!$D$2),1),0))/SUMIFS(当年实际!$P:$P,当年实际!$F:$F,$C707,当年实际!$C:$C,"&gt;="&amp;DATE(YEAR(主页!$D$2),1,1),当年实际!$C:$C,"&lt;="&amp;EOMONTH(DATE(YEAR(主页!$D$2),MONTH(主页!$D$2),1),0)),"")</f>
        <v/>
      </c>
    </row>
    <row r="708" spans="1:10" x14ac:dyDescent="0.3">
      <c r="A708" s="150"/>
      <c r="B708" s="150"/>
      <c r="C708" s="150"/>
      <c r="D708" s="150"/>
      <c r="E708" s="140" t="str">
        <f t="shared" ref="E708:E771" si="34">IF(D708/SUM(D:D)=0,"",D708/SUM(D:D))</f>
        <v/>
      </c>
      <c r="F708" s="159"/>
      <c r="G708" s="145">
        <f t="shared" si="33"/>
        <v>0</v>
      </c>
      <c r="H708" s="140" t="str">
        <f t="shared" ref="H708:H771" si="35">IF(G708/SUM(G:G)=0,"",G708/SUM(G:G))</f>
        <v/>
      </c>
      <c r="I708"/>
      <c r="J708" s="147" t="str">
        <f>IFERROR(SUMIFS(当年实际!$V:$V,当年实际!$F:$F,$C708,当年实际!$C:$C,"&gt;="&amp;DATE(YEAR(主页!$D$2),1,1),当年实际!$C:$C,"&lt;="&amp;EOMONTH(DATE(YEAR(主页!$D$2),MONTH(主页!$D$2),1),0))/SUMIFS(当年实际!$P:$P,当年实际!$F:$F,$C708,当年实际!$C:$C,"&gt;="&amp;DATE(YEAR(主页!$D$2),1,1),当年实际!$C:$C,"&lt;="&amp;EOMONTH(DATE(YEAR(主页!$D$2),MONTH(主页!$D$2),1),0)),"")</f>
        <v/>
      </c>
    </row>
    <row r="709" spans="1:10" x14ac:dyDescent="0.3">
      <c r="A709" s="150"/>
      <c r="B709" s="150"/>
      <c r="C709" s="150"/>
      <c r="D709" s="150"/>
      <c r="E709" s="140" t="str">
        <f t="shared" si="34"/>
        <v/>
      </c>
      <c r="F709" s="159"/>
      <c r="G709" s="145">
        <f t="shared" si="33"/>
        <v>0</v>
      </c>
      <c r="H709" s="140" t="str">
        <f t="shared" si="35"/>
        <v/>
      </c>
      <c r="I709"/>
      <c r="J709" s="147" t="str">
        <f>IFERROR(SUMIFS(当年实际!$V:$V,当年实际!$F:$F,$C709,当年实际!$C:$C,"&gt;="&amp;DATE(YEAR(主页!$D$2),1,1),当年实际!$C:$C,"&lt;="&amp;EOMONTH(DATE(YEAR(主页!$D$2),MONTH(主页!$D$2),1),0))/SUMIFS(当年实际!$P:$P,当年实际!$F:$F,$C709,当年实际!$C:$C,"&gt;="&amp;DATE(YEAR(主页!$D$2),1,1),当年实际!$C:$C,"&lt;="&amp;EOMONTH(DATE(YEAR(主页!$D$2),MONTH(主页!$D$2),1),0)),"")</f>
        <v/>
      </c>
    </row>
    <row r="710" spans="1:10" x14ac:dyDescent="0.3">
      <c r="A710" s="150"/>
      <c r="B710" s="150"/>
      <c r="C710" s="150"/>
      <c r="D710" s="150"/>
      <c r="E710" s="140" t="str">
        <f t="shared" si="34"/>
        <v/>
      </c>
      <c r="F710" s="159"/>
      <c r="G710" s="145">
        <f t="shared" si="33"/>
        <v>0</v>
      </c>
      <c r="H710" s="140" t="str">
        <f t="shared" si="35"/>
        <v/>
      </c>
      <c r="I710"/>
      <c r="J710" s="147" t="str">
        <f>IFERROR(SUMIFS(当年实际!$V:$V,当年实际!$F:$F,$C710,当年实际!$C:$C,"&gt;="&amp;DATE(YEAR(主页!$D$2),1,1),当年实际!$C:$C,"&lt;="&amp;EOMONTH(DATE(YEAR(主页!$D$2),MONTH(主页!$D$2),1),0))/SUMIFS(当年实际!$P:$P,当年实际!$F:$F,$C710,当年实际!$C:$C,"&gt;="&amp;DATE(YEAR(主页!$D$2),1,1),当年实际!$C:$C,"&lt;="&amp;EOMONTH(DATE(YEAR(主页!$D$2),MONTH(主页!$D$2),1),0)),"")</f>
        <v/>
      </c>
    </row>
    <row r="711" spans="1:10" x14ac:dyDescent="0.3">
      <c r="A711" s="150"/>
      <c r="B711" s="150"/>
      <c r="C711" s="150"/>
      <c r="D711" s="150"/>
      <c r="E711" s="140" t="str">
        <f t="shared" si="34"/>
        <v/>
      </c>
      <c r="F711" s="159"/>
      <c r="G711" s="145">
        <f t="shared" ref="G711:G774" si="36">D711*F711</f>
        <v>0</v>
      </c>
      <c r="H711" s="140" t="str">
        <f t="shared" si="35"/>
        <v/>
      </c>
      <c r="I711"/>
      <c r="J711" s="147" t="str">
        <f>IFERROR(SUMIFS(当年实际!$V:$V,当年实际!$F:$F,$C711,当年实际!$C:$C,"&gt;="&amp;DATE(YEAR(主页!$D$2),1,1),当年实际!$C:$C,"&lt;="&amp;EOMONTH(DATE(YEAR(主页!$D$2),MONTH(主页!$D$2),1),0))/SUMIFS(当年实际!$P:$P,当年实际!$F:$F,$C711,当年实际!$C:$C,"&gt;="&amp;DATE(YEAR(主页!$D$2),1,1),当年实际!$C:$C,"&lt;="&amp;EOMONTH(DATE(YEAR(主页!$D$2),MONTH(主页!$D$2),1),0)),"")</f>
        <v/>
      </c>
    </row>
    <row r="712" spans="1:10" x14ac:dyDescent="0.3">
      <c r="A712" s="150"/>
      <c r="B712" s="150"/>
      <c r="C712" s="150"/>
      <c r="D712" s="150"/>
      <c r="E712" s="140" t="str">
        <f t="shared" si="34"/>
        <v/>
      </c>
      <c r="F712" s="159"/>
      <c r="G712" s="145">
        <f t="shared" si="36"/>
        <v>0</v>
      </c>
      <c r="H712" s="140" t="str">
        <f t="shared" si="35"/>
        <v/>
      </c>
      <c r="I712"/>
      <c r="J712" s="147" t="str">
        <f>IFERROR(SUMIFS(当年实际!$V:$V,当年实际!$F:$F,$C712,当年实际!$C:$C,"&gt;="&amp;DATE(YEAR(主页!$D$2),1,1),当年实际!$C:$C,"&lt;="&amp;EOMONTH(DATE(YEAR(主页!$D$2),MONTH(主页!$D$2),1),0))/SUMIFS(当年实际!$P:$P,当年实际!$F:$F,$C712,当年实际!$C:$C,"&gt;="&amp;DATE(YEAR(主页!$D$2),1,1),当年实际!$C:$C,"&lt;="&amp;EOMONTH(DATE(YEAR(主页!$D$2),MONTH(主页!$D$2),1),0)),"")</f>
        <v/>
      </c>
    </row>
    <row r="713" spans="1:10" x14ac:dyDescent="0.3">
      <c r="A713" s="150"/>
      <c r="B713" s="150"/>
      <c r="C713" s="150"/>
      <c r="D713" s="150"/>
      <c r="E713" s="140" t="str">
        <f t="shared" si="34"/>
        <v/>
      </c>
      <c r="F713" s="159"/>
      <c r="G713" s="145">
        <f t="shared" si="36"/>
        <v>0</v>
      </c>
      <c r="H713" s="140" t="str">
        <f t="shared" si="35"/>
        <v/>
      </c>
      <c r="I713"/>
      <c r="J713" s="147" t="str">
        <f>IFERROR(SUMIFS(当年实际!$V:$V,当年实际!$F:$F,$C713,当年实际!$C:$C,"&gt;="&amp;DATE(YEAR(主页!$D$2),1,1),当年实际!$C:$C,"&lt;="&amp;EOMONTH(DATE(YEAR(主页!$D$2),MONTH(主页!$D$2),1),0))/SUMIFS(当年实际!$P:$P,当年实际!$F:$F,$C713,当年实际!$C:$C,"&gt;="&amp;DATE(YEAR(主页!$D$2),1,1),当年实际!$C:$C,"&lt;="&amp;EOMONTH(DATE(YEAR(主页!$D$2),MONTH(主页!$D$2),1),0)),"")</f>
        <v/>
      </c>
    </row>
    <row r="714" spans="1:10" x14ac:dyDescent="0.3">
      <c r="A714" s="150"/>
      <c r="B714" s="150"/>
      <c r="C714" s="150"/>
      <c r="D714" s="150"/>
      <c r="E714" s="140" t="str">
        <f t="shared" si="34"/>
        <v/>
      </c>
      <c r="F714" s="159"/>
      <c r="G714" s="145">
        <f t="shared" si="36"/>
        <v>0</v>
      </c>
      <c r="H714" s="140" t="str">
        <f t="shared" si="35"/>
        <v/>
      </c>
      <c r="I714"/>
      <c r="J714" s="147" t="str">
        <f>IFERROR(SUMIFS(当年实际!$V:$V,当年实际!$F:$F,$C714,当年实际!$C:$C,"&gt;="&amp;DATE(YEAR(主页!$D$2),1,1),当年实际!$C:$C,"&lt;="&amp;EOMONTH(DATE(YEAR(主页!$D$2),MONTH(主页!$D$2),1),0))/SUMIFS(当年实际!$P:$P,当年实际!$F:$F,$C714,当年实际!$C:$C,"&gt;="&amp;DATE(YEAR(主页!$D$2),1,1),当年实际!$C:$C,"&lt;="&amp;EOMONTH(DATE(YEAR(主页!$D$2),MONTH(主页!$D$2),1),0)),"")</f>
        <v/>
      </c>
    </row>
    <row r="715" spans="1:10" x14ac:dyDescent="0.3">
      <c r="A715" s="150"/>
      <c r="B715" s="150"/>
      <c r="C715" s="150"/>
      <c r="D715" s="150"/>
      <c r="E715" s="140" t="str">
        <f t="shared" si="34"/>
        <v/>
      </c>
      <c r="F715" s="159"/>
      <c r="G715" s="145">
        <f t="shared" si="36"/>
        <v>0</v>
      </c>
      <c r="H715" s="140" t="str">
        <f t="shared" si="35"/>
        <v/>
      </c>
      <c r="I715"/>
      <c r="J715" s="147" t="str">
        <f>IFERROR(SUMIFS(当年实际!$V:$V,当年实际!$F:$F,$C715,当年实际!$C:$C,"&gt;="&amp;DATE(YEAR(主页!$D$2),1,1),当年实际!$C:$C,"&lt;="&amp;EOMONTH(DATE(YEAR(主页!$D$2),MONTH(主页!$D$2),1),0))/SUMIFS(当年实际!$P:$P,当年实际!$F:$F,$C715,当年实际!$C:$C,"&gt;="&amp;DATE(YEAR(主页!$D$2),1,1),当年实际!$C:$C,"&lt;="&amp;EOMONTH(DATE(YEAR(主页!$D$2),MONTH(主页!$D$2),1),0)),"")</f>
        <v/>
      </c>
    </row>
    <row r="716" spans="1:10" x14ac:dyDescent="0.3">
      <c r="A716" s="150"/>
      <c r="B716" s="150"/>
      <c r="C716" s="150"/>
      <c r="D716" s="150"/>
      <c r="E716" s="140" t="str">
        <f t="shared" si="34"/>
        <v/>
      </c>
      <c r="F716" s="159"/>
      <c r="G716" s="145">
        <f t="shared" si="36"/>
        <v>0</v>
      </c>
      <c r="H716" s="140" t="str">
        <f t="shared" si="35"/>
        <v/>
      </c>
      <c r="I716"/>
      <c r="J716" s="147" t="str">
        <f>IFERROR(SUMIFS(当年实际!$V:$V,当年实际!$F:$F,$C716,当年实际!$C:$C,"&gt;="&amp;DATE(YEAR(主页!$D$2),1,1),当年实际!$C:$C,"&lt;="&amp;EOMONTH(DATE(YEAR(主页!$D$2),MONTH(主页!$D$2),1),0))/SUMIFS(当年实际!$P:$P,当年实际!$F:$F,$C716,当年实际!$C:$C,"&gt;="&amp;DATE(YEAR(主页!$D$2),1,1),当年实际!$C:$C,"&lt;="&amp;EOMONTH(DATE(YEAR(主页!$D$2),MONTH(主页!$D$2),1),0)),"")</f>
        <v/>
      </c>
    </row>
    <row r="717" spans="1:10" x14ac:dyDescent="0.3">
      <c r="A717" s="150"/>
      <c r="B717" s="150"/>
      <c r="C717" s="150"/>
      <c r="D717" s="150"/>
      <c r="E717" s="140" t="str">
        <f t="shared" si="34"/>
        <v/>
      </c>
      <c r="F717" s="159"/>
      <c r="G717" s="145">
        <f t="shared" si="36"/>
        <v>0</v>
      </c>
      <c r="H717" s="140" t="str">
        <f t="shared" si="35"/>
        <v/>
      </c>
      <c r="I717"/>
      <c r="J717" s="147" t="str">
        <f>IFERROR(SUMIFS(当年实际!$V:$V,当年实际!$F:$F,$C717,当年实际!$C:$C,"&gt;="&amp;DATE(YEAR(主页!$D$2),1,1),当年实际!$C:$C,"&lt;="&amp;EOMONTH(DATE(YEAR(主页!$D$2),MONTH(主页!$D$2),1),0))/SUMIFS(当年实际!$P:$P,当年实际!$F:$F,$C717,当年实际!$C:$C,"&gt;="&amp;DATE(YEAR(主页!$D$2),1,1),当年实际!$C:$C,"&lt;="&amp;EOMONTH(DATE(YEAR(主页!$D$2),MONTH(主页!$D$2),1),0)),"")</f>
        <v/>
      </c>
    </row>
    <row r="718" spans="1:10" x14ac:dyDescent="0.3">
      <c r="A718" s="150"/>
      <c r="B718" s="150"/>
      <c r="C718" s="150"/>
      <c r="D718" s="150"/>
      <c r="E718" s="140" t="str">
        <f t="shared" si="34"/>
        <v/>
      </c>
      <c r="F718" s="159"/>
      <c r="G718" s="145">
        <f t="shared" si="36"/>
        <v>0</v>
      </c>
      <c r="H718" s="140" t="str">
        <f t="shared" si="35"/>
        <v/>
      </c>
      <c r="I718"/>
      <c r="J718" s="147" t="str">
        <f>IFERROR(SUMIFS(当年实际!$V:$V,当年实际!$F:$F,$C718,当年实际!$C:$C,"&gt;="&amp;DATE(YEAR(主页!$D$2),1,1),当年实际!$C:$C,"&lt;="&amp;EOMONTH(DATE(YEAR(主页!$D$2),MONTH(主页!$D$2),1),0))/SUMIFS(当年实际!$P:$P,当年实际!$F:$F,$C718,当年实际!$C:$C,"&gt;="&amp;DATE(YEAR(主页!$D$2),1,1),当年实际!$C:$C,"&lt;="&amp;EOMONTH(DATE(YEAR(主页!$D$2),MONTH(主页!$D$2),1),0)),"")</f>
        <v/>
      </c>
    </row>
    <row r="719" spans="1:10" x14ac:dyDescent="0.3">
      <c r="A719" s="150"/>
      <c r="B719" s="150"/>
      <c r="C719" s="150"/>
      <c r="D719" s="150"/>
      <c r="E719" s="140" t="str">
        <f t="shared" si="34"/>
        <v/>
      </c>
      <c r="F719" s="159"/>
      <c r="G719" s="145">
        <f t="shared" si="36"/>
        <v>0</v>
      </c>
      <c r="H719" s="140" t="str">
        <f t="shared" si="35"/>
        <v/>
      </c>
      <c r="I719"/>
      <c r="J719" s="147" t="str">
        <f>IFERROR(SUMIFS(当年实际!$V:$V,当年实际!$F:$F,$C719,当年实际!$C:$C,"&gt;="&amp;DATE(YEAR(主页!$D$2),1,1),当年实际!$C:$C,"&lt;="&amp;EOMONTH(DATE(YEAR(主页!$D$2),MONTH(主页!$D$2),1),0))/SUMIFS(当年实际!$P:$P,当年实际!$F:$F,$C719,当年实际!$C:$C,"&gt;="&amp;DATE(YEAR(主页!$D$2),1,1),当年实际!$C:$C,"&lt;="&amp;EOMONTH(DATE(YEAR(主页!$D$2),MONTH(主页!$D$2),1),0)),"")</f>
        <v/>
      </c>
    </row>
    <row r="720" spans="1:10" x14ac:dyDescent="0.3">
      <c r="A720" s="150"/>
      <c r="B720" s="150"/>
      <c r="C720" s="150"/>
      <c r="D720" s="150"/>
      <c r="E720" s="140" t="str">
        <f t="shared" si="34"/>
        <v/>
      </c>
      <c r="F720" s="159"/>
      <c r="G720" s="145">
        <f t="shared" si="36"/>
        <v>0</v>
      </c>
      <c r="H720" s="140" t="str">
        <f t="shared" si="35"/>
        <v/>
      </c>
      <c r="I720"/>
      <c r="J720" s="147" t="str">
        <f>IFERROR(SUMIFS(当年实际!$V:$V,当年实际!$F:$F,$C720,当年实际!$C:$C,"&gt;="&amp;DATE(YEAR(主页!$D$2),1,1),当年实际!$C:$C,"&lt;="&amp;EOMONTH(DATE(YEAR(主页!$D$2),MONTH(主页!$D$2),1),0))/SUMIFS(当年实际!$P:$P,当年实际!$F:$F,$C720,当年实际!$C:$C,"&gt;="&amp;DATE(YEAR(主页!$D$2),1,1),当年实际!$C:$C,"&lt;="&amp;EOMONTH(DATE(YEAR(主页!$D$2),MONTH(主页!$D$2),1),0)),"")</f>
        <v/>
      </c>
    </row>
    <row r="721" spans="1:10" x14ac:dyDescent="0.3">
      <c r="A721" s="150"/>
      <c r="B721" s="150"/>
      <c r="C721" s="150"/>
      <c r="D721" s="150"/>
      <c r="E721" s="140" t="str">
        <f t="shared" si="34"/>
        <v/>
      </c>
      <c r="F721" s="159"/>
      <c r="G721" s="145">
        <f t="shared" si="36"/>
        <v>0</v>
      </c>
      <c r="H721" s="140" t="str">
        <f t="shared" si="35"/>
        <v/>
      </c>
      <c r="I721"/>
      <c r="J721" s="147" t="str">
        <f>IFERROR(SUMIFS(当年实际!$V:$V,当年实际!$F:$F,$C721,当年实际!$C:$C,"&gt;="&amp;DATE(YEAR(主页!$D$2),1,1),当年实际!$C:$C,"&lt;="&amp;EOMONTH(DATE(YEAR(主页!$D$2),MONTH(主页!$D$2),1),0))/SUMIFS(当年实际!$P:$P,当年实际!$F:$F,$C721,当年实际!$C:$C,"&gt;="&amp;DATE(YEAR(主页!$D$2),1,1),当年实际!$C:$C,"&lt;="&amp;EOMONTH(DATE(YEAR(主页!$D$2),MONTH(主页!$D$2),1),0)),"")</f>
        <v/>
      </c>
    </row>
    <row r="722" spans="1:10" x14ac:dyDescent="0.3">
      <c r="A722" s="150"/>
      <c r="B722" s="150"/>
      <c r="C722" s="150"/>
      <c r="D722" s="150"/>
      <c r="E722" s="140" t="str">
        <f t="shared" si="34"/>
        <v/>
      </c>
      <c r="F722" s="159"/>
      <c r="G722" s="145">
        <f t="shared" si="36"/>
        <v>0</v>
      </c>
      <c r="H722" s="140" t="str">
        <f t="shared" si="35"/>
        <v/>
      </c>
      <c r="I722"/>
      <c r="J722" s="147" t="str">
        <f>IFERROR(SUMIFS(当年实际!$V:$V,当年实际!$F:$F,$C722,当年实际!$C:$C,"&gt;="&amp;DATE(YEAR(主页!$D$2),1,1),当年实际!$C:$C,"&lt;="&amp;EOMONTH(DATE(YEAR(主页!$D$2),MONTH(主页!$D$2),1),0))/SUMIFS(当年实际!$P:$P,当年实际!$F:$F,$C722,当年实际!$C:$C,"&gt;="&amp;DATE(YEAR(主页!$D$2),1,1),当年实际!$C:$C,"&lt;="&amp;EOMONTH(DATE(YEAR(主页!$D$2),MONTH(主页!$D$2),1),0)),"")</f>
        <v/>
      </c>
    </row>
    <row r="723" spans="1:10" x14ac:dyDescent="0.3">
      <c r="A723" s="150"/>
      <c r="B723" s="150"/>
      <c r="C723" s="150"/>
      <c r="D723" s="150"/>
      <c r="E723" s="140" t="str">
        <f t="shared" si="34"/>
        <v/>
      </c>
      <c r="F723" s="159"/>
      <c r="G723" s="145">
        <f t="shared" si="36"/>
        <v>0</v>
      </c>
      <c r="H723" s="140" t="str">
        <f t="shared" si="35"/>
        <v/>
      </c>
      <c r="I723"/>
      <c r="J723" s="147" t="str">
        <f>IFERROR(SUMIFS(当年实际!$V:$V,当年实际!$F:$F,$C723,当年实际!$C:$C,"&gt;="&amp;DATE(YEAR(主页!$D$2),1,1),当年实际!$C:$C,"&lt;="&amp;EOMONTH(DATE(YEAR(主页!$D$2),MONTH(主页!$D$2),1),0))/SUMIFS(当年实际!$P:$P,当年实际!$F:$F,$C723,当年实际!$C:$C,"&gt;="&amp;DATE(YEAR(主页!$D$2),1,1),当年实际!$C:$C,"&lt;="&amp;EOMONTH(DATE(YEAR(主页!$D$2),MONTH(主页!$D$2),1),0)),"")</f>
        <v/>
      </c>
    </row>
    <row r="724" spans="1:10" x14ac:dyDescent="0.3">
      <c r="A724" s="150"/>
      <c r="B724" s="150"/>
      <c r="C724" s="150"/>
      <c r="D724" s="150"/>
      <c r="E724" s="140" t="str">
        <f t="shared" si="34"/>
        <v/>
      </c>
      <c r="F724" s="159"/>
      <c r="G724" s="145">
        <f t="shared" si="36"/>
        <v>0</v>
      </c>
      <c r="H724" s="140" t="str">
        <f t="shared" si="35"/>
        <v/>
      </c>
      <c r="I724"/>
      <c r="J724" s="147" t="str">
        <f>IFERROR(SUMIFS(当年实际!$V:$V,当年实际!$F:$F,$C724,当年实际!$C:$C,"&gt;="&amp;DATE(YEAR(主页!$D$2),1,1),当年实际!$C:$C,"&lt;="&amp;EOMONTH(DATE(YEAR(主页!$D$2),MONTH(主页!$D$2),1),0))/SUMIFS(当年实际!$P:$P,当年实际!$F:$F,$C724,当年实际!$C:$C,"&gt;="&amp;DATE(YEAR(主页!$D$2),1,1),当年实际!$C:$C,"&lt;="&amp;EOMONTH(DATE(YEAR(主页!$D$2),MONTH(主页!$D$2),1),0)),"")</f>
        <v/>
      </c>
    </row>
    <row r="725" spans="1:10" x14ac:dyDescent="0.3">
      <c r="A725" s="150"/>
      <c r="B725" s="150"/>
      <c r="C725" s="150"/>
      <c r="D725" s="150"/>
      <c r="E725" s="140" t="str">
        <f t="shared" si="34"/>
        <v/>
      </c>
      <c r="F725" s="159"/>
      <c r="G725" s="145">
        <f t="shared" si="36"/>
        <v>0</v>
      </c>
      <c r="H725" s="140" t="str">
        <f t="shared" si="35"/>
        <v/>
      </c>
      <c r="I725"/>
      <c r="J725" s="147" t="str">
        <f>IFERROR(SUMIFS(当年实际!$V:$V,当年实际!$F:$F,$C725,当年实际!$C:$C,"&gt;="&amp;DATE(YEAR(主页!$D$2),1,1),当年实际!$C:$C,"&lt;="&amp;EOMONTH(DATE(YEAR(主页!$D$2),MONTH(主页!$D$2),1),0))/SUMIFS(当年实际!$P:$P,当年实际!$F:$F,$C725,当年实际!$C:$C,"&gt;="&amp;DATE(YEAR(主页!$D$2),1,1),当年实际!$C:$C,"&lt;="&amp;EOMONTH(DATE(YEAR(主页!$D$2),MONTH(主页!$D$2),1),0)),"")</f>
        <v/>
      </c>
    </row>
    <row r="726" spans="1:10" x14ac:dyDescent="0.3">
      <c r="A726" s="150"/>
      <c r="B726" s="150"/>
      <c r="C726" s="150"/>
      <c r="D726" s="150"/>
      <c r="E726" s="140" t="str">
        <f t="shared" si="34"/>
        <v/>
      </c>
      <c r="F726" s="159"/>
      <c r="G726" s="145">
        <f t="shared" si="36"/>
        <v>0</v>
      </c>
      <c r="H726" s="140" t="str">
        <f t="shared" si="35"/>
        <v/>
      </c>
      <c r="I726"/>
      <c r="J726" s="147" t="str">
        <f>IFERROR(SUMIFS(当年实际!$V:$V,当年实际!$F:$F,$C726,当年实际!$C:$C,"&gt;="&amp;DATE(YEAR(主页!$D$2),1,1),当年实际!$C:$C,"&lt;="&amp;EOMONTH(DATE(YEAR(主页!$D$2),MONTH(主页!$D$2),1),0))/SUMIFS(当年实际!$P:$P,当年实际!$F:$F,$C726,当年实际!$C:$C,"&gt;="&amp;DATE(YEAR(主页!$D$2),1,1),当年实际!$C:$C,"&lt;="&amp;EOMONTH(DATE(YEAR(主页!$D$2),MONTH(主页!$D$2),1),0)),"")</f>
        <v/>
      </c>
    </row>
    <row r="727" spans="1:10" x14ac:dyDescent="0.3">
      <c r="A727" s="150"/>
      <c r="B727" s="150"/>
      <c r="C727" s="150"/>
      <c r="D727" s="150"/>
      <c r="E727" s="140" t="str">
        <f t="shared" si="34"/>
        <v/>
      </c>
      <c r="F727" s="159"/>
      <c r="G727" s="145">
        <f t="shared" si="36"/>
        <v>0</v>
      </c>
      <c r="H727" s="140" t="str">
        <f t="shared" si="35"/>
        <v/>
      </c>
      <c r="I727"/>
      <c r="J727" s="147" t="str">
        <f>IFERROR(SUMIFS(当年实际!$V:$V,当年实际!$F:$F,$C727,当年实际!$C:$C,"&gt;="&amp;DATE(YEAR(主页!$D$2),1,1),当年实际!$C:$C,"&lt;="&amp;EOMONTH(DATE(YEAR(主页!$D$2),MONTH(主页!$D$2),1),0))/SUMIFS(当年实际!$P:$P,当年实际!$F:$F,$C727,当年实际!$C:$C,"&gt;="&amp;DATE(YEAR(主页!$D$2),1,1),当年实际!$C:$C,"&lt;="&amp;EOMONTH(DATE(YEAR(主页!$D$2),MONTH(主页!$D$2),1),0)),"")</f>
        <v/>
      </c>
    </row>
    <row r="728" spans="1:10" x14ac:dyDescent="0.3">
      <c r="A728" s="150"/>
      <c r="B728" s="150"/>
      <c r="C728" s="150"/>
      <c r="D728" s="150"/>
      <c r="E728" s="140" t="str">
        <f t="shared" si="34"/>
        <v/>
      </c>
      <c r="F728" s="159"/>
      <c r="G728" s="145">
        <f t="shared" si="36"/>
        <v>0</v>
      </c>
      <c r="H728" s="140" t="str">
        <f t="shared" si="35"/>
        <v/>
      </c>
      <c r="I728"/>
      <c r="J728" s="147" t="str">
        <f>IFERROR(SUMIFS(当年实际!$V:$V,当年实际!$F:$F,$C728,当年实际!$C:$C,"&gt;="&amp;DATE(YEAR(主页!$D$2),1,1),当年实际!$C:$C,"&lt;="&amp;EOMONTH(DATE(YEAR(主页!$D$2),MONTH(主页!$D$2),1),0))/SUMIFS(当年实际!$P:$P,当年实际!$F:$F,$C728,当年实际!$C:$C,"&gt;="&amp;DATE(YEAR(主页!$D$2),1,1),当年实际!$C:$C,"&lt;="&amp;EOMONTH(DATE(YEAR(主页!$D$2),MONTH(主页!$D$2),1),0)),"")</f>
        <v/>
      </c>
    </row>
    <row r="729" spans="1:10" x14ac:dyDescent="0.3">
      <c r="A729" s="150"/>
      <c r="B729" s="150"/>
      <c r="C729" s="150"/>
      <c r="D729" s="150"/>
      <c r="E729" s="140" t="str">
        <f t="shared" si="34"/>
        <v/>
      </c>
      <c r="F729" s="159"/>
      <c r="G729" s="145">
        <f t="shared" si="36"/>
        <v>0</v>
      </c>
      <c r="H729" s="140" t="str">
        <f t="shared" si="35"/>
        <v/>
      </c>
      <c r="I729"/>
      <c r="J729" s="147" t="str">
        <f>IFERROR(SUMIFS(当年实际!$V:$V,当年实际!$F:$F,$C729,当年实际!$C:$C,"&gt;="&amp;DATE(YEAR(主页!$D$2),1,1),当年实际!$C:$C,"&lt;="&amp;EOMONTH(DATE(YEAR(主页!$D$2),MONTH(主页!$D$2),1),0))/SUMIFS(当年实际!$P:$P,当年实际!$F:$F,$C729,当年实际!$C:$C,"&gt;="&amp;DATE(YEAR(主页!$D$2),1,1),当年实际!$C:$C,"&lt;="&amp;EOMONTH(DATE(YEAR(主页!$D$2),MONTH(主页!$D$2),1),0)),"")</f>
        <v/>
      </c>
    </row>
    <row r="730" spans="1:10" x14ac:dyDescent="0.3">
      <c r="A730" s="150"/>
      <c r="B730" s="150"/>
      <c r="C730" s="150"/>
      <c r="D730" s="150"/>
      <c r="E730" s="140" t="str">
        <f t="shared" si="34"/>
        <v/>
      </c>
      <c r="F730" s="159"/>
      <c r="G730" s="145">
        <f t="shared" si="36"/>
        <v>0</v>
      </c>
      <c r="H730" s="140" t="str">
        <f t="shared" si="35"/>
        <v/>
      </c>
      <c r="I730"/>
      <c r="J730" s="147" t="str">
        <f>IFERROR(SUMIFS(当年实际!$V:$V,当年实际!$F:$F,$C730,当年实际!$C:$C,"&gt;="&amp;DATE(YEAR(主页!$D$2),1,1),当年实际!$C:$C,"&lt;="&amp;EOMONTH(DATE(YEAR(主页!$D$2),MONTH(主页!$D$2),1),0))/SUMIFS(当年实际!$P:$P,当年实际!$F:$F,$C730,当年实际!$C:$C,"&gt;="&amp;DATE(YEAR(主页!$D$2),1,1),当年实际!$C:$C,"&lt;="&amp;EOMONTH(DATE(YEAR(主页!$D$2),MONTH(主页!$D$2),1),0)),"")</f>
        <v/>
      </c>
    </row>
    <row r="731" spans="1:10" x14ac:dyDescent="0.3">
      <c r="A731" s="150"/>
      <c r="B731" s="150"/>
      <c r="C731" s="150"/>
      <c r="D731" s="150"/>
      <c r="E731" s="140" t="str">
        <f t="shared" si="34"/>
        <v/>
      </c>
      <c r="F731" s="159"/>
      <c r="G731" s="145">
        <f t="shared" si="36"/>
        <v>0</v>
      </c>
      <c r="H731" s="140" t="str">
        <f t="shared" si="35"/>
        <v/>
      </c>
      <c r="I731"/>
      <c r="J731" s="147" t="str">
        <f>IFERROR(SUMIFS(当年实际!$V:$V,当年实际!$F:$F,$C731,当年实际!$C:$C,"&gt;="&amp;DATE(YEAR(主页!$D$2),1,1),当年实际!$C:$C,"&lt;="&amp;EOMONTH(DATE(YEAR(主页!$D$2),MONTH(主页!$D$2),1),0))/SUMIFS(当年实际!$P:$P,当年实际!$F:$F,$C731,当年实际!$C:$C,"&gt;="&amp;DATE(YEAR(主页!$D$2),1,1),当年实际!$C:$C,"&lt;="&amp;EOMONTH(DATE(YEAR(主页!$D$2),MONTH(主页!$D$2),1),0)),"")</f>
        <v/>
      </c>
    </row>
    <row r="732" spans="1:10" x14ac:dyDescent="0.3">
      <c r="A732" s="150"/>
      <c r="B732" s="150"/>
      <c r="C732" s="150"/>
      <c r="D732" s="150"/>
      <c r="E732" s="140" t="str">
        <f t="shared" si="34"/>
        <v/>
      </c>
      <c r="F732" s="159"/>
      <c r="G732" s="145">
        <f t="shared" si="36"/>
        <v>0</v>
      </c>
      <c r="H732" s="140" t="str">
        <f t="shared" si="35"/>
        <v/>
      </c>
      <c r="I732"/>
      <c r="J732" s="147" t="str">
        <f>IFERROR(SUMIFS(当年实际!$V:$V,当年实际!$F:$F,$C732,当年实际!$C:$C,"&gt;="&amp;DATE(YEAR(主页!$D$2),1,1),当年实际!$C:$C,"&lt;="&amp;EOMONTH(DATE(YEAR(主页!$D$2),MONTH(主页!$D$2),1),0))/SUMIFS(当年实际!$P:$P,当年实际!$F:$F,$C732,当年实际!$C:$C,"&gt;="&amp;DATE(YEAR(主页!$D$2),1,1),当年实际!$C:$C,"&lt;="&amp;EOMONTH(DATE(YEAR(主页!$D$2),MONTH(主页!$D$2),1),0)),"")</f>
        <v/>
      </c>
    </row>
    <row r="733" spans="1:10" x14ac:dyDescent="0.3">
      <c r="A733" s="150"/>
      <c r="B733" s="150"/>
      <c r="C733" s="150"/>
      <c r="D733" s="150"/>
      <c r="E733" s="140" t="str">
        <f t="shared" si="34"/>
        <v/>
      </c>
      <c r="F733" s="159"/>
      <c r="G733" s="145">
        <f t="shared" si="36"/>
        <v>0</v>
      </c>
      <c r="H733" s="140" t="str">
        <f t="shared" si="35"/>
        <v/>
      </c>
      <c r="I733"/>
      <c r="J733" s="147" t="str">
        <f>IFERROR(SUMIFS(当年实际!$V:$V,当年实际!$F:$F,$C733,当年实际!$C:$C,"&gt;="&amp;DATE(YEAR(主页!$D$2),1,1),当年实际!$C:$C,"&lt;="&amp;EOMONTH(DATE(YEAR(主页!$D$2),MONTH(主页!$D$2),1),0))/SUMIFS(当年实际!$P:$P,当年实际!$F:$F,$C733,当年实际!$C:$C,"&gt;="&amp;DATE(YEAR(主页!$D$2),1,1),当年实际!$C:$C,"&lt;="&amp;EOMONTH(DATE(YEAR(主页!$D$2),MONTH(主页!$D$2),1),0)),"")</f>
        <v/>
      </c>
    </row>
    <row r="734" spans="1:10" x14ac:dyDescent="0.3">
      <c r="A734" s="150"/>
      <c r="B734" s="150"/>
      <c r="C734" s="150"/>
      <c r="D734" s="150"/>
      <c r="E734" s="140" t="str">
        <f t="shared" si="34"/>
        <v/>
      </c>
      <c r="F734" s="159"/>
      <c r="G734" s="145">
        <f t="shared" si="36"/>
        <v>0</v>
      </c>
      <c r="H734" s="140" t="str">
        <f t="shared" si="35"/>
        <v/>
      </c>
      <c r="I734"/>
      <c r="J734" s="147" t="str">
        <f>IFERROR(SUMIFS(当年实际!$V:$V,当年实际!$F:$F,$C734,当年实际!$C:$C,"&gt;="&amp;DATE(YEAR(主页!$D$2),1,1),当年实际!$C:$C,"&lt;="&amp;EOMONTH(DATE(YEAR(主页!$D$2),MONTH(主页!$D$2),1),0))/SUMIFS(当年实际!$P:$P,当年实际!$F:$F,$C734,当年实际!$C:$C,"&gt;="&amp;DATE(YEAR(主页!$D$2),1,1),当年实际!$C:$C,"&lt;="&amp;EOMONTH(DATE(YEAR(主页!$D$2),MONTH(主页!$D$2),1),0)),"")</f>
        <v/>
      </c>
    </row>
    <row r="735" spans="1:10" x14ac:dyDescent="0.3">
      <c r="A735" s="150"/>
      <c r="B735" s="150"/>
      <c r="C735" s="150"/>
      <c r="D735" s="150"/>
      <c r="E735" s="140" t="str">
        <f t="shared" si="34"/>
        <v/>
      </c>
      <c r="F735" s="159"/>
      <c r="G735" s="145">
        <f t="shared" si="36"/>
        <v>0</v>
      </c>
      <c r="H735" s="140" t="str">
        <f t="shared" si="35"/>
        <v/>
      </c>
      <c r="I735"/>
      <c r="J735" s="147" t="str">
        <f>IFERROR(SUMIFS(当年实际!$V:$V,当年实际!$F:$F,$C735,当年实际!$C:$C,"&gt;="&amp;DATE(YEAR(主页!$D$2),1,1),当年实际!$C:$C,"&lt;="&amp;EOMONTH(DATE(YEAR(主页!$D$2),MONTH(主页!$D$2),1),0))/SUMIFS(当年实际!$P:$P,当年实际!$F:$F,$C735,当年实际!$C:$C,"&gt;="&amp;DATE(YEAR(主页!$D$2),1,1),当年实际!$C:$C,"&lt;="&amp;EOMONTH(DATE(YEAR(主页!$D$2),MONTH(主页!$D$2),1),0)),"")</f>
        <v/>
      </c>
    </row>
    <row r="736" spans="1:10" x14ac:dyDescent="0.3">
      <c r="A736" s="150"/>
      <c r="B736" s="150"/>
      <c r="C736" s="150"/>
      <c r="D736" s="150"/>
      <c r="E736" s="140" t="str">
        <f t="shared" si="34"/>
        <v/>
      </c>
      <c r="F736" s="159"/>
      <c r="G736" s="145">
        <f t="shared" si="36"/>
        <v>0</v>
      </c>
      <c r="H736" s="140" t="str">
        <f t="shared" si="35"/>
        <v/>
      </c>
      <c r="I736"/>
      <c r="J736" s="147" t="str">
        <f>IFERROR(SUMIFS(当年实际!$V:$V,当年实际!$F:$F,$C736,当年实际!$C:$C,"&gt;="&amp;DATE(YEAR(主页!$D$2),1,1),当年实际!$C:$C,"&lt;="&amp;EOMONTH(DATE(YEAR(主页!$D$2),MONTH(主页!$D$2),1),0))/SUMIFS(当年实际!$P:$P,当年实际!$F:$F,$C736,当年实际!$C:$C,"&gt;="&amp;DATE(YEAR(主页!$D$2),1,1),当年实际!$C:$C,"&lt;="&amp;EOMONTH(DATE(YEAR(主页!$D$2),MONTH(主页!$D$2),1),0)),"")</f>
        <v/>
      </c>
    </row>
    <row r="737" spans="1:10" x14ac:dyDescent="0.3">
      <c r="A737" s="150"/>
      <c r="B737" s="150"/>
      <c r="C737" s="150"/>
      <c r="D737" s="150"/>
      <c r="E737" s="140" t="str">
        <f t="shared" si="34"/>
        <v/>
      </c>
      <c r="F737" s="159"/>
      <c r="G737" s="145">
        <f t="shared" si="36"/>
        <v>0</v>
      </c>
      <c r="H737" s="140" t="str">
        <f t="shared" si="35"/>
        <v/>
      </c>
      <c r="I737"/>
      <c r="J737" s="147" t="str">
        <f>IFERROR(SUMIFS(当年实际!$V:$V,当年实际!$F:$F,$C737,当年实际!$C:$C,"&gt;="&amp;DATE(YEAR(主页!$D$2),1,1),当年实际!$C:$C,"&lt;="&amp;EOMONTH(DATE(YEAR(主页!$D$2),MONTH(主页!$D$2),1),0))/SUMIFS(当年实际!$P:$P,当年实际!$F:$F,$C737,当年实际!$C:$C,"&gt;="&amp;DATE(YEAR(主页!$D$2),1,1),当年实际!$C:$C,"&lt;="&amp;EOMONTH(DATE(YEAR(主页!$D$2),MONTH(主页!$D$2),1),0)),"")</f>
        <v/>
      </c>
    </row>
    <row r="738" spans="1:10" x14ac:dyDescent="0.3">
      <c r="A738" s="150"/>
      <c r="B738" s="150"/>
      <c r="C738" s="150"/>
      <c r="D738" s="150"/>
      <c r="E738" s="140" t="str">
        <f t="shared" si="34"/>
        <v/>
      </c>
      <c r="F738" s="159"/>
      <c r="G738" s="145">
        <f t="shared" si="36"/>
        <v>0</v>
      </c>
      <c r="H738" s="140" t="str">
        <f t="shared" si="35"/>
        <v/>
      </c>
      <c r="I738"/>
      <c r="J738" s="147" t="str">
        <f>IFERROR(SUMIFS(当年实际!$V:$V,当年实际!$F:$F,$C738,当年实际!$C:$C,"&gt;="&amp;DATE(YEAR(主页!$D$2),1,1),当年实际!$C:$C,"&lt;="&amp;EOMONTH(DATE(YEAR(主页!$D$2),MONTH(主页!$D$2),1),0))/SUMIFS(当年实际!$P:$P,当年实际!$F:$F,$C738,当年实际!$C:$C,"&gt;="&amp;DATE(YEAR(主页!$D$2),1,1),当年实际!$C:$C,"&lt;="&amp;EOMONTH(DATE(YEAR(主页!$D$2),MONTH(主页!$D$2),1),0)),"")</f>
        <v/>
      </c>
    </row>
    <row r="739" spans="1:10" x14ac:dyDescent="0.3">
      <c r="A739" s="150"/>
      <c r="B739" s="150"/>
      <c r="C739" s="150"/>
      <c r="D739" s="150"/>
      <c r="E739" s="140" t="str">
        <f t="shared" si="34"/>
        <v/>
      </c>
      <c r="F739" s="159"/>
      <c r="G739" s="145">
        <f t="shared" si="36"/>
        <v>0</v>
      </c>
      <c r="H739" s="140" t="str">
        <f t="shared" si="35"/>
        <v/>
      </c>
      <c r="I739"/>
      <c r="J739" s="147" t="str">
        <f>IFERROR(SUMIFS(当年实际!$V:$V,当年实际!$F:$F,$C739,当年实际!$C:$C,"&gt;="&amp;DATE(YEAR(主页!$D$2),1,1),当年实际!$C:$C,"&lt;="&amp;EOMONTH(DATE(YEAR(主页!$D$2),MONTH(主页!$D$2),1),0))/SUMIFS(当年实际!$P:$P,当年实际!$F:$F,$C739,当年实际!$C:$C,"&gt;="&amp;DATE(YEAR(主页!$D$2),1,1),当年实际!$C:$C,"&lt;="&amp;EOMONTH(DATE(YEAR(主页!$D$2),MONTH(主页!$D$2),1),0)),"")</f>
        <v/>
      </c>
    </row>
    <row r="740" spans="1:10" x14ac:dyDescent="0.3">
      <c r="A740" s="150"/>
      <c r="B740" s="150"/>
      <c r="C740" s="150"/>
      <c r="D740" s="150"/>
      <c r="E740" s="140" t="str">
        <f t="shared" si="34"/>
        <v/>
      </c>
      <c r="F740" s="159"/>
      <c r="G740" s="145">
        <f t="shared" si="36"/>
        <v>0</v>
      </c>
      <c r="H740" s="140" t="str">
        <f t="shared" si="35"/>
        <v/>
      </c>
      <c r="I740"/>
      <c r="J740" s="147" t="str">
        <f>IFERROR(SUMIFS(当年实际!$V:$V,当年实际!$F:$F,$C740,当年实际!$C:$C,"&gt;="&amp;DATE(YEAR(主页!$D$2),1,1),当年实际!$C:$C,"&lt;="&amp;EOMONTH(DATE(YEAR(主页!$D$2),MONTH(主页!$D$2),1),0))/SUMIFS(当年实际!$P:$P,当年实际!$F:$F,$C740,当年实际!$C:$C,"&gt;="&amp;DATE(YEAR(主页!$D$2),1,1),当年实际!$C:$C,"&lt;="&amp;EOMONTH(DATE(YEAR(主页!$D$2),MONTH(主页!$D$2),1),0)),"")</f>
        <v/>
      </c>
    </row>
    <row r="741" spans="1:10" x14ac:dyDescent="0.3">
      <c r="A741" s="150"/>
      <c r="B741" s="150"/>
      <c r="C741" s="150"/>
      <c r="D741" s="150"/>
      <c r="E741" s="140" t="str">
        <f t="shared" si="34"/>
        <v/>
      </c>
      <c r="F741" s="159"/>
      <c r="G741" s="145">
        <f t="shared" si="36"/>
        <v>0</v>
      </c>
      <c r="H741" s="140" t="str">
        <f t="shared" si="35"/>
        <v/>
      </c>
      <c r="I741"/>
      <c r="J741" s="147" t="str">
        <f>IFERROR(SUMIFS(当年实际!$V:$V,当年实际!$F:$F,$C741,当年实际!$C:$C,"&gt;="&amp;DATE(YEAR(主页!$D$2),1,1),当年实际!$C:$C,"&lt;="&amp;EOMONTH(DATE(YEAR(主页!$D$2),MONTH(主页!$D$2),1),0))/SUMIFS(当年实际!$P:$P,当年实际!$F:$F,$C741,当年实际!$C:$C,"&gt;="&amp;DATE(YEAR(主页!$D$2),1,1),当年实际!$C:$C,"&lt;="&amp;EOMONTH(DATE(YEAR(主页!$D$2),MONTH(主页!$D$2),1),0)),"")</f>
        <v/>
      </c>
    </row>
    <row r="742" spans="1:10" x14ac:dyDescent="0.3">
      <c r="A742" s="150"/>
      <c r="B742" s="150"/>
      <c r="C742" s="150"/>
      <c r="D742" s="150"/>
      <c r="E742" s="140" t="str">
        <f t="shared" si="34"/>
        <v/>
      </c>
      <c r="F742" s="159"/>
      <c r="G742" s="145">
        <f t="shared" si="36"/>
        <v>0</v>
      </c>
      <c r="H742" s="140" t="str">
        <f t="shared" si="35"/>
        <v/>
      </c>
      <c r="I742"/>
      <c r="J742" s="147" t="str">
        <f>IFERROR(SUMIFS(当年实际!$V:$V,当年实际!$F:$F,$C742,当年实际!$C:$C,"&gt;="&amp;DATE(YEAR(主页!$D$2),1,1),当年实际!$C:$C,"&lt;="&amp;EOMONTH(DATE(YEAR(主页!$D$2),MONTH(主页!$D$2),1),0))/SUMIFS(当年实际!$P:$P,当年实际!$F:$F,$C742,当年实际!$C:$C,"&gt;="&amp;DATE(YEAR(主页!$D$2),1,1),当年实际!$C:$C,"&lt;="&amp;EOMONTH(DATE(YEAR(主页!$D$2),MONTH(主页!$D$2),1),0)),"")</f>
        <v/>
      </c>
    </row>
    <row r="743" spans="1:10" x14ac:dyDescent="0.3">
      <c r="A743" s="150"/>
      <c r="B743" s="150"/>
      <c r="C743" s="150"/>
      <c r="D743" s="150"/>
      <c r="E743" s="140" t="str">
        <f t="shared" si="34"/>
        <v/>
      </c>
      <c r="F743" s="159"/>
      <c r="G743" s="145">
        <f t="shared" si="36"/>
        <v>0</v>
      </c>
      <c r="H743" s="140" t="str">
        <f t="shared" si="35"/>
        <v/>
      </c>
      <c r="I743"/>
      <c r="J743" s="147" t="str">
        <f>IFERROR(SUMIFS(当年实际!$V:$V,当年实际!$F:$F,$C743,当年实际!$C:$C,"&gt;="&amp;DATE(YEAR(主页!$D$2),1,1),当年实际!$C:$C,"&lt;="&amp;EOMONTH(DATE(YEAR(主页!$D$2),MONTH(主页!$D$2),1),0))/SUMIFS(当年实际!$P:$P,当年实际!$F:$F,$C743,当年实际!$C:$C,"&gt;="&amp;DATE(YEAR(主页!$D$2),1,1),当年实际!$C:$C,"&lt;="&amp;EOMONTH(DATE(YEAR(主页!$D$2),MONTH(主页!$D$2),1),0)),"")</f>
        <v/>
      </c>
    </row>
    <row r="744" spans="1:10" x14ac:dyDescent="0.3">
      <c r="A744" s="150"/>
      <c r="B744" s="150"/>
      <c r="C744" s="150"/>
      <c r="D744" s="150"/>
      <c r="E744" s="140" t="str">
        <f t="shared" si="34"/>
        <v/>
      </c>
      <c r="F744" s="159"/>
      <c r="G744" s="145">
        <f t="shared" si="36"/>
        <v>0</v>
      </c>
      <c r="H744" s="140" t="str">
        <f t="shared" si="35"/>
        <v/>
      </c>
      <c r="I744"/>
      <c r="J744" s="147" t="str">
        <f>IFERROR(SUMIFS(当年实际!$V:$V,当年实际!$F:$F,$C744,当年实际!$C:$C,"&gt;="&amp;DATE(YEAR(主页!$D$2),1,1),当年实际!$C:$C,"&lt;="&amp;EOMONTH(DATE(YEAR(主页!$D$2),MONTH(主页!$D$2),1),0))/SUMIFS(当年实际!$P:$P,当年实际!$F:$F,$C744,当年实际!$C:$C,"&gt;="&amp;DATE(YEAR(主页!$D$2),1,1),当年实际!$C:$C,"&lt;="&amp;EOMONTH(DATE(YEAR(主页!$D$2),MONTH(主页!$D$2),1),0)),"")</f>
        <v/>
      </c>
    </row>
    <row r="745" spans="1:10" x14ac:dyDescent="0.3">
      <c r="A745" s="150"/>
      <c r="B745" s="150"/>
      <c r="C745" s="150"/>
      <c r="D745" s="150"/>
      <c r="E745" s="140" t="str">
        <f t="shared" si="34"/>
        <v/>
      </c>
      <c r="F745" s="159"/>
      <c r="G745" s="145">
        <f t="shared" si="36"/>
        <v>0</v>
      </c>
      <c r="H745" s="140" t="str">
        <f t="shared" si="35"/>
        <v/>
      </c>
      <c r="I745"/>
      <c r="J745" s="147" t="str">
        <f>IFERROR(SUMIFS(当年实际!$V:$V,当年实际!$F:$F,$C745,当年实际!$C:$C,"&gt;="&amp;DATE(YEAR(主页!$D$2),1,1),当年实际!$C:$C,"&lt;="&amp;EOMONTH(DATE(YEAR(主页!$D$2),MONTH(主页!$D$2),1),0))/SUMIFS(当年实际!$P:$P,当年实际!$F:$F,$C745,当年实际!$C:$C,"&gt;="&amp;DATE(YEAR(主页!$D$2),1,1),当年实际!$C:$C,"&lt;="&amp;EOMONTH(DATE(YEAR(主页!$D$2),MONTH(主页!$D$2),1),0)),"")</f>
        <v/>
      </c>
    </row>
    <row r="746" spans="1:10" x14ac:dyDescent="0.3">
      <c r="A746" s="150"/>
      <c r="B746" s="150"/>
      <c r="C746" s="150"/>
      <c r="D746" s="150"/>
      <c r="E746" s="140" t="str">
        <f t="shared" si="34"/>
        <v/>
      </c>
      <c r="F746" s="159"/>
      <c r="G746" s="145">
        <f t="shared" si="36"/>
        <v>0</v>
      </c>
      <c r="H746" s="140" t="str">
        <f t="shared" si="35"/>
        <v/>
      </c>
      <c r="I746"/>
      <c r="J746" s="147" t="str">
        <f>IFERROR(SUMIFS(当年实际!$V:$V,当年实际!$F:$F,$C746,当年实际!$C:$C,"&gt;="&amp;DATE(YEAR(主页!$D$2),1,1),当年实际!$C:$C,"&lt;="&amp;EOMONTH(DATE(YEAR(主页!$D$2),MONTH(主页!$D$2),1),0))/SUMIFS(当年实际!$P:$P,当年实际!$F:$F,$C746,当年实际!$C:$C,"&gt;="&amp;DATE(YEAR(主页!$D$2),1,1),当年实际!$C:$C,"&lt;="&amp;EOMONTH(DATE(YEAR(主页!$D$2),MONTH(主页!$D$2),1),0)),"")</f>
        <v/>
      </c>
    </row>
    <row r="747" spans="1:10" x14ac:dyDescent="0.3">
      <c r="A747" s="150"/>
      <c r="B747" s="150"/>
      <c r="C747" s="150"/>
      <c r="D747" s="150"/>
      <c r="E747" s="140" t="str">
        <f t="shared" si="34"/>
        <v/>
      </c>
      <c r="F747" s="159"/>
      <c r="G747" s="145">
        <f t="shared" si="36"/>
        <v>0</v>
      </c>
      <c r="H747" s="140" t="str">
        <f t="shared" si="35"/>
        <v/>
      </c>
      <c r="I747"/>
      <c r="J747" s="147" t="str">
        <f>IFERROR(SUMIFS(当年实际!$V:$V,当年实际!$F:$F,$C747,当年实际!$C:$C,"&gt;="&amp;DATE(YEAR(主页!$D$2),1,1),当年实际!$C:$C,"&lt;="&amp;EOMONTH(DATE(YEAR(主页!$D$2),MONTH(主页!$D$2),1),0))/SUMIFS(当年实际!$P:$P,当年实际!$F:$F,$C747,当年实际!$C:$C,"&gt;="&amp;DATE(YEAR(主页!$D$2),1,1),当年实际!$C:$C,"&lt;="&amp;EOMONTH(DATE(YEAR(主页!$D$2),MONTH(主页!$D$2),1),0)),"")</f>
        <v/>
      </c>
    </row>
    <row r="748" spans="1:10" x14ac:dyDescent="0.3">
      <c r="A748" s="150"/>
      <c r="B748" s="150"/>
      <c r="C748" s="150"/>
      <c r="D748" s="150"/>
      <c r="E748" s="140" t="str">
        <f t="shared" si="34"/>
        <v/>
      </c>
      <c r="F748" s="159"/>
      <c r="G748" s="145">
        <f t="shared" si="36"/>
        <v>0</v>
      </c>
      <c r="H748" s="140" t="str">
        <f t="shared" si="35"/>
        <v/>
      </c>
      <c r="I748"/>
      <c r="J748" s="147" t="str">
        <f>IFERROR(SUMIFS(当年实际!$V:$V,当年实际!$F:$F,$C748,当年实际!$C:$C,"&gt;="&amp;DATE(YEAR(主页!$D$2),1,1),当年实际!$C:$C,"&lt;="&amp;EOMONTH(DATE(YEAR(主页!$D$2),MONTH(主页!$D$2),1),0))/SUMIFS(当年实际!$P:$P,当年实际!$F:$F,$C748,当年实际!$C:$C,"&gt;="&amp;DATE(YEAR(主页!$D$2),1,1),当年实际!$C:$C,"&lt;="&amp;EOMONTH(DATE(YEAR(主页!$D$2),MONTH(主页!$D$2),1),0)),"")</f>
        <v/>
      </c>
    </row>
    <row r="749" spans="1:10" x14ac:dyDescent="0.3">
      <c r="A749" s="150"/>
      <c r="B749" s="150"/>
      <c r="C749" s="150"/>
      <c r="D749" s="150"/>
      <c r="E749" s="140" t="str">
        <f t="shared" si="34"/>
        <v/>
      </c>
      <c r="F749" s="159"/>
      <c r="G749" s="145">
        <f t="shared" si="36"/>
        <v>0</v>
      </c>
      <c r="H749" s="140" t="str">
        <f t="shared" si="35"/>
        <v/>
      </c>
      <c r="I749"/>
      <c r="J749" s="147" t="str">
        <f>IFERROR(SUMIFS(当年实际!$V:$V,当年实际!$F:$F,$C749,当年实际!$C:$C,"&gt;="&amp;DATE(YEAR(主页!$D$2),1,1),当年实际!$C:$C,"&lt;="&amp;EOMONTH(DATE(YEAR(主页!$D$2),MONTH(主页!$D$2),1),0))/SUMIFS(当年实际!$P:$P,当年实际!$F:$F,$C749,当年实际!$C:$C,"&gt;="&amp;DATE(YEAR(主页!$D$2),1,1),当年实际!$C:$C,"&lt;="&amp;EOMONTH(DATE(YEAR(主页!$D$2),MONTH(主页!$D$2),1),0)),"")</f>
        <v/>
      </c>
    </row>
    <row r="750" spans="1:10" x14ac:dyDescent="0.3">
      <c r="A750" s="150"/>
      <c r="B750" s="150"/>
      <c r="C750" s="150"/>
      <c r="D750" s="150"/>
      <c r="E750" s="140" t="str">
        <f t="shared" si="34"/>
        <v/>
      </c>
      <c r="F750" s="159"/>
      <c r="G750" s="145">
        <f t="shared" si="36"/>
        <v>0</v>
      </c>
      <c r="H750" s="140" t="str">
        <f t="shared" si="35"/>
        <v/>
      </c>
      <c r="I750"/>
      <c r="J750" s="147" t="str">
        <f>IFERROR(SUMIFS(当年实际!$V:$V,当年实际!$F:$F,$C750,当年实际!$C:$C,"&gt;="&amp;DATE(YEAR(主页!$D$2),1,1),当年实际!$C:$C,"&lt;="&amp;EOMONTH(DATE(YEAR(主页!$D$2),MONTH(主页!$D$2),1),0))/SUMIFS(当年实际!$P:$P,当年实际!$F:$F,$C750,当年实际!$C:$C,"&gt;="&amp;DATE(YEAR(主页!$D$2),1,1),当年实际!$C:$C,"&lt;="&amp;EOMONTH(DATE(YEAR(主页!$D$2),MONTH(主页!$D$2),1),0)),"")</f>
        <v/>
      </c>
    </row>
    <row r="751" spans="1:10" x14ac:dyDescent="0.3">
      <c r="A751" s="150"/>
      <c r="B751" s="150"/>
      <c r="C751" s="150"/>
      <c r="D751" s="150"/>
      <c r="E751" s="140" t="str">
        <f t="shared" si="34"/>
        <v/>
      </c>
      <c r="F751" s="159"/>
      <c r="G751" s="145">
        <f t="shared" si="36"/>
        <v>0</v>
      </c>
      <c r="H751" s="140" t="str">
        <f t="shared" si="35"/>
        <v/>
      </c>
      <c r="I751"/>
      <c r="J751" s="147" t="str">
        <f>IFERROR(SUMIFS(当年实际!$V:$V,当年实际!$F:$F,$C751,当年实际!$C:$C,"&gt;="&amp;DATE(YEAR(主页!$D$2),1,1),当年实际!$C:$C,"&lt;="&amp;EOMONTH(DATE(YEAR(主页!$D$2),MONTH(主页!$D$2),1),0))/SUMIFS(当年实际!$P:$P,当年实际!$F:$F,$C751,当年实际!$C:$C,"&gt;="&amp;DATE(YEAR(主页!$D$2),1,1),当年实际!$C:$C,"&lt;="&amp;EOMONTH(DATE(YEAR(主页!$D$2),MONTH(主页!$D$2),1),0)),"")</f>
        <v/>
      </c>
    </row>
    <row r="752" spans="1:10" x14ac:dyDescent="0.3">
      <c r="A752" s="150"/>
      <c r="B752" s="150"/>
      <c r="C752" s="150"/>
      <c r="D752" s="150"/>
      <c r="E752" s="140" t="str">
        <f t="shared" si="34"/>
        <v/>
      </c>
      <c r="F752" s="159"/>
      <c r="G752" s="145">
        <f t="shared" si="36"/>
        <v>0</v>
      </c>
      <c r="H752" s="140" t="str">
        <f t="shared" si="35"/>
        <v/>
      </c>
      <c r="I752"/>
      <c r="J752" s="147" t="str">
        <f>IFERROR(SUMIFS(当年实际!$V:$V,当年实际!$F:$F,$C752,当年实际!$C:$C,"&gt;="&amp;DATE(YEAR(主页!$D$2),1,1),当年实际!$C:$C,"&lt;="&amp;EOMONTH(DATE(YEAR(主页!$D$2),MONTH(主页!$D$2),1),0))/SUMIFS(当年实际!$P:$P,当年实际!$F:$F,$C752,当年实际!$C:$C,"&gt;="&amp;DATE(YEAR(主页!$D$2),1,1),当年实际!$C:$C,"&lt;="&amp;EOMONTH(DATE(YEAR(主页!$D$2),MONTH(主页!$D$2),1),0)),"")</f>
        <v/>
      </c>
    </row>
    <row r="753" spans="1:10" x14ac:dyDescent="0.3">
      <c r="A753" s="150"/>
      <c r="B753" s="150"/>
      <c r="C753" s="150"/>
      <c r="D753" s="150"/>
      <c r="E753" s="140" t="str">
        <f t="shared" si="34"/>
        <v/>
      </c>
      <c r="F753" s="159"/>
      <c r="G753" s="145">
        <f t="shared" si="36"/>
        <v>0</v>
      </c>
      <c r="H753" s="140" t="str">
        <f t="shared" si="35"/>
        <v/>
      </c>
      <c r="I753"/>
      <c r="J753" s="147" t="str">
        <f>IFERROR(SUMIFS(当年实际!$V:$V,当年实际!$F:$F,$C753,当年实际!$C:$C,"&gt;="&amp;DATE(YEAR(主页!$D$2),1,1),当年实际!$C:$C,"&lt;="&amp;EOMONTH(DATE(YEAR(主页!$D$2),MONTH(主页!$D$2),1),0))/SUMIFS(当年实际!$P:$P,当年实际!$F:$F,$C753,当年实际!$C:$C,"&gt;="&amp;DATE(YEAR(主页!$D$2),1,1),当年实际!$C:$C,"&lt;="&amp;EOMONTH(DATE(YEAR(主页!$D$2),MONTH(主页!$D$2),1),0)),"")</f>
        <v/>
      </c>
    </row>
    <row r="754" spans="1:10" x14ac:dyDescent="0.3">
      <c r="A754" s="150"/>
      <c r="B754" s="150"/>
      <c r="C754" s="150"/>
      <c r="D754" s="150"/>
      <c r="E754" s="140" t="str">
        <f t="shared" si="34"/>
        <v/>
      </c>
      <c r="F754" s="159"/>
      <c r="G754" s="145">
        <f t="shared" si="36"/>
        <v>0</v>
      </c>
      <c r="H754" s="140" t="str">
        <f t="shared" si="35"/>
        <v/>
      </c>
      <c r="I754"/>
      <c r="J754" s="147" t="str">
        <f>IFERROR(SUMIFS(当年实际!$V:$V,当年实际!$F:$F,$C754,当年实际!$C:$C,"&gt;="&amp;DATE(YEAR(主页!$D$2),1,1),当年实际!$C:$C,"&lt;="&amp;EOMONTH(DATE(YEAR(主页!$D$2),MONTH(主页!$D$2),1),0))/SUMIFS(当年实际!$P:$P,当年实际!$F:$F,$C754,当年实际!$C:$C,"&gt;="&amp;DATE(YEAR(主页!$D$2),1,1),当年实际!$C:$C,"&lt;="&amp;EOMONTH(DATE(YEAR(主页!$D$2),MONTH(主页!$D$2),1),0)),"")</f>
        <v/>
      </c>
    </row>
    <row r="755" spans="1:10" x14ac:dyDescent="0.3">
      <c r="A755" s="150"/>
      <c r="B755" s="150"/>
      <c r="C755" s="150"/>
      <c r="D755" s="150"/>
      <c r="E755" s="140" t="str">
        <f t="shared" si="34"/>
        <v/>
      </c>
      <c r="F755" s="159"/>
      <c r="G755" s="145">
        <f t="shared" si="36"/>
        <v>0</v>
      </c>
      <c r="H755" s="140" t="str">
        <f t="shared" si="35"/>
        <v/>
      </c>
      <c r="I755"/>
      <c r="J755" s="147" t="str">
        <f>IFERROR(SUMIFS(当年实际!$V:$V,当年实际!$F:$F,$C755,当年实际!$C:$C,"&gt;="&amp;DATE(YEAR(主页!$D$2),1,1),当年实际!$C:$C,"&lt;="&amp;EOMONTH(DATE(YEAR(主页!$D$2),MONTH(主页!$D$2),1),0))/SUMIFS(当年实际!$P:$P,当年实际!$F:$F,$C755,当年实际!$C:$C,"&gt;="&amp;DATE(YEAR(主页!$D$2),1,1),当年实际!$C:$C,"&lt;="&amp;EOMONTH(DATE(YEAR(主页!$D$2),MONTH(主页!$D$2),1),0)),"")</f>
        <v/>
      </c>
    </row>
    <row r="756" spans="1:10" x14ac:dyDescent="0.3">
      <c r="A756" s="150"/>
      <c r="B756" s="150"/>
      <c r="C756" s="150"/>
      <c r="D756" s="150"/>
      <c r="E756" s="140" t="str">
        <f t="shared" si="34"/>
        <v/>
      </c>
      <c r="F756" s="159"/>
      <c r="G756" s="145">
        <f t="shared" si="36"/>
        <v>0</v>
      </c>
      <c r="H756" s="140" t="str">
        <f t="shared" si="35"/>
        <v/>
      </c>
      <c r="I756"/>
      <c r="J756" s="147" t="str">
        <f>IFERROR(SUMIFS(当年实际!$V:$V,当年实际!$F:$F,$C756,当年实际!$C:$C,"&gt;="&amp;DATE(YEAR(主页!$D$2),1,1),当年实际!$C:$C,"&lt;="&amp;EOMONTH(DATE(YEAR(主页!$D$2),MONTH(主页!$D$2),1),0))/SUMIFS(当年实际!$P:$P,当年实际!$F:$F,$C756,当年实际!$C:$C,"&gt;="&amp;DATE(YEAR(主页!$D$2),1,1),当年实际!$C:$C,"&lt;="&amp;EOMONTH(DATE(YEAR(主页!$D$2),MONTH(主页!$D$2),1),0)),"")</f>
        <v/>
      </c>
    </row>
    <row r="757" spans="1:10" x14ac:dyDescent="0.3">
      <c r="A757" s="150"/>
      <c r="B757" s="150"/>
      <c r="C757" s="150"/>
      <c r="D757" s="150"/>
      <c r="E757" s="140" t="str">
        <f t="shared" si="34"/>
        <v/>
      </c>
      <c r="F757" s="159"/>
      <c r="G757" s="145">
        <f t="shared" si="36"/>
        <v>0</v>
      </c>
      <c r="H757" s="140" t="str">
        <f t="shared" si="35"/>
        <v/>
      </c>
      <c r="I757"/>
      <c r="J757" s="147" t="str">
        <f>IFERROR(SUMIFS(当年实际!$V:$V,当年实际!$F:$F,$C757,当年实际!$C:$C,"&gt;="&amp;DATE(YEAR(主页!$D$2),1,1),当年实际!$C:$C,"&lt;="&amp;EOMONTH(DATE(YEAR(主页!$D$2),MONTH(主页!$D$2),1),0))/SUMIFS(当年实际!$P:$P,当年实际!$F:$F,$C757,当年实际!$C:$C,"&gt;="&amp;DATE(YEAR(主页!$D$2),1,1),当年实际!$C:$C,"&lt;="&amp;EOMONTH(DATE(YEAR(主页!$D$2),MONTH(主页!$D$2),1),0)),"")</f>
        <v/>
      </c>
    </row>
    <row r="758" spans="1:10" x14ac:dyDescent="0.3">
      <c r="A758" s="150"/>
      <c r="B758" s="150"/>
      <c r="C758" s="150"/>
      <c r="D758" s="150"/>
      <c r="E758" s="140" t="str">
        <f t="shared" si="34"/>
        <v/>
      </c>
      <c r="F758" s="159"/>
      <c r="G758" s="145">
        <f t="shared" si="36"/>
        <v>0</v>
      </c>
      <c r="H758" s="140" t="str">
        <f t="shared" si="35"/>
        <v/>
      </c>
      <c r="I758"/>
      <c r="J758" s="147" t="str">
        <f>IFERROR(SUMIFS(当年实际!$V:$V,当年实际!$F:$F,$C758,当年实际!$C:$C,"&gt;="&amp;DATE(YEAR(主页!$D$2),1,1),当年实际!$C:$C,"&lt;="&amp;EOMONTH(DATE(YEAR(主页!$D$2),MONTH(主页!$D$2),1),0))/SUMIFS(当年实际!$P:$P,当年实际!$F:$F,$C758,当年实际!$C:$C,"&gt;="&amp;DATE(YEAR(主页!$D$2),1,1),当年实际!$C:$C,"&lt;="&amp;EOMONTH(DATE(YEAR(主页!$D$2),MONTH(主页!$D$2),1),0)),"")</f>
        <v/>
      </c>
    </row>
    <row r="759" spans="1:10" x14ac:dyDescent="0.3">
      <c r="A759" s="150"/>
      <c r="B759" s="150"/>
      <c r="C759" s="150"/>
      <c r="D759" s="150"/>
      <c r="E759" s="140" t="str">
        <f t="shared" si="34"/>
        <v/>
      </c>
      <c r="F759" s="159"/>
      <c r="G759" s="145">
        <f t="shared" si="36"/>
        <v>0</v>
      </c>
      <c r="H759" s="140" t="str">
        <f t="shared" si="35"/>
        <v/>
      </c>
      <c r="I759"/>
      <c r="J759" s="147" t="str">
        <f>IFERROR(SUMIFS(当年实际!$V:$V,当年实际!$F:$F,$C759,当年实际!$C:$C,"&gt;="&amp;DATE(YEAR(主页!$D$2),1,1),当年实际!$C:$C,"&lt;="&amp;EOMONTH(DATE(YEAR(主页!$D$2),MONTH(主页!$D$2),1),0))/SUMIFS(当年实际!$P:$P,当年实际!$F:$F,$C759,当年实际!$C:$C,"&gt;="&amp;DATE(YEAR(主页!$D$2),1,1),当年实际!$C:$C,"&lt;="&amp;EOMONTH(DATE(YEAR(主页!$D$2),MONTH(主页!$D$2),1),0)),"")</f>
        <v/>
      </c>
    </row>
    <row r="760" spans="1:10" x14ac:dyDescent="0.3">
      <c r="A760" s="150"/>
      <c r="B760" s="150"/>
      <c r="C760" s="150"/>
      <c r="D760" s="150"/>
      <c r="E760" s="140" t="str">
        <f t="shared" si="34"/>
        <v/>
      </c>
      <c r="F760" s="159"/>
      <c r="G760" s="145">
        <f t="shared" si="36"/>
        <v>0</v>
      </c>
      <c r="H760" s="140" t="str">
        <f t="shared" si="35"/>
        <v/>
      </c>
      <c r="I760"/>
      <c r="J760" s="147" t="str">
        <f>IFERROR(SUMIFS(当年实际!$V:$V,当年实际!$F:$F,$C760,当年实际!$C:$C,"&gt;="&amp;DATE(YEAR(主页!$D$2),1,1),当年实际!$C:$C,"&lt;="&amp;EOMONTH(DATE(YEAR(主页!$D$2),MONTH(主页!$D$2),1),0))/SUMIFS(当年实际!$P:$P,当年实际!$F:$F,$C760,当年实际!$C:$C,"&gt;="&amp;DATE(YEAR(主页!$D$2),1,1),当年实际!$C:$C,"&lt;="&amp;EOMONTH(DATE(YEAR(主页!$D$2),MONTH(主页!$D$2),1),0)),"")</f>
        <v/>
      </c>
    </row>
    <row r="761" spans="1:10" x14ac:dyDescent="0.3">
      <c r="A761" s="150"/>
      <c r="B761" s="150"/>
      <c r="C761" s="150"/>
      <c r="D761" s="150"/>
      <c r="E761" s="140" t="str">
        <f t="shared" si="34"/>
        <v/>
      </c>
      <c r="F761" s="159"/>
      <c r="G761" s="145">
        <f t="shared" si="36"/>
        <v>0</v>
      </c>
      <c r="H761" s="140" t="str">
        <f t="shared" si="35"/>
        <v/>
      </c>
      <c r="I761"/>
      <c r="J761" s="147" t="str">
        <f>IFERROR(SUMIFS(当年实际!$V:$V,当年实际!$F:$F,$C761,当年实际!$C:$C,"&gt;="&amp;DATE(YEAR(主页!$D$2),1,1),当年实际!$C:$C,"&lt;="&amp;EOMONTH(DATE(YEAR(主页!$D$2),MONTH(主页!$D$2),1),0))/SUMIFS(当年实际!$P:$P,当年实际!$F:$F,$C761,当年实际!$C:$C,"&gt;="&amp;DATE(YEAR(主页!$D$2),1,1),当年实际!$C:$C,"&lt;="&amp;EOMONTH(DATE(YEAR(主页!$D$2),MONTH(主页!$D$2),1),0)),"")</f>
        <v/>
      </c>
    </row>
    <row r="762" spans="1:10" x14ac:dyDescent="0.3">
      <c r="A762" s="150"/>
      <c r="B762" s="150"/>
      <c r="C762" s="150"/>
      <c r="D762" s="150"/>
      <c r="E762" s="140" t="str">
        <f t="shared" si="34"/>
        <v/>
      </c>
      <c r="F762" s="159"/>
      <c r="G762" s="145">
        <f t="shared" si="36"/>
        <v>0</v>
      </c>
      <c r="H762" s="140" t="str">
        <f t="shared" si="35"/>
        <v/>
      </c>
      <c r="I762"/>
      <c r="J762" s="147" t="str">
        <f>IFERROR(SUMIFS(当年实际!$V:$V,当年实际!$F:$F,$C762,当年实际!$C:$C,"&gt;="&amp;DATE(YEAR(主页!$D$2),1,1),当年实际!$C:$C,"&lt;="&amp;EOMONTH(DATE(YEAR(主页!$D$2),MONTH(主页!$D$2),1),0))/SUMIFS(当年实际!$P:$P,当年实际!$F:$F,$C762,当年实际!$C:$C,"&gt;="&amp;DATE(YEAR(主页!$D$2),1,1),当年实际!$C:$C,"&lt;="&amp;EOMONTH(DATE(YEAR(主页!$D$2),MONTH(主页!$D$2),1),0)),"")</f>
        <v/>
      </c>
    </row>
    <row r="763" spans="1:10" x14ac:dyDescent="0.3">
      <c r="A763" s="150"/>
      <c r="B763" s="150"/>
      <c r="C763" s="150"/>
      <c r="D763" s="150"/>
      <c r="E763" s="140" t="str">
        <f t="shared" si="34"/>
        <v/>
      </c>
      <c r="F763" s="159"/>
      <c r="G763" s="145">
        <f t="shared" si="36"/>
        <v>0</v>
      </c>
      <c r="H763" s="140" t="str">
        <f t="shared" si="35"/>
        <v/>
      </c>
      <c r="I763"/>
      <c r="J763" s="147" t="str">
        <f>IFERROR(SUMIFS(当年实际!$V:$V,当年实际!$F:$F,$C763,当年实际!$C:$C,"&gt;="&amp;DATE(YEAR(主页!$D$2),1,1),当年实际!$C:$C,"&lt;="&amp;EOMONTH(DATE(YEAR(主页!$D$2),MONTH(主页!$D$2),1),0))/SUMIFS(当年实际!$P:$P,当年实际!$F:$F,$C763,当年实际!$C:$C,"&gt;="&amp;DATE(YEAR(主页!$D$2),1,1),当年实际!$C:$C,"&lt;="&amp;EOMONTH(DATE(YEAR(主页!$D$2),MONTH(主页!$D$2),1),0)),"")</f>
        <v/>
      </c>
    </row>
    <row r="764" spans="1:10" x14ac:dyDescent="0.3">
      <c r="A764" s="150"/>
      <c r="B764" s="150"/>
      <c r="C764" s="150"/>
      <c r="D764" s="150"/>
      <c r="E764" s="140" t="str">
        <f t="shared" si="34"/>
        <v/>
      </c>
      <c r="F764" s="159"/>
      <c r="G764" s="145">
        <f t="shared" si="36"/>
        <v>0</v>
      </c>
      <c r="H764" s="140" t="str">
        <f t="shared" si="35"/>
        <v/>
      </c>
      <c r="I764"/>
      <c r="J764" s="147" t="str">
        <f>IFERROR(SUMIFS(当年实际!$V:$V,当年实际!$F:$F,$C764,当年实际!$C:$C,"&gt;="&amp;DATE(YEAR(主页!$D$2),1,1),当年实际!$C:$C,"&lt;="&amp;EOMONTH(DATE(YEAR(主页!$D$2),MONTH(主页!$D$2),1),0))/SUMIFS(当年实际!$P:$P,当年实际!$F:$F,$C764,当年实际!$C:$C,"&gt;="&amp;DATE(YEAR(主页!$D$2),1,1),当年实际!$C:$C,"&lt;="&amp;EOMONTH(DATE(YEAR(主页!$D$2),MONTH(主页!$D$2),1),0)),"")</f>
        <v/>
      </c>
    </row>
    <row r="765" spans="1:10" x14ac:dyDescent="0.3">
      <c r="A765" s="150"/>
      <c r="B765" s="150"/>
      <c r="C765" s="150"/>
      <c r="D765" s="150"/>
      <c r="E765" s="140" t="str">
        <f t="shared" si="34"/>
        <v/>
      </c>
      <c r="F765" s="159"/>
      <c r="G765" s="145">
        <f t="shared" si="36"/>
        <v>0</v>
      </c>
      <c r="H765" s="140" t="str">
        <f t="shared" si="35"/>
        <v/>
      </c>
      <c r="I765"/>
      <c r="J765" s="147" t="str">
        <f>IFERROR(SUMIFS(当年实际!$V:$V,当年实际!$F:$F,$C765,当年实际!$C:$C,"&gt;="&amp;DATE(YEAR(主页!$D$2),1,1),当年实际!$C:$C,"&lt;="&amp;EOMONTH(DATE(YEAR(主页!$D$2),MONTH(主页!$D$2),1),0))/SUMIFS(当年实际!$P:$P,当年实际!$F:$F,$C765,当年实际!$C:$C,"&gt;="&amp;DATE(YEAR(主页!$D$2),1,1),当年实际!$C:$C,"&lt;="&amp;EOMONTH(DATE(YEAR(主页!$D$2),MONTH(主页!$D$2),1),0)),"")</f>
        <v/>
      </c>
    </row>
    <row r="766" spans="1:10" x14ac:dyDescent="0.3">
      <c r="A766" s="150"/>
      <c r="B766" s="150"/>
      <c r="C766" s="150"/>
      <c r="D766" s="150"/>
      <c r="E766" s="140" t="str">
        <f t="shared" si="34"/>
        <v/>
      </c>
      <c r="F766" s="159"/>
      <c r="G766" s="145">
        <f t="shared" si="36"/>
        <v>0</v>
      </c>
      <c r="H766" s="140" t="str">
        <f t="shared" si="35"/>
        <v/>
      </c>
      <c r="I766"/>
      <c r="J766" s="147" t="str">
        <f>IFERROR(SUMIFS(当年实际!$V:$V,当年实际!$F:$F,$C766,当年实际!$C:$C,"&gt;="&amp;DATE(YEAR(主页!$D$2),1,1),当年实际!$C:$C,"&lt;="&amp;EOMONTH(DATE(YEAR(主页!$D$2),MONTH(主页!$D$2),1),0))/SUMIFS(当年实际!$P:$P,当年实际!$F:$F,$C766,当年实际!$C:$C,"&gt;="&amp;DATE(YEAR(主页!$D$2),1,1),当年实际!$C:$C,"&lt;="&amp;EOMONTH(DATE(YEAR(主页!$D$2),MONTH(主页!$D$2),1),0)),"")</f>
        <v/>
      </c>
    </row>
    <row r="767" spans="1:10" x14ac:dyDescent="0.3">
      <c r="A767" s="150"/>
      <c r="B767" s="150"/>
      <c r="C767" s="150"/>
      <c r="D767" s="150"/>
      <c r="E767" s="140" t="str">
        <f t="shared" si="34"/>
        <v/>
      </c>
      <c r="F767" s="159"/>
      <c r="G767" s="145">
        <f t="shared" si="36"/>
        <v>0</v>
      </c>
      <c r="H767" s="140" t="str">
        <f t="shared" si="35"/>
        <v/>
      </c>
      <c r="I767"/>
      <c r="J767" s="147" t="str">
        <f>IFERROR(SUMIFS(当年实际!$V:$V,当年实际!$F:$F,$C767,当年实际!$C:$C,"&gt;="&amp;DATE(YEAR(主页!$D$2),1,1),当年实际!$C:$C,"&lt;="&amp;EOMONTH(DATE(YEAR(主页!$D$2),MONTH(主页!$D$2),1),0))/SUMIFS(当年实际!$P:$P,当年实际!$F:$F,$C767,当年实际!$C:$C,"&gt;="&amp;DATE(YEAR(主页!$D$2),1,1),当年实际!$C:$C,"&lt;="&amp;EOMONTH(DATE(YEAR(主页!$D$2),MONTH(主页!$D$2),1),0)),"")</f>
        <v/>
      </c>
    </row>
    <row r="768" spans="1:10" x14ac:dyDescent="0.3">
      <c r="A768" s="150"/>
      <c r="B768" s="150"/>
      <c r="C768" s="150"/>
      <c r="D768" s="150"/>
      <c r="E768" s="140" t="str">
        <f t="shared" si="34"/>
        <v/>
      </c>
      <c r="F768" s="159"/>
      <c r="G768" s="145">
        <f t="shared" si="36"/>
        <v>0</v>
      </c>
      <c r="H768" s="140" t="str">
        <f t="shared" si="35"/>
        <v/>
      </c>
      <c r="I768"/>
      <c r="J768" s="147" t="str">
        <f>IFERROR(SUMIFS(当年实际!$V:$V,当年实际!$F:$F,$C768,当年实际!$C:$C,"&gt;="&amp;DATE(YEAR(主页!$D$2),1,1),当年实际!$C:$C,"&lt;="&amp;EOMONTH(DATE(YEAR(主页!$D$2),MONTH(主页!$D$2),1),0))/SUMIFS(当年实际!$P:$P,当年实际!$F:$F,$C768,当年实际!$C:$C,"&gt;="&amp;DATE(YEAR(主页!$D$2),1,1),当年实际!$C:$C,"&lt;="&amp;EOMONTH(DATE(YEAR(主页!$D$2),MONTH(主页!$D$2),1),0)),"")</f>
        <v/>
      </c>
    </row>
    <row r="769" spans="1:10" x14ac:dyDescent="0.3">
      <c r="A769" s="150"/>
      <c r="B769" s="150"/>
      <c r="C769" s="150"/>
      <c r="D769" s="150"/>
      <c r="E769" s="140" t="str">
        <f t="shared" si="34"/>
        <v/>
      </c>
      <c r="F769" s="159"/>
      <c r="G769" s="145">
        <f t="shared" si="36"/>
        <v>0</v>
      </c>
      <c r="H769" s="140" t="str">
        <f t="shared" si="35"/>
        <v/>
      </c>
      <c r="I769"/>
      <c r="J769" s="147" t="str">
        <f>IFERROR(SUMIFS(当年实际!$V:$V,当年实际!$F:$F,$C769,当年实际!$C:$C,"&gt;="&amp;DATE(YEAR(主页!$D$2),1,1),当年实际!$C:$C,"&lt;="&amp;EOMONTH(DATE(YEAR(主页!$D$2),MONTH(主页!$D$2),1),0))/SUMIFS(当年实际!$P:$P,当年实际!$F:$F,$C769,当年实际!$C:$C,"&gt;="&amp;DATE(YEAR(主页!$D$2),1,1),当年实际!$C:$C,"&lt;="&amp;EOMONTH(DATE(YEAR(主页!$D$2),MONTH(主页!$D$2),1),0)),"")</f>
        <v/>
      </c>
    </row>
    <row r="770" spans="1:10" x14ac:dyDescent="0.3">
      <c r="A770" s="150"/>
      <c r="B770" s="150"/>
      <c r="C770" s="150"/>
      <c r="D770" s="150"/>
      <c r="E770" s="140" t="str">
        <f t="shared" si="34"/>
        <v/>
      </c>
      <c r="F770" s="159"/>
      <c r="G770" s="145">
        <f t="shared" si="36"/>
        <v>0</v>
      </c>
      <c r="H770" s="140" t="str">
        <f t="shared" si="35"/>
        <v/>
      </c>
      <c r="I770"/>
      <c r="J770" s="147" t="str">
        <f>IFERROR(SUMIFS(当年实际!$V:$V,当年实际!$F:$F,$C770,当年实际!$C:$C,"&gt;="&amp;DATE(YEAR(主页!$D$2),1,1),当年实际!$C:$C,"&lt;="&amp;EOMONTH(DATE(YEAR(主页!$D$2),MONTH(主页!$D$2),1),0))/SUMIFS(当年实际!$P:$P,当年实际!$F:$F,$C770,当年实际!$C:$C,"&gt;="&amp;DATE(YEAR(主页!$D$2),1,1),当年实际!$C:$C,"&lt;="&amp;EOMONTH(DATE(YEAR(主页!$D$2),MONTH(主页!$D$2),1),0)),"")</f>
        <v/>
      </c>
    </row>
    <row r="771" spans="1:10" x14ac:dyDescent="0.3">
      <c r="A771" s="150"/>
      <c r="B771" s="150"/>
      <c r="C771" s="150"/>
      <c r="D771" s="150"/>
      <c r="E771" s="140" t="str">
        <f t="shared" si="34"/>
        <v/>
      </c>
      <c r="F771" s="159"/>
      <c r="G771" s="145">
        <f t="shared" si="36"/>
        <v>0</v>
      </c>
      <c r="H771" s="140" t="str">
        <f t="shared" si="35"/>
        <v/>
      </c>
      <c r="I771"/>
      <c r="J771" s="147" t="str">
        <f>IFERROR(SUMIFS(当年实际!$V:$V,当年实际!$F:$F,$C771,当年实际!$C:$C,"&gt;="&amp;DATE(YEAR(主页!$D$2),1,1),当年实际!$C:$C,"&lt;="&amp;EOMONTH(DATE(YEAR(主页!$D$2),MONTH(主页!$D$2),1),0))/SUMIFS(当年实际!$P:$P,当年实际!$F:$F,$C771,当年实际!$C:$C,"&gt;="&amp;DATE(YEAR(主页!$D$2),1,1),当年实际!$C:$C,"&lt;="&amp;EOMONTH(DATE(YEAR(主页!$D$2),MONTH(主页!$D$2),1),0)),"")</f>
        <v/>
      </c>
    </row>
    <row r="772" spans="1:10" x14ac:dyDescent="0.3">
      <c r="A772" s="150"/>
      <c r="B772" s="150"/>
      <c r="C772" s="150"/>
      <c r="D772" s="150"/>
      <c r="E772" s="140" t="str">
        <f t="shared" ref="E772:E835" si="37">IF(D772/SUM(D:D)=0,"",D772/SUM(D:D))</f>
        <v/>
      </c>
      <c r="F772" s="159"/>
      <c r="G772" s="145">
        <f t="shared" si="36"/>
        <v>0</v>
      </c>
      <c r="H772" s="140" t="str">
        <f t="shared" ref="H772:H835" si="38">IF(G772/SUM(G:G)=0,"",G772/SUM(G:G))</f>
        <v/>
      </c>
      <c r="I772"/>
      <c r="J772" s="147" t="str">
        <f>IFERROR(SUMIFS(当年实际!$V:$V,当年实际!$F:$F,$C772,当年实际!$C:$C,"&gt;="&amp;DATE(YEAR(主页!$D$2),1,1),当年实际!$C:$C,"&lt;="&amp;EOMONTH(DATE(YEAR(主页!$D$2),MONTH(主页!$D$2),1),0))/SUMIFS(当年实际!$P:$P,当年实际!$F:$F,$C772,当年实际!$C:$C,"&gt;="&amp;DATE(YEAR(主页!$D$2),1,1),当年实际!$C:$C,"&lt;="&amp;EOMONTH(DATE(YEAR(主页!$D$2),MONTH(主页!$D$2),1),0)),"")</f>
        <v/>
      </c>
    </row>
    <row r="773" spans="1:10" x14ac:dyDescent="0.3">
      <c r="A773" s="150"/>
      <c r="B773" s="150"/>
      <c r="C773" s="150"/>
      <c r="D773" s="150"/>
      <c r="E773" s="140" t="str">
        <f t="shared" si="37"/>
        <v/>
      </c>
      <c r="F773" s="159"/>
      <c r="G773" s="145">
        <f t="shared" si="36"/>
        <v>0</v>
      </c>
      <c r="H773" s="140" t="str">
        <f t="shared" si="38"/>
        <v/>
      </c>
      <c r="I773"/>
      <c r="J773" s="147" t="str">
        <f>IFERROR(SUMIFS(当年实际!$V:$V,当年实际!$F:$F,$C773,当年实际!$C:$C,"&gt;="&amp;DATE(YEAR(主页!$D$2),1,1),当年实际!$C:$C,"&lt;="&amp;EOMONTH(DATE(YEAR(主页!$D$2),MONTH(主页!$D$2),1),0))/SUMIFS(当年实际!$P:$P,当年实际!$F:$F,$C773,当年实际!$C:$C,"&gt;="&amp;DATE(YEAR(主页!$D$2),1,1),当年实际!$C:$C,"&lt;="&amp;EOMONTH(DATE(YEAR(主页!$D$2),MONTH(主页!$D$2),1),0)),"")</f>
        <v/>
      </c>
    </row>
    <row r="774" spans="1:10" x14ac:dyDescent="0.3">
      <c r="A774" s="150"/>
      <c r="B774" s="150"/>
      <c r="C774" s="150"/>
      <c r="D774" s="150"/>
      <c r="E774" s="140" t="str">
        <f t="shared" si="37"/>
        <v/>
      </c>
      <c r="F774" s="159"/>
      <c r="G774" s="145">
        <f t="shared" si="36"/>
        <v>0</v>
      </c>
      <c r="H774" s="140" t="str">
        <f t="shared" si="38"/>
        <v/>
      </c>
      <c r="I774"/>
      <c r="J774" s="147" t="str">
        <f>IFERROR(SUMIFS(当年实际!$V:$V,当年实际!$F:$F,$C774,当年实际!$C:$C,"&gt;="&amp;DATE(YEAR(主页!$D$2),1,1),当年实际!$C:$C,"&lt;="&amp;EOMONTH(DATE(YEAR(主页!$D$2),MONTH(主页!$D$2),1),0))/SUMIFS(当年实际!$P:$P,当年实际!$F:$F,$C774,当年实际!$C:$C,"&gt;="&amp;DATE(YEAR(主页!$D$2),1,1),当年实际!$C:$C,"&lt;="&amp;EOMONTH(DATE(YEAR(主页!$D$2),MONTH(主页!$D$2),1),0)),"")</f>
        <v/>
      </c>
    </row>
    <row r="775" spans="1:10" x14ac:dyDescent="0.3">
      <c r="A775" s="150"/>
      <c r="B775" s="150"/>
      <c r="C775" s="150"/>
      <c r="D775" s="150"/>
      <c r="E775" s="140" t="str">
        <f t="shared" si="37"/>
        <v/>
      </c>
      <c r="F775" s="159"/>
      <c r="G775" s="145">
        <f t="shared" ref="G775:G838" si="39">D775*F775</f>
        <v>0</v>
      </c>
      <c r="H775" s="140" t="str">
        <f t="shared" si="38"/>
        <v/>
      </c>
      <c r="I775"/>
      <c r="J775" s="147" t="str">
        <f>IFERROR(SUMIFS(当年实际!$V:$V,当年实际!$F:$F,$C775,当年实际!$C:$C,"&gt;="&amp;DATE(YEAR(主页!$D$2),1,1),当年实际!$C:$C,"&lt;="&amp;EOMONTH(DATE(YEAR(主页!$D$2),MONTH(主页!$D$2),1),0))/SUMIFS(当年实际!$P:$P,当年实际!$F:$F,$C775,当年实际!$C:$C,"&gt;="&amp;DATE(YEAR(主页!$D$2),1,1),当年实际!$C:$C,"&lt;="&amp;EOMONTH(DATE(YEAR(主页!$D$2),MONTH(主页!$D$2),1),0)),"")</f>
        <v/>
      </c>
    </row>
    <row r="776" spans="1:10" x14ac:dyDescent="0.3">
      <c r="A776" s="150"/>
      <c r="B776" s="150"/>
      <c r="C776" s="150"/>
      <c r="D776" s="150"/>
      <c r="E776" s="140" t="str">
        <f t="shared" si="37"/>
        <v/>
      </c>
      <c r="F776" s="159"/>
      <c r="G776" s="145">
        <f t="shared" si="39"/>
        <v>0</v>
      </c>
      <c r="H776" s="140" t="str">
        <f t="shared" si="38"/>
        <v/>
      </c>
      <c r="I776"/>
      <c r="J776" s="147" t="str">
        <f>IFERROR(SUMIFS(当年实际!$V:$V,当年实际!$F:$F,$C776,当年实际!$C:$C,"&gt;="&amp;DATE(YEAR(主页!$D$2),1,1),当年实际!$C:$C,"&lt;="&amp;EOMONTH(DATE(YEAR(主页!$D$2),MONTH(主页!$D$2),1),0))/SUMIFS(当年实际!$P:$P,当年实际!$F:$F,$C776,当年实际!$C:$C,"&gt;="&amp;DATE(YEAR(主页!$D$2),1,1),当年实际!$C:$C,"&lt;="&amp;EOMONTH(DATE(YEAR(主页!$D$2),MONTH(主页!$D$2),1),0)),"")</f>
        <v/>
      </c>
    </row>
    <row r="777" spans="1:10" x14ac:dyDescent="0.3">
      <c r="A777" s="150"/>
      <c r="B777" s="150"/>
      <c r="C777" s="150"/>
      <c r="D777" s="150"/>
      <c r="E777" s="140" t="str">
        <f t="shared" si="37"/>
        <v/>
      </c>
      <c r="F777" s="159"/>
      <c r="G777" s="145">
        <f t="shared" si="39"/>
        <v>0</v>
      </c>
      <c r="H777" s="140" t="str">
        <f t="shared" si="38"/>
        <v/>
      </c>
      <c r="I777"/>
      <c r="J777" s="147" t="str">
        <f>IFERROR(SUMIFS(当年实际!$V:$V,当年实际!$F:$F,$C777,当年实际!$C:$C,"&gt;="&amp;DATE(YEAR(主页!$D$2),1,1),当年实际!$C:$C,"&lt;="&amp;EOMONTH(DATE(YEAR(主页!$D$2),MONTH(主页!$D$2),1),0))/SUMIFS(当年实际!$P:$P,当年实际!$F:$F,$C777,当年实际!$C:$C,"&gt;="&amp;DATE(YEAR(主页!$D$2),1,1),当年实际!$C:$C,"&lt;="&amp;EOMONTH(DATE(YEAR(主页!$D$2),MONTH(主页!$D$2),1),0)),"")</f>
        <v/>
      </c>
    </row>
    <row r="778" spans="1:10" x14ac:dyDescent="0.3">
      <c r="A778" s="150"/>
      <c r="B778" s="150"/>
      <c r="C778" s="150"/>
      <c r="D778" s="150"/>
      <c r="E778" s="140" t="str">
        <f t="shared" si="37"/>
        <v/>
      </c>
      <c r="F778" s="159"/>
      <c r="G778" s="145">
        <f t="shared" si="39"/>
        <v>0</v>
      </c>
      <c r="H778" s="140" t="str">
        <f t="shared" si="38"/>
        <v/>
      </c>
      <c r="I778"/>
      <c r="J778" s="147" t="str">
        <f>IFERROR(SUMIFS(当年实际!$V:$V,当年实际!$F:$F,$C778,当年实际!$C:$C,"&gt;="&amp;DATE(YEAR(主页!$D$2),1,1),当年实际!$C:$C,"&lt;="&amp;EOMONTH(DATE(YEAR(主页!$D$2),MONTH(主页!$D$2),1),0))/SUMIFS(当年实际!$P:$P,当年实际!$F:$F,$C778,当年实际!$C:$C,"&gt;="&amp;DATE(YEAR(主页!$D$2),1,1),当年实际!$C:$C,"&lt;="&amp;EOMONTH(DATE(YEAR(主页!$D$2),MONTH(主页!$D$2),1),0)),"")</f>
        <v/>
      </c>
    </row>
    <row r="779" spans="1:10" x14ac:dyDescent="0.3">
      <c r="A779" s="150"/>
      <c r="B779" s="150"/>
      <c r="C779" s="150"/>
      <c r="D779" s="150"/>
      <c r="E779" s="140" t="str">
        <f t="shared" si="37"/>
        <v/>
      </c>
      <c r="F779" s="159"/>
      <c r="G779" s="145">
        <f t="shared" si="39"/>
        <v>0</v>
      </c>
      <c r="H779" s="140" t="str">
        <f t="shared" si="38"/>
        <v/>
      </c>
      <c r="I779"/>
      <c r="J779" s="147" t="str">
        <f>IFERROR(SUMIFS(当年实际!$V:$V,当年实际!$F:$F,$C779,当年实际!$C:$C,"&gt;="&amp;DATE(YEAR(主页!$D$2),1,1),当年实际!$C:$C,"&lt;="&amp;EOMONTH(DATE(YEAR(主页!$D$2),MONTH(主页!$D$2),1),0))/SUMIFS(当年实际!$P:$P,当年实际!$F:$F,$C779,当年实际!$C:$C,"&gt;="&amp;DATE(YEAR(主页!$D$2),1,1),当年实际!$C:$C,"&lt;="&amp;EOMONTH(DATE(YEAR(主页!$D$2),MONTH(主页!$D$2),1),0)),"")</f>
        <v/>
      </c>
    </row>
    <row r="780" spans="1:10" x14ac:dyDescent="0.3">
      <c r="A780" s="150"/>
      <c r="B780" s="150"/>
      <c r="C780" s="150"/>
      <c r="D780" s="150"/>
      <c r="E780" s="140" t="str">
        <f t="shared" si="37"/>
        <v/>
      </c>
      <c r="F780" s="159"/>
      <c r="G780" s="145">
        <f t="shared" si="39"/>
        <v>0</v>
      </c>
      <c r="H780" s="140" t="str">
        <f t="shared" si="38"/>
        <v/>
      </c>
      <c r="I780"/>
      <c r="J780" s="147" t="str">
        <f>IFERROR(SUMIFS(当年实际!$V:$V,当年实际!$F:$F,$C780,当年实际!$C:$C,"&gt;="&amp;DATE(YEAR(主页!$D$2),1,1),当年实际!$C:$C,"&lt;="&amp;EOMONTH(DATE(YEAR(主页!$D$2),MONTH(主页!$D$2),1),0))/SUMIFS(当年实际!$P:$P,当年实际!$F:$F,$C780,当年实际!$C:$C,"&gt;="&amp;DATE(YEAR(主页!$D$2),1,1),当年实际!$C:$C,"&lt;="&amp;EOMONTH(DATE(YEAR(主页!$D$2),MONTH(主页!$D$2),1),0)),"")</f>
        <v/>
      </c>
    </row>
    <row r="781" spans="1:10" x14ac:dyDescent="0.3">
      <c r="A781" s="150"/>
      <c r="B781" s="150"/>
      <c r="C781" s="150"/>
      <c r="D781" s="150"/>
      <c r="E781" s="140" t="str">
        <f t="shared" si="37"/>
        <v/>
      </c>
      <c r="F781" s="159"/>
      <c r="G781" s="145">
        <f t="shared" si="39"/>
        <v>0</v>
      </c>
      <c r="H781" s="140" t="str">
        <f t="shared" si="38"/>
        <v/>
      </c>
      <c r="I781"/>
      <c r="J781" s="147" t="str">
        <f>IFERROR(SUMIFS(当年实际!$V:$V,当年实际!$F:$F,$C781,当年实际!$C:$C,"&gt;="&amp;DATE(YEAR(主页!$D$2),1,1),当年实际!$C:$C,"&lt;="&amp;EOMONTH(DATE(YEAR(主页!$D$2),MONTH(主页!$D$2),1),0))/SUMIFS(当年实际!$P:$P,当年实际!$F:$F,$C781,当年实际!$C:$C,"&gt;="&amp;DATE(YEAR(主页!$D$2),1,1),当年实际!$C:$C,"&lt;="&amp;EOMONTH(DATE(YEAR(主页!$D$2),MONTH(主页!$D$2),1),0)),"")</f>
        <v/>
      </c>
    </row>
    <row r="782" spans="1:10" x14ac:dyDescent="0.3">
      <c r="A782" s="150"/>
      <c r="B782" s="150"/>
      <c r="C782" s="150"/>
      <c r="D782" s="150"/>
      <c r="E782" s="140" t="str">
        <f t="shared" si="37"/>
        <v/>
      </c>
      <c r="F782" s="159"/>
      <c r="G782" s="145">
        <f t="shared" si="39"/>
        <v>0</v>
      </c>
      <c r="H782" s="140" t="str">
        <f t="shared" si="38"/>
        <v/>
      </c>
      <c r="I782"/>
      <c r="J782" s="147" t="str">
        <f>IFERROR(SUMIFS(当年实际!$V:$V,当年实际!$F:$F,$C782,当年实际!$C:$C,"&gt;="&amp;DATE(YEAR(主页!$D$2),1,1),当年实际!$C:$C,"&lt;="&amp;EOMONTH(DATE(YEAR(主页!$D$2),MONTH(主页!$D$2),1),0))/SUMIFS(当年实际!$P:$P,当年实际!$F:$F,$C782,当年实际!$C:$C,"&gt;="&amp;DATE(YEAR(主页!$D$2),1,1),当年实际!$C:$C,"&lt;="&amp;EOMONTH(DATE(YEAR(主页!$D$2),MONTH(主页!$D$2),1),0)),"")</f>
        <v/>
      </c>
    </row>
    <row r="783" spans="1:10" x14ac:dyDescent="0.3">
      <c r="A783" s="150"/>
      <c r="B783" s="150"/>
      <c r="C783" s="150"/>
      <c r="D783" s="150"/>
      <c r="E783" s="140" t="str">
        <f t="shared" si="37"/>
        <v/>
      </c>
      <c r="F783" s="159"/>
      <c r="G783" s="145">
        <f t="shared" si="39"/>
        <v>0</v>
      </c>
      <c r="H783" s="140" t="str">
        <f t="shared" si="38"/>
        <v/>
      </c>
      <c r="I783"/>
      <c r="J783" s="147" t="str">
        <f>IFERROR(SUMIFS(当年实际!$V:$V,当年实际!$F:$F,$C783,当年实际!$C:$C,"&gt;="&amp;DATE(YEAR(主页!$D$2),1,1),当年实际!$C:$C,"&lt;="&amp;EOMONTH(DATE(YEAR(主页!$D$2),MONTH(主页!$D$2),1),0))/SUMIFS(当年实际!$P:$P,当年实际!$F:$F,$C783,当年实际!$C:$C,"&gt;="&amp;DATE(YEAR(主页!$D$2),1,1),当年实际!$C:$C,"&lt;="&amp;EOMONTH(DATE(YEAR(主页!$D$2),MONTH(主页!$D$2),1),0)),"")</f>
        <v/>
      </c>
    </row>
    <row r="784" spans="1:10" x14ac:dyDescent="0.3">
      <c r="A784" s="150"/>
      <c r="B784" s="150"/>
      <c r="C784" s="150"/>
      <c r="D784" s="150"/>
      <c r="E784" s="140" t="str">
        <f t="shared" si="37"/>
        <v/>
      </c>
      <c r="F784" s="159"/>
      <c r="G784" s="145">
        <f t="shared" si="39"/>
        <v>0</v>
      </c>
      <c r="H784" s="140" t="str">
        <f t="shared" si="38"/>
        <v/>
      </c>
      <c r="I784"/>
      <c r="J784" s="147" t="str">
        <f>IFERROR(SUMIFS(当年实际!$V:$V,当年实际!$F:$F,$C784,当年实际!$C:$C,"&gt;="&amp;DATE(YEAR(主页!$D$2),1,1),当年实际!$C:$C,"&lt;="&amp;EOMONTH(DATE(YEAR(主页!$D$2),MONTH(主页!$D$2),1),0))/SUMIFS(当年实际!$P:$P,当年实际!$F:$F,$C784,当年实际!$C:$C,"&gt;="&amp;DATE(YEAR(主页!$D$2),1,1),当年实际!$C:$C,"&lt;="&amp;EOMONTH(DATE(YEAR(主页!$D$2),MONTH(主页!$D$2),1),0)),"")</f>
        <v/>
      </c>
    </row>
    <row r="785" spans="1:10" x14ac:dyDescent="0.3">
      <c r="A785" s="150"/>
      <c r="B785" s="150"/>
      <c r="C785" s="150"/>
      <c r="D785" s="150"/>
      <c r="E785" s="140" t="str">
        <f t="shared" si="37"/>
        <v/>
      </c>
      <c r="F785" s="159"/>
      <c r="G785" s="145">
        <f t="shared" si="39"/>
        <v>0</v>
      </c>
      <c r="H785" s="140" t="str">
        <f t="shared" si="38"/>
        <v/>
      </c>
      <c r="I785"/>
      <c r="J785" s="147" t="str">
        <f>IFERROR(SUMIFS(当年实际!$V:$V,当年实际!$F:$F,$C785,当年实际!$C:$C,"&gt;="&amp;DATE(YEAR(主页!$D$2),1,1),当年实际!$C:$C,"&lt;="&amp;EOMONTH(DATE(YEAR(主页!$D$2),MONTH(主页!$D$2),1),0))/SUMIFS(当年实际!$P:$P,当年实际!$F:$F,$C785,当年实际!$C:$C,"&gt;="&amp;DATE(YEAR(主页!$D$2),1,1),当年实际!$C:$C,"&lt;="&amp;EOMONTH(DATE(YEAR(主页!$D$2),MONTH(主页!$D$2),1),0)),"")</f>
        <v/>
      </c>
    </row>
    <row r="786" spans="1:10" x14ac:dyDescent="0.3">
      <c r="A786" s="150"/>
      <c r="B786" s="150"/>
      <c r="C786" s="150"/>
      <c r="D786" s="150"/>
      <c r="E786" s="140" t="str">
        <f t="shared" si="37"/>
        <v/>
      </c>
      <c r="F786" s="159"/>
      <c r="G786" s="145">
        <f t="shared" si="39"/>
        <v>0</v>
      </c>
      <c r="H786" s="140" t="str">
        <f t="shared" si="38"/>
        <v/>
      </c>
      <c r="I786"/>
      <c r="J786" s="147" t="str">
        <f>IFERROR(SUMIFS(当年实际!$V:$V,当年实际!$F:$F,$C786,当年实际!$C:$C,"&gt;="&amp;DATE(YEAR(主页!$D$2),1,1),当年实际!$C:$C,"&lt;="&amp;EOMONTH(DATE(YEAR(主页!$D$2),MONTH(主页!$D$2),1),0))/SUMIFS(当年实际!$P:$P,当年实际!$F:$F,$C786,当年实际!$C:$C,"&gt;="&amp;DATE(YEAR(主页!$D$2),1,1),当年实际!$C:$C,"&lt;="&amp;EOMONTH(DATE(YEAR(主页!$D$2),MONTH(主页!$D$2),1),0)),"")</f>
        <v/>
      </c>
    </row>
    <row r="787" spans="1:10" x14ac:dyDescent="0.3">
      <c r="A787" s="150"/>
      <c r="B787" s="150"/>
      <c r="C787" s="150"/>
      <c r="D787" s="150"/>
      <c r="E787" s="140" t="str">
        <f t="shared" si="37"/>
        <v/>
      </c>
      <c r="F787" s="159"/>
      <c r="G787" s="145">
        <f t="shared" si="39"/>
        <v>0</v>
      </c>
      <c r="H787" s="140" t="str">
        <f t="shared" si="38"/>
        <v/>
      </c>
      <c r="I787"/>
      <c r="J787" s="147" t="str">
        <f>IFERROR(SUMIFS(当年实际!$V:$V,当年实际!$F:$F,$C787,当年实际!$C:$C,"&gt;="&amp;DATE(YEAR(主页!$D$2),1,1),当年实际!$C:$C,"&lt;="&amp;EOMONTH(DATE(YEAR(主页!$D$2),MONTH(主页!$D$2),1),0))/SUMIFS(当年实际!$P:$P,当年实际!$F:$F,$C787,当年实际!$C:$C,"&gt;="&amp;DATE(YEAR(主页!$D$2),1,1),当年实际!$C:$C,"&lt;="&amp;EOMONTH(DATE(YEAR(主页!$D$2),MONTH(主页!$D$2),1),0)),"")</f>
        <v/>
      </c>
    </row>
    <row r="788" spans="1:10" x14ac:dyDescent="0.3">
      <c r="A788" s="150"/>
      <c r="B788" s="150"/>
      <c r="C788" s="150"/>
      <c r="D788" s="150"/>
      <c r="E788" s="140" t="str">
        <f t="shared" si="37"/>
        <v/>
      </c>
      <c r="F788" s="159"/>
      <c r="G788" s="145">
        <f t="shared" si="39"/>
        <v>0</v>
      </c>
      <c r="H788" s="140" t="str">
        <f t="shared" si="38"/>
        <v/>
      </c>
      <c r="I788"/>
      <c r="J788" s="147" t="str">
        <f>IFERROR(SUMIFS(当年实际!$V:$V,当年实际!$F:$F,$C788,当年实际!$C:$C,"&gt;="&amp;DATE(YEAR(主页!$D$2),1,1),当年实际!$C:$C,"&lt;="&amp;EOMONTH(DATE(YEAR(主页!$D$2),MONTH(主页!$D$2),1),0))/SUMIFS(当年实际!$P:$P,当年实际!$F:$F,$C788,当年实际!$C:$C,"&gt;="&amp;DATE(YEAR(主页!$D$2),1,1),当年实际!$C:$C,"&lt;="&amp;EOMONTH(DATE(YEAR(主页!$D$2),MONTH(主页!$D$2),1),0)),"")</f>
        <v/>
      </c>
    </row>
    <row r="789" spans="1:10" x14ac:dyDescent="0.3">
      <c r="A789" s="150"/>
      <c r="B789" s="150"/>
      <c r="C789" s="150"/>
      <c r="D789" s="150"/>
      <c r="E789" s="140" t="str">
        <f t="shared" si="37"/>
        <v/>
      </c>
      <c r="F789" s="159"/>
      <c r="G789" s="145">
        <f t="shared" si="39"/>
        <v>0</v>
      </c>
      <c r="H789" s="140" t="str">
        <f t="shared" si="38"/>
        <v/>
      </c>
      <c r="I789"/>
      <c r="J789" s="147" t="str">
        <f>IFERROR(SUMIFS(当年实际!$V:$V,当年实际!$F:$F,$C789,当年实际!$C:$C,"&gt;="&amp;DATE(YEAR(主页!$D$2),1,1),当年实际!$C:$C,"&lt;="&amp;EOMONTH(DATE(YEAR(主页!$D$2),MONTH(主页!$D$2),1),0))/SUMIFS(当年实际!$P:$P,当年实际!$F:$F,$C789,当年实际!$C:$C,"&gt;="&amp;DATE(YEAR(主页!$D$2),1,1),当年实际!$C:$C,"&lt;="&amp;EOMONTH(DATE(YEAR(主页!$D$2),MONTH(主页!$D$2),1),0)),"")</f>
        <v/>
      </c>
    </row>
    <row r="790" spans="1:10" x14ac:dyDescent="0.3">
      <c r="A790" s="150"/>
      <c r="B790" s="150"/>
      <c r="C790" s="150"/>
      <c r="D790" s="150"/>
      <c r="E790" s="140" t="str">
        <f t="shared" si="37"/>
        <v/>
      </c>
      <c r="F790" s="159"/>
      <c r="G790" s="145">
        <f t="shared" si="39"/>
        <v>0</v>
      </c>
      <c r="H790" s="140" t="str">
        <f t="shared" si="38"/>
        <v/>
      </c>
      <c r="I790"/>
      <c r="J790" s="147" t="str">
        <f>IFERROR(SUMIFS(当年实际!$V:$V,当年实际!$F:$F,$C790,当年实际!$C:$C,"&gt;="&amp;DATE(YEAR(主页!$D$2),1,1),当年实际!$C:$C,"&lt;="&amp;EOMONTH(DATE(YEAR(主页!$D$2),MONTH(主页!$D$2),1),0))/SUMIFS(当年实际!$P:$P,当年实际!$F:$F,$C790,当年实际!$C:$C,"&gt;="&amp;DATE(YEAR(主页!$D$2),1,1),当年实际!$C:$C,"&lt;="&amp;EOMONTH(DATE(YEAR(主页!$D$2),MONTH(主页!$D$2),1),0)),"")</f>
        <v/>
      </c>
    </row>
    <row r="791" spans="1:10" x14ac:dyDescent="0.3">
      <c r="A791" s="150"/>
      <c r="B791" s="150"/>
      <c r="C791" s="150"/>
      <c r="D791" s="150"/>
      <c r="E791" s="140" t="str">
        <f t="shared" si="37"/>
        <v/>
      </c>
      <c r="F791" s="159"/>
      <c r="G791" s="145">
        <f t="shared" si="39"/>
        <v>0</v>
      </c>
      <c r="H791" s="140" t="str">
        <f t="shared" si="38"/>
        <v/>
      </c>
      <c r="I791"/>
      <c r="J791" s="147" t="str">
        <f>IFERROR(SUMIFS(当年实际!$V:$V,当年实际!$F:$F,$C791,当年实际!$C:$C,"&gt;="&amp;DATE(YEAR(主页!$D$2),1,1),当年实际!$C:$C,"&lt;="&amp;EOMONTH(DATE(YEAR(主页!$D$2),MONTH(主页!$D$2),1),0))/SUMIFS(当年实际!$P:$P,当年实际!$F:$F,$C791,当年实际!$C:$C,"&gt;="&amp;DATE(YEAR(主页!$D$2),1,1),当年实际!$C:$C,"&lt;="&amp;EOMONTH(DATE(YEAR(主页!$D$2),MONTH(主页!$D$2),1),0)),"")</f>
        <v/>
      </c>
    </row>
    <row r="792" spans="1:10" x14ac:dyDescent="0.3">
      <c r="A792" s="150"/>
      <c r="B792" s="150"/>
      <c r="C792" s="150"/>
      <c r="D792" s="150"/>
      <c r="E792" s="140" t="str">
        <f t="shared" si="37"/>
        <v/>
      </c>
      <c r="F792" s="159"/>
      <c r="G792" s="145">
        <f t="shared" si="39"/>
        <v>0</v>
      </c>
      <c r="H792" s="140" t="str">
        <f t="shared" si="38"/>
        <v/>
      </c>
      <c r="I792"/>
      <c r="J792" s="147" t="str">
        <f>IFERROR(SUMIFS(当年实际!$V:$V,当年实际!$F:$F,$C792,当年实际!$C:$C,"&gt;="&amp;DATE(YEAR(主页!$D$2),1,1),当年实际!$C:$C,"&lt;="&amp;EOMONTH(DATE(YEAR(主页!$D$2),MONTH(主页!$D$2),1),0))/SUMIFS(当年实际!$P:$P,当年实际!$F:$F,$C792,当年实际!$C:$C,"&gt;="&amp;DATE(YEAR(主页!$D$2),1,1),当年实际!$C:$C,"&lt;="&amp;EOMONTH(DATE(YEAR(主页!$D$2),MONTH(主页!$D$2),1),0)),"")</f>
        <v/>
      </c>
    </row>
    <row r="793" spans="1:10" x14ac:dyDescent="0.3">
      <c r="A793" s="150"/>
      <c r="B793" s="150"/>
      <c r="C793" s="150"/>
      <c r="D793" s="150"/>
      <c r="E793" s="140" t="str">
        <f t="shared" si="37"/>
        <v/>
      </c>
      <c r="F793" s="159"/>
      <c r="G793" s="145">
        <f t="shared" si="39"/>
        <v>0</v>
      </c>
      <c r="H793" s="140" t="str">
        <f t="shared" si="38"/>
        <v/>
      </c>
      <c r="I793"/>
      <c r="J793" s="147" t="str">
        <f>IFERROR(SUMIFS(当年实际!$V:$V,当年实际!$F:$F,$C793,当年实际!$C:$C,"&gt;="&amp;DATE(YEAR(主页!$D$2),1,1),当年实际!$C:$C,"&lt;="&amp;EOMONTH(DATE(YEAR(主页!$D$2),MONTH(主页!$D$2),1),0))/SUMIFS(当年实际!$P:$P,当年实际!$F:$F,$C793,当年实际!$C:$C,"&gt;="&amp;DATE(YEAR(主页!$D$2),1,1),当年实际!$C:$C,"&lt;="&amp;EOMONTH(DATE(YEAR(主页!$D$2),MONTH(主页!$D$2),1),0)),"")</f>
        <v/>
      </c>
    </row>
    <row r="794" spans="1:10" x14ac:dyDescent="0.3">
      <c r="A794" s="150"/>
      <c r="B794" s="150"/>
      <c r="C794" s="150"/>
      <c r="D794" s="150"/>
      <c r="E794" s="140" t="str">
        <f t="shared" si="37"/>
        <v/>
      </c>
      <c r="F794" s="159"/>
      <c r="G794" s="145">
        <f t="shared" si="39"/>
        <v>0</v>
      </c>
      <c r="H794" s="140" t="str">
        <f t="shared" si="38"/>
        <v/>
      </c>
      <c r="I794"/>
      <c r="J794" s="147" t="str">
        <f>IFERROR(SUMIFS(当年实际!$V:$V,当年实际!$F:$F,$C794,当年实际!$C:$C,"&gt;="&amp;DATE(YEAR(主页!$D$2),1,1),当年实际!$C:$C,"&lt;="&amp;EOMONTH(DATE(YEAR(主页!$D$2),MONTH(主页!$D$2),1),0))/SUMIFS(当年实际!$P:$P,当年实际!$F:$F,$C794,当年实际!$C:$C,"&gt;="&amp;DATE(YEAR(主页!$D$2),1,1),当年实际!$C:$C,"&lt;="&amp;EOMONTH(DATE(YEAR(主页!$D$2),MONTH(主页!$D$2),1),0)),"")</f>
        <v/>
      </c>
    </row>
    <row r="795" spans="1:10" x14ac:dyDescent="0.3">
      <c r="A795" s="150"/>
      <c r="B795" s="150"/>
      <c r="C795" s="150"/>
      <c r="D795" s="150"/>
      <c r="E795" s="140" t="str">
        <f t="shared" si="37"/>
        <v/>
      </c>
      <c r="F795" s="159"/>
      <c r="G795" s="145">
        <f t="shared" si="39"/>
        <v>0</v>
      </c>
      <c r="H795" s="140" t="str">
        <f t="shared" si="38"/>
        <v/>
      </c>
      <c r="I795"/>
      <c r="J795" s="147" t="str">
        <f>IFERROR(SUMIFS(当年实际!$V:$V,当年实际!$F:$F,$C795,当年实际!$C:$C,"&gt;="&amp;DATE(YEAR(主页!$D$2),1,1),当年实际!$C:$C,"&lt;="&amp;EOMONTH(DATE(YEAR(主页!$D$2),MONTH(主页!$D$2),1),0))/SUMIFS(当年实际!$P:$P,当年实际!$F:$F,$C795,当年实际!$C:$C,"&gt;="&amp;DATE(YEAR(主页!$D$2),1,1),当年实际!$C:$C,"&lt;="&amp;EOMONTH(DATE(YEAR(主页!$D$2),MONTH(主页!$D$2),1),0)),"")</f>
        <v/>
      </c>
    </row>
    <row r="796" spans="1:10" x14ac:dyDescent="0.3">
      <c r="A796" s="150"/>
      <c r="B796" s="150"/>
      <c r="C796" s="150"/>
      <c r="D796" s="150"/>
      <c r="E796" s="140" t="str">
        <f t="shared" si="37"/>
        <v/>
      </c>
      <c r="F796" s="159"/>
      <c r="G796" s="145">
        <f t="shared" si="39"/>
        <v>0</v>
      </c>
      <c r="H796" s="140" t="str">
        <f t="shared" si="38"/>
        <v/>
      </c>
      <c r="I796"/>
      <c r="J796" s="147" t="str">
        <f>IFERROR(SUMIFS(当年实际!$V:$V,当年实际!$F:$F,$C796,当年实际!$C:$C,"&gt;="&amp;DATE(YEAR(主页!$D$2),1,1),当年实际!$C:$C,"&lt;="&amp;EOMONTH(DATE(YEAR(主页!$D$2),MONTH(主页!$D$2),1),0))/SUMIFS(当年实际!$P:$P,当年实际!$F:$F,$C796,当年实际!$C:$C,"&gt;="&amp;DATE(YEAR(主页!$D$2),1,1),当年实际!$C:$C,"&lt;="&amp;EOMONTH(DATE(YEAR(主页!$D$2),MONTH(主页!$D$2),1),0)),"")</f>
        <v/>
      </c>
    </row>
    <row r="797" spans="1:10" x14ac:dyDescent="0.3">
      <c r="A797" s="150"/>
      <c r="B797" s="150"/>
      <c r="C797" s="150"/>
      <c r="D797" s="150"/>
      <c r="E797" s="140" t="str">
        <f t="shared" si="37"/>
        <v/>
      </c>
      <c r="F797" s="159"/>
      <c r="G797" s="145">
        <f t="shared" si="39"/>
        <v>0</v>
      </c>
      <c r="H797" s="140" t="str">
        <f t="shared" si="38"/>
        <v/>
      </c>
      <c r="I797"/>
      <c r="J797" s="147" t="str">
        <f>IFERROR(SUMIFS(当年实际!$V:$V,当年实际!$F:$F,$C797,当年实际!$C:$C,"&gt;="&amp;DATE(YEAR(主页!$D$2),1,1),当年实际!$C:$C,"&lt;="&amp;EOMONTH(DATE(YEAR(主页!$D$2),MONTH(主页!$D$2),1),0))/SUMIFS(当年实际!$P:$P,当年实际!$F:$F,$C797,当年实际!$C:$C,"&gt;="&amp;DATE(YEAR(主页!$D$2),1,1),当年实际!$C:$C,"&lt;="&amp;EOMONTH(DATE(YEAR(主页!$D$2),MONTH(主页!$D$2),1),0)),"")</f>
        <v/>
      </c>
    </row>
    <row r="798" spans="1:10" x14ac:dyDescent="0.3">
      <c r="A798" s="150"/>
      <c r="B798" s="150"/>
      <c r="C798" s="150"/>
      <c r="D798" s="150"/>
      <c r="E798" s="140" t="str">
        <f t="shared" si="37"/>
        <v/>
      </c>
      <c r="F798" s="159"/>
      <c r="G798" s="145">
        <f t="shared" si="39"/>
        <v>0</v>
      </c>
      <c r="H798" s="140" t="str">
        <f t="shared" si="38"/>
        <v/>
      </c>
      <c r="I798"/>
      <c r="J798" s="147" t="str">
        <f>IFERROR(SUMIFS(当年实际!$V:$V,当年实际!$F:$F,$C798,当年实际!$C:$C,"&gt;="&amp;DATE(YEAR(主页!$D$2),1,1),当年实际!$C:$C,"&lt;="&amp;EOMONTH(DATE(YEAR(主页!$D$2),MONTH(主页!$D$2),1),0))/SUMIFS(当年实际!$P:$P,当年实际!$F:$F,$C798,当年实际!$C:$C,"&gt;="&amp;DATE(YEAR(主页!$D$2),1,1),当年实际!$C:$C,"&lt;="&amp;EOMONTH(DATE(YEAR(主页!$D$2),MONTH(主页!$D$2),1),0)),"")</f>
        <v/>
      </c>
    </row>
    <row r="799" spans="1:10" x14ac:dyDescent="0.3">
      <c r="A799" s="150"/>
      <c r="B799" s="150"/>
      <c r="C799" s="150"/>
      <c r="D799" s="150"/>
      <c r="E799" s="140" t="str">
        <f t="shared" si="37"/>
        <v/>
      </c>
      <c r="F799" s="159"/>
      <c r="G799" s="145">
        <f t="shared" si="39"/>
        <v>0</v>
      </c>
      <c r="H799" s="140" t="str">
        <f t="shared" si="38"/>
        <v/>
      </c>
      <c r="I799"/>
      <c r="J799" s="147" t="str">
        <f>IFERROR(SUMIFS(当年实际!$V:$V,当年实际!$F:$F,$C799,当年实际!$C:$C,"&gt;="&amp;DATE(YEAR(主页!$D$2),1,1),当年实际!$C:$C,"&lt;="&amp;EOMONTH(DATE(YEAR(主页!$D$2),MONTH(主页!$D$2),1),0))/SUMIFS(当年实际!$P:$P,当年实际!$F:$F,$C799,当年实际!$C:$C,"&gt;="&amp;DATE(YEAR(主页!$D$2),1,1),当年实际!$C:$C,"&lt;="&amp;EOMONTH(DATE(YEAR(主页!$D$2),MONTH(主页!$D$2),1),0)),"")</f>
        <v/>
      </c>
    </row>
    <row r="800" spans="1:10" x14ac:dyDescent="0.3">
      <c r="A800" s="150"/>
      <c r="B800" s="150"/>
      <c r="C800" s="150"/>
      <c r="D800" s="150"/>
      <c r="E800" s="140" t="str">
        <f t="shared" si="37"/>
        <v/>
      </c>
      <c r="F800" s="159"/>
      <c r="G800" s="145">
        <f t="shared" si="39"/>
        <v>0</v>
      </c>
      <c r="H800" s="140" t="str">
        <f t="shared" si="38"/>
        <v/>
      </c>
      <c r="I800"/>
      <c r="J800" s="147" t="str">
        <f>IFERROR(SUMIFS(当年实际!$V:$V,当年实际!$F:$F,$C800,当年实际!$C:$C,"&gt;="&amp;DATE(YEAR(主页!$D$2),1,1),当年实际!$C:$C,"&lt;="&amp;EOMONTH(DATE(YEAR(主页!$D$2),MONTH(主页!$D$2),1),0))/SUMIFS(当年实际!$P:$P,当年实际!$F:$F,$C800,当年实际!$C:$C,"&gt;="&amp;DATE(YEAR(主页!$D$2),1,1),当年实际!$C:$C,"&lt;="&amp;EOMONTH(DATE(YEAR(主页!$D$2),MONTH(主页!$D$2),1),0)),"")</f>
        <v/>
      </c>
    </row>
    <row r="801" spans="1:10" x14ac:dyDescent="0.3">
      <c r="A801" s="150"/>
      <c r="B801" s="150"/>
      <c r="C801" s="150"/>
      <c r="D801" s="150"/>
      <c r="E801" s="140" t="str">
        <f t="shared" si="37"/>
        <v/>
      </c>
      <c r="F801" s="159"/>
      <c r="G801" s="145">
        <f t="shared" si="39"/>
        <v>0</v>
      </c>
      <c r="H801" s="140" t="str">
        <f t="shared" si="38"/>
        <v/>
      </c>
      <c r="I801"/>
      <c r="J801" s="147" t="str">
        <f>IFERROR(SUMIFS(当年实际!$V:$V,当年实际!$F:$F,$C801,当年实际!$C:$C,"&gt;="&amp;DATE(YEAR(主页!$D$2),1,1),当年实际!$C:$C,"&lt;="&amp;EOMONTH(DATE(YEAR(主页!$D$2),MONTH(主页!$D$2),1),0))/SUMIFS(当年实际!$P:$P,当年实际!$F:$F,$C801,当年实际!$C:$C,"&gt;="&amp;DATE(YEAR(主页!$D$2),1,1),当年实际!$C:$C,"&lt;="&amp;EOMONTH(DATE(YEAR(主页!$D$2),MONTH(主页!$D$2),1),0)),"")</f>
        <v/>
      </c>
    </row>
    <row r="802" spans="1:10" x14ac:dyDescent="0.3">
      <c r="A802" s="150"/>
      <c r="B802" s="150"/>
      <c r="C802" s="150"/>
      <c r="D802" s="150"/>
      <c r="E802" s="140" t="str">
        <f t="shared" si="37"/>
        <v/>
      </c>
      <c r="F802" s="159"/>
      <c r="G802" s="145">
        <f t="shared" si="39"/>
        <v>0</v>
      </c>
      <c r="H802" s="140" t="str">
        <f t="shared" si="38"/>
        <v/>
      </c>
      <c r="I802"/>
      <c r="J802" s="147" t="str">
        <f>IFERROR(SUMIFS(当年实际!$V:$V,当年实际!$F:$F,$C802,当年实际!$C:$C,"&gt;="&amp;DATE(YEAR(主页!$D$2),1,1),当年实际!$C:$C,"&lt;="&amp;EOMONTH(DATE(YEAR(主页!$D$2),MONTH(主页!$D$2),1),0))/SUMIFS(当年实际!$P:$P,当年实际!$F:$F,$C802,当年实际!$C:$C,"&gt;="&amp;DATE(YEAR(主页!$D$2),1,1),当年实际!$C:$C,"&lt;="&amp;EOMONTH(DATE(YEAR(主页!$D$2),MONTH(主页!$D$2),1),0)),"")</f>
        <v/>
      </c>
    </row>
    <row r="803" spans="1:10" x14ac:dyDescent="0.3">
      <c r="A803" s="150"/>
      <c r="B803" s="150"/>
      <c r="C803" s="150"/>
      <c r="D803" s="150"/>
      <c r="E803" s="140" t="str">
        <f t="shared" si="37"/>
        <v/>
      </c>
      <c r="F803" s="159"/>
      <c r="G803" s="145">
        <f t="shared" si="39"/>
        <v>0</v>
      </c>
      <c r="H803" s="140" t="str">
        <f t="shared" si="38"/>
        <v/>
      </c>
      <c r="I803"/>
      <c r="J803" s="147" t="str">
        <f>IFERROR(SUMIFS(当年实际!$V:$V,当年实际!$F:$F,$C803,当年实际!$C:$C,"&gt;="&amp;DATE(YEAR(主页!$D$2),1,1),当年实际!$C:$C,"&lt;="&amp;EOMONTH(DATE(YEAR(主页!$D$2),MONTH(主页!$D$2),1),0))/SUMIFS(当年实际!$P:$P,当年实际!$F:$F,$C803,当年实际!$C:$C,"&gt;="&amp;DATE(YEAR(主页!$D$2),1,1),当年实际!$C:$C,"&lt;="&amp;EOMONTH(DATE(YEAR(主页!$D$2),MONTH(主页!$D$2),1),0)),"")</f>
        <v/>
      </c>
    </row>
    <row r="804" spans="1:10" x14ac:dyDescent="0.3">
      <c r="A804" s="150"/>
      <c r="B804" s="150"/>
      <c r="C804" s="150"/>
      <c r="D804" s="150"/>
      <c r="E804" s="140" t="str">
        <f t="shared" si="37"/>
        <v/>
      </c>
      <c r="F804" s="159"/>
      <c r="G804" s="145">
        <f t="shared" si="39"/>
        <v>0</v>
      </c>
      <c r="H804" s="140" t="str">
        <f t="shared" si="38"/>
        <v/>
      </c>
      <c r="I804"/>
      <c r="J804" s="147" t="str">
        <f>IFERROR(SUMIFS(当年实际!$V:$V,当年实际!$F:$F,$C804,当年实际!$C:$C,"&gt;="&amp;DATE(YEAR(主页!$D$2),1,1),当年实际!$C:$C,"&lt;="&amp;EOMONTH(DATE(YEAR(主页!$D$2),MONTH(主页!$D$2),1),0))/SUMIFS(当年实际!$P:$P,当年实际!$F:$F,$C804,当年实际!$C:$C,"&gt;="&amp;DATE(YEAR(主页!$D$2),1,1),当年实际!$C:$C,"&lt;="&amp;EOMONTH(DATE(YEAR(主页!$D$2),MONTH(主页!$D$2),1),0)),"")</f>
        <v/>
      </c>
    </row>
    <row r="805" spans="1:10" x14ac:dyDescent="0.3">
      <c r="A805" s="150"/>
      <c r="B805" s="150"/>
      <c r="C805" s="150"/>
      <c r="D805" s="150"/>
      <c r="E805" s="140" t="str">
        <f t="shared" si="37"/>
        <v/>
      </c>
      <c r="F805" s="159"/>
      <c r="G805" s="145">
        <f t="shared" si="39"/>
        <v>0</v>
      </c>
      <c r="H805" s="140" t="str">
        <f t="shared" si="38"/>
        <v/>
      </c>
      <c r="I805"/>
      <c r="J805" s="147" t="str">
        <f>IFERROR(SUMIFS(当年实际!$V:$V,当年实际!$F:$F,$C805,当年实际!$C:$C,"&gt;="&amp;DATE(YEAR(主页!$D$2),1,1),当年实际!$C:$C,"&lt;="&amp;EOMONTH(DATE(YEAR(主页!$D$2),MONTH(主页!$D$2),1),0))/SUMIFS(当年实际!$P:$P,当年实际!$F:$F,$C805,当年实际!$C:$C,"&gt;="&amp;DATE(YEAR(主页!$D$2),1,1),当年实际!$C:$C,"&lt;="&amp;EOMONTH(DATE(YEAR(主页!$D$2),MONTH(主页!$D$2),1),0)),"")</f>
        <v/>
      </c>
    </row>
    <row r="806" spans="1:10" x14ac:dyDescent="0.3">
      <c r="A806" s="150"/>
      <c r="B806" s="150"/>
      <c r="C806" s="150"/>
      <c r="D806" s="150"/>
      <c r="E806" s="140" t="str">
        <f t="shared" si="37"/>
        <v/>
      </c>
      <c r="F806" s="159"/>
      <c r="G806" s="145">
        <f t="shared" si="39"/>
        <v>0</v>
      </c>
      <c r="H806" s="140" t="str">
        <f t="shared" si="38"/>
        <v/>
      </c>
      <c r="I806"/>
      <c r="J806" s="147" t="str">
        <f>IFERROR(SUMIFS(当年实际!$V:$V,当年实际!$F:$F,$C806,当年实际!$C:$C,"&gt;="&amp;DATE(YEAR(主页!$D$2),1,1),当年实际!$C:$C,"&lt;="&amp;EOMONTH(DATE(YEAR(主页!$D$2),MONTH(主页!$D$2),1),0))/SUMIFS(当年实际!$P:$P,当年实际!$F:$F,$C806,当年实际!$C:$C,"&gt;="&amp;DATE(YEAR(主页!$D$2),1,1),当年实际!$C:$C,"&lt;="&amp;EOMONTH(DATE(YEAR(主页!$D$2),MONTH(主页!$D$2),1),0)),"")</f>
        <v/>
      </c>
    </row>
    <row r="807" spans="1:10" x14ac:dyDescent="0.3">
      <c r="A807" s="150"/>
      <c r="B807" s="150"/>
      <c r="C807" s="150"/>
      <c r="D807" s="150"/>
      <c r="E807" s="140" t="str">
        <f t="shared" si="37"/>
        <v/>
      </c>
      <c r="F807" s="159"/>
      <c r="G807" s="145">
        <f t="shared" si="39"/>
        <v>0</v>
      </c>
      <c r="H807" s="140" t="str">
        <f t="shared" si="38"/>
        <v/>
      </c>
      <c r="I807"/>
      <c r="J807" s="147" t="str">
        <f>IFERROR(SUMIFS(当年实际!$V:$V,当年实际!$F:$F,$C807,当年实际!$C:$C,"&gt;="&amp;DATE(YEAR(主页!$D$2),1,1),当年实际!$C:$C,"&lt;="&amp;EOMONTH(DATE(YEAR(主页!$D$2),MONTH(主页!$D$2),1),0))/SUMIFS(当年实际!$P:$P,当年实际!$F:$F,$C807,当年实际!$C:$C,"&gt;="&amp;DATE(YEAR(主页!$D$2),1,1),当年实际!$C:$C,"&lt;="&amp;EOMONTH(DATE(YEAR(主页!$D$2),MONTH(主页!$D$2),1),0)),"")</f>
        <v/>
      </c>
    </row>
    <row r="808" spans="1:10" x14ac:dyDescent="0.3">
      <c r="A808" s="150"/>
      <c r="B808" s="150"/>
      <c r="C808" s="150"/>
      <c r="D808" s="150"/>
      <c r="E808" s="140" t="str">
        <f t="shared" si="37"/>
        <v/>
      </c>
      <c r="F808" s="159"/>
      <c r="G808" s="145">
        <f t="shared" si="39"/>
        <v>0</v>
      </c>
      <c r="H808" s="140" t="str">
        <f t="shared" si="38"/>
        <v/>
      </c>
      <c r="I808"/>
      <c r="J808" s="147" t="str">
        <f>IFERROR(SUMIFS(当年实际!$V:$V,当年实际!$F:$F,$C808,当年实际!$C:$C,"&gt;="&amp;DATE(YEAR(主页!$D$2),1,1),当年实际!$C:$C,"&lt;="&amp;EOMONTH(DATE(YEAR(主页!$D$2),MONTH(主页!$D$2),1),0))/SUMIFS(当年实际!$P:$P,当年实际!$F:$F,$C808,当年实际!$C:$C,"&gt;="&amp;DATE(YEAR(主页!$D$2),1,1),当年实际!$C:$C,"&lt;="&amp;EOMONTH(DATE(YEAR(主页!$D$2),MONTH(主页!$D$2),1),0)),"")</f>
        <v/>
      </c>
    </row>
    <row r="809" spans="1:10" x14ac:dyDescent="0.3">
      <c r="A809" s="150"/>
      <c r="B809" s="150"/>
      <c r="C809" s="150"/>
      <c r="D809" s="150"/>
      <c r="E809" s="140" t="str">
        <f t="shared" si="37"/>
        <v/>
      </c>
      <c r="F809" s="159"/>
      <c r="G809" s="145">
        <f t="shared" si="39"/>
        <v>0</v>
      </c>
      <c r="H809" s="140" t="str">
        <f t="shared" si="38"/>
        <v/>
      </c>
      <c r="I809"/>
      <c r="J809" s="147" t="str">
        <f>IFERROR(SUMIFS(当年实际!$V:$V,当年实际!$F:$F,$C809,当年实际!$C:$C,"&gt;="&amp;DATE(YEAR(主页!$D$2),1,1),当年实际!$C:$C,"&lt;="&amp;EOMONTH(DATE(YEAR(主页!$D$2),MONTH(主页!$D$2),1),0))/SUMIFS(当年实际!$P:$P,当年实际!$F:$F,$C809,当年实际!$C:$C,"&gt;="&amp;DATE(YEAR(主页!$D$2),1,1),当年实际!$C:$C,"&lt;="&amp;EOMONTH(DATE(YEAR(主页!$D$2),MONTH(主页!$D$2),1),0)),"")</f>
        <v/>
      </c>
    </row>
    <row r="810" spans="1:10" x14ac:dyDescent="0.3">
      <c r="A810" s="150"/>
      <c r="B810" s="150"/>
      <c r="C810" s="150"/>
      <c r="D810" s="150"/>
      <c r="E810" s="140" t="str">
        <f t="shared" si="37"/>
        <v/>
      </c>
      <c r="F810" s="159"/>
      <c r="G810" s="145">
        <f t="shared" si="39"/>
        <v>0</v>
      </c>
      <c r="H810" s="140" t="str">
        <f t="shared" si="38"/>
        <v/>
      </c>
      <c r="I810"/>
      <c r="J810" s="147" t="str">
        <f>IFERROR(SUMIFS(当年实际!$V:$V,当年实际!$F:$F,$C810,当年实际!$C:$C,"&gt;="&amp;DATE(YEAR(主页!$D$2),1,1),当年实际!$C:$C,"&lt;="&amp;EOMONTH(DATE(YEAR(主页!$D$2),MONTH(主页!$D$2),1),0))/SUMIFS(当年实际!$P:$P,当年实际!$F:$F,$C810,当年实际!$C:$C,"&gt;="&amp;DATE(YEAR(主页!$D$2),1,1),当年实际!$C:$C,"&lt;="&amp;EOMONTH(DATE(YEAR(主页!$D$2),MONTH(主页!$D$2),1),0)),"")</f>
        <v/>
      </c>
    </row>
    <row r="811" spans="1:10" x14ac:dyDescent="0.3">
      <c r="A811" s="150"/>
      <c r="B811" s="150"/>
      <c r="C811" s="150"/>
      <c r="D811" s="150"/>
      <c r="E811" s="140" t="str">
        <f t="shared" si="37"/>
        <v/>
      </c>
      <c r="F811" s="159"/>
      <c r="G811" s="145">
        <f t="shared" si="39"/>
        <v>0</v>
      </c>
      <c r="H811" s="140" t="str">
        <f t="shared" si="38"/>
        <v/>
      </c>
      <c r="I811"/>
      <c r="J811" s="147" t="str">
        <f>IFERROR(SUMIFS(当年实际!$V:$V,当年实际!$F:$F,$C811,当年实际!$C:$C,"&gt;="&amp;DATE(YEAR(主页!$D$2),1,1),当年实际!$C:$C,"&lt;="&amp;EOMONTH(DATE(YEAR(主页!$D$2),MONTH(主页!$D$2),1),0))/SUMIFS(当年实际!$P:$P,当年实际!$F:$F,$C811,当年实际!$C:$C,"&gt;="&amp;DATE(YEAR(主页!$D$2),1,1),当年实际!$C:$C,"&lt;="&amp;EOMONTH(DATE(YEAR(主页!$D$2),MONTH(主页!$D$2),1),0)),"")</f>
        <v/>
      </c>
    </row>
    <row r="812" spans="1:10" x14ac:dyDescent="0.3">
      <c r="A812" s="150"/>
      <c r="B812" s="150"/>
      <c r="C812" s="150"/>
      <c r="D812" s="150"/>
      <c r="E812" s="140" t="str">
        <f t="shared" si="37"/>
        <v/>
      </c>
      <c r="F812" s="159"/>
      <c r="G812" s="145">
        <f t="shared" si="39"/>
        <v>0</v>
      </c>
      <c r="H812" s="140" t="str">
        <f t="shared" si="38"/>
        <v/>
      </c>
      <c r="I812"/>
      <c r="J812" s="147" t="str">
        <f>IFERROR(SUMIFS(当年实际!$V:$V,当年实际!$F:$F,$C812,当年实际!$C:$C,"&gt;="&amp;DATE(YEAR(主页!$D$2),1,1),当年实际!$C:$C,"&lt;="&amp;EOMONTH(DATE(YEAR(主页!$D$2),MONTH(主页!$D$2),1),0))/SUMIFS(当年实际!$P:$P,当年实际!$F:$F,$C812,当年实际!$C:$C,"&gt;="&amp;DATE(YEAR(主页!$D$2),1,1),当年实际!$C:$C,"&lt;="&amp;EOMONTH(DATE(YEAR(主页!$D$2),MONTH(主页!$D$2),1),0)),"")</f>
        <v/>
      </c>
    </row>
    <row r="813" spans="1:10" x14ac:dyDescent="0.3">
      <c r="A813" s="150"/>
      <c r="B813" s="150"/>
      <c r="C813" s="150"/>
      <c r="D813" s="150"/>
      <c r="E813" s="140" t="str">
        <f t="shared" si="37"/>
        <v/>
      </c>
      <c r="F813" s="159"/>
      <c r="G813" s="145">
        <f t="shared" si="39"/>
        <v>0</v>
      </c>
      <c r="H813" s="140" t="str">
        <f t="shared" si="38"/>
        <v/>
      </c>
      <c r="I813"/>
      <c r="J813" s="147" t="str">
        <f>IFERROR(SUMIFS(当年实际!$V:$V,当年实际!$F:$F,$C813,当年实际!$C:$C,"&gt;="&amp;DATE(YEAR(主页!$D$2),1,1),当年实际!$C:$C,"&lt;="&amp;EOMONTH(DATE(YEAR(主页!$D$2),MONTH(主页!$D$2),1),0))/SUMIFS(当年实际!$P:$P,当年实际!$F:$F,$C813,当年实际!$C:$C,"&gt;="&amp;DATE(YEAR(主页!$D$2),1,1),当年实际!$C:$C,"&lt;="&amp;EOMONTH(DATE(YEAR(主页!$D$2),MONTH(主页!$D$2),1),0)),"")</f>
        <v/>
      </c>
    </row>
    <row r="814" spans="1:10" x14ac:dyDescent="0.3">
      <c r="A814" s="150"/>
      <c r="B814" s="150"/>
      <c r="C814" s="150"/>
      <c r="D814" s="150"/>
      <c r="E814" s="140" t="str">
        <f t="shared" si="37"/>
        <v/>
      </c>
      <c r="F814" s="159"/>
      <c r="G814" s="145">
        <f t="shared" si="39"/>
        <v>0</v>
      </c>
      <c r="H814" s="140" t="str">
        <f t="shared" si="38"/>
        <v/>
      </c>
      <c r="I814"/>
      <c r="J814" s="147" t="str">
        <f>IFERROR(SUMIFS(当年实际!$V:$V,当年实际!$F:$F,$C814,当年实际!$C:$C,"&gt;="&amp;DATE(YEAR(主页!$D$2),1,1),当年实际!$C:$C,"&lt;="&amp;EOMONTH(DATE(YEAR(主页!$D$2),MONTH(主页!$D$2),1),0))/SUMIFS(当年实际!$P:$P,当年实际!$F:$F,$C814,当年实际!$C:$C,"&gt;="&amp;DATE(YEAR(主页!$D$2),1,1),当年实际!$C:$C,"&lt;="&amp;EOMONTH(DATE(YEAR(主页!$D$2),MONTH(主页!$D$2),1),0)),"")</f>
        <v/>
      </c>
    </row>
    <row r="815" spans="1:10" x14ac:dyDescent="0.3">
      <c r="A815" s="150"/>
      <c r="B815" s="150"/>
      <c r="C815" s="150"/>
      <c r="D815" s="150"/>
      <c r="E815" s="140" t="str">
        <f t="shared" si="37"/>
        <v/>
      </c>
      <c r="F815" s="159"/>
      <c r="G815" s="145">
        <f t="shared" si="39"/>
        <v>0</v>
      </c>
      <c r="H815" s="140" t="str">
        <f t="shared" si="38"/>
        <v/>
      </c>
      <c r="I815"/>
      <c r="J815" s="147" t="str">
        <f>IFERROR(SUMIFS(当年实际!$V:$V,当年实际!$F:$F,$C815,当年实际!$C:$C,"&gt;="&amp;DATE(YEAR(主页!$D$2),1,1),当年实际!$C:$C,"&lt;="&amp;EOMONTH(DATE(YEAR(主页!$D$2),MONTH(主页!$D$2),1),0))/SUMIFS(当年实际!$P:$P,当年实际!$F:$F,$C815,当年实际!$C:$C,"&gt;="&amp;DATE(YEAR(主页!$D$2),1,1),当年实际!$C:$C,"&lt;="&amp;EOMONTH(DATE(YEAR(主页!$D$2),MONTH(主页!$D$2),1),0)),"")</f>
        <v/>
      </c>
    </row>
    <row r="816" spans="1:10" x14ac:dyDescent="0.3">
      <c r="A816" s="150"/>
      <c r="B816" s="150"/>
      <c r="C816" s="150"/>
      <c r="D816" s="150"/>
      <c r="E816" s="140" t="str">
        <f t="shared" si="37"/>
        <v/>
      </c>
      <c r="F816" s="159"/>
      <c r="G816" s="145">
        <f t="shared" si="39"/>
        <v>0</v>
      </c>
      <c r="H816" s="140" t="str">
        <f t="shared" si="38"/>
        <v/>
      </c>
      <c r="I816"/>
      <c r="J816" s="147" t="str">
        <f>IFERROR(SUMIFS(当年实际!$V:$V,当年实际!$F:$F,$C816,当年实际!$C:$C,"&gt;="&amp;DATE(YEAR(主页!$D$2),1,1),当年实际!$C:$C,"&lt;="&amp;EOMONTH(DATE(YEAR(主页!$D$2),MONTH(主页!$D$2),1),0))/SUMIFS(当年实际!$P:$P,当年实际!$F:$F,$C816,当年实际!$C:$C,"&gt;="&amp;DATE(YEAR(主页!$D$2),1,1),当年实际!$C:$C,"&lt;="&amp;EOMONTH(DATE(YEAR(主页!$D$2),MONTH(主页!$D$2),1),0)),"")</f>
        <v/>
      </c>
    </row>
    <row r="817" spans="1:10" x14ac:dyDescent="0.3">
      <c r="A817" s="150"/>
      <c r="B817" s="150"/>
      <c r="C817" s="150"/>
      <c r="D817" s="150"/>
      <c r="E817" s="140" t="str">
        <f t="shared" si="37"/>
        <v/>
      </c>
      <c r="F817" s="159"/>
      <c r="G817" s="145">
        <f t="shared" si="39"/>
        <v>0</v>
      </c>
      <c r="H817" s="140" t="str">
        <f t="shared" si="38"/>
        <v/>
      </c>
      <c r="I817"/>
      <c r="J817" s="147" t="str">
        <f>IFERROR(SUMIFS(当年实际!$V:$V,当年实际!$F:$F,$C817,当年实际!$C:$C,"&gt;="&amp;DATE(YEAR(主页!$D$2),1,1),当年实际!$C:$C,"&lt;="&amp;EOMONTH(DATE(YEAR(主页!$D$2),MONTH(主页!$D$2),1),0))/SUMIFS(当年实际!$P:$P,当年实际!$F:$F,$C817,当年实际!$C:$C,"&gt;="&amp;DATE(YEAR(主页!$D$2),1,1),当年实际!$C:$C,"&lt;="&amp;EOMONTH(DATE(YEAR(主页!$D$2),MONTH(主页!$D$2),1),0)),"")</f>
        <v/>
      </c>
    </row>
    <row r="818" spans="1:10" x14ac:dyDescent="0.3">
      <c r="A818" s="150"/>
      <c r="B818" s="150"/>
      <c r="C818" s="150"/>
      <c r="D818" s="150"/>
      <c r="E818" s="140" t="str">
        <f t="shared" si="37"/>
        <v/>
      </c>
      <c r="F818" s="159"/>
      <c r="G818" s="145">
        <f t="shared" si="39"/>
        <v>0</v>
      </c>
      <c r="H818" s="140" t="str">
        <f t="shared" si="38"/>
        <v/>
      </c>
      <c r="I818"/>
      <c r="J818" s="147" t="str">
        <f>IFERROR(SUMIFS(当年实际!$V:$V,当年实际!$F:$F,$C818,当年实际!$C:$C,"&gt;="&amp;DATE(YEAR(主页!$D$2),1,1),当年实际!$C:$C,"&lt;="&amp;EOMONTH(DATE(YEAR(主页!$D$2),MONTH(主页!$D$2),1),0))/SUMIFS(当年实际!$P:$P,当年实际!$F:$F,$C818,当年实际!$C:$C,"&gt;="&amp;DATE(YEAR(主页!$D$2),1,1),当年实际!$C:$C,"&lt;="&amp;EOMONTH(DATE(YEAR(主页!$D$2),MONTH(主页!$D$2),1),0)),"")</f>
        <v/>
      </c>
    </row>
    <row r="819" spans="1:10" x14ac:dyDescent="0.3">
      <c r="A819" s="150"/>
      <c r="B819" s="150"/>
      <c r="C819" s="150"/>
      <c r="D819" s="150"/>
      <c r="E819" s="140" t="str">
        <f t="shared" si="37"/>
        <v/>
      </c>
      <c r="F819" s="159"/>
      <c r="G819" s="145">
        <f t="shared" si="39"/>
        <v>0</v>
      </c>
      <c r="H819" s="140" t="str">
        <f t="shared" si="38"/>
        <v/>
      </c>
      <c r="I819"/>
      <c r="J819" s="147" t="str">
        <f>IFERROR(SUMIFS(当年实际!$V:$V,当年实际!$F:$F,$C819,当年实际!$C:$C,"&gt;="&amp;DATE(YEAR(主页!$D$2),1,1),当年实际!$C:$C,"&lt;="&amp;EOMONTH(DATE(YEAR(主页!$D$2),MONTH(主页!$D$2),1),0))/SUMIFS(当年实际!$P:$P,当年实际!$F:$F,$C819,当年实际!$C:$C,"&gt;="&amp;DATE(YEAR(主页!$D$2),1,1),当年实际!$C:$C,"&lt;="&amp;EOMONTH(DATE(YEAR(主页!$D$2),MONTH(主页!$D$2),1),0)),"")</f>
        <v/>
      </c>
    </row>
    <row r="820" spans="1:10" x14ac:dyDescent="0.3">
      <c r="A820" s="150"/>
      <c r="B820" s="150"/>
      <c r="C820" s="150"/>
      <c r="D820" s="150"/>
      <c r="E820" s="140" t="str">
        <f t="shared" si="37"/>
        <v/>
      </c>
      <c r="F820" s="159"/>
      <c r="G820" s="145">
        <f t="shared" si="39"/>
        <v>0</v>
      </c>
      <c r="H820" s="140" t="str">
        <f t="shared" si="38"/>
        <v/>
      </c>
      <c r="I820"/>
      <c r="J820" s="147" t="str">
        <f>IFERROR(SUMIFS(当年实际!$V:$V,当年实际!$F:$F,$C820,当年实际!$C:$C,"&gt;="&amp;DATE(YEAR(主页!$D$2),1,1),当年实际!$C:$C,"&lt;="&amp;EOMONTH(DATE(YEAR(主页!$D$2),MONTH(主页!$D$2),1),0))/SUMIFS(当年实际!$P:$P,当年实际!$F:$F,$C820,当年实际!$C:$C,"&gt;="&amp;DATE(YEAR(主页!$D$2),1,1),当年实际!$C:$C,"&lt;="&amp;EOMONTH(DATE(YEAR(主页!$D$2),MONTH(主页!$D$2),1),0)),"")</f>
        <v/>
      </c>
    </row>
    <row r="821" spans="1:10" x14ac:dyDescent="0.3">
      <c r="A821" s="150"/>
      <c r="B821" s="150"/>
      <c r="C821" s="150"/>
      <c r="D821" s="150"/>
      <c r="E821" s="140" t="str">
        <f t="shared" si="37"/>
        <v/>
      </c>
      <c r="F821" s="159"/>
      <c r="G821" s="145">
        <f t="shared" si="39"/>
        <v>0</v>
      </c>
      <c r="H821" s="140" t="str">
        <f t="shared" si="38"/>
        <v/>
      </c>
      <c r="I821"/>
      <c r="J821" s="147" t="str">
        <f>IFERROR(SUMIFS(当年实际!$V:$V,当年实际!$F:$F,$C821,当年实际!$C:$C,"&gt;="&amp;DATE(YEAR(主页!$D$2),1,1),当年实际!$C:$C,"&lt;="&amp;EOMONTH(DATE(YEAR(主页!$D$2),MONTH(主页!$D$2),1),0))/SUMIFS(当年实际!$P:$P,当年实际!$F:$F,$C821,当年实际!$C:$C,"&gt;="&amp;DATE(YEAR(主页!$D$2),1,1),当年实际!$C:$C,"&lt;="&amp;EOMONTH(DATE(YEAR(主页!$D$2),MONTH(主页!$D$2),1),0)),"")</f>
        <v/>
      </c>
    </row>
    <row r="822" spans="1:10" x14ac:dyDescent="0.3">
      <c r="A822" s="150"/>
      <c r="B822" s="150"/>
      <c r="C822" s="150"/>
      <c r="D822" s="150"/>
      <c r="E822" s="140" t="str">
        <f t="shared" si="37"/>
        <v/>
      </c>
      <c r="F822" s="159"/>
      <c r="G822" s="145">
        <f t="shared" si="39"/>
        <v>0</v>
      </c>
      <c r="H822" s="140" t="str">
        <f t="shared" si="38"/>
        <v/>
      </c>
      <c r="I822"/>
      <c r="J822" s="147" t="str">
        <f>IFERROR(SUMIFS(当年实际!$V:$V,当年实际!$F:$F,$C822,当年实际!$C:$C,"&gt;="&amp;DATE(YEAR(主页!$D$2),1,1),当年实际!$C:$C,"&lt;="&amp;EOMONTH(DATE(YEAR(主页!$D$2),MONTH(主页!$D$2),1),0))/SUMIFS(当年实际!$P:$P,当年实际!$F:$F,$C822,当年实际!$C:$C,"&gt;="&amp;DATE(YEAR(主页!$D$2),1,1),当年实际!$C:$C,"&lt;="&amp;EOMONTH(DATE(YEAR(主页!$D$2),MONTH(主页!$D$2),1),0)),"")</f>
        <v/>
      </c>
    </row>
    <row r="823" spans="1:10" x14ac:dyDescent="0.3">
      <c r="A823" s="150"/>
      <c r="B823" s="150"/>
      <c r="C823" s="150"/>
      <c r="D823" s="150"/>
      <c r="E823" s="140" t="str">
        <f t="shared" si="37"/>
        <v/>
      </c>
      <c r="F823" s="159"/>
      <c r="G823" s="145">
        <f t="shared" si="39"/>
        <v>0</v>
      </c>
      <c r="H823" s="140" t="str">
        <f t="shared" si="38"/>
        <v/>
      </c>
      <c r="I823"/>
      <c r="J823" s="147" t="str">
        <f>IFERROR(SUMIFS(当年实际!$V:$V,当年实际!$F:$F,$C823,当年实际!$C:$C,"&gt;="&amp;DATE(YEAR(主页!$D$2),1,1),当年实际!$C:$C,"&lt;="&amp;EOMONTH(DATE(YEAR(主页!$D$2),MONTH(主页!$D$2),1),0))/SUMIFS(当年实际!$P:$P,当年实际!$F:$F,$C823,当年实际!$C:$C,"&gt;="&amp;DATE(YEAR(主页!$D$2),1,1),当年实际!$C:$C,"&lt;="&amp;EOMONTH(DATE(YEAR(主页!$D$2),MONTH(主页!$D$2),1),0)),"")</f>
        <v/>
      </c>
    </row>
    <row r="824" spans="1:10" x14ac:dyDescent="0.3">
      <c r="A824" s="150"/>
      <c r="B824" s="150"/>
      <c r="C824" s="150"/>
      <c r="D824" s="150"/>
      <c r="E824" s="140" t="str">
        <f t="shared" si="37"/>
        <v/>
      </c>
      <c r="F824" s="159"/>
      <c r="G824" s="145">
        <f t="shared" si="39"/>
        <v>0</v>
      </c>
      <c r="H824" s="140" t="str">
        <f t="shared" si="38"/>
        <v/>
      </c>
      <c r="I824"/>
      <c r="J824" s="147" t="str">
        <f>IFERROR(SUMIFS(当年实际!$V:$V,当年实际!$F:$F,$C824,当年实际!$C:$C,"&gt;="&amp;DATE(YEAR(主页!$D$2),1,1),当年实际!$C:$C,"&lt;="&amp;EOMONTH(DATE(YEAR(主页!$D$2),MONTH(主页!$D$2),1),0))/SUMIFS(当年实际!$P:$P,当年实际!$F:$F,$C824,当年实际!$C:$C,"&gt;="&amp;DATE(YEAR(主页!$D$2),1,1),当年实际!$C:$C,"&lt;="&amp;EOMONTH(DATE(YEAR(主页!$D$2),MONTH(主页!$D$2),1),0)),"")</f>
        <v/>
      </c>
    </row>
    <row r="825" spans="1:10" x14ac:dyDescent="0.3">
      <c r="A825" s="150"/>
      <c r="B825" s="150"/>
      <c r="C825" s="150"/>
      <c r="D825" s="150"/>
      <c r="E825" s="140" t="str">
        <f t="shared" si="37"/>
        <v/>
      </c>
      <c r="F825" s="159"/>
      <c r="G825" s="145">
        <f t="shared" si="39"/>
        <v>0</v>
      </c>
      <c r="H825" s="140" t="str">
        <f t="shared" si="38"/>
        <v/>
      </c>
      <c r="I825"/>
      <c r="J825" s="147" t="str">
        <f>IFERROR(SUMIFS(当年实际!$V:$V,当年实际!$F:$F,$C825,当年实际!$C:$C,"&gt;="&amp;DATE(YEAR(主页!$D$2),1,1),当年实际!$C:$C,"&lt;="&amp;EOMONTH(DATE(YEAR(主页!$D$2),MONTH(主页!$D$2),1),0))/SUMIFS(当年实际!$P:$P,当年实际!$F:$F,$C825,当年实际!$C:$C,"&gt;="&amp;DATE(YEAR(主页!$D$2),1,1),当年实际!$C:$C,"&lt;="&amp;EOMONTH(DATE(YEAR(主页!$D$2),MONTH(主页!$D$2),1),0)),"")</f>
        <v/>
      </c>
    </row>
    <row r="826" spans="1:10" x14ac:dyDescent="0.3">
      <c r="A826" s="150"/>
      <c r="B826" s="150"/>
      <c r="C826" s="150"/>
      <c r="D826" s="150"/>
      <c r="E826" s="140" t="str">
        <f t="shared" si="37"/>
        <v/>
      </c>
      <c r="F826" s="159"/>
      <c r="G826" s="145">
        <f t="shared" si="39"/>
        <v>0</v>
      </c>
      <c r="H826" s="140" t="str">
        <f t="shared" si="38"/>
        <v/>
      </c>
      <c r="I826"/>
      <c r="J826" s="147" t="str">
        <f>IFERROR(SUMIFS(当年实际!$V:$V,当年实际!$F:$F,$C826,当年实际!$C:$C,"&gt;="&amp;DATE(YEAR(主页!$D$2),1,1),当年实际!$C:$C,"&lt;="&amp;EOMONTH(DATE(YEAR(主页!$D$2),MONTH(主页!$D$2),1),0))/SUMIFS(当年实际!$P:$P,当年实际!$F:$F,$C826,当年实际!$C:$C,"&gt;="&amp;DATE(YEAR(主页!$D$2),1,1),当年实际!$C:$C,"&lt;="&amp;EOMONTH(DATE(YEAR(主页!$D$2),MONTH(主页!$D$2),1),0)),"")</f>
        <v/>
      </c>
    </row>
    <row r="827" spans="1:10" x14ac:dyDescent="0.3">
      <c r="A827" s="150"/>
      <c r="B827" s="150"/>
      <c r="C827" s="150"/>
      <c r="D827" s="150"/>
      <c r="E827" s="140" t="str">
        <f t="shared" si="37"/>
        <v/>
      </c>
      <c r="F827" s="159"/>
      <c r="G827" s="145">
        <f t="shared" si="39"/>
        <v>0</v>
      </c>
      <c r="H827" s="140" t="str">
        <f t="shared" si="38"/>
        <v/>
      </c>
      <c r="I827"/>
      <c r="J827" s="147" t="str">
        <f>IFERROR(SUMIFS(当年实际!$V:$V,当年实际!$F:$F,$C827,当年实际!$C:$C,"&gt;="&amp;DATE(YEAR(主页!$D$2),1,1),当年实际!$C:$C,"&lt;="&amp;EOMONTH(DATE(YEAR(主页!$D$2),MONTH(主页!$D$2),1),0))/SUMIFS(当年实际!$P:$P,当年实际!$F:$F,$C827,当年实际!$C:$C,"&gt;="&amp;DATE(YEAR(主页!$D$2),1,1),当年实际!$C:$C,"&lt;="&amp;EOMONTH(DATE(YEAR(主页!$D$2),MONTH(主页!$D$2),1),0)),"")</f>
        <v/>
      </c>
    </row>
    <row r="828" spans="1:10" x14ac:dyDescent="0.3">
      <c r="A828" s="150"/>
      <c r="B828" s="150"/>
      <c r="C828" s="150"/>
      <c r="D828" s="150"/>
      <c r="E828" s="140" t="str">
        <f t="shared" si="37"/>
        <v/>
      </c>
      <c r="F828" s="159"/>
      <c r="G828" s="145">
        <f t="shared" si="39"/>
        <v>0</v>
      </c>
      <c r="H828" s="140" t="str">
        <f t="shared" si="38"/>
        <v/>
      </c>
      <c r="I828"/>
      <c r="J828" s="147" t="str">
        <f>IFERROR(SUMIFS(当年实际!$V:$V,当年实际!$F:$F,$C828,当年实际!$C:$C,"&gt;="&amp;DATE(YEAR(主页!$D$2),1,1),当年实际!$C:$C,"&lt;="&amp;EOMONTH(DATE(YEAR(主页!$D$2),MONTH(主页!$D$2),1),0))/SUMIFS(当年实际!$P:$P,当年实际!$F:$F,$C828,当年实际!$C:$C,"&gt;="&amp;DATE(YEAR(主页!$D$2),1,1),当年实际!$C:$C,"&lt;="&amp;EOMONTH(DATE(YEAR(主页!$D$2),MONTH(主页!$D$2),1),0)),"")</f>
        <v/>
      </c>
    </row>
    <row r="829" spans="1:10" x14ac:dyDescent="0.3">
      <c r="A829" s="150"/>
      <c r="B829" s="150"/>
      <c r="C829" s="150"/>
      <c r="D829" s="150"/>
      <c r="E829" s="140" t="str">
        <f t="shared" si="37"/>
        <v/>
      </c>
      <c r="F829" s="159"/>
      <c r="G829" s="145">
        <f t="shared" si="39"/>
        <v>0</v>
      </c>
      <c r="H829" s="140" t="str">
        <f t="shared" si="38"/>
        <v/>
      </c>
      <c r="I829"/>
      <c r="J829" s="147" t="str">
        <f>IFERROR(SUMIFS(当年实际!$V:$V,当年实际!$F:$F,$C829,当年实际!$C:$C,"&gt;="&amp;DATE(YEAR(主页!$D$2),1,1),当年实际!$C:$C,"&lt;="&amp;EOMONTH(DATE(YEAR(主页!$D$2),MONTH(主页!$D$2),1),0))/SUMIFS(当年实际!$P:$P,当年实际!$F:$F,$C829,当年实际!$C:$C,"&gt;="&amp;DATE(YEAR(主页!$D$2),1,1),当年实际!$C:$C,"&lt;="&amp;EOMONTH(DATE(YEAR(主页!$D$2),MONTH(主页!$D$2),1),0)),"")</f>
        <v/>
      </c>
    </row>
    <row r="830" spans="1:10" x14ac:dyDescent="0.3">
      <c r="A830" s="150"/>
      <c r="B830" s="150"/>
      <c r="C830" s="150"/>
      <c r="D830" s="150"/>
      <c r="E830" s="140" t="str">
        <f t="shared" si="37"/>
        <v/>
      </c>
      <c r="F830" s="159"/>
      <c r="G830" s="145">
        <f t="shared" si="39"/>
        <v>0</v>
      </c>
      <c r="H830" s="140" t="str">
        <f t="shared" si="38"/>
        <v/>
      </c>
      <c r="I830"/>
      <c r="J830" s="147" t="str">
        <f>IFERROR(SUMIFS(当年实际!$V:$V,当年实际!$F:$F,$C830,当年实际!$C:$C,"&gt;="&amp;DATE(YEAR(主页!$D$2),1,1),当年实际!$C:$C,"&lt;="&amp;EOMONTH(DATE(YEAR(主页!$D$2),MONTH(主页!$D$2),1),0))/SUMIFS(当年实际!$P:$P,当年实际!$F:$F,$C830,当年实际!$C:$C,"&gt;="&amp;DATE(YEAR(主页!$D$2),1,1),当年实际!$C:$C,"&lt;="&amp;EOMONTH(DATE(YEAR(主页!$D$2),MONTH(主页!$D$2),1),0)),"")</f>
        <v/>
      </c>
    </row>
    <row r="831" spans="1:10" x14ac:dyDescent="0.3">
      <c r="A831" s="150"/>
      <c r="B831" s="150"/>
      <c r="C831" s="150"/>
      <c r="D831" s="150"/>
      <c r="E831" s="140" t="str">
        <f t="shared" si="37"/>
        <v/>
      </c>
      <c r="F831" s="159"/>
      <c r="G831" s="145">
        <f t="shared" si="39"/>
        <v>0</v>
      </c>
      <c r="H831" s="140" t="str">
        <f t="shared" si="38"/>
        <v/>
      </c>
      <c r="I831"/>
      <c r="J831" s="147" t="str">
        <f>IFERROR(SUMIFS(当年实际!$V:$V,当年实际!$F:$F,$C831,当年实际!$C:$C,"&gt;="&amp;DATE(YEAR(主页!$D$2),1,1),当年实际!$C:$C,"&lt;="&amp;EOMONTH(DATE(YEAR(主页!$D$2),MONTH(主页!$D$2),1),0))/SUMIFS(当年实际!$P:$P,当年实际!$F:$F,$C831,当年实际!$C:$C,"&gt;="&amp;DATE(YEAR(主页!$D$2),1,1),当年实际!$C:$C,"&lt;="&amp;EOMONTH(DATE(YEAR(主页!$D$2),MONTH(主页!$D$2),1),0)),"")</f>
        <v/>
      </c>
    </row>
    <row r="832" spans="1:10" x14ac:dyDescent="0.3">
      <c r="A832" s="150"/>
      <c r="B832" s="150"/>
      <c r="C832" s="150"/>
      <c r="D832" s="150"/>
      <c r="E832" s="140" t="str">
        <f t="shared" si="37"/>
        <v/>
      </c>
      <c r="F832" s="159"/>
      <c r="G832" s="145">
        <f t="shared" si="39"/>
        <v>0</v>
      </c>
      <c r="H832" s="140" t="str">
        <f t="shared" si="38"/>
        <v/>
      </c>
      <c r="I832"/>
      <c r="J832" s="147" t="str">
        <f>IFERROR(SUMIFS(当年实际!$V:$V,当年实际!$F:$F,$C832,当年实际!$C:$C,"&gt;="&amp;DATE(YEAR(主页!$D$2),1,1),当年实际!$C:$C,"&lt;="&amp;EOMONTH(DATE(YEAR(主页!$D$2),MONTH(主页!$D$2),1),0))/SUMIFS(当年实际!$P:$P,当年实际!$F:$F,$C832,当年实际!$C:$C,"&gt;="&amp;DATE(YEAR(主页!$D$2),1,1),当年实际!$C:$C,"&lt;="&amp;EOMONTH(DATE(YEAR(主页!$D$2),MONTH(主页!$D$2),1),0)),"")</f>
        <v/>
      </c>
    </row>
    <row r="833" spans="1:10" x14ac:dyDescent="0.3">
      <c r="A833" s="150"/>
      <c r="B833" s="150"/>
      <c r="C833" s="150"/>
      <c r="D833" s="150"/>
      <c r="E833" s="140" t="str">
        <f t="shared" si="37"/>
        <v/>
      </c>
      <c r="F833" s="159"/>
      <c r="G833" s="145">
        <f t="shared" si="39"/>
        <v>0</v>
      </c>
      <c r="H833" s="140" t="str">
        <f t="shared" si="38"/>
        <v/>
      </c>
      <c r="I833"/>
      <c r="J833" s="147" t="str">
        <f>IFERROR(SUMIFS(当年实际!$V:$V,当年实际!$F:$F,$C833,当年实际!$C:$C,"&gt;="&amp;DATE(YEAR(主页!$D$2),1,1),当年实际!$C:$C,"&lt;="&amp;EOMONTH(DATE(YEAR(主页!$D$2),MONTH(主页!$D$2),1),0))/SUMIFS(当年实际!$P:$P,当年实际!$F:$F,$C833,当年实际!$C:$C,"&gt;="&amp;DATE(YEAR(主页!$D$2),1,1),当年实际!$C:$C,"&lt;="&amp;EOMONTH(DATE(YEAR(主页!$D$2),MONTH(主页!$D$2),1),0)),"")</f>
        <v/>
      </c>
    </row>
    <row r="834" spans="1:10" x14ac:dyDescent="0.3">
      <c r="A834" s="150"/>
      <c r="B834" s="150"/>
      <c r="C834" s="150"/>
      <c r="D834" s="150"/>
      <c r="E834" s="140" t="str">
        <f t="shared" si="37"/>
        <v/>
      </c>
      <c r="F834" s="159"/>
      <c r="G834" s="145">
        <f t="shared" si="39"/>
        <v>0</v>
      </c>
      <c r="H834" s="140" t="str">
        <f t="shared" si="38"/>
        <v/>
      </c>
      <c r="I834"/>
      <c r="J834" s="147" t="str">
        <f>IFERROR(SUMIFS(当年实际!$V:$V,当年实际!$F:$F,$C834,当年实际!$C:$C,"&gt;="&amp;DATE(YEAR(主页!$D$2),1,1),当年实际!$C:$C,"&lt;="&amp;EOMONTH(DATE(YEAR(主页!$D$2),MONTH(主页!$D$2),1),0))/SUMIFS(当年实际!$P:$P,当年实际!$F:$F,$C834,当年实际!$C:$C,"&gt;="&amp;DATE(YEAR(主页!$D$2),1,1),当年实际!$C:$C,"&lt;="&amp;EOMONTH(DATE(YEAR(主页!$D$2),MONTH(主页!$D$2),1),0)),"")</f>
        <v/>
      </c>
    </row>
    <row r="835" spans="1:10" x14ac:dyDescent="0.3">
      <c r="A835" s="150"/>
      <c r="B835" s="150"/>
      <c r="C835" s="150"/>
      <c r="D835" s="150"/>
      <c r="E835" s="140" t="str">
        <f t="shared" si="37"/>
        <v/>
      </c>
      <c r="F835" s="159"/>
      <c r="G835" s="145">
        <f t="shared" si="39"/>
        <v>0</v>
      </c>
      <c r="H835" s="140" t="str">
        <f t="shared" si="38"/>
        <v/>
      </c>
      <c r="I835"/>
      <c r="J835" s="147" t="str">
        <f>IFERROR(SUMIFS(当年实际!$V:$V,当年实际!$F:$F,$C835,当年实际!$C:$C,"&gt;="&amp;DATE(YEAR(主页!$D$2),1,1),当年实际!$C:$C,"&lt;="&amp;EOMONTH(DATE(YEAR(主页!$D$2),MONTH(主页!$D$2),1),0))/SUMIFS(当年实际!$P:$P,当年实际!$F:$F,$C835,当年实际!$C:$C,"&gt;="&amp;DATE(YEAR(主页!$D$2),1,1),当年实际!$C:$C,"&lt;="&amp;EOMONTH(DATE(YEAR(主页!$D$2),MONTH(主页!$D$2),1),0)),"")</f>
        <v/>
      </c>
    </row>
    <row r="836" spans="1:10" x14ac:dyDescent="0.3">
      <c r="A836" s="150"/>
      <c r="B836" s="150"/>
      <c r="C836" s="150"/>
      <c r="D836" s="150"/>
      <c r="E836" s="140" t="str">
        <f t="shared" ref="E836:E899" si="40">IF(D836/SUM(D:D)=0,"",D836/SUM(D:D))</f>
        <v/>
      </c>
      <c r="F836" s="159"/>
      <c r="G836" s="145">
        <f t="shared" si="39"/>
        <v>0</v>
      </c>
      <c r="H836" s="140" t="str">
        <f t="shared" ref="H836:H899" si="41">IF(G836/SUM(G:G)=0,"",G836/SUM(G:G))</f>
        <v/>
      </c>
      <c r="I836"/>
      <c r="J836" s="147" t="str">
        <f>IFERROR(SUMIFS(当年实际!$V:$V,当年实际!$F:$F,$C836,当年实际!$C:$C,"&gt;="&amp;DATE(YEAR(主页!$D$2),1,1),当年实际!$C:$C,"&lt;="&amp;EOMONTH(DATE(YEAR(主页!$D$2),MONTH(主页!$D$2),1),0))/SUMIFS(当年实际!$P:$P,当年实际!$F:$F,$C836,当年实际!$C:$C,"&gt;="&amp;DATE(YEAR(主页!$D$2),1,1),当年实际!$C:$C,"&lt;="&amp;EOMONTH(DATE(YEAR(主页!$D$2),MONTH(主页!$D$2),1),0)),"")</f>
        <v/>
      </c>
    </row>
    <row r="837" spans="1:10" x14ac:dyDescent="0.3">
      <c r="A837" s="150"/>
      <c r="B837" s="150"/>
      <c r="C837" s="150"/>
      <c r="D837" s="150"/>
      <c r="E837" s="140" t="str">
        <f t="shared" si="40"/>
        <v/>
      </c>
      <c r="F837" s="159"/>
      <c r="G837" s="145">
        <f t="shared" si="39"/>
        <v>0</v>
      </c>
      <c r="H837" s="140" t="str">
        <f t="shared" si="41"/>
        <v/>
      </c>
      <c r="I837"/>
      <c r="J837" s="147" t="str">
        <f>IFERROR(SUMIFS(当年实际!$V:$V,当年实际!$F:$F,$C837,当年实际!$C:$C,"&gt;="&amp;DATE(YEAR(主页!$D$2),1,1),当年实际!$C:$C,"&lt;="&amp;EOMONTH(DATE(YEAR(主页!$D$2),MONTH(主页!$D$2),1),0))/SUMIFS(当年实际!$P:$P,当年实际!$F:$F,$C837,当年实际!$C:$C,"&gt;="&amp;DATE(YEAR(主页!$D$2),1,1),当年实际!$C:$C,"&lt;="&amp;EOMONTH(DATE(YEAR(主页!$D$2),MONTH(主页!$D$2),1),0)),"")</f>
        <v/>
      </c>
    </row>
    <row r="838" spans="1:10" x14ac:dyDescent="0.3">
      <c r="A838" s="150"/>
      <c r="B838" s="150"/>
      <c r="C838" s="150"/>
      <c r="D838" s="150"/>
      <c r="E838" s="140" t="str">
        <f t="shared" si="40"/>
        <v/>
      </c>
      <c r="F838" s="159"/>
      <c r="G838" s="145">
        <f t="shared" si="39"/>
        <v>0</v>
      </c>
      <c r="H838" s="140" t="str">
        <f t="shared" si="41"/>
        <v/>
      </c>
      <c r="I838"/>
      <c r="J838" s="147" t="str">
        <f>IFERROR(SUMIFS(当年实际!$V:$V,当年实际!$F:$F,$C838,当年实际!$C:$C,"&gt;="&amp;DATE(YEAR(主页!$D$2),1,1),当年实际!$C:$C,"&lt;="&amp;EOMONTH(DATE(YEAR(主页!$D$2),MONTH(主页!$D$2),1),0))/SUMIFS(当年实际!$P:$P,当年实际!$F:$F,$C838,当年实际!$C:$C,"&gt;="&amp;DATE(YEAR(主页!$D$2),1,1),当年实际!$C:$C,"&lt;="&amp;EOMONTH(DATE(YEAR(主页!$D$2),MONTH(主页!$D$2),1),0)),"")</f>
        <v/>
      </c>
    </row>
    <row r="839" spans="1:10" x14ac:dyDescent="0.3">
      <c r="A839" s="150"/>
      <c r="B839" s="150"/>
      <c r="C839" s="150"/>
      <c r="D839" s="150"/>
      <c r="E839" s="140" t="str">
        <f t="shared" si="40"/>
        <v/>
      </c>
      <c r="F839" s="159"/>
      <c r="G839" s="145">
        <f t="shared" ref="G839:G902" si="42">D839*F839</f>
        <v>0</v>
      </c>
      <c r="H839" s="140" t="str">
        <f t="shared" si="41"/>
        <v/>
      </c>
      <c r="I839"/>
      <c r="J839" s="147" t="str">
        <f>IFERROR(SUMIFS(当年实际!$V:$V,当年实际!$F:$F,$C839,当年实际!$C:$C,"&gt;="&amp;DATE(YEAR(主页!$D$2),1,1),当年实际!$C:$C,"&lt;="&amp;EOMONTH(DATE(YEAR(主页!$D$2),MONTH(主页!$D$2),1),0))/SUMIFS(当年实际!$P:$P,当年实际!$F:$F,$C839,当年实际!$C:$C,"&gt;="&amp;DATE(YEAR(主页!$D$2),1,1),当年实际!$C:$C,"&lt;="&amp;EOMONTH(DATE(YEAR(主页!$D$2),MONTH(主页!$D$2),1),0)),"")</f>
        <v/>
      </c>
    </row>
    <row r="840" spans="1:10" x14ac:dyDescent="0.3">
      <c r="A840" s="150"/>
      <c r="B840" s="150"/>
      <c r="C840" s="150"/>
      <c r="D840" s="150"/>
      <c r="E840" s="140" t="str">
        <f t="shared" si="40"/>
        <v/>
      </c>
      <c r="F840" s="159"/>
      <c r="G840" s="145">
        <f t="shared" si="42"/>
        <v>0</v>
      </c>
      <c r="H840" s="140" t="str">
        <f t="shared" si="41"/>
        <v/>
      </c>
      <c r="I840"/>
      <c r="J840" s="147" t="str">
        <f>IFERROR(SUMIFS(当年实际!$V:$V,当年实际!$F:$F,$C840,当年实际!$C:$C,"&gt;="&amp;DATE(YEAR(主页!$D$2),1,1),当年实际!$C:$C,"&lt;="&amp;EOMONTH(DATE(YEAR(主页!$D$2),MONTH(主页!$D$2),1),0))/SUMIFS(当年实际!$P:$P,当年实际!$F:$F,$C840,当年实际!$C:$C,"&gt;="&amp;DATE(YEAR(主页!$D$2),1,1),当年实际!$C:$C,"&lt;="&amp;EOMONTH(DATE(YEAR(主页!$D$2),MONTH(主页!$D$2),1),0)),"")</f>
        <v/>
      </c>
    </row>
    <row r="841" spans="1:10" x14ac:dyDescent="0.3">
      <c r="A841" s="150"/>
      <c r="B841" s="150"/>
      <c r="C841" s="150"/>
      <c r="D841" s="150"/>
      <c r="E841" s="140" t="str">
        <f t="shared" si="40"/>
        <v/>
      </c>
      <c r="F841" s="159"/>
      <c r="G841" s="145">
        <f t="shared" si="42"/>
        <v>0</v>
      </c>
      <c r="H841" s="140" t="str">
        <f t="shared" si="41"/>
        <v/>
      </c>
      <c r="I841"/>
      <c r="J841" s="147" t="str">
        <f>IFERROR(SUMIFS(当年实际!$V:$V,当年实际!$F:$F,$C841,当年实际!$C:$C,"&gt;="&amp;DATE(YEAR(主页!$D$2),1,1),当年实际!$C:$C,"&lt;="&amp;EOMONTH(DATE(YEAR(主页!$D$2),MONTH(主页!$D$2),1),0))/SUMIFS(当年实际!$P:$P,当年实际!$F:$F,$C841,当年实际!$C:$C,"&gt;="&amp;DATE(YEAR(主页!$D$2),1,1),当年实际!$C:$C,"&lt;="&amp;EOMONTH(DATE(YEAR(主页!$D$2),MONTH(主页!$D$2),1),0)),"")</f>
        <v/>
      </c>
    </row>
    <row r="842" spans="1:10" x14ac:dyDescent="0.3">
      <c r="A842" s="150"/>
      <c r="B842" s="150"/>
      <c r="C842" s="150"/>
      <c r="D842" s="150"/>
      <c r="E842" s="140" t="str">
        <f t="shared" si="40"/>
        <v/>
      </c>
      <c r="F842" s="159"/>
      <c r="G842" s="145">
        <f t="shared" si="42"/>
        <v>0</v>
      </c>
      <c r="H842" s="140" t="str">
        <f t="shared" si="41"/>
        <v/>
      </c>
      <c r="I842"/>
      <c r="J842" s="147" t="str">
        <f>IFERROR(SUMIFS(当年实际!$V:$V,当年实际!$F:$F,$C842,当年实际!$C:$C,"&gt;="&amp;DATE(YEAR(主页!$D$2),1,1),当年实际!$C:$C,"&lt;="&amp;EOMONTH(DATE(YEAR(主页!$D$2),MONTH(主页!$D$2),1),0))/SUMIFS(当年实际!$P:$P,当年实际!$F:$F,$C842,当年实际!$C:$C,"&gt;="&amp;DATE(YEAR(主页!$D$2),1,1),当年实际!$C:$C,"&lt;="&amp;EOMONTH(DATE(YEAR(主页!$D$2),MONTH(主页!$D$2),1),0)),"")</f>
        <v/>
      </c>
    </row>
    <row r="843" spans="1:10" x14ac:dyDescent="0.3">
      <c r="A843" s="150"/>
      <c r="B843" s="150"/>
      <c r="C843" s="150"/>
      <c r="D843" s="150"/>
      <c r="E843" s="140" t="str">
        <f t="shared" si="40"/>
        <v/>
      </c>
      <c r="F843" s="159"/>
      <c r="G843" s="145">
        <f t="shared" si="42"/>
        <v>0</v>
      </c>
      <c r="H843" s="140" t="str">
        <f t="shared" si="41"/>
        <v/>
      </c>
      <c r="I843"/>
      <c r="J843" s="147" t="str">
        <f>IFERROR(SUMIFS(当年实际!$V:$V,当年实际!$F:$F,$C843,当年实际!$C:$C,"&gt;="&amp;DATE(YEAR(主页!$D$2),1,1),当年实际!$C:$C,"&lt;="&amp;EOMONTH(DATE(YEAR(主页!$D$2),MONTH(主页!$D$2),1),0))/SUMIFS(当年实际!$P:$P,当年实际!$F:$F,$C843,当年实际!$C:$C,"&gt;="&amp;DATE(YEAR(主页!$D$2),1,1),当年实际!$C:$C,"&lt;="&amp;EOMONTH(DATE(YEAR(主页!$D$2),MONTH(主页!$D$2),1),0)),"")</f>
        <v/>
      </c>
    </row>
    <row r="844" spans="1:10" x14ac:dyDescent="0.3">
      <c r="A844" s="150"/>
      <c r="B844" s="150"/>
      <c r="C844" s="150"/>
      <c r="D844" s="150"/>
      <c r="E844" s="140" t="str">
        <f t="shared" si="40"/>
        <v/>
      </c>
      <c r="F844" s="159"/>
      <c r="G844" s="145">
        <f t="shared" si="42"/>
        <v>0</v>
      </c>
      <c r="H844" s="140" t="str">
        <f t="shared" si="41"/>
        <v/>
      </c>
      <c r="I844"/>
      <c r="J844" s="147" t="str">
        <f>IFERROR(SUMIFS(当年实际!$V:$V,当年实际!$F:$F,$C844,当年实际!$C:$C,"&gt;="&amp;DATE(YEAR(主页!$D$2),1,1),当年实际!$C:$C,"&lt;="&amp;EOMONTH(DATE(YEAR(主页!$D$2),MONTH(主页!$D$2),1),0))/SUMIFS(当年实际!$P:$P,当年实际!$F:$F,$C844,当年实际!$C:$C,"&gt;="&amp;DATE(YEAR(主页!$D$2),1,1),当年实际!$C:$C,"&lt;="&amp;EOMONTH(DATE(YEAR(主页!$D$2),MONTH(主页!$D$2),1),0)),"")</f>
        <v/>
      </c>
    </row>
    <row r="845" spans="1:10" x14ac:dyDescent="0.3">
      <c r="A845" s="150"/>
      <c r="B845" s="150"/>
      <c r="C845" s="150"/>
      <c r="D845" s="150"/>
      <c r="E845" s="140" t="str">
        <f t="shared" si="40"/>
        <v/>
      </c>
      <c r="F845" s="159"/>
      <c r="G845" s="145">
        <f t="shared" si="42"/>
        <v>0</v>
      </c>
      <c r="H845" s="140" t="str">
        <f t="shared" si="41"/>
        <v/>
      </c>
      <c r="I845"/>
      <c r="J845" s="147" t="str">
        <f>IFERROR(SUMIFS(当年实际!$V:$V,当年实际!$F:$F,$C845,当年实际!$C:$C,"&gt;="&amp;DATE(YEAR(主页!$D$2),1,1),当年实际!$C:$C,"&lt;="&amp;EOMONTH(DATE(YEAR(主页!$D$2),MONTH(主页!$D$2),1),0))/SUMIFS(当年实际!$P:$P,当年实际!$F:$F,$C845,当年实际!$C:$C,"&gt;="&amp;DATE(YEAR(主页!$D$2),1,1),当年实际!$C:$C,"&lt;="&amp;EOMONTH(DATE(YEAR(主页!$D$2),MONTH(主页!$D$2),1),0)),"")</f>
        <v/>
      </c>
    </row>
    <row r="846" spans="1:10" x14ac:dyDescent="0.3">
      <c r="A846" s="150"/>
      <c r="B846" s="150"/>
      <c r="C846" s="150"/>
      <c r="D846" s="150"/>
      <c r="E846" s="140" t="str">
        <f t="shared" si="40"/>
        <v/>
      </c>
      <c r="F846" s="159"/>
      <c r="G846" s="145">
        <f t="shared" si="42"/>
        <v>0</v>
      </c>
      <c r="H846" s="140" t="str">
        <f t="shared" si="41"/>
        <v/>
      </c>
      <c r="I846"/>
      <c r="J846" s="147" t="str">
        <f>IFERROR(SUMIFS(当年实际!$V:$V,当年实际!$F:$F,$C846,当年实际!$C:$C,"&gt;="&amp;DATE(YEAR(主页!$D$2),1,1),当年实际!$C:$C,"&lt;="&amp;EOMONTH(DATE(YEAR(主页!$D$2),MONTH(主页!$D$2),1),0))/SUMIFS(当年实际!$P:$P,当年实际!$F:$F,$C846,当年实际!$C:$C,"&gt;="&amp;DATE(YEAR(主页!$D$2),1,1),当年实际!$C:$C,"&lt;="&amp;EOMONTH(DATE(YEAR(主页!$D$2),MONTH(主页!$D$2),1),0)),"")</f>
        <v/>
      </c>
    </row>
    <row r="847" spans="1:10" x14ac:dyDescent="0.3">
      <c r="A847" s="150"/>
      <c r="B847" s="150"/>
      <c r="C847" s="150"/>
      <c r="D847" s="150"/>
      <c r="E847" s="140" t="str">
        <f t="shared" si="40"/>
        <v/>
      </c>
      <c r="F847" s="159"/>
      <c r="G847" s="145">
        <f t="shared" si="42"/>
        <v>0</v>
      </c>
      <c r="H847" s="140" t="str">
        <f t="shared" si="41"/>
        <v/>
      </c>
      <c r="I847"/>
      <c r="J847" s="147" t="str">
        <f>IFERROR(SUMIFS(当年实际!$V:$V,当年实际!$F:$F,$C847,当年实际!$C:$C,"&gt;="&amp;DATE(YEAR(主页!$D$2),1,1),当年实际!$C:$C,"&lt;="&amp;EOMONTH(DATE(YEAR(主页!$D$2),MONTH(主页!$D$2),1),0))/SUMIFS(当年实际!$P:$P,当年实际!$F:$F,$C847,当年实际!$C:$C,"&gt;="&amp;DATE(YEAR(主页!$D$2),1,1),当年实际!$C:$C,"&lt;="&amp;EOMONTH(DATE(YEAR(主页!$D$2),MONTH(主页!$D$2),1),0)),"")</f>
        <v/>
      </c>
    </row>
    <row r="848" spans="1:10" x14ac:dyDescent="0.3">
      <c r="A848" s="150"/>
      <c r="B848" s="150"/>
      <c r="C848" s="150"/>
      <c r="D848" s="150"/>
      <c r="E848" s="140" t="str">
        <f t="shared" si="40"/>
        <v/>
      </c>
      <c r="F848" s="159"/>
      <c r="G848" s="145">
        <f t="shared" si="42"/>
        <v>0</v>
      </c>
      <c r="H848" s="140" t="str">
        <f t="shared" si="41"/>
        <v/>
      </c>
      <c r="I848"/>
      <c r="J848" s="147" t="str">
        <f>IFERROR(SUMIFS(当年实际!$V:$V,当年实际!$F:$F,$C848,当年实际!$C:$C,"&gt;="&amp;DATE(YEAR(主页!$D$2),1,1),当年实际!$C:$C,"&lt;="&amp;EOMONTH(DATE(YEAR(主页!$D$2),MONTH(主页!$D$2),1),0))/SUMIFS(当年实际!$P:$P,当年实际!$F:$F,$C848,当年实际!$C:$C,"&gt;="&amp;DATE(YEAR(主页!$D$2),1,1),当年实际!$C:$C,"&lt;="&amp;EOMONTH(DATE(YEAR(主页!$D$2),MONTH(主页!$D$2),1),0)),"")</f>
        <v/>
      </c>
    </row>
    <row r="849" spans="1:10" x14ac:dyDescent="0.3">
      <c r="A849" s="150"/>
      <c r="B849" s="150"/>
      <c r="C849" s="150"/>
      <c r="D849" s="150"/>
      <c r="E849" s="140" t="str">
        <f t="shared" si="40"/>
        <v/>
      </c>
      <c r="F849" s="159"/>
      <c r="G849" s="145">
        <f t="shared" si="42"/>
        <v>0</v>
      </c>
      <c r="H849" s="140" t="str">
        <f t="shared" si="41"/>
        <v/>
      </c>
      <c r="I849"/>
      <c r="J849" s="147" t="str">
        <f>IFERROR(SUMIFS(当年实际!$V:$V,当年实际!$F:$F,$C849,当年实际!$C:$C,"&gt;="&amp;DATE(YEAR(主页!$D$2),1,1),当年实际!$C:$C,"&lt;="&amp;EOMONTH(DATE(YEAR(主页!$D$2),MONTH(主页!$D$2),1),0))/SUMIFS(当年实际!$P:$P,当年实际!$F:$F,$C849,当年实际!$C:$C,"&gt;="&amp;DATE(YEAR(主页!$D$2),1,1),当年实际!$C:$C,"&lt;="&amp;EOMONTH(DATE(YEAR(主页!$D$2),MONTH(主页!$D$2),1),0)),"")</f>
        <v/>
      </c>
    </row>
    <row r="850" spans="1:10" x14ac:dyDescent="0.3">
      <c r="A850" s="150"/>
      <c r="B850" s="150"/>
      <c r="C850" s="150"/>
      <c r="D850" s="150"/>
      <c r="E850" s="140" t="str">
        <f t="shared" si="40"/>
        <v/>
      </c>
      <c r="F850" s="159"/>
      <c r="G850" s="145">
        <f t="shared" si="42"/>
        <v>0</v>
      </c>
      <c r="H850" s="140" t="str">
        <f t="shared" si="41"/>
        <v/>
      </c>
      <c r="I850"/>
      <c r="J850" s="147" t="str">
        <f>IFERROR(SUMIFS(当年实际!$V:$V,当年实际!$F:$F,$C850,当年实际!$C:$C,"&gt;="&amp;DATE(YEAR(主页!$D$2),1,1),当年实际!$C:$C,"&lt;="&amp;EOMONTH(DATE(YEAR(主页!$D$2),MONTH(主页!$D$2),1),0))/SUMIFS(当年实际!$P:$P,当年实际!$F:$F,$C850,当年实际!$C:$C,"&gt;="&amp;DATE(YEAR(主页!$D$2),1,1),当年实际!$C:$C,"&lt;="&amp;EOMONTH(DATE(YEAR(主页!$D$2),MONTH(主页!$D$2),1),0)),"")</f>
        <v/>
      </c>
    </row>
    <row r="851" spans="1:10" x14ac:dyDescent="0.3">
      <c r="A851" s="150"/>
      <c r="B851" s="150"/>
      <c r="C851" s="150"/>
      <c r="D851" s="150"/>
      <c r="E851" s="140" t="str">
        <f t="shared" si="40"/>
        <v/>
      </c>
      <c r="F851" s="159"/>
      <c r="G851" s="145">
        <f t="shared" si="42"/>
        <v>0</v>
      </c>
      <c r="H851" s="140" t="str">
        <f t="shared" si="41"/>
        <v/>
      </c>
      <c r="I851"/>
      <c r="J851" s="147" t="str">
        <f>IFERROR(SUMIFS(当年实际!$V:$V,当年实际!$F:$F,$C851,当年实际!$C:$C,"&gt;="&amp;DATE(YEAR(主页!$D$2),1,1),当年实际!$C:$C,"&lt;="&amp;EOMONTH(DATE(YEAR(主页!$D$2),MONTH(主页!$D$2),1),0))/SUMIFS(当年实际!$P:$P,当年实际!$F:$F,$C851,当年实际!$C:$C,"&gt;="&amp;DATE(YEAR(主页!$D$2),1,1),当年实际!$C:$C,"&lt;="&amp;EOMONTH(DATE(YEAR(主页!$D$2),MONTH(主页!$D$2),1),0)),"")</f>
        <v/>
      </c>
    </row>
    <row r="852" spans="1:10" x14ac:dyDescent="0.3">
      <c r="A852" s="150"/>
      <c r="B852" s="150"/>
      <c r="C852" s="150"/>
      <c r="D852" s="150"/>
      <c r="E852" s="140" t="str">
        <f t="shared" si="40"/>
        <v/>
      </c>
      <c r="F852" s="159"/>
      <c r="G852" s="145">
        <f t="shared" si="42"/>
        <v>0</v>
      </c>
      <c r="H852" s="140" t="str">
        <f t="shared" si="41"/>
        <v/>
      </c>
      <c r="I852"/>
      <c r="J852" s="147" t="str">
        <f>IFERROR(SUMIFS(当年实际!$V:$V,当年实际!$F:$F,$C852,当年实际!$C:$C,"&gt;="&amp;DATE(YEAR(主页!$D$2),1,1),当年实际!$C:$C,"&lt;="&amp;EOMONTH(DATE(YEAR(主页!$D$2),MONTH(主页!$D$2),1),0))/SUMIFS(当年实际!$P:$P,当年实际!$F:$F,$C852,当年实际!$C:$C,"&gt;="&amp;DATE(YEAR(主页!$D$2),1,1),当年实际!$C:$C,"&lt;="&amp;EOMONTH(DATE(YEAR(主页!$D$2),MONTH(主页!$D$2),1),0)),"")</f>
        <v/>
      </c>
    </row>
    <row r="853" spans="1:10" x14ac:dyDescent="0.3">
      <c r="A853" s="150"/>
      <c r="B853" s="150"/>
      <c r="C853" s="150"/>
      <c r="D853" s="150"/>
      <c r="E853" s="140" t="str">
        <f t="shared" si="40"/>
        <v/>
      </c>
      <c r="F853" s="159"/>
      <c r="G853" s="145">
        <f t="shared" si="42"/>
        <v>0</v>
      </c>
      <c r="H853" s="140" t="str">
        <f t="shared" si="41"/>
        <v/>
      </c>
      <c r="I853"/>
      <c r="J853" s="147" t="str">
        <f>IFERROR(SUMIFS(当年实际!$V:$V,当年实际!$F:$F,$C853,当年实际!$C:$C,"&gt;="&amp;DATE(YEAR(主页!$D$2),1,1),当年实际!$C:$C,"&lt;="&amp;EOMONTH(DATE(YEAR(主页!$D$2),MONTH(主页!$D$2),1),0))/SUMIFS(当年实际!$P:$P,当年实际!$F:$F,$C853,当年实际!$C:$C,"&gt;="&amp;DATE(YEAR(主页!$D$2),1,1),当年实际!$C:$C,"&lt;="&amp;EOMONTH(DATE(YEAR(主页!$D$2),MONTH(主页!$D$2),1),0)),"")</f>
        <v/>
      </c>
    </row>
    <row r="854" spans="1:10" x14ac:dyDescent="0.3">
      <c r="A854" s="150"/>
      <c r="B854" s="150"/>
      <c r="C854" s="150"/>
      <c r="D854" s="150"/>
      <c r="E854" s="140" t="str">
        <f t="shared" si="40"/>
        <v/>
      </c>
      <c r="F854" s="159"/>
      <c r="G854" s="145">
        <f t="shared" si="42"/>
        <v>0</v>
      </c>
      <c r="H854" s="140" t="str">
        <f t="shared" si="41"/>
        <v/>
      </c>
      <c r="I854"/>
      <c r="J854" s="147" t="str">
        <f>IFERROR(SUMIFS(当年实际!$V:$V,当年实际!$F:$F,$C854,当年实际!$C:$C,"&gt;="&amp;DATE(YEAR(主页!$D$2),1,1),当年实际!$C:$C,"&lt;="&amp;EOMONTH(DATE(YEAR(主页!$D$2),MONTH(主页!$D$2),1),0))/SUMIFS(当年实际!$P:$P,当年实际!$F:$F,$C854,当年实际!$C:$C,"&gt;="&amp;DATE(YEAR(主页!$D$2),1,1),当年实际!$C:$C,"&lt;="&amp;EOMONTH(DATE(YEAR(主页!$D$2),MONTH(主页!$D$2),1),0)),"")</f>
        <v/>
      </c>
    </row>
    <row r="855" spans="1:10" x14ac:dyDescent="0.3">
      <c r="A855" s="150"/>
      <c r="B855" s="150"/>
      <c r="C855" s="150"/>
      <c r="D855" s="150"/>
      <c r="E855" s="140" t="str">
        <f t="shared" si="40"/>
        <v/>
      </c>
      <c r="F855" s="159"/>
      <c r="G855" s="145">
        <f t="shared" si="42"/>
        <v>0</v>
      </c>
      <c r="H855" s="140" t="str">
        <f t="shared" si="41"/>
        <v/>
      </c>
      <c r="I855"/>
      <c r="J855" s="147" t="str">
        <f>IFERROR(SUMIFS(当年实际!$V:$V,当年实际!$F:$F,$C855,当年实际!$C:$C,"&gt;="&amp;DATE(YEAR(主页!$D$2),1,1),当年实际!$C:$C,"&lt;="&amp;EOMONTH(DATE(YEAR(主页!$D$2),MONTH(主页!$D$2),1),0))/SUMIFS(当年实际!$P:$P,当年实际!$F:$F,$C855,当年实际!$C:$C,"&gt;="&amp;DATE(YEAR(主页!$D$2),1,1),当年实际!$C:$C,"&lt;="&amp;EOMONTH(DATE(YEAR(主页!$D$2),MONTH(主页!$D$2),1),0)),"")</f>
        <v/>
      </c>
    </row>
    <row r="856" spans="1:10" x14ac:dyDescent="0.3">
      <c r="A856" s="150"/>
      <c r="B856" s="150"/>
      <c r="C856" s="150"/>
      <c r="D856" s="150"/>
      <c r="E856" s="140" t="str">
        <f t="shared" si="40"/>
        <v/>
      </c>
      <c r="F856" s="159"/>
      <c r="G856" s="145">
        <f t="shared" si="42"/>
        <v>0</v>
      </c>
      <c r="H856" s="140" t="str">
        <f t="shared" si="41"/>
        <v/>
      </c>
      <c r="I856"/>
      <c r="J856" s="147" t="str">
        <f>IFERROR(SUMIFS(当年实际!$V:$V,当年实际!$F:$F,$C856,当年实际!$C:$C,"&gt;="&amp;DATE(YEAR(主页!$D$2),1,1),当年实际!$C:$C,"&lt;="&amp;EOMONTH(DATE(YEAR(主页!$D$2),MONTH(主页!$D$2),1),0))/SUMIFS(当年实际!$P:$P,当年实际!$F:$F,$C856,当年实际!$C:$C,"&gt;="&amp;DATE(YEAR(主页!$D$2),1,1),当年实际!$C:$C,"&lt;="&amp;EOMONTH(DATE(YEAR(主页!$D$2),MONTH(主页!$D$2),1),0)),"")</f>
        <v/>
      </c>
    </row>
    <row r="857" spans="1:10" x14ac:dyDescent="0.3">
      <c r="A857" s="150"/>
      <c r="B857" s="150"/>
      <c r="C857" s="150"/>
      <c r="D857" s="150"/>
      <c r="E857" s="140" t="str">
        <f t="shared" si="40"/>
        <v/>
      </c>
      <c r="F857" s="159"/>
      <c r="G857" s="145">
        <f t="shared" si="42"/>
        <v>0</v>
      </c>
      <c r="H857" s="140" t="str">
        <f t="shared" si="41"/>
        <v/>
      </c>
      <c r="I857"/>
      <c r="J857" s="147" t="str">
        <f>IFERROR(SUMIFS(当年实际!$V:$V,当年实际!$F:$F,$C857,当年实际!$C:$C,"&gt;="&amp;DATE(YEAR(主页!$D$2),1,1),当年实际!$C:$C,"&lt;="&amp;EOMONTH(DATE(YEAR(主页!$D$2),MONTH(主页!$D$2),1),0))/SUMIFS(当年实际!$P:$P,当年实际!$F:$F,$C857,当年实际!$C:$C,"&gt;="&amp;DATE(YEAR(主页!$D$2),1,1),当年实际!$C:$C,"&lt;="&amp;EOMONTH(DATE(YEAR(主页!$D$2),MONTH(主页!$D$2),1),0)),"")</f>
        <v/>
      </c>
    </row>
    <row r="858" spans="1:10" x14ac:dyDescent="0.3">
      <c r="A858" s="150"/>
      <c r="B858" s="150"/>
      <c r="C858" s="150"/>
      <c r="D858" s="150"/>
      <c r="E858" s="140" t="str">
        <f t="shared" si="40"/>
        <v/>
      </c>
      <c r="F858" s="159"/>
      <c r="G858" s="145">
        <f t="shared" si="42"/>
        <v>0</v>
      </c>
      <c r="H858" s="140" t="str">
        <f t="shared" si="41"/>
        <v/>
      </c>
      <c r="I858"/>
      <c r="J858" s="147" t="str">
        <f>IFERROR(SUMIFS(当年实际!$V:$V,当年实际!$F:$F,$C858,当年实际!$C:$C,"&gt;="&amp;DATE(YEAR(主页!$D$2),1,1),当年实际!$C:$C,"&lt;="&amp;EOMONTH(DATE(YEAR(主页!$D$2),MONTH(主页!$D$2),1),0))/SUMIFS(当年实际!$P:$P,当年实际!$F:$F,$C858,当年实际!$C:$C,"&gt;="&amp;DATE(YEAR(主页!$D$2),1,1),当年实际!$C:$C,"&lt;="&amp;EOMONTH(DATE(YEAR(主页!$D$2),MONTH(主页!$D$2),1),0)),"")</f>
        <v/>
      </c>
    </row>
    <row r="859" spans="1:10" x14ac:dyDescent="0.3">
      <c r="A859" s="150"/>
      <c r="B859" s="150"/>
      <c r="C859" s="150"/>
      <c r="D859" s="150"/>
      <c r="E859" s="140" t="str">
        <f t="shared" si="40"/>
        <v/>
      </c>
      <c r="F859" s="159"/>
      <c r="G859" s="145">
        <f t="shared" si="42"/>
        <v>0</v>
      </c>
      <c r="H859" s="140" t="str">
        <f t="shared" si="41"/>
        <v/>
      </c>
      <c r="I859"/>
      <c r="J859" s="147" t="str">
        <f>IFERROR(SUMIFS(当年实际!$V:$V,当年实际!$F:$F,$C859,当年实际!$C:$C,"&gt;="&amp;DATE(YEAR(主页!$D$2),1,1),当年实际!$C:$C,"&lt;="&amp;EOMONTH(DATE(YEAR(主页!$D$2),MONTH(主页!$D$2),1),0))/SUMIFS(当年实际!$P:$P,当年实际!$F:$F,$C859,当年实际!$C:$C,"&gt;="&amp;DATE(YEAR(主页!$D$2),1,1),当年实际!$C:$C,"&lt;="&amp;EOMONTH(DATE(YEAR(主页!$D$2),MONTH(主页!$D$2),1),0)),"")</f>
        <v/>
      </c>
    </row>
    <row r="860" spans="1:10" x14ac:dyDescent="0.3">
      <c r="A860" s="150"/>
      <c r="B860" s="150"/>
      <c r="C860" s="150"/>
      <c r="D860" s="150"/>
      <c r="E860" s="140" t="str">
        <f t="shared" si="40"/>
        <v/>
      </c>
      <c r="F860" s="159"/>
      <c r="G860" s="145">
        <f t="shared" si="42"/>
        <v>0</v>
      </c>
      <c r="H860" s="140" t="str">
        <f t="shared" si="41"/>
        <v/>
      </c>
      <c r="I860"/>
      <c r="J860" s="147" t="str">
        <f>IFERROR(SUMIFS(当年实际!$V:$V,当年实际!$F:$F,$C860,当年实际!$C:$C,"&gt;="&amp;DATE(YEAR(主页!$D$2),1,1),当年实际!$C:$C,"&lt;="&amp;EOMONTH(DATE(YEAR(主页!$D$2),MONTH(主页!$D$2),1),0))/SUMIFS(当年实际!$P:$P,当年实际!$F:$F,$C860,当年实际!$C:$C,"&gt;="&amp;DATE(YEAR(主页!$D$2),1,1),当年实际!$C:$C,"&lt;="&amp;EOMONTH(DATE(YEAR(主页!$D$2),MONTH(主页!$D$2),1),0)),"")</f>
        <v/>
      </c>
    </row>
    <row r="861" spans="1:10" x14ac:dyDescent="0.3">
      <c r="A861" s="150"/>
      <c r="B861" s="150"/>
      <c r="C861" s="150"/>
      <c r="D861" s="150"/>
      <c r="E861" s="140" t="str">
        <f t="shared" si="40"/>
        <v/>
      </c>
      <c r="F861" s="159"/>
      <c r="G861" s="145">
        <f t="shared" si="42"/>
        <v>0</v>
      </c>
      <c r="H861" s="140" t="str">
        <f t="shared" si="41"/>
        <v/>
      </c>
      <c r="I861"/>
      <c r="J861" s="147" t="str">
        <f>IFERROR(SUMIFS(当年实际!$V:$V,当年实际!$F:$F,$C861,当年实际!$C:$C,"&gt;="&amp;DATE(YEAR(主页!$D$2),1,1),当年实际!$C:$C,"&lt;="&amp;EOMONTH(DATE(YEAR(主页!$D$2),MONTH(主页!$D$2),1),0))/SUMIFS(当年实际!$P:$P,当年实际!$F:$F,$C861,当年实际!$C:$C,"&gt;="&amp;DATE(YEAR(主页!$D$2),1,1),当年实际!$C:$C,"&lt;="&amp;EOMONTH(DATE(YEAR(主页!$D$2),MONTH(主页!$D$2),1),0)),"")</f>
        <v/>
      </c>
    </row>
    <row r="862" spans="1:10" x14ac:dyDescent="0.3">
      <c r="A862" s="150"/>
      <c r="B862" s="150"/>
      <c r="C862" s="150"/>
      <c r="D862" s="150"/>
      <c r="E862" s="140" t="str">
        <f t="shared" si="40"/>
        <v/>
      </c>
      <c r="F862" s="159"/>
      <c r="G862" s="145">
        <f t="shared" si="42"/>
        <v>0</v>
      </c>
      <c r="H862" s="140" t="str">
        <f t="shared" si="41"/>
        <v/>
      </c>
      <c r="I862"/>
      <c r="J862" s="147" t="str">
        <f>IFERROR(SUMIFS(当年实际!$V:$V,当年实际!$F:$F,$C862,当年实际!$C:$C,"&gt;="&amp;DATE(YEAR(主页!$D$2),1,1),当年实际!$C:$C,"&lt;="&amp;EOMONTH(DATE(YEAR(主页!$D$2),MONTH(主页!$D$2),1),0))/SUMIFS(当年实际!$P:$P,当年实际!$F:$F,$C862,当年实际!$C:$C,"&gt;="&amp;DATE(YEAR(主页!$D$2),1,1),当年实际!$C:$C,"&lt;="&amp;EOMONTH(DATE(YEAR(主页!$D$2),MONTH(主页!$D$2),1),0)),"")</f>
        <v/>
      </c>
    </row>
    <row r="863" spans="1:10" x14ac:dyDescent="0.3">
      <c r="A863" s="150"/>
      <c r="B863" s="150"/>
      <c r="C863" s="150"/>
      <c r="D863" s="150"/>
      <c r="E863" s="140" t="str">
        <f t="shared" si="40"/>
        <v/>
      </c>
      <c r="F863" s="159"/>
      <c r="G863" s="145">
        <f t="shared" si="42"/>
        <v>0</v>
      </c>
      <c r="H863" s="140" t="str">
        <f t="shared" si="41"/>
        <v/>
      </c>
      <c r="I863"/>
      <c r="J863" s="147" t="str">
        <f>IFERROR(SUMIFS(当年实际!$V:$V,当年实际!$F:$F,$C863,当年实际!$C:$C,"&gt;="&amp;DATE(YEAR(主页!$D$2),1,1),当年实际!$C:$C,"&lt;="&amp;EOMONTH(DATE(YEAR(主页!$D$2),MONTH(主页!$D$2),1),0))/SUMIFS(当年实际!$P:$P,当年实际!$F:$F,$C863,当年实际!$C:$C,"&gt;="&amp;DATE(YEAR(主页!$D$2),1,1),当年实际!$C:$C,"&lt;="&amp;EOMONTH(DATE(YEAR(主页!$D$2),MONTH(主页!$D$2),1),0)),"")</f>
        <v/>
      </c>
    </row>
    <row r="864" spans="1:10" x14ac:dyDescent="0.3">
      <c r="A864" s="150"/>
      <c r="B864" s="150"/>
      <c r="C864" s="150"/>
      <c r="D864" s="150"/>
      <c r="E864" s="140" t="str">
        <f t="shared" si="40"/>
        <v/>
      </c>
      <c r="F864" s="159"/>
      <c r="G864" s="145">
        <f t="shared" si="42"/>
        <v>0</v>
      </c>
      <c r="H864" s="140" t="str">
        <f t="shared" si="41"/>
        <v/>
      </c>
      <c r="I864"/>
      <c r="J864" s="147" t="str">
        <f>IFERROR(SUMIFS(当年实际!$V:$V,当年实际!$F:$F,$C864,当年实际!$C:$C,"&gt;="&amp;DATE(YEAR(主页!$D$2),1,1),当年实际!$C:$C,"&lt;="&amp;EOMONTH(DATE(YEAR(主页!$D$2),MONTH(主页!$D$2),1),0))/SUMIFS(当年实际!$P:$P,当年实际!$F:$F,$C864,当年实际!$C:$C,"&gt;="&amp;DATE(YEAR(主页!$D$2),1,1),当年实际!$C:$C,"&lt;="&amp;EOMONTH(DATE(YEAR(主页!$D$2),MONTH(主页!$D$2),1),0)),"")</f>
        <v/>
      </c>
    </row>
    <row r="865" spans="1:10" x14ac:dyDescent="0.3">
      <c r="A865" s="150"/>
      <c r="B865" s="150"/>
      <c r="C865" s="150"/>
      <c r="D865" s="150"/>
      <c r="E865" s="140" t="str">
        <f t="shared" si="40"/>
        <v/>
      </c>
      <c r="F865" s="159"/>
      <c r="G865" s="145">
        <f t="shared" si="42"/>
        <v>0</v>
      </c>
      <c r="H865" s="140" t="str">
        <f t="shared" si="41"/>
        <v/>
      </c>
      <c r="I865"/>
      <c r="J865" s="147" t="str">
        <f>IFERROR(SUMIFS(当年实际!$V:$V,当年实际!$F:$F,$C865,当年实际!$C:$C,"&gt;="&amp;DATE(YEAR(主页!$D$2),1,1),当年实际!$C:$C,"&lt;="&amp;EOMONTH(DATE(YEAR(主页!$D$2),MONTH(主页!$D$2),1),0))/SUMIFS(当年实际!$P:$P,当年实际!$F:$F,$C865,当年实际!$C:$C,"&gt;="&amp;DATE(YEAR(主页!$D$2),1,1),当年实际!$C:$C,"&lt;="&amp;EOMONTH(DATE(YEAR(主页!$D$2),MONTH(主页!$D$2),1),0)),"")</f>
        <v/>
      </c>
    </row>
    <row r="866" spans="1:10" x14ac:dyDescent="0.3">
      <c r="A866" s="150"/>
      <c r="B866" s="150"/>
      <c r="C866" s="150"/>
      <c r="D866" s="150"/>
      <c r="E866" s="140" t="str">
        <f t="shared" si="40"/>
        <v/>
      </c>
      <c r="F866" s="159"/>
      <c r="G866" s="145">
        <f t="shared" si="42"/>
        <v>0</v>
      </c>
      <c r="H866" s="140" t="str">
        <f t="shared" si="41"/>
        <v/>
      </c>
      <c r="I866"/>
      <c r="J866" s="147" t="str">
        <f>IFERROR(SUMIFS(当年实际!$V:$V,当年实际!$F:$F,$C866,当年实际!$C:$C,"&gt;="&amp;DATE(YEAR(主页!$D$2),1,1),当年实际!$C:$C,"&lt;="&amp;EOMONTH(DATE(YEAR(主页!$D$2),MONTH(主页!$D$2),1),0))/SUMIFS(当年实际!$P:$P,当年实际!$F:$F,$C866,当年实际!$C:$C,"&gt;="&amp;DATE(YEAR(主页!$D$2),1,1),当年实际!$C:$C,"&lt;="&amp;EOMONTH(DATE(YEAR(主页!$D$2),MONTH(主页!$D$2),1),0)),"")</f>
        <v/>
      </c>
    </row>
    <row r="867" spans="1:10" x14ac:dyDescent="0.3">
      <c r="A867" s="150"/>
      <c r="B867" s="150"/>
      <c r="C867" s="150"/>
      <c r="D867" s="150"/>
      <c r="E867" s="140" t="str">
        <f t="shared" si="40"/>
        <v/>
      </c>
      <c r="F867" s="159"/>
      <c r="G867" s="145">
        <f t="shared" si="42"/>
        <v>0</v>
      </c>
      <c r="H867" s="140" t="str">
        <f t="shared" si="41"/>
        <v/>
      </c>
      <c r="I867"/>
      <c r="J867" s="147" t="str">
        <f>IFERROR(SUMIFS(当年实际!$V:$V,当年实际!$F:$F,$C867,当年实际!$C:$C,"&gt;="&amp;DATE(YEAR(主页!$D$2),1,1),当年实际!$C:$C,"&lt;="&amp;EOMONTH(DATE(YEAR(主页!$D$2),MONTH(主页!$D$2),1),0))/SUMIFS(当年实际!$P:$P,当年实际!$F:$F,$C867,当年实际!$C:$C,"&gt;="&amp;DATE(YEAR(主页!$D$2),1,1),当年实际!$C:$C,"&lt;="&amp;EOMONTH(DATE(YEAR(主页!$D$2),MONTH(主页!$D$2),1),0)),"")</f>
        <v/>
      </c>
    </row>
    <row r="868" spans="1:10" x14ac:dyDescent="0.3">
      <c r="A868" s="150"/>
      <c r="B868" s="150"/>
      <c r="C868" s="150"/>
      <c r="D868" s="150"/>
      <c r="E868" s="140" t="str">
        <f t="shared" si="40"/>
        <v/>
      </c>
      <c r="F868" s="159"/>
      <c r="G868" s="145">
        <f t="shared" si="42"/>
        <v>0</v>
      </c>
      <c r="H868" s="140" t="str">
        <f t="shared" si="41"/>
        <v/>
      </c>
      <c r="I868"/>
      <c r="J868" s="147" t="str">
        <f>IFERROR(SUMIFS(当年实际!$V:$V,当年实际!$F:$F,$C868,当年实际!$C:$C,"&gt;="&amp;DATE(YEAR(主页!$D$2),1,1),当年实际!$C:$C,"&lt;="&amp;EOMONTH(DATE(YEAR(主页!$D$2),MONTH(主页!$D$2),1),0))/SUMIFS(当年实际!$P:$P,当年实际!$F:$F,$C868,当年实际!$C:$C,"&gt;="&amp;DATE(YEAR(主页!$D$2),1,1),当年实际!$C:$C,"&lt;="&amp;EOMONTH(DATE(YEAR(主页!$D$2),MONTH(主页!$D$2),1),0)),"")</f>
        <v/>
      </c>
    </row>
    <row r="869" spans="1:10" x14ac:dyDescent="0.3">
      <c r="A869" s="150"/>
      <c r="B869" s="150"/>
      <c r="C869" s="150"/>
      <c r="D869" s="150"/>
      <c r="E869" s="140" t="str">
        <f t="shared" si="40"/>
        <v/>
      </c>
      <c r="F869" s="159"/>
      <c r="G869" s="145">
        <f t="shared" si="42"/>
        <v>0</v>
      </c>
      <c r="H869" s="140" t="str">
        <f t="shared" si="41"/>
        <v/>
      </c>
      <c r="I869"/>
      <c r="J869" s="147" t="str">
        <f>IFERROR(SUMIFS(当年实际!$V:$V,当年实际!$F:$F,$C869,当年实际!$C:$C,"&gt;="&amp;DATE(YEAR(主页!$D$2),1,1),当年实际!$C:$C,"&lt;="&amp;EOMONTH(DATE(YEAR(主页!$D$2),MONTH(主页!$D$2),1),0))/SUMIFS(当年实际!$P:$P,当年实际!$F:$F,$C869,当年实际!$C:$C,"&gt;="&amp;DATE(YEAR(主页!$D$2),1,1),当年实际!$C:$C,"&lt;="&amp;EOMONTH(DATE(YEAR(主页!$D$2),MONTH(主页!$D$2),1),0)),"")</f>
        <v/>
      </c>
    </row>
    <row r="870" spans="1:10" x14ac:dyDescent="0.3">
      <c r="A870" s="150"/>
      <c r="B870" s="150"/>
      <c r="C870" s="150"/>
      <c r="D870" s="150"/>
      <c r="E870" s="140" t="str">
        <f t="shared" si="40"/>
        <v/>
      </c>
      <c r="F870" s="159"/>
      <c r="G870" s="145">
        <f t="shared" si="42"/>
        <v>0</v>
      </c>
      <c r="H870" s="140" t="str">
        <f t="shared" si="41"/>
        <v/>
      </c>
      <c r="I870"/>
      <c r="J870" s="147" t="str">
        <f>IFERROR(SUMIFS(当年实际!$V:$V,当年实际!$F:$F,$C870,当年实际!$C:$C,"&gt;="&amp;DATE(YEAR(主页!$D$2),1,1),当年实际!$C:$C,"&lt;="&amp;EOMONTH(DATE(YEAR(主页!$D$2),MONTH(主页!$D$2),1),0))/SUMIFS(当年实际!$P:$P,当年实际!$F:$F,$C870,当年实际!$C:$C,"&gt;="&amp;DATE(YEAR(主页!$D$2),1,1),当年实际!$C:$C,"&lt;="&amp;EOMONTH(DATE(YEAR(主页!$D$2),MONTH(主页!$D$2),1),0)),"")</f>
        <v/>
      </c>
    </row>
    <row r="871" spans="1:10" x14ac:dyDescent="0.3">
      <c r="A871" s="150"/>
      <c r="B871" s="150"/>
      <c r="C871" s="150"/>
      <c r="D871" s="150"/>
      <c r="E871" s="140" t="str">
        <f t="shared" si="40"/>
        <v/>
      </c>
      <c r="F871" s="159"/>
      <c r="G871" s="145">
        <f t="shared" si="42"/>
        <v>0</v>
      </c>
      <c r="H871" s="140" t="str">
        <f t="shared" si="41"/>
        <v/>
      </c>
      <c r="I871"/>
      <c r="J871" s="147" t="str">
        <f>IFERROR(SUMIFS(当年实际!$V:$V,当年实际!$F:$F,$C871,当年实际!$C:$C,"&gt;="&amp;DATE(YEAR(主页!$D$2),1,1),当年实际!$C:$C,"&lt;="&amp;EOMONTH(DATE(YEAR(主页!$D$2),MONTH(主页!$D$2),1),0))/SUMIFS(当年实际!$P:$P,当年实际!$F:$F,$C871,当年实际!$C:$C,"&gt;="&amp;DATE(YEAR(主页!$D$2),1,1),当年实际!$C:$C,"&lt;="&amp;EOMONTH(DATE(YEAR(主页!$D$2),MONTH(主页!$D$2),1),0)),"")</f>
        <v/>
      </c>
    </row>
    <row r="872" spans="1:10" x14ac:dyDescent="0.3">
      <c r="A872" s="150"/>
      <c r="B872" s="150"/>
      <c r="C872" s="150"/>
      <c r="D872" s="150"/>
      <c r="E872" s="140" t="str">
        <f t="shared" si="40"/>
        <v/>
      </c>
      <c r="F872" s="159"/>
      <c r="G872" s="145">
        <f t="shared" si="42"/>
        <v>0</v>
      </c>
      <c r="H872" s="140" t="str">
        <f t="shared" si="41"/>
        <v/>
      </c>
      <c r="I872"/>
      <c r="J872" s="147" t="str">
        <f>IFERROR(SUMIFS(当年实际!$V:$V,当年实际!$F:$F,$C872,当年实际!$C:$C,"&gt;="&amp;DATE(YEAR(主页!$D$2),1,1),当年实际!$C:$C,"&lt;="&amp;EOMONTH(DATE(YEAR(主页!$D$2),MONTH(主页!$D$2),1),0))/SUMIFS(当年实际!$P:$P,当年实际!$F:$F,$C872,当年实际!$C:$C,"&gt;="&amp;DATE(YEAR(主页!$D$2),1,1),当年实际!$C:$C,"&lt;="&amp;EOMONTH(DATE(YEAR(主页!$D$2),MONTH(主页!$D$2),1),0)),"")</f>
        <v/>
      </c>
    </row>
    <row r="873" spans="1:10" x14ac:dyDescent="0.3">
      <c r="A873" s="150"/>
      <c r="B873" s="150"/>
      <c r="C873" s="150"/>
      <c r="D873" s="150"/>
      <c r="E873" s="140" t="str">
        <f t="shared" si="40"/>
        <v/>
      </c>
      <c r="F873" s="159"/>
      <c r="G873" s="145">
        <f t="shared" si="42"/>
        <v>0</v>
      </c>
      <c r="H873" s="140" t="str">
        <f t="shared" si="41"/>
        <v/>
      </c>
      <c r="I873"/>
      <c r="J873" s="147" t="str">
        <f>IFERROR(SUMIFS(当年实际!$V:$V,当年实际!$F:$F,$C873,当年实际!$C:$C,"&gt;="&amp;DATE(YEAR(主页!$D$2),1,1),当年实际!$C:$C,"&lt;="&amp;EOMONTH(DATE(YEAR(主页!$D$2),MONTH(主页!$D$2),1),0))/SUMIFS(当年实际!$P:$P,当年实际!$F:$F,$C873,当年实际!$C:$C,"&gt;="&amp;DATE(YEAR(主页!$D$2),1,1),当年实际!$C:$C,"&lt;="&amp;EOMONTH(DATE(YEAR(主页!$D$2),MONTH(主页!$D$2),1),0)),"")</f>
        <v/>
      </c>
    </row>
    <row r="874" spans="1:10" x14ac:dyDescent="0.3">
      <c r="A874" s="150"/>
      <c r="B874" s="150"/>
      <c r="C874" s="150"/>
      <c r="D874" s="150"/>
      <c r="E874" s="140" t="str">
        <f t="shared" si="40"/>
        <v/>
      </c>
      <c r="F874" s="159"/>
      <c r="G874" s="145">
        <f t="shared" si="42"/>
        <v>0</v>
      </c>
      <c r="H874" s="140" t="str">
        <f t="shared" si="41"/>
        <v/>
      </c>
      <c r="I874"/>
      <c r="J874" s="147" t="str">
        <f>IFERROR(SUMIFS(当年实际!$V:$V,当年实际!$F:$F,$C874,当年实际!$C:$C,"&gt;="&amp;DATE(YEAR(主页!$D$2),1,1),当年实际!$C:$C,"&lt;="&amp;EOMONTH(DATE(YEAR(主页!$D$2),MONTH(主页!$D$2),1),0))/SUMIFS(当年实际!$P:$P,当年实际!$F:$F,$C874,当年实际!$C:$C,"&gt;="&amp;DATE(YEAR(主页!$D$2),1,1),当年实际!$C:$C,"&lt;="&amp;EOMONTH(DATE(YEAR(主页!$D$2),MONTH(主页!$D$2),1),0)),"")</f>
        <v/>
      </c>
    </row>
    <row r="875" spans="1:10" x14ac:dyDescent="0.3">
      <c r="A875" s="150"/>
      <c r="B875" s="150"/>
      <c r="C875" s="150"/>
      <c r="D875" s="150"/>
      <c r="E875" s="140" t="str">
        <f t="shared" si="40"/>
        <v/>
      </c>
      <c r="F875" s="159"/>
      <c r="G875" s="145">
        <f t="shared" si="42"/>
        <v>0</v>
      </c>
      <c r="H875" s="140" t="str">
        <f t="shared" si="41"/>
        <v/>
      </c>
      <c r="I875"/>
      <c r="J875" s="147" t="str">
        <f>IFERROR(SUMIFS(当年实际!$V:$V,当年实际!$F:$F,$C875,当年实际!$C:$C,"&gt;="&amp;DATE(YEAR(主页!$D$2),1,1),当年实际!$C:$C,"&lt;="&amp;EOMONTH(DATE(YEAR(主页!$D$2),MONTH(主页!$D$2),1),0))/SUMIFS(当年实际!$P:$P,当年实际!$F:$F,$C875,当年实际!$C:$C,"&gt;="&amp;DATE(YEAR(主页!$D$2),1,1),当年实际!$C:$C,"&lt;="&amp;EOMONTH(DATE(YEAR(主页!$D$2),MONTH(主页!$D$2),1),0)),"")</f>
        <v/>
      </c>
    </row>
    <row r="876" spans="1:10" x14ac:dyDescent="0.3">
      <c r="A876" s="150"/>
      <c r="B876" s="150"/>
      <c r="C876" s="150"/>
      <c r="D876" s="150"/>
      <c r="E876" s="140" t="str">
        <f t="shared" si="40"/>
        <v/>
      </c>
      <c r="F876" s="159"/>
      <c r="G876" s="145">
        <f t="shared" si="42"/>
        <v>0</v>
      </c>
      <c r="H876" s="140" t="str">
        <f t="shared" si="41"/>
        <v/>
      </c>
      <c r="I876"/>
      <c r="J876" s="147" t="str">
        <f>IFERROR(SUMIFS(当年实际!$V:$V,当年实际!$F:$F,$C876,当年实际!$C:$C,"&gt;="&amp;DATE(YEAR(主页!$D$2),1,1),当年实际!$C:$C,"&lt;="&amp;EOMONTH(DATE(YEAR(主页!$D$2),MONTH(主页!$D$2),1),0))/SUMIFS(当年实际!$P:$P,当年实际!$F:$F,$C876,当年实际!$C:$C,"&gt;="&amp;DATE(YEAR(主页!$D$2),1,1),当年实际!$C:$C,"&lt;="&amp;EOMONTH(DATE(YEAR(主页!$D$2),MONTH(主页!$D$2),1),0)),"")</f>
        <v/>
      </c>
    </row>
    <row r="877" spans="1:10" x14ac:dyDescent="0.3">
      <c r="A877" s="150"/>
      <c r="B877" s="150"/>
      <c r="C877" s="150"/>
      <c r="D877" s="150"/>
      <c r="E877" s="140" t="str">
        <f t="shared" si="40"/>
        <v/>
      </c>
      <c r="F877" s="159"/>
      <c r="G877" s="145">
        <f t="shared" si="42"/>
        <v>0</v>
      </c>
      <c r="H877" s="140" t="str">
        <f t="shared" si="41"/>
        <v/>
      </c>
      <c r="I877"/>
      <c r="J877" s="147" t="str">
        <f>IFERROR(SUMIFS(当年实际!$V:$V,当年实际!$F:$F,$C877,当年实际!$C:$C,"&gt;="&amp;DATE(YEAR(主页!$D$2),1,1),当年实际!$C:$C,"&lt;="&amp;EOMONTH(DATE(YEAR(主页!$D$2),MONTH(主页!$D$2),1),0))/SUMIFS(当年实际!$P:$P,当年实际!$F:$F,$C877,当年实际!$C:$C,"&gt;="&amp;DATE(YEAR(主页!$D$2),1,1),当年实际!$C:$C,"&lt;="&amp;EOMONTH(DATE(YEAR(主页!$D$2),MONTH(主页!$D$2),1),0)),"")</f>
        <v/>
      </c>
    </row>
    <row r="878" spans="1:10" x14ac:dyDescent="0.3">
      <c r="A878" s="150"/>
      <c r="B878" s="150"/>
      <c r="C878" s="150"/>
      <c r="D878" s="150"/>
      <c r="E878" s="140" t="str">
        <f t="shared" si="40"/>
        <v/>
      </c>
      <c r="F878" s="159"/>
      <c r="G878" s="145">
        <f t="shared" si="42"/>
        <v>0</v>
      </c>
      <c r="H878" s="140" t="str">
        <f t="shared" si="41"/>
        <v/>
      </c>
      <c r="I878"/>
      <c r="J878" s="147" t="str">
        <f>IFERROR(SUMIFS(当年实际!$V:$V,当年实际!$F:$F,$C878,当年实际!$C:$C,"&gt;="&amp;DATE(YEAR(主页!$D$2),1,1),当年实际!$C:$C,"&lt;="&amp;EOMONTH(DATE(YEAR(主页!$D$2),MONTH(主页!$D$2),1),0))/SUMIFS(当年实际!$P:$P,当年实际!$F:$F,$C878,当年实际!$C:$C,"&gt;="&amp;DATE(YEAR(主页!$D$2),1,1),当年实际!$C:$C,"&lt;="&amp;EOMONTH(DATE(YEAR(主页!$D$2),MONTH(主页!$D$2),1),0)),"")</f>
        <v/>
      </c>
    </row>
    <row r="879" spans="1:10" x14ac:dyDescent="0.3">
      <c r="A879" s="150"/>
      <c r="B879" s="150"/>
      <c r="C879" s="150"/>
      <c r="D879" s="150"/>
      <c r="E879" s="140" t="str">
        <f t="shared" si="40"/>
        <v/>
      </c>
      <c r="F879" s="159"/>
      <c r="G879" s="145">
        <f t="shared" si="42"/>
        <v>0</v>
      </c>
      <c r="H879" s="140" t="str">
        <f t="shared" si="41"/>
        <v/>
      </c>
      <c r="I879"/>
      <c r="J879" s="147" t="str">
        <f>IFERROR(SUMIFS(当年实际!$V:$V,当年实际!$F:$F,$C879,当年实际!$C:$C,"&gt;="&amp;DATE(YEAR(主页!$D$2),1,1),当年实际!$C:$C,"&lt;="&amp;EOMONTH(DATE(YEAR(主页!$D$2),MONTH(主页!$D$2),1),0))/SUMIFS(当年实际!$P:$P,当年实际!$F:$F,$C879,当年实际!$C:$C,"&gt;="&amp;DATE(YEAR(主页!$D$2),1,1),当年实际!$C:$C,"&lt;="&amp;EOMONTH(DATE(YEAR(主页!$D$2),MONTH(主页!$D$2),1),0)),"")</f>
        <v/>
      </c>
    </row>
    <row r="880" spans="1:10" x14ac:dyDescent="0.3">
      <c r="A880" s="150"/>
      <c r="B880" s="150"/>
      <c r="C880" s="150"/>
      <c r="D880" s="150"/>
      <c r="E880" s="140" t="str">
        <f t="shared" si="40"/>
        <v/>
      </c>
      <c r="F880" s="159"/>
      <c r="G880" s="145">
        <f t="shared" si="42"/>
        <v>0</v>
      </c>
      <c r="H880" s="140" t="str">
        <f t="shared" si="41"/>
        <v/>
      </c>
      <c r="I880"/>
      <c r="J880" s="147" t="str">
        <f>IFERROR(SUMIFS(当年实际!$V:$V,当年实际!$F:$F,$C880,当年实际!$C:$C,"&gt;="&amp;DATE(YEAR(主页!$D$2),1,1),当年实际!$C:$C,"&lt;="&amp;EOMONTH(DATE(YEAR(主页!$D$2),MONTH(主页!$D$2),1),0))/SUMIFS(当年实际!$P:$P,当年实际!$F:$F,$C880,当年实际!$C:$C,"&gt;="&amp;DATE(YEAR(主页!$D$2),1,1),当年实际!$C:$C,"&lt;="&amp;EOMONTH(DATE(YEAR(主页!$D$2),MONTH(主页!$D$2),1),0)),"")</f>
        <v/>
      </c>
    </row>
    <row r="881" spans="1:10" x14ac:dyDescent="0.3">
      <c r="A881" s="150"/>
      <c r="B881" s="150"/>
      <c r="C881" s="150"/>
      <c r="D881" s="150"/>
      <c r="E881" s="140" t="str">
        <f t="shared" si="40"/>
        <v/>
      </c>
      <c r="F881" s="159"/>
      <c r="G881" s="145">
        <f t="shared" si="42"/>
        <v>0</v>
      </c>
      <c r="H881" s="140" t="str">
        <f t="shared" si="41"/>
        <v/>
      </c>
      <c r="I881"/>
      <c r="J881" s="147" t="str">
        <f>IFERROR(SUMIFS(当年实际!$V:$V,当年实际!$F:$F,$C881,当年实际!$C:$C,"&gt;="&amp;DATE(YEAR(主页!$D$2),1,1),当年实际!$C:$C,"&lt;="&amp;EOMONTH(DATE(YEAR(主页!$D$2),MONTH(主页!$D$2),1),0))/SUMIFS(当年实际!$P:$P,当年实际!$F:$F,$C881,当年实际!$C:$C,"&gt;="&amp;DATE(YEAR(主页!$D$2),1,1),当年实际!$C:$C,"&lt;="&amp;EOMONTH(DATE(YEAR(主页!$D$2),MONTH(主页!$D$2),1),0)),"")</f>
        <v/>
      </c>
    </row>
    <row r="882" spans="1:10" x14ac:dyDescent="0.3">
      <c r="A882" s="150"/>
      <c r="B882" s="150"/>
      <c r="C882" s="150"/>
      <c r="D882" s="150"/>
      <c r="E882" s="140" t="str">
        <f t="shared" si="40"/>
        <v/>
      </c>
      <c r="F882" s="159"/>
      <c r="G882" s="145">
        <f t="shared" si="42"/>
        <v>0</v>
      </c>
      <c r="H882" s="140" t="str">
        <f t="shared" si="41"/>
        <v/>
      </c>
      <c r="I882"/>
      <c r="J882" s="147" t="str">
        <f>IFERROR(SUMIFS(当年实际!$V:$V,当年实际!$F:$F,$C882,当年实际!$C:$C,"&gt;="&amp;DATE(YEAR(主页!$D$2),1,1),当年实际!$C:$C,"&lt;="&amp;EOMONTH(DATE(YEAR(主页!$D$2),MONTH(主页!$D$2),1),0))/SUMIFS(当年实际!$P:$P,当年实际!$F:$F,$C882,当年实际!$C:$C,"&gt;="&amp;DATE(YEAR(主页!$D$2),1,1),当年实际!$C:$C,"&lt;="&amp;EOMONTH(DATE(YEAR(主页!$D$2),MONTH(主页!$D$2),1),0)),"")</f>
        <v/>
      </c>
    </row>
    <row r="883" spans="1:10" x14ac:dyDescent="0.3">
      <c r="A883" s="150"/>
      <c r="B883" s="150"/>
      <c r="C883" s="150"/>
      <c r="D883" s="150"/>
      <c r="E883" s="140" t="str">
        <f t="shared" si="40"/>
        <v/>
      </c>
      <c r="F883" s="159"/>
      <c r="G883" s="145">
        <f t="shared" si="42"/>
        <v>0</v>
      </c>
      <c r="H883" s="140" t="str">
        <f t="shared" si="41"/>
        <v/>
      </c>
      <c r="I883"/>
      <c r="J883" s="147" t="str">
        <f>IFERROR(SUMIFS(当年实际!$V:$V,当年实际!$F:$F,$C883,当年实际!$C:$C,"&gt;="&amp;DATE(YEAR(主页!$D$2),1,1),当年实际!$C:$C,"&lt;="&amp;EOMONTH(DATE(YEAR(主页!$D$2),MONTH(主页!$D$2),1),0))/SUMIFS(当年实际!$P:$P,当年实际!$F:$F,$C883,当年实际!$C:$C,"&gt;="&amp;DATE(YEAR(主页!$D$2),1,1),当年实际!$C:$C,"&lt;="&amp;EOMONTH(DATE(YEAR(主页!$D$2),MONTH(主页!$D$2),1),0)),"")</f>
        <v/>
      </c>
    </row>
    <row r="884" spans="1:10" x14ac:dyDescent="0.3">
      <c r="A884" s="150"/>
      <c r="B884" s="150"/>
      <c r="C884" s="150"/>
      <c r="D884" s="150"/>
      <c r="E884" s="140" t="str">
        <f t="shared" si="40"/>
        <v/>
      </c>
      <c r="F884" s="159"/>
      <c r="G884" s="145">
        <f t="shared" si="42"/>
        <v>0</v>
      </c>
      <c r="H884" s="140" t="str">
        <f t="shared" si="41"/>
        <v/>
      </c>
      <c r="I884"/>
      <c r="J884" s="147" t="str">
        <f>IFERROR(SUMIFS(当年实际!$V:$V,当年实际!$F:$F,$C884,当年实际!$C:$C,"&gt;="&amp;DATE(YEAR(主页!$D$2),1,1),当年实际!$C:$C,"&lt;="&amp;EOMONTH(DATE(YEAR(主页!$D$2),MONTH(主页!$D$2),1),0))/SUMIFS(当年实际!$P:$P,当年实际!$F:$F,$C884,当年实际!$C:$C,"&gt;="&amp;DATE(YEAR(主页!$D$2),1,1),当年实际!$C:$C,"&lt;="&amp;EOMONTH(DATE(YEAR(主页!$D$2),MONTH(主页!$D$2),1),0)),"")</f>
        <v/>
      </c>
    </row>
    <row r="885" spans="1:10" x14ac:dyDescent="0.3">
      <c r="A885" s="150"/>
      <c r="B885" s="150"/>
      <c r="C885" s="150"/>
      <c r="D885" s="150"/>
      <c r="E885" s="140" t="str">
        <f t="shared" si="40"/>
        <v/>
      </c>
      <c r="F885" s="159"/>
      <c r="G885" s="145">
        <f t="shared" si="42"/>
        <v>0</v>
      </c>
      <c r="H885" s="140" t="str">
        <f t="shared" si="41"/>
        <v/>
      </c>
      <c r="I885"/>
      <c r="J885" s="147" t="str">
        <f>IFERROR(SUMIFS(当年实际!$V:$V,当年实际!$F:$F,$C885,当年实际!$C:$C,"&gt;="&amp;DATE(YEAR(主页!$D$2),1,1),当年实际!$C:$C,"&lt;="&amp;EOMONTH(DATE(YEAR(主页!$D$2),MONTH(主页!$D$2),1),0))/SUMIFS(当年实际!$P:$P,当年实际!$F:$F,$C885,当年实际!$C:$C,"&gt;="&amp;DATE(YEAR(主页!$D$2),1,1),当年实际!$C:$C,"&lt;="&amp;EOMONTH(DATE(YEAR(主页!$D$2),MONTH(主页!$D$2),1),0)),"")</f>
        <v/>
      </c>
    </row>
    <row r="886" spans="1:10" x14ac:dyDescent="0.3">
      <c r="A886" s="150"/>
      <c r="B886" s="150"/>
      <c r="C886" s="150"/>
      <c r="D886" s="150"/>
      <c r="E886" s="140" t="str">
        <f t="shared" si="40"/>
        <v/>
      </c>
      <c r="F886" s="159"/>
      <c r="G886" s="145">
        <f t="shared" si="42"/>
        <v>0</v>
      </c>
      <c r="H886" s="140" t="str">
        <f t="shared" si="41"/>
        <v/>
      </c>
      <c r="I886"/>
      <c r="J886" s="147" t="str">
        <f>IFERROR(SUMIFS(当年实际!$V:$V,当年实际!$F:$F,$C886,当年实际!$C:$C,"&gt;="&amp;DATE(YEAR(主页!$D$2),1,1),当年实际!$C:$C,"&lt;="&amp;EOMONTH(DATE(YEAR(主页!$D$2),MONTH(主页!$D$2),1),0))/SUMIFS(当年实际!$P:$P,当年实际!$F:$F,$C886,当年实际!$C:$C,"&gt;="&amp;DATE(YEAR(主页!$D$2),1,1),当年实际!$C:$C,"&lt;="&amp;EOMONTH(DATE(YEAR(主页!$D$2),MONTH(主页!$D$2),1),0)),"")</f>
        <v/>
      </c>
    </row>
    <row r="887" spans="1:10" x14ac:dyDescent="0.3">
      <c r="A887" s="150"/>
      <c r="B887" s="150"/>
      <c r="C887" s="150"/>
      <c r="D887" s="150"/>
      <c r="E887" s="140" t="str">
        <f t="shared" si="40"/>
        <v/>
      </c>
      <c r="F887" s="159"/>
      <c r="G887" s="145">
        <f t="shared" si="42"/>
        <v>0</v>
      </c>
      <c r="H887" s="140" t="str">
        <f t="shared" si="41"/>
        <v/>
      </c>
      <c r="I887"/>
      <c r="J887" s="147" t="str">
        <f>IFERROR(SUMIFS(当年实际!$V:$V,当年实际!$F:$F,$C887,当年实际!$C:$C,"&gt;="&amp;DATE(YEAR(主页!$D$2),1,1),当年实际!$C:$C,"&lt;="&amp;EOMONTH(DATE(YEAR(主页!$D$2),MONTH(主页!$D$2),1),0))/SUMIFS(当年实际!$P:$P,当年实际!$F:$F,$C887,当年实际!$C:$C,"&gt;="&amp;DATE(YEAR(主页!$D$2),1,1),当年实际!$C:$C,"&lt;="&amp;EOMONTH(DATE(YEAR(主页!$D$2),MONTH(主页!$D$2),1),0)),"")</f>
        <v/>
      </c>
    </row>
    <row r="888" spans="1:10" x14ac:dyDescent="0.3">
      <c r="A888" s="150"/>
      <c r="B888" s="150"/>
      <c r="C888" s="150"/>
      <c r="D888" s="150"/>
      <c r="E888" s="140" t="str">
        <f t="shared" si="40"/>
        <v/>
      </c>
      <c r="F888" s="159"/>
      <c r="G888" s="145">
        <f t="shared" si="42"/>
        <v>0</v>
      </c>
      <c r="H888" s="140" t="str">
        <f t="shared" si="41"/>
        <v/>
      </c>
      <c r="I888"/>
      <c r="J888" s="147" t="str">
        <f>IFERROR(SUMIFS(当年实际!$V:$V,当年实际!$F:$F,$C888,当年实际!$C:$C,"&gt;="&amp;DATE(YEAR(主页!$D$2),1,1),当年实际!$C:$C,"&lt;="&amp;EOMONTH(DATE(YEAR(主页!$D$2),MONTH(主页!$D$2),1),0))/SUMIFS(当年实际!$P:$P,当年实际!$F:$F,$C888,当年实际!$C:$C,"&gt;="&amp;DATE(YEAR(主页!$D$2),1,1),当年实际!$C:$C,"&lt;="&amp;EOMONTH(DATE(YEAR(主页!$D$2),MONTH(主页!$D$2),1),0)),"")</f>
        <v/>
      </c>
    </row>
    <row r="889" spans="1:10" x14ac:dyDescent="0.3">
      <c r="A889" s="150"/>
      <c r="B889" s="150"/>
      <c r="C889" s="150"/>
      <c r="D889" s="150"/>
      <c r="E889" s="140" t="str">
        <f t="shared" si="40"/>
        <v/>
      </c>
      <c r="F889" s="159"/>
      <c r="G889" s="145">
        <f t="shared" si="42"/>
        <v>0</v>
      </c>
      <c r="H889" s="140" t="str">
        <f t="shared" si="41"/>
        <v/>
      </c>
      <c r="I889"/>
      <c r="J889" s="147" t="str">
        <f>IFERROR(SUMIFS(当年实际!$V:$V,当年实际!$F:$F,$C889,当年实际!$C:$C,"&gt;="&amp;DATE(YEAR(主页!$D$2),1,1),当年实际!$C:$C,"&lt;="&amp;EOMONTH(DATE(YEAR(主页!$D$2),MONTH(主页!$D$2),1),0))/SUMIFS(当年实际!$P:$P,当年实际!$F:$F,$C889,当年实际!$C:$C,"&gt;="&amp;DATE(YEAR(主页!$D$2),1,1),当年实际!$C:$C,"&lt;="&amp;EOMONTH(DATE(YEAR(主页!$D$2),MONTH(主页!$D$2),1),0)),"")</f>
        <v/>
      </c>
    </row>
    <row r="890" spans="1:10" x14ac:dyDescent="0.3">
      <c r="A890" s="150"/>
      <c r="B890" s="150"/>
      <c r="C890" s="150"/>
      <c r="D890" s="150"/>
      <c r="E890" s="140" t="str">
        <f t="shared" si="40"/>
        <v/>
      </c>
      <c r="F890" s="159"/>
      <c r="G890" s="145">
        <f t="shared" si="42"/>
        <v>0</v>
      </c>
      <c r="H890" s="140" t="str">
        <f t="shared" si="41"/>
        <v/>
      </c>
      <c r="I890"/>
      <c r="J890" s="147" t="str">
        <f>IFERROR(SUMIFS(当年实际!$V:$V,当年实际!$F:$F,$C890,当年实际!$C:$C,"&gt;="&amp;DATE(YEAR(主页!$D$2),1,1),当年实际!$C:$C,"&lt;="&amp;EOMONTH(DATE(YEAR(主页!$D$2),MONTH(主页!$D$2),1),0))/SUMIFS(当年实际!$P:$P,当年实际!$F:$F,$C890,当年实际!$C:$C,"&gt;="&amp;DATE(YEAR(主页!$D$2),1,1),当年实际!$C:$C,"&lt;="&amp;EOMONTH(DATE(YEAR(主页!$D$2),MONTH(主页!$D$2),1),0)),"")</f>
        <v/>
      </c>
    </row>
    <row r="891" spans="1:10" x14ac:dyDescent="0.3">
      <c r="A891" s="150"/>
      <c r="B891" s="150"/>
      <c r="C891" s="150"/>
      <c r="D891" s="150"/>
      <c r="E891" s="140" t="str">
        <f t="shared" si="40"/>
        <v/>
      </c>
      <c r="F891" s="159"/>
      <c r="G891" s="145">
        <f t="shared" si="42"/>
        <v>0</v>
      </c>
      <c r="H891" s="140" t="str">
        <f t="shared" si="41"/>
        <v/>
      </c>
      <c r="I891"/>
      <c r="J891" s="147" t="str">
        <f>IFERROR(SUMIFS(当年实际!$V:$V,当年实际!$F:$F,$C891,当年实际!$C:$C,"&gt;="&amp;DATE(YEAR(主页!$D$2),1,1),当年实际!$C:$C,"&lt;="&amp;EOMONTH(DATE(YEAR(主页!$D$2),MONTH(主页!$D$2),1),0))/SUMIFS(当年实际!$P:$P,当年实际!$F:$F,$C891,当年实际!$C:$C,"&gt;="&amp;DATE(YEAR(主页!$D$2),1,1),当年实际!$C:$C,"&lt;="&amp;EOMONTH(DATE(YEAR(主页!$D$2),MONTH(主页!$D$2),1),0)),"")</f>
        <v/>
      </c>
    </row>
    <row r="892" spans="1:10" x14ac:dyDescent="0.3">
      <c r="A892" s="150"/>
      <c r="B892" s="150"/>
      <c r="C892" s="150"/>
      <c r="D892" s="150"/>
      <c r="E892" s="140" t="str">
        <f t="shared" si="40"/>
        <v/>
      </c>
      <c r="F892" s="159"/>
      <c r="G892" s="145">
        <f t="shared" si="42"/>
        <v>0</v>
      </c>
      <c r="H892" s="140" t="str">
        <f t="shared" si="41"/>
        <v/>
      </c>
      <c r="I892"/>
      <c r="J892" s="147" t="str">
        <f>IFERROR(SUMIFS(当年实际!$V:$V,当年实际!$F:$F,$C892,当年实际!$C:$C,"&gt;="&amp;DATE(YEAR(主页!$D$2),1,1),当年实际!$C:$C,"&lt;="&amp;EOMONTH(DATE(YEAR(主页!$D$2),MONTH(主页!$D$2),1),0))/SUMIFS(当年实际!$P:$P,当年实际!$F:$F,$C892,当年实际!$C:$C,"&gt;="&amp;DATE(YEAR(主页!$D$2),1,1),当年实际!$C:$C,"&lt;="&amp;EOMONTH(DATE(YEAR(主页!$D$2),MONTH(主页!$D$2),1),0)),"")</f>
        <v/>
      </c>
    </row>
    <row r="893" spans="1:10" x14ac:dyDescent="0.3">
      <c r="A893" s="150"/>
      <c r="B893" s="150"/>
      <c r="C893" s="150"/>
      <c r="D893" s="150"/>
      <c r="E893" s="140" t="str">
        <f t="shared" si="40"/>
        <v/>
      </c>
      <c r="F893" s="159"/>
      <c r="G893" s="145">
        <f t="shared" si="42"/>
        <v>0</v>
      </c>
      <c r="H893" s="140" t="str">
        <f t="shared" si="41"/>
        <v/>
      </c>
      <c r="I893"/>
      <c r="J893" s="147" t="str">
        <f>IFERROR(SUMIFS(当年实际!$V:$V,当年实际!$F:$F,$C893,当年实际!$C:$C,"&gt;="&amp;DATE(YEAR(主页!$D$2),1,1),当年实际!$C:$C,"&lt;="&amp;EOMONTH(DATE(YEAR(主页!$D$2),MONTH(主页!$D$2),1),0))/SUMIFS(当年实际!$P:$P,当年实际!$F:$F,$C893,当年实际!$C:$C,"&gt;="&amp;DATE(YEAR(主页!$D$2),1,1),当年实际!$C:$C,"&lt;="&amp;EOMONTH(DATE(YEAR(主页!$D$2),MONTH(主页!$D$2),1),0)),"")</f>
        <v/>
      </c>
    </row>
    <row r="894" spans="1:10" x14ac:dyDescent="0.3">
      <c r="A894" s="150"/>
      <c r="B894" s="150"/>
      <c r="C894" s="150"/>
      <c r="D894" s="150"/>
      <c r="E894" s="140" t="str">
        <f t="shared" si="40"/>
        <v/>
      </c>
      <c r="F894" s="159"/>
      <c r="G894" s="145">
        <f t="shared" si="42"/>
        <v>0</v>
      </c>
      <c r="H894" s="140" t="str">
        <f t="shared" si="41"/>
        <v/>
      </c>
      <c r="I894"/>
      <c r="J894" s="147" t="str">
        <f>IFERROR(SUMIFS(当年实际!$V:$V,当年实际!$F:$F,$C894,当年实际!$C:$C,"&gt;="&amp;DATE(YEAR(主页!$D$2),1,1),当年实际!$C:$C,"&lt;="&amp;EOMONTH(DATE(YEAR(主页!$D$2),MONTH(主页!$D$2),1),0))/SUMIFS(当年实际!$P:$P,当年实际!$F:$F,$C894,当年实际!$C:$C,"&gt;="&amp;DATE(YEAR(主页!$D$2),1,1),当年实际!$C:$C,"&lt;="&amp;EOMONTH(DATE(YEAR(主页!$D$2),MONTH(主页!$D$2),1),0)),"")</f>
        <v/>
      </c>
    </row>
    <row r="895" spans="1:10" x14ac:dyDescent="0.3">
      <c r="A895" s="150"/>
      <c r="B895" s="150"/>
      <c r="C895" s="150"/>
      <c r="D895" s="150"/>
      <c r="E895" s="140" t="str">
        <f t="shared" si="40"/>
        <v/>
      </c>
      <c r="F895" s="159"/>
      <c r="G895" s="145">
        <f t="shared" si="42"/>
        <v>0</v>
      </c>
      <c r="H895" s="140" t="str">
        <f t="shared" si="41"/>
        <v/>
      </c>
      <c r="I895"/>
      <c r="J895" s="147" t="str">
        <f>IFERROR(SUMIFS(当年实际!$V:$V,当年实际!$F:$F,$C895,当年实际!$C:$C,"&gt;="&amp;DATE(YEAR(主页!$D$2),1,1),当年实际!$C:$C,"&lt;="&amp;EOMONTH(DATE(YEAR(主页!$D$2),MONTH(主页!$D$2),1),0))/SUMIFS(当年实际!$P:$P,当年实际!$F:$F,$C895,当年实际!$C:$C,"&gt;="&amp;DATE(YEAR(主页!$D$2),1,1),当年实际!$C:$C,"&lt;="&amp;EOMONTH(DATE(YEAR(主页!$D$2),MONTH(主页!$D$2),1),0)),"")</f>
        <v/>
      </c>
    </row>
    <row r="896" spans="1:10" x14ac:dyDescent="0.3">
      <c r="A896" s="150"/>
      <c r="B896" s="150"/>
      <c r="C896" s="150"/>
      <c r="D896" s="150"/>
      <c r="E896" s="140" t="str">
        <f t="shared" si="40"/>
        <v/>
      </c>
      <c r="F896" s="159"/>
      <c r="G896" s="145">
        <f t="shared" si="42"/>
        <v>0</v>
      </c>
      <c r="H896" s="140" t="str">
        <f t="shared" si="41"/>
        <v/>
      </c>
      <c r="I896"/>
      <c r="J896" s="147" t="str">
        <f>IFERROR(SUMIFS(当年实际!$V:$V,当年实际!$F:$F,$C896,当年实际!$C:$C,"&gt;="&amp;DATE(YEAR(主页!$D$2),1,1),当年实际!$C:$C,"&lt;="&amp;EOMONTH(DATE(YEAR(主页!$D$2),MONTH(主页!$D$2),1),0))/SUMIFS(当年实际!$P:$P,当年实际!$F:$F,$C896,当年实际!$C:$C,"&gt;="&amp;DATE(YEAR(主页!$D$2),1,1),当年实际!$C:$C,"&lt;="&amp;EOMONTH(DATE(YEAR(主页!$D$2),MONTH(主页!$D$2),1),0)),"")</f>
        <v/>
      </c>
    </row>
    <row r="897" spans="1:10" x14ac:dyDescent="0.3">
      <c r="A897" s="150"/>
      <c r="B897" s="150"/>
      <c r="C897" s="150"/>
      <c r="D897" s="150"/>
      <c r="E897" s="140" t="str">
        <f t="shared" si="40"/>
        <v/>
      </c>
      <c r="F897" s="159"/>
      <c r="G897" s="145">
        <f t="shared" si="42"/>
        <v>0</v>
      </c>
      <c r="H897" s="140" t="str">
        <f t="shared" si="41"/>
        <v/>
      </c>
      <c r="I897"/>
      <c r="J897" s="147" t="str">
        <f>IFERROR(SUMIFS(当年实际!$V:$V,当年实际!$F:$F,$C897,当年实际!$C:$C,"&gt;="&amp;DATE(YEAR(主页!$D$2),1,1),当年实际!$C:$C,"&lt;="&amp;EOMONTH(DATE(YEAR(主页!$D$2),MONTH(主页!$D$2),1),0))/SUMIFS(当年实际!$P:$P,当年实际!$F:$F,$C897,当年实际!$C:$C,"&gt;="&amp;DATE(YEAR(主页!$D$2),1,1),当年实际!$C:$C,"&lt;="&amp;EOMONTH(DATE(YEAR(主页!$D$2),MONTH(主页!$D$2),1),0)),"")</f>
        <v/>
      </c>
    </row>
    <row r="898" spans="1:10" x14ac:dyDescent="0.3">
      <c r="A898" s="150"/>
      <c r="B898" s="150"/>
      <c r="C898" s="150"/>
      <c r="D898" s="150"/>
      <c r="E898" s="140" t="str">
        <f t="shared" si="40"/>
        <v/>
      </c>
      <c r="F898" s="159"/>
      <c r="G898" s="145">
        <f t="shared" si="42"/>
        <v>0</v>
      </c>
      <c r="H898" s="140" t="str">
        <f t="shared" si="41"/>
        <v/>
      </c>
      <c r="I898"/>
      <c r="J898" s="147" t="str">
        <f>IFERROR(SUMIFS(当年实际!$V:$V,当年实际!$F:$F,$C898,当年实际!$C:$C,"&gt;="&amp;DATE(YEAR(主页!$D$2),1,1),当年实际!$C:$C,"&lt;="&amp;EOMONTH(DATE(YEAR(主页!$D$2),MONTH(主页!$D$2),1),0))/SUMIFS(当年实际!$P:$P,当年实际!$F:$F,$C898,当年实际!$C:$C,"&gt;="&amp;DATE(YEAR(主页!$D$2),1,1),当年实际!$C:$C,"&lt;="&amp;EOMONTH(DATE(YEAR(主页!$D$2),MONTH(主页!$D$2),1),0)),"")</f>
        <v/>
      </c>
    </row>
    <row r="899" spans="1:10" x14ac:dyDescent="0.3">
      <c r="A899" s="150"/>
      <c r="B899" s="150"/>
      <c r="C899" s="150"/>
      <c r="D899" s="150"/>
      <c r="E899" s="140" t="str">
        <f t="shared" si="40"/>
        <v/>
      </c>
      <c r="F899" s="159"/>
      <c r="G899" s="145">
        <f t="shared" si="42"/>
        <v>0</v>
      </c>
      <c r="H899" s="140" t="str">
        <f t="shared" si="41"/>
        <v/>
      </c>
      <c r="I899"/>
      <c r="J899" s="147" t="str">
        <f>IFERROR(SUMIFS(当年实际!$V:$V,当年实际!$F:$F,$C899,当年实际!$C:$C,"&gt;="&amp;DATE(YEAR(主页!$D$2),1,1),当年实际!$C:$C,"&lt;="&amp;EOMONTH(DATE(YEAR(主页!$D$2),MONTH(主页!$D$2),1),0))/SUMIFS(当年实际!$P:$P,当年实际!$F:$F,$C899,当年实际!$C:$C,"&gt;="&amp;DATE(YEAR(主页!$D$2),1,1),当年实际!$C:$C,"&lt;="&amp;EOMONTH(DATE(YEAR(主页!$D$2),MONTH(主页!$D$2),1),0)),"")</f>
        <v/>
      </c>
    </row>
    <row r="900" spans="1:10" x14ac:dyDescent="0.3">
      <c r="A900" s="150"/>
      <c r="B900" s="150"/>
      <c r="C900" s="150"/>
      <c r="D900" s="150"/>
      <c r="E900" s="140" t="str">
        <f t="shared" ref="E900:E963" si="43">IF(D900/SUM(D:D)=0,"",D900/SUM(D:D))</f>
        <v/>
      </c>
      <c r="F900" s="159"/>
      <c r="G900" s="145">
        <f t="shared" si="42"/>
        <v>0</v>
      </c>
      <c r="H900" s="140" t="str">
        <f t="shared" ref="H900:H963" si="44">IF(G900/SUM(G:G)=0,"",G900/SUM(G:G))</f>
        <v/>
      </c>
      <c r="I900"/>
      <c r="J900" s="147" t="str">
        <f>IFERROR(SUMIFS(当年实际!$V:$V,当年实际!$F:$F,$C900,当年实际!$C:$C,"&gt;="&amp;DATE(YEAR(主页!$D$2),1,1),当年实际!$C:$C,"&lt;="&amp;EOMONTH(DATE(YEAR(主页!$D$2),MONTH(主页!$D$2),1),0))/SUMIFS(当年实际!$P:$P,当年实际!$F:$F,$C900,当年实际!$C:$C,"&gt;="&amp;DATE(YEAR(主页!$D$2),1,1),当年实际!$C:$C,"&lt;="&amp;EOMONTH(DATE(YEAR(主页!$D$2),MONTH(主页!$D$2),1),0)),"")</f>
        <v/>
      </c>
    </row>
    <row r="901" spans="1:10" x14ac:dyDescent="0.3">
      <c r="A901" s="150"/>
      <c r="B901" s="150"/>
      <c r="C901" s="150"/>
      <c r="D901" s="150"/>
      <c r="E901" s="140" t="str">
        <f t="shared" si="43"/>
        <v/>
      </c>
      <c r="F901" s="159"/>
      <c r="G901" s="145">
        <f t="shared" si="42"/>
        <v>0</v>
      </c>
      <c r="H901" s="140" t="str">
        <f t="shared" si="44"/>
        <v/>
      </c>
      <c r="I901"/>
      <c r="J901" s="147" t="str">
        <f>IFERROR(SUMIFS(当年实际!$V:$V,当年实际!$F:$F,$C901,当年实际!$C:$C,"&gt;="&amp;DATE(YEAR(主页!$D$2),1,1),当年实际!$C:$C,"&lt;="&amp;EOMONTH(DATE(YEAR(主页!$D$2),MONTH(主页!$D$2),1),0))/SUMIFS(当年实际!$P:$P,当年实际!$F:$F,$C901,当年实际!$C:$C,"&gt;="&amp;DATE(YEAR(主页!$D$2),1,1),当年实际!$C:$C,"&lt;="&amp;EOMONTH(DATE(YEAR(主页!$D$2),MONTH(主页!$D$2),1),0)),"")</f>
        <v/>
      </c>
    </row>
    <row r="902" spans="1:10" x14ac:dyDescent="0.3">
      <c r="A902" s="150"/>
      <c r="B902" s="150"/>
      <c r="C902" s="150"/>
      <c r="D902" s="150"/>
      <c r="E902" s="140" t="str">
        <f t="shared" si="43"/>
        <v/>
      </c>
      <c r="F902" s="159"/>
      <c r="G902" s="145">
        <f t="shared" si="42"/>
        <v>0</v>
      </c>
      <c r="H902" s="140" t="str">
        <f t="shared" si="44"/>
        <v/>
      </c>
      <c r="I902"/>
      <c r="J902" s="147" t="str">
        <f>IFERROR(SUMIFS(当年实际!$V:$V,当年实际!$F:$F,$C902,当年实际!$C:$C,"&gt;="&amp;DATE(YEAR(主页!$D$2),1,1),当年实际!$C:$C,"&lt;="&amp;EOMONTH(DATE(YEAR(主页!$D$2),MONTH(主页!$D$2),1),0))/SUMIFS(当年实际!$P:$P,当年实际!$F:$F,$C902,当年实际!$C:$C,"&gt;="&amp;DATE(YEAR(主页!$D$2),1,1),当年实际!$C:$C,"&lt;="&amp;EOMONTH(DATE(YEAR(主页!$D$2),MONTH(主页!$D$2),1),0)),"")</f>
        <v/>
      </c>
    </row>
    <row r="903" spans="1:10" x14ac:dyDescent="0.3">
      <c r="A903" s="150"/>
      <c r="B903" s="150"/>
      <c r="C903" s="150"/>
      <c r="D903" s="150"/>
      <c r="E903" s="140" t="str">
        <f t="shared" si="43"/>
        <v/>
      </c>
      <c r="F903" s="159"/>
      <c r="G903" s="145">
        <f t="shared" ref="G903:G966" si="45">D903*F903</f>
        <v>0</v>
      </c>
      <c r="H903" s="140" t="str">
        <f t="shared" si="44"/>
        <v/>
      </c>
      <c r="I903"/>
      <c r="J903" s="147" t="str">
        <f>IFERROR(SUMIFS(当年实际!$V:$V,当年实际!$F:$F,$C903,当年实际!$C:$C,"&gt;="&amp;DATE(YEAR(主页!$D$2),1,1),当年实际!$C:$C,"&lt;="&amp;EOMONTH(DATE(YEAR(主页!$D$2),MONTH(主页!$D$2),1),0))/SUMIFS(当年实际!$P:$P,当年实际!$F:$F,$C903,当年实际!$C:$C,"&gt;="&amp;DATE(YEAR(主页!$D$2),1,1),当年实际!$C:$C,"&lt;="&amp;EOMONTH(DATE(YEAR(主页!$D$2),MONTH(主页!$D$2),1),0)),"")</f>
        <v/>
      </c>
    </row>
    <row r="904" spans="1:10" x14ac:dyDescent="0.3">
      <c r="A904" s="150"/>
      <c r="B904" s="150"/>
      <c r="C904" s="150"/>
      <c r="D904" s="150"/>
      <c r="E904" s="140" t="str">
        <f t="shared" si="43"/>
        <v/>
      </c>
      <c r="F904" s="159"/>
      <c r="G904" s="145">
        <f t="shared" si="45"/>
        <v>0</v>
      </c>
      <c r="H904" s="140" t="str">
        <f t="shared" si="44"/>
        <v/>
      </c>
      <c r="I904"/>
      <c r="J904" s="147" t="str">
        <f>IFERROR(SUMIFS(当年实际!$V:$V,当年实际!$F:$F,$C904,当年实际!$C:$C,"&gt;="&amp;DATE(YEAR(主页!$D$2),1,1),当年实际!$C:$C,"&lt;="&amp;EOMONTH(DATE(YEAR(主页!$D$2),MONTH(主页!$D$2),1),0))/SUMIFS(当年实际!$P:$P,当年实际!$F:$F,$C904,当年实际!$C:$C,"&gt;="&amp;DATE(YEAR(主页!$D$2),1,1),当年实际!$C:$C,"&lt;="&amp;EOMONTH(DATE(YEAR(主页!$D$2),MONTH(主页!$D$2),1),0)),"")</f>
        <v/>
      </c>
    </row>
    <row r="905" spans="1:10" x14ac:dyDescent="0.3">
      <c r="A905" s="150"/>
      <c r="B905" s="150"/>
      <c r="C905" s="150"/>
      <c r="D905" s="150"/>
      <c r="E905" s="140" t="str">
        <f t="shared" si="43"/>
        <v/>
      </c>
      <c r="F905" s="159"/>
      <c r="G905" s="145">
        <f t="shared" si="45"/>
        <v>0</v>
      </c>
      <c r="H905" s="140" t="str">
        <f t="shared" si="44"/>
        <v/>
      </c>
      <c r="I905"/>
      <c r="J905" s="147" t="str">
        <f>IFERROR(SUMIFS(当年实际!$V:$V,当年实际!$F:$F,$C905,当年实际!$C:$C,"&gt;="&amp;DATE(YEAR(主页!$D$2),1,1),当年实际!$C:$C,"&lt;="&amp;EOMONTH(DATE(YEAR(主页!$D$2),MONTH(主页!$D$2),1),0))/SUMIFS(当年实际!$P:$P,当年实际!$F:$F,$C905,当年实际!$C:$C,"&gt;="&amp;DATE(YEAR(主页!$D$2),1,1),当年实际!$C:$C,"&lt;="&amp;EOMONTH(DATE(YEAR(主页!$D$2),MONTH(主页!$D$2),1),0)),"")</f>
        <v/>
      </c>
    </row>
    <row r="906" spans="1:10" x14ac:dyDescent="0.3">
      <c r="A906" s="150"/>
      <c r="B906" s="150"/>
      <c r="C906" s="150"/>
      <c r="D906" s="150"/>
      <c r="E906" s="140" t="str">
        <f t="shared" si="43"/>
        <v/>
      </c>
      <c r="F906" s="159"/>
      <c r="G906" s="145">
        <f t="shared" si="45"/>
        <v>0</v>
      </c>
      <c r="H906" s="140" t="str">
        <f t="shared" si="44"/>
        <v/>
      </c>
      <c r="I906"/>
      <c r="J906" s="147" t="str">
        <f>IFERROR(SUMIFS(当年实际!$V:$V,当年实际!$F:$F,$C906,当年实际!$C:$C,"&gt;="&amp;DATE(YEAR(主页!$D$2),1,1),当年实际!$C:$C,"&lt;="&amp;EOMONTH(DATE(YEAR(主页!$D$2),MONTH(主页!$D$2),1),0))/SUMIFS(当年实际!$P:$P,当年实际!$F:$F,$C906,当年实际!$C:$C,"&gt;="&amp;DATE(YEAR(主页!$D$2),1,1),当年实际!$C:$C,"&lt;="&amp;EOMONTH(DATE(YEAR(主页!$D$2),MONTH(主页!$D$2),1),0)),"")</f>
        <v/>
      </c>
    </row>
    <row r="907" spans="1:10" x14ac:dyDescent="0.3">
      <c r="A907" s="150"/>
      <c r="B907" s="150"/>
      <c r="C907" s="150"/>
      <c r="D907" s="150"/>
      <c r="E907" s="140" t="str">
        <f t="shared" si="43"/>
        <v/>
      </c>
      <c r="F907" s="159"/>
      <c r="G907" s="145">
        <f t="shared" si="45"/>
        <v>0</v>
      </c>
      <c r="H907" s="140" t="str">
        <f t="shared" si="44"/>
        <v/>
      </c>
      <c r="I907"/>
      <c r="J907" s="147" t="str">
        <f>IFERROR(SUMIFS(当年实际!$V:$V,当年实际!$F:$F,$C907,当年实际!$C:$C,"&gt;="&amp;DATE(YEAR(主页!$D$2),1,1),当年实际!$C:$C,"&lt;="&amp;EOMONTH(DATE(YEAR(主页!$D$2),MONTH(主页!$D$2),1),0))/SUMIFS(当年实际!$P:$P,当年实际!$F:$F,$C907,当年实际!$C:$C,"&gt;="&amp;DATE(YEAR(主页!$D$2),1,1),当年实际!$C:$C,"&lt;="&amp;EOMONTH(DATE(YEAR(主页!$D$2),MONTH(主页!$D$2),1),0)),"")</f>
        <v/>
      </c>
    </row>
    <row r="908" spans="1:10" x14ac:dyDescent="0.3">
      <c r="A908" s="150"/>
      <c r="B908" s="150"/>
      <c r="C908" s="150"/>
      <c r="D908" s="150"/>
      <c r="E908" s="140" t="str">
        <f t="shared" si="43"/>
        <v/>
      </c>
      <c r="F908" s="159"/>
      <c r="G908" s="145">
        <f t="shared" si="45"/>
        <v>0</v>
      </c>
      <c r="H908" s="140" t="str">
        <f t="shared" si="44"/>
        <v/>
      </c>
      <c r="I908"/>
      <c r="J908" s="147" t="str">
        <f>IFERROR(SUMIFS(当年实际!$V:$V,当年实际!$F:$F,$C908,当年实际!$C:$C,"&gt;="&amp;DATE(YEAR(主页!$D$2),1,1),当年实际!$C:$C,"&lt;="&amp;EOMONTH(DATE(YEAR(主页!$D$2),MONTH(主页!$D$2),1),0))/SUMIFS(当年实际!$P:$P,当年实际!$F:$F,$C908,当年实际!$C:$C,"&gt;="&amp;DATE(YEAR(主页!$D$2),1,1),当年实际!$C:$C,"&lt;="&amp;EOMONTH(DATE(YEAR(主页!$D$2),MONTH(主页!$D$2),1),0)),"")</f>
        <v/>
      </c>
    </row>
    <row r="909" spans="1:10" x14ac:dyDescent="0.3">
      <c r="A909" s="150"/>
      <c r="B909" s="150"/>
      <c r="C909" s="150"/>
      <c r="D909" s="150"/>
      <c r="E909" s="140" t="str">
        <f t="shared" si="43"/>
        <v/>
      </c>
      <c r="F909" s="159"/>
      <c r="G909" s="145">
        <f t="shared" si="45"/>
        <v>0</v>
      </c>
      <c r="H909" s="140" t="str">
        <f t="shared" si="44"/>
        <v/>
      </c>
      <c r="I909"/>
      <c r="J909" s="147" t="str">
        <f>IFERROR(SUMIFS(当年实际!$V:$V,当年实际!$F:$F,$C909,当年实际!$C:$C,"&gt;="&amp;DATE(YEAR(主页!$D$2),1,1),当年实际!$C:$C,"&lt;="&amp;EOMONTH(DATE(YEAR(主页!$D$2),MONTH(主页!$D$2),1),0))/SUMIFS(当年实际!$P:$P,当年实际!$F:$F,$C909,当年实际!$C:$C,"&gt;="&amp;DATE(YEAR(主页!$D$2),1,1),当年实际!$C:$C,"&lt;="&amp;EOMONTH(DATE(YEAR(主页!$D$2),MONTH(主页!$D$2),1),0)),"")</f>
        <v/>
      </c>
    </row>
    <row r="910" spans="1:10" x14ac:dyDescent="0.3">
      <c r="A910" s="150"/>
      <c r="B910" s="150"/>
      <c r="C910" s="150"/>
      <c r="D910" s="150"/>
      <c r="E910" s="140" t="str">
        <f t="shared" si="43"/>
        <v/>
      </c>
      <c r="F910" s="159"/>
      <c r="G910" s="145">
        <f t="shared" si="45"/>
        <v>0</v>
      </c>
      <c r="H910" s="140" t="str">
        <f t="shared" si="44"/>
        <v/>
      </c>
      <c r="I910"/>
      <c r="J910" s="147" t="str">
        <f>IFERROR(SUMIFS(当年实际!$V:$V,当年实际!$F:$F,$C910,当年实际!$C:$C,"&gt;="&amp;DATE(YEAR(主页!$D$2),1,1),当年实际!$C:$C,"&lt;="&amp;EOMONTH(DATE(YEAR(主页!$D$2),MONTH(主页!$D$2),1),0))/SUMIFS(当年实际!$P:$P,当年实际!$F:$F,$C910,当年实际!$C:$C,"&gt;="&amp;DATE(YEAR(主页!$D$2),1,1),当年实际!$C:$C,"&lt;="&amp;EOMONTH(DATE(YEAR(主页!$D$2),MONTH(主页!$D$2),1),0)),"")</f>
        <v/>
      </c>
    </row>
    <row r="911" spans="1:10" x14ac:dyDescent="0.3">
      <c r="A911" s="150"/>
      <c r="B911" s="150"/>
      <c r="C911" s="150"/>
      <c r="D911" s="150"/>
      <c r="E911" s="140" t="str">
        <f t="shared" si="43"/>
        <v/>
      </c>
      <c r="F911" s="159"/>
      <c r="G911" s="145">
        <f t="shared" si="45"/>
        <v>0</v>
      </c>
      <c r="H911" s="140" t="str">
        <f t="shared" si="44"/>
        <v/>
      </c>
      <c r="I911"/>
      <c r="J911" s="147" t="str">
        <f>IFERROR(SUMIFS(当年实际!$V:$V,当年实际!$F:$F,$C911,当年实际!$C:$C,"&gt;="&amp;DATE(YEAR(主页!$D$2),1,1),当年实际!$C:$C,"&lt;="&amp;EOMONTH(DATE(YEAR(主页!$D$2),MONTH(主页!$D$2),1),0))/SUMIFS(当年实际!$P:$P,当年实际!$F:$F,$C911,当年实际!$C:$C,"&gt;="&amp;DATE(YEAR(主页!$D$2),1,1),当年实际!$C:$C,"&lt;="&amp;EOMONTH(DATE(YEAR(主页!$D$2),MONTH(主页!$D$2),1),0)),"")</f>
        <v/>
      </c>
    </row>
    <row r="912" spans="1:10" x14ac:dyDescent="0.3">
      <c r="A912" s="150"/>
      <c r="B912" s="150"/>
      <c r="C912" s="150"/>
      <c r="D912" s="150"/>
      <c r="E912" s="140" t="str">
        <f t="shared" si="43"/>
        <v/>
      </c>
      <c r="F912" s="159"/>
      <c r="G912" s="145">
        <f t="shared" si="45"/>
        <v>0</v>
      </c>
      <c r="H912" s="140" t="str">
        <f t="shared" si="44"/>
        <v/>
      </c>
      <c r="I912"/>
      <c r="J912" s="147" t="str">
        <f>IFERROR(SUMIFS(当年实际!$V:$V,当年实际!$F:$F,$C912,当年实际!$C:$C,"&gt;="&amp;DATE(YEAR(主页!$D$2),1,1),当年实际!$C:$C,"&lt;="&amp;EOMONTH(DATE(YEAR(主页!$D$2),MONTH(主页!$D$2),1),0))/SUMIFS(当年实际!$P:$P,当年实际!$F:$F,$C912,当年实际!$C:$C,"&gt;="&amp;DATE(YEAR(主页!$D$2),1,1),当年实际!$C:$C,"&lt;="&amp;EOMONTH(DATE(YEAR(主页!$D$2),MONTH(主页!$D$2),1),0)),"")</f>
        <v/>
      </c>
    </row>
    <row r="913" spans="1:10" x14ac:dyDescent="0.3">
      <c r="A913" s="150"/>
      <c r="B913" s="150"/>
      <c r="C913" s="150"/>
      <c r="D913" s="150"/>
      <c r="E913" s="140" t="str">
        <f t="shared" si="43"/>
        <v/>
      </c>
      <c r="F913" s="159"/>
      <c r="G913" s="145">
        <f t="shared" si="45"/>
        <v>0</v>
      </c>
      <c r="H913" s="140" t="str">
        <f t="shared" si="44"/>
        <v/>
      </c>
      <c r="I913"/>
      <c r="J913" s="147" t="str">
        <f>IFERROR(SUMIFS(当年实际!$V:$V,当年实际!$F:$F,$C913,当年实际!$C:$C,"&gt;="&amp;DATE(YEAR(主页!$D$2),1,1),当年实际!$C:$C,"&lt;="&amp;EOMONTH(DATE(YEAR(主页!$D$2),MONTH(主页!$D$2),1),0))/SUMIFS(当年实际!$P:$P,当年实际!$F:$F,$C913,当年实际!$C:$C,"&gt;="&amp;DATE(YEAR(主页!$D$2),1,1),当年实际!$C:$C,"&lt;="&amp;EOMONTH(DATE(YEAR(主页!$D$2),MONTH(主页!$D$2),1),0)),"")</f>
        <v/>
      </c>
    </row>
    <row r="914" spans="1:10" x14ac:dyDescent="0.3">
      <c r="A914" s="150"/>
      <c r="B914" s="150"/>
      <c r="C914" s="150"/>
      <c r="D914" s="150"/>
      <c r="E914" s="140" t="str">
        <f t="shared" si="43"/>
        <v/>
      </c>
      <c r="F914" s="159"/>
      <c r="G914" s="145">
        <f t="shared" si="45"/>
        <v>0</v>
      </c>
      <c r="H914" s="140" t="str">
        <f t="shared" si="44"/>
        <v/>
      </c>
      <c r="I914"/>
      <c r="J914" s="147" t="str">
        <f>IFERROR(SUMIFS(当年实际!$V:$V,当年实际!$F:$F,$C914,当年实际!$C:$C,"&gt;="&amp;DATE(YEAR(主页!$D$2),1,1),当年实际!$C:$C,"&lt;="&amp;EOMONTH(DATE(YEAR(主页!$D$2),MONTH(主页!$D$2),1),0))/SUMIFS(当年实际!$P:$P,当年实际!$F:$F,$C914,当年实际!$C:$C,"&gt;="&amp;DATE(YEAR(主页!$D$2),1,1),当年实际!$C:$C,"&lt;="&amp;EOMONTH(DATE(YEAR(主页!$D$2),MONTH(主页!$D$2),1),0)),"")</f>
        <v/>
      </c>
    </row>
    <row r="915" spans="1:10" x14ac:dyDescent="0.3">
      <c r="A915" s="150"/>
      <c r="B915" s="150"/>
      <c r="C915" s="150"/>
      <c r="D915" s="150"/>
      <c r="E915" s="140" t="str">
        <f t="shared" si="43"/>
        <v/>
      </c>
      <c r="F915" s="159"/>
      <c r="G915" s="145">
        <f t="shared" si="45"/>
        <v>0</v>
      </c>
      <c r="H915" s="140" t="str">
        <f t="shared" si="44"/>
        <v/>
      </c>
      <c r="I915"/>
      <c r="J915" s="147" t="str">
        <f>IFERROR(SUMIFS(当年实际!$V:$V,当年实际!$F:$F,$C915,当年实际!$C:$C,"&gt;="&amp;DATE(YEAR(主页!$D$2),1,1),当年实际!$C:$C,"&lt;="&amp;EOMONTH(DATE(YEAR(主页!$D$2),MONTH(主页!$D$2),1),0))/SUMIFS(当年实际!$P:$P,当年实际!$F:$F,$C915,当年实际!$C:$C,"&gt;="&amp;DATE(YEAR(主页!$D$2),1,1),当年实际!$C:$C,"&lt;="&amp;EOMONTH(DATE(YEAR(主页!$D$2),MONTH(主页!$D$2),1),0)),"")</f>
        <v/>
      </c>
    </row>
    <row r="916" spans="1:10" x14ac:dyDescent="0.3">
      <c r="A916" s="150"/>
      <c r="B916" s="150"/>
      <c r="C916" s="150"/>
      <c r="D916" s="150"/>
      <c r="E916" s="140" t="str">
        <f t="shared" si="43"/>
        <v/>
      </c>
      <c r="F916" s="159"/>
      <c r="G916" s="145">
        <f t="shared" si="45"/>
        <v>0</v>
      </c>
      <c r="H916" s="140" t="str">
        <f t="shared" si="44"/>
        <v/>
      </c>
      <c r="I916"/>
      <c r="J916" s="147" t="str">
        <f>IFERROR(SUMIFS(当年实际!$V:$V,当年实际!$F:$F,$C916,当年实际!$C:$C,"&gt;="&amp;DATE(YEAR(主页!$D$2),1,1),当年实际!$C:$C,"&lt;="&amp;EOMONTH(DATE(YEAR(主页!$D$2),MONTH(主页!$D$2),1),0))/SUMIFS(当年实际!$P:$P,当年实际!$F:$F,$C916,当年实际!$C:$C,"&gt;="&amp;DATE(YEAR(主页!$D$2),1,1),当年实际!$C:$C,"&lt;="&amp;EOMONTH(DATE(YEAR(主页!$D$2),MONTH(主页!$D$2),1),0)),"")</f>
        <v/>
      </c>
    </row>
    <row r="917" spans="1:10" x14ac:dyDescent="0.3">
      <c r="A917" s="150"/>
      <c r="B917" s="150"/>
      <c r="C917" s="150"/>
      <c r="D917" s="150"/>
      <c r="E917" s="140" t="str">
        <f t="shared" si="43"/>
        <v/>
      </c>
      <c r="F917" s="159"/>
      <c r="G917" s="145">
        <f t="shared" si="45"/>
        <v>0</v>
      </c>
      <c r="H917" s="140" t="str">
        <f t="shared" si="44"/>
        <v/>
      </c>
      <c r="I917"/>
      <c r="J917" s="147" t="str">
        <f>IFERROR(SUMIFS(当年实际!$V:$V,当年实际!$F:$F,$C917,当年实际!$C:$C,"&gt;="&amp;DATE(YEAR(主页!$D$2),1,1),当年实际!$C:$C,"&lt;="&amp;EOMONTH(DATE(YEAR(主页!$D$2),MONTH(主页!$D$2),1),0))/SUMIFS(当年实际!$P:$P,当年实际!$F:$F,$C917,当年实际!$C:$C,"&gt;="&amp;DATE(YEAR(主页!$D$2),1,1),当年实际!$C:$C,"&lt;="&amp;EOMONTH(DATE(YEAR(主页!$D$2),MONTH(主页!$D$2),1),0)),"")</f>
        <v/>
      </c>
    </row>
    <row r="918" spans="1:10" x14ac:dyDescent="0.3">
      <c r="A918" s="150"/>
      <c r="B918" s="150"/>
      <c r="C918" s="150"/>
      <c r="D918" s="150"/>
      <c r="E918" s="140" t="str">
        <f t="shared" si="43"/>
        <v/>
      </c>
      <c r="F918" s="159"/>
      <c r="G918" s="145">
        <f t="shared" si="45"/>
        <v>0</v>
      </c>
      <c r="H918" s="140" t="str">
        <f t="shared" si="44"/>
        <v/>
      </c>
      <c r="I918"/>
      <c r="J918" s="147" t="str">
        <f>IFERROR(SUMIFS(当年实际!$V:$V,当年实际!$F:$F,$C918,当年实际!$C:$C,"&gt;="&amp;DATE(YEAR(主页!$D$2),1,1),当年实际!$C:$C,"&lt;="&amp;EOMONTH(DATE(YEAR(主页!$D$2),MONTH(主页!$D$2),1),0))/SUMIFS(当年实际!$P:$P,当年实际!$F:$F,$C918,当年实际!$C:$C,"&gt;="&amp;DATE(YEAR(主页!$D$2),1,1),当年实际!$C:$C,"&lt;="&amp;EOMONTH(DATE(YEAR(主页!$D$2),MONTH(主页!$D$2),1),0)),"")</f>
        <v/>
      </c>
    </row>
    <row r="919" spans="1:10" x14ac:dyDescent="0.3">
      <c r="A919" s="150"/>
      <c r="B919" s="150"/>
      <c r="C919" s="150"/>
      <c r="D919" s="150"/>
      <c r="E919" s="140" t="str">
        <f t="shared" si="43"/>
        <v/>
      </c>
      <c r="F919" s="159"/>
      <c r="G919" s="145">
        <f t="shared" si="45"/>
        <v>0</v>
      </c>
      <c r="H919" s="140" t="str">
        <f t="shared" si="44"/>
        <v/>
      </c>
      <c r="I919"/>
      <c r="J919" s="147" t="str">
        <f>IFERROR(SUMIFS(当年实际!$V:$V,当年实际!$F:$F,$C919,当年实际!$C:$C,"&gt;="&amp;DATE(YEAR(主页!$D$2),1,1),当年实际!$C:$C,"&lt;="&amp;EOMONTH(DATE(YEAR(主页!$D$2),MONTH(主页!$D$2),1),0))/SUMIFS(当年实际!$P:$P,当年实际!$F:$F,$C919,当年实际!$C:$C,"&gt;="&amp;DATE(YEAR(主页!$D$2),1,1),当年实际!$C:$C,"&lt;="&amp;EOMONTH(DATE(YEAR(主页!$D$2),MONTH(主页!$D$2),1),0)),"")</f>
        <v/>
      </c>
    </row>
    <row r="920" spans="1:10" x14ac:dyDescent="0.3">
      <c r="A920" s="150"/>
      <c r="B920" s="150"/>
      <c r="C920" s="150"/>
      <c r="D920" s="150"/>
      <c r="E920" s="140" t="str">
        <f t="shared" si="43"/>
        <v/>
      </c>
      <c r="F920" s="159"/>
      <c r="G920" s="145">
        <f t="shared" si="45"/>
        <v>0</v>
      </c>
      <c r="H920" s="140" t="str">
        <f t="shared" si="44"/>
        <v/>
      </c>
      <c r="I920"/>
      <c r="J920" s="147" t="str">
        <f>IFERROR(SUMIFS(当年实际!$V:$V,当年实际!$F:$F,$C920,当年实际!$C:$C,"&gt;="&amp;DATE(YEAR(主页!$D$2),1,1),当年实际!$C:$C,"&lt;="&amp;EOMONTH(DATE(YEAR(主页!$D$2),MONTH(主页!$D$2),1),0))/SUMIFS(当年实际!$P:$P,当年实际!$F:$F,$C920,当年实际!$C:$C,"&gt;="&amp;DATE(YEAR(主页!$D$2),1,1),当年实际!$C:$C,"&lt;="&amp;EOMONTH(DATE(YEAR(主页!$D$2),MONTH(主页!$D$2),1),0)),"")</f>
        <v/>
      </c>
    </row>
    <row r="921" spans="1:10" x14ac:dyDescent="0.3">
      <c r="A921" s="150"/>
      <c r="B921" s="150"/>
      <c r="C921" s="150"/>
      <c r="D921" s="150"/>
      <c r="E921" s="140" t="str">
        <f t="shared" si="43"/>
        <v/>
      </c>
      <c r="F921" s="159"/>
      <c r="G921" s="145">
        <f t="shared" si="45"/>
        <v>0</v>
      </c>
      <c r="H921" s="140" t="str">
        <f t="shared" si="44"/>
        <v/>
      </c>
      <c r="I921"/>
      <c r="J921" s="147" t="str">
        <f>IFERROR(SUMIFS(当年实际!$V:$V,当年实际!$F:$F,$C921,当年实际!$C:$C,"&gt;="&amp;DATE(YEAR(主页!$D$2),1,1),当年实际!$C:$C,"&lt;="&amp;EOMONTH(DATE(YEAR(主页!$D$2),MONTH(主页!$D$2),1),0))/SUMIFS(当年实际!$P:$P,当年实际!$F:$F,$C921,当年实际!$C:$C,"&gt;="&amp;DATE(YEAR(主页!$D$2),1,1),当年实际!$C:$C,"&lt;="&amp;EOMONTH(DATE(YEAR(主页!$D$2),MONTH(主页!$D$2),1),0)),"")</f>
        <v/>
      </c>
    </row>
    <row r="922" spans="1:10" x14ac:dyDescent="0.3">
      <c r="A922" s="150"/>
      <c r="B922" s="150"/>
      <c r="C922" s="150"/>
      <c r="D922" s="150"/>
      <c r="E922" s="140" t="str">
        <f t="shared" si="43"/>
        <v/>
      </c>
      <c r="F922" s="159"/>
      <c r="G922" s="145">
        <f t="shared" si="45"/>
        <v>0</v>
      </c>
      <c r="H922" s="140" t="str">
        <f t="shared" si="44"/>
        <v/>
      </c>
      <c r="I922"/>
      <c r="J922" s="147" t="str">
        <f>IFERROR(SUMIFS(当年实际!$V:$V,当年实际!$F:$F,$C922,当年实际!$C:$C,"&gt;="&amp;DATE(YEAR(主页!$D$2),1,1),当年实际!$C:$C,"&lt;="&amp;EOMONTH(DATE(YEAR(主页!$D$2),MONTH(主页!$D$2),1),0))/SUMIFS(当年实际!$P:$P,当年实际!$F:$F,$C922,当年实际!$C:$C,"&gt;="&amp;DATE(YEAR(主页!$D$2),1,1),当年实际!$C:$C,"&lt;="&amp;EOMONTH(DATE(YEAR(主页!$D$2),MONTH(主页!$D$2),1),0)),"")</f>
        <v/>
      </c>
    </row>
    <row r="923" spans="1:10" x14ac:dyDescent="0.3">
      <c r="A923" s="150"/>
      <c r="B923" s="150"/>
      <c r="C923" s="150"/>
      <c r="D923" s="150"/>
      <c r="E923" s="140" t="str">
        <f t="shared" si="43"/>
        <v/>
      </c>
      <c r="F923" s="159"/>
      <c r="G923" s="145">
        <f t="shared" si="45"/>
        <v>0</v>
      </c>
      <c r="H923" s="140" t="str">
        <f t="shared" si="44"/>
        <v/>
      </c>
      <c r="I923"/>
      <c r="J923" s="147" t="str">
        <f>IFERROR(SUMIFS(当年实际!$V:$V,当年实际!$F:$F,$C923,当年实际!$C:$C,"&gt;="&amp;DATE(YEAR(主页!$D$2),1,1),当年实际!$C:$C,"&lt;="&amp;EOMONTH(DATE(YEAR(主页!$D$2),MONTH(主页!$D$2),1),0))/SUMIFS(当年实际!$P:$P,当年实际!$F:$F,$C923,当年实际!$C:$C,"&gt;="&amp;DATE(YEAR(主页!$D$2),1,1),当年实际!$C:$C,"&lt;="&amp;EOMONTH(DATE(YEAR(主页!$D$2),MONTH(主页!$D$2),1),0)),"")</f>
        <v/>
      </c>
    </row>
    <row r="924" spans="1:10" x14ac:dyDescent="0.3">
      <c r="A924" s="150"/>
      <c r="B924" s="150"/>
      <c r="C924" s="150"/>
      <c r="D924" s="150"/>
      <c r="E924" s="140" t="str">
        <f t="shared" si="43"/>
        <v/>
      </c>
      <c r="F924" s="159"/>
      <c r="G924" s="145">
        <f t="shared" si="45"/>
        <v>0</v>
      </c>
      <c r="H924" s="140" t="str">
        <f t="shared" si="44"/>
        <v/>
      </c>
      <c r="I924"/>
      <c r="J924" s="147" t="str">
        <f>IFERROR(SUMIFS(当年实际!$V:$V,当年实际!$F:$F,$C924,当年实际!$C:$C,"&gt;="&amp;DATE(YEAR(主页!$D$2),1,1),当年实际!$C:$C,"&lt;="&amp;EOMONTH(DATE(YEAR(主页!$D$2),MONTH(主页!$D$2),1),0))/SUMIFS(当年实际!$P:$P,当年实际!$F:$F,$C924,当年实际!$C:$C,"&gt;="&amp;DATE(YEAR(主页!$D$2),1,1),当年实际!$C:$C,"&lt;="&amp;EOMONTH(DATE(YEAR(主页!$D$2),MONTH(主页!$D$2),1),0)),"")</f>
        <v/>
      </c>
    </row>
    <row r="925" spans="1:10" x14ac:dyDescent="0.3">
      <c r="A925" s="150"/>
      <c r="B925" s="150"/>
      <c r="C925" s="150"/>
      <c r="D925" s="150"/>
      <c r="E925" s="140" t="str">
        <f t="shared" si="43"/>
        <v/>
      </c>
      <c r="F925" s="159"/>
      <c r="G925" s="145">
        <f t="shared" si="45"/>
        <v>0</v>
      </c>
      <c r="H925" s="140" t="str">
        <f t="shared" si="44"/>
        <v/>
      </c>
      <c r="I925"/>
      <c r="J925" s="147" t="str">
        <f>IFERROR(SUMIFS(当年实际!$V:$V,当年实际!$F:$F,$C925,当年实际!$C:$C,"&gt;="&amp;DATE(YEAR(主页!$D$2),1,1),当年实际!$C:$C,"&lt;="&amp;EOMONTH(DATE(YEAR(主页!$D$2),MONTH(主页!$D$2),1),0))/SUMIFS(当年实际!$P:$P,当年实际!$F:$F,$C925,当年实际!$C:$C,"&gt;="&amp;DATE(YEAR(主页!$D$2),1,1),当年实际!$C:$C,"&lt;="&amp;EOMONTH(DATE(YEAR(主页!$D$2),MONTH(主页!$D$2),1),0)),"")</f>
        <v/>
      </c>
    </row>
    <row r="926" spans="1:10" x14ac:dyDescent="0.3">
      <c r="A926" s="150"/>
      <c r="B926" s="150"/>
      <c r="C926" s="150"/>
      <c r="D926" s="150"/>
      <c r="E926" s="140" t="str">
        <f t="shared" si="43"/>
        <v/>
      </c>
      <c r="F926" s="159"/>
      <c r="G926" s="145">
        <f t="shared" si="45"/>
        <v>0</v>
      </c>
      <c r="H926" s="140" t="str">
        <f t="shared" si="44"/>
        <v/>
      </c>
      <c r="I926"/>
      <c r="J926" s="147" t="str">
        <f>IFERROR(SUMIFS(当年实际!$V:$V,当年实际!$F:$F,$C926,当年实际!$C:$C,"&gt;="&amp;DATE(YEAR(主页!$D$2),1,1),当年实际!$C:$C,"&lt;="&amp;EOMONTH(DATE(YEAR(主页!$D$2),MONTH(主页!$D$2),1),0))/SUMIFS(当年实际!$P:$P,当年实际!$F:$F,$C926,当年实际!$C:$C,"&gt;="&amp;DATE(YEAR(主页!$D$2),1,1),当年实际!$C:$C,"&lt;="&amp;EOMONTH(DATE(YEAR(主页!$D$2),MONTH(主页!$D$2),1),0)),"")</f>
        <v/>
      </c>
    </row>
    <row r="927" spans="1:10" x14ac:dyDescent="0.3">
      <c r="A927" s="150"/>
      <c r="B927" s="150"/>
      <c r="C927" s="150"/>
      <c r="D927" s="150"/>
      <c r="E927" s="140" t="str">
        <f t="shared" si="43"/>
        <v/>
      </c>
      <c r="F927" s="159"/>
      <c r="G927" s="145">
        <f t="shared" si="45"/>
        <v>0</v>
      </c>
      <c r="H927" s="140" t="str">
        <f t="shared" si="44"/>
        <v/>
      </c>
      <c r="I927"/>
      <c r="J927" s="147" t="str">
        <f>IFERROR(SUMIFS(当年实际!$V:$V,当年实际!$F:$F,$C927,当年实际!$C:$C,"&gt;="&amp;DATE(YEAR(主页!$D$2),1,1),当年实际!$C:$C,"&lt;="&amp;EOMONTH(DATE(YEAR(主页!$D$2),MONTH(主页!$D$2),1),0))/SUMIFS(当年实际!$P:$P,当年实际!$F:$F,$C927,当年实际!$C:$C,"&gt;="&amp;DATE(YEAR(主页!$D$2),1,1),当年实际!$C:$C,"&lt;="&amp;EOMONTH(DATE(YEAR(主页!$D$2),MONTH(主页!$D$2),1),0)),"")</f>
        <v/>
      </c>
    </row>
    <row r="928" spans="1:10" x14ac:dyDescent="0.3">
      <c r="A928" s="150"/>
      <c r="B928" s="150"/>
      <c r="C928" s="150"/>
      <c r="D928" s="150"/>
      <c r="E928" s="140" t="str">
        <f t="shared" si="43"/>
        <v/>
      </c>
      <c r="F928" s="159"/>
      <c r="G928" s="145">
        <f t="shared" si="45"/>
        <v>0</v>
      </c>
      <c r="H928" s="140" t="str">
        <f t="shared" si="44"/>
        <v/>
      </c>
      <c r="I928"/>
      <c r="J928" s="147" t="str">
        <f>IFERROR(SUMIFS(当年实际!$V:$V,当年实际!$F:$F,$C928,当年实际!$C:$C,"&gt;="&amp;DATE(YEAR(主页!$D$2),1,1),当年实际!$C:$C,"&lt;="&amp;EOMONTH(DATE(YEAR(主页!$D$2),MONTH(主页!$D$2),1),0))/SUMIFS(当年实际!$P:$P,当年实际!$F:$F,$C928,当年实际!$C:$C,"&gt;="&amp;DATE(YEAR(主页!$D$2),1,1),当年实际!$C:$C,"&lt;="&amp;EOMONTH(DATE(YEAR(主页!$D$2),MONTH(主页!$D$2),1),0)),"")</f>
        <v/>
      </c>
    </row>
    <row r="929" spans="1:10" x14ac:dyDescent="0.3">
      <c r="A929" s="150"/>
      <c r="B929" s="150"/>
      <c r="C929" s="150"/>
      <c r="D929" s="150"/>
      <c r="E929" s="140" t="str">
        <f t="shared" si="43"/>
        <v/>
      </c>
      <c r="F929" s="159"/>
      <c r="G929" s="145">
        <f t="shared" si="45"/>
        <v>0</v>
      </c>
      <c r="H929" s="140" t="str">
        <f t="shared" si="44"/>
        <v/>
      </c>
      <c r="I929"/>
      <c r="J929" s="147" t="str">
        <f>IFERROR(SUMIFS(当年实际!$V:$V,当年实际!$F:$F,$C929,当年实际!$C:$C,"&gt;="&amp;DATE(YEAR(主页!$D$2),1,1),当年实际!$C:$C,"&lt;="&amp;EOMONTH(DATE(YEAR(主页!$D$2),MONTH(主页!$D$2),1),0))/SUMIFS(当年实际!$P:$P,当年实际!$F:$F,$C929,当年实际!$C:$C,"&gt;="&amp;DATE(YEAR(主页!$D$2),1,1),当年实际!$C:$C,"&lt;="&amp;EOMONTH(DATE(YEAR(主页!$D$2),MONTH(主页!$D$2),1),0)),"")</f>
        <v/>
      </c>
    </row>
    <row r="930" spans="1:10" x14ac:dyDescent="0.3">
      <c r="A930" s="150"/>
      <c r="B930" s="150"/>
      <c r="C930" s="150"/>
      <c r="D930" s="150"/>
      <c r="E930" s="140" t="str">
        <f t="shared" si="43"/>
        <v/>
      </c>
      <c r="F930" s="159"/>
      <c r="G930" s="145">
        <f t="shared" si="45"/>
        <v>0</v>
      </c>
      <c r="H930" s="140" t="str">
        <f t="shared" si="44"/>
        <v/>
      </c>
      <c r="I930"/>
      <c r="J930" s="147" t="str">
        <f>IFERROR(SUMIFS(当年实际!$V:$V,当年实际!$F:$F,$C930,当年实际!$C:$C,"&gt;="&amp;DATE(YEAR(主页!$D$2),1,1),当年实际!$C:$C,"&lt;="&amp;EOMONTH(DATE(YEAR(主页!$D$2),MONTH(主页!$D$2),1),0))/SUMIFS(当年实际!$P:$P,当年实际!$F:$F,$C930,当年实际!$C:$C,"&gt;="&amp;DATE(YEAR(主页!$D$2),1,1),当年实际!$C:$C,"&lt;="&amp;EOMONTH(DATE(YEAR(主页!$D$2),MONTH(主页!$D$2),1),0)),"")</f>
        <v/>
      </c>
    </row>
    <row r="931" spans="1:10" x14ac:dyDescent="0.3">
      <c r="A931" s="150"/>
      <c r="B931" s="150"/>
      <c r="C931" s="150"/>
      <c r="D931" s="150"/>
      <c r="E931" s="140" t="str">
        <f t="shared" si="43"/>
        <v/>
      </c>
      <c r="F931" s="159"/>
      <c r="G931" s="145">
        <f t="shared" si="45"/>
        <v>0</v>
      </c>
      <c r="H931" s="140" t="str">
        <f t="shared" si="44"/>
        <v/>
      </c>
      <c r="I931"/>
      <c r="J931" s="147" t="str">
        <f>IFERROR(SUMIFS(当年实际!$V:$V,当年实际!$F:$F,$C931,当年实际!$C:$C,"&gt;="&amp;DATE(YEAR(主页!$D$2),1,1),当年实际!$C:$C,"&lt;="&amp;EOMONTH(DATE(YEAR(主页!$D$2),MONTH(主页!$D$2),1),0))/SUMIFS(当年实际!$P:$P,当年实际!$F:$F,$C931,当年实际!$C:$C,"&gt;="&amp;DATE(YEAR(主页!$D$2),1,1),当年实际!$C:$C,"&lt;="&amp;EOMONTH(DATE(YEAR(主页!$D$2),MONTH(主页!$D$2),1),0)),"")</f>
        <v/>
      </c>
    </row>
    <row r="932" spans="1:10" x14ac:dyDescent="0.3">
      <c r="A932" s="150"/>
      <c r="B932" s="150"/>
      <c r="C932" s="150"/>
      <c r="D932" s="150"/>
      <c r="E932" s="140" t="str">
        <f t="shared" si="43"/>
        <v/>
      </c>
      <c r="F932" s="159"/>
      <c r="G932" s="145">
        <f t="shared" si="45"/>
        <v>0</v>
      </c>
      <c r="H932" s="140" t="str">
        <f t="shared" si="44"/>
        <v/>
      </c>
      <c r="I932"/>
      <c r="J932" s="147" t="str">
        <f>IFERROR(SUMIFS(当年实际!$V:$V,当年实际!$F:$F,$C932,当年实际!$C:$C,"&gt;="&amp;DATE(YEAR(主页!$D$2),1,1),当年实际!$C:$C,"&lt;="&amp;EOMONTH(DATE(YEAR(主页!$D$2),MONTH(主页!$D$2),1),0))/SUMIFS(当年实际!$P:$P,当年实际!$F:$F,$C932,当年实际!$C:$C,"&gt;="&amp;DATE(YEAR(主页!$D$2),1,1),当年实际!$C:$C,"&lt;="&amp;EOMONTH(DATE(YEAR(主页!$D$2),MONTH(主页!$D$2),1),0)),"")</f>
        <v/>
      </c>
    </row>
    <row r="933" spans="1:10" x14ac:dyDescent="0.3">
      <c r="A933" s="150"/>
      <c r="B933" s="150"/>
      <c r="C933" s="150"/>
      <c r="D933" s="150"/>
      <c r="E933" s="140" t="str">
        <f t="shared" si="43"/>
        <v/>
      </c>
      <c r="F933" s="159"/>
      <c r="G933" s="145">
        <f t="shared" si="45"/>
        <v>0</v>
      </c>
      <c r="H933" s="140" t="str">
        <f t="shared" si="44"/>
        <v/>
      </c>
      <c r="I933"/>
      <c r="J933" s="147" t="str">
        <f>IFERROR(SUMIFS(当年实际!$V:$V,当年实际!$F:$F,$C933,当年实际!$C:$C,"&gt;="&amp;DATE(YEAR(主页!$D$2),1,1),当年实际!$C:$C,"&lt;="&amp;EOMONTH(DATE(YEAR(主页!$D$2),MONTH(主页!$D$2),1),0))/SUMIFS(当年实际!$P:$P,当年实际!$F:$F,$C933,当年实际!$C:$C,"&gt;="&amp;DATE(YEAR(主页!$D$2),1,1),当年实际!$C:$C,"&lt;="&amp;EOMONTH(DATE(YEAR(主页!$D$2),MONTH(主页!$D$2),1),0)),"")</f>
        <v/>
      </c>
    </row>
    <row r="934" spans="1:10" x14ac:dyDescent="0.3">
      <c r="A934" s="150"/>
      <c r="B934" s="150"/>
      <c r="C934" s="150"/>
      <c r="D934" s="150"/>
      <c r="E934" s="140" t="str">
        <f t="shared" si="43"/>
        <v/>
      </c>
      <c r="F934" s="159"/>
      <c r="G934" s="145">
        <f t="shared" si="45"/>
        <v>0</v>
      </c>
      <c r="H934" s="140" t="str">
        <f t="shared" si="44"/>
        <v/>
      </c>
      <c r="I934"/>
      <c r="J934" s="147" t="str">
        <f>IFERROR(SUMIFS(当年实际!$V:$V,当年实际!$F:$F,$C934,当年实际!$C:$C,"&gt;="&amp;DATE(YEAR(主页!$D$2),1,1),当年实际!$C:$C,"&lt;="&amp;EOMONTH(DATE(YEAR(主页!$D$2),MONTH(主页!$D$2),1),0))/SUMIFS(当年实际!$P:$P,当年实际!$F:$F,$C934,当年实际!$C:$C,"&gt;="&amp;DATE(YEAR(主页!$D$2),1,1),当年实际!$C:$C,"&lt;="&amp;EOMONTH(DATE(YEAR(主页!$D$2),MONTH(主页!$D$2),1),0)),"")</f>
        <v/>
      </c>
    </row>
    <row r="935" spans="1:10" x14ac:dyDescent="0.3">
      <c r="A935" s="150"/>
      <c r="B935" s="150"/>
      <c r="C935" s="150"/>
      <c r="D935" s="150"/>
      <c r="E935" s="140" t="str">
        <f t="shared" si="43"/>
        <v/>
      </c>
      <c r="F935" s="159"/>
      <c r="G935" s="145">
        <f t="shared" si="45"/>
        <v>0</v>
      </c>
      <c r="H935" s="140" t="str">
        <f t="shared" si="44"/>
        <v/>
      </c>
      <c r="I935"/>
      <c r="J935" s="147" t="str">
        <f>IFERROR(SUMIFS(当年实际!$V:$V,当年实际!$F:$F,$C935,当年实际!$C:$C,"&gt;="&amp;DATE(YEAR(主页!$D$2),1,1),当年实际!$C:$C,"&lt;="&amp;EOMONTH(DATE(YEAR(主页!$D$2),MONTH(主页!$D$2),1),0))/SUMIFS(当年实际!$P:$P,当年实际!$F:$F,$C935,当年实际!$C:$C,"&gt;="&amp;DATE(YEAR(主页!$D$2),1,1),当年实际!$C:$C,"&lt;="&amp;EOMONTH(DATE(YEAR(主页!$D$2),MONTH(主页!$D$2),1),0)),"")</f>
        <v/>
      </c>
    </row>
    <row r="936" spans="1:10" x14ac:dyDescent="0.3">
      <c r="A936" s="150"/>
      <c r="B936" s="150"/>
      <c r="C936" s="150"/>
      <c r="D936" s="150"/>
      <c r="E936" s="140" t="str">
        <f t="shared" si="43"/>
        <v/>
      </c>
      <c r="F936" s="159"/>
      <c r="G936" s="145">
        <f t="shared" si="45"/>
        <v>0</v>
      </c>
      <c r="H936" s="140" t="str">
        <f t="shared" si="44"/>
        <v/>
      </c>
      <c r="I936"/>
      <c r="J936" s="147" t="str">
        <f>IFERROR(SUMIFS(当年实际!$V:$V,当年实际!$F:$F,$C936,当年实际!$C:$C,"&gt;="&amp;DATE(YEAR(主页!$D$2),1,1),当年实际!$C:$C,"&lt;="&amp;EOMONTH(DATE(YEAR(主页!$D$2),MONTH(主页!$D$2),1),0))/SUMIFS(当年实际!$P:$P,当年实际!$F:$F,$C936,当年实际!$C:$C,"&gt;="&amp;DATE(YEAR(主页!$D$2),1,1),当年实际!$C:$C,"&lt;="&amp;EOMONTH(DATE(YEAR(主页!$D$2),MONTH(主页!$D$2),1),0)),"")</f>
        <v/>
      </c>
    </row>
    <row r="937" spans="1:10" x14ac:dyDescent="0.3">
      <c r="A937" s="150"/>
      <c r="B937" s="150"/>
      <c r="C937" s="150"/>
      <c r="D937" s="150"/>
      <c r="E937" s="140" t="str">
        <f t="shared" si="43"/>
        <v/>
      </c>
      <c r="F937" s="159"/>
      <c r="G937" s="145">
        <f t="shared" si="45"/>
        <v>0</v>
      </c>
      <c r="H937" s="140" t="str">
        <f t="shared" si="44"/>
        <v/>
      </c>
      <c r="I937"/>
      <c r="J937" s="147" t="str">
        <f>IFERROR(SUMIFS(当年实际!$V:$V,当年实际!$F:$F,$C937,当年实际!$C:$C,"&gt;="&amp;DATE(YEAR(主页!$D$2),1,1),当年实际!$C:$C,"&lt;="&amp;EOMONTH(DATE(YEAR(主页!$D$2),MONTH(主页!$D$2),1),0))/SUMIFS(当年实际!$P:$P,当年实际!$F:$F,$C937,当年实际!$C:$C,"&gt;="&amp;DATE(YEAR(主页!$D$2),1,1),当年实际!$C:$C,"&lt;="&amp;EOMONTH(DATE(YEAR(主页!$D$2),MONTH(主页!$D$2),1),0)),"")</f>
        <v/>
      </c>
    </row>
    <row r="938" spans="1:10" x14ac:dyDescent="0.3">
      <c r="A938" s="150"/>
      <c r="B938" s="150"/>
      <c r="C938" s="150"/>
      <c r="D938" s="150"/>
      <c r="E938" s="140" t="str">
        <f t="shared" si="43"/>
        <v/>
      </c>
      <c r="F938" s="159"/>
      <c r="G938" s="145">
        <f t="shared" si="45"/>
        <v>0</v>
      </c>
      <c r="H938" s="140" t="str">
        <f t="shared" si="44"/>
        <v/>
      </c>
      <c r="I938"/>
      <c r="J938" s="147" t="str">
        <f>IFERROR(SUMIFS(当年实际!$V:$V,当年实际!$F:$F,$C938,当年实际!$C:$C,"&gt;="&amp;DATE(YEAR(主页!$D$2),1,1),当年实际!$C:$C,"&lt;="&amp;EOMONTH(DATE(YEAR(主页!$D$2),MONTH(主页!$D$2),1),0))/SUMIFS(当年实际!$P:$P,当年实际!$F:$F,$C938,当年实际!$C:$C,"&gt;="&amp;DATE(YEAR(主页!$D$2),1,1),当年实际!$C:$C,"&lt;="&amp;EOMONTH(DATE(YEAR(主页!$D$2),MONTH(主页!$D$2),1),0)),"")</f>
        <v/>
      </c>
    </row>
    <row r="939" spans="1:10" x14ac:dyDescent="0.3">
      <c r="A939" s="150"/>
      <c r="B939" s="150"/>
      <c r="C939" s="150"/>
      <c r="D939" s="150"/>
      <c r="E939" s="140" t="str">
        <f t="shared" si="43"/>
        <v/>
      </c>
      <c r="F939" s="159"/>
      <c r="G939" s="145">
        <f t="shared" si="45"/>
        <v>0</v>
      </c>
      <c r="H939" s="140" t="str">
        <f t="shared" si="44"/>
        <v/>
      </c>
      <c r="I939"/>
      <c r="J939" s="147" t="str">
        <f>IFERROR(SUMIFS(当年实际!$V:$V,当年实际!$F:$F,$C939,当年实际!$C:$C,"&gt;="&amp;DATE(YEAR(主页!$D$2),1,1),当年实际!$C:$C,"&lt;="&amp;EOMONTH(DATE(YEAR(主页!$D$2),MONTH(主页!$D$2),1),0))/SUMIFS(当年实际!$P:$P,当年实际!$F:$F,$C939,当年实际!$C:$C,"&gt;="&amp;DATE(YEAR(主页!$D$2),1,1),当年实际!$C:$C,"&lt;="&amp;EOMONTH(DATE(YEAR(主页!$D$2),MONTH(主页!$D$2),1),0)),"")</f>
        <v/>
      </c>
    </row>
    <row r="940" spans="1:10" x14ac:dyDescent="0.3">
      <c r="A940" s="150"/>
      <c r="B940" s="150"/>
      <c r="C940" s="150"/>
      <c r="D940" s="150"/>
      <c r="E940" s="140" t="str">
        <f t="shared" si="43"/>
        <v/>
      </c>
      <c r="F940" s="159"/>
      <c r="G940" s="145">
        <f t="shared" si="45"/>
        <v>0</v>
      </c>
      <c r="H940" s="140" t="str">
        <f t="shared" si="44"/>
        <v/>
      </c>
      <c r="I940"/>
      <c r="J940" s="147" t="str">
        <f>IFERROR(SUMIFS(当年实际!$V:$V,当年实际!$F:$F,$C940,当年实际!$C:$C,"&gt;="&amp;DATE(YEAR(主页!$D$2),1,1),当年实际!$C:$C,"&lt;="&amp;EOMONTH(DATE(YEAR(主页!$D$2),MONTH(主页!$D$2),1),0))/SUMIFS(当年实际!$P:$P,当年实际!$F:$F,$C940,当年实际!$C:$C,"&gt;="&amp;DATE(YEAR(主页!$D$2),1,1),当年实际!$C:$C,"&lt;="&amp;EOMONTH(DATE(YEAR(主页!$D$2),MONTH(主页!$D$2),1),0)),"")</f>
        <v/>
      </c>
    </row>
    <row r="941" spans="1:10" x14ac:dyDescent="0.3">
      <c r="A941" s="150"/>
      <c r="B941" s="150"/>
      <c r="C941" s="150"/>
      <c r="D941" s="150"/>
      <c r="E941" s="140" t="str">
        <f t="shared" si="43"/>
        <v/>
      </c>
      <c r="F941" s="159"/>
      <c r="G941" s="145">
        <f t="shared" si="45"/>
        <v>0</v>
      </c>
      <c r="H941" s="140" t="str">
        <f t="shared" si="44"/>
        <v/>
      </c>
      <c r="I941"/>
      <c r="J941" s="147" t="str">
        <f>IFERROR(SUMIFS(当年实际!$V:$V,当年实际!$F:$F,$C941,当年实际!$C:$C,"&gt;="&amp;DATE(YEAR(主页!$D$2),1,1),当年实际!$C:$C,"&lt;="&amp;EOMONTH(DATE(YEAR(主页!$D$2),MONTH(主页!$D$2),1),0))/SUMIFS(当年实际!$P:$P,当年实际!$F:$F,$C941,当年实际!$C:$C,"&gt;="&amp;DATE(YEAR(主页!$D$2),1,1),当年实际!$C:$C,"&lt;="&amp;EOMONTH(DATE(YEAR(主页!$D$2),MONTH(主页!$D$2),1),0)),"")</f>
        <v/>
      </c>
    </row>
    <row r="942" spans="1:10" x14ac:dyDescent="0.3">
      <c r="A942" s="150"/>
      <c r="B942" s="150"/>
      <c r="C942" s="150"/>
      <c r="D942" s="150"/>
      <c r="E942" s="140" t="str">
        <f t="shared" si="43"/>
        <v/>
      </c>
      <c r="F942" s="159"/>
      <c r="G942" s="145">
        <f t="shared" si="45"/>
        <v>0</v>
      </c>
      <c r="H942" s="140" t="str">
        <f t="shared" si="44"/>
        <v/>
      </c>
      <c r="I942"/>
      <c r="J942" s="147" t="str">
        <f>IFERROR(SUMIFS(当年实际!$V:$V,当年实际!$F:$F,$C942,当年实际!$C:$C,"&gt;="&amp;DATE(YEAR(主页!$D$2),1,1),当年实际!$C:$C,"&lt;="&amp;EOMONTH(DATE(YEAR(主页!$D$2),MONTH(主页!$D$2),1),0))/SUMIFS(当年实际!$P:$P,当年实际!$F:$F,$C942,当年实际!$C:$C,"&gt;="&amp;DATE(YEAR(主页!$D$2),1,1),当年实际!$C:$C,"&lt;="&amp;EOMONTH(DATE(YEAR(主页!$D$2),MONTH(主页!$D$2),1),0)),"")</f>
        <v/>
      </c>
    </row>
    <row r="943" spans="1:10" x14ac:dyDescent="0.3">
      <c r="A943" s="150"/>
      <c r="B943" s="150"/>
      <c r="C943" s="150"/>
      <c r="D943" s="150"/>
      <c r="E943" s="140" t="str">
        <f t="shared" si="43"/>
        <v/>
      </c>
      <c r="F943" s="159"/>
      <c r="G943" s="145">
        <f t="shared" si="45"/>
        <v>0</v>
      </c>
      <c r="H943" s="140" t="str">
        <f t="shared" si="44"/>
        <v/>
      </c>
      <c r="I943"/>
      <c r="J943" s="147" t="str">
        <f>IFERROR(SUMIFS(当年实际!$V:$V,当年实际!$F:$F,$C943,当年实际!$C:$C,"&gt;="&amp;DATE(YEAR(主页!$D$2),1,1),当年实际!$C:$C,"&lt;="&amp;EOMONTH(DATE(YEAR(主页!$D$2),MONTH(主页!$D$2),1),0))/SUMIFS(当年实际!$P:$P,当年实际!$F:$F,$C943,当年实际!$C:$C,"&gt;="&amp;DATE(YEAR(主页!$D$2),1,1),当年实际!$C:$C,"&lt;="&amp;EOMONTH(DATE(YEAR(主页!$D$2),MONTH(主页!$D$2),1),0)),"")</f>
        <v/>
      </c>
    </row>
    <row r="944" spans="1:10" x14ac:dyDescent="0.3">
      <c r="A944" s="150"/>
      <c r="B944" s="150"/>
      <c r="C944" s="150"/>
      <c r="D944" s="150"/>
      <c r="E944" s="140" t="str">
        <f t="shared" si="43"/>
        <v/>
      </c>
      <c r="F944" s="159"/>
      <c r="G944" s="145">
        <f t="shared" si="45"/>
        <v>0</v>
      </c>
      <c r="H944" s="140" t="str">
        <f t="shared" si="44"/>
        <v/>
      </c>
      <c r="I944"/>
      <c r="J944" s="147" t="str">
        <f>IFERROR(SUMIFS(当年实际!$V:$V,当年实际!$F:$F,$C944,当年实际!$C:$C,"&gt;="&amp;DATE(YEAR(主页!$D$2),1,1),当年实际!$C:$C,"&lt;="&amp;EOMONTH(DATE(YEAR(主页!$D$2),MONTH(主页!$D$2),1),0))/SUMIFS(当年实际!$P:$P,当年实际!$F:$F,$C944,当年实际!$C:$C,"&gt;="&amp;DATE(YEAR(主页!$D$2),1,1),当年实际!$C:$C,"&lt;="&amp;EOMONTH(DATE(YEAR(主页!$D$2),MONTH(主页!$D$2),1),0)),"")</f>
        <v/>
      </c>
    </row>
    <row r="945" spans="1:10" x14ac:dyDescent="0.3">
      <c r="A945" s="150"/>
      <c r="B945" s="150"/>
      <c r="C945" s="150"/>
      <c r="D945" s="150"/>
      <c r="E945" s="140" t="str">
        <f t="shared" si="43"/>
        <v/>
      </c>
      <c r="F945" s="159"/>
      <c r="G945" s="145">
        <f t="shared" si="45"/>
        <v>0</v>
      </c>
      <c r="H945" s="140" t="str">
        <f t="shared" si="44"/>
        <v/>
      </c>
      <c r="I945"/>
      <c r="J945" s="147" t="str">
        <f>IFERROR(SUMIFS(当年实际!$V:$V,当年实际!$F:$F,$C945,当年实际!$C:$C,"&gt;="&amp;DATE(YEAR(主页!$D$2),1,1),当年实际!$C:$C,"&lt;="&amp;EOMONTH(DATE(YEAR(主页!$D$2),MONTH(主页!$D$2),1),0))/SUMIFS(当年实际!$P:$P,当年实际!$F:$F,$C945,当年实际!$C:$C,"&gt;="&amp;DATE(YEAR(主页!$D$2),1,1),当年实际!$C:$C,"&lt;="&amp;EOMONTH(DATE(YEAR(主页!$D$2),MONTH(主页!$D$2),1),0)),"")</f>
        <v/>
      </c>
    </row>
    <row r="946" spans="1:10" x14ac:dyDescent="0.3">
      <c r="A946" s="150"/>
      <c r="B946" s="150"/>
      <c r="C946" s="150"/>
      <c r="D946" s="150"/>
      <c r="E946" s="140" t="str">
        <f t="shared" si="43"/>
        <v/>
      </c>
      <c r="F946" s="159"/>
      <c r="G946" s="145">
        <f t="shared" si="45"/>
        <v>0</v>
      </c>
      <c r="H946" s="140" t="str">
        <f t="shared" si="44"/>
        <v/>
      </c>
      <c r="I946"/>
      <c r="J946" s="147" t="str">
        <f>IFERROR(SUMIFS(当年实际!$V:$V,当年实际!$F:$F,$C946,当年实际!$C:$C,"&gt;="&amp;DATE(YEAR(主页!$D$2),1,1),当年实际!$C:$C,"&lt;="&amp;EOMONTH(DATE(YEAR(主页!$D$2),MONTH(主页!$D$2),1),0))/SUMIFS(当年实际!$P:$P,当年实际!$F:$F,$C946,当年实际!$C:$C,"&gt;="&amp;DATE(YEAR(主页!$D$2),1,1),当年实际!$C:$C,"&lt;="&amp;EOMONTH(DATE(YEAR(主页!$D$2),MONTH(主页!$D$2),1),0)),"")</f>
        <v/>
      </c>
    </row>
    <row r="947" spans="1:10" x14ac:dyDescent="0.3">
      <c r="A947" s="150"/>
      <c r="B947" s="150"/>
      <c r="C947" s="150"/>
      <c r="D947" s="150"/>
      <c r="E947" s="140" t="str">
        <f t="shared" si="43"/>
        <v/>
      </c>
      <c r="F947" s="159"/>
      <c r="G947" s="145">
        <f t="shared" si="45"/>
        <v>0</v>
      </c>
      <c r="H947" s="140" t="str">
        <f t="shared" si="44"/>
        <v/>
      </c>
      <c r="I947"/>
      <c r="J947" s="147" t="str">
        <f>IFERROR(SUMIFS(当年实际!$V:$V,当年实际!$F:$F,$C947,当年实际!$C:$C,"&gt;="&amp;DATE(YEAR(主页!$D$2),1,1),当年实际!$C:$C,"&lt;="&amp;EOMONTH(DATE(YEAR(主页!$D$2),MONTH(主页!$D$2),1),0))/SUMIFS(当年实际!$P:$P,当年实际!$F:$F,$C947,当年实际!$C:$C,"&gt;="&amp;DATE(YEAR(主页!$D$2),1,1),当年实际!$C:$C,"&lt;="&amp;EOMONTH(DATE(YEAR(主页!$D$2),MONTH(主页!$D$2),1),0)),"")</f>
        <v/>
      </c>
    </row>
    <row r="948" spans="1:10" x14ac:dyDescent="0.3">
      <c r="A948" s="150"/>
      <c r="B948" s="150"/>
      <c r="C948" s="150"/>
      <c r="D948" s="150"/>
      <c r="E948" s="140" t="str">
        <f t="shared" si="43"/>
        <v/>
      </c>
      <c r="F948" s="159"/>
      <c r="G948" s="145">
        <f t="shared" si="45"/>
        <v>0</v>
      </c>
      <c r="H948" s="140" t="str">
        <f t="shared" si="44"/>
        <v/>
      </c>
      <c r="I948"/>
      <c r="J948" s="147" t="str">
        <f>IFERROR(SUMIFS(当年实际!$V:$V,当年实际!$F:$F,$C948,当年实际!$C:$C,"&gt;="&amp;DATE(YEAR(主页!$D$2),1,1),当年实际!$C:$C,"&lt;="&amp;EOMONTH(DATE(YEAR(主页!$D$2),MONTH(主页!$D$2),1),0))/SUMIFS(当年实际!$P:$P,当年实际!$F:$F,$C948,当年实际!$C:$C,"&gt;="&amp;DATE(YEAR(主页!$D$2),1,1),当年实际!$C:$C,"&lt;="&amp;EOMONTH(DATE(YEAR(主页!$D$2),MONTH(主页!$D$2),1),0)),"")</f>
        <v/>
      </c>
    </row>
    <row r="949" spans="1:10" x14ac:dyDescent="0.3">
      <c r="A949" s="150"/>
      <c r="B949" s="150"/>
      <c r="C949" s="150"/>
      <c r="D949" s="150"/>
      <c r="E949" s="140" t="str">
        <f t="shared" si="43"/>
        <v/>
      </c>
      <c r="F949" s="159"/>
      <c r="G949" s="145">
        <f t="shared" si="45"/>
        <v>0</v>
      </c>
      <c r="H949" s="140" t="str">
        <f t="shared" si="44"/>
        <v/>
      </c>
      <c r="I949"/>
      <c r="J949" s="147" t="str">
        <f>IFERROR(SUMIFS(当年实际!$V:$V,当年实际!$F:$F,$C949,当年实际!$C:$C,"&gt;="&amp;DATE(YEAR(主页!$D$2),1,1),当年实际!$C:$C,"&lt;="&amp;EOMONTH(DATE(YEAR(主页!$D$2),MONTH(主页!$D$2),1),0))/SUMIFS(当年实际!$P:$P,当年实际!$F:$F,$C949,当年实际!$C:$C,"&gt;="&amp;DATE(YEAR(主页!$D$2),1,1),当年实际!$C:$C,"&lt;="&amp;EOMONTH(DATE(YEAR(主页!$D$2),MONTH(主页!$D$2),1),0)),"")</f>
        <v/>
      </c>
    </row>
    <row r="950" spans="1:10" x14ac:dyDescent="0.3">
      <c r="A950" s="150"/>
      <c r="B950" s="150"/>
      <c r="C950" s="150"/>
      <c r="D950" s="150"/>
      <c r="E950" s="140" t="str">
        <f t="shared" si="43"/>
        <v/>
      </c>
      <c r="F950" s="159"/>
      <c r="G950" s="145">
        <f t="shared" si="45"/>
        <v>0</v>
      </c>
      <c r="H950" s="140" t="str">
        <f t="shared" si="44"/>
        <v/>
      </c>
      <c r="I950"/>
      <c r="J950" s="147" t="str">
        <f>IFERROR(SUMIFS(当年实际!$V:$V,当年实际!$F:$F,$C950,当年实际!$C:$C,"&gt;="&amp;DATE(YEAR(主页!$D$2),1,1),当年实际!$C:$C,"&lt;="&amp;EOMONTH(DATE(YEAR(主页!$D$2),MONTH(主页!$D$2),1),0))/SUMIFS(当年实际!$P:$P,当年实际!$F:$F,$C950,当年实际!$C:$C,"&gt;="&amp;DATE(YEAR(主页!$D$2),1,1),当年实际!$C:$C,"&lt;="&amp;EOMONTH(DATE(YEAR(主页!$D$2),MONTH(主页!$D$2),1),0)),"")</f>
        <v/>
      </c>
    </row>
    <row r="951" spans="1:10" x14ac:dyDescent="0.3">
      <c r="A951" s="150"/>
      <c r="B951" s="150"/>
      <c r="C951" s="150"/>
      <c r="D951" s="150"/>
      <c r="E951" s="140" t="str">
        <f t="shared" si="43"/>
        <v/>
      </c>
      <c r="F951" s="159"/>
      <c r="G951" s="145">
        <f t="shared" si="45"/>
        <v>0</v>
      </c>
      <c r="H951" s="140" t="str">
        <f t="shared" si="44"/>
        <v/>
      </c>
      <c r="I951"/>
      <c r="J951" s="147" t="str">
        <f>IFERROR(SUMIFS(当年实际!$V:$V,当年实际!$F:$F,$C951,当年实际!$C:$C,"&gt;="&amp;DATE(YEAR(主页!$D$2),1,1),当年实际!$C:$C,"&lt;="&amp;EOMONTH(DATE(YEAR(主页!$D$2),MONTH(主页!$D$2),1),0))/SUMIFS(当年实际!$P:$P,当年实际!$F:$F,$C951,当年实际!$C:$C,"&gt;="&amp;DATE(YEAR(主页!$D$2),1,1),当年实际!$C:$C,"&lt;="&amp;EOMONTH(DATE(YEAR(主页!$D$2),MONTH(主页!$D$2),1),0)),"")</f>
        <v/>
      </c>
    </row>
    <row r="952" spans="1:10" x14ac:dyDescent="0.3">
      <c r="A952" s="150"/>
      <c r="B952" s="150"/>
      <c r="C952" s="150"/>
      <c r="D952" s="150"/>
      <c r="E952" s="140" t="str">
        <f t="shared" si="43"/>
        <v/>
      </c>
      <c r="F952" s="159"/>
      <c r="G952" s="145">
        <f t="shared" si="45"/>
        <v>0</v>
      </c>
      <c r="H952" s="140" t="str">
        <f t="shared" si="44"/>
        <v/>
      </c>
      <c r="I952"/>
      <c r="J952" s="147" t="str">
        <f>IFERROR(SUMIFS(当年实际!$V:$V,当年实际!$F:$F,$C952,当年实际!$C:$C,"&gt;="&amp;DATE(YEAR(主页!$D$2),1,1),当年实际!$C:$C,"&lt;="&amp;EOMONTH(DATE(YEAR(主页!$D$2),MONTH(主页!$D$2),1),0))/SUMIFS(当年实际!$P:$P,当年实际!$F:$F,$C952,当年实际!$C:$C,"&gt;="&amp;DATE(YEAR(主页!$D$2),1,1),当年实际!$C:$C,"&lt;="&amp;EOMONTH(DATE(YEAR(主页!$D$2),MONTH(主页!$D$2),1),0)),"")</f>
        <v/>
      </c>
    </row>
    <row r="953" spans="1:10" x14ac:dyDescent="0.3">
      <c r="A953" s="150"/>
      <c r="B953" s="150"/>
      <c r="C953" s="150"/>
      <c r="D953" s="150"/>
      <c r="E953" s="140" t="str">
        <f t="shared" si="43"/>
        <v/>
      </c>
      <c r="F953" s="159"/>
      <c r="G953" s="145">
        <f t="shared" si="45"/>
        <v>0</v>
      </c>
      <c r="H953" s="140" t="str">
        <f t="shared" si="44"/>
        <v/>
      </c>
      <c r="I953"/>
      <c r="J953" s="147" t="str">
        <f>IFERROR(SUMIFS(当年实际!$V:$V,当年实际!$F:$F,$C953,当年实际!$C:$C,"&gt;="&amp;DATE(YEAR(主页!$D$2),1,1),当年实际!$C:$C,"&lt;="&amp;EOMONTH(DATE(YEAR(主页!$D$2),MONTH(主页!$D$2),1),0))/SUMIFS(当年实际!$P:$P,当年实际!$F:$F,$C953,当年实际!$C:$C,"&gt;="&amp;DATE(YEAR(主页!$D$2),1,1),当年实际!$C:$C,"&lt;="&amp;EOMONTH(DATE(YEAR(主页!$D$2),MONTH(主页!$D$2),1),0)),"")</f>
        <v/>
      </c>
    </row>
    <row r="954" spans="1:10" x14ac:dyDescent="0.3">
      <c r="A954" s="150"/>
      <c r="B954" s="150"/>
      <c r="C954" s="150"/>
      <c r="D954" s="150"/>
      <c r="E954" s="140" t="str">
        <f t="shared" si="43"/>
        <v/>
      </c>
      <c r="F954" s="159"/>
      <c r="G954" s="145">
        <f t="shared" si="45"/>
        <v>0</v>
      </c>
      <c r="H954" s="140" t="str">
        <f t="shared" si="44"/>
        <v/>
      </c>
      <c r="I954"/>
      <c r="J954" s="147" t="str">
        <f>IFERROR(SUMIFS(当年实际!$V:$V,当年实际!$F:$F,$C954,当年实际!$C:$C,"&gt;="&amp;DATE(YEAR(主页!$D$2),1,1),当年实际!$C:$C,"&lt;="&amp;EOMONTH(DATE(YEAR(主页!$D$2),MONTH(主页!$D$2),1),0))/SUMIFS(当年实际!$P:$P,当年实际!$F:$F,$C954,当年实际!$C:$C,"&gt;="&amp;DATE(YEAR(主页!$D$2),1,1),当年实际!$C:$C,"&lt;="&amp;EOMONTH(DATE(YEAR(主页!$D$2),MONTH(主页!$D$2),1),0)),"")</f>
        <v/>
      </c>
    </row>
    <row r="955" spans="1:10" x14ac:dyDescent="0.3">
      <c r="A955" s="150"/>
      <c r="B955" s="150"/>
      <c r="C955" s="150"/>
      <c r="D955" s="150"/>
      <c r="E955" s="140" t="str">
        <f t="shared" si="43"/>
        <v/>
      </c>
      <c r="F955" s="159"/>
      <c r="G955" s="145">
        <f t="shared" si="45"/>
        <v>0</v>
      </c>
      <c r="H955" s="140" t="str">
        <f t="shared" si="44"/>
        <v/>
      </c>
      <c r="I955"/>
      <c r="J955" s="147" t="str">
        <f>IFERROR(SUMIFS(当年实际!$V:$V,当年实际!$F:$F,$C955,当年实际!$C:$C,"&gt;="&amp;DATE(YEAR(主页!$D$2),1,1),当年实际!$C:$C,"&lt;="&amp;EOMONTH(DATE(YEAR(主页!$D$2),MONTH(主页!$D$2),1),0))/SUMIFS(当年实际!$P:$P,当年实际!$F:$F,$C955,当年实际!$C:$C,"&gt;="&amp;DATE(YEAR(主页!$D$2),1,1),当年实际!$C:$C,"&lt;="&amp;EOMONTH(DATE(YEAR(主页!$D$2),MONTH(主页!$D$2),1),0)),"")</f>
        <v/>
      </c>
    </row>
    <row r="956" spans="1:10" x14ac:dyDescent="0.3">
      <c r="A956" s="150"/>
      <c r="B956" s="150"/>
      <c r="C956" s="150"/>
      <c r="D956" s="150"/>
      <c r="E956" s="140" t="str">
        <f t="shared" si="43"/>
        <v/>
      </c>
      <c r="F956" s="159"/>
      <c r="G956" s="145">
        <f t="shared" si="45"/>
        <v>0</v>
      </c>
      <c r="H956" s="140" t="str">
        <f t="shared" si="44"/>
        <v/>
      </c>
      <c r="I956"/>
      <c r="J956" s="147" t="str">
        <f>IFERROR(SUMIFS(当年实际!$V:$V,当年实际!$F:$F,$C956,当年实际!$C:$C,"&gt;="&amp;DATE(YEAR(主页!$D$2),1,1),当年实际!$C:$C,"&lt;="&amp;EOMONTH(DATE(YEAR(主页!$D$2),MONTH(主页!$D$2),1),0))/SUMIFS(当年实际!$P:$P,当年实际!$F:$F,$C956,当年实际!$C:$C,"&gt;="&amp;DATE(YEAR(主页!$D$2),1,1),当年实际!$C:$C,"&lt;="&amp;EOMONTH(DATE(YEAR(主页!$D$2),MONTH(主页!$D$2),1),0)),"")</f>
        <v/>
      </c>
    </row>
    <row r="957" spans="1:10" x14ac:dyDescent="0.3">
      <c r="A957" s="150"/>
      <c r="B957" s="150"/>
      <c r="C957" s="150"/>
      <c r="D957" s="150"/>
      <c r="E957" s="140" t="str">
        <f t="shared" si="43"/>
        <v/>
      </c>
      <c r="F957" s="159"/>
      <c r="G957" s="145">
        <f t="shared" si="45"/>
        <v>0</v>
      </c>
      <c r="H957" s="140" t="str">
        <f t="shared" si="44"/>
        <v/>
      </c>
      <c r="I957"/>
      <c r="J957" s="147" t="str">
        <f>IFERROR(SUMIFS(当年实际!$V:$V,当年实际!$F:$F,$C957,当年实际!$C:$C,"&gt;="&amp;DATE(YEAR(主页!$D$2),1,1),当年实际!$C:$C,"&lt;="&amp;EOMONTH(DATE(YEAR(主页!$D$2),MONTH(主页!$D$2),1),0))/SUMIFS(当年实际!$P:$P,当年实际!$F:$F,$C957,当年实际!$C:$C,"&gt;="&amp;DATE(YEAR(主页!$D$2),1,1),当年实际!$C:$C,"&lt;="&amp;EOMONTH(DATE(YEAR(主页!$D$2),MONTH(主页!$D$2),1),0)),"")</f>
        <v/>
      </c>
    </row>
    <row r="958" spans="1:10" x14ac:dyDescent="0.3">
      <c r="A958" s="150"/>
      <c r="B958" s="150"/>
      <c r="C958" s="150"/>
      <c r="D958" s="150"/>
      <c r="E958" s="140" t="str">
        <f t="shared" si="43"/>
        <v/>
      </c>
      <c r="F958" s="159"/>
      <c r="G958" s="145">
        <f t="shared" si="45"/>
        <v>0</v>
      </c>
      <c r="H958" s="140" t="str">
        <f t="shared" si="44"/>
        <v/>
      </c>
      <c r="I958"/>
      <c r="J958" s="147" t="str">
        <f>IFERROR(SUMIFS(当年实际!$V:$V,当年实际!$F:$F,$C958,当年实际!$C:$C,"&gt;="&amp;DATE(YEAR(主页!$D$2),1,1),当年实际!$C:$C,"&lt;="&amp;EOMONTH(DATE(YEAR(主页!$D$2),MONTH(主页!$D$2),1),0))/SUMIFS(当年实际!$P:$P,当年实际!$F:$F,$C958,当年实际!$C:$C,"&gt;="&amp;DATE(YEAR(主页!$D$2),1,1),当年实际!$C:$C,"&lt;="&amp;EOMONTH(DATE(YEAR(主页!$D$2),MONTH(主页!$D$2),1),0)),"")</f>
        <v/>
      </c>
    </row>
    <row r="959" spans="1:10" x14ac:dyDescent="0.3">
      <c r="A959" s="150"/>
      <c r="B959" s="150"/>
      <c r="C959" s="150"/>
      <c r="D959" s="150"/>
      <c r="E959" s="140" t="str">
        <f t="shared" si="43"/>
        <v/>
      </c>
      <c r="F959" s="159"/>
      <c r="G959" s="145">
        <f t="shared" si="45"/>
        <v>0</v>
      </c>
      <c r="H959" s="140" t="str">
        <f t="shared" si="44"/>
        <v/>
      </c>
      <c r="I959"/>
      <c r="J959" s="147" t="str">
        <f>IFERROR(SUMIFS(当年实际!$V:$V,当年实际!$F:$F,$C959,当年实际!$C:$C,"&gt;="&amp;DATE(YEAR(主页!$D$2),1,1),当年实际!$C:$C,"&lt;="&amp;EOMONTH(DATE(YEAR(主页!$D$2),MONTH(主页!$D$2),1),0))/SUMIFS(当年实际!$P:$P,当年实际!$F:$F,$C959,当年实际!$C:$C,"&gt;="&amp;DATE(YEAR(主页!$D$2),1,1),当年实际!$C:$C,"&lt;="&amp;EOMONTH(DATE(YEAR(主页!$D$2),MONTH(主页!$D$2),1),0)),"")</f>
        <v/>
      </c>
    </row>
    <row r="960" spans="1:10" x14ac:dyDescent="0.3">
      <c r="A960" s="150"/>
      <c r="B960" s="150"/>
      <c r="C960" s="150"/>
      <c r="D960" s="150"/>
      <c r="E960" s="140" t="str">
        <f t="shared" si="43"/>
        <v/>
      </c>
      <c r="F960" s="159"/>
      <c r="G960" s="145">
        <f t="shared" si="45"/>
        <v>0</v>
      </c>
      <c r="H960" s="140" t="str">
        <f t="shared" si="44"/>
        <v/>
      </c>
      <c r="I960"/>
      <c r="J960" s="147" t="str">
        <f>IFERROR(SUMIFS(当年实际!$V:$V,当年实际!$F:$F,$C960,当年实际!$C:$C,"&gt;="&amp;DATE(YEAR(主页!$D$2),1,1),当年实际!$C:$C,"&lt;="&amp;EOMONTH(DATE(YEAR(主页!$D$2),MONTH(主页!$D$2),1),0))/SUMIFS(当年实际!$P:$P,当年实际!$F:$F,$C960,当年实际!$C:$C,"&gt;="&amp;DATE(YEAR(主页!$D$2),1,1),当年实际!$C:$C,"&lt;="&amp;EOMONTH(DATE(YEAR(主页!$D$2),MONTH(主页!$D$2),1),0)),"")</f>
        <v/>
      </c>
    </row>
    <row r="961" spans="1:10" x14ac:dyDescent="0.3">
      <c r="A961" s="150"/>
      <c r="B961" s="150"/>
      <c r="C961" s="150"/>
      <c r="D961" s="150"/>
      <c r="E961" s="140" t="str">
        <f t="shared" si="43"/>
        <v/>
      </c>
      <c r="F961" s="159"/>
      <c r="G961" s="145">
        <f t="shared" si="45"/>
        <v>0</v>
      </c>
      <c r="H961" s="140" t="str">
        <f t="shared" si="44"/>
        <v/>
      </c>
      <c r="I961"/>
      <c r="J961" s="147" t="str">
        <f>IFERROR(SUMIFS(当年实际!$V:$V,当年实际!$F:$F,$C961,当年实际!$C:$C,"&gt;="&amp;DATE(YEAR(主页!$D$2),1,1),当年实际!$C:$C,"&lt;="&amp;EOMONTH(DATE(YEAR(主页!$D$2),MONTH(主页!$D$2),1),0))/SUMIFS(当年实际!$P:$P,当年实际!$F:$F,$C961,当年实际!$C:$C,"&gt;="&amp;DATE(YEAR(主页!$D$2),1,1),当年实际!$C:$C,"&lt;="&amp;EOMONTH(DATE(YEAR(主页!$D$2),MONTH(主页!$D$2),1),0)),"")</f>
        <v/>
      </c>
    </row>
    <row r="962" spans="1:10" x14ac:dyDescent="0.3">
      <c r="A962" s="150"/>
      <c r="B962" s="150"/>
      <c r="C962" s="150"/>
      <c r="D962" s="150"/>
      <c r="E962" s="140" t="str">
        <f t="shared" si="43"/>
        <v/>
      </c>
      <c r="F962" s="159"/>
      <c r="G962" s="145">
        <f t="shared" si="45"/>
        <v>0</v>
      </c>
      <c r="H962" s="140" t="str">
        <f t="shared" si="44"/>
        <v/>
      </c>
      <c r="I962"/>
      <c r="J962" s="147" t="str">
        <f>IFERROR(SUMIFS(当年实际!$V:$V,当年实际!$F:$F,$C962,当年实际!$C:$C,"&gt;="&amp;DATE(YEAR(主页!$D$2),1,1),当年实际!$C:$C,"&lt;="&amp;EOMONTH(DATE(YEAR(主页!$D$2),MONTH(主页!$D$2),1),0))/SUMIFS(当年实际!$P:$P,当年实际!$F:$F,$C962,当年实际!$C:$C,"&gt;="&amp;DATE(YEAR(主页!$D$2),1,1),当年实际!$C:$C,"&lt;="&amp;EOMONTH(DATE(YEAR(主页!$D$2),MONTH(主页!$D$2),1),0)),"")</f>
        <v/>
      </c>
    </row>
    <row r="963" spans="1:10" x14ac:dyDescent="0.3">
      <c r="A963" s="150"/>
      <c r="B963" s="150"/>
      <c r="C963" s="150"/>
      <c r="D963" s="150"/>
      <c r="E963" s="140" t="str">
        <f t="shared" si="43"/>
        <v/>
      </c>
      <c r="F963" s="159"/>
      <c r="G963" s="145">
        <f t="shared" si="45"/>
        <v>0</v>
      </c>
      <c r="H963" s="140" t="str">
        <f t="shared" si="44"/>
        <v/>
      </c>
      <c r="I963"/>
      <c r="J963" s="147" t="str">
        <f>IFERROR(SUMIFS(当年实际!$V:$V,当年实际!$F:$F,$C963,当年实际!$C:$C,"&gt;="&amp;DATE(YEAR(主页!$D$2),1,1),当年实际!$C:$C,"&lt;="&amp;EOMONTH(DATE(YEAR(主页!$D$2),MONTH(主页!$D$2),1),0))/SUMIFS(当年实际!$P:$P,当年实际!$F:$F,$C963,当年实际!$C:$C,"&gt;="&amp;DATE(YEAR(主页!$D$2),1,1),当年实际!$C:$C,"&lt;="&amp;EOMONTH(DATE(YEAR(主页!$D$2),MONTH(主页!$D$2),1),0)),"")</f>
        <v/>
      </c>
    </row>
    <row r="964" spans="1:10" x14ac:dyDescent="0.3">
      <c r="A964" s="150"/>
      <c r="B964" s="150"/>
      <c r="C964" s="150"/>
      <c r="D964" s="150"/>
      <c r="E964" s="140" t="str">
        <f t="shared" ref="E964:E1027" si="46">IF(D964/SUM(D:D)=0,"",D964/SUM(D:D))</f>
        <v/>
      </c>
      <c r="F964" s="159"/>
      <c r="G964" s="145">
        <f t="shared" si="45"/>
        <v>0</v>
      </c>
      <c r="H964" s="140" t="str">
        <f t="shared" ref="H964:H1027" si="47">IF(G964/SUM(G:G)=0,"",G964/SUM(G:G))</f>
        <v/>
      </c>
      <c r="I964"/>
      <c r="J964" s="147" t="str">
        <f>IFERROR(SUMIFS(当年实际!$V:$V,当年实际!$F:$F,$C964,当年实际!$C:$C,"&gt;="&amp;DATE(YEAR(主页!$D$2),1,1),当年实际!$C:$C,"&lt;="&amp;EOMONTH(DATE(YEAR(主页!$D$2),MONTH(主页!$D$2),1),0))/SUMIFS(当年实际!$P:$P,当年实际!$F:$F,$C964,当年实际!$C:$C,"&gt;="&amp;DATE(YEAR(主页!$D$2),1,1),当年实际!$C:$C,"&lt;="&amp;EOMONTH(DATE(YEAR(主页!$D$2),MONTH(主页!$D$2),1),0)),"")</f>
        <v/>
      </c>
    </row>
    <row r="965" spans="1:10" x14ac:dyDescent="0.3">
      <c r="A965" s="150"/>
      <c r="B965" s="150"/>
      <c r="C965" s="150"/>
      <c r="D965" s="150"/>
      <c r="E965" s="140" t="str">
        <f t="shared" si="46"/>
        <v/>
      </c>
      <c r="F965" s="159"/>
      <c r="G965" s="145">
        <f t="shared" si="45"/>
        <v>0</v>
      </c>
      <c r="H965" s="140" t="str">
        <f t="shared" si="47"/>
        <v/>
      </c>
      <c r="I965"/>
      <c r="J965" s="147" t="str">
        <f>IFERROR(SUMIFS(当年实际!$V:$V,当年实际!$F:$F,$C965,当年实际!$C:$C,"&gt;="&amp;DATE(YEAR(主页!$D$2),1,1),当年实际!$C:$C,"&lt;="&amp;EOMONTH(DATE(YEAR(主页!$D$2),MONTH(主页!$D$2),1),0))/SUMIFS(当年实际!$P:$P,当年实际!$F:$F,$C965,当年实际!$C:$C,"&gt;="&amp;DATE(YEAR(主页!$D$2),1,1),当年实际!$C:$C,"&lt;="&amp;EOMONTH(DATE(YEAR(主页!$D$2),MONTH(主页!$D$2),1),0)),"")</f>
        <v/>
      </c>
    </row>
    <row r="966" spans="1:10" x14ac:dyDescent="0.3">
      <c r="A966" s="150"/>
      <c r="B966" s="150"/>
      <c r="C966" s="150"/>
      <c r="D966" s="150"/>
      <c r="E966" s="140" t="str">
        <f t="shared" si="46"/>
        <v/>
      </c>
      <c r="F966" s="159"/>
      <c r="G966" s="145">
        <f t="shared" si="45"/>
        <v>0</v>
      </c>
      <c r="H966" s="140" t="str">
        <f t="shared" si="47"/>
        <v/>
      </c>
      <c r="I966"/>
      <c r="J966" s="147" t="str">
        <f>IFERROR(SUMIFS(当年实际!$V:$V,当年实际!$F:$F,$C966,当年实际!$C:$C,"&gt;="&amp;DATE(YEAR(主页!$D$2),1,1),当年实际!$C:$C,"&lt;="&amp;EOMONTH(DATE(YEAR(主页!$D$2),MONTH(主页!$D$2),1),0))/SUMIFS(当年实际!$P:$P,当年实际!$F:$F,$C966,当年实际!$C:$C,"&gt;="&amp;DATE(YEAR(主页!$D$2),1,1),当年实际!$C:$C,"&lt;="&amp;EOMONTH(DATE(YEAR(主页!$D$2),MONTH(主页!$D$2),1),0)),"")</f>
        <v/>
      </c>
    </row>
    <row r="967" spans="1:10" x14ac:dyDescent="0.3">
      <c r="A967" s="150"/>
      <c r="B967" s="150"/>
      <c r="C967" s="150"/>
      <c r="D967" s="150"/>
      <c r="E967" s="140" t="str">
        <f t="shared" si="46"/>
        <v/>
      </c>
      <c r="F967" s="159"/>
      <c r="G967" s="145">
        <f t="shared" ref="G967:G1030" si="48">D967*F967</f>
        <v>0</v>
      </c>
      <c r="H967" s="140" t="str">
        <f t="shared" si="47"/>
        <v/>
      </c>
      <c r="I967"/>
      <c r="J967" s="147" t="str">
        <f>IFERROR(SUMIFS(当年实际!$V:$V,当年实际!$F:$F,$C967,当年实际!$C:$C,"&gt;="&amp;DATE(YEAR(主页!$D$2),1,1),当年实际!$C:$C,"&lt;="&amp;EOMONTH(DATE(YEAR(主页!$D$2),MONTH(主页!$D$2),1),0))/SUMIFS(当年实际!$P:$P,当年实际!$F:$F,$C967,当年实际!$C:$C,"&gt;="&amp;DATE(YEAR(主页!$D$2),1,1),当年实际!$C:$C,"&lt;="&amp;EOMONTH(DATE(YEAR(主页!$D$2),MONTH(主页!$D$2),1),0)),"")</f>
        <v/>
      </c>
    </row>
    <row r="968" spans="1:10" x14ac:dyDescent="0.3">
      <c r="A968" s="150"/>
      <c r="B968" s="150"/>
      <c r="C968" s="150"/>
      <c r="D968" s="150"/>
      <c r="E968" s="140" t="str">
        <f t="shared" si="46"/>
        <v/>
      </c>
      <c r="F968" s="159"/>
      <c r="G968" s="145">
        <f t="shared" si="48"/>
        <v>0</v>
      </c>
      <c r="H968" s="140" t="str">
        <f t="shared" si="47"/>
        <v/>
      </c>
      <c r="I968"/>
      <c r="J968" s="147" t="str">
        <f>IFERROR(SUMIFS(当年实际!$V:$V,当年实际!$F:$F,$C968,当年实际!$C:$C,"&gt;="&amp;DATE(YEAR(主页!$D$2),1,1),当年实际!$C:$C,"&lt;="&amp;EOMONTH(DATE(YEAR(主页!$D$2),MONTH(主页!$D$2),1),0))/SUMIFS(当年实际!$P:$P,当年实际!$F:$F,$C968,当年实际!$C:$C,"&gt;="&amp;DATE(YEAR(主页!$D$2),1,1),当年实际!$C:$C,"&lt;="&amp;EOMONTH(DATE(YEAR(主页!$D$2),MONTH(主页!$D$2),1),0)),"")</f>
        <v/>
      </c>
    </row>
    <row r="969" spans="1:10" x14ac:dyDescent="0.3">
      <c r="A969" s="150"/>
      <c r="B969" s="150"/>
      <c r="C969" s="150"/>
      <c r="D969" s="150"/>
      <c r="E969" s="140" t="str">
        <f t="shared" si="46"/>
        <v/>
      </c>
      <c r="F969" s="159"/>
      <c r="G969" s="145">
        <f t="shared" si="48"/>
        <v>0</v>
      </c>
      <c r="H969" s="140" t="str">
        <f t="shared" si="47"/>
        <v/>
      </c>
      <c r="I969"/>
      <c r="J969" s="147" t="str">
        <f>IFERROR(SUMIFS(当年实际!$V:$V,当年实际!$F:$F,$C969,当年实际!$C:$C,"&gt;="&amp;DATE(YEAR(主页!$D$2),1,1),当年实际!$C:$C,"&lt;="&amp;EOMONTH(DATE(YEAR(主页!$D$2),MONTH(主页!$D$2),1),0))/SUMIFS(当年实际!$P:$P,当年实际!$F:$F,$C969,当年实际!$C:$C,"&gt;="&amp;DATE(YEAR(主页!$D$2),1,1),当年实际!$C:$C,"&lt;="&amp;EOMONTH(DATE(YEAR(主页!$D$2),MONTH(主页!$D$2),1),0)),"")</f>
        <v/>
      </c>
    </row>
    <row r="970" spans="1:10" x14ac:dyDescent="0.3">
      <c r="A970" s="150"/>
      <c r="B970" s="150"/>
      <c r="C970" s="150"/>
      <c r="D970" s="150"/>
      <c r="E970" s="140" t="str">
        <f t="shared" si="46"/>
        <v/>
      </c>
      <c r="F970" s="159"/>
      <c r="G970" s="145">
        <f t="shared" si="48"/>
        <v>0</v>
      </c>
      <c r="H970" s="140" t="str">
        <f t="shared" si="47"/>
        <v/>
      </c>
      <c r="I970"/>
      <c r="J970" s="147" t="str">
        <f>IFERROR(SUMIFS(当年实际!$V:$V,当年实际!$F:$F,$C970,当年实际!$C:$C,"&gt;="&amp;DATE(YEAR(主页!$D$2),1,1),当年实际!$C:$C,"&lt;="&amp;EOMONTH(DATE(YEAR(主页!$D$2),MONTH(主页!$D$2),1),0))/SUMIFS(当年实际!$P:$P,当年实际!$F:$F,$C970,当年实际!$C:$C,"&gt;="&amp;DATE(YEAR(主页!$D$2),1,1),当年实际!$C:$C,"&lt;="&amp;EOMONTH(DATE(YEAR(主页!$D$2),MONTH(主页!$D$2),1),0)),"")</f>
        <v/>
      </c>
    </row>
    <row r="971" spans="1:10" x14ac:dyDescent="0.3">
      <c r="A971" s="150"/>
      <c r="B971" s="150"/>
      <c r="C971" s="150"/>
      <c r="D971" s="150"/>
      <c r="E971" s="140" t="str">
        <f t="shared" si="46"/>
        <v/>
      </c>
      <c r="F971" s="159"/>
      <c r="G971" s="145">
        <f t="shared" si="48"/>
        <v>0</v>
      </c>
      <c r="H971" s="140" t="str">
        <f t="shared" si="47"/>
        <v/>
      </c>
      <c r="I971"/>
      <c r="J971" s="147" t="str">
        <f>IFERROR(SUMIFS(当年实际!$V:$V,当年实际!$F:$F,$C971,当年实际!$C:$C,"&gt;="&amp;DATE(YEAR(主页!$D$2),1,1),当年实际!$C:$C,"&lt;="&amp;EOMONTH(DATE(YEAR(主页!$D$2),MONTH(主页!$D$2),1),0))/SUMIFS(当年实际!$P:$P,当年实际!$F:$F,$C971,当年实际!$C:$C,"&gt;="&amp;DATE(YEAR(主页!$D$2),1,1),当年实际!$C:$C,"&lt;="&amp;EOMONTH(DATE(YEAR(主页!$D$2),MONTH(主页!$D$2),1),0)),"")</f>
        <v/>
      </c>
    </row>
    <row r="972" spans="1:10" x14ac:dyDescent="0.3">
      <c r="A972" s="150"/>
      <c r="B972" s="150"/>
      <c r="C972" s="150"/>
      <c r="D972" s="150"/>
      <c r="E972" s="140" t="str">
        <f t="shared" si="46"/>
        <v/>
      </c>
      <c r="F972" s="159"/>
      <c r="G972" s="145">
        <f t="shared" si="48"/>
        <v>0</v>
      </c>
      <c r="H972" s="140" t="str">
        <f t="shared" si="47"/>
        <v/>
      </c>
      <c r="I972"/>
      <c r="J972" s="147" t="str">
        <f>IFERROR(SUMIFS(当年实际!$V:$V,当年实际!$F:$F,$C972,当年实际!$C:$C,"&gt;="&amp;DATE(YEAR(主页!$D$2),1,1),当年实际!$C:$C,"&lt;="&amp;EOMONTH(DATE(YEAR(主页!$D$2),MONTH(主页!$D$2),1),0))/SUMIFS(当年实际!$P:$P,当年实际!$F:$F,$C972,当年实际!$C:$C,"&gt;="&amp;DATE(YEAR(主页!$D$2),1,1),当年实际!$C:$C,"&lt;="&amp;EOMONTH(DATE(YEAR(主页!$D$2),MONTH(主页!$D$2),1),0)),"")</f>
        <v/>
      </c>
    </row>
    <row r="973" spans="1:10" x14ac:dyDescent="0.3">
      <c r="A973" s="150"/>
      <c r="B973" s="150"/>
      <c r="C973" s="150"/>
      <c r="D973" s="150"/>
      <c r="E973" s="140" t="str">
        <f t="shared" si="46"/>
        <v/>
      </c>
      <c r="F973" s="159"/>
      <c r="G973" s="145">
        <f t="shared" si="48"/>
        <v>0</v>
      </c>
      <c r="H973" s="140" t="str">
        <f t="shared" si="47"/>
        <v/>
      </c>
      <c r="I973"/>
      <c r="J973" s="147" t="str">
        <f>IFERROR(SUMIFS(当年实际!$V:$V,当年实际!$F:$F,$C973,当年实际!$C:$C,"&gt;="&amp;DATE(YEAR(主页!$D$2),1,1),当年实际!$C:$C,"&lt;="&amp;EOMONTH(DATE(YEAR(主页!$D$2),MONTH(主页!$D$2),1),0))/SUMIFS(当年实际!$P:$P,当年实际!$F:$F,$C973,当年实际!$C:$C,"&gt;="&amp;DATE(YEAR(主页!$D$2),1,1),当年实际!$C:$C,"&lt;="&amp;EOMONTH(DATE(YEAR(主页!$D$2),MONTH(主页!$D$2),1),0)),"")</f>
        <v/>
      </c>
    </row>
    <row r="974" spans="1:10" x14ac:dyDescent="0.3">
      <c r="A974" s="150"/>
      <c r="B974" s="150"/>
      <c r="C974" s="150"/>
      <c r="D974" s="150"/>
      <c r="E974" s="140" t="str">
        <f t="shared" si="46"/>
        <v/>
      </c>
      <c r="F974" s="159"/>
      <c r="G974" s="145">
        <f t="shared" si="48"/>
        <v>0</v>
      </c>
      <c r="H974" s="140" t="str">
        <f t="shared" si="47"/>
        <v/>
      </c>
      <c r="I974"/>
      <c r="J974" s="147" t="str">
        <f>IFERROR(SUMIFS(当年实际!$V:$V,当年实际!$F:$F,$C974,当年实际!$C:$C,"&gt;="&amp;DATE(YEAR(主页!$D$2),1,1),当年实际!$C:$C,"&lt;="&amp;EOMONTH(DATE(YEAR(主页!$D$2),MONTH(主页!$D$2),1),0))/SUMIFS(当年实际!$P:$P,当年实际!$F:$F,$C974,当年实际!$C:$C,"&gt;="&amp;DATE(YEAR(主页!$D$2),1,1),当年实际!$C:$C,"&lt;="&amp;EOMONTH(DATE(YEAR(主页!$D$2),MONTH(主页!$D$2),1),0)),"")</f>
        <v/>
      </c>
    </row>
    <row r="975" spans="1:10" x14ac:dyDescent="0.3">
      <c r="A975" s="150"/>
      <c r="B975" s="150"/>
      <c r="C975" s="150"/>
      <c r="D975" s="150"/>
      <c r="E975" s="140" t="str">
        <f t="shared" si="46"/>
        <v/>
      </c>
      <c r="F975" s="159"/>
      <c r="G975" s="145">
        <f t="shared" si="48"/>
        <v>0</v>
      </c>
      <c r="H975" s="140" t="str">
        <f t="shared" si="47"/>
        <v/>
      </c>
      <c r="I975"/>
      <c r="J975" s="147" t="str">
        <f>IFERROR(SUMIFS(当年实际!$V:$V,当年实际!$F:$F,$C975,当年实际!$C:$C,"&gt;="&amp;DATE(YEAR(主页!$D$2),1,1),当年实际!$C:$C,"&lt;="&amp;EOMONTH(DATE(YEAR(主页!$D$2),MONTH(主页!$D$2),1),0))/SUMIFS(当年实际!$P:$P,当年实际!$F:$F,$C975,当年实际!$C:$C,"&gt;="&amp;DATE(YEAR(主页!$D$2),1,1),当年实际!$C:$C,"&lt;="&amp;EOMONTH(DATE(YEAR(主页!$D$2),MONTH(主页!$D$2),1),0)),"")</f>
        <v/>
      </c>
    </row>
    <row r="976" spans="1:10" x14ac:dyDescent="0.3">
      <c r="A976" s="150"/>
      <c r="B976" s="150"/>
      <c r="C976" s="150"/>
      <c r="D976" s="150"/>
      <c r="E976" s="140" t="str">
        <f t="shared" si="46"/>
        <v/>
      </c>
      <c r="F976" s="159"/>
      <c r="G976" s="145">
        <f t="shared" si="48"/>
        <v>0</v>
      </c>
      <c r="H976" s="140" t="str">
        <f t="shared" si="47"/>
        <v/>
      </c>
      <c r="I976"/>
      <c r="J976" s="147" t="str">
        <f>IFERROR(SUMIFS(当年实际!$V:$V,当年实际!$F:$F,$C976,当年实际!$C:$C,"&gt;="&amp;DATE(YEAR(主页!$D$2),1,1),当年实际!$C:$C,"&lt;="&amp;EOMONTH(DATE(YEAR(主页!$D$2),MONTH(主页!$D$2),1),0))/SUMIFS(当年实际!$P:$P,当年实际!$F:$F,$C976,当年实际!$C:$C,"&gt;="&amp;DATE(YEAR(主页!$D$2),1,1),当年实际!$C:$C,"&lt;="&amp;EOMONTH(DATE(YEAR(主页!$D$2),MONTH(主页!$D$2),1),0)),"")</f>
        <v/>
      </c>
    </row>
    <row r="977" spans="1:10" x14ac:dyDescent="0.3">
      <c r="A977" s="150"/>
      <c r="B977" s="150"/>
      <c r="C977" s="150"/>
      <c r="D977" s="150"/>
      <c r="E977" s="140" t="str">
        <f t="shared" si="46"/>
        <v/>
      </c>
      <c r="F977" s="159"/>
      <c r="G977" s="145">
        <f t="shared" si="48"/>
        <v>0</v>
      </c>
      <c r="H977" s="140" t="str">
        <f t="shared" si="47"/>
        <v/>
      </c>
      <c r="I977"/>
      <c r="J977" s="147" t="str">
        <f>IFERROR(SUMIFS(当年实际!$V:$V,当年实际!$F:$F,$C977,当年实际!$C:$C,"&gt;="&amp;DATE(YEAR(主页!$D$2),1,1),当年实际!$C:$C,"&lt;="&amp;EOMONTH(DATE(YEAR(主页!$D$2),MONTH(主页!$D$2),1),0))/SUMIFS(当年实际!$P:$P,当年实际!$F:$F,$C977,当年实际!$C:$C,"&gt;="&amp;DATE(YEAR(主页!$D$2),1,1),当年实际!$C:$C,"&lt;="&amp;EOMONTH(DATE(YEAR(主页!$D$2),MONTH(主页!$D$2),1),0)),"")</f>
        <v/>
      </c>
    </row>
    <row r="978" spans="1:10" x14ac:dyDescent="0.3">
      <c r="A978" s="150"/>
      <c r="B978" s="150"/>
      <c r="C978" s="150"/>
      <c r="D978" s="150"/>
      <c r="E978" s="140" t="str">
        <f t="shared" si="46"/>
        <v/>
      </c>
      <c r="F978" s="159"/>
      <c r="G978" s="145">
        <f t="shared" si="48"/>
        <v>0</v>
      </c>
      <c r="H978" s="140" t="str">
        <f t="shared" si="47"/>
        <v/>
      </c>
      <c r="I978"/>
      <c r="J978" s="147" t="str">
        <f>IFERROR(SUMIFS(当年实际!$V:$V,当年实际!$F:$F,$C978,当年实际!$C:$C,"&gt;="&amp;DATE(YEAR(主页!$D$2),1,1),当年实际!$C:$C,"&lt;="&amp;EOMONTH(DATE(YEAR(主页!$D$2),MONTH(主页!$D$2),1),0))/SUMIFS(当年实际!$P:$P,当年实际!$F:$F,$C978,当年实际!$C:$C,"&gt;="&amp;DATE(YEAR(主页!$D$2),1,1),当年实际!$C:$C,"&lt;="&amp;EOMONTH(DATE(YEAR(主页!$D$2),MONTH(主页!$D$2),1),0)),"")</f>
        <v/>
      </c>
    </row>
    <row r="979" spans="1:10" x14ac:dyDescent="0.3">
      <c r="A979" s="150"/>
      <c r="B979" s="150"/>
      <c r="C979" s="150"/>
      <c r="D979" s="150"/>
      <c r="E979" s="140" t="str">
        <f t="shared" si="46"/>
        <v/>
      </c>
      <c r="F979" s="159"/>
      <c r="G979" s="145">
        <f t="shared" si="48"/>
        <v>0</v>
      </c>
      <c r="H979" s="140" t="str">
        <f t="shared" si="47"/>
        <v/>
      </c>
      <c r="I979"/>
      <c r="J979" s="147" t="str">
        <f>IFERROR(SUMIFS(当年实际!$V:$V,当年实际!$F:$F,$C979,当年实际!$C:$C,"&gt;="&amp;DATE(YEAR(主页!$D$2),1,1),当年实际!$C:$C,"&lt;="&amp;EOMONTH(DATE(YEAR(主页!$D$2),MONTH(主页!$D$2),1),0))/SUMIFS(当年实际!$P:$P,当年实际!$F:$F,$C979,当年实际!$C:$C,"&gt;="&amp;DATE(YEAR(主页!$D$2),1,1),当年实际!$C:$C,"&lt;="&amp;EOMONTH(DATE(YEAR(主页!$D$2),MONTH(主页!$D$2),1),0)),"")</f>
        <v/>
      </c>
    </row>
    <row r="980" spans="1:10" x14ac:dyDescent="0.3">
      <c r="A980" s="150"/>
      <c r="B980" s="150"/>
      <c r="C980" s="150"/>
      <c r="D980" s="150"/>
      <c r="E980" s="140" t="str">
        <f t="shared" si="46"/>
        <v/>
      </c>
      <c r="F980" s="159"/>
      <c r="G980" s="145">
        <f t="shared" si="48"/>
        <v>0</v>
      </c>
      <c r="H980" s="140" t="str">
        <f t="shared" si="47"/>
        <v/>
      </c>
      <c r="I980"/>
      <c r="J980" s="147" t="str">
        <f>IFERROR(SUMIFS(当年实际!$V:$V,当年实际!$F:$F,$C980,当年实际!$C:$C,"&gt;="&amp;DATE(YEAR(主页!$D$2),1,1),当年实际!$C:$C,"&lt;="&amp;EOMONTH(DATE(YEAR(主页!$D$2),MONTH(主页!$D$2),1),0))/SUMIFS(当年实际!$P:$P,当年实际!$F:$F,$C980,当年实际!$C:$C,"&gt;="&amp;DATE(YEAR(主页!$D$2),1,1),当年实际!$C:$C,"&lt;="&amp;EOMONTH(DATE(YEAR(主页!$D$2),MONTH(主页!$D$2),1),0)),"")</f>
        <v/>
      </c>
    </row>
    <row r="981" spans="1:10" x14ac:dyDescent="0.3">
      <c r="A981" s="150"/>
      <c r="B981" s="150"/>
      <c r="C981" s="150"/>
      <c r="D981" s="150"/>
      <c r="E981" s="140" t="str">
        <f t="shared" si="46"/>
        <v/>
      </c>
      <c r="F981" s="159"/>
      <c r="G981" s="145">
        <f t="shared" si="48"/>
        <v>0</v>
      </c>
      <c r="H981" s="140" t="str">
        <f t="shared" si="47"/>
        <v/>
      </c>
      <c r="I981"/>
      <c r="J981" s="147" t="str">
        <f>IFERROR(SUMIFS(当年实际!$V:$V,当年实际!$F:$F,$C981,当年实际!$C:$C,"&gt;="&amp;DATE(YEAR(主页!$D$2),1,1),当年实际!$C:$C,"&lt;="&amp;EOMONTH(DATE(YEAR(主页!$D$2),MONTH(主页!$D$2),1),0))/SUMIFS(当年实际!$P:$P,当年实际!$F:$F,$C981,当年实际!$C:$C,"&gt;="&amp;DATE(YEAR(主页!$D$2),1,1),当年实际!$C:$C,"&lt;="&amp;EOMONTH(DATE(YEAR(主页!$D$2),MONTH(主页!$D$2),1),0)),"")</f>
        <v/>
      </c>
    </row>
    <row r="982" spans="1:10" x14ac:dyDescent="0.3">
      <c r="A982" s="150"/>
      <c r="B982" s="150"/>
      <c r="C982" s="150"/>
      <c r="D982" s="150"/>
      <c r="E982" s="140" t="str">
        <f t="shared" si="46"/>
        <v/>
      </c>
      <c r="F982" s="159"/>
      <c r="G982" s="145">
        <f t="shared" si="48"/>
        <v>0</v>
      </c>
      <c r="H982" s="140" t="str">
        <f t="shared" si="47"/>
        <v/>
      </c>
      <c r="I982"/>
      <c r="J982" s="147" t="str">
        <f>IFERROR(SUMIFS(当年实际!$V:$V,当年实际!$F:$F,$C982,当年实际!$C:$C,"&gt;="&amp;DATE(YEAR(主页!$D$2),1,1),当年实际!$C:$C,"&lt;="&amp;EOMONTH(DATE(YEAR(主页!$D$2),MONTH(主页!$D$2),1),0))/SUMIFS(当年实际!$P:$P,当年实际!$F:$F,$C982,当年实际!$C:$C,"&gt;="&amp;DATE(YEAR(主页!$D$2),1,1),当年实际!$C:$C,"&lt;="&amp;EOMONTH(DATE(YEAR(主页!$D$2),MONTH(主页!$D$2),1),0)),"")</f>
        <v/>
      </c>
    </row>
    <row r="983" spans="1:10" x14ac:dyDescent="0.3">
      <c r="A983" s="150"/>
      <c r="B983" s="150"/>
      <c r="C983" s="150"/>
      <c r="D983" s="150"/>
      <c r="E983" s="140" t="str">
        <f t="shared" si="46"/>
        <v/>
      </c>
      <c r="F983" s="159"/>
      <c r="G983" s="145">
        <f t="shared" si="48"/>
        <v>0</v>
      </c>
      <c r="H983" s="140" t="str">
        <f t="shared" si="47"/>
        <v/>
      </c>
      <c r="I983"/>
      <c r="J983" s="147" t="str">
        <f>IFERROR(SUMIFS(当年实际!$V:$V,当年实际!$F:$F,$C983,当年实际!$C:$C,"&gt;="&amp;DATE(YEAR(主页!$D$2),1,1),当年实际!$C:$C,"&lt;="&amp;EOMONTH(DATE(YEAR(主页!$D$2),MONTH(主页!$D$2),1),0))/SUMIFS(当年实际!$P:$P,当年实际!$F:$F,$C983,当年实际!$C:$C,"&gt;="&amp;DATE(YEAR(主页!$D$2),1,1),当年实际!$C:$C,"&lt;="&amp;EOMONTH(DATE(YEAR(主页!$D$2),MONTH(主页!$D$2),1),0)),"")</f>
        <v/>
      </c>
    </row>
    <row r="984" spans="1:10" x14ac:dyDescent="0.3">
      <c r="A984" s="150"/>
      <c r="B984" s="150"/>
      <c r="C984" s="150"/>
      <c r="D984" s="150"/>
      <c r="E984" s="140" t="str">
        <f t="shared" si="46"/>
        <v/>
      </c>
      <c r="F984" s="159"/>
      <c r="G984" s="145">
        <f t="shared" si="48"/>
        <v>0</v>
      </c>
      <c r="H984" s="140" t="str">
        <f t="shared" si="47"/>
        <v/>
      </c>
      <c r="I984"/>
      <c r="J984" s="147" t="str">
        <f>IFERROR(SUMIFS(当年实际!$V:$V,当年实际!$F:$F,$C984,当年实际!$C:$C,"&gt;="&amp;DATE(YEAR(主页!$D$2),1,1),当年实际!$C:$C,"&lt;="&amp;EOMONTH(DATE(YEAR(主页!$D$2),MONTH(主页!$D$2),1),0))/SUMIFS(当年实际!$P:$P,当年实际!$F:$F,$C984,当年实际!$C:$C,"&gt;="&amp;DATE(YEAR(主页!$D$2),1,1),当年实际!$C:$C,"&lt;="&amp;EOMONTH(DATE(YEAR(主页!$D$2),MONTH(主页!$D$2),1),0)),"")</f>
        <v/>
      </c>
    </row>
    <row r="985" spans="1:10" x14ac:dyDescent="0.3">
      <c r="A985" s="150"/>
      <c r="B985" s="150"/>
      <c r="C985" s="150"/>
      <c r="D985" s="150"/>
      <c r="E985" s="140" t="str">
        <f t="shared" si="46"/>
        <v/>
      </c>
      <c r="F985" s="159"/>
      <c r="G985" s="145">
        <f t="shared" si="48"/>
        <v>0</v>
      </c>
      <c r="H985" s="140" t="str">
        <f t="shared" si="47"/>
        <v/>
      </c>
      <c r="I985"/>
      <c r="J985" s="147" t="str">
        <f>IFERROR(SUMIFS(当年实际!$V:$V,当年实际!$F:$F,$C985,当年实际!$C:$C,"&gt;="&amp;DATE(YEAR(主页!$D$2),1,1),当年实际!$C:$C,"&lt;="&amp;EOMONTH(DATE(YEAR(主页!$D$2),MONTH(主页!$D$2),1),0))/SUMIFS(当年实际!$P:$P,当年实际!$F:$F,$C985,当年实际!$C:$C,"&gt;="&amp;DATE(YEAR(主页!$D$2),1,1),当年实际!$C:$C,"&lt;="&amp;EOMONTH(DATE(YEAR(主页!$D$2),MONTH(主页!$D$2),1),0)),"")</f>
        <v/>
      </c>
    </row>
    <row r="986" spans="1:10" x14ac:dyDescent="0.3">
      <c r="A986" s="150"/>
      <c r="B986" s="150"/>
      <c r="C986" s="150"/>
      <c r="D986" s="150"/>
      <c r="E986" s="140" t="str">
        <f t="shared" si="46"/>
        <v/>
      </c>
      <c r="F986" s="159"/>
      <c r="G986" s="145">
        <f t="shared" si="48"/>
        <v>0</v>
      </c>
      <c r="H986" s="140" t="str">
        <f t="shared" si="47"/>
        <v/>
      </c>
      <c r="I986"/>
      <c r="J986" s="147" t="str">
        <f>IFERROR(SUMIFS(当年实际!$V:$V,当年实际!$F:$F,$C986,当年实际!$C:$C,"&gt;="&amp;DATE(YEAR(主页!$D$2),1,1),当年实际!$C:$C,"&lt;="&amp;EOMONTH(DATE(YEAR(主页!$D$2),MONTH(主页!$D$2),1),0))/SUMIFS(当年实际!$P:$P,当年实际!$F:$F,$C986,当年实际!$C:$C,"&gt;="&amp;DATE(YEAR(主页!$D$2),1,1),当年实际!$C:$C,"&lt;="&amp;EOMONTH(DATE(YEAR(主页!$D$2),MONTH(主页!$D$2),1),0)),"")</f>
        <v/>
      </c>
    </row>
    <row r="987" spans="1:10" x14ac:dyDescent="0.3">
      <c r="A987" s="150"/>
      <c r="B987" s="150"/>
      <c r="C987" s="150"/>
      <c r="D987" s="150"/>
      <c r="E987" s="140" t="str">
        <f t="shared" si="46"/>
        <v/>
      </c>
      <c r="F987" s="159"/>
      <c r="G987" s="145">
        <f t="shared" si="48"/>
        <v>0</v>
      </c>
      <c r="H987" s="140" t="str">
        <f t="shared" si="47"/>
        <v/>
      </c>
      <c r="I987"/>
      <c r="J987" s="147" t="str">
        <f>IFERROR(SUMIFS(当年实际!$V:$V,当年实际!$F:$F,$C987,当年实际!$C:$C,"&gt;="&amp;DATE(YEAR(主页!$D$2),1,1),当年实际!$C:$C,"&lt;="&amp;EOMONTH(DATE(YEAR(主页!$D$2),MONTH(主页!$D$2),1),0))/SUMIFS(当年实际!$P:$P,当年实际!$F:$F,$C987,当年实际!$C:$C,"&gt;="&amp;DATE(YEAR(主页!$D$2),1,1),当年实际!$C:$C,"&lt;="&amp;EOMONTH(DATE(YEAR(主页!$D$2),MONTH(主页!$D$2),1),0)),"")</f>
        <v/>
      </c>
    </row>
    <row r="988" spans="1:10" x14ac:dyDescent="0.3">
      <c r="A988" s="150"/>
      <c r="B988" s="150"/>
      <c r="C988" s="150"/>
      <c r="D988" s="150"/>
      <c r="E988" s="140" t="str">
        <f t="shared" si="46"/>
        <v/>
      </c>
      <c r="F988" s="159"/>
      <c r="G988" s="145">
        <f t="shared" si="48"/>
        <v>0</v>
      </c>
      <c r="H988" s="140" t="str">
        <f t="shared" si="47"/>
        <v/>
      </c>
      <c r="I988"/>
      <c r="J988" s="147" t="str">
        <f>IFERROR(SUMIFS(当年实际!$V:$V,当年实际!$F:$F,$C988,当年实际!$C:$C,"&gt;="&amp;DATE(YEAR(主页!$D$2),1,1),当年实际!$C:$C,"&lt;="&amp;EOMONTH(DATE(YEAR(主页!$D$2),MONTH(主页!$D$2),1),0))/SUMIFS(当年实际!$P:$P,当年实际!$F:$F,$C988,当年实际!$C:$C,"&gt;="&amp;DATE(YEAR(主页!$D$2),1,1),当年实际!$C:$C,"&lt;="&amp;EOMONTH(DATE(YEAR(主页!$D$2),MONTH(主页!$D$2),1),0)),"")</f>
        <v/>
      </c>
    </row>
    <row r="989" spans="1:10" x14ac:dyDescent="0.3">
      <c r="A989" s="150"/>
      <c r="B989" s="150"/>
      <c r="C989" s="150"/>
      <c r="D989" s="150"/>
      <c r="E989" s="140" t="str">
        <f t="shared" si="46"/>
        <v/>
      </c>
      <c r="F989" s="159"/>
      <c r="G989" s="145">
        <f t="shared" si="48"/>
        <v>0</v>
      </c>
      <c r="H989" s="140" t="str">
        <f t="shared" si="47"/>
        <v/>
      </c>
      <c r="I989"/>
      <c r="J989" s="147" t="str">
        <f>IFERROR(SUMIFS(当年实际!$V:$V,当年实际!$F:$F,$C989,当年实际!$C:$C,"&gt;="&amp;DATE(YEAR(主页!$D$2),1,1),当年实际!$C:$C,"&lt;="&amp;EOMONTH(DATE(YEAR(主页!$D$2),MONTH(主页!$D$2),1),0))/SUMIFS(当年实际!$P:$P,当年实际!$F:$F,$C989,当年实际!$C:$C,"&gt;="&amp;DATE(YEAR(主页!$D$2),1,1),当年实际!$C:$C,"&lt;="&amp;EOMONTH(DATE(YEAR(主页!$D$2),MONTH(主页!$D$2),1),0)),"")</f>
        <v/>
      </c>
    </row>
    <row r="990" spans="1:10" x14ac:dyDescent="0.3">
      <c r="A990" s="150"/>
      <c r="B990" s="150"/>
      <c r="C990" s="150"/>
      <c r="D990" s="150"/>
      <c r="E990" s="140" t="str">
        <f t="shared" si="46"/>
        <v/>
      </c>
      <c r="F990" s="159"/>
      <c r="G990" s="145">
        <f t="shared" si="48"/>
        <v>0</v>
      </c>
      <c r="H990" s="140" t="str">
        <f t="shared" si="47"/>
        <v/>
      </c>
      <c r="I990"/>
      <c r="J990" s="147" t="str">
        <f>IFERROR(SUMIFS(当年实际!$V:$V,当年实际!$F:$F,$C990,当年实际!$C:$C,"&gt;="&amp;DATE(YEAR(主页!$D$2),1,1),当年实际!$C:$C,"&lt;="&amp;EOMONTH(DATE(YEAR(主页!$D$2),MONTH(主页!$D$2),1),0))/SUMIFS(当年实际!$P:$P,当年实际!$F:$F,$C990,当年实际!$C:$C,"&gt;="&amp;DATE(YEAR(主页!$D$2),1,1),当年实际!$C:$C,"&lt;="&amp;EOMONTH(DATE(YEAR(主页!$D$2),MONTH(主页!$D$2),1),0)),"")</f>
        <v/>
      </c>
    </row>
    <row r="991" spans="1:10" x14ac:dyDescent="0.3">
      <c r="A991" s="150"/>
      <c r="B991" s="150"/>
      <c r="C991" s="150"/>
      <c r="D991" s="150"/>
      <c r="E991" s="140" t="str">
        <f t="shared" si="46"/>
        <v/>
      </c>
      <c r="F991" s="159"/>
      <c r="G991" s="145">
        <f t="shared" si="48"/>
        <v>0</v>
      </c>
      <c r="H991" s="140" t="str">
        <f t="shared" si="47"/>
        <v/>
      </c>
      <c r="I991"/>
      <c r="J991" s="147" t="str">
        <f>IFERROR(SUMIFS(当年实际!$V:$V,当年实际!$F:$F,$C991,当年实际!$C:$C,"&gt;="&amp;DATE(YEAR(主页!$D$2),1,1),当年实际!$C:$C,"&lt;="&amp;EOMONTH(DATE(YEAR(主页!$D$2),MONTH(主页!$D$2),1),0))/SUMIFS(当年实际!$P:$P,当年实际!$F:$F,$C991,当年实际!$C:$C,"&gt;="&amp;DATE(YEAR(主页!$D$2),1,1),当年实际!$C:$C,"&lt;="&amp;EOMONTH(DATE(YEAR(主页!$D$2),MONTH(主页!$D$2),1),0)),"")</f>
        <v/>
      </c>
    </row>
    <row r="992" spans="1:10" x14ac:dyDescent="0.3">
      <c r="A992" s="150"/>
      <c r="B992" s="150"/>
      <c r="C992" s="150"/>
      <c r="D992" s="150"/>
      <c r="E992" s="140" t="str">
        <f t="shared" si="46"/>
        <v/>
      </c>
      <c r="F992" s="159"/>
      <c r="G992" s="145">
        <f t="shared" si="48"/>
        <v>0</v>
      </c>
      <c r="H992" s="140" t="str">
        <f t="shared" si="47"/>
        <v/>
      </c>
      <c r="I992"/>
      <c r="J992" s="147" t="str">
        <f>IFERROR(SUMIFS(当年实际!$V:$V,当年实际!$F:$F,$C992,当年实际!$C:$C,"&gt;="&amp;DATE(YEAR(主页!$D$2),1,1),当年实际!$C:$C,"&lt;="&amp;EOMONTH(DATE(YEAR(主页!$D$2),MONTH(主页!$D$2),1),0))/SUMIFS(当年实际!$P:$P,当年实际!$F:$F,$C992,当年实际!$C:$C,"&gt;="&amp;DATE(YEAR(主页!$D$2),1,1),当年实际!$C:$C,"&lt;="&amp;EOMONTH(DATE(YEAR(主页!$D$2),MONTH(主页!$D$2),1),0)),"")</f>
        <v/>
      </c>
    </row>
    <row r="993" spans="1:10" x14ac:dyDescent="0.3">
      <c r="A993" s="150"/>
      <c r="B993" s="150"/>
      <c r="C993" s="150"/>
      <c r="D993" s="150"/>
      <c r="E993" s="140" t="str">
        <f t="shared" si="46"/>
        <v/>
      </c>
      <c r="F993" s="159"/>
      <c r="G993" s="145">
        <f t="shared" si="48"/>
        <v>0</v>
      </c>
      <c r="H993" s="140" t="str">
        <f t="shared" si="47"/>
        <v/>
      </c>
      <c r="I993"/>
      <c r="J993" s="147" t="str">
        <f>IFERROR(SUMIFS(当年实际!$V:$V,当年实际!$F:$F,$C993,当年实际!$C:$C,"&gt;="&amp;DATE(YEAR(主页!$D$2),1,1),当年实际!$C:$C,"&lt;="&amp;EOMONTH(DATE(YEAR(主页!$D$2),MONTH(主页!$D$2),1),0))/SUMIFS(当年实际!$P:$P,当年实际!$F:$F,$C993,当年实际!$C:$C,"&gt;="&amp;DATE(YEAR(主页!$D$2),1,1),当年实际!$C:$C,"&lt;="&amp;EOMONTH(DATE(YEAR(主页!$D$2),MONTH(主页!$D$2),1),0)),"")</f>
        <v/>
      </c>
    </row>
    <row r="994" spans="1:10" x14ac:dyDescent="0.3">
      <c r="A994" s="150"/>
      <c r="B994" s="150"/>
      <c r="C994" s="150"/>
      <c r="D994" s="150"/>
      <c r="E994" s="140" t="str">
        <f t="shared" si="46"/>
        <v/>
      </c>
      <c r="F994" s="159"/>
      <c r="G994" s="145">
        <f t="shared" si="48"/>
        <v>0</v>
      </c>
      <c r="H994" s="140" t="str">
        <f t="shared" si="47"/>
        <v/>
      </c>
      <c r="I994"/>
      <c r="J994" s="147" t="str">
        <f>IFERROR(SUMIFS(当年实际!$V:$V,当年实际!$F:$F,$C994,当年实际!$C:$C,"&gt;="&amp;DATE(YEAR(主页!$D$2),1,1),当年实际!$C:$C,"&lt;="&amp;EOMONTH(DATE(YEAR(主页!$D$2),MONTH(主页!$D$2),1),0))/SUMIFS(当年实际!$P:$P,当年实际!$F:$F,$C994,当年实际!$C:$C,"&gt;="&amp;DATE(YEAR(主页!$D$2),1,1),当年实际!$C:$C,"&lt;="&amp;EOMONTH(DATE(YEAR(主页!$D$2),MONTH(主页!$D$2),1),0)),"")</f>
        <v/>
      </c>
    </row>
    <row r="995" spans="1:10" x14ac:dyDescent="0.3">
      <c r="A995" s="150"/>
      <c r="B995" s="150"/>
      <c r="C995" s="150"/>
      <c r="D995" s="150"/>
      <c r="E995" s="140" t="str">
        <f t="shared" si="46"/>
        <v/>
      </c>
      <c r="F995" s="159"/>
      <c r="G995" s="145">
        <f t="shared" si="48"/>
        <v>0</v>
      </c>
      <c r="H995" s="140" t="str">
        <f t="shared" si="47"/>
        <v/>
      </c>
      <c r="I995"/>
      <c r="J995" s="147" t="str">
        <f>IFERROR(SUMIFS(当年实际!$V:$V,当年实际!$F:$F,$C995,当年实际!$C:$C,"&gt;="&amp;DATE(YEAR(主页!$D$2),1,1),当年实际!$C:$C,"&lt;="&amp;EOMONTH(DATE(YEAR(主页!$D$2),MONTH(主页!$D$2),1),0))/SUMIFS(当年实际!$P:$P,当年实际!$F:$F,$C995,当年实际!$C:$C,"&gt;="&amp;DATE(YEAR(主页!$D$2),1,1),当年实际!$C:$C,"&lt;="&amp;EOMONTH(DATE(YEAR(主页!$D$2),MONTH(主页!$D$2),1),0)),"")</f>
        <v/>
      </c>
    </row>
    <row r="996" spans="1:10" x14ac:dyDescent="0.3">
      <c r="A996" s="150"/>
      <c r="B996" s="150"/>
      <c r="C996" s="150"/>
      <c r="D996" s="150"/>
      <c r="E996" s="140" t="str">
        <f t="shared" si="46"/>
        <v/>
      </c>
      <c r="F996" s="159"/>
      <c r="G996" s="145">
        <f t="shared" si="48"/>
        <v>0</v>
      </c>
      <c r="H996" s="140" t="str">
        <f t="shared" si="47"/>
        <v/>
      </c>
      <c r="I996"/>
      <c r="J996" s="147" t="str">
        <f>IFERROR(SUMIFS(当年实际!$V:$V,当年实际!$F:$F,$C996,当年实际!$C:$C,"&gt;="&amp;DATE(YEAR(主页!$D$2),1,1),当年实际!$C:$C,"&lt;="&amp;EOMONTH(DATE(YEAR(主页!$D$2),MONTH(主页!$D$2),1),0))/SUMIFS(当年实际!$P:$P,当年实际!$F:$F,$C996,当年实际!$C:$C,"&gt;="&amp;DATE(YEAR(主页!$D$2),1,1),当年实际!$C:$C,"&lt;="&amp;EOMONTH(DATE(YEAR(主页!$D$2),MONTH(主页!$D$2),1),0)),"")</f>
        <v/>
      </c>
    </row>
    <row r="997" spans="1:10" x14ac:dyDescent="0.3">
      <c r="A997" s="150"/>
      <c r="B997" s="150"/>
      <c r="C997" s="150"/>
      <c r="D997" s="150"/>
      <c r="E997" s="140" t="str">
        <f t="shared" si="46"/>
        <v/>
      </c>
      <c r="F997" s="159"/>
      <c r="G997" s="145">
        <f t="shared" si="48"/>
        <v>0</v>
      </c>
      <c r="H997" s="140" t="str">
        <f t="shared" si="47"/>
        <v/>
      </c>
      <c r="I997"/>
      <c r="J997" s="147" t="str">
        <f>IFERROR(SUMIFS(当年实际!$V:$V,当年实际!$F:$F,$C997,当年实际!$C:$C,"&gt;="&amp;DATE(YEAR(主页!$D$2),1,1),当年实际!$C:$C,"&lt;="&amp;EOMONTH(DATE(YEAR(主页!$D$2),MONTH(主页!$D$2),1),0))/SUMIFS(当年实际!$P:$P,当年实际!$F:$F,$C997,当年实际!$C:$C,"&gt;="&amp;DATE(YEAR(主页!$D$2),1,1),当年实际!$C:$C,"&lt;="&amp;EOMONTH(DATE(YEAR(主页!$D$2),MONTH(主页!$D$2),1),0)),"")</f>
        <v/>
      </c>
    </row>
    <row r="998" spans="1:10" x14ac:dyDescent="0.3">
      <c r="A998" s="150"/>
      <c r="B998" s="150"/>
      <c r="C998" s="150"/>
      <c r="D998" s="150"/>
      <c r="E998" s="140" t="str">
        <f t="shared" si="46"/>
        <v/>
      </c>
      <c r="F998" s="159"/>
      <c r="G998" s="145">
        <f t="shared" si="48"/>
        <v>0</v>
      </c>
      <c r="H998" s="140" t="str">
        <f t="shared" si="47"/>
        <v/>
      </c>
      <c r="I998"/>
      <c r="J998" s="147" t="str">
        <f>IFERROR(SUMIFS(当年实际!$V:$V,当年实际!$F:$F,$C998,当年实际!$C:$C,"&gt;="&amp;DATE(YEAR(主页!$D$2),1,1),当年实际!$C:$C,"&lt;="&amp;EOMONTH(DATE(YEAR(主页!$D$2),MONTH(主页!$D$2),1),0))/SUMIFS(当年实际!$P:$P,当年实际!$F:$F,$C998,当年实际!$C:$C,"&gt;="&amp;DATE(YEAR(主页!$D$2),1,1),当年实际!$C:$C,"&lt;="&amp;EOMONTH(DATE(YEAR(主页!$D$2),MONTH(主页!$D$2),1),0)),"")</f>
        <v/>
      </c>
    </row>
    <row r="999" spans="1:10" x14ac:dyDescent="0.3">
      <c r="A999" s="150"/>
      <c r="B999" s="150"/>
      <c r="C999" s="150"/>
      <c r="D999" s="150"/>
      <c r="E999" s="140" t="str">
        <f t="shared" si="46"/>
        <v/>
      </c>
      <c r="F999" s="159"/>
      <c r="G999" s="145">
        <f t="shared" si="48"/>
        <v>0</v>
      </c>
      <c r="H999" s="140" t="str">
        <f t="shared" si="47"/>
        <v/>
      </c>
      <c r="I999"/>
      <c r="J999" s="147" t="str">
        <f>IFERROR(SUMIFS(当年实际!$V:$V,当年实际!$F:$F,$C999,当年实际!$C:$C,"&gt;="&amp;DATE(YEAR(主页!$D$2),1,1),当年实际!$C:$C,"&lt;="&amp;EOMONTH(DATE(YEAR(主页!$D$2),MONTH(主页!$D$2),1),0))/SUMIFS(当年实际!$P:$P,当年实际!$F:$F,$C999,当年实际!$C:$C,"&gt;="&amp;DATE(YEAR(主页!$D$2),1,1),当年实际!$C:$C,"&lt;="&amp;EOMONTH(DATE(YEAR(主页!$D$2),MONTH(主页!$D$2),1),0)),"")</f>
        <v/>
      </c>
    </row>
    <row r="1000" spans="1:10" x14ac:dyDescent="0.3">
      <c r="A1000" s="150"/>
      <c r="B1000" s="150"/>
      <c r="C1000" s="150"/>
      <c r="D1000" s="150"/>
      <c r="E1000" s="140" t="str">
        <f t="shared" si="46"/>
        <v/>
      </c>
      <c r="F1000" s="159"/>
      <c r="G1000" s="145">
        <f t="shared" si="48"/>
        <v>0</v>
      </c>
      <c r="H1000" s="140" t="str">
        <f t="shared" si="47"/>
        <v/>
      </c>
      <c r="I1000"/>
      <c r="J1000" s="147" t="str">
        <f>IFERROR(SUMIFS(当年实际!$V:$V,当年实际!$F:$F,$C1000,当年实际!$C:$C,"&gt;="&amp;DATE(YEAR(主页!$D$2),1,1),当年实际!$C:$C,"&lt;="&amp;EOMONTH(DATE(YEAR(主页!$D$2),MONTH(主页!$D$2),1),0))/SUMIFS(当年实际!$P:$P,当年实际!$F:$F,$C1000,当年实际!$C:$C,"&gt;="&amp;DATE(YEAR(主页!$D$2),1,1),当年实际!$C:$C,"&lt;="&amp;EOMONTH(DATE(YEAR(主页!$D$2),MONTH(主页!$D$2),1),0)),"")</f>
        <v/>
      </c>
    </row>
    <row r="1001" spans="1:10" x14ac:dyDescent="0.3">
      <c r="A1001" s="150"/>
      <c r="B1001" s="150"/>
      <c r="C1001" s="150"/>
      <c r="D1001" s="150"/>
      <c r="E1001" s="140" t="str">
        <f t="shared" si="46"/>
        <v/>
      </c>
      <c r="F1001" s="159"/>
      <c r="G1001" s="145">
        <f t="shared" si="48"/>
        <v>0</v>
      </c>
      <c r="H1001" s="140" t="str">
        <f t="shared" si="47"/>
        <v/>
      </c>
      <c r="I1001"/>
      <c r="J1001" s="147" t="str">
        <f>IFERROR(SUMIFS(当年实际!$V:$V,当年实际!$F:$F,$C1001,当年实际!$C:$C,"&gt;="&amp;DATE(YEAR(主页!$D$2),1,1),当年实际!$C:$C,"&lt;="&amp;EOMONTH(DATE(YEAR(主页!$D$2),MONTH(主页!$D$2),1),0))/SUMIFS(当年实际!$P:$P,当年实际!$F:$F,$C1001,当年实际!$C:$C,"&gt;="&amp;DATE(YEAR(主页!$D$2),1,1),当年实际!$C:$C,"&lt;="&amp;EOMONTH(DATE(YEAR(主页!$D$2),MONTH(主页!$D$2),1),0)),"")</f>
        <v/>
      </c>
    </row>
    <row r="1002" spans="1:10" x14ac:dyDescent="0.3">
      <c r="A1002" s="150"/>
      <c r="B1002" s="150"/>
      <c r="C1002" s="150"/>
      <c r="D1002" s="150"/>
      <c r="E1002" s="140" t="str">
        <f t="shared" si="46"/>
        <v/>
      </c>
      <c r="F1002" s="159"/>
      <c r="G1002" s="145">
        <f t="shared" si="48"/>
        <v>0</v>
      </c>
      <c r="H1002" s="140" t="str">
        <f t="shared" si="47"/>
        <v/>
      </c>
      <c r="I1002"/>
      <c r="J1002" s="147" t="str">
        <f>IFERROR(SUMIFS(当年实际!$V:$V,当年实际!$F:$F,$C1002,当年实际!$C:$C,"&gt;="&amp;DATE(YEAR(主页!$D$2),1,1),当年实际!$C:$C,"&lt;="&amp;EOMONTH(DATE(YEAR(主页!$D$2),MONTH(主页!$D$2),1),0))/SUMIFS(当年实际!$P:$P,当年实际!$F:$F,$C1002,当年实际!$C:$C,"&gt;="&amp;DATE(YEAR(主页!$D$2),1,1),当年实际!$C:$C,"&lt;="&amp;EOMONTH(DATE(YEAR(主页!$D$2),MONTH(主页!$D$2),1),0)),"")</f>
        <v/>
      </c>
    </row>
    <row r="1003" spans="1:10" x14ac:dyDescent="0.3">
      <c r="A1003" s="150"/>
      <c r="B1003" s="150"/>
      <c r="C1003" s="150"/>
      <c r="D1003" s="150"/>
      <c r="E1003" s="140" t="str">
        <f t="shared" si="46"/>
        <v/>
      </c>
      <c r="F1003" s="159"/>
      <c r="G1003" s="145">
        <f t="shared" si="48"/>
        <v>0</v>
      </c>
      <c r="H1003" s="140" t="str">
        <f t="shared" si="47"/>
        <v/>
      </c>
      <c r="I1003"/>
      <c r="J1003" s="147" t="str">
        <f>IFERROR(SUMIFS(当年实际!$V:$V,当年实际!$F:$F,$C1003,当年实际!$C:$C,"&gt;="&amp;DATE(YEAR(主页!$D$2),1,1),当年实际!$C:$C,"&lt;="&amp;EOMONTH(DATE(YEAR(主页!$D$2),MONTH(主页!$D$2),1),0))/SUMIFS(当年实际!$P:$P,当年实际!$F:$F,$C1003,当年实际!$C:$C,"&gt;="&amp;DATE(YEAR(主页!$D$2),1,1),当年实际!$C:$C,"&lt;="&amp;EOMONTH(DATE(YEAR(主页!$D$2),MONTH(主页!$D$2),1),0)),"")</f>
        <v/>
      </c>
    </row>
    <row r="1004" spans="1:10" x14ac:dyDescent="0.3">
      <c r="A1004" s="150"/>
      <c r="B1004" s="150"/>
      <c r="C1004" s="150"/>
      <c r="D1004" s="150"/>
      <c r="E1004" s="140" t="str">
        <f t="shared" si="46"/>
        <v/>
      </c>
      <c r="F1004" s="159"/>
      <c r="G1004" s="145">
        <f t="shared" si="48"/>
        <v>0</v>
      </c>
      <c r="H1004" s="140" t="str">
        <f t="shared" si="47"/>
        <v/>
      </c>
      <c r="I1004"/>
      <c r="J1004" s="147" t="str">
        <f>IFERROR(SUMIFS(当年实际!$V:$V,当年实际!$F:$F,$C1004,当年实际!$C:$C,"&gt;="&amp;DATE(YEAR(主页!$D$2),1,1),当年实际!$C:$C,"&lt;="&amp;EOMONTH(DATE(YEAR(主页!$D$2),MONTH(主页!$D$2),1),0))/SUMIFS(当年实际!$P:$P,当年实际!$F:$F,$C1004,当年实际!$C:$C,"&gt;="&amp;DATE(YEAR(主页!$D$2),1,1),当年实际!$C:$C,"&lt;="&amp;EOMONTH(DATE(YEAR(主页!$D$2),MONTH(主页!$D$2),1),0)),"")</f>
        <v/>
      </c>
    </row>
    <row r="1005" spans="1:10" x14ac:dyDescent="0.3">
      <c r="A1005" s="150"/>
      <c r="B1005" s="150"/>
      <c r="C1005" s="150"/>
      <c r="D1005" s="150"/>
      <c r="E1005" s="140" t="str">
        <f t="shared" si="46"/>
        <v/>
      </c>
      <c r="F1005" s="159"/>
      <c r="G1005" s="145">
        <f t="shared" si="48"/>
        <v>0</v>
      </c>
      <c r="H1005" s="140" t="str">
        <f t="shared" si="47"/>
        <v/>
      </c>
      <c r="I1005"/>
      <c r="J1005" s="147" t="str">
        <f>IFERROR(SUMIFS(当年实际!$V:$V,当年实际!$F:$F,$C1005,当年实际!$C:$C,"&gt;="&amp;DATE(YEAR(主页!$D$2),1,1),当年实际!$C:$C,"&lt;="&amp;EOMONTH(DATE(YEAR(主页!$D$2),MONTH(主页!$D$2),1),0))/SUMIFS(当年实际!$P:$P,当年实际!$F:$F,$C1005,当年实际!$C:$C,"&gt;="&amp;DATE(YEAR(主页!$D$2),1,1),当年实际!$C:$C,"&lt;="&amp;EOMONTH(DATE(YEAR(主页!$D$2),MONTH(主页!$D$2),1),0)),"")</f>
        <v/>
      </c>
    </row>
    <row r="1006" spans="1:10" x14ac:dyDescent="0.3">
      <c r="A1006" s="150"/>
      <c r="B1006" s="150"/>
      <c r="C1006" s="150"/>
      <c r="D1006" s="150"/>
      <c r="E1006" s="140" t="str">
        <f t="shared" si="46"/>
        <v/>
      </c>
      <c r="F1006" s="159"/>
      <c r="G1006" s="145">
        <f t="shared" si="48"/>
        <v>0</v>
      </c>
      <c r="H1006" s="140" t="str">
        <f t="shared" si="47"/>
        <v/>
      </c>
      <c r="I1006"/>
      <c r="J1006" s="147" t="str">
        <f>IFERROR(SUMIFS(当年实际!$V:$V,当年实际!$F:$F,$C1006,当年实际!$C:$C,"&gt;="&amp;DATE(YEAR(主页!$D$2),1,1),当年实际!$C:$C,"&lt;="&amp;EOMONTH(DATE(YEAR(主页!$D$2),MONTH(主页!$D$2),1),0))/SUMIFS(当年实际!$P:$P,当年实际!$F:$F,$C1006,当年实际!$C:$C,"&gt;="&amp;DATE(YEAR(主页!$D$2),1,1),当年实际!$C:$C,"&lt;="&amp;EOMONTH(DATE(YEAR(主页!$D$2),MONTH(主页!$D$2),1),0)),"")</f>
        <v/>
      </c>
    </row>
    <row r="1007" spans="1:10" x14ac:dyDescent="0.3">
      <c r="A1007" s="150"/>
      <c r="B1007" s="150"/>
      <c r="C1007" s="150"/>
      <c r="D1007" s="150"/>
      <c r="E1007" s="140" t="str">
        <f t="shared" si="46"/>
        <v/>
      </c>
      <c r="F1007" s="159"/>
      <c r="G1007" s="145">
        <f t="shared" si="48"/>
        <v>0</v>
      </c>
      <c r="H1007" s="140" t="str">
        <f t="shared" si="47"/>
        <v/>
      </c>
      <c r="I1007"/>
      <c r="J1007" s="147" t="str">
        <f>IFERROR(SUMIFS(当年实际!$V:$V,当年实际!$F:$F,$C1007,当年实际!$C:$C,"&gt;="&amp;DATE(YEAR(主页!$D$2),1,1),当年实际!$C:$C,"&lt;="&amp;EOMONTH(DATE(YEAR(主页!$D$2),MONTH(主页!$D$2),1),0))/SUMIFS(当年实际!$P:$P,当年实际!$F:$F,$C1007,当年实际!$C:$C,"&gt;="&amp;DATE(YEAR(主页!$D$2),1,1),当年实际!$C:$C,"&lt;="&amp;EOMONTH(DATE(YEAR(主页!$D$2),MONTH(主页!$D$2),1),0)),"")</f>
        <v/>
      </c>
    </row>
    <row r="1008" spans="1:10" x14ac:dyDescent="0.3">
      <c r="A1008" s="150"/>
      <c r="B1008" s="150"/>
      <c r="C1008" s="150"/>
      <c r="D1008" s="150"/>
      <c r="E1008" s="140" t="str">
        <f t="shared" si="46"/>
        <v/>
      </c>
      <c r="F1008" s="159"/>
      <c r="G1008" s="145">
        <f t="shared" si="48"/>
        <v>0</v>
      </c>
      <c r="H1008" s="140" t="str">
        <f t="shared" si="47"/>
        <v/>
      </c>
      <c r="I1008"/>
      <c r="J1008" s="147" t="str">
        <f>IFERROR(SUMIFS(当年实际!$V:$V,当年实际!$F:$F,$C1008,当年实际!$C:$C,"&gt;="&amp;DATE(YEAR(主页!$D$2),1,1),当年实际!$C:$C,"&lt;="&amp;EOMONTH(DATE(YEAR(主页!$D$2),MONTH(主页!$D$2),1),0))/SUMIFS(当年实际!$P:$P,当年实际!$F:$F,$C1008,当年实际!$C:$C,"&gt;="&amp;DATE(YEAR(主页!$D$2),1,1),当年实际!$C:$C,"&lt;="&amp;EOMONTH(DATE(YEAR(主页!$D$2),MONTH(主页!$D$2),1),0)),"")</f>
        <v/>
      </c>
    </row>
    <row r="1009" spans="1:10" x14ac:dyDescent="0.3">
      <c r="A1009" s="150"/>
      <c r="B1009" s="150"/>
      <c r="C1009" s="150"/>
      <c r="D1009" s="150"/>
      <c r="E1009" s="140" t="str">
        <f t="shared" si="46"/>
        <v/>
      </c>
      <c r="F1009" s="159"/>
      <c r="G1009" s="145">
        <f t="shared" si="48"/>
        <v>0</v>
      </c>
      <c r="H1009" s="140" t="str">
        <f t="shared" si="47"/>
        <v/>
      </c>
      <c r="I1009"/>
      <c r="J1009" s="147" t="str">
        <f>IFERROR(SUMIFS(当年实际!$V:$V,当年实际!$F:$F,$C1009,当年实际!$C:$C,"&gt;="&amp;DATE(YEAR(主页!$D$2),1,1),当年实际!$C:$C,"&lt;="&amp;EOMONTH(DATE(YEAR(主页!$D$2),MONTH(主页!$D$2),1),0))/SUMIFS(当年实际!$P:$P,当年实际!$F:$F,$C1009,当年实际!$C:$C,"&gt;="&amp;DATE(YEAR(主页!$D$2),1,1),当年实际!$C:$C,"&lt;="&amp;EOMONTH(DATE(YEAR(主页!$D$2),MONTH(主页!$D$2),1),0)),"")</f>
        <v/>
      </c>
    </row>
    <row r="1010" spans="1:10" x14ac:dyDescent="0.3">
      <c r="A1010" s="150"/>
      <c r="B1010" s="150"/>
      <c r="C1010" s="150"/>
      <c r="D1010" s="150"/>
      <c r="E1010" s="140" t="str">
        <f t="shared" si="46"/>
        <v/>
      </c>
      <c r="F1010" s="159"/>
      <c r="G1010" s="145">
        <f t="shared" si="48"/>
        <v>0</v>
      </c>
      <c r="H1010" s="140" t="str">
        <f t="shared" si="47"/>
        <v/>
      </c>
      <c r="I1010"/>
      <c r="J1010" s="147" t="str">
        <f>IFERROR(SUMIFS(当年实际!$V:$V,当年实际!$F:$F,$C1010,当年实际!$C:$C,"&gt;="&amp;DATE(YEAR(主页!$D$2),1,1),当年实际!$C:$C,"&lt;="&amp;EOMONTH(DATE(YEAR(主页!$D$2),MONTH(主页!$D$2),1),0))/SUMIFS(当年实际!$P:$P,当年实际!$F:$F,$C1010,当年实际!$C:$C,"&gt;="&amp;DATE(YEAR(主页!$D$2),1,1),当年实际!$C:$C,"&lt;="&amp;EOMONTH(DATE(YEAR(主页!$D$2),MONTH(主页!$D$2),1),0)),"")</f>
        <v/>
      </c>
    </row>
    <row r="1011" spans="1:10" x14ac:dyDescent="0.3">
      <c r="A1011" s="150"/>
      <c r="B1011" s="150"/>
      <c r="C1011" s="150"/>
      <c r="D1011" s="150"/>
      <c r="E1011" s="140" t="str">
        <f t="shared" si="46"/>
        <v/>
      </c>
      <c r="F1011" s="159"/>
      <c r="G1011" s="145">
        <f t="shared" si="48"/>
        <v>0</v>
      </c>
      <c r="H1011" s="140" t="str">
        <f t="shared" si="47"/>
        <v/>
      </c>
      <c r="I1011"/>
      <c r="J1011" s="147" t="str">
        <f>IFERROR(SUMIFS(当年实际!$V:$V,当年实际!$F:$F,$C1011,当年实际!$C:$C,"&gt;="&amp;DATE(YEAR(主页!$D$2),1,1),当年实际!$C:$C,"&lt;="&amp;EOMONTH(DATE(YEAR(主页!$D$2),MONTH(主页!$D$2),1),0))/SUMIFS(当年实际!$P:$P,当年实际!$F:$F,$C1011,当年实际!$C:$C,"&gt;="&amp;DATE(YEAR(主页!$D$2),1,1),当年实际!$C:$C,"&lt;="&amp;EOMONTH(DATE(YEAR(主页!$D$2),MONTH(主页!$D$2),1),0)),"")</f>
        <v/>
      </c>
    </row>
    <row r="1012" spans="1:10" x14ac:dyDescent="0.3">
      <c r="A1012" s="150"/>
      <c r="B1012" s="150"/>
      <c r="C1012" s="150"/>
      <c r="D1012" s="150"/>
      <c r="E1012" s="140" t="str">
        <f t="shared" si="46"/>
        <v/>
      </c>
      <c r="F1012" s="159"/>
      <c r="G1012" s="145">
        <f t="shared" si="48"/>
        <v>0</v>
      </c>
      <c r="H1012" s="140" t="str">
        <f t="shared" si="47"/>
        <v/>
      </c>
      <c r="I1012"/>
      <c r="J1012" s="147" t="str">
        <f>IFERROR(SUMIFS(当年实际!$V:$V,当年实际!$F:$F,$C1012,当年实际!$C:$C,"&gt;="&amp;DATE(YEAR(主页!$D$2),1,1),当年实际!$C:$C,"&lt;="&amp;EOMONTH(DATE(YEAR(主页!$D$2),MONTH(主页!$D$2),1),0))/SUMIFS(当年实际!$P:$P,当年实际!$F:$F,$C1012,当年实际!$C:$C,"&gt;="&amp;DATE(YEAR(主页!$D$2),1,1),当年实际!$C:$C,"&lt;="&amp;EOMONTH(DATE(YEAR(主页!$D$2),MONTH(主页!$D$2),1),0)),"")</f>
        <v/>
      </c>
    </row>
    <row r="1013" spans="1:10" x14ac:dyDescent="0.3">
      <c r="A1013" s="150"/>
      <c r="B1013" s="150"/>
      <c r="C1013" s="150"/>
      <c r="D1013" s="150"/>
      <c r="E1013" s="140" t="str">
        <f t="shared" si="46"/>
        <v/>
      </c>
      <c r="F1013" s="159"/>
      <c r="G1013" s="145">
        <f t="shared" si="48"/>
        <v>0</v>
      </c>
      <c r="H1013" s="140" t="str">
        <f t="shared" si="47"/>
        <v/>
      </c>
      <c r="I1013"/>
      <c r="J1013" s="147" t="str">
        <f>IFERROR(SUMIFS(当年实际!$V:$V,当年实际!$F:$F,$C1013,当年实际!$C:$C,"&gt;="&amp;DATE(YEAR(主页!$D$2),1,1),当年实际!$C:$C,"&lt;="&amp;EOMONTH(DATE(YEAR(主页!$D$2),MONTH(主页!$D$2),1),0))/SUMIFS(当年实际!$P:$P,当年实际!$F:$F,$C1013,当年实际!$C:$C,"&gt;="&amp;DATE(YEAR(主页!$D$2),1,1),当年实际!$C:$C,"&lt;="&amp;EOMONTH(DATE(YEAR(主页!$D$2),MONTH(主页!$D$2),1),0)),"")</f>
        <v/>
      </c>
    </row>
    <row r="1014" spans="1:10" x14ac:dyDescent="0.3">
      <c r="A1014" s="150"/>
      <c r="B1014" s="150"/>
      <c r="C1014" s="150"/>
      <c r="D1014" s="150"/>
      <c r="E1014" s="140" t="str">
        <f t="shared" si="46"/>
        <v/>
      </c>
      <c r="F1014" s="159"/>
      <c r="G1014" s="145">
        <f t="shared" si="48"/>
        <v>0</v>
      </c>
      <c r="H1014" s="140" t="str">
        <f t="shared" si="47"/>
        <v/>
      </c>
      <c r="I1014"/>
      <c r="J1014" s="147" t="str">
        <f>IFERROR(SUMIFS(当年实际!$V:$V,当年实际!$F:$F,$C1014,当年实际!$C:$C,"&gt;="&amp;DATE(YEAR(主页!$D$2),1,1),当年实际!$C:$C,"&lt;="&amp;EOMONTH(DATE(YEAR(主页!$D$2),MONTH(主页!$D$2),1),0))/SUMIFS(当年实际!$P:$P,当年实际!$F:$F,$C1014,当年实际!$C:$C,"&gt;="&amp;DATE(YEAR(主页!$D$2),1,1),当年实际!$C:$C,"&lt;="&amp;EOMONTH(DATE(YEAR(主页!$D$2),MONTH(主页!$D$2),1),0)),"")</f>
        <v/>
      </c>
    </row>
    <row r="1015" spans="1:10" x14ac:dyDescent="0.3">
      <c r="A1015" s="150"/>
      <c r="B1015" s="150"/>
      <c r="C1015" s="150"/>
      <c r="D1015" s="150"/>
      <c r="E1015" s="140" t="str">
        <f t="shared" si="46"/>
        <v/>
      </c>
      <c r="F1015" s="159"/>
      <c r="G1015" s="145">
        <f t="shared" si="48"/>
        <v>0</v>
      </c>
      <c r="H1015" s="140" t="str">
        <f t="shared" si="47"/>
        <v/>
      </c>
      <c r="I1015"/>
      <c r="J1015" s="147" t="str">
        <f>IFERROR(SUMIFS(当年实际!$V:$V,当年实际!$F:$F,$C1015,当年实际!$C:$C,"&gt;="&amp;DATE(YEAR(主页!$D$2),1,1),当年实际!$C:$C,"&lt;="&amp;EOMONTH(DATE(YEAR(主页!$D$2),MONTH(主页!$D$2),1),0))/SUMIFS(当年实际!$P:$P,当年实际!$F:$F,$C1015,当年实际!$C:$C,"&gt;="&amp;DATE(YEAR(主页!$D$2),1,1),当年实际!$C:$C,"&lt;="&amp;EOMONTH(DATE(YEAR(主页!$D$2),MONTH(主页!$D$2),1),0)),"")</f>
        <v/>
      </c>
    </row>
    <row r="1016" spans="1:10" x14ac:dyDescent="0.3">
      <c r="A1016" s="150"/>
      <c r="B1016" s="150"/>
      <c r="C1016" s="150"/>
      <c r="D1016" s="150"/>
      <c r="E1016" s="140" t="str">
        <f t="shared" si="46"/>
        <v/>
      </c>
      <c r="F1016" s="159"/>
      <c r="G1016" s="145">
        <f t="shared" si="48"/>
        <v>0</v>
      </c>
      <c r="H1016" s="140" t="str">
        <f t="shared" si="47"/>
        <v/>
      </c>
      <c r="I1016"/>
      <c r="J1016" s="147" t="str">
        <f>IFERROR(SUMIFS(当年实际!$V:$V,当年实际!$F:$F,$C1016,当年实际!$C:$C,"&gt;="&amp;DATE(YEAR(主页!$D$2),1,1),当年实际!$C:$C,"&lt;="&amp;EOMONTH(DATE(YEAR(主页!$D$2),MONTH(主页!$D$2),1),0))/SUMIFS(当年实际!$P:$P,当年实际!$F:$F,$C1016,当年实际!$C:$C,"&gt;="&amp;DATE(YEAR(主页!$D$2),1,1),当年实际!$C:$C,"&lt;="&amp;EOMONTH(DATE(YEAR(主页!$D$2),MONTH(主页!$D$2),1),0)),"")</f>
        <v/>
      </c>
    </row>
    <row r="1017" spans="1:10" x14ac:dyDescent="0.3">
      <c r="A1017" s="150"/>
      <c r="B1017" s="150"/>
      <c r="C1017" s="150"/>
      <c r="D1017" s="150"/>
      <c r="E1017" s="140" t="str">
        <f t="shared" si="46"/>
        <v/>
      </c>
      <c r="F1017" s="159"/>
      <c r="G1017" s="145">
        <f t="shared" si="48"/>
        <v>0</v>
      </c>
      <c r="H1017" s="140" t="str">
        <f t="shared" si="47"/>
        <v/>
      </c>
      <c r="I1017"/>
      <c r="J1017" s="147" t="str">
        <f>IFERROR(SUMIFS(当年实际!$V:$V,当年实际!$F:$F,$C1017,当年实际!$C:$C,"&gt;="&amp;DATE(YEAR(主页!$D$2),1,1),当年实际!$C:$C,"&lt;="&amp;EOMONTH(DATE(YEAR(主页!$D$2),MONTH(主页!$D$2),1),0))/SUMIFS(当年实际!$P:$P,当年实际!$F:$F,$C1017,当年实际!$C:$C,"&gt;="&amp;DATE(YEAR(主页!$D$2),1,1),当年实际!$C:$C,"&lt;="&amp;EOMONTH(DATE(YEAR(主页!$D$2),MONTH(主页!$D$2),1),0)),"")</f>
        <v/>
      </c>
    </row>
    <row r="1018" spans="1:10" x14ac:dyDescent="0.3">
      <c r="A1018" s="150"/>
      <c r="B1018" s="150"/>
      <c r="C1018" s="150"/>
      <c r="D1018" s="150"/>
      <c r="E1018" s="140" t="str">
        <f t="shared" si="46"/>
        <v/>
      </c>
      <c r="F1018" s="159"/>
      <c r="G1018" s="145">
        <f t="shared" si="48"/>
        <v>0</v>
      </c>
      <c r="H1018" s="140" t="str">
        <f t="shared" si="47"/>
        <v/>
      </c>
      <c r="I1018"/>
      <c r="J1018" s="147" t="str">
        <f>IFERROR(SUMIFS(当年实际!$V:$V,当年实际!$F:$F,$C1018,当年实际!$C:$C,"&gt;="&amp;DATE(YEAR(主页!$D$2),1,1),当年实际!$C:$C,"&lt;="&amp;EOMONTH(DATE(YEAR(主页!$D$2),MONTH(主页!$D$2),1),0))/SUMIFS(当年实际!$P:$P,当年实际!$F:$F,$C1018,当年实际!$C:$C,"&gt;="&amp;DATE(YEAR(主页!$D$2),1,1),当年实际!$C:$C,"&lt;="&amp;EOMONTH(DATE(YEAR(主页!$D$2),MONTH(主页!$D$2),1),0)),"")</f>
        <v/>
      </c>
    </row>
    <row r="1019" spans="1:10" x14ac:dyDescent="0.3">
      <c r="A1019" s="150"/>
      <c r="B1019" s="150"/>
      <c r="C1019" s="150"/>
      <c r="D1019" s="150"/>
      <c r="E1019" s="140" t="str">
        <f t="shared" si="46"/>
        <v/>
      </c>
      <c r="F1019" s="159"/>
      <c r="G1019" s="145">
        <f t="shared" si="48"/>
        <v>0</v>
      </c>
      <c r="H1019" s="140" t="str">
        <f t="shared" si="47"/>
        <v/>
      </c>
      <c r="I1019"/>
      <c r="J1019" s="147" t="str">
        <f>IFERROR(SUMIFS(当年实际!$V:$V,当年实际!$F:$F,$C1019,当年实际!$C:$C,"&gt;="&amp;DATE(YEAR(主页!$D$2),1,1),当年实际!$C:$C,"&lt;="&amp;EOMONTH(DATE(YEAR(主页!$D$2),MONTH(主页!$D$2),1),0))/SUMIFS(当年实际!$P:$P,当年实际!$F:$F,$C1019,当年实际!$C:$C,"&gt;="&amp;DATE(YEAR(主页!$D$2),1,1),当年实际!$C:$C,"&lt;="&amp;EOMONTH(DATE(YEAR(主页!$D$2),MONTH(主页!$D$2),1),0)),"")</f>
        <v/>
      </c>
    </row>
    <row r="1020" spans="1:10" x14ac:dyDescent="0.3">
      <c r="A1020" s="150"/>
      <c r="B1020" s="150"/>
      <c r="C1020" s="150"/>
      <c r="D1020" s="150"/>
      <c r="E1020" s="140" t="str">
        <f t="shared" si="46"/>
        <v/>
      </c>
      <c r="F1020" s="159"/>
      <c r="G1020" s="145">
        <f t="shared" si="48"/>
        <v>0</v>
      </c>
      <c r="H1020" s="140" t="str">
        <f t="shared" si="47"/>
        <v/>
      </c>
      <c r="I1020"/>
      <c r="J1020" s="147" t="str">
        <f>IFERROR(SUMIFS(当年实际!$V:$V,当年实际!$F:$F,$C1020,当年实际!$C:$C,"&gt;="&amp;DATE(YEAR(主页!$D$2),1,1),当年实际!$C:$C,"&lt;="&amp;EOMONTH(DATE(YEAR(主页!$D$2),MONTH(主页!$D$2),1),0))/SUMIFS(当年实际!$P:$P,当年实际!$F:$F,$C1020,当年实际!$C:$C,"&gt;="&amp;DATE(YEAR(主页!$D$2),1,1),当年实际!$C:$C,"&lt;="&amp;EOMONTH(DATE(YEAR(主页!$D$2),MONTH(主页!$D$2),1),0)),"")</f>
        <v/>
      </c>
    </row>
    <row r="1021" spans="1:10" x14ac:dyDescent="0.3">
      <c r="A1021" s="150"/>
      <c r="B1021" s="150"/>
      <c r="C1021" s="150"/>
      <c r="D1021" s="150"/>
      <c r="E1021" s="140" t="str">
        <f t="shared" si="46"/>
        <v/>
      </c>
      <c r="F1021" s="159"/>
      <c r="G1021" s="145">
        <f t="shared" si="48"/>
        <v>0</v>
      </c>
      <c r="H1021" s="140" t="str">
        <f t="shared" si="47"/>
        <v/>
      </c>
      <c r="I1021"/>
      <c r="J1021" s="147" t="str">
        <f>IFERROR(SUMIFS(当年实际!$V:$V,当年实际!$F:$F,$C1021,当年实际!$C:$C,"&gt;="&amp;DATE(YEAR(主页!$D$2),1,1),当年实际!$C:$C,"&lt;="&amp;EOMONTH(DATE(YEAR(主页!$D$2),MONTH(主页!$D$2),1),0))/SUMIFS(当年实际!$P:$P,当年实际!$F:$F,$C1021,当年实际!$C:$C,"&gt;="&amp;DATE(YEAR(主页!$D$2),1,1),当年实际!$C:$C,"&lt;="&amp;EOMONTH(DATE(YEAR(主页!$D$2),MONTH(主页!$D$2),1),0)),"")</f>
        <v/>
      </c>
    </row>
    <row r="1022" spans="1:10" x14ac:dyDescent="0.3">
      <c r="A1022" s="150"/>
      <c r="B1022" s="150"/>
      <c r="C1022" s="150"/>
      <c r="D1022" s="150"/>
      <c r="E1022" s="140" t="str">
        <f t="shared" si="46"/>
        <v/>
      </c>
      <c r="F1022" s="159"/>
      <c r="G1022" s="145">
        <f t="shared" si="48"/>
        <v>0</v>
      </c>
      <c r="H1022" s="140" t="str">
        <f t="shared" si="47"/>
        <v/>
      </c>
      <c r="I1022"/>
      <c r="J1022" s="147" t="str">
        <f>IFERROR(SUMIFS(当年实际!$V:$V,当年实际!$F:$F,$C1022,当年实际!$C:$C,"&gt;="&amp;DATE(YEAR(主页!$D$2),1,1),当年实际!$C:$C,"&lt;="&amp;EOMONTH(DATE(YEAR(主页!$D$2),MONTH(主页!$D$2),1),0))/SUMIFS(当年实际!$P:$P,当年实际!$F:$F,$C1022,当年实际!$C:$C,"&gt;="&amp;DATE(YEAR(主页!$D$2),1,1),当年实际!$C:$C,"&lt;="&amp;EOMONTH(DATE(YEAR(主页!$D$2),MONTH(主页!$D$2),1),0)),"")</f>
        <v/>
      </c>
    </row>
    <row r="1023" spans="1:10" x14ac:dyDescent="0.3">
      <c r="A1023" s="150"/>
      <c r="B1023" s="150"/>
      <c r="C1023" s="150"/>
      <c r="D1023" s="150"/>
      <c r="E1023" s="140" t="str">
        <f t="shared" si="46"/>
        <v/>
      </c>
      <c r="F1023" s="159"/>
      <c r="G1023" s="145">
        <f t="shared" si="48"/>
        <v>0</v>
      </c>
      <c r="H1023" s="140" t="str">
        <f t="shared" si="47"/>
        <v/>
      </c>
      <c r="I1023"/>
      <c r="J1023" s="147" t="str">
        <f>IFERROR(SUMIFS(当年实际!$V:$V,当年实际!$F:$F,$C1023,当年实际!$C:$C,"&gt;="&amp;DATE(YEAR(主页!$D$2),1,1),当年实际!$C:$C,"&lt;="&amp;EOMONTH(DATE(YEAR(主页!$D$2),MONTH(主页!$D$2),1),0))/SUMIFS(当年实际!$P:$P,当年实际!$F:$F,$C1023,当年实际!$C:$C,"&gt;="&amp;DATE(YEAR(主页!$D$2),1,1),当年实际!$C:$C,"&lt;="&amp;EOMONTH(DATE(YEAR(主页!$D$2),MONTH(主页!$D$2),1),0)),"")</f>
        <v/>
      </c>
    </row>
    <row r="1024" spans="1:10" x14ac:dyDescent="0.3">
      <c r="A1024" s="150"/>
      <c r="B1024" s="150"/>
      <c r="C1024" s="150"/>
      <c r="D1024" s="150"/>
      <c r="E1024" s="140" t="str">
        <f t="shared" si="46"/>
        <v/>
      </c>
      <c r="F1024" s="159"/>
      <c r="G1024" s="145">
        <f t="shared" si="48"/>
        <v>0</v>
      </c>
      <c r="H1024" s="140" t="str">
        <f t="shared" si="47"/>
        <v/>
      </c>
      <c r="I1024"/>
      <c r="J1024" s="147" t="str">
        <f>IFERROR(SUMIFS(当年实际!$V:$V,当年实际!$F:$F,$C1024,当年实际!$C:$C,"&gt;="&amp;DATE(YEAR(主页!$D$2),1,1),当年实际!$C:$C,"&lt;="&amp;EOMONTH(DATE(YEAR(主页!$D$2),MONTH(主页!$D$2),1),0))/SUMIFS(当年实际!$P:$P,当年实际!$F:$F,$C1024,当年实际!$C:$C,"&gt;="&amp;DATE(YEAR(主页!$D$2),1,1),当年实际!$C:$C,"&lt;="&amp;EOMONTH(DATE(YEAR(主页!$D$2),MONTH(主页!$D$2),1),0)),"")</f>
        <v/>
      </c>
    </row>
    <row r="1025" spans="1:10" x14ac:dyDescent="0.3">
      <c r="A1025" s="150"/>
      <c r="B1025" s="150"/>
      <c r="C1025" s="150"/>
      <c r="D1025" s="150"/>
      <c r="E1025" s="140" t="str">
        <f t="shared" si="46"/>
        <v/>
      </c>
      <c r="F1025" s="159"/>
      <c r="G1025" s="145">
        <f t="shared" si="48"/>
        <v>0</v>
      </c>
      <c r="H1025" s="140" t="str">
        <f t="shared" si="47"/>
        <v/>
      </c>
      <c r="I1025"/>
      <c r="J1025" s="147" t="str">
        <f>IFERROR(SUMIFS(当年实际!$V:$V,当年实际!$F:$F,$C1025,当年实际!$C:$C,"&gt;="&amp;DATE(YEAR(主页!$D$2),1,1),当年实际!$C:$C,"&lt;="&amp;EOMONTH(DATE(YEAR(主页!$D$2),MONTH(主页!$D$2),1),0))/SUMIFS(当年实际!$P:$P,当年实际!$F:$F,$C1025,当年实际!$C:$C,"&gt;="&amp;DATE(YEAR(主页!$D$2),1,1),当年实际!$C:$C,"&lt;="&amp;EOMONTH(DATE(YEAR(主页!$D$2),MONTH(主页!$D$2),1),0)),"")</f>
        <v/>
      </c>
    </row>
    <row r="1026" spans="1:10" x14ac:dyDescent="0.3">
      <c r="A1026" s="150"/>
      <c r="B1026" s="150"/>
      <c r="C1026" s="150"/>
      <c r="D1026" s="150"/>
      <c r="E1026" s="140" t="str">
        <f t="shared" si="46"/>
        <v/>
      </c>
      <c r="F1026" s="159"/>
      <c r="G1026" s="145">
        <f t="shared" si="48"/>
        <v>0</v>
      </c>
      <c r="H1026" s="140" t="str">
        <f t="shared" si="47"/>
        <v/>
      </c>
      <c r="I1026"/>
      <c r="J1026" s="147" t="str">
        <f>IFERROR(SUMIFS(当年实际!$V:$V,当年实际!$F:$F,$C1026,当年实际!$C:$C,"&gt;="&amp;DATE(YEAR(主页!$D$2),1,1),当年实际!$C:$C,"&lt;="&amp;EOMONTH(DATE(YEAR(主页!$D$2),MONTH(主页!$D$2),1),0))/SUMIFS(当年实际!$P:$P,当年实际!$F:$F,$C1026,当年实际!$C:$C,"&gt;="&amp;DATE(YEAR(主页!$D$2),1,1),当年实际!$C:$C,"&lt;="&amp;EOMONTH(DATE(YEAR(主页!$D$2),MONTH(主页!$D$2),1),0)),"")</f>
        <v/>
      </c>
    </row>
    <row r="1027" spans="1:10" x14ac:dyDescent="0.3">
      <c r="A1027" s="150"/>
      <c r="B1027" s="150"/>
      <c r="C1027" s="150"/>
      <c r="D1027" s="150"/>
      <c r="E1027" s="140" t="str">
        <f t="shared" si="46"/>
        <v/>
      </c>
      <c r="F1027" s="159"/>
      <c r="G1027" s="145">
        <f t="shared" si="48"/>
        <v>0</v>
      </c>
      <c r="H1027" s="140" t="str">
        <f t="shared" si="47"/>
        <v/>
      </c>
      <c r="I1027"/>
      <c r="J1027" s="147" t="str">
        <f>IFERROR(SUMIFS(当年实际!$V:$V,当年实际!$F:$F,$C1027,当年实际!$C:$C,"&gt;="&amp;DATE(YEAR(主页!$D$2),1,1),当年实际!$C:$C,"&lt;="&amp;EOMONTH(DATE(YEAR(主页!$D$2),MONTH(主页!$D$2),1),0))/SUMIFS(当年实际!$P:$P,当年实际!$F:$F,$C1027,当年实际!$C:$C,"&gt;="&amp;DATE(YEAR(主页!$D$2),1,1),当年实际!$C:$C,"&lt;="&amp;EOMONTH(DATE(YEAR(主页!$D$2),MONTH(主页!$D$2),1),0)),"")</f>
        <v/>
      </c>
    </row>
    <row r="1028" spans="1:10" x14ac:dyDescent="0.3">
      <c r="A1028" s="150"/>
      <c r="B1028" s="150"/>
      <c r="C1028" s="150"/>
      <c r="D1028" s="150"/>
      <c r="E1028" s="140" t="str">
        <f t="shared" ref="E1028:E1091" si="49">IF(D1028/SUM(D:D)=0,"",D1028/SUM(D:D))</f>
        <v/>
      </c>
      <c r="F1028" s="159"/>
      <c r="G1028" s="145">
        <f t="shared" si="48"/>
        <v>0</v>
      </c>
      <c r="H1028" s="140" t="str">
        <f t="shared" ref="H1028:H1091" si="50">IF(G1028/SUM(G:G)=0,"",G1028/SUM(G:G))</f>
        <v/>
      </c>
      <c r="I1028"/>
      <c r="J1028" s="147" t="str">
        <f>IFERROR(SUMIFS(当年实际!$V:$V,当年实际!$F:$F,$C1028,当年实际!$C:$C,"&gt;="&amp;DATE(YEAR(主页!$D$2),1,1),当年实际!$C:$C,"&lt;="&amp;EOMONTH(DATE(YEAR(主页!$D$2),MONTH(主页!$D$2),1),0))/SUMIFS(当年实际!$P:$P,当年实际!$F:$F,$C1028,当年实际!$C:$C,"&gt;="&amp;DATE(YEAR(主页!$D$2),1,1),当年实际!$C:$C,"&lt;="&amp;EOMONTH(DATE(YEAR(主页!$D$2),MONTH(主页!$D$2),1),0)),"")</f>
        <v/>
      </c>
    </row>
    <row r="1029" spans="1:10" x14ac:dyDescent="0.3">
      <c r="A1029" s="150"/>
      <c r="B1029" s="150"/>
      <c r="C1029" s="150"/>
      <c r="D1029" s="150"/>
      <c r="E1029" s="140" t="str">
        <f t="shared" si="49"/>
        <v/>
      </c>
      <c r="F1029" s="159"/>
      <c r="G1029" s="145">
        <f t="shared" si="48"/>
        <v>0</v>
      </c>
      <c r="H1029" s="140" t="str">
        <f t="shared" si="50"/>
        <v/>
      </c>
      <c r="I1029"/>
      <c r="J1029" s="147" t="str">
        <f>IFERROR(SUMIFS(当年实际!$V:$V,当年实际!$F:$F,$C1029,当年实际!$C:$C,"&gt;="&amp;DATE(YEAR(主页!$D$2),1,1),当年实际!$C:$C,"&lt;="&amp;EOMONTH(DATE(YEAR(主页!$D$2),MONTH(主页!$D$2),1),0))/SUMIFS(当年实际!$P:$P,当年实际!$F:$F,$C1029,当年实际!$C:$C,"&gt;="&amp;DATE(YEAR(主页!$D$2),1,1),当年实际!$C:$C,"&lt;="&amp;EOMONTH(DATE(YEAR(主页!$D$2),MONTH(主页!$D$2),1),0)),"")</f>
        <v/>
      </c>
    </row>
    <row r="1030" spans="1:10" x14ac:dyDescent="0.3">
      <c r="A1030" s="150"/>
      <c r="B1030" s="150"/>
      <c r="C1030" s="150"/>
      <c r="D1030" s="150"/>
      <c r="E1030" s="140" t="str">
        <f t="shared" si="49"/>
        <v/>
      </c>
      <c r="F1030" s="159"/>
      <c r="G1030" s="145">
        <f t="shared" si="48"/>
        <v>0</v>
      </c>
      <c r="H1030" s="140" t="str">
        <f t="shared" si="50"/>
        <v/>
      </c>
      <c r="I1030"/>
      <c r="J1030" s="147" t="str">
        <f>IFERROR(SUMIFS(当年实际!$V:$V,当年实际!$F:$F,$C1030,当年实际!$C:$C,"&gt;="&amp;DATE(YEAR(主页!$D$2),1,1),当年实际!$C:$C,"&lt;="&amp;EOMONTH(DATE(YEAR(主页!$D$2),MONTH(主页!$D$2),1),0))/SUMIFS(当年实际!$P:$P,当年实际!$F:$F,$C1030,当年实际!$C:$C,"&gt;="&amp;DATE(YEAR(主页!$D$2),1,1),当年实际!$C:$C,"&lt;="&amp;EOMONTH(DATE(YEAR(主页!$D$2),MONTH(主页!$D$2),1),0)),"")</f>
        <v/>
      </c>
    </row>
    <row r="1031" spans="1:10" x14ac:dyDescent="0.3">
      <c r="A1031" s="150"/>
      <c r="B1031" s="150"/>
      <c r="C1031" s="150"/>
      <c r="D1031" s="150"/>
      <c r="E1031" s="140" t="str">
        <f t="shared" si="49"/>
        <v/>
      </c>
      <c r="F1031" s="159"/>
      <c r="G1031" s="145">
        <f t="shared" ref="G1031:G1094" si="51">D1031*F1031</f>
        <v>0</v>
      </c>
      <c r="H1031" s="140" t="str">
        <f t="shared" si="50"/>
        <v/>
      </c>
      <c r="I1031"/>
      <c r="J1031" s="147" t="str">
        <f>IFERROR(SUMIFS(当年实际!$V:$V,当年实际!$F:$F,$C1031,当年实际!$C:$C,"&gt;="&amp;DATE(YEAR(主页!$D$2),1,1),当年实际!$C:$C,"&lt;="&amp;EOMONTH(DATE(YEAR(主页!$D$2),MONTH(主页!$D$2),1),0))/SUMIFS(当年实际!$P:$P,当年实际!$F:$F,$C1031,当年实际!$C:$C,"&gt;="&amp;DATE(YEAR(主页!$D$2),1,1),当年实际!$C:$C,"&lt;="&amp;EOMONTH(DATE(YEAR(主页!$D$2),MONTH(主页!$D$2),1),0)),"")</f>
        <v/>
      </c>
    </row>
    <row r="1032" spans="1:10" x14ac:dyDescent="0.3">
      <c r="A1032" s="150"/>
      <c r="B1032" s="150"/>
      <c r="C1032" s="150"/>
      <c r="D1032" s="150"/>
      <c r="E1032" s="140" t="str">
        <f t="shared" si="49"/>
        <v/>
      </c>
      <c r="F1032" s="159"/>
      <c r="G1032" s="145">
        <f t="shared" si="51"/>
        <v>0</v>
      </c>
      <c r="H1032" s="140" t="str">
        <f t="shared" si="50"/>
        <v/>
      </c>
      <c r="I1032"/>
      <c r="J1032" s="147" t="str">
        <f>IFERROR(SUMIFS(当年实际!$V:$V,当年实际!$F:$F,$C1032,当年实际!$C:$C,"&gt;="&amp;DATE(YEAR(主页!$D$2),1,1),当年实际!$C:$C,"&lt;="&amp;EOMONTH(DATE(YEAR(主页!$D$2),MONTH(主页!$D$2),1),0))/SUMIFS(当年实际!$P:$P,当年实际!$F:$F,$C1032,当年实际!$C:$C,"&gt;="&amp;DATE(YEAR(主页!$D$2),1,1),当年实际!$C:$C,"&lt;="&amp;EOMONTH(DATE(YEAR(主页!$D$2),MONTH(主页!$D$2),1),0)),"")</f>
        <v/>
      </c>
    </row>
    <row r="1033" spans="1:10" x14ac:dyDescent="0.3">
      <c r="A1033" s="150"/>
      <c r="B1033" s="150"/>
      <c r="C1033" s="150"/>
      <c r="D1033" s="150"/>
      <c r="E1033" s="140" t="str">
        <f t="shared" si="49"/>
        <v/>
      </c>
      <c r="F1033" s="159"/>
      <c r="G1033" s="145">
        <f t="shared" si="51"/>
        <v>0</v>
      </c>
      <c r="H1033" s="140" t="str">
        <f t="shared" si="50"/>
        <v/>
      </c>
      <c r="I1033"/>
      <c r="J1033" s="147" t="str">
        <f>IFERROR(SUMIFS(当年实际!$V:$V,当年实际!$F:$F,$C1033,当年实际!$C:$C,"&gt;="&amp;DATE(YEAR(主页!$D$2),1,1),当年实际!$C:$C,"&lt;="&amp;EOMONTH(DATE(YEAR(主页!$D$2),MONTH(主页!$D$2),1),0))/SUMIFS(当年实际!$P:$P,当年实际!$F:$F,$C1033,当年实际!$C:$C,"&gt;="&amp;DATE(YEAR(主页!$D$2),1,1),当年实际!$C:$C,"&lt;="&amp;EOMONTH(DATE(YEAR(主页!$D$2),MONTH(主页!$D$2),1),0)),"")</f>
        <v/>
      </c>
    </row>
    <row r="1034" spans="1:10" x14ac:dyDescent="0.3">
      <c r="A1034" s="150"/>
      <c r="B1034" s="150"/>
      <c r="C1034" s="150"/>
      <c r="D1034" s="150"/>
      <c r="E1034" s="140" t="str">
        <f t="shared" si="49"/>
        <v/>
      </c>
      <c r="F1034" s="159"/>
      <c r="G1034" s="145">
        <f t="shared" si="51"/>
        <v>0</v>
      </c>
      <c r="H1034" s="140" t="str">
        <f t="shared" si="50"/>
        <v/>
      </c>
      <c r="I1034"/>
      <c r="J1034" s="147" t="str">
        <f>IFERROR(SUMIFS(当年实际!$V:$V,当年实际!$F:$F,$C1034,当年实际!$C:$C,"&gt;="&amp;DATE(YEAR(主页!$D$2),1,1),当年实际!$C:$C,"&lt;="&amp;EOMONTH(DATE(YEAR(主页!$D$2),MONTH(主页!$D$2),1),0))/SUMIFS(当年实际!$P:$P,当年实际!$F:$F,$C1034,当年实际!$C:$C,"&gt;="&amp;DATE(YEAR(主页!$D$2),1,1),当年实际!$C:$C,"&lt;="&amp;EOMONTH(DATE(YEAR(主页!$D$2),MONTH(主页!$D$2),1),0)),"")</f>
        <v/>
      </c>
    </row>
    <row r="1035" spans="1:10" x14ac:dyDescent="0.3">
      <c r="A1035" s="150"/>
      <c r="B1035" s="150"/>
      <c r="C1035" s="150"/>
      <c r="D1035" s="150"/>
      <c r="E1035" s="140" t="str">
        <f t="shared" si="49"/>
        <v/>
      </c>
      <c r="F1035" s="159"/>
      <c r="G1035" s="145">
        <f t="shared" si="51"/>
        <v>0</v>
      </c>
      <c r="H1035" s="140" t="str">
        <f t="shared" si="50"/>
        <v/>
      </c>
      <c r="I1035"/>
      <c r="J1035" s="147" t="str">
        <f>IFERROR(SUMIFS(当年实际!$V:$V,当年实际!$F:$F,$C1035,当年实际!$C:$C,"&gt;="&amp;DATE(YEAR(主页!$D$2),1,1),当年实际!$C:$C,"&lt;="&amp;EOMONTH(DATE(YEAR(主页!$D$2),MONTH(主页!$D$2),1),0))/SUMIFS(当年实际!$P:$P,当年实际!$F:$F,$C1035,当年实际!$C:$C,"&gt;="&amp;DATE(YEAR(主页!$D$2),1,1),当年实际!$C:$C,"&lt;="&amp;EOMONTH(DATE(YEAR(主页!$D$2),MONTH(主页!$D$2),1),0)),"")</f>
        <v/>
      </c>
    </row>
    <row r="1036" spans="1:10" x14ac:dyDescent="0.3">
      <c r="A1036" s="150"/>
      <c r="B1036" s="150"/>
      <c r="C1036" s="150"/>
      <c r="D1036" s="150"/>
      <c r="E1036" s="140" t="str">
        <f t="shared" si="49"/>
        <v/>
      </c>
      <c r="F1036" s="159"/>
      <c r="G1036" s="145">
        <f t="shared" si="51"/>
        <v>0</v>
      </c>
      <c r="H1036" s="140" t="str">
        <f t="shared" si="50"/>
        <v/>
      </c>
      <c r="I1036"/>
      <c r="J1036" s="147" t="str">
        <f>IFERROR(SUMIFS(当年实际!$V:$V,当年实际!$F:$F,$C1036,当年实际!$C:$C,"&gt;="&amp;DATE(YEAR(主页!$D$2),1,1),当年实际!$C:$C,"&lt;="&amp;EOMONTH(DATE(YEAR(主页!$D$2),MONTH(主页!$D$2),1),0))/SUMIFS(当年实际!$P:$P,当年实际!$F:$F,$C1036,当年实际!$C:$C,"&gt;="&amp;DATE(YEAR(主页!$D$2),1,1),当年实际!$C:$C,"&lt;="&amp;EOMONTH(DATE(YEAR(主页!$D$2),MONTH(主页!$D$2),1),0)),"")</f>
        <v/>
      </c>
    </row>
    <row r="1037" spans="1:10" x14ac:dyDescent="0.3">
      <c r="A1037" s="150"/>
      <c r="B1037" s="150"/>
      <c r="C1037" s="150"/>
      <c r="D1037" s="150"/>
      <c r="E1037" s="140" t="str">
        <f t="shared" si="49"/>
        <v/>
      </c>
      <c r="F1037" s="159"/>
      <c r="G1037" s="145">
        <f t="shared" si="51"/>
        <v>0</v>
      </c>
      <c r="H1037" s="140" t="str">
        <f t="shared" si="50"/>
        <v/>
      </c>
      <c r="I1037"/>
      <c r="J1037" s="147" t="str">
        <f>IFERROR(SUMIFS(当年实际!$V:$V,当年实际!$F:$F,$C1037,当年实际!$C:$C,"&gt;="&amp;DATE(YEAR(主页!$D$2),1,1),当年实际!$C:$C,"&lt;="&amp;EOMONTH(DATE(YEAR(主页!$D$2),MONTH(主页!$D$2),1),0))/SUMIFS(当年实际!$P:$P,当年实际!$F:$F,$C1037,当年实际!$C:$C,"&gt;="&amp;DATE(YEAR(主页!$D$2),1,1),当年实际!$C:$C,"&lt;="&amp;EOMONTH(DATE(YEAR(主页!$D$2),MONTH(主页!$D$2),1),0)),"")</f>
        <v/>
      </c>
    </row>
    <row r="1038" spans="1:10" x14ac:dyDescent="0.3">
      <c r="A1038" s="150"/>
      <c r="B1038" s="150"/>
      <c r="C1038" s="150"/>
      <c r="D1038" s="150"/>
      <c r="E1038" s="140" t="str">
        <f t="shared" si="49"/>
        <v/>
      </c>
      <c r="F1038" s="159"/>
      <c r="G1038" s="145">
        <f t="shared" si="51"/>
        <v>0</v>
      </c>
      <c r="H1038" s="140" t="str">
        <f t="shared" si="50"/>
        <v/>
      </c>
      <c r="I1038"/>
      <c r="J1038" s="147" t="str">
        <f>IFERROR(SUMIFS(当年实际!$V:$V,当年实际!$F:$F,$C1038,当年实际!$C:$C,"&gt;="&amp;DATE(YEAR(主页!$D$2),1,1),当年实际!$C:$C,"&lt;="&amp;EOMONTH(DATE(YEAR(主页!$D$2),MONTH(主页!$D$2),1),0))/SUMIFS(当年实际!$P:$P,当年实际!$F:$F,$C1038,当年实际!$C:$C,"&gt;="&amp;DATE(YEAR(主页!$D$2),1,1),当年实际!$C:$C,"&lt;="&amp;EOMONTH(DATE(YEAR(主页!$D$2),MONTH(主页!$D$2),1),0)),"")</f>
        <v/>
      </c>
    </row>
    <row r="1039" spans="1:10" x14ac:dyDescent="0.3">
      <c r="A1039" s="150"/>
      <c r="B1039" s="150"/>
      <c r="C1039" s="150"/>
      <c r="D1039" s="150"/>
      <c r="E1039" s="140" t="str">
        <f t="shared" si="49"/>
        <v/>
      </c>
      <c r="F1039" s="159"/>
      <c r="G1039" s="145">
        <f t="shared" si="51"/>
        <v>0</v>
      </c>
      <c r="H1039" s="140" t="str">
        <f t="shared" si="50"/>
        <v/>
      </c>
      <c r="I1039"/>
      <c r="J1039" s="147" t="str">
        <f>IFERROR(SUMIFS(当年实际!$V:$V,当年实际!$F:$F,$C1039,当年实际!$C:$C,"&gt;="&amp;DATE(YEAR(主页!$D$2),1,1),当年实际!$C:$C,"&lt;="&amp;EOMONTH(DATE(YEAR(主页!$D$2),MONTH(主页!$D$2),1),0))/SUMIFS(当年实际!$P:$P,当年实际!$F:$F,$C1039,当年实际!$C:$C,"&gt;="&amp;DATE(YEAR(主页!$D$2),1,1),当年实际!$C:$C,"&lt;="&amp;EOMONTH(DATE(YEAR(主页!$D$2),MONTH(主页!$D$2),1),0)),"")</f>
        <v/>
      </c>
    </row>
    <row r="1040" spans="1:10" x14ac:dyDescent="0.3">
      <c r="A1040" s="150"/>
      <c r="B1040" s="150"/>
      <c r="C1040" s="150"/>
      <c r="D1040" s="150"/>
      <c r="E1040" s="140" t="str">
        <f t="shared" si="49"/>
        <v/>
      </c>
      <c r="F1040" s="159"/>
      <c r="G1040" s="145">
        <f t="shared" si="51"/>
        <v>0</v>
      </c>
      <c r="H1040" s="140" t="str">
        <f t="shared" si="50"/>
        <v/>
      </c>
      <c r="I1040"/>
      <c r="J1040" s="147" t="str">
        <f>IFERROR(SUMIFS(当年实际!$V:$V,当年实际!$F:$F,$C1040,当年实际!$C:$C,"&gt;="&amp;DATE(YEAR(主页!$D$2),1,1),当年实际!$C:$C,"&lt;="&amp;EOMONTH(DATE(YEAR(主页!$D$2),MONTH(主页!$D$2),1),0))/SUMIFS(当年实际!$P:$P,当年实际!$F:$F,$C1040,当年实际!$C:$C,"&gt;="&amp;DATE(YEAR(主页!$D$2),1,1),当年实际!$C:$C,"&lt;="&amp;EOMONTH(DATE(YEAR(主页!$D$2),MONTH(主页!$D$2),1),0)),"")</f>
        <v/>
      </c>
    </row>
    <row r="1041" spans="1:10" x14ac:dyDescent="0.3">
      <c r="A1041" s="150"/>
      <c r="B1041" s="150"/>
      <c r="C1041" s="150"/>
      <c r="D1041" s="150"/>
      <c r="E1041" s="140" t="str">
        <f t="shared" si="49"/>
        <v/>
      </c>
      <c r="F1041" s="159"/>
      <c r="G1041" s="145">
        <f t="shared" si="51"/>
        <v>0</v>
      </c>
      <c r="H1041" s="140" t="str">
        <f t="shared" si="50"/>
        <v/>
      </c>
      <c r="I1041"/>
      <c r="J1041" s="147" t="str">
        <f>IFERROR(SUMIFS(当年实际!$V:$V,当年实际!$F:$F,$C1041,当年实际!$C:$C,"&gt;="&amp;DATE(YEAR(主页!$D$2),1,1),当年实际!$C:$C,"&lt;="&amp;EOMONTH(DATE(YEAR(主页!$D$2),MONTH(主页!$D$2),1),0))/SUMIFS(当年实际!$P:$P,当年实际!$F:$F,$C1041,当年实际!$C:$C,"&gt;="&amp;DATE(YEAR(主页!$D$2),1,1),当年实际!$C:$C,"&lt;="&amp;EOMONTH(DATE(YEAR(主页!$D$2),MONTH(主页!$D$2),1),0)),"")</f>
        <v/>
      </c>
    </row>
    <row r="1042" spans="1:10" x14ac:dyDescent="0.3">
      <c r="A1042" s="150"/>
      <c r="B1042" s="150"/>
      <c r="C1042" s="150"/>
      <c r="D1042" s="150"/>
      <c r="E1042" s="140" t="str">
        <f t="shared" si="49"/>
        <v/>
      </c>
      <c r="F1042" s="159"/>
      <c r="G1042" s="145">
        <f t="shared" si="51"/>
        <v>0</v>
      </c>
      <c r="H1042" s="140" t="str">
        <f t="shared" si="50"/>
        <v/>
      </c>
      <c r="I1042"/>
      <c r="J1042" s="147" t="str">
        <f>IFERROR(SUMIFS(当年实际!$V:$V,当年实际!$F:$F,$C1042,当年实际!$C:$C,"&gt;="&amp;DATE(YEAR(主页!$D$2),1,1),当年实际!$C:$C,"&lt;="&amp;EOMONTH(DATE(YEAR(主页!$D$2),MONTH(主页!$D$2),1),0))/SUMIFS(当年实际!$P:$P,当年实际!$F:$F,$C1042,当年实际!$C:$C,"&gt;="&amp;DATE(YEAR(主页!$D$2),1,1),当年实际!$C:$C,"&lt;="&amp;EOMONTH(DATE(YEAR(主页!$D$2),MONTH(主页!$D$2),1),0)),"")</f>
        <v/>
      </c>
    </row>
    <row r="1043" spans="1:10" x14ac:dyDescent="0.3">
      <c r="A1043" s="150"/>
      <c r="B1043" s="150"/>
      <c r="C1043" s="150"/>
      <c r="D1043" s="150"/>
      <c r="E1043" s="140" t="str">
        <f t="shared" si="49"/>
        <v/>
      </c>
      <c r="F1043" s="159"/>
      <c r="G1043" s="145">
        <f t="shared" si="51"/>
        <v>0</v>
      </c>
      <c r="H1043" s="140" t="str">
        <f t="shared" si="50"/>
        <v/>
      </c>
      <c r="I1043"/>
      <c r="J1043" s="147" t="str">
        <f>IFERROR(SUMIFS(当年实际!$V:$V,当年实际!$F:$F,$C1043,当年实际!$C:$C,"&gt;="&amp;DATE(YEAR(主页!$D$2),1,1),当年实际!$C:$C,"&lt;="&amp;EOMONTH(DATE(YEAR(主页!$D$2),MONTH(主页!$D$2),1),0))/SUMIFS(当年实际!$P:$P,当年实际!$F:$F,$C1043,当年实际!$C:$C,"&gt;="&amp;DATE(YEAR(主页!$D$2),1,1),当年实际!$C:$C,"&lt;="&amp;EOMONTH(DATE(YEAR(主页!$D$2),MONTH(主页!$D$2),1),0)),"")</f>
        <v/>
      </c>
    </row>
    <row r="1044" spans="1:10" x14ac:dyDescent="0.3">
      <c r="A1044" s="150"/>
      <c r="B1044" s="150"/>
      <c r="C1044" s="150"/>
      <c r="D1044" s="150"/>
      <c r="E1044" s="140" t="str">
        <f t="shared" si="49"/>
        <v/>
      </c>
      <c r="F1044" s="159"/>
      <c r="G1044" s="145">
        <f t="shared" si="51"/>
        <v>0</v>
      </c>
      <c r="H1044" s="140" t="str">
        <f t="shared" si="50"/>
        <v/>
      </c>
      <c r="I1044"/>
      <c r="J1044" s="147" t="str">
        <f>IFERROR(SUMIFS(当年实际!$V:$V,当年实际!$F:$F,$C1044,当年实际!$C:$C,"&gt;="&amp;DATE(YEAR(主页!$D$2),1,1),当年实际!$C:$C,"&lt;="&amp;EOMONTH(DATE(YEAR(主页!$D$2),MONTH(主页!$D$2),1),0))/SUMIFS(当年实际!$P:$P,当年实际!$F:$F,$C1044,当年实际!$C:$C,"&gt;="&amp;DATE(YEAR(主页!$D$2),1,1),当年实际!$C:$C,"&lt;="&amp;EOMONTH(DATE(YEAR(主页!$D$2),MONTH(主页!$D$2),1),0)),"")</f>
        <v/>
      </c>
    </row>
    <row r="1045" spans="1:10" x14ac:dyDescent="0.3">
      <c r="A1045" s="150"/>
      <c r="B1045" s="150"/>
      <c r="C1045" s="150"/>
      <c r="D1045" s="150"/>
      <c r="E1045" s="140" t="str">
        <f t="shared" si="49"/>
        <v/>
      </c>
      <c r="F1045" s="159"/>
      <c r="G1045" s="145">
        <f t="shared" si="51"/>
        <v>0</v>
      </c>
      <c r="H1045" s="140" t="str">
        <f t="shared" si="50"/>
        <v/>
      </c>
      <c r="I1045"/>
      <c r="J1045" s="147" t="str">
        <f>IFERROR(SUMIFS(当年实际!$V:$V,当年实际!$F:$F,$C1045,当年实际!$C:$C,"&gt;="&amp;DATE(YEAR(主页!$D$2),1,1),当年实际!$C:$C,"&lt;="&amp;EOMONTH(DATE(YEAR(主页!$D$2),MONTH(主页!$D$2),1),0))/SUMIFS(当年实际!$P:$P,当年实际!$F:$F,$C1045,当年实际!$C:$C,"&gt;="&amp;DATE(YEAR(主页!$D$2),1,1),当年实际!$C:$C,"&lt;="&amp;EOMONTH(DATE(YEAR(主页!$D$2),MONTH(主页!$D$2),1),0)),"")</f>
        <v/>
      </c>
    </row>
    <row r="1046" spans="1:10" x14ac:dyDescent="0.3">
      <c r="A1046" s="150"/>
      <c r="B1046" s="150"/>
      <c r="C1046" s="150"/>
      <c r="D1046" s="150"/>
      <c r="E1046" s="140" t="str">
        <f t="shared" si="49"/>
        <v/>
      </c>
      <c r="F1046" s="159"/>
      <c r="G1046" s="145">
        <f t="shared" si="51"/>
        <v>0</v>
      </c>
      <c r="H1046" s="140" t="str">
        <f t="shared" si="50"/>
        <v/>
      </c>
      <c r="I1046"/>
      <c r="J1046" s="147" t="str">
        <f>IFERROR(SUMIFS(当年实际!$V:$V,当年实际!$F:$F,$C1046,当年实际!$C:$C,"&gt;="&amp;DATE(YEAR(主页!$D$2),1,1),当年实际!$C:$C,"&lt;="&amp;EOMONTH(DATE(YEAR(主页!$D$2),MONTH(主页!$D$2),1),0))/SUMIFS(当年实际!$P:$P,当年实际!$F:$F,$C1046,当年实际!$C:$C,"&gt;="&amp;DATE(YEAR(主页!$D$2),1,1),当年实际!$C:$C,"&lt;="&amp;EOMONTH(DATE(YEAR(主页!$D$2),MONTH(主页!$D$2),1),0)),"")</f>
        <v/>
      </c>
    </row>
    <row r="1047" spans="1:10" x14ac:dyDescent="0.3">
      <c r="A1047" s="150"/>
      <c r="B1047" s="150"/>
      <c r="C1047" s="150"/>
      <c r="D1047" s="150"/>
      <c r="E1047" s="140" t="str">
        <f t="shared" si="49"/>
        <v/>
      </c>
      <c r="F1047" s="159"/>
      <c r="G1047" s="145">
        <f t="shared" si="51"/>
        <v>0</v>
      </c>
      <c r="H1047" s="140" t="str">
        <f t="shared" si="50"/>
        <v/>
      </c>
      <c r="I1047"/>
      <c r="J1047" s="147" t="str">
        <f>IFERROR(SUMIFS(当年实际!$V:$V,当年实际!$F:$F,$C1047,当年实际!$C:$C,"&gt;="&amp;DATE(YEAR(主页!$D$2),1,1),当年实际!$C:$C,"&lt;="&amp;EOMONTH(DATE(YEAR(主页!$D$2),MONTH(主页!$D$2),1),0))/SUMIFS(当年实际!$P:$P,当年实际!$F:$F,$C1047,当年实际!$C:$C,"&gt;="&amp;DATE(YEAR(主页!$D$2),1,1),当年实际!$C:$C,"&lt;="&amp;EOMONTH(DATE(YEAR(主页!$D$2),MONTH(主页!$D$2),1),0)),"")</f>
        <v/>
      </c>
    </row>
    <row r="1048" spans="1:10" x14ac:dyDescent="0.3">
      <c r="A1048" s="150"/>
      <c r="B1048" s="150"/>
      <c r="C1048" s="150"/>
      <c r="D1048" s="150"/>
      <c r="E1048" s="140" t="str">
        <f t="shared" si="49"/>
        <v/>
      </c>
      <c r="F1048" s="159"/>
      <c r="G1048" s="145">
        <f t="shared" si="51"/>
        <v>0</v>
      </c>
      <c r="H1048" s="140" t="str">
        <f t="shared" si="50"/>
        <v/>
      </c>
      <c r="I1048"/>
      <c r="J1048" s="147" t="str">
        <f>IFERROR(SUMIFS(当年实际!$V:$V,当年实际!$F:$F,$C1048,当年实际!$C:$C,"&gt;="&amp;DATE(YEAR(主页!$D$2),1,1),当年实际!$C:$C,"&lt;="&amp;EOMONTH(DATE(YEAR(主页!$D$2),MONTH(主页!$D$2),1),0))/SUMIFS(当年实际!$P:$P,当年实际!$F:$F,$C1048,当年实际!$C:$C,"&gt;="&amp;DATE(YEAR(主页!$D$2),1,1),当年实际!$C:$C,"&lt;="&amp;EOMONTH(DATE(YEAR(主页!$D$2),MONTH(主页!$D$2),1),0)),"")</f>
        <v/>
      </c>
    </row>
    <row r="1049" spans="1:10" x14ac:dyDescent="0.3">
      <c r="A1049" s="150"/>
      <c r="B1049" s="150"/>
      <c r="C1049" s="150"/>
      <c r="D1049" s="150"/>
      <c r="E1049" s="140" t="str">
        <f t="shared" si="49"/>
        <v/>
      </c>
      <c r="F1049" s="159"/>
      <c r="G1049" s="145">
        <f t="shared" si="51"/>
        <v>0</v>
      </c>
      <c r="H1049" s="140" t="str">
        <f t="shared" si="50"/>
        <v/>
      </c>
      <c r="I1049"/>
      <c r="J1049" s="147" t="str">
        <f>IFERROR(SUMIFS(当年实际!$V:$V,当年实际!$F:$F,$C1049,当年实际!$C:$C,"&gt;="&amp;DATE(YEAR(主页!$D$2),1,1),当年实际!$C:$C,"&lt;="&amp;EOMONTH(DATE(YEAR(主页!$D$2),MONTH(主页!$D$2),1),0))/SUMIFS(当年实际!$P:$P,当年实际!$F:$F,$C1049,当年实际!$C:$C,"&gt;="&amp;DATE(YEAR(主页!$D$2),1,1),当年实际!$C:$C,"&lt;="&amp;EOMONTH(DATE(YEAR(主页!$D$2),MONTH(主页!$D$2),1),0)),"")</f>
        <v/>
      </c>
    </row>
    <row r="1050" spans="1:10" x14ac:dyDescent="0.3">
      <c r="A1050" s="150"/>
      <c r="B1050" s="150"/>
      <c r="C1050" s="150"/>
      <c r="D1050" s="150"/>
      <c r="E1050" s="140" t="str">
        <f t="shared" si="49"/>
        <v/>
      </c>
      <c r="F1050" s="159"/>
      <c r="G1050" s="145">
        <f t="shared" si="51"/>
        <v>0</v>
      </c>
      <c r="H1050" s="140" t="str">
        <f t="shared" si="50"/>
        <v/>
      </c>
      <c r="I1050"/>
      <c r="J1050" s="147" t="str">
        <f>IFERROR(SUMIFS(当年实际!$V:$V,当年实际!$F:$F,$C1050,当年实际!$C:$C,"&gt;="&amp;DATE(YEAR(主页!$D$2),1,1),当年实际!$C:$C,"&lt;="&amp;EOMONTH(DATE(YEAR(主页!$D$2),MONTH(主页!$D$2),1),0))/SUMIFS(当年实际!$P:$P,当年实际!$F:$F,$C1050,当年实际!$C:$C,"&gt;="&amp;DATE(YEAR(主页!$D$2),1,1),当年实际!$C:$C,"&lt;="&amp;EOMONTH(DATE(YEAR(主页!$D$2),MONTH(主页!$D$2),1),0)),"")</f>
        <v/>
      </c>
    </row>
    <row r="1051" spans="1:10" x14ac:dyDescent="0.3">
      <c r="A1051" s="150"/>
      <c r="B1051" s="150"/>
      <c r="C1051" s="150"/>
      <c r="D1051" s="150"/>
      <c r="E1051" s="140" t="str">
        <f t="shared" si="49"/>
        <v/>
      </c>
      <c r="F1051" s="159"/>
      <c r="G1051" s="145">
        <f t="shared" si="51"/>
        <v>0</v>
      </c>
      <c r="H1051" s="140" t="str">
        <f t="shared" si="50"/>
        <v/>
      </c>
      <c r="I1051"/>
      <c r="J1051" s="147" t="str">
        <f>IFERROR(SUMIFS(当年实际!$V:$V,当年实际!$F:$F,$C1051,当年实际!$C:$C,"&gt;="&amp;DATE(YEAR(主页!$D$2),1,1),当年实际!$C:$C,"&lt;="&amp;EOMONTH(DATE(YEAR(主页!$D$2),MONTH(主页!$D$2),1),0))/SUMIFS(当年实际!$P:$P,当年实际!$F:$F,$C1051,当年实际!$C:$C,"&gt;="&amp;DATE(YEAR(主页!$D$2),1,1),当年实际!$C:$C,"&lt;="&amp;EOMONTH(DATE(YEAR(主页!$D$2),MONTH(主页!$D$2),1),0)),"")</f>
        <v/>
      </c>
    </row>
    <row r="1052" spans="1:10" x14ac:dyDescent="0.3">
      <c r="A1052" s="150"/>
      <c r="B1052" s="150"/>
      <c r="C1052" s="150"/>
      <c r="D1052" s="150"/>
      <c r="E1052" s="140" t="str">
        <f t="shared" si="49"/>
        <v/>
      </c>
      <c r="F1052" s="159"/>
      <c r="G1052" s="145">
        <f t="shared" si="51"/>
        <v>0</v>
      </c>
      <c r="H1052" s="140" t="str">
        <f t="shared" si="50"/>
        <v/>
      </c>
      <c r="I1052"/>
      <c r="J1052" s="147" t="str">
        <f>IFERROR(SUMIFS(当年实际!$V:$V,当年实际!$F:$F,$C1052,当年实际!$C:$C,"&gt;="&amp;DATE(YEAR(主页!$D$2),1,1),当年实际!$C:$C,"&lt;="&amp;EOMONTH(DATE(YEAR(主页!$D$2),MONTH(主页!$D$2),1),0))/SUMIFS(当年实际!$P:$P,当年实际!$F:$F,$C1052,当年实际!$C:$C,"&gt;="&amp;DATE(YEAR(主页!$D$2),1,1),当年实际!$C:$C,"&lt;="&amp;EOMONTH(DATE(YEAR(主页!$D$2),MONTH(主页!$D$2),1),0)),"")</f>
        <v/>
      </c>
    </row>
    <row r="1053" spans="1:10" x14ac:dyDescent="0.3">
      <c r="A1053" s="150"/>
      <c r="B1053" s="150"/>
      <c r="C1053" s="150"/>
      <c r="D1053" s="150"/>
      <c r="E1053" s="140" t="str">
        <f t="shared" si="49"/>
        <v/>
      </c>
      <c r="F1053" s="159"/>
      <c r="G1053" s="145">
        <f t="shared" si="51"/>
        <v>0</v>
      </c>
      <c r="H1053" s="140" t="str">
        <f t="shared" si="50"/>
        <v/>
      </c>
      <c r="I1053"/>
      <c r="J1053" s="147" t="str">
        <f>IFERROR(SUMIFS(当年实际!$V:$V,当年实际!$F:$F,$C1053,当年实际!$C:$C,"&gt;="&amp;DATE(YEAR(主页!$D$2),1,1),当年实际!$C:$C,"&lt;="&amp;EOMONTH(DATE(YEAR(主页!$D$2),MONTH(主页!$D$2),1),0))/SUMIFS(当年实际!$P:$P,当年实际!$F:$F,$C1053,当年实际!$C:$C,"&gt;="&amp;DATE(YEAR(主页!$D$2),1,1),当年实际!$C:$C,"&lt;="&amp;EOMONTH(DATE(YEAR(主页!$D$2),MONTH(主页!$D$2),1),0)),"")</f>
        <v/>
      </c>
    </row>
    <row r="1054" spans="1:10" x14ac:dyDescent="0.3">
      <c r="A1054" s="150"/>
      <c r="B1054" s="150"/>
      <c r="C1054" s="150"/>
      <c r="D1054" s="150"/>
      <c r="E1054" s="140" t="str">
        <f t="shared" si="49"/>
        <v/>
      </c>
      <c r="F1054" s="159"/>
      <c r="G1054" s="145">
        <f t="shared" si="51"/>
        <v>0</v>
      </c>
      <c r="H1054" s="140" t="str">
        <f t="shared" si="50"/>
        <v/>
      </c>
      <c r="I1054"/>
      <c r="J1054" s="147" t="str">
        <f>IFERROR(SUMIFS(当年实际!$V:$V,当年实际!$F:$F,$C1054,当年实际!$C:$C,"&gt;="&amp;DATE(YEAR(主页!$D$2),1,1),当年实际!$C:$C,"&lt;="&amp;EOMONTH(DATE(YEAR(主页!$D$2),MONTH(主页!$D$2),1),0))/SUMIFS(当年实际!$P:$P,当年实际!$F:$F,$C1054,当年实际!$C:$C,"&gt;="&amp;DATE(YEAR(主页!$D$2),1,1),当年实际!$C:$C,"&lt;="&amp;EOMONTH(DATE(YEAR(主页!$D$2),MONTH(主页!$D$2),1),0)),"")</f>
        <v/>
      </c>
    </row>
    <row r="1055" spans="1:10" x14ac:dyDescent="0.3">
      <c r="A1055" s="150"/>
      <c r="B1055" s="150"/>
      <c r="C1055" s="150"/>
      <c r="D1055" s="150"/>
      <c r="E1055" s="140" t="str">
        <f t="shared" si="49"/>
        <v/>
      </c>
      <c r="F1055" s="159"/>
      <c r="G1055" s="145">
        <f t="shared" si="51"/>
        <v>0</v>
      </c>
      <c r="H1055" s="140" t="str">
        <f t="shared" si="50"/>
        <v/>
      </c>
      <c r="I1055"/>
      <c r="J1055" s="147" t="str">
        <f>IFERROR(SUMIFS(当年实际!$V:$V,当年实际!$F:$F,$C1055,当年实际!$C:$C,"&gt;="&amp;DATE(YEAR(主页!$D$2),1,1),当年实际!$C:$C,"&lt;="&amp;EOMONTH(DATE(YEAR(主页!$D$2),MONTH(主页!$D$2),1),0))/SUMIFS(当年实际!$P:$P,当年实际!$F:$F,$C1055,当年实际!$C:$C,"&gt;="&amp;DATE(YEAR(主页!$D$2),1,1),当年实际!$C:$C,"&lt;="&amp;EOMONTH(DATE(YEAR(主页!$D$2),MONTH(主页!$D$2),1),0)),"")</f>
        <v/>
      </c>
    </row>
    <row r="1056" spans="1:10" x14ac:dyDescent="0.3">
      <c r="A1056" s="150"/>
      <c r="B1056" s="150"/>
      <c r="C1056" s="150"/>
      <c r="D1056" s="150"/>
      <c r="E1056" s="140" t="str">
        <f t="shared" si="49"/>
        <v/>
      </c>
      <c r="F1056" s="159"/>
      <c r="G1056" s="145">
        <f t="shared" si="51"/>
        <v>0</v>
      </c>
      <c r="H1056" s="140" t="str">
        <f t="shared" si="50"/>
        <v/>
      </c>
      <c r="I1056"/>
      <c r="J1056" s="147" t="str">
        <f>IFERROR(SUMIFS(当年实际!$V:$V,当年实际!$F:$F,$C1056,当年实际!$C:$C,"&gt;="&amp;DATE(YEAR(主页!$D$2),1,1),当年实际!$C:$C,"&lt;="&amp;EOMONTH(DATE(YEAR(主页!$D$2),MONTH(主页!$D$2),1),0))/SUMIFS(当年实际!$P:$P,当年实际!$F:$F,$C1056,当年实际!$C:$C,"&gt;="&amp;DATE(YEAR(主页!$D$2),1,1),当年实际!$C:$C,"&lt;="&amp;EOMONTH(DATE(YEAR(主页!$D$2),MONTH(主页!$D$2),1),0)),"")</f>
        <v/>
      </c>
    </row>
    <row r="1057" spans="1:10" x14ac:dyDescent="0.3">
      <c r="A1057" s="150"/>
      <c r="B1057" s="150"/>
      <c r="C1057" s="150"/>
      <c r="D1057" s="150"/>
      <c r="E1057" s="140" t="str">
        <f t="shared" si="49"/>
        <v/>
      </c>
      <c r="F1057" s="159"/>
      <c r="G1057" s="145">
        <f t="shared" si="51"/>
        <v>0</v>
      </c>
      <c r="H1057" s="140" t="str">
        <f t="shared" si="50"/>
        <v/>
      </c>
      <c r="I1057"/>
      <c r="J1057" s="147" t="str">
        <f>IFERROR(SUMIFS(当年实际!$V:$V,当年实际!$F:$F,$C1057,当年实际!$C:$C,"&gt;="&amp;DATE(YEAR(主页!$D$2),1,1),当年实际!$C:$C,"&lt;="&amp;EOMONTH(DATE(YEAR(主页!$D$2),MONTH(主页!$D$2),1),0))/SUMIFS(当年实际!$P:$P,当年实际!$F:$F,$C1057,当年实际!$C:$C,"&gt;="&amp;DATE(YEAR(主页!$D$2),1,1),当年实际!$C:$C,"&lt;="&amp;EOMONTH(DATE(YEAR(主页!$D$2),MONTH(主页!$D$2),1),0)),"")</f>
        <v/>
      </c>
    </row>
    <row r="1058" spans="1:10" x14ac:dyDescent="0.3">
      <c r="A1058" s="150"/>
      <c r="B1058" s="150"/>
      <c r="C1058" s="150"/>
      <c r="D1058" s="150"/>
      <c r="E1058" s="140" t="str">
        <f t="shared" si="49"/>
        <v/>
      </c>
      <c r="F1058" s="159"/>
      <c r="G1058" s="145">
        <f t="shared" si="51"/>
        <v>0</v>
      </c>
      <c r="H1058" s="140" t="str">
        <f t="shared" si="50"/>
        <v/>
      </c>
      <c r="I1058"/>
      <c r="J1058" s="147" t="str">
        <f>IFERROR(SUMIFS(当年实际!$V:$V,当年实际!$F:$F,$C1058,当年实际!$C:$C,"&gt;="&amp;DATE(YEAR(主页!$D$2),1,1),当年实际!$C:$C,"&lt;="&amp;EOMONTH(DATE(YEAR(主页!$D$2),MONTH(主页!$D$2),1),0))/SUMIFS(当年实际!$P:$P,当年实际!$F:$F,$C1058,当年实际!$C:$C,"&gt;="&amp;DATE(YEAR(主页!$D$2),1,1),当年实际!$C:$C,"&lt;="&amp;EOMONTH(DATE(YEAR(主页!$D$2),MONTH(主页!$D$2),1),0)),"")</f>
        <v/>
      </c>
    </row>
    <row r="1059" spans="1:10" x14ac:dyDescent="0.3">
      <c r="A1059" s="150"/>
      <c r="B1059" s="150"/>
      <c r="C1059" s="150"/>
      <c r="D1059" s="150"/>
      <c r="E1059" s="140" t="str">
        <f t="shared" si="49"/>
        <v/>
      </c>
      <c r="F1059" s="159"/>
      <c r="G1059" s="145">
        <f t="shared" si="51"/>
        <v>0</v>
      </c>
      <c r="H1059" s="140" t="str">
        <f t="shared" si="50"/>
        <v/>
      </c>
      <c r="I1059"/>
      <c r="J1059" s="147" t="str">
        <f>IFERROR(SUMIFS(当年实际!$V:$V,当年实际!$F:$F,$C1059,当年实际!$C:$C,"&gt;="&amp;DATE(YEAR(主页!$D$2),1,1),当年实际!$C:$C,"&lt;="&amp;EOMONTH(DATE(YEAR(主页!$D$2),MONTH(主页!$D$2),1),0))/SUMIFS(当年实际!$P:$P,当年实际!$F:$F,$C1059,当年实际!$C:$C,"&gt;="&amp;DATE(YEAR(主页!$D$2),1,1),当年实际!$C:$C,"&lt;="&amp;EOMONTH(DATE(YEAR(主页!$D$2),MONTH(主页!$D$2),1),0)),"")</f>
        <v/>
      </c>
    </row>
    <row r="1060" spans="1:10" x14ac:dyDescent="0.3">
      <c r="A1060" s="150"/>
      <c r="B1060" s="150"/>
      <c r="C1060" s="150"/>
      <c r="D1060" s="150"/>
      <c r="E1060" s="140" t="str">
        <f t="shared" si="49"/>
        <v/>
      </c>
      <c r="F1060" s="159"/>
      <c r="G1060" s="145">
        <f t="shared" si="51"/>
        <v>0</v>
      </c>
      <c r="H1060" s="140" t="str">
        <f t="shared" si="50"/>
        <v/>
      </c>
      <c r="I1060"/>
      <c r="J1060" s="147" t="str">
        <f>IFERROR(SUMIFS(当年实际!$V:$V,当年实际!$F:$F,$C1060,当年实际!$C:$C,"&gt;="&amp;DATE(YEAR(主页!$D$2),1,1),当年实际!$C:$C,"&lt;="&amp;EOMONTH(DATE(YEAR(主页!$D$2),MONTH(主页!$D$2),1),0))/SUMIFS(当年实际!$P:$P,当年实际!$F:$F,$C1060,当年实际!$C:$C,"&gt;="&amp;DATE(YEAR(主页!$D$2),1,1),当年实际!$C:$C,"&lt;="&amp;EOMONTH(DATE(YEAR(主页!$D$2),MONTH(主页!$D$2),1),0)),"")</f>
        <v/>
      </c>
    </row>
    <row r="1061" spans="1:10" x14ac:dyDescent="0.3">
      <c r="A1061" s="150"/>
      <c r="B1061" s="150"/>
      <c r="C1061" s="150"/>
      <c r="D1061" s="150"/>
      <c r="E1061" s="140" t="str">
        <f t="shared" si="49"/>
        <v/>
      </c>
      <c r="F1061" s="159"/>
      <c r="G1061" s="145">
        <f t="shared" si="51"/>
        <v>0</v>
      </c>
      <c r="H1061" s="140" t="str">
        <f t="shared" si="50"/>
        <v/>
      </c>
      <c r="I1061"/>
      <c r="J1061" s="147" t="str">
        <f>IFERROR(SUMIFS(当年实际!$V:$V,当年实际!$F:$F,$C1061,当年实际!$C:$C,"&gt;="&amp;DATE(YEAR(主页!$D$2),1,1),当年实际!$C:$C,"&lt;="&amp;EOMONTH(DATE(YEAR(主页!$D$2),MONTH(主页!$D$2),1),0))/SUMIFS(当年实际!$P:$P,当年实际!$F:$F,$C1061,当年实际!$C:$C,"&gt;="&amp;DATE(YEAR(主页!$D$2),1,1),当年实际!$C:$C,"&lt;="&amp;EOMONTH(DATE(YEAR(主页!$D$2),MONTH(主页!$D$2),1),0)),"")</f>
        <v/>
      </c>
    </row>
    <row r="1062" spans="1:10" x14ac:dyDescent="0.3">
      <c r="A1062" s="150"/>
      <c r="B1062" s="150"/>
      <c r="C1062" s="150"/>
      <c r="D1062" s="150"/>
      <c r="E1062" s="140" t="str">
        <f t="shared" si="49"/>
        <v/>
      </c>
      <c r="F1062" s="159"/>
      <c r="G1062" s="145">
        <f t="shared" si="51"/>
        <v>0</v>
      </c>
      <c r="H1062" s="140" t="str">
        <f t="shared" si="50"/>
        <v/>
      </c>
      <c r="I1062"/>
      <c r="J1062" s="147" t="str">
        <f>IFERROR(SUMIFS(当年实际!$V:$V,当年实际!$F:$F,$C1062,当年实际!$C:$C,"&gt;="&amp;DATE(YEAR(主页!$D$2),1,1),当年实际!$C:$C,"&lt;="&amp;EOMONTH(DATE(YEAR(主页!$D$2),MONTH(主页!$D$2),1),0))/SUMIFS(当年实际!$P:$P,当年实际!$F:$F,$C1062,当年实际!$C:$C,"&gt;="&amp;DATE(YEAR(主页!$D$2),1,1),当年实际!$C:$C,"&lt;="&amp;EOMONTH(DATE(YEAR(主页!$D$2),MONTH(主页!$D$2),1),0)),"")</f>
        <v/>
      </c>
    </row>
    <row r="1063" spans="1:10" x14ac:dyDescent="0.3">
      <c r="A1063" s="150"/>
      <c r="B1063" s="150"/>
      <c r="C1063" s="150"/>
      <c r="D1063" s="150"/>
      <c r="E1063" s="140" t="str">
        <f t="shared" si="49"/>
        <v/>
      </c>
      <c r="F1063" s="159"/>
      <c r="G1063" s="145">
        <f t="shared" si="51"/>
        <v>0</v>
      </c>
      <c r="H1063" s="140" t="str">
        <f t="shared" si="50"/>
        <v/>
      </c>
      <c r="I1063"/>
      <c r="J1063" s="147" t="str">
        <f>IFERROR(SUMIFS(当年实际!$V:$V,当年实际!$F:$F,$C1063,当年实际!$C:$C,"&gt;="&amp;DATE(YEAR(主页!$D$2),1,1),当年实际!$C:$C,"&lt;="&amp;EOMONTH(DATE(YEAR(主页!$D$2),MONTH(主页!$D$2),1),0))/SUMIFS(当年实际!$P:$P,当年实际!$F:$F,$C1063,当年实际!$C:$C,"&gt;="&amp;DATE(YEAR(主页!$D$2),1,1),当年实际!$C:$C,"&lt;="&amp;EOMONTH(DATE(YEAR(主页!$D$2),MONTH(主页!$D$2),1),0)),"")</f>
        <v/>
      </c>
    </row>
    <row r="1064" spans="1:10" x14ac:dyDescent="0.3">
      <c r="A1064" s="150"/>
      <c r="B1064" s="150"/>
      <c r="C1064" s="150"/>
      <c r="D1064" s="150"/>
      <c r="E1064" s="140" t="str">
        <f t="shared" si="49"/>
        <v/>
      </c>
      <c r="F1064" s="159"/>
      <c r="G1064" s="145">
        <f t="shared" si="51"/>
        <v>0</v>
      </c>
      <c r="H1064" s="140" t="str">
        <f t="shared" si="50"/>
        <v/>
      </c>
      <c r="I1064"/>
      <c r="J1064" s="147" t="str">
        <f>IFERROR(SUMIFS(当年实际!$V:$V,当年实际!$F:$F,$C1064,当年实际!$C:$C,"&gt;="&amp;DATE(YEAR(主页!$D$2),1,1),当年实际!$C:$C,"&lt;="&amp;EOMONTH(DATE(YEAR(主页!$D$2),MONTH(主页!$D$2),1),0))/SUMIFS(当年实际!$P:$P,当年实际!$F:$F,$C1064,当年实际!$C:$C,"&gt;="&amp;DATE(YEAR(主页!$D$2),1,1),当年实际!$C:$C,"&lt;="&amp;EOMONTH(DATE(YEAR(主页!$D$2),MONTH(主页!$D$2),1),0)),"")</f>
        <v/>
      </c>
    </row>
    <row r="1065" spans="1:10" x14ac:dyDescent="0.3">
      <c r="A1065" s="150"/>
      <c r="B1065" s="150"/>
      <c r="C1065" s="150"/>
      <c r="D1065" s="150"/>
      <c r="E1065" s="140" t="str">
        <f t="shared" si="49"/>
        <v/>
      </c>
      <c r="F1065" s="159"/>
      <c r="G1065" s="145">
        <f t="shared" si="51"/>
        <v>0</v>
      </c>
      <c r="H1065" s="140" t="str">
        <f t="shared" si="50"/>
        <v/>
      </c>
      <c r="I1065"/>
      <c r="J1065" s="147" t="str">
        <f>IFERROR(SUMIFS(当年实际!$V:$V,当年实际!$F:$F,$C1065,当年实际!$C:$C,"&gt;="&amp;DATE(YEAR(主页!$D$2),1,1),当年实际!$C:$C,"&lt;="&amp;EOMONTH(DATE(YEAR(主页!$D$2),MONTH(主页!$D$2),1),0))/SUMIFS(当年实际!$P:$P,当年实际!$F:$F,$C1065,当年实际!$C:$C,"&gt;="&amp;DATE(YEAR(主页!$D$2),1,1),当年实际!$C:$C,"&lt;="&amp;EOMONTH(DATE(YEAR(主页!$D$2),MONTH(主页!$D$2),1),0)),"")</f>
        <v/>
      </c>
    </row>
    <row r="1066" spans="1:10" x14ac:dyDescent="0.3">
      <c r="A1066" s="150"/>
      <c r="B1066" s="150"/>
      <c r="C1066" s="150"/>
      <c r="D1066" s="150"/>
      <c r="E1066" s="140" t="str">
        <f t="shared" si="49"/>
        <v/>
      </c>
      <c r="F1066" s="159"/>
      <c r="G1066" s="145">
        <f t="shared" si="51"/>
        <v>0</v>
      </c>
      <c r="H1066" s="140" t="str">
        <f t="shared" si="50"/>
        <v/>
      </c>
      <c r="I1066"/>
      <c r="J1066" s="147" t="str">
        <f>IFERROR(SUMIFS(当年实际!$V:$V,当年实际!$F:$F,$C1066,当年实际!$C:$C,"&gt;="&amp;DATE(YEAR(主页!$D$2),1,1),当年实际!$C:$C,"&lt;="&amp;EOMONTH(DATE(YEAR(主页!$D$2),MONTH(主页!$D$2),1),0))/SUMIFS(当年实际!$P:$P,当年实际!$F:$F,$C1066,当年实际!$C:$C,"&gt;="&amp;DATE(YEAR(主页!$D$2),1,1),当年实际!$C:$C,"&lt;="&amp;EOMONTH(DATE(YEAR(主页!$D$2),MONTH(主页!$D$2),1),0)),"")</f>
        <v/>
      </c>
    </row>
    <row r="1067" spans="1:10" x14ac:dyDescent="0.3">
      <c r="A1067" s="150"/>
      <c r="B1067" s="150"/>
      <c r="C1067" s="150"/>
      <c r="D1067" s="150"/>
      <c r="E1067" s="140" t="str">
        <f t="shared" si="49"/>
        <v/>
      </c>
      <c r="F1067" s="159"/>
      <c r="G1067" s="145">
        <f t="shared" si="51"/>
        <v>0</v>
      </c>
      <c r="H1067" s="140" t="str">
        <f t="shared" si="50"/>
        <v/>
      </c>
      <c r="I1067"/>
      <c r="J1067" s="147" t="str">
        <f>IFERROR(SUMIFS(当年实际!$V:$V,当年实际!$F:$F,$C1067,当年实际!$C:$C,"&gt;="&amp;DATE(YEAR(主页!$D$2),1,1),当年实际!$C:$C,"&lt;="&amp;EOMONTH(DATE(YEAR(主页!$D$2),MONTH(主页!$D$2),1),0))/SUMIFS(当年实际!$P:$P,当年实际!$F:$F,$C1067,当年实际!$C:$C,"&gt;="&amp;DATE(YEAR(主页!$D$2),1,1),当年实际!$C:$C,"&lt;="&amp;EOMONTH(DATE(YEAR(主页!$D$2),MONTH(主页!$D$2),1),0)),"")</f>
        <v/>
      </c>
    </row>
    <row r="1068" spans="1:10" x14ac:dyDescent="0.3">
      <c r="A1068" s="150"/>
      <c r="B1068" s="150"/>
      <c r="C1068" s="150"/>
      <c r="D1068" s="150"/>
      <c r="E1068" s="140" t="str">
        <f t="shared" si="49"/>
        <v/>
      </c>
      <c r="F1068" s="159"/>
      <c r="G1068" s="145">
        <f t="shared" si="51"/>
        <v>0</v>
      </c>
      <c r="H1068" s="140" t="str">
        <f t="shared" si="50"/>
        <v/>
      </c>
      <c r="I1068"/>
      <c r="J1068" s="147" t="str">
        <f>IFERROR(SUMIFS(当年实际!$V:$V,当年实际!$F:$F,$C1068,当年实际!$C:$C,"&gt;="&amp;DATE(YEAR(主页!$D$2),1,1),当年实际!$C:$C,"&lt;="&amp;EOMONTH(DATE(YEAR(主页!$D$2),MONTH(主页!$D$2),1),0))/SUMIFS(当年实际!$P:$P,当年实际!$F:$F,$C1068,当年实际!$C:$C,"&gt;="&amp;DATE(YEAR(主页!$D$2),1,1),当年实际!$C:$C,"&lt;="&amp;EOMONTH(DATE(YEAR(主页!$D$2),MONTH(主页!$D$2),1),0)),"")</f>
        <v/>
      </c>
    </row>
    <row r="1069" spans="1:10" x14ac:dyDescent="0.3">
      <c r="A1069" s="150"/>
      <c r="B1069" s="150"/>
      <c r="C1069" s="150"/>
      <c r="D1069" s="150"/>
      <c r="E1069" s="140" t="str">
        <f t="shared" si="49"/>
        <v/>
      </c>
      <c r="F1069" s="159"/>
      <c r="G1069" s="145">
        <f t="shared" si="51"/>
        <v>0</v>
      </c>
      <c r="H1069" s="140" t="str">
        <f t="shared" si="50"/>
        <v/>
      </c>
      <c r="I1069"/>
      <c r="J1069" s="147" t="str">
        <f>IFERROR(SUMIFS(当年实际!$V:$V,当年实际!$F:$F,$C1069,当年实际!$C:$C,"&gt;="&amp;DATE(YEAR(主页!$D$2),1,1),当年实际!$C:$C,"&lt;="&amp;EOMONTH(DATE(YEAR(主页!$D$2),MONTH(主页!$D$2),1),0))/SUMIFS(当年实际!$P:$P,当年实际!$F:$F,$C1069,当年实际!$C:$C,"&gt;="&amp;DATE(YEAR(主页!$D$2),1,1),当年实际!$C:$C,"&lt;="&amp;EOMONTH(DATE(YEAR(主页!$D$2),MONTH(主页!$D$2),1),0)),"")</f>
        <v/>
      </c>
    </row>
    <row r="1070" spans="1:10" x14ac:dyDescent="0.3">
      <c r="A1070" s="150"/>
      <c r="B1070" s="150"/>
      <c r="C1070" s="150"/>
      <c r="D1070" s="150"/>
      <c r="E1070" s="140" t="str">
        <f t="shared" si="49"/>
        <v/>
      </c>
      <c r="F1070" s="159"/>
      <c r="G1070" s="145">
        <f t="shared" si="51"/>
        <v>0</v>
      </c>
      <c r="H1070" s="140" t="str">
        <f t="shared" si="50"/>
        <v/>
      </c>
      <c r="I1070"/>
      <c r="J1070" s="147" t="str">
        <f>IFERROR(SUMIFS(当年实际!$V:$V,当年实际!$F:$F,$C1070,当年实际!$C:$C,"&gt;="&amp;DATE(YEAR(主页!$D$2),1,1),当年实际!$C:$C,"&lt;="&amp;EOMONTH(DATE(YEAR(主页!$D$2),MONTH(主页!$D$2),1),0))/SUMIFS(当年实际!$P:$P,当年实际!$F:$F,$C1070,当年实际!$C:$C,"&gt;="&amp;DATE(YEAR(主页!$D$2),1,1),当年实际!$C:$C,"&lt;="&amp;EOMONTH(DATE(YEAR(主页!$D$2),MONTH(主页!$D$2),1),0)),"")</f>
        <v/>
      </c>
    </row>
    <row r="1071" spans="1:10" x14ac:dyDescent="0.3">
      <c r="A1071" s="150"/>
      <c r="B1071" s="150"/>
      <c r="C1071" s="150"/>
      <c r="D1071" s="150"/>
      <c r="E1071" s="140" t="str">
        <f t="shared" si="49"/>
        <v/>
      </c>
      <c r="F1071" s="159"/>
      <c r="G1071" s="145">
        <f t="shared" si="51"/>
        <v>0</v>
      </c>
      <c r="H1071" s="140" t="str">
        <f t="shared" si="50"/>
        <v/>
      </c>
      <c r="I1071"/>
      <c r="J1071" s="147" t="str">
        <f>IFERROR(SUMIFS(当年实际!$V:$V,当年实际!$F:$F,$C1071,当年实际!$C:$C,"&gt;="&amp;DATE(YEAR(主页!$D$2),1,1),当年实际!$C:$C,"&lt;="&amp;EOMONTH(DATE(YEAR(主页!$D$2),MONTH(主页!$D$2),1),0))/SUMIFS(当年实际!$P:$P,当年实际!$F:$F,$C1071,当年实际!$C:$C,"&gt;="&amp;DATE(YEAR(主页!$D$2),1,1),当年实际!$C:$C,"&lt;="&amp;EOMONTH(DATE(YEAR(主页!$D$2),MONTH(主页!$D$2),1),0)),"")</f>
        <v/>
      </c>
    </row>
    <row r="1072" spans="1:10" x14ac:dyDescent="0.3">
      <c r="A1072" s="150"/>
      <c r="B1072" s="150"/>
      <c r="C1072" s="150"/>
      <c r="D1072" s="150"/>
      <c r="E1072" s="140" t="str">
        <f t="shared" si="49"/>
        <v/>
      </c>
      <c r="F1072" s="159"/>
      <c r="G1072" s="145">
        <f t="shared" si="51"/>
        <v>0</v>
      </c>
      <c r="H1072" s="140" t="str">
        <f t="shared" si="50"/>
        <v/>
      </c>
      <c r="I1072"/>
      <c r="J1072" s="147" t="str">
        <f>IFERROR(SUMIFS(当年实际!$V:$V,当年实际!$F:$F,$C1072,当年实际!$C:$C,"&gt;="&amp;DATE(YEAR(主页!$D$2),1,1),当年实际!$C:$C,"&lt;="&amp;EOMONTH(DATE(YEAR(主页!$D$2),MONTH(主页!$D$2),1),0))/SUMIFS(当年实际!$P:$P,当年实际!$F:$F,$C1072,当年实际!$C:$C,"&gt;="&amp;DATE(YEAR(主页!$D$2),1,1),当年实际!$C:$C,"&lt;="&amp;EOMONTH(DATE(YEAR(主页!$D$2),MONTH(主页!$D$2),1),0)),"")</f>
        <v/>
      </c>
    </row>
    <row r="1073" spans="1:10" x14ac:dyDescent="0.3">
      <c r="A1073" s="150"/>
      <c r="B1073" s="150"/>
      <c r="C1073" s="150"/>
      <c r="D1073" s="150"/>
      <c r="E1073" s="140" t="str">
        <f t="shared" si="49"/>
        <v/>
      </c>
      <c r="F1073" s="159"/>
      <c r="G1073" s="145">
        <f t="shared" si="51"/>
        <v>0</v>
      </c>
      <c r="H1073" s="140" t="str">
        <f t="shared" si="50"/>
        <v/>
      </c>
      <c r="I1073"/>
      <c r="J1073" s="147" t="str">
        <f>IFERROR(SUMIFS(当年实际!$V:$V,当年实际!$F:$F,$C1073,当年实际!$C:$C,"&gt;="&amp;DATE(YEAR(主页!$D$2),1,1),当年实际!$C:$C,"&lt;="&amp;EOMONTH(DATE(YEAR(主页!$D$2),MONTH(主页!$D$2),1),0))/SUMIFS(当年实际!$P:$P,当年实际!$F:$F,$C1073,当年实际!$C:$C,"&gt;="&amp;DATE(YEAR(主页!$D$2),1,1),当年实际!$C:$C,"&lt;="&amp;EOMONTH(DATE(YEAR(主页!$D$2),MONTH(主页!$D$2),1),0)),"")</f>
        <v/>
      </c>
    </row>
    <row r="1074" spans="1:10" x14ac:dyDescent="0.3">
      <c r="A1074" s="150"/>
      <c r="B1074" s="150"/>
      <c r="C1074" s="150"/>
      <c r="D1074" s="150"/>
      <c r="E1074" s="140" t="str">
        <f t="shared" si="49"/>
        <v/>
      </c>
      <c r="F1074" s="159"/>
      <c r="G1074" s="145">
        <f t="shared" si="51"/>
        <v>0</v>
      </c>
      <c r="H1074" s="140" t="str">
        <f t="shared" si="50"/>
        <v/>
      </c>
      <c r="I1074"/>
      <c r="J1074" s="147" t="str">
        <f>IFERROR(SUMIFS(当年实际!$V:$V,当年实际!$F:$F,$C1074,当年实际!$C:$C,"&gt;="&amp;DATE(YEAR(主页!$D$2),1,1),当年实际!$C:$C,"&lt;="&amp;EOMONTH(DATE(YEAR(主页!$D$2),MONTH(主页!$D$2),1),0))/SUMIFS(当年实际!$P:$P,当年实际!$F:$F,$C1074,当年实际!$C:$C,"&gt;="&amp;DATE(YEAR(主页!$D$2),1,1),当年实际!$C:$C,"&lt;="&amp;EOMONTH(DATE(YEAR(主页!$D$2),MONTH(主页!$D$2),1),0)),"")</f>
        <v/>
      </c>
    </row>
    <row r="1075" spans="1:10" x14ac:dyDescent="0.3">
      <c r="A1075" s="150"/>
      <c r="B1075" s="150"/>
      <c r="C1075" s="150"/>
      <c r="D1075" s="150"/>
      <c r="E1075" s="140" t="str">
        <f t="shared" si="49"/>
        <v/>
      </c>
      <c r="F1075" s="159"/>
      <c r="G1075" s="145">
        <f t="shared" si="51"/>
        <v>0</v>
      </c>
      <c r="H1075" s="140" t="str">
        <f t="shared" si="50"/>
        <v/>
      </c>
      <c r="I1075"/>
      <c r="J1075" s="147" t="str">
        <f>IFERROR(SUMIFS(当年实际!$V:$V,当年实际!$F:$F,$C1075,当年实际!$C:$C,"&gt;="&amp;DATE(YEAR(主页!$D$2),1,1),当年实际!$C:$C,"&lt;="&amp;EOMONTH(DATE(YEAR(主页!$D$2),MONTH(主页!$D$2),1),0))/SUMIFS(当年实际!$P:$P,当年实际!$F:$F,$C1075,当年实际!$C:$C,"&gt;="&amp;DATE(YEAR(主页!$D$2),1,1),当年实际!$C:$C,"&lt;="&amp;EOMONTH(DATE(YEAR(主页!$D$2),MONTH(主页!$D$2),1),0)),"")</f>
        <v/>
      </c>
    </row>
    <row r="1076" spans="1:10" x14ac:dyDescent="0.3">
      <c r="A1076" s="150"/>
      <c r="B1076" s="150"/>
      <c r="C1076" s="150"/>
      <c r="D1076" s="150"/>
      <c r="E1076" s="140" t="str">
        <f t="shared" si="49"/>
        <v/>
      </c>
      <c r="F1076" s="159"/>
      <c r="G1076" s="145">
        <f t="shared" si="51"/>
        <v>0</v>
      </c>
      <c r="H1076" s="140" t="str">
        <f t="shared" si="50"/>
        <v/>
      </c>
      <c r="I1076"/>
      <c r="J1076" s="147" t="str">
        <f>IFERROR(SUMIFS(当年实际!$V:$V,当年实际!$F:$F,$C1076,当年实际!$C:$C,"&gt;="&amp;DATE(YEAR(主页!$D$2),1,1),当年实际!$C:$C,"&lt;="&amp;EOMONTH(DATE(YEAR(主页!$D$2),MONTH(主页!$D$2),1),0))/SUMIFS(当年实际!$P:$P,当年实际!$F:$F,$C1076,当年实际!$C:$C,"&gt;="&amp;DATE(YEAR(主页!$D$2),1,1),当年实际!$C:$C,"&lt;="&amp;EOMONTH(DATE(YEAR(主页!$D$2),MONTH(主页!$D$2),1),0)),"")</f>
        <v/>
      </c>
    </row>
    <row r="1077" spans="1:10" x14ac:dyDescent="0.3">
      <c r="A1077" s="150"/>
      <c r="B1077" s="150"/>
      <c r="C1077" s="150"/>
      <c r="D1077" s="150"/>
      <c r="E1077" s="140" t="str">
        <f t="shared" si="49"/>
        <v/>
      </c>
      <c r="F1077" s="159"/>
      <c r="G1077" s="145">
        <f t="shared" si="51"/>
        <v>0</v>
      </c>
      <c r="H1077" s="140" t="str">
        <f t="shared" si="50"/>
        <v/>
      </c>
      <c r="I1077"/>
      <c r="J1077" s="147" t="str">
        <f>IFERROR(SUMIFS(当年实际!$V:$V,当年实际!$F:$F,$C1077,当年实际!$C:$C,"&gt;="&amp;DATE(YEAR(主页!$D$2),1,1),当年实际!$C:$C,"&lt;="&amp;EOMONTH(DATE(YEAR(主页!$D$2),MONTH(主页!$D$2),1),0))/SUMIFS(当年实际!$P:$P,当年实际!$F:$F,$C1077,当年实际!$C:$C,"&gt;="&amp;DATE(YEAR(主页!$D$2),1,1),当年实际!$C:$C,"&lt;="&amp;EOMONTH(DATE(YEAR(主页!$D$2),MONTH(主页!$D$2),1),0)),"")</f>
        <v/>
      </c>
    </row>
    <row r="1078" spans="1:10" x14ac:dyDescent="0.3">
      <c r="A1078" s="150"/>
      <c r="B1078" s="150"/>
      <c r="C1078" s="150"/>
      <c r="D1078" s="150"/>
      <c r="E1078" s="140" t="str">
        <f t="shared" si="49"/>
        <v/>
      </c>
      <c r="F1078" s="159"/>
      <c r="G1078" s="145">
        <f t="shared" si="51"/>
        <v>0</v>
      </c>
      <c r="H1078" s="140" t="str">
        <f t="shared" si="50"/>
        <v/>
      </c>
      <c r="I1078"/>
      <c r="J1078" s="147" t="str">
        <f>IFERROR(SUMIFS(当年实际!$V:$V,当年实际!$F:$F,$C1078,当年实际!$C:$C,"&gt;="&amp;DATE(YEAR(主页!$D$2),1,1),当年实际!$C:$C,"&lt;="&amp;EOMONTH(DATE(YEAR(主页!$D$2),MONTH(主页!$D$2),1),0))/SUMIFS(当年实际!$P:$P,当年实际!$F:$F,$C1078,当年实际!$C:$C,"&gt;="&amp;DATE(YEAR(主页!$D$2),1,1),当年实际!$C:$C,"&lt;="&amp;EOMONTH(DATE(YEAR(主页!$D$2),MONTH(主页!$D$2),1),0)),"")</f>
        <v/>
      </c>
    </row>
    <row r="1079" spans="1:10" x14ac:dyDescent="0.3">
      <c r="A1079" s="150"/>
      <c r="B1079" s="150"/>
      <c r="C1079" s="150"/>
      <c r="D1079" s="150"/>
      <c r="E1079" s="140" t="str">
        <f t="shared" si="49"/>
        <v/>
      </c>
      <c r="F1079" s="159"/>
      <c r="G1079" s="145">
        <f t="shared" si="51"/>
        <v>0</v>
      </c>
      <c r="H1079" s="140" t="str">
        <f t="shared" si="50"/>
        <v/>
      </c>
      <c r="I1079"/>
      <c r="J1079" s="147" t="str">
        <f>IFERROR(SUMIFS(当年实际!$V:$V,当年实际!$F:$F,$C1079,当年实际!$C:$C,"&gt;="&amp;DATE(YEAR(主页!$D$2),1,1),当年实际!$C:$C,"&lt;="&amp;EOMONTH(DATE(YEAR(主页!$D$2),MONTH(主页!$D$2),1),0))/SUMIFS(当年实际!$P:$P,当年实际!$F:$F,$C1079,当年实际!$C:$C,"&gt;="&amp;DATE(YEAR(主页!$D$2),1,1),当年实际!$C:$C,"&lt;="&amp;EOMONTH(DATE(YEAR(主页!$D$2),MONTH(主页!$D$2),1),0)),"")</f>
        <v/>
      </c>
    </row>
    <row r="1080" spans="1:10" x14ac:dyDescent="0.3">
      <c r="A1080" s="150"/>
      <c r="B1080" s="150"/>
      <c r="C1080" s="150"/>
      <c r="D1080" s="150"/>
      <c r="E1080" s="140" t="str">
        <f t="shared" si="49"/>
        <v/>
      </c>
      <c r="F1080" s="159"/>
      <c r="G1080" s="145">
        <f t="shared" si="51"/>
        <v>0</v>
      </c>
      <c r="H1080" s="140" t="str">
        <f t="shared" si="50"/>
        <v/>
      </c>
      <c r="I1080"/>
      <c r="J1080" s="147" t="str">
        <f>IFERROR(SUMIFS(当年实际!$V:$V,当年实际!$F:$F,$C1080,当年实际!$C:$C,"&gt;="&amp;DATE(YEAR(主页!$D$2),1,1),当年实际!$C:$C,"&lt;="&amp;EOMONTH(DATE(YEAR(主页!$D$2),MONTH(主页!$D$2),1),0))/SUMIFS(当年实际!$P:$P,当年实际!$F:$F,$C1080,当年实际!$C:$C,"&gt;="&amp;DATE(YEAR(主页!$D$2),1,1),当年实际!$C:$C,"&lt;="&amp;EOMONTH(DATE(YEAR(主页!$D$2),MONTH(主页!$D$2),1),0)),"")</f>
        <v/>
      </c>
    </row>
    <row r="1081" spans="1:10" x14ac:dyDescent="0.3">
      <c r="A1081" s="150"/>
      <c r="B1081" s="150"/>
      <c r="C1081" s="150"/>
      <c r="D1081" s="150"/>
      <c r="E1081" s="140" t="str">
        <f t="shared" si="49"/>
        <v/>
      </c>
      <c r="F1081" s="159"/>
      <c r="G1081" s="145">
        <f t="shared" si="51"/>
        <v>0</v>
      </c>
      <c r="H1081" s="140" t="str">
        <f t="shared" si="50"/>
        <v/>
      </c>
      <c r="I1081"/>
      <c r="J1081" s="147" t="str">
        <f>IFERROR(SUMIFS(当年实际!$V:$V,当年实际!$F:$F,$C1081,当年实际!$C:$C,"&gt;="&amp;DATE(YEAR(主页!$D$2),1,1),当年实际!$C:$C,"&lt;="&amp;EOMONTH(DATE(YEAR(主页!$D$2),MONTH(主页!$D$2),1),0))/SUMIFS(当年实际!$P:$P,当年实际!$F:$F,$C1081,当年实际!$C:$C,"&gt;="&amp;DATE(YEAR(主页!$D$2),1,1),当年实际!$C:$C,"&lt;="&amp;EOMONTH(DATE(YEAR(主页!$D$2),MONTH(主页!$D$2),1),0)),"")</f>
        <v/>
      </c>
    </row>
    <row r="1082" spans="1:10" x14ac:dyDescent="0.3">
      <c r="A1082" s="150"/>
      <c r="B1082" s="150"/>
      <c r="C1082" s="150"/>
      <c r="D1082" s="150"/>
      <c r="E1082" s="140" t="str">
        <f t="shared" si="49"/>
        <v/>
      </c>
      <c r="F1082" s="159"/>
      <c r="G1082" s="145">
        <f t="shared" si="51"/>
        <v>0</v>
      </c>
      <c r="H1082" s="140" t="str">
        <f t="shared" si="50"/>
        <v/>
      </c>
      <c r="I1082"/>
      <c r="J1082" s="147" t="str">
        <f>IFERROR(SUMIFS(当年实际!$V:$V,当年实际!$F:$F,$C1082,当年实际!$C:$C,"&gt;="&amp;DATE(YEAR(主页!$D$2),1,1),当年实际!$C:$C,"&lt;="&amp;EOMONTH(DATE(YEAR(主页!$D$2),MONTH(主页!$D$2),1),0))/SUMIFS(当年实际!$P:$P,当年实际!$F:$F,$C1082,当年实际!$C:$C,"&gt;="&amp;DATE(YEAR(主页!$D$2),1,1),当年实际!$C:$C,"&lt;="&amp;EOMONTH(DATE(YEAR(主页!$D$2),MONTH(主页!$D$2),1),0)),"")</f>
        <v/>
      </c>
    </row>
    <row r="1083" spans="1:10" x14ac:dyDescent="0.3">
      <c r="A1083" s="150"/>
      <c r="B1083" s="150"/>
      <c r="C1083" s="150"/>
      <c r="D1083" s="150"/>
      <c r="E1083" s="140" t="str">
        <f t="shared" si="49"/>
        <v/>
      </c>
      <c r="F1083" s="159"/>
      <c r="G1083" s="145">
        <f t="shared" si="51"/>
        <v>0</v>
      </c>
      <c r="H1083" s="140" t="str">
        <f t="shared" si="50"/>
        <v/>
      </c>
      <c r="I1083"/>
      <c r="J1083" s="147" t="str">
        <f>IFERROR(SUMIFS(当年实际!$V:$V,当年实际!$F:$F,$C1083,当年实际!$C:$C,"&gt;="&amp;DATE(YEAR(主页!$D$2),1,1),当年实际!$C:$C,"&lt;="&amp;EOMONTH(DATE(YEAR(主页!$D$2),MONTH(主页!$D$2),1),0))/SUMIFS(当年实际!$P:$P,当年实际!$F:$F,$C1083,当年实际!$C:$C,"&gt;="&amp;DATE(YEAR(主页!$D$2),1,1),当年实际!$C:$C,"&lt;="&amp;EOMONTH(DATE(YEAR(主页!$D$2),MONTH(主页!$D$2),1),0)),"")</f>
        <v/>
      </c>
    </row>
    <row r="1084" spans="1:10" x14ac:dyDescent="0.3">
      <c r="A1084" s="150"/>
      <c r="B1084" s="150"/>
      <c r="C1084" s="150"/>
      <c r="D1084" s="150"/>
      <c r="E1084" s="140" t="str">
        <f t="shared" si="49"/>
        <v/>
      </c>
      <c r="F1084" s="159"/>
      <c r="G1084" s="145">
        <f t="shared" si="51"/>
        <v>0</v>
      </c>
      <c r="H1084" s="140" t="str">
        <f t="shared" si="50"/>
        <v/>
      </c>
      <c r="I1084"/>
      <c r="J1084" s="147" t="str">
        <f>IFERROR(SUMIFS(当年实际!$V:$V,当年实际!$F:$F,$C1084,当年实际!$C:$C,"&gt;="&amp;DATE(YEAR(主页!$D$2),1,1),当年实际!$C:$C,"&lt;="&amp;EOMONTH(DATE(YEAR(主页!$D$2),MONTH(主页!$D$2),1),0))/SUMIFS(当年实际!$P:$P,当年实际!$F:$F,$C1084,当年实际!$C:$C,"&gt;="&amp;DATE(YEAR(主页!$D$2),1,1),当年实际!$C:$C,"&lt;="&amp;EOMONTH(DATE(YEAR(主页!$D$2),MONTH(主页!$D$2),1),0)),"")</f>
        <v/>
      </c>
    </row>
    <row r="1085" spans="1:10" x14ac:dyDescent="0.3">
      <c r="A1085" s="150"/>
      <c r="B1085" s="150"/>
      <c r="C1085" s="150"/>
      <c r="D1085" s="150"/>
      <c r="E1085" s="140" t="str">
        <f t="shared" si="49"/>
        <v/>
      </c>
      <c r="F1085" s="159"/>
      <c r="G1085" s="145">
        <f t="shared" si="51"/>
        <v>0</v>
      </c>
      <c r="H1085" s="140" t="str">
        <f t="shared" si="50"/>
        <v/>
      </c>
      <c r="I1085"/>
      <c r="J1085" s="147" t="str">
        <f>IFERROR(SUMIFS(当年实际!$V:$V,当年实际!$F:$F,$C1085,当年实际!$C:$C,"&gt;="&amp;DATE(YEAR(主页!$D$2),1,1),当年实际!$C:$C,"&lt;="&amp;EOMONTH(DATE(YEAR(主页!$D$2),MONTH(主页!$D$2),1),0))/SUMIFS(当年实际!$P:$P,当年实际!$F:$F,$C1085,当年实际!$C:$C,"&gt;="&amp;DATE(YEAR(主页!$D$2),1,1),当年实际!$C:$C,"&lt;="&amp;EOMONTH(DATE(YEAR(主页!$D$2),MONTH(主页!$D$2),1),0)),"")</f>
        <v/>
      </c>
    </row>
    <row r="1086" spans="1:10" x14ac:dyDescent="0.3">
      <c r="A1086" s="150"/>
      <c r="B1086" s="150"/>
      <c r="C1086" s="150"/>
      <c r="D1086" s="150"/>
      <c r="E1086" s="140" t="str">
        <f t="shared" si="49"/>
        <v/>
      </c>
      <c r="F1086" s="159"/>
      <c r="G1086" s="145">
        <f t="shared" si="51"/>
        <v>0</v>
      </c>
      <c r="H1086" s="140" t="str">
        <f t="shared" si="50"/>
        <v/>
      </c>
      <c r="I1086"/>
      <c r="J1086" s="147" t="str">
        <f>IFERROR(SUMIFS(当年实际!$V:$V,当年实际!$F:$F,$C1086,当年实际!$C:$C,"&gt;="&amp;DATE(YEAR(主页!$D$2),1,1),当年实际!$C:$C,"&lt;="&amp;EOMONTH(DATE(YEAR(主页!$D$2),MONTH(主页!$D$2),1),0))/SUMIFS(当年实际!$P:$P,当年实际!$F:$F,$C1086,当年实际!$C:$C,"&gt;="&amp;DATE(YEAR(主页!$D$2),1,1),当年实际!$C:$C,"&lt;="&amp;EOMONTH(DATE(YEAR(主页!$D$2),MONTH(主页!$D$2),1),0)),"")</f>
        <v/>
      </c>
    </row>
    <row r="1087" spans="1:10" x14ac:dyDescent="0.3">
      <c r="A1087" s="150"/>
      <c r="B1087" s="150"/>
      <c r="C1087" s="150"/>
      <c r="D1087" s="150"/>
      <c r="E1087" s="140" t="str">
        <f t="shared" si="49"/>
        <v/>
      </c>
      <c r="F1087" s="159"/>
      <c r="G1087" s="145">
        <f t="shared" si="51"/>
        <v>0</v>
      </c>
      <c r="H1087" s="140" t="str">
        <f t="shared" si="50"/>
        <v/>
      </c>
      <c r="I1087"/>
      <c r="J1087" s="147" t="str">
        <f>IFERROR(SUMIFS(当年实际!$V:$V,当年实际!$F:$F,$C1087,当年实际!$C:$C,"&gt;="&amp;DATE(YEAR(主页!$D$2),1,1),当年实际!$C:$C,"&lt;="&amp;EOMONTH(DATE(YEAR(主页!$D$2),MONTH(主页!$D$2),1),0))/SUMIFS(当年实际!$P:$P,当年实际!$F:$F,$C1087,当年实际!$C:$C,"&gt;="&amp;DATE(YEAR(主页!$D$2),1,1),当年实际!$C:$C,"&lt;="&amp;EOMONTH(DATE(YEAR(主页!$D$2),MONTH(主页!$D$2),1),0)),"")</f>
        <v/>
      </c>
    </row>
    <row r="1088" spans="1:10" x14ac:dyDescent="0.3">
      <c r="A1088" s="150"/>
      <c r="B1088" s="150"/>
      <c r="C1088" s="150"/>
      <c r="D1088" s="150"/>
      <c r="E1088" s="140" t="str">
        <f t="shared" si="49"/>
        <v/>
      </c>
      <c r="F1088" s="159"/>
      <c r="G1088" s="145">
        <f t="shared" si="51"/>
        <v>0</v>
      </c>
      <c r="H1088" s="140" t="str">
        <f t="shared" si="50"/>
        <v/>
      </c>
      <c r="I1088"/>
      <c r="J1088" s="147" t="str">
        <f>IFERROR(SUMIFS(当年实际!$V:$V,当年实际!$F:$F,$C1088,当年实际!$C:$C,"&gt;="&amp;DATE(YEAR(主页!$D$2),1,1),当年实际!$C:$C,"&lt;="&amp;EOMONTH(DATE(YEAR(主页!$D$2),MONTH(主页!$D$2),1),0))/SUMIFS(当年实际!$P:$P,当年实际!$F:$F,$C1088,当年实际!$C:$C,"&gt;="&amp;DATE(YEAR(主页!$D$2),1,1),当年实际!$C:$C,"&lt;="&amp;EOMONTH(DATE(YEAR(主页!$D$2),MONTH(主页!$D$2),1),0)),"")</f>
        <v/>
      </c>
    </row>
    <row r="1089" spans="1:10" x14ac:dyDescent="0.3">
      <c r="A1089" s="150"/>
      <c r="B1089" s="150"/>
      <c r="C1089" s="150"/>
      <c r="D1089" s="150"/>
      <c r="E1089" s="140" t="str">
        <f t="shared" si="49"/>
        <v/>
      </c>
      <c r="F1089" s="159"/>
      <c r="G1089" s="145">
        <f t="shared" si="51"/>
        <v>0</v>
      </c>
      <c r="H1089" s="140" t="str">
        <f t="shared" si="50"/>
        <v/>
      </c>
      <c r="I1089"/>
      <c r="J1089" s="147" t="str">
        <f>IFERROR(SUMIFS(当年实际!$V:$V,当年实际!$F:$F,$C1089,当年实际!$C:$C,"&gt;="&amp;DATE(YEAR(主页!$D$2),1,1),当年实际!$C:$C,"&lt;="&amp;EOMONTH(DATE(YEAR(主页!$D$2),MONTH(主页!$D$2),1),0))/SUMIFS(当年实际!$P:$P,当年实际!$F:$F,$C1089,当年实际!$C:$C,"&gt;="&amp;DATE(YEAR(主页!$D$2),1,1),当年实际!$C:$C,"&lt;="&amp;EOMONTH(DATE(YEAR(主页!$D$2),MONTH(主页!$D$2),1),0)),"")</f>
        <v/>
      </c>
    </row>
    <row r="1090" spans="1:10" x14ac:dyDescent="0.3">
      <c r="A1090" s="150"/>
      <c r="B1090" s="150"/>
      <c r="C1090" s="150"/>
      <c r="D1090" s="150"/>
      <c r="E1090" s="140" t="str">
        <f t="shared" si="49"/>
        <v/>
      </c>
      <c r="F1090" s="159"/>
      <c r="G1090" s="145">
        <f t="shared" si="51"/>
        <v>0</v>
      </c>
      <c r="H1090" s="140" t="str">
        <f t="shared" si="50"/>
        <v/>
      </c>
      <c r="I1090"/>
      <c r="J1090" s="147" t="str">
        <f>IFERROR(SUMIFS(当年实际!$V:$V,当年实际!$F:$F,$C1090,当年实际!$C:$C,"&gt;="&amp;DATE(YEAR(主页!$D$2),1,1),当年实际!$C:$C,"&lt;="&amp;EOMONTH(DATE(YEAR(主页!$D$2),MONTH(主页!$D$2),1),0))/SUMIFS(当年实际!$P:$P,当年实际!$F:$F,$C1090,当年实际!$C:$C,"&gt;="&amp;DATE(YEAR(主页!$D$2),1,1),当年实际!$C:$C,"&lt;="&amp;EOMONTH(DATE(YEAR(主页!$D$2),MONTH(主页!$D$2),1),0)),"")</f>
        <v/>
      </c>
    </row>
    <row r="1091" spans="1:10" x14ac:dyDescent="0.3">
      <c r="A1091" s="150"/>
      <c r="B1091" s="150"/>
      <c r="C1091" s="150"/>
      <c r="D1091" s="150"/>
      <c r="E1091" s="140" t="str">
        <f t="shared" si="49"/>
        <v/>
      </c>
      <c r="F1091" s="159"/>
      <c r="G1091" s="145">
        <f t="shared" si="51"/>
        <v>0</v>
      </c>
      <c r="H1091" s="140" t="str">
        <f t="shared" si="50"/>
        <v/>
      </c>
      <c r="I1091"/>
      <c r="J1091" s="147" t="str">
        <f>IFERROR(SUMIFS(当年实际!$V:$V,当年实际!$F:$F,$C1091,当年实际!$C:$C,"&gt;="&amp;DATE(YEAR(主页!$D$2),1,1),当年实际!$C:$C,"&lt;="&amp;EOMONTH(DATE(YEAR(主页!$D$2),MONTH(主页!$D$2),1),0))/SUMIFS(当年实际!$P:$P,当年实际!$F:$F,$C1091,当年实际!$C:$C,"&gt;="&amp;DATE(YEAR(主页!$D$2),1,1),当年实际!$C:$C,"&lt;="&amp;EOMONTH(DATE(YEAR(主页!$D$2),MONTH(主页!$D$2),1),0)),"")</f>
        <v/>
      </c>
    </row>
    <row r="1092" spans="1:10" x14ac:dyDescent="0.3">
      <c r="A1092" s="150"/>
      <c r="B1092" s="150"/>
      <c r="C1092" s="150"/>
      <c r="D1092" s="150"/>
      <c r="E1092" s="140" t="str">
        <f t="shared" ref="E1092:E1155" si="52">IF(D1092/SUM(D:D)=0,"",D1092/SUM(D:D))</f>
        <v/>
      </c>
      <c r="F1092" s="159"/>
      <c r="G1092" s="145">
        <f t="shared" si="51"/>
        <v>0</v>
      </c>
      <c r="H1092" s="140" t="str">
        <f t="shared" ref="H1092:H1155" si="53">IF(G1092/SUM(G:G)=0,"",G1092/SUM(G:G))</f>
        <v/>
      </c>
      <c r="I1092"/>
      <c r="J1092" s="147" t="str">
        <f>IFERROR(SUMIFS(当年实际!$V:$V,当年实际!$F:$F,$C1092,当年实际!$C:$C,"&gt;="&amp;DATE(YEAR(主页!$D$2),1,1),当年实际!$C:$C,"&lt;="&amp;EOMONTH(DATE(YEAR(主页!$D$2),MONTH(主页!$D$2),1),0))/SUMIFS(当年实际!$P:$P,当年实际!$F:$F,$C1092,当年实际!$C:$C,"&gt;="&amp;DATE(YEAR(主页!$D$2),1,1),当年实际!$C:$C,"&lt;="&amp;EOMONTH(DATE(YEAR(主页!$D$2),MONTH(主页!$D$2),1),0)),"")</f>
        <v/>
      </c>
    </row>
    <row r="1093" spans="1:10" x14ac:dyDescent="0.3">
      <c r="A1093" s="150"/>
      <c r="B1093" s="150"/>
      <c r="C1093" s="150"/>
      <c r="D1093" s="150"/>
      <c r="E1093" s="140" t="str">
        <f t="shared" si="52"/>
        <v/>
      </c>
      <c r="F1093" s="159"/>
      <c r="G1093" s="145">
        <f t="shared" si="51"/>
        <v>0</v>
      </c>
      <c r="H1093" s="140" t="str">
        <f t="shared" si="53"/>
        <v/>
      </c>
      <c r="I1093"/>
      <c r="J1093" s="147" t="str">
        <f>IFERROR(SUMIFS(当年实际!$V:$V,当年实际!$F:$F,$C1093,当年实际!$C:$C,"&gt;="&amp;DATE(YEAR(主页!$D$2),1,1),当年实际!$C:$C,"&lt;="&amp;EOMONTH(DATE(YEAR(主页!$D$2),MONTH(主页!$D$2),1),0))/SUMIFS(当年实际!$P:$P,当年实际!$F:$F,$C1093,当年实际!$C:$C,"&gt;="&amp;DATE(YEAR(主页!$D$2),1,1),当年实际!$C:$C,"&lt;="&amp;EOMONTH(DATE(YEAR(主页!$D$2),MONTH(主页!$D$2),1),0)),"")</f>
        <v/>
      </c>
    </row>
    <row r="1094" spans="1:10" x14ac:dyDescent="0.3">
      <c r="A1094" s="150"/>
      <c r="B1094" s="150"/>
      <c r="C1094" s="150"/>
      <c r="D1094" s="150"/>
      <c r="E1094" s="140" t="str">
        <f t="shared" si="52"/>
        <v/>
      </c>
      <c r="F1094" s="159"/>
      <c r="G1094" s="145">
        <f t="shared" si="51"/>
        <v>0</v>
      </c>
      <c r="H1094" s="140" t="str">
        <f t="shared" si="53"/>
        <v/>
      </c>
      <c r="I1094"/>
      <c r="J1094" s="147" t="str">
        <f>IFERROR(SUMIFS(当年实际!$V:$V,当年实际!$F:$F,$C1094,当年实际!$C:$C,"&gt;="&amp;DATE(YEAR(主页!$D$2),1,1),当年实际!$C:$C,"&lt;="&amp;EOMONTH(DATE(YEAR(主页!$D$2),MONTH(主页!$D$2),1),0))/SUMIFS(当年实际!$P:$P,当年实际!$F:$F,$C1094,当年实际!$C:$C,"&gt;="&amp;DATE(YEAR(主页!$D$2),1,1),当年实际!$C:$C,"&lt;="&amp;EOMONTH(DATE(YEAR(主页!$D$2),MONTH(主页!$D$2),1),0)),"")</f>
        <v/>
      </c>
    </row>
    <row r="1095" spans="1:10" x14ac:dyDescent="0.3">
      <c r="A1095" s="150"/>
      <c r="B1095" s="150"/>
      <c r="C1095" s="150"/>
      <c r="D1095" s="150"/>
      <c r="E1095" s="140" t="str">
        <f t="shared" si="52"/>
        <v/>
      </c>
      <c r="F1095" s="159"/>
      <c r="G1095" s="145">
        <f t="shared" ref="G1095:G1158" si="54">D1095*F1095</f>
        <v>0</v>
      </c>
      <c r="H1095" s="140" t="str">
        <f t="shared" si="53"/>
        <v/>
      </c>
      <c r="I1095"/>
      <c r="J1095" s="147" t="str">
        <f>IFERROR(SUMIFS(当年实际!$V:$V,当年实际!$F:$F,$C1095,当年实际!$C:$C,"&gt;="&amp;DATE(YEAR(主页!$D$2),1,1),当年实际!$C:$C,"&lt;="&amp;EOMONTH(DATE(YEAR(主页!$D$2),MONTH(主页!$D$2),1),0))/SUMIFS(当年实际!$P:$P,当年实际!$F:$F,$C1095,当年实际!$C:$C,"&gt;="&amp;DATE(YEAR(主页!$D$2),1,1),当年实际!$C:$C,"&lt;="&amp;EOMONTH(DATE(YEAR(主页!$D$2),MONTH(主页!$D$2),1),0)),"")</f>
        <v/>
      </c>
    </row>
    <row r="1096" spans="1:10" x14ac:dyDescent="0.3">
      <c r="A1096" s="150"/>
      <c r="B1096" s="150"/>
      <c r="C1096" s="150"/>
      <c r="D1096" s="150"/>
      <c r="E1096" s="140" t="str">
        <f t="shared" si="52"/>
        <v/>
      </c>
      <c r="F1096" s="159"/>
      <c r="G1096" s="145">
        <f t="shared" si="54"/>
        <v>0</v>
      </c>
      <c r="H1096" s="140" t="str">
        <f t="shared" si="53"/>
        <v/>
      </c>
      <c r="I1096"/>
      <c r="J1096" s="147" t="str">
        <f>IFERROR(SUMIFS(当年实际!$V:$V,当年实际!$F:$F,$C1096,当年实际!$C:$C,"&gt;="&amp;DATE(YEAR(主页!$D$2),1,1),当年实际!$C:$C,"&lt;="&amp;EOMONTH(DATE(YEAR(主页!$D$2),MONTH(主页!$D$2),1),0))/SUMIFS(当年实际!$P:$P,当年实际!$F:$F,$C1096,当年实际!$C:$C,"&gt;="&amp;DATE(YEAR(主页!$D$2),1,1),当年实际!$C:$C,"&lt;="&amp;EOMONTH(DATE(YEAR(主页!$D$2),MONTH(主页!$D$2),1),0)),"")</f>
        <v/>
      </c>
    </row>
    <row r="1097" spans="1:10" x14ac:dyDescent="0.3">
      <c r="A1097" s="150"/>
      <c r="B1097" s="150"/>
      <c r="C1097" s="150"/>
      <c r="D1097" s="150"/>
      <c r="E1097" s="140" t="str">
        <f t="shared" si="52"/>
        <v/>
      </c>
      <c r="F1097" s="159"/>
      <c r="G1097" s="145">
        <f t="shared" si="54"/>
        <v>0</v>
      </c>
      <c r="H1097" s="140" t="str">
        <f t="shared" si="53"/>
        <v/>
      </c>
      <c r="I1097"/>
      <c r="J1097" s="147" t="str">
        <f>IFERROR(SUMIFS(当年实际!$V:$V,当年实际!$F:$F,$C1097,当年实际!$C:$C,"&gt;="&amp;DATE(YEAR(主页!$D$2),1,1),当年实际!$C:$C,"&lt;="&amp;EOMONTH(DATE(YEAR(主页!$D$2),MONTH(主页!$D$2),1),0))/SUMIFS(当年实际!$P:$P,当年实际!$F:$F,$C1097,当年实际!$C:$C,"&gt;="&amp;DATE(YEAR(主页!$D$2),1,1),当年实际!$C:$C,"&lt;="&amp;EOMONTH(DATE(YEAR(主页!$D$2),MONTH(主页!$D$2),1),0)),"")</f>
        <v/>
      </c>
    </row>
    <row r="1098" spans="1:10" x14ac:dyDescent="0.3">
      <c r="A1098" s="150"/>
      <c r="B1098" s="150"/>
      <c r="C1098" s="150"/>
      <c r="D1098" s="150"/>
      <c r="E1098" s="140" t="str">
        <f t="shared" si="52"/>
        <v/>
      </c>
      <c r="F1098" s="159"/>
      <c r="G1098" s="145">
        <f t="shared" si="54"/>
        <v>0</v>
      </c>
      <c r="H1098" s="140" t="str">
        <f t="shared" si="53"/>
        <v/>
      </c>
      <c r="I1098"/>
      <c r="J1098" s="147" t="str">
        <f>IFERROR(SUMIFS(当年实际!$V:$V,当年实际!$F:$F,$C1098,当年实际!$C:$C,"&gt;="&amp;DATE(YEAR(主页!$D$2),1,1),当年实际!$C:$C,"&lt;="&amp;EOMONTH(DATE(YEAR(主页!$D$2),MONTH(主页!$D$2),1),0))/SUMIFS(当年实际!$P:$P,当年实际!$F:$F,$C1098,当年实际!$C:$C,"&gt;="&amp;DATE(YEAR(主页!$D$2),1,1),当年实际!$C:$C,"&lt;="&amp;EOMONTH(DATE(YEAR(主页!$D$2),MONTH(主页!$D$2),1),0)),"")</f>
        <v/>
      </c>
    </row>
    <row r="1099" spans="1:10" x14ac:dyDescent="0.3">
      <c r="A1099" s="150"/>
      <c r="B1099" s="150"/>
      <c r="C1099" s="150"/>
      <c r="D1099" s="150"/>
      <c r="E1099" s="140" t="str">
        <f t="shared" si="52"/>
        <v/>
      </c>
      <c r="F1099" s="159"/>
      <c r="G1099" s="145">
        <f t="shared" si="54"/>
        <v>0</v>
      </c>
      <c r="H1099" s="140" t="str">
        <f t="shared" si="53"/>
        <v/>
      </c>
      <c r="I1099"/>
      <c r="J1099" s="147" t="str">
        <f>IFERROR(SUMIFS(当年实际!$V:$V,当年实际!$F:$F,$C1099,当年实际!$C:$C,"&gt;="&amp;DATE(YEAR(主页!$D$2),1,1),当年实际!$C:$C,"&lt;="&amp;EOMONTH(DATE(YEAR(主页!$D$2),MONTH(主页!$D$2),1),0))/SUMIFS(当年实际!$P:$P,当年实际!$F:$F,$C1099,当年实际!$C:$C,"&gt;="&amp;DATE(YEAR(主页!$D$2),1,1),当年实际!$C:$C,"&lt;="&amp;EOMONTH(DATE(YEAR(主页!$D$2),MONTH(主页!$D$2),1),0)),"")</f>
        <v/>
      </c>
    </row>
    <row r="1100" spans="1:10" x14ac:dyDescent="0.3">
      <c r="A1100" s="150"/>
      <c r="B1100" s="150"/>
      <c r="C1100" s="150"/>
      <c r="D1100" s="150"/>
      <c r="E1100" s="140" t="str">
        <f t="shared" si="52"/>
        <v/>
      </c>
      <c r="F1100" s="159"/>
      <c r="G1100" s="145">
        <f t="shared" si="54"/>
        <v>0</v>
      </c>
      <c r="H1100" s="140" t="str">
        <f t="shared" si="53"/>
        <v/>
      </c>
      <c r="I1100"/>
      <c r="J1100" s="147" t="str">
        <f>IFERROR(SUMIFS(当年实际!$V:$V,当年实际!$F:$F,$C1100,当年实际!$C:$C,"&gt;="&amp;DATE(YEAR(主页!$D$2),1,1),当年实际!$C:$C,"&lt;="&amp;EOMONTH(DATE(YEAR(主页!$D$2),MONTH(主页!$D$2),1),0))/SUMIFS(当年实际!$P:$P,当年实际!$F:$F,$C1100,当年实际!$C:$C,"&gt;="&amp;DATE(YEAR(主页!$D$2),1,1),当年实际!$C:$C,"&lt;="&amp;EOMONTH(DATE(YEAR(主页!$D$2),MONTH(主页!$D$2),1),0)),"")</f>
        <v/>
      </c>
    </row>
    <row r="1101" spans="1:10" x14ac:dyDescent="0.3">
      <c r="A1101" s="150"/>
      <c r="B1101" s="150"/>
      <c r="C1101" s="150"/>
      <c r="D1101" s="150"/>
      <c r="E1101" s="140" t="str">
        <f t="shared" si="52"/>
        <v/>
      </c>
      <c r="F1101" s="159"/>
      <c r="G1101" s="145">
        <f t="shared" si="54"/>
        <v>0</v>
      </c>
      <c r="H1101" s="140" t="str">
        <f t="shared" si="53"/>
        <v/>
      </c>
      <c r="I1101"/>
      <c r="J1101" s="147" t="str">
        <f>IFERROR(SUMIFS(当年实际!$V:$V,当年实际!$F:$F,$C1101,当年实际!$C:$C,"&gt;="&amp;DATE(YEAR(主页!$D$2),1,1),当年实际!$C:$C,"&lt;="&amp;EOMONTH(DATE(YEAR(主页!$D$2),MONTH(主页!$D$2),1),0))/SUMIFS(当年实际!$P:$P,当年实际!$F:$F,$C1101,当年实际!$C:$C,"&gt;="&amp;DATE(YEAR(主页!$D$2),1,1),当年实际!$C:$C,"&lt;="&amp;EOMONTH(DATE(YEAR(主页!$D$2),MONTH(主页!$D$2),1),0)),"")</f>
        <v/>
      </c>
    </row>
    <row r="1102" spans="1:10" x14ac:dyDescent="0.3">
      <c r="A1102" s="150"/>
      <c r="B1102" s="150"/>
      <c r="C1102" s="150"/>
      <c r="D1102" s="150"/>
      <c r="E1102" s="140" t="str">
        <f t="shared" si="52"/>
        <v/>
      </c>
      <c r="F1102" s="159"/>
      <c r="G1102" s="145">
        <f t="shared" si="54"/>
        <v>0</v>
      </c>
      <c r="H1102" s="140" t="str">
        <f t="shared" si="53"/>
        <v/>
      </c>
      <c r="I1102"/>
      <c r="J1102" s="147" t="str">
        <f>IFERROR(SUMIFS(当年实际!$V:$V,当年实际!$F:$F,$C1102,当年实际!$C:$C,"&gt;="&amp;DATE(YEAR(主页!$D$2),1,1),当年实际!$C:$C,"&lt;="&amp;EOMONTH(DATE(YEAR(主页!$D$2),MONTH(主页!$D$2),1),0))/SUMIFS(当年实际!$P:$P,当年实际!$F:$F,$C1102,当年实际!$C:$C,"&gt;="&amp;DATE(YEAR(主页!$D$2),1,1),当年实际!$C:$C,"&lt;="&amp;EOMONTH(DATE(YEAR(主页!$D$2),MONTH(主页!$D$2),1),0)),"")</f>
        <v/>
      </c>
    </row>
    <row r="1103" spans="1:10" x14ac:dyDescent="0.3">
      <c r="A1103" s="150"/>
      <c r="B1103" s="150"/>
      <c r="C1103" s="150"/>
      <c r="D1103" s="150"/>
      <c r="E1103" s="140" t="str">
        <f t="shared" si="52"/>
        <v/>
      </c>
      <c r="F1103" s="159"/>
      <c r="G1103" s="145">
        <f t="shared" si="54"/>
        <v>0</v>
      </c>
      <c r="H1103" s="140" t="str">
        <f t="shared" si="53"/>
        <v/>
      </c>
      <c r="I1103"/>
      <c r="J1103" s="147" t="str">
        <f>IFERROR(SUMIFS(当年实际!$V:$V,当年实际!$F:$F,$C1103,当年实际!$C:$C,"&gt;="&amp;DATE(YEAR(主页!$D$2),1,1),当年实际!$C:$C,"&lt;="&amp;EOMONTH(DATE(YEAR(主页!$D$2),MONTH(主页!$D$2),1),0))/SUMIFS(当年实际!$P:$P,当年实际!$F:$F,$C1103,当年实际!$C:$C,"&gt;="&amp;DATE(YEAR(主页!$D$2),1,1),当年实际!$C:$C,"&lt;="&amp;EOMONTH(DATE(YEAR(主页!$D$2),MONTH(主页!$D$2),1),0)),"")</f>
        <v/>
      </c>
    </row>
    <row r="1104" spans="1:10" x14ac:dyDescent="0.3">
      <c r="A1104" s="150"/>
      <c r="B1104" s="150"/>
      <c r="C1104" s="150"/>
      <c r="D1104" s="150"/>
      <c r="E1104" s="140" t="str">
        <f t="shared" si="52"/>
        <v/>
      </c>
      <c r="F1104" s="159"/>
      <c r="G1104" s="145">
        <f t="shared" si="54"/>
        <v>0</v>
      </c>
      <c r="H1104" s="140" t="str">
        <f t="shared" si="53"/>
        <v/>
      </c>
      <c r="I1104"/>
      <c r="J1104" s="147" t="str">
        <f>IFERROR(SUMIFS(当年实际!$V:$V,当年实际!$F:$F,$C1104,当年实际!$C:$C,"&gt;="&amp;DATE(YEAR(主页!$D$2),1,1),当年实际!$C:$C,"&lt;="&amp;EOMONTH(DATE(YEAR(主页!$D$2),MONTH(主页!$D$2),1),0))/SUMIFS(当年实际!$P:$P,当年实际!$F:$F,$C1104,当年实际!$C:$C,"&gt;="&amp;DATE(YEAR(主页!$D$2),1,1),当年实际!$C:$C,"&lt;="&amp;EOMONTH(DATE(YEAR(主页!$D$2),MONTH(主页!$D$2),1),0)),"")</f>
        <v/>
      </c>
    </row>
    <row r="1105" spans="1:10" x14ac:dyDescent="0.3">
      <c r="A1105" s="150"/>
      <c r="B1105" s="150"/>
      <c r="C1105" s="150"/>
      <c r="D1105" s="150"/>
      <c r="E1105" s="140" t="str">
        <f t="shared" si="52"/>
        <v/>
      </c>
      <c r="F1105" s="159"/>
      <c r="G1105" s="145">
        <f t="shared" si="54"/>
        <v>0</v>
      </c>
      <c r="H1105" s="140" t="str">
        <f t="shared" si="53"/>
        <v/>
      </c>
      <c r="I1105"/>
      <c r="J1105" s="147" t="str">
        <f>IFERROR(SUMIFS(当年实际!$V:$V,当年实际!$F:$F,$C1105,当年实际!$C:$C,"&gt;="&amp;DATE(YEAR(主页!$D$2),1,1),当年实际!$C:$C,"&lt;="&amp;EOMONTH(DATE(YEAR(主页!$D$2),MONTH(主页!$D$2),1),0))/SUMIFS(当年实际!$P:$P,当年实际!$F:$F,$C1105,当年实际!$C:$C,"&gt;="&amp;DATE(YEAR(主页!$D$2),1,1),当年实际!$C:$C,"&lt;="&amp;EOMONTH(DATE(YEAR(主页!$D$2),MONTH(主页!$D$2),1),0)),"")</f>
        <v/>
      </c>
    </row>
    <row r="1106" spans="1:10" x14ac:dyDescent="0.3">
      <c r="A1106" s="150"/>
      <c r="B1106" s="150"/>
      <c r="C1106" s="150"/>
      <c r="D1106" s="150"/>
      <c r="E1106" s="140" t="str">
        <f t="shared" si="52"/>
        <v/>
      </c>
      <c r="F1106" s="159"/>
      <c r="G1106" s="145">
        <f t="shared" si="54"/>
        <v>0</v>
      </c>
      <c r="H1106" s="140" t="str">
        <f t="shared" si="53"/>
        <v/>
      </c>
      <c r="I1106"/>
      <c r="J1106" s="147" t="str">
        <f>IFERROR(SUMIFS(当年实际!$V:$V,当年实际!$F:$F,$C1106,当年实际!$C:$C,"&gt;="&amp;DATE(YEAR(主页!$D$2),1,1),当年实际!$C:$C,"&lt;="&amp;EOMONTH(DATE(YEAR(主页!$D$2),MONTH(主页!$D$2),1),0))/SUMIFS(当年实际!$P:$P,当年实际!$F:$F,$C1106,当年实际!$C:$C,"&gt;="&amp;DATE(YEAR(主页!$D$2),1,1),当年实际!$C:$C,"&lt;="&amp;EOMONTH(DATE(YEAR(主页!$D$2),MONTH(主页!$D$2),1),0)),"")</f>
        <v/>
      </c>
    </row>
    <row r="1107" spans="1:10" x14ac:dyDescent="0.3">
      <c r="A1107" s="150"/>
      <c r="B1107" s="150"/>
      <c r="C1107" s="150"/>
      <c r="D1107" s="150"/>
      <c r="E1107" s="140" t="str">
        <f t="shared" si="52"/>
        <v/>
      </c>
      <c r="F1107" s="159"/>
      <c r="G1107" s="145">
        <f t="shared" si="54"/>
        <v>0</v>
      </c>
      <c r="H1107" s="140" t="str">
        <f t="shared" si="53"/>
        <v/>
      </c>
      <c r="I1107"/>
      <c r="J1107" s="147" t="str">
        <f>IFERROR(SUMIFS(当年实际!$V:$V,当年实际!$F:$F,$C1107,当年实际!$C:$C,"&gt;="&amp;DATE(YEAR(主页!$D$2),1,1),当年实际!$C:$C,"&lt;="&amp;EOMONTH(DATE(YEAR(主页!$D$2),MONTH(主页!$D$2),1),0))/SUMIFS(当年实际!$P:$P,当年实际!$F:$F,$C1107,当年实际!$C:$C,"&gt;="&amp;DATE(YEAR(主页!$D$2),1,1),当年实际!$C:$C,"&lt;="&amp;EOMONTH(DATE(YEAR(主页!$D$2),MONTH(主页!$D$2),1),0)),"")</f>
        <v/>
      </c>
    </row>
    <row r="1108" spans="1:10" x14ac:dyDescent="0.3">
      <c r="A1108" s="150"/>
      <c r="B1108" s="150"/>
      <c r="C1108" s="150"/>
      <c r="D1108" s="150"/>
      <c r="E1108" s="140" t="str">
        <f t="shared" si="52"/>
        <v/>
      </c>
      <c r="F1108" s="159"/>
      <c r="G1108" s="145">
        <f t="shared" si="54"/>
        <v>0</v>
      </c>
      <c r="H1108" s="140" t="str">
        <f t="shared" si="53"/>
        <v/>
      </c>
      <c r="I1108"/>
      <c r="J1108" s="147" t="str">
        <f>IFERROR(SUMIFS(当年实际!$V:$V,当年实际!$F:$F,$C1108,当年实际!$C:$C,"&gt;="&amp;DATE(YEAR(主页!$D$2),1,1),当年实际!$C:$C,"&lt;="&amp;EOMONTH(DATE(YEAR(主页!$D$2),MONTH(主页!$D$2),1),0))/SUMIFS(当年实际!$P:$P,当年实际!$F:$F,$C1108,当年实际!$C:$C,"&gt;="&amp;DATE(YEAR(主页!$D$2),1,1),当年实际!$C:$C,"&lt;="&amp;EOMONTH(DATE(YEAR(主页!$D$2),MONTH(主页!$D$2),1),0)),"")</f>
        <v/>
      </c>
    </row>
    <row r="1109" spans="1:10" x14ac:dyDescent="0.3">
      <c r="A1109" s="150"/>
      <c r="B1109" s="150"/>
      <c r="C1109" s="150"/>
      <c r="D1109" s="150"/>
      <c r="E1109" s="140" t="str">
        <f t="shared" si="52"/>
        <v/>
      </c>
      <c r="F1109" s="159"/>
      <c r="G1109" s="145">
        <f t="shared" si="54"/>
        <v>0</v>
      </c>
      <c r="H1109" s="140" t="str">
        <f t="shared" si="53"/>
        <v/>
      </c>
      <c r="I1109"/>
      <c r="J1109" s="147" t="str">
        <f>IFERROR(SUMIFS(当年实际!$V:$V,当年实际!$F:$F,$C1109,当年实际!$C:$C,"&gt;="&amp;DATE(YEAR(主页!$D$2),1,1),当年实际!$C:$C,"&lt;="&amp;EOMONTH(DATE(YEAR(主页!$D$2),MONTH(主页!$D$2),1),0))/SUMIFS(当年实际!$P:$P,当年实际!$F:$F,$C1109,当年实际!$C:$C,"&gt;="&amp;DATE(YEAR(主页!$D$2),1,1),当年实际!$C:$C,"&lt;="&amp;EOMONTH(DATE(YEAR(主页!$D$2),MONTH(主页!$D$2),1),0)),"")</f>
        <v/>
      </c>
    </row>
    <row r="1110" spans="1:10" x14ac:dyDescent="0.3">
      <c r="A1110" s="150"/>
      <c r="B1110" s="150"/>
      <c r="C1110" s="150"/>
      <c r="D1110" s="150"/>
      <c r="E1110" s="140" t="str">
        <f t="shared" si="52"/>
        <v/>
      </c>
      <c r="F1110" s="159"/>
      <c r="G1110" s="145">
        <f t="shared" si="54"/>
        <v>0</v>
      </c>
      <c r="H1110" s="140" t="str">
        <f t="shared" si="53"/>
        <v/>
      </c>
      <c r="I1110"/>
      <c r="J1110" s="147" t="str">
        <f>IFERROR(SUMIFS(当年实际!$V:$V,当年实际!$F:$F,$C1110,当年实际!$C:$C,"&gt;="&amp;DATE(YEAR(主页!$D$2),1,1),当年实际!$C:$C,"&lt;="&amp;EOMONTH(DATE(YEAR(主页!$D$2),MONTH(主页!$D$2),1),0))/SUMIFS(当年实际!$P:$P,当年实际!$F:$F,$C1110,当年实际!$C:$C,"&gt;="&amp;DATE(YEAR(主页!$D$2),1,1),当年实际!$C:$C,"&lt;="&amp;EOMONTH(DATE(YEAR(主页!$D$2),MONTH(主页!$D$2),1),0)),"")</f>
        <v/>
      </c>
    </row>
    <row r="1111" spans="1:10" x14ac:dyDescent="0.3">
      <c r="A1111" s="150"/>
      <c r="B1111" s="150"/>
      <c r="C1111" s="150"/>
      <c r="D1111" s="150"/>
      <c r="E1111" s="140" t="str">
        <f t="shared" si="52"/>
        <v/>
      </c>
      <c r="F1111" s="159"/>
      <c r="G1111" s="145">
        <f t="shared" si="54"/>
        <v>0</v>
      </c>
      <c r="H1111" s="140" t="str">
        <f t="shared" si="53"/>
        <v/>
      </c>
      <c r="I1111"/>
      <c r="J1111" s="147" t="str">
        <f>IFERROR(SUMIFS(当年实际!$V:$V,当年实际!$F:$F,$C1111,当年实际!$C:$C,"&gt;="&amp;DATE(YEAR(主页!$D$2),1,1),当年实际!$C:$C,"&lt;="&amp;EOMONTH(DATE(YEAR(主页!$D$2),MONTH(主页!$D$2),1),0))/SUMIFS(当年实际!$P:$P,当年实际!$F:$F,$C1111,当年实际!$C:$C,"&gt;="&amp;DATE(YEAR(主页!$D$2),1,1),当年实际!$C:$C,"&lt;="&amp;EOMONTH(DATE(YEAR(主页!$D$2),MONTH(主页!$D$2),1),0)),"")</f>
        <v/>
      </c>
    </row>
    <row r="1112" spans="1:10" x14ac:dyDescent="0.3">
      <c r="A1112" s="150"/>
      <c r="B1112" s="150"/>
      <c r="C1112" s="150"/>
      <c r="D1112" s="150"/>
      <c r="E1112" s="140" t="str">
        <f t="shared" si="52"/>
        <v/>
      </c>
      <c r="F1112" s="159"/>
      <c r="G1112" s="145">
        <f t="shared" si="54"/>
        <v>0</v>
      </c>
      <c r="H1112" s="140" t="str">
        <f t="shared" si="53"/>
        <v/>
      </c>
      <c r="I1112"/>
      <c r="J1112" s="147" t="str">
        <f>IFERROR(SUMIFS(当年实际!$V:$V,当年实际!$F:$F,$C1112,当年实际!$C:$C,"&gt;="&amp;DATE(YEAR(主页!$D$2),1,1),当年实际!$C:$C,"&lt;="&amp;EOMONTH(DATE(YEAR(主页!$D$2),MONTH(主页!$D$2),1),0))/SUMIFS(当年实际!$P:$P,当年实际!$F:$F,$C1112,当年实际!$C:$C,"&gt;="&amp;DATE(YEAR(主页!$D$2),1,1),当年实际!$C:$C,"&lt;="&amp;EOMONTH(DATE(YEAR(主页!$D$2),MONTH(主页!$D$2),1),0)),"")</f>
        <v/>
      </c>
    </row>
    <row r="1113" spans="1:10" x14ac:dyDescent="0.3">
      <c r="A1113" s="150"/>
      <c r="B1113" s="150"/>
      <c r="C1113" s="150"/>
      <c r="D1113" s="150"/>
      <c r="E1113" s="140" t="str">
        <f t="shared" si="52"/>
        <v/>
      </c>
      <c r="F1113" s="159"/>
      <c r="G1113" s="145">
        <f t="shared" si="54"/>
        <v>0</v>
      </c>
      <c r="H1113" s="140" t="str">
        <f t="shared" si="53"/>
        <v/>
      </c>
      <c r="I1113"/>
      <c r="J1113" s="147" t="str">
        <f>IFERROR(SUMIFS(当年实际!$V:$V,当年实际!$F:$F,$C1113,当年实际!$C:$C,"&gt;="&amp;DATE(YEAR(主页!$D$2),1,1),当年实际!$C:$C,"&lt;="&amp;EOMONTH(DATE(YEAR(主页!$D$2),MONTH(主页!$D$2),1),0))/SUMIFS(当年实际!$P:$P,当年实际!$F:$F,$C1113,当年实际!$C:$C,"&gt;="&amp;DATE(YEAR(主页!$D$2),1,1),当年实际!$C:$C,"&lt;="&amp;EOMONTH(DATE(YEAR(主页!$D$2),MONTH(主页!$D$2),1),0)),"")</f>
        <v/>
      </c>
    </row>
    <row r="1114" spans="1:10" x14ac:dyDescent="0.3">
      <c r="A1114" s="150"/>
      <c r="B1114" s="150"/>
      <c r="C1114" s="150"/>
      <c r="D1114" s="150"/>
      <c r="E1114" s="140" t="str">
        <f t="shared" si="52"/>
        <v/>
      </c>
      <c r="F1114" s="159"/>
      <c r="G1114" s="145">
        <f t="shared" si="54"/>
        <v>0</v>
      </c>
      <c r="H1114" s="140" t="str">
        <f t="shared" si="53"/>
        <v/>
      </c>
      <c r="I1114"/>
      <c r="J1114" s="147" t="str">
        <f>IFERROR(SUMIFS(当年实际!$V:$V,当年实际!$F:$F,$C1114,当年实际!$C:$C,"&gt;="&amp;DATE(YEAR(主页!$D$2),1,1),当年实际!$C:$C,"&lt;="&amp;EOMONTH(DATE(YEAR(主页!$D$2),MONTH(主页!$D$2),1),0))/SUMIFS(当年实际!$P:$P,当年实际!$F:$F,$C1114,当年实际!$C:$C,"&gt;="&amp;DATE(YEAR(主页!$D$2),1,1),当年实际!$C:$C,"&lt;="&amp;EOMONTH(DATE(YEAR(主页!$D$2),MONTH(主页!$D$2),1),0)),"")</f>
        <v/>
      </c>
    </row>
    <row r="1115" spans="1:10" x14ac:dyDescent="0.3">
      <c r="A1115" s="150"/>
      <c r="B1115" s="150"/>
      <c r="C1115" s="150"/>
      <c r="D1115" s="150"/>
      <c r="E1115" s="140" t="str">
        <f t="shared" si="52"/>
        <v/>
      </c>
      <c r="F1115" s="159"/>
      <c r="G1115" s="145">
        <f t="shared" si="54"/>
        <v>0</v>
      </c>
      <c r="H1115" s="140" t="str">
        <f t="shared" si="53"/>
        <v/>
      </c>
      <c r="I1115"/>
      <c r="J1115" s="147" t="str">
        <f>IFERROR(SUMIFS(当年实际!$V:$V,当年实际!$F:$F,$C1115,当年实际!$C:$C,"&gt;="&amp;DATE(YEAR(主页!$D$2),1,1),当年实际!$C:$C,"&lt;="&amp;EOMONTH(DATE(YEAR(主页!$D$2),MONTH(主页!$D$2),1),0))/SUMIFS(当年实际!$P:$P,当年实际!$F:$F,$C1115,当年实际!$C:$C,"&gt;="&amp;DATE(YEAR(主页!$D$2),1,1),当年实际!$C:$C,"&lt;="&amp;EOMONTH(DATE(YEAR(主页!$D$2),MONTH(主页!$D$2),1),0)),"")</f>
        <v/>
      </c>
    </row>
    <row r="1116" spans="1:10" x14ac:dyDescent="0.3">
      <c r="A1116" s="150"/>
      <c r="B1116" s="150"/>
      <c r="C1116" s="150"/>
      <c r="D1116" s="150"/>
      <c r="E1116" s="140" t="str">
        <f t="shared" si="52"/>
        <v/>
      </c>
      <c r="F1116" s="159"/>
      <c r="G1116" s="145">
        <f t="shared" si="54"/>
        <v>0</v>
      </c>
      <c r="H1116" s="140" t="str">
        <f t="shared" si="53"/>
        <v/>
      </c>
      <c r="I1116"/>
      <c r="J1116" s="147" t="str">
        <f>IFERROR(SUMIFS(当年实际!$V:$V,当年实际!$F:$F,$C1116,当年实际!$C:$C,"&gt;="&amp;DATE(YEAR(主页!$D$2),1,1),当年实际!$C:$C,"&lt;="&amp;EOMONTH(DATE(YEAR(主页!$D$2),MONTH(主页!$D$2),1),0))/SUMIFS(当年实际!$P:$P,当年实际!$F:$F,$C1116,当年实际!$C:$C,"&gt;="&amp;DATE(YEAR(主页!$D$2),1,1),当年实际!$C:$C,"&lt;="&amp;EOMONTH(DATE(YEAR(主页!$D$2),MONTH(主页!$D$2),1),0)),"")</f>
        <v/>
      </c>
    </row>
    <row r="1117" spans="1:10" x14ac:dyDescent="0.3">
      <c r="A1117" s="150"/>
      <c r="B1117" s="150"/>
      <c r="C1117" s="150"/>
      <c r="D1117" s="150"/>
      <c r="E1117" s="140" t="str">
        <f t="shared" si="52"/>
        <v/>
      </c>
      <c r="F1117" s="159"/>
      <c r="G1117" s="145">
        <f t="shared" si="54"/>
        <v>0</v>
      </c>
      <c r="H1117" s="140" t="str">
        <f t="shared" si="53"/>
        <v/>
      </c>
      <c r="I1117"/>
      <c r="J1117" s="147" t="str">
        <f>IFERROR(SUMIFS(当年实际!$V:$V,当年实际!$F:$F,$C1117,当年实际!$C:$C,"&gt;="&amp;DATE(YEAR(主页!$D$2),1,1),当年实际!$C:$C,"&lt;="&amp;EOMONTH(DATE(YEAR(主页!$D$2),MONTH(主页!$D$2),1),0))/SUMIFS(当年实际!$P:$P,当年实际!$F:$F,$C1117,当年实际!$C:$C,"&gt;="&amp;DATE(YEAR(主页!$D$2),1,1),当年实际!$C:$C,"&lt;="&amp;EOMONTH(DATE(YEAR(主页!$D$2),MONTH(主页!$D$2),1),0)),"")</f>
        <v/>
      </c>
    </row>
    <row r="1118" spans="1:10" x14ac:dyDescent="0.3">
      <c r="A1118" s="150"/>
      <c r="B1118" s="150"/>
      <c r="C1118" s="150"/>
      <c r="D1118" s="150"/>
      <c r="E1118" s="140" t="str">
        <f t="shared" si="52"/>
        <v/>
      </c>
      <c r="F1118" s="159"/>
      <c r="G1118" s="145">
        <f t="shared" si="54"/>
        <v>0</v>
      </c>
      <c r="H1118" s="140" t="str">
        <f t="shared" si="53"/>
        <v/>
      </c>
      <c r="I1118"/>
      <c r="J1118" s="147" t="str">
        <f>IFERROR(SUMIFS(当年实际!$V:$V,当年实际!$F:$F,$C1118,当年实际!$C:$C,"&gt;="&amp;DATE(YEAR(主页!$D$2),1,1),当年实际!$C:$C,"&lt;="&amp;EOMONTH(DATE(YEAR(主页!$D$2),MONTH(主页!$D$2),1),0))/SUMIFS(当年实际!$P:$P,当年实际!$F:$F,$C1118,当年实际!$C:$C,"&gt;="&amp;DATE(YEAR(主页!$D$2),1,1),当年实际!$C:$C,"&lt;="&amp;EOMONTH(DATE(YEAR(主页!$D$2),MONTH(主页!$D$2),1),0)),"")</f>
        <v/>
      </c>
    </row>
    <row r="1119" spans="1:10" x14ac:dyDescent="0.3">
      <c r="A1119" s="150"/>
      <c r="B1119" s="150"/>
      <c r="C1119" s="150"/>
      <c r="D1119" s="150"/>
      <c r="E1119" s="140" t="str">
        <f t="shared" si="52"/>
        <v/>
      </c>
      <c r="F1119" s="159"/>
      <c r="G1119" s="145">
        <f t="shared" si="54"/>
        <v>0</v>
      </c>
      <c r="H1119" s="140" t="str">
        <f t="shared" si="53"/>
        <v/>
      </c>
      <c r="I1119"/>
      <c r="J1119" s="147" t="str">
        <f>IFERROR(SUMIFS(当年实际!$V:$V,当年实际!$F:$F,$C1119,当年实际!$C:$C,"&gt;="&amp;DATE(YEAR(主页!$D$2),1,1),当年实际!$C:$C,"&lt;="&amp;EOMONTH(DATE(YEAR(主页!$D$2),MONTH(主页!$D$2),1),0))/SUMIFS(当年实际!$P:$P,当年实际!$F:$F,$C1119,当年实际!$C:$C,"&gt;="&amp;DATE(YEAR(主页!$D$2),1,1),当年实际!$C:$C,"&lt;="&amp;EOMONTH(DATE(YEAR(主页!$D$2),MONTH(主页!$D$2),1),0)),"")</f>
        <v/>
      </c>
    </row>
    <row r="1120" spans="1:10" x14ac:dyDescent="0.3">
      <c r="A1120" s="150"/>
      <c r="B1120" s="150"/>
      <c r="C1120" s="150"/>
      <c r="D1120" s="150"/>
      <c r="E1120" s="140" t="str">
        <f t="shared" si="52"/>
        <v/>
      </c>
      <c r="F1120" s="159"/>
      <c r="G1120" s="145">
        <f t="shared" si="54"/>
        <v>0</v>
      </c>
      <c r="H1120" s="140" t="str">
        <f t="shared" si="53"/>
        <v/>
      </c>
      <c r="I1120"/>
      <c r="J1120" s="147" t="str">
        <f>IFERROR(SUMIFS(当年实际!$V:$V,当年实际!$F:$F,$C1120,当年实际!$C:$C,"&gt;="&amp;DATE(YEAR(主页!$D$2),1,1),当年实际!$C:$C,"&lt;="&amp;EOMONTH(DATE(YEAR(主页!$D$2),MONTH(主页!$D$2),1),0))/SUMIFS(当年实际!$P:$P,当年实际!$F:$F,$C1120,当年实际!$C:$C,"&gt;="&amp;DATE(YEAR(主页!$D$2),1,1),当年实际!$C:$C,"&lt;="&amp;EOMONTH(DATE(YEAR(主页!$D$2),MONTH(主页!$D$2),1),0)),"")</f>
        <v/>
      </c>
    </row>
    <row r="1121" spans="1:10" x14ac:dyDescent="0.3">
      <c r="A1121" s="150"/>
      <c r="B1121" s="150"/>
      <c r="C1121" s="150"/>
      <c r="D1121" s="150"/>
      <c r="E1121" s="140" t="str">
        <f t="shared" si="52"/>
        <v/>
      </c>
      <c r="F1121" s="159"/>
      <c r="G1121" s="145">
        <f t="shared" si="54"/>
        <v>0</v>
      </c>
      <c r="H1121" s="140" t="str">
        <f t="shared" si="53"/>
        <v/>
      </c>
      <c r="I1121"/>
      <c r="J1121" s="147" t="str">
        <f>IFERROR(SUMIFS(当年实际!$V:$V,当年实际!$F:$F,$C1121,当年实际!$C:$C,"&gt;="&amp;DATE(YEAR(主页!$D$2),1,1),当年实际!$C:$C,"&lt;="&amp;EOMONTH(DATE(YEAR(主页!$D$2),MONTH(主页!$D$2),1),0))/SUMIFS(当年实际!$P:$P,当年实际!$F:$F,$C1121,当年实际!$C:$C,"&gt;="&amp;DATE(YEAR(主页!$D$2),1,1),当年实际!$C:$C,"&lt;="&amp;EOMONTH(DATE(YEAR(主页!$D$2),MONTH(主页!$D$2),1),0)),"")</f>
        <v/>
      </c>
    </row>
    <row r="1122" spans="1:10" x14ac:dyDescent="0.3">
      <c r="A1122" s="150"/>
      <c r="B1122" s="150"/>
      <c r="C1122" s="150"/>
      <c r="D1122" s="150"/>
      <c r="E1122" s="140" t="str">
        <f t="shared" si="52"/>
        <v/>
      </c>
      <c r="F1122" s="159"/>
      <c r="G1122" s="145">
        <f t="shared" si="54"/>
        <v>0</v>
      </c>
      <c r="H1122" s="140" t="str">
        <f t="shared" si="53"/>
        <v/>
      </c>
      <c r="I1122"/>
      <c r="J1122" s="147" t="str">
        <f>IFERROR(SUMIFS(当年实际!$V:$V,当年实际!$F:$F,$C1122,当年实际!$C:$C,"&gt;="&amp;DATE(YEAR(主页!$D$2),1,1),当年实际!$C:$C,"&lt;="&amp;EOMONTH(DATE(YEAR(主页!$D$2),MONTH(主页!$D$2),1),0))/SUMIFS(当年实际!$P:$P,当年实际!$F:$F,$C1122,当年实际!$C:$C,"&gt;="&amp;DATE(YEAR(主页!$D$2),1,1),当年实际!$C:$C,"&lt;="&amp;EOMONTH(DATE(YEAR(主页!$D$2),MONTH(主页!$D$2),1),0)),"")</f>
        <v/>
      </c>
    </row>
    <row r="1123" spans="1:10" x14ac:dyDescent="0.3">
      <c r="A1123" s="150"/>
      <c r="B1123" s="150"/>
      <c r="C1123" s="150"/>
      <c r="D1123" s="150"/>
      <c r="E1123" s="140" t="str">
        <f t="shared" si="52"/>
        <v/>
      </c>
      <c r="F1123" s="159"/>
      <c r="G1123" s="145">
        <f t="shared" si="54"/>
        <v>0</v>
      </c>
      <c r="H1123" s="140" t="str">
        <f t="shared" si="53"/>
        <v/>
      </c>
      <c r="I1123"/>
      <c r="J1123" s="147" t="str">
        <f>IFERROR(SUMIFS(当年实际!$V:$V,当年实际!$F:$F,$C1123,当年实际!$C:$C,"&gt;="&amp;DATE(YEAR(主页!$D$2),1,1),当年实际!$C:$C,"&lt;="&amp;EOMONTH(DATE(YEAR(主页!$D$2),MONTH(主页!$D$2),1),0))/SUMIFS(当年实际!$P:$P,当年实际!$F:$F,$C1123,当年实际!$C:$C,"&gt;="&amp;DATE(YEAR(主页!$D$2),1,1),当年实际!$C:$C,"&lt;="&amp;EOMONTH(DATE(YEAR(主页!$D$2),MONTH(主页!$D$2),1),0)),"")</f>
        <v/>
      </c>
    </row>
    <row r="1124" spans="1:10" x14ac:dyDescent="0.3">
      <c r="A1124" s="150"/>
      <c r="B1124" s="150"/>
      <c r="C1124" s="150"/>
      <c r="D1124" s="150"/>
      <c r="E1124" s="140" t="str">
        <f t="shared" si="52"/>
        <v/>
      </c>
      <c r="F1124" s="159"/>
      <c r="G1124" s="145">
        <f t="shared" si="54"/>
        <v>0</v>
      </c>
      <c r="H1124" s="140" t="str">
        <f t="shared" si="53"/>
        <v/>
      </c>
      <c r="I1124"/>
      <c r="J1124" s="147" t="str">
        <f>IFERROR(SUMIFS(当年实际!$V:$V,当年实际!$F:$F,$C1124,当年实际!$C:$C,"&gt;="&amp;DATE(YEAR(主页!$D$2),1,1),当年实际!$C:$C,"&lt;="&amp;EOMONTH(DATE(YEAR(主页!$D$2),MONTH(主页!$D$2),1),0))/SUMIFS(当年实际!$P:$P,当年实际!$F:$F,$C1124,当年实际!$C:$C,"&gt;="&amp;DATE(YEAR(主页!$D$2),1,1),当年实际!$C:$C,"&lt;="&amp;EOMONTH(DATE(YEAR(主页!$D$2),MONTH(主页!$D$2),1),0)),"")</f>
        <v/>
      </c>
    </row>
    <row r="1125" spans="1:10" x14ac:dyDescent="0.3">
      <c r="A1125" s="150"/>
      <c r="B1125" s="150"/>
      <c r="C1125" s="150"/>
      <c r="D1125" s="150"/>
      <c r="E1125" s="140" t="str">
        <f t="shared" si="52"/>
        <v/>
      </c>
      <c r="F1125" s="159"/>
      <c r="G1125" s="145">
        <f t="shared" si="54"/>
        <v>0</v>
      </c>
      <c r="H1125" s="140" t="str">
        <f t="shared" si="53"/>
        <v/>
      </c>
      <c r="I1125"/>
      <c r="J1125" s="147" t="str">
        <f>IFERROR(SUMIFS(当年实际!$V:$V,当年实际!$F:$F,$C1125,当年实际!$C:$C,"&gt;="&amp;DATE(YEAR(主页!$D$2),1,1),当年实际!$C:$C,"&lt;="&amp;EOMONTH(DATE(YEAR(主页!$D$2),MONTH(主页!$D$2),1),0))/SUMIFS(当年实际!$P:$P,当年实际!$F:$F,$C1125,当年实际!$C:$C,"&gt;="&amp;DATE(YEAR(主页!$D$2),1,1),当年实际!$C:$C,"&lt;="&amp;EOMONTH(DATE(YEAR(主页!$D$2),MONTH(主页!$D$2),1),0)),"")</f>
        <v/>
      </c>
    </row>
    <row r="1126" spans="1:10" x14ac:dyDescent="0.3">
      <c r="A1126" s="150"/>
      <c r="B1126" s="150"/>
      <c r="C1126" s="150"/>
      <c r="D1126" s="150"/>
      <c r="E1126" s="140" t="str">
        <f t="shared" si="52"/>
        <v/>
      </c>
      <c r="F1126" s="159"/>
      <c r="G1126" s="145">
        <f t="shared" si="54"/>
        <v>0</v>
      </c>
      <c r="H1126" s="140" t="str">
        <f t="shared" si="53"/>
        <v/>
      </c>
      <c r="I1126"/>
      <c r="J1126" s="147" t="str">
        <f>IFERROR(SUMIFS(当年实际!$V:$V,当年实际!$F:$F,$C1126,当年实际!$C:$C,"&gt;="&amp;DATE(YEAR(主页!$D$2),1,1),当年实际!$C:$C,"&lt;="&amp;EOMONTH(DATE(YEAR(主页!$D$2),MONTH(主页!$D$2),1),0))/SUMIFS(当年实际!$P:$P,当年实际!$F:$F,$C1126,当年实际!$C:$C,"&gt;="&amp;DATE(YEAR(主页!$D$2),1,1),当年实际!$C:$C,"&lt;="&amp;EOMONTH(DATE(YEAR(主页!$D$2),MONTH(主页!$D$2),1),0)),"")</f>
        <v/>
      </c>
    </row>
    <row r="1127" spans="1:10" x14ac:dyDescent="0.3">
      <c r="A1127" s="150"/>
      <c r="B1127" s="150"/>
      <c r="C1127" s="150"/>
      <c r="D1127" s="150"/>
      <c r="E1127" s="140" t="str">
        <f t="shared" si="52"/>
        <v/>
      </c>
      <c r="F1127" s="159"/>
      <c r="G1127" s="145">
        <f t="shared" si="54"/>
        <v>0</v>
      </c>
      <c r="H1127" s="140" t="str">
        <f t="shared" si="53"/>
        <v/>
      </c>
      <c r="I1127"/>
      <c r="J1127" s="147" t="str">
        <f>IFERROR(SUMIFS(当年实际!$V:$V,当年实际!$F:$F,$C1127,当年实际!$C:$C,"&gt;="&amp;DATE(YEAR(主页!$D$2),1,1),当年实际!$C:$C,"&lt;="&amp;EOMONTH(DATE(YEAR(主页!$D$2),MONTH(主页!$D$2),1),0))/SUMIFS(当年实际!$P:$P,当年实际!$F:$F,$C1127,当年实际!$C:$C,"&gt;="&amp;DATE(YEAR(主页!$D$2),1,1),当年实际!$C:$C,"&lt;="&amp;EOMONTH(DATE(YEAR(主页!$D$2),MONTH(主页!$D$2),1),0)),"")</f>
        <v/>
      </c>
    </row>
    <row r="1128" spans="1:10" x14ac:dyDescent="0.3">
      <c r="A1128" s="150"/>
      <c r="B1128" s="150"/>
      <c r="C1128" s="150"/>
      <c r="D1128" s="150"/>
      <c r="E1128" s="140" t="str">
        <f t="shared" si="52"/>
        <v/>
      </c>
      <c r="F1128" s="159"/>
      <c r="G1128" s="145">
        <f t="shared" si="54"/>
        <v>0</v>
      </c>
      <c r="H1128" s="140" t="str">
        <f t="shared" si="53"/>
        <v/>
      </c>
      <c r="I1128"/>
      <c r="J1128" s="147" t="str">
        <f>IFERROR(SUMIFS(当年实际!$V:$V,当年实际!$F:$F,$C1128,当年实际!$C:$C,"&gt;="&amp;DATE(YEAR(主页!$D$2),1,1),当年实际!$C:$C,"&lt;="&amp;EOMONTH(DATE(YEAR(主页!$D$2),MONTH(主页!$D$2),1),0))/SUMIFS(当年实际!$P:$P,当年实际!$F:$F,$C1128,当年实际!$C:$C,"&gt;="&amp;DATE(YEAR(主页!$D$2),1,1),当年实际!$C:$C,"&lt;="&amp;EOMONTH(DATE(YEAR(主页!$D$2),MONTH(主页!$D$2),1),0)),"")</f>
        <v/>
      </c>
    </row>
    <row r="1129" spans="1:10" x14ac:dyDescent="0.3">
      <c r="A1129" s="150"/>
      <c r="B1129" s="150"/>
      <c r="C1129" s="150"/>
      <c r="D1129" s="150"/>
      <c r="E1129" s="140" t="str">
        <f t="shared" si="52"/>
        <v/>
      </c>
      <c r="F1129" s="159"/>
      <c r="G1129" s="145">
        <f t="shared" si="54"/>
        <v>0</v>
      </c>
      <c r="H1129" s="140" t="str">
        <f t="shared" si="53"/>
        <v/>
      </c>
      <c r="I1129"/>
      <c r="J1129" s="147" t="str">
        <f>IFERROR(SUMIFS(当年实际!$V:$V,当年实际!$F:$F,$C1129,当年实际!$C:$C,"&gt;="&amp;DATE(YEAR(主页!$D$2),1,1),当年实际!$C:$C,"&lt;="&amp;EOMONTH(DATE(YEAR(主页!$D$2),MONTH(主页!$D$2),1),0))/SUMIFS(当年实际!$P:$P,当年实际!$F:$F,$C1129,当年实际!$C:$C,"&gt;="&amp;DATE(YEAR(主页!$D$2),1,1),当年实际!$C:$C,"&lt;="&amp;EOMONTH(DATE(YEAR(主页!$D$2),MONTH(主页!$D$2),1),0)),"")</f>
        <v/>
      </c>
    </row>
    <row r="1130" spans="1:10" x14ac:dyDescent="0.3">
      <c r="A1130" s="150"/>
      <c r="B1130" s="150"/>
      <c r="C1130" s="150"/>
      <c r="D1130" s="150"/>
      <c r="E1130" s="140" t="str">
        <f t="shared" si="52"/>
        <v/>
      </c>
      <c r="F1130" s="159"/>
      <c r="G1130" s="145">
        <f t="shared" si="54"/>
        <v>0</v>
      </c>
      <c r="H1130" s="140" t="str">
        <f t="shared" si="53"/>
        <v/>
      </c>
      <c r="I1130"/>
      <c r="J1130" s="147" t="str">
        <f>IFERROR(SUMIFS(当年实际!$V:$V,当年实际!$F:$F,$C1130,当年实际!$C:$C,"&gt;="&amp;DATE(YEAR(主页!$D$2),1,1),当年实际!$C:$C,"&lt;="&amp;EOMONTH(DATE(YEAR(主页!$D$2),MONTH(主页!$D$2),1),0))/SUMIFS(当年实际!$P:$P,当年实际!$F:$F,$C1130,当年实际!$C:$C,"&gt;="&amp;DATE(YEAR(主页!$D$2),1,1),当年实际!$C:$C,"&lt;="&amp;EOMONTH(DATE(YEAR(主页!$D$2),MONTH(主页!$D$2),1),0)),"")</f>
        <v/>
      </c>
    </row>
    <row r="1131" spans="1:10" x14ac:dyDescent="0.3">
      <c r="A1131" s="150"/>
      <c r="B1131" s="150"/>
      <c r="C1131" s="150"/>
      <c r="D1131" s="150"/>
      <c r="E1131" s="140" t="str">
        <f t="shared" si="52"/>
        <v/>
      </c>
      <c r="F1131" s="159"/>
      <c r="G1131" s="145">
        <f t="shared" si="54"/>
        <v>0</v>
      </c>
      <c r="H1131" s="140" t="str">
        <f t="shared" si="53"/>
        <v/>
      </c>
      <c r="I1131"/>
      <c r="J1131" s="147" t="str">
        <f>IFERROR(SUMIFS(当年实际!$V:$V,当年实际!$F:$F,$C1131,当年实际!$C:$C,"&gt;="&amp;DATE(YEAR(主页!$D$2),1,1),当年实际!$C:$C,"&lt;="&amp;EOMONTH(DATE(YEAR(主页!$D$2),MONTH(主页!$D$2),1),0))/SUMIFS(当年实际!$P:$P,当年实际!$F:$F,$C1131,当年实际!$C:$C,"&gt;="&amp;DATE(YEAR(主页!$D$2),1,1),当年实际!$C:$C,"&lt;="&amp;EOMONTH(DATE(YEAR(主页!$D$2),MONTH(主页!$D$2),1),0)),"")</f>
        <v/>
      </c>
    </row>
    <row r="1132" spans="1:10" x14ac:dyDescent="0.3">
      <c r="A1132" s="150"/>
      <c r="B1132" s="150"/>
      <c r="C1132" s="150"/>
      <c r="D1132" s="150"/>
      <c r="E1132" s="140" t="str">
        <f t="shared" si="52"/>
        <v/>
      </c>
      <c r="F1132" s="159"/>
      <c r="G1132" s="145">
        <f t="shared" si="54"/>
        <v>0</v>
      </c>
      <c r="H1132" s="140" t="str">
        <f t="shared" si="53"/>
        <v/>
      </c>
      <c r="I1132"/>
      <c r="J1132" s="147" t="str">
        <f>IFERROR(SUMIFS(当年实际!$V:$V,当年实际!$F:$F,$C1132,当年实际!$C:$C,"&gt;="&amp;DATE(YEAR(主页!$D$2),1,1),当年实际!$C:$C,"&lt;="&amp;EOMONTH(DATE(YEAR(主页!$D$2),MONTH(主页!$D$2),1),0))/SUMIFS(当年实际!$P:$P,当年实际!$F:$F,$C1132,当年实际!$C:$C,"&gt;="&amp;DATE(YEAR(主页!$D$2),1,1),当年实际!$C:$C,"&lt;="&amp;EOMONTH(DATE(YEAR(主页!$D$2),MONTH(主页!$D$2),1),0)),"")</f>
        <v/>
      </c>
    </row>
    <row r="1133" spans="1:10" x14ac:dyDescent="0.3">
      <c r="A1133" s="150"/>
      <c r="B1133" s="150"/>
      <c r="C1133" s="150"/>
      <c r="D1133" s="150"/>
      <c r="E1133" s="140" t="str">
        <f t="shared" si="52"/>
        <v/>
      </c>
      <c r="F1133" s="159"/>
      <c r="G1133" s="145">
        <f t="shared" si="54"/>
        <v>0</v>
      </c>
      <c r="H1133" s="140" t="str">
        <f t="shared" si="53"/>
        <v/>
      </c>
      <c r="I1133"/>
      <c r="J1133" s="147" t="str">
        <f>IFERROR(SUMIFS(当年实际!$V:$V,当年实际!$F:$F,$C1133,当年实际!$C:$C,"&gt;="&amp;DATE(YEAR(主页!$D$2),1,1),当年实际!$C:$C,"&lt;="&amp;EOMONTH(DATE(YEAR(主页!$D$2),MONTH(主页!$D$2),1),0))/SUMIFS(当年实际!$P:$P,当年实际!$F:$F,$C1133,当年实际!$C:$C,"&gt;="&amp;DATE(YEAR(主页!$D$2),1,1),当年实际!$C:$C,"&lt;="&amp;EOMONTH(DATE(YEAR(主页!$D$2),MONTH(主页!$D$2),1),0)),"")</f>
        <v/>
      </c>
    </row>
    <row r="1134" spans="1:10" x14ac:dyDescent="0.3">
      <c r="A1134" s="150"/>
      <c r="B1134" s="150"/>
      <c r="C1134" s="150"/>
      <c r="D1134" s="150"/>
      <c r="E1134" s="140" t="str">
        <f t="shared" si="52"/>
        <v/>
      </c>
      <c r="F1134" s="159"/>
      <c r="G1134" s="145">
        <f t="shared" si="54"/>
        <v>0</v>
      </c>
      <c r="H1134" s="140" t="str">
        <f t="shared" si="53"/>
        <v/>
      </c>
      <c r="I1134"/>
      <c r="J1134" s="147" t="str">
        <f>IFERROR(SUMIFS(当年实际!$V:$V,当年实际!$F:$F,$C1134,当年实际!$C:$C,"&gt;="&amp;DATE(YEAR(主页!$D$2),1,1),当年实际!$C:$C,"&lt;="&amp;EOMONTH(DATE(YEAR(主页!$D$2),MONTH(主页!$D$2),1),0))/SUMIFS(当年实际!$P:$P,当年实际!$F:$F,$C1134,当年实际!$C:$C,"&gt;="&amp;DATE(YEAR(主页!$D$2),1,1),当年实际!$C:$C,"&lt;="&amp;EOMONTH(DATE(YEAR(主页!$D$2),MONTH(主页!$D$2),1),0)),"")</f>
        <v/>
      </c>
    </row>
    <row r="1135" spans="1:10" x14ac:dyDescent="0.3">
      <c r="A1135" s="150"/>
      <c r="B1135" s="150"/>
      <c r="C1135" s="150"/>
      <c r="D1135" s="150"/>
      <c r="E1135" s="140" t="str">
        <f t="shared" si="52"/>
        <v/>
      </c>
      <c r="F1135" s="159"/>
      <c r="G1135" s="145">
        <f t="shared" si="54"/>
        <v>0</v>
      </c>
      <c r="H1135" s="140" t="str">
        <f t="shared" si="53"/>
        <v/>
      </c>
      <c r="I1135"/>
      <c r="J1135" s="147" t="str">
        <f>IFERROR(SUMIFS(当年实际!$V:$V,当年实际!$F:$F,$C1135,当年实际!$C:$C,"&gt;="&amp;DATE(YEAR(主页!$D$2),1,1),当年实际!$C:$C,"&lt;="&amp;EOMONTH(DATE(YEAR(主页!$D$2),MONTH(主页!$D$2),1),0))/SUMIFS(当年实际!$P:$P,当年实际!$F:$F,$C1135,当年实际!$C:$C,"&gt;="&amp;DATE(YEAR(主页!$D$2),1,1),当年实际!$C:$C,"&lt;="&amp;EOMONTH(DATE(YEAR(主页!$D$2),MONTH(主页!$D$2),1),0)),"")</f>
        <v/>
      </c>
    </row>
    <row r="1136" spans="1:10" x14ac:dyDescent="0.3">
      <c r="A1136" s="150"/>
      <c r="B1136" s="150"/>
      <c r="C1136" s="150"/>
      <c r="D1136" s="150"/>
      <c r="E1136" s="140" t="str">
        <f t="shared" si="52"/>
        <v/>
      </c>
      <c r="F1136" s="159"/>
      <c r="G1136" s="145">
        <f t="shared" si="54"/>
        <v>0</v>
      </c>
      <c r="H1136" s="140" t="str">
        <f t="shared" si="53"/>
        <v/>
      </c>
      <c r="I1136"/>
      <c r="J1136" s="147" t="str">
        <f>IFERROR(SUMIFS(当年实际!$V:$V,当年实际!$F:$F,$C1136,当年实际!$C:$C,"&gt;="&amp;DATE(YEAR(主页!$D$2),1,1),当年实际!$C:$C,"&lt;="&amp;EOMONTH(DATE(YEAR(主页!$D$2),MONTH(主页!$D$2),1),0))/SUMIFS(当年实际!$P:$P,当年实际!$F:$F,$C1136,当年实际!$C:$C,"&gt;="&amp;DATE(YEAR(主页!$D$2),1,1),当年实际!$C:$C,"&lt;="&amp;EOMONTH(DATE(YEAR(主页!$D$2),MONTH(主页!$D$2),1),0)),"")</f>
        <v/>
      </c>
    </row>
    <row r="1137" spans="1:10" x14ac:dyDescent="0.3">
      <c r="A1137" s="150"/>
      <c r="B1137" s="150"/>
      <c r="C1137" s="150"/>
      <c r="D1137" s="150"/>
      <c r="E1137" s="140" t="str">
        <f t="shared" si="52"/>
        <v/>
      </c>
      <c r="F1137" s="159"/>
      <c r="G1137" s="145">
        <f t="shared" si="54"/>
        <v>0</v>
      </c>
      <c r="H1137" s="140" t="str">
        <f t="shared" si="53"/>
        <v/>
      </c>
      <c r="I1137"/>
      <c r="J1137" s="147" t="str">
        <f>IFERROR(SUMIFS(当年实际!$V:$V,当年实际!$F:$F,$C1137,当年实际!$C:$C,"&gt;="&amp;DATE(YEAR(主页!$D$2),1,1),当年实际!$C:$C,"&lt;="&amp;EOMONTH(DATE(YEAR(主页!$D$2),MONTH(主页!$D$2),1),0))/SUMIFS(当年实际!$P:$P,当年实际!$F:$F,$C1137,当年实际!$C:$C,"&gt;="&amp;DATE(YEAR(主页!$D$2),1,1),当年实际!$C:$C,"&lt;="&amp;EOMONTH(DATE(YEAR(主页!$D$2),MONTH(主页!$D$2),1),0)),"")</f>
        <v/>
      </c>
    </row>
    <row r="1138" spans="1:10" x14ac:dyDescent="0.3">
      <c r="A1138" s="150"/>
      <c r="B1138" s="150"/>
      <c r="C1138" s="150"/>
      <c r="D1138" s="150"/>
      <c r="E1138" s="140" t="str">
        <f t="shared" si="52"/>
        <v/>
      </c>
      <c r="F1138" s="159"/>
      <c r="G1138" s="145">
        <f t="shared" si="54"/>
        <v>0</v>
      </c>
      <c r="H1138" s="140" t="str">
        <f t="shared" si="53"/>
        <v/>
      </c>
      <c r="I1138"/>
      <c r="J1138" s="147" t="str">
        <f>IFERROR(SUMIFS(当年实际!$V:$V,当年实际!$F:$F,$C1138,当年实际!$C:$C,"&gt;="&amp;DATE(YEAR(主页!$D$2),1,1),当年实际!$C:$C,"&lt;="&amp;EOMONTH(DATE(YEAR(主页!$D$2),MONTH(主页!$D$2),1),0))/SUMIFS(当年实际!$P:$P,当年实际!$F:$F,$C1138,当年实际!$C:$C,"&gt;="&amp;DATE(YEAR(主页!$D$2),1,1),当年实际!$C:$C,"&lt;="&amp;EOMONTH(DATE(YEAR(主页!$D$2),MONTH(主页!$D$2),1),0)),"")</f>
        <v/>
      </c>
    </row>
    <row r="1139" spans="1:10" x14ac:dyDescent="0.3">
      <c r="A1139" s="150"/>
      <c r="B1139" s="150"/>
      <c r="C1139" s="150"/>
      <c r="D1139" s="150"/>
      <c r="E1139" s="140" t="str">
        <f t="shared" si="52"/>
        <v/>
      </c>
      <c r="F1139" s="159"/>
      <c r="G1139" s="145">
        <f t="shared" si="54"/>
        <v>0</v>
      </c>
      <c r="H1139" s="140" t="str">
        <f t="shared" si="53"/>
        <v/>
      </c>
      <c r="I1139"/>
      <c r="J1139" s="147" t="str">
        <f>IFERROR(SUMIFS(当年实际!$V:$V,当年实际!$F:$F,$C1139,当年实际!$C:$C,"&gt;="&amp;DATE(YEAR(主页!$D$2),1,1),当年实际!$C:$C,"&lt;="&amp;EOMONTH(DATE(YEAR(主页!$D$2),MONTH(主页!$D$2),1),0))/SUMIFS(当年实际!$P:$P,当年实际!$F:$F,$C1139,当年实际!$C:$C,"&gt;="&amp;DATE(YEAR(主页!$D$2),1,1),当年实际!$C:$C,"&lt;="&amp;EOMONTH(DATE(YEAR(主页!$D$2),MONTH(主页!$D$2),1),0)),"")</f>
        <v/>
      </c>
    </row>
    <row r="1140" spans="1:10" x14ac:dyDescent="0.3">
      <c r="A1140" s="150"/>
      <c r="B1140" s="150"/>
      <c r="C1140" s="150"/>
      <c r="D1140" s="150"/>
      <c r="E1140" s="140" t="str">
        <f t="shared" si="52"/>
        <v/>
      </c>
      <c r="F1140" s="159"/>
      <c r="G1140" s="145">
        <f t="shared" si="54"/>
        <v>0</v>
      </c>
      <c r="H1140" s="140" t="str">
        <f t="shared" si="53"/>
        <v/>
      </c>
      <c r="I1140"/>
      <c r="J1140" s="147" t="str">
        <f>IFERROR(SUMIFS(当年实际!$V:$V,当年实际!$F:$F,$C1140,当年实际!$C:$C,"&gt;="&amp;DATE(YEAR(主页!$D$2),1,1),当年实际!$C:$C,"&lt;="&amp;EOMONTH(DATE(YEAR(主页!$D$2),MONTH(主页!$D$2),1),0))/SUMIFS(当年实际!$P:$P,当年实际!$F:$F,$C1140,当年实际!$C:$C,"&gt;="&amp;DATE(YEAR(主页!$D$2),1,1),当年实际!$C:$C,"&lt;="&amp;EOMONTH(DATE(YEAR(主页!$D$2),MONTH(主页!$D$2),1),0)),"")</f>
        <v/>
      </c>
    </row>
    <row r="1141" spans="1:10" x14ac:dyDescent="0.3">
      <c r="A1141" s="150"/>
      <c r="B1141" s="150"/>
      <c r="C1141" s="150"/>
      <c r="D1141" s="150"/>
      <c r="E1141" s="140" t="str">
        <f t="shared" si="52"/>
        <v/>
      </c>
      <c r="F1141" s="159"/>
      <c r="G1141" s="145">
        <f t="shared" si="54"/>
        <v>0</v>
      </c>
      <c r="H1141" s="140" t="str">
        <f t="shared" si="53"/>
        <v/>
      </c>
      <c r="I1141"/>
      <c r="J1141" s="147" t="str">
        <f>IFERROR(SUMIFS(当年实际!$V:$V,当年实际!$F:$F,$C1141,当年实际!$C:$C,"&gt;="&amp;DATE(YEAR(主页!$D$2),1,1),当年实际!$C:$C,"&lt;="&amp;EOMONTH(DATE(YEAR(主页!$D$2),MONTH(主页!$D$2),1),0))/SUMIFS(当年实际!$P:$P,当年实际!$F:$F,$C1141,当年实际!$C:$C,"&gt;="&amp;DATE(YEAR(主页!$D$2),1,1),当年实际!$C:$C,"&lt;="&amp;EOMONTH(DATE(YEAR(主页!$D$2),MONTH(主页!$D$2),1),0)),"")</f>
        <v/>
      </c>
    </row>
    <row r="1142" spans="1:10" x14ac:dyDescent="0.3">
      <c r="A1142" s="150"/>
      <c r="B1142" s="150"/>
      <c r="C1142" s="150"/>
      <c r="D1142" s="150"/>
      <c r="E1142" s="140" t="str">
        <f t="shared" si="52"/>
        <v/>
      </c>
      <c r="F1142" s="159"/>
      <c r="G1142" s="145">
        <f t="shared" si="54"/>
        <v>0</v>
      </c>
      <c r="H1142" s="140" t="str">
        <f t="shared" si="53"/>
        <v/>
      </c>
      <c r="I1142"/>
      <c r="J1142" s="147" t="str">
        <f>IFERROR(SUMIFS(当年实际!$V:$V,当年实际!$F:$F,$C1142,当年实际!$C:$C,"&gt;="&amp;DATE(YEAR(主页!$D$2),1,1),当年实际!$C:$C,"&lt;="&amp;EOMONTH(DATE(YEAR(主页!$D$2),MONTH(主页!$D$2),1),0))/SUMIFS(当年实际!$P:$P,当年实际!$F:$F,$C1142,当年实际!$C:$C,"&gt;="&amp;DATE(YEAR(主页!$D$2),1,1),当年实际!$C:$C,"&lt;="&amp;EOMONTH(DATE(YEAR(主页!$D$2),MONTH(主页!$D$2),1),0)),"")</f>
        <v/>
      </c>
    </row>
    <row r="1143" spans="1:10" x14ac:dyDescent="0.3">
      <c r="A1143" s="150"/>
      <c r="B1143" s="150"/>
      <c r="C1143" s="150"/>
      <c r="D1143" s="150"/>
      <c r="E1143" s="140" t="str">
        <f t="shared" si="52"/>
        <v/>
      </c>
      <c r="F1143" s="159"/>
      <c r="G1143" s="145">
        <f t="shared" si="54"/>
        <v>0</v>
      </c>
      <c r="H1143" s="140" t="str">
        <f t="shared" si="53"/>
        <v/>
      </c>
      <c r="I1143"/>
      <c r="J1143" s="147" t="str">
        <f>IFERROR(SUMIFS(当年实际!$V:$V,当年实际!$F:$F,$C1143,当年实际!$C:$C,"&gt;="&amp;DATE(YEAR(主页!$D$2),1,1),当年实际!$C:$C,"&lt;="&amp;EOMONTH(DATE(YEAR(主页!$D$2),MONTH(主页!$D$2),1),0))/SUMIFS(当年实际!$P:$P,当年实际!$F:$F,$C1143,当年实际!$C:$C,"&gt;="&amp;DATE(YEAR(主页!$D$2),1,1),当年实际!$C:$C,"&lt;="&amp;EOMONTH(DATE(YEAR(主页!$D$2),MONTH(主页!$D$2),1),0)),"")</f>
        <v/>
      </c>
    </row>
    <row r="1144" spans="1:10" x14ac:dyDescent="0.3">
      <c r="A1144" s="150"/>
      <c r="B1144" s="150"/>
      <c r="C1144" s="150"/>
      <c r="D1144" s="150"/>
      <c r="E1144" s="140" t="str">
        <f t="shared" si="52"/>
        <v/>
      </c>
      <c r="F1144" s="159"/>
      <c r="G1144" s="145">
        <f t="shared" si="54"/>
        <v>0</v>
      </c>
      <c r="H1144" s="140" t="str">
        <f t="shared" si="53"/>
        <v/>
      </c>
      <c r="I1144"/>
      <c r="J1144" s="147" t="str">
        <f>IFERROR(SUMIFS(当年实际!$V:$V,当年实际!$F:$F,$C1144,当年实际!$C:$C,"&gt;="&amp;DATE(YEAR(主页!$D$2),1,1),当年实际!$C:$C,"&lt;="&amp;EOMONTH(DATE(YEAR(主页!$D$2),MONTH(主页!$D$2),1),0))/SUMIFS(当年实际!$P:$P,当年实际!$F:$F,$C1144,当年实际!$C:$C,"&gt;="&amp;DATE(YEAR(主页!$D$2),1,1),当年实际!$C:$C,"&lt;="&amp;EOMONTH(DATE(YEAR(主页!$D$2),MONTH(主页!$D$2),1),0)),"")</f>
        <v/>
      </c>
    </row>
    <row r="1145" spans="1:10" x14ac:dyDescent="0.3">
      <c r="A1145" s="150"/>
      <c r="B1145" s="150"/>
      <c r="C1145" s="150"/>
      <c r="D1145" s="150"/>
      <c r="E1145" s="140" t="str">
        <f t="shared" si="52"/>
        <v/>
      </c>
      <c r="F1145" s="159"/>
      <c r="G1145" s="145">
        <f t="shared" si="54"/>
        <v>0</v>
      </c>
      <c r="H1145" s="140" t="str">
        <f t="shared" si="53"/>
        <v/>
      </c>
      <c r="I1145"/>
      <c r="J1145" s="147" t="str">
        <f>IFERROR(SUMIFS(当年实际!$V:$V,当年实际!$F:$F,$C1145,当年实际!$C:$C,"&gt;="&amp;DATE(YEAR(主页!$D$2),1,1),当年实际!$C:$C,"&lt;="&amp;EOMONTH(DATE(YEAR(主页!$D$2),MONTH(主页!$D$2),1),0))/SUMIFS(当年实际!$P:$P,当年实际!$F:$F,$C1145,当年实际!$C:$C,"&gt;="&amp;DATE(YEAR(主页!$D$2),1,1),当年实际!$C:$C,"&lt;="&amp;EOMONTH(DATE(YEAR(主页!$D$2),MONTH(主页!$D$2),1),0)),"")</f>
        <v/>
      </c>
    </row>
    <row r="1146" spans="1:10" x14ac:dyDescent="0.3">
      <c r="A1146" s="150"/>
      <c r="B1146" s="150"/>
      <c r="C1146" s="150"/>
      <c r="D1146" s="150"/>
      <c r="E1146" s="140" t="str">
        <f t="shared" si="52"/>
        <v/>
      </c>
      <c r="F1146" s="159"/>
      <c r="G1146" s="145">
        <f t="shared" si="54"/>
        <v>0</v>
      </c>
      <c r="H1146" s="140" t="str">
        <f t="shared" si="53"/>
        <v/>
      </c>
      <c r="I1146"/>
      <c r="J1146" s="147" t="str">
        <f>IFERROR(SUMIFS(当年实际!$V:$V,当年实际!$F:$F,$C1146,当年实际!$C:$C,"&gt;="&amp;DATE(YEAR(主页!$D$2),1,1),当年实际!$C:$C,"&lt;="&amp;EOMONTH(DATE(YEAR(主页!$D$2),MONTH(主页!$D$2),1),0))/SUMIFS(当年实际!$P:$P,当年实际!$F:$F,$C1146,当年实际!$C:$C,"&gt;="&amp;DATE(YEAR(主页!$D$2),1,1),当年实际!$C:$C,"&lt;="&amp;EOMONTH(DATE(YEAR(主页!$D$2),MONTH(主页!$D$2),1),0)),"")</f>
        <v/>
      </c>
    </row>
    <row r="1147" spans="1:10" x14ac:dyDescent="0.3">
      <c r="A1147" s="150"/>
      <c r="B1147" s="150"/>
      <c r="C1147" s="150"/>
      <c r="D1147" s="150"/>
      <c r="E1147" s="140" t="str">
        <f t="shared" si="52"/>
        <v/>
      </c>
      <c r="F1147" s="159"/>
      <c r="G1147" s="145">
        <f t="shared" si="54"/>
        <v>0</v>
      </c>
      <c r="H1147" s="140" t="str">
        <f t="shared" si="53"/>
        <v/>
      </c>
      <c r="I1147"/>
      <c r="J1147" s="147" t="str">
        <f>IFERROR(SUMIFS(当年实际!$V:$V,当年实际!$F:$F,$C1147,当年实际!$C:$C,"&gt;="&amp;DATE(YEAR(主页!$D$2),1,1),当年实际!$C:$C,"&lt;="&amp;EOMONTH(DATE(YEAR(主页!$D$2),MONTH(主页!$D$2),1),0))/SUMIFS(当年实际!$P:$P,当年实际!$F:$F,$C1147,当年实际!$C:$C,"&gt;="&amp;DATE(YEAR(主页!$D$2),1,1),当年实际!$C:$C,"&lt;="&amp;EOMONTH(DATE(YEAR(主页!$D$2),MONTH(主页!$D$2),1),0)),"")</f>
        <v/>
      </c>
    </row>
    <row r="1148" spans="1:10" x14ac:dyDescent="0.3">
      <c r="A1148" s="150"/>
      <c r="B1148" s="150"/>
      <c r="C1148" s="150"/>
      <c r="D1148" s="150"/>
      <c r="E1148" s="140" t="str">
        <f t="shared" si="52"/>
        <v/>
      </c>
      <c r="F1148" s="159"/>
      <c r="G1148" s="145">
        <f t="shared" si="54"/>
        <v>0</v>
      </c>
      <c r="H1148" s="140" t="str">
        <f t="shared" si="53"/>
        <v/>
      </c>
      <c r="I1148"/>
      <c r="J1148" s="147" t="str">
        <f>IFERROR(SUMIFS(当年实际!$V:$V,当年实际!$F:$F,$C1148,当年实际!$C:$C,"&gt;="&amp;DATE(YEAR(主页!$D$2),1,1),当年实际!$C:$C,"&lt;="&amp;EOMONTH(DATE(YEAR(主页!$D$2),MONTH(主页!$D$2),1),0))/SUMIFS(当年实际!$P:$P,当年实际!$F:$F,$C1148,当年实际!$C:$C,"&gt;="&amp;DATE(YEAR(主页!$D$2),1,1),当年实际!$C:$C,"&lt;="&amp;EOMONTH(DATE(YEAR(主页!$D$2),MONTH(主页!$D$2),1),0)),"")</f>
        <v/>
      </c>
    </row>
    <row r="1149" spans="1:10" x14ac:dyDescent="0.3">
      <c r="A1149" s="150"/>
      <c r="B1149" s="150"/>
      <c r="C1149" s="150"/>
      <c r="D1149" s="150"/>
      <c r="E1149" s="140" t="str">
        <f t="shared" si="52"/>
        <v/>
      </c>
      <c r="F1149" s="159"/>
      <c r="G1149" s="145">
        <f t="shared" si="54"/>
        <v>0</v>
      </c>
      <c r="H1149" s="140" t="str">
        <f t="shared" si="53"/>
        <v/>
      </c>
      <c r="I1149"/>
      <c r="J1149" s="147" t="str">
        <f>IFERROR(SUMIFS(当年实际!$V:$V,当年实际!$F:$F,$C1149,当年实际!$C:$C,"&gt;="&amp;DATE(YEAR(主页!$D$2),1,1),当年实际!$C:$C,"&lt;="&amp;EOMONTH(DATE(YEAR(主页!$D$2),MONTH(主页!$D$2),1),0))/SUMIFS(当年实际!$P:$P,当年实际!$F:$F,$C1149,当年实际!$C:$C,"&gt;="&amp;DATE(YEAR(主页!$D$2),1,1),当年实际!$C:$C,"&lt;="&amp;EOMONTH(DATE(YEAR(主页!$D$2),MONTH(主页!$D$2),1),0)),"")</f>
        <v/>
      </c>
    </row>
    <row r="1150" spans="1:10" x14ac:dyDescent="0.3">
      <c r="A1150" s="150"/>
      <c r="B1150" s="150"/>
      <c r="C1150" s="150"/>
      <c r="D1150" s="150"/>
      <c r="E1150" s="140" t="str">
        <f t="shared" si="52"/>
        <v/>
      </c>
      <c r="F1150" s="159"/>
      <c r="G1150" s="145">
        <f t="shared" si="54"/>
        <v>0</v>
      </c>
      <c r="H1150" s="140" t="str">
        <f t="shared" si="53"/>
        <v/>
      </c>
      <c r="I1150"/>
      <c r="J1150" s="147" t="str">
        <f>IFERROR(SUMIFS(当年实际!$V:$V,当年实际!$F:$F,$C1150,当年实际!$C:$C,"&gt;="&amp;DATE(YEAR(主页!$D$2),1,1),当年实际!$C:$C,"&lt;="&amp;EOMONTH(DATE(YEAR(主页!$D$2),MONTH(主页!$D$2),1),0))/SUMIFS(当年实际!$P:$P,当年实际!$F:$F,$C1150,当年实际!$C:$C,"&gt;="&amp;DATE(YEAR(主页!$D$2),1,1),当年实际!$C:$C,"&lt;="&amp;EOMONTH(DATE(YEAR(主页!$D$2),MONTH(主页!$D$2),1),0)),"")</f>
        <v/>
      </c>
    </row>
    <row r="1151" spans="1:10" x14ac:dyDescent="0.3">
      <c r="A1151" s="150"/>
      <c r="B1151" s="150"/>
      <c r="C1151" s="150"/>
      <c r="D1151" s="150"/>
      <c r="E1151" s="140" t="str">
        <f t="shared" si="52"/>
        <v/>
      </c>
      <c r="F1151" s="159"/>
      <c r="G1151" s="145">
        <f t="shared" si="54"/>
        <v>0</v>
      </c>
      <c r="H1151" s="140" t="str">
        <f t="shared" si="53"/>
        <v/>
      </c>
      <c r="I1151"/>
      <c r="J1151" s="147" t="str">
        <f>IFERROR(SUMIFS(当年实际!$V:$V,当年实际!$F:$F,$C1151,当年实际!$C:$C,"&gt;="&amp;DATE(YEAR(主页!$D$2),1,1),当年实际!$C:$C,"&lt;="&amp;EOMONTH(DATE(YEAR(主页!$D$2),MONTH(主页!$D$2),1),0))/SUMIFS(当年实际!$P:$P,当年实际!$F:$F,$C1151,当年实际!$C:$C,"&gt;="&amp;DATE(YEAR(主页!$D$2),1,1),当年实际!$C:$C,"&lt;="&amp;EOMONTH(DATE(YEAR(主页!$D$2),MONTH(主页!$D$2),1),0)),"")</f>
        <v/>
      </c>
    </row>
    <row r="1152" spans="1:10" x14ac:dyDescent="0.3">
      <c r="A1152" s="150"/>
      <c r="B1152" s="150"/>
      <c r="C1152" s="150"/>
      <c r="D1152" s="150"/>
      <c r="E1152" s="140" t="str">
        <f t="shared" si="52"/>
        <v/>
      </c>
      <c r="F1152" s="159"/>
      <c r="G1152" s="145">
        <f t="shared" si="54"/>
        <v>0</v>
      </c>
      <c r="H1152" s="140" t="str">
        <f t="shared" si="53"/>
        <v/>
      </c>
      <c r="I1152"/>
      <c r="J1152" s="147" t="str">
        <f>IFERROR(SUMIFS(当年实际!$V:$V,当年实际!$F:$F,$C1152,当年实际!$C:$C,"&gt;="&amp;DATE(YEAR(主页!$D$2),1,1),当年实际!$C:$C,"&lt;="&amp;EOMONTH(DATE(YEAR(主页!$D$2),MONTH(主页!$D$2),1),0))/SUMIFS(当年实际!$P:$P,当年实际!$F:$F,$C1152,当年实际!$C:$C,"&gt;="&amp;DATE(YEAR(主页!$D$2),1,1),当年实际!$C:$C,"&lt;="&amp;EOMONTH(DATE(YEAR(主页!$D$2),MONTH(主页!$D$2),1),0)),"")</f>
        <v/>
      </c>
    </row>
    <row r="1153" spans="1:10" x14ac:dyDescent="0.3">
      <c r="A1153" s="150"/>
      <c r="B1153" s="150"/>
      <c r="C1153" s="150"/>
      <c r="D1153" s="150"/>
      <c r="E1153" s="140" t="str">
        <f t="shared" si="52"/>
        <v/>
      </c>
      <c r="F1153" s="159"/>
      <c r="G1153" s="145">
        <f t="shared" si="54"/>
        <v>0</v>
      </c>
      <c r="H1153" s="140" t="str">
        <f t="shared" si="53"/>
        <v/>
      </c>
      <c r="I1153"/>
      <c r="J1153" s="147" t="str">
        <f>IFERROR(SUMIFS(当年实际!$V:$V,当年实际!$F:$F,$C1153,当年实际!$C:$C,"&gt;="&amp;DATE(YEAR(主页!$D$2),1,1),当年实际!$C:$C,"&lt;="&amp;EOMONTH(DATE(YEAR(主页!$D$2),MONTH(主页!$D$2),1),0))/SUMIFS(当年实际!$P:$P,当年实际!$F:$F,$C1153,当年实际!$C:$C,"&gt;="&amp;DATE(YEAR(主页!$D$2),1,1),当年实际!$C:$C,"&lt;="&amp;EOMONTH(DATE(YEAR(主页!$D$2),MONTH(主页!$D$2),1),0)),"")</f>
        <v/>
      </c>
    </row>
    <row r="1154" spans="1:10" x14ac:dyDescent="0.3">
      <c r="A1154" s="150"/>
      <c r="B1154" s="150"/>
      <c r="C1154" s="150"/>
      <c r="D1154" s="150"/>
      <c r="E1154" s="140" t="str">
        <f t="shared" si="52"/>
        <v/>
      </c>
      <c r="F1154" s="159"/>
      <c r="G1154" s="145">
        <f t="shared" si="54"/>
        <v>0</v>
      </c>
      <c r="H1154" s="140" t="str">
        <f t="shared" si="53"/>
        <v/>
      </c>
      <c r="I1154"/>
      <c r="J1154" s="147" t="str">
        <f>IFERROR(SUMIFS(当年实际!$V:$V,当年实际!$F:$F,$C1154,当年实际!$C:$C,"&gt;="&amp;DATE(YEAR(主页!$D$2),1,1),当年实际!$C:$C,"&lt;="&amp;EOMONTH(DATE(YEAR(主页!$D$2),MONTH(主页!$D$2),1),0))/SUMIFS(当年实际!$P:$P,当年实际!$F:$F,$C1154,当年实际!$C:$C,"&gt;="&amp;DATE(YEAR(主页!$D$2),1,1),当年实际!$C:$C,"&lt;="&amp;EOMONTH(DATE(YEAR(主页!$D$2),MONTH(主页!$D$2),1),0)),"")</f>
        <v/>
      </c>
    </row>
    <row r="1155" spans="1:10" x14ac:dyDescent="0.3">
      <c r="A1155" s="150"/>
      <c r="B1155" s="150"/>
      <c r="C1155" s="150"/>
      <c r="D1155" s="150"/>
      <c r="E1155" s="140" t="str">
        <f t="shared" si="52"/>
        <v/>
      </c>
      <c r="F1155" s="159"/>
      <c r="G1155" s="145">
        <f t="shared" si="54"/>
        <v>0</v>
      </c>
      <c r="H1155" s="140" t="str">
        <f t="shared" si="53"/>
        <v/>
      </c>
      <c r="I1155"/>
      <c r="J1155" s="147" t="str">
        <f>IFERROR(SUMIFS(当年实际!$V:$V,当年实际!$F:$F,$C1155,当年实际!$C:$C,"&gt;="&amp;DATE(YEAR(主页!$D$2),1,1),当年实际!$C:$C,"&lt;="&amp;EOMONTH(DATE(YEAR(主页!$D$2),MONTH(主页!$D$2),1),0))/SUMIFS(当年实际!$P:$P,当年实际!$F:$F,$C1155,当年实际!$C:$C,"&gt;="&amp;DATE(YEAR(主页!$D$2),1,1),当年实际!$C:$C,"&lt;="&amp;EOMONTH(DATE(YEAR(主页!$D$2),MONTH(主页!$D$2),1),0)),"")</f>
        <v/>
      </c>
    </row>
    <row r="1156" spans="1:10" x14ac:dyDescent="0.3">
      <c r="A1156" s="150"/>
      <c r="B1156" s="150"/>
      <c r="C1156" s="150"/>
      <c r="D1156" s="150"/>
      <c r="E1156" s="140" t="str">
        <f t="shared" ref="E1156:E1219" si="55">IF(D1156/SUM(D:D)=0,"",D1156/SUM(D:D))</f>
        <v/>
      </c>
      <c r="F1156" s="159"/>
      <c r="G1156" s="145">
        <f t="shared" si="54"/>
        <v>0</v>
      </c>
      <c r="H1156" s="140" t="str">
        <f t="shared" ref="H1156:H1219" si="56">IF(G1156/SUM(G:G)=0,"",G1156/SUM(G:G))</f>
        <v/>
      </c>
      <c r="I1156"/>
      <c r="J1156" s="147" t="str">
        <f>IFERROR(SUMIFS(当年实际!$V:$V,当年实际!$F:$F,$C1156,当年实际!$C:$C,"&gt;="&amp;DATE(YEAR(主页!$D$2),1,1),当年实际!$C:$C,"&lt;="&amp;EOMONTH(DATE(YEAR(主页!$D$2),MONTH(主页!$D$2),1),0))/SUMIFS(当年实际!$P:$P,当年实际!$F:$F,$C1156,当年实际!$C:$C,"&gt;="&amp;DATE(YEAR(主页!$D$2),1,1),当年实际!$C:$C,"&lt;="&amp;EOMONTH(DATE(YEAR(主页!$D$2),MONTH(主页!$D$2),1),0)),"")</f>
        <v/>
      </c>
    </row>
    <row r="1157" spans="1:10" x14ac:dyDescent="0.3">
      <c r="A1157" s="150"/>
      <c r="B1157" s="150"/>
      <c r="C1157" s="150"/>
      <c r="D1157" s="150"/>
      <c r="E1157" s="140" t="str">
        <f t="shared" si="55"/>
        <v/>
      </c>
      <c r="F1157" s="159"/>
      <c r="G1157" s="145">
        <f t="shared" si="54"/>
        <v>0</v>
      </c>
      <c r="H1157" s="140" t="str">
        <f t="shared" si="56"/>
        <v/>
      </c>
      <c r="I1157"/>
      <c r="J1157" s="147" t="str">
        <f>IFERROR(SUMIFS(当年实际!$V:$V,当年实际!$F:$F,$C1157,当年实际!$C:$C,"&gt;="&amp;DATE(YEAR(主页!$D$2),1,1),当年实际!$C:$C,"&lt;="&amp;EOMONTH(DATE(YEAR(主页!$D$2),MONTH(主页!$D$2),1),0))/SUMIFS(当年实际!$P:$P,当年实际!$F:$F,$C1157,当年实际!$C:$C,"&gt;="&amp;DATE(YEAR(主页!$D$2),1,1),当年实际!$C:$C,"&lt;="&amp;EOMONTH(DATE(YEAR(主页!$D$2),MONTH(主页!$D$2),1),0)),"")</f>
        <v/>
      </c>
    </row>
    <row r="1158" spans="1:10" x14ac:dyDescent="0.3">
      <c r="A1158" s="150"/>
      <c r="B1158" s="150"/>
      <c r="C1158" s="150"/>
      <c r="D1158" s="150"/>
      <c r="E1158" s="140" t="str">
        <f t="shared" si="55"/>
        <v/>
      </c>
      <c r="F1158" s="159"/>
      <c r="G1158" s="145">
        <f t="shared" si="54"/>
        <v>0</v>
      </c>
      <c r="H1158" s="140" t="str">
        <f t="shared" si="56"/>
        <v/>
      </c>
      <c r="I1158"/>
      <c r="J1158" s="147" t="str">
        <f>IFERROR(SUMIFS(当年实际!$V:$V,当年实际!$F:$F,$C1158,当年实际!$C:$C,"&gt;="&amp;DATE(YEAR(主页!$D$2),1,1),当年实际!$C:$C,"&lt;="&amp;EOMONTH(DATE(YEAR(主页!$D$2),MONTH(主页!$D$2),1),0))/SUMIFS(当年实际!$P:$P,当年实际!$F:$F,$C1158,当年实际!$C:$C,"&gt;="&amp;DATE(YEAR(主页!$D$2),1,1),当年实际!$C:$C,"&lt;="&amp;EOMONTH(DATE(YEAR(主页!$D$2),MONTH(主页!$D$2),1),0)),"")</f>
        <v/>
      </c>
    </row>
    <row r="1159" spans="1:10" x14ac:dyDescent="0.3">
      <c r="A1159" s="150"/>
      <c r="B1159" s="150"/>
      <c r="C1159" s="150"/>
      <c r="D1159" s="150"/>
      <c r="E1159" s="140" t="str">
        <f t="shared" si="55"/>
        <v/>
      </c>
      <c r="F1159" s="159"/>
      <c r="G1159" s="145">
        <f t="shared" ref="G1159:G1222" si="57">D1159*F1159</f>
        <v>0</v>
      </c>
      <c r="H1159" s="140" t="str">
        <f t="shared" si="56"/>
        <v/>
      </c>
      <c r="I1159"/>
      <c r="J1159" s="147" t="str">
        <f>IFERROR(SUMIFS(当年实际!$V:$V,当年实际!$F:$F,$C1159,当年实际!$C:$C,"&gt;="&amp;DATE(YEAR(主页!$D$2),1,1),当年实际!$C:$C,"&lt;="&amp;EOMONTH(DATE(YEAR(主页!$D$2),MONTH(主页!$D$2),1),0))/SUMIFS(当年实际!$P:$P,当年实际!$F:$F,$C1159,当年实际!$C:$C,"&gt;="&amp;DATE(YEAR(主页!$D$2),1,1),当年实际!$C:$C,"&lt;="&amp;EOMONTH(DATE(YEAR(主页!$D$2),MONTH(主页!$D$2),1),0)),"")</f>
        <v/>
      </c>
    </row>
    <row r="1160" spans="1:10" x14ac:dyDescent="0.3">
      <c r="A1160" s="150"/>
      <c r="B1160" s="150"/>
      <c r="C1160" s="150"/>
      <c r="D1160" s="150"/>
      <c r="E1160" s="140" t="str">
        <f t="shared" si="55"/>
        <v/>
      </c>
      <c r="F1160" s="159"/>
      <c r="G1160" s="145">
        <f t="shared" si="57"/>
        <v>0</v>
      </c>
      <c r="H1160" s="140" t="str">
        <f t="shared" si="56"/>
        <v/>
      </c>
      <c r="I1160"/>
      <c r="J1160" s="147" t="str">
        <f>IFERROR(SUMIFS(当年实际!$V:$V,当年实际!$F:$F,$C1160,当年实际!$C:$C,"&gt;="&amp;DATE(YEAR(主页!$D$2),1,1),当年实际!$C:$C,"&lt;="&amp;EOMONTH(DATE(YEAR(主页!$D$2),MONTH(主页!$D$2),1),0))/SUMIFS(当年实际!$P:$P,当年实际!$F:$F,$C1160,当年实际!$C:$C,"&gt;="&amp;DATE(YEAR(主页!$D$2),1,1),当年实际!$C:$C,"&lt;="&amp;EOMONTH(DATE(YEAR(主页!$D$2),MONTH(主页!$D$2),1),0)),"")</f>
        <v/>
      </c>
    </row>
    <row r="1161" spans="1:10" x14ac:dyDescent="0.3">
      <c r="A1161" s="150"/>
      <c r="B1161" s="150"/>
      <c r="C1161" s="150"/>
      <c r="D1161" s="150"/>
      <c r="E1161" s="140" t="str">
        <f t="shared" si="55"/>
        <v/>
      </c>
      <c r="F1161" s="159"/>
      <c r="G1161" s="145">
        <f t="shared" si="57"/>
        <v>0</v>
      </c>
      <c r="H1161" s="140" t="str">
        <f t="shared" si="56"/>
        <v/>
      </c>
      <c r="I1161"/>
      <c r="J1161" s="147" t="str">
        <f>IFERROR(SUMIFS(当年实际!$V:$V,当年实际!$F:$F,$C1161,当年实际!$C:$C,"&gt;="&amp;DATE(YEAR(主页!$D$2),1,1),当年实际!$C:$C,"&lt;="&amp;EOMONTH(DATE(YEAR(主页!$D$2),MONTH(主页!$D$2),1),0))/SUMIFS(当年实际!$P:$P,当年实际!$F:$F,$C1161,当年实际!$C:$C,"&gt;="&amp;DATE(YEAR(主页!$D$2),1,1),当年实际!$C:$C,"&lt;="&amp;EOMONTH(DATE(YEAR(主页!$D$2),MONTH(主页!$D$2),1),0)),"")</f>
        <v/>
      </c>
    </row>
    <row r="1162" spans="1:10" x14ac:dyDescent="0.3">
      <c r="A1162" s="150"/>
      <c r="B1162" s="150"/>
      <c r="C1162" s="150"/>
      <c r="D1162" s="150"/>
      <c r="E1162" s="140" t="str">
        <f t="shared" si="55"/>
        <v/>
      </c>
      <c r="F1162" s="159"/>
      <c r="G1162" s="145">
        <f t="shared" si="57"/>
        <v>0</v>
      </c>
      <c r="H1162" s="140" t="str">
        <f t="shared" si="56"/>
        <v/>
      </c>
      <c r="I1162"/>
      <c r="J1162" s="147" t="str">
        <f>IFERROR(SUMIFS(当年实际!$V:$V,当年实际!$F:$F,$C1162,当年实际!$C:$C,"&gt;="&amp;DATE(YEAR(主页!$D$2),1,1),当年实际!$C:$C,"&lt;="&amp;EOMONTH(DATE(YEAR(主页!$D$2),MONTH(主页!$D$2),1),0))/SUMIFS(当年实际!$P:$P,当年实际!$F:$F,$C1162,当年实际!$C:$C,"&gt;="&amp;DATE(YEAR(主页!$D$2),1,1),当年实际!$C:$C,"&lt;="&amp;EOMONTH(DATE(YEAR(主页!$D$2),MONTH(主页!$D$2),1),0)),"")</f>
        <v/>
      </c>
    </row>
    <row r="1163" spans="1:10" x14ac:dyDescent="0.3">
      <c r="A1163" s="150"/>
      <c r="B1163" s="150"/>
      <c r="C1163" s="150"/>
      <c r="D1163" s="150"/>
      <c r="E1163" s="140" t="str">
        <f t="shared" si="55"/>
        <v/>
      </c>
      <c r="F1163" s="159"/>
      <c r="G1163" s="145">
        <f t="shared" si="57"/>
        <v>0</v>
      </c>
      <c r="H1163" s="140" t="str">
        <f t="shared" si="56"/>
        <v/>
      </c>
      <c r="I1163"/>
      <c r="J1163" s="147" t="str">
        <f>IFERROR(SUMIFS(当年实际!$V:$V,当年实际!$F:$F,$C1163,当年实际!$C:$C,"&gt;="&amp;DATE(YEAR(主页!$D$2),1,1),当年实际!$C:$C,"&lt;="&amp;EOMONTH(DATE(YEAR(主页!$D$2),MONTH(主页!$D$2),1),0))/SUMIFS(当年实际!$P:$P,当年实际!$F:$F,$C1163,当年实际!$C:$C,"&gt;="&amp;DATE(YEAR(主页!$D$2),1,1),当年实际!$C:$C,"&lt;="&amp;EOMONTH(DATE(YEAR(主页!$D$2),MONTH(主页!$D$2),1),0)),"")</f>
        <v/>
      </c>
    </row>
    <row r="1164" spans="1:10" x14ac:dyDescent="0.3">
      <c r="A1164" s="150"/>
      <c r="B1164" s="150"/>
      <c r="C1164" s="150"/>
      <c r="D1164" s="150"/>
      <c r="E1164" s="140" t="str">
        <f t="shared" si="55"/>
        <v/>
      </c>
      <c r="F1164" s="159"/>
      <c r="G1164" s="145">
        <f t="shared" si="57"/>
        <v>0</v>
      </c>
      <c r="H1164" s="140" t="str">
        <f t="shared" si="56"/>
        <v/>
      </c>
      <c r="I1164"/>
      <c r="J1164" s="147" t="str">
        <f>IFERROR(SUMIFS(当年实际!$V:$V,当年实际!$F:$F,$C1164,当年实际!$C:$C,"&gt;="&amp;DATE(YEAR(主页!$D$2),1,1),当年实际!$C:$C,"&lt;="&amp;EOMONTH(DATE(YEAR(主页!$D$2),MONTH(主页!$D$2),1),0))/SUMIFS(当年实际!$P:$P,当年实际!$F:$F,$C1164,当年实际!$C:$C,"&gt;="&amp;DATE(YEAR(主页!$D$2),1,1),当年实际!$C:$C,"&lt;="&amp;EOMONTH(DATE(YEAR(主页!$D$2),MONTH(主页!$D$2),1),0)),"")</f>
        <v/>
      </c>
    </row>
    <row r="1165" spans="1:10" x14ac:dyDescent="0.3">
      <c r="A1165" s="150"/>
      <c r="B1165" s="150"/>
      <c r="C1165" s="150"/>
      <c r="D1165" s="150"/>
      <c r="E1165" s="140" t="str">
        <f t="shared" si="55"/>
        <v/>
      </c>
      <c r="F1165" s="159"/>
      <c r="G1165" s="145">
        <f t="shared" si="57"/>
        <v>0</v>
      </c>
      <c r="H1165" s="140" t="str">
        <f t="shared" si="56"/>
        <v/>
      </c>
      <c r="I1165"/>
      <c r="J1165" s="147" t="str">
        <f>IFERROR(SUMIFS(当年实际!$V:$V,当年实际!$F:$F,$C1165,当年实际!$C:$C,"&gt;="&amp;DATE(YEAR(主页!$D$2),1,1),当年实际!$C:$C,"&lt;="&amp;EOMONTH(DATE(YEAR(主页!$D$2),MONTH(主页!$D$2),1),0))/SUMIFS(当年实际!$P:$P,当年实际!$F:$F,$C1165,当年实际!$C:$C,"&gt;="&amp;DATE(YEAR(主页!$D$2),1,1),当年实际!$C:$C,"&lt;="&amp;EOMONTH(DATE(YEAR(主页!$D$2),MONTH(主页!$D$2),1),0)),"")</f>
        <v/>
      </c>
    </row>
    <row r="1166" spans="1:10" x14ac:dyDescent="0.3">
      <c r="A1166" s="150"/>
      <c r="B1166" s="150"/>
      <c r="C1166" s="150"/>
      <c r="D1166" s="150"/>
      <c r="E1166" s="140" t="str">
        <f t="shared" si="55"/>
        <v/>
      </c>
      <c r="F1166" s="159"/>
      <c r="G1166" s="145">
        <f t="shared" si="57"/>
        <v>0</v>
      </c>
      <c r="H1166" s="140" t="str">
        <f t="shared" si="56"/>
        <v/>
      </c>
      <c r="I1166"/>
      <c r="J1166" s="147" t="str">
        <f>IFERROR(SUMIFS(当年实际!$V:$V,当年实际!$F:$F,$C1166,当年实际!$C:$C,"&gt;="&amp;DATE(YEAR(主页!$D$2),1,1),当年实际!$C:$C,"&lt;="&amp;EOMONTH(DATE(YEAR(主页!$D$2),MONTH(主页!$D$2),1),0))/SUMIFS(当年实际!$P:$P,当年实际!$F:$F,$C1166,当年实际!$C:$C,"&gt;="&amp;DATE(YEAR(主页!$D$2),1,1),当年实际!$C:$C,"&lt;="&amp;EOMONTH(DATE(YEAR(主页!$D$2),MONTH(主页!$D$2),1),0)),"")</f>
        <v/>
      </c>
    </row>
    <row r="1167" spans="1:10" x14ac:dyDescent="0.3">
      <c r="A1167" s="150"/>
      <c r="B1167" s="150"/>
      <c r="C1167" s="150"/>
      <c r="D1167" s="150"/>
      <c r="E1167" s="140" t="str">
        <f t="shared" si="55"/>
        <v/>
      </c>
      <c r="F1167" s="159"/>
      <c r="G1167" s="145">
        <f t="shared" si="57"/>
        <v>0</v>
      </c>
      <c r="H1167" s="140" t="str">
        <f t="shared" si="56"/>
        <v/>
      </c>
      <c r="I1167"/>
      <c r="J1167" s="147" t="str">
        <f>IFERROR(SUMIFS(当年实际!$V:$V,当年实际!$F:$F,$C1167,当年实际!$C:$C,"&gt;="&amp;DATE(YEAR(主页!$D$2),1,1),当年实际!$C:$C,"&lt;="&amp;EOMONTH(DATE(YEAR(主页!$D$2),MONTH(主页!$D$2),1),0))/SUMIFS(当年实际!$P:$P,当年实际!$F:$F,$C1167,当年实际!$C:$C,"&gt;="&amp;DATE(YEAR(主页!$D$2),1,1),当年实际!$C:$C,"&lt;="&amp;EOMONTH(DATE(YEAR(主页!$D$2),MONTH(主页!$D$2),1),0)),"")</f>
        <v/>
      </c>
    </row>
    <row r="1168" spans="1:10" x14ac:dyDescent="0.3">
      <c r="A1168" s="150"/>
      <c r="B1168" s="150"/>
      <c r="C1168" s="150"/>
      <c r="D1168" s="150"/>
      <c r="E1168" s="140" t="str">
        <f t="shared" si="55"/>
        <v/>
      </c>
      <c r="F1168" s="159"/>
      <c r="G1168" s="145">
        <f t="shared" si="57"/>
        <v>0</v>
      </c>
      <c r="H1168" s="140" t="str">
        <f t="shared" si="56"/>
        <v/>
      </c>
      <c r="I1168"/>
      <c r="J1168" s="147" t="str">
        <f>IFERROR(SUMIFS(当年实际!$V:$V,当年实际!$F:$F,$C1168,当年实际!$C:$C,"&gt;="&amp;DATE(YEAR(主页!$D$2),1,1),当年实际!$C:$C,"&lt;="&amp;EOMONTH(DATE(YEAR(主页!$D$2),MONTH(主页!$D$2),1),0))/SUMIFS(当年实际!$P:$P,当年实际!$F:$F,$C1168,当年实际!$C:$C,"&gt;="&amp;DATE(YEAR(主页!$D$2),1,1),当年实际!$C:$C,"&lt;="&amp;EOMONTH(DATE(YEAR(主页!$D$2),MONTH(主页!$D$2),1),0)),"")</f>
        <v/>
      </c>
    </row>
    <row r="1169" spans="1:10" x14ac:dyDescent="0.3">
      <c r="A1169" s="150"/>
      <c r="B1169" s="150"/>
      <c r="C1169" s="150"/>
      <c r="D1169" s="150"/>
      <c r="E1169" s="140" t="str">
        <f t="shared" si="55"/>
        <v/>
      </c>
      <c r="F1169" s="159"/>
      <c r="G1169" s="145">
        <f t="shared" si="57"/>
        <v>0</v>
      </c>
      <c r="H1169" s="140" t="str">
        <f t="shared" si="56"/>
        <v/>
      </c>
      <c r="I1169"/>
      <c r="J1169" s="147" t="str">
        <f>IFERROR(SUMIFS(当年实际!$V:$V,当年实际!$F:$F,$C1169,当年实际!$C:$C,"&gt;="&amp;DATE(YEAR(主页!$D$2),1,1),当年实际!$C:$C,"&lt;="&amp;EOMONTH(DATE(YEAR(主页!$D$2),MONTH(主页!$D$2),1),0))/SUMIFS(当年实际!$P:$P,当年实际!$F:$F,$C1169,当年实际!$C:$C,"&gt;="&amp;DATE(YEAR(主页!$D$2),1,1),当年实际!$C:$C,"&lt;="&amp;EOMONTH(DATE(YEAR(主页!$D$2),MONTH(主页!$D$2),1),0)),"")</f>
        <v/>
      </c>
    </row>
    <row r="1170" spans="1:10" x14ac:dyDescent="0.3">
      <c r="A1170" s="150"/>
      <c r="B1170" s="150"/>
      <c r="C1170" s="150"/>
      <c r="D1170" s="150"/>
      <c r="E1170" s="140" t="str">
        <f t="shared" si="55"/>
        <v/>
      </c>
      <c r="F1170" s="159"/>
      <c r="G1170" s="145">
        <f t="shared" si="57"/>
        <v>0</v>
      </c>
      <c r="H1170" s="140" t="str">
        <f t="shared" si="56"/>
        <v/>
      </c>
      <c r="I1170"/>
      <c r="J1170" s="147" t="str">
        <f>IFERROR(SUMIFS(当年实际!$V:$V,当年实际!$F:$F,$C1170,当年实际!$C:$C,"&gt;="&amp;DATE(YEAR(主页!$D$2),1,1),当年实际!$C:$C,"&lt;="&amp;EOMONTH(DATE(YEAR(主页!$D$2),MONTH(主页!$D$2),1),0))/SUMIFS(当年实际!$P:$P,当年实际!$F:$F,$C1170,当年实际!$C:$C,"&gt;="&amp;DATE(YEAR(主页!$D$2),1,1),当年实际!$C:$C,"&lt;="&amp;EOMONTH(DATE(YEAR(主页!$D$2),MONTH(主页!$D$2),1),0)),"")</f>
        <v/>
      </c>
    </row>
    <row r="1171" spans="1:10" x14ac:dyDescent="0.3">
      <c r="A1171" s="150"/>
      <c r="B1171" s="150"/>
      <c r="C1171" s="150"/>
      <c r="D1171" s="150"/>
      <c r="E1171" s="140" t="str">
        <f t="shared" si="55"/>
        <v/>
      </c>
      <c r="F1171" s="159"/>
      <c r="G1171" s="145">
        <f t="shared" si="57"/>
        <v>0</v>
      </c>
      <c r="H1171" s="140" t="str">
        <f t="shared" si="56"/>
        <v/>
      </c>
      <c r="I1171"/>
      <c r="J1171" s="147" t="str">
        <f>IFERROR(SUMIFS(当年实际!$V:$V,当年实际!$F:$F,$C1171,当年实际!$C:$C,"&gt;="&amp;DATE(YEAR(主页!$D$2),1,1),当年实际!$C:$C,"&lt;="&amp;EOMONTH(DATE(YEAR(主页!$D$2),MONTH(主页!$D$2),1),0))/SUMIFS(当年实际!$P:$P,当年实际!$F:$F,$C1171,当年实际!$C:$C,"&gt;="&amp;DATE(YEAR(主页!$D$2),1,1),当年实际!$C:$C,"&lt;="&amp;EOMONTH(DATE(YEAR(主页!$D$2),MONTH(主页!$D$2),1),0)),"")</f>
        <v/>
      </c>
    </row>
    <row r="1172" spans="1:10" x14ac:dyDescent="0.3">
      <c r="A1172" s="150"/>
      <c r="B1172" s="150"/>
      <c r="C1172" s="150"/>
      <c r="D1172" s="150"/>
      <c r="E1172" s="140" t="str">
        <f t="shared" si="55"/>
        <v/>
      </c>
      <c r="F1172" s="159"/>
      <c r="G1172" s="145">
        <f t="shared" si="57"/>
        <v>0</v>
      </c>
      <c r="H1172" s="140" t="str">
        <f t="shared" si="56"/>
        <v/>
      </c>
      <c r="I1172"/>
      <c r="J1172" s="147" t="str">
        <f>IFERROR(SUMIFS(当年实际!$V:$V,当年实际!$F:$F,$C1172,当年实际!$C:$C,"&gt;="&amp;DATE(YEAR(主页!$D$2),1,1),当年实际!$C:$C,"&lt;="&amp;EOMONTH(DATE(YEAR(主页!$D$2),MONTH(主页!$D$2),1),0))/SUMIFS(当年实际!$P:$P,当年实际!$F:$F,$C1172,当年实际!$C:$C,"&gt;="&amp;DATE(YEAR(主页!$D$2),1,1),当年实际!$C:$C,"&lt;="&amp;EOMONTH(DATE(YEAR(主页!$D$2),MONTH(主页!$D$2),1),0)),"")</f>
        <v/>
      </c>
    </row>
    <row r="1173" spans="1:10" x14ac:dyDescent="0.3">
      <c r="A1173" s="150"/>
      <c r="B1173" s="150"/>
      <c r="C1173" s="150"/>
      <c r="D1173" s="150"/>
      <c r="E1173" s="140" t="str">
        <f t="shared" si="55"/>
        <v/>
      </c>
      <c r="F1173" s="159"/>
      <c r="G1173" s="145">
        <f t="shared" si="57"/>
        <v>0</v>
      </c>
      <c r="H1173" s="140" t="str">
        <f t="shared" si="56"/>
        <v/>
      </c>
      <c r="I1173"/>
      <c r="J1173" s="147" t="str">
        <f>IFERROR(SUMIFS(当年实际!$V:$V,当年实际!$F:$F,$C1173,当年实际!$C:$C,"&gt;="&amp;DATE(YEAR(主页!$D$2),1,1),当年实际!$C:$C,"&lt;="&amp;EOMONTH(DATE(YEAR(主页!$D$2),MONTH(主页!$D$2),1),0))/SUMIFS(当年实际!$P:$P,当年实际!$F:$F,$C1173,当年实际!$C:$C,"&gt;="&amp;DATE(YEAR(主页!$D$2),1,1),当年实际!$C:$C,"&lt;="&amp;EOMONTH(DATE(YEAR(主页!$D$2),MONTH(主页!$D$2),1),0)),"")</f>
        <v/>
      </c>
    </row>
    <row r="1174" spans="1:10" x14ac:dyDescent="0.3">
      <c r="A1174" s="150"/>
      <c r="B1174" s="150"/>
      <c r="C1174" s="150"/>
      <c r="D1174" s="150"/>
      <c r="E1174" s="140" t="str">
        <f t="shared" si="55"/>
        <v/>
      </c>
      <c r="F1174" s="159"/>
      <c r="G1174" s="145">
        <f t="shared" si="57"/>
        <v>0</v>
      </c>
      <c r="H1174" s="140" t="str">
        <f t="shared" si="56"/>
        <v/>
      </c>
      <c r="I1174"/>
      <c r="J1174" s="147" t="str">
        <f>IFERROR(SUMIFS(当年实际!$V:$V,当年实际!$F:$F,$C1174,当年实际!$C:$C,"&gt;="&amp;DATE(YEAR(主页!$D$2),1,1),当年实际!$C:$C,"&lt;="&amp;EOMONTH(DATE(YEAR(主页!$D$2),MONTH(主页!$D$2),1),0))/SUMIFS(当年实际!$P:$P,当年实际!$F:$F,$C1174,当年实际!$C:$C,"&gt;="&amp;DATE(YEAR(主页!$D$2),1,1),当年实际!$C:$C,"&lt;="&amp;EOMONTH(DATE(YEAR(主页!$D$2),MONTH(主页!$D$2),1),0)),"")</f>
        <v/>
      </c>
    </row>
    <row r="1175" spans="1:10" x14ac:dyDescent="0.3">
      <c r="A1175" s="150"/>
      <c r="B1175" s="150"/>
      <c r="C1175" s="150"/>
      <c r="D1175" s="150"/>
      <c r="E1175" s="140" t="str">
        <f t="shared" si="55"/>
        <v/>
      </c>
      <c r="F1175" s="159"/>
      <c r="G1175" s="145">
        <f t="shared" si="57"/>
        <v>0</v>
      </c>
      <c r="H1175" s="140" t="str">
        <f t="shared" si="56"/>
        <v/>
      </c>
      <c r="I1175"/>
      <c r="J1175" s="147" t="str">
        <f>IFERROR(SUMIFS(当年实际!$V:$V,当年实际!$F:$F,$C1175,当年实际!$C:$C,"&gt;="&amp;DATE(YEAR(主页!$D$2),1,1),当年实际!$C:$C,"&lt;="&amp;EOMONTH(DATE(YEAR(主页!$D$2),MONTH(主页!$D$2),1),0))/SUMIFS(当年实际!$P:$P,当年实际!$F:$F,$C1175,当年实际!$C:$C,"&gt;="&amp;DATE(YEAR(主页!$D$2),1,1),当年实际!$C:$C,"&lt;="&amp;EOMONTH(DATE(YEAR(主页!$D$2),MONTH(主页!$D$2),1),0)),"")</f>
        <v/>
      </c>
    </row>
    <row r="1176" spans="1:10" x14ac:dyDescent="0.3">
      <c r="A1176" s="150"/>
      <c r="B1176" s="150"/>
      <c r="C1176" s="150"/>
      <c r="D1176" s="150"/>
      <c r="E1176" s="140" t="str">
        <f t="shared" si="55"/>
        <v/>
      </c>
      <c r="F1176" s="159"/>
      <c r="G1176" s="145">
        <f t="shared" si="57"/>
        <v>0</v>
      </c>
      <c r="H1176" s="140" t="str">
        <f t="shared" si="56"/>
        <v/>
      </c>
      <c r="I1176"/>
      <c r="J1176" s="147" t="str">
        <f>IFERROR(SUMIFS(当年实际!$V:$V,当年实际!$F:$F,$C1176,当年实际!$C:$C,"&gt;="&amp;DATE(YEAR(主页!$D$2),1,1),当年实际!$C:$C,"&lt;="&amp;EOMONTH(DATE(YEAR(主页!$D$2),MONTH(主页!$D$2),1),0))/SUMIFS(当年实际!$P:$P,当年实际!$F:$F,$C1176,当年实际!$C:$C,"&gt;="&amp;DATE(YEAR(主页!$D$2),1,1),当年实际!$C:$C,"&lt;="&amp;EOMONTH(DATE(YEAR(主页!$D$2),MONTH(主页!$D$2),1),0)),"")</f>
        <v/>
      </c>
    </row>
    <row r="1177" spans="1:10" x14ac:dyDescent="0.3">
      <c r="A1177" s="150"/>
      <c r="B1177" s="150"/>
      <c r="C1177" s="150"/>
      <c r="D1177" s="150"/>
      <c r="E1177" s="140" t="str">
        <f t="shared" si="55"/>
        <v/>
      </c>
      <c r="F1177" s="159"/>
      <c r="G1177" s="145">
        <f t="shared" si="57"/>
        <v>0</v>
      </c>
      <c r="H1177" s="140" t="str">
        <f t="shared" si="56"/>
        <v/>
      </c>
      <c r="I1177"/>
      <c r="J1177" s="147" t="str">
        <f>IFERROR(SUMIFS(当年实际!$V:$V,当年实际!$F:$F,$C1177,当年实际!$C:$C,"&gt;="&amp;DATE(YEAR(主页!$D$2),1,1),当年实际!$C:$C,"&lt;="&amp;EOMONTH(DATE(YEAR(主页!$D$2),MONTH(主页!$D$2),1),0))/SUMIFS(当年实际!$P:$P,当年实际!$F:$F,$C1177,当年实际!$C:$C,"&gt;="&amp;DATE(YEAR(主页!$D$2),1,1),当年实际!$C:$C,"&lt;="&amp;EOMONTH(DATE(YEAR(主页!$D$2),MONTH(主页!$D$2),1),0)),"")</f>
        <v/>
      </c>
    </row>
    <row r="1178" spans="1:10" x14ac:dyDescent="0.3">
      <c r="A1178" s="150"/>
      <c r="B1178" s="150"/>
      <c r="C1178" s="150"/>
      <c r="D1178" s="150"/>
      <c r="E1178" s="140" t="str">
        <f t="shared" si="55"/>
        <v/>
      </c>
      <c r="F1178" s="159"/>
      <c r="G1178" s="145">
        <f t="shared" si="57"/>
        <v>0</v>
      </c>
      <c r="H1178" s="140" t="str">
        <f t="shared" si="56"/>
        <v/>
      </c>
      <c r="I1178"/>
      <c r="J1178" s="147" t="str">
        <f>IFERROR(SUMIFS(当年实际!$V:$V,当年实际!$F:$F,$C1178,当年实际!$C:$C,"&gt;="&amp;DATE(YEAR(主页!$D$2),1,1),当年实际!$C:$C,"&lt;="&amp;EOMONTH(DATE(YEAR(主页!$D$2),MONTH(主页!$D$2),1),0))/SUMIFS(当年实际!$P:$P,当年实际!$F:$F,$C1178,当年实际!$C:$C,"&gt;="&amp;DATE(YEAR(主页!$D$2),1,1),当年实际!$C:$C,"&lt;="&amp;EOMONTH(DATE(YEAR(主页!$D$2),MONTH(主页!$D$2),1),0)),"")</f>
        <v/>
      </c>
    </row>
    <row r="1179" spans="1:10" x14ac:dyDescent="0.3">
      <c r="A1179" s="150"/>
      <c r="B1179" s="150"/>
      <c r="C1179" s="150"/>
      <c r="D1179" s="150"/>
      <c r="E1179" s="140" t="str">
        <f t="shared" si="55"/>
        <v/>
      </c>
      <c r="F1179" s="159"/>
      <c r="G1179" s="145">
        <f t="shared" si="57"/>
        <v>0</v>
      </c>
      <c r="H1179" s="140" t="str">
        <f t="shared" si="56"/>
        <v/>
      </c>
      <c r="I1179"/>
      <c r="J1179" s="147" t="str">
        <f>IFERROR(SUMIFS(当年实际!$V:$V,当年实际!$F:$F,$C1179,当年实际!$C:$C,"&gt;="&amp;DATE(YEAR(主页!$D$2),1,1),当年实际!$C:$C,"&lt;="&amp;EOMONTH(DATE(YEAR(主页!$D$2),MONTH(主页!$D$2),1),0))/SUMIFS(当年实际!$P:$P,当年实际!$F:$F,$C1179,当年实际!$C:$C,"&gt;="&amp;DATE(YEAR(主页!$D$2),1,1),当年实际!$C:$C,"&lt;="&amp;EOMONTH(DATE(YEAR(主页!$D$2),MONTH(主页!$D$2),1),0)),"")</f>
        <v/>
      </c>
    </row>
    <row r="1180" spans="1:10" x14ac:dyDescent="0.3">
      <c r="A1180" s="150"/>
      <c r="B1180" s="150"/>
      <c r="C1180" s="150"/>
      <c r="D1180" s="150"/>
      <c r="E1180" s="140" t="str">
        <f t="shared" si="55"/>
        <v/>
      </c>
      <c r="F1180" s="159"/>
      <c r="G1180" s="145">
        <f t="shared" si="57"/>
        <v>0</v>
      </c>
      <c r="H1180" s="140" t="str">
        <f t="shared" si="56"/>
        <v/>
      </c>
      <c r="I1180"/>
      <c r="J1180" s="147" t="str">
        <f>IFERROR(SUMIFS(当年实际!$V:$V,当年实际!$F:$F,$C1180,当年实际!$C:$C,"&gt;="&amp;DATE(YEAR(主页!$D$2),1,1),当年实际!$C:$C,"&lt;="&amp;EOMONTH(DATE(YEAR(主页!$D$2),MONTH(主页!$D$2),1),0))/SUMIFS(当年实际!$P:$P,当年实际!$F:$F,$C1180,当年实际!$C:$C,"&gt;="&amp;DATE(YEAR(主页!$D$2),1,1),当年实际!$C:$C,"&lt;="&amp;EOMONTH(DATE(YEAR(主页!$D$2),MONTH(主页!$D$2),1),0)),"")</f>
        <v/>
      </c>
    </row>
    <row r="1181" spans="1:10" x14ac:dyDescent="0.3">
      <c r="A1181" s="150"/>
      <c r="B1181" s="150"/>
      <c r="C1181" s="150"/>
      <c r="D1181" s="150"/>
      <c r="E1181" s="140" t="str">
        <f t="shared" si="55"/>
        <v/>
      </c>
      <c r="F1181" s="159"/>
      <c r="G1181" s="145">
        <f t="shared" si="57"/>
        <v>0</v>
      </c>
      <c r="H1181" s="140" t="str">
        <f t="shared" si="56"/>
        <v/>
      </c>
      <c r="I1181"/>
      <c r="J1181" s="147" t="str">
        <f>IFERROR(SUMIFS(当年实际!$V:$V,当年实际!$F:$F,$C1181,当年实际!$C:$C,"&gt;="&amp;DATE(YEAR(主页!$D$2),1,1),当年实际!$C:$C,"&lt;="&amp;EOMONTH(DATE(YEAR(主页!$D$2),MONTH(主页!$D$2),1),0))/SUMIFS(当年实际!$P:$P,当年实际!$F:$F,$C1181,当年实际!$C:$C,"&gt;="&amp;DATE(YEAR(主页!$D$2),1,1),当年实际!$C:$C,"&lt;="&amp;EOMONTH(DATE(YEAR(主页!$D$2),MONTH(主页!$D$2),1),0)),"")</f>
        <v/>
      </c>
    </row>
    <row r="1182" spans="1:10" x14ac:dyDescent="0.3">
      <c r="A1182" s="150"/>
      <c r="B1182" s="150"/>
      <c r="C1182" s="150"/>
      <c r="D1182" s="150"/>
      <c r="E1182" s="140" t="str">
        <f t="shared" si="55"/>
        <v/>
      </c>
      <c r="F1182" s="159"/>
      <c r="G1182" s="145">
        <f t="shared" si="57"/>
        <v>0</v>
      </c>
      <c r="H1182" s="140" t="str">
        <f t="shared" si="56"/>
        <v/>
      </c>
      <c r="I1182"/>
      <c r="J1182" s="147" t="str">
        <f>IFERROR(SUMIFS(当年实际!$V:$V,当年实际!$F:$F,$C1182,当年实际!$C:$C,"&gt;="&amp;DATE(YEAR(主页!$D$2),1,1),当年实际!$C:$C,"&lt;="&amp;EOMONTH(DATE(YEAR(主页!$D$2),MONTH(主页!$D$2),1),0))/SUMIFS(当年实际!$P:$P,当年实际!$F:$F,$C1182,当年实际!$C:$C,"&gt;="&amp;DATE(YEAR(主页!$D$2),1,1),当年实际!$C:$C,"&lt;="&amp;EOMONTH(DATE(YEAR(主页!$D$2),MONTH(主页!$D$2),1),0)),"")</f>
        <v/>
      </c>
    </row>
    <row r="1183" spans="1:10" x14ac:dyDescent="0.3">
      <c r="A1183" s="150"/>
      <c r="B1183" s="150"/>
      <c r="C1183" s="150"/>
      <c r="D1183" s="150"/>
      <c r="E1183" s="140" t="str">
        <f t="shared" si="55"/>
        <v/>
      </c>
      <c r="F1183" s="159"/>
      <c r="G1183" s="145">
        <f t="shared" si="57"/>
        <v>0</v>
      </c>
      <c r="H1183" s="140" t="str">
        <f t="shared" si="56"/>
        <v/>
      </c>
      <c r="I1183"/>
      <c r="J1183" s="147" t="str">
        <f>IFERROR(SUMIFS(当年实际!$V:$V,当年实际!$F:$F,$C1183,当年实际!$C:$C,"&gt;="&amp;DATE(YEAR(主页!$D$2),1,1),当年实际!$C:$C,"&lt;="&amp;EOMONTH(DATE(YEAR(主页!$D$2),MONTH(主页!$D$2),1),0))/SUMIFS(当年实际!$P:$P,当年实际!$F:$F,$C1183,当年实际!$C:$C,"&gt;="&amp;DATE(YEAR(主页!$D$2),1,1),当年实际!$C:$C,"&lt;="&amp;EOMONTH(DATE(YEAR(主页!$D$2),MONTH(主页!$D$2),1),0)),"")</f>
        <v/>
      </c>
    </row>
    <row r="1184" spans="1:10" x14ac:dyDescent="0.3">
      <c r="A1184" s="150"/>
      <c r="B1184" s="150"/>
      <c r="C1184" s="150"/>
      <c r="D1184" s="150"/>
      <c r="E1184" s="140" t="str">
        <f t="shared" si="55"/>
        <v/>
      </c>
      <c r="F1184" s="159"/>
      <c r="G1184" s="145">
        <f t="shared" si="57"/>
        <v>0</v>
      </c>
      <c r="H1184" s="140" t="str">
        <f t="shared" si="56"/>
        <v/>
      </c>
      <c r="I1184"/>
      <c r="J1184" s="147" t="str">
        <f>IFERROR(SUMIFS(当年实际!$V:$V,当年实际!$F:$F,$C1184,当年实际!$C:$C,"&gt;="&amp;DATE(YEAR(主页!$D$2),1,1),当年实际!$C:$C,"&lt;="&amp;EOMONTH(DATE(YEAR(主页!$D$2),MONTH(主页!$D$2),1),0))/SUMIFS(当年实际!$P:$P,当年实际!$F:$F,$C1184,当年实际!$C:$C,"&gt;="&amp;DATE(YEAR(主页!$D$2),1,1),当年实际!$C:$C,"&lt;="&amp;EOMONTH(DATE(YEAR(主页!$D$2),MONTH(主页!$D$2),1),0)),"")</f>
        <v/>
      </c>
    </row>
    <row r="1185" spans="1:10" x14ac:dyDescent="0.3">
      <c r="A1185" s="150"/>
      <c r="B1185" s="150"/>
      <c r="C1185" s="150"/>
      <c r="D1185" s="150"/>
      <c r="E1185" s="140" t="str">
        <f t="shared" si="55"/>
        <v/>
      </c>
      <c r="F1185" s="159"/>
      <c r="G1185" s="145">
        <f t="shared" si="57"/>
        <v>0</v>
      </c>
      <c r="H1185" s="140" t="str">
        <f t="shared" si="56"/>
        <v/>
      </c>
      <c r="I1185"/>
      <c r="J1185" s="147" t="str">
        <f>IFERROR(SUMIFS(当年实际!$V:$V,当年实际!$F:$F,$C1185,当年实际!$C:$C,"&gt;="&amp;DATE(YEAR(主页!$D$2),1,1),当年实际!$C:$C,"&lt;="&amp;EOMONTH(DATE(YEAR(主页!$D$2),MONTH(主页!$D$2),1),0))/SUMIFS(当年实际!$P:$P,当年实际!$F:$F,$C1185,当年实际!$C:$C,"&gt;="&amp;DATE(YEAR(主页!$D$2),1,1),当年实际!$C:$C,"&lt;="&amp;EOMONTH(DATE(YEAR(主页!$D$2),MONTH(主页!$D$2),1),0)),"")</f>
        <v/>
      </c>
    </row>
    <row r="1186" spans="1:10" x14ac:dyDescent="0.3">
      <c r="A1186" s="150"/>
      <c r="B1186" s="150"/>
      <c r="C1186" s="150"/>
      <c r="D1186" s="150"/>
      <c r="E1186" s="140" t="str">
        <f t="shared" si="55"/>
        <v/>
      </c>
      <c r="F1186" s="159"/>
      <c r="G1186" s="145">
        <f t="shared" si="57"/>
        <v>0</v>
      </c>
      <c r="H1186" s="140" t="str">
        <f t="shared" si="56"/>
        <v/>
      </c>
      <c r="I1186"/>
      <c r="J1186" s="147" t="str">
        <f>IFERROR(SUMIFS(当年实际!$V:$V,当年实际!$F:$F,$C1186,当年实际!$C:$C,"&gt;="&amp;DATE(YEAR(主页!$D$2),1,1),当年实际!$C:$C,"&lt;="&amp;EOMONTH(DATE(YEAR(主页!$D$2),MONTH(主页!$D$2),1),0))/SUMIFS(当年实际!$P:$P,当年实际!$F:$F,$C1186,当年实际!$C:$C,"&gt;="&amp;DATE(YEAR(主页!$D$2),1,1),当年实际!$C:$C,"&lt;="&amp;EOMONTH(DATE(YEAR(主页!$D$2),MONTH(主页!$D$2),1),0)),"")</f>
        <v/>
      </c>
    </row>
    <row r="1187" spans="1:10" x14ac:dyDescent="0.3">
      <c r="A1187" s="150"/>
      <c r="B1187" s="150"/>
      <c r="C1187" s="150"/>
      <c r="D1187" s="150"/>
      <c r="E1187" s="140" t="str">
        <f t="shared" si="55"/>
        <v/>
      </c>
      <c r="F1187" s="159"/>
      <c r="G1187" s="145">
        <f t="shared" si="57"/>
        <v>0</v>
      </c>
      <c r="H1187" s="140" t="str">
        <f t="shared" si="56"/>
        <v/>
      </c>
      <c r="I1187"/>
      <c r="J1187" s="147" t="str">
        <f>IFERROR(SUMIFS(当年实际!$V:$V,当年实际!$F:$F,$C1187,当年实际!$C:$C,"&gt;="&amp;DATE(YEAR(主页!$D$2),1,1),当年实际!$C:$C,"&lt;="&amp;EOMONTH(DATE(YEAR(主页!$D$2),MONTH(主页!$D$2),1),0))/SUMIFS(当年实际!$P:$P,当年实际!$F:$F,$C1187,当年实际!$C:$C,"&gt;="&amp;DATE(YEAR(主页!$D$2),1,1),当年实际!$C:$C,"&lt;="&amp;EOMONTH(DATE(YEAR(主页!$D$2),MONTH(主页!$D$2),1),0)),"")</f>
        <v/>
      </c>
    </row>
    <row r="1188" spans="1:10" x14ac:dyDescent="0.3">
      <c r="A1188" s="150"/>
      <c r="B1188" s="150"/>
      <c r="C1188" s="150"/>
      <c r="D1188" s="150"/>
      <c r="E1188" s="140" t="str">
        <f t="shared" si="55"/>
        <v/>
      </c>
      <c r="F1188" s="159"/>
      <c r="G1188" s="145">
        <f t="shared" si="57"/>
        <v>0</v>
      </c>
      <c r="H1188" s="140" t="str">
        <f t="shared" si="56"/>
        <v/>
      </c>
      <c r="I1188"/>
      <c r="J1188" s="147" t="str">
        <f>IFERROR(SUMIFS(当年实际!$V:$V,当年实际!$F:$F,$C1188,当年实际!$C:$C,"&gt;="&amp;DATE(YEAR(主页!$D$2),1,1),当年实际!$C:$C,"&lt;="&amp;EOMONTH(DATE(YEAR(主页!$D$2),MONTH(主页!$D$2),1),0))/SUMIFS(当年实际!$P:$P,当年实际!$F:$F,$C1188,当年实际!$C:$C,"&gt;="&amp;DATE(YEAR(主页!$D$2),1,1),当年实际!$C:$C,"&lt;="&amp;EOMONTH(DATE(YEAR(主页!$D$2),MONTH(主页!$D$2),1),0)),"")</f>
        <v/>
      </c>
    </row>
    <row r="1189" spans="1:10" x14ac:dyDescent="0.3">
      <c r="A1189" s="150"/>
      <c r="B1189" s="150"/>
      <c r="C1189" s="150"/>
      <c r="D1189" s="150"/>
      <c r="E1189" s="140" t="str">
        <f t="shared" si="55"/>
        <v/>
      </c>
      <c r="F1189" s="159"/>
      <c r="G1189" s="145">
        <f t="shared" si="57"/>
        <v>0</v>
      </c>
      <c r="H1189" s="140" t="str">
        <f t="shared" si="56"/>
        <v/>
      </c>
      <c r="I1189"/>
      <c r="J1189" s="147" t="str">
        <f>IFERROR(SUMIFS(当年实际!$V:$V,当年实际!$F:$F,$C1189,当年实际!$C:$C,"&gt;="&amp;DATE(YEAR(主页!$D$2),1,1),当年实际!$C:$C,"&lt;="&amp;EOMONTH(DATE(YEAR(主页!$D$2),MONTH(主页!$D$2),1),0))/SUMIFS(当年实际!$P:$P,当年实际!$F:$F,$C1189,当年实际!$C:$C,"&gt;="&amp;DATE(YEAR(主页!$D$2),1,1),当年实际!$C:$C,"&lt;="&amp;EOMONTH(DATE(YEAR(主页!$D$2),MONTH(主页!$D$2),1),0)),"")</f>
        <v/>
      </c>
    </row>
    <row r="1190" spans="1:10" x14ac:dyDescent="0.3">
      <c r="A1190" s="150"/>
      <c r="B1190" s="150"/>
      <c r="C1190" s="150"/>
      <c r="D1190" s="150"/>
      <c r="E1190" s="140" t="str">
        <f t="shared" si="55"/>
        <v/>
      </c>
      <c r="F1190" s="159"/>
      <c r="G1190" s="145">
        <f t="shared" si="57"/>
        <v>0</v>
      </c>
      <c r="H1190" s="140" t="str">
        <f t="shared" si="56"/>
        <v/>
      </c>
      <c r="I1190"/>
      <c r="J1190" s="147" t="str">
        <f>IFERROR(SUMIFS(当年实际!$V:$V,当年实际!$F:$F,$C1190,当年实际!$C:$C,"&gt;="&amp;DATE(YEAR(主页!$D$2),1,1),当年实际!$C:$C,"&lt;="&amp;EOMONTH(DATE(YEAR(主页!$D$2),MONTH(主页!$D$2),1),0))/SUMIFS(当年实际!$P:$P,当年实际!$F:$F,$C1190,当年实际!$C:$C,"&gt;="&amp;DATE(YEAR(主页!$D$2),1,1),当年实际!$C:$C,"&lt;="&amp;EOMONTH(DATE(YEAR(主页!$D$2),MONTH(主页!$D$2),1),0)),"")</f>
        <v/>
      </c>
    </row>
    <row r="1191" spans="1:10" x14ac:dyDescent="0.3">
      <c r="A1191" s="150"/>
      <c r="B1191" s="150"/>
      <c r="C1191" s="150"/>
      <c r="D1191" s="150"/>
      <c r="E1191" s="140" t="str">
        <f t="shared" si="55"/>
        <v/>
      </c>
      <c r="F1191" s="159"/>
      <c r="G1191" s="145">
        <f t="shared" si="57"/>
        <v>0</v>
      </c>
      <c r="H1191" s="140" t="str">
        <f t="shared" si="56"/>
        <v/>
      </c>
      <c r="I1191"/>
      <c r="J1191" s="147" t="str">
        <f>IFERROR(SUMIFS(当年实际!$V:$V,当年实际!$F:$F,$C1191,当年实际!$C:$C,"&gt;="&amp;DATE(YEAR(主页!$D$2),1,1),当年实际!$C:$C,"&lt;="&amp;EOMONTH(DATE(YEAR(主页!$D$2),MONTH(主页!$D$2),1),0))/SUMIFS(当年实际!$P:$P,当年实际!$F:$F,$C1191,当年实际!$C:$C,"&gt;="&amp;DATE(YEAR(主页!$D$2),1,1),当年实际!$C:$C,"&lt;="&amp;EOMONTH(DATE(YEAR(主页!$D$2),MONTH(主页!$D$2),1),0)),"")</f>
        <v/>
      </c>
    </row>
    <row r="1192" spans="1:10" x14ac:dyDescent="0.3">
      <c r="A1192" s="150"/>
      <c r="B1192" s="150"/>
      <c r="C1192" s="150"/>
      <c r="D1192" s="150"/>
      <c r="E1192" s="140" t="str">
        <f t="shared" si="55"/>
        <v/>
      </c>
      <c r="F1192" s="159"/>
      <c r="G1192" s="145">
        <f t="shared" si="57"/>
        <v>0</v>
      </c>
      <c r="H1192" s="140" t="str">
        <f t="shared" si="56"/>
        <v/>
      </c>
      <c r="I1192"/>
      <c r="J1192" s="147" t="str">
        <f>IFERROR(SUMIFS(当年实际!$V:$V,当年实际!$F:$F,$C1192,当年实际!$C:$C,"&gt;="&amp;DATE(YEAR(主页!$D$2),1,1),当年实际!$C:$C,"&lt;="&amp;EOMONTH(DATE(YEAR(主页!$D$2),MONTH(主页!$D$2),1),0))/SUMIFS(当年实际!$P:$P,当年实际!$F:$F,$C1192,当年实际!$C:$C,"&gt;="&amp;DATE(YEAR(主页!$D$2),1,1),当年实际!$C:$C,"&lt;="&amp;EOMONTH(DATE(YEAR(主页!$D$2),MONTH(主页!$D$2),1),0)),"")</f>
        <v/>
      </c>
    </row>
    <row r="1193" spans="1:10" x14ac:dyDescent="0.3">
      <c r="A1193" s="150"/>
      <c r="B1193" s="150"/>
      <c r="C1193" s="150"/>
      <c r="D1193" s="150"/>
      <c r="E1193" s="140" t="str">
        <f t="shared" si="55"/>
        <v/>
      </c>
      <c r="F1193" s="159"/>
      <c r="G1193" s="145">
        <f t="shared" si="57"/>
        <v>0</v>
      </c>
      <c r="H1193" s="140" t="str">
        <f t="shared" si="56"/>
        <v/>
      </c>
      <c r="I1193"/>
      <c r="J1193" s="147" t="str">
        <f>IFERROR(SUMIFS(当年实际!$V:$V,当年实际!$F:$F,$C1193,当年实际!$C:$C,"&gt;="&amp;DATE(YEAR(主页!$D$2),1,1),当年实际!$C:$C,"&lt;="&amp;EOMONTH(DATE(YEAR(主页!$D$2),MONTH(主页!$D$2),1),0))/SUMIFS(当年实际!$P:$P,当年实际!$F:$F,$C1193,当年实际!$C:$C,"&gt;="&amp;DATE(YEAR(主页!$D$2),1,1),当年实际!$C:$C,"&lt;="&amp;EOMONTH(DATE(YEAR(主页!$D$2),MONTH(主页!$D$2),1),0)),"")</f>
        <v/>
      </c>
    </row>
    <row r="1194" spans="1:10" x14ac:dyDescent="0.3">
      <c r="A1194" s="150"/>
      <c r="B1194" s="150"/>
      <c r="C1194" s="150"/>
      <c r="D1194" s="150"/>
      <c r="E1194" s="140" t="str">
        <f t="shared" si="55"/>
        <v/>
      </c>
      <c r="F1194" s="159"/>
      <c r="G1194" s="145">
        <f t="shared" si="57"/>
        <v>0</v>
      </c>
      <c r="H1194" s="140" t="str">
        <f t="shared" si="56"/>
        <v/>
      </c>
      <c r="I1194"/>
      <c r="J1194" s="147" t="str">
        <f>IFERROR(SUMIFS(当年实际!$V:$V,当年实际!$F:$F,$C1194,当年实际!$C:$C,"&gt;="&amp;DATE(YEAR(主页!$D$2),1,1),当年实际!$C:$C,"&lt;="&amp;EOMONTH(DATE(YEAR(主页!$D$2),MONTH(主页!$D$2),1),0))/SUMIFS(当年实际!$P:$P,当年实际!$F:$F,$C1194,当年实际!$C:$C,"&gt;="&amp;DATE(YEAR(主页!$D$2),1,1),当年实际!$C:$C,"&lt;="&amp;EOMONTH(DATE(YEAR(主页!$D$2),MONTH(主页!$D$2),1),0)),"")</f>
        <v/>
      </c>
    </row>
    <row r="1195" spans="1:10" x14ac:dyDescent="0.3">
      <c r="A1195" s="150"/>
      <c r="B1195" s="150"/>
      <c r="C1195" s="150"/>
      <c r="D1195" s="150"/>
      <c r="E1195" s="140" t="str">
        <f t="shared" si="55"/>
        <v/>
      </c>
      <c r="F1195" s="159"/>
      <c r="G1195" s="145">
        <f t="shared" si="57"/>
        <v>0</v>
      </c>
      <c r="H1195" s="140" t="str">
        <f t="shared" si="56"/>
        <v/>
      </c>
      <c r="I1195"/>
      <c r="J1195" s="147" t="str">
        <f>IFERROR(SUMIFS(当年实际!$V:$V,当年实际!$F:$F,$C1195,当年实际!$C:$C,"&gt;="&amp;DATE(YEAR(主页!$D$2),1,1),当年实际!$C:$C,"&lt;="&amp;EOMONTH(DATE(YEAR(主页!$D$2),MONTH(主页!$D$2),1),0))/SUMIFS(当年实际!$P:$P,当年实际!$F:$F,$C1195,当年实际!$C:$C,"&gt;="&amp;DATE(YEAR(主页!$D$2),1,1),当年实际!$C:$C,"&lt;="&amp;EOMONTH(DATE(YEAR(主页!$D$2),MONTH(主页!$D$2),1),0)),"")</f>
        <v/>
      </c>
    </row>
    <row r="1196" spans="1:10" x14ac:dyDescent="0.3">
      <c r="A1196" s="150"/>
      <c r="B1196" s="150"/>
      <c r="C1196" s="150"/>
      <c r="D1196" s="150"/>
      <c r="E1196" s="140" t="str">
        <f t="shared" si="55"/>
        <v/>
      </c>
      <c r="F1196" s="159"/>
      <c r="G1196" s="145">
        <f t="shared" si="57"/>
        <v>0</v>
      </c>
      <c r="H1196" s="140" t="str">
        <f t="shared" si="56"/>
        <v/>
      </c>
      <c r="I1196"/>
      <c r="J1196" s="147" t="str">
        <f>IFERROR(SUMIFS(当年实际!$V:$V,当年实际!$F:$F,$C1196,当年实际!$C:$C,"&gt;="&amp;DATE(YEAR(主页!$D$2),1,1),当年实际!$C:$C,"&lt;="&amp;EOMONTH(DATE(YEAR(主页!$D$2),MONTH(主页!$D$2),1),0))/SUMIFS(当年实际!$P:$P,当年实际!$F:$F,$C1196,当年实际!$C:$C,"&gt;="&amp;DATE(YEAR(主页!$D$2),1,1),当年实际!$C:$C,"&lt;="&amp;EOMONTH(DATE(YEAR(主页!$D$2),MONTH(主页!$D$2),1),0)),"")</f>
        <v/>
      </c>
    </row>
    <row r="1197" spans="1:10" x14ac:dyDescent="0.3">
      <c r="A1197" s="150"/>
      <c r="B1197" s="150"/>
      <c r="C1197" s="150"/>
      <c r="D1197" s="150"/>
      <c r="E1197" s="140" t="str">
        <f t="shared" si="55"/>
        <v/>
      </c>
      <c r="F1197" s="159"/>
      <c r="G1197" s="145">
        <f t="shared" si="57"/>
        <v>0</v>
      </c>
      <c r="H1197" s="140" t="str">
        <f t="shared" si="56"/>
        <v/>
      </c>
      <c r="I1197"/>
      <c r="J1197" s="147" t="str">
        <f>IFERROR(SUMIFS(当年实际!$V:$V,当年实际!$F:$F,$C1197,当年实际!$C:$C,"&gt;="&amp;DATE(YEAR(主页!$D$2),1,1),当年实际!$C:$C,"&lt;="&amp;EOMONTH(DATE(YEAR(主页!$D$2),MONTH(主页!$D$2),1),0))/SUMIFS(当年实际!$P:$P,当年实际!$F:$F,$C1197,当年实际!$C:$C,"&gt;="&amp;DATE(YEAR(主页!$D$2),1,1),当年实际!$C:$C,"&lt;="&amp;EOMONTH(DATE(YEAR(主页!$D$2),MONTH(主页!$D$2),1),0)),"")</f>
        <v/>
      </c>
    </row>
    <row r="1198" spans="1:10" x14ac:dyDescent="0.3">
      <c r="A1198" s="150"/>
      <c r="B1198" s="150"/>
      <c r="C1198" s="150"/>
      <c r="D1198" s="150"/>
      <c r="E1198" s="140" t="str">
        <f t="shared" si="55"/>
        <v/>
      </c>
      <c r="F1198" s="159"/>
      <c r="G1198" s="145">
        <f t="shared" si="57"/>
        <v>0</v>
      </c>
      <c r="H1198" s="140" t="str">
        <f t="shared" si="56"/>
        <v/>
      </c>
      <c r="I1198"/>
      <c r="J1198" s="147" t="str">
        <f>IFERROR(SUMIFS(当年实际!$V:$V,当年实际!$F:$F,$C1198,当年实际!$C:$C,"&gt;="&amp;DATE(YEAR(主页!$D$2),1,1),当年实际!$C:$C,"&lt;="&amp;EOMONTH(DATE(YEAR(主页!$D$2),MONTH(主页!$D$2),1),0))/SUMIFS(当年实际!$P:$P,当年实际!$F:$F,$C1198,当年实际!$C:$C,"&gt;="&amp;DATE(YEAR(主页!$D$2),1,1),当年实际!$C:$C,"&lt;="&amp;EOMONTH(DATE(YEAR(主页!$D$2),MONTH(主页!$D$2),1),0)),"")</f>
        <v/>
      </c>
    </row>
    <row r="1199" spans="1:10" x14ac:dyDescent="0.3">
      <c r="A1199" s="150"/>
      <c r="B1199" s="150"/>
      <c r="C1199" s="150"/>
      <c r="D1199" s="150"/>
      <c r="E1199" s="140" t="str">
        <f t="shared" si="55"/>
        <v/>
      </c>
      <c r="F1199" s="159"/>
      <c r="G1199" s="145">
        <f t="shared" si="57"/>
        <v>0</v>
      </c>
      <c r="H1199" s="140" t="str">
        <f t="shared" si="56"/>
        <v/>
      </c>
      <c r="I1199"/>
      <c r="J1199" s="147" t="str">
        <f>IFERROR(SUMIFS(当年实际!$V:$V,当年实际!$F:$F,$C1199,当年实际!$C:$C,"&gt;="&amp;DATE(YEAR(主页!$D$2),1,1),当年实际!$C:$C,"&lt;="&amp;EOMONTH(DATE(YEAR(主页!$D$2),MONTH(主页!$D$2),1),0))/SUMIFS(当年实际!$P:$P,当年实际!$F:$F,$C1199,当年实际!$C:$C,"&gt;="&amp;DATE(YEAR(主页!$D$2),1,1),当年实际!$C:$C,"&lt;="&amp;EOMONTH(DATE(YEAR(主页!$D$2),MONTH(主页!$D$2),1),0)),"")</f>
        <v/>
      </c>
    </row>
    <row r="1200" spans="1:10" x14ac:dyDescent="0.3">
      <c r="A1200" s="150"/>
      <c r="B1200" s="150"/>
      <c r="C1200" s="150"/>
      <c r="D1200" s="150"/>
      <c r="E1200" s="140" t="str">
        <f t="shared" si="55"/>
        <v/>
      </c>
      <c r="F1200" s="159"/>
      <c r="G1200" s="145">
        <f t="shared" si="57"/>
        <v>0</v>
      </c>
      <c r="H1200" s="140" t="str">
        <f t="shared" si="56"/>
        <v/>
      </c>
      <c r="I1200"/>
      <c r="J1200" s="147" t="str">
        <f>IFERROR(SUMIFS(当年实际!$V:$V,当年实际!$F:$F,$C1200,当年实际!$C:$C,"&gt;="&amp;DATE(YEAR(主页!$D$2),1,1),当年实际!$C:$C,"&lt;="&amp;EOMONTH(DATE(YEAR(主页!$D$2),MONTH(主页!$D$2),1),0))/SUMIFS(当年实际!$P:$P,当年实际!$F:$F,$C1200,当年实际!$C:$C,"&gt;="&amp;DATE(YEAR(主页!$D$2),1,1),当年实际!$C:$C,"&lt;="&amp;EOMONTH(DATE(YEAR(主页!$D$2),MONTH(主页!$D$2),1),0)),"")</f>
        <v/>
      </c>
    </row>
    <row r="1201" spans="1:10" x14ac:dyDescent="0.3">
      <c r="A1201" s="150"/>
      <c r="B1201" s="150"/>
      <c r="C1201" s="150"/>
      <c r="D1201" s="150"/>
      <c r="E1201" s="140" t="str">
        <f t="shared" si="55"/>
        <v/>
      </c>
      <c r="F1201" s="159"/>
      <c r="G1201" s="145">
        <f t="shared" si="57"/>
        <v>0</v>
      </c>
      <c r="H1201" s="140" t="str">
        <f t="shared" si="56"/>
        <v/>
      </c>
      <c r="I1201"/>
      <c r="J1201" s="147" t="str">
        <f>IFERROR(SUMIFS(当年实际!$V:$V,当年实际!$F:$F,$C1201,当年实际!$C:$C,"&gt;="&amp;DATE(YEAR(主页!$D$2),1,1),当年实际!$C:$C,"&lt;="&amp;EOMONTH(DATE(YEAR(主页!$D$2),MONTH(主页!$D$2),1),0))/SUMIFS(当年实际!$P:$P,当年实际!$F:$F,$C1201,当年实际!$C:$C,"&gt;="&amp;DATE(YEAR(主页!$D$2),1,1),当年实际!$C:$C,"&lt;="&amp;EOMONTH(DATE(YEAR(主页!$D$2),MONTH(主页!$D$2),1),0)),"")</f>
        <v/>
      </c>
    </row>
    <row r="1202" spans="1:10" x14ac:dyDescent="0.3">
      <c r="A1202" s="150"/>
      <c r="B1202" s="150"/>
      <c r="C1202" s="150"/>
      <c r="D1202" s="150"/>
      <c r="E1202" s="140" t="str">
        <f t="shared" si="55"/>
        <v/>
      </c>
      <c r="F1202" s="159"/>
      <c r="G1202" s="145">
        <f t="shared" si="57"/>
        <v>0</v>
      </c>
      <c r="H1202" s="140" t="str">
        <f t="shared" si="56"/>
        <v/>
      </c>
      <c r="I1202"/>
      <c r="J1202" s="147" t="str">
        <f>IFERROR(SUMIFS(当年实际!$V:$V,当年实际!$F:$F,$C1202,当年实际!$C:$C,"&gt;="&amp;DATE(YEAR(主页!$D$2),1,1),当年实际!$C:$C,"&lt;="&amp;EOMONTH(DATE(YEAR(主页!$D$2),MONTH(主页!$D$2),1),0))/SUMIFS(当年实际!$P:$P,当年实际!$F:$F,$C1202,当年实际!$C:$C,"&gt;="&amp;DATE(YEAR(主页!$D$2),1,1),当年实际!$C:$C,"&lt;="&amp;EOMONTH(DATE(YEAR(主页!$D$2),MONTH(主页!$D$2),1),0)),"")</f>
        <v/>
      </c>
    </row>
    <row r="1203" spans="1:10" x14ac:dyDescent="0.3">
      <c r="A1203" s="150"/>
      <c r="B1203" s="150"/>
      <c r="C1203" s="150"/>
      <c r="D1203" s="150"/>
      <c r="E1203" s="140" t="str">
        <f t="shared" si="55"/>
        <v/>
      </c>
      <c r="F1203" s="159"/>
      <c r="G1203" s="145">
        <f t="shared" si="57"/>
        <v>0</v>
      </c>
      <c r="H1203" s="140" t="str">
        <f t="shared" si="56"/>
        <v/>
      </c>
      <c r="I1203"/>
      <c r="J1203" s="147" t="str">
        <f>IFERROR(SUMIFS(当年实际!$V:$V,当年实际!$F:$F,$C1203,当年实际!$C:$C,"&gt;="&amp;DATE(YEAR(主页!$D$2),1,1),当年实际!$C:$C,"&lt;="&amp;EOMONTH(DATE(YEAR(主页!$D$2),MONTH(主页!$D$2),1),0))/SUMIFS(当年实际!$P:$P,当年实际!$F:$F,$C1203,当年实际!$C:$C,"&gt;="&amp;DATE(YEAR(主页!$D$2),1,1),当年实际!$C:$C,"&lt;="&amp;EOMONTH(DATE(YEAR(主页!$D$2),MONTH(主页!$D$2),1),0)),"")</f>
        <v/>
      </c>
    </row>
    <row r="1204" spans="1:10" x14ac:dyDescent="0.3">
      <c r="A1204" s="150"/>
      <c r="B1204" s="150"/>
      <c r="C1204" s="150"/>
      <c r="D1204" s="150"/>
      <c r="E1204" s="140" t="str">
        <f t="shared" si="55"/>
        <v/>
      </c>
      <c r="F1204" s="159"/>
      <c r="G1204" s="145">
        <f t="shared" si="57"/>
        <v>0</v>
      </c>
      <c r="H1204" s="140" t="str">
        <f t="shared" si="56"/>
        <v/>
      </c>
      <c r="I1204"/>
      <c r="J1204" s="147" t="str">
        <f>IFERROR(SUMIFS(当年实际!$V:$V,当年实际!$F:$F,$C1204,当年实际!$C:$C,"&gt;="&amp;DATE(YEAR(主页!$D$2),1,1),当年实际!$C:$C,"&lt;="&amp;EOMONTH(DATE(YEAR(主页!$D$2),MONTH(主页!$D$2),1),0))/SUMIFS(当年实际!$P:$P,当年实际!$F:$F,$C1204,当年实际!$C:$C,"&gt;="&amp;DATE(YEAR(主页!$D$2),1,1),当年实际!$C:$C,"&lt;="&amp;EOMONTH(DATE(YEAR(主页!$D$2),MONTH(主页!$D$2),1),0)),"")</f>
        <v/>
      </c>
    </row>
    <row r="1205" spans="1:10" x14ac:dyDescent="0.3">
      <c r="A1205" s="150"/>
      <c r="B1205" s="150"/>
      <c r="C1205" s="150"/>
      <c r="D1205" s="150"/>
      <c r="E1205" s="140" t="str">
        <f t="shared" si="55"/>
        <v/>
      </c>
      <c r="F1205" s="159"/>
      <c r="G1205" s="145">
        <f t="shared" si="57"/>
        <v>0</v>
      </c>
      <c r="H1205" s="140" t="str">
        <f t="shared" si="56"/>
        <v/>
      </c>
      <c r="I1205"/>
      <c r="J1205" s="147" t="str">
        <f>IFERROR(SUMIFS(当年实际!$V:$V,当年实际!$F:$F,$C1205,当年实际!$C:$C,"&gt;="&amp;DATE(YEAR(主页!$D$2),1,1),当年实际!$C:$C,"&lt;="&amp;EOMONTH(DATE(YEAR(主页!$D$2),MONTH(主页!$D$2),1),0))/SUMIFS(当年实际!$P:$P,当年实际!$F:$F,$C1205,当年实际!$C:$C,"&gt;="&amp;DATE(YEAR(主页!$D$2),1,1),当年实际!$C:$C,"&lt;="&amp;EOMONTH(DATE(YEAR(主页!$D$2),MONTH(主页!$D$2),1),0)),"")</f>
        <v/>
      </c>
    </row>
    <row r="1206" spans="1:10" x14ac:dyDescent="0.3">
      <c r="A1206" s="150"/>
      <c r="B1206" s="150"/>
      <c r="C1206" s="150"/>
      <c r="D1206" s="150"/>
      <c r="E1206" s="140" t="str">
        <f t="shared" si="55"/>
        <v/>
      </c>
      <c r="F1206" s="159"/>
      <c r="G1206" s="145">
        <f t="shared" si="57"/>
        <v>0</v>
      </c>
      <c r="H1206" s="140" t="str">
        <f t="shared" si="56"/>
        <v/>
      </c>
      <c r="I1206"/>
      <c r="J1206" s="147" t="str">
        <f>IFERROR(SUMIFS(当年实际!$V:$V,当年实际!$F:$F,$C1206,当年实际!$C:$C,"&gt;="&amp;DATE(YEAR(主页!$D$2),1,1),当年实际!$C:$C,"&lt;="&amp;EOMONTH(DATE(YEAR(主页!$D$2),MONTH(主页!$D$2),1),0))/SUMIFS(当年实际!$P:$P,当年实际!$F:$F,$C1206,当年实际!$C:$C,"&gt;="&amp;DATE(YEAR(主页!$D$2),1,1),当年实际!$C:$C,"&lt;="&amp;EOMONTH(DATE(YEAR(主页!$D$2),MONTH(主页!$D$2),1),0)),"")</f>
        <v/>
      </c>
    </row>
    <row r="1207" spans="1:10" x14ac:dyDescent="0.3">
      <c r="A1207" s="150"/>
      <c r="B1207" s="150"/>
      <c r="C1207" s="150"/>
      <c r="D1207" s="150"/>
      <c r="E1207" s="140" t="str">
        <f t="shared" si="55"/>
        <v/>
      </c>
      <c r="F1207" s="159"/>
      <c r="G1207" s="145">
        <f t="shared" si="57"/>
        <v>0</v>
      </c>
      <c r="H1207" s="140" t="str">
        <f t="shared" si="56"/>
        <v/>
      </c>
      <c r="I1207"/>
      <c r="J1207" s="147" t="str">
        <f>IFERROR(SUMIFS(当年实际!$V:$V,当年实际!$F:$F,$C1207,当年实际!$C:$C,"&gt;="&amp;DATE(YEAR(主页!$D$2),1,1),当年实际!$C:$C,"&lt;="&amp;EOMONTH(DATE(YEAR(主页!$D$2),MONTH(主页!$D$2),1),0))/SUMIFS(当年实际!$P:$P,当年实际!$F:$F,$C1207,当年实际!$C:$C,"&gt;="&amp;DATE(YEAR(主页!$D$2),1,1),当年实际!$C:$C,"&lt;="&amp;EOMONTH(DATE(YEAR(主页!$D$2),MONTH(主页!$D$2),1),0)),"")</f>
        <v/>
      </c>
    </row>
    <row r="1208" spans="1:10" x14ac:dyDescent="0.3">
      <c r="A1208" s="150"/>
      <c r="B1208" s="150"/>
      <c r="C1208" s="150"/>
      <c r="D1208" s="150"/>
      <c r="E1208" s="140" t="str">
        <f t="shared" si="55"/>
        <v/>
      </c>
      <c r="F1208" s="159"/>
      <c r="G1208" s="145">
        <f t="shared" si="57"/>
        <v>0</v>
      </c>
      <c r="H1208" s="140" t="str">
        <f t="shared" si="56"/>
        <v/>
      </c>
      <c r="I1208"/>
      <c r="J1208" s="147" t="str">
        <f>IFERROR(SUMIFS(当年实际!$V:$V,当年实际!$F:$F,$C1208,当年实际!$C:$C,"&gt;="&amp;DATE(YEAR(主页!$D$2),1,1),当年实际!$C:$C,"&lt;="&amp;EOMONTH(DATE(YEAR(主页!$D$2),MONTH(主页!$D$2),1),0))/SUMIFS(当年实际!$P:$P,当年实际!$F:$F,$C1208,当年实际!$C:$C,"&gt;="&amp;DATE(YEAR(主页!$D$2),1,1),当年实际!$C:$C,"&lt;="&amp;EOMONTH(DATE(YEAR(主页!$D$2),MONTH(主页!$D$2),1),0)),"")</f>
        <v/>
      </c>
    </row>
    <row r="1209" spans="1:10" x14ac:dyDescent="0.3">
      <c r="A1209" s="150"/>
      <c r="B1209" s="150"/>
      <c r="C1209" s="150"/>
      <c r="D1209" s="150"/>
      <c r="E1209" s="140" t="str">
        <f t="shared" si="55"/>
        <v/>
      </c>
      <c r="F1209" s="159"/>
      <c r="G1209" s="145">
        <f t="shared" si="57"/>
        <v>0</v>
      </c>
      <c r="H1209" s="140" t="str">
        <f t="shared" si="56"/>
        <v/>
      </c>
      <c r="I1209"/>
      <c r="J1209" s="147" t="str">
        <f>IFERROR(SUMIFS(当年实际!$V:$V,当年实际!$F:$F,$C1209,当年实际!$C:$C,"&gt;="&amp;DATE(YEAR(主页!$D$2),1,1),当年实际!$C:$C,"&lt;="&amp;EOMONTH(DATE(YEAR(主页!$D$2),MONTH(主页!$D$2),1),0))/SUMIFS(当年实际!$P:$P,当年实际!$F:$F,$C1209,当年实际!$C:$C,"&gt;="&amp;DATE(YEAR(主页!$D$2),1,1),当年实际!$C:$C,"&lt;="&amp;EOMONTH(DATE(YEAR(主页!$D$2),MONTH(主页!$D$2),1),0)),"")</f>
        <v/>
      </c>
    </row>
    <row r="1210" spans="1:10" x14ac:dyDescent="0.3">
      <c r="A1210" s="150"/>
      <c r="B1210" s="150"/>
      <c r="C1210" s="150"/>
      <c r="D1210" s="150"/>
      <c r="E1210" s="140" t="str">
        <f t="shared" si="55"/>
        <v/>
      </c>
      <c r="F1210" s="159"/>
      <c r="G1210" s="145">
        <f t="shared" si="57"/>
        <v>0</v>
      </c>
      <c r="H1210" s="140" t="str">
        <f t="shared" si="56"/>
        <v/>
      </c>
      <c r="I1210"/>
      <c r="J1210" s="147" t="str">
        <f>IFERROR(SUMIFS(当年实际!$V:$V,当年实际!$F:$F,$C1210,当年实际!$C:$C,"&gt;="&amp;DATE(YEAR(主页!$D$2),1,1),当年实际!$C:$C,"&lt;="&amp;EOMONTH(DATE(YEAR(主页!$D$2),MONTH(主页!$D$2),1),0))/SUMIFS(当年实际!$P:$P,当年实际!$F:$F,$C1210,当年实际!$C:$C,"&gt;="&amp;DATE(YEAR(主页!$D$2),1,1),当年实际!$C:$C,"&lt;="&amp;EOMONTH(DATE(YEAR(主页!$D$2),MONTH(主页!$D$2),1),0)),"")</f>
        <v/>
      </c>
    </row>
    <row r="1211" spans="1:10" x14ac:dyDescent="0.3">
      <c r="A1211" s="150"/>
      <c r="B1211" s="150"/>
      <c r="C1211" s="150"/>
      <c r="D1211" s="150"/>
      <c r="E1211" s="140" t="str">
        <f t="shared" si="55"/>
        <v/>
      </c>
      <c r="F1211" s="159"/>
      <c r="G1211" s="145">
        <f t="shared" si="57"/>
        <v>0</v>
      </c>
      <c r="H1211" s="140" t="str">
        <f t="shared" si="56"/>
        <v/>
      </c>
      <c r="I1211"/>
      <c r="J1211" s="147" t="str">
        <f>IFERROR(SUMIFS(当年实际!$V:$V,当年实际!$F:$F,$C1211,当年实际!$C:$C,"&gt;="&amp;DATE(YEAR(主页!$D$2),1,1),当年实际!$C:$C,"&lt;="&amp;EOMONTH(DATE(YEAR(主页!$D$2),MONTH(主页!$D$2),1),0))/SUMIFS(当年实际!$P:$P,当年实际!$F:$F,$C1211,当年实际!$C:$C,"&gt;="&amp;DATE(YEAR(主页!$D$2),1,1),当年实际!$C:$C,"&lt;="&amp;EOMONTH(DATE(YEAR(主页!$D$2),MONTH(主页!$D$2),1),0)),"")</f>
        <v/>
      </c>
    </row>
    <row r="1212" spans="1:10" x14ac:dyDescent="0.3">
      <c r="A1212" s="150"/>
      <c r="B1212" s="150"/>
      <c r="C1212" s="150"/>
      <c r="D1212" s="150"/>
      <c r="E1212" s="140" t="str">
        <f t="shared" si="55"/>
        <v/>
      </c>
      <c r="F1212" s="159"/>
      <c r="G1212" s="145">
        <f t="shared" si="57"/>
        <v>0</v>
      </c>
      <c r="H1212" s="140" t="str">
        <f t="shared" si="56"/>
        <v/>
      </c>
      <c r="I1212"/>
      <c r="J1212" s="147" t="str">
        <f>IFERROR(SUMIFS(当年实际!$V:$V,当年实际!$F:$F,$C1212,当年实际!$C:$C,"&gt;="&amp;DATE(YEAR(主页!$D$2),1,1),当年实际!$C:$C,"&lt;="&amp;EOMONTH(DATE(YEAR(主页!$D$2),MONTH(主页!$D$2),1),0))/SUMIFS(当年实际!$P:$P,当年实际!$F:$F,$C1212,当年实际!$C:$C,"&gt;="&amp;DATE(YEAR(主页!$D$2),1,1),当年实际!$C:$C,"&lt;="&amp;EOMONTH(DATE(YEAR(主页!$D$2),MONTH(主页!$D$2),1),0)),"")</f>
        <v/>
      </c>
    </row>
    <row r="1213" spans="1:10" x14ac:dyDescent="0.3">
      <c r="A1213" s="150"/>
      <c r="B1213" s="150"/>
      <c r="C1213" s="150"/>
      <c r="D1213" s="150"/>
      <c r="E1213" s="140" t="str">
        <f t="shared" si="55"/>
        <v/>
      </c>
      <c r="F1213" s="159"/>
      <c r="G1213" s="145">
        <f t="shared" si="57"/>
        <v>0</v>
      </c>
      <c r="H1213" s="140" t="str">
        <f t="shared" si="56"/>
        <v/>
      </c>
      <c r="I1213"/>
      <c r="J1213" s="147" t="str">
        <f>IFERROR(SUMIFS(当年实际!$V:$V,当年实际!$F:$F,$C1213,当年实际!$C:$C,"&gt;="&amp;DATE(YEAR(主页!$D$2),1,1),当年实际!$C:$C,"&lt;="&amp;EOMONTH(DATE(YEAR(主页!$D$2),MONTH(主页!$D$2),1),0))/SUMIFS(当年实际!$P:$P,当年实际!$F:$F,$C1213,当年实际!$C:$C,"&gt;="&amp;DATE(YEAR(主页!$D$2),1,1),当年实际!$C:$C,"&lt;="&amp;EOMONTH(DATE(YEAR(主页!$D$2),MONTH(主页!$D$2),1),0)),"")</f>
        <v/>
      </c>
    </row>
    <row r="1214" spans="1:10" x14ac:dyDescent="0.3">
      <c r="A1214" s="150"/>
      <c r="B1214" s="150"/>
      <c r="C1214" s="150"/>
      <c r="D1214" s="150"/>
      <c r="E1214" s="140" t="str">
        <f t="shared" si="55"/>
        <v/>
      </c>
      <c r="F1214" s="159"/>
      <c r="G1214" s="145">
        <f t="shared" si="57"/>
        <v>0</v>
      </c>
      <c r="H1214" s="140" t="str">
        <f t="shared" si="56"/>
        <v/>
      </c>
      <c r="I1214"/>
      <c r="J1214" s="147" t="str">
        <f>IFERROR(SUMIFS(当年实际!$V:$V,当年实际!$F:$F,$C1214,当年实际!$C:$C,"&gt;="&amp;DATE(YEAR(主页!$D$2),1,1),当年实际!$C:$C,"&lt;="&amp;EOMONTH(DATE(YEAR(主页!$D$2),MONTH(主页!$D$2),1),0))/SUMIFS(当年实际!$P:$P,当年实际!$F:$F,$C1214,当年实际!$C:$C,"&gt;="&amp;DATE(YEAR(主页!$D$2),1,1),当年实际!$C:$C,"&lt;="&amp;EOMONTH(DATE(YEAR(主页!$D$2),MONTH(主页!$D$2),1),0)),"")</f>
        <v/>
      </c>
    </row>
    <row r="1215" spans="1:10" x14ac:dyDescent="0.3">
      <c r="A1215" s="150"/>
      <c r="B1215" s="150"/>
      <c r="C1215" s="150"/>
      <c r="D1215" s="150"/>
      <c r="E1215" s="140" t="str">
        <f t="shared" si="55"/>
        <v/>
      </c>
      <c r="F1215" s="159"/>
      <c r="G1215" s="145">
        <f t="shared" si="57"/>
        <v>0</v>
      </c>
      <c r="H1215" s="140" t="str">
        <f t="shared" si="56"/>
        <v/>
      </c>
      <c r="I1215"/>
      <c r="J1215" s="147" t="str">
        <f>IFERROR(SUMIFS(当年实际!$V:$V,当年实际!$F:$F,$C1215,当年实际!$C:$C,"&gt;="&amp;DATE(YEAR(主页!$D$2),1,1),当年实际!$C:$C,"&lt;="&amp;EOMONTH(DATE(YEAR(主页!$D$2),MONTH(主页!$D$2),1),0))/SUMIFS(当年实际!$P:$P,当年实际!$F:$F,$C1215,当年实际!$C:$C,"&gt;="&amp;DATE(YEAR(主页!$D$2),1,1),当年实际!$C:$C,"&lt;="&amp;EOMONTH(DATE(YEAR(主页!$D$2),MONTH(主页!$D$2),1),0)),"")</f>
        <v/>
      </c>
    </row>
    <row r="1216" spans="1:10" x14ac:dyDescent="0.3">
      <c r="A1216" s="150"/>
      <c r="B1216" s="150"/>
      <c r="C1216" s="150"/>
      <c r="D1216" s="150"/>
      <c r="E1216" s="140" t="str">
        <f t="shared" si="55"/>
        <v/>
      </c>
      <c r="F1216" s="159"/>
      <c r="G1216" s="145">
        <f t="shared" si="57"/>
        <v>0</v>
      </c>
      <c r="H1216" s="140" t="str">
        <f t="shared" si="56"/>
        <v/>
      </c>
      <c r="I1216"/>
      <c r="J1216" s="147" t="str">
        <f>IFERROR(SUMIFS(当年实际!$V:$V,当年实际!$F:$F,$C1216,当年实际!$C:$C,"&gt;="&amp;DATE(YEAR(主页!$D$2),1,1),当年实际!$C:$C,"&lt;="&amp;EOMONTH(DATE(YEAR(主页!$D$2),MONTH(主页!$D$2),1),0))/SUMIFS(当年实际!$P:$P,当年实际!$F:$F,$C1216,当年实际!$C:$C,"&gt;="&amp;DATE(YEAR(主页!$D$2),1,1),当年实际!$C:$C,"&lt;="&amp;EOMONTH(DATE(YEAR(主页!$D$2),MONTH(主页!$D$2),1),0)),"")</f>
        <v/>
      </c>
    </row>
    <row r="1217" spans="1:10" x14ac:dyDescent="0.3">
      <c r="A1217" s="150"/>
      <c r="B1217" s="150"/>
      <c r="C1217" s="150"/>
      <c r="D1217" s="150"/>
      <c r="E1217" s="140" t="str">
        <f t="shared" si="55"/>
        <v/>
      </c>
      <c r="F1217" s="159"/>
      <c r="G1217" s="145">
        <f t="shared" si="57"/>
        <v>0</v>
      </c>
      <c r="H1217" s="140" t="str">
        <f t="shared" si="56"/>
        <v/>
      </c>
      <c r="I1217"/>
      <c r="J1217" s="147" t="str">
        <f>IFERROR(SUMIFS(当年实际!$V:$V,当年实际!$F:$F,$C1217,当年实际!$C:$C,"&gt;="&amp;DATE(YEAR(主页!$D$2),1,1),当年实际!$C:$C,"&lt;="&amp;EOMONTH(DATE(YEAR(主页!$D$2),MONTH(主页!$D$2),1),0))/SUMIFS(当年实际!$P:$P,当年实际!$F:$F,$C1217,当年实际!$C:$C,"&gt;="&amp;DATE(YEAR(主页!$D$2),1,1),当年实际!$C:$C,"&lt;="&amp;EOMONTH(DATE(YEAR(主页!$D$2),MONTH(主页!$D$2),1),0)),"")</f>
        <v/>
      </c>
    </row>
    <row r="1218" spans="1:10" x14ac:dyDescent="0.3">
      <c r="A1218" s="150"/>
      <c r="B1218" s="150"/>
      <c r="C1218" s="150"/>
      <c r="D1218" s="150"/>
      <c r="E1218" s="140" t="str">
        <f t="shared" si="55"/>
        <v/>
      </c>
      <c r="F1218" s="159"/>
      <c r="G1218" s="145">
        <f t="shared" si="57"/>
        <v>0</v>
      </c>
      <c r="H1218" s="140" t="str">
        <f t="shared" si="56"/>
        <v/>
      </c>
      <c r="I1218"/>
      <c r="J1218" s="147" t="str">
        <f>IFERROR(SUMIFS(当年实际!$V:$V,当年实际!$F:$F,$C1218,当年实际!$C:$C,"&gt;="&amp;DATE(YEAR(主页!$D$2),1,1),当年实际!$C:$C,"&lt;="&amp;EOMONTH(DATE(YEAR(主页!$D$2),MONTH(主页!$D$2),1),0))/SUMIFS(当年实际!$P:$P,当年实际!$F:$F,$C1218,当年实际!$C:$C,"&gt;="&amp;DATE(YEAR(主页!$D$2),1,1),当年实际!$C:$C,"&lt;="&amp;EOMONTH(DATE(YEAR(主页!$D$2),MONTH(主页!$D$2),1),0)),"")</f>
        <v/>
      </c>
    </row>
    <row r="1219" spans="1:10" x14ac:dyDescent="0.3">
      <c r="A1219" s="150"/>
      <c r="B1219" s="150"/>
      <c r="C1219" s="150"/>
      <c r="D1219" s="150"/>
      <c r="E1219" s="140" t="str">
        <f t="shared" si="55"/>
        <v/>
      </c>
      <c r="F1219" s="159"/>
      <c r="G1219" s="145">
        <f t="shared" si="57"/>
        <v>0</v>
      </c>
      <c r="H1219" s="140" t="str">
        <f t="shared" si="56"/>
        <v/>
      </c>
      <c r="I1219"/>
      <c r="J1219" s="147" t="str">
        <f>IFERROR(SUMIFS(当年实际!$V:$V,当年实际!$F:$F,$C1219,当年实际!$C:$C,"&gt;="&amp;DATE(YEAR(主页!$D$2),1,1),当年实际!$C:$C,"&lt;="&amp;EOMONTH(DATE(YEAR(主页!$D$2),MONTH(主页!$D$2),1),0))/SUMIFS(当年实际!$P:$P,当年实际!$F:$F,$C1219,当年实际!$C:$C,"&gt;="&amp;DATE(YEAR(主页!$D$2),1,1),当年实际!$C:$C,"&lt;="&amp;EOMONTH(DATE(YEAR(主页!$D$2),MONTH(主页!$D$2),1),0)),"")</f>
        <v/>
      </c>
    </row>
    <row r="1220" spans="1:10" x14ac:dyDescent="0.3">
      <c r="A1220" s="150"/>
      <c r="B1220" s="150"/>
      <c r="C1220" s="150"/>
      <c r="D1220" s="150"/>
      <c r="E1220" s="140" t="str">
        <f t="shared" ref="E1220:E1230" si="58">IF(D1220/SUM(D:D)=0,"",D1220/SUM(D:D))</f>
        <v/>
      </c>
      <c r="F1220" s="159"/>
      <c r="G1220" s="145">
        <f t="shared" si="57"/>
        <v>0</v>
      </c>
      <c r="H1220" s="140" t="str">
        <f t="shared" ref="H1220:H1230" si="59">IF(G1220/SUM(G:G)=0,"",G1220/SUM(G:G))</f>
        <v/>
      </c>
      <c r="I1220"/>
      <c r="J1220" s="147" t="str">
        <f>IFERROR(SUMIFS(当年实际!$V:$V,当年实际!$F:$F,$C1220,当年实际!$C:$C,"&gt;="&amp;DATE(YEAR(主页!$D$2),1,1),当年实际!$C:$C,"&lt;="&amp;EOMONTH(DATE(YEAR(主页!$D$2),MONTH(主页!$D$2),1),0))/SUMIFS(当年实际!$P:$P,当年实际!$F:$F,$C1220,当年实际!$C:$C,"&gt;="&amp;DATE(YEAR(主页!$D$2),1,1),当年实际!$C:$C,"&lt;="&amp;EOMONTH(DATE(YEAR(主页!$D$2),MONTH(主页!$D$2),1),0)),"")</f>
        <v/>
      </c>
    </row>
    <row r="1221" spans="1:10" x14ac:dyDescent="0.3">
      <c r="A1221" s="150"/>
      <c r="B1221" s="150"/>
      <c r="C1221" s="150"/>
      <c r="D1221" s="150"/>
      <c r="E1221" s="140" t="str">
        <f t="shared" si="58"/>
        <v/>
      </c>
      <c r="F1221" s="159"/>
      <c r="G1221" s="145">
        <f t="shared" si="57"/>
        <v>0</v>
      </c>
      <c r="H1221" s="140" t="str">
        <f t="shared" si="59"/>
        <v/>
      </c>
      <c r="I1221"/>
      <c r="J1221" s="147" t="str">
        <f>IFERROR(SUMIFS(当年实际!$V:$V,当年实际!$F:$F,$C1221,当年实际!$C:$C,"&gt;="&amp;DATE(YEAR(主页!$D$2),1,1),当年实际!$C:$C,"&lt;="&amp;EOMONTH(DATE(YEAR(主页!$D$2),MONTH(主页!$D$2),1),0))/SUMIFS(当年实际!$P:$P,当年实际!$F:$F,$C1221,当年实际!$C:$C,"&gt;="&amp;DATE(YEAR(主页!$D$2),1,1),当年实际!$C:$C,"&lt;="&amp;EOMONTH(DATE(YEAR(主页!$D$2),MONTH(主页!$D$2),1),0)),"")</f>
        <v/>
      </c>
    </row>
    <row r="1222" spans="1:10" x14ac:dyDescent="0.3">
      <c r="A1222" s="150"/>
      <c r="B1222" s="150"/>
      <c r="C1222" s="150"/>
      <c r="D1222" s="150"/>
      <c r="E1222" s="140" t="str">
        <f t="shared" si="58"/>
        <v/>
      </c>
      <c r="F1222" s="159"/>
      <c r="G1222" s="145">
        <f t="shared" si="57"/>
        <v>0</v>
      </c>
      <c r="H1222" s="140" t="str">
        <f t="shared" si="59"/>
        <v/>
      </c>
      <c r="I1222"/>
      <c r="J1222" s="147" t="str">
        <f>IFERROR(SUMIFS(当年实际!$V:$V,当年实际!$F:$F,$C1222,当年实际!$C:$C,"&gt;="&amp;DATE(YEAR(主页!$D$2),1,1),当年实际!$C:$C,"&lt;="&amp;EOMONTH(DATE(YEAR(主页!$D$2),MONTH(主页!$D$2),1),0))/SUMIFS(当年实际!$P:$P,当年实际!$F:$F,$C1222,当年实际!$C:$C,"&gt;="&amp;DATE(YEAR(主页!$D$2),1,1),当年实际!$C:$C,"&lt;="&amp;EOMONTH(DATE(YEAR(主页!$D$2),MONTH(主页!$D$2),1),0)),"")</f>
        <v/>
      </c>
    </row>
    <row r="1223" spans="1:10" x14ac:dyDescent="0.3">
      <c r="A1223" s="150"/>
      <c r="B1223" s="150"/>
      <c r="C1223" s="150"/>
      <c r="D1223" s="150"/>
      <c r="E1223" s="140" t="str">
        <f t="shared" si="58"/>
        <v/>
      </c>
      <c r="F1223" s="159"/>
      <c r="G1223" s="145">
        <f t="shared" ref="G1223:G1230" si="60">D1223*F1223</f>
        <v>0</v>
      </c>
      <c r="H1223" s="140" t="str">
        <f t="shared" si="59"/>
        <v/>
      </c>
      <c r="I1223"/>
      <c r="J1223" s="147" t="str">
        <f>IFERROR(SUMIFS(当年实际!$V:$V,当年实际!$F:$F,$C1223,当年实际!$C:$C,"&gt;="&amp;DATE(YEAR(主页!$D$2),1,1),当年实际!$C:$C,"&lt;="&amp;EOMONTH(DATE(YEAR(主页!$D$2),MONTH(主页!$D$2),1),0))/SUMIFS(当年实际!$P:$P,当年实际!$F:$F,$C1223,当年实际!$C:$C,"&gt;="&amp;DATE(YEAR(主页!$D$2),1,1),当年实际!$C:$C,"&lt;="&amp;EOMONTH(DATE(YEAR(主页!$D$2),MONTH(主页!$D$2),1),0)),"")</f>
        <v/>
      </c>
    </row>
    <row r="1224" spans="1:10" x14ac:dyDescent="0.3">
      <c r="A1224" s="150"/>
      <c r="B1224" s="150"/>
      <c r="C1224" s="150"/>
      <c r="D1224" s="150"/>
      <c r="E1224" s="140" t="str">
        <f t="shared" si="58"/>
        <v/>
      </c>
      <c r="F1224" s="159"/>
      <c r="G1224" s="145">
        <f t="shared" si="60"/>
        <v>0</v>
      </c>
      <c r="H1224" s="140" t="str">
        <f t="shared" si="59"/>
        <v/>
      </c>
      <c r="I1224"/>
      <c r="J1224" s="147" t="str">
        <f>IFERROR(SUMIFS(当年实际!$V:$V,当年实际!$F:$F,$C1224,当年实际!$C:$C,"&gt;="&amp;DATE(YEAR(主页!$D$2),1,1),当年实际!$C:$C,"&lt;="&amp;EOMONTH(DATE(YEAR(主页!$D$2),MONTH(主页!$D$2),1),0))/SUMIFS(当年实际!$P:$P,当年实际!$F:$F,$C1224,当年实际!$C:$C,"&gt;="&amp;DATE(YEAR(主页!$D$2),1,1),当年实际!$C:$C,"&lt;="&amp;EOMONTH(DATE(YEAR(主页!$D$2),MONTH(主页!$D$2),1),0)),"")</f>
        <v/>
      </c>
    </row>
    <row r="1225" spans="1:10" x14ac:dyDescent="0.3">
      <c r="A1225" s="150"/>
      <c r="B1225" s="150"/>
      <c r="C1225" s="150"/>
      <c r="D1225" s="150"/>
      <c r="E1225" s="140" t="str">
        <f t="shared" si="58"/>
        <v/>
      </c>
      <c r="F1225" s="159"/>
      <c r="G1225" s="145">
        <f t="shared" si="60"/>
        <v>0</v>
      </c>
      <c r="H1225" s="140" t="str">
        <f t="shared" si="59"/>
        <v/>
      </c>
      <c r="I1225"/>
      <c r="J1225" s="147" t="str">
        <f>IFERROR(SUMIFS(当年实际!$V:$V,当年实际!$F:$F,$C1225,当年实际!$C:$C,"&gt;="&amp;DATE(YEAR(主页!$D$2),1,1),当年实际!$C:$C,"&lt;="&amp;EOMONTH(DATE(YEAR(主页!$D$2),MONTH(主页!$D$2),1),0))/SUMIFS(当年实际!$P:$P,当年实际!$F:$F,$C1225,当年实际!$C:$C,"&gt;="&amp;DATE(YEAR(主页!$D$2),1,1),当年实际!$C:$C,"&lt;="&amp;EOMONTH(DATE(YEAR(主页!$D$2),MONTH(主页!$D$2),1),0)),"")</f>
        <v/>
      </c>
    </row>
    <row r="1226" spans="1:10" x14ac:dyDescent="0.3">
      <c r="A1226" s="150"/>
      <c r="B1226" s="150"/>
      <c r="C1226" s="150"/>
      <c r="D1226" s="150"/>
      <c r="E1226" s="140" t="str">
        <f t="shared" si="58"/>
        <v/>
      </c>
      <c r="F1226" s="159"/>
      <c r="G1226" s="145">
        <f t="shared" si="60"/>
        <v>0</v>
      </c>
      <c r="H1226" s="140" t="str">
        <f t="shared" si="59"/>
        <v/>
      </c>
      <c r="I1226"/>
      <c r="J1226" s="147" t="str">
        <f>IFERROR(SUMIFS(当年实际!$V:$V,当年实际!$F:$F,$C1226,当年实际!$C:$C,"&gt;="&amp;DATE(YEAR(主页!$D$2),1,1),当年实际!$C:$C,"&lt;="&amp;EOMONTH(DATE(YEAR(主页!$D$2),MONTH(主页!$D$2),1),0))/SUMIFS(当年实际!$P:$P,当年实际!$F:$F,$C1226,当年实际!$C:$C,"&gt;="&amp;DATE(YEAR(主页!$D$2),1,1),当年实际!$C:$C,"&lt;="&amp;EOMONTH(DATE(YEAR(主页!$D$2),MONTH(主页!$D$2),1),0)),"")</f>
        <v/>
      </c>
    </row>
    <row r="1227" spans="1:10" x14ac:dyDescent="0.3">
      <c r="A1227" s="150"/>
      <c r="B1227" s="150"/>
      <c r="C1227" s="150"/>
      <c r="D1227" s="150"/>
      <c r="E1227" s="140" t="str">
        <f t="shared" si="58"/>
        <v/>
      </c>
      <c r="F1227" s="159"/>
      <c r="G1227" s="145">
        <f t="shared" si="60"/>
        <v>0</v>
      </c>
      <c r="H1227" s="140" t="str">
        <f t="shared" si="59"/>
        <v/>
      </c>
      <c r="I1227"/>
      <c r="J1227" s="147" t="str">
        <f>IFERROR(SUMIFS(当年实际!$V:$V,当年实际!$F:$F,$C1227,当年实际!$C:$C,"&gt;="&amp;DATE(YEAR(主页!$D$2),1,1),当年实际!$C:$C,"&lt;="&amp;EOMONTH(DATE(YEAR(主页!$D$2),MONTH(主页!$D$2),1),0))/SUMIFS(当年实际!$P:$P,当年实际!$F:$F,$C1227,当年实际!$C:$C,"&gt;="&amp;DATE(YEAR(主页!$D$2),1,1),当年实际!$C:$C,"&lt;="&amp;EOMONTH(DATE(YEAR(主页!$D$2),MONTH(主页!$D$2),1),0)),"")</f>
        <v/>
      </c>
    </row>
    <row r="1228" spans="1:10" x14ac:dyDescent="0.3">
      <c r="A1228" s="150"/>
      <c r="B1228" s="150"/>
      <c r="C1228" s="150"/>
      <c r="D1228" s="150"/>
      <c r="E1228" s="140" t="str">
        <f t="shared" si="58"/>
        <v/>
      </c>
      <c r="F1228" s="159"/>
      <c r="G1228" s="145">
        <f t="shared" si="60"/>
        <v>0</v>
      </c>
      <c r="H1228" s="140" t="str">
        <f t="shared" si="59"/>
        <v/>
      </c>
      <c r="I1228"/>
      <c r="J1228" s="147" t="str">
        <f>IFERROR(SUMIFS(当年实际!$V:$V,当年实际!$F:$F,$C1228,当年实际!$C:$C,"&gt;="&amp;DATE(YEAR(主页!$D$2),1,1),当年实际!$C:$C,"&lt;="&amp;EOMONTH(DATE(YEAR(主页!$D$2),MONTH(主页!$D$2),1),0))/SUMIFS(当年实际!$P:$P,当年实际!$F:$F,$C1228,当年实际!$C:$C,"&gt;="&amp;DATE(YEAR(主页!$D$2),1,1),当年实际!$C:$C,"&lt;="&amp;EOMONTH(DATE(YEAR(主页!$D$2),MONTH(主页!$D$2),1),0)),"")</f>
        <v/>
      </c>
    </row>
    <row r="1229" spans="1:10" x14ac:dyDescent="0.3">
      <c r="A1229" s="150"/>
      <c r="B1229" s="150"/>
      <c r="C1229" s="150"/>
      <c r="D1229" s="150"/>
      <c r="E1229" s="140" t="str">
        <f t="shared" si="58"/>
        <v/>
      </c>
      <c r="F1229" s="159"/>
      <c r="G1229" s="145">
        <f t="shared" si="60"/>
        <v>0</v>
      </c>
      <c r="H1229" s="140" t="str">
        <f t="shared" si="59"/>
        <v/>
      </c>
      <c r="I1229"/>
      <c r="J1229" s="147" t="str">
        <f>IFERROR(SUMIFS(当年实际!$V:$V,当年实际!$F:$F,$C1229,当年实际!$C:$C,"&gt;="&amp;DATE(YEAR(主页!$D$2),1,1),当年实际!$C:$C,"&lt;="&amp;EOMONTH(DATE(YEAR(主页!$D$2),MONTH(主页!$D$2),1),0))/SUMIFS(当年实际!$P:$P,当年实际!$F:$F,$C1229,当年实际!$C:$C,"&gt;="&amp;DATE(YEAR(主页!$D$2),1,1),当年实际!$C:$C,"&lt;="&amp;EOMONTH(DATE(YEAR(主页!$D$2),MONTH(主页!$D$2),1),0)),"")</f>
        <v/>
      </c>
    </row>
    <row r="1230" spans="1:10" x14ac:dyDescent="0.3">
      <c r="A1230" s="150"/>
      <c r="B1230" s="150"/>
      <c r="C1230" s="150"/>
      <c r="D1230" s="150"/>
      <c r="E1230" s="140" t="str">
        <f t="shared" si="58"/>
        <v/>
      </c>
      <c r="F1230" s="159"/>
      <c r="G1230" s="145">
        <f t="shared" si="60"/>
        <v>0</v>
      </c>
      <c r="H1230" s="140" t="str">
        <f t="shared" si="59"/>
        <v/>
      </c>
      <c r="I1230"/>
      <c r="J1230" s="147" t="str">
        <f>IFERROR(SUMIFS(当年实际!$V:$V,当年实际!$F:$F,$C1230,当年实际!$C:$C,"&gt;="&amp;DATE(YEAR(主页!$D$2),1,1),当年实际!$C:$C,"&lt;="&amp;EOMONTH(DATE(YEAR(主页!$D$2),MONTH(主页!$D$2),1),0))/SUMIFS(当年实际!$P:$P,当年实际!$F:$F,$C1230,当年实际!$C:$C,"&gt;="&amp;DATE(YEAR(主页!$D$2),1,1),当年实际!$C:$C,"&lt;="&amp;EOMONTH(DATE(YEAR(主页!$D$2),MONTH(主页!$D$2),1),0)),"")</f>
        <v/>
      </c>
    </row>
  </sheetData>
  <mergeCells count="3">
    <mergeCell ref="A1:A2"/>
    <mergeCell ref="B1:B2"/>
    <mergeCell ref="C1:C2"/>
  </mergeCells>
  <phoneticPr fontId="3" type="noConversion"/>
  <hyperlinks>
    <hyperlink ref="L1" location="主页!A1" display="主页!A1" xr:uid="{470ADEF3-8329-4180-9069-1D9C3C05887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6697-256B-4A7F-BF07-BA5A02A8423F}">
  <dimension ref="A1:K8"/>
  <sheetViews>
    <sheetView workbookViewId="0">
      <selection activeCell="B2" sqref="B2"/>
    </sheetView>
  </sheetViews>
  <sheetFormatPr defaultRowHeight="14" x14ac:dyDescent="0.3"/>
  <cols>
    <col min="7" max="7" width="11.6640625" bestFit="1" customWidth="1"/>
    <col min="8" max="8" width="16.08203125" bestFit="1" customWidth="1"/>
  </cols>
  <sheetData>
    <row r="1" spans="1:11" x14ac:dyDescent="0.3">
      <c r="A1" s="3" t="s">
        <v>19</v>
      </c>
      <c r="B1" s="2" t="s">
        <v>18</v>
      </c>
      <c r="C1" s="2" t="s">
        <v>17</v>
      </c>
      <c r="D1" s="2" t="s">
        <v>89</v>
      </c>
      <c r="E1" s="2" t="s">
        <v>162</v>
      </c>
      <c r="F1" s="2" t="s">
        <v>163</v>
      </c>
      <c r="G1" s="2" t="s">
        <v>165</v>
      </c>
      <c r="H1" s="2" t="s">
        <v>164</v>
      </c>
      <c r="I1" s="2" t="s">
        <v>166</v>
      </c>
      <c r="K1" s="121" t="s">
        <v>197</v>
      </c>
    </row>
    <row r="2" spans="1:11" x14ac:dyDescent="0.3">
      <c r="A2" t="s">
        <v>58</v>
      </c>
      <c r="B2" t="s">
        <v>61</v>
      </c>
      <c r="C2" t="s">
        <v>6</v>
      </c>
      <c r="D2" t="s">
        <v>91</v>
      </c>
      <c r="E2">
        <v>14</v>
      </c>
      <c r="I2" s="160">
        <f t="shared" ref="I2:I4" si="0">SUM(E2:H2)</f>
        <v>14</v>
      </c>
    </row>
    <row r="3" spans="1:11" x14ac:dyDescent="0.3">
      <c r="A3" t="s">
        <v>59</v>
      </c>
      <c r="B3" t="s">
        <v>62</v>
      </c>
      <c r="C3" t="s">
        <v>3</v>
      </c>
      <c r="D3" t="s">
        <v>93</v>
      </c>
      <c r="F3">
        <v>11</v>
      </c>
      <c r="G3">
        <v>1</v>
      </c>
      <c r="H3">
        <v>2</v>
      </c>
      <c r="I3" s="160">
        <f t="shared" si="0"/>
        <v>14</v>
      </c>
    </row>
    <row r="4" spans="1:11" x14ac:dyDescent="0.3">
      <c r="A4" t="s">
        <v>60</v>
      </c>
      <c r="B4" t="s">
        <v>63</v>
      </c>
      <c r="C4" t="s">
        <v>0</v>
      </c>
      <c r="D4" t="s">
        <v>93</v>
      </c>
      <c r="F4">
        <v>6</v>
      </c>
      <c r="G4">
        <v>1</v>
      </c>
      <c r="H4">
        <v>3</v>
      </c>
      <c r="I4" s="160">
        <f t="shared" si="0"/>
        <v>10</v>
      </c>
    </row>
    <row r="5" spans="1:11" x14ac:dyDescent="0.3">
      <c r="A5" t="s">
        <v>58</v>
      </c>
      <c r="B5" t="s">
        <v>61</v>
      </c>
      <c r="C5" t="s">
        <v>6</v>
      </c>
      <c r="D5" t="s">
        <v>93</v>
      </c>
      <c r="F5">
        <v>12</v>
      </c>
      <c r="G5">
        <v>2</v>
      </c>
      <c r="H5">
        <v>3</v>
      </c>
      <c r="I5" s="160">
        <f>SUM(E5:H5)</f>
        <v>17</v>
      </c>
    </row>
    <row r="6" spans="1:11" x14ac:dyDescent="0.3">
      <c r="A6" t="s">
        <v>59</v>
      </c>
      <c r="B6" t="s">
        <v>62</v>
      </c>
      <c r="C6" t="s">
        <v>3</v>
      </c>
      <c r="D6" t="s">
        <v>93</v>
      </c>
      <c r="F6">
        <v>7</v>
      </c>
      <c r="H6">
        <v>5</v>
      </c>
      <c r="I6" s="160">
        <f t="shared" ref="I6:I8" si="1">SUM(E6:H6)</f>
        <v>12</v>
      </c>
    </row>
    <row r="7" spans="1:11" x14ac:dyDescent="0.3">
      <c r="A7" t="s">
        <v>60</v>
      </c>
      <c r="B7" t="s">
        <v>63</v>
      </c>
      <c r="C7" t="s">
        <v>0</v>
      </c>
      <c r="D7" t="s">
        <v>93</v>
      </c>
      <c r="F7">
        <v>3</v>
      </c>
      <c r="G7">
        <v>2</v>
      </c>
      <c r="H7">
        <v>1</v>
      </c>
      <c r="I7" s="160">
        <f t="shared" si="1"/>
        <v>6</v>
      </c>
    </row>
    <row r="8" spans="1:11" x14ac:dyDescent="0.3">
      <c r="A8" t="s">
        <v>97</v>
      </c>
      <c r="B8" t="s">
        <v>99</v>
      </c>
      <c r="C8" t="s">
        <v>95</v>
      </c>
      <c r="D8" t="s">
        <v>101</v>
      </c>
      <c r="F8">
        <v>76</v>
      </c>
      <c r="G8">
        <v>30</v>
      </c>
      <c r="H8">
        <v>10</v>
      </c>
      <c r="I8" s="160">
        <f t="shared" si="1"/>
        <v>116</v>
      </c>
    </row>
  </sheetData>
  <phoneticPr fontId="3" type="noConversion"/>
  <hyperlinks>
    <hyperlink ref="K1" location="主页!A1" display="主页!A1" xr:uid="{675BE4C5-9EE2-43D3-A392-CAF382D9720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73C6-C60F-44EE-A905-0ADA8234CFA4}">
  <dimension ref="A1:O1200"/>
  <sheetViews>
    <sheetView showGridLines="0" workbookViewId="0">
      <selection activeCell="O1" sqref="O1"/>
    </sheetView>
  </sheetViews>
  <sheetFormatPr defaultRowHeight="14" x14ac:dyDescent="0.3"/>
  <cols>
    <col min="4" max="4" width="9.58203125" bestFit="1" customWidth="1"/>
    <col min="6" max="6" width="9.08203125" bestFit="1" customWidth="1"/>
    <col min="9" max="9" width="9.58203125" bestFit="1" customWidth="1"/>
    <col min="10" max="10" width="9.25" customWidth="1"/>
    <col min="11" max="11" width="9.58203125" bestFit="1" customWidth="1"/>
    <col min="12" max="12" width="10.58203125" bestFit="1" customWidth="1"/>
    <col min="14" max="14" width="3.33203125" customWidth="1"/>
  </cols>
  <sheetData>
    <row r="1" spans="1:15" x14ac:dyDescent="0.3">
      <c r="A1" s="3" t="s">
        <v>19</v>
      </c>
      <c r="B1" s="2" t="s">
        <v>18</v>
      </c>
      <c r="C1" s="2" t="s">
        <v>17</v>
      </c>
      <c r="D1" s="2" t="s">
        <v>89</v>
      </c>
      <c r="E1" s="2" t="s">
        <v>16</v>
      </c>
      <c r="F1" s="2" t="s">
        <v>13</v>
      </c>
      <c r="G1" s="2" t="s">
        <v>14</v>
      </c>
      <c r="H1" s="2" t="s">
        <v>167</v>
      </c>
      <c r="I1" s="2" t="s">
        <v>15</v>
      </c>
      <c r="J1" s="2" t="s">
        <v>12</v>
      </c>
      <c r="K1" s="2" t="s">
        <v>11</v>
      </c>
      <c r="L1" s="2" t="s">
        <v>10</v>
      </c>
      <c r="M1" s="2" t="s">
        <v>9</v>
      </c>
      <c r="O1" s="121" t="s">
        <v>197</v>
      </c>
    </row>
    <row r="2" spans="1:15" x14ac:dyDescent="0.3">
      <c r="A2" s="149" t="s">
        <v>58</v>
      </c>
      <c r="B2" s="149" t="s">
        <v>61</v>
      </c>
      <c r="C2" s="149" t="s">
        <v>6</v>
      </c>
      <c r="D2" s="149" t="s">
        <v>91</v>
      </c>
      <c r="E2" s="149">
        <v>280</v>
      </c>
      <c r="F2" s="149">
        <v>4800</v>
      </c>
      <c r="G2" s="162">
        <v>0.13</v>
      </c>
      <c r="H2" s="146">
        <f>IFERROR(F2/E2,"")</f>
        <v>17.142857142857142</v>
      </c>
      <c r="I2" s="161">
        <f>IFERROR(H2*(1+G2),"")</f>
        <v>19.37142857142857</v>
      </c>
      <c r="J2" s="160">
        <f>IFERROR(INDEX(下年标准成本!I:I,MATCH(C2,下年标准成本!C:C,0),1),"")</f>
        <v>14</v>
      </c>
      <c r="K2" s="146">
        <f>IFERROR(E2*J2,"")</f>
        <v>3920</v>
      </c>
      <c r="L2" s="146">
        <f>IFERROR(F2-K2,"")</f>
        <v>880</v>
      </c>
      <c r="M2" s="148">
        <f>IFERROR(L2/F2,"")</f>
        <v>0.18333333333333332</v>
      </c>
    </row>
    <row r="3" spans="1:15" x14ac:dyDescent="0.3">
      <c r="A3" s="149" t="s">
        <v>59</v>
      </c>
      <c r="B3" s="149" t="s">
        <v>62</v>
      </c>
      <c r="C3" s="149" t="s">
        <v>3</v>
      </c>
      <c r="D3" s="149" t="s">
        <v>93</v>
      </c>
      <c r="E3" s="149">
        <v>320</v>
      </c>
      <c r="F3" s="149">
        <v>5000</v>
      </c>
      <c r="G3" s="162">
        <v>0.13</v>
      </c>
      <c r="H3" s="146">
        <f t="shared" ref="H3:H7" si="0">IFERROR(F3/E3,"")</f>
        <v>15.625</v>
      </c>
      <c r="I3" s="161">
        <f t="shared" ref="I3:I8" si="1">IFERROR(H3*(1+G3),"")</f>
        <v>17.65625</v>
      </c>
      <c r="J3" s="160">
        <f>IFERROR(INDEX(下年标准成本!I:I,MATCH(C3,下年标准成本!C:C,0),1),"")</f>
        <v>14</v>
      </c>
      <c r="K3" s="146">
        <f t="shared" ref="K3:K8" si="2">IFERROR(E3*J3,"")</f>
        <v>4480</v>
      </c>
      <c r="L3" s="146">
        <f t="shared" ref="L3:L8" si="3">IFERROR(F3-K3,"")</f>
        <v>520</v>
      </c>
      <c r="M3" s="148">
        <f t="shared" ref="M3:M8" si="4">IFERROR(L3/F3,"")</f>
        <v>0.104</v>
      </c>
    </row>
    <row r="4" spans="1:15" x14ac:dyDescent="0.3">
      <c r="A4" s="149" t="s">
        <v>60</v>
      </c>
      <c r="B4" s="149" t="s">
        <v>63</v>
      </c>
      <c r="C4" s="149" t="s">
        <v>0</v>
      </c>
      <c r="D4" s="149" t="s">
        <v>93</v>
      </c>
      <c r="E4" s="149">
        <v>290</v>
      </c>
      <c r="F4" s="149">
        <v>3200</v>
      </c>
      <c r="G4" s="162">
        <v>0.13</v>
      </c>
      <c r="H4" s="146">
        <f t="shared" si="0"/>
        <v>11.03448275862069</v>
      </c>
      <c r="I4" s="161">
        <f t="shared" si="1"/>
        <v>12.468965517241379</v>
      </c>
      <c r="J4" s="160">
        <f>IFERROR(INDEX(下年标准成本!I:I,MATCH(C4,下年标准成本!C:C,0),1),"")</f>
        <v>10</v>
      </c>
      <c r="K4" s="146">
        <f t="shared" si="2"/>
        <v>2900</v>
      </c>
      <c r="L4" s="146">
        <f t="shared" si="3"/>
        <v>300</v>
      </c>
      <c r="M4" s="148">
        <f t="shared" si="4"/>
        <v>9.375E-2</v>
      </c>
    </row>
    <row r="5" spans="1:15" x14ac:dyDescent="0.3">
      <c r="A5" s="149" t="s">
        <v>58</v>
      </c>
      <c r="B5" s="149" t="s">
        <v>61</v>
      </c>
      <c r="C5" s="149" t="s">
        <v>6</v>
      </c>
      <c r="D5" s="149" t="s">
        <v>93</v>
      </c>
      <c r="E5" s="149">
        <v>240</v>
      </c>
      <c r="F5" s="149">
        <v>4000</v>
      </c>
      <c r="G5" s="162">
        <v>0.13</v>
      </c>
      <c r="H5" s="146">
        <f t="shared" si="0"/>
        <v>16.666666666666668</v>
      </c>
      <c r="I5" s="161">
        <f t="shared" si="1"/>
        <v>18.833333333333332</v>
      </c>
      <c r="J5" s="160">
        <f>IFERROR(INDEX(下年标准成本!I:I,MATCH(C5,下年标准成本!C:C,0),1),"")</f>
        <v>14</v>
      </c>
      <c r="K5" s="146">
        <f t="shared" si="2"/>
        <v>3360</v>
      </c>
      <c r="L5" s="146">
        <f t="shared" si="3"/>
        <v>640</v>
      </c>
      <c r="M5" s="148">
        <f t="shared" si="4"/>
        <v>0.16</v>
      </c>
    </row>
    <row r="6" spans="1:15" x14ac:dyDescent="0.3">
      <c r="A6" s="149" t="s">
        <v>59</v>
      </c>
      <c r="B6" s="149" t="s">
        <v>62</v>
      </c>
      <c r="C6" s="149" t="s">
        <v>3</v>
      </c>
      <c r="D6" s="149" t="s">
        <v>93</v>
      </c>
      <c r="E6" s="149">
        <v>320</v>
      </c>
      <c r="F6" s="149">
        <v>5000</v>
      </c>
      <c r="G6" s="162">
        <v>0.13</v>
      </c>
      <c r="H6" s="146">
        <f t="shared" si="0"/>
        <v>15.625</v>
      </c>
      <c r="I6" s="161">
        <f t="shared" si="1"/>
        <v>17.65625</v>
      </c>
      <c r="J6" s="160">
        <f>IFERROR(INDEX(下年标准成本!I:I,MATCH(C6,下年标准成本!C:C,0),1),"")</f>
        <v>14</v>
      </c>
      <c r="K6" s="146">
        <f t="shared" si="2"/>
        <v>4480</v>
      </c>
      <c r="L6" s="146">
        <f t="shared" si="3"/>
        <v>520</v>
      </c>
      <c r="M6" s="148">
        <f t="shared" si="4"/>
        <v>0.104</v>
      </c>
    </row>
    <row r="7" spans="1:15" x14ac:dyDescent="0.3">
      <c r="A7" s="149" t="s">
        <v>60</v>
      </c>
      <c r="B7" s="149" t="s">
        <v>63</v>
      </c>
      <c r="C7" s="149" t="s">
        <v>0</v>
      </c>
      <c r="D7" s="149" t="s">
        <v>93</v>
      </c>
      <c r="E7" s="149">
        <v>243</v>
      </c>
      <c r="F7" s="149">
        <v>2000</v>
      </c>
      <c r="G7" s="162">
        <v>0.13</v>
      </c>
      <c r="H7" s="146">
        <f t="shared" si="0"/>
        <v>8.2304526748971192</v>
      </c>
      <c r="I7" s="161">
        <f t="shared" si="1"/>
        <v>9.3004115226337429</v>
      </c>
      <c r="J7" s="160">
        <f>IFERROR(INDEX(下年标准成本!I:I,MATCH(C7,下年标准成本!C:C,0),1),"")</f>
        <v>10</v>
      </c>
      <c r="K7" s="146">
        <f t="shared" si="2"/>
        <v>2430</v>
      </c>
      <c r="L7" s="146">
        <f t="shared" si="3"/>
        <v>-430</v>
      </c>
      <c r="M7" s="148">
        <f t="shared" si="4"/>
        <v>-0.215</v>
      </c>
    </row>
    <row r="8" spans="1:15" x14ac:dyDescent="0.3">
      <c r="A8" s="149" t="s">
        <v>97</v>
      </c>
      <c r="B8" s="149" t="s">
        <v>99</v>
      </c>
      <c r="C8" s="149" t="s">
        <v>95</v>
      </c>
      <c r="D8" s="149" t="s">
        <v>101</v>
      </c>
      <c r="E8" s="149">
        <v>9</v>
      </c>
      <c r="F8" s="149">
        <v>2600</v>
      </c>
      <c r="G8" s="162">
        <v>0.06</v>
      </c>
      <c r="H8" s="146">
        <f>IFERROR(F8/E8,"")</f>
        <v>288.88888888888891</v>
      </c>
      <c r="I8" s="161">
        <f t="shared" si="1"/>
        <v>306.22222222222229</v>
      </c>
      <c r="J8" s="160">
        <f>IFERROR(INDEX(下年标准成本!I:I,MATCH(C8,下年标准成本!C:C,0),1),"")</f>
        <v>116</v>
      </c>
      <c r="K8" s="146">
        <f t="shared" si="2"/>
        <v>1044</v>
      </c>
      <c r="L8" s="146">
        <f t="shared" si="3"/>
        <v>1556</v>
      </c>
      <c r="M8" s="148">
        <f t="shared" si="4"/>
        <v>0.59846153846153849</v>
      </c>
    </row>
    <row r="9" spans="1:15" x14ac:dyDescent="0.3">
      <c r="A9" s="149"/>
      <c r="B9" s="149"/>
      <c r="C9" s="149"/>
      <c r="D9" s="149"/>
      <c r="E9" s="149"/>
      <c r="F9" s="149"/>
      <c r="G9" s="162"/>
      <c r="H9" s="146" t="str">
        <f t="shared" ref="H9" si="5">IFERROR(F9/E9,"")</f>
        <v/>
      </c>
      <c r="I9" s="161" t="str">
        <f t="shared" ref="I9" si="6">IFERROR(H9*(1+G9),"")</f>
        <v/>
      </c>
      <c r="J9" s="160" t="str">
        <f>IFERROR(INDEX(下年标准成本!I:I,MATCH(C9,下年标准成本!C:C,0),1),"")</f>
        <v/>
      </c>
      <c r="K9" s="146" t="str">
        <f t="shared" ref="K9" si="7">IFERROR(E9*J9,"")</f>
        <v/>
      </c>
      <c r="L9" s="146" t="str">
        <f t="shared" ref="L9" si="8">IFERROR(F9-K9,"")</f>
        <v/>
      </c>
      <c r="M9" s="148" t="str">
        <f t="shared" ref="M9" si="9">IFERROR(L9/F9,"")</f>
        <v/>
      </c>
    </row>
    <row r="10" spans="1:15" x14ac:dyDescent="0.3">
      <c r="A10" s="149"/>
      <c r="B10" s="149"/>
      <c r="C10" s="149"/>
      <c r="D10" s="149"/>
      <c r="E10" s="149"/>
      <c r="F10" s="149"/>
      <c r="G10" s="162"/>
      <c r="H10" s="146" t="str">
        <f t="shared" ref="H10:H73" si="10">IFERROR(F10/E10,"")</f>
        <v/>
      </c>
      <c r="I10" s="161" t="str">
        <f t="shared" ref="I10:I73" si="11">IFERROR(H10*(1+G10),"")</f>
        <v/>
      </c>
      <c r="J10" s="160" t="str">
        <f>IFERROR(INDEX(下年标准成本!I:I,MATCH(C10,下年标准成本!C:C,0),1),"")</f>
        <v/>
      </c>
      <c r="K10" s="146" t="str">
        <f t="shared" ref="K10:K73" si="12">IFERROR(E10*J10,"")</f>
        <v/>
      </c>
      <c r="L10" s="146" t="str">
        <f t="shared" ref="L10:L73" si="13">IFERROR(F10-K10,"")</f>
        <v/>
      </c>
      <c r="M10" s="148" t="str">
        <f t="shared" ref="M10:M73" si="14">IFERROR(L10/F10,"")</f>
        <v/>
      </c>
    </row>
    <row r="11" spans="1:15" x14ac:dyDescent="0.3">
      <c r="A11" s="149"/>
      <c r="B11" s="149"/>
      <c r="C11" s="149"/>
      <c r="D11" s="149"/>
      <c r="E11" s="149"/>
      <c r="F11" s="149"/>
      <c r="G11" s="162"/>
      <c r="H11" s="146" t="str">
        <f t="shared" si="10"/>
        <v/>
      </c>
      <c r="I11" s="161" t="str">
        <f t="shared" si="11"/>
        <v/>
      </c>
      <c r="J11" s="160" t="str">
        <f>IFERROR(INDEX(下年标准成本!I:I,MATCH(C11,下年标准成本!C:C,0),1),"")</f>
        <v/>
      </c>
      <c r="K11" s="146" t="str">
        <f t="shared" si="12"/>
        <v/>
      </c>
      <c r="L11" s="146" t="str">
        <f t="shared" si="13"/>
        <v/>
      </c>
      <c r="M11" s="148" t="str">
        <f t="shared" si="14"/>
        <v/>
      </c>
    </row>
    <row r="12" spans="1:15" x14ac:dyDescent="0.3">
      <c r="A12" s="149"/>
      <c r="B12" s="149"/>
      <c r="C12" s="149"/>
      <c r="D12" s="149"/>
      <c r="E12" s="149"/>
      <c r="F12" s="149"/>
      <c r="G12" s="162"/>
      <c r="H12" s="146" t="str">
        <f t="shared" si="10"/>
        <v/>
      </c>
      <c r="I12" s="161" t="str">
        <f t="shared" si="11"/>
        <v/>
      </c>
      <c r="J12" s="160" t="str">
        <f>IFERROR(INDEX(下年标准成本!I:I,MATCH(C12,下年标准成本!C:C,0),1),"")</f>
        <v/>
      </c>
      <c r="K12" s="146" t="str">
        <f t="shared" si="12"/>
        <v/>
      </c>
      <c r="L12" s="146" t="str">
        <f t="shared" si="13"/>
        <v/>
      </c>
      <c r="M12" s="148" t="str">
        <f t="shared" si="14"/>
        <v/>
      </c>
    </row>
    <row r="13" spans="1:15" x14ac:dyDescent="0.3">
      <c r="A13" s="149"/>
      <c r="B13" s="149"/>
      <c r="C13" s="149"/>
      <c r="D13" s="149"/>
      <c r="E13" s="149"/>
      <c r="F13" s="149"/>
      <c r="G13" s="162"/>
      <c r="H13" s="146" t="str">
        <f t="shared" si="10"/>
        <v/>
      </c>
      <c r="I13" s="161" t="str">
        <f t="shared" si="11"/>
        <v/>
      </c>
      <c r="J13" s="160" t="str">
        <f>IFERROR(INDEX(下年标准成本!I:I,MATCH(C13,下年标准成本!C:C,0),1),"")</f>
        <v/>
      </c>
      <c r="K13" s="146" t="str">
        <f t="shared" si="12"/>
        <v/>
      </c>
      <c r="L13" s="146" t="str">
        <f t="shared" si="13"/>
        <v/>
      </c>
      <c r="M13" s="148" t="str">
        <f t="shared" si="14"/>
        <v/>
      </c>
    </row>
    <row r="14" spans="1:15" x14ac:dyDescent="0.3">
      <c r="A14" s="149"/>
      <c r="B14" s="149"/>
      <c r="C14" s="149"/>
      <c r="D14" s="149"/>
      <c r="E14" s="149"/>
      <c r="F14" s="149"/>
      <c r="G14" s="162"/>
      <c r="H14" s="146" t="str">
        <f t="shared" si="10"/>
        <v/>
      </c>
      <c r="I14" s="161" t="str">
        <f t="shared" si="11"/>
        <v/>
      </c>
      <c r="J14" s="160" t="str">
        <f>IFERROR(INDEX(下年标准成本!I:I,MATCH(C14,下年标准成本!C:C,0),1),"")</f>
        <v/>
      </c>
      <c r="K14" s="146" t="str">
        <f t="shared" si="12"/>
        <v/>
      </c>
      <c r="L14" s="146" t="str">
        <f t="shared" si="13"/>
        <v/>
      </c>
      <c r="M14" s="148" t="str">
        <f t="shared" si="14"/>
        <v/>
      </c>
    </row>
    <row r="15" spans="1:15" x14ac:dyDescent="0.3">
      <c r="A15" s="149"/>
      <c r="B15" s="149"/>
      <c r="C15" s="149"/>
      <c r="D15" s="149"/>
      <c r="E15" s="149"/>
      <c r="F15" s="149"/>
      <c r="G15" s="162"/>
      <c r="H15" s="146" t="str">
        <f t="shared" si="10"/>
        <v/>
      </c>
      <c r="I15" s="161" t="str">
        <f t="shared" si="11"/>
        <v/>
      </c>
      <c r="J15" s="160" t="str">
        <f>IFERROR(INDEX(下年标准成本!I:I,MATCH(C15,下年标准成本!C:C,0),1),"")</f>
        <v/>
      </c>
      <c r="K15" s="146" t="str">
        <f t="shared" si="12"/>
        <v/>
      </c>
      <c r="L15" s="146" t="str">
        <f t="shared" si="13"/>
        <v/>
      </c>
      <c r="M15" s="148" t="str">
        <f t="shared" si="14"/>
        <v/>
      </c>
    </row>
    <row r="16" spans="1:15" x14ac:dyDescent="0.3">
      <c r="A16" s="149"/>
      <c r="B16" s="149"/>
      <c r="C16" s="149"/>
      <c r="D16" s="149"/>
      <c r="E16" s="149"/>
      <c r="F16" s="149"/>
      <c r="G16" s="162"/>
      <c r="H16" s="146" t="str">
        <f t="shared" si="10"/>
        <v/>
      </c>
      <c r="I16" s="161" t="str">
        <f t="shared" si="11"/>
        <v/>
      </c>
      <c r="J16" s="160" t="str">
        <f>IFERROR(INDEX(下年标准成本!I:I,MATCH(C16,下年标准成本!C:C,0),1),"")</f>
        <v/>
      </c>
      <c r="K16" s="146" t="str">
        <f t="shared" si="12"/>
        <v/>
      </c>
      <c r="L16" s="146" t="str">
        <f t="shared" si="13"/>
        <v/>
      </c>
      <c r="M16" s="148" t="str">
        <f t="shared" si="14"/>
        <v/>
      </c>
    </row>
    <row r="17" spans="1:13" x14ac:dyDescent="0.3">
      <c r="A17" s="149"/>
      <c r="B17" s="149"/>
      <c r="C17" s="149"/>
      <c r="D17" s="149"/>
      <c r="E17" s="149"/>
      <c r="F17" s="149"/>
      <c r="G17" s="162"/>
      <c r="H17" s="146" t="str">
        <f t="shared" si="10"/>
        <v/>
      </c>
      <c r="I17" s="161" t="str">
        <f t="shared" si="11"/>
        <v/>
      </c>
      <c r="J17" s="160" t="str">
        <f>IFERROR(INDEX(下年标准成本!I:I,MATCH(C17,下年标准成本!C:C,0),1),"")</f>
        <v/>
      </c>
      <c r="K17" s="146" t="str">
        <f t="shared" si="12"/>
        <v/>
      </c>
      <c r="L17" s="146" t="str">
        <f t="shared" si="13"/>
        <v/>
      </c>
      <c r="M17" s="148" t="str">
        <f t="shared" si="14"/>
        <v/>
      </c>
    </row>
    <row r="18" spans="1:13" x14ac:dyDescent="0.3">
      <c r="A18" s="149"/>
      <c r="B18" s="149"/>
      <c r="C18" s="149"/>
      <c r="D18" s="149"/>
      <c r="E18" s="149"/>
      <c r="F18" s="149"/>
      <c r="G18" s="162"/>
      <c r="H18" s="146" t="str">
        <f t="shared" si="10"/>
        <v/>
      </c>
      <c r="I18" s="161" t="str">
        <f t="shared" si="11"/>
        <v/>
      </c>
      <c r="J18" s="160" t="str">
        <f>IFERROR(INDEX(下年标准成本!I:I,MATCH(C18,下年标准成本!C:C,0),1),"")</f>
        <v/>
      </c>
      <c r="K18" s="146" t="str">
        <f t="shared" si="12"/>
        <v/>
      </c>
      <c r="L18" s="146" t="str">
        <f t="shared" si="13"/>
        <v/>
      </c>
      <c r="M18" s="148" t="str">
        <f t="shared" si="14"/>
        <v/>
      </c>
    </row>
    <row r="19" spans="1:13" x14ac:dyDescent="0.3">
      <c r="A19" s="149"/>
      <c r="B19" s="149"/>
      <c r="C19" s="149"/>
      <c r="D19" s="149"/>
      <c r="E19" s="149"/>
      <c r="F19" s="149"/>
      <c r="G19" s="162"/>
      <c r="H19" s="146" t="str">
        <f t="shared" si="10"/>
        <v/>
      </c>
      <c r="I19" s="161" t="str">
        <f t="shared" si="11"/>
        <v/>
      </c>
      <c r="J19" s="160" t="str">
        <f>IFERROR(INDEX(下年标准成本!I:I,MATCH(C19,下年标准成本!C:C,0),1),"")</f>
        <v/>
      </c>
      <c r="K19" s="146" t="str">
        <f t="shared" si="12"/>
        <v/>
      </c>
      <c r="L19" s="146" t="str">
        <f t="shared" si="13"/>
        <v/>
      </c>
      <c r="M19" s="148" t="str">
        <f t="shared" si="14"/>
        <v/>
      </c>
    </row>
    <row r="20" spans="1:13" x14ac:dyDescent="0.3">
      <c r="A20" s="149"/>
      <c r="B20" s="149"/>
      <c r="C20" s="149"/>
      <c r="D20" s="149"/>
      <c r="E20" s="149"/>
      <c r="F20" s="149"/>
      <c r="G20" s="162"/>
      <c r="H20" s="146" t="str">
        <f t="shared" si="10"/>
        <v/>
      </c>
      <c r="I20" s="161" t="str">
        <f t="shared" si="11"/>
        <v/>
      </c>
      <c r="J20" s="160" t="str">
        <f>IFERROR(INDEX(下年标准成本!I:I,MATCH(C20,下年标准成本!C:C,0),1),"")</f>
        <v/>
      </c>
      <c r="K20" s="146" t="str">
        <f t="shared" si="12"/>
        <v/>
      </c>
      <c r="L20" s="146" t="str">
        <f t="shared" si="13"/>
        <v/>
      </c>
      <c r="M20" s="148" t="str">
        <f t="shared" si="14"/>
        <v/>
      </c>
    </row>
    <row r="21" spans="1:13" x14ac:dyDescent="0.3">
      <c r="A21" s="149"/>
      <c r="B21" s="149"/>
      <c r="C21" s="149"/>
      <c r="D21" s="149"/>
      <c r="E21" s="149"/>
      <c r="F21" s="149"/>
      <c r="G21" s="162"/>
      <c r="H21" s="146" t="str">
        <f t="shared" si="10"/>
        <v/>
      </c>
      <c r="I21" s="161" t="str">
        <f t="shared" si="11"/>
        <v/>
      </c>
      <c r="J21" s="160" t="str">
        <f>IFERROR(INDEX(下年标准成本!I:I,MATCH(C21,下年标准成本!C:C,0),1),"")</f>
        <v/>
      </c>
      <c r="K21" s="146" t="str">
        <f t="shared" si="12"/>
        <v/>
      </c>
      <c r="L21" s="146" t="str">
        <f t="shared" si="13"/>
        <v/>
      </c>
      <c r="M21" s="148" t="str">
        <f t="shared" si="14"/>
        <v/>
      </c>
    </row>
    <row r="22" spans="1:13" x14ac:dyDescent="0.3">
      <c r="A22" s="149"/>
      <c r="B22" s="149"/>
      <c r="C22" s="149"/>
      <c r="D22" s="149"/>
      <c r="E22" s="149"/>
      <c r="F22" s="149"/>
      <c r="G22" s="162"/>
      <c r="H22" s="146" t="str">
        <f t="shared" si="10"/>
        <v/>
      </c>
      <c r="I22" s="161" t="str">
        <f t="shared" si="11"/>
        <v/>
      </c>
      <c r="J22" s="160" t="str">
        <f>IFERROR(INDEX(下年标准成本!I:I,MATCH(C22,下年标准成本!C:C,0),1),"")</f>
        <v/>
      </c>
      <c r="K22" s="146" t="str">
        <f t="shared" si="12"/>
        <v/>
      </c>
      <c r="L22" s="146" t="str">
        <f t="shared" si="13"/>
        <v/>
      </c>
      <c r="M22" s="148" t="str">
        <f t="shared" si="14"/>
        <v/>
      </c>
    </row>
    <row r="23" spans="1:13" x14ac:dyDescent="0.3">
      <c r="A23" s="149"/>
      <c r="B23" s="149"/>
      <c r="C23" s="149"/>
      <c r="D23" s="149"/>
      <c r="E23" s="149"/>
      <c r="F23" s="149"/>
      <c r="G23" s="162"/>
      <c r="H23" s="146" t="str">
        <f t="shared" si="10"/>
        <v/>
      </c>
      <c r="I23" s="161" t="str">
        <f t="shared" si="11"/>
        <v/>
      </c>
      <c r="J23" s="160" t="str">
        <f>IFERROR(INDEX(下年标准成本!I:I,MATCH(C23,下年标准成本!C:C,0),1),"")</f>
        <v/>
      </c>
      <c r="K23" s="146" t="str">
        <f t="shared" si="12"/>
        <v/>
      </c>
      <c r="L23" s="146" t="str">
        <f t="shared" si="13"/>
        <v/>
      </c>
      <c r="M23" s="148" t="str">
        <f t="shared" si="14"/>
        <v/>
      </c>
    </row>
    <row r="24" spans="1:13" x14ac:dyDescent="0.3">
      <c r="A24" s="149"/>
      <c r="B24" s="149"/>
      <c r="C24" s="149"/>
      <c r="D24" s="149"/>
      <c r="E24" s="149"/>
      <c r="F24" s="149"/>
      <c r="G24" s="162"/>
      <c r="H24" s="146" t="str">
        <f t="shared" si="10"/>
        <v/>
      </c>
      <c r="I24" s="161" t="str">
        <f t="shared" si="11"/>
        <v/>
      </c>
      <c r="J24" s="160" t="str">
        <f>IFERROR(INDEX(下年标准成本!I:I,MATCH(C24,下年标准成本!C:C,0),1),"")</f>
        <v/>
      </c>
      <c r="K24" s="146" t="str">
        <f t="shared" si="12"/>
        <v/>
      </c>
      <c r="L24" s="146" t="str">
        <f t="shared" si="13"/>
        <v/>
      </c>
      <c r="M24" s="148" t="str">
        <f t="shared" si="14"/>
        <v/>
      </c>
    </row>
    <row r="25" spans="1:13" x14ac:dyDescent="0.3">
      <c r="A25" s="149"/>
      <c r="B25" s="149"/>
      <c r="C25" s="149"/>
      <c r="D25" s="149"/>
      <c r="E25" s="149"/>
      <c r="F25" s="149"/>
      <c r="G25" s="162"/>
      <c r="H25" s="146" t="str">
        <f t="shared" si="10"/>
        <v/>
      </c>
      <c r="I25" s="161" t="str">
        <f t="shared" si="11"/>
        <v/>
      </c>
      <c r="J25" s="160" t="str">
        <f>IFERROR(INDEX(下年标准成本!I:I,MATCH(C25,下年标准成本!C:C,0),1),"")</f>
        <v/>
      </c>
      <c r="K25" s="146" t="str">
        <f t="shared" si="12"/>
        <v/>
      </c>
      <c r="L25" s="146" t="str">
        <f t="shared" si="13"/>
        <v/>
      </c>
      <c r="M25" s="148" t="str">
        <f t="shared" si="14"/>
        <v/>
      </c>
    </row>
    <row r="26" spans="1:13" x14ac:dyDescent="0.3">
      <c r="A26" s="149"/>
      <c r="B26" s="149"/>
      <c r="C26" s="149"/>
      <c r="D26" s="149"/>
      <c r="E26" s="149"/>
      <c r="F26" s="149"/>
      <c r="G26" s="162"/>
      <c r="H26" s="146" t="str">
        <f t="shared" si="10"/>
        <v/>
      </c>
      <c r="I26" s="161" t="str">
        <f t="shared" si="11"/>
        <v/>
      </c>
      <c r="J26" s="160" t="str">
        <f>IFERROR(INDEX(下年标准成本!I:I,MATCH(C26,下年标准成本!C:C,0),1),"")</f>
        <v/>
      </c>
      <c r="K26" s="146" t="str">
        <f t="shared" si="12"/>
        <v/>
      </c>
      <c r="L26" s="146" t="str">
        <f t="shared" si="13"/>
        <v/>
      </c>
      <c r="M26" s="148" t="str">
        <f t="shared" si="14"/>
        <v/>
      </c>
    </row>
    <row r="27" spans="1:13" x14ac:dyDescent="0.3">
      <c r="A27" s="149"/>
      <c r="B27" s="149"/>
      <c r="C27" s="149"/>
      <c r="D27" s="149"/>
      <c r="E27" s="149"/>
      <c r="F27" s="149"/>
      <c r="G27" s="162"/>
      <c r="H27" s="146" t="str">
        <f t="shared" si="10"/>
        <v/>
      </c>
      <c r="I27" s="161" t="str">
        <f t="shared" si="11"/>
        <v/>
      </c>
      <c r="J27" s="160" t="str">
        <f>IFERROR(INDEX(下年标准成本!I:I,MATCH(C27,下年标准成本!C:C,0),1),"")</f>
        <v/>
      </c>
      <c r="K27" s="146" t="str">
        <f t="shared" si="12"/>
        <v/>
      </c>
      <c r="L27" s="146" t="str">
        <f t="shared" si="13"/>
        <v/>
      </c>
      <c r="M27" s="148" t="str">
        <f t="shared" si="14"/>
        <v/>
      </c>
    </row>
    <row r="28" spans="1:13" x14ac:dyDescent="0.3">
      <c r="A28" s="149"/>
      <c r="B28" s="149"/>
      <c r="C28" s="149"/>
      <c r="D28" s="149"/>
      <c r="E28" s="149"/>
      <c r="F28" s="149"/>
      <c r="G28" s="162"/>
      <c r="H28" s="146" t="str">
        <f t="shared" si="10"/>
        <v/>
      </c>
      <c r="I28" s="161" t="str">
        <f t="shared" si="11"/>
        <v/>
      </c>
      <c r="J28" s="160" t="str">
        <f>IFERROR(INDEX(下年标准成本!I:I,MATCH(C28,下年标准成本!C:C,0),1),"")</f>
        <v/>
      </c>
      <c r="K28" s="146" t="str">
        <f t="shared" si="12"/>
        <v/>
      </c>
      <c r="L28" s="146" t="str">
        <f t="shared" si="13"/>
        <v/>
      </c>
      <c r="M28" s="148" t="str">
        <f t="shared" si="14"/>
        <v/>
      </c>
    </row>
    <row r="29" spans="1:13" x14ac:dyDescent="0.3">
      <c r="A29" s="149"/>
      <c r="B29" s="149"/>
      <c r="C29" s="149"/>
      <c r="D29" s="149"/>
      <c r="E29" s="149"/>
      <c r="F29" s="149"/>
      <c r="G29" s="162"/>
      <c r="H29" s="146" t="str">
        <f t="shared" si="10"/>
        <v/>
      </c>
      <c r="I29" s="161" t="str">
        <f t="shared" si="11"/>
        <v/>
      </c>
      <c r="J29" s="160" t="str">
        <f>IFERROR(INDEX(下年标准成本!I:I,MATCH(C29,下年标准成本!C:C,0),1),"")</f>
        <v/>
      </c>
      <c r="K29" s="146" t="str">
        <f t="shared" si="12"/>
        <v/>
      </c>
      <c r="L29" s="146" t="str">
        <f t="shared" si="13"/>
        <v/>
      </c>
      <c r="M29" s="148" t="str">
        <f t="shared" si="14"/>
        <v/>
      </c>
    </row>
    <row r="30" spans="1:13" x14ac:dyDescent="0.3">
      <c r="A30" s="149"/>
      <c r="B30" s="149"/>
      <c r="C30" s="149"/>
      <c r="D30" s="149"/>
      <c r="E30" s="149"/>
      <c r="F30" s="149"/>
      <c r="G30" s="162"/>
      <c r="H30" s="146" t="str">
        <f t="shared" si="10"/>
        <v/>
      </c>
      <c r="I30" s="161" t="str">
        <f t="shared" si="11"/>
        <v/>
      </c>
      <c r="J30" s="160" t="str">
        <f>IFERROR(INDEX(下年标准成本!I:I,MATCH(C30,下年标准成本!C:C,0),1),"")</f>
        <v/>
      </c>
      <c r="K30" s="146" t="str">
        <f t="shared" si="12"/>
        <v/>
      </c>
      <c r="L30" s="146" t="str">
        <f t="shared" si="13"/>
        <v/>
      </c>
      <c r="M30" s="148" t="str">
        <f t="shared" si="14"/>
        <v/>
      </c>
    </row>
    <row r="31" spans="1:13" x14ac:dyDescent="0.3">
      <c r="A31" s="149"/>
      <c r="B31" s="149"/>
      <c r="C31" s="149"/>
      <c r="D31" s="149"/>
      <c r="E31" s="149"/>
      <c r="F31" s="149"/>
      <c r="G31" s="162"/>
      <c r="H31" s="146" t="str">
        <f t="shared" si="10"/>
        <v/>
      </c>
      <c r="I31" s="161" t="str">
        <f t="shared" si="11"/>
        <v/>
      </c>
      <c r="J31" s="160" t="str">
        <f>IFERROR(INDEX(下年标准成本!I:I,MATCH(C31,下年标准成本!C:C,0),1),"")</f>
        <v/>
      </c>
      <c r="K31" s="146" t="str">
        <f t="shared" si="12"/>
        <v/>
      </c>
      <c r="L31" s="146" t="str">
        <f t="shared" si="13"/>
        <v/>
      </c>
      <c r="M31" s="148" t="str">
        <f t="shared" si="14"/>
        <v/>
      </c>
    </row>
    <row r="32" spans="1:13" x14ac:dyDescent="0.3">
      <c r="A32" s="149"/>
      <c r="B32" s="149"/>
      <c r="C32" s="149"/>
      <c r="D32" s="149"/>
      <c r="E32" s="149"/>
      <c r="F32" s="149"/>
      <c r="G32" s="162"/>
      <c r="H32" s="146" t="str">
        <f t="shared" si="10"/>
        <v/>
      </c>
      <c r="I32" s="161" t="str">
        <f t="shared" si="11"/>
        <v/>
      </c>
      <c r="J32" s="160" t="str">
        <f>IFERROR(INDEX(下年标准成本!I:I,MATCH(C32,下年标准成本!C:C,0),1),"")</f>
        <v/>
      </c>
      <c r="K32" s="146" t="str">
        <f t="shared" si="12"/>
        <v/>
      </c>
      <c r="L32" s="146" t="str">
        <f t="shared" si="13"/>
        <v/>
      </c>
      <c r="M32" s="148" t="str">
        <f t="shared" si="14"/>
        <v/>
      </c>
    </row>
    <row r="33" spans="1:13" x14ac:dyDescent="0.3">
      <c r="A33" s="149"/>
      <c r="B33" s="149"/>
      <c r="C33" s="149"/>
      <c r="D33" s="149"/>
      <c r="E33" s="149"/>
      <c r="F33" s="149"/>
      <c r="G33" s="162"/>
      <c r="H33" s="146" t="str">
        <f t="shared" si="10"/>
        <v/>
      </c>
      <c r="I33" s="161" t="str">
        <f t="shared" si="11"/>
        <v/>
      </c>
      <c r="J33" s="160" t="str">
        <f>IFERROR(INDEX(下年标准成本!I:I,MATCH(C33,下年标准成本!C:C,0),1),"")</f>
        <v/>
      </c>
      <c r="K33" s="146" t="str">
        <f t="shared" si="12"/>
        <v/>
      </c>
      <c r="L33" s="146" t="str">
        <f t="shared" si="13"/>
        <v/>
      </c>
      <c r="M33" s="148" t="str">
        <f t="shared" si="14"/>
        <v/>
      </c>
    </row>
    <row r="34" spans="1:13" x14ac:dyDescent="0.3">
      <c r="A34" s="149"/>
      <c r="B34" s="149"/>
      <c r="C34" s="149"/>
      <c r="D34" s="149"/>
      <c r="E34" s="149"/>
      <c r="F34" s="149"/>
      <c r="G34" s="162"/>
      <c r="H34" s="146" t="str">
        <f t="shared" si="10"/>
        <v/>
      </c>
      <c r="I34" s="161" t="str">
        <f t="shared" si="11"/>
        <v/>
      </c>
      <c r="J34" s="160" t="str">
        <f>IFERROR(INDEX(下年标准成本!I:I,MATCH(C34,下年标准成本!C:C,0),1),"")</f>
        <v/>
      </c>
      <c r="K34" s="146" t="str">
        <f t="shared" si="12"/>
        <v/>
      </c>
      <c r="L34" s="146" t="str">
        <f t="shared" si="13"/>
        <v/>
      </c>
      <c r="M34" s="148" t="str">
        <f t="shared" si="14"/>
        <v/>
      </c>
    </row>
    <row r="35" spans="1:13" x14ac:dyDescent="0.3">
      <c r="A35" s="149"/>
      <c r="B35" s="149"/>
      <c r="C35" s="149"/>
      <c r="D35" s="149"/>
      <c r="E35" s="149"/>
      <c r="F35" s="149"/>
      <c r="G35" s="162"/>
      <c r="H35" s="146" t="str">
        <f t="shared" si="10"/>
        <v/>
      </c>
      <c r="I35" s="161" t="str">
        <f t="shared" si="11"/>
        <v/>
      </c>
      <c r="J35" s="160" t="str">
        <f>IFERROR(INDEX(下年标准成本!I:I,MATCH(C35,下年标准成本!C:C,0),1),"")</f>
        <v/>
      </c>
      <c r="K35" s="146" t="str">
        <f t="shared" si="12"/>
        <v/>
      </c>
      <c r="L35" s="146" t="str">
        <f t="shared" si="13"/>
        <v/>
      </c>
      <c r="M35" s="148" t="str">
        <f t="shared" si="14"/>
        <v/>
      </c>
    </row>
    <row r="36" spans="1:13" x14ac:dyDescent="0.3">
      <c r="A36" s="149"/>
      <c r="B36" s="149"/>
      <c r="C36" s="149"/>
      <c r="D36" s="149"/>
      <c r="E36" s="149"/>
      <c r="F36" s="149"/>
      <c r="G36" s="162"/>
      <c r="H36" s="146" t="str">
        <f t="shared" si="10"/>
        <v/>
      </c>
      <c r="I36" s="161" t="str">
        <f t="shared" si="11"/>
        <v/>
      </c>
      <c r="J36" s="160" t="str">
        <f>IFERROR(INDEX(下年标准成本!I:I,MATCH(C36,下年标准成本!C:C,0),1),"")</f>
        <v/>
      </c>
      <c r="K36" s="146" t="str">
        <f t="shared" si="12"/>
        <v/>
      </c>
      <c r="L36" s="146" t="str">
        <f t="shared" si="13"/>
        <v/>
      </c>
      <c r="M36" s="148" t="str">
        <f t="shared" si="14"/>
        <v/>
      </c>
    </row>
    <row r="37" spans="1:13" x14ac:dyDescent="0.3">
      <c r="A37" s="149"/>
      <c r="B37" s="149"/>
      <c r="C37" s="149"/>
      <c r="D37" s="149"/>
      <c r="E37" s="149"/>
      <c r="F37" s="149"/>
      <c r="G37" s="162"/>
      <c r="H37" s="146" t="str">
        <f t="shared" si="10"/>
        <v/>
      </c>
      <c r="I37" s="161" t="str">
        <f t="shared" si="11"/>
        <v/>
      </c>
      <c r="J37" s="160" t="str">
        <f>IFERROR(INDEX(下年标准成本!I:I,MATCH(C37,下年标准成本!C:C,0),1),"")</f>
        <v/>
      </c>
      <c r="K37" s="146" t="str">
        <f t="shared" si="12"/>
        <v/>
      </c>
      <c r="L37" s="146" t="str">
        <f t="shared" si="13"/>
        <v/>
      </c>
      <c r="M37" s="148" t="str">
        <f t="shared" si="14"/>
        <v/>
      </c>
    </row>
    <row r="38" spans="1:13" x14ac:dyDescent="0.3">
      <c r="A38" s="149"/>
      <c r="B38" s="149"/>
      <c r="C38" s="149"/>
      <c r="D38" s="149"/>
      <c r="E38" s="149"/>
      <c r="F38" s="149"/>
      <c r="G38" s="162"/>
      <c r="H38" s="146" t="str">
        <f t="shared" si="10"/>
        <v/>
      </c>
      <c r="I38" s="161" t="str">
        <f t="shared" si="11"/>
        <v/>
      </c>
      <c r="J38" s="160" t="str">
        <f>IFERROR(INDEX(下年标准成本!I:I,MATCH(C38,下年标准成本!C:C,0),1),"")</f>
        <v/>
      </c>
      <c r="K38" s="146" t="str">
        <f t="shared" si="12"/>
        <v/>
      </c>
      <c r="L38" s="146" t="str">
        <f t="shared" si="13"/>
        <v/>
      </c>
      <c r="M38" s="148" t="str">
        <f t="shared" si="14"/>
        <v/>
      </c>
    </row>
    <row r="39" spans="1:13" x14ac:dyDescent="0.3">
      <c r="A39" s="149"/>
      <c r="B39" s="149"/>
      <c r="C39" s="149"/>
      <c r="D39" s="149"/>
      <c r="E39" s="149"/>
      <c r="F39" s="149"/>
      <c r="G39" s="162"/>
      <c r="H39" s="146" t="str">
        <f t="shared" si="10"/>
        <v/>
      </c>
      <c r="I39" s="161" t="str">
        <f t="shared" si="11"/>
        <v/>
      </c>
      <c r="J39" s="160" t="str">
        <f>IFERROR(INDEX(下年标准成本!I:I,MATCH(C39,下年标准成本!C:C,0),1),"")</f>
        <v/>
      </c>
      <c r="K39" s="146" t="str">
        <f t="shared" si="12"/>
        <v/>
      </c>
      <c r="L39" s="146" t="str">
        <f t="shared" si="13"/>
        <v/>
      </c>
      <c r="M39" s="148" t="str">
        <f t="shared" si="14"/>
        <v/>
      </c>
    </row>
    <row r="40" spans="1:13" x14ac:dyDescent="0.3">
      <c r="A40" s="149"/>
      <c r="B40" s="149"/>
      <c r="C40" s="149"/>
      <c r="D40" s="149"/>
      <c r="E40" s="149"/>
      <c r="F40" s="149"/>
      <c r="G40" s="162"/>
      <c r="H40" s="146" t="str">
        <f t="shared" si="10"/>
        <v/>
      </c>
      <c r="I40" s="161" t="str">
        <f t="shared" si="11"/>
        <v/>
      </c>
      <c r="J40" s="160" t="str">
        <f>IFERROR(INDEX(下年标准成本!I:I,MATCH(C40,下年标准成本!C:C,0),1),"")</f>
        <v/>
      </c>
      <c r="K40" s="146" t="str">
        <f t="shared" si="12"/>
        <v/>
      </c>
      <c r="L40" s="146" t="str">
        <f t="shared" si="13"/>
        <v/>
      </c>
      <c r="M40" s="148" t="str">
        <f t="shared" si="14"/>
        <v/>
      </c>
    </row>
    <row r="41" spans="1:13" x14ac:dyDescent="0.3">
      <c r="A41" s="149"/>
      <c r="B41" s="149"/>
      <c r="C41" s="149"/>
      <c r="D41" s="149"/>
      <c r="E41" s="149"/>
      <c r="F41" s="149"/>
      <c r="G41" s="162"/>
      <c r="H41" s="146" t="str">
        <f t="shared" si="10"/>
        <v/>
      </c>
      <c r="I41" s="161" t="str">
        <f t="shared" si="11"/>
        <v/>
      </c>
      <c r="J41" s="160" t="str">
        <f>IFERROR(INDEX(下年标准成本!I:I,MATCH(C41,下年标准成本!C:C,0),1),"")</f>
        <v/>
      </c>
      <c r="K41" s="146" t="str">
        <f t="shared" si="12"/>
        <v/>
      </c>
      <c r="L41" s="146" t="str">
        <f t="shared" si="13"/>
        <v/>
      </c>
      <c r="M41" s="148" t="str">
        <f t="shared" si="14"/>
        <v/>
      </c>
    </row>
    <row r="42" spans="1:13" x14ac:dyDescent="0.3">
      <c r="A42" s="149"/>
      <c r="B42" s="149"/>
      <c r="C42" s="149"/>
      <c r="D42" s="149"/>
      <c r="E42" s="149"/>
      <c r="F42" s="149"/>
      <c r="G42" s="162"/>
      <c r="H42" s="146" t="str">
        <f t="shared" si="10"/>
        <v/>
      </c>
      <c r="I42" s="161" t="str">
        <f t="shared" si="11"/>
        <v/>
      </c>
      <c r="J42" s="160" t="str">
        <f>IFERROR(INDEX(下年标准成本!I:I,MATCH(C42,下年标准成本!C:C,0),1),"")</f>
        <v/>
      </c>
      <c r="K42" s="146" t="str">
        <f t="shared" si="12"/>
        <v/>
      </c>
      <c r="L42" s="146" t="str">
        <f t="shared" si="13"/>
        <v/>
      </c>
      <c r="M42" s="148" t="str">
        <f t="shared" si="14"/>
        <v/>
      </c>
    </row>
    <row r="43" spans="1:13" x14ac:dyDescent="0.3">
      <c r="A43" s="149"/>
      <c r="B43" s="149"/>
      <c r="C43" s="149"/>
      <c r="D43" s="149"/>
      <c r="E43" s="149"/>
      <c r="F43" s="149"/>
      <c r="G43" s="162"/>
      <c r="H43" s="146" t="str">
        <f t="shared" si="10"/>
        <v/>
      </c>
      <c r="I43" s="161" t="str">
        <f t="shared" si="11"/>
        <v/>
      </c>
      <c r="J43" s="160" t="str">
        <f>IFERROR(INDEX(下年标准成本!I:I,MATCH(C43,下年标准成本!C:C,0),1),"")</f>
        <v/>
      </c>
      <c r="K43" s="146" t="str">
        <f t="shared" si="12"/>
        <v/>
      </c>
      <c r="L43" s="146" t="str">
        <f t="shared" si="13"/>
        <v/>
      </c>
      <c r="M43" s="148" t="str">
        <f t="shared" si="14"/>
        <v/>
      </c>
    </row>
    <row r="44" spans="1:13" x14ac:dyDescent="0.3">
      <c r="A44" s="149"/>
      <c r="B44" s="149"/>
      <c r="C44" s="149"/>
      <c r="D44" s="149"/>
      <c r="E44" s="149"/>
      <c r="F44" s="149"/>
      <c r="G44" s="162"/>
      <c r="H44" s="146" t="str">
        <f t="shared" si="10"/>
        <v/>
      </c>
      <c r="I44" s="161" t="str">
        <f t="shared" si="11"/>
        <v/>
      </c>
      <c r="J44" s="160" t="str">
        <f>IFERROR(INDEX(下年标准成本!I:I,MATCH(C44,下年标准成本!C:C,0),1),"")</f>
        <v/>
      </c>
      <c r="K44" s="146" t="str">
        <f t="shared" si="12"/>
        <v/>
      </c>
      <c r="L44" s="146" t="str">
        <f t="shared" si="13"/>
        <v/>
      </c>
      <c r="M44" s="148" t="str">
        <f t="shared" si="14"/>
        <v/>
      </c>
    </row>
    <row r="45" spans="1:13" x14ac:dyDescent="0.3">
      <c r="A45" s="149"/>
      <c r="B45" s="149"/>
      <c r="C45" s="149"/>
      <c r="D45" s="149"/>
      <c r="E45" s="149"/>
      <c r="F45" s="149"/>
      <c r="G45" s="162"/>
      <c r="H45" s="146" t="str">
        <f t="shared" si="10"/>
        <v/>
      </c>
      <c r="I45" s="161" t="str">
        <f t="shared" si="11"/>
        <v/>
      </c>
      <c r="J45" s="160" t="str">
        <f>IFERROR(INDEX(下年标准成本!I:I,MATCH(C45,下年标准成本!C:C,0),1),"")</f>
        <v/>
      </c>
      <c r="K45" s="146" t="str">
        <f t="shared" si="12"/>
        <v/>
      </c>
      <c r="L45" s="146" t="str">
        <f t="shared" si="13"/>
        <v/>
      </c>
      <c r="M45" s="148" t="str">
        <f t="shared" si="14"/>
        <v/>
      </c>
    </row>
    <row r="46" spans="1:13" x14ac:dyDescent="0.3">
      <c r="A46" s="149"/>
      <c r="B46" s="149"/>
      <c r="C46" s="149"/>
      <c r="D46" s="149"/>
      <c r="E46" s="149"/>
      <c r="F46" s="149"/>
      <c r="G46" s="162"/>
      <c r="H46" s="146" t="str">
        <f t="shared" si="10"/>
        <v/>
      </c>
      <c r="I46" s="161" t="str">
        <f t="shared" si="11"/>
        <v/>
      </c>
      <c r="J46" s="160" t="str">
        <f>IFERROR(INDEX(下年标准成本!I:I,MATCH(C46,下年标准成本!C:C,0),1),"")</f>
        <v/>
      </c>
      <c r="K46" s="146" t="str">
        <f t="shared" si="12"/>
        <v/>
      </c>
      <c r="L46" s="146" t="str">
        <f t="shared" si="13"/>
        <v/>
      </c>
      <c r="M46" s="148" t="str">
        <f t="shared" si="14"/>
        <v/>
      </c>
    </row>
    <row r="47" spans="1:13" x14ac:dyDescent="0.3">
      <c r="A47" s="149"/>
      <c r="B47" s="149"/>
      <c r="C47" s="149"/>
      <c r="D47" s="149"/>
      <c r="E47" s="149"/>
      <c r="F47" s="149"/>
      <c r="G47" s="162"/>
      <c r="H47" s="146" t="str">
        <f t="shared" si="10"/>
        <v/>
      </c>
      <c r="I47" s="161" t="str">
        <f t="shared" si="11"/>
        <v/>
      </c>
      <c r="J47" s="160" t="str">
        <f>IFERROR(INDEX(下年标准成本!I:I,MATCH(C47,下年标准成本!C:C,0),1),"")</f>
        <v/>
      </c>
      <c r="K47" s="146" t="str">
        <f t="shared" si="12"/>
        <v/>
      </c>
      <c r="L47" s="146" t="str">
        <f t="shared" si="13"/>
        <v/>
      </c>
      <c r="M47" s="148" t="str">
        <f t="shared" si="14"/>
        <v/>
      </c>
    </row>
    <row r="48" spans="1:13" x14ac:dyDescent="0.3">
      <c r="A48" s="149"/>
      <c r="B48" s="149"/>
      <c r="C48" s="149"/>
      <c r="D48" s="149"/>
      <c r="E48" s="149"/>
      <c r="F48" s="149"/>
      <c r="G48" s="162"/>
      <c r="H48" s="146" t="str">
        <f t="shared" si="10"/>
        <v/>
      </c>
      <c r="I48" s="161" t="str">
        <f t="shared" si="11"/>
        <v/>
      </c>
      <c r="J48" s="160" t="str">
        <f>IFERROR(INDEX(下年标准成本!I:I,MATCH(C48,下年标准成本!C:C,0),1),"")</f>
        <v/>
      </c>
      <c r="K48" s="146" t="str">
        <f t="shared" si="12"/>
        <v/>
      </c>
      <c r="L48" s="146" t="str">
        <f t="shared" si="13"/>
        <v/>
      </c>
      <c r="M48" s="148" t="str">
        <f t="shared" si="14"/>
        <v/>
      </c>
    </row>
    <row r="49" spans="1:13" x14ac:dyDescent="0.3">
      <c r="A49" s="149"/>
      <c r="B49" s="149"/>
      <c r="C49" s="149"/>
      <c r="D49" s="149"/>
      <c r="E49" s="149"/>
      <c r="F49" s="149"/>
      <c r="G49" s="162"/>
      <c r="H49" s="146" t="str">
        <f t="shared" si="10"/>
        <v/>
      </c>
      <c r="I49" s="161" t="str">
        <f t="shared" si="11"/>
        <v/>
      </c>
      <c r="J49" s="160" t="str">
        <f>IFERROR(INDEX(下年标准成本!I:I,MATCH(C49,下年标准成本!C:C,0),1),"")</f>
        <v/>
      </c>
      <c r="K49" s="146" t="str">
        <f t="shared" si="12"/>
        <v/>
      </c>
      <c r="L49" s="146" t="str">
        <f t="shared" si="13"/>
        <v/>
      </c>
      <c r="M49" s="148" t="str">
        <f t="shared" si="14"/>
        <v/>
      </c>
    </row>
    <row r="50" spans="1:13" x14ac:dyDescent="0.3">
      <c r="A50" s="149"/>
      <c r="B50" s="149"/>
      <c r="C50" s="149"/>
      <c r="D50" s="149"/>
      <c r="E50" s="149"/>
      <c r="F50" s="149"/>
      <c r="G50" s="162"/>
      <c r="H50" s="146" t="str">
        <f t="shared" si="10"/>
        <v/>
      </c>
      <c r="I50" s="161" t="str">
        <f t="shared" si="11"/>
        <v/>
      </c>
      <c r="J50" s="160" t="str">
        <f>IFERROR(INDEX(下年标准成本!I:I,MATCH(C50,下年标准成本!C:C,0),1),"")</f>
        <v/>
      </c>
      <c r="K50" s="146" t="str">
        <f t="shared" si="12"/>
        <v/>
      </c>
      <c r="L50" s="146" t="str">
        <f t="shared" si="13"/>
        <v/>
      </c>
      <c r="M50" s="148" t="str">
        <f t="shared" si="14"/>
        <v/>
      </c>
    </row>
    <row r="51" spans="1:13" x14ac:dyDescent="0.3">
      <c r="A51" s="149"/>
      <c r="B51" s="149"/>
      <c r="C51" s="149"/>
      <c r="D51" s="149"/>
      <c r="E51" s="149"/>
      <c r="F51" s="149"/>
      <c r="G51" s="162"/>
      <c r="H51" s="146" t="str">
        <f t="shared" si="10"/>
        <v/>
      </c>
      <c r="I51" s="161" t="str">
        <f t="shared" si="11"/>
        <v/>
      </c>
      <c r="J51" s="160" t="str">
        <f>IFERROR(INDEX(下年标准成本!I:I,MATCH(C51,下年标准成本!C:C,0),1),"")</f>
        <v/>
      </c>
      <c r="K51" s="146" t="str">
        <f t="shared" si="12"/>
        <v/>
      </c>
      <c r="L51" s="146" t="str">
        <f t="shared" si="13"/>
        <v/>
      </c>
      <c r="M51" s="148" t="str">
        <f t="shared" si="14"/>
        <v/>
      </c>
    </row>
    <row r="52" spans="1:13" x14ac:dyDescent="0.3">
      <c r="A52" s="149"/>
      <c r="B52" s="149"/>
      <c r="C52" s="149"/>
      <c r="D52" s="149"/>
      <c r="E52" s="149"/>
      <c r="F52" s="149"/>
      <c r="G52" s="162"/>
      <c r="H52" s="146" t="str">
        <f t="shared" si="10"/>
        <v/>
      </c>
      <c r="I52" s="161" t="str">
        <f t="shared" si="11"/>
        <v/>
      </c>
      <c r="J52" s="160" t="str">
        <f>IFERROR(INDEX(下年标准成本!I:I,MATCH(C52,下年标准成本!C:C,0),1),"")</f>
        <v/>
      </c>
      <c r="K52" s="146" t="str">
        <f t="shared" si="12"/>
        <v/>
      </c>
      <c r="L52" s="146" t="str">
        <f t="shared" si="13"/>
        <v/>
      </c>
      <c r="M52" s="148" t="str">
        <f t="shared" si="14"/>
        <v/>
      </c>
    </row>
    <row r="53" spans="1:13" x14ac:dyDescent="0.3">
      <c r="A53" s="149"/>
      <c r="B53" s="149"/>
      <c r="C53" s="149"/>
      <c r="D53" s="149"/>
      <c r="E53" s="149"/>
      <c r="F53" s="149"/>
      <c r="G53" s="162"/>
      <c r="H53" s="146" t="str">
        <f t="shared" si="10"/>
        <v/>
      </c>
      <c r="I53" s="161" t="str">
        <f t="shared" si="11"/>
        <v/>
      </c>
      <c r="J53" s="160" t="str">
        <f>IFERROR(INDEX(下年标准成本!I:I,MATCH(C53,下年标准成本!C:C,0),1),"")</f>
        <v/>
      </c>
      <c r="K53" s="146" t="str">
        <f t="shared" si="12"/>
        <v/>
      </c>
      <c r="L53" s="146" t="str">
        <f t="shared" si="13"/>
        <v/>
      </c>
      <c r="M53" s="148" t="str">
        <f t="shared" si="14"/>
        <v/>
      </c>
    </row>
    <row r="54" spans="1:13" x14ac:dyDescent="0.3">
      <c r="A54" s="149"/>
      <c r="B54" s="149"/>
      <c r="C54" s="149"/>
      <c r="D54" s="149"/>
      <c r="E54" s="149"/>
      <c r="F54" s="149"/>
      <c r="G54" s="162"/>
      <c r="H54" s="146" t="str">
        <f t="shared" si="10"/>
        <v/>
      </c>
      <c r="I54" s="161" t="str">
        <f t="shared" si="11"/>
        <v/>
      </c>
      <c r="J54" s="160" t="str">
        <f>IFERROR(INDEX(下年标准成本!I:I,MATCH(C54,下年标准成本!C:C,0),1),"")</f>
        <v/>
      </c>
      <c r="K54" s="146" t="str">
        <f t="shared" si="12"/>
        <v/>
      </c>
      <c r="L54" s="146" t="str">
        <f t="shared" si="13"/>
        <v/>
      </c>
      <c r="M54" s="148" t="str">
        <f t="shared" si="14"/>
        <v/>
      </c>
    </row>
    <row r="55" spans="1:13" x14ac:dyDescent="0.3">
      <c r="A55" s="149"/>
      <c r="B55" s="149"/>
      <c r="C55" s="149"/>
      <c r="D55" s="149"/>
      <c r="E55" s="149"/>
      <c r="F55" s="149"/>
      <c r="G55" s="162"/>
      <c r="H55" s="146" t="str">
        <f t="shared" si="10"/>
        <v/>
      </c>
      <c r="I55" s="161" t="str">
        <f t="shared" si="11"/>
        <v/>
      </c>
      <c r="J55" s="160" t="str">
        <f>IFERROR(INDEX(下年标准成本!I:I,MATCH(C55,下年标准成本!C:C,0),1),"")</f>
        <v/>
      </c>
      <c r="K55" s="146" t="str">
        <f t="shared" si="12"/>
        <v/>
      </c>
      <c r="L55" s="146" t="str">
        <f t="shared" si="13"/>
        <v/>
      </c>
      <c r="M55" s="148" t="str">
        <f t="shared" si="14"/>
        <v/>
      </c>
    </row>
    <row r="56" spans="1:13" x14ac:dyDescent="0.3">
      <c r="A56" s="149"/>
      <c r="B56" s="149"/>
      <c r="C56" s="149"/>
      <c r="D56" s="149"/>
      <c r="E56" s="149"/>
      <c r="F56" s="149"/>
      <c r="G56" s="162"/>
      <c r="H56" s="146" t="str">
        <f t="shared" si="10"/>
        <v/>
      </c>
      <c r="I56" s="161" t="str">
        <f t="shared" si="11"/>
        <v/>
      </c>
      <c r="J56" s="160" t="str">
        <f>IFERROR(INDEX(下年标准成本!I:I,MATCH(C56,下年标准成本!C:C,0),1),"")</f>
        <v/>
      </c>
      <c r="K56" s="146" t="str">
        <f t="shared" si="12"/>
        <v/>
      </c>
      <c r="L56" s="146" t="str">
        <f t="shared" si="13"/>
        <v/>
      </c>
      <c r="M56" s="148" t="str">
        <f t="shared" si="14"/>
        <v/>
      </c>
    </row>
    <row r="57" spans="1:13" x14ac:dyDescent="0.3">
      <c r="A57" s="149"/>
      <c r="B57" s="149"/>
      <c r="C57" s="149"/>
      <c r="D57" s="149"/>
      <c r="E57" s="149"/>
      <c r="F57" s="149"/>
      <c r="G57" s="162"/>
      <c r="H57" s="146" t="str">
        <f t="shared" si="10"/>
        <v/>
      </c>
      <c r="I57" s="161" t="str">
        <f t="shared" si="11"/>
        <v/>
      </c>
      <c r="J57" s="160" t="str">
        <f>IFERROR(INDEX(下年标准成本!I:I,MATCH(C57,下年标准成本!C:C,0),1),"")</f>
        <v/>
      </c>
      <c r="K57" s="146" t="str">
        <f t="shared" si="12"/>
        <v/>
      </c>
      <c r="L57" s="146" t="str">
        <f t="shared" si="13"/>
        <v/>
      </c>
      <c r="M57" s="148" t="str">
        <f t="shared" si="14"/>
        <v/>
      </c>
    </row>
    <row r="58" spans="1:13" x14ac:dyDescent="0.3">
      <c r="A58" s="149"/>
      <c r="B58" s="149"/>
      <c r="C58" s="149"/>
      <c r="D58" s="149"/>
      <c r="E58" s="149"/>
      <c r="F58" s="149"/>
      <c r="G58" s="162"/>
      <c r="H58" s="146" t="str">
        <f t="shared" si="10"/>
        <v/>
      </c>
      <c r="I58" s="161" t="str">
        <f t="shared" si="11"/>
        <v/>
      </c>
      <c r="J58" s="160" t="str">
        <f>IFERROR(INDEX(下年标准成本!I:I,MATCH(C58,下年标准成本!C:C,0),1),"")</f>
        <v/>
      </c>
      <c r="K58" s="146" t="str">
        <f t="shared" si="12"/>
        <v/>
      </c>
      <c r="L58" s="146" t="str">
        <f t="shared" si="13"/>
        <v/>
      </c>
      <c r="M58" s="148" t="str">
        <f t="shared" si="14"/>
        <v/>
      </c>
    </row>
    <row r="59" spans="1:13" x14ac:dyDescent="0.3">
      <c r="A59" s="149"/>
      <c r="B59" s="149"/>
      <c r="C59" s="149"/>
      <c r="D59" s="149"/>
      <c r="E59" s="149"/>
      <c r="F59" s="149"/>
      <c r="G59" s="162"/>
      <c r="H59" s="146" t="str">
        <f t="shared" si="10"/>
        <v/>
      </c>
      <c r="I59" s="161" t="str">
        <f t="shared" si="11"/>
        <v/>
      </c>
      <c r="J59" s="160" t="str">
        <f>IFERROR(INDEX(下年标准成本!I:I,MATCH(C59,下年标准成本!C:C,0),1),"")</f>
        <v/>
      </c>
      <c r="K59" s="146" t="str">
        <f t="shared" si="12"/>
        <v/>
      </c>
      <c r="L59" s="146" t="str">
        <f t="shared" si="13"/>
        <v/>
      </c>
      <c r="M59" s="148" t="str">
        <f t="shared" si="14"/>
        <v/>
      </c>
    </row>
    <row r="60" spans="1:13" x14ac:dyDescent="0.3">
      <c r="A60" s="149"/>
      <c r="B60" s="149"/>
      <c r="C60" s="149"/>
      <c r="D60" s="149"/>
      <c r="E60" s="149"/>
      <c r="F60" s="149"/>
      <c r="G60" s="162"/>
      <c r="H60" s="146" t="str">
        <f t="shared" si="10"/>
        <v/>
      </c>
      <c r="I60" s="161" t="str">
        <f t="shared" si="11"/>
        <v/>
      </c>
      <c r="J60" s="160" t="str">
        <f>IFERROR(INDEX(下年标准成本!I:I,MATCH(C60,下年标准成本!C:C,0),1),"")</f>
        <v/>
      </c>
      <c r="K60" s="146" t="str">
        <f t="shared" si="12"/>
        <v/>
      </c>
      <c r="L60" s="146" t="str">
        <f t="shared" si="13"/>
        <v/>
      </c>
      <c r="M60" s="148" t="str">
        <f t="shared" si="14"/>
        <v/>
      </c>
    </row>
    <row r="61" spans="1:13" x14ac:dyDescent="0.3">
      <c r="A61" s="149"/>
      <c r="B61" s="149"/>
      <c r="C61" s="149"/>
      <c r="D61" s="149"/>
      <c r="E61" s="149"/>
      <c r="F61" s="149"/>
      <c r="G61" s="162"/>
      <c r="H61" s="146" t="str">
        <f t="shared" si="10"/>
        <v/>
      </c>
      <c r="I61" s="161" t="str">
        <f t="shared" si="11"/>
        <v/>
      </c>
      <c r="J61" s="160" t="str">
        <f>IFERROR(INDEX(下年标准成本!I:I,MATCH(C61,下年标准成本!C:C,0),1),"")</f>
        <v/>
      </c>
      <c r="K61" s="146" t="str">
        <f t="shared" si="12"/>
        <v/>
      </c>
      <c r="L61" s="146" t="str">
        <f t="shared" si="13"/>
        <v/>
      </c>
      <c r="M61" s="148" t="str">
        <f t="shared" si="14"/>
        <v/>
      </c>
    </row>
    <row r="62" spans="1:13" x14ac:dyDescent="0.3">
      <c r="A62" s="149"/>
      <c r="B62" s="149"/>
      <c r="C62" s="149"/>
      <c r="D62" s="149"/>
      <c r="E62" s="149"/>
      <c r="F62" s="149"/>
      <c r="G62" s="162"/>
      <c r="H62" s="146" t="str">
        <f t="shared" si="10"/>
        <v/>
      </c>
      <c r="I62" s="161" t="str">
        <f t="shared" si="11"/>
        <v/>
      </c>
      <c r="J62" s="160" t="str">
        <f>IFERROR(INDEX(下年标准成本!I:I,MATCH(C62,下年标准成本!C:C,0),1),"")</f>
        <v/>
      </c>
      <c r="K62" s="146" t="str">
        <f t="shared" si="12"/>
        <v/>
      </c>
      <c r="L62" s="146" t="str">
        <f t="shared" si="13"/>
        <v/>
      </c>
      <c r="M62" s="148" t="str">
        <f t="shared" si="14"/>
        <v/>
      </c>
    </row>
    <row r="63" spans="1:13" x14ac:dyDescent="0.3">
      <c r="A63" s="149"/>
      <c r="B63" s="149"/>
      <c r="C63" s="149"/>
      <c r="D63" s="149"/>
      <c r="E63" s="149"/>
      <c r="F63" s="149"/>
      <c r="G63" s="162"/>
      <c r="H63" s="146" t="str">
        <f t="shared" si="10"/>
        <v/>
      </c>
      <c r="I63" s="161" t="str">
        <f t="shared" si="11"/>
        <v/>
      </c>
      <c r="J63" s="160" t="str">
        <f>IFERROR(INDEX(下年标准成本!I:I,MATCH(C63,下年标准成本!C:C,0),1),"")</f>
        <v/>
      </c>
      <c r="K63" s="146" t="str">
        <f t="shared" si="12"/>
        <v/>
      </c>
      <c r="L63" s="146" t="str">
        <f t="shared" si="13"/>
        <v/>
      </c>
      <c r="M63" s="148" t="str">
        <f t="shared" si="14"/>
        <v/>
      </c>
    </row>
    <row r="64" spans="1:13" x14ac:dyDescent="0.3">
      <c r="A64" s="149"/>
      <c r="B64" s="149"/>
      <c r="C64" s="149"/>
      <c r="D64" s="149"/>
      <c r="E64" s="149"/>
      <c r="F64" s="149"/>
      <c r="G64" s="162"/>
      <c r="H64" s="146" t="str">
        <f t="shared" si="10"/>
        <v/>
      </c>
      <c r="I64" s="161" t="str">
        <f t="shared" si="11"/>
        <v/>
      </c>
      <c r="J64" s="160" t="str">
        <f>IFERROR(INDEX(下年标准成本!I:I,MATCH(C64,下年标准成本!C:C,0),1),"")</f>
        <v/>
      </c>
      <c r="K64" s="146" t="str">
        <f t="shared" si="12"/>
        <v/>
      </c>
      <c r="L64" s="146" t="str">
        <f t="shared" si="13"/>
        <v/>
      </c>
      <c r="M64" s="148" t="str">
        <f t="shared" si="14"/>
        <v/>
      </c>
    </row>
    <row r="65" spans="1:13" x14ac:dyDescent="0.3">
      <c r="A65" s="149"/>
      <c r="B65" s="149"/>
      <c r="C65" s="149"/>
      <c r="D65" s="149"/>
      <c r="E65" s="149"/>
      <c r="F65" s="149"/>
      <c r="G65" s="162"/>
      <c r="H65" s="146" t="str">
        <f t="shared" si="10"/>
        <v/>
      </c>
      <c r="I65" s="161" t="str">
        <f t="shared" si="11"/>
        <v/>
      </c>
      <c r="J65" s="160" t="str">
        <f>IFERROR(INDEX(下年标准成本!I:I,MATCH(C65,下年标准成本!C:C,0),1),"")</f>
        <v/>
      </c>
      <c r="K65" s="146" t="str">
        <f t="shared" si="12"/>
        <v/>
      </c>
      <c r="L65" s="146" t="str">
        <f t="shared" si="13"/>
        <v/>
      </c>
      <c r="M65" s="148" t="str">
        <f t="shared" si="14"/>
        <v/>
      </c>
    </row>
    <row r="66" spans="1:13" x14ac:dyDescent="0.3">
      <c r="A66" s="149"/>
      <c r="B66" s="149"/>
      <c r="C66" s="149"/>
      <c r="D66" s="149"/>
      <c r="E66" s="149"/>
      <c r="F66" s="149"/>
      <c r="G66" s="162"/>
      <c r="H66" s="146" t="str">
        <f t="shared" si="10"/>
        <v/>
      </c>
      <c r="I66" s="161" t="str">
        <f t="shared" si="11"/>
        <v/>
      </c>
      <c r="J66" s="160" t="str">
        <f>IFERROR(INDEX(下年标准成本!I:I,MATCH(C66,下年标准成本!C:C,0),1),"")</f>
        <v/>
      </c>
      <c r="K66" s="146" t="str">
        <f t="shared" si="12"/>
        <v/>
      </c>
      <c r="L66" s="146" t="str">
        <f t="shared" si="13"/>
        <v/>
      </c>
      <c r="M66" s="148" t="str">
        <f t="shared" si="14"/>
        <v/>
      </c>
    </row>
    <row r="67" spans="1:13" x14ac:dyDescent="0.3">
      <c r="A67" s="149"/>
      <c r="B67" s="149"/>
      <c r="C67" s="149"/>
      <c r="D67" s="149"/>
      <c r="E67" s="149"/>
      <c r="F67" s="149"/>
      <c r="G67" s="162"/>
      <c r="H67" s="146" t="str">
        <f t="shared" si="10"/>
        <v/>
      </c>
      <c r="I67" s="161" t="str">
        <f t="shared" si="11"/>
        <v/>
      </c>
      <c r="J67" s="160" t="str">
        <f>IFERROR(INDEX(下年标准成本!I:I,MATCH(C67,下年标准成本!C:C,0),1),"")</f>
        <v/>
      </c>
      <c r="K67" s="146" t="str">
        <f t="shared" si="12"/>
        <v/>
      </c>
      <c r="L67" s="146" t="str">
        <f t="shared" si="13"/>
        <v/>
      </c>
      <c r="M67" s="148" t="str">
        <f t="shared" si="14"/>
        <v/>
      </c>
    </row>
    <row r="68" spans="1:13" x14ac:dyDescent="0.3">
      <c r="A68" s="149"/>
      <c r="B68" s="149"/>
      <c r="C68" s="149"/>
      <c r="D68" s="149"/>
      <c r="E68" s="149"/>
      <c r="F68" s="149"/>
      <c r="G68" s="162"/>
      <c r="H68" s="146" t="str">
        <f t="shared" si="10"/>
        <v/>
      </c>
      <c r="I68" s="161" t="str">
        <f t="shared" si="11"/>
        <v/>
      </c>
      <c r="J68" s="160" t="str">
        <f>IFERROR(INDEX(下年标准成本!I:I,MATCH(C68,下年标准成本!C:C,0),1),"")</f>
        <v/>
      </c>
      <c r="K68" s="146" t="str">
        <f t="shared" si="12"/>
        <v/>
      </c>
      <c r="L68" s="146" t="str">
        <f t="shared" si="13"/>
        <v/>
      </c>
      <c r="M68" s="148" t="str">
        <f t="shared" si="14"/>
        <v/>
      </c>
    </row>
    <row r="69" spans="1:13" x14ac:dyDescent="0.3">
      <c r="A69" s="149"/>
      <c r="B69" s="149"/>
      <c r="C69" s="149"/>
      <c r="D69" s="149"/>
      <c r="E69" s="149"/>
      <c r="F69" s="149"/>
      <c r="G69" s="162"/>
      <c r="H69" s="146" t="str">
        <f t="shared" si="10"/>
        <v/>
      </c>
      <c r="I69" s="161" t="str">
        <f t="shared" si="11"/>
        <v/>
      </c>
      <c r="J69" s="160" t="str">
        <f>IFERROR(INDEX(下年标准成本!I:I,MATCH(C69,下年标准成本!C:C,0),1),"")</f>
        <v/>
      </c>
      <c r="K69" s="146" t="str">
        <f t="shared" si="12"/>
        <v/>
      </c>
      <c r="L69" s="146" t="str">
        <f t="shared" si="13"/>
        <v/>
      </c>
      <c r="M69" s="148" t="str">
        <f t="shared" si="14"/>
        <v/>
      </c>
    </row>
    <row r="70" spans="1:13" x14ac:dyDescent="0.3">
      <c r="A70" s="149"/>
      <c r="B70" s="149"/>
      <c r="C70" s="149"/>
      <c r="D70" s="149"/>
      <c r="E70" s="149"/>
      <c r="F70" s="149"/>
      <c r="G70" s="162"/>
      <c r="H70" s="146" t="str">
        <f t="shared" si="10"/>
        <v/>
      </c>
      <c r="I70" s="161" t="str">
        <f t="shared" si="11"/>
        <v/>
      </c>
      <c r="J70" s="160" t="str">
        <f>IFERROR(INDEX(下年标准成本!I:I,MATCH(C70,下年标准成本!C:C,0),1),"")</f>
        <v/>
      </c>
      <c r="K70" s="146" t="str">
        <f t="shared" si="12"/>
        <v/>
      </c>
      <c r="L70" s="146" t="str">
        <f t="shared" si="13"/>
        <v/>
      </c>
      <c r="M70" s="148" t="str">
        <f t="shared" si="14"/>
        <v/>
      </c>
    </row>
    <row r="71" spans="1:13" x14ac:dyDescent="0.3">
      <c r="A71" s="149"/>
      <c r="B71" s="149"/>
      <c r="C71" s="149"/>
      <c r="D71" s="149"/>
      <c r="E71" s="149"/>
      <c r="F71" s="149"/>
      <c r="G71" s="162"/>
      <c r="H71" s="146" t="str">
        <f t="shared" si="10"/>
        <v/>
      </c>
      <c r="I71" s="161" t="str">
        <f t="shared" si="11"/>
        <v/>
      </c>
      <c r="J71" s="160" t="str">
        <f>IFERROR(INDEX(下年标准成本!I:I,MATCH(C71,下年标准成本!C:C,0),1),"")</f>
        <v/>
      </c>
      <c r="K71" s="146" t="str">
        <f t="shared" si="12"/>
        <v/>
      </c>
      <c r="L71" s="146" t="str">
        <f t="shared" si="13"/>
        <v/>
      </c>
      <c r="M71" s="148" t="str">
        <f t="shared" si="14"/>
        <v/>
      </c>
    </row>
    <row r="72" spans="1:13" x14ac:dyDescent="0.3">
      <c r="A72" s="149"/>
      <c r="B72" s="149"/>
      <c r="C72" s="149"/>
      <c r="D72" s="149"/>
      <c r="E72" s="149"/>
      <c r="F72" s="149"/>
      <c r="G72" s="162"/>
      <c r="H72" s="146" t="str">
        <f t="shared" si="10"/>
        <v/>
      </c>
      <c r="I72" s="161" t="str">
        <f t="shared" si="11"/>
        <v/>
      </c>
      <c r="J72" s="160" t="str">
        <f>IFERROR(INDEX(下年标准成本!I:I,MATCH(C72,下年标准成本!C:C,0),1),"")</f>
        <v/>
      </c>
      <c r="K72" s="146" t="str">
        <f t="shared" si="12"/>
        <v/>
      </c>
      <c r="L72" s="146" t="str">
        <f t="shared" si="13"/>
        <v/>
      </c>
      <c r="M72" s="148" t="str">
        <f t="shared" si="14"/>
        <v/>
      </c>
    </row>
    <row r="73" spans="1:13" x14ac:dyDescent="0.3">
      <c r="A73" s="149"/>
      <c r="B73" s="149"/>
      <c r="C73" s="149"/>
      <c r="D73" s="149"/>
      <c r="E73" s="149"/>
      <c r="F73" s="149"/>
      <c r="G73" s="162"/>
      <c r="H73" s="146" t="str">
        <f t="shared" si="10"/>
        <v/>
      </c>
      <c r="I73" s="161" t="str">
        <f t="shared" si="11"/>
        <v/>
      </c>
      <c r="J73" s="160" t="str">
        <f>IFERROR(INDEX(下年标准成本!I:I,MATCH(C73,下年标准成本!C:C,0),1),"")</f>
        <v/>
      </c>
      <c r="K73" s="146" t="str">
        <f t="shared" si="12"/>
        <v/>
      </c>
      <c r="L73" s="146" t="str">
        <f t="shared" si="13"/>
        <v/>
      </c>
      <c r="M73" s="148" t="str">
        <f t="shared" si="14"/>
        <v/>
      </c>
    </row>
    <row r="74" spans="1:13" x14ac:dyDescent="0.3">
      <c r="A74" s="149"/>
      <c r="B74" s="149"/>
      <c r="C74" s="149"/>
      <c r="D74" s="149"/>
      <c r="E74" s="149"/>
      <c r="F74" s="149"/>
      <c r="G74" s="162"/>
      <c r="H74" s="146" t="str">
        <f t="shared" ref="H74:H137" si="15">IFERROR(F74/E74,"")</f>
        <v/>
      </c>
      <c r="I74" s="161" t="str">
        <f t="shared" ref="I74:I137" si="16">IFERROR(H74*(1+G74),"")</f>
        <v/>
      </c>
      <c r="J74" s="160" t="str">
        <f>IFERROR(INDEX(下年标准成本!I:I,MATCH(C74,下年标准成本!C:C,0),1),"")</f>
        <v/>
      </c>
      <c r="K74" s="146" t="str">
        <f t="shared" ref="K74:K137" si="17">IFERROR(E74*J74,"")</f>
        <v/>
      </c>
      <c r="L74" s="146" t="str">
        <f t="shared" ref="L74:L137" si="18">IFERROR(F74-K74,"")</f>
        <v/>
      </c>
      <c r="M74" s="148" t="str">
        <f t="shared" ref="M74:M137" si="19">IFERROR(L74/F74,"")</f>
        <v/>
      </c>
    </row>
    <row r="75" spans="1:13" x14ac:dyDescent="0.3">
      <c r="A75" s="149"/>
      <c r="B75" s="149"/>
      <c r="C75" s="149"/>
      <c r="D75" s="149"/>
      <c r="E75" s="149"/>
      <c r="F75" s="149"/>
      <c r="G75" s="162"/>
      <c r="H75" s="146" t="str">
        <f t="shared" si="15"/>
        <v/>
      </c>
      <c r="I75" s="161" t="str">
        <f t="shared" si="16"/>
        <v/>
      </c>
      <c r="J75" s="160" t="str">
        <f>IFERROR(INDEX(下年标准成本!I:I,MATCH(C75,下年标准成本!C:C,0),1),"")</f>
        <v/>
      </c>
      <c r="K75" s="146" t="str">
        <f t="shared" si="17"/>
        <v/>
      </c>
      <c r="L75" s="146" t="str">
        <f t="shared" si="18"/>
        <v/>
      </c>
      <c r="M75" s="148" t="str">
        <f t="shared" si="19"/>
        <v/>
      </c>
    </row>
    <row r="76" spans="1:13" x14ac:dyDescent="0.3">
      <c r="A76" s="149"/>
      <c r="B76" s="149"/>
      <c r="C76" s="149"/>
      <c r="D76" s="149"/>
      <c r="E76" s="149"/>
      <c r="F76" s="149"/>
      <c r="G76" s="162"/>
      <c r="H76" s="146" t="str">
        <f t="shared" si="15"/>
        <v/>
      </c>
      <c r="I76" s="161" t="str">
        <f t="shared" si="16"/>
        <v/>
      </c>
      <c r="J76" s="160" t="str">
        <f>IFERROR(INDEX(下年标准成本!I:I,MATCH(C76,下年标准成本!C:C,0),1),"")</f>
        <v/>
      </c>
      <c r="K76" s="146" t="str">
        <f t="shared" si="17"/>
        <v/>
      </c>
      <c r="L76" s="146" t="str">
        <f t="shared" si="18"/>
        <v/>
      </c>
      <c r="M76" s="148" t="str">
        <f t="shared" si="19"/>
        <v/>
      </c>
    </row>
    <row r="77" spans="1:13" x14ac:dyDescent="0.3">
      <c r="A77" s="149"/>
      <c r="B77" s="149"/>
      <c r="C77" s="149"/>
      <c r="D77" s="149"/>
      <c r="E77" s="149"/>
      <c r="F77" s="149"/>
      <c r="G77" s="162"/>
      <c r="H77" s="146" t="str">
        <f t="shared" si="15"/>
        <v/>
      </c>
      <c r="I77" s="161" t="str">
        <f t="shared" si="16"/>
        <v/>
      </c>
      <c r="J77" s="160" t="str">
        <f>IFERROR(INDEX(下年标准成本!I:I,MATCH(C77,下年标准成本!C:C,0),1),"")</f>
        <v/>
      </c>
      <c r="K77" s="146" t="str">
        <f t="shared" si="17"/>
        <v/>
      </c>
      <c r="L77" s="146" t="str">
        <f t="shared" si="18"/>
        <v/>
      </c>
      <c r="M77" s="148" t="str">
        <f t="shared" si="19"/>
        <v/>
      </c>
    </row>
    <row r="78" spans="1:13" x14ac:dyDescent="0.3">
      <c r="A78" s="149"/>
      <c r="B78" s="149"/>
      <c r="C78" s="149"/>
      <c r="D78" s="149"/>
      <c r="E78" s="149"/>
      <c r="F78" s="149"/>
      <c r="G78" s="162"/>
      <c r="H78" s="146" t="str">
        <f t="shared" si="15"/>
        <v/>
      </c>
      <c r="I78" s="161" t="str">
        <f t="shared" si="16"/>
        <v/>
      </c>
      <c r="J78" s="160" t="str">
        <f>IFERROR(INDEX(下年标准成本!I:I,MATCH(C78,下年标准成本!C:C,0),1),"")</f>
        <v/>
      </c>
      <c r="K78" s="146" t="str">
        <f t="shared" si="17"/>
        <v/>
      </c>
      <c r="L78" s="146" t="str">
        <f t="shared" si="18"/>
        <v/>
      </c>
      <c r="M78" s="148" t="str">
        <f t="shared" si="19"/>
        <v/>
      </c>
    </row>
    <row r="79" spans="1:13" x14ac:dyDescent="0.3">
      <c r="A79" s="149"/>
      <c r="B79" s="149"/>
      <c r="C79" s="149"/>
      <c r="D79" s="149"/>
      <c r="E79" s="149"/>
      <c r="F79" s="149"/>
      <c r="G79" s="162"/>
      <c r="H79" s="146" t="str">
        <f t="shared" si="15"/>
        <v/>
      </c>
      <c r="I79" s="161" t="str">
        <f t="shared" si="16"/>
        <v/>
      </c>
      <c r="J79" s="160" t="str">
        <f>IFERROR(INDEX(下年标准成本!I:I,MATCH(C79,下年标准成本!C:C,0),1),"")</f>
        <v/>
      </c>
      <c r="K79" s="146" t="str">
        <f t="shared" si="17"/>
        <v/>
      </c>
      <c r="L79" s="146" t="str">
        <f t="shared" si="18"/>
        <v/>
      </c>
      <c r="M79" s="148" t="str">
        <f t="shared" si="19"/>
        <v/>
      </c>
    </row>
    <row r="80" spans="1:13" x14ac:dyDescent="0.3">
      <c r="A80" s="149"/>
      <c r="B80" s="149"/>
      <c r="C80" s="149"/>
      <c r="D80" s="149"/>
      <c r="E80" s="149"/>
      <c r="F80" s="149"/>
      <c r="G80" s="162"/>
      <c r="H80" s="146" t="str">
        <f t="shared" si="15"/>
        <v/>
      </c>
      <c r="I80" s="161" t="str">
        <f t="shared" si="16"/>
        <v/>
      </c>
      <c r="J80" s="160" t="str">
        <f>IFERROR(INDEX(下年标准成本!I:I,MATCH(C80,下年标准成本!C:C,0),1),"")</f>
        <v/>
      </c>
      <c r="K80" s="146" t="str">
        <f t="shared" si="17"/>
        <v/>
      </c>
      <c r="L80" s="146" t="str">
        <f t="shared" si="18"/>
        <v/>
      </c>
      <c r="M80" s="148" t="str">
        <f t="shared" si="19"/>
        <v/>
      </c>
    </row>
    <row r="81" spans="1:13" x14ac:dyDescent="0.3">
      <c r="A81" s="149"/>
      <c r="B81" s="149"/>
      <c r="C81" s="149"/>
      <c r="D81" s="149"/>
      <c r="E81" s="149"/>
      <c r="F81" s="149"/>
      <c r="G81" s="162"/>
      <c r="H81" s="146" t="str">
        <f t="shared" si="15"/>
        <v/>
      </c>
      <c r="I81" s="161" t="str">
        <f t="shared" si="16"/>
        <v/>
      </c>
      <c r="J81" s="160" t="str">
        <f>IFERROR(INDEX(下年标准成本!I:I,MATCH(C81,下年标准成本!C:C,0),1),"")</f>
        <v/>
      </c>
      <c r="K81" s="146" t="str">
        <f t="shared" si="17"/>
        <v/>
      </c>
      <c r="L81" s="146" t="str">
        <f t="shared" si="18"/>
        <v/>
      </c>
      <c r="M81" s="148" t="str">
        <f t="shared" si="19"/>
        <v/>
      </c>
    </row>
    <row r="82" spans="1:13" x14ac:dyDescent="0.3">
      <c r="A82" s="149"/>
      <c r="B82" s="149"/>
      <c r="C82" s="149"/>
      <c r="D82" s="149"/>
      <c r="E82" s="149"/>
      <c r="F82" s="149"/>
      <c r="G82" s="162"/>
      <c r="H82" s="146" t="str">
        <f t="shared" si="15"/>
        <v/>
      </c>
      <c r="I82" s="161" t="str">
        <f t="shared" si="16"/>
        <v/>
      </c>
      <c r="J82" s="160" t="str">
        <f>IFERROR(INDEX(下年标准成本!I:I,MATCH(C82,下年标准成本!C:C,0),1),"")</f>
        <v/>
      </c>
      <c r="K82" s="146" t="str">
        <f t="shared" si="17"/>
        <v/>
      </c>
      <c r="L82" s="146" t="str">
        <f t="shared" si="18"/>
        <v/>
      </c>
      <c r="M82" s="148" t="str">
        <f t="shared" si="19"/>
        <v/>
      </c>
    </row>
    <row r="83" spans="1:13" x14ac:dyDescent="0.3">
      <c r="A83" s="149"/>
      <c r="B83" s="149"/>
      <c r="C83" s="149"/>
      <c r="D83" s="149"/>
      <c r="E83" s="149"/>
      <c r="F83" s="149"/>
      <c r="G83" s="162"/>
      <c r="H83" s="146" t="str">
        <f t="shared" si="15"/>
        <v/>
      </c>
      <c r="I83" s="161" t="str">
        <f t="shared" si="16"/>
        <v/>
      </c>
      <c r="J83" s="160" t="str">
        <f>IFERROR(INDEX(下年标准成本!I:I,MATCH(C83,下年标准成本!C:C,0),1),"")</f>
        <v/>
      </c>
      <c r="K83" s="146" t="str">
        <f t="shared" si="17"/>
        <v/>
      </c>
      <c r="L83" s="146" t="str">
        <f t="shared" si="18"/>
        <v/>
      </c>
      <c r="M83" s="148" t="str">
        <f t="shared" si="19"/>
        <v/>
      </c>
    </row>
    <row r="84" spans="1:13" x14ac:dyDescent="0.3">
      <c r="A84" s="149"/>
      <c r="B84" s="149"/>
      <c r="C84" s="149"/>
      <c r="D84" s="149"/>
      <c r="E84" s="149"/>
      <c r="F84" s="149"/>
      <c r="G84" s="162"/>
      <c r="H84" s="146" t="str">
        <f t="shared" si="15"/>
        <v/>
      </c>
      <c r="I84" s="161" t="str">
        <f t="shared" si="16"/>
        <v/>
      </c>
      <c r="J84" s="160" t="str">
        <f>IFERROR(INDEX(下年标准成本!I:I,MATCH(C84,下年标准成本!C:C,0),1),"")</f>
        <v/>
      </c>
      <c r="K84" s="146" t="str">
        <f t="shared" si="17"/>
        <v/>
      </c>
      <c r="L84" s="146" t="str">
        <f t="shared" si="18"/>
        <v/>
      </c>
      <c r="M84" s="148" t="str">
        <f t="shared" si="19"/>
        <v/>
      </c>
    </row>
    <row r="85" spans="1:13" x14ac:dyDescent="0.3">
      <c r="A85" s="149"/>
      <c r="B85" s="149"/>
      <c r="C85" s="149"/>
      <c r="D85" s="149"/>
      <c r="E85" s="149"/>
      <c r="F85" s="149"/>
      <c r="G85" s="162"/>
      <c r="H85" s="146" t="str">
        <f t="shared" si="15"/>
        <v/>
      </c>
      <c r="I85" s="161" t="str">
        <f t="shared" si="16"/>
        <v/>
      </c>
      <c r="J85" s="160" t="str">
        <f>IFERROR(INDEX(下年标准成本!I:I,MATCH(C85,下年标准成本!C:C,0),1),"")</f>
        <v/>
      </c>
      <c r="K85" s="146" t="str">
        <f t="shared" si="17"/>
        <v/>
      </c>
      <c r="L85" s="146" t="str">
        <f t="shared" si="18"/>
        <v/>
      </c>
      <c r="M85" s="148" t="str">
        <f t="shared" si="19"/>
        <v/>
      </c>
    </row>
    <row r="86" spans="1:13" x14ac:dyDescent="0.3">
      <c r="A86" s="149"/>
      <c r="B86" s="149"/>
      <c r="C86" s="149"/>
      <c r="D86" s="149"/>
      <c r="E86" s="149"/>
      <c r="F86" s="149"/>
      <c r="G86" s="162"/>
      <c r="H86" s="146" t="str">
        <f t="shared" si="15"/>
        <v/>
      </c>
      <c r="I86" s="161" t="str">
        <f t="shared" si="16"/>
        <v/>
      </c>
      <c r="J86" s="160" t="str">
        <f>IFERROR(INDEX(下年标准成本!I:I,MATCH(C86,下年标准成本!C:C,0),1),"")</f>
        <v/>
      </c>
      <c r="K86" s="146" t="str">
        <f t="shared" si="17"/>
        <v/>
      </c>
      <c r="L86" s="146" t="str">
        <f t="shared" si="18"/>
        <v/>
      </c>
      <c r="M86" s="148" t="str">
        <f t="shared" si="19"/>
        <v/>
      </c>
    </row>
    <row r="87" spans="1:13" x14ac:dyDescent="0.3">
      <c r="A87" s="149"/>
      <c r="B87" s="149"/>
      <c r="C87" s="149"/>
      <c r="D87" s="149"/>
      <c r="E87" s="149"/>
      <c r="F87" s="149"/>
      <c r="G87" s="162"/>
      <c r="H87" s="146" t="str">
        <f t="shared" si="15"/>
        <v/>
      </c>
      <c r="I87" s="161" t="str">
        <f t="shared" si="16"/>
        <v/>
      </c>
      <c r="J87" s="160" t="str">
        <f>IFERROR(INDEX(下年标准成本!I:I,MATCH(C87,下年标准成本!C:C,0),1),"")</f>
        <v/>
      </c>
      <c r="K87" s="146" t="str">
        <f t="shared" si="17"/>
        <v/>
      </c>
      <c r="L87" s="146" t="str">
        <f t="shared" si="18"/>
        <v/>
      </c>
      <c r="M87" s="148" t="str">
        <f t="shared" si="19"/>
        <v/>
      </c>
    </row>
    <row r="88" spans="1:13" x14ac:dyDescent="0.3">
      <c r="A88" s="149"/>
      <c r="B88" s="149"/>
      <c r="C88" s="149"/>
      <c r="D88" s="149"/>
      <c r="E88" s="149"/>
      <c r="F88" s="149"/>
      <c r="G88" s="162"/>
      <c r="H88" s="146" t="str">
        <f t="shared" si="15"/>
        <v/>
      </c>
      <c r="I88" s="161" t="str">
        <f t="shared" si="16"/>
        <v/>
      </c>
      <c r="J88" s="160" t="str">
        <f>IFERROR(INDEX(下年标准成本!I:I,MATCH(C88,下年标准成本!C:C,0),1),"")</f>
        <v/>
      </c>
      <c r="K88" s="146" t="str">
        <f t="shared" si="17"/>
        <v/>
      </c>
      <c r="L88" s="146" t="str">
        <f t="shared" si="18"/>
        <v/>
      </c>
      <c r="M88" s="148" t="str">
        <f t="shared" si="19"/>
        <v/>
      </c>
    </row>
    <row r="89" spans="1:13" x14ac:dyDescent="0.3">
      <c r="A89" s="149"/>
      <c r="B89" s="149"/>
      <c r="C89" s="149"/>
      <c r="D89" s="149"/>
      <c r="E89" s="149"/>
      <c r="F89" s="149"/>
      <c r="G89" s="162"/>
      <c r="H89" s="146" t="str">
        <f t="shared" si="15"/>
        <v/>
      </c>
      <c r="I89" s="161" t="str">
        <f t="shared" si="16"/>
        <v/>
      </c>
      <c r="J89" s="160" t="str">
        <f>IFERROR(INDEX(下年标准成本!I:I,MATCH(C89,下年标准成本!C:C,0),1),"")</f>
        <v/>
      </c>
      <c r="K89" s="146" t="str">
        <f t="shared" si="17"/>
        <v/>
      </c>
      <c r="L89" s="146" t="str">
        <f t="shared" si="18"/>
        <v/>
      </c>
      <c r="M89" s="148" t="str">
        <f t="shared" si="19"/>
        <v/>
      </c>
    </row>
    <row r="90" spans="1:13" x14ac:dyDescent="0.3">
      <c r="A90" s="149"/>
      <c r="B90" s="149"/>
      <c r="C90" s="149"/>
      <c r="D90" s="149"/>
      <c r="E90" s="149"/>
      <c r="F90" s="149"/>
      <c r="G90" s="162"/>
      <c r="H90" s="146" t="str">
        <f t="shared" si="15"/>
        <v/>
      </c>
      <c r="I90" s="161" t="str">
        <f t="shared" si="16"/>
        <v/>
      </c>
      <c r="J90" s="160" t="str">
        <f>IFERROR(INDEX(下年标准成本!I:I,MATCH(C90,下年标准成本!C:C,0),1),"")</f>
        <v/>
      </c>
      <c r="K90" s="146" t="str">
        <f t="shared" si="17"/>
        <v/>
      </c>
      <c r="L90" s="146" t="str">
        <f t="shared" si="18"/>
        <v/>
      </c>
      <c r="M90" s="148" t="str">
        <f t="shared" si="19"/>
        <v/>
      </c>
    </row>
    <row r="91" spans="1:13" x14ac:dyDescent="0.3">
      <c r="A91" s="149"/>
      <c r="B91" s="149"/>
      <c r="C91" s="149"/>
      <c r="D91" s="149"/>
      <c r="E91" s="149"/>
      <c r="F91" s="149"/>
      <c r="G91" s="162"/>
      <c r="H91" s="146" t="str">
        <f t="shared" si="15"/>
        <v/>
      </c>
      <c r="I91" s="161" t="str">
        <f t="shared" si="16"/>
        <v/>
      </c>
      <c r="J91" s="160" t="str">
        <f>IFERROR(INDEX(下年标准成本!I:I,MATCH(C91,下年标准成本!C:C,0),1),"")</f>
        <v/>
      </c>
      <c r="K91" s="146" t="str">
        <f t="shared" si="17"/>
        <v/>
      </c>
      <c r="L91" s="146" t="str">
        <f t="shared" si="18"/>
        <v/>
      </c>
      <c r="M91" s="148" t="str">
        <f t="shared" si="19"/>
        <v/>
      </c>
    </row>
    <row r="92" spans="1:13" x14ac:dyDescent="0.3">
      <c r="A92" s="149"/>
      <c r="B92" s="149"/>
      <c r="C92" s="149"/>
      <c r="D92" s="149"/>
      <c r="E92" s="149"/>
      <c r="F92" s="149"/>
      <c r="G92" s="162"/>
      <c r="H92" s="146" t="str">
        <f t="shared" si="15"/>
        <v/>
      </c>
      <c r="I92" s="161" t="str">
        <f t="shared" si="16"/>
        <v/>
      </c>
      <c r="J92" s="160" t="str">
        <f>IFERROR(INDEX(下年标准成本!I:I,MATCH(C92,下年标准成本!C:C,0),1),"")</f>
        <v/>
      </c>
      <c r="K92" s="146" t="str">
        <f t="shared" si="17"/>
        <v/>
      </c>
      <c r="L92" s="146" t="str">
        <f t="shared" si="18"/>
        <v/>
      </c>
      <c r="M92" s="148" t="str">
        <f t="shared" si="19"/>
        <v/>
      </c>
    </row>
    <row r="93" spans="1:13" x14ac:dyDescent="0.3">
      <c r="A93" s="149"/>
      <c r="B93" s="149"/>
      <c r="C93" s="149"/>
      <c r="D93" s="149"/>
      <c r="E93" s="149"/>
      <c r="F93" s="149"/>
      <c r="G93" s="162"/>
      <c r="H93" s="146" t="str">
        <f t="shared" si="15"/>
        <v/>
      </c>
      <c r="I93" s="161" t="str">
        <f t="shared" si="16"/>
        <v/>
      </c>
      <c r="J93" s="160" t="str">
        <f>IFERROR(INDEX(下年标准成本!I:I,MATCH(C93,下年标准成本!C:C,0),1),"")</f>
        <v/>
      </c>
      <c r="K93" s="146" t="str">
        <f t="shared" si="17"/>
        <v/>
      </c>
      <c r="L93" s="146" t="str">
        <f t="shared" si="18"/>
        <v/>
      </c>
      <c r="M93" s="148" t="str">
        <f t="shared" si="19"/>
        <v/>
      </c>
    </row>
    <row r="94" spans="1:13" x14ac:dyDescent="0.3">
      <c r="A94" s="149"/>
      <c r="B94" s="149"/>
      <c r="C94" s="149"/>
      <c r="D94" s="149"/>
      <c r="E94" s="149"/>
      <c r="F94" s="149"/>
      <c r="G94" s="162"/>
      <c r="H94" s="146" t="str">
        <f t="shared" si="15"/>
        <v/>
      </c>
      <c r="I94" s="161" t="str">
        <f t="shared" si="16"/>
        <v/>
      </c>
      <c r="J94" s="160" t="str">
        <f>IFERROR(INDEX(下年标准成本!I:I,MATCH(C94,下年标准成本!C:C,0),1),"")</f>
        <v/>
      </c>
      <c r="K94" s="146" t="str">
        <f t="shared" si="17"/>
        <v/>
      </c>
      <c r="L94" s="146" t="str">
        <f t="shared" si="18"/>
        <v/>
      </c>
      <c r="M94" s="148" t="str">
        <f t="shared" si="19"/>
        <v/>
      </c>
    </row>
    <row r="95" spans="1:13" x14ac:dyDescent="0.3">
      <c r="A95" s="149"/>
      <c r="B95" s="149"/>
      <c r="C95" s="149"/>
      <c r="D95" s="149"/>
      <c r="E95" s="149"/>
      <c r="F95" s="149"/>
      <c r="G95" s="162"/>
      <c r="H95" s="146" t="str">
        <f t="shared" si="15"/>
        <v/>
      </c>
      <c r="I95" s="161" t="str">
        <f t="shared" si="16"/>
        <v/>
      </c>
      <c r="J95" s="160" t="str">
        <f>IFERROR(INDEX(下年标准成本!I:I,MATCH(C95,下年标准成本!C:C,0),1),"")</f>
        <v/>
      </c>
      <c r="K95" s="146" t="str">
        <f t="shared" si="17"/>
        <v/>
      </c>
      <c r="L95" s="146" t="str">
        <f t="shared" si="18"/>
        <v/>
      </c>
      <c r="M95" s="148" t="str">
        <f t="shared" si="19"/>
        <v/>
      </c>
    </row>
    <row r="96" spans="1:13" x14ac:dyDescent="0.3">
      <c r="A96" s="149"/>
      <c r="B96" s="149"/>
      <c r="C96" s="149"/>
      <c r="D96" s="149"/>
      <c r="E96" s="149"/>
      <c r="F96" s="149"/>
      <c r="G96" s="162"/>
      <c r="H96" s="146" t="str">
        <f t="shared" si="15"/>
        <v/>
      </c>
      <c r="I96" s="161" t="str">
        <f t="shared" si="16"/>
        <v/>
      </c>
      <c r="J96" s="160" t="str">
        <f>IFERROR(INDEX(下年标准成本!I:I,MATCH(C96,下年标准成本!C:C,0),1),"")</f>
        <v/>
      </c>
      <c r="K96" s="146" t="str">
        <f t="shared" si="17"/>
        <v/>
      </c>
      <c r="L96" s="146" t="str">
        <f t="shared" si="18"/>
        <v/>
      </c>
      <c r="M96" s="148" t="str">
        <f t="shared" si="19"/>
        <v/>
      </c>
    </row>
    <row r="97" spans="1:13" x14ac:dyDescent="0.3">
      <c r="A97" s="149"/>
      <c r="B97" s="149"/>
      <c r="C97" s="149"/>
      <c r="D97" s="149"/>
      <c r="E97" s="149"/>
      <c r="F97" s="149"/>
      <c r="G97" s="162"/>
      <c r="H97" s="146" t="str">
        <f t="shared" si="15"/>
        <v/>
      </c>
      <c r="I97" s="161" t="str">
        <f t="shared" si="16"/>
        <v/>
      </c>
      <c r="J97" s="160" t="str">
        <f>IFERROR(INDEX(下年标准成本!I:I,MATCH(C97,下年标准成本!C:C,0),1),"")</f>
        <v/>
      </c>
      <c r="K97" s="146" t="str">
        <f t="shared" si="17"/>
        <v/>
      </c>
      <c r="L97" s="146" t="str">
        <f t="shared" si="18"/>
        <v/>
      </c>
      <c r="M97" s="148" t="str">
        <f t="shared" si="19"/>
        <v/>
      </c>
    </row>
    <row r="98" spans="1:13" x14ac:dyDescent="0.3">
      <c r="A98" s="149"/>
      <c r="B98" s="149"/>
      <c r="C98" s="149"/>
      <c r="D98" s="149"/>
      <c r="E98" s="149"/>
      <c r="F98" s="149"/>
      <c r="G98" s="162"/>
      <c r="H98" s="146" t="str">
        <f t="shared" si="15"/>
        <v/>
      </c>
      <c r="I98" s="161" t="str">
        <f t="shared" si="16"/>
        <v/>
      </c>
      <c r="J98" s="160" t="str">
        <f>IFERROR(INDEX(下年标准成本!I:I,MATCH(C98,下年标准成本!C:C,0),1),"")</f>
        <v/>
      </c>
      <c r="K98" s="146" t="str">
        <f t="shared" si="17"/>
        <v/>
      </c>
      <c r="L98" s="146" t="str">
        <f t="shared" si="18"/>
        <v/>
      </c>
      <c r="M98" s="148" t="str">
        <f t="shared" si="19"/>
        <v/>
      </c>
    </row>
    <row r="99" spans="1:13" x14ac:dyDescent="0.3">
      <c r="A99" s="149"/>
      <c r="B99" s="149"/>
      <c r="C99" s="149"/>
      <c r="D99" s="149"/>
      <c r="E99" s="149"/>
      <c r="F99" s="149"/>
      <c r="G99" s="162"/>
      <c r="H99" s="146" t="str">
        <f t="shared" si="15"/>
        <v/>
      </c>
      <c r="I99" s="161" t="str">
        <f t="shared" si="16"/>
        <v/>
      </c>
      <c r="J99" s="160" t="str">
        <f>IFERROR(INDEX(下年标准成本!I:I,MATCH(C99,下年标准成本!C:C,0),1),"")</f>
        <v/>
      </c>
      <c r="K99" s="146" t="str">
        <f t="shared" si="17"/>
        <v/>
      </c>
      <c r="L99" s="146" t="str">
        <f t="shared" si="18"/>
        <v/>
      </c>
      <c r="M99" s="148" t="str">
        <f t="shared" si="19"/>
        <v/>
      </c>
    </row>
    <row r="100" spans="1:13" x14ac:dyDescent="0.3">
      <c r="A100" s="149"/>
      <c r="B100" s="149"/>
      <c r="C100" s="149"/>
      <c r="D100" s="149"/>
      <c r="E100" s="149"/>
      <c r="F100" s="149"/>
      <c r="G100" s="162"/>
      <c r="H100" s="146" t="str">
        <f t="shared" si="15"/>
        <v/>
      </c>
      <c r="I100" s="161" t="str">
        <f t="shared" si="16"/>
        <v/>
      </c>
      <c r="J100" s="160" t="str">
        <f>IFERROR(INDEX(下年标准成本!I:I,MATCH(C100,下年标准成本!C:C,0),1),"")</f>
        <v/>
      </c>
      <c r="K100" s="146" t="str">
        <f t="shared" si="17"/>
        <v/>
      </c>
      <c r="L100" s="146" t="str">
        <f t="shared" si="18"/>
        <v/>
      </c>
      <c r="M100" s="148" t="str">
        <f t="shared" si="19"/>
        <v/>
      </c>
    </row>
    <row r="101" spans="1:13" x14ac:dyDescent="0.3">
      <c r="A101" s="149"/>
      <c r="B101" s="149"/>
      <c r="C101" s="149"/>
      <c r="D101" s="149"/>
      <c r="E101" s="149"/>
      <c r="F101" s="149"/>
      <c r="G101" s="162"/>
      <c r="H101" s="146" t="str">
        <f t="shared" si="15"/>
        <v/>
      </c>
      <c r="I101" s="161" t="str">
        <f t="shared" si="16"/>
        <v/>
      </c>
      <c r="J101" s="160" t="str">
        <f>IFERROR(INDEX(下年标准成本!I:I,MATCH(C101,下年标准成本!C:C,0),1),"")</f>
        <v/>
      </c>
      <c r="K101" s="146" t="str">
        <f t="shared" si="17"/>
        <v/>
      </c>
      <c r="L101" s="146" t="str">
        <f t="shared" si="18"/>
        <v/>
      </c>
      <c r="M101" s="148" t="str">
        <f t="shared" si="19"/>
        <v/>
      </c>
    </row>
    <row r="102" spans="1:13" x14ac:dyDescent="0.3">
      <c r="A102" s="149"/>
      <c r="B102" s="149"/>
      <c r="C102" s="149"/>
      <c r="D102" s="149"/>
      <c r="E102" s="149"/>
      <c r="F102" s="149"/>
      <c r="G102" s="162"/>
      <c r="H102" s="146" t="str">
        <f t="shared" si="15"/>
        <v/>
      </c>
      <c r="I102" s="161" t="str">
        <f t="shared" si="16"/>
        <v/>
      </c>
      <c r="J102" s="160" t="str">
        <f>IFERROR(INDEX(下年标准成本!I:I,MATCH(C102,下年标准成本!C:C,0),1),"")</f>
        <v/>
      </c>
      <c r="K102" s="146" t="str">
        <f t="shared" si="17"/>
        <v/>
      </c>
      <c r="L102" s="146" t="str">
        <f t="shared" si="18"/>
        <v/>
      </c>
      <c r="M102" s="148" t="str">
        <f t="shared" si="19"/>
        <v/>
      </c>
    </row>
    <row r="103" spans="1:13" x14ac:dyDescent="0.3">
      <c r="A103" s="149"/>
      <c r="B103" s="149"/>
      <c r="C103" s="149"/>
      <c r="D103" s="149"/>
      <c r="E103" s="149"/>
      <c r="F103" s="149"/>
      <c r="G103" s="162"/>
      <c r="H103" s="146" t="str">
        <f t="shared" si="15"/>
        <v/>
      </c>
      <c r="I103" s="161" t="str">
        <f t="shared" si="16"/>
        <v/>
      </c>
      <c r="J103" s="160" t="str">
        <f>IFERROR(INDEX(下年标准成本!I:I,MATCH(C103,下年标准成本!C:C,0),1),"")</f>
        <v/>
      </c>
      <c r="K103" s="146" t="str">
        <f t="shared" si="17"/>
        <v/>
      </c>
      <c r="L103" s="146" t="str">
        <f t="shared" si="18"/>
        <v/>
      </c>
      <c r="M103" s="148" t="str">
        <f t="shared" si="19"/>
        <v/>
      </c>
    </row>
    <row r="104" spans="1:13" x14ac:dyDescent="0.3">
      <c r="A104" s="149"/>
      <c r="B104" s="149"/>
      <c r="C104" s="149"/>
      <c r="D104" s="149"/>
      <c r="E104" s="149"/>
      <c r="F104" s="149"/>
      <c r="G104" s="162"/>
      <c r="H104" s="146" t="str">
        <f t="shared" si="15"/>
        <v/>
      </c>
      <c r="I104" s="161" t="str">
        <f t="shared" si="16"/>
        <v/>
      </c>
      <c r="J104" s="160" t="str">
        <f>IFERROR(INDEX(下年标准成本!I:I,MATCH(C104,下年标准成本!C:C,0),1),"")</f>
        <v/>
      </c>
      <c r="K104" s="146" t="str">
        <f t="shared" si="17"/>
        <v/>
      </c>
      <c r="L104" s="146" t="str">
        <f t="shared" si="18"/>
        <v/>
      </c>
      <c r="M104" s="148" t="str">
        <f t="shared" si="19"/>
        <v/>
      </c>
    </row>
    <row r="105" spans="1:13" x14ac:dyDescent="0.3">
      <c r="A105" s="149"/>
      <c r="B105" s="149"/>
      <c r="C105" s="149"/>
      <c r="D105" s="149"/>
      <c r="E105" s="149"/>
      <c r="F105" s="149"/>
      <c r="G105" s="162"/>
      <c r="H105" s="146" t="str">
        <f t="shared" si="15"/>
        <v/>
      </c>
      <c r="I105" s="161" t="str">
        <f t="shared" si="16"/>
        <v/>
      </c>
      <c r="J105" s="160" t="str">
        <f>IFERROR(INDEX(下年标准成本!I:I,MATCH(C105,下年标准成本!C:C,0),1),"")</f>
        <v/>
      </c>
      <c r="K105" s="146" t="str">
        <f t="shared" si="17"/>
        <v/>
      </c>
      <c r="L105" s="146" t="str">
        <f t="shared" si="18"/>
        <v/>
      </c>
      <c r="M105" s="148" t="str">
        <f t="shared" si="19"/>
        <v/>
      </c>
    </row>
    <row r="106" spans="1:13" x14ac:dyDescent="0.3">
      <c r="A106" s="149"/>
      <c r="B106" s="149"/>
      <c r="C106" s="149"/>
      <c r="D106" s="149"/>
      <c r="E106" s="149"/>
      <c r="F106" s="149"/>
      <c r="G106" s="162"/>
      <c r="H106" s="146" t="str">
        <f t="shared" si="15"/>
        <v/>
      </c>
      <c r="I106" s="161" t="str">
        <f t="shared" si="16"/>
        <v/>
      </c>
      <c r="J106" s="160" t="str">
        <f>IFERROR(INDEX(下年标准成本!I:I,MATCH(C106,下年标准成本!C:C,0),1),"")</f>
        <v/>
      </c>
      <c r="K106" s="146" t="str">
        <f t="shared" si="17"/>
        <v/>
      </c>
      <c r="L106" s="146" t="str">
        <f t="shared" si="18"/>
        <v/>
      </c>
      <c r="M106" s="148" t="str">
        <f t="shared" si="19"/>
        <v/>
      </c>
    </row>
    <row r="107" spans="1:13" x14ac:dyDescent="0.3">
      <c r="A107" s="149"/>
      <c r="B107" s="149"/>
      <c r="C107" s="149"/>
      <c r="D107" s="149"/>
      <c r="E107" s="149"/>
      <c r="F107" s="149"/>
      <c r="G107" s="162"/>
      <c r="H107" s="146" t="str">
        <f t="shared" si="15"/>
        <v/>
      </c>
      <c r="I107" s="161" t="str">
        <f t="shared" si="16"/>
        <v/>
      </c>
      <c r="J107" s="160" t="str">
        <f>IFERROR(INDEX(下年标准成本!I:I,MATCH(C107,下年标准成本!C:C,0),1),"")</f>
        <v/>
      </c>
      <c r="K107" s="146" t="str">
        <f t="shared" si="17"/>
        <v/>
      </c>
      <c r="L107" s="146" t="str">
        <f t="shared" si="18"/>
        <v/>
      </c>
      <c r="M107" s="148" t="str">
        <f t="shared" si="19"/>
        <v/>
      </c>
    </row>
    <row r="108" spans="1:13" x14ac:dyDescent="0.3">
      <c r="A108" s="149"/>
      <c r="B108" s="149"/>
      <c r="C108" s="149"/>
      <c r="D108" s="149"/>
      <c r="E108" s="149"/>
      <c r="F108" s="149"/>
      <c r="G108" s="162"/>
      <c r="H108" s="146" t="str">
        <f t="shared" si="15"/>
        <v/>
      </c>
      <c r="I108" s="161" t="str">
        <f t="shared" si="16"/>
        <v/>
      </c>
      <c r="J108" s="160" t="str">
        <f>IFERROR(INDEX(下年标准成本!I:I,MATCH(C108,下年标准成本!C:C,0),1),"")</f>
        <v/>
      </c>
      <c r="K108" s="146" t="str">
        <f t="shared" si="17"/>
        <v/>
      </c>
      <c r="L108" s="146" t="str">
        <f t="shared" si="18"/>
        <v/>
      </c>
      <c r="M108" s="148" t="str">
        <f t="shared" si="19"/>
        <v/>
      </c>
    </row>
    <row r="109" spans="1:13" x14ac:dyDescent="0.3">
      <c r="A109" s="149"/>
      <c r="B109" s="149"/>
      <c r="C109" s="149"/>
      <c r="D109" s="149"/>
      <c r="E109" s="149"/>
      <c r="F109" s="149"/>
      <c r="G109" s="162"/>
      <c r="H109" s="146" t="str">
        <f t="shared" si="15"/>
        <v/>
      </c>
      <c r="I109" s="161" t="str">
        <f t="shared" si="16"/>
        <v/>
      </c>
      <c r="J109" s="160" t="str">
        <f>IFERROR(INDEX(下年标准成本!I:I,MATCH(C109,下年标准成本!C:C,0),1),"")</f>
        <v/>
      </c>
      <c r="K109" s="146" t="str">
        <f t="shared" si="17"/>
        <v/>
      </c>
      <c r="L109" s="146" t="str">
        <f t="shared" si="18"/>
        <v/>
      </c>
      <c r="M109" s="148" t="str">
        <f t="shared" si="19"/>
        <v/>
      </c>
    </row>
    <row r="110" spans="1:13" x14ac:dyDescent="0.3">
      <c r="A110" s="149"/>
      <c r="B110" s="149"/>
      <c r="C110" s="149"/>
      <c r="D110" s="149"/>
      <c r="E110" s="149"/>
      <c r="F110" s="149"/>
      <c r="G110" s="162"/>
      <c r="H110" s="146" t="str">
        <f t="shared" si="15"/>
        <v/>
      </c>
      <c r="I110" s="161" t="str">
        <f t="shared" si="16"/>
        <v/>
      </c>
      <c r="J110" s="160" t="str">
        <f>IFERROR(INDEX(下年标准成本!I:I,MATCH(C110,下年标准成本!C:C,0),1),"")</f>
        <v/>
      </c>
      <c r="K110" s="146" t="str">
        <f t="shared" si="17"/>
        <v/>
      </c>
      <c r="L110" s="146" t="str">
        <f t="shared" si="18"/>
        <v/>
      </c>
      <c r="M110" s="148" t="str">
        <f t="shared" si="19"/>
        <v/>
      </c>
    </row>
    <row r="111" spans="1:13" x14ac:dyDescent="0.3">
      <c r="A111" s="149"/>
      <c r="B111" s="149"/>
      <c r="C111" s="149"/>
      <c r="D111" s="149"/>
      <c r="E111" s="149"/>
      <c r="F111" s="149"/>
      <c r="G111" s="162"/>
      <c r="H111" s="146" t="str">
        <f t="shared" si="15"/>
        <v/>
      </c>
      <c r="I111" s="161" t="str">
        <f t="shared" si="16"/>
        <v/>
      </c>
      <c r="J111" s="160" t="str">
        <f>IFERROR(INDEX(下年标准成本!I:I,MATCH(C111,下年标准成本!C:C,0),1),"")</f>
        <v/>
      </c>
      <c r="K111" s="146" t="str">
        <f t="shared" si="17"/>
        <v/>
      </c>
      <c r="L111" s="146" t="str">
        <f t="shared" si="18"/>
        <v/>
      </c>
      <c r="M111" s="148" t="str">
        <f t="shared" si="19"/>
        <v/>
      </c>
    </row>
    <row r="112" spans="1:13" x14ac:dyDescent="0.3">
      <c r="A112" s="149"/>
      <c r="B112" s="149"/>
      <c r="C112" s="149"/>
      <c r="D112" s="149"/>
      <c r="E112" s="149"/>
      <c r="F112" s="149"/>
      <c r="G112" s="162"/>
      <c r="H112" s="146" t="str">
        <f t="shared" si="15"/>
        <v/>
      </c>
      <c r="I112" s="161" t="str">
        <f t="shared" si="16"/>
        <v/>
      </c>
      <c r="J112" s="160" t="str">
        <f>IFERROR(INDEX(下年标准成本!I:I,MATCH(C112,下年标准成本!C:C,0),1),"")</f>
        <v/>
      </c>
      <c r="K112" s="146" t="str">
        <f t="shared" si="17"/>
        <v/>
      </c>
      <c r="L112" s="146" t="str">
        <f t="shared" si="18"/>
        <v/>
      </c>
      <c r="M112" s="148" t="str">
        <f t="shared" si="19"/>
        <v/>
      </c>
    </row>
    <row r="113" spans="1:13" x14ac:dyDescent="0.3">
      <c r="A113" s="149"/>
      <c r="B113" s="149"/>
      <c r="C113" s="149"/>
      <c r="D113" s="149"/>
      <c r="E113" s="149"/>
      <c r="F113" s="149"/>
      <c r="G113" s="162"/>
      <c r="H113" s="146" t="str">
        <f t="shared" si="15"/>
        <v/>
      </c>
      <c r="I113" s="161" t="str">
        <f t="shared" si="16"/>
        <v/>
      </c>
      <c r="J113" s="160" t="str">
        <f>IFERROR(INDEX(下年标准成本!I:I,MATCH(C113,下年标准成本!C:C,0),1),"")</f>
        <v/>
      </c>
      <c r="K113" s="146" t="str">
        <f t="shared" si="17"/>
        <v/>
      </c>
      <c r="L113" s="146" t="str">
        <f t="shared" si="18"/>
        <v/>
      </c>
      <c r="M113" s="148" t="str">
        <f t="shared" si="19"/>
        <v/>
      </c>
    </row>
    <row r="114" spans="1:13" x14ac:dyDescent="0.3">
      <c r="A114" s="149"/>
      <c r="B114" s="149"/>
      <c r="C114" s="149"/>
      <c r="D114" s="149"/>
      <c r="E114" s="149"/>
      <c r="F114" s="149"/>
      <c r="G114" s="162"/>
      <c r="H114" s="146" t="str">
        <f t="shared" si="15"/>
        <v/>
      </c>
      <c r="I114" s="161" t="str">
        <f t="shared" si="16"/>
        <v/>
      </c>
      <c r="J114" s="160" t="str">
        <f>IFERROR(INDEX(下年标准成本!I:I,MATCH(C114,下年标准成本!C:C,0),1),"")</f>
        <v/>
      </c>
      <c r="K114" s="146" t="str">
        <f t="shared" si="17"/>
        <v/>
      </c>
      <c r="L114" s="146" t="str">
        <f t="shared" si="18"/>
        <v/>
      </c>
      <c r="M114" s="148" t="str">
        <f t="shared" si="19"/>
        <v/>
      </c>
    </row>
    <row r="115" spans="1:13" x14ac:dyDescent="0.3">
      <c r="A115" s="149"/>
      <c r="B115" s="149"/>
      <c r="C115" s="149"/>
      <c r="D115" s="149"/>
      <c r="E115" s="149"/>
      <c r="F115" s="149"/>
      <c r="G115" s="162"/>
      <c r="H115" s="146" t="str">
        <f t="shared" si="15"/>
        <v/>
      </c>
      <c r="I115" s="161" t="str">
        <f t="shared" si="16"/>
        <v/>
      </c>
      <c r="J115" s="160" t="str">
        <f>IFERROR(INDEX(下年标准成本!I:I,MATCH(C115,下年标准成本!C:C,0),1),"")</f>
        <v/>
      </c>
      <c r="K115" s="146" t="str">
        <f t="shared" si="17"/>
        <v/>
      </c>
      <c r="L115" s="146" t="str">
        <f t="shared" si="18"/>
        <v/>
      </c>
      <c r="M115" s="148" t="str">
        <f t="shared" si="19"/>
        <v/>
      </c>
    </row>
    <row r="116" spans="1:13" x14ac:dyDescent="0.3">
      <c r="A116" s="149"/>
      <c r="B116" s="149"/>
      <c r="C116" s="149"/>
      <c r="D116" s="149"/>
      <c r="E116" s="149"/>
      <c r="F116" s="149"/>
      <c r="G116" s="162"/>
      <c r="H116" s="146" t="str">
        <f t="shared" si="15"/>
        <v/>
      </c>
      <c r="I116" s="161" t="str">
        <f t="shared" si="16"/>
        <v/>
      </c>
      <c r="J116" s="160" t="str">
        <f>IFERROR(INDEX(下年标准成本!I:I,MATCH(C116,下年标准成本!C:C,0),1),"")</f>
        <v/>
      </c>
      <c r="K116" s="146" t="str">
        <f t="shared" si="17"/>
        <v/>
      </c>
      <c r="L116" s="146" t="str">
        <f t="shared" si="18"/>
        <v/>
      </c>
      <c r="M116" s="148" t="str">
        <f t="shared" si="19"/>
        <v/>
      </c>
    </row>
    <row r="117" spans="1:13" x14ac:dyDescent="0.3">
      <c r="A117" s="149"/>
      <c r="B117" s="149"/>
      <c r="C117" s="149"/>
      <c r="D117" s="149"/>
      <c r="E117" s="149"/>
      <c r="F117" s="149"/>
      <c r="G117" s="162"/>
      <c r="H117" s="146" t="str">
        <f t="shared" si="15"/>
        <v/>
      </c>
      <c r="I117" s="161" t="str">
        <f t="shared" si="16"/>
        <v/>
      </c>
      <c r="J117" s="160" t="str">
        <f>IFERROR(INDEX(下年标准成本!I:I,MATCH(C117,下年标准成本!C:C,0),1),"")</f>
        <v/>
      </c>
      <c r="K117" s="146" t="str">
        <f t="shared" si="17"/>
        <v/>
      </c>
      <c r="L117" s="146" t="str">
        <f t="shared" si="18"/>
        <v/>
      </c>
      <c r="M117" s="148" t="str">
        <f t="shared" si="19"/>
        <v/>
      </c>
    </row>
    <row r="118" spans="1:13" x14ac:dyDescent="0.3">
      <c r="A118" s="149"/>
      <c r="B118" s="149"/>
      <c r="C118" s="149"/>
      <c r="D118" s="149"/>
      <c r="E118" s="149"/>
      <c r="F118" s="149"/>
      <c r="G118" s="162"/>
      <c r="H118" s="146" t="str">
        <f t="shared" si="15"/>
        <v/>
      </c>
      <c r="I118" s="161" t="str">
        <f t="shared" si="16"/>
        <v/>
      </c>
      <c r="J118" s="160" t="str">
        <f>IFERROR(INDEX(下年标准成本!I:I,MATCH(C118,下年标准成本!C:C,0),1),"")</f>
        <v/>
      </c>
      <c r="K118" s="146" t="str">
        <f t="shared" si="17"/>
        <v/>
      </c>
      <c r="L118" s="146" t="str">
        <f t="shared" si="18"/>
        <v/>
      </c>
      <c r="M118" s="148" t="str">
        <f t="shared" si="19"/>
        <v/>
      </c>
    </row>
    <row r="119" spans="1:13" x14ac:dyDescent="0.3">
      <c r="A119" s="149"/>
      <c r="B119" s="149"/>
      <c r="C119" s="149"/>
      <c r="D119" s="149"/>
      <c r="E119" s="149"/>
      <c r="F119" s="149"/>
      <c r="G119" s="162"/>
      <c r="H119" s="146" t="str">
        <f t="shared" si="15"/>
        <v/>
      </c>
      <c r="I119" s="161" t="str">
        <f t="shared" si="16"/>
        <v/>
      </c>
      <c r="J119" s="160" t="str">
        <f>IFERROR(INDEX(下年标准成本!I:I,MATCH(C119,下年标准成本!C:C,0),1),"")</f>
        <v/>
      </c>
      <c r="K119" s="146" t="str">
        <f t="shared" si="17"/>
        <v/>
      </c>
      <c r="L119" s="146" t="str">
        <f t="shared" si="18"/>
        <v/>
      </c>
      <c r="M119" s="148" t="str">
        <f t="shared" si="19"/>
        <v/>
      </c>
    </row>
    <row r="120" spans="1:13" x14ac:dyDescent="0.3">
      <c r="A120" s="149"/>
      <c r="B120" s="149"/>
      <c r="C120" s="149"/>
      <c r="D120" s="149"/>
      <c r="E120" s="149"/>
      <c r="F120" s="149"/>
      <c r="G120" s="162"/>
      <c r="H120" s="146" t="str">
        <f t="shared" si="15"/>
        <v/>
      </c>
      <c r="I120" s="161" t="str">
        <f t="shared" si="16"/>
        <v/>
      </c>
      <c r="J120" s="160" t="str">
        <f>IFERROR(INDEX(下年标准成本!I:I,MATCH(C120,下年标准成本!C:C,0),1),"")</f>
        <v/>
      </c>
      <c r="K120" s="146" t="str">
        <f t="shared" si="17"/>
        <v/>
      </c>
      <c r="L120" s="146" t="str">
        <f t="shared" si="18"/>
        <v/>
      </c>
      <c r="M120" s="148" t="str">
        <f t="shared" si="19"/>
        <v/>
      </c>
    </row>
    <row r="121" spans="1:13" x14ac:dyDescent="0.3">
      <c r="A121" s="149"/>
      <c r="B121" s="149"/>
      <c r="C121" s="149"/>
      <c r="D121" s="149"/>
      <c r="E121" s="149"/>
      <c r="F121" s="149"/>
      <c r="G121" s="162"/>
      <c r="H121" s="146" t="str">
        <f t="shared" si="15"/>
        <v/>
      </c>
      <c r="I121" s="161" t="str">
        <f t="shared" si="16"/>
        <v/>
      </c>
      <c r="J121" s="160" t="str">
        <f>IFERROR(INDEX(下年标准成本!I:I,MATCH(C121,下年标准成本!C:C,0),1),"")</f>
        <v/>
      </c>
      <c r="K121" s="146" t="str">
        <f t="shared" si="17"/>
        <v/>
      </c>
      <c r="L121" s="146" t="str">
        <f t="shared" si="18"/>
        <v/>
      </c>
      <c r="M121" s="148" t="str">
        <f t="shared" si="19"/>
        <v/>
      </c>
    </row>
    <row r="122" spans="1:13" x14ac:dyDescent="0.3">
      <c r="A122" s="149"/>
      <c r="B122" s="149"/>
      <c r="C122" s="149"/>
      <c r="D122" s="149"/>
      <c r="E122" s="149"/>
      <c r="F122" s="149"/>
      <c r="G122" s="162"/>
      <c r="H122" s="146" t="str">
        <f t="shared" si="15"/>
        <v/>
      </c>
      <c r="I122" s="161" t="str">
        <f t="shared" si="16"/>
        <v/>
      </c>
      <c r="J122" s="160" t="str">
        <f>IFERROR(INDEX(下年标准成本!I:I,MATCH(C122,下年标准成本!C:C,0),1),"")</f>
        <v/>
      </c>
      <c r="K122" s="146" t="str">
        <f t="shared" si="17"/>
        <v/>
      </c>
      <c r="L122" s="146" t="str">
        <f t="shared" si="18"/>
        <v/>
      </c>
      <c r="M122" s="148" t="str">
        <f t="shared" si="19"/>
        <v/>
      </c>
    </row>
    <row r="123" spans="1:13" x14ac:dyDescent="0.3">
      <c r="A123" s="149"/>
      <c r="B123" s="149"/>
      <c r="C123" s="149"/>
      <c r="D123" s="149"/>
      <c r="E123" s="149"/>
      <c r="F123" s="149"/>
      <c r="G123" s="162"/>
      <c r="H123" s="146" t="str">
        <f t="shared" si="15"/>
        <v/>
      </c>
      <c r="I123" s="161" t="str">
        <f t="shared" si="16"/>
        <v/>
      </c>
      <c r="J123" s="160" t="str">
        <f>IFERROR(INDEX(下年标准成本!I:I,MATCH(C123,下年标准成本!C:C,0),1),"")</f>
        <v/>
      </c>
      <c r="K123" s="146" t="str">
        <f t="shared" si="17"/>
        <v/>
      </c>
      <c r="L123" s="146" t="str">
        <f t="shared" si="18"/>
        <v/>
      </c>
      <c r="M123" s="148" t="str">
        <f t="shared" si="19"/>
        <v/>
      </c>
    </row>
    <row r="124" spans="1:13" x14ac:dyDescent="0.3">
      <c r="A124" s="149"/>
      <c r="B124" s="149"/>
      <c r="C124" s="149"/>
      <c r="D124" s="149"/>
      <c r="E124" s="149"/>
      <c r="F124" s="149"/>
      <c r="G124" s="162"/>
      <c r="H124" s="146" t="str">
        <f t="shared" si="15"/>
        <v/>
      </c>
      <c r="I124" s="161" t="str">
        <f t="shared" si="16"/>
        <v/>
      </c>
      <c r="J124" s="160" t="str">
        <f>IFERROR(INDEX(下年标准成本!I:I,MATCH(C124,下年标准成本!C:C,0),1),"")</f>
        <v/>
      </c>
      <c r="K124" s="146" t="str">
        <f t="shared" si="17"/>
        <v/>
      </c>
      <c r="L124" s="146" t="str">
        <f t="shared" si="18"/>
        <v/>
      </c>
      <c r="M124" s="148" t="str">
        <f t="shared" si="19"/>
        <v/>
      </c>
    </row>
    <row r="125" spans="1:13" x14ac:dyDescent="0.3">
      <c r="A125" s="149"/>
      <c r="B125" s="149"/>
      <c r="C125" s="149"/>
      <c r="D125" s="149"/>
      <c r="E125" s="149"/>
      <c r="F125" s="149"/>
      <c r="G125" s="162"/>
      <c r="H125" s="146" t="str">
        <f t="shared" si="15"/>
        <v/>
      </c>
      <c r="I125" s="161" t="str">
        <f t="shared" si="16"/>
        <v/>
      </c>
      <c r="J125" s="160" t="str">
        <f>IFERROR(INDEX(下年标准成本!I:I,MATCH(C125,下年标准成本!C:C,0),1),"")</f>
        <v/>
      </c>
      <c r="K125" s="146" t="str">
        <f t="shared" si="17"/>
        <v/>
      </c>
      <c r="L125" s="146" t="str">
        <f t="shared" si="18"/>
        <v/>
      </c>
      <c r="M125" s="148" t="str">
        <f t="shared" si="19"/>
        <v/>
      </c>
    </row>
    <row r="126" spans="1:13" x14ac:dyDescent="0.3">
      <c r="A126" s="149"/>
      <c r="B126" s="149"/>
      <c r="C126" s="149"/>
      <c r="D126" s="149"/>
      <c r="E126" s="149"/>
      <c r="F126" s="149"/>
      <c r="G126" s="162"/>
      <c r="H126" s="146" t="str">
        <f t="shared" si="15"/>
        <v/>
      </c>
      <c r="I126" s="161" t="str">
        <f t="shared" si="16"/>
        <v/>
      </c>
      <c r="J126" s="160" t="str">
        <f>IFERROR(INDEX(下年标准成本!I:I,MATCH(C126,下年标准成本!C:C,0),1),"")</f>
        <v/>
      </c>
      <c r="K126" s="146" t="str">
        <f t="shared" si="17"/>
        <v/>
      </c>
      <c r="L126" s="146" t="str">
        <f t="shared" si="18"/>
        <v/>
      </c>
      <c r="M126" s="148" t="str">
        <f t="shared" si="19"/>
        <v/>
      </c>
    </row>
    <row r="127" spans="1:13" x14ac:dyDescent="0.3">
      <c r="A127" s="149"/>
      <c r="B127" s="149"/>
      <c r="C127" s="149"/>
      <c r="D127" s="149"/>
      <c r="E127" s="149"/>
      <c r="F127" s="149"/>
      <c r="G127" s="162"/>
      <c r="H127" s="146" t="str">
        <f t="shared" si="15"/>
        <v/>
      </c>
      <c r="I127" s="161" t="str">
        <f t="shared" si="16"/>
        <v/>
      </c>
      <c r="J127" s="160" t="str">
        <f>IFERROR(INDEX(下年标准成本!I:I,MATCH(C127,下年标准成本!C:C,0),1),"")</f>
        <v/>
      </c>
      <c r="K127" s="146" t="str">
        <f t="shared" si="17"/>
        <v/>
      </c>
      <c r="L127" s="146" t="str">
        <f t="shared" si="18"/>
        <v/>
      </c>
      <c r="M127" s="148" t="str">
        <f t="shared" si="19"/>
        <v/>
      </c>
    </row>
    <row r="128" spans="1:13" x14ac:dyDescent="0.3">
      <c r="A128" s="149"/>
      <c r="B128" s="149"/>
      <c r="C128" s="149"/>
      <c r="D128" s="149"/>
      <c r="E128" s="149"/>
      <c r="F128" s="149"/>
      <c r="G128" s="162"/>
      <c r="H128" s="146" t="str">
        <f t="shared" si="15"/>
        <v/>
      </c>
      <c r="I128" s="161" t="str">
        <f t="shared" si="16"/>
        <v/>
      </c>
      <c r="J128" s="160" t="str">
        <f>IFERROR(INDEX(下年标准成本!I:I,MATCH(C128,下年标准成本!C:C,0),1),"")</f>
        <v/>
      </c>
      <c r="K128" s="146" t="str">
        <f t="shared" si="17"/>
        <v/>
      </c>
      <c r="L128" s="146" t="str">
        <f t="shared" si="18"/>
        <v/>
      </c>
      <c r="M128" s="148" t="str">
        <f t="shared" si="19"/>
        <v/>
      </c>
    </row>
    <row r="129" spans="1:13" x14ac:dyDescent="0.3">
      <c r="A129" s="149"/>
      <c r="B129" s="149"/>
      <c r="C129" s="149"/>
      <c r="D129" s="149"/>
      <c r="E129" s="149"/>
      <c r="F129" s="149"/>
      <c r="G129" s="162"/>
      <c r="H129" s="146" t="str">
        <f t="shared" si="15"/>
        <v/>
      </c>
      <c r="I129" s="161" t="str">
        <f t="shared" si="16"/>
        <v/>
      </c>
      <c r="J129" s="160" t="str">
        <f>IFERROR(INDEX(下年标准成本!I:I,MATCH(C129,下年标准成本!C:C,0),1),"")</f>
        <v/>
      </c>
      <c r="K129" s="146" t="str">
        <f t="shared" si="17"/>
        <v/>
      </c>
      <c r="L129" s="146" t="str">
        <f t="shared" si="18"/>
        <v/>
      </c>
      <c r="M129" s="148" t="str">
        <f t="shared" si="19"/>
        <v/>
      </c>
    </row>
    <row r="130" spans="1:13" x14ac:dyDescent="0.3">
      <c r="A130" s="149"/>
      <c r="B130" s="149"/>
      <c r="C130" s="149"/>
      <c r="D130" s="149"/>
      <c r="E130" s="149"/>
      <c r="F130" s="149"/>
      <c r="G130" s="162"/>
      <c r="H130" s="146" t="str">
        <f t="shared" si="15"/>
        <v/>
      </c>
      <c r="I130" s="161" t="str">
        <f t="shared" si="16"/>
        <v/>
      </c>
      <c r="J130" s="160" t="str">
        <f>IFERROR(INDEX(下年标准成本!I:I,MATCH(C130,下年标准成本!C:C,0),1),"")</f>
        <v/>
      </c>
      <c r="K130" s="146" t="str">
        <f t="shared" si="17"/>
        <v/>
      </c>
      <c r="L130" s="146" t="str">
        <f t="shared" si="18"/>
        <v/>
      </c>
      <c r="M130" s="148" t="str">
        <f t="shared" si="19"/>
        <v/>
      </c>
    </row>
    <row r="131" spans="1:13" x14ac:dyDescent="0.3">
      <c r="A131" s="149"/>
      <c r="B131" s="149"/>
      <c r="C131" s="149"/>
      <c r="D131" s="149"/>
      <c r="E131" s="149"/>
      <c r="F131" s="149"/>
      <c r="G131" s="162"/>
      <c r="H131" s="146" t="str">
        <f t="shared" si="15"/>
        <v/>
      </c>
      <c r="I131" s="161" t="str">
        <f t="shared" si="16"/>
        <v/>
      </c>
      <c r="J131" s="160" t="str">
        <f>IFERROR(INDEX(下年标准成本!I:I,MATCH(C131,下年标准成本!C:C,0),1),"")</f>
        <v/>
      </c>
      <c r="K131" s="146" t="str">
        <f t="shared" si="17"/>
        <v/>
      </c>
      <c r="L131" s="146" t="str">
        <f t="shared" si="18"/>
        <v/>
      </c>
      <c r="M131" s="148" t="str">
        <f t="shared" si="19"/>
        <v/>
      </c>
    </row>
    <row r="132" spans="1:13" x14ac:dyDescent="0.3">
      <c r="A132" s="149"/>
      <c r="B132" s="149"/>
      <c r="C132" s="149"/>
      <c r="D132" s="149"/>
      <c r="E132" s="149"/>
      <c r="F132" s="149"/>
      <c r="G132" s="162"/>
      <c r="H132" s="146" t="str">
        <f t="shared" si="15"/>
        <v/>
      </c>
      <c r="I132" s="161" t="str">
        <f t="shared" si="16"/>
        <v/>
      </c>
      <c r="J132" s="160" t="str">
        <f>IFERROR(INDEX(下年标准成本!I:I,MATCH(C132,下年标准成本!C:C,0),1),"")</f>
        <v/>
      </c>
      <c r="K132" s="146" t="str">
        <f t="shared" si="17"/>
        <v/>
      </c>
      <c r="L132" s="146" t="str">
        <f t="shared" si="18"/>
        <v/>
      </c>
      <c r="M132" s="148" t="str">
        <f t="shared" si="19"/>
        <v/>
      </c>
    </row>
    <row r="133" spans="1:13" x14ac:dyDescent="0.3">
      <c r="A133" s="149"/>
      <c r="B133" s="149"/>
      <c r="C133" s="149"/>
      <c r="D133" s="149"/>
      <c r="E133" s="149"/>
      <c r="F133" s="149"/>
      <c r="G133" s="162"/>
      <c r="H133" s="146" t="str">
        <f t="shared" si="15"/>
        <v/>
      </c>
      <c r="I133" s="161" t="str">
        <f t="shared" si="16"/>
        <v/>
      </c>
      <c r="J133" s="160" t="str">
        <f>IFERROR(INDEX(下年标准成本!I:I,MATCH(C133,下年标准成本!C:C,0),1),"")</f>
        <v/>
      </c>
      <c r="K133" s="146" t="str">
        <f t="shared" si="17"/>
        <v/>
      </c>
      <c r="L133" s="146" t="str">
        <f t="shared" si="18"/>
        <v/>
      </c>
      <c r="M133" s="148" t="str">
        <f t="shared" si="19"/>
        <v/>
      </c>
    </row>
    <row r="134" spans="1:13" x14ac:dyDescent="0.3">
      <c r="A134" s="149"/>
      <c r="B134" s="149"/>
      <c r="C134" s="149"/>
      <c r="D134" s="149"/>
      <c r="E134" s="149"/>
      <c r="F134" s="149"/>
      <c r="G134" s="162"/>
      <c r="H134" s="146" t="str">
        <f t="shared" si="15"/>
        <v/>
      </c>
      <c r="I134" s="161" t="str">
        <f t="shared" si="16"/>
        <v/>
      </c>
      <c r="J134" s="160" t="str">
        <f>IFERROR(INDEX(下年标准成本!I:I,MATCH(C134,下年标准成本!C:C,0),1),"")</f>
        <v/>
      </c>
      <c r="K134" s="146" t="str">
        <f t="shared" si="17"/>
        <v/>
      </c>
      <c r="L134" s="146" t="str">
        <f t="shared" si="18"/>
        <v/>
      </c>
      <c r="M134" s="148" t="str">
        <f t="shared" si="19"/>
        <v/>
      </c>
    </row>
    <row r="135" spans="1:13" x14ac:dyDescent="0.3">
      <c r="A135" s="149"/>
      <c r="B135" s="149"/>
      <c r="C135" s="149"/>
      <c r="D135" s="149"/>
      <c r="E135" s="149"/>
      <c r="F135" s="149"/>
      <c r="G135" s="162"/>
      <c r="H135" s="146" t="str">
        <f t="shared" si="15"/>
        <v/>
      </c>
      <c r="I135" s="161" t="str">
        <f t="shared" si="16"/>
        <v/>
      </c>
      <c r="J135" s="160" t="str">
        <f>IFERROR(INDEX(下年标准成本!I:I,MATCH(C135,下年标准成本!C:C,0),1),"")</f>
        <v/>
      </c>
      <c r="K135" s="146" t="str">
        <f t="shared" si="17"/>
        <v/>
      </c>
      <c r="L135" s="146" t="str">
        <f t="shared" si="18"/>
        <v/>
      </c>
      <c r="M135" s="148" t="str">
        <f t="shared" si="19"/>
        <v/>
      </c>
    </row>
    <row r="136" spans="1:13" x14ac:dyDescent="0.3">
      <c r="A136" s="149"/>
      <c r="B136" s="149"/>
      <c r="C136" s="149"/>
      <c r="D136" s="149"/>
      <c r="E136" s="149"/>
      <c r="F136" s="149"/>
      <c r="G136" s="162"/>
      <c r="H136" s="146" t="str">
        <f t="shared" si="15"/>
        <v/>
      </c>
      <c r="I136" s="161" t="str">
        <f t="shared" si="16"/>
        <v/>
      </c>
      <c r="J136" s="160" t="str">
        <f>IFERROR(INDEX(下年标准成本!I:I,MATCH(C136,下年标准成本!C:C,0),1),"")</f>
        <v/>
      </c>
      <c r="K136" s="146" t="str">
        <f t="shared" si="17"/>
        <v/>
      </c>
      <c r="L136" s="146" t="str">
        <f t="shared" si="18"/>
        <v/>
      </c>
      <c r="M136" s="148" t="str">
        <f t="shared" si="19"/>
        <v/>
      </c>
    </row>
    <row r="137" spans="1:13" x14ac:dyDescent="0.3">
      <c r="A137" s="149"/>
      <c r="B137" s="149"/>
      <c r="C137" s="149"/>
      <c r="D137" s="149"/>
      <c r="E137" s="149"/>
      <c r="F137" s="149"/>
      <c r="G137" s="162"/>
      <c r="H137" s="146" t="str">
        <f t="shared" si="15"/>
        <v/>
      </c>
      <c r="I137" s="161" t="str">
        <f t="shared" si="16"/>
        <v/>
      </c>
      <c r="J137" s="160" t="str">
        <f>IFERROR(INDEX(下年标准成本!I:I,MATCH(C137,下年标准成本!C:C,0),1),"")</f>
        <v/>
      </c>
      <c r="K137" s="146" t="str">
        <f t="shared" si="17"/>
        <v/>
      </c>
      <c r="L137" s="146" t="str">
        <f t="shared" si="18"/>
        <v/>
      </c>
      <c r="M137" s="148" t="str">
        <f t="shared" si="19"/>
        <v/>
      </c>
    </row>
    <row r="138" spans="1:13" x14ac:dyDescent="0.3">
      <c r="A138" s="149"/>
      <c r="B138" s="149"/>
      <c r="C138" s="149"/>
      <c r="D138" s="149"/>
      <c r="E138" s="149"/>
      <c r="F138" s="149"/>
      <c r="G138" s="162"/>
      <c r="H138" s="146" t="str">
        <f t="shared" ref="H138:H201" si="20">IFERROR(F138/E138,"")</f>
        <v/>
      </c>
      <c r="I138" s="161" t="str">
        <f t="shared" ref="I138:I201" si="21">IFERROR(H138*(1+G138),"")</f>
        <v/>
      </c>
      <c r="J138" s="160" t="str">
        <f>IFERROR(INDEX(下年标准成本!I:I,MATCH(C138,下年标准成本!C:C,0),1),"")</f>
        <v/>
      </c>
      <c r="K138" s="146" t="str">
        <f t="shared" ref="K138:K201" si="22">IFERROR(E138*J138,"")</f>
        <v/>
      </c>
      <c r="L138" s="146" t="str">
        <f t="shared" ref="L138:L201" si="23">IFERROR(F138-K138,"")</f>
        <v/>
      </c>
      <c r="M138" s="148" t="str">
        <f t="shared" ref="M138:M201" si="24">IFERROR(L138/F138,"")</f>
        <v/>
      </c>
    </row>
    <row r="139" spans="1:13" x14ac:dyDescent="0.3">
      <c r="A139" s="149"/>
      <c r="B139" s="149"/>
      <c r="C139" s="149"/>
      <c r="D139" s="149"/>
      <c r="E139" s="149"/>
      <c r="F139" s="149"/>
      <c r="G139" s="162"/>
      <c r="H139" s="146" t="str">
        <f t="shared" si="20"/>
        <v/>
      </c>
      <c r="I139" s="161" t="str">
        <f t="shared" si="21"/>
        <v/>
      </c>
      <c r="J139" s="160" t="str">
        <f>IFERROR(INDEX(下年标准成本!I:I,MATCH(C139,下年标准成本!C:C,0),1),"")</f>
        <v/>
      </c>
      <c r="K139" s="146" t="str">
        <f t="shared" si="22"/>
        <v/>
      </c>
      <c r="L139" s="146" t="str">
        <f t="shared" si="23"/>
        <v/>
      </c>
      <c r="M139" s="148" t="str">
        <f t="shared" si="24"/>
        <v/>
      </c>
    </row>
    <row r="140" spans="1:13" x14ac:dyDescent="0.3">
      <c r="A140" s="149"/>
      <c r="B140" s="149"/>
      <c r="C140" s="149"/>
      <c r="D140" s="149"/>
      <c r="E140" s="149"/>
      <c r="F140" s="149"/>
      <c r="G140" s="162"/>
      <c r="H140" s="146" t="str">
        <f t="shared" si="20"/>
        <v/>
      </c>
      <c r="I140" s="161" t="str">
        <f t="shared" si="21"/>
        <v/>
      </c>
      <c r="J140" s="160" t="str">
        <f>IFERROR(INDEX(下年标准成本!I:I,MATCH(C140,下年标准成本!C:C,0),1),"")</f>
        <v/>
      </c>
      <c r="K140" s="146" t="str">
        <f t="shared" si="22"/>
        <v/>
      </c>
      <c r="L140" s="146" t="str">
        <f t="shared" si="23"/>
        <v/>
      </c>
      <c r="M140" s="148" t="str">
        <f t="shared" si="24"/>
        <v/>
      </c>
    </row>
    <row r="141" spans="1:13" x14ac:dyDescent="0.3">
      <c r="A141" s="149"/>
      <c r="B141" s="149"/>
      <c r="C141" s="149"/>
      <c r="D141" s="149"/>
      <c r="E141" s="149"/>
      <c r="F141" s="149"/>
      <c r="G141" s="162"/>
      <c r="H141" s="146" t="str">
        <f t="shared" si="20"/>
        <v/>
      </c>
      <c r="I141" s="161" t="str">
        <f t="shared" si="21"/>
        <v/>
      </c>
      <c r="J141" s="160" t="str">
        <f>IFERROR(INDEX(下年标准成本!I:I,MATCH(C141,下年标准成本!C:C,0),1),"")</f>
        <v/>
      </c>
      <c r="K141" s="146" t="str">
        <f t="shared" si="22"/>
        <v/>
      </c>
      <c r="L141" s="146" t="str">
        <f t="shared" si="23"/>
        <v/>
      </c>
      <c r="M141" s="148" t="str">
        <f t="shared" si="24"/>
        <v/>
      </c>
    </row>
    <row r="142" spans="1:13" x14ac:dyDescent="0.3">
      <c r="A142" s="149"/>
      <c r="B142" s="149"/>
      <c r="C142" s="149"/>
      <c r="D142" s="149"/>
      <c r="E142" s="149"/>
      <c r="F142" s="149"/>
      <c r="G142" s="162"/>
      <c r="H142" s="146" t="str">
        <f t="shared" si="20"/>
        <v/>
      </c>
      <c r="I142" s="161" t="str">
        <f t="shared" si="21"/>
        <v/>
      </c>
      <c r="J142" s="160" t="str">
        <f>IFERROR(INDEX(下年标准成本!I:I,MATCH(C142,下年标准成本!C:C,0),1),"")</f>
        <v/>
      </c>
      <c r="K142" s="146" t="str">
        <f t="shared" si="22"/>
        <v/>
      </c>
      <c r="L142" s="146" t="str">
        <f t="shared" si="23"/>
        <v/>
      </c>
      <c r="M142" s="148" t="str">
        <f t="shared" si="24"/>
        <v/>
      </c>
    </row>
    <row r="143" spans="1:13" x14ac:dyDescent="0.3">
      <c r="A143" s="149"/>
      <c r="B143" s="149"/>
      <c r="C143" s="149"/>
      <c r="D143" s="149"/>
      <c r="E143" s="149"/>
      <c r="F143" s="149"/>
      <c r="G143" s="162"/>
      <c r="H143" s="146" t="str">
        <f t="shared" si="20"/>
        <v/>
      </c>
      <c r="I143" s="161" t="str">
        <f t="shared" si="21"/>
        <v/>
      </c>
      <c r="J143" s="160" t="str">
        <f>IFERROR(INDEX(下年标准成本!I:I,MATCH(C143,下年标准成本!C:C,0),1),"")</f>
        <v/>
      </c>
      <c r="K143" s="146" t="str">
        <f t="shared" si="22"/>
        <v/>
      </c>
      <c r="L143" s="146" t="str">
        <f t="shared" si="23"/>
        <v/>
      </c>
      <c r="M143" s="148" t="str">
        <f t="shared" si="24"/>
        <v/>
      </c>
    </row>
    <row r="144" spans="1:13" x14ac:dyDescent="0.3">
      <c r="A144" s="149"/>
      <c r="B144" s="149"/>
      <c r="C144" s="149"/>
      <c r="D144" s="149"/>
      <c r="E144" s="149"/>
      <c r="F144" s="149"/>
      <c r="G144" s="162"/>
      <c r="H144" s="146" t="str">
        <f t="shared" si="20"/>
        <v/>
      </c>
      <c r="I144" s="161" t="str">
        <f t="shared" si="21"/>
        <v/>
      </c>
      <c r="J144" s="160" t="str">
        <f>IFERROR(INDEX(下年标准成本!I:I,MATCH(C144,下年标准成本!C:C,0),1),"")</f>
        <v/>
      </c>
      <c r="K144" s="146" t="str">
        <f t="shared" si="22"/>
        <v/>
      </c>
      <c r="L144" s="146" t="str">
        <f t="shared" si="23"/>
        <v/>
      </c>
      <c r="M144" s="148" t="str">
        <f t="shared" si="24"/>
        <v/>
      </c>
    </row>
    <row r="145" spans="1:13" x14ac:dyDescent="0.3">
      <c r="A145" s="149"/>
      <c r="B145" s="149"/>
      <c r="C145" s="149"/>
      <c r="D145" s="149"/>
      <c r="E145" s="149"/>
      <c r="F145" s="149"/>
      <c r="G145" s="162"/>
      <c r="H145" s="146" t="str">
        <f t="shared" si="20"/>
        <v/>
      </c>
      <c r="I145" s="161" t="str">
        <f t="shared" si="21"/>
        <v/>
      </c>
      <c r="J145" s="160" t="str">
        <f>IFERROR(INDEX(下年标准成本!I:I,MATCH(C145,下年标准成本!C:C,0),1),"")</f>
        <v/>
      </c>
      <c r="K145" s="146" t="str">
        <f t="shared" si="22"/>
        <v/>
      </c>
      <c r="L145" s="146" t="str">
        <f t="shared" si="23"/>
        <v/>
      </c>
      <c r="M145" s="148" t="str">
        <f t="shared" si="24"/>
        <v/>
      </c>
    </row>
    <row r="146" spans="1:13" x14ac:dyDescent="0.3">
      <c r="A146" s="149"/>
      <c r="B146" s="149"/>
      <c r="C146" s="149"/>
      <c r="D146" s="149"/>
      <c r="E146" s="149"/>
      <c r="F146" s="149"/>
      <c r="G146" s="162"/>
      <c r="H146" s="146" t="str">
        <f t="shared" si="20"/>
        <v/>
      </c>
      <c r="I146" s="161" t="str">
        <f t="shared" si="21"/>
        <v/>
      </c>
      <c r="J146" s="160" t="str">
        <f>IFERROR(INDEX(下年标准成本!I:I,MATCH(C146,下年标准成本!C:C,0),1),"")</f>
        <v/>
      </c>
      <c r="K146" s="146" t="str">
        <f t="shared" si="22"/>
        <v/>
      </c>
      <c r="L146" s="146" t="str">
        <f t="shared" si="23"/>
        <v/>
      </c>
      <c r="M146" s="148" t="str">
        <f t="shared" si="24"/>
        <v/>
      </c>
    </row>
    <row r="147" spans="1:13" x14ac:dyDescent="0.3">
      <c r="A147" s="149"/>
      <c r="B147" s="149"/>
      <c r="C147" s="149"/>
      <c r="D147" s="149"/>
      <c r="E147" s="149"/>
      <c r="F147" s="149"/>
      <c r="G147" s="162"/>
      <c r="H147" s="146" t="str">
        <f t="shared" si="20"/>
        <v/>
      </c>
      <c r="I147" s="161" t="str">
        <f t="shared" si="21"/>
        <v/>
      </c>
      <c r="J147" s="160" t="str">
        <f>IFERROR(INDEX(下年标准成本!I:I,MATCH(C147,下年标准成本!C:C,0),1),"")</f>
        <v/>
      </c>
      <c r="K147" s="146" t="str">
        <f t="shared" si="22"/>
        <v/>
      </c>
      <c r="L147" s="146" t="str">
        <f t="shared" si="23"/>
        <v/>
      </c>
      <c r="M147" s="148" t="str">
        <f t="shared" si="24"/>
        <v/>
      </c>
    </row>
    <row r="148" spans="1:13" x14ac:dyDescent="0.3">
      <c r="A148" s="149"/>
      <c r="B148" s="149"/>
      <c r="C148" s="149"/>
      <c r="D148" s="149"/>
      <c r="E148" s="149"/>
      <c r="F148" s="149"/>
      <c r="G148" s="162"/>
      <c r="H148" s="146" t="str">
        <f t="shared" si="20"/>
        <v/>
      </c>
      <c r="I148" s="161" t="str">
        <f t="shared" si="21"/>
        <v/>
      </c>
      <c r="J148" s="160" t="str">
        <f>IFERROR(INDEX(下年标准成本!I:I,MATCH(C148,下年标准成本!C:C,0),1),"")</f>
        <v/>
      </c>
      <c r="K148" s="146" t="str">
        <f t="shared" si="22"/>
        <v/>
      </c>
      <c r="L148" s="146" t="str">
        <f t="shared" si="23"/>
        <v/>
      </c>
      <c r="M148" s="148" t="str">
        <f t="shared" si="24"/>
        <v/>
      </c>
    </row>
    <row r="149" spans="1:13" x14ac:dyDescent="0.3">
      <c r="A149" s="149"/>
      <c r="B149" s="149"/>
      <c r="C149" s="149"/>
      <c r="D149" s="149"/>
      <c r="E149" s="149"/>
      <c r="F149" s="149"/>
      <c r="G149" s="162"/>
      <c r="H149" s="146" t="str">
        <f t="shared" si="20"/>
        <v/>
      </c>
      <c r="I149" s="161" t="str">
        <f t="shared" si="21"/>
        <v/>
      </c>
      <c r="J149" s="160" t="str">
        <f>IFERROR(INDEX(下年标准成本!I:I,MATCH(C149,下年标准成本!C:C,0),1),"")</f>
        <v/>
      </c>
      <c r="K149" s="146" t="str">
        <f t="shared" si="22"/>
        <v/>
      </c>
      <c r="L149" s="146" t="str">
        <f t="shared" si="23"/>
        <v/>
      </c>
      <c r="M149" s="148" t="str">
        <f t="shared" si="24"/>
        <v/>
      </c>
    </row>
    <row r="150" spans="1:13" x14ac:dyDescent="0.3">
      <c r="A150" s="149"/>
      <c r="B150" s="149"/>
      <c r="C150" s="149"/>
      <c r="D150" s="149"/>
      <c r="E150" s="149"/>
      <c r="F150" s="149"/>
      <c r="G150" s="162"/>
      <c r="H150" s="146" t="str">
        <f t="shared" si="20"/>
        <v/>
      </c>
      <c r="I150" s="161" t="str">
        <f t="shared" si="21"/>
        <v/>
      </c>
      <c r="J150" s="160" t="str">
        <f>IFERROR(INDEX(下年标准成本!I:I,MATCH(C150,下年标准成本!C:C,0),1),"")</f>
        <v/>
      </c>
      <c r="K150" s="146" t="str">
        <f t="shared" si="22"/>
        <v/>
      </c>
      <c r="L150" s="146" t="str">
        <f t="shared" si="23"/>
        <v/>
      </c>
      <c r="M150" s="148" t="str">
        <f t="shared" si="24"/>
        <v/>
      </c>
    </row>
    <row r="151" spans="1:13" x14ac:dyDescent="0.3">
      <c r="A151" s="149"/>
      <c r="B151" s="149"/>
      <c r="C151" s="149"/>
      <c r="D151" s="149"/>
      <c r="E151" s="149"/>
      <c r="F151" s="149"/>
      <c r="G151" s="162"/>
      <c r="H151" s="146" t="str">
        <f t="shared" si="20"/>
        <v/>
      </c>
      <c r="I151" s="161" t="str">
        <f t="shared" si="21"/>
        <v/>
      </c>
      <c r="J151" s="160" t="str">
        <f>IFERROR(INDEX(下年标准成本!I:I,MATCH(C151,下年标准成本!C:C,0),1),"")</f>
        <v/>
      </c>
      <c r="K151" s="146" t="str">
        <f t="shared" si="22"/>
        <v/>
      </c>
      <c r="L151" s="146" t="str">
        <f t="shared" si="23"/>
        <v/>
      </c>
      <c r="M151" s="148" t="str">
        <f t="shared" si="24"/>
        <v/>
      </c>
    </row>
    <row r="152" spans="1:13" x14ac:dyDescent="0.3">
      <c r="A152" s="149"/>
      <c r="B152" s="149"/>
      <c r="C152" s="149"/>
      <c r="D152" s="149"/>
      <c r="E152" s="149"/>
      <c r="F152" s="149"/>
      <c r="G152" s="162"/>
      <c r="H152" s="146" t="str">
        <f t="shared" si="20"/>
        <v/>
      </c>
      <c r="I152" s="161" t="str">
        <f t="shared" si="21"/>
        <v/>
      </c>
      <c r="J152" s="160" t="str">
        <f>IFERROR(INDEX(下年标准成本!I:I,MATCH(C152,下年标准成本!C:C,0),1),"")</f>
        <v/>
      </c>
      <c r="K152" s="146" t="str">
        <f t="shared" si="22"/>
        <v/>
      </c>
      <c r="L152" s="146" t="str">
        <f t="shared" si="23"/>
        <v/>
      </c>
      <c r="M152" s="148" t="str">
        <f t="shared" si="24"/>
        <v/>
      </c>
    </row>
    <row r="153" spans="1:13" x14ac:dyDescent="0.3">
      <c r="A153" s="149"/>
      <c r="B153" s="149"/>
      <c r="C153" s="149"/>
      <c r="D153" s="149"/>
      <c r="E153" s="149"/>
      <c r="F153" s="149"/>
      <c r="G153" s="162"/>
      <c r="H153" s="146" t="str">
        <f t="shared" si="20"/>
        <v/>
      </c>
      <c r="I153" s="161" t="str">
        <f t="shared" si="21"/>
        <v/>
      </c>
      <c r="J153" s="160" t="str">
        <f>IFERROR(INDEX(下年标准成本!I:I,MATCH(C153,下年标准成本!C:C,0),1),"")</f>
        <v/>
      </c>
      <c r="K153" s="146" t="str">
        <f t="shared" si="22"/>
        <v/>
      </c>
      <c r="L153" s="146" t="str">
        <f t="shared" si="23"/>
        <v/>
      </c>
      <c r="M153" s="148" t="str">
        <f t="shared" si="24"/>
        <v/>
      </c>
    </row>
    <row r="154" spans="1:13" x14ac:dyDescent="0.3">
      <c r="A154" s="149"/>
      <c r="B154" s="149"/>
      <c r="C154" s="149"/>
      <c r="D154" s="149"/>
      <c r="E154" s="149"/>
      <c r="F154" s="149"/>
      <c r="G154" s="162"/>
      <c r="H154" s="146" t="str">
        <f t="shared" si="20"/>
        <v/>
      </c>
      <c r="I154" s="161" t="str">
        <f t="shared" si="21"/>
        <v/>
      </c>
      <c r="J154" s="160" t="str">
        <f>IFERROR(INDEX(下年标准成本!I:I,MATCH(C154,下年标准成本!C:C,0),1),"")</f>
        <v/>
      </c>
      <c r="K154" s="146" t="str">
        <f t="shared" si="22"/>
        <v/>
      </c>
      <c r="L154" s="146" t="str">
        <f t="shared" si="23"/>
        <v/>
      </c>
      <c r="M154" s="148" t="str">
        <f t="shared" si="24"/>
        <v/>
      </c>
    </row>
    <row r="155" spans="1:13" x14ac:dyDescent="0.3">
      <c r="A155" s="149"/>
      <c r="B155" s="149"/>
      <c r="C155" s="149"/>
      <c r="D155" s="149"/>
      <c r="E155" s="149"/>
      <c r="F155" s="149"/>
      <c r="G155" s="162"/>
      <c r="H155" s="146" t="str">
        <f t="shared" si="20"/>
        <v/>
      </c>
      <c r="I155" s="161" t="str">
        <f t="shared" si="21"/>
        <v/>
      </c>
      <c r="J155" s="160" t="str">
        <f>IFERROR(INDEX(下年标准成本!I:I,MATCH(C155,下年标准成本!C:C,0),1),"")</f>
        <v/>
      </c>
      <c r="K155" s="146" t="str">
        <f t="shared" si="22"/>
        <v/>
      </c>
      <c r="L155" s="146" t="str">
        <f t="shared" si="23"/>
        <v/>
      </c>
      <c r="M155" s="148" t="str">
        <f t="shared" si="24"/>
        <v/>
      </c>
    </row>
    <row r="156" spans="1:13" x14ac:dyDescent="0.3">
      <c r="A156" s="149"/>
      <c r="B156" s="149"/>
      <c r="C156" s="149"/>
      <c r="D156" s="149"/>
      <c r="E156" s="149"/>
      <c r="F156" s="149"/>
      <c r="G156" s="162"/>
      <c r="H156" s="146" t="str">
        <f t="shared" si="20"/>
        <v/>
      </c>
      <c r="I156" s="161" t="str">
        <f t="shared" si="21"/>
        <v/>
      </c>
      <c r="J156" s="160" t="str">
        <f>IFERROR(INDEX(下年标准成本!I:I,MATCH(C156,下年标准成本!C:C,0),1),"")</f>
        <v/>
      </c>
      <c r="K156" s="146" t="str">
        <f t="shared" si="22"/>
        <v/>
      </c>
      <c r="L156" s="146" t="str">
        <f t="shared" si="23"/>
        <v/>
      </c>
      <c r="M156" s="148" t="str">
        <f t="shared" si="24"/>
        <v/>
      </c>
    </row>
    <row r="157" spans="1:13" x14ac:dyDescent="0.3">
      <c r="A157" s="149"/>
      <c r="B157" s="149"/>
      <c r="C157" s="149"/>
      <c r="D157" s="149"/>
      <c r="E157" s="149"/>
      <c r="F157" s="149"/>
      <c r="G157" s="162"/>
      <c r="H157" s="146" t="str">
        <f t="shared" si="20"/>
        <v/>
      </c>
      <c r="I157" s="161" t="str">
        <f t="shared" si="21"/>
        <v/>
      </c>
      <c r="J157" s="160" t="str">
        <f>IFERROR(INDEX(下年标准成本!I:I,MATCH(C157,下年标准成本!C:C,0),1),"")</f>
        <v/>
      </c>
      <c r="K157" s="146" t="str">
        <f t="shared" si="22"/>
        <v/>
      </c>
      <c r="L157" s="146" t="str">
        <f t="shared" si="23"/>
        <v/>
      </c>
      <c r="M157" s="148" t="str">
        <f t="shared" si="24"/>
        <v/>
      </c>
    </row>
    <row r="158" spans="1:13" x14ac:dyDescent="0.3">
      <c r="A158" s="149"/>
      <c r="B158" s="149"/>
      <c r="C158" s="149"/>
      <c r="D158" s="149"/>
      <c r="E158" s="149"/>
      <c r="F158" s="149"/>
      <c r="G158" s="162"/>
      <c r="H158" s="146" t="str">
        <f t="shared" si="20"/>
        <v/>
      </c>
      <c r="I158" s="161" t="str">
        <f t="shared" si="21"/>
        <v/>
      </c>
      <c r="J158" s="160" t="str">
        <f>IFERROR(INDEX(下年标准成本!I:I,MATCH(C158,下年标准成本!C:C,0),1),"")</f>
        <v/>
      </c>
      <c r="K158" s="146" t="str">
        <f t="shared" si="22"/>
        <v/>
      </c>
      <c r="L158" s="146" t="str">
        <f t="shared" si="23"/>
        <v/>
      </c>
      <c r="M158" s="148" t="str">
        <f t="shared" si="24"/>
        <v/>
      </c>
    </row>
    <row r="159" spans="1:13" x14ac:dyDescent="0.3">
      <c r="A159" s="149"/>
      <c r="B159" s="149"/>
      <c r="C159" s="149"/>
      <c r="D159" s="149"/>
      <c r="E159" s="149"/>
      <c r="F159" s="149"/>
      <c r="G159" s="162"/>
      <c r="H159" s="146" t="str">
        <f t="shared" si="20"/>
        <v/>
      </c>
      <c r="I159" s="161" t="str">
        <f t="shared" si="21"/>
        <v/>
      </c>
      <c r="J159" s="160" t="str">
        <f>IFERROR(INDEX(下年标准成本!I:I,MATCH(C159,下年标准成本!C:C,0),1),"")</f>
        <v/>
      </c>
      <c r="K159" s="146" t="str">
        <f t="shared" si="22"/>
        <v/>
      </c>
      <c r="L159" s="146" t="str">
        <f t="shared" si="23"/>
        <v/>
      </c>
      <c r="M159" s="148" t="str">
        <f t="shared" si="24"/>
        <v/>
      </c>
    </row>
    <row r="160" spans="1:13" x14ac:dyDescent="0.3">
      <c r="A160" s="149"/>
      <c r="B160" s="149"/>
      <c r="C160" s="149"/>
      <c r="D160" s="149"/>
      <c r="E160" s="149"/>
      <c r="F160" s="149"/>
      <c r="G160" s="162"/>
      <c r="H160" s="146" t="str">
        <f t="shared" si="20"/>
        <v/>
      </c>
      <c r="I160" s="161" t="str">
        <f t="shared" si="21"/>
        <v/>
      </c>
      <c r="J160" s="160" t="str">
        <f>IFERROR(INDEX(下年标准成本!I:I,MATCH(C160,下年标准成本!C:C,0),1),"")</f>
        <v/>
      </c>
      <c r="K160" s="146" t="str">
        <f t="shared" si="22"/>
        <v/>
      </c>
      <c r="L160" s="146" t="str">
        <f t="shared" si="23"/>
        <v/>
      </c>
      <c r="M160" s="148" t="str">
        <f t="shared" si="24"/>
        <v/>
      </c>
    </row>
    <row r="161" spans="1:13" x14ac:dyDescent="0.3">
      <c r="A161" s="149"/>
      <c r="B161" s="149"/>
      <c r="C161" s="149"/>
      <c r="D161" s="149"/>
      <c r="E161" s="149"/>
      <c r="F161" s="149"/>
      <c r="G161" s="162"/>
      <c r="H161" s="146" t="str">
        <f t="shared" si="20"/>
        <v/>
      </c>
      <c r="I161" s="161" t="str">
        <f t="shared" si="21"/>
        <v/>
      </c>
      <c r="J161" s="160" t="str">
        <f>IFERROR(INDEX(下年标准成本!I:I,MATCH(C161,下年标准成本!C:C,0),1),"")</f>
        <v/>
      </c>
      <c r="K161" s="146" t="str">
        <f t="shared" si="22"/>
        <v/>
      </c>
      <c r="L161" s="146" t="str">
        <f t="shared" si="23"/>
        <v/>
      </c>
      <c r="M161" s="148" t="str">
        <f t="shared" si="24"/>
        <v/>
      </c>
    </row>
    <row r="162" spans="1:13" x14ac:dyDescent="0.3">
      <c r="A162" s="149"/>
      <c r="B162" s="149"/>
      <c r="C162" s="149"/>
      <c r="D162" s="149"/>
      <c r="E162" s="149"/>
      <c r="F162" s="149"/>
      <c r="G162" s="162"/>
      <c r="H162" s="146" t="str">
        <f t="shared" si="20"/>
        <v/>
      </c>
      <c r="I162" s="161" t="str">
        <f t="shared" si="21"/>
        <v/>
      </c>
      <c r="J162" s="160" t="str">
        <f>IFERROR(INDEX(下年标准成本!I:I,MATCH(C162,下年标准成本!C:C,0),1),"")</f>
        <v/>
      </c>
      <c r="K162" s="146" t="str">
        <f t="shared" si="22"/>
        <v/>
      </c>
      <c r="L162" s="146" t="str">
        <f t="shared" si="23"/>
        <v/>
      </c>
      <c r="M162" s="148" t="str">
        <f t="shared" si="24"/>
        <v/>
      </c>
    </row>
    <row r="163" spans="1:13" x14ac:dyDescent="0.3">
      <c r="A163" s="149"/>
      <c r="B163" s="149"/>
      <c r="C163" s="149"/>
      <c r="D163" s="149"/>
      <c r="E163" s="149"/>
      <c r="F163" s="149"/>
      <c r="G163" s="162"/>
      <c r="H163" s="146" t="str">
        <f t="shared" si="20"/>
        <v/>
      </c>
      <c r="I163" s="161" t="str">
        <f t="shared" si="21"/>
        <v/>
      </c>
      <c r="J163" s="160" t="str">
        <f>IFERROR(INDEX(下年标准成本!I:I,MATCH(C163,下年标准成本!C:C,0),1),"")</f>
        <v/>
      </c>
      <c r="K163" s="146" t="str">
        <f t="shared" si="22"/>
        <v/>
      </c>
      <c r="L163" s="146" t="str">
        <f t="shared" si="23"/>
        <v/>
      </c>
      <c r="M163" s="148" t="str">
        <f t="shared" si="24"/>
        <v/>
      </c>
    </row>
    <row r="164" spans="1:13" x14ac:dyDescent="0.3">
      <c r="A164" s="149"/>
      <c r="B164" s="149"/>
      <c r="C164" s="149"/>
      <c r="D164" s="149"/>
      <c r="E164" s="149"/>
      <c r="F164" s="149"/>
      <c r="G164" s="162"/>
      <c r="H164" s="146" t="str">
        <f t="shared" si="20"/>
        <v/>
      </c>
      <c r="I164" s="161" t="str">
        <f t="shared" si="21"/>
        <v/>
      </c>
      <c r="J164" s="160" t="str">
        <f>IFERROR(INDEX(下年标准成本!I:I,MATCH(C164,下年标准成本!C:C,0),1),"")</f>
        <v/>
      </c>
      <c r="K164" s="146" t="str">
        <f t="shared" si="22"/>
        <v/>
      </c>
      <c r="L164" s="146" t="str">
        <f t="shared" si="23"/>
        <v/>
      </c>
      <c r="M164" s="148" t="str">
        <f t="shared" si="24"/>
        <v/>
      </c>
    </row>
    <row r="165" spans="1:13" x14ac:dyDescent="0.3">
      <c r="A165" s="149"/>
      <c r="B165" s="149"/>
      <c r="C165" s="149"/>
      <c r="D165" s="149"/>
      <c r="E165" s="149"/>
      <c r="F165" s="149"/>
      <c r="G165" s="162"/>
      <c r="H165" s="146" t="str">
        <f t="shared" si="20"/>
        <v/>
      </c>
      <c r="I165" s="161" t="str">
        <f t="shared" si="21"/>
        <v/>
      </c>
      <c r="J165" s="160" t="str">
        <f>IFERROR(INDEX(下年标准成本!I:I,MATCH(C165,下年标准成本!C:C,0),1),"")</f>
        <v/>
      </c>
      <c r="K165" s="146" t="str">
        <f t="shared" si="22"/>
        <v/>
      </c>
      <c r="L165" s="146" t="str">
        <f t="shared" si="23"/>
        <v/>
      </c>
      <c r="M165" s="148" t="str">
        <f t="shared" si="24"/>
        <v/>
      </c>
    </row>
    <row r="166" spans="1:13" x14ac:dyDescent="0.3">
      <c r="A166" s="149"/>
      <c r="B166" s="149"/>
      <c r="C166" s="149"/>
      <c r="D166" s="149"/>
      <c r="E166" s="149"/>
      <c r="F166" s="149"/>
      <c r="G166" s="162"/>
      <c r="H166" s="146" t="str">
        <f t="shared" si="20"/>
        <v/>
      </c>
      <c r="I166" s="161" t="str">
        <f t="shared" si="21"/>
        <v/>
      </c>
      <c r="J166" s="160" t="str">
        <f>IFERROR(INDEX(下年标准成本!I:I,MATCH(C166,下年标准成本!C:C,0),1),"")</f>
        <v/>
      </c>
      <c r="K166" s="146" t="str">
        <f t="shared" si="22"/>
        <v/>
      </c>
      <c r="L166" s="146" t="str">
        <f t="shared" si="23"/>
        <v/>
      </c>
      <c r="M166" s="148" t="str">
        <f t="shared" si="24"/>
        <v/>
      </c>
    </row>
    <row r="167" spans="1:13" x14ac:dyDescent="0.3">
      <c r="A167" s="149"/>
      <c r="B167" s="149"/>
      <c r="C167" s="149"/>
      <c r="D167" s="149"/>
      <c r="E167" s="149"/>
      <c r="F167" s="149"/>
      <c r="G167" s="162"/>
      <c r="H167" s="146" t="str">
        <f t="shared" si="20"/>
        <v/>
      </c>
      <c r="I167" s="161" t="str">
        <f t="shared" si="21"/>
        <v/>
      </c>
      <c r="J167" s="160" t="str">
        <f>IFERROR(INDEX(下年标准成本!I:I,MATCH(C167,下年标准成本!C:C,0),1),"")</f>
        <v/>
      </c>
      <c r="K167" s="146" t="str">
        <f t="shared" si="22"/>
        <v/>
      </c>
      <c r="L167" s="146" t="str">
        <f t="shared" si="23"/>
        <v/>
      </c>
      <c r="M167" s="148" t="str">
        <f t="shared" si="24"/>
        <v/>
      </c>
    </row>
    <row r="168" spans="1:13" x14ac:dyDescent="0.3">
      <c r="A168" s="149"/>
      <c r="B168" s="149"/>
      <c r="C168" s="149"/>
      <c r="D168" s="149"/>
      <c r="E168" s="149"/>
      <c r="F168" s="149"/>
      <c r="G168" s="162"/>
      <c r="H168" s="146" t="str">
        <f t="shared" si="20"/>
        <v/>
      </c>
      <c r="I168" s="161" t="str">
        <f t="shared" si="21"/>
        <v/>
      </c>
      <c r="J168" s="160" t="str">
        <f>IFERROR(INDEX(下年标准成本!I:I,MATCH(C168,下年标准成本!C:C,0),1),"")</f>
        <v/>
      </c>
      <c r="K168" s="146" t="str">
        <f t="shared" si="22"/>
        <v/>
      </c>
      <c r="L168" s="146" t="str">
        <f t="shared" si="23"/>
        <v/>
      </c>
      <c r="M168" s="148" t="str">
        <f t="shared" si="24"/>
        <v/>
      </c>
    </row>
    <row r="169" spans="1:13" x14ac:dyDescent="0.3">
      <c r="A169" s="149"/>
      <c r="B169" s="149"/>
      <c r="C169" s="149"/>
      <c r="D169" s="149"/>
      <c r="E169" s="149"/>
      <c r="F169" s="149"/>
      <c r="G169" s="162"/>
      <c r="H169" s="146" t="str">
        <f t="shared" si="20"/>
        <v/>
      </c>
      <c r="I169" s="161" t="str">
        <f t="shared" si="21"/>
        <v/>
      </c>
      <c r="J169" s="160" t="str">
        <f>IFERROR(INDEX(下年标准成本!I:I,MATCH(C169,下年标准成本!C:C,0),1),"")</f>
        <v/>
      </c>
      <c r="K169" s="146" t="str">
        <f t="shared" si="22"/>
        <v/>
      </c>
      <c r="L169" s="146" t="str">
        <f t="shared" si="23"/>
        <v/>
      </c>
      <c r="M169" s="148" t="str">
        <f t="shared" si="24"/>
        <v/>
      </c>
    </row>
    <row r="170" spans="1:13" x14ac:dyDescent="0.3">
      <c r="A170" s="149"/>
      <c r="B170" s="149"/>
      <c r="C170" s="149"/>
      <c r="D170" s="149"/>
      <c r="E170" s="149"/>
      <c r="F170" s="149"/>
      <c r="G170" s="162"/>
      <c r="H170" s="146" t="str">
        <f t="shared" si="20"/>
        <v/>
      </c>
      <c r="I170" s="161" t="str">
        <f t="shared" si="21"/>
        <v/>
      </c>
      <c r="J170" s="160" t="str">
        <f>IFERROR(INDEX(下年标准成本!I:I,MATCH(C170,下年标准成本!C:C,0),1),"")</f>
        <v/>
      </c>
      <c r="K170" s="146" t="str">
        <f t="shared" si="22"/>
        <v/>
      </c>
      <c r="L170" s="146" t="str">
        <f t="shared" si="23"/>
        <v/>
      </c>
      <c r="M170" s="148" t="str">
        <f t="shared" si="24"/>
        <v/>
      </c>
    </row>
    <row r="171" spans="1:13" x14ac:dyDescent="0.3">
      <c r="A171" s="149"/>
      <c r="B171" s="149"/>
      <c r="C171" s="149"/>
      <c r="D171" s="149"/>
      <c r="E171" s="149"/>
      <c r="F171" s="149"/>
      <c r="G171" s="162"/>
      <c r="H171" s="146" t="str">
        <f t="shared" si="20"/>
        <v/>
      </c>
      <c r="I171" s="161" t="str">
        <f t="shared" si="21"/>
        <v/>
      </c>
      <c r="J171" s="160" t="str">
        <f>IFERROR(INDEX(下年标准成本!I:I,MATCH(C171,下年标准成本!C:C,0),1),"")</f>
        <v/>
      </c>
      <c r="K171" s="146" t="str">
        <f t="shared" si="22"/>
        <v/>
      </c>
      <c r="L171" s="146" t="str">
        <f t="shared" si="23"/>
        <v/>
      </c>
      <c r="M171" s="148" t="str">
        <f t="shared" si="24"/>
        <v/>
      </c>
    </row>
    <row r="172" spans="1:13" x14ac:dyDescent="0.3">
      <c r="A172" s="149"/>
      <c r="B172" s="149"/>
      <c r="C172" s="149"/>
      <c r="D172" s="149"/>
      <c r="E172" s="149"/>
      <c r="F172" s="149"/>
      <c r="G172" s="162"/>
      <c r="H172" s="146" t="str">
        <f t="shared" si="20"/>
        <v/>
      </c>
      <c r="I172" s="161" t="str">
        <f t="shared" si="21"/>
        <v/>
      </c>
      <c r="J172" s="160" t="str">
        <f>IFERROR(INDEX(下年标准成本!I:I,MATCH(C172,下年标准成本!C:C,0),1),"")</f>
        <v/>
      </c>
      <c r="K172" s="146" t="str">
        <f t="shared" si="22"/>
        <v/>
      </c>
      <c r="L172" s="146" t="str">
        <f t="shared" si="23"/>
        <v/>
      </c>
      <c r="M172" s="148" t="str">
        <f t="shared" si="24"/>
        <v/>
      </c>
    </row>
    <row r="173" spans="1:13" x14ac:dyDescent="0.3">
      <c r="A173" s="149"/>
      <c r="B173" s="149"/>
      <c r="C173" s="149"/>
      <c r="D173" s="149"/>
      <c r="E173" s="149"/>
      <c r="F173" s="149"/>
      <c r="G173" s="162"/>
      <c r="H173" s="146" t="str">
        <f t="shared" si="20"/>
        <v/>
      </c>
      <c r="I173" s="161" t="str">
        <f t="shared" si="21"/>
        <v/>
      </c>
      <c r="J173" s="160" t="str">
        <f>IFERROR(INDEX(下年标准成本!I:I,MATCH(C173,下年标准成本!C:C,0),1),"")</f>
        <v/>
      </c>
      <c r="K173" s="146" t="str">
        <f t="shared" si="22"/>
        <v/>
      </c>
      <c r="L173" s="146" t="str">
        <f t="shared" si="23"/>
        <v/>
      </c>
      <c r="M173" s="148" t="str">
        <f t="shared" si="24"/>
        <v/>
      </c>
    </row>
    <row r="174" spans="1:13" x14ac:dyDescent="0.3">
      <c r="A174" s="149"/>
      <c r="B174" s="149"/>
      <c r="C174" s="149"/>
      <c r="D174" s="149"/>
      <c r="E174" s="149"/>
      <c r="F174" s="149"/>
      <c r="G174" s="162"/>
      <c r="H174" s="146" t="str">
        <f t="shared" si="20"/>
        <v/>
      </c>
      <c r="I174" s="161" t="str">
        <f t="shared" si="21"/>
        <v/>
      </c>
      <c r="J174" s="160" t="str">
        <f>IFERROR(INDEX(下年标准成本!I:I,MATCH(C174,下年标准成本!C:C,0),1),"")</f>
        <v/>
      </c>
      <c r="K174" s="146" t="str">
        <f t="shared" si="22"/>
        <v/>
      </c>
      <c r="L174" s="146" t="str">
        <f t="shared" si="23"/>
        <v/>
      </c>
      <c r="M174" s="148" t="str">
        <f t="shared" si="24"/>
        <v/>
      </c>
    </row>
    <row r="175" spans="1:13" x14ac:dyDescent="0.3">
      <c r="A175" s="149"/>
      <c r="B175" s="149"/>
      <c r="C175" s="149"/>
      <c r="D175" s="149"/>
      <c r="E175" s="149"/>
      <c r="F175" s="149"/>
      <c r="G175" s="162"/>
      <c r="H175" s="146" t="str">
        <f t="shared" si="20"/>
        <v/>
      </c>
      <c r="I175" s="161" t="str">
        <f t="shared" si="21"/>
        <v/>
      </c>
      <c r="J175" s="160" t="str">
        <f>IFERROR(INDEX(下年标准成本!I:I,MATCH(C175,下年标准成本!C:C,0),1),"")</f>
        <v/>
      </c>
      <c r="K175" s="146" t="str">
        <f t="shared" si="22"/>
        <v/>
      </c>
      <c r="L175" s="146" t="str">
        <f t="shared" si="23"/>
        <v/>
      </c>
      <c r="M175" s="148" t="str">
        <f t="shared" si="24"/>
        <v/>
      </c>
    </row>
    <row r="176" spans="1:13" x14ac:dyDescent="0.3">
      <c r="A176" s="149"/>
      <c r="B176" s="149"/>
      <c r="C176" s="149"/>
      <c r="D176" s="149"/>
      <c r="E176" s="149"/>
      <c r="F176" s="149"/>
      <c r="G176" s="162"/>
      <c r="H176" s="146" t="str">
        <f t="shared" si="20"/>
        <v/>
      </c>
      <c r="I176" s="161" t="str">
        <f t="shared" si="21"/>
        <v/>
      </c>
      <c r="J176" s="160" t="str">
        <f>IFERROR(INDEX(下年标准成本!I:I,MATCH(C176,下年标准成本!C:C,0),1),"")</f>
        <v/>
      </c>
      <c r="K176" s="146" t="str">
        <f t="shared" si="22"/>
        <v/>
      </c>
      <c r="L176" s="146" t="str">
        <f t="shared" si="23"/>
        <v/>
      </c>
      <c r="M176" s="148" t="str">
        <f t="shared" si="24"/>
        <v/>
      </c>
    </row>
    <row r="177" spans="1:13" x14ac:dyDescent="0.3">
      <c r="A177" s="149"/>
      <c r="B177" s="149"/>
      <c r="C177" s="149"/>
      <c r="D177" s="149"/>
      <c r="E177" s="149"/>
      <c r="F177" s="149"/>
      <c r="G177" s="162"/>
      <c r="H177" s="146" t="str">
        <f t="shared" si="20"/>
        <v/>
      </c>
      <c r="I177" s="161" t="str">
        <f t="shared" si="21"/>
        <v/>
      </c>
      <c r="J177" s="160" t="str">
        <f>IFERROR(INDEX(下年标准成本!I:I,MATCH(C177,下年标准成本!C:C,0),1),"")</f>
        <v/>
      </c>
      <c r="K177" s="146" t="str">
        <f t="shared" si="22"/>
        <v/>
      </c>
      <c r="L177" s="146" t="str">
        <f t="shared" si="23"/>
        <v/>
      </c>
      <c r="M177" s="148" t="str">
        <f t="shared" si="24"/>
        <v/>
      </c>
    </row>
    <row r="178" spans="1:13" x14ac:dyDescent="0.3">
      <c r="A178" s="149"/>
      <c r="B178" s="149"/>
      <c r="C178" s="149"/>
      <c r="D178" s="149"/>
      <c r="E178" s="149"/>
      <c r="F178" s="149"/>
      <c r="G178" s="162"/>
      <c r="H178" s="146" t="str">
        <f t="shared" si="20"/>
        <v/>
      </c>
      <c r="I178" s="161" t="str">
        <f t="shared" si="21"/>
        <v/>
      </c>
      <c r="J178" s="160" t="str">
        <f>IFERROR(INDEX(下年标准成本!I:I,MATCH(C178,下年标准成本!C:C,0),1),"")</f>
        <v/>
      </c>
      <c r="K178" s="146" t="str">
        <f t="shared" si="22"/>
        <v/>
      </c>
      <c r="L178" s="146" t="str">
        <f t="shared" si="23"/>
        <v/>
      </c>
      <c r="M178" s="148" t="str">
        <f t="shared" si="24"/>
        <v/>
      </c>
    </row>
    <row r="179" spans="1:13" x14ac:dyDescent="0.3">
      <c r="A179" s="149"/>
      <c r="B179" s="149"/>
      <c r="C179" s="149"/>
      <c r="D179" s="149"/>
      <c r="E179" s="149"/>
      <c r="F179" s="149"/>
      <c r="G179" s="162"/>
      <c r="H179" s="146" t="str">
        <f t="shared" si="20"/>
        <v/>
      </c>
      <c r="I179" s="161" t="str">
        <f t="shared" si="21"/>
        <v/>
      </c>
      <c r="J179" s="160" t="str">
        <f>IFERROR(INDEX(下年标准成本!I:I,MATCH(C179,下年标准成本!C:C,0),1),"")</f>
        <v/>
      </c>
      <c r="K179" s="146" t="str">
        <f t="shared" si="22"/>
        <v/>
      </c>
      <c r="L179" s="146" t="str">
        <f t="shared" si="23"/>
        <v/>
      </c>
      <c r="M179" s="148" t="str">
        <f t="shared" si="24"/>
        <v/>
      </c>
    </row>
    <row r="180" spans="1:13" x14ac:dyDescent="0.3">
      <c r="A180" s="149"/>
      <c r="B180" s="149"/>
      <c r="C180" s="149"/>
      <c r="D180" s="149"/>
      <c r="E180" s="149"/>
      <c r="F180" s="149"/>
      <c r="G180" s="162"/>
      <c r="H180" s="146" t="str">
        <f t="shared" si="20"/>
        <v/>
      </c>
      <c r="I180" s="161" t="str">
        <f t="shared" si="21"/>
        <v/>
      </c>
      <c r="J180" s="160" t="str">
        <f>IFERROR(INDEX(下年标准成本!I:I,MATCH(C180,下年标准成本!C:C,0),1),"")</f>
        <v/>
      </c>
      <c r="K180" s="146" t="str">
        <f t="shared" si="22"/>
        <v/>
      </c>
      <c r="L180" s="146" t="str">
        <f t="shared" si="23"/>
        <v/>
      </c>
      <c r="M180" s="148" t="str">
        <f t="shared" si="24"/>
        <v/>
      </c>
    </row>
    <row r="181" spans="1:13" x14ac:dyDescent="0.3">
      <c r="A181" s="149"/>
      <c r="B181" s="149"/>
      <c r="C181" s="149"/>
      <c r="D181" s="149"/>
      <c r="E181" s="149"/>
      <c r="F181" s="149"/>
      <c r="G181" s="162"/>
      <c r="H181" s="146" t="str">
        <f t="shared" si="20"/>
        <v/>
      </c>
      <c r="I181" s="161" t="str">
        <f t="shared" si="21"/>
        <v/>
      </c>
      <c r="J181" s="160" t="str">
        <f>IFERROR(INDEX(下年标准成本!I:I,MATCH(C181,下年标准成本!C:C,0),1),"")</f>
        <v/>
      </c>
      <c r="K181" s="146" t="str">
        <f t="shared" si="22"/>
        <v/>
      </c>
      <c r="L181" s="146" t="str">
        <f t="shared" si="23"/>
        <v/>
      </c>
      <c r="M181" s="148" t="str">
        <f t="shared" si="24"/>
        <v/>
      </c>
    </row>
    <row r="182" spans="1:13" x14ac:dyDescent="0.3">
      <c r="A182" s="149"/>
      <c r="B182" s="149"/>
      <c r="C182" s="149"/>
      <c r="D182" s="149"/>
      <c r="E182" s="149"/>
      <c r="F182" s="149"/>
      <c r="G182" s="162"/>
      <c r="H182" s="146" t="str">
        <f t="shared" si="20"/>
        <v/>
      </c>
      <c r="I182" s="161" t="str">
        <f t="shared" si="21"/>
        <v/>
      </c>
      <c r="J182" s="160" t="str">
        <f>IFERROR(INDEX(下年标准成本!I:I,MATCH(C182,下年标准成本!C:C,0),1),"")</f>
        <v/>
      </c>
      <c r="K182" s="146" t="str">
        <f t="shared" si="22"/>
        <v/>
      </c>
      <c r="L182" s="146" t="str">
        <f t="shared" si="23"/>
        <v/>
      </c>
      <c r="M182" s="148" t="str">
        <f t="shared" si="24"/>
        <v/>
      </c>
    </row>
    <row r="183" spans="1:13" x14ac:dyDescent="0.3">
      <c r="A183" s="149"/>
      <c r="B183" s="149"/>
      <c r="C183" s="149"/>
      <c r="D183" s="149"/>
      <c r="E183" s="149"/>
      <c r="F183" s="149"/>
      <c r="G183" s="162"/>
      <c r="H183" s="146" t="str">
        <f t="shared" si="20"/>
        <v/>
      </c>
      <c r="I183" s="161" t="str">
        <f t="shared" si="21"/>
        <v/>
      </c>
      <c r="J183" s="160" t="str">
        <f>IFERROR(INDEX(下年标准成本!I:I,MATCH(C183,下年标准成本!C:C,0),1),"")</f>
        <v/>
      </c>
      <c r="K183" s="146" t="str">
        <f t="shared" si="22"/>
        <v/>
      </c>
      <c r="L183" s="146" t="str">
        <f t="shared" si="23"/>
        <v/>
      </c>
      <c r="M183" s="148" t="str">
        <f t="shared" si="24"/>
        <v/>
      </c>
    </row>
    <row r="184" spans="1:13" x14ac:dyDescent="0.3">
      <c r="A184" s="149"/>
      <c r="B184" s="149"/>
      <c r="C184" s="149"/>
      <c r="D184" s="149"/>
      <c r="E184" s="149"/>
      <c r="F184" s="149"/>
      <c r="G184" s="162"/>
      <c r="H184" s="146" t="str">
        <f t="shared" si="20"/>
        <v/>
      </c>
      <c r="I184" s="161" t="str">
        <f t="shared" si="21"/>
        <v/>
      </c>
      <c r="J184" s="160" t="str">
        <f>IFERROR(INDEX(下年标准成本!I:I,MATCH(C184,下年标准成本!C:C,0),1),"")</f>
        <v/>
      </c>
      <c r="K184" s="146" t="str">
        <f t="shared" si="22"/>
        <v/>
      </c>
      <c r="L184" s="146" t="str">
        <f t="shared" si="23"/>
        <v/>
      </c>
      <c r="M184" s="148" t="str">
        <f t="shared" si="24"/>
        <v/>
      </c>
    </row>
    <row r="185" spans="1:13" x14ac:dyDescent="0.3">
      <c r="A185" s="149"/>
      <c r="B185" s="149"/>
      <c r="C185" s="149"/>
      <c r="D185" s="149"/>
      <c r="E185" s="149"/>
      <c r="F185" s="149"/>
      <c r="G185" s="162"/>
      <c r="H185" s="146" t="str">
        <f t="shared" si="20"/>
        <v/>
      </c>
      <c r="I185" s="161" t="str">
        <f t="shared" si="21"/>
        <v/>
      </c>
      <c r="J185" s="160" t="str">
        <f>IFERROR(INDEX(下年标准成本!I:I,MATCH(C185,下年标准成本!C:C,0),1),"")</f>
        <v/>
      </c>
      <c r="K185" s="146" t="str">
        <f t="shared" si="22"/>
        <v/>
      </c>
      <c r="L185" s="146" t="str">
        <f t="shared" si="23"/>
        <v/>
      </c>
      <c r="M185" s="148" t="str">
        <f t="shared" si="24"/>
        <v/>
      </c>
    </row>
    <row r="186" spans="1:13" x14ac:dyDescent="0.3">
      <c r="A186" s="149"/>
      <c r="B186" s="149"/>
      <c r="C186" s="149"/>
      <c r="D186" s="149"/>
      <c r="E186" s="149"/>
      <c r="F186" s="149"/>
      <c r="G186" s="162"/>
      <c r="H186" s="146" t="str">
        <f t="shared" si="20"/>
        <v/>
      </c>
      <c r="I186" s="161" t="str">
        <f t="shared" si="21"/>
        <v/>
      </c>
      <c r="J186" s="160" t="str">
        <f>IFERROR(INDEX(下年标准成本!I:I,MATCH(C186,下年标准成本!C:C,0),1),"")</f>
        <v/>
      </c>
      <c r="K186" s="146" t="str">
        <f t="shared" si="22"/>
        <v/>
      </c>
      <c r="L186" s="146" t="str">
        <f t="shared" si="23"/>
        <v/>
      </c>
      <c r="M186" s="148" t="str">
        <f t="shared" si="24"/>
        <v/>
      </c>
    </row>
    <row r="187" spans="1:13" x14ac:dyDescent="0.3">
      <c r="A187" s="149"/>
      <c r="B187" s="149"/>
      <c r="C187" s="149"/>
      <c r="D187" s="149"/>
      <c r="E187" s="149"/>
      <c r="F187" s="149"/>
      <c r="G187" s="162"/>
      <c r="H187" s="146" t="str">
        <f t="shared" si="20"/>
        <v/>
      </c>
      <c r="I187" s="161" t="str">
        <f t="shared" si="21"/>
        <v/>
      </c>
      <c r="J187" s="160" t="str">
        <f>IFERROR(INDEX(下年标准成本!I:I,MATCH(C187,下年标准成本!C:C,0),1),"")</f>
        <v/>
      </c>
      <c r="K187" s="146" t="str">
        <f t="shared" si="22"/>
        <v/>
      </c>
      <c r="L187" s="146" t="str">
        <f t="shared" si="23"/>
        <v/>
      </c>
      <c r="M187" s="148" t="str">
        <f t="shared" si="24"/>
        <v/>
      </c>
    </row>
    <row r="188" spans="1:13" x14ac:dyDescent="0.3">
      <c r="A188" s="149"/>
      <c r="B188" s="149"/>
      <c r="C188" s="149"/>
      <c r="D188" s="149"/>
      <c r="E188" s="149"/>
      <c r="F188" s="149"/>
      <c r="G188" s="162"/>
      <c r="H188" s="146" t="str">
        <f t="shared" si="20"/>
        <v/>
      </c>
      <c r="I188" s="161" t="str">
        <f t="shared" si="21"/>
        <v/>
      </c>
      <c r="J188" s="160" t="str">
        <f>IFERROR(INDEX(下年标准成本!I:I,MATCH(C188,下年标准成本!C:C,0),1),"")</f>
        <v/>
      </c>
      <c r="K188" s="146" t="str">
        <f t="shared" si="22"/>
        <v/>
      </c>
      <c r="L188" s="146" t="str">
        <f t="shared" si="23"/>
        <v/>
      </c>
      <c r="M188" s="148" t="str">
        <f t="shared" si="24"/>
        <v/>
      </c>
    </row>
    <row r="189" spans="1:13" x14ac:dyDescent="0.3">
      <c r="A189" s="149"/>
      <c r="B189" s="149"/>
      <c r="C189" s="149"/>
      <c r="D189" s="149"/>
      <c r="E189" s="149"/>
      <c r="F189" s="149"/>
      <c r="G189" s="162"/>
      <c r="H189" s="146" t="str">
        <f t="shared" si="20"/>
        <v/>
      </c>
      <c r="I189" s="161" t="str">
        <f t="shared" si="21"/>
        <v/>
      </c>
      <c r="J189" s="160" t="str">
        <f>IFERROR(INDEX(下年标准成本!I:I,MATCH(C189,下年标准成本!C:C,0),1),"")</f>
        <v/>
      </c>
      <c r="K189" s="146" t="str">
        <f t="shared" si="22"/>
        <v/>
      </c>
      <c r="L189" s="146" t="str">
        <f t="shared" si="23"/>
        <v/>
      </c>
      <c r="M189" s="148" t="str">
        <f t="shared" si="24"/>
        <v/>
      </c>
    </row>
    <row r="190" spans="1:13" x14ac:dyDescent="0.3">
      <c r="A190" s="149"/>
      <c r="B190" s="149"/>
      <c r="C190" s="149"/>
      <c r="D190" s="149"/>
      <c r="E190" s="149"/>
      <c r="F190" s="149"/>
      <c r="G190" s="162"/>
      <c r="H190" s="146" t="str">
        <f t="shared" si="20"/>
        <v/>
      </c>
      <c r="I190" s="161" t="str">
        <f t="shared" si="21"/>
        <v/>
      </c>
      <c r="J190" s="160" t="str">
        <f>IFERROR(INDEX(下年标准成本!I:I,MATCH(C190,下年标准成本!C:C,0),1),"")</f>
        <v/>
      </c>
      <c r="K190" s="146" t="str">
        <f t="shared" si="22"/>
        <v/>
      </c>
      <c r="L190" s="146" t="str">
        <f t="shared" si="23"/>
        <v/>
      </c>
      <c r="M190" s="148" t="str">
        <f t="shared" si="24"/>
        <v/>
      </c>
    </row>
    <row r="191" spans="1:13" x14ac:dyDescent="0.3">
      <c r="A191" s="149"/>
      <c r="B191" s="149"/>
      <c r="C191" s="149"/>
      <c r="D191" s="149"/>
      <c r="E191" s="149"/>
      <c r="F191" s="149"/>
      <c r="G191" s="162"/>
      <c r="H191" s="146" t="str">
        <f t="shared" si="20"/>
        <v/>
      </c>
      <c r="I191" s="161" t="str">
        <f t="shared" si="21"/>
        <v/>
      </c>
      <c r="J191" s="160" t="str">
        <f>IFERROR(INDEX(下年标准成本!I:I,MATCH(C191,下年标准成本!C:C,0),1),"")</f>
        <v/>
      </c>
      <c r="K191" s="146" t="str">
        <f t="shared" si="22"/>
        <v/>
      </c>
      <c r="L191" s="146" t="str">
        <f t="shared" si="23"/>
        <v/>
      </c>
      <c r="M191" s="148" t="str">
        <f t="shared" si="24"/>
        <v/>
      </c>
    </row>
    <row r="192" spans="1:13" x14ac:dyDescent="0.3">
      <c r="A192" s="149"/>
      <c r="B192" s="149"/>
      <c r="C192" s="149"/>
      <c r="D192" s="149"/>
      <c r="E192" s="149"/>
      <c r="F192" s="149"/>
      <c r="G192" s="162"/>
      <c r="H192" s="146" t="str">
        <f t="shared" si="20"/>
        <v/>
      </c>
      <c r="I192" s="161" t="str">
        <f t="shared" si="21"/>
        <v/>
      </c>
      <c r="J192" s="160" t="str">
        <f>IFERROR(INDEX(下年标准成本!I:I,MATCH(C192,下年标准成本!C:C,0),1),"")</f>
        <v/>
      </c>
      <c r="K192" s="146" t="str">
        <f t="shared" si="22"/>
        <v/>
      </c>
      <c r="L192" s="146" t="str">
        <f t="shared" si="23"/>
        <v/>
      </c>
      <c r="M192" s="148" t="str">
        <f t="shared" si="24"/>
        <v/>
      </c>
    </row>
    <row r="193" spans="1:13" x14ac:dyDescent="0.3">
      <c r="A193" s="149"/>
      <c r="B193" s="149"/>
      <c r="C193" s="149"/>
      <c r="D193" s="149"/>
      <c r="E193" s="149"/>
      <c r="F193" s="149"/>
      <c r="G193" s="162"/>
      <c r="H193" s="146" t="str">
        <f t="shared" si="20"/>
        <v/>
      </c>
      <c r="I193" s="161" t="str">
        <f t="shared" si="21"/>
        <v/>
      </c>
      <c r="J193" s="160" t="str">
        <f>IFERROR(INDEX(下年标准成本!I:I,MATCH(C193,下年标准成本!C:C,0),1),"")</f>
        <v/>
      </c>
      <c r="K193" s="146" t="str">
        <f t="shared" si="22"/>
        <v/>
      </c>
      <c r="L193" s="146" t="str">
        <f t="shared" si="23"/>
        <v/>
      </c>
      <c r="M193" s="148" t="str">
        <f t="shared" si="24"/>
        <v/>
      </c>
    </row>
    <row r="194" spans="1:13" x14ac:dyDescent="0.3">
      <c r="A194" s="149"/>
      <c r="B194" s="149"/>
      <c r="C194" s="149"/>
      <c r="D194" s="149"/>
      <c r="E194" s="149"/>
      <c r="F194" s="149"/>
      <c r="G194" s="162"/>
      <c r="H194" s="146" t="str">
        <f t="shared" si="20"/>
        <v/>
      </c>
      <c r="I194" s="161" t="str">
        <f t="shared" si="21"/>
        <v/>
      </c>
      <c r="J194" s="160" t="str">
        <f>IFERROR(INDEX(下年标准成本!I:I,MATCH(C194,下年标准成本!C:C,0),1),"")</f>
        <v/>
      </c>
      <c r="K194" s="146" t="str">
        <f t="shared" si="22"/>
        <v/>
      </c>
      <c r="L194" s="146" t="str">
        <f t="shared" si="23"/>
        <v/>
      </c>
      <c r="M194" s="148" t="str">
        <f t="shared" si="24"/>
        <v/>
      </c>
    </row>
    <row r="195" spans="1:13" x14ac:dyDescent="0.3">
      <c r="A195" s="149"/>
      <c r="B195" s="149"/>
      <c r="C195" s="149"/>
      <c r="D195" s="149"/>
      <c r="E195" s="149"/>
      <c r="F195" s="149"/>
      <c r="G195" s="162"/>
      <c r="H195" s="146" t="str">
        <f t="shared" si="20"/>
        <v/>
      </c>
      <c r="I195" s="161" t="str">
        <f t="shared" si="21"/>
        <v/>
      </c>
      <c r="J195" s="160" t="str">
        <f>IFERROR(INDEX(下年标准成本!I:I,MATCH(C195,下年标准成本!C:C,0),1),"")</f>
        <v/>
      </c>
      <c r="K195" s="146" t="str">
        <f t="shared" si="22"/>
        <v/>
      </c>
      <c r="L195" s="146" t="str">
        <f t="shared" si="23"/>
        <v/>
      </c>
      <c r="M195" s="148" t="str">
        <f t="shared" si="24"/>
        <v/>
      </c>
    </row>
    <row r="196" spans="1:13" x14ac:dyDescent="0.3">
      <c r="A196" s="149"/>
      <c r="B196" s="149"/>
      <c r="C196" s="149"/>
      <c r="D196" s="149"/>
      <c r="E196" s="149"/>
      <c r="F196" s="149"/>
      <c r="G196" s="162"/>
      <c r="H196" s="146" t="str">
        <f t="shared" si="20"/>
        <v/>
      </c>
      <c r="I196" s="161" t="str">
        <f t="shared" si="21"/>
        <v/>
      </c>
      <c r="J196" s="160" t="str">
        <f>IFERROR(INDEX(下年标准成本!I:I,MATCH(C196,下年标准成本!C:C,0),1),"")</f>
        <v/>
      </c>
      <c r="K196" s="146" t="str">
        <f t="shared" si="22"/>
        <v/>
      </c>
      <c r="L196" s="146" t="str">
        <f t="shared" si="23"/>
        <v/>
      </c>
      <c r="M196" s="148" t="str">
        <f t="shared" si="24"/>
        <v/>
      </c>
    </row>
    <row r="197" spans="1:13" x14ac:dyDescent="0.3">
      <c r="A197" s="149"/>
      <c r="B197" s="149"/>
      <c r="C197" s="149"/>
      <c r="D197" s="149"/>
      <c r="E197" s="149"/>
      <c r="F197" s="149"/>
      <c r="G197" s="162"/>
      <c r="H197" s="146" t="str">
        <f t="shared" si="20"/>
        <v/>
      </c>
      <c r="I197" s="161" t="str">
        <f t="shared" si="21"/>
        <v/>
      </c>
      <c r="J197" s="160" t="str">
        <f>IFERROR(INDEX(下年标准成本!I:I,MATCH(C197,下年标准成本!C:C,0),1),"")</f>
        <v/>
      </c>
      <c r="K197" s="146" t="str">
        <f t="shared" si="22"/>
        <v/>
      </c>
      <c r="L197" s="146" t="str">
        <f t="shared" si="23"/>
        <v/>
      </c>
      <c r="M197" s="148" t="str">
        <f t="shared" si="24"/>
        <v/>
      </c>
    </row>
    <row r="198" spans="1:13" x14ac:dyDescent="0.3">
      <c r="A198" s="149"/>
      <c r="B198" s="149"/>
      <c r="C198" s="149"/>
      <c r="D198" s="149"/>
      <c r="E198" s="149"/>
      <c r="F198" s="149"/>
      <c r="G198" s="162"/>
      <c r="H198" s="146" t="str">
        <f t="shared" si="20"/>
        <v/>
      </c>
      <c r="I198" s="161" t="str">
        <f t="shared" si="21"/>
        <v/>
      </c>
      <c r="J198" s="160" t="str">
        <f>IFERROR(INDEX(下年标准成本!I:I,MATCH(C198,下年标准成本!C:C,0),1),"")</f>
        <v/>
      </c>
      <c r="K198" s="146" t="str">
        <f t="shared" si="22"/>
        <v/>
      </c>
      <c r="L198" s="146" t="str">
        <f t="shared" si="23"/>
        <v/>
      </c>
      <c r="M198" s="148" t="str">
        <f t="shared" si="24"/>
        <v/>
      </c>
    </row>
    <row r="199" spans="1:13" x14ac:dyDescent="0.3">
      <c r="A199" s="149"/>
      <c r="B199" s="149"/>
      <c r="C199" s="149"/>
      <c r="D199" s="149"/>
      <c r="E199" s="149"/>
      <c r="F199" s="149"/>
      <c r="G199" s="162"/>
      <c r="H199" s="146" t="str">
        <f t="shared" si="20"/>
        <v/>
      </c>
      <c r="I199" s="161" t="str">
        <f t="shared" si="21"/>
        <v/>
      </c>
      <c r="J199" s="160" t="str">
        <f>IFERROR(INDEX(下年标准成本!I:I,MATCH(C199,下年标准成本!C:C,0),1),"")</f>
        <v/>
      </c>
      <c r="K199" s="146" t="str">
        <f t="shared" si="22"/>
        <v/>
      </c>
      <c r="L199" s="146" t="str">
        <f t="shared" si="23"/>
        <v/>
      </c>
      <c r="M199" s="148" t="str">
        <f t="shared" si="24"/>
        <v/>
      </c>
    </row>
    <row r="200" spans="1:13" x14ac:dyDescent="0.3">
      <c r="A200" s="149"/>
      <c r="B200" s="149"/>
      <c r="C200" s="149"/>
      <c r="D200" s="149"/>
      <c r="E200" s="149"/>
      <c r="F200" s="149"/>
      <c r="G200" s="162"/>
      <c r="H200" s="146" t="str">
        <f t="shared" si="20"/>
        <v/>
      </c>
      <c r="I200" s="161" t="str">
        <f t="shared" si="21"/>
        <v/>
      </c>
      <c r="J200" s="160" t="str">
        <f>IFERROR(INDEX(下年标准成本!I:I,MATCH(C200,下年标准成本!C:C,0),1),"")</f>
        <v/>
      </c>
      <c r="K200" s="146" t="str">
        <f t="shared" si="22"/>
        <v/>
      </c>
      <c r="L200" s="146" t="str">
        <f t="shared" si="23"/>
        <v/>
      </c>
      <c r="M200" s="148" t="str">
        <f t="shared" si="24"/>
        <v/>
      </c>
    </row>
    <row r="201" spans="1:13" x14ac:dyDescent="0.3">
      <c r="A201" s="149"/>
      <c r="B201" s="149"/>
      <c r="C201" s="149"/>
      <c r="D201" s="149"/>
      <c r="E201" s="149"/>
      <c r="F201" s="149"/>
      <c r="G201" s="162"/>
      <c r="H201" s="146" t="str">
        <f t="shared" si="20"/>
        <v/>
      </c>
      <c r="I201" s="161" t="str">
        <f t="shared" si="21"/>
        <v/>
      </c>
      <c r="J201" s="160" t="str">
        <f>IFERROR(INDEX(下年标准成本!I:I,MATCH(C201,下年标准成本!C:C,0),1),"")</f>
        <v/>
      </c>
      <c r="K201" s="146" t="str">
        <f t="shared" si="22"/>
        <v/>
      </c>
      <c r="L201" s="146" t="str">
        <f t="shared" si="23"/>
        <v/>
      </c>
      <c r="M201" s="148" t="str">
        <f t="shared" si="24"/>
        <v/>
      </c>
    </row>
    <row r="202" spans="1:13" x14ac:dyDescent="0.3">
      <c r="A202" s="149"/>
      <c r="B202" s="149"/>
      <c r="C202" s="149"/>
      <c r="D202" s="149"/>
      <c r="E202" s="149"/>
      <c r="F202" s="149"/>
      <c r="G202" s="162"/>
      <c r="H202" s="146" t="str">
        <f t="shared" ref="H202:H265" si="25">IFERROR(F202/E202,"")</f>
        <v/>
      </c>
      <c r="I202" s="161" t="str">
        <f t="shared" ref="I202:I265" si="26">IFERROR(H202*(1+G202),"")</f>
        <v/>
      </c>
      <c r="J202" s="160" t="str">
        <f>IFERROR(INDEX(下年标准成本!I:I,MATCH(C202,下年标准成本!C:C,0),1),"")</f>
        <v/>
      </c>
      <c r="K202" s="146" t="str">
        <f t="shared" ref="K202:K265" si="27">IFERROR(E202*J202,"")</f>
        <v/>
      </c>
      <c r="L202" s="146" t="str">
        <f t="shared" ref="L202:L265" si="28">IFERROR(F202-K202,"")</f>
        <v/>
      </c>
      <c r="M202" s="148" t="str">
        <f t="shared" ref="M202:M265" si="29">IFERROR(L202/F202,"")</f>
        <v/>
      </c>
    </row>
    <row r="203" spans="1:13" x14ac:dyDescent="0.3">
      <c r="A203" s="149"/>
      <c r="B203" s="149"/>
      <c r="C203" s="149"/>
      <c r="D203" s="149"/>
      <c r="E203" s="149"/>
      <c r="F203" s="149"/>
      <c r="G203" s="162"/>
      <c r="H203" s="146" t="str">
        <f t="shared" si="25"/>
        <v/>
      </c>
      <c r="I203" s="161" t="str">
        <f t="shared" si="26"/>
        <v/>
      </c>
      <c r="J203" s="160" t="str">
        <f>IFERROR(INDEX(下年标准成本!I:I,MATCH(C203,下年标准成本!C:C,0),1),"")</f>
        <v/>
      </c>
      <c r="K203" s="146" t="str">
        <f t="shared" si="27"/>
        <v/>
      </c>
      <c r="L203" s="146" t="str">
        <f t="shared" si="28"/>
        <v/>
      </c>
      <c r="M203" s="148" t="str">
        <f t="shared" si="29"/>
        <v/>
      </c>
    </row>
    <row r="204" spans="1:13" x14ac:dyDescent="0.3">
      <c r="A204" s="149"/>
      <c r="B204" s="149"/>
      <c r="C204" s="149"/>
      <c r="D204" s="149"/>
      <c r="E204" s="149"/>
      <c r="F204" s="149"/>
      <c r="G204" s="162"/>
      <c r="H204" s="146" t="str">
        <f t="shared" si="25"/>
        <v/>
      </c>
      <c r="I204" s="161" t="str">
        <f t="shared" si="26"/>
        <v/>
      </c>
      <c r="J204" s="160" t="str">
        <f>IFERROR(INDEX(下年标准成本!I:I,MATCH(C204,下年标准成本!C:C,0),1),"")</f>
        <v/>
      </c>
      <c r="K204" s="146" t="str">
        <f t="shared" si="27"/>
        <v/>
      </c>
      <c r="L204" s="146" t="str">
        <f t="shared" si="28"/>
        <v/>
      </c>
      <c r="M204" s="148" t="str">
        <f t="shared" si="29"/>
        <v/>
      </c>
    </row>
    <row r="205" spans="1:13" x14ac:dyDescent="0.3">
      <c r="A205" s="149"/>
      <c r="B205" s="149"/>
      <c r="C205" s="149"/>
      <c r="D205" s="149"/>
      <c r="E205" s="149"/>
      <c r="F205" s="149"/>
      <c r="G205" s="162"/>
      <c r="H205" s="146" t="str">
        <f t="shared" si="25"/>
        <v/>
      </c>
      <c r="I205" s="161" t="str">
        <f t="shared" si="26"/>
        <v/>
      </c>
      <c r="J205" s="160" t="str">
        <f>IFERROR(INDEX(下年标准成本!I:I,MATCH(C205,下年标准成本!C:C,0),1),"")</f>
        <v/>
      </c>
      <c r="K205" s="146" t="str">
        <f t="shared" si="27"/>
        <v/>
      </c>
      <c r="L205" s="146" t="str">
        <f t="shared" si="28"/>
        <v/>
      </c>
      <c r="M205" s="148" t="str">
        <f t="shared" si="29"/>
        <v/>
      </c>
    </row>
    <row r="206" spans="1:13" x14ac:dyDescent="0.3">
      <c r="A206" s="149"/>
      <c r="B206" s="149"/>
      <c r="C206" s="149"/>
      <c r="D206" s="149"/>
      <c r="E206" s="149"/>
      <c r="F206" s="149"/>
      <c r="G206" s="162"/>
      <c r="H206" s="146" t="str">
        <f t="shared" si="25"/>
        <v/>
      </c>
      <c r="I206" s="161" t="str">
        <f t="shared" si="26"/>
        <v/>
      </c>
      <c r="J206" s="160" t="str">
        <f>IFERROR(INDEX(下年标准成本!I:I,MATCH(C206,下年标准成本!C:C,0),1),"")</f>
        <v/>
      </c>
      <c r="K206" s="146" t="str">
        <f t="shared" si="27"/>
        <v/>
      </c>
      <c r="L206" s="146" t="str">
        <f t="shared" si="28"/>
        <v/>
      </c>
      <c r="M206" s="148" t="str">
        <f t="shared" si="29"/>
        <v/>
      </c>
    </row>
    <row r="207" spans="1:13" x14ac:dyDescent="0.3">
      <c r="A207" s="149"/>
      <c r="B207" s="149"/>
      <c r="C207" s="149"/>
      <c r="D207" s="149"/>
      <c r="E207" s="149"/>
      <c r="F207" s="149"/>
      <c r="G207" s="162"/>
      <c r="H207" s="146" t="str">
        <f t="shared" si="25"/>
        <v/>
      </c>
      <c r="I207" s="161" t="str">
        <f t="shared" si="26"/>
        <v/>
      </c>
      <c r="J207" s="160" t="str">
        <f>IFERROR(INDEX(下年标准成本!I:I,MATCH(C207,下年标准成本!C:C,0),1),"")</f>
        <v/>
      </c>
      <c r="K207" s="146" t="str">
        <f t="shared" si="27"/>
        <v/>
      </c>
      <c r="L207" s="146" t="str">
        <f t="shared" si="28"/>
        <v/>
      </c>
      <c r="M207" s="148" t="str">
        <f t="shared" si="29"/>
        <v/>
      </c>
    </row>
    <row r="208" spans="1:13" x14ac:dyDescent="0.3">
      <c r="A208" s="149"/>
      <c r="B208" s="149"/>
      <c r="C208" s="149"/>
      <c r="D208" s="149"/>
      <c r="E208" s="149"/>
      <c r="F208" s="149"/>
      <c r="G208" s="162"/>
      <c r="H208" s="146" t="str">
        <f t="shared" si="25"/>
        <v/>
      </c>
      <c r="I208" s="161" t="str">
        <f t="shared" si="26"/>
        <v/>
      </c>
      <c r="J208" s="160" t="str">
        <f>IFERROR(INDEX(下年标准成本!I:I,MATCH(C208,下年标准成本!C:C,0),1),"")</f>
        <v/>
      </c>
      <c r="K208" s="146" t="str">
        <f t="shared" si="27"/>
        <v/>
      </c>
      <c r="L208" s="146" t="str">
        <f t="shared" si="28"/>
        <v/>
      </c>
      <c r="M208" s="148" t="str">
        <f t="shared" si="29"/>
        <v/>
      </c>
    </row>
    <row r="209" spans="1:13" x14ac:dyDescent="0.3">
      <c r="A209" s="149"/>
      <c r="B209" s="149"/>
      <c r="C209" s="149"/>
      <c r="D209" s="149"/>
      <c r="E209" s="149"/>
      <c r="F209" s="149"/>
      <c r="G209" s="162"/>
      <c r="H209" s="146" t="str">
        <f t="shared" si="25"/>
        <v/>
      </c>
      <c r="I209" s="161" t="str">
        <f t="shared" si="26"/>
        <v/>
      </c>
      <c r="J209" s="160" t="str">
        <f>IFERROR(INDEX(下年标准成本!I:I,MATCH(C209,下年标准成本!C:C,0),1),"")</f>
        <v/>
      </c>
      <c r="K209" s="146" t="str">
        <f t="shared" si="27"/>
        <v/>
      </c>
      <c r="L209" s="146" t="str">
        <f t="shared" si="28"/>
        <v/>
      </c>
      <c r="M209" s="148" t="str">
        <f t="shared" si="29"/>
        <v/>
      </c>
    </row>
    <row r="210" spans="1:13" x14ac:dyDescent="0.3">
      <c r="A210" s="149"/>
      <c r="B210" s="149"/>
      <c r="C210" s="149"/>
      <c r="D210" s="149"/>
      <c r="E210" s="149"/>
      <c r="F210" s="149"/>
      <c r="G210" s="162"/>
      <c r="H210" s="146" t="str">
        <f t="shared" si="25"/>
        <v/>
      </c>
      <c r="I210" s="161" t="str">
        <f t="shared" si="26"/>
        <v/>
      </c>
      <c r="J210" s="160" t="str">
        <f>IFERROR(INDEX(下年标准成本!I:I,MATCH(C210,下年标准成本!C:C,0),1),"")</f>
        <v/>
      </c>
      <c r="K210" s="146" t="str">
        <f t="shared" si="27"/>
        <v/>
      </c>
      <c r="L210" s="146" t="str">
        <f t="shared" si="28"/>
        <v/>
      </c>
      <c r="M210" s="148" t="str">
        <f t="shared" si="29"/>
        <v/>
      </c>
    </row>
    <row r="211" spans="1:13" x14ac:dyDescent="0.3">
      <c r="A211" s="149"/>
      <c r="B211" s="149"/>
      <c r="C211" s="149"/>
      <c r="D211" s="149"/>
      <c r="E211" s="149"/>
      <c r="F211" s="149"/>
      <c r="G211" s="162"/>
      <c r="H211" s="146" t="str">
        <f t="shared" si="25"/>
        <v/>
      </c>
      <c r="I211" s="161" t="str">
        <f t="shared" si="26"/>
        <v/>
      </c>
      <c r="J211" s="160" t="str">
        <f>IFERROR(INDEX(下年标准成本!I:I,MATCH(C211,下年标准成本!C:C,0),1),"")</f>
        <v/>
      </c>
      <c r="K211" s="146" t="str">
        <f t="shared" si="27"/>
        <v/>
      </c>
      <c r="L211" s="146" t="str">
        <f t="shared" si="28"/>
        <v/>
      </c>
      <c r="M211" s="148" t="str">
        <f t="shared" si="29"/>
        <v/>
      </c>
    </row>
    <row r="212" spans="1:13" x14ac:dyDescent="0.3">
      <c r="A212" s="149"/>
      <c r="B212" s="149"/>
      <c r="C212" s="149"/>
      <c r="D212" s="149"/>
      <c r="E212" s="149"/>
      <c r="F212" s="149"/>
      <c r="G212" s="162"/>
      <c r="H212" s="146" t="str">
        <f t="shared" si="25"/>
        <v/>
      </c>
      <c r="I212" s="161" t="str">
        <f t="shared" si="26"/>
        <v/>
      </c>
      <c r="J212" s="160" t="str">
        <f>IFERROR(INDEX(下年标准成本!I:I,MATCH(C212,下年标准成本!C:C,0),1),"")</f>
        <v/>
      </c>
      <c r="K212" s="146" t="str">
        <f t="shared" si="27"/>
        <v/>
      </c>
      <c r="L212" s="146" t="str">
        <f t="shared" si="28"/>
        <v/>
      </c>
      <c r="M212" s="148" t="str">
        <f t="shared" si="29"/>
        <v/>
      </c>
    </row>
    <row r="213" spans="1:13" x14ac:dyDescent="0.3">
      <c r="A213" s="149"/>
      <c r="B213" s="149"/>
      <c r="C213" s="149"/>
      <c r="D213" s="149"/>
      <c r="E213" s="149"/>
      <c r="F213" s="149"/>
      <c r="G213" s="162"/>
      <c r="H213" s="146" t="str">
        <f t="shared" si="25"/>
        <v/>
      </c>
      <c r="I213" s="161" t="str">
        <f t="shared" si="26"/>
        <v/>
      </c>
      <c r="J213" s="160" t="str">
        <f>IFERROR(INDEX(下年标准成本!I:I,MATCH(C213,下年标准成本!C:C,0),1),"")</f>
        <v/>
      </c>
      <c r="K213" s="146" t="str">
        <f t="shared" si="27"/>
        <v/>
      </c>
      <c r="L213" s="146" t="str">
        <f t="shared" si="28"/>
        <v/>
      </c>
      <c r="M213" s="148" t="str">
        <f t="shared" si="29"/>
        <v/>
      </c>
    </row>
    <row r="214" spans="1:13" x14ac:dyDescent="0.3">
      <c r="A214" s="149"/>
      <c r="B214" s="149"/>
      <c r="C214" s="149"/>
      <c r="D214" s="149"/>
      <c r="E214" s="149"/>
      <c r="F214" s="149"/>
      <c r="G214" s="162"/>
      <c r="H214" s="146" t="str">
        <f t="shared" si="25"/>
        <v/>
      </c>
      <c r="I214" s="161" t="str">
        <f t="shared" si="26"/>
        <v/>
      </c>
      <c r="J214" s="160" t="str">
        <f>IFERROR(INDEX(下年标准成本!I:I,MATCH(C214,下年标准成本!C:C,0),1),"")</f>
        <v/>
      </c>
      <c r="K214" s="146" t="str">
        <f t="shared" si="27"/>
        <v/>
      </c>
      <c r="L214" s="146" t="str">
        <f t="shared" si="28"/>
        <v/>
      </c>
      <c r="M214" s="148" t="str">
        <f t="shared" si="29"/>
        <v/>
      </c>
    </row>
    <row r="215" spans="1:13" x14ac:dyDescent="0.3">
      <c r="A215" s="149"/>
      <c r="B215" s="149"/>
      <c r="C215" s="149"/>
      <c r="D215" s="149"/>
      <c r="E215" s="149"/>
      <c r="F215" s="149"/>
      <c r="G215" s="162"/>
      <c r="H215" s="146" t="str">
        <f t="shared" si="25"/>
        <v/>
      </c>
      <c r="I215" s="161" t="str">
        <f t="shared" si="26"/>
        <v/>
      </c>
      <c r="J215" s="160" t="str">
        <f>IFERROR(INDEX(下年标准成本!I:I,MATCH(C215,下年标准成本!C:C,0),1),"")</f>
        <v/>
      </c>
      <c r="K215" s="146" t="str">
        <f t="shared" si="27"/>
        <v/>
      </c>
      <c r="L215" s="146" t="str">
        <f t="shared" si="28"/>
        <v/>
      </c>
      <c r="M215" s="148" t="str">
        <f t="shared" si="29"/>
        <v/>
      </c>
    </row>
    <row r="216" spans="1:13" x14ac:dyDescent="0.3">
      <c r="A216" s="149"/>
      <c r="B216" s="149"/>
      <c r="C216" s="149"/>
      <c r="D216" s="149"/>
      <c r="E216" s="149"/>
      <c r="F216" s="149"/>
      <c r="G216" s="162"/>
      <c r="H216" s="146" t="str">
        <f t="shared" si="25"/>
        <v/>
      </c>
      <c r="I216" s="161" t="str">
        <f t="shared" si="26"/>
        <v/>
      </c>
      <c r="J216" s="160" t="str">
        <f>IFERROR(INDEX(下年标准成本!I:I,MATCH(C216,下年标准成本!C:C,0),1),"")</f>
        <v/>
      </c>
      <c r="K216" s="146" t="str">
        <f t="shared" si="27"/>
        <v/>
      </c>
      <c r="L216" s="146" t="str">
        <f t="shared" si="28"/>
        <v/>
      </c>
      <c r="M216" s="148" t="str">
        <f t="shared" si="29"/>
        <v/>
      </c>
    </row>
    <row r="217" spans="1:13" x14ac:dyDescent="0.3">
      <c r="A217" s="149"/>
      <c r="B217" s="149"/>
      <c r="C217" s="149"/>
      <c r="D217" s="149"/>
      <c r="E217" s="149"/>
      <c r="F217" s="149"/>
      <c r="G217" s="162"/>
      <c r="H217" s="146" t="str">
        <f t="shared" si="25"/>
        <v/>
      </c>
      <c r="I217" s="161" t="str">
        <f t="shared" si="26"/>
        <v/>
      </c>
      <c r="J217" s="160" t="str">
        <f>IFERROR(INDEX(下年标准成本!I:I,MATCH(C217,下年标准成本!C:C,0),1),"")</f>
        <v/>
      </c>
      <c r="K217" s="146" t="str">
        <f t="shared" si="27"/>
        <v/>
      </c>
      <c r="L217" s="146" t="str">
        <f t="shared" si="28"/>
        <v/>
      </c>
      <c r="M217" s="148" t="str">
        <f t="shared" si="29"/>
        <v/>
      </c>
    </row>
    <row r="218" spans="1:13" x14ac:dyDescent="0.3">
      <c r="A218" s="149"/>
      <c r="B218" s="149"/>
      <c r="C218" s="149"/>
      <c r="D218" s="149"/>
      <c r="E218" s="149"/>
      <c r="F218" s="149"/>
      <c r="G218" s="162"/>
      <c r="H218" s="146" t="str">
        <f t="shared" si="25"/>
        <v/>
      </c>
      <c r="I218" s="161" t="str">
        <f t="shared" si="26"/>
        <v/>
      </c>
      <c r="J218" s="160" t="str">
        <f>IFERROR(INDEX(下年标准成本!I:I,MATCH(C218,下年标准成本!C:C,0),1),"")</f>
        <v/>
      </c>
      <c r="K218" s="146" t="str">
        <f t="shared" si="27"/>
        <v/>
      </c>
      <c r="L218" s="146" t="str">
        <f t="shared" si="28"/>
        <v/>
      </c>
      <c r="M218" s="148" t="str">
        <f t="shared" si="29"/>
        <v/>
      </c>
    </row>
    <row r="219" spans="1:13" x14ac:dyDescent="0.3">
      <c r="A219" s="149"/>
      <c r="B219" s="149"/>
      <c r="C219" s="149"/>
      <c r="D219" s="149"/>
      <c r="E219" s="149"/>
      <c r="F219" s="149"/>
      <c r="G219" s="162"/>
      <c r="H219" s="146" t="str">
        <f t="shared" si="25"/>
        <v/>
      </c>
      <c r="I219" s="161" t="str">
        <f t="shared" si="26"/>
        <v/>
      </c>
      <c r="J219" s="160" t="str">
        <f>IFERROR(INDEX(下年标准成本!I:I,MATCH(C219,下年标准成本!C:C,0),1),"")</f>
        <v/>
      </c>
      <c r="K219" s="146" t="str">
        <f t="shared" si="27"/>
        <v/>
      </c>
      <c r="L219" s="146" t="str">
        <f t="shared" si="28"/>
        <v/>
      </c>
      <c r="M219" s="148" t="str">
        <f t="shared" si="29"/>
        <v/>
      </c>
    </row>
    <row r="220" spans="1:13" x14ac:dyDescent="0.3">
      <c r="A220" s="149"/>
      <c r="B220" s="149"/>
      <c r="C220" s="149"/>
      <c r="D220" s="149"/>
      <c r="E220" s="149"/>
      <c r="F220" s="149"/>
      <c r="G220" s="162"/>
      <c r="H220" s="146" t="str">
        <f t="shared" si="25"/>
        <v/>
      </c>
      <c r="I220" s="161" t="str">
        <f t="shared" si="26"/>
        <v/>
      </c>
      <c r="J220" s="160" t="str">
        <f>IFERROR(INDEX(下年标准成本!I:I,MATCH(C220,下年标准成本!C:C,0),1),"")</f>
        <v/>
      </c>
      <c r="K220" s="146" t="str">
        <f t="shared" si="27"/>
        <v/>
      </c>
      <c r="L220" s="146" t="str">
        <f t="shared" si="28"/>
        <v/>
      </c>
      <c r="M220" s="148" t="str">
        <f t="shared" si="29"/>
        <v/>
      </c>
    </row>
    <row r="221" spans="1:13" x14ac:dyDescent="0.3">
      <c r="A221" s="149"/>
      <c r="B221" s="149"/>
      <c r="C221" s="149"/>
      <c r="D221" s="149"/>
      <c r="E221" s="149"/>
      <c r="F221" s="149"/>
      <c r="G221" s="162"/>
      <c r="H221" s="146" t="str">
        <f t="shared" si="25"/>
        <v/>
      </c>
      <c r="I221" s="161" t="str">
        <f t="shared" si="26"/>
        <v/>
      </c>
      <c r="J221" s="160" t="str">
        <f>IFERROR(INDEX(下年标准成本!I:I,MATCH(C221,下年标准成本!C:C,0),1),"")</f>
        <v/>
      </c>
      <c r="K221" s="146" t="str">
        <f t="shared" si="27"/>
        <v/>
      </c>
      <c r="L221" s="146" t="str">
        <f t="shared" si="28"/>
        <v/>
      </c>
      <c r="M221" s="148" t="str">
        <f t="shared" si="29"/>
        <v/>
      </c>
    </row>
    <row r="222" spans="1:13" x14ac:dyDescent="0.3">
      <c r="A222" s="149"/>
      <c r="B222" s="149"/>
      <c r="C222" s="149"/>
      <c r="D222" s="149"/>
      <c r="E222" s="149"/>
      <c r="F222" s="149"/>
      <c r="G222" s="162"/>
      <c r="H222" s="146" t="str">
        <f t="shared" si="25"/>
        <v/>
      </c>
      <c r="I222" s="161" t="str">
        <f t="shared" si="26"/>
        <v/>
      </c>
      <c r="J222" s="160" t="str">
        <f>IFERROR(INDEX(下年标准成本!I:I,MATCH(C222,下年标准成本!C:C,0),1),"")</f>
        <v/>
      </c>
      <c r="K222" s="146" t="str">
        <f t="shared" si="27"/>
        <v/>
      </c>
      <c r="L222" s="146" t="str">
        <f t="shared" si="28"/>
        <v/>
      </c>
      <c r="M222" s="148" t="str">
        <f t="shared" si="29"/>
        <v/>
      </c>
    </row>
    <row r="223" spans="1:13" x14ac:dyDescent="0.3">
      <c r="A223" s="149"/>
      <c r="B223" s="149"/>
      <c r="C223" s="149"/>
      <c r="D223" s="149"/>
      <c r="E223" s="149"/>
      <c r="F223" s="149"/>
      <c r="G223" s="162"/>
      <c r="H223" s="146" t="str">
        <f t="shared" si="25"/>
        <v/>
      </c>
      <c r="I223" s="161" t="str">
        <f t="shared" si="26"/>
        <v/>
      </c>
      <c r="J223" s="160" t="str">
        <f>IFERROR(INDEX(下年标准成本!I:I,MATCH(C223,下年标准成本!C:C,0),1),"")</f>
        <v/>
      </c>
      <c r="K223" s="146" t="str">
        <f t="shared" si="27"/>
        <v/>
      </c>
      <c r="L223" s="146" t="str">
        <f t="shared" si="28"/>
        <v/>
      </c>
      <c r="M223" s="148" t="str">
        <f t="shared" si="29"/>
        <v/>
      </c>
    </row>
    <row r="224" spans="1:13" x14ac:dyDescent="0.3">
      <c r="A224" s="149"/>
      <c r="B224" s="149"/>
      <c r="C224" s="149"/>
      <c r="D224" s="149"/>
      <c r="E224" s="149"/>
      <c r="F224" s="149"/>
      <c r="G224" s="162"/>
      <c r="H224" s="146" t="str">
        <f t="shared" si="25"/>
        <v/>
      </c>
      <c r="I224" s="161" t="str">
        <f t="shared" si="26"/>
        <v/>
      </c>
      <c r="J224" s="160" t="str">
        <f>IFERROR(INDEX(下年标准成本!I:I,MATCH(C224,下年标准成本!C:C,0),1),"")</f>
        <v/>
      </c>
      <c r="K224" s="146" t="str">
        <f t="shared" si="27"/>
        <v/>
      </c>
      <c r="L224" s="146" t="str">
        <f t="shared" si="28"/>
        <v/>
      </c>
      <c r="M224" s="148" t="str">
        <f t="shared" si="29"/>
        <v/>
      </c>
    </row>
    <row r="225" spans="1:13" x14ac:dyDescent="0.3">
      <c r="A225" s="149"/>
      <c r="B225" s="149"/>
      <c r="C225" s="149"/>
      <c r="D225" s="149"/>
      <c r="E225" s="149"/>
      <c r="F225" s="149"/>
      <c r="G225" s="162"/>
      <c r="H225" s="146" t="str">
        <f t="shared" si="25"/>
        <v/>
      </c>
      <c r="I225" s="161" t="str">
        <f t="shared" si="26"/>
        <v/>
      </c>
      <c r="J225" s="160" t="str">
        <f>IFERROR(INDEX(下年标准成本!I:I,MATCH(C225,下年标准成本!C:C,0),1),"")</f>
        <v/>
      </c>
      <c r="K225" s="146" t="str">
        <f t="shared" si="27"/>
        <v/>
      </c>
      <c r="L225" s="146" t="str">
        <f t="shared" si="28"/>
        <v/>
      </c>
      <c r="M225" s="148" t="str">
        <f t="shared" si="29"/>
        <v/>
      </c>
    </row>
    <row r="226" spans="1:13" x14ac:dyDescent="0.3">
      <c r="A226" s="149"/>
      <c r="B226" s="149"/>
      <c r="C226" s="149"/>
      <c r="D226" s="149"/>
      <c r="E226" s="149"/>
      <c r="F226" s="149"/>
      <c r="G226" s="162"/>
      <c r="H226" s="146" t="str">
        <f t="shared" si="25"/>
        <v/>
      </c>
      <c r="I226" s="161" t="str">
        <f t="shared" si="26"/>
        <v/>
      </c>
      <c r="J226" s="160" t="str">
        <f>IFERROR(INDEX(下年标准成本!I:I,MATCH(C226,下年标准成本!C:C,0),1),"")</f>
        <v/>
      </c>
      <c r="K226" s="146" t="str">
        <f t="shared" si="27"/>
        <v/>
      </c>
      <c r="L226" s="146" t="str">
        <f t="shared" si="28"/>
        <v/>
      </c>
      <c r="M226" s="148" t="str">
        <f t="shared" si="29"/>
        <v/>
      </c>
    </row>
    <row r="227" spans="1:13" x14ac:dyDescent="0.3">
      <c r="A227" s="149"/>
      <c r="B227" s="149"/>
      <c r="C227" s="149"/>
      <c r="D227" s="149"/>
      <c r="E227" s="149"/>
      <c r="F227" s="149"/>
      <c r="G227" s="162"/>
      <c r="H227" s="146" t="str">
        <f t="shared" si="25"/>
        <v/>
      </c>
      <c r="I227" s="161" t="str">
        <f t="shared" si="26"/>
        <v/>
      </c>
      <c r="J227" s="160" t="str">
        <f>IFERROR(INDEX(下年标准成本!I:I,MATCH(C227,下年标准成本!C:C,0),1),"")</f>
        <v/>
      </c>
      <c r="K227" s="146" t="str">
        <f t="shared" si="27"/>
        <v/>
      </c>
      <c r="L227" s="146" t="str">
        <f t="shared" si="28"/>
        <v/>
      </c>
      <c r="M227" s="148" t="str">
        <f t="shared" si="29"/>
        <v/>
      </c>
    </row>
    <row r="228" spans="1:13" x14ac:dyDescent="0.3">
      <c r="A228" s="149"/>
      <c r="B228" s="149"/>
      <c r="C228" s="149"/>
      <c r="D228" s="149"/>
      <c r="E228" s="149"/>
      <c r="F228" s="149"/>
      <c r="G228" s="162"/>
      <c r="H228" s="146" t="str">
        <f t="shared" si="25"/>
        <v/>
      </c>
      <c r="I228" s="161" t="str">
        <f t="shared" si="26"/>
        <v/>
      </c>
      <c r="J228" s="160" t="str">
        <f>IFERROR(INDEX(下年标准成本!I:I,MATCH(C228,下年标准成本!C:C,0),1),"")</f>
        <v/>
      </c>
      <c r="K228" s="146" t="str">
        <f t="shared" si="27"/>
        <v/>
      </c>
      <c r="L228" s="146" t="str">
        <f t="shared" si="28"/>
        <v/>
      </c>
      <c r="M228" s="148" t="str">
        <f t="shared" si="29"/>
        <v/>
      </c>
    </row>
    <row r="229" spans="1:13" x14ac:dyDescent="0.3">
      <c r="A229" s="149"/>
      <c r="B229" s="149"/>
      <c r="C229" s="149"/>
      <c r="D229" s="149"/>
      <c r="E229" s="149"/>
      <c r="F229" s="149"/>
      <c r="G229" s="162"/>
      <c r="H229" s="146" t="str">
        <f t="shared" si="25"/>
        <v/>
      </c>
      <c r="I229" s="161" t="str">
        <f t="shared" si="26"/>
        <v/>
      </c>
      <c r="J229" s="160" t="str">
        <f>IFERROR(INDEX(下年标准成本!I:I,MATCH(C229,下年标准成本!C:C,0),1),"")</f>
        <v/>
      </c>
      <c r="K229" s="146" t="str">
        <f t="shared" si="27"/>
        <v/>
      </c>
      <c r="L229" s="146" t="str">
        <f t="shared" si="28"/>
        <v/>
      </c>
      <c r="M229" s="148" t="str">
        <f t="shared" si="29"/>
        <v/>
      </c>
    </row>
    <row r="230" spans="1:13" x14ac:dyDescent="0.3">
      <c r="A230" s="149"/>
      <c r="B230" s="149"/>
      <c r="C230" s="149"/>
      <c r="D230" s="149"/>
      <c r="E230" s="149"/>
      <c r="F230" s="149"/>
      <c r="G230" s="162"/>
      <c r="H230" s="146" t="str">
        <f t="shared" si="25"/>
        <v/>
      </c>
      <c r="I230" s="161" t="str">
        <f t="shared" si="26"/>
        <v/>
      </c>
      <c r="J230" s="160" t="str">
        <f>IFERROR(INDEX(下年标准成本!I:I,MATCH(C230,下年标准成本!C:C,0),1),"")</f>
        <v/>
      </c>
      <c r="K230" s="146" t="str">
        <f t="shared" si="27"/>
        <v/>
      </c>
      <c r="L230" s="146" t="str">
        <f t="shared" si="28"/>
        <v/>
      </c>
      <c r="M230" s="148" t="str">
        <f t="shared" si="29"/>
        <v/>
      </c>
    </row>
    <row r="231" spans="1:13" x14ac:dyDescent="0.3">
      <c r="A231" s="149"/>
      <c r="B231" s="149"/>
      <c r="C231" s="149"/>
      <c r="D231" s="149"/>
      <c r="E231" s="149"/>
      <c r="F231" s="149"/>
      <c r="G231" s="162"/>
      <c r="H231" s="146" t="str">
        <f t="shared" si="25"/>
        <v/>
      </c>
      <c r="I231" s="161" t="str">
        <f t="shared" si="26"/>
        <v/>
      </c>
      <c r="J231" s="160" t="str">
        <f>IFERROR(INDEX(下年标准成本!I:I,MATCH(C231,下年标准成本!C:C,0),1),"")</f>
        <v/>
      </c>
      <c r="K231" s="146" t="str">
        <f t="shared" si="27"/>
        <v/>
      </c>
      <c r="L231" s="146" t="str">
        <f t="shared" si="28"/>
        <v/>
      </c>
      <c r="M231" s="148" t="str">
        <f t="shared" si="29"/>
        <v/>
      </c>
    </row>
    <row r="232" spans="1:13" x14ac:dyDescent="0.3">
      <c r="A232" s="149"/>
      <c r="B232" s="149"/>
      <c r="C232" s="149"/>
      <c r="D232" s="149"/>
      <c r="E232" s="149"/>
      <c r="F232" s="149"/>
      <c r="G232" s="162"/>
      <c r="H232" s="146" t="str">
        <f t="shared" si="25"/>
        <v/>
      </c>
      <c r="I232" s="161" t="str">
        <f t="shared" si="26"/>
        <v/>
      </c>
      <c r="J232" s="160" t="str">
        <f>IFERROR(INDEX(下年标准成本!I:I,MATCH(C232,下年标准成本!C:C,0),1),"")</f>
        <v/>
      </c>
      <c r="K232" s="146" t="str">
        <f t="shared" si="27"/>
        <v/>
      </c>
      <c r="L232" s="146" t="str">
        <f t="shared" si="28"/>
        <v/>
      </c>
      <c r="M232" s="148" t="str">
        <f t="shared" si="29"/>
        <v/>
      </c>
    </row>
    <row r="233" spans="1:13" x14ac:dyDescent="0.3">
      <c r="A233" s="149"/>
      <c r="B233" s="149"/>
      <c r="C233" s="149"/>
      <c r="D233" s="149"/>
      <c r="E233" s="149"/>
      <c r="F233" s="149"/>
      <c r="G233" s="162"/>
      <c r="H233" s="146" t="str">
        <f t="shared" si="25"/>
        <v/>
      </c>
      <c r="I233" s="161" t="str">
        <f t="shared" si="26"/>
        <v/>
      </c>
      <c r="J233" s="160" t="str">
        <f>IFERROR(INDEX(下年标准成本!I:I,MATCH(C233,下年标准成本!C:C,0),1),"")</f>
        <v/>
      </c>
      <c r="K233" s="146" t="str">
        <f t="shared" si="27"/>
        <v/>
      </c>
      <c r="L233" s="146" t="str">
        <f t="shared" si="28"/>
        <v/>
      </c>
      <c r="M233" s="148" t="str">
        <f t="shared" si="29"/>
        <v/>
      </c>
    </row>
    <row r="234" spans="1:13" x14ac:dyDescent="0.3">
      <c r="A234" s="149"/>
      <c r="B234" s="149"/>
      <c r="C234" s="149"/>
      <c r="D234" s="149"/>
      <c r="E234" s="149"/>
      <c r="F234" s="149"/>
      <c r="G234" s="162"/>
      <c r="H234" s="146" t="str">
        <f t="shared" si="25"/>
        <v/>
      </c>
      <c r="I234" s="161" t="str">
        <f t="shared" si="26"/>
        <v/>
      </c>
      <c r="J234" s="160" t="str">
        <f>IFERROR(INDEX(下年标准成本!I:I,MATCH(C234,下年标准成本!C:C,0),1),"")</f>
        <v/>
      </c>
      <c r="K234" s="146" t="str">
        <f t="shared" si="27"/>
        <v/>
      </c>
      <c r="L234" s="146" t="str">
        <f t="shared" si="28"/>
        <v/>
      </c>
      <c r="M234" s="148" t="str">
        <f t="shared" si="29"/>
        <v/>
      </c>
    </row>
    <row r="235" spans="1:13" x14ac:dyDescent="0.3">
      <c r="A235" s="149"/>
      <c r="B235" s="149"/>
      <c r="C235" s="149"/>
      <c r="D235" s="149"/>
      <c r="E235" s="149"/>
      <c r="F235" s="149"/>
      <c r="G235" s="162"/>
      <c r="H235" s="146" t="str">
        <f t="shared" si="25"/>
        <v/>
      </c>
      <c r="I235" s="161" t="str">
        <f t="shared" si="26"/>
        <v/>
      </c>
      <c r="J235" s="160" t="str">
        <f>IFERROR(INDEX(下年标准成本!I:I,MATCH(C235,下年标准成本!C:C,0),1),"")</f>
        <v/>
      </c>
      <c r="K235" s="146" t="str">
        <f t="shared" si="27"/>
        <v/>
      </c>
      <c r="L235" s="146" t="str">
        <f t="shared" si="28"/>
        <v/>
      </c>
      <c r="M235" s="148" t="str">
        <f t="shared" si="29"/>
        <v/>
      </c>
    </row>
    <row r="236" spans="1:13" x14ac:dyDescent="0.3">
      <c r="A236" s="149"/>
      <c r="B236" s="149"/>
      <c r="C236" s="149"/>
      <c r="D236" s="149"/>
      <c r="E236" s="149"/>
      <c r="F236" s="149"/>
      <c r="G236" s="162"/>
      <c r="H236" s="146" t="str">
        <f t="shared" si="25"/>
        <v/>
      </c>
      <c r="I236" s="161" t="str">
        <f t="shared" si="26"/>
        <v/>
      </c>
      <c r="J236" s="160" t="str">
        <f>IFERROR(INDEX(下年标准成本!I:I,MATCH(C236,下年标准成本!C:C,0),1),"")</f>
        <v/>
      </c>
      <c r="K236" s="146" t="str">
        <f t="shared" si="27"/>
        <v/>
      </c>
      <c r="L236" s="146" t="str">
        <f t="shared" si="28"/>
        <v/>
      </c>
      <c r="M236" s="148" t="str">
        <f t="shared" si="29"/>
        <v/>
      </c>
    </row>
    <row r="237" spans="1:13" x14ac:dyDescent="0.3">
      <c r="A237" s="149"/>
      <c r="B237" s="149"/>
      <c r="C237" s="149"/>
      <c r="D237" s="149"/>
      <c r="E237" s="149"/>
      <c r="F237" s="149"/>
      <c r="G237" s="162"/>
      <c r="H237" s="146" t="str">
        <f t="shared" si="25"/>
        <v/>
      </c>
      <c r="I237" s="161" t="str">
        <f t="shared" si="26"/>
        <v/>
      </c>
      <c r="J237" s="160" t="str">
        <f>IFERROR(INDEX(下年标准成本!I:I,MATCH(C237,下年标准成本!C:C,0),1),"")</f>
        <v/>
      </c>
      <c r="K237" s="146" t="str">
        <f t="shared" si="27"/>
        <v/>
      </c>
      <c r="L237" s="146" t="str">
        <f t="shared" si="28"/>
        <v/>
      </c>
      <c r="M237" s="148" t="str">
        <f t="shared" si="29"/>
        <v/>
      </c>
    </row>
    <row r="238" spans="1:13" x14ac:dyDescent="0.3">
      <c r="A238" s="149"/>
      <c r="B238" s="149"/>
      <c r="C238" s="149"/>
      <c r="D238" s="149"/>
      <c r="E238" s="149"/>
      <c r="F238" s="149"/>
      <c r="G238" s="162"/>
      <c r="H238" s="146" t="str">
        <f t="shared" si="25"/>
        <v/>
      </c>
      <c r="I238" s="161" t="str">
        <f t="shared" si="26"/>
        <v/>
      </c>
      <c r="J238" s="160" t="str">
        <f>IFERROR(INDEX(下年标准成本!I:I,MATCH(C238,下年标准成本!C:C,0),1),"")</f>
        <v/>
      </c>
      <c r="K238" s="146" t="str">
        <f t="shared" si="27"/>
        <v/>
      </c>
      <c r="L238" s="146" t="str">
        <f t="shared" si="28"/>
        <v/>
      </c>
      <c r="M238" s="148" t="str">
        <f t="shared" si="29"/>
        <v/>
      </c>
    </row>
    <row r="239" spans="1:13" x14ac:dyDescent="0.3">
      <c r="A239" s="149"/>
      <c r="B239" s="149"/>
      <c r="C239" s="149"/>
      <c r="D239" s="149"/>
      <c r="E239" s="149"/>
      <c r="F239" s="149"/>
      <c r="G239" s="162"/>
      <c r="H239" s="146" t="str">
        <f t="shared" si="25"/>
        <v/>
      </c>
      <c r="I239" s="161" t="str">
        <f t="shared" si="26"/>
        <v/>
      </c>
      <c r="J239" s="160" t="str">
        <f>IFERROR(INDEX(下年标准成本!I:I,MATCH(C239,下年标准成本!C:C,0),1),"")</f>
        <v/>
      </c>
      <c r="K239" s="146" t="str">
        <f t="shared" si="27"/>
        <v/>
      </c>
      <c r="L239" s="146" t="str">
        <f t="shared" si="28"/>
        <v/>
      </c>
      <c r="M239" s="148" t="str">
        <f t="shared" si="29"/>
        <v/>
      </c>
    </row>
    <row r="240" spans="1:13" x14ac:dyDescent="0.3">
      <c r="A240" s="149"/>
      <c r="B240" s="149"/>
      <c r="C240" s="149"/>
      <c r="D240" s="149"/>
      <c r="E240" s="149"/>
      <c r="F240" s="149"/>
      <c r="G240" s="162"/>
      <c r="H240" s="146" t="str">
        <f t="shared" si="25"/>
        <v/>
      </c>
      <c r="I240" s="161" t="str">
        <f t="shared" si="26"/>
        <v/>
      </c>
      <c r="J240" s="160" t="str">
        <f>IFERROR(INDEX(下年标准成本!I:I,MATCH(C240,下年标准成本!C:C,0),1),"")</f>
        <v/>
      </c>
      <c r="K240" s="146" t="str">
        <f t="shared" si="27"/>
        <v/>
      </c>
      <c r="L240" s="146" t="str">
        <f t="shared" si="28"/>
        <v/>
      </c>
      <c r="M240" s="148" t="str">
        <f t="shared" si="29"/>
        <v/>
      </c>
    </row>
    <row r="241" spans="1:13" x14ac:dyDescent="0.3">
      <c r="A241" s="149"/>
      <c r="B241" s="149"/>
      <c r="C241" s="149"/>
      <c r="D241" s="149"/>
      <c r="E241" s="149"/>
      <c r="F241" s="149"/>
      <c r="G241" s="162"/>
      <c r="H241" s="146" t="str">
        <f t="shared" si="25"/>
        <v/>
      </c>
      <c r="I241" s="161" t="str">
        <f t="shared" si="26"/>
        <v/>
      </c>
      <c r="J241" s="160" t="str">
        <f>IFERROR(INDEX(下年标准成本!I:I,MATCH(C241,下年标准成本!C:C,0),1),"")</f>
        <v/>
      </c>
      <c r="K241" s="146" t="str">
        <f t="shared" si="27"/>
        <v/>
      </c>
      <c r="L241" s="146" t="str">
        <f t="shared" si="28"/>
        <v/>
      </c>
      <c r="M241" s="148" t="str">
        <f t="shared" si="29"/>
        <v/>
      </c>
    </row>
    <row r="242" spans="1:13" x14ac:dyDescent="0.3">
      <c r="A242" s="149"/>
      <c r="B242" s="149"/>
      <c r="C242" s="149"/>
      <c r="D242" s="149"/>
      <c r="E242" s="149"/>
      <c r="F242" s="149"/>
      <c r="G242" s="162"/>
      <c r="H242" s="146" t="str">
        <f t="shared" si="25"/>
        <v/>
      </c>
      <c r="I242" s="161" t="str">
        <f t="shared" si="26"/>
        <v/>
      </c>
      <c r="J242" s="160" t="str">
        <f>IFERROR(INDEX(下年标准成本!I:I,MATCH(C242,下年标准成本!C:C,0),1),"")</f>
        <v/>
      </c>
      <c r="K242" s="146" t="str">
        <f t="shared" si="27"/>
        <v/>
      </c>
      <c r="L242" s="146" t="str">
        <f t="shared" si="28"/>
        <v/>
      </c>
      <c r="M242" s="148" t="str">
        <f t="shared" si="29"/>
        <v/>
      </c>
    </row>
    <row r="243" spans="1:13" x14ac:dyDescent="0.3">
      <c r="A243" s="149"/>
      <c r="B243" s="149"/>
      <c r="C243" s="149"/>
      <c r="D243" s="149"/>
      <c r="E243" s="149"/>
      <c r="F243" s="149"/>
      <c r="G243" s="162"/>
      <c r="H243" s="146" t="str">
        <f t="shared" si="25"/>
        <v/>
      </c>
      <c r="I243" s="161" t="str">
        <f t="shared" si="26"/>
        <v/>
      </c>
      <c r="J243" s="160" t="str">
        <f>IFERROR(INDEX(下年标准成本!I:I,MATCH(C243,下年标准成本!C:C,0),1),"")</f>
        <v/>
      </c>
      <c r="K243" s="146" t="str">
        <f t="shared" si="27"/>
        <v/>
      </c>
      <c r="L243" s="146" t="str">
        <f t="shared" si="28"/>
        <v/>
      </c>
      <c r="M243" s="148" t="str">
        <f t="shared" si="29"/>
        <v/>
      </c>
    </row>
    <row r="244" spans="1:13" x14ac:dyDescent="0.3">
      <c r="A244" s="149"/>
      <c r="B244" s="149"/>
      <c r="C244" s="149"/>
      <c r="D244" s="149"/>
      <c r="E244" s="149"/>
      <c r="F244" s="149"/>
      <c r="G244" s="162"/>
      <c r="H244" s="146" t="str">
        <f t="shared" si="25"/>
        <v/>
      </c>
      <c r="I244" s="161" t="str">
        <f t="shared" si="26"/>
        <v/>
      </c>
      <c r="J244" s="160" t="str">
        <f>IFERROR(INDEX(下年标准成本!I:I,MATCH(C244,下年标准成本!C:C,0),1),"")</f>
        <v/>
      </c>
      <c r="K244" s="146" t="str">
        <f t="shared" si="27"/>
        <v/>
      </c>
      <c r="L244" s="146" t="str">
        <f t="shared" si="28"/>
        <v/>
      </c>
      <c r="M244" s="148" t="str">
        <f t="shared" si="29"/>
        <v/>
      </c>
    </row>
    <row r="245" spans="1:13" x14ac:dyDescent="0.3">
      <c r="A245" s="149"/>
      <c r="B245" s="149"/>
      <c r="C245" s="149"/>
      <c r="D245" s="149"/>
      <c r="E245" s="149"/>
      <c r="F245" s="149"/>
      <c r="G245" s="162"/>
      <c r="H245" s="146" t="str">
        <f t="shared" si="25"/>
        <v/>
      </c>
      <c r="I245" s="161" t="str">
        <f t="shared" si="26"/>
        <v/>
      </c>
      <c r="J245" s="160" t="str">
        <f>IFERROR(INDEX(下年标准成本!I:I,MATCH(C245,下年标准成本!C:C,0),1),"")</f>
        <v/>
      </c>
      <c r="K245" s="146" t="str">
        <f t="shared" si="27"/>
        <v/>
      </c>
      <c r="L245" s="146" t="str">
        <f t="shared" si="28"/>
        <v/>
      </c>
      <c r="M245" s="148" t="str">
        <f t="shared" si="29"/>
        <v/>
      </c>
    </row>
    <row r="246" spans="1:13" x14ac:dyDescent="0.3">
      <c r="A246" s="149"/>
      <c r="B246" s="149"/>
      <c r="C246" s="149"/>
      <c r="D246" s="149"/>
      <c r="E246" s="149"/>
      <c r="F246" s="149"/>
      <c r="G246" s="162"/>
      <c r="H246" s="146" t="str">
        <f t="shared" si="25"/>
        <v/>
      </c>
      <c r="I246" s="161" t="str">
        <f t="shared" si="26"/>
        <v/>
      </c>
      <c r="J246" s="160" t="str">
        <f>IFERROR(INDEX(下年标准成本!I:I,MATCH(C246,下年标准成本!C:C,0),1),"")</f>
        <v/>
      </c>
      <c r="K246" s="146" t="str">
        <f t="shared" si="27"/>
        <v/>
      </c>
      <c r="L246" s="146" t="str">
        <f t="shared" si="28"/>
        <v/>
      </c>
      <c r="M246" s="148" t="str">
        <f t="shared" si="29"/>
        <v/>
      </c>
    </row>
    <row r="247" spans="1:13" x14ac:dyDescent="0.3">
      <c r="A247" s="149"/>
      <c r="B247" s="149"/>
      <c r="C247" s="149"/>
      <c r="D247" s="149"/>
      <c r="E247" s="149"/>
      <c r="F247" s="149"/>
      <c r="G247" s="162"/>
      <c r="H247" s="146" t="str">
        <f t="shared" si="25"/>
        <v/>
      </c>
      <c r="I247" s="161" t="str">
        <f t="shared" si="26"/>
        <v/>
      </c>
      <c r="J247" s="160" t="str">
        <f>IFERROR(INDEX(下年标准成本!I:I,MATCH(C247,下年标准成本!C:C,0),1),"")</f>
        <v/>
      </c>
      <c r="K247" s="146" t="str">
        <f t="shared" si="27"/>
        <v/>
      </c>
      <c r="L247" s="146" t="str">
        <f t="shared" si="28"/>
        <v/>
      </c>
      <c r="M247" s="148" t="str">
        <f t="shared" si="29"/>
        <v/>
      </c>
    </row>
    <row r="248" spans="1:13" x14ac:dyDescent="0.3">
      <c r="A248" s="149"/>
      <c r="B248" s="149"/>
      <c r="C248" s="149"/>
      <c r="D248" s="149"/>
      <c r="E248" s="149"/>
      <c r="F248" s="149"/>
      <c r="G248" s="162"/>
      <c r="H248" s="146" t="str">
        <f t="shared" si="25"/>
        <v/>
      </c>
      <c r="I248" s="161" t="str">
        <f t="shared" si="26"/>
        <v/>
      </c>
      <c r="J248" s="160" t="str">
        <f>IFERROR(INDEX(下年标准成本!I:I,MATCH(C248,下年标准成本!C:C,0),1),"")</f>
        <v/>
      </c>
      <c r="K248" s="146" t="str">
        <f t="shared" si="27"/>
        <v/>
      </c>
      <c r="L248" s="146" t="str">
        <f t="shared" si="28"/>
        <v/>
      </c>
      <c r="M248" s="148" t="str">
        <f t="shared" si="29"/>
        <v/>
      </c>
    </row>
    <row r="249" spans="1:13" x14ac:dyDescent="0.3">
      <c r="A249" s="149"/>
      <c r="B249" s="149"/>
      <c r="C249" s="149"/>
      <c r="D249" s="149"/>
      <c r="E249" s="149"/>
      <c r="F249" s="149"/>
      <c r="G249" s="162"/>
      <c r="H249" s="146" t="str">
        <f t="shared" si="25"/>
        <v/>
      </c>
      <c r="I249" s="161" t="str">
        <f t="shared" si="26"/>
        <v/>
      </c>
      <c r="J249" s="160" t="str">
        <f>IFERROR(INDEX(下年标准成本!I:I,MATCH(C249,下年标准成本!C:C,0),1),"")</f>
        <v/>
      </c>
      <c r="K249" s="146" t="str">
        <f t="shared" si="27"/>
        <v/>
      </c>
      <c r="L249" s="146" t="str">
        <f t="shared" si="28"/>
        <v/>
      </c>
      <c r="M249" s="148" t="str">
        <f t="shared" si="29"/>
        <v/>
      </c>
    </row>
    <row r="250" spans="1:13" x14ac:dyDescent="0.3">
      <c r="A250" s="149"/>
      <c r="B250" s="149"/>
      <c r="C250" s="149"/>
      <c r="D250" s="149"/>
      <c r="E250" s="149"/>
      <c r="F250" s="149"/>
      <c r="G250" s="162"/>
      <c r="H250" s="146" t="str">
        <f t="shared" si="25"/>
        <v/>
      </c>
      <c r="I250" s="161" t="str">
        <f t="shared" si="26"/>
        <v/>
      </c>
      <c r="J250" s="160" t="str">
        <f>IFERROR(INDEX(下年标准成本!I:I,MATCH(C250,下年标准成本!C:C,0),1),"")</f>
        <v/>
      </c>
      <c r="K250" s="146" t="str">
        <f t="shared" si="27"/>
        <v/>
      </c>
      <c r="L250" s="146" t="str">
        <f t="shared" si="28"/>
        <v/>
      </c>
      <c r="M250" s="148" t="str">
        <f t="shared" si="29"/>
        <v/>
      </c>
    </row>
    <row r="251" spans="1:13" x14ac:dyDescent="0.3">
      <c r="A251" s="149"/>
      <c r="B251" s="149"/>
      <c r="C251" s="149"/>
      <c r="D251" s="149"/>
      <c r="E251" s="149"/>
      <c r="F251" s="149"/>
      <c r="G251" s="162"/>
      <c r="H251" s="146" t="str">
        <f t="shared" si="25"/>
        <v/>
      </c>
      <c r="I251" s="161" t="str">
        <f t="shared" si="26"/>
        <v/>
      </c>
      <c r="J251" s="160" t="str">
        <f>IFERROR(INDEX(下年标准成本!I:I,MATCH(C251,下年标准成本!C:C,0),1),"")</f>
        <v/>
      </c>
      <c r="K251" s="146" t="str">
        <f t="shared" si="27"/>
        <v/>
      </c>
      <c r="L251" s="146" t="str">
        <f t="shared" si="28"/>
        <v/>
      </c>
      <c r="M251" s="148" t="str">
        <f t="shared" si="29"/>
        <v/>
      </c>
    </row>
    <row r="252" spans="1:13" x14ac:dyDescent="0.3">
      <c r="A252" s="149"/>
      <c r="B252" s="149"/>
      <c r="C252" s="149"/>
      <c r="D252" s="149"/>
      <c r="E252" s="149"/>
      <c r="F252" s="149"/>
      <c r="G252" s="162"/>
      <c r="H252" s="146" t="str">
        <f t="shared" si="25"/>
        <v/>
      </c>
      <c r="I252" s="161" t="str">
        <f t="shared" si="26"/>
        <v/>
      </c>
      <c r="J252" s="160" t="str">
        <f>IFERROR(INDEX(下年标准成本!I:I,MATCH(C252,下年标准成本!C:C,0),1),"")</f>
        <v/>
      </c>
      <c r="K252" s="146" t="str">
        <f t="shared" si="27"/>
        <v/>
      </c>
      <c r="L252" s="146" t="str">
        <f t="shared" si="28"/>
        <v/>
      </c>
      <c r="M252" s="148" t="str">
        <f t="shared" si="29"/>
        <v/>
      </c>
    </row>
    <row r="253" spans="1:13" x14ac:dyDescent="0.3">
      <c r="A253" s="149"/>
      <c r="B253" s="149"/>
      <c r="C253" s="149"/>
      <c r="D253" s="149"/>
      <c r="E253" s="149"/>
      <c r="F253" s="149"/>
      <c r="G253" s="162"/>
      <c r="H253" s="146" t="str">
        <f t="shared" si="25"/>
        <v/>
      </c>
      <c r="I253" s="161" t="str">
        <f t="shared" si="26"/>
        <v/>
      </c>
      <c r="J253" s="160" t="str">
        <f>IFERROR(INDEX(下年标准成本!I:I,MATCH(C253,下年标准成本!C:C,0),1),"")</f>
        <v/>
      </c>
      <c r="K253" s="146" t="str">
        <f t="shared" si="27"/>
        <v/>
      </c>
      <c r="L253" s="146" t="str">
        <f t="shared" si="28"/>
        <v/>
      </c>
      <c r="M253" s="148" t="str">
        <f t="shared" si="29"/>
        <v/>
      </c>
    </row>
    <row r="254" spans="1:13" x14ac:dyDescent="0.3">
      <c r="A254" s="149"/>
      <c r="B254" s="149"/>
      <c r="C254" s="149"/>
      <c r="D254" s="149"/>
      <c r="E254" s="149"/>
      <c r="F254" s="149"/>
      <c r="G254" s="162"/>
      <c r="H254" s="146" t="str">
        <f t="shared" si="25"/>
        <v/>
      </c>
      <c r="I254" s="161" t="str">
        <f t="shared" si="26"/>
        <v/>
      </c>
      <c r="J254" s="160" t="str">
        <f>IFERROR(INDEX(下年标准成本!I:I,MATCH(C254,下年标准成本!C:C,0),1),"")</f>
        <v/>
      </c>
      <c r="K254" s="146" t="str">
        <f t="shared" si="27"/>
        <v/>
      </c>
      <c r="L254" s="146" t="str">
        <f t="shared" si="28"/>
        <v/>
      </c>
      <c r="M254" s="148" t="str">
        <f t="shared" si="29"/>
        <v/>
      </c>
    </row>
    <row r="255" spans="1:13" x14ac:dyDescent="0.3">
      <c r="A255" s="149"/>
      <c r="B255" s="149"/>
      <c r="C255" s="149"/>
      <c r="D255" s="149"/>
      <c r="E255" s="149"/>
      <c r="F255" s="149"/>
      <c r="G255" s="162"/>
      <c r="H255" s="146" t="str">
        <f t="shared" si="25"/>
        <v/>
      </c>
      <c r="I255" s="161" t="str">
        <f t="shared" si="26"/>
        <v/>
      </c>
      <c r="J255" s="160" t="str">
        <f>IFERROR(INDEX(下年标准成本!I:I,MATCH(C255,下年标准成本!C:C,0),1),"")</f>
        <v/>
      </c>
      <c r="K255" s="146" t="str">
        <f t="shared" si="27"/>
        <v/>
      </c>
      <c r="L255" s="146" t="str">
        <f t="shared" si="28"/>
        <v/>
      </c>
      <c r="M255" s="148" t="str">
        <f t="shared" si="29"/>
        <v/>
      </c>
    </row>
    <row r="256" spans="1:13" x14ac:dyDescent="0.3">
      <c r="A256" s="149"/>
      <c r="B256" s="149"/>
      <c r="C256" s="149"/>
      <c r="D256" s="149"/>
      <c r="E256" s="149"/>
      <c r="F256" s="149"/>
      <c r="G256" s="162"/>
      <c r="H256" s="146" t="str">
        <f t="shared" si="25"/>
        <v/>
      </c>
      <c r="I256" s="161" t="str">
        <f t="shared" si="26"/>
        <v/>
      </c>
      <c r="J256" s="160" t="str">
        <f>IFERROR(INDEX(下年标准成本!I:I,MATCH(C256,下年标准成本!C:C,0),1),"")</f>
        <v/>
      </c>
      <c r="K256" s="146" t="str">
        <f t="shared" si="27"/>
        <v/>
      </c>
      <c r="L256" s="146" t="str">
        <f t="shared" si="28"/>
        <v/>
      </c>
      <c r="M256" s="148" t="str">
        <f t="shared" si="29"/>
        <v/>
      </c>
    </row>
    <row r="257" spans="1:13" x14ac:dyDescent="0.3">
      <c r="A257" s="149"/>
      <c r="B257" s="149"/>
      <c r="C257" s="149"/>
      <c r="D257" s="149"/>
      <c r="E257" s="149"/>
      <c r="F257" s="149"/>
      <c r="G257" s="162"/>
      <c r="H257" s="146" t="str">
        <f t="shared" si="25"/>
        <v/>
      </c>
      <c r="I257" s="161" t="str">
        <f t="shared" si="26"/>
        <v/>
      </c>
      <c r="J257" s="160" t="str">
        <f>IFERROR(INDEX(下年标准成本!I:I,MATCH(C257,下年标准成本!C:C,0),1),"")</f>
        <v/>
      </c>
      <c r="K257" s="146" t="str">
        <f t="shared" si="27"/>
        <v/>
      </c>
      <c r="L257" s="146" t="str">
        <f t="shared" si="28"/>
        <v/>
      </c>
      <c r="M257" s="148" t="str">
        <f t="shared" si="29"/>
        <v/>
      </c>
    </row>
    <row r="258" spans="1:13" x14ac:dyDescent="0.3">
      <c r="A258" s="149"/>
      <c r="B258" s="149"/>
      <c r="C258" s="149"/>
      <c r="D258" s="149"/>
      <c r="E258" s="149"/>
      <c r="F258" s="149"/>
      <c r="G258" s="162"/>
      <c r="H258" s="146" t="str">
        <f t="shared" si="25"/>
        <v/>
      </c>
      <c r="I258" s="161" t="str">
        <f t="shared" si="26"/>
        <v/>
      </c>
      <c r="J258" s="160" t="str">
        <f>IFERROR(INDEX(下年标准成本!I:I,MATCH(C258,下年标准成本!C:C,0),1),"")</f>
        <v/>
      </c>
      <c r="K258" s="146" t="str">
        <f t="shared" si="27"/>
        <v/>
      </c>
      <c r="L258" s="146" t="str">
        <f t="shared" si="28"/>
        <v/>
      </c>
      <c r="M258" s="148" t="str">
        <f t="shared" si="29"/>
        <v/>
      </c>
    </row>
    <row r="259" spans="1:13" x14ac:dyDescent="0.3">
      <c r="A259" s="149"/>
      <c r="B259" s="149"/>
      <c r="C259" s="149"/>
      <c r="D259" s="149"/>
      <c r="E259" s="149"/>
      <c r="F259" s="149"/>
      <c r="G259" s="162"/>
      <c r="H259" s="146" t="str">
        <f t="shared" si="25"/>
        <v/>
      </c>
      <c r="I259" s="161" t="str">
        <f t="shared" si="26"/>
        <v/>
      </c>
      <c r="J259" s="160" t="str">
        <f>IFERROR(INDEX(下年标准成本!I:I,MATCH(C259,下年标准成本!C:C,0),1),"")</f>
        <v/>
      </c>
      <c r="K259" s="146" t="str">
        <f t="shared" si="27"/>
        <v/>
      </c>
      <c r="L259" s="146" t="str">
        <f t="shared" si="28"/>
        <v/>
      </c>
      <c r="M259" s="148" t="str">
        <f t="shared" si="29"/>
        <v/>
      </c>
    </row>
    <row r="260" spans="1:13" x14ac:dyDescent="0.3">
      <c r="A260" s="149"/>
      <c r="B260" s="149"/>
      <c r="C260" s="149"/>
      <c r="D260" s="149"/>
      <c r="E260" s="149"/>
      <c r="F260" s="149"/>
      <c r="G260" s="162"/>
      <c r="H260" s="146" t="str">
        <f t="shared" si="25"/>
        <v/>
      </c>
      <c r="I260" s="161" t="str">
        <f t="shared" si="26"/>
        <v/>
      </c>
      <c r="J260" s="160" t="str">
        <f>IFERROR(INDEX(下年标准成本!I:I,MATCH(C260,下年标准成本!C:C,0),1),"")</f>
        <v/>
      </c>
      <c r="K260" s="146" t="str">
        <f t="shared" si="27"/>
        <v/>
      </c>
      <c r="L260" s="146" t="str">
        <f t="shared" si="28"/>
        <v/>
      </c>
      <c r="M260" s="148" t="str">
        <f t="shared" si="29"/>
        <v/>
      </c>
    </row>
    <row r="261" spans="1:13" x14ac:dyDescent="0.3">
      <c r="A261" s="149"/>
      <c r="B261" s="149"/>
      <c r="C261" s="149"/>
      <c r="D261" s="149"/>
      <c r="E261" s="149"/>
      <c r="F261" s="149"/>
      <c r="G261" s="162"/>
      <c r="H261" s="146" t="str">
        <f t="shared" si="25"/>
        <v/>
      </c>
      <c r="I261" s="161" t="str">
        <f t="shared" si="26"/>
        <v/>
      </c>
      <c r="J261" s="160" t="str">
        <f>IFERROR(INDEX(下年标准成本!I:I,MATCH(C261,下年标准成本!C:C,0),1),"")</f>
        <v/>
      </c>
      <c r="K261" s="146" t="str">
        <f t="shared" si="27"/>
        <v/>
      </c>
      <c r="L261" s="146" t="str">
        <f t="shared" si="28"/>
        <v/>
      </c>
      <c r="M261" s="148" t="str">
        <f t="shared" si="29"/>
        <v/>
      </c>
    </row>
    <row r="262" spans="1:13" x14ac:dyDescent="0.3">
      <c r="A262" s="149"/>
      <c r="B262" s="149"/>
      <c r="C262" s="149"/>
      <c r="D262" s="149"/>
      <c r="E262" s="149"/>
      <c r="F262" s="149"/>
      <c r="G262" s="162"/>
      <c r="H262" s="146" t="str">
        <f t="shared" si="25"/>
        <v/>
      </c>
      <c r="I262" s="161" t="str">
        <f t="shared" si="26"/>
        <v/>
      </c>
      <c r="J262" s="160" t="str">
        <f>IFERROR(INDEX(下年标准成本!I:I,MATCH(C262,下年标准成本!C:C,0),1),"")</f>
        <v/>
      </c>
      <c r="K262" s="146" t="str">
        <f t="shared" si="27"/>
        <v/>
      </c>
      <c r="L262" s="146" t="str">
        <f t="shared" si="28"/>
        <v/>
      </c>
      <c r="M262" s="148" t="str">
        <f t="shared" si="29"/>
        <v/>
      </c>
    </row>
    <row r="263" spans="1:13" x14ac:dyDescent="0.3">
      <c r="A263" s="149"/>
      <c r="B263" s="149"/>
      <c r="C263" s="149"/>
      <c r="D263" s="149"/>
      <c r="E263" s="149"/>
      <c r="F263" s="149"/>
      <c r="G263" s="162"/>
      <c r="H263" s="146" t="str">
        <f t="shared" si="25"/>
        <v/>
      </c>
      <c r="I263" s="161" t="str">
        <f t="shared" si="26"/>
        <v/>
      </c>
      <c r="J263" s="160" t="str">
        <f>IFERROR(INDEX(下年标准成本!I:I,MATCH(C263,下年标准成本!C:C,0),1),"")</f>
        <v/>
      </c>
      <c r="K263" s="146" t="str">
        <f t="shared" si="27"/>
        <v/>
      </c>
      <c r="L263" s="146" t="str">
        <f t="shared" si="28"/>
        <v/>
      </c>
      <c r="M263" s="148" t="str">
        <f t="shared" si="29"/>
        <v/>
      </c>
    </row>
    <row r="264" spans="1:13" x14ac:dyDescent="0.3">
      <c r="A264" s="149"/>
      <c r="B264" s="149"/>
      <c r="C264" s="149"/>
      <c r="D264" s="149"/>
      <c r="E264" s="149"/>
      <c r="F264" s="149"/>
      <c r="G264" s="162"/>
      <c r="H264" s="146" t="str">
        <f t="shared" si="25"/>
        <v/>
      </c>
      <c r="I264" s="161" t="str">
        <f t="shared" si="26"/>
        <v/>
      </c>
      <c r="J264" s="160" t="str">
        <f>IFERROR(INDEX(下年标准成本!I:I,MATCH(C264,下年标准成本!C:C,0),1),"")</f>
        <v/>
      </c>
      <c r="K264" s="146" t="str">
        <f t="shared" si="27"/>
        <v/>
      </c>
      <c r="L264" s="146" t="str">
        <f t="shared" si="28"/>
        <v/>
      </c>
      <c r="M264" s="148" t="str">
        <f t="shared" si="29"/>
        <v/>
      </c>
    </row>
    <row r="265" spans="1:13" x14ac:dyDescent="0.3">
      <c r="A265" s="149"/>
      <c r="B265" s="149"/>
      <c r="C265" s="149"/>
      <c r="D265" s="149"/>
      <c r="E265" s="149"/>
      <c r="F265" s="149"/>
      <c r="G265" s="162"/>
      <c r="H265" s="146" t="str">
        <f t="shared" si="25"/>
        <v/>
      </c>
      <c r="I265" s="161" t="str">
        <f t="shared" si="26"/>
        <v/>
      </c>
      <c r="J265" s="160" t="str">
        <f>IFERROR(INDEX(下年标准成本!I:I,MATCH(C265,下年标准成本!C:C,0),1),"")</f>
        <v/>
      </c>
      <c r="K265" s="146" t="str">
        <f t="shared" si="27"/>
        <v/>
      </c>
      <c r="L265" s="146" t="str">
        <f t="shared" si="28"/>
        <v/>
      </c>
      <c r="M265" s="148" t="str">
        <f t="shared" si="29"/>
        <v/>
      </c>
    </row>
    <row r="266" spans="1:13" x14ac:dyDescent="0.3">
      <c r="A266" s="149"/>
      <c r="B266" s="149"/>
      <c r="C266" s="149"/>
      <c r="D266" s="149"/>
      <c r="E266" s="149"/>
      <c r="F266" s="149"/>
      <c r="G266" s="162"/>
      <c r="H266" s="146" t="str">
        <f t="shared" ref="H266:H329" si="30">IFERROR(F266/E266,"")</f>
        <v/>
      </c>
      <c r="I266" s="161" t="str">
        <f t="shared" ref="I266:I329" si="31">IFERROR(H266*(1+G266),"")</f>
        <v/>
      </c>
      <c r="J266" s="160" t="str">
        <f>IFERROR(INDEX(下年标准成本!I:I,MATCH(C266,下年标准成本!C:C,0),1),"")</f>
        <v/>
      </c>
      <c r="K266" s="146" t="str">
        <f t="shared" ref="K266:K329" si="32">IFERROR(E266*J266,"")</f>
        <v/>
      </c>
      <c r="L266" s="146" t="str">
        <f t="shared" ref="L266:L329" si="33">IFERROR(F266-K266,"")</f>
        <v/>
      </c>
      <c r="M266" s="148" t="str">
        <f t="shared" ref="M266:M329" si="34">IFERROR(L266/F266,"")</f>
        <v/>
      </c>
    </row>
    <row r="267" spans="1:13" x14ac:dyDescent="0.3">
      <c r="A267" s="149"/>
      <c r="B267" s="149"/>
      <c r="C267" s="149"/>
      <c r="D267" s="149"/>
      <c r="E267" s="149"/>
      <c r="F267" s="149"/>
      <c r="G267" s="162"/>
      <c r="H267" s="146" t="str">
        <f t="shared" si="30"/>
        <v/>
      </c>
      <c r="I267" s="161" t="str">
        <f t="shared" si="31"/>
        <v/>
      </c>
      <c r="J267" s="160" t="str">
        <f>IFERROR(INDEX(下年标准成本!I:I,MATCH(C267,下年标准成本!C:C,0),1),"")</f>
        <v/>
      </c>
      <c r="K267" s="146" t="str">
        <f t="shared" si="32"/>
        <v/>
      </c>
      <c r="L267" s="146" t="str">
        <f t="shared" si="33"/>
        <v/>
      </c>
      <c r="M267" s="148" t="str">
        <f t="shared" si="34"/>
        <v/>
      </c>
    </row>
    <row r="268" spans="1:13" x14ac:dyDescent="0.3">
      <c r="A268" s="149"/>
      <c r="B268" s="149"/>
      <c r="C268" s="149"/>
      <c r="D268" s="149"/>
      <c r="E268" s="149"/>
      <c r="F268" s="149"/>
      <c r="G268" s="162"/>
      <c r="H268" s="146" t="str">
        <f t="shared" si="30"/>
        <v/>
      </c>
      <c r="I268" s="161" t="str">
        <f t="shared" si="31"/>
        <v/>
      </c>
      <c r="J268" s="160" t="str">
        <f>IFERROR(INDEX(下年标准成本!I:I,MATCH(C268,下年标准成本!C:C,0),1),"")</f>
        <v/>
      </c>
      <c r="K268" s="146" t="str">
        <f t="shared" si="32"/>
        <v/>
      </c>
      <c r="L268" s="146" t="str">
        <f t="shared" si="33"/>
        <v/>
      </c>
      <c r="M268" s="148" t="str">
        <f t="shared" si="34"/>
        <v/>
      </c>
    </row>
    <row r="269" spans="1:13" x14ac:dyDescent="0.3">
      <c r="A269" s="149"/>
      <c r="B269" s="149"/>
      <c r="C269" s="149"/>
      <c r="D269" s="149"/>
      <c r="E269" s="149"/>
      <c r="F269" s="149"/>
      <c r="G269" s="162"/>
      <c r="H269" s="146" t="str">
        <f t="shared" si="30"/>
        <v/>
      </c>
      <c r="I269" s="161" t="str">
        <f t="shared" si="31"/>
        <v/>
      </c>
      <c r="J269" s="160" t="str">
        <f>IFERROR(INDEX(下年标准成本!I:I,MATCH(C269,下年标准成本!C:C,0),1),"")</f>
        <v/>
      </c>
      <c r="K269" s="146" t="str">
        <f t="shared" si="32"/>
        <v/>
      </c>
      <c r="L269" s="146" t="str">
        <f t="shared" si="33"/>
        <v/>
      </c>
      <c r="M269" s="148" t="str">
        <f t="shared" si="34"/>
        <v/>
      </c>
    </row>
    <row r="270" spans="1:13" x14ac:dyDescent="0.3">
      <c r="A270" s="149"/>
      <c r="B270" s="149"/>
      <c r="C270" s="149"/>
      <c r="D270" s="149"/>
      <c r="E270" s="149"/>
      <c r="F270" s="149"/>
      <c r="G270" s="162"/>
      <c r="H270" s="146" t="str">
        <f t="shared" si="30"/>
        <v/>
      </c>
      <c r="I270" s="161" t="str">
        <f t="shared" si="31"/>
        <v/>
      </c>
      <c r="J270" s="160" t="str">
        <f>IFERROR(INDEX(下年标准成本!I:I,MATCH(C270,下年标准成本!C:C,0),1),"")</f>
        <v/>
      </c>
      <c r="K270" s="146" t="str">
        <f t="shared" si="32"/>
        <v/>
      </c>
      <c r="L270" s="146" t="str">
        <f t="shared" si="33"/>
        <v/>
      </c>
      <c r="M270" s="148" t="str">
        <f t="shared" si="34"/>
        <v/>
      </c>
    </row>
    <row r="271" spans="1:13" x14ac:dyDescent="0.3">
      <c r="A271" s="149"/>
      <c r="B271" s="149"/>
      <c r="C271" s="149"/>
      <c r="D271" s="149"/>
      <c r="E271" s="149"/>
      <c r="F271" s="149"/>
      <c r="G271" s="162"/>
      <c r="H271" s="146" t="str">
        <f t="shared" si="30"/>
        <v/>
      </c>
      <c r="I271" s="161" t="str">
        <f t="shared" si="31"/>
        <v/>
      </c>
      <c r="J271" s="160" t="str">
        <f>IFERROR(INDEX(下年标准成本!I:I,MATCH(C271,下年标准成本!C:C,0),1),"")</f>
        <v/>
      </c>
      <c r="K271" s="146" t="str">
        <f t="shared" si="32"/>
        <v/>
      </c>
      <c r="L271" s="146" t="str">
        <f t="shared" si="33"/>
        <v/>
      </c>
      <c r="M271" s="148" t="str">
        <f t="shared" si="34"/>
        <v/>
      </c>
    </row>
    <row r="272" spans="1:13" x14ac:dyDescent="0.3">
      <c r="A272" s="149"/>
      <c r="B272" s="149"/>
      <c r="C272" s="149"/>
      <c r="D272" s="149"/>
      <c r="E272" s="149"/>
      <c r="F272" s="149"/>
      <c r="G272" s="162"/>
      <c r="H272" s="146" t="str">
        <f t="shared" si="30"/>
        <v/>
      </c>
      <c r="I272" s="161" t="str">
        <f t="shared" si="31"/>
        <v/>
      </c>
      <c r="J272" s="160" t="str">
        <f>IFERROR(INDEX(下年标准成本!I:I,MATCH(C272,下年标准成本!C:C,0),1),"")</f>
        <v/>
      </c>
      <c r="K272" s="146" t="str">
        <f t="shared" si="32"/>
        <v/>
      </c>
      <c r="L272" s="146" t="str">
        <f t="shared" si="33"/>
        <v/>
      </c>
      <c r="M272" s="148" t="str">
        <f t="shared" si="34"/>
        <v/>
      </c>
    </row>
    <row r="273" spans="1:13" x14ac:dyDescent="0.3">
      <c r="A273" s="149"/>
      <c r="B273" s="149"/>
      <c r="C273" s="149"/>
      <c r="D273" s="149"/>
      <c r="E273" s="149"/>
      <c r="F273" s="149"/>
      <c r="G273" s="162"/>
      <c r="H273" s="146" t="str">
        <f t="shared" si="30"/>
        <v/>
      </c>
      <c r="I273" s="161" t="str">
        <f t="shared" si="31"/>
        <v/>
      </c>
      <c r="J273" s="160" t="str">
        <f>IFERROR(INDEX(下年标准成本!I:I,MATCH(C273,下年标准成本!C:C,0),1),"")</f>
        <v/>
      </c>
      <c r="K273" s="146" t="str">
        <f t="shared" si="32"/>
        <v/>
      </c>
      <c r="L273" s="146" t="str">
        <f t="shared" si="33"/>
        <v/>
      </c>
      <c r="M273" s="148" t="str">
        <f t="shared" si="34"/>
        <v/>
      </c>
    </row>
    <row r="274" spans="1:13" x14ac:dyDescent="0.3">
      <c r="A274" s="149"/>
      <c r="B274" s="149"/>
      <c r="C274" s="149"/>
      <c r="D274" s="149"/>
      <c r="E274" s="149"/>
      <c r="F274" s="149"/>
      <c r="G274" s="162"/>
      <c r="H274" s="146" t="str">
        <f t="shared" si="30"/>
        <v/>
      </c>
      <c r="I274" s="161" t="str">
        <f t="shared" si="31"/>
        <v/>
      </c>
      <c r="J274" s="160" t="str">
        <f>IFERROR(INDEX(下年标准成本!I:I,MATCH(C274,下年标准成本!C:C,0),1),"")</f>
        <v/>
      </c>
      <c r="K274" s="146" t="str">
        <f t="shared" si="32"/>
        <v/>
      </c>
      <c r="L274" s="146" t="str">
        <f t="shared" si="33"/>
        <v/>
      </c>
      <c r="M274" s="148" t="str">
        <f t="shared" si="34"/>
        <v/>
      </c>
    </row>
    <row r="275" spans="1:13" x14ac:dyDescent="0.3">
      <c r="A275" s="149"/>
      <c r="B275" s="149"/>
      <c r="C275" s="149"/>
      <c r="D275" s="149"/>
      <c r="E275" s="149"/>
      <c r="F275" s="149"/>
      <c r="G275" s="162"/>
      <c r="H275" s="146" t="str">
        <f t="shared" si="30"/>
        <v/>
      </c>
      <c r="I275" s="161" t="str">
        <f t="shared" si="31"/>
        <v/>
      </c>
      <c r="J275" s="160" t="str">
        <f>IFERROR(INDEX(下年标准成本!I:I,MATCH(C275,下年标准成本!C:C,0),1),"")</f>
        <v/>
      </c>
      <c r="K275" s="146" t="str">
        <f t="shared" si="32"/>
        <v/>
      </c>
      <c r="L275" s="146" t="str">
        <f t="shared" si="33"/>
        <v/>
      </c>
      <c r="M275" s="148" t="str">
        <f t="shared" si="34"/>
        <v/>
      </c>
    </row>
    <row r="276" spans="1:13" x14ac:dyDescent="0.3">
      <c r="A276" s="149"/>
      <c r="B276" s="149"/>
      <c r="C276" s="149"/>
      <c r="D276" s="149"/>
      <c r="E276" s="149"/>
      <c r="F276" s="149"/>
      <c r="G276" s="162"/>
      <c r="H276" s="146" t="str">
        <f t="shared" si="30"/>
        <v/>
      </c>
      <c r="I276" s="161" t="str">
        <f t="shared" si="31"/>
        <v/>
      </c>
      <c r="J276" s="160" t="str">
        <f>IFERROR(INDEX(下年标准成本!I:I,MATCH(C276,下年标准成本!C:C,0),1),"")</f>
        <v/>
      </c>
      <c r="K276" s="146" t="str">
        <f t="shared" si="32"/>
        <v/>
      </c>
      <c r="L276" s="146" t="str">
        <f t="shared" si="33"/>
        <v/>
      </c>
      <c r="M276" s="148" t="str">
        <f t="shared" si="34"/>
        <v/>
      </c>
    </row>
    <row r="277" spans="1:13" x14ac:dyDescent="0.3">
      <c r="A277" s="149"/>
      <c r="B277" s="149"/>
      <c r="C277" s="149"/>
      <c r="D277" s="149"/>
      <c r="E277" s="149"/>
      <c r="F277" s="149"/>
      <c r="G277" s="162"/>
      <c r="H277" s="146" t="str">
        <f t="shared" si="30"/>
        <v/>
      </c>
      <c r="I277" s="161" t="str">
        <f t="shared" si="31"/>
        <v/>
      </c>
      <c r="J277" s="160" t="str">
        <f>IFERROR(INDEX(下年标准成本!I:I,MATCH(C277,下年标准成本!C:C,0),1),"")</f>
        <v/>
      </c>
      <c r="K277" s="146" t="str">
        <f t="shared" si="32"/>
        <v/>
      </c>
      <c r="L277" s="146" t="str">
        <f t="shared" si="33"/>
        <v/>
      </c>
      <c r="M277" s="148" t="str">
        <f t="shared" si="34"/>
        <v/>
      </c>
    </row>
    <row r="278" spans="1:13" x14ac:dyDescent="0.3">
      <c r="A278" s="149"/>
      <c r="B278" s="149"/>
      <c r="C278" s="149"/>
      <c r="D278" s="149"/>
      <c r="E278" s="149"/>
      <c r="F278" s="149"/>
      <c r="G278" s="162"/>
      <c r="H278" s="146" t="str">
        <f t="shared" si="30"/>
        <v/>
      </c>
      <c r="I278" s="161" t="str">
        <f t="shared" si="31"/>
        <v/>
      </c>
      <c r="J278" s="160" t="str">
        <f>IFERROR(INDEX(下年标准成本!I:I,MATCH(C278,下年标准成本!C:C,0),1),"")</f>
        <v/>
      </c>
      <c r="K278" s="146" t="str">
        <f t="shared" si="32"/>
        <v/>
      </c>
      <c r="L278" s="146" t="str">
        <f t="shared" si="33"/>
        <v/>
      </c>
      <c r="M278" s="148" t="str">
        <f t="shared" si="34"/>
        <v/>
      </c>
    </row>
    <row r="279" spans="1:13" x14ac:dyDescent="0.3">
      <c r="A279" s="149"/>
      <c r="B279" s="149"/>
      <c r="C279" s="149"/>
      <c r="D279" s="149"/>
      <c r="E279" s="149"/>
      <c r="F279" s="149"/>
      <c r="G279" s="162"/>
      <c r="H279" s="146" t="str">
        <f t="shared" si="30"/>
        <v/>
      </c>
      <c r="I279" s="161" t="str">
        <f t="shared" si="31"/>
        <v/>
      </c>
      <c r="J279" s="160" t="str">
        <f>IFERROR(INDEX(下年标准成本!I:I,MATCH(C279,下年标准成本!C:C,0),1),"")</f>
        <v/>
      </c>
      <c r="K279" s="146" t="str">
        <f t="shared" si="32"/>
        <v/>
      </c>
      <c r="L279" s="146" t="str">
        <f t="shared" si="33"/>
        <v/>
      </c>
      <c r="M279" s="148" t="str">
        <f t="shared" si="34"/>
        <v/>
      </c>
    </row>
    <row r="280" spans="1:13" x14ac:dyDescent="0.3">
      <c r="A280" s="149"/>
      <c r="B280" s="149"/>
      <c r="C280" s="149"/>
      <c r="D280" s="149"/>
      <c r="E280" s="149"/>
      <c r="F280" s="149"/>
      <c r="G280" s="162"/>
      <c r="H280" s="146" t="str">
        <f t="shared" si="30"/>
        <v/>
      </c>
      <c r="I280" s="161" t="str">
        <f t="shared" si="31"/>
        <v/>
      </c>
      <c r="J280" s="160" t="str">
        <f>IFERROR(INDEX(下年标准成本!I:I,MATCH(C280,下年标准成本!C:C,0),1),"")</f>
        <v/>
      </c>
      <c r="K280" s="146" t="str">
        <f t="shared" si="32"/>
        <v/>
      </c>
      <c r="L280" s="146" t="str">
        <f t="shared" si="33"/>
        <v/>
      </c>
      <c r="M280" s="148" t="str">
        <f t="shared" si="34"/>
        <v/>
      </c>
    </row>
    <row r="281" spans="1:13" x14ac:dyDescent="0.3">
      <c r="A281" s="149"/>
      <c r="B281" s="149"/>
      <c r="C281" s="149"/>
      <c r="D281" s="149"/>
      <c r="E281" s="149"/>
      <c r="F281" s="149"/>
      <c r="G281" s="162"/>
      <c r="H281" s="146" t="str">
        <f t="shared" si="30"/>
        <v/>
      </c>
      <c r="I281" s="161" t="str">
        <f t="shared" si="31"/>
        <v/>
      </c>
      <c r="J281" s="160" t="str">
        <f>IFERROR(INDEX(下年标准成本!I:I,MATCH(C281,下年标准成本!C:C,0),1),"")</f>
        <v/>
      </c>
      <c r="K281" s="146" t="str">
        <f t="shared" si="32"/>
        <v/>
      </c>
      <c r="L281" s="146" t="str">
        <f t="shared" si="33"/>
        <v/>
      </c>
      <c r="M281" s="148" t="str">
        <f t="shared" si="34"/>
        <v/>
      </c>
    </row>
    <row r="282" spans="1:13" x14ac:dyDescent="0.3">
      <c r="A282" s="149"/>
      <c r="B282" s="149"/>
      <c r="C282" s="149"/>
      <c r="D282" s="149"/>
      <c r="E282" s="149"/>
      <c r="F282" s="149"/>
      <c r="G282" s="162"/>
      <c r="H282" s="146" t="str">
        <f t="shared" si="30"/>
        <v/>
      </c>
      <c r="I282" s="161" t="str">
        <f t="shared" si="31"/>
        <v/>
      </c>
      <c r="J282" s="160" t="str">
        <f>IFERROR(INDEX(下年标准成本!I:I,MATCH(C282,下年标准成本!C:C,0),1),"")</f>
        <v/>
      </c>
      <c r="K282" s="146" t="str">
        <f t="shared" si="32"/>
        <v/>
      </c>
      <c r="L282" s="146" t="str">
        <f t="shared" si="33"/>
        <v/>
      </c>
      <c r="M282" s="148" t="str">
        <f t="shared" si="34"/>
        <v/>
      </c>
    </row>
    <row r="283" spans="1:13" x14ac:dyDescent="0.3">
      <c r="A283" s="149"/>
      <c r="B283" s="149"/>
      <c r="C283" s="149"/>
      <c r="D283" s="149"/>
      <c r="E283" s="149"/>
      <c r="F283" s="149"/>
      <c r="G283" s="162"/>
      <c r="H283" s="146" t="str">
        <f t="shared" si="30"/>
        <v/>
      </c>
      <c r="I283" s="161" t="str">
        <f t="shared" si="31"/>
        <v/>
      </c>
      <c r="J283" s="160" t="str">
        <f>IFERROR(INDEX(下年标准成本!I:I,MATCH(C283,下年标准成本!C:C,0),1),"")</f>
        <v/>
      </c>
      <c r="K283" s="146" t="str">
        <f t="shared" si="32"/>
        <v/>
      </c>
      <c r="L283" s="146" t="str">
        <f t="shared" si="33"/>
        <v/>
      </c>
      <c r="M283" s="148" t="str">
        <f t="shared" si="34"/>
        <v/>
      </c>
    </row>
    <row r="284" spans="1:13" x14ac:dyDescent="0.3">
      <c r="A284" s="149"/>
      <c r="B284" s="149"/>
      <c r="C284" s="149"/>
      <c r="D284" s="149"/>
      <c r="E284" s="149"/>
      <c r="F284" s="149"/>
      <c r="G284" s="162"/>
      <c r="H284" s="146" t="str">
        <f t="shared" si="30"/>
        <v/>
      </c>
      <c r="I284" s="161" t="str">
        <f t="shared" si="31"/>
        <v/>
      </c>
      <c r="J284" s="160" t="str">
        <f>IFERROR(INDEX(下年标准成本!I:I,MATCH(C284,下年标准成本!C:C,0),1),"")</f>
        <v/>
      </c>
      <c r="K284" s="146" t="str">
        <f t="shared" si="32"/>
        <v/>
      </c>
      <c r="L284" s="146" t="str">
        <f t="shared" si="33"/>
        <v/>
      </c>
      <c r="M284" s="148" t="str">
        <f t="shared" si="34"/>
        <v/>
      </c>
    </row>
    <row r="285" spans="1:13" x14ac:dyDescent="0.3">
      <c r="A285" s="149"/>
      <c r="B285" s="149"/>
      <c r="C285" s="149"/>
      <c r="D285" s="149"/>
      <c r="E285" s="149"/>
      <c r="F285" s="149"/>
      <c r="G285" s="162"/>
      <c r="H285" s="146" t="str">
        <f t="shared" si="30"/>
        <v/>
      </c>
      <c r="I285" s="161" t="str">
        <f t="shared" si="31"/>
        <v/>
      </c>
      <c r="J285" s="160" t="str">
        <f>IFERROR(INDEX(下年标准成本!I:I,MATCH(C285,下年标准成本!C:C,0),1),"")</f>
        <v/>
      </c>
      <c r="K285" s="146" t="str">
        <f t="shared" si="32"/>
        <v/>
      </c>
      <c r="L285" s="146" t="str">
        <f t="shared" si="33"/>
        <v/>
      </c>
      <c r="M285" s="148" t="str">
        <f t="shared" si="34"/>
        <v/>
      </c>
    </row>
    <row r="286" spans="1:13" x14ac:dyDescent="0.3">
      <c r="A286" s="149"/>
      <c r="B286" s="149"/>
      <c r="C286" s="149"/>
      <c r="D286" s="149"/>
      <c r="E286" s="149"/>
      <c r="F286" s="149"/>
      <c r="G286" s="162"/>
      <c r="H286" s="146" t="str">
        <f t="shared" si="30"/>
        <v/>
      </c>
      <c r="I286" s="161" t="str">
        <f t="shared" si="31"/>
        <v/>
      </c>
      <c r="J286" s="160" t="str">
        <f>IFERROR(INDEX(下年标准成本!I:I,MATCH(C286,下年标准成本!C:C,0),1),"")</f>
        <v/>
      </c>
      <c r="K286" s="146" t="str">
        <f t="shared" si="32"/>
        <v/>
      </c>
      <c r="L286" s="146" t="str">
        <f t="shared" si="33"/>
        <v/>
      </c>
      <c r="M286" s="148" t="str">
        <f t="shared" si="34"/>
        <v/>
      </c>
    </row>
    <row r="287" spans="1:13" x14ac:dyDescent="0.3">
      <c r="A287" s="149"/>
      <c r="B287" s="149"/>
      <c r="C287" s="149"/>
      <c r="D287" s="149"/>
      <c r="E287" s="149"/>
      <c r="F287" s="149"/>
      <c r="G287" s="162"/>
      <c r="H287" s="146" t="str">
        <f t="shared" si="30"/>
        <v/>
      </c>
      <c r="I287" s="161" t="str">
        <f t="shared" si="31"/>
        <v/>
      </c>
      <c r="J287" s="160" t="str">
        <f>IFERROR(INDEX(下年标准成本!I:I,MATCH(C287,下年标准成本!C:C,0),1),"")</f>
        <v/>
      </c>
      <c r="K287" s="146" t="str">
        <f t="shared" si="32"/>
        <v/>
      </c>
      <c r="L287" s="146" t="str">
        <f t="shared" si="33"/>
        <v/>
      </c>
      <c r="M287" s="148" t="str">
        <f t="shared" si="34"/>
        <v/>
      </c>
    </row>
    <row r="288" spans="1:13" x14ac:dyDescent="0.3">
      <c r="A288" s="149"/>
      <c r="B288" s="149"/>
      <c r="C288" s="149"/>
      <c r="D288" s="149"/>
      <c r="E288" s="149"/>
      <c r="F288" s="149"/>
      <c r="G288" s="162"/>
      <c r="H288" s="146" t="str">
        <f t="shared" si="30"/>
        <v/>
      </c>
      <c r="I288" s="161" t="str">
        <f t="shared" si="31"/>
        <v/>
      </c>
      <c r="J288" s="160" t="str">
        <f>IFERROR(INDEX(下年标准成本!I:I,MATCH(C288,下年标准成本!C:C,0),1),"")</f>
        <v/>
      </c>
      <c r="K288" s="146" t="str">
        <f t="shared" si="32"/>
        <v/>
      </c>
      <c r="L288" s="146" t="str">
        <f t="shared" si="33"/>
        <v/>
      </c>
      <c r="M288" s="148" t="str">
        <f t="shared" si="34"/>
        <v/>
      </c>
    </row>
    <row r="289" spans="1:13" x14ac:dyDescent="0.3">
      <c r="A289" s="149"/>
      <c r="B289" s="149"/>
      <c r="C289" s="149"/>
      <c r="D289" s="149"/>
      <c r="E289" s="149"/>
      <c r="F289" s="149"/>
      <c r="G289" s="162"/>
      <c r="H289" s="146" t="str">
        <f t="shared" si="30"/>
        <v/>
      </c>
      <c r="I289" s="161" t="str">
        <f t="shared" si="31"/>
        <v/>
      </c>
      <c r="J289" s="160" t="str">
        <f>IFERROR(INDEX(下年标准成本!I:I,MATCH(C289,下年标准成本!C:C,0),1),"")</f>
        <v/>
      </c>
      <c r="K289" s="146" t="str">
        <f t="shared" si="32"/>
        <v/>
      </c>
      <c r="L289" s="146" t="str">
        <f t="shared" si="33"/>
        <v/>
      </c>
      <c r="M289" s="148" t="str">
        <f t="shared" si="34"/>
        <v/>
      </c>
    </row>
    <row r="290" spans="1:13" x14ac:dyDescent="0.3">
      <c r="A290" s="149"/>
      <c r="B290" s="149"/>
      <c r="C290" s="149"/>
      <c r="D290" s="149"/>
      <c r="E290" s="149"/>
      <c r="F290" s="149"/>
      <c r="G290" s="162"/>
      <c r="H290" s="146" t="str">
        <f t="shared" si="30"/>
        <v/>
      </c>
      <c r="I290" s="161" t="str">
        <f t="shared" si="31"/>
        <v/>
      </c>
      <c r="J290" s="160" t="str">
        <f>IFERROR(INDEX(下年标准成本!I:I,MATCH(C290,下年标准成本!C:C,0),1),"")</f>
        <v/>
      </c>
      <c r="K290" s="146" t="str">
        <f t="shared" si="32"/>
        <v/>
      </c>
      <c r="L290" s="146" t="str">
        <f t="shared" si="33"/>
        <v/>
      </c>
      <c r="M290" s="148" t="str">
        <f t="shared" si="34"/>
        <v/>
      </c>
    </row>
    <row r="291" spans="1:13" x14ac:dyDescent="0.3">
      <c r="A291" s="149"/>
      <c r="B291" s="149"/>
      <c r="C291" s="149"/>
      <c r="D291" s="149"/>
      <c r="E291" s="149"/>
      <c r="F291" s="149"/>
      <c r="G291" s="162"/>
      <c r="H291" s="146" t="str">
        <f t="shared" si="30"/>
        <v/>
      </c>
      <c r="I291" s="161" t="str">
        <f t="shared" si="31"/>
        <v/>
      </c>
      <c r="J291" s="160" t="str">
        <f>IFERROR(INDEX(下年标准成本!I:I,MATCH(C291,下年标准成本!C:C,0),1),"")</f>
        <v/>
      </c>
      <c r="K291" s="146" t="str">
        <f t="shared" si="32"/>
        <v/>
      </c>
      <c r="L291" s="146" t="str">
        <f t="shared" si="33"/>
        <v/>
      </c>
      <c r="M291" s="148" t="str">
        <f t="shared" si="34"/>
        <v/>
      </c>
    </row>
    <row r="292" spans="1:13" x14ac:dyDescent="0.3">
      <c r="A292" s="149"/>
      <c r="B292" s="149"/>
      <c r="C292" s="149"/>
      <c r="D292" s="149"/>
      <c r="E292" s="149"/>
      <c r="F292" s="149"/>
      <c r="G292" s="162"/>
      <c r="H292" s="146" t="str">
        <f t="shared" si="30"/>
        <v/>
      </c>
      <c r="I292" s="161" t="str">
        <f t="shared" si="31"/>
        <v/>
      </c>
      <c r="J292" s="160" t="str">
        <f>IFERROR(INDEX(下年标准成本!I:I,MATCH(C292,下年标准成本!C:C,0),1),"")</f>
        <v/>
      </c>
      <c r="K292" s="146" t="str">
        <f t="shared" si="32"/>
        <v/>
      </c>
      <c r="L292" s="146" t="str">
        <f t="shared" si="33"/>
        <v/>
      </c>
      <c r="M292" s="148" t="str">
        <f t="shared" si="34"/>
        <v/>
      </c>
    </row>
    <row r="293" spans="1:13" x14ac:dyDescent="0.3">
      <c r="A293" s="149"/>
      <c r="B293" s="149"/>
      <c r="C293" s="149"/>
      <c r="D293" s="149"/>
      <c r="E293" s="149"/>
      <c r="F293" s="149"/>
      <c r="G293" s="162"/>
      <c r="H293" s="146" t="str">
        <f t="shared" si="30"/>
        <v/>
      </c>
      <c r="I293" s="161" t="str">
        <f t="shared" si="31"/>
        <v/>
      </c>
      <c r="J293" s="160" t="str">
        <f>IFERROR(INDEX(下年标准成本!I:I,MATCH(C293,下年标准成本!C:C,0),1),"")</f>
        <v/>
      </c>
      <c r="K293" s="146" t="str">
        <f t="shared" si="32"/>
        <v/>
      </c>
      <c r="L293" s="146" t="str">
        <f t="shared" si="33"/>
        <v/>
      </c>
      <c r="M293" s="148" t="str">
        <f t="shared" si="34"/>
        <v/>
      </c>
    </row>
    <row r="294" spans="1:13" x14ac:dyDescent="0.3">
      <c r="A294" s="149"/>
      <c r="B294" s="149"/>
      <c r="C294" s="149"/>
      <c r="D294" s="149"/>
      <c r="E294" s="149"/>
      <c r="F294" s="149"/>
      <c r="G294" s="162"/>
      <c r="H294" s="146" t="str">
        <f t="shared" si="30"/>
        <v/>
      </c>
      <c r="I294" s="161" t="str">
        <f t="shared" si="31"/>
        <v/>
      </c>
      <c r="J294" s="160" t="str">
        <f>IFERROR(INDEX(下年标准成本!I:I,MATCH(C294,下年标准成本!C:C,0),1),"")</f>
        <v/>
      </c>
      <c r="K294" s="146" t="str">
        <f t="shared" si="32"/>
        <v/>
      </c>
      <c r="L294" s="146" t="str">
        <f t="shared" si="33"/>
        <v/>
      </c>
      <c r="M294" s="148" t="str">
        <f t="shared" si="34"/>
        <v/>
      </c>
    </row>
    <row r="295" spans="1:13" x14ac:dyDescent="0.3">
      <c r="A295" s="149"/>
      <c r="B295" s="149"/>
      <c r="C295" s="149"/>
      <c r="D295" s="149"/>
      <c r="E295" s="149"/>
      <c r="F295" s="149"/>
      <c r="G295" s="162"/>
      <c r="H295" s="146" t="str">
        <f t="shared" si="30"/>
        <v/>
      </c>
      <c r="I295" s="161" t="str">
        <f t="shared" si="31"/>
        <v/>
      </c>
      <c r="J295" s="160" t="str">
        <f>IFERROR(INDEX(下年标准成本!I:I,MATCH(C295,下年标准成本!C:C,0),1),"")</f>
        <v/>
      </c>
      <c r="K295" s="146" t="str">
        <f t="shared" si="32"/>
        <v/>
      </c>
      <c r="L295" s="146" t="str">
        <f t="shared" si="33"/>
        <v/>
      </c>
      <c r="M295" s="148" t="str">
        <f t="shared" si="34"/>
        <v/>
      </c>
    </row>
    <row r="296" spans="1:13" x14ac:dyDescent="0.3">
      <c r="A296" s="149"/>
      <c r="B296" s="149"/>
      <c r="C296" s="149"/>
      <c r="D296" s="149"/>
      <c r="E296" s="149"/>
      <c r="F296" s="149"/>
      <c r="G296" s="162"/>
      <c r="H296" s="146" t="str">
        <f t="shared" si="30"/>
        <v/>
      </c>
      <c r="I296" s="161" t="str">
        <f t="shared" si="31"/>
        <v/>
      </c>
      <c r="J296" s="160" t="str">
        <f>IFERROR(INDEX(下年标准成本!I:I,MATCH(C296,下年标准成本!C:C,0),1),"")</f>
        <v/>
      </c>
      <c r="K296" s="146" t="str">
        <f t="shared" si="32"/>
        <v/>
      </c>
      <c r="L296" s="146" t="str">
        <f t="shared" si="33"/>
        <v/>
      </c>
      <c r="M296" s="148" t="str">
        <f t="shared" si="34"/>
        <v/>
      </c>
    </row>
    <row r="297" spans="1:13" x14ac:dyDescent="0.3">
      <c r="A297" s="149"/>
      <c r="B297" s="149"/>
      <c r="C297" s="149"/>
      <c r="D297" s="149"/>
      <c r="E297" s="149"/>
      <c r="F297" s="149"/>
      <c r="G297" s="162"/>
      <c r="H297" s="146" t="str">
        <f t="shared" si="30"/>
        <v/>
      </c>
      <c r="I297" s="161" t="str">
        <f t="shared" si="31"/>
        <v/>
      </c>
      <c r="J297" s="160" t="str">
        <f>IFERROR(INDEX(下年标准成本!I:I,MATCH(C297,下年标准成本!C:C,0),1),"")</f>
        <v/>
      </c>
      <c r="K297" s="146" t="str">
        <f t="shared" si="32"/>
        <v/>
      </c>
      <c r="L297" s="146" t="str">
        <f t="shared" si="33"/>
        <v/>
      </c>
      <c r="M297" s="148" t="str">
        <f t="shared" si="34"/>
        <v/>
      </c>
    </row>
    <row r="298" spans="1:13" x14ac:dyDescent="0.3">
      <c r="A298" s="149"/>
      <c r="B298" s="149"/>
      <c r="C298" s="149"/>
      <c r="D298" s="149"/>
      <c r="E298" s="149"/>
      <c r="F298" s="149"/>
      <c r="G298" s="162"/>
      <c r="H298" s="146" t="str">
        <f t="shared" si="30"/>
        <v/>
      </c>
      <c r="I298" s="161" t="str">
        <f t="shared" si="31"/>
        <v/>
      </c>
      <c r="J298" s="160" t="str">
        <f>IFERROR(INDEX(下年标准成本!I:I,MATCH(C298,下年标准成本!C:C,0),1),"")</f>
        <v/>
      </c>
      <c r="K298" s="146" t="str">
        <f t="shared" si="32"/>
        <v/>
      </c>
      <c r="L298" s="146" t="str">
        <f t="shared" si="33"/>
        <v/>
      </c>
      <c r="M298" s="148" t="str">
        <f t="shared" si="34"/>
        <v/>
      </c>
    </row>
    <row r="299" spans="1:13" x14ac:dyDescent="0.3">
      <c r="A299" s="149"/>
      <c r="B299" s="149"/>
      <c r="C299" s="149"/>
      <c r="D299" s="149"/>
      <c r="E299" s="149"/>
      <c r="F299" s="149"/>
      <c r="G299" s="162"/>
      <c r="H299" s="146" t="str">
        <f t="shared" si="30"/>
        <v/>
      </c>
      <c r="I299" s="161" t="str">
        <f t="shared" si="31"/>
        <v/>
      </c>
      <c r="J299" s="160" t="str">
        <f>IFERROR(INDEX(下年标准成本!I:I,MATCH(C299,下年标准成本!C:C,0),1),"")</f>
        <v/>
      </c>
      <c r="K299" s="146" t="str">
        <f t="shared" si="32"/>
        <v/>
      </c>
      <c r="L299" s="146" t="str">
        <f t="shared" si="33"/>
        <v/>
      </c>
      <c r="M299" s="148" t="str">
        <f t="shared" si="34"/>
        <v/>
      </c>
    </row>
    <row r="300" spans="1:13" x14ac:dyDescent="0.3">
      <c r="A300" s="149"/>
      <c r="B300" s="149"/>
      <c r="C300" s="149"/>
      <c r="D300" s="149"/>
      <c r="E300" s="149"/>
      <c r="F300" s="149"/>
      <c r="G300" s="162"/>
      <c r="H300" s="146" t="str">
        <f t="shared" si="30"/>
        <v/>
      </c>
      <c r="I300" s="161" t="str">
        <f t="shared" si="31"/>
        <v/>
      </c>
      <c r="J300" s="160" t="str">
        <f>IFERROR(INDEX(下年标准成本!I:I,MATCH(C300,下年标准成本!C:C,0),1),"")</f>
        <v/>
      </c>
      <c r="K300" s="146" t="str">
        <f t="shared" si="32"/>
        <v/>
      </c>
      <c r="L300" s="146" t="str">
        <f t="shared" si="33"/>
        <v/>
      </c>
      <c r="M300" s="148" t="str">
        <f t="shared" si="34"/>
        <v/>
      </c>
    </row>
    <row r="301" spans="1:13" x14ac:dyDescent="0.3">
      <c r="A301" s="149"/>
      <c r="B301" s="149"/>
      <c r="C301" s="149"/>
      <c r="D301" s="149"/>
      <c r="E301" s="149"/>
      <c r="F301" s="149"/>
      <c r="G301" s="162"/>
      <c r="H301" s="146" t="str">
        <f t="shared" si="30"/>
        <v/>
      </c>
      <c r="I301" s="161" t="str">
        <f t="shared" si="31"/>
        <v/>
      </c>
      <c r="J301" s="160" t="str">
        <f>IFERROR(INDEX(下年标准成本!I:I,MATCH(C301,下年标准成本!C:C,0),1),"")</f>
        <v/>
      </c>
      <c r="K301" s="146" t="str">
        <f t="shared" si="32"/>
        <v/>
      </c>
      <c r="L301" s="146" t="str">
        <f t="shared" si="33"/>
        <v/>
      </c>
      <c r="M301" s="148" t="str">
        <f t="shared" si="34"/>
        <v/>
      </c>
    </row>
    <row r="302" spans="1:13" x14ac:dyDescent="0.3">
      <c r="A302" s="149"/>
      <c r="B302" s="149"/>
      <c r="C302" s="149"/>
      <c r="D302" s="149"/>
      <c r="E302" s="149"/>
      <c r="F302" s="149"/>
      <c r="G302" s="162"/>
      <c r="H302" s="146" t="str">
        <f t="shared" si="30"/>
        <v/>
      </c>
      <c r="I302" s="161" t="str">
        <f t="shared" si="31"/>
        <v/>
      </c>
      <c r="J302" s="160" t="str">
        <f>IFERROR(INDEX(下年标准成本!I:I,MATCH(C302,下年标准成本!C:C,0),1),"")</f>
        <v/>
      </c>
      <c r="K302" s="146" t="str">
        <f t="shared" si="32"/>
        <v/>
      </c>
      <c r="L302" s="146" t="str">
        <f t="shared" si="33"/>
        <v/>
      </c>
      <c r="M302" s="148" t="str">
        <f t="shared" si="34"/>
        <v/>
      </c>
    </row>
    <row r="303" spans="1:13" x14ac:dyDescent="0.3">
      <c r="A303" s="149"/>
      <c r="B303" s="149"/>
      <c r="C303" s="149"/>
      <c r="D303" s="149"/>
      <c r="E303" s="149"/>
      <c r="F303" s="149"/>
      <c r="G303" s="162"/>
      <c r="H303" s="146" t="str">
        <f t="shared" si="30"/>
        <v/>
      </c>
      <c r="I303" s="161" t="str">
        <f t="shared" si="31"/>
        <v/>
      </c>
      <c r="J303" s="160" t="str">
        <f>IFERROR(INDEX(下年标准成本!I:I,MATCH(C303,下年标准成本!C:C,0),1),"")</f>
        <v/>
      </c>
      <c r="K303" s="146" t="str">
        <f t="shared" si="32"/>
        <v/>
      </c>
      <c r="L303" s="146" t="str">
        <f t="shared" si="33"/>
        <v/>
      </c>
      <c r="M303" s="148" t="str">
        <f t="shared" si="34"/>
        <v/>
      </c>
    </row>
    <row r="304" spans="1:13" x14ac:dyDescent="0.3">
      <c r="A304" s="149"/>
      <c r="B304" s="149"/>
      <c r="C304" s="149"/>
      <c r="D304" s="149"/>
      <c r="E304" s="149"/>
      <c r="F304" s="149"/>
      <c r="G304" s="162"/>
      <c r="H304" s="146" t="str">
        <f t="shared" si="30"/>
        <v/>
      </c>
      <c r="I304" s="161" t="str">
        <f t="shared" si="31"/>
        <v/>
      </c>
      <c r="J304" s="160" t="str">
        <f>IFERROR(INDEX(下年标准成本!I:I,MATCH(C304,下年标准成本!C:C,0),1),"")</f>
        <v/>
      </c>
      <c r="K304" s="146" t="str">
        <f t="shared" si="32"/>
        <v/>
      </c>
      <c r="L304" s="146" t="str">
        <f t="shared" si="33"/>
        <v/>
      </c>
      <c r="M304" s="148" t="str">
        <f t="shared" si="34"/>
        <v/>
      </c>
    </row>
    <row r="305" spans="1:13" x14ac:dyDescent="0.3">
      <c r="A305" s="149"/>
      <c r="B305" s="149"/>
      <c r="C305" s="149"/>
      <c r="D305" s="149"/>
      <c r="E305" s="149"/>
      <c r="F305" s="149"/>
      <c r="G305" s="162"/>
      <c r="H305" s="146" t="str">
        <f t="shared" si="30"/>
        <v/>
      </c>
      <c r="I305" s="161" t="str">
        <f t="shared" si="31"/>
        <v/>
      </c>
      <c r="J305" s="160" t="str">
        <f>IFERROR(INDEX(下年标准成本!I:I,MATCH(C305,下年标准成本!C:C,0),1),"")</f>
        <v/>
      </c>
      <c r="K305" s="146" t="str">
        <f t="shared" si="32"/>
        <v/>
      </c>
      <c r="L305" s="146" t="str">
        <f t="shared" si="33"/>
        <v/>
      </c>
      <c r="M305" s="148" t="str">
        <f t="shared" si="34"/>
        <v/>
      </c>
    </row>
    <row r="306" spans="1:13" x14ac:dyDescent="0.3">
      <c r="A306" s="149"/>
      <c r="B306" s="149"/>
      <c r="C306" s="149"/>
      <c r="D306" s="149"/>
      <c r="E306" s="149"/>
      <c r="F306" s="149"/>
      <c r="G306" s="162"/>
      <c r="H306" s="146" t="str">
        <f t="shared" si="30"/>
        <v/>
      </c>
      <c r="I306" s="161" t="str">
        <f t="shared" si="31"/>
        <v/>
      </c>
      <c r="J306" s="160" t="str">
        <f>IFERROR(INDEX(下年标准成本!I:I,MATCH(C306,下年标准成本!C:C,0),1),"")</f>
        <v/>
      </c>
      <c r="K306" s="146" t="str">
        <f t="shared" si="32"/>
        <v/>
      </c>
      <c r="L306" s="146" t="str">
        <f t="shared" si="33"/>
        <v/>
      </c>
      <c r="M306" s="148" t="str">
        <f t="shared" si="34"/>
        <v/>
      </c>
    </row>
    <row r="307" spans="1:13" x14ac:dyDescent="0.3">
      <c r="A307" s="149"/>
      <c r="B307" s="149"/>
      <c r="C307" s="149"/>
      <c r="D307" s="149"/>
      <c r="E307" s="149"/>
      <c r="F307" s="149"/>
      <c r="G307" s="162"/>
      <c r="H307" s="146" t="str">
        <f t="shared" si="30"/>
        <v/>
      </c>
      <c r="I307" s="161" t="str">
        <f t="shared" si="31"/>
        <v/>
      </c>
      <c r="J307" s="160" t="str">
        <f>IFERROR(INDEX(下年标准成本!I:I,MATCH(C307,下年标准成本!C:C,0),1),"")</f>
        <v/>
      </c>
      <c r="K307" s="146" t="str">
        <f t="shared" si="32"/>
        <v/>
      </c>
      <c r="L307" s="146" t="str">
        <f t="shared" si="33"/>
        <v/>
      </c>
      <c r="M307" s="148" t="str">
        <f t="shared" si="34"/>
        <v/>
      </c>
    </row>
    <row r="308" spans="1:13" x14ac:dyDescent="0.3">
      <c r="A308" s="149"/>
      <c r="B308" s="149"/>
      <c r="C308" s="149"/>
      <c r="D308" s="149"/>
      <c r="E308" s="149"/>
      <c r="F308" s="149"/>
      <c r="G308" s="162"/>
      <c r="H308" s="146" t="str">
        <f t="shared" si="30"/>
        <v/>
      </c>
      <c r="I308" s="161" t="str">
        <f t="shared" si="31"/>
        <v/>
      </c>
      <c r="J308" s="160" t="str">
        <f>IFERROR(INDEX(下年标准成本!I:I,MATCH(C308,下年标准成本!C:C,0),1),"")</f>
        <v/>
      </c>
      <c r="K308" s="146" t="str">
        <f t="shared" si="32"/>
        <v/>
      </c>
      <c r="L308" s="146" t="str">
        <f t="shared" si="33"/>
        <v/>
      </c>
      <c r="M308" s="148" t="str">
        <f t="shared" si="34"/>
        <v/>
      </c>
    </row>
    <row r="309" spans="1:13" x14ac:dyDescent="0.3">
      <c r="A309" s="149"/>
      <c r="B309" s="149"/>
      <c r="C309" s="149"/>
      <c r="D309" s="149"/>
      <c r="E309" s="149"/>
      <c r="F309" s="149"/>
      <c r="G309" s="162"/>
      <c r="H309" s="146" t="str">
        <f t="shared" si="30"/>
        <v/>
      </c>
      <c r="I309" s="161" t="str">
        <f t="shared" si="31"/>
        <v/>
      </c>
      <c r="J309" s="160" t="str">
        <f>IFERROR(INDEX(下年标准成本!I:I,MATCH(C309,下年标准成本!C:C,0),1),"")</f>
        <v/>
      </c>
      <c r="K309" s="146" t="str">
        <f t="shared" si="32"/>
        <v/>
      </c>
      <c r="L309" s="146" t="str">
        <f t="shared" si="33"/>
        <v/>
      </c>
      <c r="M309" s="148" t="str">
        <f t="shared" si="34"/>
        <v/>
      </c>
    </row>
    <row r="310" spans="1:13" x14ac:dyDescent="0.3">
      <c r="A310" s="149"/>
      <c r="B310" s="149"/>
      <c r="C310" s="149"/>
      <c r="D310" s="149"/>
      <c r="E310" s="149"/>
      <c r="F310" s="149"/>
      <c r="G310" s="162"/>
      <c r="H310" s="146" t="str">
        <f t="shared" si="30"/>
        <v/>
      </c>
      <c r="I310" s="161" t="str">
        <f t="shared" si="31"/>
        <v/>
      </c>
      <c r="J310" s="160" t="str">
        <f>IFERROR(INDEX(下年标准成本!I:I,MATCH(C310,下年标准成本!C:C,0),1),"")</f>
        <v/>
      </c>
      <c r="K310" s="146" t="str">
        <f t="shared" si="32"/>
        <v/>
      </c>
      <c r="L310" s="146" t="str">
        <f t="shared" si="33"/>
        <v/>
      </c>
      <c r="M310" s="148" t="str">
        <f t="shared" si="34"/>
        <v/>
      </c>
    </row>
    <row r="311" spans="1:13" x14ac:dyDescent="0.3">
      <c r="A311" s="149"/>
      <c r="B311" s="149"/>
      <c r="C311" s="149"/>
      <c r="D311" s="149"/>
      <c r="E311" s="149"/>
      <c r="F311" s="149"/>
      <c r="G311" s="162"/>
      <c r="H311" s="146" t="str">
        <f t="shared" si="30"/>
        <v/>
      </c>
      <c r="I311" s="161" t="str">
        <f t="shared" si="31"/>
        <v/>
      </c>
      <c r="J311" s="160" t="str">
        <f>IFERROR(INDEX(下年标准成本!I:I,MATCH(C311,下年标准成本!C:C,0),1),"")</f>
        <v/>
      </c>
      <c r="K311" s="146" t="str">
        <f t="shared" si="32"/>
        <v/>
      </c>
      <c r="L311" s="146" t="str">
        <f t="shared" si="33"/>
        <v/>
      </c>
      <c r="M311" s="148" t="str">
        <f t="shared" si="34"/>
        <v/>
      </c>
    </row>
    <row r="312" spans="1:13" x14ac:dyDescent="0.3">
      <c r="A312" s="149"/>
      <c r="B312" s="149"/>
      <c r="C312" s="149"/>
      <c r="D312" s="149"/>
      <c r="E312" s="149"/>
      <c r="F312" s="149"/>
      <c r="G312" s="162"/>
      <c r="H312" s="146" t="str">
        <f t="shared" si="30"/>
        <v/>
      </c>
      <c r="I312" s="161" t="str">
        <f t="shared" si="31"/>
        <v/>
      </c>
      <c r="J312" s="160" t="str">
        <f>IFERROR(INDEX(下年标准成本!I:I,MATCH(C312,下年标准成本!C:C,0),1),"")</f>
        <v/>
      </c>
      <c r="K312" s="146" t="str">
        <f t="shared" si="32"/>
        <v/>
      </c>
      <c r="L312" s="146" t="str">
        <f t="shared" si="33"/>
        <v/>
      </c>
      <c r="M312" s="148" t="str">
        <f t="shared" si="34"/>
        <v/>
      </c>
    </row>
    <row r="313" spans="1:13" x14ac:dyDescent="0.3">
      <c r="A313" s="149"/>
      <c r="B313" s="149"/>
      <c r="C313" s="149"/>
      <c r="D313" s="149"/>
      <c r="E313" s="149"/>
      <c r="F313" s="149"/>
      <c r="G313" s="162"/>
      <c r="H313" s="146" t="str">
        <f t="shared" si="30"/>
        <v/>
      </c>
      <c r="I313" s="161" t="str">
        <f t="shared" si="31"/>
        <v/>
      </c>
      <c r="J313" s="160" t="str">
        <f>IFERROR(INDEX(下年标准成本!I:I,MATCH(C313,下年标准成本!C:C,0),1),"")</f>
        <v/>
      </c>
      <c r="K313" s="146" t="str">
        <f t="shared" si="32"/>
        <v/>
      </c>
      <c r="L313" s="146" t="str">
        <f t="shared" si="33"/>
        <v/>
      </c>
      <c r="M313" s="148" t="str">
        <f t="shared" si="34"/>
        <v/>
      </c>
    </row>
    <row r="314" spans="1:13" x14ac:dyDescent="0.3">
      <c r="A314" s="149"/>
      <c r="B314" s="149"/>
      <c r="C314" s="149"/>
      <c r="D314" s="149"/>
      <c r="E314" s="149"/>
      <c r="F314" s="149"/>
      <c r="G314" s="162"/>
      <c r="H314" s="146" t="str">
        <f t="shared" si="30"/>
        <v/>
      </c>
      <c r="I314" s="161" t="str">
        <f t="shared" si="31"/>
        <v/>
      </c>
      <c r="J314" s="160" t="str">
        <f>IFERROR(INDEX(下年标准成本!I:I,MATCH(C314,下年标准成本!C:C,0),1),"")</f>
        <v/>
      </c>
      <c r="K314" s="146" t="str">
        <f t="shared" si="32"/>
        <v/>
      </c>
      <c r="L314" s="146" t="str">
        <f t="shared" si="33"/>
        <v/>
      </c>
      <c r="M314" s="148" t="str">
        <f t="shared" si="34"/>
        <v/>
      </c>
    </row>
    <row r="315" spans="1:13" x14ac:dyDescent="0.3">
      <c r="A315" s="149"/>
      <c r="B315" s="149"/>
      <c r="C315" s="149"/>
      <c r="D315" s="149"/>
      <c r="E315" s="149"/>
      <c r="F315" s="149"/>
      <c r="G315" s="162"/>
      <c r="H315" s="146" t="str">
        <f t="shared" si="30"/>
        <v/>
      </c>
      <c r="I315" s="161" t="str">
        <f t="shared" si="31"/>
        <v/>
      </c>
      <c r="J315" s="160" t="str">
        <f>IFERROR(INDEX(下年标准成本!I:I,MATCH(C315,下年标准成本!C:C,0),1),"")</f>
        <v/>
      </c>
      <c r="K315" s="146" t="str">
        <f t="shared" si="32"/>
        <v/>
      </c>
      <c r="L315" s="146" t="str">
        <f t="shared" si="33"/>
        <v/>
      </c>
      <c r="M315" s="148" t="str">
        <f t="shared" si="34"/>
        <v/>
      </c>
    </row>
    <row r="316" spans="1:13" x14ac:dyDescent="0.3">
      <c r="A316" s="149"/>
      <c r="B316" s="149"/>
      <c r="C316" s="149"/>
      <c r="D316" s="149"/>
      <c r="E316" s="149"/>
      <c r="F316" s="149"/>
      <c r="G316" s="162"/>
      <c r="H316" s="146" t="str">
        <f t="shared" si="30"/>
        <v/>
      </c>
      <c r="I316" s="161" t="str">
        <f t="shared" si="31"/>
        <v/>
      </c>
      <c r="J316" s="160" t="str">
        <f>IFERROR(INDEX(下年标准成本!I:I,MATCH(C316,下年标准成本!C:C,0),1),"")</f>
        <v/>
      </c>
      <c r="K316" s="146" t="str">
        <f t="shared" si="32"/>
        <v/>
      </c>
      <c r="L316" s="146" t="str">
        <f t="shared" si="33"/>
        <v/>
      </c>
      <c r="M316" s="148" t="str">
        <f t="shared" si="34"/>
        <v/>
      </c>
    </row>
    <row r="317" spans="1:13" x14ac:dyDescent="0.3">
      <c r="A317" s="149"/>
      <c r="B317" s="149"/>
      <c r="C317" s="149"/>
      <c r="D317" s="149"/>
      <c r="E317" s="149"/>
      <c r="F317" s="149"/>
      <c r="G317" s="162"/>
      <c r="H317" s="146" t="str">
        <f t="shared" si="30"/>
        <v/>
      </c>
      <c r="I317" s="161" t="str">
        <f t="shared" si="31"/>
        <v/>
      </c>
      <c r="J317" s="160" t="str">
        <f>IFERROR(INDEX(下年标准成本!I:I,MATCH(C317,下年标准成本!C:C,0),1),"")</f>
        <v/>
      </c>
      <c r="K317" s="146" t="str">
        <f t="shared" si="32"/>
        <v/>
      </c>
      <c r="L317" s="146" t="str">
        <f t="shared" si="33"/>
        <v/>
      </c>
      <c r="M317" s="148" t="str">
        <f t="shared" si="34"/>
        <v/>
      </c>
    </row>
    <row r="318" spans="1:13" x14ac:dyDescent="0.3">
      <c r="A318" s="149"/>
      <c r="B318" s="149"/>
      <c r="C318" s="149"/>
      <c r="D318" s="149"/>
      <c r="E318" s="149"/>
      <c r="F318" s="149"/>
      <c r="G318" s="162"/>
      <c r="H318" s="146" t="str">
        <f t="shared" si="30"/>
        <v/>
      </c>
      <c r="I318" s="161" t="str">
        <f t="shared" si="31"/>
        <v/>
      </c>
      <c r="J318" s="160" t="str">
        <f>IFERROR(INDEX(下年标准成本!I:I,MATCH(C318,下年标准成本!C:C,0),1),"")</f>
        <v/>
      </c>
      <c r="K318" s="146" t="str">
        <f t="shared" si="32"/>
        <v/>
      </c>
      <c r="L318" s="146" t="str">
        <f t="shared" si="33"/>
        <v/>
      </c>
      <c r="M318" s="148" t="str">
        <f t="shared" si="34"/>
        <v/>
      </c>
    </row>
    <row r="319" spans="1:13" x14ac:dyDescent="0.3">
      <c r="A319" s="149"/>
      <c r="B319" s="149"/>
      <c r="C319" s="149"/>
      <c r="D319" s="149"/>
      <c r="E319" s="149"/>
      <c r="F319" s="149"/>
      <c r="G319" s="162"/>
      <c r="H319" s="146" t="str">
        <f t="shared" si="30"/>
        <v/>
      </c>
      <c r="I319" s="161" t="str">
        <f t="shared" si="31"/>
        <v/>
      </c>
      <c r="J319" s="160" t="str">
        <f>IFERROR(INDEX(下年标准成本!I:I,MATCH(C319,下年标准成本!C:C,0),1),"")</f>
        <v/>
      </c>
      <c r="K319" s="146" t="str">
        <f t="shared" si="32"/>
        <v/>
      </c>
      <c r="L319" s="146" t="str">
        <f t="shared" si="33"/>
        <v/>
      </c>
      <c r="M319" s="148" t="str">
        <f t="shared" si="34"/>
        <v/>
      </c>
    </row>
    <row r="320" spans="1:13" x14ac:dyDescent="0.3">
      <c r="A320" s="149"/>
      <c r="B320" s="149"/>
      <c r="C320" s="149"/>
      <c r="D320" s="149"/>
      <c r="E320" s="149"/>
      <c r="F320" s="149"/>
      <c r="G320" s="162"/>
      <c r="H320" s="146" t="str">
        <f t="shared" si="30"/>
        <v/>
      </c>
      <c r="I320" s="161" t="str">
        <f t="shared" si="31"/>
        <v/>
      </c>
      <c r="J320" s="160" t="str">
        <f>IFERROR(INDEX(下年标准成本!I:I,MATCH(C320,下年标准成本!C:C,0),1),"")</f>
        <v/>
      </c>
      <c r="K320" s="146" t="str">
        <f t="shared" si="32"/>
        <v/>
      </c>
      <c r="L320" s="146" t="str">
        <f t="shared" si="33"/>
        <v/>
      </c>
      <c r="M320" s="148" t="str">
        <f t="shared" si="34"/>
        <v/>
      </c>
    </row>
    <row r="321" spans="1:13" x14ac:dyDescent="0.3">
      <c r="A321" s="149"/>
      <c r="B321" s="149"/>
      <c r="C321" s="149"/>
      <c r="D321" s="149"/>
      <c r="E321" s="149"/>
      <c r="F321" s="149"/>
      <c r="G321" s="162"/>
      <c r="H321" s="146" t="str">
        <f t="shared" si="30"/>
        <v/>
      </c>
      <c r="I321" s="161" t="str">
        <f t="shared" si="31"/>
        <v/>
      </c>
      <c r="J321" s="160" t="str">
        <f>IFERROR(INDEX(下年标准成本!I:I,MATCH(C321,下年标准成本!C:C,0),1),"")</f>
        <v/>
      </c>
      <c r="K321" s="146" t="str">
        <f t="shared" si="32"/>
        <v/>
      </c>
      <c r="L321" s="146" t="str">
        <f t="shared" si="33"/>
        <v/>
      </c>
      <c r="M321" s="148" t="str">
        <f t="shared" si="34"/>
        <v/>
      </c>
    </row>
    <row r="322" spans="1:13" x14ac:dyDescent="0.3">
      <c r="A322" s="149"/>
      <c r="B322" s="149"/>
      <c r="C322" s="149"/>
      <c r="D322" s="149"/>
      <c r="E322" s="149"/>
      <c r="F322" s="149"/>
      <c r="G322" s="162"/>
      <c r="H322" s="146" t="str">
        <f t="shared" si="30"/>
        <v/>
      </c>
      <c r="I322" s="161" t="str">
        <f t="shared" si="31"/>
        <v/>
      </c>
      <c r="J322" s="160" t="str">
        <f>IFERROR(INDEX(下年标准成本!I:I,MATCH(C322,下年标准成本!C:C,0),1),"")</f>
        <v/>
      </c>
      <c r="K322" s="146" t="str">
        <f t="shared" si="32"/>
        <v/>
      </c>
      <c r="L322" s="146" t="str">
        <f t="shared" si="33"/>
        <v/>
      </c>
      <c r="M322" s="148" t="str">
        <f t="shared" si="34"/>
        <v/>
      </c>
    </row>
    <row r="323" spans="1:13" x14ac:dyDescent="0.3">
      <c r="A323" s="149"/>
      <c r="B323" s="149"/>
      <c r="C323" s="149"/>
      <c r="D323" s="149"/>
      <c r="E323" s="149"/>
      <c r="F323" s="149"/>
      <c r="G323" s="162"/>
      <c r="H323" s="146" t="str">
        <f t="shared" si="30"/>
        <v/>
      </c>
      <c r="I323" s="161" t="str">
        <f t="shared" si="31"/>
        <v/>
      </c>
      <c r="J323" s="160" t="str">
        <f>IFERROR(INDEX(下年标准成本!I:I,MATCH(C323,下年标准成本!C:C,0),1),"")</f>
        <v/>
      </c>
      <c r="K323" s="146" t="str">
        <f t="shared" si="32"/>
        <v/>
      </c>
      <c r="L323" s="146" t="str">
        <f t="shared" si="33"/>
        <v/>
      </c>
      <c r="M323" s="148" t="str">
        <f t="shared" si="34"/>
        <v/>
      </c>
    </row>
    <row r="324" spans="1:13" x14ac:dyDescent="0.3">
      <c r="A324" s="149"/>
      <c r="B324" s="149"/>
      <c r="C324" s="149"/>
      <c r="D324" s="149"/>
      <c r="E324" s="149"/>
      <c r="F324" s="149"/>
      <c r="G324" s="162"/>
      <c r="H324" s="146" t="str">
        <f t="shared" si="30"/>
        <v/>
      </c>
      <c r="I324" s="161" t="str">
        <f t="shared" si="31"/>
        <v/>
      </c>
      <c r="J324" s="160" t="str">
        <f>IFERROR(INDEX(下年标准成本!I:I,MATCH(C324,下年标准成本!C:C,0),1),"")</f>
        <v/>
      </c>
      <c r="K324" s="146" t="str">
        <f t="shared" si="32"/>
        <v/>
      </c>
      <c r="L324" s="146" t="str">
        <f t="shared" si="33"/>
        <v/>
      </c>
      <c r="M324" s="148" t="str">
        <f t="shared" si="34"/>
        <v/>
      </c>
    </row>
    <row r="325" spans="1:13" x14ac:dyDescent="0.3">
      <c r="A325" s="149"/>
      <c r="B325" s="149"/>
      <c r="C325" s="149"/>
      <c r="D325" s="149"/>
      <c r="E325" s="149"/>
      <c r="F325" s="149"/>
      <c r="G325" s="162"/>
      <c r="H325" s="146" t="str">
        <f t="shared" si="30"/>
        <v/>
      </c>
      <c r="I325" s="161" t="str">
        <f t="shared" si="31"/>
        <v/>
      </c>
      <c r="J325" s="160" t="str">
        <f>IFERROR(INDEX(下年标准成本!I:I,MATCH(C325,下年标准成本!C:C,0),1),"")</f>
        <v/>
      </c>
      <c r="K325" s="146" t="str">
        <f t="shared" si="32"/>
        <v/>
      </c>
      <c r="L325" s="146" t="str">
        <f t="shared" si="33"/>
        <v/>
      </c>
      <c r="M325" s="148" t="str">
        <f t="shared" si="34"/>
        <v/>
      </c>
    </row>
    <row r="326" spans="1:13" x14ac:dyDescent="0.3">
      <c r="A326" s="149"/>
      <c r="B326" s="149"/>
      <c r="C326" s="149"/>
      <c r="D326" s="149"/>
      <c r="E326" s="149"/>
      <c r="F326" s="149"/>
      <c r="G326" s="162"/>
      <c r="H326" s="146" t="str">
        <f t="shared" si="30"/>
        <v/>
      </c>
      <c r="I326" s="161" t="str">
        <f t="shared" si="31"/>
        <v/>
      </c>
      <c r="J326" s="160" t="str">
        <f>IFERROR(INDEX(下年标准成本!I:I,MATCH(C326,下年标准成本!C:C,0),1),"")</f>
        <v/>
      </c>
      <c r="K326" s="146" t="str">
        <f t="shared" si="32"/>
        <v/>
      </c>
      <c r="L326" s="146" t="str">
        <f t="shared" si="33"/>
        <v/>
      </c>
      <c r="M326" s="148" t="str">
        <f t="shared" si="34"/>
        <v/>
      </c>
    </row>
    <row r="327" spans="1:13" x14ac:dyDescent="0.3">
      <c r="A327" s="149"/>
      <c r="B327" s="149"/>
      <c r="C327" s="149"/>
      <c r="D327" s="149"/>
      <c r="E327" s="149"/>
      <c r="F327" s="149"/>
      <c r="G327" s="162"/>
      <c r="H327" s="146" t="str">
        <f t="shared" si="30"/>
        <v/>
      </c>
      <c r="I327" s="161" t="str">
        <f t="shared" si="31"/>
        <v/>
      </c>
      <c r="J327" s="160" t="str">
        <f>IFERROR(INDEX(下年标准成本!I:I,MATCH(C327,下年标准成本!C:C,0),1),"")</f>
        <v/>
      </c>
      <c r="K327" s="146" t="str">
        <f t="shared" si="32"/>
        <v/>
      </c>
      <c r="L327" s="146" t="str">
        <f t="shared" si="33"/>
        <v/>
      </c>
      <c r="M327" s="148" t="str">
        <f t="shared" si="34"/>
        <v/>
      </c>
    </row>
    <row r="328" spans="1:13" x14ac:dyDescent="0.3">
      <c r="A328" s="149"/>
      <c r="B328" s="149"/>
      <c r="C328" s="149"/>
      <c r="D328" s="149"/>
      <c r="E328" s="149"/>
      <c r="F328" s="149"/>
      <c r="G328" s="162"/>
      <c r="H328" s="146" t="str">
        <f t="shared" si="30"/>
        <v/>
      </c>
      <c r="I328" s="161" t="str">
        <f t="shared" si="31"/>
        <v/>
      </c>
      <c r="J328" s="160" t="str">
        <f>IFERROR(INDEX(下年标准成本!I:I,MATCH(C328,下年标准成本!C:C,0),1),"")</f>
        <v/>
      </c>
      <c r="K328" s="146" t="str">
        <f t="shared" si="32"/>
        <v/>
      </c>
      <c r="L328" s="146" t="str">
        <f t="shared" si="33"/>
        <v/>
      </c>
      <c r="M328" s="148" t="str">
        <f t="shared" si="34"/>
        <v/>
      </c>
    </row>
    <row r="329" spans="1:13" x14ac:dyDescent="0.3">
      <c r="A329" s="149"/>
      <c r="B329" s="149"/>
      <c r="C329" s="149"/>
      <c r="D329" s="149"/>
      <c r="E329" s="149"/>
      <c r="F329" s="149"/>
      <c r="G329" s="162"/>
      <c r="H329" s="146" t="str">
        <f t="shared" si="30"/>
        <v/>
      </c>
      <c r="I329" s="161" t="str">
        <f t="shared" si="31"/>
        <v/>
      </c>
      <c r="J329" s="160" t="str">
        <f>IFERROR(INDEX(下年标准成本!I:I,MATCH(C329,下年标准成本!C:C,0),1),"")</f>
        <v/>
      </c>
      <c r="K329" s="146" t="str">
        <f t="shared" si="32"/>
        <v/>
      </c>
      <c r="L329" s="146" t="str">
        <f t="shared" si="33"/>
        <v/>
      </c>
      <c r="M329" s="148" t="str">
        <f t="shared" si="34"/>
        <v/>
      </c>
    </row>
    <row r="330" spans="1:13" x14ac:dyDescent="0.3">
      <c r="A330" s="149"/>
      <c r="B330" s="149"/>
      <c r="C330" s="149"/>
      <c r="D330" s="149"/>
      <c r="E330" s="149"/>
      <c r="F330" s="149"/>
      <c r="G330" s="162"/>
      <c r="H330" s="146" t="str">
        <f t="shared" ref="H330:H393" si="35">IFERROR(F330/E330,"")</f>
        <v/>
      </c>
      <c r="I330" s="161" t="str">
        <f t="shared" ref="I330:I393" si="36">IFERROR(H330*(1+G330),"")</f>
        <v/>
      </c>
      <c r="J330" s="160" t="str">
        <f>IFERROR(INDEX(下年标准成本!I:I,MATCH(C330,下年标准成本!C:C,0),1),"")</f>
        <v/>
      </c>
      <c r="K330" s="146" t="str">
        <f t="shared" ref="K330:K393" si="37">IFERROR(E330*J330,"")</f>
        <v/>
      </c>
      <c r="L330" s="146" t="str">
        <f t="shared" ref="L330:L393" si="38">IFERROR(F330-K330,"")</f>
        <v/>
      </c>
      <c r="M330" s="148" t="str">
        <f t="shared" ref="M330:M393" si="39">IFERROR(L330/F330,"")</f>
        <v/>
      </c>
    </row>
    <row r="331" spans="1:13" x14ac:dyDescent="0.3">
      <c r="A331" s="149"/>
      <c r="B331" s="149"/>
      <c r="C331" s="149"/>
      <c r="D331" s="149"/>
      <c r="E331" s="149"/>
      <c r="F331" s="149"/>
      <c r="G331" s="162"/>
      <c r="H331" s="146" t="str">
        <f t="shared" si="35"/>
        <v/>
      </c>
      <c r="I331" s="161" t="str">
        <f t="shared" si="36"/>
        <v/>
      </c>
      <c r="J331" s="160" t="str">
        <f>IFERROR(INDEX(下年标准成本!I:I,MATCH(C331,下年标准成本!C:C,0),1),"")</f>
        <v/>
      </c>
      <c r="K331" s="146" t="str">
        <f t="shared" si="37"/>
        <v/>
      </c>
      <c r="L331" s="146" t="str">
        <f t="shared" si="38"/>
        <v/>
      </c>
      <c r="M331" s="148" t="str">
        <f t="shared" si="39"/>
        <v/>
      </c>
    </row>
    <row r="332" spans="1:13" x14ac:dyDescent="0.3">
      <c r="A332" s="149"/>
      <c r="B332" s="149"/>
      <c r="C332" s="149"/>
      <c r="D332" s="149"/>
      <c r="E332" s="149"/>
      <c r="F332" s="149"/>
      <c r="G332" s="162"/>
      <c r="H332" s="146" t="str">
        <f t="shared" si="35"/>
        <v/>
      </c>
      <c r="I332" s="161" t="str">
        <f t="shared" si="36"/>
        <v/>
      </c>
      <c r="J332" s="160" t="str">
        <f>IFERROR(INDEX(下年标准成本!I:I,MATCH(C332,下年标准成本!C:C,0),1),"")</f>
        <v/>
      </c>
      <c r="K332" s="146" t="str">
        <f t="shared" si="37"/>
        <v/>
      </c>
      <c r="L332" s="146" t="str">
        <f t="shared" si="38"/>
        <v/>
      </c>
      <c r="M332" s="148" t="str">
        <f t="shared" si="39"/>
        <v/>
      </c>
    </row>
    <row r="333" spans="1:13" x14ac:dyDescent="0.3">
      <c r="A333" s="149"/>
      <c r="B333" s="149"/>
      <c r="C333" s="149"/>
      <c r="D333" s="149"/>
      <c r="E333" s="149"/>
      <c r="F333" s="149"/>
      <c r="G333" s="162"/>
      <c r="H333" s="146" t="str">
        <f t="shared" si="35"/>
        <v/>
      </c>
      <c r="I333" s="161" t="str">
        <f t="shared" si="36"/>
        <v/>
      </c>
      <c r="J333" s="160" t="str">
        <f>IFERROR(INDEX(下年标准成本!I:I,MATCH(C333,下年标准成本!C:C,0),1),"")</f>
        <v/>
      </c>
      <c r="K333" s="146" t="str">
        <f t="shared" si="37"/>
        <v/>
      </c>
      <c r="L333" s="146" t="str">
        <f t="shared" si="38"/>
        <v/>
      </c>
      <c r="M333" s="148" t="str">
        <f t="shared" si="39"/>
        <v/>
      </c>
    </row>
    <row r="334" spans="1:13" x14ac:dyDescent="0.3">
      <c r="A334" s="149"/>
      <c r="B334" s="149"/>
      <c r="C334" s="149"/>
      <c r="D334" s="149"/>
      <c r="E334" s="149"/>
      <c r="F334" s="149"/>
      <c r="G334" s="162"/>
      <c r="H334" s="146" t="str">
        <f t="shared" si="35"/>
        <v/>
      </c>
      <c r="I334" s="161" t="str">
        <f t="shared" si="36"/>
        <v/>
      </c>
      <c r="J334" s="160" t="str">
        <f>IFERROR(INDEX(下年标准成本!I:I,MATCH(C334,下年标准成本!C:C,0),1),"")</f>
        <v/>
      </c>
      <c r="K334" s="146" t="str">
        <f t="shared" si="37"/>
        <v/>
      </c>
      <c r="L334" s="146" t="str">
        <f t="shared" si="38"/>
        <v/>
      </c>
      <c r="M334" s="148" t="str">
        <f t="shared" si="39"/>
        <v/>
      </c>
    </row>
    <row r="335" spans="1:13" x14ac:dyDescent="0.3">
      <c r="A335" s="149"/>
      <c r="B335" s="149"/>
      <c r="C335" s="149"/>
      <c r="D335" s="149"/>
      <c r="E335" s="149"/>
      <c r="F335" s="149"/>
      <c r="G335" s="162"/>
      <c r="H335" s="146" t="str">
        <f t="shared" si="35"/>
        <v/>
      </c>
      <c r="I335" s="161" t="str">
        <f t="shared" si="36"/>
        <v/>
      </c>
      <c r="J335" s="160" t="str">
        <f>IFERROR(INDEX(下年标准成本!I:I,MATCH(C335,下年标准成本!C:C,0),1),"")</f>
        <v/>
      </c>
      <c r="K335" s="146" t="str">
        <f t="shared" si="37"/>
        <v/>
      </c>
      <c r="L335" s="146" t="str">
        <f t="shared" si="38"/>
        <v/>
      </c>
      <c r="M335" s="148" t="str">
        <f t="shared" si="39"/>
        <v/>
      </c>
    </row>
    <row r="336" spans="1:13" x14ac:dyDescent="0.3">
      <c r="A336" s="149"/>
      <c r="B336" s="149"/>
      <c r="C336" s="149"/>
      <c r="D336" s="149"/>
      <c r="E336" s="149"/>
      <c r="F336" s="149"/>
      <c r="G336" s="162"/>
      <c r="H336" s="146" t="str">
        <f t="shared" si="35"/>
        <v/>
      </c>
      <c r="I336" s="161" t="str">
        <f t="shared" si="36"/>
        <v/>
      </c>
      <c r="J336" s="160" t="str">
        <f>IFERROR(INDEX(下年标准成本!I:I,MATCH(C336,下年标准成本!C:C,0),1),"")</f>
        <v/>
      </c>
      <c r="K336" s="146" t="str">
        <f t="shared" si="37"/>
        <v/>
      </c>
      <c r="L336" s="146" t="str">
        <f t="shared" si="38"/>
        <v/>
      </c>
      <c r="M336" s="148" t="str">
        <f t="shared" si="39"/>
        <v/>
      </c>
    </row>
    <row r="337" spans="1:13" x14ac:dyDescent="0.3">
      <c r="A337" s="149"/>
      <c r="B337" s="149"/>
      <c r="C337" s="149"/>
      <c r="D337" s="149"/>
      <c r="E337" s="149"/>
      <c r="F337" s="149"/>
      <c r="G337" s="162"/>
      <c r="H337" s="146" t="str">
        <f t="shared" si="35"/>
        <v/>
      </c>
      <c r="I337" s="161" t="str">
        <f t="shared" si="36"/>
        <v/>
      </c>
      <c r="J337" s="160" t="str">
        <f>IFERROR(INDEX(下年标准成本!I:I,MATCH(C337,下年标准成本!C:C,0),1),"")</f>
        <v/>
      </c>
      <c r="K337" s="146" t="str">
        <f t="shared" si="37"/>
        <v/>
      </c>
      <c r="L337" s="146" t="str">
        <f t="shared" si="38"/>
        <v/>
      </c>
      <c r="M337" s="148" t="str">
        <f t="shared" si="39"/>
        <v/>
      </c>
    </row>
    <row r="338" spans="1:13" x14ac:dyDescent="0.3">
      <c r="A338" s="149"/>
      <c r="B338" s="149"/>
      <c r="C338" s="149"/>
      <c r="D338" s="149"/>
      <c r="E338" s="149"/>
      <c r="F338" s="149"/>
      <c r="G338" s="162"/>
      <c r="H338" s="146" t="str">
        <f t="shared" si="35"/>
        <v/>
      </c>
      <c r="I338" s="161" t="str">
        <f t="shared" si="36"/>
        <v/>
      </c>
      <c r="J338" s="160" t="str">
        <f>IFERROR(INDEX(下年标准成本!I:I,MATCH(C338,下年标准成本!C:C,0),1),"")</f>
        <v/>
      </c>
      <c r="K338" s="146" t="str">
        <f t="shared" si="37"/>
        <v/>
      </c>
      <c r="L338" s="146" t="str">
        <f t="shared" si="38"/>
        <v/>
      </c>
      <c r="M338" s="148" t="str">
        <f t="shared" si="39"/>
        <v/>
      </c>
    </row>
    <row r="339" spans="1:13" x14ac:dyDescent="0.3">
      <c r="A339" s="149"/>
      <c r="B339" s="149"/>
      <c r="C339" s="149"/>
      <c r="D339" s="149"/>
      <c r="E339" s="149"/>
      <c r="F339" s="149"/>
      <c r="G339" s="162"/>
      <c r="H339" s="146" t="str">
        <f t="shared" si="35"/>
        <v/>
      </c>
      <c r="I339" s="161" t="str">
        <f t="shared" si="36"/>
        <v/>
      </c>
      <c r="J339" s="160" t="str">
        <f>IFERROR(INDEX(下年标准成本!I:I,MATCH(C339,下年标准成本!C:C,0),1),"")</f>
        <v/>
      </c>
      <c r="K339" s="146" t="str">
        <f t="shared" si="37"/>
        <v/>
      </c>
      <c r="L339" s="146" t="str">
        <f t="shared" si="38"/>
        <v/>
      </c>
      <c r="M339" s="148" t="str">
        <f t="shared" si="39"/>
        <v/>
      </c>
    </row>
    <row r="340" spans="1:13" x14ac:dyDescent="0.3">
      <c r="A340" s="149"/>
      <c r="B340" s="149"/>
      <c r="C340" s="149"/>
      <c r="D340" s="149"/>
      <c r="E340" s="149"/>
      <c r="F340" s="149"/>
      <c r="G340" s="162"/>
      <c r="H340" s="146" t="str">
        <f t="shared" si="35"/>
        <v/>
      </c>
      <c r="I340" s="161" t="str">
        <f t="shared" si="36"/>
        <v/>
      </c>
      <c r="J340" s="160" t="str">
        <f>IFERROR(INDEX(下年标准成本!I:I,MATCH(C340,下年标准成本!C:C,0),1),"")</f>
        <v/>
      </c>
      <c r="K340" s="146" t="str">
        <f t="shared" si="37"/>
        <v/>
      </c>
      <c r="L340" s="146" t="str">
        <f t="shared" si="38"/>
        <v/>
      </c>
      <c r="M340" s="148" t="str">
        <f t="shared" si="39"/>
        <v/>
      </c>
    </row>
    <row r="341" spans="1:13" x14ac:dyDescent="0.3">
      <c r="A341" s="149"/>
      <c r="B341" s="149"/>
      <c r="C341" s="149"/>
      <c r="D341" s="149"/>
      <c r="E341" s="149"/>
      <c r="F341" s="149"/>
      <c r="G341" s="162"/>
      <c r="H341" s="146" t="str">
        <f t="shared" si="35"/>
        <v/>
      </c>
      <c r="I341" s="161" t="str">
        <f t="shared" si="36"/>
        <v/>
      </c>
      <c r="J341" s="160" t="str">
        <f>IFERROR(INDEX(下年标准成本!I:I,MATCH(C341,下年标准成本!C:C,0),1),"")</f>
        <v/>
      </c>
      <c r="K341" s="146" t="str">
        <f t="shared" si="37"/>
        <v/>
      </c>
      <c r="L341" s="146" t="str">
        <f t="shared" si="38"/>
        <v/>
      </c>
      <c r="M341" s="148" t="str">
        <f t="shared" si="39"/>
        <v/>
      </c>
    </row>
    <row r="342" spans="1:13" x14ac:dyDescent="0.3">
      <c r="A342" s="149"/>
      <c r="B342" s="149"/>
      <c r="C342" s="149"/>
      <c r="D342" s="149"/>
      <c r="E342" s="149"/>
      <c r="F342" s="149"/>
      <c r="G342" s="162"/>
      <c r="H342" s="146" t="str">
        <f t="shared" si="35"/>
        <v/>
      </c>
      <c r="I342" s="161" t="str">
        <f t="shared" si="36"/>
        <v/>
      </c>
      <c r="J342" s="160" t="str">
        <f>IFERROR(INDEX(下年标准成本!I:I,MATCH(C342,下年标准成本!C:C,0),1),"")</f>
        <v/>
      </c>
      <c r="K342" s="146" t="str">
        <f t="shared" si="37"/>
        <v/>
      </c>
      <c r="L342" s="146" t="str">
        <f t="shared" si="38"/>
        <v/>
      </c>
      <c r="M342" s="148" t="str">
        <f t="shared" si="39"/>
        <v/>
      </c>
    </row>
    <row r="343" spans="1:13" x14ac:dyDescent="0.3">
      <c r="A343" s="149"/>
      <c r="B343" s="149"/>
      <c r="C343" s="149"/>
      <c r="D343" s="149"/>
      <c r="E343" s="149"/>
      <c r="F343" s="149"/>
      <c r="G343" s="162"/>
      <c r="H343" s="146" t="str">
        <f t="shared" si="35"/>
        <v/>
      </c>
      <c r="I343" s="161" t="str">
        <f t="shared" si="36"/>
        <v/>
      </c>
      <c r="J343" s="160" t="str">
        <f>IFERROR(INDEX(下年标准成本!I:I,MATCH(C343,下年标准成本!C:C,0),1),"")</f>
        <v/>
      </c>
      <c r="K343" s="146" t="str">
        <f t="shared" si="37"/>
        <v/>
      </c>
      <c r="L343" s="146" t="str">
        <f t="shared" si="38"/>
        <v/>
      </c>
      <c r="M343" s="148" t="str">
        <f t="shared" si="39"/>
        <v/>
      </c>
    </row>
    <row r="344" spans="1:13" x14ac:dyDescent="0.3">
      <c r="A344" s="149"/>
      <c r="B344" s="149"/>
      <c r="C344" s="149"/>
      <c r="D344" s="149"/>
      <c r="E344" s="149"/>
      <c r="F344" s="149"/>
      <c r="G344" s="162"/>
      <c r="H344" s="146" t="str">
        <f t="shared" si="35"/>
        <v/>
      </c>
      <c r="I344" s="161" t="str">
        <f t="shared" si="36"/>
        <v/>
      </c>
      <c r="J344" s="160" t="str">
        <f>IFERROR(INDEX(下年标准成本!I:I,MATCH(C344,下年标准成本!C:C,0),1),"")</f>
        <v/>
      </c>
      <c r="K344" s="146" t="str">
        <f t="shared" si="37"/>
        <v/>
      </c>
      <c r="L344" s="146" t="str">
        <f t="shared" si="38"/>
        <v/>
      </c>
      <c r="M344" s="148" t="str">
        <f t="shared" si="39"/>
        <v/>
      </c>
    </row>
    <row r="345" spans="1:13" x14ac:dyDescent="0.3">
      <c r="A345" s="149"/>
      <c r="B345" s="149"/>
      <c r="C345" s="149"/>
      <c r="D345" s="149"/>
      <c r="E345" s="149"/>
      <c r="F345" s="149"/>
      <c r="G345" s="162"/>
      <c r="H345" s="146" t="str">
        <f t="shared" si="35"/>
        <v/>
      </c>
      <c r="I345" s="161" t="str">
        <f t="shared" si="36"/>
        <v/>
      </c>
      <c r="J345" s="160" t="str">
        <f>IFERROR(INDEX(下年标准成本!I:I,MATCH(C345,下年标准成本!C:C,0),1),"")</f>
        <v/>
      </c>
      <c r="K345" s="146" t="str">
        <f t="shared" si="37"/>
        <v/>
      </c>
      <c r="L345" s="146" t="str">
        <f t="shared" si="38"/>
        <v/>
      </c>
      <c r="M345" s="148" t="str">
        <f t="shared" si="39"/>
        <v/>
      </c>
    </row>
    <row r="346" spans="1:13" x14ac:dyDescent="0.3">
      <c r="A346" s="149"/>
      <c r="B346" s="149"/>
      <c r="C346" s="149"/>
      <c r="D346" s="149"/>
      <c r="E346" s="149"/>
      <c r="F346" s="149"/>
      <c r="G346" s="162"/>
      <c r="H346" s="146" t="str">
        <f t="shared" si="35"/>
        <v/>
      </c>
      <c r="I346" s="161" t="str">
        <f t="shared" si="36"/>
        <v/>
      </c>
      <c r="J346" s="160" t="str">
        <f>IFERROR(INDEX(下年标准成本!I:I,MATCH(C346,下年标准成本!C:C,0),1),"")</f>
        <v/>
      </c>
      <c r="K346" s="146" t="str">
        <f t="shared" si="37"/>
        <v/>
      </c>
      <c r="L346" s="146" t="str">
        <f t="shared" si="38"/>
        <v/>
      </c>
      <c r="M346" s="148" t="str">
        <f t="shared" si="39"/>
        <v/>
      </c>
    </row>
    <row r="347" spans="1:13" x14ac:dyDescent="0.3">
      <c r="A347" s="149"/>
      <c r="B347" s="149"/>
      <c r="C347" s="149"/>
      <c r="D347" s="149"/>
      <c r="E347" s="149"/>
      <c r="F347" s="149"/>
      <c r="G347" s="162"/>
      <c r="H347" s="146" t="str">
        <f t="shared" si="35"/>
        <v/>
      </c>
      <c r="I347" s="161" t="str">
        <f t="shared" si="36"/>
        <v/>
      </c>
      <c r="J347" s="160" t="str">
        <f>IFERROR(INDEX(下年标准成本!I:I,MATCH(C347,下年标准成本!C:C,0),1),"")</f>
        <v/>
      </c>
      <c r="K347" s="146" t="str">
        <f t="shared" si="37"/>
        <v/>
      </c>
      <c r="L347" s="146" t="str">
        <f t="shared" si="38"/>
        <v/>
      </c>
      <c r="M347" s="148" t="str">
        <f t="shared" si="39"/>
        <v/>
      </c>
    </row>
    <row r="348" spans="1:13" x14ac:dyDescent="0.3">
      <c r="A348" s="149"/>
      <c r="B348" s="149"/>
      <c r="C348" s="149"/>
      <c r="D348" s="149"/>
      <c r="E348" s="149"/>
      <c r="F348" s="149"/>
      <c r="G348" s="162"/>
      <c r="H348" s="146" t="str">
        <f t="shared" si="35"/>
        <v/>
      </c>
      <c r="I348" s="161" t="str">
        <f t="shared" si="36"/>
        <v/>
      </c>
      <c r="J348" s="160" t="str">
        <f>IFERROR(INDEX(下年标准成本!I:I,MATCH(C348,下年标准成本!C:C,0),1),"")</f>
        <v/>
      </c>
      <c r="K348" s="146" t="str">
        <f t="shared" si="37"/>
        <v/>
      </c>
      <c r="L348" s="146" t="str">
        <f t="shared" si="38"/>
        <v/>
      </c>
      <c r="M348" s="148" t="str">
        <f t="shared" si="39"/>
        <v/>
      </c>
    </row>
    <row r="349" spans="1:13" x14ac:dyDescent="0.3">
      <c r="A349" s="149"/>
      <c r="B349" s="149"/>
      <c r="C349" s="149"/>
      <c r="D349" s="149"/>
      <c r="E349" s="149"/>
      <c r="F349" s="149"/>
      <c r="G349" s="162"/>
      <c r="H349" s="146" t="str">
        <f t="shared" si="35"/>
        <v/>
      </c>
      <c r="I349" s="161" t="str">
        <f t="shared" si="36"/>
        <v/>
      </c>
      <c r="J349" s="160" t="str">
        <f>IFERROR(INDEX(下年标准成本!I:I,MATCH(C349,下年标准成本!C:C,0),1),"")</f>
        <v/>
      </c>
      <c r="K349" s="146" t="str">
        <f t="shared" si="37"/>
        <v/>
      </c>
      <c r="L349" s="146" t="str">
        <f t="shared" si="38"/>
        <v/>
      </c>
      <c r="M349" s="148" t="str">
        <f t="shared" si="39"/>
        <v/>
      </c>
    </row>
    <row r="350" spans="1:13" x14ac:dyDescent="0.3">
      <c r="A350" s="149"/>
      <c r="B350" s="149"/>
      <c r="C350" s="149"/>
      <c r="D350" s="149"/>
      <c r="E350" s="149"/>
      <c r="F350" s="149"/>
      <c r="G350" s="162"/>
      <c r="H350" s="146" t="str">
        <f t="shared" si="35"/>
        <v/>
      </c>
      <c r="I350" s="161" t="str">
        <f t="shared" si="36"/>
        <v/>
      </c>
      <c r="J350" s="160" t="str">
        <f>IFERROR(INDEX(下年标准成本!I:I,MATCH(C350,下年标准成本!C:C,0),1),"")</f>
        <v/>
      </c>
      <c r="K350" s="146" t="str">
        <f t="shared" si="37"/>
        <v/>
      </c>
      <c r="L350" s="146" t="str">
        <f t="shared" si="38"/>
        <v/>
      </c>
      <c r="M350" s="148" t="str">
        <f t="shared" si="39"/>
        <v/>
      </c>
    </row>
    <row r="351" spans="1:13" x14ac:dyDescent="0.3">
      <c r="A351" s="149"/>
      <c r="B351" s="149"/>
      <c r="C351" s="149"/>
      <c r="D351" s="149"/>
      <c r="E351" s="149"/>
      <c r="F351" s="149"/>
      <c r="G351" s="162"/>
      <c r="H351" s="146" t="str">
        <f t="shared" si="35"/>
        <v/>
      </c>
      <c r="I351" s="161" t="str">
        <f t="shared" si="36"/>
        <v/>
      </c>
      <c r="J351" s="160" t="str">
        <f>IFERROR(INDEX(下年标准成本!I:I,MATCH(C351,下年标准成本!C:C,0),1),"")</f>
        <v/>
      </c>
      <c r="K351" s="146" t="str">
        <f t="shared" si="37"/>
        <v/>
      </c>
      <c r="L351" s="146" t="str">
        <f t="shared" si="38"/>
        <v/>
      </c>
      <c r="M351" s="148" t="str">
        <f t="shared" si="39"/>
        <v/>
      </c>
    </row>
    <row r="352" spans="1:13" x14ac:dyDescent="0.3">
      <c r="A352" s="149"/>
      <c r="B352" s="149"/>
      <c r="C352" s="149"/>
      <c r="D352" s="149"/>
      <c r="E352" s="149"/>
      <c r="F352" s="149"/>
      <c r="G352" s="162"/>
      <c r="H352" s="146" t="str">
        <f t="shared" si="35"/>
        <v/>
      </c>
      <c r="I352" s="161" t="str">
        <f t="shared" si="36"/>
        <v/>
      </c>
      <c r="J352" s="160" t="str">
        <f>IFERROR(INDEX(下年标准成本!I:I,MATCH(C352,下年标准成本!C:C,0),1),"")</f>
        <v/>
      </c>
      <c r="K352" s="146" t="str">
        <f t="shared" si="37"/>
        <v/>
      </c>
      <c r="L352" s="146" t="str">
        <f t="shared" si="38"/>
        <v/>
      </c>
      <c r="M352" s="148" t="str">
        <f t="shared" si="39"/>
        <v/>
      </c>
    </row>
    <row r="353" spans="1:13" x14ac:dyDescent="0.3">
      <c r="A353" s="149"/>
      <c r="B353" s="149"/>
      <c r="C353" s="149"/>
      <c r="D353" s="149"/>
      <c r="E353" s="149"/>
      <c r="F353" s="149"/>
      <c r="G353" s="162"/>
      <c r="H353" s="146" t="str">
        <f t="shared" si="35"/>
        <v/>
      </c>
      <c r="I353" s="161" t="str">
        <f t="shared" si="36"/>
        <v/>
      </c>
      <c r="J353" s="160" t="str">
        <f>IFERROR(INDEX(下年标准成本!I:I,MATCH(C353,下年标准成本!C:C,0),1),"")</f>
        <v/>
      </c>
      <c r="K353" s="146" t="str">
        <f t="shared" si="37"/>
        <v/>
      </c>
      <c r="L353" s="146" t="str">
        <f t="shared" si="38"/>
        <v/>
      </c>
      <c r="M353" s="148" t="str">
        <f t="shared" si="39"/>
        <v/>
      </c>
    </row>
    <row r="354" spans="1:13" x14ac:dyDescent="0.3">
      <c r="A354" s="149"/>
      <c r="B354" s="149"/>
      <c r="C354" s="149"/>
      <c r="D354" s="149"/>
      <c r="E354" s="149"/>
      <c r="F354" s="149"/>
      <c r="G354" s="162"/>
      <c r="H354" s="146" t="str">
        <f t="shared" si="35"/>
        <v/>
      </c>
      <c r="I354" s="161" t="str">
        <f t="shared" si="36"/>
        <v/>
      </c>
      <c r="J354" s="160" t="str">
        <f>IFERROR(INDEX(下年标准成本!I:I,MATCH(C354,下年标准成本!C:C,0),1),"")</f>
        <v/>
      </c>
      <c r="K354" s="146" t="str">
        <f t="shared" si="37"/>
        <v/>
      </c>
      <c r="L354" s="146" t="str">
        <f t="shared" si="38"/>
        <v/>
      </c>
      <c r="M354" s="148" t="str">
        <f t="shared" si="39"/>
        <v/>
      </c>
    </row>
    <row r="355" spans="1:13" x14ac:dyDescent="0.3">
      <c r="A355" s="149"/>
      <c r="B355" s="149"/>
      <c r="C355" s="149"/>
      <c r="D355" s="149"/>
      <c r="E355" s="149"/>
      <c r="F355" s="149"/>
      <c r="G355" s="162"/>
      <c r="H355" s="146" t="str">
        <f t="shared" si="35"/>
        <v/>
      </c>
      <c r="I355" s="161" t="str">
        <f t="shared" si="36"/>
        <v/>
      </c>
      <c r="J355" s="160" t="str">
        <f>IFERROR(INDEX(下年标准成本!I:I,MATCH(C355,下年标准成本!C:C,0),1),"")</f>
        <v/>
      </c>
      <c r="K355" s="146" t="str">
        <f t="shared" si="37"/>
        <v/>
      </c>
      <c r="L355" s="146" t="str">
        <f t="shared" si="38"/>
        <v/>
      </c>
      <c r="M355" s="148" t="str">
        <f t="shared" si="39"/>
        <v/>
      </c>
    </row>
    <row r="356" spans="1:13" x14ac:dyDescent="0.3">
      <c r="A356" s="149"/>
      <c r="B356" s="149"/>
      <c r="C356" s="149"/>
      <c r="D356" s="149"/>
      <c r="E356" s="149"/>
      <c r="F356" s="149"/>
      <c r="G356" s="162"/>
      <c r="H356" s="146" t="str">
        <f t="shared" si="35"/>
        <v/>
      </c>
      <c r="I356" s="161" t="str">
        <f t="shared" si="36"/>
        <v/>
      </c>
      <c r="J356" s="160" t="str">
        <f>IFERROR(INDEX(下年标准成本!I:I,MATCH(C356,下年标准成本!C:C,0),1),"")</f>
        <v/>
      </c>
      <c r="K356" s="146" t="str">
        <f t="shared" si="37"/>
        <v/>
      </c>
      <c r="L356" s="146" t="str">
        <f t="shared" si="38"/>
        <v/>
      </c>
      <c r="M356" s="148" t="str">
        <f t="shared" si="39"/>
        <v/>
      </c>
    </row>
    <row r="357" spans="1:13" x14ac:dyDescent="0.3">
      <c r="A357" s="149"/>
      <c r="B357" s="149"/>
      <c r="C357" s="149"/>
      <c r="D357" s="149"/>
      <c r="E357" s="149"/>
      <c r="F357" s="149"/>
      <c r="G357" s="162"/>
      <c r="H357" s="146" t="str">
        <f t="shared" si="35"/>
        <v/>
      </c>
      <c r="I357" s="161" t="str">
        <f t="shared" si="36"/>
        <v/>
      </c>
      <c r="J357" s="160" t="str">
        <f>IFERROR(INDEX(下年标准成本!I:I,MATCH(C357,下年标准成本!C:C,0),1),"")</f>
        <v/>
      </c>
      <c r="K357" s="146" t="str">
        <f t="shared" si="37"/>
        <v/>
      </c>
      <c r="L357" s="146" t="str">
        <f t="shared" si="38"/>
        <v/>
      </c>
      <c r="M357" s="148" t="str">
        <f t="shared" si="39"/>
        <v/>
      </c>
    </row>
    <row r="358" spans="1:13" x14ac:dyDescent="0.3">
      <c r="A358" s="149"/>
      <c r="B358" s="149"/>
      <c r="C358" s="149"/>
      <c r="D358" s="149"/>
      <c r="E358" s="149"/>
      <c r="F358" s="149"/>
      <c r="G358" s="162"/>
      <c r="H358" s="146" t="str">
        <f t="shared" si="35"/>
        <v/>
      </c>
      <c r="I358" s="161" t="str">
        <f t="shared" si="36"/>
        <v/>
      </c>
      <c r="J358" s="160" t="str">
        <f>IFERROR(INDEX(下年标准成本!I:I,MATCH(C358,下年标准成本!C:C,0),1),"")</f>
        <v/>
      </c>
      <c r="K358" s="146" t="str">
        <f t="shared" si="37"/>
        <v/>
      </c>
      <c r="L358" s="146" t="str">
        <f t="shared" si="38"/>
        <v/>
      </c>
      <c r="M358" s="148" t="str">
        <f t="shared" si="39"/>
        <v/>
      </c>
    </row>
    <row r="359" spans="1:13" x14ac:dyDescent="0.3">
      <c r="A359" s="149"/>
      <c r="B359" s="149"/>
      <c r="C359" s="149"/>
      <c r="D359" s="149"/>
      <c r="E359" s="149"/>
      <c r="F359" s="149"/>
      <c r="G359" s="162"/>
      <c r="H359" s="146" t="str">
        <f t="shared" si="35"/>
        <v/>
      </c>
      <c r="I359" s="161" t="str">
        <f t="shared" si="36"/>
        <v/>
      </c>
      <c r="J359" s="160" t="str">
        <f>IFERROR(INDEX(下年标准成本!I:I,MATCH(C359,下年标准成本!C:C,0),1),"")</f>
        <v/>
      </c>
      <c r="K359" s="146" t="str">
        <f t="shared" si="37"/>
        <v/>
      </c>
      <c r="L359" s="146" t="str">
        <f t="shared" si="38"/>
        <v/>
      </c>
      <c r="M359" s="148" t="str">
        <f t="shared" si="39"/>
        <v/>
      </c>
    </row>
    <row r="360" spans="1:13" x14ac:dyDescent="0.3">
      <c r="A360" s="149"/>
      <c r="B360" s="149"/>
      <c r="C360" s="149"/>
      <c r="D360" s="149"/>
      <c r="E360" s="149"/>
      <c r="F360" s="149"/>
      <c r="G360" s="162"/>
      <c r="H360" s="146" t="str">
        <f t="shared" si="35"/>
        <v/>
      </c>
      <c r="I360" s="161" t="str">
        <f t="shared" si="36"/>
        <v/>
      </c>
      <c r="J360" s="160" t="str">
        <f>IFERROR(INDEX(下年标准成本!I:I,MATCH(C360,下年标准成本!C:C,0),1),"")</f>
        <v/>
      </c>
      <c r="K360" s="146" t="str">
        <f t="shared" si="37"/>
        <v/>
      </c>
      <c r="L360" s="146" t="str">
        <f t="shared" si="38"/>
        <v/>
      </c>
      <c r="M360" s="148" t="str">
        <f t="shared" si="39"/>
        <v/>
      </c>
    </row>
    <row r="361" spans="1:13" x14ac:dyDescent="0.3">
      <c r="A361" s="149"/>
      <c r="B361" s="149"/>
      <c r="C361" s="149"/>
      <c r="D361" s="149"/>
      <c r="E361" s="149"/>
      <c r="F361" s="149"/>
      <c r="G361" s="162"/>
      <c r="H361" s="146" t="str">
        <f t="shared" si="35"/>
        <v/>
      </c>
      <c r="I361" s="161" t="str">
        <f t="shared" si="36"/>
        <v/>
      </c>
      <c r="J361" s="160" t="str">
        <f>IFERROR(INDEX(下年标准成本!I:I,MATCH(C361,下年标准成本!C:C,0),1),"")</f>
        <v/>
      </c>
      <c r="K361" s="146" t="str">
        <f t="shared" si="37"/>
        <v/>
      </c>
      <c r="L361" s="146" t="str">
        <f t="shared" si="38"/>
        <v/>
      </c>
      <c r="M361" s="148" t="str">
        <f t="shared" si="39"/>
        <v/>
      </c>
    </row>
    <row r="362" spans="1:13" x14ac:dyDescent="0.3">
      <c r="A362" s="149"/>
      <c r="B362" s="149"/>
      <c r="C362" s="149"/>
      <c r="D362" s="149"/>
      <c r="E362" s="149"/>
      <c r="F362" s="149"/>
      <c r="G362" s="162"/>
      <c r="H362" s="146" t="str">
        <f t="shared" si="35"/>
        <v/>
      </c>
      <c r="I362" s="161" t="str">
        <f t="shared" si="36"/>
        <v/>
      </c>
      <c r="J362" s="160" t="str">
        <f>IFERROR(INDEX(下年标准成本!I:I,MATCH(C362,下年标准成本!C:C,0),1),"")</f>
        <v/>
      </c>
      <c r="K362" s="146" t="str">
        <f t="shared" si="37"/>
        <v/>
      </c>
      <c r="L362" s="146" t="str">
        <f t="shared" si="38"/>
        <v/>
      </c>
      <c r="M362" s="148" t="str">
        <f t="shared" si="39"/>
        <v/>
      </c>
    </row>
    <row r="363" spans="1:13" x14ac:dyDescent="0.3">
      <c r="A363" s="149"/>
      <c r="B363" s="149"/>
      <c r="C363" s="149"/>
      <c r="D363" s="149"/>
      <c r="E363" s="149"/>
      <c r="F363" s="149"/>
      <c r="G363" s="162"/>
      <c r="H363" s="146" t="str">
        <f t="shared" si="35"/>
        <v/>
      </c>
      <c r="I363" s="161" t="str">
        <f t="shared" si="36"/>
        <v/>
      </c>
      <c r="J363" s="160" t="str">
        <f>IFERROR(INDEX(下年标准成本!I:I,MATCH(C363,下年标准成本!C:C,0),1),"")</f>
        <v/>
      </c>
      <c r="K363" s="146" t="str">
        <f t="shared" si="37"/>
        <v/>
      </c>
      <c r="L363" s="146" t="str">
        <f t="shared" si="38"/>
        <v/>
      </c>
      <c r="M363" s="148" t="str">
        <f t="shared" si="39"/>
        <v/>
      </c>
    </row>
    <row r="364" spans="1:13" x14ac:dyDescent="0.3">
      <c r="A364" s="149"/>
      <c r="B364" s="149"/>
      <c r="C364" s="149"/>
      <c r="D364" s="149"/>
      <c r="E364" s="149"/>
      <c r="F364" s="149"/>
      <c r="G364" s="162"/>
      <c r="H364" s="146" t="str">
        <f t="shared" si="35"/>
        <v/>
      </c>
      <c r="I364" s="161" t="str">
        <f t="shared" si="36"/>
        <v/>
      </c>
      <c r="J364" s="160" t="str">
        <f>IFERROR(INDEX(下年标准成本!I:I,MATCH(C364,下年标准成本!C:C,0),1),"")</f>
        <v/>
      </c>
      <c r="K364" s="146" t="str">
        <f t="shared" si="37"/>
        <v/>
      </c>
      <c r="L364" s="146" t="str">
        <f t="shared" si="38"/>
        <v/>
      </c>
      <c r="M364" s="148" t="str">
        <f t="shared" si="39"/>
        <v/>
      </c>
    </row>
    <row r="365" spans="1:13" x14ac:dyDescent="0.3">
      <c r="A365" s="149"/>
      <c r="B365" s="149"/>
      <c r="C365" s="149"/>
      <c r="D365" s="149"/>
      <c r="E365" s="149"/>
      <c r="F365" s="149"/>
      <c r="G365" s="162"/>
      <c r="H365" s="146" t="str">
        <f t="shared" si="35"/>
        <v/>
      </c>
      <c r="I365" s="161" t="str">
        <f t="shared" si="36"/>
        <v/>
      </c>
      <c r="J365" s="160" t="str">
        <f>IFERROR(INDEX(下年标准成本!I:I,MATCH(C365,下年标准成本!C:C,0),1),"")</f>
        <v/>
      </c>
      <c r="K365" s="146" t="str">
        <f t="shared" si="37"/>
        <v/>
      </c>
      <c r="L365" s="146" t="str">
        <f t="shared" si="38"/>
        <v/>
      </c>
      <c r="M365" s="148" t="str">
        <f t="shared" si="39"/>
        <v/>
      </c>
    </row>
    <row r="366" spans="1:13" x14ac:dyDescent="0.3">
      <c r="A366" s="149"/>
      <c r="B366" s="149"/>
      <c r="C366" s="149"/>
      <c r="D366" s="149"/>
      <c r="E366" s="149"/>
      <c r="F366" s="149"/>
      <c r="G366" s="162"/>
      <c r="H366" s="146" t="str">
        <f t="shared" si="35"/>
        <v/>
      </c>
      <c r="I366" s="161" t="str">
        <f t="shared" si="36"/>
        <v/>
      </c>
      <c r="J366" s="160" t="str">
        <f>IFERROR(INDEX(下年标准成本!I:I,MATCH(C366,下年标准成本!C:C,0),1),"")</f>
        <v/>
      </c>
      <c r="K366" s="146" t="str">
        <f t="shared" si="37"/>
        <v/>
      </c>
      <c r="L366" s="146" t="str">
        <f t="shared" si="38"/>
        <v/>
      </c>
      <c r="M366" s="148" t="str">
        <f t="shared" si="39"/>
        <v/>
      </c>
    </row>
    <row r="367" spans="1:13" x14ac:dyDescent="0.3">
      <c r="A367" s="149"/>
      <c r="B367" s="149"/>
      <c r="C367" s="149"/>
      <c r="D367" s="149"/>
      <c r="E367" s="149"/>
      <c r="F367" s="149"/>
      <c r="G367" s="162"/>
      <c r="H367" s="146" t="str">
        <f t="shared" si="35"/>
        <v/>
      </c>
      <c r="I367" s="161" t="str">
        <f t="shared" si="36"/>
        <v/>
      </c>
      <c r="J367" s="160" t="str">
        <f>IFERROR(INDEX(下年标准成本!I:I,MATCH(C367,下年标准成本!C:C,0),1),"")</f>
        <v/>
      </c>
      <c r="K367" s="146" t="str">
        <f t="shared" si="37"/>
        <v/>
      </c>
      <c r="L367" s="146" t="str">
        <f t="shared" si="38"/>
        <v/>
      </c>
      <c r="M367" s="148" t="str">
        <f t="shared" si="39"/>
        <v/>
      </c>
    </row>
    <row r="368" spans="1:13" x14ac:dyDescent="0.3">
      <c r="A368" s="149"/>
      <c r="B368" s="149"/>
      <c r="C368" s="149"/>
      <c r="D368" s="149"/>
      <c r="E368" s="149"/>
      <c r="F368" s="149"/>
      <c r="G368" s="162"/>
      <c r="H368" s="146" t="str">
        <f t="shared" si="35"/>
        <v/>
      </c>
      <c r="I368" s="161" t="str">
        <f t="shared" si="36"/>
        <v/>
      </c>
      <c r="J368" s="160" t="str">
        <f>IFERROR(INDEX(下年标准成本!I:I,MATCH(C368,下年标准成本!C:C,0),1),"")</f>
        <v/>
      </c>
      <c r="K368" s="146" t="str">
        <f t="shared" si="37"/>
        <v/>
      </c>
      <c r="L368" s="146" t="str">
        <f t="shared" si="38"/>
        <v/>
      </c>
      <c r="M368" s="148" t="str">
        <f t="shared" si="39"/>
        <v/>
      </c>
    </row>
    <row r="369" spans="1:13" x14ac:dyDescent="0.3">
      <c r="A369" s="149"/>
      <c r="B369" s="149"/>
      <c r="C369" s="149"/>
      <c r="D369" s="149"/>
      <c r="E369" s="149"/>
      <c r="F369" s="149"/>
      <c r="G369" s="162"/>
      <c r="H369" s="146" t="str">
        <f t="shared" si="35"/>
        <v/>
      </c>
      <c r="I369" s="161" t="str">
        <f t="shared" si="36"/>
        <v/>
      </c>
      <c r="J369" s="160" t="str">
        <f>IFERROR(INDEX(下年标准成本!I:I,MATCH(C369,下年标准成本!C:C,0),1),"")</f>
        <v/>
      </c>
      <c r="K369" s="146" t="str">
        <f t="shared" si="37"/>
        <v/>
      </c>
      <c r="L369" s="146" t="str">
        <f t="shared" si="38"/>
        <v/>
      </c>
      <c r="M369" s="148" t="str">
        <f t="shared" si="39"/>
        <v/>
      </c>
    </row>
    <row r="370" spans="1:13" x14ac:dyDescent="0.3">
      <c r="A370" s="149"/>
      <c r="B370" s="149"/>
      <c r="C370" s="149"/>
      <c r="D370" s="149"/>
      <c r="E370" s="149"/>
      <c r="F370" s="149"/>
      <c r="G370" s="162"/>
      <c r="H370" s="146" t="str">
        <f t="shared" si="35"/>
        <v/>
      </c>
      <c r="I370" s="161" t="str">
        <f t="shared" si="36"/>
        <v/>
      </c>
      <c r="J370" s="160" t="str">
        <f>IFERROR(INDEX(下年标准成本!I:I,MATCH(C370,下年标准成本!C:C,0),1),"")</f>
        <v/>
      </c>
      <c r="K370" s="146" t="str">
        <f t="shared" si="37"/>
        <v/>
      </c>
      <c r="L370" s="146" t="str">
        <f t="shared" si="38"/>
        <v/>
      </c>
      <c r="M370" s="148" t="str">
        <f t="shared" si="39"/>
        <v/>
      </c>
    </row>
    <row r="371" spans="1:13" x14ac:dyDescent="0.3">
      <c r="A371" s="149"/>
      <c r="B371" s="149"/>
      <c r="C371" s="149"/>
      <c r="D371" s="149"/>
      <c r="E371" s="149"/>
      <c r="F371" s="149"/>
      <c r="G371" s="162"/>
      <c r="H371" s="146" t="str">
        <f t="shared" si="35"/>
        <v/>
      </c>
      <c r="I371" s="161" t="str">
        <f t="shared" si="36"/>
        <v/>
      </c>
      <c r="J371" s="160" t="str">
        <f>IFERROR(INDEX(下年标准成本!I:I,MATCH(C371,下年标准成本!C:C,0),1),"")</f>
        <v/>
      </c>
      <c r="K371" s="146" t="str">
        <f t="shared" si="37"/>
        <v/>
      </c>
      <c r="L371" s="146" t="str">
        <f t="shared" si="38"/>
        <v/>
      </c>
      <c r="M371" s="148" t="str">
        <f t="shared" si="39"/>
        <v/>
      </c>
    </row>
    <row r="372" spans="1:13" x14ac:dyDescent="0.3">
      <c r="A372" s="149"/>
      <c r="B372" s="149"/>
      <c r="C372" s="149"/>
      <c r="D372" s="149"/>
      <c r="E372" s="149"/>
      <c r="F372" s="149"/>
      <c r="G372" s="162"/>
      <c r="H372" s="146" t="str">
        <f t="shared" si="35"/>
        <v/>
      </c>
      <c r="I372" s="161" t="str">
        <f t="shared" si="36"/>
        <v/>
      </c>
      <c r="J372" s="160" t="str">
        <f>IFERROR(INDEX(下年标准成本!I:I,MATCH(C372,下年标准成本!C:C,0),1),"")</f>
        <v/>
      </c>
      <c r="K372" s="146" t="str">
        <f t="shared" si="37"/>
        <v/>
      </c>
      <c r="L372" s="146" t="str">
        <f t="shared" si="38"/>
        <v/>
      </c>
      <c r="M372" s="148" t="str">
        <f t="shared" si="39"/>
        <v/>
      </c>
    </row>
    <row r="373" spans="1:13" x14ac:dyDescent="0.3">
      <c r="A373" s="149"/>
      <c r="B373" s="149"/>
      <c r="C373" s="149"/>
      <c r="D373" s="149"/>
      <c r="E373" s="149"/>
      <c r="F373" s="149"/>
      <c r="G373" s="162"/>
      <c r="H373" s="146" t="str">
        <f t="shared" si="35"/>
        <v/>
      </c>
      <c r="I373" s="161" t="str">
        <f t="shared" si="36"/>
        <v/>
      </c>
      <c r="J373" s="160" t="str">
        <f>IFERROR(INDEX(下年标准成本!I:I,MATCH(C373,下年标准成本!C:C,0),1),"")</f>
        <v/>
      </c>
      <c r="K373" s="146" t="str">
        <f t="shared" si="37"/>
        <v/>
      </c>
      <c r="L373" s="146" t="str">
        <f t="shared" si="38"/>
        <v/>
      </c>
      <c r="M373" s="148" t="str">
        <f t="shared" si="39"/>
        <v/>
      </c>
    </row>
    <row r="374" spans="1:13" x14ac:dyDescent="0.3">
      <c r="A374" s="149"/>
      <c r="B374" s="149"/>
      <c r="C374" s="149"/>
      <c r="D374" s="149"/>
      <c r="E374" s="149"/>
      <c r="F374" s="149"/>
      <c r="G374" s="162"/>
      <c r="H374" s="146" t="str">
        <f t="shared" si="35"/>
        <v/>
      </c>
      <c r="I374" s="161" t="str">
        <f t="shared" si="36"/>
        <v/>
      </c>
      <c r="J374" s="160" t="str">
        <f>IFERROR(INDEX(下年标准成本!I:I,MATCH(C374,下年标准成本!C:C,0),1),"")</f>
        <v/>
      </c>
      <c r="K374" s="146" t="str">
        <f t="shared" si="37"/>
        <v/>
      </c>
      <c r="L374" s="146" t="str">
        <f t="shared" si="38"/>
        <v/>
      </c>
      <c r="M374" s="148" t="str">
        <f t="shared" si="39"/>
        <v/>
      </c>
    </row>
    <row r="375" spans="1:13" x14ac:dyDescent="0.3">
      <c r="A375" s="149"/>
      <c r="B375" s="149"/>
      <c r="C375" s="149"/>
      <c r="D375" s="149"/>
      <c r="E375" s="149"/>
      <c r="F375" s="149"/>
      <c r="G375" s="162"/>
      <c r="H375" s="146" t="str">
        <f t="shared" si="35"/>
        <v/>
      </c>
      <c r="I375" s="161" t="str">
        <f t="shared" si="36"/>
        <v/>
      </c>
      <c r="J375" s="160" t="str">
        <f>IFERROR(INDEX(下年标准成本!I:I,MATCH(C375,下年标准成本!C:C,0),1),"")</f>
        <v/>
      </c>
      <c r="K375" s="146" t="str">
        <f t="shared" si="37"/>
        <v/>
      </c>
      <c r="L375" s="146" t="str">
        <f t="shared" si="38"/>
        <v/>
      </c>
      <c r="M375" s="148" t="str">
        <f t="shared" si="39"/>
        <v/>
      </c>
    </row>
    <row r="376" spans="1:13" x14ac:dyDescent="0.3">
      <c r="A376" s="149"/>
      <c r="B376" s="149"/>
      <c r="C376" s="149"/>
      <c r="D376" s="149"/>
      <c r="E376" s="149"/>
      <c r="F376" s="149"/>
      <c r="G376" s="162"/>
      <c r="H376" s="146" t="str">
        <f t="shared" si="35"/>
        <v/>
      </c>
      <c r="I376" s="161" t="str">
        <f t="shared" si="36"/>
        <v/>
      </c>
      <c r="J376" s="160" t="str">
        <f>IFERROR(INDEX(下年标准成本!I:I,MATCH(C376,下年标准成本!C:C,0),1),"")</f>
        <v/>
      </c>
      <c r="K376" s="146" t="str">
        <f t="shared" si="37"/>
        <v/>
      </c>
      <c r="L376" s="146" t="str">
        <f t="shared" si="38"/>
        <v/>
      </c>
      <c r="M376" s="148" t="str">
        <f t="shared" si="39"/>
        <v/>
      </c>
    </row>
    <row r="377" spans="1:13" x14ac:dyDescent="0.3">
      <c r="A377" s="149"/>
      <c r="B377" s="149"/>
      <c r="C377" s="149"/>
      <c r="D377" s="149"/>
      <c r="E377" s="149"/>
      <c r="F377" s="149"/>
      <c r="G377" s="162"/>
      <c r="H377" s="146" t="str">
        <f t="shared" si="35"/>
        <v/>
      </c>
      <c r="I377" s="161" t="str">
        <f t="shared" si="36"/>
        <v/>
      </c>
      <c r="J377" s="160" t="str">
        <f>IFERROR(INDEX(下年标准成本!I:I,MATCH(C377,下年标准成本!C:C,0),1),"")</f>
        <v/>
      </c>
      <c r="K377" s="146" t="str">
        <f t="shared" si="37"/>
        <v/>
      </c>
      <c r="L377" s="146" t="str">
        <f t="shared" si="38"/>
        <v/>
      </c>
      <c r="M377" s="148" t="str">
        <f t="shared" si="39"/>
        <v/>
      </c>
    </row>
    <row r="378" spans="1:13" x14ac:dyDescent="0.3">
      <c r="A378" s="149"/>
      <c r="B378" s="149"/>
      <c r="C378" s="149"/>
      <c r="D378" s="149"/>
      <c r="E378" s="149"/>
      <c r="F378" s="149"/>
      <c r="G378" s="162"/>
      <c r="H378" s="146" t="str">
        <f t="shared" si="35"/>
        <v/>
      </c>
      <c r="I378" s="161" t="str">
        <f t="shared" si="36"/>
        <v/>
      </c>
      <c r="J378" s="160" t="str">
        <f>IFERROR(INDEX(下年标准成本!I:I,MATCH(C378,下年标准成本!C:C,0),1),"")</f>
        <v/>
      </c>
      <c r="K378" s="146" t="str">
        <f t="shared" si="37"/>
        <v/>
      </c>
      <c r="L378" s="146" t="str">
        <f t="shared" si="38"/>
        <v/>
      </c>
      <c r="M378" s="148" t="str">
        <f t="shared" si="39"/>
        <v/>
      </c>
    </row>
    <row r="379" spans="1:13" x14ac:dyDescent="0.3">
      <c r="A379" s="149"/>
      <c r="B379" s="149"/>
      <c r="C379" s="149"/>
      <c r="D379" s="149"/>
      <c r="E379" s="149"/>
      <c r="F379" s="149"/>
      <c r="G379" s="162"/>
      <c r="H379" s="146" t="str">
        <f t="shared" si="35"/>
        <v/>
      </c>
      <c r="I379" s="161" t="str">
        <f t="shared" si="36"/>
        <v/>
      </c>
      <c r="J379" s="160" t="str">
        <f>IFERROR(INDEX(下年标准成本!I:I,MATCH(C379,下年标准成本!C:C,0),1),"")</f>
        <v/>
      </c>
      <c r="K379" s="146" t="str">
        <f t="shared" si="37"/>
        <v/>
      </c>
      <c r="L379" s="146" t="str">
        <f t="shared" si="38"/>
        <v/>
      </c>
      <c r="M379" s="148" t="str">
        <f t="shared" si="39"/>
        <v/>
      </c>
    </row>
    <row r="380" spans="1:13" x14ac:dyDescent="0.3">
      <c r="A380" s="149"/>
      <c r="B380" s="149"/>
      <c r="C380" s="149"/>
      <c r="D380" s="149"/>
      <c r="E380" s="149"/>
      <c r="F380" s="149"/>
      <c r="G380" s="162"/>
      <c r="H380" s="146" t="str">
        <f t="shared" si="35"/>
        <v/>
      </c>
      <c r="I380" s="161" t="str">
        <f t="shared" si="36"/>
        <v/>
      </c>
      <c r="J380" s="160" t="str">
        <f>IFERROR(INDEX(下年标准成本!I:I,MATCH(C380,下年标准成本!C:C,0),1),"")</f>
        <v/>
      </c>
      <c r="K380" s="146" t="str">
        <f t="shared" si="37"/>
        <v/>
      </c>
      <c r="L380" s="146" t="str">
        <f t="shared" si="38"/>
        <v/>
      </c>
      <c r="M380" s="148" t="str">
        <f t="shared" si="39"/>
        <v/>
      </c>
    </row>
    <row r="381" spans="1:13" x14ac:dyDescent="0.3">
      <c r="A381" s="149"/>
      <c r="B381" s="149"/>
      <c r="C381" s="149"/>
      <c r="D381" s="149"/>
      <c r="E381" s="149"/>
      <c r="F381" s="149"/>
      <c r="G381" s="162"/>
      <c r="H381" s="146" t="str">
        <f t="shared" si="35"/>
        <v/>
      </c>
      <c r="I381" s="161" t="str">
        <f t="shared" si="36"/>
        <v/>
      </c>
      <c r="J381" s="160" t="str">
        <f>IFERROR(INDEX(下年标准成本!I:I,MATCH(C381,下年标准成本!C:C,0),1),"")</f>
        <v/>
      </c>
      <c r="K381" s="146" t="str">
        <f t="shared" si="37"/>
        <v/>
      </c>
      <c r="L381" s="146" t="str">
        <f t="shared" si="38"/>
        <v/>
      </c>
      <c r="M381" s="148" t="str">
        <f t="shared" si="39"/>
        <v/>
      </c>
    </row>
    <row r="382" spans="1:13" x14ac:dyDescent="0.3">
      <c r="A382" s="149"/>
      <c r="B382" s="149"/>
      <c r="C382" s="149"/>
      <c r="D382" s="149"/>
      <c r="E382" s="149"/>
      <c r="F382" s="149"/>
      <c r="G382" s="162"/>
      <c r="H382" s="146" t="str">
        <f t="shared" si="35"/>
        <v/>
      </c>
      <c r="I382" s="161" t="str">
        <f t="shared" si="36"/>
        <v/>
      </c>
      <c r="J382" s="160" t="str">
        <f>IFERROR(INDEX(下年标准成本!I:I,MATCH(C382,下年标准成本!C:C,0),1),"")</f>
        <v/>
      </c>
      <c r="K382" s="146" t="str">
        <f t="shared" si="37"/>
        <v/>
      </c>
      <c r="L382" s="146" t="str">
        <f t="shared" si="38"/>
        <v/>
      </c>
      <c r="M382" s="148" t="str">
        <f t="shared" si="39"/>
        <v/>
      </c>
    </row>
    <row r="383" spans="1:13" x14ac:dyDescent="0.3">
      <c r="A383" s="149"/>
      <c r="B383" s="149"/>
      <c r="C383" s="149"/>
      <c r="D383" s="149"/>
      <c r="E383" s="149"/>
      <c r="F383" s="149"/>
      <c r="G383" s="162"/>
      <c r="H383" s="146" t="str">
        <f t="shared" si="35"/>
        <v/>
      </c>
      <c r="I383" s="161" t="str">
        <f t="shared" si="36"/>
        <v/>
      </c>
      <c r="J383" s="160" t="str">
        <f>IFERROR(INDEX(下年标准成本!I:I,MATCH(C383,下年标准成本!C:C,0),1),"")</f>
        <v/>
      </c>
      <c r="K383" s="146" t="str">
        <f t="shared" si="37"/>
        <v/>
      </c>
      <c r="L383" s="146" t="str">
        <f t="shared" si="38"/>
        <v/>
      </c>
      <c r="M383" s="148" t="str">
        <f t="shared" si="39"/>
        <v/>
      </c>
    </row>
    <row r="384" spans="1:13" x14ac:dyDescent="0.3">
      <c r="A384" s="149"/>
      <c r="B384" s="149"/>
      <c r="C384" s="149"/>
      <c r="D384" s="149"/>
      <c r="E384" s="149"/>
      <c r="F384" s="149"/>
      <c r="G384" s="162"/>
      <c r="H384" s="146" t="str">
        <f t="shared" si="35"/>
        <v/>
      </c>
      <c r="I384" s="161" t="str">
        <f t="shared" si="36"/>
        <v/>
      </c>
      <c r="J384" s="160" t="str">
        <f>IFERROR(INDEX(下年标准成本!I:I,MATCH(C384,下年标准成本!C:C,0),1),"")</f>
        <v/>
      </c>
      <c r="K384" s="146" t="str">
        <f t="shared" si="37"/>
        <v/>
      </c>
      <c r="L384" s="146" t="str">
        <f t="shared" si="38"/>
        <v/>
      </c>
      <c r="M384" s="148" t="str">
        <f t="shared" si="39"/>
        <v/>
      </c>
    </row>
    <row r="385" spans="1:13" x14ac:dyDescent="0.3">
      <c r="A385" s="149"/>
      <c r="B385" s="149"/>
      <c r="C385" s="149"/>
      <c r="D385" s="149"/>
      <c r="E385" s="149"/>
      <c r="F385" s="149"/>
      <c r="G385" s="162"/>
      <c r="H385" s="146" t="str">
        <f t="shared" si="35"/>
        <v/>
      </c>
      <c r="I385" s="161" t="str">
        <f t="shared" si="36"/>
        <v/>
      </c>
      <c r="J385" s="160" t="str">
        <f>IFERROR(INDEX(下年标准成本!I:I,MATCH(C385,下年标准成本!C:C,0),1),"")</f>
        <v/>
      </c>
      <c r="K385" s="146" t="str">
        <f t="shared" si="37"/>
        <v/>
      </c>
      <c r="L385" s="146" t="str">
        <f t="shared" si="38"/>
        <v/>
      </c>
      <c r="M385" s="148" t="str">
        <f t="shared" si="39"/>
        <v/>
      </c>
    </row>
    <row r="386" spans="1:13" x14ac:dyDescent="0.3">
      <c r="A386" s="149"/>
      <c r="B386" s="149"/>
      <c r="C386" s="149"/>
      <c r="D386" s="149"/>
      <c r="E386" s="149"/>
      <c r="F386" s="149"/>
      <c r="G386" s="162"/>
      <c r="H386" s="146" t="str">
        <f t="shared" si="35"/>
        <v/>
      </c>
      <c r="I386" s="161" t="str">
        <f t="shared" si="36"/>
        <v/>
      </c>
      <c r="J386" s="160" t="str">
        <f>IFERROR(INDEX(下年标准成本!I:I,MATCH(C386,下年标准成本!C:C,0),1),"")</f>
        <v/>
      </c>
      <c r="K386" s="146" t="str">
        <f t="shared" si="37"/>
        <v/>
      </c>
      <c r="L386" s="146" t="str">
        <f t="shared" si="38"/>
        <v/>
      </c>
      <c r="M386" s="148" t="str">
        <f t="shared" si="39"/>
        <v/>
      </c>
    </row>
    <row r="387" spans="1:13" x14ac:dyDescent="0.3">
      <c r="A387" s="149"/>
      <c r="B387" s="149"/>
      <c r="C387" s="149"/>
      <c r="D387" s="149"/>
      <c r="E387" s="149"/>
      <c r="F387" s="149"/>
      <c r="G387" s="162"/>
      <c r="H387" s="146" t="str">
        <f t="shared" si="35"/>
        <v/>
      </c>
      <c r="I387" s="161" t="str">
        <f t="shared" si="36"/>
        <v/>
      </c>
      <c r="J387" s="160" t="str">
        <f>IFERROR(INDEX(下年标准成本!I:I,MATCH(C387,下年标准成本!C:C,0),1),"")</f>
        <v/>
      </c>
      <c r="K387" s="146" t="str">
        <f t="shared" si="37"/>
        <v/>
      </c>
      <c r="L387" s="146" t="str">
        <f t="shared" si="38"/>
        <v/>
      </c>
      <c r="M387" s="148" t="str">
        <f t="shared" si="39"/>
        <v/>
      </c>
    </row>
    <row r="388" spans="1:13" x14ac:dyDescent="0.3">
      <c r="A388" s="149"/>
      <c r="B388" s="149"/>
      <c r="C388" s="149"/>
      <c r="D388" s="149"/>
      <c r="E388" s="149"/>
      <c r="F388" s="149"/>
      <c r="G388" s="162"/>
      <c r="H388" s="146" t="str">
        <f t="shared" si="35"/>
        <v/>
      </c>
      <c r="I388" s="161" t="str">
        <f t="shared" si="36"/>
        <v/>
      </c>
      <c r="J388" s="160" t="str">
        <f>IFERROR(INDEX(下年标准成本!I:I,MATCH(C388,下年标准成本!C:C,0),1),"")</f>
        <v/>
      </c>
      <c r="K388" s="146" t="str">
        <f t="shared" si="37"/>
        <v/>
      </c>
      <c r="L388" s="146" t="str">
        <f t="shared" si="38"/>
        <v/>
      </c>
      <c r="M388" s="148" t="str">
        <f t="shared" si="39"/>
        <v/>
      </c>
    </row>
    <row r="389" spans="1:13" x14ac:dyDescent="0.3">
      <c r="A389" s="149"/>
      <c r="B389" s="149"/>
      <c r="C389" s="149"/>
      <c r="D389" s="149"/>
      <c r="E389" s="149"/>
      <c r="F389" s="149"/>
      <c r="G389" s="162"/>
      <c r="H389" s="146" t="str">
        <f t="shared" si="35"/>
        <v/>
      </c>
      <c r="I389" s="161" t="str">
        <f t="shared" si="36"/>
        <v/>
      </c>
      <c r="J389" s="160" t="str">
        <f>IFERROR(INDEX(下年标准成本!I:I,MATCH(C389,下年标准成本!C:C,0),1),"")</f>
        <v/>
      </c>
      <c r="K389" s="146" t="str">
        <f t="shared" si="37"/>
        <v/>
      </c>
      <c r="L389" s="146" t="str">
        <f t="shared" si="38"/>
        <v/>
      </c>
      <c r="M389" s="148" t="str">
        <f t="shared" si="39"/>
        <v/>
      </c>
    </row>
    <row r="390" spans="1:13" x14ac:dyDescent="0.3">
      <c r="A390" s="149"/>
      <c r="B390" s="149"/>
      <c r="C390" s="149"/>
      <c r="D390" s="149"/>
      <c r="E390" s="149"/>
      <c r="F390" s="149"/>
      <c r="G390" s="162"/>
      <c r="H390" s="146" t="str">
        <f t="shared" si="35"/>
        <v/>
      </c>
      <c r="I390" s="161" t="str">
        <f t="shared" si="36"/>
        <v/>
      </c>
      <c r="J390" s="160" t="str">
        <f>IFERROR(INDEX(下年标准成本!I:I,MATCH(C390,下年标准成本!C:C,0),1),"")</f>
        <v/>
      </c>
      <c r="K390" s="146" t="str">
        <f t="shared" si="37"/>
        <v/>
      </c>
      <c r="L390" s="146" t="str">
        <f t="shared" si="38"/>
        <v/>
      </c>
      <c r="M390" s="148" t="str">
        <f t="shared" si="39"/>
        <v/>
      </c>
    </row>
    <row r="391" spans="1:13" x14ac:dyDescent="0.3">
      <c r="A391" s="149"/>
      <c r="B391" s="149"/>
      <c r="C391" s="149"/>
      <c r="D391" s="149"/>
      <c r="E391" s="149"/>
      <c r="F391" s="149"/>
      <c r="G391" s="162"/>
      <c r="H391" s="146" t="str">
        <f t="shared" si="35"/>
        <v/>
      </c>
      <c r="I391" s="161" t="str">
        <f t="shared" si="36"/>
        <v/>
      </c>
      <c r="J391" s="160" t="str">
        <f>IFERROR(INDEX(下年标准成本!I:I,MATCH(C391,下年标准成本!C:C,0),1),"")</f>
        <v/>
      </c>
      <c r="K391" s="146" t="str">
        <f t="shared" si="37"/>
        <v/>
      </c>
      <c r="L391" s="146" t="str">
        <f t="shared" si="38"/>
        <v/>
      </c>
      <c r="M391" s="148" t="str">
        <f t="shared" si="39"/>
        <v/>
      </c>
    </row>
    <row r="392" spans="1:13" x14ac:dyDescent="0.3">
      <c r="A392" s="149"/>
      <c r="B392" s="149"/>
      <c r="C392" s="149"/>
      <c r="D392" s="149"/>
      <c r="E392" s="149"/>
      <c r="F392" s="149"/>
      <c r="G392" s="162"/>
      <c r="H392" s="146" t="str">
        <f t="shared" si="35"/>
        <v/>
      </c>
      <c r="I392" s="161" t="str">
        <f t="shared" si="36"/>
        <v/>
      </c>
      <c r="J392" s="160" t="str">
        <f>IFERROR(INDEX(下年标准成本!I:I,MATCH(C392,下年标准成本!C:C,0),1),"")</f>
        <v/>
      </c>
      <c r="K392" s="146" t="str">
        <f t="shared" si="37"/>
        <v/>
      </c>
      <c r="L392" s="146" t="str">
        <f t="shared" si="38"/>
        <v/>
      </c>
      <c r="M392" s="148" t="str">
        <f t="shared" si="39"/>
        <v/>
      </c>
    </row>
    <row r="393" spans="1:13" x14ac:dyDescent="0.3">
      <c r="A393" s="149"/>
      <c r="B393" s="149"/>
      <c r="C393" s="149"/>
      <c r="D393" s="149"/>
      <c r="E393" s="149"/>
      <c r="F393" s="149"/>
      <c r="G393" s="162"/>
      <c r="H393" s="146" t="str">
        <f t="shared" si="35"/>
        <v/>
      </c>
      <c r="I393" s="161" t="str">
        <f t="shared" si="36"/>
        <v/>
      </c>
      <c r="J393" s="160" t="str">
        <f>IFERROR(INDEX(下年标准成本!I:I,MATCH(C393,下年标准成本!C:C,0),1),"")</f>
        <v/>
      </c>
      <c r="K393" s="146" t="str">
        <f t="shared" si="37"/>
        <v/>
      </c>
      <c r="L393" s="146" t="str">
        <f t="shared" si="38"/>
        <v/>
      </c>
      <c r="M393" s="148" t="str">
        <f t="shared" si="39"/>
        <v/>
      </c>
    </row>
    <row r="394" spans="1:13" x14ac:dyDescent="0.3">
      <c r="A394" s="149"/>
      <c r="B394" s="149"/>
      <c r="C394" s="149"/>
      <c r="D394" s="149"/>
      <c r="E394" s="149"/>
      <c r="F394" s="149"/>
      <c r="G394" s="162"/>
      <c r="H394" s="146" t="str">
        <f t="shared" ref="H394:H457" si="40">IFERROR(F394/E394,"")</f>
        <v/>
      </c>
      <c r="I394" s="161" t="str">
        <f t="shared" ref="I394:I457" si="41">IFERROR(H394*(1+G394),"")</f>
        <v/>
      </c>
      <c r="J394" s="160" t="str">
        <f>IFERROR(INDEX(下年标准成本!I:I,MATCH(C394,下年标准成本!C:C,0),1),"")</f>
        <v/>
      </c>
      <c r="K394" s="146" t="str">
        <f t="shared" ref="K394:K457" si="42">IFERROR(E394*J394,"")</f>
        <v/>
      </c>
      <c r="L394" s="146" t="str">
        <f t="shared" ref="L394:L457" si="43">IFERROR(F394-K394,"")</f>
        <v/>
      </c>
      <c r="M394" s="148" t="str">
        <f t="shared" ref="M394:M457" si="44">IFERROR(L394/F394,"")</f>
        <v/>
      </c>
    </row>
    <row r="395" spans="1:13" x14ac:dyDescent="0.3">
      <c r="A395" s="149"/>
      <c r="B395" s="149"/>
      <c r="C395" s="149"/>
      <c r="D395" s="149"/>
      <c r="E395" s="149"/>
      <c r="F395" s="149"/>
      <c r="G395" s="162"/>
      <c r="H395" s="146" t="str">
        <f t="shared" si="40"/>
        <v/>
      </c>
      <c r="I395" s="161" t="str">
        <f t="shared" si="41"/>
        <v/>
      </c>
      <c r="J395" s="160" t="str">
        <f>IFERROR(INDEX(下年标准成本!I:I,MATCH(C395,下年标准成本!C:C,0),1),"")</f>
        <v/>
      </c>
      <c r="K395" s="146" t="str">
        <f t="shared" si="42"/>
        <v/>
      </c>
      <c r="L395" s="146" t="str">
        <f t="shared" si="43"/>
        <v/>
      </c>
      <c r="M395" s="148" t="str">
        <f t="shared" si="44"/>
        <v/>
      </c>
    </row>
    <row r="396" spans="1:13" x14ac:dyDescent="0.3">
      <c r="A396" s="149"/>
      <c r="B396" s="149"/>
      <c r="C396" s="149"/>
      <c r="D396" s="149"/>
      <c r="E396" s="149"/>
      <c r="F396" s="149"/>
      <c r="G396" s="162"/>
      <c r="H396" s="146" t="str">
        <f t="shared" si="40"/>
        <v/>
      </c>
      <c r="I396" s="161" t="str">
        <f t="shared" si="41"/>
        <v/>
      </c>
      <c r="J396" s="160" t="str">
        <f>IFERROR(INDEX(下年标准成本!I:I,MATCH(C396,下年标准成本!C:C,0),1),"")</f>
        <v/>
      </c>
      <c r="K396" s="146" t="str">
        <f t="shared" si="42"/>
        <v/>
      </c>
      <c r="L396" s="146" t="str">
        <f t="shared" si="43"/>
        <v/>
      </c>
      <c r="M396" s="148" t="str">
        <f t="shared" si="44"/>
        <v/>
      </c>
    </row>
    <row r="397" spans="1:13" x14ac:dyDescent="0.3">
      <c r="A397" s="149"/>
      <c r="B397" s="149"/>
      <c r="C397" s="149"/>
      <c r="D397" s="149"/>
      <c r="E397" s="149"/>
      <c r="F397" s="149"/>
      <c r="G397" s="162"/>
      <c r="H397" s="146" t="str">
        <f t="shared" si="40"/>
        <v/>
      </c>
      <c r="I397" s="161" t="str">
        <f t="shared" si="41"/>
        <v/>
      </c>
      <c r="J397" s="160" t="str">
        <f>IFERROR(INDEX(下年标准成本!I:I,MATCH(C397,下年标准成本!C:C,0),1),"")</f>
        <v/>
      </c>
      <c r="K397" s="146" t="str">
        <f t="shared" si="42"/>
        <v/>
      </c>
      <c r="L397" s="146" t="str">
        <f t="shared" si="43"/>
        <v/>
      </c>
      <c r="M397" s="148" t="str">
        <f t="shared" si="44"/>
        <v/>
      </c>
    </row>
    <row r="398" spans="1:13" x14ac:dyDescent="0.3">
      <c r="A398" s="149"/>
      <c r="B398" s="149"/>
      <c r="C398" s="149"/>
      <c r="D398" s="149"/>
      <c r="E398" s="149"/>
      <c r="F398" s="149"/>
      <c r="G398" s="162"/>
      <c r="H398" s="146" t="str">
        <f t="shared" si="40"/>
        <v/>
      </c>
      <c r="I398" s="161" t="str">
        <f t="shared" si="41"/>
        <v/>
      </c>
      <c r="J398" s="160" t="str">
        <f>IFERROR(INDEX(下年标准成本!I:I,MATCH(C398,下年标准成本!C:C,0),1),"")</f>
        <v/>
      </c>
      <c r="K398" s="146" t="str">
        <f t="shared" si="42"/>
        <v/>
      </c>
      <c r="L398" s="146" t="str">
        <f t="shared" si="43"/>
        <v/>
      </c>
      <c r="M398" s="148" t="str">
        <f t="shared" si="44"/>
        <v/>
      </c>
    </row>
    <row r="399" spans="1:13" x14ac:dyDescent="0.3">
      <c r="A399" s="149"/>
      <c r="B399" s="149"/>
      <c r="C399" s="149"/>
      <c r="D399" s="149"/>
      <c r="E399" s="149"/>
      <c r="F399" s="149"/>
      <c r="G399" s="162"/>
      <c r="H399" s="146" t="str">
        <f t="shared" si="40"/>
        <v/>
      </c>
      <c r="I399" s="161" t="str">
        <f t="shared" si="41"/>
        <v/>
      </c>
      <c r="J399" s="160" t="str">
        <f>IFERROR(INDEX(下年标准成本!I:I,MATCH(C399,下年标准成本!C:C,0),1),"")</f>
        <v/>
      </c>
      <c r="K399" s="146" t="str">
        <f t="shared" si="42"/>
        <v/>
      </c>
      <c r="L399" s="146" t="str">
        <f t="shared" si="43"/>
        <v/>
      </c>
      <c r="M399" s="148" t="str">
        <f t="shared" si="44"/>
        <v/>
      </c>
    </row>
    <row r="400" spans="1:13" x14ac:dyDescent="0.3">
      <c r="A400" s="149"/>
      <c r="B400" s="149"/>
      <c r="C400" s="149"/>
      <c r="D400" s="149"/>
      <c r="E400" s="149"/>
      <c r="F400" s="149"/>
      <c r="G400" s="162"/>
      <c r="H400" s="146" t="str">
        <f t="shared" si="40"/>
        <v/>
      </c>
      <c r="I400" s="161" t="str">
        <f t="shared" si="41"/>
        <v/>
      </c>
      <c r="J400" s="160" t="str">
        <f>IFERROR(INDEX(下年标准成本!I:I,MATCH(C400,下年标准成本!C:C,0),1),"")</f>
        <v/>
      </c>
      <c r="K400" s="146" t="str">
        <f t="shared" si="42"/>
        <v/>
      </c>
      <c r="L400" s="146" t="str">
        <f t="shared" si="43"/>
        <v/>
      </c>
      <c r="M400" s="148" t="str">
        <f t="shared" si="44"/>
        <v/>
      </c>
    </row>
    <row r="401" spans="1:13" x14ac:dyDescent="0.3">
      <c r="A401" s="149"/>
      <c r="B401" s="149"/>
      <c r="C401" s="149"/>
      <c r="D401" s="149"/>
      <c r="E401" s="149"/>
      <c r="F401" s="149"/>
      <c r="G401" s="162"/>
      <c r="H401" s="146" t="str">
        <f t="shared" si="40"/>
        <v/>
      </c>
      <c r="I401" s="161" t="str">
        <f t="shared" si="41"/>
        <v/>
      </c>
      <c r="J401" s="160" t="str">
        <f>IFERROR(INDEX(下年标准成本!I:I,MATCH(C401,下年标准成本!C:C,0),1),"")</f>
        <v/>
      </c>
      <c r="K401" s="146" t="str">
        <f t="shared" si="42"/>
        <v/>
      </c>
      <c r="L401" s="146" t="str">
        <f t="shared" si="43"/>
        <v/>
      </c>
      <c r="M401" s="148" t="str">
        <f t="shared" si="44"/>
        <v/>
      </c>
    </row>
    <row r="402" spans="1:13" x14ac:dyDescent="0.3">
      <c r="A402" s="149"/>
      <c r="B402" s="149"/>
      <c r="C402" s="149"/>
      <c r="D402" s="149"/>
      <c r="E402" s="149"/>
      <c r="F402" s="149"/>
      <c r="G402" s="162"/>
      <c r="H402" s="146" t="str">
        <f t="shared" si="40"/>
        <v/>
      </c>
      <c r="I402" s="161" t="str">
        <f t="shared" si="41"/>
        <v/>
      </c>
      <c r="J402" s="160" t="str">
        <f>IFERROR(INDEX(下年标准成本!I:I,MATCH(C402,下年标准成本!C:C,0),1),"")</f>
        <v/>
      </c>
      <c r="K402" s="146" t="str">
        <f t="shared" si="42"/>
        <v/>
      </c>
      <c r="L402" s="146" t="str">
        <f t="shared" si="43"/>
        <v/>
      </c>
      <c r="M402" s="148" t="str">
        <f t="shared" si="44"/>
        <v/>
      </c>
    </row>
    <row r="403" spans="1:13" x14ac:dyDescent="0.3">
      <c r="A403" s="149"/>
      <c r="B403" s="149"/>
      <c r="C403" s="149"/>
      <c r="D403" s="149"/>
      <c r="E403" s="149"/>
      <c r="F403" s="149"/>
      <c r="G403" s="162"/>
      <c r="H403" s="146" t="str">
        <f t="shared" si="40"/>
        <v/>
      </c>
      <c r="I403" s="161" t="str">
        <f t="shared" si="41"/>
        <v/>
      </c>
      <c r="J403" s="160" t="str">
        <f>IFERROR(INDEX(下年标准成本!I:I,MATCH(C403,下年标准成本!C:C,0),1),"")</f>
        <v/>
      </c>
      <c r="K403" s="146" t="str">
        <f t="shared" si="42"/>
        <v/>
      </c>
      <c r="L403" s="146" t="str">
        <f t="shared" si="43"/>
        <v/>
      </c>
      <c r="M403" s="148" t="str">
        <f t="shared" si="44"/>
        <v/>
      </c>
    </row>
    <row r="404" spans="1:13" x14ac:dyDescent="0.3">
      <c r="A404" s="149"/>
      <c r="B404" s="149"/>
      <c r="C404" s="149"/>
      <c r="D404" s="149"/>
      <c r="E404" s="149"/>
      <c r="F404" s="149"/>
      <c r="G404" s="162"/>
      <c r="H404" s="146" t="str">
        <f t="shared" si="40"/>
        <v/>
      </c>
      <c r="I404" s="161" t="str">
        <f t="shared" si="41"/>
        <v/>
      </c>
      <c r="J404" s="160" t="str">
        <f>IFERROR(INDEX(下年标准成本!I:I,MATCH(C404,下年标准成本!C:C,0),1),"")</f>
        <v/>
      </c>
      <c r="K404" s="146" t="str">
        <f t="shared" si="42"/>
        <v/>
      </c>
      <c r="L404" s="146" t="str">
        <f t="shared" si="43"/>
        <v/>
      </c>
      <c r="M404" s="148" t="str">
        <f t="shared" si="44"/>
        <v/>
      </c>
    </row>
    <row r="405" spans="1:13" x14ac:dyDescent="0.3">
      <c r="A405" s="149"/>
      <c r="B405" s="149"/>
      <c r="C405" s="149"/>
      <c r="D405" s="149"/>
      <c r="E405" s="149"/>
      <c r="F405" s="149"/>
      <c r="G405" s="162"/>
      <c r="H405" s="146" t="str">
        <f t="shared" si="40"/>
        <v/>
      </c>
      <c r="I405" s="161" t="str">
        <f t="shared" si="41"/>
        <v/>
      </c>
      <c r="J405" s="160" t="str">
        <f>IFERROR(INDEX(下年标准成本!I:I,MATCH(C405,下年标准成本!C:C,0),1),"")</f>
        <v/>
      </c>
      <c r="K405" s="146" t="str">
        <f t="shared" si="42"/>
        <v/>
      </c>
      <c r="L405" s="146" t="str">
        <f t="shared" si="43"/>
        <v/>
      </c>
      <c r="M405" s="148" t="str">
        <f t="shared" si="44"/>
        <v/>
      </c>
    </row>
    <row r="406" spans="1:13" x14ac:dyDescent="0.3">
      <c r="A406" s="149"/>
      <c r="B406" s="149"/>
      <c r="C406" s="149"/>
      <c r="D406" s="149"/>
      <c r="E406" s="149"/>
      <c r="F406" s="149"/>
      <c r="G406" s="162"/>
      <c r="H406" s="146" t="str">
        <f t="shared" si="40"/>
        <v/>
      </c>
      <c r="I406" s="161" t="str">
        <f t="shared" si="41"/>
        <v/>
      </c>
      <c r="J406" s="160" t="str">
        <f>IFERROR(INDEX(下年标准成本!I:I,MATCH(C406,下年标准成本!C:C,0),1),"")</f>
        <v/>
      </c>
      <c r="K406" s="146" t="str">
        <f t="shared" si="42"/>
        <v/>
      </c>
      <c r="L406" s="146" t="str">
        <f t="shared" si="43"/>
        <v/>
      </c>
      <c r="M406" s="148" t="str">
        <f t="shared" si="44"/>
        <v/>
      </c>
    </row>
    <row r="407" spans="1:13" x14ac:dyDescent="0.3">
      <c r="A407" s="149"/>
      <c r="B407" s="149"/>
      <c r="C407" s="149"/>
      <c r="D407" s="149"/>
      <c r="E407" s="149"/>
      <c r="F407" s="149"/>
      <c r="G407" s="162"/>
      <c r="H407" s="146" t="str">
        <f t="shared" si="40"/>
        <v/>
      </c>
      <c r="I407" s="161" t="str">
        <f t="shared" si="41"/>
        <v/>
      </c>
      <c r="J407" s="160" t="str">
        <f>IFERROR(INDEX(下年标准成本!I:I,MATCH(C407,下年标准成本!C:C,0),1),"")</f>
        <v/>
      </c>
      <c r="K407" s="146" t="str">
        <f t="shared" si="42"/>
        <v/>
      </c>
      <c r="L407" s="146" t="str">
        <f t="shared" si="43"/>
        <v/>
      </c>
      <c r="M407" s="148" t="str">
        <f t="shared" si="44"/>
        <v/>
      </c>
    </row>
    <row r="408" spans="1:13" x14ac:dyDescent="0.3">
      <c r="A408" s="149"/>
      <c r="B408" s="149"/>
      <c r="C408" s="149"/>
      <c r="D408" s="149"/>
      <c r="E408" s="149"/>
      <c r="F408" s="149"/>
      <c r="G408" s="162"/>
      <c r="H408" s="146" t="str">
        <f t="shared" si="40"/>
        <v/>
      </c>
      <c r="I408" s="161" t="str">
        <f t="shared" si="41"/>
        <v/>
      </c>
      <c r="J408" s="160" t="str">
        <f>IFERROR(INDEX(下年标准成本!I:I,MATCH(C408,下年标准成本!C:C,0),1),"")</f>
        <v/>
      </c>
      <c r="K408" s="146" t="str">
        <f t="shared" si="42"/>
        <v/>
      </c>
      <c r="L408" s="146" t="str">
        <f t="shared" si="43"/>
        <v/>
      </c>
      <c r="M408" s="148" t="str">
        <f t="shared" si="44"/>
        <v/>
      </c>
    </row>
    <row r="409" spans="1:13" x14ac:dyDescent="0.3">
      <c r="A409" s="149"/>
      <c r="B409" s="149"/>
      <c r="C409" s="149"/>
      <c r="D409" s="149"/>
      <c r="E409" s="149"/>
      <c r="F409" s="149"/>
      <c r="G409" s="162"/>
      <c r="H409" s="146" t="str">
        <f t="shared" si="40"/>
        <v/>
      </c>
      <c r="I409" s="161" t="str">
        <f t="shared" si="41"/>
        <v/>
      </c>
      <c r="J409" s="160" t="str">
        <f>IFERROR(INDEX(下年标准成本!I:I,MATCH(C409,下年标准成本!C:C,0),1),"")</f>
        <v/>
      </c>
      <c r="K409" s="146" t="str">
        <f t="shared" si="42"/>
        <v/>
      </c>
      <c r="L409" s="146" t="str">
        <f t="shared" si="43"/>
        <v/>
      </c>
      <c r="M409" s="148" t="str">
        <f t="shared" si="44"/>
        <v/>
      </c>
    </row>
    <row r="410" spans="1:13" x14ac:dyDescent="0.3">
      <c r="A410" s="149"/>
      <c r="B410" s="149"/>
      <c r="C410" s="149"/>
      <c r="D410" s="149"/>
      <c r="E410" s="149"/>
      <c r="F410" s="149"/>
      <c r="G410" s="162"/>
      <c r="H410" s="146" t="str">
        <f t="shared" si="40"/>
        <v/>
      </c>
      <c r="I410" s="161" t="str">
        <f t="shared" si="41"/>
        <v/>
      </c>
      <c r="J410" s="160" t="str">
        <f>IFERROR(INDEX(下年标准成本!I:I,MATCH(C410,下年标准成本!C:C,0),1),"")</f>
        <v/>
      </c>
      <c r="K410" s="146" t="str">
        <f t="shared" si="42"/>
        <v/>
      </c>
      <c r="L410" s="146" t="str">
        <f t="shared" si="43"/>
        <v/>
      </c>
      <c r="M410" s="148" t="str">
        <f t="shared" si="44"/>
        <v/>
      </c>
    </row>
    <row r="411" spans="1:13" x14ac:dyDescent="0.3">
      <c r="A411" s="149"/>
      <c r="B411" s="149"/>
      <c r="C411" s="149"/>
      <c r="D411" s="149"/>
      <c r="E411" s="149"/>
      <c r="F411" s="149"/>
      <c r="G411" s="162"/>
      <c r="H411" s="146" t="str">
        <f t="shared" si="40"/>
        <v/>
      </c>
      <c r="I411" s="161" t="str">
        <f t="shared" si="41"/>
        <v/>
      </c>
      <c r="J411" s="160" t="str">
        <f>IFERROR(INDEX(下年标准成本!I:I,MATCH(C411,下年标准成本!C:C,0),1),"")</f>
        <v/>
      </c>
      <c r="K411" s="146" t="str">
        <f t="shared" si="42"/>
        <v/>
      </c>
      <c r="L411" s="146" t="str">
        <f t="shared" si="43"/>
        <v/>
      </c>
      <c r="M411" s="148" t="str">
        <f t="shared" si="44"/>
        <v/>
      </c>
    </row>
    <row r="412" spans="1:13" x14ac:dyDescent="0.3">
      <c r="A412" s="149"/>
      <c r="B412" s="149"/>
      <c r="C412" s="149"/>
      <c r="D412" s="149"/>
      <c r="E412" s="149"/>
      <c r="F412" s="149"/>
      <c r="G412" s="162"/>
      <c r="H412" s="146" t="str">
        <f t="shared" si="40"/>
        <v/>
      </c>
      <c r="I412" s="161" t="str">
        <f t="shared" si="41"/>
        <v/>
      </c>
      <c r="J412" s="160" t="str">
        <f>IFERROR(INDEX(下年标准成本!I:I,MATCH(C412,下年标准成本!C:C,0),1),"")</f>
        <v/>
      </c>
      <c r="K412" s="146" t="str">
        <f t="shared" si="42"/>
        <v/>
      </c>
      <c r="L412" s="146" t="str">
        <f t="shared" si="43"/>
        <v/>
      </c>
      <c r="M412" s="148" t="str">
        <f t="shared" si="44"/>
        <v/>
      </c>
    </row>
    <row r="413" spans="1:13" x14ac:dyDescent="0.3">
      <c r="A413" s="149"/>
      <c r="B413" s="149"/>
      <c r="C413" s="149"/>
      <c r="D413" s="149"/>
      <c r="E413" s="149"/>
      <c r="F413" s="149"/>
      <c r="G413" s="162"/>
      <c r="H413" s="146" t="str">
        <f t="shared" si="40"/>
        <v/>
      </c>
      <c r="I413" s="161" t="str">
        <f t="shared" si="41"/>
        <v/>
      </c>
      <c r="J413" s="160" t="str">
        <f>IFERROR(INDEX(下年标准成本!I:I,MATCH(C413,下年标准成本!C:C,0),1),"")</f>
        <v/>
      </c>
      <c r="K413" s="146" t="str">
        <f t="shared" si="42"/>
        <v/>
      </c>
      <c r="L413" s="146" t="str">
        <f t="shared" si="43"/>
        <v/>
      </c>
      <c r="M413" s="148" t="str">
        <f t="shared" si="44"/>
        <v/>
      </c>
    </row>
    <row r="414" spans="1:13" x14ac:dyDescent="0.3">
      <c r="A414" s="149"/>
      <c r="B414" s="149"/>
      <c r="C414" s="149"/>
      <c r="D414" s="149"/>
      <c r="E414" s="149"/>
      <c r="F414" s="149"/>
      <c r="G414" s="162"/>
      <c r="H414" s="146" t="str">
        <f t="shared" si="40"/>
        <v/>
      </c>
      <c r="I414" s="161" t="str">
        <f t="shared" si="41"/>
        <v/>
      </c>
      <c r="J414" s="160" t="str">
        <f>IFERROR(INDEX(下年标准成本!I:I,MATCH(C414,下年标准成本!C:C,0),1),"")</f>
        <v/>
      </c>
      <c r="K414" s="146" t="str">
        <f t="shared" si="42"/>
        <v/>
      </c>
      <c r="L414" s="146" t="str">
        <f t="shared" si="43"/>
        <v/>
      </c>
      <c r="M414" s="148" t="str">
        <f t="shared" si="44"/>
        <v/>
      </c>
    </row>
    <row r="415" spans="1:13" x14ac:dyDescent="0.3">
      <c r="A415" s="149"/>
      <c r="B415" s="149"/>
      <c r="C415" s="149"/>
      <c r="D415" s="149"/>
      <c r="E415" s="149"/>
      <c r="F415" s="149"/>
      <c r="G415" s="162"/>
      <c r="H415" s="146" t="str">
        <f t="shared" si="40"/>
        <v/>
      </c>
      <c r="I415" s="161" t="str">
        <f t="shared" si="41"/>
        <v/>
      </c>
      <c r="J415" s="160" t="str">
        <f>IFERROR(INDEX(下年标准成本!I:I,MATCH(C415,下年标准成本!C:C,0),1),"")</f>
        <v/>
      </c>
      <c r="K415" s="146" t="str">
        <f t="shared" si="42"/>
        <v/>
      </c>
      <c r="L415" s="146" t="str">
        <f t="shared" si="43"/>
        <v/>
      </c>
      <c r="M415" s="148" t="str">
        <f t="shared" si="44"/>
        <v/>
      </c>
    </row>
    <row r="416" spans="1:13" x14ac:dyDescent="0.3">
      <c r="A416" s="149"/>
      <c r="B416" s="149"/>
      <c r="C416" s="149"/>
      <c r="D416" s="149"/>
      <c r="E416" s="149"/>
      <c r="F416" s="149"/>
      <c r="G416" s="162"/>
      <c r="H416" s="146" t="str">
        <f t="shared" si="40"/>
        <v/>
      </c>
      <c r="I416" s="161" t="str">
        <f t="shared" si="41"/>
        <v/>
      </c>
      <c r="J416" s="160" t="str">
        <f>IFERROR(INDEX(下年标准成本!I:I,MATCH(C416,下年标准成本!C:C,0),1),"")</f>
        <v/>
      </c>
      <c r="K416" s="146" t="str">
        <f t="shared" si="42"/>
        <v/>
      </c>
      <c r="L416" s="146" t="str">
        <f t="shared" si="43"/>
        <v/>
      </c>
      <c r="M416" s="148" t="str">
        <f t="shared" si="44"/>
        <v/>
      </c>
    </row>
    <row r="417" spans="1:13" x14ac:dyDescent="0.3">
      <c r="A417" s="149"/>
      <c r="B417" s="149"/>
      <c r="C417" s="149"/>
      <c r="D417" s="149"/>
      <c r="E417" s="149"/>
      <c r="F417" s="149"/>
      <c r="G417" s="162"/>
      <c r="H417" s="146" t="str">
        <f t="shared" si="40"/>
        <v/>
      </c>
      <c r="I417" s="161" t="str">
        <f t="shared" si="41"/>
        <v/>
      </c>
      <c r="J417" s="160" t="str">
        <f>IFERROR(INDEX(下年标准成本!I:I,MATCH(C417,下年标准成本!C:C,0),1),"")</f>
        <v/>
      </c>
      <c r="K417" s="146" t="str">
        <f t="shared" si="42"/>
        <v/>
      </c>
      <c r="L417" s="146" t="str">
        <f t="shared" si="43"/>
        <v/>
      </c>
      <c r="M417" s="148" t="str">
        <f t="shared" si="44"/>
        <v/>
      </c>
    </row>
    <row r="418" spans="1:13" x14ac:dyDescent="0.3">
      <c r="A418" s="149"/>
      <c r="B418" s="149"/>
      <c r="C418" s="149"/>
      <c r="D418" s="149"/>
      <c r="E418" s="149"/>
      <c r="F418" s="149"/>
      <c r="G418" s="162"/>
      <c r="H418" s="146" t="str">
        <f t="shared" si="40"/>
        <v/>
      </c>
      <c r="I418" s="161" t="str">
        <f t="shared" si="41"/>
        <v/>
      </c>
      <c r="J418" s="160" t="str">
        <f>IFERROR(INDEX(下年标准成本!I:I,MATCH(C418,下年标准成本!C:C,0),1),"")</f>
        <v/>
      </c>
      <c r="K418" s="146" t="str">
        <f t="shared" si="42"/>
        <v/>
      </c>
      <c r="L418" s="146" t="str">
        <f t="shared" si="43"/>
        <v/>
      </c>
      <c r="M418" s="148" t="str">
        <f t="shared" si="44"/>
        <v/>
      </c>
    </row>
    <row r="419" spans="1:13" x14ac:dyDescent="0.3">
      <c r="A419" s="149"/>
      <c r="B419" s="149"/>
      <c r="C419" s="149"/>
      <c r="D419" s="149"/>
      <c r="E419" s="149"/>
      <c r="F419" s="149"/>
      <c r="G419" s="162"/>
      <c r="H419" s="146" t="str">
        <f t="shared" si="40"/>
        <v/>
      </c>
      <c r="I419" s="161" t="str">
        <f t="shared" si="41"/>
        <v/>
      </c>
      <c r="J419" s="160" t="str">
        <f>IFERROR(INDEX(下年标准成本!I:I,MATCH(C419,下年标准成本!C:C,0),1),"")</f>
        <v/>
      </c>
      <c r="K419" s="146" t="str">
        <f t="shared" si="42"/>
        <v/>
      </c>
      <c r="L419" s="146" t="str">
        <f t="shared" si="43"/>
        <v/>
      </c>
      <c r="M419" s="148" t="str">
        <f t="shared" si="44"/>
        <v/>
      </c>
    </row>
    <row r="420" spans="1:13" x14ac:dyDescent="0.3">
      <c r="A420" s="149"/>
      <c r="B420" s="149"/>
      <c r="C420" s="149"/>
      <c r="D420" s="149"/>
      <c r="E420" s="149"/>
      <c r="F420" s="149"/>
      <c r="G420" s="162"/>
      <c r="H420" s="146" t="str">
        <f t="shared" si="40"/>
        <v/>
      </c>
      <c r="I420" s="161" t="str">
        <f t="shared" si="41"/>
        <v/>
      </c>
      <c r="J420" s="160" t="str">
        <f>IFERROR(INDEX(下年标准成本!I:I,MATCH(C420,下年标准成本!C:C,0),1),"")</f>
        <v/>
      </c>
      <c r="K420" s="146" t="str">
        <f t="shared" si="42"/>
        <v/>
      </c>
      <c r="L420" s="146" t="str">
        <f t="shared" si="43"/>
        <v/>
      </c>
      <c r="M420" s="148" t="str">
        <f t="shared" si="44"/>
        <v/>
      </c>
    </row>
    <row r="421" spans="1:13" x14ac:dyDescent="0.3">
      <c r="A421" s="149"/>
      <c r="B421" s="149"/>
      <c r="C421" s="149"/>
      <c r="D421" s="149"/>
      <c r="E421" s="149"/>
      <c r="F421" s="149"/>
      <c r="G421" s="162"/>
      <c r="H421" s="146" t="str">
        <f t="shared" si="40"/>
        <v/>
      </c>
      <c r="I421" s="161" t="str">
        <f t="shared" si="41"/>
        <v/>
      </c>
      <c r="J421" s="160" t="str">
        <f>IFERROR(INDEX(下年标准成本!I:I,MATCH(C421,下年标准成本!C:C,0),1),"")</f>
        <v/>
      </c>
      <c r="K421" s="146" t="str">
        <f t="shared" si="42"/>
        <v/>
      </c>
      <c r="L421" s="146" t="str">
        <f t="shared" si="43"/>
        <v/>
      </c>
      <c r="M421" s="148" t="str">
        <f t="shared" si="44"/>
        <v/>
      </c>
    </row>
    <row r="422" spans="1:13" x14ac:dyDescent="0.3">
      <c r="A422" s="149"/>
      <c r="B422" s="149"/>
      <c r="C422" s="149"/>
      <c r="D422" s="149"/>
      <c r="E422" s="149"/>
      <c r="F422" s="149"/>
      <c r="G422" s="162"/>
      <c r="H422" s="146" t="str">
        <f t="shared" si="40"/>
        <v/>
      </c>
      <c r="I422" s="161" t="str">
        <f t="shared" si="41"/>
        <v/>
      </c>
      <c r="J422" s="160" t="str">
        <f>IFERROR(INDEX(下年标准成本!I:I,MATCH(C422,下年标准成本!C:C,0),1),"")</f>
        <v/>
      </c>
      <c r="K422" s="146" t="str">
        <f t="shared" si="42"/>
        <v/>
      </c>
      <c r="L422" s="146" t="str">
        <f t="shared" si="43"/>
        <v/>
      </c>
      <c r="M422" s="148" t="str">
        <f t="shared" si="44"/>
        <v/>
      </c>
    </row>
    <row r="423" spans="1:13" x14ac:dyDescent="0.3">
      <c r="A423" s="149"/>
      <c r="B423" s="149"/>
      <c r="C423" s="149"/>
      <c r="D423" s="149"/>
      <c r="E423" s="149"/>
      <c r="F423" s="149"/>
      <c r="G423" s="162"/>
      <c r="H423" s="146" t="str">
        <f t="shared" si="40"/>
        <v/>
      </c>
      <c r="I423" s="161" t="str">
        <f t="shared" si="41"/>
        <v/>
      </c>
      <c r="J423" s="160" t="str">
        <f>IFERROR(INDEX(下年标准成本!I:I,MATCH(C423,下年标准成本!C:C,0),1),"")</f>
        <v/>
      </c>
      <c r="K423" s="146" t="str">
        <f t="shared" si="42"/>
        <v/>
      </c>
      <c r="L423" s="146" t="str">
        <f t="shared" si="43"/>
        <v/>
      </c>
      <c r="M423" s="148" t="str">
        <f t="shared" si="44"/>
        <v/>
      </c>
    </row>
    <row r="424" spans="1:13" x14ac:dyDescent="0.3">
      <c r="A424" s="149"/>
      <c r="B424" s="149"/>
      <c r="C424" s="149"/>
      <c r="D424" s="149"/>
      <c r="E424" s="149"/>
      <c r="F424" s="149"/>
      <c r="G424" s="162"/>
      <c r="H424" s="146" t="str">
        <f t="shared" si="40"/>
        <v/>
      </c>
      <c r="I424" s="161" t="str">
        <f t="shared" si="41"/>
        <v/>
      </c>
      <c r="J424" s="160" t="str">
        <f>IFERROR(INDEX(下年标准成本!I:I,MATCH(C424,下年标准成本!C:C,0),1),"")</f>
        <v/>
      </c>
      <c r="K424" s="146" t="str">
        <f t="shared" si="42"/>
        <v/>
      </c>
      <c r="L424" s="146" t="str">
        <f t="shared" si="43"/>
        <v/>
      </c>
      <c r="M424" s="148" t="str">
        <f t="shared" si="44"/>
        <v/>
      </c>
    </row>
    <row r="425" spans="1:13" x14ac:dyDescent="0.3">
      <c r="A425" s="149"/>
      <c r="B425" s="149"/>
      <c r="C425" s="149"/>
      <c r="D425" s="149"/>
      <c r="E425" s="149"/>
      <c r="F425" s="149"/>
      <c r="G425" s="162"/>
      <c r="H425" s="146" t="str">
        <f t="shared" si="40"/>
        <v/>
      </c>
      <c r="I425" s="161" t="str">
        <f t="shared" si="41"/>
        <v/>
      </c>
      <c r="J425" s="160" t="str">
        <f>IFERROR(INDEX(下年标准成本!I:I,MATCH(C425,下年标准成本!C:C,0),1),"")</f>
        <v/>
      </c>
      <c r="K425" s="146" t="str">
        <f t="shared" si="42"/>
        <v/>
      </c>
      <c r="L425" s="146" t="str">
        <f t="shared" si="43"/>
        <v/>
      </c>
      <c r="M425" s="148" t="str">
        <f t="shared" si="44"/>
        <v/>
      </c>
    </row>
    <row r="426" spans="1:13" x14ac:dyDescent="0.3">
      <c r="A426" s="149"/>
      <c r="B426" s="149"/>
      <c r="C426" s="149"/>
      <c r="D426" s="149"/>
      <c r="E426" s="149"/>
      <c r="F426" s="149"/>
      <c r="G426" s="162"/>
      <c r="H426" s="146" t="str">
        <f t="shared" si="40"/>
        <v/>
      </c>
      <c r="I426" s="161" t="str">
        <f t="shared" si="41"/>
        <v/>
      </c>
      <c r="J426" s="160" t="str">
        <f>IFERROR(INDEX(下年标准成本!I:I,MATCH(C426,下年标准成本!C:C,0),1),"")</f>
        <v/>
      </c>
      <c r="K426" s="146" t="str">
        <f t="shared" si="42"/>
        <v/>
      </c>
      <c r="L426" s="146" t="str">
        <f t="shared" si="43"/>
        <v/>
      </c>
      <c r="M426" s="148" t="str">
        <f t="shared" si="44"/>
        <v/>
      </c>
    </row>
    <row r="427" spans="1:13" x14ac:dyDescent="0.3">
      <c r="A427" s="149"/>
      <c r="B427" s="149"/>
      <c r="C427" s="149"/>
      <c r="D427" s="149"/>
      <c r="E427" s="149"/>
      <c r="F427" s="149"/>
      <c r="G427" s="162"/>
      <c r="H427" s="146" t="str">
        <f t="shared" si="40"/>
        <v/>
      </c>
      <c r="I427" s="161" t="str">
        <f t="shared" si="41"/>
        <v/>
      </c>
      <c r="J427" s="160" t="str">
        <f>IFERROR(INDEX(下年标准成本!I:I,MATCH(C427,下年标准成本!C:C,0),1),"")</f>
        <v/>
      </c>
      <c r="K427" s="146" t="str">
        <f t="shared" si="42"/>
        <v/>
      </c>
      <c r="L427" s="146" t="str">
        <f t="shared" si="43"/>
        <v/>
      </c>
      <c r="M427" s="148" t="str">
        <f t="shared" si="44"/>
        <v/>
      </c>
    </row>
    <row r="428" spans="1:13" x14ac:dyDescent="0.3">
      <c r="A428" s="149"/>
      <c r="B428" s="149"/>
      <c r="C428" s="149"/>
      <c r="D428" s="149"/>
      <c r="E428" s="149"/>
      <c r="F428" s="149"/>
      <c r="G428" s="162"/>
      <c r="H428" s="146" t="str">
        <f t="shared" si="40"/>
        <v/>
      </c>
      <c r="I428" s="161" t="str">
        <f t="shared" si="41"/>
        <v/>
      </c>
      <c r="J428" s="160" t="str">
        <f>IFERROR(INDEX(下年标准成本!I:I,MATCH(C428,下年标准成本!C:C,0),1),"")</f>
        <v/>
      </c>
      <c r="K428" s="146" t="str">
        <f t="shared" si="42"/>
        <v/>
      </c>
      <c r="L428" s="146" t="str">
        <f t="shared" si="43"/>
        <v/>
      </c>
      <c r="M428" s="148" t="str">
        <f t="shared" si="44"/>
        <v/>
      </c>
    </row>
    <row r="429" spans="1:13" x14ac:dyDescent="0.3">
      <c r="A429" s="149"/>
      <c r="B429" s="149"/>
      <c r="C429" s="149"/>
      <c r="D429" s="149"/>
      <c r="E429" s="149"/>
      <c r="F429" s="149"/>
      <c r="G429" s="162"/>
      <c r="H429" s="146" t="str">
        <f t="shared" si="40"/>
        <v/>
      </c>
      <c r="I429" s="161" t="str">
        <f t="shared" si="41"/>
        <v/>
      </c>
      <c r="J429" s="160" t="str">
        <f>IFERROR(INDEX(下年标准成本!I:I,MATCH(C429,下年标准成本!C:C,0),1),"")</f>
        <v/>
      </c>
      <c r="K429" s="146" t="str">
        <f t="shared" si="42"/>
        <v/>
      </c>
      <c r="L429" s="146" t="str">
        <f t="shared" si="43"/>
        <v/>
      </c>
      <c r="M429" s="148" t="str">
        <f t="shared" si="44"/>
        <v/>
      </c>
    </row>
    <row r="430" spans="1:13" x14ac:dyDescent="0.3">
      <c r="A430" s="149"/>
      <c r="B430" s="149"/>
      <c r="C430" s="149"/>
      <c r="D430" s="149"/>
      <c r="E430" s="149"/>
      <c r="F430" s="149"/>
      <c r="G430" s="162"/>
      <c r="H430" s="146" t="str">
        <f t="shared" si="40"/>
        <v/>
      </c>
      <c r="I430" s="161" t="str">
        <f t="shared" si="41"/>
        <v/>
      </c>
      <c r="J430" s="160" t="str">
        <f>IFERROR(INDEX(下年标准成本!I:I,MATCH(C430,下年标准成本!C:C,0),1),"")</f>
        <v/>
      </c>
      <c r="K430" s="146" t="str">
        <f t="shared" si="42"/>
        <v/>
      </c>
      <c r="L430" s="146" t="str">
        <f t="shared" si="43"/>
        <v/>
      </c>
      <c r="M430" s="148" t="str">
        <f t="shared" si="44"/>
        <v/>
      </c>
    </row>
    <row r="431" spans="1:13" x14ac:dyDescent="0.3">
      <c r="A431" s="149"/>
      <c r="B431" s="149"/>
      <c r="C431" s="149"/>
      <c r="D431" s="149"/>
      <c r="E431" s="149"/>
      <c r="F431" s="149"/>
      <c r="G431" s="162"/>
      <c r="H431" s="146" t="str">
        <f t="shared" si="40"/>
        <v/>
      </c>
      <c r="I431" s="161" t="str">
        <f t="shared" si="41"/>
        <v/>
      </c>
      <c r="J431" s="160" t="str">
        <f>IFERROR(INDEX(下年标准成本!I:I,MATCH(C431,下年标准成本!C:C,0),1),"")</f>
        <v/>
      </c>
      <c r="K431" s="146" t="str">
        <f t="shared" si="42"/>
        <v/>
      </c>
      <c r="L431" s="146" t="str">
        <f t="shared" si="43"/>
        <v/>
      </c>
      <c r="M431" s="148" t="str">
        <f t="shared" si="44"/>
        <v/>
      </c>
    </row>
    <row r="432" spans="1:13" x14ac:dyDescent="0.3">
      <c r="A432" s="149"/>
      <c r="B432" s="149"/>
      <c r="C432" s="149"/>
      <c r="D432" s="149"/>
      <c r="E432" s="149"/>
      <c r="F432" s="149"/>
      <c r="G432" s="162"/>
      <c r="H432" s="146" t="str">
        <f t="shared" si="40"/>
        <v/>
      </c>
      <c r="I432" s="161" t="str">
        <f t="shared" si="41"/>
        <v/>
      </c>
      <c r="J432" s="160" t="str">
        <f>IFERROR(INDEX(下年标准成本!I:I,MATCH(C432,下年标准成本!C:C,0),1),"")</f>
        <v/>
      </c>
      <c r="K432" s="146" t="str">
        <f t="shared" si="42"/>
        <v/>
      </c>
      <c r="L432" s="146" t="str">
        <f t="shared" si="43"/>
        <v/>
      </c>
      <c r="M432" s="148" t="str">
        <f t="shared" si="44"/>
        <v/>
      </c>
    </row>
    <row r="433" spans="1:13" x14ac:dyDescent="0.3">
      <c r="A433" s="149"/>
      <c r="B433" s="149"/>
      <c r="C433" s="149"/>
      <c r="D433" s="149"/>
      <c r="E433" s="149"/>
      <c r="F433" s="149"/>
      <c r="G433" s="162"/>
      <c r="H433" s="146" t="str">
        <f t="shared" si="40"/>
        <v/>
      </c>
      <c r="I433" s="161" t="str">
        <f t="shared" si="41"/>
        <v/>
      </c>
      <c r="J433" s="160" t="str">
        <f>IFERROR(INDEX(下年标准成本!I:I,MATCH(C433,下年标准成本!C:C,0),1),"")</f>
        <v/>
      </c>
      <c r="K433" s="146" t="str">
        <f t="shared" si="42"/>
        <v/>
      </c>
      <c r="L433" s="146" t="str">
        <f t="shared" si="43"/>
        <v/>
      </c>
      <c r="M433" s="148" t="str">
        <f t="shared" si="44"/>
        <v/>
      </c>
    </row>
    <row r="434" spans="1:13" x14ac:dyDescent="0.3">
      <c r="A434" s="149"/>
      <c r="B434" s="149"/>
      <c r="C434" s="149"/>
      <c r="D434" s="149"/>
      <c r="E434" s="149"/>
      <c r="F434" s="149"/>
      <c r="G434" s="162"/>
      <c r="H434" s="146" t="str">
        <f t="shared" si="40"/>
        <v/>
      </c>
      <c r="I434" s="161" t="str">
        <f t="shared" si="41"/>
        <v/>
      </c>
      <c r="J434" s="160" t="str">
        <f>IFERROR(INDEX(下年标准成本!I:I,MATCH(C434,下年标准成本!C:C,0),1),"")</f>
        <v/>
      </c>
      <c r="K434" s="146" t="str">
        <f t="shared" si="42"/>
        <v/>
      </c>
      <c r="L434" s="146" t="str">
        <f t="shared" si="43"/>
        <v/>
      </c>
      <c r="M434" s="148" t="str">
        <f t="shared" si="44"/>
        <v/>
      </c>
    </row>
    <row r="435" spans="1:13" x14ac:dyDescent="0.3">
      <c r="A435" s="149"/>
      <c r="B435" s="149"/>
      <c r="C435" s="149"/>
      <c r="D435" s="149"/>
      <c r="E435" s="149"/>
      <c r="F435" s="149"/>
      <c r="G435" s="162"/>
      <c r="H435" s="146" t="str">
        <f t="shared" si="40"/>
        <v/>
      </c>
      <c r="I435" s="161" t="str">
        <f t="shared" si="41"/>
        <v/>
      </c>
      <c r="J435" s="160" t="str">
        <f>IFERROR(INDEX(下年标准成本!I:I,MATCH(C435,下年标准成本!C:C,0),1),"")</f>
        <v/>
      </c>
      <c r="K435" s="146" t="str">
        <f t="shared" si="42"/>
        <v/>
      </c>
      <c r="L435" s="146" t="str">
        <f t="shared" si="43"/>
        <v/>
      </c>
      <c r="M435" s="148" t="str">
        <f t="shared" si="44"/>
        <v/>
      </c>
    </row>
    <row r="436" spans="1:13" x14ac:dyDescent="0.3">
      <c r="A436" s="149"/>
      <c r="B436" s="149"/>
      <c r="C436" s="149"/>
      <c r="D436" s="149"/>
      <c r="E436" s="149"/>
      <c r="F436" s="149"/>
      <c r="G436" s="162"/>
      <c r="H436" s="146" t="str">
        <f t="shared" si="40"/>
        <v/>
      </c>
      <c r="I436" s="161" t="str">
        <f t="shared" si="41"/>
        <v/>
      </c>
      <c r="J436" s="160" t="str">
        <f>IFERROR(INDEX(下年标准成本!I:I,MATCH(C436,下年标准成本!C:C,0),1),"")</f>
        <v/>
      </c>
      <c r="K436" s="146" t="str">
        <f t="shared" si="42"/>
        <v/>
      </c>
      <c r="L436" s="146" t="str">
        <f t="shared" si="43"/>
        <v/>
      </c>
      <c r="M436" s="148" t="str">
        <f t="shared" si="44"/>
        <v/>
      </c>
    </row>
    <row r="437" spans="1:13" x14ac:dyDescent="0.3">
      <c r="A437" s="149"/>
      <c r="B437" s="149"/>
      <c r="C437" s="149"/>
      <c r="D437" s="149"/>
      <c r="E437" s="149"/>
      <c r="F437" s="149"/>
      <c r="G437" s="162"/>
      <c r="H437" s="146" t="str">
        <f t="shared" si="40"/>
        <v/>
      </c>
      <c r="I437" s="161" t="str">
        <f t="shared" si="41"/>
        <v/>
      </c>
      <c r="J437" s="160" t="str">
        <f>IFERROR(INDEX(下年标准成本!I:I,MATCH(C437,下年标准成本!C:C,0),1),"")</f>
        <v/>
      </c>
      <c r="K437" s="146" t="str">
        <f t="shared" si="42"/>
        <v/>
      </c>
      <c r="L437" s="146" t="str">
        <f t="shared" si="43"/>
        <v/>
      </c>
      <c r="M437" s="148" t="str">
        <f t="shared" si="44"/>
        <v/>
      </c>
    </row>
    <row r="438" spans="1:13" x14ac:dyDescent="0.3">
      <c r="A438" s="149"/>
      <c r="B438" s="149"/>
      <c r="C438" s="149"/>
      <c r="D438" s="149"/>
      <c r="E438" s="149"/>
      <c r="F438" s="149"/>
      <c r="G438" s="162"/>
      <c r="H438" s="146" t="str">
        <f t="shared" si="40"/>
        <v/>
      </c>
      <c r="I438" s="161" t="str">
        <f t="shared" si="41"/>
        <v/>
      </c>
      <c r="J438" s="160" t="str">
        <f>IFERROR(INDEX(下年标准成本!I:I,MATCH(C438,下年标准成本!C:C,0),1),"")</f>
        <v/>
      </c>
      <c r="K438" s="146" t="str">
        <f t="shared" si="42"/>
        <v/>
      </c>
      <c r="L438" s="146" t="str">
        <f t="shared" si="43"/>
        <v/>
      </c>
      <c r="M438" s="148" t="str">
        <f t="shared" si="44"/>
        <v/>
      </c>
    </row>
    <row r="439" spans="1:13" x14ac:dyDescent="0.3">
      <c r="A439" s="149"/>
      <c r="B439" s="149"/>
      <c r="C439" s="149"/>
      <c r="D439" s="149"/>
      <c r="E439" s="149"/>
      <c r="F439" s="149"/>
      <c r="G439" s="162"/>
      <c r="H439" s="146" t="str">
        <f t="shared" si="40"/>
        <v/>
      </c>
      <c r="I439" s="161" t="str">
        <f t="shared" si="41"/>
        <v/>
      </c>
      <c r="J439" s="160" t="str">
        <f>IFERROR(INDEX(下年标准成本!I:I,MATCH(C439,下年标准成本!C:C,0),1),"")</f>
        <v/>
      </c>
      <c r="K439" s="146" t="str">
        <f t="shared" si="42"/>
        <v/>
      </c>
      <c r="L439" s="146" t="str">
        <f t="shared" si="43"/>
        <v/>
      </c>
      <c r="M439" s="148" t="str">
        <f t="shared" si="44"/>
        <v/>
      </c>
    </row>
    <row r="440" spans="1:13" x14ac:dyDescent="0.3">
      <c r="A440" s="149"/>
      <c r="B440" s="149"/>
      <c r="C440" s="149"/>
      <c r="D440" s="149"/>
      <c r="E440" s="149"/>
      <c r="F440" s="149"/>
      <c r="G440" s="162"/>
      <c r="H440" s="146" t="str">
        <f t="shared" si="40"/>
        <v/>
      </c>
      <c r="I440" s="161" t="str">
        <f t="shared" si="41"/>
        <v/>
      </c>
      <c r="J440" s="160" t="str">
        <f>IFERROR(INDEX(下年标准成本!I:I,MATCH(C440,下年标准成本!C:C,0),1),"")</f>
        <v/>
      </c>
      <c r="K440" s="146" t="str">
        <f t="shared" si="42"/>
        <v/>
      </c>
      <c r="L440" s="146" t="str">
        <f t="shared" si="43"/>
        <v/>
      </c>
      <c r="M440" s="148" t="str">
        <f t="shared" si="44"/>
        <v/>
      </c>
    </row>
    <row r="441" spans="1:13" x14ac:dyDescent="0.3">
      <c r="A441" s="149"/>
      <c r="B441" s="149"/>
      <c r="C441" s="149"/>
      <c r="D441" s="149"/>
      <c r="E441" s="149"/>
      <c r="F441" s="149"/>
      <c r="G441" s="162"/>
      <c r="H441" s="146" t="str">
        <f t="shared" si="40"/>
        <v/>
      </c>
      <c r="I441" s="161" t="str">
        <f t="shared" si="41"/>
        <v/>
      </c>
      <c r="J441" s="160" t="str">
        <f>IFERROR(INDEX(下年标准成本!I:I,MATCH(C441,下年标准成本!C:C,0),1),"")</f>
        <v/>
      </c>
      <c r="K441" s="146" t="str">
        <f t="shared" si="42"/>
        <v/>
      </c>
      <c r="L441" s="146" t="str">
        <f t="shared" si="43"/>
        <v/>
      </c>
      <c r="M441" s="148" t="str">
        <f t="shared" si="44"/>
        <v/>
      </c>
    </row>
    <row r="442" spans="1:13" x14ac:dyDescent="0.3">
      <c r="A442" s="149"/>
      <c r="B442" s="149"/>
      <c r="C442" s="149"/>
      <c r="D442" s="149"/>
      <c r="E442" s="149"/>
      <c r="F442" s="149"/>
      <c r="G442" s="162"/>
      <c r="H442" s="146" t="str">
        <f t="shared" si="40"/>
        <v/>
      </c>
      <c r="I442" s="161" t="str">
        <f t="shared" si="41"/>
        <v/>
      </c>
      <c r="J442" s="160" t="str">
        <f>IFERROR(INDEX(下年标准成本!I:I,MATCH(C442,下年标准成本!C:C,0),1),"")</f>
        <v/>
      </c>
      <c r="K442" s="146" t="str">
        <f t="shared" si="42"/>
        <v/>
      </c>
      <c r="L442" s="146" t="str">
        <f t="shared" si="43"/>
        <v/>
      </c>
      <c r="M442" s="148" t="str">
        <f t="shared" si="44"/>
        <v/>
      </c>
    </row>
    <row r="443" spans="1:13" x14ac:dyDescent="0.3">
      <c r="A443" s="149"/>
      <c r="B443" s="149"/>
      <c r="C443" s="149"/>
      <c r="D443" s="149"/>
      <c r="E443" s="149"/>
      <c r="F443" s="149"/>
      <c r="G443" s="162"/>
      <c r="H443" s="146" t="str">
        <f t="shared" si="40"/>
        <v/>
      </c>
      <c r="I443" s="161" t="str">
        <f t="shared" si="41"/>
        <v/>
      </c>
      <c r="J443" s="160" t="str">
        <f>IFERROR(INDEX(下年标准成本!I:I,MATCH(C443,下年标准成本!C:C,0),1),"")</f>
        <v/>
      </c>
      <c r="K443" s="146" t="str">
        <f t="shared" si="42"/>
        <v/>
      </c>
      <c r="L443" s="146" t="str">
        <f t="shared" si="43"/>
        <v/>
      </c>
      <c r="M443" s="148" t="str">
        <f t="shared" si="44"/>
        <v/>
      </c>
    </row>
    <row r="444" spans="1:13" x14ac:dyDescent="0.3">
      <c r="A444" s="149"/>
      <c r="B444" s="149"/>
      <c r="C444" s="149"/>
      <c r="D444" s="149"/>
      <c r="E444" s="149"/>
      <c r="F444" s="149"/>
      <c r="G444" s="162"/>
      <c r="H444" s="146" t="str">
        <f t="shared" si="40"/>
        <v/>
      </c>
      <c r="I444" s="161" t="str">
        <f t="shared" si="41"/>
        <v/>
      </c>
      <c r="J444" s="160" t="str">
        <f>IFERROR(INDEX(下年标准成本!I:I,MATCH(C444,下年标准成本!C:C,0),1),"")</f>
        <v/>
      </c>
      <c r="K444" s="146" t="str">
        <f t="shared" si="42"/>
        <v/>
      </c>
      <c r="L444" s="146" t="str">
        <f t="shared" si="43"/>
        <v/>
      </c>
      <c r="M444" s="148" t="str">
        <f t="shared" si="44"/>
        <v/>
      </c>
    </row>
    <row r="445" spans="1:13" x14ac:dyDescent="0.3">
      <c r="A445" s="149"/>
      <c r="B445" s="149"/>
      <c r="C445" s="149"/>
      <c r="D445" s="149"/>
      <c r="E445" s="149"/>
      <c r="F445" s="149"/>
      <c r="G445" s="162"/>
      <c r="H445" s="146" t="str">
        <f t="shared" si="40"/>
        <v/>
      </c>
      <c r="I445" s="161" t="str">
        <f t="shared" si="41"/>
        <v/>
      </c>
      <c r="J445" s="160" t="str">
        <f>IFERROR(INDEX(下年标准成本!I:I,MATCH(C445,下年标准成本!C:C,0),1),"")</f>
        <v/>
      </c>
      <c r="K445" s="146" t="str">
        <f t="shared" si="42"/>
        <v/>
      </c>
      <c r="L445" s="146" t="str">
        <f t="shared" si="43"/>
        <v/>
      </c>
      <c r="M445" s="148" t="str">
        <f t="shared" si="44"/>
        <v/>
      </c>
    </row>
    <row r="446" spans="1:13" x14ac:dyDescent="0.3">
      <c r="A446" s="149"/>
      <c r="B446" s="149"/>
      <c r="C446" s="149"/>
      <c r="D446" s="149"/>
      <c r="E446" s="149"/>
      <c r="F446" s="149"/>
      <c r="G446" s="162"/>
      <c r="H446" s="146" t="str">
        <f t="shared" si="40"/>
        <v/>
      </c>
      <c r="I446" s="161" t="str">
        <f t="shared" si="41"/>
        <v/>
      </c>
      <c r="J446" s="160" t="str">
        <f>IFERROR(INDEX(下年标准成本!I:I,MATCH(C446,下年标准成本!C:C,0),1),"")</f>
        <v/>
      </c>
      <c r="K446" s="146" t="str">
        <f t="shared" si="42"/>
        <v/>
      </c>
      <c r="L446" s="146" t="str">
        <f t="shared" si="43"/>
        <v/>
      </c>
      <c r="M446" s="148" t="str">
        <f t="shared" si="44"/>
        <v/>
      </c>
    </row>
    <row r="447" spans="1:13" x14ac:dyDescent="0.3">
      <c r="A447" s="149"/>
      <c r="B447" s="149"/>
      <c r="C447" s="149"/>
      <c r="D447" s="149"/>
      <c r="E447" s="149"/>
      <c r="F447" s="149"/>
      <c r="G447" s="162"/>
      <c r="H447" s="146" t="str">
        <f t="shared" si="40"/>
        <v/>
      </c>
      <c r="I447" s="161" t="str">
        <f t="shared" si="41"/>
        <v/>
      </c>
      <c r="J447" s="160" t="str">
        <f>IFERROR(INDEX(下年标准成本!I:I,MATCH(C447,下年标准成本!C:C,0),1),"")</f>
        <v/>
      </c>
      <c r="K447" s="146" t="str">
        <f t="shared" si="42"/>
        <v/>
      </c>
      <c r="L447" s="146" t="str">
        <f t="shared" si="43"/>
        <v/>
      </c>
      <c r="M447" s="148" t="str">
        <f t="shared" si="44"/>
        <v/>
      </c>
    </row>
    <row r="448" spans="1:13" x14ac:dyDescent="0.3">
      <c r="A448" s="149"/>
      <c r="B448" s="149"/>
      <c r="C448" s="149"/>
      <c r="D448" s="149"/>
      <c r="E448" s="149"/>
      <c r="F448" s="149"/>
      <c r="G448" s="162"/>
      <c r="H448" s="146" t="str">
        <f t="shared" si="40"/>
        <v/>
      </c>
      <c r="I448" s="161" t="str">
        <f t="shared" si="41"/>
        <v/>
      </c>
      <c r="J448" s="160" t="str">
        <f>IFERROR(INDEX(下年标准成本!I:I,MATCH(C448,下年标准成本!C:C,0),1),"")</f>
        <v/>
      </c>
      <c r="K448" s="146" t="str">
        <f t="shared" si="42"/>
        <v/>
      </c>
      <c r="L448" s="146" t="str">
        <f t="shared" si="43"/>
        <v/>
      </c>
      <c r="M448" s="148" t="str">
        <f t="shared" si="44"/>
        <v/>
      </c>
    </row>
    <row r="449" spans="1:13" x14ac:dyDescent="0.3">
      <c r="A449" s="149"/>
      <c r="B449" s="149"/>
      <c r="C449" s="149"/>
      <c r="D449" s="149"/>
      <c r="E449" s="149"/>
      <c r="F449" s="149"/>
      <c r="G449" s="162"/>
      <c r="H449" s="146" t="str">
        <f t="shared" si="40"/>
        <v/>
      </c>
      <c r="I449" s="161" t="str">
        <f t="shared" si="41"/>
        <v/>
      </c>
      <c r="J449" s="160" t="str">
        <f>IFERROR(INDEX(下年标准成本!I:I,MATCH(C449,下年标准成本!C:C,0),1),"")</f>
        <v/>
      </c>
      <c r="K449" s="146" t="str">
        <f t="shared" si="42"/>
        <v/>
      </c>
      <c r="L449" s="146" t="str">
        <f t="shared" si="43"/>
        <v/>
      </c>
      <c r="M449" s="148" t="str">
        <f t="shared" si="44"/>
        <v/>
      </c>
    </row>
    <row r="450" spans="1:13" x14ac:dyDescent="0.3">
      <c r="A450" s="149"/>
      <c r="B450" s="149"/>
      <c r="C450" s="149"/>
      <c r="D450" s="149"/>
      <c r="E450" s="149"/>
      <c r="F450" s="149"/>
      <c r="G450" s="162"/>
      <c r="H450" s="146" t="str">
        <f t="shared" si="40"/>
        <v/>
      </c>
      <c r="I450" s="161" t="str">
        <f t="shared" si="41"/>
        <v/>
      </c>
      <c r="J450" s="160" t="str">
        <f>IFERROR(INDEX(下年标准成本!I:I,MATCH(C450,下年标准成本!C:C,0),1),"")</f>
        <v/>
      </c>
      <c r="K450" s="146" t="str">
        <f t="shared" si="42"/>
        <v/>
      </c>
      <c r="L450" s="146" t="str">
        <f t="shared" si="43"/>
        <v/>
      </c>
      <c r="M450" s="148" t="str">
        <f t="shared" si="44"/>
        <v/>
      </c>
    </row>
    <row r="451" spans="1:13" x14ac:dyDescent="0.3">
      <c r="A451" s="149"/>
      <c r="B451" s="149"/>
      <c r="C451" s="149"/>
      <c r="D451" s="149"/>
      <c r="E451" s="149"/>
      <c r="F451" s="149"/>
      <c r="G451" s="162"/>
      <c r="H451" s="146" t="str">
        <f t="shared" si="40"/>
        <v/>
      </c>
      <c r="I451" s="161" t="str">
        <f t="shared" si="41"/>
        <v/>
      </c>
      <c r="J451" s="160" t="str">
        <f>IFERROR(INDEX(下年标准成本!I:I,MATCH(C451,下年标准成本!C:C,0),1),"")</f>
        <v/>
      </c>
      <c r="K451" s="146" t="str">
        <f t="shared" si="42"/>
        <v/>
      </c>
      <c r="L451" s="146" t="str">
        <f t="shared" si="43"/>
        <v/>
      </c>
      <c r="M451" s="148" t="str">
        <f t="shared" si="44"/>
        <v/>
      </c>
    </row>
    <row r="452" spans="1:13" x14ac:dyDescent="0.3">
      <c r="A452" s="149"/>
      <c r="B452" s="149"/>
      <c r="C452" s="149"/>
      <c r="D452" s="149"/>
      <c r="E452" s="149"/>
      <c r="F452" s="149"/>
      <c r="G452" s="162"/>
      <c r="H452" s="146" t="str">
        <f t="shared" si="40"/>
        <v/>
      </c>
      <c r="I452" s="161" t="str">
        <f t="shared" si="41"/>
        <v/>
      </c>
      <c r="J452" s="160" t="str">
        <f>IFERROR(INDEX(下年标准成本!I:I,MATCH(C452,下年标准成本!C:C,0),1),"")</f>
        <v/>
      </c>
      <c r="K452" s="146" t="str">
        <f t="shared" si="42"/>
        <v/>
      </c>
      <c r="L452" s="146" t="str">
        <f t="shared" si="43"/>
        <v/>
      </c>
      <c r="M452" s="148" t="str">
        <f t="shared" si="44"/>
        <v/>
      </c>
    </row>
    <row r="453" spans="1:13" x14ac:dyDescent="0.3">
      <c r="A453" s="149"/>
      <c r="B453" s="149"/>
      <c r="C453" s="149"/>
      <c r="D453" s="149"/>
      <c r="E453" s="149"/>
      <c r="F453" s="149"/>
      <c r="G453" s="162"/>
      <c r="H453" s="146" t="str">
        <f t="shared" si="40"/>
        <v/>
      </c>
      <c r="I453" s="161" t="str">
        <f t="shared" si="41"/>
        <v/>
      </c>
      <c r="J453" s="160" t="str">
        <f>IFERROR(INDEX(下年标准成本!I:I,MATCH(C453,下年标准成本!C:C,0),1),"")</f>
        <v/>
      </c>
      <c r="K453" s="146" t="str">
        <f t="shared" si="42"/>
        <v/>
      </c>
      <c r="L453" s="146" t="str">
        <f t="shared" si="43"/>
        <v/>
      </c>
      <c r="M453" s="148" t="str">
        <f t="shared" si="44"/>
        <v/>
      </c>
    </row>
    <row r="454" spans="1:13" x14ac:dyDescent="0.3">
      <c r="A454" s="149"/>
      <c r="B454" s="149"/>
      <c r="C454" s="149"/>
      <c r="D454" s="149"/>
      <c r="E454" s="149"/>
      <c r="F454" s="149"/>
      <c r="G454" s="162"/>
      <c r="H454" s="146" t="str">
        <f t="shared" si="40"/>
        <v/>
      </c>
      <c r="I454" s="161" t="str">
        <f t="shared" si="41"/>
        <v/>
      </c>
      <c r="J454" s="160" t="str">
        <f>IFERROR(INDEX(下年标准成本!I:I,MATCH(C454,下年标准成本!C:C,0),1),"")</f>
        <v/>
      </c>
      <c r="K454" s="146" t="str">
        <f t="shared" si="42"/>
        <v/>
      </c>
      <c r="L454" s="146" t="str">
        <f t="shared" si="43"/>
        <v/>
      </c>
      <c r="M454" s="148" t="str">
        <f t="shared" si="44"/>
        <v/>
      </c>
    </row>
    <row r="455" spans="1:13" x14ac:dyDescent="0.3">
      <c r="A455" s="149"/>
      <c r="B455" s="149"/>
      <c r="C455" s="149"/>
      <c r="D455" s="149"/>
      <c r="E455" s="149"/>
      <c r="F455" s="149"/>
      <c r="G455" s="162"/>
      <c r="H455" s="146" t="str">
        <f t="shared" si="40"/>
        <v/>
      </c>
      <c r="I455" s="161" t="str">
        <f t="shared" si="41"/>
        <v/>
      </c>
      <c r="J455" s="160" t="str">
        <f>IFERROR(INDEX(下年标准成本!I:I,MATCH(C455,下年标准成本!C:C,0),1),"")</f>
        <v/>
      </c>
      <c r="K455" s="146" t="str">
        <f t="shared" si="42"/>
        <v/>
      </c>
      <c r="L455" s="146" t="str">
        <f t="shared" si="43"/>
        <v/>
      </c>
      <c r="M455" s="148" t="str">
        <f t="shared" si="44"/>
        <v/>
      </c>
    </row>
    <row r="456" spans="1:13" x14ac:dyDescent="0.3">
      <c r="A456" s="149"/>
      <c r="B456" s="149"/>
      <c r="C456" s="149"/>
      <c r="D456" s="149"/>
      <c r="E456" s="149"/>
      <c r="F456" s="149"/>
      <c r="G456" s="162"/>
      <c r="H456" s="146" t="str">
        <f t="shared" si="40"/>
        <v/>
      </c>
      <c r="I456" s="161" t="str">
        <f t="shared" si="41"/>
        <v/>
      </c>
      <c r="J456" s="160" t="str">
        <f>IFERROR(INDEX(下年标准成本!I:I,MATCH(C456,下年标准成本!C:C,0),1),"")</f>
        <v/>
      </c>
      <c r="K456" s="146" t="str">
        <f t="shared" si="42"/>
        <v/>
      </c>
      <c r="L456" s="146" t="str">
        <f t="shared" si="43"/>
        <v/>
      </c>
      <c r="M456" s="148" t="str">
        <f t="shared" si="44"/>
        <v/>
      </c>
    </row>
    <row r="457" spans="1:13" x14ac:dyDescent="0.3">
      <c r="A457" s="149"/>
      <c r="B457" s="149"/>
      <c r="C457" s="149"/>
      <c r="D457" s="149"/>
      <c r="E457" s="149"/>
      <c r="F457" s="149"/>
      <c r="G457" s="162"/>
      <c r="H457" s="146" t="str">
        <f t="shared" si="40"/>
        <v/>
      </c>
      <c r="I457" s="161" t="str">
        <f t="shared" si="41"/>
        <v/>
      </c>
      <c r="J457" s="160" t="str">
        <f>IFERROR(INDEX(下年标准成本!I:I,MATCH(C457,下年标准成本!C:C,0),1),"")</f>
        <v/>
      </c>
      <c r="K457" s="146" t="str">
        <f t="shared" si="42"/>
        <v/>
      </c>
      <c r="L457" s="146" t="str">
        <f t="shared" si="43"/>
        <v/>
      </c>
      <c r="M457" s="148" t="str">
        <f t="shared" si="44"/>
        <v/>
      </c>
    </row>
    <row r="458" spans="1:13" x14ac:dyDescent="0.3">
      <c r="A458" s="149"/>
      <c r="B458" s="149"/>
      <c r="C458" s="149"/>
      <c r="D458" s="149"/>
      <c r="E458" s="149"/>
      <c r="F458" s="149"/>
      <c r="G458" s="162"/>
      <c r="H458" s="146" t="str">
        <f t="shared" ref="H458:H521" si="45">IFERROR(F458/E458,"")</f>
        <v/>
      </c>
      <c r="I458" s="161" t="str">
        <f t="shared" ref="I458:I521" si="46">IFERROR(H458*(1+G458),"")</f>
        <v/>
      </c>
      <c r="J458" s="160" t="str">
        <f>IFERROR(INDEX(下年标准成本!I:I,MATCH(C458,下年标准成本!C:C,0),1),"")</f>
        <v/>
      </c>
      <c r="K458" s="146" t="str">
        <f t="shared" ref="K458:K521" si="47">IFERROR(E458*J458,"")</f>
        <v/>
      </c>
      <c r="L458" s="146" t="str">
        <f t="shared" ref="L458:L521" si="48">IFERROR(F458-K458,"")</f>
        <v/>
      </c>
      <c r="M458" s="148" t="str">
        <f t="shared" ref="M458:M521" si="49">IFERROR(L458/F458,"")</f>
        <v/>
      </c>
    </row>
    <row r="459" spans="1:13" x14ac:dyDescent="0.3">
      <c r="A459" s="149"/>
      <c r="B459" s="149"/>
      <c r="C459" s="149"/>
      <c r="D459" s="149"/>
      <c r="E459" s="149"/>
      <c r="F459" s="149"/>
      <c r="G459" s="162"/>
      <c r="H459" s="146" t="str">
        <f t="shared" si="45"/>
        <v/>
      </c>
      <c r="I459" s="161" t="str">
        <f t="shared" si="46"/>
        <v/>
      </c>
      <c r="J459" s="160" t="str">
        <f>IFERROR(INDEX(下年标准成本!I:I,MATCH(C459,下年标准成本!C:C,0),1),"")</f>
        <v/>
      </c>
      <c r="K459" s="146" t="str">
        <f t="shared" si="47"/>
        <v/>
      </c>
      <c r="L459" s="146" t="str">
        <f t="shared" si="48"/>
        <v/>
      </c>
      <c r="M459" s="148" t="str">
        <f t="shared" si="49"/>
        <v/>
      </c>
    </row>
    <row r="460" spans="1:13" x14ac:dyDescent="0.3">
      <c r="A460" s="149"/>
      <c r="B460" s="149"/>
      <c r="C460" s="149"/>
      <c r="D460" s="149"/>
      <c r="E460" s="149"/>
      <c r="F460" s="149"/>
      <c r="G460" s="162"/>
      <c r="H460" s="146" t="str">
        <f t="shared" si="45"/>
        <v/>
      </c>
      <c r="I460" s="161" t="str">
        <f t="shared" si="46"/>
        <v/>
      </c>
      <c r="J460" s="160" t="str">
        <f>IFERROR(INDEX(下年标准成本!I:I,MATCH(C460,下年标准成本!C:C,0),1),"")</f>
        <v/>
      </c>
      <c r="K460" s="146" t="str">
        <f t="shared" si="47"/>
        <v/>
      </c>
      <c r="L460" s="146" t="str">
        <f t="shared" si="48"/>
        <v/>
      </c>
      <c r="M460" s="148" t="str">
        <f t="shared" si="49"/>
        <v/>
      </c>
    </row>
    <row r="461" spans="1:13" x14ac:dyDescent="0.3">
      <c r="A461" s="149"/>
      <c r="B461" s="149"/>
      <c r="C461" s="149"/>
      <c r="D461" s="149"/>
      <c r="E461" s="149"/>
      <c r="F461" s="149"/>
      <c r="G461" s="162"/>
      <c r="H461" s="146" t="str">
        <f t="shared" si="45"/>
        <v/>
      </c>
      <c r="I461" s="161" t="str">
        <f t="shared" si="46"/>
        <v/>
      </c>
      <c r="J461" s="160" t="str">
        <f>IFERROR(INDEX(下年标准成本!I:I,MATCH(C461,下年标准成本!C:C,0),1),"")</f>
        <v/>
      </c>
      <c r="K461" s="146" t="str">
        <f t="shared" si="47"/>
        <v/>
      </c>
      <c r="L461" s="146" t="str">
        <f t="shared" si="48"/>
        <v/>
      </c>
      <c r="M461" s="148" t="str">
        <f t="shared" si="49"/>
        <v/>
      </c>
    </row>
    <row r="462" spans="1:13" x14ac:dyDescent="0.3">
      <c r="A462" s="149"/>
      <c r="B462" s="149"/>
      <c r="C462" s="149"/>
      <c r="D462" s="149"/>
      <c r="E462" s="149"/>
      <c r="F462" s="149"/>
      <c r="G462" s="162"/>
      <c r="H462" s="146" t="str">
        <f t="shared" si="45"/>
        <v/>
      </c>
      <c r="I462" s="161" t="str">
        <f t="shared" si="46"/>
        <v/>
      </c>
      <c r="J462" s="160" t="str">
        <f>IFERROR(INDEX(下年标准成本!I:I,MATCH(C462,下年标准成本!C:C,0),1),"")</f>
        <v/>
      </c>
      <c r="K462" s="146" t="str">
        <f t="shared" si="47"/>
        <v/>
      </c>
      <c r="L462" s="146" t="str">
        <f t="shared" si="48"/>
        <v/>
      </c>
      <c r="M462" s="148" t="str">
        <f t="shared" si="49"/>
        <v/>
      </c>
    </row>
    <row r="463" spans="1:13" x14ac:dyDescent="0.3">
      <c r="A463" s="149"/>
      <c r="B463" s="149"/>
      <c r="C463" s="149"/>
      <c r="D463" s="149"/>
      <c r="E463" s="149"/>
      <c r="F463" s="149"/>
      <c r="G463" s="162"/>
      <c r="H463" s="146" t="str">
        <f t="shared" si="45"/>
        <v/>
      </c>
      <c r="I463" s="161" t="str">
        <f t="shared" si="46"/>
        <v/>
      </c>
      <c r="J463" s="160" t="str">
        <f>IFERROR(INDEX(下年标准成本!I:I,MATCH(C463,下年标准成本!C:C,0),1),"")</f>
        <v/>
      </c>
      <c r="K463" s="146" t="str">
        <f t="shared" si="47"/>
        <v/>
      </c>
      <c r="L463" s="146" t="str">
        <f t="shared" si="48"/>
        <v/>
      </c>
      <c r="M463" s="148" t="str">
        <f t="shared" si="49"/>
        <v/>
      </c>
    </row>
    <row r="464" spans="1:13" x14ac:dyDescent="0.3">
      <c r="A464" s="149"/>
      <c r="B464" s="149"/>
      <c r="C464" s="149"/>
      <c r="D464" s="149"/>
      <c r="E464" s="149"/>
      <c r="F464" s="149"/>
      <c r="G464" s="162"/>
      <c r="H464" s="146" t="str">
        <f t="shared" si="45"/>
        <v/>
      </c>
      <c r="I464" s="161" t="str">
        <f t="shared" si="46"/>
        <v/>
      </c>
      <c r="J464" s="160" t="str">
        <f>IFERROR(INDEX(下年标准成本!I:I,MATCH(C464,下年标准成本!C:C,0),1),"")</f>
        <v/>
      </c>
      <c r="K464" s="146" t="str">
        <f t="shared" si="47"/>
        <v/>
      </c>
      <c r="L464" s="146" t="str">
        <f t="shared" si="48"/>
        <v/>
      </c>
      <c r="M464" s="148" t="str">
        <f t="shared" si="49"/>
        <v/>
      </c>
    </row>
    <row r="465" spans="1:13" x14ac:dyDescent="0.3">
      <c r="A465" s="149"/>
      <c r="B465" s="149"/>
      <c r="C465" s="149"/>
      <c r="D465" s="149"/>
      <c r="E465" s="149"/>
      <c r="F465" s="149"/>
      <c r="G465" s="162"/>
      <c r="H465" s="146" t="str">
        <f t="shared" si="45"/>
        <v/>
      </c>
      <c r="I465" s="161" t="str">
        <f t="shared" si="46"/>
        <v/>
      </c>
      <c r="J465" s="160" t="str">
        <f>IFERROR(INDEX(下年标准成本!I:I,MATCH(C465,下年标准成本!C:C,0),1),"")</f>
        <v/>
      </c>
      <c r="K465" s="146" t="str">
        <f t="shared" si="47"/>
        <v/>
      </c>
      <c r="L465" s="146" t="str">
        <f t="shared" si="48"/>
        <v/>
      </c>
      <c r="M465" s="148" t="str">
        <f t="shared" si="49"/>
        <v/>
      </c>
    </row>
    <row r="466" spans="1:13" x14ac:dyDescent="0.3">
      <c r="A466" s="149"/>
      <c r="B466" s="149"/>
      <c r="C466" s="149"/>
      <c r="D466" s="149"/>
      <c r="E466" s="149"/>
      <c r="F466" s="149"/>
      <c r="G466" s="162"/>
      <c r="H466" s="146" t="str">
        <f t="shared" si="45"/>
        <v/>
      </c>
      <c r="I466" s="161" t="str">
        <f t="shared" si="46"/>
        <v/>
      </c>
      <c r="J466" s="160" t="str">
        <f>IFERROR(INDEX(下年标准成本!I:I,MATCH(C466,下年标准成本!C:C,0),1),"")</f>
        <v/>
      </c>
      <c r="K466" s="146" t="str">
        <f t="shared" si="47"/>
        <v/>
      </c>
      <c r="L466" s="146" t="str">
        <f t="shared" si="48"/>
        <v/>
      </c>
      <c r="M466" s="148" t="str">
        <f t="shared" si="49"/>
        <v/>
      </c>
    </row>
    <row r="467" spans="1:13" x14ac:dyDescent="0.3">
      <c r="A467" s="149"/>
      <c r="B467" s="149"/>
      <c r="C467" s="149"/>
      <c r="D467" s="149"/>
      <c r="E467" s="149"/>
      <c r="F467" s="149"/>
      <c r="G467" s="162"/>
      <c r="H467" s="146" t="str">
        <f t="shared" si="45"/>
        <v/>
      </c>
      <c r="I467" s="161" t="str">
        <f t="shared" si="46"/>
        <v/>
      </c>
      <c r="J467" s="160" t="str">
        <f>IFERROR(INDEX(下年标准成本!I:I,MATCH(C467,下年标准成本!C:C,0),1),"")</f>
        <v/>
      </c>
      <c r="K467" s="146" t="str">
        <f t="shared" si="47"/>
        <v/>
      </c>
      <c r="L467" s="146" t="str">
        <f t="shared" si="48"/>
        <v/>
      </c>
      <c r="M467" s="148" t="str">
        <f t="shared" si="49"/>
        <v/>
      </c>
    </row>
    <row r="468" spans="1:13" x14ac:dyDescent="0.3">
      <c r="A468" s="149"/>
      <c r="B468" s="149"/>
      <c r="C468" s="149"/>
      <c r="D468" s="149"/>
      <c r="E468" s="149"/>
      <c r="F468" s="149"/>
      <c r="G468" s="162"/>
      <c r="H468" s="146" t="str">
        <f t="shared" si="45"/>
        <v/>
      </c>
      <c r="I468" s="161" t="str">
        <f t="shared" si="46"/>
        <v/>
      </c>
      <c r="J468" s="160" t="str">
        <f>IFERROR(INDEX(下年标准成本!I:I,MATCH(C468,下年标准成本!C:C,0),1),"")</f>
        <v/>
      </c>
      <c r="K468" s="146" t="str">
        <f t="shared" si="47"/>
        <v/>
      </c>
      <c r="L468" s="146" t="str">
        <f t="shared" si="48"/>
        <v/>
      </c>
      <c r="M468" s="148" t="str">
        <f t="shared" si="49"/>
        <v/>
      </c>
    </row>
    <row r="469" spans="1:13" x14ac:dyDescent="0.3">
      <c r="A469" s="149"/>
      <c r="B469" s="149"/>
      <c r="C469" s="149"/>
      <c r="D469" s="149"/>
      <c r="E469" s="149"/>
      <c r="F469" s="149"/>
      <c r="G469" s="162"/>
      <c r="H469" s="146" t="str">
        <f t="shared" si="45"/>
        <v/>
      </c>
      <c r="I469" s="161" t="str">
        <f t="shared" si="46"/>
        <v/>
      </c>
      <c r="J469" s="160" t="str">
        <f>IFERROR(INDEX(下年标准成本!I:I,MATCH(C469,下年标准成本!C:C,0),1),"")</f>
        <v/>
      </c>
      <c r="K469" s="146" t="str">
        <f t="shared" si="47"/>
        <v/>
      </c>
      <c r="L469" s="146" t="str">
        <f t="shared" si="48"/>
        <v/>
      </c>
      <c r="M469" s="148" t="str">
        <f t="shared" si="49"/>
        <v/>
      </c>
    </row>
    <row r="470" spans="1:13" x14ac:dyDescent="0.3">
      <c r="A470" s="149"/>
      <c r="B470" s="149"/>
      <c r="C470" s="149"/>
      <c r="D470" s="149"/>
      <c r="E470" s="149"/>
      <c r="F470" s="149"/>
      <c r="G470" s="162"/>
      <c r="H470" s="146" t="str">
        <f t="shared" si="45"/>
        <v/>
      </c>
      <c r="I470" s="161" t="str">
        <f t="shared" si="46"/>
        <v/>
      </c>
      <c r="J470" s="160" t="str">
        <f>IFERROR(INDEX(下年标准成本!I:I,MATCH(C470,下年标准成本!C:C,0),1),"")</f>
        <v/>
      </c>
      <c r="K470" s="146" t="str">
        <f t="shared" si="47"/>
        <v/>
      </c>
      <c r="L470" s="146" t="str">
        <f t="shared" si="48"/>
        <v/>
      </c>
      <c r="M470" s="148" t="str">
        <f t="shared" si="49"/>
        <v/>
      </c>
    </row>
    <row r="471" spans="1:13" x14ac:dyDescent="0.3">
      <c r="A471" s="149"/>
      <c r="B471" s="149"/>
      <c r="C471" s="149"/>
      <c r="D471" s="149"/>
      <c r="E471" s="149"/>
      <c r="F471" s="149"/>
      <c r="G471" s="162"/>
      <c r="H471" s="146" t="str">
        <f t="shared" si="45"/>
        <v/>
      </c>
      <c r="I471" s="161" t="str">
        <f t="shared" si="46"/>
        <v/>
      </c>
      <c r="J471" s="160" t="str">
        <f>IFERROR(INDEX(下年标准成本!I:I,MATCH(C471,下年标准成本!C:C,0),1),"")</f>
        <v/>
      </c>
      <c r="K471" s="146" t="str">
        <f t="shared" si="47"/>
        <v/>
      </c>
      <c r="L471" s="146" t="str">
        <f t="shared" si="48"/>
        <v/>
      </c>
      <c r="M471" s="148" t="str">
        <f t="shared" si="49"/>
        <v/>
      </c>
    </row>
    <row r="472" spans="1:13" x14ac:dyDescent="0.3">
      <c r="A472" s="149"/>
      <c r="B472" s="149"/>
      <c r="C472" s="149"/>
      <c r="D472" s="149"/>
      <c r="E472" s="149"/>
      <c r="F472" s="149"/>
      <c r="G472" s="162"/>
      <c r="H472" s="146" t="str">
        <f t="shared" si="45"/>
        <v/>
      </c>
      <c r="I472" s="161" t="str">
        <f t="shared" si="46"/>
        <v/>
      </c>
      <c r="J472" s="160" t="str">
        <f>IFERROR(INDEX(下年标准成本!I:I,MATCH(C472,下年标准成本!C:C,0),1),"")</f>
        <v/>
      </c>
      <c r="K472" s="146" t="str">
        <f t="shared" si="47"/>
        <v/>
      </c>
      <c r="L472" s="146" t="str">
        <f t="shared" si="48"/>
        <v/>
      </c>
      <c r="M472" s="148" t="str">
        <f t="shared" si="49"/>
        <v/>
      </c>
    </row>
    <row r="473" spans="1:13" x14ac:dyDescent="0.3">
      <c r="A473" s="149"/>
      <c r="B473" s="149"/>
      <c r="C473" s="149"/>
      <c r="D473" s="149"/>
      <c r="E473" s="149"/>
      <c r="F473" s="149"/>
      <c r="G473" s="162"/>
      <c r="H473" s="146" t="str">
        <f t="shared" si="45"/>
        <v/>
      </c>
      <c r="I473" s="161" t="str">
        <f t="shared" si="46"/>
        <v/>
      </c>
      <c r="J473" s="160" t="str">
        <f>IFERROR(INDEX(下年标准成本!I:I,MATCH(C473,下年标准成本!C:C,0),1),"")</f>
        <v/>
      </c>
      <c r="K473" s="146" t="str">
        <f t="shared" si="47"/>
        <v/>
      </c>
      <c r="L473" s="146" t="str">
        <f t="shared" si="48"/>
        <v/>
      </c>
      <c r="M473" s="148" t="str">
        <f t="shared" si="49"/>
        <v/>
      </c>
    </row>
    <row r="474" spans="1:13" x14ac:dyDescent="0.3">
      <c r="A474" s="149"/>
      <c r="B474" s="149"/>
      <c r="C474" s="149"/>
      <c r="D474" s="149"/>
      <c r="E474" s="149"/>
      <c r="F474" s="149"/>
      <c r="G474" s="162"/>
      <c r="H474" s="146" t="str">
        <f t="shared" si="45"/>
        <v/>
      </c>
      <c r="I474" s="161" t="str">
        <f t="shared" si="46"/>
        <v/>
      </c>
      <c r="J474" s="160" t="str">
        <f>IFERROR(INDEX(下年标准成本!I:I,MATCH(C474,下年标准成本!C:C,0),1),"")</f>
        <v/>
      </c>
      <c r="K474" s="146" t="str">
        <f t="shared" si="47"/>
        <v/>
      </c>
      <c r="L474" s="146" t="str">
        <f t="shared" si="48"/>
        <v/>
      </c>
      <c r="M474" s="148" t="str">
        <f t="shared" si="49"/>
        <v/>
      </c>
    </row>
    <row r="475" spans="1:13" x14ac:dyDescent="0.3">
      <c r="A475" s="149"/>
      <c r="B475" s="149"/>
      <c r="C475" s="149"/>
      <c r="D475" s="149"/>
      <c r="E475" s="149"/>
      <c r="F475" s="149"/>
      <c r="G475" s="162"/>
      <c r="H475" s="146" t="str">
        <f t="shared" si="45"/>
        <v/>
      </c>
      <c r="I475" s="161" t="str">
        <f t="shared" si="46"/>
        <v/>
      </c>
      <c r="J475" s="160" t="str">
        <f>IFERROR(INDEX(下年标准成本!I:I,MATCH(C475,下年标准成本!C:C,0),1),"")</f>
        <v/>
      </c>
      <c r="K475" s="146" t="str">
        <f t="shared" si="47"/>
        <v/>
      </c>
      <c r="L475" s="146" t="str">
        <f t="shared" si="48"/>
        <v/>
      </c>
      <c r="M475" s="148" t="str">
        <f t="shared" si="49"/>
        <v/>
      </c>
    </row>
    <row r="476" spans="1:13" x14ac:dyDescent="0.3">
      <c r="A476" s="149"/>
      <c r="B476" s="149"/>
      <c r="C476" s="149"/>
      <c r="D476" s="149"/>
      <c r="E476" s="149"/>
      <c r="F476" s="149"/>
      <c r="G476" s="162"/>
      <c r="H476" s="146" t="str">
        <f t="shared" si="45"/>
        <v/>
      </c>
      <c r="I476" s="161" t="str">
        <f t="shared" si="46"/>
        <v/>
      </c>
      <c r="J476" s="160" t="str">
        <f>IFERROR(INDEX(下年标准成本!I:I,MATCH(C476,下年标准成本!C:C,0),1),"")</f>
        <v/>
      </c>
      <c r="K476" s="146" t="str">
        <f t="shared" si="47"/>
        <v/>
      </c>
      <c r="L476" s="146" t="str">
        <f t="shared" si="48"/>
        <v/>
      </c>
      <c r="M476" s="148" t="str">
        <f t="shared" si="49"/>
        <v/>
      </c>
    </row>
    <row r="477" spans="1:13" x14ac:dyDescent="0.3">
      <c r="A477" s="149"/>
      <c r="B477" s="149"/>
      <c r="C477" s="149"/>
      <c r="D477" s="149"/>
      <c r="E477" s="149"/>
      <c r="F477" s="149"/>
      <c r="G477" s="162"/>
      <c r="H477" s="146" t="str">
        <f t="shared" si="45"/>
        <v/>
      </c>
      <c r="I477" s="161" t="str">
        <f t="shared" si="46"/>
        <v/>
      </c>
      <c r="J477" s="160" t="str">
        <f>IFERROR(INDEX(下年标准成本!I:I,MATCH(C477,下年标准成本!C:C,0),1),"")</f>
        <v/>
      </c>
      <c r="K477" s="146" t="str">
        <f t="shared" si="47"/>
        <v/>
      </c>
      <c r="L477" s="146" t="str">
        <f t="shared" si="48"/>
        <v/>
      </c>
      <c r="M477" s="148" t="str">
        <f t="shared" si="49"/>
        <v/>
      </c>
    </row>
    <row r="478" spans="1:13" x14ac:dyDescent="0.3">
      <c r="A478" s="149"/>
      <c r="B478" s="149"/>
      <c r="C478" s="149"/>
      <c r="D478" s="149"/>
      <c r="E478" s="149"/>
      <c r="F478" s="149"/>
      <c r="G478" s="162"/>
      <c r="H478" s="146" t="str">
        <f t="shared" si="45"/>
        <v/>
      </c>
      <c r="I478" s="161" t="str">
        <f t="shared" si="46"/>
        <v/>
      </c>
      <c r="J478" s="160" t="str">
        <f>IFERROR(INDEX(下年标准成本!I:I,MATCH(C478,下年标准成本!C:C,0),1),"")</f>
        <v/>
      </c>
      <c r="K478" s="146" t="str">
        <f t="shared" si="47"/>
        <v/>
      </c>
      <c r="L478" s="146" t="str">
        <f t="shared" si="48"/>
        <v/>
      </c>
      <c r="M478" s="148" t="str">
        <f t="shared" si="49"/>
        <v/>
      </c>
    </row>
    <row r="479" spans="1:13" x14ac:dyDescent="0.3">
      <c r="A479" s="149"/>
      <c r="B479" s="149"/>
      <c r="C479" s="149"/>
      <c r="D479" s="149"/>
      <c r="E479" s="149"/>
      <c r="F479" s="149"/>
      <c r="G479" s="162"/>
      <c r="H479" s="146" t="str">
        <f t="shared" si="45"/>
        <v/>
      </c>
      <c r="I479" s="161" t="str">
        <f t="shared" si="46"/>
        <v/>
      </c>
      <c r="J479" s="160" t="str">
        <f>IFERROR(INDEX(下年标准成本!I:I,MATCH(C479,下年标准成本!C:C,0),1),"")</f>
        <v/>
      </c>
      <c r="K479" s="146" t="str">
        <f t="shared" si="47"/>
        <v/>
      </c>
      <c r="L479" s="146" t="str">
        <f t="shared" si="48"/>
        <v/>
      </c>
      <c r="M479" s="148" t="str">
        <f t="shared" si="49"/>
        <v/>
      </c>
    </row>
    <row r="480" spans="1:13" x14ac:dyDescent="0.3">
      <c r="A480" s="149"/>
      <c r="B480" s="149"/>
      <c r="C480" s="149"/>
      <c r="D480" s="149"/>
      <c r="E480" s="149"/>
      <c r="F480" s="149"/>
      <c r="G480" s="162"/>
      <c r="H480" s="146" t="str">
        <f t="shared" si="45"/>
        <v/>
      </c>
      <c r="I480" s="161" t="str">
        <f t="shared" si="46"/>
        <v/>
      </c>
      <c r="J480" s="160" t="str">
        <f>IFERROR(INDEX(下年标准成本!I:I,MATCH(C480,下年标准成本!C:C,0),1),"")</f>
        <v/>
      </c>
      <c r="K480" s="146" t="str">
        <f t="shared" si="47"/>
        <v/>
      </c>
      <c r="L480" s="146" t="str">
        <f t="shared" si="48"/>
        <v/>
      </c>
      <c r="M480" s="148" t="str">
        <f t="shared" si="49"/>
        <v/>
      </c>
    </row>
    <row r="481" spans="1:13" x14ac:dyDescent="0.3">
      <c r="A481" s="149"/>
      <c r="B481" s="149"/>
      <c r="C481" s="149"/>
      <c r="D481" s="149"/>
      <c r="E481" s="149"/>
      <c r="F481" s="149"/>
      <c r="G481" s="162"/>
      <c r="H481" s="146" t="str">
        <f t="shared" si="45"/>
        <v/>
      </c>
      <c r="I481" s="161" t="str">
        <f t="shared" si="46"/>
        <v/>
      </c>
      <c r="J481" s="160" t="str">
        <f>IFERROR(INDEX(下年标准成本!I:I,MATCH(C481,下年标准成本!C:C,0),1),"")</f>
        <v/>
      </c>
      <c r="K481" s="146" t="str">
        <f t="shared" si="47"/>
        <v/>
      </c>
      <c r="L481" s="146" t="str">
        <f t="shared" si="48"/>
        <v/>
      </c>
      <c r="M481" s="148" t="str">
        <f t="shared" si="49"/>
        <v/>
      </c>
    </row>
    <row r="482" spans="1:13" x14ac:dyDescent="0.3">
      <c r="A482" s="149"/>
      <c r="B482" s="149"/>
      <c r="C482" s="149"/>
      <c r="D482" s="149"/>
      <c r="E482" s="149"/>
      <c r="F482" s="149"/>
      <c r="G482" s="162"/>
      <c r="H482" s="146" t="str">
        <f t="shared" si="45"/>
        <v/>
      </c>
      <c r="I482" s="161" t="str">
        <f t="shared" si="46"/>
        <v/>
      </c>
      <c r="J482" s="160" t="str">
        <f>IFERROR(INDEX(下年标准成本!I:I,MATCH(C482,下年标准成本!C:C,0),1),"")</f>
        <v/>
      </c>
      <c r="K482" s="146" t="str">
        <f t="shared" si="47"/>
        <v/>
      </c>
      <c r="L482" s="146" t="str">
        <f t="shared" si="48"/>
        <v/>
      </c>
      <c r="M482" s="148" t="str">
        <f t="shared" si="49"/>
        <v/>
      </c>
    </row>
    <row r="483" spans="1:13" x14ac:dyDescent="0.3">
      <c r="A483" s="149"/>
      <c r="B483" s="149"/>
      <c r="C483" s="149"/>
      <c r="D483" s="149"/>
      <c r="E483" s="149"/>
      <c r="F483" s="149"/>
      <c r="G483" s="162"/>
      <c r="H483" s="146" t="str">
        <f t="shared" si="45"/>
        <v/>
      </c>
      <c r="I483" s="161" t="str">
        <f t="shared" si="46"/>
        <v/>
      </c>
      <c r="J483" s="160" t="str">
        <f>IFERROR(INDEX(下年标准成本!I:I,MATCH(C483,下年标准成本!C:C,0),1),"")</f>
        <v/>
      </c>
      <c r="K483" s="146" t="str">
        <f t="shared" si="47"/>
        <v/>
      </c>
      <c r="L483" s="146" t="str">
        <f t="shared" si="48"/>
        <v/>
      </c>
      <c r="M483" s="148" t="str">
        <f t="shared" si="49"/>
        <v/>
      </c>
    </row>
    <row r="484" spans="1:13" x14ac:dyDescent="0.3">
      <c r="A484" s="149"/>
      <c r="B484" s="149"/>
      <c r="C484" s="149"/>
      <c r="D484" s="149"/>
      <c r="E484" s="149"/>
      <c r="F484" s="149"/>
      <c r="G484" s="162"/>
      <c r="H484" s="146" t="str">
        <f t="shared" si="45"/>
        <v/>
      </c>
      <c r="I484" s="161" t="str">
        <f t="shared" si="46"/>
        <v/>
      </c>
      <c r="J484" s="160" t="str">
        <f>IFERROR(INDEX(下年标准成本!I:I,MATCH(C484,下年标准成本!C:C,0),1),"")</f>
        <v/>
      </c>
      <c r="K484" s="146" t="str">
        <f t="shared" si="47"/>
        <v/>
      </c>
      <c r="L484" s="146" t="str">
        <f t="shared" si="48"/>
        <v/>
      </c>
      <c r="M484" s="148" t="str">
        <f t="shared" si="49"/>
        <v/>
      </c>
    </row>
    <row r="485" spans="1:13" x14ac:dyDescent="0.3">
      <c r="A485" s="149"/>
      <c r="B485" s="149"/>
      <c r="C485" s="149"/>
      <c r="D485" s="149"/>
      <c r="E485" s="149"/>
      <c r="F485" s="149"/>
      <c r="G485" s="162"/>
      <c r="H485" s="146" t="str">
        <f t="shared" si="45"/>
        <v/>
      </c>
      <c r="I485" s="161" t="str">
        <f t="shared" si="46"/>
        <v/>
      </c>
      <c r="J485" s="160" t="str">
        <f>IFERROR(INDEX(下年标准成本!I:I,MATCH(C485,下年标准成本!C:C,0),1),"")</f>
        <v/>
      </c>
      <c r="K485" s="146" t="str">
        <f t="shared" si="47"/>
        <v/>
      </c>
      <c r="L485" s="146" t="str">
        <f t="shared" si="48"/>
        <v/>
      </c>
      <c r="M485" s="148" t="str">
        <f t="shared" si="49"/>
        <v/>
      </c>
    </row>
    <row r="486" spans="1:13" x14ac:dyDescent="0.3">
      <c r="A486" s="149"/>
      <c r="B486" s="149"/>
      <c r="C486" s="149"/>
      <c r="D486" s="149"/>
      <c r="E486" s="149"/>
      <c r="F486" s="149"/>
      <c r="G486" s="162"/>
      <c r="H486" s="146" t="str">
        <f t="shared" si="45"/>
        <v/>
      </c>
      <c r="I486" s="161" t="str">
        <f t="shared" si="46"/>
        <v/>
      </c>
      <c r="J486" s="160" t="str">
        <f>IFERROR(INDEX(下年标准成本!I:I,MATCH(C486,下年标准成本!C:C,0),1),"")</f>
        <v/>
      </c>
      <c r="K486" s="146" t="str">
        <f t="shared" si="47"/>
        <v/>
      </c>
      <c r="L486" s="146" t="str">
        <f t="shared" si="48"/>
        <v/>
      </c>
      <c r="M486" s="148" t="str">
        <f t="shared" si="49"/>
        <v/>
      </c>
    </row>
    <row r="487" spans="1:13" x14ac:dyDescent="0.3">
      <c r="A487" s="149"/>
      <c r="B487" s="149"/>
      <c r="C487" s="149"/>
      <c r="D487" s="149"/>
      <c r="E487" s="149"/>
      <c r="F487" s="149"/>
      <c r="G487" s="162"/>
      <c r="H487" s="146" t="str">
        <f t="shared" si="45"/>
        <v/>
      </c>
      <c r="I487" s="161" t="str">
        <f t="shared" si="46"/>
        <v/>
      </c>
      <c r="J487" s="160" t="str">
        <f>IFERROR(INDEX(下年标准成本!I:I,MATCH(C487,下年标准成本!C:C,0),1),"")</f>
        <v/>
      </c>
      <c r="K487" s="146" t="str">
        <f t="shared" si="47"/>
        <v/>
      </c>
      <c r="L487" s="146" t="str">
        <f t="shared" si="48"/>
        <v/>
      </c>
      <c r="M487" s="148" t="str">
        <f t="shared" si="49"/>
        <v/>
      </c>
    </row>
    <row r="488" spans="1:13" x14ac:dyDescent="0.3">
      <c r="A488" s="149"/>
      <c r="B488" s="149"/>
      <c r="C488" s="149"/>
      <c r="D488" s="149"/>
      <c r="E488" s="149"/>
      <c r="F488" s="149"/>
      <c r="G488" s="162"/>
      <c r="H488" s="146" t="str">
        <f t="shared" si="45"/>
        <v/>
      </c>
      <c r="I488" s="161" t="str">
        <f t="shared" si="46"/>
        <v/>
      </c>
      <c r="J488" s="160" t="str">
        <f>IFERROR(INDEX(下年标准成本!I:I,MATCH(C488,下年标准成本!C:C,0),1),"")</f>
        <v/>
      </c>
      <c r="K488" s="146" t="str">
        <f t="shared" si="47"/>
        <v/>
      </c>
      <c r="L488" s="146" t="str">
        <f t="shared" si="48"/>
        <v/>
      </c>
      <c r="M488" s="148" t="str">
        <f t="shared" si="49"/>
        <v/>
      </c>
    </row>
    <row r="489" spans="1:13" x14ac:dyDescent="0.3">
      <c r="A489" s="149"/>
      <c r="B489" s="149"/>
      <c r="C489" s="149"/>
      <c r="D489" s="149"/>
      <c r="E489" s="149"/>
      <c r="F489" s="149"/>
      <c r="G489" s="162"/>
      <c r="H489" s="146" t="str">
        <f t="shared" si="45"/>
        <v/>
      </c>
      <c r="I489" s="161" t="str">
        <f t="shared" si="46"/>
        <v/>
      </c>
      <c r="J489" s="160" t="str">
        <f>IFERROR(INDEX(下年标准成本!I:I,MATCH(C489,下年标准成本!C:C,0),1),"")</f>
        <v/>
      </c>
      <c r="K489" s="146" t="str">
        <f t="shared" si="47"/>
        <v/>
      </c>
      <c r="L489" s="146" t="str">
        <f t="shared" si="48"/>
        <v/>
      </c>
      <c r="M489" s="148" t="str">
        <f t="shared" si="49"/>
        <v/>
      </c>
    </row>
    <row r="490" spans="1:13" x14ac:dyDescent="0.3">
      <c r="A490" s="149"/>
      <c r="B490" s="149"/>
      <c r="C490" s="149"/>
      <c r="D490" s="149"/>
      <c r="E490" s="149"/>
      <c r="F490" s="149"/>
      <c r="G490" s="162"/>
      <c r="H490" s="146" t="str">
        <f t="shared" si="45"/>
        <v/>
      </c>
      <c r="I490" s="161" t="str">
        <f t="shared" si="46"/>
        <v/>
      </c>
      <c r="J490" s="160" t="str">
        <f>IFERROR(INDEX(下年标准成本!I:I,MATCH(C490,下年标准成本!C:C,0),1),"")</f>
        <v/>
      </c>
      <c r="K490" s="146" t="str">
        <f t="shared" si="47"/>
        <v/>
      </c>
      <c r="L490" s="146" t="str">
        <f t="shared" si="48"/>
        <v/>
      </c>
      <c r="M490" s="148" t="str">
        <f t="shared" si="49"/>
        <v/>
      </c>
    </row>
    <row r="491" spans="1:13" x14ac:dyDescent="0.3">
      <c r="A491" s="149"/>
      <c r="B491" s="149"/>
      <c r="C491" s="149"/>
      <c r="D491" s="149"/>
      <c r="E491" s="149"/>
      <c r="F491" s="149"/>
      <c r="G491" s="162"/>
      <c r="H491" s="146" t="str">
        <f t="shared" si="45"/>
        <v/>
      </c>
      <c r="I491" s="161" t="str">
        <f t="shared" si="46"/>
        <v/>
      </c>
      <c r="J491" s="160" t="str">
        <f>IFERROR(INDEX(下年标准成本!I:I,MATCH(C491,下年标准成本!C:C,0),1),"")</f>
        <v/>
      </c>
      <c r="K491" s="146" t="str">
        <f t="shared" si="47"/>
        <v/>
      </c>
      <c r="L491" s="146" t="str">
        <f t="shared" si="48"/>
        <v/>
      </c>
      <c r="M491" s="148" t="str">
        <f t="shared" si="49"/>
        <v/>
      </c>
    </row>
    <row r="492" spans="1:13" x14ac:dyDescent="0.3">
      <c r="A492" s="149"/>
      <c r="B492" s="149"/>
      <c r="C492" s="149"/>
      <c r="D492" s="149"/>
      <c r="E492" s="149"/>
      <c r="F492" s="149"/>
      <c r="G492" s="162"/>
      <c r="H492" s="146" t="str">
        <f t="shared" si="45"/>
        <v/>
      </c>
      <c r="I492" s="161" t="str">
        <f t="shared" si="46"/>
        <v/>
      </c>
      <c r="J492" s="160" t="str">
        <f>IFERROR(INDEX(下年标准成本!I:I,MATCH(C492,下年标准成本!C:C,0),1),"")</f>
        <v/>
      </c>
      <c r="K492" s="146" t="str">
        <f t="shared" si="47"/>
        <v/>
      </c>
      <c r="L492" s="146" t="str">
        <f t="shared" si="48"/>
        <v/>
      </c>
      <c r="M492" s="148" t="str">
        <f t="shared" si="49"/>
        <v/>
      </c>
    </row>
    <row r="493" spans="1:13" x14ac:dyDescent="0.3">
      <c r="A493" s="149"/>
      <c r="B493" s="149"/>
      <c r="C493" s="149"/>
      <c r="D493" s="149"/>
      <c r="E493" s="149"/>
      <c r="F493" s="149"/>
      <c r="G493" s="162"/>
      <c r="H493" s="146" t="str">
        <f t="shared" si="45"/>
        <v/>
      </c>
      <c r="I493" s="161" t="str">
        <f t="shared" si="46"/>
        <v/>
      </c>
      <c r="J493" s="160" t="str">
        <f>IFERROR(INDEX(下年标准成本!I:I,MATCH(C493,下年标准成本!C:C,0),1),"")</f>
        <v/>
      </c>
      <c r="K493" s="146" t="str">
        <f t="shared" si="47"/>
        <v/>
      </c>
      <c r="L493" s="146" t="str">
        <f t="shared" si="48"/>
        <v/>
      </c>
      <c r="M493" s="148" t="str">
        <f t="shared" si="49"/>
        <v/>
      </c>
    </row>
    <row r="494" spans="1:13" x14ac:dyDescent="0.3">
      <c r="A494" s="149"/>
      <c r="B494" s="149"/>
      <c r="C494" s="149"/>
      <c r="D494" s="149"/>
      <c r="E494" s="149"/>
      <c r="F494" s="149"/>
      <c r="G494" s="162"/>
      <c r="H494" s="146" t="str">
        <f t="shared" si="45"/>
        <v/>
      </c>
      <c r="I494" s="161" t="str">
        <f t="shared" si="46"/>
        <v/>
      </c>
      <c r="J494" s="160" t="str">
        <f>IFERROR(INDEX(下年标准成本!I:I,MATCH(C494,下年标准成本!C:C,0),1),"")</f>
        <v/>
      </c>
      <c r="K494" s="146" t="str">
        <f t="shared" si="47"/>
        <v/>
      </c>
      <c r="L494" s="146" t="str">
        <f t="shared" si="48"/>
        <v/>
      </c>
      <c r="M494" s="148" t="str">
        <f t="shared" si="49"/>
        <v/>
      </c>
    </row>
    <row r="495" spans="1:13" x14ac:dyDescent="0.3">
      <c r="A495" s="149"/>
      <c r="B495" s="149"/>
      <c r="C495" s="149"/>
      <c r="D495" s="149"/>
      <c r="E495" s="149"/>
      <c r="F495" s="149"/>
      <c r="G495" s="162"/>
      <c r="H495" s="146" t="str">
        <f t="shared" si="45"/>
        <v/>
      </c>
      <c r="I495" s="161" t="str">
        <f t="shared" si="46"/>
        <v/>
      </c>
      <c r="J495" s="160" t="str">
        <f>IFERROR(INDEX(下年标准成本!I:I,MATCH(C495,下年标准成本!C:C,0),1),"")</f>
        <v/>
      </c>
      <c r="K495" s="146" t="str">
        <f t="shared" si="47"/>
        <v/>
      </c>
      <c r="L495" s="146" t="str">
        <f t="shared" si="48"/>
        <v/>
      </c>
      <c r="M495" s="148" t="str">
        <f t="shared" si="49"/>
        <v/>
      </c>
    </row>
    <row r="496" spans="1:13" x14ac:dyDescent="0.3">
      <c r="A496" s="149"/>
      <c r="B496" s="149"/>
      <c r="C496" s="149"/>
      <c r="D496" s="149"/>
      <c r="E496" s="149"/>
      <c r="F496" s="149"/>
      <c r="G496" s="162"/>
      <c r="H496" s="146" t="str">
        <f t="shared" si="45"/>
        <v/>
      </c>
      <c r="I496" s="161" t="str">
        <f t="shared" si="46"/>
        <v/>
      </c>
      <c r="J496" s="160" t="str">
        <f>IFERROR(INDEX(下年标准成本!I:I,MATCH(C496,下年标准成本!C:C,0),1),"")</f>
        <v/>
      </c>
      <c r="K496" s="146" t="str">
        <f t="shared" si="47"/>
        <v/>
      </c>
      <c r="L496" s="146" t="str">
        <f t="shared" si="48"/>
        <v/>
      </c>
      <c r="M496" s="148" t="str">
        <f t="shared" si="49"/>
        <v/>
      </c>
    </row>
    <row r="497" spans="1:13" x14ac:dyDescent="0.3">
      <c r="A497" s="149"/>
      <c r="B497" s="149"/>
      <c r="C497" s="149"/>
      <c r="D497" s="149"/>
      <c r="E497" s="149"/>
      <c r="F497" s="149"/>
      <c r="G497" s="162"/>
      <c r="H497" s="146" t="str">
        <f t="shared" si="45"/>
        <v/>
      </c>
      <c r="I497" s="161" t="str">
        <f t="shared" si="46"/>
        <v/>
      </c>
      <c r="J497" s="160" t="str">
        <f>IFERROR(INDEX(下年标准成本!I:I,MATCH(C497,下年标准成本!C:C,0),1),"")</f>
        <v/>
      </c>
      <c r="K497" s="146" t="str">
        <f t="shared" si="47"/>
        <v/>
      </c>
      <c r="L497" s="146" t="str">
        <f t="shared" si="48"/>
        <v/>
      </c>
      <c r="M497" s="148" t="str">
        <f t="shared" si="49"/>
        <v/>
      </c>
    </row>
    <row r="498" spans="1:13" x14ac:dyDescent="0.3">
      <c r="A498" s="149"/>
      <c r="B498" s="149"/>
      <c r="C498" s="149"/>
      <c r="D498" s="149"/>
      <c r="E498" s="149"/>
      <c r="F498" s="149"/>
      <c r="G498" s="162"/>
      <c r="H498" s="146" t="str">
        <f t="shared" si="45"/>
        <v/>
      </c>
      <c r="I498" s="161" t="str">
        <f t="shared" si="46"/>
        <v/>
      </c>
      <c r="J498" s="160" t="str">
        <f>IFERROR(INDEX(下年标准成本!I:I,MATCH(C498,下年标准成本!C:C,0),1),"")</f>
        <v/>
      </c>
      <c r="K498" s="146" t="str">
        <f t="shared" si="47"/>
        <v/>
      </c>
      <c r="L498" s="146" t="str">
        <f t="shared" si="48"/>
        <v/>
      </c>
      <c r="M498" s="148" t="str">
        <f t="shared" si="49"/>
        <v/>
      </c>
    </row>
    <row r="499" spans="1:13" x14ac:dyDescent="0.3">
      <c r="A499" s="149"/>
      <c r="B499" s="149"/>
      <c r="C499" s="149"/>
      <c r="D499" s="149"/>
      <c r="E499" s="149"/>
      <c r="F499" s="149"/>
      <c r="G499" s="162"/>
      <c r="H499" s="146" t="str">
        <f t="shared" si="45"/>
        <v/>
      </c>
      <c r="I499" s="161" t="str">
        <f t="shared" si="46"/>
        <v/>
      </c>
      <c r="J499" s="160" t="str">
        <f>IFERROR(INDEX(下年标准成本!I:I,MATCH(C499,下年标准成本!C:C,0),1),"")</f>
        <v/>
      </c>
      <c r="K499" s="146" t="str">
        <f t="shared" si="47"/>
        <v/>
      </c>
      <c r="L499" s="146" t="str">
        <f t="shared" si="48"/>
        <v/>
      </c>
      <c r="M499" s="148" t="str">
        <f t="shared" si="49"/>
        <v/>
      </c>
    </row>
    <row r="500" spans="1:13" x14ac:dyDescent="0.3">
      <c r="A500" s="149"/>
      <c r="B500" s="149"/>
      <c r="C500" s="149"/>
      <c r="D500" s="149"/>
      <c r="E500" s="149"/>
      <c r="F500" s="149"/>
      <c r="G500" s="162"/>
      <c r="H500" s="146" t="str">
        <f t="shared" si="45"/>
        <v/>
      </c>
      <c r="I500" s="161" t="str">
        <f t="shared" si="46"/>
        <v/>
      </c>
      <c r="J500" s="160" t="str">
        <f>IFERROR(INDEX(下年标准成本!I:I,MATCH(C500,下年标准成本!C:C,0),1),"")</f>
        <v/>
      </c>
      <c r="K500" s="146" t="str">
        <f t="shared" si="47"/>
        <v/>
      </c>
      <c r="L500" s="146" t="str">
        <f t="shared" si="48"/>
        <v/>
      </c>
      <c r="M500" s="148" t="str">
        <f t="shared" si="49"/>
        <v/>
      </c>
    </row>
    <row r="501" spans="1:13" x14ac:dyDescent="0.3">
      <c r="A501" s="149"/>
      <c r="B501" s="149"/>
      <c r="C501" s="149"/>
      <c r="D501" s="149"/>
      <c r="E501" s="149"/>
      <c r="F501" s="149"/>
      <c r="G501" s="162"/>
      <c r="H501" s="146" t="str">
        <f t="shared" si="45"/>
        <v/>
      </c>
      <c r="I501" s="161" t="str">
        <f t="shared" si="46"/>
        <v/>
      </c>
      <c r="J501" s="160" t="str">
        <f>IFERROR(INDEX(下年标准成本!I:I,MATCH(C501,下年标准成本!C:C,0),1),"")</f>
        <v/>
      </c>
      <c r="K501" s="146" t="str">
        <f t="shared" si="47"/>
        <v/>
      </c>
      <c r="L501" s="146" t="str">
        <f t="shared" si="48"/>
        <v/>
      </c>
      <c r="M501" s="148" t="str">
        <f t="shared" si="49"/>
        <v/>
      </c>
    </row>
    <row r="502" spans="1:13" x14ac:dyDescent="0.3">
      <c r="A502" s="149"/>
      <c r="B502" s="149"/>
      <c r="C502" s="149"/>
      <c r="D502" s="149"/>
      <c r="E502" s="149"/>
      <c r="F502" s="149"/>
      <c r="G502" s="162"/>
      <c r="H502" s="146" t="str">
        <f t="shared" si="45"/>
        <v/>
      </c>
      <c r="I502" s="161" t="str">
        <f t="shared" si="46"/>
        <v/>
      </c>
      <c r="J502" s="160" t="str">
        <f>IFERROR(INDEX(下年标准成本!I:I,MATCH(C502,下年标准成本!C:C,0),1),"")</f>
        <v/>
      </c>
      <c r="K502" s="146" t="str">
        <f t="shared" si="47"/>
        <v/>
      </c>
      <c r="L502" s="146" t="str">
        <f t="shared" si="48"/>
        <v/>
      </c>
      <c r="M502" s="148" t="str">
        <f t="shared" si="49"/>
        <v/>
      </c>
    </row>
    <row r="503" spans="1:13" x14ac:dyDescent="0.3">
      <c r="A503" s="149"/>
      <c r="B503" s="149"/>
      <c r="C503" s="149"/>
      <c r="D503" s="149"/>
      <c r="E503" s="149"/>
      <c r="F503" s="149"/>
      <c r="G503" s="162"/>
      <c r="H503" s="146" t="str">
        <f t="shared" si="45"/>
        <v/>
      </c>
      <c r="I503" s="161" t="str">
        <f t="shared" si="46"/>
        <v/>
      </c>
      <c r="J503" s="160" t="str">
        <f>IFERROR(INDEX(下年标准成本!I:I,MATCH(C503,下年标准成本!C:C,0),1),"")</f>
        <v/>
      </c>
      <c r="K503" s="146" t="str">
        <f t="shared" si="47"/>
        <v/>
      </c>
      <c r="L503" s="146" t="str">
        <f t="shared" si="48"/>
        <v/>
      </c>
      <c r="M503" s="148" t="str">
        <f t="shared" si="49"/>
        <v/>
      </c>
    </row>
    <row r="504" spans="1:13" x14ac:dyDescent="0.3">
      <c r="A504" s="149"/>
      <c r="B504" s="149"/>
      <c r="C504" s="149"/>
      <c r="D504" s="149"/>
      <c r="E504" s="149"/>
      <c r="F504" s="149"/>
      <c r="G504" s="162"/>
      <c r="H504" s="146" t="str">
        <f t="shared" si="45"/>
        <v/>
      </c>
      <c r="I504" s="161" t="str">
        <f t="shared" si="46"/>
        <v/>
      </c>
      <c r="J504" s="160" t="str">
        <f>IFERROR(INDEX(下年标准成本!I:I,MATCH(C504,下年标准成本!C:C,0),1),"")</f>
        <v/>
      </c>
      <c r="K504" s="146" t="str">
        <f t="shared" si="47"/>
        <v/>
      </c>
      <c r="L504" s="146" t="str">
        <f t="shared" si="48"/>
        <v/>
      </c>
      <c r="M504" s="148" t="str">
        <f t="shared" si="49"/>
        <v/>
      </c>
    </row>
    <row r="505" spans="1:13" x14ac:dyDescent="0.3">
      <c r="A505" s="149"/>
      <c r="B505" s="149"/>
      <c r="C505" s="149"/>
      <c r="D505" s="149"/>
      <c r="E505" s="149"/>
      <c r="F505" s="149"/>
      <c r="G505" s="162"/>
      <c r="H505" s="146" t="str">
        <f t="shared" si="45"/>
        <v/>
      </c>
      <c r="I505" s="161" t="str">
        <f t="shared" si="46"/>
        <v/>
      </c>
      <c r="J505" s="160" t="str">
        <f>IFERROR(INDEX(下年标准成本!I:I,MATCH(C505,下年标准成本!C:C,0),1),"")</f>
        <v/>
      </c>
      <c r="K505" s="146" t="str">
        <f t="shared" si="47"/>
        <v/>
      </c>
      <c r="L505" s="146" t="str">
        <f t="shared" si="48"/>
        <v/>
      </c>
      <c r="M505" s="148" t="str">
        <f t="shared" si="49"/>
        <v/>
      </c>
    </row>
    <row r="506" spans="1:13" x14ac:dyDescent="0.3">
      <c r="A506" s="149"/>
      <c r="B506" s="149"/>
      <c r="C506" s="149"/>
      <c r="D506" s="149"/>
      <c r="E506" s="149"/>
      <c r="F506" s="149"/>
      <c r="G506" s="162"/>
      <c r="H506" s="146" t="str">
        <f t="shared" si="45"/>
        <v/>
      </c>
      <c r="I506" s="161" t="str">
        <f t="shared" si="46"/>
        <v/>
      </c>
      <c r="J506" s="160" t="str">
        <f>IFERROR(INDEX(下年标准成本!I:I,MATCH(C506,下年标准成本!C:C,0),1),"")</f>
        <v/>
      </c>
      <c r="K506" s="146" t="str">
        <f t="shared" si="47"/>
        <v/>
      </c>
      <c r="L506" s="146" t="str">
        <f t="shared" si="48"/>
        <v/>
      </c>
      <c r="M506" s="148" t="str">
        <f t="shared" si="49"/>
        <v/>
      </c>
    </row>
    <row r="507" spans="1:13" x14ac:dyDescent="0.3">
      <c r="A507" s="149"/>
      <c r="B507" s="149"/>
      <c r="C507" s="149"/>
      <c r="D507" s="149"/>
      <c r="E507" s="149"/>
      <c r="F507" s="149"/>
      <c r="G507" s="162"/>
      <c r="H507" s="146" t="str">
        <f t="shared" si="45"/>
        <v/>
      </c>
      <c r="I507" s="161" t="str">
        <f t="shared" si="46"/>
        <v/>
      </c>
      <c r="J507" s="160" t="str">
        <f>IFERROR(INDEX(下年标准成本!I:I,MATCH(C507,下年标准成本!C:C,0),1),"")</f>
        <v/>
      </c>
      <c r="K507" s="146" t="str">
        <f t="shared" si="47"/>
        <v/>
      </c>
      <c r="L507" s="146" t="str">
        <f t="shared" si="48"/>
        <v/>
      </c>
      <c r="M507" s="148" t="str">
        <f t="shared" si="49"/>
        <v/>
      </c>
    </row>
    <row r="508" spans="1:13" x14ac:dyDescent="0.3">
      <c r="A508" s="149"/>
      <c r="B508" s="149"/>
      <c r="C508" s="149"/>
      <c r="D508" s="149"/>
      <c r="E508" s="149"/>
      <c r="F508" s="149"/>
      <c r="G508" s="162"/>
      <c r="H508" s="146" t="str">
        <f t="shared" si="45"/>
        <v/>
      </c>
      <c r="I508" s="161" t="str">
        <f t="shared" si="46"/>
        <v/>
      </c>
      <c r="J508" s="160" t="str">
        <f>IFERROR(INDEX(下年标准成本!I:I,MATCH(C508,下年标准成本!C:C,0),1),"")</f>
        <v/>
      </c>
      <c r="K508" s="146" t="str">
        <f t="shared" si="47"/>
        <v/>
      </c>
      <c r="L508" s="146" t="str">
        <f t="shared" si="48"/>
        <v/>
      </c>
      <c r="M508" s="148" t="str">
        <f t="shared" si="49"/>
        <v/>
      </c>
    </row>
    <row r="509" spans="1:13" x14ac:dyDescent="0.3">
      <c r="A509" s="149"/>
      <c r="B509" s="149"/>
      <c r="C509" s="149"/>
      <c r="D509" s="149"/>
      <c r="E509" s="149"/>
      <c r="F509" s="149"/>
      <c r="G509" s="162"/>
      <c r="H509" s="146" t="str">
        <f t="shared" si="45"/>
        <v/>
      </c>
      <c r="I509" s="161" t="str">
        <f t="shared" si="46"/>
        <v/>
      </c>
      <c r="J509" s="160" t="str">
        <f>IFERROR(INDEX(下年标准成本!I:I,MATCH(C509,下年标准成本!C:C,0),1),"")</f>
        <v/>
      </c>
      <c r="K509" s="146" t="str">
        <f t="shared" si="47"/>
        <v/>
      </c>
      <c r="L509" s="146" t="str">
        <f t="shared" si="48"/>
        <v/>
      </c>
      <c r="M509" s="148" t="str">
        <f t="shared" si="49"/>
        <v/>
      </c>
    </row>
    <row r="510" spans="1:13" x14ac:dyDescent="0.3">
      <c r="A510" s="149"/>
      <c r="B510" s="149"/>
      <c r="C510" s="149"/>
      <c r="D510" s="149"/>
      <c r="E510" s="149"/>
      <c r="F510" s="149"/>
      <c r="G510" s="162"/>
      <c r="H510" s="146" t="str">
        <f t="shared" si="45"/>
        <v/>
      </c>
      <c r="I510" s="161" t="str">
        <f t="shared" si="46"/>
        <v/>
      </c>
      <c r="J510" s="160" t="str">
        <f>IFERROR(INDEX(下年标准成本!I:I,MATCH(C510,下年标准成本!C:C,0),1),"")</f>
        <v/>
      </c>
      <c r="K510" s="146" t="str">
        <f t="shared" si="47"/>
        <v/>
      </c>
      <c r="L510" s="146" t="str">
        <f t="shared" si="48"/>
        <v/>
      </c>
      <c r="M510" s="148" t="str">
        <f t="shared" si="49"/>
        <v/>
      </c>
    </row>
    <row r="511" spans="1:13" x14ac:dyDescent="0.3">
      <c r="A511" s="149"/>
      <c r="B511" s="149"/>
      <c r="C511" s="149"/>
      <c r="D511" s="149"/>
      <c r="E511" s="149"/>
      <c r="F511" s="149"/>
      <c r="G511" s="162"/>
      <c r="H511" s="146" t="str">
        <f t="shared" si="45"/>
        <v/>
      </c>
      <c r="I511" s="161" t="str">
        <f t="shared" si="46"/>
        <v/>
      </c>
      <c r="J511" s="160" t="str">
        <f>IFERROR(INDEX(下年标准成本!I:I,MATCH(C511,下年标准成本!C:C,0),1),"")</f>
        <v/>
      </c>
      <c r="K511" s="146" t="str">
        <f t="shared" si="47"/>
        <v/>
      </c>
      <c r="L511" s="146" t="str">
        <f t="shared" si="48"/>
        <v/>
      </c>
      <c r="M511" s="148" t="str">
        <f t="shared" si="49"/>
        <v/>
      </c>
    </row>
    <row r="512" spans="1:13" x14ac:dyDescent="0.3">
      <c r="A512" s="149"/>
      <c r="B512" s="149"/>
      <c r="C512" s="149"/>
      <c r="D512" s="149"/>
      <c r="E512" s="149"/>
      <c r="F512" s="149"/>
      <c r="G512" s="162"/>
      <c r="H512" s="146" t="str">
        <f t="shared" si="45"/>
        <v/>
      </c>
      <c r="I512" s="161" t="str">
        <f t="shared" si="46"/>
        <v/>
      </c>
      <c r="J512" s="160" t="str">
        <f>IFERROR(INDEX(下年标准成本!I:I,MATCH(C512,下年标准成本!C:C,0),1),"")</f>
        <v/>
      </c>
      <c r="K512" s="146" t="str">
        <f t="shared" si="47"/>
        <v/>
      </c>
      <c r="L512" s="146" t="str">
        <f t="shared" si="48"/>
        <v/>
      </c>
      <c r="M512" s="148" t="str">
        <f t="shared" si="49"/>
        <v/>
      </c>
    </row>
    <row r="513" spans="1:13" x14ac:dyDescent="0.3">
      <c r="A513" s="149"/>
      <c r="B513" s="149"/>
      <c r="C513" s="149"/>
      <c r="D513" s="149"/>
      <c r="E513" s="149"/>
      <c r="F513" s="149"/>
      <c r="G513" s="162"/>
      <c r="H513" s="146" t="str">
        <f t="shared" si="45"/>
        <v/>
      </c>
      <c r="I513" s="161" t="str">
        <f t="shared" si="46"/>
        <v/>
      </c>
      <c r="J513" s="160" t="str">
        <f>IFERROR(INDEX(下年标准成本!I:I,MATCH(C513,下年标准成本!C:C,0),1),"")</f>
        <v/>
      </c>
      <c r="K513" s="146" t="str">
        <f t="shared" si="47"/>
        <v/>
      </c>
      <c r="L513" s="146" t="str">
        <f t="shared" si="48"/>
        <v/>
      </c>
      <c r="M513" s="148" t="str">
        <f t="shared" si="49"/>
        <v/>
      </c>
    </row>
    <row r="514" spans="1:13" x14ac:dyDescent="0.3">
      <c r="A514" s="149"/>
      <c r="B514" s="149"/>
      <c r="C514" s="149"/>
      <c r="D514" s="149"/>
      <c r="E514" s="149"/>
      <c r="F514" s="149"/>
      <c r="G514" s="162"/>
      <c r="H514" s="146" t="str">
        <f t="shared" si="45"/>
        <v/>
      </c>
      <c r="I514" s="161" t="str">
        <f t="shared" si="46"/>
        <v/>
      </c>
      <c r="J514" s="160" t="str">
        <f>IFERROR(INDEX(下年标准成本!I:I,MATCH(C514,下年标准成本!C:C,0),1),"")</f>
        <v/>
      </c>
      <c r="K514" s="146" t="str">
        <f t="shared" si="47"/>
        <v/>
      </c>
      <c r="L514" s="146" t="str">
        <f t="shared" si="48"/>
        <v/>
      </c>
      <c r="M514" s="148" t="str">
        <f t="shared" si="49"/>
        <v/>
      </c>
    </row>
    <row r="515" spans="1:13" x14ac:dyDescent="0.3">
      <c r="A515" s="149"/>
      <c r="B515" s="149"/>
      <c r="C515" s="149"/>
      <c r="D515" s="149"/>
      <c r="E515" s="149"/>
      <c r="F515" s="149"/>
      <c r="G515" s="162"/>
      <c r="H515" s="146" t="str">
        <f t="shared" si="45"/>
        <v/>
      </c>
      <c r="I515" s="161" t="str">
        <f t="shared" si="46"/>
        <v/>
      </c>
      <c r="J515" s="160" t="str">
        <f>IFERROR(INDEX(下年标准成本!I:I,MATCH(C515,下年标准成本!C:C,0),1),"")</f>
        <v/>
      </c>
      <c r="K515" s="146" t="str">
        <f t="shared" si="47"/>
        <v/>
      </c>
      <c r="L515" s="146" t="str">
        <f t="shared" si="48"/>
        <v/>
      </c>
      <c r="M515" s="148" t="str">
        <f t="shared" si="49"/>
        <v/>
      </c>
    </row>
    <row r="516" spans="1:13" x14ac:dyDescent="0.3">
      <c r="A516" s="149"/>
      <c r="B516" s="149"/>
      <c r="C516" s="149"/>
      <c r="D516" s="149"/>
      <c r="E516" s="149"/>
      <c r="F516" s="149"/>
      <c r="G516" s="162"/>
      <c r="H516" s="146" t="str">
        <f t="shared" si="45"/>
        <v/>
      </c>
      <c r="I516" s="161" t="str">
        <f t="shared" si="46"/>
        <v/>
      </c>
      <c r="J516" s="160" t="str">
        <f>IFERROR(INDEX(下年标准成本!I:I,MATCH(C516,下年标准成本!C:C,0),1),"")</f>
        <v/>
      </c>
      <c r="K516" s="146" t="str">
        <f t="shared" si="47"/>
        <v/>
      </c>
      <c r="L516" s="146" t="str">
        <f t="shared" si="48"/>
        <v/>
      </c>
      <c r="M516" s="148" t="str">
        <f t="shared" si="49"/>
        <v/>
      </c>
    </row>
    <row r="517" spans="1:13" x14ac:dyDescent="0.3">
      <c r="A517" s="149"/>
      <c r="B517" s="149"/>
      <c r="C517" s="149"/>
      <c r="D517" s="149"/>
      <c r="E517" s="149"/>
      <c r="F517" s="149"/>
      <c r="G517" s="162"/>
      <c r="H517" s="146" t="str">
        <f t="shared" si="45"/>
        <v/>
      </c>
      <c r="I517" s="161" t="str">
        <f t="shared" si="46"/>
        <v/>
      </c>
      <c r="J517" s="160" t="str">
        <f>IFERROR(INDEX(下年标准成本!I:I,MATCH(C517,下年标准成本!C:C,0),1),"")</f>
        <v/>
      </c>
      <c r="K517" s="146" t="str">
        <f t="shared" si="47"/>
        <v/>
      </c>
      <c r="L517" s="146" t="str">
        <f t="shared" si="48"/>
        <v/>
      </c>
      <c r="M517" s="148" t="str">
        <f t="shared" si="49"/>
        <v/>
      </c>
    </row>
    <row r="518" spans="1:13" x14ac:dyDescent="0.3">
      <c r="A518" s="149"/>
      <c r="B518" s="149"/>
      <c r="C518" s="149"/>
      <c r="D518" s="149"/>
      <c r="E518" s="149"/>
      <c r="F518" s="149"/>
      <c r="G518" s="162"/>
      <c r="H518" s="146" t="str">
        <f t="shared" si="45"/>
        <v/>
      </c>
      <c r="I518" s="161" t="str">
        <f t="shared" si="46"/>
        <v/>
      </c>
      <c r="J518" s="160" t="str">
        <f>IFERROR(INDEX(下年标准成本!I:I,MATCH(C518,下年标准成本!C:C,0),1),"")</f>
        <v/>
      </c>
      <c r="K518" s="146" t="str">
        <f t="shared" si="47"/>
        <v/>
      </c>
      <c r="L518" s="146" t="str">
        <f t="shared" si="48"/>
        <v/>
      </c>
      <c r="M518" s="148" t="str">
        <f t="shared" si="49"/>
        <v/>
      </c>
    </row>
    <row r="519" spans="1:13" x14ac:dyDescent="0.3">
      <c r="A519" s="149"/>
      <c r="B519" s="149"/>
      <c r="C519" s="149"/>
      <c r="D519" s="149"/>
      <c r="E519" s="149"/>
      <c r="F519" s="149"/>
      <c r="G519" s="162"/>
      <c r="H519" s="146" t="str">
        <f t="shared" si="45"/>
        <v/>
      </c>
      <c r="I519" s="161" t="str">
        <f t="shared" si="46"/>
        <v/>
      </c>
      <c r="J519" s="160" t="str">
        <f>IFERROR(INDEX(下年标准成本!I:I,MATCH(C519,下年标准成本!C:C,0),1),"")</f>
        <v/>
      </c>
      <c r="K519" s="146" t="str">
        <f t="shared" si="47"/>
        <v/>
      </c>
      <c r="L519" s="146" t="str">
        <f t="shared" si="48"/>
        <v/>
      </c>
      <c r="M519" s="148" t="str">
        <f t="shared" si="49"/>
        <v/>
      </c>
    </row>
    <row r="520" spans="1:13" x14ac:dyDescent="0.3">
      <c r="A520" s="149"/>
      <c r="B520" s="149"/>
      <c r="C520" s="149"/>
      <c r="D520" s="149"/>
      <c r="E520" s="149"/>
      <c r="F520" s="149"/>
      <c r="G520" s="162"/>
      <c r="H520" s="146" t="str">
        <f t="shared" si="45"/>
        <v/>
      </c>
      <c r="I520" s="161" t="str">
        <f t="shared" si="46"/>
        <v/>
      </c>
      <c r="J520" s="160" t="str">
        <f>IFERROR(INDEX(下年标准成本!I:I,MATCH(C520,下年标准成本!C:C,0),1),"")</f>
        <v/>
      </c>
      <c r="K520" s="146" t="str">
        <f t="shared" si="47"/>
        <v/>
      </c>
      <c r="L520" s="146" t="str">
        <f t="shared" si="48"/>
        <v/>
      </c>
      <c r="M520" s="148" t="str">
        <f t="shared" si="49"/>
        <v/>
      </c>
    </row>
    <row r="521" spans="1:13" x14ac:dyDescent="0.3">
      <c r="A521" s="149"/>
      <c r="B521" s="149"/>
      <c r="C521" s="149"/>
      <c r="D521" s="149"/>
      <c r="E521" s="149"/>
      <c r="F521" s="149"/>
      <c r="G521" s="162"/>
      <c r="H521" s="146" t="str">
        <f t="shared" si="45"/>
        <v/>
      </c>
      <c r="I521" s="161" t="str">
        <f t="shared" si="46"/>
        <v/>
      </c>
      <c r="J521" s="160" t="str">
        <f>IFERROR(INDEX(下年标准成本!I:I,MATCH(C521,下年标准成本!C:C,0),1),"")</f>
        <v/>
      </c>
      <c r="K521" s="146" t="str">
        <f t="shared" si="47"/>
        <v/>
      </c>
      <c r="L521" s="146" t="str">
        <f t="shared" si="48"/>
        <v/>
      </c>
      <c r="M521" s="148" t="str">
        <f t="shared" si="49"/>
        <v/>
      </c>
    </row>
    <row r="522" spans="1:13" x14ac:dyDescent="0.3">
      <c r="A522" s="149"/>
      <c r="B522" s="149"/>
      <c r="C522" s="149"/>
      <c r="D522" s="149"/>
      <c r="E522" s="149"/>
      <c r="F522" s="149"/>
      <c r="G522" s="162"/>
      <c r="H522" s="146" t="str">
        <f t="shared" ref="H522:H585" si="50">IFERROR(F522/E522,"")</f>
        <v/>
      </c>
      <c r="I522" s="161" t="str">
        <f t="shared" ref="I522:I585" si="51">IFERROR(H522*(1+G522),"")</f>
        <v/>
      </c>
      <c r="J522" s="160" t="str">
        <f>IFERROR(INDEX(下年标准成本!I:I,MATCH(C522,下年标准成本!C:C,0),1),"")</f>
        <v/>
      </c>
      <c r="K522" s="146" t="str">
        <f t="shared" ref="K522:K585" si="52">IFERROR(E522*J522,"")</f>
        <v/>
      </c>
      <c r="L522" s="146" t="str">
        <f t="shared" ref="L522:L585" si="53">IFERROR(F522-K522,"")</f>
        <v/>
      </c>
      <c r="M522" s="148" t="str">
        <f t="shared" ref="M522:M585" si="54">IFERROR(L522/F522,"")</f>
        <v/>
      </c>
    </row>
    <row r="523" spans="1:13" x14ac:dyDescent="0.3">
      <c r="A523" s="149"/>
      <c r="B523" s="149"/>
      <c r="C523" s="149"/>
      <c r="D523" s="149"/>
      <c r="E523" s="149"/>
      <c r="F523" s="149"/>
      <c r="G523" s="162"/>
      <c r="H523" s="146" t="str">
        <f t="shared" si="50"/>
        <v/>
      </c>
      <c r="I523" s="161" t="str">
        <f t="shared" si="51"/>
        <v/>
      </c>
      <c r="J523" s="160" t="str">
        <f>IFERROR(INDEX(下年标准成本!I:I,MATCH(C523,下年标准成本!C:C,0),1),"")</f>
        <v/>
      </c>
      <c r="K523" s="146" t="str">
        <f t="shared" si="52"/>
        <v/>
      </c>
      <c r="L523" s="146" t="str">
        <f t="shared" si="53"/>
        <v/>
      </c>
      <c r="M523" s="148" t="str">
        <f t="shared" si="54"/>
        <v/>
      </c>
    </row>
    <row r="524" spans="1:13" x14ac:dyDescent="0.3">
      <c r="A524" s="149"/>
      <c r="B524" s="149"/>
      <c r="C524" s="149"/>
      <c r="D524" s="149"/>
      <c r="E524" s="149"/>
      <c r="F524" s="149"/>
      <c r="G524" s="162"/>
      <c r="H524" s="146" t="str">
        <f t="shared" si="50"/>
        <v/>
      </c>
      <c r="I524" s="161" t="str">
        <f t="shared" si="51"/>
        <v/>
      </c>
      <c r="J524" s="160" t="str">
        <f>IFERROR(INDEX(下年标准成本!I:I,MATCH(C524,下年标准成本!C:C,0),1),"")</f>
        <v/>
      </c>
      <c r="K524" s="146" t="str">
        <f t="shared" si="52"/>
        <v/>
      </c>
      <c r="L524" s="146" t="str">
        <f t="shared" si="53"/>
        <v/>
      </c>
      <c r="M524" s="148" t="str">
        <f t="shared" si="54"/>
        <v/>
      </c>
    </row>
    <row r="525" spans="1:13" x14ac:dyDescent="0.3">
      <c r="A525" s="149"/>
      <c r="B525" s="149"/>
      <c r="C525" s="149"/>
      <c r="D525" s="149"/>
      <c r="E525" s="149"/>
      <c r="F525" s="149"/>
      <c r="G525" s="162"/>
      <c r="H525" s="146" t="str">
        <f t="shared" si="50"/>
        <v/>
      </c>
      <c r="I525" s="161" t="str">
        <f t="shared" si="51"/>
        <v/>
      </c>
      <c r="J525" s="160" t="str">
        <f>IFERROR(INDEX(下年标准成本!I:I,MATCH(C525,下年标准成本!C:C,0),1),"")</f>
        <v/>
      </c>
      <c r="K525" s="146" t="str">
        <f t="shared" si="52"/>
        <v/>
      </c>
      <c r="L525" s="146" t="str">
        <f t="shared" si="53"/>
        <v/>
      </c>
      <c r="M525" s="148" t="str">
        <f t="shared" si="54"/>
        <v/>
      </c>
    </row>
    <row r="526" spans="1:13" x14ac:dyDescent="0.3">
      <c r="A526" s="149"/>
      <c r="B526" s="149"/>
      <c r="C526" s="149"/>
      <c r="D526" s="149"/>
      <c r="E526" s="149"/>
      <c r="F526" s="149"/>
      <c r="G526" s="162"/>
      <c r="H526" s="146" t="str">
        <f t="shared" si="50"/>
        <v/>
      </c>
      <c r="I526" s="161" t="str">
        <f t="shared" si="51"/>
        <v/>
      </c>
      <c r="J526" s="160" t="str">
        <f>IFERROR(INDEX(下年标准成本!I:I,MATCH(C526,下年标准成本!C:C,0),1),"")</f>
        <v/>
      </c>
      <c r="K526" s="146" t="str">
        <f t="shared" si="52"/>
        <v/>
      </c>
      <c r="L526" s="146" t="str">
        <f t="shared" si="53"/>
        <v/>
      </c>
      <c r="M526" s="148" t="str">
        <f t="shared" si="54"/>
        <v/>
      </c>
    </row>
    <row r="527" spans="1:13" x14ac:dyDescent="0.3">
      <c r="A527" s="149"/>
      <c r="B527" s="149"/>
      <c r="C527" s="149"/>
      <c r="D527" s="149"/>
      <c r="E527" s="149"/>
      <c r="F527" s="149"/>
      <c r="G527" s="162"/>
      <c r="H527" s="146" t="str">
        <f t="shared" si="50"/>
        <v/>
      </c>
      <c r="I527" s="161" t="str">
        <f t="shared" si="51"/>
        <v/>
      </c>
      <c r="J527" s="160" t="str">
        <f>IFERROR(INDEX(下年标准成本!I:I,MATCH(C527,下年标准成本!C:C,0),1),"")</f>
        <v/>
      </c>
      <c r="K527" s="146" t="str">
        <f t="shared" si="52"/>
        <v/>
      </c>
      <c r="L527" s="146" t="str">
        <f t="shared" si="53"/>
        <v/>
      </c>
      <c r="M527" s="148" t="str">
        <f t="shared" si="54"/>
        <v/>
      </c>
    </row>
    <row r="528" spans="1:13" x14ac:dyDescent="0.3">
      <c r="A528" s="149"/>
      <c r="B528" s="149"/>
      <c r="C528" s="149"/>
      <c r="D528" s="149"/>
      <c r="E528" s="149"/>
      <c r="F528" s="149"/>
      <c r="G528" s="162"/>
      <c r="H528" s="146" t="str">
        <f t="shared" si="50"/>
        <v/>
      </c>
      <c r="I528" s="161" t="str">
        <f t="shared" si="51"/>
        <v/>
      </c>
      <c r="J528" s="160" t="str">
        <f>IFERROR(INDEX(下年标准成本!I:I,MATCH(C528,下年标准成本!C:C,0),1),"")</f>
        <v/>
      </c>
      <c r="K528" s="146" t="str">
        <f t="shared" si="52"/>
        <v/>
      </c>
      <c r="L528" s="146" t="str">
        <f t="shared" si="53"/>
        <v/>
      </c>
      <c r="M528" s="148" t="str">
        <f t="shared" si="54"/>
        <v/>
      </c>
    </row>
    <row r="529" spans="1:13" x14ac:dyDescent="0.3">
      <c r="A529" s="149"/>
      <c r="B529" s="149"/>
      <c r="C529" s="149"/>
      <c r="D529" s="149"/>
      <c r="E529" s="149"/>
      <c r="F529" s="149"/>
      <c r="G529" s="162"/>
      <c r="H529" s="146" t="str">
        <f t="shared" si="50"/>
        <v/>
      </c>
      <c r="I529" s="161" t="str">
        <f t="shared" si="51"/>
        <v/>
      </c>
      <c r="J529" s="160" t="str">
        <f>IFERROR(INDEX(下年标准成本!I:I,MATCH(C529,下年标准成本!C:C,0),1),"")</f>
        <v/>
      </c>
      <c r="K529" s="146" t="str">
        <f t="shared" si="52"/>
        <v/>
      </c>
      <c r="L529" s="146" t="str">
        <f t="shared" si="53"/>
        <v/>
      </c>
      <c r="M529" s="148" t="str">
        <f t="shared" si="54"/>
        <v/>
      </c>
    </row>
    <row r="530" spans="1:13" x14ac:dyDescent="0.3">
      <c r="A530" s="149"/>
      <c r="B530" s="149"/>
      <c r="C530" s="149"/>
      <c r="D530" s="149"/>
      <c r="E530" s="149"/>
      <c r="F530" s="149"/>
      <c r="G530" s="162"/>
      <c r="H530" s="146" t="str">
        <f t="shared" si="50"/>
        <v/>
      </c>
      <c r="I530" s="161" t="str">
        <f t="shared" si="51"/>
        <v/>
      </c>
      <c r="J530" s="160" t="str">
        <f>IFERROR(INDEX(下年标准成本!I:I,MATCH(C530,下年标准成本!C:C,0),1),"")</f>
        <v/>
      </c>
      <c r="K530" s="146" t="str">
        <f t="shared" si="52"/>
        <v/>
      </c>
      <c r="L530" s="146" t="str">
        <f t="shared" si="53"/>
        <v/>
      </c>
      <c r="M530" s="148" t="str">
        <f t="shared" si="54"/>
        <v/>
      </c>
    </row>
    <row r="531" spans="1:13" x14ac:dyDescent="0.3">
      <c r="A531" s="149"/>
      <c r="B531" s="149"/>
      <c r="C531" s="149"/>
      <c r="D531" s="149"/>
      <c r="E531" s="149"/>
      <c r="F531" s="149"/>
      <c r="G531" s="162"/>
      <c r="H531" s="146" t="str">
        <f t="shared" si="50"/>
        <v/>
      </c>
      <c r="I531" s="161" t="str">
        <f t="shared" si="51"/>
        <v/>
      </c>
      <c r="J531" s="160" t="str">
        <f>IFERROR(INDEX(下年标准成本!I:I,MATCH(C531,下年标准成本!C:C,0),1),"")</f>
        <v/>
      </c>
      <c r="K531" s="146" t="str">
        <f t="shared" si="52"/>
        <v/>
      </c>
      <c r="L531" s="146" t="str">
        <f t="shared" si="53"/>
        <v/>
      </c>
      <c r="M531" s="148" t="str">
        <f t="shared" si="54"/>
        <v/>
      </c>
    </row>
    <row r="532" spans="1:13" x14ac:dyDescent="0.3">
      <c r="A532" s="149"/>
      <c r="B532" s="149"/>
      <c r="C532" s="149"/>
      <c r="D532" s="149"/>
      <c r="E532" s="149"/>
      <c r="F532" s="149"/>
      <c r="G532" s="162"/>
      <c r="H532" s="146" t="str">
        <f t="shared" si="50"/>
        <v/>
      </c>
      <c r="I532" s="161" t="str">
        <f t="shared" si="51"/>
        <v/>
      </c>
      <c r="J532" s="160" t="str">
        <f>IFERROR(INDEX(下年标准成本!I:I,MATCH(C532,下年标准成本!C:C,0),1),"")</f>
        <v/>
      </c>
      <c r="K532" s="146" t="str">
        <f t="shared" si="52"/>
        <v/>
      </c>
      <c r="L532" s="146" t="str">
        <f t="shared" si="53"/>
        <v/>
      </c>
      <c r="M532" s="148" t="str">
        <f t="shared" si="54"/>
        <v/>
      </c>
    </row>
    <row r="533" spans="1:13" x14ac:dyDescent="0.3">
      <c r="A533" s="149"/>
      <c r="B533" s="149"/>
      <c r="C533" s="149"/>
      <c r="D533" s="149"/>
      <c r="E533" s="149"/>
      <c r="F533" s="149"/>
      <c r="G533" s="162"/>
      <c r="H533" s="146" t="str">
        <f t="shared" si="50"/>
        <v/>
      </c>
      <c r="I533" s="161" t="str">
        <f t="shared" si="51"/>
        <v/>
      </c>
      <c r="J533" s="160" t="str">
        <f>IFERROR(INDEX(下年标准成本!I:I,MATCH(C533,下年标准成本!C:C,0),1),"")</f>
        <v/>
      </c>
      <c r="K533" s="146" t="str">
        <f t="shared" si="52"/>
        <v/>
      </c>
      <c r="L533" s="146" t="str">
        <f t="shared" si="53"/>
        <v/>
      </c>
      <c r="M533" s="148" t="str">
        <f t="shared" si="54"/>
        <v/>
      </c>
    </row>
    <row r="534" spans="1:13" x14ac:dyDescent="0.3">
      <c r="A534" s="149"/>
      <c r="B534" s="149"/>
      <c r="C534" s="149"/>
      <c r="D534" s="149"/>
      <c r="E534" s="149"/>
      <c r="F534" s="149"/>
      <c r="G534" s="162"/>
      <c r="H534" s="146" t="str">
        <f t="shared" si="50"/>
        <v/>
      </c>
      <c r="I534" s="161" t="str">
        <f t="shared" si="51"/>
        <v/>
      </c>
      <c r="J534" s="160" t="str">
        <f>IFERROR(INDEX(下年标准成本!I:I,MATCH(C534,下年标准成本!C:C,0),1),"")</f>
        <v/>
      </c>
      <c r="K534" s="146" t="str">
        <f t="shared" si="52"/>
        <v/>
      </c>
      <c r="L534" s="146" t="str">
        <f t="shared" si="53"/>
        <v/>
      </c>
      <c r="M534" s="148" t="str">
        <f t="shared" si="54"/>
        <v/>
      </c>
    </row>
    <row r="535" spans="1:13" x14ac:dyDescent="0.3">
      <c r="A535" s="149"/>
      <c r="B535" s="149"/>
      <c r="C535" s="149"/>
      <c r="D535" s="149"/>
      <c r="E535" s="149"/>
      <c r="F535" s="149"/>
      <c r="G535" s="162"/>
      <c r="H535" s="146" t="str">
        <f t="shared" si="50"/>
        <v/>
      </c>
      <c r="I535" s="161" t="str">
        <f t="shared" si="51"/>
        <v/>
      </c>
      <c r="J535" s="160" t="str">
        <f>IFERROR(INDEX(下年标准成本!I:I,MATCH(C535,下年标准成本!C:C,0),1),"")</f>
        <v/>
      </c>
      <c r="K535" s="146" t="str">
        <f t="shared" si="52"/>
        <v/>
      </c>
      <c r="L535" s="146" t="str">
        <f t="shared" si="53"/>
        <v/>
      </c>
      <c r="M535" s="148" t="str">
        <f t="shared" si="54"/>
        <v/>
      </c>
    </row>
    <row r="536" spans="1:13" x14ac:dyDescent="0.3">
      <c r="A536" s="149"/>
      <c r="B536" s="149"/>
      <c r="C536" s="149"/>
      <c r="D536" s="149"/>
      <c r="E536" s="149"/>
      <c r="F536" s="149"/>
      <c r="G536" s="162"/>
      <c r="H536" s="146" t="str">
        <f t="shared" si="50"/>
        <v/>
      </c>
      <c r="I536" s="161" t="str">
        <f t="shared" si="51"/>
        <v/>
      </c>
      <c r="J536" s="160" t="str">
        <f>IFERROR(INDEX(下年标准成本!I:I,MATCH(C536,下年标准成本!C:C,0),1),"")</f>
        <v/>
      </c>
      <c r="K536" s="146" t="str">
        <f t="shared" si="52"/>
        <v/>
      </c>
      <c r="L536" s="146" t="str">
        <f t="shared" si="53"/>
        <v/>
      </c>
      <c r="M536" s="148" t="str">
        <f t="shared" si="54"/>
        <v/>
      </c>
    </row>
    <row r="537" spans="1:13" x14ac:dyDescent="0.3">
      <c r="A537" s="149"/>
      <c r="B537" s="149"/>
      <c r="C537" s="149"/>
      <c r="D537" s="149"/>
      <c r="E537" s="149"/>
      <c r="F537" s="149"/>
      <c r="G537" s="162"/>
      <c r="H537" s="146" t="str">
        <f t="shared" si="50"/>
        <v/>
      </c>
      <c r="I537" s="161" t="str">
        <f t="shared" si="51"/>
        <v/>
      </c>
      <c r="J537" s="160" t="str">
        <f>IFERROR(INDEX(下年标准成本!I:I,MATCH(C537,下年标准成本!C:C,0),1),"")</f>
        <v/>
      </c>
      <c r="K537" s="146" t="str">
        <f t="shared" si="52"/>
        <v/>
      </c>
      <c r="L537" s="146" t="str">
        <f t="shared" si="53"/>
        <v/>
      </c>
      <c r="M537" s="148" t="str">
        <f t="shared" si="54"/>
        <v/>
      </c>
    </row>
    <row r="538" spans="1:13" x14ac:dyDescent="0.3">
      <c r="A538" s="149"/>
      <c r="B538" s="149"/>
      <c r="C538" s="149"/>
      <c r="D538" s="149"/>
      <c r="E538" s="149"/>
      <c r="F538" s="149"/>
      <c r="G538" s="162"/>
      <c r="H538" s="146" t="str">
        <f t="shared" si="50"/>
        <v/>
      </c>
      <c r="I538" s="161" t="str">
        <f t="shared" si="51"/>
        <v/>
      </c>
      <c r="J538" s="160" t="str">
        <f>IFERROR(INDEX(下年标准成本!I:I,MATCH(C538,下年标准成本!C:C,0),1),"")</f>
        <v/>
      </c>
      <c r="K538" s="146" t="str">
        <f t="shared" si="52"/>
        <v/>
      </c>
      <c r="L538" s="146" t="str">
        <f t="shared" si="53"/>
        <v/>
      </c>
      <c r="M538" s="148" t="str">
        <f t="shared" si="54"/>
        <v/>
      </c>
    </row>
    <row r="539" spans="1:13" x14ac:dyDescent="0.3">
      <c r="A539" s="149"/>
      <c r="B539" s="149"/>
      <c r="C539" s="149"/>
      <c r="D539" s="149"/>
      <c r="E539" s="149"/>
      <c r="F539" s="149"/>
      <c r="G539" s="162"/>
      <c r="H539" s="146" t="str">
        <f t="shared" si="50"/>
        <v/>
      </c>
      <c r="I539" s="161" t="str">
        <f t="shared" si="51"/>
        <v/>
      </c>
      <c r="J539" s="160" t="str">
        <f>IFERROR(INDEX(下年标准成本!I:I,MATCH(C539,下年标准成本!C:C,0),1),"")</f>
        <v/>
      </c>
      <c r="K539" s="146" t="str">
        <f t="shared" si="52"/>
        <v/>
      </c>
      <c r="L539" s="146" t="str">
        <f t="shared" si="53"/>
        <v/>
      </c>
      <c r="M539" s="148" t="str">
        <f t="shared" si="54"/>
        <v/>
      </c>
    </row>
    <row r="540" spans="1:13" x14ac:dyDescent="0.3">
      <c r="A540" s="149"/>
      <c r="B540" s="149"/>
      <c r="C540" s="149"/>
      <c r="D540" s="149"/>
      <c r="E540" s="149"/>
      <c r="F540" s="149"/>
      <c r="G540" s="162"/>
      <c r="H540" s="146" t="str">
        <f t="shared" si="50"/>
        <v/>
      </c>
      <c r="I540" s="161" t="str">
        <f t="shared" si="51"/>
        <v/>
      </c>
      <c r="J540" s="160" t="str">
        <f>IFERROR(INDEX(下年标准成本!I:I,MATCH(C540,下年标准成本!C:C,0),1),"")</f>
        <v/>
      </c>
      <c r="K540" s="146" t="str">
        <f t="shared" si="52"/>
        <v/>
      </c>
      <c r="L540" s="146" t="str">
        <f t="shared" si="53"/>
        <v/>
      </c>
      <c r="M540" s="148" t="str">
        <f t="shared" si="54"/>
        <v/>
      </c>
    </row>
    <row r="541" spans="1:13" x14ac:dyDescent="0.3">
      <c r="A541" s="149"/>
      <c r="B541" s="149"/>
      <c r="C541" s="149"/>
      <c r="D541" s="149"/>
      <c r="E541" s="149"/>
      <c r="F541" s="149"/>
      <c r="G541" s="162"/>
      <c r="H541" s="146" t="str">
        <f t="shared" si="50"/>
        <v/>
      </c>
      <c r="I541" s="161" t="str">
        <f t="shared" si="51"/>
        <v/>
      </c>
      <c r="J541" s="160" t="str">
        <f>IFERROR(INDEX(下年标准成本!I:I,MATCH(C541,下年标准成本!C:C,0),1),"")</f>
        <v/>
      </c>
      <c r="K541" s="146" t="str">
        <f t="shared" si="52"/>
        <v/>
      </c>
      <c r="L541" s="146" t="str">
        <f t="shared" si="53"/>
        <v/>
      </c>
      <c r="M541" s="148" t="str">
        <f t="shared" si="54"/>
        <v/>
      </c>
    </row>
    <row r="542" spans="1:13" x14ac:dyDescent="0.3">
      <c r="A542" s="149"/>
      <c r="B542" s="149"/>
      <c r="C542" s="149"/>
      <c r="D542" s="149"/>
      <c r="E542" s="149"/>
      <c r="F542" s="149"/>
      <c r="G542" s="162"/>
      <c r="H542" s="146" t="str">
        <f t="shared" si="50"/>
        <v/>
      </c>
      <c r="I542" s="161" t="str">
        <f t="shared" si="51"/>
        <v/>
      </c>
      <c r="J542" s="160" t="str">
        <f>IFERROR(INDEX(下年标准成本!I:I,MATCH(C542,下年标准成本!C:C,0),1),"")</f>
        <v/>
      </c>
      <c r="K542" s="146" t="str">
        <f t="shared" si="52"/>
        <v/>
      </c>
      <c r="L542" s="146" t="str">
        <f t="shared" si="53"/>
        <v/>
      </c>
      <c r="M542" s="148" t="str">
        <f t="shared" si="54"/>
        <v/>
      </c>
    </row>
    <row r="543" spans="1:13" x14ac:dyDescent="0.3">
      <c r="A543" s="149"/>
      <c r="B543" s="149"/>
      <c r="C543" s="149"/>
      <c r="D543" s="149"/>
      <c r="E543" s="149"/>
      <c r="F543" s="149"/>
      <c r="G543" s="162"/>
      <c r="H543" s="146" t="str">
        <f t="shared" si="50"/>
        <v/>
      </c>
      <c r="I543" s="161" t="str">
        <f t="shared" si="51"/>
        <v/>
      </c>
      <c r="J543" s="160" t="str">
        <f>IFERROR(INDEX(下年标准成本!I:I,MATCH(C543,下年标准成本!C:C,0),1),"")</f>
        <v/>
      </c>
      <c r="K543" s="146" t="str">
        <f t="shared" si="52"/>
        <v/>
      </c>
      <c r="L543" s="146" t="str">
        <f t="shared" si="53"/>
        <v/>
      </c>
      <c r="M543" s="148" t="str">
        <f t="shared" si="54"/>
        <v/>
      </c>
    </row>
    <row r="544" spans="1:13" x14ac:dyDescent="0.3">
      <c r="A544" s="149"/>
      <c r="B544" s="149"/>
      <c r="C544" s="149"/>
      <c r="D544" s="149"/>
      <c r="E544" s="149"/>
      <c r="F544" s="149"/>
      <c r="G544" s="162"/>
      <c r="H544" s="146" t="str">
        <f t="shared" si="50"/>
        <v/>
      </c>
      <c r="I544" s="161" t="str">
        <f t="shared" si="51"/>
        <v/>
      </c>
      <c r="J544" s="160" t="str">
        <f>IFERROR(INDEX(下年标准成本!I:I,MATCH(C544,下年标准成本!C:C,0),1),"")</f>
        <v/>
      </c>
      <c r="K544" s="146" t="str">
        <f t="shared" si="52"/>
        <v/>
      </c>
      <c r="L544" s="146" t="str">
        <f t="shared" si="53"/>
        <v/>
      </c>
      <c r="M544" s="148" t="str">
        <f t="shared" si="54"/>
        <v/>
      </c>
    </row>
    <row r="545" spans="1:13" x14ac:dyDescent="0.3">
      <c r="A545" s="149"/>
      <c r="B545" s="149"/>
      <c r="C545" s="149"/>
      <c r="D545" s="149"/>
      <c r="E545" s="149"/>
      <c r="F545" s="149"/>
      <c r="G545" s="162"/>
      <c r="H545" s="146" t="str">
        <f t="shared" si="50"/>
        <v/>
      </c>
      <c r="I545" s="161" t="str">
        <f t="shared" si="51"/>
        <v/>
      </c>
      <c r="J545" s="160" t="str">
        <f>IFERROR(INDEX(下年标准成本!I:I,MATCH(C545,下年标准成本!C:C,0),1),"")</f>
        <v/>
      </c>
      <c r="K545" s="146" t="str">
        <f t="shared" si="52"/>
        <v/>
      </c>
      <c r="L545" s="146" t="str">
        <f t="shared" si="53"/>
        <v/>
      </c>
      <c r="M545" s="148" t="str">
        <f t="shared" si="54"/>
        <v/>
      </c>
    </row>
    <row r="546" spans="1:13" x14ac:dyDescent="0.3">
      <c r="A546" s="149"/>
      <c r="B546" s="149"/>
      <c r="C546" s="149"/>
      <c r="D546" s="149"/>
      <c r="E546" s="149"/>
      <c r="F546" s="149"/>
      <c r="G546" s="162"/>
      <c r="H546" s="146" t="str">
        <f t="shared" si="50"/>
        <v/>
      </c>
      <c r="I546" s="161" t="str">
        <f t="shared" si="51"/>
        <v/>
      </c>
      <c r="J546" s="160" t="str">
        <f>IFERROR(INDEX(下年标准成本!I:I,MATCH(C546,下年标准成本!C:C,0),1),"")</f>
        <v/>
      </c>
      <c r="K546" s="146" t="str">
        <f t="shared" si="52"/>
        <v/>
      </c>
      <c r="L546" s="146" t="str">
        <f t="shared" si="53"/>
        <v/>
      </c>
      <c r="M546" s="148" t="str">
        <f t="shared" si="54"/>
        <v/>
      </c>
    </row>
    <row r="547" spans="1:13" x14ac:dyDescent="0.3">
      <c r="A547" s="149"/>
      <c r="B547" s="149"/>
      <c r="C547" s="149"/>
      <c r="D547" s="149"/>
      <c r="E547" s="149"/>
      <c r="F547" s="149"/>
      <c r="G547" s="162"/>
      <c r="H547" s="146" t="str">
        <f t="shared" si="50"/>
        <v/>
      </c>
      <c r="I547" s="161" t="str">
        <f t="shared" si="51"/>
        <v/>
      </c>
      <c r="J547" s="160" t="str">
        <f>IFERROR(INDEX(下年标准成本!I:I,MATCH(C547,下年标准成本!C:C,0),1),"")</f>
        <v/>
      </c>
      <c r="K547" s="146" t="str">
        <f t="shared" si="52"/>
        <v/>
      </c>
      <c r="L547" s="146" t="str">
        <f t="shared" si="53"/>
        <v/>
      </c>
      <c r="M547" s="148" t="str">
        <f t="shared" si="54"/>
        <v/>
      </c>
    </row>
    <row r="548" spans="1:13" x14ac:dyDescent="0.3">
      <c r="A548" s="149"/>
      <c r="B548" s="149"/>
      <c r="C548" s="149"/>
      <c r="D548" s="149"/>
      <c r="E548" s="149"/>
      <c r="F548" s="149"/>
      <c r="G548" s="162"/>
      <c r="H548" s="146" t="str">
        <f t="shared" si="50"/>
        <v/>
      </c>
      <c r="I548" s="161" t="str">
        <f t="shared" si="51"/>
        <v/>
      </c>
      <c r="J548" s="160" t="str">
        <f>IFERROR(INDEX(下年标准成本!I:I,MATCH(C548,下年标准成本!C:C,0),1),"")</f>
        <v/>
      </c>
      <c r="K548" s="146" t="str">
        <f t="shared" si="52"/>
        <v/>
      </c>
      <c r="L548" s="146" t="str">
        <f t="shared" si="53"/>
        <v/>
      </c>
      <c r="M548" s="148" t="str">
        <f t="shared" si="54"/>
        <v/>
      </c>
    </row>
    <row r="549" spans="1:13" x14ac:dyDescent="0.3">
      <c r="A549" s="149"/>
      <c r="B549" s="149"/>
      <c r="C549" s="149"/>
      <c r="D549" s="149"/>
      <c r="E549" s="149"/>
      <c r="F549" s="149"/>
      <c r="G549" s="162"/>
      <c r="H549" s="146" t="str">
        <f t="shared" si="50"/>
        <v/>
      </c>
      <c r="I549" s="161" t="str">
        <f t="shared" si="51"/>
        <v/>
      </c>
      <c r="J549" s="160" t="str">
        <f>IFERROR(INDEX(下年标准成本!I:I,MATCH(C549,下年标准成本!C:C,0),1),"")</f>
        <v/>
      </c>
      <c r="K549" s="146" t="str">
        <f t="shared" si="52"/>
        <v/>
      </c>
      <c r="L549" s="146" t="str">
        <f t="shared" si="53"/>
        <v/>
      </c>
      <c r="M549" s="148" t="str">
        <f t="shared" si="54"/>
        <v/>
      </c>
    </row>
    <row r="550" spans="1:13" x14ac:dyDescent="0.3">
      <c r="A550" s="149"/>
      <c r="B550" s="149"/>
      <c r="C550" s="149"/>
      <c r="D550" s="149"/>
      <c r="E550" s="149"/>
      <c r="F550" s="149"/>
      <c r="G550" s="162"/>
      <c r="H550" s="146" t="str">
        <f t="shared" si="50"/>
        <v/>
      </c>
      <c r="I550" s="161" t="str">
        <f t="shared" si="51"/>
        <v/>
      </c>
      <c r="J550" s="160" t="str">
        <f>IFERROR(INDEX(下年标准成本!I:I,MATCH(C550,下年标准成本!C:C,0),1),"")</f>
        <v/>
      </c>
      <c r="K550" s="146" t="str">
        <f t="shared" si="52"/>
        <v/>
      </c>
      <c r="L550" s="146" t="str">
        <f t="shared" si="53"/>
        <v/>
      </c>
      <c r="M550" s="148" t="str">
        <f t="shared" si="54"/>
        <v/>
      </c>
    </row>
    <row r="551" spans="1:13" x14ac:dyDescent="0.3">
      <c r="A551" s="149"/>
      <c r="B551" s="149"/>
      <c r="C551" s="149"/>
      <c r="D551" s="149"/>
      <c r="E551" s="149"/>
      <c r="F551" s="149"/>
      <c r="G551" s="162"/>
      <c r="H551" s="146" t="str">
        <f t="shared" si="50"/>
        <v/>
      </c>
      <c r="I551" s="161" t="str">
        <f t="shared" si="51"/>
        <v/>
      </c>
      <c r="J551" s="160" t="str">
        <f>IFERROR(INDEX(下年标准成本!I:I,MATCH(C551,下年标准成本!C:C,0),1),"")</f>
        <v/>
      </c>
      <c r="K551" s="146" t="str">
        <f t="shared" si="52"/>
        <v/>
      </c>
      <c r="L551" s="146" t="str">
        <f t="shared" si="53"/>
        <v/>
      </c>
      <c r="M551" s="148" t="str">
        <f t="shared" si="54"/>
        <v/>
      </c>
    </row>
    <row r="552" spans="1:13" x14ac:dyDescent="0.3">
      <c r="A552" s="149"/>
      <c r="B552" s="149"/>
      <c r="C552" s="149"/>
      <c r="D552" s="149"/>
      <c r="E552" s="149"/>
      <c r="F552" s="149"/>
      <c r="G552" s="162"/>
      <c r="H552" s="146" t="str">
        <f t="shared" si="50"/>
        <v/>
      </c>
      <c r="I552" s="161" t="str">
        <f t="shared" si="51"/>
        <v/>
      </c>
      <c r="J552" s="160" t="str">
        <f>IFERROR(INDEX(下年标准成本!I:I,MATCH(C552,下年标准成本!C:C,0),1),"")</f>
        <v/>
      </c>
      <c r="K552" s="146" t="str">
        <f t="shared" si="52"/>
        <v/>
      </c>
      <c r="L552" s="146" t="str">
        <f t="shared" si="53"/>
        <v/>
      </c>
      <c r="M552" s="148" t="str">
        <f t="shared" si="54"/>
        <v/>
      </c>
    </row>
    <row r="553" spans="1:13" x14ac:dyDescent="0.3">
      <c r="A553" s="149"/>
      <c r="B553" s="149"/>
      <c r="C553" s="149"/>
      <c r="D553" s="149"/>
      <c r="E553" s="149"/>
      <c r="F553" s="149"/>
      <c r="G553" s="162"/>
      <c r="H553" s="146" t="str">
        <f t="shared" si="50"/>
        <v/>
      </c>
      <c r="I553" s="161" t="str">
        <f t="shared" si="51"/>
        <v/>
      </c>
      <c r="J553" s="160" t="str">
        <f>IFERROR(INDEX(下年标准成本!I:I,MATCH(C553,下年标准成本!C:C,0),1),"")</f>
        <v/>
      </c>
      <c r="K553" s="146" t="str">
        <f t="shared" si="52"/>
        <v/>
      </c>
      <c r="L553" s="146" t="str">
        <f t="shared" si="53"/>
        <v/>
      </c>
      <c r="M553" s="148" t="str">
        <f t="shared" si="54"/>
        <v/>
      </c>
    </row>
    <row r="554" spans="1:13" x14ac:dyDescent="0.3">
      <c r="A554" s="149"/>
      <c r="B554" s="149"/>
      <c r="C554" s="149"/>
      <c r="D554" s="149"/>
      <c r="E554" s="149"/>
      <c r="F554" s="149"/>
      <c r="G554" s="162"/>
      <c r="H554" s="146" t="str">
        <f t="shared" si="50"/>
        <v/>
      </c>
      <c r="I554" s="161" t="str">
        <f t="shared" si="51"/>
        <v/>
      </c>
      <c r="J554" s="160" t="str">
        <f>IFERROR(INDEX(下年标准成本!I:I,MATCH(C554,下年标准成本!C:C,0),1),"")</f>
        <v/>
      </c>
      <c r="K554" s="146" t="str">
        <f t="shared" si="52"/>
        <v/>
      </c>
      <c r="L554" s="146" t="str">
        <f t="shared" si="53"/>
        <v/>
      </c>
      <c r="M554" s="148" t="str">
        <f t="shared" si="54"/>
        <v/>
      </c>
    </row>
    <row r="555" spans="1:13" x14ac:dyDescent="0.3">
      <c r="A555" s="149"/>
      <c r="B555" s="149"/>
      <c r="C555" s="149"/>
      <c r="D555" s="149"/>
      <c r="E555" s="149"/>
      <c r="F555" s="149"/>
      <c r="G555" s="162"/>
      <c r="H555" s="146" t="str">
        <f t="shared" si="50"/>
        <v/>
      </c>
      <c r="I555" s="161" t="str">
        <f t="shared" si="51"/>
        <v/>
      </c>
      <c r="J555" s="160" t="str">
        <f>IFERROR(INDEX(下年标准成本!I:I,MATCH(C555,下年标准成本!C:C,0),1),"")</f>
        <v/>
      </c>
      <c r="K555" s="146" t="str">
        <f t="shared" si="52"/>
        <v/>
      </c>
      <c r="L555" s="146" t="str">
        <f t="shared" si="53"/>
        <v/>
      </c>
      <c r="M555" s="148" t="str">
        <f t="shared" si="54"/>
        <v/>
      </c>
    </row>
    <row r="556" spans="1:13" x14ac:dyDescent="0.3">
      <c r="A556" s="149"/>
      <c r="B556" s="149"/>
      <c r="C556" s="149"/>
      <c r="D556" s="149"/>
      <c r="E556" s="149"/>
      <c r="F556" s="149"/>
      <c r="G556" s="162"/>
      <c r="H556" s="146" t="str">
        <f t="shared" si="50"/>
        <v/>
      </c>
      <c r="I556" s="161" t="str">
        <f t="shared" si="51"/>
        <v/>
      </c>
      <c r="J556" s="160" t="str">
        <f>IFERROR(INDEX(下年标准成本!I:I,MATCH(C556,下年标准成本!C:C,0),1),"")</f>
        <v/>
      </c>
      <c r="K556" s="146" t="str">
        <f t="shared" si="52"/>
        <v/>
      </c>
      <c r="L556" s="146" t="str">
        <f t="shared" si="53"/>
        <v/>
      </c>
      <c r="M556" s="148" t="str">
        <f t="shared" si="54"/>
        <v/>
      </c>
    </row>
    <row r="557" spans="1:13" x14ac:dyDescent="0.3">
      <c r="A557" s="149"/>
      <c r="B557" s="149"/>
      <c r="C557" s="149"/>
      <c r="D557" s="149"/>
      <c r="E557" s="149"/>
      <c r="F557" s="149"/>
      <c r="G557" s="162"/>
      <c r="H557" s="146" t="str">
        <f t="shared" si="50"/>
        <v/>
      </c>
      <c r="I557" s="161" t="str">
        <f t="shared" si="51"/>
        <v/>
      </c>
      <c r="J557" s="160" t="str">
        <f>IFERROR(INDEX(下年标准成本!I:I,MATCH(C557,下年标准成本!C:C,0),1),"")</f>
        <v/>
      </c>
      <c r="K557" s="146" t="str">
        <f t="shared" si="52"/>
        <v/>
      </c>
      <c r="L557" s="146" t="str">
        <f t="shared" si="53"/>
        <v/>
      </c>
      <c r="M557" s="148" t="str">
        <f t="shared" si="54"/>
        <v/>
      </c>
    </row>
    <row r="558" spans="1:13" x14ac:dyDescent="0.3">
      <c r="A558" s="149"/>
      <c r="B558" s="149"/>
      <c r="C558" s="149"/>
      <c r="D558" s="149"/>
      <c r="E558" s="149"/>
      <c r="F558" s="149"/>
      <c r="G558" s="162"/>
      <c r="H558" s="146" t="str">
        <f t="shared" si="50"/>
        <v/>
      </c>
      <c r="I558" s="161" t="str">
        <f t="shared" si="51"/>
        <v/>
      </c>
      <c r="J558" s="160" t="str">
        <f>IFERROR(INDEX(下年标准成本!I:I,MATCH(C558,下年标准成本!C:C,0),1),"")</f>
        <v/>
      </c>
      <c r="K558" s="146" t="str">
        <f t="shared" si="52"/>
        <v/>
      </c>
      <c r="L558" s="146" t="str">
        <f t="shared" si="53"/>
        <v/>
      </c>
      <c r="M558" s="148" t="str">
        <f t="shared" si="54"/>
        <v/>
      </c>
    </row>
    <row r="559" spans="1:13" x14ac:dyDescent="0.3">
      <c r="A559" s="149"/>
      <c r="B559" s="149"/>
      <c r="C559" s="149"/>
      <c r="D559" s="149"/>
      <c r="E559" s="149"/>
      <c r="F559" s="149"/>
      <c r="G559" s="162"/>
      <c r="H559" s="146" t="str">
        <f t="shared" si="50"/>
        <v/>
      </c>
      <c r="I559" s="161" t="str">
        <f t="shared" si="51"/>
        <v/>
      </c>
      <c r="J559" s="160" t="str">
        <f>IFERROR(INDEX(下年标准成本!I:I,MATCH(C559,下年标准成本!C:C,0),1),"")</f>
        <v/>
      </c>
      <c r="K559" s="146" t="str">
        <f t="shared" si="52"/>
        <v/>
      </c>
      <c r="L559" s="146" t="str">
        <f t="shared" si="53"/>
        <v/>
      </c>
      <c r="M559" s="148" t="str">
        <f t="shared" si="54"/>
        <v/>
      </c>
    </row>
    <row r="560" spans="1:13" x14ac:dyDescent="0.3">
      <c r="A560" s="149"/>
      <c r="B560" s="149"/>
      <c r="C560" s="149"/>
      <c r="D560" s="149"/>
      <c r="E560" s="149"/>
      <c r="F560" s="149"/>
      <c r="G560" s="162"/>
      <c r="H560" s="146" t="str">
        <f t="shared" si="50"/>
        <v/>
      </c>
      <c r="I560" s="161" t="str">
        <f t="shared" si="51"/>
        <v/>
      </c>
      <c r="J560" s="160" t="str">
        <f>IFERROR(INDEX(下年标准成本!I:I,MATCH(C560,下年标准成本!C:C,0),1),"")</f>
        <v/>
      </c>
      <c r="K560" s="146" t="str">
        <f t="shared" si="52"/>
        <v/>
      </c>
      <c r="L560" s="146" t="str">
        <f t="shared" si="53"/>
        <v/>
      </c>
      <c r="M560" s="148" t="str">
        <f t="shared" si="54"/>
        <v/>
      </c>
    </row>
    <row r="561" spans="1:13" x14ac:dyDescent="0.3">
      <c r="A561" s="149"/>
      <c r="B561" s="149"/>
      <c r="C561" s="149"/>
      <c r="D561" s="149"/>
      <c r="E561" s="149"/>
      <c r="F561" s="149"/>
      <c r="G561" s="162"/>
      <c r="H561" s="146" t="str">
        <f t="shared" si="50"/>
        <v/>
      </c>
      <c r="I561" s="161" t="str">
        <f t="shared" si="51"/>
        <v/>
      </c>
      <c r="J561" s="160" t="str">
        <f>IFERROR(INDEX(下年标准成本!I:I,MATCH(C561,下年标准成本!C:C,0),1),"")</f>
        <v/>
      </c>
      <c r="K561" s="146" t="str">
        <f t="shared" si="52"/>
        <v/>
      </c>
      <c r="L561" s="146" t="str">
        <f t="shared" si="53"/>
        <v/>
      </c>
      <c r="M561" s="148" t="str">
        <f t="shared" si="54"/>
        <v/>
      </c>
    </row>
    <row r="562" spans="1:13" x14ac:dyDescent="0.3">
      <c r="A562" s="149"/>
      <c r="B562" s="149"/>
      <c r="C562" s="149"/>
      <c r="D562" s="149"/>
      <c r="E562" s="149"/>
      <c r="F562" s="149"/>
      <c r="G562" s="162"/>
      <c r="H562" s="146" t="str">
        <f t="shared" si="50"/>
        <v/>
      </c>
      <c r="I562" s="161" t="str">
        <f t="shared" si="51"/>
        <v/>
      </c>
      <c r="J562" s="160" t="str">
        <f>IFERROR(INDEX(下年标准成本!I:I,MATCH(C562,下年标准成本!C:C,0),1),"")</f>
        <v/>
      </c>
      <c r="K562" s="146" t="str">
        <f t="shared" si="52"/>
        <v/>
      </c>
      <c r="L562" s="146" t="str">
        <f t="shared" si="53"/>
        <v/>
      </c>
      <c r="M562" s="148" t="str">
        <f t="shared" si="54"/>
        <v/>
      </c>
    </row>
    <row r="563" spans="1:13" x14ac:dyDescent="0.3">
      <c r="A563" s="149"/>
      <c r="B563" s="149"/>
      <c r="C563" s="149"/>
      <c r="D563" s="149"/>
      <c r="E563" s="149"/>
      <c r="F563" s="149"/>
      <c r="G563" s="162"/>
      <c r="H563" s="146" t="str">
        <f t="shared" si="50"/>
        <v/>
      </c>
      <c r="I563" s="161" t="str">
        <f t="shared" si="51"/>
        <v/>
      </c>
      <c r="J563" s="160" t="str">
        <f>IFERROR(INDEX(下年标准成本!I:I,MATCH(C563,下年标准成本!C:C,0),1),"")</f>
        <v/>
      </c>
      <c r="K563" s="146" t="str">
        <f t="shared" si="52"/>
        <v/>
      </c>
      <c r="L563" s="146" t="str">
        <f t="shared" si="53"/>
        <v/>
      </c>
      <c r="M563" s="148" t="str">
        <f t="shared" si="54"/>
        <v/>
      </c>
    </row>
    <row r="564" spans="1:13" x14ac:dyDescent="0.3">
      <c r="A564" s="149"/>
      <c r="B564" s="149"/>
      <c r="C564" s="149"/>
      <c r="D564" s="149"/>
      <c r="E564" s="149"/>
      <c r="F564" s="149"/>
      <c r="G564" s="162"/>
      <c r="H564" s="146" t="str">
        <f t="shared" si="50"/>
        <v/>
      </c>
      <c r="I564" s="161" t="str">
        <f t="shared" si="51"/>
        <v/>
      </c>
      <c r="J564" s="160" t="str">
        <f>IFERROR(INDEX(下年标准成本!I:I,MATCH(C564,下年标准成本!C:C,0),1),"")</f>
        <v/>
      </c>
      <c r="K564" s="146" t="str">
        <f t="shared" si="52"/>
        <v/>
      </c>
      <c r="L564" s="146" t="str">
        <f t="shared" si="53"/>
        <v/>
      </c>
      <c r="M564" s="148" t="str">
        <f t="shared" si="54"/>
        <v/>
      </c>
    </row>
    <row r="565" spans="1:13" x14ac:dyDescent="0.3">
      <c r="A565" s="149"/>
      <c r="B565" s="149"/>
      <c r="C565" s="149"/>
      <c r="D565" s="149"/>
      <c r="E565" s="149"/>
      <c r="F565" s="149"/>
      <c r="G565" s="162"/>
      <c r="H565" s="146" t="str">
        <f t="shared" si="50"/>
        <v/>
      </c>
      <c r="I565" s="161" t="str">
        <f t="shared" si="51"/>
        <v/>
      </c>
      <c r="J565" s="160" t="str">
        <f>IFERROR(INDEX(下年标准成本!I:I,MATCH(C565,下年标准成本!C:C,0),1),"")</f>
        <v/>
      </c>
      <c r="K565" s="146" t="str">
        <f t="shared" si="52"/>
        <v/>
      </c>
      <c r="L565" s="146" t="str">
        <f t="shared" si="53"/>
        <v/>
      </c>
      <c r="M565" s="148" t="str">
        <f t="shared" si="54"/>
        <v/>
      </c>
    </row>
    <row r="566" spans="1:13" x14ac:dyDescent="0.3">
      <c r="A566" s="149"/>
      <c r="B566" s="149"/>
      <c r="C566" s="149"/>
      <c r="D566" s="149"/>
      <c r="E566" s="149"/>
      <c r="F566" s="149"/>
      <c r="G566" s="162"/>
      <c r="H566" s="146" t="str">
        <f t="shared" si="50"/>
        <v/>
      </c>
      <c r="I566" s="161" t="str">
        <f t="shared" si="51"/>
        <v/>
      </c>
      <c r="J566" s="160" t="str">
        <f>IFERROR(INDEX(下年标准成本!I:I,MATCH(C566,下年标准成本!C:C,0),1),"")</f>
        <v/>
      </c>
      <c r="K566" s="146" t="str">
        <f t="shared" si="52"/>
        <v/>
      </c>
      <c r="L566" s="146" t="str">
        <f t="shared" si="53"/>
        <v/>
      </c>
      <c r="M566" s="148" t="str">
        <f t="shared" si="54"/>
        <v/>
      </c>
    </row>
    <row r="567" spans="1:13" x14ac:dyDescent="0.3">
      <c r="A567" s="149"/>
      <c r="B567" s="149"/>
      <c r="C567" s="149"/>
      <c r="D567" s="149"/>
      <c r="E567" s="149"/>
      <c r="F567" s="149"/>
      <c r="G567" s="162"/>
      <c r="H567" s="146" t="str">
        <f t="shared" si="50"/>
        <v/>
      </c>
      <c r="I567" s="161" t="str">
        <f t="shared" si="51"/>
        <v/>
      </c>
      <c r="J567" s="160" t="str">
        <f>IFERROR(INDEX(下年标准成本!I:I,MATCH(C567,下年标准成本!C:C,0),1),"")</f>
        <v/>
      </c>
      <c r="K567" s="146" t="str">
        <f t="shared" si="52"/>
        <v/>
      </c>
      <c r="L567" s="146" t="str">
        <f t="shared" si="53"/>
        <v/>
      </c>
      <c r="M567" s="148" t="str">
        <f t="shared" si="54"/>
        <v/>
      </c>
    </row>
    <row r="568" spans="1:13" x14ac:dyDescent="0.3">
      <c r="A568" s="149"/>
      <c r="B568" s="149"/>
      <c r="C568" s="149"/>
      <c r="D568" s="149"/>
      <c r="E568" s="149"/>
      <c r="F568" s="149"/>
      <c r="G568" s="162"/>
      <c r="H568" s="146" t="str">
        <f t="shared" si="50"/>
        <v/>
      </c>
      <c r="I568" s="161" t="str">
        <f t="shared" si="51"/>
        <v/>
      </c>
      <c r="J568" s="160" t="str">
        <f>IFERROR(INDEX(下年标准成本!I:I,MATCH(C568,下年标准成本!C:C,0),1),"")</f>
        <v/>
      </c>
      <c r="K568" s="146" t="str">
        <f t="shared" si="52"/>
        <v/>
      </c>
      <c r="L568" s="146" t="str">
        <f t="shared" si="53"/>
        <v/>
      </c>
      <c r="M568" s="148" t="str">
        <f t="shared" si="54"/>
        <v/>
      </c>
    </row>
    <row r="569" spans="1:13" x14ac:dyDescent="0.3">
      <c r="A569" s="149"/>
      <c r="B569" s="149"/>
      <c r="C569" s="149"/>
      <c r="D569" s="149"/>
      <c r="E569" s="149"/>
      <c r="F569" s="149"/>
      <c r="G569" s="162"/>
      <c r="H569" s="146" t="str">
        <f t="shared" si="50"/>
        <v/>
      </c>
      <c r="I569" s="161" t="str">
        <f t="shared" si="51"/>
        <v/>
      </c>
      <c r="J569" s="160" t="str">
        <f>IFERROR(INDEX(下年标准成本!I:I,MATCH(C569,下年标准成本!C:C,0),1),"")</f>
        <v/>
      </c>
      <c r="K569" s="146" t="str">
        <f t="shared" si="52"/>
        <v/>
      </c>
      <c r="L569" s="146" t="str">
        <f t="shared" si="53"/>
        <v/>
      </c>
      <c r="M569" s="148" t="str">
        <f t="shared" si="54"/>
        <v/>
      </c>
    </row>
    <row r="570" spans="1:13" x14ac:dyDescent="0.3">
      <c r="A570" s="149"/>
      <c r="B570" s="149"/>
      <c r="C570" s="149"/>
      <c r="D570" s="149"/>
      <c r="E570" s="149"/>
      <c r="F570" s="149"/>
      <c r="G570" s="162"/>
      <c r="H570" s="146" t="str">
        <f t="shared" si="50"/>
        <v/>
      </c>
      <c r="I570" s="161" t="str">
        <f t="shared" si="51"/>
        <v/>
      </c>
      <c r="J570" s="160" t="str">
        <f>IFERROR(INDEX(下年标准成本!I:I,MATCH(C570,下年标准成本!C:C,0),1),"")</f>
        <v/>
      </c>
      <c r="K570" s="146" t="str">
        <f t="shared" si="52"/>
        <v/>
      </c>
      <c r="L570" s="146" t="str">
        <f t="shared" si="53"/>
        <v/>
      </c>
      <c r="M570" s="148" t="str">
        <f t="shared" si="54"/>
        <v/>
      </c>
    </row>
    <row r="571" spans="1:13" x14ac:dyDescent="0.3">
      <c r="A571" s="149"/>
      <c r="B571" s="149"/>
      <c r="C571" s="149"/>
      <c r="D571" s="149"/>
      <c r="E571" s="149"/>
      <c r="F571" s="149"/>
      <c r="G571" s="162"/>
      <c r="H571" s="146" t="str">
        <f t="shared" si="50"/>
        <v/>
      </c>
      <c r="I571" s="161" t="str">
        <f t="shared" si="51"/>
        <v/>
      </c>
      <c r="J571" s="160" t="str">
        <f>IFERROR(INDEX(下年标准成本!I:I,MATCH(C571,下年标准成本!C:C,0),1),"")</f>
        <v/>
      </c>
      <c r="K571" s="146" t="str">
        <f t="shared" si="52"/>
        <v/>
      </c>
      <c r="L571" s="146" t="str">
        <f t="shared" si="53"/>
        <v/>
      </c>
      <c r="M571" s="148" t="str">
        <f t="shared" si="54"/>
        <v/>
      </c>
    </row>
    <row r="572" spans="1:13" x14ac:dyDescent="0.3">
      <c r="A572" s="149"/>
      <c r="B572" s="149"/>
      <c r="C572" s="149"/>
      <c r="D572" s="149"/>
      <c r="E572" s="149"/>
      <c r="F572" s="149"/>
      <c r="G572" s="162"/>
      <c r="H572" s="146" t="str">
        <f t="shared" si="50"/>
        <v/>
      </c>
      <c r="I572" s="161" t="str">
        <f t="shared" si="51"/>
        <v/>
      </c>
      <c r="J572" s="160" t="str">
        <f>IFERROR(INDEX(下年标准成本!I:I,MATCH(C572,下年标准成本!C:C,0),1),"")</f>
        <v/>
      </c>
      <c r="K572" s="146" t="str">
        <f t="shared" si="52"/>
        <v/>
      </c>
      <c r="L572" s="146" t="str">
        <f t="shared" si="53"/>
        <v/>
      </c>
      <c r="M572" s="148" t="str">
        <f t="shared" si="54"/>
        <v/>
      </c>
    </row>
    <row r="573" spans="1:13" x14ac:dyDescent="0.3">
      <c r="A573" s="149"/>
      <c r="B573" s="149"/>
      <c r="C573" s="149"/>
      <c r="D573" s="149"/>
      <c r="E573" s="149"/>
      <c r="F573" s="149"/>
      <c r="G573" s="162"/>
      <c r="H573" s="146" t="str">
        <f t="shared" si="50"/>
        <v/>
      </c>
      <c r="I573" s="161" t="str">
        <f t="shared" si="51"/>
        <v/>
      </c>
      <c r="J573" s="160" t="str">
        <f>IFERROR(INDEX(下年标准成本!I:I,MATCH(C573,下年标准成本!C:C,0),1),"")</f>
        <v/>
      </c>
      <c r="K573" s="146" t="str">
        <f t="shared" si="52"/>
        <v/>
      </c>
      <c r="L573" s="146" t="str">
        <f t="shared" si="53"/>
        <v/>
      </c>
      <c r="M573" s="148" t="str">
        <f t="shared" si="54"/>
        <v/>
      </c>
    </row>
    <row r="574" spans="1:13" x14ac:dyDescent="0.3">
      <c r="A574" s="149"/>
      <c r="B574" s="149"/>
      <c r="C574" s="149"/>
      <c r="D574" s="149"/>
      <c r="E574" s="149"/>
      <c r="F574" s="149"/>
      <c r="G574" s="162"/>
      <c r="H574" s="146" t="str">
        <f t="shared" si="50"/>
        <v/>
      </c>
      <c r="I574" s="161" t="str">
        <f t="shared" si="51"/>
        <v/>
      </c>
      <c r="J574" s="160" t="str">
        <f>IFERROR(INDEX(下年标准成本!I:I,MATCH(C574,下年标准成本!C:C,0),1),"")</f>
        <v/>
      </c>
      <c r="K574" s="146" t="str">
        <f t="shared" si="52"/>
        <v/>
      </c>
      <c r="L574" s="146" t="str">
        <f t="shared" si="53"/>
        <v/>
      </c>
      <c r="M574" s="148" t="str">
        <f t="shared" si="54"/>
        <v/>
      </c>
    </row>
    <row r="575" spans="1:13" x14ac:dyDescent="0.3">
      <c r="A575" s="149"/>
      <c r="B575" s="149"/>
      <c r="C575" s="149"/>
      <c r="D575" s="149"/>
      <c r="E575" s="149"/>
      <c r="F575" s="149"/>
      <c r="G575" s="162"/>
      <c r="H575" s="146" t="str">
        <f t="shared" si="50"/>
        <v/>
      </c>
      <c r="I575" s="161" t="str">
        <f t="shared" si="51"/>
        <v/>
      </c>
      <c r="J575" s="160" t="str">
        <f>IFERROR(INDEX(下年标准成本!I:I,MATCH(C575,下年标准成本!C:C,0),1),"")</f>
        <v/>
      </c>
      <c r="K575" s="146" t="str">
        <f t="shared" si="52"/>
        <v/>
      </c>
      <c r="L575" s="146" t="str">
        <f t="shared" si="53"/>
        <v/>
      </c>
      <c r="M575" s="148" t="str">
        <f t="shared" si="54"/>
        <v/>
      </c>
    </row>
    <row r="576" spans="1:13" x14ac:dyDescent="0.3">
      <c r="A576" s="149"/>
      <c r="B576" s="149"/>
      <c r="C576" s="149"/>
      <c r="D576" s="149"/>
      <c r="E576" s="149"/>
      <c r="F576" s="149"/>
      <c r="G576" s="162"/>
      <c r="H576" s="146" t="str">
        <f t="shared" si="50"/>
        <v/>
      </c>
      <c r="I576" s="161" t="str">
        <f t="shared" si="51"/>
        <v/>
      </c>
      <c r="J576" s="160" t="str">
        <f>IFERROR(INDEX(下年标准成本!I:I,MATCH(C576,下年标准成本!C:C,0),1),"")</f>
        <v/>
      </c>
      <c r="K576" s="146" t="str">
        <f t="shared" si="52"/>
        <v/>
      </c>
      <c r="L576" s="146" t="str">
        <f t="shared" si="53"/>
        <v/>
      </c>
      <c r="M576" s="148" t="str">
        <f t="shared" si="54"/>
        <v/>
      </c>
    </row>
    <row r="577" spans="1:13" x14ac:dyDescent="0.3">
      <c r="A577" s="149"/>
      <c r="B577" s="149"/>
      <c r="C577" s="149"/>
      <c r="D577" s="149"/>
      <c r="E577" s="149"/>
      <c r="F577" s="149"/>
      <c r="G577" s="162"/>
      <c r="H577" s="146" t="str">
        <f t="shared" si="50"/>
        <v/>
      </c>
      <c r="I577" s="161" t="str">
        <f t="shared" si="51"/>
        <v/>
      </c>
      <c r="J577" s="160" t="str">
        <f>IFERROR(INDEX(下年标准成本!I:I,MATCH(C577,下年标准成本!C:C,0),1),"")</f>
        <v/>
      </c>
      <c r="K577" s="146" t="str">
        <f t="shared" si="52"/>
        <v/>
      </c>
      <c r="L577" s="146" t="str">
        <f t="shared" si="53"/>
        <v/>
      </c>
      <c r="M577" s="148" t="str">
        <f t="shared" si="54"/>
        <v/>
      </c>
    </row>
    <row r="578" spans="1:13" x14ac:dyDescent="0.3">
      <c r="A578" s="149"/>
      <c r="B578" s="149"/>
      <c r="C578" s="149"/>
      <c r="D578" s="149"/>
      <c r="E578" s="149"/>
      <c r="F578" s="149"/>
      <c r="G578" s="162"/>
      <c r="H578" s="146" t="str">
        <f t="shared" si="50"/>
        <v/>
      </c>
      <c r="I578" s="161" t="str">
        <f t="shared" si="51"/>
        <v/>
      </c>
      <c r="J578" s="160" t="str">
        <f>IFERROR(INDEX(下年标准成本!I:I,MATCH(C578,下年标准成本!C:C,0),1),"")</f>
        <v/>
      </c>
      <c r="K578" s="146" t="str">
        <f t="shared" si="52"/>
        <v/>
      </c>
      <c r="L578" s="146" t="str">
        <f t="shared" si="53"/>
        <v/>
      </c>
      <c r="M578" s="148" t="str">
        <f t="shared" si="54"/>
        <v/>
      </c>
    </row>
    <row r="579" spans="1:13" x14ac:dyDescent="0.3">
      <c r="A579" s="149"/>
      <c r="B579" s="149"/>
      <c r="C579" s="149"/>
      <c r="D579" s="149"/>
      <c r="E579" s="149"/>
      <c r="F579" s="149"/>
      <c r="G579" s="162"/>
      <c r="H579" s="146" t="str">
        <f t="shared" si="50"/>
        <v/>
      </c>
      <c r="I579" s="161" t="str">
        <f t="shared" si="51"/>
        <v/>
      </c>
      <c r="J579" s="160" t="str">
        <f>IFERROR(INDEX(下年标准成本!I:I,MATCH(C579,下年标准成本!C:C,0),1),"")</f>
        <v/>
      </c>
      <c r="K579" s="146" t="str">
        <f t="shared" si="52"/>
        <v/>
      </c>
      <c r="L579" s="146" t="str">
        <f t="shared" si="53"/>
        <v/>
      </c>
      <c r="M579" s="148" t="str">
        <f t="shared" si="54"/>
        <v/>
      </c>
    </row>
    <row r="580" spans="1:13" x14ac:dyDescent="0.3">
      <c r="A580" s="149"/>
      <c r="B580" s="149"/>
      <c r="C580" s="149"/>
      <c r="D580" s="149"/>
      <c r="E580" s="149"/>
      <c r="F580" s="149"/>
      <c r="G580" s="162"/>
      <c r="H580" s="146" t="str">
        <f t="shared" si="50"/>
        <v/>
      </c>
      <c r="I580" s="161" t="str">
        <f t="shared" si="51"/>
        <v/>
      </c>
      <c r="J580" s="160" t="str">
        <f>IFERROR(INDEX(下年标准成本!I:I,MATCH(C580,下年标准成本!C:C,0),1),"")</f>
        <v/>
      </c>
      <c r="K580" s="146" t="str">
        <f t="shared" si="52"/>
        <v/>
      </c>
      <c r="L580" s="146" t="str">
        <f t="shared" si="53"/>
        <v/>
      </c>
      <c r="M580" s="148" t="str">
        <f t="shared" si="54"/>
        <v/>
      </c>
    </row>
    <row r="581" spans="1:13" x14ac:dyDescent="0.3">
      <c r="A581" s="149"/>
      <c r="B581" s="149"/>
      <c r="C581" s="149"/>
      <c r="D581" s="149"/>
      <c r="E581" s="149"/>
      <c r="F581" s="149"/>
      <c r="G581" s="162"/>
      <c r="H581" s="146" t="str">
        <f t="shared" si="50"/>
        <v/>
      </c>
      <c r="I581" s="161" t="str">
        <f t="shared" si="51"/>
        <v/>
      </c>
      <c r="J581" s="160" t="str">
        <f>IFERROR(INDEX(下年标准成本!I:I,MATCH(C581,下年标准成本!C:C,0),1),"")</f>
        <v/>
      </c>
      <c r="K581" s="146" t="str">
        <f t="shared" si="52"/>
        <v/>
      </c>
      <c r="L581" s="146" t="str">
        <f t="shared" si="53"/>
        <v/>
      </c>
      <c r="M581" s="148" t="str">
        <f t="shared" si="54"/>
        <v/>
      </c>
    </row>
    <row r="582" spans="1:13" x14ac:dyDescent="0.3">
      <c r="A582" s="149"/>
      <c r="B582" s="149"/>
      <c r="C582" s="149"/>
      <c r="D582" s="149"/>
      <c r="E582" s="149"/>
      <c r="F582" s="149"/>
      <c r="G582" s="162"/>
      <c r="H582" s="146" t="str">
        <f t="shared" si="50"/>
        <v/>
      </c>
      <c r="I582" s="161" t="str">
        <f t="shared" si="51"/>
        <v/>
      </c>
      <c r="J582" s="160" t="str">
        <f>IFERROR(INDEX(下年标准成本!I:I,MATCH(C582,下年标准成本!C:C,0),1),"")</f>
        <v/>
      </c>
      <c r="K582" s="146" t="str">
        <f t="shared" si="52"/>
        <v/>
      </c>
      <c r="L582" s="146" t="str">
        <f t="shared" si="53"/>
        <v/>
      </c>
      <c r="M582" s="148" t="str">
        <f t="shared" si="54"/>
        <v/>
      </c>
    </row>
    <row r="583" spans="1:13" x14ac:dyDescent="0.3">
      <c r="A583" s="149"/>
      <c r="B583" s="149"/>
      <c r="C583" s="149"/>
      <c r="D583" s="149"/>
      <c r="E583" s="149"/>
      <c r="F583" s="149"/>
      <c r="G583" s="162"/>
      <c r="H583" s="146" t="str">
        <f t="shared" si="50"/>
        <v/>
      </c>
      <c r="I583" s="161" t="str">
        <f t="shared" si="51"/>
        <v/>
      </c>
      <c r="J583" s="160" t="str">
        <f>IFERROR(INDEX(下年标准成本!I:I,MATCH(C583,下年标准成本!C:C,0),1),"")</f>
        <v/>
      </c>
      <c r="K583" s="146" t="str">
        <f t="shared" si="52"/>
        <v/>
      </c>
      <c r="L583" s="146" t="str">
        <f t="shared" si="53"/>
        <v/>
      </c>
      <c r="M583" s="148" t="str">
        <f t="shared" si="54"/>
        <v/>
      </c>
    </row>
    <row r="584" spans="1:13" x14ac:dyDescent="0.3">
      <c r="A584" s="149"/>
      <c r="B584" s="149"/>
      <c r="C584" s="149"/>
      <c r="D584" s="149"/>
      <c r="E584" s="149"/>
      <c r="F584" s="149"/>
      <c r="G584" s="162"/>
      <c r="H584" s="146" t="str">
        <f t="shared" si="50"/>
        <v/>
      </c>
      <c r="I584" s="161" t="str">
        <f t="shared" si="51"/>
        <v/>
      </c>
      <c r="J584" s="160" t="str">
        <f>IFERROR(INDEX(下年标准成本!I:I,MATCH(C584,下年标准成本!C:C,0),1),"")</f>
        <v/>
      </c>
      <c r="K584" s="146" t="str">
        <f t="shared" si="52"/>
        <v/>
      </c>
      <c r="L584" s="146" t="str">
        <f t="shared" si="53"/>
        <v/>
      </c>
      <c r="M584" s="148" t="str">
        <f t="shared" si="54"/>
        <v/>
      </c>
    </row>
    <row r="585" spans="1:13" x14ac:dyDescent="0.3">
      <c r="A585" s="149"/>
      <c r="B585" s="149"/>
      <c r="C585" s="149"/>
      <c r="D585" s="149"/>
      <c r="E585" s="149"/>
      <c r="F585" s="149"/>
      <c r="G585" s="162"/>
      <c r="H585" s="146" t="str">
        <f t="shared" si="50"/>
        <v/>
      </c>
      <c r="I585" s="161" t="str">
        <f t="shared" si="51"/>
        <v/>
      </c>
      <c r="J585" s="160" t="str">
        <f>IFERROR(INDEX(下年标准成本!I:I,MATCH(C585,下年标准成本!C:C,0),1),"")</f>
        <v/>
      </c>
      <c r="K585" s="146" t="str">
        <f t="shared" si="52"/>
        <v/>
      </c>
      <c r="L585" s="146" t="str">
        <f t="shared" si="53"/>
        <v/>
      </c>
      <c r="M585" s="148" t="str">
        <f t="shared" si="54"/>
        <v/>
      </c>
    </row>
    <row r="586" spans="1:13" x14ac:dyDescent="0.3">
      <c r="A586" s="149"/>
      <c r="B586" s="149"/>
      <c r="C586" s="149"/>
      <c r="D586" s="149"/>
      <c r="E586" s="149"/>
      <c r="F586" s="149"/>
      <c r="G586" s="162"/>
      <c r="H586" s="146" t="str">
        <f t="shared" ref="H586:H649" si="55">IFERROR(F586/E586,"")</f>
        <v/>
      </c>
      <c r="I586" s="161" t="str">
        <f t="shared" ref="I586:I649" si="56">IFERROR(H586*(1+G586),"")</f>
        <v/>
      </c>
      <c r="J586" s="160" t="str">
        <f>IFERROR(INDEX(下年标准成本!I:I,MATCH(C586,下年标准成本!C:C,0),1),"")</f>
        <v/>
      </c>
      <c r="K586" s="146" t="str">
        <f t="shared" ref="K586:K649" si="57">IFERROR(E586*J586,"")</f>
        <v/>
      </c>
      <c r="L586" s="146" t="str">
        <f t="shared" ref="L586:L649" si="58">IFERROR(F586-K586,"")</f>
        <v/>
      </c>
      <c r="M586" s="148" t="str">
        <f t="shared" ref="M586:M649" si="59">IFERROR(L586/F586,"")</f>
        <v/>
      </c>
    </row>
    <row r="587" spans="1:13" x14ac:dyDescent="0.3">
      <c r="A587" s="149"/>
      <c r="B587" s="149"/>
      <c r="C587" s="149"/>
      <c r="D587" s="149"/>
      <c r="E587" s="149"/>
      <c r="F587" s="149"/>
      <c r="G587" s="162"/>
      <c r="H587" s="146" t="str">
        <f t="shared" si="55"/>
        <v/>
      </c>
      <c r="I587" s="161" t="str">
        <f t="shared" si="56"/>
        <v/>
      </c>
      <c r="J587" s="160" t="str">
        <f>IFERROR(INDEX(下年标准成本!I:I,MATCH(C587,下年标准成本!C:C,0),1),"")</f>
        <v/>
      </c>
      <c r="K587" s="146" t="str">
        <f t="shared" si="57"/>
        <v/>
      </c>
      <c r="L587" s="146" t="str">
        <f t="shared" si="58"/>
        <v/>
      </c>
      <c r="M587" s="148" t="str">
        <f t="shared" si="59"/>
        <v/>
      </c>
    </row>
    <row r="588" spans="1:13" x14ac:dyDescent="0.3">
      <c r="A588" s="149"/>
      <c r="B588" s="149"/>
      <c r="C588" s="149"/>
      <c r="D588" s="149"/>
      <c r="E588" s="149"/>
      <c r="F588" s="149"/>
      <c r="G588" s="162"/>
      <c r="H588" s="146" t="str">
        <f t="shared" si="55"/>
        <v/>
      </c>
      <c r="I588" s="161" t="str">
        <f t="shared" si="56"/>
        <v/>
      </c>
      <c r="J588" s="160" t="str">
        <f>IFERROR(INDEX(下年标准成本!I:I,MATCH(C588,下年标准成本!C:C,0),1),"")</f>
        <v/>
      </c>
      <c r="K588" s="146" t="str">
        <f t="shared" si="57"/>
        <v/>
      </c>
      <c r="L588" s="146" t="str">
        <f t="shared" si="58"/>
        <v/>
      </c>
      <c r="M588" s="148" t="str">
        <f t="shared" si="59"/>
        <v/>
      </c>
    </row>
    <row r="589" spans="1:13" x14ac:dyDescent="0.3">
      <c r="A589" s="149"/>
      <c r="B589" s="149"/>
      <c r="C589" s="149"/>
      <c r="D589" s="149"/>
      <c r="E589" s="149"/>
      <c r="F589" s="149"/>
      <c r="G589" s="162"/>
      <c r="H589" s="146" t="str">
        <f t="shared" si="55"/>
        <v/>
      </c>
      <c r="I589" s="161" t="str">
        <f t="shared" si="56"/>
        <v/>
      </c>
      <c r="J589" s="160" t="str">
        <f>IFERROR(INDEX(下年标准成本!I:I,MATCH(C589,下年标准成本!C:C,0),1),"")</f>
        <v/>
      </c>
      <c r="K589" s="146" t="str">
        <f t="shared" si="57"/>
        <v/>
      </c>
      <c r="L589" s="146" t="str">
        <f t="shared" si="58"/>
        <v/>
      </c>
      <c r="M589" s="148" t="str">
        <f t="shared" si="59"/>
        <v/>
      </c>
    </row>
    <row r="590" spans="1:13" x14ac:dyDescent="0.3">
      <c r="A590" s="149"/>
      <c r="B590" s="149"/>
      <c r="C590" s="149"/>
      <c r="D590" s="149"/>
      <c r="E590" s="149"/>
      <c r="F590" s="149"/>
      <c r="G590" s="162"/>
      <c r="H590" s="146" t="str">
        <f t="shared" si="55"/>
        <v/>
      </c>
      <c r="I590" s="161" t="str">
        <f t="shared" si="56"/>
        <v/>
      </c>
      <c r="J590" s="160" t="str">
        <f>IFERROR(INDEX(下年标准成本!I:I,MATCH(C590,下年标准成本!C:C,0),1),"")</f>
        <v/>
      </c>
      <c r="K590" s="146" t="str">
        <f t="shared" si="57"/>
        <v/>
      </c>
      <c r="L590" s="146" t="str">
        <f t="shared" si="58"/>
        <v/>
      </c>
      <c r="M590" s="148" t="str">
        <f t="shared" si="59"/>
        <v/>
      </c>
    </row>
    <row r="591" spans="1:13" x14ac:dyDescent="0.3">
      <c r="A591" s="149"/>
      <c r="B591" s="149"/>
      <c r="C591" s="149"/>
      <c r="D591" s="149"/>
      <c r="E591" s="149"/>
      <c r="F591" s="149"/>
      <c r="G591" s="162"/>
      <c r="H591" s="146" t="str">
        <f t="shared" si="55"/>
        <v/>
      </c>
      <c r="I591" s="161" t="str">
        <f t="shared" si="56"/>
        <v/>
      </c>
      <c r="J591" s="160" t="str">
        <f>IFERROR(INDEX(下年标准成本!I:I,MATCH(C591,下年标准成本!C:C,0),1),"")</f>
        <v/>
      </c>
      <c r="K591" s="146" t="str">
        <f t="shared" si="57"/>
        <v/>
      </c>
      <c r="L591" s="146" t="str">
        <f t="shared" si="58"/>
        <v/>
      </c>
      <c r="M591" s="148" t="str">
        <f t="shared" si="59"/>
        <v/>
      </c>
    </row>
    <row r="592" spans="1:13" x14ac:dyDescent="0.3">
      <c r="A592" s="149"/>
      <c r="B592" s="149"/>
      <c r="C592" s="149"/>
      <c r="D592" s="149"/>
      <c r="E592" s="149"/>
      <c r="F592" s="149"/>
      <c r="G592" s="162"/>
      <c r="H592" s="146" t="str">
        <f t="shared" si="55"/>
        <v/>
      </c>
      <c r="I592" s="161" t="str">
        <f t="shared" si="56"/>
        <v/>
      </c>
      <c r="J592" s="160" t="str">
        <f>IFERROR(INDEX(下年标准成本!I:I,MATCH(C592,下年标准成本!C:C,0),1),"")</f>
        <v/>
      </c>
      <c r="K592" s="146" t="str">
        <f t="shared" si="57"/>
        <v/>
      </c>
      <c r="L592" s="146" t="str">
        <f t="shared" si="58"/>
        <v/>
      </c>
      <c r="M592" s="148" t="str">
        <f t="shared" si="59"/>
        <v/>
      </c>
    </row>
    <row r="593" spans="1:13" x14ac:dyDescent="0.3">
      <c r="A593" s="149"/>
      <c r="B593" s="149"/>
      <c r="C593" s="149"/>
      <c r="D593" s="149"/>
      <c r="E593" s="149"/>
      <c r="F593" s="149"/>
      <c r="G593" s="162"/>
      <c r="H593" s="146" t="str">
        <f t="shared" si="55"/>
        <v/>
      </c>
      <c r="I593" s="161" t="str">
        <f t="shared" si="56"/>
        <v/>
      </c>
      <c r="J593" s="160" t="str">
        <f>IFERROR(INDEX(下年标准成本!I:I,MATCH(C593,下年标准成本!C:C,0),1),"")</f>
        <v/>
      </c>
      <c r="K593" s="146" t="str">
        <f t="shared" si="57"/>
        <v/>
      </c>
      <c r="L593" s="146" t="str">
        <f t="shared" si="58"/>
        <v/>
      </c>
      <c r="M593" s="148" t="str">
        <f t="shared" si="59"/>
        <v/>
      </c>
    </row>
    <row r="594" spans="1:13" x14ac:dyDescent="0.3">
      <c r="A594" s="149"/>
      <c r="B594" s="149"/>
      <c r="C594" s="149"/>
      <c r="D594" s="149"/>
      <c r="E594" s="149"/>
      <c r="F594" s="149"/>
      <c r="G594" s="162"/>
      <c r="H594" s="146" t="str">
        <f t="shared" si="55"/>
        <v/>
      </c>
      <c r="I594" s="161" t="str">
        <f t="shared" si="56"/>
        <v/>
      </c>
      <c r="J594" s="160" t="str">
        <f>IFERROR(INDEX(下年标准成本!I:I,MATCH(C594,下年标准成本!C:C,0),1),"")</f>
        <v/>
      </c>
      <c r="K594" s="146" t="str">
        <f t="shared" si="57"/>
        <v/>
      </c>
      <c r="L594" s="146" t="str">
        <f t="shared" si="58"/>
        <v/>
      </c>
      <c r="M594" s="148" t="str">
        <f t="shared" si="59"/>
        <v/>
      </c>
    </row>
    <row r="595" spans="1:13" x14ac:dyDescent="0.3">
      <c r="A595" s="149"/>
      <c r="B595" s="149"/>
      <c r="C595" s="149"/>
      <c r="D595" s="149"/>
      <c r="E595" s="149"/>
      <c r="F595" s="149"/>
      <c r="G595" s="162"/>
      <c r="H595" s="146" t="str">
        <f t="shared" si="55"/>
        <v/>
      </c>
      <c r="I595" s="161" t="str">
        <f t="shared" si="56"/>
        <v/>
      </c>
      <c r="J595" s="160" t="str">
        <f>IFERROR(INDEX(下年标准成本!I:I,MATCH(C595,下年标准成本!C:C,0),1),"")</f>
        <v/>
      </c>
      <c r="K595" s="146" t="str">
        <f t="shared" si="57"/>
        <v/>
      </c>
      <c r="L595" s="146" t="str">
        <f t="shared" si="58"/>
        <v/>
      </c>
      <c r="M595" s="148" t="str">
        <f t="shared" si="59"/>
        <v/>
      </c>
    </row>
    <row r="596" spans="1:13" x14ac:dyDescent="0.3">
      <c r="A596" s="149"/>
      <c r="B596" s="149"/>
      <c r="C596" s="149"/>
      <c r="D596" s="149"/>
      <c r="E596" s="149"/>
      <c r="F596" s="149"/>
      <c r="G596" s="162"/>
      <c r="H596" s="146" t="str">
        <f t="shared" si="55"/>
        <v/>
      </c>
      <c r="I596" s="161" t="str">
        <f t="shared" si="56"/>
        <v/>
      </c>
      <c r="J596" s="160" t="str">
        <f>IFERROR(INDEX(下年标准成本!I:I,MATCH(C596,下年标准成本!C:C,0),1),"")</f>
        <v/>
      </c>
      <c r="K596" s="146" t="str">
        <f t="shared" si="57"/>
        <v/>
      </c>
      <c r="L596" s="146" t="str">
        <f t="shared" si="58"/>
        <v/>
      </c>
      <c r="M596" s="148" t="str">
        <f t="shared" si="59"/>
        <v/>
      </c>
    </row>
    <row r="597" spans="1:13" x14ac:dyDescent="0.3">
      <c r="A597" s="149"/>
      <c r="B597" s="149"/>
      <c r="C597" s="149"/>
      <c r="D597" s="149"/>
      <c r="E597" s="149"/>
      <c r="F597" s="149"/>
      <c r="G597" s="162"/>
      <c r="H597" s="146" t="str">
        <f t="shared" si="55"/>
        <v/>
      </c>
      <c r="I597" s="161" t="str">
        <f t="shared" si="56"/>
        <v/>
      </c>
      <c r="J597" s="160" t="str">
        <f>IFERROR(INDEX(下年标准成本!I:I,MATCH(C597,下年标准成本!C:C,0),1),"")</f>
        <v/>
      </c>
      <c r="K597" s="146" t="str">
        <f t="shared" si="57"/>
        <v/>
      </c>
      <c r="L597" s="146" t="str">
        <f t="shared" si="58"/>
        <v/>
      </c>
      <c r="M597" s="148" t="str">
        <f t="shared" si="59"/>
        <v/>
      </c>
    </row>
    <row r="598" spans="1:13" x14ac:dyDescent="0.3">
      <c r="A598" s="149"/>
      <c r="B598" s="149"/>
      <c r="C598" s="149"/>
      <c r="D598" s="149"/>
      <c r="E598" s="149"/>
      <c r="F598" s="149"/>
      <c r="G598" s="162"/>
      <c r="H598" s="146" t="str">
        <f t="shared" si="55"/>
        <v/>
      </c>
      <c r="I598" s="161" t="str">
        <f t="shared" si="56"/>
        <v/>
      </c>
      <c r="J598" s="160" t="str">
        <f>IFERROR(INDEX(下年标准成本!I:I,MATCH(C598,下年标准成本!C:C,0),1),"")</f>
        <v/>
      </c>
      <c r="K598" s="146" t="str">
        <f t="shared" si="57"/>
        <v/>
      </c>
      <c r="L598" s="146" t="str">
        <f t="shared" si="58"/>
        <v/>
      </c>
      <c r="M598" s="148" t="str">
        <f t="shared" si="59"/>
        <v/>
      </c>
    </row>
    <row r="599" spans="1:13" x14ac:dyDescent="0.3">
      <c r="A599" s="149"/>
      <c r="B599" s="149"/>
      <c r="C599" s="149"/>
      <c r="D599" s="149"/>
      <c r="E599" s="149"/>
      <c r="F599" s="149"/>
      <c r="G599" s="162"/>
      <c r="H599" s="146" t="str">
        <f t="shared" si="55"/>
        <v/>
      </c>
      <c r="I599" s="161" t="str">
        <f t="shared" si="56"/>
        <v/>
      </c>
      <c r="J599" s="160" t="str">
        <f>IFERROR(INDEX(下年标准成本!I:I,MATCH(C599,下年标准成本!C:C,0),1),"")</f>
        <v/>
      </c>
      <c r="K599" s="146" t="str">
        <f t="shared" si="57"/>
        <v/>
      </c>
      <c r="L599" s="146" t="str">
        <f t="shared" si="58"/>
        <v/>
      </c>
      <c r="M599" s="148" t="str">
        <f t="shared" si="59"/>
        <v/>
      </c>
    </row>
    <row r="600" spans="1:13" x14ac:dyDescent="0.3">
      <c r="A600" s="149"/>
      <c r="B600" s="149"/>
      <c r="C600" s="149"/>
      <c r="D600" s="149"/>
      <c r="E600" s="149"/>
      <c r="F600" s="149"/>
      <c r="G600" s="162"/>
      <c r="H600" s="146" t="str">
        <f t="shared" si="55"/>
        <v/>
      </c>
      <c r="I600" s="161" t="str">
        <f t="shared" si="56"/>
        <v/>
      </c>
      <c r="J600" s="160" t="str">
        <f>IFERROR(INDEX(下年标准成本!I:I,MATCH(C600,下年标准成本!C:C,0),1),"")</f>
        <v/>
      </c>
      <c r="K600" s="146" t="str">
        <f t="shared" si="57"/>
        <v/>
      </c>
      <c r="L600" s="146" t="str">
        <f t="shared" si="58"/>
        <v/>
      </c>
      <c r="M600" s="148" t="str">
        <f t="shared" si="59"/>
        <v/>
      </c>
    </row>
    <row r="601" spans="1:13" x14ac:dyDescent="0.3">
      <c r="A601" s="149"/>
      <c r="B601" s="149"/>
      <c r="C601" s="149"/>
      <c r="D601" s="149"/>
      <c r="E601" s="149"/>
      <c r="F601" s="149"/>
      <c r="G601" s="162"/>
      <c r="H601" s="146" t="str">
        <f t="shared" si="55"/>
        <v/>
      </c>
      <c r="I601" s="161" t="str">
        <f t="shared" si="56"/>
        <v/>
      </c>
      <c r="J601" s="160" t="str">
        <f>IFERROR(INDEX(下年标准成本!I:I,MATCH(C601,下年标准成本!C:C,0),1),"")</f>
        <v/>
      </c>
      <c r="K601" s="146" t="str">
        <f t="shared" si="57"/>
        <v/>
      </c>
      <c r="L601" s="146" t="str">
        <f t="shared" si="58"/>
        <v/>
      </c>
      <c r="M601" s="148" t="str">
        <f t="shared" si="59"/>
        <v/>
      </c>
    </row>
    <row r="602" spans="1:13" x14ac:dyDescent="0.3">
      <c r="A602" s="149"/>
      <c r="B602" s="149"/>
      <c r="C602" s="149"/>
      <c r="D602" s="149"/>
      <c r="E602" s="149"/>
      <c r="F602" s="149"/>
      <c r="G602" s="162"/>
      <c r="H602" s="146" t="str">
        <f t="shared" si="55"/>
        <v/>
      </c>
      <c r="I602" s="161" t="str">
        <f t="shared" si="56"/>
        <v/>
      </c>
      <c r="J602" s="160" t="str">
        <f>IFERROR(INDEX(下年标准成本!I:I,MATCH(C602,下年标准成本!C:C,0),1),"")</f>
        <v/>
      </c>
      <c r="K602" s="146" t="str">
        <f t="shared" si="57"/>
        <v/>
      </c>
      <c r="L602" s="146" t="str">
        <f t="shared" si="58"/>
        <v/>
      </c>
      <c r="M602" s="148" t="str">
        <f t="shared" si="59"/>
        <v/>
      </c>
    </row>
    <row r="603" spans="1:13" x14ac:dyDescent="0.3">
      <c r="A603" s="149"/>
      <c r="B603" s="149"/>
      <c r="C603" s="149"/>
      <c r="D603" s="149"/>
      <c r="E603" s="149"/>
      <c r="F603" s="149"/>
      <c r="G603" s="162"/>
      <c r="H603" s="146" t="str">
        <f t="shared" si="55"/>
        <v/>
      </c>
      <c r="I603" s="161" t="str">
        <f t="shared" si="56"/>
        <v/>
      </c>
      <c r="J603" s="160" t="str">
        <f>IFERROR(INDEX(下年标准成本!I:I,MATCH(C603,下年标准成本!C:C,0),1),"")</f>
        <v/>
      </c>
      <c r="K603" s="146" t="str">
        <f t="shared" si="57"/>
        <v/>
      </c>
      <c r="L603" s="146" t="str">
        <f t="shared" si="58"/>
        <v/>
      </c>
      <c r="M603" s="148" t="str">
        <f t="shared" si="59"/>
        <v/>
      </c>
    </row>
    <row r="604" spans="1:13" x14ac:dyDescent="0.3">
      <c r="A604" s="149"/>
      <c r="B604" s="149"/>
      <c r="C604" s="149"/>
      <c r="D604" s="149"/>
      <c r="E604" s="149"/>
      <c r="F604" s="149"/>
      <c r="G604" s="162"/>
      <c r="H604" s="146" t="str">
        <f t="shared" si="55"/>
        <v/>
      </c>
      <c r="I604" s="161" t="str">
        <f t="shared" si="56"/>
        <v/>
      </c>
      <c r="J604" s="160" t="str">
        <f>IFERROR(INDEX(下年标准成本!I:I,MATCH(C604,下年标准成本!C:C,0),1),"")</f>
        <v/>
      </c>
      <c r="K604" s="146" t="str">
        <f t="shared" si="57"/>
        <v/>
      </c>
      <c r="L604" s="146" t="str">
        <f t="shared" si="58"/>
        <v/>
      </c>
      <c r="M604" s="148" t="str">
        <f t="shared" si="59"/>
        <v/>
      </c>
    </row>
    <row r="605" spans="1:13" x14ac:dyDescent="0.3">
      <c r="A605" s="149"/>
      <c r="B605" s="149"/>
      <c r="C605" s="149"/>
      <c r="D605" s="149"/>
      <c r="E605" s="149"/>
      <c r="F605" s="149"/>
      <c r="G605" s="162"/>
      <c r="H605" s="146" t="str">
        <f t="shared" si="55"/>
        <v/>
      </c>
      <c r="I605" s="161" t="str">
        <f t="shared" si="56"/>
        <v/>
      </c>
      <c r="J605" s="160" t="str">
        <f>IFERROR(INDEX(下年标准成本!I:I,MATCH(C605,下年标准成本!C:C,0),1),"")</f>
        <v/>
      </c>
      <c r="K605" s="146" t="str">
        <f t="shared" si="57"/>
        <v/>
      </c>
      <c r="L605" s="146" t="str">
        <f t="shared" si="58"/>
        <v/>
      </c>
      <c r="M605" s="148" t="str">
        <f t="shared" si="59"/>
        <v/>
      </c>
    </row>
    <row r="606" spans="1:13" x14ac:dyDescent="0.3">
      <c r="A606" s="149"/>
      <c r="B606" s="149"/>
      <c r="C606" s="149"/>
      <c r="D606" s="149"/>
      <c r="E606" s="149"/>
      <c r="F606" s="149"/>
      <c r="G606" s="162"/>
      <c r="H606" s="146" t="str">
        <f t="shared" si="55"/>
        <v/>
      </c>
      <c r="I606" s="161" t="str">
        <f t="shared" si="56"/>
        <v/>
      </c>
      <c r="J606" s="160" t="str">
        <f>IFERROR(INDEX(下年标准成本!I:I,MATCH(C606,下年标准成本!C:C,0),1),"")</f>
        <v/>
      </c>
      <c r="K606" s="146" t="str">
        <f t="shared" si="57"/>
        <v/>
      </c>
      <c r="L606" s="146" t="str">
        <f t="shared" si="58"/>
        <v/>
      </c>
      <c r="M606" s="148" t="str">
        <f t="shared" si="59"/>
        <v/>
      </c>
    </row>
    <row r="607" spans="1:13" x14ac:dyDescent="0.3">
      <c r="A607" s="149"/>
      <c r="B607" s="149"/>
      <c r="C607" s="149"/>
      <c r="D607" s="149"/>
      <c r="E607" s="149"/>
      <c r="F607" s="149"/>
      <c r="G607" s="162"/>
      <c r="H607" s="146" t="str">
        <f t="shared" si="55"/>
        <v/>
      </c>
      <c r="I607" s="161" t="str">
        <f t="shared" si="56"/>
        <v/>
      </c>
      <c r="J607" s="160" t="str">
        <f>IFERROR(INDEX(下年标准成本!I:I,MATCH(C607,下年标准成本!C:C,0),1),"")</f>
        <v/>
      </c>
      <c r="K607" s="146" t="str">
        <f t="shared" si="57"/>
        <v/>
      </c>
      <c r="L607" s="146" t="str">
        <f t="shared" si="58"/>
        <v/>
      </c>
      <c r="M607" s="148" t="str">
        <f t="shared" si="59"/>
        <v/>
      </c>
    </row>
    <row r="608" spans="1:13" x14ac:dyDescent="0.3">
      <c r="A608" s="149"/>
      <c r="B608" s="149"/>
      <c r="C608" s="149"/>
      <c r="D608" s="149"/>
      <c r="E608" s="149"/>
      <c r="F608" s="149"/>
      <c r="G608" s="162"/>
      <c r="H608" s="146" t="str">
        <f t="shared" si="55"/>
        <v/>
      </c>
      <c r="I608" s="161" t="str">
        <f t="shared" si="56"/>
        <v/>
      </c>
      <c r="J608" s="160" t="str">
        <f>IFERROR(INDEX(下年标准成本!I:I,MATCH(C608,下年标准成本!C:C,0),1),"")</f>
        <v/>
      </c>
      <c r="K608" s="146" t="str">
        <f t="shared" si="57"/>
        <v/>
      </c>
      <c r="L608" s="146" t="str">
        <f t="shared" si="58"/>
        <v/>
      </c>
      <c r="M608" s="148" t="str">
        <f t="shared" si="59"/>
        <v/>
      </c>
    </row>
    <row r="609" spans="1:13" x14ac:dyDescent="0.3">
      <c r="A609" s="149"/>
      <c r="B609" s="149"/>
      <c r="C609" s="149"/>
      <c r="D609" s="149"/>
      <c r="E609" s="149"/>
      <c r="F609" s="149"/>
      <c r="G609" s="162"/>
      <c r="H609" s="146" t="str">
        <f t="shared" si="55"/>
        <v/>
      </c>
      <c r="I609" s="161" t="str">
        <f t="shared" si="56"/>
        <v/>
      </c>
      <c r="J609" s="160" t="str">
        <f>IFERROR(INDEX(下年标准成本!I:I,MATCH(C609,下年标准成本!C:C,0),1),"")</f>
        <v/>
      </c>
      <c r="K609" s="146" t="str">
        <f t="shared" si="57"/>
        <v/>
      </c>
      <c r="L609" s="146" t="str">
        <f t="shared" si="58"/>
        <v/>
      </c>
      <c r="M609" s="148" t="str">
        <f t="shared" si="59"/>
        <v/>
      </c>
    </row>
    <row r="610" spans="1:13" x14ac:dyDescent="0.3">
      <c r="A610" s="149"/>
      <c r="B610" s="149"/>
      <c r="C610" s="149"/>
      <c r="D610" s="149"/>
      <c r="E610" s="149"/>
      <c r="F610" s="149"/>
      <c r="G610" s="162"/>
      <c r="H610" s="146" t="str">
        <f t="shared" si="55"/>
        <v/>
      </c>
      <c r="I610" s="161" t="str">
        <f t="shared" si="56"/>
        <v/>
      </c>
      <c r="J610" s="160" t="str">
        <f>IFERROR(INDEX(下年标准成本!I:I,MATCH(C610,下年标准成本!C:C,0),1),"")</f>
        <v/>
      </c>
      <c r="K610" s="146" t="str">
        <f t="shared" si="57"/>
        <v/>
      </c>
      <c r="L610" s="146" t="str">
        <f t="shared" si="58"/>
        <v/>
      </c>
      <c r="M610" s="148" t="str">
        <f t="shared" si="59"/>
        <v/>
      </c>
    </row>
    <row r="611" spans="1:13" x14ac:dyDescent="0.3">
      <c r="A611" s="149"/>
      <c r="B611" s="149"/>
      <c r="C611" s="149"/>
      <c r="D611" s="149"/>
      <c r="E611" s="149"/>
      <c r="F611" s="149"/>
      <c r="G611" s="162"/>
      <c r="H611" s="146" t="str">
        <f t="shared" si="55"/>
        <v/>
      </c>
      <c r="I611" s="161" t="str">
        <f t="shared" si="56"/>
        <v/>
      </c>
      <c r="J611" s="160" t="str">
        <f>IFERROR(INDEX(下年标准成本!I:I,MATCH(C611,下年标准成本!C:C,0),1),"")</f>
        <v/>
      </c>
      <c r="K611" s="146" t="str">
        <f t="shared" si="57"/>
        <v/>
      </c>
      <c r="L611" s="146" t="str">
        <f t="shared" si="58"/>
        <v/>
      </c>
      <c r="M611" s="148" t="str">
        <f t="shared" si="59"/>
        <v/>
      </c>
    </row>
    <row r="612" spans="1:13" x14ac:dyDescent="0.3">
      <c r="A612" s="149"/>
      <c r="B612" s="149"/>
      <c r="C612" s="149"/>
      <c r="D612" s="149"/>
      <c r="E612" s="149"/>
      <c r="F612" s="149"/>
      <c r="G612" s="162"/>
      <c r="H612" s="146" t="str">
        <f t="shared" si="55"/>
        <v/>
      </c>
      <c r="I612" s="161" t="str">
        <f t="shared" si="56"/>
        <v/>
      </c>
      <c r="J612" s="160" t="str">
        <f>IFERROR(INDEX(下年标准成本!I:I,MATCH(C612,下年标准成本!C:C,0),1),"")</f>
        <v/>
      </c>
      <c r="K612" s="146" t="str">
        <f t="shared" si="57"/>
        <v/>
      </c>
      <c r="L612" s="146" t="str">
        <f t="shared" si="58"/>
        <v/>
      </c>
      <c r="M612" s="148" t="str">
        <f t="shared" si="59"/>
        <v/>
      </c>
    </row>
    <row r="613" spans="1:13" x14ac:dyDescent="0.3">
      <c r="A613" s="149"/>
      <c r="B613" s="149"/>
      <c r="C613" s="149"/>
      <c r="D613" s="149"/>
      <c r="E613" s="149"/>
      <c r="F613" s="149"/>
      <c r="G613" s="162"/>
      <c r="H613" s="146" t="str">
        <f t="shared" si="55"/>
        <v/>
      </c>
      <c r="I613" s="161" t="str">
        <f t="shared" si="56"/>
        <v/>
      </c>
      <c r="J613" s="160" t="str">
        <f>IFERROR(INDEX(下年标准成本!I:I,MATCH(C613,下年标准成本!C:C,0),1),"")</f>
        <v/>
      </c>
      <c r="K613" s="146" t="str">
        <f t="shared" si="57"/>
        <v/>
      </c>
      <c r="L613" s="146" t="str">
        <f t="shared" si="58"/>
        <v/>
      </c>
      <c r="M613" s="148" t="str">
        <f t="shared" si="59"/>
        <v/>
      </c>
    </row>
    <row r="614" spans="1:13" x14ac:dyDescent="0.3">
      <c r="A614" s="149"/>
      <c r="B614" s="149"/>
      <c r="C614" s="149"/>
      <c r="D614" s="149"/>
      <c r="E614" s="149"/>
      <c r="F614" s="149"/>
      <c r="G614" s="162"/>
      <c r="H614" s="146" t="str">
        <f t="shared" si="55"/>
        <v/>
      </c>
      <c r="I614" s="161" t="str">
        <f t="shared" si="56"/>
        <v/>
      </c>
      <c r="J614" s="160" t="str">
        <f>IFERROR(INDEX(下年标准成本!I:I,MATCH(C614,下年标准成本!C:C,0),1),"")</f>
        <v/>
      </c>
      <c r="K614" s="146" t="str">
        <f t="shared" si="57"/>
        <v/>
      </c>
      <c r="L614" s="146" t="str">
        <f t="shared" si="58"/>
        <v/>
      </c>
      <c r="M614" s="148" t="str">
        <f t="shared" si="59"/>
        <v/>
      </c>
    </row>
    <row r="615" spans="1:13" x14ac:dyDescent="0.3">
      <c r="A615" s="149"/>
      <c r="B615" s="149"/>
      <c r="C615" s="149"/>
      <c r="D615" s="149"/>
      <c r="E615" s="149"/>
      <c r="F615" s="149"/>
      <c r="G615" s="162"/>
      <c r="H615" s="146" t="str">
        <f t="shared" si="55"/>
        <v/>
      </c>
      <c r="I615" s="161" t="str">
        <f t="shared" si="56"/>
        <v/>
      </c>
      <c r="J615" s="160" t="str">
        <f>IFERROR(INDEX(下年标准成本!I:I,MATCH(C615,下年标准成本!C:C,0),1),"")</f>
        <v/>
      </c>
      <c r="K615" s="146" t="str">
        <f t="shared" si="57"/>
        <v/>
      </c>
      <c r="L615" s="146" t="str">
        <f t="shared" si="58"/>
        <v/>
      </c>
      <c r="M615" s="148" t="str">
        <f t="shared" si="59"/>
        <v/>
      </c>
    </row>
    <row r="616" spans="1:13" x14ac:dyDescent="0.3">
      <c r="A616" s="149"/>
      <c r="B616" s="149"/>
      <c r="C616" s="149"/>
      <c r="D616" s="149"/>
      <c r="E616" s="149"/>
      <c r="F616" s="149"/>
      <c r="G616" s="162"/>
      <c r="H616" s="146" t="str">
        <f t="shared" si="55"/>
        <v/>
      </c>
      <c r="I616" s="161" t="str">
        <f t="shared" si="56"/>
        <v/>
      </c>
      <c r="J616" s="160" t="str">
        <f>IFERROR(INDEX(下年标准成本!I:I,MATCH(C616,下年标准成本!C:C,0),1),"")</f>
        <v/>
      </c>
      <c r="K616" s="146" t="str">
        <f t="shared" si="57"/>
        <v/>
      </c>
      <c r="L616" s="146" t="str">
        <f t="shared" si="58"/>
        <v/>
      </c>
      <c r="M616" s="148" t="str">
        <f t="shared" si="59"/>
        <v/>
      </c>
    </row>
    <row r="617" spans="1:13" x14ac:dyDescent="0.3">
      <c r="A617" s="149"/>
      <c r="B617" s="149"/>
      <c r="C617" s="149"/>
      <c r="D617" s="149"/>
      <c r="E617" s="149"/>
      <c r="F617" s="149"/>
      <c r="G617" s="162"/>
      <c r="H617" s="146" t="str">
        <f t="shared" si="55"/>
        <v/>
      </c>
      <c r="I617" s="161" t="str">
        <f t="shared" si="56"/>
        <v/>
      </c>
      <c r="J617" s="160" t="str">
        <f>IFERROR(INDEX(下年标准成本!I:I,MATCH(C617,下年标准成本!C:C,0),1),"")</f>
        <v/>
      </c>
      <c r="K617" s="146" t="str">
        <f t="shared" si="57"/>
        <v/>
      </c>
      <c r="L617" s="146" t="str">
        <f t="shared" si="58"/>
        <v/>
      </c>
      <c r="M617" s="148" t="str">
        <f t="shared" si="59"/>
        <v/>
      </c>
    </row>
    <row r="618" spans="1:13" x14ac:dyDescent="0.3">
      <c r="A618" s="149"/>
      <c r="B618" s="149"/>
      <c r="C618" s="149"/>
      <c r="D618" s="149"/>
      <c r="E618" s="149"/>
      <c r="F618" s="149"/>
      <c r="G618" s="162"/>
      <c r="H618" s="146" t="str">
        <f t="shared" si="55"/>
        <v/>
      </c>
      <c r="I618" s="161" t="str">
        <f t="shared" si="56"/>
        <v/>
      </c>
      <c r="J618" s="160" t="str">
        <f>IFERROR(INDEX(下年标准成本!I:I,MATCH(C618,下年标准成本!C:C,0),1),"")</f>
        <v/>
      </c>
      <c r="K618" s="146" t="str">
        <f t="shared" si="57"/>
        <v/>
      </c>
      <c r="L618" s="146" t="str">
        <f t="shared" si="58"/>
        <v/>
      </c>
      <c r="M618" s="148" t="str">
        <f t="shared" si="59"/>
        <v/>
      </c>
    </row>
    <row r="619" spans="1:13" x14ac:dyDescent="0.3">
      <c r="A619" s="149"/>
      <c r="B619" s="149"/>
      <c r="C619" s="149"/>
      <c r="D619" s="149"/>
      <c r="E619" s="149"/>
      <c r="F619" s="149"/>
      <c r="G619" s="162"/>
      <c r="H619" s="146" t="str">
        <f t="shared" si="55"/>
        <v/>
      </c>
      <c r="I619" s="161" t="str">
        <f t="shared" si="56"/>
        <v/>
      </c>
      <c r="J619" s="160" t="str">
        <f>IFERROR(INDEX(下年标准成本!I:I,MATCH(C619,下年标准成本!C:C,0),1),"")</f>
        <v/>
      </c>
      <c r="K619" s="146" t="str">
        <f t="shared" si="57"/>
        <v/>
      </c>
      <c r="L619" s="146" t="str">
        <f t="shared" si="58"/>
        <v/>
      </c>
      <c r="M619" s="148" t="str">
        <f t="shared" si="59"/>
        <v/>
      </c>
    </row>
    <row r="620" spans="1:13" x14ac:dyDescent="0.3">
      <c r="A620" s="149"/>
      <c r="B620" s="149"/>
      <c r="C620" s="149"/>
      <c r="D620" s="149"/>
      <c r="E620" s="149"/>
      <c r="F620" s="149"/>
      <c r="G620" s="162"/>
      <c r="H620" s="146" t="str">
        <f t="shared" si="55"/>
        <v/>
      </c>
      <c r="I620" s="161" t="str">
        <f t="shared" si="56"/>
        <v/>
      </c>
      <c r="J620" s="160" t="str">
        <f>IFERROR(INDEX(下年标准成本!I:I,MATCH(C620,下年标准成本!C:C,0),1),"")</f>
        <v/>
      </c>
      <c r="K620" s="146" t="str">
        <f t="shared" si="57"/>
        <v/>
      </c>
      <c r="L620" s="146" t="str">
        <f t="shared" si="58"/>
        <v/>
      </c>
      <c r="M620" s="148" t="str">
        <f t="shared" si="59"/>
        <v/>
      </c>
    </row>
    <row r="621" spans="1:13" x14ac:dyDescent="0.3">
      <c r="A621" s="149"/>
      <c r="B621" s="149"/>
      <c r="C621" s="149"/>
      <c r="D621" s="149"/>
      <c r="E621" s="149"/>
      <c r="F621" s="149"/>
      <c r="G621" s="162"/>
      <c r="H621" s="146" t="str">
        <f t="shared" si="55"/>
        <v/>
      </c>
      <c r="I621" s="161" t="str">
        <f t="shared" si="56"/>
        <v/>
      </c>
      <c r="J621" s="160" t="str">
        <f>IFERROR(INDEX(下年标准成本!I:I,MATCH(C621,下年标准成本!C:C,0),1),"")</f>
        <v/>
      </c>
      <c r="K621" s="146" t="str">
        <f t="shared" si="57"/>
        <v/>
      </c>
      <c r="L621" s="146" t="str">
        <f t="shared" si="58"/>
        <v/>
      </c>
      <c r="M621" s="148" t="str">
        <f t="shared" si="59"/>
        <v/>
      </c>
    </row>
    <row r="622" spans="1:13" x14ac:dyDescent="0.3">
      <c r="A622" s="149"/>
      <c r="B622" s="149"/>
      <c r="C622" s="149"/>
      <c r="D622" s="149"/>
      <c r="E622" s="149"/>
      <c r="F622" s="149"/>
      <c r="G622" s="162"/>
      <c r="H622" s="146" t="str">
        <f t="shared" si="55"/>
        <v/>
      </c>
      <c r="I622" s="161" t="str">
        <f t="shared" si="56"/>
        <v/>
      </c>
      <c r="J622" s="160" t="str">
        <f>IFERROR(INDEX(下年标准成本!I:I,MATCH(C622,下年标准成本!C:C,0),1),"")</f>
        <v/>
      </c>
      <c r="K622" s="146" t="str">
        <f t="shared" si="57"/>
        <v/>
      </c>
      <c r="L622" s="146" t="str">
        <f t="shared" si="58"/>
        <v/>
      </c>
      <c r="M622" s="148" t="str">
        <f t="shared" si="59"/>
        <v/>
      </c>
    </row>
    <row r="623" spans="1:13" x14ac:dyDescent="0.3">
      <c r="A623" s="149"/>
      <c r="B623" s="149"/>
      <c r="C623" s="149"/>
      <c r="D623" s="149"/>
      <c r="E623" s="149"/>
      <c r="F623" s="149"/>
      <c r="G623" s="162"/>
      <c r="H623" s="146" t="str">
        <f t="shared" si="55"/>
        <v/>
      </c>
      <c r="I623" s="161" t="str">
        <f t="shared" si="56"/>
        <v/>
      </c>
      <c r="J623" s="160" t="str">
        <f>IFERROR(INDEX(下年标准成本!I:I,MATCH(C623,下年标准成本!C:C,0),1),"")</f>
        <v/>
      </c>
      <c r="K623" s="146" t="str">
        <f t="shared" si="57"/>
        <v/>
      </c>
      <c r="L623" s="146" t="str">
        <f t="shared" si="58"/>
        <v/>
      </c>
      <c r="M623" s="148" t="str">
        <f t="shared" si="59"/>
        <v/>
      </c>
    </row>
    <row r="624" spans="1:13" x14ac:dyDescent="0.3">
      <c r="A624" s="149"/>
      <c r="B624" s="149"/>
      <c r="C624" s="149"/>
      <c r="D624" s="149"/>
      <c r="E624" s="149"/>
      <c r="F624" s="149"/>
      <c r="G624" s="162"/>
      <c r="H624" s="146" t="str">
        <f t="shared" si="55"/>
        <v/>
      </c>
      <c r="I624" s="161" t="str">
        <f t="shared" si="56"/>
        <v/>
      </c>
      <c r="J624" s="160" t="str">
        <f>IFERROR(INDEX(下年标准成本!I:I,MATCH(C624,下年标准成本!C:C,0),1),"")</f>
        <v/>
      </c>
      <c r="K624" s="146" t="str">
        <f t="shared" si="57"/>
        <v/>
      </c>
      <c r="L624" s="146" t="str">
        <f t="shared" si="58"/>
        <v/>
      </c>
      <c r="M624" s="148" t="str">
        <f t="shared" si="59"/>
        <v/>
      </c>
    </row>
    <row r="625" spans="1:13" x14ac:dyDescent="0.3">
      <c r="A625" s="149"/>
      <c r="B625" s="149"/>
      <c r="C625" s="149"/>
      <c r="D625" s="149"/>
      <c r="E625" s="149"/>
      <c r="F625" s="149"/>
      <c r="G625" s="162"/>
      <c r="H625" s="146" t="str">
        <f t="shared" si="55"/>
        <v/>
      </c>
      <c r="I625" s="161" t="str">
        <f t="shared" si="56"/>
        <v/>
      </c>
      <c r="J625" s="160" t="str">
        <f>IFERROR(INDEX(下年标准成本!I:I,MATCH(C625,下年标准成本!C:C,0),1),"")</f>
        <v/>
      </c>
      <c r="K625" s="146" t="str">
        <f t="shared" si="57"/>
        <v/>
      </c>
      <c r="L625" s="146" t="str">
        <f t="shared" si="58"/>
        <v/>
      </c>
      <c r="M625" s="148" t="str">
        <f t="shared" si="59"/>
        <v/>
      </c>
    </row>
    <row r="626" spans="1:13" x14ac:dyDescent="0.3">
      <c r="A626" s="149"/>
      <c r="B626" s="149"/>
      <c r="C626" s="149"/>
      <c r="D626" s="149"/>
      <c r="E626" s="149"/>
      <c r="F626" s="149"/>
      <c r="G626" s="162"/>
      <c r="H626" s="146" t="str">
        <f t="shared" si="55"/>
        <v/>
      </c>
      <c r="I626" s="161" t="str">
        <f t="shared" si="56"/>
        <v/>
      </c>
      <c r="J626" s="160" t="str">
        <f>IFERROR(INDEX(下年标准成本!I:I,MATCH(C626,下年标准成本!C:C,0),1),"")</f>
        <v/>
      </c>
      <c r="K626" s="146" t="str">
        <f t="shared" si="57"/>
        <v/>
      </c>
      <c r="L626" s="146" t="str">
        <f t="shared" si="58"/>
        <v/>
      </c>
      <c r="M626" s="148" t="str">
        <f t="shared" si="59"/>
        <v/>
      </c>
    </row>
    <row r="627" spans="1:13" x14ac:dyDescent="0.3">
      <c r="A627" s="149"/>
      <c r="B627" s="149"/>
      <c r="C627" s="149"/>
      <c r="D627" s="149"/>
      <c r="E627" s="149"/>
      <c r="F627" s="149"/>
      <c r="G627" s="162"/>
      <c r="H627" s="146" t="str">
        <f t="shared" si="55"/>
        <v/>
      </c>
      <c r="I627" s="161" t="str">
        <f t="shared" si="56"/>
        <v/>
      </c>
      <c r="J627" s="160" t="str">
        <f>IFERROR(INDEX(下年标准成本!I:I,MATCH(C627,下年标准成本!C:C,0),1),"")</f>
        <v/>
      </c>
      <c r="K627" s="146" t="str">
        <f t="shared" si="57"/>
        <v/>
      </c>
      <c r="L627" s="146" t="str">
        <f t="shared" si="58"/>
        <v/>
      </c>
      <c r="M627" s="148" t="str">
        <f t="shared" si="59"/>
        <v/>
      </c>
    </row>
    <row r="628" spans="1:13" x14ac:dyDescent="0.3">
      <c r="A628" s="149"/>
      <c r="B628" s="149"/>
      <c r="C628" s="149"/>
      <c r="D628" s="149"/>
      <c r="E628" s="149"/>
      <c r="F628" s="149"/>
      <c r="G628" s="162"/>
      <c r="H628" s="146" t="str">
        <f t="shared" si="55"/>
        <v/>
      </c>
      <c r="I628" s="161" t="str">
        <f t="shared" si="56"/>
        <v/>
      </c>
      <c r="J628" s="160" t="str">
        <f>IFERROR(INDEX(下年标准成本!I:I,MATCH(C628,下年标准成本!C:C,0),1),"")</f>
        <v/>
      </c>
      <c r="K628" s="146" t="str">
        <f t="shared" si="57"/>
        <v/>
      </c>
      <c r="L628" s="146" t="str">
        <f t="shared" si="58"/>
        <v/>
      </c>
      <c r="M628" s="148" t="str">
        <f t="shared" si="59"/>
        <v/>
      </c>
    </row>
    <row r="629" spans="1:13" x14ac:dyDescent="0.3">
      <c r="A629" s="149"/>
      <c r="B629" s="149"/>
      <c r="C629" s="149"/>
      <c r="D629" s="149"/>
      <c r="E629" s="149"/>
      <c r="F629" s="149"/>
      <c r="G629" s="162"/>
      <c r="H629" s="146" t="str">
        <f t="shared" si="55"/>
        <v/>
      </c>
      <c r="I629" s="161" t="str">
        <f t="shared" si="56"/>
        <v/>
      </c>
      <c r="J629" s="160" t="str">
        <f>IFERROR(INDEX(下年标准成本!I:I,MATCH(C629,下年标准成本!C:C,0),1),"")</f>
        <v/>
      </c>
      <c r="K629" s="146" t="str">
        <f t="shared" si="57"/>
        <v/>
      </c>
      <c r="L629" s="146" t="str">
        <f t="shared" si="58"/>
        <v/>
      </c>
      <c r="M629" s="148" t="str">
        <f t="shared" si="59"/>
        <v/>
      </c>
    </row>
    <row r="630" spans="1:13" x14ac:dyDescent="0.3">
      <c r="A630" s="149"/>
      <c r="B630" s="149"/>
      <c r="C630" s="149"/>
      <c r="D630" s="149"/>
      <c r="E630" s="149"/>
      <c r="F630" s="149"/>
      <c r="G630" s="162"/>
      <c r="H630" s="146" t="str">
        <f t="shared" si="55"/>
        <v/>
      </c>
      <c r="I630" s="161" t="str">
        <f t="shared" si="56"/>
        <v/>
      </c>
      <c r="J630" s="160" t="str">
        <f>IFERROR(INDEX(下年标准成本!I:I,MATCH(C630,下年标准成本!C:C,0),1),"")</f>
        <v/>
      </c>
      <c r="K630" s="146" t="str">
        <f t="shared" si="57"/>
        <v/>
      </c>
      <c r="L630" s="146" t="str">
        <f t="shared" si="58"/>
        <v/>
      </c>
      <c r="M630" s="148" t="str">
        <f t="shared" si="59"/>
        <v/>
      </c>
    </row>
    <row r="631" spans="1:13" x14ac:dyDescent="0.3">
      <c r="A631" s="149"/>
      <c r="B631" s="149"/>
      <c r="C631" s="149"/>
      <c r="D631" s="149"/>
      <c r="E631" s="149"/>
      <c r="F631" s="149"/>
      <c r="G631" s="162"/>
      <c r="H631" s="146" t="str">
        <f t="shared" si="55"/>
        <v/>
      </c>
      <c r="I631" s="161" t="str">
        <f t="shared" si="56"/>
        <v/>
      </c>
      <c r="J631" s="160" t="str">
        <f>IFERROR(INDEX(下年标准成本!I:I,MATCH(C631,下年标准成本!C:C,0),1),"")</f>
        <v/>
      </c>
      <c r="K631" s="146" t="str">
        <f t="shared" si="57"/>
        <v/>
      </c>
      <c r="L631" s="146" t="str">
        <f t="shared" si="58"/>
        <v/>
      </c>
      <c r="M631" s="148" t="str">
        <f t="shared" si="59"/>
        <v/>
      </c>
    </row>
    <row r="632" spans="1:13" x14ac:dyDescent="0.3">
      <c r="A632" s="149"/>
      <c r="B632" s="149"/>
      <c r="C632" s="149"/>
      <c r="D632" s="149"/>
      <c r="E632" s="149"/>
      <c r="F632" s="149"/>
      <c r="G632" s="162"/>
      <c r="H632" s="146" t="str">
        <f t="shared" si="55"/>
        <v/>
      </c>
      <c r="I632" s="161" t="str">
        <f t="shared" si="56"/>
        <v/>
      </c>
      <c r="J632" s="160" t="str">
        <f>IFERROR(INDEX(下年标准成本!I:I,MATCH(C632,下年标准成本!C:C,0),1),"")</f>
        <v/>
      </c>
      <c r="K632" s="146" t="str">
        <f t="shared" si="57"/>
        <v/>
      </c>
      <c r="L632" s="146" t="str">
        <f t="shared" si="58"/>
        <v/>
      </c>
      <c r="M632" s="148" t="str">
        <f t="shared" si="59"/>
        <v/>
      </c>
    </row>
    <row r="633" spans="1:13" x14ac:dyDescent="0.3">
      <c r="A633" s="149"/>
      <c r="B633" s="149"/>
      <c r="C633" s="149"/>
      <c r="D633" s="149"/>
      <c r="E633" s="149"/>
      <c r="F633" s="149"/>
      <c r="G633" s="162"/>
      <c r="H633" s="146" t="str">
        <f t="shared" si="55"/>
        <v/>
      </c>
      <c r="I633" s="161" t="str">
        <f t="shared" si="56"/>
        <v/>
      </c>
      <c r="J633" s="160" t="str">
        <f>IFERROR(INDEX(下年标准成本!I:I,MATCH(C633,下年标准成本!C:C,0),1),"")</f>
        <v/>
      </c>
      <c r="K633" s="146" t="str">
        <f t="shared" si="57"/>
        <v/>
      </c>
      <c r="L633" s="146" t="str">
        <f t="shared" si="58"/>
        <v/>
      </c>
      <c r="M633" s="148" t="str">
        <f t="shared" si="59"/>
        <v/>
      </c>
    </row>
    <row r="634" spans="1:13" x14ac:dyDescent="0.3">
      <c r="A634" s="149"/>
      <c r="B634" s="149"/>
      <c r="C634" s="149"/>
      <c r="D634" s="149"/>
      <c r="E634" s="149"/>
      <c r="F634" s="149"/>
      <c r="G634" s="162"/>
      <c r="H634" s="146" t="str">
        <f t="shared" si="55"/>
        <v/>
      </c>
      <c r="I634" s="161" t="str">
        <f t="shared" si="56"/>
        <v/>
      </c>
      <c r="J634" s="160" t="str">
        <f>IFERROR(INDEX(下年标准成本!I:I,MATCH(C634,下年标准成本!C:C,0),1),"")</f>
        <v/>
      </c>
      <c r="K634" s="146" t="str">
        <f t="shared" si="57"/>
        <v/>
      </c>
      <c r="L634" s="146" t="str">
        <f t="shared" si="58"/>
        <v/>
      </c>
      <c r="M634" s="148" t="str">
        <f t="shared" si="59"/>
        <v/>
      </c>
    </row>
    <row r="635" spans="1:13" x14ac:dyDescent="0.3">
      <c r="A635" s="149"/>
      <c r="B635" s="149"/>
      <c r="C635" s="149"/>
      <c r="D635" s="149"/>
      <c r="E635" s="149"/>
      <c r="F635" s="149"/>
      <c r="G635" s="162"/>
      <c r="H635" s="146" t="str">
        <f t="shared" si="55"/>
        <v/>
      </c>
      <c r="I635" s="161" t="str">
        <f t="shared" si="56"/>
        <v/>
      </c>
      <c r="J635" s="160" t="str">
        <f>IFERROR(INDEX(下年标准成本!I:I,MATCH(C635,下年标准成本!C:C,0),1),"")</f>
        <v/>
      </c>
      <c r="K635" s="146" t="str">
        <f t="shared" si="57"/>
        <v/>
      </c>
      <c r="L635" s="146" t="str">
        <f t="shared" si="58"/>
        <v/>
      </c>
      <c r="M635" s="148" t="str">
        <f t="shared" si="59"/>
        <v/>
      </c>
    </row>
    <row r="636" spans="1:13" x14ac:dyDescent="0.3">
      <c r="A636" s="149"/>
      <c r="B636" s="149"/>
      <c r="C636" s="149"/>
      <c r="D636" s="149"/>
      <c r="E636" s="149"/>
      <c r="F636" s="149"/>
      <c r="G636" s="162"/>
      <c r="H636" s="146" t="str">
        <f t="shared" si="55"/>
        <v/>
      </c>
      <c r="I636" s="161" t="str">
        <f t="shared" si="56"/>
        <v/>
      </c>
      <c r="J636" s="160" t="str">
        <f>IFERROR(INDEX(下年标准成本!I:I,MATCH(C636,下年标准成本!C:C,0),1),"")</f>
        <v/>
      </c>
      <c r="K636" s="146" t="str">
        <f t="shared" si="57"/>
        <v/>
      </c>
      <c r="L636" s="146" t="str">
        <f t="shared" si="58"/>
        <v/>
      </c>
      <c r="M636" s="148" t="str">
        <f t="shared" si="59"/>
        <v/>
      </c>
    </row>
    <row r="637" spans="1:13" x14ac:dyDescent="0.3">
      <c r="A637" s="149"/>
      <c r="B637" s="149"/>
      <c r="C637" s="149"/>
      <c r="D637" s="149"/>
      <c r="E637" s="149"/>
      <c r="F637" s="149"/>
      <c r="G637" s="162"/>
      <c r="H637" s="146" t="str">
        <f t="shared" si="55"/>
        <v/>
      </c>
      <c r="I637" s="161" t="str">
        <f t="shared" si="56"/>
        <v/>
      </c>
      <c r="J637" s="160" t="str">
        <f>IFERROR(INDEX(下年标准成本!I:I,MATCH(C637,下年标准成本!C:C,0),1),"")</f>
        <v/>
      </c>
      <c r="K637" s="146" t="str">
        <f t="shared" si="57"/>
        <v/>
      </c>
      <c r="L637" s="146" t="str">
        <f t="shared" si="58"/>
        <v/>
      </c>
      <c r="M637" s="148" t="str">
        <f t="shared" si="59"/>
        <v/>
      </c>
    </row>
    <row r="638" spans="1:13" x14ac:dyDescent="0.3">
      <c r="A638" s="149"/>
      <c r="B638" s="149"/>
      <c r="C638" s="149"/>
      <c r="D638" s="149"/>
      <c r="E638" s="149"/>
      <c r="F638" s="149"/>
      <c r="G638" s="162"/>
      <c r="H638" s="146" t="str">
        <f t="shared" si="55"/>
        <v/>
      </c>
      <c r="I638" s="161" t="str">
        <f t="shared" si="56"/>
        <v/>
      </c>
      <c r="J638" s="160" t="str">
        <f>IFERROR(INDEX(下年标准成本!I:I,MATCH(C638,下年标准成本!C:C,0),1),"")</f>
        <v/>
      </c>
      <c r="K638" s="146" t="str">
        <f t="shared" si="57"/>
        <v/>
      </c>
      <c r="L638" s="146" t="str">
        <f t="shared" si="58"/>
        <v/>
      </c>
      <c r="M638" s="148" t="str">
        <f t="shared" si="59"/>
        <v/>
      </c>
    </row>
    <row r="639" spans="1:13" x14ac:dyDescent="0.3">
      <c r="A639" s="149"/>
      <c r="B639" s="149"/>
      <c r="C639" s="149"/>
      <c r="D639" s="149"/>
      <c r="E639" s="149"/>
      <c r="F639" s="149"/>
      <c r="G639" s="162"/>
      <c r="H639" s="146" t="str">
        <f t="shared" si="55"/>
        <v/>
      </c>
      <c r="I639" s="161" t="str">
        <f t="shared" si="56"/>
        <v/>
      </c>
      <c r="J639" s="160" t="str">
        <f>IFERROR(INDEX(下年标准成本!I:I,MATCH(C639,下年标准成本!C:C,0),1),"")</f>
        <v/>
      </c>
      <c r="K639" s="146" t="str">
        <f t="shared" si="57"/>
        <v/>
      </c>
      <c r="L639" s="146" t="str">
        <f t="shared" si="58"/>
        <v/>
      </c>
      <c r="M639" s="148" t="str">
        <f t="shared" si="59"/>
        <v/>
      </c>
    </row>
    <row r="640" spans="1:13" x14ac:dyDescent="0.3">
      <c r="A640" s="149"/>
      <c r="B640" s="149"/>
      <c r="C640" s="149"/>
      <c r="D640" s="149"/>
      <c r="E640" s="149"/>
      <c r="F640" s="149"/>
      <c r="G640" s="162"/>
      <c r="H640" s="146" t="str">
        <f t="shared" si="55"/>
        <v/>
      </c>
      <c r="I640" s="161" t="str">
        <f t="shared" si="56"/>
        <v/>
      </c>
      <c r="J640" s="160" t="str">
        <f>IFERROR(INDEX(下年标准成本!I:I,MATCH(C640,下年标准成本!C:C,0),1),"")</f>
        <v/>
      </c>
      <c r="K640" s="146" t="str">
        <f t="shared" si="57"/>
        <v/>
      </c>
      <c r="L640" s="146" t="str">
        <f t="shared" si="58"/>
        <v/>
      </c>
      <c r="M640" s="148" t="str">
        <f t="shared" si="59"/>
        <v/>
      </c>
    </row>
    <row r="641" spans="1:13" x14ac:dyDescent="0.3">
      <c r="A641" s="149"/>
      <c r="B641" s="149"/>
      <c r="C641" s="149"/>
      <c r="D641" s="149"/>
      <c r="E641" s="149"/>
      <c r="F641" s="149"/>
      <c r="G641" s="162"/>
      <c r="H641" s="146" t="str">
        <f t="shared" si="55"/>
        <v/>
      </c>
      <c r="I641" s="161" t="str">
        <f t="shared" si="56"/>
        <v/>
      </c>
      <c r="J641" s="160" t="str">
        <f>IFERROR(INDEX(下年标准成本!I:I,MATCH(C641,下年标准成本!C:C,0),1),"")</f>
        <v/>
      </c>
      <c r="K641" s="146" t="str">
        <f t="shared" si="57"/>
        <v/>
      </c>
      <c r="L641" s="146" t="str">
        <f t="shared" si="58"/>
        <v/>
      </c>
      <c r="M641" s="148" t="str">
        <f t="shared" si="59"/>
        <v/>
      </c>
    </row>
    <row r="642" spans="1:13" x14ac:dyDescent="0.3">
      <c r="A642" s="149"/>
      <c r="B642" s="149"/>
      <c r="C642" s="149"/>
      <c r="D642" s="149"/>
      <c r="E642" s="149"/>
      <c r="F642" s="149"/>
      <c r="G642" s="162"/>
      <c r="H642" s="146" t="str">
        <f t="shared" si="55"/>
        <v/>
      </c>
      <c r="I642" s="161" t="str">
        <f t="shared" si="56"/>
        <v/>
      </c>
      <c r="J642" s="160" t="str">
        <f>IFERROR(INDEX(下年标准成本!I:I,MATCH(C642,下年标准成本!C:C,0),1),"")</f>
        <v/>
      </c>
      <c r="K642" s="146" t="str">
        <f t="shared" si="57"/>
        <v/>
      </c>
      <c r="L642" s="146" t="str">
        <f t="shared" si="58"/>
        <v/>
      </c>
      <c r="M642" s="148" t="str">
        <f t="shared" si="59"/>
        <v/>
      </c>
    </row>
    <row r="643" spans="1:13" x14ac:dyDescent="0.3">
      <c r="A643" s="149"/>
      <c r="B643" s="149"/>
      <c r="C643" s="149"/>
      <c r="D643" s="149"/>
      <c r="E643" s="149"/>
      <c r="F643" s="149"/>
      <c r="G643" s="162"/>
      <c r="H643" s="146" t="str">
        <f t="shared" si="55"/>
        <v/>
      </c>
      <c r="I643" s="161" t="str">
        <f t="shared" si="56"/>
        <v/>
      </c>
      <c r="J643" s="160" t="str">
        <f>IFERROR(INDEX(下年标准成本!I:I,MATCH(C643,下年标准成本!C:C,0),1),"")</f>
        <v/>
      </c>
      <c r="K643" s="146" t="str">
        <f t="shared" si="57"/>
        <v/>
      </c>
      <c r="L643" s="146" t="str">
        <f t="shared" si="58"/>
        <v/>
      </c>
      <c r="M643" s="148" t="str">
        <f t="shared" si="59"/>
        <v/>
      </c>
    </row>
    <row r="644" spans="1:13" x14ac:dyDescent="0.3">
      <c r="A644" s="149"/>
      <c r="B644" s="149"/>
      <c r="C644" s="149"/>
      <c r="D644" s="149"/>
      <c r="E644" s="149"/>
      <c r="F644" s="149"/>
      <c r="G644" s="162"/>
      <c r="H644" s="146" t="str">
        <f t="shared" si="55"/>
        <v/>
      </c>
      <c r="I644" s="161" t="str">
        <f t="shared" si="56"/>
        <v/>
      </c>
      <c r="J644" s="160" t="str">
        <f>IFERROR(INDEX(下年标准成本!I:I,MATCH(C644,下年标准成本!C:C,0),1),"")</f>
        <v/>
      </c>
      <c r="K644" s="146" t="str">
        <f t="shared" si="57"/>
        <v/>
      </c>
      <c r="L644" s="146" t="str">
        <f t="shared" si="58"/>
        <v/>
      </c>
      <c r="M644" s="148" t="str">
        <f t="shared" si="59"/>
        <v/>
      </c>
    </row>
    <row r="645" spans="1:13" x14ac:dyDescent="0.3">
      <c r="A645" s="149"/>
      <c r="B645" s="149"/>
      <c r="C645" s="149"/>
      <c r="D645" s="149"/>
      <c r="E645" s="149"/>
      <c r="F645" s="149"/>
      <c r="G645" s="162"/>
      <c r="H645" s="146" t="str">
        <f t="shared" si="55"/>
        <v/>
      </c>
      <c r="I645" s="161" t="str">
        <f t="shared" si="56"/>
        <v/>
      </c>
      <c r="J645" s="160" t="str">
        <f>IFERROR(INDEX(下年标准成本!I:I,MATCH(C645,下年标准成本!C:C,0),1),"")</f>
        <v/>
      </c>
      <c r="K645" s="146" t="str">
        <f t="shared" si="57"/>
        <v/>
      </c>
      <c r="L645" s="146" t="str">
        <f t="shared" si="58"/>
        <v/>
      </c>
      <c r="M645" s="148" t="str">
        <f t="shared" si="59"/>
        <v/>
      </c>
    </row>
    <row r="646" spans="1:13" x14ac:dyDescent="0.3">
      <c r="A646" s="149"/>
      <c r="B646" s="149"/>
      <c r="C646" s="149"/>
      <c r="D646" s="149"/>
      <c r="E646" s="149"/>
      <c r="F646" s="149"/>
      <c r="G646" s="162"/>
      <c r="H646" s="146" t="str">
        <f t="shared" si="55"/>
        <v/>
      </c>
      <c r="I646" s="161" t="str">
        <f t="shared" si="56"/>
        <v/>
      </c>
      <c r="J646" s="160" t="str">
        <f>IFERROR(INDEX(下年标准成本!I:I,MATCH(C646,下年标准成本!C:C,0),1),"")</f>
        <v/>
      </c>
      <c r="K646" s="146" t="str">
        <f t="shared" si="57"/>
        <v/>
      </c>
      <c r="L646" s="146" t="str">
        <f t="shared" si="58"/>
        <v/>
      </c>
      <c r="M646" s="148" t="str">
        <f t="shared" si="59"/>
        <v/>
      </c>
    </row>
    <row r="647" spans="1:13" x14ac:dyDescent="0.3">
      <c r="A647" s="149"/>
      <c r="B647" s="149"/>
      <c r="C647" s="149"/>
      <c r="D647" s="149"/>
      <c r="E647" s="149"/>
      <c r="F647" s="149"/>
      <c r="G647" s="162"/>
      <c r="H647" s="146" t="str">
        <f t="shared" si="55"/>
        <v/>
      </c>
      <c r="I647" s="161" t="str">
        <f t="shared" si="56"/>
        <v/>
      </c>
      <c r="J647" s="160" t="str">
        <f>IFERROR(INDEX(下年标准成本!I:I,MATCH(C647,下年标准成本!C:C,0),1),"")</f>
        <v/>
      </c>
      <c r="K647" s="146" t="str">
        <f t="shared" si="57"/>
        <v/>
      </c>
      <c r="L647" s="146" t="str">
        <f t="shared" si="58"/>
        <v/>
      </c>
      <c r="M647" s="148" t="str">
        <f t="shared" si="59"/>
        <v/>
      </c>
    </row>
    <row r="648" spans="1:13" x14ac:dyDescent="0.3">
      <c r="A648" s="149"/>
      <c r="B648" s="149"/>
      <c r="C648" s="149"/>
      <c r="D648" s="149"/>
      <c r="E648" s="149"/>
      <c r="F648" s="149"/>
      <c r="G648" s="162"/>
      <c r="H648" s="146" t="str">
        <f t="shared" si="55"/>
        <v/>
      </c>
      <c r="I648" s="161" t="str">
        <f t="shared" si="56"/>
        <v/>
      </c>
      <c r="J648" s="160" t="str">
        <f>IFERROR(INDEX(下年标准成本!I:I,MATCH(C648,下年标准成本!C:C,0),1),"")</f>
        <v/>
      </c>
      <c r="K648" s="146" t="str">
        <f t="shared" si="57"/>
        <v/>
      </c>
      <c r="L648" s="146" t="str">
        <f t="shared" si="58"/>
        <v/>
      </c>
      <c r="M648" s="148" t="str">
        <f t="shared" si="59"/>
        <v/>
      </c>
    </row>
    <row r="649" spans="1:13" x14ac:dyDescent="0.3">
      <c r="A649" s="149"/>
      <c r="B649" s="149"/>
      <c r="C649" s="149"/>
      <c r="D649" s="149"/>
      <c r="E649" s="149"/>
      <c r="F649" s="149"/>
      <c r="G649" s="162"/>
      <c r="H649" s="146" t="str">
        <f t="shared" si="55"/>
        <v/>
      </c>
      <c r="I649" s="161" t="str">
        <f t="shared" si="56"/>
        <v/>
      </c>
      <c r="J649" s="160" t="str">
        <f>IFERROR(INDEX(下年标准成本!I:I,MATCH(C649,下年标准成本!C:C,0),1),"")</f>
        <v/>
      </c>
      <c r="K649" s="146" t="str">
        <f t="shared" si="57"/>
        <v/>
      </c>
      <c r="L649" s="146" t="str">
        <f t="shared" si="58"/>
        <v/>
      </c>
      <c r="M649" s="148" t="str">
        <f t="shared" si="59"/>
        <v/>
      </c>
    </row>
    <row r="650" spans="1:13" x14ac:dyDescent="0.3">
      <c r="A650" s="149"/>
      <c r="B650" s="149"/>
      <c r="C650" s="149"/>
      <c r="D650" s="149"/>
      <c r="E650" s="149"/>
      <c r="F650" s="149"/>
      <c r="G650" s="162"/>
      <c r="H650" s="146" t="str">
        <f t="shared" ref="H650:H713" si="60">IFERROR(F650/E650,"")</f>
        <v/>
      </c>
      <c r="I650" s="161" t="str">
        <f t="shared" ref="I650:I713" si="61">IFERROR(H650*(1+G650),"")</f>
        <v/>
      </c>
      <c r="J650" s="160" t="str">
        <f>IFERROR(INDEX(下年标准成本!I:I,MATCH(C650,下年标准成本!C:C,0),1),"")</f>
        <v/>
      </c>
      <c r="K650" s="146" t="str">
        <f t="shared" ref="K650:K713" si="62">IFERROR(E650*J650,"")</f>
        <v/>
      </c>
      <c r="L650" s="146" t="str">
        <f t="shared" ref="L650:L713" si="63">IFERROR(F650-K650,"")</f>
        <v/>
      </c>
      <c r="M650" s="148" t="str">
        <f t="shared" ref="M650:M713" si="64">IFERROR(L650/F650,"")</f>
        <v/>
      </c>
    </row>
    <row r="651" spans="1:13" x14ac:dyDescent="0.3">
      <c r="A651" s="149"/>
      <c r="B651" s="149"/>
      <c r="C651" s="149"/>
      <c r="D651" s="149"/>
      <c r="E651" s="149"/>
      <c r="F651" s="149"/>
      <c r="G651" s="162"/>
      <c r="H651" s="146" t="str">
        <f t="shared" si="60"/>
        <v/>
      </c>
      <c r="I651" s="161" t="str">
        <f t="shared" si="61"/>
        <v/>
      </c>
      <c r="J651" s="160" t="str">
        <f>IFERROR(INDEX(下年标准成本!I:I,MATCH(C651,下年标准成本!C:C,0),1),"")</f>
        <v/>
      </c>
      <c r="K651" s="146" t="str">
        <f t="shared" si="62"/>
        <v/>
      </c>
      <c r="L651" s="146" t="str">
        <f t="shared" si="63"/>
        <v/>
      </c>
      <c r="M651" s="148" t="str">
        <f t="shared" si="64"/>
        <v/>
      </c>
    </row>
    <row r="652" spans="1:13" x14ac:dyDescent="0.3">
      <c r="A652" s="149"/>
      <c r="B652" s="149"/>
      <c r="C652" s="149"/>
      <c r="D652" s="149"/>
      <c r="E652" s="149"/>
      <c r="F652" s="149"/>
      <c r="G652" s="162"/>
      <c r="H652" s="146" t="str">
        <f t="shared" si="60"/>
        <v/>
      </c>
      <c r="I652" s="161" t="str">
        <f t="shared" si="61"/>
        <v/>
      </c>
      <c r="J652" s="160" t="str">
        <f>IFERROR(INDEX(下年标准成本!I:I,MATCH(C652,下年标准成本!C:C,0),1),"")</f>
        <v/>
      </c>
      <c r="K652" s="146" t="str">
        <f t="shared" si="62"/>
        <v/>
      </c>
      <c r="L652" s="146" t="str">
        <f t="shared" si="63"/>
        <v/>
      </c>
      <c r="M652" s="148" t="str">
        <f t="shared" si="64"/>
        <v/>
      </c>
    </row>
    <row r="653" spans="1:13" x14ac:dyDescent="0.3">
      <c r="A653" s="149"/>
      <c r="B653" s="149"/>
      <c r="C653" s="149"/>
      <c r="D653" s="149"/>
      <c r="E653" s="149"/>
      <c r="F653" s="149"/>
      <c r="G653" s="162"/>
      <c r="H653" s="146" t="str">
        <f t="shared" si="60"/>
        <v/>
      </c>
      <c r="I653" s="161" t="str">
        <f t="shared" si="61"/>
        <v/>
      </c>
      <c r="J653" s="160" t="str">
        <f>IFERROR(INDEX(下年标准成本!I:I,MATCH(C653,下年标准成本!C:C,0),1),"")</f>
        <v/>
      </c>
      <c r="K653" s="146" t="str">
        <f t="shared" si="62"/>
        <v/>
      </c>
      <c r="L653" s="146" t="str">
        <f t="shared" si="63"/>
        <v/>
      </c>
      <c r="M653" s="148" t="str">
        <f t="shared" si="64"/>
        <v/>
      </c>
    </row>
    <row r="654" spans="1:13" x14ac:dyDescent="0.3">
      <c r="A654" s="149"/>
      <c r="B654" s="149"/>
      <c r="C654" s="149"/>
      <c r="D654" s="149"/>
      <c r="E654" s="149"/>
      <c r="F654" s="149"/>
      <c r="G654" s="162"/>
      <c r="H654" s="146" t="str">
        <f t="shared" si="60"/>
        <v/>
      </c>
      <c r="I654" s="161" t="str">
        <f t="shared" si="61"/>
        <v/>
      </c>
      <c r="J654" s="160" t="str">
        <f>IFERROR(INDEX(下年标准成本!I:I,MATCH(C654,下年标准成本!C:C,0),1),"")</f>
        <v/>
      </c>
      <c r="K654" s="146" t="str">
        <f t="shared" si="62"/>
        <v/>
      </c>
      <c r="L654" s="146" t="str">
        <f t="shared" si="63"/>
        <v/>
      </c>
      <c r="M654" s="148" t="str">
        <f t="shared" si="64"/>
        <v/>
      </c>
    </row>
    <row r="655" spans="1:13" x14ac:dyDescent="0.3">
      <c r="A655" s="149"/>
      <c r="B655" s="149"/>
      <c r="C655" s="149"/>
      <c r="D655" s="149"/>
      <c r="E655" s="149"/>
      <c r="F655" s="149"/>
      <c r="G655" s="162"/>
      <c r="H655" s="146" t="str">
        <f t="shared" si="60"/>
        <v/>
      </c>
      <c r="I655" s="161" t="str">
        <f t="shared" si="61"/>
        <v/>
      </c>
      <c r="J655" s="160" t="str">
        <f>IFERROR(INDEX(下年标准成本!I:I,MATCH(C655,下年标准成本!C:C,0),1),"")</f>
        <v/>
      </c>
      <c r="K655" s="146" t="str">
        <f t="shared" si="62"/>
        <v/>
      </c>
      <c r="L655" s="146" t="str">
        <f t="shared" si="63"/>
        <v/>
      </c>
      <c r="M655" s="148" t="str">
        <f t="shared" si="64"/>
        <v/>
      </c>
    </row>
    <row r="656" spans="1:13" x14ac:dyDescent="0.3">
      <c r="A656" s="149"/>
      <c r="B656" s="149"/>
      <c r="C656" s="149"/>
      <c r="D656" s="149"/>
      <c r="E656" s="149"/>
      <c r="F656" s="149"/>
      <c r="G656" s="162"/>
      <c r="H656" s="146" t="str">
        <f t="shared" si="60"/>
        <v/>
      </c>
      <c r="I656" s="161" t="str">
        <f t="shared" si="61"/>
        <v/>
      </c>
      <c r="J656" s="160" t="str">
        <f>IFERROR(INDEX(下年标准成本!I:I,MATCH(C656,下年标准成本!C:C,0),1),"")</f>
        <v/>
      </c>
      <c r="K656" s="146" t="str">
        <f t="shared" si="62"/>
        <v/>
      </c>
      <c r="L656" s="146" t="str">
        <f t="shared" si="63"/>
        <v/>
      </c>
      <c r="M656" s="148" t="str">
        <f t="shared" si="64"/>
        <v/>
      </c>
    </row>
    <row r="657" spans="1:13" x14ac:dyDescent="0.3">
      <c r="A657" s="149"/>
      <c r="B657" s="149"/>
      <c r="C657" s="149"/>
      <c r="D657" s="149"/>
      <c r="E657" s="149"/>
      <c r="F657" s="149"/>
      <c r="G657" s="162"/>
      <c r="H657" s="146" t="str">
        <f t="shared" si="60"/>
        <v/>
      </c>
      <c r="I657" s="161" t="str">
        <f t="shared" si="61"/>
        <v/>
      </c>
      <c r="J657" s="160" t="str">
        <f>IFERROR(INDEX(下年标准成本!I:I,MATCH(C657,下年标准成本!C:C,0),1),"")</f>
        <v/>
      </c>
      <c r="K657" s="146" t="str">
        <f t="shared" si="62"/>
        <v/>
      </c>
      <c r="L657" s="146" t="str">
        <f t="shared" si="63"/>
        <v/>
      </c>
      <c r="M657" s="148" t="str">
        <f t="shared" si="64"/>
        <v/>
      </c>
    </row>
    <row r="658" spans="1:13" x14ac:dyDescent="0.3">
      <c r="A658" s="149"/>
      <c r="B658" s="149"/>
      <c r="C658" s="149"/>
      <c r="D658" s="149"/>
      <c r="E658" s="149"/>
      <c r="F658" s="149"/>
      <c r="G658" s="162"/>
      <c r="H658" s="146" t="str">
        <f t="shared" si="60"/>
        <v/>
      </c>
      <c r="I658" s="161" t="str">
        <f t="shared" si="61"/>
        <v/>
      </c>
      <c r="J658" s="160" t="str">
        <f>IFERROR(INDEX(下年标准成本!I:I,MATCH(C658,下年标准成本!C:C,0),1),"")</f>
        <v/>
      </c>
      <c r="K658" s="146" t="str">
        <f t="shared" si="62"/>
        <v/>
      </c>
      <c r="L658" s="146" t="str">
        <f t="shared" si="63"/>
        <v/>
      </c>
      <c r="M658" s="148" t="str">
        <f t="shared" si="64"/>
        <v/>
      </c>
    </row>
    <row r="659" spans="1:13" x14ac:dyDescent="0.3">
      <c r="A659" s="149"/>
      <c r="B659" s="149"/>
      <c r="C659" s="149"/>
      <c r="D659" s="149"/>
      <c r="E659" s="149"/>
      <c r="F659" s="149"/>
      <c r="G659" s="162"/>
      <c r="H659" s="146" t="str">
        <f t="shared" si="60"/>
        <v/>
      </c>
      <c r="I659" s="161" t="str">
        <f t="shared" si="61"/>
        <v/>
      </c>
      <c r="J659" s="160" t="str">
        <f>IFERROR(INDEX(下年标准成本!I:I,MATCH(C659,下年标准成本!C:C,0),1),"")</f>
        <v/>
      </c>
      <c r="K659" s="146" t="str">
        <f t="shared" si="62"/>
        <v/>
      </c>
      <c r="L659" s="146" t="str">
        <f t="shared" si="63"/>
        <v/>
      </c>
      <c r="M659" s="148" t="str">
        <f t="shared" si="64"/>
        <v/>
      </c>
    </row>
    <row r="660" spans="1:13" x14ac:dyDescent="0.3">
      <c r="A660" s="149"/>
      <c r="B660" s="149"/>
      <c r="C660" s="149"/>
      <c r="D660" s="149"/>
      <c r="E660" s="149"/>
      <c r="F660" s="149"/>
      <c r="G660" s="162"/>
      <c r="H660" s="146" t="str">
        <f t="shared" si="60"/>
        <v/>
      </c>
      <c r="I660" s="161" t="str">
        <f t="shared" si="61"/>
        <v/>
      </c>
      <c r="J660" s="160" t="str">
        <f>IFERROR(INDEX(下年标准成本!I:I,MATCH(C660,下年标准成本!C:C,0),1),"")</f>
        <v/>
      </c>
      <c r="K660" s="146" t="str">
        <f t="shared" si="62"/>
        <v/>
      </c>
      <c r="L660" s="146" t="str">
        <f t="shared" si="63"/>
        <v/>
      </c>
      <c r="M660" s="148" t="str">
        <f t="shared" si="64"/>
        <v/>
      </c>
    </row>
    <row r="661" spans="1:13" x14ac:dyDescent="0.3">
      <c r="A661" s="149"/>
      <c r="B661" s="149"/>
      <c r="C661" s="149"/>
      <c r="D661" s="149"/>
      <c r="E661" s="149"/>
      <c r="F661" s="149"/>
      <c r="G661" s="162"/>
      <c r="H661" s="146" t="str">
        <f t="shared" si="60"/>
        <v/>
      </c>
      <c r="I661" s="161" t="str">
        <f t="shared" si="61"/>
        <v/>
      </c>
      <c r="J661" s="160" t="str">
        <f>IFERROR(INDEX(下年标准成本!I:I,MATCH(C661,下年标准成本!C:C,0),1),"")</f>
        <v/>
      </c>
      <c r="K661" s="146" t="str">
        <f t="shared" si="62"/>
        <v/>
      </c>
      <c r="L661" s="146" t="str">
        <f t="shared" si="63"/>
        <v/>
      </c>
      <c r="M661" s="148" t="str">
        <f t="shared" si="64"/>
        <v/>
      </c>
    </row>
    <row r="662" spans="1:13" x14ac:dyDescent="0.3">
      <c r="A662" s="149"/>
      <c r="B662" s="149"/>
      <c r="C662" s="149"/>
      <c r="D662" s="149"/>
      <c r="E662" s="149"/>
      <c r="F662" s="149"/>
      <c r="G662" s="162"/>
      <c r="H662" s="146" t="str">
        <f t="shared" si="60"/>
        <v/>
      </c>
      <c r="I662" s="161" t="str">
        <f t="shared" si="61"/>
        <v/>
      </c>
      <c r="J662" s="160" t="str">
        <f>IFERROR(INDEX(下年标准成本!I:I,MATCH(C662,下年标准成本!C:C,0),1),"")</f>
        <v/>
      </c>
      <c r="K662" s="146" t="str">
        <f t="shared" si="62"/>
        <v/>
      </c>
      <c r="L662" s="146" t="str">
        <f t="shared" si="63"/>
        <v/>
      </c>
      <c r="M662" s="148" t="str">
        <f t="shared" si="64"/>
        <v/>
      </c>
    </row>
    <row r="663" spans="1:13" x14ac:dyDescent="0.3">
      <c r="A663" s="149"/>
      <c r="B663" s="149"/>
      <c r="C663" s="149"/>
      <c r="D663" s="149"/>
      <c r="E663" s="149"/>
      <c r="F663" s="149"/>
      <c r="G663" s="162"/>
      <c r="H663" s="146" t="str">
        <f t="shared" si="60"/>
        <v/>
      </c>
      <c r="I663" s="161" t="str">
        <f t="shared" si="61"/>
        <v/>
      </c>
      <c r="J663" s="160" t="str">
        <f>IFERROR(INDEX(下年标准成本!I:I,MATCH(C663,下年标准成本!C:C,0),1),"")</f>
        <v/>
      </c>
      <c r="K663" s="146" t="str">
        <f t="shared" si="62"/>
        <v/>
      </c>
      <c r="L663" s="146" t="str">
        <f t="shared" si="63"/>
        <v/>
      </c>
      <c r="M663" s="148" t="str">
        <f t="shared" si="64"/>
        <v/>
      </c>
    </row>
    <row r="664" spans="1:13" x14ac:dyDescent="0.3">
      <c r="A664" s="149"/>
      <c r="B664" s="149"/>
      <c r="C664" s="149"/>
      <c r="D664" s="149"/>
      <c r="E664" s="149"/>
      <c r="F664" s="149"/>
      <c r="G664" s="162"/>
      <c r="H664" s="146" t="str">
        <f t="shared" si="60"/>
        <v/>
      </c>
      <c r="I664" s="161" t="str">
        <f t="shared" si="61"/>
        <v/>
      </c>
      <c r="J664" s="160" t="str">
        <f>IFERROR(INDEX(下年标准成本!I:I,MATCH(C664,下年标准成本!C:C,0),1),"")</f>
        <v/>
      </c>
      <c r="K664" s="146" t="str">
        <f t="shared" si="62"/>
        <v/>
      </c>
      <c r="L664" s="146" t="str">
        <f t="shared" si="63"/>
        <v/>
      </c>
      <c r="M664" s="148" t="str">
        <f t="shared" si="64"/>
        <v/>
      </c>
    </row>
    <row r="665" spans="1:13" x14ac:dyDescent="0.3">
      <c r="A665" s="149"/>
      <c r="B665" s="149"/>
      <c r="C665" s="149"/>
      <c r="D665" s="149"/>
      <c r="E665" s="149"/>
      <c r="F665" s="149"/>
      <c r="G665" s="162"/>
      <c r="H665" s="146" t="str">
        <f t="shared" si="60"/>
        <v/>
      </c>
      <c r="I665" s="161" t="str">
        <f t="shared" si="61"/>
        <v/>
      </c>
      <c r="J665" s="160" t="str">
        <f>IFERROR(INDEX(下年标准成本!I:I,MATCH(C665,下年标准成本!C:C,0),1),"")</f>
        <v/>
      </c>
      <c r="K665" s="146" t="str">
        <f t="shared" si="62"/>
        <v/>
      </c>
      <c r="L665" s="146" t="str">
        <f t="shared" si="63"/>
        <v/>
      </c>
      <c r="M665" s="148" t="str">
        <f t="shared" si="64"/>
        <v/>
      </c>
    </row>
    <row r="666" spans="1:13" x14ac:dyDescent="0.3">
      <c r="A666" s="149"/>
      <c r="B666" s="149"/>
      <c r="C666" s="149"/>
      <c r="D666" s="149"/>
      <c r="E666" s="149"/>
      <c r="F666" s="149"/>
      <c r="G666" s="162"/>
      <c r="H666" s="146" t="str">
        <f t="shared" si="60"/>
        <v/>
      </c>
      <c r="I666" s="161" t="str">
        <f t="shared" si="61"/>
        <v/>
      </c>
      <c r="J666" s="160" t="str">
        <f>IFERROR(INDEX(下年标准成本!I:I,MATCH(C666,下年标准成本!C:C,0),1),"")</f>
        <v/>
      </c>
      <c r="K666" s="146" t="str">
        <f t="shared" si="62"/>
        <v/>
      </c>
      <c r="L666" s="146" t="str">
        <f t="shared" si="63"/>
        <v/>
      </c>
      <c r="M666" s="148" t="str">
        <f t="shared" si="64"/>
        <v/>
      </c>
    </row>
    <row r="667" spans="1:13" x14ac:dyDescent="0.3">
      <c r="A667" s="149"/>
      <c r="B667" s="149"/>
      <c r="C667" s="149"/>
      <c r="D667" s="149"/>
      <c r="E667" s="149"/>
      <c r="F667" s="149"/>
      <c r="G667" s="162"/>
      <c r="H667" s="146" t="str">
        <f t="shared" si="60"/>
        <v/>
      </c>
      <c r="I667" s="161" t="str">
        <f t="shared" si="61"/>
        <v/>
      </c>
      <c r="J667" s="160" t="str">
        <f>IFERROR(INDEX(下年标准成本!I:I,MATCH(C667,下年标准成本!C:C,0),1),"")</f>
        <v/>
      </c>
      <c r="K667" s="146" t="str">
        <f t="shared" si="62"/>
        <v/>
      </c>
      <c r="L667" s="146" t="str">
        <f t="shared" si="63"/>
        <v/>
      </c>
      <c r="M667" s="148" t="str">
        <f t="shared" si="64"/>
        <v/>
      </c>
    </row>
    <row r="668" spans="1:13" x14ac:dyDescent="0.3">
      <c r="A668" s="149"/>
      <c r="B668" s="149"/>
      <c r="C668" s="149"/>
      <c r="D668" s="149"/>
      <c r="E668" s="149"/>
      <c r="F668" s="149"/>
      <c r="G668" s="162"/>
      <c r="H668" s="146" t="str">
        <f t="shared" si="60"/>
        <v/>
      </c>
      <c r="I668" s="161" t="str">
        <f t="shared" si="61"/>
        <v/>
      </c>
      <c r="J668" s="160" t="str">
        <f>IFERROR(INDEX(下年标准成本!I:I,MATCH(C668,下年标准成本!C:C,0),1),"")</f>
        <v/>
      </c>
      <c r="K668" s="146" t="str">
        <f t="shared" si="62"/>
        <v/>
      </c>
      <c r="L668" s="146" t="str">
        <f t="shared" si="63"/>
        <v/>
      </c>
      <c r="M668" s="148" t="str">
        <f t="shared" si="64"/>
        <v/>
      </c>
    </row>
    <row r="669" spans="1:13" x14ac:dyDescent="0.3">
      <c r="A669" s="149"/>
      <c r="B669" s="149"/>
      <c r="C669" s="149"/>
      <c r="D669" s="149"/>
      <c r="E669" s="149"/>
      <c r="F669" s="149"/>
      <c r="G669" s="162"/>
      <c r="H669" s="146" t="str">
        <f t="shared" si="60"/>
        <v/>
      </c>
      <c r="I669" s="161" t="str">
        <f t="shared" si="61"/>
        <v/>
      </c>
      <c r="J669" s="160" t="str">
        <f>IFERROR(INDEX(下年标准成本!I:I,MATCH(C669,下年标准成本!C:C,0),1),"")</f>
        <v/>
      </c>
      <c r="K669" s="146" t="str">
        <f t="shared" si="62"/>
        <v/>
      </c>
      <c r="L669" s="146" t="str">
        <f t="shared" si="63"/>
        <v/>
      </c>
      <c r="M669" s="148" t="str">
        <f t="shared" si="64"/>
        <v/>
      </c>
    </row>
    <row r="670" spans="1:13" x14ac:dyDescent="0.3">
      <c r="A670" s="149"/>
      <c r="B670" s="149"/>
      <c r="C670" s="149"/>
      <c r="D670" s="149"/>
      <c r="E670" s="149"/>
      <c r="F670" s="149"/>
      <c r="G670" s="162"/>
      <c r="H670" s="146" t="str">
        <f t="shared" si="60"/>
        <v/>
      </c>
      <c r="I670" s="161" t="str">
        <f t="shared" si="61"/>
        <v/>
      </c>
      <c r="J670" s="160" t="str">
        <f>IFERROR(INDEX(下年标准成本!I:I,MATCH(C670,下年标准成本!C:C,0),1),"")</f>
        <v/>
      </c>
      <c r="K670" s="146" t="str">
        <f t="shared" si="62"/>
        <v/>
      </c>
      <c r="L670" s="146" t="str">
        <f t="shared" si="63"/>
        <v/>
      </c>
      <c r="M670" s="148" t="str">
        <f t="shared" si="64"/>
        <v/>
      </c>
    </row>
    <row r="671" spans="1:13" x14ac:dyDescent="0.3">
      <c r="A671" s="149"/>
      <c r="B671" s="149"/>
      <c r="C671" s="149"/>
      <c r="D671" s="149"/>
      <c r="E671" s="149"/>
      <c r="F671" s="149"/>
      <c r="G671" s="162"/>
      <c r="H671" s="146" t="str">
        <f t="shared" si="60"/>
        <v/>
      </c>
      <c r="I671" s="161" t="str">
        <f t="shared" si="61"/>
        <v/>
      </c>
      <c r="J671" s="160" t="str">
        <f>IFERROR(INDEX(下年标准成本!I:I,MATCH(C671,下年标准成本!C:C,0),1),"")</f>
        <v/>
      </c>
      <c r="K671" s="146" t="str">
        <f t="shared" si="62"/>
        <v/>
      </c>
      <c r="L671" s="146" t="str">
        <f t="shared" si="63"/>
        <v/>
      </c>
      <c r="M671" s="148" t="str">
        <f t="shared" si="64"/>
        <v/>
      </c>
    </row>
    <row r="672" spans="1:13" x14ac:dyDescent="0.3">
      <c r="A672" s="149"/>
      <c r="B672" s="149"/>
      <c r="C672" s="149"/>
      <c r="D672" s="149"/>
      <c r="E672" s="149"/>
      <c r="F672" s="149"/>
      <c r="G672" s="162"/>
      <c r="H672" s="146" t="str">
        <f t="shared" si="60"/>
        <v/>
      </c>
      <c r="I672" s="161" t="str">
        <f t="shared" si="61"/>
        <v/>
      </c>
      <c r="J672" s="160" t="str">
        <f>IFERROR(INDEX(下年标准成本!I:I,MATCH(C672,下年标准成本!C:C,0),1),"")</f>
        <v/>
      </c>
      <c r="K672" s="146" t="str">
        <f t="shared" si="62"/>
        <v/>
      </c>
      <c r="L672" s="146" t="str">
        <f t="shared" si="63"/>
        <v/>
      </c>
      <c r="M672" s="148" t="str">
        <f t="shared" si="64"/>
        <v/>
      </c>
    </row>
    <row r="673" spans="1:13" x14ac:dyDescent="0.3">
      <c r="A673" s="149"/>
      <c r="B673" s="149"/>
      <c r="C673" s="149"/>
      <c r="D673" s="149"/>
      <c r="E673" s="149"/>
      <c r="F673" s="149"/>
      <c r="G673" s="162"/>
      <c r="H673" s="146" t="str">
        <f t="shared" si="60"/>
        <v/>
      </c>
      <c r="I673" s="161" t="str">
        <f t="shared" si="61"/>
        <v/>
      </c>
      <c r="J673" s="160" t="str">
        <f>IFERROR(INDEX(下年标准成本!I:I,MATCH(C673,下年标准成本!C:C,0),1),"")</f>
        <v/>
      </c>
      <c r="K673" s="146" t="str">
        <f t="shared" si="62"/>
        <v/>
      </c>
      <c r="L673" s="146" t="str">
        <f t="shared" si="63"/>
        <v/>
      </c>
      <c r="M673" s="148" t="str">
        <f t="shared" si="64"/>
        <v/>
      </c>
    </row>
    <row r="674" spans="1:13" x14ac:dyDescent="0.3">
      <c r="A674" s="149"/>
      <c r="B674" s="149"/>
      <c r="C674" s="149"/>
      <c r="D674" s="149"/>
      <c r="E674" s="149"/>
      <c r="F674" s="149"/>
      <c r="G674" s="162"/>
      <c r="H674" s="146" t="str">
        <f t="shared" si="60"/>
        <v/>
      </c>
      <c r="I674" s="161" t="str">
        <f t="shared" si="61"/>
        <v/>
      </c>
      <c r="J674" s="160" t="str">
        <f>IFERROR(INDEX(下年标准成本!I:I,MATCH(C674,下年标准成本!C:C,0),1),"")</f>
        <v/>
      </c>
      <c r="K674" s="146" t="str">
        <f t="shared" si="62"/>
        <v/>
      </c>
      <c r="L674" s="146" t="str">
        <f t="shared" si="63"/>
        <v/>
      </c>
      <c r="M674" s="148" t="str">
        <f t="shared" si="64"/>
        <v/>
      </c>
    </row>
    <row r="675" spans="1:13" x14ac:dyDescent="0.3">
      <c r="A675" s="149"/>
      <c r="B675" s="149"/>
      <c r="C675" s="149"/>
      <c r="D675" s="149"/>
      <c r="E675" s="149"/>
      <c r="F675" s="149"/>
      <c r="G675" s="162"/>
      <c r="H675" s="146" t="str">
        <f t="shared" si="60"/>
        <v/>
      </c>
      <c r="I675" s="161" t="str">
        <f t="shared" si="61"/>
        <v/>
      </c>
      <c r="J675" s="160" t="str">
        <f>IFERROR(INDEX(下年标准成本!I:I,MATCH(C675,下年标准成本!C:C,0),1),"")</f>
        <v/>
      </c>
      <c r="K675" s="146" t="str">
        <f t="shared" si="62"/>
        <v/>
      </c>
      <c r="L675" s="146" t="str">
        <f t="shared" si="63"/>
        <v/>
      </c>
      <c r="M675" s="148" t="str">
        <f t="shared" si="64"/>
        <v/>
      </c>
    </row>
    <row r="676" spans="1:13" x14ac:dyDescent="0.3">
      <c r="A676" s="149"/>
      <c r="B676" s="149"/>
      <c r="C676" s="149"/>
      <c r="D676" s="149"/>
      <c r="E676" s="149"/>
      <c r="F676" s="149"/>
      <c r="G676" s="162"/>
      <c r="H676" s="146" t="str">
        <f t="shared" si="60"/>
        <v/>
      </c>
      <c r="I676" s="161" t="str">
        <f t="shared" si="61"/>
        <v/>
      </c>
      <c r="J676" s="160" t="str">
        <f>IFERROR(INDEX(下年标准成本!I:I,MATCH(C676,下年标准成本!C:C,0),1),"")</f>
        <v/>
      </c>
      <c r="K676" s="146" t="str">
        <f t="shared" si="62"/>
        <v/>
      </c>
      <c r="L676" s="146" t="str">
        <f t="shared" si="63"/>
        <v/>
      </c>
      <c r="M676" s="148" t="str">
        <f t="shared" si="64"/>
        <v/>
      </c>
    </row>
    <row r="677" spans="1:13" x14ac:dyDescent="0.3">
      <c r="A677" s="149"/>
      <c r="B677" s="149"/>
      <c r="C677" s="149"/>
      <c r="D677" s="149"/>
      <c r="E677" s="149"/>
      <c r="F677" s="149"/>
      <c r="G677" s="162"/>
      <c r="H677" s="146" t="str">
        <f t="shared" si="60"/>
        <v/>
      </c>
      <c r="I677" s="161" t="str">
        <f t="shared" si="61"/>
        <v/>
      </c>
      <c r="J677" s="160" t="str">
        <f>IFERROR(INDEX(下年标准成本!I:I,MATCH(C677,下年标准成本!C:C,0),1),"")</f>
        <v/>
      </c>
      <c r="K677" s="146" t="str">
        <f t="shared" si="62"/>
        <v/>
      </c>
      <c r="L677" s="146" t="str">
        <f t="shared" si="63"/>
        <v/>
      </c>
      <c r="M677" s="148" t="str">
        <f t="shared" si="64"/>
        <v/>
      </c>
    </row>
    <row r="678" spans="1:13" x14ac:dyDescent="0.3">
      <c r="A678" s="149"/>
      <c r="B678" s="149"/>
      <c r="C678" s="149"/>
      <c r="D678" s="149"/>
      <c r="E678" s="149"/>
      <c r="F678" s="149"/>
      <c r="G678" s="162"/>
      <c r="H678" s="146" t="str">
        <f t="shared" si="60"/>
        <v/>
      </c>
      <c r="I678" s="161" t="str">
        <f t="shared" si="61"/>
        <v/>
      </c>
      <c r="J678" s="160" t="str">
        <f>IFERROR(INDEX(下年标准成本!I:I,MATCH(C678,下年标准成本!C:C,0),1),"")</f>
        <v/>
      </c>
      <c r="K678" s="146" t="str">
        <f t="shared" si="62"/>
        <v/>
      </c>
      <c r="L678" s="146" t="str">
        <f t="shared" si="63"/>
        <v/>
      </c>
      <c r="M678" s="148" t="str">
        <f t="shared" si="64"/>
        <v/>
      </c>
    </row>
    <row r="679" spans="1:13" x14ac:dyDescent="0.3">
      <c r="A679" s="149"/>
      <c r="B679" s="149"/>
      <c r="C679" s="149"/>
      <c r="D679" s="149"/>
      <c r="E679" s="149"/>
      <c r="F679" s="149"/>
      <c r="G679" s="162"/>
      <c r="H679" s="146" t="str">
        <f t="shared" si="60"/>
        <v/>
      </c>
      <c r="I679" s="161" t="str">
        <f t="shared" si="61"/>
        <v/>
      </c>
      <c r="J679" s="160" t="str">
        <f>IFERROR(INDEX(下年标准成本!I:I,MATCH(C679,下年标准成本!C:C,0),1),"")</f>
        <v/>
      </c>
      <c r="K679" s="146" t="str">
        <f t="shared" si="62"/>
        <v/>
      </c>
      <c r="L679" s="146" t="str">
        <f t="shared" si="63"/>
        <v/>
      </c>
      <c r="M679" s="148" t="str">
        <f t="shared" si="64"/>
        <v/>
      </c>
    </row>
    <row r="680" spans="1:13" x14ac:dyDescent="0.3">
      <c r="A680" s="149"/>
      <c r="B680" s="149"/>
      <c r="C680" s="149"/>
      <c r="D680" s="149"/>
      <c r="E680" s="149"/>
      <c r="F680" s="149"/>
      <c r="G680" s="162"/>
      <c r="H680" s="146" t="str">
        <f t="shared" si="60"/>
        <v/>
      </c>
      <c r="I680" s="161" t="str">
        <f t="shared" si="61"/>
        <v/>
      </c>
      <c r="J680" s="160" t="str">
        <f>IFERROR(INDEX(下年标准成本!I:I,MATCH(C680,下年标准成本!C:C,0),1),"")</f>
        <v/>
      </c>
      <c r="K680" s="146" t="str">
        <f t="shared" si="62"/>
        <v/>
      </c>
      <c r="L680" s="146" t="str">
        <f t="shared" si="63"/>
        <v/>
      </c>
      <c r="M680" s="148" t="str">
        <f t="shared" si="64"/>
        <v/>
      </c>
    </row>
    <row r="681" spans="1:13" x14ac:dyDescent="0.3">
      <c r="A681" s="149"/>
      <c r="B681" s="149"/>
      <c r="C681" s="149"/>
      <c r="D681" s="149"/>
      <c r="E681" s="149"/>
      <c r="F681" s="149"/>
      <c r="G681" s="162"/>
      <c r="H681" s="146" t="str">
        <f t="shared" si="60"/>
        <v/>
      </c>
      <c r="I681" s="161" t="str">
        <f t="shared" si="61"/>
        <v/>
      </c>
      <c r="J681" s="160" t="str">
        <f>IFERROR(INDEX(下年标准成本!I:I,MATCH(C681,下年标准成本!C:C,0),1),"")</f>
        <v/>
      </c>
      <c r="K681" s="146" t="str">
        <f t="shared" si="62"/>
        <v/>
      </c>
      <c r="L681" s="146" t="str">
        <f t="shared" si="63"/>
        <v/>
      </c>
      <c r="M681" s="148" t="str">
        <f t="shared" si="64"/>
        <v/>
      </c>
    </row>
    <row r="682" spans="1:13" x14ac:dyDescent="0.3">
      <c r="A682" s="149"/>
      <c r="B682" s="149"/>
      <c r="C682" s="149"/>
      <c r="D682" s="149"/>
      <c r="E682" s="149"/>
      <c r="F682" s="149"/>
      <c r="G682" s="162"/>
      <c r="H682" s="146" t="str">
        <f t="shared" si="60"/>
        <v/>
      </c>
      <c r="I682" s="161" t="str">
        <f t="shared" si="61"/>
        <v/>
      </c>
      <c r="J682" s="160" t="str">
        <f>IFERROR(INDEX(下年标准成本!I:I,MATCH(C682,下年标准成本!C:C,0),1),"")</f>
        <v/>
      </c>
      <c r="K682" s="146" t="str">
        <f t="shared" si="62"/>
        <v/>
      </c>
      <c r="L682" s="146" t="str">
        <f t="shared" si="63"/>
        <v/>
      </c>
      <c r="M682" s="148" t="str">
        <f t="shared" si="64"/>
        <v/>
      </c>
    </row>
    <row r="683" spans="1:13" x14ac:dyDescent="0.3">
      <c r="A683" s="149"/>
      <c r="B683" s="149"/>
      <c r="C683" s="149"/>
      <c r="D683" s="149"/>
      <c r="E683" s="149"/>
      <c r="F683" s="149"/>
      <c r="G683" s="162"/>
      <c r="H683" s="146" t="str">
        <f t="shared" si="60"/>
        <v/>
      </c>
      <c r="I683" s="161" t="str">
        <f t="shared" si="61"/>
        <v/>
      </c>
      <c r="J683" s="160" t="str">
        <f>IFERROR(INDEX(下年标准成本!I:I,MATCH(C683,下年标准成本!C:C,0),1),"")</f>
        <v/>
      </c>
      <c r="K683" s="146" t="str">
        <f t="shared" si="62"/>
        <v/>
      </c>
      <c r="L683" s="146" t="str">
        <f t="shared" si="63"/>
        <v/>
      </c>
      <c r="M683" s="148" t="str">
        <f t="shared" si="64"/>
        <v/>
      </c>
    </row>
    <row r="684" spans="1:13" x14ac:dyDescent="0.3">
      <c r="A684" s="149"/>
      <c r="B684" s="149"/>
      <c r="C684" s="149"/>
      <c r="D684" s="149"/>
      <c r="E684" s="149"/>
      <c r="F684" s="149"/>
      <c r="G684" s="162"/>
      <c r="H684" s="146" t="str">
        <f t="shared" si="60"/>
        <v/>
      </c>
      <c r="I684" s="161" t="str">
        <f t="shared" si="61"/>
        <v/>
      </c>
      <c r="J684" s="160" t="str">
        <f>IFERROR(INDEX(下年标准成本!I:I,MATCH(C684,下年标准成本!C:C,0),1),"")</f>
        <v/>
      </c>
      <c r="K684" s="146" t="str">
        <f t="shared" si="62"/>
        <v/>
      </c>
      <c r="L684" s="146" t="str">
        <f t="shared" si="63"/>
        <v/>
      </c>
      <c r="M684" s="148" t="str">
        <f t="shared" si="64"/>
        <v/>
      </c>
    </row>
    <row r="685" spans="1:13" x14ac:dyDescent="0.3">
      <c r="A685" s="149"/>
      <c r="B685" s="149"/>
      <c r="C685" s="149"/>
      <c r="D685" s="149"/>
      <c r="E685" s="149"/>
      <c r="F685" s="149"/>
      <c r="G685" s="162"/>
      <c r="H685" s="146" t="str">
        <f t="shared" si="60"/>
        <v/>
      </c>
      <c r="I685" s="161" t="str">
        <f t="shared" si="61"/>
        <v/>
      </c>
      <c r="J685" s="160" t="str">
        <f>IFERROR(INDEX(下年标准成本!I:I,MATCH(C685,下年标准成本!C:C,0),1),"")</f>
        <v/>
      </c>
      <c r="K685" s="146" t="str">
        <f t="shared" si="62"/>
        <v/>
      </c>
      <c r="L685" s="146" t="str">
        <f t="shared" si="63"/>
        <v/>
      </c>
      <c r="M685" s="148" t="str">
        <f t="shared" si="64"/>
        <v/>
      </c>
    </row>
    <row r="686" spans="1:13" x14ac:dyDescent="0.3">
      <c r="A686" s="149"/>
      <c r="B686" s="149"/>
      <c r="C686" s="149"/>
      <c r="D686" s="149"/>
      <c r="E686" s="149"/>
      <c r="F686" s="149"/>
      <c r="G686" s="162"/>
      <c r="H686" s="146" t="str">
        <f t="shared" si="60"/>
        <v/>
      </c>
      <c r="I686" s="161" t="str">
        <f t="shared" si="61"/>
        <v/>
      </c>
      <c r="J686" s="160" t="str">
        <f>IFERROR(INDEX(下年标准成本!I:I,MATCH(C686,下年标准成本!C:C,0),1),"")</f>
        <v/>
      </c>
      <c r="K686" s="146" t="str">
        <f t="shared" si="62"/>
        <v/>
      </c>
      <c r="L686" s="146" t="str">
        <f t="shared" si="63"/>
        <v/>
      </c>
      <c r="M686" s="148" t="str">
        <f t="shared" si="64"/>
        <v/>
      </c>
    </row>
    <row r="687" spans="1:13" x14ac:dyDescent="0.3">
      <c r="A687" s="149"/>
      <c r="B687" s="149"/>
      <c r="C687" s="149"/>
      <c r="D687" s="149"/>
      <c r="E687" s="149"/>
      <c r="F687" s="149"/>
      <c r="G687" s="162"/>
      <c r="H687" s="146" t="str">
        <f t="shared" si="60"/>
        <v/>
      </c>
      <c r="I687" s="161" t="str">
        <f t="shared" si="61"/>
        <v/>
      </c>
      <c r="J687" s="160" t="str">
        <f>IFERROR(INDEX(下年标准成本!I:I,MATCH(C687,下年标准成本!C:C,0),1),"")</f>
        <v/>
      </c>
      <c r="K687" s="146" t="str">
        <f t="shared" si="62"/>
        <v/>
      </c>
      <c r="L687" s="146" t="str">
        <f t="shared" si="63"/>
        <v/>
      </c>
      <c r="M687" s="148" t="str">
        <f t="shared" si="64"/>
        <v/>
      </c>
    </row>
    <row r="688" spans="1:13" x14ac:dyDescent="0.3">
      <c r="A688" s="149"/>
      <c r="B688" s="149"/>
      <c r="C688" s="149"/>
      <c r="D688" s="149"/>
      <c r="E688" s="149"/>
      <c r="F688" s="149"/>
      <c r="G688" s="162"/>
      <c r="H688" s="146" t="str">
        <f t="shared" si="60"/>
        <v/>
      </c>
      <c r="I688" s="161" t="str">
        <f t="shared" si="61"/>
        <v/>
      </c>
      <c r="J688" s="160" t="str">
        <f>IFERROR(INDEX(下年标准成本!I:I,MATCH(C688,下年标准成本!C:C,0),1),"")</f>
        <v/>
      </c>
      <c r="K688" s="146" t="str">
        <f t="shared" si="62"/>
        <v/>
      </c>
      <c r="L688" s="146" t="str">
        <f t="shared" si="63"/>
        <v/>
      </c>
      <c r="M688" s="148" t="str">
        <f t="shared" si="64"/>
        <v/>
      </c>
    </row>
    <row r="689" spans="1:13" x14ac:dyDescent="0.3">
      <c r="A689" s="149"/>
      <c r="B689" s="149"/>
      <c r="C689" s="149"/>
      <c r="D689" s="149"/>
      <c r="E689" s="149"/>
      <c r="F689" s="149"/>
      <c r="G689" s="162"/>
      <c r="H689" s="146" t="str">
        <f t="shared" si="60"/>
        <v/>
      </c>
      <c r="I689" s="161" t="str">
        <f t="shared" si="61"/>
        <v/>
      </c>
      <c r="J689" s="160" t="str">
        <f>IFERROR(INDEX(下年标准成本!I:I,MATCH(C689,下年标准成本!C:C,0),1),"")</f>
        <v/>
      </c>
      <c r="K689" s="146" t="str">
        <f t="shared" si="62"/>
        <v/>
      </c>
      <c r="L689" s="146" t="str">
        <f t="shared" si="63"/>
        <v/>
      </c>
      <c r="M689" s="148" t="str">
        <f t="shared" si="64"/>
        <v/>
      </c>
    </row>
    <row r="690" spans="1:13" x14ac:dyDescent="0.3">
      <c r="A690" s="149"/>
      <c r="B690" s="149"/>
      <c r="C690" s="149"/>
      <c r="D690" s="149"/>
      <c r="E690" s="149"/>
      <c r="F690" s="149"/>
      <c r="G690" s="162"/>
      <c r="H690" s="146" t="str">
        <f t="shared" si="60"/>
        <v/>
      </c>
      <c r="I690" s="161" t="str">
        <f t="shared" si="61"/>
        <v/>
      </c>
      <c r="J690" s="160" t="str">
        <f>IFERROR(INDEX(下年标准成本!I:I,MATCH(C690,下年标准成本!C:C,0),1),"")</f>
        <v/>
      </c>
      <c r="K690" s="146" t="str">
        <f t="shared" si="62"/>
        <v/>
      </c>
      <c r="L690" s="146" t="str">
        <f t="shared" si="63"/>
        <v/>
      </c>
      <c r="M690" s="148" t="str">
        <f t="shared" si="64"/>
        <v/>
      </c>
    </row>
    <row r="691" spans="1:13" x14ac:dyDescent="0.3">
      <c r="A691" s="149"/>
      <c r="B691" s="149"/>
      <c r="C691" s="149"/>
      <c r="D691" s="149"/>
      <c r="E691" s="149"/>
      <c r="F691" s="149"/>
      <c r="G691" s="162"/>
      <c r="H691" s="146" t="str">
        <f t="shared" si="60"/>
        <v/>
      </c>
      <c r="I691" s="161" t="str">
        <f t="shared" si="61"/>
        <v/>
      </c>
      <c r="J691" s="160" t="str">
        <f>IFERROR(INDEX(下年标准成本!I:I,MATCH(C691,下年标准成本!C:C,0),1),"")</f>
        <v/>
      </c>
      <c r="K691" s="146" t="str">
        <f t="shared" si="62"/>
        <v/>
      </c>
      <c r="L691" s="146" t="str">
        <f t="shared" si="63"/>
        <v/>
      </c>
      <c r="M691" s="148" t="str">
        <f t="shared" si="64"/>
        <v/>
      </c>
    </row>
    <row r="692" spans="1:13" x14ac:dyDescent="0.3">
      <c r="A692" s="149"/>
      <c r="B692" s="149"/>
      <c r="C692" s="149"/>
      <c r="D692" s="149"/>
      <c r="E692" s="149"/>
      <c r="F692" s="149"/>
      <c r="G692" s="162"/>
      <c r="H692" s="146" t="str">
        <f t="shared" si="60"/>
        <v/>
      </c>
      <c r="I692" s="161" t="str">
        <f t="shared" si="61"/>
        <v/>
      </c>
      <c r="J692" s="160" t="str">
        <f>IFERROR(INDEX(下年标准成本!I:I,MATCH(C692,下年标准成本!C:C,0),1),"")</f>
        <v/>
      </c>
      <c r="K692" s="146" t="str">
        <f t="shared" si="62"/>
        <v/>
      </c>
      <c r="L692" s="146" t="str">
        <f t="shared" si="63"/>
        <v/>
      </c>
      <c r="M692" s="148" t="str">
        <f t="shared" si="64"/>
        <v/>
      </c>
    </row>
    <row r="693" spans="1:13" x14ac:dyDescent="0.3">
      <c r="A693" s="149"/>
      <c r="B693" s="149"/>
      <c r="C693" s="149"/>
      <c r="D693" s="149"/>
      <c r="E693" s="149"/>
      <c r="F693" s="149"/>
      <c r="G693" s="162"/>
      <c r="H693" s="146" t="str">
        <f t="shared" si="60"/>
        <v/>
      </c>
      <c r="I693" s="161" t="str">
        <f t="shared" si="61"/>
        <v/>
      </c>
      <c r="J693" s="160" t="str">
        <f>IFERROR(INDEX(下年标准成本!I:I,MATCH(C693,下年标准成本!C:C,0),1),"")</f>
        <v/>
      </c>
      <c r="K693" s="146" t="str">
        <f t="shared" si="62"/>
        <v/>
      </c>
      <c r="L693" s="146" t="str">
        <f t="shared" si="63"/>
        <v/>
      </c>
      <c r="M693" s="148" t="str">
        <f t="shared" si="64"/>
        <v/>
      </c>
    </row>
    <row r="694" spans="1:13" x14ac:dyDescent="0.3">
      <c r="A694" s="149"/>
      <c r="B694" s="149"/>
      <c r="C694" s="149"/>
      <c r="D694" s="149"/>
      <c r="E694" s="149"/>
      <c r="F694" s="149"/>
      <c r="G694" s="162"/>
      <c r="H694" s="146" t="str">
        <f t="shared" si="60"/>
        <v/>
      </c>
      <c r="I694" s="161" t="str">
        <f t="shared" si="61"/>
        <v/>
      </c>
      <c r="J694" s="160" t="str">
        <f>IFERROR(INDEX(下年标准成本!I:I,MATCH(C694,下年标准成本!C:C,0),1),"")</f>
        <v/>
      </c>
      <c r="K694" s="146" t="str">
        <f t="shared" si="62"/>
        <v/>
      </c>
      <c r="L694" s="146" t="str">
        <f t="shared" si="63"/>
        <v/>
      </c>
      <c r="M694" s="148" t="str">
        <f t="shared" si="64"/>
        <v/>
      </c>
    </row>
    <row r="695" spans="1:13" x14ac:dyDescent="0.3">
      <c r="A695" s="149"/>
      <c r="B695" s="149"/>
      <c r="C695" s="149"/>
      <c r="D695" s="149"/>
      <c r="E695" s="149"/>
      <c r="F695" s="149"/>
      <c r="G695" s="162"/>
      <c r="H695" s="146" t="str">
        <f t="shared" si="60"/>
        <v/>
      </c>
      <c r="I695" s="161" t="str">
        <f t="shared" si="61"/>
        <v/>
      </c>
      <c r="J695" s="160" t="str">
        <f>IFERROR(INDEX(下年标准成本!I:I,MATCH(C695,下年标准成本!C:C,0),1),"")</f>
        <v/>
      </c>
      <c r="K695" s="146" t="str">
        <f t="shared" si="62"/>
        <v/>
      </c>
      <c r="L695" s="146" t="str">
        <f t="shared" si="63"/>
        <v/>
      </c>
      <c r="M695" s="148" t="str">
        <f t="shared" si="64"/>
        <v/>
      </c>
    </row>
    <row r="696" spans="1:13" x14ac:dyDescent="0.3">
      <c r="A696" s="149"/>
      <c r="B696" s="149"/>
      <c r="C696" s="149"/>
      <c r="D696" s="149"/>
      <c r="E696" s="149"/>
      <c r="F696" s="149"/>
      <c r="G696" s="162"/>
      <c r="H696" s="146" t="str">
        <f t="shared" si="60"/>
        <v/>
      </c>
      <c r="I696" s="161" t="str">
        <f t="shared" si="61"/>
        <v/>
      </c>
      <c r="J696" s="160" t="str">
        <f>IFERROR(INDEX(下年标准成本!I:I,MATCH(C696,下年标准成本!C:C,0),1),"")</f>
        <v/>
      </c>
      <c r="K696" s="146" t="str">
        <f t="shared" si="62"/>
        <v/>
      </c>
      <c r="L696" s="146" t="str">
        <f t="shared" si="63"/>
        <v/>
      </c>
      <c r="M696" s="148" t="str">
        <f t="shared" si="64"/>
        <v/>
      </c>
    </row>
    <row r="697" spans="1:13" x14ac:dyDescent="0.3">
      <c r="A697" s="149"/>
      <c r="B697" s="149"/>
      <c r="C697" s="149"/>
      <c r="D697" s="149"/>
      <c r="E697" s="149"/>
      <c r="F697" s="149"/>
      <c r="G697" s="162"/>
      <c r="H697" s="146" t="str">
        <f t="shared" si="60"/>
        <v/>
      </c>
      <c r="I697" s="161" t="str">
        <f t="shared" si="61"/>
        <v/>
      </c>
      <c r="J697" s="160" t="str">
        <f>IFERROR(INDEX(下年标准成本!I:I,MATCH(C697,下年标准成本!C:C,0),1),"")</f>
        <v/>
      </c>
      <c r="K697" s="146" t="str">
        <f t="shared" si="62"/>
        <v/>
      </c>
      <c r="L697" s="146" t="str">
        <f t="shared" si="63"/>
        <v/>
      </c>
      <c r="M697" s="148" t="str">
        <f t="shared" si="64"/>
        <v/>
      </c>
    </row>
    <row r="698" spans="1:13" x14ac:dyDescent="0.3">
      <c r="A698" s="149"/>
      <c r="B698" s="149"/>
      <c r="C698" s="149"/>
      <c r="D698" s="149"/>
      <c r="E698" s="149"/>
      <c r="F698" s="149"/>
      <c r="G698" s="162"/>
      <c r="H698" s="146" t="str">
        <f t="shared" si="60"/>
        <v/>
      </c>
      <c r="I698" s="161" t="str">
        <f t="shared" si="61"/>
        <v/>
      </c>
      <c r="J698" s="160" t="str">
        <f>IFERROR(INDEX(下年标准成本!I:I,MATCH(C698,下年标准成本!C:C,0),1),"")</f>
        <v/>
      </c>
      <c r="K698" s="146" t="str">
        <f t="shared" si="62"/>
        <v/>
      </c>
      <c r="L698" s="146" t="str">
        <f t="shared" si="63"/>
        <v/>
      </c>
      <c r="M698" s="148" t="str">
        <f t="shared" si="64"/>
        <v/>
      </c>
    </row>
    <row r="699" spans="1:13" x14ac:dyDescent="0.3">
      <c r="A699" s="149"/>
      <c r="B699" s="149"/>
      <c r="C699" s="149"/>
      <c r="D699" s="149"/>
      <c r="E699" s="149"/>
      <c r="F699" s="149"/>
      <c r="G699" s="162"/>
      <c r="H699" s="146" t="str">
        <f t="shared" si="60"/>
        <v/>
      </c>
      <c r="I699" s="161" t="str">
        <f t="shared" si="61"/>
        <v/>
      </c>
      <c r="J699" s="160" t="str">
        <f>IFERROR(INDEX(下年标准成本!I:I,MATCH(C699,下年标准成本!C:C,0),1),"")</f>
        <v/>
      </c>
      <c r="K699" s="146" t="str">
        <f t="shared" si="62"/>
        <v/>
      </c>
      <c r="L699" s="146" t="str">
        <f t="shared" si="63"/>
        <v/>
      </c>
      <c r="M699" s="148" t="str">
        <f t="shared" si="64"/>
        <v/>
      </c>
    </row>
    <row r="700" spans="1:13" x14ac:dyDescent="0.3">
      <c r="A700" s="149"/>
      <c r="B700" s="149"/>
      <c r="C700" s="149"/>
      <c r="D700" s="149"/>
      <c r="E700" s="149"/>
      <c r="F700" s="149"/>
      <c r="G700" s="162"/>
      <c r="H700" s="146" t="str">
        <f t="shared" si="60"/>
        <v/>
      </c>
      <c r="I700" s="161" t="str">
        <f t="shared" si="61"/>
        <v/>
      </c>
      <c r="J700" s="160" t="str">
        <f>IFERROR(INDEX(下年标准成本!I:I,MATCH(C700,下年标准成本!C:C,0),1),"")</f>
        <v/>
      </c>
      <c r="K700" s="146" t="str">
        <f t="shared" si="62"/>
        <v/>
      </c>
      <c r="L700" s="146" t="str">
        <f t="shared" si="63"/>
        <v/>
      </c>
      <c r="M700" s="148" t="str">
        <f t="shared" si="64"/>
        <v/>
      </c>
    </row>
    <row r="701" spans="1:13" x14ac:dyDescent="0.3">
      <c r="A701" s="149"/>
      <c r="B701" s="149"/>
      <c r="C701" s="149"/>
      <c r="D701" s="149"/>
      <c r="E701" s="149"/>
      <c r="F701" s="149"/>
      <c r="G701" s="162"/>
      <c r="H701" s="146" t="str">
        <f t="shared" si="60"/>
        <v/>
      </c>
      <c r="I701" s="161" t="str">
        <f t="shared" si="61"/>
        <v/>
      </c>
      <c r="J701" s="160" t="str">
        <f>IFERROR(INDEX(下年标准成本!I:I,MATCH(C701,下年标准成本!C:C,0),1),"")</f>
        <v/>
      </c>
      <c r="K701" s="146" t="str">
        <f t="shared" si="62"/>
        <v/>
      </c>
      <c r="L701" s="146" t="str">
        <f t="shared" si="63"/>
        <v/>
      </c>
      <c r="M701" s="148" t="str">
        <f t="shared" si="64"/>
        <v/>
      </c>
    </row>
    <row r="702" spans="1:13" x14ac:dyDescent="0.3">
      <c r="A702" s="149"/>
      <c r="B702" s="149"/>
      <c r="C702" s="149"/>
      <c r="D702" s="149"/>
      <c r="E702" s="149"/>
      <c r="F702" s="149"/>
      <c r="G702" s="162"/>
      <c r="H702" s="146" t="str">
        <f t="shared" si="60"/>
        <v/>
      </c>
      <c r="I702" s="161" t="str">
        <f t="shared" si="61"/>
        <v/>
      </c>
      <c r="J702" s="160" t="str">
        <f>IFERROR(INDEX(下年标准成本!I:I,MATCH(C702,下年标准成本!C:C,0),1),"")</f>
        <v/>
      </c>
      <c r="K702" s="146" t="str">
        <f t="shared" si="62"/>
        <v/>
      </c>
      <c r="L702" s="146" t="str">
        <f t="shared" si="63"/>
        <v/>
      </c>
      <c r="M702" s="148" t="str">
        <f t="shared" si="64"/>
        <v/>
      </c>
    </row>
    <row r="703" spans="1:13" x14ac:dyDescent="0.3">
      <c r="A703" s="149"/>
      <c r="B703" s="149"/>
      <c r="C703" s="149"/>
      <c r="D703" s="149"/>
      <c r="E703" s="149"/>
      <c r="F703" s="149"/>
      <c r="G703" s="162"/>
      <c r="H703" s="146" t="str">
        <f t="shared" si="60"/>
        <v/>
      </c>
      <c r="I703" s="161" t="str">
        <f t="shared" si="61"/>
        <v/>
      </c>
      <c r="J703" s="160" t="str">
        <f>IFERROR(INDEX(下年标准成本!I:I,MATCH(C703,下年标准成本!C:C,0),1),"")</f>
        <v/>
      </c>
      <c r="K703" s="146" t="str">
        <f t="shared" si="62"/>
        <v/>
      </c>
      <c r="L703" s="146" t="str">
        <f t="shared" si="63"/>
        <v/>
      </c>
      <c r="M703" s="148" t="str">
        <f t="shared" si="64"/>
        <v/>
      </c>
    </row>
    <row r="704" spans="1:13" x14ac:dyDescent="0.3">
      <c r="A704" s="149"/>
      <c r="B704" s="149"/>
      <c r="C704" s="149"/>
      <c r="D704" s="149"/>
      <c r="E704" s="149"/>
      <c r="F704" s="149"/>
      <c r="G704" s="162"/>
      <c r="H704" s="146" t="str">
        <f t="shared" si="60"/>
        <v/>
      </c>
      <c r="I704" s="161" t="str">
        <f t="shared" si="61"/>
        <v/>
      </c>
      <c r="J704" s="160" t="str">
        <f>IFERROR(INDEX(下年标准成本!I:I,MATCH(C704,下年标准成本!C:C,0),1),"")</f>
        <v/>
      </c>
      <c r="K704" s="146" t="str">
        <f t="shared" si="62"/>
        <v/>
      </c>
      <c r="L704" s="146" t="str">
        <f t="shared" si="63"/>
        <v/>
      </c>
      <c r="M704" s="148" t="str">
        <f t="shared" si="64"/>
        <v/>
      </c>
    </row>
    <row r="705" spans="1:13" x14ac:dyDescent="0.3">
      <c r="A705" s="149"/>
      <c r="B705" s="149"/>
      <c r="C705" s="149"/>
      <c r="D705" s="149"/>
      <c r="E705" s="149"/>
      <c r="F705" s="149"/>
      <c r="G705" s="162"/>
      <c r="H705" s="146" t="str">
        <f t="shared" si="60"/>
        <v/>
      </c>
      <c r="I705" s="161" t="str">
        <f t="shared" si="61"/>
        <v/>
      </c>
      <c r="J705" s="160" t="str">
        <f>IFERROR(INDEX(下年标准成本!I:I,MATCH(C705,下年标准成本!C:C,0),1),"")</f>
        <v/>
      </c>
      <c r="K705" s="146" t="str">
        <f t="shared" si="62"/>
        <v/>
      </c>
      <c r="L705" s="146" t="str">
        <f t="shared" si="63"/>
        <v/>
      </c>
      <c r="M705" s="148" t="str">
        <f t="shared" si="64"/>
        <v/>
      </c>
    </row>
    <row r="706" spans="1:13" x14ac:dyDescent="0.3">
      <c r="A706" s="149"/>
      <c r="B706" s="149"/>
      <c r="C706" s="149"/>
      <c r="D706" s="149"/>
      <c r="E706" s="149"/>
      <c r="F706" s="149"/>
      <c r="G706" s="162"/>
      <c r="H706" s="146" t="str">
        <f t="shared" si="60"/>
        <v/>
      </c>
      <c r="I706" s="161" t="str">
        <f t="shared" si="61"/>
        <v/>
      </c>
      <c r="J706" s="160" t="str">
        <f>IFERROR(INDEX(下年标准成本!I:I,MATCH(C706,下年标准成本!C:C,0),1),"")</f>
        <v/>
      </c>
      <c r="K706" s="146" t="str">
        <f t="shared" si="62"/>
        <v/>
      </c>
      <c r="L706" s="146" t="str">
        <f t="shared" si="63"/>
        <v/>
      </c>
      <c r="M706" s="148" t="str">
        <f t="shared" si="64"/>
        <v/>
      </c>
    </row>
    <row r="707" spans="1:13" x14ac:dyDescent="0.3">
      <c r="A707" s="149"/>
      <c r="B707" s="149"/>
      <c r="C707" s="149"/>
      <c r="D707" s="149"/>
      <c r="E707" s="149"/>
      <c r="F707" s="149"/>
      <c r="G707" s="162"/>
      <c r="H707" s="146" t="str">
        <f t="shared" si="60"/>
        <v/>
      </c>
      <c r="I707" s="161" t="str">
        <f t="shared" si="61"/>
        <v/>
      </c>
      <c r="J707" s="160" t="str">
        <f>IFERROR(INDEX(下年标准成本!I:I,MATCH(C707,下年标准成本!C:C,0),1),"")</f>
        <v/>
      </c>
      <c r="K707" s="146" t="str">
        <f t="shared" si="62"/>
        <v/>
      </c>
      <c r="L707" s="146" t="str">
        <f t="shared" si="63"/>
        <v/>
      </c>
      <c r="M707" s="148" t="str">
        <f t="shared" si="64"/>
        <v/>
      </c>
    </row>
    <row r="708" spans="1:13" x14ac:dyDescent="0.3">
      <c r="A708" s="149"/>
      <c r="B708" s="149"/>
      <c r="C708" s="149"/>
      <c r="D708" s="149"/>
      <c r="E708" s="149"/>
      <c r="F708" s="149"/>
      <c r="G708" s="162"/>
      <c r="H708" s="146" t="str">
        <f t="shared" si="60"/>
        <v/>
      </c>
      <c r="I708" s="161" t="str">
        <f t="shared" si="61"/>
        <v/>
      </c>
      <c r="J708" s="160" t="str">
        <f>IFERROR(INDEX(下年标准成本!I:I,MATCH(C708,下年标准成本!C:C,0),1),"")</f>
        <v/>
      </c>
      <c r="K708" s="146" t="str">
        <f t="shared" si="62"/>
        <v/>
      </c>
      <c r="L708" s="146" t="str">
        <f t="shared" si="63"/>
        <v/>
      </c>
      <c r="M708" s="148" t="str">
        <f t="shared" si="64"/>
        <v/>
      </c>
    </row>
    <row r="709" spans="1:13" x14ac:dyDescent="0.3">
      <c r="A709" s="149"/>
      <c r="B709" s="149"/>
      <c r="C709" s="149"/>
      <c r="D709" s="149"/>
      <c r="E709" s="149"/>
      <c r="F709" s="149"/>
      <c r="G709" s="162"/>
      <c r="H709" s="146" t="str">
        <f t="shared" si="60"/>
        <v/>
      </c>
      <c r="I709" s="161" t="str">
        <f t="shared" si="61"/>
        <v/>
      </c>
      <c r="J709" s="160" t="str">
        <f>IFERROR(INDEX(下年标准成本!I:I,MATCH(C709,下年标准成本!C:C,0),1),"")</f>
        <v/>
      </c>
      <c r="K709" s="146" t="str">
        <f t="shared" si="62"/>
        <v/>
      </c>
      <c r="L709" s="146" t="str">
        <f t="shared" si="63"/>
        <v/>
      </c>
      <c r="M709" s="148" t="str">
        <f t="shared" si="64"/>
        <v/>
      </c>
    </row>
    <row r="710" spans="1:13" x14ac:dyDescent="0.3">
      <c r="A710" s="149"/>
      <c r="B710" s="149"/>
      <c r="C710" s="149"/>
      <c r="D710" s="149"/>
      <c r="E710" s="149"/>
      <c r="F710" s="149"/>
      <c r="G710" s="162"/>
      <c r="H710" s="146" t="str">
        <f t="shared" si="60"/>
        <v/>
      </c>
      <c r="I710" s="161" t="str">
        <f t="shared" si="61"/>
        <v/>
      </c>
      <c r="J710" s="160" t="str">
        <f>IFERROR(INDEX(下年标准成本!I:I,MATCH(C710,下年标准成本!C:C,0),1),"")</f>
        <v/>
      </c>
      <c r="K710" s="146" t="str">
        <f t="shared" si="62"/>
        <v/>
      </c>
      <c r="L710" s="146" t="str">
        <f t="shared" si="63"/>
        <v/>
      </c>
      <c r="M710" s="148" t="str">
        <f t="shared" si="64"/>
        <v/>
      </c>
    </row>
    <row r="711" spans="1:13" x14ac:dyDescent="0.3">
      <c r="A711" s="149"/>
      <c r="B711" s="149"/>
      <c r="C711" s="149"/>
      <c r="D711" s="149"/>
      <c r="E711" s="149"/>
      <c r="F711" s="149"/>
      <c r="G711" s="162"/>
      <c r="H711" s="146" t="str">
        <f t="shared" si="60"/>
        <v/>
      </c>
      <c r="I711" s="161" t="str">
        <f t="shared" si="61"/>
        <v/>
      </c>
      <c r="J711" s="160" t="str">
        <f>IFERROR(INDEX(下年标准成本!I:I,MATCH(C711,下年标准成本!C:C,0),1),"")</f>
        <v/>
      </c>
      <c r="K711" s="146" t="str">
        <f t="shared" si="62"/>
        <v/>
      </c>
      <c r="L711" s="146" t="str">
        <f t="shared" si="63"/>
        <v/>
      </c>
      <c r="M711" s="148" t="str">
        <f t="shared" si="64"/>
        <v/>
      </c>
    </row>
    <row r="712" spans="1:13" x14ac:dyDescent="0.3">
      <c r="A712" s="149"/>
      <c r="B712" s="149"/>
      <c r="C712" s="149"/>
      <c r="D712" s="149"/>
      <c r="E712" s="149"/>
      <c r="F712" s="149"/>
      <c r="G712" s="162"/>
      <c r="H712" s="146" t="str">
        <f t="shared" si="60"/>
        <v/>
      </c>
      <c r="I712" s="161" t="str">
        <f t="shared" si="61"/>
        <v/>
      </c>
      <c r="J712" s="160" t="str">
        <f>IFERROR(INDEX(下年标准成本!I:I,MATCH(C712,下年标准成本!C:C,0),1),"")</f>
        <v/>
      </c>
      <c r="K712" s="146" t="str">
        <f t="shared" si="62"/>
        <v/>
      </c>
      <c r="L712" s="146" t="str">
        <f t="shared" si="63"/>
        <v/>
      </c>
      <c r="M712" s="148" t="str">
        <f t="shared" si="64"/>
        <v/>
      </c>
    </row>
    <row r="713" spans="1:13" x14ac:dyDescent="0.3">
      <c r="A713" s="149"/>
      <c r="B713" s="149"/>
      <c r="C713" s="149"/>
      <c r="D713" s="149"/>
      <c r="E713" s="149"/>
      <c r="F713" s="149"/>
      <c r="G713" s="162"/>
      <c r="H713" s="146" t="str">
        <f t="shared" si="60"/>
        <v/>
      </c>
      <c r="I713" s="161" t="str">
        <f t="shared" si="61"/>
        <v/>
      </c>
      <c r="J713" s="160" t="str">
        <f>IFERROR(INDEX(下年标准成本!I:I,MATCH(C713,下年标准成本!C:C,0),1),"")</f>
        <v/>
      </c>
      <c r="K713" s="146" t="str">
        <f t="shared" si="62"/>
        <v/>
      </c>
      <c r="L713" s="146" t="str">
        <f t="shared" si="63"/>
        <v/>
      </c>
      <c r="M713" s="148" t="str">
        <f t="shared" si="64"/>
        <v/>
      </c>
    </row>
    <row r="714" spans="1:13" x14ac:dyDescent="0.3">
      <c r="A714" s="149"/>
      <c r="B714" s="149"/>
      <c r="C714" s="149"/>
      <c r="D714" s="149"/>
      <c r="E714" s="149"/>
      <c r="F714" s="149"/>
      <c r="G714" s="162"/>
      <c r="H714" s="146" t="str">
        <f t="shared" ref="H714:H777" si="65">IFERROR(F714/E714,"")</f>
        <v/>
      </c>
      <c r="I714" s="161" t="str">
        <f t="shared" ref="I714:I777" si="66">IFERROR(H714*(1+G714),"")</f>
        <v/>
      </c>
      <c r="J714" s="160" t="str">
        <f>IFERROR(INDEX(下年标准成本!I:I,MATCH(C714,下年标准成本!C:C,0),1),"")</f>
        <v/>
      </c>
      <c r="K714" s="146" t="str">
        <f t="shared" ref="K714:K777" si="67">IFERROR(E714*J714,"")</f>
        <v/>
      </c>
      <c r="L714" s="146" t="str">
        <f t="shared" ref="L714:L777" si="68">IFERROR(F714-K714,"")</f>
        <v/>
      </c>
      <c r="M714" s="148" t="str">
        <f t="shared" ref="M714:M777" si="69">IFERROR(L714/F714,"")</f>
        <v/>
      </c>
    </row>
    <row r="715" spans="1:13" x14ac:dyDescent="0.3">
      <c r="A715" s="149"/>
      <c r="B715" s="149"/>
      <c r="C715" s="149"/>
      <c r="D715" s="149"/>
      <c r="E715" s="149"/>
      <c r="F715" s="149"/>
      <c r="G715" s="162"/>
      <c r="H715" s="146" t="str">
        <f t="shared" si="65"/>
        <v/>
      </c>
      <c r="I715" s="161" t="str">
        <f t="shared" si="66"/>
        <v/>
      </c>
      <c r="J715" s="160" t="str">
        <f>IFERROR(INDEX(下年标准成本!I:I,MATCH(C715,下年标准成本!C:C,0),1),"")</f>
        <v/>
      </c>
      <c r="K715" s="146" t="str">
        <f t="shared" si="67"/>
        <v/>
      </c>
      <c r="L715" s="146" t="str">
        <f t="shared" si="68"/>
        <v/>
      </c>
      <c r="M715" s="148" t="str">
        <f t="shared" si="69"/>
        <v/>
      </c>
    </row>
    <row r="716" spans="1:13" x14ac:dyDescent="0.3">
      <c r="A716" s="149"/>
      <c r="B716" s="149"/>
      <c r="C716" s="149"/>
      <c r="D716" s="149"/>
      <c r="E716" s="149"/>
      <c r="F716" s="149"/>
      <c r="G716" s="162"/>
      <c r="H716" s="146" t="str">
        <f t="shared" si="65"/>
        <v/>
      </c>
      <c r="I716" s="161" t="str">
        <f t="shared" si="66"/>
        <v/>
      </c>
      <c r="J716" s="160" t="str">
        <f>IFERROR(INDEX(下年标准成本!I:I,MATCH(C716,下年标准成本!C:C,0),1),"")</f>
        <v/>
      </c>
      <c r="K716" s="146" t="str">
        <f t="shared" si="67"/>
        <v/>
      </c>
      <c r="L716" s="146" t="str">
        <f t="shared" si="68"/>
        <v/>
      </c>
      <c r="M716" s="148" t="str">
        <f t="shared" si="69"/>
        <v/>
      </c>
    </row>
    <row r="717" spans="1:13" x14ac:dyDescent="0.3">
      <c r="A717" s="149"/>
      <c r="B717" s="149"/>
      <c r="C717" s="149"/>
      <c r="D717" s="149"/>
      <c r="E717" s="149"/>
      <c r="F717" s="149"/>
      <c r="G717" s="162"/>
      <c r="H717" s="146" t="str">
        <f t="shared" si="65"/>
        <v/>
      </c>
      <c r="I717" s="161" t="str">
        <f t="shared" si="66"/>
        <v/>
      </c>
      <c r="J717" s="160" t="str">
        <f>IFERROR(INDEX(下年标准成本!I:I,MATCH(C717,下年标准成本!C:C,0),1),"")</f>
        <v/>
      </c>
      <c r="K717" s="146" t="str">
        <f t="shared" si="67"/>
        <v/>
      </c>
      <c r="L717" s="146" t="str">
        <f t="shared" si="68"/>
        <v/>
      </c>
      <c r="M717" s="148" t="str">
        <f t="shared" si="69"/>
        <v/>
      </c>
    </row>
    <row r="718" spans="1:13" x14ac:dyDescent="0.3">
      <c r="A718" s="149"/>
      <c r="B718" s="149"/>
      <c r="C718" s="149"/>
      <c r="D718" s="149"/>
      <c r="E718" s="149"/>
      <c r="F718" s="149"/>
      <c r="G718" s="162"/>
      <c r="H718" s="146" t="str">
        <f t="shared" si="65"/>
        <v/>
      </c>
      <c r="I718" s="161" t="str">
        <f t="shared" si="66"/>
        <v/>
      </c>
      <c r="J718" s="160" t="str">
        <f>IFERROR(INDEX(下年标准成本!I:I,MATCH(C718,下年标准成本!C:C,0),1),"")</f>
        <v/>
      </c>
      <c r="K718" s="146" t="str">
        <f t="shared" si="67"/>
        <v/>
      </c>
      <c r="L718" s="146" t="str">
        <f t="shared" si="68"/>
        <v/>
      </c>
      <c r="M718" s="148" t="str">
        <f t="shared" si="69"/>
        <v/>
      </c>
    </row>
    <row r="719" spans="1:13" x14ac:dyDescent="0.3">
      <c r="A719" s="149"/>
      <c r="B719" s="149"/>
      <c r="C719" s="149"/>
      <c r="D719" s="149"/>
      <c r="E719" s="149"/>
      <c r="F719" s="149"/>
      <c r="G719" s="162"/>
      <c r="H719" s="146" t="str">
        <f t="shared" si="65"/>
        <v/>
      </c>
      <c r="I719" s="161" t="str">
        <f t="shared" si="66"/>
        <v/>
      </c>
      <c r="J719" s="160" t="str">
        <f>IFERROR(INDEX(下年标准成本!I:I,MATCH(C719,下年标准成本!C:C,0),1),"")</f>
        <v/>
      </c>
      <c r="K719" s="146" t="str">
        <f t="shared" si="67"/>
        <v/>
      </c>
      <c r="L719" s="146" t="str">
        <f t="shared" si="68"/>
        <v/>
      </c>
      <c r="M719" s="148" t="str">
        <f t="shared" si="69"/>
        <v/>
      </c>
    </row>
    <row r="720" spans="1:13" x14ac:dyDescent="0.3">
      <c r="A720" s="149"/>
      <c r="B720" s="149"/>
      <c r="C720" s="149"/>
      <c r="D720" s="149"/>
      <c r="E720" s="149"/>
      <c r="F720" s="149"/>
      <c r="G720" s="162"/>
      <c r="H720" s="146" t="str">
        <f t="shared" si="65"/>
        <v/>
      </c>
      <c r="I720" s="161" t="str">
        <f t="shared" si="66"/>
        <v/>
      </c>
      <c r="J720" s="160" t="str">
        <f>IFERROR(INDEX(下年标准成本!I:I,MATCH(C720,下年标准成本!C:C,0),1),"")</f>
        <v/>
      </c>
      <c r="K720" s="146" t="str">
        <f t="shared" si="67"/>
        <v/>
      </c>
      <c r="L720" s="146" t="str">
        <f t="shared" si="68"/>
        <v/>
      </c>
      <c r="M720" s="148" t="str">
        <f t="shared" si="69"/>
        <v/>
      </c>
    </row>
    <row r="721" spans="1:13" x14ac:dyDescent="0.3">
      <c r="A721" s="149"/>
      <c r="B721" s="149"/>
      <c r="C721" s="149"/>
      <c r="D721" s="149"/>
      <c r="E721" s="149"/>
      <c r="F721" s="149"/>
      <c r="G721" s="162"/>
      <c r="H721" s="146" t="str">
        <f t="shared" si="65"/>
        <v/>
      </c>
      <c r="I721" s="161" t="str">
        <f t="shared" si="66"/>
        <v/>
      </c>
      <c r="J721" s="160" t="str">
        <f>IFERROR(INDEX(下年标准成本!I:I,MATCH(C721,下年标准成本!C:C,0),1),"")</f>
        <v/>
      </c>
      <c r="K721" s="146" t="str">
        <f t="shared" si="67"/>
        <v/>
      </c>
      <c r="L721" s="146" t="str">
        <f t="shared" si="68"/>
        <v/>
      </c>
      <c r="M721" s="148" t="str">
        <f t="shared" si="69"/>
        <v/>
      </c>
    </row>
    <row r="722" spans="1:13" x14ac:dyDescent="0.3">
      <c r="A722" s="149"/>
      <c r="B722" s="149"/>
      <c r="C722" s="149"/>
      <c r="D722" s="149"/>
      <c r="E722" s="149"/>
      <c r="F722" s="149"/>
      <c r="G722" s="162"/>
      <c r="H722" s="146" t="str">
        <f t="shared" si="65"/>
        <v/>
      </c>
      <c r="I722" s="161" t="str">
        <f t="shared" si="66"/>
        <v/>
      </c>
      <c r="J722" s="160" t="str">
        <f>IFERROR(INDEX(下年标准成本!I:I,MATCH(C722,下年标准成本!C:C,0),1),"")</f>
        <v/>
      </c>
      <c r="K722" s="146" t="str">
        <f t="shared" si="67"/>
        <v/>
      </c>
      <c r="L722" s="146" t="str">
        <f t="shared" si="68"/>
        <v/>
      </c>
      <c r="M722" s="148" t="str">
        <f t="shared" si="69"/>
        <v/>
      </c>
    </row>
    <row r="723" spans="1:13" x14ac:dyDescent="0.3">
      <c r="A723" s="149"/>
      <c r="B723" s="149"/>
      <c r="C723" s="149"/>
      <c r="D723" s="149"/>
      <c r="E723" s="149"/>
      <c r="F723" s="149"/>
      <c r="G723" s="162"/>
      <c r="H723" s="146" t="str">
        <f t="shared" si="65"/>
        <v/>
      </c>
      <c r="I723" s="161" t="str">
        <f t="shared" si="66"/>
        <v/>
      </c>
      <c r="J723" s="160" t="str">
        <f>IFERROR(INDEX(下年标准成本!I:I,MATCH(C723,下年标准成本!C:C,0),1),"")</f>
        <v/>
      </c>
      <c r="K723" s="146" t="str">
        <f t="shared" si="67"/>
        <v/>
      </c>
      <c r="L723" s="146" t="str">
        <f t="shared" si="68"/>
        <v/>
      </c>
      <c r="M723" s="148" t="str">
        <f t="shared" si="69"/>
        <v/>
      </c>
    </row>
    <row r="724" spans="1:13" x14ac:dyDescent="0.3">
      <c r="A724" s="149"/>
      <c r="B724" s="149"/>
      <c r="C724" s="149"/>
      <c r="D724" s="149"/>
      <c r="E724" s="149"/>
      <c r="F724" s="149"/>
      <c r="G724" s="162"/>
      <c r="H724" s="146" t="str">
        <f t="shared" si="65"/>
        <v/>
      </c>
      <c r="I724" s="161" t="str">
        <f t="shared" si="66"/>
        <v/>
      </c>
      <c r="J724" s="160" t="str">
        <f>IFERROR(INDEX(下年标准成本!I:I,MATCH(C724,下年标准成本!C:C,0),1),"")</f>
        <v/>
      </c>
      <c r="K724" s="146" t="str">
        <f t="shared" si="67"/>
        <v/>
      </c>
      <c r="L724" s="146" t="str">
        <f t="shared" si="68"/>
        <v/>
      </c>
      <c r="M724" s="148" t="str">
        <f t="shared" si="69"/>
        <v/>
      </c>
    </row>
    <row r="725" spans="1:13" x14ac:dyDescent="0.3">
      <c r="A725" s="149"/>
      <c r="B725" s="149"/>
      <c r="C725" s="149"/>
      <c r="D725" s="149"/>
      <c r="E725" s="149"/>
      <c r="F725" s="149"/>
      <c r="G725" s="162"/>
      <c r="H725" s="146" t="str">
        <f t="shared" si="65"/>
        <v/>
      </c>
      <c r="I725" s="161" t="str">
        <f t="shared" si="66"/>
        <v/>
      </c>
      <c r="J725" s="160" t="str">
        <f>IFERROR(INDEX(下年标准成本!I:I,MATCH(C725,下年标准成本!C:C,0),1),"")</f>
        <v/>
      </c>
      <c r="K725" s="146" t="str">
        <f t="shared" si="67"/>
        <v/>
      </c>
      <c r="L725" s="146" t="str">
        <f t="shared" si="68"/>
        <v/>
      </c>
      <c r="M725" s="148" t="str">
        <f t="shared" si="69"/>
        <v/>
      </c>
    </row>
    <row r="726" spans="1:13" x14ac:dyDescent="0.3">
      <c r="A726" s="149"/>
      <c r="B726" s="149"/>
      <c r="C726" s="149"/>
      <c r="D726" s="149"/>
      <c r="E726" s="149"/>
      <c r="F726" s="149"/>
      <c r="G726" s="162"/>
      <c r="H726" s="146" t="str">
        <f t="shared" si="65"/>
        <v/>
      </c>
      <c r="I726" s="161" t="str">
        <f t="shared" si="66"/>
        <v/>
      </c>
      <c r="J726" s="160" t="str">
        <f>IFERROR(INDEX(下年标准成本!I:I,MATCH(C726,下年标准成本!C:C,0),1),"")</f>
        <v/>
      </c>
      <c r="K726" s="146" t="str">
        <f t="shared" si="67"/>
        <v/>
      </c>
      <c r="L726" s="146" t="str">
        <f t="shared" si="68"/>
        <v/>
      </c>
      <c r="M726" s="148" t="str">
        <f t="shared" si="69"/>
        <v/>
      </c>
    </row>
    <row r="727" spans="1:13" x14ac:dyDescent="0.3">
      <c r="A727" s="149"/>
      <c r="B727" s="149"/>
      <c r="C727" s="149"/>
      <c r="D727" s="149"/>
      <c r="E727" s="149"/>
      <c r="F727" s="149"/>
      <c r="G727" s="162"/>
      <c r="H727" s="146" t="str">
        <f t="shared" si="65"/>
        <v/>
      </c>
      <c r="I727" s="161" t="str">
        <f t="shared" si="66"/>
        <v/>
      </c>
      <c r="J727" s="160" t="str">
        <f>IFERROR(INDEX(下年标准成本!I:I,MATCH(C727,下年标准成本!C:C,0),1),"")</f>
        <v/>
      </c>
      <c r="K727" s="146" t="str">
        <f t="shared" si="67"/>
        <v/>
      </c>
      <c r="L727" s="146" t="str">
        <f t="shared" si="68"/>
        <v/>
      </c>
      <c r="M727" s="148" t="str">
        <f t="shared" si="69"/>
        <v/>
      </c>
    </row>
    <row r="728" spans="1:13" x14ac:dyDescent="0.3">
      <c r="A728" s="149"/>
      <c r="B728" s="149"/>
      <c r="C728" s="149"/>
      <c r="D728" s="149"/>
      <c r="E728" s="149"/>
      <c r="F728" s="149"/>
      <c r="G728" s="162"/>
      <c r="H728" s="146" t="str">
        <f t="shared" si="65"/>
        <v/>
      </c>
      <c r="I728" s="161" t="str">
        <f t="shared" si="66"/>
        <v/>
      </c>
      <c r="J728" s="160" t="str">
        <f>IFERROR(INDEX(下年标准成本!I:I,MATCH(C728,下年标准成本!C:C,0),1),"")</f>
        <v/>
      </c>
      <c r="K728" s="146" t="str">
        <f t="shared" si="67"/>
        <v/>
      </c>
      <c r="L728" s="146" t="str">
        <f t="shared" si="68"/>
        <v/>
      </c>
      <c r="M728" s="148" t="str">
        <f t="shared" si="69"/>
        <v/>
      </c>
    </row>
    <row r="729" spans="1:13" x14ac:dyDescent="0.3">
      <c r="A729" s="149"/>
      <c r="B729" s="149"/>
      <c r="C729" s="149"/>
      <c r="D729" s="149"/>
      <c r="E729" s="149"/>
      <c r="F729" s="149"/>
      <c r="G729" s="162"/>
      <c r="H729" s="146" t="str">
        <f t="shared" si="65"/>
        <v/>
      </c>
      <c r="I729" s="161" t="str">
        <f t="shared" si="66"/>
        <v/>
      </c>
      <c r="J729" s="160" t="str">
        <f>IFERROR(INDEX(下年标准成本!I:I,MATCH(C729,下年标准成本!C:C,0),1),"")</f>
        <v/>
      </c>
      <c r="K729" s="146" t="str">
        <f t="shared" si="67"/>
        <v/>
      </c>
      <c r="L729" s="146" t="str">
        <f t="shared" si="68"/>
        <v/>
      </c>
      <c r="M729" s="148" t="str">
        <f t="shared" si="69"/>
        <v/>
      </c>
    </row>
    <row r="730" spans="1:13" x14ac:dyDescent="0.3">
      <c r="A730" s="149"/>
      <c r="B730" s="149"/>
      <c r="C730" s="149"/>
      <c r="D730" s="149"/>
      <c r="E730" s="149"/>
      <c r="F730" s="149"/>
      <c r="G730" s="162"/>
      <c r="H730" s="146" t="str">
        <f t="shared" si="65"/>
        <v/>
      </c>
      <c r="I730" s="161" t="str">
        <f t="shared" si="66"/>
        <v/>
      </c>
      <c r="J730" s="160" t="str">
        <f>IFERROR(INDEX(下年标准成本!I:I,MATCH(C730,下年标准成本!C:C,0),1),"")</f>
        <v/>
      </c>
      <c r="K730" s="146" t="str">
        <f t="shared" si="67"/>
        <v/>
      </c>
      <c r="L730" s="146" t="str">
        <f t="shared" si="68"/>
        <v/>
      </c>
      <c r="M730" s="148" t="str">
        <f t="shared" si="69"/>
        <v/>
      </c>
    </row>
    <row r="731" spans="1:13" x14ac:dyDescent="0.3">
      <c r="A731" s="149"/>
      <c r="B731" s="149"/>
      <c r="C731" s="149"/>
      <c r="D731" s="149"/>
      <c r="E731" s="149"/>
      <c r="F731" s="149"/>
      <c r="G731" s="162"/>
      <c r="H731" s="146" t="str">
        <f t="shared" si="65"/>
        <v/>
      </c>
      <c r="I731" s="161" t="str">
        <f t="shared" si="66"/>
        <v/>
      </c>
      <c r="J731" s="160" t="str">
        <f>IFERROR(INDEX(下年标准成本!I:I,MATCH(C731,下年标准成本!C:C,0),1),"")</f>
        <v/>
      </c>
      <c r="K731" s="146" t="str">
        <f t="shared" si="67"/>
        <v/>
      </c>
      <c r="L731" s="146" t="str">
        <f t="shared" si="68"/>
        <v/>
      </c>
      <c r="M731" s="148" t="str">
        <f t="shared" si="69"/>
        <v/>
      </c>
    </row>
    <row r="732" spans="1:13" x14ac:dyDescent="0.3">
      <c r="A732" s="149"/>
      <c r="B732" s="149"/>
      <c r="C732" s="149"/>
      <c r="D732" s="149"/>
      <c r="E732" s="149"/>
      <c r="F732" s="149"/>
      <c r="G732" s="162"/>
      <c r="H732" s="146" t="str">
        <f t="shared" si="65"/>
        <v/>
      </c>
      <c r="I732" s="161" t="str">
        <f t="shared" si="66"/>
        <v/>
      </c>
      <c r="J732" s="160" t="str">
        <f>IFERROR(INDEX(下年标准成本!I:I,MATCH(C732,下年标准成本!C:C,0),1),"")</f>
        <v/>
      </c>
      <c r="K732" s="146" t="str">
        <f t="shared" si="67"/>
        <v/>
      </c>
      <c r="L732" s="146" t="str">
        <f t="shared" si="68"/>
        <v/>
      </c>
      <c r="M732" s="148" t="str">
        <f t="shared" si="69"/>
        <v/>
      </c>
    </row>
    <row r="733" spans="1:13" x14ac:dyDescent="0.3">
      <c r="A733" s="149"/>
      <c r="B733" s="149"/>
      <c r="C733" s="149"/>
      <c r="D733" s="149"/>
      <c r="E733" s="149"/>
      <c r="F733" s="149"/>
      <c r="G733" s="162"/>
      <c r="H733" s="146" t="str">
        <f t="shared" si="65"/>
        <v/>
      </c>
      <c r="I733" s="161" t="str">
        <f t="shared" si="66"/>
        <v/>
      </c>
      <c r="J733" s="160" t="str">
        <f>IFERROR(INDEX(下年标准成本!I:I,MATCH(C733,下年标准成本!C:C,0),1),"")</f>
        <v/>
      </c>
      <c r="K733" s="146" t="str">
        <f t="shared" si="67"/>
        <v/>
      </c>
      <c r="L733" s="146" t="str">
        <f t="shared" si="68"/>
        <v/>
      </c>
      <c r="M733" s="148" t="str">
        <f t="shared" si="69"/>
        <v/>
      </c>
    </row>
    <row r="734" spans="1:13" x14ac:dyDescent="0.3">
      <c r="A734" s="149"/>
      <c r="B734" s="149"/>
      <c r="C734" s="149"/>
      <c r="D734" s="149"/>
      <c r="E734" s="149"/>
      <c r="F734" s="149"/>
      <c r="G734" s="162"/>
      <c r="H734" s="146" t="str">
        <f t="shared" si="65"/>
        <v/>
      </c>
      <c r="I734" s="161" t="str">
        <f t="shared" si="66"/>
        <v/>
      </c>
      <c r="J734" s="160" t="str">
        <f>IFERROR(INDEX(下年标准成本!I:I,MATCH(C734,下年标准成本!C:C,0),1),"")</f>
        <v/>
      </c>
      <c r="K734" s="146" t="str">
        <f t="shared" si="67"/>
        <v/>
      </c>
      <c r="L734" s="146" t="str">
        <f t="shared" si="68"/>
        <v/>
      </c>
      <c r="M734" s="148" t="str">
        <f t="shared" si="69"/>
        <v/>
      </c>
    </row>
    <row r="735" spans="1:13" x14ac:dyDescent="0.3">
      <c r="A735" s="149"/>
      <c r="B735" s="149"/>
      <c r="C735" s="149"/>
      <c r="D735" s="149"/>
      <c r="E735" s="149"/>
      <c r="F735" s="149"/>
      <c r="G735" s="162"/>
      <c r="H735" s="146" t="str">
        <f t="shared" si="65"/>
        <v/>
      </c>
      <c r="I735" s="161" t="str">
        <f t="shared" si="66"/>
        <v/>
      </c>
      <c r="J735" s="160" t="str">
        <f>IFERROR(INDEX(下年标准成本!I:I,MATCH(C735,下年标准成本!C:C,0),1),"")</f>
        <v/>
      </c>
      <c r="K735" s="146" t="str">
        <f t="shared" si="67"/>
        <v/>
      </c>
      <c r="L735" s="146" t="str">
        <f t="shared" si="68"/>
        <v/>
      </c>
      <c r="M735" s="148" t="str">
        <f t="shared" si="69"/>
        <v/>
      </c>
    </row>
    <row r="736" spans="1:13" x14ac:dyDescent="0.3">
      <c r="A736" s="149"/>
      <c r="B736" s="149"/>
      <c r="C736" s="149"/>
      <c r="D736" s="149"/>
      <c r="E736" s="149"/>
      <c r="F736" s="149"/>
      <c r="G736" s="162"/>
      <c r="H736" s="146" t="str">
        <f t="shared" si="65"/>
        <v/>
      </c>
      <c r="I736" s="161" t="str">
        <f t="shared" si="66"/>
        <v/>
      </c>
      <c r="J736" s="160" t="str">
        <f>IFERROR(INDEX(下年标准成本!I:I,MATCH(C736,下年标准成本!C:C,0),1),"")</f>
        <v/>
      </c>
      <c r="K736" s="146" t="str">
        <f t="shared" si="67"/>
        <v/>
      </c>
      <c r="L736" s="146" t="str">
        <f t="shared" si="68"/>
        <v/>
      </c>
      <c r="M736" s="148" t="str">
        <f t="shared" si="69"/>
        <v/>
      </c>
    </row>
    <row r="737" spans="1:13" x14ac:dyDescent="0.3">
      <c r="A737" s="149"/>
      <c r="B737" s="149"/>
      <c r="C737" s="149"/>
      <c r="D737" s="149"/>
      <c r="E737" s="149"/>
      <c r="F737" s="149"/>
      <c r="G737" s="162"/>
      <c r="H737" s="146" t="str">
        <f t="shared" si="65"/>
        <v/>
      </c>
      <c r="I737" s="161" t="str">
        <f t="shared" si="66"/>
        <v/>
      </c>
      <c r="J737" s="160" t="str">
        <f>IFERROR(INDEX(下年标准成本!I:I,MATCH(C737,下年标准成本!C:C,0),1),"")</f>
        <v/>
      </c>
      <c r="K737" s="146" t="str">
        <f t="shared" si="67"/>
        <v/>
      </c>
      <c r="L737" s="146" t="str">
        <f t="shared" si="68"/>
        <v/>
      </c>
      <c r="M737" s="148" t="str">
        <f t="shared" si="69"/>
        <v/>
      </c>
    </row>
    <row r="738" spans="1:13" x14ac:dyDescent="0.3">
      <c r="A738" s="149"/>
      <c r="B738" s="149"/>
      <c r="C738" s="149"/>
      <c r="D738" s="149"/>
      <c r="E738" s="149"/>
      <c r="F738" s="149"/>
      <c r="G738" s="162"/>
      <c r="H738" s="146" t="str">
        <f t="shared" si="65"/>
        <v/>
      </c>
      <c r="I738" s="161" t="str">
        <f t="shared" si="66"/>
        <v/>
      </c>
      <c r="J738" s="160" t="str">
        <f>IFERROR(INDEX(下年标准成本!I:I,MATCH(C738,下年标准成本!C:C,0),1),"")</f>
        <v/>
      </c>
      <c r="K738" s="146" t="str">
        <f t="shared" si="67"/>
        <v/>
      </c>
      <c r="L738" s="146" t="str">
        <f t="shared" si="68"/>
        <v/>
      </c>
      <c r="M738" s="148" t="str">
        <f t="shared" si="69"/>
        <v/>
      </c>
    </row>
    <row r="739" spans="1:13" x14ac:dyDescent="0.3">
      <c r="A739" s="149"/>
      <c r="B739" s="149"/>
      <c r="C739" s="149"/>
      <c r="D739" s="149"/>
      <c r="E739" s="149"/>
      <c r="F739" s="149"/>
      <c r="G739" s="162"/>
      <c r="H739" s="146" t="str">
        <f t="shared" si="65"/>
        <v/>
      </c>
      <c r="I739" s="161" t="str">
        <f t="shared" si="66"/>
        <v/>
      </c>
      <c r="J739" s="160" t="str">
        <f>IFERROR(INDEX(下年标准成本!I:I,MATCH(C739,下年标准成本!C:C,0),1),"")</f>
        <v/>
      </c>
      <c r="K739" s="146" t="str">
        <f t="shared" si="67"/>
        <v/>
      </c>
      <c r="L739" s="146" t="str">
        <f t="shared" si="68"/>
        <v/>
      </c>
      <c r="M739" s="148" t="str">
        <f t="shared" si="69"/>
        <v/>
      </c>
    </row>
    <row r="740" spans="1:13" x14ac:dyDescent="0.3">
      <c r="A740" s="149"/>
      <c r="B740" s="149"/>
      <c r="C740" s="149"/>
      <c r="D740" s="149"/>
      <c r="E740" s="149"/>
      <c r="F740" s="149"/>
      <c r="G740" s="162"/>
      <c r="H740" s="146" t="str">
        <f t="shared" si="65"/>
        <v/>
      </c>
      <c r="I740" s="161" t="str">
        <f t="shared" si="66"/>
        <v/>
      </c>
      <c r="J740" s="160" t="str">
        <f>IFERROR(INDEX(下年标准成本!I:I,MATCH(C740,下年标准成本!C:C,0),1),"")</f>
        <v/>
      </c>
      <c r="K740" s="146" t="str">
        <f t="shared" si="67"/>
        <v/>
      </c>
      <c r="L740" s="146" t="str">
        <f t="shared" si="68"/>
        <v/>
      </c>
      <c r="M740" s="148" t="str">
        <f t="shared" si="69"/>
        <v/>
      </c>
    </row>
    <row r="741" spans="1:13" x14ac:dyDescent="0.3">
      <c r="A741" s="149"/>
      <c r="B741" s="149"/>
      <c r="C741" s="149"/>
      <c r="D741" s="149"/>
      <c r="E741" s="149"/>
      <c r="F741" s="149"/>
      <c r="G741" s="162"/>
      <c r="H741" s="146" t="str">
        <f t="shared" si="65"/>
        <v/>
      </c>
      <c r="I741" s="161" t="str">
        <f t="shared" si="66"/>
        <v/>
      </c>
      <c r="J741" s="160" t="str">
        <f>IFERROR(INDEX(下年标准成本!I:I,MATCH(C741,下年标准成本!C:C,0),1),"")</f>
        <v/>
      </c>
      <c r="K741" s="146" t="str">
        <f t="shared" si="67"/>
        <v/>
      </c>
      <c r="L741" s="146" t="str">
        <f t="shared" si="68"/>
        <v/>
      </c>
      <c r="M741" s="148" t="str">
        <f t="shared" si="69"/>
        <v/>
      </c>
    </row>
    <row r="742" spans="1:13" x14ac:dyDescent="0.3">
      <c r="A742" s="149"/>
      <c r="B742" s="149"/>
      <c r="C742" s="149"/>
      <c r="D742" s="149"/>
      <c r="E742" s="149"/>
      <c r="F742" s="149"/>
      <c r="G742" s="162"/>
      <c r="H742" s="146" t="str">
        <f t="shared" si="65"/>
        <v/>
      </c>
      <c r="I742" s="161" t="str">
        <f t="shared" si="66"/>
        <v/>
      </c>
      <c r="J742" s="160" t="str">
        <f>IFERROR(INDEX(下年标准成本!I:I,MATCH(C742,下年标准成本!C:C,0),1),"")</f>
        <v/>
      </c>
      <c r="K742" s="146" t="str">
        <f t="shared" si="67"/>
        <v/>
      </c>
      <c r="L742" s="146" t="str">
        <f t="shared" si="68"/>
        <v/>
      </c>
      <c r="M742" s="148" t="str">
        <f t="shared" si="69"/>
        <v/>
      </c>
    </row>
    <row r="743" spans="1:13" x14ac:dyDescent="0.3">
      <c r="A743" s="149"/>
      <c r="B743" s="149"/>
      <c r="C743" s="149"/>
      <c r="D743" s="149"/>
      <c r="E743" s="149"/>
      <c r="F743" s="149"/>
      <c r="G743" s="162"/>
      <c r="H743" s="146" t="str">
        <f t="shared" si="65"/>
        <v/>
      </c>
      <c r="I743" s="161" t="str">
        <f t="shared" si="66"/>
        <v/>
      </c>
      <c r="J743" s="160" t="str">
        <f>IFERROR(INDEX(下年标准成本!I:I,MATCH(C743,下年标准成本!C:C,0),1),"")</f>
        <v/>
      </c>
      <c r="K743" s="146" t="str">
        <f t="shared" si="67"/>
        <v/>
      </c>
      <c r="L743" s="146" t="str">
        <f t="shared" si="68"/>
        <v/>
      </c>
      <c r="M743" s="148" t="str">
        <f t="shared" si="69"/>
        <v/>
      </c>
    </row>
    <row r="744" spans="1:13" x14ac:dyDescent="0.3">
      <c r="A744" s="149"/>
      <c r="B744" s="149"/>
      <c r="C744" s="149"/>
      <c r="D744" s="149"/>
      <c r="E744" s="149"/>
      <c r="F744" s="149"/>
      <c r="G744" s="162"/>
      <c r="H744" s="146" t="str">
        <f t="shared" si="65"/>
        <v/>
      </c>
      <c r="I744" s="161" t="str">
        <f t="shared" si="66"/>
        <v/>
      </c>
      <c r="J744" s="160" t="str">
        <f>IFERROR(INDEX(下年标准成本!I:I,MATCH(C744,下年标准成本!C:C,0),1),"")</f>
        <v/>
      </c>
      <c r="K744" s="146" t="str">
        <f t="shared" si="67"/>
        <v/>
      </c>
      <c r="L744" s="146" t="str">
        <f t="shared" si="68"/>
        <v/>
      </c>
      <c r="M744" s="148" t="str">
        <f t="shared" si="69"/>
        <v/>
      </c>
    </row>
    <row r="745" spans="1:13" x14ac:dyDescent="0.3">
      <c r="A745" s="149"/>
      <c r="B745" s="149"/>
      <c r="C745" s="149"/>
      <c r="D745" s="149"/>
      <c r="E745" s="149"/>
      <c r="F745" s="149"/>
      <c r="G745" s="162"/>
      <c r="H745" s="146" t="str">
        <f t="shared" si="65"/>
        <v/>
      </c>
      <c r="I745" s="161" t="str">
        <f t="shared" si="66"/>
        <v/>
      </c>
      <c r="J745" s="160" t="str">
        <f>IFERROR(INDEX(下年标准成本!I:I,MATCH(C745,下年标准成本!C:C,0),1),"")</f>
        <v/>
      </c>
      <c r="K745" s="146" t="str">
        <f t="shared" si="67"/>
        <v/>
      </c>
      <c r="L745" s="146" t="str">
        <f t="shared" si="68"/>
        <v/>
      </c>
      <c r="M745" s="148" t="str">
        <f t="shared" si="69"/>
        <v/>
      </c>
    </row>
    <row r="746" spans="1:13" x14ac:dyDescent="0.3">
      <c r="A746" s="149"/>
      <c r="B746" s="149"/>
      <c r="C746" s="149"/>
      <c r="D746" s="149"/>
      <c r="E746" s="149"/>
      <c r="F746" s="149"/>
      <c r="G746" s="162"/>
      <c r="H746" s="146" t="str">
        <f t="shared" si="65"/>
        <v/>
      </c>
      <c r="I746" s="161" t="str">
        <f t="shared" si="66"/>
        <v/>
      </c>
      <c r="J746" s="160" t="str">
        <f>IFERROR(INDEX(下年标准成本!I:I,MATCH(C746,下年标准成本!C:C,0),1),"")</f>
        <v/>
      </c>
      <c r="K746" s="146" t="str">
        <f t="shared" si="67"/>
        <v/>
      </c>
      <c r="L746" s="146" t="str">
        <f t="shared" si="68"/>
        <v/>
      </c>
      <c r="M746" s="148" t="str">
        <f t="shared" si="69"/>
        <v/>
      </c>
    </row>
    <row r="747" spans="1:13" x14ac:dyDescent="0.3">
      <c r="A747" s="149"/>
      <c r="B747" s="149"/>
      <c r="C747" s="149"/>
      <c r="D747" s="149"/>
      <c r="E747" s="149"/>
      <c r="F747" s="149"/>
      <c r="G747" s="162"/>
      <c r="H747" s="146" t="str">
        <f t="shared" si="65"/>
        <v/>
      </c>
      <c r="I747" s="161" t="str">
        <f t="shared" si="66"/>
        <v/>
      </c>
      <c r="J747" s="160" t="str">
        <f>IFERROR(INDEX(下年标准成本!I:I,MATCH(C747,下年标准成本!C:C,0),1),"")</f>
        <v/>
      </c>
      <c r="K747" s="146" t="str">
        <f t="shared" si="67"/>
        <v/>
      </c>
      <c r="L747" s="146" t="str">
        <f t="shared" si="68"/>
        <v/>
      </c>
      <c r="M747" s="148" t="str">
        <f t="shared" si="69"/>
        <v/>
      </c>
    </row>
    <row r="748" spans="1:13" x14ac:dyDescent="0.3">
      <c r="A748" s="149"/>
      <c r="B748" s="149"/>
      <c r="C748" s="149"/>
      <c r="D748" s="149"/>
      <c r="E748" s="149"/>
      <c r="F748" s="149"/>
      <c r="G748" s="162"/>
      <c r="H748" s="146" t="str">
        <f t="shared" si="65"/>
        <v/>
      </c>
      <c r="I748" s="161" t="str">
        <f t="shared" si="66"/>
        <v/>
      </c>
      <c r="J748" s="160" t="str">
        <f>IFERROR(INDEX(下年标准成本!I:I,MATCH(C748,下年标准成本!C:C,0),1),"")</f>
        <v/>
      </c>
      <c r="K748" s="146" t="str">
        <f t="shared" si="67"/>
        <v/>
      </c>
      <c r="L748" s="146" t="str">
        <f t="shared" si="68"/>
        <v/>
      </c>
      <c r="M748" s="148" t="str">
        <f t="shared" si="69"/>
        <v/>
      </c>
    </row>
    <row r="749" spans="1:13" x14ac:dyDescent="0.3">
      <c r="A749" s="149"/>
      <c r="B749" s="149"/>
      <c r="C749" s="149"/>
      <c r="D749" s="149"/>
      <c r="E749" s="149"/>
      <c r="F749" s="149"/>
      <c r="G749" s="162"/>
      <c r="H749" s="146" t="str">
        <f t="shared" si="65"/>
        <v/>
      </c>
      <c r="I749" s="161" t="str">
        <f t="shared" si="66"/>
        <v/>
      </c>
      <c r="J749" s="160" t="str">
        <f>IFERROR(INDEX(下年标准成本!I:I,MATCH(C749,下年标准成本!C:C,0),1),"")</f>
        <v/>
      </c>
      <c r="K749" s="146" t="str">
        <f t="shared" si="67"/>
        <v/>
      </c>
      <c r="L749" s="146" t="str">
        <f t="shared" si="68"/>
        <v/>
      </c>
      <c r="M749" s="148" t="str">
        <f t="shared" si="69"/>
        <v/>
      </c>
    </row>
    <row r="750" spans="1:13" x14ac:dyDescent="0.3">
      <c r="A750" s="149"/>
      <c r="B750" s="149"/>
      <c r="C750" s="149"/>
      <c r="D750" s="149"/>
      <c r="E750" s="149"/>
      <c r="F750" s="149"/>
      <c r="G750" s="162"/>
      <c r="H750" s="146" t="str">
        <f t="shared" si="65"/>
        <v/>
      </c>
      <c r="I750" s="161" t="str">
        <f t="shared" si="66"/>
        <v/>
      </c>
      <c r="J750" s="160" t="str">
        <f>IFERROR(INDEX(下年标准成本!I:I,MATCH(C750,下年标准成本!C:C,0),1),"")</f>
        <v/>
      </c>
      <c r="K750" s="146" t="str">
        <f t="shared" si="67"/>
        <v/>
      </c>
      <c r="L750" s="146" t="str">
        <f t="shared" si="68"/>
        <v/>
      </c>
      <c r="M750" s="148" t="str">
        <f t="shared" si="69"/>
        <v/>
      </c>
    </row>
    <row r="751" spans="1:13" x14ac:dyDescent="0.3">
      <c r="A751" s="149"/>
      <c r="B751" s="149"/>
      <c r="C751" s="149"/>
      <c r="D751" s="149"/>
      <c r="E751" s="149"/>
      <c r="F751" s="149"/>
      <c r="G751" s="162"/>
      <c r="H751" s="146" t="str">
        <f t="shared" si="65"/>
        <v/>
      </c>
      <c r="I751" s="161" t="str">
        <f t="shared" si="66"/>
        <v/>
      </c>
      <c r="J751" s="160" t="str">
        <f>IFERROR(INDEX(下年标准成本!I:I,MATCH(C751,下年标准成本!C:C,0),1),"")</f>
        <v/>
      </c>
      <c r="K751" s="146" t="str">
        <f t="shared" si="67"/>
        <v/>
      </c>
      <c r="L751" s="146" t="str">
        <f t="shared" si="68"/>
        <v/>
      </c>
      <c r="M751" s="148" t="str">
        <f t="shared" si="69"/>
        <v/>
      </c>
    </row>
    <row r="752" spans="1:13" x14ac:dyDescent="0.3">
      <c r="A752" s="149"/>
      <c r="B752" s="149"/>
      <c r="C752" s="149"/>
      <c r="D752" s="149"/>
      <c r="E752" s="149"/>
      <c r="F752" s="149"/>
      <c r="G752" s="162"/>
      <c r="H752" s="146" t="str">
        <f t="shared" si="65"/>
        <v/>
      </c>
      <c r="I752" s="161" t="str">
        <f t="shared" si="66"/>
        <v/>
      </c>
      <c r="J752" s="160" t="str">
        <f>IFERROR(INDEX(下年标准成本!I:I,MATCH(C752,下年标准成本!C:C,0),1),"")</f>
        <v/>
      </c>
      <c r="K752" s="146" t="str">
        <f t="shared" si="67"/>
        <v/>
      </c>
      <c r="L752" s="146" t="str">
        <f t="shared" si="68"/>
        <v/>
      </c>
      <c r="M752" s="148" t="str">
        <f t="shared" si="69"/>
        <v/>
      </c>
    </row>
    <row r="753" spans="1:13" x14ac:dyDescent="0.3">
      <c r="A753" s="149"/>
      <c r="B753" s="149"/>
      <c r="C753" s="149"/>
      <c r="D753" s="149"/>
      <c r="E753" s="149"/>
      <c r="F753" s="149"/>
      <c r="G753" s="162"/>
      <c r="H753" s="146" t="str">
        <f t="shared" si="65"/>
        <v/>
      </c>
      <c r="I753" s="161" t="str">
        <f t="shared" si="66"/>
        <v/>
      </c>
      <c r="J753" s="160" t="str">
        <f>IFERROR(INDEX(下年标准成本!I:I,MATCH(C753,下年标准成本!C:C,0),1),"")</f>
        <v/>
      </c>
      <c r="K753" s="146" t="str">
        <f t="shared" si="67"/>
        <v/>
      </c>
      <c r="L753" s="146" t="str">
        <f t="shared" si="68"/>
        <v/>
      </c>
      <c r="M753" s="148" t="str">
        <f t="shared" si="69"/>
        <v/>
      </c>
    </row>
    <row r="754" spans="1:13" x14ac:dyDescent="0.3">
      <c r="A754" s="149"/>
      <c r="B754" s="149"/>
      <c r="C754" s="149"/>
      <c r="D754" s="149"/>
      <c r="E754" s="149"/>
      <c r="F754" s="149"/>
      <c r="G754" s="162"/>
      <c r="H754" s="146" t="str">
        <f t="shared" si="65"/>
        <v/>
      </c>
      <c r="I754" s="161" t="str">
        <f t="shared" si="66"/>
        <v/>
      </c>
      <c r="J754" s="160" t="str">
        <f>IFERROR(INDEX(下年标准成本!I:I,MATCH(C754,下年标准成本!C:C,0),1),"")</f>
        <v/>
      </c>
      <c r="K754" s="146" t="str">
        <f t="shared" si="67"/>
        <v/>
      </c>
      <c r="L754" s="146" t="str">
        <f t="shared" si="68"/>
        <v/>
      </c>
      <c r="M754" s="148" t="str">
        <f t="shared" si="69"/>
        <v/>
      </c>
    </row>
    <row r="755" spans="1:13" x14ac:dyDescent="0.3">
      <c r="A755" s="149"/>
      <c r="B755" s="149"/>
      <c r="C755" s="149"/>
      <c r="D755" s="149"/>
      <c r="E755" s="149"/>
      <c r="F755" s="149"/>
      <c r="G755" s="162"/>
      <c r="H755" s="146" t="str">
        <f t="shared" si="65"/>
        <v/>
      </c>
      <c r="I755" s="161" t="str">
        <f t="shared" si="66"/>
        <v/>
      </c>
      <c r="J755" s="160" t="str">
        <f>IFERROR(INDEX(下年标准成本!I:I,MATCH(C755,下年标准成本!C:C,0),1),"")</f>
        <v/>
      </c>
      <c r="K755" s="146" t="str">
        <f t="shared" si="67"/>
        <v/>
      </c>
      <c r="L755" s="146" t="str">
        <f t="shared" si="68"/>
        <v/>
      </c>
      <c r="M755" s="148" t="str">
        <f t="shared" si="69"/>
        <v/>
      </c>
    </row>
    <row r="756" spans="1:13" x14ac:dyDescent="0.3">
      <c r="A756" s="149"/>
      <c r="B756" s="149"/>
      <c r="C756" s="149"/>
      <c r="D756" s="149"/>
      <c r="E756" s="149"/>
      <c r="F756" s="149"/>
      <c r="G756" s="162"/>
      <c r="H756" s="146" t="str">
        <f t="shared" si="65"/>
        <v/>
      </c>
      <c r="I756" s="161" t="str">
        <f t="shared" si="66"/>
        <v/>
      </c>
      <c r="J756" s="160" t="str">
        <f>IFERROR(INDEX(下年标准成本!I:I,MATCH(C756,下年标准成本!C:C,0),1),"")</f>
        <v/>
      </c>
      <c r="K756" s="146" t="str">
        <f t="shared" si="67"/>
        <v/>
      </c>
      <c r="L756" s="146" t="str">
        <f t="shared" si="68"/>
        <v/>
      </c>
      <c r="M756" s="148" t="str">
        <f t="shared" si="69"/>
        <v/>
      </c>
    </row>
    <row r="757" spans="1:13" x14ac:dyDescent="0.3">
      <c r="A757" s="149"/>
      <c r="B757" s="149"/>
      <c r="C757" s="149"/>
      <c r="D757" s="149"/>
      <c r="E757" s="149"/>
      <c r="F757" s="149"/>
      <c r="G757" s="162"/>
      <c r="H757" s="146" t="str">
        <f t="shared" si="65"/>
        <v/>
      </c>
      <c r="I757" s="161" t="str">
        <f t="shared" si="66"/>
        <v/>
      </c>
      <c r="J757" s="160" t="str">
        <f>IFERROR(INDEX(下年标准成本!I:I,MATCH(C757,下年标准成本!C:C,0),1),"")</f>
        <v/>
      </c>
      <c r="K757" s="146" t="str">
        <f t="shared" si="67"/>
        <v/>
      </c>
      <c r="L757" s="146" t="str">
        <f t="shared" si="68"/>
        <v/>
      </c>
      <c r="M757" s="148" t="str">
        <f t="shared" si="69"/>
        <v/>
      </c>
    </row>
    <row r="758" spans="1:13" x14ac:dyDescent="0.3">
      <c r="A758" s="149"/>
      <c r="B758" s="149"/>
      <c r="C758" s="149"/>
      <c r="D758" s="149"/>
      <c r="E758" s="149"/>
      <c r="F758" s="149"/>
      <c r="G758" s="162"/>
      <c r="H758" s="146" t="str">
        <f t="shared" si="65"/>
        <v/>
      </c>
      <c r="I758" s="161" t="str">
        <f t="shared" si="66"/>
        <v/>
      </c>
      <c r="J758" s="160" t="str">
        <f>IFERROR(INDEX(下年标准成本!I:I,MATCH(C758,下年标准成本!C:C,0),1),"")</f>
        <v/>
      </c>
      <c r="K758" s="146" t="str">
        <f t="shared" si="67"/>
        <v/>
      </c>
      <c r="L758" s="146" t="str">
        <f t="shared" si="68"/>
        <v/>
      </c>
      <c r="M758" s="148" t="str">
        <f t="shared" si="69"/>
        <v/>
      </c>
    </row>
    <row r="759" spans="1:13" x14ac:dyDescent="0.3">
      <c r="A759" s="149"/>
      <c r="B759" s="149"/>
      <c r="C759" s="149"/>
      <c r="D759" s="149"/>
      <c r="E759" s="149"/>
      <c r="F759" s="149"/>
      <c r="G759" s="162"/>
      <c r="H759" s="146" t="str">
        <f t="shared" si="65"/>
        <v/>
      </c>
      <c r="I759" s="161" t="str">
        <f t="shared" si="66"/>
        <v/>
      </c>
      <c r="J759" s="160" t="str">
        <f>IFERROR(INDEX(下年标准成本!I:I,MATCH(C759,下年标准成本!C:C,0),1),"")</f>
        <v/>
      </c>
      <c r="K759" s="146" t="str">
        <f t="shared" si="67"/>
        <v/>
      </c>
      <c r="L759" s="146" t="str">
        <f t="shared" si="68"/>
        <v/>
      </c>
      <c r="M759" s="148" t="str">
        <f t="shared" si="69"/>
        <v/>
      </c>
    </row>
    <row r="760" spans="1:13" x14ac:dyDescent="0.3">
      <c r="A760" s="149"/>
      <c r="B760" s="149"/>
      <c r="C760" s="149"/>
      <c r="D760" s="149"/>
      <c r="E760" s="149"/>
      <c r="F760" s="149"/>
      <c r="G760" s="162"/>
      <c r="H760" s="146" t="str">
        <f t="shared" si="65"/>
        <v/>
      </c>
      <c r="I760" s="161" t="str">
        <f t="shared" si="66"/>
        <v/>
      </c>
      <c r="J760" s="160" t="str">
        <f>IFERROR(INDEX(下年标准成本!I:I,MATCH(C760,下年标准成本!C:C,0),1),"")</f>
        <v/>
      </c>
      <c r="K760" s="146" t="str">
        <f t="shared" si="67"/>
        <v/>
      </c>
      <c r="L760" s="146" t="str">
        <f t="shared" si="68"/>
        <v/>
      </c>
      <c r="M760" s="148" t="str">
        <f t="shared" si="69"/>
        <v/>
      </c>
    </row>
    <row r="761" spans="1:13" x14ac:dyDescent="0.3">
      <c r="A761" s="149"/>
      <c r="B761" s="149"/>
      <c r="C761" s="149"/>
      <c r="D761" s="149"/>
      <c r="E761" s="149"/>
      <c r="F761" s="149"/>
      <c r="G761" s="162"/>
      <c r="H761" s="146" t="str">
        <f t="shared" si="65"/>
        <v/>
      </c>
      <c r="I761" s="161" t="str">
        <f t="shared" si="66"/>
        <v/>
      </c>
      <c r="J761" s="160" t="str">
        <f>IFERROR(INDEX(下年标准成本!I:I,MATCH(C761,下年标准成本!C:C,0),1),"")</f>
        <v/>
      </c>
      <c r="K761" s="146" t="str">
        <f t="shared" si="67"/>
        <v/>
      </c>
      <c r="L761" s="146" t="str">
        <f t="shared" si="68"/>
        <v/>
      </c>
      <c r="M761" s="148" t="str">
        <f t="shared" si="69"/>
        <v/>
      </c>
    </row>
    <row r="762" spans="1:13" x14ac:dyDescent="0.3">
      <c r="A762" s="149"/>
      <c r="B762" s="149"/>
      <c r="C762" s="149"/>
      <c r="D762" s="149"/>
      <c r="E762" s="149"/>
      <c r="F762" s="149"/>
      <c r="G762" s="162"/>
      <c r="H762" s="146" t="str">
        <f t="shared" si="65"/>
        <v/>
      </c>
      <c r="I762" s="161" t="str">
        <f t="shared" si="66"/>
        <v/>
      </c>
      <c r="J762" s="160" t="str">
        <f>IFERROR(INDEX(下年标准成本!I:I,MATCH(C762,下年标准成本!C:C,0),1),"")</f>
        <v/>
      </c>
      <c r="K762" s="146" t="str">
        <f t="shared" si="67"/>
        <v/>
      </c>
      <c r="L762" s="146" t="str">
        <f t="shared" si="68"/>
        <v/>
      </c>
      <c r="M762" s="148" t="str">
        <f t="shared" si="69"/>
        <v/>
      </c>
    </row>
    <row r="763" spans="1:13" x14ac:dyDescent="0.3">
      <c r="A763" s="149"/>
      <c r="B763" s="149"/>
      <c r="C763" s="149"/>
      <c r="D763" s="149"/>
      <c r="E763" s="149"/>
      <c r="F763" s="149"/>
      <c r="G763" s="162"/>
      <c r="H763" s="146" t="str">
        <f t="shared" si="65"/>
        <v/>
      </c>
      <c r="I763" s="161" t="str">
        <f t="shared" si="66"/>
        <v/>
      </c>
      <c r="J763" s="160" t="str">
        <f>IFERROR(INDEX(下年标准成本!I:I,MATCH(C763,下年标准成本!C:C,0),1),"")</f>
        <v/>
      </c>
      <c r="K763" s="146" t="str">
        <f t="shared" si="67"/>
        <v/>
      </c>
      <c r="L763" s="146" t="str">
        <f t="shared" si="68"/>
        <v/>
      </c>
      <c r="M763" s="148" t="str">
        <f t="shared" si="69"/>
        <v/>
      </c>
    </row>
    <row r="764" spans="1:13" x14ac:dyDescent="0.3">
      <c r="A764" s="149"/>
      <c r="B764" s="149"/>
      <c r="C764" s="149"/>
      <c r="D764" s="149"/>
      <c r="E764" s="149"/>
      <c r="F764" s="149"/>
      <c r="G764" s="162"/>
      <c r="H764" s="146" t="str">
        <f t="shared" si="65"/>
        <v/>
      </c>
      <c r="I764" s="161" t="str">
        <f t="shared" si="66"/>
        <v/>
      </c>
      <c r="J764" s="160" t="str">
        <f>IFERROR(INDEX(下年标准成本!I:I,MATCH(C764,下年标准成本!C:C,0),1),"")</f>
        <v/>
      </c>
      <c r="K764" s="146" t="str">
        <f t="shared" si="67"/>
        <v/>
      </c>
      <c r="L764" s="146" t="str">
        <f t="shared" si="68"/>
        <v/>
      </c>
      <c r="M764" s="148" t="str">
        <f t="shared" si="69"/>
        <v/>
      </c>
    </row>
    <row r="765" spans="1:13" x14ac:dyDescent="0.3">
      <c r="A765" s="149"/>
      <c r="B765" s="149"/>
      <c r="C765" s="149"/>
      <c r="D765" s="149"/>
      <c r="E765" s="149"/>
      <c r="F765" s="149"/>
      <c r="G765" s="162"/>
      <c r="H765" s="146" t="str">
        <f t="shared" si="65"/>
        <v/>
      </c>
      <c r="I765" s="161" t="str">
        <f t="shared" si="66"/>
        <v/>
      </c>
      <c r="J765" s="160" t="str">
        <f>IFERROR(INDEX(下年标准成本!I:I,MATCH(C765,下年标准成本!C:C,0),1),"")</f>
        <v/>
      </c>
      <c r="K765" s="146" t="str">
        <f t="shared" si="67"/>
        <v/>
      </c>
      <c r="L765" s="146" t="str">
        <f t="shared" si="68"/>
        <v/>
      </c>
      <c r="M765" s="148" t="str">
        <f t="shared" si="69"/>
        <v/>
      </c>
    </row>
    <row r="766" spans="1:13" x14ac:dyDescent="0.3">
      <c r="A766" s="149"/>
      <c r="B766" s="149"/>
      <c r="C766" s="149"/>
      <c r="D766" s="149"/>
      <c r="E766" s="149"/>
      <c r="F766" s="149"/>
      <c r="G766" s="162"/>
      <c r="H766" s="146" t="str">
        <f t="shared" si="65"/>
        <v/>
      </c>
      <c r="I766" s="161" t="str">
        <f t="shared" si="66"/>
        <v/>
      </c>
      <c r="J766" s="160" t="str">
        <f>IFERROR(INDEX(下年标准成本!I:I,MATCH(C766,下年标准成本!C:C,0),1),"")</f>
        <v/>
      </c>
      <c r="K766" s="146" t="str">
        <f t="shared" si="67"/>
        <v/>
      </c>
      <c r="L766" s="146" t="str">
        <f t="shared" si="68"/>
        <v/>
      </c>
      <c r="M766" s="148" t="str">
        <f t="shared" si="69"/>
        <v/>
      </c>
    </row>
    <row r="767" spans="1:13" x14ac:dyDescent="0.3">
      <c r="A767" s="149"/>
      <c r="B767" s="149"/>
      <c r="C767" s="149"/>
      <c r="D767" s="149"/>
      <c r="E767" s="149"/>
      <c r="F767" s="149"/>
      <c r="G767" s="162"/>
      <c r="H767" s="146" t="str">
        <f t="shared" si="65"/>
        <v/>
      </c>
      <c r="I767" s="161" t="str">
        <f t="shared" si="66"/>
        <v/>
      </c>
      <c r="J767" s="160" t="str">
        <f>IFERROR(INDEX(下年标准成本!I:I,MATCH(C767,下年标准成本!C:C,0),1),"")</f>
        <v/>
      </c>
      <c r="K767" s="146" t="str">
        <f t="shared" si="67"/>
        <v/>
      </c>
      <c r="L767" s="146" t="str">
        <f t="shared" si="68"/>
        <v/>
      </c>
      <c r="M767" s="148" t="str">
        <f t="shared" si="69"/>
        <v/>
      </c>
    </row>
    <row r="768" spans="1:13" x14ac:dyDescent="0.3">
      <c r="A768" s="149"/>
      <c r="B768" s="149"/>
      <c r="C768" s="149"/>
      <c r="D768" s="149"/>
      <c r="E768" s="149"/>
      <c r="F768" s="149"/>
      <c r="G768" s="162"/>
      <c r="H768" s="146" t="str">
        <f t="shared" si="65"/>
        <v/>
      </c>
      <c r="I768" s="161" t="str">
        <f t="shared" si="66"/>
        <v/>
      </c>
      <c r="J768" s="160" t="str">
        <f>IFERROR(INDEX(下年标准成本!I:I,MATCH(C768,下年标准成本!C:C,0),1),"")</f>
        <v/>
      </c>
      <c r="K768" s="146" t="str">
        <f t="shared" si="67"/>
        <v/>
      </c>
      <c r="L768" s="146" t="str">
        <f t="shared" si="68"/>
        <v/>
      </c>
      <c r="M768" s="148" t="str">
        <f t="shared" si="69"/>
        <v/>
      </c>
    </row>
    <row r="769" spans="1:13" x14ac:dyDescent="0.3">
      <c r="A769" s="149"/>
      <c r="B769" s="149"/>
      <c r="C769" s="149"/>
      <c r="D769" s="149"/>
      <c r="E769" s="149"/>
      <c r="F769" s="149"/>
      <c r="G769" s="162"/>
      <c r="H769" s="146" t="str">
        <f t="shared" si="65"/>
        <v/>
      </c>
      <c r="I769" s="161" t="str">
        <f t="shared" si="66"/>
        <v/>
      </c>
      <c r="J769" s="160" t="str">
        <f>IFERROR(INDEX(下年标准成本!I:I,MATCH(C769,下年标准成本!C:C,0),1),"")</f>
        <v/>
      </c>
      <c r="K769" s="146" t="str">
        <f t="shared" si="67"/>
        <v/>
      </c>
      <c r="L769" s="146" t="str">
        <f t="shared" si="68"/>
        <v/>
      </c>
      <c r="M769" s="148" t="str">
        <f t="shared" si="69"/>
        <v/>
      </c>
    </row>
    <row r="770" spans="1:13" x14ac:dyDescent="0.3">
      <c r="A770" s="149"/>
      <c r="B770" s="149"/>
      <c r="C770" s="149"/>
      <c r="D770" s="149"/>
      <c r="E770" s="149"/>
      <c r="F770" s="149"/>
      <c r="G770" s="162"/>
      <c r="H770" s="146" t="str">
        <f t="shared" si="65"/>
        <v/>
      </c>
      <c r="I770" s="161" t="str">
        <f t="shared" si="66"/>
        <v/>
      </c>
      <c r="J770" s="160" t="str">
        <f>IFERROR(INDEX(下年标准成本!I:I,MATCH(C770,下年标准成本!C:C,0),1),"")</f>
        <v/>
      </c>
      <c r="K770" s="146" t="str">
        <f t="shared" si="67"/>
        <v/>
      </c>
      <c r="L770" s="146" t="str">
        <f t="shared" si="68"/>
        <v/>
      </c>
      <c r="M770" s="148" t="str">
        <f t="shared" si="69"/>
        <v/>
      </c>
    </row>
    <row r="771" spans="1:13" x14ac:dyDescent="0.3">
      <c r="A771" s="149"/>
      <c r="B771" s="149"/>
      <c r="C771" s="149"/>
      <c r="D771" s="149"/>
      <c r="E771" s="149"/>
      <c r="F771" s="149"/>
      <c r="G771" s="162"/>
      <c r="H771" s="146" t="str">
        <f t="shared" si="65"/>
        <v/>
      </c>
      <c r="I771" s="161" t="str">
        <f t="shared" si="66"/>
        <v/>
      </c>
      <c r="J771" s="160" t="str">
        <f>IFERROR(INDEX(下年标准成本!I:I,MATCH(C771,下年标准成本!C:C,0),1),"")</f>
        <v/>
      </c>
      <c r="K771" s="146" t="str">
        <f t="shared" si="67"/>
        <v/>
      </c>
      <c r="L771" s="146" t="str">
        <f t="shared" si="68"/>
        <v/>
      </c>
      <c r="M771" s="148" t="str">
        <f t="shared" si="69"/>
        <v/>
      </c>
    </row>
    <row r="772" spans="1:13" x14ac:dyDescent="0.3">
      <c r="A772" s="149"/>
      <c r="B772" s="149"/>
      <c r="C772" s="149"/>
      <c r="D772" s="149"/>
      <c r="E772" s="149"/>
      <c r="F772" s="149"/>
      <c r="G772" s="162"/>
      <c r="H772" s="146" t="str">
        <f t="shared" si="65"/>
        <v/>
      </c>
      <c r="I772" s="161" t="str">
        <f t="shared" si="66"/>
        <v/>
      </c>
      <c r="J772" s="160" t="str">
        <f>IFERROR(INDEX(下年标准成本!I:I,MATCH(C772,下年标准成本!C:C,0),1),"")</f>
        <v/>
      </c>
      <c r="K772" s="146" t="str">
        <f t="shared" si="67"/>
        <v/>
      </c>
      <c r="L772" s="146" t="str">
        <f t="shared" si="68"/>
        <v/>
      </c>
      <c r="M772" s="148" t="str">
        <f t="shared" si="69"/>
        <v/>
      </c>
    </row>
    <row r="773" spans="1:13" x14ac:dyDescent="0.3">
      <c r="A773" s="149"/>
      <c r="B773" s="149"/>
      <c r="C773" s="149"/>
      <c r="D773" s="149"/>
      <c r="E773" s="149"/>
      <c r="F773" s="149"/>
      <c r="G773" s="162"/>
      <c r="H773" s="146" t="str">
        <f t="shared" si="65"/>
        <v/>
      </c>
      <c r="I773" s="161" t="str">
        <f t="shared" si="66"/>
        <v/>
      </c>
      <c r="J773" s="160" t="str">
        <f>IFERROR(INDEX(下年标准成本!I:I,MATCH(C773,下年标准成本!C:C,0),1),"")</f>
        <v/>
      </c>
      <c r="K773" s="146" t="str">
        <f t="shared" si="67"/>
        <v/>
      </c>
      <c r="L773" s="146" t="str">
        <f t="shared" si="68"/>
        <v/>
      </c>
      <c r="M773" s="148" t="str">
        <f t="shared" si="69"/>
        <v/>
      </c>
    </row>
    <row r="774" spans="1:13" x14ac:dyDescent="0.3">
      <c r="A774" s="149"/>
      <c r="B774" s="149"/>
      <c r="C774" s="149"/>
      <c r="D774" s="149"/>
      <c r="E774" s="149"/>
      <c r="F774" s="149"/>
      <c r="G774" s="162"/>
      <c r="H774" s="146" t="str">
        <f t="shared" si="65"/>
        <v/>
      </c>
      <c r="I774" s="161" t="str">
        <f t="shared" si="66"/>
        <v/>
      </c>
      <c r="J774" s="160" t="str">
        <f>IFERROR(INDEX(下年标准成本!I:I,MATCH(C774,下年标准成本!C:C,0),1),"")</f>
        <v/>
      </c>
      <c r="K774" s="146" t="str">
        <f t="shared" si="67"/>
        <v/>
      </c>
      <c r="L774" s="146" t="str">
        <f t="shared" si="68"/>
        <v/>
      </c>
      <c r="M774" s="148" t="str">
        <f t="shared" si="69"/>
        <v/>
      </c>
    </row>
    <row r="775" spans="1:13" x14ac:dyDescent="0.3">
      <c r="A775" s="149"/>
      <c r="B775" s="149"/>
      <c r="C775" s="149"/>
      <c r="D775" s="149"/>
      <c r="E775" s="149"/>
      <c r="F775" s="149"/>
      <c r="G775" s="162"/>
      <c r="H775" s="146" t="str">
        <f t="shared" si="65"/>
        <v/>
      </c>
      <c r="I775" s="161" t="str">
        <f t="shared" si="66"/>
        <v/>
      </c>
      <c r="J775" s="160" t="str">
        <f>IFERROR(INDEX(下年标准成本!I:I,MATCH(C775,下年标准成本!C:C,0),1),"")</f>
        <v/>
      </c>
      <c r="K775" s="146" t="str">
        <f t="shared" si="67"/>
        <v/>
      </c>
      <c r="L775" s="146" t="str">
        <f t="shared" si="68"/>
        <v/>
      </c>
      <c r="M775" s="148" t="str">
        <f t="shared" si="69"/>
        <v/>
      </c>
    </row>
    <row r="776" spans="1:13" x14ac:dyDescent="0.3">
      <c r="A776" s="149"/>
      <c r="B776" s="149"/>
      <c r="C776" s="149"/>
      <c r="D776" s="149"/>
      <c r="E776" s="149"/>
      <c r="F776" s="149"/>
      <c r="G776" s="162"/>
      <c r="H776" s="146" t="str">
        <f t="shared" si="65"/>
        <v/>
      </c>
      <c r="I776" s="161" t="str">
        <f t="shared" si="66"/>
        <v/>
      </c>
      <c r="J776" s="160" t="str">
        <f>IFERROR(INDEX(下年标准成本!I:I,MATCH(C776,下年标准成本!C:C,0),1),"")</f>
        <v/>
      </c>
      <c r="K776" s="146" t="str">
        <f t="shared" si="67"/>
        <v/>
      </c>
      <c r="L776" s="146" t="str">
        <f t="shared" si="68"/>
        <v/>
      </c>
      <c r="M776" s="148" t="str">
        <f t="shared" si="69"/>
        <v/>
      </c>
    </row>
    <row r="777" spans="1:13" x14ac:dyDescent="0.3">
      <c r="A777" s="149"/>
      <c r="B777" s="149"/>
      <c r="C777" s="149"/>
      <c r="D777" s="149"/>
      <c r="E777" s="149"/>
      <c r="F777" s="149"/>
      <c r="G777" s="162"/>
      <c r="H777" s="146" t="str">
        <f t="shared" si="65"/>
        <v/>
      </c>
      <c r="I777" s="161" t="str">
        <f t="shared" si="66"/>
        <v/>
      </c>
      <c r="J777" s="160" t="str">
        <f>IFERROR(INDEX(下年标准成本!I:I,MATCH(C777,下年标准成本!C:C,0),1),"")</f>
        <v/>
      </c>
      <c r="K777" s="146" t="str">
        <f t="shared" si="67"/>
        <v/>
      </c>
      <c r="L777" s="146" t="str">
        <f t="shared" si="68"/>
        <v/>
      </c>
      <c r="M777" s="148" t="str">
        <f t="shared" si="69"/>
        <v/>
      </c>
    </row>
    <row r="778" spans="1:13" x14ac:dyDescent="0.3">
      <c r="A778" s="149"/>
      <c r="B778" s="149"/>
      <c r="C778" s="149"/>
      <c r="D778" s="149"/>
      <c r="E778" s="149"/>
      <c r="F778" s="149"/>
      <c r="G778" s="162"/>
      <c r="H778" s="146" t="str">
        <f t="shared" ref="H778:H841" si="70">IFERROR(F778/E778,"")</f>
        <v/>
      </c>
      <c r="I778" s="161" t="str">
        <f t="shared" ref="I778:I841" si="71">IFERROR(H778*(1+G778),"")</f>
        <v/>
      </c>
      <c r="J778" s="160" t="str">
        <f>IFERROR(INDEX(下年标准成本!I:I,MATCH(C778,下年标准成本!C:C,0),1),"")</f>
        <v/>
      </c>
      <c r="K778" s="146" t="str">
        <f t="shared" ref="K778:K841" si="72">IFERROR(E778*J778,"")</f>
        <v/>
      </c>
      <c r="L778" s="146" t="str">
        <f t="shared" ref="L778:L841" si="73">IFERROR(F778-K778,"")</f>
        <v/>
      </c>
      <c r="M778" s="148" t="str">
        <f t="shared" ref="M778:M841" si="74">IFERROR(L778/F778,"")</f>
        <v/>
      </c>
    </row>
    <row r="779" spans="1:13" x14ac:dyDescent="0.3">
      <c r="A779" s="149"/>
      <c r="B779" s="149"/>
      <c r="C779" s="149"/>
      <c r="D779" s="149"/>
      <c r="E779" s="149"/>
      <c r="F779" s="149"/>
      <c r="G779" s="162"/>
      <c r="H779" s="146" t="str">
        <f t="shared" si="70"/>
        <v/>
      </c>
      <c r="I779" s="161" t="str">
        <f t="shared" si="71"/>
        <v/>
      </c>
      <c r="J779" s="160" t="str">
        <f>IFERROR(INDEX(下年标准成本!I:I,MATCH(C779,下年标准成本!C:C,0),1),"")</f>
        <v/>
      </c>
      <c r="K779" s="146" t="str">
        <f t="shared" si="72"/>
        <v/>
      </c>
      <c r="L779" s="146" t="str">
        <f t="shared" si="73"/>
        <v/>
      </c>
      <c r="M779" s="148" t="str">
        <f t="shared" si="74"/>
        <v/>
      </c>
    </row>
    <row r="780" spans="1:13" x14ac:dyDescent="0.3">
      <c r="A780" s="149"/>
      <c r="B780" s="149"/>
      <c r="C780" s="149"/>
      <c r="D780" s="149"/>
      <c r="E780" s="149"/>
      <c r="F780" s="149"/>
      <c r="G780" s="162"/>
      <c r="H780" s="146" t="str">
        <f t="shared" si="70"/>
        <v/>
      </c>
      <c r="I780" s="161" t="str">
        <f t="shared" si="71"/>
        <v/>
      </c>
      <c r="J780" s="160" t="str">
        <f>IFERROR(INDEX(下年标准成本!I:I,MATCH(C780,下年标准成本!C:C,0),1),"")</f>
        <v/>
      </c>
      <c r="K780" s="146" t="str">
        <f t="shared" si="72"/>
        <v/>
      </c>
      <c r="L780" s="146" t="str">
        <f t="shared" si="73"/>
        <v/>
      </c>
      <c r="M780" s="148" t="str">
        <f t="shared" si="74"/>
        <v/>
      </c>
    </row>
    <row r="781" spans="1:13" x14ac:dyDescent="0.3">
      <c r="A781" s="149"/>
      <c r="B781" s="149"/>
      <c r="C781" s="149"/>
      <c r="D781" s="149"/>
      <c r="E781" s="149"/>
      <c r="F781" s="149"/>
      <c r="G781" s="162"/>
      <c r="H781" s="146" t="str">
        <f t="shared" si="70"/>
        <v/>
      </c>
      <c r="I781" s="161" t="str">
        <f t="shared" si="71"/>
        <v/>
      </c>
      <c r="J781" s="160" t="str">
        <f>IFERROR(INDEX(下年标准成本!I:I,MATCH(C781,下年标准成本!C:C,0),1),"")</f>
        <v/>
      </c>
      <c r="K781" s="146" t="str">
        <f t="shared" si="72"/>
        <v/>
      </c>
      <c r="L781" s="146" t="str">
        <f t="shared" si="73"/>
        <v/>
      </c>
      <c r="M781" s="148" t="str">
        <f t="shared" si="74"/>
        <v/>
      </c>
    </row>
    <row r="782" spans="1:13" x14ac:dyDescent="0.3">
      <c r="A782" s="149"/>
      <c r="B782" s="149"/>
      <c r="C782" s="149"/>
      <c r="D782" s="149"/>
      <c r="E782" s="149"/>
      <c r="F782" s="149"/>
      <c r="G782" s="162"/>
      <c r="H782" s="146" t="str">
        <f t="shared" si="70"/>
        <v/>
      </c>
      <c r="I782" s="161" t="str">
        <f t="shared" si="71"/>
        <v/>
      </c>
      <c r="J782" s="160" t="str">
        <f>IFERROR(INDEX(下年标准成本!I:I,MATCH(C782,下年标准成本!C:C,0),1),"")</f>
        <v/>
      </c>
      <c r="K782" s="146" t="str">
        <f t="shared" si="72"/>
        <v/>
      </c>
      <c r="L782" s="146" t="str">
        <f t="shared" si="73"/>
        <v/>
      </c>
      <c r="M782" s="148" t="str">
        <f t="shared" si="74"/>
        <v/>
      </c>
    </row>
    <row r="783" spans="1:13" x14ac:dyDescent="0.3">
      <c r="A783" s="149"/>
      <c r="B783" s="149"/>
      <c r="C783" s="149"/>
      <c r="D783" s="149"/>
      <c r="E783" s="149"/>
      <c r="F783" s="149"/>
      <c r="G783" s="162"/>
      <c r="H783" s="146" t="str">
        <f t="shared" si="70"/>
        <v/>
      </c>
      <c r="I783" s="161" t="str">
        <f t="shared" si="71"/>
        <v/>
      </c>
      <c r="J783" s="160" t="str">
        <f>IFERROR(INDEX(下年标准成本!I:I,MATCH(C783,下年标准成本!C:C,0),1),"")</f>
        <v/>
      </c>
      <c r="K783" s="146" t="str">
        <f t="shared" si="72"/>
        <v/>
      </c>
      <c r="L783" s="146" t="str">
        <f t="shared" si="73"/>
        <v/>
      </c>
      <c r="M783" s="148" t="str">
        <f t="shared" si="74"/>
        <v/>
      </c>
    </row>
    <row r="784" spans="1:13" x14ac:dyDescent="0.3">
      <c r="A784" s="149"/>
      <c r="B784" s="149"/>
      <c r="C784" s="149"/>
      <c r="D784" s="149"/>
      <c r="E784" s="149"/>
      <c r="F784" s="149"/>
      <c r="G784" s="162"/>
      <c r="H784" s="146" t="str">
        <f t="shared" si="70"/>
        <v/>
      </c>
      <c r="I784" s="161" t="str">
        <f t="shared" si="71"/>
        <v/>
      </c>
      <c r="J784" s="160" t="str">
        <f>IFERROR(INDEX(下年标准成本!I:I,MATCH(C784,下年标准成本!C:C,0),1),"")</f>
        <v/>
      </c>
      <c r="K784" s="146" t="str">
        <f t="shared" si="72"/>
        <v/>
      </c>
      <c r="L784" s="146" t="str">
        <f t="shared" si="73"/>
        <v/>
      </c>
      <c r="M784" s="148" t="str">
        <f t="shared" si="74"/>
        <v/>
      </c>
    </row>
    <row r="785" spans="1:13" x14ac:dyDescent="0.3">
      <c r="A785" s="149"/>
      <c r="B785" s="149"/>
      <c r="C785" s="149"/>
      <c r="D785" s="149"/>
      <c r="E785" s="149"/>
      <c r="F785" s="149"/>
      <c r="G785" s="162"/>
      <c r="H785" s="146" t="str">
        <f t="shared" si="70"/>
        <v/>
      </c>
      <c r="I785" s="161" t="str">
        <f t="shared" si="71"/>
        <v/>
      </c>
      <c r="J785" s="160" t="str">
        <f>IFERROR(INDEX(下年标准成本!I:I,MATCH(C785,下年标准成本!C:C,0),1),"")</f>
        <v/>
      </c>
      <c r="K785" s="146" t="str">
        <f t="shared" si="72"/>
        <v/>
      </c>
      <c r="L785" s="146" t="str">
        <f t="shared" si="73"/>
        <v/>
      </c>
      <c r="M785" s="148" t="str">
        <f t="shared" si="74"/>
        <v/>
      </c>
    </row>
    <row r="786" spans="1:13" x14ac:dyDescent="0.3">
      <c r="A786" s="149"/>
      <c r="B786" s="149"/>
      <c r="C786" s="149"/>
      <c r="D786" s="149"/>
      <c r="E786" s="149"/>
      <c r="F786" s="149"/>
      <c r="G786" s="162"/>
      <c r="H786" s="146" t="str">
        <f t="shared" si="70"/>
        <v/>
      </c>
      <c r="I786" s="161" t="str">
        <f t="shared" si="71"/>
        <v/>
      </c>
      <c r="J786" s="160" t="str">
        <f>IFERROR(INDEX(下年标准成本!I:I,MATCH(C786,下年标准成本!C:C,0),1),"")</f>
        <v/>
      </c>
      <c r="K786" s="146" t="str">
        <f t="shared" si="72"/>
        <v/>
      </c>
      <c r="L786" s="146" t="str">
        <f t="shared" si="73"/>
        <v/>
      </c>
      <c r="M786" s="148" t="str">
        <f t="shared" si="74"/>
        <v/>
      </c>
    </row>
    <row r="787" spans="1:13" x14ac:dyDescent="0.3">
      <c r="A787" s="149"/>
      <c r="B787" s="149"/>
      <c r="C787" s="149"/>
      <c r="D787" s="149"/>
      <c r="E787" s="149"/>
      <c r="F787" s="149"/>
      <c r="G787" s="162"/>
      <c r="H787" s="146" t="str">
        <f t="shared" si="70"/>
        <v/>
      </c>
      <c r="I787" s="161" t="str">
        <f t="shared" si="71"/>
        <v/>
      </c>
      <c r="J787" s="160" t="str">
        <f>IFERROR(INDEX(下年标准成本!I:I,MATCH(C787,下年标准成本!C:C,0),1),"")</f>
        <v/>
      </c>
      <c r="K787" s="146" t="str">
        <f t="shared" si="72"/>
        <v/>
      </c>
      <c r="L787" s="146" t="str">
        <f t="shared" si="73"/>
        <v/>
      </c>
      <c r="M787" s="148" t="str">
        <f t="shared" si="74"/>
        <v/>
      </c>
    </row>
    <row r="788" spans="1:13" x14ac:dyDescent="0.3">
      <c r="A788" s="149"/>
      <c r="B788" s="149"/>
      <c r="C788" s="149"/>
      <c r="D788" s="149"/>
      <c r="E788" s="149"/>
      <c r="F788" s="149"/>
      <c r="G788" s="162"/>
      <c r="H788" s="146" t="str">
        <f t="shared" si="70"/>
        <v/>
      </c>
      <c r="I788" s="161" t="str">
        <f t="shared" si="71"/>
        <v/>
      </c>
      <c r="J788" s="160" t="str">
        <f>IFERROR(INDEX(下年标准成本!I:I,MATCH(C788,下年标准成本!C:C,0),1),"")</f>
        <v/>
      </c>
      <c r="K788" s="146" t="str">
        <f t="shared" si="72"/>
        <v/>
      </c>
      <c r="L788" s="146" t="str">
        <f t="shared" si="73"/>
        <v/>
      </c>
      <c r="M788" s="148" t="str">
        <f t="shared" si="74"/>
        <v/>
      </c>
    </row>
    <row r="789" spans="1:13" x14ac:dyDescent="0.3">
      <c r="A789" s="149"/>
      <c r="B789" s="149"/>
      <c r="C789" s="149"/>
      <c r="D789" s="149"/>
      <c r="E789" s="149"/>
      <c r="F789" s="149"/>
      <c r="G789" s="162"/>
      <c r="H789" s="146" t="str">
        <f t="shared" si="70"/>
        <v/>
      </c>
      <c r="I789" s="161" t="str">
        <f t="shared" si="71"/>
        <v/>
      </c>
      <c r="J789" s="160" t="str">
        <f>IFERROR(INDEX(下年标准成本!I:I,MATCH(C789,下年标准成本!C:C,0),1),"")</f>
        <v/>
      </c>
      <c r="K789" s="146" t="str">
        <f t="shared" si="72"/>
        <v/>
      </c>
      <c r="L789" s="146" t="str">
        <f t="shared" si="73"/>
        <v/>
      </c>
      <c r="M789" s="148" t="str">
        <f t="shared" si="74"/>
        <v/>
      </c>
    </row>
    <row r="790" spans="1:13" x14ac:dyDescent="0.3">
      <c r="A790" s="149"/>
      <c r="B790" s="149"/>
      <c r="C790" s="149"/>
      <c r="D790" s="149"/>
      <c r="E790" s="149"/>
      <c r="F790" s="149"/>
      <c r="G790" s="162"/>
      <c r="H790" s="146" t="str">
        <f t="shared" si="70"/>
        <v/>
      </c>
      <c r="I790" s="161" t="str">
        <f t="shared" si="71"/>
        <v/>
      </c>
      <c r="J790" s="160" t="str">
        <f>IFERROR(INDEX(下年标准成本!I:I,MATCH(C790,下年标准成本!C:C,0),1),"")</f>
        <v/>
      </c>
      <c r="K790" s="146" t="str">
        <f t="shared" si="72"/>
        <v/>
      </c>
      <c r="L790" s="146" t="str">
        <f t="shared" si="73"/>
        <v/>
      </c>
      <c r="M790" s="148" t="str">
        <f t="shared" si="74"/>
        <v/>
      </c>
    </row>
    <row r="791" spans="1:13" x14ac:dyDescent="0.3">
      <c r="A791" s="149"/>
      <c r="B791" s="149"/>
      <c r="C791" s="149"/>
      <c r="D791" s="149"/>
      <c r="E791" s="149"/>
      <c r="F791" s="149"/>
      <c r="G791" s="162"/>
      <c r="H791" s="146" t="str">
        <f t="shared" si="70"/>
        <v/>
      </c>
      <c r="I791" s="161" t="str">
        <f t="shared" si="71"/>
        <v/>
      </c>
      <c r="J791" s="160" t="str">
        <f>IFERROR(INDEX(下年标准成本!I:I,MATCH(C791,下年标准成本!C:C,0),1),"")</f>
        <v/>
      </c>
      <c r="K791" s="146" t="str">
        <f t="shared" si="72"/>
        <v/>
      </c>
      <c r="L791" s="146" t="str">
        <f t="shared" si="73"/>
        <v/>
      </c>
      <c r="M791" s="148" t="str">
        <f t="shared" si="74"/>
        <v/>
      </c>
    </row>
    <row r="792" spans="1:13" x14ac:dyDescent="0.3">
      <c r="A792" s="149"/>
      <c r="B792" s="149"/>
      <c r="C792" s="149"/>
      <c r="D792" s="149"/>
      <c r="E792" s="149"/>
      <c r="F792" s="149"/>
      <c r="G792" s="162"/>
      <c r="H792" s="146" t="str">
        <f t="shared" si="70"/>
        <v/>
      </c>
      <c r="I792" s="161" t="str">
        <f t="shared" si="71"/>
        <v/>
      </c>
      <c r="J792" s="160" t="str">
        <f>IFERROR(INDEX(下年标准成本!I:I,MATCH(C792,下年标准成本!C:C,0),1),"")</f>
        <v/>
      </c>
      <c r="K792" s="146" t="str">
        <f t="shared" si="72"/>
        <v/>
      </c>
      <c r="L792" s="146" t="str">
        <f t="shared" si="73"/>
        <v/>
      </c>
      <c r="M792" s="148" t="str">
        <f t="shared" si="74"/>
        <v/>
      </c>
    </row>
    <row r="793" spans="1:13" x14ac:dyDescent="0.3">
      <c r="A793" s="149"/>
      <c r="B793" s="149"/>
      <c r="C793" s="149"/>
      <c r="D793" s="149"/>
      <c r="E793" s="149"/>
      <c r="F793" s="149"/>
      <c r="G793" s="162"/>
      <c r="H793" s="146" t="str">
        <f t="shared" si="70"/>
        <v/>
      </c>
      <c r="I793" s="161" t="str">
        <f t="shared" si="71"/>
        <v/>
      </c>
      <c r="J793" s="160" t="str">
        <f>IFERROR(INDEX(下年标准成本!I:I,MATCH(C793,下年标准成本!C:C,0),1),"")</f>
        <v/>
      </c>
      <c r="K793" s="146" t="str">
        <f t="shared" si="72"/>
        <v/>
      </c>
      <c r="L793" s="146" t="str">
        <f t="shared" si="73"/>
        <v/>
      </c>
      <c r="M793" s="148" t="str">
        <f t="shared" si="74"/>
        <v/>
      </c>
    </row>
    <row r="794" spans="1:13" x14ac:dyDescent="0.3">
      <c r="A794" s="149"/>
      <c r="B794" s="149"/>
      <c r="C794" s="149"/>
      <c r="D794" s="149"/>
      <c r="E794" s="149"/>
      <c r="F794" s="149"/>
      <c r="G794" s="162"/>
      <c r="H794" s="146" t="str">
        <f t="shared" si="70"/>
        <v/>
      </c>
      <c r="I794" s="161" t="str">
        <f t="shared" si="71"/>
        <v/>
      </c>
      <c r="J794" s="160" t="str">
        <f>IFERROR(INDEX(下年标准成本!I:I,MATCH(C794,下年标准成本!C:C,0),1),"")</f>
        <v/>
      </c>
      <c r="K794" s="146" t="str">
        <f t="shared" si="72"/>
        <v/>
      </c>
      <c r="L794" s="146" t="str">
        <f t="shared" si="73"/>
        <v/>
      </c>
      <c r="M794" s="148" t="str">
        <f t="shared" si="74"/>
        <v/>
      </c>
    </row>
    <row r="795" spans="1:13" x14ac:dyDescent="0.3">
      <c r="A795" s="149"/>
      <c r="B795" s="149"/>
      <c r="C795" s="149"/>
      <c r="D795" s="149"/>
      <c r="E795" s="149"/>
      <c r="F795" s="149"/>
      <c r="G795" s="162"/>
      <c r="H795" s="146" t="str">
        <f t="shared" si="70"/>
        <v/>
      </c>
      <c r="I795" s="161" t="str">
        <f t="shared" si="71"/>
        <v/>
      </c>
      <c r="J795" s="160" t="str">
        <f>IFERROR(INDEX(下年标准成本!I:I,MATCH(C795,下年标准成本!C:C,0),1),"")</f>
        <v/>
      </c>
      <c r="K795" s="146" t="str">
        <f t="shared" si="72"/>
        <v/>
      </c>
      <c r="L795" s="146" t="str">
        <f t="shared" si="73"/>
        <v/>
      </c>
      <c r="M795" s="148" t="str">
        <f t="shared" si="74"/>
        <v/>
      </c>
    </row>
    <row r="796" spans="1:13" x14ac:dyDescent="0.3">
      <c r="A796" s="149"/>
      <c r="B796" s="149"/>
      <c r="C796" s="149"/>
      <c r="D796" s="149"/>
      <c r="E796" s="149"/>
      <c r="F796" s="149"/>
      <c r="G796" s="162"/>
      <c r="H796" s="146" t="str">
        <f t="shared" si="70"/>
        <v/>
      </c>
      <c r="I796" s="161" t="str">
        <f t="shared" si="71"/>
        <v/>
      </c>
      <c r="J796" s="160" t="str">
        <f>IFERROR(INDEX(下年标准成本!I:I,MATCH(C796,下年标准成本!C:C,0),1),"")</f>
        <v/>
      </c>
      <c r="K796" s="146" t="str">
        <f t="shared" si="72"/>
        <v/>
      </c>
      <c r="L796" s="146" t="str">
        <f t="shared" si="73"/>
        <v/>
      </c>
      <c r="M796" s="148" t="str">
        <f t="shared" si="74"/>
        <v/>
      </c>
    </row>
    <row r="797" spans="1:13" x14ac:dyDescent="0.3">
      <c r="A797" s="149"/>
      <c r="B797" s="149"/>
      <c r="C797" s="149"/>
      <c r="D797" s="149"/>
      <c r="E797" s="149"/>
      <c r="F797" s="149"/>
      <c r="G797" s="162"/>
      <c r="H797" s="146" t="str">
        <f t="shared" si="70"/>
        <v/>
      </c>
      <c r="I797" s="161" t="str">
        <f t="shared" si="71"/>
        <v/>
      </c>
      <c r="J797" s="160" t="str">
        <f>IFERROR(INDEX(下年标准成本!I:I,MATCH(C797,下年标准成本!C:C,0),1),"")</f>
        <v/>
      </c>
      <c r="K797" s="146" t="str">
        <f t="shared" si="72"/>
        <v/>
      </c>
      <c r="L797" s="146" t="str">
        <f t="shared" si="73"/>
        <v/>
      </c>
      <c r="M797" s="148" t="str">
        <f t="shared" si="74"/>
        <v/>
      </c>
    </row>
    <row r="798" spans="1:13" x14ac:dyDescent="0.3">
      <c r="A798" s="149"/>
      <c r="B798" s="149"/>
      <c r="C798" s="149"/>
      <c r="D798" s="149"/>
      <c r="E798" s="149"/>
      <c r="F798" s="149"/>
      <c r="G798" s="162"/>
      <c r="H798" s="146" t="str">
        <f t="shared" si="70"/>
        <v/>
      </c>
      <c r="I798" s="161" t="str">
        <f t="shared" si="71"/>
        <v/>
      </c>
      <c r="J798" s="160" t="str">
        <f>IFERROR(INDEX(下年标准成本!I:I,MATCH(C798,下年标准成本!C:C,0),1),"")</f>
        <v/>
      </c>
      <c r="K798" s="146" t="str">
        <f t="shared" si="72"/>
        <v/>
      </c>
      <c r="L798" s="146" t="str">
        <f t="shared" si="73"/>
        <v/>
      </c>
      <c r="M798" s="148" t="str">
        <f t="shared" si="74"/>
        <v/>
      </c>
    </row>
    <row r="799" spans="1:13" x14ac:dyDescent="0.3">
      <c r="A799" s="149"/>
      <c r="B799" s="149"/>
      <c r="C799" s="149"/>
      <c r="D799" s="149"/>
      <c r="E799" s="149"/>
      <c r="F799" s="149"/>
      <c r="G799" s="162"/>
      <c r="H799" s="146" t="str">
        <f t="shared" si="70"/>
        <v/>
      </c>
      <c r="I799" s="161" t="str">
        <f t="shared" si="71"/>
        <v/>
      </c>
      <c r="J799" s="160" t="str">
        <f>IFERROR(INDEX(下年标准成本!I:I,MATCH(C799,下年标准成本!C:C,0),1),"")</f>
        <v/>
      </c>
      <c r="K799" s="146" t="str">
        <f t="shared" si="72"/>
        <v/>
      </c>
      <c r="L799" s="146" t="str">
        <f t="shared" si="73"/>
        <v/>
      </c>
      <c r="M799" s="148" t="str">
        <f t="shared" si="74"/>
        <v/>
      </c>
    </row>
    <row r="800" spans="1:13" x14ac:dyDescent="0.3">
      <c r="A800" s="149"/>
      <c r="B800" s="149"/>
      <c r="C800" s="149"/>
      <c r="D800" s="149"/>
      <c r="E800" s="149"/>
      <c r="F800" s="149"/>
      <c r="G800" s="162"/>
      <c r="H800" s="146" t="str">
        <f t="shared" si="70"/>
        <v/>
      </c>
      <c r="I800" s="161" t="str">
        <f t="shared" si="71"/>
        <v/>
      </c>
      <c r="J800" s="160" t="str">
        <f>IFERROR(INDEX(下年标准成本!I:I,MATCH(C800,下年标准成本!C:C,0),1),"")</f>
        <v/>
      </c>
      <c r="K800" s="146" t="str">
        <f t="shared" si="72"/>
        <v/>
      </c>
      <c r="L800" s="146" t="str">
        <f t="shared" si="73"/>
        <v/>
      </c>
      <c r="M800" s="148" t="str">
        <f t="shared" si="74"/>
        <v/>
      </c>
    </row>
    <row r="801" spans="1:13" x14ac:dyDescent="0.3">
      <c r="A801" s="149"/>
      <c r="B801" s="149"/>
      <c r="C801" s="149"/>
      <c r="D801" s="149"/>
      <c r="E801" s="149"/>
      <c r="F801" s="149"/>
      <c r="G801" s="162"/>
      <c r="H801" s="146" t="str">
        <f t="shared" si="70"/>
        <v/>
      </c>
      <c r="I801" s="161" t="str">
        <f t="shared" si="71"/>
        <v/>
      </c>
      <c r="J801" s="160" t="str">
        <f>IFERROR(INDEX(下年标准成本!I:I,MATCH(C801,下年标准成本!C:C,0),1),"")</f>
        <v/>
      </c>
      <c r="K801" s="146" t="str">
        <f t="shared" si="72"/>
        <v/>
      </c>
      <c r="L801" s="146" t="str">
        <f t="shared" si="73"/>
        <v/>
      </c>
      <c r="M801" s="148" t="str">
        <f t="shared" si="74"/>
        <v/>
      </c>
    </row>
    <row r="802" spans="1:13" x14ac:dyDescent="0.3">
      <c r="A802" s="149"/>
      <c r="B802" s="149"/>
      <c r="C802" s="149"/>
      <c r="D802" s="149"/>
      <c r="E802" s="149"/>
      <c r="F802" s="149"/>
      <c r="G802" s="162"/>
      <c r="H802" s="146" t="str">
        <f t="shared" si="70"/>
        <v/>
      </c>
      <c r="I802" s="161" t="str">
        <f t="shared" si="71"/>
        <v/>
      </c>
      <c r="J802" s="160" t="str">
        <f>IFERROR(INDEX(下年标准成本!I:I,MATCH(C802,下年标准成本!C:C,0),1),"")</f>
        <v/>
      </c>
      <c r="K802" s="146" t="str">
        <f t="shared" si="72"/>
        <v/>
      </c>
      <c r="L802" s="146" t="str">
        <f t="shared" si="73"/>
        <v/>
      </c>
      <c r="M802" s="148" t="str">
        <f t="shared" si="74"/>
        <v/>
      </c>
    </row>
    <row r="803" spans="1:13" x14ac:dyDescent="0.3">
      <c r="A803" s="149"/>
      <c r="B803" s="149"/>
      <c r="C803" s="149"/>
      <c r="D803" s="149"/>
      <c r="E803" s="149"/>
      <c r="F803" s="149"/>
      <c r="G803" s="162"/>
      <c r="H803" s="146" t="str">
        <f t="shared" si="70"/>
        <v/>
      </c>
      <c r="I803" s="161" t="str">
        <f t="shared" si="71"/>
        <v/>
      </c>
      <c r="J803" s="160" t="str">
        <f>IFERROR(INDEX(下年标准成本!I:I,MATCH(C803,下年标准成本!C:C,0),1),"")</f>
        <v/>
      </c>
      <c r="K803" s="146" t="str">
        <f t="shared" si="72"/>
        <v/>
      </c>
      <c r="L803" s="146" t="str">
        <f t="shared" si="73"/>
        <v/>
      </c>
      <c r="M803" s="148" t="str">
        <f t="shared" si="74"/>
        <v/>
      </c>
    </row>
    <row r="804" spans="1:13" x14ac:dyDescent="0.3">
      <c r="A804" s="149"/>
      <c r="B804" s="149"/>
      <c r="C804" s="149"/>
      <c r="D804" s="149"/>
      <c r="E804" s="149"/>
      <c r="F804" s="149"/>
      <c r="G804" s="162"/>
      <c r="H804" s="146" t="str">
        <f t="shared" si="70"/>
        <v/>
      </c>
      <c r="I804" s="161" t="str">
        <f t="shared" si="71"/>
        <v/>
      </c>
      <c r="J804" s="160" t="str">
        <f>IFERROR(INDEX(下年标准成本!I:I,MATCH(C804,下年标准成本!C:C,0),1),"")</f>
        <v/>
      </c>
      <c r="K804" s="146" t="str">
        <f t="shared" si="72"/>
        <v/>
      </c>
      <c r="L804" s="146" t="str">
        <f t="shared" si="73"/>
        <v/>
      </c>
      <c r="M804" s="148" t="str">
        <f t="shared" si="74"/>
        <v/>
      </c>
    </row>
    <row r="805" spans="1:13" x14ac:dyDescent="0.3">
      <c r="A805" s="149"/>
      <c r="B805" s="149"/>
      <c r="C805" s="149"/>
      <c r="D805" s="149"/>
      <c r="E805" s="149"/>
      <c r="F805" s="149"/>
      <c r="G805" s="162"/>
      <c r="H805" s="146" t="str">
        <f t="shared" si="70"/>
        <v/>
      </c>
      <c r="I805" s="161" t="str">
        <f t="shared" si="71"/>
        <v/>
      </c>
      <c r="J805" s="160" t="str">
        <f>IFERROR(INDEX(下年标准成本!I:I,MATCH(C805,下年标准成本!C:C,0),1),"")</f>
        <v/>
      </c>
      <c r="K805" s="146" t="str">
        <f t="shared" si="72"/>
        <v/>
      </c>
      <c r="L805" s="146" t="str">
        <f t="shared" si="73"/>
        <v/>
      </c>
      <c r="M805" s="148" t="str">
        <f t="shared" si="74"/>
        <v/>
      </c>
    </row>
    <row r="806" spans="1:13" x14ac:dyDescent="0.3">
      <c r="A806" s="149"/>
      <c r="B806" s="149"/>
      <c r="C806" s="149"/>
      <c r="D806" s="149"/>
      <c r="E806" s="149"/>
      <c r="F806" s="149"/>
      <c r="G806" s="162"/>
      <c r="H806" s="146" t="str">
        <f t="shared" si="70"/>
        <v/>
      </c>
      <c r="I806" s="161" t="str">
        <f t="shared" si="71"/>
        <v/>
      </c>
      <c r="J806" s="160" t="str">
        <f>IFERROR(INDEX(下年标准成本!I:I,MATCH(C806,下年标准成本!C:C,0),1),"")</f>
        <v/>
      </c>
      <c r="K806" s="146" t="str">
        <f t="shared" si="72"/>
        <v/>
      </c>
      <c r="L806" s="146" t="str">
        <f t="shared" si="73"/>
        <v/>
      </c>
      <c r="M806" s="148" t="str">
        <f t="shared" si="74"/>
        <v/>
      </c>
    </row>
    <row r="807" spans="1:13" x14ac:dyDescent="0.3">
      <c r="A807" s="149"/>
      <c r="B807" s="149"/>
      <c r="C807" s="149"/>
      <c r="D807" s="149"/>
      <c r="E807" s="149"/>
      <c r="F807" s="149"/>
      <c r="G807" s="162"/>
      <c r="H807" s="146" t="str">
        <f t="shared" si="70"/>
        <v/>
      </c>
      <c r="I807" s="161" t="str">
        <f t="shared" si="71"/>
        <v/>
      </c>
      <c r="J807" s="160" t="str">
        <f>IFERROR(INDEX(下年标准成本!I:I,MATCH(C807,下年标准成本!C:C,0),1),"")</f>
        <v/>
      </c>
      <c r="K807" s="146" t="str">
        <f t="shared" si="72"/>
        <v/>
      </c>
      <c r="L807" s="146" t="str">
        <f t="shared" si="73"/>
        <v/>
      </c>
      <c r="M807" s="148" t="str">
        <f t="shared" si="74"/>
        <v/>
      </c>
    </row>
    <row r="808" spans="1:13" x14ac:dyDescent="0.3">
      <c r="A808" s="149"/>
      <c r="B808" s="149"/>
      <c r="C808" s="149"/>
      <c r="D808" s="149"/>
      <c r="E808" s="149"/>
      <c r="F808" s="149"/>
      <c r="G808" s="162"/>
      <c r="H808" s="146" t="str">
        <f t="shared" si="70"/>
        <v/>
      </c>
      <c r="I808" s="161" t="str">
        <f t="shared" si="71"/>
        <v/>
      </c>
      <c r="J808" s="160" t="str">
        <f>IFERROR(INDEX(下年标准成本!I:I,MATCH(C808,下年标准成本!C:C,0),1),"")</f>
        <v/>
      </c>
      <c r="K808" s="146" t="str">
        <f t="shared" si="72"/>
        <v/>
      </c>
      <c r="L808" s="146" t="str">
        <f t="shared" si="73"/>
        <v/>
      </c>
      <c r="M808" s="148" t="str">
        <f t="shared" si="74"/>
        <v/>
      </c>
    </row>
    <row r="809" spans="1:13" x14ac:dyDescent="0.3">
      <c r="A809" s="149"/>
      <c r="B809" s="149"/>
      <c r="C809" s="149"/>
      <c r="D809" s="149"/>
      <c r="E809" s="149"/>
      <c r="F809" s="149"/>
      <c r="G809" s="162"/>
      <c r="H809" s="146" t="str">
        <f t="shared" si="70"/>
        <v/>
      </c>
      <c r="I809" s="161" t="str">
        <f t="shared" si="71"/>
        <v/>
      </c>
      <c r="J809" s="160" t="str">
        <f>IFERROR(INDEX(下年标准成本!I:I,MATCH(C809,下年标准成本!C:C,0),1),"")</f>
        <v/>
      </c>
      <c r="K809" s="146" t="str">
        <f t="shared" si="72"/>
        <v/>
      </c>
      <c r="L809" s="146" t="str">
        <f t="shared" si="73"/>
        <v/>
      </c>
      <c r="M809" s="148" t="str">
        <f t="shared" si="74"/>
        <v/>
      </c>
    </row>
    <row r="810" spans="1:13" x14ac:dyDescent="0.3">
      <c r="A810" s="149"/>
      <c r="B810" s="149"/>
      <c r="C810" s="149"/>
      <c r="D810" s="149"/>
      <c r="E810" s="149"/>
      <c r="F810" s="149"/>
      <c r="G810" s="162"/>
      <c r="H810" s="146" t="str">
        <f t="shared" si="70"/>
        <v/>
      </c>
      <c r="I810" s="161" t="str">
        <f t="shared" si="71"/>
        <v/>
      </c>
      <c r="J810" s="160" t="str">
        <f>IFERROR(INDEX(下年标准成本!I:I,MATCH(C810,下年标准成本!C:C,0),1),"")</f>
        <v/>
      </c>
      <c r="K810" s="146" t="str">
        <f t="shared" si="72"/>
        <v/>
      </c>
      <c r="L810" s="146" t="str">
        <f t="shared" si="73"/>
        <v/>
      </c>
      <c r="M810" s="148" t="str">
        <f t="shared" si="74"/>
        <v/>
      </c>
    </row>
    <row r="811" spans="1:13" x14ac:dyDescent="0.3">
      <c r="A811" s="149"/>
      <c r="B811" s="149"/>
      <c r="C811" s="149"/>
      <c r="D811" s="149"/>
      <c r="E811" s="149"/>
      <c r="F811" s="149"/>
      <c r="G811" s="162"/>
      <c r="H811" s="146" t="str">
        <f t="shared" si="70"/>
        <v/>
      </c>
      <c r="I811" s="161" t="str">
        <f t="shared" si="71"/>
        <v/>
      </c>
      <c r="J811" s="160" t="str">
        <f>IFERROR(INDEX(下年标准成本!I:I,MATCH(C811,下年标准成本!C:C,0),1),"")</f>
        <v/>
      </c>
      <c r="K811" s="146" t="str">
        <f t="shared" si="72"/>
        <v/>
      </c>
      <c r="L811" s="146" t="str">
        <f t="shared" si="73"/>
        <v/>
      </c>
      <c r="M811" s="148" t="str">
        <f t="shared" si="74"/>
        <v/>
      </c>
    </row>
    <row r="812" spans="1:13" x14ac:dyDescent="0.3">
      <c r="A812" s="149"/>
      <c r="B812" s="149"/>
      <c r="C812" s="149"/>
      <c r="D812" s="149"/>
      <c r="E812" s="149"/>
      <c r="F812" s="149"/>
      <c r="G812" s="162"/>
      <c r="H812" s="146" t="str">
        <f t="shared" si="70"/>
        <v/>
      </c>
      <c r="I812" s="161" t="str">
        <f t="shared" si="71"/>
        <v/>
      </c>
      <c r="J812" s="160" t="str">
        <f>IFERROR(INDEX(下年标准成本!I:I,MATCH(C812,下年标准成本!C:C,0),1),"")</f>
        <v/>
      </c>
      <c r="K812" s="146" t="str">
        <f t="shared" si="72"/>
        <v/>
      </c>
      <c r="L812" s="146" t="str">
        <f t="shared" si="73"/>
        <v/>
      </c>
      <c r="M812" s="148" t="str">
        <f t="shared" si="74"/>
        <v/>
      </c>
    </row>
    <row r="813" spans="1:13" x14ac:dyDescent="0.3">
      <c r="A813" s="149"/>
      <c r="B813" s="149"/>
      <c r="C813" s="149"/>
      <c r="D813" s="149"/>
      <c r="E813" s="149"/>
      <c r="F813" s="149"/>
      <c r="G813" s="162"/>
      <c r="H813" s="146" t="str">
        <f t="shared" si="70"/>
        <v/>
      </c>
      <c r="I813" s="161" t="str">
        <f t="shared" si="71"/>
        <v/>
      </c>
      <c r="J813" s="160" t="str">
        <f>IFERROR(INDEX(下年标准成本!I:I,MATCH(C813,下年标准成本!C:C,0),1),"")</f>
        <v/>
      </c>
      <c r="K813" s="146" t="str">
        <f t="shared" si="72"/>
        <v/>
      </c>
      <c r="L813" s="146" t="str">
        <f t="shared" si="73"/>
        <v/>
      </c>
      <c r="M813" s="148" t="str">
        <f t="shared" si="74"/>
        <v/>
      </c>
    </row>
    <row r="814" spans="1:13" x14ac:dyDescent="0.3">
      <c r="A814" s="149"/>
      <c r="B814" s="149"/>
      <c r="C814" s="149"/>
      <c r="D814" s="149"/>
      <c r="E814" s="149"/>
      <c r="F814" s="149"/>
      <c r="G814" s="162"/>
      <c r="H814" s="146" t="str">
        <f t="shared" si="70"/>
        <v/>
      </c>
      <c r="I814" s="161" t="str">
        <f t="shared" si="71"/>
        <v/>
      </c>
      <c r="J814" s="160" t="str">
        <f>IFERROR(INDEX(下年标准成本!I:I,MATCH(C814,下年标准成本!C:C,0),1),"")</f>
        <v/>
      </c>
      <c r="K814" s="146" t="str">
        <f t="shared" si="72"/>
        <v/>
      </c>
      <c r="L814" s="146" t="str">
        <f t="shared" si="73"/>
        <v/>
      </c>
      <c r="M814" s="148" t="str">
        <f t="shared" si="74"/>
        <v/>
      </c>
    </row>
    <row r="815" spans="1:13" x14ac:dyDescent="0.3">
      <c r="A815" s="149"/>
      <c r="B815" s="149"/>
      <c r="C815" s="149"/>
      <c r="D815" s="149"/>
      <c r="E815" s="149"/>
      <c r="F815" s="149"/>
      <c r="G815" s="162"/>
      <c r="H815" s="146" t="str">
        <f t="shared" si="70"/>
        <v/>
      </c>
      <c r="I815" s="161" t="str">
        <f t="shared" si="71"/>
        <v/>
      </c>
      <c r="J815" s="160" t="str">
        <f>IFERROR(INDEX(下年标准成本!I:I,MATCH(C815,下年标准成本!C:C,0),1),"")</f>
        <v/>
      </c>
      <c r="K815" s="146" t="str">
        <f t="shared" si="72"/>
        <v/>
      </c>
      <c r="L815" s="146" t="str">
        <f t="shared" si="73"/>
        <v/>
      </c>
      <c r="M815" s="148" t="str">
        <f t="shared" si="74"/>
        <v/>
      </c>
    </row>
    <row r="816" spans="1:13" x14ac:dyDescent="0.3">
      <c r="A816" s="149"/>
      <c r="B816" s="149"/>
      <c r="C816" s="149"/>
      <c r="D816" s="149"/>
      <c r="E816" s="149"/>
      <c r="F816" s="149"/>
      <c r="G816" s="162"/>
      <c r="H816" s="146" t="str">
        <f t="shared" si="70"/>
        <v/>
      </c>
      <c r="I816" s="161" t="str">
        <f t="shared" si="71"/>
        <v/>
      </c>
      <c r="J816" s="160" t="str">
        <f>IFERROR(INDEX(下年标准成本!I:I,MATCH(C816,下年标准成本!C:C,0),1),"")</f>
        <v/>
      </c>
      <c r="K816" s="146" t="str">
        <f t="shared" si="72"/>
        <v/>
      </c>
      <c r="L816" s="146" t="str">
        <f t="shared" si="73"/>
        <v/>
      </c>
      <c r="M816" s="148" t="str">
        <f t="shared" si="74"/>
        <v/>
      </c>
    </row>
    <row r="817" spans="1:13" x14ac:dyDescent="0.3">
      <c r="A817" s="149"/>
      <c r="B817" s="149"/>
      <c r="C817" s="149"/>
      <c r="D817" s="149"/>
      <c r="E817" s="149"/>
      <c r="F817" s="149"/>
      <c r="G817" s="162"/>
      <c r="H817" s="146" t="str">
        <f t="shared" si="70"/>
        <v/>
      </c>
      <c r="I817" s="161" t="str">
        <f t="shared" si="71"/>
        <v/>
      </c>
      <c r="J817" s="160" t="str">
        <f>IFERROR(INDEX(下年标准成本!I:I,MATCH(C817,下年标准成本!C:C,0),1),"")</f>
        <v/>
      </c>
      <c r="K817" s="146" t="str">
        <f t="shared" si="72"/>
        <v/>
      </c>
      <c r="L817" s="146" t="str">
        <f t="shared" si="73"/>
        <v/>
      </c>
      <c r="M817" s="148" t="str">
        <f t="shared" si="74"/>
        <v/>
      </c>
    </row>
    <row r="818" spans="1:13" x14ac:dyDescent="0.3">
      <c r="A818" s="149"/>
      <c r="B818" s="149"/>
      <c r="C818" s="149"/>
      <c r="D818" s="149"/>
      <c r="E818" s="149"/>
      <c r="F818" s="149"/>
      <c r="G818" s="162"/>
      <c r="H818" s="146" t="str">
        <f t="shared" si="70"/>
        <v/>
      </c>
      <c r="I818" s="161" t="str">
        <f t="shared" si="71"/>
        <v/>
      </c>
      <c r="J818" s="160" t="str">
        <f>IFERROR(INDEX(下年标准成本!I:I,MATCH(C818,下年标准成本!C:C,0),1),"")</f>
        <v/>
      </c>
      <c r="K818" s="146" t="str">
        <f t="shared" si="72"/>
        <v/>
      </c>
      <c r="L818" s="146" t="str">
        <f t="shared" si="73"/>
        <v/>
      </c>
      <c r="M818" s="148" t="str">
        <f t="shared" si="74"/>
        <v/>
      </c>
    </row>
    <row r="819" spans="1:13" x14ac:dyDescent="0.3">
      <c r="A819" s="149"/>
      <c r="B819" s="149"/>
      <c r="C819" s="149"/>
      <c r="D819" s="149"/>
      <c r="E819" s="149"/>
      <c r="F819" s="149"/>
      <c r="G819" s="162"/>
      <c r="H819" s="146" t="str">
        <f t="shared" si="70"/>
        <v/>
      </c>
      <c r="I819" s="161" t="str">
        <f t="shared" si="71"/>
        <v/>
      </c>
      <c r="J819" s="160" t="str">
        <f>IFERROR(INDEX(下年标准成本!I:I,MATCH(C819,下年标准成本!C:C,0),1),"")</f>
        <v/>
      </c>
      <c r="K819" s="146" t="str">
        <f t="shared" si="72"/>
        <v/>
      </c>
      <c r="L819" s="146" t="str">
        <f t="shared" si="73"/>
        <v/>
      </c>
      <c r="M819" s="148" t="str">
        <f t="shared" si="74"/>
        <v/>
      </c>
    </row>
    <row r="820" spans="1:13" x14ac:dyDescent="0.3">
      <c r="A820" s="149"/>
      <c r="B820" s="149"/>
      <c r="C820" s="149"/>
      <c r="D820" s="149"/>
      <c r="E820" s="149"/>
      <c r="F820" s="149"/>
      <c r="G820" s="162"/>
      <c r="H820" s="146" t="str">
        <f t="shared" si="70"/>
        <v/>
      </c>
      <c r="I820" s="161" t="str">
        <f t="shared" si="71"/>
        <v/>
      </c>
      <c r="J820" s="160" t="str">
        <f>IFERROR(INDEX(下年标准成本!I:I,MATCH(C820,下年标准成本!C:C,0),1),"")</f>
        <v/>
      </c>
      <c r="K820" s="146" t="str">
        <f t="shared" si="72"/>
        <v/>
      </c>
      <c r="L820" s="146" t="str">
        <f t="shared" si="73"/>
        <v/>
      </c>
      <c r="M820" s="148" t="str">
        <f t="shared" si="74"/>
        <v/>
      </c>
    </row>
    <row r="821" spans="1:13" x14ac:dyDescent="0.3">
      <c r="A821" s="149"/>
      <c r="B821" s="149"/>
      <c r="C821" s="149"/>
      <c r="D821" s="149"/>
      <c r="E821" s="149"/>
      <c r="F821" s="149"/>
      <c r="G821" s="162"/>
      <c r="H821" s="146" t="str">
        <f t="shared" si="70"/>
        <v/>
      </c>
      <c r="I821" s="161" t="str">
        <f t="shared" si="71"/>
        <v/>
      </c>
      <c r="J821" s="160" t="str">
        <f>IFERROR(INDEX(下年标准成本!I:I,MATCH(C821,下年标准成本!C:C,0),1),"")</f>
        <v/>
      </c>
      <c r="K821" s="146" t="str">
        <f t="shared" si="72"/>
        <v/>
      </c>
      <c r="L821" s="146" t="str">
        <f t="shared" si="73"/>
        <v/>
      </c>
      <c r="M821" s="148" t="str">
        <f t="shared" si="74"/>
        <v/>
      </c>
    </row>
    <row r="822" spans="1:13" x14ac:dyDescent="0.3">
      <c r="A822" s="149"/>
      <c r="B822" s="149"/>
      <c r="C822" s="149"/>
      <c r="D822" s="149"/>
      <c r="E822" s="149"/>
      <c r="F822" s="149"/>
      <c r="G822" s="162"/>
      <c r="H822" s="146" t="str">
        <f t="shared" si="70"/>
        <v/>
      </c>
      <c r="I822" s="161" t="str">
        <f t="shared" si="71"/>
        <v/>
      </c>
      <c r="J822" s="160" t="str">
        <f>IFERROR(INDEX(下年标准成本!I:I,MATCH(C822,下年标准成本!C:C,0),1),"")</f>
        <v/>
      </c>
      <c r="K822" s="146" t="str">
        <f t="shared" si="72"/>
        <v/>
      </c>
      <c r="L822" s="146" t="str">
        <f t="shared" si="73"/>
        <v/>
      </c>
      <c r="M822" s="148" t="str">
        <f t="shared" si="74"/>
        <v/>
      </c>
    </row>
    <row r="823" spans="1:13" x14ac:dyDescent="0.3">
      <c r="A823" s="149"/>
      <c r="B823" s="149"/>
      <c r="C823" s="149"/>
      <c r="D823" s="149"/>
      <c r="E823" s="149"/>
      <c r="F823" s="149"/>
      <c r="G823" s="162"/>
      <c r="H823" s="146" t="str">
        <f t="shared" si="70"/>
        <v/>
      </c>
      <c r="I823" s="161" t="str">
        <f t="shared" si="71"/>
        <v/>
      </c>
      <c r="J823" s="160" t="str">
        <f>IFERROR(INDEX(下年标准成本!I:I,MATCH(C823,下年标准成本!C:C,0),1),"")</f>
        <v/>
      </c>
      <c r="K823" s="146" t="str">
        <f t="shared" si="72"/>
        <v/>
      </c>
      <c r="L823" s="146" t="str">
        <f t="shared" si="73"/>
        <v/>
      </c>
      <c r="M823" s="148" t="str">
        <f t="shared" si="74"/>
        <v/>
      </c>
    </row>
    <row r="824" spans="1:13" x14ac:dyDescent="0.3">
      <c r="A824" s="149"/>
      <c r="B824" s="149"/>
      <c r="C824" s="149"/>
      <c r="D824" s="149"/>
      <c r="E824" s="149"/>
      <c r="F824" s="149"/>
      <c r="G824" s="162"/>
      <c r="H824" s="146" t="str">
        <f t="shared" si="70"/>
        <v/>
      </c>
      <c r="I824" s="161" t="str">
        <f t="shared" si="71"/>
        <v/>
      </c>
      <c r="J824" s="160" t="str">
        <f>IFERROR(INDEX(下年标准成本!I:I,MATCH(C824,下年标准成本!C:C,0),1),"")</f>
        <v/>
      </c>
      <c r="K824" s="146" t="str">
        <f t="shared" si="72"/>
        <v/>
      </c>
      <c r="L824" s="146" t="str">
        <f t="shared" si="73"/>
        <v/>
      </c>
      <c r="M824" s="148" t="str">
        <f t="shared" si="74"/>
        <v/>
      </c>
    </row>
    <row r="825" spans="1:13" x14ac:dyDescent="0.3">
      <c r="A825" s="149"/>
      <c r="B825" s="149"/>
      <c r="C825" s="149"/>
      <c r="D825" s="149"/>
      <c r="E825" s="149"/>
      <c r="F825" s="149"/>
      <c r="G825" s="162"/>
      <c r="H825" s="146" t="str">
        <f t="shared" si="70"/>
        <v/>
      </c>
      <c r="I825" s="161" t="str">
        <f t="shared" si="71"/>
        <v/>
      </c>
      <c r="J825" s="160" t="str">
        <f>IFERROR(INDEX(下年标准成本!I:I,MATCH(C825,下年标准成本!C:C,0),1),"")</f>
        <v/>
      </c>
      <c r="K825" s="146" t="str">
        <f t="shared" si="72"/>
        <v/>
      </c>
      <c r="L825" s="146" t="str">
        <f t="shared" si="73"/>
        <v/>
      </c>
      <c r="M825" s="148" t="str">
        <f t="shared" si="74"/>
        <v/>
      </c>
    </row>
    <row r="826" spans="1:13" x14ac:dyDescent="0.3">
      <c r="A826" s="149"/>
      <c r="B826" s="149"/>
      <c r="C826" s="149"/>
      <c r="D826" s="149"/>
      <c r="E826" s="149"/>
      <c r="F826" s="149"/>
      <c r="G826" s="162"/>
      <c r="H826" s="146" t="str">
        <f t="shared" si="70"/>
        <v/>
      </c>
      <c r="I826" s="161" t="str">
        <f t="shared" si="71"/>
        <v/>
      </c>
      <c r="J826" s="160" t="str">
        <f>IFERROR(INDEX(下年标准成本!I:I,MATCH(C826,下年标准成本!C:C,0),1),"")</f>
        <v/>
      </c>
      <c r="K826" s="146" t="str">
        <f t="shared" si="72"/>
        <v/>
      </c>
      <c r="L826" s="146" t="str">
        <f t="shared" si="73"/>
        <v/>
      </c>
      <c r="M826" s="148" t="str">
        <f t="shared" si="74"/>
        <v/>
      </c>
    </row>
    <row r="827" spans="1:13" x14ac:dyDescent="0.3">
      <c r="A827" s="149"/>
      <c r="B827" s="149"/>
      <c r="C827" s="149"/>
      <c r="D827" s="149"/>
      <c r="E827" s="149"/>
      <c r="F827" s="149"/>
      <c r="G827" s="162"/>
      <c r="H827" s="146" t="str">
        <f t="shared" si="70"/>
        <v/>
      </c>
      <c r="I827" s="161" t="str">
        <f t="shared" si="71"/>
        <v/>
      </c>
      <c r="J827" s="160" t="str">
        <f>IFERROR(INDEX(下年标准成本!I:I,MATCH(C827,下年标准成本!C:C,0),1),"")</f>
        <v/>
      </c>
      <c r="K827" s="146" t="str">
        <f t="shared" si="72"/>
        <v/>
      </c>
      <c r="L827" s="146" t="str">
        <f t="shared" si="73"/>
        <v/>
      </c>
      <c r="M827" s="148" t="str">
        <f t="shared" si="74"/>
        <v/>
      </c>
    </row>
    <row r="828" spans="1:13" x14ac:dyDescent="0.3">
      <c r="A828" s="149"/>
      <c r="B828" s="149"/>
      <c r="C828" s="149"/>
      <c r="D828" s="149"/>
      <c r="E828" s="149"/>
      <c r="F828" s="149"/>
      <c r="G828" s="162"/>
      <c r="H828" s="146" t="str">
        <f t="shared" si="70"/>
        <v/>
      </c>
      <c r="I828" s="161" t="str">
        <f t="shared" si="71"/>
        <v/>
      </c>
      <c r="J828" s="160" t="str">
        <f>IFERROR(INDEX(下年标准成本!I:I,MATCH(C828,下年标准成本!C:C,0),1),"")</f>
        <v/>
      </c>
      <c r="K828" s="146" t="str">
        <f t="shared" si="72"/>
        <v/>
      </c>
      <c r="L828" s="146" t="str">
        <f t="shared" si="73"/>
        <v/>
      </c>
      <c r="M828" s="148" t="str">
        <f t="shared" si="74"/>
        <v/>
      </c>
    </row>
    <row r="829" spans="1:13" x14ac:dyDescent="0.3">
      <c r="A829" s="149"/>
      <c r="B829" s="149"/>
      <c r="C829" s="149"/>
      <c r="D829" s="149"/>
      <c r="E829" s="149"/>
      <c r="F829" s="149"/>
      <c r="G829" s="162"/>
      <c r="H829" s="146" t="str">
        <f t="shared" si="70"/>
        <v/>
      </c>
      <c r="I829" s="161" t="str">
        <f t="shared" si="71"/>
        <v/>
      </c>
      <c r="J829" s="160" t="str">
        <f>IFERROR(INDEX(下年标准成本!I:I,MATCH(C829,下年标准成本!C:C,0),1),"")</f>
        <v/>
      </c>
      <c r="K829" s="146" t="str">
        <f t="shared" si="72"/>
        <v/>
      </c>
      <c r="L829" s="146" t="str">
        <f t="shared" si="73"/>
        <v/>
      </c>
      <c r="M829" s="148" t="str">
        <f t="shared" si="74"/>
        <v/>
      </c>
    </row>
    <row r="830" spans="1:13" x14ac:dyDescent="0.3">
      <c r="A830" s="149"/>
      <c r="B830" s="149"/>
      <c r="C830" s="149"/>
      <c r="D830" s="149"/>
      <c r="E830" s="149"/>
      <c r="F830" s="149"/>
      <c r="G830" s="162"/>
      <c r="H830" s="146" t="str">
        <f t="shared" si="70"/>
        <v/>
      </c>
      <c r="I830" s="161" t="str">
        <f t="shared" si="71"/>
        <v/>
      </c>
      <c r="J830" s="160" t="str">
        <f>IFERROR(INDEX(下年标准成本!I:I,MATCH(C830,下年标准成本!C:C,0),1),"")</f>
        <v/>
      </c>
      <c r="K830" s="146" t="str">
        <f t="shared" si="72"/>
        <v/>
      </c>
      <c r="L830" s="146" t="str">
        <f t="shared" si="73"/>
        <v/>
      </c>
      <c r="M830" s="148" t="str">
        <f t="shared" si="74"/>
        <v/>
      </c>
    </row>
    <row r="831" spans="1:13" x14ac:dyDescent="0.3">
      <c r="A831" s="149"/>
      <c r="B831" s="149"/>
      <c r="C831" s="149"/>
      <c r="D831" s="149"/>
      <c r="E831" s="149"/>
      <c r="F831" s="149"/>
      <c r="G831" s="162"/>
      <c r="H831" s="146" t="str">
        <f t="shared" si="70"/>
        <v/>
      </c>
      <c r="I831" s="161" t="str">
        <f t="shared" si="71"/>
        <v/>
      </c>
      <c r="J831" s="160" t="str">
        <f>IFERROR(INDEX(下年标准成本!I:I,MATCH(C831,下年标准成本!C:C,0),1),"")</f>
        <v/>
      </c>
      <c r="K831" s="146" t="str">
        <f t="shared" si="72"/>
        <v/>
      </c>
      <c r="L831" s="146" t="str">
        <f t="shared" si="73"/>
        <v/>
      </c>
      <c r="M831" s="148" t="str">
        <f t="shared" si="74"/>
        <v/>
      </c>
    </row>
    <row r="832" spans="1:13" x14ac:dyDescent="0.3">
      <c r="A832" s="149"/>
      <c r="B832" s="149"/>
      <c r="C832" s="149"/>
      <c r="D832" s="149"/>
      <c r="E832" s="149"/>
      <c r="F832" s="149"/>
      <c r="G832" s="162"/>
      <c r="H832" s="146" t="str">
        <f t="shared" si="70"/>
        <v/>
      </c>
      <c r="I832" s="161" t="str">
        <f t="shared" si="71"/>
        <v/>
      </c>
      <c r="J832" s="160" t="str">
        <f>IFERROR(INDEX(下年标准成本!I:I,MATCH(C832,下年标准成本!C:C,0),1),"")</f>
        <v/>
      </c>
      <c r="K832" s="146" t="str">
        <f t="shared" si="72"/>
        <v/>
      </c>
      <c r="L832" s="146" t="str">
        <f t="shared" si="73"/>
        <v/>
      </c>
      <c r="M832" s="148" t="str">
        <f t="shared" si="74"/>
        <v/>
      </c>
    </row>
    <row r="833" spans="1:13" x14ac:dyDescent="0.3">
      <c r="A833" s="149"/>
      <c r="B833" s="149"/>
      <c r="C833" s="149"/>
      <c r="D833" s="149"/>
      <c r="E833" s="149"/>
      <c r="F833" s="149"/>
      <c r="G833" s="162"/>
      <c r="H833" s="146" t="str">
        <f t="shared" si="70"/>
        <v/>
      </c>
      <c r="I833" s="161" t="str">
        <f t="shared" si="71"/>
        <v/>
      </c>
      <c r="J833" s="160" t="str">
        <f>IFERROR(INDEX(下年标准成本!I:I,MATCH(C833,下年标准成本!C:C,0),1),"")</f>
        <v/>
      </c>
      <c r="K833" s="146" t="str">
        <f t="shared" si="72"/>
        <v/>
      </c>
      <c r="L833" s="146" t="str">
        <f t="shared" si="73"/>
        <v/>
      </c>
      <c r="M833" s="148" t="str">
        <f t="shared" si="74"/>
        <v/>
      </c>
    </row>
    <row r="834" spans="1:13" x14ac:dyDescent="0.3">
      <c r="A834" s="149"/>
      <c r="B834" s="149"/>
      <c r="C834" s="149"/>
      <c r="D834" s="149"/>
      <c r="E834" s="149"/>
      <c r="F834" s="149"/>
      <c r="G834" s="162"/>
      <c r="H834" s="146" t="str">
        <f t="shared" si="70"/>
        <v/>
      </c>
      <c r="I834" s="161" t="str">
        <f t="shared" si="71"/>
        <v/>
      </c>
      <c r="J834" s="160" t="str">
        <f>IFERROR(INDEX(下年标准成本!I:I,MATCH(C834,下年标准成本!C:C,0),1),"")</f>
        <v/>
      </c>
      <c r="K834" s="146" t="str">
        <f t="shared" si="72"/>
        <v/>
      </c>
      <c r="L834" s="146" t="str">
        <f t="shared" si="73"/>
        <v/>
      </c>
      <c r="M834" s="148" t="str">
        <f t="shared" si="74"/>
        <v/>
      </c>
    </row>
    <row r="835" spans="1:13" x14ac:dyDescent="0.3">
      <c r="A835" s="149"/>
      <c r="B835" s="149"/>
      <c r="C835" s="149"/>
      <c r="D835" s="149"/>
      <c r="E835" s="149"/>
      <c r="F835" s="149"/>
      <c r="G835" s="162"/>
      <c r="H835" s="146" t="str">
        <f t="shared" si="70"/>
        <v/>
      </c>
      <c r="I835" s="161" t="str">
        <f t="shared" si="71"/>
        <v/>
      </c>
      <c r="J835" s="160" t="str">
        <f>IFERROR(INDEX(下年标准成本!I:I,MATCH(C835,下年标准成本!C:C,0),1),"")</f>
        <v/>
      </c>
      <c r="K835" s="146" t="str">
        <f t="shared" si="72"/>
        <v/>
      </c>
      <c r="L835" s="146" t="str">
        <f t="shared" si="73"/>
        <v/>
      </c>
      <c r="M835" s="148" t="str">
        <f t="shared" si="74"/>
        <v/>
      </c>
    </row>
    <row r="836" spans="1:13" x14ac:dyDescent="0.3">
      <c r="A836" s="149"/>
      <c r="B836" s="149"/>
      <c r="C836" s="149"/>
      <c r="D836" s="149"/>
      <c r="E836" s="149"/>
      <c r="F836" s="149"/>
      <c r="G836" s="162"/>
      <c r="H836" s="146" t="str">
        <f t="shared" si="70"/>
        <v/>
      </c>
      <c r="I836" s="161" t="str">
        <f t="shared" si="71"/>
        <v/>
      </c>
      <c r="J836" s="160" t="str">
        <f>IFERROR(INDEX(下年标准成本!I:I,MATCH(C836,下年标准成本!C:C,0),1),"")</f>
        <v/>
      </c>
      <c r="K836" s="146" t="str">
        <f t="shared" si="72"/>
        <v/>
      </c>
      <c r="L836" s="146" t="str">
        <f t="shared" si="73"/>
        <v/>
      </c>
      <c r="M836" s="148" t="str">
        <f t="shared" si="74"/>
        <v/>
      </c>
    </row>
    <row r="837" spans="1:13" x14ac:dyDescent="0.3">
      <c r="A837" s="149"/>
      <c r="B837" s="149"/>
      <c r="C837" s="149"/>
      <c r="D837" s="149"/>
      <c r="E837" s="149"/>
      <c r="F837" s="149"/>
      <c r="G837" s="162"/>
      <c r="H837" s="146" t="str">
        <f t="shared" si="70"/>
        <v/>
      </c>
      <c r="I837" s="161" t="str">
        <f t="shared" si="71"/>
        <v/>
      </c>
      <c r="J837" s="160" t="str">
        <f>IFERROR(INDEX(下年标准成本!I:I,MATCH(C837,下年标准成本!C:C,0),1),"")</f>
        <v/>
      </c>
      <c r="K837" s="146" t="str">
        <f t="shared" si="72"/>
        <v/>
      </c>
      <c r="L837" s="146" t="str">
        <f t="shared" si="73"/>
        <v/>
      </c>
      <c r="M837" s="148" t="str">
        <f t="shared" si="74"/>
        <v/>
      </c>
    </row>
    <row r="838" spans="1:13" x14ac:dyDescent="0.3">
      <c r="A838" s="149"/>
      <c r="B838" s="149"/>
      <c r="C838" s="149"/>
      <c r="D838" s="149"/>
      <c r="E838" s="149"/>
      <c r="F838" s="149"/>
      <c r="G838" s="162"/>
      <c r="H838" s="146" t="str">
        <f t="shared" si="70"/>
        <v/>
      </c>
      <c r="I838" s="161" t="str">
        <f t="shared" si="71"/>
        <v/>
      </c>
      <c r="J838" s="160" t="str">
        <f>IFERROR(INDEX(下年标准成本!I:I,MATCH(C838,下年标准成本!C:C,0),1),"")</f>
        <v/>
      </c>
      <c r="K838" s="146" t="str">
        <f t="shared" si="72"/>
        <v/>
      </c>
      <c r="L838" s="146" t="str">
        <f t="shared" si="73"/>
        <v/>
      </c>
      <c r="M838" s="148" t="str">
        <f t="shared" si="74"/>
        <v/>
      </c>
    </row>
    <row r="839" spans="1:13" x14ac:dyDescent="0.3">
      <c r="A839" s="149"/>
      <c r="B839" s="149"/>
      <c r="C839" s="149"/>
      <c r="D839" s="149"/>
      <c r="E839" s="149"/>
      <c r="F839" s="149"/>
      <c r="G839" s="162"/>
      <c r="H839" s="146" t="str">
        <f t="shared" si="70"/>
        <v/>
      </c>
      <c r="I839" s="161" t="str">
        <f t="shared" si="71"/>
        <v/>
      </c>
      <c r="J839" s="160" t="str">
        <f>IFERROR(INDEX(下年标准成本!I:I,MATCH(C839,下年标准成本!C:C,0),1),"")</f>
        <v/>
      </c>
      <c r="K839" s="146" t="str">
        <f t="shared" si="72"/>
        <v/>
      </c>
      <c r="L839" s="146" t="str">
        <f t="shared" si="73"/>
        <v/>
      </c>
      <c r="M839" s="148" t="str">
        <f t="shared" si="74"/>
        <v/>
      </c>
    </row>
    <row r="840" spans="1:13" x14ac:dyDescent="0.3">
      <c r="A840" s="149"/>
      <c r="B840" s="149"/>
      <c r="C840" s="149"/>
      <c r="D840" s="149"/>
      <c r="E840" s="149"/>
      <c r="F840" s="149"/>
      <c r="G840" s="162"/>
      <c r="H840" s="146" t="str">
        <f t="shared" si="70"/>
        <v/>
      </c>
      <c r="I840" s="161" t="str">
        <f t="shared" si="71"/>
        <v/>
      </c>
      <c r="J840" s="160" t="str">
        <f>IFERROR(INDEX(下年标准成本!I:I,MATCH(C840,下年标准成本!C:C,0),1),"")</f>
        <v/>
      </c>
      <c r="K840" s="146" t="str">
        <f t="shared" si="72"/>
        <v/>
      </c>
      <c r="L840" s="146" t="str">
        <f t="shared" si="73"/>
        <v/>
      </c>
      <c r="M840" s="148" t="str">
        <f t="shared" si="74"/>
        <v/>
      </c>
    </row>
    <row r="841" spans="1:13" x14ac:dyDescent="0.3">
      <c r="A841" s="149"/>
      <c r="B841" s="149"/>
      <c r="C841" s="149"/>
      <c r="D841" s="149"/>
      <c r="E841" s="149"/>
      <c r="F841" s="149"/>
      <c r="G841" s="162"/>
      <c r="H841" s="146" t="str">
        <f t="shared" si="70"/>
        <v/>
      </c>
      <c r="I841" s="161" t="str">
        <f t="shared" si="71"/>
        <v/>
      </c>
      <c r="J841" s="160" t="str">
        <f>IFERROR(INDEX(下年标准成本!I:I,MATCH(C841,下年标准成本!C:C,0),1),"")</f>
        <v/>
      </c>
      <c r="K841" s="146" t="str">
        <f t="shared" si="72"/>
        <v/>
      </c>
      <c r="L841" s="146" t="str">
        <f t="shared" si="73"/>
        <v/>
      </c>
      <c r="M841" s="148" t="str">
        <f t="shared" si="74"/>
        <v/>
      </c>
    </row>
    <row r="842" spans="1:13" x14ac:dyDescent="0.3">
      <c r="A842" s="149"/>
      <c r="B842" s="149"/>
      <c r="C842" s="149"/>
      <c r="D842" s="149"/>
      <c r="E842" s="149"/>
      <c r="F842" s="149"/>
      <c r="G842" s="162"/>
      <c r="H842" s="146" t="str">
        <f t="shared" ref="H842:H905" si="75">IFERROR(F842/E842,"")</f>
        <v/>
      </c>
      <c r="I842" s="161" t="str">
        <f t="shared" ref="I842:I905" si="76">IFERROR(H842*(1+G842),"")</f>
        <v/>
      </c>
      <c r="J842" s="160" t="str">
        <f>IFERROR(INDEX(下年标准成本!I:I,MATCH(C842,下年标准成本!C:C,0),1),"")</f>
        <v/>
      </c>
      <c r="K842" s="146" t="str">
        <f t="shared" ref="K842:K905" si="77">IFERROR(E842*J842,"")</f>
        <v/>
      </c>
      <c r="L842" s="146" t="str">
        <f t="shared" ref="L842:L905" si="78">IFERROR(F842-K842,"")</f>
        <v/>
      </c>
      <c r="M842" s="148" t="str">
        <f t="shared" ref="M842:M905" si="79">IFERROR(L842/F842,"")</f>
        <v/>
      </c>
    </row>
    <row r="843" spans="1:13" x14ac:dyDescent="0.3">
      <c r="A843" s="149"/>
      <c r="B843" s="149"/>
      <c r="C843" s="149"/>
      <c r="D843" s="149"/>
      <c r="E843" s="149"/>
      <c r="F843" s="149"/>
      <c r="G843" s="162"/>
      <c r="H843" s="146" t="str">
        <f t="shared" si="75"/>
        <v/>
      </c>
      <c r="I843" s="161" t="str">
        <f t="shared" si="76"/>
        <v/>
      </c>
      <c r="J843" s="160" t="str">
        <f>IFERROR(INDEX(下年标准成本!I:I,MATCH(C843,下年标准成本!C:C,0),1),"")</f>
        <v/>
      </c>
      <c r="K843" s="146" t="str">
        <f t="shared" si="77"/>
        <v/>
      </c>
      <c r="L843" s="146" t="str">
        <f t="shared" si="78"/>
        <v/>
      </c>
      <c r="M843" s="148" t="str">
        <f t="shared" si="79"/>
        <v/>
      </c>
    </row>
    <row r="844" spans="1:13" x14ac:dyDescent="0.3">
      <c r="A844" s="149"/>
      <c r="B844" s="149"/>
      <c r="C844" s="149"/>
      <c r="D844" s="149"/>
      <c r="E844" s="149"/>
      <c r="F844" s="149"/>
      <c r="G844" s="162"/>
      <c r="H844" s="146" t="str">
        <f t="shared" si="75"/>
        <v/>
      </c>
      <c r="I844" s="161" t="str">
        <f t="shared" si="76"/>
        <v/>
      </c>
      <c r="J844" s="160" t="str">
        <f>IFERROR(INDEX(下年标准成本!I:I,MATCH(C844,下年标准成本!C:C,0),1),"")</f>
        <v/>
      </c>
      <c r="K844" s="146" t="str">
        <f t="shared" si="77"/>
        <v/>
      </c>
      <c r="L844" s="146" t="str">
        <f t="shared" si="78"/>
        <v/>
      </c>
      <c r="M844" s="148" t="str">
        <f t="shared" si="79"/>
        <v/>
      </c>
    </row>
    <row r="845" spans="1:13" x14ac:dyDescent="0.3">
      <c r="A845" s="149"/>
      <c r="B845" s="149"/>
      <c r="C845" s="149"/>
      <c r="D845" s="149"/>
      <c r="E845" s="149"/>
      <c r="F845" s="149"/>
      <c r="G845" s="162"/>
      <c r="H845" s="146" t="str">
        <f t="shared" si="75"/>
        <v/>
      </c>
      <c r="I845" s="161" t="str">
        <f t="shared" si="76"/>
        <v/>
      </c>
      <c r="J845" s="160" t="str">
        <f>IFERROR(INDEX(下年标准成本!I:I,MATCH(C845,下年标准成本!C:C,0),1),"")</f>
        <v/>
      </c>
      <c r="K845" s="146" t="str">
        <f t="shared" si="77"/>
        <v/>
      </c>
      <c r="L845" s="146" t="str">
        <f t="shared" si="78"/>
        <v/>
      </c>
      <c r="M845" s="148" t="str">
        <f t="shared" si="79"/>
        <v/>
      </c>
    </row>
    <row r="846" spans="1:13" x14ac:dyDescent="0.3">
      <c r="A846" s="149"/>
      <c r="B846" s="149"/>
      <c r="C846" s="149"/>
      <c r="D846" s="149"/>
      <c r="E846" s="149"/>
      <c r="F846" s="149"/>
      <c r="G846" s="162"/>
      <c r="H846" s="146" t="str">
        <f t="shared" si="75"/>
        <v/>
      </c>
      <c r="I846" s="161" t="str">
        <f t="shared" si="76"/>
        <v/>
      </c>
      <c r="J846" s="160" t="str">
        <f>IFERROR(INDEX(下年标准成本!I:I,MATCH(C846,下年标准成本!C:C,0),1),"")</f>
        <v/>
      </c>
      <c r="K846" s="146" t="str">
        <f t="shared" si="77"/>
        <v/>
      </c>
      <c r="L846" s="146" t="str">
        <f t="shared" si="78"/>
        <v/>
      </c>
      <c r="M846" s="148" t="str">
        <f t="shared" si="79"/>
        <v/>
      </c>
    </row>
    <row r="847" spans="1:13" x14ac:dyDescent="0.3">
      <c r="A847" s="149"/>
      <c r="B847" s="149"/>
      <c r="C847" s="149"/>
      <c r="D847" s="149"/>
      <c r="E847" s="149"/>
      <c r="F847" s="149"/>
      <c r="G847" s="162"/>
      <c r="H847" s="146" t="str">
        <f t="shared" si="75"/>
        <v/>
      </c>
      <c r="I847" s="161" t="str">
        <f t="shared" si="76"/>
        <v/>
      </c>
      <c r="J847" s="160" t="str">
        <f>IFERROR(INDEX(下年标准成本!I:I,MATCH(C847,下年标准成本!C:C,0),1),"")</f>
        <v/>
      </c>
      <c r="K847" s="146" t="str">
        <f t="shared" si="77"/>
        <v/>
      </c>
      <c r="L847" s="146" t="str">
        <f t="shared" si="78"/>
        <v/>
      </c>
      <c r="M847" s="148" t="str">
        <f t="shared" si="79"/>
        <v/>
      </c>
    </row>
    <row r="848" spans="1:13" x14ac:dyDescent="0.3">
      <c r="A848" s="149"/>
      <c r="B848" s="149"/>
      <c r="C848" s="149"/>
      <c r="D848" s="149"/>
      <c r="E848" s="149"/>
      <c r="F848" s="149"/>
      <c r="G848" s="162"/>
      <c r="H848" s="146" t="str">
        <f t="shared" si="75"/>
        <v/>
      </c>
      <c r="I848" s="161" t="str">
        <f t="shared" si="76"/>
        <v/>
      </c>
      <c r="J848" s="160" t="str">
        <f>IFERROR(INDEX(下年标准成本!I:I,MATCH(C848,下年标准成本!C:C,0),1),"")</f>
        <v/>
      </c>
      <c r="K848" s="146" t="str">
        <f t="shared" si="77"/>
        <v/>
      </c>
      <c r="L848" s="146" t="str">
        <f t="shared" si="78"/>
        <v/>
      </c>
      <c r="M848" s="148" t="str">
        <f t="shared" si="79"/>
        <v/>
      </c>
    </row>
    <row r="849" spans="1:13" x14ac:dyDescent="0.3">
      <c r="A849" s="149"/>
      <c r="B849" s="149"/>
      <c r="C849" s="149"/>
      <c r="D849" s="149"/>
      <c r="E849" s="149"/>
      <c r="F849" s="149"/>
      <c r="G849" s="162"/>
      <c r="H849" s="146" t="str">
        <f t="shared" si="75"/>
        <v/>
      </c>
      <c r="I849" s="161" t="str">
        <f t="shared" si="76"/>
        <v/>
      </c>
      <c r="J849" s="160" t="str">
        <f>IFERROR(INDEX(下年标准成本!I:I,MATCH(C849,下年标准成本!C:C,0),1),"")</f>
        <v/>
      </c>
      <c r="K849" s="146" t="str">
        <f t="shared" si="77"/>
        <v/>
      </c>
      <c r="L849" s="146" t="str">
        <f t="shared" si="78"/>
        <v/>
      </c>
      <c r="M849" s="148" t="str">
        <f t="shared" si="79"/>
        <v/>
      </c>
    </row>
    <row r="850" spans="1:13" x14ac:dyDescent="0.3">
      <c r="A850" s="149"/>
      <c r="B850" s="149"/>
      <c r="C850" s="149"/>
      <c r="D850" s="149"/>
      <c r="E850" s="149"/>
      <c r="F850" s="149"/>
      <c r="G850" s="162"/>
      <c r="H850" s="146" t="str">
        <f t="shared" si="75"/>
        <v/>
      </c>
      <c r="I850" s="161" t="str">
        <f t="shared" si="76"/>
        <v/>
      </c>
      <c r="J850" s="160" t="str">
        <f>IFERROR(INDEX(下年标准成本!I:I,MATCH(C850,下年标准成本!C:C,0),1),"")</f>
        <v/>
      </c>
      <c r="K850" s="146" t="str">
        <f t="shared" si="77"/>
        <v/>
      </c>
      <c r="L850" s="146" t="str">
        <f t="shared" si="78"/>
        <v/>
      </c>
      <c r="M850" s="148" t="str">
        <f t="shared" si="79"/>
        <v/>
      </c>
    </row>
    <row r="851" spans="1:13" x14ac:dyDescent="0.3">
      <c r="A851" s="149"/>
      <c r="B851" s="149"/>
      <c r="C851" s="149"/>
      <c r="D851" s="149"/>
      <c r="E851" s="149"/>
      <c r="F851" s="149"/>
      <c r="G851" s="162"/>
      <c r="H851" s="146" t="str">
        <f t="shared" si="75"/>
        <v/>
      </c>
      <c r="I851" s="161" t="str">
        <f t="shared" si="76"/>
        <v/>
      </c>
      <c r="J851" s="160" t="str">
        <f>IFERROR(INDEX(下年标准成本!I:I,MATCH(C851,下年标准成本!C:C,0),1),"")</f>
        <v/>
      </c>
      <c r="K851" s="146" t="str">
        <f t="shared" si="77"/>
        <v/>
      </c>
      <c r="L851" s="146" t="str">
        <f t="shared" si="78"/>
        <v/>
      </c>
      <c r="M851" s="148" t="str">
        <f t="shared" si="79"/>
        <v/>
      </c>
    </row>
    <row r="852" spans="1:13" x14ac:dyDescent="0.3">
      <c r="A852" s="149"/>
      <c r="B852" s="149"/>
      <c r="C852" s="149"/>
      <c r="D852" s="149"/>
      <c r="E852" s="149"/>
      <c r="F852" s="149"/>
      <c r="G852" s="162"/>
      <c r="H852" s="146" t="str">
        <f t="shared" si="75"/>
        <v/>
      </c>
      <c r="I852" s="161" t="str">
        <f t="shared" si="76"/>
        <v/>
      </c>
      <c r="J852" s="160" t="str">
        <f>IFERROR(INDEX(下年标准成本!I:I,MATCH(C852,下年标准成本!C:C,0),1),"")</f>
        <v/>
      </c>
      <c r="K852" s="146" t="str">
        <f t="shared" si="77"/>
        <v/>
      </c>
      <c r="L852" s="146" t="str">
        <f t="shared" si="78"/>
        <v/>
      </c>
      <c r="M852" s="148" t="str">
        <f t="shared" si="79"/>
        <v/>
      </c>
    </row>
    <row r="853" spans="1:13" x14ac:dyDescent="0.3">
      <c r="A853" s="149"/>
      <c r="B853" s="149"/>
      <c r="C853" s="149"/>
      <c r="D853" s="149"/>
      <c r="E853" s="149"/>
      <c r="F853" s="149"/>
      <c r="G853" s="162"/>
      <c r="H853" s="146" t="str">
        <f t="shared" si="75"/>
        <v/>
      </c>
      <c r="I853" s="161" t="str">
        <f t="shared" si="76"/>
        <v/>
      </c>
      <c r="J853" s="160" t="str">
        <f>IFERROR(INDEX(下年标准成本!I:I,MATCH(C853,下年标准成本!C:C,0),1),"")</f>
        <v/>
      </c>
      <c r="K853" s="146" t="str">
        <f t="shared" si="77"/>
        <v/>
      </c>
      <c r="L853" s="146" t="str">
        <f t="shared" si="78"/>
        <v/>
      </c>
      <c r="M853" s="148" t="str">
        <f t="shared" si="79"/>
        <v/>
      </c>
    </row>
    <row r="854" spans="1:13" x14ac:dyDescent="0.3">
      <c r="A854" s="149"/>
      <c r="B854" s="149"/>
      <c r="C854" s="149"/>
      <c r="D854" s="149"/>
      <c r="E854" s="149"/>
      <c r="F854" s="149"/>
      <c r="G854" s="162"/>
      <c r="H854" s="146" t="str">
        <f t="shared" si="75"/>
        <v/>
      </c>
      <c r="I854" s="161" t="str">
        <f t="shared" si="76"/>
        <v/>
      </c>
      <c r="J854" s="160" t="str">
        <f>IFERROR(INDEX(下年标准成本!I:I,MATCH(C854,下年标准成本!C:C,0),1),"")</f>
        <v/>
      </c>
      <c r="K854" s="146" t="str">
        <f t="shared" si="77"/>
        <v/>
      </c>
      <c r="L854" s="146" t="str">
        <f t="shared" si="78"/>
        <v/>
      </c>
      <c r="M854" s="148" t="str">
        <f t="shared" si="79"/>
        <v/>
      </c>
    </row>
    <row r="855" spans="1:13" x14ac:dyDescent="0.3">
      <c r="A855" s="149"/>
      <c r="B855" s="149"/>
      <c r="C855" s="149"/>
      <c r="D855" s="149"/>
      <c r="E855" s="149"/>
      <c r="F855" s="149"/>
      <c r="G855" s="162"/>
      <c r="H855" s="146" t="str">
        <f t="shared" si="75"/>
        <v/>
      </c>
      <c r="I855" s="161" t="str">
        <f t="shared" si="76"/>
        <v/>
      </c>
      <c r="J855" s="160" t="str">
        <f>IFERROR(INDEX(下年标准成本!I:I,MATCH(C855,下年标准成本!C:C,0),1),"")</f>
        <v/>
      </c>
      <c r="K855" s="146" t="str">
        <f t="shared" si="77"/>
        <v/>
      </c>
      <c r="L855" s="146" t="str">
        <f t="shared" si="78"/>
        <v/>
      </c>
      <c r="M855" s="148" t="str">
        <f t="shared" si="79"/>
        <v/>
      </c>
    </row>
    <row r="856" spans="1:13" x14ac:dyDescent="0.3">
      <c r="A856" s="149"/>
      <c r="B856" s="149"/>
      <c r="C856" s="149"/>
      <c r="D856" s="149"/>
      <c r="E856" s="149"/>
      <c r="F856" s="149"/>
      <c r="G856" s="162"/>
      <c r="H856" s="146" t="str">
        <f t="shared" si="75"/>
        <v/>
      </c>
      <c r="I856" s="161" t="str">
        <f t="shared" si="76"/>
        <v/>
      </c>
      <c r="J856" s="160" t="str">
        <f>IFERROR(INDEX(下年标准成本!I:I,MATCH(C856,下年标准成本!C:C,0),1),"")</f>
        <v/>
      </c>
      <c r="K856" s="146" t="str">
        <f t="shared" si="77"/>
        <v/>
      </c>
      <c r="L856" s="146" t="str">
        <f t="shared" si="78"/>
        <v/>
      </c>
      <c r="M856" s="148" t="str">
        <f t="shared" si="79"/>
        <v/>
      </c>
    </row>
    <row r="857" spans="1:13" x14ac:dyDescent="0.3">
      <c r="A857" s="149"/>
      <c r="B857" s="149"/>
      <c r="C857" s="149"/>
      <c r="D857" s="149"/>
      <c r="E857" s="149"/>
      <c r="F857" s="149"/>
      <c r="G857" s="162"/>
      <c r="H857" s="146" t="str">
        <f t="shared" si="75"/>
        <v/>
      </c>
      <c r="I857" s="161" t="str">
        <f t="shared" si="76"/>
        <v/>
      </c>
      <c r="J857" s="160" t="str">
        <f>IFERROR(INDEX(下年标准成本!I:I,MATCH(C857,下年标准成本!C:C,0),1),"")</f>
        <v/>
      </c>
      <c r="K857" s="146" t="str">
        <f t="shared" si="77"/>
        <v/>
      </c>
      <c r="L857" s="146" t="str">
        <f t="shared" si="78"/>
        <v/>
      </c>
      <c r="M857" s="148" t="str">
        <f t="shared" si="79"/>
        <v/>
      </c>
    </row>
    <row r="858" spans="1:13" x14ac:dyDescent="0.3">
      <c r="A858" s="149"/>
      <c r="B858" s="149"/>
      <c r="C858" s="149"/>
      <c r="D858" s="149"/>
      <c r="E858" s="149"/>
      <c r="F858" s="149"/>
      <c r="G858" s="162"/>
      <c r="H858" s="146" t="str">
        <f t="shared" si="75"/>
        <v/>
      </c>
      <c r="I858" s="161" t="str">
        <f t="shared" si="76"/>
        <v/>
      </c>
      <c r="J858" s="160" t="str">
        <f>IFERROR(INDEX(下年标准成本!I:I,MATCH(C858,下年标准成本!C:C,0),1),"")</f>
        <v/>
      </c>
      <c r="K858" s="146" t="str">
        <f t="shared" si="77"/>
        <v/>
      </c>
      <c r="L858" s="146" t="str">
        <f t="shared" si="78"/>
        <v/>
      </c>
      <c r="M858" s="148" t="str">
        <f t="shared" si="79"/>
        <v/>
      </c>
    </row>
    <row r="859" spans="1:13" x14ac:dyDescent="0.3">
      <c r="A859" s="149"/>
      <c r="B859" s="149"/>
      <c r="C859" s="149"/>
      <c r="D859" s="149"/>
      <c r="E859" s="149"/>
      <c r="F859" s="149"/>
      <c r="G859" s="162"/>
      <c r="H859" s="146" t="str">
        <f t="shared" si="75"/>
        <v/>
      </c>
      <c r="I859" s="161" t="str">
        <f t="shared" si="76"/>
        <v/>
      </c>
      <c r="J859" s="160" t="str">
        <f>IFERROR(INDEX(下年标准成本!I:I,MATCH(C859,下年标准成本!C:C,0),1),"")</f>
        <v/>
      </c>
      <c r="K859" s="146" t="str">
        <f t="shared" si="77"/>
        <v/>
      </c>
      <c r="L859" s="146" t="str">
        <f t="shared" si="78"/>
        <v/>
      </c>
      <c r="M859" s="148" t="str">
        <f t="shared" si="79"/>
        <v/>
      </c>
    </row>
    <row r="860" spans="1:13" x14ac:dyDescent="0.3">
      <c r="A860" s="149"/>
      <c r="B860" s="149"/>
      <c r="C860" s="149"/>
      <c r="D860" s="149"/>
      <c r="E860" s="149"/>
      <c r="F860" s="149"/>
      <c r="G860" s="162"/>
      <c r="H860" s="146" t="str">
        <f t="shared" si="75"/>
        <v/>
      </c>
      <c r="I860" s="161" t="str">
        <f t="shared" si="76"/>
        <v/>
      </c>
      <c r="J860" s="160" t="str">
        <f>IFERROR(INDEX(下年标准成本!I:I,MATCH(C860,下年标准成本!C:C,0),1),"")</f>
        <v/>
      </c>
      <c r="K860" s="146" t="str">
        <f t="shared" si="77"/>
        <v/>
      </c>
      <c r="L860" s="146" t="str">
        <f t="shared" si="78"/>
        <v/>
      </c>
      <c r="M860" s="148" t="str">
        <f t="shared" si="79"/>
        <v/>
      </c>
    </row>
    <row r="861" spans="1:13" x14ac:dyDescent="0.3">
      <c r="A861" s="149"/>
      <c r="B861" s="149"/>
      <c r="C861" s="149"/>
      <c r="D861" s="149"/>
      <c r="E861" s="149"/>
      <c r="F861" s="149"/>
      <c r="G861" s="162"/>
      <c r="H861" s="146" t="str">
        <f t="shared" si="75"/>
        <v/>
      </c>
      <c r="I861" s="161" t="str">
        <f t="shared" si="76"/>
        <v/>
      </c>
      <c r="J861" s="160" t="str">
        <f>IFERROR(INDEX(下年标准成本!I:I,MATCH(C861,下年标准成本!C:C,0),1),"")</f>
        <v/>
      </c>
      <c r="K861" s="146" t="str">
        <f t="shared" si="77"/>
        <v/>
      </c>
      <c r="L861" s="146" t="str">
        <f t="shared" si="78"/>
        <v/>
      </c>
      <c r="M861" s="148" t="str">
        <f t="shared" si="79"/>
        <v/>
      </c>
    </row>
    <row r="862" spans="1:13" x14ac:dyDescent="0.3">
      <c r="A862" s="149"/>
      <c r="B862" s="149"/>
      <c r="C862" s="149"/>
      <c r="D862" s="149"/>
      <c r="E862" s="149"/>
      <c r="F862" s="149"/>
      <c r="G862" s="162"/>
      <c r="H862" s="146" t="str">
        <f t="shared" si="75"/>
        <v/>
      </c>
      <c r="I862" s="161" t="str">
        <f t="shared" si="76"/>
        <v/>
      </c>
      <c r="J862" s="160" t="str">
        <f>IFERROR(INDEX(下年标准成本!I:I,MATCH(C862,下年标准成本!C:C,0),1),"")</f>
        <v/>
      </c>
      <c r="K862" s="146" t="str">
        <f t="shared" si="77"/>
        <v/>
      </c>
      <c r="L862" s="146" t="str">
        <f t="shared" si="78"/>
        <v/>
      </c>
      <c r="M862" s="148" t="str">
        <f t="shared" si="79"/>
        <v/>
      </c>
    </row>
    <row r="863" spans="1:13" x14ac:dyDescent="0.3">
      <c r="A863" s="149"/>
      <c r="B863" s="149"/>
      <c r="C863" s="149"/>
      <c r="D863" s="149"/>
      <c r="E863" s="149"/>
      <c r="F863" s="149"/>
      <c r="G863" s="162"/>
      <c r="H863" s="146" t="str">
        <f t="shared" si="75"/>
        <v/>
      </c>
      <c r="I863" s="161" t="str">
        <f t="shared" si="76"/>
        <v/>
      </c>
      <c r="J863" s="160" t="str">
        <f>IFERROR(INDEX(下年标准成本!I:I,MATCH(C863,下年标准成本!C:C,0),1),"")</f>
        <v/>
      </c>
      <c r="K863" s="146" t="str">
        <f t="shared" si="77"/>
        <v/>
      </c>
      <c r="L863" s="146" t="str">
        <f t="shared" si="78"/>
        <v/>
      </c>
      <c r="M863" s="148" t="str">
        <f t="shared" si="79"/>
        <v/>
      </c>
    </row>
    <row r="864" spans="1:13" x14ac:dyDescent="0.3">
      <c r="A864" s="149"/>
      <c r="B864" s="149"/>
      <c r="C864" s="149"/>
      <c r="D864" s="149"/>
      <c r="E864" s="149"/>
      <c r="F864" s="149"/>
      <c r="G864" s="162"/>
      <c r="H864" s="146" t="str">
        <f t="shared" si="75"/>
        <v/>
      </c>
      <c r="I864" s="161" t="str">
        <f t="shared" si="76"/>
        <v/>
      </c>
      <c r="J864" s="160" t="str">
        <f>IFERROR(INDEX(下年标准成本!I:I,MATCH(C864,下年标准成本!C:C,0),1),"")</f>
        <v/>
      </c>
      <c r="K864" s="146" t="str">
        <f t="shared" si="77"/>
        <v/>
      </c>
      <c r="L864" s="146" t="str">
        <f t="shared" si="78"/>
        <v/>
      </c>
      <c r="M864" s="148" t="str">
        <f t="shared" si="79"/>
        <v/>
      </c>
    </row>
    <row r="865" spans="1:13" x14ac:dyDescent="0.3">
      <c r="A865" s="149"/>
      <c r="B865" s="149"/>
      <c r="C865" s="149"/>
      <c r="D865" s="149"/>
      <c r="E865" s="149"/>
      <c r="F865" s="149"/>
      <c r="G865" s="162"/>
      <c r="H865" s="146" t="str">
        <f t="shared" si="75"/>
        <v/>
      </c>
      <c r="I865" s="161" t="str">
        <f t="shared" si="76"/>
        <v/>
      </c>
      <c r="J865" s="160" t="str">
        <f>IFERROR(INDEX(下年标准成本!I:I,MATCH(C865,下年标准成本!C:C,0),1),"")</f>
        <v/>
      </c>
      <c r="K865" s="146" t="str">
        <f t="shared" si="77"/>
        <v/>
      </c>
      <c r="L865" s="146" t="str">
        <f t="shared" si="78"/>
        <v/>
      </c>
      <c r="M865" s="148" t="str">
        <f t="shared" si="79"/>
        <v/>
      </c>
    </row>
    <row r="866" spans="1:13" x14ac:dyDescent="0.3">
      <c r="A866" s="149"/>
      <c r="B866" s="149"/>
      <c r="C866" s="149"/>
      <c r="D866" s="149"/>
      <c r="E866" s="149"/>
      <c r="F866" s="149"/>
      <c r="G866" s="162"/>
      <c r="H866" s="146" t="str">
        <f t="shared" si="75"/>
        <v/>
      </c>
      <c r="I866" s="161" t="str">
        <f t="shared" si="76"/>
        <v/>
      </c>
      <c r="J866" s="160" t="str">
        <f>IFERROR(INDEX(下年标准成本!I:I,MATCH(C866,下年标准成本!C:C,0),1),"")</f>
        <v/>
      </c>
      <c r="K866" s="146" t="str">
        <f t="shared" si="77"/>
        <v/>
      </c>
      <c r="L866" s="146" t="str">
        <f t="shared" si="78"/>
        <v/>
      </c>
      <c r="M866" s="148" t="str">
        <f t="shared" si="79"/>
        <v/>
      </c>
    </row>
    <row r="867" spans="1:13" x14ac:dyDescent="0.3">
      <c r="A867" s="149"/>
      <c r="B867" s="149"/>
      <c r="C867" s="149"/>
      <c r="D867" s="149"/>
      <c r="E867" s="149"/>
      <c r="F867" s="149"/>
      <c r="G867" s="162"/>
      <c r="H867" s="146" t="str">
        <f t="shared" si="75"/>
        <v/>
      </c>
      <c r="I867" s="161" t="str">
        <f t="shared" si="76"/>
        <v/>
      </c>
      <c r="J867" s="160" t="str">
        <f>IFERROR(INDEX(下年标准成本!I:I,MATCH(C867,下年标准成本!C:C,0),1),"")</f>
        <v/>
      </c>
      <c r="K867" s="146" t="str">
        <f t="shared" si="77"/>
        <v/>
      </c>
      <c r="L867" s="146" t="str">
        <f t="shared" si="78"/>
        <v/>
      </c>
      <c r="M867" s="148" t="str">
        <f t="shared" si="79"/>
        <v/>
      </c>
    </row>
    <row r="868" spans="1:13" x14ac:dyDescent="0.3">
      <c r="A868" s="149"/>
      <c r="B868" s="149"/>
      <c r="C868" s="149"/>
      <c r="D868" s="149"/>
      <c r="E868" s="149"/>
      <c r="F868" s="149"/>
      <c r="G868" s="162"/>
      <c r="H868" s="146" t="str">
        <f t="shared" si="75"/>
        <v/>
      </c>
      <c r="I868" s="161" t="str">
        <f t="shared" si="76"/>
        <v/>
      </c>
      <c r="J868" s="160" t="str">
        <f>IFERROR(INDEX(下年标准成本!I:I,MATCH(C868,下年标准成本!C:C,0),1),"")</f>
        <v/>
      </c>
      <c r="K868" s="146" t="str">
        <f t="shared" si="77"/>
        <v/>
      </c>
      <c r="L868" s="146" t="str">
        <f t="shared" si="78"/>
        <v/>
      </c>
      <c r="M868" s="148" t="str">
        <f t="shared" si="79"/>
        <v/>
      </c>
    </row>
    <row r="869" spans="1:13" x14ac:dyDescent="0.3">
      <c r="A869" s="149"/>
      <c r="B869" s="149"/>
      <c r="C869" s="149"/>
      <c r="D869" s="149"/>
      <c r="E869" s="149"/>
      <c r="F869" s="149"/>
      <c r="G869" s="162"/>
      <c r="H869" s="146" t="str">
        <f t="shared" si="75"/>
        <v/>
      </c>
      <c r="I869" s="161" t="str">
        <f t="shared" si="76"/>
        <v/>
      </c>
      <c r="J869" s="160" t="str">
        <f>IFERROR(INDEX(下年标准成本!I:I,MATCH(C869,下年标准成本!C:C,0),1),"")</f>
        <v/>
      </c>
      <c r="K869" s="146" t="str">
        <f t="shared" si="77"/>
        <v/>
      </c>
      <c r="L869" s="146" t="str">
        <f t="shared" si="78"/>
        <v/>
      </c>
      <c r="M869" s="148" t="str">
        <f t="shared" si="79"/>
        <v/>
      </c>
    </row>
    <row r="870" spans="1:13" x14ac:dyDescent="0.3">
      <c r="A870" s="149"/>
      <c r="B870" s="149"/>
      <c r="C870" s="149"/>
      <c r="D870" s="149"/>
      <c r="E870" s="149"/>
      <c r="F870" s="149"/>
      <c r="G870" s="162"/>
      <c r="H870" s="146" t="str">
        <f t="shared" si="75"/>
        <v/>
      </c>
      <c r="I870" s="161" t="str">
        <f t="shared" si="76"/>
        <v/>
      </c>
      <c r="J870" s="160" t="str">
        <f>IFERROR(INDEX(下年标准成本!I:I,MATCH(C870,下年标准成本!C:C,0),1),"")</f>
        <v/>
      </c>
      <c r="K870" s="146" t="str">
        <f t="shared" si="77"/>
        <v/>
      </c>
      <c r="L870" s="146" t="str">
        <f t="shared" si="78"/>
        <v/>
      </c>
      <c r="M870" s="148" t="str">
        <f t="shared" si="79"/>
        <v/>
      </c>
    </row>
    <row r="871" spans="1:13" x14ac:dyDescent="0.3">
      <c r="A871" s="149"/>
      <c r="B871" s="149"/>
      <c r="C871" s="149"/>
      <c r="D871" s="149"/>
      <c r="E871" s="149"/>
      <c r="F871" s="149"/>
      <c r="G871" s="162"/>
      <c r="H871" s="146" t="str">
        <f t="shared" si="75"/>
        <v/>
      </c>
      <c r="I871" s="161" t="str">
        <f t="shared" si="76"/>
        <v/>
      </c>
      <c r="J871" s="160" t="str">
        <f>IFERROR(INDEX(下年标准成本!I:I,MATCH(C871,下年标准成本!C:C,0),1),"")</f>
        <v/>
      </c>
      <c r="K871" s="146" t="str">
        <f t="shared" si="77"/>
        <v/>
      </c>
      <c r="L871" s="146" t="str">
        <f t="shared" si="78"/>
        <v/>
      </c>
      <c r="M871" s="148" t="str">
        <f t="shared" si="79"/>
        <v/>
      </c>
    </row>
    <row r="872" spans="1:13" x14ac:dyDescent="0.3">
      <c r="A872" s="149"/>
      <c r="B872" s="149"/>
      <c r="C872" s="149"/>
      <c r="D872" s="149"/>
      <c r="E872" s="149"/>
      <c r="F872" s="149"/>
      <c r="G872" s="162"/>
      <c r="H872" s="146" t="str">
        <f t="shared" si="75"/>
        <v/>
      </c>
      <c r="I872" s="161" t="str">
        <f t="shared" si="76"/>
        <v/>
      </c>
      <c r="J872" s="160" t="str">
        <f>IFERROR(INDEX(下年标准成本!I:I,MATCH(C872,下年标准成本!C:C,0),1),"")</f>
        <v/>
      </c>
      <c r="K872" s="146" t="str">
        <f t="shared" si="77"/>
        <v/>
      </c>
      <c r="L872" s="146" t="str">
        <f t="shared" si="78"/>
        <v/>
      </c>
      <c r="M872" s="148" t="str">
        <f t="shared" si="79"/>
        <v/>
      </c>
    </row>
    <row r="873" spans="1:13" x14ac:dyDescent="0.3">
      <c r="A873" s="149"/>
      <c r="B873" s="149"/>
      <c r="C873" s="149"/>
      <c r="D873" s="149"/>
      <c r="E873" s="149"/>
      <c r="F873" s="149"/>
      <c r="G873" s="162"/>
      <c r="H873" s="146" t="str">
        <f t="shared" si="75"/>
        <v/>
      </c>
      <c r="I873" s="161" t="str">
        <f t="shared" si="76"/>
        <v/>
      </c>
      <c r="J873" s="160" t="str">
        <f>IFERROR(INDEX(下年标准成本!I:I,MATCH(C873,下年标准成本!C:C,0),1),"")</f>
        <v/>
      </c>
      <c r="K873" s="146" t="str">
        <f t="shared" si="77"/>
        <v/>
      </c>
      <c r="L873" s="146" t="str">
        <f t="shared" si="78"/>
        <v/>
      </c>
      <c r="M873" s="148" t="str">
        <f t="shared" si="79"/>
        <v/>
      </c>
    </row>
    <row r="874" spans="1:13" x14ac:dyDescent="0.3">
      <c r="A874" s="149"/>
      <c r="B874" s="149"/>
      <c r="C874" s="149"/>
      <c r="D874" s="149"/>
      <c r="E874" s="149"/>
      <c r="F874" s="149"/>
      <c r="G874" s="162"/>
      <c r="H874" s="146" t="str">
        <f t="shared" si="75"/>
        <v/>
      </c>
      <c r="I874" s="161" t="str">
        <f t="shared" si="76"/>
        <v/>
      </c>
      <c r="J874" s="160" t="str">
        <f>IFERROR(INDEX(下年标准成本!I:I,MATCH(C874,下年标准成本!C:C,0),1),"")</f>
        <v/>
      </c>
      <c r="K874" s="146" t="str">
        <f t="shared" si="77"/>
        <v/>
      </c>
      <c r="L874" s="146" t="str">
        <f t="shared" si="78"/>
        <v/>
      </c>
      <c r="M874" s="148" t="str">
        <f t="shared" si="79"/>
        <v/>
      </c>
    </row>
    <row r="875" spans="1:13" x14ac:dyDescent="0.3">
      <c r="A875" s="149"/>
      <c r="B875" s="149"/>
      <c r="C875" s="149"/>
      <c r="D875" s="149"/>
      <c r="E875" s="149"/>
      <c r="F875" s="149"/>
      <c r="G875" s="162"/>
      <c r="H875" s="146" t="str">
        <f t="shared" si="75"/>
        <v/>
      </c>
      <c r="I875" s="161" t="str">
        <f t="shared" si="76"/>
        <v/>
      </c>
      <c r="J875" s="160" t="str">
        <f>IFERROR(INDEX(下年标准成本!I:I,MATCH(C875,下年标准成本!C:C,0),1),"")</f>
        <v/>
      </c>
      <c r="K875" s="146" t="str">
        <f t="shared" si="77"/>
        <v/>
      </c>
      <c r="L875" s="146" t="str">
        <f t="shared" si="78"/>
        <v/>
      </c>
      <c r="M875" s="148" t="str">
        <f t="shared" si="79"/>
        <v/>
      </c>
    </row>
    <row r="876" spans="1:13" x14ac:dyDescent="0.3">
      <c r="A876" s="149"/>
      <c r="B876" s="149"/>
      <c r="C876" s="149"/>
      <c r="D876" s="149"/>
      <c r="E876" s="149"/>
      <c r="F876" s="149"/>
      <c r="G876" s="162"/>
      <c r="H876" s="146" t="str">
        <f t="shared" si="75"/>
        <v/>
      </c>
      <c r="I876" s="161" t="str">
        <f t="shared" si="76"/>
        <v/>
      </c>
      <c r="J876" s="160" t="str">
        <f>IFERROR(INDEX(下年标准成本!I:I,MATCH(C876,下年标准成本!C:C,0),1),"")</f>
        <v/>
      </c>
      <c r="K876" s="146" t="str">
        <f t="shared" si="77"/>
        <v/>
      </c>
      <c r="L876" s="146" t="str">
        <f t="shared" si="78"/>
        <v/>
      </c>
      <c r="M876" s="148" t="str">
        <f t="shared" si="79"/>
        <v/>
      </c>
    </row>
    <row r="877" spans="1:13" x14ac:dyDescent="0.3">
      <c r="A877" s="149"/>
      <c r="B877" s="149"/>
      <c r="C877" s="149"/>
      <c r="D877" s="149"/>
      <c r="E877" s="149"/>
      <c r="F877" s="149"/>
      <c r="G877" s="162"/>
      <c r="H877" s="146" t="str">
        <f t="shared" si="75"/>
        <v/>
      </c>
      <c r="I877" s="161" t="str">
        <f t="shared" si="76"/>
        <v/>
      </c>
      <c r="J877" s="160" t="str">
        <f>IFERROR(INDEX(下年标准成本!I:I,MATCH(C877,下年标准成本!C:C,0),1),"")</f>
        <v/>
      </c>
      <c r="K877" s="146" t="str">
        <f t="shared" si="77"/>
        <v/>
      </c>
      <c r="L877" s="146" t="str">
        <f t="shared" si="78"/>
        <v/>
      </c>
      <c r="M877" s="148" t="str">
        <f t="shared" si="79"/>
        <v/>
      </c>
    </row>
    <row r="878" spans="1:13" x14ac:dyDescent="0.3">
      <c r="A878" s="149"/>
      <c r="B878" s="149"/>
      <c r="C878" s="149"/>
      <c r="D878" s="149"/>
      <c r="E878" s="149"/>
      <c r="F878" s="149"/>
      <c r="G878" s="162"/>
      <c r="H878" s="146" t="str">
        <f t="shared" si="75"/>
        <v/>
      </c>
      <c r="I878" s="161" t="str">
        <f t="shared" si="76"/>
        <v/>
      </c>
      <c r="J878" s="160" t="str">
        <f>IFERROR(INDEX(下年标准成本!I:I,MATCH(C878,下年标准成本!C:C,0),1),"")</f>
        <v/>
      </c>
      <c r="K878" s="146" t="str">
        <f t="shared" si="77"/>
        <v/>
      </c>
      <c r="L878" s="146" t="str">
        <f t="shared" si="78"/>
        <v/>
      </c>
      <c r="M878" s="148" t="str">
        <f t="shared" si="79"/>
        <v/>
      </c>
    </row>
    <row r="879" spans="1:13" x14ac:dyDescent="0.3">
      <c r="A879" s="149"/>
      <c r="B879" s="149"/>
      <c r="C879" s="149"/>
      <c r="D879" s="149"/>
      <c r="E879" s="149"/>
      <c r="F879" s="149"/>
      <c r="G879" s="162"/>
      <c r="H879" s="146" t="str">
        <f t="shared" si="75"/>
        <v/>
      </c>
      <c r="I879" s="161" t="str">
        <f t="shared" si="76"/>
        <v/>
      </c>
      <c r="J879" s="160" t="str">
        <f>IFERROR(INDEX(下年标准成本!I:I,MATCH(C879,下年标准成本!C:C,0),1),"")</f>
        <v/>
      </c>
      <c r="K879" s="146" t="str">
        <f t="shared" si="77"/>
        <v/>
      </c>
      <c r="L879" s="146" t="str">
        <f t="shared" si="78"/>
        <v/>
      </c>
      <c r="M879" s="148" t="str">
        <f t="shared" si="79"/>
        <v/>
      </c>
    </row>
    <row r="880" spans="1:13" x14ac:dyDescent="0.3">
      <c r="A880" s="149"/>
      <c r="B880" s="149"/>
      <c r="C880" s="149"/>
      <c r="D880" s="149"/>
      <c r="E880" s="149"/>
      <c r="F880" s="149"/>
      <c r="G880" s="162"/>
      <c r="H880" s="146" t="str">
        <f t="shared" si="75"/>
        <v/>
      </c>
      <c r="I880" s="161" t="str">
        <f t="shared" si="76"/>
        <v/>
      </c>
      <c r="J880" s="160" t="str">
        <f>IFERROR(INDEX(下年标准成本!I:I,MATCH(C880,下年标准成本!C:C,0),1),"")</f>
        <v/>
      </c>
      <c r="K880" s="146" t="str">
        <f t="shared" si="77"/>
        <v/>
      </c>
      <c r="L880" s="146" t="str">
        <f t="shared" si="78"/>
        <v/>
      </c>
      <c r="M880" s="148" t="str">
        <f t="shared" si="79"/>
        <v/>
      </c>
    </row>
    <row r="881" spans="1:13" x14ac:dyDescent="0.3">
      <c r="A881" s="149"/>
      <c r="B881" s="149"/>
      <c r="C881" s="149"/>
      <c r="D881" s="149"/>
      <c r="E881" s="149"/>
      <c r="F881" s="149"/>
      <c r="G881" s="162"/>
      <c r="H881" s="146" t="str">
        <f t="shared" si="75"/>
        <v/>
      </c>
      <c r="I881" s="161" t="str">
        <f t="shared" si="76"/>
        <v/>
      </c>
      <c r="J881" s="160" t="str">
        <f>IFERROR(INDEX(下年标准成本!I:I,MATCH(C881,下年标准成本!C:C,0),1),"")</f>
        <v/>
      </c>
      <c r="K881" s="146" t="str">
        <f t="shared" si="77"/>
        <v/>
      </c>
      <c r="L881" s="146" t="str">
        <f t="shared" si="78"/>
        <v/>
      </c>
      <c r="M881" s="148" t="str">
        <f t="shared" si="79"/>
        <v/>
      </c>
    </row>
    <row r="882" spans="1:13" x14ac:dyDescent="0.3">
      <c r="A882" s="149"/>
      <c r="B882" s="149"/>
      <c r="C882" s="149"/>
      <c r="D882" s="149"/>
      <c r="E882" s="149"/>
      <c r="F882" s="149"/>
      <c r="G882" s="162"/>
      <c r="H882" s="146" t="str">
        <f t="shared" si="75"/>
        <v/>
      </c>
      <c r="I882" s="161" t="str">
        <f t="shared" si="76"/>
        <v/>
      </c>
      <c r="J882" s="160" t="str">
        <f>IFERROR(INDEX(下年标准成本!I:I,MATCH(C882,下年标准成本!C:C,0),1),"")</f>
        <v/>
      </c>
      <c r="K882" s="146" t="str">
        <f t="shared" si="77"/>
        <v/>
      </c>
      <c r="L882" s="146" t="str">
        <f t="shared" si="78"/>
        <v/>
      </c>
      <c r="M882" s="148" t="str">
        <f t="shared" si="79"/>
        <v/>
      </c>
    </row>
    <row r="883" spans="1:13" x14ac:dyDescent="0.3">
      <c r="A883" s="149"/>
      <c r="B883" s="149"/>
      <c r="C883" s="149"/>
      <c r="D883" s="149"/>
      <c r="E883" s="149"/>
      <c r="F883" s="149"/>
      <c r="G883" s="162"/>
      <c r="H883" s="146" t="str">
        <f t="shared" si="75"/>
        <v/>
      </c>
      <c r="I883" s="161" t="str">
        <f t="shared" si="76"/>
        <v/>
      </c>
      <c r="J883" s="160" t="str">
        <f>IFERROR(INDEX(下年标准成本!I:I,MATCH(C883,下年标准成本!C:C,0),1),"")</f>
        <v/>
      </c>
      <c r="K883" s="146" t="str">
        <f t="shared" si="77"/>
        <v/>
      </c>
      <c r="L883" s="146" t="str">
        <f t="shared" si="78"/>
        <v/>
      </c>
      <c r="M883" s="148" t="str">
        <f t="shared" si="79"/>
        <v/>
      </c>
    </row>
    <row r="884" spans="1:13" x14ac:dyDescent="0.3">
      <c r="A884" s="149"/>
      <c r="B884" s="149"/>
      <c r="C884" s="149"/>
      <c r="D884" s="149"/>
      <c r="E884" s="149"/>
      <c r="F884" s="149"/>
      <c r="G884" s="162"/>
      <c r="H884" s="146" t="str">
        <f t="shared" si="75"/>
        <v/>
      </c>
      <c r="I884" s="161" t="str">
        <f t="shared" si="76"/>
        <v/>
      </c>
      <c r="J884" s="160" t="str">
        <f>IFERROR(INDEX(下年标准成本!I:I,MATCH(C884,下年标准成本!C:C,0),1),"")</f>
        <v/>
      </c>
      <c r="K884" s="146" t="str">
        <f t="shared" si="77"/>
        <v/>
      </c>
      <c r="L884" s="146" t="str">
        <f t="shared" si="78"/>
        <v/>
      </c>
      <c r="M884" s="148" t="str">
        <f t="shared" si="79"/>
        <v/>
      </c>
    </row>
    <row r="885" spans="1:13" x14ac:dyDescent="0.3">
      <c r="A885" s="149"/>
      <c r="B885" s="149"/>
      <c r="C885" s="149"/>
      <c r="D885" s="149"/>
      <c r="E885" s="149"/>
      <c r="F885" s="149"/>
      <c r="G885" s="162"/>
      <c r="H885" s="146" t="str">
        <f t="shared" si="75"/>
        <v/>
      </c>
      <c r="I885" s="161" t="str">
        <f t="shared" si="76"/>
        <v/>
      </c>
      <c r="J885" s="160" t="str">
        <f>IFERROR(INDEX(下年标准成本!I:I,MATCH(C885,下年标准成本!C:C,0),1),"")</f>
        <v/>
      </c>
      <c r="K885" s="146" t="str">
        <f t="shared" si="77"/>
        <v/>
      </c>
      <c r="L885" s="146" t="str">
        <f t="shared" si="78"/>
        <v/>
      </c>
      <c r="M885" s="148" t="str">
        <f t="shared" si="79"/>
        <v/>
      </c>
    </row>
    <row r="886" spans="1:13" x14ac:dyDescent="0.3">
      <c r="A886" s="149"/>
      <c r="B886" s="149"/>
      <c r="C886" s="149"/>
      <c r="D886" s="149"/>
      <c r="E886" s="149"/>
      <c r="F886" s="149"/>
      <c r="G886" s="162"/>
      <c r="H886" s="146" t="str">
        <f t="shared" si="75"/>
        <v/>
      </c>
      <c r="I886" s="161" t="str">
        <f t="shared" si="76"/>
        <v/>
      </c>
      <c r="J886" s="160" t="str">
        <f>IFERROR(INDEX(下年标准成本!I:I,MATCH(C886,下年标准成本!C:C,0),1),"")</f>
        <v/>
      </c>
      <c r="K886" s="146" t="str">
        <f t="shared" si="77"/>
        <v/>
      </c>
      <c r="L886" s="146" t="str">
        <f t="shared" si="78"/>
        <v/>
      </c>
      <c r="M886" s="148" t="str">
        <f t="shared" si="79"/>
        <v/>
      </c>
    </row>
    <row r="887" spans="1:13" x14ac:dyDescent="0.3">
      <c r="A887" s="149"/>
      <c r="B887" s="149"/>
      <c r="C887" s="149"/>
      <c r="D887" s="149"/>
      <c r="E887" s="149"/>
      <c r="F887" s="149"/>
      <c r="G887" s="162"/>
      <c r="H887" s="146" t="str">
        <f t="shared" si="75"/>
        <v/>
      </c>
      <c r="I887" s="161" t="str">
        <f t="shared" si="76"/>
        <v/>
      </c>
      <c r="J887" s="160" t="str">
        <f>IFERROR(INDEX(下年标准成本!I:I,MATCH(C887,下年标准成本!C:C,0),1),"")</f>
        <v/>
      </c>
      <c r="K887" s="146" t="str">
        <f t="shared" si="77"/>
        <v/>
      </c>
      <c r="L887" s="146" t="str">
        <f t="shared" si="78"/>
        <v/>
      </c>
      <c r="M887" s="148" t="str">
        <f t="shared" si="79"/>
        <v/>
      </c>
    </row>
    <row r="888" spans="1:13" x14ac:dyDescent="0.3">
      <c r="A888" s="149"/>
      <c r="B888" s="149"/>
      <c r="C888" s="149"/>
      <c r="D888" s="149"/>
      <c r="E888" s="149"/>
      <c r="F888" s="149"/>
      <c r="G888" s="162"/>
      <c r="H888" s="146" t="str">
        <f t="shared" si="75"/>
        <v/>
      </c>
      <c r="I888" s="161" t="str">
        <f t="shared" si="76"/>
        <v/>
      </c>
      <c r="J888" s="160" t="str">
        <f>IFERROR(INDEX(下年标准成本!I:I,MATCH(C888,下年标准成本!C:C,0),1),"")</f>
        <v/>
      </c>
      <c r="K888" s="146" t="str">
        <f t="shared" si="77"/>
        <v/>
      </c>
      <c r="L888" s="146" t="str">
        <f t="shared" si="78"/>
        <v/>
      </c>
      <c r="M888" s="148" t="str">
        <f t="shared" si="79"/>
        <v/>
      </c>
    </row>
    <row r="889" spans="1:13" x14ac:dyDescent="0.3">
      <c r="A889" s="149"/>
      <c r="B889" s="149"/>
      <c r="C889" s="149"/>
      <c r="D889" s="149"/>
      <c r="E889" s="149"/>
      <c r="F889" s="149"/>
      <c r="G889" s="162"/>
      <c r="H889" s="146" t="str">
        <f t="shared" si="75"/>
        <v/>
      </c>
      <c r="I889" s="161" t="str">
        <f t="shared" si="76"/>
        <v/>
      </c>
      <c r="J889" s="160" t="str">
        <f>IFERROR(INDEX(下年标准成本!I:I,MATCH(C889,下年标准成本!C:C,0),1),"")</f>
        <v/>
      </c>
      <c r="K889" s="146" t="str">
        <f t="shared" si="77"/>
        <v/>
      </c>
      <c r="L889" s="146" t="str">
        <f t="shared" si="78"/>
        <v/>
      </c>
      <c r="M889" s="148" t="str">
        <f t="shared" si="79"/>
        <v/>
      </c>
    </row>
    <row r="890" spans="1:13" x14ac:dyDescent="0.3">
      <c r="A890" s="149"/>
      <c r="B890" s="149"/>
      <c r="C890" s="149"/>
      <c r="D890" s="149"/>
      <c r="E890" s="149"/>
      <c r="F890" s="149"/>
      <c r="G890" s="162"/>
      <c r="H890" s="146" t="str">
        <f t="shared" si="75"/>
        <v/>
      </c>
      <c r="I890" s="161" t="str">
        <f t="shared" si="76"/>
        <v/>
      </c>
      <c r="J890" s="160" t="str">
        <f>IFERROR(INDEX(下年标准成本!I:I,MATCH(C890,下年标准成本!C:C,0),1),"")</f>
        <v/>
      </c>
      <c r="K890" s="146" t="str">
        <f t="shared" si="77"/>
        <v/>
      </c>
      <c r="L890" s="146" t="str">
        <f t="shared" si="78"/>
        <v/>
      </c>
      <c r="M890" s="148" t="str">
        <f t="shared" si="79"/>
        <v/>
      </c>
    </row>
    <row r="891" spans="1:13" x14ac:dyDescent="0.3">
      <c r="A891" s="149"/>
      <c r="B891" s="149"/>
      <c r="C891" s="149"/>
      <c r="D891" s="149"/>
      <c r="E891" s="149"/>
      <c r="F891" s="149"/>
      <c r="G891" s="162"/>
      <c r="H891" s="146" t="str">
        <f t="shared" si="75"/>
        <v/>
      </c>
      <c r="I891" s="161" t="str">
        <f t="shared" si="76"/>
        <v/>
      </c>
      <c r="J891" s="160" t="str">
        <f>IFERROR(INDEX(下年标准成本!I:I,MATCH(C891,下年标准成本!C:C,0),1),"")</f>
        <v/>
      </c>
      <c r="K891" s="146" t="str">
        <f t="shared" si="77"/>
        <v/>
      </c>
      <c r="L891" s="146" t="str">
        <f t="shared" si="78"/>
        <v/>
      </c>
      <c r="M891" s="148" t="str">
        <f t="shared" si="79"/>
        <v/>
      </c>
    </row>
    <row r="892" spans="1:13" x14ac:dyDescent="0.3">
      <c r="A892" s="149"/>
      <c r="B892" s="149"/>
      <c r="C892" s="149"/>
      <c r="D892" s="149"/>
      <c r="E892" s="149"/>
      <c r="F892" s="149"/>
      <c r="G892" s="162"/>
      <c r="H892" s="146" t="str">
        <f t="shared" si="75"/>
        <v/>
      </c>
      <c r="I892" s="161" t="str">
        <f t="shared" si="76"/>
        <v/>
      </c>
      <c r="J892" s="160" t="str">
        <f>IFERROR(INDEX(下年标准成本!I:I,MATCH(C892,下年标准成本!C:C,0),1),"")</f>
        <v/>
      </c>
      <c r="K892" s="146" t="str">
        <f t="shared" si="77"/>
        <v/>
      </c>
      <c r="L892" s="146" t="str">
        <f t="shared" si="78"/>
        <v/>
      </c>
      <c r="M892" s="148" t="str">
        <f t="shared" si="79"/>
        <v/>
      </c>
    </row>
    <row r="893" spans="1:13" x14ac:dyDescent="0.3">
      <c r="A893" s="149"/>
      <c r="B893" s="149"/>
      <c r="C893" s="149"/>
      <c r="D893" s="149"/>
      <c r="E893" s="149"/>
      <c r="F893" s="149"/>
      <c r="G893" s="162"/>
      <c r="H893" s="146" t="str">
        <f t="shared" si="75"/>
        <v/>
      </c>
      <c r="I893" s="161" t="str">
        <f t="shared" si="76"/>
        <v/>
      </c>
      <c r="J893" s="160" t="str">
        <f>IFERROR(INDEX(下年标准成本!I:I,MATCH(C893,下年标准成本!C:C,0),1),"")</f>
        <v/>
      </c>
      <c r="K893" s="146" t="str">
        <f t="shared" si="77"/>
        <v/>
      </c>
      <c r="L893" s="146" t="str">
        <f t="shared" si="78"/>
        <v/>
      </c>
      <c r="M893" s="148" t="str">
        <f t="shared" si="79"/>
        <v/>
      </c>
    </row>
    <row r="894" spans="1:13" x14ac:dyDescent="0.3">
      <c r="A894" s="149"/>
      <c r="B894" s="149"/>
      <c r="C894" s="149"/>
      <c r="D894" s="149"/>
      <c r="E894" s="149"/>
      <c r="F894" s="149"/>
      <c r="G894" s="162"/>
      <c r="H894" s="146" t="str">
        <f t="shared" si="75"/>
        <v/>
      </c>
      <c r="I894" s="161" t="str">
        <f t="shared" si="76"/>
        <v/>
      </c>
      <c r="J894" s="160" t="str">
        <f>IFERROR(INDEX(下年标准成本!I:I,MATCH(C894,下年标准成本!C:C,0),1),"")</f>
        <v/>
      </c>
      <c r="K894" s="146" t="str">
        <f t="shared" si="77"/>
        <v/>
      </c>
      <c r="L894" s="146" t="str">
        <f t="shared" si="78"/>
        <v/>
      </c>
      <c r="M894" s="148" t="str">
        <f t="shared" si="79"/>
        <v/>
      </c>
    </row>
    <row r="895" spans="1:13" x14ac:dyDescent="0.3">
      <c r="A895" s="149"/>
      <c r="B895" s="149"/>
      <c r="C895" s="149"/>
      <c r="D895" s="149"/>
      <c r="E895" s="149"/>
      <c r="F895" s="149"/>
      <c r="G895" s="162"/>
      <c r="H895" s="146" t="str">
        <f t="shared" si="75"/>
        <v/>
      </c>
      <c r="I895" s="161" t="str">
        <f t="shared" si="76"/>
        <v/>
      </c>
      <c r="J895" s="160" t="str">
        <f>IFERROR(INDEX(下年标准成本!I:I,MATCH(C895,下年标准成本!C:C,0),1),"")</f>
        <v/>
      </c>
      <c r="K895" s="146" t="str">
        <f t="shared" si="77"/>
        <v/>
      </c>
      <c r="L895" s="146" t="str">
        <f t="shared" si="78"/>
        <v/>
      </c>
      <c r="M895" s="148" t="str">
        <f t="shared" si="79"/>
        <v/>
      </c>
    </row>
    <row r="896" spans="1:13" x14ac:dyDescent="0.3">
      <c r="A896" s="149"/>
      <c r="B896" s="149"/>
      <c r="C896" s="149"/>
      <c r="D896" s="149"/>
      <c r="E896" s="149"/>
      <c r="F896" s="149"/>
      <c r="G896" s="162"/>
      <c r="H896" s="146" t="str">
        <f t="shared" si="75"/>
        <v/>
      </c>
      <c r="I896" s="161" t="str">
        <f t="shared" si="76"/>
        <v/>
      </c>
      <c r="J896" s="160" t="str">
        <f>IFERROR(INDEX(下年标准成本!I:I,MATCH(C896,下年标准成本!C:C,0),1),"")</f>
        <v/>
      </c>
      <c r="K896" s="146" t="str">
        <f t="shared" si="77"/>
        <v/>
      </c>
      <c r="L896" s="146" t="str">
        <f t="shared" si="78"/>
        <v/>
      </c>
      <c r="M896" s="148" t="str">
        <f t="shared" si="79"/>
        <v/>
      </c>
    </row>
    <row r="897" spans="1:13" x14ac:dyDescent="0.3">
      <c r="A897" s="149"/>
      <c r="B897" s="149"/>
      <c r="C897" s="149"/>
      <c r="D897" s="149"/>
      <c r="E897" s="149"/>
      <c r="F897" s="149"/>
      <c r="G897" s="162"/>
      <c r="H897" s="146" t="str">
        <f t="shared" si="75"/>
        <v/>
      </c>
      <c r="I897" s="161" t="str">
        <f t="shared" si="76"/>
        <v/>
      </c>
      <c r="J897" s="160" t="str">
        <f>IFERROR(INDEX(下年标准成本!I:I,MATCH(C897,下年标准成本!C:C,0),1),"")</f>
        <v/>
      </c>
      <c r="K897" s="146" t="str">
        <f t="shared" si="77"/>
        <v/>
      </c>
      <c r="L897" s="146" t="str">
        <f t="shared" si="78"/>
        <v/>
      </c>
      <c r="M897" s="148" t="str">
        <f t="shared" si="79"/>
        <v/>
      </c>
    </row>
    <row r="898" spans="1:13" x14ac:dyDescent="0.3">
      <c r="A898" s="149"/>
      <c r="B898" s="149"/>
      <c r="C898" s="149"/>
      <c r="D898" s="149"/>
      <c r="E898" s="149"/>
      <c r="F898" s="149"/>
      <c r="G898" s="162"/>
      <c r="H898" s="146" t="str">
        <f t="shared" si="75"/>
        <v/>
      </c>
      <c r="I898" s="161" t="str">
        <f t="shared" si="76"/>
        <v/>
      </c>
      <c r="J898" s="160" t="str">
        <f>IFERROR(INDEX(下年标准成本!I:I,MATCH(C898,下年标准成本!C:C,0),1),"")</f>
        <v/>
      </c>
      <c r="K898" s="146" t="str">
        <f t="shared" si="77"/>
        <v/>
      </c>
      <c r="L898" s="146" t="str">
        <f t="shared" si="78"/>
        <v/>
      </c>
      <c r="M898" s="148" t="str">
        <f t="shared" si="79"/>
        <v/>
      </c>
    </row>
    <row r="899" spans="1:13" x14ac:dyDescent="0.3">
      <c r="A899" s="149"/>
      <c r="B899" s="149"/>
      <c r="C899" s="149"/>
      <c r="D899" s="149"/>
      <c r="E899" s="149"/>
      <c r="F899" s="149"/>
      <c r="G899" s="162"/>
      <c r="H899" s="146" t="str">
        <f t="shared" si="75"/>
        <v/>
      </c>
      <c r="I899" s="161" t="str">
        <f t="shared" si="76"/>
        <v/>
      </c>
      <c r="J899" s="160" t="str">
        <f>IFERROR(INDEX(下年标准成本!I:I,MATCH(C899,下年标准成本!C:C,0),1),"")</f>
        <v/>
      </c>
      <c r="K899" s="146" t="str">
        <f t="shared" si="77"/>
        <v/>
      </c>
      <c r="L899" s="146" t="str">
        <f t="shared" si="78"/>
        <v/>
      </c>
      <c r="M899" s="148" t="str">
        <f t="shared" si="79"/>
        <v/>
      </c>
    </row>
    <row r="900" spans="1:13" x14ac:dyDescent="0.3">
      <c r="A900" s="149"/>
      <c r="B900" s="149"/>
      <c r="C900" s="149"/>
      <c r="D900" s="149"/>
      <c r="E900" s="149"/>
      <c r="F900" s="149"/>
      <c r="G900" s="162"/>
      <c r="H900" s="146" t="str">
        <f t="shared" si="75"/>
        <v/>
      </c>
      <c r="I900" s="161" t="str">
        <f t="shared" si="76"/>
        <v/>
      </c>
      <c r="J900" s="160" t="str">
        <f>IFERROR(INDEX(下年标准成本!I:I,MATCH(C900,下年标准成本!C:C,0),1),"")</f>
        <v/>
      </c>
      <c r="K900" s="146" t="str">
        <f t="shared" si="77"/>
        <v/>
      </c>
      <c r="L900" s="146" t="str">
        <f t="shared" si="78"/>
        <v/>
      </c>
      <c r="M900" s="148" t="str">
        <f t="shared" si="79"/>
        <v/>
      </c>
    </row>
    <row r="901" spans="1:13" x14ac:dyDescent="0.3">
      <c r="A901" s="149"/>
      <c r="B901" s="149"/>
      <c r="C901" s="149"/>
      <c r="D901" s="149"/>
      <c r="E901" s="149"/>
      <c r="F901" s="149"/>
      <c r="G901" s="162"/>
      <c r="H901" s="146" t="str">
        <f t="shared" si="75"/>
        <v/>
      </c>
      <c r="I901" s="161" t="str">
        <f t="shared" si="76"/>
        <v/>
      </c>
      <c r="J901" s="160" t="str">
        <f>IFERROR(INDEX(下年标准成本!I:I,MATCH(C901,下年标准成本!C:C,0),1),"")</f>
        <v/>
      </c>
      <c r="K901" s="146" t="str">
        <f t="shared" si="77"/>
        <v/>
      </c>
      <c r="L901" s="146" t="str">
        <f t="shared" si="78"/>
        <v/>
      </c>
      <c r="M901" s="148" t="str">
        <f t="shared" si="79"/>
        <v/>
      </c>
    </row>
    <row r="902" spans="1:13" x14ac:dyDescent="0.3">
      <c r="A902" s="149"/>
      <c r="B902" s="149"/>
      <c r="C902" s="149"/>
      <c r="D902" s="149"/>
      <c r="E902" s="149"/>
      <c r="F902" s="149"/>
      <c r="G902" s="162"/>
      <c r="H902" s="146" t="str">
        <f t="shared" si="75"/>
        <v/>
      </c>
      <c r="I902" s="161" t="str">
        <f t="shared" si="76"/>
        <v/>
      </c>
      <c r="J902" s="160" t="str">
        <f>IFERROR(INDEX(下年标准成本!I:I,MATCH(C902,下年标准成本!C:C,0),1),"")</f>
        <v/>
      </c>
      <c r="K902" s="146" t="str">
        <f t="shared" si="77"/>
        <v/>
      </c>
      <c r="L902" s="146" t="str">
        <f t="shared" si="78"/>
        <v/>
      </c>
      <c r="M902" s="148" t="str">
        <f t="shared" si="79"/>
        <v/>
      </c>
    </row>
    <row r="903" spans="1:13" x14ac:dyDescent="0.3">
      <c r="A903" s="149"/>
      <c r="B903" s="149"/>
      <c r="C903" s="149"/>
      <c r="D903" s="149"/>
      <c r="E903" s="149"/>
      <c r="F903" s="149"/>
      <c r="G903" s="162"/>
      <c r="H903" s="146" t="str">
        <f t="shared" si="75"/>
        <v/>
      </c>
      <c r="I903" s="161" t="str">
        <f t="shared" si="76"/>
        <v/>
      </c>
      <c r="J903" s="160" t="str">
        <f>IFERROR(INDEX(下年标准成本!I:I,MATCH(C903,下年标准成本!C:C,0),1),"")</f>
        <v/>
      </c>
      <c r="K903" s="146" t="str">
        <f t="shared" si="77"/>
        <v/>
      </c>
      <c r="L903" s="146" t="str">
        <f t="shared" si="78"/>
        <v/>
      </c>
      <c r="M903" s="148" t="str">
        <f t="shared" si="79"/>
        <v/>
      </c>
    </row>
    <row r="904" spans="1:13" x14ac:dyDescent="0.3">
      <c r="A904" s="149"/>
      <c r="B904" s="149"/>
      <c r="C904" s="149"/>
      <c r="D904" s="149"/>
      <c r="E904" s="149"/>
      <c r="F904" s="149"/>
      <c r="G904" s="162"/>
      <c r="H904" s="146" t="str">
        <f t="shared" si="75"/>
        <v/>
      </c>
      <c r="I904" s="161" t="str">
        <f t="shared" si="76"/>
        <v/>
      </c>
      <c r="J904" s="160" t="str">
        <f>IFERROR(INDEX(下年标准成本!I:I,MATCH(C904,下年标准成本!C:C,0),1),"")</f>
        <v/>
      </c>
      <c r="K904" s="146" t="str">
        <f t="shared" si="77"/>
        <v/>
      </c>
      <c r="L904" s="146" t="str">
        <f t="shared" si="78"/>
        <v/>
      </c>
      <c r="M904" s="148" t="str">
        <f t="shared" si="79"/>
        <v/>
      </c>
    </row>
    <row r="905" spans="1:13" x14ac:dyDescent="0.3">
      <c r="A905" s="149"/>
      <c r="B905" s="149"/>
      <c r="C905" s="149"/>
      <c r="D905" s="149"/>
      <c r="E905" s="149"/>
      <c r="F905" s="149"/>
      <c r="G905" s="162"/>
      <c r="H905" s="146" t="str">
        <f t="shared" si="75"/>
        <v/>
      </c>
      <c r="I905" s="161" t="str">
        <f t="shared" si="76"/>
        <v/>
      </c>
      <c r="J905" s="160" t="str">
        <f>IFERROR(INDEX(下年标准成本!I:I,MATCH(C905,下年标准成本!C:C,0),1),"")</f>
        <v/>
      </c>
      <c r="K905" s="146" t="str">
        <f t="shared" si="77"/>
        <v/>
      </c>
      <c r="L905" s="146" t="str">
        <f t="shared" si="78"/>
        <v/>
      </c>
      <c r="M905" s="148" t="str">
        <f t="shared" si="79"/>
        <v/>
      </c>
    </row>
    <row r="906" spans="1:13" x14ac:dyDescent="0.3">
      <c r="A906" s="149"/>
      <c r="B906" s="149"/>
      <c r="C906" s="149"/>
      <c r="D906" s="149"/>
      <c r="E906" s="149"/>
      <c r="F906" s="149"/>
      <c r="G906" s="162"/>
      <c r="H906" s="146" t="str">
        <f t="shared" ref="H906:H969" si="80">IFERROR(F906/E906,"")</f>
        <v/>
      </c>
      <c r="I906" s="161" t="str">
        <f t="shared" ref="I906:I969" si="81">IFERROR(H906*(1+G906),"")</f>
        <v/>
      </c>
      <c r="J906" s="160" t="str">
        <f>IFERROR(INDEX(下年标准成本!I:I,MATCH(C906,下年标准成本!C:C,0),1),"")</f>
        <v/>
      </c>
      <c r="K906" s="146" t="str">
        <f t="shared" ref="K906:K969" si="82">IFERROR(E906*J906,"")</f>
        <v/>
      </c>
      <c r="L906" s="146" t="str">
        <f t="shared" ref="L906:L969" si="83">IFERROR(F906-K906,"")</f>
        <v/>
      </c>
      <c r="M906" s="148" t="str">
        <f t="shared" ref="M906:M969" si="84">IFERROR(L906/F906,"")</f>
        <v/>
      </c>
    </row>
    <row r="907" spans="1:13" x14ac:dyDescent="0.3">
      <c r="A907" s="149"/>
      <c r="B907" s="149"/>
      <c r="C907" s="149"/>
      <c r="D907" s="149"/>
      <c r="E907" s="149"/>
      <c r="F907" s="149"/>
      <c r="G907" s="162"/>
      <c r="H907" s="146" t="str">
        <f t="shared" si="80"/>
        <v/>
      </c>
      <c r="I907" s="161" t="str">
        <f t="shared" si="81"/>
        <v/>
      </c>
      <c r="J907" s="160" t="str">
        <f>IFERROR(INDEX(下年标准成本!I:I,MATCH(C907,下年标准成本!C:C,0),1),"")</f>
        <v/>
      </c>
      <c r="K907" s="146" t="str">
        <f t="shared" si="82"/>
        <v/>
      </c>
      <c r="L907" s="146" t="str">
        <f t="shared" si="83"/>
        <v/>
      </c>
      <c r="M907" s="148" t="str">
        <f t="shared" si="84"/>
        <v/>
      </c>
    </row>
    <row r="908" spans="1:13" x14ac:dyDescent="0.3">
      <c r="A908" s="149"/>
      <c r="B908" s="149"/>
      <c r="C908" s="149"/>
      <c r="D908" s="149"/>
      <c r="E908" s="149"/>
      <c r="F908" s="149"/>
      <c r="G908" s="162"/>
      <c r="H908" s="146" t="str">
        <f t="shared" si="80"/>
        <v/>
      </c>
      <c r="I908" s="161" t="str">
        <f t="shared" si="81"/>
        <v/>
      </c>
      <c r="J908" s="160" t="str">
        <f>IFERROR(INDEX(下年标准成本!I:I,MATCH(C908,下年标准成本!C:C,0),1),"")</f>
        <v/>
      </c>
      <c r="K908" s="146" t="str">
        <f t="shared" si="82"/>
        <v/>
      </c>
      <c r="L908" s="146" t="str">
        <f t="shared" si="83"/>
        <v/>
      </c>
      <c r="M908" s="148" t="str">
        <f t="shared" si="84"/>
        <v/>
      </c>
    </row>
    <row r="909" spans="1:13" x14ac:dyDescent="0.3">
      <c r="A909" s="149"/>
      <c r="B909" s="149"/>
      <c r="C909" s="149"/>
      <c r="D909" s="149"/>
      <c r="E909" s="149"/>
      <c r="F909" s="149"/>
      <c r="G909" s="162"/>
      <c r="H909" s="146" t="str">
        <f t="shared" si="80"/>
        <v/>
      </c>
      <c r="I909" s="161" t="str">
        <f t="shared" si="81"/>
        <v/>
      </c>
      <c r="J909" s="160" t="str">
        <f>IFERROR(INDEX(下年标准成本!I:I,MATCH(C909,下年标准成本!C:C,0),1),"")</f>
        <v/>
      </c>
      <c r="K909" s="146" t="str">
        <f t="shared" si="82"/>
        <v/>
      </c>
      <c r="L909" s="146" t="str">
        <f t="shared" si="83"/>
        <v/>
      </c>
      <c r="M909" s="148" t="str">
        <f t="shared" si="84"/>
        <v/>
      </c>
    </row>
    <row r="910" spans="1:13" x14ac:dyDescent="0.3">
      <c r="A910" s="149"/>
      <c r="B910" s="149"/>
      <c r="C910" s="149"/>
      <c r="D910" s="149"/>
      <c r="E910" s="149"/>
      <c r="F910" s="149"/>
      <c r="G910" s="162"/>
      <c r="H910" s="146" t="str">
        <f t="shared" si="80"/>
        <v/>
      </c>
      <c r="I910" s="161" t="str">
        <f t="shared" si="81"/>
        <v/>
      </c>
      <c r="J910" s="160" t="str">
        <f>IFERROR(INDEX(下年标准成本!I:I,MATCH(C910,下年标准成本!C:C,0),1),"")</f>
        <v/>
      </c>
      <c r="K910" s="146" t="str">
        <f t="shared" si="82"/>
        <v/>
      </c>
      <c r="L910" s="146" t="str">
        <f t="shared" si="83"/>
        <v/>
      </c>
      <c r="M910" s="148" t="str">
        <f t="shared" si="84"/>
        <v/>
      </c>
    </row>
    <row r="911" spans="1:13" x14ac:dyDescent="0.3">
      <c r="A911" s="149"/>
      <c r="B911" s="149"/>
      <c r="C911" s="149"/>
      <c r="D911" s="149"/>
      <c r="E911" s="149"/>
      <c r="F911" s="149"/>
      <c r="G911" s="162"/>
      <c r="H911" s="146" t="str">
        <f t="shared" si="80"/>
        <v/>
      </c>
      <c r="I911" s="161" t="str">
        <f t="shared" si="81"/>
        <v/>
      </c>
      <c r="J911" s="160" t="str">
        <f>IFERROR(INDEX(下年标准成本!I:I,MATCH(C911,下年标准成本!C:C,0),1),"")</f>
        <v/>
      </c>
      <c r="K911" s="146" t="str">
        <f t="shared" si="82"/>
        <v/>
      </c>
      <c r="L911" s="146" t="str">
        <f t="shared" si="83"/>
        <v/>
      </c>
      <c r="M911" s="148" t="str">
        <f t="shared" si="84"/>
        <v/>
      </c>
    </row>
    <row r="912" spans="1:13" x14ac:dyDescent="0.3">
      <c r="A912" s="149"/>
      <c r="B912" s="149"/>
      <c r="C912" s="149"/>
      <c r="D912" s="149"/>
      <c r="E912" s="149"/>
      <c r="F912" s="149"/>
      <c r="G912" s="162"/>
      <c r="H912" s="146" t="str">
        <f t="shared" si="80"/>
        <v/>
      </c>
      <c r="I912" s="161" t="str">
        <f t="shared" si="81"/>
        <v/>
      </c>
      <c r="J912" s="160" t="str">
        <f>IFERROR(INDEX(下年标准成本!I:I,MATCH(C912,下年标准成本!C:C,0),1),"")</f>
        <v/>
      </c>
      <c r="K912" s="146" t="str">
        <f t="shared" si="82"/>
        <v/>
      </c>
      <c r="L912" s="146" t="str">
        <f t="shared" si="83"/>
        <v/>
      </c>
      <c r="M912" s="148" t="str">
        <f t="shared" si="84"/>
        <v/>
      </c>
    </row>
    <row r="913" spans="1:13" x14ac:dyDescent="0.3">
      <c r="A913" s="149"/>
      <c r="B913" s="149"/>
      <c r="C913" s="149"/>
      <c r="D913" s="149"/>
      <c r="E913" s="149"/>
      <c r="F913" s="149"/>
      <c r="G913" s="162"/>
      <c r="H913" s="146" t="str">
        <f t="shared" si="80"/>
        <v/>
      </c>
      <c r="I913" s="161" t="str">
        <f t="shared" si="81"/>
        <v/>
      </c>
      <c r="J913" s="160" t="str">
        <f>IFERROR(INDEX(下年标准成本!I:I,MATCH(C913,下年标准成本!C:C,0),1),"")</f>
        <v/>
      </c>
      <c r="K913" s="146" t="str">
        <f t="shared" si="82"/>
        <v/>
      </c>
      <c r="L913" s="146" t="str">
        <f t="shared" si="83"/>
        <v/>
      </c>
      <c r="M913" s="148" t="str">
        <f t="shared" si="84"/>
        <v/>
      </c>
    </row>
    <row r="914" spans="1:13" x14ac:dyDescent="0.3">
      <c r="A914" s="149"/>
      <c r="B914" s="149"/>
      <c r="C914" s="149"/>
      <c r="D914" s="149"/>
      <c r="E914" s="149"/>
      <c r="F914" s="149"/>
      <c r="G914" s="162"/>
      <c r="H914" s="146" t="str">
        <f t="shared" si="80"/>
        <v/>
      </c>
      <c r="I914" s="161" t="str">
        <f t="shared" si="81"/>
        <v/>
      </c>
      <c r="J914" s="160" t="str">
        <f>IFERROR(INDEX(下年标准成本!I:I,MATCH(C914,下年标准成本!C:C,0),1),"")</f>
        <v/>
      </c>
      <c r="K914" s="146" t="str">
        <f t="shared" si="82"/>
        <v/>
      </c>
      <c r="L914" s="146" t="str">
        <f t="shared" si="83"/>
        <v/>
      </c>
      <c r="M914" s="148" t="str">
        <f t="shared" si="84"/>
        <v/>
      </c>
    </row>
    <row r="915" spans="1:13" x14ac:dyDescent="0.3">
      <c r="A915" s="149"/>
      <c r="B915" s="149"/>
      <c r="C915" s="149"/>
      <c r="D915" s="149"/>
      <c r="E915" s="149"/>
      <c r="F915" s="149"/>
      <c r="G915" s="162"/>
      <c r="H915" s="146" t="str">
        <f t="shared" si="80"/>
        <v/>
      </c>
      <c r="I915" s="161" t="str">
        <f t="shared" si="81"/>
        <v/>
      </c>
      <c r="J915" s="160" t="str">
        <f>IFERROR(INDEX(下年标准成本!I:I,MATCH(C915,下年标准成本!C:C,0),1),"")</f>
        <v/>
      </c>
      <c r="K915" s="146" t="str">
        <f t="shared" si="82"/>
        <v/>
      </c>
      <c r="L915" s="146" t="str">
        <f t="shared" si="83"/>
        <v/>
      </c>
      <c r="M915" s="148" t="str">
        <f t="shared" si="84"/>
        <v/>
      </c>
    </row>
    <row r="916" spans="1:13" x14ac:dyDescent="0.3">
      <c r="A916" s="149"/>
      <c r="B916" s="149"/>
      <c r="C916" s="149"/>
      <c r="D916" s="149"/>
      <c r="E916" s="149"/>
      <c r="F916" s="149"/>
      <c r="G916" s="162"/>
      <c r="H916" s="146" t="str">
        <f t="shared" si="80"/>
        <v/>
      </c>
      <c r="I916" s="161" t="str">
        <f t="shared" si="81"/>
        <v/>
      </c>
      <c r="J916" s="160" t="str">
        <f>IFERROR(INDEX(下年标准成本!I:I,MATCH(C916,下年标准成本!C:C,0),1),"")</f>
        <v/>
      </c>
      <c r="K916" s="146" t="str">
        <f t="shared" si="82"/>
        <v/>
      </c>
      <c r="L916" s="146" t="str">
        <f t="shared" si="83"/>
        <v/>
      </c>
      <c r="M916" s="148" t="str">
        <f t="shared" si="84"/>
        <v/>
      </c>
    </row>
    <row r="917" spans="1:13" x14ac:dyDescent="0.3">
      <c r="A917" s="149"/>
      <c r="B917" s="149"/>
      <c r="C917" s="149"/>
      <c r="D917" s="149"/>
      <c r="E917" s="149"/>
      <c r="F917" s="149"/>
      <c r="G917" s="162"/>
      <c r="H917" s="146" t="str">
        <f t="shared" si="80"/>
        <v/>
      </c>
      <c r="I917" s="161" t="str">
        <f t="shared" si="81"/>
        <v/>
      </c>
      <c r="J917" s="160" t="str">
        <f>IFERROR(INDEX(下年标准成本!I:I,MATCH(C917,下年标准成本!C:C,0),1),"")</f>
        <v/>
      </c>
      <c r="K917" s="146" t="str">
        <f t="shared" si="82"/>
        <v/>
      </c>
      <c r="L917" s="146" t="str">
        <f t="shared" si="83"/>
        <v/>
      </c>
      <c r="M917" s="148" t="str">
        <f t="shared" si="84"/>
        <v/>
      </c>
    </row>
    <row r="918" spans="1:13" x14ac:dyDescent="0.3">
      <c r="A918" s="149"/>
      <c r="B918" s="149"/>
      <c r="C918" s="149"/>
      <c r="D918" s="149"/>
      <c r="E918" s="149"/>
      <c r="F918" s="149"/>
      <c r="G918" s="162"/>
      <c r="H918" s="146" t="str">
        <f t="shared" si="80"/>
        <v/>
      </c>
      <c r="I918" s="161" t="str">
        <f t="shared" si="81"/>
        <v/>
      </c>
      <c r="J918" s="160" t="str">
        <f>IFERROR(INDEX(下年标准成本!I:I,MATCH(C918,下年标准成本!C:C,0),1),"")</f>
        <v/>
      </c>
      <c r="K918" s="146" t="str">
        <f t="shared" si="82"/>
        <v/>
      </c>
      <c r="L918" s="146" t="str">
        <f t="shared" si="83"/>
        <v/>
      </c>
      <c r="M918" s="148" t="str">
        <f t="shared" si="84"/>
        <v/>
      </c>
    </row>
    <row r="919" spans="1:13" x14ac:dyDescent="0.3">
      <c r="A919" s="149"/>
      <c r="B919" s="149"/>
      <c r="C919" s="149"/>
      <c r="D919" s="149"/>
      <c r="E919" s="149"/>
      <c r="F919" s="149"/>
      <c r="G919" s="162"/>
      <c r="H919" s="146" t="str">
        <f t="shared" si="80"/>
        <v/>
      </c>
      <c r="I919" s="161" t="str">
        <f t="shared" si="81"/>
        <v/>
      </c>
      <c r="J919" s="160" t="str">
        <f>IFERROR(INDEX(下年标准成本!I:I,MATCH(C919,下年标准成本!C:C,0),1),"")</f>
        <v/>
      </c>
      <c r="K919" s="146" t="str">
        <f t="shared" si="82"/>
        <v/>
      </c>
      <c r="L919" s="146" t="str">
        <f t="shared" si="83"/>
        <v/>
      </c>
      <c r="M919" s="148" t="str">
        <f t="shared" si="84"/>
        <v/>
      </c>
    </row>
    <row r="920" spans="1:13" x14ac:dyDescent="0.3">
      <c r="A920" s="149"/>
      <c r="B920" s="149"/>
      <c r="C920" s="149"/>
      <c r="D920" s="149"/>
      <c r="E920" s="149"/>
      <c r="F920" s="149"/>
      <c r="G920" s="162"/>
      <c r="H920" s="146" t="str">
        <f t="shared" si="80"/>
        <v/>
      </c>
      <c r="I920" s="161" t="str">
        <f t="shared" si="81"/>
        <v/>
      </c>
      <c r="J920" s="160" t="str">
        <f>IFERROR(INDEX(下年标准成本!I:I,MATCH(C920,下年标准成本!C:C,0),1),"")</f>
        <v/>
      </c>
      <c r="K920" s="146" t="str">
        <f t="shared" si="82"/>
        <v/>
      </c>
      <c r="L920" s="146" t="str">
        <f t="shared" si="83"/>
        <v/>
      </c>
      <c r="M920" s="148" t="str">
        <f t="shared" si="84"/>
        <v/>
      </c>
    </row>
    <row r="921" spans="1:13" x14ac:dyDescent="0.3">
      <c r="A921" s="149"/>
      <c r="B921" s="149"/>
      <c r="C921" s="149"/>
      <c r="D921" s="149"/>
      <c r="E921" s="149"/>
      <c r="F921" s="149"/>
      <c r="G921" s="162"/>
      <c r="H921" s="146" t="str">
        <f t="shared" si="80"/>
        <v/>
      </c>
      <c r="I921" s="161" t="str">
        <f t="shared" si="81"/>
        <v/>
      </c>
      <c r="J921" s="160" t="str">
        <f>IFERROR(INDEX(下年标准成本!I:I,MATCH(C921,下年标准成本!C:C,0),1),"")</f>
        <v/>
      </c>
      <c r="K921" s="146" t="str">
        <f t="shared" si="82"/>
        <v/>
      </c>
      <c r="L921" s="146" t="str">
        <f t="shared" si="83"/>
        <v/>
      </c>
      <c r="M921" s="148" t="str">
        <f t="shared" si="84"/>
        <v/>
      </c>
    </row>
    <row r="922" spans="1:13" x14ac:dyDescent="0.3">
      <c r="A922" s="149"/>
      <c r="B922" s="149"/>
      <c r="C922" s="149"/>
      <c r="D922" s="149"/>
      <c r="E922" s="149"/>
      <c r="F922" s="149"/>
      <c r="G922" s="162"/>
      <c r="H922" s="146" t="str">
        <f t="shared" si="80"/>
        <v/>
      </c>
      <c r="I922" s="161" t="str">
        <f t="shared" si="81"/>
        <v/>
      </c>
      <c r="J922" s="160" t="str">
        <f>IFERROR(INDEX(下年标准成本!I:I,MATCH(C922,下年标准成本!C:C,0),1),"")</f>
        <v/>
      </c>
      <c r="K922" s="146" t="str">
        <f t="shared" si="82"/>
        <v/>
      </c>
      <c r="L922" s="146" t="str">
        <f t="shared" si="83"/>
        <v/>
      </c>
      <c r="M922" s="148" t="str">
        <f t="shared" si="84"/>
        <v/>
      </c>
    </row>
    <row r="923" spans="1:13" x14ac:dyDescent="0.3">
      <c r="A923" s="149"/>
      <c r="B923" s="149"/>
      <c r="C923" s="149"/>
      <c r="D923" s="149"/>
      <c r="E923" s="149"/>
      <c r="F923" s="149"/>
      <c r="G923" s="162"/>
      <c r="H923" s="146" t="str">
        <f t="shared" si="80"/>
        <v/>
      </c>
      <c r="I923" s="161" t="str">
        <f t="shared" si="81"/>
        <v/>
      </c>
      <c r="J923" s="160" t="str">
        <f>IFERROR(INDEX(下年标准成本!I:I,MATCH(C923,下年标准成本!C:C,0),1),"")</f>
        <v/>
      </c>
      <c r="K923" s="146" t="str">
        <f t="shared" si="82"/>
        <v/>
      </c>
      <c r="L923" s="146" t="str">
        <f t="shared" si="83"/>
        <v/>
      </c>
      <c r="M923" s="148" t="str">
        <f t="shared" si="84"/>
        <v/>
      </c>
    </row>
    <row r="924" spans="1:13" x14ac:dyDescent="0.3">
      <c r="A924" s="149"/>
      <c r="B924" s="149"/>
      <c r="C924" s="149"/>
      <c r="D924" s="149"/>
      <c r="E924" s="149"/>
      <c r="F924" s="149"/>
      <c r="G924" s="162"/>
      <c r="H924" s="146" t="str">
        <f t="shared" si="80"/>
        <v/>
      </c>
      <c r="I924" s="161" t="str">
        <f t="shared" si="81"/>
        <v/>
      </c>
      <c r="J924" s="160" t="str">
        <f>IFERROR(INDEX(下年标准成本!I:I,MATCH(C924,下年标准成本!C:C,0),1),"")</f>
        <v/>
      </c>
      <c r="K924" s="146" t="str">
        <f t="shared" si="82"/>
        <v/>
      </c>
      <c r="L924" s="146" t="str">
        <f t="shared" si="83"/>
        <v/>
      </c>
      <c r="M924" s="148" t="str">
        <f t="shared" si="84"/>
        <v/>
      </c>
    </row>
    <row r="925" spans="1:13" x14ac:dyDescent="0.3">
      <c r="A925" s="149"/>
      <c r="B925" s="149"/>
      <c r="C925" s="149"/>
      <c r="D925" s="149"/>
      <c r="E925" s="149"/>
      <c r="F925" s="149"/>
      <c r="G925" s="162"/>
      <c r="H925" s="146" t="str">
        <f t="shared" si="80"/>
        <v/>
      </c>
      <c r="I925" s="161" t="str">
        <f t="shared" si="81"/>
        <v/>
      </c>
      <c r="J925" s="160" t="str">
        <f>IFERROR(INDEX(下年标准成本!I:I,MATCH(C925,下年标准成本!C:C,0),1),"")</f>
        <v/>
      </c>
      <c r="K925" s="146" t="str">
        <f t="shared" si="82"/>
        <v/>
      </c>
      <c r="L925" s="146" t="str">
        <f t="shared" si="83"/>
        <v/>
      </c>
      <c r="M925" s="148" t="str">
        <f t="shared" si="84"/>
        <v/>
      </c>
    </row>
    <row r="926" spans="1:13" x14ac:dyDescent="0.3">
      <c r="A926" s="149"/>
      <c r="B926" s="149"/>
      <c r="C926" s="149"/>
      <c r="D926" s="149"/>
      <c r="E926" s="149"/>
      <c r="F926" s="149"/>
      <c r="G926" s="162"/>
      <c r="H926" s="146" t="str">
        <f t="shared" si="80"/>
        <v/>
      </c>
      <c r="I926" s="161" t="str">
        <f t="shared" si="81"/>
        <v/>
      </c>
      <c r="J926" s="160" t="str">
        <f>IFERROR(INDEX(下年标准成本!I:I,MATCH(C926,下年标准成本!C:C,0),1),"")</f>
        <v/>
      </c>
      <c r="K926" s="146" t="str">
        <f t="shared" si="82"/>
        <v/>
      </c>
      <c r="L926" s="146" t="str">
        <f t="shared" si="83"/>
        <v/>
      </c>
      <c r="M926" s="148" t="str">
        <f t="shared" si="84"/>
        <v/>
      </c>
    </row>
    <row r="927" spans="1:13" x14ac:dyDescent="0.3">
      <c r="A927" s="149"/>
      <c r="B927" s="149"/>
      <c r="C927" s="149"/>
      <c r="D927" s="149"/>
      <c r="E927" s="149"/>
      <c r="F927" s="149"/>
      <c r="G927" s="162"/>
      <c r="H927" s="146" t="str">
        <f t="shared" si="80"/>
        <v/>
      </c>
      <c r="I927" s="161" t="str">
        <f t="shared" si="81"/>
        <v/>
      </c>
      <c r="J927" s="160" t="str">
        <f>IFERROR(INDEX(下年标准成本!I:I,MATCH(C927,下年标准成本!C:C,0),1),"")</f>
        <v/>
      </c>
      <c r="K927" s="146" t="str">
        <f t="shared" si="82"/>
        <v/>
      </c>
      <c r="L927" s="146" t="str">
        <f t="shared" si="83"/>
        <v/>
      </c>
      <c r="M927" s="148" t="str">
        <f t="shared" si="84"/>
        <v/>
      </c>
    </row>
    <row r="928" spans="1:13" x14ac:dyDescent="0.3">
      <c r="A928" s="149"/>
      <c r="B928" s="149"/>
      <c r="C928" s="149"/>
      <c r="D928" s="149"/>
      <c r="E928" s="149"/>
      <c r="F928" s="149"/>
      <c r="G928" s="162"/>
      <c r="H928" s="146" t="str">
        <f t="shared" si="80"/>
        <v/>
      </c>
      <c r="I928" s="161" t="str">
        <f t="shared" si="81"/>
        <v/>
      </c>
      <c r="J928" s="160" t="str">
        <f>IFERROR(INDEX(下年标准成本!I:I,MATCH(C928,下年标准成本!C:C,0),1),"")</f>
        <v/>
      </c>
      <c r="K928" s="146" t="str">
        <f t="shared" si="82"/>
        <v/>
      </c>
      <c r="L928" s="146" t="str">
        <f t="shared" si="83"/>
        <v/>
      </c>
      <c r="M928" s="148" t="str">
        <f t="shared" si="84"/>
        <v/>
      </c>
    </row>
    <row r="929" spans="1:13" x14ac:dyDescent="0.3">
      <c r="A929" s="149"/>
      <c r="B929" s="149"/>
      <c r="C929" s="149"/>
      <c r="D929" s="149"/>
      <c r="E929" s="149"/>
      <c r="F929" s="149"/>
      <c r="G929" s="162"/>
      <c r="H929" s="146" t="str">
        <f t="shared" si="80"/>
        <v/>
      </c>
      <c r="I929" s="161" t="str">
        <f t="shared" si="81"/>
        <v/>
      </c>
      <c r="J929" s="160" t="str">
        <f>IFERROR(INDEX(下年标准成本!I:I,MATCH(C929,下年标准成本!C:C,0),1),"")</f>
        <v/>
      </c>
      <c r="K929" s="146" t="str">
        <f t="shared" si="82"/>
        <v/>
      </c>
      <c r="L929" s="146" t="str">
        <f t="shared" si="83"/>
        <v/>
      </c>
      <c r="M929" s="148" t="str">
        <f t="shared" si="84"/>
        <v/>
      </c>
    </row>
    <row r="930" spans="1:13" x14ac:dyDescent="0.3">
      <c r="A930" s="149"/>
      <c r="B930" s="149"/>
      <c r="C930" s="149"/>
      <c r="D930" s="149"/>
      <c r="E930" s="149"/>
      <c r="F930" s="149"/>
      <c r="G930" s="162"/>
      <c r="H930" s="146" t="str">
        <f t="shared" si="80"/>
        <v/>
      </c>
      <c r="I930" s="161" t="str">
        <f t="shared" si="81"/>
        <v/>
      </c>
      <c r="J930" s="160" t="str">
        <f>IFERROR(INDEX(下年标准成本!I:I,MATCH(C930,下年标准成本!C:C,0),1),"")</f>
        <v/>
      </c>
      <c r="K930" s="146" t="str">
        <f t="shared" si="82"/>
        <v/>
      </c>
      <c r="L930" s="146" t="str">
        <f t="shared" si="83"/>
        <v/>
      </c>
      <c r="M930" s="148" t="str">
        <f t="shared" si="84"/>
        <v/>
      </c>
    </row>
    <row r="931" spans="1:13" x14ac:dyDescent="0.3">
      <c r="A931" s="149"/>
      <c r="B931" s="149"/>
      <c r="C931" s="149"/>
      <c r="D931" s="149"/>
      <c r="E931" s="149"/>
      <c r="F931" s="149"/>
      <c r="G931" s="162"/>
      <c r="H931" s="146" t="str">
        <f t="shared" si="80"/>
        <v/>
      </c>
      <c r="I931" s="161" t="str">
        <f t="shared" si="81"/>
        <v/>
      </c>
      <c r="J931" s="160" t="str">
        <f>IFERROR(INDEX(下年标准成本!I:I,MATCH(C931,下年标准成本!C:C,0),1),"")</f>
        <v/>
      </c>
      <c r="K931" s="146" t="str">
        <f t="shared" si="82"/>
        <v/>
      </c>
      <c r="L931" s="146" t="str">
        <f t="shared" si="83"/>
        <v/>
      </c>
      <c r="M931" s="148" t="str">
        <f t="shared" si="84"/>
        <v/>
      </c>
    </row>
    <row r="932" spans="1:13" x14ac:dyDescent="0.3">
      <c r="A932" s="149"/>
      <c r="B932" s="149"/>
      <c r="C932" s="149"/>
      <c r="D932" s="149"/>
      <c r="E932" s="149"/>
      <c r="F932" s="149"/>
      <c r="G932" s="162"/>
      <c r="H932" s="146" t="str">
        <f t="shared" si="80"/>
        <v/>
      </c>
      <c r="I932" s="161" t="str">
        <f t="shared" si="81"/>
        <v/>
      </c>
      <c r="J932" s="160" t="str">
        <f>IFERROR(INDEX(下年标准成本!I:I,MATCH(C932,下年标准成本!C:C,0),1),"")</f>
        <v/>
      </c>
      <c r="K932" s="146" t="str">
        <f t="shared" si="82"/>
        <v/>
      </c>
      <c r="L932" s="146" t="str">
        <f t="shared" si="83"/>
        <v/>
      </c>
      <c r="M932" s="148" t="str">
        <f t="shared" si="84"/>
        <v/>
      </c>
    </row>
    <row r="933" spans="1:13" x14ac:dyDescent="0.3">
      <c r="A933" s="149"/>
      <c r="B933" s="149"/>
      <c r="C933" s="149"/>
      <c r="D933" s="149"/>
      <c r="E933" s="149"/>
      <c r="F933" s="149"/>
      <c r="G933" s="162"/>
      <c r="H933" s="146" t="str">
        <f t="shared" si="80"/>
        <v/>
      </c>
      <c r="I933" s="161" t="str">
        <f t="shared" si="81"/>
        <v/>
      </c>
      <c r="J933" s="160" t="str">
        <f>IFERROR(INDEX(下年标准成本!I:I,MATCH(C933,下年标准成本!C:C,0),1),"")</f>
        <v/>
      </c>
      <c r="K933" s="146" t="str">
        <f t="shared" si="82"/>
        <v/>
      </c>
      <c r="L933" s="146" t="str">
        <f t="shared" si="83"/>
        <v/>
      </c>
      <c r="M933" s="148" t="str">
        <f t="shared" si="84"/>
        <v/>
      </c>
    </row>
    <row r="934" spans="1:13" x14ac:dyDescent="0.3">
      <c r="A934" s="149"/>
      <c r="B934" s="149"/>
      <c r="C934" s="149"/>
      <c r="D934" s="149"/>
      <c r="E934" s="149"/>
      <c r="F934" s="149"/>
      <c r="G934" s="162"/>
      <c r="H934" s="146" t="str">
        <f t="shared" si="80"/>
        <v/>
      </c>
      <c r="I934" s="161" t="str">
        <f t="shared" si="81"/>
        <v/>
      </c>
      <c r="J934" s="160" t="str">
        <f>IFERROR(INDEX(下年标准成本!I:I,MATCH(C934,下年标准成本!C:C,0),1),"")</f>
        <v/>
      </c>
      <c r="K934" s="146" t="str">
        <f t="shared" si="82"/>
        <v/>
      </c>
      <c r="L934" s="146" t="str">
        <f t="shared" si="83"/>
        <v/>
      </c>
      <c r="M934" s="148" t="str">
        <f t="shared" si="84"/>
        <v/>
      </c>
    </row>
    <row r="935" spans="1:13" x14ac:dyDescent="0.3">
      <c r="A935" s="149"/>
      <c r="B935" s="149"/>
      <c r="C935" s="149"/>
      <c r="D935" s="149"/>
      <c r="E935" s="149"/>
      <c r="F935" s="149"/>
      <c r="G935" s="162"/>
      <c r="H935" s="146" t="str">
        <f t="shared" si="80"/>
        <v/>
      </c>
      <c r="I935" s="161" t="str">
        <f t="shared" si="81"/>
        <v/>
      </c>
      <c r="J935" s="160" t="str">
        <f>IFERROR(INDEX(下年标准成本!I:I,MATCH(C935,下年标准成本!C:C,0),1),"")</f>
        <v/>
      </c>
      <c r="K935" s="146" t="str">
        <f t="shared" si="82"/>
        <v/>
      </c>
      <c r="L935" s="146" t="str">
        <f t="shared" si="83"/>
        <v/>
      </c>
      <c r="M935" s="148" t="str">
        <f t="shared" si="84"/>
        <v/>
      </c>
    </row>
    <row r="936" spans="1:13" x14ac:dyDescent="0.3">
      <c r="A936" s="149"/>
      <c r="B936" s="149"/>
      <c r="C936" s="149"/>
      <c r="D936" s="149"/>
      <c r="E936" s="149"/>
      <c r="F936" s="149"/>
      <c r="G936" s="162"/>
      <c r="H936" s="146" t="str">
        <f t="shared" si="80"/>
        <v/>
      </c>
      <c r="I936" s="161" t="str">
        <f t="shared" si="81"/>
        <v/>
      </c>
      <c r="J936" s="160" t="str">
        <f>IFERROR(INDEX(下年标准成本!I:I,MATCH(C936,下年标准成本!C:C,0),1),"")</f>
        <v/>
      </c>
      <c r="K936" s="146" t="str">
        <f t="shared" si="82"/>
        <v/>
      </c>
      <c r="L936" s="146" t="str">
        <f t="shared" si="83"/>
        <v/>
      </c>
      <c r="M936" s="148" t="str">
        <f t="shared" si="84"/>
        <v/>
      </c>
    </row>
    <row r="937" spans="1:13" x14ac:dyDescent="0.3">
      <c r="A937" s="149"/>
      <c r="B937" s="149"/>
      <c r="C937" s="149"/>
      <c r="D937" s="149"/>
      <c r="E937" s="149"/>
      <c r="F937" s="149"/>
      <c r="G937" s="162"/>
      <c r="H937" s="146" t="str">
        <f t="shared" si="80"/>
        <v/>
      </c>
      <c r="I937" s="161" t="str">
        <f t="shared" si="81"/>
        <v/>
      </c>
      <c r="J937" s="160" t="str">
        <f>IFERROR(INDEX(下年标准成本!I:I,MATCH(C937,下年标准成本!C:C,0),1),"")</f>
        <v/>
      </c>
      <c r="K937" s="146" t="str">
        <f t="shared" si="82"/>
        <v/>
      </c>
      <c r="L937" s="146" t="str">
        <f t="shared" si="83"/>
        <v/>
      </c>
      <c r="M937" s="148" t="str">
        <f t="shared" si="84"/>
        <v/>
      </c>
    </row>
    <row r="938" spans="1:13" x14ac:dyDescent="0.3">
      <c r="A938" s="149"/>
      <c r="B938" s="149"/>
      <c r="C938" s="149"/>
      <c r="D938" s="149"/>
      <c r="E938" s="149"/>
      <c r="F938" s="149"/>
      <c r="G938" s="162"/>
      <c r="H938" s="146" t="str">
        <f t="shared" si="80"/>
        <v/>
      </c>
      <c r="I938" s="161" t="str">
        <f t="shared" si="81"/>
        <v/>
      </c>
      <c r="J938" s="160" t="str">
        <f>IFERROR(INDEX(下年标准成本!I:I,MATCH(C938,下年标准成本!C:C,0),1),"")</f>
        <v/>
      </c>
      <c r="K938" s="146" t="str">
        <f t="shared" si="82"/>
        <v/>
      </c>
      <c r="L938" s="146" t="str">
        <f t="shared" si="83"/>
        <v/>
      </c>
      <c r="M938" s="148" t="str">
        <f t="shared" si="84"/>
        <v/>
      </c>
    </row>
    <row r="939" spans="1:13" x14ac:dyDescent="0.3">
      <c r="A939" s="149"/>
      <c r="B939" s="149"/>
      <c r="C939" s="149"/>
      <c r="D939" s="149"/>
      <c r="E939" s="149"/>
      <c r="F939" s="149"/>
      <c r="G939" s="162"/>
      <c r="H939" s="146" t="str">
        <f t="shared" si="80"/>
        <v/>
      </c>
      <c r="I939" s="161" t="str">
        <f t="shared" si="81"/>
        <v/>
      </c>
      <c r="J939" s="160" t="str">
        <f>IFERROR(INDEX(下年标准成本!I:I,MATCH(C939,下年标准成本!C:C,0),1),"")</f>
        <v/>
      </c>
      <c r="K939" s="146" t="str">
        <f t="shared" si="82"/>
        <v/>
      </c>
      <c r="L939" s="146" t="str">
        <f t="shared" si="83"/>
        <v/>
      </c>
      <c r="M939" s="148" t="str">
        <f t="shared" si="84"/>
        <v/>
      </c>
    </row>
    <row r="940" spans="1:13" x14ac:dyDescent="0.3">
      <c r="A940" s="149"/>
      <c r="B940" s="149"/>
      <c r="C940" s="149"/>
      <c r="D940" s="149"/>
      <c r="E940" s="149"/>
      <c r="F940" s="149"/>
      <c r="G940" s="162"/>
      <c r="H940" s="146" t="str">
        <f t="shared" si="80"/>
        <v/>
      </c>
      <c r="I940" s="161" t="str">
        <f t="shared" si="81"/>
        <v/>
      </c>
      <c r="J940" s="160" t="str">
        <f>IFERROR(INDEX(下年标准成本!I:I,MATCH(C940,下年标准成本!C:C,0),1),"")</f>
        <v/>
      </c>
      <c r="K940" s="146" t="str">
        <f t="shared" si="82"/>
        <v/>
      </c>
      <c r="L940" s="146" t="str">
        <f t="shared" si="83"/>
        <v/>
      </c>
      <c r="M940" s="148" t="str">
        <f t="shared" si="84"/>
        <v/>
      </c>
    </row>
    <row r="941" spans="1:13" x14ac:dyDescent="0.3">
      <c r="A941" s="149"/>
      <c r="B941" s="149"/>
      <c r="C941" s="149"/>
      <c r="D941" s="149"/>
      <c r="E941" s="149"/>
      <c r="F941" s="149"/>
      <c r="G941" s="162"/>
      <c r="H941" s="146" t="str">
        <f t="shared" si="80"/>
        <v/>
      </c>
      <c r="I941" s="161" t="str">
        <f t="shared" si="81"/>
        <v/>
      </c>
      <c r="J941" s="160" t="str">
        <f>IFERROR(INDEX(下年标准成本!I:I,MATCH(C941,下年标准成本!C:C,0),1),"")</f>
        <v/>
      </c>
      <c r="K941" s="146" t="str">
        <f t="shared" si="82"/>
        <v/>
      </c>
      <c r="L941" s="146" t="str">
        <f t="shared" si="83"/>
        <v/>
      </c>
      <c r="M941" s="148" t="str">
        <f t="shared" si="84"/>
        <v/>
      </c>
    </row>
    <row r="942" spans="1:13" x14ac:dyDescent="0.3">
      <c r="A942" s="149"/>
      <c r="B942" s="149"/>
      <c r="C942" s="149"/>
      <c r="D942" s="149"/>
      <c r="E942" s="149"/>
      <c r="F942" s="149"/>
      <c r="G942" s="162"/>
      <c r="H942" s="146" t="str">
        <f t="shared" si="80"/>
        <v/>
      </c>
      <c r="I942" s="161" t="str">
        <f t="shared" si="81"/>
        <v/>
      </c>
      <c r="J942" s="160" t="str">
        <f>IFERROR(INDEX(下年标准成本!I:I,MATCH(C942,下年标准成本!C:C,0),1),"")</f>
        <v/>
      </c>
      <c r="K942" s="146" t="str">
        <f t="shared" si="82"/>
        <v/>
      </c>
      <c r="L942" s="146" t="str">
        <f t="shared" si="83"/>
        <v/>
      </c>
      <c r="M942" s="148" t="str">
        <f t="shared" si="84"/>
        <v/>
      </c>
    </row>
    <row r="943" spans="1:13" x14ac:dyDescent="0.3">
      <c r="A943" s="149"/>
      <c r="B943" s="149"/>
      <c r="C943" s="149"/>
      <c r="D943" s="149"/>
      <c r="E943" s="149"/>
      <c r="F943" s="149"/>
      <c r="G943" s="162"/>
      <c r="H943" s="146" t="str">
        <f t="shared" si="80"/>
        <v/>
      </c>
      <c r="I943" s="161" t="str">
        <f t="shared" si="81"/>
        <v/>
      </c>
      <c r="J943" s="160" t="str">
        <f>IFERROR(INDEX(下年标准成本!I:I,MATCH(C943,下年标准成本!C:C,0),1),"")</f>
        <v/>
      </c>
      <c r="K943" s="146" t="str">
        <f t="shared" si="82"/>
        <v/>
      </c>
      <c r="L943" s="146" t="str">
        <f t="shared" si="83"/>
        <v/>
      </c>
      <c r="M943" s="148" t="str">
        <f t="shared" si="84"/>
        <v/>
      </c>
    </row>
    <row r="944" spans="1:13" x14ac:dyDescent="0.3">
      <c r="A944" s="149"/>
      <c r="B944" s="149"/>
      <c r="C944" s="149"/>
      <c r="D944" s="149"/>
      <c r="E944" s="149"/>
      <c r="F944" s="149"/>
      <c r="G944" s="162"/>
      <c r="H944" s="146" t="str">
        <f t="shared" si="80"/>
        <v/>
      </c>
      <c r="I944" s="161" t="str">
        <f t="shared" si="81"/>
        <v/>
      </c>
      <c r="J944" s="160" t="str">
        <f>IFERROR(INDEX(下年标准成本!I:I,MATCH(C944,下年标准成本!C:C,0),1),"")</f>
        <v/>
      </c>
      <c r="K944" s="146" t="str">
        <f t="shared" si="82"/>
        <v/>
      </c>
      <c r="L944" s="146" t="str">
        <f t="shared" si="83"/>
        <v/>
      </c>
      <c r="M944" s="148" t="str">
        <f t="shared" si="84"/>
        <v/>
      </c>
    </row>
    <row r="945" spans="1:13" x14ac:dyDescent="0.3">
      <c r="A945" s="149"/>
      <c r="B945" s="149"/>
      <c r="C945" s="149"/>
      <c r="D945" s="149"/>
      <c r="E945" s="149"/>
      <c r="F945" s="149"/>
      <c r="G945" s="162"/>
      <c r="H945" s="146" t="str">
        <f t="shared" si="80"/>
        <v/>
      </c>
      <c r="I945" s="161" t="str">
        <f t="shared" si="81"/>
        <v/>
      </c>
      <c r="J945" s="160" t="str">
        <f>IFERROR(INDEX(下年标准成本!I:I,MATCH(C945,下年标准成本!C:C,0),1),"")</f>
        <v/>
      </c>
      <c r="K945" s="146" t="str">
        <f t="shared" si="82"/>
        <v/>
      </c>
      <c r="L945" s="146" t="str">
        <f t="shared" si="83"/>
        <v/>
      </c>
      <c r="M945" s="148" t="str">
        <f t="shared" si="84"/>
        <v/>
      </c>
    </row>
    <row r="946" spans="1:13" x14ac:dyDescent="0.3">
      <c r="A946" s="149"/>
      <c r="B946" s="149"/>
      <c r="C946" s="149"/>
      <c r="D946" s="149"/>
      <c r="E946" s="149"/>
      <c r="F946" s="149"/>
      <c r="G946" s="162"/>
      <c r="H946" s="146" t="str">
        <f t="shared" si="80"/>
        <v/>
      </c>
      <c r="I946" s="161" t="str">
        <f t="shared" si="81"/>
        <v/>
      </c>
      <c r="J946" s="160" t="str">
        <f>IFERROR(INDEX(下年标准成本!I:I,MATCH(C946,下年标准成本!C:C,0),1),"")</f>
        <v/>
      </c>
      <c r="K946" s="146" t="str">
        <f t="shared" si="82"/>
        <v/>
      </c>
      <c r="L946" s="146" t="str">
        <f t="shared" si="83"/>
        <v/>
      </c>
      <c r="M946" s="148" t="str">
        <f t="shared" si="84"/>
        <v/>
      </c>
    </row>
    <row r="947" spans="1:13" x14ac:dyDescent="0.3">
      <c r="A947" s="149"/>
      <c r="B947" s="149"/>
      <c r="C947" s="149"/>
      <c r="D947" s="149"/>
      <c r="E947" s="149"/>
      <c r="F947" s="149"/>
      <c r="G947" s="162"/>
      <c r="H947" s="146" t="str">
        <f t="shared" si="80"/>
        <v/>
      </c>
      <c r="I947" s="161" t="str">
        <f t="shared" si="81"/>
        <v/>
      </c>
      <c r="J947" s="160" t="str">
        <f>IFERROR(INDEX(下年标准成本!I:I,MATCH(C947,下年标准成本!C:C,0),1),"")</f>
        <v/>
      </c>
      <c r="K947" s="146" t="str">
        <f t="shared" si="82"/>
        <v/>
      </c>
      <c r="L947" s="146" t="str">
        <f t="shared" si="83"/>
        <v/>
      </c>
      <c r="M947" s="148" t="str">
        <f t="shared" si="84"/>
        <v/>
      </c>
    </row>
    <row r="948" spans="1:13" x14ac:dyDescent="0.3">
      <c r="A948" s="149"/>
      <c r="B948" s="149"/>
      <c r="C948" s="149"/>
      <c r="D948" s="149"/>
      <c r="E948" s="149"/>
      <c r="F948" s="149"/>
      <c r="G948" s="162"/>
      <c r="H948" s="146" t="str">
        <f t="shared" si="80"/>
        <v/>
      </c>
      <c r="I948" s="161" t="str">
        <f t="shared" si="81"/>
        <v/>
      </c>
      <c r="J948" s="160" t="str">
        <f>IFERROR(INDEX(下年标准成本!I:I,MATCH(C948,下年标准成本!C:C,0),1),"")</f>
        <v/>
      </c>
      <c r="K948" s="146" t="str">
        <f t="shared" si="82"/>
        <v/>
      </c>
      <c r="L948" s="146" t="str">
        <f t="shared" si="83"/>
        <v/>
      </c>
      <c r="M948" s="148" t="str">
        <f t="shared" si="84"/>
        <v/>
      </c>
    </row>
    <row r="949" spans="1:13" x14ac:dyDescent="0.3">
      <c r="A949" s="149"/>
      <c r="B949" s="149"/>
      <c r="C949" s="149"/>
      <c r="D949" s="149"/>
      <c r="E949" s="149"/>
      <c r="F949" s="149"/>
      <c r="G949" s="162"/>
      <c r="H949" s="146" t="str">
        <f t="shared" si="80"/>
        <v/>
      </c>
      <c r="I949" s="161" t="str">
        <f t="shared" si="81"/>
        <v/>
      </c>
      <c r="J949" s="160" t="str">
        <f>IFERROR(INDEX(下年标准成本!I:I,MATCH(C949,下年标准成本!C:C,0),1),"")</f>
        <v/>
      </c>
      <c r="K949" s="146" t="str">
        <f t="shared" si="82"/>
        <v/>
      </c>
      <c r="L949" s="146" t="str">
        <f t="shared" si="83"/>
        <v/>
      </c>
      <c r="M949" s="148" t="str">
        <f t="shared" si="84"/>
        <v/>
      </c>
    </row>
    <row r="950" spans="1:13" x14ac:dyDescent="0.3">
      <c r="A950" s="149"/>
      <c r="B950" s="149"/>
      <c r="C950" s="149"/>
      <c r="D950" s="149"/>
      <c r="E950" s="149"/>
      <c r="F950" s="149"/>
      <c r="G950" s="162"/>
      <c r="H950" s="146" t="str">
        <f t="shared" si="80"/>
        <v/>
      </c>
      <c r="I950" s="161" t="str">
        <f t="shared" si="81"/>
        <v/>
      </c>
      <c r="J950" s="160" t="str">
        <f>IFERROR(INDEX(下年标准成本!I:I,MATCH(C950,下年标准成本!C:C,0),1),"")</f>
        <v/>
      </c>
      <c r="K950" s="146" t="str">
        <f t="shared" si="82"/>
        <v/>
      </c>
      <c r="L950" s="146" t="str">
        <f t="shared" si="83"/>
        <v/>
      </c>
      <c r="M950" s="148" t="str">
        <f t="shared" si="84"/>
        <v/>
      </c>
    </row>
    <row r="951" spans="1:13" x14ac:dyDescent="0.3">
      <c r="A951" s="149"/>
      <c r="B951" s="149"/>
      <c r="C951" s="149"/>
      <c r="D951" s="149"/>
      <c r="E951" s="149"/>
      <c r="F951" s="149"/>
      <c r="G951" s="162"/>
      <c r="H951" s="146" t="str">
        <f t="shared" si="80"/>
        <v/>
      </c>
      <c r="I951" s="161" t="str">
        <f t="shared" si="81"/>
        <v/>
      </c>
      <c r="J951" s="160" t="str">
        <f>IFERROR(INDEX(下年标准成本!I:I,MATCH(C951,下年标准成本!C:C,0),1),"")</f>
        <v/>
      </c>
      <c r="K951" s="146" t="str">
        <f t="shared" si="82"/>
        <v/>
      </c>
      <c r="L951" s="146" t="str">
        <f t="shared" si="83"/>
        <v/>
      </c>
      <c r="M951" s="148" t="str">
        <f t="shared" si="84"/>
        <v/>
      </c>
    </row>
    <row r="952" spans="1:13" x14ac:dyDescent="0.3">
      <c r="A952" s="149"/>
      <c r="B952" s="149"/>
      <c r="C952" s="149"/>
      <c r="D952" s="149"/>
      <c r="E952" s="149"/>
      <c r="F952" s="149"/>
      <c r="G952" s="162"/>
      <c r="H952" s="146" t="str">
        <f t="shared" si="80"/>
        <v/>
      </c>
      <c r="I952" s="161" t="str">
        <f t="shared" si="81"/>
        <v/>
      </c>
      <c r="J952" s="160" t="str">
        <f>IFERROR(INDEX(下年标准成本!I:I,MATCH(C952,下年标准成本!C:C,0),1),"")</f>
        <v/>
      </c>
      <c r="K952" s="146" t="str">
        <f t="shared" si="82"/>
        <v/>
      </c>
      <c r="L952" s="146" t="str">
        <f t="shared" si="83"/>
        <v/>
      </c>
      <c r="M952" s="148" t="str">
        <f t="shared" si="84"/>
        <v/>
      </c>
    </row>
    <row r="953" spans="1:13" x14ac:dyDescent="0.3">
      <c r="A953" s="149"/>
      <c r="B953" s="149"/>
      <c r="C953" s="149"/>
      <c r="D953" s="149"/>
      <c r="E953" s="149"/>
      <c r="F953" s="149"/>
      <c r="G953" s="162"/>
      <c r="H953" s="146" t="str">
        <f t="shared" si="80"/>
        <v/>
      </c>
      <c r="I953" s="161" t="str">
        <f t="shared" si="81"/>
        <v/>
      </c>
      <c r="J953" s="160" t="str">
        <f>IFERROR(INDEX(下年标准成本!I:I,MATCH(C953,下年标准成本!C:C,0),1),"")</f>
        <v/>
      </c>
      <c r="K953" s="146" t="str">
        <f t="shared" si="82"/>
        <v/>
      </c>
      <c r="L953" s="146" t="str">
        <f t="shared" si="83"/>
        <v/>
      </c>
      <c r="M953" s="148" t="str">
        <f t="shared" si="84"/>
        <v/>
      </c>
    </row>
    <row r="954" spans="1:13" x14ac:dyDescent="0.3">
      <c r="A954" s="149"/>
      <c r="B954" s="149"/>
      <c r="C954" s="149"/>
      <c r="D954" s="149"/>
      <c r="E954" s="149"/>
      <c r="F954" s="149"/>
      <c r="G954" s="162"/>
      <c r="H954" s="146" t="str">
        <f t="shared" si="80"/>
        <v/>
      </c>
      <c r="I954" s="161" t="str">
        <f t="shared" si="81"/>
        <v/>
      </c>
      <c r="J954" s="160" t="str">
        <f>IFERROR(INDEX(下年标准成本!I:I,MATCH(C954,下年标准成本!C:C,0),1),"")</f>
        <v/>
      </c>
      <c r="K954" s="146" t="str">
        <f t="shared" si="82"/>
        <v/>
      </c>
      <c r="L954" s="146" t="str">
        <f t="shared" si="83"/>
        <v/>
      </c>
      <c r="M954" s="148" t="str">
        <f t="shared" si="84"/>
        <v/>
      </c>
    </row>
    <row r="955" spans="1:13" x14ac:dyDescent="0.3">
      <c r="A955" s="149"/>
      <c r="B955" s="149"/>
      <c r="C955" s="149"/>
      <c r="D955" s="149"/>
      <c r="E955" s="149"/>
      <c r="F955" s="149"/>
      <c r="G955" s="162"/>
      <c r="H955" s="146" t="str">
        <f t="shared" si="80"/>
        <v/>
      </c>
      <c r="I955" s="161" t="str">
        <f t="shared" si="81"/>
        <v/>
      </c>
      <c r="J955" s="160" t="str">
        <f>IFERROR(INDEX(下年标准成本!I:I,MATCH(C955,下年标准成本!C:C,0),1),"")</f>
        <v/>
      </c>
      <c r="K955" s="146" t="str">
        <f t="shared" si="82"/>
        <v/>
      </c>
      <c r="L955" s="146" t="str">
        <f t="shared" si="83"/>
        <v/>
      </c>
      <c r="M955" s="148" t="str">
        <f t="shared" si="84"/>
        <v/>
      </c>
    </row>
    <row r="956" spans="1:13" x14ac:dyDescent="0.3">
      <c r="A956" s="149"/>
      <c r="B956" s="149"/>
      <c r="C956" s="149"/>
      <c r="D956" s="149"/>
      <c r="E956" s="149"/>
      <c r="F956" s="149"/>
      <c r="G956" s="162"/>
      <c r="H956" s="146" t="str">
        <f t="shared" si="80"/>
        <v/>
      </c>
      <c r="I956" s="161" t="str">
        <f t="shared" si="81"/>
        <v/>
      </c>
      <c r="J956" s="160" t="str">
        <f>IFERROR(INDEX(下年标准成本!I:I,MATCH(C956,下年标准成本!C:C,0),1),"")</f>
        <v/>
      </c>
      <c r="K956" s="146" t="str">
        <f t="shared" si="82"/>
        <v/>
      </c>
      <c r="L956" s="146" t="str">
        <f t="shared" si="83"/>
        <v/>
      </c>
      <c r="M956" s="148" t="str">
        <f t="shared" si="84"/>
        <v/>
      </c>
    </row>
    <row r="957" spans="1:13" x14ac:dyDescent="0.3">
      <c r="A957" s="149"/>
      <c r="B957" s="149"/>
      <c r="C957" s="149"/>
      <c r="D957" s="149"/>
      <c r="E957" s="149"/>
      <c r="F957" s="149"/>
      <c r="G957" s="162"/>
      <c r="H957" s="146" t="str">
        <f t="shared" si="80"/>
        <v/>
      </c>
      <c r="I957" s="161" t="str">
        <f t="shared" si="81"/>
        <v/>
      </c>
      <c r="J957" s="160" t="str">
        <f>IFERROR(INDEX(下年标准成本!I:I,MATCH(C957,下年标准成本!C:C,0),1),"")</f>
        <v/>
      </c>
      <c r="K957" s="146" t="str">
        <f t="shared" si="82"/>
        <v/>
      </c>
      <c r="L957" s="146" t="str">
        <f t="shared" si="83"/>
        <v/>
      </c>
      <c r="M957" s="148" t="str">
        <f t="shared" si="84"/>
        <v/>
      </c>
    </row>
    <row r="958" spans="1:13" x14ac:dyDescent="0.3">
      <c r="A958" s="149"/>
      <c r="B958" s="149"/>
      <c r="C958" s="149"/>
      <c r="D958" s="149"/>
      <c r="E958" s="149"/>
      <c r="F958" s="149"/>
      <c r="G958" s="162"/>
      <c r="H958" s="146" t="str">
        <f t="shared" si="80"/>
        <v/>
      </c>
      <c r="I958" s="161" t="str">
        <f t="shared" si="81"/>
        <v/>
      </c>
      <c r="J958" s="160" t="str">
        <f>IFERROR(INDEX(下年标准成本!I:I,MATCH(C958,下年标准成本!C:C,0),1),"")</f>
        <v/>
      </c>
      <c r="K958" s="146" t="str">
        <f t="shared" si="82"/>
        <v/>
      </c>
      <c r="L958" s="146" t="str">
        <f t="shared" si="83"/>
        <v/>
      </c>
      <c r="M958" s="148" t="str">
        <f t="shared" si="84"/>
        <v/>
      </c>
    </row>
    <row r="959" spans="1:13" x14ac:dyDescent="0.3">
      <c r="A959" s="149"/>
      <c r="B959" s="149"/>
      <c r="C959" s="149"/>
      <c r="D959" s="149"/>
      <c r="E959" s="149"/>
      <c r="F959" s="149"/>
      <c r="G959" s="162"/>
      <c r="H959" s="146" t="str">
        <f t="shared" si="80"/>
        <v/>
      </c>
      <c r="I959" s="161" t="str">
        <f t="shared" si="81"/>
        <v/>
      </c>
      <c r="J959" s="160" t="str">
        <f>IFERROR(INDEX(下年标准成本!I:I,MATCH(C959,下年标准成本!C:C,0),1),"")</f>
        <v/>
      </c>
      <c r="K959" s="146" t="str">
        <f t="shared" si="82"/>
        <v/>
      </c>
      <c r="L959" s="146" t="str">
        <f t="shared" si="83"/>
        <v/>
      </c>
      <c r="M959" s="148" t="str">
        <f t="shared" si="84"/>
        <v/>
      </c>
    </row>
    <row r="960" spans="1:13" x14ac:dyDescent="0.3">
      <c r="A960" s="149"/>
      <c r="B960" s="149"/>
      <c r="C960" s="149"/>
      <c r="D960" s="149"/>
      <c r="E960" s="149"/>
      <c r="F960" s="149"/>
      <c r="G960" s="162"/>
      <c r="H960" s="146" t="str">
        <f t="shared" si="80"/>
        <v/>
      </c>
      <c r="I960" s="161" t="str">
        <f t="shared" si="81"/>
        <v/>
      </c>
      <c r="J960" s="160" t="str">
        <f>IFERROR(INDEX(下年标准成本!I:I,MATCH(C960,下年标准成本!C:C,0),1),"")</f>
        <v/>
      </c>
      <c r="K960" s="146" t="str">
        <f t="shared" si="82"/>
        <v/>
      </c>
      <c r="L960" s="146" t="str">
        <f t="shared" si="83"/>
        <v/>
      </c>
      <c r="M960" s="148" t="str">
        <f t="shared" si="84"/>
        <v/>
      </c>
    </row>
    <row r="961" spans="1:13" x14ac:dyDescent="0.3">
      <c r="A961" s="149"/>
      <c r="B961" s="149"/>
      <c r="C961" s="149"/>
      <c r="D961" s="149"/>
      <c r="E961" s="149"/>
      <c r="F961" s="149"/>
      <c r="G961" s="162"/>
      <c r="H961" s="146" t="str">
        <f t="shared" si="80"/>
        <v/>
      </c>
      <c r="I961" s="161" t="str">
        <f t="shared" si="81"/>
        <v/>
      </c>
      <c r="J961" s="160" t="str">
        <f>IFERROR(INDEX(下年标准成本!I:I,MATCH(C961,下年标准成本!C:C,0),1),"")</f>
        <v/>
      </c>
      <c r="K961" s="146" t="str">
        <f t="shared" si="82"/>
        <v/>
      </c>
      <c r="L961" s="146" t="str">
        <f t="shared" si="83"/>
        <v/>
      </c>
      <c r="M961" s="148" t="str">
        <f t="shared" si="84"/>
        <v/>
      </c>
    </row>
    <row r="962" spans="1:13" x14ac:dyDescent="0.3">
      <c r="A962" s="149"/>
      <c r="B962" s="149"/>
      <c r="C962" s="149"/>
      <c r="D962" s="149"/>
      <c r="E962" s="149"/>
      <c r="F962" s="149"/>
      <c r="G962" s="162"/>
      <c r="H962" s="146" t="str">
        <f t="shared" si="80"/>
        <v/>
      </c>
      <c r="I962" s="161" t="str">
        <f t="shared" si="81"/>
        <v/>
      </c>
      <c r="J962" s="160" t="str">
        <f>IFERROR(INDEX(下年标准成本!I:I,MATCH(C962,下年标准成本!C:C,0),1),"")</f>
        <v/>
      </c>
      <c r="K962" s="146" t="str">
        <f t="shared" si="82"/>
        <v/>
      </c>
      <c r="L962" s="146" t="str">
        <f t="shared" si="83"/>
        <v/>
      </c>
      <c r="M962" s="148" t="str">
        <f t="shared" si="84"/>
        <v/>
      </c>
    </row>
    <row r="963" spans="1:13" x14ac:dyDescent="0.3">
      <c r="A963" s="149"/>
      <c r="B963" s="149"/>
      <c r="C963" s="149"/>
      <c r="D963" s="149"/>
      <c r="E963" s="149"/>
      <c r="F963" s="149"/>
      <c r="G963" s="162"/>
      <c r="H963" s="146" t="str">
        <f t="shared" si="80"/>
        <v/>
      </c>
      <c r="I963" s="161" t="str">
        <f t="shared" si="81"/>
        <v/>
      </c>
      <c r="J963" s="160" t="str">
        <f>IFERROR(INDEX(下年标准成本!I:I,MATCH(C963,下年标准成本!C:C,0),1),"")</f>
        <v/>
      </c>
      <c r="K963" s="146" t="str">
        <f t="shared" si="82"/>
        <v/>
      </c>
      <c r="L963" s="146" t="str">
        <f t="shared" si="83"/>
        <v/>
      </c>
      <c r="M963" s="148" t="str">
        <f t="shared" si="84"/>
        <v/>
      </c>
    </row>
    <row r="964" spans="1:13" x14ac:dyDescent="0.3">
      <c r="A964" s="149"/>
      <c r="B964" s="149"/>
      <c r="C964" s="149"/>
      <c r="D964" s="149"/>
      <c r="E964" s="149"/>
      <c r="F964" s="149"/>
      <c r="G964" s="162"/>
      <c r="H964" s="146" t="str">
        <f t="shared" si="80"/>
        <v/>
      </c>
      <c r="I964" s="161" t="str">
        <f t="shared" si="81"/>
        <v/>
      </c>
      <c r="J964" s="160" t="str">
        <f>IFERROR(INDEX(下年标准成本!I:I,MATCH(C964,下年标准成本!C:C,0),1),"")</f>
        <v/>
      </c>
      <c r="K964" s="146" t="str">
        <f t="shared" si="82"/>
        <v/>
      </c>
      <c r="L964" s="146" t="str">
        <f t="shared" si="83"/>
        <v/>
      </c>
      <c r="M964" s="148" t="str">
        <f t="shared" si="84"/>
        <v/>
      </c>
    </row>
    <row r="965" spans="1:13" x14ac:dyDescent="0.3">
      <c r="A965" s="149"/>
      <c r="B965" s="149"/>
      <c r="C965" s="149"/>
      <c r="D965" s="149"/>
      <c r="E965" s="149"/>
      <c r="F965" s="149"/>
      <c r="G965" s="162"/>
      <c r="H965" s="146" t="str">
        <f t="shared" si="80"/>
        <v/>
      </c>
      <c r="I965" s="161" t="str">
        <f t="shared" si="81"/>
        <v/>
      </c>
      <c r="J965" s="160" t="str">
        <f>IFERROR(INDEX(下年标准成本!I:I,MATCH(C965,下年标准成本!C:C,0),1),"")</f>
        <v/>
      </c>
      <c r="K965" s="146" t="str">
        <f t="shared" si="82"/>
        <v/>
      </c>
      <c r="L965" s="146" t="str">
        <f t="shared" si="83"/>
        <v/>
      </c>
      <c r="M965" s="148" t="str">
        <f t="shared" si="84"/>
        <v/>
      </c>
    </row>
    <row r="966" spans="1:13" x14ac:dyDescent="0.3">
      <c r="A966" s="149"/>
      <c r="B966" s="149"/>
      <c r="C966" s="149"/>
      <c r="D966" s="149"/>
      <c r="E966" s="149"/>
      <c r="F966" s="149"/>
      <c r="G966" s="162"/>
      <c r="H966" s="146" t="str">
        <f t="shared" si="80"/>
        <v/>
      </c>
      <c r="I966" s="161" t="str">
        <f t="shared" si="81"/>
        <v/>
      </c>
      <c r="J966" s="160" t="str">
        <f>IFERROR(INDEX(下年标准成本!I:I,MATCH(C966,下年标准成本!C:C,0),1),"")</f>
        <v/>
      </c>
      <c r="K966" s="146" t="str">
        <f t="shared" si="82"/>
        <v/>
      </c>
      <c r="L966" s="146" t="str">
        <f t="shared" si="83"/>
        <v/>
      </c>
      <c r="M966" s="148" t="str">
        <f t="shared" si="84"/>
        <v/>
      </c>
    </row>
    <row r="967" spans="1:13" x14ac:dyDescent="0.3">
      <c r="A967" s="149"/>
      <c r="B967" s="149"/>
      <c r="C967" s="149"/>
      <c r="D967" s="149"/>
      <c r="E967" s="149"/>
      <c r="F967" s="149"/>
      <c r="G967" s="162"/>
      <c r="H967" s="146" t="str">
        <f t="shared" si="80"/>
        <v/>
      </c>
      <c r="I967" s="161" t="str">
        <f t="shared" si="81"/>
        <v/>
      </c>
      <c r="J967" s="160" t="str">
        <f>IFERROR(INDEX(下年标准成本!I:I,MATCH(C967,下年标准成本!C:C,0),1),"")</f>
        <v/>
      </c>
      <c r="K967" s="146" t="str">
        <f t="shared" si="82"/>
        <v/>
      </c>
      <c r="L967" s="146" t="str">
        <f t="shared" si="83"/>
        <v/>
      </c>
      <c r="M967" s="148" t="str">
        <f t="shared" si="84"/>
        <v/>
      </c>
    </row>
    <row r="968" spans="1:13" x14ac:dyDescent="0.3">
      <c r="A968" s="149"/>
      <c r="B968" s="149"/>
      <c r="C968" s="149"/>
      <c r="D968" s="149"/>
      <c r="E968" s="149"/>
      <c r="F968" s="149"/>
      <c r="G968" s="162"/>
      <c r="H968" s="146" t="str">
        <f t="shared" si="80"/>
        <v/>
      </c>
      <c r="I968" s="161" t="str">
        <f t="shared" si="81"/>
        <v/>
      </c>
      <c r="J968" s="160" t="str">
        <f>IFERROR(INDEX(下年标准成本!I:I,MATCH(C968,下年标准成本!C:C,0),1),"")</f>
        <v/>
      </c>
      <c r="K968" s="146" t="str">
        <f t="shared" si="82"/>
        <v/>
      </c>
      <c r="L968" s="146" t="str">
        <f t="shared" si="83"/>
        <v/>
      </c>
      <c r="M968" s="148" t="str">
        <f t="shared" si="84"/>
        <v/>
      </c>
    </row>
    <row r="969" spans="1:13" x14ac:dyDescent="0.3">
      <c r="A969" s="149"/>
      <c r="B969" s="149"/>
      <c r="C969" s="149"/>
      <c r="D969" s="149"/>
      <c r="E969" s="149"/>
      <c r="F969" s="149"/>
      <c r="G969" s="162"/>
      <c r="H969" s="146" t="str">
        <f t="shared" si="80"/>
        <v/>
      </c>
      <c r="I969" s="161" t="str">
        <f t="shared" si="81"/>
        <v/>
      </c>
      <c r="J969" s="160" t="str">
        <f>IFERROR(INDEX(下年标准成本!I:I,MATCH(C969,下年标准成本!C:C,0),1),"")</f>
        <v/>
      </c>
      <c r="K969" s="146" t="str">
        <f t="shared" si="82"/>
        <v/>
      </c>
      <c r="L969" s="146" t="str">
        <f t="shared" si="83"/>
        <v/>
      </c>
      <c r="M969" s="148" t="str">
        <f t="shared" si="84"/>
        <v/>
      </c>
    </row>
    <row r="970" spans="1:13" x14ac:dyDescent="0.3">
      <c r="A970" s="149"/>
      <c r="B970" s="149"/>
      <c r="C970" s="149"/>
      <c r="D970" s="149"/>
      <c r="E970" s="149"/>
      <c r="F970" s="149"/>
      <c r="G970" s="162"/>
      <c r="H970" s="146" t="str">
        <f t="shared" ref="H970:H1033" si="85">IFERROR(F970/E970,"")</f>
        <v/>
      </c>
      <c r="I970" s="161" t="str">
        <f t="shared" ref="I970:I1033" si="86">IFERROR(H970*(1+G970),"")</f>
        <v/>
      </c>
      <c r="J970" s="160" t="str">
        <f>IFERROR(INDEX(下年标准成本!I:I,MATCH(C970,下年标准成本!C:C,0),1),"")</f>
        <v/>
      </c>
      <c r="K970" s="146" t="str">
        <f t="shared" ref="K970:K1033" si="87">IFERROR(E970*J970,"")</f>
        <v/>
      </c>
      <c r="L970" s="146" t="str">
        <f t="shared" ref="L970:L1033" si="88">IFERROR(F970-K970,"")</f>
        <v/>
      </c>
      <c r="M970" s="148" t="str">
        <f t="shared" ref="M970:M1033" si="89">IFERROR(L970/F970,"")</f>
        <v/>
      </c>
    </row>
    <row r="971" spans="1:13" x14ac:dyDescent="0.3">
      <c r="A971" s="149"/>
      <c r="B971" s="149"/>
      <c r="C971" s="149"/>
      <c r="D971" s="149"/>
      <c r="E971" s="149"/>
      <c r="F971" s="149"/>
      <c r="G971" s="162"/>
      <c r="H971" s="146" t="str">
        <f t="shared" si="85"/>
        <v/>
      </c>
      <c r="I971" s="161" t="str">
        <f t="shared" si="86"/>
        <v/>
      </c>
      <c r="J971" s="160" t="str">
        <f>IFERROR(INDEX(下年标准成本!I:I,MATCH(C971,下年标准成本!C:C,0),1),"")</f>
        <v/>
      </c>
      <c r="K971" s="146" t="str">
        <f t="shared" si="87"/>
        <v/>
      </c>
      <c r="L971" s="146" t="str">
        <f t="shared" si="88"/>
        <v/>
      </c>
      <c r="M971" s="148" t="str">
        <f t="shared" si="89"/>
        <v/>
      </c>
    </row>
    <row r="972" spans="1:13" x14ac:dyDescent="0.3">
      <c r="A972" s="149"/>
      <c r="B972" s="149"/>
      <c r="C972" s="149"/>
      <c r="D972" s="149"/>
      <c r="E972" s="149"/>
      <c r="F972" s="149"/>
      <c r="G972" s="162"/>
      <c r="H972" s="146" t="str">
        <f t="shared" si="85"/>
        <v/>
      </c>
      <c r="I972" s="161" t="str">
        <f t="shared" si="86"/>
        <v/>
      </c>
      <c r="J972" s="160" t="str">
        <f>IFERROR(INDEX(下年标准成本!I:I,MATCH(C972,下年标准成本!C:C,0),1),"")</f>
        <v/>
      </c>
      <c r="K972" s="146" t="str">
        <f t="shared" si="87"/>
        <v/>
      </c>
      <c r="L972" s="146" t="str">
        <f t="shared" si="88"/>
        <v/>
      </c>
      <c r="M972" s="148" t="str">
        <f t="shared" si="89"/>
        <v/>
      </c>
    </row>
    <row r="973" spans="1:13" x14ac:dyDescent="0.3">
      <c r="A973" s="149"/>
      <c r="B973" s="149"/>
      <c r="C973" s="149"/>
      <c r="D973" s="149"/>
      <c r="E973" s="149"/>
      <c r="F973" s="149"/>
      <c r="G973" s="162"/>
      <c r="H973" s="146" t="str">
        <f t="shared" si="85"/>
        <v/>
      </c>
      <c r="I973" s="161" t="str">
        <f t="shared" si="86"/>
        <v/>
      </c>
      <c r="J973" s="160" t="str">
        <f>IFERROR(INDEX(下年标准成本!I:I,MATCH(C973,下年标准成本!C:C,0),1),"")</f>
        <v/>
      </c>
      <c r="K973" s="146" t="str">
        <f t="shared" si="87"/>
        <v/>
      </c>
      <c r="L973" s="146" t="str">
        <f t="shared" si="88"/>
        <v/>
      </c>
      <c r="M973" s="148" t="str">
        <f t="shared" si="89"/>
        <v/>
      </c>
    </row>
    <row r="974" spans="1:13" x14ac:dyDescent="0.3">
      <c r="A974" s="149"/>
      <c r="B974" s="149"/>
      <c r="C974" s="149"/>
      <c r="D974" s="149"/>
      <c r="E974" s="149"/>
      <c r="F974" s="149"/>
      <c r="G974" s="162"/>
      <c r="H974" s="146" t="str">
        <f t="shared" si="85"/>
        <v/>
      </c>
      <c r="I974" s="161" t="str">
        <f t="shared" si="86"/>
        <v/>
      </c>
      <c r="J974" s="160" t="str">
        <f>IFERROR(INDEX(下年标准成本!I:I,MATCH(C974,下年标准成本!C:C,0),1),"")</f>
        <v/>
      </c>
      <c r="K974" s="146" t="str">
        <f t="shared" si="87"/>
        <v/>
      </c>
      <c r="L974" s="146" t="str">
        <f t="shared" si="88"/>
        <v/>
      </c>
      <c r="M974" s="148" t="str">
        <f t="shared" si="89"/>
        <v/>
      </c>
    </row>
    <row r="975" spans="1:13" x14ac:dyDescent="0.3">
      <c r="A975" s="149"/>
      <c r="B975" s="149"/>
      <c r="C975" s="149"/>
      <c r="D975" s="149"/>
      <c r="E975" s="149"/>
      <c r="F975" s="149"/>
      <c r="G975" s="162"/>
      <c r="H975" s="146" t="str">
        <f t="shared" si="85"/>
        <v/>
      </c>
      <c r="I975" s="161" t="str">
        <f t="shared" si="86"/>
        <v/>
      </c>
      <c r="J975" s="160" t="str">
        <f>IFERROR(INDEX(下年标准成本!I:I,MATCH(C975,下年标准成本!C:C,0),1),"")</f>
        <v/>
      </c>
      <c r="K975" s="146" t="str">
        <f t="shared" si="87"/>
        <v/>
      </c>
      <c r="L975" s="146" t="str">
        <f t="shared" si="88"/>
        <v/>
      </c>
      <c r="M975" s="148" t="str">
        <f t="shared" si="89"/>
        <v/>
      </c>
    </row>
    <row r="976" spans="1:13" x14ac:dyDescent="0.3">
      <c r="A976" s="149"/>
      <c r="B976" s="149"/>
      <c r="C976" s="149"/>
      <c r="D976" s="149"/>
      <c r="E976" s="149"/>
      <c r="F976" s="149"/>
      <c r="G976" s="162"/>
      <c r="H976" s="146" t="str">
        <f t="shared" si="85"/>
        <v/>
      </c>
      <c r="I976" s="161" t="str">
        <f t="shared" si="86"/>
        <v/>
      </c>
      <c r="J976" s="160" t="str">
        <f>IFERROR(INDEX(下年标准成本!I:I,MATCH(C976,下年标准成本!C:C,0),1),"")</f>
        <v/>
      </c>
      <c r="K976" s="146" t="str">
        <f t="shared" si="87"/>
        <v/>
      </c>
      <c r="L976" s="146" t="str">
        <f t="shared" si="88"/>
        <v/>
      </c>
      <c r="M976" s="148" t="str">
        <f t="shared" si="89"/>
        <v/>
      </c>
    </row>
    <row r="977" spans="1:13" x14ac:dyDescent="0.3">
      <c r="A977" s="149"/>
      <c r="B977" s="149"/>
      <c r="C977" s="149"/>
      <c r="D977" s="149"/>
      <c r="E977" s="149"/>
      <c r="F977" s="149"/>
      <c r="G977" s="162"/>
      <c r="H977" s="146" t="str">
        <f t="shared" si="85"/>
        <v/>
      </c>
      <c r="I977" s="161" t="str">
        <f t="shared" si="86"/>
        <v/>
      </c>
      <c r="J977" s="160" t="str">
        <f>IFERROR(INDEX(下年标准成本!I:I,MATCH(C977,下年标准成本!C:C,0),1),"")</f>
        <v/>
      </c>
      <c r="K977" s="146" t="str">
        <f t="shared" si="87"/>
        <v/>
      </c>
      <c r="L977" s="146" t="str">
        <f t="shared" si="88"/>
        <v/>
      </c>
      <c r="M977" s="148" t="str">
        <f t="shared" si="89"/>
        <v/>
      </c>
    </row>
    <row r="978" spans="1:13" x14ac:dyDescent="0.3">
      <c r="A978" s="149"/>
      <c r="B978" s="149"/>
      <c r="C978" s="149"/>
      <c r="D978" s="149"/>
      <c r="E978" s="149"/>
      <c r="F978" s="149"/>
      <c r="G978" s="162"/>
      <c r="H978" s="146" t="str">
        <f t="shared" si="85"/>
        <v/>
      </c>
      <c r="I978" s="161" t="str">
        <f t="shared" si="86"/>
        <v/>
      </c>
      <c r="J978" s="160" t="str">
        <f>IFERROR(INDEX(下年标准成本!I:I,MATCH(C978,下年标准成本!C:C,0),1),"")</f>
        <v/>
      </c>
      <c r="K978" s="146" t="str">
        <f t="shared" si="87"/>
        <v/>
      </c>
      <c r="L978" s="146" t="str">
        <f t="shared" si="88"/>
        <v/>
      </c>
      <c r="M978" s="148" t="str">
        <f t="shared" si="89"/>
        <v/>
      </c>
    </row>
    <row r="979" spans="1:13" x14ac:dyDescent="0.3">
      <c r="A979" s="149"/>
      <c r="B979" s="149"/>
      <c r="C979" s="149"/>
      <c r="D979" s="149"/>
      <c r="E979" s="149"/>
      <c r="F979" s="149"/>
      <c r="G979" s="162"/>
      <c r="H979" s="146" t="str">
        <f t="shared" si="85"/>
        <v/>
      </c>
      <c r="I979" s="161" t="str">
        <f t="shared" si="86"/>
        <v/>
      </c>
      <c r="J979" s="160" t="str">
        <f>IFERROR(INDEX(下年标准成本!I:I,MATCH(C979,下年标准成本!C:C,0),1),"")</f>
        <v/>
      </c>
      <c r="K979" s="146" t="str">
        <f t="shared" si="87"/>
        <v/>
      </c>
      <c r="L979" s="146" t="str">
        <f t="shared" si="88"/>
        <v/>
      </c>
      <c r="M979" s="148" t="str">
        <f t="shared" si="89"/>
        <v/>
      </c>
    </row>
    <row r="980" spans="1:13" x14ac:dyDescent="0.3">
      <c r="A980" s="149"/>
      <c r="B980" s="149"/>
      <c r="C980" s="149"/>
      <c r="D980" s="149"/>
      <c r="E980" s="149"/>
      <c r="F980" s="149"/>
      <c r="G980" s="162"/>
      <c r="H980" s="146" t="str">
        <f t="shared" si="85"/>
        <v/>
      </c>
      <c r="I980" s="161" t="str">
        <f t="shared" si="86"/>
        <v/>
      </c>
      <c r="J980" s="160" t="str">
        <f>IFERROR(INDEX(下年标准成本!I:I,MATCH(C980,下年标准成本!C:C,0),1),"")</f>
        <v/>
      </c>
      <c r="K980" s="146" t="str">
        <f t="shared" si="87"/>
        <v/>
      </c>
      <c r="L980" s="146" t="str">
        <f t="shared" si="88"/>
        <v/>
      </c>
      <c r="M980" s="148" t="str">
        <f t="shared" si="89"/>
        <v/>
      </c>
    </row>
    <row r="981" spans="1:13" x14ac:dyDescent="0.3">
      <c r="A981" s="149"/>
      <c r="B981" s="149"/>
      <c r="C981" s="149"/>
      <c r="D981" s="149"/>
      <c r="E981" s="149"/>
      <c r="F981" s="149"/>
      <c r="G981" s="162"/>
      <c r="H981" s="146" t="str">
        <f t="shared" si="85"/>
        <v/>
      </c>
      <c r="I981" s="161" t="str">
        <f t="shared" si="86"/>
        <v/>
      </c>
      <c r="J981" s="160" t="str">
        <f>IFERROR(INDEX(下年标准成本!I:I,MATCH(C981,下年标准成本!C:C,0),1),"")</f>
        <v/>
      </c>
      <c r="K981" s="146" t="str">
        <f t="shared" si="87"/>
        <v/>
      </c>
      <c r="L981" s="146" t="str">
        <f t="shared" si="88"/>
        <v/>
      </c>
      <c r="M981" s="148" t="str">
        <f t="shared" si="89"/>
        <v/>
      </c>
    </row>
    <row r="982" spans="1:13" x14ac:dyDescent="0.3">
      <c r="A982" s="149"/>
      <c r="B982" s="149"/>
      <c r="C982" s="149"/>
      <c r="D982" s="149"/>
      <c r="E982" s="149"/>
      <c r="F982" s="149"/>
      <c r="G982" s="162"/>
      <c r="H982" s="146" t="str">
        <f t="shared" si="85"/>
        <v/>
      </c>
      <c r="I982" s="161" t="str">
        <f t="shared" si="86"/>
        <v/>
      </c>
      <c r="J982" s="160" t="str">
        <f>IFERROR(INDEX(下年标准成本!I:I,MATCH(C982,下年标准成本!C:C,0),1),"")</f>
        <v/>
      </c>
      <c r="K982" s="146" t="str">
        <f t="shared" si="87"/>
        <v/>
      </c>
      <c r="L982" s="146" t="str">
        <f t="shared" si="88"/>
        <v/>
      </c>
      <c r="M982" s="148" t="str">
        <f t="shared" si="89"/>
        <v/>
      </c>
    </row>
    <row r="983" spans="1:13" x14ac:dyDescent="0.3">
      <c r="A983" s="149"/>
      <c r="B983" s="149"/>
      <c r="C983" s="149"/>
      <c r="D983" s="149"/>
      <c r="E983" s="149"/>
      <c r="F983" s="149"/>
      <c r="G983" s="162"/>
      <c r="H983" s="146" t="str">
        <f t="shared" si="85"/>
        <v/>
      </c>
      <c r="I983" s="161" t="str">
        <f t="shared" si="86"/>
        <v/>
      </c>
      <c r="J983" s="160" t="str">
        <f>IFERROR(INDEX(下年标准成本!I:I,MATCH(C983,下年标准成本!C:C,0),1),"")</f>
        <v/>
      </c>
      <c r="K983" s="146" t="str">
        <f t="shared" si="87"/>
        <v/>
      </c>
      <c r="L983" s="146" t="str">
        <f t="shared" si="88"/>
        <v/>
      </c>
      <c r="M983" s="148" t="str">
        <f t="shared" si="89"/>
        <v/>
      </c>
    </row>
    <row r="984" spans="1:13" x14ac:dyDescent="0.3">
      <c r="A984" s="149"/>
      <c r="B984" s="149"/>
      <c r="C984" s="149"/>
      <c r="D984" s="149"/>
      <c r="E984" s="149"/>
      <c r="F984" s="149"/>
      <c r="G984" s="162"/>
      <c r="H984" s="146" t="str">
        <f t="shared" si="85"/>
        <v/>
      </c>
      <c r="I984" s="161" t="str">
        <f t="shared" si="86"/>
        <v/>
      </c>
      <c r="J984" s="160" t="str">
        <f>IFERROR(INDEX(下年标准成本!I:I,MATCH(C984,下年标准成本!C:C,0),1),"")</f>
        <v/>
      </c>
      <c r="K984" s="146" t="str">
        <f t="shared" si="87"/>
        <v/>
      </c>
      <c r="L984" s="146" t="str">
        <f t="shared" si="88"/>
        <v/>
      </c>
      <c r="M984" s="148" t="str">
        <f t="shared" si="89"/>
        <v/>
      </c>
    </row>
    <row r="985" spans="1:13" x14ac:dyDescent="0.3">
      <c r="A985" s="149"/>
      <c r="B985" s="149"/>
      <c r="C985" s="149"/>
      <c r="D985" s="149"/>
      <c r="E985" s="149"/>
      <c r="F985" s="149"/>
      <c r="G985" s="162"/>
      <c r="H985" s="146" t="str">
        <f t="shared" si="85"/>
        <v/>
      </c>
      <c r="I985" s="161" t="str">
        <f t="shared" si="86"/>
        <v/>
      </c>
      <c r="J985" s="160" t="str">
        <f>IFERROR(INDEX(下年标准成本!I:I,MATCH(C985,下年标准成本!C:C,0),1),"")</f>
        <v/>
      </c>
      <c r="K985" s="146" t="str">
        <f t="shared" si="87"/>
        <v/>
      </c>
      <c r="L985" s="146" t="str">
        <f t="shared" si="88"/>
        <v/>
      </c>
      <c r="M985" s="148" t="str">
        <f t="shared" si="89"/>
        <v/>
      </c>
    </row>
    <row r="986" spans="1:13" x14ac:dyDescent="0.3">
      <c r="A986" s="149"/>
      <c r="B986" s="149"/>
      <c r="C986" s="149"/>
      <c r="D986" s="149"/>
      <c r="E986" s="149"/>
      <c r="F986" s="149"/>
      <c r="G986" s="162"/>
      <c r="H986" s="146" t="str">
        <f t="shared" si="85"/>
        <v/>
      </c>
      <c r="I986" s="161" t="str">
        <f t="shared" si="86"/>
        <v/>
      </c>
      <c r="J986" s="160" t="str">
        <f>IFERROR(INDEX(下年标准成本!I:I,MATCH(C986,下年标准成本!C:C,0),1),"")</f>
        <v/>
      </c>
      <c r="K986" s="146" t="str">
        <f t="shared" si="87"/>
        <v/>
      </c>
      <c r="L986" s="146" t="str">
        <f t="shared" si="88"/>
        <v/>
      </c>
      <c r="M986" s="148" t="str">
        <f t="shared" si="89"/>
        <v/>
      </c>
    </row>
    <row r="987" spans="1:13" x14ac:dyDescent="0.3">
      <c r="A987" s="149"/>
      <c r="B987" s="149"/>
      <c r="C987" s="149"/>
      <c r="D987" s="149"/>
      <c r="E987" s="149"/>
      <c r="F987" s="149"/>
      <c r="G987" s="162"/>
      <c r="H987" s="146" t="str">
        <f t="shared" si="85"/>
        <v/>
      </c>
      <c r="I987" s="161" t="str">
        <f t="shared" si="86"/>
        <v/>
      </c>
      <c r="J987" s="160" t="str">
        <f>IFERROR(INDEX(下年标准成本!I:I,MATCH(C987,下年标准成本!C:C,0),1),"")</f>
        <v/>
      </c>
      <c r="K987" s="146" t="str">
        <f t="shared" si="87"/>
        <v/>
      </c>
      <c r="L987" s="146" t="str">
        <f t="shared" si="88"/>
        <v/>
      </c>
      <c r="M987" s="148" t="str">
        <f t="shared" si="89"/>
        <v/>
      </c>
    </row>
    <row r="988" spans="1:13" x14ac:dyDescent="0.3">
      <c r="A988" s="149"/>
      <c r="B988" s="149"/>
      <c r="C988" s="149"/>
      <c r="D988" s="149"/>
      <c r="E988" s="149"/>
      <c r="F988" s="149"/>
      <c r="G988" s="162"/>
      <c r="H988" s="146" t="str">
        <f t="shared" si="85"/>
        <v/>
      </c>
      <c r="I988" s="161" t="str">
        <f t="shared" si="86"/>
        <v/>
      </c>
      <c r="J988" s="160" t="str">
        <f>IFERROR(INDEX(下年标准成本!I:I,MATCH(C988,下年标准成本!C:C,0),1),"")</f>
        <v/>
      </c>
      <c r="K988" s="146" t="str">
        <f t="shared" si="87"/>
        <v/>
      </c>
      <c r="L988" s="146" t="str">
        <f t="shared" si="88"/>
        <v/>
      </c>
      <c r="M988" s="148" t="str">
        <f t="shared" si="89"/>
        <v/>
      </c>
    </row>
    <row r="989" spans="1:13" x14ac:dyDescent="0.3">
      <c r="A989" s="149"/>
      <c r="B989" s="149"/>
      <c r="C989" s="149"/>
      <c r="D989" s="149"/>
      <c r="E989" s="149"/>
      <c r="F989" s="149"/>
      <c r="G989" s="162"/>
      <c r="H989" s="146" t="str">
        <f t="shared" si="85"/>
        <v/>
      </c>
      <c r="I989" s="161" t="str">
        <f t="shared" si="86"/>
        <v/>
      </c>
      <c r="J989" s="160" t="str">
        <f>IFERROR(INDEX(下年标准成本!I:I,MATCH(C989,下年标准成本!C:C,0),1),"")</f>
        <v/>
      </c>
      <c r="K989" s="146" t="str">
        <f t="shared" si="87"/>
        <v/>
      </c>
      <c r="L989" s="146" t="str">
        <f t="shared" si="88"/>
        <v/>
      </c>
      <c r="M989" s="148" t="str">
        <f t="shared" si="89"/>
        <v/>
      </c>
    </row>
    <row r="990" spans="1:13" x14ac:dyDescent="0.3">
      <c r="A990" s="149"/>
      <c r="B990" s="149"/>
      <c r="C990" s="149"/>
      <c r="D990" s="149"/>
      <c r="E990" s="149"/>
      <c r="F990" s="149"/>
      <c r="G990" s="162"/>
      <c r="H990" s="146" t="str">
        <f t="shared" si="85"/>
        <v/>
      </c>
      <c r="I990" s="161" t="str">
        <f t="shared" si="86"/>
        <v/>
      </c>
      <c r="J990" s="160" t="str">
        <f>IFERROR(INDEX(下年标准成本!I:I,MATCH(C990,下年标准成本!C:C,0),1),"")</f>
        <v/>
      </c>
      <c r="K990" s="146" t="str">
        <f t="shared" si="87"/>
        <v/>
      </c>
      <c r="L990" s="146" t="str">
        <f t="shared" si="88"/>
        <v/>
      </c>
      <c r="M990" s="148" t="str">
        <f t="shared" si="89"/>
        <v/>
      </c>
    </row>
    <row r="991" spans="1:13" x14ac:dyDescent="0.3">
      <c r="A991" s="149"/>
      <c r="B991" s="149"/>
      <c r="C991" s="149"/>
      <c r="D991" s="149"/>
      <c r="E991" s="149"/>
      <c r="F991" s="149"/>
      <c r="G991" s="162"/>
      <c r="H991" s="146" t="str">
        <f t="shared" si="85"/>
        <v/>
      </c>
      <c r="I991" s="161" t="str">
        <f t="shared" si="86"/>
        <v/>
      </c>
      <c r="J991" s="160" t="str">
        <f>IFERROR(INDEX(下年标准成本!I:I,MATCH(C991,下年标准成本!C:C,0),1),"")</f>
        <v/>
      </c>
      <c r="K991" s="146" t="str">
        <f t="shared" si="87"/>
        <v/>
      </c>
      <c r="L991" s="146" t="str">
        <f t="shared" si="88"/>
        <v/>
      </c>
      <c r="M991" s="148" t="str">
        <f t="shared" si="89"/>
        <v/>
      </c>
    </row>
    <row r="992" spans="1:13" x14ac:dyDescent="0.3">
      <c r="A992" s="149"/>
      <c r="B992" s="149"/>
      <c r="C992" s="149"/>
      <c r="D992" s="149"/>
      <c r="E992" s="149"/>
      <c r="F992" s="149"/>
      <c r="G992" s="162"/>
      <c r="H992" s="146" t="str">
        <f t="shared" si="85"/>
        <v/>
      </c>
      <c r="I992" s="161" t="str">
        <f t="shared" si="86"/>
        <v/>
      </c>
      <c r="J992" s="160" t="str">
        <f>IFERROR(INDEX(下年标准成本!I:I,MATCH(C992,下年标准成本!C:C,0),1),"")</f>
        <v/>
      </c>
      <c r="K992" s="146" t="str">
        <f t="shared" si="87"/>
        <v/>
      </c>
      <c r="L992" s="146" t="str">
        <f t="shared" si="88"/>
        <v/>
      </c>
      <c r="M992" s="148" t="str">
        <f t="shared" si="89"/>
        <v/>
      </c>
    </row>
    <row r="993" spans="1:13" x14ac:dyDescent="0.3">
      <c r="A993" s="149"/>
      <c r="B993" s="149"/>
      <c r="C993" s="149"/>
      <c r="D993" s="149"/>
      <c r="E993" s="149"/>
      <c r="F993" s="149"/>
      <c r="G993" s="162"/>
      <c r="H993" s="146" t="str">
        <f t="shared" si="85"/>
        <v/>
      </c>
      <c r="I993" s="161" t="str">
        <f t="shared" si="86"/>
        <v/>
      </c>
      <c r="J993" s="160" t="str">
        <f>IFERROR(INDEX(下年标准成本!I:I,MATCH(C993,下年标准成本!C:C,0),1),"")</f>
        <v/>
      </c>
      <c r="K993" s="146" t="str">
        <f t="shared" si="87"/>
        <v/>
      </c>
      <c r="L993" s="146" t="str">
        <f t="shared" si="88"/>
        <v/>
      </c>
      <c r="M993" s="148" t="str">
        <f t="shared" si="89"/>
        <v/>
      </c>
    </row>
    <row r="994" spans="1:13" x14ac:dyDescent="0.3">
      <c r="A994" s="149"/>
      <c r="B994" s="149"/>
      <c r="C994" s="149"/>
      <c r="D994" s="149"/>
      <c r="E994" s="149"/>
      <c r="F994" s="149"/>
      <c r="G994" s="162"/>
      <c r="H994" s="146" t="str">
        <f t="shared" si="85"/>
        <v/>
      </c>
      <c r="I994" s="161" t="str">
        <f t="shared" si="86"/>
        <v/>
      </c>
      <c r="J994" s="160" t="str">
        <f>IFERROR(INDEX(下年标准成本!I:I,MATCH(C994,下年标准成本!C:C,0),1),"")</f>
        <v/>
      </c>
      <c r="K994" s="146" t="str">
        <f t="shared" si="87"/>
        <v/>
      </c>
      <c r="L994" s="146" t="str">
        <f t="shared" si="88"/>
        <v/>
      </c>
      <c r="M994" s="148" t="str">
        <f t="shared" si="89"/>
        <v/>
      </c>
    </row>
    <row r="995" spans="1:13" x14ac:dyDescent="0.3">
      <c r="A995" s="149"/>
      <c r="B995" s="149"/>
      <c r="C995" s="149"/>
      <c r="D995" s="149"/>
      <c r="E995" s="149"/>
      <c r="F995" s="149"/>
      <c r="G995" s="162"/>
      <c r="H995" s="146" t="str">
        <f t="shared" si="85"/>
        <v/>
      </c>
      <c r="I995" s="161" t="str">
        <f t="shared" si="86"/>
        <v/>
      </c>
      <c r="J995" s="160" t="str">
        <f>IFERROR(INDEX(下年标准成本!I:I,MATCH(C995,下年标准成本!C:C,0),1),"")</f>
        <v/>
      </c>
      <c r="K995" s="146" t="str">
        <f t="shared" si="87"/>
        <v/>
      </c>
      <c r="L995" s="146" t="str">
        <f t="shared" si="88"/>
        <v/>
      </c>
      <c r="M995" s="148" t="str">
        <f t="shared" si="89"/>
        <v/>
      </c>
    </row>
    <row r="996" spans="1:13" x14ac:dyDescent="0.3">
      <c r="A996" s="149"/>
      <c r="B996" s="149"/>
      <c r="C996" s="149"/>
      <c r="D996" s="149"/>
      <c r="E996" s="149"/>
      <c r="F996" s="149"/>
      <c r="G996" s="162"/>
      <c r="H996" s="146" t="str">
        <f t="shared" si="85"/>
        <v/>
      </c>
      <c r="I996" s="161" t="str">
        <f t="shared" si="86"/>
        <v/>
      </c>
      <c r="J996" s="160" t="str">
        <f>IFERROR(INDEX(下年标准成本!I:I,MATCH(C996,下年标准成本!C:C,0),1),"")</f>
        <v/>
      </c>
      <c r="K996" s="146" t="str">
        <f t="shared" si="87"/>
        <v/>
      </c>
      <c r="L996" s="146" t="str">
        <f t="shared" si="88"/>
        <v/>
      </c>
      <c r="M996" s="148" t="str">
        <f t="shared" si="89"/>
        <v/>
      </c>
    </row>
    <row r="997" spans="1:13" x14ac:dyDescent="0.3">
      <c r="A997" s="149"/>
      <c r="B997" s="149"/>
      <c r="C997" s="149"/>
      <c r="D997" s="149"/>
      <c r="E997" s="149"/>
      <c r="F997" s="149"/>
      <c r="G997" s="162"/>
      <c r="H997" s="146" t="str">
        <f t="shared" si="85"/>
        <v/>
      </c>
      <c r="I997" s="161" t="str">
        <f t="shared" si="86"/>
        <v/>
      </c>
      <c r="J997" s="160" t="str">
        <f>IFERROR(INDEX(下年标准成本!I:I,MATCH(C997,下年标准成本!C:C,0),1),"")</f>
        <v/>
      </c>
      <c r="K997" s="146" t="str">
        <f t="shared" si="87"/>
        <v/>
      </c>
      <c r="L997" s="146" t="str">
        <f t="shared" si="88"/>
        <v/>
      </c>
      <c r="M997" s="148" t="str">
        <f t="shared" si="89"/>
        <v/>
      </c>
    </row>
    <row r="998" spans="1:13" x14ac:dyDescent="0.3">
      <c r="A998" s="149"/>
      <c r="B998" s="149"/>
      <c r="C998" s="149"/>
      <c r="D998" s="149"/>
      <c r="E998" s="149"/>
      <c r="F998" s="149"/>
      <c r="G998" s="162"/>
      <c r="H998" s="146" t="str">
        <f t="shared" si="85"/>
        <v/>
      </c>
      <c r="I998" s="161" t="str">
        <f t="shared" si="86"/>
        <v/>
      </c>
      <c r="J998" s="160" t="str">
        <f>IFERROR(INDEX(下年标准成本!I:I,MATCH(C998,下年标准成本!C:C,0),1),"")</f>
        <v/>
      </c>
      <c r="K998" s="146" t="str">
        <f t="shared" si="87"/>
        <v/>
      </c>
      <c r="L998" s="146" t="str">
        <f t="shared" si="88"/>
        <v/>
      </c>
      <c r="M998" s="148" t="str">
        <f t="shared" si="89"/>
        <v/>
      </c>
    </row>
    <row r="999" spans="1:13" x14ac:dyDescent="0.3">
      <c r="A999" s="149"/>
      <c r="B999" s="149"/>
      <c r="C999" s="149"/>
      <c r="D999" s="149"/>
      <c r="E999" s="149"/>
      <c r="F999" s="149"/>
      <c r="G999" s="162"/>
      <c r="H999" s="146" t="str">
        <f t="shared" si="85"/>
        <v/>
      </c>
      <c r="I999" s="161" t="str">
        <f t="shared" si="86"/>
        <v/>
      </c>
      <c r="J999" s="160" t="str">
        <f>IFERROR(INDEX(下年标准成本!I:I,MATCH(C999,下年标准成本!C:C,0),1),"")</f>
        <v/>
      </c>
      <c r="K999" s="146" t="str">
        <f t="shared" si="87"/>
        <v/>
      </c>
      <c r="L999" s="146" t="str">
        <f t="shared" si="88"/>
        <v/>
      </c>
      <c r="M999" s="148" t="str">
        <f t="shared" si="89"/>
        <v/>
      </c>
    </row>
    <row r="1000" spans="1:13" x14ac:dyDescent="0.3">
      <c r="A1000" s="149"/>
      <c r="B1000" s="149"/>
      <c r="C1000" s="149"/>
      <c r="D1000" s="149"/>
      <c r="E1000" s="149"/>
      <c r="F1000" s="149"/>
      <c r="G1000" s="162"/>
      <c r="H1000" s="146" t="str">
        <f t="shared" si="85"/>
        <v/>
      </c>
      <c r="I1000" s="161" t="str">
        <f t="shared" si="86"/>
        <v/>
      </c>
      <c r="J1000" s="160" t="str">
        <f>IFERROR(INDEX(下年标准成本!I:I,MATCH(C1000,下年标准成本!C:C,0),1),"")</f>
        <v/>
      </c>
      <c r="K1000" s="146" t="str">
        <f t="shared" si="87"/>
        <v/>
      </c>
      <c r="L1000" s="146" t="str">
        <f t="shared" si="88"/>
        <v/>
      </c>
      <c r="M1000" s="148" t="str">
        <f t="shared" si="89"/>
        <v/>
      </c>
    </row>
    <row r="1001" spans="1:13" x14ac:dyDescent="0.3">
      <c r="A1001" s="149"/>
      <c r="B1001" s="149"/>
      <c r="C1001" s="149"/>
      <c r="D1001" s="149"/>
      <c r="E1001" s="149"/>
      <c r="F1001" s="149"/>
      <c r="G1001" s="162"/>
      <c r="H1001" s="146" t="str">
        <f t="shared" si="85"/>
        <v/>
      </c>
      <c r="I1001" s="161" t="str">
        <f t="shared" si="86"/>
        <v/>
      </c>
      <c r="J1001" s="160" t="str">
        <f>IFERROR(INDEX(下年标准成本!I:I,MATCH(C1001,下年标准成本!C:C,0),1),"")</f>
        <v/>
      </c>
      <c r="K1001" s="146" t="str">
        <f t="shared" si="87"/>
        <v/>
      </c>
      <c r="L1001" s="146" t="str">
        <f t="shared" si="88"/>
        <v/>
      </c>
      <c r="M1001" s="148" t="str">
        <f t="shared" si="89"/>
        <v/>
      </c>
    </row>
    <row r="1002" spans="1:13" x14ac:dyDescent="0.3">
      <c r="A1002" s="149"/>
      <c r="B1002" s="149"/>
      <c r="C1002" s="149"/>
      <c r="D1002" s="149"/>
      <c r="E1002" s="149"/>
      <c r="F1002" s="149"/>
      <c r="G1002" s="162"/>
      <c r="H1002" s="146" t="str">
        <f t="shared" si="85"/>
        <v/>
      </c>
      <c r="I1002" s="161" t="str">
        <f t="shared" si="86"/>
        <v/>
      </c>
      <c r="J1002" s="160" t="str">
        <f>IFERROR(INDEX(下年标准成本!I:I,MATCH(C1002,下年标准成本!C:C,0),1),"")</f>
        <v/>
      </c>
      <c r="K1002" s="146" t="str">
        <f t="shared" si="87"/>
        <v/>
      </c>
      <c r="L1002" s="146" t="str">
        <f t="shared" si="88"/>
        <v/>
      </c>
      <c r="M1002" s="148" t="str">
        <f t="shared" si="89"/>
        <v/>
      </c>
    </row>
    <row r="1003" spans="1:13" x14ac:dyDescent="0.3">
      <c r="A1003" s="149"/>
      <c r="B1003" s="149"/>
      <c r="C1003" s="149"/>
      <c r="D1003" s="149"/>
      <c r="E1003" s="149"/>
      <c r="F1003" s="149"/>
      <c r="G1003" s="162"/>
      <c r="H1003" s="146" t="str">
        <f t="shared" si="85"/>
        <v/>
      </c>
      <c r="I1003" s="161" t="str">
        <f t="shared" si="86"/>
        <v/>
      </c>
      <c r="J1003" s="160" t="str">
        <f>IFERROR(INDEX(下年标准成本!I:I,MATCH(C1003,下年标准成本!C:C,0),1),"")</f>
        <v/>
      </c>
      <c r="K1003" s="146" t="str">
        <f t="shared" si="87"/>
        <v/>
      </c>
      <c r="L1003" s="146" t="str">
        <f t="shared" si="88"/>
        <v/>
      </c>
      <c r="M1003" s="148" t="str">
        <f t="shared" si="89"/>
        <v/>
      </c>
    </row>
    <row r="1004" spans="1:13" x14ac:dyDescent="0.3">
      <c r="A1004" s="149"/>
      <c r="B1004" s="149"/>
      <c r="C1004" s="149"/>
      <c r="D1004" s="149"/>
      <c r="E1004" s="149"/>
      <c r="F1004" s="149"/>
      <c r="G1004" s="162"/>
      <c r="H1004" s="146" t="str">
        <f t="shared" si="85"/>
        <v/>
      </c>
      <c r="I1004" s="161" t="str">
        <f t="shared" si="86"/>
        <v/>
      </c>
      <c r="J1004" s="160" t="str">
        <f>IFERROR(INDEX(下年标准成本!I:I,MATCH(C1004,下年标准成本!C:C,0),1),"")</f>
        <v/>
      </c>
      <c r="K1004" s="146" t="str">
        <f t="shared" si="87"/>
        <v/>
      </c>
      <c r="L1004" s="146" t="str">
        <f t="shared" si="88"/>
        <v/>
      </c>
      <c r="M1004" s="148" t="str">
        <f t="shared" si="89"/>
        <v/>
      </c>
    </row>
    <row r="1005" spans="1:13" x14ac:dyDescent="0.3">
      <c r="A1005" s="149"/>
      <c r="B1005" s="149"/>
      <c r="C1005" s="149"/>
      <c r="D1005" s="149"/>
      <c r="E1005" s="149"/>
      <c r="F1005" s="149"/>
      <c r="G1005" s="162"/>
      <c r="H1005" s="146" t="str">
        <f t="shared" si="85"/>
        <v/>
      </c>
      <c r="I1005" s="161" t="str">
        <f t="shared" si="86"/>
        <v/>
      </c>
      <c r="J1005" s="160" t="str">
        <f>IFERROR(INDEX(下年标准成本!I:I,MATCH(C1005,下年标准成本!C:C,0),1),"")</f>
        <v/>
      </c>
      <c r="K1005" s="146" t="str">
        <f t="shared" si="87"/>
        <v/>
      </c>
      <c r="L1005" s="146" t="str">
        <f t="shared" si="88"/>
        <v/>
      </c>
      <c r="M1005" s="148" t="str">
        <f t="shared" si="89"/>
        <v/>
      </c>
    </row>
    <row r="1006" spans="1:13" x14ac:dyDescent="0.3">
      <c r="A1006" s="149"/>
      <c r="B1006" s="149"/>
      <c r="C1006" s="149"/>
      <c r="D1006" s="149"/>
      <c r="E1006" s="149"/>
      <c r="F1006" s="149"/>
      <c r="G1006" s="162"/>
      <c r="H1006" s="146" t="str">
        <f t="shared" si="85"/>
        <v/>
      </c>
      <c r="I1006" s="161" t="str">
        <f t="shared" si="86"/>
        <v/>
      </c>
      <c r="J1006" s="160" t="str">
        <f>IFERROR(INDEX(下年标准成本!I:I,MATCH(C1006,下年标准成本!C:C,0),1),"")</f>
        <v/>
      </c>
      <c r="K1006" s="146" t="str">
        <f t="shared" si="87"/>
        <v/>
      </c>
      <c r="L1006" s="146" t="str">
        <f t="shared" si="88"/>
        <v/>
      </c>
      <c r="M1006" s="148" t="str">
        <f t="shared" si="89"/>
        <v/>
      </c>
    </row>
    <row r="1007" spans="1:13" x14ac:dyDescent="0.3">
      <c r="A1007" s="149"/>
      <c r="B1007" s="149"/>
      <c r="C1007" s="149"/>
      <c r="D1007" s="149"/>
      <c r="E1007" s="149"/>
      <c r="F1007" s="149"/>
      <c r="G1007" s="162"/>
      <c r="H1007" s="146" t="str">
        <f t="shared" si="85"/>
        <v/>
      </c>
      <c r="I1007" s="161" t="str">
        <f t="shared" si="86"/>
        <v/>
      </c>
      <c r="J1007" s="160" t="str">
        <f>IFERROR(INDEX(下年标准成本!I:I,MATCH(C1007,下年标准成本!C:C,0),1),"")</f>
        <v/>
      </c>
      <c r="K1007" s="146" t="str">
        <f t="shared" si="87"/>
        <v/>
      </c>
      <c r="L1007" s="146" t="str">
        <f t="shared" si="88"/>
        <v/>
      </c>
      <c r="M1007" s="148" t="str">
        <f t="shared" si="89"/>
        <v/>
      </c>
    </row>
    <row r="1008" spans="1:13" x14ac:dyDescent="0.3">
      <c r="A1008" s="149"/>
      <c r="B1008" s="149"/>
      <c r="C1008" s="149"/>
      <c r="D1008" s="149"/>
      <c r="E1008" s="149"/>
      <c r="F1008" s="149"/>
      <c r="G1008" s="162"/>
      <c r="H1008" s="146" t="str">
        <f t="shared" si="85"/>
        <v/>
      </c>
      <c r="I1008" s="161" t="str">
        <f t="shared" si="86"/>
        <v/>
      </c>
      <c r="J1008" s="160" t="str">
        <f>IFERROR(INDEX(下年标准成本!I:I,MATCH(C1008,下年标准成本!C:C,0),1),"")</f>
        <v/>
      </c>
      <c r="K1008" s="146" t="str">
        <f t="shared" si="87"/>
        <v/>
      </c>
      <c r="L1008" s="146" t="str">
        <f t="shared" si="88"/>
        <v/>
      </c>
      <c r="M1008" s="148" t="str">
        <f t="shared" si="89"/>
        <v/>
      </c>
    </row>
    <row r="1009" spans="1:13" x14ac:dyDescent="0.3">
      <c r="A1009" s="149"/>
      <c r="B1009" s="149"/>
      <c r="C1009" s="149"/>
      <c r="D1009" s="149"/>
      <c r="E1009" s="149"/>
      <c r="F1009" s="149"/>
      <c r="G1009" s="162"/>
      <c r="H1009" s="146" t="str">
        <f t="shared" si="85"/>
        <v/>
      </c>
      <c r="I1009" s="161" t="str">
        <f t="shared" si="86"/>
        <v/>
      </c>
      <c r="J1009" s="160" t="str">
        <f>IFERROR(INDEX(下年标准成本!I:I,MATCH(C1009,下年标准成本!C:C,0),1),"")</f>
        <v/>
      </c>
      <c r="K1009" s="146" t="str">
        <f t="shared" si="87"/>
        <v/>
      </c>
      <c r="L1009" s="146" t="str">
        <f t="shared" si="88"/>
        <v/>
      </c>
      <c r="M1009" s="148" t="str">
        <f t="shared" si="89"/>
        <v/>
      </c>
    </row>
    <row r="1010" spans="1:13" x14ac:dyDescent="0.3">
      <c r="A1010" s="149"/>
      <c r="B1010" s="149"/>
      <c r="C1010" s="149"/>
      <c r="D1010" s="149"/>
      <c r="E1010" s="149"/>
      <c r="F1010" s="149"/>
      <c r="G1010" s="162"/>
      <c r="H1010" s="146" t="str">
        <f t="shared" si="85"/>
        <v/>
      </c>
      <c r="I1010" s="161" t="str">
        <f t="shared" si="86"/>
        <v/>
      </c>
      <c r="J1010" s="160" t="str">
        <f>IFERROR(INDEX(下年标准成本!I:I,MATCH(C1010,下年标准成本!C:C,0),1),"")</f>
        <v/>
      </c>
      <c r="K1010" s="146" t="str">
        <f t="shared" si="87"/>
        <v/>
      </c>
      <c r="L1010" s="146" t="str">
        <f t="shared" si="88"/>
        <v/>
      </c>
      <c r="M1010" s="148" t="str">
        <f t="shared" si="89"/>
        <v/>
      </c>
    </row>
    <row r="1011" spans="1:13" x14ac:dyDescent="0.3">
      <c r="A1011" s="149"/>
      <c r="B1011" s="149"/>
      <c r="C1011" s="149"/>
      <c r="D1011" s="149"/>
      <c r="E1011" s="149"/>
      <c r="F1011" s="149"/>
      <c r="G1011" s="162"/>
      <c r="H1011" s="146" t="str">
        <f t="shared" si="85"/>
        <v/>
      </c>
      <c r="I1011" s="161" t="str">
        <f t="shared" si="86"/>
        <v/>
      </c>
      <c r="J1011" s="160" t="str">
        <f>IFERROR(INDEX(下年标准成本!I:I,MATCH(C1011,下年标准成本!C:C,0),1),"")</f>
        <v/>
      </c>
      <c r="K1011" s="146" t="str">
        <f t="shared" si="87"/>
        <v/>
      </c>
      <c r="L1011" s="146" t="str">
        <f t="shared" si="88"/>
        <v/>
      </c>
      <c r="M1011" s="148" t="str">
        <f t="shared" si="89"/>
        <v/>
      </c>
    </row>
    <row r="1012" spans="1:13" x14ac:dyDescent="0.3">
      <c r="A1012" s="149"/>
      <c r="B1012" s="149"/>
      <c r="C1012" s="149"/>
      <c r="D1012" s="149"/>
      <c r="E1012" s="149"/>
      <c r="F1012" s="149"/>
      <c r="G1012" s="162"/>
      <c r="H1012" s="146" t="str">
        <f t="shared" si="85"/>
        <v/>
      </c>
      <c r="I1012" s="161" t="str">
        <f t="shared" si="86"/>
        <v/>
      </c>
      <c r="J1012" s="160" t="str">
        <f>IFERROR(INDEX(下年标准成本!I:I,MATCH(C1012,下年标准成本!C:C,0),1),"")</f>
        <v/>
      </c>
      <c r="K1012" s="146" t="str">
        <f t="shared" si="87"/>
        <v/>
      </c>
      <c r="L1012" s="146" t="str">
        <f t="shared" si="88"/>
        <v/>
      </c>
      <c r="M1012" s="148" t="str">
        <f t="shared" si="89"/>
        <v/>
      </c>
    </row>
    <row r="1013" spans="1:13" x14ac:dyDescent="0.3">
      <c r="A1013" s="149"/>
      <c r="B1013" s="149"/>
      <c r="C1013" s="149"/>
      <c r="D1013" s="149"/>
      <c r="E1013" s="149"/>
      <c r="F1013" s="149"/>
      <c r="G1013" s="162"/>
      <c r="H1013" s="146" t="str">
        <f t="shared" si="85"/>
        <v/>
      </c>
      <c r="I1013" s="161" t="str">
        <f t="shared" si="86"/>
        <v/>
      </c>
      <c r="J1013" s="160" t="str">
        <f>IFERROR(INDEX(下年标准成本!I:I,MATCH(C1013,下年标准成本!C:C,0),1),"")</f>
        <v/>
      </c>
      <c r="K1013" s="146" t="str">
        <f t="shared" si="87"/>
        <v/>
      </c>
      <c r="L1013" s="146" t="str">
        <f t="shared" si="88"/>
        <v/>
      </c>
      <c r="M1013" s="148" t="str">
        <f t="shared" si="89"/>
        <v/>
      </c>
    </row>
    <row r="1014" spans="1:13" x14ac:dyDescent="0.3">
      <c r="A1014" s="149"/>
      <c r="B1014" s="149"/>
      <c r="C1014" s="149"/>
      <c r="D1014" s="149"/>
      <c r="E1014" s="149"/>
      <c r="F1014" s="149"/>
      <c r="G1014" s="162"/>
      <c r="H1014" s="146" t="str">
        <f t="shared" si="85"/>
        <v/>
      </c>
      <c r="I1014" s="161" t="str">
        <f t="shared" si="86"/>
        <v/>
      </c>
      <c r="J1014" s="160" t="str">
        <f>IFERROR(INDEX(下年标准成本!I:I,MATCH(C1014,下年标准成本!C:C,0),1),"")</f>
        <v/>
      </c>
      <c r="K1014" s="146" t="str">
        <f t="shared" si="87"/>
        <v/>
      </c>
      <c r="L1014" s="146" t="str">
        <f t="shared" si="88"/>
        <v/>
      </c>
      <c r="M1014" s="148" t="str">
        <f t="shared" si="89"/>
        <v/>
      </c>
    </row>
    <row r="1015" spans="1:13" x14ac:dyDescent="0.3">
      <c r="A1015" s="149"/>
      <c r="B1015" s="149"/>
      <c r="C1015" s="149"/>
      <c r="D1015" s="149"/>
      <c r="E1015" s="149"/>
      <c r="F1015" s="149"/>
      <c r="G1015" s="162"/>
      <c r="H1015" s="146" t="str">
        <f t="shared" si="85"/>
        <v/>
      </c>
      <c r="I1015" s="161" t="str">
        <f t="shared" si="86"/>
        <v/>
      </c>
      <c r="J1015" s="160" t="str">
        <f>IFERROR(INDEX(下年标准成本!I:I,MATCH(C1015,下年标准成本!C:C,0),1),"")</f>
        <v/>
      </c>
      <c r="K1015" s="146" t="str">
        <f t="shared" si="87"/>
        <v/>
      </c>
      <c r="L1015" s="146" t="str">
        <f t="shared" si="88"/>
        <v/>
      </c>
      <c r="M1015" s="148" t="str">
        <f t="shared" si="89"/>
        <v/>
      </c>
    </row>
    <row r="1016" spans="1:13" x14ac:dyDescent="0.3">
      <c r="A1016" s="149"/>
      <c r="B1016" s="149"/>
      <c r="C1016" s="149"/>
      <c r="D1016" s="149"/>
      <c r="E1016" s="149"/>
      <c r="F1016" s="149"/>
      <c r="G1016" s="162"/>
      <c r="H1016" s="146" t="str">
        <f t="shared" si="85"/>
        <v/>
      </c>
      <c r="I1016" s="161" t="str">
        <f t="shared" si="86"/>
        <v/>
      </c>
      <c r="J1016" s="160" t="str">
        <f>IFERROR(INDEX(下年标准成本!I:I,MATCH(C1016,下年标准成本!C:C,0),1),"")</f>
        <v/>
      </c>
      <c r="K1016" s="146" t="str">
        <f t="shared" si="87"/>
        <v/>
      </c>
      <c r="L1016" s="146" t="str">
        <f t="shared" si="88"/>
        <v/>
      </c>
      <c r="M1016" s="148" t="str">
        <f t="shared" si="89"/>
        <v/>
      </c>
    </row>
    <row r="1017" spans="1:13" x14ac:dyDescent="0.3">
      <c r="A1017" s="149"/>
      <c r="B1017" s="149"/>
      <c r="C1017" s="149"/>
      <c r="D1017" s="149"/>
      <c r="E1017" s="149"/>
      <c r="F1017" s="149"/>
      <c r="G1017" s="162"/>
      <c r="H1017" s="146" t="str">
        <f t="shared" si="85"/>
        <v/>
      </c>
      <c r="I1017" s="161" t="str">
        <f t="shared" si="86"/>
        <v/>
      </c>
      <c r="J1017" s="160" t="str">
        <f>IFERROR(INDEX(下年标准成本!I:I,MATCH(C1017,下年标准成本!C:C,0),1),"")</f>
        <v/>
      </c>
      <c r="K1017" s="146" t="str">
        <f t="shared" si="87"/>
        <v/>
      </c>
      <c r="L1017" s="146" t="str">
        <f t="shared" si="88"/>
        <v/>
      </c>
      <c r="M1017" s="148" t="str">
        <f t="shared" si="89"/>
        <v/>
      </c>
    </row>
    <row r="1018" spans="1:13" x14ac:dyDescent="0.3">
      <c r="A1018" s="149"/>
      <c r="B1018" s="149"/>
      <c r="C1018" s="149"/>
      <c r="D1018" s="149"/>
      <c r="E1018" s="149"/>
      <c r="F1018" s="149"/>
      <c r="G1018" s="162"/>
      <c r="H1018" s="146" t="str">
        <f t="shared" si="85"/>
        <v/>
      </c>
      <c r="I1018" s="161" t="str">
        <f t="shared" si="86"/>
        <v/>
      </c>
      <c r="J1018" s="160" t="str">
        <f>IFERROR(INDEX(下年标准成本!I:I,MATCH(C1018,下年标准成本!C:C,0),1),"")</f>
        <v/>
      </c>
      <c r="K1018" s="146" t="str">
        <f t="shared" si="87"/>
        <v/>
      </c>
      <c r="L1018" s="146" t="str">
        <f t="shared" si="88"/>
        <v/>
      </c>
      <c r="M1018" s="148" t="str">
        <f t="shared" si="89"/>
        <v/>
      </c>
    </row>
    <row r="1019" spans="1:13" x14ac:dyDescent="0.3">
      <c r="A1019" s="149"/>
      <c r="B1019" s="149"/>
      <c r="C1019" s="149"/>
      <c r="D1019" s="149"/>
      <c r="E1019" s="149"/>
      <c r="F1019" s="149"/>
      <c r="G1019" s="162"/>
      <c r="H1019" s="146" t="str">
        <f t="shared" si="85"/>
        <v/>
      </c>
      <c r="I1019" s="161" t="str">
        <f t="shared" si="86"/>
        <v/>
      </c>
      <c r="J1019" s="160" t="str">
        <f>IFERROR(INDEX(下年标准成本!I:I,MATCH(C1019,下年标准成本!C:C,0),1),"")</f>
        <v/>
      </c>
      <c r="K1019" s="146" t="str">
        <f t="shared" si="87"/>
        <v/>
      </c>
      <c r="L1019" s="146" t="str">
        <f t="shared" si="88"/>
        <v/>
      </c>
      <c r="M1019" s="148" t="str">
        <f t="shared" si="89"/>
        <v/>
      </c>
    </row>
    <row r="1020" spans="1:13" x14ac:dyDescent="0.3">
      <c r="A1020" s="149"/>
      <c r="B1020" s="149"/>
      <c r="C1020" s="149"/>
      <c r="D1020" s="149"/>
      <c r="E1020" s="149"/>
      <c r="F1020" s="149"/>
      <c r="G1020" s="162"/>
      <c r="H1020" s="146" t="str">
        <f t="shared" si="85"/>
        <v/>
      </c>
      <c r="I1020" s="161" t="str">
        <f t="shared" si="86"/>
        <v/>
      </c>
      <c r="J1020" s="160" t="str">
        <f>IFERROR(INDEX(下年标准成本!I:I,MATCH(C1020,下年标准成本!C:C,0),1),"")</f>
        <v/>
      </c>
      <c r="K1020" s="146" t="str">
        <f t="shared" si="87"/>
        <v/>
      </c>
      <c r="L1020" s="146" t="str">
        <f t="shared" si="88"/>
        <v/>
      </c>
      <c r="M1020" s="148" t="str">
        <f t="shared" si="89"/>
        <v/>
      </c>
    </row>
    <row r="1021" spans="1:13" x14ac:dyDescent="0.3">
      <c r="A1021" s="149"/>
      <c r="B1021" s="149"/>
      <c r="C1021" s="149"/>
      <c r="D1021" s="149"/>
      <c r="E1021" s="149"/>
      <c r="F1021" s="149"/>
      <c r="G1021" s="162"/>
      <c r="H1021" s="146" t="str">
        <f t="shared" si="85"/>
        <v/>
      </c>
      <c r="I1021" s="161" t="str">
        <f t="shared" si="86"/>
        <v/>
      </c>
      <c r="J1021" s="160" t="str">
        <f>IFERROR(INDEX(下年标准成本!I:I,MATCH(C1021,下年标准成本!C:C,0),1),"")</f>
        <v/>
      </c>
      <c r="K1021" s="146" t="str">
        <f t="shared" si="87"/>
        <v/>
      </c>
      <c r="L1021" s="146" t="str">
        <f t="shared" si="88"/>
        <v/>
      </c>
      <c r="M1021" s="148" t="str">
        <f t="shared" si="89"/>
        <v/>
      </c>
    </row>
    <row r="1022" spans="1:13" x14ac:dyDescent="0.3">
      <c r="A1022" s="149"/>
      <c r="B1022" s="149"/>
      <c r="C1022" s="149"/>
      <c r="D1022" s="149"/>
      <c r="E1022" s="149"/>
      <c r="F1022" s="149"/>
      <c r="G1022" s="162"/>
      <c r="H1022" s="146" t="str">
        <f t="shared" si="85"/>
        <v/>
      </c>
      <c r="I1022" s="161" t="str">
        <f t="shared" si="86"/>
        <v/>
      </c>
      <c r="J1022" s="160" t="str">
        <f>IFERROR(INDEX(下年标准成本!I:I,MATCH(C1022,下年标准成本!C:C,0),1),"")</f>
        <v/>
      </c>
      <c r="K1022" s="146" t="str">
        <f t="shared" si="87"/>
        <v/>
      </c>
      <c r="L1022" s="146" t="str">
        <f t="shared" si="88"/>
        <v/>
      </c>
      <c r="M1022" s="148" t="str">
        <f t="shared" si="89"/>
        <v/>
      </c>
    </row>
    <row r="1023" spans="1:13" x14ac:dyDescent="0.3">
      <c r="A1023" s="149"/>
      <c r="B1023" s="149"/>
      <c r="C1023" s="149"/>
      <c r="D1023" s="149"/>
      <c r="E1023" s="149"/>
      <c r="F1023" s="149"/>
      <c r="G1023" s="162"/>
      <c r="H1023" s="146" t="str">
        <f t="shared" si="85"/>
        <v/>
      </c>
      <c r="I1023" s="161" t="str">
        <f t="shared" si="86"/>
        <v/>
      </c>
      <c r="J1023" s="160" t="str">
        <f>IFERROR(INDEX(下年标准成本!I:I,MATCH(C1023,下年标准成本!C:C,0),1),"")</f>
        <v/>
      </c>
      <c r="K1023" s="146" t="str">
        <f t="shared" si="87"/>
        <v/>
      </c>
      <c r="L1023" s="146" t="str">
        <f t="shared" si="88"/>
        <v/>
      </c>
      <c r="M1023" s="148" t="str">
        <f t="shared" si="89"/>
        <v/>
      </c>
    </row>
    <row r="1024" spans="1:13" x14ac:dyDescent="0.3">
      <c r="A1024" s="149"/>
      <c r="B1024" s="149"/>
      <c r="C1024" s="149"/>
      <c r="D1024" s="149"/>
      <c r="E1024" s="149"/>
      <c r="F1024" s="149"/>
      <c r="G1024" s="162"/>
      <c r="H1024" s="146" t="str">
        <f t="shared" si="85"/>
        <v/>
      </c>
      <c r="I1024" s="161" t="str">
        <f t="shared" si="86"/>
        <v/>
      </c>
      <c r="J1024" s="160" t="str">
        <f>IFERROR(INDEX(下年标准成本!I:I,MATCH(C1024,下年标准成本!C:C,0),1),"")</f>
        <v/>
      </c>
      <c r="K1024" s="146" t="str">
        <f t="shared" si="87"/>
        <v/>
      </c>
      <c r="L1024" s="146" t="str">
        <f t="shared" si="88"/>
        <v/>
      </c>
      <c r="M1024" s="148" t="str">
        <f t="shared" si="89"/>
        <v/>
      </c>
    </row>
    <row r="1025" spans="1:13" x14ac:dyDescent="0.3">
      <c r="A1025" s="149"/>
      <c r="B1025" s="149"/>
      <c r="C1025" s="149"/>
      <c r="D1025" s="149"/>
      <c r="E1025" s="149"/>
      <c r="F1025" s="149"/>
      <c r="G1025" s="162"/>
      <c r="H1025" s="146" t="str">
        <f t="shared" si="85"/>
        <v/>
      </c>
      <c r="I1025" s="161" t="str">
        <f t="shared" si="86"/>
        <v/>
      </c>
      <c r="J1025" s="160" t="str">
        <f>IFERROR(INDEX(下年标准成本!I:I,MATCH(C1025,下年标准成本!C:C,0),1),"")</f>
        <v/>
      </c>
      <c r="K1025" s="146" t="str">
        <f t="shared" si="87"/>
        <v/>
      </c>
      <c r="L1025" s="146" t="str">
        <f t="shared" si="88"/>
        <v/>
      </c>
      <c r="M1025" s="148" t="str">
        <f t="shared" si="89"/>
        <v/>
      </c>
    </row>
    <row r="1026" spans="1:13" x14ac:dyDescent="0.3">
      <c r="A1026" s="149"/>
      <c r="B1026" s="149"/>
      <c r="C1026" s="149"/>
      <c r="D1026" s="149"/>
      <c r="E1026" s="149"/>
      <c r="F1026" s="149"/>
      <c r="G1026" s="162"/>
      <c r="H1026" s="146" t="str">
        <f t="shared" si="85"/>
        <v/>
      </c>
      <c r="I1026" s="161" t="str">
        <f t="shared" si="86"/>
        <v/>
      </c>
      <c r="J1026" s="160" t="str">
        <f>IFERROR(INDEX(下年标准成本!I:I,MATCH(C1026,下年标准成本!C:C,0),1),"")</f>
        <v/>
      </c>
      <c r="K1026" s="146" t="str">
        <f t="shared" si="87"/>
        <v/>
      </c>
      <c r="L1026" s="146" t="str">
        <f t="shared" si="88"/>
        <v/>
      </c>
      <c r="M1026" s="148" t="str">
        <f t="shared" si="89"/>
        <v/>
      </c>
    </row>
    <row r="1027" spans="1:13" x14ac:dyDescent="0.3">
      <c r="A1027" s="149"/>
      <c r="B1027" s="149"/>
      <c r="C1027" s="149"/>
      <c r="D1027" s="149"/>
      <c r="E1027" s="149"/>
      <c r="F1027" s="149"/>
      <c r="G1027" s="162"/>
      <c r="H1027" s="146" t="str">
        <f t="shared" si="85"/>
        <v/>
      </c>
      <c r="I1027" s="161" t="str">
        <f t="shared" si="86"/>
        <v/>
      </c>
      <c r="J1027" s="160" t="str">
        <f>IFERROR(INDEX(下年标准成本!I:I,MATCH(C1027,下年标准成本!C:C,0),1),"")</f>
        <v/>
      </c>
      <c r="K1027" s="146" t="str">
        <f t="shared" si="87"/>
        <v/>
      </c>
      <c r="L1027" s="146" t="str">
        <f t="shared" si="88"/>
        <v/>
      </c>
      <c r="M1027" s="148" t="str">
        <f t="shared" si="89"/>
        <v/>
      </c>
    </row>
    <row r="1028" spans="1:13" x14ac:dyDescent="0.3">
      <c r="A1028" s="149"/>
      <c r="B1028" s="149"/>
      <c r="C1028" s="149"/>
      <c r="D1028" s="149"/>
      <c r="E1028" s="149"/>
      <c r="F1028" s="149"/>
      <c r="G1028" s="162"/>
      <c r="H1028" s="146" t="str">
        <f t="shared" si="85"/>
        <v/>
      </c>
      <c r="I1028" s="161" t="str">
        <f t="shared" si="86"/>
        <v/>
      </c>
      <c r="J1028" s="160" t="str">
        <f>IFERROR(INDEX(下年标准成本!I:I,MATCH(C1028,下年标准成本!C:C,0),1),"")</f>
        <v/>
      </c>
      <c r="K1028" s="146" t="str">
        <f t="shared" si="87"/>
        <v/>
      </c>
      <c r="L1028" s="146" t="str">
        <f t="shared" si="88"/>
        <v/>
      </c>
      <c r="M1028" s="148" t="str">
        <f t="shared" si="89"/>
        <v/>
      </c>
    </row>
    <row r="1029" spans="1:13" x14ac:dyDescent="0.3">
      <c r="A1029" s="149"/>
      <c r="B1029" s="149"/>
      <c r="C1029" s="149"/>
      <c r="D1029" s="149"/>
      <c r="E1029" s="149"/>
      <c r="F1029" s="149"/>
      <c r="G1029" s="162"/>
      <c r="H1029" s="146" t="str">
        <f t="shared" si="85"/>
        <v/>
      </c>
      <c r="I1029" s="161" t="str">
        <f t="shared" si="86"/>
        <v/>
      </c>
      <c r="J1029" s="160" t="str">
        <f>IFERROR(INDEX(下年标准成本!I:I,MATCH(C1029,下年标准成本!C:C,0),1),"")</f>
        <v/>
      </c>
      <c r="K1029" s="146" t="str">
        <f t="shared" si="87"/>
        <v/>
      </c>
      <c r="L1029" s="146" t="str">
        <f t="shared" si="88"/>
        <v/>
      </c>
      <c r="M1029" s="148" t="str">
        <f t="shared" si="89"/>
        <v/>
      </c>
    </row>
    <row r="1030" spans="1:13" x14ac:dyDescent="0.3">
      <c r="A1030" s="149"/>
      <c r="B1030" s="149"/>
      <c r="C1030" s="149"/>
      <c r="D1030" s="149"/>
      <c r="E1030" s="149"/>
      <c r="F1030" s="149"/>
      <c r="G1030" s="162"/>
      <c r="H1030" s="146" t="str">
        <f t="shared" si="85"/>
        <v/>
      </c>
      <c r="I1030" s="161" t="str">
        <f t="shared" si="86"/>
        <v/>
      </c>
      <c r="J1030" s="160" t="str">
        <f>IFERROR(INDEX(下年标准成本!I:I,MATCH(C1030,下年标准成本!C:C,0),1),"")</f>
        <v/>
      </c>
      <c r="K1030" s="146" t="str">
        <f t="shared" si="87"/>
        <v/>
      </c>
      <c r="L1030" s="146" t="str">
        <f t="shared" si="88"/>
        <v/>
      </c>
      <c r="M1030" s="148" t="str">
        <f t="shared" si="89"/>
        <v/>
      </c>
    </row>
    <row r="1031" spans="1:13" x14ac:dyDescent="0.3">
      <c r="A1031" s="149"/>
      <c r="B1031" s="149"/>
      <c r="C1031" s="149"/>
      <c r="D1031" s="149"/>
      <c r="E1031" s="149"/>
      <c r="F1031" s="149"/>
      <c r="G1031" s="162"/>
      <c r="H1031" s="146" t="str">
        <f t="shared" si="85"/>
        <v/>
      </c>
      <c r="I1031" s="161" t="str">
        <f t="shared" si="86"/>
        <v/>
      </c>
      <c r="J1031" s="160" t="str">
        <f>IFERROR(INDEX(下年标准成本!I:I,MATCH(C1031,下年标准成本!C:C,0),1),"")</f>
        <v/>
      </c>
      <c r="K1031" s="146" t="str">
        <f t="shared" si="87"/>
        <v/>
      </c>
      <c r="L1031" s="146" t="str">
        <f t="shared" si="88"/>
        <v/>
      </c>
      <c r="M1031" s="148" t="str">
        <f t="shared" si="89"/>
        <v/>
      </c>
    </row>
    <row r="1032" spans="1:13" x14ac:dyDescent="0.3">
      <c r="A1032" s="149"/>
      <c r="B1032" s="149"/>
      <c r="C1032" s="149"/>
      <c r="D1032" s="149"/>
      <c r="E1032" s="149"/>
      <c r="F1032" s="149"/>
      <c r="G1032" s="162"/>
      <c r="H1032" s="146" t="str">
        <f t="shared" si="85"/>
        <v/>
      </c>
      <c r="I1032" s="161" t="str">
        <f t="shared" si="86"/>
        <v/>
      </c>
      <c r="J1032" s="160" t="str">
        <f>IFERROR(INDEX(下年标准成本!I:I,MATCH(C1032,下年标准成本!C:C,0),1),"")</f>
        <v/>
      </c>
      <c r="K1032" s="146" t="str">
        <f t="shared" si="87"/>
        <v/>
      </c>
      <c r="L1032" s="146" t="str">
        <f t="shared" si="88"/>
        <v/>
      </c>
      <c r="M1032" s="148" t="str">
        <f t="shared" si="89"/>
        <v/>
      </c>
    </row>
    <row r="1033" spans="1:13" x14ac:dyDescent="0.3">
      <c r="A1033" s="149"/>
      <c r="B1033" s="149"/>
      <c r="C1033" s="149"/>
      <c r="D1033" s="149"/>
      <c r="E1033" s="149"/>
      <c r="F1033" s="149"/>
      <c r="G1033" s="162"/>
      <c r="H1033" s="146" t="str">
        <f t="shared" si="85"/>
        <v/>
      </c>
      <c r="I1033" s="161" t="str">
        <f t="shared" si="86"/>
        <v/>
      </c>
      <c r="J1033" s="160" t="str">
        <f>IFERROR(INDEX(下年标准成本!I:I,MATCH(C1033,下年标准成本!C:C,0),1),"")</f>
        <v/>
      </c>
      <c r="K1033" s="146" t="str">
        <f t="shared" si="87"/>
        <v/>
      </c>
      <c r="L1033" s="146" t="str">
        <f t="shared" si="88"/>
        <v/>
      </c>
      <c r="M1033" s="148" t="str">
        <f t="shared" si="89"/>
        <v/>
      </c>
    </row>
    <row r="1034" spans="1:13" x14ac:dyDescent="0.3">
      <c r="A1034" s="149"/>
      <c r="B1034" s="149"/>
      <c r="C1034" s="149"/>
      <c r="D1034" s="149"/>
      <c r="E1034" s="149"/>
      <c r="F1034" s="149"/>
      <c r="G1034" s="162"/>
      <c r="H1034" s="146" t="str">
        <f t="shared" ref="H1034:H1097" si="90">IFERROR(F1034/E1034,"")</f>
        <v/>
      </c>
      <c r="I1034" s="161" t="str">
        <f t="shared" ref="I1034:I1097" si="91">IFERROR(H1034*(1+G1034),"")</f>
        <v/>
      </c>
      <c r="J1034" s="160" t="str">
        <f>IFERROR(INDEX(下年标准成本!I:I,MATCH(C1034,下年标准成本!C:C,0),1),"")</f>
        <v/>
      </c>
      <c r="K1034" s="146" t="str">
        <f t="shared" ref="K1034:K1097" si="92">IFERROR(E1034*J1034,"")</f>
        <v/>
      </c>
      <c r="L1034" s="146" t="str">
        <f t="shared" ref="L1034:L1097" si="93">IFERROR(F1034-K1034,"")</f>
        <v/>
      </c>
      <c r="M1034" s="148" t="str">
        <f t="shared" ref="M1034:M1097" si="94">IFERROR(L1034/F1034,"")</f>
        <v/>
      </c>
    </row>
    <row r="1035" spans="1:13" x14ac:dyDescent="0.3">
      <c r="A1035" s="149"/>
      <c r="B1035" s="149"/>
      <c r="C1035" s="149"/>
      <c r="D1035" s="149"/>
      <c r="E1035" s="149"/>
      <c r="F1035" s="149"/>
      <c r="G1035" s="162"/>
      <c r="H1035" s="146" t="str">
        <f t="shared" si="90"/>
        <v/>
      </c>
      <c r="I1035" s="161" t="str">
        <f t="shared" si="91"/>
        <v/>
      </c>
      <c r="J1035" s="160" t="str">
        <f>IFERROR(INDEX(下年标准成本!I:I,MATCH(C1035,下年标准成本!C:C,0),1),"")</f>
        <v/>
      </c>
      <c r="K1035" s="146" t="str">
        <f t="shared" si="92"/>
        <v/>
      </c>
      <c r="L1035" s="146" t="str">
        <f t="shared" si="93"/>
        <v/>
      </c>
      <c r="M1035" s="148" t="str">
        <f t="shared" si="94"/>
        <v/>
      </c>
    </row>
    <row r="1036" spans="1:13" x14ac:dyDescent="0.3">
      <c r="A1036" s="149"/>
      <c r="B1036" s="149"/>
      <c r="C1036" s="149"/>
      <c r="D1036" s="149"/>
      <c r="E1036" s="149"/>
      <c r="F1036" s="149"/>
      <c r="G1036" s="162"/>
      <c r="H1036" s="146" t="str">
        <f t="shared" si="90"/>
        <v/>
      </c>
      <c r="I1036" s="161" t="str">
        <f t="shared" si="91"/>
        <v/>
      </c>
      <c r="J1036" s="160" t="str">
        <f>IFERROR(INDEX(下年标准成本!I:I,MATCH(C1036,下年标准成本!C:C,0),1),"")</f>
        <v/>
      </c>
      <c r="K1036" s="146" t="str">
        <f t="shared" si="92"/>
        <v/>
      </c>
      <c r="L1036" s="146" t="str">
        <f t="shared" si="93"/>
        <v/>
      </c>
      <c r="M1036" s="148" t="str">
        <f t="shared" si="94"/>
        <v/>
      </c>
    </row>
    <row r="1037" spans="1:13" x14ac:dyDescent="0.3">
      <c r="A1037" s="149"/>
      <c r="B1037" s="149"/>
      <c r="C1037" s="149"/>
      <c r="D1037" s="149"/>
      <c r="E1037" s="149"/>
      <c r="F1037" s="149"/>
      <c r="G1037" s="162"/>
      <c r="H1037" s="146" t="str">
        <f t="shared" si="90"/>
        <v/>
      </c>
      <c r="I1037" s="161" t="str">
        <f t="shared" si="91"/>
        <v/>
      </c>
      <c r="J1037" s="160" t="str">
        <f>IFERROR(INDEX(下年标准成本!I:I,MATCH(C1037,下年标准成本!C:C,0),1),"")</f>
        <v/>
      </c>
      <c r="K1037" s="146" t="str">
        <f t="shared" si="92"/>
        <v/>
      </c>
      <c r="L1037" s="146" t="str">
        <f t="shared" si="93"/>
        <v/>
      </c>
      <c r="M1037" s="148" t="str">
        <f t="shared" si="94"/>
        <v/>
      </c>
    </row>
    <row r="1038" spans="1:13" x14ac:dyDescent="0.3">
      <c r="A1038" s="149"/>
      <c r="B1038" s="149"/>
      <c r="C1038" s="149"/>
      <c r="D1038" s="149"/>
      <c r="E1038" s="149"/>
      <c r="F1038" s="149"/>
      <c r="G1038" s="162"/>
      <c r="H1038" s="146" t="str">
        <f t="shared" si="90"/>
        <v/>
      </c>
      <c r="I1038" s="161" t="str">
        <f t="shared" si="91"/>
        <v/>
      </c>
      <c r="J1038" s="160" t="str">
        <f>IFERROR(INDEX(下年标准成本!I:I,MATCH(C1038,下年标准成本!C:C,0),1),"")</f>
        <v/>
      </c>
      <c r="K1038" s="146" t="str">
        <f t="shared" si="92"/>
        <v/>
      </c>
      <c r="L1038" s="146" t="str">
        <f t="shared" si="93"/>
        <v/>
      </c>
      <c r="M1038" s="148" t="str">
        <f t="shared" si="94"/>
        <v/>
      </c>
    </row>
    <row r="1039" spans="1:13" x14ac:dyDescent="0.3">
      <c r="A1039" s="149"/>
      <c r="B1039" s="149"/>
      <c r="C1039" s="149"/>
      <c r="D1039" s="149"/>
      <c r="E1039" s="149"/>
      <c r="F1039" s="149"/>
      <c r="G1039" s="162"/>
      <c r="H1039" s="146" t="str">
        <f t="shared" si="90"/>
        <v/>
      </c>
      <c r="I1039" s="161" t="str">
        <f t="shared" si="91"/>
        <v/>
      </c>
      <c r="J1039" s="160" t="str">
        <f>IFERROR(INDEX(下年标准成本!I:I,MATCH(C1039,下年标准成本!C:C,0),1),"")</f>
        <v/>
      </c>
      <c r="K1039" s="146" t="str">
        <f t="shared" si="92"/>
        <v/>
      </c>
      <c r="L1039" s="146" t="str">
        <f t="shared" si="93"/>
        <v/>
      </c>
      <c r="M1039" s="148" t="str">
        <f t="shared" si="94"/>
        <v/>
      </c>
    </row>
    <row r="1040" spans="1:13" x14ac:dyDescent="0.3">
      <c r="A1040" s="149"/>
      <c r="B1040" s="149"/>
      <c r="C1040" s="149"/>
      <c r="D1040" s="149"/>
      <c r="E1040" s="149"/>
      <c r="F1040" s="149"/>
      <c r="G1040" s="162"/>
      <c r="H1040" s="146" t="str">
        <f t="shared" si="90"/>
        <v/>
      </c>
      <c r="I1040" s="161" t="str">
        <f t="shared" si="91"/>
        <v/>
      </c>
      <c r="J1040" s="160" t="str">
        <f>IFERROR(INDEX(下年标准成本!I:I,MATCH(C1040,下年标准成本!C:C,0),1),"")</f>
        <v/>
      </c>
      <c r="K1040" s="146" t="str">
        <f t="shared" si="92"/>
        <v/>
      </c>
      <c r="L1040" s="146" t="str">
        <f t="shared" si="93"/>
        <v/>
      </c>
      <c r="M1040" s="148" t="str">
        <f t="shared" si="94"/>
        <v/>
      </c>
    </row>
    <row r="1041" spans="1:13" x14ac:dyDescent="0.3">
      <c r="A1041" s="149"/>
      <c r="B1041" s="149"/>
      <c r="C1041" s="149"/>
      <c r="D1041" s="149"/>
      <c r="E1041" s="149"/>
      <c r="F1041" s="149"/>
      <c r="G1041" s="162"/>
      <c r="H1041" s="146" t="str">
        <f t="shared" si="90"/>
        <v/>
      </c>
      <c r="I1041" s="161" t="str">
        <f t="shared" si="91"/>
        <v/>
      </c>
      <c r="J1041" s="160" t="str">
        <f>IFERROR(INDEX(下年标准成本!I:I,MATCH(C1041,下年标准成本!C:C,0),1),"")</f>
        <v/>
      </c>
      <c r="K1041" s="146" t="str">
        <f t="shared" si="92"/>
        <v/>
      </c>
      <c r="L1041" s="146" t="str">
        <f t="shared" si="93"/>
        <v/>
      </c>
      <c r="M1041" s="148" t="str">
        <f t="shared" si="94"/>
        <v/>
      </c>
    </row>
    <row r="1042" spans="1:13" x14ac:dyDescent="0.3">
      <c r="A1042" s="149"/>
      <c r="B1042" s="149"/>
      <c r="C1042" s="149"/>
      <c r="D1042" s="149"/>
      <c r="E1042" s="149"/>
      <c r="F1042" s="149"/>
      <c r="G1042" s="162"/>
      <c r="H1042" s="146" t="str">
        <f t="shared" si="90"/>
        <v/>
      </c>
      <c r="I1042" s="161" t="str">
        <f t="shared" si="91"/>
        <v/>
      </c>
      <c r="J1042" s="160" t="str">
        <f>IFERROR(INDEX(下年标准成本!I:I,MATCH(C1042,下年标准成本!C:C,0),1),"")</f>
        <v/>
      </c>
      <c r="K1042" s="146" t="str">
        <f t="shared" si="92"/>
        <v/>
      </c>
      <c r="L1042" s="146" t="str">
        <f t="shared" si="93"/>
        <v/>
      </c>
      <c r="M1042" s="148" t="str">
        <f t="shared" si="94"/>
        <v/>
      </c>
    </row>
    <row r="1043" spans="1:13" x14ac:dyDescent="0.3">
      <c r="A1043" s="149"/>
      <c r="B1043" s="149"/>
      <c r="C1043" s="149"/>
      <c r="D1043" s="149"/>
      <c r="E1043" s="149"/>
      <c r="F1043" s="149"/>
      <c r="G1043" s="162"/>
      <c r="H1043" s="146" t="str">
        <f t="shared" si="90"/>
        <v/>
      </c>
      <c r="I1043" s="161" t="str">
        <f t="shared" si="91"/>
        <v/>
      </c>
      <c r="J1043" s="160" t="str">
        <f>IFERROR(INDEX(下年标准成本!I:I,MATCH(C1043,下年标准成本!C:C,0),1),"")</f>
        <v/>
      </c>
      <c r="K1043" s="146" t="str">
        <f t="shared" si="92"/>
        <v/>
      </c>
      <c r="L1043" s="146" t="str">
        <f t="shared" si="93"/>
        <v/>
      </c>
      <c r="M1043" s="148" t="str">
        <f t="shared" si="94"/>
        <v/>
      </c>
    </row>
    <row r="1044" spans="1:13" x14ac:dyDescent="0.3">
      <c r="A1044" s="149"/>
      <c r="B1044" s="149"/>
      <c r="C1044" s="149"/>
      <c r="D1044" s="149"/>
      <c r="E1044" s="149"/>
      <c r="F1044" s="149"/>
      <c r="G1044" s="162"/>
      <c r="H1044" s="146" t="str">
        <f t="shared" si="90"/>
        <v/>
      </c>
      <c r="I1044" s="161" t="str">
        <f t="shared" si="91"/>
        <v/>
      </c>
      <c r="J1044" s="160" t="str">
        <f>IFERROR(INDEX(下年标准成本!I:I,MATCH(C1044,下年标准成本!C:C,0),1),"")</f>
        <v/>
      </c>
      <c r="K1044" s="146" t="str">
        <f t="shared" si="92"/>
        <v/>
      </c>
      <c r="L1044" s="146" t="str">
        <f t="shared" si="93"/>
        <v/>
      </c>
      <c r="M1044" s="148" t="str">
        <f t="shared" si="94"/>
        <v/>
      </c>
    </row>
    <row r="1045" spans="1:13" x14ac:dyDescent="0.3">
      <c r="A1045" s="149"/>
      <c r="B1045" s="149"/>
      <c r="C1045" s="149"/>
      <c r="D1045" s="149"/>
      <c r="E1045" s="149"/>
      <c r="F1045" s="149"/>
      <c r="G1045" s="162"/>
      <c r="H1045" s="146" t="str">
        <f t="shared" si="90"/>
        <v/>
      </c>
      <c r="I1045" s="161" t="str">
        <f t="shared" si="91"/>
        <v/>
      </c>
      <c r="J1045" s="160" t="str">
        <f>IFERROR(INDEX(下年标准成本!I:I,MATCH(C1045,下年标准成本!C:C,0),1),"")</f>
        <v/>
      </c>
      <c r="K1045" s="146" t="str">
        <f t="shared" si="92"/>
        <v/>
      </c>
      <c r="L1045" s="146" t="str">
        <f t="shared" si="93"/>
        <v/>
      </c>
      <c r="M1045" s="148" t="str">
        <f t="shared" si="94"/>
        <v/>
      </c>
    </row>
    <row r="1046" spans="1:13" x14ac:dyDescent="0.3">
      <c r="A1046" s="149"/>
      <c r="B1046" s="149"/>
      <c r="C1046" s="149"/>
      <c r="D1046" s="149"/>
      <c r="E1046" s="149"/>
      <c r="F1046" s="149"/>
      <c r="G1046" s="162"/>
      <c r="H1046" s="146" t="str">
        <f t="shared" si="90"/>
        <v/>
      </c>
      <c r="I1046" s="161" t="str">
        <f t="shared" si="91"/>
        <v/>
      </c>
      <c r="J1046" s="160" t="str">
        <f>IFERROR(INDEX(下年标准成本!I:I,MATCH(C1046,下年标准成本!C:C,0),1),"")</f>
        <v/>
      </c>
      <c r="K1046" s="146" t="str">
        <f t="shared" si="92"/>
        <v/>
      </c>
      <c r="L1046" s="146" t="str">
        <f t="shared" si="93"/>
        <v/>
      </c>
      <c r="M1046" s="148" t="str">
        <f t="shared" si="94"/>
        <v/>
      </c>
    </row>
    <row r="1047" spans="1:13" x14ac:dyDescent="0.3">
      <c r="A1047" s="149"/>
      <c r="B1047" s="149"/>
      <c r="C1047" s="149"/>
      <c r="D1047" s="149"/>
      <c r="E1047" s="149"/>
      <c r="F1047" s="149"/>
      <c r="G1047" s="162"/>
      <c r="H1047" s="146" t="str">
        <f t="shared" si="90"/>
        <v/>
      </c>
      <c r="I1047" s="161" t="str">
        <f t="shared" si="91"/>
        <v/>
      </c>
      <c r="J1047" s="160" t="str">
        <f>IFERROR(INDEX(下年标准成本!I:I,MATCH(C1047,下年标准成本!C:C,0),1),"")</f>
        <v/>
      </c>
      <c r="K1047" s="146" t="str">
        <f t="shared" si="92"/>
        <v/>
      </c>
      <c r="L1047" s="146" t="str">
        <f t="shared" si="93"/>
        <v/>
      </c>
      <c r="M1047" s="148" t="str">
        <f t="shared" si="94"/>
        <v/>
      </c>
    </row>
    <row r="1048" spans="1:13" x14ac:dyDescent="0.3">
      <c r="A1048" s="149"/>
      <c r="B1048" s="149"/>
      <c r="C1048" s="149"/>
      <c r="D1048" s="149"/>
      <c r="E1048" s="149"/>
      <c r="F1048" s="149"/>
      <c r="G1048" s="162"/>
      <c r="H1048" s="146" t="str">
        <f t="shared" si="90"/>
        <v/>
      </c>
      <c r="I1048" s="161" t="str">
        <f t="shared" si="91"/>
        <v/>
      </c>
      <c r="J1048" s="160" t="str">
        <f>IFERROR(INDEX(下年标准成本!I:I,MATCH(C1048,下年标准成本!C:C,0),1),"")</f>
        <v/>
      </c>
      <c r="K1048" s="146" t="str">
        <f t="shared" si="92"/>
        <v/>
      </c>
      <c r="L1048" s="146" t="str">
        <f t="shared" si="93"/>
        <v/>
      </c>
      <c r="M1048" s="148" t="str">
        <f t="shared" si="94"/>
        <v/>
      </c>
    </row>
    <row r="1049" spans="1:13" x14ac:dyDescent="0.3">
      <c r="A1049" s="149"/>
      <c r="B1049" s="149"/>
      <c r="C1049" s="149"/>
      <c r="D1049" s="149"/>
      <c r="E1049" s="149"/>
      <c r="F1049" s="149"/>
      <c r="G1049" s="162"/>
      <c r="H1049" s="146" t="str">
        <f t="shared" si="90"/>
        <v/>
      </c>
      <c r="I1049" s="161" t="str">
        <f t="shared" si="91"/>
        <v/>
      </c>
      <c r="J1049" s="160" t="str">
        <f>IFERROR(INDEX(下年标准成本!I:I,MATCH(C1049,下年标准成本!C:C,0),1),"")</f>
        <v/>
      </c>
      <c r="K1049" s="146" t="str">
        <f t="shared" si="92"/>
        <v/>
      </c>
      <c r="L1049" s="146" t="str">
        <f t="shared" si="93"/>
        <v/>
      </c>
      <c r="M1049" s="148" t="str">
        <f t="shared" si="94"/>
        <v/>
      </c>
    </row>
    <row r="1050" spans="1:13" x14ac:dyDescent="0.3">
      <c r="A1050" s="149"/>
      <c r="B1050" s="149"/>
      <c r="C1050" s="149"/>
      <c r="D1050" s="149"/>
      <c r="E1050" s="149"/>
      <c r="F1050" s="149"/>
      <c r="G1050" s="162"/>
      <c r="H1050" s="146" t="str">
        <f t="shared" si="90"/>
        <v/>
      </c>
      <c r="I1050" s="161" t="str">
        <f t="shared" si="91"/>
        <v/>
      </c>
      <c r="J1050" s="160" t="str">
        <f>IFERROR(INDEX(下年标准成本!I:I,MATCH(C1050,下年标准成本!C:C,0),1),"")</f>
        <v/>
      </c>
      <c r="K1050" s="146" t="str">
        <f t="shared" si="92"/>
        <v/>
      </c>
      <c r="L1050" s="146" t="str">
        <f t="shared" si="93"/>
        <v/>
      </c>
      <c r="M1050" s="148" t="str">
        <f t="shared" si="94"/>
        <v/>
      </c>
    </row>
    <row r="1051" spans="1:13" x14ac:dyDescent="0.3">
      <c r="A1051" s="149"/>
      <c r="B1051" s="149"/>
      <c r="C1051" s="149"/>
      <c r="D1051" s="149"/>
      <c r="E1051" s="149"/>
      <c r="F1051" s="149"/>
      <c r="G1051" s="162"/>
      <c r="H1051" s="146" t="str">
        <f t="shared" si="90"/>
        <v/>
      </c>
      <c r="I1051" s="161" t="str">
        <f t="shared" si="91"/>
        <v/>
      </c>
      <c r="J1051" s="160" t="str">
        <f>IFERROR(INDEX(下年标准成本!I:I,MATCH(C1051,下年标准成本!C:C,0),1),"")</f>
        <v/>
      </c>
      <c r="K1051" s="146" t="str">
        <f t="shared" si="92"/>
        <v/>
      </c>
      <c r="L1051" s="146" t="str">
        <f t="shared" si="93"/>
        <v/>
      </c>
      <c r="M1051" s="148" t="str">
        <f t="shared" si="94"/>
        <v/>
      </c>
    </row>
    <row r="1052" spans="1:13" x14ac:dyDescent="0.3">
      <c r="A1052" s="149"/>
      <c r="B1052" s="149"/>
      <c r="C1052" s="149"/>
      <c r="D1052" s="149"/>
      <c r="E1052" s="149"/>
      <c r="F1052" s="149"/>
      <c r="G1052" s="162"/>
      <c r="H1052" s="146" t="str">
        <f t="shared" si="90"/>
        <v/>
      </c>
      <c r="I1052" s="161" t="str">
        <f t="shared" si="91"/>
        <v/>
      </c>
      <c r="J1052" s="160" t="str">
        <f>IFERROR(INDEX(下年标准成本!I:I,MATCH(C1052,下年标准成本!C:C,0),1),"")</f>
        <v/>
      </c>
      <c r="K1052" s="146" t="str">
        <f t="shared" si="92"/>
        <v/>
      </c>
      <c r="L1052" s="146" t="str">
        <f t="shared" si="93"/>
        <v/>
      </c>
      <c r="M1052" s="148" t="str">
        <f t="shared" si="94"/>
        <v/>
      </c>
    </row>
    <row r="1053" spans="1:13" x14ac:dyDescent="0.3">
      <c r="A1053" s="149"/>
      <c r="B1053" s="149"/>
      <c r="C1053" s="149"/>
      <c r="D1053" s="149"/>
      <c r="E1053" s="149"/>
      <c r="F1053" s="149"/>
      <c r="G1053" s="162"/>
      <c r="H1053" s="146" t="str">
        <f t="shared" si="90"/>
        <v/>
      </c>
      <c r="I1053" s="161" t="str">
        <f t="shared" si="91"/>
        <v/>
      </c>
      <c r="J1053" s="160" t="str">
        <f>IFERROR(INDEX(下年标准成本!I:I,MATCH(C1053,下年标准成本!C:C,0),1),"")</f>
        <v/>
      </c>
      <c r="K1053" s="146" t="str">
        <f t="shared" si="92"/>
        <v/>
      </c>
      <c r="L1053" s="146" t="str">
        <f t="shared" si="93"/>
        <v/>
      </c>
      <c r="M1053" s="148" t="str">
        <f t="shared" si="94"/>
        <v/>
      </c>
    </row>
    <row r="1054" spans="1:13" x14ac:dyDescent="0.3">
      <c r="A1054" s="149"/>
      <c r="B1054" s="149"/>
      <c r="C1054" s="149"/>
      <c r="D1054" s="149"/>
      <c r="E1054" s="149"/>
      <c r="F1054" s="149"/>
      <c r="G1054" s="162"/>
      <c r="H1054" s="146" t="str">
        <f t="shared" si="90"/>
        <v/>
      </c>
      <c r="I1054" s="161" t="str">
        <f t="shared" si="91"/>
        <v/>
      </c>
      <c r="J1054" s="160" t="str">
        <f>IFERROR(INDEX(下年标准成本!I:I,MATCH(C1054,下年标准成本!C:C,0),1),"")</f>
        <v/>
      </c>
      <c r="K1054" s="146" t="str">
        <f t="shared" si="92"/>
        <v/>
      </c>
      <c r="L1054" s="146" t="str">
        <f t="shared" si="93"/>
        <v/>
      </c>
      <c r="M1054" s="148" t="str">
        <f t="shared" si="94"/>
        <v/>
      </c>
    </row>
    <row r="1055" spans="1:13" x14ac:dyDescent="0.3">
      <c r="A1055" s="149"/>
      <c r="B1055" s="149"/>
      <c r="C1055" s="149"/>
      <c r="D1055" s="149"/>
      <c r="E1055" s="149"/>
      <c r="F1055" s="149"/>
      <c r="G1055" s="162"/>
      <c r="H1055" s="146" t="str">
        <f t="shared" si="90"/>
        <v/>
      </c>
      <c r="I1055" s="161" t="str">
        <f t="shared" si="91"/>
        <v/>
      </c>
      <c r="J1055" s="160" t="str">
        <f>IFERROR(INDEX(下年标准成本!I:I,MATCH(C1055,下年标准成本!C:C,0),1),"")</f>
        <v/>
      </c>
      <c r="K1055" s="146" t="str">
        <f t="shared" si="92"/>
        <v/>
      </c>
      <c r="L1055" s="146" t="str">
        <f t="shared" si="93"/>
        <v/>
      </c>
      <c r="M1055" s="148" t="str">
        <f t="shared" si="94"/>
        <v/>
      </c>
    </row>
    <row r="1056" spans="1:13" x14ac:dyDescent="0.3">
      <c r="A1056" s="149"/>
      <c r="B1056" s="149"/>
      <c r="C1056" s="149"/>
      <c r="D1056" s="149"/>
      <c r="E1056" s="149"/>
      <c r="F1056" s="149"/>
      <c r="G1056" s="162"/>
      <c r="H1056" s="146" t="str">
        <f t="shared" si="90"/>
        <v/>
      </c>
      <c r="I1056" s="161" t="str">
        <f t="shared" si="91"/>
        <v/>
      </c>
      <c r="J1056" s="160" t="str">
        <f>IFERROR(INDEX(下年标准成本!I:I,MATCH(C1056,下年标准成本!C:C,0),1),"")</f>
        <v/>
      </c>
      <c r="K1056" s="146" t="str">
        <f t="shared" si="92"/>
        <v/>
      </c>
      <c r="L1056" s="146" t="str">
        <f t="shared" si="93"/>
        <v/>
      </c>
      <c r="M1056" s="148" t="str">
        <f t="shared" si="94"/>
        <v/>
      </c>
    </row>
    <row r="1057" spans="1:13" x14ac:dyDescent="0.3">
      <c r="A1057" s="149"/>
      <c r="B1057" s="149"/>
      <c r="C1057" s="149"/>
      <c r="D1057" s="149"/>
      <c r="E1057" s="149"/>
      <c r="F1057" s="149"/>
      <c r="G1057" s="162"/>
      <c r="H1057" s="146" t="str">
        <f t="shared" si="90"/>
        <v/>
      </c>
      <c r="I1057" s="161" t="str">
        <f t="shared" si="91"/>
        <v/>
      </c>
      <c r="J1057" s="160" t="str">
        <f>IFERROR(INDEX(下年标准成本!I:I,MATCH(C1057,下年标准成本!C:C,0),1),"")</f>
        <v/>
      </c>
      <c r="K1057" s="146" t="str">
        <f t="shared" si="92"/>
        <v/>
      </c>
      <c r="L1057" s="146" t="str">
        <f t="shared" si="93"/>
        <v/>
      </c>
      <c r="M1057" s="148" t="str">
        <f t="shared" si="94"/>
        <v/>
      </c>
    </row>
    <row r="1058" spans="1:13" x14ac:dyDescent="0.3">
      <c r="A1058" s="149"/>
      <c r="B1058" s="149"/>
      <c r="C1058" s="149"/>
      <c r="D1058" s="149"/>
      <c r="E1058" s="149"/>
      <c r="F1058" s="149"/>
      <c r="G1058" s="162"/>
      <c r="H1058" s="146" t="str">
        <f t="shared" si="90"/>
        <v/>
      </c>
      <c r="I1058" s="161" t="str">
        <f t="shared" si="91"/>
        <v/>
      </c>
      <c r="J1058" s="160" t="str">
        <f>IFERROR(INDEX(下年标准成本!I:I,MATCH(C1058,下年标准成本!C:C,0),1),"")</f>
        <v/>
      </c>
      <c r="K1058" s="146" t="str">
        <f t="shared" si="92"/>
        <v/>
      </c>
      <c r="L1058" s="146" t="str">
        <f t="shared" si="93"/>
        <v/>
      </c>
      <c r="M1058" s="148" t="str">
        <f t="shared" si="94"/>
        <v/>
      </c>
    </row>
    <row r="1059" spans="1:13" x14ac:dyDescent="0.3">
      <c r="A1059" s="149"/>
      <c r="B1059" s="149"/>
      <c r="C1059" s="149"/>
      <c r="D1059" s="149"/>
      <c r="E1059" s="149"/>
      <c r="F1059" s="149"/>
      <c r="G1059" s="162"/>
      <c r="H1059" s="146" t="str">
        <f t="shared" si="90"/>
        <v/>
      </c>
      <c r="I1059" s="161" t="str">
        <f t="shared" si="91"/>
        <v/>
      </c>
      <c r="J1059" s="160" t="str">
        <f>IFERROR(INDEX(下年标准成本!I:I,MATCH(C1059,下年标准成本!C:C,0),1),"")</f>
        <v/>
      </c>
      <c r="K1059" s="146" t="str">
        <f t="shared" si="92"/>
        <v/>
      </c>
      <c r="L1059" s="146" t="str">
        <f t="shared" si="93"/>
        <v/>
      </c>
      <c r="M1059" s="148" t="str">
        <f t="shared" si="94"/>
        <v/>
      </c>
    </row>
    <row r="1060" spans="1:13" x14ac:dyDescent="0.3">
      <c r="A1060" s="149"/>
      <c r="B1060" s="149"/>
      <c r="C1060" s="149"/>
      <c r="D1060" s="149"/>
      <c r="E1060" s="149"/>
      <c r="F1060" s="149"/>
      <c r="G1060" s="162"/>
      <c r="H1060" s="146" t="str">
        <f t="shared" si="90"/>
        <v/>
      </c>
      <c r="I1060" s="161" t="str">
        <f t="shared" si="91"/>
        <v/>
      </c>
      <c r="J1060" s="160" t="str">
        <f>IFERROR(INDEX(下年标准成本!I:I,MATCH(C1060,下年标准成本!C:C,0),1),"")</f>
        <v/>
      </c>
      <c r="K1060" s="146" t="str">
        <f t="shared" si="92"/>
        <v/>
      </c>
      <c r="L1060" s="146" t="str">
        <f t="shared" si="93"/>
        <v/>
      </c>
      <c r="M1060" s="148" t="str">
        <f t="shared" si="94"/>
        <v/>
      </c>
    </row>
    <row r="1061" spans="1:13" x14ac:dyDescent="0.3">
      <c r="A1061" s="149"/>
      <c r="B1061" s="149"/>
      <c r="C1061" s="149"/>
      <c r="D1061" s="149"/>
      <c r="E1061" s="149"/>
      <c r="F1061" s="149"/>
      <c r="G1061" s="162"/>
      <c r="H1061" s="146" t="str">
        <f t="shared" si="90"/>
        <v/>
      </c>
      <c r="I1061" s="161" t="str">
        <f t="shared" si="91"/>
        <v/>
      </c>
      <c r="J1061" s="160" t="str">
        <f>IFERROR(INDEX(下年标准成本!I:I,MATCH(C1061,下年标准成本!C:C,0),1),"")</f>
        <v/>
      </c>
      <c r="K1061" s="146" t="str">
        <f t="shared" si="92"/>
        <v/>
      </c>
      <c r="L1061" s="146" t="str">
        <f t="shared" si="93"/>
        <v/>
      </c>
      <c r="M1061" s="148" t="str">
        <f t="shared" si="94"/>
        <v/>
      </c>
    </row>
    <row r="1062" spans="1:13" x14ac:dyDescent="0.3">
      <c r="A1062" s="149"/>
      <c r="B1062" s="149"/>
      <c r="C1062" s="149"/>
      <c r="D1062" s="149"/>
      <c r="E1062" s="149"/>
      <c r="F1062" s="149"/>
      <c r="G1062" s="162"/>
      <c r="H1062" s="146" t="str">
        <f t="shared" si="90"/>
        <v/>
      </c>
      <c r="I1062" s="161" t="str">
        <f t="shared" si="91"/>
        <v/>
      </c>
      <c r="J1062" s="160" t="str">
        <f>IFERROR(INDEX(下年标准成本!I:I,MATCH(C1062,下年标准成本!C:C,0),1),"")</f>
        <v/>
      </c>
      <c r="K1062" s="146" t="str">
        <f t="shared" si="92"/>
        <v/>
      </c>
      <c r="L1062" s="146" t="str">
        <f t="shared" si="93"/>
        <v/>
      </c>
      <c r="M1062" s="148" t="str">
        <f t="shared" si="94"/>
        <v/>
      </c>
    </row>
    <row r="1063" spans="1:13" x14ac:dyDescent="0.3">
      <c r="A1063" s="149"/>
      <c r="B1063" s="149"/>
      <c r="C1063" s="149"/>
      <c r="D1063" s="149"/>
      <c r="E1063" s="149"/>
      <c r="F1063" s="149"/>
      <c r="G1063" s="162"/>
      <c r="H1063" s="146" t="str">
        <f t="shared" si="90"/>
        <v/>
      </c>
      <c r="I1063" s="161" t="str">
        <f t="shared" si="91"/>
        <v/>
      </c>
      <c r="J1063" s="160" t="str">
        <f>IFERROR(INDEX(下年标准成本!I:I,MATCH(C1063,下年标准成本!C:C,0),1),"")</f>
        <v/>
      </c>
      <c r="K1063" s="146" t="str">
        <f t="shared" si="92"/>
        <v/>
      </c>
      <c r="L1063" s="146" t="str">
        <f t="shared" si="93"/>
        <v/>
      </c>
      <c r="M1063" s="148" t="str">
        <f t="shared" si="94"/>
        <v/>
      </c>
    </row>
    <row r="1064" spans="1:13" x14ac:dyDescent="0.3">
      <c r="A1064" s="149"/>
      <c r="B1064" s="149"/>
      <c r="C1064" s="149"/>
      <c r="D1064" s="149"/>
      <c r="E1064" s="149"/>
      <c r="F1064" s="149"/>
      <c r="G1064" s="162"/>
      <c r="H1064" s="146" t="str">
        <f t="shared" si="90"/>
        <v/>
      </c>
      <c r="I1064" s="161" t="str">
        <f t="shared" si="91"/>
        <v/>
      </c>
      <c r="J1064" s="160" t="str">
        <f>IFERROR(INDEX(下年标准成本!I:I,MATCH(C1064,下年标准成本!C:C,0),1),"")</f>
        <v/>
      </c>
      <c r="K1064" s="146" t="str">
        <f t="shared" si="92"/>
        <v/>
      </c>
      <c r="L1064" s="146" t="str">
        <f t="shared" si="93"/>
        <v/>
      </c>
      <c r="M1064" s="148" t="str">
        <f t="shared" si="94"/>
        <v/>
      </c>
    </row>
    <row r="1065" spans="1:13" x14ac:dyDescent="0.3">
      <c r="A1065" s="149"/>
      <c r="B1065" s="149"/>
      <c r="C1065" s="149"/>
      <c r="D1065" s="149"/>
      <c r="E1065" s="149"/>
      <c r="F1065" s="149"/>
      <c r="G1065" s="162"/>
      <c r="H1065" s="146" t="str">
        <f t="shared" si="90"/>
        <v/>
      </c>
      <c r="I1065" s="161" t="str">
        <f t="shared" si="91"/>
        <v/>
      </c>
      <c r="J1065" s="160" t="str">
        <f>IFERROR(INDEX(下年标准成本!I:I,MATCH(C1065,下年标准成本!C:C,0),1),"")</f>
        <v/>
      </c>
      <c r="K1065" s="146" t="str">
        <f t="shared" si="92"/>
        <v/>
      </c>
      <c r="L1065" s="146" t="str">
        <f t="shared" si="93"/>
        <v/>
      </c>
      <c r="M1065" s="148" t="str">
        <f t="shared" si="94"/>
        <v/>
      </c>
    </row>
    <row r="1066" spans="1:13" x14ac:dyDescent="0.3">
      <c r="A1066" s="149"/>
      <c r="B1066" s="149"/>
      <c r="C1066" s="149"/>
      <c r="D1066" s="149"/>
      <c r="E1066" s="149"/>
      <c r="F1066" s="149"/>
      <c r="G1066" s="162"/>
      <c r="H1066" s="146" t="str">
        <f t="shared" si="90"/>
        <v/>
      </c>
      <c r="I1066" s="161" t="str">
        <f t="shared" si="91"/>
        <v/>
      </c>
      <c r="J1066" s="160" t="str">
        <f>IFERROR(INDEX(下年标准成本!I:I,MATCH(C1066,下年标准成本!C:C,0),1),"")</f>
        <v/>
      </c>
      <c r="K1066" s="146" t="str">
        <f t="shared" si="92"/>
        <v/>
      </c>
      <c r="L1066" s="146" t="str">
        <f t="shared" si="93"/>
        <v/>
      </c>
      <c r="M1066" s="148" t="str">
        <f t="shared" si="94"/>
        <v/>
      </c>
    </row>
    <row r="1067" spans="1:13" x14ac:dyDescent="0.3">
      <c r="A1067" s="149"/>
      <c r="B1067" s="149"/>
      <c r="C1067" s="149"/>
      <c r="D1067" s="149"/>
      <c r="E1067" s="149"/>
      <c r="F1067" s="149"/>
      <c r="G1067" s="162"/>
      <c r="H1067" s="146" t="str">
        <f t="shared" si="90"/>
        <v/>
      </c>
      <c r="I1067" s="161" t="str">
        <f t="shared" si="91"/>
        <v/>
      </c>
      <c r="J1067" s="160" t="str">
        <f>IFERROR(INDEX(下年标准成本!I:I,MATCH(C1067,下年标准成本!C:C,0),1),"")</f>
        <v/>
      </c>
      <c r="K1067" s="146" t="str">
        <f t="shared" si="92"/>
        <v/>
      </c>
      <c r="L1067" s="146" t="str">
        <f t="shared" si="93"/>
        <v/>
      </c>
      <c r="M1067" s="148" t="str">
        <f t="shared" si="94"/>
        <v/>
      </c>
    </row>
    <row r="1068" spans="1:13" x14ac:dyDescent="0.3">
      <c r="A1068" s="149"/>
      <c r="B1068" s="149"/>
      <c r="C1068" s="149"/>
      <c r="D1068" s="149"/>
      <c r="E1068" s="149"/>
      <c r="F1068" s="149"/>
      <c r="G1068" s="162"/>
      <c r="H1068" s="146" t="str">
        <f t="shared" si="90"/>
        <v/>
      </c>
      <c r="I1068" s="161" t="str">
        <f t="shared" si="91"/>
        <v/>
      </c>
      <c r="J1068" s="160" t="str">
        <f>IFERROR(INDEX(下年标准成本!I:I,MATCH(C1068,下年标准成本!C:C,0),1),"")</f>
        <v/>
      </c>
      <c r="K1068" s="146" t="str">
        <f t="shared" si="92"/>
        <v/>
      </c>
      <c r="L1068" s="146" t="str">
        <f t="shared" si="93"/>
        <v/>
      </c>
      <c r="M1068" s="148" t="str">
        <f t="shared" si="94"/>
        <v/>
      </c>
    </row>
    <row r="1069" spans="1:13" x14ac:dyDescent="0.3">
      <c r="A1069" s="149"/>
      <c r="B1069" s="149"/>
      <c r="C1069" s="149"/>
      <c r="D1069" s="149"/>
      <c r="E1069" s="149"/>
      <c r="F1069" s="149"/>
      <c r="G1069" s="162"/>
      <c r="H1069" s="146" t="str">
        <f t="shared" si="90"/>
        <v/>
      </c>
      <c r="I1069" s="161" t="str">
        <f t="shared" si="91"/>
        <v/>
      </c>
      <c r="J1069" s="160" t="str">
        <f>IFERROR(INDEX(下年标准成本!I:I,MATCH(C1069,下年标准成本!C:C,0),1),"")</f>
        <v/>
      </c>
      <c r="K1069" s="146" t="str">
        <f t="shared" si="92"/>
        <v/>
      </c>
      <c r="L1069" s="146" t="str">
        <f t="shared" si="93"/>
        <v/>
      </c>
      <c r="M1069" s="148" t="str">
        <f t="shared" si="94"/>
        <v/>
      </c>
    </row>
    <row r="1070" spans="1:13" x14ac:dyDescent="0.3">
      <c r="A1070" s="149"/>
      <c r="B1070" s="149"/>
      <c r="C1070" s="149"/>
      <c r="D1070" s="149"/>
      <c r="E1070" s="149"/>
      <c r="F1070" s="149"/>
      <c r="G1070" s="162"/>
      <c r="H1070" s="146" t="str">
        <f t="shared" si="90"/>
        <v/>
      </c>
      <c r="I1070" s="161" t="str">
        <f t="shared" si="91"/>
        <v/>
      </c>
      <c r="J1070" s="160" t="str">
        <f>IFERROR(INDEX(下年标准成本!I:I,MATCH(C1070,下年标准成本!C:C,0),1),"")</f>
        <v/>
      </c>
      <c r="K1070" s="146" t="str">
        <f t="shared" si="92"/>
        <v/>
      </c>
      <c r="L1070" s="146" t="str">
        <f t="shared" si="93"/>
        <v/>
      </c>
      <c r="M1070" s="148" t="str">
        <f t="shared" si="94"/>
        <v/>
      </c>
    </row>
    <row r="1071" spans="1:13" x14ac:dyDescent="0.3">
      <c r="A1071" s="149"/>
      <c r="B1071" s="149"/>
      <c r="C1071" s="149"/>
      <c r="D1071" s="149"/>
      <c r="E1071" s="149"/>
      <c r="F1071" s="149"/>
      <c r="G1071" s="162"/>
      <c r="H1071" s="146" t="str">
        <f t="shared" si="90"/>
        <v/>
      </c>
      <c r="I1071" s="161" t="str">
        <f t="shared" si="91"/>
        <v/>
      </c>
      <c r="J1071" s="160" t="str">
        <f>IFERROR(INDEX(下年标准成本!I:I,MATCH(C1071,下年标准成本!C:C,0),1),"")</f>
        <v/>
      </c>
      <c r="K1071" s="146" t="str">
        <f t="shared" si="92"/>
        <v/>
      </c>
      <c r="L1071" s="146" t="str">
        <f t="shared" si="93"/>
        <v/>
      </c>
      <c r="M1071" s="148" t="str">
        <f t="shared" si="94"/>
        <v/>
      </c>
    </row>
    <row r="1072" spans="1:13" x14ac:dyDescent="0.3">
      <c r="A1072" s="149"/>
      <c r="B1072" s="149"/>
      <c r="C1072" s="149"/>
      <c r="D1072" s="149"/>
      <c r="E1072" s="149"/>
      <c r="F1072" s="149"/>
      <c r="G1072" s="162"/>
      <c r="H1072" s="146" t="str">
        <f t="shared" si="90"/>
        <v/>
      </c>
      <c r="I1072" s="161" t="str">
        <f t="shared" si="91"/>
        <v/>
      </c>
      <c r="J1072" s="160" t="str">
        <f>IFERROR(INDEX(下年标准成本!I:I,MATCH(C1072,下年标准成本!C:C,0),1),"")</f>
        <v/>
      </c>
      <c r="K1072" s="146" t="str">
        <f t="shared" si="92"/>
        <v/>
      </c>
      <c r="L1072" s="146" t="str">
        <f t="shared" si="93"/>
        <v/>
      </c>
      <c r="M1072" s="148" t="str">
        <f t="shared" si="94"/>
        <v/>
      </c>
    </row>
    <row r="1073" spans="1:13" x14ac:dyDescent="0.3">
      <c r="A1073" s="149"/>
      <c r="B1073" s="149"/>
      <c r="C1073" s="149"/>
      <c r="D1073" s="149"/>
      <c r="E1073" s="149"/>
      <c r="F1073" s="149"/>
      <c r="G1073" s="162"/>
      <c r="H1073" s="146" t="str">
        <f t="shared" si="90"/>
        <v/>
      </c>
      <c r="I1073" s="161" t="str">
        <f t="shared" si="91"/>
        <v/>
      </c>
      <c r="J1073" s="160" t="str">
        <f>IFERROR(INDEX(下年标准成本!I:I,MATCH(C1073,下年标准成本!C:C,0),1),"")</f>
        <v/>
      </c>
      <c r="K1073" s="146" t="str">
        <f t="shared" si="92"/>
        <v/>
      </c>
      <c r="L1073" s="146" t="str">
        <f t="shared" si="93"/>
        <v/>
      </c>
      <c r="M1073" s="148" t="str">
        <f t="shared" si="94"/>
        <v/>
      </c>
    </row>
    <row r="1074" spans="1:13" x14ac:dyDescent="0.3">
      <c r="A1074" s="149"/>
      <c r="B1074" s="149"/>
      <c r="C1074" s="149"/>
      <c r="D1074" s="149"/>
      <c r="E1074" s="149"/>
      <c r="F1074" s="149"/>
      <c r="G1074" s="162"/>
      <c r="H1074" s="146" t="str">
        <f t="shared" si="90"/>
        <v/>
      </c>
      <c r="I1074" s="161" t="str">
        <f t="shared" si="91"/>
        <v/>
      </c>
      <c r="J1074" s="160" t="str">
        <f>IFERROR(INDEX(下年标准成本!I:I,MATCH(C1074,下年标准成本!C:C,0),1),"")</f>
        <v/>
      </c>
      <c r="K1074" s="146" t="str">
        <f t="shared" si="92"/>
        <v/>
      </c>
      <c r="L1074" s="146" t="str">
        <f t="shared" si="93"/>
        <v/>
      </c>
      <c r="M1074" s="148" t="str">
        <f t="shared" si="94"/>
        <v/>
      </c>
    </row>
    <row r="1075" spans="1:13" x14ac:dyDescent="0.3">
      <c r="A1075" s="149"/>
      <c r="B1075" s="149"/>
      <c r="C1075" s="149"/>
      <c r="D1075" s="149"/>
      <c r="E1075" s="149"/>
      <c r="F1075" s="149"/>
      <c r="G1075" s="162"/>
      <c r="H1075" s="146" t="str">
        <f t="shared" si="90"/>
        <v/>
      </c>
      <c r="I1075" s="161" t="str">
        <f t="shared" si="91"/>
        <v/>
      </c>
      <c r="J1075" s="160" t="str">
        <f>IFERROR(INDEX(下年标准成本!I:I,MATCH(C1075,下年标准成本!C:C,0),1),"")</f>
        <v/>
      </c>
      <c r="K1075" s="146" t="str">
        <f t="shared" si="92"/>
        <v/>
      </c>
      <c r="L1075" s="146" t="str">
        <f t="shared" si="93"/>
        <v/>
      </c>
      <c r="M1075" s="148" t="str">
        <f t="shared" si="94"/>
        <v/>
      </c>
    </row>
    <row r="1076" spans="1:13" x14ac:dyDescent="0.3">
      <c r="A1076" s="149"/>
      <c r="B1076" s="149"/>
      <c r="C1076" s="149"/>
      <c r="D1076" s="149"/>
      <c r="E1076" s="149"/>
      <c r="F1076" s="149"/>
      <c r="G1076" s="162"/>
      <c r="H1076" s="146" t="str">
        <f t="shared" si="90"/>
        <v/>
      </c>
      <c r="I1076" s="161" t="str">
        <f t="shared" si="91"/>
        <v/>
      </c>
      <c r="J1076" s="160" t="str">
        <f>IFERROR(INDEX(下年标准成本!I:I,MATCH(C1076,下年标准成本!C:C,0),1),"")</f>
        <v/>
      </c>
      <c r="K1076" s="146" t="str">
        <f t="shared" si="92"/>
        <v/>
      </c>
      <c r="L1076" s="146" t="str">
        <f t="shared" si="93"/>
        <v/>
      </c>
      <c r="M1076" s="148" t="str">
        <f t="shared" si="94"/>
        <v/>
      </c>
    </row>
    <row r="1077" spans="1:13" x14ac:dyDescent="0.3">
      <c r="A1077" s="149"/>
      <c r="B1077" s="149"/>
      <c r="C1077" s="149"/>
      <c r="D1077" s="149"/>
      <c r="E1077" s="149"/>
      <c r="F1077" s="149"/>
      <c r="G1077" s="162"/>
      <c r="H1077" s="146" t="str">
        <f t="shared" si="90"/>
        <v/>
      </c>
      <c r="I1077" s="161" t="str">
        <f t="shared" si="91"/>
        <v/>
      </c>
      <c r="J1077" s="160" t="str">
        <f>IFERROR(INDEX(下年标准成本!I:I,MATCH(C1077,下年标准成本!C:C,0),1),"")</f>
        <v/>
      </c>
      <c r="K1077" s="146" t="str">
        <f t="shared" si="92"/>
        <v/>
      </c>
      <c r="L1077" s="146" t="str">
        <f t="shared" si="93"/>
        <v/>
      </c>
      <c r="M1077" s="148" t="str">
        <f t="shared" si="94"/>
        <v/>
      </c>
    </row>
    <row r="1078" spans="1:13" x14ac:dyDescent="0.3">
      <c r="A1078" s="149"/>
      <c r="B1078" s="149"/>
      <c r="C1078" s="149"/>
      <c r="D1078" s="149"/>
      <c r="E1078" s="149"/>
      <c r="F1078" s="149"/>
      <c r="G1078" s="162"/>
      <c r="H1078" s="146" t="str">
        <f t="shared" si="90"/>
        <v/>
      </c>
      <c r="I1078" s="161" t="str">
        <f t="shared" si="91"/>
        <v/>
      </c>
      <c r="J1078" s="160" t="str">
        <f>IFERROR(INDEX(下年标准成本!I:I,MATCH(C1078,下年标准成本!C:C,0),1),"")</f>
        <v/>
      </c>
      <c r="K1078" s="146" t="str">
        <f t="shared" si="92"/>
        <v/>
      </c>
      <c r="L1078" s="146" t="str">
        <f t="shared" si="93"/>
        <v/>
      </c>
      <c r="M1078" s="148" t="str">
        <f t="shared" si="94"/>
        <v/>
      </c>
    </row>
    <row r="1079" spans="1:13" x14ac:dyDescent="0.3">
      <c r="A1079" s="149"/>
      <c r="B1079" s="149"/>
      <c r="C1079" s="149"/>
      <c r="D1079" s="149"/>
      <c r="E1079" s="149"/>
      <c r="F1079" s="149"/>
      <c r="G1079" s="162"/>
      <c r="H1079" s="146" t="str">
        <f t="shared" si="90"/>
        <v/>
      </c>
      <c r="I1079" s="161" t="str">
        <f t="shared" si="91"/>
        <v/>
      </c>
      <c r="J1079" s="160" t="str">
        <f>IFERROR(INDEX(下年标准成本!I:I,MATCH(C1079,下年标准成本!C:C,0),1),"")</f>
        <v/>
      </c>
      <c r="K1079" s="146" t="str">
        <f t="shared" si="92"/>
        <v/>
      </c>
      <c r="L1079" s="146" t="str">
        <f t="shared" si="93"/>
        <v/>
      </c>
      <c r="M1079" s="148" t="str">
        <f t="shared" si="94"/>
        <v/>
      </c>
    </row>
    <row r="1080" spans="1:13" x14ac:dyDescent="0.3">
      <c r="A1080" s="149"/>
      <c r="B1080" s="149"/>
      <c r="C1080" s="149"/>
      <c r="D1080" s="149"/>
      <c r="E1080" s="149"/>
      <c r="F1080" s="149"/>
      <c r="G1080" s="162"/>
      <c r="H1080" s="146" t="str">
        <f t="shared" si="90"/>
        <v/>
      </c>
      <c r="I1080" s="161" t="str">
        <f t="shared" si="91"/>
        <v/>
      </c>
      <c r="J1080" s="160" t="str">
        <f>IFERROR(INDEX(下年标准成本!I:I,MATCH(C1080,下年标准成本!C:C,0),1),"")</f>
        <v/>
      </c>
      <c r="K1080" s="146" t="str">
        <f t="shared" si="92"/>
        <v/>
      </c>
      <c r="L1080" s="146" t="str">
        <f t="shared" si="93"/>
        <v/>
      </c>
      <c r="M1080" s="148" t="str">
        <f t="shared" si="94"/>
        <v/>
      </c>
    </row>
    <row r="1081" spans="1:13" x14ac:dyDescent="0.3">
      <c r="A1081" s="149"/>
      <c r="B1081" s="149"/>
      <c r="C1081" s="149"/>
      <c r="D1081" s="149"/>
      <c r="E1081" s="149"/>
      <c r="F1081" s="149"/>
      <c r="G1081" s="162"/>
      <c r="H1081" s="146" t="str">
        <f t="shared" si="90"/>
        <v/>
      </c>
      <c r="I1081" s="161" t="str">
        <f t="shared" si="91"/>
        <v/>
      </c>
      <c r="J1081" s="160" t="str">
        <f>IFERROR(INDEX(下年标准成本!I:I,MATCH(C1081,下年标准成本!C:C,0),1),"")</f>
        <v/>
      </c>
      <c r="K1081" s="146" t="str">
        <f t="shared" si="92"/>
        <v/>
      </c>
      <c r="L1081" s="146" t="str">
        <f t="shared" si="93"/>
        <v/>
      </c>
      <c r="M1081" s="148" t="str">
        <f t="shared" si="94"/>
        <v/>
      </c>
    </row>
    <row r="1082" spans="1:13" x14ac:dyDescent="0.3">
      <c r="A1082" s="149"/>
      <c r="B1082" s="149"/>
      <c r="C1082" s="149"/>
      <c r="D1082" s="149"/>
      <c r="E1082" s="149"/>
      <c r="F1082" s="149"/>
      <c r="G1082" s="162"/>
      <c r="H1082" s="146" t="str">
        <f t="shared" si="90"/>
        <v/>
      </c>
      <c r="I1082" s="161" t="str">
        <f t="shared" si="91"/>
        <v/>
      </c>
      <c r="J1082" s="160" t="str">
        <f>IFERROR(INDEX(下年标准成本!I:I,MATCH(C1082,下年标准成本!C:C,0),1),"")</f>
        <v/>
      </c>
      <c r="K1082" s="146" t="str">
        <f t="shared" si="92"/>
        <v/>
      </c>
      <c r="L1082" s="146" t="str">
        <f t="shared" si="93"/>
        <v/>
      </c>
      <c r="M1082" s="148" t="str">
        <f t="shared" si="94"/>
        <v/>
      </c>
    </row>
    <row r="1083" spans="1:13" x14ac:dyDescent="0.3">
      <c r="A1083" s="149"/>
      <c r="B1083" s="149"/>
      <c r="C1083" s="149"/>
      <c r="D1083" s="149"/>
      <c r="E1083" s="149"/>
      <c r="F1083" s="149"/>
      <c r="G1083" s="162"/>
      <c r="H1083" s="146" t="str">
        <f t="shared" si="90"/>
        <v/>
      </c>
      <c r="I1083" s="161" t="str">
        <f t="shared" si="91"/>
        <v/>
      </c>
      <c r="J1083" s="160" t="str">
        <f>IFERROR(INDEX(下年标准成本!I:I,MATCH(C1083,下年标准成本!C:C,0),1),"")</f>
        <v/>
      </c>
      <c r="K1083" s="146" t="str">
        <f t="shared" si="92"/>
        <v/>
      </c>
      <c r="L1083" s="146" t="str">
        <f t="shared" si="93"/>
        <v/>
      </c>
      <c r="M1083" s="148" t="str">
        <f t="shared" si="94"/>
        <v/>
      </c>
    </row>
    <row r="1084" spans="1:13" x14ac:dyDescent="0.3">
      <c r="A1084" s="149"/>
      <c r="B1084" s="149"/>
      <c r="C1084" s="149"/>
      <c r="D1084" s="149"/>
      <c r="E1084" s="149"/>
      <c r="F1084" s="149"/>
      <c r="G1084" s="162"/>
      <c r="H1084" s="146" t="str">
        <f t="shared" si="90"/>
        <v/>
      </c>
      <c r="I1084" s="161" t="str">
        <f t="shared" si="91"/>
        <v/>
      </c>
      <c r="J1084" s="160" t="str">
        <f>IFERROR(INDEX(下年标准成本!I:I,MATCH(C1084,下年标准成本!C:C,0),1),"")</f>
        <v/>
      </c>
      <c r="K1084" s="146" t="str">
        <f t="shared" si="92"/>
        <v/>
      </c>
      <c r="L1084" s="146" t="str">
        <f t="shared" si="93"/>
        <v/>
      </c>
      <c r="M1084" s="148" t="str">
        <f t="shared" si="94"/>
        <v/>
      </c>
    </row>
    <row r="1085" spans="1:13" x14ac:dyDescent="0.3">
      <c r="A1085" s="149"/>
      <c r="B1085" s="149"/>
      <c r="C1085" s="149"/>
      <c r="D1085" s="149"/>
      <c r="E1085" s="149"/>
      <c r="F1085" s="149"/>
      <c r="G1085" s="162"/>
      <c r="H1085" s="146" t="str">
        <f t="shared" si="90"/>
        <v/>
      </c>
      <c r="I1085" s="161" t="str">
        <f t="shared" si="91"/>
        <v/>
      </c>
      <c r="J1085" s="160" t="str">
        <f>IFERROR(INDEX(下年标准成本!I:I,MATCH(C1085,下年标准成本!C:C,0),1),"")</f>
        <v/>
      </c>
      <c r="K1085" s="146" t="str">
        <f t="shared" si="92"/>
        <v/>
      </c>
      <c r="L1085" s="146" t="str">
        <f t="shared" si="93"/>
        <v/>
      </c>
      <c r="M1085" s="148" t="str">
        <f t="shared" si="94"/>
        <v/>
      </c>
    </row>
    <row r="1086" spans="1:13" x14ac:dyDescent="0.3">
      <c r="A1086" s="149"/>
      <c r="B1086" s="149"/>
      <c r="C1086" s="149"/>
      <c r="D1086" s="149"/>
      <c r="E1086" s="149"/>
      <c r="F1086" s="149"/>
      <c r="G1086" s="162"/>
      <c r="H1086" s="146" t="str">
        <f t="shared" si="90"/>
        <v/>
      </c>
      <c r="I1086" s="161" t="str">
        <f t="shared" si="91"/>
        <v/>
      </c>
      <c r="J1086" s="160" t="str">
        <f>IFERROR(INDEX(下年标准成本!I:I,MATCH(C1086,下年标准成本!C:C,0),1),"")</f>
        <v/>
      </c>
      <c r="K1086" s="146" t="str">
        <f t="shared" si="92"/>
        <v/>
      </c>
      <c r="L1086" s="146" t="str">
        <f t="shared" si="93"/>
        <v/>
      </c>
      <c r="M1086" s="148" t="str">
        <f t="shared" si="94"/>
        <v/>
      </c>
    </row>
    <row r="1087" spans="1:13" x14ac:dyDescent="0.3">
      <c r="A1087" s="149"/>
      <c r="B1087" s="149"/>
      <c r="C1087" s="149"/>
      <c r="D1087" s="149"/>
      <c r="E1087" s="149"/>
      <c r="F1087" s="149"/>
      <c r="G1087" s="162"/>
      <c r="H1087" s="146" t="str">
        <f t="shared" si="90"/>
        <v/>
      </c>
      <c r="I1087" s="161" t="str">
        <f t="shared" si="91"/>
        <v/>
      </c>
      <c r="J1087" s="160" t="str">
        <f>IFERROR(INDEX(下年标准成本!I:I,MATCH(C1087,下年标准成本!C:C,0),1),"")</f>
        <v/>
      </c>
      <c r="K1087" s="146" t="str">
        <f t="shared" si="92"/>
        <v/>
      </c>
      <c r="L1087" s="146" t="str">
        <f t="shared" si="93"/>
        <v/>
      </c>
      <c r="M1087" s="148" t="str">
        <f t="shared" si="94"/>
        <v/>
      </c>
    </row>
    <row r="1088" spans="1:13" x14ac:dyDescent="0.3">
      <c r="A1088" s="149"/>
      <c r="B1088" s="149"/>
      <c r="C1088" s="149"/>
      <c r="D1088" s="149"/>
      <c r="E1088" s="149"/>
      <c r="F1088" s="149"/>
      <c r="G1088" s="162"/>
      <c r="H1088" s="146" t="str">
        <f t="shared" si="90"/>
        <v/>
      </c>
      <c r="I1088" s="161" t="str">
        <f t="shared" si="91"/>
        <v/>
      </c>
      <c r="J1088" s="160" t="str">
        <f>IFERROR(INDEX(下年标准成本!I:I,MATCH(C1088,下年标准成本!C:C,0),1),"")</f>
        <v/>
      </c>
      <c r="K1088" s="146" t="str">
        <f t="shared" si="92"/>
        <v/>
      </c>
      <c r="L1088" s="146" t="str">
        <f t="shared" si="93"/>
        <v/>
      </c>
      <c r="M1088" s="148" t="str">
        <f t="shared" si="94"/>
        <v/>
      </c>
    </row>
    <row r="1089" spans="1:13" x14ac:dyDescent="0.3">
      <c r="A1089" s="149"/>
      <c r="B1089" s="149"/>
      <c r="C1089" s="149"/>
      <c r="D1089" s="149"/>
      <c r="E1089" s="149"/>
      <c r="F1089" s="149"/>
      <c r="G1089" s="162"/>
      <c r="H1089" s="146" t="str">
        <f t="shared" si="90"/>
        <v/>
      </c>
      <c r="I1089" s="161" t="str">
        <f t="shared" si="91"/>
        <v/>
      </c>
      <c r="J1089" s="160" t="str">
        <f>IFERROR(INDEX(下年标准成本!I:I,MATCH(C1089,下年标准成本!C:C,0),1),"")</f>
        <v/>
      </c>
      <c r="K1089" s="146" t="str">
        <f t="shared" si="92"/>
        <v/>
      </c>
      <c r="L1089" s="146" t="str">
        <f t="shared" si="93"/>
        <v/>
      </c>
      <c r="M1089" s="148" t="str">
        <f t="shared" si="94"/>
        <v/>
      </c>
    </row>
    <row r="1090" spans="1:13" x14ac:dyDescent="0.3">
      <c r="A1090" s="149"/>
      <c r="B1090" s="149"/>
      <c r="C1090" s="149"/>
      <c r="D1090" s="149"/>
      <c r="E1090" s="149"/>
      <c r="F1090" s="149"/>
      <c r="G1090" s="162"/>
      <c r="H1090" s="146" t="str">
        <f t="shared" si="90"/>
        <v/>
      </c>
      <c r="I1090" s="161" t="str">
        <f t="shared" si="91"/>
        <v/>
      </c>
      <c r="J1090" s="160" t="str">
        <f>IFERROR(INDEX(下年标准成本!I:I,MATCH(C1090,下年标准成本!C:C,0),1),"")</f>
        <v/>
      </c>
      <c r="K1090" s="146" t="str">
        <f t="shared" si="92"/>
        <v/>
      </c>
      <c r="L1090" s="146" t="str">
        <f t="shared" si="93"/>
        <v/>
      </c>
      <c r="M1090" s="148" t="str">
        <f t="shared" si="94"/>
        <v/>
      </c>
    </row>
    <row r="1091" spans="1:13" x14ac:dyDescent="0.3">
      <c r="A1091" s="149"/>
      <c r="B1091" s="149"/>
      <c r="C1091" s="149"/>
      <c r="D1091" s="149"/>
      <c r="E1091" s="149"/>
      <c r="F1091" s="149"/>
      <c r="G1091" s="162"/>
      <c r="H1091" s="146" t="str">
        <f t="shared" si="90"/>
        <v/>
      </c>
      <c r="I1091" s="161" t="str">
        <f t="shared" si="91"/>
        <v/>
      </c>
      <c r="J1091" s="160" t="str">
        <f>IFERROR(INDEX(下年标准成本!I:I,MATCH(C1091,下年标准成本!C:C,0),1),"")</f>
        <v/>
      </c>
      <c r="K1091" s="146" t="str">
        <f t="shared" si="92"/>
        <v/>
      </c>
      <c r="L1091" s="146" t="str">
        <f t="shared" si="93"/>
        <v/>
      </c>
      <c r="M1091" s="148" t="str">
        <f t="shared" si="94"/>
        <v/>
      </c>
    </row>
    <row r="1092" spans="1:13" x14ac:dyDescent="0.3">
      <c r="A1092" s="149"/>
      <c r="B1092" s="149"/>
      <c r="C1092" s="149"/>
      <c r="D1092" s="149"/>
      <c r="E1092" s="149"/>
      <c r="F1092" s="149"/>
      <c r="G1092" s="162"/>
      <c r="H1092" s="146" t="str">
        <f t="shared" si="90"/>
        <v/>
      </c>
      <c r="I1092" s="161" t="str">
        <f t="shared" si="91"/>
        <v/>
      </c>
      <c r="J1092" s="160" t="str">
        <f>IFERROR(INDEX(下年标准成本!I:I,MATCH(C1092,下年标准成本!C:C,0),1),"")</f>
        <v/>
      </c>
      <c r="K1092" s="146" t="str">
        <f t="shared" si="92"/>
        <v/>
      </c>
      <c r="L1092" s="146" t="str">
        <f t="shared" si="93"/>
        <v/>
      </c>
      <c r="M1092" s="148" t="str">
        <f t="shared" si="94"/>
        <v/>
      </c>
    </row>
    <row r="1093" spans="1:13" x14ac:dyDescent="0.3">
      <c r="A1093" s="149"/>
      <c r="B1093" s="149"/>
      <c r="C1093" s="149"/>
      <c r="D1093" s="149"/>
      <c r="E1093" s="149"/>
      <c r="F1093" s="149"/>
      <c r="G1093" s="162"/>
      <c r="H1093" s="146" t="str">
        <f t="shared" si="90"/>
        <v/>
      </c>
      <c r="I1093" s="161" t="str">
        <f t="shared" si="91"/>
        <v/>
      </c>
      <c r="J1093" s="160" t="str">
        <f>IFERROR(INDEX(下年标准成本!I:I,MATCH(C1093,下年标准成本!C:C,0),1),"")</f>
        <v/>
      </c>
      <c r="K1093" s="146" t="str">
        <f t="shared" si="92"/>
        <v/>
      </c>
      <c r="L1093" s="146" t="str">
        <f t="shared" si="93"/>
        <v/>
      </c>
      <c r="M1093" s="148" t="str">
        <f t="shared" si="94"/>
        <v/>
      </c>
    </row>
    <row r="1094" spans="1:13" x14ac:dyDescent="0.3">
      <c r="A1094" s="149"/>
      <c r="B1094" s="149"/>
      <c r="C1094" s="149"/>
      <c r="D1094" s="149"/>
      <c r="E1094" s="149"/>
      <c r="F1094" s="149"/>
      <c r="G1094" s="162"/>
      <c r="H1094" s="146" t="str">
        <f t="shared" si="90"/>
        <v/>
      </c>
      <c r="I1094" s="161" t="str">
        <f t="shared" si="91"/>
        <v/>
      </c>
      <c r="J1094" s="160" t="str">
        <f>IFERROR(INDEX(下年标准成本!I:I,MATCH(C1094,下年标准成本!C:C,0),1),"")</f>
        <v/>
      </c>
      <c r="K1094" s="146" t="str">
        <f t="shared" si="92"/>
        <v/>
      </c>
      <c r="L1094" s="146" t="str">
        <f t="shared" si="93"/>
        <v/>
      </c>
      <c r="M1094" s="148" t="str">
        <f t="shared" si="94"/>
        <v/>
      </c>
    </row>
    <row r="1095" spans="1:13" x14ac:dyDescent="0.3">
      <c r="A1095" s="149"/>
      <c r="B1095" s="149"/>
      <c r="C1095" s="149"/>
      <c r="D1095" s="149"/>
      <c r="E1095" s="149"/>
      <c r="F1095" s="149"/>
      <c r="G1095" s="162"/>
      <c r="H1095" s="146" t="str">
        <f t="shared" si="90"/>
        <v/>
      </c>
      <c r="I1095" s="161" t="str">
        <f t="shared" si="91"/>
        <v/>
      </c>
      <c r="J1095" s="160" t="str">
        <f>IFERROR(INDEX(下年标准成本!I:I,MATCH(C1095,下年标准成本!C:C,0),1),"")</f>
        <v/>
      </c>
      <c r="K1095" s="146" t="str">
        <f t="shared" si="92"/>
        <v/>
      </c>
      <c r="L1095" s="146" t="str">
        <f t="shared" si="93"/>
        <v/>
      </c>
      <c r="M1095" s="148" t="str">
        <f t="shared" si="94"/>
        <v/>
      </c>
    </row>
    <row r="1096" spans="1:13" x14ac:dyDescent="0.3">
      <c r="A1096" s="149"/>
      <c r="B1096" s="149"/>
      <c r="C1096" s="149"/>
      <c r="D1096" s="149"/>
      <c r="E1096" s="149"/>
      <c r="F1096" s="149"/>
      <c r="G1096" s="162"/>
      <c r="H1096" s="146" t="str">
        <f t="shared" si="90"/>
        <v/>
      </c>
      <c r="I1096" s="161" t="str">
        <f t="shared" si="91"/>
        <v/>
      </c>
      <c r="J1096" s="160" t="str">
        <f>IFERROR(INDEX(下年标准成本!I:I,MATCH(C1096,下年标准成本!C:C,0),1),"")</f>
        <v/>
      </c>
      <c r="K1096" s="146" t="str">
        <f t="shared" si="92"/>
        <v/>
      </c>
      <c r="L1096" s="146" t="str">
        <f t="shared" si="93"/>
        <v/>
      </c>
      <c r="M1096" s="148" t="str">
        <f t="shared" si="94"/>
        <v/>
      </c>
    </row>
    <row r="1097" spans="1:13" x14ac:dyDescent="0.3">
      <c r="A1097" s="149"/>
      <c r="B1097" s="149"/>
      <c r="C1097" s="149"/>
      <c r="D1097" s="149"/>
      <c r="E1097" s="149"/>
      <c r="F1097" s="149"/>
      <c r="G1097" s="162"/>
      <c r="H1097" s="146" t="str">
        <f t="shared" si="90"/>
        <v/>
      </c>
      <c r="I1097" s="161" t="str">
        <f t="shared" si="91"/>
        <v/>
      </c>
      <c r="J1097" s="160" t="str">
        <f>IFERROR(INDEX(下年标准成本!I:I,MATCH(C1097,下年标准成本!C:C,0),1),"")</f>
        <v/>
      </c>
      <c r="K1097" s="146" t="str">
        <f t="shared" si="92"/>
        <v/>
      </c>
      <c r="L1097" s="146" t="str">
        <f t="shared" si="93"/>
        <v/>
      </c>
      <c r="M1097" s="148" t="str">
        <f t="shared" si="94"/>
        <v/>
      </c>
    </row>
    <row r="1098" spans="1:13" x14ac:dyDescent="0.3">
      <c r="A1098" s="149"/>
      <c r="B1098" s="149"/>
      <c r="C1098" s="149"/>
      <c r="D1098" s="149"/>
      <c r="E1098" s="149"/>
      <c r="F1098" s="149"/>
      <c r="G1098" s="162"/>
      <c r="H1098" s="146" t="str">
        <f t="shared" ref="H1098:H1161" si="95">IFERROR(F1098/E1098,"")</f>
        <v/>
      </c>
      <c r="I1098" s="161" t="str">
        <f t="shared" ref="I1098:I1161" si="96">IFERROR(H1098*(1+G1098),"")</f>
        <v/>
      </c>
      <c r="J1098" s="160" t="str">
        <f>IFERROR(INDEX(下年标准成本!I:I,MATCH(C1098,下年标准成本!C:C,0),1),"")</f>
        <v/>
      </c>
      <c r="K1098" s="146" t="str">
        <f t="shared" ref="K1098:K1161" si="97">IFERROR(E1098*J1098,"")</f>
        <v/>
      </c>
      <c r="L1098" s="146" t="str">
        <f t="shared" ref="L1098:L1161" si="98">IFERROR(F1098-K1098,"")</f>
        <v/>
      </c>
      <c r="M1098" s="148" t="str">
        <f t="shared" ref="M1098:M1161" si="99">IFERROR(L1098/F1098,"")</f>
        <v/>
      </c>
    </row>
    <row r="1099" spans="1:13" x14ac:dyDescent="0.3">
      <c r="A1099" s="149"/>
      <c r="B1099" s="149"/>
      <c r="C1099" s="149"/>
      <c r="D1099" s="149"/>
      <c r="E1099" s="149"/>
      <c r="F1099" s="149"/>
      <c r="G1099" s="162"/>
      <c r="H1099" s="146" t="str">
        <f t="shared" si="95"/>
        <v/>
      </c>
      <c r="I1099" s="161" t="str">
        <f t="shared" si="96"/>
        <v/>
      </c>
      <c r="J1099" s="160" t="str">
        <f>IFERROR(INDEX(下年标准成本!I:I,MATCH(C1099,下年标准成本!C:C,0),1),"")</f>
        <v/>
      </c>
      <c r="K1099" s="146" t="str">
        <f t="shared" si="97"/>
        <v/>
      </c>
      <c r="L1099" s="146" t="str">
        <f t="shared" si="98"/>
        <v/>
      </c>
      <c r="M1099" s="148" t="str">
        <f t="shared" si="99"/>
        <v/>
      </c>
    </row>
    <row r="1100" spans="1:13" x14ac:dyDescent="0.3">
      <c r="A1100" s="149"/>
      <c r="B1100" s="149"/>
      <c r="C1100" s="149"/>
      <c r="D1100" s="149"/>
      <c r="E1100" s="149"/>
      <c r="F1100" s="149"/>
      <c r="G1100" s="162"/>
      <c r="H1100" s="146" t="str">
        <f t="shared" si="95"/>
        <v/>
      </c>
      <c r="I1100" s="161" t="str">
        <f t="shared" si="96"/>
        <v/>
      </c>
      <c r="J1100" s="160" t="str">
        <f>IFERROR(INDEX(下年标准成本!I:I,MATCH(C1100,下年标准成本!C:C,0),1),"")</f>
        <v/>
      </c>
      <c r="K1100" s="146" t="str">
        <f t="shared" si="97"/>
        <v/>
      </c>
      <c r="L1100" s="146" t="str">
        <f t="shared" si="98"/>
        <v/>
      </c>
      <c r="M1100" s="148" t="str">
        <f t="shared" si="99"/>
        <v/>
      </c>
    </row>
    <row r="1101" spans="1:13" x14ac:dyDescent="0.3">
      <c r="A1101" s="149"/>
      <c r="B1101" s="149"/>
      <c r="C1101" s="149"/>
      <c r="D1101" s="149"/>
      <c r="E1101" s="149"/>
      <c r="F1101" s="149"/>
      <c r="G1101" s="162"/>
      <c r="H1101" s="146" t="str">
        <f t="shared" si="95"/>
        <v/>
      </c>
      <c r="I1101" s="161" t="str">
        <f t="shared" si="96"/>
        <v/>
      </c>
      <c r="J1101" s="160" t="str">
        <f>IFERROR(INDEX(下年标准成本!I:I,MATCH(C1101,下年标准成本!C:C,0),1),"")</f>
        <v/>
      </c>
      <c r="K1101" s="146" t="str">
        <f t="shared" si="97"/>
        <v/>
      </c>
      <c r="L1101" s="146" t="str">
        <f t="shared" si="98"/>
        <v/>
      </c>
      <c r="M1101" s="148" t="str">
        <f t="shared" si="99"/>
        <v/>
      </c>
    </row>
    <row r="1102" spans="1:13" x14ac:dyDescent="0.3">
      <c r="A1102" s="149"/>
      <c r="B1102" s="149"/>
      <c r="C1102" s="149"/>
      <c r="D1102" s="149"/>
      <c r="E1102" s="149"/>
      <c r="F1102" s="149"/>
      <c r="G1102" s="162"/>
      <c r="H1102" s="146" t="str">
        <f t="shared" si="95"/>
        <v/>
      </c>
      <c r="I1102" s="161" t="str">
        <f t="shared" si="96"/>
        <v/>
      </c>
      <c r="J1102" s="160" t="str">
        <f>IFERROR(INDEX(下年标准成本!I:I,MATCH(C1102,下年标准成本!C:C,0),1),"")</f>
        <v/>
      </c>
      <c r="K1102" s="146" t="str">
        <f t="shared" si="97"/>
        <v/>
      </c>
      <c r="L1102" s="146" t="str">
        <f t="shared" si="98"/>
        <v/>
      </c>
      <c r="M1102" s="148" t="str">
        <f t="shared" si="99"/>
        <v/>
      </c>
    </row>
    <row r="1103" spans="1:13" x14ac:dyDescent="0.3">
      <c r="A1103" s="149"/>
      <c r="B1103" s="149"/>
      <c r="C1103" s="149"/>
      <c r="D1103" s="149"/>
      <c r="E1103" s="149"/>
      <c r="F1103" s="149"/>
      <c r="G1103" s="162"/>
      <c r="H1103" s="146" t="str">
        <f t="shared" si="95"/>
        <v/>
      </c>
      <c r="I1103" s="161" t="str">
        <f t="shared" si="96"/>
        <v/>
      </c>
      <c r="J1103" s="160" t="str">
        <f>IFERROR(INDEX(下年标准成本!I:I,MATCH(C1103,下年标准成本!C:C,0),1),"")</f>
        <v/>
      </c>
      <c r="K1103" s="146" t="str">
        <f t="shared" si="97"/>
        <v/>
      </c>
      <c r="L1103" s="146" t="str">
        <f t="shared" si="98"/>
        <v/>
      </c>
      <c r="M1103" s="148" t="str">
        <f t="shared" si="99"/>
        <v/>
      </c>
    </row>
    <row r="1104" spans="1:13" x14ac:dyDescent="0.3">
      <c r="A1104" s="149"/>
      <c r="B1104" s="149"/>
      <c r="C1104" s="149"/>
      <c r="D1104" s="149"/>
      <c r="E1104" s="149"/>
      <c r="F1104" s="149"/>
      <c r="G1104" s="162"/>
      <c r="H1104" s="146" t="str">
        <f t="shared" si="95"/>
        <v/>
      </c>
      <c r="I1104" s="161" t="str">
        <f t="shared" si="96"/>
        <v/>
      </c>
      <c r="J1104" s="160" t="str">
        <f>IFERROR(INDEX(下年标准成本!I:I,MATCH(C1104,下年标准成本!C:C,0),1),"")</f>
        <v/>
      </c>
      <c r="K1104" s="146" t="str">
        <f t="shared" si="97"/>
        <v/>
      </c>
      <c r="L1104" s="146" t="str">
        <f t="shared" si="98"/>
        <v/>
      </c>
      <c r="M1104" s="148" t="str">
        <f t="shared" si="99"/>
        <v/>
      </c>
    </row>
    <row r="1105" spans="1:13" x14ac:dyDescent="0.3">
      <c r="A1105" s="149"/>
      <c r="B1105" s="149"/>
      <c r="C1105" s="149"/>
      <c r="D1105" s="149"/>
      <c r="E1105" s="149"/>
      <c r="F1105" s="149"/>
      <c r="G1105" s="162"/>
      <c r="H1105" s="146" t="str">
        <f t="shared" si="95"/>
        <v/>
      </c>
      <c r="I1105" s="161" t="str">
        <f t="shared" si="96"/>
        <v/>
      </c>
      <c r="J1105" s="160" t="str">
        <f>IFERROR(INDEX(下年标准成本!I:I,MATCH(C1105,下年标准成本!C:C,0),1),"")</f>
        <v/>
      </c>
      <c r="K1105" s="146" t="str">
        <f t="shared" si="97"/>
        <v/>
      </c>
      <c r="L1105" s="146" t="str">
        <f t="shared" si="98"/>
        <v/>
      </c>
      <c r="M1105" s="148" t="str">
        <f t="shared" si="99"/>
        <v/>
      </c>
    </row>
    <row r="1106" spans="1:13" x14ac:dyDescent="0.3">
      <c r="A1106" s="149"/>
      <c r="B1106" s="149"/>
      <c r="C1106" s="149"/>
      <c r="D1106" s="149"/>
      <c r="E1106" s="149"/>
      <c r="F1106" s="149"/>
      <c r="G1106" s="162"/>
      <c r="H1106" s="146" t="str">
        <f t="shared" si="95"/>
        <v/>
      </c>
      <c r="I1106" s="161" t="str">
        <f t="shared" si="96"/>
        <v/>
      </c>
      <c r="J1106" s="160" t="str">
        <f>IFERROR(INDEX(下年标准成本!I:I,MATCH(C1106,下年标准成本!C:C,0),1),"")</f>
        <v/>
      </c>
      <c r="K1106" s="146" t="str">
        <f t="shared" si="97"/>
        <v/>
      </c>
      <c r="L1106" s="146" t="str">
        <f t="shared" si="98"/>
        <v/>
      </c>
      <c r="M1106" s="148" t="str">
        <f t="shared" si="99"/>
        <v/>
      </c>
    </row>
    <row r="1107" spans="1:13" x14ac:dyDescent="0.3">
      <c r="A1107" s="149"/>
      <c r="B1107" s="149"/>
      <c r="C1107" s="149"/>
      <c r="D1107" s="149"/>
      <c r="E1107" s="149"/>
      <c r="F1107" s="149"/>
      <c r="G1107" s="162"/>
      <c r="H1107" s="146" t="str">
        <f t="shared" si="95"/>
        <v/>
      </c>
      <c r="I1107" s="161" t="str">
        <f t="shared" si="96"/>
        <v/>
      </c>
      <c r="J1107" s="160" t="str">
        <f>IFERROR(INDEX(下年标准成本!I:I,MATCH(C1107,下年标准成本!C:C,0),1),"")</f>
        <v/>
      </c>
      <c r="K1107" s="146" t="str">
        <f t="shared" si="97"/>
        <v/>
      </c>
      <c r="L1107" s="146" t="str">
        <f t="shared" si="98"/>
        <v/>
      </c>
      <c r="M1107" s="148" t="str">
        <f t="shared" si="99"/>
        <v/>
      </c>
    </row>
    <row r="1108" spans="1:13" x14ac:dyDescent="0.3">
      <c r="A1108" s="149"/>
      <c r="B1108" s="149"/>
      <c r="C1108" s="149"/>
      <c r="D1108" s="149"/>
      <c r="E1108" s="149"/>
      <c r="F1108" s="149"/>
      <c r="G1108" s="162"/>
      <c r="H1108" s="146" t="str">
        <f t="shared" si="95"/>
        <v/>
      </c>
      <c r="I1108" s="161" t="str">
        <f t="shared" si="96"/>
        <v/>
      </c>
      <c r="J1108" s="160" t="str">
        <f>IFERROR(INDEX(下年标准成本!I:I,MATCH(C1108,下年标准成本!C:C,0),1),"")</f>
        <v/>
      </c>
      <c r="K1108" s="146" t="str">
        <f t="shared" si="97"/>
        <v/>
      </c>
      <c r="L1108" s="146" t="str">
        <f t="shared" si="98"/>
        <v/>
      </c>
      <c r="M1108" s="148" t="str">
        <f t="shared" si="99"/>
        <v/>
      </c>
    </row>
    <row r="1109" spans="1:13" x14ac:dyDescent="0.3">
      <c r="A1109" s="149"/>
      <c r="B1109" s="149"/>
      <c r="C1109" s="149"/>
      <c r="D1109" s="149"/>
      <c r="E1109" s="149"/>
      <c r="F1109" s="149"/>
      <c r="G1109" s="162"/>
      <c r="H1109" s="146" t="str">
        <f t="shared" si="95"/>
        <v/>
      </c>
      <c r="I1109" s="161" t="str">
        <f t="shared" si="96"/>
        <v/>
      </c>
      <c r="J1109" s="160" t="str">
        <f>IFERROR(INDEX(下年标准成本!I:I,MATCH(C1109,下年标准成本!C:C,0),1),"")</f>
        <v/>
      </c>
      <c r="K1109" s="146" t="str">
        <f t="shared" si="97"/>
        <v/>
      </c>
      <c r="L1109" s="146" t="str">
        <f t="shared" si="98"/>
        <v/>
      </c>
      <c r="M1109" s="148" t="str">
        <f t="shared" si="99"/>
        <v/>
      </c>
    </row>
    <row r="1110" spans="1:13" x14ac:dyDescent="0.3">
      <c r="A1110" s="149"/>
      <c r="B1110" s="149"/>
      <c r="C1110" s="149"/>
      <c r="D1110" s="149"/>
      <c r="E1110" s="149"/>
      <c r="F1110" s="149"/>
      <c r="G1110" s="162"/>
      <c r="H1110" s="146" t="str">
        <f t="shared" si="95"/>
        <v/>
      </c>
      <c r="I1110" s="161" t="str">
        <f t="shared" si="96"/>
        <v/>
      </c>
      <c r="J1110" s="160" t="str">
        <f>IFERROR(INDEX(下年标准成本!I:I,MATCH(C1110,下年标准成本!C:C,0),1),"")</f>
        <v/>
      </c>
      <c r="K1110" s="146" t="str">
        <f t="shared" si="97"/>
        <v/>
      </c>
      <c r="L1110" s="146" t="str">
        <f t="shared" si="98"/>
        <v/>
      </c>
      <c r="M1110" s="148" t="str">
        <f t="shared" si="99"/>
        <v/>
      </c>
    </row>
    <row r="1111" spans="1:13" x14ac:dyDescent="0.3">
      <c r="A1111" s="149"/>
      <c r="B1111" s="149"/>
      <c r="C1111" s="149"/>
      <c r="D1111" s="149"/>
      <c r="E1111" s="149"/>
      <c r="F1111" s="149"/>
      <c r="G1111" s="162"/>
      <c r="H1111" s="146" t="str">
        <f t="shared" si="95"/>
        <v/>
      </c>
      <c r="I1111" s="161" t="str">
        <f t="shared" si="96"/>
        <v/>
      </c>
      <c r="J1111" s="160" t="str">
        <f>IFERROR(INDEX(下年标准成本!I:I,MATCH(C1111,下年标准成本!C:C,0),1),"")</f>
        <v/>
      </c>
      <c r="K1111" s="146" t="str">
        <f t="shared" si="97"/>
        <v/>
      </c>
      <c r="L1111" s="146" t="str">
        <f t="shared" si="98"/>
        <v/>
      </c>
      <c r="M1111" s="148" t="str">
        <f t="shared" si="99"/>
        <v/>
      </c>
    </row>
    <row r="1112" spans="1:13" x14ac:dyDescent="0.3">
      <c r="A1112" s="149"/>
      <c r="B1112" s="149"/>
      <c r="C1112" s="149"/>
      <c r="D1112" s="149"/>
      <c r="E1112" s="149"/>
      <c r="F1112" s="149"/>
      <c r="G1112" s="162"/>
      <c r="H1112" s="146" t="str">
        <f t="shared" si="95"/>
        <v/>
      </c>
      <c r="I1112" s="161" t="str">
        <f t="shared" si="96"/>
        <v/>
      </c>
      <c r="J1112" s="160" t="str">
        <f>IFERROR(INDEX(下年标准成本!I:I,MATCH(C1112,下年标准成本!C:C,0),1),"")</f>
        <v/>
      </c>
      <c r="K1112" s="146" t="str">
        <f t="shared" si="97"/>
        <v/>
      </c>
      <c r="L1112" s="146" t="str">
        <f t="shared" si="98"/>
        <v/>
      </c>
      <c r="M1112" s="148" t="str">
        <f t="shared" si="99"/>
        <v/>
      </c>
    </row>
    <row r="1113" spans="1:13" x14ac:dyDescent="0.3">
      <c r="A1113" s="149"/>
      <c r="B1113" s="149"/>
      <c r="C1113" s="149"/>
      <c r="D1113" s="149"/>
      <c r="E1113" s="149"/>
      <c r="F1113" s="149"/>
      <c r="G1113" s="162"/>
      <c r="H1113" s="146" t="str">
        <f t="shared" si="95"/>
        <v/>
      </c>
      <c r="I1113" s="161" t="str">
        <f t="shared" si="96"/>
        <v/>
      </c>
      <c r="J1113" s="160" t="str">
        <f>IFERROR(INDEX(下年标准成本!I:I,MATCH(C1113,下年标准成本!C:C,0),1),"")</f>
        <v/>
      </c>
      <c r="K1113" s="146" t="str">
        <f t="shared" si="97"/>
        <v/>
      </c>
      <c r="L1113" s="146" t="str">
        <f t="shared" si="98"/>
        <v/>
      </c>
      <c r="M1113" s="148" t="str">
        <f t="shared" si="99"/>
        <v/>
      </c>
    </row>
    <row r="1114" spans="1:13" x14ac:dyDescent="0.3">
      <c r="A1114" s="149"/>
      <c r="B1114" s="149"/>
      <c r="C1114" s="149"/>
      <c r="D1114" s="149"/>
      <c r="E1114" s="149"/>
      <c r="F1114" s="149"/>
      <c r="G1114" s="162"/>
      <c r="H1114" s="146" t="str">
        <f t="shared" si="95"/>
        <v/>
      </c>
      <c r="I1114" s="161" t="str">
        <f t="shared" si="96"/>
        <v/>
      </c>
      <c r="J1114" s="160" t="str">
        <f>IFERROR(INDEX(下年标准成本!I:I,MATCH(C1114,下年标准成本!C:C,0),1),"")</f>
        <v/>
      </c>
      <c r="K1114" s="146" t="str">
        <f t="shared" si="97"/>
        <v/>
      </c>
      <c r="L1114" s="146" t="str">
        <f t="shared" si="98"/>
        <v/>
      </c>
      <c r="M1114" s="148" t="str">
        <f t="shared" si="99"/>
        <v/>
      </c>
    </row>
    <row r="1115" spans="1:13" x14ac:dyDescent="0.3">
      <c r="A1115" s="149"/>
      <c r="B1115" s="149"/>
      <c r="C1115" s="149"/>
      <c r="D1115" s="149"/>
      <c r="E1115" s="149"/>
      <c r="F1115" s="149"/>
      <c r="G1115" s="162"/>
      <c r="H1115" s="146" t="str">
        <f t="shared" si="95"/>
        <v/>
      </c>
      <c r="I1115" s="161" t="str">
        <f t="shared" si="96"/>
        <v/>
      </c>
      <c r="J1115" s="160" t="str">
        <f>IFERROR(INDEX(下年标准成本!I:I,MATCH(C1115,下年标准成本!C:C,0),1),"")</f>
        <v/>
      </c>
      <c r="K1115" s="146" t="str">
        <f t="shared" si="97"/>
        <v/>
      </c>
      <c r="L1115" s="146" t="str">
        <f t="shared" si="98"/>
        <v/>
      </c>
      <c r="M1115" s="148" t="str">
        <f t="shared" si="99"/>
        <v/>
      </c>
    </row>
    <row r="1116" spans="1:13" x14ac:dyDescent="0.3">
      <c r="A1116" s="149"/>
      <c r="B1116" s="149"/>
      <c r="C1116" s="149"/>
      <c r="D1116" s="149"/>
      <c r="E1116" s="149"/>
      <c r="F1116" s="149"/>
      <c r="G1116" s="162"/>
      <c r="H1116" s="146" t="str">
        <f t="shared" si="95"/>
        <v/>
      </c>
      <c r="I1116" s="161" t="str">
        <f t="shared" si="96"/>
        <v/>
      </c>
      <c r="J1116" s="160" t="str">
        <f>IFERROR(INDEX(下年标准成本!I:I,MATCH(C1116,下年标准成本!C:C,0),1),"")</f>
        <v/>
      </c>
      <c r="K1116" s="146" t="str">
        <f t="shared" si="97"/>
        <v/>
      </c>
      <c r="L1116" s="146" t="str">
        <f t="shared" si="98"/>
        <v/>
      </c>
      <c r="M1116" s="148" t="str">
        <f t="shared" si="99"/>
        <v/>
      </c>
    </row>
    <row r="1117" spans="1:13" x14ac:dyDescent="0.3">
      <c r="A1117" s="149"/>
      <c r="B1117" s="149"/>
      <c r="C1117" s="149"/>
      <c r="D1117" s="149"/>
      <c r="E1117" s="149"/>
      <c r="F1117" s="149"/>
      <c r="G1117" s="162"/>
      <c r="H1117" s="146" t="str">
        <f t="shared" si="95"/>
        <v/>
      </c>
      <c r="I1117" s="161" t="str">
        <f t="shared" si="96"/>
        <v/>
      </c>
      <c r="J1117" s="160" t="str">
        <f>IFERROR(INDEX(下年标准成本!I:I,MATCH(C1117,下年标准成本!C:C,0),1),"")</f>
        <v/>
      </c>
      <c r="K1117" s="146" t="str">
        <f t="shared" si="97"/>
        <v/>
      </c>
      <c r="L1117" s="146" t="str">
        <f t="shared" si="98"/>
        <v/>
      </c>
      <c r="M1117" s="148" t="str">
        <f t="shared" si="99"/>
        <v/>
      </c>
    </row>
    <row r="1118" spans="1:13" x14ac:dyDescent="0.3">
      <c r="A1118" s="149"/>
      <c r="B1118" s="149"/>
      <c r="C1118" s="149"/>
      <c r="D1118" s="149"/>
      <c r="E1118" s="149"/>
      <c r="F1118" s="149"/>
      <c r="G1118" s="162"/>
      <c r="H1118" s="146" t="str">
        <f t="shared" si="95"/>
        <v/>
      </c>
      <c r="I1118" s="161" t="str">
        <f t="shared" si="96"/>
        <v/>
      </c>
      <c r="J1118" s="160" t="str">
        <f>IFERROR(INDEX(下年标准成本!I:I,MATCH(C1118,下年标准成本!C:C,0),1),"")</f>
        <v/>
      </c>
      <c r="K1118" s="146" t="str">
        <f t="shared" si="97"/>
        <v/>
      </c>
      <c r="L1118" s="146" t="str">
        <f t="shared" si="98"/>
        <v/>
      </c>
      <c r="M1118" s="148" t="str">
        <f t="shared" si="99"/>
        <v/>
      </c>
    </row>
    <row r="1119" spans="1:13" x14ac:dyDescent="0.3">
      <c r="A1119" s="149"/>
      <c r="B1119" s="149"/>
      <c r="C1119" s="149"/>
      <c r="D1119" s="149"/>
      <c r="E1119" s="149"/>
      <c r="F1119" s="149"/>
      <c r="G1119" s="162"/>
      <c r="H1119" s="146" t="str">
        <f t="shared" si="95"/>
        <v/>
      </c>
      <c r="I1119" s="161" t="str">
        <f t="shared" si="96"/>
        <v/>
      </c>
      <c r="J1119" s="160" t="str">
        <f>IFERROR(INDEX(下年标准成本!I:I,MATCH(C1119,下年标准成本!C:C,0),1),"")</f>
        <v/>
      </c>
      <c r="K1119" s="146" t="str">
        <f t="shared" si="97"/>
        <v/>
      </c>
      <c r="L1119" s="146" t="str">
        <f t="shared" si="98"/>
        <v/>
      </c>
      <c r="M1119" s="148" t="str">
        <f t="shared" si="99"/>
        <v/>
      </c>
    </row>
    <row r="1120" spans="1:13" x14ac:dyDescent="0.3">
      <c r="A1120" s="149"/>
      <c r="B1120" s="149"/>
      <c r="C1120" s="149"/>
      <c r="D1120" s="149"/>
      <c r="E1120" s="149"/>
      <c r="F1120" s="149"/>
      <c r="G1120" s="162"/>
      <c r="H1120" s="146" t="str">
        <f t="shared" si="95"/>
        <v/>
      </c>
      <c r="I1120" s="161" t="str">
        <f t="shared" si="96"/>
        <v/>
      </c>
      <c r="J1120" s="160" t="str">
        <f>IFERROR(INDEX(下年标准成本!I:I,MATCH(C1120,下年标准成本!C:C,0),1),"")</f>
        <v/>
      </c>
      <c r="K1120" s="146" t="str">
        <f t="shared" si="97"/>
        <v/>
      </c>
      <c r="L1120" s="146" t="str">
        <f t="shared" si="98"/>
        <v/>
      </c>
      <c r="M1120" s="148" t="str">
        <f t="shared" si="99"/>
        <v/>
      </c>
    </row>
    <row r="1121" spans="1:13" x14ac:dyDescent="0.3">
      <c r="A1121" s="149"/>
      <c r="B1121" s="149"/>
      <c r="C1121" s="149"/>
      <c r="D1121" s="149"/>
      <c r="E1121" s="149"/>
      <c r="F1121" s="149"/>
      <c r="G1121" s="162"/>
      <c r="H1121" s="146" t="str">
        <f t="shared" si="95"/>
        <v/>
      </c>
      <c r="I1121" s="161" t="str">
        <f t="shared" si="96"/>
        <v/>
      </c>
      <c r="J1121" s="160" t="str">
        <f>IFERROR(INDEX(下年标准成本!I:I,MATCH(C1121,下年标准成本!C:C,0),1),"")</f>
        <v/>
      </c>
      <c r="K1121" s="146" t="str">
        <f t="shared" si="97"/>
        <v/>
      </c>
      <c r="L1121" s="146" t="str">
        <f t="shared" si="98"/>
        <v/>
      </c>
      <c r="M1121" s="148" t="str">
        <f t="shared" si="99"/>
        <v/>
      </c>
    </row>
    <row r="1122" spans="1:13" x14ac:dyDescent="0.3">
      <c r="A1122" s="149"/>
      <c r="B1122" s="149"/>
      <c r="C1122" s="149"/>
      <c r="D1122" s="149"/>
      <c r="E1122" s="149"/>
      <c r="F1122" s="149"/>
      <c r="G1122" s="162"/>
      <c r="H1122" s="146" t="str">
        <f t="shared" si="95"/>
        <v/>
      </c>
      <c r="I1122" s="161" t="str">
        <f t="shared" si="96"/>
        <v/>
      </c>
      <c r="J1122" s="160" t="str">
        <f>IFERROR(INDEX(下年标准成本!I:I,MATCH(C1122,下年标准成本!C:C,0),1),"")</f>
        <v/>
      </c>
      <c r="K1122" s="146" t="str">
        <f t="shared" si="97"/>
        <v/>
      </c>
      <c r="L1122" s="146" t="str">
        <f t="shared" si="98"/>
        <v/>
      </c>
      <c r="M1122" s="148" t="str">
        <f t="shared" si="99"/>
        <v/>
      </c>
    </row>
    <row r="1123" spans="1:13" x14ac:dyDescent="0.3">
      <c r="A1123" s="149"/>
      <c r="B1123" s="149"/>
      <c r="C1123" s="149"/>
      <c r="D1123" s="149"/>
      <c r="E1123" s="149"/>
      <c r="F1123" s="149"/>
      <c r="G1123" s="162"/>
      <c r="H1123" s="146" t="str">
        <f t="shared" si="95"/>
        <v/>
      </c>
      <c r="I1123" s="161" t="str">
        <f t="shared" si="96"/>
        <v/>
      </c>
      <c r="J1123" s="160" t="str">
        <f>IFERROR(INDEX(下年标准成本!I:I,MATCH(C1123,下年标准成本!C:C,0),1),"")</f>
        <v/>
      </c>
      <c r="K1123" s="146" t="str">
        <f t="shared" si="97"/>
        <v/>
      </c>
      <c r="L1123" s="146" t="str">
        <f t="shared" si="98"/>
        <v/>
      </c>
      <c r="M1123" s="148" t="str">
        <f t="shared" si="99"/>
        <v/>
      </c>
    </row>
    <row r="1124" spans="1:13" x14ac:dyDescent="0.3">
      <c r="A1124" s="149"/>
      <c r="B1124" s="149"/>
      <c r="C1124" s="149"/>
      <c r="D1124" s="149"/>
      <c r="E1124" s="149"/>
      <c r="F1124" s="149"/>
      <c r="G1124" s="162"/>
      <c r="H1124" s="146" t="str">
        <f t="shared" si="95"/>
        <v/>
      </c>
      <c r="I1124" s="161" t="str">
        <f t="shared" si="96"/>
        <v/>
      </c>
      <c r="J1124" s="160" t="str">
        <f>IFERROR(INDEX(下年标准成本!I:I,MATCH(C1124,下年标准成本!C:C,0),1),"")</f>
        <v/>
      </c>
      <c r="K1124" s="146" t="str">
        <f t="shared" si="97"/>
        <v/>
      </c>
      <c r="L1124" s="146" t="str">
        <f t="shared" si="98"/>
        <v/>
      </c>
      <c r="M1124" s="148" t="str">
        <f t="shared" si="99"/>
        <v/>
      </c>
    </row>
    <row r="1125" spans="1:13" x14ac:dyDescent="0.3">
      <c r="A1125" s="149"/>
      <c r="B1125" s="149"/>
      <c r="C1125" s="149"/>
      <c r="D1125" s="149"/>
      <c r="E1125" s="149"/>
      <c r="F1125" s="149"/>
      <c r="G1125" s="162"/>
      <c r="H1125" s="146" t="str">
        <f t="shared" si="95"/>
        <v/>
      </c>
      <c r="I1125" s="161" t="str">
        <f t="shared" si="96"/>
        <v/>
      </c>
      <c r="J1125" s="160" t="str">
        <f>IFERROR(INDEX(下年标准成本!I:I,MATCH(C1125,下年标准成本!C:C,0),1),"")</f>
        <v/>
      </c>
      <c r="K1125" s="146" t="str">
        <f t="shared" si="97"/>
        <v/>
      </c>
      <c r="L1125" s="146" t="str">
        <f t="shared" si="98"/>
        <v/>
      </c>
      <c r="M1125" s="148" t="str">
        <f t="shared" si="99"/>
        <v/>
      </c>
    </row>
    <row r="1126" spans="1:13" x14ac:dyDescent="0.3">
      <c r="A1126" s="149"/>
      <c r="B1126" s="149"/>
      <c r="C1126" s="149"/>
      <c r="D1126" s="149"/>
      <c r="E1126" s="149"/>
      <c r="F1126" s="149"/>
      <c r="G1126" s="162"/>
      <c r="H1126" s="146" t="str">
        <f t="shared" si="95"/>
        <v/>
      </c>
      <c r="I1126" s="161" t="str">
        <f t="shared" si="96"/>
        <v/>
      </c>
      <c r="J1126" s="160" t="str">
        <f>IFERROR(INDEX(下年标准成本!I:I,MATCH(C1126,下年标准成本!C:C,0),1),"")</f>
        <v/>
      </c>
      <c r="K1126" s="146" t="str">
        <f t="shared" si="97"/>
        <v/>
      </c>
      <c r="L1126" s="146" t="str">
        <f t="shared" si="98"/>
        <v/>
      </c>
      <c r="M1126" s="148" t="str">
        <f t="shared" si="99"/>
        <v/>
      </c>
    </row>
    <row r="1127" spans="1:13" x14ac:dyDescent="0.3">
      <c r="A1127" s="149"/>
      <c r="B1127" s="149"/>
      <c r="C1127" s="149"/>
      <c r="D1127" s="149"/>
      <c r="E1127" s="149"/>
      <c r="F1127" s="149"/>
      <c r="G1127" s="162"/>
      <c r="H1127" s="146" t="str">
        <f t="shared" si="95"/>
        <v/>
      </c>
      <c r="I1127" s="161" t="str">
        <f t="shared" si="96"/>
        <v/>
      </c>
      <c r="J1127" s="160" t="str">
        <f>IFERROR(INDEX(下年标准成本!I:I,MATCH(C1127,下年标准成本!C:C,0),1),"")</f>
        <v/>
      </c>
      <c r="K1127" s="146" t="str">
        <f t="shared" si="97"/>
        <v/>
      </c>
      <c r="L1127" s="146" t="str">
        <f t="shared" si="98"/>
        <v/>
      </c>
      <c r="M1127" s="148" t="str">
        <f t="shared" si="99"/>
        <v/>
      </c>
    </row>
    <row r="1128" spans="1:13" x14ac:dyDescent="0.3">
      <c r="A1128" s="149"/>
      <c r="B1128" s="149"/>
      <c r="C1128" s="149"/>
      <c r="D1128" s="149"/>
      <c r="E1128" s="149"/>
      <c r="F1128" s="149"/>
      <c r="G1128" s="162"/>
      <c r="H1128" s="146" t="str">
        <f t="shared" si="95"/>
        <v/>
      </c>
      <c r="I1128" s="161" t="str">
        <f t="shared" si="96"/>
        <v/>
      </c>
      <c r="J1128" s="160" t="str">
        <f>IFERROR(INDEX(下年标准成本!I:I,MATCH(C1128,下年标准成本!C:C,0),1),"")</f>
        <v/>
      </c>
      <c r="K1128" s="146" t="str">
        <f t="shared" si="97"/>
        <v/>
      </c>
      <c r="L1128" s="146" t="str">
        <f t="shared" si="98"/>
        <v/>
      </c>
      <c r="M1128" s="148" t="str">
        <f t="shared" si="99"/>
        <v/>
      </c>
    </row>
    <row r="1129" spans="1:13" x14ac:dyDescent="0.3">
      <c r="A1129" s="149"/>
      <c r="B1129" s="149"/>
      <c r="C1129" s="149"/>
      <c r="D1129" s="149"/>
      <c r="E1129" s="149"/>
      <c r="F1129" s="149"/>
      <c r="G1129" s="162"/>
      <c r="H1129" s="146" t="str">
        <f t="shared" si="95"/>
        <v/>
      </c>
      <c r="I1129" s="161" t="str">
        <f t="shared" si="96"/>
        <v/>
      </c>
      <c r="J1129" s="160" t="str">
        <f>IFERROR(INDEX(下年标准成本!I:I,MATCH(C1129,下年标准成本!C:C,0),1),"")</f>
        <v/>
      </c>
      <c r="K1129" s="146" t="str">
        <f t="shared" si="97"/>
        <v/>
      </c>
      <c r="L1129" s="146" t="str">
        <f t="shared" si="98"/>
        <v/>
      </c>
      <c r="M1129" s="148" t="str">
        <f t="shared" si="99"/>
        <v/>
      </c>
    </row>
    <row r="1130" spans="1:13" x14ac:dyDescent="0.3">
      <c r="A1130" s="149"/>
      <c r="B1130" s="149"/>
      <c r="C1130" s="149"/>
      <c r="D1130" s="149"/>
      <c r="E1130" s="149"/>
      <c r="F1130" s="149"/>
      <c r="G1130" s="162"/>
      <c r="H1130" s="146" t="str">
        <f t="shared" si="95"/>
        <v/>
      </c>
      <c r="I1130" s="161" t="str">
        <f t="shared" si="96"/>
        <v/>
      </c>
      <c r="J1130" s="160" t="str">
        <f>IFERROR(INDEX(下年标准成本!I:I,MATCH(C1130,下年标准成本!C:C,0),1),"")</f>
        <v/>
      </c>
      <c r="K1130" s="146" t="str">
        <f t="shared" si="97"/>
        <v/>
      </c>
      <c r="L1130" s="146" t="str">
        <f t="shared" si="98"/>
        <v/>
      </c>
      <c r="M1130" s="148" t="str">
        <f t="shared" si="99"/>
        <v/>
      </c>
    </row>
    <row r="1131" spans="1:13" x14ac:dyDescent="0.3">
      <c r="A1131" s="149"/>
      <c r="B1131" s="149"/>
      <c r="C1131" s="149"/>
      <c r="D1131" s="149"/>
      <c r="E1131" s="149"/>
      <c r="F1131" s="149"/>
      <c r="G1131" s="162"/>
      <c r="H1131" s="146" t="str">
        <f t="shared" si="95"/>
        <v/>
      </c>
      <c r="I1131" s="161" t="str">
        <f t="shared" si="96"/>
        <v/>
      </c>
      <c r="J1131" s="160" t="str">
        <f>IFERROR(INDEX(下年标准成本!I:I,MATCH(C1131,下年标准成本!C:C,0),1),"")</f>
        <v/>
      </c>
      <c r="K1131" s="146" t="str">
        <f t="shared" si="97"/>
        <v/>
      </c>
      <c r="L1131" s="146" t="str">
        <f t="shared" si="98"/>
        <v/>
      </c>
      <c r="M1131" s="148" t="str">
        <f t="shared" si="99"/>
        <v/>
      </c>
    </row>
    <row r="1132" spans="1:13" x14ac:dyDescent="0.3">
      <c r="A1132" s="149"/>
      <c r="B1132" s="149"/>
      <c r="C1132" s="149"/>
      <c r="D1132" s="149"/>
      <c r="E1132" s="149"/>
      <c r="F1132" s="149"/>
      <c r="G1132" s="162"/>
      <c r="H1132" s="146" t="str">
        <f t="shared" si="95"/>
        <v/>
      </c>
      <c r="I1132" s="161" t="str">
        <f t="shared" si="96"/>
        <v/>
      </c>
      <c r="J1132" s="160" t="str">
        <f>IFERROR(INDEX(下年标准成本!I:I,MATCH(C1132,下年标准成本!C:C,0),1),"")</f>
        <v/>
      </c>
      <c r="K1132" s="146" t="str">
        <f t="shared" si="97"/>
        <v/>
      </c>
      <c r="L1132" s="146" t="str">
        <f t="shared" si="98"/>
        <v/>
      </c>
      <c r="M1132" s="148" t="str">
        <f t="shared" si="99"/>
        <v/>
      </c>
    </row>
    <row r="1133" spans="1:13" x14ac:dyDescent="0.3">
      <c r="A1133" s="149"/>
      <c r="B1133" s="149"/>
      <c r="C1133" s="149"/>
      <c r="D1133" s="149"/>
      <c r="E1133" s="149"/>
      <c r="F1133" s="149"/>
      <c r="G1133" s="162"/>
      <c r="H1133" s="146" t="str">
        <f t="shared" si="95"/>
        <v/>
      </c>
      <c r="I1133" s="161" t="str">
        <f t="shared" si="96"/>
        <v/>
      </c>
      <c r="J1133" s="160" t="str">
        <f>IFERROR(INDEX(下年标准成本!I:I,MATCH(C1133,下年标准成本!C:C,0),1),"")</f>
        <v/>
      </c>
      <c r="K1133" s="146" t="str">
        <f t="shared" si="97"/>
        <v/>
      </c>
      <c r="L1133" s="146" t="str">
        <f t="shared" si="98"/>
        <v/>
      </c>
      <c r="M1133" s="148" t="str">
        <f t="shared" si="99"/>
        <v/>
      </c>
    </row>
    <row r="1134" spans="1:13" x14ac:dyDescent="0.3">
      <c r="A1134" s="149"/>
      <c r="B1134" s="149"/>
      <c r="C1134" s="149"/>
      <c r="D1134" s="149"/>
      <c r="E1134" s="149"/>
      <c r="F1134" s="149"/>
      <c r="G1134" s="162"/>
      <c r="H1134" s="146" t="str">
        <f t="shared" si="95"/>
        <v/>
      </c>
      <c r="I1134" s="161" t="str">
        <f t="shared" si="96"/>
        <v/>
      </c>
      <c r="J1134" s="160" t="str">
        <f>IFERROR(INDEX(下年标准成本!I:I,MATCH(C1134,下年标准成本!C:C,0),1),"")</f>
        <v/>
      </c>
      <c r="K1134" s="146" t="str">
        <f t="shared" si="97"/>
        <v/>
      </c>
      <c r="L1134" s="146" t="str">
        <f t="shared" si="98"/>
        <v/>
      </c>
      <c r="M1134" s="148" t="str">
        <f t="shared" si="99"/>
        <v/>
      </c>
    </row>
    <row r="1135" spans="1:13" x14ac:dyDescent="0.3">
      <c r="A1135" s="149"/>
      <c r="B1135" s="149"/>
      <c r="C1135" s="149"/>
      <c r="D1135" s="149"/>
      <c r="E1135" s="149"/>
      <c r="F1135" s="149"/>
      <c r="G1135" s="162"/>
      <c r="H1135" s="146" t="str">
        <f t="shared" si="95"/>
        <v/>
      </c>
      <c r="I1135" s="161" t="str">
        <f t="shared" si="96"/>
        <v/>
      </c>
      <c r="J1135" s="160" t="str">
        <f>IFERROR(INDEX(下年标准成本!I:I,MATCH(C1135,下年标准成本!C:C,0),1),"")</f>
        <v/>
      </c>
      <c r="K1135" s="146" t="str">
        <f t="shared" si="97"/>
        <v/>
      </c>
      <c r="L1135" s="146" t="str">
        <f t="shared" si="98"/>
        <v/>
      </c>
      <c r="M1135" s="148" t="str">
        <f t="shared" si="99"/>
        <v/>
      </c>
    </row>
    <row r="1136" spans="1:13" x14ac:dyDescent="0.3">
      <c r="A1136" s="149"/>
      <c r="B1136" s="149"/>
      <c r="C1136" s="149"/>
      <c r="D1136" s="149"/>
      <c r="E1136" s="149"/>
      <c r="F1136" s="149"/>
      <c r="G1136" s="162"/>
      <c r="H1136" s="146" t="str">
        <f t="shared" si="95"/>
        <v/>
      </c>
      <c r="I1136" s="161" t="str">
        <f t="shared" si="96"/>
        <v/>
      </c>
      <c r="J1136" s="160" t="str">
        <f>IFERROR(INDEX(下年标准成本!I:I,MATCH(C1136,下年标准成本!C:C,0),1),"")</f>
        <v/>
      </c>
      <c r="K1136" s="146" t="str">
        <f t="shared" si="97"/>
        <v/>
      </c>
      <c r="L1136" s="146" t="str">
        <f t="shared" si="98"/>
        <v/>
      </c>
      <c r="M1136" s="148" t="str">
        <f t="shared" si="99"/>
        <v/>
      </c>
    </row>
    <row r="1137" spans="1:13" x14ac:dyDescent="0.3">
      <c r="A1137" s="149"/>
      <c r="B1137" s="149"/>
      <c r="C1137" s="149"/>
      <c r="D1137" s="149"/>
      <c r="E1137" s="149"/>
      <c r="F1137" s="149"/>
      <c r="G1137" s="162"/>
      <c r="H1137" s="146" t="str">
        <f t="shared" si="95"/>
        <v/>
      </c>
      <c r="I1137" s="161" t="str">
        <f t="shared" si="96"/>
        <v/>
      </c>
      <c r="J1137" s="160" t="str">
        <f>IFERROR(INDEX(下年标准成本!I:I,MATCH(C1137,下年标准成本!C:C,0),1),"")</f>
        <v/>
      </c>
      <c r="K1137" s="146" t="str">
        <f t="shared" si="97"/>
        <v/>
      </c>
      <c r="L1137" s="146" t="str">
        <f t="shared" si="98"/>
        <v/>
      </c>
      <c r="M1137" s="148" t="str">
        <f t="shared" si="99"/>
        <v/>
      </c>
    </row>
    <row r="1138" spans="1:13" x14ac:dyDescent="0.3">
      <c r="A1138" s="149"/>
      <c r="B1138" s="149"/>
      <c r="C1138" s="149"/>
      <c r="D1138" s="149"/>
      <c r="E1138" s="149"/>
      <c r="F1138" s="149"/>
      <c r="G1138" s="162"/>
      <c r="H1138" s="146" t="str">
        <f t="shared" si="95"/>
        <v/>
      </c>
      <c r="I1138" s="161" t="str">
        <f t="shared" si="96"/>
        <v/>
      </c>
      <c r="J1138" s="160" t="str">
        <f>IFERROR(INDEX(下年标准成本!I:I,MATCH(C1138,下年标准成本!C:C,0),1),"")</f>
        <v/>
      </c>
      <c r="K1138" s="146" t="str">
        <f t="shared" si="97"/>
        <v/>
      </c>
      <c r="L1138" s="146" t="str">
        <f t="shared" si="98"/>
        <v/>
      </c>
      <c r="M1138" s="148" t="str">
        <f t="shared" si="99"/>
        <v/>
      </c>
    </row>
    <row r="1139" spans="1:13" x14ac:dyDescent="0.3">
      <c r="A1139" s="149"/>
      <c r="B1139" s="149"/>
      <c r="C1139" s="149"/>
      <c r="D1139" s="149"/>
      <c r="E1139" s="149"/>
      <c r="F1139" s="149"/>
      <c r="G1139" s="162"/>
      <c r="H1139" s="146" t="str">
        <f t="shared" si="95"/>
        <v/>
      </c>
      <c r="I1139" s="161" t="str">
        <f t="shared" si="96"/>
        <v/>
      </c>
      <c r="J1139" s="160" t="str">
        <f>IFERROR(INDEX(下年标准成本!I:I,MATCH(C1139,下年标准成本!C:C,0),1),"")</f>
        <v/>
      </c>
      <c r="K1139" s="146" t="str">
        <f t="shared" si="97"/>
        <v/>
      </c>
      <c r="L1139" s="146" t="str">
        <f t="shared" si="98"/>
        <v/>
      </c>
      <c r="M1139" s="148" t="str">
        <f t="shared" si="99"/>
        <v/>
      </c>
    </row>
    <row r="1140" spans="1:13" x14ac:dyDescent="0.3">
      <c r="A1140" s="149"/>
      <c r="B1140" s="149"/>
      <c r="C1140" s="149"/>
      <c r="D1140" s="149"/>
      <c r="E1140" s="149"/>
      <c r="F1140" s="149"/>
      <c r="G1140" s="162"/>
      <c r="H1140" s="146" t="str">
        <f t="shared" si="95"/>
        <v/>
      </c>
      <c r="I1140" s="161" t="str">
        <f t="shared" si="96"/>
        <v/>
      </c>
      <c r="J1140" s="160" t="str">
        <f>IFERROR(INDEX(下年标准成本!I:I,MATCH(C1140,下年标准成本!C:C,0),1),"")</f>
        <v/>
      </c>
      <c r="K1140" s="146" t="str">
        <f t="shared" si="97"/>
        <v/>
      </c>
      <c r="L1140" s="146" t="str">
        <f t="shared" si="98"/>
        <v/>
      </c>
      <c r="M1140" s="148" t="str">
        <f t="shared" si="99"/>
        <v/>
      </c>
    </row>
    <row r="1141" spans="1:13" x14ac:dyDescent="0.3">
      <c r="A1141" s="149"/>
      <c r="B1141" s="149"/>
      <c r="C1141" s="149"/>
      <c r="D1141" s="149"/>
      <c r="E1141" s="149"/>
      <c r="F1141" s="149"/>
      <c r="G1141" s="162"/>
      <c r="H1141" s="146" t="str">
        <f t="shared" si="95"/>
        <v/>
      </c>
      <c r="I1141" s="161" t="str">
        <f t="shared" si="96"/>
        <v/>
      </c>
      <c r="J1141" s="160" t="str">
        <f>IFERROR(INDEX(下年标准成本!I:I,MATCH(C1141,下年标准成本!C:C,0),1),"")</f>
        <v/>
      </c>
      <c r="K1141" s="146" t="str">
        <f t="shared" si="97"/>
        <v/>
      </c>
      <c r="L1141" s="146" t="str">
        <f t="shared" si="98"/>
        <v/>
      </c>
      <c r="M1141" s="148" t="str">
        <f t="shared" si="99"/>
        <v/>
      </c>
    </row>
    <row r="1142" spans="1:13" x14ac:dyDescent="0.3">
      <c r="A1142" s="149"/>
      <c r="B1142" s="149"/>
      <c r="C1142" s="149"/>
      <c r="D1142" s="149"/>
      <c r="E1142" s="149"/>
      <c r="F1142" s="149"/>
      <c r="G1142" s="162"/>
      <c r="H1142" s="146" t="str">
        <f t="shared" si="95"/>
        <v/>
      </c>
      <c r="I1142" s="161" t="str">
        <f t="shared" si="96"/>
        <v/>
      </c>
      <c r="J1142" s="160" t="str">
        <f>IFERROR(INDEX(下年标准成本!I:I,MATCH(C1142,下年标准成本!C:C,0),1),"")</f>
        <v/>
      </c>
      <c r="K1142" s="146" t="str">
        <f t="shared" si="97"/>
        <v/>
      </c>
      <c r="L1142" s="146" t="str">
        <f t="shared" si="98"/>
        <v/>
      </c>
      <c r="M1142" s="148" t="str">
        <f t="shared" si="99"/>
        <v/>
      </c>
    </row>
    <row r="1143" spans="1:13" x14ac:dyDescent="0.3">
      <c r="A1143" s="149"/>
      <c r="B1143" s="149"/>
      <c r="C1143" s="149"/>
      <c r="D1143" s="149"/>
      <c r="E1143" s="149"/>
      <c r="F1143" s="149"/>
      <c r="G1143" s="162"/>
      <c r="H1143" s="146" t="str">
        <f t="shared" si="95"/>
        <v/>
      </c>
      <c r="I1143" s="161" t="str">
        <f t="shared" si="96"/>
        <v/>
      </c>
      <c r="J1143" s="160" t="str">
        <f>IFERROR(INDEX(下年标准成本!I:I,MATCH(C1143,下年标准成本!C:C,0),1),"")</f>
        <v/>
      </c>
      <c r="K1143" s="146" t="str">
        <f t="shared" si="97"/>
        <v/>
      </c>
      <c r="L1143" s="146" t="str">
        <f t="shared" si="98"/>
        <v/>
      </c>
      <c r="M1143" s="148" t="str">
        <f t="shared" si="99"/>
        <v/>
      </c>
    </row>
    <row r="1144" spans="1:13" x14ac:dyDescent="0.3">
      <c r="A1144" s="149"/>
      <c r="B1144" s="149"/>
      <c r="C1144" s="149"/>
      <c r="D1144" s="149"/>
      <c r="E1144" s="149"/>
      <c r="F1144" s="149"/>
      <c r="G1144" s="162"/>
      <c r="H1144" s="146" t="str">
        <f t="shared" si="95"/>
        <v/>
      </c>
      <c r="I1144" s="161" t="str">
        <f t="shared" si="96"/>
        <v/>
      </c>
      <c r="J1144" s="160" t="str">
        <f>IFERROR(INDEX(下年标准成本!I:I,MATCH(C1144,下年标准成本!C:C,0),1),"")</f>
        <v/>
      </c>
      <c r="K1144" s="146" t="str">
        <f t="shared" si="97"/>
        <v/>
      </c>
      <c r="L1144" s="146" t="str">
        <f t="shared" si="98"/>
        <v/>
      </c>
      <c r="M1144" s="148" t="str">
        <f t="shared" si="99"/>
        <v/>
      </c>
    </row>
    <row r="1145" spans="1:13" x14ac:dyDescent="0.3">
      <c r="A1145" s="149"/>
      <c r="B1145" s="149"/>
      <c r="C1145" s="149"/>
      <c r="D1145" s="149"/>
      <c r="E1145" s="149"/>
      <c r="F1145" s="149"/>
      <c r="G1145" s="162"/>
      <c r="H1145" s="146" t="str">
        <f t="shared" si="95"/>
        <v/>
      </c>
      <c r="I1145" s="161" t="str">
        <f t="shared" si="96"/>
        <v/>
      </c>
      <c r="J1145" s="160" t="str">
        <f>IFERROR(INDEX(下年标准成本!I:I,MATCH(C1145,下年标准成本!C:C,0),1),"")</f>
        <v/>
      </c>
      <c r="K1145" s="146" t="str">
        <f t="shared" si="97"/>
        <v/>
      </c>
      <c r="L1145" s="146" t="str">
        <f t="shared" si="98"/>
        <v/>
      </c>
      <c r="M1145" s="148" t="str">
        <f t="shared" si="99"/>
        <v/>
      </c>
    </row>
    <row r="1146" spans="1:13" x14ac:dyDescent="0.3">
      <c r="A1146" s="149"/>
      <c r="B1146" s="149"/>
      <c r="C1146" s="149"/>
      <c r="D1146" s="149"/>
      <c r="E1146" s="149"/>
      <c r="F1146" s="149"/>
      <c r="G1146" s="162"/>
      <c r="H1146" s="146" t="str">
        <f t="shared" si="95"/>
        <v/>
      </c>
      <c r="I1146" s="161" t="str">
        <f t="shared" si="96"/>
        <v/>
      </c>
      <c r="J1146" s="160" t="str">
        <f>IFERROR(INDEX(下年标准成本!I:I,MATCH(C1146,下年标准成本!C:C,0),1),"")</f>
        <v/>
      </c>
      <c r="K1146" s="146" t="str">
        <f t="shared" si="97"/>
        <v/>
      </c>
      <c r="L1146" s="146" t="str">
        <f t="shared" si="98"/>
        <v/>
      </c>
      <c r="M1146" s="148" t="str">
        <f t="shared" si="99"/>
        <v/>
      </c>
    </row>
    <row r="1147" spans="1:13" x14ac:dyDescent="0.3">
      <c r="A1147" s="149"/>
      <c r="B1147" s="149"/>
      <c r="C1147" s="149"/>
      <c r="D1147" s="149"/>
      <c r="E1147" s="149"/>
      <c r="F1147" s="149"/>
      <c r="G1147" s="162"/>
      <c r="H1147" s="146" t="str">
        <f t="shared" si="95"/>
        <v/>
      </c>
      <c r="I1147" s="161" t="str">
        <f t="shared" si="96"/>
        <v/>
      </c>
      <c r="J1147" s="160" t="str">
        <f>IFERROR(INDEX(下年标准成本!I:I,MATCH(C1147,下年标准成本!C:C,0),1),"")</f>
        <v/>
      </c>
      <c r="K1147" s="146" t="str">
        <f t="shared" si="97"/>
        <v/>
      </c>
      <c r="L1147" s="146" t="str">
        <f t="shared" si="98"/>
        <v/>
      </c>
      <c r="M1147" s="148" t="str">
        <f t="shared" si="99"/>
        <v/>
      </c>
    </row>
    <row r="1148" spans="1:13" x14ac:dyDescent="0.3">
      <c r="A1148" s="149"/>
      <c r="B1148" s="149"/>
      <c r="C1148" s="149"/>
      <c r="D1148" s="149"/>
      <c r="E1148" s="149"/>
      <c r="F1148" s="149"/>
      <c r="G1148" s="162"/>
      <c r="H1148" s="146" t="str">
        <f t="shared" si="95"/>
        <v/>
      </c>
      <c r="I1148" s="161" t="str">
        <f t="shared" si="96"/>
        <v/>
      </c>
      <c r="J1148" s="160" t="str">
        <f>IFERROR(INDEX(下年标准成本!I:I,MATCH(C1148,下年标准成本!C:C,0),1),"")</f>
        <v/>
      </c>
      <c r="K1148" s="146" t="str">
        <f t="shared" si="97"/>
        <v/>
      </c>
      <c r="L1148" s="146" t="str">
        <f t="shared" si="98"/>
        <v/>
      </c>
      <c r="M1148" s="148" t="str">
        <f t="shared" si="99"/>
        <v/>
      </c>
    </row>
    <row r="1149" spans="1:13" x14ac:dyDescent="0.3">
      <c r="A1149" s="149"/>
      <c r="B1149" s="149"/>
      <c r="C1149" s="149"/>
      <c r="D1149" s="149"/>
      <c r="E1149" s="149"/>
      <c r="F1149" s="149"/>
      <c r="G1149" s="162"/>
      <c r="H1149" s="146" t="str">
        <f t="shared" si="95"/>
        <v/>
      </c>
      <c r="I1149" s="161" t="str">
        <f t="shared" si="96"/>
        <v/>
      </c>
      <c r="J1149" s="160" t="str">
        <f>IFERROR(INDEX(下年标准成本!I:I,MATCH(C1149,下年标准成本!C:C,0),1),"")</f>
        <v/>
      </c>
      <c r="K1149" s="146" t="str">
        <f t="shared" si="97"/>
        <v/>
      </c>
      <c r="L1149" s="146" t="str">
        <f t="shared" si="98"/>
        <v/>
      </c>
      <c r="M1149" s="148" t="str">
        <f t="shared" si="99"/>
        <v/>
      </c>
    </row>
    <row r="1150" spans="1:13" x14ac:dyDescent="0.3">
      <c r="A1150" s="149"/>
      <c r="B1150" s="149"/>
      <c r="C1150" s="149"/>
      <c r="D1150" s="149"/>
      <c r="E1150" s="149"/>
      <c r="F1150" s="149"/>
      <c r="G1150" s="162"/>
      <c r="H1150" s="146" t="str">
        <f t="shared" si="95"/>
        <v/>
      </c>
      <c r="I1150" s="161" t="str">
        <f t="shared" si="96"/>
        <v/>
      </c>
      <c r="J1150" s="160" t="str">
        <f>IFERROR(INDEX(下年标准成本!I:I,MATCH(C1150,下年标准成本!C:C,0),1),"")</f>
        <v/>
      </c>
      <c r="K1150" s="146" t="str">
        <f t="shared" si="97"/>
        <v/>
      </c>
      <c r="L1150" s="146" t="str">
        <f t="shared" si="98"/>
        <v/>
      </c>
      <c r="M1150" s="148" t="str">
        <f t="shared" si="99"/>
        <v/>
      </c>
    </row>
    <row r="1151" spans="1:13" x14ac:dyDescent="0.3">
      <c r="A1151" s="149"/>
      <c r="B1151" s="149"/>
      <c r="C1151" s="149"/>
      <c r="D1151" s="149"/>
      <c r="E1151" s="149"/>
      <c r="F1151" s="149"/>
      <c r="G1151" s="162"/>
      <c r="H1151" s="146" t="str">
        <f t="shared" si="95"/>
        <v/>
      </c>
      <c r="I1151" s="161" t="str">
        <f t="shared" si="96"/>
        <v/>
      </c>
      <c r="J1151" s="160" t="str">
        <f>IFERROR(INDEX(下年标准成本!I:I,MATCH(C1151,下年标准成本!C:C,0),1),"")</f>
        <v/>
      </c>
      <c r="K1151" s="146" t="str">
        <f t="shared" si="97"/>
        <v/>
      </c>
      <c r="L1151" s="146" t="str">
        <f t="shared" si="98"/>
        <v/>
      </c>
      <c r="M1151" s="148" t="str">
        <f t="shared" si="99"/>
        <v/>
      </c>
    </row>
    <row r="1152" spans="1:13" x14ac:dyDescent="0.3">
      <c r="A1152" s="149"/>
      <c r="B1152" s="149"/>
      <c r="C1152" s="149"/>
      <c r="D1152" s="149"/>
      <c r="E1152" s="149"/>
      <c r="F1152" s="149"/>
      <c r="G1152" s="162"/>
      <c r="H1152" s="146" t="str">
        <f t="shared" si="95"/>
        <v/>
      </c>
      <c r="I1152" s="161" t="str">
        <f t="shared" si="96"/>
        <v/>
      </c>
      <c r="J1152" s="160" t="str">
        <f>IFERROR(INDEX(下年标准成本!I:I,MATCH(C1152,下年标准成本!C:C,0),1),"")</f>
        <v/>
      </c>
      <c r="K1152" s="146" t="str">
        <f t="shared" si="97"/>
        <v/>
      </c>
      <c r="L1152" s="146" t="str">
        <f t="shared" si="98"/>
        <v/>
      </c>
      <c r="M1152" s="148" t="str">
        <f t="shared" si="99"/>
        <v/>
      </c>
    </row>
    <row r="1153" spans="1:13" x14ac:dyDescent="0.3">
      <c r="A1153" s="149"/>
      <c r="B1153" s="149"/>
      <c r="C1153" s="149"/>
      <c r="D1153" s="149"/>
      <c r="E1153" s="149"/>
      <c r="F1153" s="149"/>
      <c r="G1153" s="162"/>
      <c r="H1153" s="146" t="str">
        <f t="shared" si="95"/>
        <v/>
      </c>
      <c r="I1153" s="161" t="str">
        <f t="shared" si="96"/>
        <v/>
      </c>
      <c r="J1153" s="160" t="str">
        <f>IFERROR(INDEX(下年标准成本!I:I,MATCH(C1153,下年标准成本!C:C,0),1),"")</f>
        <v/>
      </c>
      <c r="K1153" s="146" t="str">
        <f t="shared" si="97"/>
        <v/>
      </c>
      <c r="L1153" s="146" t="str">
        <f t="shared" si="98"/>
        <v/>
      </c>
      <c r="M1153" s="148" t="str">
        <f t="shared" si="99"/>
        <v/>
      </c>
    </row>
    <row r="1154" spans="1:13" x14ac:dyDescent="0.3">
      <c r="A1154" s="149"/>
      <c r="B1154" s="149"/>
      <c r="C1154" s="149"/>
      <c r="D1154" s="149"/>
      <c r="E1154" s="149"/>
      <c r="F1154" s="149"/>
      <c r="G1154" s="162"/>
      <c r="H1154" s="146" t="str">
        <f t="shared" si="95"/>
        <v/>
      </c>
      <c r="I1154" s="161" t="str">
        <f t="shared" si="96"/>
        <v/>
      </c>
      <c r="J1154" s="160" t="str">
        <f>IFERROR(INDEX(下年标准成本!I:I,MATCH(C1154,下年标准成本!C:C,0),1),"")</f>
        <v/>
      </c>
      <c r="K1154" s="146" t="str">
        <f t="shared" si="97"/>
        <v/>
      </c>
      <c r="L1154" s="146" t="str">
        <f t="shared" si="98"/>
        <v/>
      </c>
      <c r="M1154" s="148" t="str">
        <f t="shared" si="99"/>
        <v/>
      </c>
    </row>
    <row r="1155" spans="1:13" x14ac:dyDescent="0.3">
      <c r="A1155" s="149"/>
      <c r="B1155" s="149"/>
      <c r="C1155" s="149"/>
      <c r="D1155" s="149"/>
      <c r="E1155" s="149"/>
      <c r="F1155" s="149"/>
      <c r="G1155" s="162"/>
      <c r="H1155" s="146" t="str">
        <f t="shared" si="95"/>
        <v/>
      </c>
      <c r="I1155" s="161" t="str">
        <f t="shared" si="96"/>
        <v/>
      </c>
      <c r="J1155" s="160" t="str">
        <f>IFERROR(INDEX(下年标准成本!I:I,MATCH(C1155,下年标准成本!C:C,0),1),"")</f>
        <v/>
      </c>
      <c r="K1155" s="146" t="str">
        <f t="shared" si="97"/>
        <v/>
      </c>
      <c r="L1155" s="146" t="str">
        <f t="shared" si="98"/>
        <v/>
      </c>
      <c r="M1155" s="148" t="str">
        <f t="shared" si="99"/>
        <v/>
      </c>
    </row>
    <row r="1156" spans="1:13" x14ac:dyDescent="0.3">
      <c r="A1156" s="149"/>
      <c r="B1156" s="149"/>
      <c r="C1156" s="149"/>
      <c r="D1156" s="149"/>
      <c r="E1156" s="149"/>
      <c r="F1156" s="149"/>
      <c r="G1156" s="162"/>
      <c r="H1156" s="146" t="str">
        <f t="shared" si="95"/>
        <v/>
      </c>
      <c r="I1156" s="161" t="str">
        <f t="shared" si="96"/>
        <v/>
      </c>
      <c r="J1156" s="160" t="str">
        <f>IFERROR(INDEX(下年标准成本!I:I,MATCH(C1156,下年标准成本!C:C,0),1),"")</f>
        <v/>
      </c>
      <c r="K1156" s="146" t="str">
        <f t="shared" si="97"/>
        <v/>
      </c>
      <c r="L1156" s="146" t="str">
        <f t="shared" si="98"/>
        <v/>
      </c>
      <c r="M1156" s="148" t="str">
        <f t="shared" si="99"/>
        <v/>
      </c>
    </row>
    <row r="1157" spans="1:13" x14ac:dyDescent="0.3">
      <c r="A1157" s="149"/>
      <c r="B1157" s="149"/>
      <c r="C1157" s="149"/>
      <c r="D1157" s="149"/>
      <c r="E1157" s="149"/>
      <c r="F1157" s="149"/>
      <c r="G1157" s="162"/>
      <c r="H1157" s="146" t="str">
        <f t="shared" si="95"/>
        <v/>
      </c>
      <c r="I1157" s="161" t="str">
        <f t="shared" si="96"/>
        <v/>
      </c>
      <c r="J1157" s="160" t="str">
        <f>IFERROR(INDEX(下年标准成本!I:I,MATCH(C1157,下年标准成本!C:C,0),1),"")</f>
        <v/>
      </c>
      <c r="K1157" s="146" t="str">
        <f t="shared" si="97"/>
        <v/>
      </c>
      <c r="L1157" s="146" t="str">
        <f t="shared" si="98"/>
        <v/>
      </c>
      <c r="M1157" s="148" t="str">
        <f t="shared" si="99"/>
        <v/>
      </c>
    </row>
    <row r="1158" spans="1:13" x14ac:dyDescent="0.3">
      <c r="A1158" s="149"/>
      <c r="B1158" s="149"/>
      <c r="C1158" s="149"/>
      <c r="D1158" s="149"/>
      <c r="E1158" s="149"/>
      <c r="F1158" s="149"/>
      <c r="G1158" s="162"/>
      <c r="H1158" s="146" t="str">
        <f t="shared" si="95"/>
        <v/>
      </c>
      <c r="I1158" s="161" t="str">
        <f t="shared" si="96"/>
        <v/>
      </c>
      <c r="J1158" s="160" t="str">
        <f>IFERROR(INDEX(下年标准成本!I:I,MATCH(C1158,下年标准成本!C:C,0),1),"")</f>
        <v/>
      </c>
      <c r="K1158" s="146" t="str">
        <f t="shared" si="97"/>
        <v/>
      </c>
      <c r="L1158" s="146" t="str">
        <f t="shared" si="98"/>
        <v/>
      </c>
      <c r="M1158" s="148" t="str">
        <f t="shared" si="99"/>
        <v/>
      </c>
    </row>
    <row r="1159" spans="1:13" x14ac:dyDescent="0.3">
      <c r="A1159" s="149"/>
      <c r="B1159" s="149"/>
      <c r="C1159" s="149"/>
      <c r="D1159" s="149"/>
      <c r="E1159" s="149"/>
      <c r="F1159" s="149"/>
      <c r="G1159" s="162"/>
      <c r="H1159" s="146" t="str">
        <f t="shared" si="95"/>
        <v/>
      </c>
      <c r="I1159" s="161" t="str">
        <f t="shared" si="96"/>
        <v/>
      </c>
      <c r="J1159" s="160" t="str">
        <f>IFERROR(INDEX(下年标准成本!I:I,MATCH(C1159,下年标准成本!C:C,0),1),"")</f>
        <v/>
      </c>
      <c r="K1159" s="146" t="str">
        <f t="shared" si="97"/>
        <v/>
      </c>
      <c r="L1159" s="146" t="str">
        <f t="shared" si="98"/>
        <v/>
      </c>
      <c r="M1159" s="148" t="str">
        <f t="shared" si="99"/>
        <v/>
      </c>
    </row>
    <row r="1160" spans="1:13" x14ac:dyDescent="0.3">
      <c r="A1160" s="149"/>
      <c r="B1160" s="149"/>
      <c r="C1160" s="149"/>
      <c r="D1160" s="149"/>
      <c r="E1160" s="149"/>
      <c r="F1160" s="149"/>
      <c r="G1160" s="162"/>
      <c r="H1160" s="146" t="str">
        <f t="shared" si="95"/>
        <v/>
      </c>
      <c r="I1160" s="161" t="str">
        <f t="shared" si="96"/>
        <v/>
      </c>
      <c r="J1160" s="160" t="str">
        <f>IFERROR(INDEX(下年标准成本!I:I,MATCH(C1160,下年标准成本!C:C,0),1),"")</f>
        <v/>
      </c>
      <c r="K1160" s="146" t="str">
        <f t="shared" si="97"/>
        <v/>
      </c>
      <c r="L1160" s="146" t="str">
        <f t="shared" si="98"/>
        <v/>
      </c>
      <c r="M1160" s="148" t="str">
        <f t="shared" si="99"/>
        <v/>
      </c>
    </row>
    <row r="1161" spans="1:13" x14ac:dyDescent="0.3">
      <c r="A1161" s="149"/>
      <c r="B1161" s="149"/>
      <c r="C1161" s="149"/>
      <c r="D1161" s="149"/>
      <c r="E1161" s="149"/>
      <c r="F1161" s="149"/>
      <c r="G1161" s="162"/>
      <c r="H1161" s="146" t="str">
        <f t="shared" si="95"/>
        <v/>
      </c>
      <c r="I1161" s="161" t="str">
        <f t="shared" si="96"/>
        <v/>
      </c>
      <c r="J1161" s="160" t="str">
        <f>IFERROR(INDEX(下年标准成本!I:I,MATCH(C1161,下年标准成本!C:C,0),1),"")</f>
        <v/>
      </c>
      <c r="K1161" s="146" t="str">
        <f t="shared" si="97"/>
        <v/>
      </c>
      <c r="L1161" s="146" t="str">
        <f t="shared" si="98"/>
        <v/>
      </c>
      <c r="M1161" s="148" t="str">
        <f t="shared" si="99"/>
        <v/>
      </c>
    </row>
    <row r="1162" spans="1:13" x14ac:dyDescent="0.3">
      <c r="A1162" s="149"/>
      <c r="B1162" s="149"/>
      <c r="C1162" s="149"/>
      <c r="D1162" s="149"/>
      <c r="E1162" s="149"/>
      <c r="F1162" s="149"/>
      <c r="G1162" s="162"/>
      <c r="H1162" s="146" t="str">
        <f t="shared" ref="H1162:H1200" si="100">IFERROR(F1162/E1162,"")</f>
        <v/>
      </c>
      <c r="I1162" s="161" t="str">
        <f t="shared" ref="I1162:I1200" si="101">IFERROR(H1162*(1+G1162),"")</f>
        <v/>
      </c>
      <c r="J1162" s="160" t="str">
        <f>IFERROR(INDEX(下年标准成本!I:I,MATCH(C1162,下年标准成本!C:C,0),1),"")</f>
        <v/>
      </c>
      <c r="K1162" s="146" t="str">
        <f t="shared" ref="K1162:K1200" si="102">IFERROR(E1162*J1162,"")</f>
        <v/>
      </c>
      <c r="L1162" s="146" t="str">
        <f t="shared" ref="L1162:L1200" si="103">IFERROR(F1162-K1162,"")</f>
        <v/>
      </c>
      <c r="M1162" s="148" t="str">
        <f t="shared" ref="M1162:M1200" si="104">IFERROR(L1162/F1162,"")</f>
        <v/>
      </c>
    </row>
    <row r="1163" spans="1:13" x14ac:dyDescent="0.3">
      <c r="A1163" s="149"/>
      <c r="B1163" s="149"/>
      <c r="C1163" s="149"/>
      <c r="D1163" s="149"/>
      <c r="E1163" s="149"/>
      <c r="F1163" s="149"/>
      <c r="G1163" s="162"/>
      <c r="H1163" s="146" t="str">
        <f t="shared" si="100"/>
        <v/>
      </c>
      <c r="I1163" s="161" t="str">
        <f t="shared" si="101"/>
        <v/>
      </c>
      <c r="J1163" s="160" t="str">
        <f>IFERROR(INDEX(下年标准成本!I:I,MATCH(C1163,下年标准成本!C:C,0),1),"")</f>
        <v/>
      </c>
      <c r="K1163" s="146" t="str">
        <f t="shared" si="102"/>
        <v/>
      </c>
      <c r="L1163" s="146" t="str">
        <f t="shared" si="103"/>
        <v/>
      </c>
      <c r="M1163" s="148" t="str">
        <f t="shared" si="104"/>
        <v/>
      </c>
    </row>
    <row r="1164" spans="1:13" x14ac:dyDescent="0.3">
      <c r="A1164" s="149"/>
      <c r="B1164" s="149"/>
      <c r="C1164" s="149"/>
      <c r="D1164" s="149"/>
      <c r="E1164" s="149"/>
      <c r="F1164" s="149"/>
      <c r="G1164" s="162"/>
      <c r="H1164" s="146" t="str">
        <f t="shared" si="100"/>
        <v/>
      </c>
      <c r="I1164" s="161" t="str">
        <f t="shared" si="101"/>
        <v/>
      </c>
      <c r="J1164" s="160" t="str">
        <f>IFERROR(INDEX(下年标准成本!I:I,MATCH(C1164,下年标准成本!C:C,0),1),"")</f>
        <v/>
      </c>
      <c r="K1164" s="146" t="str">
        <f t="shared" si="102"/>
        <v/>
      </c>
      <c r="L1164" s="146" t="str">
        <f t="shared" si="103"/>
        <v/>
      </c>
      <c r="M1164" s="148" t="str">
        <f t="shared" si="104"/>
        <v/>
      </c>
    </row>
    <row r="1165" spans="1:13" x14ac:dyDescent="0.3">
      <c r="A1165" s="149"/>
      <c r="B1165" s="149"/>
      <c r="C1165" s="149"/>
      <c r="D1165" s="149"/>
      <c r="E1165" s="149"/>
      <c r="F1165" s="149"/>
      <c r="G1165" s="162"/>
      <c r="H1165" s="146" t="str">
        <f t="shared" si="100"/>
        <v/>
      </c>
      <c r="I1165" s="161" t="str">
        <f t="shared" si="101"/>
        <v/>
      </c>
      <c r="J1165" s="160" t="str">
        <f>IFERROR(INDEX(下年标准成本!I:I,MATCH(C1165,下年标准成本!C:C,0),1),"")</f>
        <v/>
      </c>
      <c r="K1165" s="146" t="str">
        <f t="shared" si="102"/>
        <v/>
      </c>
      <c r="L1165" s="146" t="str">
        <f t="shared" si="103"/>
        <v/>
      </c>
      <c r="M1165" s="148" t="str">
        <f t="shared" si="104"/>
        <v/>
      </c>
    </row>
    <row r="1166" spans="1:13" x14ac:dyDescent="0.3">
      <c r="A1166" s="149"/>
      <c r="B1166" s="149"/>
      <c r="C1166" s="149"/>
      <c r="D1166" s="149"/>
      <c r="E1166" s="149"/>
      <c r="F1166" s="149"/>
      <c r="G1166" s="162"/>
      <c r="H1166" s="146" t="str">
        <f t="shared" si="100"/>
        <v/>
      </c>
      <c r="I1166" s="161" t="str">
        <f t="shared" si="101"/>
        <v/>
      </c>
      <c r="J1166" s="160" t="str">
        <f>IFERROR(INDEX(下年标准成本!I:I,MATCH(C1166,下年标准成本!C:C,0),1),"")</f>
        <v/>
      </c>
      <c r="K1166" s="146" t="str">
        <f t="shared" si="102"/>
        <v/>
      </c>
      <c r="L1166" s="146" t="str">
        <f t="shared" si="103"/>
        <v/>
      </c>
      <c r="M1166" s="148" t="str">
        <f t="shared" si="104"/>
        <v/>
      </c>
    </row>
    <row r="1167" spans="1:13" x14ac:dyDescent="0.3">
      <c r="A1167" s="149"/>
      <c r="B1167" s="149"/>
      <c r="C1167" s="149"/>
      <c r="D1167" s="149"/>
      <c r="E1167" s="149"/>
      <c r="F1167" s="149"/>
      <c r="G1167" s="162"/>
      <c r="H1167" s="146" t="str">
        <f t="shared" si="100"/>
        <v/>
      </c>
      <c r="I1167" s="161" t="str">
        <f t="shared" si="101"/>
        <v/>
      </c>
      <c r="J1167" s="160" t="str">
        <f>IFERROR(INDEX(下年标准成本!I:I,MATCH(C1167,下年标准成本!C:C,0),1),"")</f>
        <v/>
      </c>
      <c r="K1167" s="146" t="str">
        <f t="shared" si="102"/>
        <v/>
      </c>
      <c r="L1167" s="146" t="str">
        <f t="shared" si="103"/>
        <v/>
      </c>
      <c r="M1167" s="148" t="str">
        <f t="shared" si="104"/>
        <v/>
      </c>
    </row>
    <row r="1168" spans="1:13" x14ac:dyDescent="0.3">
      <c r="A1168" s="149"/>
      <c r="B1168" s="149"/>
      <c r="C1168" s="149"/>
      <c r="D1168" s="149"/>
      <c r="E1168" s="149"/>
      <c r="F1168" s="149"/>
      <c r="G1168" s="162"/>
      <c r="H1168" s="146" t="str">
        <f t="shared" si="100"/>
        <v/>
      </c>
      <c r="I1168" s="161" t="str">
        <f t="shared" si="101"/>
        <v/>
      </c>
      <c r="J1168" s="160" t="str">
        <f>IFERROR(INDEX(下年标准成本!I:I,MATCH(C1168,下年标准成本!C:C,0),1),"")</f>
        <v/>
      </c>
      <c r="K1168" s="146" t="str">
        <f t="shared" si="102"/>
        <v/>
      </c>
      <c r="L1168" s="146" t="str">
        <f t="shared" si="103"/>
        <v/>
      </c>
      <c r="M1168" s="148" t="str">
        <f t="shared" si="104"/>
        <v/>
      </c>
    </row>
    <row r="1169" spans="1:13" x14ac:dyDescent="0.3">
      <c r="A1169" s="149"/>
      <c r="B1169" s="149"/>
      <c r="C1169" s="149"/>
      <c r="D1169" s="149"/>
      <c r="E1169" s="149"/>
      <c r="F1169" s="149"/>
      <c r="G1169" s="162"/>
      <c r="H1169" s="146" t="str">
        <f t="shared" si="100"/>
        <v/>
      </c>
      <c r="I1169" s="161" t="str">
        <f t="shared" si="101"/>
        <v/>
      </c>
      <c r="J1169" s="160" t="str">
        <f>IFERROR(INDEX(下年标准成本!I:I,MATCH(C1169,下年标准成本!C:C,0),1),"")</f>
        <v/>
      </c>
      <c r="K1169" s="146" t="str">
        <f t="shared" si="102"/>
        <v/>
      </c>
      <c r="L1169" s="146" t="str">
        <f t="shared" si="103"/>
        <v/>
      </c>
      <c r="M1169" s="148" t="str">
        <f t="shared" si="104"/>
        <v/>
      </c>
    </row>
    <row r="1170" spans="1:13" x14ac:dyDescent="0.3">
      <c r="A1170" s="149"/>
      <c r="B1170" s="149"/>
      <c r="C1170" s="149"/>
      <c r="D1170" s="149"/>
      <c r="E1170" s="149"/>
      <c r="F1170" s="149"/>
      <c r="G1170" s="162"/>
      <c r="H1170" s="146" t="str">
        <f t="shared" si="100"/>
        <v/>
      </c>
      <c r="I1170" s="161" t="str">
        <f t="shared" si="101"/>
        <v/>
      </c>
      <c r="J1170" s="160" t="str">
        <f>IFERROR(INDEX(下年标准成本!I:I,MATCH(C1170,下年标准成本!C:C,0),1),"")</f>
        <v/>
      </c>
      <c r="K1170" s="146" t="str">
        <f t="shared" si="102"/>
        <v/>
      </c>
      <c r="L1170" s="146" t="str">
        <f t="shared" si="103"/>
        <v/>
      </c>
      <c r="M1170" s="148" t="str">
        <f t="shared" si="104"/>
        <v/>
      </c>
    </row>
    <row r="1171" spans="1:13" x14ac:dyDescent="0.3">
      <c r="A1171" s="149"/>
      <c r="B1171" s="149"/>
      <c r="C1171" s="149"/>
      <c r="D1171" s="149"/>
      <c r="E1171" s="149"/>
      <c r="F1171" s="149"/>
      <c r="G1171" s="162"/>
      <c r="H1171" s="146" t="str">
        <f t="shared" si="100"/>
        <v/>
      </c>
      <c r="I1171" s="161" t="str">
        <f t="shared" si="101"/>
        <v/>
      </c>
      <c r="J1171" s="160" t="str">
        <f>IFERROR(INDEX(下年标准成本!I:I,MATCH(C1171,下年标准成本!C:C,0),1),"")</f>
        <v/>
      </c>
      <c r="K1171" s="146" t="str">
        <f t="shared" si="102"/>
        <v/>
      </c>
      <c r="L1171" s="146" t="str">
        <f t="shared" si="103"/>
        <v/>
      </c>
      <c r="M1171" s="148" t="str">
        <f t="shared" si="104"/>
        <v/>
      </c>
    </row>
    <row r="1172" spans="1:13" x14ac:dyDescent="0.3">
      <c r="A1172" s="149"/>
      <c r="B1172" s="149"/>
      <c r="C1172" s="149"/>
      <c r="D1172" s="149"/>
      <c r="E1172" s="149"/>
      <c r="F1172" s="149"/>
      <c r="G1172" s="162"/>
      <c r="H1172" s="146" t="str">
        <f t="shared" si="100"/>
        <v/>
      </c>
      <c r="I1172" s="161" t="str">
        <f t="shared" si="101"/>
        <v/>
      </c>
      <c r="J1172" s="160" t="str">
        <f>IFERROR(INDEX(下年标准成本!I:I,MATCH(C1172,下年标准成本!C:C,0),1),"")</f>
        <v/>
      </c>
      <c r="K1172" s="146" t="str">
        <f t="shared" si="102"/>
        <v/>
      </c>
      <c r="L1172" s="146" t="str">
        <f t="shared" si="103"/>
        <v/>
      </c>
      <c r="M1172" s="148" t="str">
        <f t="shared" si="104"/>
        <v/>
      </c>
    </row>
    <row r="1173" spans="1:13" x14ac:dyDescent="0.3">
      <c r="A1173" s="149"/>
      <c r="B1173" s="149"/>
      <c r="C1173" s="149"/>
      <c r="D1173" s="149"/>
      <c r="E1173" s="149"/>
      <c r="F1173" s="149"/>
      <c r="G1173" s="162"/>
      <c r="H1173" s="146" t="str">
        <f t="shared" si="100"/>
        <v/>
      </c>
      <c r="I1173" s="161" t="str">
        <f t="shared" si="101"/>
        <v/>
      </c>
      <c r="J1173" s="160" t="str">
        <f>IFERROR(INDEX(下年标准成本!I:I,MATCH(C1173,下年标准成本!C:C,0),1),"")</f>
        <v/>
      </c>
      <c r="K1173" s="146" t="str">
        <f t="shared" si="102"/>
        <v/>
      </c>
      <c r="L1173" s="146" t="str">
        <f t="shared" si="103"/>
        <v/>
      </c>
      <c r="M1173" s="148" t="str">
        <f t="shared" si="104"/>
        <v/>
      </c>
    </row>
    <row r="1174" spans="1:13" x14ac:dyDescent="0.3">
      <c r="A1174" s="149"/>
      <c r="B1174" s="149"/>
      <c r="C1174" s="149"/>
      <c r="D1174" s="149"/>
      <c r="E1174" s="149"/>
      <c r="F1174" s="149"/>
      <c r="G1174" s="162"/>
      <c r="H1174" s="146" t="str">
        <f t="shared" si="100"/>
        <v/>
      </c>
      <c r="I1174" s="161" t="str">
        <f t="shared" si="101"/>
        <v/>
      </c>
      <c r="J1174" s="160" t="str">
        <f>IFERROR(INDEX(下年标准成本!I:I,MATCH(C1174,下年标准成本!C:C,0),1),"")</f>
        <v/>
      </c>
      <c r="K1174" s="146" t="str">
        <f t="shared" si="102"/>
        <v/>
      </c>
      <c r="L1174" s="146" t="str">
        <f t="shared" si="103"/>
        <v/>
      </c>
      <c r="M1174" s="148" t="str">
        <f t="shared" si="104"/>
        <v/>
      </c>
    </row>
    <row r="1175" spans="1:13" x14ac:dyDescent="0.3">
      <c r="A1175" s="149"/>
      <c r="B1175" s="149"/>
      <c r="C1175" s="149"/>
      <c r="D1175" s="149"/>
      <c r="E1175" s="149"/>
      <c r="F1175" s="149"/>
      <c r="G1175" s="162"/>
      <c r="H1175" s="146" t="str">
        <f t="shared" si="100"/>
        <v/>
      </c>
      <c r="I1175" s="161" t="str">
        <f t="shared" si="101"/>
        <v/>
      </c>
      <c r="J1175" s="160" t="str">
        <f>IFERROR(INDEX(下年标准成本!I:I,MATCH(C1175,下年标准成本!C:C,0),1),"")</f>
        <v/>
      </c>
      <c r="K1175" s="146" t="str">
        <f t="shared" si="102"/>
        <v/>
      </c>
      <c r="L1175" s="146" t="str">
        <f t="shared" si="103"/>
        <v/>
      </c>
      <c r="M1175" s="148" t="str">
        <f t="shared" si="104"/>
        <v/>
      </c>
    </row>
    <row r="1176" spans="1:13" x14ac:dyDescent="0.3">
      <c r="A1176" s="149"/>
      <c r="B1176" s="149"/>
      <c r="C1176" s="149"/>
      <c r="D1176" s="149"/>
      <c r="E1176" s="149"/>
      <c r="F1176" s="149"/>
      <c r="G1176" s="162"/>
      <c r="H1176" s="146" t="str">
        <f t="shared" si="100"/>
        <v/>
      </c>
      <c r="I1176" s="161" t="str">
        <f t="shared" si="101"/>
        <v/>
      </c>
      <c r="J1176" s="160" t="str">
        <f>IFERROR(INDEX(下年标准成本!I:I,MATCH(C1176,下年标准成本!C:C,0),1),"")</f>
        <v/>
      </c>
      <c r="K1176" s="146" t="str">
        <f t="shared" si="102"/>
        <v/>
      </c>
      <c r="L1176" s="146" t="str">
        <f t="shared" si="103"/>
        <v/>
      </c>
      <c r="M1176" s="148" t="str">
        <f t="shared" si="104"/>
        <v/>
      </c>
    </row>
    <row r="1177" spans="1:13" x14ac:dyDescent="0.3">
      <c r="A1177" s="149"/>
      <c r="B1177" s="149"/>
      <c r="C1177" s="149"/>
      <c r="D1177" s="149"/>
      <c r="E1177" s="149"/>
      <c r="F1177" s="149"/>
      <c r="G1177" s="162"/>
      <c r="H1177" s="146" t="str">
        <f t="shared" si="100"/>
        <v/>
      </c>
      <c r="I1177" s="161" t="str">
        <f t="shared" si="101"/>
        <v/>
      </c>
      <c r="J1177" s="160" t="str">
        <f>IFERROR(INDEX(下年标准成本!I:I,MATCH(C1177,下年标准成本!C:C,0),1),"")</f>
        <v/>
      </c>
      <c r="K1177" s="146" t="str">
        <f t="shared" si="102"/>
        <v/>
      </c>
      <c r="L1177" s="146" t="str">
        <f t="shared" si="103"/>
        <v/>
      </c>
      <c r="M1177" s="148" t="str">
        <f t="shared" si="104"/>
        <v/>
      </c>
    </row>
    <row r="1178" spans="1:13" x14ac:dyDescent="0.3">
      <c r="A1178" s="149"/>
      <c r="B1178" s="149"/>
      <c r="C1178" s="149"/>
      <c r="D1178" s="149"/>
      <c r="E1178" s="149"/>
      <c r="F1178" s="149"/>
      <c r="G1178" s="162"/>
      <c r="H1178" s="146" t="str">
        <f t="shared" si="100"/>
        <v/>
      </c>
      <c r="I1178" s="161" t="str">
        <f t="shared" si="101"/>
        <v/>
      </c>
      <c r="J1178" s="160" t="str">
        <f>IFERROR(INDEX(下年标准成本!I:I,MATCH(C1178,下年标准成本!C:C,0),1),"")</f>
        <v/>
      </c>
      <c r="K1178" s="146" t="str">
        <f t="shared" si="102"/>
        <v/>
      </c>
      <c r="L1178" s="146" t="str">
        <f t="shared" si="103"/>
        <v/>
      </c>
      <c r="M1178" s="148" t="str">
        <f t="shared" si="104"/>
        <v/>
      </c>
    </row>
    <row r="1179" spans="1:13" x14ac:dyDescent="0.3">
      <c r="A1179" s="149"/>
      <c r="B1179" s="149"/>
      <c r="C1179" s="149"/>
      <c r="D1179" s="149"/>
      <c r="E1179" s="149"/>
      <c r="F1179" s="149"/>
      <c r="G1179" s="162"/>
      <c r="H1179" s="146" t="str">
        <f t="shared" si="100"/>
        <v/>
      </c>
      <c r="I1179" s="161" t="str">
        <f t="shared" si="101"/>
        <v/>
      </c>
      <c r="J1179" s="160" t="str">
        <f>IFERROR(INDEX(下年标准成本!I:I,MATCH(C1179,下年标准成本!C:C,0),1),"")</f>
        <v/>
      </c>
      <c r="K1179" s="146" t="str">
        <f t="shared" si="102"/>
        <v/>
      </c>
      <c r="L1179" s="146" t="str">
        <f t="shared" si="103"/>
        <v/>
      </c>
      <c r="M1179" s="148" t="str">
        <f t="shared" si="104"/>
        <v/>
      </c>
    </row>
    <row r="1180" spans="1:13" x14ac:dyDescent="0.3">
      <c r="A1180" s="149"/>
      <c r="B1180" s="149"/>
      <c r="C1180" s="149"/>
      <c r="D1180" s="149"/>
      <c r="E1180" s="149"/>
      <c r="F1180" s="149"/>
      <c r="G1180" s="162"/>
      <c r="H1180" s="146" t="str">
        <f t="shared" si="100"/>
        <v/>
      </c>
      <c r="I1180" s="161" t="str">
        <f t="shared" si="101"/>
        <v/>
      </c>
      <c r="J1180" s="160" t="str">
        <f>IFERROR(INDEX(下年标准成本!I:I,MATCH(C1180,下年标准成本!C:C,0),1),"")</f>
        <v/>
      </c>
      <c r="K1180" s="146" t="str">
        <f t="shared" si="102"/>
        <v/>
      </c>
      <c r="L1180" s="146" t="str">
        <f t="shared" si="103"/>
        <v/>
      </c>
      <c r="M1180" s="148" t="str">
        <f t="shared" si="104"/>
        <v/>
      </c>
    </row>
    <row r="1181" spans="1:13" x14ac:dyDescent="0.3">
      <c r="A1181" s="149"/>
      <c r="B1181" s="149"/>
      <c r="C1181" s="149"/>
      <c r="D1181" s="149"/>
      <c r="E1181" s="149"/>
      <c r="F1181" s="149"/>
      <c r="G1181" s="162"/>
      <c r="H1181" s="146" t="str">
        <f t="shared" si="100"/>
        <v/>
      </c>
      <c r="I1181" s="161" t="str">
        <f t="shared" si="101"/>
        <v/>
      </c>
      <c r="J1181" s="160" t="str">
        <f>IFERROR(INDEX(下年标准成本!I:I,MATCH(C1181,下年标准成本!C:C,0),1),"")</f>
        <v/>
      </c>
      <c r="K1181" s="146" t="str">
        <f t="shared" si="102"/>
        <v/>
      </c>
      <c r="L1181" s="146" t="str">
        <f t="shared" si="103"/>
        <v/>
      </c>
      <c r="M1181" s="148" t="str">
        <f t="shared" si="104"/>
        <v/>
      </c>
    </row>
    <row r="1182" spans="1:13" x14ac:dyDescent="0.3">
      <c r="A1182" s="149"/>
      <c r="B1182" s="149"/>
      <c r="C1182" s="149"/>
      <c r="D1182" s="149"/>
      <c r="E1182" s="149"/>
      <c r="F1182" s="149"/>
      <c r="G1182" s="162"/>
      <c r="H1182" s="146" t="str">
        <f t="shared" si="100"/>
        <v/>
      </c>
      <c r="I1182" s="161" t="str">
        <f t="shared" si="101"/>
        <v/>
      </c>
      <c r="J1182" s="160" t="str">
        <f>IFERROR(INDEX(下年标准成本!I:I,MATCH(C1182,下年标准成本!C:C,0),1),"")</f>
        <v/>
      </c>
      <c r="K1182" s="146" t="str">
        <f t="shared" si="102"/>
        <v/>
      </c>
      <c r="L1182" s="146" t="str">
        <f t="shared" si="103"/>
        <v/>
      </c>
      <c r="M1182" s="148" t="str">
        <f t="shared" si="104"/>
        <v/>
      </c>
    </row>
    <row r="1183" spans="1:13" x14ac:dyDescent="0.3">
      <c r="A1183" s="149"/>
      <c r="B1183" s="149"/>
      <c r="C1183" s="149"/>
      <c r="D1183" s="149"/>
      <c r="E1183" s="149"/>
      <c r="F1183" s="149"/>
      <c r="G1183" s="162"/>
      <c r="H1183" s="146" t="str">
        <f t="shared" si="100"/>
        <v/>
      </c>
      <c r="I1183" s="161" t="str">
        <f t="shared" si="101"/>
        <v/>
      </c>
      <c r="J1183" s="160" t="str">
        <f>IFERROR(INDEX(下年标准成本!I:I,MATCH(C1183,下年标准成本!C:C,0),1),"")</f>
        <v/>
      </c>
      <c r="K1183" s="146" t="str">
        <f t="shared" si="102"/>
        <v/>
      </c>
      <c r="L1183" s="146" t="str">
        <f t="shared" si="103"/>
        <v/>
      </c>
      <c r="M1183" s="148" t="str">
        <f t="shared" si="104"/>
        <v/>
      </c>
    </row>
    <row r="1184" spans="1:13" x14ac:dyDescent="0.3">
      <c r="A1184" s="149"/>
      <c r="B1184" s="149"/>
      <c r="C1184" s="149"/>
      <c r="D1184" s="149"/>
      <c r="E1184" s="149"/>
      <c r="F1184" s="149"/>
      <c r="G1184" s="162"/>
      <c r="H1184" s="146" t="str">
        <f t="shared" si="100"/>
        <v/>
      </c>
      <c r="I1184" s="161" t="str">
        <f t="shared" si="101"/>
        <v/>
      </c>
      <c r="J1184" s="160" t="str">
        <f>IFERROR(INDEX(下年标准成本!I:I,MATCH(C1184,下年标准成本!C:C,0),1),"")</f>
        <v/>
      </c>
      <c r="K1184" s="146" t="str">
        <f t="shared" si="102"/>
        <v/>
      </c>
      <c r="L1184" s="146" t="str">
        <f t="shared" si="103"/>
        <v/>
      </c>
      <c r="M1184" s="148" t="str">
        <f t="shared" si="104"/>
        <v/>
      </c>
    </row>
    <row r="1185" spans="1:13" x14ac:dyDescent="0.3">
      <c r="A1185" s="149"/>
      <c r="B1185" s="149"/>
      <c r="C1185" s="149"/>
      <c r="D1185" s="149"/>
      <c r="E1185" s="149"/>
      <c r="F1185" s="149"/>
      <c r="G1185" s="162"/>
      <c r="H1185" s="146" t="str">
        <f t="shared" si="100"/>
        <v/>
      </c>
      <c r="I1185" s="161" t="str">
        <f t="shared" si="101"/>
        <v/>
      </c>
      <c r="J1185" s="160" t="str">
        <f>IFERROR(INDEX(下年标准成本!I:I,MATCH(C1185,下年标准成本!C:C,0),1),"")</f>
        <v/>
      </c>
      <c r="K1185" s="146" t="str">
        <f t="shared" si="102"/>
        <v/>
      </c>
      <c r="L1185" s="146" t="str">
        <f t="shared" si="103"/>
        <v/>
      </c>
      <c r="M1185" s="148" t="str">
        <f t="shared" si="104"/>
        <v/>
      </c>
    </row>
    <row r="1186" spans="1:13" x14ac:dyDescent="0.3">
      <c r="A1186" s="149"/>
      <c r="B1186" s="149"/>
      <c r="C1186" s="149"/>
      <c r="D1186" s="149"/>
      <c r="E1186" s="149"/>
      <c r="F1186" s="149"/>
      <c r="G1186" s="162"/>
      <c r="H1186" s="146" t="str">
        <f t="shared" si="100"/>
        <v/>
      </c>
      <c r="I1186" s="161" t="str">
        <f t="shared" si="101"/>
        <v/>
      </c>
      <c r="J1186" s="160" t="str">
        <f>IFERROR(INDEX(下年标准成本!I:I,MATCH(C1186,下年标准成本!C:C,0),1),"")</f>
        <v/>
      </c>
      <c r="K1186" s="146" t="str">
        <f t="shared" si="102"/>
        <v/>
      </c>
      <c r="L1186" s="146" t="str">
        <f t="shared" si="103"/>
        <v/>
      </c>
      <c r="M1186" s="148" t="str">
        <f t="shared" si="104"/>
        <v/>
      </c>
    </row>
    <row r="1187" spans="1:13" x14ac:dyDescent="0.3">
      <c r="A1187" s="149"/>
      <c r="B1187" s="149"/>
      <c r="C1187" s="149"/>
      <c r="D1187" s="149"/>
      <c r="E1187" s="149"/>
      <c r="F1187" s="149"/>
      <c r="G1187" s="162"/>
      <c r="H1187" s="146" t="str">
        <f t="shared" si="100"/>
        <v/>
      </c>
      <c r="I1187" s="161" t="str">
        <f t="shared" si="101"/>
        <v/>
      </c>
      <c r="J1187" s="160" t="str">
        <f>IFERROR(INDEX(下年标准成本!I:I,MATCH(C1187,下年标准成本!C:C,0),1),"")</f>
        <v/>
      </c>
      <c r="K1187" s="146" t="str">
        <f t="shared" si="102"/>
        <v/>
      </c>
      <c r="L1187" s="146" t="str">
        <f t="shared" si="103"/>
        <v/>
      </c>
      <c r="M1187" s="148" t="str">
        <f t="shared" si="104"/>
        <v/>
      </c>
    </row>
    <row r="1188" spans="1:13" x14ac:dyDescent="0.3">
      <c r="A1188" s="149"/>
      <c r="B1188" s="149"/>
      <c r="C1188" s="149"/>
      <c r="D1188" s="149"/>
      <c r="E1188" s="149"/>
      <c r="F1188" s="149"/>
      <c r="G1188" s="162"/>
      <c r="H1188" s="146" t="str">
        <f t="shared" si="100"/>
        <v/>
      </c>
      <c r="I1188" s="161" t="str">
        <f t="shared" si="101"/>
        <v/>
      </c>
      <c r="J1188" s="160" t="str">
        <f>IFERROR(INDEX(下年标准成本!I:I,MATCH(C1188,下年标准成本!C:C,0),1),"")</f>
        <v/>
      </c>
      <c r="K1188" s="146" t="str">
        <f t="shared" si="102"/>
        <v/>
      </c>
      <c r="L1188" s="146" t="str">
        <f t="shared" si="103"/>
        <v/>
      </c>
      <c r="M1188" s="148" t="str">
        <f t="shared" si="104"/>
        <v/>
      </c>
    </row>
    <row r="1189" spans="1:13" x14ac:dyDescent="0.3">
      <c r="A1189" s="149"/>
      <c r="B1189" s="149"/>
      <c r="C1189" s="149"/>
      <c r="D1189" s="149"/>
      <c r="E1189" s="149"/>
      <c r="F1189" s="149"/>
      <c r="G1189" s="162"/>
      <c r="H1189" s="146" t="str">
        <f t="shared" si="100"/>
        <v/>
      </c>
      <c r="I1189" s="161" t="str">
        <f t="shared" si="101"/>
        <v/>
      </c>
      <c r="J1189" s="160" t="str">
        <f>IFERROR(INDEX(下年标准成本!I:I,MATCH(C1189,下年标准成本!C:C,0),1),"")</f>
        <v/>
      </c>
      <c r="K1189" s="146" t="str">
        <f t="shared" si="102"/>
        <v/>
      </c>
      <c r="L1189" s="146" t="str">
        <f t="shared" si="103"/>
        <v/>
      </c>
      <c r="M1189" s="148" t="str">
        <f t="shared" si="104"/>
        <v/>
      </c>
    </row>
    <row r="1190" spans="1:13" x14ac:dyDescent="0.3">
      <c r="A1190" s="149"/>
      <c r="B1190" s="149"/>
      <c r="C1190" s="149"/>
      <c r="D1190" s="149"/>
      <c r="E1190" s="149"/>
      <c r="F1190" s="149"/>
      <c r="G1190" s="162"/>
      <c r="H1190" s="146" t="str">
        <f t="shared" si="100"/>
        <v/>
      </c>
      <c r="I1190" s="161" t="str">
        <f t="shared" si="101"/>
        <v/>
      </c>
      <c r="J1190" s="160" t="str">
        <f>IFERROR(INDEX(下年标准成本!I:I,MATCH(C1190,下年标准成本!C:C,0),1),"")</f>
        <v/>
      </c>
      <c r="K1190" s="146" t="str">
        <f t="shared" si="102"/>
        <v/>
      </c>
      <c r="L1190" s="146" t="str">
        <f t="shared" si="103"/>
        <v/>
      </c>
      <c r="M1190" s="148" t="str">
        <f t="shared" si="104"/>
        <v/>
      </c>
    </row>
    <row r="1191" spans="1:13" x14ac:dyDescent="0.3">
      <c r="A1191" s="149"/>
      <c r="B1191" s="149"/>
      <c r="C1191" s="149"/>
      <c r="D1191" s="149"/>
      <c r="E1191" s="149"/>
      <c r="F1191" s="149"/>
      <c r="G1191" s="162"/>
      <c r="H1191" s="146" t="str">
        <f t="shared" si="100"/>
        <v/>
      </c>
      <c r="I1191" s="161" t="str">
        <f t="shared" si="101"/>
        <v/>
      </c>
      <c r="J1191" s="160" t="str">
        <f>IFERROR(INDEX(下年标准成本!I:I,MATCH(C1191,下年标准成本!C:C,0),1),"")</f>
        <v/>
      </c>
      <c r="K1191" s="146" t="str">
        <f t="shared" si="102"/>
        <v/>
      </c>
      <c r="L1191" s="146" t="str">
        <f t="shared" si="103"/>
        <v/>
      </c>
      <c r="M1191" s="148" t="str">
        <f t="shared" si="104"/>
        <v/>
      </c>
    </row>
    <row r="1192" spans="1:13" x14ac:dyDescent="0.3">
      <c r="A1192" s="149"/>
      <c r="B1192" s="149"/>
      <c r="C1192" s="149"/>
      <c r="D1192" s="149"/>
      <c r="E1192" s="149"/>
      <c r="F1192" s="149"/>
      <c r="G1192" s="162"/>
      <c r="H1192" s="146" t="str">
        <f t="shared" si="100"/>
        <v/>
      </c>
      <c r="I1192" s="161" t="str">
        <f t="shared" si="101"/>
        <v/>
      </c>
      <c r="J1192" s="160" t="str">
        <f>IFERROR(INDEX(下年标准成本!I:I,MATCH(C1192,下年标准成本!C:C,0),1),"")</f>
        <v/>
      </c>
      <c r="K1192" s="146" t="str">
        <f t="shared" si="102"/>
        <v/>
      </c>
      <c r="L1192" s="146" t="str">
        <f t="shared" si="103"/>
        <v/>
      </c>
      <c r="M1192" s="148" t="str">
        <f t="shared" si="104"/>
        <v/>
      </c>
    </row>
    <row r="1193" spans="1:13" x14ac:dyDescent="0.3">
      <c r="A1193" s="149"/>
      <c r="B1193" s="149"/>
      <c r="C1193" s="149"/>
      <c r="D1193" s="149"/>
      <c r="E1193" s="149"/>
      <c r="F1193" s="149"/>
      <c r="G1193" s="162"/>
      <c r="H1193" s="146" t="str">
        <f t="shared" si="100"/>
        <v/>
      </c>
      <c r="I1193" s="161" t="str">
        <f t="shared" si="101"/>
        <v/>
      </c>
      <c r="J1193" s="160" t="str">
        <f>IFERROR(INDEX(下年标准成本!I:I,MATCH(C1193,下年标准成本!C:C,0),1),"")</f>
        <v/>
      </c>
      <c r="K1193" s="146" t="str">
        <f t="shared" si="102"/>
        <v/>
      </c>
      <c r="L1193" s="146" t="str">
        <f t="shared" si="103"/>
        <v/>
      </c>
      <c r="M1193" s="148" t="str">
        <f t="shared" si="104"/>
        <v/>
      </c>
    </row>
    <row r="1194" spans="1:13" x14ac:dyDescent="0.3">
      <c r="A1194" s="149"/>
      <c r="B1194" s="149"/>
      <c r="C1194" s="149"/>
      <c r="D1194" s="149"/>
      <c r="E1194" s="149"/>
      <c r="F1194" s="149"/>
      <c r="G1194" s="162"/>
      <c r="H1194" s="146" t="str">
        <f t="shared" si="100"/>
        <v/>
      </c>
      <c r="I1194" s="161" t="str">
        <f t="shared" si="101"/>
        <v/>
      </c>
      <c r="J1194" s="160" t="str">
        <f>IFERROR(INDEX(下年标准成本!I:I,MATCH(C1194,下年标准成本!C:C,0),1),"")</f>
        <v/>
      </c>
      <c r="K1194" s="146" t="str">
        <f t="shared" si="102"/>
        <v/>
      </c>
      <c r="L1194" s="146" t="str">
        <f t="shared" si="103"/>
        <v/>
      </c>
      <c r="M1194" s="148" t="str">
        <f t="shared" si="104"/>
        <v/>
      </c>
    </row>
    <row r="1195" spans="1:13" x14ac:dyDescent="0.3">
      <c r="A1195" s="149"/>
      <c r="B1195" s="149"/>
      <c r="C1195" s="149"/>
      <c r="D1195" s="149"/>
      <c r="E1195" s="149"/>
      <c r="F1195" s="149"/>
      <c r="G1195" s="162"/>
      <c r="H1195" s="146" t="str">
        <f t="shared" si="100"/>
        <v/>
      </c>
      <c r="I1195" s="161" t="str">
        <f t="shared" si="101"/>
        <v/>
      </c>
      <c r="J1195" s="160" t="str">
        <f>IFERROR(INDEX(下年标准成本!I:I,MATCH(C1195,下年标准成本!C:C,0),1),"")</f>
        <v/>
      </c>
      <c r="K1195" s="146" t="str">
        <f t="shared" si="102"/>
        <v/>
      </c>
      <c r="L1195" s="146" t="str">
        <f t="shared" si="103"/>
        <v/>
      </c>
      <c r="M1195" s="148" t="str">
        <f t="shared" si="104"/>
        <v/>
      </c>
    </row>
    <row r="1196" spans="1:13" x14ac:dyDescent="0.3">
      <c r="A1196" s="149"/>
      <c r="B1196" s="149"/>
      <c r="C1196" s="149"/>
      <c r="D1196" s="149"/>
      <c r="E1196" s="149"/>
      <c r="F1196" s="149"/>
      <c r="G1196" s="162"/>
      <c r="H1196" s="146" t="str">
        <f t="shared" si="100"/>
        <v/>
      </c>
      <c r="I1196" s="161" t="str">
        <f t="shared" si="101"/>
        <v/>
      </c>
      <c r="J1196" s="160" t="str">
        <f>IFERROR(INDEX(下年标准成本!I:I,MATCH(C1196,下年标准成本!C:C,0),1),"")</f>
        <v/>
      </c>
      <c r="K1196" s="146" t="str">
        <f t="shared" si="102"/>
        <v/>
      </c>
      <c r="L1196" s="146" t="str">
        <f t="shared" si="103"/>
        <v/>
      </c>
      <c r="M1196" s="148" t="str">
        <f t="shared" si="104"/>
        <v/>
      </c>
    </row>
    <row r="1197" spans="1:13" x14ac:dyDescent="0.3">
      <c r="A1197" s="149"/>
      <c r="B1197" s="149"/>
      <c r="C1197" s="149"/>
      <c r="D1197" s="149"/>
      <c r="E1197" s="149"/>
      <c r="F1197" s="149"/>
      <c r="G1197" s="162"/>
      <c r="H1197" s="146" t="str">
        <f t="shared" si="100"/>
        <v/>
      </c>
      <c r="I1197" s="161" t="str">
        <f t="shared" si="101"/>
        <v/>
      </c>
      <c r="J1197" s="160" t="str">
        <f>IFERROR(INDEX(下年标准成本!I:I,MATCH(C1197,下年标准成本!C:C,0),1),"")</f>
        <v/>
      </c>
      <c r="K1197" s="146" t="str">
        <f t="shared" si="102"/>
        <v/>
      </c>
      <c r="L1197" s="146" t="str">
        <f t="shared" si="103"/>
        <v/>
      </c>
      <c r="M1197" s="148" t="str">
        <f t="shared" si="104"/>
        <v/>
      </c>
    </row>
    <row r="1198" spans="1:13" x14ac:dyDescent="0.3">
      <c r="A1198" s="149"/>
      <c r="B1198" s="149"/>
      <c r="C1198" s="149"/>
      <c r="D1198" s="149"/>
      <c r="E1198" s="149"/>
      <c r="F1198" s="149"/>
      <c r="G1198" s="162"/>
      <c r="H1198" s="146" t="str">
        <f t="shared" si="100"/>
        <v/>
      </c>
      <c r="I1198" s="161" t="str">
        <f t="shared" si="101"/>
        <v/>
      </c>
      <c r="J1198" s="160" t="str">
        <f>IFERROR(INDEX(下年标准成本!I:I,MATCH(C1198,下年标准成本!C:C,0),1),"")</f>
        <v/>
      </c>
      <c r="K1198" s="146" t="str">
        <f t="shared" si="102"/>
        <v/>
      </c>
      <c r="L1198" s="146" t="str">
        <f t="shared" si="103"/>
        <v/>
      </c>
      <c r="M1198" s="148" t="str">
        <f t="shared" si="104"/>
        <v/>
      </c>
    </row>
    <row r="1199" spans="1:13" x14ac:dyDescent="0.3">
      <c r="A1199" s="149"/>
      <c r="B1199" s="149"/>
      <c r="C1199" s="149"/>
      <c r="D1199" s="149"/>
      <c r="E1199" s="149"/>
      <c r="F1199" s="149"/>
      <c r="G1199" s="162"/>
      <c r="H1199" s="146" t="str">
        <f t="shared" si="100"/>
        <v/>
      </c>
      <c r="I1199" s="161" t="str">
        <f t="shared" si="101"/>
        <v/>
      </c>
      <c r="J1199" s="160" t="str">
        <f>IFERROR(INDEX(下年标准成本!I:I,MATCH(C1199,下年标准成本!C:C,0),1),"")</f>
        <v/>
      </c>
      <c r="K1199" s="146" t="str">
        <f t="shared" si="102"/>
        <v/>
      </c>
      <c r="L1199" s="146" t="str">
        <f t="shared" si="103"/>
        <v/>
      </c>
      <c r="M1199" s="148" t="str">
        <f t="shared" si="104"/>
        <v/>
      </c>
    </row>
    <row r="1200" spans="1:13" x14ac:dyDescent="0.3">
      <c r="A1200" s="149"/>
      <c r="B1200" s="149"/>
      <c r="C1200" s="149"/>
      <c r="D1200" s="149"/>
      <c r="E1200" s="149"/>
      <c r="F1200" s="149"/>
      <c r="G1200" s="162"/>
      <c r="H1200" s="146" t="str">
        <f t="shared" si="100"/>
        <v/>
      </c>
      <c r="I1200" s="161" t="str">
        <f t="shared" si="101"/>
        <v/>
      </c>
      <c r="J1200" s="160" t="str">
        <f>IFERROR(INDEX(下年标准成本!I:I,MATCH(C1200,下年标准成本!C:C,0),1),"")</f>
        <v/>
      </c>
      <c r="K1200" s="146" t="str">
        <f t="shared" si="102"/>
        <v/>
      </c>
      <c r="L1200" s="146" t="str">
        <f t="shared" si="103"/>
        <v/>
      </c>
      <c r="M1200" s="148" t="str">
        <f t="shared" si="104"/>
        <v/>
      </c>
    </row>
  </sheetData>
  <phoneticPr fontId="3" type="noConversion"/>
  <hyperlinks>
    <hyperlink ref="O1" location="主页!A1" display="主页!A1" xr:uid="{E8CEC6B5-79B7-468A-847A-9C1B4523868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FA97-EFFD-4ED4-BC54-EBF04C00B47D}">
  <dimension ref="B1:Q18"/>
  <sheetViews>
    <sheetView showGridLines="0" workbookViewId="0">
      <selection activeCell="Q1" sqref="Q1"/>
    </sheetView>
  </sheetViews>
  <sheetFormatPr defaultRowHeight="14" outlineLevelCol="1" x14ac:dyDescent="0.3"/>
  <cols>
    <col min="1" max="1" width="2.9140625" customWidth="1"/>
    <col min="2" max="2" width="15.6640625" customWidth="1"/>
    <col min="3" max="14" width="9.75" customWidth="1" outlineLevel="1"/>
  </cols>
  <sheetData>
    <row r="1" spans="2:17" ht="18" customHeight="1" x14ac:dyDescent="0.3">
      <c r="Q1" s="121" t="s">
        <v>197</v>
      </c>
    </row>
    <row r="2" spans="2:17" ht="17.5" customHeight="1" x14ac:dyDescent="0.3">
      <c r="B2" s="12" t="s">
        <v>71</v>
      </c>
      <c r="C2" s="13">
        <v>1</v>
      </c>
      <c r="D2" s="14">
        <v>2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  <c r="J2" s="14">
        <v>8</v>
      </c>
      <c r="K2" s="14">
        <v>9</v>
      </c>
      <c r="L2" s="14">
        <v>10</v>
      </c>
      <c r="M2" s="14">
        <v>11</v>
      </c>
      <c r="N2" s="15">
        <v>12</v>
      </c>
      <c r="O2" s="17" t="s">
        <v>72</v>
      </c>
    </row>
    <row r="3" spans="2:17" ht="17.5" customHeight="1" x14ac:dyDescent="0.3">
      <c r="B3" s="18" t="str">
        <f>"A"&amp;YEAR(主页!$D$2)-1</f>
        <v>A2020</v>
      </c>
      <c r="C3" s="170">
        <f>SUMIFS(上年实际!$P:$P,上年实际!$C:$C,"&gt;="&amp;DATE(YEAR(主页!$D$2)-1,C$2,1),上年实际!$C:$C,"&lt;="&amp;EOMONTH(DATE(YEAR(主页!$D$2)-1,C$2,1),0))</f>
        <v>1500</v>
      </c>
      <c r="D3" s="170">
        <f>SUMIFS(上年实际!$P:$P,上年实际!$C:$C,"&gt;="&amp;DATE(YEAR(主页!$D$2)-1,D$2,1),上年实际!$C:$C,"&lt;="&amp;EOMONTH(DATE(YEAR(主页!$D$2)-1,D$2,1),0))</f>
        <v>0</v>
      </c>
      <c r="E3" s="170">
        <f>SUMIFS(上年实际!$P:$P,上年实际!$C:$C,"&gt;="&amp;DATE(YEAR(主页!$D$2)-1,E$2,1),上年实际!$C:$C,"&lt;="&amp;EOMONTH(DATE(YEAR(主页!$D$2)-1,E$2,1),0))</f>
        <v>0</v>
      </c>
      <c r="F3" s="170">
        <f>SUMIFS(上年实际!$P:$P,上年实际!$C:$C,"&gt;="&amp;DATE(YEAR(主页!$D$2)-1,F$2,1),上年实际!$C:$C,"&lt;="&amp;EOMONTH(DATE(YEAR(主页!$D$2)-1,F$2,1),0))</f>
        <v>1980</v>
      </c>
      <c r="G3" s="170">
        <f>SUMIFS(上年实际!$P:$P,上年实际!$C:$C,"&gt;="&amp;DATE(YEAR(主页!$D$2)-1,G$2,1),上年实际!$C:$C,"&lt;="&amp;EOMONTH(DATE(YEAR(主页!$D$2)-1,G$2,1),0))</f>
        <v>1566.0377358490566</v>
      </c>
      <c r="H3" s="170">
        <f>SUMIFS(上年实际!$P:$P,上年实际!$C:$C,"&gt;="&amp;DATE(YEAR(主页!$D$2)-1,H$2,1),上年实际!$C:$C,"&lt;="&amp;EOMONTH(DATE(YEAR(主页!$D$2)-1,H$2,1),0))</f>
        <v>0</v>
      </c>
      <c r="I3" s="170">
        <f>SUMIFS(上年实际!$P:$P,上年实际!$C:$C,"&gt;="&amp;DATE(YEAR(主页!$D$2)-1,I$2,1),上年实际!$C:$C,"&lt;="&amp;EOMONTH(DATE(YEAR(主页!$D$2)-1,I$2,1),0))</f>
        <v>0</v>
      </c>
      <c r="J3" s="170">
        <f>SUMIFS(上年实际!$P:$P,上年实际!$C:$C,"&gt;="&amp;DATE(YEAR(主页!$D$2)-1,J$2,1),上年实际!$C:$C,"&lt;="&amp;EOMONTH(DATE(YEAR(主页!$D$2)-1,J$2,1),0))</f>
        <v>0</v>
      </c>
      <c r="K3" s="170">
        <f>SUMIFS(上年实际!$P:$P,上年实际!$C:$C,"&gt;="&amp;DATE(YEAR(主页!$D$2)-1,K$2,1),上年实际!$C:$C,"&lt;="&amp;EOMONTH(DATE(YEAR(主页!$D$2)-1,K$2,1),0))</f>
        <v>0</v>
      </c>
      <c r="L3" s="170">
        <f>SUMIFS(上年实际!$P:$P,上年实际!$C:$C,"&gt;="&amp;DATE(YEAR(主页!$D$2)-1,L$2,1),上年实际!$C:$C,"&lt;="&amp;EOMONTH(DATE(YEAR(主页!$D$2)-1,L$2,1),0))</f>
        <v>0</v>
      </c>
      <c r="M3" s="170">
        <f>SUMIFS(上年实际!$P:$P,上年实际!$C:$C,"&gt;="&amp;DATE(YEAR(主页!$D$2)-1,M$2,1),上年实际!$C:$C,"&lt;="&amp;EOMONTH(DATE(YEAR(主页!$D$2)-1,M$2,1),0))</f>
        <v>0</v>
      </c>
      <c r="N3" s="171">
        <f>SUMIFS(上年实际!$P:$P,上年实际!$C:$C,"&gt;="&amp;DATE(YEAR(主页!$D$2)-1,N$2,1),上年实际!$C:$C,"&lt;="&amp;EOMONTH(DATE(YEAR(主页!$D$2)-1,N$2,1),0))</f>
        <v>0</v>
      </c>
      <c r="O3" s="16">
        <f>SUM(C3:N3)</f>
        <v>5046.0377358490568</v>
      </c>
    </row>
    <row r="4" spans="2:17" s="10" customFormat="1" ht="17.5" customHeight="1" x14ac:dyDescent="0.3">
      <c r="B4" s="18" t="s">
        <v>73</v>
      </c>
      <c r="C4" s="180">
        <f>C3/$O3</f>
        <v>0.29726293748130422</v>
      </c>
      <c r="D4" s="180">
        <f t="shared" ref="D4:N4" si="0">D3/$O3</f>
        <v>0</v>
      </c>
      <c r="E4" s="180">
        <f t="shared" si="0"/>
        <v>0</v>
      </c>
      <c r="F4" s="180">
        <f t="shared" si="0"/>
        <v>0.39238707747532153</v>
      </c>
      <c r="G4" s="180">
        <f t="shared" si="0"/>
        <v>0.31034998504337419</v>
      </c>
      <c r="H4" s="180">
        <f t="shared" si="0"/>
        <v>0</v>
      </c>
      <c r="I4" s="180">
        <f t="shared" si="0"/>
        <v>0</v>
      </c>
      <c r="J4" s="180">
        <f t="shared" si="0"/>
        <v>0</v>
      </c>
      <c r="K4" s="180">
        <f t="shared" si="0"/>
        <v>0</v>
      </c>
      <c r="L4" s="180">
        <f t="shared" si="0"/>
        <v>0</v>
      </c>
      <c r="M4" s="180">
        <f t="shared" si="0"/>
        <v>0</v>
      </c>
      <c r="N4" s="181">
        <f t="shared" si="0"/>
        <v>0</v>
      </c>
      <c r="O4" s="186">
        <f>SUM(C4:N4)</f>
        <v>1</v>
      </c>
    </row>
    <row r="5" spans="2:17" ht="17.5" customHeight="1" x14ac:dyDescent="0.3">
      <c r="O5" s="9"/>
    </row>
    <row r="6" spans="2:17" ht="17.5" customHeight="1" x14ac:dyDescent="0.3">
      <c r="B6" s="172" t="str">
        <f>"A"&amp;YEAR(主页!$D$2)&amp;"YTD"</f>
        <v>A2021YTD</v>
      </c>
      <c r="C6" s="173">
        <f>IF(MONTH(主页!$D$2)&gt;=C$2,SUMIFS(当年实际!$P:$P,当年实际!$C:$C,"&gt;="&amp;DATE(YEAR(主页!$D$2),C$2,1),当年实际!$C:$C,"&lt;="&amp;EOMONTH(DATE(YEAR(主页!$D$2),C$2,1),0)),0)</f>
        <v>1800</v>
      </c>
      <c r="D6" s="174">
        <f>IF(MONTH(主页!$D$2)&gt;=D$2,SUMIFS(当年实际!$P:$P,当年实际!$C:$C,"&gt;="&amp;DATE(YEAR(主页!$D$2),D$2,1),当年实际!$C:$C,"&lt;="&amp;EOMONTH(DATE(YEAR(主页!$D$2),D$2,1),0)),0)</f>
        <v>0</v>
      </c>
      <c r="E6" s="174">
        <f>IF(MONTH(主页!$D$2)&gt;=E$2,SUMIFS(当年实际!$P:$P,当年实际!$C:$C,"&gt;="&amp;DATE(YEAR(主页!$D$2),E$2,1),当年实际!$C:$C,"&lt;="&amp;EOMONTH(DATE(YEAR(主页!$D$2),E$2,1),0)),0)</f>
        <v>0</v>
      </c>
      <c r="F6" s="174">
        <f>IF(MONTH(主页!$D$2)&gt;=F$2,SUMIFS(当年实际!$P:$P,当年实际!$C:$C,"&gt;="&amp;DATE(YEAR(主页!$D$2),F$2,1),当年实际!$C:$C,"&lt;="&amp;EOMONTH(DATE(YEAR(主页!$D$2),F$2,1),0)),0)</f>
        <v>2000</v>
      </c>
      <c r="G6" s="174">
        <f>IF(MONTH(主页!$D$2)&gt;=G$2,SUMIFS(当年实际!$P:$P,当年实际!$C:$C,"&gt;="&amp;DATE(YEAR(主页!$D$2),G$2,1),当年实际!$C:$C,"&lt;="&amp;EOMONTH(DATE(YEAR(主页!$D$2),G$2,1),0)),0)</f>
        <v>1200</v>
      </c>
      <c r="H6" s="174">
        <f>IF(MONTH(主页!$D$2)&gt;=H$2,SUMIFS(当年实际!$P:$P,当年实际!$C:$C,"&gt;="&amp;DATE(YEAR(主页!$D$2),H$2,1),当年实际!$C:$C,"&lt;="&amp;EOMONTH(DATE(YEAR(主页!$D$2),H$2,1),0)),0)</f>
        <v>0</v>
      </c>
      <c r="I6" s="174">
        <f>IF(MONTH(主页!$D$2)&gt;=I$2,SUMIFS(当年实际!$P:$P,当年实际!$C:$C,"&gt;="&amp;DATE(YEAR(主页!$D$2),I$2,1),当年实际!$C:$C,"&lt;="&amp;EOMONTH(DATE(YEAR(主页!$D$2),I$2,1),0)),0)</f>
        <v>0</v>
      </c>
      <c r="J6" s="174">
        <f>IF(MONTH(主页!$D$2)&gt;=J$2,SUMIFS(当年实际!$P:$P,当年实际!$C:$C,"&gt;="&amp;DATE(YEAR(主页!$D$2),J$2,1),当年实际!$C:$C,"&lt;="&amp;EOMONTH(DATE(YEAR(主页!$D$2),J$2,1),0)),0)</f>
        <v>0</v>
      </c>
      <c r="K6" s="174">
        <f>IF(MONTH(主页!$D$2)&gt;=K$2,SUMIFS(当年实际!$P:$P,当年实际!$C:$C,"&gt;="&amp;DATE(YEAR(主页!$D$2),K$2,1),当年实际!$C:$C,"&lt;="&amp;EOMONTH(DATE(YEAR(主页!$D$2),K$2,1),0)),0)</f>
        <v>0</v>
      </c>
      <c r="L6" s="174">
        <f>IF(MONTH(主页!$D$2)&gt;=L$2,SUMIFS(当年实际!$P:$P,当年实际!$C:$C,"&gt;="&amp;DATE(YEAR(主页!$D$2),L$2,1),当年实际!$C:$C,"&lt;="&amp;EOMONTH(DATE(YEAR(主页!$D$2),L$2,1),0)),0)</f>
        <v>0</v>
      </c>
      <c r="M6" s="174">
        <f>IF(MONTH(主页!$D$2)&gt;=M$2,SUMIFS(当年实际!$P:$P,当年实际!$C:$C,"&gt;="&amp;DATE(YEAR(主页!$D$2),M$2,1),当年实际!$C:$C,"&lt;="&amp;EOMONTH(DATE(YEAR(主页!$D$2),M$2,1),0)),0)</f>
        <v>0</v>
      </c>
      <c r="N6" s="174">
        <f>IF(MONTH(主页!$D$2)&gt;=N$2,SUMIFS(当年实际!$P:$P,当年实际!$C:$C,"&gt;="&amp;DATE(YEAR(主页!$D$2),N$2,1),当年实际!$C:$C,"&lt;="&amp;EOMONTH(DATE(YEAR(主页!$D$2),N$2,1),0)),0)</f>
        <v>0</v>
      </c>
      <c r="O6" s="182">
        <f>SUM(C6:N6)</f>
        <v>5000</v>
      </c>
    </row>
    <row r="7" spans="2:17" ht="17.5" customHeight="1" x14ac:dyDescent="0.3">
      <c r="B7" s="172" t="str">
        <f>"E"&amp;YEAR(主页!$D$2)&amp;"YTG"</f>
        <v>E2021YTG</v>
      </c>
      <c r="C7" s="175"/>
      <c r="D7" s="176"/>
      <c r="E7" s="176"/>
      <c r="F7" s="176"/>
      <c r="G7" s="176"/>
      <c r="H7" s="176"/>
      <c r="I7" s="176"/>
      <c r="J7" s="176"/>
      <c r="K7" s="177">
        <v>3000</v>
      </c>
      <c r="L7" s="177">
        <v>1200</v>
      </c>
      <c r="M7" s="177">
        <v>900</v>
      </c>
      <c r="N7" s="178">
        <v>3000</v>
      </c>
      <c r="O7" s="183">
        <f>SUM(C7:N7)</f>
        <v>8100</v>
      </c>
    </row>
    <row r="8" spans="2:17" ht="17.5" customHeight="1" x14ac:dyDescent="0.3">
      <c r="B8" s="19" t="str">
        <f>"E"&amp;YEAR(主页!$D$2)</f>
        <v>E2021</v>
      </c>
      <c r="C8" s="179">
        <f>C6+C7</f>
        <v>1800</v>
      </c>
      <c r="D8" s="179">
        <f t="shared" ref="D8:N8" si="1">D6+D7</f>
        <v>0</v>
      </c>
      <c r="E8" s="179">
        <f t="shared" si="1"/>
        <v>0</v>
      </c>
      <c r="F8" s="179">
        <f t="shared" si="1"/>
        <v>2000</v>
      </c>
      <c r="G8" s="179">
        <f t="shared" si="1"/>
        <v>1200</v>
      </c>
      <c r="H8" s="179">
        <f t="shared" si="1"/>
        <v>0</v>
      </c>
      <c r="I8" s="179">
        <f t="shared" si="1"/>
        <v>0</v>
      </c>
      <c r="J8" s="179">
        <f t="shared" si="1"/>
        <v>0</v>
      </c>
      <c r="K8" s="179">
        <f t="shared" si="1"/>
        <v>3000</v>
      </c>
      <c r="L8" s="179">
        <f t="shared" si="1"/>
        <v>1200</v>
      </c>
      <c r="M8" s="179">
        <f t="shared" si="1"/>
        <v>900</v>
      </c>
      <c r="N8" s="179">
        <f t="shared" si="1"/>
        <v>3000</v>
      </c>
      <c r="O8" s="184">
        <f>SUM(C8:N8)</f>
        <v>13100</v>
      </c>
    </row>
    <row r="9" spans="2:17" s="10" customFormat="1" ht="17.5" customHeight="1" x14ac:dyDescent="0.3">
      <c r="B9" s="18" t="s">
        <v>73</v>
      </c>
      <c r="C9" s="180">
        <f t="shared" ref="C9:J9" si="2">C6/$O8</f>
        <v>0.13740458015267176</v>
      </c>
      <c r="D9" s="180">
        <f t="shared" si="2"/>
        <v>0</v>
      </c>
      <c r="E9" s="180">
        <f t="shared" si="2"/>
        <v>0</v>
      </c>
      <c r="F9" s="180">
        <f t="shared" si="2"/>
        <v>0.15267175572519084</v>
      </c>
      <c r="G9" s="180">
        <f t="shared" si="2"/>
        <v>9.1603053435114504E-2</v>
      </c>
      <c r="H9" s="180">
        <f t="shared" si="2"/>
        <v>0</v>
      </c>
      <c r="I9" s="180">
        <f t="shared" si="2"/>
        <v>0</v>
      </c>
      <c r="J9" s="180">
        <f t="shared" si="2"/>
        <v>0</v>
      </c>
      <c r="K9" s="180">
        <f>K7/$O8</f>
        <v>0.22900763358778625</v>
      </c>
      <c r="L9" s="180">
        <f>L7/$O8</f>
        <v>9.1603053435114504E-2</v>
      </c>
      <c r="M9" s="180">
        <f>M7/$O8</f>
        <v>6.8702290076335881E-2</v>
      </c>
      <c r="N9" s="181">
        <f>N7/$O8</f>
        <v>0.22900763358778625</v>
      </c>
      <c r="O9" s="185">
        <f>SUM(C9:N9)</f>
        <v>1</v>
      </c>
    </row>
    <row r="10" spans="2:17" ht="17.5" customHeight="1" x14ac:dyDescent="0.3">
      <c r="O10" s="9"/>
    </row>
    <row r="11" spans="2:17" ht="17.5" customHeight="1" x14ac:dyDescent="0.3">
      <c r="B11" s="19" t="str">
        <f>"B"&amp;YEAR(主页!$D$2)+1</f>
        <v>B2022</v>
      </c>
      <c r="C11" s="168">
        <v>1120</v>
      </c>
      <c r="D11" s="168"/>
      <c r="E11" s="168">
        <v>3400</v>
      </c>
      <c r="F11" s="168"/>
      <c r="G11" s="168"/>
      <c r="H11" s="168">
        <v>500</v>
      </c>
      <c r="I11" s="168"/>
      <c r="J11" s="168"/>
      <c r="K11" s="168">
        <v>600</v>
      </c>
      <c r="L11" s="168"/>
      <c r="M11" s="168">
        <v>800</v>
      </c>
      <c r="N11" s="169"/>
      <c r="O11" s="11">
        <f>SUM(C11:N11)</f>
        <v>6420</v>
      </c>
    </row>
    <row r="12" spans="2:17" s="10" customFormat="1" ht="17.5" customHeight="1" x14ac:dyDescent="0.3">
      <c r="B12" s="18" t="s">
        <v>73</v>
      </c>
      <c r="C12" s="180">
        <f>C11/$O11</f>
        <v>0.17445482866043613</v>
      </c>
      <c r="D12" s="180">
        <f t="shared" ref="D12" si="3">D11/$O11</f>
        <v>0</v>
      </c>
      <c r="E12" s="180">
        <f t="shared" ref="E12" si="4">E11/$O11</f>
        <v>0.52959501557632394</v>
      </c>
      <c r="F12" s="180">
        <f t="shared" ref="F12" si="5">F11/$O11</f>
        <v>0</v>
      </c>
      <c r="G12" s="180">
        <f t="shared" ref="G12" si="6">G11/$O11</f>
        <v>0</v>
      </c>
      <c r="H12" s="180">
        <f t="shared" ref="H12" si="7">H11/$O11</f>
        <v>7.7881619937694699E-2</v>
      </c>
      <c r="I12" s="180">
        <f t="shared" ref="I12" si="8">I11/$O11</f>
        <v>0</v>
      </c>
      <c r="J12" s="180">
        <f t="shared" ref="J12" si="9">J11/$O11</f>
        <v>0</v>
      </c>
      <c r="K12" s="180">
        <f t="shared" ref="K12" si="10">K11/$O11</f>
        <v>9.3457943925233641E-2</v>
      </c>
      <c r="L12" s="180">
        <f t="shared" ref="L12" si="11">L11/$O11</f>
        <v>0</v>
      </c>
      <c r="M12" s="180">
        <f t="shared" ref="M12" si="12">M11/$O11</f>
        <v>0.12461059190031153</v>
      </c>
      <c r="N12" s="181">
        <f t="shared" ref="N12" si="13">N11/$O11</f>
        <v>0</v>
      </c>
      <c r="O12" s="187">
        <f>SUM(C12:N12)</f>
        <v>1</v>
      </c>
    </row>
    <row r="17" spans="2:3" x14ac:dyDescent="0.3">
      <c r="B17" s="151"/>
      <c r="C17" t="s">
        <v>173</v>
      </c>
    </row>
    <row r="18" spans="2:3" x14ac:dyDescent="0.3">
      <c r="B18" s="179"/>
      <c r="C18" t="s">
        <v>174</v>
      </c>
    </row>
  </sheetData>
  <sheetProtection formatCells="0" formatColumns="0" formatRows="0" insertRows="0" insertHyperlinks="0"/>
  <phoneticPr fontId="3" type="noConversion"/>
  <hyperlinks>
    <hyperlink ref="Q1" location="主页!A1" display="主页!A1" xr:uid="{C1F582C7-7A3B-4746-83DA-AECD2FC60F9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A8E0-D39C-4476-AF80-2198B17A8A59}">
  <dimension ref="B1:Q35"/>
  <sheetViews>
    <sheetView showGridLines="0" zoomScale="97" workbookViewId="0">
      <selection activeCell="Q1" sqref="Q1"/>
    </sheetView>
  </sheetViews>
  <sheetFormatPr defaultColWidth="8.9140625" defaultRowHeight="16.5" outlineLevelCol="1" x14ac:dyDescent="0.3"/>
  <cols>
    <col min="1" max="1" width="2.08203125" style="20" customWidth="1"/>
    <col min="2" max="2" width="23.4140625" style="20" customWidth="1"/>
    <col min="3" max="3" width="11.4140625" style="20" customWidth="1"/>
    <col min="4" max="4" width="13.75" style="20" customWidth="1" outlineLevel="1"/>
    <col min="5" max="5" width="14.58203125" style="20" bestFit="1" customWidth="1" outlineLevel="1"/>
    <col min="6" max="6" width="11.75" style="20" customWidth="1"/>
    <col min="7" max="7" width="5" style="20" bestFit="1" customWidth="1"/>
    <col min="8" max="8" width="11.75" style="20" customWidth="1"/>
    <col min="9" max="9" width="7.6640625" style="20" bestFit="1" customWidth="1"/>
    <col min="10" max="10" width="18.58203125" style="20" customWidth="1"/>
    <col min="11" max="11" width="12.33203125" style="20" bestFit="1" customWidth="1"/>
    <col min="12" max="12" width="5" style="20" bestFit="1" customWidth="1"/>
    <col min="13" max="13" width="9.9140625" style="20" bestFit="1" customWidth="1"/>
    <col min="14" max="14" width="7.75" style="20" bestFit="1" customWidth="1"/>
    <col min="15" max="15" width="17.08203125" style="20" customWidth="1"/>
    <col min="16" max="16" width="8.9140625" style="20"/>
    <col min="17" max="17" width="26.75" style="20" bestFit="1" customWidth="1"/>
    <col min="18" max="16384" width="8.9140625" style="20"/>
  </cols>
  <sheetData>
    <row r="1" spans="2:17" s="87" customFormat="1" ht="14.5" x14ac:dyDescent="0.3">
      <c r="B1" s="87" t="s">
        <v>88</v>
      </c>
      <c r="Q1" s="121" t="s">
        <v>197</v>
      </c>
    </row>
    <row r="2" spans="2:17" ht="34.5" thickBot="1" x14ac:dyDescent="0.35">
      <c r="B2" s="262" t="s">
        <v>34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2:17" ht="17.5" customHeight="1" thickBot="1" x14ac:dyDescent="0.35">
      <c r="B3" s="21" t="s">
        <v>70</v>
      </c>
      <c r="C3" s="265">
        <f>主页!D2</f>
        <v>44499</v>
      </c>
      <c r="D3" s="266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2:17" ht="9.5" customHeight="1" thickBot="1" x14ac:dyDescent="0.35">
      <c r="B4" s="23"/>
      <c r="C4" s="24"/>
      <c r="D4" s="25"/>
      <c r="E4" s="22"/>
      <c r="H4" s="22"/>
      <c r="I4" s="22"/>
      <c r="J4" s="22"/>
      <c r="K4" s="22"/>
      <c r="L4" s="22"/>
      <c r="M4" s="22"/>
      <c r="N4" s="22"/>
      <c r="O4" s="22"/>
    </row>
    <row r="5" spans="2:17" ht="21.5" customHeight="1" thickBot="1" x14ac:dyDescent="0.35">
      <c r="B5" s="267" t="s">
        <v>37</v>
      </c>
      <c r="C5" s="22"/>
      <c r="D5" s="22"/>
      <c r="E5" s="22"/>
      <c r="F5" s="26" t="str">
        <f>"E"&amp;TEXT($C$3,"yyyy")&amp;"FY"</f>
        <v>E2021FY</v>
      </c>
      <c r="G5" s="27"/>
      <c r="H5" s="22"/>
      <c r="I5" s="22"/>
      <c r="J5" s="22"/>
      <c r="K5" s="26" t="str">
        <f>"B"&amp;TEXT($C$3,"yyyy")+1&amp;"FY"</f>
        <v>B2022FY</v>
      </c>
      <c r="L5" s="27"/>
      <c r="M5" s="22"/>
      <c r="N5" s="22"/>
      <c r="O5" s="22"/>
    </row>
    <row r="6" spans="2:17" s="28" customFormat="1" ht="20.5" thickBot="1" x14ac:dyDescent="0.35">
      <c r="B6" s="268"/>
      <c r="F6" s="29">
        <v>11200</v>
      </c>
      <c r="G6" s="30"/>
      <c r="K6" s="29">
        <v>43000</v>
      </c>
      <c r="L6" s="30"/>
    </row>
    <row r="7" spans="2:17" s="31" customFormat="1" ht="17" thickBot="1" x14ac:dyDescent="0.35"/>
    <row r="8" spans="2:17" ht="35.4" customHeight="1" x14ac:dyDescent="0.3">
      <c r="B8" s="263" t="s">
        <v>38</v>
      </c>
      <c r="C8" s="32" t="s">
        <v>176</v>
      </c>
      <c r="D8" s="32" t="s">
        <v>179</v>
      </c>
      <c r="E8" s="32" t="s">
        <v>178</v>
      </c>
      <c r="F8" s="32" t="s">
        <v>177</v>
      </c>
      <c r="G8" s="269"/>
      <c r="H8" s="261" t="str">
        <f>"当年估计vs上年实际"&amp;"  E"&amp;TEXT($C$3,"yy")&amp;"/A"&amp;TEXT($C$3,"yy")-1</f>
        <v>当年估计vs上年实际  E21/A20</v>
      </c>
      <c r="I8" s="261"/>
      <c r="J8" s="261"/>
      <c r="K8" s="32" t="s">
        <v>81</v>
      </c>
      <c r="L8" s="32"/>
      <c r="M8" s="261" t="str">
        <f>"下年预算vs当年估计"&amp;"  B"&amp;TEXT($C$3,"yy")+1&amp;"/E"&amp;TEXT($C$3,"yy")</f>
        <v>下年预算vs当年估计  B22/E21</v>
      </c>
      <c r="N8" s="261"/>
      <c r="O8" s="261"/>
    </row>
    <row r="9" spans="2:17" ht="21" customHeight="1" x14ac:dyDescent="0.3">
      <c r="B9" s="264"/>
      <c r="C9" s="33" t="str">
        <f>"A"&amp;TEXT($C$3,"yy")-1&amp;"FY"</f>
        <v>A20FY</v>
      </c>
      <c r="D9" s="33" t="str">
        <f>"A"&amp;TEXT($C$3,"yy")&amp;TEXT(MONTH($C$3),"00")&amp;"YTD"</f>
        <v>A2110YTD</v>
      </c>
      <c r="E9" s="33" t="str">
        <f>"E"&amp;TEXT($C$3,"yy")&amp;TEXT(MONTH($C$3),"00")&amp;"YTG"</f>
        <v>E2110YTG</v>
      </c>
      <c r="F9" s="33" t="str">
        <f>"E"&amp;TEXT($C$3,"yyyy")&amp;"FY"</f>
        <v>E2021FY</v>
      </c>
      <c r="G9" s="270"/>
      <c r="H9" s="34" t="s">
        <v>121</v>
      </c>
      <c r="I9" s="34" t="s">
        <v>32</v>
      </c>
      <c r="J9" s="34" t="s">
        <v>33</v>
      </c>
      <c r="K9" s="33" t="str">
        <f>"B"&amp;YEAR($C$3)+1&amp;"FY"</f>
        <v>B2022FY</v>
      </c>
      <c r="L9" s="33"/>
      <c r="M9" s="34" t="s">
        <v>121</v>
      </c>
      <c r="N9" s="34" t="s">
        <v>32</v>
      </c>
      <c r="O9" s="35" t="s">
        <v>33</v>
      </c>
    </row>
    <row r="10" spans="2:17" ht="26.5" customHeight="1" x14ac:dyDescent="0.3">
      <c r="B10" s="36" t="s">
        <v>24</v>
      </c>
      <c r="C10" s="37">
        <f>SUMIFS(上年实际!$P:$P,上年实际!$C:$C,"&gt;="&amp;DATE(YEAR($C$3)-1,1,1),上年实际!$C:$C,"&lt;="&amp;DATE(YEAR($C$3)-1,12,DAY($C$3)))</f>
        <v>5046.0377358490568</v>
      </c>
      <c r="D10" s="37">
        <f>SUMIFS(当年实际!$P:$P,当年实际!$C:$C,"&gt;="&amp;DATE(YEAR($C$3),1,1),当年实际!$C:$C,"&lt;="&amp;$C$3)</f>
        <v>5000</v>
      </c>
      <c r="E10" s="38">
        <f>SUM('当年估计 客户'!D:D)</f>
        <v>6200</v>
      </c>
      <c r="F10" s="39">
        <f>D10+E10</f>
        <v>11200</v>
      </c>
      <c r="G10" s="40" t="str">
        <f>IF(AND(F10/F$6&lt;1.2,F10&gt;=F$6),"已较准","未较准")</f>
        <v>已较准</v>
      </c>
      <c r="H10" s="41">
        <f>F10-D10</f>
        <v>6200</v>
      </c>
      <c r="I10" s="42">
        <f>IFERROR(H10/D10,"-")</f>
        <v>1.24</v>
      </c>
      <c r="J10" s="43" t="s">
        <v>77</v>
      </c>
      <c r="K10" s="44">
        <f>SUM('下年预算 客户'!D:D)</f>
        <v>6200</v>
      </c>
      <c r="L10" s="40" t="str">
        <f>IF(AND(K10/K$6&lt;1.2,K10&gt;=K$6),"已较准","未较准")</f>
        <v>未较准</v>
      </c>
      <c r="M10" s="45">
        <f>K10-F10</f>
        <v>-5000</v>
      </c>
      <c r="N10" s="46">
        <f>M10/F10</f>
        <v>-0.44642857142857145</v>
      </c>
      <c r="O10" s="47" t="s">
        <v>77</v>
      </c>
      <c r="Q10" s="48"/>
    </row>
    <row r="11" spans="2:17" ht="26.5" customHeight="1" x14ac:dyDescent="0.3">
      <c r="B11" s="49" t="s">
        <v>23</v>
      </c>
      <c r="C11" s="50">
        <f>C10</f>
        <v>5046.0377358490568</v>
      </c>
      <c r="D11" s="50">
        <f>D10</f>
        <v>5000</v>
      </c>
      <c r="E11" s="51">
        <f>SUM('当年估计 产品'!F:F)</f>
        <v>9858</v>
      </c>
      <c r="F11" s="52">
        <f>D11+E11</f>
        <v>14858</v>
      </c>
      <c r="G11" s="40" t="str">
        <f>IF(AND(F11/F$6&lt;1.01,F11&gt;=F$6),"已较准","未较准")</f>
        <v>未较准</v>
      </c>
      <c r="H11" s="53">
        <f t="shared" ref="H11:H14" si="0">F11-D11</f>
        <v>9858</v>
      </c>
      <c r="I11" s="54">
        <f t="shared" ref="I11:I14" si="1">IFERROR(H11/D11,"-")</f>
        <v>1.9716</v>
      </c>
      <c r="J11" s="55" t="s">
        <v>77</v>
      </c>
      <c r="K11" s="56">
        <f>SUM('下年预算 产品'!F:F)</f>
        <v>26600</v>
      </c>
      <c r="L11" s="40" t="str">
        <f>IF(AND(K11/K$6&lt;1.01,K11&gt;=K$6),"已较准","未较准")</f>
        <v>未较准</v>
      </c>
      <c r="M11" s="57">
        <f t="shared" ref="M11:M14" si="2">K11-F11</f>
        <v>11742</v>
      </c>
      <c r="N11" s="58">
        <f t="shared" ref="N11:N14" si="3">M11/F11</f>
        <v>0.79028132992327371</v>
      </c>
      <c r="O11" s="59" t="s">
        <v>77</v>
      </c>
    </row>
    <row r="12" spans="2:17" ht="26.5" customHeight="1" x14ac:dyDescent="0.3">
      <c r="B12" s="49" t="s">
        <v>22</v>
      </c>
      <c r="C12" s="50">
        <f>C10</f>
        <v>5046.0377358490568</v>
      </c>
      <c r="D12" s="50">
        <f>D10</f>
        <v>5000</v>
      </c>
      <c r="E12" s="51">
        <f>SUM('当年估计 渠道'!D:D)</f>
        <v>5500</v>
      </c>
      <c r="F12" s="52">
        <f>D12+E12</f>
        <v>10500</v>
      </c>
      <c r="G12" s="40" t="str">
        <f t="shared" ref="G12:G14" si="4">IF(AND(F12/F$6&lt;1.2,F12&gt;=F$6),"已较准","未较准")</f>
        <v>未较准</v>
      </c>
      <c r="H12" s="53">
        <f t="shared" si="0"/>
        <v>5500</v>
      </c>
      <c r="I12" s="54">
        <f t="shared" si="1"/>
        <v>1.1000000000000001</v>
      </c>
      <c r="J12" s="55" t="s">
        <v>77</v>
      </c>
      <c r="K12" s="56">
        <f>SUM('下年预算 渠道'!D:D)</f>
        <v>6200</v>
      </c>
      <c r="L12" s="40" t="str">
        <f t="shared" ref="L12:L14" si="5">IF(AND(K12/K$6&lt;1.2,K12&gt;=K$6),"已较准","未较准")</f>
        <v>未较准</v>
      </c>
      <c r="M12" s="57">
        <f t="shared" si="2"/>
        <v>-4300</v>
      </c>
      <c r="N12" s="58">
        <f t="shared" si="3"/>
        <v>-0.40952380952380951</v>
      </c>
      <c r="O12" s="59" t="s">
        <v>77</v>
      </c>
    </row>
    <row r="13" spans="2:17" ht="26.5" customHeight="1" x14ac:dyDescent="0.3">
      <c r="B13" s="49" t="s">
        <v>21</v>
      </c>
      <c r="C13" s="50">
        <f>C10</f>
        <v>5046.0377358490568</v>
      </c>
      <c r="D13" s="50">
        <f>D10</f>
        <v>5000</v>
      </c>
      <c r="E13" s="51">
        <f>SUM('当年估计 业务员'!D:D)</f>
        <v>6200</v>
      </c>
      <c r="F13" s="52">
        <f>D13+E13</f>
        <v>11200</v>
      </c>
      <c r="G13" s="40" t="str">
        <f t="shared" si="4"/>
        <v>已较准</v>
      </c>
      <c r="H13" s="53">
        <f t="shared" si="0"/>
        <v>6200</v>
      </c>
      <c r="I13" s="54">
        <f t="shared" si="1"/>
        <v>1.24</v>
      </c>
      <c r="J13" s="55" t="s">
        <v>77</v>
      </c>
      <c r="K13" s="56">
        <f>SUM('下年预算 业务员'!D:D)</f>
        <v>6100</v>
      </c>
      <c r="L13" s="40" t="str">
        <f t="shared" si="5"/>
        <v>未较准</v>
      </c>
      <c r="M13" s="57">
        <f t="shared" si="2"/>
        <v>-5100</v>
      </c>
      <c r="N13" s="58">
        <f t="shared" si="3"/>
        <v>-0.45535714285714285</v>
      </c>
      <c r="O13" s="59" t="s">
        <v>77</v>
      </c>
    </row>
    <row r="14" spans="2:17" ht="26.5" customHeight="1" thickBot="1" x14ac:dyDescent="0.35">
      <c r="B14" s="60" t="s">
        <v>20</v>
      </c>
      <c r="C14" s="61">
        <f>C10</f>
        <v>5046.0377358490568</v>
      </c>
      <c r="D14" s="61">
        <f>D10</f>
        <v>5000</v>
      </c>
      <c r="E14" s="62">
        <f>F14-D14</f>
        <v>8100</v>
      </c>
      <c r="F14" s="63">
        <f>下年预算分月!O8</f>
        <v>13100</v>
      </c>
      <c r="G14" s="64" t="str">
        <f t="shared" si="4"/>
        <v>已较准</v>
      </c>
      <c r="H14" s="65">
        <f t="shared" si="0"/>
        <v>8100</v>
      </c>
      <c r="I14" s="66">
        <f t="shared" si="1"/>
        <v>1.62</v>
      </c>
      <c r="J14" s="67" t="s">
        <v>77</v>
      </c>
      <c r="K14" s="68">
        <f>下年预算分月!O11</f>
        <v>6420</v>
      </c>
      <c r="L14" s="64" t="str">
        <f t="shared" si="5"/>
        <v>未较准</v>
      </c>
      <c r="M14" s="69">
        <f t="shared" si="2"/>
        <v>-6680</v>
      </c>
      <c r="N14" s="70">
        <f t="shared" si="3"/>
        <v>-0.50992366412213741</v>
      </c>
      <c r="O14" s="71" t="s">
        <v>77</v>
      </c>
    </row>
    <row r="15" spans="2:17" s="74" customFormat="1" ht="21" customHeight="1" thickBot="1" x14ac:dyDescent="0.35">
      <c r="B15" s="72"/>
      <c r="C15" s="72"/>
      <c r="D15" s="72"/>
      <c r="E15" s="72"/>
      <c r="F15" s="72"/>
      <c r="G15" s="72"/>
      <c r="H15" s="72"/>
      <c r="I15" s="72"/>
      <c r="J15" s="72"/>
      <c r="K15" s="73"/>
      <c r="L15" s="73"/>
      <c r="M15" s="72"/>
      <c r="N15" s="72"/>
    </row>
    <row r="16" spans="2:17" ht="21.5" customHeight="1" thickBot="1" x14ac:dyDescent="0.35">
      <c r="B16" s="267" t="s">
        <v>78</v>
      </c>
      <c r="C16" s="22"/>
      <c r="D16" s="22"/>
      <c r="E16" s="22"/>
      <c r="F16" s="26" t="str">
        <f>"E"&amp;YEAR($C$3)&amp;"FY"</f>
        <v>E2021FY</v>
      </c>
      <c r="G16" s="27"/>
      <c r="H16" s="22"/>
      <c r="I16" s="22"/>
      <c r="J16" s="22"/>
      <c r="K16" s="26" t="str">
        <f>"B"&amp;YEAR($C$3)+1&amp;"FY"</f>
        <v>B2022FY</v>
      </c>
      <c r="L16" s="27"/>
      <c r="M16" s="22"/>
      <c r="N16" s="22"/>
      <c r="O16" s="22"/>
    </row>
    <row r="17" spans="2:17" s="28" customFormat="1" ht="20.5" thickBot="1" x14ac:dyDescent="0.35">
      <c r="B17" s="268"/>
      <c r="F17" s="75">
        <v>0.34100000000000003</v>
      </c>
      <c r="G17" s="30"/>
      <c r="K17" s="75">
        <v>0.188</v>
      </c>
      <c r="L17" s="30"/>
    </row>
    <row r="18" spans="2:17" s="31" customFormat="1" ht="17" thickBot="1" x14ac:dyDescent="0.35"/>
    <row r="19" spans="2:17" ht="21" customHeight="1" x14ac:dyDescent="0.3">
      <c r="B19" s="273" t="s">
        <v>38</v>
      </c>
      <c r="C19" s="241" t="s">
        <v>79</v>
      </c>
      <c r="D19" s="241" t="s">
        <v>79</v>
      </c>
      <c r="E19" s="241" t="s">
        <v>80</v>
      </c>
      <c r="F19" s="241" t="s">
        <v>80</v>
      </c>
      <c r="G19" s="275"/>
      <c r="H19" s="271" t="str">
        <f>"当年估计vs上年实际"&amp;"  E"&amp;TEXT($C$3,"yy")&amp;"/A"&amp;TEXT($C$3,"yy")-1</f>
        <v>当年估计vs上年实际  E21/A20</v>
      </c>
      <c r="I19" s="271"/>
      <c r="J19" s="271"/>
      <c r="K19" s="241" t="s">
        <v>81</v>
      </c>
      <c r="L19" s="241"/>
      <c r="M19" s="271" t="str">
        <f>"下年预算vs当年估计"&amp;"  B"&amp;TEXT($C$3,"yy")+1&amp;"/E"&amp;TEXT($C$3,"yy")</f>
        <v>下年预算vs当年估计  B22/E21</v>
      </c>
      <c r="N19" s="271"/>
      <c r="O19" s="272"/>
      <c r="Q19" s="94"/>
    </row>
    <row r="20" spans="2:17" ht="21" customHeight="1" x14ac:dyDescent="0.3">
      <c r="B20" s="274"/>
      <c r="C20" s="33" t="str">
        <f>"A"&amp;YEAR($C$3)-1&amp;"FY"</f>
        <v>A2020FY</v>
      </c>
      <c r="D20" s="33" t="str">
        <f>"A"&amp;YEAR($C$3)&amp;TEXT(MONTH($C$3),"00")&amp;"YTD"</f>
        <v>A202110YTD</v>
      </c>
      <c r="E20" s="33" t="str">
        <f>"E"&amp;YEAR($C$3)&amp;TEXT(MONTH($C$3),"00")&amp;"YTG"</f>
        <v>E202110YTG</v>
      </c>
      <c r="F20" s="33" t="str">
        <f>"E"&amp;YEAR($C$3)&amp;"FY"</f>
        <v>E2021FY</v>
      </c>
      <c r="G20" s="270"/>
      <c r="H20" s="34" t="s">
        <v>121</v>
      </c>
      <c r="I20" s="276" t="s">
        <v>33</v>
      </c>
      <c r="J20" s="277"/>
      <c r="K20" s="33" t="str">
        <f>"B"&amp;YEAR($C$3)+1&amp;"FY"</f>
        <v>B2022FY</v>
      </c>
      <c r="L20" s="33"/>
      <c r="M20" s="34" t="s">
        <v>121</v>
      </c>
      <c r="N20" s="276" t="s">
        <v>33</v>
      </c>
      <c r="O20" s="278"/>
    </row>
    <row r="21" spans="2:17" ht="26.5" customHeight="1" x14ac:dyDescent="0.3">
      <c r="B21" s="242" t="s">
        <v>24</v>
      </c>
      <c r="C21" s="76">
        <f>SUMIFS(上年实际!V:V,上年实际!$C:$C,"&gt;="&amp;DATE(YEAR($C$3)-1,1,1),上年实际!$C:$C,"&lt;="&amp;DATE(YEAR($C$3)-1,12,31))/SUMIFS(上年实际!$P:$P,上年实际!$C:$C,"&gt;="&amp;DATE(YEAR($C$3)-1,1,1),上年实际!$C:$C,"&lt;="&amp;DATE(YEAR($C$3)-1,12,31))</f>
        <v>0.20749700867484294</v>
      </c>
      <c r="D21" s="76">
        <f>SUMIFS(当年实际!$V:$V,当年实际!$C:$C,"&gt;="&amp;DATE(YEAR($C$3),1,1),当年实际!$C:$C,"&lt;="&amp;$C$3)/SUMIFS(当年实际!$P:$P,当年实际!$C:$C,"&gt;="&amp;DATE(YEAR($C$3),1,1),当年实际!$C:$C,"&lt;="&amp;$C$3)</f>
        <v>0.216</v>
      </c>
      <c r="E21" s="77">
        <f>SUM('当年估计 客户'!G:G)/SUM('当年估计 客户'!D:D)</f>
        <v>0.18693548387096776</v>
      </c>
      <c r="F21" s="78">
        <f>(D21*D10+E10*E21)/F10</f>
        <v>0.19991071428571427</v>
      </c>
      <c r="G21" s="40" t="str">
        <f>IF(AND(F21/F$17&lt;1.2,F21&gt;=F$17),"已较准","未较准")</f>
        <v>未较准</v>
      </c>
      <c r="H21" s="237">
        <f>F21-D21</f>
        <v>-1.6089285714285723E-2</v>
      </c>
      <c r="I21" s="257"/>
      <c r="J21" s="257"/>
      <c r="K21" s="239">
        <f>SUM('下年预算 客户'!G:G)/SUM('下年预算 客户'!D:D)</f>
        <v>0.21806451612903227</v>
      </c>
      <c r="L21" s="40" t="str">
        <f>IF(AND(K21/K$17&lt;1.2,K21&gt;=K$17),"已较准","未较准")</f>
        <v>已较准</v>
      </c>
      <c r="M21" s="235">
        <f>K21-F21</f>
        <v>1.8153801843317996E-2</v>
      </c>
      <c r="N21" s="257"/>
      <c r="O21" s="258"/>
    </row>
    <row r="22" spans="2:17" ht="26.5" customHeight="1" x14ac:dyDescent="0.3">
      <c r="B22" s="243" t="s">
        <v>23</v>
      </c>
      <c r="C22" s="79">
        <f>C21</f>
        <v>0.20749700867484294</v>
      </c>
      <c r="D22" s="79">
        <f>D21</f>
        <v>0.216</v>
      </c>
      <c r="E22" s="80">
        <f>SUM('当年估计 产品'!L:L)/SUM('当年估计 产品'!F:F)</f>
        <v>0.43325218096977075</v>
      </c>
      <c r="F22" s="81">
        <f t="shared" ref="F22:F24" si="6">(D22*D11+E11*E22)/F11</f>
        <v>0.36014268407591871</v>
      </c>
      <c r="G22" s="40" t="str">
        <f>IF(AND(F22/F$17&lt;1.01,F22&gt;=F$17),"已较准","未较准")</f>
        <v>未较准</v>
      </c>
      <c r="H22" s="238">
        <f t="shared" ref="H22:H25" si="7">F22-D22</f>
        <v>0.14414268407591871</v>
      </c>
      <c r="I22" s="257"/>
      <c r="J22" s="257"/>
      <c r="K22" s="240">
        <f>SUM('下年预算 产品'!L:L)/SUM('下年预算 产品'!F:F)</f>
        <v>0.14984962406015037</v>
      </c>
      <c r="L22" s="40" t="str">
        <f>IF(AND(K22/K$17&lt;1.01,K22&gt;=K$17),"已较准","未较准")</f>
        <v>未较准</v>
      </c>
      <c r="M22" s="236">
        <f>K22-F22</f>
        <v>-0.21029306001576833</v>
      </c>
      <c r="N22" s="257"/>
      <c r="O22" s="258"/>
      <c r="Q22" s="93"/>
    </row>
    <row r="23" spans="2:17" ht="26.5" customHeight="1" x14ac:dyDescent="0.3">
      <c r="B23" s="243" t="s">
        <v>22</v>
      </c>
      <c r="C23" s="79">
        <f>C21</f>
        <v>0.20749700867484294</v>
      </c>
      <c r="D23" s="79">
        <f>D21</f>
        <v>0.216</v>
      </c>
      <c r="E23" s="80">
        <f>SUM('当年估计 渠道'!G:G)/SUM('当年估计 渠道'!D:D)</f>
        <v>0.22590909090909092</v>
      </c>
      <c r="F23" s="81">
        <f t="shared" si="6"/>
        <v>0.22119047619047619</v>
      </c>
      <c r="G23" s="40" t="str">
        <f t="shared" ref="G23:G25" si="8">IF(AND(F23/F$17&lt;1.2,F23&gt;=F$17),"已较准","未较准")</f>
        <v>未较准</v>
      </c>
      <c r="H23" s="238">
        <f t="shared" si="7"/>
        <v>5.1904761904761898E-3</v>
      </c>
      <c r="I23" s="257"/>
      <c r="J23" s="257"/>
      <c r="K23" s="240">
        <f>SUM('下年预算 渠道'!G:G)/SUM('下年预算 渠道'!D:D)</f>
        <v>0.19290322580645161</v>
      </c>
      <c r="L23" s="40" t="str">
        <f t="shared" ref="L23:L25" si="9">IF(AND(K23/K$17&lt;1.2,K23&gt;=K$17),"已较准","未较准")</f>
        <v>已较准</v>
      </c>
      <c r="M23" s="236">
        <f t="shared" ref="M23:M25" si="10">K23-F23</f>
        <v>-2.8287250384024576E-2</v>
      </c>
      <c r="N23" s="257"/>
      <c r="O23" s="258"/>
    </row>
    <row r="24" spans="2:17" ht="26.5" customHeight="1" x14ac:dyDescent="0.3">
      <c r="B24" s="243" t="s">
        <v>21</v>
      </c>
      <c r="C24" s="79">
        <f>C21</f>
        <v>0.20749700867484294</v>
      </c>
      <c r="D24" s="79">
        <f>D21</f>
        <v>0.216</v>
      </c>
      <c r="E24" s="80">
        <f>SUM('当年估计 业务员'!G:G)/SUM('当年估计 业务员'!D:D)</f>
        <v>0.24419354838709678</v>
      </c>
      <c r="F24" s="81">
        <f t="shared" si="6"/>
        <v>0.23160714285714284</v>
      </c>
      <c r="G24" s="40" t="str">
        <f t="shared" si="8"/>
        <v>未较准</v>
      </c>
      <c r="H24" s="238">
        <f t="shared" si="7"/>
        <v>1.5607142857142847E-2</v>
      </c>
      <c r="I24" s="257"/>
      <c r="J24" s="257"/>
      <c r="K24" s="240">
        <f>SUM('下年预算 业务员'!G:G)/SUM('下年预算 业务员'!D:D)</f>
        <v>0.20950819672131146</v>
      </c>
      <c r="L24" s="40" t="str">
        <f t="shared" si="9"/>
        <v>已较准</v>
      </c>
      <c r="M24" s="236">
        <f t="shared" si="10"/>
        <v>-2.2098946135831382E-2</v>
      </c>
      <c r="N24" s="257"/>
      <c r="O24" s="258"/>
    </row>
    <row r="25" spans="2:17" ht="26.5" customHeight="1" thickBot="1" x14ac:dyDescent="0.35">
      <c r="B25" s="244" t="s">
        <v>20</v>
      </c>
      <c r="C25" s="245">
        <f>C21</f>
        <v>0.20749700867484294</v>
      </c>
      <c r="D25" s="245">
        <f>D21</f>
        <v>0.216</v>
      </c>
      <c r="E25" s="246">
        <f>(F25*F14-D14*D25)/E14</f>
        <v>0.41816049382716053</v>
      </c>
      <c r="F25" s="247">
        <f>F17</f>
        <v>0.34100000000000003</v>
      </c>
      <c r="G25" s="248" t="str">
        <f t="shared" si="8"/>
        <v>已较准</v>
      </c>
      <c r="H25" s="249">
        <f t="shared" si="7"/>
        <v>0.12500000000000003</v>
      </c>
      <c r="I25" s="259"/>
      <c r="J25" s="259"/>
      <c r="K25" s="250">
        <f>K17</f>
        <v>0.188</v>
      </c>
      <c r="L25" s="248" t="str">
        <f t="shared" si="9"/>
        <v>已较准</v>
      </c>
      <c r="M25" s="251">
        <f t="shared" si="10"/>
        <v>-0.15300000000000002</v>
      </c>
      <c r="N25" s="259"/>
      <c r="O25" s="260"/>
    </row>
    <row r="26" spans="2:17" s="74" customFormat="1" ht="26.5" customHeight="1" x14ac:dyDescent="0.3">
      <c r="B26" s="72"/>
      <c r="C26" s="73"/>
      <c r="D26" s="73"/>
      <c r="E26" s="82"/>
      <c r="F26" s="73"/>
      <c r="G26" s="83"/>
      <c r="H26" s="73"/>
      <c r="I26" s="84"/>
      <c r="J26" s="85"/>
      <c r="K26" s="73"/>
      <c r="L26" s="83"/>
      <c r="M26" s="73"/>
      <c r="N26" s="86"/>
      <c r="O26" s="85"/>
    </row>
    <row r="27" spans="2:17" x14ac:dyDescent="0.3">
      <c r="C27" s="87" t="s">
        <v>102</v>
      </c>
    </row>
    <row r="28" spans="2:17" s="87" customFormat="1" ht="14.5" x14ac:dyDescent="0.3"/>
    <row r="29" spans="2:17" s="87" customFormat="1" ht="14.5" x14ac:dyDescent="0.3">
      <c r="C29" s="88"/>
      <c r="D29" s="87" t="s">
        <v>76</v>
      </c>
    </row>
    <row r="30" spans="2:17" s="87" customFormat="1" ht="14.5" x14ac:dyDescent="0.3">
      <c r="C30" s="89"/>
      <c r="D30" s="87" t="s">
        <v>74</v>
      </c>
    </row>
    <row r="31" spans="2:17" s="87" customFormat="1" ht="14.5" x14ac:dyDescent="0.3">
      <c r="C31" s="90"/>
      <c r="D31" s="87" t="s">
        <v>75</v>
      </c>
    </row>
    <row r="32" spans="2:17" s="87" customFormat="1" ht="14.5" x14ac:dyDescent="0.3"/>
    <row r="33" spans="3:4" s="87" customFormat="1" ht="14.5" x14ac:dyDescent="0.3">
      <c r="C33" s="91" t="s">
        <v>82</v>
      </c>
      <c r="D33" s="92" t="s">
        <v>87</v>
      </c>
    </row>
    <row r="34" spans="3:4" s="87" customFormat="1" ht="14.5" x14ac:dyDescent="0.3">
      <c r="C34" s="91" t="s">
        <v>83</v>
      </c>
      <c r="D34" s="92" t="s">
        <v>86</v>
      </c>
    </row>
    <row r="35" spans="3:4" s="87" customFormat="1" ht="14.5" x14ac:dyDescent="0.3">
      <c r="C35" s="91" t="s">
        <v>84</v>
      </c>
      <c r="D35" s="92" t="s">
        <v>85</v>
      </c>
    </row>
  </sheetData>
  <sheetProtection formatCells="0" formatColumns="0" formatRows="0"/>
  <mergeCells count="24">
    <mergeCell ref="H19:J19"/>
    <mergeCell ref="M19:O19"/>
    <mergeCell ref="B16:B17"/>
    <mergeCell ref="B19:B20"/>
    <mergeCell ref="G19:G20"/>
    <mergeCell ref="I20:J20"/>
    <mergeCell ref="N20:O20"/>
    <mergeCell ref="H8:J8"/>
    <mergeCell ref="M8:O8"/>
    <mergeCell ref="B2:O2"/>
    <mergeCell ref="B8:B9"/>
    <mergeCell ref="C3:D3"/>
    <mergeCell ref="B5:B6"/>
    <mergeCell ref="G8:G9"/>
    <mergeCell ref="I21:J21"/>
    <mergeCell ref="I22:J22"/>
    <mergeCell ref="I23:J23"/>
    <mergeCell ref="I24:J24"/>
    <mergeCell ref="I25:J25"/>
    <mergeCell ref="N21:O21"/>
    <mergeCell ref="N22:O22"/>
    <mergeCell ref="N23:O23"/>
    <mergeCell ref="N24:O24"/>
    <mergeCell ref="N25:O25"/>
  </mergeCells>
  <phoneticPr fontId="3" type="noConversion"/>
  <conditionalFormatting sqref="G10:G14 L10:L14 G21:G25 L21:L25">
    <cfRule type="cellIs" dxfId="18" priority="12" operator="equal">
      <formula>"已较准"</formula>
    </cfRule>
  </conditionalFormatting>
  <conditionalFormatting sqref="G10:G14 L10:L14 G21:G25 L21:L25">
    <cfRule type="cellIs" dxfId="17" priority="10" operator="equal">
      <formula>"可接受"</formula>
    </cfRule>
    <cfRule type="cellIs" dxfId="16" priority="11" operator="equal">
      <formula>"未较准"</formula>
    </cfRule>
  </conditionalFormatting>
  <conditionalFormatting sqref="C35">
    <cfRule type="cellIs" dxfId="15" priority="3" operator="equal">
      <formula>"已较准"</formula>
    </cfRule>
  </conditionalFormatting>
  <conditionalFormatting sqref="C35">
    <cfRule type="cellIs" dxfId="14" priority="1" operator="equal">
      <formula>"可接受"</formula>
    </cfRule>
    <cfRule type="cellIs" dxfId="13" priority="2" operator="equal">
      <formula>"未较准"</formula>
    </cfRule>
  </conditionalFormatting>
  <conditionalFormatting sqref="C33:C34">
    <cfRule type="cellIs" dxfId="12" priority="6" operator="equal">
      <formula>"已较准"</formula>
    </cfRule>
  </conditionalFormatting>
  <conditionalFormatting sqref="C33:C34">
    <cfRule type="cellIs" dxfId="11" priority="4" operator="equal">
      <formula>"可接受"</formula>
    </cfRule>
    <cfRule type="cellIs" dxfId="10" priority="5" operator="equal">
      <formula>"未较准"</formula>
    </cfRule>
  </conditionalFormatting>
  <hyperlinks>
    <hyperlink ref="Q1" location="主页!A1" display="主页!A1" xr:uid="{8839E5DE-94AD-4833-999C-3C0DF7AD265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26CE-935B-44AB-AEEE-2B35996D66B2}">
  <dimension ref="B2:AV12"/>
  <sheetViews>
    <sheetView topLeftCell="AJ1" workbookViewId="0">
      <selection activeCell="AV2" sqref="AV2"/>
    </sheetView>
  </sheetViews>
  <sheetFormatPr defaultRowHeight="14" outlineLevelCol="1" x14ac:dyDescent="0.3"/>
  <cols>
    <col min="5" max="5" width="9.58203125" bestFit="1" customWidth="1"/>
    <col min="6" max="8" width="9.58203125" customWidth="1"/>
    <col min="9" max="9" width="12.33203125" customWidth="1" outlineLevel="1"/>
    <col min="10" max="10" width="11.9140625" customWidth="1" outlineLevel="1"/>
    <col min="11" max="11" width="13.08203125" customWidth="1" outlineLevel="1"/>
    <col min="12" max="12" width="12" customWidth="1" outlineLevel="1"/>
    <col min="13" max="13" width="12.58203125" customWidth="1" outlineLevel="1"/>
    <col min="14" max="14" width="12" customWidth="1" outlineLevel="1"/>
    <col min="20" max="20" width="9.58203125" bestFit="1" customWidth="1"/>
    <col min="21" max="21" width="9.08203125" bestFit="1" customWidth="1"/>
    <col min="26" max="26" width="9.58203125" bestFit="1" customWidth="1"/>
    <col min="27" max="30" width="9.08203125" bestFit="1" customWidth="1"/>
    <col min="34" max="35" width="9" bestFit="1" customWidth="1"/>
    <col min="36" max="36" width="10.58203125" bestFit="1" customWidth="1"/>
    <col min="37" max="37" width="9.58203125" bestFit="1" customWidth="1"/>
    <col min="38" max="38" width="10.58203125" bestFit="1" customWidth="1"/>
    <col min="39" max="45" width="10.58203125" customWidth="1"/>
    <col min="46" max="46" width="9.58203125" bestFit="1" customWidth="1"/>
  </cols>
  <sheetData>
    <row r="2" spans="2:48" ht="27.65" customHeight="1" x14ac:dyDescent="0.3">
      <c r="B2" s="95" t="s">
        <v>17</v>
      </c>
      <c r="C2" s="96" t="s">
        <v>19</v>
      </c>
      <c r="D2" s="95" t="s">
        <v>18</v>
      </c>
      <c r="E2" s="95" t="s">
        <v>89</v>
      </c>
      <c r="F2" s="95" t="str">
        <f>"A"&amp;YEAR(主页!$D$2)-1&amp;"FY"</f>
        <v>A2020FY</v>
      </c>
      <c r="G2" s="95" t="str">
        <f>"A"&amp;YEAR(主页!$D$2)-1&amp;"FY"</f>
        <v>A2020FY</v>
      </c>
      <c r="H2" s="95" t="str">
        <f>"A"&amp;YEAR(主页!$D$2)-1&amp;"FY"</f>
        <v>A2020FY</v>
      </c>
      <c r="I2" s="95" t="str">
        <f>"A"&amp;YEAR(主页!$D$2)&amp;TEXT(MONTH(主页!$D$2),"00")&amp;"YTD"</f>
        <v>A202110YTD</v>
      </c>
      <c r="J2" s="95" t="str">
        <f>"A"&amp;YEAR(主页!$D$2)&amp;TEXT(MONTH(主页!$D$2),"00")&amp;"YTD"</f>
        <v>A202110YTD</v>
      </c>
      <c r="K2" s="95" t="str">
        <f>"A"&amp;YEAR(主页!$D$2)&amp;TEXT(MONTH(主页!$D$2),"00")&amp;"YTD"</f>
        <v>A202110YTD</v>
      </c>
      <c r="L2" s="95" t="str">
        <f>"E"&amp;YEAR(主页!$D$2)&amp;TEXT(MONTH(主页!$D$2),"00")&amp;"YTG"</f>
        <v>E202110YTG</v>
      </c>
      <c r="M2" s="95" t="str">
        <f>"E"&amp;YEAR(主页!$D$2)&amp;TEXT(MONTH(主页!$D$2),"00")&amp;"YTG"</f>
        <v>E202110YTG</v>
      </c>
      <c r="N2" s="95" t="str">
        <f>"E"&amp;YEAR(主页!$D$2)&amp;TEXT(MONTH(主页!$D$2),"00")&amp;"YTG"</f>
        <v>E202110YTG</v>
      </c>
      <c r="O2" s="95" t="str">
        <f>"E"&amp;YEAR(主页!$D$2)&amp;"FY"</f>
        <v>E2021FY</v>
      </c>
      <c r="P2" s="95" t="str">
        <f>"E"&amp;YEAR(主页!$D$2)&amp;"FY"</f>
        <v>E2021FY</v>
      </c>
      <c r="Q2" s="95" t="str">
        <f>"E"&amp;YEAR(主页!$D$2)&amp;"FY"</f>
        <v>E2021FY</v>
      </c>
      <c r="R2" s="279" t="str">
        <f>"E"&amp;YEAR(主页!$D$2)&amp;"/A"&amp;YEAR(主页!$D$2)-1</f>
        <v>E2021/A2020</v>
      </c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95" t="str">
        <f>"B"&amp;YEAR(主页!$D$2)+1&amp;"FY"</f>
        <v>B2022FY</v>
      </c>
      <c r="AF2" s="95" t="str">
        <f>"B"&amp;YEAR(主页!$D$2)+1&amp;"FY"</f>
        <v>B2022FY</v>
      </c>
      <c r="AG2" s="95" t="str">
        <f>"B"&amp;YEAR(主页!$D$2)+1&amp;"FY"</f>
        <v>B2022FY</v>
      </c>
      <c r="AH2" s="279" t="str">
        <f>"B"&amp;YEAR(主页!$D$2)+1&amp;"/E"&amp;YEAR(主页!$D$2)</f>
        <v>B2022/E2021</v>
      </c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V2" s="121" t="s">
        <v>197</v>
      </c>
    </row>
    <row r="3" spans="2:48" s="97" customFormat="1" x14ac:dyDescent="0.3">
      <c r="F3" s="97" t="s">
        <v>112</v>
      </c>
      <c r="G3" s="97" t="s">
        <v>113</v>
      </c>
      <c r="H3" s="97" t="s">
        <v>114</v>
      </c>
      <c r="I3" s="97" t="s">
        <v>112</v>
      </c>
      <c r="J3" s="97" t="s">
        <v>113</v>
      </c>
      <c r="K3" s="97" t="s">
        <v>114</v>
      </c>
      <c r="L3" s="97" t="s">
        <v>112</v>
      </c>
      <c r="M3" s="97" t="s">
        <v>113</v>
      </c>
      <c r="N3" s="97" t="s">
        <v>114</v>
      </c>
      <c r="O3" s="97" t="s">
        <v>112</v>
      </c>
      <c r="P3" s="97" t="s">
        <v>113</v>
      </c>
      <c r="Q3" s="97" t="s">
        <v>114</v>
      </c>
      <c r="R3" s="97" t="s">
        <v>115</v>
      </c>
      <c r="S3" s="97" t="s">
        <v>116</v>
      </c>
      <c r="T3" s="97" t="s">
        <v>117</v>
      </c>
      <c r="U3" s="97" t="s">
        <v>118</v>
      </c>
      <c r="V3" s="97" t="s">
        <v>119</v>
      </c>
      <c r="W3" s="97" t="s">
        <v>134</v>
      </c>
      <c r="X3" s="97" t="s">
        <v>125</v>
      </c>
      <c r="Y3" s="97" t="s">
        <v>126</v>
      </c>
      <c r="Z3" s="97" t="s">
        <v>127</v>
      </c>
      <c r="AA3" s="97" t="s">
        <v>132</v>
      </c>
      <c r="AB3" s="97" t="s">
        <v>128</v>
      </c>
      <c r="AC3" s="97" t="s">
        <v>133</v>
      </c>
      <c r="AD3" s="97" t="s">
        <v>120</v>
      </c>
      <c r="AE3" s="97" t="s">
        <v>112</v>
      </c>
      <c r="AF3" s="97" t="s">
        <v>113</v>
      </c>
      <c r="AG3" s="97" t="s">
        <v>114</v>
      </c>
      <c r="AH3" s="97" t="s">
        <v>115</v>
      </c>
      <c r="AI3" s="97" t="s">
        <v>116</v>
      </c>
      <c r="AJ3" s="97" t="s">
        <v>117</v>
      </c>
      <c r="AK3" s="97" t="s">
        <v>131</v>
      </c>
      <c r="AL3" s="97" t="s">
        <v>119</v>
      </c>
      <c r="AM3" s="97" t="s">
        <v>134</v>
      </c>
      <c r="AN3" s="97" t="s">
        <v>125</v>
      </c>
      <c r="AO3" s="97" t="s">
        <v>126</v>
      </c>
      <c r="AP3" s="97" t="s">
        <v>127</v>
      </c>
      <c r="AQ3" s="97" t="s">
        <v>132</v>
      </c>
      <c r="AR3" s="97" t="s">
        <v>128</v>
      </c>
      <c r="AS3" s="97" t="s">
        <v>133</v>
      </c>
      <c r="AT3" s="97" t="s">
        <v>120</v>
      </c>
    </row>
    <row r="4" spans="2:48" x14ac:dyDescent="0.3">
      <c r="B4" t="s">
        <v>103</v>
      </c>
      <c r="C4" t="s">
        <v>106</v>
      </c>
      <c r="D4" t="s">
        <v>109</v>
      </c>
      <c r="E4" t="s">
        <v>90</v>
      </c>
      <c r="F4" s="192">
        <f>SUMIFS(上年实际!$O:$O,上年实际!$K:$K,$B4,上年实际!$L:$L,$C4,上年实际!$M:$M,$D4,上年实际!$N:$N,$E4,上年实际!$C:$C,"&gt;="&amp;DATE(YEAR(主页!$D$2)-1,1,1),上年实际!$C:$C,"&lt;="&amp;DATE(YEAR(主页!$D$2),12,31))</f>
        <v>98</v>
      </c>
      <c r="G4" s="192">
        <f>SUMIFS(上年实际!$P:$P,上年实际!$K:$K,$B4,上年实际!$L:$L,$C4,上年实际!$M:$M,$D4,上年实际!$N:$N,$E4,上年实际!$C:$C,"&gt;="&amp;DATE(YEAR(主页!$D$2)-1,1,1),上年实际!$C:$C,"&lt;="&amp;DATE(YEAR(主页!$D$2),12,31))</f>
        <v>1500</v>
      </c>
      <c r="H4" s="179">
        <f>SUMIFS(上年实际!$V:$V,上年实际!$K:$K,$B4,上年实际!$L:$L,$C4,上年实际!$M:$M,$D4,上年实际!$N:$N,$E4,上年实际!$C:$C,"&gt;="&amp;DATE(YEAR(主页!$D$2)-1,1,1),上年实际!$C:$C,"&lt;="&amp;DATE(YEAR(主页!$D$2),12,31))</f>
        <v>226</v>
      </c>
      <c r="I4" s="179">
        <f>SUMIFS(当年实际!$O:$O,当年实际!$K:$K,$B4,当年实际!$L:$L,$C4,当年实际!$M:$M,$D4,当年实际!$N:$N,$E4,当年实际!$C:$C,"&gt;="&amp;DATE(YEAR(主页!$D$2),1,1),当年实际!$C:$C,"&lt;="&amp;EOMONTH(DATE(YEAR(主页!$D$2),MONTH(主页!$D$2),1),0))</f>
        <v>100</v>
      </c>
      <c r="J4" s="179">
        <f>SUMIFS(当年实际!$P:$P,当年实际!$K:$K,$B4,当年实际!$L:$L,$C4,当年实际!$M:$M,$D4,当年实际!$N:$N,$E4,当年实际!$C:$C,"&gt;="&amp;DATE(YEAR(主页!$D$2),1,1),当年实际!$C:$C,"&lt;="&amp;EOMONTH(DATE(YEAR(主页!$D$2),MONTH(主页!$D$2),1),0))</f>
        <v>1800</v>
      </c>
      <c r="K4" s="179">
        <f>SUMIFS(当年实际!$V:$V,当年实际!$K:$K,$B4,当年实际!$L:$L,$C4,当年实际!$M:$M,$D4,当年实际!$N:$N,$E4,当年实际!$C:$C,"&gt;="&amp;DATE(YEAR(主页!$D$2),1,1),当年实际!$C:$C,"&lt;="&amp;EOMONTH(DATE(YEAR(主页!$D$2),MONTH(主页!$D$2),1),0))</f>
        <v>500</v>
      </c>
      <c r="L4" s="191">
        <f>SUMIFS('当年估计 产品'!$E:$E,'当年估计 产品'!$A:$A,$C4,'当年估计 产品'!$B:$B,$D4,'当年估计 产品'!$C:$C,$B4,'当年估计 产品'!$D:$D,$E4)</f>
        <v>70</v>
      </c>
      <c r="M4" s="191">
        <f>SUMIFS('当年估计 产品'!$F:$F,'当年估计 产品'!$A:$A,$C4,'当年估计 产品'!$B:$B,$D4,'当年估计 产品'!$C:$C,$B4,'当年估计 产品'!$D:$D,$E4)</f>
        <v>1800</v>
      </c>
      <c r="N4" s="179">
        <f>SUMIFS('当年估计 产品'!$L:$L,'当年估计 产品'!$A:$A,$C4,'当年估计 产品'!$B:$B,$D4,'当年估计 产品'!$C:$C,$B4,'当年估计 产品'!$D:$D,$E4)</f>
        <v>890</v>
      </c>
      <c r="O4" s="179">
        <f>I4+L4</f>
        <v>170</v>
      </c>
      <c r="P4" s="179">
        <f t="shared" ref="P4:Q4" si="0">J4+M4</f>
        <v>3600</v>
      </c>
      <c r="Q4" s="179">
        <f t="shared" si="0"/>
        <v>1390</v>
      </c>
      <c r="R4" s="189">
        <f>IFERROR(G4/F4,"na")</f>
        <v>15.306122448979592</v>
      </c>
      <c r="S4" s="189">
        <f>IFERROR(P4/O4,"na")</f>
        <v>21.176470588235293</v>
      </c>
      <c r="T4" s="189">
        <f>O4*IF(R4="NA",IF(S4="NA",0,S4),R4)</f>
        <v>2602.0408163265306</v>
      </c>
      <c r="U4" s="189">
        <f>T4-G4</f>
        <v>1102.0408163265306</v>
      </c>
      <c r="V4" s="189">
        <f>P4-G4-U4</f>
        <v>997.9591836734694</v>
      </c>
      <c r="W4" s="189">
        <f>P4-G4</f>
        <v>2100</v>
      </c>
      <c r="X4" s="189">
        <f>IFERROR((G4-H4)/F4,"NA")</f>
        <v>13</v>
      </c>
      <c r="Y4" s="189">
        <f>IFERROR((P4-Q4)/O4,"NA")</f>
        <v>13</v>
      </c>
      <c r="Z4" s="189">
        <f>O4*IF(X4="NA",IF(Y4="NA",0,Y4),X4)</f>
        <v>2210</v>
      </c>
      <c r="AA4" s="189">
        <f>Z4-(G4-H4)</f>
        <v>936</v>
      </c>
      <c r="AB4" s="189">
        <f>AC4-AA4</f>
        <v>0</v>
      </c>
      <c r="AC4" s="189">
        <f>(P4-Q4)-(G4-H4)</f>
        <v>936</v>
      </c>
      <c r="AD4" s="189">
        <f>Q4-G4/SUM(G:G)*SUM(P:P)*Q4/P4</f>
        <v>-315.34957996809271</v>
      </c>
      <c r="AE4" s="190">
        <f>SUMIFS('下年预算 产品'!$E:$E,'下年预算 产品'!$A:$A,$C4,'下年预算 产品'!$B:$B,$D4,'下年预算 产品'!$C:$C,$B4,'下年预算 产品'!$D:$D,$E4)</f>
        <v>280</v>
      </c>
      <c r="AF4" s="190">
        <f>SUMIFS('下年预算 产品'!$F:$F,'下年预算 产品'!$A:$A,$C4,'下年预算 产品'!$B:$B,$D4,'下年预算 产品'!$C:$C,$B4,'下年预算 产品'!$D:$D,$E4)</f>
        <v>4800</v>
      </c>
      <c r="AG4" s="179">
        <f>SUMIFS('下年预算 产品'!$L:$L,'下年预算 产品'!$A:$A,$C4,'下年预算 产品'!$B:$B,$D4,'下年预算 产品'!$C:$C,$B4,'下年预算 产品'!$D:$D,$E4)</f>
        <v>880</v>
      </c>
      <c r="AH4" s="189">
        <f>IFERROR(P4/O4,"na")</f>
        <v>21.176470588235293</v>
      </c>
      <c r="AI4" s="189">
        <f>IFERROR(AF4/AE4,"na")</f>
        <v>17.142857142857142</v>
      </c>
      <c r="AJ4" s="189">
        <f>AE4*IF(AH4="NA",IF(AI4="NA",0,AI4),AH4)</f>
        <v>5929.411764705882</v>
      </c>
      <c r="AK4" s="189">
        <f>AJ4-P4</f>
        <v>2329.411764705882</v>
      </c>
      <c r="AL4" s="189">
        <f>AF4-P4-AK4</f>
        <v>-1129.411764705882</v>
      </c>
      <c r="AM4" s="189">
        <f>AF4-P4</f>
        <v>1200</v>
      </c>
      <c r="AN4" s="189">
        <f>IFERROR((P4-Q4)/O4,"NA")</f>
        <v>13</v>
      </c>
      <c r="AO4" s="189">
        <f>IFERROR((AF4-AG4)/AE4,"NA")</f>
        <v>14</v>
      </c>
      <c r="AP4" s="189">
        <f>AE4*IF(AN4="NA",IF(AO4="NA",0,AO4),AN4)</f>
        <v>3640</v>
      </c>
      <c r="AQ4" s="189">
        <f>AP4-(P4-Q4)</f>
        <v>1430</v>
      </c>
      <c r="AR4" s="189">
        <f>(AF4-AG4)-(P4-Q4)-(AP4-(P4-Q4))</f>
        <v>280</v>
      </c>
      <c r="AS4" s="189">
        <f>(AF4-AG4)-(P4-Q4)</f>
        <v>1710</v>
      </c>
      <c r="AT4" s="189">
        <f>AG4-P4/SUM(P:P)*SUM(AF:AF)*AG4/AF4</f>
        <v>-301.58567774936068</v>
      </c>
    </row>
    <row r="5" spans="2:48" x14ac:dyDescent="0.3">
      <c r="B5" t="s">
        <v>104</v>
      </c>
      <c r="C5" t="s">
        <v>107</v>
      </c>
      <c r="D5" t="s">
        <v>110</v>
      </c>
      <c r="E5" t="s">
        <v>92</v>
      </c>
      <c r="F5" s="192">
        <f>SUMIFS(上年实际!$O:$O,上年实际!$K:$K,$B5,上年实际!$L:$L,$C5,上年实际!$M:$M,$D5,上年实际!$N:$N,$E5,上年实际!$C:$C,"&gt;="&amp;DATE(YEAR(主页!$D$2)-1,1,1),上年实际!$C:$C,"&lt;="&amp;DATE(YEAR(主页!$D$2),12,31))</f>
        <v>121</v>
      </c>
      <c r="G5" s="192">
        <f>SUMIFS(上年实际!$P:$P,上年实际!$K:$K,$B5,上年实际!$L:$L,$C5,上年实际!$M:$M,$D5,上年实际!$N:$N,$E5,上年实际!$C:$C,"&gt;="&amp;DATE(YEAR(主页!$D$2)-1,1,1),上年实际!$C:$C,"&lt;="&amp;DATE(YEAR(主页!$D$2),12,31))</f>
        <v>1980</v>
      </c>
      <c r="H5" s="179">
        <f>SUMIFS(上年实际!$V:$V,上年实际!$K:$K,$B5,上年实际!$L:$L,$C5,上年实际!$M:$M,$D5,上年实际!$N:$N,$E5,上年实际!$C:$C,"&gt;="&amp;DATE(YEAR(主页!$D$2)-1,1,1),上年实际!$C:$C,"&lt;="&amp;DATE(YEAR(主页!$D$2),12,31))</f>
        <v>407</v>
      </c>
      <c r="I5" s="179">
        <f>SUMIFS(当年实际!$O:$O,当年实际!$K:$K,$B5,当年实际!$L:$L,$C5,当年实际!$M:$M,$D5,当年实际!$N:$N,$E5,当年实际!$C:$C,"&gt;="&amp;DATE(YEAR(主页!$D$2),1,1),当年实际!$C:$C,"&lt;="&amp;EOMONTH(DATE(YEAR(主页!$D$2),MONTH(主页!$D$2),1),0))</f>
        <v>124</v>
      </c>
      <c r="J5" s="179">
        <f>SUMIFS(当年实际!$P:$P,当年实际!$K:$K,$B5,当年实际!$L:$L,$C5,当年实际!$M:$M,$D5,当年实际!$N:$N,$E5,当年实际!$C:$C,"&gt;="&amp;DATE(YEAR(主页!$D$2),1,1),当年实际!$C:$C,"&lt;="&amp;EOMONTH(DATE(YEAR(主页!$D$2),MONTH(主页!$D$2),1),0))</f>
        <v>2000</v>
      </c>
      <c r="K5" s="179">
        <f>SUMIFS(当年实际!$V:$V,当年实际!$K:$K,$B5,当年实际!$L:$L,$C5,当年实际!$M:$M,$D5,当年实际!$N:$N,$E5,当年实际!$C:$C,"&gt;="&amp;DATE(YEAR(主页!$D$2),1,1),当年实际!$C:$C,"&lt;="&amp;EOMONTH(DATE(YEAR(主页!$D$2),MONTH(主页!$D$2),1),0))</f>
        <v>388</v>
      </c>
      <c r="L5" s="191">
        <f>SUMIFS('当年估计 产品'!$E:$E,'当年估计 产品'!$A:$A,$C5,'当年估计 产品'!$B:$B,$D5,'当年估计 产品'!$C:$C,$B5,'当年估计 产品'!$D:$D,$E5)</f>
        <v>178</v>
      </c>
      <c r="M5" s="191">
        <f>SUMIFS('当年估计 产品'!$F:$F,'当年估计 产品'!$A:$A,$C5,'当年估计 产品'!$B:$B,$D5,'当年估计 产品'!$C:$C,$B5,'当年估计 产品'!$D:$D,$E5)</f>
        <v>3980</v>
      </c>
      <c r="N5" s="179">
        <f>SUMIFS('当年估计 产品'!$L:$L,'当年估计 产品'!$A:$A,$C5,'当年估计 产品'!$B:$B,$D5,'当年估计 产品'!$C:$C,$B5,'当年估计 产品'!$D:$D,$E5)</f>
        <v>1666</v>
      </c>
      <c r="O5" s="179">
        <f t="shared" ref="O5:O7" si="1">I5+L5</f>
        <v>302</v>
      </c>
      <c r="P5" s="179">
        <f t="shared" ref="P5:P7" si="2">J5+M5</f>
        <v>5980</v>
      </c>
      <c r="Q5" s="179">
        <f t="shared" ref="Q5:Q7" si="3">K5+N5</f>
        <v>2054</v>
      </c>
      <c r="R5" s="189">
        <f t="shared" ref="R5:R7" si="4">IFERROR(G5/F5,"na")</f>
        <v>16.363636363636363</v>
      </c>
      <c r="S5" s="189">
        <f t="shared" ref="S5:S7" si="5">IFERROR(P5/O5,"na")</f>
        <v>19.801324503311257</v>
      </c>
      <c r="T5" s="189">
        <f t="shared" ref="T5:T7" si="6">O5*IF(R5="NA",IF(S5="NA",0,S5),R5)</f>
        <v>4941.818181818182</v>
      </c>
      <c r="U5" s="189">
        <f t="shared" ref="U5:U7" si="7">T5-G5</f>
        <v>2961.818181818182</v>
      </c>
      <c r="V5" s="189">
        <f t="shared" ref="V5:V7" si="8">P5-G5-U5</f>
        <v>1038.181818181818</v>
      </c>
      <c r="W5" s="189">
        <f t="shared" ref="W5:W8" si="9">P5-G5</f>
        <v>4000</v>
      </c>
      <c r="X5" s="189">
        <f t="shared" ref="X5:X8" si="10">IFERROR((G5-H5)/F5,"NA")</f>
        <v>13</v>
      </c>
      <c r="Y5" s="189">
        <f t="shared" ref="Y5:Y8" si="11">IFERROR((P5-Q5)/O5,"NA")</f>
        <v>13</v>
      </c>
      <c r="Z5" s="189">
        <f>O5*IF(X5="NA",IF(Y5="NA",0,Y5),X5)</f>
        <v>3926</v>
      </c>
      <c r="AA5" s="189">
        <f t="shared" ref="AA5:AA8" si="12">Z5-(G5-H5)</f>
        <v>2353</v>
      </c>
      <c r="AB5" s="189">
        <f t="shared" ref="AB5:AB8" si="13">AC5-AA5</f>
        <v>0</v>
      </c>
      <c r="AC5" s="189">
        <f t="shared" ref="AC5:AC8" si="14">(P5-Q5)-(G5-H5)</f>
        <v>2353</v>
      </c>
      <c r="AD5" s="189">
        <f t="shared" ref="AD5:AD7" si="15">Q5-G5/SUM(G:G)*SUM(P:P)*Q5/P5</f>
        <v>51.491788812443929</v>
      </c>
      <c r="AE5" s="190">
        <f>SUMIFS('下年预算 产品'!$E:$E,'下年预算 产品'!$A:$A,$C5,'下年预算 产品'!$B:$B,$D5,'下年预算 产品'!$C:$C,$B5,'下年预算 产品'!$D:$D,$E5)</f>
        <v>640</v>
      </c>
      <c r="AF5" s="190">
        <f>SUMIFS('下年预算 产品'!$F:$F,'下年预算 产品'!$A:$A,$C5,'下年预算 产品'!$B:$B,$D5,'下年预算 产品'!$C:$C,$B5,'下年预算 产品'!$D:$D,$E5)</f>
        <v>10000</v>
      </c>
      <c r="AG5" s="179">
        <f>SUMIFS('下年预算 产品'!$L:$L,'下年预算 产品'!$A:$A,$C5,'下年预算 产品'!$B:$B,$D5,'下年预算 产品'!$C:$C,$B5,'下年预算 产品'!$D:$D,$E5)</f>
        <v>1040</v>
      </c>
      <c r="AH5" s="189">
        <f t="shared" ref="AH5:AH7" si="16">IFERROR(P5/O5,"na")</f>
        <v>19.801324503311257</v>
      </c>
      <c r="AI5" s="189">
        <f t="shared" ref="AI5:AI7" si="17">IFERROR(AF5/AE5,"na")</f>
        <v>15.625</v>
      </c>
      <c r="AJ5" s="189">
        <f t="shared" ref="AJ5:AJ7" si="18">AE5*IF(AH5="NA",IF(AI5="NA",0,AI5),AH5)</f>
        <v>12672.847682119205</v>
      </c>
      <c r="AK5" s="189">
        <f t="shared" ref="AK5:AK7" si="19">AJ5-P5</f>
        <v>6692.8476821192053</v>
      </c>
      <c r="AL5" s="189">
        <f>AF5-P5-AK5</f>
        <v>-2672.8476821192053</v>
      </c>
      <c r="AM5" s="189">
        <f t="shared" ref="AM5:AM8" si="20">AF5-P5</f>
        <v>4020</v>
      </c>
      <c r="AN5" s="189">
        <f t="shared" ref="AN5:AN8" si="21">IFERROR((P5-Q5)/O5,"NA")</f>
        <v>13</v>
      </c>
      <c r="AO5" s="189">
        <f t="shared" ref="AO5:AO8" si="22">IFERROR((AF5-AG5)/AE5,"NA")</f>
        <v>14</v>
      </c>
      <c r="AP5" s="189">
        <f>AE5*IF(AN5="NA",IF(AO5="NA",0,AO5),AN5)</f>
        <v>8320</v>
      </c>
      <c r="AQ5" s="189">
        <f t="shared" ref="AQ5:AQ8" si="23">AP5-(P5-Q5)</f>
        <v>4394</v>
      </c>
      <c r="AR5" s="189">
        <f>(AF5-AG5)-(P5-Q5)-(AP5-(P5-Q5))</f>
        <v>640</v>
      </c>
      <c r="AS5" s="189">
        <f t="shared" ref="AS5:AS8" si="24">(AF5-AG5)-(P5-Q5)</f>
        <v>5034</v>
      </c>
      <c r="AT5" s="189">
        <f>AG5-P5/SUM(P:P)*SUM(AF:AF)*AG5/AF5</f>
        <v>-73.411764705882433</v>
      </c>
    </row>
    <row r="6" spans="2:48" x14ac:dyDescent="0.3">
      <c r="B6" t="s">
        <v>105</v>
      </c>
      <c r="C6" t="s">
        <v>108</v>
      </c>
      <c r="D6" t="s">
        <v>111</v>
      </c>
      <c r="E6" t="s">
        <v>92</v>
      </c>
      <c r="F6" s="192">
        <f>SUMIFS(上年实际!$O:$O,上年实际!$K:$K,$B6,上年实际!$L:$L,$C6,上年实际!$M:$M,$D6,上年实际!$N:$N,$E6,上年实际!$C:$C,"&gt;="&amp;DATE(YEAR(主页!$D$2)-1,1,1),上年实际!$C:$C,"&lt;="&amp;DATE(YEAR(主页!$D$2),12,31))</f>
        <v>88</v>
      </c>
      <c r="G6" s="192">
        <f>SUMIFS(上年实际!$P:$P,上年实际!$K:$K,$B6,上年实际!$L:$L,$C6,上年实际!$M:$M,$D6,上年实际!$N:$N,$E6,上年实际!$C:$C,"&gt;="&amp;DATE(YEAR(主页!$D$2)-1,1,1),上年实际!$C:$C,"&lt;="&amp;DATE(YEAR(主页!$D$2),12,31))</f>
        <v>1000</v>
      </c>
      <c r="H6" s="179">
        <f>SUMIFS(上年实际!$V:$V,上年实际!$K:$K,$B6,上年实际!$L:$L,$C6,上年实际!$M:$M,$D6,上年实际!$N:$N,$E6,上年实际!$C:$C,"&gt;="&amp;DATE(YEAR(主页!$D$2)-1,1,1),上年实际!$C:$C,"&lt;="&amp;DATE(YEAR(主页!$D$2),12,31))</f>
        <v>208</v>
      </c>
      <c r="I6" s="179">
        <f>SUMIFS(当年实际!$O:$O,当年实际!$K:$K,$B6,当年实际!$L:$L,$C6,当年实际!$M:$M,$D6,当年实际!$N:$N,$E6,当年实际!$C:$C,"&gt;="&amp;DATE(YEAR(主页!$D$2),1,1),当年实际!$C:$C,"&lt;="&amp;EOMONTH(DATE(YEAR(主页!$D$2),MONTH(主页!$D$2),1),0))</f>
        <v>112</v>
      </c>
      <c r="J6" s="179">
        <f>SUMIFS(当年实际!$P:$P,当年实际!$K:$K,$B6,当年实际!$L:$L,$C6,当年实际!$M:$M,$D6,当年实际!$N:$N,$E6,当年实际!$C:$C,"&gt;="&amp;DATE(YEAR(主页!$D$2),1,1),当年实际!$C:$C,"&lt;="&amp;EOMONTH(DATE(YEAR(主页!$D$2),MONTH(主页!$D$2),1),0))</f>
        <v>1200</v>
      </c>
      <c r="K6" s="179">
        <f>SUMIFS(当年实际!$V:$V,当年实际!$K:$K,$B6,当年实际!$L:$L,$C6,当年实际!$M:$M,$D6,当年实际!$N:$N,$E6,当年实际!$C:$C,"&gt;="&amp;DATE(YEAR(主页!$D$2),1,1),当年实际!$C:$C,"&lt;="&amp;EOMONTH(DATE(YEAR(主页!$D$2),MONTH(主页!$D$2),1),0))</f>
        <v>192</v>
      </c>
      <c r="L6" s="191">
        <f>SUMIFS('当年估计 产品'!$E:$E,'当年估计 产品'!$A:$A,$C6,'当年估计 产品'!$B:$B,$D6,'当年估计 产品'!$C:$C,$B6,'当年估计 产品'!$D:$D,$E6)</f>
        <v>142</v>
      </c>
      <c r="M6" s="191">
        <f>SUMIFS('当年估计 产品'!$F:$F,'当年估计 产品'!$A:$A,$C6,'当年估计 产品'!$B:$B,$D6,'当年估计 产品'!$C:$C,$B6,'当年估计 产品'!$D:$D,$E6)</f>
        <v>2200</v>
      </c>
      <c r="N6" s="179">
        <f>SUMIFS('当年估计 产品'!$L:$L,'当年估计 产品'!$A:$A,$C6,'当年估计 产品'!$B:$B,$D6,'当年估计 产品'!$C:$C,$B6,'当年估计 产品'!$D:$D,$E6)</f>
        <v>922</v>
      </c>
      <c r="O6" s="179">
        <f t="shared" si="1"/>
        <v>254</v>
      </c>
      <c r="P6" s="179">
        <f t="shared" si="2"/>
        <v>3400</v>
      </c>
      <c r="Q6" s="179">
        <f t="shared" si="3"/>
        <v>1114</v>
      </c>
      <c r="R6" s="189">
        <f t="shared" si="4"/>
        <v>11.363636363636363</v>
      </c>
      <c r="S6" s="189">
        <f t="shared" si="5"/>
        <v>13.385826771653543</v>
      </c>
      <c r="T6" s="189">
        <f t="shared" si="6"/>
        <v>2886.3636363636365</v>
      </c>
      <c r="U6" s="189">
        <f t="shared" si="7"/>
        <v>1886.3636363636365</v>
      </c>
      <c r="V6" s="189">
        <f t="shared" si="8"/>
        <v>513.63636363636351</v>
      </c>
      <c r="W6" s="189">
        <f t="shared" si="9"/>
        <v>2400</v>
      </c>
      <c r="X6" s="189">
        <f t="shared" si="10"/>
        <v>9</v>
      </c>
      <c r="Y6" s="189">
        <f t="shared" si="11"/>
        <v>9</v>
      </c>
      <c r="Z6" s="189">
        <f>O6*IF(X6="NA",IF(Y6="NA",0,Y6),X6)</f>
        <v>2286</v>
      </c>
      <c r="AA6" s="189">
        <f t="shared" si="12"/>
        <v>1494</v>
      </c>
      <c r="AB6" s="189">
        <f t="shared" si="13"/>
        <v>0</v>
      </c>
      <c r="AC6" s="189">
        <f t="shared" si="14"/>
        <v>1494</v>
      </c>
      <c r="AD6" s="189">
        <f t="shared" si="15"/>
        <v>149.24700867484296</v>
      </c>
      <c r="AE6" s="190">
        <f>SUMIFS('下年预算 产品'!$E:$E,'下年预算 产品'!$A:$A,$C6,'下年预算 产品'!$B:$B,$D6,'下年预算 产品'!$C:$C,$B6,'下年预算 产品'!$D:$D,$E6)</f>
        <v>533</v>
      </c>
      <c r="AF6" s="190">
        <f>SUMIFS('下年预算 产品'!$F:$F,'下年预算 产品'!$A:$A,$C6,'下年预算 产品'!$B:$B,$D6,'下年预算 产品'!$C:$C,$B6,'下年预算 产品'!$D:$D,$E6)</f>
        <v>5200</v>
      </c>
      <c r="AG6" s="179">
        <f>SUMIFS('下年预算 产品'!$L:$L,'下年预算 产品'!$A:$A,$C6,'下年预算 产品'!$B:$B,$D6,'下年预算 产品'!$C:$C,$B6,'下年预算 产品'!$D:$D,$E6)</f>
        <v>-130</v>
      </c>
      <c r="AH6" s="189">
        <f t="shared" si="16"/>
        <v>13.385826771653543</v>
      </c>
      <c r="AI6" s="189">
        <f t="shared" si="17"/>
        <v>9.7560975609756095</v>
      </c>
      <c r="AJ6" s="189">
        <f t="shared" si="18"/>
        <v>7134.645669291338</v>
      </c>
      <c r="AK6" s="189">
        <f t="shared" si="19"/>
        <v>3734.645669291338</v>
      </c>
      <c r="AL6" s="189">
        <f>AF6-P6-AK6</f>
        <v>-1934.645669291338</v>
      </c>
      <c r="AM6" s="189">
        <f t="shared" si="20"/>
        <v>1800</v>
      </c>
      <c r="AN6" s="189">
        <f t="shared" si="21"/>
        <v>9</v>
      </c>
      <c r="AO6" s="189">
        <f t="shared" si="22"/>
        <v>10</v>
      </c>
      <c r="AP6" s="189">
        <f>AE6*IF(AN6="NA",IF(AO6="NA",0,AO6),AN6)</f>
        <v>4797</v>
      </c>
      <c r="AQ6" s="189">
        <f t="shared" si="23"/>
        <v>2511</v>
      </c>
      <c r="AR6" s="189">
        <f>(AF6-AG6)-(P6-Q6)-(AP6-(P6-Q6))</f>
        <v>533</v>
      </c>
      <c r="AS6" s="189">
        <f t="shared" si="24"/>
        <v>3044</v>
      </c>
      <c r="AT6" s="189">
        <f>AG6-P6/SUM(P:P)*SUM(AF:AF)*AG6/AF6</f>
        <v>22.173913043478279</v>
      </c>
    </row>
    <row r="7" spans="2:48" x14ac:dyDescent="0.3">
      <c r="B7" t="s">
        <v>94</v>
      </c>
      <c r="C7" t="s">
        <v>96</v>
      </c>
      <c r="D7" t="s">
        <v>98</v>
      </c>
      <c r="E7" t="s">
        <v>100</v>
      </c>
      <c r="F7" s="192">
        <f>SUMIFS(上年实际!$O:$O,上年实际!$K:$K,$B7,上年实际!$L:$L,$C7,上年实际!$M:$M,$D7,上年实际!$N:$N,$E7,上年实际!$C:$C,"&gt;="&amp;DATE(YEAR(主页!$D$2)-1,1,1),上年实际!$C:$C,"&lt;="&amp;DATE(YEAR(主页!$D$2),12,31))</f>
        <v>3</v>
      </c>
      <c r="G7" s="192">
        <f>SUMIFS(上年实际!$P:$P,上年实际!$K:$K,$B7,上年实际!$L:$L,$C7,上年实际!$M:$M,$D7,上年实际!$N:$N,$E7,上年实际!$C:$C,"&gt;="&amp;DATE(YEAR(主页!$D$2)-1,1,1),上年实际!$C:$C,"&lt;="&amp;DATE(YEAR(主页!$D$2),12,31))</f>
        <v>566.03773584905662</v>
      </c>
      <c r="H7" s="179">
        <f>SUMIFS(上年实际!$V:$V,上年实际!$K:$K,$B7,上年实际!$L:$L,$C7,上年实际!$M:$M,$D7,上年实际!$N:$N,$E7,上年实际!$C:$C,"&gt;="&amp;DATE(YEAR(主页!$D$2)-1,1,1),上年实际!$C:$C,"&lt;="&amp;DATE(YEAR(主页!$D$2),12,31))</f>
        <v>206.03773584905662</v>
      </c>
      <c r="I7" s="179">
        <f>SUMIFS(当年实际!$O:$O,当年实际!$K:$K,$B7,当年实际!$L:$L,$C7,当年实际!$M:$M,$D7,当年实际!$N:$N,$E7,当年实际!$C:$C,"&gt;="&amp;DATE(YEAR(主页!$D$2),1,1),当年实际!$C:$C,"&lt;="&amp;EOMONTH(DATE(YEAR(主页!$D$2),MONTH(主页!$D$2),1),0))</f>
        <v>0</v>
      </c>
      <c r="J7" s="179">
        <f>SUMIFS(当年实际!$P:$P,当年实际!$K:$K,$B7,当年实际!$L:$L,$C7,当年实际!$M:$M,$D7,当年实际!$N:$N,$E7,当年实际!$C:$C,"&gt;="&amp;DATE(YEAR(主页!$D$2),1,1),当年实际!$C:$C,"&lt;="&amp;EOMONTH(DATE(YEAR(主页!$D$2),MONTH(主页!$D$2),1),0))</f>
        <v>0</v>
      </c>
      <c r="K7" s="179">
        <f>SUMIFS(当年实际!$V:$V,当年实际!$K:$K,$B7,当年实际!$L:$L,$C7,当年实际!$M:$M,$D7,当年实际!$N:$N,$E7,当年实际!$C:$C,"&gt;="&amp;DATE(YEAR(主页!$D$2),1,1),当年实际!$C:$C,"&lt;="&amp;EOMONTH(DATE(YEAR(主页!$D$2),MONTH(主页!$D$2),1),0))</f>
        <v>0</v>
      </c>
      <c r="L7" s="191">
        <f>SUMIFS('当年估计 产品'!$E:$E,'当年估计 产品'!$A:$A,$C7,'当年估计 产品'!$B:$B,$D7,'当年估计 产品'!$C:$C,$B7,'当年估计 产品'!$D:$D,$E7)</f>
        <v>2</v>
      </c>
      <c r="M7" s="191">
        <f>SUMIFS('当年估计 产品'!$F:$F,'当年估计 产品'!$A:$A,$C7,'当年估计 产品'!$B:$B,$D7,'当年估计 产品'!$C:$C,$B7,'当年估计 产品'!$D:$D,$E7)</f>
        <v>378</v>
      </c>
      <c r="N7" s="179">
        <f>SUMIFS('当年估计 产品'!$L:$L,'当年估计 产品'!$A:$A,$C7,'当年估计 产品'!$B:$B,$D7,'当年估计 产品'!$C:$C,$B7,'当年估计 产品'!$D:$D,$E7)</f>
        <v>138</v>
      </c>
      <c r="O7" s="179">
        <f t="shared" si="1"/>
        <v>2</v>
      </c>
      <c r="P7" s="179">
        <f t="shared" si="2"/>
        <v>378</v>
      </c>
      <c r="Q7" s="179">
        <f t="shared" si="3"/>
        <v>138</v>
      </c>
      <c r="R7" s="189">
        <f t="shared" si="4"/>
        <v>188.67924528301887</v>
      </c>
      <c r="S7" s="189">
        <f t="shared" si="5"/>
        <v>189</v>
      </c>
      <c r="T7" s="189">
        <f t="shared" si="6"/>
        <v>377.35849056603774</v>
      </c>
      <c r="U7" s="189">
        <f t="shared" si="7"/>
        <v>-188.67924528301887</v>
      </c>
      <c r="V7" s="189">
        <f t="shared" si="8"/>
        <v>0.64150943396225557</v>
      </c>
      <c r="W7" s="189">
        <f t="shared" si="9"/>
        <v>-188.03773584905662</v>
      </c>
      <c r="X7" s="189">
        <f t="shared" si="10"/>
        <v>120</v>
      </c>
      <c r="Y7" s="189">
        <f t="shared" si="11"/>
        <v>120</v>
      </c>
      <c r="Z7" s="189">
        <f>O7*IF(X7="NA",IF(Y7="NA",0,Y7),X7)</f>
        <v>240</v>
      </c>
      <c r="AA7" s="189">
        <f t="shared" si="12"/>
        <v>-120</v>
      </c>
      <c r="AB7" s="189">
        <f t="shared" si="13"/>
        <v>0</v>
      </c>
      <c r="AC7" s="189">
        <f t="shared" si="14"/>
        <v>-120</v>
      </c>
      <c r="AD7" s="189">
        <f t="shared" si="15"/>
        <v>-470.47470905801742</v>
      </c>
      <c r="AE7" s="190">
        <f>SUMIFS('下年预算 产品'!$E:$E,'下年预算 产品'!$A:$A,$C7,'下年预算 产品'!$B:$B,$D7,'下年预算 产品'!$C:$C,$B7,'下年预算 产品'!$D:$D,$E7)</f>
        <v>9</v>
      </c>
      <c r="AF7" s="190">
        <f>SUMIFS('下年预算 产品'!$F:$F,'下年预算 产品'!$A:$A,$C7,'下年预算 产品'!$B:$B,$D7,'下年预算 产品'!$C:$C,$B7,'下年预算 产品'!$D:$D,$E7)</f>
        <v>2600</v>
      </c>
      <c r="AG7" s="179">
        <f>SUMIFS('下年预算 产品'!$L:$L,'下年预算 产品'!$A:$A,$C7,'下年预算 产品'!$B:$B,$D7,'下年预算 产品'!$C:$C,$B7,'下年预算 产品'!$D:$D,$E7)</f>
        <v>1556</v>
      </c>
      <c r="AH7" s="189">
        <f t="shared" si="16"/>
        <v>189</v>
      </c>
      <c r="AI7" s="189">
        <f t="shared" si="17"/>
        <v>288.88888888888891</v>
      </c>
      <c r="AJ7" s="189">
        <f t="shared" si="18"/>
        <v>1701</v>
      </c>
      <c r="AK7" s="189">
        <f t="shared" si="19"/>
        <v>1323</v>
      </c>
      <c r="AL7" s="189">
        <f>AF7-P7-AK7</f>
        <v>899</v>
      </c>
      <c r="AM7" s="189">
        <f t="shared" si="20"/>
        <v>2222</v>
      </c>
      <c r="AN7" s="189">
        <f t="shared" si="21"/>
        <v>120</v>
      </c>
      <c r="AO7" s="189">
        <f t="shared" si="22"/>
        <v>116</v>
      </c>
      <c r="AP7" s="189">
        <f>AE7*IF(AN7="NA",IF(AO7="NA",0,AO7),AN7)</f>
        <v>1080</v>
      </c>
      <c r="AQ7" s="189">
        <f t="shared" si="23"/>
        <v>840</v>
      </c>
      <c r="AR7" s="189">
        <f>(AF7-AG7)-(P7-Q7)-(AP7-(P7-Q7))</f>
        <v>-36</v>
      </c>
      <c r="AS7" s="189">
        <f t="shared" si="24"/>
        <v>804</v>
      </c>
      <c r="AT7" s="189">
        <f>AG7-P7/SUM(P:P)*SUM(AF:AF)*AG7/AF7</f>
        <v>1151.0053118237261</v>
      </c>
    </row>
    <row r="8" spans="2:48" x14ac:dyDescent="0.3">
      <c r="B8" t="s">
        <v>6</v>
      </c>
      <c r="C8" t="s">
        <v>58</v>
      </c>
      <c r="D8" t="s">
        <v>61</v>
      </c>
      <c r="E8" t="s">
        <v>93</v>
      </c>
      <c r="F8" s="192">
        <f>SUMIFS(上年实际!$O:$O,上年实际!$K:$K,$B8,上年实际!$L:$L,$C8,上年实际!$M:$M,$D8,上年实际!$N:$N,$E8,上年实际!$C:$C,"&gt;="&amp;DATE(YEAR(主页!$D$2)-1,1,1),上年实际!$C:$C,"&lt;="&amp;DATE(YEAR(主页!$D$2),12,31))</f>
        <v>0</v>
      </c>
      <c r="G8" s="192">
        <f>SUMIFS(上年实际!$P:$P,上年实际!$K:$K,$B8,上年实际!$L:$L,$C8,上年实际!$M:$M,$D8,上年实际!$N:$N,$E8,上年实际!$C:$C,"&gt;="&amp;DATE(YEAR(主页!$D$2)-1,1,1),上年实际!$C:$C,"&lt;="&amp;DATE(YEAR(主页!$D$2),12,31))</f>
        <v>0</v>
      </c>
      <c r="H8" s="179">
        <f>SUMIFS(上年实际!$V:$V,上年实际!$K:$K,$B8,上年实际!$L:$L,$C8,上年实际!$M:$M,$D8,上年实际!$N:$N,$E8,上年实际!$C:$C,"&gt;="&amp;DATE(YEAR(主页!$D$2)-1,1,1),上年实际!$C:$C,"&lt;="&amp;DATE(YEAR(主页!$D$2),12,31))</f>
        <v>0</v>
      </c>
      <c r="I8" s="179">
        <f>SUMIFS(当年实际!$O:$O,当年实际!$K:$K,$B8,当年实际!$L:$L,$C8,当年实际!$M:$M,$D8,当年实际!$N:$N,$E8,当年实际!$C:$C,"&gt;="&amp;DATE(YEAR(主页!$D$2),1,1),当年实际!$C:$C,"&lt;="&amp;EOMONTH(DATE(YEAR(主页!$D$2),MONTH(主页!$D$2),1),0))</f>
        <v>0</v>
      </c>
      <c r="J8" s="179">
        <f>SUMIFS(当年实际!$P:$P,当年实际!$K:$K,$B8,当年实际!$L:$L,$C8,当年实际!$M:$M,$D8,当年实际!$N:$N,$E8,当年实际!$C:$C,"&gt;="&amp;DATE(YEAR(主页!$D$2),1,1),当年实际!$C:$C,"&lt;="&amp;EOMONTH(DATE(YEAR(主页!$D$2),MONTH(主页!$D$2),1),0))</f>
        <v>0</v>
      </c>
      <c r="K8" s="179">
        <f>SUMIFS(当年实际!$V:$V,当年实际!$K:$K,$B8,当年实际!$L:$L,$C8,当年实际!$M:$M,$D8,当年实际!$N:$N,$E8,当年实际!$C:$C,"&gt;="&amp;DATE(YEAR(主页!$D$2),1,1),当年实际!$C:$C,"&lt;="&amp;EOMONTH(DATE(YEAR(主页!$D$2),MONTH(主页!$D$2),1),0))</f>
        <v>0</v>
      </c>
      <c r="L8" s="191">
        <f>SUMIFS('当年估计 产品'!$E:$E,'当年估计 产品'!$A:$A,$C8,'当年估计 产品'!$B:$B,$D8,'当年估计 产品'!$C:$C,$B8,'当年估计 产品'!$D:$D,$E8)</f>
        <v>65</v>
      </c>
      <c r="M8" s="191">
        <f>SUMIFS('当年估计 产品'!$F:$F,'当年估计 产品'!$A:$A,$C8,'当年估计 产品'!$B:$B,$D8,'当年估计 产品'!$C:$C,$B8,'当年估计 产品'!$D:$D,$E8)</f>
        <v>1500</v>
      </c>
      <c r="N8" s="179">
        <f>SUMIFS('当年估计 产品'!$L:$L,'当年估计 产品'!$A:$A,$C8,'当年估计 产品'!$B:$B,$D8,'当年估计 产品'!$C:$C,$B8,'当年估计 产品'!$D:$D,$E8)</f>
        <v>655</v>
      </c>
      <c r="O8" s="179">
        <f t="shared" ref="O8" si="25">I8+L8</f>
        <v>65</v>
      </c>
      <c r="P8" s="179">
        <f t="shared" ref="P8" si="26">J8+M8</f>
        <v>1500</v>
      </c>
      <c r="Q8" s="179">
        <f t="shared" ref="Q8" si="27">K8+N8</f>
        <v>655</v>
      </c>
      <c r="R8" s="189" t="str">
        <f t="shared" ref="R8" si="28">IFERROR(G8/F8,"na")</f>
        <v>na</v>
      </c>
      <c r="S8" s="189">
        <f t="shared" ref="S8" si="29">IFERROR(P8/O8,"na")</f>
        <v>23.076923076923077</v>
      </c>
      <c r="T8" s="189">
        <f t="shared" ref="T8" si="30">O8*IF(R8="NA",IF(S8="NA",0,S8),R8)</f>
        <v>1500</v>
      </c>
      <c r="U8" s="189">
        <f t="shared" ref="U8" si="31">T8-G8</f>
        <v>1500</v>
      </c>
      <c r="V8" s="189">
        <f t="shared" ref="V8" si="32">P8-G8-U8</f>
        <v>0</v>
      </c>
      <c r="W8" s="189">
        <f t="shared" si="9"/>
        <v>1500</v>
      </c>
      <c r="X8" s="189" t="str">
        <f t="shared" si="10"/>
        <v>NA</v>
      </c>
      <c r="Y8" s="189">
        <f t="shared" si="11"/>
        <v>13</v>
      </c>
      <c r="Z8" s="189">
        <f>O8*IF(X8="NA",IF(Y8="NA",0,Y8),X8)</f>
        <v>845</v>
      </c>
      <c r="AA8" s="189">
        <f t="shared" si="12"/>
        <v>845</v>
      </c>
      <c r="AB8" s="189">
        <f t="shared" si="13"/>
        <v>0</v>
      </c>
      <c r="AC8" s="189">
        <f t="shared" si="14"/>
        <v>845</v>
      </c>
      <c r="AD8" s="189">
        <f t="shared" ref="AD8" si="33">Q8-G8/SUM(G:G)*SUM(P:P)*Q8/P8</f>
        <v>655</v>
      </c>
      <c r="AE8" s="190">
        <f>SUMIFS('下年预算 产品'!$E:$E,'下年预算 产品'!$A:$A,$C8,'下年预算 产品'!$B:$B,$D8,'下年预算 产品'!$C:$C,$B8,'下年预算 产品'!$D:$D,$E8)</f>
        <v>240</v>
      </c>
      <c r="AF8" s="190">
        <f>SUMIFS('下年预算 产品'!$F:$F,'下年预算 产品'!$A:$A,$C8,'下年预算 产品'!$B:$B,$D8,'下年预算 产品'!$C:$C,$B8,'下年预算 产品'!$D:$D,$E8)</f>
        <v>4000</v>
      </c>
      <c r="AG8" s="179">
        <f>SUMIFS('下年预算 产品'!$L:$L,'下年预算 产品'!$A:$A,$C8,'下年预算 产品'!$B:$B,$D8,'下年预算 产品'!$C:$C,$B8,'下年预算 产品'!$D:$D,$E8)</f>
        <v>640</v>
      </c>
      <c r="AH8" s="189">
        <f t="shared" ref="AH8" si="34">IFERROR(P8/O8,"na")</f>
        <v>23.076923076923077</v>
      </c>
      <c r="AI8" s="189">
        <f t="shared" ref="AI8" si="35">IFERROR(AF8/AE8,"na")</f>
        <v>16.666666666666668</v>
      </c>
      <c r="AJ8" s="189">
        <f t="shared" ref="AJ8" si="36">AE8*IF(AH8="NA",IF(AI8="NA",0,AI8),AH8)</f>
        <v>5538.4615384615381</v>
      </c>
      <c r="AK8" s="189">
        <f t="shared" ref="AK8" si="37">AJ8-P8</f>
        <v>4038.4615384615381</v>
      </c>
      <c r="AL8" s="189">
        <f>AF8-P8-AK8</f>
        <v>-1538.4615384615381</v>
      </c>
      <c r="AM8" s="189">
        <f t="shared" si="20"/>
        <v>2500</v>
      </c>
      <c r="AN8" s="189">
        <f t="shared" si="21"/>
        <v>13</v>
      </c>
      <c r="AO8" s="189">
        <f t="shared" si="22"/>
        <v>14</v>
      </c>
      <c r="AP8" s="189">
        <f>AE8*IF(AN8="NA",IF(AO8="NA",0,AO8),AN8)</f>
        <v>3120</v>
      </c>
      <c r="AQ8" s="189">
        <f t="shared" si="23"/>
        <v>2275</v>
      </c>
      <c r="AR8" s="189">
        <f>(AF8-AG8)-(P8-Q8)-(AP8-(P8-Q8))</f>
        <v>240</v>
      </c>
      <c r="AS8" s="189">
        <f t="shared" si="24"/>
        <v>2515</v>
      </c>
      <c r="AT8" s="189">
        <f>AG8-P8/SUM(P:P)*SUM(AF:AF)*AG8/AF8</f>
        <v>210.33248081841435</v>
      </c>
    </row>
    <row r="12" spans="2:48" ht="14.5" x14ac:dyDescent="0.3">
      <c r="L12" s="98"/>
    </row>
  </sheetData>
  <mergeCells count="2">
    <mergeCell ref="AH2:AT2"/>
    <mergeCell ref="R2:AD2"/>
  </mergeCells>
  <phoneticPr fontId="3" type="noConversion"/>
  <hyperlinks>
    <hyperlink ref="AV2" location="主页!A1" display="主页!A1" xr:uid="{21729B52-07C5-45FB-97A8-A9AA66FD87B8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4472-B9A3-4CE5-97A4-3401DAEB69E8}">
  <dimension ref="B2:O30"/>
  <sheetViews>
    <sheetView showGridLines="0" tabSelected="1" workbookViewId="0">
      <selection activeCell="E38" sqref="E38"/>
    </sheetView>
  </sheetViews>
  <sheetFormatPr defaultRowHeight="14" x14ac:dyDescent="0.3"/>
  <cols>
    <col min="1" max="1" width="2" customWidth="1"/>
    <col min="2" max="2" width="3.4140625" customWidth="1"/>
    <col min="3" max="3" width="16.25" customWidth="1"/>
    <col min="4" max="4" width="2.58203125" customWidth="1"/>
    <col min="5" max="5" width="12.6640625" customWidth="1"/>
    <col min="6" max="6" width="2.58203125" customWidth="1"/>
    <col min="7" max="7" width="11.9140625" bestFit="1" customWidth="1"/>
    <col min="8" max="8" width="11" bestFit="1" customWidth="1"/>
    <col min="9" max="9" width="8.08203125" customWidth="1"/>
    <col min="10" max="10" width="3" customWidth="1"/>
    <col min="11" max="11" width="11.9140625" bestFit="1" customWidth="1"/>
    <col min="12" max="12" width="13.58203125" bestFit="1" customWidth="1"/>
    <col min="13" max="13" width="10.33203125" bestFit="1" customWidth="1"/>
    <col min="14" max="14" width="24.4140625" customWidth="1"/>
  </cols>
  <sheetData>
    <row r="2" spans="2:15" s="103" customFormat="1" ht="27.65" customHeight="1" x14ac:dyDescent="0.3">
      <c r="B2" s="280" t="s">
        <v>141</v>
      </c>
      <c r="C2" s="280"/>
      <c r="D2" s="104"/>
      <c r="E2" s="280" t="str">
        <f>"A"&amp;YEAR(主页!$D$2)-1</f>
        <v>A2020</v>
      </c>
      <c r="F2" s="104"/>
      <c r="G2" s="280" t="str">
        <f>"E"&amp;YEAR(主页!$D$2)</f>
        <v>E2021</v>
      </c>
      <c r="H2" s="282" t="str">
        <f>"E"&amp;YEAR(主页!$D$2)&amp;"/A"&amp;YEAR(主页!$D$2)-1</f>
        <v>E2021/A2020</v>
      </c>
      <c r="I2" s="282"/>
      <c r="J2" s="105"/>
      <c r="K2" s="280" t="str">
        <f>"B"&amp;YEAR(主页!$D$2)+1</f>
        <v>B2022</v>
      </c>
      <c r="L2" s="282" t="str">
        <f>"B"&amp;YEAR(主页!$D$2)+1&amp;"/E"&amp;YEAR(主页!$D$2)</f>
        <v>B2022/E2021</v>
      </c>
      <c r="M2" s="282"/>
      <c r="O2" s="121" t="s">
        <v>197</v>
      </c>
    </row>
    <row r="3" spans="2:15" s="103" customFormat="1" ht="13.75" customHeight="1" x14ac:dyDescent="0.3">
      <c r="B3" s="280"/>
      <c r="C3" s="280"/>
      <c r="D3" s="104"/>
      <c r="E3" s="280"/>
      <c r="F3" s="104"/>
      <c r="G3" s="280"/>
      <c r="H3" s="222" t="s">
        <v>121</v>
      </c>
      <c r="I3" s="222" t="s">
        <v>32</v>
      </c>
      <c r="J3" s="106"/>
      <c r="K3" s="280"/>
      <c r="L3" s="222" t="s">
        <v>121</v>
      </c>
      <c r="M3" s="222" t="s">
        <v>32</v>
      </c>
    </row>
    <row r="4" spans="2:15" s="103" customFormat="1" ht="15.5" x14ac:dyDescent="0.3">
      <c r="B4" s="216" t="s">
        <v>13</v>
      </c>
      <c r="C4" s="204"/>
      <c r="D4" s="101"/>
      <c r="E4" s="212">
        <f>SUM(销售对比分析底稿!G:G)</f>
        <v>5046.0377358490568</v>
      </c>
      <c r="F4" s="101"/>
      <c r="G4" s="203">
        <f>SUM(销售对比分析底稿!P:P)</f>
        <v>14858</v>
      </c>
      <c r="H4" s="223">
        <f>G4-E4</f>
        <v>9811.9622641509432</v>
      </c>
      <c r="I4" s="207">
        <f>H4/E4</f>
        <v>1.9444884833981453</v>
      </c>
      <c r="J4" s="102"/>
      <c r="K4" s="201">
        <f>SUM(销售对比分析底稿!AF:AF)</f>
        <v>26600</v>
      </c>
      <c r="L4" s="228">
        <f>K4-G4</f>
        <v>11742</v>
      </c>
      <c r="M4" s="202">
        <f>L4/G4</f>
        <v>0.79028132992327371</v>
      </c>
    </row>
    <row r="5" spans="2:15" s="103" customFormat="1" ht="10.25" customHeight="1" x14ac:dyDescent="0.3">
      <c r="B5" s="216"/>
      <c r="C5" s="204"/>
      <c r="D5" s="101"/>
      <c r="E5" s="212">
        <f>ROUND(ABS(SUMIFS(上年实际!$P:$P,上年实际!$C:$C,"&gt;="&amp;DATE(YEAR(主页!$D$2)-1,1,1),上年实际!$C:$C,"&lt;="&amp;EOMONTH(DATE(YEAR(主页!$D$2),12,1),0))-E4),0)</f>
        <v>0</v>
      </c>
      <c r="F5" s="101"/>
      <c r="G5" s="203">
        <f>ROUND(ABS(SUMIFS(当年实际!$P:$P,当年实际!$C:$C,"&gt;="&amp;DATE(YEAR(主页!$D$2),1,1),当年实际!$C:$C,"&lt;="&amp;EOMONTH(DATE(YEAR(主页!$D$2),MONTH(主页!$D$2),1),0))+SUM('当年估计 产品'!$F:$F)-G4),0)</f>
        <v>0</v>
      </c>
      <c r="H5" s="224"/>
      <c r="I5" s="204"/>
      <c r="J5" s="100"/>
      <c r="K5" s="203">
        <f>SUM('下年预算 产品'!$F:$F)-K4</f>
        <v>0</v>
      </c>
      <c r="L5" s="224"/>
      <c r="M5" s="204"/>
    </row>
    <row r="6" spans="2:15" s="103" customFormat="1" ht="15.5" x14ac:dyDescent="0.3">
      <c r="B6" s="217"/>
      <c r="C6" s="218" t="s">
        <v>136</v>
      </c>
      <c r="D6" s="107"/>
      <c r="E6" s="213"/>
      <c r="F6" s="107"/>
      <c r="G6" s="205"/>
      <c r="H6" s="225">
        <f>SUM(销售对比分析底稿!U:U)</f>
        <v>7261.5433892253304</v>
      </c>
      <c r="I6" s="197">
        <f>H6/E4</f>
        <v>1.4390584790193781</v>
      </c>
      <c r="K6" s="205"/>
      <c r="L6" s="225">
        <f>SUM(销售对比分析底稿!AK:AK)</f>
        <v>18118.366654577963</v>
      </c>
      <c r="M6" s="197">
        <f>L6/G4</f>
        <v>1.2194350958795237</v>
      </c>
    </row>
    <row r="7" spans="2:15" s="103" customFormat="1" ht="15.5" x14ac:dyDescent="0.3">
      <c r="B7" s="217"/>
      <c r="C7" s="218" t="s">
        <v>137</v>
      </c>
      <c r="D7" s="107"/>
      <c r="E7" s="213"/>
      <c r="F7" s="107"/>
      <c r="G7" s="205"/>
      <c r="H7" s="225">
        <f>SUM(销售对比分析底稿!V:V)</f>
        <v>2550.4188749256132</v>
      </c>
      <c r="I7" s="197">
        <f>H7/(E4+H6)</f>
        <v>0.20722340555851496</v>
      </c>
      <c r="K7" s="205"/>
      <c r="L7" s="225">
        <f>SUM(销售对比分析底稿!AL:AL)</f>
        <v>-6376.3666545779633</v>
      </c>
      <c r="M7" s="197">
        <f>L7/(G4+L6)</f>
        <v>-0.19336171026266658</v>
      </c>
    </row>
    <row r="8" spans="2:15" s="103" customFormat="1" ht="10.25" customHeight="1" x14ac:dyDescent="0.3">
      <c r="B8" s="216"/>
      <c r="C8" s="204"/>
      <c r="D8" s="101"/>
      <c r="E8" s="212"/>
      <c r="F8" s="101"/>
      <c r="G8" s="203"/>
      <c r="H8" s="224"/>
      <c r="I8" s="206">
        <f>1+I4-(1+I6)*(1+I7)</f>
        <v>0</v>
      </c>
      <c r="J8" s="100"/>
      <c r="K8" s="203"/>
      <c r="L8" s="224"/>
      <c r="M8" s="206">
        <f>1+M4-(1+M6)*(1+M7)</f>
        <v>0</v>
      </c>
    </row>
    <row r="9" spans="2:15" s="103" customFormat="1" ht="10.25" customHeight="1" x14ac:dyDescent="0.3">
      <c r="B9" s="216"/>
      <c r="C9" s="204"/>
      <c r="D9" s="101"/>
      <c r="E9" s="212"/>
      <c r="F9" s="101"/>
      <c r="G9" s="203"/>
      <c r="H9" s="224"/>
      <c r="I9" s="204"/>
      <c r="J9" s="100"/>
      <c r="K9" s="203"/>
      <c r="L9" s="224"/>
      <c r="M9" s="204"/>
    </row>
    <row r="10" spans="2:15" s="103" customFormat="1" ht="15.5" x14ac:dyDescent="0.3">
      <c r="B10" s="216" t="s">
        <v>114</v>
      </c>
      <c r="C10" s="204"/>
      <c r="D10" s="101"/>
      <c r="E10" s="212">
        <f>SUM(销售对比分析底稿!H:H)</f>
        <v>1047.0377358490566</v>
      </c>
      <c r="F10" s="101"/>
      <c r="G10" s="203">
        <f>SUM(销售对比分析底稿!Q:Q)</f>
        <v>5351</v>
      </c>
      <c r="H10" s="224">
        <f>G10-E10</f>
        <v>4303.9622641509432</v>
      </c>
      <c r="I10" s="207">
        <f>H10/E10</f>
        <v>4.1106085452219192</v>
      </c>
      <c r="J10" s="102"/>
      <c r="K10" s="203">
        <f>SUM(销售对比分析底稿!AG:AG)</f>
        <v>3986</v>
      </c>
      <c r="L10" s="224">
        <f>K10-G10</f>
        <v>-1365</v>
      </c>
      <c r="M10" s="207">
        <f>L10/G10</f>
        <v>-0.2550925060736311</v>
      </c>
    </row>
    <row r="11" spans="2:15" s="103" customFormat="1" ht="15.5" x14ac:dyDescent="0.3">
      <c r="B11" s="216" t="s">
        <v>9</v>
      </c>
      <c r="C11" s="204"/>
      <c r="D11" s="102"/>
      <c r="E11" s="214">
        <f>E10/E4</f>
        <v>0.20749700867484294</v>
      </c>
      <c r="F11" s="102"/>
      <c r="G11" s="208">
        <f>G10/G4</f>
        <v>0.36014268407591871</v>
      </c>
      <c r="H11" s="226"/>
      <c r="I11" s="207">
        <f>G11-E11</f>
        <v>0.15264567540107576</v>
      </c>
      <c r="J11" s="102"/>
      <c r="K11" s="208">
        <f>K10/K4</f>
        <v>0.14984962406015037</v>
      </c>
      <c r="L11" s="226"/>
      <c r="M11" s="207">
        <f>K11-G11</f>
        <v>-0.21029306001576833</v>
      </c>
    </row>
    <row r="12" spans="2:15" s="103" customFormat="1" ht="15.5" x14ac:dyDescent="0.3">
      <c r="B12" s="219"/>
      <c r="C12" s="211"/>
      <c r="D12" s="102"/>
      <c r="E12" s="215">
        <f>ROUND(ABS(SUMIFS(上年实际!$V:$V,上年实际!$C:$C,"&gt;="&amp;DATE(YEAR(主页!$D$2)-1,1,1),上年实际!$C:$C,"&lt;="&amp;EOMONTH(DATE(YEAR(主页!$D$2),12,1),0))-E10),0)</f>
        <v>0</v>
      </c>
      <c r="F12" s="102"/>
      <c r="G12" s="209">
        <f>ROUND(ABS(SUMIFS(当年实际!$V:$V,当年实际!$C:$C,"&gt;="&amp;DATE(YEAR(主页!$D$2),1,1),当年实际!$C:$C,"&lt;="&amp;EOMONTH(DATE(YEAR(主页!$D$2),MONTH(主页!$D$2),1),0))+SUM('当年估计 产品'!$L:$L)-G10),0)</f>
        <v>0</v>
      </c>
      <c r="H12" s="227"/>
      <c r="I12" s="211"/>
      <c r="J12" s="108"/>
      <c r="K12" s="209">
        <f>SUM('下年预算 产品'!$L:$L)-K10</f>
        <v>0</v>
      </c>
      <c r="L12" s="227"/>
      <c r="M12" s="210"/>
    </row>
    <row r="13" spans="2:15" s="110" customFormat="1" ht="8.4" customHeight="1" x14ac:dyDescent="0.3">
      <c r="B13" s="108"/>
      <c r="C13" s="108"/>
      <c r="D13" s="193"/>
      <c r="E13" s="193"/>
      <c r="F13" s="193"/>
      <c r="G13" s="109"/>
      <c r="H13" s="108"/>
      <c r="I13" s="108"/>
      <c r="J13" s="108"/>
      <c r="K13" s="109"/>
      <c r="L13" s="108"/>
      <c r="M13" s="193"/>
    </row>
    <row r="14" spans="2:15" s="103" customFormat="1" ht="15.5" x14ac:dyDescent="0.3">
      <c r="B14" s="281" t="s">
        <v>175</v>
      </c>
      <c r="C14" s="281"/>
      <c r="D14" s="193"/>
      <c r="E14" s="193"/>
      <c r="F14" s="193"/>
      <c r="G14" s="280" t="s">
        <v>140</v>
      </c>
      <c r="H14" s="282" t="s">
        <v>138</v>
      </c>
      <c r="I14" s="282"/>
      <c r="J14" s="108"/>
      <c r="K14" s="280" t="s">
        <v>140</v>
      </c>
      <c r="L14" s="282" t="s">
        <v>138</v>
      </c>
      <c r="M14" s="282"/>
    </row>
    <row r="15" spans="2:15" s="103" customFormat="1" ht="12.65" customHeight="1" x14ac:dyDescent="0.3">
      <c r="B15" s="281"/>
      <c r="C15" s="281"/>
      <c r="D15" s="109"/>
      <c r="E15" s="109"/>
      <c r="F15" s="109"/>
      <c r="G15" s="280"/>
      <c r="H15" s="222" t="s">
        <v>139</v>
      </c>
      <c r="I15" s="222" t="s">
        <v>32</v>
      </c>
      <c r="J15" s="110"/>
      <c r="K15" s="280"/>
      <c r="L15" s="222" t="s">
        <v>139</v>
      </c>
      <c r="M15" s="222" t="s">
        <v>32</v>
      </c>
    </row>
    <row r="16" spans="2:15" s="103" customFormat="1" ht="15.5" x14ac:dyDescent="0.3">
      <c r="B16" s="217"/>
      <c r="C16" s="218" t="s">
        <v>122</v>
      </c>
      <c r="D16" s="110"/>
      <c r="E16" s="110"/>
      <c r="F16" s="110"/>
      <c r="G16" s="195">
        <f>SUM(销售对比分析底稿!U:U)/E4</f>
        <v>1.4390584790193781</v>
      </c>
      <c r="H16" s="111">
        <f>SUM(销售对比分析底稿!U:U)*E11</f>
        <v>1506.7485316268369</v>
      </c>
      <c r="I16" s="232" t="s">
        <v>135</v>
      </c>
      <c r="J16" s="113"/>
      <c r="K16" s="195">
        <f>SUM(销售对比分析底稿!AK:AK)/SUM(销售对比分析底稿!P:P)</f>
        <v>1.2194350958795237</v>
      </c>
      <c r="L16" s="229">
        <f>SUM(销售对比分析底稿!AK:AK)*G11</f>
        <v>6525.1971980513317</v>
      </c>
      <c r="M16" s="196" t="s">
        <v>135</v>
      </c>
    </row>
    <row r="17" spans="2:13" s="103" customFormat="1" ht="15.5" x14ac:dyDescent="0.3">
      <c r="B17" s="217"/>
      <c r="C17" s="218" t="s">
        <v>123</v>
      </c>
      <c r="D17" s="110"/>
      <c r="E17" s="110"/>
      <c r="F17" s="110"/>
      <c r="G17" s="195">
        <f>SUM(销售对比分析底稿!V:V)/SUM(销售对比分析底稿!T:T)</f>
        <v>0.20722340555851496</v>
      </c>
      <c r="H17" s="111">
        <f>SUM(销售对比分析底稿!V:V)</f>
        <v>2550.4188749256132</v>
      </c>
      <c r="I17" s="233">
        <f>H17/G$4</f>
        <v>0.17165290583696413</v>
      </c>
      <c r="J17" s="112"/>
      <c r="K17" s="195">
        <f>SUM(销售对比分析底稿!AL:AL)/SUM(销售对比分析底稿!AJ:AJ)</f>
        <v>-0.19336171026266658</v>
      </c>
      <c r="L17" s="230">
        <f>SUM(销售对比分析底稿!AL:AL)</f>
        <v>-6376.3666545779633</v>
      </c>
      <c r="M17" s="197">
        <f>L17/K$4</f>
        <v>-0.2397130321269911</v>
      </c>
    </row>
    <row r="18" spans="2:13" s="103" customFormat="1" ht="15.5" x14ac:dyDescent="0.3">
      <c r="B18" s="217"/>
      <c r="C18" s="218" t="s">
        <v>129</v>
      </c>
      <c r="D18" s="110"/>
      <c r="E18" s="110"/>
      <c r="F18" s="110"/>
      <c r="G18" s="195">
        <f>SUM(销售对比分析底稿!AB:AB)/SUM(销售对比分析底稿!Z:Z)</f>
        <v>0</v>
      </c>
      <c r="H18" s="111">
        <f>SUM(销售对比分析底稿!AB:AB)</f>
        <v>0</v>
      </c>
      <c r="I18" s="233">
        <f>H18/G$4</f>
        <v>0</v>
      </c>
      <c r="J18" s="112"/>
      <c r="K18" s="195">
        <f>SUM(销售对比分析底稿!AR:AR)/SUM(销售对比分析底稿!AP:AP)</f>
        <v>7.9066660304432893E-2</v>
      </c>
      <c r="L18" s="230">
        <f>-SUM(销售对比分析底稿!AR:AR)</f>
        <v>-1657</v>
      </c>
      <c r="M18" s="197">
        <f>L18/K$4</f>
        <v>-6.2293233082706768E-2</v>
      </c>
    </row>
    <row r="19" spans="2:13" s="103" customFormat="1" ht="15.5" x14ac:dyDescent="0.3">
      <c r="B19" s="217"/>
      <c r="C19" s="218" t="s">
        <v>124</v>
      </c>
      <c r="D19" s="110"/>
      <c r="E19" s="110"/>
      <c r="F19" s="110"/>
      <c r="G19" s="194"/>
      <c r="H19" s="111">
        <f>SUM(销售对比分析底稿!AD:AD)</f>
        <v>69.914508461176752</v>
      </c>
      <c r="I19" s="233">
        <f>H19/G$4</f>
        <v>4.7055127514589283E-3</v>
      </c>
      <c r="J19" s="112"/>
      <c r="K19" s="194"/>
      <c r="L19" s="230">
        <f>SUM(销售对比分析底稿!AT:AT)</f>
        <v>1008.5142632303755</v>
      </c>
      <c r="M19" s="197">
        <f>L19/K$4</f>
        <v>3.7914070046254716E-2</v>
      </c>
    </row>
    <row r="20" spans="2:13" s="103" customFormat="1" ht="15.5" x14ac:dyDescent="0.3">
      <c r="B20" s="220"/>
      <c r="C20" s="221" t="s">
        <v>130</v>
      </c>
      <c r="D20" s="110"/>
      <c r="E20" s="110"/>
      <c r="F20" s="110"/>
      <c r="G20" s="198"/>
      <c r="H20" s="199">
        <f>H10-SUM(H16:H19)</f>
        <v>176.88034913731644</v>
      </c>
      <c r="I20" s="234">
        <f>I11-SUM(I17:I19)</f>
        <v>-2.3712743187347285E-2</v>
      </c>
      <c r="J20" s="112"/>
      <c r="K20" s="198"/>
      <c r="L20" s="231">
        <f>L10-SUM(L16:L19)</f>
        <v>-865.34480670374387</v>
      </c>
      <c r="M20" s="200">
        <f>M11-SUM(M17:M19)</f>
        <v>5.3799135147674843E-2</v>
      </c>
    </row>
    <row r="21" spans="2:13" s="103" customFormat="1" ht="15.5" x14ac:dyDescent="0.3">
      <c r="J21" s="110"/>
    </row>
    <row r="22" spans="2:13" s="103" customFormat="1" ht="15.5" x14ac:dyDescent="0.3"/>
    <row r="23" spans="2:13" x14ac:dyDescent="0.3">
      <c r="E23" t="str">
        <f>E2</f>
        <v>A2020</v>
      </c>
      <c r="G23" s="114">
        <f>E10</f>
        <v>1047.0377358490566</v>
      </c>
      <c r="K23" s="114">
        <f>G10</f>
        <v>5351</v>
      </c>
      <c r="L23" t="str">
        <f>G2</f>
        <v>E2021</v>
      </c>
    </row>
    <row r="24" spans="2:13" x14ac:dyDescent="0.3">
      <c r="E24" t="str">
        <f>C16</f>
        <v>销量变化</v>
      </c>
      <c r="G24" s="99">
        <f>H16</f>
        <v>1506.7485316268369</v>
      </c>
      <c r="K24" s="99">
        <f>L16</f>
        <v>6525.1971980513317</v>
      </c>
      <c r="L24" t="str">
        <f>C16</f>
        <v>销量变化</v>
      </c>
    </row>
    <row r="25" spans="2:13" x14ac:dyDescent="0.3">
      <c r="E25" t="str">
        <f t="shared" ref="E25:E28" si="0">C17</f>
        <v>售价变化</v>
      </c>
      <c r="G25" s="99">
        <f t="shared" ref="G25:G28" si="1">H17</f>
        <v>2550.4188749256132</v>
      </c>
      <c r="K25" s="99">
        <f t="shared" ref="K25:K28" si="2">L17</f>
        <v>-6376.3666545779633</v>
      </c>
      <c r="L25" t="str">
        <f t="shared" ref="L25:L28" si="3">C17</f>
        <v>售价变化</v>
      </c>
    </row>
    <row r="26" spans="2:13" x14ac:dyDescent="0.3">
      <c r="E26" t="str">
        <f t="shared" si="0"/>
        <v>成本变化</v>
      </c>
      <c r="G26" s="99">
        <f t="shared" si="1"/>
        <v>0</v>
      </c>
      <c r="K26" s="99">
        <f t="shared" si="2"/>
        <v>-1657</v>
      </c>
      <c r="L26" t="str">
        <f t="shared" si="3"/>
        <v>成本变化</v>
      </c>
    </row>
    <row r="27" spans="2:13" x14ac:dyDescent="0.3">
      <c r="E27" t="str">
        <f t="shared" si="0"/>
        <v>销售结构</v>
      </c>
      <c r="G27" s="99">
        <f t="shared" si="1"/>
        <v>69.914508461176752</v>
      </c>
      <c r="K27" s="99">
        <f t="shared" si="2"/>
        <v>1008.5142632303755</v>
      </c>
      <c r="L27" t="str">
        <f t="shared" si="3"/>
        <v>销售结构</v>
      </c>
    </row>
    <row r="28" spans="2:13" x14ac:dyDescent="0.3">
      <c r="E28" t="str">
        <f t="shared" si="0"/>
        <v>其他</v>
      </c>
      <c r="G28" s="99">
        <f t="shared" si="1"/>
        <v>176.88034913731644</v>
      </c>
      <c r="K28" s="99">
        <f t="shared" si="2"/>
        <v>-865.34480670374387</v>
      </c>
      <c r="L28" t="str">
        <f t="shared" si="3"/>
        <v>其他</v>
      </c>
    </row>
    <row r="29" spans="2:13" x14ac:dyDescent="0.3">
      <c r="E29" t="str">
        <f>G2</f>
        <v>E2021</v>
      </c>
      <c r="G29" s="99">
        <f>G10</f>
        <v>5351</v>
      </c>
      <c r="K29" s="99">
        <f>K10</f>
        <v>3986</v>
      </c>
      <c r="L29" t="str">
        <f>K2</f>
        <v>B2022</v>
      </c>
    </row>
    <row r="30" spans="2:13" x14ac:dyDescent="0.3">
      <c r="K30" s="99"/>
    </row>
  </sheetData>
  <mergeCells count="11">
    <mergeCell ref="L14:M14"/>
    <mergeCell ref="L2:M2"/>
    <mergeCell ref="H2:I2"/>
    <mergeCell ref="E2:E3"/>
    <mergeCell ref="G2:G3"/>
    <mergeCell ref="B2:C3"/>
    <mergeCell ref="K2:K3"/>
    <mergeCell ref="G14:G15"/>
    <mergeCell ref="K14:K15"/>
    <mergeCell ref="B14:C15"/>
    <mergeCell ref="H14:I14"/>
  </mergeCells>
  <phoneticPr fontId="3" type="noConversion"/>
  <conditionalFormatting sqref="G5:G9 K5:K9 K12:K13">
    <cfRule type="cellIs" dxfId="9" priority="12" operator="notEqual">
      <formula>0</formula>
    </cfRule>
  </conditionalFormatting>
  <conditionalFormatting sqref="G12:G13">
    <cfRule type="cellIs" dxfId="8" priority="11" operator="notEqual">
      <formula>0</formula>
    </cfRule>
  </conditionalFormatting>
  <conditionalFormatting sqref="E6:E9">
    <cfRule type="cellIs" dxfId="7" priority="9" operator="notEqual">
      <formula>0</formula>
    </cfRule>
  </conditionalFormatting>
  <conditionalFormatting sqref="E15">
    <cfRule type="cellIs" dxfId="6" priority="8" operator="notEqual">
      <formula>0</formula>
    </cfRule>
  </conditionalFormatting>
  <conditionalFormatting sqref="F5:F9">
    <cfRule type="cellIs" dxfId="5" priority="7" operator="notEqual">
      <formula>0</formula>
    </cfRule>
  </conditionalFormatting>
  <conditionalFormatting sqref="F15">
    <cfRule type="cellIs" dxfId="4" priority="6" operator="notEqual">
      <formula>0</formula>
    </cfRule>
  </conditionalFormatting>
  <conditionalFormatting sqref="D5:D9">
    <cfRule type="cellIs" dxfId="3" priority="5" operator="notEqual">
      <formula>0</formula>
    </cfRule>
  </conditionalFormatting>
  <conditionalFormatting sqref="D15">
    <cfRule type="cellIs" dxfId="2" priority="4" operator="notEqual">
      <formula>0</formula>
    </cfRule>
  </conditionalFormatting>
  <conditionalFormatting sqref="E5">
    <cfRule type="cellIs" dxfId="1" priority="2" operator="notEqual">
      <formula>0</formula>
    </cfRule>
  </conditionalFormatting>
  <conditionalFormatting sqref="E12">
    <cfRule type="cellIs" dxfId="0" priority="1" operator="notEqual">
      <formula>0</formula>
    </cfRule>
  </conditionalFormatting>
  <hyperlinks>
    <hyperlink ref="O2" location="主页!A1" display="主页!A1" xr:uid="{C2ECA4FA-085E-4848-AB5A-855BCD5D5866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77A95C-D583-49AD-96A7-0357ACF24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主页</vt:lpstr>
      <vt:lpstr>上年标准成本</vt:lpstr>
      <vt:lpstr>上年实际</vt:lpstr>
      <vt:lpstr>当年实际</vt:lpstr>
      <vt:lpstr>当年估计 渠道</vt:lpstr>
      <vt:lpstr>当年估计 业务员</vt:lpstr>
      <vt:lpstr>当年估计 客户</vt:lpstr>
      <vt:lpstr>当年标准成本</vt:lpstr>
      <vt:lpstr>当年估计 产品</vt:lpstr>
      <vt:lpstr>下年预算 渠道</vt:lpstr>
      <vt:lpstr>下年预算 业务员</vt:lpstr>
      <vt:lpstr>下年预算 客户</vt:lpstr>
      <vt:lpstr>下年标准成本</vt:lpstr>
      <vt:lpstr>下年预算 产品</vt:lpstr>
      <vt:lpstr>下年预算分月</vt:lpstr>
      <vt:lpstr>预算校准</vt:lpstr>
      <vt:lpstr>销售对比分析底稿</vt:lpstr>
      <vt:lpstr>产品销售及毛利影响因素分析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lly den</cp:lastModifiedBy>
  <dcterms:created xsi:type="dcterms:W3CDTF">2021-09-21T07:14:04Z</dcterms:created>
  <dcterms:modified xsi:type="dcterms:W3CDTF">2021-10-23T14:38:30Z</dcterms:modified>
</cp:coreProperties>
</file>